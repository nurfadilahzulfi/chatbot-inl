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623"/>
  <workbookPr defaultThemeVersion="166925"/>
  <mc:AlternateContent xmlns:mc="http://schemas.openxmlformats.org/markup-compatibility/2006">
    <mc:Choice Requires="x15">
      <x15ac:absPath xmlns:x15ac="http://schemas.microsoft.com/office/spreadsheetml/2010/11/ac" url="D:\laporan produksi\laporan produksi 2022\"/>
    </mc:Choice>
  </mc:AlternateContent>
  <xr:revisionPtr revIDLastSave="0" documentId="8_{0E8238AD-5854-4E9D-98DA-8490490E2F03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Sep-22" sheetId="1" r:id="rId1"/>
  </sheets>
  <definedNames>
    <definedName name="_xlnm.Print_Area" localSheetId="0">'Sep-22'!$A$1:$AO$214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M214" i="1" l="1"/>
  <c r="AL214" i="1"/>
  <c r="AK214" i="1"/>
  <c r="AJ214" i="1"/>
  <c r="AI214" i="1"/>
  <c r="AH214" i="1"/>
  <c r="AG214" i="1"/>
  <c r="AF214" i="1"/>
  <c r="AE214" i="1"/>
  <c r="AD214" i="1"/>
  <c r="AC214" i="1"/>
  <c r="AB214" i="1"/>
  <c r="AA214" i="1"/>
  <c r="Z214" i="1"/>
  <c r="Y214" i="1"/>
  <c r="X214" i="1"/>
  <c r="W214" i="1"/>
  <c r="V214" i="1"/>
  <c r="U214" i="1"/>
  <c r="T214" i="1"/>
  <c r="S214" i="1"/>
  <c r="R214" i="1"/>
  <c r="Q214" i="1"/>
  <c r="P214" i="1"/>
  <c r="O214" i="1"/>
  <c r="N214" i="1"/>
  <c r="M214" i="1"/>
  <c r="L214" i="1"/>
  <c r="K214" i="1"/>
  <c r="J214" i="1"/>
  <c r="AO213" i="1"/>
  <c r="AO210" i="1"/>
  <c r="AM209" i="1"/>
  <c r="AL209" i="1"/>
  <c r="AK209" i="1"/>
  <c r="AJ209" i="1"/>
  <c r="AI209" i="1"/>
  <c r="AH209" i="1"/>
  <c r="AG209" i="1"/>
  <c r="AF209" i="1"/>
  <c r="AE209" i="1"/>
  <c r="AD209" i="1"/>
  <c r="AC209" i="1"/>
  <c r="AB209" i="1"/>
  <c r="AA209" i="1"/>
  <c r="Z209" i="1"/>
  <c r="Y209" i="1"/>
  <c r="X209" i="1"/>
  <c r="W209" i="1"/>
  <c r="V209" i="1"/>
  <c r="U209" i="1"/>
  <c r="T209" i="1"/>
  <c r="S209" i="1"/>
  <c r="R209" i="1"/>
  <c r="Q209" i="1"/>
  <c r="P209" i="1"/>
  <c r="O209" i="1"/>
  <c r="N209" i="1"/>
  <c r="M209" i="1"/>
  <c r="L209" i="1"/>
  <c r="K209" i="1"/>
  <c r="J209" i="1"/>
  <c r="AO208" i="1"/>
  <c r="H208" i="1"/>
  <c r="H209" i="1" s="1"/>
  <c r="AO207" i="1"/>
  <c r="AGO207" i="1" s="1"/>
  <c r="AO206" i="1"/>
  <c r="AGO206" i="1" s="1"/>
  <c r="AO204" i="1"/>
  <c r="AM201" i="1"/>
  <c r="AM202" i="1" s="1"/>
  <c r="AL201" i="1"/>
  <c r="AL202" i="1" s="1"/>
  <c r="AK201" i="1"/>
  <c r="AK202" i="1" s="1"/>
  <c r="AJ201" i="1"/>
  <c r="AJ202" i="1" s="1"/>
  <c r="AI201" i="1"/>
  <c r="AI202" i="1" s="1"/>
  <c r="AH201" i="1"/>
  <c r="AH202" i="1" s="1"/>
  <c r="AG201" i="1"/>
  <c r="AG202" i="1" s="1"/>
  <c r="AF201" i="1"/>
  <c r="AF202" i="1" s="1"/>
  <c r="AD201" i="1"/>
  <c r="AD202" i="1" s="1"/>
  <c r="AC201" i="1"/>
  <c r="AC202" i="1" s="1"/>
  <c r="AB201" i="1"/>
  <c r="AB202" i="1" s="1"/>
  <c r="AA201" i="1"/>
  <c r="AA202" i="1" s="1"/>
  <c r="Z201" i="1"/>
  <c r="Z202" i="1" s="1"/>
  <c r="Y201" i="1"/>
  <c r="Y202" i="1" s="1"/>
  <c r="X201" i="1"/>
  <c r="X202" i="1" s="1"/>
  <c r="W201" i="1"/>
  <c r="W202" i="1" s="1"/>
  <c r="V201" i="1"/>
  <c r="V202" i="1" s="1"/>
  <c r="U201" i="1"/>
  <c r="U202" i="1" s="1"/>
  <c r="T201" i="1"/>
  <c r="T202" i="1" s="1"/>
  <c r="S201" i="1"/>
  <c r="S202" i="1" s="1"/>
  <c r="R201" i="1"/>
  <c r="R202" i="1" s="1"/>
  <c r="Q201" i="1"/>
  <c r="Q202" i="1" s="1"/>
  <c r="P201" i="1"/>
  <c r="P202" i="1" s="1"/>
  <c r="O201" i="1"/>
  <c r="O202" i="1" s="1"/>
  <c r="N201" i="1"/>
  <c r="N202" i="1" s="1"/>
  <c r="M201" i="1"/>
  <c r="M202" i="1" s="1"/>
  <c r="L201" i="1"/>
  <c r="L202" i="1" s="1"/>
  <c r="K201" i="1"/>
  <c r="K202" i="1" s="1"/>
  <c r="J201" i="1"/>
  <c r="J202" i="1" s="1"/>
  <c r="AO200" i="1"/>
  <c r="AO199" i="1"/>
  <c r="AE197" i="1"/>
  <c r="AE201" i="1" s="1"/>
  <c r="AE202" i="1" s="1"/>
  <c r="H197" i="1"/>
  <c r="H201" i="1" s="1"/>
  <c r="H202" i="1" s="1"/>
  <c r="AM195" i="1"/>
  <c r="AL195" i="1"/>
  <c r="AK195" i="1"/>
  <c r="AJ195" i="1"/>
  <c r="AI195" i="1"/>
  <c r="AH195" i="1"/>
  <c r="AG195" i="1"/>
  <c r="AF195" i="1"/>
  <c r="AE195" i="1"/>
  <c r="AD195" i="1"/>
  <c r="AC195" i="1"/>
  <c r="AB195" i="1"/>
  <c r="AA195" i="1"/>
  <c r="Z195" i="1"/>
  <c r="Y195" i="1"/>
  <c r="X195" i="1"/>
  <c r="W195" i="1"/>
  <c r="V195" i="1"/>
  <c r="U195" i="1"/>
  <c r="T195" i="1"/>
  <c r="S195" i="1"/>
  <c r="R195" i="1"/>
  <c r="Q195" i="1"/>
  <c r="P195" i="1"/>
  <c r="O195" i="1"/>
  <c r="N195" i="1"/>
  <c r="M195" i="1"/>
  <c r="L195" i="1"/>
  <c r="K195" i="1"/>
  <c r="J195" i="1"/>
  <c r="H195" i="1"/>
  <c r="AM194" i="1"/>
  <c r="AL194" i="1"/>
  <c r="AK194" i="1"/>
  <c r="AJ194" i="1"/>
  <c r="AI194" i="1"/>
  <c r="AH194" i="1"/>
  <c r="AG194" i="1"/>
  <c r="AF194" i="1"/>
  <c r="AE194" i="1"/>
  <c r="AD194" i="1"/>
  <c r="AC194" i="1"/>
  <c r="AB194" i="1"/>
  <c r="AA194" i="1"/>
  <c r="Z194" i="1"/>
  <c r="Y194" i="1"/>
  <c r="X194" i="1"/>
  <c r="W194" i="1"/>
  <c r="V194" i="1"/>
  <c r="U194" i="1"/>
  <c r="T194" i="1"/>
  <c r="S194" i="1"/>
  <c r="R194" i="1"/>
  <c r="Q194" i="1"/>
  <c r="P194" i="1"/>
  <c r="O194" i="1"/>
  <c r="N194" i="1"/>
  <c r="M194" i="1"/>
  <c r="L194" i="1"/>
  <c r="K194" i="1"/>
  <c r="J194" i="1"/>
  <c r="AO193" i="1"/>
  <c r="AO191" i="1"/>
  <c r="AO190" i="1"/>
  <c r="AM188" i="1"/>
  <c r="AL188" i="1"/>
  <c r="AK188" i="1"/>
  <c r="AJ188" i="1"/>
  <c r="AI188" i="1"/>
  <c r="AH188" i="1"/>
  <c r="AG188" i="1"/>
  <c r="AF188" i="1"/>
  <c r="AE188" i="1"/>
  <c r="AD188" i="1"/>
  <c r="AC188" i="1"/>
  <c r="AB188" i="1"/>
  <c r="AA188" i="1"/>
  <c r="Z188" i="1"/>
  <c r="Y188" i="1"/>
  <c r="X188" i="1"/>
  <c r="W188" i="1"/>
  <c r="V188" i="1"/>
  <c r="U188" i="1"/>
  <c r="T188" i="1"/>
  <c r="S188" i="1"/>
  <c r="R188" i="1"/>
  <c r="Q188" i="1"/>
  <c r="P188" i="1"/>
  <c r="O188" i="1"/>
  <c r="N188" i="1"/>
  <c r="M188" i="1"/>
  <c r="L188" i="1"/>
  <c r="K188" i="1"/>
  <c r="J188" i="1"/>
  <c r="AM187" i="1"/>
  <c r="AL187" i="1"/>
  <c r="AK187" i="1"/>
  <c r="AJ187" i="1"/>
  <c r="AM185" i="1"/>
  <c r="AL185" i="1"/>
  <c r="AK185" i="1"/>
  <c r="AJ185" i="1"/>
  <c r="AI185" i="1"/>
  <c r="AH185" i="1"/>
  <c r="AG185" i="1"/>
  <c r="AF185" i="1"/>
  <c r="AE185" i="1"/>
  <c r="AD185" i="1"/>
  <c r="AC185" i="1"/>
  <c r="AB185" i="1"/>
  <c r="AA185" i="1"/>
  <c r="Z185" i="1"/>
  <c r="Y185" i="1"/>
  <c r="X185" i="1"/>
  <c r="W185" i="1"/>
  <c r="V185" i="1"/>
  <c r="U185" i="1"/>
  <c r="T185" i="1"/>
  <c r="S185" i="1"/>
  <c r="R185" i="1"/>
  <c r="Q185" i="1"/>
  <c r="P185" i="1"/>
  <c r="O185" i="1"/>
  <c r="N185" i="1"/>
  <c r="M185" i="1"/>
  <c r="L185" i="1"/>
  <c r="K185" i="1"/>
  <c r="J185" i="1"/>
  <c r="AO185" i="1" s="1"/>
  <c r="AI182" i="1"/>
  <c r="AH182" i="1"/>
  <c r="AG182" i="1"/>
  <c r="AF182" i="1"/>
  <c r="AE182" i="1"/>
  <c r="AD182" i="1"/>
  <c r="AC182" i="1"/>
  <c r="AB182" i="1"/>
  <c r="AA182" i="1"/>
  <c r="Z182" i="1"/>
  <c r="Y182" i="1"/>
  <c r="X182" i="1"/>
  <c r="W182" i="1"/>
  <c r="V182" i="1"/>
  <c r="U182" i="1"/>
  <c r="T182" i="1"/>
  <c r="S182" i="1"/>
  <c r="R182" i="1"/>
  <c r="Q182" i="1"/>
  <c r="P182" i="1"/>
  <c r="O182" i="1"/>
  <c r="N182" i="1"/>
  <c r="M182" i="1"/>
  <c r="L182" i="1"/>
  <c r="K182" i="1"/>
  <c r="J182" i="1"/>
  <c r="AI181" i="1"/>
  <c r="AH181" i="1"/>
  <c r="AG181" i="1"/>
  <c r="AF181" i="1"/>
  <c r="AE181" i="1"/>
  <c r="AD181" i="1"/>
  <c r="AC181" i="1"/>
  <c r="AB181" i="1"/>
  <c r="AA181" i="1"/>
  <c r="Z181" i="1"/>
  <c r="Y181" i="1"/>
  <c r="X181" i="1"/>
  <c r="W181" i="1"/>
  <c r="V181" i="1"/>
  <c r="U181" i="1"/>
  <c r="T181" i="1"/>
  <c r="S181" i="1"/>
  <c r="R181" i="1"/>
  <c r="Q181" i="1"/>
  <c r="P181" i="1"/>
  <c r="O181" i="1"/>
  <c r="N181" i="1"/>
  <c r="M181" i="1"/>
  <c r="L181" i="1"/>
  <c r="K181" i="1"/>
  <c r="J181" i="1"/>
  <c r="AI180" i="1"/>
  <c r="AI187" i="1" s="1"/>
  <c r="AH180" i="1"/>
  <c r="AH187" i="1" s="1"/>
  <c r="AG180" i="1"/>
  <c r="AG175" i="1" s="1"/>
  <c r="AG176" i="1" s="1"/>
  <c r="AF180" i="1"/>
  <c r="AF187" i="1" s="1"/>
  <c r="AE180" i="1"/>
  <c r="AE187" i="1" s="1"/>
  <c r="AD180" i="1"/>
  <c r="AD187" i="1" s="1"/>
  <c r="AC180" i="1"/>
  <c r="AC175" i="1" s="1"/>
  <c r="AC176" i="1" s="1"/>
  <c r="AB180" i="1"/>
  <c r="AB187" i="1" s="1"/>
  <c r="AA180" i="1"/>
  <c r="AA187" i="1" s="1"/>
  <c r="Z180" i="1"/>
  <c r="Z187" i="1" s="1"/>
  <c r="Y180" i="1"/>
  <c r="Y175" i="1" s="1"/>
  <c r="X180" i="1"/>
  <c r="X187" i="1" s="1"/>
  <c r="W180" i="1"/>
  <c r="W187" i="1" s="1"/>
  <c r="V180" i="1"/>
  <c r="V187" i="1" s="1"/>
  <c r="U180" i="1"/>
  <c r="U175" i="1" s="1"/>
  <c r="U176" i="1" s="1"/>
  <c r="T180" i="1"/>
  <c r="T187" i="1" s="1"/>
  <c r="S180" i="1"/>
  <c r="S187" i="1" s="1"/>
  <c r="R180" i="1"/>
  <c r="R187" i="1" s="1"/>
  <c r="Q180" i="1"/>
  <c r="Q175" i="1" s="1"/>
  <c r="Q176" i="1" s="1"/>
  <c r="P180" i="1"/>
  <c r="P187" i="1" s="1"/>
  <c r="O180" i="1"/>
  <c r="O187" i="1" s="1"/>
  <c r="N180" i="1"/>
  <c r="N187" i="1" s="1"/>
  <c r="M180" i="1"/>
  <c r="M175" i="1" s="1"/>
  <c r="M176" i="1" s="1"/>
  <c r="L180" i="1"/>
  <c r="L187" i="1" s="1"/>
  <c r="K180" i="1"/>
  <c r="K187" i="1" s="1"/>
  <c r="J180" i="1"/>
  <c r="J187" i="1" s="1"/>
  <c r="AO187" i="1" s="1"/>
  <c r="AO178" i="1"/>
  <c r="AO180" i="1" s="1"/>
  <c r="Y176" i="1"/>
  <c r="AB175" i="1"/>
  <c r="AB176" i="1" s="1"/>
  <c r="AA175" i="1"/>
  <c r="AA176" i="1" s="1"/>
  <c r="O175" i="1"/>
  <c r="O176" i="1" s="1"/>
  <c r="K175" i="1"/>
  <c r="K176" i="1" s="1"/>
  <c r="J175" i="1"/>
  <c r="J176" i="1" s="1"/>
  <c r="AM169" i="1"/>
  <c r="AL169" i="1"/>
  <c r="AK169" i="1"/>
  <c r="AJ169" i="1"/>
  <c r="AI169" i="1"/>
  <c r="AH169" i="1"/>
  <c r="AG169" i="1"/>
  <c r="AF169" i="1"/>
  <c r="AE169" i="1"/>
  <c r="AD169" i="1"/>
  <c r="AC169" i="1"/>
  <c r="AB169" i="1"/>
  <c r="AA169" i="1"/>
  <c r="Z169" i="1"/>
  <c r="Y169" i="1"/>
  <c r="X169" i="1"/>
  <c r="W169" i="1"/>
  <c r="V169" i="1"/>
  <c r="U169" i="1"/>
  <c r="T169" i="1"/>
  <c r="S169" i="1"/>
  <c r="R169" i="1"/>
  <c r="Q169" i="1"/>
  <c r="P169" i="1"/>
  <c r="O169" i="1"/>
  <c r="N169" i="1"/>
  <c r="M169" i="1"/>
  <c r="L169" i="1"/>
  <c r="K169" i="1"/>
  <c r="J169" i="1"/>
  <c r="AM168" i="1"/>
  <c r="AL168" i="1"/>
  <c r="AK168" i="1"/>
  <c r="AJ168" i="1"/>
  <c r="AI168" i="1"/>
  <c r="AH168" i="1"/>
  <c r="AG168" i="1"/>
  <c r="AF168" i="1"/>
  <c r="AE168" i="1"/>
  <c r="AD168" i="1"/>
  <c r="AC168" i="1"/>
  <c r="AB168" i="1"/>
  <c r="AA168" i="1"/>
  <c r="Z168" i="1"/>
  <c r="Y168" i="1"/>
  <c r="X168" i="1"/>
  <c r="W168" i="1"/>
  <c r="V168" i="1"/>
  <c r="U168" i="1"/>
  <c r="T168" i="1"/>
  <c r="S168" i="1"/>
  <c r="R168" i="1"/>
  <c r="Q168" i="1"/>
  <c r="P168" i="1"/>
  <c r="O168" i="1"/>
  <c r="N168" i="1"/>
  <c r="M168" i="1"/>
  <c r="L168" i="1"/>
  <c r="K168" i="1"/>
  <c r="J168" i="1"/>
  <c r="AO165" i="1"/>
  <c r="AO164" i="1"/>
  <c r="AO162" i="1"/>
  <c r="AO161" i="1"/>
  <c r="AM158" i="1"/>
  <c r="AL158" i="1"/>
  <c r="AK158" i="1"/>
  <c r="AJ158" i="1"/>
  <c r="AI158" i="1"/>
  <c r="AH158" i="1"/>
  <c r="AG158" i="1"/>
  <c r="AF158" i="1"/>
  <c r="AE158" i="1"/>
  <c r="AD158" i="1"/>
  <c r="AC158" i="1"/>
  <c r="AB158" i="1"/>
  <c r="AA158" i="1"/>
  <c r="Z158" i="1"/>
  <c r="Y158" i="1"/>
  <c r="X158" i="1"/>
  <c r="W158" i="1"/>
  <c r="V158" i="1"/>
  <c r="U158" i="1"/>
  <c r="T158" i="1"/>
  <c r="S158" i="1"/>
  <c r="R158" i="1"/>
  <c r="Q158" i="1"/>
  <c r="P158" i="1"/>
  <c r="O158" i="1"/>
  <c r="N158" i="1"/>
  <c r="M158" i="1"/>
  <c r="L158" i="1"/>
  <c r="K158" i="1"/>
  <c r="J158" i="1"/>
  <c r="AM157" i="1"/>
  <c r="AL157" i="1"/>
  <c r="AK157" i="1"/>
  <c r="AJ157" i="1"/>
  <c r="AI157" i="1"/>
  <c r="AH157" i="1"/>
  <c r="AG157" i="1"/>
  <c r="AF157" i="1"/>
  <c r="AE157" i="1"/>
  <c r="AD157" i="1"/>
  <c r="AC157" i="1"/>
  <c r="AB157" i="1"/>
  <c r="AA157" i="1"/>
  <c r="Z157" i="1"/>
  <c r="Y157" i="1"/>
  <c r="X157" i="1"/>
  <c r="W157" i="1"/>
  <c r="V157" i="1"/>
  <c r="U157" i="1"/>
  <c r="T157" i="1"/>
  <c r="S157" i="1"/>
  <c r="R157" i="1"/>
  <c r="Q157" i="1"/>
  <c r="P157" i="1"/>
  <c r="O157" i="1"/>
  <c r="N157" i="1"/>
  <c r="M157" i="1"/>
  <c r="L157" i="1"/>
  <c r="K157" i="1"/>
  <c r="J157" i="1"/>
  <c r="AM156" i="1"/>
  <c r="AM172" i="1" s="1"/>
  <c r="AL156" i="1"/>
  <c r="AL172" i="1" s="1"/>
  <c r="AK156" i="1"/>
  <c r="AK172" i="1" s="1"/>
  <c r="AJ156" i="1"/>
  <c r="AJ172" i="1" s="1"/>
  <c r="AI156" i="1"/>
  <c r="AI172" i="1" s="1"/>
  <c r="AH156" i="1"/>
  <c r="AH172" i="1" s="1"/>
  <c r="AG156" i="1"/>
  <c r="AG172" i="1" s="1"/>
  <c r="AF156" i="1"/>
  <c r="AF172" i="1" s="1"/>
  <c r="AE156" i="1"/>
  <c r="AE172" i="1" s="1"/>
  <c r="AD156" i="1"/>
  <c r="AD172" i="1" s="1"/>
  <c r="AC156" i="1"/>
  <c r="AC172" i="1" s="1"/>
  <c r="AB156" i="1"/>
  <c r="AB172" i="1" s="1"/>
  <c r="AA156" i="1"/>
  <c r="AA172" i="1" s="1"/>
  <c r="Z156" i="1"/>
  <c r="Z172" i="1" s="1"/>
  <c r="Y156" i="1"/>
  <c r="Y172" i="1" s="1"/>
  <c r="X156" i="1"/>
  <c r="X172" i="1" s="1"/>
  <c r="W156" i="1"/>
  <c r="W172" i="1" s="1"/>
  <c r="V156" i="1"/>
  <c r="V172" i="1" s="1"/>
  <c r="U156" i="1"/>
  <c r="U172" i="1" s="1"/>
  <c r="T156" i="1"/>
  <c r="T172" i="1" s="1"/>
  <c r="S156" i="1"/>
  <c r="S172" i="1" s="1"/>
  <c r="R156" i="1"/>
  <c r="R172" i="1" s="1"/>
  <c r="Q156" i="1"/>
  <c r="Q172" i="1" s="1"/>
  <c r="P156" i="1"/>
  <c r="P172" i="1" s="1"/>
  <c r="O156" i="1"/>
  <c r="O172" i="1" s="1"/>
  <c r="N156" i="1"/>
  <c r="N172" i="1" s="1"/>
  <c r="M156" i="1"/>
  <c r="M172" i="1" s="1"/>
  <c r="L156" i="1"/>
  <c r="L172" i="1" s="1"/>
  <c r="K156" i="1"/>
  <c r="K172" i="1" s="1"/>
  <c r="J156" i="1"/>
  <c r="J172" i="1" s="1"/>
  <c r="AM155" i="1"/>
  <c r="AL155" i="1"/>
  <c r="AK155" i="1"/>
  <c r="AJ155" i="1"/>
  <c r="AI155" i="1"/>
  <c r="AH155" i="1"/>
  <c r="AG155" i="1"/>
  <c r="AF155" i="1"/>
  <c r="AE155" i="1"/>
  <c r="AD155" i="1"/>
  <c r="AC155" i="1"/>
  <c r="AB155" i="1"/>
  <c r="AA155" i="1"/>
  <c r="Z155" i="1"/>
  <c r="Y155" i="1"/>
  <c r="X155" i="1"/>
  <c r="W155" i="1"/>
  <c r="V155" i="1"/>
  <c r="U155" i="1"/>
  <c r="T155" i="1"/>
  <c r="S155" i="1"/>
  <c r="R155" i="1"/>
  <c r="Q155" i="1"/>
  <c r="P155" i="1"/>
  <c r="O155" i="1"/>
  <c r="N155" i="1"/>
  <c r="M155" i="1"/>
  <c r="L155" i="1"/>
  <c r="K155" i="1"/>
  <c r="J155" i="1"/>
  <c r="AM154" i="1"/>
  <c r="AM171" i="1" s="1"/>
  <c r="AL154" i="1"/>
  <c r="AL171" i="1" s="1"/>
  <c r="AK154" i="1"/>
  <c r="AK171" i="1" s="1"/>
  <c r="AJ154" i="1"/>
  <c r="AJ171" i="1" s="1"/>
  <c r="AI154" i="1"/>
  <c r="AI171" i="1" s="1"/>
  <c r="AH154" i="1"/>
  <c r="AH171" i="1" s="1"/>
  <c r="AG154" i="1"/>
  <c r="AG171" i="1" s="1"/>
  <c r="AF154" i="1"/>
  <c r="AF171" i="1" s="1"/>
  <c r="AE154" i="1"/>
  <c r="AE171" i="1" s="1"/>
  <c r="AD154" i="1"/>
  <c r="AD171" i="1" s="1"/>
  <c r="AC154" i="1"/>
  <c r="AC171" i="1" s="1"/>
  <c r="AB154" i="1"/>
  <c r="AB171" i="1" s="1"/>
  <c r="AA154" i="1"/>
  <c r="AA171" i="1" s="1"/>
  <c r="Z154" i="1"/>
  <c r="Z171" i="1" s="1"/>
  <c r="Y154" i="1"/>
  <c r="Y171" i="1" s="1"/>
  <c r="X154" i="1"/>
  <c r="X171" i="1" s="1"/>
  <c r="W154" i="1"/>
  <c r="W171" i="1" s="1"/>
  <c r="V154" i="1"/>
  <c r="V171" i="1" s="1"/>
  <c r="U154" i="1"/>
  <c r="U171" i="1" s="1"/>
  <c r="T154" i="1"/>
  <c r="T171" i="1" s="1"/>
  <c r="S154" i="1"/>
  <c r="S171" i="1" s="1"/>
  <c r="R154" i="1"/>
  <c r="R171" i="1" s="1"/>
  <c r="Q154" i="1"/>
  <c r="Q171" i="1" s="1"/>
  <c r="P154" i="1"/>
  <c r="P171" i="1" s="1"/>
  <c r="O154" i="1"/>
  <c r="O171" i="1" s="1"/>
  <c r="N154" i="1"/>
  <c r="N171" i="1" s="1"/>
  <c r="M154" i="1"/>
  <c r="M171" i="1" s="1"/>
  <c r="L154" i="1"/>
  <c r="L171" i="1" s="1"/>
  <c r="K154" i="1"/>
  <c r="K171" i="1" s="1"/>
  <c r="J154" i="1"/>
  <c r="J171" i="1" s="1"/>
  <c r="AO152" i="1"/>
  <c r="AO156" i="1" s="1"/>
  <c r="AO151" i="1"/>
  <c r="AO155" i="1" s="1"/>
  <c r="AO150" i="1"/>
  <c r="AO154" i="1" s="1"/>
  <c r="AM147" i="1"/>
  <c r="AM148" i="1" s="1"/>
  <c r="AL147" i="1"/>
  <c r="AL148" i="1" s="1"/>
  <c r="AK147" i="1"/>
  <c r="AK148" i="1" s="1"/>
  <c r="AJ147" i="1"/>
  <c r="AJ148" i="1" s="1"/>
  <c r="AI147" i="1"/>
  <c r="AI148" i="1" s="1"/>
  <c r="AH147" i="1"/>
  <c r="AH148" i="1" s="1"/>
  <c r="AG147" i="1"/>
  <c r="AG148" i="1" s="1"/>
  <c r="AF147" i="1"/>
  <c r="AF148" i="1" s="1"/>
  <c r="AE147" i="1"/>
  <c r="AE148" i="1" s="1"/>
  <c r="AD147" i="1"/>
  <c r="AD148" i="1" s="1"/>
  <c r="AC147" i="1"/>
  <c r="AC148" i="1" s="1"/>
  <c r="AB147" i="1"/>
  <c r="AB148" i="1" s="1"/>
  <c r="AA147" i="1"/>
  <c r="AA148" i="1" s="1"/>
  <c r="Z147" i="1"/>
  <c r="Z148" i="1" s="1"/>
  <c r="Y147" i="1"/>
  <c r="Y148" i="1" s="1"/>
  <c r="X147" i="1"/>
  <c r="X148" i="1" s="1"/>
  <c r="W147" i="1"/>
  <c r="W148" i="1" s="1"/>
  <c r="V147" i="1"/>
  <c r="V148" i="1" s="1"/>
  <c r="U147" i="1"/>
  <c r="U148" i="1" s="1"/>
  <c r="T147" i="1"/>
  <c r="T148" i="1" s="1"/>
  <c r="S147" i="1"/>
  <c r="S148" i="1" s="1"/>
  <c r="R147" i="1"/>
  <c r="R148" i="1" s="1"/>
  <c r="Q147" i="1"/>
  <c r="Q148" i="1" s="1"/>
  <c r="P147" i="1"/>
  <c r="P148" i="1" s="1"/>
  <c r="O147" i="1"/>
  <c r="O148" i="1" s="1"/>
  <c r="N147" i="1"/>
  <c r="N148" i="1" s="1"/>
  <c r="M147" i="1"/>
  <c r="M148" i="1" s="1"/>
  <c r="L147" i="1"/>
  <c r="L148" i="1" s="1"/>
  <c r="K147" i="1"/>
  <c r="K148" i="1" s="1"/>
  <c r="J147" i="1"/>
  <c r="AO145" i="1"/>
  <c r="AO143" i="1"/>
  <c r="G143" i="1"/>
  <c r="AO142" i="1"/>
  <c r="G142" i="1"/>
  <c r="AO140" i="1"/>
  <c r="AO139" i="1"/>
  <c r="AM136" i="1"/>
  <c r="AL136" i="1"/>
  <c r="AK136" i="1"/>
  <c r="AJ136" i="1"/>
  <c r="AI136" i="1"/>
  <c r="AH136" i="1"/>
  <c r="AG136" i="1"/>
  <c r="AF136" i="1"/>
  <c r="AE136" i="1"/>
  <c r="AD136" i="1"/>
  <c r="AC136" i="1"/>
  <c r="AB136" i="1"/>
  <c r="AA136" i="1"/>
  <c r="Z136" i="1"/>
  <c r="Y136" i="1"/>
  <c r="X136" i="1"/>
  <c r="W136" i="1"/>
  <c r="V136" i="1"/>
  <c r="U136" i="1"/>
  <c r="T136" i="1"/>
  <c r="S136" i="1"/>
  <c r="R136" i="1"/>
  <c r="Q136" i="1"/>
  <c r="P136" i="1"/>
  <c r="O136" i="1"/>
  <c r="N136" i="1"/>
  <c r="M136" i="1"/>
  <c r="L136" i="1"/>
  <c r="K136" i="1"/>
  <c r="J136" i="1"/>
  <c r="AM135" i="1"/>
  <c r="AL135" i="1"/>
  <c r="AK135" i="1"/>
  <c r="AJ135" i="1"/>
  <c r="AI135" i="1"/>
  <c r="AH135" i="1"/>
  <c r="AG135" i="1"/>
  <c r="AF135" i="1"/>
  <c r="AE135" i="1"/>
  <c r="AD135" i="1"/>
  <c r="AC135" i="1"/>
  <c r="AB135" i="1"/>
  <c r="AA135" i="1"/>
  <c r="Z135" i="1"/>
  <c r="Y135" i="1"/>
  <c r="X135" i="1"/>
  <c r="W135" i="1"/>
  <c r="V135" i="1"/>
  <c r="U135" i="1"/>
  <c r="T135" i="1"/>
  <c r="S135" i="1"/>
  <c r="R135" i="1"/>
  <c r="Q135" i="1"/>
  <c r="P135" i="1"/>
  <c r="O135" i="1"/>
  <c r="N135" i="1"/>
  <c r="M135" i="1"/>
  <c r="L135" i="1"/>
  <c r="K135" i="1"/>
  <c r="J135" i="1"/>
  <c r="AM134" i="1"/>
  <c r="AL134" i="1"/>
  <c r="AK134" i="1"/>
  <c r="AJ134" i="1"/>
  <c r="AI134" i="1"/>
  <c r="AH134" i="1"/>
  <c r="AG134" i="1"/>
  <c r="AF134" i="1"/>
  <c r="AE134" i="1"/>
  <c r="AD134" i="1"/>
  <c r="AC134" i="1"/>
  <c r="AB134" i="1"/>
  <c r="AA134" i="1"/>
  <c r="Z134" i="1"/>
  <c r="Y134" i="1"/>
  <c r="X134" i="1"/>
  <c r="W134" i="1"/>
  <c r="V134" i="1"/>
  <c r="U134" i="1"/>
  <c r="T134" i="1"/>
  <c r="S134" i="1"/>
  <c r="R134" i="1"/>
  <c r="Q134" i="1"/>
  <c r="P134" i="1"/>
  <c r="O134" i="1"/>
  <c r="N134" i="1"/>
  <c r="M134" i="1"/>
  <c r="L134" i="1"/>
  <c r="K134" i="1"/>
  <c r="J134" i="1"/>
  <c r="AM133" i="1"/>
  <c r="AL133" i="1"/>
  <c r="AK133" i="1"/>
  <c r="AJ133" i="1"/>
  <c r="AI133" i="1"/>
  <c r="AH133" i="1"/>
  <c r="AG133" i="1"/>
  <c r="AF133" i="1"/>
  <c r="AE133" i="1"/>
  <c r="AD133" i="1"/>
  <c r="AC133" i="1"/>
  <c r="AB133" i="1"/>
  <c r="AA133" i="1"/>
  <c r="Z133" i="1"/>
  <c r="Y133" i="1"/>
  <c r="X133" i="1"/>
  <c r="W133" i="1"/>
  <c r="V133" i="1"/>
  <c r="U133" i="1"/>
  <c r="T133" i="1"/>
  <c r="S133" i="1"/>
  <c r="R133" i="1"/>
  <c r="Q133" i="1"/>
  <c r="P133" i="1"/>
  <c r="O133" i="1"/>
  <c r="N133" i="1"/>
  <c r="M133" i="1"/>
  <c r="L133" i="1"/>
  <c r="K133" i="1"/>
  <c r="J133" i="1"/>
  <c r="AO131" i="1"/>
  <c r="AO134" i="1" s="1"/>
  <c r="AO130" i="1"/>
  <c r="AO133" i="1" s="1"/>
  <c r="GU128" i="1"/>
  <c r="AM128" i="1"/>
  <c r="AL127" i="1"/>
  <c r="AL128" i="1" s="1"/>
  <c r="AK127" i="1"/>
  <c r="AK128" i="1" s="1"/>
  <c r="AJ127" i="1"/>
  <c r="AJ128" i="1" s="1"/>
  <c r="AI127" i="1"/>
  <c r="AI128" i="1" s="1"/>
  <c r="AH127" i="1"/>
  <c r="AH128" i="1" s="1"/>
  <c r="AG127" i="1"/>
  <c r="AG128" i="1" s="1"/>
  <c r="AF127" i="1"/>
  <c r="AF128" i="1" s="1"/>
  <c r="AE127" i="1"/>
  <c r="AE128" i="1" s="1"/>
  <c r="AD127" i="1"/>
  <c r="AD128" i="1" s="1"/>
  <c r="AC127" i="1"/>
  <c r="AC128" i="1" s="1"/>
  <c r="AB127" i="1"/>
  <c r="AB128" i="1" s="1"/>
  <c r="AA127" i="1"/>
  <c r="AA128" i="1" s="1"/>
  <c r="Z127" i="1"/>
  <c r="Z128" i="1" s="1"/>
  <c r="Y127" i="1"/>
  <c r="Y128" i="1" s="1"/>
  <c r="X127" i="1"/>
  <c r="X128" i="1" s="1"/>
  <c r="W127" i="1"/>
  <c r="W128" i="1" s="1"/>
  <c r="V127" i="1"/>
  <c r="V128" i="1" s="1"/>
  <c r="U127" i="1"/>
  <c r="U128" i="1" s="1"/>
  <c r="T127" i="1"/>
  <c r="T128" i="1" s="1"/>
  <c r="S127" i="1"/>
  <c r="S128" i="1" s="1"/>
  <c r="R127" i="1"/>
  <c r="R128" i="1" s="1"/>
  <c r="Q127" i="1"/>
  <c r="Q128" i="1" s="1"/>
  <c r="P127" i="1"/>
  <c r="P128" i="1" s="1"/>
  <c r="O127" i="1"/>
  <c r="O128" i="1" s="1"/>
  <c r="N127" i="1"/>
  <c r="N128" i="1" s="1"/>
  <c r="M127" i="1"/>
  <c r="M128" i="1" s="1"/>
  <c r="L127" i="1"/>
  <c r="L128" i="1" s="1"/>
  <c r="K127" i="1"/>
  <c r="K128" i="1" s="1"/>
  <c r="J127" i="1"/>
  <c r="J128" i="1" s="1"/>
  <c r="AM121" i="1"/>
  <c r="AL121" i="1"/>
  <c r="AK121" i="1"/>
  <c r="AJ121" i="1"/>
  <c r="AI121" i="1"/>
  <c r="AH121" i="1"/>
  <c r="AG121" i="1"/>
  <c r="AF121" i="1"/>
  <c r="AE121" i="1"/>
  <c r="AD121" i="1"/>
  <c r="AC121" i="1"/>
  <c r="AB121" i="1"/>
  <c r="AA121" i="1"/>
  <c r="Z121" i="1"/>
  <c r="Y121" i="1"/>
  <c r="X121" i="1"/>
  <c r="W121" i="1"/>
  <c r="V121" i="1"/>
  <c r="U121" i="1"/>
  <c r="T121" i="1"/>
  <c r="S121" i="1"/>
  <c r="R121" i="1"/>
  <c r="Q121" i="1"/>
  <c r="P121" i="1"/>
  <c r="O121" i="1"/>
  <c r="N121" i="1"/>
  <c r="M121" i="1"/>
  <c r="L121" i="1"/>
  <c r="K121" i="1"/>
  <c r="J121" i="1"/>
  <c r="AM120" i="1"/>
  <c r="AL120" i="1"/>
  <c r="AK120" i="1"/>
  <c r="AJ120" i="1"/>
  <c r="AI120" i="1"/>
  <c r="AH120" i="1"/>
  <c r="AG120" i="1"/>
  <c r="AF120" i="1"/>
  <c r="AE120" i="1"/>
  <c r="AD120" i="1"/>
  <c r="AC120" i="1"/>
  <c r="AB120" i="1"/>
  <c r="AA120" i="1"/>
  <c r="Z120" i="1"/>
  <c r="Y120" i="1"/>
  <c r="X120" i="1"/>
  <c r="W120" i="1"/>
  <c r="V120" i="1"/>
  <c r="U120" i="1"/>
  <c r="T120" i="1"/>
  <c r="S120" i="1"/>
  <c r="R120" i="1"/>
  <c r="Q120" i="1"/>
  <c r="P120" i="1"/>
  <c r="O120" i="1"/>
  <c r="N120" i="1"/>
  <c r="M120" i="1"/>
  <c r="L120" i="1"/>
  <c r="K120" i="1"/>
  <c r="J120" i="1"/>
  <c r="AO117" i="1"/>
  <c r="AO116" i="1"/>
  <c r="AO114" i="1"/>
  <c r="AO113" i="1"/>
  <c r="AM110" i="1"/>
  <c r="AL110" i="1"/>
  <c r="AK110" i="1"/>
  <c r="AJ110" i="1"/>
  <c r="AI110" i="1"/>
  <c r="AH110" i="1"/>
  <c r="AG110" i="1"/>
  <c r="AF110" i="1"/>
  <c r="AE110" i="1"/>
  <c r="AD110" i="1"/>
  <c r="AC110" i="1"/>
  <c r="AB110" i="1"/>
  <c r="AA110" i="1"/>
  <c r="Z110" i="1"/>
  <c r="Y110" i="1"/>
  <c r="X110" i="1"/>
  <c r="W110" i="1"/>
  <c r="V110" i="1"/>
  <c r="U110" i="1"/>
  <c r="T110" i="1"/>
  <c r="S110" i="1"/>
  <c r="R110" i="1"/>
  <c r="Q110" i="1"/>
  <c r="P110" i="1"/>
  <c r="O110" i="1"/>
  <c r="N110" i="1"/>
  <c r="M110" i="1"/>
  <c r="L110" i="1"/>
  <c r="K110" i="1"/>
  <c r="J110" i="1"/>
  <c r="AM109" i="1"/>
  <c r="AL109" i="1"/>
  <c r="AK109" i="1"/>
  <c r="AJ109" i="1"/>
  <c r="AI109" i="1"/>
  <c r="AH109" i="1"/>
  <c r="AG109" i="1"/>
  <c r="AF109" i="1"/>
  <c r="AE109" i="1"/>
  <c r="AD109" i="1"/>
  <c r="AC109" i="1"/>
  <c r="AB109" i="1"/>
  <c r="AA109" i="1"/>
  <c r="Z109" i="1"/>
  <c r="Y109" i="1"/>
  <c r="X109" i="1"/>
  <c r="W109" i="1"/>
  <c r="V109" i="1"/>
  <c r="U109" i="1"/>
  <c r="T109" i="1"/>
  <c r="S109" i="1"/>
  <c r="R109" i="1"/>
  <c r="Q109" i="1"/>
  <c r="P109" i="1"/>
  <c r="O109" i="1"/>
  <c r="N109" i="1"/>
  <c r="M109" i="1"/>
  <c r="L109" i="1"/>
  <c r="K109" i="1"/>
  <c r="AM108" i="1"/>
  <c r="AM124" i="1" s="1"/>
  <c r="AL108" i="1"/>
  <c r="AL124" i="1" s="1"/>
  <c r="AK108" i="1"/>
  <c r="AK124" i="1" s="1"/>
  <c r="AJ108" i="1"/>
  <c r="AJ124" i="1" s="1"/>
  <c r="AI108" i="1"/>
  <c r="AI124" i="1" s="1"/>
  <c r="AH108" i="1"/>
  <c r="AH124" i="1" s="1"/>
  <c r="AG108" i="1"/>
  <c r="AG124" i="1" s="1"/>
  <c r="AF108" i="1"/>
  <c r="AF124" i="1" s="1"/>
  <c r="AE108" i="1"/>
  <c r="AE124" i="1" s="1"/>
  <c r="AD108" i="1"/>
  <c r="AD124" i="1" s="1"/>
  <c r="AC108" i="1"/>
  <c r="AC124" i="1" s="1"/>
  <c r="AB108" i="1"/>
  <c r="AB124" i="1" s="1"/>
  <c r="AA108" i="1"/>
  <c r="AA124" i="1" s="1"/>
  <c r="Z108" i="1"/>
  <c r="Z124" i="1" s="1"/>
  <c r="Y108" i="1"/>
  <c r="Y124" i="1" s="1"/>
  <c r="X108" i="1"/>
  <c r="X124" i="1" s="1"/>
  <c r="W108" i="1"/>
  <c r="W124" i="1" s="1"/>
  <c r="V108" i="1"/>
  <c r="V124" i="1" s="1"/>
  <c r="U108" i="1"/>
  <c r="U124" i="1" s="1"/>
  <c r="T108" i="1"/>
  <c r="T124" i="1" s="1"/>
  <c r="S108" i="1"/>
  <c r="S124" i="1" s="1"/>
  <c r="R108" i="1"/>
  <c r="R124" i="1" s="1"/>
  <c r="Q108" i="1"/>
  <c r="Q124" i="1" s="1"/>
  <c r="P108" i="1"/>
  <c r="P124" i="1" s="1"/>
  <c r="O108" i="1"/>
  <c r="O124" i="1" s="1"/>
  <c r="N108" i="1"/>
  <c r="N124" i="1" s="1"/>
  <c r="M108" i="1"/>
  <c r="M124" i="1" s="1"/>
  <c r="L108" i="1"/>
  <c r="L124" i="1" s="1"/>
  <c r="K108" i="1"/>
  <c r="K124" i="1" s="1"/>
  <c r="J108" i="1"/>
  <c r="J124" i="1" s="1"/>
  <c r="AM107" i="1"/>
  <c r="AM123" i="1" s="1"/>
  <c r="AL107" i="1"/>
  <c r="AL123" i="1" s="1"/>
  <c r="AK107" i="1"/>
  <c r="AK123" i="1" s="1"/>
  <c r="AJ107" i="1"/>
  <c r="AJ123" i="1" s="1"/>
  <c r="AI107" i="1"/>
  <c r="AI123" i="1" s="1"/>
  <c r="AH107" i="1"/>
  <c r="AH123" i="1" s="1"/>
  <c r="AG107" i="1"/>
  <c r="AG123" i="1" s="1"/>
  <c r="AF107" i="1"/>
  <c r="AF123" i="1" s="1"/>
  <c r="AE107" i="1"/>
  <c r="AE123" i="1" s="1"/>
  <c r="AD107" i="1"/>
  <c r="AD123" i="1" s="1"/>
  <c r="AC107" i="1"/>
  <c r="AC123" i="1" s="1"/>
  <c r="AB107" i="1"/>
  <c r="AB123" i="1" s="1"/>
  <c r="AA107" i="1"/>
  <c r="AA123" i="1" s="1"/>
  <c r="Z107" i="1"/>
  <c r="Z123" i="1" s="1"/>
  <c r="Y107" i="1"/>
  <c r="Y123" i="1" s="1"/>
  <c r="X107" i="1"/>
  <c r="X123" i="1" s="1"/>
  <c r="W107" i="1"/>
  <c r="W123" i="1" s="1"/>
  <c r="V107" i="1"/>
  <c r="V123" i="1" s="1"/>
  <c r="U107" i="1"/>
  <c r="U123" i="1" s="1"/>
  <c r="T107" i="1"/>
  <c r="T123" i="1" s="1"/>
  <c r="S107" i="1"/>
  <c r="S123" i="1" s="1"/>
  <c r="R107" i="1"/>
  <c r="R123" i="1" s="1"/>
  <c r="Q107" i="1"/>
  <c r="Q123" i="1" s="1"/>
  <c r="P107" i="1"/>
  <c r="P123" i="1" s="1"/>
  <c r="O107" i="1"/>
  <c r="O123" i="1" s="1"/>
  <c r="N107" i="1"/>
  <c r="N123" i="1" s="1"/>
  <c r="M107" i="1"/>
  <c r="M123" i="1" s="1"/>
  <c r="L107" i="1"/>
  <c r="L123" i="1" s="1"/>
  <c r="K107" i="1"/>
  <c r="K123" i="1" s="1"/>
  <c r="J107" i="1"/>
  <c r="J123" i="1" s="1"/>
  <c r="AO105" i="1"/>
  <c r="AO108" i="1" s="1"/>
  <c r="AO104" i="1"/>
  <c r="AO107" i="1" s="1"/>
  <c r="W102" i="1"/>
  <c r="V102" i="1"/>
  <c r="AM101" i="1"/>
  <c r="AM102" i="1" s="1"/>
  <c r="AL101" i="1"/>
  <c r="AL102" i="1" s="1"/>
  <c r="AK101" i="1"/>
  <c r="AK102" i="1" s="1"/>
  <c r="AJ101" i="1"/>
  <c r="AJ102" i="1" s="1"/>
  <c r="AI101" i="1"/>
  <c r="AI102" i="1" s="1"/>
  <c r="AH101" i="1"/>
  <c r="AH102" i="1" s="1"/>
  <c r="AG101" i="1"/>
  <c r="AG102" i="1" s="1"/>
  <c r="AF101" i="1"/>
  <c r="AF102" i="1" s="1"/>
  <c r="AE101" i="1"/>
  <c r="AE102" i="1" s="1"/>
  <c r="AD101" i="1"/>
  <c r="AD102" i="1" s="1"/>
  <c r="AC101" i="1"/>
  <c r="AC102" i="1" s="1"/>
  <c r="AB101" i="1"/>
  <c r="AB102" i="1" s="1"/>
  <c r="AA101" i="1"/>
  <c r="AA102" i="1" s="1"/>
  <c r="Z101" i="1"/>
  <c r="Z102" i="1" s="1"/>
  <c r="Y101" i="1"/>
  <c r="Y102" i="1" s="1"/>
  <c r="X101" i="1"/>
  <c r="X102" i="1" s="1"/>
  <c r="U101" i="1"/>
  <c r="U102" i="1" s="1"/>
  <c r="T101" i="1"/>
  <c r="T102" i="1" s="1"/>
  <c r="S101" i="1"/>
  <c r="S102" i="1" s="1"/>
  <c r="R101" i="1"/>
  <c r="R102" i="1" s="1"/>
  <c r="Q101" i="1"/>
  <c r="Q102" i="1" s="1"/>
  <c r="P101" i="1"/>
  <c r="P102" i="1" s="1"/>
  <c r="O101" i="1"/>
  <c r="O102" i="1" s="1"/>
  <c r="N101" i="1"/>
  <c r="N102" i="1" s="1"/>
  <c r="M101" i="1"/>
  <c r="M102" i="1" s="1"/>
  <c r="L101" i="1"/>
  <c r="L102" i="1" s="1"/>
  <c r="K101" i="1"/>
  <c r="K102" i="1" s="1"/>
  <c r="J101" i="1"/>
  <c r="AG98" i="1"/>
  <c r="L98" i="1"/>
  <c r="AM95" i="1"/>
  <c r="AL95" i="1"/>
  <c r="AK95" i="1"/>
  <c r="AJ95" i="1"/>
  <c r="AI95" i="1"/>
  <c r="AH95" i="1"/>
  <c r="AG95" i="1"/>
  <c r="AF95" i="1"/>
  <c r="AE95" i="1"/>
  <c r="AD95" i="1"/>
  <c r="AC95" i="1"/>
  <c r="AB95" i="1"/>
  <c r="AA95" i="1"/>
  <c r="Z95" i="1"/>
  <c r="Y95" i="1"/>
  <c r="X95" i="1"/>
  <c r="W95" i="1"/>
  <c r="V95" i="1"/>
  <c r="U95" i="1"/>
  <c r="T95" i="1"/>
  <c r="S95" i="1"/>
  <c r="R95" i="1"/>
  <c r="Q95" i="1"/>
  <c r="P95" i="1"/>
  <c r="O95" i="1"/>
  <c r="N95" i="1"/>
  <c r="M95" i="1"/>
  <c r="L95" i="1"/>
  <c r="K95" i="1"/>
  <c r="J95" i="1"/>
  <c r="AM94" i="1"/>
  <c r="AL94" i="1"/>
  <c r="AK94" i="1"/>
  <c r="AJ94" i="1"/>
  <c r="AI94" i="1"/>
  <c r="AH94" i="1"/>
  <c r="AG94" i="1"/>
  <c r="AF94" i="1"/>
  <c r="AE94" i="1"/>
  <c r="AD94" i="1"/>
  <c r="AC94" i="1"/>
  <c r="AB94" i="1"/>
  <c r="AA94" i="1"/>
  <c r="Z94" i="1"/>
  <c r="Y94" i="1"/>
  <c r="X94" i="1"/>
  <c r="W94" i="1"/>
  <c r="V94" i="1"/>
  <c r="U94" i="1"/>
  <c r="T94" i="1"/>
  <c r="S94" i="1"/>
  <c r="R94" i="1"/>
  <c r="Q94" i="1"/>
  <c r="P94" i="1"/>
  <c r="O94" i="1"/>
  <c r="N94" i="1"/>
  <c r="M94" i="1"/>
  <c r="L94" i="1"/>
  <c r="K94" i="1"/>
  <c r="J94" i="1"/>
  <c r="AO91" i="1"/>
  <c r="AO90" i="1"/>
  <c r="AO88" i="1"/>
  <c r="AO87" i="1"/>
  <c r="AM84" i="1"/>
  <c r="AL84" i="1"/>
  <c r="AK84" i="1"/>
  <c r="AJ84" i="1"/>
  <c r="AI84" i="1"/>
  <c r="AH84" i="1"/>
  <c r="AG84" i="1"/>
  <c r="AF84" i="1"/>
  <c r="AE84" i="1"/>
  <c r="AD84" i="1"/>
  <c r="AC84" i="1"/>
  <c r="AB84" i="1"/>
  <c r="AA84" i="1"/>
  <c r="Z84" i="1"/>
  <c r="Y84" i="1"/>
  <c r="X84" i="1"/>
  <c r="W84" i="1"/>
  <c r="V84" i="1"/>
  <c r="U84" i="1"/>
  <c r="T84" i="1"/>
  <c r="S84" i="1"/>
  <c r="R84" i="1"/>
  <c r="Q84" i="1"/>
  <c r="P84" i="1"/>
  <c r="O84" i="1"/>
  <c r="N84" i="1"/>
  <c r="M84" i="1"/>
  <c r="L84" i="1"/>
  <c r="K84" i="1"/>
  <c r="J84" i="1"/>
  <c r="AM83" i="1"/>
  <c r="AL83" i="1"/>
  <c r="AK83" i="1"/>
  <c r="AJ83" i="1"/>
  <c r="AI83" i="1"/>
  <c r="AH83" i="1"/>
  <c r="AG83" i="1"/>
  <c r="AF83" i="1"/>
  <c r="AE83" i="1"/>
  <c r="AD83" i="1"/>
  <c r="AC83" i="1"/>
  <c r="AB83" i="1"/>
  <c r="AA83" i="1"/>
  <c r="Z83" i="1"/>
  <c r="Y83" i="1"/>
  <c r="X83" i="1"/>
  <c r="W83" i="1"/>
  <c r="V83" i="1"/>
  <c r="U83" i="1"/>
  <c r="T83" i="1"/>
  <c r="S83" i="1"/>
  <c r="R83" i="1"/>
  <c r="Q83" i="1"/>
  <c r="P83" i="1"/>
  <c r="O83" i="1"/>
  <c r="N83" i="1"/>
  <c r="M83" i="1"/>
  <c r="L83" i="1"/>
  <c r="K83" i="1"/>
  <c r="J83" i="1"/>
  <c r="AM82" i="1"/>
  <c r="AM98" i="1" s="1"/>
  <c r="AL82" i="1"/>
  <c r="AL98" i="1" s="1"/>
  <c r="AK82" i="1"/>
  <c r="AK98" i="1" s="1"/>
  <c r="AJ82" i="1"/>
  <c r="AJ98" i="1" s="1"/>
  <c r="AI82" i="1"/>
  <c r="AI98" i="1" s="1"/>
  <c r="AH82" i="1"/>
  <c r="AH98" i="1" s="1"/>
  <c r="AF82" i="1"/>
  <c r="AF98" i="1" s="1"/>
  <c r="AE82" i="1"/>
  <c r="AE98" i="1" s="1"/>
  <c r="AD82" i="1"/>
  <c r="AD98" i="1" s="1"/>
  <c r="AC82" i="1"/>
  <c r="AC98" i="1" s="1"/>
  <c r="AB82" i="1"/>
  <c r="AB98" i="1" s="1"/>
  <c r="AA82" i="1"/>
  <c r="AA98" i="1" s="1"/>
  <c r="Z82" i="1"/>
  <c r="Z98" i="1" s="1"/>
  <c r="Y82" i="1"/>
  <c r="Y98" i="1" s="1"/>
  <c r="X82" i="1"/>
  <c r="X98" i="1" s="1"/>
  <c r="W82" i="1"/>
  <c r="W98" i="1" s="1"/>
  <c r="V82" i="1"/>
  <c r="V98" i="1" s="1"/>
  <c r="U82" i="1"/>
  <c r="U98" i="1" s="1"/>
  <c r="T82" i="1"/>
  <c r="T98" i="1" s="1"/>
  <c r="S82" i="1"/>
  <c r="S98" i="1" s="1"/>
  <c r="R82" i="1"/>
  <c r="R98" i="1" s="1"/>
  <c r="Q82" i="1"/>
  <c r="Q98" i="1" s="1"/>
  <c r="P82" i="1"/>
  <c r="P98" i="1" s="1"/>
  <c r="O82" i="1"/>
  <c r="O98" i="1" s="1"/>
  <c r="N82" i="1"/>
  <c r="N98" i="1" s="1"/>
  <c r="M82" i="1"/>
  <c r="M98" i="1" s="1"/>
  <c r="K82" i="1"/>
  <c r="K98" i="1" s="1"/>
  <c r="J82" i="1"/>
  <c r="J98" i="1" s="1"/>
  <c r="AM81" i="1"/>
  <c r="AM97" i="1" s="1"/>
  <c r="AL81" i="1"/>
  <c r="AL97" i="1" s="1"/>
  <c r="AK81" i="1"/>
  <c r="AK97" i="1" s="1"/>
  <c r="AJ81" i="1"/>
  <c r="AJ97" i="1" s="1"/>
  <c r="AI81" i="1"/>
  <c r="AI97" i="1" s="1"/>
  <c r="AH81" i="1"/>
  <c r="AH97" i="1" s="1"/>
  <c r="AG81" i="1"/>
  <c r="AG97" i="1" s="1"/>
  <c r="AF81" i="1"/>
  <c r="AF97" i="1" s="1"/>
  <c r="AE81" i="1"/>
  <c r="AE97" i="1" s="1"/>
  <c r="AD81" i="1"/>
  <c r="AD97" i="1" s="1"/>
  <c r="AC81" i="1"/>
  <c r="AC97" i="1" s="1"/>
  <c r="AB81" i="1"/>
  <c r="AB97" i="1" s="1"/>
  <c r="AA81" i="1"/>
  <c r="AA97" i="1" s="1"/>
  <c r="Z81" i="1"/>
  <c r="Z97" i="1" s="1"/>
  <c r="Y81" i="1"/>
  <c r="Y97" i="1" s="1"/>
  <c r="X81" i="1"/>
  <c r="X97" i="1" s="1"/>
  <c r="W81" i="1"/>
  <c r="W97" i="1" s="1"/>
  <c r="V81" i="1"/>
  <c r="V97" i="1" s="1"/>
  <c r="U81" i="1"/>
  <c r="U97" i="1" s="1"/>
  <c r="T81" i="1"/>
  <c r="T97" i="1" s="1"/>
  <c r="S81" i="1"/>
  <c r="S97" i="1" s="1"/>
  <c r="R81" i="1"/>
  <c r="R97" i="1" s="1"/>
  <c r="Q81" i="1"/>
  <c r="Q97" i="1" s="1"/>
  <c r="P81" i="1"/>
  <c r="P97" i="1" s="1"/>
  <c r="O81" i="1"/>
  <c r="O97" i="1" s="1"/>
  <c r="N81" i="1"/>
  <c r="N97" i="1" s="1"/>
  <c r="M81" i="1"/>
  <c r="M97" i="1" s="1"/>
  <c r="L81" i="1"/>
  <c r="L97" i="1" s="1"/>
  <c r="K81" i="1"/>
  <c r="K97" i="1" s="1"/>
  <c r="J81" i="1"/>
  <c r="J97" i="1" s="1"/>
  <c r="AO79" i="1"/>
  <c r="AO82" i="1" s="1"/>
  <c r="AO78" i="1"/>
  <c r="AO81" i="1" s="1"/>
  <c r="AQ77" i="1"/>
  <c r="AO76" i="1"/>
  <c r="AA75" i="1"/>
  <c r="Z75" i="1"/>
  <c r="Y75" i="1"/>
  <c r="X75" i="1"/>
  <c r="W75" i="1"/>
  <c r="V75" i="1"/>
  <c r="P75" i="1"/>
  <c r="AM74" i="1"/>
  <c r="AM75" i="1" s="1"/>
  <c r="AL74" i="1"/>
  <c r="AL75" i="1" s="1"/>
  <c r="AK74" i="1"/>
  <c r="AK75" i="1" s="1"/>
  <c r="AJ74" i="1"/>
  <c r="AJ75" i="1" s="1"/>
  <c r="AI74" i="1"/>
  <c r="AI75" i="1" s="1"/>
  <c r="AH74" i="1"/>
  <c r="AH75" i="1" s="1"/>
  <c r="AG74" i="1"/>
  <c r="AG75" i="1" s="1"/>
  <c r="AF74" i="1"/>
  <c r="AF75" i="1" s="1"/>
  <c r="AE74" i="1"/>
  <c r="AE75" i="1" s="1"/>
  <c r="AD74" i="1"/>
  <c r="AD75" i="1" s="1"/>
  <c r="AC74" i="1"/>
  <c r="AC75" i="1" s="1"/>
  <c r="AB74" i="1"/>
  <c r="AB75" i="1" s="1"/>
  <c r="U74" i="1"/>
  <c r="U75" i="1" s="1"/>
  <c r="T74" i="1"/>
  <c r="T75" i="1" s="1"/>
  <c r="S74" i="1"/>
  <c r="S75" i="1" s="1"/>
  <c r="R74" i="1"/>
  <c r="R75" i="1" s="1"/>
  <c r="Q74" i="1"/>
  <c r="Q75" i="1" s="1"/>
  <c r="O74" i="1"/>
  <c r="O75" i="1" s="1"/>
  <c r="N74" i="1"/>
  <c r="N75" i="1" s="1"/>
  <c r="M74" i="1"/>
  <c r="M75" i="1" s="1"/>
  <c r="L74" i="1"/>
  <c r="L75" i="1" s="1"/>
  <c r="K74" i="1"/>
  <c r="K75" i="1" s="1"/>
  <c r="J74" i="1"/>
  <c r="J75" i="1" s="1"/>
  <c r="AO73" i="1"/>
  <c r="AO72" i="1"/>
  <c r="PV71" i="1"/>
  <c r="GU70" i="1"/>
  <c r="AM70" i="1"/>
  <c r="AL70" i="1"/>
  <c r="AK70" i="1"/>
  <c r="AJ70" i="1"/>
  <c r="AI70" i="1"/>
  <c r="AH70" i="1"/>
  <c r="AG70" i="1"/>
  <c r="AF70" i="1"/>
  <c r="AE70" i="1"/>
  <c r="AD70" i="1"/>
  <c r="AC70" i="1"/>
  <c r="AB70" i="1"/>
  <c r="AA70" i="1"/>
  <c r="Z70" i="1"/>
  <c r="Y70" i="1"/>
  <c r="X70" i="1"/>
  <c r="W70" i="1"/>
  <c r="V70" i="1"/>
  <c r="U70" i="1"/>
  <c r="T70" i="1"/>
  <c r="S70" i="1"/>
  <c r="Q70" i="1"/>
  <c r="P70" i="1"/>
  <c r="N70" i="1"/>
  <c r="M70" i="1"/>
  <c r="L70" i="1"/>
  <c r="J70" i="1"/>
  <c r="AO69" i="1"/>
  <c r="AM68" i="1"/>
  <c r="AL68" i="1"/>
  <c r="AK68" i="1"/>
  <c r="AJ68" i="1"/>
  <c r="AI68" i="1"/>
  <c r="AG68" i="1"/>
  <c r="AF68" i="1"/>
  <c r="AE68" i="1"/>
  <c r="AD68" i="1"/>
  <c r="AC68" i="1"/>
  <c r="AA68" i="1"/>
  <c r="Z68" i="1"/>
  <c r="Y68" i="1"/>
  <c r="X68" i="1"/>
  <c r="V68" i="1"/>
  <c r="U68" i="1"/>
  <c r="T68" i="1"/>
  <c r="S68" i="1"/>
  <c r="Q68" i="1"/>
  <c r="P68" i="1"/>
  <c r="N68" i="1"/>
  <c r="M68" i="1"/>
  <c r="L68" i="1"/>
  <c r="J68" i="1"/>
  <c r="AM67" i="1"/>
  <c r="AL67" i="1"/>
  <c r="AK67" i="1"/>
  <c r="AJ67" i="1"/>
  <c r="AI67" i="1"/>
  <c r="AH67" i="1"/>
  <c r="AG67" i="1"/>
  <c r="AF67" i="1"/>
  <c r="AE67" i="1"/>
  <c r="AD67" i="1"/>
  <c r="AC67" i="1"/>
  <c r="AA67" i="1"/>
  <c r="Z67" i="1"/>
  <c r="Y67" i="1"/>
  <c r="X67" i="1"/>
  <c r="W67" i="1"/>
  <c r="V67" i="1"/>
  <c r="U67" i="1"/>
  <c r="T67" i="1"/>
  <c r="GU67" i="1" s="1"/>
  <c r="S67" i="1"/>
  <c r="R67" i="1"/>
  <c r="Q67" i="1"/>
  <c r="P67" i="1"/>
  <c r="O67" i="1"/>
  <c r="N67" i="1"/>
  <c r="M67" i="1"/>
  <c r="L67" i="1"/>
  <c r="K67" i="1"/>
  <c r="J67" i="1"/>
  <c r="AO66" i="1"/>
  <c r="AM65" i="1"/>
  <c r="AL65" i="1"/>
  <c r="AK65" i="1"/>
  <c r="AJ65" i="1"/>
  <c r="AI65" i="1"/>
  <c r="AH65" i="1"/>
  <c r="AG65" i="1"/>
  <c r="AF65" i="1"/>
  <c r="AE65" i="1"/>
  <c r="AD65" i="1"/>
  <c r="AC65" i="1"/>
  <c r="AB65" i="1"/>
  <c r="AA65" i="1"/>
  <c r="Z65" i="1"/>
  <c r="Y65" i="1"/>
  <c r="X65" i="1"/>
  <c r="W65" i="1"/>
  <c r="V65" i="1"/>
  <c r="U65" i="1"/>
  <c r="T65" i="1"/>
  <c r="S65" i="1"/>
  <c r="Q65" i="1"/>
  <c r="P65" i="1"/>
  <c r="N65" i="1"/>
  <c r="M65" i="1"/>
  <c r="L65" i="1"/>
  <c r="J65" i="1"/>
  <c r="R64" i="1"/>
  <c r="O64" i="1"/>
  <c r="O65" i="1" s="1"/>
  <c r="K64" i="1"/>
  <c r="K65" i="1" s="1"/>
  <c r="AM63" i="1"/>
  <c r="AL63" i="1"/>
  <c r="AK63" i="1"/>
  <c r="AJ63" i="1"/>
  <c r="AI63" i="1"/>
  <c r="AH63" i="1"/>
  <c r="AG63" i="1"/>
  <c r="AF63" i="1"/>
  <c r="AE63" i="1"/>
  <c r="AD63" i="1"/>
  <c r="AC63" i="1"/>
  <c r="AA63" i="1"/>
  <c r="Z63" i="1"/>
  <c r="Y63" i="1"/>
  <c r="X63" i="1"/>
  <c r="W63" i="1"/>
  <c r="V63" i="1"/>
  <c r="GU63" i="1" s="1"/>
  <c r="U63" i="1"/>
  <c r="T63" i="1"/>
  <c r="S63" i="1"/>
  <c r="Q63" i="1"/>
  <c r="P63" i="1"/>
  <c r="N63" i="1"/>
  <c r="M63" i="1"/>
  <c r="L63" i="1"/>
  <c r="J63" i="1"/>
  <c r="R62" i="1"/>
  <c r="R63" i="1" s="1"/>
  <c r="O62" i="1"/>
  <c r="O63" i="1" s="1"/>
  <c r="K62" i="1"/>
  <c r="PY60" i="1"/>
  <c r="PY59" i="1" s="1"/>
  <c r="GU60" i="1"/>
  <c r="V60" i="1"/>
  <c r="V59" i="1"/>
  <c r="AM57" i="1"/>
  <c r="AL57" i="1"/>
  <c r="AK57" i="1"/>
  <c r="AJ57" i="1"/>
  <c r="AI57" i="1"/>
  <c r="AH57" i="1"/>
  <c r="PW54" i="1"/>
  <c r="PY54" i="1" s="1"/>
  <c r="AM54" i="1"/>
  <c r="AL54" i="1"/>
  <c r="AK54" i="1"/>
  <c r="AJ54" i="1"/>
  <c r="AI54" i="1"/>
  <c r="AH54" i="1"/>
  <c r="AG54" i="1"/>
  <c r="AF54" i="1"/>
  <c r="AE54" i="1"/>
  <c r="AD54" i="1"/>
  <c r="AC54" i="1"/>
  <c r="AA54" i="1"/>
  <c r="Z54" i="1"/>
  <c r="Y54" i="1"/>
  <c r="X54" i="1"/>
  <c r="V54" i="1"/>
  <c r="U54" i="1"/>
  <c r="T54" i="1"/>
  <c r="S54" i="1"/>
  <c r="R54" i="1"/>
  <c r="Q54" i="1"/>
  <c r="P54" i="1"/>
  <c r="O54" i="1"/>
  <c r="N54" i="1"/>
  <c r="M54" i="1"/>
  <c r="L54" i="1"/>
  <c r="K54" i="1"/>
  <c r="J54" i="1"/>
  <c r="PY53" i="1"/>
  <c r="AM53" i="1"/>
  <c r="AL53" i="1"/>
  <c r="AK53" i="1"/>
  <c r="AJ53" i="1"/>
  <c r="AI53" i="1"/>
  <c r="AG53" i="1"/>
  <c r="AF53" i="1"/>
  <c r="AE53" i="1"/>
  <c r="AD53" i="1"/>
  <c r="AC53" i="1"/>
  <c r="AA53" i="1"/>
  <c r="Z53" i="1"/>
  <c r="Y53" i="1"/>
  <c r="X53" i="1"/>
  <c r="W53" i="1"/>
  <c r="V53" i="1"/>
  <c r="U53" i="1"/>
  <c r="T53" i="1"/>
  <c r="S53" i="1"/>
  <c r="Q53" i="1"/>
  <c r="P53" i="1"/>
  <c r="N53" i="1"/>
  <c r="M53" i="1"/>
  <c r="L53" i="1"/>
  <c r="J53" i="1"/>
  <c r="EN51" i="1"/>
  <c r="CC51" i="1"/>
  <c r="AO51" i="1"/>
  <c r="CC50" i="1"/>
  <c r="AO50" i="1"/>
  <c r="AO49" i="1"/>
  <c r="AM48" i="1"/>
  <c r="AL48" i="1"/>
  <c r="AL59" i="1" s="1"/>
  <c r="AK48" i="1"/>
  <c r="AK60" i="1" s="1"/>
  <c r="AJ48" i="1"/>
  <c r="AI48" i="1"/>
  <c r="AH48" i="1"/>
  <c r="AG48" i="1"/>
  <c r="AG59" i="1" s="1"/>
  <c r="AF48" i="1"/>
  <c r="AE48" i="1"/>
  <c r="AD48" i="1"/>
  <c r="AD60" i="1" s="1"/>
  <c r="AC48" i="1"/>
  <c r="AC60" i="1" s="1"/>
  <c r="AB48" i="1"/>
  <c r="AA48" i="1"/>
  <c r="Z48" i="1"/>
  <c r="Z60" i="1" s="1"/>
  <c r="Y48" i="1"/>
  <c r="Y60" i="1" s="1"/>
  <c r="X48" i="1"/>
  <c r="W48" i="1"/>
  <c r="U48" i="1"/>
  <c r="U59" i="1" s="1"/>
  <c r="T48" i="1"/>
  <c r="S48" i="1"/>
  <c r="R48" i="1"/>
  <c r="R60" i="1" s="1"/>
  <c r="Q48" i="1"/>
  <c r="Q60" i="1" s="1"/>
  <c r="P48" i="1"/>
  <c r="O48" i="1"/>
  <c r="N48" i="1"/>
  <c r="N60" i="1" s="1"/>
  <c r="M48" i="1"/>
  <c r="M60" i="1" s="1"/>
  <c r="L48" i="1"/>
  <c r="K48" i="1"/>
  <c r="J48" i="1"/>
  <c r="J60" i="1" s="1"/>
  <c r="H48" i="1"/>
  <c r="AO47" i="1"/>
  <c r="AO45" i="1"/>
  <c r="AO44" i="1"/>
  <c r="AM43" i="1"/>
  <c r="AL43" i="1"/>
  <c r="AK43" i="1"/>
  <c r="AJ43" i="1"/>
  <c r="AI43" i="1"/>
  <c r="AH43" i="1"/>
  <c r="AG43" i="1"/>
  <c r="AG58" i="1" s="1"/>
  <c r="AF43" i="1"/>
  <c r="AF58" i="1" s="1"/>
  <c r="AE43" i="1"/>
  <c r="AE58" i="1" s="1"/>
  <c r="AD43" i="1"/>
  <c r="AD58" i="1" s="1"/>
  <c r="AC43" i="1"/>
  <c r="AC57" i="1" s="1"/>
  <c r="AB43" i="1"/>
  <c r="AB57" i="1" s="1"/>
  <c r="AA43" i="1"/>
  <c r="AA58" i="1" s="1"/>
  <c r="Z43" i="1"/>
  <c r="Z58" i="1" s="1"/>
  <c r="Y43" i="1"/>
  <c r="Y58" i="1" s="1"/>
  <c r="X43" i="1"/>
  <c r="X58" i="1" s="1"/>
  <c r="W43" i="1"/>
  <c r="W58" i="1" s="1"/>
  <c r="V43" i="1"/>
  <c r="V58" i="1" s="1"/>
  <c r="U43" i="1"/>
  <c r="U57" i="1" s="1"/>
  <c r="T43" i="1"/>
  <c r="T57" i="1" s="1"/>
  <c r="S43" i="1"/>
  <c r="S58" i="1" s="1"/>
  <c r="R43" i="1"/>
  <c r="R58" i="1" s="1"/>
  <c r="Q43" i="1"/>
  <c r="Q58" i="1" s="1"/>
  <c r="P43" i="1"/>
  <c r="P58" i="1" s="1"/>
  <c r="O43" i="1"/>
  <c r="O58" i="1" s="1"/>
  <c r="N43" i="1"/>
  <c r="N58" i="1" s="1"/>
  <c r="M43" i="1"/>
  <c r="M57" i="1" s="1"/>
  <c r="L43" i="1"/>
  <c r="L57" i="1" s="1"/>
  <c r="K43" i="1"/>
  <c r="K57" i="1" s="1"/>
  <c r="J43" i="1"/>
  <c r="J57" i="1" s="1"/>
  <c r="H43" i="1"/>
  <c r="EP42" i="1"/>
  <c r="EO42" i="1"/>
  <c r="EN42" i="1"/>
  <c r="AO42" i="1"/>
  <c r="QM41" i="1"/>
  <c r="EP41" i="1"/>
  <c r="EO41" i="1"/>
  <c r="EN41" i="1"/>
  <c r="QM40" i="1"/>
  <c r="CC40" i="1"/>
  <c r="AR40" i="1"/>
  <c r="R40" i="1"/>
  <c r="R38" i="1" s="1"/>
  <c r="O40" i="1"/>
  <c r="O38" i="1" s="1"/>
  <c r="O55" i="1" s="1"/>
  <c r="K40" i="1"/>
  <c r="AFN39" i="1"/>
  <c r="QM39" i="1"/>
  <c r="PV39" i="1"/>
  <c r="PV41" i="1" s="1"/>
  <c r="CC39" i="1"/>
  <c r="AR39" i="1"/>
  <c r="AR38" i="1" s="1"/>
  <c r="AG39" i="1"/>
  <c r="AO39" i="1" s="1"/>
  <c r="AFN38" i="1"/>
  <c r="AM38" i="1"/>
  <c r="AM55" i="1" s="1"/>
  <c r="AL38" i="1"/>
  <c r="AL55" i="1" s="1"/>
  <c r="AK38" i="1"/>
  <c r="AK55" i="1" s="1"/>
  <c r="AJ38" i="1"/>
  <c r="AJ55" i="1" s="1"/>
  <c r="AI38" i="1"/>
  <c r="AI55" i="1" s="1"/>
  <c r="AH38" i="1"/>
  <c r="AH55" i="1" s="1"/>
  <c r="AG38" i="1"/>
  <c r="AG55" i="1" s="1"/>
  <c r="AF38" i="1"/>
  <c r="AF55" i="1" s="1"/>
  <c r="AE38" i="1"/>
  <c r="AE55" i="1" s="1"/>
  <c r="AD38" i="1"/>
  <c r="AD55" i="1" s="1"/>
  <c r="AC38" i="1"/>
  <c r="AC55" i="1" s="1"/>
  <c r="AB38" i="1"/>
  <c r="AB55" i="1" s="1"/>
  <c r="AA38" i="1"/>
  <c r="AA55" i="1" s="1"/>
  <c r="Z38" i="1"/>
  <c r="Z55" i="1" s="1"/>
  <c r="Y38" i="1"/>
  <c r="Y55" i="1" s="1"/>
  <c r="X38" i="1"/>
  <c r="X55" i="1" s="1"/>
  <c r="W38" i="1"/>
  <c r="W55" i="1" s="1"/>
  <c r="V38" i="1"/>
  <c r="V55" i="1" s="1"/>
  <c r="U38" i="1"/>
  <c r="U55" i="1" s="1"/>
  <c r="T38" i="1"/>
  <c r="T55" i="1" s="1"/>
  <c r="S38" i="1"/>
  <c r="S55" i="1" s="1"/>
  <c r="Q38" i="1"/>
  <c r="Q55" i="1" s="1"/>
  <c r="P38" i="1"/>
  <c r="P55" i="1" s="1"/>
  <c r="N38" i="1"/>
  <c r="N55" i="1" s="1"/>
  <c r="M38" i="1"/>
  <c r="M55" i="1" s="1"/>
  <c r="L38" i="1"/>
  <c r="L55" i="1" s="1"/>
  <c r="J38" i="1"/>
  <c r="J56" i="1" s="1"/>
  <c r="H38" i="1"/>
  <c r="AFN36" i="1"/>
  <c r="AFY36" i="1" s="1"/>
  <c r="QM36" i="1"/>
  <c r="CC36" i="1"/>
  <c r="W36" i="1"/>
  <c r="W68" i="1" s="1"/>
  <c r="H36" i="1"/>
  <c r="AFN35" i="1"/>
  <c r="AFY35" i="1" s="1"/>
  <c r="CC35" i="1"/>
  <c r="AH35" i="1"/>
  <c r="AH53" i="1" s="1"/>
  <c r="R35" i="1"/>
  <c r="R68" i="1" s="1"/>
  <c r="O35" i="1"/>
  <c r="O68" i="1" s="1"/>
  <c r="K35" i="1"/>
  <c r="K68" i="1" s="1"/>
  <c r="H35" i="1"/>
  <c r="AIC33" i="1"/>
  <c r="PY33" i="1"/>
  <c r="AO33" i="1"/>
  <c r="AIC32" i="1"/>
  <c r="AIC35" i="1" s="1"/>
  <c r="PY32" i="1"/>
  <c r="EP32" i="1"/>
  <c r="EO32" i="1"/>
  <c r="EN32" i="1"/>
  <c r="AY32" i="1"/>
  <c r="AZ32" i="1" s="1"/>
  <c r="AO32" i="1"/>
  <c r="AY31" i="1"/>
  <c r="AZ31" i="1" s="1"/>
  <c r="AO31" i="1"/>
  <c r="AO30" i="1"/>
  <c r="AFL29" i="1"/>
  <c r="AFL38" i="1" s="1"/>
  <c r="AB29" i="1"/>
  <c r="AB54" i="1" s="1"/>
  <c r="AO28" i="1"/>
  <c r="AM25" i="1"/>
  <c r="AL25" i="1"/>
  <c r="AK25" i="1"/>
  <c r="AJ25" i="1"/>
  <c r="AI25" i="1"/>
  <c r="AH25" i="1"/>
  <c r="AG25" i="1"/>
  <c r="AF25" i="1"/>
  <c r="AE25" i="1"/>
  <c r="AD25" i="1"/>
  <c r="AC25" i="1"/>
  <c r="AB25" i="1"/>
  <c r="AA25" i="1"/>
  <c r="Z25" i="1"/>
  <c r="Y25" i="1"/>
  <c r="X25" i="1"/>
  <c r="W25" i="1"/>
  <c r="V25" i="1"/>
  <c r="U25" i="1"/>
  <c r="T25" i="1"/>
  <c r="S25" i="1"/>
  <c r="R25" i="1"/>
  <c r="Q25" i="1"/>
  <c r="P25" i="1"/>
  <c r="O25" i="1"/>
  <c r="N25" i="1"/>
  <c r="M25" i="1"/>
  <c r="L25" i="1"/>
  <c r="K25" i="1"/>
  <c r="J25" i="1"/>
  <c r="AM24" i="1"/>
  <c r="AL24" i="1"/>
  <c r="AK24" i="1"/>
  <c r="AJ24" i="1"/>
  <c r="AI24" i="1"/>
  <c r="AH24" i="1"/>
  <c r="AG24" i="1"/>
  <c r="AF24" i="1"/>
  <c r="AE24" i="1"/>
  <c r="AD24" i="1"/>
  <c r="AC24" i="1"/>
  <c r="AB24" i="1"/>
  <c r="AA24" i="1"/>
  <c r="Z24" i="1"/>
  <c r="Y24" i="1"/>
  <c r="X24" i="1"/>
  <c r="W24" i="1"/>
  <c r="V24" i="1"/>
  <c r="U24" i="1"/>
  <c r="T24" i="1"/>
  <c r="S24" i="1"/>
  <c r="R24" i="1"/>
  <c r="Q24" i="1"/>
  <c r="P24" i="1"/>
  <c r="O24" i="1"/>
  <c r="N24" i="1"/>
  <c r="M24" i="1"/>
  <c r="L24" i="1"/>
  <c r="K24" i="1"/>
  <c r="J24" i="1"/>
  <c r="AO23" i="1"/>
  <c r="AO22" i="1"/>
  <c r="AM20" i="1"/>
  <c r="AL20" i="1"/>
  <c r="AK20" i="1"/>
  <c r="AJ20" i="1"/>
  <c r="AI20" i="1"/>
  <c r="AH20" i="1"/>
  <c r="AG20" i="1"/>
  <c r="AF20" i="1"/>
  <c r="AE20" i="1"/>
  <c r="AD20" i="1"/>
  <c r="AC20" i="1"/>
  <c r="AB20" i="1"/>
  <c r="AA20" i="1"/>
  <c r="Z20" i="1"/>
  <c r="Y20" i="1"/>
  <c r="X20" i="1"/>
  <c r="W20" i="1"/>
  <c r="V20" i="1"/>
  <c r="U20" i="1"/>
  <c r="T20" i="1"/>
  <c r="S20" i="1"/>
  <c r="R20" i="1"/>
  <c r="Q20" i="1"/>
  <c r="P20" i="1"/>
  <c r="O20" i="1"/>
  <c r="N20" i="1"/>
  <c r="M20" i="1"/>
  <c r="L20" i="1"/>
  <c r="K20" i="1"/>
  <c r="J20" i="1"/>
  <c r="AO19" i="1"/>
  <c r="AO18" i="1"/>
  <c r="AM16" i="1"/>
  <c r="AL16" i="1"/>
  <c r="AK16" i="1"/>
  <c r="AJ16" i="1"/>
  <c r="AI16" i="1"/>
  <c r="AH16" i="1"/>
  <c r="AG16" i="1"/>
  <c r="AF16" i="1"/>
  <c r="AE16" i="1"/>
  <c r="AD16" i="1"/>
  <c r="AC16" i="1"/>
  <c r="AB16" i="1"/>
  <c r="AA16" i="1"/>
  <c r="Z16" i="1"/>
  <c r="Y16" i="1"/>
  <c r="X16" i="1"/>
  <c r="W16" i="1"/>
  <c r="V16" i="1"/>
  <c r="U16" i="1"/>
  <c r="T16" i="1"/>
  <c r="S16" i="1"/>
  <c r="R16" i="1"/>
  <c r="Q16" i="1"/>
  <c r="P16" i="1"/>
  <c r="O16" i="1"/>
  <c r="N16" i="1"/>
  <c r="M16" i="1"/>
  <c r="L16" i="1"/>
  <c r="K16" i="1"/>
  <c r="J16" i="1"/>
  <c r="AO15" i="1"/>
  <c r="AO14" i="1"/>
  <c r="AM12" i="1"/>
  <c r="AL12" i="1"/>
  <c r="AK12" i="1"/>
  <c r="AJ12" i="1"/>
  <c r="AI12" i="1"/>
  <c r="AH12" i="1"/>
  <c r="AG12" i="1"/>
  <c r="AF12" i="1"/>
  <c r="AE12" i="1"/>
  <c r="AD12" i="1"/>
  <c r="AC12" i="1"/>
  <c r="AB12" i="1"/>
  <c r="AA12" i="1"/>
  <c r="Z12" i="1"/>
  <c r="Y12" i="1"/>
  <c r="X12" i="1"/>
  <c r="W12" i="1"/>
  <c r="V12" i="1"/>
  <c r="U12" i="1"/>
  <c r="T12" i="1"/>
  <c r="S12" i="1"/>
  <c r="R12" i="1"/>
  <c r="Q12" i="1"/>
  <c r="P12" i="1"/>
  <c r="O12" i="1"/>
  <c r="N12" i="1"/>
  <c r="M12" i="1"/>
  <c r="L12" i="1"/>
  <c r="K12" i="1"/>
  <c r="J12" i="1"/>
  <c r="AO11" i="1"/>
  <c r="AO10" i="1"/>
  <c r="AM8" i="1"/>
  <c r="AL8" i="1"/>
  <c r="AK8" i="1"/>
  <c r="AJ8" i="1"/>
  <c r="AI8" i="1"/>
  <c r="AH8" i="1"/>
  <c r="AG8" i="1"/>
  <c r="AF8" i="1"/>
  <c r="AE8" i="1"/>
  <c r="AD8" i="1"/>
  <c r="AC8" i="1"/>
  <c r="AB8" i="1"/>
  <c r="AA8" i="1"/>
  <c r="Z8" i="1"/>
  <c r="Y8" i="1"/>
  <c r="X8" i="1"/>
  <c r="W8" i="1"/>
  <c r="V8" i="1"/>
  <c r="U8" i="1"/>
  <c r="T8" i="1"/>
  <c r="S8" i="1"/>
  <c r="R8" i="1"/>
  <c r="Q8" i="1"/>
  <c r="P8" i="1"/>
  <c r="O8" i="1"/>
  <c r="N8" i="1"/>
  <c r="M8" i="1"/>
  <c r="L8" i="1"/>
  <c r="K8" i="1"/>
  <c r="J8" i="1"/>
  <c r="AO7" i="1"/>
  <c r="AO6" i="1"/>
  <c r="K70" i="1" l="1"/>
  <c r="T175" i="1"/>
  <c r="T176" i="1" s="1"/>
  <c r="AQ213" i="1"/>
  <c r="QM43" i="1"/>
  <c r="PZ37" i="1" s="1"/>
  <c r="QM37" i="1" s="1"/>
  <c r="AO172" i="1"/>
  <c r="AH175" i="1"/>
  <c r="AH176" i="1" s="1"/>
  <c r="P175" i="1"/>
  <c r="P176" i="1" s="1"/>
  <c r="R175" i="1"/>
  <c r="R176" i="1" s="1"/>
  <c r="AO197" i="1"/>
  <c r="AQ197" i="1" s="1"/>
  <c r="AQ198" i="1" s="1"/>
  <c r="AQ199" i="1" s="1"/>
  <c r="U60" i="1"/>
  <c r="K63" i="1"/>
  <c r="Z175" i="1"/>
  <c r="Z176" i="1" s="1"/>
  <c r="AO12" i="1"/>
  <c r="K53" i="1"/>
  <c r="W54" i="1"/>
  <c r="T58" i="1"/>
  <c r="AO124" i="1"/>
  <c r="V175" i="1"/>
  <c r="V176" i="1" s="1"/>
  <c r="AL56" i="1"/>
  <c r="M59" i="1"/>
  <c r="AO168" i="1"/>
  <c r="AC59" i="1"/>
  <c r="AQ146" i="1"/>
  <c r="N175" i="1"/>
  <c r="N176" i="1" s="1"/>
  <c r="O53" i="1"/>
  <c r="AD175" i="1"/>
  <c r="AD176" i="1" s="1"/>
  <c r="R70" i="1"/>
  <c r="AO8" i="1"/>
  <c r="AO25" i="1"/>
  <c r="AQ25" i="1" s="1"/>
  <c r="AO20" i="1"/>
  <c r="AO24" i="1"/>
  <c r="AO84" i="1"/>
  <c r="AO101" i="1"/>
  <c r="AO147" i="1"/>
  <c r="AS40" i="1"/>
  <c r="AO16" i="1"/>
  <c r="AB58" i="1"/>
  <c r="AO158" i="1"/>
  <c r="AO36" i="1"/>
  <c r="AKC29" i="1" s="1"/>
  <c r="AKD29" i="1" s="1"/>
  <c r="AO40" i="1"/>
  <c r="AT40" i="1" s="1"/>
  <c r="N56" i="1"/>
  <c r="AG60" i="1"/>
  <c r="AO75" i="1"/>
  <c r="AO83" i="1"/>
  <c r="AO128" i="1"/>
  <c r="AO136" i="1"/>
  <c r="AO157" i="1"/>
  <c r="S175" i="1"/>
  <c r="S176" i="1" s="1"/>
  <c r="AS39" i="1"/>
  <c r="AO95" i="1"/>
  <c r="AZ33" i="1"/>
  <c r="AZ36" i="1" s="1"/>
  <c r="AZ38" i="1" s="1"/>
  <c r="O56" i="1"/>
  <c r="V56" i="1"/>
  <c r="AE175" i="1"/>
  <c r="AE176" i="1" s="1"/>
  <c r="AO188" i="1"/>
  <c r="Z56" i="1"/>
  <c r="J102" i="1"/>
  <c r="AO102" i="1" s="1"/>
  <c r="AO100" i="1" s="1"/>
  <c r="AF175" i="1"/>
  <c r="AF176" i="1" s="1"/>
  <c r="AO181" i="1"/>
  <c r="AO194" i="1"/>
  <c r="AD56" i="1"/>
  <c r="AK59" i="1"/>
  <c r="AO110" i="1"/>
  <c r="L175" i="1"/>
  <c r="L176" i="1" s="1"/>
  <c r="W175" i="1"/>
  <c r="W176" i="1" s="1"/>
  <c r="AH56" i="1"/>
  <c r="L58" i="1"/>
  <c r="AO94" i="1"/>
  <c r="AO109" i="1"/>
  <c r="AO135" i="1"/>
  <c r="J148" i="1"/>
  <c r="X175" i="1"/>
  <c r="X176" i="1" s="1"/>
  <c r="AI175" i="1"/>
  <c r="AI176" i="1" s="1"/>
  <c r="AO182" i="1"/>
  <c r="AIC36" i="1"/>
  <c r="AIC37" i="1"/>
  <c r="AKC32" i="1"/>
  <c r="AKD32" i="1" s="1"/>
  <c r="AT39" i="1"/>
  <c r="R56" i="1"/>
  <c r="R55" i="1"/>
  <c r="X60" i="1"/>
  <c r="X59" i="1"/>
  <c r="AO29" i="1"/>
  <c r="PY31" i="1"/>
  <c r="PZ33" i="1" s="1"/>
  <c r="AO35" i="1"/>
  <c r="AO43" i="1"/>
  <c r="AO57" i="1" s="1"/>
  <c r="L60" i="1"/>
  <c r="L59" i="1"/>
  <c r="P60" i="1"/>
  <c r="P59" i="1"/>
  <c r="T60" i="1"/>
  <c r="T59" i="1"/>
  <c r="AB53" i="1"/>
  <c r="J55" i="1"/>
  <c r="S56" i="1"/>
  <c r="W56" i="1"/>
  <c r="AA56" i="1"/>
  <c r="AE56" i="1"/>
  <c r="AI56" i="1"/>
  <c r="AM56" i="1"/>
  <c r="P57" i="1"/>
  <c r="X57" i="1"/>
  <c r="AF57" i="1"/>
  <c r="M58" i="1"/>
  <c r="U58" i="1"/>
  <c r="AC58" i="1"/>
  <c r="AK58" i="1"/>
  <c r="N59" i="1"/>
  <c r="AD59" i="1"/>
  <c r="O70" i="1"/>
  <c r="AO62" i="1"/>
  <c r="AH68" i="1"/>
  <c r="AO123" i="1"/>
  <c r="AF60" i="1"/>
  <c r="AF59" i="1"/>
  <c r="K38" i="1"/>
  <c r="K55" i="1" s="1"/>
  <c r="AFL39" i="1"/>
  <c r="AH60" i="1"/>
  <c r="AH58" i="1"/>
  <c r="AL60" i="1"/>
  <c r="AL58" i="1"/>
  <c r="L56" i="1"/>
  <c r="P56" i="1"/>
  <c r="T56" i="1"/>
  <c r="X56" i="1"/>
  <c r="AB56" i="1"/>
  <c r="AF56" i="1"/>
  <c r="AJ56" i="1"/>
  <c r="Q57" i="1"/>
  <c r="Y57" i="1"/>
  <c r="AG57" i="1"/>
  <c r="J58" i="1"/>
  <c r="Q59" i="1"/>
  <c r="Y59" i="1"/>
  <c r="PY63" i="1"/>
  <c r="PY61" i="1"/>
  <c r="R65" i="1"/>
  <c r="AO97" i="1"/>
  <c r="K60" i="1"/>
  <c r="K59" i="1"/>
  <c r="S60" i="1"/>
  <c r="S59" i="1"/>
  <c r="AJ60" i="1"/>
  <c r="AJ59" i="1"/>
  <c r="W60" i="1"/>
  <c r="W59" i="1"/>
  <c r="AA60" i="1"/>
  <c r="AA59" i="1"/>
  <c r="AE60" i="1"/>
  <c r="AE59" i="1"/>
  <c r="AI58" i="1"/>
  <c r="AI60" i="1"/>
  <c r="AI59" i="1"/>
  <c r="AM58" i="1"/>
  <c r="AM60" i="1"/>
  <c r="AM59" i="1"/>
  <c r="R53" i="1"/>
  <c r="M56" i="1"/>
  <c r="Q56" i="1"/>
  <c r="U56" i="1"/>
  <c r="Y56" i="1"/>
  <c r="AC56" i="1"/>
  <c r="AG56" i="1"/>
  <c r="AK56" i="1"/>
  <c r="N57" i="1"/>
  <c r="R57" i="1"/>
  <c r="V57" i="1"/>
  <c r="Z57" i="1"/>
  <c r="AD57" i="1"/>
  <c r="K58" i="1"/>
  <c r="J59" i="1"/>
  <c r="R59" i="1"/>
  <c r="Z59" i="1"/>
  <c r="AH59" i="1"/>
  <c r="AB63" i="1"/>
  <c r="AB68" i="1"/>
  <c r="O60" i="1"/>
  <c r="O59" i="1"/>
  <c r="AB60" i="1"/>
  <c r="AB59" i="1"/>
  <c r="AO48" i="1"/>
  <c r="AO59" i="1" s="1"/>
  <c r="O57" i="1"/>
  <c r="S57" i="1"/>
  <c r="W57" i="1"/>
  <c r="AA57" i="1"/>
  <c r="AE57" i="1"/>
  <c r="AJ58" i="1"/>
  <c r="AB67" i="1"/>
  <c r="AO169" i="1"/>
  <c r="M187" i="1"/>
  <c r="AC187" i="1"/>
  <c r="AQ204" i="1"/>
  <c r="AO74" i="1"/>
  <c r="AO98" i="1"/>
  <c r="AO121" i="1"/>
  <c r="AO171" i="1"/>
  <c r="Q187" i="1"/>
  <c r="AG187" i="1"/>
  <c r="AQ191" i="1"/>
  <c r="AO209" i="1"/>
  <c r="AO120" i="1"/>
  <c r="AO127" i="1"/>
  <c r="U187" i="1"/>
  <c r="AO195" i="1"/>
  <c r="AO214" i="1"/>
  <c r="AO64" i="1"/>
  <c r="AO148" i="1"/>
  <c r="Y187" i="1"/>
  <c r="AO201" i="1"/>
  <c r="AO202" i="1" s="1"/>
  <c r="AO176" i="1" l="1"/>
  <c r="AQ74" i="1"/>
  <c r="GU74" i="1" s="1"/>
  <c r="PW74" i="1" s="1"/>
  <c r="AO146" i="1"/>
  <c r="AO38" i="1"/>
  <c r="AO55" i="1" s="1"/>
  <c r="AO60" i="1"/>
  <c r="AO63" i="1"/>
  <c r="AQ63" i="1" s="1"/>
  <c r="K56" i="1"/>
  <c r="AKC33" i="1"/>
  <c r="AKD33" i="1" s="1"/>
  <c r="AO175" i="1"/>
  <c r="AO174" i="1" s="1"/>
  <c r="AO70" i="1"/>
  <c r="PZ32" i="1"/>
  <c r="PY64" i="1"/>
  <c r="PY65" i="1" s="1"/>
  <c r="PY67" i="1" s="1"/>
  <c r="AO67" i="1"/>
  <c r="AQ67" i="1" s="1"/>
  <c r="PV31" i="1"/>
  <c r="PV33" i="1" s="1"/>
  <c r="AQ29" i="1"/>
  <c r="AS29" i="1" s="1"/>
  <c r="AKC28" i="1"/>
  <c r="AKD28" i="1" s="1"/>
  <c r="AQ28" i="1"/>
  <c r="AO54" i="1"/>
  <c r="AO126" i="1"/>
  <c r="AQ127" i="1" s="1"/>
  <c r="AQ75" i="1"/>
  <c r="GU75" i="1" s="1"/>
  <c r="PW75" i="1" s="1"/>
  <c r="AO65" i="1"/>
  <c r="AQ65" i="1" s="1"/>
  <c r="AS64" i="1"/>
  <c r="AO68" i="1"/>
  <c r="AO53" i="1"/>
  <c r="AO56" i="1"/>
  <c r="AO58" i="1"/>
  <c r="AP63" i="1" l="1"/>
  <c r="AQ54" i="1"/>
  <c r="AT38" i="1"/>
  <c r="AU38" i="1" s="1"/>
  <c r="PW31" i="1"/>
  <c r="PW33" i="1" s="1"/>
  <c r="PW34" i="1" s="1"/>
  <c r="AQ73" i="1"/>
  <c r="PV36" i="1"/>
  <c r="PV34" i="1"/>
  <c r="AQ81" i="1"/>
  <c r="PW36" i="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Trianabayupramuditi</author>
  </authors>
  <commentList>
    <comment ref="AB29" authorId="0" shapeId="0" xr:uid="{FAFA96D5-124F-4700-A806-A2CC9DD16212}">
      <text>
        <r>
          <rPr>
            <b/>
            <sz val="9"/>
            <color indexed="81"/>
            <rFont val="Tahoma"/>
            <family val="2"/>
          </rPr>
          <t>Trianabayupramuditi:</t>
        </r>
        <r>
          <rPr>
            <sz val="9"/>
            <color indexed="81"/>
            <rFont val="Tahoma"/>
            <family val="2"/>
          </rPr>
          <t xml:space="preserve">
* kurang OIP </t>
        </r>
      </text>
    </comment>
  </commentList>
</comments>
</file>

<file path=xl/sharedStrings.xml><?xml version="1.0" encoding="utf-8"?>
<sst xmlns="http://schemas.openxmlformats.org/spreadsheetml/2006/main" count="486" uniqueCount="168">
  <si>
    <t xml:space="preserve"> kWH </t>
  </si>
  <si>
    <t>Total</t>
  </si>
  <si>
    <t>Kwh</t>
  </si>
  <si>
    <t>PLN</t>
  </si>
  <si>
    <t>Incoming</t>
  </si>
  <si>
    <t>Power</t>
  </si>
  <si>
    <t>POWER CONSUMPTION</t>
  </si>
  <si>
    <t>Waste Water (Effluent)</t>
  </si>
  <si>
    <t>Others</t>
  </si>
  <si>
    <t>RO Product</t>
  </si>
  <si>
    <t>Softener Product (to Fractionation)</t>
  </si>
  <si>
    <t>Softener Product (to Refinery)</t>
  </si>
  <si>
    <t>Outgoing</t>
  </si>
  <si>
    <t>Incoming from Kinra</t>
  </si>
  <si>
    <t>Water</t>
  </si>
  <si>
    <t>WATER CONSUMPTION</t>
  </si>
  <si>
    <t>Kg</t>
  </si>
  <si>
    <t>Fractionation</t>
  </si>
  <si>
    <t>Refinery</t>
  </si>
  <si>
    <t>Distribution to</t>
  </si>
  <si>
    <t>Steam</t>
  </si>
  <si>
    <t>STEAM CONSUMPTION</t>
  </si>
  <si>
    <t>mmbtu</t>
  </si>
  <si>
    <t>MP Boiler 1, 2</t>
  </si>
  <si>
    <t>HP Boiler Refinery</t>
  </si>
  <si>
    <t>Incoming *based on Pertagas</t>
  </si>
  <si>
    <t>Incoming *based on INL</t>
  </si>
  <si>
    <t>Gas</t>
  </si>
  <si>
    <t>GAS CONSUMPTION</t>
  </si>
  <si>
    <t>%</t>
  </si>
  <si>
    <t xml:space="preserve">INL 900 mL  </t>
  </si>
  <si>
    <t xml:space="preserve">INL 450 mL    </t>
  </si>
  <si>
    <t>Pouch</t>
  </si>
  <si>
    <t>Carton</t>
  </si>
  <si>
    <t>Loss Material</t>
  </si>
  <si>
    <t>REJECT MATERIAL (%)</t>
  </si>
  <si>
    <t>Box</t>
  </si>
  <si>
    <t>REJECT MATERIAL QTY</t>
  </si>
  <si>
    <t>Roll</t>
  </si>
  <si>
    <t>Consumable Packing Tape</t>
  </si>
  <si>
    <t>gram</t>
  </si>
  <si>
    <t>Consumable Vit. A</t>
  </si>
  <si>
    <t xml:space="preserve">INL 1800 mL </t>
  </si>
  <si>
    <t>- sample</t>
  </si>
  <si>
    <t>- finished product</t>
  </si>
  <si>
    <t>Olein IV 58 Consume</t>
  </si>
  <si>
    <t>Olein IV 58 Received</t>
  </si>
  <si>
    <t>Packaging</t>
  </si>
  <si>
    <t>PACKAGING (Brand INL Pillow Pack)</t>
  </si>
  <si>
    <t>INL SP 1,8 L</t>
  </si>
  <si>
    <t xml:space="preserve">INL SP 900 mL  </t>
  </si>
  <si>
    <t>PACKAGING (Brand INL Standing Pouch)</t>
  </si>
  <si>
    <t>Nusakita 2 Liter</t>
  </si>
  <si>
    <t>Nusakita 1 Liter</t>
  </si>
  <si>
    <t>Olein IV 60 Consume</t>
  </si>
  <si>
    <t>PACKAGING (Brand Nusakita)</t>
  </si>
  <si>
    <t>Salvaco 2 Liter</t>
  </si>
  <si>
    <t>Salvaco 1 Liter</t>
  </si>
  <si>
    <t>- remelt, flushing, downgrade</t>
  </si>
  <si>
    <t>Olein Filling to Packaging</t>
  </si>
  <si>
    <t>Olein IV 60 Received</t>
  </si>
  <si>
    <t>PACKAGING (Brand Salvaco)</t>
  </si>
  <si>
    <t>Spent Bleaching Earth</t>
  </si>
  <si>
    <t>% Oil Content</t>
  </si>
  <si>
    <t>Oil Losses</t>
  </si>
  <si>
    <t>Over (Kg/MT)</t>
  </si>
  <si>
    <t>Budget (Kg/MT)</t>
  </si>
  <si>
    <t>Phosporic Acid (PA)</t>
  </si>
  <si>
    <t>Kg/MT CPO</t>
  </si>
  <si>
    <t>Total BE Brand</t>
  </si>
  <si>
    <t xml:space="preserve">Kg </t>
  </si>
  <si>
    <t>Bleaching Earth (BE) to Branded Spec</t>
  </si>
  <si>
    <t>Total CPO Brand</t>
  </si>
  <si>
    <t>Bleaching Earth (BE) to Poram Spec</t>
  </si>
  <si>
    <t>Chemical</t>
  </si>
  <si>
    <t>CHEMICAL CONSUMABLE</t>
  </si>
  <si>
    <t>MT RBDPO Brand</t>
  </si>
  <si>
    <t>Soft Stearin</t>
  </si>
  <si>
    <t>MT CPO</t>
  </si>
  <si>
    <t>Olein IV 60</t>
  </si>
  <si>
    <t>Stearin</t>
  </si>
  <si>
    <t>Olein IV 58</t>
  </si>
  <si>
    <t>Olein IV 56</t>
  </si>
  <si>
    <t>PFAD</t>
  </si>
  <si>
    <t xml:space="preserve">RBDPO </t>
  </si>
  <si>
    <t xml:space="preserve"> </t>
  </si>
  <si>
    <t>Yield</t>
  </si>
  <si>
    <t>YIELD</t>
  </si>
  <si>
    <t>SOFT STEARIN</t>
  </si>
  <si>
    <t>OLEIN IV 60 Salvaco</t>
  </si>
  <si>
    <t>OLEIN IV 60 Bulk</t>
  </si>
  <si>
    <t>RBDPO Brand Consume</t>
  </si>
  <si>
    <t>CPO Consume</t>
  </si>
  <si>
    <t>Fractionation OLEIN IV 60</t>
  </si>
  <si>
    <t>STEARIN</t>
  </si>
  <si>
    <t>OLEIN IV 58</t>
  </si>
  <si>
    <t>Kg/MT</t>
  </si>
  <si>
    <t>Diff</t>
  </si>
  <si>
    <t>Salvaco 2L</t>
  </si>
  <si>
    <t>Fractionation OLEIN IV 58</t>
  </si>
  <si>
    <t>Report Prod</t>
  </si>
  <si>
    <t>Salvaco 1L</t>
  </si>
  <si>
    <t>Steam Ref</t>
  </si>
  <si>
    <t>INL 900 ml</t>
  </si>
  <si>
    <t xml:space="preserve">HP Boiler </t>
  </si>
  <si>
    <t>OLEIN IV 56</t>
  </si>
  <si>
    <t>CPO Feed - Sounding</t>
  </si>
  <si>
    <t>CPO Olah</t>
  </si>
  <si>
    <t>RBDPO Consume</t>
  </si>
  <si>
    <t>Fractionation OLEIN IV 56</t>
  </si>
  <si>
    <t>Oktober</t>
  </si>
  <si>
    <t>Agustus</t>
  </si>
  <si>
    <t>Items</t>
  </si>
  <si>
    <t>Tahun 2021</t>
  </si>
  <si>
    <t>RbdPO</t>
  </si>
  <si>
    <t>Sisa Product OIP</t>
  </si>
  <si>
    <t>Juni</t>
  </si>
  <si>
    <t>Product OIP</t>
  </si>
  <si>
    <t>Product</t>
  </si>
  <si>
    <t>2,20 Min</t>
  </si>
  <si>
    <t>- DOBI</t>
  </si>
  <si>
    <t>- Moist &amp; Impurities</t>
  </si>
  <si>
    <t>- FFA</t>
  </si>
  <si>
    <t>COL Consume</t>
  </si>
  <si>
    <t>RBDPO Olah</t>
  </si>
  <si>
    <t>CPO</t>
  </si>
  <si>
    <t>15 Juni</t>
  </si>
  <si>
    <t>14 Juni</t>
  </si>
  <si>
    <t>Poram</t>
  </si>
  <si>
    <t>Day</t>
  </si>
  <si>
    <t>Running Days</t>
  </si>
  <si>
    <t>Production</t>
  </si>
  <si>
    <t>Sounding</t>
  </si>
  <si>
    <t>PRODUCTION</t>
  </si>
  <si>
    <t>Maret 2022</t>
  </si>
  <si>
    <t>Total  Received</t>
  </si>
  <si>
    <t>Transportation (Loss)/Gain</t>
  </si>
  <si>
    <t>Receiving Weight</t>
  </si>
  <si>
    <t>D/O Weight</t>
  </si>
  <si>
    <t>CPO Swasta</t>
  </si>
  <si>
    <t>Inc. CPO Tolling UOI</t>
  </si>
  <si>
    <t>Tahun 2022</t>
  </si>
  <si>
    <t>Incoming CPO (Swasta) WB</t>
  </si>
  <si>
    <t>Transfer (Loss)/Gain</t>
  </si>
  <si>
    <t>Receiving (base on Sounding)</t>
  </si>
  <si>
    <t>Delivery (base on Sounding)</t>
  </si>
  <si>
    <t>CPO Group</t>
  </si>
  <si>
    <t>Inc. CPO Piping Line -Dryport</t>
  </si>
  <si>
    <t>Inc. CPO Piping Line -PKS Sei Mangkei</t>
  </si>
  <si>
    <t>Incoming CPO (Group) WB</t>
  </si>
  <si>
    <t>TOTAL
(Kg)</t>
  </si>
  <si>
    <t>SEPTEMBER</t>
  </si>
  <si>
    <t>UoM</t>
  </si>
  <si>
    <t>Budget / Norma</t>
  </si>
  <si>
    <t>ITEM</t>
  </si>
  <si>
    <t>No</t>
  </si>
  <si>
    <t>PRODUCTION REPORT</t>
  </si>
  <si>
    <t>,</t>
  </si>
  <si>
    <t>box</t>
  </si>
  <si>
    <t>kg</t>
  </si>
  <si>
    <t xml:space="preserve">Salvaco 2L </t>
  </si>
  <si>
    <t>actual</t>
  </si>
  <si>
    <t>budget</t>
  </si>
  <si>
    <r>
      <rPr>
        <sz val="11"/>
        <color theme="1"/>
        <rFont val="Arial"/>
        <family val="2"/>
      </rPr>
      <t>m</t>
    </r>
    <r>
      <rPr>
        <vertAlign val="superscript"/>
        <sz val="11"/>
        <color theme="1"/>
        <rFont val="Arial"/>
        <family val="2"/>
      </rPr>
      <t>3</t>
    </r>
  </si>
  <si>
    <t>PACKAGING (Minyakita Standing Pouch)</t>
  </si>
  <si>
    <t>Olein IV 57 Consume</t>
  </si>
  <si>
    <t xml:space="preserve">Minyakita SP 1 L  </t>
  </si>
  <si>
    <t>Total Pemakaian Olein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</si>
</sst>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0">
    <numFmt numFmtId="41" formatCode="_-* #,##0_-;\-* #,##0_-;_-* &quot;-&quot;_-;_-@_-"/>
    <numFmt numFmtId="43" formatCode="_-* #,##0.00_-;\-* #,##0.00_-;_-* &quot;-&quot;??_-;_-@_-"/>
    <numFmt numFmtId="164" formatCode="_(* #,##0.00_);_(* \(#,##0.00\);_(* &quot;-&quot;??_);_(@_)"/>
    <numFmt numFmtId="165" formatCode="_-* #,##0.00_-;\-* #,##0.00_-;_-* &quot;-&quot;_-;_-@_-"/>
    <numFmt numFmtId="166" formatCode="_(* #,##0_);_(* \(#,##0\);_(* &quot;-&quot;??_);_(@_)"/>
    <numFmt numFmtId="167" formatCode="_(* #,##0.000_);_(* \(#,##0.000\);_(* &quot;-&quot;??_);_(@_)"/>
    <numFmt numFmtId="168" formatCode="_(* #,##0.0000_);_(* \(#,##0.0000\);_(* &quot;-&quot;??_);_(@_)"/>
    <numFmt numFmtId="169" formatCode="_-* #,##0.0000_-;\-* #,##0.0000_-;_-* &quot;-&quot;????_-;_-@_-"/>
    <numFmt numFmtId="170" formatCode="_(* #,###.0000_);_(* \(#,###.0000\);_(* &quot;-&quot;?,?00.00_);_(@_)"/>
    <numFmt numFmtId="171" formatCode="_-* #,##0.0000_-;\-* #,##0.0000_-;_-* &quot;-&quot;_-;_-@_-"/>
    <numFmt numFmtId="172" formatCode="_(* #,##0.0000_);_(* \(#,##0.0000\);_(* &quot;-&quot;??.000_);_(@_)"/>
    <numFmt numFmtId="173" formatCode="_(* #,##0.0000_);_(* \(#,##0.0000\);_(* &quot;-&quot;??.00_);_(@_)"/>
    <numFmt numFmtId="174" formatCode="_(* #,##0.0000_);_(* \(#,##0.0000\);_(* &quot;-&quot;??.0000_);_(@_)"/>
    <numFmt numFmtId="175" formatCode="_(* #,##0.00_);_(* \(#,##0.00\);_(* &quot;-&quot;??.0_);_(@_)"/>
    <numFmt numFmtId="176" formatCode="_-* #,##0_-;\-* #,##0_-;_-* &quot;-&quot;??_-;_-@_-"/>
    <numFmt numFmtId="177" formatCode="0.000"/>
    <numFmt numFmtId="178" formatCode="_(* #,##0.0_);_(* \(#,##0.0\);_(* &quot;-&quot;??.0_);_(@_)"/>
    <numFmt numFmtId="179" formatCode="_(* #,##0.000_);_(* \(#,##0.000\);_(* &quot;-&quot;??.00_);_(@_)"/>
    <numFmt numFmtId="180" formatCode="_(* #.##0_);_(* \(#.##0\);_(* &quot;-&quot;??_);_(@_)"/>
    <numFmt numFmtId="181" formatCode="0.00_);\(0.00\)"/>
  </numFmts>
  <fonts count="21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  <font>
      <sz val="11"/>
      <color theme="0"/>
      <name val="Arial"/>
      <family val="2"/>
    </font>
    <font>
      <sz val="11"/>
      <name val="Arial"/>
      <family val="2"/>
    </font>
    <font>
      <i/>
      <sz val="11"/>
      <color theme="1"/>
      <name val="Arial"/>
      <family val="2"/>
    </font>
    <font>
      <vertAlign val="superscript"/>
      <sz val="11"/>
      <color theme="1"/>
      <name val="Arial"/>
      <family val="2"/>
    </font>
    <font>
      <sz val="11"/>
      <color rgb="FFFF0000"/>
      <name val="Arial"/>
      <family val="2"/>
    </font>
    <font>
      <b/>
      <sz val="11"/>
      <color theme="0"/>
      <name val="Arial"/>
      <family val="2"/>
    </font>
    <font>
      <sz val="11"/>
      <color theme="8"/>
      <name val="Arial"/>
      <family val="2"/>
    </font>
    <font>
      <u/>
      <sz val="11"/>
      <color theme="1"/>
      <name val="Arial"/>
      <family val="2"/>
    </font>
    <font>
      <b/>
      <i/>
      <sz val="11"/>
      <color theme="1"/>
      <name val="Arial"/>
      <family val="2"/>
    </font>
    <font>
      <b/>
      <u/>
      <sz val="11"/>
      <color theme="1"/>
      <name val="Arial"/>
      <family val="2"/>
    </font>
    <font>
      <b/>
      <sz val="11"/>
      <name val="Arial"/>
      <family val="2"/>
    </font>
    <font>
      <sz val="11"/>
      <color theme="8" tint="-0.249977111117893"/>
      <name val="Arial"/>
      <family val="2"/>
    </font>
    <font>
      <sz val="11"/>
      <color theme="4" tint="-0.499984740745262"/>
      <name val="Arial"/>
      <family val="2"/>
    </font>
    <font>
      <b/>
      <sz val="14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b/>
      <sz val="11"/>
      <color rgb="FFFF0000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4" tint="0.79989013336588644"/>
        <bgColor indexed="64"/>
      </patternFill>
    </fill>
    <fill>
      <patternFill patternType="solid">
        <fgColor theme="0" tint="-0.14993743705557422"/>
        <bgColor indexed="64"/>
      </patternFill>
    </fill>
  </fills>
  <borders count="26">
    <border>
      <left/>
      <right/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/>
      <right style="thin">
        <color auto="1"/>
      </right>
      <top/>
      <bottom/>
      <diagonal/>
    </border>
    <border>
      <left style="medium">
        <color auto="1"/>
      </left>
      <right style="medium">
        <color auto="1"/>
      </right>
      <top style="dashed">
        <color auto="1"/>
      </top>
      <bottom/>
      <diagonal/>
    </border>
    <border>
      <left style="medium">
        <color auto="1"/>
      </left>
      <right style="medium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/>
      <bottom style="dashed">
        <color auto="1"/>
      </bottom>
      <diagonal/>
    </border>
    <border>
      <left style="thin">
        <color auto="1"/>
      </left>
      <right style="thin">
        <color auto="1"/>
      </right>
      <top style="dashed">
        <color auto="1"/>
      </top>
      <bottom/>
      <diagonal/>
    </border>
    <border>
      <left/>
      <right style="medium">
        <color auto="1"/>
      </right>
      <top/>
      <bottom style="medium">
        <color auto="1"/>
      </bottom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/>
      <top/>
      <bottom style="medium">
        <color auto="1"/>
      </bottom>
      <diagonal/>
    </border>
    <border>
      <left/>
      <right style="medium">
        <color auto="1"/>
      </right>
      <top/>
      <bottom/>
      <diagonal/>
    </border>
    <border>
      <left style="medium">
        <color auto="1"/>
      </left>
      <right/>
      <top/>
      <bottom/>
      <diagonal/>
    </border>
    <border>
      <left/>
      <right style="medium">
        <color auto="1"/>
      </right>
      <top style="medium">
        <color auto="1"/>
      </top>
      <bottom/>
      <diagonal/>
    </border>
    <border>
      <left/>
      <right/>
      <top style="medium">
        <color auto="1"/>
      </top>
      <bottom/>
      <diagonal/>
    </border>
    <border>
      <left style="medium">
        <color auto="1"/>
      </left>
      <right/>
      <top style="medium">
        <color auto="1"/>
      </top>
      <bottom/>
      <diagonal/>
    </border>
    <border>
      <left style="medium">
        <color auto="1"/>
      </left>
      <right style="medium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43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46">
    <xf numFmtId="0" fontId="0" fillId="0" borderId="0" xfId="0"/>
    <xf numFmtId="0" fontId="2" fillId="0" borderId="0" xfId="0" applyFont="1"/>
    <xf numFmtId="0" fontId="2" fillId="2" borderId="0" xfId="0" applyFont="1" applyFill="1"/>
    <xf numFmtId="165" fontId="2" fillId="2" borderId="0" xfId="2" applyNumberFormat="1" applyFont="1" applyFill="1"/>
    <xf numFmtId="41" fontId="2" fillId="0" borderId="0" xfId="0" applyNumberFormat="1" applyFont="1"/>
    <xf numFmtId="41" fontId="2" fillId="0" borderId="0" xfId="2" applyFont="1"/>
    <xf numFmtId="166" fontId="3" fillId="0" borderId="1" xfId="0" applyNumberFormat="1" applyFont="1" applyBorder="1"/>
    <xf numFmtId="0" fontId="4" fillId="2" borderId="0" xfId="0" applyFont="1" applyFill="1"/>
    <xf numFmtId="166" fontId="3" fillId="0" borderId="2" xfId="1" applyNumberFormat="1" applyFont="1" applyFill="1" applyBorder="1"/>
    <xf numFmtId="0" fontId="3" fillId="2" borderId="2" xfId="0" quotePrefix="1" applyFont="1" applyFill="1" applyBorder="1" applyAlignment="1">
      <alignment horizontal="center"/>
    </xf>
    <xf numFmtId="0" fontId="3" fillId="2" borderId="2" xfId="0" quotePrefix="1" applyFont="1" applyFill="1" applyBorder="1"/>
    <xf numFmtId="0" fontId="3" fillId="2" borderId="2" xfId="0" applyFont="1" applyFill="1" applyBorder="1" applyAlignment="1">
      <alignment horizontal="center"/>
    </xf>
    <xf numFmtId="166" fontId="2" fillId="0" borderId="0" xfId="1" applyNumberFormat="1" applyFont="1"/>
    <xf numFmtId="166" fontId="2" fillId="0" borderId="3" xfId="1" applyNumberFormat="1" applyFont="1" applyBorder="1"/>
    <xf numFmtId="0" fontId="4" fillId="0" borderId="0" xfId="0" applyFont="1"/>
    <xf numFmtId="166" fontId="2" fillId="0" borderId="4" xfId="1" applyNumberFormat="1" applyFont="1" applyFill="1" applyBorder="1"/>
    <xf numFmtId="166" fontId="5" fillId="0" borderId="4" xfId="1" applyNumberFormat="1" applyFont="1" applyFill="1" applyBorder="1"/>
    <xf numFmtId="0" fontId="2" fillId="2" borderId="4" xfId="0" applyFont="1" applyFill="1" applyBorder="1" applyAlignment="1">
      <alignment horizontal="center"/>
    </xf>
    <xf numFmtId="0" fontId="2" fillId="2" borderId="4" xfId="0" quotePrefix="1" applyFont="1" applyFill="1" applyBorder="1"/>
    <xf numFmtId="0" fontId="3" fillId="2" borderId="4" xfId="0" applyFont="1" applyFill="1" applyBorder="1" applyAlignment="1">
      <alignment horizontal="center"/>
    </xf>
    <xf numFmtId="0" fontId="6" fillId="0" borderId="3" xfId="0" applyFont="1" applyBorder="1"/>
    <xf numFmtId="0" fontId="2" fillId="2" borderId="4" xfId="0" applyFont="1" applyFill="1" applyBorder="1" applyAlignment="1">
      <alignment horizontal="right"/>
    </xf>
    <xf numFmtId="0" fontId="3" fillId="2" borderId="4" xfId="0" quotePrefix="1" applyFont="1" applyFill="1" applyBorder="1"/>
    <xf numFmtId="166" fontId="3" fillId="3" borderId="5" xfId="1" applyNumberFormat="1" applyFont="1" applyFill="1" applyBorder="1"/>
    <xf numFmtId="166" fontId="2" fillId="3" borderId="6" xfId="1" applyNumberFormat="1" applyFont="1" applyFill="1" applyBorder="1"/>
    <xf numFmtId="0" fontId="2" fillId="3" borderId="6" xfId="0" applyFont="1" applyFill="1" applyBorder="1" applyAlignment="1">
      <alignment horizontal="center"/>
    </xf>
    <xf numFmtId="0" fontId="3" fillId="3" borderId="6" xfId="0" quotePrefix="1" applyFont="1" applyFill="1" applyBorder="1"/>
    <xf numFmtId="0" fontId="3" fillId="2" borderId="6" xfId="0" applyFont="1" applyFill="1" applyBorder="1" applyAlignment="1">
      <alignment horizontal="center"/>
    </xf>
    <xf numFmtId="41" fontId="2" fillId="0" borderId="0" xfId="2" applyFont="1" applyAlignment="1">
      <alignment vertical="center"/>
    </xf>
    <xf numFmtId="165" fontId="2" fillId="0" borderId="0" xfId="2" applyNumberFormat="1" applyFont="1" applyAlignment="1">
      <alignment vertical="center"/>
    </xf>
    <xf numFmtId="0" fontId="2" fillId="0" borderId="0" xfId="0" applyFont="1" applyAlignment="1">
      <alignment horizontal="center" vertical="center"/>
    </xf>
    <xf numFmtId="166" fontId="2" fillId="0" borderId="0" xfId="1" applyNumberFormat="1" applyFont="1" applyAlignment="1">
      <alignment vertical="center"/>
    </xf>
    <xf numFmtId="43" fontId="2" fillId="0" borderId="3" xfId="1" applyFont="1" applyBorder="1" applyAlignment="1">
      <alignment vertical="center"/>
    </xf>
    <xf numFmtId="43" fontId="2" fillId="0" borderId="4" xfId="1" applyFont="1" applyFill="1" applyBorder="1" applyAlignment="1">
      <alignment vertical="center"/>
    </xf>
    <xf numFmtId="0" fontId="2" fillId="0" borderId="4" xfId="0" quotePrefix="1" applyFont="1" applyBorder="1" applyAlignment="1">
      <alignment horizontal="center" vertical="center"/>
    </xf>
    <xf numFmtId="0" fontId="2" fillId="0" borderId="4" xfId="0" quotePrefix="1" applyFont="1" applyBorder="1" applyAlignment="1">
      <alignment vertical="center"/>
    </xf>
    <xf numFmtId="0" fontId="2" fillId="0" borderId="4" xfId="0" applyFont="1" applyBorder="1" applyAlignment="1">
      <alignment horizontal="center" vertical="center"/>
    </xf>
    <xf numFmtId="43" fontId="2" fillId="0" borderId="0" xfId="1" applyFont="1" applyAlignment="1">
      <alignment vertical="center"/>
    </xf>
    <xf numFmtId="43" fontId="2" fillId="0" borderId="0" xfId="0" applyNumberFormat="1" applyFont="1" applyAlignment="1">
      <alignment vertical="center"/>
    </xf>
    <xf numFmtId="165" fontId="2" fillId="0" borderId="4" xfId="2" applyNumberFormat="1" applyFont="1" applyFill="1" applyBorder="1" applyAlignment="1">
      <alignment vertical="center"/>
    </xf>
    <xf numFmtId="43" fontId="2" fillId="0" borderId="0" xfId="1" applyFont="1" applyFill="1" applyBorder="1" applyAlignment="1">
      <alignment vertical="center"/>
    </xf>
    <xf numFmtId="166" fontId="6" fillId="0" borderId="3" xfId="0" applyNumberFormat="1" applyFont="1" applyBorder="1" applyAlignment="1">
      <alignment vertical="center"/>
    </xf>
    <xf numFmtId="0" fontId="3" fillId="0" borderId="4" xfId="0" quotePrefix="1" applyFont="1" applyBorder="1" applyAlignment="1">
      <alignment vertical="center"/>
    </xf>
    <xf numFmtId="43" fontId="3" fillId="0" borderId="3" xfId="1" applyFont="1" applyBorder="1" applyAlignment="1">
      <alignment vertical="center"/>
    </xf>
    <xf numFmtId="43" fontId="5" fillId="0" borderId="4" xfId="1" applyFont="1" applyFill="1" applyBorder="1" applyAlignment="1">
      <alignment vertical="center"/>
    </xf>
    <xf numFmtId="43" fontId="3" fillId="3" borderId="5" xfId="1" applyFont="1" applyFill="1" applyBorder="1"/>
    <xf numFmtId="43" fontId="2" fillId="3" borderId="6" xfId="1" applyFont="1" applyFill="1" applyBorder="1"/>
    <xf numFmtId="0" fontId="3" fillId="0" borderId="6" xfId="0" applyFont="1" applyBorder="1" applyAlignment="1">
      <alignment horizontal="center"/>
    </xf>
    <xf numFmtId="41" fontId="3" fillId="0" borderId="0" xfId="2" applyFont="1"/>
    <xf numFmtId="165" fontId="3" fillId="0" borderId="0" xfId="2" applyNumberFormat="1" applyFont="1"/>
    <xf numFmtId="0" fontId="3" fillId="0" borderId="0" xfId="0" applyFont="1" applyAlignment="1">
      <alignment horizontal="center"/>
    </xf>
    <xf numFmtId="166" fontId="3" fillId="0" borderId="0" xfId="1" applyNumberFormat="1" applyFont="1"/>
    <xf numFmtId="166" fontId="3" fillId="0" borderId="3" xfId="0" applyNumberFormat="1" applyFont="1" applyBorder="1"/>
    <xf numFmtId="0" fontId="9" fillId="0" borderId="0" xfId="0" applyFont="1"/>
    <xf numFmtId="166" fontId="3" fillId="0" borderId="4" xfId="1" applyNumberFormat="1" applyFont="1" applyFill="1" applyBorder="1"/>
    <xf numFmtId="0" fontId="2" fillId="0" borderId="4" xfId="0" quotePrefix="1" applyFont="1" applyBorder="1" applyAlignment="1">
      <alignment horizontal="center"/>
    </xf>
    <xf numFmtId="0" fontId="3" fillId="0" borderId="4" xfId="0" quotePrefix="1" applyFont="1" applyBorder="1"/>
    <xf numFmtId="0" fontId="3" fillId="0" borderId="4" xfId="0" applyFont="1" applyBorder="1" applyAlignment="1">
      <alignment horizontal="center"/>
    </xf>
    <xf numFmtId="166" fontId="2" fillId="0" borderId="3" xfId="0" applyNumberFormat="1" applyFont="1" applyBorder="1"/>
    <xf numFmtId="0" fontId="2" fillId="0" borderId="4" xfId="0" quotePrefix="1" applyFont="1" applyBorder="1"/>
    <xf numFmtId="0" fontId="2" fillId="0" borderId="4" xfId="0" applyFont="1" applyBorder="1" applyAlignment="1">
      <alignment horizontal="center"/>
    </xf>
    <xf numFmtId="166" fontId="2" fillId="0" borderId="4" xfId="1" applyNumberFormat="1" applyFont="1" applyFill="1" applyBorder="1" applyAlignment="1">
      <alignment vertical="center"/>
    </xf>
    <xf numFmtId="165" fontId="2" fillId="0" borderId="0" xfId="2" applyNumberFormat="1" applyFont="1"/>
    <xf numFmtId="166" fontId="3" fillId="0" borderId="0" xfId="0" applyNumberFormat="1" applyFont="1"/>
    <xf numFmtId="167" fontId="6" fillId="0" borderId="3" xfId="0" applyNumberFormat="1" applyFont="1" applyBorder="1"/>
    <xf numFmtId="0" fontId="6" fillId="0" borderId="4" xfId="0" quotePrefix="1" applyFont="1" applyBorder="1"/>
    <xf numFmtId="0" fontId="2" fillId="0" borderId="0" xfId="0" applyFont="1" applyAlignment="1">
      <alignment horizontal="center"/>
    </xf>
    <xf numFmtId="166" fontId="2" fillId="0" borderId="0" xfId="0" applyNumberFormat="1" applyFont="1"/>
    <xf numFmtId="166" fontId="2" fillId="2" borderId="4" xfId="1" applyNumberFormat="1" applyFont="1" applyFill="1" applyBorder="1"/>
    <xf numFmtId="168" fontId="3" fillId="3" borderId="4" xfId="1" applyNumberFormat="1" applyFont="1" applyFill="1" applyBorder="1"/>
    <xf numFmtId="0" fontId="3" fillId="3" borderId="4" xfId="0" applyFont="1" applyFill="1" applyBorder="1" applyAlignment="1">
      <alignment horizontal="center"/>
    </xf>
    <xf numFmtId="0" fontId="3" fillId="3" borderId="4" xfId="0" quotePrefix="1" applyFont="1" applyFill="1" applyBorder="1"/>
    <xf numFmtId="168" fontId="3" fillId="0" borderId="7" xfId="0" applyNumberFormat="1" applyFont="1" applyBorder="1"/>
    <xf numFmtId="168" fontId="3" fillId="0" borderId="2" xfId="1" applyNumberFormat="1" applyFont="1" applyFill="1" applyBorder="1"/>
    <xf numFmtId="0" fontId="3" fillId="0" borderId="2" xfId="0" quotePrefix="1" applyFont="1" applyBorder="1" applyAlignment="1">
      <alignment horizontal="center"/>
    </xf>
    <xf numFmtId="0" fontId="3" fillId="0" borderId="2" xfId="0" quotePrefix="1" applyFont="1" applyBorder="1"/>
    <xf numFmtId="0" fontId="3" fillId="0" borderId="2" xfId="0" applyFont="1" applyBorder="1" applyAlignment="1">
      <alignment horizontal="center"/>
    </xf>
    <xf numFmtId="169" fontId="2" fillId="0" borderId="0" xfId="0" applyNumberFormat="1" applyFont="1"/>
    <xf numFmtId="170" fontId="2" fillId="0" borderId="3" xfId="0" applyNumberFormat="1" applyFont="1" applyBorder="1"/>
    <xf numFmtId="168" fontId="2" fillId="0" borderId="4" xfId="1" applyNumberFormat="1" applyFont="1" applyFill="1" applyBorder="1"/>
    <xf numFmtId="171" fontId="2" fillId="0" borderId="4" xfId="2" applyNumberFormat="1" applyFont="1" applyFill="1" applyBorder="1"/>
    <xf numFmtId="43" fontId="2" fillId="0" borderId="4" xfId="1" applyFont="1" applyFill="1" applyBorder="1"/>
    <xf numFmtId="166" fontId="8" fillId="0" borderId="4" xfId="1" applyNumberFormat="1" applyFont="1" applyFill="1" applyBorder="1"/>
    <xf numFmtId="172" fontId="2" fillId="0" borderId="4" xfId="1" applyNumberFormat="1" applyFont="1" applyFill="1" applyBorder="1"/>
    <xf numFmtId="173" fontId="2" fillId="0" borderId="4" xfId="1" applyNumberFormat="1" applyFont="1" applyFill="1" applyBorder="1"/>
    <xf numFmtId="41" fontId="2" fillId="2" borderId="0" xfId="2" applyFont="1" applyFill="1"/>
    <xf numFmtId="0" fontId="2" fillId="2" borderId="0" xfId="0" applyFont="1" applyFill="1" applyAlignment="1">
      <alignment horizontal="center"/>
    </xf>
    <xf numFmtId="168" fontId="3" fillId="0" borderId="3" xfId="0" applyNumberFormat="1" applyFont="1" applyBorder="1"/>
    <xf numFmtId="168" fontId="5" fillId="0" borderId="4" xfId="1" applyNumberFormat="1" applyFont="1" applyFill="1" applyBorder="1"/>
    <xf numFmtId="174" fontId="2" fillId="0" borderId="4" xfId="1" applyNumberFormat="1" applyFont="1" applyFill="1" applyBorder="1"/>
    <xf numFmtId="168" fontId="8" fillId="0" borderId="4" xfId="1" applyNumberFormat="1" applyFont="1" applyFill="1" applyBorder="1"/>
    <xf numFmtId="0" fontId="2" fillId="2" borderId="4" xfId="0" quotePrefix="1" applyFont="1" applyFill="1" applyBorder="1" applyAlignment="1">
      <alignment horizontal="center"/>
    </xf>
    <xf numFmtId="165" fontId="2" fillId="0" borderId="0" xfId="2" applyNumberFormat="1" applyFont="1" applyFill="1"/>
    <xf numFmtId="41" fontId="2" fillId="0" borderId="0" xfId="2" applyFont="1" applyFill="1"/>
    <xf numFmtId="166" fontId="2" fillId="0" borderId="0" xfId="1" applyNumberFormat="1" applyFont="1" applyFill="1"/>
    <xf numFmtId="168" fontId="2" fillId="0" borderId="3" xfId="0" applyNumberFormat="1" applyFont="1" applyBorder="1"/>
    <xf numFmtId="0" fontId="3" fillId="3" borderId="5" xfId="0" applyFont="1" applyFill="1" applyBorder="1"/>
    <xf numFmtId="0" fontId="2" fillId="3" borderId="6" xfId="0" applyFont="1" applyFill="1" applyBorder="1" applyAlignment="1">
      <alignment horizontal="center" vertical="center"/>
    </xf>
    <xf numFmtId="164" fontId="2" fillId="0" borderId="3" xfId="0" applyNumberFormat="1" applyFont="1" applyBorder="1"/>
    <xf numFmtId="0" fontId="2" fillId="0" borderId="4" xfId="0" applyFont="1" applyBorder="1" applyAlignment="1">
      <alignment vertical="center"/>
    </xf>
    <xf numFmtId="166" fontId="6" fillId="0" borderId="3" xfId="0" applyNumberFormat="1" applyFont="1" applyBorder="1"/>
    <xf numFmtId="0" fontId="3" fillId="3" borderId="5" xfId="0" quotePrefix="1" applyFont="1" applyFill="1" applyBorder="1"/>
    <xf numFmtId="166" fontId="2" fillId="3" borderId="6" xfId="1" applyNumberFormat="1" applyFont="1" applyFill="1" applyBorder="1" applyAlignment="1">
      <alignment horizontal="right" vertical="center"/>
    </xf>
    <xf numFmtId="0" fontId="3" fillId="3" borderId="6" xfId="0" applyFont="1" applyFill="1" applyBorder="1" applyAlignment="1">
      <alignment vertical="center"/>
    </xf>
    <xf numFmtId="43" fontId="2" fillId="0" borderId="0" xfId="1" applyFont="1" applyFill="1"/>
    <xf numFmtId="165" fontId="2" fillId="0" borderId="0" xfId="2" applyNumberFormat="1" applyFont="1" applyFill="1" applyAlignment="1">
      <alignment vertical="center"/>
    </xf>
    <xf numFmtId="41" fontId="2" fillId="0" borderId="0" xfId="2" applyFont="1" applyFill="1" applyAlignment="1">
      <alignment vertical="center"/>
    </xf>
    <xf numFmtId="166" fontId="2" fillId="0" borderId="0" xfId="1" applyNumberFormat="1" applyFont="1" applyFill="1" applyAlignment="1">
      <alignment vertical="center"/>
    </xf>
    <xf numFmtId="166" fontId="2" fillId="0" borderId="3" xfId="0" applyNumberFormat="1" applyFont="1" applyBorder="1" applyAlignment="1">
      <alignment vertical="center"/>
    </xf>
    <xf numFmtId="0" fontId="4" fillId="0" borderId="0" xfId="0" applyFont="1" applyAlignment="1">
      <alignment vertical="center"/>
    </xf>
    <xf numFmtId="164" fontId="3" fillId="0" borderId="3" xfId="0" applyNumberFormat="1" applyFont="1" applyBorder="1"/>
    <xf numFmtId="43" fontId="3" fillId="0" borderId="4" xfId="1" applyFont="1" applyFill="1" applyBorder="1"/>
    <xf numFmtId="0" fontId="3" fillId="0" borderId="4" xfId="0" quotePrefix="1" applyFont="1" applyBorder="1" applyAlignment="1">
      <alignment horizontal="center"/>
    </xf>
    <xf numFmtId="41" fontId="2" fillId="0" borderId="4" xfId="2" applyFont="1" applyFill="1" applyBorder="1"/>
    <xf numFmtId="41" fontId="2" fillId="2" borderId="0" xfId="2" applyFont="1" applyFill="1" applyAlignment="1">
      <alignment vertical="center"/>
    </xf>
    <xf numFmtId="41" fontId="2" fillId="2" borderId="0" xfId="0" applyNumberFormat="1" applyFont="1" applyFill="1"/>
    <xf numFmtId="166" fontId="3" fillId="0" borderId="4" xfId="1" applyNumberFormat="1" applyFont="1" applyFill="1" applyBorder="1" applyAlignment="1">
      <alignment vertical="center"/>
    </xf>
    <xf numFmtId="176" fontId="2" fillId="2" borderId="0" xfId="0" applyNumberFormat="1" applyFont="1" applyFill="1"/>
    <xf numFmtId="177" fontId="2" fillId="2" borderId="0" xfId="0" applyNumberFormat="1" applyFont="1" applyFill="1"/>
    <xf numFmtId="165" fontId="2" fillId="2" borderId="0" xfId="2" applyNumberFormat="1" applyFont="1" applyFill="1" applyAlignment="1">
      <alignment horizontal="right"/>
    </xf>
    <xf numFmtId="166" fontId="2" fillId="0" borderId="0" xfId="1" applyNumberFormat="1" applyFont="1" applyFill="1" applyAlignment="1">
      <alignment horizontal="right"/>
    </xf>
    <xf numFmtId="41" fontId="3" fillId="2" borderId="0" xfId="2" applyFont="1" applyFill="1"/>
    <xf numFmtId="41" fontId="3" fillId="2" borderId="0" xfId="2" applyFont="1" applyFill="1" applyAlignment="1">
      <alignment horizontal="center"/>
    </xf>
    <xf numFmtId="165" fontId="3" fillId="0" borderId="0" xfId="2" applyNumberFormat="1" applyFont="1" applyFill="1"/>
    <xf numFmtId="41" fontId="3" fillId="0" borderId="0" xfId="2" applyFont="1" applyFill="1"/>
    <xf numFmtId="166" fontId="3" fillId="0" borderId="0" xfId="1" applyNumberFormat="1" applyFont="1" applyFill="1"/>
    <xf numFmtId="43" fontId="3" fillId="0" borderId="4" xfId="1" applyFont="1" applyFill="1" applyBorder="1" applyAlignment="1">
      <alignment vertical="center"/>
    </xf>
    <xf numFmtId="167" fontId="2" fillId="0" borderId="3" xfId="0" applyNumberFormat="1" applyFont="1" applyBorder="1"/>
    <xf numFmtId="167" fontId="2" fillId="0" borderId="4" xfId="1" applyNumberFormat="1" applyFont="1" applyFill="1" applyBorder="1"/>
    <xf numFmtId="9" fontId="2" fillId="0" borderId="0" xfId="2" applyNumberFormat="1" applyFont="1" applyFill="1"/>
    <xf numFmtId="41" fontId="2" fillId="2" borderId="0" xfId="2" applyFont="1" applyFill="1" applyAlignment="1">
      <alignment horizontal="center"/>
    </xf>
    <xf numFmtId="166" fontId="2" fillId="0" borderId="8" xfId="1" applyNumberFormat="1" applyFont="1" applyFill="1" applyBorder="1" applyAlignment="1">
      <alignment wrapText="1"/>
    </xf>
    <xf numFmtId="41" fontId="2" fillId="0" borderId="8" xfId="2" applyFont="1" applyFill="1" applyBorder="1" applyAlignment="1">
      <alignment wrapText="1"/>
    </xf>
    <xf numFmtId="171" fontId="2" fillId="0" borderId="0" xfId="2" applyNumberFormat="1" applyFont="1" applyFill="1" applyAlignment="1">
      <alignment vertical="center"/>
    </xf>
    <xf numFmtId="43" fontId="2" fillId="0" borderId="0" xfId="0" applyNumberFormat="1" applyFont="1"/>
    <xf numFmtId="164" fontId="2" fillId="0" borderId="0" xfId="0" applyNumberFormat="1" applyFont="1"/>
    <xf numFmtId="165" fontId="2" fillId="0" borderId="4" xfId="1" applyNumberFormat="1" applyFont="1" applyFill="1" applyBorder="1"/>
    <xf numFmtId="165" fontId="3" fillId="2" borderId="0" xfId="2" applyNumberFormat="1" applyFont="1" applyFill="1"/>
    <xf numFmtId="165" fontId="3" fillId="2" borderId="0" xfId="2" applyNumberFormat="1" applyFont="1" applyFill="1" applyAlignment="1">
      <alignment horizontal="center"/>
    </xf>
    <xf numFmtId="165" fontId="3" fillId="2" borderId="3" xfId="2" applyNumberFormat="1" applyFont="1" applyFill="1" applyBorder="1"/>
    <xf numFmtId="165" fontId="9" fillId="2" borderId="0" xfId="2" applyNumberFormat="1" applyFont="1" applyFill="1"/>
    <xf numFmtId="165" fontId="3" fillId="2" borderId="4" xfId="2" applyNumberFormat="1" applyFont="1" applyFill="1" applyBorder="1"/>
    <xf numFmtId="165" fontId="2" fillId="2" borderId="4" xfId="2" applyNumberFormat="1" applyFont="1" applyFill="1" applyBorder="1"/>
    <xf numFmtId="165" fontId="3" fillId="2" borderId="4" xfId="2" quotePrefix="1" applyNumberFormat="1" applyFont="1" applyFill="1" applyBorder="1" applyAlignment="1">
      <alignment horizontal="center"/>
    </xf>
    <xf numFmtId="165" fontId="3" fillId="2" borderId="4" xfId="2" applyNumberFormat="1" applyFont="1" applyFill="1" applyBorder="1" applyAlignment="1">
      <alignment horizontal="center"/>
    </xf>
    <xf numFmtId="165" fontId="3" fillId="2" borderId="4" xfId="2" quotePrefix="1" applyNumberFormat="1" applyFont="1" applyFill="1" applyBorder="1"/>
    <xf numFmtId="165" fontId="2" fillId="2" borderId="4" xfId="2" applyNumberFormat="1" applyFont="1" applyFill="1" applyBorder="1" applyAlignment="1">
      <alignment horizontal="center"/>
    </xf>
    <xf numFmtId="41" fontId="3" fillId="0" borderId="4" xfId="2" applyFont="1" applyFill="1" applyBorder="1"/>
    <xf numFmtId="165" fontId="3" fillId="0" borderId="4" xfId="2" applyNumberFormat="1" applyFont="1" applyFill="1" applyBorder="1"/>
    <xf numFmtId="0" fontId="3" fillId="0" borderId="4" xfId="0" applyFont="1" applyBorder="1" applyAlignment="1">
      <alignment horizontal="center" vertical="center"/>
    </xf>
    <xf numFmtId="0" fontId="3" fillId="0" borderId="4" xfId="0" applyFont="1" applyBorder="1" applyAlignment="1">
      <alignment vertical="center"/>
    </xf>
    <xf numFmtId="166" fontId="2" fillId="2" borderId="0" xfId="0" applyNumberFormat="1" applyFont="1" applyFill="1"/>
    <xf numFmtId="166" fontId="2" fillId="2" borderId="0" xfId="1" applyNumberFormat="1" applyFont="1" applyFill="1"/>
    <xf numFmtId="164" fontId="2" fillId="2" borderId="3" xfId="0" applyNumberFormat="1" applyFont="1" applyFill="1" applyBorder="1"/>
    <xf numFmtId="0" fontId="2" fillId="2" borderId="2" xfId="0" quotePrefix="1" applyFont="1" applyFill="1" applyBorder="1" applyAlignment="1">
      <alignment horizontal="center"/>
    </xf>
    <xf numFmtId="0" fontId="2" fillId="2" borderId="2" xfId="0" quotePrefix="1" applyFont="1" applyFill="1" applyBorder="1"/>
    <xf numFmtId="0" fontId="2" fillId="2" borderId="2" xfId="0" applyFont="1" applyFill="1" applyBorder="1" applyAlignment="1">
      <alignment horizontal="center"/>
    </xf>
    <xf numFmtId="164" fontId="2" fillId="2" borderId="0" xfId="0" applyNumberFormat="1" applyFont="1" applyFill="1"/>
    <xf numFmtId="43" fontId="10" fillId="0" borderId="5" xfId="1" applyFont="1" applyFill="1" applyBorder="1"/>
    <xf numFmtId="0" fontId="10" fillId="2" borderId="0" xfId="0" applyFont="1" applyFill="1"/>
    <xf numFmtId="43" fontId="10" fillId="0" borderId="6" xfId="1" applyFont="1" applyFill="1" applyBorder="1"/>
    <xf numFmtId="0" fontId="2" fillId="2" borderId="6" xfId="0" quotePrefix="1" applyFont="1" applyFill="1" applyBorder="1" applyAlignment="1">
      <alignment horizontal="center"/>
    </xf>
    <xf numFmtId="0" fontId="3" fillId="2" borderId="6" xfId="0" quotePrefix="1" applyFont="1" applyFill="1" applyBorder="1"/>
    <xf numFmtId="43" fontId="2" fillId="0" borderId="0" xfId="1" applyFont="1"/>
    <xf numFmtId="179" fontId="2" fillId="0" borderId="3" xfId="1" applyNumberFormat="1" applyFont="1" applyBorder="1"/>
    <xf numFmtId="0" fontId="5" fillId="0" borderId="0" xfId="0" applyFont="1"/>
    <xf numFmtId="179" fontId="2" fillId="0" borderId="4" xfId="1" applyNumberFormat="1" applyFont="1" applyFill="1" applyBorder="1"/>
    <xf numFmtId="179" fontId="5" fillId="0" borderId="4" xfId="1" applyNumberFormat="1" applyFont="1" applyFill="1" applyBorder="1"/>
    <xf numFmtId="0" fontId="2" fillId="0" borderId="2" xfId="0" quotePrefix="1" applyFont="1" applyBorder="1" applyAlignment="1">
      <alignment horizontal="center"/>
    </xf>
    <xf numFmtId="0" fontId="2" fillId="0" borderId="2" xfId="0" applyFont="1" applyBorder="1"/>
    <xf numFmtId="0" fontId="2" fillId="0" borderId="2" xfId="0" applyFont="1" applyBorder="1" applyAlignment="1">
      <alignment horizontal="center"/>
    </xf>
    <xf numFmtId="166" fontId="2" fillId="0" borderId="9" xfId="0" applyNumberFormat="1" applyFont="1" applyBorder="1"/>
    <xf numFmtId="41" fontId="3" fillId="3" borderId="0" xfId="2" applyFont="1" applyFill="1"/>
    <xf numFmtId="165" fontId="3" fillId="3" borderId="0" xfId="2" applyNumberFormat="1" applyFont="1" applyFill="1"/>
    <xf numFmtId="43" fontId="2" fillId="0" borderId="10" xfId="1" applyFont="1" applyBorder="1"/>
    <xf numFmtId="43" fontId="2" fillId="0" borderId="11" xfId="1" applyFont="1" applyFill="1" applyBorder="1"/>
    <xf numFmtId="0" fontId="2" fillId="0" borderId="11" xfId="0" quotePrefix="1" applyFont="1" applyBorder="1" applyAlignment="1">
      <alignment horizontal="center"/>
    </xf>
    <xf numFmtId="0" fontId="2" fillId="0" borderId="11" xfId="0" applyFont="1" applyBorder="1"/>
    <xf numFmtId="166" fontId="2" fillId="0" borderId="12" xfId="1" applyNumberFormat="1" applyFont="1" applyFill="1" applyBorder="1"/>
    <xf numFmtId="0" fontId="2" fillId="0" borderId="12" xfId="0" quotePrefix="1" applyFont="1" applyBorder="1" applyAlignment="1">
      <alignment horizontal="center"/>
    </xf>
    <xf numFmtId="0" fontId="2" fillId="0" borderId="12" xfId="0" quotePrefix="1" applyFont="1" applyBorder="1"/>
    <xf numFmtId="43" fontId="8" fillId="0" borderId="3" xfId="1" applyFont="1" applyBorder="1"/>
    <xf numFmtId="43" fontId="5" fillId="0" borderId="4" xfId="1" applyFont="1" applyFill="1" applyBorder="1"/>
    <xf numFmtId="43" fontId="8" fillId="0" borderId="4" xfId="1" applyFont="1" applyFill="1" applyBorder="1"/>
    <xf numFmtId="0" fontId="2" fillId="0" borderId="4" xfId="0" applyFont="1" applyBorder="1"/>
    <xf numFmtId="0" fontId="3" fillId="3" borderId="6" xfId="0" applyFont="1" applyFill="1" applyBorder="1"/>
    <xf numFmtId="43" fontId="2" fillId="0" borderId="3" xfId="1" applyFont="1" applyBorder="1"/>
    <xf numFmtId="43" fontId="2" fillId="0" borderId="0" xfId="1" applyFont="1" applyFill="1" applyBorder="1"/>
    <xf numFmtId="166" fontId="2" fillId="4" borderId="4" xfId="1" applyNumberFormat="1" applyFont="1" applyFill="1" applyBorder="1"/>
    <xf numFmtId="0" fontId="2" fillId="4" borderId="4" xfId="0" quotePrefix="1" applyFont="1" applyFill="1" applyBorder="1" applyAlignment="1">
      <alignment horizontal="center"/>
    </xf>
    <xf numFmtId="0" fontId="2" fillId="4" borderId="4" xfId="0" quotePrefix="1" applyFont="1" applyFill="1" applyBorder="1"/>
    <xf numFmtId="0" fontId="2" fillId="0" borderId="0" xfId="0" applyFont="1" applyAlignment="1">
      <alignment vertical="center"/>
    </xf>
    <xf numFmtId="0" fontId="2" fillId="2" borderId="0" xfId="0" applyFont="1" applyFill="1" applyAlignment="1">
      <alignment vertical="center"/>
    </xf>
    <xf numFmtId="166" fontId="2" fillId="4" borderId="4" xfId="1" applyNumberFormat="1" applyFont="1" applyFill="1" applyBorder="1" applyAlignment="1">
      <alignment horizontal="center" vertical="center"/>
    </xf>
    <xf numFmtId="0" fontId="2" fillId="4" borderId="4" xfId="0" applyFont="1" applyFill="1" applyBorder="1" applyAlignment="1">
      <alignment horizontal="center" vertical="center"/>
    </xf>
    <xf numFmtId="0" fontId="2" fillId="4" borderId="4" xfId="0" applyFont="1" applyFill="1" applyBorder="1" applyAlignment="1">
      <alignment vertical="center"/>
    </xf>
    <xf numFmtId="166" fontId="12" fillId="0" borderId="5" xfId="0" applyNumberFormat="1" applyFont="1" applyBorder="1"/>
    <xf numFmtId="166" fontId="3" fillId="0" borderId="6" xfId="1" applyNumberFormat="1" applyFont="1" applyFill="1" applyBorder="1" applyAlignment="1">
      <alignment horizontal="center"/>
    </xf>
    <xf numFmtId="166" fontId="2" fillId="0" borderId="6" xfId="1" applyNumberFormat="1" applyFont="1" applyFill="1" applyBorder="1"/>
    <xf numFmtId="180" fontId="2" fillId="0" borderId="6" xfId="1" applyNumberFormat="1" applyFont="1" applyFill="1" applyBorder="1"/>
    <xf numFmtId="0" fontId="11" fillId="0" borderId="6" xfId="0" applyFont="1" applyBorder="1" applyAlignment="1">
      <alignment horizontal="center"/>
    </xf>
    <xf numFmtId="0" fontId="13" fillId="0" borderId="6" xfId="0" applyFont="1" applyBorder="1"/>
    <xf numFmtId="0" fontId="2" fillId="4" borderId="4" xfId="0" applyFont="1" applyFill="1" applyBorder="1"/>
    <xf numFmtId="166" fontId="2" fillId="0" borderId="3" xfId="1" applyNumberFormat="1" applyFont="1" applyBorder="1" applyAlignment="1">
      <alignment vertical="center"/>
    </xf>
    <xf numFmtId="0" fontId="3" fillId="0" borderId="0" xfId="0" applyFont="1"/>
    <xf numFmtId="165" fontId="2" fillId="2" borderId="0" xfId="2" applyNumberFormat="1" applyFont="1" applyFill="1" applyAlignment="1">
      <alignment vertical="center"/>
    </xf>
    <xf numFmtId="41" fontId="2" fillId="3" borderId="0" xfId="2" applyFont="1" applyFill="1"/>
    <xf numFmtId="41" fontId="2" fillId="0" borderId="0" xfId="2" applyFont="1" applyAlignment="1">
      <alignment horizontal="left"/>
    </xf>
    <xf numFmtId="165" fontId="2" fillId="0" borderId="13" xfId="2" applyNumberFormat="1" applyFont="1" applyFill="1" applyBorder="1"/>
    <xf numFmtId="165" fontId="2" fillId="0" borderId="14" xfId="2" applyNumberFormat="1" applyFont="1" applyFill="1" applyBorder="1"/>
    <xf numFmtId="165" fontId="2" fillId="0" borderId="15" xfId="2" applyNumberFormat="1" applyFont="1" applyFill="1" applyBorder="1"/>
    <xf numFmtId="0" fontId="2" fillId="0" borderId="14" xfId="0" applyFont="1" applyBorder="1" applyAlignment="1">
      <alignment horizontal="center"/>
    </xf>
    <xf numFmtId="0" fontId="2" fillId="0" borderId="15" xfId="0" applyFont="1" applyBorder="1"/>
    <xf numFmtId="166" fontId="3" fillId="2" borderId="6" xfId="1" applyNumberFormat="1" applyFont="1" applyFill="1" applyBorder="1" applyAlignment="1">
      <alignment horizontal="center"/>
    </xf>
    <xf numFmtId="41" fontId="2" fillId="0" borderId="16" xfId="2" applyFont="1" applyBorder="1"/>
    <xf numFmtId="41" fontId="2" fillId="0" borderId="0" xfId="2" applyFont="1" applyBorder="1"/>
    <xf numFmtId="41" fontId="2" fillId="0" borderId="17" xfId="2" applyFont="1" applyBorder="1"/>
    <xf numFmtId="0" fontId="3" fillId="0" borderId="17" xfId="0" applyFont="1" applyBorder="1"/>
    <xf numFmtId="166" fontId="2" fillId="4" borderId="2" xfId="1" applyNumberFormat="1" applyFont="1" applyFill="1" applyBorder="1"/>
    <xf numFmtId="165" fontId="5" fillId="0" borderId="16" xfId="2" applyNumberFormat="1" applyFont="1" applyBorder="1"/>
    <xf numFmtId="165" fontId="2" fillId="0" borderId="0" xfId="2" applyNumberFormat="1" applyFont="1" applyBorder="1"/>
    <xf numFmtId="165" fontId="5" fillId="0" borderId="17" xfId="2" applyNumberFormat="1" applyFont="1" applyBorder="1"/>
    <xf numFmtId="0" fontId="5" fillId="0" borderId="0" xfId="0" applyFont="1" applyAlignment="1">
      <alignment horizontal="center"/>
    </xf>
    <xf numFmtId="0" fontId="14" fillId="0" borderId="17" xfId="0" applyFont="1" applyBorder="1"/>
    <xf numFmtId="41" fontId="2" fillId="0" borderId="0" xfId="2" applyFont="1" applyFill="1" applyBorder="1"/>
    <xf numFmtId="9" fontId="2" fillId="0" borderId="0" xfId="0" applyNumberFormat="1" applyFont="1"/>
    <xf numFmtId="165" fontId="2" fillId="3" borderId="0" xfId="2" applyNumberFormat="1" applyFont="1" applyFill="1"/>
    <xf numFmtId="41" fontId="2" fillId="0" borderId="0" xfId="2" applyFont="1" applyAlignment="1">
      <alignment horizontal="center"/>
    </xf>
    <xf numFmtId="41" fontId="2" fillId="0" borderId="13" xfId="2" applyFont="1" applyBorder="1"/>
    <xf numFmtId="41" fontId="2" fillId="0" borderId="14" xfId="2" applyFont="1" applyBorder="1"/>
    <xf numFmtId="41" fontId="2" fillId="0" borderId="15" xfId="2" applyFont="1" applyBorder="1"/>
    <xf numFmtId="0" fontId="2" fillId="0" borderId="13" xfId="0" applyFont="1" applyBorder="1" applyAlignment="1">
      <alignment horizontal="center" vertical="center"/>
    </xf>
    <xf numFmtId="0" fontId="2" fillId="0" borderId="15" xfId="0" applyFont="1" applyBorder="1" applyAlignment="1">
      <alignment horizontal="center" vertical="center"/>
    </xf>
    <xf numFmtId="41" fontId="3" fillId="3" borderId="0" xfId="0" applyNumberFormat="1" applyFont="1" applyFill="1"/>
    <xf numFmtId="176" fontId="2" fillId="3" borderId="0" xfId="0" applyNumberFormat="1" applyFont="1" applyFill="1"/>
    <xf numFmtId="41" fontId="2" fillId="0" borderId="18" xfId="2" applyFont="1" applyBorder="1" applyAlignment="1">
      <alignment horizontal="center"/>
    </xf>
    <xf numFmtId="41" fontId="2" fillId="0" borderId="19" xfId="2" applyFont="1" applyBorder="1" applyAlignment="1">
      <alignment horizontal="center"/>
    </xf>
    <xf numFmtId="41" fontId="2" fillId="0" borderId="20" xfId="2" applyFont="1" applyBorder="1" applyAlignment="1"/>
    <xf numFmtId="0" fontId="2" fillId="0" borderId="18" xfId="0" applyFont="1" applyBorder="1" applyAlignment="1">
      <alignment horizontal="center" vertical="center"/>
    </xf>
    <xf numFmtId="0" fontId="2" fillId="0" borderId="20" xfId="0" applyFont="1" applyBorder="1" applyAlignment="1">
      <alignment horizontal="center" vertical="center"/>
    </xf>
    <xf numFmtId="0" fontId="3" fillId="3" borderId="0" xfId="0" applyFont="1" applyFill="1"/>
    <xf numFmtId="0" fontId="2" fillId="0" borderId="0" xfId="0" applyFont="1" applyAlignment="1">
      <alignment horizontal="left"/>
    </xf>
    <xf numFmtId="43" fontId="2" fillId="2" borderId="0" xfId="0" applyNumberFormat="1" applyFont="1" applyFill="1"/>
    <xf numFmtId="0" fontId="12" fillId="2" borderId="4" xfId="0" applyFont="1" applyFill="1" applyBorder="1"/>
    <xf numFmtId="165" fontId="3" fillId="2" borderId="0" xfId="0" applyNumberFormat="1" applyFont="1" applyFill="1"/>
    <xf numFmtId="41" fontId="5" fillId="0" borderId="0" xfId="2" applyFont="1"/>
    <xf numFmtId="165" fontId="2" fillId="0" borderId="4" xfId="2" applyNumberFormat="1" applyFont="1" applyFill="1" applyBorder="1"/>
    <xf numFmtId="165" fontId="5" fillId="0" borderId="4" xfId="2" applyNumberFormat="1" applyFont="1" applyFill="1" applyBorder="1"/>
    <xf numFmtId="10" fontId="2" fillId="0" borderId="0" xfId="0" applyNumberFormat="1" applyFont="1"/>
    <xf numFmtId="165" fontId="8" fillId="0" borderId="13" xfId="2" applyNumberFormat="1" applyFont="1" applyFill="1" applyBorder="1"/>
    <xf numFmtId="165" fontId="8" fillId="0" borderId="14" xfId="2" applyNumberFormat="1" applyFont="1" applyFill="1" applyBorder="1"/>
    <xf numFmtId="165" fontId="8" fillId="0" borderId="15" xfId="2" applyNumberFormat="1" applyFont="1" applyFill="1" applyBorder="1"/>
    <xf numFmtId="0" fontId="14" fillId="0" borderId="0" xfId="0" applyFont="1"/>
    <xf numFmtId="165" fontId="5" fillId="0" borderId="0" xfId="2" applyNumberFormat="1" applyFont="1"/>
    <xf numFmtId="41" fontId="14" fillId="2" borderId="0" xfId="2" applyFont="1" applyFill="1"/>
    <xf numFmtId="166" fontId="5" fillId="0" borderId="0" xfId="1" applyNumberFormat="1" applyFont="1"/>
    <xf numFmtId="0" fontId="5" fillId="0" borderId="4" xfId="0" applyFont="1" applyBorder="1" applyAlignment="1">
      <alignment horizontal="center"/>
    </xf>
    <xf numFmtId="0" fontId="5" fillId="0" borderId="4" xfId="0" quotePrefix="1" applyFont="1" applyBorder="1"/>
    <xf numFmtId="0" fontId="14" fillId="0" borderId="4" xfId="0" applyFont="1" applyBorder="1" applyAlignment="1">
      <alignment horizontal="center"/>
    </xf>
    <xf numFmtId="41" fontId="2" fillId="0" borderId="16" xfId="2" applyFont="1" applyFill="1" applyBorder="1"/>
    <xf numFmtId="41" fontId="2" fillId="0" borderId="17" xfId="2" applyFont="1" applyFill="1" applyBorder="1"/>
    <xf numFmtId="0" fontId="2" fillId="4" borderId="4" xfId="0" applyFont="1" applyFill="1" applyBorder="1" applyAlignment="1">
      <alignment horizontal="center"/>
    </xf>
    <xf numFmtId="165" fontId="5" fillId="0" borderId="0" xfId="2" applyNumberFormat="1" applyFont="1" applyBorder="1"/>
    <xf numFmtId="166" fontId="2" fillId="0" borderId="0" xfId="1" applyNumberFormat="1" applyFont="1" applyAlignment="1">
      <alignment horizontal="center"/>
    </xf>
    <xf numFmtId="0" fontId="12" fillId="0" borderId="3" xfId="0" applyFont="1" applyBorder="1"/>
    <xf numFmtId="166" fontId="3" fillId="2" borderId="6" xfId="1" applyNumberFormat="1" applyFont="1" applyFill="1" applyBorder="1"/>
    <xf numFmtId="166" fontId="3" fillId="0" borderId="6" xfId="1" applyNumberFormat="1" applyFont="1" applyFill="1" applyBorder="1"/>
    <xf numFmtId="43" fontId="2" fillId="0" borderId="6" xfId="1" applyFont="1" applyFill="1" applyBorder="1"/>
    <xf numFmtId="0" fontId="2" fillId="0" borderId="6" xfId="0" applyFont="1" applyBorder="1" applyAlignment="1">
      <alignment horizontal="center" vertical="center"/>
    </xf>
    <xf numFmtId="0" fontId="13" fillId="0" borderId="6" xfId="0" applyFont="1" applyBorder="1" applyAlignment="1">
      <alignment vertical="center"/>
    </xf>
    <xf numFmtId="0" fontId="2" fillId="0" borderId="14" xfId="0" applyFont="1" applyBorder="1" applyAlignment="1">
      <alignment horizontal="center" vertical="center"/>
    </xf>
    <xf numFmtId="0" fontId="3" fillId="3" borderId="3" xfId="0" quotePrefix="1" applyFont="1" applyFill="1" applyBorder="1"/>
    <xf numFmtId="41" fontId="2" fillId="0" borderId="20" xfId="2" applyFont="1" applyBorder="1" applyAlignment="1">
      <alignment horizontal="center"/>
    </xf>
    <xf numFmtId="0" fontId="2" fillId="0" borderId="19" xfId="0" applyFont="1" applyBorder="1" applyAlignment="1">
      <alignment horizontal="center" vertical="center"/>
    </xf>
    <xf numFmtId="166" fontId="3" fillId="0" borderId="21" xfId="1" applyNumberFormat="1" applyFont="1" applyBorder="1" applyAlignment="1">
      <alignment vertical="center"/>
    </xf>
    <xf numFmtId="166" fontId="3" fillId="0" borderId="22" xfId="1" applyNumberFormat="1" applyFont="1" applyFill="1" applyBorder="1" applyAlignment="1">
      <alignment horizontal="right" vertical="center"/>
    </xf>
    <xf numFmtId="166" fontId="3" fillId="2" borderId="22" xfId="1" applyNumberFormat="1" applyFont="1" applyFill="1" applyBorder="1" applyAlignment="1">
      <alignment horizontal="right" vertical="center"/>
    </xf>
    <xf numFmtId="166" fontId="3" fillId="3" borderId="22" xfId="1" applyNumberFormat="1" applyFont="1" applyFill="1" applyBorder="1" applyAlignment="1">
      <alignment horizontal="right" vertical="center"/>
    </xf>
    <xf numFmtId="0" fontId="3" fillId="0" borderId="22" xfId="0" applyFont="1" applyBorder="1" applyAlignment="1">
      <alignment horizontal="center" vertical="center"/>
    </xf>
    <xf numFmtId="0" fontId="3" fillId="0" borderId="22" xfId="0" applyFont="1" applyBorder="1" applyAlignment="1">
      <alignment vertical="center"/>
    </xf>
    <xf numFmtId="0" fontId="3" fillId="2" borderId="4" xfId="0" applyFont="1" applyFill="1" applyBorder="1" applyAlignment="1">
      <alignment horizontal="center" vertical="top"/>
    </xf>
    <xf numFmtId="164" fontId="15" fillId="0" borderId="3" xfId="0" applyNumberFormat="1" applyFont="1" applyBorder="1"/>
    <xf numFmtId="164" fontId="15" fillId="0" borderId="0" xfId="0" applyNumberFormat="1" applyFont="1"/>
    <xf numFmtId="43" fontId="15" fillId="0" borderId="2" xfId="1" applyFont="1" applyFill="1" applyBorder="1" applyAlignment="1">
      <alignment horizontal="right" vertical="center"/>
    </xf>
    <xf numFmtId="0" fontId="2" fillId="0" borderId="2" xfId="0" applyFont="1" applyBorder="1" applyAlignment="1">
      <alignment horizontal="center" vertical="center"/>
    </xf>
    <xf numFmtId="0" fontId="2" fillId="0" borderId="2" xfId="0" applyFont="1" applyBorder="1" applyAlignment="1">
      <alignment vertical="center"/>
    </xf>
    <xf numFmtId="166" fontId="2" fillId="0" borderId="4" xfId="1" applyNumberFormat="1" applyFont="1" applyFill="1" applyBorder="1" applyAlignment="1">
      <alignment horizontal="right" vertical="center"/>
    </xf>
    <xf numFmtId="0" fontId="6" fillId="3" borderId="5" xfId="0" applyFont="1" applyFill="1" applyBorder="1" applyAlignment="1">
      <alignment vertical="center"/>
    </xf>
    <xf numFmtId="166" fontId="2" fillId="0" borderId="6" xfId="1" applyNumberFormat="1" applyFont="1" applyFill="1" applyBorder="1" applyAlignment="1">
      <alignment horizontal="right" vertical="center"/>
    </xf>
    <xf numFmtId="43" fontId="15" fillId="0" borderId="4" xfId="1" applyFont="1" applyFill="1" applyBorder="1" applyAlignment="1">
      <alignment horizontal="right" vertical="center"/>
    </xf>
    <xf numFmtId="0" fontId="3" fillId="3" borderId="4" xfId="0" applyFont="1" applyFill="1" applyBorder="1" applyAlignment="1">
      <alignment vertical="center"/>
    </xf>
    <xf numFmtId="181" fontId="16" fillId="0" borderId="3" xfId="0" applyNumberFormat="1" applyFont="1" applyBorder="1"/>
    <xf numFmtId="0" fontId="6" fillId="3" borderId="3" xfId="0" applyFont="1" applyFill="1" applyBorder="1" applyAlignment="1">
      <alignment vertical="center"/>
    </xf>
    <xf numFmtId="0" fontId="3" fillId="0" borderId="7" xfId="0" applyFont="1" applyBorder="1" applyAlignment="1">
      <alignment horizontal="center" wrapText="1"/>
    </xf>
    <xf numFmtId="0" fontId="3" fillId="0" borderId="23" xfId="0" applyFont="1" applyBorder="1" applyAlignment="1">
      <alignment horizontal="center" wrapText="1"/>
    </xf>
    <xf numFmtId="180" fontId="2" fillId="0" borderId="0" xfId="0" applyNumberFormat="1" applyFont="1"/>
    <xf numFmtId="0" fontId="3" fillId="5" borderId="22" xfId="0" applyFont="1" applyFill="1" applyBorder="1" applyAlignment="1">
      <alignment horizontal="center" vertical="center" wrapText="1"/>
    </xf>
    <xf numFmtId="0" fontId="2" fillId="6" borderId="6" xfId="0" applyFont="1" applyFill="1" applyBorder="1" applyAlignment="1">
      <alignment horizontal="center" vertical="center"/>
    </xf>
    <xf numFmtId="0" fontId="2" fillId="6" borderId="4" xfId="0" applyFont="1" applyFill="1" applyBorder="1" applyAlignment="1">
      <alignment horizontal="center" vertical="center"/>
    </xf>
    <xf numFmtId="0" fontId="2" fillId="6" borderId="2" xfId="0" applyFont="1" applyFill="1" applyBorder="1" applyAlignment="1">
      <alignment horizontal="center" vertical="center"/>
    </xf>
    <xf numFmtId="0" fontId="3" fillId="6" borderId="22" xfId="0" applyFont="1" applyFill="1" applyBorder="1" applyAlignment="1">
      <alignment horizontal="center" vertical="center"/>
    </xf>
    <xf numFmtId="166" fontId="2" fillId="6" borderId="4" xfId="1" applyNumberFormat="1" applyFont="1" applyFill="1" applyBorder="1" applyAlignment="1">
      <alignment horizontal="center"/>
    </xf>
    <xf numFmtId="43" fontId="5" fillId="6" borderId="4" xfId="1" applyFont="1" applyFill="1" applyBorder="1" applyAlignment="1">
      <alignment horizontal="center"/>
    </xf>
    <xf numFmtId="43" fontId="2" fillId="6" borderId="4" xfId="1" applyFont="1" applyFill="1" applyBorder="1" applyAlignment="1">
      <alignment horizontal="center"/>
    </xf>
    <xf numFmtId="43" fontId="2" fillId="6" borderId="4" xfId="1" applyFont="1" applyFill="1" applyBorder="1" applyAlignment="1">
      <alignment horizontal="right"/>
    </xf>
    <xf numFmtId="0" fontId="2" fillId="6" borderId="4" xfId="0" applyFont="1" applyFill="1" applyBorder="1" applyAlignment="1">
      <alignment horizontal="center"/>
    </xf>
    <xf numFmtId="0" fontId="11" fillId="6" borderId="6" xfId="0" applyFont="1" applyFill="1" applyBorder="1" applyAlignment="1">
      <alignment horizontal="center"/>
    </xf>
    <xf numFmtId="41" fontId="2" fillId="6" borderId="4" xfId="2" applyFont="1" applyFill="1" applyBorder="1" applyAlignment="1">
      <alignment horizontal="center"/>
    </xf>
    <xf numFmtId="41" fontId="11" fillId="6" borderId="6" xfId="2" applyFont="1" applyFill="1" applyBorder="1" applyAlignment="1">
      <alignment horizontal="center"/>
    </xf>
    <xf numFmtId="41" fontId="11" fillId="6" borderId="4" xfId="2" applyFont="1" applyFill="1" applyBorder="1" applyAlignment="1">
      <alignment horizontal="center" vertical="center"/>
    </xf>
    <xf numFmtId="167" fontId="2" fillId="0" borderId="0" xfId="0" applyNumberFormat="1" applyFont="1"/>
    <xf numFmtId="43" fontId="2" fillId="6" borderId="12" xfId="1" applyFont="1" applyFill="1" applyBorder="1" applyAlignment="1">
      <alignment horizontal="center"/>
    </xf>
    <xf numFmtId="0" fontId="2" fillId="6" borderId="11" xfId="0" applyFont="1" applyFill="1" applyBorder="1" applyAlignment="1">
      <alignment horizontal="center"/>
    </xf>
    <xf numFmtId="175" fontId="2" fillId="6" borderId="6" xfId="1" applyNumberFormat="1" applyFont="1" applyFill="1" applyBorder="1" applyAlignment="1">
      <alignment horizontal="center"/>
    </xf>
    <xf numFmtId="178" fontId="2" fillId="6" borderId="4" xfId="1" applyNumberFormat="1" applyFont="1" applyFill="1" applyBorder="1" applyAlignment="1">
      <alignment horizontal="center"/>
    </xf>
    <xf numFmtId="0" fontId="3" fillId="6" borderId="4" xfId="0" applyFont="1" applyFill="1" applyBorder="1" applyAlignment="1">
      <alignment horizontal="center" vertical="center"/>
    </xf>
    <xf numFmtId="0" fontId="3" fillId="6" borderId="4" xfId="0" applyFont="1" applyFill="1" applyBorder="1" applyAlignment="1">
      <alignment horizontal="center"/>
    </xf>
    <xf numFmtId="175" fontId="2" fillId="6" borderId="4" xfId="1" applyNumberFormat="1" applyFont="1" applyFill="1" applyBorder="1" applyAlignment="1">
      <alignment horizontal="center"/>
    </xf>
    <xf numFmtId="43" fontId="3" fillId="6" borderId="2" xfId="1" applyFont="1" applyFill="1" applyBorder="1" applyAlignment="1">
      <alignment horizontal="center"/>
    </xf>
    <xf numFmtId="167" fontId="2" fillId="0" borderId="4" xfId="1" applyNumberFormat="1" applyFont="1" applyFill="1" applyBorder="1" applyAlignment="1">
      <alignment vertical="center"/>
    </xf>
    <xf numFmtId="166" fontId="3" fillId="6" borderId="4" xfId="1" applyNumberFormat="1" applyFont="1" applyFill="1" applyBorder="1" applyAlignment="1">
      <alignment horizontal="center"/>
    </xf>
    <xf numFmtId="43" fontId="2" fillId="6" borderId="4" xfId="1" applyFont="1" applyFill="1" applyBorder="1" applyAlignment="1">
      <alignment horizontal="center" vertical="center"/>
    </xf>
    <xf numFmtId="43" fontId="2" fillId="6" borderId="4" xfId="1" applyFont="1" applyFill="1" applyBorder="1" applyAlignment="1">
      <alignment vertical="center"/>
    </xf>
    <xf numFmtId="0" fontId="2" fillId="6" borderId="4" xfId="0" applyFont="1" applyFill="1" applyBorder="1" applyAlignment="1">
      <alignment horizontal="right"/>
    </xf>
    <xf numFmtId="0" fontId="3" fillId="6" borderId="2" xfId="0" applyFont="1" applyFill="1" applyBorder="1" applyAlignment="1">
      <alignment horizontal="center"/>
    </xf>
    <xf numFmtId="0" fontId="20" fillId="5" borderId="22" xfId="0" applyFont="1" applyFill="1" applyBorder="1" applyAlignment="1">
      <alignment horizontal="center" vertical="center" wrapText="1"/>
    </xf>
    <xf numFmtId="43" fontId="2" fillId="3" borderId="6" xfId="1" applyFont="1" applyFill="1" applyBorder="1" applyAlignment="1">
      <alignment horizontal="center"/>
    </xf>
    <xf numFmtId="0" fontId="2" fillId="3" borderId="6" xfId="0" quotePrefix="1" applyFont="1" applyFill="1" applyBorder="1" applyAlignment="1">
      <alignment horizontal="center"/>
    </xf>
    <xf numFmtId="43" fontId="2" fillId="3" borderId="4" xfId="1" applyFont="1" applyFill="1" applyBorder="1"/>
    <xf numFmtId="164" fontId="2" fillId="3" borderId="3" xfId="0" applyNumberFormat="1" applyFont="1" applyFill="1" applyBorder="1"/>
    <xf numFmtId="43" fontId="2" fillId="6" borderId="2" xfId="1" applyFont="1" applyFill="1" applyBorder="1" applyAlignment="1">
      <alignment horizontal="center"/>
    </xf>
    <xf numFmtId="43" fontId="2" fillId="0" borderId="2" xfId="1" applyFont="1" applyFill="1" applyBorder="1"/>
    <xf numFmtId="0" fontId="2" fillId="3" borderId="4" xfId="0" applyFont="1" applyFill="1" applyBorder="1" applyAlignment="1">
      <alignment vertical="center"/>
    </xf>
    <xf numFmtId="43" fontId="2" fillId="3" borderId="4" xfId="1" applyFont="1" applyFill="1" applyBorder="1" applyAlignment="1">
      <alignment horizontal="center"/>
    </xf>
    <xf numFmtId="0" fontId="2" fillId="3" borderId="4" xfId="0" quotePrefix="1" applyFont="1" applyFill="1" applyBorder="1" applyAlignment="1">
      <alignment horizontal="center"/>
    </xf>
    <xf numFmtId="166" fontId="2" fillId="3" borderId="4" xfId="1" applyNumberFormat="1" applyFont="1" applyFill="1" applyBorder="1"/>
    <xf numFmtId="166" fontId="2" fillId="3" borderId="22" xfId="1" applyNumberFormat="1" applyFont="1" applyFill="1" applyBorder="1"/>
    <xf numFmtId="166" fontId="2" fillId="3" borderId="7" xfId="0" applyNumberFormat="1" applyFont="1" applyFill="1" applyBorder="1"/>
    <xf numFmtId="164" fontId="2" fillId="0" borderId="5" xfId="0" applyNumberFormat="1" applyFont="1" applyBorder="1"/>
    <xf numFmtId="0" fontId="17" fillId="0" borderId="0" xfId="0" applyFont="1" applyAlignment="1">
      <alignment horizontal="center"/>
    </xf>
    <xf numFmtId="0" fontId="3" fillId="5" borderId="6" xfId="0" applyFont="1" applyFill="1" applyBorder="1" applyAlignment="1">
      <alignment horizontal="center" vertical="center"/>
    </xf>
    <xf numFmtId="0" fontId="3" fillId="5" borderId="2" xfId="0" applyFont="1" applyFill="1" applyBorder="1" applyAlignment="1">
      <alignment horizontal="center" vertical="center"/>
    </xf>
    <xf numFmtId="0" fontId="3" fillId="6" borderId="6" xfId="0" applyFont="1" applyFill="1" applyBorder="1" applyAlignment="1">
      <alignment horizontal="center" vertical="center" wrapText="1"/>
    </xf>
    <xf numFmtId="0" fontId="3" fillId="6" borderId="2" xfId="0" applyFont="1" applyFill="1" applyBorder="1" applyAlignment="1">
      <alignment horizontal="center" vertical="center" wrapText="1"/>
    </xf>
    <xf numFmtId="0" fontId="3" fillId="5" borderId="25" xfId="0" applyFont="1" applyFill="1" applyBorder="1" applyAlignment="1">
      <alignment horizontal="center"/>
    </xf>
    <xf numFmtId="0" fontId="3" fillId="5" borderId="24" xfId="0" applyFont="1" applyFill="1" applyBorder="1" applyAlignment="1">
      <alignment horizontal="center"/>
    </xf>
  </cellXfs>
  <cellStyles count="3">
    <cellStyle name="Comma" xfId="1" builtinId="3"/>
    <cellStyle name="Comma [0]" xfId="2" builtinId="6"/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E1:VCV225"/>
  <sheetViews>
    <sheetView tabSelected="1" view="pageBreakPreview" topLeftCell="AA1" zoomScale="80" zoomScaleNormal="80" zoomScaleSheetLayoutView="80" workbookViewId="0">
      <selection activeCell="BF37" sqref="BF37"/>
    </sheetView>
  </sheetViews>
  <sheetFormatPr defaultColWidth="9.109375" defaultRowHeight="14.4" x14ac:dyDescent="0.3"/>
  <cols>
    <col min="1" max="3" width="9.109375" style="1"/>
    <col min="4" max="4" width="5.109375" style="1" customWidth="1"/>
    <col min="5" max="5" width="3.5546875" style="1" customWidth="1"/>
    <col min="6" max="6" width="4.88671875" style="1" customWidth="1"/>
    <col min="7" max="7" width="42.88671875" style="1" customWidth="1"/>
    <col min="8" max="8" width="11" style="1" hidden="1" customWidth="1"/>
    <col min="9" max="9" width="8.33203125" style="1" customWidth="1"/>
    <col min="10" max="10" width="17" style="1" customWidth="1"/>
    <col min="11" max="11" width="13.6640625" style="1" customWidth="1"/>
    <col min="12" max="12" width="15.109375" style="1" customWidth="1"/>
    <col min="13" max="14" width="13.6640625" style="1" customWidth="1"/>
    <col min="15" max="15" width="15.6640625" style="1" customWidth="1"/>
    <col min="16" max="16" width="13.6640625" style="1" customWidth="1"/>
    <col min="17" max="17" width="13.5546875" style="1" customWidth="1"/>
    <col min="18" max="18" width="14" style="1" customWidth="1"/>
    <col min="19" max="20" width="13.6640625" style="1" customWidth="1"/>
    <col min="21" max="22" width="13.44140625" style="1" customWidth="1"/>
    <col min="23" max="25" width="13.6640625" style="1" customWidth="1"/>
    <col min="26" max="26" width="12.88671875" style="1" customWidth="1"/>
    <col min="27" max="31" width="13.5546875" style="1" customWidth="1"/>
    <col min="32" max="32" width="13.6640625" style="1" customWidth="1"/>
    <col min="33" max="33" width="14.5546875" style="1" customWidth="1"/>
    <col min="34" max="34" width="14" style="1" customWidth="1"/>
    <col min="35" max="38" width="13.6640625" style="1" customWidth="1"/>
    <col min="39" max="39" width="13.6640625" style="1" bestFit="1" customWidth="1"/>
    <col min="40" max="40" width="9.109375" style="1" customWidth="1"/>
    <col min="41" max="41" width="16.44140625" style="1" customWidth="1"/>
    <col min="42" max="43" width="13.6640625" style="1" hidden="1" customWidth="1"/>
    <col min="44" max="44" width="9.44140625" style="2" hidden="1" customWidth="1"/>
    <col min="45" max="45" width="12.44140625" style="3" hidden="1" customWidth="1"/>
    <col min="46" max="46" width="12.44140625" style="2" hidden="1" customWidth="1"/>
    <col min="47" max="47" width="9.44140625" style="2" hidden="1" customWidth="1"/>
    <col min="48" max="48" width="12.44140625" style="2" hidden="1" customWidth="1"/>
    <col min="49" max="49" width="9.44140625" style="2" hidden="1" customWidth="1"/>
    <col min="50" max="50" width="8.109375" style="2" hidden="1" customWidth="1"/>
    <col min="51" max="51" width="10.6640625" style="2" hidden="1" customWidth="1"/>
    <col min="52" max="52" width="12" style="2" hidden="1" customWidth="1"/>
    <col min="53" max="54" width="5.33203125" style="2" hidden="1" customWidth="1"/>
    <col min="55" max="63" width="5.33203125" style="2" customWidth="1"/>
    <col min="64" max="78" width="9.109375" style="2" customWidth="1"/>
    <col min="79" max="80" width="9.109375" style="1" customWidth="1"/>
    <col min="81" max="81" width="8.109375" style="1" customWidth="1"/>
    <col min="82" max="90" width="9.109375" style="1" customWidth="1"/>
    <col min="91" max="91" width="14.5546875" style="1" customWidth="1"/>
    <col min="92" max="103" width="9.109375" style="1" customWidth="1"/>
    <col min="104" max="104" width="9.88671875" style="1" customWidth="1"/>
    <col min="105" max="105" width="9.109375" style="1" customWidth="1"/>
    <col min="106" max="106" width="9.109375" customWidth="1"/>
    <col min="107" max="115" width="9.109375" style="1" customWidth="1"/>
    <col min="116" max="143" width="9.109375" style="1"/>
    <col min="144" max="146" width="12.44140625" style="1" customWidth="1"/>
    <col min="147" max="202" width="9.109375" style="1"/>
    <col min="203" max="203" width="9.44140625" style="1" customWidth="1"/>
    <col min="204" max="437" width="9.109375" style="1"/>
    <col min="438" max="439" width="9.44140625" style="1" customWidth="1"/>
    <col min="440" max="440" width="9.109375" style="1"/>
    <col min="441" max="442" width="9.44140625" style="1" customWidth="1"/>
    <col min="443" max="453" width="9.109375" style="1"/>
    <col min="454" max="455" width="9.33203125" style="1" customWidth="1"/>
    <col min="456" max="843" width="9.109375" style="1"/>
    <col min="844" max="846" width="10.6640625" style="1" customWidth="1"/>
    <col min="847" max="855" width="9.109375" style="1"/>
    <col min="856" max="856" width="9.44140625" style="1" customWidth="1"/>
    <col min="857" max="857" width="10.6640625" style="1" customWidth="1"/>
    <col min="858" max="872" width="9.109375" style="1"/>
    <col min="873" max="873" width="11.33203125" style="1" customWidth="1"/>
    <col min="874" max="911" width="9.109375" style="1"/>
    <col min="912" max="913" width="9.33203125" style="1" customWidth="1"/>
    <col min="914" max="963" width="9.109375" style="1"/>
    <col min="964" max="964" width="13.6640625" style="1" customWidth="1"/>
    <col min="965" max="966" width="12.44140625" style="1" customWidth="1"/>
    <col min="967" max="16384" width="9.109375" style="1"/>
  </cols>
  <sheetData>
    <row r="1" spans="6:41" ht="17.399999999999999" x14ac:dyDescent="0.3">
      <c r="F1" s="339" t="s">
        <v>156</v>
      </c>
      <c r="G1" s="339"/>
      <c r="H1" s="339"/>
      <c r="I1" s="339"/>
      <c r="J1" s="339"/>
      <c r="K1" s="339"/>
      <c r="L1" s="339"/>
      <c r="M1" s="339"/>
      <c r="N1" s="339"/>
      <c r="O1" s="339"/>
      <c r="P1" s="339"/>
      <c r="Q1" s="339"/>
      <c r="R1" s="339"/>
      <c r="S1" s="339"/>
      <c r="T1" s="339"/>
      <c r="U1" s="339"/>
      <c r="V1" s="339"/>
      <c r="W1" s="339"/>
      <c r="X1" s="339"/>
      <c r="Y1" s="339"/>
      <c r="Z1" s="339"/>
      <c r="AA1" s="339"/>
      <c r="AB1" s="339"/>
      <c r="AC1" s="339"/>
      <c r="AD1" s="339"/>
      <c r="AE1" s="339"/>
      <c r="AF1" s="339"/>
      <c r="AG1" s="339"/>
      <c r="AH1" s="339"/>
      <c r="AI1" s="339"/>
      <c r="AJ1" s="339"/>
      <c r="AK1" s="339"/>
      <c r="AL1" s="339"/>
      <c r="AM1" s="339"/>
      <c r="AN1" s="339"/>
      <c r="AO1" s="339"/>
    </row>
    <row r="2" spans="6:41" ht="15" thickBot="1" x14ac:dyDescent="0.35">
      <c r="G2" s="295"/>
      <c r="H2" s="12"/>
      <c r="AE2" s="67"/>
      <c r="AF2" s="67"/>
    </row>
    <row r="3" spans="6:41" ht="15.75" customHeight="1" x14ac:dyDescent="0.3">
      <c r="F3" s="340" t="s">
        <v>155</v>
      </c>
      <c r="G3" s="340" t="s">
        <v>154</v>
      </c>
      <c r="H3" s="342" t="s">
        <v>153</v>
      </c>
      <c r="I3" s="340" t="s">
        <v>152</v>
      </c>
      <c r="J3" s="344" t="s">
        <v>151</v>
      </c>
      <c r="K3" s="345"/>
      <c r="L3" s="345"/>
      <c r="M3" s="345"/>
      <c r="N3" s="345"/>
      <c r="O3" s="345"/>
      <c r="P3" s="345"/>
      <c r="Q3" s="345"/>
      <c r="R3" s="345"/>
      <c r="S3" s="345"/>
      <c r="T3" s="345"/>
      <c r="U3" s="345"/>
      <c r="V3" s="345"/>
      <c r="W3" s="345"/>
      <c r="X3" s="345"/>
      <c r="Y3" s="345"/>
      <c r="Z3" s="345"/>
      <c r="AA3" s="345"/>
      <c r="AB3" s="345"/>
      <c r="AC3" s="345"/>
      <c r="AD3" s="345"/>
      <c r="AE3" s="345"/>
      <c r="AF3" s="345"/>
      <c r="AG3" s="345"/>
      <c r="AH3" s="345"/>
      <c r="AI3" s="345"/>
      <c r="AJ3" s="345"/>
      <c r="AK3" s="345"/>
      <c r="AL3" s="345"/>
      <c r="AM3" s="345"/>
      <c r="AO3" s="294" t="s">
        <v>150</v>
      </c>
    </row>
    <row r="4" spans="6:41" x14ac:dyDescent="0.3">
      <c r="F4" s="341"/>
      <c r="G4" s="341"/>
      <c r="H4" s="343"/>
      <c r="I4" s="341"/>
      <c r="J4" s="296">
        <v>1</v>
      </c>
      <c r="K4" s="296">
        <v>2</v>
      </c>
      <c r="L4" s="296">
        <v>3</v>
      </c>
      <c r="M4" s="325">
        <v>4</v>
      </c>
      <c r="N4" s="296">
        <v>5</v>
      </c>
      <c r="O4" s="296">
        <v>6</v>
      </c>
      <c r="P4" s="296">
        <v>7</v>
      </c>
      <c r="Q4" s="296">
        <v>8</v>
      </c>
      <c r="R4" s="296">
        <v>9</v>
      </c>
      <c r="S4" s="296">
        <v>10</v>
      </c>
      <c r="T4" s="325">
        <v>11</v>
      </c>
      <c r="U4" s="296">
        <v>12</v>
      </c>
      <c r="V4" s="296">
        <v>13</v>
      </c>
      <c r="W4" s="296">
        <v>14</v>
      </c>
      <c r="X4" s="296">
        <v>15</v>
      </c>
      <c r="Y4" s="296">
        <v>16</v>
      </c>
      <c r="Z4" s="296">
        <v>17</v>
      </c>
      <c r="AA4" s="325">
        <v>18</v>
      </c>
      <c r="AB4" s="296">
        <v>19</v>
      </c>
      <c r="AC4" s="296">
        <v>20</v>
      </c>
      <c r="AD4" s="296">
        <v>21</v>
      </c>
      <c r="AE4" s="296">
        <v>22</v>
      </c>
      <c r="AF4" s="296">
        <v>23</v>
      </c>
      <c r="AG4" s="296">
        <v>24</v>
      </c>
      <c r="AH4" s="325">
        <v>25</v>
      </c>
      <c r="AI4" s="296">
        <v>26</v>
      </c>
      <c r="AJ4" s="296">
        <v>27</v>
      </c>
      <c r="AK4" s="296">
        <v>28</v>
      </c>
      <c r="AL4" s="296">
        <v>29</v>
      </c>
      <c r="AM4" s="296">
        <v>30</v>
      </c>
      <c r="AO4" s="293"/>
    </row>
    <row r="5" spans="6:41" ht="15" hidden="1" customHeight="1" x14ac:dyDescent="0.3">
      <c r="F5" s="280">
        <v>1</v>
      </c>
      <c r="G5" s="103" t="s">
        <v>149</v>
      </c>
      <c r="H5" s="297"/>
      <c r="I5" s="268"/>
      <c r="J5" s="288"/>
      <c r="K5" s="288"/>
      <c r="L5" s="288"/>
      <c r="M5" s="288"/>
      <c r="N5" s="288"/>
      <c r="O5" s="288"/>
      <c r="P5" s="288"/>
      <c r="Q5" s="288"/>
      <c r="R5" s="288"/>
      <c r="S5" s="288"/>
      <c r="T5" s="288"/>
      <c r="U5" s="288"/>
      <c r="V5" s="288"/>
      <c r="W5" s="288"/>
      <c r="X5" s="288"/>
      <c r="Y5" s="288"/>
      <c r="Z5" s="288"/>
      <c r="AA5" s="288"/>
      <c r="AB5" s="288"/>
      <c r="AC5" s="288"/>
      <c r="AD5" s="288"/>
      <c r="AE5" s="288"/>
      <c r="AF5" s="288"/>
      <c r="AG5" s="288"/>
      <c r="AH5" s="288"/>
      <c r="AI5" s="288"/>
      <c r="AJ5" s="288"/>
      <c r="AK5" s="288"/>
      <c r="AL5" s="288"/>
      <c r="AM5" s="288"/>
      <c r="AN5" s="67"/>
      <c r="AO5" s="292" t="s">
        <v>146</v>
      </c>
    </row>
    <row r="6" spans="6:41" ht="15" hidden="1" customHeight="1" x14ac:dyDescent="0.3">
      <c r="F6" s="280"/>
      <c r="G6" s="99" t="s">
        <v>138</v>
      </c>
      <c r="H6" s="298"/>
      <c r="I6" s="36" t="s">
        <v>16</v>
      </c>
      <c r="J6" s="286"/>
      <c r="K6" s="286"/>
      <c r="L6" s="286"/>
      <c r="M6" s="286"/>
      <c r="N6" s="286"/>
      <c r="O6" s="286"/>
      <c r="P6" s="286"/>
      <c r="Q6" s="286"/>
      <c r="R6" s="286"/>
      <c r="S6" s="286"/>
      <c r="T6" s="286"/>
      <c r="U6" s="286"/>
      <c r="V6" s="286"/>
      <c r="W6" s="286"/>
      <c r="X6" s="286"/>
      <c r="Y6" s="286"/>
      <c r="Z6" s="286"/>
      <c r="AA6" s="286"/>
      <c r="AB6" s="286"/>
      <c r="AC6" s="286"/>
      <c r="AD6" s="286"/>
      <c r="AE6" s="286"/>
      <c r="AF6" s="286"/>
      <c r="AG6" s="286"/>
      <c r="AH6" s="286"/>
      <c r="AI6" s="286"/>
      <c r="AJ6" s="286"/>
      <c r="AK6" s="286"/>
      <c r="AL6" s="286"/>
      <c r="AM6" s="286"/>
      <c r="AN6" s="67"/>
      <c r="AO6" s="13">
        <f>SUM(J6:AM6)</f>
        <v>0</v>
      </c>
    </row>
    <row r="7" spans="6:41" ht="15" hidden="1" customHeight="1" x14ac:dyDescent="0.3">
      <c r="F7" s="280"/>
      <c r="G7" s="99" t="s">
        <v>137</v>
      </c>
      <c r="H7" s="298"/>
      <c r="I7" s="36" t="s">
        <v>16</v>
      </c>
      <c r="J7" s="286"/>
      <c r="K7" s="286"/>
      <c r="L7" s="286"/>
      <c r="M7" s="286"/>
      <c r="N7" s="286"/>
      <c r="O7" s="286"/>
      <c r="P7" s="286"/>
      <c r="Q7" s="286"/>
      <c r="R7" s="286"/>
      <c r="S7" s="286"/>
      <c r="T7" s="286"/>
      <c r="U7" s="286"/>
      <c r="V7" s="286"/>
      <c r="W7" s="286"/>
      <c r="X7" s="286"/>
      <c r="Y7" s="286"/>
      <c r="Z7" s="286"/>
      <c r="AA7" s="286"/>
      <c r="AB7" s="286"/>
      <c r="AC7" s="286"/>
      <c r="AD7" s="286"/>
      <c r="AE7" s="286"/>
      <c r="AF7" s="286"/>
      <c r="AG7" s="286"/>
      <c r="AH7" s="286"/>
      <c r="AI7" s="286"/>
      <c r="AJ7" s="286"/>
      <c r="AK7" s="286"/>
      <c r="AL7" s="286"/>
      <c r="AM7" s="286"/>
      <c r="AN7" s="67"/>
      <c r="AO7" s="13">
        <f>SUM(J7:AM7)</f>
        <v>0</v>
      </c>
    </row>
    <row r="8" spans="6:41" ht="15" hidden="1" customHeight="1" x14ac:dyDescent="0.3">
      <c r="F8" s="280"/>
      <c r="G8" s="285" t="s">
        <v>136</v>
      </c>
      <c r="H8" s="299"/>
      <c r="I8" s="284" t="s">
        <v>29</v>
      </c>
      <c r="J8" s="283" t="e">
        <f t="shared" ref="J8:AM8" si="0">((J7-J6)/J6)*100</f>
        <v>#DIV/0!</v>
      </c>
      <c r="K8" s="283" t="e">
        <f t="shared" si="0"/>
        <v>#DIV/0!</v>
      </c>
      <c r="L8" s="283" t="e">
        <f t="shared" si="0"/>
        <v>#DIV/0!</v>
      </c>
      <c r="M8" s="283" t="e">
        <f t="shared" si="0"/>
        <v>#DIV/0!</v>
      </c>
      <c r="N8" s="283" t="e">
        <f t="shared" si="0"/>
        <v>#DIV/0!</v>
      </c>
      <c r="O8" s="283" t="e">
        <f t="shared" si="0"/>
        <v>#DIV/0!</v>
      </c>
      <c r="P8" s="283" t="e">
        <f t="shared" si="0"/>
        <v>#DIV/0!</v>
      </c>
      <c r="Q8" s="283" t="e">
        <f t="shared" si="0"/>
        <v>#DIV/0!</v>
      </c>
      <c r="R8" s="283" t="e">
        <f t="shared" si="0"/>
        <v>#DIV/0!</v>
      </c>
      <c r="S8" s="283" t="e">
        <f t="shared" si="0"/>
        <v>#DIV/0!</v>
      </c>
      <c r="T8" s="283" t="e">
        <f t="shared" si="0"/>
        <v>#DIV/0!</v>
      </c>
      <c r="U8" s="283" t="e">
        <f t="shared" si="0"/>
        <v>#DIV/0!</v>
      </c>
      <c r="V8" s="283" t="e">
        <f t="shared" si="0"/>
        <v>#DIV/0!</v>
      </c>
      <c r="W8" s="283" t="e">
        <f t="shared" si="0"/>
        <v>#DIV/0!</v>
      </c>
      <c r="X8" s="283" t="e">
        <f t="shared" si="0"/>
        <v>#DIV/0!</v>
      </c>
      <c r="Y8" s="283" t="e">
        <f t="shared" si="0"/>
        <v>#DIV/0!</v>
      </c>
      <c r="Z8" s="283" t="e">
        <f t="shared" si="0"/>
        <v>#DIV/0!</v>
      </c>
      <c r="AA8" s="283" t="e">
        <f t="shared" si="0"/>
        <v>#DIV/0!</v>
      </c>
      <c r="AB8" s="283" t="e">
        <f t="shared" si="0"/>
        <v>#DIV/0!</v>
      </c>
      <c r="AC8" s="283" t="e">
        <f t="shared" si="0"/>
        <v>#DIV/0!</v>
      </c>
      <c r="AD8" s="283" t="e">
        <f t="shared" si="0"/>
        <v>#DIV/0!</v>
      </c>
      <c r="AE8" s="283" t="e">
        <f t="shared" si="0"/>
        <v>#DIV/0!</v>
      </c>
      <c r="AF8" s="283" t="e">
        <f t="shared" si="0"/>
        <v>#DIV/0!</v>
      </c>
      <c r="AG8" s="283" t="e">
        <f t="shared" si="0"/>
        <v>#DIV/0!</v>
      </c>
      <c r="AH8" s="283" t="e">
        <f t="shared" si="0"/>
        <v>#DIV/0!</v>
      </c>
      <c r="AI8" s="283" t="e">
        <f t="shared" si="0"/>
        <v>#DIV/0!</v>
      </c>
      <c r="AJ8" s="283" t="e">
        <f t="shared" si="0"/>
        <v>#DIV/0!</v>
      </c>
      <c r="AK8" s="283" t="e">
        <f t="shared" si="0"/>
        <v>#DIV/0!</v>
      </c>
      <c r="AL8" s="283" t="e">
        <f t="shared" si="0"/>
        <v>#DIV/0!</v>
      </c>
      <c r="AM8" s="283" t="e">
        <f t="shared" si="0"/>
        <v>#DIV/0!</v>
      </c>
      <c r="AN8" s="67"/>
      <c r="AO8" s="291" t="e">
        <f>((AO7-AO6)/AO6)*100</f>
        <v>#DIV/0!</v>
      </c>
    </row>
    <row r="9" spans="6:41" ht="15" hidden="1" customHeight="1" x14ac:dyDescent="0.3">
      <c r="F9" s="280"/>
      <c r="G9" s="103" t="s">
        <v>148</v>
      </c>
      <c r="H9" s="297"/>
      <c r="I9" s="268"/>
      <c r="J9" s="288"/>
      <c r="K9" s="288"/>
      <c r="L9" s="288"/>
      <c r="M9" s="288"/>
      <c r="N9" s="288"/>
      <c r="O9" s="288"/>
      <c r="P9" s="288"/>
      <c r="Q9" s="288"/>
      <c r="R9" s="288"/>
      <c r="S9" s="288"/>
      <c r="T9" s="288"/>
      <c r="U9" s="288"/>
      <c r="V9" s="288"/>
      <c r="W9" s="288"/>
      <c r="X9" s="288"/>
      <c r="Y9" s="288"/>
      <c r="Z9" s="288"/>
      <c r="AA9" s="288"/>
      <c r="AB9" s="288"/>
      <c r="AC9" s="288"/>
      <c r="AD9" s="288"/>
      <c r="AE9" s="288"/>
      <c r="AF9" s="288"/>
      <c r="AG9" s="288"/>
      <c r="AH9" s="288"/>
      <c r="AI9" s="288"/>
      <c r="AJ9" s="288"/>
      <c r="AK9" s="288"/>
      <c r="AL9" s="288"/>
      <c r="AM9" s="288"/>
      <c r="AN9" s="67"/>
      <c r="AO9" s="292" t="s">
        <v>146</v>
      </c>
    </row>
    <row r="10" spans="6:41" ht="15" hidden="1" customHeight="1" x14ac:dyDescent="0.3">
      <c r="F10" s="280"/>
      <c r="G10" s="99" t="s">
        <v>145</v>
      </c>
      <c r="H10" s="298"/>
      <c r="I10" s="36" t="s">
        <v>16</v>
      </c>
      <c r="J10" s="286"/>
      <c r="K10" s="286"/>
      <c r="L10" s="286"/>
      <c r="M10" s="286"/>
      <c r="N10" s="286"/>
      <c r="O10" s="286"/>
      <c r="P10" s="286"/>
      <c r="Q10" s="286"/>
      <c r="R10" s="286"/>
      <c r="S10" s="286"/>
      <c r="T10" s="286"/>
      <c r="U10" s="286"/>
      <c r="V10" s="286"/>
      <c r="W10" s="286"/>
      <c r="X10" s="286"/>
      <c r="Y10" s="286"/>
      <c r="Z10" s="286"/>
      <c r="AA10" s="286"/>
      <c r="AB10" s="286"/>
      <c r="AC10" s="286"/>
      <c r="AD10" s="286"/>
      <c r="AE10" s="286"/>
      <c r="AF10" s="286"/>
      <c r="AG10" s="286"/>
      <c r="AH10" s="286"/>
      <c r="AI10" s="286"/>
      <c r="AJ10" s="286"/>
      <c r="AK10" s="286"/>
      <c r="AL10" s="286"/>
      <c r="AM10" s="286"/>
      <c r="AN10" s="67"/>
      <c r="AO10" s="13">
        <f>SUM(J10:AM10)</f>
        <v>0</v>
      </c>
    </row>
    <row r="11" spans="6:41" ht="15" hidden="1" customHeight="1" x14ac:dyDescent="0.3">
      <c r="F11" s="280"/>
      <c r="G11" s="99" t="s">
        <v>144</v>
      </c>
      <c r="H11" s="298"/>
      <c r="I11" s="36" t="s">
        <v>16</v>
      </c>
      <c r="J11" s="286"/>
      <c r="K11" s="286"/>
      <c r="L11" s="286"/>
      <c r="M11" s="286"/>
      <c r="N11" s="286"/>
      <c r="O11" s="286"/>
      <c r="P11" s="286"/>
      <c r="Q11" s="286"/>
      <c r="R11" s="286"/>
      <c r="S11" s="286"/>
      <c r="T11" s="286"/>
      <c r="U11" s="286"/>
      <c r="V11" s="286"/>
      <c r="W11" s="286"/>
      <c r="X11" s="286"/>
      <c r="Y11" s="286"/>
      <c r="Z11" s="286"/>
      <c r="AA11" s="286"/>
      <c r="AB11" s="286"/>
      <c r="AC11" s="286"/>
      <c r="AD11" s="286"/>
      <c r="AE11" s="286"/>
      <c r="AF11" s="286"/>
      <c r="AG11" s="286"/>
      <c r="AH11" s="286"/>
      <c r="AI11" s="286"/>
      <c r="AJ11" s="286"/>
      <c r="AK11" s="286"/>
      <c r="AL11" s="286"/>
      <c r="AM11" s="286"/>
      <c r="AN11" s="67"/>
      <c r="AO11" s="13">
        <f>SUM(J11:AM11)</f>
        <v>0</v>
      </c>
    </row>
    <row r="12" spans="6:41" ht="15" hidden="1" customHeight="1" x14ac:dyDescent="0.3">
      <c r="F12" s="280"/>
      <c r="G12" s="285" t="s">
        <v>143</v>
      </c>
      <c r="H12" s="299"/>
      <c r="I12" s="284" t="s">
        <v>29</v>
      </c>
      <c r="J12" s="283" t="e">
        <f t="shared" ref="J12:AM12" si="1">((J11-J10)/J10)*100</f>
        <v>#DIV/0!</v>
      </c>
      <c r="K12" s="283" t="e">
        <f t="shared" si="1"/>
        <v>#DIV/0!</v>
      </c>
      <c r="L12" s="283" t="e">
        <f t="shared" si="1"/>
        <v>#DIV/0!</v>
      </c>
      <c r="M12" s="283" t="e">
        <f t="shared" si="1"/>
        <v>#DIV/0!</v>
      </c>
      <c r="N12" s="283" t="e">
        <f t="shared" si="1"/>
        <v>#DIV/0!</v>
      </c>
      <c r="O12" s="283" t="e">
        <f t="shared" si="1"/>
        <v>#DIV/0!</v>
      </c>
      <c r="P12" s="283" t="e">
        <f t="shared" si="1"/>
        <v>#DIV/0!</v>
      </c>
      <c r="Q12" s="283" t="e">
        <f t="shared" si="1"/>
        <v>#DIV/0!</v>
      </c>
      <c r="R12" s="283" t="e">
        <f t="shared" si="1"/>
        <v>#DIV/0!</v>
      </c>
      <c r="S12" s="283" t="e">
        <f t="shared" si="1"/>
        <v>#DIV/0!</v>
      </c>
      <c r="T12" s="283" t="e">
        <f t="shared" si="1"/>
        <v>#DIV/0!</v>
      </c>
      <c r="U12" s="283" t="e">
        <f t="shared" si="1"/>
        <v>#DIV/0!</v>
      </c>
      <c r="V12" s="283" t="e">
        <f t="shared" si="1"/>
        <v>#DIV/0!</v>
      </c>
      <c r="W12" s="283" t="e">
        <f t="shared" si="1"/>
        <v>#DIV/0!</v>
      </c>
      <c r="X12" s="283" t="e">
        <f t="shared" si="1"/>
        <v>#DIV/0!</v>
      </c>
      <c r="Y12" s="283" t="e">
        <f t="shared" si="1"/>
        <v>#DIV/0!</v>
      </c>
      <c r="Z12" s="283" t="e">
        <f t="shared" si="1"/>
        <v>#DIV/0!</v>
      </c>
      <c r="AA12" s="283" t="e">
        <f t="shared" si="1"/>
        <v>#DIV/0!</v>
      </c>
      <c r="AB12" s="283" t="e">
        <f t="shared" si="1"/>
        <v>#DIV/0!</v>
      </c>
      <c r="AC12" s="283" t="e">
        <f t="shared" si="1"/>
        <v>#DIV/0!</v>
      </c>
      <c r="AD12" s="283" t="e">
        <f t="shared" si="1"/>
        <v>#DIV/0!</v>
      </c>
      <c r="AE12" s="283" t="e">
        <f t="shared" si="1"/>
        <v>#DIV/0!</v>
      </c>
      <c r="AF12" s="283" t="e">
        <f t="shared" si="1"/>
        <v>#DIV/0!</v>
      </c>
      <c r="AG12" s="283" t="e">
        <f t="shared" si="1"/>
        <v>#DIV/0!</v>
      </c>
      <c r="AH12" s="283" t="e">
        <f t="shared" si="1"/>
        <v>#DIV/0!</v>
      </c>
      <c r="AI12" s="283" t="e">
        <f t="shared" si="1"/>
        <v>#DIV/0!</v>
      </c>
      <c r="AJ12" s="283" t="e">
        <f t="shared" si="1"/>
        <v>#DIV/0!</v>
      </c>
      <c r="AK12" s="283" t="e">
        <f t="shared" si="1"/>
        <v>#DIV/0!</v>
      </c>
      <c r="AL12" s="283" t="e">
        <f t="shared" si="1"/>
        <v>#DIV/0!</v>
      </c>
      <c r="AM12" s="283" t="e">
        <f t="shared" si="1"/>
        <v>#DIV/0!</v>
      </c>
      <c r="AN12" s="67"/>
      <c r="AO12" s="291" t="e">
        <f>((AO11-AO10)/AO10)*100</f>
        <v>#DIV/0!</v>
      </c>
    </row>
    <row r="13" spans="6:41" ht="15" hidden="1" customHeight="1" x14ac:dyDescent="0.3">
      <c r="F13" s="280"/>
      <c r="G13" s="103" t="s">
        <v>147</v>
      </c>
      <c r="H13" s="297"/>
      <c r="I13" s="268"/>
      <c r="J13" s="288"/>
      <c r="K13" s="288"/>
      <c r="L13" s="288"/>
      <c r="M13" s="288"/>
      <c r="N13" s="288"/>
      <c r="O13" s="288"/>
      <c r="P13" s="288"/>
      <c r="Q13" s="288"/>
      <c r="R13" s="288"/>
      <c r="S13" s="288"/>
      <c r="T13" s="288"/>
      <c r="U13" s="288"/>
      <c r="V13" s="288"/>
      <c r="W13" s="288"/>
      <c r="X13" s="288"/>
      <c r="Y13" s="288"/>
      <c r="Z13" s="288"/>
      <c r="AA13" s="288"/>
      <c r="AB13" s="288"/>
      <c r="AC13" s="288"/>
      <c r="AD13" s="288"/>
      <c r="AE13" s="288"/>
      <c r="AF13" s="288"/>
      <c r="AG13" s="288"/>
      <c r="AH13" s="288"/>
      <c r="AI13" s="288"/>
      <c r="AJ13" s="288"/>
      <c r="AK13" s="288"/>
      <c r="AL13" s="288"/>
      <c r="AM13" s="288"/>
      <c r="AN13" s="67"/>
      <c r="AO13" s="292" t="s">
        <v>146</v>
      </c>
    </row>
    <row r="14" spans="6:41" ht="15" hidden="1" customHeight="1" x14ac:dyDescent="0.3">
      <c r="F14" s="280"/>
      <c r="G14" s="99" t="s">
        <v>145</v>
      </c>
      <c r="H14" s="298"/>
      <c r="I14" s="36" t="s">
        <v>16</v>
      </c>
      <c r="J14" s="286"/>
      <c r="K14" s="286"/>
      <c r="L14" s="286"/>
      <c r="M14" s="286"/>
      <c r="N14" s="286"/>
      <c r="O14" s="286"/>
      <c r="P14" s="286"/>
      <c r="Q14" s="286"/>
      <c r="R14" s="286"/>
      <c r="S14" s="286"/>
      <c r="T14" s="286"/>
      <c r="U14" s="286"/>
      <c r="V14" s="286"/>
      <c r="W14" s="286"/>
      <c r="X14" s="286"/>
      <c r="Y14" s="286"/>
      <c r="Z14" s="286"/>
      <c r="AA14" s="286"/>
      <c r="AB14" s="286"/>
      <c r="AC14" s="286"/>
      <c r="AD14" s="286"/>
      <c r="AE14" s="286"/>
      <c r="AF14" s="286"/>
      <c r="AG14" s="286"/>
      <c r="AH14" s="286"/>
      <c r="AI14" s="286"/>
      <c r="AJ14" s="286"/>
      <c r="AK14" s="286"/>
      <c r="AL14" s="286"/>
      <c r="AM14" s="286"/>
      <c r="AN14" s="67"/>
      <c r="AO14" s="13">
        <f>SUM(J14:AM14)</f>
        <v>0</v>
      </c>
    </row>
    <row r="15" spans="6:41" ht="15" hidden="1" customHeight="1" x14ac:dyDescent="0.3">
      <c r="F15" s="280"/>
      <c r="G15" s="99" t="s">
        <v>144</v>
      </c>
      <c r="H15" s="298"/>
      <c r="I15" s="36" t="s">
        <v>16</v>
      </c>
      <c r="J15" s="286"/>
      <c r="K15" s="286"/>
      <c r="L15" s="286"/>
      <c r="M15" s="286"/>
      <c r="N15" s="286"/>
      <c r="O15" s="286"/>
      <c r="P15" s="286"/>
      <c r="Q15" s="286"/>
      <c r="R15" s="286"/>
      <c r="S15" s="286"/>
      <c r="T15" s="286"/>
      <c r="U15" s="286"/>
      <c r="V15" s="286"/>
      <c r="W15" s="286"/>
      <c r="X15" s="286"/>
      <c r="Y15" s="286"/>
      <c r="Z15" s="286"/>
      <c r="AA15" s="286"/>
      <c r="AB15" s="286"/>
      <c r="AC15" s="286"/>
      <c r="AD15" s="286"/>
      <c r="AE15" s="286"/>
      <c r="AF15" s="286"/>
      <c r="AG15" s="286"/>
      <c r="AH15" s="286"/>
      <c r="AI15" s="286"/>
      <c r="AJ15" s="286"/>
      <c r="AK15" s="286"/>
      <c r="AL15" s="286"/>
      <c r="AM15" s="286"/>
      <c r="AN15" s="67"/>
      <c r="AO15" s="13">
        <f>SUM(J15:AM15)</f>
        <v>0</v>
      </c>
    </row>
    <row r="16" spans="6:41" ht="15" hidden="1" customHeight="1" x14ac:dyDescent="0.3">
      <c r="F16" s="280"/>
      <c r="G16" s="285" t="s">
        <v>143</v>
      </c>
      <c r="H16" s="299"/>
      <c r="I16" s="284" t="s">
        <v>29</v>
      </c>
      <c r="J16" s="283" t="e">
        <f t="shared" ref="J16:AM16" si="2">((J15-J14)/J14)*100</f>
        <v>#DIV/0!</v>
      </c>
      <c r="K16" s="283" t="e">
        <f t="shared" si="2"/>
        <v>#DIV/0!</v>
      </c>
      <c r="L16" s="283" t="e">
        <f t="shared" si="2"/>
        <v>#DIV/0!</v>
      </c>
      <c r="M16" s="283" t="e">
        <f t="shared" si="2"/>
        <v>#DIV/0!</v>
      </c>
      <c r="N16" s="283" t="e">
        <f t="shared" si="2"/>
        <v>#DIV/0!</v>
      </c>
      <c r="O16" s="283" t="e">
        <f t="shared" si="2"/>
        <v>#DIV/0!</v>
      </c>
      <c r="P16" s="283" t="e">
        <f t="shared" si="2"/>
        <v>#DIV/0!</v>
      </c>
      <c r="Q16" s="283" t="e">
        <f t="shared" si="2"/>
        <v>#DIV/0!</v>
      </c>
      <c r="R16" s="283" t="e">
        <f t="shared" si="2"/>
        <v>#DIV/0!</v>
      </c>
      <c r="S16" s="283" t="e">
        <f t="shared" si="2"/>
        <v>#DIV/0!</v>
      </c>
      <c r="T16" s="283" t="e">
        <f t="shared" si="2"/>
        <v>#DIV/0!</v>
      </c>
      <c r="U16" s="283" t="e">
        <f t="shared" si="2"/>
        <v>#DIV/0!</v>
      </c>
      <c r="V16" s="283" t="e">
        <f t="shared" si="2"/>
        <v>#DIV/0!</v>
      </c>
      <c r="W16" s="283" t="e">
        <f t="shared" si="2"/>
        <v>#DIV/0!</v>
      </c>
      <c r="X16" s="283" t="e">
        <f t="shared" si="2"/>
        <v>#DIV/0!</v>
      </c>
      <c r="Y16" s="283" t="e">
        <f t="shared" si="2"/>
        <v>#DIV/0!</v>
      </c>
      <c r="Z16" s="283" t="e">
        <f t="shared" si="2"/>
        <v>#DIV/0!</v>
      </c>
      <c r="AA16" s="283" t="e">
        <f t="shared" si="2"/>
        <v>#DIV/0!</v>
      </c>
      <c r="AB16" s="283" t="e">
        <f t="shared" si="2"/>
        <v>#DIV/0!</v>
      </c>
      <c r="AC16" s="283" t="e">
        <f t="shared" si="2"/>
        <v>#DIV/0!</v>
      </c>
      <c r="AD16" s="283" t="e">
        <f t="shared" si="2"/>
        <v>#DIV/0!</v>
      </c>
      <c r="AE16" s="283" t="e">
        <f t="shared" si="2"/>
        <v>#DIV/0!</v>
      </c>
      <c r="AF16" s="283" t="e">
        <f t="shared" si="2"/>
        <v>#DIV/0!</v>
      </c>
      <c r="AG16" s="283" t="e">
        <f t="shared" si="2"/>
        <v>#DIV/0!</v>
      </c>
      <c r="AH16" s="283" t="e">
        <f t="shared" si="2"/>
        <v>#DIV/0!</v>
      </c>
      <c r="AI16" s="283" t="e">
        <f t="shared" si="2"/>
        <v>#DIV/0!</v>
      </c>
      <c r="AJ16" s="283" t="e">
        <f t="shared" si="2"/>
        <v>#DIV/0!</v>
      </c>
      <c r="AK16" s="283" t="e">
        <f t="shared" si="2"/>
        <v>#DIV/0!</v>
      </c>
      <c r="AL16" s="283" t="e">
        <f t="shared" si="2"/>
        <v>#DIV/0!</v>
      </c>
      <c r="AM16" s="283" t="e">
        <f t="shared" si="2"/>
        <v>#DIV/0!</v>
      </c>
      <c r="AN16" s="67"/>
      <c r="AO16" s="291" t="e">
        <f>((AO15-AO14)/AO14)*100</f>
        <v>#DIV/0!</v>
      </c>
    </row>
    <row r="17" spans="6:966" ht="15" hidden="1" customHeight="1" x14ac:dyDescent="0.3">
      <c r="F17" s="280"/>
      <c r="G17" s="290" t="s">
        <v>142</v>
      </c>
      <c r="H17" s="298"/>
      <c r="I17" s="36"/>
      <c r="J17" s="286"/>
      <c r="K17" s="286"/>
      <c r="L17" s="286"/>
      <c r="M17" s="286"/>
      <c r="N17" s="286"/>
      <c r="O17" s="286"/>
      <c r="P17" s="286"/>
      <c r="Q17" s="286"/>
      <c r="R17" s="286"/>
      <c r="S17" s="286"/>
      <c r="T17" s="286"/>
      <c r="U17" s="286"/>
      <c r="V17" s="286"/>
      <c r="W17" s="286"/>
      <c r="X17" s="286"/>
      <c r="Y17" s="286"/>
      <c r="Z17" s="286"/>
      <c r="AA17" s="286"/>
      <c r="AB17" s="286"/>
      <c r="AC17" s="286"/>
      <c r="AD17" s="286"/>
      <c r="AE17" s="286"/>
      <c r="AF17" s="286"/>
      <c r="AG17" s="286"/>
      <c r="AH17" s="286"/>
      <c r="AI17" s="286"/>
      <c r="AJ17" s="286"/>
      <c r="AK17" s="286"/>
      <c r="AL17" s="286"/>
      <c r="AM17" s="286"/>
      <c r="AN17" s="67"/>
      <c r="AO17" s="287" t="s">
        <v>139</v>
      </c>
    </row>
    <row r="18" spans="6:966" ht="15" hidden="1" customHeight="1" x14ac:dyDescent="0.3">
      <c r="F18" s="280"/>
      <c r="G18" s="99" t="s">
        <v>138</v>
      </c>
      <c r="H18" s="298"/>
      <c r="I18" s="36" t="s">
        <v>16</v>
      </c>
      <c r="J18" s="286"/>
      <c r="K18" s="286"/>
      <c r="L18" s="286"/>
      <c r="M18" s="286"/>
      <c r="N18" s="286"/>
      <c r="O18" s="286"/>
      <c r="P18" s="286"/>
      <c r="Q18" s="286"/>
      <c r="R18" s="286"/>
      <c r="S18" s="286"/>
      <c r="T18" s="286"/>
      <c r="U18" s="286"/>
      <c r="V18" s="286"/>
      <c r="W18" s="286"/>
      <c r="X18" s="286"/>
      <c r="Y18" s="286"/>
      <c r="Z18" s="286"/>
      <c r="AA18" s="286"/>
      <c r="AB18" s="286"/>
      <c r="AC18" s="286"/>
      <c r="AD18" s="286"/>
      <c r="AE18" s="286"/>
      <c r="AF18" s="286"/>
      <c r="AG18" s="286"/>
      <c r="AH18" s="286"/>
      <c r="AI18" s="286"/>
      <c r="AJ18" s="286"/>
      <c r="AK18" s="286"/>
      <c r="AL18" s="286"/>
      <c r="AM18" s="286"/>
      <c r="AN18" s="67"/>
      <c r="AO18" s="13">
        <f>SUM(J18:AM18)</f>
        <v>0</v>
      </c>
      <c r="AP18" s="67"/>
    </row>
    <row r="19" spans="6:966" ht="15" hidden="1" customHeight="1" x14ac:dyDescent="0.3">
      <c r="F19" s="280"/>
      <c r="G19" s="99" t="s">
        <v>137</v>
      </c>
      <c r="H19" s="298"/>
      <c r="I19" s="36" t="s">
        <v>16</v>
      </c>
      <c r="J19" s="286"/>
      <c r="K19" s="286"/>
      <c r="L19" s="286"/>
      <c r="M19" s="286"/>
      <c r="N19" s="286"/>
      <c r="O19" s="286"/>
      <c r="P19" s="286"/>
      <c r="Q19" s="286"/>
      <c r="R19" s="286"/>
      <c r="S19" s="286"/>
      <c r="T19" s="286"/>
      <c r="U19" s="286"/>
      <c r="V19" s="286"/>
      <c r="W19" s="286"/>
      <c r="X19" s="286"/>
      <c r="Y19" s="286"/>
      <c r="Z19" s="286"/>
      <c r="AA19" s="286"/>
      <c r="AB19" s="286"/>
      <c r="AC19" s="286"/>
      <c r="AD19" s="286"/>
      <c r="AE19" s="286"/>
      <c r="AF19" s="286"/>
      <c r="AG19" s="286"/>
      <c r="AH19" s="286"/>
      <c r="AI19" s="286"/>
      <c r="AJ19" s="286"/>
      <c r="AK19" s="286"/>
      <c r="AL19" s="286"/>
      <c r="AM19" s="286"/>
      <c r="AN19" s="67"/>
      <c r="AO19" s="13">
        <f>SUM(J19:AM19)</f>
        <v>0</v>
      </c>
    </row>
    <row r="20" spans="6:966" ht="15" hidden="1" customHeight="1" x14ac:dyDescent="0.3">
      <c r="F20" s="280"/>
      <c r="G20" s="99" t="s">
        <v>136</v>
      </c>
      <c r="H20" s="298"/>
      <c r="I20" s="36" t="s">
        <v>29</v>
      </c>
      <c r="J20" s="289" t="e">
        <f t="shared" ref="J20:AM20" si="3">((J19-J18)/J18)*100</f>
        <v>#DIV/0!</v>
      </c>
      <c r="K20" s="289" t="e">
        <f t="shared" si="3"/>
        <v>#DIV/0!</v>
      </c>
      <c r="L20" s="289" t="e">
        <f t="shared" si="3"/>
        <v>#DIV/0!</v>
      </c>
      <c r="M20" s="289" t="e">
        <f t="shared" si="3"/>
        <v>#DIV/0!</v>
      </c>
      <c r="N20" s="289" t="e">
        <f t="shared" si="3"/>
        <v>#DIV/0!</v>
      </c>
      <c r="O20" s="289" t="e">
        <f t="shared" si="3"/>
        <v>#DIV/0!</v>
      </c>
      <c r="P20" s="289" t="e">
        <f t="shared" si="3"/>
        <v>#DIV/0!</v>
      </c>
      <c r="Q20" s="289" t="e">
        <f t="shared" si="3"/>
        <v>#DIV/0!</v>
      </c>
      <c r="R20" s="289" t="e">
        <f t="shared" si="3"/>
        <v>#DIV/0!</v>
      </c>
      <c r="S20" s="289" t="e">
        <f t="shared" si="3"/>
        <v>#DIV/0!</v>
      </c>
      <c r="T20" s="289" t="e">
        <f t="shared" si="3"/>
        <v>#DIV/0!</v>
      </c>
      <c r="U20" s="289" t="e">
        <f t="shared" si="3"/>
        <v>#DIV/0!</v>
      </c>
      <c r="V20" s="289" t="e">
        <f t="shared" si="3"/>
        <v>#DIV/0!</v>
      </c>
      <c r="W20" s="289" t="e">
        <f t="shared" si="3"/>
        <v>#DIV/0!</v>
      </c>
      <c r="X20" s="289" t="e">
        <f t="shared" si="3"/>
        <v>#DIV/0!</v>
      </c>
      <c r="Y20" s="289" t="e">
        <f t="shared" si="3"/>
        <v>#DIV/0!</v>
      </c>
      <c r="Z20" s="289" t="e">
        <f t="shared" si="3"/>
        <v>#DIV/0!</v>
      </c>
      <c r="AA20" s="289" t="e">
        <f t="shared" si="3"/>
        <v>#DIV/0!</v>
      </c>
      <c r="AB20" s="289" t="e">
        <f t="shared" si="3"/>
        <v>#DIV/0!</v>
      </c>
      <c r="AC20" s="289" t="e">
        <f t="shared" si="3"/>
        <v>#DIV/0!</v>
      </c>
      <c r="AD20" s="289" t="e">
        <f t="shared" si="3"/>
        <v>#DIV/0!</v>
      </c>
      <c r="AE20" s="289" t="e">
        <f t="shared" si="3"/>
        <v>#DIV/0!</v>
      </c>
      <c r="AF20" s="289" t="e">
        <f t="shared" si="3"/>
        <v>#DIV/0!</v>
      </c>
      <c r="AG20" s="289" t="e">
        <f t="shared" si="3"/>
        <v>#DIV/0!</v>
      </c>
      <c r="AH20" s="289" t="e">
        <f t="shared" si="3"/>
        <v>#DIV/0!</v>
      </c>
      <c r="AI20" s="289" t="e">
        <f t="shared" si="3"/>
        <v>#DIV/0!</v>
      </c>
      <c r="AJ20" s="289" t="e">
        <f t="shared" si="3"/>
        <v>#DIV/0!</v>
      </c>
      <c r="AK20" s="289" t="e">
        <f t="shared" si="3"/>
        <v>#DIV/0!</v>
      </c>
      <c r="AL20" s="289" t="e">
        <f t="shared" si="3"/>
        <v>#DIV/0!</v>
      </c>
      <c r="AM20" s="289" t="e">
        <f t="shared" si="3"/>
        <v>#DIV/0!</v>
      </c>
      <c r="AN20" s="282"/>
      <c r="AO20" s="281" t="e">
        <f>((AO19-AO18)/AO18)*100</f>
        <v>#DIV/0!</v>
      </c>
      <c r="EL20" s="240" t="s">
        <v>141</v>
      </c>
    </row>
    <row r="21" spans="6:966" ht="15" hidden="1" customHeight="1" x14ac:dyDescent="0.3">
      <c r="F21" s="280"/>
      <c r="G21" s="103" t="s">
        <v>140</v>
      </c>
      <c r="H21" s="297"/>
      <c r="I21" s="268"/>
      <c r="J21" s="288"/>
      <c r="K21" s="288"/>
      <c r="L21" s="288"/>
      <c r="M21" s="288"/>
      <c r="N21" s="288"/>
      <c r="O21" s="288"/>
      <c r="P21" s="288"/>
      <c r="Q21" s="288"/>
      <c r="R21" s="288"/>
      <c r="S21" s="288"/>
      <c r="T21" s="288"/>
      <c r="U21" s="288"/>
      <c r="V21" s="288"/>
      <c r="W21" s="288"/>
      <c r="X21" s="288"/>
      <c r="Y21" s="288"/>
      <c r="Z21" s="288"/>
      <c r="AA21" s="288"/>
      <c r="AB21" s="288"/>
      <c r="AC21" s="288"/>
      <c r="AD21" s="288"/>
      <c r="AE21" s="288"/>
      <c r="AF21" s="288"/>
      <c r="AG21" s="288"/>
      <c r="AH21" s="288"/>
      <c r="AI21" s="288"/>
      <c r="AJ21" s="288"/>
      <c r="AK21" s="288"/>
      <c r="AL21" s="288"/>
      <c r="AM21" s="288"/>
      <c r="AN21" s="67"/>
      <c r="AO21" s="287" t="s">
        <v>139</v>
      </c>
    </row>
    <row r="22" spans="6:966" ht="15" hidden="1" customHeight="1" x14ac:dyDescent="0.3">
      <c r="F22" s="280"/>
      <c r="G22" s="99" t="s">
        <v>138</v>
      </c>
      <c r="H22" s="298"/>
      <c r="I22" s="36" t="s">
        <v>16</v>
      </c>
      <c r="J22" s="286"/>
      <c r="K22" s="286"/>
      <c r="L22" s="286"/>
      <c r="M22" s="286"/>
      <c r="N22" s="286"/>
      <c r="O22" s="286"/>
      <c r="P22" s="286"/>
      <c r="Q22" s="286"/>
      <c r="R22" s="286"/>
      <c r="S22" s="286"/>
      <c r="T22" s="286"/>
      <c r="U22" s="286"/>
      <c r="V22" s="286"/>
      <c r="W22" s="286"/>
      <c r="X22" s="286"/>
      <c r="Y22" s="286"/>
      <c r="Z22" s="286"/>
      <c r="AA22" s="286"/>
      <c r="AB22" s="286"/>
      <c r="AC22" s="286"/>
      <c r="AD22" s="286"/>
      <c r="AE22" s="286"/>
      <c r="AF22" s="286"/>
      <c r="AG22" s="286"/>
      <c r="AH22" s="286"/>
      <c r="AI22" s="286"/>
      <c r="AJ22" s="286"/>
      <c r="AK22" s="286"/>
      <c r="AL22" s="286"/>
      <c r="AM22" s="286"/>
      <c r="AN22" s="67"/>
      <c r="AO22" s="13">
        <f>SUM(J22:AM22)</f>
        <v>0</v>
      </c>
    </row>
    <row r="23" spans="6:966" ht="15" hidden="1" customHeight="1" x14ac:dyDescent="0.3">
      <c r="F23" s="280"/>
      <c r="G23" s="99" t="s">
        <v>137</v>
      </c>
      <c r="H23" s="298"/>
      <c r="I23" s="36" t="s">
        <v>16</v>
      </c>
      <c r="J23" s="286"/>
      <c r="K23" s="286"/>
      <c r="L23" s="286"/>
      <c r="M23" s="286"/>
      <c r="N23" s="286"/>
      <c r="O23" s="286"/>
      <c r="P23" s="286"/>
      <c r="Q23" s="286"/>
      <c r="R23" s="286"/>
      <c r="S23" s="286"/>
      <c r="T23" s="286"/>
      <c r="U23" s="286"/>
      <c r="V23" s="286"/>
      <c r="W23" s="286"/>
      <c r="X23" s="286"/>
      <c r="Y23" s="286"/>
      <c r="Z23" s="286"/>
      <c r="AA23" s="286"/>
      <c r="AB23" s="286"/>
      <c r="AC23" s="286"/>
      <c r="AD23" s="286"/>
      <c r="AE23" s="286"/>
      <c r="AF23" s="286"/>
      <c r="AG23" s="286"/>
      <c r="AH23" s="286"/>
      <c r="AI23" s="286"/>
      <c r="AJ23" s="286"/>
      <c r="AK23" s="286"/>
      <c r="AL23" s="286"/>
      <c r="AM23" s="286"/>
      <c r="AN23" s="67"/>
      <c r="AO23" s="13">
        <f>SUM(J23:AM23)</f>
        <v>0</v>
      </c>
    </row>
    <row r="24" spans="6:966" ht="15" hidden="1" customHeight="1" x14ac:dyDescent="0.3">
      <c r="F24" s="280"/>
      <c r="G24" s="285" t="s">
        <v>136</v>
      </c>
      <c r="H24" s="299"/>
      <c r="I24" s="284" t="s">
        <v>29</v>
      </c>
      <c r="J24" s="283" t="e">
        <f t="shared" ref="J24:AM24" si="4">((J23-J22)/J22)*100</f>
        <v>#DIV/0!</v>
      </c>
      <c r="K24" s="283" t="e">
        <f t="shared" si="4"/>
        <v>#DIV/0!</v>
      </c>
      <c r="L24" s="283" t="e">
        <f t="shared" si="4"/>
        <v>#DIV/0!</v>
      </c>
      <c r="M24" s="283" t="e">
        <f t="shared" si="4"/>
        <v>#DIV/0!</v>
      </c>
      <c r="N24" s="283" t="e">
        <f t="shared" si="4"/>
        <v>#DIV/0!</v>
      </c>
      <c r="O24" s="283" t="e">
        <f t="shared" si="4"/>
        <v>#DIV/0!</v>
      </c>
      <c r="P24" s="283" t="e">
        <f t="shared" si="4"/>
        <v>#DIV/0!</v>
      </c>
      <c r="Q24" s="283" t="e">
        <f t="shared" si="4"/>
        <v>#DIV/0!</v>
      </c>
      <c r="R24" s="283" t="e">
        <f t="shared" si="4"/>
        <v>#DIV/0!</v>
      </c>
      <c r="S24" s="283" t="e">
        <f t="shared" si="4"/>
        <v>#DIV/0!</v>
      </c>
      <c r="T24" s="283" t="e">
        <f t="shared" si="4"/>
        <v>#DIV/0!</v>
      </c>
      <c r="U24" s="283" t="e">
        <f t="shared" si="4"/>
        <v>#DIV/0!</v>
      </c>
      <c r="V24" s="283" t="e">
        <f t="shared" si="4"/>
        <v>#DIV/0!</v>
      </c>
      <c r="W24" s="283" t="e">
        <f t="shared" si="4"/>
        <v>#DIV/0!</v>
      </c>
      <c r="X24" s="283" t="e">
        <f t="shared" si="4"/>
        <v>#DIV/0!</v>
      </c>
      <c r="Y24" s="283" t="e">
        <f t="shared" si="4"/>
        <v>#DIV/0!</v>
      </c>
      <c r="Z24" s="283" t="e">
        <f t="shared" si="4"/>
        <v>#DIV/0!</v>
      </c>
      <c r="AA24" s="283" t="e">
        <f t="shared" si="4"/>
        <v>#DIV/0!</v>
      </c>
      <c r="AB24" s="283" t="e">
        <f t="shared" si="4"/>
        <v>#DIV/0!</v>
      </c>
      <c r="AC24" s="283" t="e">
        <f t="shared" si="4"/>
        <v>#DIV/0!</v>
      </c>
      <c r="AD24" s="283" t="e">
        <f t="shared" si="4"/>
        <v>#DIV/0!</v>
      </c>
      <c r="AE24" s="283" t="e">
        <f t="shared" si="4"/>
        <v>#DIV/0!</v>
      </c>
      <c r="AF24" s="283" t="e">
        <f t="shared" si="4"/>
        <v>#DIV/0!</v>
      </c>
      <c r="AG24" s="283" t="e">
        <f t="shared" si="4"/>
        <v>#DIV/0!</v>
      </c>
      <c r="AH24" s="283" t="e">
        <f t="shared" si="4"/>
        <v>#DIV/0!</v>
      </c>
      <c r="AI24" s="283" t="e">
        <f t="shared" si="4"/>
        <v>#DIV/0!</v>
      </c>
      <c r="AJ24" s="283" t="e">
        <f t="shared" si="4"/>
        <v>#DIV/0!</v>
      </c>
      <c r="AK24" s="283" t="e">
        <f t="shared" si="4"/>
        <v>#DIV/0!</v>
      </c>
      <c r="AL24" s="283" t="e">
        <f t="shared" si="4"/>
        <v>#DIV/0!</v>
      </c>
      <c r="AM24" s="283" t="e">
        <f t="shared" si="4"/>
        <v>#DIV/0!</v>
      </c>
      <c r="AN24" s="282"/>
      <c r="AO24" s="281" t="e">
        <f>((AO23-AO22)/AO22)*100</f>
        <v>#DIV/0!</v>
      </c>
      <c r="BC24" s="151"/>
    </row>
    <row r="25" spans="6:966" ht="15" hidden="1" customHeight="1" x14ac:dyDescent="0.3">
      <c r="F25" s="280"/>
      <c r="G25" s="279" t="s">
        <v>135</v>
      </c>
      <c r="H25" s="300"/>
      <c r="I25" s="278" t="s">
        <v>16</v>
      </c>
      <c r="J25" s="277">
        <f>SUM(J7,J15,J19)+J11+J23</f>
        <v>0</v>
      </c>
      <c r="K25" s="277">
        <f t="shared" ref="K25:AM25" si="5">SUM(K7,K15,K19)+K11+K23</f>
        <v>0</v>
      </c>
      <c r="L25" s="275">
        <f t="shared" si="5"/>
        <v>0</v>
      </c>
      <c r="M25" s="275">
        <f t="shared" si="5"/>
        <v>0</v>
      </c>
      <c r="N25" s="275">
        <f t="shared" si="5"/>
        <v>0</v>
      </c>
      <c r="O25" s="275">
        <f t="shared" si="5"/>
        <v>0</v>
      </c>
      <c r="P25" s="275">
        <f t="shared" si="5"/>
        <v>0</v>
      </c>
      <c r="Q25" s="277">
        <f t="shared" si="5"/>
        <v>0</v>
      </c>
      <c r="R25" s="275">
        <f t="shared" si="5"/>
        <v>0</v>
      </c>
      <c r="S25" s="275">
        <f t="shared" si="5"/>
        <v>0</v>
      </c>
      <c r="T25" s="275">
        <f t="shared" si="5"/>
        <v>0</v>
      </c>
      <c r="U25" s="275">
        <f t="shared" si="5"/>
        <v>0</v>
      </c>
      <c r="V25" s="275">
        <f t="shared" si="5"/>
        <v>0</v>
      </c>
      <c r="W25" s="275">
        <f t="shared" si="5"/>
        <v>0</v>
      </c>
      <c r="X25" s="275">
        <f t="shared" si="5"/>
        <v>0</v>
      </c>
      <c r="Y25" s="275">
        <f t="shared" si="5"/>
        <v>0</v>
      </c>
      <c r="Z25" s="275">
        <f t="shared" si="5"/>
        <v>0</v>
      </c>
      <c r="AA25" s="275">
        <f t="shared" si="5"/>
        <v>0</v>
      </c>
      <c r="AB25" s="277">
        <f t="shared" si="5"/>
        <v>0</v>
      </c>
      <c r="AC25" s="275">
        <f t="shared" si="5"/>
        <v>0</v>
      </c>
      <c r="AD25" s="277">
        <f t="shared" si="5"/>
        <v>0</v>
      </c>
      <c r="AE25" s="277">
        <f t="shared" si="5"/>
        <v>0</v>
      </c>
      <c r="AF25" s="275">
        <f t="shared" si="5"/>
        <v>0</v>
      </c>
      <c r="AG25" s="275">
        <f t="shared" si="5"/>
        <v>0</v>
      </c>
      <c r="AH25" s="275">
        <f t="shared" si="5"/>
        <v>0</v>
      </c>
      <c r="AI25" s="275">
        <f t="shared" si="5"/>
        <v>0</v>
      </c>
      <c r="AJ25" s="275">
        <f t="shared" si="5"/>
        <v>0</v>
      </c>
      <c r="AK25" s="276">
        <f t="shared" si="5"/>
        <v>0</v>
      </c>
      <c r="AL25" s="275">
        <f t="shared" si="5"/>
        <v>0</v>
      </c>
      <c r="AM25" s="275">
        <f t="shared" si="5"/>
        <v>0</v>
      </c>
      <c r="AN25" s="67"/>
      <c r="AO25" s="274">
        <f>SUM(AO7,AO15,AO19)+AO11+AO23</f>
        <v>0</v>
      </c>
      <c r="AP25" s="67"/>
      <c r="AQ25" s="12">
        <f>AO25/AO28/1000</f>
        <v>0</v>
      </c>
      <c r="EL25" s="239" t="s">
        <v>112</v>
      </c>
      <c r="EM25" s="273"/>
      <c r="EN25" s="272" t="s">
        <v>134</v>
      </c>
      <c r="EO25" s="236"/>
      <c r="EP25" s="235"/>
    </row>
    <row r="26" spans="6:966" ht="15" thickBot="1" x14ac:dyDescent="0.35">
      <c r="F26" s="47">
        <v>2</v>
      </c>
      <c r="G26" s="103" t="s">
        <v>133</v>
      </c>
      <c r="H26" s="97"/>
      <c r="I26" s="97"/>
      <c r="J26" s="24"/>
      <c r="K26" s="24"/>
      <c r="L26" s="24"/>
      <c r="M26" s="24"/>
      <c r="N26" s="24"/>
      <c r="O26" s="24"/>
      <c r="P26" s="24"/>
      <c r="Q26" s="24"/>
      <c r="R26" s="24"/>
      <c r="S26" s="24"/>
      <c r="T26" s="24"/>
      <c r="U26" s="24"/>
      <c r="V26" s="24"/>
      <c r="W26" s="24"/>
      <c r="X26" s="24"/>
      <c r="Y26" s="24"/>
      <c r="Z26" s="24"/>
      <c r="AA26" s="24"/>
      <c r="AB26" s="24"/>
      <c r="AC26" s="24"/>
      <c r="AD26" s="24"/>
      <c r="AE26" s="24"/>
      <c r="AF26" s="24"/>
      <c r="AG26" s="102"/>
      <c r="AH26" s="24"/>
      <c r="AI26" s="24"/>
      <c r="AJ26" s="24"/>
      <c r="AK26" s="24"/>
      <c r="AL26" s="24"/>
      <c r="AM26" s="24"/>
      <c r="AN26" s="67"/>
      <c r="AO26" s="271" t="s">
        <v>131</v>
      </c>
      <c r="EL26" s="232"/>
      <c r="EM26" s="270"/>
      <c r="EN26" s="230">
        <v>29</v>
      </c>
      <c r="EO26" s="229">
        <v>30</v>
      </c>
      <c r="EP26" s="228">
        <v>31</v>
      </c>
    </row>
    <row r="27" spans="6:966" x14ac:dyDescent="0.3">
      <c r="F27" s="57"/>
      <c r="G27" s="269" t="s">
        <v>18</v>
      </c>
      <c r="H27" s="297"/>
      <c r="I27" s="268"/>
      <c r="J27" s="198"/>
      <c r="K27" s="267"/>
      <c r="L27" s="198"/>
      <c r="M27" s="198"/>
      <c r="N27" s="266"/>
      <c r="O27" s="198"/>
      <c r="P27" s="198"/>
      <c r="Q27" s="198"/>
      <c r="R27" s="198"/>
      <c r="S27" s="198"/>
      <c r="T27" s="198"/>
      <c r="U27" s="198"/>
      <c r="V27" s="198"/>
      <c r="W27" s="198"/>
      <c r="X27" s="266"/>
      <c r="Y27" s="265"/>
      <c r="Z27" s="198"/>
      <c r="AA27" s="198"/>
      <c r="AB27" s="198"/>
      <c r="AC27" s="198"/>
      <c r="AD27" s="198"/>
      <c r="AE27" s="198"/>
      <c r="AF27" s="198"/>
      <c r="AG27" s="198"/>
      <c r="AH27" s="198"/>
      <c r="AI27" s="198"/>
      <c r="AJ27" s="198"/>
      <c r="AK27" s="198"/>
      <c r="AL27" s="198"/>
      <c r="AM27" s="198"/>
      <c r="AN27" s="67"/>
      <c r="AO27" s="264" t="s">
        <v>18</v>
      </c>
      <c r="EL27" s="217" t="s">
        <v>107</v>
      </c>
      <c r="EM27" s="66" t="s">
        <v>16</v>
      </c>
      <c r="EN27" s="216">
        <v>1971319.99999999</v>
      </c>
      <c r="EO27" s="215">
        <v>2015120.00000001</v>
      </c>
      <c r="EP27" s="214">
        <v>2015230</v>
      </c>
      <c r="AKB27" s="50" t="s">
        <v>132</v>
      </c>
      <c r="AKC27" s="50" t="s">
        <v>131</v>
      </c>
      <c r="AKD27" s="50" t="s">
        <v>97</v>
      </c>
    </row>
    <row r="28" spans="6:966" x14ac:dyDescent="0.3">
      <c r="F28" s="57"/>
      <c r="G28" s="99" t="s">
        <v>130</v>
      </c>
      <c r="H28" s="298"/>
      <c r="I28" s="36" t="s">
        <v>129</v>
      </c>
      <c r="J28" s="15">
        <v>1</v>
      </c>
      <c r="K28" s="15">
        <v>1</v>
      </c>
      <c r="L28" s="15">
        <v>1</v>
      </c>
      <c r="M28" s="15">
        <v>1</v>
      </c>
      <c r="N28" s="15">
        <v>1</v>
      </c>
      <c r="O28" s="15">
        <v>1</v>
      </c>
      <c r="P28" s="15">
        <v>1</v>
      </c>
      <c r="Q28" s="15">
        <v>1</v>
      </c>
      <c r="R28" s="15">
        <v>1</v>
      </c>
      <c r="S28" s="15">
        <v>1</v>
      </c>
      <c r="T28" s="15">
        <v>1</v>
      </c>
      <c r="U28" s="15">
        <v>1</v>
      </c>
      <c r="V28" s="15">
        <v>1</v>
      </c>
      <c r="W28" s="15">
        <v>1</v>
      </c>
      <c r="X28" s="15"/>
      <c r="Y28" s="15"/>
      <c r="Z28" s="15"/>
      <c r="AA28" s="15"/>
      <c r="AB28" s="15">
        <v>1</v>
      </c>
      <c r="AC28" s="15">
        <v>1</v>
      </c>
      <c r="AD28" s="15">
        <v>1</v>
      </c>
      <c r="AE28" s="15">
        <v>1</v>
      </c>
      <c r="AF28" s="15">
        <v>1</v>
      </c>
      <c r="AG28" s="15">
        <v>1</v>
      </c>
      <c r="AH28" s="15">
        <v>1</v>
      </c>
      <c r="AI28" s="15">
        <v>1</v>
      </c>
      <c r="AJ28" s="15">
        <v>1</v>
      </c>
      <c r="AK28" s="15">
        <v>1</v>
      </c>
      <c r="AL28" s="15">
        <v>1</v>
      </c>
      <c r="AM28" s="15">
        <v>1</v>
      </c>
      <c r="AN28" s="67"/>
      <c r="AO28" s="58">
        <f>SUM(J28:AM28)</f>
        <v>26</v>
      </c>
      <c r="AP28" s="12"/>
      <c r="AQ28" s="263">
        <f>(AO29/AO28)/1000</f>
        <v>1498.8846923076921</v>
      </c>
      <c r="EL28" s="217"/>
      <c r="EN28" s="216"/>
      <c r="EO28" s="215"/>
      <c r="EP28" s="214"/>
      <c r="GU28" s="67"/>
      <c r="PY28" s="5" t="s">
        <v>128</v>
      </c>
      <c r="AFL28" s="66" t="s">
        <v>127</v>
      </c>
      <c r="AFM28" s="66" t="s">
        <v>126</v>
      </c>
      <c r="AKA28" s="204" t="s">
        <v>125</v>
      </c>
      <c r="AKB28" s="5">
        <v>11008948</v>
      </c>
      <c r="AKC28" s="5">
        <f>AO29</f>
        <v>38971002</v>
      </c>
      <c r="AKD28" s="4">
        <f>AKB28-AKC28</f>
        <v>-27962054</v>
      </c>
    </row>
    <row r="29" spans="6:966" x14ac:dyDescent="0.3">
      <c r="F29" s="57"/>
      <c r="G29" s="202" t="s">
        <v>92</v>
      </c>
      <c r="H29" s="301"/>
      <c r="I29" s="261" t="s">
        <v>16</v>
      </c>
      <c r="J29" s="188">
        <v>1459354</v>
      </c>
      <c r="K29" s="188">
        <v>1458237</v>
      </c>
      <c r="L29" s="188">
        <v>1448876</v>
      </c>
      <c r="M29" s="188">
        <v>1484713</v>
      </c>
      <c r="N29" s="188">
        <v>1494646</v>
      </c>
      <c r="O29" s="188">
        <v>1466923</v>
      </c>
      <c r="P29" s="188">
        <v>1419979</v>
      </c>
      <c r="Q29" s="188">
        <v>1426177</v>
      </c>
      <c r="R29" s="188">
        <v>1348051</v>
      </c>
      <c r="S29" s="188">
        <v>1415356</v>
      </c>
      <c r="T29" s="188">
        <v>1324406</v>
      </c>
      <c r="U29" s="188">
        <v>1367811</v>
      </c>
      <c r="V29" s="188">
        <v>1283456</v>
      </c>
      <c r="W29" s="188">
        <v>614800</v>
      </c>
      <c r="X29" s="188"/>
      <c r="Y29" s="188"/>
      <c r="Z29" s="188"/>
      <c r="AA29" s="188"/>
      <c r="AB29" s="188">
        <f>850609-263324</f>
        <v>587285</v>
      </c>
      <c r="AC29" s="188">
        <v>1478198</v>
      </c>
      <c r="AD29" s="188">
        <v>1613166</v>
      </c>
      <c r="AE29" s="188">
        <v>1763622</v>
      </c>
      <c r="AF29" s="188">
        <v>1849641</v>
      </c>
      <c r="AG29" s="188">
        <v>1935855</v>
      </c>
      <c r="AH29" s="188">
        <v>1476094</v>
      </c>
      <c r="AI29" s="188">
        <v>1600482</v>
      </c>
      <c r="AJ29" s="188">
        <v>1684687</v>
      </c>
      <c r="AK29" s="188">
        <v>1944231</v>
      </c>
      <c r="AL29" s="188">
        <v>1996479</v>
      </c>
      <c r="AM29" s="188">
        <v>2028477</v>
      </c>
      <c r="AN29" s="14"/>
      <c r="AO29" s="58">
        <f>SUM(J29:AM29)</f>
        <v>38971002</v>
      </c>
      <c r="AP29" s="94"/>
      <c r="AQ29" s="94">
        <f>AO29/1000</f>
        <v>38971.002</v>
      </c>
      <c r="AR29" s="151">
        <v>47970.296999999999</v>
      </c>
      <c r="AS29" s="3">
        <f>AQ29/AR29*100</f>
        <v>81.239859740705796</v>
      </c>
      <c r="AW29" s="2" t="s">
        <v>158</v>
      </c>
      <c r="AY29" s="2" t="s">
        <v>159</v>
      </c>
      <c r="CA29" s="93"/>
      <c r="CB29" s="93"/>
      <c r="DE29" s="93"/>
      <c r="EL29" s="223" t="s">
        <v>104</v>
      </c>
      <c r="EM29" s="222" t="s">
        <v>22</v>
      </c>
      <c r="EN29" s="221">
        <v>251.19641540408301</v>
      </c>
      <c r="EO29" s="262">
        <v>257.91391043490898</v>
      </c>
      <c r="EP29" s="219">
        <v>251.51265323328099</v>
      </c>
      <c r="EQ29" s="93"/>
      <c r="GT29" s="5"/>
      <c r="GU29" s="67"/>
      <c r="KO29" s="93"/>
      <c r="KP29" s="93"/>
      <c r="KQ29" s="5"/>
      <c r="KR29" s="93"/>
      <c r="PV29" s="93">
        <v>26946.1077844311</v>
      </c>
      <c r="PW29" s="93">
        <v>17383.2335329341</v>
      </c>
      <c r="PY29" s="93" t="s">
        <v>124</v>
      </c>
      <c r="QM29" s="92"/>
      <c r="QQ29" s="93"/>
      <c r="ST29" s="92"/>
      <c r="AFL29" s="5">
        <f>35.8500000000058*1000</f>
        <v>35850.000000005799</v>
      </c>
      <c r="AIC29" s="5"/>
      <c r="AJR29" s="5"/>
      <c r="AJS29" s="5"/>
      <c r="AJT29" s="5"/>
      <c r="AKA29" s="204" t="s">
        <v>83</v>
      </c>
      <c r="AKB29" s="5">
        <v>566885</v>
      </c>
      <c r="AKC29" s="5">
        <f>AO36</f>
        <v>1720487</v>
      </c>
      <c r="AKD29" s="4">
        <f>AKB29-AKC29</f>
        <v>-1153602</v>
      </c>
    </row>
    <row r="30" spans="6:966" ht="15" customHeight="1" x14ac:dyDescent="0.3">
      <c r="F30" s="57"/>
      <c r="G30" s="202" t="s">
        <v>123</v>
      </c>
      <c r="H30" s="301"/>
      <c r="I30" s="261" t="s">
        <v>16</v>
      </c>
      <c r="J30" s="188"/>
      <c r="K30" s="188"/>
      <c r="L30" s="188"/>
      <c r="M30" s="188"/>
      <c r="N30" s="188"/>
      <c r="O30" s="188"/>
      <c r="P30" s="188"/>
      <c r="Q30" s="188"/>
      <c r="R30" s="188"/>
      <c r="S30" s="188"/>
      <c r="T30" s="188"/>
      <c r="U30" s="188"/>
      <c r="V30" s="188"/>
      <c r="W30" s="188"/>
      <c r="X30" s="188"/>
      <c r="Y30" s="188"/>
      <c r="Z30" s="188"/>
      <c r="AA30" s="188"/>
      <c r="AB30" s="188"/>
      <c r="AC30" s="188"/>
      <c r="AD30" s="188"/>
      <c r="AE30" s="188"/>
      <c r="AF30" s="188"/>
      <c r="AG30" s="188"/>
      <c r="AH30" s="188"/>
      <c r="AI30" s="188"/>
      <c r="AJ30" s="188"/>
      <c r="AK30" s="188"/>
      <c r="AL30" s="188"/>
      <c r="AM30" s="188"/>
      <c r="AN30" s="14"/>
      <c r="AO30" s="13">
        <f>SUM(J30:AM30)</f>
        <v>0</v>
      </c>
      <c r="AP30" s="94"/>
      <c r="AQ30" s="94"/>
      <c r="CA30" s="93"/>
      <c r="CB30" s="93"/>
      <c r="DE30" s="93"/>
      <c r="EL30" s="217"/>
      <c r="EM30" s="66"/>
      <c r="EN30" s="260"/>
      <c r="EO30" s="224"/>
      <c r="EP30" s="259"/>
      <c r="EQ30" s="93"/>
      <c r="GT30" s="93"/>
      <c r="KO30" s="93"/>
      <c r="KP30" s="93"/>
      <c r="KQ30" s="93"/>
      <c r="KR30" s="93"/>
      <c r="PV30" s="93"/>
      <c r="PW30" s="93"/>
      <c r="PY30" s="93"/>
      <c r="QM30" s="92"/>
      <c r="QQ30" s="93"/>
      <c r="ST30" s="92"/>
      <c r="AIC30" s="5"/>
      <c r="AJR30" s="5"/>
      <c r="AJS30" s="5"/>
      <c r="AJT30" s="5"/>
      <c r="AKA30" s="204"/>
      <c r="AKB30" s="5"/>
      <c r="AKC30" s="5"/>
    </row>
    <row r="31" spans="6:966" x14ac:dyDescent="0.3">
      <c r="F31" s="258"/>
      <c r="G31" s="257" t="s">
        <v>122</v>
      </c>
      <c r="H31" s="302">
        <v>5</v>
      </c>
      <c r="I31" s="256" t="s">
        <v>29</v>
      </c>
      <c r="J31" s="246">
        <v>4.67</v>
      </c>
      <c r="K31" s="246">
        <v>4.71</v>
      </c>
      <c r="L31" s="246">
        <v>4.72</v>
      </c>
      <c r="M31" s="246">
        <v>4.72</v>
      </c>
      <c r="N31" s="246">
        <v>4.6900000000000004</v>
      </c>
      <c r="O31" s="246">
        <v>4.21</v>
      </c>
      <c r="P31" s="246">
        <v>4.42</v>
      </c>
      <c r="Q31" s="246">
        <v>4.76</v>
      </c>
      <c r="R31" s="246">
        <v>4.3499999999999996</v>
      </c>
      <c r="S31" s="246">
        <v>4.04</v>
      </c>
      <c r="T31" s="246">
        <v>4.67</v>
      </c>
      <c r="U31" s="246">
        <v>4.0999999999999996</v>
      </c>
      <c r="V31" s="246">
        <v>4.1100000000000003</v>
      </c>
      <c r="W31" s="246">
        <v>3.98</v>
      </c>
      <c r="X31" s="246"/>
      <c r="Y31" s="246"/>
      <c r="Z31" s="246"/>
      <c r="AA31" s="246"/>
      <c r="AB31" s="246">
        <v>3.98</v>
      </c>
      <c r="AC31" s="246">
        <v>4.0999999999999996</v>
      </c>
      <c r="AD31" s="246">
        <v>4.24</v>
      </c>
      <c r="AE31" s="246">
        <v>4.47</v>
      </c>
      <c r="AF31" s="246">
        <v>4.41</v>
      </c>
      <c r="AG31" s="246">
        <v>4.37</v>
      </c>
      <c r="AH31" s="246">
        <v>4.37</v>
      </c>
      <c r="AI31" s="246">
        <v>4.17</v>
      </c>
      <c r="AJ31" s="246">
        <v>4.55</v>
      </c>
      <c r="AK31" s="246">
        <v>4.0599999999999996</v>
      </c>
      <c r="AL31" s="246">
        <v>4.4400000000000004</v>
      </c>
      <c r="AM31" s="246">
        <v>4.38</v>
      </c>
      <c r="AO31" s="98">
        <f>AVERAGE(J31:AM31)</f>
        <v>4.372692307692307</v>
      </c>
      <c r="AP31" s="245"/>
      <c r="AQ31" s="255"/>
      <c r="AV31" s="2" t="s">
        <v>101</v>
      </c>
      <c r="AW31" s="206">
        <v>1179</v>
      </c>
      <c r="AX31" s="3">
        <v>10.86</v>
      </c>
      <c r="AY31" s="85">
        <f>AW31*AX31</f>
        <v>12803.939999999999</v>
      </c>
      <c r="AZ31" s="3">
        <f>AY31/1000</f>
        <v>12.803939999999999</v>
      </c>
      <c r="CA31" s="245"/>
      <c r="CB31" s="245"/>
      <c r="DE31" s="245"/>
      <c r="EL31" s="217" t="s">
        <v>102</v>
      </c>
      <c r="EM31" s="66" t="s">
        <v>16</v>
      </c>
      <c r="EN31" s="216">
        <v>182230</v>
      </c>
      <c r="EO31" s="215">
        <v>190070</v>
      </c>
      <c r="EP31" s="214">
        <v>197800.00000000099</v>
      </c>
      <c r="EQ31" s="245"/>
      <c r="GT31" s="245"/>
      <c r="GU31" s="245"/>
      <c r="KO31" s="245"/>
      <c r="KP31" s="245"/>
      <c r="KQ31" s="254"/>
      <c r="KR31" s="245"/>
      <c r="PV31" s="245">
        <f>AO29/1000</f>
        <v>38971.002</v>
      </c>
      <c r="PW31" s="245">
        <f>(AO38+AO48+AO43)/1000</f>
        <v>35517.138639999997</v>
      </c>
      <c r="PY31" s="245">
        <f>SUM(PY32:PY33)</f>
        <v>762.23</v>
      </c>
      <c r="QM31" s="253"/>
      <c r="QQ31" s="245"/>
      <c r="ST31" s="253"/>
      <c r="AIC31" s="245">
        <v>2000</v>
      </c>
      <c r="AJR31" s="245"/>
      <c r="AJS31" s="245"/>
      <c r="AJT31" s="245"/>
      <c r="AKA31" s="252"/>
      <c r="AKB31" s="245"/>
      <c r="AKC31" s="245"/>
    </row>
    <row r="32" spans="6:966" ht="15" thickBot="1" x14ac:dyDescent="0.35">
      <c r="F32" s="57"/>
      <c r="G32" s="59" t="s">
        <v>121</v>
      </c>
      <c r="H32" s="303">
        <v>0.5</v>
      </c>
      <c r="I32" s="60" t="s">
        <v>29</v>
      </c>
      <c r="J32" s="246">
        <v>0.4</v>
      </c>
      <c r="K32" s="246">
        <v>0.4</v>
      </c>
      <c r="L32" s="246">
        <v>0.39</v>
      </c>
      <c r="M32" s="246">
        <v>0.4</v>
      </c>
      <c r="N32" s="246">
        <v>0.38</v>
      </c>
      <c r="O32" s="246">
        <v>0.39</v>
      </c>
      <c r="P32" s="246">
        <v>0.4</v>
      </c>
      <c r="Q32" s="246">
        <v>0.39</v>
      </c>
      <c r="R32" s="246">
        <v>0.38</v>
      </c>
      <c r="S32" s="246">
        <v>0.39</v>
      </c>
      <c r="T32" s="246">
        <v>0.39</v>
      </c>
      <c r="U32" s="246">
        <v>0.39</v>
      </c>
      <c r="V32" s="246">
        <v>0.39</v>
      </c>
      <c r="W32" s="246">
        <v>0.36</v>
      </c>
      <c r="X32" s="246"/>
      <c r="Y32" s="246"/>
      <c r="Z32" s="246"/>
      <c r="AA32" s="246"/>
      <c r="AB32" s="246">
        <v>0.38</v>
      </c>
      <c r="AC32" s="246">
        <v>0.39</v>
      </c>
      <c r="AD32" s="246">
        <v>0.39</v>
      </c>
      <c r="AE32" s="246">
        <v>0.4</v>
      </c>
      <c r="AF32" s="246">
        <v>0.39</v>
      </c>
      <c r="AG32" s="246">
        <v>0.39</v>
      </c>
      <c r="AH32" s="246">
        <v>0.39</v>
      </c>
      <c r="AI32" s="246">
        <v>0.4</v>
      </c>
      <c r="AJ32" s="246">
        <v>0.4</v>
      </c>
      <c r="AK32" s="246">
        <v>0.39</v>
      </c>
      <c r="AL32" s="246">
        <v>0.38</v>
      </c>
      <c r="AM32" s="246">
        <v>0.4</v>
      </c>
      <c r="AN32" s="14"/>
      <c r="AO32" s="98">
        <f>AVERAGE(J32:AM32)</f>
        <v>0.39038461538461539</v>
      </c>
      <c r="AQ32" s="94"/>
      <c r="AV32" s="2" t="s">
        <v>160</v>
      </c>
      <c r="AW32" s="206">
        <v>2351</v>
      </c>
      <c r="AX32" s="3">
        <v>10.86</v>
      </c>
      <c r="AY32" s="85">
        <f>AW32*AX32</f>
        <v>25531.859999999997</v>
      </c>
      <c r="AZ32" s="3">
        <f>AY32/1000</f>
        <v>25.531859999999998</v>
      </c>
      <c r="CA32" s="93"/>
      <c r="CB32" s="93"/>
      <c r="DE32" s="93"/>
      <c r="EL32" s="212"/>
      <c r="EM32" s="211" t="s">
        <v>96</v>
      </c>
      <c r="EN32" s="251">
        <f>EN31/(EN27/1000)</f>
        <v>92.440598177871138</v>
      </c>
      <c r="EO32" s="250">
        <f>EO31/(EO27/1000)</f>
        <v>94.321926237642941</v>
      </c>
      <c r="EP32" s="249">
        <f>EP31/(EP27/1000)</f>
        <v>98.152568193209206</v>
      </c>
      <c r="EQ32" s="93"/>
      <c r="GT32" s="93"/>
      <c r="KO32" s="93"/>
      <c r="KP32" s="245"/>
      <c r="KQ32" s="93"/>
      <c r="KR32" s="93"/>
      <c r="PV32" s="206"/>
      <c r="PW32" s="206"/>
      <c r="PY32" s="206">
        <f>V39/1000</f>
        <v>611.27800000000002</v>
      </c>
      <c r="PZ32" s="92">
        <f>PY32/PY31*100</f>
        <v>80.196003830864697</v>
      </c>
      <c r="QM32" s="92"/>
      <c r="QQ32" s="93"/>
      <c r="ST32" s="92"/>
      <c r="AIB32" s="248">
        <v>0.94199999999999995</v>
      </c>
      <c r="AIC32" s="5">
        <f>AIB32*AIC31</f>
        <v>1884</v>
      </c>
      <c r="AID32" s="1" t="s">
        <v>18</v>
      </c>
      <c r="AJR32" s="5"/>
      <c r="AJS32" s="5"/>
      <c r="AJT32" s="5"/>
      <c r="AKA32" s="204" t="s">
        <v>82</v>
      </c>
      <c r="AKB32" s="5">
        <v>9594130</v>
      </c>
      <c r="AKC32" s="5">
        <f>AO39</f>
        <v>27885580.640000001</v>
      </c>
      <c r="AKD32" s="4">
        <f t="shared" ref="AKD32:AKD33" si="6">AKB32-AKC32</f>
        <v>-18291450.640000001</v>
      </c>
    </row>
    <row r="33" spans="5:14972" x14ac:dyDescent="0.3">
      <c r="F33" s="57"/>
      <c r="G33" s="59" t="s">
        <v>120</v>
      </c>
      <c r="H33" s="304" t="s">
        <v>119</v>
      </c>
      <c r="I33" s="60" t="s">
        <v>29</v>
      </c>
      <c r="J33" s="246">
        <v>2.2200000000000002</v>
      </c>
      <c r="K33" s="246">
        <v>2.21</v>
      </c>
      <c r="L33" s="246">
        <v>2.21</v>
      </c>
      <c r="M33" s="246">
        <v>2.21</v>
      </c>
      <c r="N33" s="246">
        <v>2.2200000000000002</v>
      </c>
      <c r="O33" s="246">
        <v>2.23</v>
      </c>
      <c r="P33" s="246">
        <v>2.23</v>
      </c>
      <c r="Q33" s="246">
        <v>2.23</v>
      </c>
      <c r="R33" s="246">
        <v>2.23</v>
      </c>
      <c r="S33" s="246">
        <v>2.23</v>
      </c>
      <c r="T33" s="246">
        <v>2.23</v>
      </c>
      <c r="U33" s="247">
        <v>2.21</v>
      </c>
      <c r="V33" s="246">
        <v>2.21</v>
      </c>
      <c r="W33" s="246">
        <v>2.2200000000000002</v>
      </c>
      <c r="X33" s="246"/>
      <c r="Y33" s="246"/>
      <c r="Z33" s="246"/>
      <c r="AA33" s="246"/>
      <c r="AB33" s="246">
        <v>2.2200000000000002</v>
      </c>
      <c r="AC33" s="246">
        <v>2.21</v>
      </c>
      <c r="AD33" s="246">
        <v>2.2200000000000002</v>
      </c>
      <c r="AE33" s="246">
        <v>2.2000000000000002</v>
      </c>
      <c r="AF33" s="246">
        <v>2.21</v>
      </c>
      <c r="AG33" s="246">
        <v>2.2200000000000002</v>
      </c>
      <c r="AH33" s="246">
        <v>2.2200000000000002</v>
      </c>
      <c r="AI33" s="246">
        <v>2.2200000000000002</v>
      </c>
      <c r="AJ33" s="246">
        <v>2.21</v>
      </c>
      <c r="AK33" s="246">
        <v>2.2200000000000002</v>
      </c>
      <c r="AL33" s="246">
        <v>2.21</v>
      </c>
      <c r="AM33" s="246">
        <v>2.21</v>
      </c>
      <c r="AN33" s="14"/>
      <c r="AO33" s="98">
        <f>AVERAGE(J33:AM33)</f>
        <v>2.2176923076923076</v>
      </c>
      <c r="AP33" s="245"/>
      <c r="AQ33" s="94"/>
      <c r="AW33" s="85"/>
      <c r="AZ33" s="244">
        <f>SUM(AZ31:AZ32)</f>
        <v>38.335799999999999</v>
      </c>
      <c r="CA33" s="93"/>
      <c r="CB33" s="93"/>
      <c r="DE33" s="93"/>
      <c r="EQ33" s="93"/>
      <c r="GT33" s="93"/>
      <c r="KO33" s="93"/>
      <c r="KP33" s="93"/>
      <c r="KQ33" s="93"/>
      <c r="KR33" s="93"/>
      <c r="PV33" s="93">
        <f>SUM(PV31:PV32)</f>
        <v>38971.002</v>
      </c>
      <c r="PW33" s="93">
        <f>SUM(PW31:PW32)</f>
        <v>35517.138639999997</v>
      </c>
      <c r="PY33" s="206">
        <f>V40/1000</f>
        <v>150.952</v>
      </c>
      <c r="PZ33" s="92">
        <f>PY33/PY31*100</f>
        <v>19.803996169135299</v>
      </c>
      <c r="QM33" s="92"/>
      <c r="QQ33" s="93"/>
      <c r="ST33" s="92"/>
      <c r="AIB33" s="225">
        <v>0.05</v>
      </c>
      <c r="AIC33" s="5">
        <f>AIB33*AIC31</f>
        <v>100</v>
      </c>
      <c r="AJR33" s="5"/>
      <c r="AJS33" s="5"/>
      <c r="AJT33" s="5"/>
      <c r="AKA33" s="204" t="s">
        <v>80</v>
      </c>
      <c r="AKB33" s="5">
        <v>2161151</v>
      </c>
      <c r="AKC33" s="5">
        <f>AO40</f>
        <v>6746658</v>
      </c>
      <c r="AKD33" s="4">
        <f t="shared" si="6"/>
        <v>-4585507</v>
      </c>
    </row>
    <row r="34" spans="5:14972" x14ac:dyDescent="0.3">
      <c r="F34" s="57"/>
      <c r="G34" s="243" t="s">
        <v>118</v>
      </c>
      <c r="H34" s="305"/>
      <c r="I34" s="17"/>
      <c r="J34" s="15"/>
      <c r="K34" s="15"/>
      <c r="L34" s="15"/>
      <c r="M34" s="15"/>
      <c r="N34" s="15"/>
      <c r="O34" s="15"/>
      <c r="P34" s="15"/>
      <c r="Q34" s="15"/>
      <c r="R34" s="15"/>
      <c r="S34" s="15"/>
      <c r="T34" s="15"/>
      <c r="U34" s="15"/>
      <c r="V34" s="15"/>
      <c r="W34" s="15"/>
      <c r="X34" s="15"/>
      <c r="Y34" s="15"/>
      <c r="Z34" s="15"/>
      <c r="AA34" s="15"/>
      <c r="AB34" s="15"/>
      <c r="AC34" s="15"/>
      <c r="AD34" s="15"/>
      <c r="AE34" s="15"/>
      <c r="AF34" s="15"/>
      <c r="AG34" s="15"/>
      <c r="AH34" s="15"/>
      <c r="AI34" s="15"/>
      <c r="AJ34" s="15"/>
      <c r="AK34" s="15"/>
      <c r="AL34" s="15"/>
      <c r="AM34" s="15"/>
      <c r="AN34" s="7"/>
      <c r="AO34" s="100" t="s">
        <v>118</v>
      </c>
      <c r="AP34" s="94"/>
      <c r="AQ34" s="94"/>
      <c r="AW34" s="3"/>
      <c r="AX34" s="242"/>
      <c r="CA34" s="93"/>
      <c r="CB34" s="93"/>
      <c r="CM34" s="134"/>
      <c r="DE34" s="93"/>
      <c r="EM34" s="66"/>
      <c r="EN34" s="93"/>
      <c r="EO34" s="93"/>
      <c r="EP34" s="93"/>
      <c r="EQ34" s="93"/>
      <c r="GT34" s="93"/>
      <c r="KO34" s="93"/>
      <c r="KP34" s="93"/>
      <c r="KQ34" s="93"/>
      <c r="KR34" s="93"/>
      <c r="PV34" s="92">
        <f>PV33/PV29*100</f>
        <v>144.62571853333353</v>
      </c>
      <c r="PW34" s="92">
        <f>PW33/PW29*100</f>
        <v>204.31836558319017</v>
      </c>
      <c r="PY34" s="93"/>
      <c r="QM34" s="92"/>
      <c r="QQ34" s="93"/>
      <c r="ST34" s="92"/>
      <c r="AFN34" s="241" t="s">
        <v>117</v>
      </c>
      <c r="AFO34" s="241"/>
      <c r="AFP34" s="241"/>
      <c r="AFQ34" s="241"/>
      <c r="AFR34" s="241"/>
      <c r="AFS34" s="241"/>
      <c r="AFT34" s="241"/>
      <c r="AFU34" s="241"/>
      <c r="AFV34" s="241"/>
      <c r="AFW34" s="241"/>
      <c r="AFX34" s="66" t="s">
        <v>116</v>
      </c>
      <c r="AFY34" s="241" t="s">
        <v>115</v>
      </c>
      <c r="AIC34" s="5"/>
      <c r="AJR34" s="5"/>
      <c r="AJS34" s="5"/>
      <c r="AJT34" s="5"/>
      <c r="AKB34" s="5"/>
      <c r="AKC34" s="5"/>
    </row>
    <row r="35" spans="5:14972" ht="15" thickBot="1" x14ac:dyDescent="0.35">
      <c r="F35" s="60"/>
      <c r="G35" s="190" t="s">
        <v>114</v>
      </c>
      <c r="H35" s="301">
        <f>H53%*H29</f>
        <v>0</v>
      </c>
      <c r="I35" s="189" t="s">
        <v>16</v>
      </c>
      <c r="J35" s="188">
        <v>1446660</v>
      </c>
      <c r="K35" s="188">
        <f>1135003+168000</f>
        <v>1303003</v>
      </c>
      <c r="L35" s="188">
        <v>1538702</v>
      </c>
      <c r="M35" s="188">
        <v>1306679</v>
      </c>
      <c r="N35" s="188">
        <v>1288460</v>
      </c>
      <c r="O35" s="188">
        <f>1160874+224000</f>
        <v>1384874</v>
      </c>
      <c r="P35" s="188">
        <v>1341162</v>
      </c>
      <c r="Q35" s="188">
        <v>1365841</v>
      </c>
      <c r="R35" s="188">
        <f>1154074+168000</f>
        <v>1322074</v>
      </c>
      <c r="S35" s="188">
        <v>1276924</v>
      </c>
      <c r="T35" s="188">
        <v>1227658</v>
      </c>
      <c r="U35" s="188">
        <v>1411166</v>
      </c>
      <c r="V35" s="188">
        <v>1216079</v>
      </c>
      <c r="W35" s="188">
        <v>608054</v>
      </c>
      <c r="X35" s="188">
        <v>0</v>
      </c>
      <c r="Y35" s="188">
        <v>0</v>
      </c>
      <c r="Z35" s="188">
        <v>0</v>
      </c>
      <c r="AA35" s="188">
        <v>0</v>
      </c>
      <c r="AB35" s="188">
        <v>605351</v>
      </c>
      <c r="AC35" s="188">
        <v>1315512</v>
      </c>
      <c r="AD35" s="188">
        <v>1550069</v>
      </c>
      <c r="AE35" s="188">
        <v>1686850</v>
      </c>
      <c r="AF35" s="188">
        <v>1762107</v>
      </c>
      <c r="AG35" s="188">
        <v>1839242</v>
      </c>
      <c r="AH35" s="188">
        <f>1048693+347900</f>
        <v>1396593</v>
      </c>
      <c r="AI35" s="188">
        <v>1522280</v>
      </c>
      <c r="AJ35" s="188">
        <v>1595575</v>
      </c>
      <c r="AK35" s="188">
        <v>1856313</v>
      </c>
      <c r="AL35" s="188">
        <v>1899900</v>
      </c>
      <c r="AM35" s="188">
        <v>1918751</v>
      </c>
      <c r="AN35" s="14"/>
      <c r="AO35" s="58">
        <f>SUM(J35:AM35)</f>
        <v>36985879</v>
      </c>
      <c r="AP35" s="12"/>
      <c r="AQ35" s="62"/>
      <c r="AR35" s="3"/>
      <c r="AZ35" s="3">
        <v>0</v>
      </c>
      <c r="CA35" s="5"/>
      <c r="CB35" s="5"/>
      <c r="CC35" s="67">
        <f>AQ35/1000</f>
        <v>0</v>
      </c>
      <c r="CM35" s="134"/>
      <c r="DE35" s="5"/>
      <c r="EL35" s="240" t="s">
        <v>113</v>
      </c>
      <c r="EM35" s="66"/>
      <c r="EN35" s="5"/>
      <c r="EO35" s="5"/>
      <c r="EP35" s="5"/>
      <c r="EQ35" s="5"/>
      <c r="GT35" s="5"/>
      <c r="KO35" s="5"/>
      <c r="KP35" s="5"/>
      <c r="KQ35" s="5"/>
      <c r="KR35" s="5"/>
      <c r="PV35" s="5"/>
      <c r="PW35" s="5"/>
      <c r="PY35" s="5"/>
      <c r="QM35" s="62"/>
      <c r="QQ35" s="5"/>
      <c r="ST35" s="62"/>
      <c r="AFL35" s="5">
        <v>136359.999999986</v>
      </c>
      <c r="AFM35" s="5">
        <v>109339.999999997</v>
      </c>
      <c r="AFN35" s="233">
        <f>SUM(AFL35:AFM35)</f>
        <v>245699.999999983</v>
      </c>
      <c r="AFX35" s="5">
        <v>34157.880000005498</v>
      </c>
      <c r="AFY35" s="233">
        <f>AFN35-AFX35</f>
        <v>211542.1199999775</v>
      </c>
      <c r="AIC35" s="5">
        <f>AIC32</f>
        <v>1884</v>
      </c>
      <c r="AJR35" s="5"/>
      <c r="AJS35" s="5"/>
      <c r="AJT35" s="5"/>
      <c r="AKB35" s="5"/>
      <c r="AKC35" s="5"/>
    </row>
    <row r="36" spans="5:14972" x14ac:dyDescent="0.3">
      <c r="F36" s="60"/>
      <c r="G36" s="190" t="s">
        <v>83</v>
      </c>
      <c r="H36" s="301">
        <f>H54%*H29</f>
        <v>0</v>
      </c>
      <c r="I36" s="189" t="s">
        <v>16</v>
      </c>
      <c r="J36" s="188">
        <v>68411</v>
      </c>
      <c r="K36" s="188">
        <v>66787</v>
      </c>
      <c r="L36" s="188">
        <v>65154</v>
      </c>
      <c r="M36" s="188">
        <v>65081</v>
      </c>
      <c r="N36" s="188">
        <v>70958</v>
      </c>
      <c r="O36" s="188">
        <v>64816</v>
      </c>
      <c r="P36" s="188">
        <v>73780</v>
      </c>
      <c r="Q36" s="188">
        <v>57806</v>
      </c>
      <c r="R36" s="188">
        <v>59160</v>
      </c>
      <c r="S36" s="188">
        <v>56772</v>
      </c>
      <c r="T36" s="188">
        <v>64966</v>
      </c>
      <c r="U36" s="188">
        <v>56027</v>
      </c>
      <c r="V36" s="188">
        <v>57366</v>
      </c>
      <c r="W36" s="188">
        <f>24891+3257</f>
        <v>28148</v>
      </c>
      <c r="X36" s="188">
        <v>0</v>
      </c>
      <c r="Y36" s="188">
        <v>0</v>
      </c>
      <c r="Z36" s="188">
        <v>0</v>
      </c>
      <c r="AA36" s="188">
        <v>0</v>
      </c>
      <c r="AB36" s="188">
        <v>22981</v>
      </c>
      <c r="AC36" s="188">
        <v>57686</v>
      </c>
      <c r="AD36" s="188">
        <v>68345</v>
      </c>
      <c r="AE36" s="188">
        <v>81371</v>
      </c>
      <c r="AF36" s="188">
        <v>87367</v>
      </c>
      <c r="AG36" s="188">
        <v>86200</v>
      </c>
      <c r="AH36" s="188">
        <v>68349</v>
      </c>
      <c r="AI36" s="188">
        <v>72610</v>
      </c>
      <c r="AJ36" s="188">
        <v>71047</v>
      </c>
      <c r="AK36" s="188">
        <v>74783</v>
      </c>
      <c r="AL36" s="188">
        <v>83456</v>
      </c>
      <c r="AM36" s="188">
        <v>91060</v>
      </c>
      <c r="AN36" s="14"/>
      <c r="AO36" s="58">
        <f>SUM(J36:AM36)</f>
        <v>1720487</v>
      </c>
      <c r="AP36" s="12"/>
      <c r="AQ36" s="62"/>
      <c r="AR36" s="3"/>
      <c r="AZ36" s="3">
        <f>SUM(AZ35,AZ33)</f>
        <v>38.335799999999999</v>
      </c>
      <c r="BA36" s="2" t="s">
        <v>161</v>
      </c>
      <c r="CA36" s="5"/>
      <c r="CB36" s="5"/>
      <c r="CC36" s="67">
        <f>AQ36/1000</f>
        <v>0</v>
      </c>
      <c r="DE36" s="5"/>
      <c r="EL36" s="239" t="s">
        <v>112</v>
      </c>
      <c r="EM36" s="238"/>
      <c r="EN36" s="237" t="s">
        <v>111</v>
      </c>
      <c r="EO36" s="236" t="s">
        <v>110</v>
      </c>
      <c r="EP36" s="235"/>
      <c r="EQ36" s="5"/>
      <c r="GT36" s="5"/>
      <c r="KO36" s="5"/>
      <c r="KP36" s="5"/>
      <c r="KQ36" s="5"/>
      <c r="KR36" s="5"/>
      <c r="PV36" s="5">
        <f>PV29-PV33</f>
        <v>-12024.8942155689</v>
      </c>
      <c r="PW36" s="5">
        <f>PW29-PW33</f>
        <v>-18133.905107065897</v>
      </c>
      <c r="PY36" s="227" t="s">
        <v>81</v>
      </c>
      <c r="PZ36" s="234">
        <v>0</v>
      </c>
      <c r="QL36" s="5">
        <v>564.70506750000004</v>
      </c>
      <c r="QM36" s="62">
        <f>PZ36/QL36*100</f>
        <v>0</v>
      </c>
      <c r="QP36" s="225"/>
      <c r="QQ36" s="5"/>
      <c r="ST36" s="62"/>
      <c r="AFL36" s="5">
        <v>13799.9999999993</v>
      </c>
      <c r="AFM36" s="5">
        <v>2799.9999999992701</v>
      </c>
      <c r="AFN36" s="233">
        <f>SUM(AFL36:AFM36)</f>
        <v>16599.99999999857</v>
      </c>
      <c r="AFX36" s="5">
        <v>1469.85000000024</v>
      </c>
      <c r="AFY36" s="233">
        <f>AFN36-AFX36</f>
        <v>15130.14999999833</v>
      </c>
      <c r="AIB36" s="225">
        <v>0.75</v>
      </c>
      <c r="AIC36" s="5">
        <f>AIB36*AIC35</f>
        <v>1413</v>
      </c>
      <c r="AJR36" s="5"/>
      <c r="AJS36" s="5"/>
      <c r="AJT36" s="5"/>
      <c r="AKB36" s="5"/>
      <c r="AKC36" s="5"/>
    </row>
    <row r="37" spans="5:14972" ht="15" thickBot="1" x14ac:dyDescent="0.35">
      <c r="F37" s="60"/>
      <c r="G37" s="201" t="s">
        <v>109</v>
      </c>
      <c r="H37" s="306"/>
      <c r="I37" s="200"/>
      <c r="J37" s="198"/>
      <c r="K37" s="198"/>
      <c r="L37" s="198"/>
      <c r="M37" s="198"/>
      <c r="N37" s="198"/>
      <c r="O37" s="198"/>
      <c r="P37" s="198"/>
      <c r="Q37" s="198"/>
      <c r="R37" s="198"/>
      <c r="S37" s="198"/>
      <c r="T37" s="198"/>
      <c r="U37" s="198"/>
      <c r="V37" s="198"/>
      <c r="W37" s="198"/>
      <c r="X37" s="198"/>
      <c r="Y37" s="198"/>
      <c r="Z37" s="198"/>
      <c r="AA37" s="198"/>
      <c r="AB37" s="198"/>
      <c r="AC37" s="198"/>
      <c r="AD37" s="198"/>
      <c r="AE37" s="198"/>
      <c r="AF37" s="198"/>
      <c r="AG37" s="198"/>
      <c r="AH37" s="198"/>
      <c r="AI37" s="198"/>
      <c r="AJ37" s="198"/>
      <c r="AK37" s="198"/>
      <c r="AL37" s="198"/>
      <c r="AM37" s="198"/>
      <c r="AN37" s="14"/>
      <c r="AO37" s="196" t="s">
        <v>82</v>
      </c>
      <c r="AP37" s="12"/>
      <c r="AQ37" s="134"/>
      <c r="AR37" s="3"/>
      <c r="AT37" s="85">
        <v>43188.019</v>
      </c>
      <c r="AZ37" s="85">
        <v>4695.7550000000001</v>
      </c>
      <c r="BA37" s="2" t="s">
        <v>162</v>
      </c>
      <c r="EL37" s="232"/>
      <c r="EM37" s="231"/>
      <c r="EN37" s="230">
        <v>24</v>
      </c>
      <c r="EO37" s="229">
        <v>2</v>
      </c>
      <c r="EP37" s="228">
        <v>3</v>
      </c>
      <c r="PY37" s="227" t="s">
        <v>79</v>
      </c>
      <c r="PZ37" s="226">
        <f>80.53776+QM43</f>
        <v>120.78492</v>
      </c>
      <c r="QL37" s="5">
        <v>4695.7554</v>
      </c>
      <c r="QM37" s="62">
        <f>PZ37/QL37*100</f>
        <v>2.5722148985869238</v>
      </c>
      <c r="AIB37" s="225">
        <v>0.25</v>
      </c>
      <c r="AIC37" s="5">
        <f>AIB37*AIC35</f>
        <v>471</v>
      </c>
    </row>
    <row r="38" spans="5:14972" x14ac:dyDescent="0.3">
      <c r="F38" s="60"/>
      <c r="G38" s="190" t="s">
        <v>108</v>
      </c>
      <c r="H38" s="307">
        <f>SUM(H39:H40)</f>
        <v>0</v>
      </c>
      <c r="I38" s="189" t="s">
        <v>16</v>
      </c>
      <c r="J38" s="188">
        <f>J40+J39</f>
        <v>1238050</v>
      </c>
      <c r="K38" s="188">
        <f t="shared" ref="K38:AM38" si="7">K40+K39</f>
        <v>569932</v>
      </c>
      <c r="L38" s="188">
        <f t="shared" si="7"/>
        <v>1579823</v>
      </c>
      <c r="M38" s="188">
        <f t="shared" si="7"/>
        <v>1709532</v>
      </c>
      <c r="N38" s="188">
        <f t="shared" si="7"/>
        <v>1860282</v>
      </c>
      <c r="O38" s="188">
        <f t="shared" si="7"/>
        <v>498844</v>
      </c>
      <c r="P38" s="188">
        <f t="shared" si="7"/>
        <v>1737622</v>
      </c>
      <c r="Q38" s="188">
        <f t="shared" si="7"/>
        <v>1892485</v>
      </c>
      <c r="R38" s="188">
        <f t="shared" si="7"/>
        <v>652009</v>
      </c>
      <c r="S38" s="188">
        <f t="shared" si="7"/>
        <v>624959.64</v>
      </c>
      <c r="T38" s="188">
        <f t="shared" si="7"/>
        <v>658575</v>
      </c>
      <c r="U38" s="188">
        <f t="shared" si="7"/>
        <v>693762</v>
      </c>
      <c r="V38" s="188">
        <f t="shared" si="7"/>
        <v>762230</v>
      </c>
      <c r="W38" s="188">
        <f t="shared" si="7"/>
        <v>1752577</v>
      </c>
      <c r="X38" s="188">
        <f t="shared" si="7"/>
        <v>681453</v>
      </c>
      <c r="Y38" s="188">
        <f t="shared" si="7"/>
        <v>0</v>
      </c>
      <c r="Z38" s="188">
        <f t="shared" si="7"/>
        <v>0</v>
      </c>
      <c r="AA38" s="188">
        <f t="shared" si="7"/>
        <v>0</v>
      </c>
      <c r="AB38" s="188">
        <f t="shared" si="7"/>
        <v>428716</v>
      </c>
      <c r="AC38" s="188">
        <f t="shared" si="7"/>
        <v>1055708</v>
      </c>
      <c r="AD38" s="188">
        <f t="shared" si="7"/>
        <v>1732600</v>
      </c>
      <c r="AE38" s="188">
        <f t="shared" si="7"/>
        <v>1643105</v>
      </c>
      <c r="AF38" s="188">
        <f t="shared" si="7"/>
        <v>1928154</v>
      </c>
      <c r="AG38" s="188">
        <f t="shared" si="7"/>
        <v>1794888</v>
      </c>
      <c r="AH38" s="188">
        <f t="shared" si="7"/>
        <v>473489</v>
      </c>
      <c r="AI38" s="188">
        <f t="shared" si="7"/>
        <v>680828</v>
      </c>
      <c r="AJ38" s="188">
        <f t="shared" si="7"/>
        <v>1908017</v>
      </c>
      <c r="AK38" s="188">
        <f t="shared" si="7"/>
        <v>1974979</v>
      </c>
      <c r="AL38" s="188">
        <f t="shared" si="7"/>
        <v>1972350</v>
      </c>
      <c r="AM38" s="188">
        <f t="shared" si="7"/>
        <v>2127269</v>
      </c>
      <c r="AN38" s="14"/>
      <c r="AO38" s="58">
        <f>SUM(J38:AM38)</f>
        <v>34632238.640000001</v>
      </c>
      <c r="AP38" s="94"/>
      <c r="AQ38" s="92"/>
      <c r="AR38" s="151">
        <f>SUM(AR39:AR40)</f>
        <v>1643.105</v>
      </c>
      <c r="AT38" s="151">
        <f>AO38/1000</f>
        <v>34632.238640000003</v>
      </c>
      <c r="AU38" s="3">
        <f>AT38/AT37*100</f>
        <v>80.189458655188616</v>
      </c>
      <c r="AZ38" s="3">
        <f>AZ36/AZ37*100</f>
        <v>0.81639267806774418</v>
      </c>
      <c r="BA38" s="2" t="s">
        <v>29</v>
      </c>
      <c r="CA38" s="93"/>
      <c r="CB38" s="93"/>
      <c r="DE38" s="93"/>
      <c r="EL38" s="217" t="s">
        <v>107</v>
      </c>
      <c r="EM38" s="66" t="s">
        <v>16</v>
      </c>
      <c r="EN38" s="216">
        <v>2000530</v>
      </c>
      <c r="EO38" s="224">
        <v>2005167</v>
      </c>
      <c r="EP38" s="214">
        <v>2025879</v>
      </c>
      <c r="EQ38" s="93"/>
      <c r="GT38" s="93"/>
      <c r="KO38" s="93"/>
      <c r="KP38" s="93"/>
      <c r="KQ38" s="93"/>
      <c r="KR38" s="93"/>
      <c r="PV38" s="93"/>
      <c r="PW38" s="93"/>
      <c r="PY38" s="93"/>
      <c r="QM38" s="92"/>
      <c r="QQ38" s="93"/>
      <c r="ST38" s="92"/>
      <c r="AFL38" s="4">
        <f>95.28%*AFL29</f>
        <v>34157.880000005527</v>
      </c>
      <c r="AFN38" s="4">
        <f>AFL35-AFX35</f>
        <v>102202.1199999805</v>
      </c>
      <c r="AIC38" s="5"/>
      <c r="AJR38" s="5"/>
      <c r="AJS38" s="5"/>
      <c r="AJT38" s="5"/>
      <c r="AJX38" s="1" t="s">
        <v>106</v>
      </c>
    </row>
    <row r="39" spans="5:14972" x14ac:dyDescent="0.3">
      <c r="F39" s="60"/>
      <c r="G39" s="190" t="s">
        <v>105</v>
      </c>
      <c r="H39" s="307"/>
      <c r="I39" s="189" t="s">
        <v>16</v>
      </c>
      <c r="J39" s="188">
        <v>960918</v>
      </c>
      <c r="K39" s="188">
        <v>461235</v>
      </c>
      <c r="L39" s="188">
        <v>1233071</v>
      </c>
      <c r="M39" s="188">
        <v>1347314</v>
      </c>
      <c r="N39" s="188">
        <v>1492916</v>
      </c>
      <c r="O39" s="188">
        <v>374087</v>
      </c>
      <c r="P39" s="188">
        <v>1390745</v>
      </c>
      <c r="Q39" s="188">
        <v>1480722</v>
      </c>
      <c r="R39" s="188">
        <v>568890</v>
      </c>
      <c r="S39" s="188">
        <v>462557.64</v>
      </c>
      <c r="T39" s="188">
        <v>528638</v>
      </c>
      <c r="U39" s="188">
        <v>546116</v>
      </c>
      <c r="V39" s="188">
        <v>611278</v>
      </c>
      <c r="W39" s="188">
        <v>1387084</v>
      </c>
      <c r="X39" s="188">
        <v>522862</v>
      </c>
      <c r="Y39" s="188">
        <v>0</v>
      </c>
      <c r="Z39" s="188">
        <v>0</v>
      </c>
      <c r="AA39" s="188"/>
      <c r="AB39" s="188">
        <v>363175</v>
      </c>
      <c r="AC39" s="188">
        <v>848479</v>
      </c>
      <c r="AD39" s="188">
        <v>1399166</v>
      </c>
      <c r="AE39" s="188">
        <v>1362185</v>
      </c>
      <c r="AF39" s="188">
        <v>1652855</v>
      </c>
      <c r="AG39" s="188">
        <f>774543+699600</f>
        <v>1474143</v>
      </c>
      <c r="AH39" s="188">
        <v>356226</v>
      </c>
      <c r="AI39" s="188">
        <v>568596</v>
      </c>
      <c r="AJ39" s="188">
        <v>1573657</v>
      </c>
      <c r="AK39" s="188">
        <v>1611084</v>
      </c>
      <c r="AL39" s="188">
        <v>1592483</v>
      </c>
      <c r="AM39" s="188">
        <v>1715098</v>
      </c>
      <c r="AN39" s="14"/>
      <c r="AO39" s="58">
        <f>SUM(J39:AM39)</f>
        <v>27885580.640000001</v>
      </c>
      <c r="AP39" s="5"/>
      <c r="AR39" s="151">
        <f>AE39/1000</f>
        <v>1362.1849999999999</v>
      </c>
      <c r="AS39" s="3">
        <f>AR39/AR38*100</f>
        <v>82.903101140827886</v>
      </c>
      <c r="AT39" s="151">
        <f>AO39/1000</f>
        <v>27885.58064</v>
      </c>
      <c r="CC39" s="67">
        <f>AQ39/1000</f>
        <v>0</v>
      </c>
      <c r="EL39" s="223" t="s">
        <v>104</v>
      </c>
      <c r="EM39" s="222" t="s">
        <v>22</v>
      </c>
      <c r="EN39" s="221">
        <v>255.536188590634</v>
      </c>
      <c r="EO39" s="220">
        <v>255.09239449100701</v>
      </c>
      <c r="EP39" s="219">
        <v>260.824545250543</v>
      </c>
      <c r="PV39" s="206">
        <f>V29/1000</f>
        <v>1283.4559999999999</v>
      </c>
      <c r="PY39" s="207" t="s">
        <v>103</v>
      </c>
      <c r="PZ39" s="5">
        <v>0</v>
      </c>
      <c r="QL39" s="5">
        <v>9.7534799999999997</v>
      </c>
      <c r="QM39" s="62">
        <f>(PZ39*QL39)/1000</f>
        <v>0</v>
      </c>
      <c r="AFL39" s="4">
        <f>4.1%*AFL29</f>
        <v>1469.8500000002375</v>
      </c>
      <c r="AFN39" s="4">
        <f>AFL36-AFX36</f>
        <v>12330.149999999059</v>
      </c>
    </row>
    <row r="40" spans="5:14972" x14ac:dyDescent="0.3">
      <c r="F40" s="60"/>
      <c r="G40" s="190" t="s">
        <v>94</v>
      </c>
      <c r="H40" s="307"/>
      <c r="I40" s="189" t="s">
        <v>16</v>
      </c>
      <c r="J40" s="188">
        <v>277132</v>
      </c>
      <c r="K40" s="188">
        <f>182797-K51</f>
        <v>108697</v>
      </c>
      <c r="L40" s="188">
        <v>346752</v>
      </c>
      <c r="M40" s="188">
        <v>362218</v>
      </c>
      <c r="N40" s="188">
        <v>367366</v>
      </c>
      <c r="O40" s="188">
        <f>217057-O51</f>
        <v>124757</v>
      </c>
      <c r="P40" s="188">
        <v>346877</v>
      </c>
      <c r="Q40" s="188">
        <v>411763</v>
      </c>
      <c r="R40" s="188">
        <f>149619-R51</f>
        <v>83119</v>
      </c>
      <c r="S40" s="188">
        <v>162402</v>
      </c>
      <c r="T40" s="188">
        <v>129937</v>
      </c>
      <c r="U40" s="188">
        <v>147646</v>
      </c>
      <c r="V40" s="188">
        <v>150952</v>
      </c>
      <c r="W40" s="188">
        <v>365493</v>
      </c>
      <c r="X40" s="188">
        <v>158591</v>
      </c>
      <c r="Y40" s="188">
        <v>0</v>
      </c>
      <c r="Z40" s="188">
        <v>0</v>
      </c>
      <c r="AA40" s="188"/>
      <c r="AB40" s="188">
        <v>65541</v>
      </c>
      <c r="AC40" s="188">
        <v>207229</v>
      </c>
      <c r="AD40" s="188">
        <v>333434</v>
      </c>
      <c r="AE40" s="188">
        <v>280920</v>
      </c>
      <c r="AF40" s="218">
        <v>275299</v>
      </c>
      <c r="AG40" s="218">
        <v>320745</v>
      </c>
      <c r="AH40" s="218">
        <v>117263</v>
      </c>
      <c r="AI40" s="218">
        <v>112232</v>
      </c>
      <c r="AJ40" s="218">
        <v>334360</v>
      </c>
      <c r="AK40" s="218">
        <v>363895</v>
      </c>
      <c r="AL40" s="218">
        <v>379867</v>
      </c>
      <c r="AM40" s="218">
        <v>412171</v>
      </c>
      <c r="AN40" s="14"/>
      <c r="AO40" s="58">
        <f>SUM(J40:AM40)</f>
        <v>6746658</v>
      </c>
      <c r="AP40" s="5"/>
      <c r="AR40" s="151">
        <f>AE40/1000</f>
        <v>280.92</v>
      </c>
      <c r="AS40" s="3">
        <f>AR40/AR38*100</f>
        <v>17.096898859172114</v>
      </c>
      <c r="AT40" s="151">
        <f>AO40/1000</f>
        <v>6746.6580000000004</v>
      </c>
      <c r="CC40" s="67">
        <f>AQ40/1000</f>
        <v>0</v>
      </c>
      <c r="EL40" s="217" t="s">
        <v>102</v>
      </c>
      <c r="EM40" s="66" t="s">
        <v>16</v>
      </c>
      <c r="EN40" s="216">
        <v>146000</v>
      </c>
      <c r="EO40" s="215">
        <v>151100</v>
      </c>
      <c r="EP40" s="214">
        <v>152900</v>
      </c>
      <c r="PV40" s="5">
        <v>1796</v>
      </c>
      <c r="PX40" s="62"/>
      <c r="PY40" s="207" t="s">
        <v>101</v>
      </c>
      <c r="PZ40" s="206">
        <v>1262</v>
      </c>
      <c r="QL40" s="1">
        <v>10.86</v>
      </c>
      <c r="QM40" s="62">
        <f t="shared" ref="QM40:QM41" si="8">(PZ40*QL40)/1000</f>
        <v>13.70532</v>
      </c>
      <c r="AJX40" s="204" t="s">
        <v>100</v>
      </c>
    </row>
    <row r="41" spans="5:14972" ht="15.75" customHeight="1" thickBot="1" x14ac:dyDescent="0.35">
      <c r="F41" s="60"/>
      <c r="G41" s="201" t="s">
        <v>99</v>
      </c>
      <c r="H41" s="308"/>
      <c r="I41" s="200"/>
      <c r="J41" s="198"/>
      <c r="K41" s="198"/>
      <c r="L41" s="198"/>
      <c r="M41" s="199"/>
      <c r="N41" s="198"/>
      <c r="O41" s="198"/>
      <c r="P41" s="198"/>
      <c r="Q41" s="198"/>
      <c r="R41" s="198"/>
      <c r="S41" s="198"/>
      <c r="T41" s="198"/>
      <c r="U41" s="198"/>
      <c r="V41" s="198"/>
      <c r="W41" s="198"/>
      <c r="X41" s="198"/>
      <c r="Y41" s="198"/>
      <c r="Z41" s="198"/>
      <c r="AA41" s="198"/>
      <c r="AB41" s="198"/>
      <c r="AC41" s="197"/>
      <c r="AD41" s="213"/>
      <c r="AE41" s="213"/>
      <c r="AF41" s="197"/>
      <c r="AG41" s="197"/>
      <c r="AH41" s="197"/>
      <c r="AI41" s="197"/>
      <c r="AJ41" s="197"/>
      <c r="AK41" s="197"/>
      <c r="AL41" s="197"/>
      <c r="AM41" s="197"/>
      <c r="AN41" s="14"/>
      <c r="AO41" s="196" t="s">
        <v>81</v>
      </c>
      <c r="AP41" s="5"/>
      <c r="EL41" s="212"/>
      <c r="EM41" s="211" t="s">
        <v>96</v>
      </c>
      <c r="EN41" s="210">
        <f>EN40/(EN38/1000)</f>
        <v>72.980660125066862</v>
      </c>
      <c r="EO41" s="209">
        <f t="shared" ref="EO41:EP41" si="9">EO40/(EO38/1000)</f>
        <v>75.35531953198911</v>
      </c>
      <c r="EP41" s="208">
        <f t="shared" si="9"/>
        <v>75.473411788167013</v>
      </c>
      <c r="PV41" s="62">
        <f>PV39/PV40*100</f>
        <v>71.461915367483286</v>
      </c>
      <c r="PX41" s="62"/>
      <c r="PY41" s="207" t="s">
        <v>98</v>
      </c>
      <c r="PZ41" s="206">
        <v>2444</v>
      </c>
      <c r="QL41" s="1">
        <v>10.86</v>
      </c>
      <c r="QM41" s="62">
        <f t="shared" si="8"/>
        <v>26.541840000000001</v>
      </c>
      <c r="AJX41" s="204" t="s">
        <v>97</v>
      </c>
    </row>
    <row r="42" spans="5:14972" ht="15" customHeight="1" x14ac:dyDescent="0.3">
      <c r="E42" s="191"/>
      <c r="F42" s="36"/>
      <c r="G42" s="195" t="s">
        <v>92</v>
      </c>
      <c r="H42" s="309"/>
      <c r="I42" s="194" t="s">
        <v>16</v>
      </c>
      <c r="J42" s="188"/>
      <c r="K42" s="188"/>
      <c r="L42" s="188"/>
      <c r="M42" s="188"/>
      <c r="N42" s="188"/>
      <c r="O42" s="188"/>
      <c r="P42" s="188"/>
      <c r="Q42" s="188"/>
      <c r="R42" s="188"/>
      <c r="S42" s="188"/>
      <c r="T42" s="188"/>
      <c r="U42" s="188"/>
      <c r="V42" s="188"/>
      <c r="W42" s="188"/>
      <c r="X42" s="188"/>
      <c r="Y42" s="188"/>
      <c r="Z42" s="188"/>
      <c r="AA42" s="188"/>
      <c r="AB42" s="188"/>
      <c r="AC42" s="188"/>
      <c r="AD42" s="188"/>
      <c r="AE42" s="188"/>
      <c r="AF42" s="188"/>
      <c r="AG42" s="188"/>
      <c r="AH42" s="193"/>
      <c r="AI42" s="193"/>
      <c r="AJ42" s="193"/>
      <c r="AK42" s="193"/>
      <c r="AL42" s="193"/>
      <c r="AM42" s="193"/>
      <c r="AN42" s="109"/>
      <c r="AO42" s="108">
        <f>SUM(J42:AM42)</f>
        <v>0</v>
      </c>
      <c r="AP42" s="28"/>
      <c r="AQ42" s="31"/>
      <c r="AR42" s="192"/>
      <c r="AS42" s="205"/>
      <c r="AT42" s="192"/>
      <c r="AU42" s="192"/>
      <c r="AV42" s="192"/>
      <c r="AW42" s="192"/>
      <c r="AX42" s="192"/>
      <c r="AY42" s="192"/>
      <c r="AZ42" s="192"/>
      <c r="BA42" s="192"/>
      <c r="BB42" s="192"/>
      <c r="BC42" s="192"/>
      <c r="BD42" s="192"/>
      <c r="BE42" s="192"/>
      <c r="BF42" s="192"/>
      <c r="BG42" s="192"/>
      <c r="BH42" s="192"/>
      <c r="BI42" s="192"/>
      <c r="BJ42" s="192"/>
      <c r="BK42" s="192"/>
      <c r="BL42" s="192"/>
      <c r="BM42" s="192"/>
      <c r="BN42" s="192"/>
      <c r="BO42" s="192"/>
      <c r="BP42" s="192"/>
      <c r="BQ42" s="192"/>
      <c r="BR42" s="192"/>
      <c r="BS42" s="192"/>
      <c r="BT42" s="192"/>
      <c r="BU42" s="192"/>
      <c r="BV42" s="192"/>
      <c r="BW42" s="192"/>
      <c r="BX42" s="192"/>
      <c r="BY42" s="192"/>
      <c r="BZ42" s="192"/>
      <c r="CA42" s="28"/>
      <c r="CB42" s="28"/>
      <c r="CC42" s="191"/>
      <c r="CD42" s="191"/>
      <c r="CE42" s="191"/>
      <c r="CF42" s="191"/>
      <c r="CG42" s="191"/>
      <c r="CH42" s="191"/>
      <c r="CI42" s="191"/>
      <c r="CJ42" s="191"/>
      <c r="CK42" s="191"/>
      <c r="CL42" s="191"/>
      <c r="CM42" s="191"/>
      <c r="CN42" s="191"/>
      <c r="CO42" s="191"/>
      <c r="CP42" s="191"/>
      <c r="CQ42" s="191"/>
      <c r="CR42" s="191"/>
      <c r="CS42" s="191"/>
      <c r="CT42" s="191"/>
      <c r="CU42" s="191"/>
      <c r="CV42" s="191"/>
      <c r="CW42" s="191"/>
      <c r="CX42" s="191"/>
      <c r="CY42" s="191"/>
      <c r="CZ42" s="191"/>
      <c r="DA42" s="191"/>
      <c r="DC42" s="191"/>
      <c r="DD42" s="191"/>
      <c r="DE42" s="28"/>
      <c r="DF42" s="191"/>
      <c r="DG42" s="191"/>
      <c r="DH42" s="191"/>
      <c r="DI42" s="191"/>
      <c r="DJ42" s="191"/>
      <c r="DK42" s="191"/>
      <c r="DL42" s="191"/>
      <c r="DM42" s="191"/>
      <c r="DN42" s="191"/>
      <c r="DO42" s="191"/>
      <c r="DP42" s="191"/>
      <c r="DQ42" s="191"/>
      <c r="DR42" s="191"/>
      <c r="DS42" s="191"/>
      <c r="DT42" s="191"/>
      <c r="DU42" s="191"/>
      <c r="DV42" s="191"/>
      <c r="DW42" s="191"/>
      <c r="DX42" s="191"/>
      <c r="DY42" s="191"/>
      <c r="DZ42" s="191"/>
      <c r="EA42" s="191"/>
      <c r="EB42" s="191"/>
      <c r="EC42" s="191"/>
      <c r="ED42" s="191"/>
      <c r="EE42" s="191"/>
      <c r="EF42" s="191"/>
      <c r="EG42" s="191"/>
      <c r="EH42" s="191"/>
      <c r="EI42" s="191"/>
      <c r="EJ42" s="191"/>
      <c r="EK42" s="191"/>
      <c r="EM42" s="66" t="s">
        <v>96</v>
      </c>
      <c r="EN42" s="92" t="e">
        <f>EN40/(EN36/1000)</f>
        <v>#VALUE!</v>
      </c>
      <c r="EO42" s="92" t="e">
        <f>EP40/(EO36/1000)</f>
        <v>#VALUE!</v>
      </c>
      <c r="EP42" s="92" t="e">
        <f>#REF!/(EP36/1000)</f>
        <v>#REF!</v>
      </c>
      <c r="EQ42" s="28"/>
      <c r="ER42" s="191"/>
      <c r="ES42" s="191"/>
      <c r="ET42" s="191"/>
      <c r="EU42" s="191"/>
      <c r="EV42" s="191"/>
      <c r="EW42" s="191"/>
      <c r="EX42" s="191"/>
      <c r="EY42" s="191"/>
      <c r="EZ42" s="191"/>
      <c r="FA42" s="191"/>
      <c r="FB42" s="191"/>
      <c r="FC42" s="191"/>
      <c r="FD42" s="191"/>
      <c r="FE42" s="191"/>
      <c r="FF42" s="191"/>
      <c r="FG42" s="191"/>
      <c r="FH42" s="191"/>
      <c r="FI42" s="191"/>
      <c r="FJ42" s="191"/>
      <c r="FK42" s="191"/>
      <c r="FL42" s="191"/>
      <c r="FM42" s="191"/>
      <c r="FN42" s="191"/>
      <c r="FO42" s="191"/>
      <c r="FP42" s="191"/>
      <c r="FQ42" s="191"/>
      <c r="FR42" s="191"/>
      <c r="FS42" s="191"/>
      <c r="FT42" s="191"/>
      <c r="FU42" s="191"/>
      <c r="FV42" s="191"/>
      <c r="FW42" s="191"/>
      <c r="FX42" s="191"/>
      <c r="FY42" s="191"/>
      <c r="FZ42" s="191"/>
      <c r="GA42" s="191"/>
      <c r="GB42" s="191"/>
      <c r="GC42" s="191"/>
      <c r="GD42" s="191"/>
      <c r="GE42" s="191"/>
      <c r="GF42" s="191"/>
      <c r="GG42" s="191"/>
      <c r="GH42" s="191"/>
      <c r="GI42" s="191"/>
      <c r="GJ42" s="191"/>
      <c r="GK42" s="191"/>
      <c r="GL42" s="191"/>
      <c r="GM42" s="191"/>
      <c r="GN42" s="191"/>
      <c r="GO42" s="191"/>
      <c r="GP42" s="191"/>
      <c r="GQ42" s="191"/>
      <c r="GR42" s="191"/>
      <c r="GS42" s="191"/>
      <c r="GT42" s="28"/>
      <c r="GU42" s="191"/>
      <c r="GV42" s="191"/>
      <c r="GW42" s="191"/>
      <c r="GX42" s="191"/>
      <c r="GY42" s="191"/>
      <c r="GZ42" s="191"/>
      <c r="HA42" s="191"/>
      <c r="HB42" s="191"/>
      <c r="HC42" s="191"/>
      <c r="HD42" s="191"/>
      <c r="HE42" s="191"/>
      <c r="HF42" s="191"/>
      <c r="HG42" s="191"/>
      <c r="HH42" s="191"/>
      <c r="HI42" s="191"/>
      <c r="HJ42" s="191"/>
      <c r="HK42" s="191"/>
      <c r="HL42" s="191"/>
      <c r="HM42" s="191"/>
      <c r="HN42" s="191"/>
      <c r="HO42" s="191"/>
      <c r="HP42" s="191"/>
      <c r="HQ42" s="191"/>
      <c r="HR42" s="191"/>
      <c r="HS42" s="191"/>
      <c r="HT42" s="191"/>
      <c r="HU42" s="191"/>
      <c r="HV42" s="191"/>
      <c r="HW42" s="191"/>
      <c r="HX42" s="191"/>
      <c r="HY42" s="191"/>
      <c r="HZ42" s="191"/>
      <c r="IA42" s="191"/>
      <c r="IB42" s="191"/>
      <c r="IC42" s="191"/>
      <c r="ID42" s="191"/>
      <c r="IE42" s="191"/>
      <c r="IF42" s="191"/>
      <c r="IG42" s="191"/>
      <c r="IH42" s="191"/>
      <c r="II42" s="191"/>
      <c r="IJ42" s="191"/>
      <c r="IK42" s="191"/>
      <c r="IL42" s="191"/>
      <c r="IM42" s="191"/>
      <c r="IN42" s="191"/>
      <c r="IO42" s="191"/>
      <c r="IP42" s="191"/>
      <c r="IQ42" s="191"/>
      <c r="IR42" s="191"/>
      <c r="IS42" s="191"/>
      <c r="IT42" s="191"/>
      <c r="IU42" s="191"/>
      <c r="IV42" s="191"/>
      <c r="IW42" s="191"/>
      <c r="IX42" s="191"/>
      <c r="IY42" s="191"/>
      <c r="IZ42" s="191"/>
      <c r="JA42" s="191"/>
      <c r="JB42" s="191"/>
      <c r="JC42" s="191"/>
      <c r="JD42" s="191"/>
      <c r="JE42" s="191"/>
      <c r="JF42" s="191"/>
      <c r="JG42" s="191"/>
      <c r="JH42" s="191"/>
      <c r="JI42" s="191"/>
      <c r="JJ42" s="191"/>
      <c r="JK42" s="191"/>
      <c r="JL42" s="191"/>
      <c r="JM42" s="191"/>
      <c r="JN42" s="191"/>
      <c r="JO42" s="191"/>
      <c r="JP42" s="191"/>
      <c r="JQ42" s="191"/>
      <c r="JR42" s="191"/>
      <c r="JS42" s="191"/>
      <c r="JT42" s="191"/>
      <c r="JU42" s="191"/>
      <c r="JV42" s="191"/>
      <c r="JW42" s="191"/>
      <c r="JX42" s="191"/>
      <c r="JY42" s="191"/>
      <c r="JZ42" s="191"/>
      <c r="KA42" s="191"/>
      <c r="KB42" s="191"/>
      <c r="KC42" s="191"/>
      <c r="KD42" s="191"/>
      <c r="KE42" s="191"/>
      <c r="KF42" s="191"/>
      <c r="KG42" s="191"/>
      <c r="KH42" s="191"/>
      <c r="KI42" s="191"/>
      <c r="KJ42" s="191"/>
      <c r="KK42" s="191"/>
      <c r="KL42" s="191"/>
      <c r="KM42" s="191"/>
      <c r="KN42" s="191"/>
      <c r="KO42" s="28"/>
      <c r="KP42" s="28"/>
      <c r="KQ42" s="28"/>
      <c r="KR42" s="28"/>
      <c r="KS42" s="191"/>
      <c r="KT42" s="191"/>
      <c r="KU42" s="191"/>
      <c r="KV42" s="191"/>
      <c r="KW42" s="191"/>
      <c r="KX42" s="191"/>
      <c r="KY42" s="191"/>
      <c r="KZ42" s="191"/>
      <c r="LA42" s="191"/>
      <c r="LB42" s="191"/>
      <c r="LC42" s="191"/>
      <c r="LD42" s="191"/>
      <c r="LE42" s="191"/>
      <c r="LF42" s="191"/>
      <c r="LG42" s="191"/>
      <c r="LH42" s="191"/>
      <c r="LI42" s="191"/>
      <c r="LJ42" s="191"/>
      <c r="LK42" s="191"/>
      <c r="LL42" s="191"/>
      <c r="LM42" s="191"/>
      <c r="LN42" s="191"/>
      <c r="LO42" s="191"/>
      <c r="LP42" s="191"/>
      <c r="LQ42" s="191"/>
      <c r="LR42" s="191"/>
      <c r="LS42" s="191"/>
      <c r="LT42" s="191"/>
      <c r="LU42" s="191"/>
      <c r="LV42" s="191"/>
      <c r="LW42" s="191"/>
      <c r="LX42" s="191"/>
      <c r="LY42" s="191"/>
      <c r="LZ42" s="191"/>
      <c r="MA42" s="191"/>
      <c r="MB42" s="191"/>
      <c r="MC42" s="191"/>
      <c r="MD42" s="191"/>
      <c r="ME42" s="191"/>
      <c r="MF42" s="191"/>
      <c r="MG42" s="191"/>
      <c r="MH42" s="191"/>
      <c r="MI42" s="191"/>
      <c r="MJ42" s="191"/>
      <c r="MK42" s="191"/>
      <c r="ML42" s="191"/>
      <c r="MM42" s="191"/>
      <c r="MN42" s="191"/>
      <c r="MO42" s="191"/>
      <c r="MP42" s="191"/>
      <c r="MQ42" s="191"/>
      <c r="MR42" s="191"/>
      <c r="MS42" s="191"/>
      <c r="MT42" s="191"/>
      <c r="MU42" s="191"/>
      <c r="MV42" s="191"/>
      <c r="MW42" s="191"/>
      <c r="MX42" s="191"/>
      <c r="MY42" s="191"/>
      <c r="MZ42" s="191"/>
      <c r="NA42" s="191"/>
      <c r="NB42" s="191"/>
      <c r="NC42" s="191"/>
      <c r="ND42" s="191"/>
      <c r="NE42" s="191"/>
      <c r="NF42" s="191"/>
      <c r="NG42" s="191"/>
      <c r="NH42" s="191"/>
      <c r="NI42" s="191"/>
      <c r="NJ42" s="191"/>
      <c r="NK42" s="191"/>
      <c r="NL42" s="191"/>
      <c r="NM42" s="191"/>
      <c r="NN42" s="191"/>
      <c r="NO42" s="191"/>
      <c r="NP42" s="191"/>
      <c r="NQ42" s="191"/>
      <c r="NR42" s="191"/>
      <c r="NS42" s="191"/>
      <c r="NT42" s="191"/>
      <c r="NU42" s="191"/>
      <c r="NV42" s="191"/>
      <c r="NW42" s="191"/>
      <c r="NX42" s="191"/>
      <c r="NY42" s="191"/>
      <c r="NZ42" s="191"/>
      <c r="OA42" s="191"/>
      <c r="OB42" s="191"/>
      <c r="OC42" s="191"/>
      <c r="OD42" s="191"/>
      <c r="OE42" s="191"/>
      <c r="OF42" s="191"/>
      <c r="OG42" s="191"/>
      <c r="OH42" s="191"/>
      <c r="OI42" s="191"/>
      <c r="OJ42" s="191"/>
      <c r="OK42" s="191"/>
      <c r="OL42" s="191"/>
      <c r="OM42" s="191"/>
      <c r="ON42" s="191"/>
      <c r="OO42" s="191"/>
      <c r="OP42" s="191"/>
      <c r="OQ42" s="191"/>
      <c r="OR42" s="191"/>
      <c r="OS42" s="191"/>
      <c r="OT42" s="191"/>
      <c r="OU42" s="191"/>
      <c r="OV42" s="191"/>
      <c r="OW42" s="191"/>
      <c r="OX42" s="191"/>
      <c r="OY42" s="191"/>
      <c r="OZ42" s="191"/>
      <c r="PA42" s="191"/>
      <c r="PB42" s="191"/>
      <c r="PC42" s="191"/>
      <c r="PD42" s="191"/>
      <c r="PE42" s="191"/>
      <c r="PF42" s="191"/>
      <c r="PG42" s="191"/>
      <c r="PH42" s="191"/>
      <c r="PI42" s="191"/>
      <c r="PJ42" s="191"/>
      <c r="PK42" s="191"/>
      <c r="PL42" s="191"/>
      <c r="PM42" s="191"/>
      <c r="PN42" s="191"/>
      <c r="PO42" s="191"/>
      <c r="PP42" s="191"/>
      <c r="PQ42" s="191"/>
      <c r="PR42" s="191"/>
      <c r="PS42" s="191"/>
      <c r="PT42" s="191"/>
      <c r="PU42" s="191"/>
      <c r="PV42" s="28"/>
      <c r="PW42" s="28"/>
      <c r="PX42" s="29"/>
      <c r="PY42" s="28"/>
      <c r="PZ42" s="191"/>
      <c r="QA42" s="191"/>
      <c r="QB42" s="191"/>
      <c r="QC42" s="191"/>
      <c r="QD42" s="191"/>
      <c r="QE42" s="191"/>
      <c r="QF42" s="191"/>
      <c r="QG42" s="191"/>
      <c r="QH42" s="191"/>
      <c r="QI42" s="191"/>
      <c r="QJ42" s="191"/>
      <c r="QK42" s="191"/>
      <c r="QL42" s="191"/>
      <c r="QM42" s="29"/>
      <c r="QN42" s="191"/>
      <c r="QO42" s="191"/>
      <c r="QP42" s="191"/>
      <c r="QQ42" s="28"/>
      <c r="QR42" s="191"/>
      <c r="QS42" s="191"/>
      <c r="QT42" s="191"/>
      <c r="QU42" s="191"/>
      <c r="QV42" s="191"/>
      <c r="QW42" s="191"/>
      <c r="QX42" s="191"/>
      <c r="QY42" s="191"/>
      <c r="QZ42" s="191"/>
      <c r="RA42" s="191"/>
      <c r="RB42" s="191"/>
      <c r="RC42" s="191"/>
      <c r="RD42" s="191"/>
      <c r="RE42" s="191"/>
      <c r="RF42" s="191"/>
      <c r="RG42" s="191"/>
      <c r="RH42" s="191"/>
      <c r="RI42" s="191"/>
      <c r="RJ42" s="191"/>
      <c r="RK42" s="191"/>
      <c r="RL42" s="191"/>
      <c r="RM42" s="191"/>
      <c r="RN42" s="191"/>
      <c r="RO42" s="191"/>
      <c r="RP42" s="191"/>
      <c r="RQ42" s="191"/>
      <c r="RR42" s="191"/>
      <c r="RS42" s="191"/>
      <c r="RT42" s="191"/>
      <c r="RU42" s="191"/>
      <c r="RV42" s="191"/>
      <c r="RW42" s="191"/>
      <c r="RX42" s="191"/>
      <c r="RY42" s="191"/>
      <c r="RZ42" s="191"/>
      <c r="SA42" s="191"/>
      <c r="SB42" s="191"/>
      <c r="SC42" s="191"/>
      <c r="SD42" s="191"/>
      <c r="SE42" s="191"/>
      <c r="SF42" s="191"/>
      <c r="SG42" s="191"/>
      <c r="SH42" s="191"/>
      <c r="SI42" s="191"/>
      <c r="SJ42" s="191"/>
      <c r="SK42" s="191"/>
      <c r="SL42" s="191"/>
      <c r="SM42" s="191"/>
      <c r="SN42" s="191"/>
      <c r="SO42" s="191"/>
      <c r="SP42" s="191"/>
      <c r="SQ42" s="191"/>
      <c r="SR42" s="191"/>
      <c r="SS42" s="191"/>
      <c r="ST42" s="29"/>
      <c r="SU42" s="191"/>
      <c r="SV42" s="191"/>
      <c r="SW42" s="191"/>
      <c r="SX42" s="191"/>
      <c r="SY42" s="191"/>
      <c r="SZ42" s="191"/>
      <c r="TA42" s="191"/>
      <c r="TB42" s="191"/>
      <c r="TC42" s="191"/>
      <c r="TD42" s="191"/>
      <c r="TE42" s="191"/>
      <c r="TF42" s="191"/>
      <c r="TG42" s="191"/>
      <c r="TH42" s="191"/>
      <c r="TI42" s="191"/>
      <c r="TJ42" s="191"/>
      <c r="TK42" s="191"/>
      <c r="TL42" s="191"/>
      <c r="TM42" s="191"/>
      <c r="TN42" s="191"/>
      <c r="TO42" s="191"/>
      <c r="TP42" s="191"/>
      <c r="TQ42" s="191"/>
      <c r="TR42" s="191"/>
      <c r="TS42" s="191"/>
      <c r="TT42" s="191"/>
      <c r="TU42" s="191"/>
      <c r="TV42" s="191"/>
      <c r="TW42" s="191"/>
      <c r="TX42" s="191"/>
      <c r="TY42" s="191"/>
      <c r="TZ42" s="191"/>
      <c r="UA42" s="191"/>
      <c r="UB42" s="191"/>
      <c r="UC42" s="191"/>
      <c r="UD42" s="191"/>
      <c r="UE42" s="191"/>
      <c r="UF42" s="191"/>
      <c r="UG42" s="191"/>
      <c r="UH42" s="191"/>
      <c r="UI42" s="191"/>
      <c r="UJ42" s="191"/>
      <c r="UK42" s="191"/>
      <c r="UL42" s="191"/>
      <c r="UM42" s="191"/>
      <c r="UN42" s="191"/>
      <c r="UO42" s="191"/>
      <c r="UP42" s="191"/>
      <c r="UQ42" s="191"/>
      <c r="UR42" s="191"/>
      <c r="US42" s="191"/>
      <c r="UT42" s="191"/>
      <c r="UU42" s="191"/>
      <c r="UV42" s="191"/>
      <c r="UW42" s="191"/>
      <c r="UX42" s="191"/>
      <c r="UY42" s="191"/>
      <c r="UZ42" s="191"/>
      <c r="VA42" s="191"/>
      <c r="VB42" s="191"/>
      <c r="VC42" s="191"/>
      <c r="VD42" s="191"/>
      <c r="VE42" s="191"/>
      <c r="VF42" s="191"/>
      <c r="VG42" s="191"/>
      <c r="VH42" s="191"/>
      <c r="VI42" s="191"/>
      <c r="VJ42" s="191"/>
      <c r="VK42" s="191"/>
      <c r="VL42" s="191"/>
      <c r="VM42" s="191"/>
      <c r="VN42" s="191"/>
      <c r="VO42" s="191"/>
      <c r="VP42" s="191"/>
      <c r="VQ42" s="191"/>
      <c r="VR42" s="191"/>
      <c r="VS42" s="191"/>
      <c r="VT42" s="191"/>
      <c r="VU42" s="191"/>
      <c r="VV42" s="191"/>
      <c r="VW42" s="191"/>
      <c r="VX42" s="191"/>
      <c r="VY42" s="191"/>
      <c r="VZ42" s="191"/>
      <c r="WA42" s="191"/>
      <c r="WB42" s="191"/>
      <c r="WC42" s="191"/>
      <c r="WD42" s="191"/>
      <c r="WE42" s="191"/>
      <c r="WF42" s="191"/>
      <c r="WG42" s="191"/>
      <c r="WH42" s="191"/>
      <c r="WI42" s="191"/>
      <c r="WJ42" s="191"/>
      <c r="WK42" s="191"/>
      <c r="WL42" s="191"/>
      <c r="WM42" s="191"/>
      <c r="WN42" s="191"/>
      <c r="WO42" s="191"/>
      <c r="WP42" s="191"/>
      <c r="WQ42" s="191"/>
      <c r="WR42" s="191"/>
      <c r="WS42" s="191"/>
      <c r="WT42" s="191"/>
      <c r="WU42" s="191"/>
      <c r="WV42" s="191"/>
      <c r="WW42" s="191"/>
      <c r="WX42" s="191"/>
      <c r="WY42" s="191"/>
      <c r="WZ42" s="191"/>
      <c r="XA42" s="191"/>
      <c r="XB42" s="191"/>
      <c r="XC42" s="191"/>
      <c r="XD42" s="191"/>
      <c r="XE42" s="191"/>
      <c r="XF42" s="191"/>
      <c r="XG42" s="191"/>
      <c r="XH42" s="191"/>
      <c r="XI42" s="191"/>
      <c r="XJ42" s="191"/>
      <c r="XK42" s="191"/>
      <c r="XL42" s="191"/>
      <c r="XM42" s="191"/>
      <c r="XN42" s="191"/>
      <c r="XO42" s="191"/>
      <c r="XP42" s="191"/>
      <c r="XQ42" s="191"/>
      <c r="XR42" s="191"/>
      <c r="XS42" s="191"/>
      <c r="XT42" s="191"/>
      <c r="XU42" s="191"/>
      <c r="XV42" s="191"/>
      <c r="XW42" s="191"/>
      <c r="XX42" s="191"/>
      <c r="XY42" s="191"/>
      <c r="XZ42" s="191"/>
      <c r="YA42" s="191"/>
      <c r="YB42" s="191"/>
      <c r="YC42" s="191"/>
      <c r="YD42" s="191"/>
      <c r="YE42" s="191"/>
      <c r="YF42" s="191"/>
      <c r="YG42" s="191"/>
      <c r="YH42" s="191"/>
      <c r="YI42" s="191"/>
      <c r="YJ42" s="191"/>
      <c r="YK42" s="191"/>
      <c r="YL42" s="191"/>
      <c r="YM42" s="191"/>
      <c r="YN42" s="191"/>
      <c r="YO42" s="191"/>
      <c r="YP42" s="191"/>
      <c r="YQ42" s="191"/>
      <c r="YR42" s="191"/>
      <c r="YS42" s="191"/>
      <c r="YT42" s="191"/>
      <c r="YU42" s="191"/>
      <c r="YV42" s="191"/>
      <c r="YW42" s="191"/>
      <c r="YX42" s="191"/>
      <c r="YY42" s="191"/>
      <c r="YZ42" s="191"/>
      <c r="ZA42" s="191"/>
      <c r="ZB42" s="191"/>
      <c r="ZC42" s="191"/>
      <c r="ZD42" s="191"/>
      <c r="ZE42" s="191"/>
      <c r="ZF42" s="191"/>
      <c r="ZG42" s="191"/>
      <c r="ZH42" s="191"/>
      <c r="ZI42" s="191"/>
      <c r="ZJ42" s="191"/>
      <c r="ZK42" s="191"/>
      <c r="ZL42" s="191"/>
      <c r="ZM42" s="191"/>
      <c r="ZN42" s="191"/>
      <c r="ZO42" s="191"/>
      <c r="ZP42" s="191"/>
      <c r="ZQ42" s="191"/>
      <c r="ZR42" s="191"/>
      <c r="ZS42" s="191"/>
      <c r="ZT42" s="191"/>
      <c r="ZU42" s="191"/>
      <c r="ZV42" s="191"/>
      <c r="ZW42" s="191"/>
      <c r="ZX42" s="191"/>
      <c r="ZY42" s="191"/>
      <c r="ZZ42" s="191"/>
      <c r="AAA42" s="191"/>
      <c r="AAB42" s="191"/>
      <c r="AAC42" s="191"/>
      <c r="AAD42" s="191"/>
      <c r="AAE42" s="191"/>
      <c r="AAF42" s="191"/>
      <c r="AAG42" s="191"/>
      <c r="AAH42" s="191"/>
      <c r="AAI42" s="191"/>
      <c r="AAJ42" s="191"/>
      <c r="AAK42" s="191"/>
      <c r="AAL42" s="191"/>
      <c r="AAM42" s="191"/>
      <c r="AAN42" s="191"/>
      <c r="AAO42" s="191"/>
      <c r="AAP42" s="191"/>
      <c r="AAQ42" s="191"/>
      <c r="AAR42" s="191"/>
      <c r="AAS42" s="191"/>
      <c r="AAT42" s="191"/>
      <c r="AAU42" s="191"/>
      <c r="AAV42" s="191"/>
      <c r="AAW42" s="191"/>
      <c r="AAX42" s="191"/>
      <c r="AAY42" s="191"/>
      <c r="AAZ42" s="191"/>
      <c r="ABA42" s="191"/>
      <c r="ABB42" s="191"/>
      <c r="ABC42" s="191"/>
      <c r="ABD42" s="191"/>
      <c r="ABE42" s="191"/>
      <c r="ABF42" s="191"/>
      <c r="ABG42" s="191"/>
      <c r="ABH42" s="191"/>
      <c r="ABI42" s="191"/>
      <c r="ABJ42" s="191"/>
      <c r="ABK42" s="191"/>
      <c r="ABL42" s="191"/>
      <c r="ABM42" s="191"/>
      <c r="ABN42" s="191"/>
      <c r="ABO42" s="191"/>
      <c r="ABP42" s="191"/>
      <c r="ABQ42" s="191"/>
      <c r="ABR42" s="191"/>
      <c r="ABS42" s="191"/>
      <c r="ABT42" s="191"/>
      <c r="ABU42" s="191"/>
      <c r="ABV42" s="191"/>
      <c r="ABW42" s="191"/>
      <c r="ABX42" s="191"/>
      <c r="ABY42" s="191"/>
      <c r="ABZ42" s="191"/>
      <c r="ACA42" s="191"/>
      <c r="ACB42" s="191"/>
      <c r="ACC42" s="191"/>
      <c r="ACD42" s="191"/>
      <c r="ACE42" s="191"/>
      <c r="ACF42" s="191"/>
      <c r="ACG42" s="191"/>
      <c r="ACH42" s="191"/>
      <c r="ACI42" s="191"/>
      <c r="ACJ42" s="191"/>
      <c r="ACK42" s="191"/>
      <c r="ACL42" s="191"/>
      <c r="ACM42" s="191"/>
      <c r="ACN42" s="191"/>
      <c r="ACO42" s="191"/>
      <c r="ACP42" s="191"/>
      <c r="ACQ42" s="191"/>
      <c r="ACR42" s="191"/>
      <c r="ACS42" s="191"/>
      <c r="ACT42" s="191"/>
      <c r="ACU42" s="191"/>
      <c r="ACV42" s="191"/>
      <c r="ACW42" s="191"/>
      <c r="ACX42" s="191"/>
      <c r="ACY42" s="191"/>
      <c r="ACZ42" s="191"/>
      <c r="ADA42" s="191"/>
      <c r="ADB42" s="191"/>
      <c r="ADC42" s="191"/>
      <c r="ADD42" s="191"/>
      <c r="ADE42" s="191"/>
      <c r="ADF42" s="191"/>
      <c r="ADG42" s="191"/>
      <c r="ADH42" s="191"/>
      <c r="ADI42" s="191"/>
      <c r="ADJ42" s="191"/>
      <c r="ADK42" s="191"/>
      <c r="ADL42" s="191"/>
      <c r="ADM42" s="191"/>
      <c r="ADN42" s="191"/>
      <c r="ADO42" s="191"/>
      <c r="ADP42" s="191"/>
      <c r="ADQ42" s="191"/>
      <c r="ADR42" s="191"/>
      <c r="ADS42" s="191"/>
      <c r="ADT42" s="191"/>
      <c r="ADU42" s="191"/>
      <c r="ADV42" s="191"/>
      <c r="ADW42" s="191"/>
      <c r="ADX42" s="191"/>
      <c r="ADY42" s="191"/>
      <c r="ADZ42" s="191"/>
      <c r="AEA42" s="191"/>
      <c r="AEB42" s="191"/>
      <c r="AEC42" s="191"/>
      <c r="AED42" s="191"/>
      <c r="AEE42" s="191"/>
      <c r="AEF42" s="191"/>
      <c r="AEG42" s="191"/>
      <c r="AEH42" s="191"/>
      <c r="AEI42" s="191"/>
      <c r="AEJ42" s="191"/>
      <c r="AEK42" s="191"/>
      <c r="AEL42" s="191"/>
      <c r="AEM42" s="191"/>
      <c r="AEN42" s="191"/>
      <c r="AEO42" s="191"/>
      <c r="AEP42" s="191"/>
      <c r="AEQ42" s="191"/>
      <c r="AER42" s="191"/>
      <c r="AES42" s="191"/>
      <c r="AET42" s="191"/>
      <c r="AEU42" s="191"/>
      <c r="AEV42" s="191"/>
      <c r="AEW42" s="191"/>
      <c r="AEX42" s="191"/>
      <c r="AEY42" s="191"/>
      <c r="AEZ42" s="191"/>
      <c r="AFA42" s="191"/>
      <c r="AFB42" s="191"/>
      <c r="AFC42" s="191"/>
      <c r="AFD42" s="191"/>
      <c r="AFE42" s="191"/>
      <c r="AFF42" s="191"/>
      <c r="AFG42" s="191"/>
      <c r="AFH42" s="191"/>
      <c r="AFI42" s="191"/>
      <c r="AFJ42" s="191"/>
      <c r="AFK42" s="191"/>
      <c r="AFL42" s="191"/>
      <c r="AFM42" s="191"/>
      <c r="AFN42" s="191"/>
      <c r="AFO42" s="191"/>
      <c r="AFP42" s="191"/>
      <c r="AFQ42" s="191"/>
      <c r="AFR42" s="191"/>
      <c r="AFS42" s="191"/>
      <c r="AFT42" s="191"/>
      <c r="AFU42" s="191"/>
      <c r="AFV42" s="191"/>
      <c r="AFW42" s="191"/>
      <c r="AFX42" s="191"/>
      <c r="AFY42" s="191"/>
      <c r="AFZ42" s="191"/>
      <c r="AGA42" s="191"/>
      <c r="AGB42" s="191"/>
      <c r="AGC42" s="191"/>
      <c r="AGD42" s="191"/>
      <c r="AGE42" s="191"/>
      <c r="AGF42" s="191"/>
      <c r="AGG42" s="191"/>
      <c r="AGH42" s="191"/>
      <c r="AGI42" s="191"/>
      <c r="AGJ42" s="191"/>
      <c r="AGK42" s="191"/>
      <c r="AGL42" s="191"/>
      <c r="AGM42" s="191"/>
      <c r="AGN42" s="191"/>
      <c r="AGO42" s="191"/>
      <c r="AGP42" s="191"/>
      <c r="AGQ42" s="191"/>
      <c r="AGR42" s="191"/>
      <c r="AGS42" s="191"/>
      <c r="AGT42" s="191"/>
      <c r="AGU42" s="191"/>
      <c r="AGV42" s="191"/>
      <c r="AGW42" s="191"/>
      <c r="AGX42" s="191"/>
      <c r="AGY42" s="191"/>
      <c r="AGZ42" s="191"/>
      <c r="AHA42" s="191"/>
      <c r="AHB42" s="191"/>
      <c r="AHC42" s="191"/>
      <c r="AHD42" s="191"/>
      <c r="AHE42" s="191"/>
      <c r="AHF42" s="191"/>
      <c r="AHG42" s="191"/>
      <c r="AHH42" s="191"/>
      <c r="AHI42" s="191"/>
      <c r="AHJ42" s="191"/>
      <c r="AHK42" s="191"/>
      <c r="AHL42" s="191"/>
      <c r="AHM42" s="191"/>
      <c r="AHN42" s="191"/>
      <c r="AHO42" s="191"/>
      <c r="AHP42" s="191"/>
      <c r="AHQ42" s="191"/>
      <c r="AHR42" s="191"/>
      <c r="AHS42" s="191"/>
      <c r="AHT42" s="191"/>
      <c r="AHU42" s="191"/>
      <c r="AHV42" s="191"/>
      <c r="AHW42" s="191"/>
      <c r="AHX42" s="191"/>
      <c r="AHY42" s="191"/>
      <c r="AHZ42" s="191"/>
      <c r="AIA42" s="191"/>
      <c r="AIB42" s="191"/>
      <c r="AIC42" s="28"/>
      <c r="AID42" s="191"/>
      <c r="AIE42" s="191"/>
      <c r="AIF42" s="191"/>
      <c r="AIG42" s="191"/>
      <c r="AIH42" s="191"/>
      <c r="AII42" s="191"/>
      <c r="AIJ42" s="191"/>
      <c r="AIK42" s="191"/>
      <c r="AIL42" s="191"/>
      <c r="AIM42" s="191"/>
      <c r="AIN42" s="191"/>
      <c r="AIO42" s="191"/>
      <c r="AIP42" s="191"/>
      <c r="AIQ42" s="191"/>
      <c r="AIR42" s="191"/>
      <c r="AIS42" s="191"/>
      <c r="AIT42" s="191"/>
      <c r="AIU42" s="191"/>
      <c r="AIV42" s="191"/>
      <c r="AIW42" s="191"/>
      <c r="AIX42" s="191"/>
      <c r="AIY42" s="191"/>
      <c r="AIZ42" s="191"/>
      <c r="AJA42" s="191"/>
      <c r="AJB42" s="191"/>
      <c r="AJC42" s="191"/>
      <c r="AJD42" s="191"/>
      <c r="AJE42" s="191"/>
      <c r="AJF42" s="191"/>
      <c r="AJG42" s="191"/>
      <c r="AJH42" s="191"/>
      <c r="AJI42" s="191"/>
      <c r="AJJ42" s="191"/>
      <c r="AJK42" s="191"/>
      <c r="AJL42" s="191"/>
      <c r="AJM42" s="191"/>
      <c r="AJN42" s="191"/>
      <c r="AJO42" s="191"/>
      <c r="AJP42" s="191"/>
      <c r="AJQ42" s="191"/>
      <c r="AJR42" s="28"/>
      <c r="AJS42" s="28"/>
      <c r="AJT42" s="28"/>
      <c r="AJU42" s="191"/>
      <c r="AJV42" s="191"/>
      <c r="AJW42" s="191"/>
      <c r="AJX42" s="191"/>
      <c r="AJY42" s="191"/>
      <c r="AJZ42" s="191"/>
      <c r="AKA42" s="191"/>
      <c r="AKB42" s="191"/>
      <c r="AKC42" s="191"/>
      <c r="AKD42" s="191"/>
      <c r="AKE42" s="191"/>
      <c r="AKF42" s="191"/>
      <c r="AKG42" s="191"/>
      <c r="AKH42" s="191"/>
      <c r="AKI42" s="191"/>
      <c r="AKJ42" s="191"/>
      <c r="AKK42" s="191"/>
      <c r="AKL42" s="191"/>
      <c r="AKM42" s="191"/>
      <c r="AKN42" s="191"/>
      <c r="AKO42" s="191"/>
      <c r="AKP42" s="191"/>
      <c r="AKQ42" s="191"/>
      <c r="AKR42" s="191"/>
      <c r="AKS42" s="191"/>
      <c r="AKT42" s="191"/>
      <c r="AKU42" s="191"/>
      <c r="AKV42" s="191"/>
      <c r="AKW42" s="191"/>
      <c r="AKX42" s="191"/>
      <c r="AKY42" s="191"/>
      <c r="AKZ42" s="191"/>
      <c r="ALA42" s="191"/>
      <c r="ALB42" s="191"/>
      <c r="ALC42" s="191"/>
      <c r="ALD42" s="191"/>
      <c r="ALE42" s="191"/>
      <c r="ALF42" s="191"/>
      <c r="ALG42" s="191"/>
      <c r="ALH42" s="191"/>
      <c r="ALI42" s="191"/>
      <c r="ALJ42" s="191"/>
      <c r="ALK42" s="191"/>
      <c r="ALL42" s="191"/>
      <c r="ALM42" s="191"/>
      <c r="ALN42" s="191"/>
      <c r="ALO42" s="191"/>
      <c r="ALP42" s="191"/>
      <c r="ALQ42" s="191"/>
      <c r="ALR42" s="191"/>
      <c r="ALS42" s="191"/>
      <c r="ALT42" s="191"/>
      <c r="ALU42" s="191"/>
      <c r="ALV42" s="191"/>
      <c r="ALW42" s="191"/>
      <c r="ALX42" s="191"/>
      <c r="ALY42" s="191"/>
      <c r="ALZ42" s="191"/>
      <c r="AMA42" s="191"/>
      <c r="AMB42" s="191"/>
      <c r="AMC42" s="191"/>
      <c r="AMD42" s="191"/>
      <c r="AME42" s="191"/>
      <c r="AMF42" s="191"/>
      <c r="AMG42" s="191"/>
      <c r="AMH42" s="191"/>
      <c r="AMI42" s="191"/>
      <c r="AMJ42" s="191"/>
      <c r="AMK42" s="191"/>
      <c r="AML42" s="191"/>
      <c r="AMM42" s="191"/>
      <c r="AMN42" s="191"/>
      <c r="AMO42" s="191"/>
      <c r="AMP42" s="191"/>
      <c r="AMQ42" s="191"/>
      <c r="AMR42" s="191"/>
      <c r="AMS42" s="191"/>
      <c r="AMT42" s="191"/>
      <c r="AMU42" s="191"/>
      <c r="AMV42" s="191"/>
      <c r="AMW42" s="191"/>
      <c r="AMX42" s="191"/>
      <c r="AMY42" s="191"/>
      <c r="AMZ42" s="191"/>
      <c r="ANA42" s="191"/>
      <c r="ANB42" s="191"/>
      <c r="ANC42" s="191"/>
      <c r="AND42" s="191"/>
      <c r="ANE42" s="191"/>
      <c r="ANF42" s="191"/>
      <c r="ANG42" s="191"/>
      <c r="ANH42" s="191"/>
      <c r="ANI42" s="191"/>
      <c r="ANJ42" s="191"/>
      <c r="ANK42" s="191"/>
      <c r="ANL42" s="191"/>
      <c r="ANM42" s="191"/>
      <c r="ANN42" s="191"/>
      <c r="ANO42" s="191"/>
      <c r="ANP42" s="191"/>
      <c r="ANQ42" s="191"/>
      <c r="ANR42" s="191"/>
      <c r="ANS42" s="191"/>
      <c r="ANT42" s="191"/>
      <c r="ANU42" s="191"/>
      <c r="ANV42" s="191"/>
      <c r="ANW42" s="191"/>
      <c r="ANX42" s="191"/>
      <c r="ANY42" s="191"/>
      <c r="ANZ42" s="191"/>
      <c r="AOA42" s="191"/>
      <c r="AOB42" s="191"/>
      <c r="AOC42" s="191"/>
      <c r="AOD42" s="191"/>
      <c r="AOE42" s="191"/>
      <c r="AOF42" s="191"/>
      <c r="AOG42" s="191"/>
      <c r="AOH42" s="191"/>
      <c r="AOI42" s="191"/>
      <c r="AOJ42" s="191"/>
      <c r="AOK42" s="191"/>
      <c r="AOL42" s="191"/>
      <c r="AOM42" s="191"/>
      <c r="AON42" s="191"/>
      <c r="AOO42" s="191"/>
      <c r="AOP42" s="191"/>
      <c r="AOQ42" s="191"/>
      <c r="AOR42" s="191"/>
      <c r="AOS42" s="191"/>
      <c r="AOT42" s="191"/>
      <c r="AOU42" s="191"/>
      <c r="AOV42" s="191"/>
      <c r="AOW42" s="191"/>
      <c r="AOX42" s="191"/>
      <c r="AOY42" s="191"/>
      <c r="AOZ42" s="191"/>
      <c r="APA42" s="191"/>
      <c r="APB42" s="191"/>
      <c r="APC42" s="191"/>
      <c r="APD42" s="191"/>
      <c r="APE42" s="191"/>
      <c r="APF42" s="191"/>
      <c r="APG42" s="191"/>
      <c r="APH42" s="191"/>
      <c r="API42" s="191"/>
      <c r="APJ42" s="191"/>
      <c r="APK42" s="191"/>
      <c r="APL42" s="191"/>
      <c r="APM42" s="191"/>
      <c r="APN42" s="191"/>
      <c r="APO42" s="191"/>
      <c r="APP42" s="191"/>
      <c r="APQ42" s="191"/>
      <c r="APR42" s="191"/>
      <c r="APS42" s="191"/>
      <c r="APT42" s="191"/>
      <c r="APU42" s="191"/>
      <c r="APV42" s="191"/>
      <c r="APW42" s="191"/>
      <c r="APX42" s="191"/>
      <c r="APY42" s="191"/>
      <c r="APZ42" s="191"/>
      <c r="AQA42" s="191"/>
      <c r="AQB42" s="191"/>
      <c r="AQC42" s="191"/>
      <c r="AQD42" s="191"/>
      <c r="AQE42" s="191"/>
      <c r="AQF42" s="191"/>
      <c r="AQG42" s="191"/>
      <c r="AQH42" s="191"/>
      <c r="AQI42" s="191"/>
      <c r="AQJ42" s="191"/>
      <c r="AQK42" s="191"/>
      <c r="AQL42" s="191"/>
      <c r="AQM42" s="191"/>
      <c r="AQN42" s="191"/>
      <c r="AQO42" s="191"/>
      <c r="AQP42" s="191"/>
      <c r="AQQ42" s="191"/>
      <c r="AQR42" s="191"/>
      <c r="AQS42" s="191"/>
      <c r="AQT42" s="191"/>
      <c r="AQU42" s="191"/>
      <c r="AQV42" s="191"/>
      <c r="AQW42" s="191"/>
      <c r="AQX42" s="191"/>
      <c r="AQY42" s="191"/>
      <c r="AQZ42" s="191"/>
      <c r="ARA42" s="191"/>
      <c r="ARB42" s="191"/>
      <c r="ARC42" s="191"/>
      <c r="ARD42" s="191"/>
      <c r="ARE42" s="191"/>
      <c r="ARF42" s="191"/>
      <c r="ARG42" s="191"/>
      <c r="ARH42" s="191"/>
      <c r="ARI42" s="191"/>
      <c r="ARJ42" s="191"/>
      <c r="ARK42" s="191"/>
      <c r="ARL42" s="191"/>
      <c r="ARM42" s="191"/>
      <c r="ARN42" s="191"/>
      <c r="ARO42" s="191"/>
      <c r="ARP42" s="191"/>
      <c r="ARQ42" s="191"/>
      <c r="ARR42" s="191"/>
      <c r="ARS42" s="191"/>
      <c r="ART42" s="191"/>
      <c r="ARU42" s="191"/>
      <c r="ARV42" s="191"/>
      <c r="ARW42" s="191"/>
      <c r="ARX42" s="191"/>
      <c r="ARY42" s="191"/>
      <c r="ARZ42" s="191"/>
      <c r="ASA42" s="191"/>
      <c r="ASB42" s="191"/>
      <c r="ASC42" s="191"/>
      <c r="ASD42" s="191"/>
      <c r="ASE42" s="191"/>
      <c r="ASF42" s="191"/>
      <c r="ASG42" s="191"/>
      <c r="ASH42" s="191"/>
      <c r="ASI42" s="191"/>
      <c r="ASJ42" s="191"/>
      <c r="ASK42" s="191"/>
      <c r="ASL42" s="191"/>
      <c r="ASM42" s="191"/>
      <c r="ASN42" s="191"/>
      <c r="ASO42" s="191"/>
      <c r="ASP42" s="191"/>
      <c r="ASQ42" s="191"/>
      <c r="ASR42" s="191"/>
      <c r="ASS42" s="191"/>
      <c r="AST42" s="191"/>
      <c r="ASU42" s="191"/>
      <c r="ASV42" s="191"/>
      <c r="ASW42" s="191"/>
      <c r="ASX42" s="191"/>
      <c r="ASY42" s="191"/>
      <c r="ASZ42" s="191"/>
      <c r="ATA42" s="191"/>
      <c r="ATB42" s="191"/>
      <c r="ATC42" s="191"/>
      <c r="ATD42" s="191"/>
      <c r="ATE42" s="191"/>
      <c r="ATF42" s="191"/>
      <c r="ATG42" s="191"/>
      <c r="ATH42" s="191"/>
      <c r="ATI42" s="191"/>
      <c r="ATJ42" s="191"/>
      <c r="ATK42" s="191"/>
      <c r="ATL42" s="191"/>
      <c r="ATM42" s="191"/>
      <c r="ATN42" s="191"/>
      <c r="ATO42" s="191"/>
      <c r="ATP42" s="191"/>
      <c r="ATQ42" s="191"/>
      <c r="ATR42" s="191"/>
      <c r="ATS42" s="191"/>
      <c r="ATT42" s="191"/>
      <c r="ATU42" s="191"/>
      <c r="ATV42" s="191"/>
      <c r="ATW42" s="191"/>
      <c r="ATX42" s="191"/>
      <c r="ATY42" s="191"/>
      <c r="ATZ42" s="191"/>
      <c r="AUA42" s="191"/>
      <c r="AUB42" s="191"/>
      <c r="AUC42" s="191"/>
      <c r="AUD42" s="191"/>
      <c r="AUE42" s="191"/>
      <c r="AUF42" s="191"/>
      <c r="AUG42" s="191"/>
      <c r="AUH42" s="191"/>
      <c r="AUI42" s="191"/>
      <c r="AUJ42" s="191"/>
      <c r="AUK42" s="191"/>
      <c r="AUL42" s="191"/>
      <c r="AUM42" s="191"/>
      <c r="AUN42" s="191"/>
      <c r="AUO42" s="191"/>
      <c r="AUP42" s="191"/>
      <c r="AUQ42" s="191"/>
      <c r="AUR42" s="191"/>
      <c r="AUS42" s="191"/>
      <c r="AUT42" s="191"/>
      <c r="AUU42" s="191"/>
      <c r="AUV42" s="191"/>
      <c r="AUW42" s="191"/>
      <c r="AUX42" s="191"/>
      <c r="AUY42" s="191"/>
      <c r="AUZ42" s="191"/>
      <c r="AVA42" s="191"/>
      <c r="AVB42" s="191"/>
      <c r="AVC42" s="191"/>
      <c r="AVD42" s="191"/>
      <c r="AVE42" s="191"/>
      <c r="AVF42" s="191"/>
      <c r="AVG42" s="191"/>
      <c r="AVH42" s="191"/>
      <c r="AVI42" s="191"/>
      <c r="AVJ42" s="191"/>
      <c r="AVK42" s="191"/>
      <c r="AVL42" s="191"/>
      <c r="AVM42" s="191"/>
      <c r="AVN42" s="191"/>
      <c r="AVO42" s="191"/>
      <c r="AVP42" s="191"/>
      <c r="AVQ42" s="191"/>
      <c r="AVR42" s="191"/>
      <c r="AVS42" s="191"/>
      <c r="AVT42" s="191"/>
      <c r="AVU42" s="191"/>
      <c r="AVV42" s="191"/>
      <c r="AVW42" s="191"/>
      <c r="AVX42" s="191"/>
      <c r="AVY42" s="191"/>
      <c r="AVZ42" s="191"/>
      <c r="AWA42" s="191"/>
      <c r="AWB42" s="191"/>
      <c r="AWC42" s="191"/>
      <c r="AWD42" s="191"/>
      <c r="AWE42" s="191"/>
      <c r="AWF42" s="191"/>
      <c r="AWG42" s="191"/>
      <c r="AWH42" s="191"/>
      <c r="AWI42" s="191"/>
      <c r="AWJ42" s="191"/>
      <c r="AWK42" s="191"/>
      <c r="AWL42" s="191"/>
      <c r="AWM42" s="191"/>
      <c r="AWN42" s="191"/>
      <c r="AWO42" s="191"/>
      <c r="AWP42" s="191"/>
      <c r="AWQ42" s="191"/>
      <c r="AWR42" s="191"/>
      <c r="AWS42" s="191"/>
      <c r="AWT42" s="191"/>
      <c r="AWU42" s="191"/>
      <c r="AWV42" s="191"/>
      <c r="AWW42" s="191"/>
      <c r="AWX42" s="191"/>
      <c r="AWY42" s="191"/>
      <c r="AWZ42" s="191"/>
      <c r="AXA42" s="191"/>
      <c r="AXB42" s="191"/>
      <c r="AXC42" s="191"/>
      <c r="AXD42" s="191"/>
      <c r="AXE42" s="191"/>
      <c r="AXF42" s="191"/>
      <c r="AXG42" s="191"/>
      <c r="AXH42" s="191"/>
      <c r="AXI42" s="191"/>
      <c r="AXJ42" s="191"/>
      <c r="AXK42" s="191"/>
      <c r="AXL42" s="191"/>
      <c r="AXM42" s="191"/>
      <c r="AXN42" s="191"/>
      <c r="AXO42" s="191"/>
      <c r="AXP42" s="191"/>
      <c r="AXQ42" s="191"/>
      <c r="AXR42" s="191"/>
      <c r="AXS42" s="191"/>
      <c r="AXT42" s="191"/>
      <c r="AXU42" s="191"/>
      <c r="AXV42" s="191"/>
      <c r="AXW42" s="191"/>
      <c r="AXX42" s="191"/>
      <c r="AXY42" s="191"/>
      <c r="AXZ42" s="191"/>
      <c r="AYA42" s="191"/>
      <c r="AYB42" s="191"/>
      <c r="AYC42" s="191"/>
      <c r="AYD42" s="191"/>
      <c r="AYE42" s="191"/>
      <c r="AYF42" s="191"/>
      <c r="AYG42" s="191"/>
      <c r="AYH42" s="191"/>
      <c r="AYI42" s="191"/>
      <c r="AYJ42" s="191"/>
      <c r="AYK42" s="191"/>
      <c r="AYL42" s="191"/>
      <c r="AYM42" s="191"/>
      <c r="AYN42" s="191"/>
      <c r="AYO42" s="191"/>
      <c r="AYP42" s="191"/>
      <c r="AYQ42" s="191"/>
      <c r="AYR42" s="191"/>
      <c r="AYS42" s="191"/>
      <c r="AYT42" s="191"/>
      <c r="AYU42" s="191"/>
      <c r="AYV42" s="191"/>
      <c r="AYW42" s="191"/>
      <c r="AYX42" s="191"/>
      <c r="AYY42" s="191"/>
      <c r="AYZ42" s="191"/>
      <c r="AZA42" s="191"/>
      <c r="AZB42" s="191"/>
      <c r="AZC42" s="191"/>
      <c r="AZD42" s="191"/>
      <c r="AZE42" s="191"/>
      <c r="AZF42" s="191"/>
      <c r="AZG42" s="191"/>
      <c r="AZH42" s="191"/>
      <c r="AZI42" s="191"/>
      <c r="AZJ42" s="191"/>
      <c r="AZK42" s="191"/>
      <c r="AZL42" s="191"/>
      <c r="AZM42" s="191"/>
      <c r="AZN42" s="191"/>
      <c r="AZO42" s="191"/>
      <c r="AZP42" s="191"/>
      <c r="AZQ42" s="191"/>
      <c r="AZR42" s="191"/>
      <c r="AZS42" s="191"/>
      <c r="AZT42" s="191"/>
      <c r="AZU42" s="191"/>
      <c r="AZV42" s="191"/>
      <c r="AZW42" s="191"/>
      <c r="AZX42" s="191"/>
      <c r="AZY42" s="191"/>
      <c r="AZZ42" s="191"/>
      <c r="BAA42" s="191"/>
      <c r="BAB42" s="191"/>
      <c r="BAC42" s="191"/>
      <c r="BAD42" s="191"/>
      <c r="BAE42" s="191"/>
      <c r="BAF42" s="191"/>
      <c r="BAG42" s="191"/>
      <c r="BAH42" s="191"/>
      <c r="BAI42" s="191"/>
      <c r="BAJ42" s="191"/>
      <c r="BAK42" s="191"/>
      <c r="BAL42" s="191"/>
      <c r="BAM42" s="191"/>
      <c r="BAN42" s="191"/>
      <c r="BAO42" s="191"/>
      <c r="BAP42" s="191"/>
      <c r="BAQ42" s="191"/>
      <c r="BAR42" s="191"/>
      <c r="BAS42" s="191"/>
      <c r="BAT42" s="191"/>
      <c r="BAU42" s="191"/>
      <c r="BAV42" s="191"/>
      <c r="BAW42" s="191"/>
      <c r="BAX42" s="191"/>
      <c r="BAY42" s="191"/>
      <c r="BAZ42" s="191"/>
      <c r="BBA42" s="191"/>
      <c r="BBB42" s="191"/>
      <c r="BBC42" s="191"/>
      <c r="BBD42" s="191"/>
      <c r="BBE42" s="191"/>
      <c r="BBF42" s="191"/>
      <c r="BBG42" s="191"/>
      <c r="BBH42" s="191"/>
      <c r="BBI42" s="191"/>
      <c r="BBJ42" s="191"/>
      <c r="BBK42" s="191"/>
      <c r="BBL42" s="191"/>
      <c r="BBM42" s="191"/>
      <c r="BBN42" s="191"/>
      <c r="BBO42" s="191"/>
      <c r="BBP42" s="191"/>
      <c r="BBQ42" s="191"/>
      <c r="BBR42" s="191"/>
      <c r="BBS42" s="191"/>
      <c r="BBT42" s="191"/>
      <c r="BBU42" s="191"/>
      <c r="BBV42" s="191"/>
      <c r="BBW42" s="191"/>
      <c r="BBX42" s="191"/>
      <c r="BBY42" s="191"/>
      <c r="BBZ42" s="191"/>
      <c r="BCA42" s="191"/>
      <c r="BCB42" s="191"/>
      <c r="BCC42" s="191"/>
      <c r="BCD42" s="191"/>
      <c r="BCE42" s="191"/>
      <c r="BCF42" s="191"/>
      <c r="BCG42" s="191"/>
      <c r="BCH42" s="191"/>
      <c r="BCI42" s="191"/>
      <c r="BCJ42" s="191"/>
      <c r="BCK42" s="191"/>
      <c r="BCL42" s="191"/>
      <c r="BCM42" s="191"/>
      <c r="BCN42" s="191"/>
      <c r="BCO42" s="191"/>
      <c r="BCP42" s="191"/>
      <c r="BCQ42" s="191"/>
      <c r="BCR42" s="191"/>
      <c r="BCS42" s="191"/>
      <c r="BCT42" s="191"/>
      <c r="BCU42" s="191"/>
      <c r="BCV42" s="191"/>
      <c r="BCW42" s="191"/>
      <c r="BCX42" s="191"/>
      <c r="BCY42" s="191"/>
      <c r="BCZ42" s="191"/>
      <c r="BDA42" s="191"/>
      <c r="BDB42" s="191"/>
      <c r="BDC42" s="191"/>
      <c r="BDD42" s="191"/>
      <c r="BDE42" s="191"/>
      <c r="BDF42" s="191"/>
      <c r="BDG42" s="191"/>
      <c r="BDH42" s="191"/>
      <c r="BDI42" s="191"/>
      <c r="BDJ42" s="191"/>
      <c r="BDK42" s="191"/>
      <c r="BDL42" s="191"/>
      <c r="BDM42" s="191"/>
      <c r="BDN42" s="191"/>
      <c r="BDO42" s="191"/>
      <c r="BDP42" s="191"/>
      <c r="BDQ42" s="191"/>
      <c r="BDR42" s="191"/>
      <c r="BDS42" s="191"/>
      <c r="BDT42" s="191"/>
      <c r="BDU42" s="191"/>
      <c r="BDV42" s="191"/>
      <c r="BDW42" s="191"/>
      <c r="BDX42" s="191"/>
      <c r="BDY42" s="191"/>
      <c r="BDZ42" s="191"/>
      <c r="BEA42" s="191"/>
      <c r="BEB42" s="191"/>
      <c r="BEC42" s="191"/>
      <c r="BED42" s="191"/>
      <c r="BEE42" s="191"/>
      <c r="BEF42" s="191"/>
      <c r="BEG42" s="191"/>
      <c r="BEH42" s="191"/>
      <c r="BEI42" s="191"/>
      <c r="BEJ42" s="191"/>
      <c r="BEK42" s="191"/>
      <c r="BEL42" s="191"/>
      <c r="BEM42" s="191"/>
      <c r="BEN42" s="191"/>
      <c r="BEO42" s="191"/>
      <c r="BEP42" s="191"/>
      <c r="BEQ42" s="191"/>
      <c r="BER42" s="191"/>
      <c r="BES42" s="191"/>
      <c r="BET42" s="191"/>
      <c r="BEU42" s="191"/>
      <c r="BEV42" s="191"/>
      <c r="BEW42" s="191"/>
      <c r="BEX42" s="191"/>
      <c r="BEY42" s="191"/>
      <c r="BEZ42" s="191"/>
      <c r="BFA42" s="191"/>
      <c r="BFB42" s="191"/>
      <c r="BFC42" s="191"/>
      <c r="BFD42" s="191"/>
      <c r="BFE42" s="191"/>
      <c r="BFF42" s="191"/>
      <c r="BFG42" s="191"/>
      <c r="BFH42" s="191"/>
      <c r="BFI42" s="191"/>
      <c r="BFJ42" s="191"/>
      <c r="BFK42" s="191"/>
      <c r="BFL42" s="191"/>
      <c r="BFM42" s="191"/>
      <c r="BFN42" s="191"/>
      <c r="BFO42" s="191"/>
      <c r="BFP42" s="191"/>
      <c r="BFQ42" s="191"/>
      <c r="BFR42" s="191"/>
      <c r="BFS42" s="191"/>
      <c r="BFT42" s="191"/>
      <c r="BFU42" s="191"/>
      <c r="BFV42" s="191"/>
      <c r="BFW42" s="191"/>
      <c r="BFX42" s="191"/>
      <c r="BFY42" s="191"/>
      <c r="BFZ42" s="191"/>
      <c r="BGA42" s="191"/>
      <c r="BGB42" s="191"/>
      <c r="BGC42" s="191"/>
      <c r="BGD42" s="191"/>
      <c r="BGE42" s="191"/>
      <c r="BGF42" s="191"/>
      <c r="BGG42" s="191"/>
      <c r="BGH42" s="191"/>
      <c r="BGI42" s="191"/>
      <c r="BGJ42" s="191"/>
      <c r="BGK42" s="191"/>
      <c r="BGL42" s="191"/>
      <c r="BGM42" s="191"/>
      <c r="BGN42" s="191"/>
      <c r="BGO42" s="191"/>
      <c r="BGP42" s="191"/>
      <c r="BGQ42" s="191"/>
      <c r="BGR42" s="191"/>
      <c r="BGS42" s="191"/>
      <c r="BGT42" s="191"/>
      <c r="BGU42" s="191"/>
      <c r="BGV42" s="191"/>
      <c r="BGW42" s="191"/>
      <c r="BGX42" s="191"/>
      <c r="BGY42" s="191"/>
      <c r="BGZ42" s="191"/>
      <c r="BHA42" s="191"/>
      <c r="BHB42" s="191"/>
      <c r="BHC42" s="191"/>
      <c r="BHD42" s="191"/>
      <c r="BHE42" s="191"/>
      <c r="BHF42" s="191"/>
      <c r="BHG42" s="191"/>
      <c r="BHH42" s="191"/>
      <c r="BHI42" s="191"/>
      <c r="BHJ42" s="191"/>
      <c r="BHK42" s="191"/>
      <c r="BHL42" s="191"/>
      <c r="BHM42" s="191"/>
      <c r="BHN42" s="191"/>
      <c r="BHO42" s="191"/>
      <c r="BHP42" s="191"/>
      <c r="BHQ42" s="191"/>
      <c r="BHR42" s="191"/>
      <c r="BHS42" s="191"/>
      <c r="BHT42" s="191"/>
      <c r="BHU42" s="191"/>
      <c r="BHV42" s="191"/>
      <c r="BHW42" s="191"/>
      <c r="BHX42" s="191"/>
      <c r="BHY42" s="191"/>
      <c r="BHZ42" s="191"/>
      <c r="BIA42" s="191"/>
      <c r="BIB42" s="191"/>
      <c r="BIC42" s="191"/>
      <c r="BID42" s="191"/>
      <c r="BIE42" s="191"/>
      <c r="BIF42" s="191"/>
      <c r="BIG42" s="191"/>
      <c r="BIH42" s="191"/>
      <c r="BII42" s="191"/>
      <c r="BIJ42" s="191"/>
      <c r="BIK42" s="191"/>
      <c r="BIL42" s="191"/>
      <c r="BIM42" s="191"/>
      <c r="BIN42" s="191"/>
      <c r="BIO42" s="191"/>
      <c r="BIP42" s="191"/>
      <c r="BIQ42" s="191"/>
      <c r="BIR42" s="191"/>
      <c r="BIS42" s="191"/>
      <c r="BIT42" s="191"/>
      <c r="BIU42" s="191"/>
      <c r="BIV42" s="191"/>
      <c r="BIW42" s="191"/>
      <c r="BIX42" s="191"/>
      <c r="BIY42" s="191"/>
      <c r="BIZ42" s="191"/>
      <c r="BJA42" s="191"/>
      <c r="BJB42" s="191"/>
      <c r="BJC42" s="191"/>
      <c r="BJD42" s="191"/>
      <c r="BJE42" s="191"/>
      <c r="BJF42" s="191"/>
      <c r="BJG42" s="191"/>
      <c r="BJH42" s="191"/>
      <c r="BJI42" s="191"/>
      <c r="BJJ42" s="191"/>
      <c r="BJK42" s="191"/>
      <c r="BJL42" s="191"/>
      <c r="BJM42" s="191"/>
      <c r="BJN42" s="191"/>
      <c r="BJO42" s="191"/>
      <c r="BJP42" s="191"/>
      <c r="BJQ42" s="191"/>
      <c r="BJR42" s="191"/>
      <c r="BJS42" s="191"/>
      <c r="BJT42" s="191"/>
      <c r="BJU42" s="191"/>
      <c r="BJV42" s="191"/>
      <c r="BJW42" s="191"/>
      <c r="BJX42" s="191"/>
      <c r="BJY42" s="191"/>
      <c r="BJZ42" s="191"/>
      <c r="BKA42" s="191"/>
      <c r="BKB42" s="191"/>
      <c r="BKC42" s="191"/>
      <c r="BKD42" s="191"/>
      <c r="BKE42" s="191"/>
      <c r="BKF42" s="191"/>
      <c r="BKG42" s="191"/>
      <c r="BKH42" s="191"/>
      <c r="BKI42" s="191"/>
      <c r="BKJ42" s="191"/>
      <c r="BKK42" s="191"/>
      <c r="BKL42" s="191"/>
      <c r="BKM42" s="191"/>
      <c r="BKN42" s="191"/>
      <c r="BKO42" s="191"/>
      <c r="BKP42" s="191"/>
      <c r="BKQ42" s="191"/>
      <c r="BKR42" s="191"/>
      <c r="BKS42" s="191"/>
      <c r="BKT42" s="191"/>
      <c r="BKU42" s="191"/>
      <c r="BKV42" s="191"/>
      <c r="BKW42" s="191"/>
      <c r="BKX42" s="191"/>
      <c r="BKY42" s="191"/>
      <c r="BKZ42" s="191"/>
      <c r="BLA42" s="191"/>
      <c r="BLB42" s="191"/>
      <c r="BLC42" s="191"/>
      <c r="BLD42" s="191"/>
      <c r="BLE42" s="191"/>
      <c r="BLF42" s="191"/>
      <c r="BLG42" s="191"/>
      <c r="BLH42" s="191"/>
      <c r="BLI42" s="191"/>
      <c r="BLJ42" s="191"/>
      <c r="BLK42" s="191"/>
      <c r="BLL42" s="191"/>
      <c r="BLM42" s="191"/>
      <c r="BLN42" s="191"/>
      <c r="BLO42" s="191"/>
      <c r="BLP42" s="191"/>
      <c r="BLQ42" s="191"/>
      <c r="BLR42" s="191"/>
      <c r="BLS42" s="191"/>
      <c r="BLT42" s="191"/>
      <c r="BLU42" s="191"/>
      <c r="BLV42" s="191"/>
      <c r="BLW42" s="191"/>
      <c r="BLX42" s="191"/>
      <c r="BLY42" s="191"/>
      <c r="BLZ42" s="191"/>
      <c r="BMA42" s="191"/>
      <c r="BMB42" s="191"/>
      <c r="BMC42" s="191"/>
      <c r="BMD42" s="191"/>
      <c r="BME42" s="191"/>
      <c r="BMF42" s="191"/>
      <c r="BMG42" s="191"/>
      <c r="BMH42" s="191"/>
      <c r="BMI42" s="191"/>
      <c r="BMJ42" s="191"/>
      <c r="BMK42" s="191"/>
      <c r="BML42" s="191"/>
      <c r="BMM42" s="191"/>
      <c r="BMN42" s="191"/>
      <c r="BMO42" s="191"/>
      <c r="BMP42" s="191"/>
      <c r="BMQ42" s="191"/>
      <c r="BMR42" s="191"/>
      <c r="BMS42" s="191"/>
      <c r="BMT42" s="191"/>
      <c r="BMU42" s="191"/>
      <c r="BMV42" s="191"/>
      <c r="BMW42" s="191"/>
      <c r="BMX42" s="191"/>
      <c r="BMY42" s="191"/>
      <c r="BMZ42" s="191"/>
      <c r="BNA42" s="191"/>
      <c r="BNB42" s="191"/>
      <c r="BNC42" s="191"/>
      <c r="BND42" s="191"/>
      <c r="BNE42" s="191"/>
      <c r="BNF42" s="191"/>
      <c r="BNG42" s="191"/>
      <c r="BNH42" s="191"/>
      <c r="BNI42" s="191"/>
      <c r="BNJ42" s="191"/>
      <c r="BNK42" s="191"/>
      <c r="BNL42" s="191"/>
      <c r="BNM42" s="191"/>
      <c r="BNN42" s="191"/>
      <c r="BNO42" s="191"/>
      <c r="BNP42" s="191"/>
      <c r="BNQ42" s="191"/>
      <c r="BNR42" s="191"/>
      <c r="BNS42" s="191"/>
      <c r="BNT42" s="191"/>
      <c r="BNU42" s="191"/>
      <c r="BNV42" s="191"/>
      <c r="BNW42" s="191"/>
      <c r="BNX42" s="191"/>
      <c r="BNY42" s="191"/>
      <c r="BNZ42" s="191"/>
      <c r="BOA42" s="191"/>
      <c r="BOB42" s="191"/>
      <c r="BOC42" s="191"/>
      <c r="BOD42" s="191"/>
      <c r="BOE42" s="191"/>
      <c r="BOF42" s="191"/>
      <c r="BOG42" s="191"/>
      <c r="BOH42" s="191"/>
      <c r="BOI42" s="191"/>
      <c r="BOJ42" s="191"/>
      <c r="BOK42" s="191"/>
      <c r="BOL42" s="191"/>
      <c r="BOM42" s="191"/>
      <c r="BON42" s="191"/>
      <c r="BOO42" s="191"/>
      <c r="BOP42" s="191"/>
      <c r="BOQ42" s="191"/>
      <c r="BOR42" s="191"/>
      <c r="BOS42" s="191"/>
      <c r="BOT42" s="191"/>
      <c r="BOU42" s="191"/>
      <c r="BOV42" s="191"/>
      <c r="BOW42" s="191"/>
      <c r="BOX42" s="191"/>
      <c r="BOY42" s="191"/>
      <c r="BOZ42" s="191"/>
      <c r="BPA42" s="191"/>
      <c r="BPB42" s="191"/>
      <c r="BPC42" s="191"/>
      <c r="BPD42" s="191"/>
      <c r="BPE42" s="191"/>
      <c r="BPF42" s="191"/>
      <c r="BPG42" s="191"/>
      <c r="BPH42" s="191"/>
      <c r="BPI42" s="191"/>
      <c r="BPJ42" s="191"/>
      <c r="BPK42" s="191"/>
      <c r="BPL42" s="191"/>
      <c r="BPM42" s="191"/>
      <c r="BPN42" s="191"/>
      <c r="BPO42" s="191"/>
      <c r="BPP42" s="191"/>
      <c r="BPQ42" s="191"/>
      <c r="BPR42" s="191"/>
      <c r="BPS42" s="191"/>
      <c r="BPT42" s="191"/>
      <c r="BPU42" s="191"/>
      <c r="BPV42" s="191"/>
      <c r="BPW42" s="191"/>
      <c r="BPX42" s="191"/>
      <c r="BPY42" s="191"/>
      <c r="BPZ42" s="191"/>
      <c r="BQA42" s="191"/>
      <c r="BQB42" s="191"/>
      <c r="BQC42" s="191"/>
      <c r="BQD42" s="191"/>
      <c r="BQE42" s="191"/>
      <c r="BQF42" s="191"/>
      <c r="BQG42" s="191"/>
      <c r="BQH42" s="191"/>
      <c r="BQI42" s="191"/>
      <c r="BQJ42" s="191"/>
      <c r="BQK42" s="191"/>
      <c r="BQL42" s="191"/>
      <c r="BQM42" s="191"/>
      <c r="BQN42" s="191"/>
      <c r="BQO42" s="191"/>
      <c r="BQP42" s="191"/>
      <c r="BQQ42" s="191"/>
      <c r="BQR42" s="191"/>
      <c r="BQS42" s="191"/>
      <c r="BQT42" s="191"/>
      <c r="BQU42" s="191"/>
      <c r="BQV42" s="191"/>
      <c r="BQW42" s="191"/>
      <c r="BQX42" s="191"/>
      <c r="BQY42" s="191"/>
      <c r="BQZ42" s="191"/>
      <c r="BRA42" s="191"/>
      <c r="BRB42" s="191"/>
      <c r="BRC42" s="191"/>
      <c r="BRD42" s="191"/>
      <c r="BRE42" s="191"/>
      <c r="BRF42" s="191"/>
      <c r="BRG42" s="191"/>
      <c r="BRH42" s="191"/>
      <c r="BRI42" s="191"/>
      <c r="BRJ42" s="191"/>
      <c r="BRK42" s="191"/>
      <c r="BRL42" s="191"/>
      <c r="BRM42" s="191"/>
      <c r="BRN42" s="191"/>
      <c r="BRO42" s="191"/>
      <c r="BRP42" s="191"/>
      <c r="BRQ42" s="191"/>
      <c r="BRR42" s="191"/>
      <c r="BRS42" s="191"/>
      <c r="BRT42" s="191"/>
      <c r="BRU42" s="191"/>
      <c r="BRV42" s="191"/>
      <c r="BRW42" s="191"/>
      <c r="BRX42" s="191"/>
      <c r="BRY42" s="191"/>
      <c r="BRZ42" s="191"/>
      <c r="BSA42" s="191"/>
      <c r="BSB42" s="191"/>
      <c r="BSC42" s="191"/>
      <c r="BSD42" s="191"/>
      <c r="BSE42" s="191"/>
      <c r="BSF42" s="191"/>
      <c r="BSG42" s="191"/>
      <c r="BSH42" s="191"/>
      <c r="BSI42" s="191"/>
      <c r="BSJ42" s="191"/>
      <c r="BSK42" s="191"/>
      <c r="BSL42" s="191"/>
      <c r="BSM42" s="191"/>
      <c r="BSN42" s="191"/>
      <c r="BSO42" s="191"/>
      <c r="BSP42" s="191"/>
      <c r="BSQ42" s="191"/>
      <c r="BSR42" s="191"/>
      <c r="BSS42" s="191"/>
      <c r="BST42" s="191"/>
      <c r="BSU42" s="191"/>
      <c r="BSV42" s="191"/>
      <c r="BSW42" s="191"/>
      <c r="BSX42" s="191"/>
      <c r="BSY42" s="191"/>
      <c r="BSZ42" s="191"/>
      <c r="BTA42" s="191"/>
      <c r="BTB42" s="191"/>
      <c r="BTC42" s="191"/>
      <c r="BTD42" s="191"/>
      <c r="BTE42" s="191"/>
      <c r="BTF42" s="191"/>
      <c r="BTG42" s="191"/>
      <c r="BTH42" s="191"/>
      <c r="BTI42" s="191"/>
      <c r="BTJ42" s="191"/>
      <c r="BTK42" s="191"/>
      <c r="BTL42" s="191"/>
      <c r="BTM42" s="191"/>
      <c r="BTN42" s="191"/>
      <c r="BTO42" s="191"/>
      <c r="BTP42" s="191"/>
      <c r="BTQ42" s="191"/>
      <c r="BTR42" s="191"/>
      <c r="BTS42" s="191"/>
      <c r="BTT42" s="191"/>
      <c r="BTU42" s="191"/>
      <c r="BTV42" s="191"/>
      <c r="BTW42" s="191"/>
      <c r="BTX42" s="191"/>
      <c r="BTY42" s="191"/>
      <c r="BTZ42" s="191"/>
      <c r="BUA42" s="191"/>
      <c r="BUB42" s="191"/>
      <c r="BUC42" s="191"/>
      <c r="BUD42" s="191"/>
      <c r="BUE42" s="191"/>
      <c r="BUF42" s="191"/>
      <c r="BUG42" s="191"/>
      <c r="BUH42" s="191"/>
      <c r="BUI42" s="191"/>
      <c r="BUJ42" s="191"/>
      <c r="BUK42" s="191"/>
      <c r="BUL42" s="191"/>
      <c r="BUM42" s="191"/>
      <c r="BUN42" s="191"/>
      <c r="BUO42" s="191"/>
      <c r="BUP42" s="191"/>
      <c r="BUQ42" s="191"/>
      <c r="BUR42" s="191"/>
      <c r="BUS42" s="191"/>
      <c r="BUT42" s="191"/>
      <c r="BUU42" s="191"/>
      <c r="BUV42" s="191"/>
      <c r="BUW42" s="191"/>
      <c r="BUX42" s="191"/>
      <c r="BUY42" s="191"/>
      <c r="BUZ42" s="191"/>
      <c r="BVA42" s="191"/>
      <c r="BVB42" s="191"/>
      <c r="BVC42" s="191"/>
      <c r="BVD42" s="191"/>
      <c r="BVE42" s="191"/>
      <c r="BVF42" s="191"/>
      <c r="BVG42" s="191"/>
      <c r="BVH42" s="191"/>
      <c r="BVI42" s="191"/>
      <c r="BVJ42" s="191"/>
      <c r="BVK42" s="191"/>
      <c r="BVL42" s="191"/>
      <c r="BVM42" s="191"/>
      <c r="BVN42" s="191"/>
      <c r="BVO42" s="191"/>
      <c r="BVP42" s="191"/>
      <c r="BVQ42" s="191"/>
      <c r="BVR42" s="191"/>
      <c r="BVS42" s="191"/>
      <c r="BVT42" s="191"/>
      <c r="BVU42" s="191"/>
      <c r="BVV42" s="191"/>
      <c r="BVW42" s="191"/>
      <c r="BVX42" s="191"/>
      <c r="BVY42" s="191"/>
      <c r="BVZ42" s="191"/>
      <c r="BWA42" s="191"/>
      <c r="BWB42" s="191"/>
      <c r="BWC42" s="191"/>
      <c r="BWD42" s="191"/>
      <c r="BWE42" s="191"/>
      <c r="BWF42" s="191"/>
      <c r="BWG42" s="191"/>
      <c r="BWH42" s="191"/>
      <c r="BWI42" s="191"/>
      <c r="BWJ42" s="191"/>
      <c r="BWK42" s="191"/>
      <c r="BWL42" s="191"/>
      <c r="BWM42" s="191"/>
      <c r="BWN42" s="191"/>
      <c r="BWO42" s="191"/>
      <c r="BWP42" s="191"/>
      <c r="BWQ42" s="191"/>
      <c r="BWR42" s="191"/>
      <c r="BWS42" s="191"/>
      <c r="BWT42" s="191"/>
      <c r="BWU42" s="191"/>
      <c r="BWV42" s="191"/>
      <c r="BWW42" s="191"/>
      <c r="BWX42" s="191"/>
      <c r="BWY42" s="191"/>
      <c r="BWZ42" s="191"/>
      <c r="BXA42" s="191"/>
      <c r="BXB42" s="191"/>
      <c r="BXC42" s="191"/>
      <c r="BXD42" s="191"/>
      <c r="BXE42" s="191"/>
      <c r="BXF42" s="191"/>
      <c r="BXG42" s="191"/>
      <c r="BXH42" s="191"/>
      <c r="BXI42" s="191"/>
      <c r="BXJ42" s="191"/>
      <c r="BXK42" s="191"/>
      <c r="BXL42" s="191"/>
      <c r="BXM42" s="191"/>
      <c r="BXN42" s="191"/>
      <c r="BXO42" s="191"/>
      <c r="BXP42" s="191"/>
      <c r="BXQ42" s="191"/>
      <c r="BXR42" s="191"/>
      <c r="BXS42" s="191"/>
      <c r="BXT42" s="191"/>
      <c r="BXU42" s="191"/>
      <c r="BXV42" s="191"/>
      <c r="BXW42" s="191"/>
      <c r="BXX42" s="191"/>
      <c r="BXY42" s="191"/>
      <c r="BXZ42" s="191"/>
      <c r="BYA42" s="191"/>
      <c r="BYB42" s="191"/>
      <c r="BYC42" s="191"/>
      <c r="BYD42" s="191"/>
      <c r="BYE42" s="191"/>
      <c r="BYF42" s="191"/>
      <c r="BYG42" s="191"/>
      <c r="BYH42" s="191"/>
      <c r="BYI42" s="191"/>
      <c r="BYJ42" s="191"/>
      <c r="BYK42" s="191"/>
      <c r="BYL42" s="191"/>
      <c r="BYM42" s="191"/>
      <c r="BYN42" s="191"/>
      <c r="BYO42" s="191"/>
      <c r="BYP42" s="191"/>
      <c r="BYQ42" s="191"/>
      <c r="BYR42" s="191"/>
      <c r="BYS42" s="191"/>
      <c r="BYT42" s="191"/>
      <c r="BYU42" s="191"/>
      <c r="BYV42" s="191"/>
      <c r="BYW42" s="191"/>
      <c r="BYX42" s="191"/>
      <c r="BYY42" s="191"/>
      <c r="BYZ42" s="191"/>
      <c r="BZA42" s="191"/>
      <c r="BZB42" s="191"/>
      <c r="BZC42" s="191"/>
      <c r="BZD42" s="191"/>
      <c r="BZE42" s="191"/>
      <c r="BZF42" s="191"/>
      <c r="BZG42" s="191"/>
      <c r="BZH42" s="191"/>
      <c r="BZI42" s="191"/>
      <c r="BZJ42" s="191"/>
      <c r="BZK42" s="191"/>
      <c r="BZL42" s="191"/>
      <c r="BZM42" s="191"/>
      <c r="BZN42" s="191"/>
      <c r="BZO42" s="191"/>
      <c r="BZP42" s="191"/>
      <c r="BZQ42" s="191"/>
      <c r="BZR42" s="191"/>
      <c r="BZS42" s="191"/>
      <c r="BZT42" s="191"/>
      <c r="BZU42" s="191"/>
      <c r="BZV42" s="191"/>
      <c r="BZW42" s="191"/>
      <c r="BZX42" s="191"/>
      <c r="BZY42" s="191"/>
      <c r="BZZ42" s="191"/>
      <c r="CAA42" s="191"/>
      <c r="CAB42" s="191"/>
      <c r="CAC42" s="191"/>
      <c r="CAD42" s="191"/>
      <c r="CAE42" s="191"/>
      <c r="CAF42" s="191"/>
      <c r="CAG42" s="191"/>
      <c r="CAH42" s="191"/>
      <c r="CAI42" s="191"/>
      <c r="CAJ42" s="191"/>
      <c r="CAK42" s="191"/>
      <c r="CAL42" s="191"/>
      <c r="CAM42" s="191"/>
      <c r="CAN42" s="191"/>
      <c r="CAO42" s="191"/>
      <c r="CAP42" s="191"/>
      <c r="CAQ42" s="191"/>
      <c r="CAR42" s="191"/>
      <c r="CAS42" s="191"/>
      <c r="CAT42" s="191"/>
      <c r="CAU42" s="191"/>
      <c r="CAV42" s="191"/>
      <c r="CAW42" s="191"/>
      <c r="CAX42" s="191"/>
      <c r="CAY42" s="191"/>
      <c r="CAZ42" s="191"/>
      <c r="CBA42" s="191"/>
      <c r="CBB42" s="191"/>
      <c r="CBC42" s="191"/>
      <c r="CBD42" s="191"/>
      <c r="CBE42" s="191"/>
      <c r="CBF42" s="191"/>
      <c r="CBG42" s="191"/>
      <c r="CBH42" s="191"/>
      <c r="CBI42" s="191"/>
      <c r="CBJ42" s="191"/>
      <c r="CBK42" s="191"/>
      <c r="CBL42" s="191"/>
      <c r="CBM42" s="191"/>
      <c r="CBN42" s="191"/>
      <c r="CBO42" s="191"/>
      <c r="CBP42" s="191"/>
      <c r="CBQ42" s="191"/>
      <c r="CBR42" s="191"/>
      <c r="CBS42" s="191"/>
      <c r="CBT42" s="191"/>
      <c r="CBU42" s="191"/>
      <c r="CBV42" s="191"/>
      <c r="CBW42" s="191"/>
      <c r="CBX42" s="191"/>
      <c r="CBY42" s="191"/>
      <c r="CBZ42" s="191"/>
      <c r="CCA42" s="191"/>
      <c r="CCB42" s="191"/>
      <c r="CCC42" s="191"/>
      <c r="CCD42" s="191"/>
      <c r="CCE42" s="191"/>
      <c r="CCF42" s="191"/>
      <c r="CCG42" s="191"/>
      <c r="CCH42" s="191"/>
      <c r="CCI42" s="191"/>
      <c r="CCJ42" s="191"/>
      <c r="CCK42" s="191"/>
      <c r="CCL42" s="191"/>
      <c r="CCM42" s="191"/>
      <c r="CCN42" s="191"/>
      <c r="CCO42" s="191"/>
      <c r="CCP42" s="191"/>
      <c r="CCQ42" s="191"/>
      <c r="CCR42" s="191"/>
      <c r="CCS42" s="191"/>
      <c r="CCT42" s="191"/>
      <c r="CCU42" s="191"/>
      <c r="CCV42" s="191"/>
      <c r="CCW42" s="191"/>
      <c r="CCX42" s="191"/>
      <c r="CCY42" s="191"/>
      <c r="CCZ42" s="191"/>
      <c r="CDA42" s="191"/>
      <c r="CDB42" s="191"/>
      <c r="CDC42" s="191"/>
      <c r="CDD42" s="191"/>
      <c r="CDE42" s="191"/>
      <c r="CDF42" s="191"/>
      <c r="CDG42" s="191"/>
      <c r="CDH42" s="191"/>
      <c r="CDI42" s="191"/>
      <c r="CDJ42" s="191"/>
      <c r="CDK42" s="191"/>
      <c r="CDL42" s="191"/>
      <c r="CDM42" s="191"/>
      <c r="CDN42" s="191"/>
      <c r="CDO42" s="191"/>
      <c r="CDP42" s="191"/>
      <c r="CDQ42" s="191"/>
      <c r="CDR42" s="191"/>
      <c r="CDS42" s="191"/>
      <c r="CDT42" s="191"/>
      <c r="CDU42" s="191"/>
      <c r="CDV42" s="191"/>
      <c r="CDW42" s="191"/>
      <c r="CDX42" s="191"/>
      <c r="CDY42" s="191"/>
      <c r="CDZ42" s="191"/>
      <c r="CEA42" s="191"/>
      <c r="CEB42" s="191"/>
      <c r="CEC42" s="191"/>
      <c r="CED42" s="191"/>
      <c r="CEE42" s="191"/>
      <c r="CEF42" s="191"/>
      <c r="CEG42" s="191"/>
      <c r="CEH42" s="191"/>
      <c r="CEI42" s="191"/>
      <c r="CEJ42" s="191"/>
      <c r="CEK42" s="191"/>
      <c r="CEL42" s="191"/>
      <c r="CEM42" s="191"/>
      <c r="CEN42" s="191"/>
      <c r="CEO42" s="191"/>
      <c r="CEP42" s="191"/>
      <c r="CEQ42" s="191"/>
      <c r="CER42" s="191"/>
      <c r="CES42" s="191"/>
      <c r="CET42" s="191"/>
      <c r="CEU42" s="191"/>
      <c r="CEV42" s="191"/>
      <c r="CEW42" s="191"/>
      <c r="CEX42" s="191"/>
      <c r="CEY42" s="191"/>
      <c r="CEZ42" s="191"/>
      <c r="CFA42" s="191"/>
      <c r="CFB42" s="191"/>
      <c r="CFC42" s="191"/>
      <c r="CFD42" s="191"/>
      <c r="CFE42" s="191"/>
      <c r="CFF42" s="191"/>
      <c r="CFG42" s="191"/>
      <c r="CFH42" s="191"/>
      <c r="CFI42" s="191"/>
      <c r="CFJ42" s="191"/>
      <c r="CFK42" s="191"/>
      <c r="CFL42" s="191"/>
      <c r="CFM42" s="191"/>
      <c r="CFN42" s="191"/>
      <c r="CFO42" s="191"/>
      <c r="CFP42" s="191"/>
      <c r="CFQ42" s="191"/>
      <c r="CFR42" s="191"/>
      <c r="CFS42" s="191"/>
      <c r="CFT42" s="191"/>
      <c r="CFU42" s="191"/>
      <c r="CFV42" s="191"/>
      <c r="CFW42" s="191"/>
      <c r="CFX42" s="191"/>
      <c r="CFY42" s="191"/>
      <c r="CFZ42" s="191"/>
      <c r="CGA42" s="191"/>
      <c r="CGB42" s="191"/>
      <c r="CGC42" s="191"/>
      <c r="CGD42" s="191"/>
      <c r="CGE42" s="191"/>
      <c r="CGF42" s="191"/>
      <c r="CGG42" s="191"/>
      <c r="CGH42" s="191"/>
      <c r="CGI42" s="191"/>
      <c r="CGJ42" s="191"/>
      <c r="CGK42" s="191"/>
      <c r="CGL42" s="191"/>
      <c r="CGM42" s="191"/>
      <c r="CGN42" s="191"/>
      <c r="CGO42" s="191"/>
      <c r="CGP42" s="191"/>
      <c r="CGQ42" s="191"/>
      <c r="CGR42" s="191"/>
      <c r="CGS42" s="191"/>
      <c r="CGT42" s="191"/>
      <c r="CGU42" s="191"/>
      <c r="CGV42" s="191"/>
      <c r="CGW42" s="191"/>
      <c r="CGX42" s="191"/>
      <c r="CGY42" s="191"/>
      <c r="CGZ42" s="191"/>
      <c r="CHA42" s="191"/>
      <c r="CHB42" s="191"/>
      <c r="CHC42" s="191"/>
      <c r="CHD42" s="191"/>
      <c r="CHE42" s="191"/>
      <c r="CHF42" s="191"/>
      <c r="CHG42" s="191"/>
      <c r="CHH42" s="191"/>
      <c r="CHI42" s="191"/>
      <c r="CHJ42" s="191"/>
      <c r="CHK42" s="191"/>
      <c r="CHL42" s="191"/>
      <c r="CHM42" s="191"/>
      <c r="CHN42" s="191"/>
      <c r="CHO42" s="191"/>
      <c r="CHP42" s="191"/>
      <c r="CHQ42" s="191"/>
      <c r="CHR42" s="191"/>
      <c r="CHS42" s="191"/>
      <c r="CHT42" s="191"/>
      <c r="CHU42" s="191"/>
      <c r="CHV42" s="191"/>
      <c r="CHW42" s="191"/>
      <c r="CHX42" s="191"/>
      <c r="CHY42" s="191"/>
      <c r="CHZ42" s="191"/>
      <c r="CIA42" s="191"/>
      <c r="CIB42" s="191"/>
      <c r="CIC42" s="191"/>
      <c r="CID42" s="191"/>
      <c r="CIE42" s="191"/>
      <c r="CIF42" s="191"/>
      <c r="CIG42" s="191"/>
      <c r="CIH42" s="191"/>
      <c r="CII42" s="191"/>
      <c r="CIJ42" s="191"/>
      <c r="CIK42" s="191"/>
      <c r="CIL42" s="191"/>
      <c r="CIM42" s="191"/>
      <c r="CIN42" s="191"/>
      <c r="CIO42" s="191"/>
      <c r="CIP42" s="191"/>
      <c r="CIQ42" s="191"/>
      <c r="CIR42" s="191"/>
      <c r="CIS42" s="191"/>
      <c r="CIT42" s="191"/>
      <c r="CIU42" s="191"/>
      <c r="CIV42" s="191"/>
      <c r="CIW42" s="191"/>
      <c r="CIX42" s="191"/>
      <c r="CIY42" s="191"/>
      <c r="CIZ42" s="191"/>
      <c r="CJA42" s="191"/>
      <c r="CJB42" s="191"/>
      <c r="CJC42" s="191"/>
      <c r="CJD42" s="191"/>
      <c r="CJE42" s="191"/>
      <c r="CJF42" s="191"/>
      <c r="CJG42" s="191"/>
      <c r="CJH42" s="191"/>
      <c r="CJI42" s="191"/>
      <c r="CJJ42" s="191"/>
      <c r="CJK42" s="191"/>
      <c r="CJL42" s="191"/>
      <c r="CJM42" s="191"/>
      <c r="CJN42" s="191"/>
      <c r="CJO42" s="191"/>
      <c r="CJP42" s="191"/>
      <c r="CJQ42" s="191"/>
      <c r="CJR42" s="191"/>
      <c r="CJS42" s="191"/>
      <c r="CJT42" s="191"/>
      <c r="CJU42" s="191"/>
      <c r="CJV42" s="191"/>
      <c r="CJW42" s="191"/>
      <c r="CJX42" s="191"/>
      <c r="CJY42" s="191"/>
      <c r="CJZ42" s="191"/>
      <c r="CKA42" s="191"/>
      <c r="CKB42" s="191"/>
      <c r="CKC42" s="191"/>
      <c r="CKD42" s="191"/>
      <c r="CKE42" s="191"/>
      <c r="CKF42" s="191"/>
      <c r="CKG42" s="191"/>
      <c r="CKH42" s="191"/>
      <c r="CKI42" s="191"/>
      <c r="CKJ42" s="191"/>
      <c r="CKK42" s="191"/>
      <c r="CKL42" s="191"/>
      <c r="CKM42" s="191"/>
      <c r="CKN42" s="191"/>
      <c r="CKO42" s="191"/>
      <c r="CKP42" s="191"/>
      <c r="CKQ42" s="191"/>
      <c r="CKR42" s="191"/>
      <c r="CKS42" s="191"/>
      <c r="CKT42" s="191"/>
      <c r="CKU42" s="191"/>
      <c r="CKV42" s="191"/>
      <c r="CKW42" s="191"/>
      <c r="CKX42" s="191"/>
      <c r="CKY42" s="191"/>
      <c r="CKZ42" s="191"/>
      <c r="CLA42" s="191"/>
      <c r="CLB42" s="191"/>
      <c r="CLC42" s="191"/>
      <c r="CLD42" s="191"/>
      <c r="CLE42" s="191"/>
      <c r="CLF42" s="191"/>
      <c r="CLG42" s="191"/>
      <c r="CLH42" s="191"/>
      <c r="CLI42" s="191"/>
      <c r="CLJ42" s="191"/>
      <c r="CLK42" s="191"/>
      <c r="CLL42" s="191"/>
      <c r="CLM42" s="191"/>
      <c r="CLN42" s="191"/>
      <c r="CLO42" s="191"/>
      <c r="CLP42" s="191"/>
      <c r="CLQ42" s="191"/>
      <c r="CLR42" s="191"/>
      <c r="CLS42" s="191"/>
      <c r="CLT42" s="191"/>
      <c r="CLU42" s="191"/>
      <c r="CLV42" s="191"/>
      <c r="CLW42" s="191"/>
      <c r="CLX42" s="191"/>
      <c r="CLY42" s="191"/>
      <c r="CLZ42" s="191"/>
      <c r="CMA42" s="191"/>
      <c r="CMB42" s="191"/>
      <c r="CMC42" s="191"/>
      <c r="CMD42" s="191"/>
      <c r="CME42" s="191"/>
      <c r="CMF42" s="191"/>
      <c r="CMG42" s="191"/>
      <c r="CMH42" s="191"/>
      <c r="CMI42" s="191"/>
      <c r="CMJ42" s="191"/>
      <c r="CMK42" s="191"/>
      <c r="CML42" s="191"/>
      <c r="CMM42" s="191"/>
      <c r="CMN42" s="191"/>
      <c r="CMO42" s="191"/>
      <c r="CMP42" s="191"/>
      <c r="CMQ42" s="191"/>
      <c r="CMR42" s="191"/>
      <c r="CMS42" s="191"/>
      <c r="CMT42" s="191"/>
      <c r="CMU42" s="191"/>
      <c r="CMV42" s="191"/>
      <c r="CMW42" s="191"/>
      <c r="CMX42" s="191"/>
      <c r="CMY42" s="191"/>
      <c r="CMZ42" s="191"/>
      <c r="CNA42" s="191"/>
      <c r="CNB42" s="191"/>
      <c r="CNC42" s="191"/>
      <c r="CND42" s="191"/>
      <c r="CNE42" s="191"/>
      <c r="CNF42" s="191"/>
      <c r="CNG42" s="191"/>
      <c r="CNH42" s="191"/>
      <c r="CNI42" s="191"/>
      <c r="CNJ42" s="191"/>
      <c r="CNK42" s="191"/>
      <c r="CNL42" s="191"/>
      <c r="CNM42" s="191"/>
      <c r="CNN42" s="191"/>
      <c r="CNO42" s="191"/>
      <c r="CNP42" s="191"/>
      <c r="CNQ42" s="191"/>
      <c r="CNR42" s="191"/>
      <c r="CNS42" s="191"/>
      <c r="CNT42" s="191"/>
      <c r="CNU42" s="191"/>
      <c r="CNV42" s="191"/>
      <c r="CNW42" s="191"/>
      <c r="CNX42" s="191"/>
      <c r="CNY42" s="191"/>
      <c r="CNZ42" s="191"/>
      <c r="COA42" s="191"/>
      <c r="COB42" s="191"/>
      <c r="COC42" s="191"/>
      <c r="COD42" s="191"/>
      <c r="COE42" s="191"/>
      <c r="COF42" s="191"/>
      <c r="COG42" s="191"/>
      <c r="COH42" s="191"/>
      <c r="COI42" s="191"/>
      <c r="COJ42" s="191"/>
      <c r="COK42" s="191"/>
      <c r="COL42" s="191"/>
      <c r="COM42" s="191"/>
      <c r="CON42" s="191"/>
      <c r="COO42" s="191"/>
      <c r="COP42" s="191"/>
      <c r="COQ42" s="191"/>
      <c r="COR42" s="191"/>
      <c r="COS42" s="191"/>
      <c r="COT42" s="191"/>
      <c r="COU42" s="191"/>
      <c r="COV42" s="191"/>
      <c r="COW42" s="191"/>
      <c r="COX42" s="191"/>
      <c r="COY42" s="191"/>
      <c r="COZ42" s="191"/>
      <c r="CPA42" s="191"/>
      <c r="CPB42" s="191"/>
      <c r="CPC42" s="191"/>
      <c r="CPD42" s="191"/>
      <c r="CPE42" s="191"/>
      <c r="CPF42" s="191"/>
      <c r="CPG42" s="191"/>
      <c r="CPH42" s="191"/>
      <c r="CPI42" s="191"/>
      <c r="CPJ42" s="191"/>
      <c r="CPK42" s="191"/>
      <c r="CPL42" s="191"/>
      <c r="CPM42" s="191"/>
      <c r="CPN42" s="191"/>
      <c r="CPO42" s="191"/>
      <c r="CPP42" s="191"/>
      <c r="CPQ42" s="191"/>
      <c r="CPR42" s="191"/>
      <c r="CPS42" s="191"/>
      <c r="CPT42" s="191"/>
      <c r="CPU42" s="191"/>
      <c r="CPV42" s="191"/>
      <c r="CPW42" s="191"/>
      <c r="CPX42" s="191"/>
      <c r="CPY42" s="191"/>
      <c r="CPZ42" s="191"/>
      <c r="CQA42" s="191"/>
      <c r="CQB42" s="191"/>
      <c r="CQC42" s="191"/>
      <c r="CQD42" s="191"/>
      <c r="CQE42" s="191"/>
      <c r="CQF42" s="191"/>
      <c r="CQG42" s="191"/>
      <c r="CQH42" s="191"/>
      <c r="CQI42" s="191"/>
      <c r="CQJ42" s="191"/>
      <c r="CQK42" s="191"/>
      <c r="CQL42" s="191"/>
      <c r="CQM42" s="191"/>
      <c r="CQN42" s="191"/>
      <c r="CQO42" s="191"/>
      <c r="CQP42" s="191"/>
      <c r="CQQ42" s="191"/>
      <c r="CQR42" s="191"/>
      <c r="CQS42" s="191"/>
      <c r="CQT42" s="191"/>
      <c r="CQU42" s="191"/>
      <c r="CQV42" s="191"/>
      <c r="CQW42" s="191"/>
      <c r="CQX42" s="191"/>
      <c r="CQY42" s="191"/>
      <c r="CQZ42" s="191"/>
      <c r="CRA42" s="191"/>
      <c r="CRB42" s="191"/>
      <c r="CRC42" s="191"/>
      <c r="CRD42" s="191"/>
      <c r="CRE42" s="191"/>
      <c r="CRF42" s="191"/>
      <c r="CRG42" s="191"/>
      <c r="CRH42" s="191"/>
      <c r="CRI42" s="191"/>
      <c r="CRJ42" s="191"/>
      <c r="CRK42" s="191"/>
      <c r="CRL42" s="191"/>
      <c r="CRM42" s="191"/>
      <c r="CRN42" s="191"/>
      <c r="CRO42" s="191"/>
      <c r="CRP42" s="191"/>
      <c r="CRQ42" s="191"/>
      <c r="CRR42" s="191"/>
      <c r="CRS42" s="191"/>
      <c r="CRT42" s="191"/>
      <c r="CRU42" s="191"/>
      <c r="CRV42" s="191"/>
      <c r="CRW42" s="191"/>
      <c r="CRX42" s="191"/>
      <c r="CRY42" s="191"/>
      <c r="CRZ42" s="191"/>
      <c r="CSA42" s="191"/>
      <c r="CSB42" s="191"/>
      <c r="CSC42" s="191"/>
      <c r="CSD42" s="191"/>
      <c r="CSE42" s="191"/>
      <c r="CSF42" s="191"/>
      <c r="CSG42" s="191"/>
      <c r="CSH42" s="191"/>
      <c r="CSI42" s="191"/>
      <c r="CSJ42" s="191"/>
      <c r="CSK42" s="191"/>
      <c r="CSL42" s="191"/>
      <c r="CSM42" s="191"/>
      <c r="CSN42" s="191"/>
      <c r="CSO42" s="191"/>
      <c r="CSP42" s="191"/>
      <c r="CSQ42" s="191"/>
      <c r="CSR42" s="191"/>
      <c r="CSS42" s="191"/>
      <c r="CST42" s="191"/>
      <c r="CSU42" s="191"/>
      <c r="CSV42" s="191"/>
      <c r="CSW42" s="191"/>
      <c r="CSX42" s="191"/>
      <c r="CSY42" s="191"/>
      <c r="CSZ42" s="191"/>
      <c r="CTA42" s="191"/>
      <c r="CTB42" s="191"/>
      <c r="CTC42" s="191"/>
      <c r="CTD42" s="191"/>
      <c r="CTE42" s="191"/>
      <c r="CTF42" s="191"/>
      <c r="CTG42" s="191"/>
      <c r="CTH42" s="191"/>
      <c r="CTI42" s="191"/>
      <c r="CTJ42" s="191"/>
      <c r="CTK42" s="191"/>
      <c r="CTL42" s="191"/>
      <c r="CTM42" s="191"/>
      <c r="CTN42" s="191"/>
      <c r="CTO42" s="191"/>
      <c r="CTP42" s="191"/>
      <c r="CTQ42" s="191"/>
      <c r="CTR42" s="191"/>
      <c r="CTS42" s="191"/>
      <c r="CTT42" s="191"/>
      <c r="CTU42" s="191"/>
      <c r="CTV42" s="191"/>
      <c r="CTW42" s="191"/>
      <c r="CTX42" s="191"/>
      <c r="CTY42" s="191"/>
      <c r="CTZ42" s="191"/>
      <c r="CUA42" s="191"/>
      <c r="CUB42" s="191"/>
      <c r="CUC42" s="191"/>
      <c r="CUD42" s="191"/>
      <c r="CUE42" s="191"/>
      <c r="CUF42" s="191"/>
      <c r="CUG42" s="191"/>
      <c r="CUH42" s="191"/>
      <c r="CUI42" s="191"/>
      <c r="CUJ42" s="191"/>
      <c r="CUK42" s="191"/>
      <c r="CUL42" s="191"/>
      <c r="CUM42" s="191"/>
      <c r="CUN42" s="191"/>
      <c r="CUO42" s="191"/>
      <c r="CUP42" s="191"/>
      <c r="CUQ42" s="191"/>
      <c r="CUR42" s="191"/>
      <c r="CUS42" s="191"/>
      <c r="CUT42" s="191"/>
      <c r="CUU42" s="191"/>
      <c r="CUV42" s="191"/>
      <c r="CUW42" s="191"/>
      <c r="CUX42" s="191"/>
      <c r="CUY42" s="191"/>
      <c r="CUZ42" s="191"/>
      <c r="CVA42" s="191"/>
      <c r="CVB42" s="191"/>
      <c r="CVC42" s="191"/>
      <c r="CVD42" s="191"/>
      <c r="CVE42" s="191"/>
      <c r="CVF42" s="191"/>
      <c r="CVG42" s="191"/>
      <c r="CVH42" s="191"/>
      <c r="CVI42" s="191"/>
      <c r="CVJ42" s="191"/>
      <c r="CVK42" s="191"/>
      <c r="CVL42" s="191"/>
      <c r="CVM42" s="191"/>
      <c r="CVN42" s="191"/>
      <c r="CVO42" s="191"/>
      <c r="CVP42" s="191"/>
      <c r="CVQ42" s="191"/>
      <c r="CVR42" s="191"/>
      <c r="CVS42" s="191"/>
      <c r="CVT42" s="191"/>
      <c r="CVU42" s="191"/>
      <c r="CVV42" s="191"/>
      <c r="CVW42" s="191"/>
      <c r="CVX42" s="191"/>
      <c r="CVY42" s="191"/>
      <c r="CVZ42" s="191"/>
      <c r="CWA42" s="191"/>
      <c r="CWB42" s="191"/>
      <c r="CWC42" s="191"/>
      <c r="CWD42" s="191"/>
      <c r="CWE42" s="191"/>
      <c r="CWF42" s="191"/>
      <c r="CWG42" s="191"/>
      <c r="CWH42" s="191"/>
      <c r="CWI42" s="191"/>
      <c r="CWJ42" s="191"/>
      <c r="CWK42" s="191"/>
      <c r="CWL42" s="191"/>
      <c r="CWM42" s="191"/>
      <c r="CWN42" s="191"/>
      <c r="CWO42" s="191"/>
      <c r="CWP42" s="191"/>
      <c r="CWQ42" s="191"/>
      <c r="CWR42" s="191"/>
      <c r="CWS42" s="191"/>
      <c r="CWT42" s="191"/>
      <c r="CWU42" s="191"/>
      <c r="CWV42" s="191"/>
      <c r="CWW42" s="191"/>
      <c r="CWX42" s="191"/>
      <c r="CWY42" s="191"/>
      <c r="CWZ42" s="191"/>
      <c r="CXA42" s="191"/>
      <c r="CXB42" s="191"/>
      <c r="CXC42" s="191"/>
      <c r="CXD42" s="191"/>
      <c r="CXE42" s="191"/>
      <c r="CXF42" s="191"/>
      <c r="CXG42" s="191"/>
      <c r="CXH42" s="191"/>
      <c r="CXI42" s="191"/>
      <c r="CXJ42" s="191"/>
      <c r="CXK42" s="191"/>
      <c r="CXL42" s="191"/>
      <c r="CXM42" s="191"/>
      <c r="CXN42" s="191"/>
      <c r="CXO42" s="191"/>
      <c r="CXP42" s="191"/>
      <c r="CXQ42" s="191"/>
      <c r="CXR42" s="191"/>
      <c r="CXS42" s="191"/>
      <c r="CXT42" s="191"/>
      <c r="CXU42" s="191"/>
      <c r="CXV42" s="191"/>
      <c r="CXW42" s="191"/>
      <c r="CXX42" s="191"/>
      <c r="CXY42" s="191"/>
      <c r="CXZ42" s="191"/>
      <c r="CYA42" s="191"/>
      <c r="CYB42" s="191"/>
      <c r="CYC42" s="191"/>
      <c r="CYD42" s="191"/>
      <c r="CYE42" s="191"/>
      <c r="CYF42" s="191"/>
      <c r="CYG42" s="191"/>
      <c r="CYH42" s="191"/>
      <c r="CYI42" s="191"/>
      <c r="CYJ42" s="191"/>
      <c r="CYK42" s="191"/>
      <c r="CYL42" s="191"/>
      <c r="CYM42" s="191"/>
      <c r="CYN42" s="191"/>
      <c r="CYO42" s="191"/>
      <c r="CYP42" s="191"/>
      <c r="CYQ42" s="191"/>
      <c r="CYR42" s="191"/>
      <c r="CYS42" s="191"/>
      <c r="CYT42" s="191"/>
      <c r="CYU42" s="191"/>
      <c r="CYV42" s="191"/>
      <c r="CYW42" s="191"/>
      <c r="CYX42" s="191"/>
      <c r="CYY42" s="191"/>
      <c r="CYZ42" s="191"/>
      <c r="CZA42" s="191"/>
      <c r="CZB42" s="191"/>
      <c r="CZC42" s="191"/>
      <c r="CZD42" s="191"/>
      <c r="CZE42" s="191"/>
      <c r="CZF42" s="191"/>
      <c r="CZG42" s="191"/>
      <c r="CZH42" s="191"/>
      <c r="CZI42" s="191"/>
      <c r="CZJ42" s="191"/>
      <c r="CZK42" s="191"/>
      <c r="CZL42" s="191"/>
      <c r="CZM42" s="191"/>
      <c r="CZN42" s="191"/>
      <c r="CZO42" s="191"/>
      <c r="CZP42" s="191"/>
      <c r="CZQ42" s="191"/>
      <c r="CZR42" s="191"/>
      <c r="CZS42" s="191"/>
      <c r="CZT42" s="191"/>
      <c r="CZU42" s="191"/>
      <c r="CZV42" s="191"/>
      <c r="CZW42" s="191"/>
      <c r="CZX42" s="191"/>
      <c r="CZY42" s="191"/>
      <c r="CZZ42" s="191"/>
      <c r="DAA42" s="191"/>
      <c r="DAB42" s="191"/>
      <c r="DAC42" s="191"/>
      <c r="DAD42" s="191"/>
      <c r="DAE42" s="191"/>
      <c r="DAF42" s="191"/>
      <c r="DAG42" s="191"/>
      <c r="DAH42" s="191"/>
      <c r="DAI42" s="191"/>
      <c r="DAJ42" s="191"/>
      <c r="DAK42" s="191"/>
      <c r="DAL42" s="191"/>
      <c r="DAM42" s="191"/>
      <c r="DAN42" s="191"/>
      <c r="DAO42" s="191"/>
      <c r="DAP42" s="191"/>
      <c r="DAQ42" s="191"/>
      <c r="DAR42" s="191"/>
      <c r="DAS42" s="191"/>
      <c r="DAT42" s="191"/>
      <c r="DAU42" s="191"/>
      <c r="DAV42" s="191"/>
      <c r="DAW42" s="191"/>
      <c r="DAX42" s="191"/>
      <c r="DAY42" s="191"/>
      <c r="DAZ42" s="191"/>
      <c r="DBA42" s="191"/>
      <c r="DBB42" s="191"/>
      <c r="DBC42" s="191"/>
      <c r="DBD42" s="191"/>
      <c r="DBE42" s="191"/>
      <c r="DBF42" s="191"/>
      <c r="DBG42" s="191"/>
      <c r="DBH42" s="191"/>
      <c r="DBI42" s="191"/>
      <c r="DBJ42" s="191"/>
      <c r="DBK42" s="191"/>
      <c r="DBL42" s="191"/>
      <c r="DBM42" s="191"/>
      <c r="DBN42" s="191"/>
      <c r="DBO42" s="191"/>
      <c r="DBP42" s="191"/>
      <c r="DBQ42" s="191"/>
      <c r="DBR42" s="191"/>
      <c r="DBS42" s="191"/>
      <c r="DBT42" s="191"/>
      <c r="DBU42" s="191"/>
      <c r="DBV42" s="191"/>
      <c r="DBW42" s="191"/>
      <c r="DBX42" s="191"/>
      <c r="DBY42" s="191"/>
      <c r="DBZ42" s="191"/>
      <c r="DCA42" s="191"/>
      <c r="DCB42" s="191"/>
      <c r="DCC42" s="191"/>
      <c r="DCD42" s="191"/>
      <c r="DCE42" s="191"/>
      <c r="DCF42" s="191"/>
      <c r="DCG42" s="191"/>
      <c r="DCH42" s="191"/>
      <c r="DCI42" s="191"/>
      <c r="DCJ42" s="191"/>
      <c r="DCK42" s="191"/>
      <c r="DCL42" s="191"/>
      <c r="DCM42" s="191"/>
      <c r="DCN42" s="191"/>
      <c r="DCO42" s="191"/>
      <c r="DCP42" s="191"/>
      <c r="DCQ42" s="191"/>
      <c r="DCR42" s="191"/>
      <c r="DCS42" s="191"/>
      <c r="DCT42" s="191"/>
      <c r="DCU42" s="191"/>
      <c r="DCV42" s="191"/>
      <c r="DCW42" s="191"/>
      <c r="DCX42" s="191"/>
      <c r="DCY42" s="191"/>
      <c r="DCZ42" s="191"/>
      <c r="DDA42" s="191"/>
      <c r="DDB42" s="191"/>
      <c r="DDC42" s="191"/>
      <c r="DDD42" s="191"/>
      <c r="DDE42" s="191"/>
      <c r="DDF42" s="191"/>
      <c r="DDG42" s="191"/>
      <c r="DDH42" s="191"/>
      <c r="DDI42" s="191"/>
      <c r="DDJ42" s="191"/>
      <c r="DDK42" s="191"/>
      <c r="DDL42" s="191"/>
      <c r="DDM42" s="191"/>
      <c r="DDN42" s="191"/>
      <c r="DDO42" s="191"/>
      <c r="DDP42" s="191"/>
      <c r="DDQ42" s="191"/>
      <c r="DDR42" s="191"/>
      <c r="DDS42" s="191"/>
      <c r="DDT42" s="191"/>
      <c r="DDU42" s="191"/>
      <c r="DDV42" s="191"/>
      <c r="DDW42" s="191"/>
      <c r="DDX42" s="191"/>
      <c r="DDY42" s="191"/>
      <c r="DDZ42" s="191"/>
      <c r="DEA42" s="191"/>
      <c r="DEB42" s="191"/>
      <c r="DEC42" s="191"/>
      <c r="DED42" s="191"/>
      <c r="DEE42" s="191"/>
      <c r="DEF42" s="191"/>
      <c r="DEG42" s="191"/>
      <c r="DEH42" s="191"/>
      <c r="DEI42" s="191"/>
      <c r="DEJ42" s="191"/>
      <c r="DEK42" s="191"/>
      <c r="DEL42" s="191"/>
      <c r="DEM42" s="191"/>
      <c r="DEN42" s="191"/>
      <c r="DEO42" s="191"/>
      <c r="DEP42" s="191"/>
      <c r="DEQ42" s="191"/>
      <c r="DER42" s="191"/>
      <c r="DES42" s="191"/>
      <c r="DET42" s="191"/>
      <c r="DEU42" s="191"/>
      <c r="DEV42" s="191"/>
      <c r="DEW42" s="191"/>
      <c r="DEX42" s="191"/>
      <c r="DEY42" s="191"/>
      <c r="DEZ42" s="191"/>
      <c r="DFA42" s="191"/>
      <c r="DFB42" s="191"/>
      <c r="DFC42" s="191"/>
      <c r="DFD42" s="191"/>
      <c r="DFE42" s="191"/>
      <c r="DFF42" s="191"/>
      <c r="DFG42" s="191"/>
      <c r="DFH42" s="191"/>
      <c r="DFI42" s="191"/>
      <c r="DFJ42" s="191"/>
      <c r="DFK42" s="191"/>
      <c r="DFL42" s="191"/>
      <c r="DFM42" s="191"/>
      <c r="DFN42" s="191"/>
      <c r="DFO42" s="191"/>
      <c r="DFP42" s="191"/>
      <c r="DFQ42" s="191"/>
      <c r="DFR42" s="191"/>
      <c r="DFS42" s="191"/>
      <c r="DFT42" s="191"/>
      <c r="DFU42" s="191"/>
      <c r="DFV42" s="191"/>
      <c r="DFW42" s="191"/>
      <c r="DFX42" s="191"/>
      <c r="DFY42" s="191"/>
      <c r="DFZ42" s="191"/>
      <c r="DGA42" s="191"/>
      <c r="DGB42" s="191"/>
      <c r="DGC42" s="191"/>
      <c r="DGD42" s="191"/>
      <c r="DGE42" s="191"/>
      <c r="DGF42" s="191"/>
      <c r="DGG42" s="191"/>
      <c r="DGH42" s="191"/>
      <c r="DGI42" s="191"/>
      <c r="DGJ42" s="191"/>
      <c r="DGK42" s="191"/>
      <c r="DGL42" s="191"/>
      <c r="DGM42" s="191"/>
      <c r="DGN42" s="191"/>
      <c r="DGO42" s="191"/>
      <c r="DGP42" s="191"/>
      <c r="DGQ42" s="191"/>
      <c r="DGR42" s="191"/>
      <c r="DGS42" s="191"/>
      <c r="DGT42" s="191"/>
      <c r="DGU42" s="191"/>
      <c r="DGV42" s="191"/>
      <c r="DGW42" s="191"/>
      <c r="DGX42" s="191"/>
      <c r="DGY42" s="191"/>
      <c r="DGZ42" s="191"/>
      <c r="DHA42" s="191"/>
      <c r="DHB42" s="191"/>
      <c r="DHC42" s="191"/>
      <c r="DHD42" s="191"/>
      <c r="DHE42" s="191"/>
      <c r="DHF42" s="191"/>
      <c r="DHG42" s="191"/>
      <c r="DHH42" s="191"/>
      <c r="DHI42" s="191"/>
      <c r="DHJ42" s="191"/>
      <c r="DHK42" s="191"/>
      <c r="DHL42" s="191"/>
      <c r="DHM42" s="191"/>
      <c r="DHN42" s="191"/>
      <c r="DHO42" s="191"/>
      <c r="DHP42" s="191"/>
      <c r="DHQ42" s="191"/>
      <c r="DHR42" s="191"/>
      <c r="DHS42" s="191"/>
      <c r="DHT42" s="191"/>
      <c r="DHU42" s="191"/>
      <c r="DHV42" s="191"/>
      <c r="DHW42" s="191"/>
      <c r="DHX42" s="191"/>
      <c r="DHY42" s="191"/>
      <c r="DHZ42" s="191"/>
      <c r="DIA42" s="191"/>
      <c r="DIB42" s="191"/>
      <c r="DIC42" s="191"/>
      <c r="DID42" s="191"/>
      <c r="DIE42" s="191"/>
      <c r="DIF42" s="191"/>
      <c r="DIG42" s="191"/>
      <c r="DIH42" s="191"/>
      <c r="DII42" s="191"/>
      <c r="DIJ42" s="191"/>
      <c r="DIK42" s="191"/>
      <c r="DIL42" s="191"/>
      <c r="DIM42" s="191"/>
      <c r="DIN42" s="191"/>
      <c r="DIO42" s="191"/>
      <c r="DIP42" s="191"/>
      <c r="DIQ42" s="191"/>
      <c r="DIR42" s="191"/>
      <c r="DIS42" s="191"/>
      <c r="DIT42" s="191"/>
      <c r="DIU42" s="191"/>
      <c r="DIV42" s="191"/>
      <c r="DIW42" s="191"/>
      <c r="DIX42" s="191"/>
      <c r="DIY42" s="191"/>
      <c r="DIZ42" s="191"/>
      <c r="DJA42" s="191"/>
      <c r="DJB42" s="191"/>
      <c r="DJC42" s="191"/>
      <c r="DJD42" s="191"/>
      <c r="DJE42" s="191"/>
      <c r="DJF42" s="191"/>
      <c r="DJG42" s="191"/>
      <c r="DJH42" s="191"/>
      <c r="DJI42" s="191"/>
      <c r="DJJ42" s="191"/>
      <c r="DJK42" s="191"/>
      <c r="DJL42" s="191"/>
      <c r="DJM42" s="191"/>
      <c r="DJN42" s="191"/>
      <c r="DJO42" s="191"/>
      <c r="DJP42" s="191"/>
      <c r="DJQ42" s="191"/>
      <c r="DJR42" s="191"/>
      <c r="DJS42" s="191"/>
      <c r="DJT42" s="191"/>
      <c r="DJU42" s="191"/>
      <c r="DJV42" s="191"/>
      <c r="DJW42" s="191"/>
      <c r="DJX42" s="191"/>
      <c r="DJY42" s="191"/>
      <c r="DJZ42" s="191"/>
      <c r="DKA42" s="191"/>
      <c r="DKB42" s="191"/>
      <c r="DKC42" s="191"/>
      <c r="DKD42" s="191"/>
      <c r="DKE42" s="191"/>
      <c r="DKF42" s="191"/>
      <c r="DKG42" s="191"/>
      <c r="DKH42" s="191"/>
      <c r="DKI42" s="191"/>
      <c r="DKJ42" s="191"/>
      <c r="DKK42" s="191"/>
      <c r="DKL42" s="191"/>
      <c r="DKM42" s="191"/>
      <c r="DKN42" s="191"/>
      <c r="DKO42" s="191"/>
      <c r="DKP42" s="191"/>
      <c r="DKQ42" s="191"/>
      <c r="DKR42" s="191"/>
      <c r="DKS42" s="191"/>
      <c r="DKT42" s="191"/>
      <c r="DKU42" s="191"/>
      <c r="DKV42" s="191"/>
      <c r="DKW42" s="191"/>
      <c r="DKX42" s="191"/>
      <c r="DKY42" s="191"/>
      <c r="DKZ42" s="191"/>
      <c r="DLA42" s="191"/>
      <c r="DLB42" s="191"/>
      <c r="DLC42" s="191"/>
      <c r="DLD42" s="191"/>
      <c r="DLE42" s="191"/>
      <c r="DLF42" s="191"/>
      <c r="DLG42" s="191"/>
      <c r="DLH42" s="191"/>
      <c r="DLI42" s="191"/>
      <c r="DLJ42" s="191"/>
      <c r="DLK42" s="191"/>
      <c r="DLL42" s="191"/>
      <c r="DLM42" s="191"/>
      <c r="DLN42" s="191"/>
      <c r="DLO42" s="191"/>
      <c r="DLP42" s="191"/>
      <c r="DLQ42" s="191"/>
      <c r="DLR42" s="191"/>
      <c r="DLS42" s="191"/>
      <c r="DLT42" s="191"/>
      <c r="DLU42" s="191"/>
      <c r="DLV42" s="191"/>
      <c r="DLW42" s="191"/>
      <c r="DLX42" s="191"/>
      <c r="DLY42" s="191"/>
      <c r="DLZ42" s="191"/>
      <c r="DMA42" s="191"/>
      <c r="DMB42" s="191"/>
      <c r="DMC42" s="191"/>
      <c r="DMD42" s="191"/>
      <c r="DME42" s="191"/>
      <c r="DMF42" s="191"/>
      <c r="DMG42" s="191"/>
      <c r="DMH42" s="191"/>
      <c r="DMI42" s="191"/>
      <c r="DMJ42" s="191"/>
      <c r="DMK42" s="191"/>
      <c r="DML42" s="191"/>
      <c r="DMM42" s="191"/>
      <c r="DMN42" s="191"/>
      <c r="DMO42" s="191"/>
      <c r="DMP42" s="191"/>
      <c r="DMQ42" s="191"/>
      <c r="DMR42" s="191"/>
      <c r="DMS42" s="191"/>
      <c r="DMT42" s="191"/>
      <c r="DMU42" s="191"/>
      <c r="DMV42" s="191"/>
      <c r="DMW42" s="191"/>
      <c r="DMX42" s="191"/>
      <c r="DMY42" s="191"/>
      <c r="DMZ42" s="191"/>
      <c r="DNA42" s="191"/>
      <c r="DNB42" s="191"/>
      <c r="DNC42" s="191"/>
      <c r="DND42" s="191"/>
      <c r="DNE42" s="191"/>
      <c r="DNF42" s="191"/>
      <c r="DNG42" s="191"/>
      <c r="DNH42" s="191"/>
      <c r="DNI42" s="191"/>
      <c r="DNJ42" s="191"/>
      <c r="DNK42" s="191"/>
      <c r="DNL42" s="191"/>
      <c r="DNM42" s="191"/>
      <c r="DNN42" s="191"/>
      <c r="DNO42" s="191"/>
      <c r="DNP42" s="191"/>
      <c r="DNQ42" s="191"/>
      <c r="DNR42" s="191"/>
      <c r="DNS42" s="191"/>
      <c r="DNT42" s="191"/>
      <c r="DNU42" s="191"/>
      <c r="DNV42" s="191"/>
      <c r="DNW42" s="191"/>
      <c r="DNX42" s="191"/>
      <c r="DNY42" s="191"/>
      <c r="DNZ42" s="191"/>
      <c r="DOA42" s="191"/>
      <c r="DOB42" s="191"/>
      <c r="DOC42" s="191"/>
      <c r="DOD42" s="191"/>
      <c r="DOE42" s="191"/>
      <c r="DOF42" s="191"/>
      <c r="DOG42" s="191"/>
      <c r="DOH42" s="191"/>
      <c r="DOI42" s="191"/>
      <c r="DOJ42" s="191"/>
      <c r="DOK42" s="191"/>
      <c r="DOL42" s="191"/>
      <c r="DOM42" s="191"/>
      <c r="DON42" s="191"/>
      <c r="DOO42" s="191"/>
      <c r="DOP42" s="191"/>
      <c r="DOQ42" s="191"/>
      <c r="DOR42" s="191"/>
      <c r="DOS42" s="191"/>
      <c r="DOT42" s="191"/>
      <c r="DOU42" s="191"/>
      <c r="DOV42" s="191"/>
      <c r="DOW42" s="191"/>
      <c r="DOX42" s="191"/>
      <c r="DOY42" s="191"/>
      <c r="DOZ42" s="191"/>
      <c r="DPA42" s="191"/>
      <c r="DPB42" s="191"/>
      <c r="DPC42" s="191"/>
      <c r="DPD42" s="191"/>
      <c r="DPE42" s="191"/>
      <c r="DPF42" s="191"/>
      <c r="DPG42" s="191"/>
      <c r="DPH42" s="191"/>
      <c r="DPI42" s="191"/>
      <c r="DPJ42" s="191"/>
      <c r="DPK42" s="191"/>
      <c r="DPL42" s="191"/>
      <c r="DPM42" s="191"/>
      <c r="DPN42" s="191"/>
      <c r="DPO42" s="191"/>
      <c r="DPP42" s="191"/>
      <c r="DPQ42" s="191"/>
      <c r="DPR42" s="191"/>
      <c r="DPS42" s="191"/>
      <c r="DPT42" s="191"/>
      <c r="DPU42" s="191"/>
      <c r="DPV42" s="191"/>
      <c r="DPW42" s="191"/>
      <c r="DPX42" s="191"/>
      <c r="DPY42" s="191"/>
      <c r="DPZ42" s="191"/>
      <c r="DQA42" s="191"/>
      <c r="DQB42" s="191"/>
      <c r="DQC42" s="191"/>
      <c r="DQD42" s="191"/>
      <c r="DQE42" s="191"/>
      <c r="DQF42" s="191"/>
      <c r="DQG42" s="191"/>
      <c r="DQH42" s="191"/>
      <c r="DQI42" s="191"/>
      <c r="DQJ42" s="191"/>
      <c r="DQK42" s="191"/>
      <c r="DQL42" s="191"/>
      <c r="DQM42" s="191"/>
      <c r="DQN42" s="191"/>
      <c r="DQO42" s="191"/>
      <c r="DQP42" s="191"/>
      <c r="DQQ42" s="191"/>
      <c r="DQR42" s="191"/>
      <c r="DQS42" s="191"/>
      <c r="DQT42" s="191"/>
      <c r="DQU42" s="191"/>
      <c r="DQV42" s="191"/>
      <c r="DQW42" s="191"/>
      <c r="DQX42" s="191"/>
      <c r="DQY42" s="191"/>
      <c r="DQZ42" s="191"/>
      <c r="DRA42" s="191"/>
      <c r="DRB42" s="191"/>
      <c r="DRC42" s="191"/>
      <c r="DRD42" s="191"/>
      <c r="DRE42" s="191"/>
      <c r="DRF42" s="191"/>
      <c r="DRG42" s="191"/>
      <c r="DRH42" s="191"/>
      <c r="DRI42" s="191"/>
      <c r="DRJ42" s="191"/>
      <c r="DRK42" s="191"/>
      <c r="DRL42" s="191"/>
      <c r="DRM42" s="191"/>
      <c r="DRN42" s="191"/>
      <c r="DRO42" s="191"/>
      <c r="DRP42" s="191"/>
      <c r="DRQ42" s="191"/>
      <c r="DRR42" s="191"/>
      <c r="DRS42" s="191"/>
      <c r="DRT42" s="191"/>
      <c r="DRU42" s="191"/>
      <c r="DRV42" s="191"/>
      <c r="DRW42" s="191"/>
      <c r="DRX42" s="191"/>
      <c r="DRY42" s="191"/>
      <c r="DRZ42" s="191"/>
      <c r="DSA42" s="191"/>
      <c r="DSB42" s="191"/>
      <c r="DSC42" s="191"/>
      <c r="DSD42" s="191"/>
      <c r="DSE42" s="191"/>
      <c r="DSF42" s="191"/>
      <c r="DSG42" s="191"/>
      <c r="DSH42" s="191"/>
      <c r="DSI42" s="191"/>
      <c r="DSJ42" s="191"/>
      <c r="DSK42" s="191"/>
      <c r="DSL42" s="191"/>
      <c r="DSM42" s="191"/>
      <c r="DSN42" s="191"/>
      <c r="DSO42" s="191"/>
      <c r="DSP42" s="191"/>
      <c r="DSQ42" s="191"/>
      <c r="DSR42" s="191"/>
      <c r="DSS42" s="191"/>
      <c r="DST42" s="191"/>
      <c r="DSU42" s="191"/>
      <c r="DSV42" s="191"/>
      <c r="DSW42" s="191"/>
      <c r="DSX42" s="191"/>
      <c r="DSY42" s="191"/>
      <c r="DSZ42" s="191"/>
      <c r="DTA42" s="191"/>
      <c r="DTB42" s="191"/>
      <c r="DTC42" s="191"/>
      <c r="DTD42" s="191"/>
      <c r="DTE42" s="191"/>
      <c r="DTF42" s="191"/>
      <c r="DTG42" s="191"/>
      <c r="DTH42" s="191"/>
      <c r="DTI42" s="191"/>
      <c r="DTJ42" s="191"/>
      <c r="DTK42" s="191"/>
      <c r="DTL42" s="191"/>
      <c r="DTM42" s="191"/>
      <c r="DTN42" s="191"/>
      <c r="DTO42" s="191"/>
      <c r="DTP42" s="191"/>
      <c r="DTQ42" s="191"/>
      <c r="DTR42" s="191"/>
      <c r="DTS42" s="191"/>
      <c r="DTT42" s="191"/>
      <c r="DTU42" s="191"/>
      <c r="DTV42" s="191"/>
      <c r="DTW42" s="191"/>
      <c r="DTX42" s="191"/>
      <c r="DTY42" s="191"/>
      <c r="DTZ42" s="191"/>
      <c r="DUA42" s="191"/>
      <c r="DUB42" s="191"/>
      <c r="DUC42" s="191"/>
      <c r="DUD42" s="191"/>
      <c r="DUE42" s="191"/>
      <c r="DUF42" s="191"/>
      <c r="DUG42" s="191"/>
      <c r="DUH42" s="191"/>
      <c r="DUI42" s="191"/>
      <c r="DUJ42" s="191"/>
      <c r="DUK42" s="191"/>
      <c r="DUL42" s="191"/>
      <c r="DUM42" s="191"/>
      <c r="DUN42" s="191"/>
      <c r="DUO42" s="191"/>
      <c r="DUP42" s="191"/>
      <c r="DUQ42" s="191"/>
      <c r="DUR42" s="191"/>
      <c r="DUS42" s="191"/>
      <c r="DUT42" s="191"/>
      <c r="DUU42" s="191"/>
      <c r="DUV42" s="191"/>
      <c r="DUW42" s="191"/>
      <c r="DUX42" s="191"/>
      <c r="DUY42" s="191"/>
      <c r="DUZ42" s="191"/>
      <c r="DVA42" s="191"/>
      <c r="DVB42" s="191"/>
      <c r="DVC42" s="191"/>
      <c r="DVD42" s="191"/>
      <c r="DVE42" s="191"/>
      <c r="DVF42" s="191"/>
      <c r="DVG42" s="191"/>
      <c r="DVH42" s="191"/>
      <c r="DVI42" s="191"/>
      <c r="DVJ42" s="191"/>
      <c r="DVK42" s="191"/>
      <c r="DVL42" s="191"/>
      <c r="DVM42" s="191"/>
      <c r="DVN42" s="191"/>
      <c r="DVO42" s="191"/>
      <c r="DVP42" s="191"/>
      <c r="DVQ42" s="191"/>
      <c r="DVR42" s="191"/>
      <c r="DVS42" s="191"/>
      <c r="DVT42" s="191"/>
      <c r="DVU42" s="191"/>
      <c r="DVV42" s="191"/>
      <c r="DVW42" s="191"/>
      <c r="DVX42" s="191"/>
      <c r="DVY42" s="191"/>
      <c r="DVZ42" s="191"/>
      <c r="DWA42" s="191"/>
      <c r="DWB42" s="191"/>
      <c r="DWC42" s="191"/>
      <c r="DWD42" s="191"/>
      <c r="DWE42" s="191"/>
      <c r="DWF42" s="191"/>
      <c r="DWG42" s="191"/>
      <c r="DWH42" s="191"/>
      <c r="DWI42" s="191"/>
      <c r="DWJ42" s="191"/>
      <c r="DWK42" s="191"/>
      <c r="DWL42" s="191"/>
      <c r="DWM42" s="191"/>
      <c r="DWN42" s="191"/>
      <c r="DWO42" s="191"/>
      <c r="DWP42" s="191"/>
      <c r="DWQ42" s="191"/>
      <c r="DWR42" s="191"/>
      <c r="DWS42" s="191"/>
      <c r="DWT42" s="191"/>
      <c r="DWU42" s="191"/>
      <c r="DWV42" s="191"/>
      <c r="DWW42" s="191"/>
      <c r="DWX42" s="191"/>
      <c r="DWY42" s="191"/>
      <c r="DWZ42" s="191"/>
      <c r="DXA42" s="191"/>
      <c r="DXB42" s="191"/>
      <c r="DXC42" s="191"/>
      <c r="DXD42" s="191"/>
      <c r="DXE42" s="191"/>
      <c r="DXF42" s="191"/>
      <c r="DXG42" s="191"/>
      <c r="DXH42" s="191"/>
      <c r="DXI42" s="191"/>
      <c r="DXJ42" s="191"/>
      <c r="DXK42" s="191"/>
      <c r="DXL42" s="191"/>
      <c r="DXM42" s="191"/>
      <c r="DXN42" s="191"/>
      <c r="DXO42" s="191"/>
      <c r="DXP42" s="191"/>
      <c r="DXQ42" s="191"/>
      <c r="DXR42" s="191"/>
      <c r="DXS42" s="191"/>
      <c r="DXT42" s="191"/>
      <c r="DXU42" s="191"/>
      <c r="DXV42" s="191"/>
      <c r="DXW42" s="191"/>
      <c r="DXX42" s="191"/>
      <c r="DXY42" s="191"/>
      <c r="DXZ42" s="191"/>
      <c r="DYA42" s="191"/>
      <c r="DYB42" s="191"/>
      <c r="DYC42" s="191"/>
      <c r="DYD42" s="191"/>
      <c r="DYE42" s="191"/>
      <c r="DYF42" s="191"/>
      <c r="DYG42" s="191"/>
      <c r="DYH42" s="191"/>
      <c r="DYI42" s="191"/>
      <c r="DYJ42" s="191"/>
      <c r="DYK42" s="191"/>
      <c r="DYL42" s="191"/>
      <c r="DYM42" s="191"/>
      <c r="DYN42" s="191"/>
      <c r="DYO42" s="191"/>
      <c r="DYP42" s="191"/>
      <c r="DYQ42" s="191"/>
      <c r="DYR42" s="191"/>
      <c r="DYS42" s="191"/>
      <c r="DYT42" s="191"/>
      <c r="DYU42" s="191"/>
      <c r="DYV42" s="191"/>
      <c r="DYW42" s="191"/>
      <c r="DYX42" s="191"/>
      <c r="DYY42" s="191"/>
      <c r="DYZ42" s="191"/>
      <c r="DZA42" s="191"/>
      <c r="DZB42" s="191"/>
      <c r="DZC42" s="191"/>
      <c r="DZD42" s="191"/>
      <c r="DZE42" s="191"/>
      <c r="DZF42" s="191"/>
      <c r="DZG42" s="191"/>
      <c r="DZH42" s="191"/>
      <c r="DZI42" s="191"/>
      <c r="DZJ42" s="191"/>
      <c r="DZK42" s="191"/>
      <c r="DZL42" s="191"/>
      <c r="DZM42" s="191"/>
      <c r="DZN42" s="191"/>
      <c r="DZO42" s="191"/>
      <c r="DZP42" s="191"/>
      <c r="DZQ42" s="191"/>
      <c r="DZR42" s="191"/>
      <c r="DZS42" s="191"/>
      <c r="DZT42" s="191"/>
      <c r="DZU42" s="191"/>
      <c r="DZV42" s="191"/>
      <c r="DZW42" s="191"/>
      <c r="DZX42" s="191"/>
      <c r="DZY42" s="191"/>
      <c r="DZZ42" s="191"/>
      <c r="EAA42" s="191"/>
      <c r="EAB42" s="191"/>
      <c r="EAC42" s="191"/>
      <c r="EAD42" s="191"/>
      <c r="EAE42" s="191"/>
      <c r="EAF42" s="191"/>
      <c r="EAG42" s="191"/>
      <c r="EAH42" s="191"/>
      <c r="EAI42" s="191"/>
      <c r="EAJ42" s="191"/>
      <c r="EAK42" s="191"/>
      <c r="EAL42" s="191"/>
      <c r="EAM42" s="191"/>
      <c r="EAN42" s="191"/>
      <c r="EAO42" s="191"/>
      <c r="EAP42" s="191"/>
      <c r="EAQ42" s="191"/>
      <c r="EAR42" s="191"/>
      <c r="EAS42" s="191"/>
      <c r="EAT42" s="191"/>
      <c r="EAU42" s="191"/>
      <c r="EAV42" s="191"/>
      <c r="EAW42" s="191"/>
      <c r="EAX42" s="191"/>
      <c r="EAY42" s="191"/>
      <c r="EAZ42" s="191"/>
      <c r="EBA42" s="191"/>
      <c r="EBB42" s="191"/>
      <c r="EBC42" s="191"/>
      <c r="EBD42" s="191"/>
      <c r="EBE42" s="191"/>
      <c r="EBF42" s="191"/>
      <c r="EBG42" s="191"/>
      <c r="EBH42" s="191"/>
      <c r="EBI42" s="191"/>
      <c r="EBJ42" s="191"/>
      <c r="EBK42" s="191"/>
      <c r="EBL42" s="191"/>
      <c r="EBM42" s="191"/>
      <c r="EBN42" s="191"/>
      <c r="EBO42" s="191"/>
      <c r="EBP42" s="191"/>
      <c r="EBQ42" s="191"/>
      <c r="EBR42" s="191"/>
      <c r="EBS42" s="191"/>
      <c r="EBT42" s="191"/>
      <c r="EBU42" s="191"/>
      <c r="EBV42" s="191"/>
      <c r="EBW42" s="191"/>
      <c r="EBX42" s="191"/>
      <c r="EBY42" s="191"/>
      <c r="EBZ42" s="191"/>
      <c r="ECA42" s="191"/>
      <c r="ECB42" s="191"/>
      <c r="ECC42" s="191"/>
      <c r="ECD42" s="191"/>
      <c r="ECE42" s="191"/>
      <c r="ECF42" s="191"/>
      <c r="ECG42" s="191"/>
      <c r="ECH42" s="191"/>
      <c r="ECI42" s="191"/>
      <c r="ECJ42" s="191"/>
      <c r="ECK42" s="191"/>
      <c r="ECL42" s="191"/>
      <c r="ECM42" s="191"/>
      <c r="ECN42" s="191"/>
      <c r="ECO42" s="191"/>
      <c r="ECP42" s="191"/>
      <c r="ECQ42" s="191"/>
      <c r="ECR42" s="191"/>
      <c r="ECS42" s="191"/>
      <c r="ECT42" s="191"/>
      <c r="ECU42" s="191"/>
      <c r="ECV42" s="191"/>
      <c r="ECW42" s="191"/>
      <c r="ECX42" s="191"/>
      <c r="ECY42" s="191"/>
      <c r="ECZ42" s="191"/>
      <c r="EDA42" s="191"/>
      <c r="EDB42" s="191"/>
      <c r="EDC42" s="191"/>
      <c r="EDD42" s="191"/>
      <c r="EDE42" s="191"/>
      <c r="EDF42" s="191"/>
      <c r="EDG42" s="191"/>
      <c r="EDH42" s="191"/>
      <c r="EDI42" s="191"/>
      <c r="EDJ42" s="191"/>
      <c r="EDK42" s="191"/>
      <c r="EDL42" s="191"/>
      <c r="EDM42" s="191"/>
      <c r="EDN42" s="191"/>
      <c r="EDO42" s="191"/>
      <c r="EDP42" s="191"/>
      <c r="EDQ42" s="191"/>
      <c r="EDR42" s="191"/>
      <c r="EDS42" s="191"/>
      <c r="EDT42" s="191"/>
      <c r="EDU42" s="191"/>
      <c r="EDV42" s="191"/>
      <c r="EDW42" s="191"/>
      <c r="EDX42" s="191"/>
      <c r="EDY42" s="191"/>
      <c r="EDZ42" s="191"/>
      <c r="EEA42" s="191"/>
      <c r="EEB42" s="191"/>
      <c r="EEC42" s="191"/>
      <c r="EED42" s="191"/>
      <c r="EEE42" s="191"/>
      <c r="EEF42" s="191"/>
      <c r="EEG42" s="191"/>
      <c r="EEH42" s="191"/>
      <c r="EEI42" s="191"/>
      <c r="EEJ42" s="191"/>
      <c r="EEK42" s="191"/>
      <c r="EEL42" s="191"/>
      <c r="EEM42" s="191"/>
      <c r="EEN42" s="191"/>
      <c r="EEO42" s="191"/>
      <c r="EEP42" s="191"/>
      <c r="EEQ42" s="191"/>
      <c r="EER42" s="191"/>
      <c r="EES42" s="191"/>
      <c r="EET42" s="191"/>
      <c r="EEU42" s="191"/>
      <c r="EEV42" s="191"/>
      <c r="EEW42" s="191"/>
      <c r="EEX42" s="191"/>
      <c r="EEY42" s="191"/>
      <c r="EEZ42" s="191"/>
      <c r="EFA42" s="191"/>
      <c r="EFB42" s="191"/>
      <c r="EFC42" s="191"/>
      <c r="EFD42" s="191"/>
      <c r="EFE42" s="191"/>
      <c r="EFF42" s="191"/>
      <c r="EFG42" s="191"/>
      <c r="EFH42" s="191"/>
      <c r="EFI42" s="191"/>
      <c r="EFJ42" s="191"/>
      <c r="EFK42" s="191"/>
      <c r="EFL42" s="191"/>
      <c r="EFM42" s="191"/>
      <c r="EFN42" s="191"/>
      <c r="EFO42" s="191"/>
      <c r="EFP42" s="191"/>
      <c r="EFQ42" s="191"/>
      <c r="EFR42" s="191"/>
      <c r="EFS42" s="191"/>
      <c r="EFT42" s="191"/>
      <c r="EFU42" s="191"/>
      <c r="EFV42" s="191"/>
      <c r="EFW42" s="191"/>
      <c r="EFX42" s="191"/>
      <c r="EFY42" s="191"/>
      <c r="EFZ42" s="191"/>
      <c r="EGA42" s="191"/>
      <c r="EGB42" s="191"/>
      <c r="EGC42" s="191"/>
      <c r="EGD42" s="191"/>
      <c r="EGE42" s="191"/>
      <c r="EGF42" s="191"/>
      <c r="EGG42" s="191"/>
      <c r="EGH42" s="191"/>
      <c r="EGI42" s="191"/>
      <c r="EGJ42" s="191"/>
      <c r="EGK42" s="191"/>
      <c r="EGL42" s="191"/>
      <c r="EGM42" s="191"/>
      <c r="EGN42" s="191"/>
      <c r="EGO42" s="191"/>
      <c r="EGP42" s="191"/>
      <c r="EGQ42" s="191"/>
      <c r="EGR42" s="191"/>
      <c r="EGS42" s="191"/>
      <c r="EGT42" s="191"/>
      <c r="EGU42" s="191"/>
      <c r="EGV42" s="191"/>
      <c r="EGW42" s="191"/>
      <c r="EGX42" s="191"/>
      <c r="EGY42" s="191"/>
      <c r="EGZ42" s="191"/>
      <c r="EHA42" s="191"/>
      <c r="EHB42" s="191"/>
      <c r="EHC42" s="191"/>
      <c r="EHD42" s="191"/>
      <c r="EHE42" s="191"/>
      <c r="EHF42" s="191"/>
      <c r="EHG42" s="191"/>
      <c r="EHH42" s="191"/>
      <c r="EHI42" s="191"/>
      <c r="EHJ42" s="191"/>
      <c r="EHK42" s="191"/>
      <c r="EHL42" s="191"/>
      <c r="EHM42" s="191"/>
      <c r="EHN42" s="191"/>
      <c r="EHO42" s="191"/>
      <c r="EHP42" s="191"/>
      <c r="EHQ42" s="191"/>
      <c r="EHR42" s="191"/>
      <c r="EHS42" s="191"/>
      <c r="EHT42" s="191"/>
      <c r="EHU42" s="191"/>
      <c r="EHV42" s="191"/>
      <c r="EHW42" s="191"/>
      <c r="EHX42" s="191"/>
      <c r="EHY42" s="191"/>
      <c r="EHZ42" s="191"/>
      <c r="EIA42" s="191"/>
      <c r="EIB42" s="191"/>
      <c r="EIC42" s="191"/>
      <c r="EID42" s="191"/>
      <c r="EIE42" s="191"/>
      <c r="EIF42" s="191"/>
      <c r="EIG42" s="191"/>
      <c r="EIH42" s="191"/>
      <c r="EII42" s="191"/>
      <c r="EIJ42" s="191"/>
      <c r="EIK42" s="191"/>
      <c r="EIL42" s="191"/>
      <c r="EIM42" s="191"/>
      <c r="EIN42" s="191"/>
      <c r="EIO42" s="191"/>
      <c r="EIP42" s="191"/>
      <c r="EIQ42" s="191"/>
      <c r="EIR42" s="191"/>
      <c r="EIS42" s="191"/>
      <c r="EIT42" s="191"/>
      <c r="EIU42" s="191"/>
      <c r="EIV42" s="191"/>
      <c r="EIW42" s="191"/>
      <c r="EIX42" s="191"/>
      <c r="EIY42" s="191"/>
      <c r="EIZ42" s="191"/>
      <c r="EJA42" s="191"/>
      <c r="EJB42" s="191"/>
      <c r="EJC42" s="191"/>
      <c r="EJD42" s="191"/>
      <c r="EJE42" s="191"/>
      <c r="EJF42" s="191"/>
      <c r="EJG42" s="191"/>
      <c r="EJH42" s="191"/>
      <c r="EJI42" s="191"/>
      <c r="EJJ42" s="191"/>
      <c r="EJK42" s="191"/>
      <c r="EJL42" s="191"/>
      <c r="EJM42" s="191"/>
      <c r="EJN42" s="191"/>
      <c r="EJO42" s="191"/>
      <c r="EJP42" s="191"/>
      <c r="EJQ42" s="191"/>
      <c r="EJR42" s="191"/>
      <c r="EJS42" s="191"/>
      <c r="EJT42" s="191"/>
      <c r="EJU42" s="191"/>
      <c r="EJV42" s="191"/>
      <c r="EJW42" s="191"/>
      <c r="EJX42" s="191"/>
      <c r="EJY42" s="191"/>
      <c r="EJZ42" s="191"/>
      <c r="EKA42" s="191"/>
      <c r="EKB42" s="191"/>
      <c r="EKC42" s="191"/>
      <c r="EKD42" s="191"/>
      <c r="EKE42" s="191"/>
      <c r="EKF42" s="191"/>
      <c r="EKG42" s="191"/>
      <c r="EKH42" s="191"/>
      <c r="EKI42" s="191"/>
      <c r="EKJ42" s="191"/>
      <c r="EKK42" s="191"/>
      <c r="EKL42" s="191"/>
      <c r="EKM42" s="191"/>
      <c r="EKN42" s="191"/>
      <c r="EKO42" s="191"/>
      <c r="EKP42" s="191"/>
      <c r="EKQ42" s="191"/>
      <c r="EKR42" s="191"/>
      <c r="EKS42" s="191"/>
      <c r="EKT42" s="191"/>
      <c r="EKU42" s="191"/>
      <c r="EKV42" s="191"/>
      <c r="EKW42" s="191"/>
      <c r="EKX42" s="191"/>
      <c r="EKY42" s="191"/>
      <c r="EKZ42" s="191"/>
      <c r="ELA42" s="191"/>
      <c r="ELB42" s="191"/>
      <c r="ELC42" s="191"/>
      <c r="ELD42" s="191"/>
      <c r="ELE42" s="191"/>
      <c r="ELF42" s="191"/>
      <c r="ELG42" s="191"/>
      <c r="ELH42" s="191"/>
      <c r="ELI42" s="191"/>
      <c r="ELJ42" s="191"/>
      <c r="ELK42" s="191"/>
      <c r="ELL42" s="191"/>
      <c r="ELM42" s="191"/>
      <c r="ELN42" s="191"/>
      <c r="ELO42" s="191"/>
      <c r="ELP42" s="191"/>
      <c r="ELQ42" s="191"/>
      <c r="ELR42" s="191"/>
      <c r="ELS42" s="191"/>
      <c r="ELT42" s="191"/>
      <c r="ELU42" s="191"/>
      <c r="ELV42" s="191"/>
      <c r="ELW42" s="191"/>
      <c r="ELX42" s="191"/>
      <c r="ELY42" s="191"/>
      <c r="ELZ42" s="191"/>
      <c r="EMA42" s="191"/>
      <c r="EMB42" s="191"/>
      <c r="EMC42" s="191"/>
      <c r="EMD42" s="191"/>
      <c r="EME42" s="191"/>
      <c r="EMF42" s="191"/>
      <c r="EMG42" s="191"/>
      <c r="EMH42" s="191"/>
      <c r="EMI42" s="191"/>
      <c r="EMJ42" s="191"/>
      <c r="EMK42" s="191"/>
      <c r="EML42" s="191"/>
      <c r="EMM42" s="191"/>
      <c r="EMN42" s="191"/>
      <c r="EMO42" s="191"/>
      <c r="EMP42" s="191"/>
      <c r="EMQ42" s="191"/>
      <c r="EMR42" s="191"/>
      <c r="EMS42" s="191"/>
      <c r="EMT42" s="191"/>
      <c r="EMU42" s="191"/>
      <c r="EMV42" s="191"/>
      <c r="EMW42" s="191"/>
      <c r="EMX42" s="191"/>
      <c r="EMY42" s="191"/>
      <c r="EMZ42" s="191"/>
      <c r="ENA42" s="191"/>
      <c r="ENB42" s="191"/>
      <c r="ENC42" s="191"/>
      <c r="END42" s="191"/>
      <c r="ENE42" s="191"/>
      <c r="ENF42" s="191"/>
      <c r="ENG42" s="191"/>
      <c r="ENH42" s="191"/>
      <c r="ENI42" s="191"/>
      <c r="ENJ42" s="191"/>
      <c r="ENK42" s="191"/>
      <c r="ENL42" s="191"/>
      <c r="ENM42" s="191"/>
      <c r="ENN42" s="191"/>
      <c r="ENO42" s="191"/>
      <c r="ENP42" s="191"/>
      <c r="ENQ42" s="191"/>
      <c r="ENR42" s="191"/>
      <c r="ENS42" s="191"/>
      <c r="ENT42" s="191"/>
      <c r="ENU42" s="191"/>
      <c r="ENV42" s="191"/>
      <c r="ENW42" s="191"/>
      <c r="ENX42" s="191"/>
      <c r="ENY42" s="191"/>
      <c r="ENZ42" s="191"/>
      <c r="EOA42" s="191"/>
      <c r="EOB42" s="191"/>
      <c r="EOC42" s="191"/>
      <c r="EOD42" s="191"/>
      <c r="EOE42" s="191"/>
      <c r="EOF42" s="191"/>
      <c r="EOG42" s="191"/>
      <c r="EOH42" s="191"/>
      <c r="EOI42" s="191"/>
      <c r="EOJ42" s="191"/>
      <c r="EOK42" s="191"/>
      <c r="EOL42" s="191"/>
      <c r="EOM42" s="191"/>
      <c r="EON42" s="191"/>
      <c r="EOO42" s="191"/>
      <c r="EOP42" s="191"/>
      <c r="EOQ42" s="191"/>
      <c r="EOR42" s="191"/>
      <c r="EOS42" s="191"/>
      <c r="EOT42" s="191"/>
      <c r="EOU42" s="191"/>
      <c r="EOV42" s="191"/>
      <c r="EOW42" s="191"/>
      <c r="EOX42" s="191"/>
      <c r="EOY42" s="191"/>
      <c r="EOZ42" s="191"/>
      <c r="EPA42" s="191"/>
      <c r="EPB42" s="191"/>
      <c r="EPC42" s="191"/>
      <c r="EPD42" s="191"/>
      <c r="EPE42" s="191"/>
      <c r="EPF42" s="191"/>
      <c r="EPG42" s="191"/>
      <c r="EPH42" s="191"/>
      <c r="EPI42" s="191"/>
      <c r="EPJ42" s="191"/>
      <c r="EPK42" s="191"/>
      <c r="EPL42" s="191"/>
      <c r="EPM42" s="191"/>
      <c r="EPN42" s="191"/>
      <c r="EPO42" s="191"/>
      <c r="EPP42" s="191"/>
      <c r="EPQ42" s="191"/>
      <c r="EPR42" s="191"/>
      <c r="EPS42" s="191"/>
      <c r="EPT42" s="191"/>
      <c r="EPU42" s="191"/>
      <c r="EPV42" s="191"/>
      <c r="EPW42" s="191"/>
      <c r="EPX42" s="191"/>
      <c r="EPY42" s="191"/>
      <c r="EPZ42" s="191"/>
      <c r="EQA42" s="191"/>
      <c r="EQB42" s="191"/>
      <c r="EQC42" s="191"/>
      <c r="EQD42" s="191"/>
      <c r="EQE42" s="191"/>
      <c r="EQF42" s="191"/>
      <c r="EQG42" s="191"/>
      <c r="EQH42" s="191"/>
      <c r="EQI42" s="191"/>
      <c r="EQJ42" s="191"/>
      <c r="EQK42" s="191"/>
      <c r="EQL42" s="191"/>
      <c r="EQM42" s="191"/>
      <c r="EQN42" s="191"/>
      <c r="EQO42" s="191"/>
      <c r="EQP42" s="191"/>
      <c r="EQQ42" s="191"/>
      <c r="EQR42" s="191"/>
      <c r="EQS42" s="191"/>
      <c r="EQT42" s="191"/>
      <c r="EQU42" s="191"/>
      <c r="EQV42" s="191"/>
      <c r="EQW42" s="191"/>
      <c r="EQX42" s="191"/>
      <c r="EQY42" s="191"/>
      <c r="EQZ42" s="191"/>
      <c r="ERA42" s="191"/>
      <c r="ERB42" s="191"/>
      <c r="ERC42" s="191"/>
      <c r="ERD42" s="191"/>
      <c r="ERE42" s="191"/>
      <c r="ERF42" s="191"/>
      <c r="ERG42" s="191"/>
      <c r="ERH42" s="191"/>
      <c r="ERI42" s="191"/>
      <c r="ERJ42" s="191"/>
      <c r="ERK42" s="191"/>
      <c r="ERL42" s="191"/>
      <c r="ERM42" s="191"/>
      <c r="ERN42" s="191"/>
      <c r="ERO42" s="191"/>
      <c r="ERP42" s="191"/>
      <c r="ERQ42" s="191"/>
      <c r="ERR42" s="191"/>
      <c r="ERS42" s="191"/>
      <c r="ERT42" s="191"/>
      <c r="ERU42" s="191"/>
      <c r="ERV42" s="191"/>
      <c r="ERW42" s="191"/>
      <c r="ERX42" s="191"/>
      <c r="ERY42" s="191"/>
      <c r="ERZ42" s="191"/>
      <c r="ESA42" s="191"/>
      <c r="ESB42" s="191"/>
      <c r="ESC42" s="191"/>
      <c r="ESD42" s="191"/>
      <c r="ESE42" s="191"/>
      <c r="ESF42" s="191"/>
      <c r="ESG42" s="191"/>
      <c r="ESH42" s="191"/>
      <c r="ESI42" s="191"/>
      <c r="ESJ42" s="191"/>
      <c r="ESK42" s="191"/>
      <c r="ESL42" s="191"/>
      <c r="ESM42" s="191"/>
      <c r="ESN42" s="191"/>
      <c r="ESO42" s="191"/>
      <c r="ESP42" s="191"/>
      <c r="ESQ42" s="191"/>
      <c r="ESR42" s="191"/>
      <c r="ESS42" s="191"/>
      <c r="EST42" s="191"/>
      <c r="ESU42" s="191"/>
      <c r="ESV42" s="191"/>
      <c r="ESW42" s="191"/>
      <c r="ESX42" s="191"/>
      <c r="ESY42" s="191"/>
      <c r="ESZ42" s="191"/>
      <c r="ETA42" s="191"/>
      <c r="ETB42" s="191"/>
      <c r="ETC42" s="191"/>
      <c r="ETD42" s="191"/>
      <c r="ETE42" s="191"/>
      <c r="ETF42" s="191"/>
      <c r="ETG42" s="191"/>
      <c r="ETH42" s="191"/>
      <c r="ETI42" s="191"/>
      <c r="ETJ42" s="191"/>
      <c r="ETK42" s="191"/>
      <c r="ETL42" s="191"/>
      <c r="ETM42" s="191"/>
      <c r="ETN42" s="191"/>
      <c r="ETO42" s="191"/>
      <c r="ETP42" s="191"/>
      <c r="ETQ42" s="191"/>
      <c r="ETR42" s="191"/>
      <c r="ETS42" s="191"/>
      <c r="ETT42" s="191"/>
      <c r="ETU42" s="191"/>
      <c r="ETV42" s="191"/>
      <c r="ETW42" s="191"/>
      <c r="ETX42" s="191"/>
      <c r="ETY42" s="191"/>
      <c r="ETZ42" s="191"/>
      <c r="EUA42" s="191"/>
      <c r="EUB42" s="191"/>
      <c r="EUC42" s="191"/>
      <c r="EUD42" s="191"/>
      <c r="EUE42" s="191"/>
      <c r="EUF42" s="191"/>
      <c r="EUG42" s="191"/>
      <c r="EUH42" s="191"/>
      <c r="EUI42" s="191"/>
      <c r="EUJ42" s="191"/>
      <c r="EUK42" s="191"/>
      <c r="EUL42" s="191"/>
      <c r="EUM42" s="191"/>
      <c r="EUN42" s="191"/>
      <c r="EUO42" s="191"/>
      <c r="EUP42" s="191"/>
      <c r="EUQ42" s="191"/>
      <c r="EUR42" s="191"/>
      <c r="EUS42" s="191"/>
      <c r="EUT42" s="191"/>
      <c r="EUU42" s="191"/>
      <c r="EUV42" s="191"/>
      <c r="EUW42" s="191"/>
      <c r="EUX42" s="191"/>
      <c r="EUY42" s="191"/>
      <c r="EUZ42" s="191"/>
      <c r="EVA42" s="191"/>
      <c r="EVB42" s="191"/>
      <c r="EVC42" s="191"/>
      <c r="EVD42" s="191"/>
      <c r="EVE42" s="191"/>
      <c r="EVF42" s="191"/>
      <c r="EVG42" s="191"/>
      <c r="EVH42" s="191"/>
      <c r="EVI42" s="191"/>
      <c r="EVJ42" s="191"/>
      <c r="EVK42" s="191"/>
      <c r="EVL42" s="191"/>
      <c r="EVM42" s="191"/>
      <c r="EVN42" s="191"/>
      <c r="EVO42" s="191"/>
      <c r="EVP42" s="191"/>
      <c r="EVQ42" s="191"/>
      <c r="EVR42" s="191"/>
      <c r="EVS42" s="191"/>
      <c r="EVT42" s="191"/>
      <c r="EVU42" s="191"/>
      <c r="EVV42" s="191"/>
      <c r="EVW42" s="191"/>
      <c r="EVX42" s="191"/>
      <c r="EVY42" s="191"/>
      <c r="EVZ42" s="191"/>
      <c r="EWA42" s="191"/>
      <c r="EWB42" s="191"/>
      <c r="EWC42" s="191"/>
      <c r="EWD42" s="191"/>
      <c r="EWE42" s="191"/>
      <c r="EWF42" s="191"/>
      <c r="EWG42" s="191"/>
      <c r="EWH42" s="191"/>
      <c r="EWI42" s="191"/>
      <c r="EWJ42" s="191"/>
      <c r="EWK42" s="191"/>
      <c r="EWL42" s="191"/>
      <c r="EWM42" s="191"/>
      <c r="EWN42" s="191"/>
      <c r="EWO42" s="191"/>
      <c r="EWP42" s="191"/>
      <c r="EWQ42" s="191"/>
      <c r="EWR42" s="191"/>
      <c r="EWS42" s="191"/>
      <c r="EWT42" s="191"/>
      <c r="EWU42" s="191"/>
      <c r="EWV42" s="191"/>
      <c r="EWW42" s="191"/>
      <c r="EWX42" s="191"/>
      <c r="EWY42" s="191"/>
      <c r="EWZ42" s="191"/>
      <c r="EXA42" s="191"/>
      <c r="EXB42" s="191"/>
      <c r="EXC42" s="191"/>
      <c r="EXD42" s="191"/>
      <c r="EXE42" s="191"/>
      <c r="EXF42" s="191"/>
      <c r="EXG42" s="191"/>
      <c r="EXH42" s="191"/>
      <c r="EXI42" s="191"/>
      <c r="EXJ42" s="191"/>
      <c r="EXK42" s="191"/>
      <c r="EXL42" s="191"/>
      <c r="EXM42" s="191"/>
      <c r="EXN42" s="191"/>
      <c r="EXO42" s="191"/>
      <c r="EXP42" s="191"/>
      <c r="EXQ42" s="191"/>
      <c r="EXR42" s="191"/>
      <c r="EXS42" s="191"/>
      <c r="EXT42" s="191"/>
      <c r="EXU42" s="191"/>
      <c r="EXV42" s="191"/>
      <c r="EXW42" s="191"/>
      <c r="EXX42" s="191"/>
      <c r="EXY42" s="191"/>
      <c r="EXZ42" s="191"/>
      <c r="EYA42" s="191"/>
      <c r="EYB42" s="191"/>
      <c r="EYC42" s="191"/>
      <c r="EYD42" s="191"/>
      <c r="EYE42" s="191"/>
      <c r="EYF42" s="191"/>
      <c r="EYG42" s="191"/>
      <c r="EYH42" s="191"/>
      <c r="EYI42" s="191"/>
      <c r="EYJ42" s="191"/>
      <c r="EYK42" s="191"/>
      <c r="EYL42" s="191"/>
      <c r="EYM42" s="191"/>
      <c r="EYN42" s="191"/>
      <c r="EYO42" s="191"/>
      <c r="EYP42" s="191"/>
      <c r="EYQ42" s="191"/>
      <c r="EYR42" s="191"/>
      <c r="EYS42" s="191"/>
      <c r="EYT42" s="191"/>
      <c r="EYU42" s="191"/>
      <c r="EYV42" s="191"/>
      <c r="EYW42" s="191"/>
      <c r="EYX42" s="191"/>
      <c r="EYY42" s="191"/>
      <c r="EYZ42" s="191"/>
      <c r="EZA42" s="191"/>
      <c r="EZB42" s="191"/>
      <c r="EZC42" s="191"/>
      <c r="EZD42" s="191"/>
      <c r="EZE42" s="191"/>
      <c r="EZF42" s="191"/>
      <c r="EZG42" s="191"/>
      <c r="EZH42" s="191"/>
      <c r="EZI42" s="191"/>
      <c r="EZJ42" s="191"/>
      <c r="EZK42" s="191"/>
      <c r="EZL42" s="191"/>
      <c r="EZM42" s="191"/>
      <c r="EZN42" s="191"/>
      <c r="EZO42" s="191"/>
      <c r="EZP42" s="191"/>
      <c r="EZQ42" s="191"/>
      <c r="EZR42" s="191"/>
      <c r="EZS42" s="191"/>
      <c r="EZT42" s="191"/>
      <c r="EZU42" s="191"/>
      <c r="EZV42" s="191"/>
      <c r="EZW42" s="191"/>
      <c r="EZX42" s="191"/>
      <c r="EZY42" s="191"/>
      <c r="EZZ42" s="191"/>
      <c r="FAA42" s="191"/>
      <c r="FAB42" s="191"/>
      <c r="FAC42" s="191"/>
      <c r="FAD42" s="191"/>
      <c r="FAE42" s="191"/>
      <c r="FAF42" s="191"/>
      <c r="FAG42" s="191"/>
      <c r="FAH42" s="191"/>
      <c r="FAI42" s="191"/>
      <c r="FAJ42" s="191"/>
      <c r="FAK42" s="191"/>
      <c r="FAL42" s="191"/>
      <c r="FAM42" s="191"/>
      <c r="FAN42" s="191"/>
      <c r="FAO42" s="191"/>
      <c r="FAP42" s="191"/>
      <c r="FAQ42" s="191"/>
      <c r="FAR42" s="191"/>
      <c r="FAS42" s="191"/>
      <c r="FAT42" s="191"/>
      <c r="FAU42" s="191"/>
      <c r="FAV42" s="191"/>
      <c r="FAW42" s="191"/>
      <c r="FAX42" s="191"/>
      <c r="FAY42" s="191"/>
      <c r="FAZ42" s="191"/>
      <c r="FBA42" s="191"/>
      <c r="FBB42" s="191"/>
      <c r="FBC42" s="191"/>
      <c r="FBD42" s="191"/>
      <c r="FBE42" s="191"/>
      <c r="FBF42" s="191"/>
      <c r="FBG42" s="191"/>
      <c r="FBH42" s="191"/>
      <c r="FBI42" s="191"/>
      <c r="FBJ42" s="191"/>
      <c r="FBK42" s="191"/>
      <c r="FBL42" s="191"/>
      <c r="FBM42" s="191"/>
      <c r="FBN42" s="191"/>
      <c r="FBO42" s="191"/>
      <c r="FBP42" s="191"/>
      <c r="FBQ42" s="191"/>
      <c r="FBR42" s="191"/>
      <c r="FBS42" s="191"/>
      <c r="FBT42" s="191"/>
      <c r="FBU42" s="191"/>
      <c r="FBV42" s="191"/>
      <c r="FBW42" s="191"/>
      <c r="FBX42" s="191"/>
      <c r="FBY42" s="191"/>
      <c r="FBZ42" s="191"/>
      <c r="FCA42" s="191"/>
      <c r="FCB42" s="191"/>
      <c r="FCC42" s="191"/>
      <c r="FCD42" s="191"/>
      <c r="FCE42" s="191"/>
      <c r="FCF42" s="191"/>
      <c r="FCG42" s="191"/>
      <c r="FCH42" s="191"/>
      <c r="FCI42" s="191"/>
      <c r="FCJ42" s="191"/>
      <c r="FCK42" s="191"/>
      <c r="FCL42" s="191"/>
      <c r="FCM42" s="191"/>
      <c r="FCN42" s="191"/>
      <c r="FCO42" s="191"/>
      <c r="FCP42" s="191"/>
      <c r="FCQ42" s="191"/>
      <c r="FCR42" s="191"/>
      <c r="FCS42" s="191"/>
      <c r="FCT42" s="191"/>
      <c r="FCU42" s="191"/>
      <c r="FCV42" s="191"/>
      <c r="FCW42" s="191"/>
      <c r="FCX42" s="191"/>
      <c r="FCY42" s="191"/>
      <c r="FCZ42" s="191"/>
      <c r="FDA42" s="191"/>
      <c r="FDB42" s="191"/>
      <c r="FDC42" s="191"/>
      <c r="FDD42" s="191"/>
      <c r="FDE42" s="191"/>
      <c r="FDF42" s="191"/>
      <c r="FDG42" s="191"/>
      <c r="FDH42" s="191"/>
      <c r="FDI42" s="191"/>
      <c r="FDJ42" s="191"/>
      <c r="FDK42" s="191"/>
      <c r="FDL42" s="191"/>
      <c r="FDM42" s="191"/>
      <c r="FDN42" s="191"/>
      <c r="FDO42" s="191"/>
      <c r="FDP42" s="191"/>
      <c r="FDQ42" s="191"/>
      <c r="FDR42" s="191"/>
      <c r="FDS42" s="191"/>
      <c r="FDT42" s="191"/>
      <c r="FDU42" s="191"/>
      <c r="FDV42" s="191"/>
      <c r="FDW42" s="191"/>
      <c r="FDX42" s="191"/>
      <c r="FDY42" s="191"/>
      <c r="FDZ42" s="191"/>
      <c r="FEA42" s="191"/>
      <c r="FEB42" s="191"/>
      <c r="FEC42" s="191"/>
      <c r="FED42" s="191"/>
      <c r="FEE42" s="191"/>
      <c r="FEF42" s="191"/>
      <c r="FEG42" s="191"/>
      <c r="FEH42" s="191"/>
      <c r="FEI42" s="191"/>
      <c r="FEJ42" s="191"/>
      <c r="FEK42" s="191"/>
      <c r="FEL42" s="191"/>
      <c r="FEM42" s="191"/>
      <c r="FEN42" s="191"/>
      <c r="FEO42" s="191"/>
      <c r="FEP42" s="191"/>
      <c r="FEQ42" s="191"/>
      <c r="FER42" s="191"/>
      <c r="FES42" s="191"/>
      <c r="FET42" s="191"/>
      <c r="FEU42" s="191"/>
      <c r="FEV42" s="191"/>
      <c r="FEW42" s="191"/>
      <c r="FEX42" s="191"/>
      <c r="FEY42" s="191"/>
      <c r="FEZ42" s="191"/>
      <c r="FFA42" s="191"/>
      <c r="FFB42" s="191"/>
      <c r="FFC42" s="191"/>
      <c r="FFD42" s="191"/>
      <c r="FFE42" s="191"/>
      <c r="FFF42" s="191"/>
      <c r="FFG42" s="191"/>
      <c r="FFH42" s="191"/>
      <c r="FFI42" s="191"/>
      <c r="FFJ42" s="191"/>
      <c r="FFK42" s="191"/>
      <c r="FFL42" s="191"/>
      <c r="FFM42" s="191"/>
      <c r="FFN42" s="191"/>
      <c r="FFO42" s="191"/>
      <c r="FFP42" s="191"/>
      <c r="FFQ42" s="191"/>
      <c r="FFR42" s="191"/>
      <c r="FFS42" s="191"/>
      <c r="FFT42" s="191"/>
      <c r="FFU42" s="191"/>
      <c r="FFV42" s="191"/>
      <c r="FFW42" s="191"/>
      <c r="FFX42" s="191"/>
      <c r="FFY42" s="191"/>
      <c r="FFZ42" s="191"/>
      <c r="FGA42" s="191"/>
      <c r="FGB42" s="191"/>
      <c r="FGC42" s="191"/>
      <c r="FGD42" s="191"/>
      <c r="FGE42" s="191"/>
      <c r="FGF42" s="191"/>
      <c r="FGG42" s="191"/>
      <c r="FGH42" s="191"/>
      <c r="FGI42" s="191"/>
      <c r="FGJ42" s="191"/>
      <c r="FGK42" s="191"/>
      <c r="FGL42" s="191"/>
      <c r="FGM42" s="191"/>
      <c r="FGN42" s="191"/>
      <c r="FGO42" s="191"/>
      <c r="FGP42" s="191"/>
      <c r="FGQ42" s="191"/>
      <c r="FGR42" s="191"/>
      <c r="FGS42" s="191"/>
      <c r="FGT42" s="191"/>
      <c r="FGU42" s="191"/>
      <c r="FGV42" s="191"/>
      <c r="FGW42" s="191"/>
      <c r="FGX42" s="191"/>
      <c r="FGY42" s="191"/>
      <c r="FGZ42" s="191"/>
      <c r="FHA42" s="191"/>
      <c r="FHB42" s="191"/>
      <c r="FHC42" s="191"/>
      <c r="FHD42" s="191"/>
      <c r="FHE42" s="191"/>
      <c r="FHF42" s="191"/>
      <c r="FHG42" s="191"/>
      <c r="FHH42" s="191"/>
      <c r="FHI42" s="191"/>
      <c r="FHJ42" s="191"/>
      <c r="FHK42" s="191"/>
      <c r="FHL42" s="191"/>
      <c r="FHM42" s="191"/>
      <c r="FHN42" s="191"/>
      <c r="FHO42" s="191"/>
      <c r="FHP42" s="191"/>
      <c r="FHQ42" s="191"/>
      <c r="FHR42" s="191"/>
      <c r="FHS42" s="191"/>
      <c r="FHT42" s="191"/>
      <c r="FHU42" s="191"/>
      <c r="FHV42" s="191"/>
      <c r="FHW42" s="191"/>
      <c r="FHX42" s="191"/>
      <c r="FHY42" s="191"/>
      <c r="FHZ42" s="191"/>
      <c r="FIA42" s="191"/>
      <c r="FIB42" s="191"/>
      <c r="FIC42" s="191"/>
      <c r="FID42" s="191"/>
      <c r="FIE42" s="191"/>
      <c r="FIF42" s="191"/>
      <c r="FIG42" s="191"/>
      <c r="FIH42" s="191"/>
      <c r="FII42" s="191"/>
      <c r="FIJ42" s="191"/>
      <c r="FIK42" s="191"/>
      <c r="FIL42" s="191"/>
      <c r="FIM42" s="191"/>
      <c r="FIN42" s="191"/>
      <c r="FIO42" s="191"/>
      <c r="FIP42" s="191"/>
      <c r="FIQ42" s="191"/>
      <c r="FIR42" s="191"/>
      <c r="FIS42" s="191"/>
      <c r="FIT42" s="191"/>
      <c r="FIU42" s="191"/>
      <c r="FIV42" s="191"/>
      <c r="FIW42" s="191"/>
      <c r="FIX42" s="191"/>
      <c r="FIY42" s="191"/>
      <c r="FIZ42" s="191"/>
      <c r="FJA42" s="191"/>
      <c r="FJB42" s="191"/>
      <c r="FJC42" s="191"/>
      <c r="FJD42" s="191"/>
      <c r="FJE42" s="191"/>
      <c r="FJF42" s="191"/>
      <c r="FJG42" s="191"/>
      <c r="FJH42" s="191"/>
      <c r="FJI42" s="191"/>
      <c r="FJJ42" s="191"/>
      <c r="FJK42" s="191"/>
      <c r="FJL42" s="191"/>
      <c r="FJM42" s="191"/>
      <c r="FJN42" s="191"/>
      <c r="FJO42" s="191"/>
      <c r="FJP42" s="191"/>
      <c r="FJQ42" s="191"/>
      <c r="FJR42" s="191"/>
      <c r="FJS42" s="191"/>
      <c r="FJT42" s="191"/>
      <c r="FJU42" s="191"/>
      <c r="FJV42" s="191"/>
      <c r="FJW42" s="191"/>
      <c r="FJX42" s="191"/>
      <c r="FJY42" s="191"/>
      <c r="FJZ42" s="191"/>
      <c r="FKA42" s="191"/>
      <c r="FKB42" s="191"/>
      <c r="FKC42" s="191"/>
      <c r="FKD42" s="191"/>
      <c r="FKE42" s="191"/>
      <c r="FKF42" s="191"/>
      <c r="FKG42" s="191"/>
      <c r="FKH42" s="191"/>
      <c r="FKI42" s="191"/>
      <c r="FKJ42" s="191"/>
      <c r="FKK42" s="191"/>
      <c r="FKL42" s="191"/>
      <c r="FKM42" s="191"/>
      <c r="FKN42" s="191"/>
      <c r="FKO42" s="191"/>
      <c r="FKP42" s="191"/>
      <c r="FKQ42" s="191"/>
      <c r="FKR42" s="191"/>
      <c r="FKS42" s="191"/>
      <c r="FKT42" s="191"/>
      <c r="FKU42" s="191"/>
      <c r="FKV42" s="191"/>
      <c r="FKW42" s="191"/>
      <c r="FKX42" s="191"/>
      <c r="FKY42" s="191"/>
      <c r="FKZ42" s="191"/>
      <c r="FLA42" s="191"/>
      <c r="FLB42" s="191"/>
      <c r="FLC42" s="191"/>
      <c r="FLD42" s="191"/>
      <c r="FLE42" s="191"/>
      <c r="FLF42" s="191"/>
      <c r="FLG42" s="191"/>
      <c r="FLH42" s="191"/>
      <c r="FLI42" s="191"/>
      <c r="FLJ42" s="191"/>
      <c r="FLK42" s="191"/>
      <c r="FLL42" s="191"/>
      <c r="FLM42" s="191"/>
      <c r="FLN42" s="191"/>
      <c r="FLO42" s="191"/>
      <c r="FLP42" s="191"/>
      <c r="FLQ42" s="191"/>
      <c r="FLR42" s="191"/>
      <c r="FLS42" s="191"/>
      <c r="FLT42" s="191"/>
      <c r="FLU42" s="191"/>
      <c r="FLV42" s="191"/>
      <c r="FLW42" s="191"/>
      <c r="FLX42" s="191"/>
      <c r="FLY42" s="191"/>
      <c r="FLZ42" s="191"/>
      <c r="FMA42" s="191"/>
      <c r="FMB42" s="191"/>
      <c r="FMC42" s="191"/>
      <c r="FMD42" s="191"/>
      <c r="FME42" s="191"/>
      <c r="FMF42" s="191"/>
      <c r="FMG42" s="191"/>
      <c r="FMH42" s="191"/>
      <c r="FMI42" s="191"/>
      <c r="FMJ42" s="191"/>
      <c r="FMK42" s="191"/>
      <c r="FML42" s="191"/>
      <c r="FMM42" s="191"/>
      <c r="FMN42" s="191"/>
      <c r="FMO42" s="191"/>
      <c r="FMP42" s="191"/>
      <c r="FMQ42" s="191"/>
      <c r="FMR42" s="191"/>
      <c r="FMS42" s="191"/>
      <c r="FMT42" s="191"/>
      <c r="FMU42" s="191"/>
      <c r="FMV42" s="191"/>
      <c r="FMW42" s="191"/>
      <c r="FMX42" s="191"/>
      <c r="FMY42" s="191"/>
      <c r="FMZ42" s="191"/>
      <c r="FNA42" s="191"/>
      <c r="FNB42" s="191"/>
      <c r="FNC42" s="191"/>
      <c r="FND42" s="191"/>
      <c r="FNE42" s="191"/>
      <c r="FNF42" s="191"/>
      <c r="FNG42" s="191"/>
      <c r="FNH42" s="191"/>
      <c r="FNI42" s="191"/>
      <c r="FNJ42" s="191"/>
      <c r="FNK42" s="191"/>
      <c r="FNL42" s="191"/>
      <c r="FNM42" s="191"/>
      <c r="FNN42" s="191"/>
      <c r="FNO42" s="191"/>
      <c r="FNP42" s="191"/>
      <c r="FNQ42" s="191"/>
      <c r="FNR42" s="191"/>
      <c r="FNS42" s="191"/>
      <c r="FNT42" s="191"/>
      <c r="FNU42" s="191"/>
      <c r="FNV42" s="191"/>
      <c r="FNW42" s="191"/>
      <c r="FNX42" s="191"/>
      <c r="FNY42" s="191"/>
      <c r="FNZ42" s="191"/>
      <c r="FOA42" s="191"/>
      <c r="FOB42" s="191"/>
      <c r="FOC42" s="191"/>
      <c r="FOD42" s="191"/>
      <c r="FOE42" s="191"/>
      <c r="FOF42" s="191"/>
      <c r="FOG42" s="191"/>
      <c r="FOH42" s="191"/>
      <c r="FOI42" s="191"/>
      <c r="FOJ42" s="191"/>
      <c r="FOK42" s="191"/>
      <c r="FOL42" s="191"/>
      <c r="FOM42" s="191"/>
      <c r="FON42" s="191"/>
      <c r="FOO42" s="191"/>
      <c r="FOP42" s="191"/>
      <c r="FOQ42" s="191"/>
      <c r="FOR42" s="191"/>
      <c r="FOS42" s="191"/>
      <c r="FOT42" s="191"/>
      <c r="FOU42" s="191"/>
      <c r="FOV42" s="191"/>
      <c r="FOW42" s="191"/>
      <c r="FOX42" s="191"/>
      <c r="FOY42" s="191"/>
      <c r="FOZ42" s="191"/>
      <c r="FPA42" s="191"/>
      <c r="FPB42" s="191"/>
      <c r="FPC42" s="191"/>
      <c r="FPD42" s="191"/>
      <c r="FPE42" s="191"/>
      <c r="FPF42" s="191"/>
      <c r="FPG42" s="191"/>
      <c r="FPH42" s="191"/>
      <c r="FPI42" s="191"/>
      <c r="FPJ42" s="191"/>
      <c r="FPK42" s="191"/>
      <c r="FPL42" s="191"/>
      <c r="FPM42" s="191"/>
      <c r="FPN42" s="191"/>
      <c r="FPO42" s="191"/>
      <c r="FPP42" s="191"/>
      <c r="FPQ42" s="191"/>
      <c r="FPR42" s="191"/>
      <c r="FPS42" s="191"/>
      <c r="FPT42" s="191"/>
      <c r="FPU42" s="191"/>
      <c r="FPV42" s="191"/>
      <c r="FPW42" s="191"/>
      <c r="FPX42" s="191"/>
      <c r="FPY42" s="191"/>
      <c r="FPZ42" s="191"/>
      <c r="FQA42" s="191"/>
      <c r="FQB42" s="191"/>
      <c r="FQC42" s="191"/>
      <c r="FQD42" s="191"/>
      <c r="FQE42" s="191"/>
      <c r="FQF42" s="191"/>
      <c r="FQG42" s="191"/>
      <c r="FQH42" s="191"/>
      <c r="FQI42" s="191"/>
      <c r="FQJ42" s="191"/>
      <c r="FQK42" s="191"/>
      <c r="FQL42" s="191"/>
      <c r="FQM42" s="191"/>
      <c r="FQN42" s="191"/>
      <c r="FQO42" s="191"/>
      <c r="FQP42" s="191"/>
      <c r="FQQ42" s="191"/>
      <c r="FQR42" s="191"/>
      <c r="FQS42" s="191"/>
      <c r="FQT42" s="191"/>
      <c r="FQU42" s="191"/>
      <c r="FQV42" s="191"/>
      <c r="FQW42" s="191"/>
      <c r="FQX42" s="191"/>
      <c r="FQY42" s="191"/>
      <c r="FQZ42" s="191"/>
      <c r="FRA42" s="191"/>
      <c r="FRB42" s="191"/>
      <c r="FRC42" s="191"/>
      <c r="FRD42" s="191"/>
      <c r="FRE42" s="191"/>
      <c r="FRF42" s="191"/>
      <c r="FRG42" s="191"/>
      <c r="FRH42" s="191"/>
      <c r="FRI42" s="191"/>
      <c r="FRJ42" s="191"/>
      <c r="FRK42" s="191"/>
      <c r="FRL42" s="191"/>
      <c r="FRM42" s="191"/>
      <c r="FRN42" s="191"/>
      <c r="FRO42" s="191"/>
      <c r="FRP42" s="191"/>
      <c r="FRQ42" s="191"/>
      <c r="FRR42" s="191"/>
      <c r="FRS42" s="191"/>
      <c r="FRT42" s="191"/>
      <c r="FRU42" s="191"/>
      <c r="FRV42" s="191"/>
      <c r="FRW42" s="191"/>
      <c r="FRX42" s="191"/>
      <c r="FRY42" s="191"/>
      <c r="FRZ42" s="191"/>
      <c r="FSA42" s="191"/>
      <c r="FSB42" s="191"/>
      <c r="FSC42" s="191"/>
      <c r="FSD42" s="191"/>
      <c r="FSE42" s="191"/>
      <c r="FSF42" s="191"/>
      <c r="FSG42" s="191"/>
      <c r="FSH42" s="191"/>
      <c r="FSI42" s="191"/>
      <c r="FSJ42" s="191"/>
      <c r="FSK42" s="191"/>
      <c r="FSL42" s="191"/>
      <c r="FSM42" s="191"/>
      <c r="FSN42" s="191"/>
      <c r="FSO42" s="191"/>
      <c r="FSP42" s="191"/>
      <c r="FSQ42" s="191"/>
      <c r="FSR42" s="191"/>
      <c r="FSS42" s="191"/>
      <c r="FST42" s="191"/>
      <c r="FSU42" s="191"/>
      <c r="FSV42" s="191"/>
      <c r="FSW42" s="191"/>
      <c r="FSX42" s="191"/>
      <c r="FSY42" s="191"/>
      <c r="FSZ42" s="191"/>
      <c r="FTA42" s="191"/>
      <c r="FTB42" s="191"/>
      <c r="FTC42" s="191"/>
      <c r="FTD42" s="191"/>
      <c r="FTE42" s="191"/>
      <c r="FTF42" s="191"/>
      <c r="FTG42" s="191"/>
      <c r="FTH42" s="191"/>
      <c r="FTI42" s="191"/>
      <c r="FTJ42" s="191"/>
      <c r="FTK42" s="191"/>
      <c r="FTL42" s="191"/>
      <c r="FTM42" s="191"/>
      <c r="FTN42" s="191"/>
      <c r="FTO42" s="191"/>
      <c r="FTP42" s="191"/>
      <c r="FTQ42" s="191"/>
      <c r="FTR42" s="191"/>
      <c r="FTS42" s="191"/>
      <c r="FTT42" s="191"/>
      <c r="FTU42" s="191"/>
      <c r="FTV42" s="191"/>
      <c r="FTW42" s="191"/>
      <c r="FTX42" s="191"/>
      <c r="FTY42" s="191"/>
      <c r="FTZ42" s="191"/>
      <c r="FUA42" s="191"/>
      <c r="FUB42" s="191"/>
      <c r="FUC42" s="191"/>
      <c r="FUD42" s="191"/>
      <c r="FUE42" s="191"/>
      <c r="FUF42" s="191"/>
      <c r="FUG42" s="191"/>
      <c r="FUH42" s="191"/>
      <c r="FUI42" s="191"/>
      <c r="FUJ42" s="191"/>
      <c r="FUK42" s="191"/>
      <c r="FUL42" s="191"/>
      <c r="FUM42" s="191"/>
      <c r="FUN42" s="191"/>
      <c r="FUO42" s="191"/>
      <c r="FUP42" s="191"/>
      <c r="FUQ42" s="191"/>
      <c r="FUR42" s="191"/>
      <c r="FUS42" s="191"/>
      <c r="FUT42" s="191"/>
      <c r="FUU42" s="191"/>
      <c r="FUV42" s="191"/>
      <c r="FUW42" s="191"/>
      <c r="FUX42" s="191"/>
      <c r="FUY42" s="191"/>
      <c r="FUZ42" s="191"/>
      <c r="FVA42" s="191"/>
      <c r="FVB42" s="191"/>
      <c r="FVC42" s="191"/>
      <c r="FVD42" s="191"/>
      <c r="FVE42" s="191"/>
      <c r="FVF42" s="191"/>
      <c r="FVG42" s="191"/>
      <c r="FVH42" s="191"/>
      <c r="FVI42" s="191"/>
      <c r="FVJ42" s="191"/>
      <c r="FVK42" s="191"/>
      <c r="FVL42" s="191"/>
      <c r="FVM42" s="191"/>
      <c r="FVN42" s="191"/>
      <c r="FVO42" s="191"/>
      <c r="FVP42" s="191"/>
      <c r="FVQ42" s="191"/>
      <c r="FVR42" s="191"/>
      <c r="FVS42" s="191"/>
      <c r="FVT42" s="191"/>
      <c r="FVU42" s="191"/>
      <c r="FVV42" s="191"/>
      <c r="FVW42" s="191"/>
      <c r="FVX42" s="191"/>
      <c r="FVY42" s="191"/>
      <c r="FVZ42" s="191"/>
      <c r="FWA42" s="191"/>
      <c r="FWB42" s="191"/>
      <c r="FWC42" s="191"/>
      <c r="FWD42" s="191"/>
      <c r="FWE42" s="191"/>
      <c r="FWF42" s="191"/>
      <c r="FWG42" s="191"/>
      <c r="FWH42" s="191"/>
      <c r="FWI42" s="191"/>
      <c r="FWJ42" s="191"/>
      <c r="FWK42" s="191"/>
      <c r="FWL42" s="191"/>
      <c r="FWM42" s="191"/>
      <c r="FWN42" s="191"/>
      <c r="FWO42" s="191"/>
      <c r="FWP42" s="191"/>
      <c r="FWQ42" s="191"/>
      <c r="FWR42" s="191"/>
      <c r="FWS42" s="191"/>
      <c r="FWT42" s="191"/>
      <c r="FWU42" s="191"/>
      <c r="FWV42" s="191"/>
      <c r="FWW42" s="191"/>
      <c r="FWX42" s="191"/>
      <c r="FWY42" s="191"/>
      <c r="FWZ42" s="191"/>
      <c r="FXA42" s="191"/>
      <c r="FXB42" s="191"/>
      <c r="FXC42" s="191"/>
      <c r="FXD42" s="191"/>
      <c r="FXE42" s="191"/>
      <c r="FXF42" s="191"/>
      <c r="FXG42" s="191"/>
      <c r="FXH42" s="191"/>
      <c r="FXI42" s="191"/>
      <c r="FXJ42" s="191"/>
      <c r="FXK42" s="191"/>
      <c r="FXL42" s="191"/>
      <c r="FXM42" s="191"/>
      <c r="FXN42" s="191"/>
      <c r="FXO42" s="191"/>
      <c r="FXP42" s="191"/>
      <c r="FXQ42" s="191"/>
      <c r="FXR42" s="191"/>
      <c r="FXS42" s="191"/>
      <c r="FXT42" s="191"/>
      <c r="FXU42" s="191"/>
      <c r="FXV42" s="191"/>
      <c r="FXW42" s="191"/>
      <c r="FXX42" s="191"/>
      <c r="FXY42" s="191"/>
      <c r="FXZ42" s="191"/>
      <c r="FYA42" s="191"/>
      <c r="FYB42" s="191"/>
      <c r="FYC42" s="191"/>
      <c r="FYD42" s="191"/>
      <c r="FYE42" s="191"/>
      <c r="FYF42" s="191"/>
      <c r="FYG42" s="191"/>
      <c r="FYH42" s="191"/>
      <c r="FYI42" s="191"/>
      <c r="FYJ42" s="191"/>
      <c r="FYK42" s="191"/>
      <c r="FYL42" s="191"/>
      <c r="FYM42" s="191"/>
      <c r="FYN42" s="191"/>
      <c r="FYO42" s="191"/>
      <c r="FYP42" s="191"/>
      <c r="FYQ42" s="191"/>
      <c r="FYR42" s="191"/>
      <c r="FYS42" s="191"/>
      <c r="FYT42" s="191"/>
      <c r="FYU42" s="191"/>
      <c r="FYV42" s="191"/>
      <c r="FYW42" s="191"/>
      <c r="FYX42" s="191"/>
      <c r="FYY42" s="191"/>
      <c r="FYZ42" s="191"/>
      <c r="FZA42" s="191"/>
      <c r="FZB42" s="191"/>
      <c r="FZC42" s="191"/>
      <c r="FZD42" s="191"/>
      <c r="FZE42" s="191"/>
      <c r="FZF42" s="191"/>
      <c r="FZG42" s="191"/>
      <c r="FZH42" s="191"/>
      <c r="FZI42" s="191"/>
      <c r="FZJ42" s="191"/>
      <c r="FZK42" s="191"/>
      <c r="FZL42" s="191"/>
      <c r="FZM42" s="191"/>
      <c r="FZN42" s="191"/>
      <c r="FZO42" s="191"/>
      <c r="FZP42" s="191"/>
      <c r="FZQ42" s="191"/>
      <c r="FZR42" s="191"/>
      <c r="FZS42" s="191"/>
      <c r="FZT42" s="191"/>
      <c r="FZU42" s="191"/>
      <c r="FZV42" s="191"/>
      <c r="FZW42" s="191"/>
      <c r="FZX42" s="191"/>
      <c r="FZY42" s="191"/>
      <c r="FZZ42" s="191"/>
      <c r="GAA42" s="191"/>
      <c r="GAB42" s="191"/>
      <c r="GAC42" s="191"/>
      <c r="GAD42" s="191"/>
      <c r="GAE42" s="191"/>
      <c r="GAF42" s="191"/>
      <c r="GAG42" s="191"/>
      <c r="GAH42" s="191"/>
      <c r="GAI42" s="191"/>
      <c r="GAJ42" s="191"/>
      <c r="GAK42" s="191"/>
      <c r="GAL42" s="191"/>
      <c r="GAM42" s="191"/>
      <c r="GAN42" s="191"/>
      <c r="GAO42" s="191"/>
      <c r="GAP42" s="191"/>
      <c r="GAQ42" s="191"/>
      <c r="GAR42" s="191"/>
      <c r="GAS42" s="191"/>
      <c r="GAT42" s="191"/>
      <c r="GAU42" s="191"/>
      <c r="GAV42" s="191"/>
      <c r="GAW42" s="191"/>
      <c r="GAX42" s="191"/>
      <c r="GAY42" s="191"/>
      <c r="GAZ42" s="191"/>
      <c r="GBA42" s="191"/>
      <c r="GBB42" s="191"/>
      <c r="GBC42" s="191"/>
      <c r="GBD42" s="191"/>
      <c r="GBE42" s="191"/>
      <c r="GBF42" s="191"/>
      <c r="GBG42" s="191"/>
      <c r="GBH42" s="191"/>
      <c r="GBI42" s="191"/>
      <c r="GBJ42" s="191"/>
      <c r="GBK42" s="191"/>
      <c r="GBL42" s="191"/>
      <c r="GBM42" s="191"/>
      <c r="GBN42" s="191"/>
      <c r="GBO42" s="191"/>
      <c r="GBP42" s="191"/>
      <c r="GBQ42" s="191"/>
      <c r="GBR42" s="191"/>
      <c r="GBS42" s="191"/>
      <c r="GBT42" s="191"/>
      <c r="GBU42" s="191"/>
      <c r="GBV42" s="191"/>
      <c r="GBW42" s="191"/>
      <c r="GBX42" s="191"/>
      <c r="GBY42" s="191"/>
      <c r="GBZ42" s="191"/>
      <c r="GCA42" s="191"/>
      <c r="GCB42" s="191"/>
      <c r="GCC42" s="191"/>
      <c r="GCD42" s="191"/>
      <c r="GCE42" s="191"/>
      <c r="GCF42" s="191"/>
      <c r="GCG42" s="191"/>
      <c r="GCH42" s="191"/>
      <c r="GCI42" s="191"/>
      <c r="GCJ42" s="191"/>
      <c r="GCK42" s="191"/>
      <c r="GCL42" s="191"/>
      <c r="GCM42" s="191"/>
      <c r="GCN42" s="191"/>
      <c r="GCO42" s="191"/>
      <c r="GCP42" s="191"/>
      <c r="GCQ42" s="191"/>
      <c r="GCR42" s="191"/>
      <c r="GCS42" s="191"/>
      <c r="GCT42" s="191"/>
      <c r="GCU42" s="191"/>
      <c r="GCV42" s="191"/>
      <c r="GCW42" s="191"/>
      <c r="GCX42" s="191"/>
      <c r="GCY42" s="191"/>
      <c r="GCZ42" s="191"/>
      <c r="GDA42" s="191"/>
      <c r="GDB42" s="191"/>
      <c r="GDC42" s="191"/>
      <c r="GDD42" s="191"/>
      <c r="GDE42" s="191"/>
      <c r="GDF42" s="191"/>
      <c r="GDG42" s="191"/>
      <c r="GDH42" s="191"/>
      <c r="GDI42" s="191"/>
      <c r="GDJ42" s="191"/>
      <c r="GDK42" s="191"/>
      <c r="GDL42" s="191"/>
      <c r="GDM42" s="191"/>
      <c r="GDN42" s="191"/>
      <c r="GDO42" s="191"/>
      <c r="GDP42" s="191"/>
      <c r="GDQ42" s="191"/>
      <c r="GDR42" s="191"/>
      <c r="GDS42" s="191"/>
      <c r="GDT42" s="191"/>
      <c r="GDU42" s="191"/>
      <c r="GDV42" s="191"/>
      <c r="GDW42" s="191"/>
      <c r="GDX42" s="191"/>
      <c r="GDY42" s="191"/>
      <c r="GDZ42" s="191"/>
      <c r="GEA42" s="191"/>
      <c r="GEB42" s="191"/>
      <c r="GEC42" s="191"/>
      <c r="GED42" s="191"/>
      <c r="GEE42" s="191"/>
      <c r="GEF42" s="191"/>
      <c r="GEG42" s="191"/>
      <c r="GEH42" s="191"/>
      <c r="GEI42" s="191"/>
      <c r="GEJ42" s="191"/>
      <c r="GEK42" s="191"/>
      <c r="GEL42" s="191"/>
      <c r="GEM42" s="191"/>
      <c r="GEN42" s="191"/>
      <c r="GEO42" s="191"/>
      <c r="GEP42" s="191"/>
      <c r="GEQ42" s="191"/>
      <c r="GER42" s="191"/>
      <c r="GES42" s="191"/>
      <c r="GET42" s="191"/>
      <c r="GEU42" s="191"/>
      <c r="GEV42" s="191"/>
      <c r="GEW42" s="191"/>
      <c r="GEX42" s="191"/>
      <c r="GEY42" s="191"/>
      <c r="GEZ42" s="191"/>
      <c r="GFA42" s="191"/>
      <c r="GFB42" s="191"/>
      <c r="GFC42" s="191"/>
      <c r="GFD42" s="191"/>
      <c r="GFE42" s="191"/>
      <c r="GFF42" s="191"/>
      <c r="GFG42" s="191"/>
      <c r="GFH42" s="191"/>
      <c r="GFI42" s="191"/>
      <c r="GFJ42" s="191"/>
      <c r="GFK42" s="191"/>
      <c r="GFL42" s="191"/>
      <c r="GFM42" s="191"/>
      <c r="GFN42" s="191"/>
      <c r="GFO42" s="191"/>
      <c r="GFP42" s="191"/>
      <c r="GFQ42" s="191"/>
      <c r="GFR42" s="191"/>
      <c r="GFS42" s="191"/>
      <c r="GFT42" s="191"/>
      <c r="GFU42" s="191"/>
      <c r="GFV42" s="191"/>
      <c r="GFW42" s="191"/>
      <c r="GFX42" s="191"/>
      <c r="GFY42" s="191"/>
      <c r="GFZ42" s="191"/>
      <c r="GGA42" s="191"/>
      <c r="GGB42" s="191"/>
      <c r="GGC42" s="191"/>
      <c r="GGD42" s="191"/>
      <c r="GGE42" s="191"/>
      <c r="GGF42" s="191"/>
      <c r="GGG42" s="191"/>
      <c r="GGH42" s="191"/>
      <c r="GGI42" s="191"/>
      <c r="GGJ42" s="191"/>
      <c r="GGK42" s="191"/>
      <c r="GGL42" s="191"/>
      <c r="GGM42" s="191"/>
      <c r="GGN42" s="191"/>
      <c r="GGO42" s="191"/>
      <c r="GGP42" s="191"/>
      <c r="GGQ42" s="191"/>
      <c r="GGR42" s="191"/>
      <c r="GGS42" s="191"/>
      <c r="GGT42" s="191"/>
      <c r="GGU42" s="191"/>
      <c r="GGV42" s="191"/>
      <c r="GGW42" s="191"/>
      <c r="GGX42" s="191"/>
      <c r="GGY42" s="191"/>
      <c r="GGZ42" s="191"/>
      <c r="GHA42" s="191"/>
      <c r="GHB42" s="191"/>
      <c r="GHC42" s="191"/>
      <c r="GHD42" s="191"/>
      <c r="GHE42" s="191"/>
      <c r="GHF42" s="191"/>
      <c r="GHG42" s="191"/>
      <c r="GHH42" s="191"/>
      <c r="GHI42" s="191"/>
      <c r="GHJ42" s="191"/>
      <c r="GHK42" s="191"/>
      <c r="GHL42" s="191"/>
      <c r="GHM42" s="191"/>
      <c r="GHN42" s="191"/>
      <c r="GHO42" s="191"/>
      <c r="GHP42" s="191"/>
      <c r="GHQ42" s="191"/>
      <c r="GHR42" s="191"/>
      <c r="GHS42" s="191"/>
      <c r="GHT42" s="191"/>
      <c r="GHU42" s="191"/>
      <c r="GHV42" s="191"/>
      <c r="GHW42" s="191"/>
      <c r="GHX42" s="191"/>
      <c r="GHY42" s="191"/>
      <c r="GHZ42" s="191"/>
      <c r="GIA42" s="191"/>
      <c r="GIB42" s="191"/>
      <c r="GIC42" s="191"/>
      <c r="GID42" s="191"/>
      <c r="GIE42" s="191"/>
      <c r="GIF42" s="191"/>
      <c r="GIG42" s="191"/>
      <c r="GIH42" s="191"/>
      <c r="GII42" s="191"/>
      <c r="GIJ42" s="191"/>
      <c r="GIK42" s="191"/>
      <c r="GIL42" s="191"/>
      <c r="GIM42" s="191"/>
      <c r="GIN42" s="191"/>
      <c r="GIO42" s="191"/>
      <c r="GIP42" s="191"/>
      <c r="GIQ42" s="191"/>
      <c r="GIR42" s="191"/>
      <c r="GIS42" s="191"/>
      <c r="GIT42" s="191"/>
      <c r="GIU42" s="191"/>
      <c r="GIV42" s="191"/>
      <c r="GIW42" s="191"/>
      <c r="GIX42" s="191"/>
      <c r="GIY42" s="191"/>
      <c r="GIZ42" s="191"/>
      <c r="GJA42" s="191"/>
      <c r="GJB42" s="191"/>
      <c r="GJC42" s="191"/>
      <c r="GJD42" s="191"/>
      <c r="GJE42" s="191"/>
      <c r="GJF42" s="191"/>
      <c r="GJG42" s="191"/>
      <c r="GJH42" s="191"/>
      <c r="GJI42" s="191"/>
      <c r="GJJ42" s="191"/>
      <c r="GJK42" s="191"/>
      <c r="GJL42" s="191"/>
      <c r="GJM42" s="191"/>
      <c r="GJN42" s="191"/>
      <c r="GJO42" s="191"/>
      <c r="GJP42" s="191"/>
      <c r="GJQ42" s="191"/>
      <c r="GJR42" s="191"/>
      <c r="GJS42" s="191"/>
      <c r="GJT42" s="191"/>
      <c r="GJU42" s="191"/>
      <c r="GJV42" s="191"/>
      <c r="GJW42" s="191"/>
      <c r="GJX42" s="191"/>
      <c r="GJY42" s="191"/>
      <c r="GJZ42" s="191"/>
      <c r="GKA42" s="191"/>
      <c r="GKB42" s="191"/>
      <c r="GKC42" s="191"/>
      <c r="GKD42" s="191"/>
      <c r="GKE42" s="191"/>
      <c r="GKF42" s="191"/>
      <c r="GKG42" s="191"/>
      <c r="GKH42" s="191"/>
      <c r="GKI42" s="191"/>
      <c r="GKJ42" s="191"/>
      <c r="GKK42" s="191"/>
      <c r="GKL42" s="191"/>
      <c r="GKM42" s="191"/>
      <c r="GKN42" s="191"/>
      <c r="GKO42" s="191"/>
      <c r="GKP42" s="191"/>
      <c r="GKQ42" s="191"/>
      <c r="GKR42" s="191"/>
      <c r="GKS42" s="191"/>
      <c r="GKT42" s="191"/>
      <c r="GKU42" s="191"/>
      <c r="GKV42" s="191"/>
      <c r="GKW42" s="191"/>
      <c r="GKX42" s="191"/>
      <c r="GKY42" s="191"/>
      <c r="GKZ42" s="191"/>
      <c r="GLA42" s="191"/>
      <c r="GLB42" s="191"/>
      <c r="GLC42" s="191"/>
      <c r="GLD42" s="191"/>
      <c r="GLE42" s="191"/>
      <c r="GLF42" s="191"/>
      <c r="GLG42" s="191"/>
      <c r="GLH42" s="191"/>
      <c r="GLI42" s="191"/>
      <c r="GLJ42" s="191"/>
      <c r="GLK42" s="191"/>
      <c r="GLL42" s="191"/>
      <c r="GLM42" s="191"/>
      <c r="GLN42" s="191"/>
      <c r="GLO42" s="191"/>
      <c r="GLP42" s="191"/>
      <c r="GLQ42" s="191"/>
      <c r="GLR42" s="191"/>
      <c r="GLS42" s="191"/>
      <c r="GLT42" s="191"/>
      <c r="GLU42" s="191"/>
      <c r="GLV42" s="191"/>
      <c r="GLW42" s="191"/>
      <c r="GLX42" s="191"/>
      <c r="GLY42" s="191"/>
      <c r="GLZ42" s="191"/>
      <c r="GMA42" s="191"/>
      <c r="GMB42" s="191"/>
      <c r="GMC42" s="191"/>
      <c r="GMD42" s="191"/>
      <c r="GME42" s="191"/>
      <c r="GMF42" s="191"/>
      <c r="GMG42" s="191"/>
      <c r="GMH42" s="191"/>
      <c r="GMI42" s="191"/>
      <c r="GMJ42" s="191"/>
      <c r="GMK42" s="191"/>
      <c r="GML42" s="191"/>
      <c r="GMM42" s="191"/>
      <c r="GMN42" s="191"/>
      <c r="GMO42" s="191"/>
      <c r="GMP42" s="191"/>
      <c r="GMQ42" s="191"/>
      <c r="GMR42" s="191"/>
      <c r="GMS42" s="191"/>
      <c r="GMT42" s="191"/>
      <c r="GMU42" s="191"/>
      <c r="GMV42" s="191"/>
      <c r="GMW42" s="191"/>
      <c r="GMX42" s="191"/>
      <c r="GMY42" s="191"/>
      <c r="GMZ42" s="191"/>
      <c r="GNA42" s="191"/>
      <c r="GNB42" s="191"/>
      <c r="GNC42" s="191"/>
      <c r="GND42" s="191"/>
      <c r="GNE42" s="191"/>
      <c r="GNF42" s="191"/>
      <c r="GNG42" s="191"/>
      <c r="GNH42" s="191"/>
      <c r="GNI42" s="191"/>
      <c r="GNJ42" s="191"/>
      <c r="GNK42" s="191"/>
      <c r="GNL42" s="191"/>
      <c r="GNM42" s="191"/>
      <c r="GNN42" s="191"/>
      <c r="GNO42" s="191"/>
      <c r="GNP42" s="191"/>
      <c r="GNQ42" s="191"/>
      <c r="GNR42" s="191"/>
      <c r="GNS42" s="191"/>
      <c r="GNT42" s="191"/>
      <c r="GNU42" s="191"/>
      <c r="GNV42" s="191"/>
      <c r="GNW42" s="191"/>
      <c r="GNX42" s="191"/>
      <c r="GNY42" s="191"/>
      <c r="GNZ42" s="191"/>
      <c r="GOA42" s="191"/>
      <c r="GOB42" s="191"/>
      <c r="GOC42" s="191"/>
      <c r="GOD42" s="191"/>
      <c r="GOE42" s="191"/>
      <c r="GOF42" s="191"/>
      <c r="GOG42" s="191"/>
      <c r="GOH42" s="191"/>
      <c r="GOI42" s="191"/>
      <c r="GOJ42" s="191"/>
      <c r="GOK42" s="191"/>
      <c r="GOL42" s="191"/>
      <c r="GOM42" s="191"/>
      <c r="GON42" s="191"/>
      <c r="GOO42" s="191"/>
      <c r="GOP42" s="191"/>
      <c r="GOQ42" s="191"/>
      <c r="GOR42" s="191"/>
      <c r="GOS42" s="191"/>
      <c r="GOT42" s="191"/>
      <c r="GOU42" s="191"/>
      <c r="GOV42" s="191"/>
      <c r="GOW42" s="191"/>
      <c r="GOX42" s="191"/>
      <c r="GOY42" s="191"/>
      <c r="GOZ42" s="191"/>
      <c r="GPA42" s="191"/>
      <c r="GPB42" s="191"/>
      <c r="GPC42" s="191"/>
      <c r="GPD42" s="191"/>
      <c r="GPE42" s="191"/>
      <c r="GPF42" s="191"/>
      <c r="GPG42" s="191"/>
      <c r="GPH42" s="191"/>
      <c r="GPI42" s="191"/>
      <c r="GPJ42" s="191"/>
      <c r="GPK42" s="191"/>
      <c r="GPL42" s="191"/>
      <c r="GPM42" s="191"/>
      <c r="GPN42" s="191"/>
      <c r="GPO42" s="191"/>
      <c r="GPP42" s="191"/>
      <c r="GPQ42" s="191"/>
      <c r="GPR42" s="191"/>
      <c r="GPS42" s="191"/>
      <c r="GPT42" s="191"/>
      <c r="GPU42" s="191"/>
      <c r="GPV42" s="191"/>
      <c r="GPW42" s="191"/>
      <c r="GPX42" s="191"/>
      <c r="GPY42" s="191"/>
      <c r="GPZ42" s="191"/>
      <c r="GQA42" s="191"/>
      <c r="GQB42" s="191"/>
      <c r="GQC42" s="191"/>
      <c r="GQD42" s="191"/>
      <c r="GQE42" s="191"/>
      <c r="GQF42" s="191"/>
      <c r="GQG42" s="191"/>
      <c r="GQH42" s="191"/>
      <c r="GQI42" s="191"/>
      <c r="GQJ42" s="191"/>
      <c r="GQK42" s="191"/>
      <c r="GQL42" s="191"/>
      <c r="GQM42" s="191"/>
      <c r="GQN42" s="191"/>
      <c r="GQO42" s="191"/>
      <c r="GQP42" s="191"/>
      <c r="GQQ42" s="191"/>
      <c r="GQR42" s="191"/>
      <c r="GQS42" s="191"/>
      <c r="GQT42" s="191"/>
      <c r="GQU42" s="191"/>
      <c r="GQV42" s="191"/>
      <c r="GQW42" s="191"/>
      <c r="GQX42" s="191"/>
      <c r="GQY42" s="191"/>
      <c r="GQZ42" s="191"/>
      <c r="GRA42" s="191"/>
      <c r="GRB42" s="191"/>
      <c r="GRC42" s="191"/>
      <c r="GRD42" s="191"/>
      <c r="GRE42" s="191"/>
      <c r="GRF42" s="191"/>
      <c r="GRG42" s="191"/>
      <c r="GRH42" s="191"/>
      <c r="GRI42" s="191"/>
      <c r="GRJ42" s="191"/>
      <c r="GRK42" s="191"/>
      <c r="GRL42" s="191"/>
      <c r="GRM42" s="191"/>
      <c r="GRN42" s="191"/>
      <c r="GRO42" s="191"/>
      <c r="GRP42" s="191"/>
      <c r="GRQ42" s="191"/>
      <c r="GRR42" s="191"/>
      <c r="GRS42" s="191"/>
      <c r="GRT42" s="191"/>
      <c r="GRU42" s="191"/>
      <c r="GRV42" s="191"/>
      <c r="GRW42" s="191"/>
      <c r="GRX42" s="191"/>
      <c r="GRY42" s="191"/>
      <c r="GRZ42" s="191"/>
      <c r="GSA42" s="191"/>
      <c r="GSB42" s="191"/>
      <c r="GSC42" s="191"/>
      <c r="GSD42" s="191"/>
      <c r="GSE42" s="191"/>
      <c r="GSF42" s="191"/>
      <c r="GSG42" s="191"/>
      <c r="GSH42" s="191"/>
      <c r="GSI42" s="191"/>
      <c r="GSJ42" s="191"/>
      <c r="GSK42" s="191"/>
      <c r="GSL42" s="191"/>
      <c r="GSM42" s="191"/>
      <c r="GSN42" s="191"/>
      <c r="GSO42" s="191"/>
      <c r="GSP42" s="191"/>
      <c r="GSQ42" s="191"/>
      <c r="GSR42" s="191"/>
      <c r="GSS42" s="191"/>
      <c r="GST42" s="191"/>
      <c r="GSU42" s="191"/>
      <c r="GSV42" s="191"/>
      <c r="GSW42" s="191"/>
      <c r="GSX42" s="191"/>
      <c r="GSY42" s="191"/>
      <c r="GSZ42" s="191"/>
      <c r="GTA42" s="191"/>
      <c r="GTB42" s="191"/>
      <c r="GTC42" s="191"/>
      <c r="GTD42" s="191"/>
      <c r="GTE42" s="191"/>
      <c r="GTF42" s="191"/>
      <c r="GTG42" s="191"/>
      <c r="GTH42" s="191"/>
      <c r="GTI42" s="191"/>
      <c r="GTJ42" s="191"/>
      <c r="GTK42" s="191"/>
      <c r="GTL42" s="191"/>
      <c r="GTM42" s="191"/>
      <c r="GTN42" s="191"/>
      <c r="GTO42" s="191"/>
      <c r="GTP42" s="191"/>
      <c r="GTQ42" s="191"/>
      <c r="GTR42" s="191"/>
      <c r="GTS42" s="191"/>
      <c r="GTT42" s="191"/>
      <c r="GTU42" s="191"/>
      <c r="GTV42" s="191"/>
      <c r="GTW42" s="191"/>
      <c r="GTX42" s="191"/>
      <c r="GTY42" s="191"/>
      <c r="GTZ42" s="191"/>
      <c r="GUA42" s="191"/>
      <c r="GUB42" s="191"/>
      <c r="GUC42" s="191"/>
      <c r="GUD42" s="191"/>
      <c r="GUE42" s="191"/>
      <c r="GUF42" s="191"/>
      <c r="GUG42" s="191"/>
      <c r="GUH42" s="191"/>
      <c r="GUI42" s="191"/>
      <c r="GUJ42" s="191"/>
      <c r="GUK42" s="191"/>
      <c r="GUL42" s="191"/>
      <c r="GUM42" s="191"/>
      <c r="GUN42" s="191"/>
      <c r="GUO42" s="191"/>
      <c r="GUP42" s="191"/>
      <c r="GUQ42" s="191"/>
      <c r="GUR42" s="191"/>
      <c r="GUS42" s="191"/>
      <c r="GUT42" s="191"/>
      <c r="GUU42" s="191"/>
      <c r="GUV42" s="191"/>
      <c r="GUW42" s="191"/>
      <c r="GUX42" s="191"/>
      <c r="GUY42" s="191"/>
      <c r="GUZ42" s="191"/>
      <c r="GVA42" s="191"/>
      <c r="GVB42" s="191"/>
      <c r="GVC42" s="191"/>
      <c r="GVD42" s="191"/>
      <c r="GVE42" s="191"/>
      <c r="GVF42" s="191"/>
      <c r="GVG42" s="191"/>
      <c r="GVH42" s="191"/>
      <c r="GVI42" s="191"/>
      <c r="GVJ42" s="191"/>
      <c r="GVK42" s="191"/>
      <c r="GVL42" s="191"/>
      <c r="GVM42" s="191"/>
      <c r="GVN42" s="191"/>
      <c r="GVO42" s="191"/>
      <c r="GVP42" s="191"/>
      <c r="GVQ42" s="191"/>
      <c r="GVR42" s="191"/>
      <c r="GVS42" s="191"/>
      <c r="GVT42" s="191"/>
      <c r="GVU42" s="191"/>
      <c r="GVV42" s="191"/>
      <c r="GVW42" s="191"/>
      <c r="GVX42" s="191"/>
      <c r="GVY42" s="191"/>
      <c r="GVZ42" s="191"/>
      <c r="GWA42" s="191"/>
      <c r="GWB42" s="191"/>
      <c r="GWC42" s="191"/>
      <c r="GWD42" s="191"/>
      <c r="GWE42" s="191"/>
      <c r="GWF42" s="191"/>
      <c r="GWG42" s="191"/>
      <c r="GWH42" s="191"/>
      <c r="GWI42" s="191"/>
      <c r="GWJ42" s="191"/>
      <c r="GWK42" s="191"/>
      <c r="GWL42" s="191"/>
      <c r="GWM42" s="191"/>
      <c r="GWN42" s="191"/>
      <c r="GWO42" s="191"/>
      <c r="GWP42" s="191"/>
      <c r="GWQ42" s="191"/>
      <c r="GWR42" s="191"/>
      <c r="GWS42" s="191"/>
      <c r="GWT42" s="191"/>
      <c r="GWU42" s="191"/>
      <c r="GWV42" s="191"/>
      <c r="GWW42" s="191"/>
      <c r="GWX42" s="191"/>
      <c r="GWY42" s="191"/>
      <c r="GWZ42" s="191"/>
      <c r="GXA42" s="191"/>
      <c r="GXB42" s="191"/>
      <c r="GXC42" s="191"/>
      <c r="GXD42" s="191"/>
      <c r="GXE42" s="191"/>
      <c r="GXF42" s="191"/>
      <c r="GXG42" s="191"/>
      <c r="GXH42" s="191"/>
      <c r="GXI42" s="191"/>
      <c r="GXJ42" s="191"/>
      <c r="GXK42" s="191"/>
      <c r="GXL42" s="191"/>
      <c r="GXM42" s="191"/>
      <c r="GXN42" s="191"/>
      <c r="GXO42" s="191"/>
      <c r="GXP42" s="191"/>
      <c r="GXQ42" s="191"/>
      <c r="GXR42" s="191"/>
      <c r="GXS42" s="191"/>
      <c r="GXT42" s="191"/>
      <c r="GXU42" s="191"/>
      <c r="GXV42" s="191"/>
      <c r="GXW42" s="191"/>
      <c r="GXX42" s="191"/>
      <c r="GXY42" s="191"/>
      <c r="GXZ42" s="191"/>
      <c r="GYA42" s="191"/>
      <c r="GYB42" s="191"/>
      <c r="GYC42" s="191"/>
      <c r="GYD42" s="191"/>
      <c r="GYE42" s="191"/>
      <c r="GYF42" s="191"/>
      <c r="GYG42" s="191"/>
      <c r="GYH42" s="191"/>
      <c r="GYI42" s="191"/>
      <c r="GYJ42" s="191"/>
      <c r="GYK42" s="191"/>
      <c r="GYL42" s="191"/>
      <c r="GYM42" s="191"/>
      <c r="GYN42" s="191"/>
      <c r="GYO42" s="191"/>
      <c r="GYP42" s="191"/>
      <c r="GYQ42" s="191"/>
      <c r="GYR42" s="191"/>
      <c r="GYS42" s="191"/>
      <c r="GYT42" s="191"/>
      <c r="GYU42" s="191"/>
      <c r="GYV42" s="191"/>
      <c r="GYW42" s="191"/>
      <c r="GYX42" s="191"/>
      <c r="GYY42" s="191"/>
      <c r="GYZ42" s="191"/>
      <c r="GZA42" s="191"/>
      <c r="GZB42" s="191"/>
      <c r="GZC42" s="191"/>
      <c r="GZD42" s="191"/>
      <c r="GZE42" s="191"/>
      <c r="GZF42" s="191"/>
      <c r="GZG42" s="191"/>
      <c r="GZH42" s="191"/>
      <c r="GZI42" s="191"/>
      <c r="GZJ42" s="191"/>
      <c r="GZK42" s="191"/>
      <c r="GZL42" s="191"/>
      <c r="GZM42" s="191"/>
      <c r="GZN42" s="191"/>
      <c r="GZO42" s="191"/>
      <c r="GZP42" s="191"/>
      <c r="GZQ42" s="191"/>
      <c r="GZR42" s="191"/>
      <c r="GZS42" s="191"/>
      <c r="GZT42" s="191"/>
      <c r="GZU42" s="191"/>
      <c r="GZV42" s="191"/>
      <c r="GZW42" s="191"/>
      <c r="GZX42" s="191"/>
      <c r="GZY42" s="191"/>
      <c r="GZZ42" s="191"/>
      <c r="HAA42" s="191"/>
      <c r="HAB42" s="191"/>
      <c r="HAC42" s="191"/>
      <c r="HAD42" s="191"/>
      <c r="HAE42" s="191"/>
      <c r="HAF42" s="191"/>
      <c r="HAG42" s="191"/>
      <c r="HAH42" s="191"/>
      <c r="HAI42" s="191"/>
      <c r="HAJ42" s="191"/>
      <c r="HAK42" s="191"/>
      <c r="HAL42" s="191"/>
      <c r="HAM42" s="191"/>
      <c r="HAN42" s="191"/>
      <c r="HAO42" s="191"/>
      <c r="HAP42" s="191"/>
      <c r="HAQ42" s="191"/>
      <c r="HAR42" s="191"/>
      <c r="HAS42" s="191"/>
      <c r="HAT42" s="191"/>
      <c r="HAU42" s="191"/>
      <c r="HAV42" s="191"/>
      <c r="HAW42" s="191"/>
      <c r="HAX42" s="191"/>
      <c r="HAY42" s="191"/>
      <c r="HAZ42" s="191"/>
      <c r="HBA42" s="191"/>
      <c r="HBB42" s="191"/>
      <c r="HBC42" s="191"/>
      <c r="HBD42" s="191"/>
      <c r="HBE42" s="191"/>
      <c r="HBF42" s="191"/>
      <c r="HBG42" s="191"/>
      <c r="HBH42" s="191"/>
      <c r="HBI42" s="191"/>
      <c r="HBJ42" s="191"/>
      <c r="HBK42" s="191"/>
      <c r="HBL42" s="191"/>
      <c r="HBM42" s="191"/>
      <c r="HBN42" s="191"/>
      <c r="HBO42" s="191"/>
      <c r="HBP42" s="191"/>
      <c r="HBQ42" s="191"/>
      <c r="HBR42" s="191"/>
      <c r="HBS42" s="191"/>
      <c r="HBT42" s="191"/>
      <c r="HBU42" s="191"/>
      <c r="HBV42" s="191"/>
      <c r="HBW42" s="191"/>
      <c r="HBX42" s="191"/>
      <c r="HBY42" s="191"/>
      <c r="HBZ42" s="191"/>
      <c r="HCA42" s="191"/>
      <c r="HCB42" s="191"/>
      <c r="HCC42" s="191"/>
      <c r="HCD42" s="191"/>
      <c r="HCE42" s="191"/>
      <c r="HCF42" s="191"/>
      <c r="HCG42" s="191"/>
      <c r="HCH42" s="191"/>
      <c r="HCI42" s="191"/>
      <c r="HCJ42" s="191"/>
      <c r="HCK42" s="191"/>
      <c r="HCL42" s="191"/>
      <c r="HCM42" s="191"/>
      <c r="HCN42" s="191"/>
      <c r="HCO42" s="191"/>
      <c r="HCP42" s="191"/>
      <c r="HCQ42" s="191"/>
      <c r="HCR42" s="191"/>
      <c r="HCS42" s="191"/>
      <c r="HCT42" s="191"/>
      <c r="HCU42" s="191"/>
      <c r="HCV42" s="191"/>
      <c r="HCW42" s="191"/>
      <c r="HCX42" s="191"/>
      <c r="HCY42" s="191"/>
      <c r="HCZ42" s="191"/>
      <c r="HDA42" s="191"/>
      <c r="HDB42" s="191"/>
      <c r="HDC42" s="191"/>
      <c r="HDD42" s="191"/>
      <c r="HDE42" s="191"/>
      <c r="HDF42" s="191"/>
      <c r="HDG42" s="191"/>
      <c r="HDH42" s="191"/>
      <c r="HDI42" s="191"/>
      <c r="HDJ42" s="191"/>
      <c r="HDK42" s="191"/>
      <c r="HDL42" s="191"/>
      <c r="HDM42" s="191"/>
      <c r="HDN42" s="191"/>
      <c r="HDO42" s="191"/>
      <c r="HDP42" s="191"/>
      <c r="HDQ42" s="191"/>
      <c r="HDR42" s="191"/>
      <c r="HDS42" s="191"/>
      <c r="HDT42" s="191"/>
      <c r="HDU42" s="191"/>
      <c r="HDV42" s="191"/>
      <c r="HDW42" s="191"/>
      <c r="HDX42" s="191"/>
      <c r="HDY42" s="191"/>
      <c r="HDZ42" s="191"/>
      <c r="HEA42" s="191"/>
      <c r="HEB42" s="191"/>
      <c r="HEC42" s="191"/>
      <c r="HED42" s="191"/>
      <c r="HEE42" s="191"/>
      <c r="HEF42" s="191"/>
      <c r="HEG42" s="191"/>
      <c r="HEH42" s="191"/>
      <c r="HEI42" s="191"/>
      <c r="HEJ42" s="191"/>
      <c r="HEK42" s="191"/>
      <c r="HEL42" s="191"/>
      <c r="HEM42" s="191"/>
      <c r="HEN42" s="191"/>
      <c r="HEO42" s="191"/>
      <c r="HEP42" s="191"/>
      <c r="HEQ42" s="191"/>
      <c r="HER42" s="191"/>
      <c r="HES42" s="191"/>
      <c r="HET42" s="191"/>
      <c r="HEU42" s="191"/>
      <c r="HEV42" s="191"/>
      <c r="HEW42" s="191"/>
      <c r="HEX42" s="191"/>
      <c r="HEY42" s="191"/>
      <c r="HEZ42" s="191"/>
      <c r="HFA42" s="191"/>
      <c r="HFB42" s="191"/>
      <c r="HFC42" s="191"/>
      <c r="HFD42" s="191"/>
      <c r="HFE42" s="191"/>
      <c r="HFF42" s="191"/>
      <c r="HFG42" s="191"/>
      <c r="HFH42" s="191"/>
      <c r="HFI42" s="191"/>
      <c r="HFJ42" s="191"/>
      <c r="HFK42" s="191"/>
      <c r="HFL42" s="191"/>
      <c r="HFM42" s="191"/>
      <c r="HFN42" s="191"/>
      <c r="HFO42" s="191"/>
      <c r="HFP42" s="191"/>
      <c r="HFQ42" s="191"/>
      <c r="HFR42" s="191"/>
      <c r="HFS42" s="191"/>
      <c r="HFT42" s="191"/>
      <c r="HFU42" s="191"/>
      <c r="HFV42" s="191"/>
      <c r="HFW42" s="191"/>
      <c r="HFX42" s="191"/>
      <c r="HFY42" s="191"/>
      <c r="HFZ42" s="191"/>
      <c r="HGA42" s="191"/>
      <c r="HGB42" s="191"/>
      <c r="HGC42" s="191"/>
      <c r="HGD42" s="191"/>
      <c r="HGE42" s="191"/>
      <c r="HGF42" s="191"/>
      <c r="HGG42" s="191"/>
      <c r="HGH42" s="191"/>
      <c r="HGI42" s="191"/>
      <c r="HGJ42" s="191"/>
      <c r="HGK42" s="191"/>
      <c r="HGL42" s="191"/>
      <c r="HGM42" s="191"/>
      <c r="HGN42" s="191"/>
      <c r="HGO42" s="191"/>
      <c r="HGP42" s="191"/>
      <c r="HGQ42" s="191"/>
      <c r="HGR42" s="191"/>
      <c r="HGS42" s="191"/>
      <c r="HGT42" s="191"/>
      <c r="HGU42" s="191"/>
      <c r="HGV42" s="191"/>
      <c r="HGW42" s="191"/>
      <c r="HGX42" s="191"/>
      <c r="HGY42" s="191"/>
      <c r="HGZ42" s="191"/>
      <c r="HHA42" s="191"/>
      <c r="HHB42" s="191"/>
      <c r="HHC42" s="191"/>
      <c r="HHD42" s="191"/>
      <c r="HHE42" s="191"/>
      <c r="HHF42" s="191"/>
      <c r="HHG42" s="191"/>
      <c r="HHH42" s="191"/>
      <c r="HHI42" s="191"/>
      <c r="HHJ42" s="191"/>
      <c r="HHK42" s="191"/>
      <c r="HHL42" s="191"/>
      <c r="HHM42" s="191"/>
      <c r="HHN42" s="191"/>
      <c r="HHO42" s="191"/>
      <c r="HHP42" s="191"/>
      <c r="HHQ42" s="191"/>
      <c r="HHR42" s="191"/>
      <c r="HHS42" s="191"/>
      <c r="HHT42" s="191"/>
      <c r="HHU42" s="191"/>
      <c r="HHV42" s="191"/>
      <c r="HHW42" s="191"/>
      <c r="HHX42" s="191"/>
      <c r="HHY42" s="191"/>
      <c r="HHZ42" s="191"/>
      <c r="HIA42" s="191"/>
      <c r="HIB42" s="191"/>
      <c r="HIC42" s="191"/>
      <c r="HID42" s="191"/>
      <c r="HIE42" s="191"/>
      <c r="HIF42" s="191"/>
      <c r="HIG42" s="191"/>
      <c r="HIH42" s="191"/>
      <c r="HII42" s="191"/>
      <c r="HIJ42" s="191"/>
      <c r="HIK42" s="191"/>
      <c r="HIL42" s="191"/>
      <c r="HIM42" s="191"/>
      <c r="HIN42" s="191"/>
      <c r="HIO42" s="191"/>
      <c r="HIP42" s="191"/>
      <c r="HIQ42" s="191"/>
      <c r="HIR42" s="191"/>
      <c r="HIS42" s="191"/>
      <c r="HIT42" s="191"/>
      <c r="HIU42" s="191"/>
      <c r="HIV42" s="191"/>
      <c r="HIW42" s="191"/>
      <c r="HIX42" s="191"/>
      <c r="HIY42" s="191"/>
      <c r="HIZ42" s="191"/>
      <c r="HJA42" s="191"/>
      <c r="HJB42" s="191"/>
      <c r="HJC42" s="191"/>
      <c r="HJD42" s="191"/>
      <c r="HJE42" s="191"/>
      <c r="HJF42" s="191"/>
      <c r="HJG42" s="191"/>
      <c r="HJH42" s="191"/>
      <c r="HJI42" s="191"/>
      <c r="HJJ42" s="191"/>
      <c r="HJK42" s="191"/>
      <c r="HJL42" s="191"/>
      <c r="HJM42" s="191"/>
      <c r="HJN42" s="191"/>
      <c r="HJO42" s="191"/>
      <c r="HJP42" s="191"/>
      <c r="HJQ42" s="191"/>
      <c r="HJR42" s="191"/>
      <c r="HJS42" s="191"/>
      <c r="HJT42" s="191"/>
      <c r="HJU42" s="191"/>
      <c r="HJV42" s="191"/>
      <c r="HJW42" s="191"/>
      <c r="HJX42" s="191"/>
      <c r="HJY42" s="191"/>
      <c r="HJZ42" s="191"/>
      <c r="HKA42" s="191"/>
      <c r="HKB42" s="191"/>
      <c r="HKC42" s="191"/>
      <c r="HKD42" s="191"/>
      <c r="HKE42" s="191"/>
      <c r="HKF42" s="191"/>
      <c r="HKG42" s="191"/>
      <c r="HKH42" s="191"/>
      <c r="HKI42" s="191"/>
      <c r="HKJ42" s="191"/>
      <c r="HKK42" s="191"/>
      <c r="HKL42" s="191"/>
      <c r="HKM42" s="191"/>
      <c r="HKN42" s="191"/>
      <c r="HKO42" s="191"/>
      <c r="HKP42" s="191"/>
      <c r="HKQ42" s="191"/>
      <c r="HKR42" s="191"/>
      <c r="HKS42" s="191"/>
      <c r="HKT42" s="191"/>
      <c r="HKU42" s="191"/>
      <c r="HKV42" s="191"/>
      <c r="HKW42" s="191"/>
      <c r="HKX42" s="191"/>
      <c r="HKY42" s="191"/>
      <c r="HKZ42" s="191"/>
      <c r="HLA42" s="191"/>
      <c r="HLB42" s="191"/>
      <c r="HLC42" s="191"/>
      <c r="HLD42" s="191"/>
      <c r="HLE42" s="191"/>
      <c r="HLF42" s="191"/>
      <c r="HLG42" s="191"/>
      <c r="HLH42" s="191"/>
      <c r="HLI42" s="191"/>
      <c r="HLJ42" s="191"/>
      <c r="HLK42" s="191"/>
      <c r="HLL42" s="191"/>
      <c r="HLM42" s="191"/>
      <c r="HLN42" s="191"/>
      <c r="HLO42" s="191"/>
      <c r="HLP42" s="191"/>
      <c r="HLQ42" s="191"/>
      <c r="HLR42" s="191"/>
      <c r="HLS42" s="191"/>
      <c r="HLT42" s="191"/>
      <c r="HLU42" s="191"/>
      <c r="HLV42" s="191"/>
      <c r="HLW42" s="191"/>
      <c r="HLX42" s="191"/>
      <c r="HLY42" s="191"/>
      <c r="HLZ42" s="191"/>
      <c r="HMA42" s="191"/>
      <c r="HMB42" s="191"/>
      <c r="HMC42" s="191"/>
      <c r="HMD42" s="191"/>
      <c r="HME42" s="191"/>
      <c r="HMF42" s="191"/>
      <c r="HMG42" s="191"/>
      <c r="HMH42" s="191"/>
      <c r="HMI42" s="191"/>
      <c r="HMJ42" s="191"/>
      <c r="HMK42" s="191"/>
      <c r="HML42" s="191"/>
      <c r="HMM42" s="191"/>
      <c r="HMN42" s="191"/>
      <c r="HMO42" s="191"/>
      <c r="HMP42" s="191"/>
      <c r="HMQ42" s="191"/>
      <c r="HMR42" s="191"/>
      <c r="HMS42" s="191"/>
      <c r="HMT42" s="191"/>
      <c r="HMU42" s="191"/>
      <c r="HMV42" s="191"/>
      <c r="HMW42" s="191"/>
      <c r="HMX42" s="191"/>
      <c r="HMY42" s="191"/>
      <c r="HMZ42" s="191"/>
      <c r="HNA42" s="191"/>
      <c r="HNB42" s="191"/>
      <c r="HNC42" s="191"/>
      <c r="HND42" s="191"/>
      <c r="HNE42" s="191"/>
      <c r="HNF42" s="191"/>
      <c r="HNG42" s="191"/>
      <c r="HNH42" s="191"/>
      <c r="HNI42" s="191"/>
      <c r="HNJ42" s="191"/>
      <c r="HNK42" s="191"/>
      <c r="HNL42" s="191"/>
      <c r="HNM42" s="191"/>
      <c r="HNN42" s="191"/>
      <c r="HNO42" s="191"/>
      <c r="HNP42" s="191"/>
      <c r="HNQ42" s="191"/>
      <c r="HNR42" s="191"/>
      <c r="HNS42" s="191"/>
      <c r="HNT42" s="191"/>
      <c r="HNU42" s="191"/>
      <c r="HNV42" s="191"/>
      <c r="HNW42" s="191"/>
      <c r="HNX42" s="191"/>
      <c r="HNY42" s="191"/>
      <c r="HNZ42" s="191"/>
      <c r="HOA42" s="191"/>
      <c r="HOB42" s="191"/>
      <c r="HOC42" s="191"/>
      <c r="HOD42" s="191"/>
      <c r="HOE42" s="191"/>
      <c r="HOF42" s="191"/>
      <c r="HOG42" s="191"/>
      <c r="HOH42" s="191"/>
      <c r="HOI42" s="191"/>
      <c r="HOJ42" s="191"/>
      <c r="HOK42" s="191"/>
      <c r="HOL42" s="191"/>
      <c r="HOM42" s="191"/>
      <c r="HON42" s="191"/>
      <c r="HOO42" s="191"/>
      <c r="HOP42" s="191"/>
      <c r="HOQ42" s="191"/>
      <c r="HOR42" s="191"/>
      <c r="HOS42" s="191"/>
      <c r="HOT42" s="191"/>
      <c r="HOU42" s="191"/>
      <c r="HOV42" s="191"/>
      <c r="HOW42" s="191"/>
      <c r="HOX42" s="191"/>
      <c r="HOY42" s="191"/>
      <c r="HOZ42" s="191"/>
      <c r="HPA42" s="191"/>
      <c r="HPB42" s="191"/>
      <c r="HPC42" s="191"/>
      <c r="HPD42" s="191"/>
      <c r="HPE42" s="191"/>
      <c r="HPF42" s="191"/>
      <c r="HPG42" s="191"/>
      <c r="HPH42" s="191"/>
      <c r="HPI42" s="191"/>
      <c r="HPJ42" s="191"/>
      <c r="HPK42" s="191"/>
      <c r="HPL42" s="191"/>
      <c r="HPM42" s="191"/>
      <c r="HPN42" s="191"/>
      <c r="HPO42" s="191"/>
      <c r="HPP42" s="191"/>
      <c r="HPQ42" s="191"/>
      <c r="HPR42" s="191"/>
      <c r="HPS42" s="191"/>
      <c r="HPT42" s="191"/>
      <c r="HPU42" s="191"/>
      <c r="HPV42" s="191"/>
      <c r="HPW42" s="191"/>
      <c r="HPX42" s="191"/>
      <c r="HPY42" s="191"/>
      <c r="HPZ42" s="191"/>
      <c r="HQA42" s="191"/>
      <c r="HQB42" s="191"/>
      <c r="HQC42" s="191"/>
      <c r="HQD42" s="191"/>
      <c r="HQE42" s="191"/>
      <c r="HQF42" s="191"/>
      <c r="HQG42" s="191"/>
      <c r="HQH42" s="191"/>
      <c r="HQI42" s="191"/>
      <c r="HQJ42" s="191"/>
      <c r="HQK42" s="191"/>
      <c r="HQL42" s="191"/>
      <c r="HQM42" s="191"/>
      <c r="HQN42" s="191"/>
      <c r="HQO42" s="191"/>
      <c r="HQP42" s="191"/>
      <c r="HQQ42" s="191"/>
      <c r="HQR42" s="191"/>
      <c r="HQS42" s="191"/>
      <c r="HQT42" s="191"/>
      <c r="HQU42" s="191"/>
      <c r="HQV42" s="191"/>
      <c r="HQW42" s="191"/>
      <c r="HQX42" s="191"/>
      <c r="HQY42" s="191"/>
      <c r="HQZ42" s="191"/>
      <c r="HRA42" s="191"/>
      <c r="HRB42" s="191"/>
      <c r="HRC42" s="191"/>
      <c r="HRD42" s="191"/>
      <c r="HRE42" s="191"/>
      <c r="HRF42" s="191"/>
      <c r="HRG42" s="191"/>
      <c r="HRH42" s="191"/>
      <c r="HRI42" s="191"/>
      <c r="HRJ42" s="191"/>
      <c r="HRK42" s="191"/>
      <c r="HRL42" s="191"/>
      <c r="HRM42" s="191"/>
      <c r="HRN42" s="191"/>
      <c r="HRO42" s="191"/>
      <c r="HRP42" s="191"/>
      <c r="HRQ42" s="191"/>
      <c r="HRR42" s="191"/>
      <c r="HRS42" s="191"/>
      <c r="HRT42" s="191"/>
      <c r="HRU42" s="191"/>
      <c r="HRV42" s="191"/>
      <c r="HRW42" s="191"/>
      <c r="HRX42" s="191"/>
      <c r="HRY42" s="191"/>
      <c r="HRZ42" s="191"/>
      <c r="HSA42" s="191"/>
      <c r="HSB42" s="191"/>
      <c r="HSC42" s="191"/>
      <c r="HSD42" s="191"/>
      <c r="HSE42" s="191"/>
      <c r="HSF42" s="191"/>
      <c r="HSG42" s="191"/>
      <c r="HSH42" s="191"/>
      <c r="HSI42" s="191"/>
      <c r="HSJ42" s="191"/>
      <c r="HSK42" s="191"/>
      <c r="HSL42" s="191"/>
      <c r="HSM42" s="191"/>
      <c r="HSN42" s="191"/>
      <c r="HSO42" s="191"/>
      <c r="HSP42" s="191"/>
      <c r="HSQ42" s="191"/>
      <c r="HSR42" s="191"/>
      <c r="HSS42" s="191"/>
      <c r="HST42" s="191"/>
      <c r="HSU42" s="191"/>
      <c r="HSV42" s="191"/>
      <c r="HSW42" s="191"/>
      <c r="HSX42" s="191"/>
      <c r="HSY42" s="191"/>
      <c r="HSZ42" s="191"/>
      <c r="HTA42" s="191"/>
      <c r="HTB42" s="191"/>
      <c r="HTC42" s="191"/>
      <c r="HTD42" s="191"/>
      <c r="HTE42" s="191"/>
      <c r="HTF42" s="191"/>
      <c r="HTG42" s="191"/>
      <c r="HTH42" s="191"/>
      <c r="HTI42" s="191"/>
      <c r="HTJ42" s="191"/>
      <c r="HTK42" s="191"/>
      <c r="HTL42" s="191"/>
      <c r="HTM42" s="191"/>
      <c r="HTN42" s="191"/>
      <c r="HTO42" s="191"/>
      <c r="HTP42" s="191"/>
      <c r="HTQ42" s="191"/>
      <c r="HTR42" s="191"/>
      <c r="HTS42" s="191"/>
      <c r="HTT42" s="191"/>
      <c r="HTU42" s="191"/>
      <c r="HTV42" s="191"/>
      <c r="HTW42" s="191"/>
      <c r="HTX42" s="191"/>
      <c r="HTY42" s="191"/>
      <c r="HTZ42" s="191"/>
      <c r="HUA42" s="191"/>
      <c r="HUB42" s="191"/>
      <c r="HUC42" s="191"/>
      <c r="HUD42" s="191"/>
      <c r="HUE42" s="191"/>
      <c r="HUF42" s="191"/>
      <c r="HUG42" s="191"/>
      <c r="HUH42" s="191"/>
      <c r="HUI42" s="191"/>
      <c r="HUJ42" s="191"/>
      <c r="HUK42" s="191"/>
      <c r="HUL42" s="191"/>
      <c r="HUM42" s="191"/>
      <c r="HUN42" s="191"/>
      <c r="HUO42" s="191"/>
      <c r="HUP42" s="191"/>
      <c r="HUQ42" s="191"/>
      <c r="HUR42" s="191"/>
      <c r="HUS42" s="191"/>
      <c r="HUT42" s="191"/>
      <c r="HUU42" s="191"/>
      <c r="HUV42" s="191"/>
      <c r="HUW42" s="191"/>
      <c r="HUX42" s="191"/>
      <c r="HUY42" s="191"/>
      <c r="HUZ42" s="191"/>
      <c r="HVA42" s="191"/>
      <c r="HVB42" s="191"/>
      <c r="HVC42" s="191"/>
      <c r="HVD42" s="191"/>
      <c r="HVE42" s="191"/>
      <c r="HVF42" s="191"/>
      <c r="HVG42" s="191"/>
      <c r="HVH42" s="191"/>
      <c r="HVI42" s="191"/>
      <c r="HVJ42" s="191"/>
      <c r="HVK42" s="191"/>
      <c r="HVL42" s="191"/>
      <c r="HVM42" s="191"/>
      <c r="HVN42" s="191"/>
      <c r="HVO42" s="191"/>
      <c r="HVP42" s="191"/>
      <c r="HVQ42" s="191"/>
      <c r="HVR42" s="191"/>
      <c r="HVS42" s="191"/>
      <c r="HVT42" s="191"/>
      <c r="HVU42" s="191"/>
      <c r="HVV42" s="191"/>
      <c r="HVW42" s="191"/>
      <c r="HVX42" s="191"/>
      <c r="HVY42" s="191"/>
      <c r="HVZ42" s="191"/>
      <c r="HWA42" s="191"/>
      <c r="HWB42" s="191"/>
      <c r="HWC42" s="191"/>
      <c r="HWD42" s="191"/>
      <c r="HWE42" s="191"/>
      <c r="HWF42" s="191"/>
      <c r="HWG42" s="191"/>
      <c r="HWH42" s="191"/>
      <c r="HWI42" s="191"/>
      <c r="HWJ42" s="191"/>
      <c r="HWK42" s="191"/>
      <c r="HWL42" s="191"/>
      <c r="HWM42" s="191"/>
      <c r="HWN42" s="191"/>
      <c r="HWO42" s="191"/>
      <c r="HWP42" s="191"/>
      <c r="HWQ42" s="191"/>
      <c r="HWR42" s="191"/>
      <c r="HWS42" s="191"/>
      <c r="HWT42" s="191"/>
      <c r="HWU42" s="191"/>
      <c r="HWV42" s="191"/>
      <c r="HWW42" s="191"/>
      <c r="HWX42" s="191"/>
      <c r="HWY42" s="191"/>
      <c r="HWZ42" s="191"/>
      <c r="HXA42" s="191"/>
      <c r="HXB42" s="191"/>
      <c r="HXC42" s="191"/>
      <c r="HXD42" s="191"/>
      <c r="HXE42" s="191"/>
      <c r="HXF42" s="191"/>
      <c r="HXG42" s="191"/>
      <c r="HXH42" s="191"/>
      <c r="HXI42" s="191"/>
      <c r="HXJ42" s="191"/>
      <c r="HXK42" s="191"/>
      <c r="HXL42" s="191"/>
      <c r="HXM42" s="191"/>
      <c r="HXN42" s="191"/>
      <c r="HXO42" s="191"/>
      <c r="HXP42" s="191"/>
      <c r="HXQ42" s="191"/>
      <c r="HXR42" s="191"/>
      <c r="HXS42" s="191"/>
      <c r="HXT42" s="191"/>
      <c r="HXU42" s="191"/>
      <c r="HXV42" s="191"/>
      <c r="HXW42" s="191"/>
      <c r="HXX42" s="191"/>
      <c r="HXY42" s="191"/>
      <c r="HXZ42" s="191"/>
      <c r="HYA42" s="191"/>
      <c r="HYB42" s="191"/>
      <c r="HYC42" s="191"/>
      <c r="HYD42" s="191"/>
      <c r="HYE42" s="191"/>
      <c r="HYF42" s="191"/>
      <c r="HYG42" s="191"/>
      <c r="HYH42" s="191"/>
      <c r="HYI42" s="191"/>
      <c r="HYJ42" s="191"/>
      <c r="HYK42" s="191"/>
      <c r="HYL42" s="191"/>
      <c r="HYM42" s="191"/>
      <c r="HYN42" s="191"/>
      <c r="HYO42" s="191"/>
      <c r="HYP42" s="191"/>
      <c r="HYQ42" s="191"/>
      <c r="HYR42" s="191"/>
      <c r="HYS42" s="191"/>
      <c r="HYT42" s="191"/>
      <c r="HYU42" s="191"/>
      <c r="HYV42" s="191"/>
      <c r="HYW42" s="191"/>
      <c r="HYX42" s="191"/>
      <c r="HYY42" s="191"/>
      <c r="HYZ42" s="191"/>
      <c r="HZA42" s="191"/>
      <c r="HZB42" s="191"/>
      <c r="HZC42" s="191"/>
      <c r="HZD42" s="191"/>
      <c r="HZE42" s="191"/>
      <c r="HZF42" s="191"/>
      <c r="HZG42" s="191"/>
      <c r="HZH42" s="191"/>
      <c r="HZI42" s="191"/>
      <c r="HZJ42" s="191"/>
      <c r="HZK42" s="191"/>
      <c r="HZL42" s="191"/>
      <c r="HZM42" s="191"/>
      <c r="HZN42" s="191"/>
      <c r="HZO42" s="191"/>
      <c r="HZP42" s="191"/>
      <c r="HZQ42" s="191"/>
      <c r="HZR42" s="191"/>
      <c r="HZS42" s="191"/>
      <c r="HZT42" s="191"/>
      <c r="HZU42" s="191"/>
      <c r="HZV42" s="191"/>
      <c r="HZW42" s="191"/>
      <c r="HZX42" s="191"/>
      <c r="HZY42" s="191"/>
      <c r="HZZ42" s="191"/>
      <c r="IAA42" s="191"/>
      <c r="IAB42" s="191"/>
      <c r="IAC42" s="191"/>
      <c r="IAD42" s="191"/>
      <c r="IAE42" s="191"/>
      <c r="IAF42" s="191"/>
      <c r="IAG42" s="191"/>
      <c r="IAH42" s="191"/>
      <c r="IAI42" s="191"/>
      <c r="IAJ42" s="191"/>
      <c r="IAK42" s="191"/>
      <c r="IAL42" s="191"/>
      <c r="IAM42" s="191"/>
      <c r="IAN42" s="191"/>
      <c r="IAO42" s="191"/>
      <c r="IAP42" s="191"/>
      <c r="IAQ42" s="191"/>
      <c r="IAR42" s="191"/>
      <c r="IAS42" s="191"/>
      <c r="IAT42" s="191"/>
      <c r="IAU42" s="191"/>
      <c r="IAV42" s="191"/>
      <c r="IAW42" s="191"/>
      <c r="IAX42" s="191"/>
      <c r="IAY42" s="191"/>
      <c r="IAZ42" s="191"/>
      <c r="IBA42" s="191"/>
      <c r="IBB42" s="191"/>
      <c r="IBC42" s="191"/>
      <c r="IBD42" s="191"/>
      <c r="IBE42" s="191"/>
      <c r="IBF42" s="191"/>
      <c r="IBG42" s="191"/>
      <c r="IBH42" s="191"/>
      <c r="IBI42" s="191"/>
      <c r="IBJ42" s="191"/>
      <c r="IBK42" s="191"/>
      <c r="IBL42" s="191"/>
      <c r="IBM42" s="191"/>
      <c r="IBN42" s="191"/>
      <c r="IBO42" s="191"/>
      <c r="IBP42" s="191"/>
      <c r="IBQ42" s="191"/>
      <c r="IBR42" s="191"/>
      <c r="IBS42" s="191"/>
      <c r="IBT42" s="191"/>
      <c r="IBU42" s="191"/>
      <c r="IBV42" s="191"/>
      <c r="IBW42" s="191"/>
      <c r="IBX42" s="191"/>
      <c r="IBY42" s="191"/>
      <c r="IBZ42" s="191"/>
      <c r="ICA42" s="191"/>
      <c r="ICB42" s="191"/>
      <c r="ICC42" s="191"/>
      <c r="ICD42" s="191"/>
      <c r="ICE42" s="191"/>
      <c r="ICF42" s="191"/>
      <c r="ICG42" s="191"/>
      <c r="ICH42" s="191"/>
      <c r="ICI42" s="191"/>
      <c r="ICJ42" s="191"/>
      <c r="ICK42" s="191"/>
      <c r="ICL42" s="191"/>
      <c r="ICM42" s="191"/>
      <c r="ICN42" s="191"/>
      <c r="ICO42" s="191"/>
      <c r="ICP42" s="191"/>
      <c r="ICQ42" s="191"/>
      <c r="ICR42" s="191"/>
      <c r="ICS42" s="191"/>
      <c r="ICT42" s="191"/>
      <c r="ICU42" s="191"/>
      <c r="ICV42" s="191"/>
      <c r="ICW42" s="191"/>
      <c r="ICX42" s="191"/>
      <c r="ICY42" s="191"/>
      <c r="ICZ42" s="191"/>
      <c r="IDA42" s="191"/>
      <c r="IDB42" s="191"/>
      <c r="IDC42" s="191"/>
      <c r="IDD42" s="191"/>
      <c r="IDE42" s="191"/>
      <c r="IDF42" s="191"/>
      <c r="IDG42" s="191"/>
      <c r="IDH42" s="191"/>
      <c r="IDI42" s="191"/>
      <c r="IDJ42" s="191"/>
      <c r="IDK42" s="191"/>
      <c r="IDL42" s="191"/>
      <c r="IDM42" s="191"/>
      <c r="IDN42" s="191"/>
      <c r="IDO42" s="191"/>
      <c r="IDP42" s="191"/>
      <c r="IDQ42" s="191"/>
      <c r="IDR42" s="191"/>
      <c r="IDS42" s="191"/>
      <c r="IDT42" s="191"/>
      <c r="IDU42" s="191"/>
      <c r="IDV42" s="191"/>
      <c r="IDW42" s="191"/>
      <c r="IDX42" s="191"/>
      <c r="IDY42" s="191"/>
      <c r="IDZ42" s="191"/>
      <c r="IEA42" s="191"/>
      <c r="IEB42" s="191"/>
      <c r="IEC42" s="191"/>
      <c r="IED42" s="191"/>
      <c r="IEE42" s="191"/>
      <c r="IEF42" s="191"/>
      <c r="IEG42" s="191"/>
      <c r="IEH42" s="191"/>
      <c r="IEI42" s="191"/>
      <c r="IEJ42" s="191"/>
      <c r="IEK42" s="191"/>
      <c r="IEL42" s="191"/>
      <c r="IEM42" s="191"/>
      <c r="IEN42" s="191"/>
      <c r="IEO42" s="191"/>
      <c r="IEP42" s="191"/>
      <c r="IEQ42" s="191"/>
      <c r="IER42" s="191"/>
      <c r="IES42" s="191"/>
      <c r="IET42" s="191"/>
      <c r="IEU42" s="191"/>
      <c r="IEV42" s="191"/>
      <c r="IEW42" s="191"/>
      <c r="IEX42" s="191"/>
      <c r="IEY42" s="191"/>
      <c r="IEZ42" s="191"/>
      <c r="IFA42" s="191"/>
      <c r="IFB42" s="191"/>
      <c r="IFC42" s="191"/>
      <c r="IFD42" s="191"/>
      <c r="IFE42" s="191"/>
      <c r="IFF42" s="191"/>
      <c r="IFG42" s="191"/>
      <c r="IFH42" s="191"/>
      <c r="IFI42" s="191"/>
      <c r="IFJ42" s="191"/>
      <c r="IFK42" s="191"/>
      <c r="IFL42" s="191"/>
      <c r="IFM42" s="191"/>
      <c r="IFN42" s="191"/>
      <c r="IFO42" s="191"/>
      <c r="IFP42" s="191"/>
      <c r="IFQ42" s="191"/>
      <c r="IFR42" s="191"/>
      <c r="IFS42" s="191"/>
      <c r="IFT42" s="191"/>
      <c r="IFU42" s="191"/>
      <c r="IFV42" s="191"/>
      <c r="IFW42" s="191"/>
      <c r="IFX42" s="191"/>
      <c r="IFY42" s="191"/>
      <c r="IFZ42" s="191"/>
      <c r="IGA42" s="191"/>
      <c r="IGB42" s="191"/>
      <c r="IGC42" s="191"/>
      <c r="IGD42" s="191"/>
      <c r="IGE42" s="191"/>
      <c r="IGF42" s="191"/>
      <c r="IGG42" s="191"/>
      <c r="IGH42" s="191"/>
      <c r="IGI42" s="191"/>
      <c r="IGJ42" s="191"/>
      <c r="IGK42" s="191"/>
      <c r="IGL42" s="191"/>
      <c r="IGM42" s="191"/>
      <c r="IGN42" s="191"/>
      <c r="IGO42" s="191"/>
      <c r="IGP42" s="191"/>
      <c r="IGQ42" s="191"/>
      <c r="IGR42" s="191"/>
      <c r="IGS42" s="191"/>
      <c r="IGT42" s="191"/>
      <c r="IGU42" s="191"/>
      <c r="IGV42" s="191"/>
      <c r="IGW42" s="191"/>
      <c r="IGX42" s="191"/>
      <c r="IGY42" s="191"/>
      <c r="IGZ42" s="191"/>
      <c r="IHA42" s="191"/>
      <c r="IHB42" s="191"/>
      <c r="IHC42" s="191"/>
      <c r="IHD42" s="191"/>
      <c r="IHE42" s="191"/>
      <c r="IHF42" s="191"/>
      <c r="IHG42" s="191"/>
      <c r="IHH42" s="191"/>
      <c r="IHI42" s="191"/>
      <c r="IHJ42" s="191"/>
      <c r="IHK42" s="191"/>
      <c r="IHL42" s="191"/>
      <c r="IHM42" s="191"/>
      <c r="IHN42" s="191"/>
      <c r="IHO42" s="191"/>
      <c r="IHP42" s="191"/>
      <c r="IHQ42" s="191"/>
      <c r="IHR42" s="191"/>
      <c r="IHS42" s="191"/>
      <c r="IHT42" s="191"/>
      <c r="IHU42" s="191"/>
      <c r="IHV42" s="191"/>
      <c r="IHW42" s="191"/>
      <c r="IHX42" s="191"/>
      <c r="IHY42" s="191"/>
      <c r="IHZ42" s="191"/>
      <c r="IIA42" s="191"/>
      <c r="IIB42" s="191"/>
      <c r="IIC42" s="191"/>
      <c r="IID42" s="191"/>
      <c r="IIE42" s="191"/>
      <c r="IIF42" s="191"/>
      <c r="IIG42" s="191"/>
      <c r="IIH42" s="191"/>
      <c r="III42" s="191"/>
      <c r="IIJ42" s="191"/>
      <c r="IIK42" s="191"/>
      <c r="IIL42" s="191"/>
      <c r="IIM42" s="191"/>
      <c r="IIN42" s="191"/>
      <c r="IIO42" s="191"/>
      <c r="IIP42" s="191"/>
      <c r="IIQ42" s="191"/>
      <c r="IIR42" s="191"/>
      <c r="IIS42" s="191"/>
      <c r="IIT42" s="191"/>
      <c r="IIU42" s="191"/>
      <c r="IIV42" s="191"/>
      <c r="IIW42" s="191"/>
      <c r="IIX42" s="191"/>
      <c r="IIY42" s="191"/>
      <c r="IIZ42" s="191"/>
      <c r="IJA42" s="191"/>
      <c r="IJB42" s="191"/>
      <c r="IJC42" s="191"/>
      <c r="IJD42" s="191"/>
      <c r="IJE42" s="191"/>
      <c r="IJF42" s="191"/>
      <c r="IJG42" s="191"/>
      <c r="IJH42" s="191"/>
      <c r="IJI42" s="191"/>
      <c r="IJJ42" s="191"/>
      <c r="IJK42" s="191"/>
      <c r="IJL42" s="191"/>
      <c r="IJM42" s="191"/>
      <c r="IJN42" s="191"/>
      <c r="IJO42" s="191"/>
      <c r="IJP42" s="191"/>
      <c r="IJQ42" s="191"/>
      <c r="IJR42" s="191"/>
      <c r="IJS42" s="191"/>
      <c r="IJT42" s="191"/>
      <c r="IJU42" s="191"/>
      <c r="IJV42" s="191"/>
      <c r="IJW42" s="191"/>
      <c r="IJX42" s="191"/>
      <c r="IJY42" s="191"/>
      <c r="IJZ42" s="191"/>
      <c r="IKA42" s="191"/>
      <c r="IKB42" s="191"/>
      <c r="IKC42" s="191"/>
      <c r="IKD42" s="191"/>
      <c r="IKE42" s="191"/>
      <c r="IKF42" s="191"/>
      <c r="IKG42" s="191"/>
      <c r="IKH42" s="191"/>
      <c r="IKI42" s="191"/>
      <c r="IKJ42" s="191"/>
      <c r="IKK42" s="191"/>
      <c r="IKL42" s="191"/>
      <c r="IKM42" s="191"/>
      <c r="IKN42" s="191"/>
      <c r="IKO42" s="191"/>
      <c r="IKP42" s="191"/>
      <c r="IKQ42" s="191"/>
      <c r="IKR42" s="191"/>
      <c r="IKS42" s="191"/>
      <c r="IKT42" s="191"/>
      <c r="IKU42" s="191"/>
      <c r="IKV42" s="191"/>
      <c r="IKW42" s="191"/>
      <c r="IKX42" s="191"/>
      <c r="IKY42" s="191"/>
      <c r="IKZ42" s="191"/>
      <c r="ILA42" s="191"/>
      <c r="ILB42" s="191"/>
      <c r="ILC42" s="191"/>
      <c r="ILD42" s="191"/>
      <c r="ILE42" s="191"/>
      <c r="ILF42" s="191"/>
      <c r="ILG42" s="191"/>
      <c r="ILH42" s="191"/>
      <c r="ILI42" s="191"/>
      <c r="ILJ42" s="191"/>
      <c r="ILK42" s="191"/>
      <c r="ILL42" s="191"/>
      <c r="ILM42" s="191"/>
      <c r="ILN42" s="191"/>
      <c r="ILO42" s="191"/>
      <c r="ILP42" s="191"/>
      <c r="ILQ42" s="191"/>
      <c r="ILR42" s="191"/>
      <c r="ILS42" s="191"/>
      <c r="ILT42" s="191"/>
      <c r="ILU42" s="191"/>
      <c r="ILV42" s="191"/>
      <c r="ILW42" s="191"/>
      <c r="ILX42" s="191"/>
      <c r="ILY42" s="191"/>
      <c r="ILZ42" s="191"/>
      <c r="IMA42" s="191"/>
      <c r="IMB42" s="191"/>
      <c r="IMC42" s="191"/>
      <c r="IMD42" s="191"/>
      <c r="IME42" s="191"/>
      <c r="IMF42" s="191"/>
      <c r="IMG42" s="191"/>
      <c r="IMH42" s="191"/>
      <c r="IMI42" s="191"/>
      <c r="IMJ42" s="191"/>
      <c r="IMK42" s="191"/>
      <c r="IML42" s="191"/>
      <c r="IMM42" s="191"/>
      <c r="IMN42" s="191"/>
      <c r="IMO42" s="191"/>
      <c r="IMP42" s="191"/>
      <c r="IMQ42" s="191"/>
      <c r="IMR42" s="191"/>
      <c r="IMS42" s="191"/>
      <c r="IMT42" s="191"/>
      <c r="IMU42" s="191"/>
      <c r="IMV42" s="191"/>
      <c r="IMW42" s="191"/>
      <c r="IMX42" s="191"/>
      <c r="IMY42" s="191"/>
      <c r="IMZ42" s="191"/>
      <c r="INA42" s="191"/>
      <c r="INB42" s="191"/>
      <c r="INC42" s="191"/>
      <c r="IND42" s="191"/>
      <c r="INE42" s="191"/>
      <c r="INF42" s="191"/>
      <c r="ING42" s="191"/>
      <c r="INH42" s="191"/>
      <c r="INI42" s="191"/>
      <c r="INJ42" s="191"/>
      <c r="INK42" s="191"/>
      <c r="INL42" s="191"/>
      <c r="INM42" s="191"/>
      <c r="INN42" s="191"/>
      <c r="INO42" s="191"/>
      <c r="INP42" s="191"/>
      <c r="INQ42" s="191"/>
      <c r="INR42" s="191"/>
      <c r="INS42" s="191"/>
      <c r="INT42" s="191"/>
      <c r="INU42" s="191"/>
      <c r="INV42" s="191"/>
      <c r="INW42" s="191"/>
      <c r="INX42" s="191"/>
      <c r="INY42" s="191"/>
      <c r="INZ42" s="191"/>
      <c r="IOA42" s="191"/>
      <c r="IOB42" s="191"/>
      <c r="IOC42" s="191"/>
      <c r="IOD42" s="191"/>
      <c r="IOE42" s="191"/>
      <c r="IOF42" s="191"/>
      <c r="IOG42" s="191"/>
      <c r="IOH42" s="191"/>
      <c r="IOI42" s="191"/>
      <c r="IOJ42" s="191"/>
      <c r="IOK42" s="191"/>
      <c r="IOL42" s="191"/>
      <c r="IOM42" s="191"/>
      <c r="ION42" s="191"/>
      <c r="IOO42" s="191"/>
      <c r="IOP42" s="191"/>
      <c r="IOQ42" s="191"/>
      <c r="IOR42" s="191"/>
      <c r="IOS42" s="191"/>
      <c r="IOT42" s="191"/>
      <c r="IOU42" s="191"/>
      <c r="IOV42" s="191"/>
      <c r="IOW42" s="191"/>
      <c r="IOX42" s="191"/>
      <c r="IOY42" s="191"/>
      <c r="IOZ42" s="191"/>
      <c r="IPA42" s="191"/>
      <c r="IPB42" s="191"/>
      <c r="IPC42" s="191"/>
      <c r="IPD42" s="191"/>
      <c r="IPE42" s="191"/>
      <c r="IPF42" s="191"/>
      <c r="IPG42" s="191"/>
      <c r="IPH42" s="191"/>
      <c r="IPI42" s="191"/>
      <c r="IPJ42" s="191"/>
      <c r="IPK42" s="191"/>
      <c r="IPL42" s="191"/>
      <c r="IPM42" s="191"/>
      <c r="IPN42" s="191"/>
      <c r="IPO42" s="191"/>
      <c r="IPP42" s="191"/>
      <c r="IPQ42" s="191"/>
      <c r="IPR42" s="191"/>
      <c r="IPS42" s="191"/>
      <c r="IPT42" s="191"/>
      <c r="IPU42" s="191"/>
      <c r="IPV42" s="191"/>
      <c r="IPW42" s="191"/>
      <c r="IPX42" s="191"/>
      <c r="IPY42" s="191"/>
      <c r="IPZ42" s="191"/>
      <c r="IQA42" s="191"/>
      <c r="IQB42" s="191"/>
      <c r="IQC42" s="191"/>
      <c r="IQD42" s="191"/>
      <c r="IQE42" s="191"/>
      <c r="IQF42" s="191"/>
      <c r="IQG42" s="191"/>
      <c r="IQH42" s="191"/>
      <c r="IQI42" s="191"/>
      <c r="IQJ42" s="191"/>
      <c r="IQK42" s="191"/>
      <c r="IQL42" s="191"/>
      <c r="IQM42" s="191"/>
      <c r="IQN42" s="191"/>
      <c r="IQO42" s="191"/>
      <c r="IQP42" s="191"/>
      <c r="IQQ42" s="191"/>
      <c r="IQR42" s="191"/>
      <c r="IQS42" s="191"/>
      <c r="IQT42" s="191"/>
      <c r="IQU42" s="191"/>
      <c r="IQV42" s="191"/>
      <c r="IQW42" s="191"/>
      <c r="IQX42" s="191"/>
      <c r="IQY42" s="191"/>
      <c r="IQZ42" s="191"/>
      <c r="IRA42" s="191"/>
      <c r="IRB42" s="191"/>
      <c r="IRC42" s="191"/>
      <c r="IRD42" s="191"/>
      <c r="IRE42" s="191"/>
      <c r="IRF42" s="191"/>
      <c r="IRG42" s="191"/>
      <c r="IRH42" s="191"/>
      <c r="IRI42" s="191"/>
      <c r="IRJ42" s="191"/>
      <c r="IRK42" s="191"/>
      <c r="IRL42" s="191"/>
      <c r="IRM42" s="191"/>
      <c r="IRN42" s="191"/>
      <c r="IRO42" s="191"/>
      <c r="IRP42" s="191"/>
      <c r="IRQ42" s="191"/>
      <c r="IRR42" s="191"/>
      <c r="IRS42" s="191"/>
      <c r="IRT42" s="191"/>
      <c r="IRU42" s="191"/>
      <c r="IRV42" s="191"/>
      <c r="IRW42" s="191"/>
      <c r="IRX42" s="191"/>
      <c r="IRY42" s="191"/>
      <c r="IRZ42" s="191"/>
      <c r="ISA42" s="191"/>
      <c r="ISB42" s="191"/>
      <c r="ISC42" s="191"/>
      <c r="ISD42" s="191"/>
      <c r="ISE42" s="191"/>
      <c r="ISF42" s="191"/>
      <c r="ISG42" s="191"/>
      <c r="ISH42" s="191"/>
      <c r="ISI42" s="191"/>
      <c r="ISJ42" s="191"/>
      <c r="ISK42" s="191"/>
      <c r="ISL42" s="191"/>
      <c r="ISM42" s="191"/>
      <c r="ISN42" s="191"/>
      <c r="ISO42" s="191"/>
      <c r="ISP42" s="191"/>
      <c r="ISQ42" s="191"/>
      <c r="ISR42" s="191"/>
      <c r="ISS42" s="191"/>
      <c r="IST42" s="191"/>
      <c r="ISU42" s="191"/>
      <c r="ISV42" s="191"/>
      <c r="ISW42" s="191"/>
      <c r="ISX42" s="191"/>
      <c r="ISY42" s="191"/>
      <c r="ISZ42" s="191"/>
      <c r="ITA42" s="191"/>
      <c r="ITB42" s="191"/>
      <c r="ITC42" s="191"/>
      <c r="ITD42" s="191"/>
      <c r="ITE42" s="191"/>
      <c r="ITF42" s="191"/>
      <c r="ITG42" s="191"/>
      <c r="ITH42" s="191"/>
      <c r="ITI42" s="191"/>
      <c r="ITJ42" s="191"/>
      <c r="ITK42" s="191"/>
      <c r="ITL42" s="191"/>
      <c r="ITM42" s="191"/>
      <c r="ITN42" s="191"/>
      <c r="ITO42" s="191"/>
      <c r="ITP42" s="191"/>
      <c r="ITQ42" s="191"/>
      <c r="ITR42" s="191"/>
      <c r="ITS42" s="191"/>
      <c r="ITT42" s="191"/>
      <c r="ITU42" s="191"/>
      <c r="ITV42" s="191"/>
      <c r="ITW42" s="191"/>
      <c r="ITX42" s="191"/>
      <c r="ITY42" s="191"/>
      <c r="ITZ42" s="191"/>
      <c r="IUA42" s="191"/>
      <c r="IUB42" s="191"/>
      <c r="IUC42" s="191"/>
      <c r="IUD42" s="191"/>
      <c r="IUE42" s="191"/>
      <c r="IUF42" s="191"/>
      <c r="IUG42" s="191"/>
      <c r="IUH42" s="191"/>
      <c r="IUI42" s="191"/>
      <c r="IUJ42" s="191"/>
      <c r="IUK42" s="191"/>
      <c r="IUL42" s="191"/>
      <c r="IUM42" s="191"/>
      <c r="IUN42" s="191"/>
      <c r="IUO42" s="191"/>
      <c r="IUP42" s="191"/>
      <c r="IUQ42" s="191"/>
      <c r="IUR42" s="191"/>
      <c r="IUS42" s="191"/>
      <c r="IUT42" s="191"/>
      <c r="IUU42" s="191"/>
      <c r="IUV42" s="191"/>
      <c r="IUW42" s="191"/>
      <c r="IUX42" s="191"/>
      <c r="IUY42" s="191"/>
      <c r="IUZ42" s="191"/>
      <c r="IVA42" s="191"/>
      <c r="IVB42" s="191"/>
      <c r="IVC42" s="191"/>
      <c r="IVD42" s="191"/>
      <c r="IVE42" s="191"/>
      <c r="IVF42" s="191"/>
      <c r="IVG42" s="191"/>
      <c r="IVH42" s="191"/>
      <c r="IVI42" s="191"/>
      <c r="IVJ42" s="191"/>
      <c r="IVK42" s="191"/>
      <c r="IVL42" s="191"/>
      <c r="IVM42" s="191"/>
      <c r="IVN42" s="191"/>
      <c r="IVO42" s="191"/>
      <c r="IVP42" s="191"/>
      <c r="IVQ42" s="191"/>
      <c r="IVR42" s="191"/>
      <c r="IVS42" s="191"/>
      <c r="IVT42" s="191"/>
      <c r="IVU42" s="191"/>
      <c r="IVV42" s="191"/>
      <c r="IVW42" s="191"/>
      <c r="IVX42" s="191"/>
      <c r="IVY42" s="191"/>
      <c r="IVZ42" s="191"/>
      <c r="IWA42" s="191"/>
      <c r="IWB42" s="191"/>
      <c r="IWC42" s="191"/>
      <c r="IWD42" s="191"/>
      <c r="IWE42" s="191"/>
      <c r="IWF42" s="191"/>
      <c r="IWG42" s="191"/>
      <c r="IWH42" s="191"/>
      <c r="IWI42" s="191"/>
      <c r="IWJ42" s="191"/>
      <c r="IWK42" s="191"/>
      <c r="IWL42" s="191"/>
      <c r="IWM42" s="191"/>
      <c r="IWN42" s="191"/>
      <c r="IWO42" s="191"/>
      <c r="IWP42" s="191"/>
      <c r="IWQ42" s="191"/>
      <c r="IWR42" s="191"/>
      <c r="IWS42" s="191"/>
      <c r="IWT42" s="191"/>
      <c r="IWU42" s="191"/>
      <c r="IWV42" s="191"/>
      <c r="IWW42" s="191"/>
      <c r="IWX42" s="191"/>
      <c r="IWY42" s="191"/>
      <c r="IWZ42" s="191"/>
      <c r="IXA42" s="191"/>
      <c r="IXB42" s="191"/>
      <c r="IXC42" s="191"/>
      <c r="IXD42" s="191"/>
      <c r="IXE42" s="191"/>
      <c r="IXF42" s="191"/>
      <c r="IXG42" s="191"/>
      <c r="IXH42" s="191"/>
      <c r="IXI42" s="191"/>
      <c r="IXJ42" s="191"/>
      <c r="IXK42" s="191"/>
      <c r="IXL42" s="191"/>
      <c r="IXM42" s="191"/>
      <c r="IXN42" s="191"/>
      <c r="IXO42" s="191"/>
      <c r="IXP42" s="191"/>
      <c r="IXQ42" s="191"/>
      <c r="IXR42" s="191"/>
      <c r="IXS42" s="191"/>
      <c r="IXT42" s="191"/>
      <c r="IXU42" s="191"/>
      <c r="IXV42" s="191"/>
      <c r="IXW42" s="191"/>
      <c r="IXX42" s="191"/>
      <c r="IXY42" s="191"/>
      <c r="IXZ42" s="191"/>
      <c r="IYA42" s="191"/>
      <c r="IYB42" s="191"/>
      <c r="IYC42" s="191"/>
      <c r="IYD42" s="191"/>
      <c r="IYE42" s="191"/>
      <c r="IYF42" s="191"/>
      <c r="IYG42" s="191"/>
      <c r="IYH42" s="191"/>
      <c r="IYI42" s="191"/>
      <c r="IYJ42" s="191"/>
      <c r="IYK42" s="191"/>
      <c r="IYL42" s="191"/>
      <c r="IYM42" s="191"/>
      <c r="IYN42" s="191"/>
      <c r="IYO42" s="191"/>
      <c r="IYP42" s="191"/>
      <c r="IYQ42" s="191"/>
      <c r="IYR42" s="191"/>
      <c r="IYS42" s="191"/>
      <c r="IYT42" s="191"/>
      <c r="IYU42" s="191"/>
      <c r="IYV42" s="191"/>
      <c r="IYW42" s="191"/>
      <c r="IYX42" s="191"/>
      <c r="IYY42" s="191"/>
      <c r="IYZ42" s="191"/>
      <c r="IZA42" s="191"/>
      <c r="IZB42" s="191"/>
      <c r="IZC42" s="191"/>
      <c r="IZD42" s="191"/>
      <c r="IZE42" s="191"/>
      <c r="IZF42" s="191"/>
      <c r="IZG42" s="191"/>
      <c r="IZH42" s="191"/>
      <c r="IZI42" s="191"/>
      <c r="IZJ42" s="191"/>
      <c r="IZK42" s="191"/>
      <c r="IZL42" s="191"/>
      <c r="IZM42" s="191"/>
      <c r="IZN42" s="191"/>
      <c r="IZO42" s="191"/>
      <c r="IZP42" s="191"/>
      <c r="IZQ42" s="191"/>
      <c r="IZR42" s="191"/>
      <c r="IZS42" s="191"/>
      <c r="IZT42" s="191"/>
      <c r="IZU42" s="191"/>
      <c r="IZV42" s="191"/>
      <c r="IZW42" s="191"/>
      <c r="IZX42" s="191"/>
      <c r="IZY42" s="191"/>
      <c r="IZZ42" s="191"/>
      <c r="JAA42" s="191"/>
      <c r="JAB42" s="191"/>
      <c r="JAC42" s="191"/>
      <c r="JAD42" s="191"/>
      <c r="JAE42" s="191"/>
      <c r="JAF42" s="191"/>
      <c r="JAG42" s="191"/>
      <c r="JAH42" s="191"/>
      <c r="JAI42" s="191"/>
      <c r="JAJ42" s="191"/>
      <c r="JAK42" s="191"/>
      <c r="JAL42" s="191"/>
      <c r="JAM42" s="191"/>
      <c r="JAN42" s="191"/>
      <c r="JAO42" s="191"/>
      <c r="JAP42" s="191"/>
      <c r="JAQ42" s="191"/>
      <c r="JAR42" s="191"/>
      <c r="JAS42" s="191"/>
      <c r="JAT42" s="191"/>
      <c r="JAU42" s="191"/>
      <c r="JAV42" s="191"/>
      <c r="JAW42" s="191"/>
      <c r="JAX42" s="191"/>
      <c r="JAY42" s="191"/>
      <c r="JAZ42" s="191"/>
      <c r="JBA42" s="191"/>
      <c r="JBB42" s="191"/>
      <c r="JBC42" s="191"/>
      <c r="JBD42" s="191"/>
      <c r="JBE42" s="191"/>
      <c r="JBF42" s="191"/>
      <c r="JBG42" s="191"/>
      <c r="JBH42" s="191"/>
      <c r="JBI42" s="191"/>
      <c r="JBJ42" s="191"/>
      <c r="JBK42" s="191"/>
      <c r="JBL42" s="191"/>
      <c r="JBM42" s="191"/>
      <c r="JBN42" s="191"/>
      <c r="JBO42" s="191"/>
      <c r="JBP42" s="191"/>
      <c r="JBQ42" s="191"/>
      <c r="JBR42" s="191"/>
      <c r="JBS42" s="191"/>
      <c r="JBT42" s="191"/>
      <c r="JBU42" s="191"/>
      <c r="JBV42" s="191"/>
      <c r="JBW42" s="191"/>
      <c r="JBX42" s="191"/>
      <c r="JBY42" s="191"/>
      <c r="JBZ42" s="191"/>
      <c r="JCA42" s="191"/>
      <c r="JCB42" s="191"/>
      <c r="JCC42" s="191"/>
      <c r="JCD42" s="191"/>
      <c r="JCE42" s="191"/>
      <c r="JCF42" s="191"/>
      <c r="JCG42" s="191"/>
      <c r="JCH42" s="191"/>
      <c r="JCI42" s="191"/>
      <c r="JCJ42" s="191"/>
      <c r="JCK42" s="191"/>
      <c r="JCL42" s="191"/>
      <c r="JCM42" s="191"/>
      <c r="JCN42" s="191"/>
      <c r="JCO42" s="191"/>
      <c r="JCP42" s="191"/>
      <c r="JCQ42" s="191"/>
      <c r="JCR42" s="191"/>
      <c r="JCS42" s="191"/>
      <c r="JCT42" s="191"/>
      <c r="JCU42" s="191"/>
      <c r="JCV42" s="191"/>
      <c r="JCW42" s="191"/>
      <c r="JCX42" s="191"/>
      <c r="JCY42" s="191"/>
      <c r="JCZ42" s="191"/>
      <c r="JDA42" s="191"/>
      <c r="JDB42" s="191"/>
      <c r="JDC42" s="191"/>
      <c r="JDD42" s="191"/>
      <c r="JDE42" s="191"/>
      <c r="JDF42" s="191"/>
      <c r="JDG42" s="191"/>
      <c r="JDH42" s="191"/>
      <c r="JDI42" s="191"/>
      <c r="JDJ42" s="191"/>
      <c r="JDK42" s="191"/>
      <c r="JDL42" s="191"/>
      <c r="JDM42" s="191"/>
      <c r="JDN42" s="191"/>
      <c r="JDO42" s="191"/>
      <c r="JDP42" s="191"/>
      <c r="JDQ42" s="191"/>
      <c r="JDR42" s="191"/>
      <c r="JDS42" s="191"/>
      <c r="JDT42" s="191"/>
      <c r="JDU42" s="191"/>
      <c r="JDV42" s="191"/>
      <c r="JDW42" s="191"/>
      <c r="JDX42" s="191"/>
      <c r="JDY42" s="191"/>
      <c r="JDZ42" s="191"/>
      <c r="JEA42" s="191"/>
      <c r="JEB42" s="191"/>
      <c r="JEC42" s="191"/>
      <c r="JED42" s="191"/>
      <c r="JEE42" s="191"/>
      <c r="JEF42" s="191"/>
      <c r="JEG42" s="191"/>
      <c r="JEH42" s="191"/>
      <c r="JEI42" s="191"/>
      <c r="JEJ42" s="191"/>
      <c r="JEK42" s="191"/>
      <c r="JEL42" s="191"/>
      <c r="JEM42" s="191"/>
      <c r="JEN42" s="191"/>
      <c r="JEO42" s="191"/>
      <c r="JEP42" s="191"/>
      <c r="JEQ42" s="191"/>
      <c r="JER42" s="191"/>
      <c r="JES42" s="191"/>
      <c r="JET42" s="191"/>
      <c r="JEU42" s="191"/>
      <c r="JEV42" s="191"/>
      <c r="JEW42" s="191"/>
      <c r="JEX42" s="191"/>
      <c r="JEY42" s="191"/>
      <c r="JEZ42" s="191"/>
      <c r="JFA42" s="191"/>
      <c r="JFB42" s="191"/>
      <c r="JFC42" s="191"/>
      <c r="JFD42" s="191"/>
      <c r="JFE42" s="191"/>
      <c r="JFF42" s="191"/>
      <c r="JFG42" s="191"/>
      <c r="JFH42" s="191"/>
      <c r="JFI42" s="191"/>
      <c r="JFJ42" s="191"/>
      <c r="JFK42" s="191"/>
      <c r="JFL42" s="191"/>
      <c r="JFM42" s="191"/>
      <c r="JFN42" s="191"/>
      <c r="JFO42" s="191"/>
      <c r="JFP42" s="191"/>
      <c r="JFQ42" s="191"/>
      <c r="JFR42" s="191"/>
      <c r="JFS42" s="191"/>
      <c r="JFT42" s="191"/>
      <c r="JFU42" s="191"/>
      <c r="JFV42" s="191"/>
      <c r="JFW42" s="191"/>
      <c r="JFX42" s="191"/>
      <c r="JFY42" s="191"/>
      <c r="JFZ42" s="191"/>
      <c r="JGA42" s="191"/>
      <c r="JGB42" s="191"/>
      <c r="JGC42" s="191"/>
      <c r="JGD42" s="191"/>
      <c r="JGE42" s="191"/>
      <c r="JGF42" s="191"/>
      <c r="JGG42" s="191"/>
      <c r="JGH42" s="191"/>
      <c r="JGI42" s="191"/>
      <c r="JGJ42" s="191"/>
      <c r="JGK42" s="191"/>
      <c r="JGL42" s="191"/>
      <c r="JGM42" s="191"/>
      <c r="JGN42" s="191"/>
      <c r="JGO42" s="191"/>
      <c r="JGP42" s="191"/>
      <c r="JGQ42" s="191"/>
      <c r="JGR42" s="191"/>
      <c r="JGS42" s="191"/>
      <c r="JGT42" s="191"/>
      <c r="JGU42" s="191"/>
      <c r="JGV42" s="191"/>
      <c r="JGW42" s="191"/>
      <c r="JGX42" s="191"/>
      <c r="JGY42" s="191"/>
      <c r="JGZ42" s="191"/>
      <c r="JHA42" s="191"/>
      <c r="JHB42" s="191"/>
      <c r="JHC42" s="191"/>
      <c r="JHD42" s="191"/>
      <c r="JHE42" s="191"/>
      <c r="JHF42" s="191"/>
      <c r="JHG42" s="191"/>
      <c r="JHH42" s="191"/>
      <c r="JHI42" s="191"/>
      <c r="JHJ42" s="191"/>
      <c r="JHK42" s="191"/>
      <c r="JHL42" s="191"/>
      <c r="JHM42" s="191"/>
      <c r="JHN42" s="191"/>
      <c r="JHO42" s="191"/>
      <c r="JHP42" s="191"/>
      <c r="JHQ42" s="191"/>
      <c r="JHR42" s="191"/>
      <c r="JHS42" s="191"/>
      <c r="JHT42" s="191"/>
      <c r="JHU42" s="191"/>
      <c r="JHV42" s="191"/>
      <c r="JHW42" s="191"/>
      <c r="JHX42" s="191"/>
      <c r="JHY42" s="191"/>
      <c r="JHZ42" s="191"/>
      <c r="JIA42" s="191"/>
      <c r="JIB42" s="191"/>
      <c r="JIC42" s="191"/>
      <c r="JID42" s="191"/>
      <c r="JIE42" s="191"/>
      <c r="JIF42" s="191"/>
      <c r="JIG42" s="191"/>
      <c r="JIH42" s="191"/>
      <c r="JII42" s="191"/>
      <c r="JIJ42" s="191"/>
      <c r="JIK42" s="191"/>
      <c r="JIL42" s="191"/>
      <c r="JIM42" s="191"/>
      <c r="JIN42" s="191"/>
      <c r="JIO42" s="191"/>
      <c r="JIP42" s="191"/>
      <c r="JIQ42" s="191"/>
      <c r="JIR42" s="191"/>
      <c r="JIS42" s="191"/>
      <c r="JIT42" s="191"/>
      <c r="JIU42" s="191"/>
      <c r="JIV42" s="191"/>
      <c r="JIW42" s="191"/>
      <c r="JIX42" s="191"/>
      <c r="JIY42" s="191"/>
      <c r="JIZ42" s="191"/>
      <c r="JJA42" s="191"/>
      <c r="JJB42" s="191"/>
      <c r="JJC42" s="191"/>
      <c r="JJD42" s="191"/>
      <c r="JJE42" s="191"/>
      <c r="JJF42" s="191"/>
      <c r="JJG42" s="191"/>
      <c r="JJH42" s="191"/>
      <c r="JJI42" s="191"/>
      <c r="JJJ42" s="191"/>
      <c r="JJK42" s="191"/>
      <c r="JJL42" s="191"/>
      <c r="JJM42" s="191"/>
      <c r="JJN42" s="191"/>
      <c r="JJO42" s="191"/>
      <c r="JJP42" s="191"/>
      <c r="JJQ42" s="191"/>
      <c r="JJR42" s="191"/>
      <c r="JJS42" s="191"/>
      <c r="JJT42" s="191"/>
      <c r="JJU42" s="191"/>
      <c r="JJV42" s="191"/>
      <c r="JJW42" s="191"/>
      <c r="JJX42" s="191"/>
      <c r="JJY42" s="191"/>
      <c r="JJZ42" s="191"/>
      <c r="JKA42" s="191"/>
      <c r="JKB42" s="191"/>
      <c r="JKC42" s="191"/>
      <c r="JKD42" s="191"/>
      <c r="JKE42" s="191"/>
      <c r="JKF42" s="191"/>
      <c r="JKG42" s="191"/>
      <c r="JKH42" s="191"/>
      <c r="JKI42" s="191"/>
      <c r="JKJ42" s="191"/>
      <c r="JKK42" s="191"/>
      <c r="JKL42" s="191"/>
      <c r="JKM42" s="191"/>
      <c r="JKN42" s="191"/>
      <c r="JKO42" s="191"/>
      <c r="JKP42" s="191"/>
      <c r="JKQ42" s="191"/>
      <c r="JKR42" s="191"/>
      <c r="JKS42" s="191"/>
      <c r="JKT42" s="191"/>
      <c r="JKU42" s="191"/>
      <c r="JKV42" s="191"/>
      <c r="JKW42" s="191"/>
      <c r="JKX42" s="191"/>
      <c r="JKY42" s="191"/>
      <c r="JKZ42" s="191"/>
      <c r="JLA42" s="191"/>
      <c r="JLB42" s="191"/>
      <c r="JLC42" s="191"/>
      <c r="JLD42" s="191"/>
      <c r="JLE42" s="191"/>
      <c r="JLF42" s="191"/>
      <c r="JLG42" s="191"/>
      <c r="JLH42" s="191"/>
      <c r="JLI42" s="191"/>
      <c r="JLJ42" s="191"/>
      <c r="JLK42" s="191"/>
      <c r="JLL42" s="191"/>
      <c r="JLM42" s="191"/>
      <c r="JLN42" s="191"/>
      <c r="JLO42" s="191"/>
      <c r="JLP42" s="191"/>
      <c r="JLQ42" s="191"/>
      <c r="JLR42" s="191"/>
      <c r="JLS42" s="191"/>
      <c r="JLT42" s="191"/>
      <c r="JLU42" s="191"/>
      <c r="JLV42" s="191"/>
      <c r="JLW42" s="191"/>
      <c r="JLX42" s="191"/>
      <c r="JLY42" s="191"/>
      <c r="JLZ42" s="191"/>
      <c r="JMA42" s="191"/>
      <c r="JMB42" s="191"/>
      <c r="JMC42" s="191"/>
      <c r="JMD42" s="191"/>
      <c r="JME42" s="191"/>
      <c r="JMF42" s="191"/>
      <c r="JMG42" s="191"/>
      <c r="JMH42" s="191"/>
      <c r="JMI42" s="191"/>
      <c r="JMJ42" s="191"/>
      <c r="JMK42" s="191"/>
      <c r="JML42" s="191"/>
      <c r="JMM42" s="191"/>
      <c r="JMN42" s="191"/>
      <c r="JMO42" s="191"/>
      <c r="JMP42" s="191"/>
      <c r="JMQ42" s="191"/>
      <c r="JMR42" s="191"/>
      <c r="JMS42" s="191"/>
      <c r="JMT42" s="191"/>
      <c r="JMU42" s="191"/>
      <c r="JMV42" s="191"/>
      <c r="JMW42" s="191"/>
      <c r="JMX42" s="191"/>
      <c r="JMY42" s="191"/>
      <c r="JMZ42" s="191"/>
      <c r="JNA42" s="191"/>
      <c r="JNB42" s="191"/>
      <c r="JNC42" s="191"/>
      <c r="JND42" s="191"/>
      <c r="JNE42" s="191"/>
      <c r="JNF42" s="191"/>
      <c r="JNG42" s="191"/>
      <c r="JNH42" s="191"/>
      <c r="JNI42" s="191"/>
      <c r="JNJ42" s="191"/>
      <c r="JNK42" s="191"/>
      <c r="JNL42" s="191"/>
      <c r="JNM42" s="191"/>
      <c r="JNN42" s="191"/>
      <c r="JNO42" s="191"/>
      <c r="JNP42" s="191"/>
      <c r="JNQ42" s="191"/>
      <c r="JNR42" s="191"/>
      <c r="JNS42" s="191"/>
      <c r="JNT42" s="191"/>
      <c r="JNU42" s="191"/>
      <c r="JNV42" s="191"/>
      <c r="JNW42" s="191"/>
      <c r="JNX42" s="191"/>
      <c r="JNY42" s="191"/>
      <c r="JNZ42" s="191"/>
      <c r="JOA42" s="191"/>
      <c r="JOB42" s="191"/>
      <c r="JOC42" s="191"/>
      <c r="JOD42" s="191"/>
      <c r="JOE42" s="191"/>
      <c r="JOF42" s="191"/>
      <c r="JOG42" s="191"/>
      <c r="JOH42" s="191"/>
      <c r="JOI42" s="191"/>
      <c r="JOJ42" s="191"/>
      <c r="JOK42" s="191"/>
      <c r="JOL42" s="191"/>
      <c r="JOM42" s="191"/>
      <c r="JON42" s="191"/>
      <c r="JOO42" s="191"/>
      <c r="JOP42" s="191"/>
      <c r="JOQ42" s="191"/>
      <c r="JOR42" s="191"/>
      <c r="JOS42" s="191"/>
      <c r="JOT42" s="191"/>
      <c r="JOU42" s="191"/>
      <c r="JOV42" s="191"/>
      <c r="JOW42" s="191"/>
      <c r="JOX42" s="191"/>
      <c r="JOY42" s="191"/>
      <c r="JOZ42" s="191"/>
      <c r="JPA42" s="191"/>
      <c r="JPB42" s="191"/>
      <c r="JPC42" s="191"/>
      <c r="JPD42" s="191"/>
      <c r="JPE42" s="191"/>
      <c r="JPF42" s="191"/>
      <c r="JPG42" s="191"/>
      <c r="JPH42" s="191"/>
      <c r="JPI42" s="191"/>
      <c r="JPJ42" s="191"/>
      <c r="JPK42" s="191"/>
      <c r="JPL42" s="191"/>
      <c r="JPM42" s="191"/>
      <c r="JPN42" s="191"/>
      <c r="JPO42" s="191"/>
      <c r="JPP42" s="191"/>
      <c r="JPQ42" s="191"/>
      <c r="JPR42" s="191"/>
      <c r="JPS42" s="191"/>
      <c r="JPT42" s="191"/>
      <c r="JPU42" s="191"/>
      <c r="JPV42" s="191"/>
      <c r="JPW42" s="191"/>
      <c r="JPX42" s="191"/>
      <c r="JPY42" s="191"/>
      <c r="JPZ42" s="191"/>
      <c r="JQA42" s="191"/>
      <c r="JQB42" s="191"/>
      <c r="JQC42" s="191"/>
      <c r="JQD42" s="191"/>
      <c r="JQE42" s="191"/>
      <c r="JQF42" s="191"/>
      <c r="JQG42" s="191"/>
      <c r="JQH42" s="191"/>
      <c r="JQI42" s="191"/>
      <c r="JQJ42" s="191"/>
      <c r="JQK42" s="191"/>
      <c r="JQL42" s="191"/>
      <c r="JQM42" s="191"/>
      <c r="JQN42" s="191"/>
      <c r="JQO42" s="191"/>
      <c r="JQP42" s="191"/>
      <c r="JQQ42" s="191"/>
      <c r="JQR42" s="191"/>
      <c r="JQS42" s="191"/>
      <c r="JQT42" s="191"/>
      <c r="JQU42" s="191"/>
      <c r="JQV42" s="191"/>
      <c r="JQW42" s="191"/>
      <c r="JQX42" s="191"/>
      <c r="JQY42" s="191"/>
      <c r="JQZ42" s="191"/>
      <c r="JRA42" s="191"/>
      <c r="JRB42" s="191"/>
      <c r="JRC42" s="191"/>
      <c r="JRD42" s="191"/>
      <c r="JRE42" s="191"/>
      <c r="JRF42" s="191"/>
      <c r="JRG42" s="191"/>
      <c r="JRH42" s="191"/>
      <c r="JRI42" s="191"/>
      <c r="JRJ42" s="191"/>
      <c r="JRK42" s="191"/>
      <c r="JRL42" s="191"/>
      <c r="JRM42" s="191"/>
      <c r="JRN42" s="191"/>
      <c r="JRO42" s="191"/>
      <c r="JRP42" s="191"/>
      <c r="JRQ42" s="191"/>
      <c r="JRR42" s="191"/>
      <c r="JRS42" s="191"/>
      <c r="JRT42" s="191"/>
      <c r="JRU42" s="191"/>
      <c r="JRV42" s="191"/>
      <c r="JRW42" s="191"/>
      <c r="JRX42" s="191"/>
      <c r="JRY42" s="191"/>
      <c r="JRZ42" s="191"/>
      <c r="JSA42" s="191"/>
      <c r="JSB42" s="191"/>
      <c r="JSC42" s="191"/>
      <c r="JSD42" s="191"/>
      <c r="JSE42" s="191"/>
      <c r="JSF42" s="191"/>
      <c r="JSG42" s="191"/>
      <c r="JSH42" s="191"/>
      <c r="JSI42" s="191"/>
      <c r="JSJ42" s="191"/>
      <c r="JSK42" s="191"/>
      <c r="JSL42" s="191"/>
      <c r="JSM42" s="191"/>
      <c r="JSN42" s="191"/>
      <c r="JSO42" s="191"/>
      <c r="JSP42" s="191"/>
      <c r="JSQ42" s="191"/>
      <c r="JSR42" s="191"/>
      <c r="JSS42" s="191"/>
      <c r="JST42" s="191"/>
      <c r="JSU42" s="191"/>
      <c r="JSV42" s="191"/>
      <c r="JSW42" s="191"/>
      <c r="JSX42" s="191"/>
      <c r="JSY42" s="191"/>
      <c r="JSZ42" s="191"/>
      <c r="JTA42" s="191"/>
      <c r="JTB42" s="191"/>
      <c r="JTC42" s="191"/>
      <c r="JTD42" s="191"/>
      <c r="JTE42" s="191"/>
      <c r="JTF42" s="191"/>
      <c r="JTG42" s="191"/>
      <c r="JTH42" s="191"/>
      <c r="JTI42" s="191"/>
      <c r="JTJ42" s="191"/>
      <c r="JTK42" s="191"/>
      <c r="JTL42" s="191"/>
      <c r="JTM42" s="191"/>
      <c r="JTN42" s="191"/>
      <c r="JTO42" s="191"/>
      <c r="JTP42" s="191"/>
      <c r="JTQ42" s="191"/>
      <c r="JTR42" s="191"/>
      <c r="JTS42" s="191"/>
      <c r="JTT42" s="191"/>
      <c r="JTU42" s="191"/>
      <c r="JTV42" s="191"/>
      <c r="JTW42" s="191"/>
      <c r="JTX42" s="191"/>
      <c r="JTY42" s="191"/>
      <c r="JTZ42" s="191"/>
      <c r="JUA42" s="191"/>
      <c r="JUB42" s="191"/>
      <c r="JUC42" s="191"/>
      <c r="JUD42" s="191"/>
      <c r="JUE42" s="191"/>
      <c r="JUF42" s="191"/>
      <c r="JUG42" s="191"/>
      <c r="JUH42" s="191"/>
      <c r="JUI42" s="191"/>
      <c r="JUJ42" s="191"/>
      <c r="JUK42" s="191"/>
      <c r="JUL42" s="191"/>
      <c r="JUM42" s="191"/>
      <c r="JUN42" s="191"/>
      <c r="JUO42" s="191"/>
      <c r="JUP42" s="191"/>
      <c r="JUQ42" s="191"/>
      <c r="JUR42" s="191"/>
      <c r="JUS42" s="191"/>
      <c r="JUT42" s="191"/>
      <c r="JUU42" s="191"/>
      <c r="JUV42" s="191"/>
      <c r="JUW42" s="191"/>
      <c r="JUX42" s="191"/>
      <c r="JUY42" s="191"/>
      <c r="JUZ42" s="191"/>
      <c r="JVA42" s="191"/>
      <c r="JVB42" s="191"/>
      <c r="JVC42" s="191"/>
      <c r="JVD42" s="191"/>
      <c r="JVE42" s="191"/>
      <c r="JVF42" s="191"/>
      <c r="JVG42" s="191"/>
      <c r="JVH42" s="191"/>
      <c r="JVI42" s="191"/>
      <c r="JVJ42" s="191"/>
      <c r="JVK42" s="191"/>
      <c r="JVL42" s="191"/>
      <c r="JVM42" s="191"/>
      <c r="JVN42" s="191"/>
      <c r="JVO42" s="191"/>
      <c r="JVP42" s="191"/>
      <c r="JVQ42" s="191"/>
      <c r="JVR42" s="191"/>
      <c r="JVS42" s="191"/>
      <c r="JVT42" s="191"/>
      <c r="JVU42" s="191"/>
      <c r="JVV42" s="191"/>
      <c r="JVW42" s="191"/>
      <c r="JVX42" s="191"/>
      <c r="JVY42" s="191"/>
      <c r="JVZ42" s="191"/>
      <c r="JWA42" s="191"/>
      <c r="JWB42" s="191"/>
      <c r="JWC42" s="191"/>
      <c r="JWD42" s="191"/>
      <c r="JWE42" s="191"/>
      <c r="JWF42" s="191"/>
      <c r="JWG42" s="191"/>
      <c r="JWH42" s="191"/>
      <c r="JWI42" s="191"/>
      <c r="JWJ42" s="191"/>
      <c r="JWK42" s="191"/>
      <c r="JWL42" s="191"/>
      <c r="JWM42" s="191"/>
      <c r="JWN42" s="191"/>
      <c r="JWO42" s="191"/>
      <c r="JWP42" s="191"/>
      <c r="JWQ42" s="191"/>
      <c r="JWR42" s="191"/>
      <c r="JWS42" s="191"/>
      <c r="JWT42" s="191"/>
      <c r="JWU42" s="191"/>
      <c r="JWV42" s="191"/>
      <c r="JWW42" s="191"/>
      <c r="JWX42" s="191"/>
      <c r="JWY42" s="191"/>
      <c r="JWZ42" s="191"/>
      <c r="JXA42" s="191"/>
      <c r="JXB42" s="191"/>
      <c r="JXC42" s="191"/>
      <c r="JXD42" s="191"/>
      <c r="JXE42" s="191"/>
      <c r="JXF42" s="191"/>
      <c r="JXG42" s="191"/>
      <c r="JXH42" s="191"/>
      <c r="JXI42" s="191"/>
      <c r="JXJ42" s="191"/>
      <c r="JXK42" s="191"/>
      <c r="JXL42" s="191"/>
      <c r="JXM42" s="191"/>
      <c r="JXN42" s="191"/>
      <c r="JXO42" s="191"/>
      <c r="JXP42" s="191"/>
      <c r="JXQ42" s="191"/>
      <c r="JXR42" s="191"/>
      <c r="JXS42" s="191"/>
      <c r="JXT42" s="191"/>
      <c r="JXU42" s="191"/>
      <c r="JXV42" s="191"/>
      <c r="JXW42" s="191"/>
      <c r="JXX42" s="191"/>
      <c r="JXY42" s="191"/>
      <c r="JXZ42" s="191"/>
      <c r="JYA42" s="191"/>
      <c r="JYB42" s="191"/>
      <c r="JYC42" s="191"/>
      <c r="JYD42" s="191"/>
      <c r="JYE42" s="191"/>
      <c r="JYF42" s="191"/>
      <c r="JYG42" s="191"/>
      <c r="JYH42" s="191"/>
      <c r="JYI42" s="191"/>
      <c r="JYJ42" s="191"/>
      <c r="JYK42" s="191"/>
      <c r="JYL42" s="191"/>
      <c r="JYM42" s="191"/>
      <c r="JYN42" s="191"/>
      <c r="JYO42" s="191"/>
      <c r="JYP42" s="191"/>
      <c r="JYQ42" s="191"/>
      <c r="JYR42" s="191"/>
      <c r="JYS42" s="191"/>
      <c r="JYT42" s="191"/>
      <c r="JYU42" s="191"/>
      <c r="JYV42" s="191"/>
      <c r="JYW42" s="191"/>
      <c r="JYX42" s="191"/>
      <c r="JYY42" s="191"/>
      <c r="JYZ42" s="191"/>
      <c r="JZA42" s="191"/>
      <c r="JZB42" s="191"/>
      <c r="JZC42" s="191"/>
      <c r="JZD42" s="191"/>
      <c r="JZE42" s="191"/>
      <c r="JZF42" s="191"/>
      <c r="JZG42" s="191"/>
      <c r="JZH42" s="191"/>
      <c r="JZI42" s="191"/>
      <c r="JZJ42" s="191"/>
      <c r="JZK42" s="191"/>
      <c r="JZL42" s="191"/>
      <c r="JZM42" s="191"/>
      <c r="JZN42" s="191"/>
      <c r="JZO42" s="191"/>
      <c r="JZP42" s="191"/>
      <c r="JZQ42" s="191"/>
      <c r="JZR42" s="191"/>
      <c r="JZS42" s="191"/>
      <c r="JZT42" s="191"/>
      <c r="JZU42" s="191"/>
      <c r="JZV42" s="191"/>
      <c r="JZW42" s="191"/>
      <c r="JZX42" s="191"/>
      <c r="JZY42" s="191"/>
      <c r="JZZ42" s="191"/>
      <c r="KAA42" s="191"/>
      <c r="KAB42" s="191"/>
      <c r="KAC42" s="191"/>
      <c r="KAD42" s="191"/>
      <c r="KAE42" s="191"/>
      <c r="KAF42" s="191"/>
      <c r="KAG42" s="191"/>
      <c r="KAH42" s="191"/>
      <c r="KAI42" s="191"/>
      <c r="KAJ42" s="191"/>
      <c r="KAK42" s="191"/>
      <c r="KAL42" s="191"/>
      <c r="KAM42" s="191"/>
      <c r="KAN42" s="191"/>
      <c r="KAO42" s="191"/>
      <c r="KAP42" s="191"/>
      <c r="KAQ42" s="191"/>
      <c r="KAR42" s="191"/>
      <c r="KAS42" s="191"/>
      <c r="KAT42" s="191"/>
      <c r="KAU42" s="191"/>
      <c r="KAV42" s="191"/>
      <c r="KAW42" s="191"/>
      <c r="KAX42" s="191"/>
      <c r="KAY42" s="191"/>
      <c r="KAZ42" s="191"/>
      <c r="KBA42" s="191"/>
      <c r="KBB42" s="191"/>
      <c r="KBC42" s="191"/>
      <c r="KBD42" s="191"/>
      <c r="KBE42" s="191"/>
      <c r="KBF42" s="191"/>
      <c r="KBG42" s="191"/>
      <c r="KBH42" s="191"/>
      <c r="KBI42" s="191"/>
      <c r="KBJ42" s="191"/>
      <c r="KBK42" s="191"/>
      <c r="KBL42" s="191"/>
      <c r="KBM42" s="191"/>
      <c r="KBN42" s="191"/>
      <c r="KBO42" s="191"/>
      <c r="KBP42" s="191"/>
      <c r="KBQ42" s="191"/>
      <c r="KBR42" s="191"/>
      <c r="KBS42" s="191"/>
      <c r="KBT42" s="191"/>
      <c r="KBU42" s="191"/>
      <c r="KBV42" s="191"/>
      <c r="KBW42" s="191"/>
      <c r="KBX42" s="191"/>
      <c r="KBY42" s="191"/>
      <c r="KBZ42" s="191"/>
      <c r="KCA42" s="191"/>
      <c r="KCB42" s="191"/>
      <c r="KCC42" s="191"/>
      <c r="KCD42" s="191"/>
      <c r="KCE42" s="191"/>
      <c r="KCF42" s="191"/>
      <c r="KCG42" s="191"/>
      <c r="KCH42" s="191"/>
      <c r="KCI42" s="191"/>
      <c r="KCJ42" s="191"/>
      <c r="KCK42" s="191"/>
      <c r="KCL42" s="191"/>
      <c r="KCM42" s="191"/>
      <c r="KCN42" s="191"/>
      <c r="KCO42" s="191"/>
      <c r="KCP42" s="191"/>
      <c r="KCQ42" s="191"/>
      <c r="KCR42" s="191"/>
      <c r="KCS42" s="191"/>
      <c r="KCT42" s="191"/>
      <c r="KCU42" s="191"/>
      <c r="KCV42" s="191"/>
      <c r="KCW42" s="191"/>
      <c r="KCX42" s="191"/>
      <c r="KCY42" s="191"/>
      <c r="KCZ42" s="191"/>
      <c r="KDA42" s="191"/>
      <c r="KDB42" s="191"/>
      <c r="KDC42" s="191"/>
      <c r="KDD42" s="191"/>
      <c r="KDE42" s="191"/>
      <c r="KDF42" s="191"/>
      <c r="KDG42" s="191"/>
      <c r="KDH42" s="191"/>
      <c r="KDI42" s="191"/>
      <c r="KDJ42" s="191"/>
      <c r="KDK42" s="191"/>
      <c r="KDL42" s="191"/>
      <c r="KDM42" s="191"/>
      <c r="KDN42" s="191"/>
      <c r="KDO42" s="191"/>
      <c r="KDP42" s="191"/>
      <c r="KDQ42" s="191"/>
      <c r="KDR42" s="191"/>
      <c r="KDS42" s="191"/>
      <c r="KDT42" s="191"/>
      <c r="KDU42" s="191"/>
      <c r="KDV42" s="191"/>
      <c r="KDW42" s="191"/>
      <c r="KDX42" s="191"/>
      <c r="KDY42" s="191"/>
      <c r="KDZ42" s="191"/>
      <c r="KEA42" s="191"/>
      <c r="KEB42" s="191"/>
      <c r="KEC42" s="191"/>
      <c r="KED42" s="191"/>
      <c r="KEE42" s="191"/>
      <c r="KEF42" s="191"/>
      <c r="KEG42" s="191"/>
      <c r="KEH42" s="191"/>
      <c r="KEI42" s="191"/>
      <c r="KEJ42" s="191"/>
      <c r="KEK42" s="191"/>
      <c r="KEL42" s="191"/>
      <c r="KEM42" s="191"/>
      <c r="KEN42" s="191"/>
      <c r="KEO42" s="191"/>
      <c r="KEP42" s="191"/>
      <c r="KEQ42" s="191"/>
      <c r="KER42" s="191"/>
      <c r="KES42" s="191"/>
      <c r="KET42" s="191"/>
      <c r="KEU42" s="191"/>
      <c r="KEV42" s="191"/>
      <c r="KEW42" s="191"/>
      <c r="KEX42" s="191"/>
      <c r="KEY42" s="191"/>
      <c r="KEZ42" s="191"/>
      <c r="KFA42" s="191"/>
      <c r="KFB42" s="191"/>
      <c r="KFC42" s="191"/>
      <c r="KFD42" s="191"/>
      <c r="KFE42" s="191"/>
      <c r="KFF42" s="191"/>
      <c r="KFG42" s="191"/>
      <c r="KFH42" s="191"/>
      <c r="KFI42" s="191"/>
      <c r="KFJ42" s="191"/>
      <c r="KFK42" s="191"/>
      <c r="KFL42" s="191"/>
      <c r="KFM42" s="191"/>
      <c r="KFN42" s="191"/>
      <c r="KFO42" s="191"/>
      <c r="KFP42" s="191"/>
      <c r="KFQ42" s="191"/>
      <c r="KFR42" s="191"/>
      <c r="KFS42" s="191"/>
      <c r="KFT42" s="191"/>
      <c r="KFU42" s="191"/>
      <c r="KFV42" s="191"/>
      <c r="KFW42" s="191"/>
      <c r="KFX42" s="191"/>
      <c r="KFY42" s="191"/>
      <c r="KFZ42" s="191"/>
      <c r="KGA42" s="191"/>
      <c r="KGB42" s="191"/>
      <c r="KGC42" s="191"/>
      <c r="KGD42" s="191"/>
      <c r="KGE42" s="191"/>
      <c r="KGF42" s="191"/>
      <c r="KGG42" s="191"/>
      <c r="KGH42" s="191"/>
      <c r="KGI42" s="191"/>
      <c r="KGJ42" s="191"/>
      <c r="KGK42" s="191"/>
      <c r="KGL42" s="191"/>
      <c r="KGM42" s="191"/>
      <c r="KGN42" s="191"/>
      <c r="KGO42" s="191"/>
      <c r="KGP42" s="191"/>
      <c r="KGQ42" s="191"/>
      <c r="KGR42" s="191"/>
      <c r="KGS42" s="191"/>
      <c r="KGT42" s="191"/>
      <c r="KGU42" s="191"/>
      <c r="KGV42" s="191"/>
      <c r="KGW42" s="191"/>
      <c r="KGX42" s="191"/>
      <c r="KGY42" s="191"/>
      <c r="KGZ42" s="191"/>
      <c r="KHA42" s="191"/>
      <c r="KHB42" s="191"/>
      <c r="KHC42" s="191"/>
      <c r="KHD42" s="191"/>
      <c r="KHE42" s="191"/>
      <c r="KHF42" s="191"/>
      <c r="KHG42" s="191"/>
      <c r="KHH42" s="191"/>
      <c r="KHI42" s="191"/>
      <c r="KHJ42" s="191"/>
      <c r="KHK42" s="191"/>
      <c r="KHL42" s="191"/>
      <c r="KHM42" s="191"/>
      <c r="KHN42" s="191"/>
      <c r="KHO42" s="191"/>
      <c r="KHP42" s="191"/>
      <c r="KHQ42" s="191"/>
      <c r="KHR42" s="191"/>
      <c r="KHS42" s="191"/>
      <c r="KHT42" s="191"/>
      <c r="KHU42" s="191"/>
      <c r="KHV42" s="191"/>
      <c r="KHW42" s="191"/>
      <c r="KHX42" s="191"/>
      <c r="KHY42" s="191"/>
      <c r="KHZ42" s="191"/>
      <c r="KIA42" s="191"/>
      <c r="KIB42" s="191"/>
      <c r="KIC42" s="191"/>
      <c r="KID42" s="191"/>
      <c r="KIE42" s="191"/>
      <c r="KIF42" s="191"/>
      <c r="KIG42" s="191"/>
      <c r="KIH42" s="191"/>
      <c r="KII42" s="191"/>
      <c r="KIJ42" s="191"/>
      <c r="KIK42" s="191"/>
      <c r="KIL42" s="191"/>
      <c r="KIM42" s="191"/>
      <c r="KIN42" s="191"/>
      <c r="KIO42" s="191"/>
      <c r="KIP42" s="191"/>
      <c r="KIQ42" s="191"/>
      <c r="KIR42" s="191"/>
      <c r="KIS42" s="191"/>
      <c r="KIT42" s="191"/>
      <c r="KIU42" s="191"/>
      <c r="KIV42" s="191"/>
      <c r="KIW42" s="191"/>
      <c r="KIX42" s="191"/>
      <c r="KIY42" s="191"/>
      <c r="KIZ42" s="191"/>
      <c r="KJA42" s="191"/>
      <c r="KJB42" s="191"/>
      <c r="KJC42" s="191"/>
      <c r="KJD42" s="191"/>
      <c r="KJE42" s="191"/>
      <c r="KJF42" s="191"/>
      <c r="KJG42" s="191"/>
      <c r="KJH42" s="191"/>
      <c r="KJI42" s="191"/>
      <c r="KJJ42" s="191"/>
      <c r="KJK42" s="191"/>
      <c r="KJL42" s="191"/>
      <c r="KJM42" s="191"/>
      <c r="KJN42" s="191"/>
      <c r="KJO42" s="191"/>
      <c r="KJP42" s="191"/>
      <c r="KJQ42" s="191"/>
      <c r="KJR42" s="191"/>
      <c r="KJS42" s="191"/>
      <c r="KJT42" s="191"/>
      <c r="KJU42" s="191"/>
      <c r="KJV42" s="191"/>
      <c r="KJW42" s="191"/>
      <c r="KJX42" s="191"/>
      <c r="KJY42" s="191"/>
      <c r="KJZ42" s="191"/>
      <c r="KKA42" s="191"/>
      <c r="KKB42" s="191"/>
      <c r="KKC42" s="191"/>
      <c r="KKD42" s="191"/>
      <c r="KKE42" s="191"/>
      <c r="KKF42" s="191"/>
      <c r="KKG42" s="191"/>
      <c r="KKH42" s="191"/>
      <c r="KKI42" s="191"/>
      <c r="KKJ42" s="191"/>
      <c r="KKK42" s="191"/>
      <c r="KKL42" s="191"/>
      <c r="KKM42" s="191"/>
      <c r="KKN42" s="191"/>
      <c r="KKO42" s="191"/>
      <c r="KKP42" s="191"/>
      <c r="KKQ42" s="191"/>
      <c r="KKR42" s="191"/>
      <c r="KKS42" s="191"/>
      <c r="KKT42" s="191"/>
      <c r="KKU42" s="191"/>
      <c r="KKV42" s="191"/>
      <c r="KKW42" s="191"/>
      <c r="KKX42" s="191"/>
      <c r="KKY42" s="191"/>
      <c r="KKZ42" s="191"/>
      <c r="KLA42" s="191"/>
      <c r="KLB42" s="191"/>
      <c r="KLC42" s="191"/>
      <c r="KLD42" s="191"/>
      <c r="KLE42" s="191"/>
      <c r="KLF42" s="191"/>
      <c r="KLG42" s="191"/>
      <c r="KLH42" s="191"/>
      <c r="KLI42" s="191"/>
      <c r="KLJ42" s="191"/>
      <c r="KLK42" s="191"/>
      <c r="KLL42" s="191"/>
      <c r="KLM42" s="191"/>
      <c r="KLN42" s="191"/>
      <c r="KLO42" s="191"/>
      <c r="KLP42" s="191"/>
      <c r="KLQ42" s="191"/>
      <c r="KLR42" s="191"/>
      <c r="KLS42" s="191"/>
      <c r="KLT42" s="191"/>
      <c r="KLU42" s="191"/>
      <c r="KLV42" s="191"/>
      <c r="KLW42" s="191"/>
      <c r="KLX42" s="191"/>
      <c r="KLY42" s="191"/>
      <c r="KLZ42" s="191"/>
      <c r="KMA42" s="191"/>
      <c r="KMB42" s="191"/>
      <c r="KMC42" s="191"/>
      <c r="KMD42" s="191"/>
      <c r="KME42" s="191"/>
      <c r="KMF42" s="191"/>
      <c r="KMG42" s="191"/>
      <c r="KMH42" s="191"/>
      <c r="KMI42" s="191"/>
      <c r="KMJ42" s="191"/>
      <c r="KMK42" s="191"/>
      <c r="KML42" s="191"/>
      <c r="KMM42" s="191"/>
      <c r="KMN42" s="191"/>
      <c r="KMO42" s="191"/>
      <c r="KMP42" s="191"/>
      <c r="KMQ42" s="191"/>
      <c r="KMR42" s="191"/>
      <c r="KMS42" s="191"/>
      <c r="KMT42" s="191"/>
      <c r="KMU42" s="191"/>
      <c r="KMV42" s="191"/>
      <c r="KMW42" s="191"/>
      <c r="KMX42" s="191"/>
      <c r="KMY42" s="191"/>
      <c r="KMZ42" s="191"/>
      <c r="KNA42" s="191"/>
      <c r="KNB42" s="191"/>
      <c r="KNC42" s="191"/>
      <c r="KND42" s="191"/>
      <c r="KNE42" s="191"/>
      <c r="KNF42" s="191"/>
      <c r="KNG42" s="191"/>
      <c r="KNH42" s="191"/>
      <c r="KNI42" s="191"/>
      <c r="KNJ42" s="191"/>
      <c r="KNK42" s="191"/>
      <c r="KNL42" s="191"/>
      <c r="KNM42" s="191"/>
      <c r="KNN42" s="191"/>
      <c r="KNO42" s="191"/>
      <c r="KNP42" s="191"/>
      <c r="KNQ42" s="191"/>
      <c r="KNR42" s="191"/>
      <c r="KNS42" s="191"/>
      <c r="KNT42" s="191"/>
      <c r="KNU42" s="191"/>
      <c r="KNV42" s="191"/>
      <c r="KNW42" s="191"/>
      <c r="KNX42" s="191"/>
      <c r="KNY42" s="191"/>
      <c r="KNZ42" s="191"/>
      <c r="KOA42" s="191"/>
      <c r="KOB42" s="191"/>
      <c r="KOC42" s="191"/>
      <c r="KOD42" s="191"/>
      <c r="KOE42" s="191"/>
      <c r="KOF42" s="191"/>
      <c r="KOG42" s="191"/>
      <c r="KOH42" s="191"/>
      <c r="KOI42" s="191"/>
      <c r="KOJ42" s="191"/>
      <c r="KOK42" s="191"/>
      <c r="KOL42" s="191"/>
      <c r="KOM42" s="191"/>
      <c r="KON42" s="191"/>
      <c r="KOO42" s="191"/>
      <c r="KOP42" s="191"/>
      <c r="KOQ42" s="191"/>
      <c r="KOR42" s="191"/>
      <c r="KOS42" s="191"/>
      <c r="KOT42" s="191"/>
      <c r="KOU42" s="191"/>
      <c r="KOV42" s="191"/>
      <c r="KOW42" s="191"/>
      <c r="KOX42" s="191"/>
      <c r="KOY42" s="191"/>
      <c r="KOZ42" s="191"/>
      <c r="KPA42" s="191"/>
      <c r="KPB42" s="191"/>
      <c r="KPC42" s="191"/>
      <c r="KPD42" s="191"/>
      <c r="KPE42" s="191"/>
      <c r="KPF42" s="191"/>
      <c r="KPG42" s="191"/>
      <c r="KPH42" s="191"/>
      <c r="KPI42" s="191"/>
      <c r="KPJ42" s="191"/>
      <c r="KPK42" s="191"/>
      <c r="KPL42" s="191"/>
      <c r="KPM42" s="191"/>
      <c r="KPN42" s="191"/>
      <c r="KPO42" s="191"/>
      <c r="KPP42" s="191"/>
      <c r="KPQ42" s="191"/>
      <c r="KPR42" s="191"/>
      <c r="KPS42" s="191"/>
      <c r="KPT42" s="191"/>
      <c r="KPU42" s="191"/>
      <c r="KPV42" s="191"/>
      <c r="KPW42" s="191"/>
      <c r="KPX42" s="191"/>
      <c r="KPY42" s="191"/>
      <c r="KPZ42" s="191"/>
      <c r="KQA42" s="191"/>
      <c r="KQB42" s="191"/>
      <c r="KQC42" s="191"/>
      <c r="KQD42" s="191"/>
      <c r="KQE42" s="191"/>
      <c r="KQF42" s="191"/>
      <c r="KQG42" s="191"/>
      <c r="KQH42" s="191"/>
      <c r="KQI42" s="191"/>
      <c r="KQJ42" s="191"/>
      <c r="KQK42" s="191"/>
      <c r="KQL42" s="191"/>
      <c r="KQM42" s="191"/>
      <c r="KQN42" s="191"/>
      <c r="KQO42" s="191"/>
      <c r="KQP42" s="191"/>
      <c r="KQQ42" s="191"/>
      <c r="KQR42" s="191"/>
      <c r="KQS42" s="191"/>
      <c r="KQT42" s="191"/>
      <c r="KQU42" s="191"/>
      <c r="KQV42" s="191"/>
      <c r="KQW42" s="191"/>
      <c r="KQX42" s="191"/>
      <c r="KQY42" s="191"/>
      <c r="KQZ42" s="191"/>
      <c r="KRA42" s="191"/>
      <c r="KRB42" s="191"/>
      <c r="KRC42" s="191"/>
      <c r="KRD42" s="191"/>
      <c r="KRE42" s="191"/>
      <c r="KRF42" s="191"/>
      <c r="KRG42" s="191"/>
      <c r="KRH42" s="191"/>
      <c r="KRI42" s="191"/>
      <c r="KRJ42" s="191"/>
      <c r="KRK42" s="191"/>
      <c r="KRL42" s="191"/>
      <c r="KRM42" s="191"/>
      <c r="KRN42" s="191"/>
      <c r="KRO42" s="191"/>
      <c r="KRP42" s="191"/>
      <c r="KRQ42" s="191"/>
      <c r="KRR42" s="191"/>
      <c r="KRS42" s="191"/>
      <c r="KRT42" s="191"/>
      <c r="KRU42" s="191"/>
      <c r="KRV42" s="191"/>
      <c r="KRW42" s="191"/>
      <c r="KRX42" s="191"/>
      <c r="KRY42" s="191"/>
      <c r="KRZ42" s="191"/>
      <c r="KSA42" s="191"/>
      <c r="KSB42" s="191"/>
      <c r="KSC42" s="191"/>
      <c r="KSD42" s="191"/>
      <c r="KSE42" s="191"/>
      <c r="KSF42" s="191"/>
      <c r="KSG42" s="191"/>
      <c r="KSH42" s="191"/>
      <c r="KSI42" s="191"/>
      <c r="KSJ42" s="191"/>
      <c r="KSK42" s="191"/>
      <c r="KSL42" s="191"/>
      <c r="KSM42" s="191"/>
      <c r="KSN42" s="191"/>
      <c r="KSO42" s="191"/>
      <c r="KSP42" s="191"/>
      <c r="KSQ42" s="191"/>
      <c r="KSR42" s="191"/>
      <c r="KSS42" s="191"/>
      <c r="KST42" s="191"/>
      <c r="KSU42" s="191"/>
      <c r="KSV42" s="191"/>
      <c r="KSW42" s="191"/>
      <c r="KSX42" s="191"/>
      <c r="KSY42" s="191"/>
      <c r="KSZ42" s="191"/>
      <c r="KTA42" s="191"/>
      <c r="KTB42" s="191"/>
      <c r="KTC42" s="191"/>
      <c r="KTD42" s="191"/>
      <c r="KTE42" s="191"/>
      <c r="KTF42" s="191"/>
      <c r="KTG42" s="191"/>
      <c r="KTH42" s="191"/>
      <c r="KTI42" s="191"/>
      <c r="KTJ42" s="191"/>
      <c r="KTK42" s="191"/>
      <c r="KTL42" s="191"/>
      <c r="KTM42" s="191"/>
      <c r="KTN42" s="191"/>
      <c r="KTO42" s="191"/>
      <c r="KTP42" s="191"/>
      <c r="KTQ42" s="191"/>
      <c r="KTR42" s="191"/>
      <c r="KTS42" s="191"/>
      <c r="KTT42" s="191"/>
      <c r="KTU42" s="191"/>
      <c r="KTV42" s="191"/>
      <c r="KTW42" s="191"/>
      <c r="KTX42" s="191"/>
      <c r="KTY42" s="191"/>
      <c r="KTZ42" s="191"/>
      <c r="KUA42" s="191"/>
      <c r="KUB42" s="191"/>
      <c r="KUC42" s="191"/>
      <c r="KUD42" s="191"/>
      <c r="KUE42" s="191"/>
      <c r="KUF42" s="191"/>
      <c r="KUG42" s="191"/>
      <c r="KUH42" s="191"/>
      <c r="KUI42" s="191"/>
      <c r="KUJ42" s="191"/>
      <c r="KUK42" s="191"/>
      <c r="KUL42" s="191"/>
      <c r="KUM42" s="191"/>
      <c r="KUN42" s="191"/>
      <c r="KUO42" s="191"/>
      <c r="KUP42" s="191"/>
      <c r="KUQ42" s="191"/>
      <c r="KUR42" s="191"/>
      <c r="KUS42" s="191"/>
      <c r="KUT42" s="191"/>
      <c r="KUU42" s="191"/>
      <c r="KUV42" s="191"/>
      <c r="KUW42" s="191"/>
      <c r="KUX42" s="191"/>
      <c r="KUY42" s="191"/>
      <c r="KUZ42" s="191"/>
      <c r="KVA42" s="191"/>
      <c r="KVB42" s="191"/>
      <c r="KVC42" s="191"/>
      <c r="KVD42" s="191"/>
      <c r="KVE42" s="191"/>
      <c r="KVF42" s="191"/>
      <c r="KVG42" s="191"/>
      <c r="KVH42" s="191"/>
      <c r="KVI42" s="191"/>
      <c r="KVJ42" s="191"/>
      <c r="KVK42" s="191"/>
      <c r="KVL42" s="191"/>
      <c r="KVM42" s="191"/>
      <c r="KVN42" s="191"/>
      <c r="KVO42" s="191"/>
      <c r="KVP42" s="191"/>
      <c r="KVQ42" s="191"/>
      <c r="KVR42" s="191"/>
      <c r="KVS42" s="191"/>
      <c r="KVT42" s="191"/>
      <c r="KVU42" s="191"/>
      <c r="KVV42" s="191"/>
      <c r="KVW42" s="191"/>
      <c r="KVX42" s="191"/>
      <c r="KVY42" s="191"/>
      <c r="KVZ42" s="191"/>
      <c r="KWA42" s="191"/>
      <c r="KWB42" s="191"/>
      <c r="KWC42" s="191"/>
      <c r="KWD42" s="191"/>
      <c r="KWE42" s="191"/>
      <c r="KWF42" s="191"/>
      <c r="KWG42" s="191"/>
      <c r="KWH42" s="191"/>
      <c r="KWI42" s="191"/>
      <c r="KWJ42" s="191"/>
      <c r="KWK42" s="191"/>
      <c r="KWL42" s="191"/>
      <c r="KWM42" s="191"/>
      <c r="KWN42" s="191"/>
      <c r="KWO42" s="191"/>
      <c r="KWP42" s="191"/>
      <c r="KWQ42" s="191"/>
      <c r="KWR42" s="191"/>
      <c r="KWS42" s="191"/>
      <c r="KWT42" s="191"/>
      <c r="KWU42" s="191"/>
      <c r="KWV42" s="191"/>
      <c r="KWW42" s="191"/>
      <c r="KWX42" s="191"/>
      <c r="KWY42" s="191"/>
      <c r="KWZ42" s="191"/>
      <c r="KXA42" s="191"/>
      <c r="KXB42" s="191"/>
      <c r="KXC42" s="191"/>
      <c r="KXD42" s="191"/>
      <c r="KXE42" s="191"/>
      <c r="KXF42" s="191"/>
      <c r="KXG42" s="191"/>
      <c r="KXH42" s="191"/>
      <c r="KXI42" s="191"/>
      <c r="KXJ42" s="191"/>
      <c r="KXK42" s="191"/>
      <c r="KXL42" s="191"/>
      <c r="KXM42" s="191"/>
      <c r="KXN42" s="191"/>
      <c r="KXO42" s="191"/>
      <c r="KXP42" s="191"/>
      <c r="KXQ42" s="191"/>
      <c r="KXR42" s="191"/>
      <c r="KXS42" s="191"/>
      <c r="KXT42" s="191"/>
      <c r="KXU42" s="191"/>
      <c r="KXV42" s="191"/>
      <c r="KXW42" s="191"/>
      <c r="KXX42" s="191"/>
      <c r="KXY42" s="191"/>
      <c r="KXZ42" s="191"/>
      <c r="KYA42" s="191"/>
      <c r="KYB42" s="191"/>
      <c r="KYC42" s="191"/>
      <c r="KYD42" s="191"/>
      <c r="KYE42" s="191"/>
      <c r="KYF42" s="191"/>
      <c r="KYG42" s="191"/>
      <c r="KYH42" s="191"/>
      <c r="KYI42" s="191"/>
      <c r="KYJ42" s="191"/>
      <c r="KYK42" s="191"/>
      <c r="KYL42" s="191"/>
      <c r="KYM42" s="191"/>
      <c r="KYN42" s="191"/>
      <c r="KYO42" s="191"/>
      <c r="KYP42" s="191"/>
      <c r="KYQ42" s="191"/>
      <c r="KYR42" s="191"/>
      <c r="KYS42" s="191"/>
      <c r="KYT42" s="191"/>
      <c r="KYU42" s="191"/>
      <c r="KYV42" s="191"/>
      <c r="KYW42" s="191"/>
      <c r="KYX42" s="191"/>
      <c r="KYY42" s="191"/>
      <c r="KYZ42" s="191"/>
      <c r="KZA42" s="191"/>
      <c r="KZB42" s="191"/>
      <c r="KZC42" s="191"/>
      <c r="KZD42" s="191"/>
      <c r="KZE42" s="191"/>
      <c r="KZF42" s="191"/>
      <c r="KZG42" s="191"/>
      <c r="KZH42" s="191"/>
      <c r="KZI42" s="191"/>
      <c r="KZJ42" s="191"/>
      <c r="KZK42" s="191"/>
      <c r="KZL42" s="191"/>
      <c r="KZM42" s="191"/>
      <c r="KZN42" s="191"/>
      <c r="KZO42" s="191"/>
      <c r="KZP42" s="191"/>
      <c r="KZQ42" s="191"/>
      <c r="KZR42" s="191"/>
      <c r="KZS42" s="191"/>
      <c r="KZT42" s="191"/>
      <c r="KZU42" s="191"/>
      <c r="KZV42" s="191"/>
      <c r="KZW42" s="191"/>
      <c r="KZX42" s="191"/>
      <c r="KZY42" s="191"/>
      <c r="KZZ42" s="191"/>
      <c r="LAA42" s="191"/>
      <c r="LAB42" s="191"/>
      <c r="LAC42" s="191"/>
      <c r="LAD42" s="191"/>
      <c r="LAE42" s="191"/>
      <c r="LAF42" s="191"/>
      <c r="LAG42" s="191"/>
      <c r="LAH42" s="191"/>
      <c r="LAI42" s="191"/>
      <c r="LAJ42" s="191"/>
      <c r="LAK42" s="191"/>
      <c r="LAL42" s="191"/>
      <c r="LAM42" s="191"/>
      <c r="LAN42" s="191"/>
      <c r="LAO42" s="191"/>
      <c r="LAP42" s="191"/>
      <c r="LAQ42" s="191"/>
      <c r="LAR42" s="191"/>
      <c r="LAS42" s="191"/>
      <c r="LAT42" s="191"/>
      <c r="LAU42" s="191"/>
      <c r="LAV42" s="191"/>
      <c r="LAW42" s="191"/>
      <c r="LAX42" s="191"/>
      <c r="LAY42" s="191"/>
      <c r="LAZ42" s="191"/>
      <c r="LBA42" s="191"/>
      <c r="LBB42" s="191"/>
      <c r="LBC42" s="191"/>
      <c r="LBD42" s="191"/>
      <c r="LBE42" s="191"/>
      <c r="LBF42" s="191"/>
      <c r="LBG42" s="191"/>
      <c r="LBH42" s="191"/>
      <c r="LBI42" s="191"/>
      <c r="LBJ42" s="191"/>
      <c r="LBK42" s="191"/>
      <c r="LBL42" s="191"/>
      <c r="LBM42" s="191"/>
      <c r="LBN42" s="191"/>
      <c r="LBO42" s="191"/>
      <c r="LBP42" s="191"/>
      <c r="LBQ42" s="191"/>
      <c r="LBR42" s="191"/>
      <c r="LBS42" s="191"/>
      <c r="LBT42" s="191"/>
      <c r="LBU42" s="191"/>
      <c r="LBV42" s="191"/>
      <c r="LBW42" s="191"/>
      <c r="LBX42" s="191"/>
      <c r="LBY42" s="191"/>
      <c r="LBZ42" s="191"/>
      <c r="LCA42" s="191"/>
      <c r="LCB42" s="191"/>
      <c r="LCC42" s="191"/>
      <c r="LCD42" s="191"/>
      <c r="LCE42" s="191"/>
      <c r="LCF42" s="191"/>
      <c r="LCG42" s="191"/>
      <c r="LCH42" s="191"/>
      <c r="LCI42" s="191"/>
      <c r="LCJ42" s="191"/>
      <c r="LCK42" s="191"/>
      <c r="LCL42" s="191"/>
      <c r="LCM42" s="191"/>
      <c r="LCN42" s="191"/>
      <c r="LCO42" s="191"/>
      <c r="LCP42" s="191"/>
      <c r="LCQ42" s="191"/>
      <c r="LCR42" s="191"/>
      <c r="LCS42" s="191"/>
      <c r="LCT42" s="191"/>
      <c r="LCU42" s="191"/>
      <c r="LCV42" s="191"/>
      <c r="LCW42" s="191"/>
      <c r="LCX42" s="191"/>
      <c r="LCY42" s="191"/>
      <c r="LCZ42" s="191"/>
      <c r="LDA42" s="191"/>
      <c r="LDB42" s="191"/>
      <c r="LDC42" s="191"/>
      <c r="LDD42" s="191"/>
      <c r="LDE42" s="191"/>
      <c r="LDF42" s="191"/>
      <c r="LDG42" s="191"/>
      <c r="LDH42" s="191"/>
      <c r="LDI42" s="191"/>
      <c r="LDJ42" s="191"/>
      <c r="LDK42" s="191"/>
      <c r="LDL42" s="191"/>
      <c r="LDM42" s="191"/>
      <c r="LDN42" s="191"/>
      <c r="LDO42" s="191"/>
      <c r="LDP42" s="191"/>
      <c r="LDQ42" s="191"/>
      <c r="LDR42" s="191"/>
      <c r="LDS42" s="191"/>
      <c r="LDT42" s="191"/>
      <c r="LDU42" s="191"/>
      <c r="LDV42" s="191"/>
      <c r="LDW42" s="191"/>
      <c r="LDX42" s="191"/>
      <c r="LDY42" s="191"/>
      <c r="LDZ42" s="191"/>
      <c r="LEA42" s="191"/>
      <c r="LEB42" s="191"/>
      <c r="LEC42" s="191"/>
      <c r="LED42" s="191"/>
      <c r="LEE42" s="191"/>
      <c r="LEF42" s="191"/>
      <c r="LEG42" s="191"/>
      <c r="LEH42" s="191"/>
      <c r="LEI42" s="191"/>
      <c r="LEJ42" s="191"/>
      <c r="LEK42" s="191"/>
      <c r="LEL42" s="191"/>
      <c r="LEM42" s="191"/>
      <c r="LEN42" s="191"/>
      <c r="LEO42" s="191"/>
      <c r="LEP42" s="191"/>
      <c r="LEQ42" s="191"/>
      <c r="LER42" s="191"/>
      <c r="LES42" s="191"/>
      <c r="LET42" s="191"/>
      <c r="LEU42" s="191"/>
      <c r="LEV42" s="191"/>
      <c r="LEW42" s="191"/>
      <c r="LEX42" s="191"/>
      <c r="LEY42" s="191"/>
      <c r="LEZ42" s="191"/>
      <c r="LFA42" s="191"/>
      <c r="LFB42" s="191"/>
      <c r="LFC42" s="191"/>
      <c r="LFD42" s="191"/>
      <c r="LFE42" s="191"/>
      <c r="LFF42" s="191"/>
      <c r="LFG42" s="191"/>
      <c r="LFH42" s="191"/>
      <c r="LFI42" s="191"/>
      <c r="LFJ42" s="191"/>
      <c r="LFK42" s="191"/>
      <c r="LFL42" s="191"/>
      <c r="LFM42" s="191"/>
      <c r="LFN42" s="191"/>
      <c r="LFO42" s="191"/>
      <c r="LFP42" s="191"/>
      <c r="LFQ42" s="191"/>
      <c r="LFR42" s="191"/>
      <c r="LFS42" s="191"/>
      <c r="LFT42" s="191"/>
      <c r="LFU42" s="191"/>
      <c r="LFV42" s="191"/>
      <c r="LFW42" s="191"/>
      <c r="LFX42" s="191"/>
      <c r="LFY42" s="191"/>
      <c r="LFZ42" s="191"/>
      <c r="LGA42" s="191"/>
      <c r="LGB42" s="191"/>
      <c r="LGC42" s="191"/>
      <c r="LGD42" s="191"/>
      <c r="LGE42" s="191"/>
      <c r="LGF42" s="191"/>
      <c r="LGG42" s="191"/>
      <c r="LGH42" s="191"/>
      <c r="LGI42" s="191"/>
      <c r="LGJ42" s="191"/>
      <c r="LGK42" s="191"/>
      <c r="LGL42" s="191"/>
      <c r="LGM42" s="191"/>
      <c r="LGN42" s="191"/>
      <c r="LGO42" s="191"/>
      <c r="LGP42" s="191"/>
      <c r="LGQ42" s="191"/>
      <c r="LGR42" s="191"/>
      <c r="LGS42" s="191"/>
      <c r="LGT42" s="191"/>
      <c r="LGU42" s="191"/>
      <c r="LGV42" s="191"/>
      <c r="LGW42" s="191"/>
      <c r="LGX42" s="191"/>
      <c r="LGY42" s="191"/>
      <c r="LGZ42" s="191"/>
      <c r="LHA42" s="191"/>
      <c r="LHB42" s="191"/>
      <c r="LHC42" s="191"/>
      <c r="LHD42" s="191"/>
      <c r="LHE42" s="191"/>
      <c r="LHF42" s="191"/>
      <c r="LHG42" s="191"/>
      <c r="LHH42" s="191"/>
      <c r="LHI42" s="191"/>
      <c r="LHJ42" s="191"/>
      <c r="LHK42" s="191"/>
      <c r="LHL42" s="191"/>
      <c r="LHM42" s="191"/>
      <c r="LHN42" s="191"/>
      <c r="LHO42" s="191"/>
      <c r="LHP42" s="191"/>
      <c r="LHQ42" s="191"/>
      <c r="LHR42" s="191"/>
      <c r="LHS42" s="191"/>
      <c r="LHT42" s="191"/>
      <c r="LHU42" s="191"/>
      <c r="LHV42" s="191"/>
      <c r="LHW42" s="191"/>
      <c r="LHX42" s="191"/>
      <c r="LHY42" s="191"/>
      <c r="LHZ42" s="191"/>
      <c r="LIA42" s="191"/>
      <c r="LIB42" s="191"/>
      <c r="LIC42" s="191"/>
      <c r="LID42" s="191"/>
      <c r="LIE42" s="191"/>
      <c r="LIF42" s="191"/>
      <c r="LIG42" s="191"/>
      <c r="LIH42" s="191"/>
      <c r="LII42" s="191"/>
      <c r="LIJ42" s="191"/>
      <c r="LIK42" s="191"/>
      <c r="LIL42" s="191"/>
      <c r="LIM42" s="191"/>
      <c r="LIN42" s="191"/>
      <c r="LIO42" s="191"/>
      <c r="LIP42" s="191"/>
      <c r="LIQ42" s="191"/>
      <c r="LIR42" s="191"/>
      <c r="LIS42" s="191"/>
      <c r="LIT42" s="191"/>
      <c r="LIU42" s="191"/>
      <c r="LIV42" s="191"/>
      <c r="LIW42" s="191"/>
      <c r="LIX42" s="191"/>
      <c r="LIY42" s="191"/>
      <c r="LIZ42" s="191"/>
      <c r="LJA42" s="191"/>
      <c r="LJB42" s="191"/>
      <c r="LJC42" s="191"/>
      <c r="LJD42" s="191"/>
      <c r="LJE42" s="191"/>
      <c r="LJF42" s="191"/>
      <c r="LJG42" s="191"/>
      <c r="LJH42" s="191"/>
      <c r="LJI42" s="191"/>
      <c r="LJJ42" s="191"/>
      <c r="LJK42" s="191"/>
      <c r="LJL42" s="191"/>
      <c r="LJM42" s="191"/>
      <c r="LJN42" s="191"/>
      <c r="LJO42" s="191"/>
      <c r="LJP42" s="191"/>
      <c r="LJQ42" s="191"/>
      <c r="LJR42" s="191"/>
      <c r="LJS42" s="191"/>
      <c r="LJT42" s="191"/>
      <c r="LJU42" s="191"/>
      <c r="LJV42" s="191"/>
      <c r="LJW42" s="191"/>
      <c r="LJX42" s="191"/>
      <c r="LJY42" s="191"/>
      <c r="LJZ42" s="191"/>
      <c r="LKA42" s="191"/>
      <c r="LKB42" s="191"/>
      <c r="LKC42" s="191"/>
      <c r="LKD42" s="191"/>
      <c r="LKE42" s="191"/>
      <c r="LKF42" s="191"/>
      <c r="LKG42" s="191"/>
      <c r="LKH42" s="191"/>
      <c r="LKI42" s="191"/>
      <c r="LKJ42" s="191"/>
      <c r="LKK42" s="191"/>
      <c r="LKL42" s="191"/>
      <c r="LKM42" s="191"/>
      <c r="LKN42" s="191"/>
      <c r="LKO42" s="191"/>
      <c r="LKP42" s="191"/>
      <c r="LKQ42" s="191"/>
      <c r="LKR42" s="191"/>
      <c r="LKS42" s="191"/>
      <c r="LKT42" s="191"/>
      <c r="LKU42" s="191"/>
      <c r="LKV42" s="191"/>
      <c r="LKW42" s="191"/>
      <c r="LKX42" s="191"/>
      <c r="LKY42" s="191"/>
      <c r="LKZ42" s="191"/>
      <c r="LLA42" s="191"/>
      <c r="LLB42" s="191"/>
      <c r="LLC42" s="191"/>
      <c r="LLD42" s="191"/>
      <c r="LLE42" s="191"/>
      <c r="LLF42" s="191"/>
      <c r="LLG42" s="191"/>
      <c r="LLH42" s="191"/>
      <c r="LLI42" s="191"/>
      <c r="LLJ42" s="191"/>
      <c r="LLK42" s="191"/>
      <c r="LLL42" s="191"/>
      <c r="LLM42" s="191"/>
      <c r="LLN42" s="191"/>
      <c r="LLO42" s="191"/>
      <c r="LLP42" s="191"/>
      <c r="LLQ42" s="191"/>
      <c r="LLR42" s="191"/>
      <c r="LLS42" s="191"/>
      <c r="LLT42" s="191"/>
      <c r="LLU42" s="191"/>
      <c r="LLV42" s="191"/>
      <c r="LLW42" s="191"/>
      <c r="LLX42" s="191"/>
      <c r="LLY42" s="191"/>
      <c r="LLZ42" s="191"/>
      <c r="LMA42" s="191"/>
      <c r="LMB42" s="191"/>
      <c r="LMC42" s="191"/>
      <c r="LMD42" s="191"/>
      <c r="LME42" s="191"/>
      <c r="LMF42" s="191"/>
      <c r="LMG42" s="191"/>
      <c r="LMH42" s="191"/>
      <c r="LMI42" s="191"/>
      <c r="LMJ42" s="191"/>
      <c r="LMK42" s="191"/>
      <c r="LML42" s="191"/>
      <c r="LMM42" s="191"/>
      <c r="LMN42" s="191"/>
      <c r="LMO42" s="191"/>
      <c r="LMP42" s="191"/>
      <c r="LMQ42" s="191"/>
      <c r="LMR42" s="191"/>
      <c r="LMS42" s="191"/>
      <c r="LMT42" s="191"/>
      <c r="LMU42" s="191"/>
      <c r="LMV42" s="191"/>
      <c r="LMW42" s="191"/>
      <c r="LMX42" s="191"/>
      <c r="LMY42" s="191"/>
      <c r="LMZ42" s="191"/>
      <c r="LNA42" s="191"/>
      <c r="LNB42" s="191"/>
      <c r="LNC42" s="191"/>
      <c r="LND42" s="191"/>
      <c r="LNE42" s="191"/>
      <c r="LNF42" s="191"/>
      <c r="LNG42" s="191"/>
      <c r="LNH42" s="191"/>
      <c r="LNI42" s="191"/>
      <c r="LNJ42" s="191"/>
      <c r="LNK42" s="191"/>
      <c r="LNL42" s="191"/>
      <c r="LNM42" s="191"/>
      <c r="LNN42" s="191"/>
      <c r="LNO42" s="191"/>
      <c r="LNP42" s="191"/>
      <c r="LNQ42" s="191"/>
      <c r="LNR42" s="191"/>
      <c r="LNS42" s="191"/>
      <c r="LNT42" s="191"/>
      <c r="LNU42" s="191"/>
      <c r="LNV42" s="191"/>
      <c r="LNW42" s="191"/>
      <c r="LNX42" s="191"/>
      <c r="LNY42" s="191"/>
      <c r="LNZ42" s="191"/>
      <c r="LOA42" s="191"/>
      <c r="LOB42" s="191"/>
      <c r="LOC42" s="191"/>
      <c r="LOD42" s="191"/>
      <c r="LOE42" s="191"/>
      <c r="LOF42" s="191"/>
      <c r="LOG42" s="191"/>
      <c r="LOH42" s="191"/>
      <c r="LOI42" s="191"/>
      <c r="LOJ42" s="191"/>
      <c r="LOK42" s="191"/>
      <c r="LOL42" s="191"/>
      <c r="LOM42" s="191"/>
      <c r="LON42" s="191"/>
      <c r="LOO42" s="191"/>
      <c r="LOP42" s="191"/>
      <c r="LOQ42" s="191"/>
      <c r="LOR42" s="191"/>
      <c r="LOS42" s="191"/>
      <c r="LOT42" s="191"/>
      <c r="LOU42" s="191"/>
      <c r="LOV42" s="191"/>
      <c r="LOW42" s="191"/>
      <c r="LOX42" s="191"/>
      <c r="LOY42" s="191"/>
      <c r="LOZ42" s="191"/>
      <c r="LPA42" s="191"/>
      <c r="LPB42" s="191"/>
      <c r="LPC42" s="191"/>
      <c r="LPD42" s="191"/>
      <c r="LPE42" s="191"/>
      <c r="LPF42" s="191"/>
      <c r="LPG42" s="191"/>
      <c r="LPH42" s="191"/>
      <c r="LPI42" s="191"/>
      <c r="LPJ42" s="191"/>
      <c r="LPK42" s="191"/>
      <c r="LPL42" s="191"/>
      <c r="LPM42" s="191"/>
      <c r="LPN42" s="191"/>
      <c r="LPO42" s="191"/>
      <c r="LPP42" s="191"/>
      <c r="LPQ42" s="191"/>
      <c r="LPR42" s="191"/>
      <c r="LPS42" s="191"/>
      <c r="LPT42" s="191"/>
      <c r="LPU42" s="191"/>
      <c r="LPV42" s="191"/>
      <c r="LPW42" s="191"/>
      <c r="LPX42" s="191"/>
      <c r="LPY42" s="191"/>
      <c r="LPZ42" s="191"/>
      <c r="LQA42" s="191"/>
      <c r="LQB42" s="191"/>
      <c r="LQC42" s="191"/>
      <c r="LQD42" s="191"/>
      <c r="LQE42" s="191"/>
      <c r="LQF42" s="191"/>
      <c r="LQG42" s="191"/>
      <c r="LQH42" s="191"/>
      <c r="LQI42" s="191"/>
      <c r="LQJ42" s="191"/>
      <c r="LQK42" s="191"/>
      <c r="LQL42" s="191"/>
      <c r="LQM42" s="191"/>
      <c r="LQN42" s="191"/>
      <c r="LQO42" s="191"/>
      <c r="LQP42" s="191"/>
      <c r="LQQ42" s="191"/>
      <c r="LQR42" s="191"/>
      <c r="LQS42" s="191"/>
      <c r="LQT42" s="191"/>
      <c r="LQU42" s="191"/>
      <c r="LQV42" s="191"/>
      <c r="LQW42" s="191"/>
      <c r="LQX42" s="191"/>
      <c r="LQY42" s="191"/>
      <c r="LQZ42" s="191"/>
      <c r="LRA42" s="191"/>
      <c r="LRB42" s="191"/>
      <c r="LRC42" s="191"/>
      <c r="LRD42" s="191"/>
      <c r="LRE42" s="191"/>
      <c r="LRF42" s="191"/>
      <c r="LRG42" s="191"/>
      <c r="LRH42" s="191"/>
      <c r="LRI42" s="191"/>
      <c r="LRJ42" s="191"/>
      <c r="LRK42" s="191"/>
      <c r="LRL42" s="191"/>
      <c r="LRM42" s="191"/>
      <c r="LRN42" s="191"/>
      <c r="LRO42" s="191"/>
      <c r="LRP42" s="191"/>
      <c r="LRQ42" s="191"/>
      <c r="LRR42" s="191"/>
      <c r="LRS42" s="191"/>
      <c r="LRT42" s="191"/>
      <c r="LRU42" s="191"/>
      <c r="LRV42" s="191"/>
      <c r="LRW42" s="191"/>
      <c r="LRX42" s="191"/>
      <c r="LRY42" s="191"/>
      <c r="LRZ42" s="191"/>
      <c r="LSA42" s="191"/>
      <c r="LSB42" s="191"/>
      <c r="LSC42" s="191"/>
      <c r="LSD42" s="191"/>
      <c r="LSE42" s="191"/>
      <c r="LSF42" s="191"/>
      <c r="LSG42" s="191"/>
      <c r="LSH42" s="191"/>
      <c r="LSI42" s="191"/>
      <c r="LSJ42" s="191"/>
      <c r="LSK42" s="191"/>
      <c r="LSL42" s="191"/>
      <c r="LSM42" s="191"/>
      <c r="LSN42" s="191"/>
      <c r="LSO42" s="191"/>
      <c r="LSP42" s="191"/>
      <c r="LSQ42" s="191"/>
      <c r="LSR42" s="191"/>
      <c r="LSS42" s="191"/>
      <c r="LST42" s="191"/>
      <c r="LSU42" s="191"/>
      <c r="LSV42" s="191"/>
      <c r="LSW42" s="191"/>
      <c r="LSX42" s="191"/>
      <c r="LSY42" s="191"/>
      <c r="LSZ42" s="191"/>
      <c r="LTA42" s="191"/>
      <c r="LTB42" s="191"/>
      <c r="LTC42" s="191"/>
      <c r="LTD42" s="191"/>
      <c r="LTE42" s="191"/>
      <c r="LTF42" s="191"/>
      <c r="LTG42" s="191"/>
      <c r="LTH42" s="191"/>
      <c r="LTI42" s="191"/>
      <c r="LTJ42" s="191"/>
      <c r="LTK42" s="191"/>
      <c r="LTL42" s="191"/>
      <c r="LTM42" s="191"/>
      <c r="LTN42" s="191"/>
      <c r="LTO42" s="191"/>
      <c r="LTP42" s="191"/>
      <c r="LTQ42" s="191"/>
      <c r="LTR42" s="191"/>
      <c r="LTS42" s="191"/>
      <c r="LTT42" s="191"/>
      <c r="LTU42" s="191"/>
      <c r="LTV42" s="191"/>
      <c r="LTW42" s="191"/>
      <c r="LTX42" s="191"/>
      <c r="LTY42" s="191"/>
      <c r="LTZ42" s="191"/>
      <c r="LUA42" s="191"/>
      <c r="LUB42" s="191"/>
      <c r="LUC42" s="191"/>
      <c r="LUD42" s="191"/>
      <c r="LUE42" s="191"/>
      <c r="LUF42" s="191"/>
      <c r="LUG42" s="191"/>
      <c r="LUH42" s="191"/>
      <c r="LUI42" s="191"/>
      <c r="LUJ42" s="191"/>
      <c r="LUK42" s="191"/>
      <c r="LUL42" s="191"/>
      <c r="LUM42" s="191"/>
      <c r="LUN42" s="191"/>
      <c r="LUO42" s="191"/>
      <c r="LUP42" s="191"/>
      <c r="LUQ42" s="191"/>
      <c r="LUR42" s="191"/>
      <c r="LUS42" s="191"/>
      <c r="LUT42" s="191"/>
      <c r="LUU42" s="191"/>
      <c r="LUV42" s="191"/>
      <c r="LUW42" s="191"/>
      <c r="LUX42" s="191"/>
      <c r="LUY42" s="191"/>
      <c r="LUZ42" s="191"/>
      <c r="LVA42" s="191"/>
      <c r="LVB42" s="191"/>
      <c r="LVC42" s="191"/>
      <c r="LVD42" s="191"/>
      <c r="LVE42" s="191"/>
      <c r="LVF42" s="191"/>
      <c r="LVG42" s="191"/>
      <c r="LVH42" s="191"/>
      <c r="LVI42" s="191"/>
      <c r="LVJ42" s="191"/>
      <c r="LVK42" s="191"/>
      <c r="LVL42" s="191"/>
      <c r="LVM42" s="191"/>
      <c r="LVN42" s="191"/>
      <c r="LVO42" s="191"/>
      <c r="LVP42" s="191"/>
      <c r="LVQ42" s="191"/>
      <c r="LVR42" s="191"/>
      <c r="LVS42" s="191"/>
      <c r="LVT42" s="191"/>
      <c r="LVU42" s="191"/>
      <c r="LVV42" s="191"/>
      <c r="LVW42" s="191"/>
      <c r="LVX42" s="191"/>
      <c r="LVY42" s="191"/>
      <c r="LVZ42" s="191"/>
      <c r="LWA42" s="191"/>
      <c r="LWB42" s="191"/>
      <c r="LWC42" s="191"/>
      <c r="LWD42" s="191"/>
      <c r="LWE42" s="191"/>
      <c r="LWF42" s="191"/>
      <c r="LWG42" s="191"/>
      <c r="LWH42" s="191"/>
      <c r="LWI42" s="191"/>
      <c r="LWJ42" s="191"/>
      <c r="LWK42" s="191"/>
      <c r="LWL42" s="191"/>
      <c r="LWM42" s="191"/>
      <c r="LWN42" s="191"/>
      <c r="LWO42" s="191"/>
      <c r="LWP42" s="191"/>
      <c r="LWQ42" s="191"/>
      <c r="LWR42" s="191"/>
      <c r="LWS42" s="191"/>
      <c r="LWT42" s="191"/>
      <c r="LWU42" s="191"/>
      <c r="LWV42" s="191"/>
      <c r="LWW42" s="191"/>
      <c r="LWX42" s="191"/>
      <c r="LWY42" s="191"/>
      <c r="LWZ42" s="191"/>
      <c r="LXA42" s="191"/>
      <c r="LXB42" s="191"/>
      <c r="LXC42" s="191"/>
      <c r="LXD42" s="191"/>
      <c r="LXE42" s="191"/>
      <c r="LXF42" s="191"/>
      <c r="LXG42" s="191"/>
      <c r="LXH42" s="191"/>
      <c r="LXI42" s="191"/>
      <c r="LXJ42" s="191"/>
      <c r="LXK42" s="191"/>
      <c r="LXL42" s="191"/>
      <c r="LXM42" s="191"/>
      <c r="LXN42" s="191"/>
      <c r="LXO42" s="191"/>
      <c r="LXP42" s="191"/>
      <c r="LXQ42" s="191"/>
      <c r="LXR42" s="191"/>
      <c r="LXS42" s="191"/>
      <c r="LXT42" s="191"/>
      <c r="LXU42" s="191"/>
      <c r="LXV42" s="191"/>
      <c r="LXW42" s="191"/>
      <c r="LXX42" s="191"/>
      <c r="LXY42" s="191"/>
      <c r="LXZ42" s="191"/>
      <c r="LYA42" s="191"/>
      <c r="LYB42" s="191"/>
      <c r="LYC42" s="191"/>
      <c r="LYD42" s="191"/>
      <c r="LYE42" s="191"/>
      <c r="LYF42" s="191"/>
      <c r="LYG42" s="191"/>
      <c r="LYH42" s="191"/>
      <c r="LYI42" s="191"/>
      <c r="LYJ42" s="191"/>
      <c r="LYK42" s="191"/>
      <c r="LYL42" s="191"/>
      <c r="LYM42" s="191"/>
      <c r="LYN42" s="191"/>
      <c r="LYO42" s="191"/>
      <c r="LYP42" s="191"/>
      <c r="LYQ42" s="191"/>
      <c r="LYR42" s="191"/>
      <c r="LYS42" s="191"/>
      <c r="LYT42" s="191"/>
      <c r="LYU42" s="191"/>
      <c r="LYV42" s="191"/>
      <c r="LYW42" s="191"/>
      <c r="LYX42" s="191"/>
      <c r="LYY42" s="191"/>
      <c r="LYZ42" s="191"/>
      <c r="LZA42" s="191"/>
      <c r="LZB42" s="191"/>
      <c r="LZC42" s="191"/>
      <c r="LZD42" s="191"/>
      <c r="LZE42" s="191"/>
      <c r="LZF42" s="191"/>
      <c r="LZG42" s="191"/>
      <c r="LZH42" s="191"/>
      <c r="LZI42" s="191"/>
      <c r="LZJ42" s="191"/>
      <c r="LZK42" s="191"/>
      <c r="LZL42" s="191"/>
      <c r="LZM42" s="191"/>
      <c r="LZN42" s="191"/>
      <c r="LZO42" s="191"/>
      <c r="LZP42" s="191"/>
      <c r="LZQ42" s="191"/>
      <c r="LZR42" s="191"/>
      <c r="LZS42" s="191"/>
      <c r="LZT42" s="191"/>
      <c r="LZU42" s="191"/>
      <c r="LZV42" s="191"/>
      <c r="LZW42" s="191"/>
      <c r="LZX42" s="191"/>
      <c r="LZY42" s="191"/>
      <c r="LZZ42" s="191"/>
      <c r="MAA42" s="191"/>
      <c r="MAB42" s="191"/>
      <c r="MAC42" s="191"/>
      <c r="MAD42" s="191"/>
      <c r="MAE42" s="191"/>
      <c r="MAF42" s="191"/>
      <c r="MAG42" s="191"/>
      <c r="MAH42" s="191"/>
      <c r="MAI42" s="191"/>
      <c r="MAJ42" s="191"/>
      <c r="MAK42" s="191"/>
      <c r="MAL42" s="191"/>
      <c r="MAM42" s="191"/>
      <c r="MAN42" s="191"/>
      <c r="MAO42" s="191"/>
      <c r="MAP42" s="191"/>
      <c r="MAQ42" s="191"/>
      <c r="MAR42" s="191"/>
      <c r="MAS42" s="191"/>
      <c r="MAT42" s="191"/>
      <c r="MAU42" s="191"/>
      <c r="MAV42" s="191"/>
      <c r="MAW42" s="191"/>
      <c r="MAX42" s="191"/>
      <c r="MAY42" s="191"/>
      <c r="MAZ42" s="191"/>
      <c r="MBA42" s="191"/>
      <c r="MBB42" s="191"/>
      <c r="MBC42" s="191"/>
      <c r="MBD42" s="191"/>
      <c r="MBE42" s="191"/>
      <c r="MBF42" s="191"/>
      <c r="MBG42" s="191"/>
      <c r="MBH42" s="191"/>
      <c r="MBI42" s="191"/>
      <c r="MBJ42" s="191"/>
      <c r="MBK42" s="191"/>
      <c r="MBL42" s="191"/>
      <c r="MBM42" s="191"/>
      <c r="MBN42" s="191"/>
      <c r="MBO42" s="191"/>
      <c r="MBP42" s="191"/>
      <c r="MBQ42" s="191"/>
      <c r="MBR42" s="191"/>
      <c r="MBS42" s="191"/>
      <c r="MBT42" s="191"/>
      <c r="MBU42" s="191"/>
      <c r="MBV42" s="191"/>
      <c r="MBW42" s="191"/>
      <c r="MBX42" s="191"/>
      <c r="MBY42" s="191"/>
      <c r="MBZ42" s="191"/>
      <c r="MCA42" s="191"/>
      <c r="MCB42" s="191"/>
      <c r="MCC42" s="191"/>
      <c r="MCD42" s="191"/>
      <c r="MCE42" s="191"/>
      <c r="MCF42" s="191"/>
      <c r="MCG42" s="191"/>
      <c r="MCH42" s="191"/>
      <c r="MCI42" s="191"/>
      <c r="MCJ42" s="191"/>
      <c r="MCK42" s="191"/>
      <c r="MCL42" s="191"/>
      <c r="MCM42" s="191"/>
      <c r="MCN42" s="191"/>
      <c r="MCO42" s="191"/>
      <c r="MCP42" s="191"/>
      <c r="MCQ42" s="191"/>
      <c r="MCR42" s="191"/>
      <c r="MCS42" s="191"/>
      <c r="MCT42" s="191"/>
      <c r="MCU42" s="191"/>
      <c r="MCV42" s="191"/>
      <c r="MCW42" s="191"/>
      <c r="MCX42" s="191"/>
      <c r="MCY42" s="191"/>
      <c r="MCZ42" s="191"/>
      <c r="MDA42" s="191"/>
      <c r="MDB42" s="191"/>
      <c r="MDC42" s="191"/>
      <c r="MDD42" s="191"/>
      <c r="MDE42" s="191"/>
      <c r="MDF42" s="191"/>
      <c r="MDG42" s="191"/>
      <c r="MDH42" s="191"/>
      <c r="MDI42" s="191"/>
      <c r="MDJ42" s="191"/>
      <c r="MDK42" s="191"/>
      <c r="MDL42" s="191"/>
      <c r="MDM42" s="191"/>
      <c r="MDN42" s="191"/>
      <c r="MDO42" s="191"/>
      <c r="MDP42" s="191"/>
      <c r="MDQ42" s="191"/>
      <c r="MDR42" s="191"/>
      <c r="MDS42" s="191"/>
      <c r="MDT42" s="191"/>
      <c r="MDU42" s="191"/>
      <c r="MDV42" s="191"/>
      <c r="MDW42" s="191"/>
      <c r="MDX42" s="191"/>
      <c r="MDY42" s="191"/>
      <c r="MDZ42" s="191"/>
      <c r="MEA42" s="191"/>
      <c r="MEB42" s="191"/>
      <c r="MEC42" s="191"/>
      <c r="MED42" s="191"/>
      <c r="MEE42" s="191"/>
      <c r="MEF42" s="191"/>
      <c r="MEG42" s="191"/>
      <c r="MEH42" s="191"/>
      <c r="MEI42" s="191"/>
      <c r="MEJ42" s="191"/>
      <c r="MEK42" s="191"/>
      <c r="MEL42" s="191"/>
      <c r="MEM42" s="191"/>
      <c r="MEN42" s="191"/>
      <c r="MEO42" s="191"/>
      <c r="MEP42" s="191"/>
      <c r="MEQ42" s="191"/>
      <c r="MER42" s="191"/>
      <c r="MES42" s="191"/>
      <c r="MET42" s="191"/>
      <c r="MEU42" s="191"/>
      <c r="MEV42" s="191"/>
      <c r="MEW42" s="191"/>
      <c r="MEX42" s="191"/>
      <c r="MEY42" s="191"/>
      <c r="MEZ42" s="191"/>
      <c r="MFA42" s="191"/>
      <c r="MFB42" s="191"/>
      <c r="MFC42" s="191"/>
      <c r="MFD42" s="191"/>
      <c r="MFE42" s="191"/>
      <c r="MFF42" s="191"/>
      <c r="MFG42" s="191"/>
      <c r="MFH42" s="191"/>
      <c r="MFI42" s="191"/>
      <c r="MFJ42" s="191"/>
      <c r="MFK42" s="191"/>
      <c r="MFL42" s="191"/>
      <c r="MFM42" s="191"/>
      <c r="MFN42" s="191"/>
      <c r="MFO42" s="191"/>
      <c r="MFP42" s="191"/>
      <c r="MFQ42" s="191"/>
      <c r="MFR42" s="191"/>
      <c r="MFS42" s="191"/>
      <c r="MFT42" s="191"/>
      <c r="MFU42" s="191"/>
      <c r="MFV42" s="191"/>
      <c r="MFW42" s="191"/>
      <c r="MFX42" s="191"/>
      <c r="MFY42" s="191"/>
      <c r="MFZ42" s="191"/>
      <c r="MGA42" s="191"/>
      <c r="MGB42" s="191"/>
      <c r="MGC42" s="191"/>
      <c r="MGD42" s="191"/>
      <c r="MGE42" s="191"/>
      <c r="MGF42" s="191"/>
      <c r="MGG42" s="191"/>
      <c r="MGH42" s="191"/>
      <c r="MGI42" s="191"/>
      <c r="MGJ42" s="191"/>
      <c r="MGK42" s="191"/>
      <c r="MGL42" s="191"/>
      <c r="MGM42" s="191"/>
      <c r="MGN42" s="191"/>
      <c r="MGO42" s="191"/>
      <c r="MGP42" s="191"/>
      <c r="MGQ42" s="191"/>
      <c r="MGR42" s="191"/>
      <c r="MGS42" s="191"/>
      <c r="MGT42" s="191"/>
      <c r="MGU42" s="191"/>
      <c r="MGV42" s="191"/>
      <c r="MGW42" s="191"/>
      <c r="MGX42" s="191"/>
      <c r="MGY42" s="191"/>
      <c r="MGZ42" s="191"/>
      <c r="MHA42" s="191"/>
      <c r="MHB42" s="191"/>
      <c r="MHC42" s="191"/>
      <c r="MHD42" s="191"/>
      <c r="MHE42" s="191"/>
      <c r="MHF42" s="191"/>
      <c r="MHG42" s="191"/>
      <c r="MHH42" s="191"/>
      <c r="MHI42" s="191"/>
      <c r="MHJ42" s="191"/>
      <c r="MHK42" s="191"/>
      <c r="MHL42" s="191"/>
      <c r="MHM42" s="191"/>
      <c r="MHN42" s="191"/>
      <c r="MHO42" s="191"/>
      <c r="MHP42" s="191"/>
      <c r="MHQ42" s="191"/>
      <c r="MHR42" s="191"/>
      <c r="MHS42" s="191"/>
      <c r="MHT42" s="191"/>
      <c r="MHU42" s="191"/>
      <c r="MHV42" s="191"/>
      <c r="MHW42" s="191"/>
      <c r="MHX42" s="191"/>
      <c r="MHY42" s="191"/>
      <c r="MHZ42" s="191"/>
      <c r="MIA42" s="191"/>
      <c r="MIB42" s="191"/>
      <c r="MIC42" s="191"/>
      <c r="MID42" s="191"/>
      <c r="MIE42" s="191"/>
      <c r="MIF42" s="191"/>
      <c r="MIG42" s="191"/>
      <c r="MIH42" s="191"/>
      <c r="MII42" s="191"/>
      <c r="MIJ42" s="191"/>
      <c r="MIK42" s="191"/>
      <c r="MIL42" s="191"/>
      <c r="MIM42" s="191"/>
      <c r="MIN42" s="191"/>
      <c r="MIO42" s="191"/>
      <c r="MIP42" s="191"/>
      <c r="MIQ42" s="191"/>
      <c r="MIR42" s="191"/>
      <c r="MIS42" s="191"/>
      <c r="MIT42" s="191"/>
      <c r="MIU42" s="191"/>
      <c r="MIV42" s="191"/>
      <c r="MIW42" s="191"/>
      <c r="MIX42" s="191"/>
      <c r="MIY42" s="191"/>
      <c r="MIZ42" s="191"/>
      <c r="MJA42" s="191"/>
      <c r="MJB42" s="191"/>
      <c r="MJC42" s="191"/>
      <c r="MJD42" s="191"/>
      <c r="MJE42" s="191"/>
      <c r="MJF42" s="191"/>
      <c r="MJG42" s="191"/>
      <c r="MJH42" s="191"/>
      <c r="MJI42" s="191"/>
      <c r="MJJ42" s="191"/>
      <c r="MJK42" s="191"/>
      <c r="MJL42" s="191"/>
      <c r="MJM42" s="191"/>
      <c r="MJN42" s="191"/>
      <c r="MJO42" s="191"/>
      <c r="MJP42" s="191"/>
      <c r="MJQ42" s="191"/>
      <c r="MJR42" s="191"/>
      <c r="MJS42" s="191"/>
      <c r="MJT42" s="191"/>
      <c r="MJU42" s="191"/>
      <c r="MJV42" s="191"/>
      <c r="MJW42" s="191"/>
      <c r="MJX42" s="191"/>
      <c r="MJY42" s="191"/>
      <c r="MJZ42" s="191"/>
      <c r="MKA42" s="191"/>
      <c r="MKB42" s="191"/>
      <c r="MKC42" s="191"/>
      <c r="MKD42" s="191"/>
      <c r="MKE42" s="191"/>
      <c r="MKF42" s="191"/>
      <c r="MKG42" s="191"/>
      <c r="MKH42" s="191"/>
      <c r="MKI42" s="191"/>
      <c r="MKJ42" s="191"/>
      <c r="MKK42" s="191"/>
      <c r="MKL42" s="191"/>
      <c r="MKM42" s="191"/>
      <c r="MKN42" s="191"/>
      <c r="MKO42" s="191"/>
      <c r="MKP42" s="191"/>
      <c r="MKQ42" s="191"/>
      <c r="MKR42" s="191"/>
      <c r="MKS42" s="191"/>
      <c r="MKT42" s="191"/>
      <c r="MKU42" s="191"/>
      <c r="MKV42" s="191"/>
      <c r="MKW42" s="191"/>
      <c r="MKX42" s="191"/>
      <c r="MKY42" s="191"/>
      <c r="MKZ42" s="191"/>
      <c r="MLA42" s="191"/>
      <c r="MLB42" s="191"/>
      <c r="MLC42" s="191"/>
      <c r="MLD42" s="191"/>
      <c r="MLE42" s="191"/>
      <c r="MLF42" s="191"/>
      <c r="MLG42" s="191"/>
      <c r="MLH42" s="191"/>
      <c r="MLI42" s="191"/>
      <c r="MLJ42" s="191"/>
      <c r="MLK42" s="191"/>
      <c r="MLL42" s="191"/>
      <c r="MLM42" s="191"/>
      <c r="MLN42" s="191"/>
      <c r="MLO42" s="191"/>
      <c r="MLP42" s="191"/>
      <c r="MLQ42" s="191"/>
      <c r="MLR42" s="191"/>
      <c r="MLS42" s="191"/>
      <c r="MLT42" s="191"/>
      <c r="MLU42" s="191"/>
      <c r="MLV42" s="191"/>
      <c r="MLW42" s="191"/>
      <c r="MLX42" s="191"/>
      <c r="MLY42" s="191"/>
      <c r="MLZ42" s="191"/>
      <c r="MMA42" s="191"/>
      <c r="MMB42" s="191"/>
      <c r="MMC42" s="191"/>
      <c r="MMD42" s="191"/>
      <c r="MME42" s="191"/>
      <c r="MMF42" s="191"/>
      <c r="MMG42" s="191"/>
      <c r="MMH42" s="191"/>
      <c r="MMI42" s="191"/>
      <c r="MMJ42" s="191"/>
      <c r="MMK42" s="191"/>
      <c r="MML42" s="191"/>
      <c r="MMM42" s="191"/>
      <c r="MMN42" s="191"/>
      <c r="MMO42" s="191"/>
      <c r="MMP42" s="191"/>
      <c r="MMQ42" s="191"/>
      <c r="MMR42" s="191"/>
      <c r="MMS42" s="191"/>
      <c r="MMT42" s="191"/>
      <c r="MMU42" s="191"/>
      <c r="MMV42" s="191"/>
      <c r="MMW42" s="191"/>
      <c r="MMX42" s="191"/>
      <c r="MMY42" s="191"/>
      <c r="MMZ42" s="191"/>
      <c r="MNA42" s="191"/>
      <c r="MNB42" s="191"/>
      <c r="MNC42" s="191"/>
      <c r="MND42" s="191"/>
      <c r="MNE42" s="191"/>
      <c r="MNF42" s="191"/>
      <c r="MNG42" s="191"/>
      <c r="MNH42" s="191"/>
      <c r="MNI42" s="191"/>
      <c r="MNJ42" s="191"/>
      <c r="MNK42" s="191"/>
      <c r="MNL42" s="191"/>
      <c r="MNM42" s="191"/>
      <c r="MNN42" s="191"/>
      <c r="MNO42" s="191"/>
      <c r="MNP42" s="191"/>
      <c r="MNQ42" s="191"/>
      <c r="MNR42" s="191"/>
      <c r="MNS42" s="191"/>
      <c r="MNT42" s="191"/>
      <c r="MNU42" s="191"/>
      <c r="MNV42" s="191"/>
      <c r="MNW42" s="191"/>
      <c r="MNX42" s="191"/>
      <c r="MNY42" s="191"/>
      <c r="MNZ42" s="191"/>
      <c r="MOA42" s="191"/>
      <c r="MOB42" s="191"/>
      <c r="MOC42" s="191"/>
      <c r="MOD42" s="191"/>
      <c r="MOE42" s="191"/>
      <c r="MOF42" s="191"/>
      <c r="MOG42" s="191"/>
      <c r="MOH42" s="191"/>
      <c r="MOI42" s="191"/>
      <c r="MOJ42" s="191"/>
      <c r="MOK42" s="191"/>
      <c r="MOL42" s="191"/>
      <c r="MOM42" s="191"/>
      <c r="MON42" s="191"/>
      <c r="MOO42" s="191"/>
      <c r="MOP42" s="191"/>
      <c r="MOQ42" s="191"/>
      <c r="MOR42" s="191"/>
      <c r="MOS42" s="191"/>
      <c r="MOT42" s="191"/>
      <c r="MOU42" s="191"/>
      <c r="MOV42" s="191"/>
      <c r="MOW42" s="191"/>
      <c r="MOX42" s="191"/>
      <c r="MOY42" s="191"/>
      <c r="MOZ42" s="191"/>
      <c r="MPA42" s="191"/>
      <c r="MPB42" s="191"/>
      <c r="MPC42" s="191"/>
      <c r="MPD42" s="191"/>
      <c r="MPE42" s="191"/>
      <c r="MPF42" s="191"/>
      <c r="MPG42" s="191"/>
      <c r="MPH42" s="191"/>
      <c r="MPI42" s="191"/>
      <c r="MPJ42" s="191"/>
      <c r="MPK42" s="191"/>
      <c r="MPL42" s="191"/>
      <c r="MPM42" s="191"/>
      <c r="MPN42" s="191"/>
      <c r="MPO42" s="191"/>
      <c r="MPP42" s="191"/>
      <c r="MPQ42" s="191"/>
      <c r="MPR42" s="191"/>
      <c r="MPS42" s="191"/>
      <c r="MPT42" s="191"/>
      <c r="MPU42" s="191"/>
      <c r="MPV42" s="191"/>
      <c r="MPW42" s="191"/>
      <c r="MPX42" s="191"/>
      <c r="MPY42" s="191"/>
      <c r="MPZ42" s="191"/>
      <c r="MQA42" s="191"/>
      <c r="MQB42" s="191"/>
      <c r="MQC42" s="191"/>
      <c r="MQD42" s="191"/>
      <c r="MQE42" s="191"/>
      <c r="MQF42" s="191"/>
      <c r="MQG42" s="191"/>
      <c r="MQH42" s="191"/>
      <c r="MQI42" s="191"/>
      <c r="MQJ42" s="191"/>
      <c r="MQK42" s="191"/>
      <c r="MQL42" s="191"/>
      <c r="MQM42" s="191"/>
      <c r="MQN42" s="191"/>
      <c r="MQO42" s="191"/>
      <c r="MQP42" s="191"/>
      <c r="MQQ42" s="191"/>
      <c r="MQR42" s="191"/>
      <c r="MQS42" s="191"/>
      <c r="MQT42" s="191"/>
      <c r="MQU42" s="191"/>
      <c r="MQV42" s="191"/>
      <c r="MQW42" s="191"/>
      <c r="MQX42" s="191"/>
      <c r="MQY42" s="191"/>
      <c r="MQZ42" s="191"/>
      <c r="MRA42" s="191"/>
      <c r="MRB42" s="191"/>
      <c r="MRC42" s="191"/>
      <c r="MRD42" s="191"/>
      <c r="MRE42" s="191"/>
      <c r="MRF42" s="191"/>
      <c r="MRG42" s="191"/>
      <c r="MRH42" s="191"/>
      <c r="MRI42" s="191"/>
      <c r="MRJ42" s="191"/>
      <c r="MRK42" s="191"/>
      <c r="MRL42" s="191"/>
      <c r="MRM42" s="191"/>
      <c r="MRN42" s="191"/>
      <c r="MRO42" s="191"/>
      <c r="MRP42" s="191"/>
      <c r="MRQ42" s="191"/>
      <c r="MRR42" s="191"/>
      <c r="MRS42" s="191"/>
      <c r="MRT42" s="191"/>
      <c r="MRU42" s="191"/>
      <c r="MRV42" s="191"/>
      <c r="MRW42" s="191"/>
      <c r="MRX42" s="191"/>
      <c r="MRY42" s="191"/>
      <c r="MRZ42" s="191"/>
      <c r="MSA42" s="191"/>
      <c r="MSB42" s="191"/>
      <c r="MSC42" s="191"/>
      <c r="MSD42" s="191"/>
      <c r="MSE42" s="191"/>
      <c r="MSF42" s="191"/>
      <c r="MSG42" s="191"/>
      <c r="MSH42" s="191"/>
      <c r="MSI42" s="191"/>
      <c r="MSJ42" s="191"/>
      <c r="MSK42" s="191"/>
      <c r="MSL42" s="191"/>
      <c r="MSM42" s="191"/>
      <c r="MSN42" s="191"/>
      <c r="MSO42" s="191"/>
      <c r="MSP42" s="191"/>
      <c r="MSQ42" s="191"/>
      <c r="MSR42" s="191"/>
      <c r="MSS42" s="191"/>
      <c r="MST42" s="191"/>
      <c r="MSU42" s="191"/>
      <c r="MSV42" s="191"/>
      <c r="MSW42" s="191"/>
      <c r="MSX42" s="191"/>
      <c r="MSY42" s="191"/>
      <c r="MSZ42" s="191"/>
      <c r="MTA42" s="191"/>
      <c r="MTB42" s="191"/>
      <c r="MTC42" s="191"/>
      <c r="MTD42" s="191"/>
      <c r="MTE42" s="191"/>
      <c r="MTF42" s="191"/>
      <c r="MTG42" s="191"/>
      <c r="MTH42" s="191"/>
      <c r="MTI42" s="191"/>
      <c r="MTJ42" s="191"/>
      <c r="MTK42" s="191"/>
      <c r="MTL42" s="191"/>
      <c r="MTM42" s="191"/>
      <c r="MTN42" s="191"/>
      <c r="MTO42" s="191"/>
      <c r="MTP42" s="191"/>
      <c r="MTQ42" s="191"/>
      <c r="MTR42" s="191"/>
      <c r="MTS42" s="191"/>
      <c r="MTT42" s="191"/>
      <c r="MTU42" s="191"/>
      <c r="MTV42" s="191"/>
      <c r="MTW42" s="191"/>
      <c r="MTX42" s="191"/>
      <c r="MTY42" s="191"/>
      <c r="MTZ42" s="191"/>
      <c r="MUA42" s="191"/>
      <c r="MUB42" s="191"/>
      <c r="MUC42" s="191"/>
      <c r="MUD42" s="191"/>
      <c r="MUE42" s="191"/>
      <c r="MUF42" s="191"/>
      <c r="MUG42" s="191"/>
      <c r="MUH42" s="191"/>
      <c r="MUI42" s="191"/>
      <c r="MUJ42" s="191"/>
      <c r="MUK42" s="191"/>
      <c r="MUL42" s="191"/>
      <c r="MUM42" s="191"/>
      <c r="MUN42" s="191"/>
      <c r="MUO42" s="191"/>
      <c r="MUP42" s="191"/>
      <c r="MUQ42" s="191"/>
      <c r="MUR42" s="191"/>
      <c r="MUS42" s="191"/>
      <c r="MUT42" s="191"/>
      <c r="MUU42" s="191"/>
      <c r="MUV42" s="191"/>
      <c r="MUW42" s="191"/>
      <c r="MUX42" s="191"/>
      <c r="MUY42" s="191"/>
      <c r="MUZ42" s="191"/>
      <c r="MVA42" s="191"/>
      <c r="MVB42" s="191"/>
      <c r="MVC42" s="191"/>
      <c r="MVD42" s="191"/>
      <c r="MVE42" s="191"/>
      <c r="MVF42" s="191"/>
      <c r="MVG42" s="191"/>
      <c r="MVH42" s="191"/>
      <c r="MVI42" s="191"/>
      <c r="MVJ42" s="191"/>
      <c r="MVK42" s="191"/>
      <c r="MVL42" s="191"/>
      <c r="MVM42" s="191"/>
      <c r="MVN42" s="191"/>
      <c r="MVO42" s="191"/>
      <c r="MVP42" s="191"/>
      <c r="MVQ42" s="191"/>
      <c r="MVR42" s="191"/>
      <c r="MVS42" s="191"/>
      <c r="MVT42" s="191"/>
      <c r="MVU42" s="191"/>
      <c r="MVV42" s="191"/>
      <c r="MVW42" s="191"/>
      <c r="MVX42" s="191"/>
      <c r="MVY42" s="191"/>
      <c r="MVZ42" s="191"/>
      <c r="MWA42" s="191"/>
      <c r="MWB42" s="191"/>
      <c r="MWC42" s="191"/>
      <c r="MWD42" s="191"/>
      <c r="MWE42" s="191"/>
      <c r="MWF42" s="191"/>
      <c r="MWG42" s="191"/>
      <c r="MWH42" s="191"/>
      <c r="MWI42" s="191"/>
      <c r="MWJ42" s="191"/>
      <c r="MWK42" s="191"/>
      <c r="MWL42" s="191"/>
      <c r="MWM42" s="191"/>
      <c r="MWN42" s="191"/>
      <c r="MWO42" s="191"/>
      <c r="MWP42" s="191"/>
      <c r="MWQ42" s="191"/>
      <c r="MWR42" s="191"/>
      <c r="MWS42" s="191"/>
      <c r="MWT42" s="191"/>
      <c r="MWU42" s="191"/>
      <c r="MWV42" s="191"/>
      <c r="MWW42" s="191"/>
      <c r="MWX42" s="191"/>
      <c r="MWY42" s="191"/>
      <c r="MWZ42" s="191"/>
      <c r="MXA42" s="191"/>
      <c r="MXB42" s="191"/>
      <c r="MXC42" s="191"/>
      <c r="MXD42" s="191"/>
      <c r="MXE42" s="191"/>
      <c r="MXF42" s="191"/>
      <c r="MXG42" s="191"/>
      <c r="MXH42" s="191"/>
      <c r="MXI42" s="191"/>
      <c r="MXJ42" s="191"/>
      <c r="MXK42" s="191"/>
      <c r="MXL42" s="191"/>
      <c r="MXM42" s="191"/>
      <c r="MXN42" s="191"/>
      <c r="MXO42" s="191"/>
      <c r="MXP42" s="191"/>
      <c r="MXQ42" s="191"/>
      <c r="MXR42" s="191"/>
      <c r="MXS42" s="191"/>
      <c r="MXT42" s="191"/>
      <c r="MXU42" s="191"/>
      <c r="MXV42" s="191"/>
      <c r="MXW42" s="191"/>
      <c r="MXX42" s="191"/>
      <c r="MXY42" s="191"/>
      <c r="MXZ42" s="191"/>
      <c r="MYA42" s="191"/>
      <c r="MYB42" s="191"/>
      <c r="MYC42" s="191"/>
      <c r="MYD42" s="191"/>
      <c r="MYE42" s="191"/>
      <c r="MYF42" s="191"/>
      <c r="MYG42" s="191"/>
      <c r="MYH42" s="191"/>
      <c r="MYI42" s="191"/>
      <c r="MYJ42" s="191"/>
      <c r="MYK42" s="191"/>
      <c r="MYL42" s="191"/>
      <c r="MYM42" s="191"/>
      <c r="MYN42" s="191"/>
      <c r="MYO42" s="191"/>
      <c r="MYP42" s="191"/>
      <c r="MYQ42" s="191"/>
      <c r="MYR42" s="191"/>
      <c r="MYS42" s="191"/>
      <c r="MYT42" s="191"/>
      <c r="MYU42" s="191"/>
      <c r="MYV42" s="191"/>
      <c r="MYW42" s="191"/>
      <c r="MYX42" s="191"/>
      <c r="MYY42" s="191"/>
      <c r="MYZ42" s="191"/>
      <c r="MZA42" s="191"/>
      <c r="MZB42" s="191"/>
      <c r="MZC42" s="191"/>
      <c r="MZD42" s="191"/>
      <c r="MZE42" s="191"/>
      <c r="MZF42" s="191"/>
      <c r="MZG42" s="191"/>
      <c r="MZH42" s="191"/>
      <c r="MZI42" s="191"/>
      <c r="MZJ42" s="191"/>
      <c r="MZK42" s="191"/>
      <c r="MZL42" s="191"/>
      <c r="MZM42" s="191"/>
      <c r="MZN42" s="191"/>
      <c r="MZO42" s="191"/>
      <c r="MZP42" s="191"/>
      <c r="MZQ42" s="191"/>
      <c r="MZR42" s="191"/>
      <c r="MZS42" s="191"/>
      <c r="MZT42" s="191"/>
      <c r="MZU42" s="191"/>
      <c r="MZV42" s="191"/>
      <c r="MZW42" s="191"/>
      <c r="MZX42" s="191"/>
      <c r="MZY42" s="191"/>
      <c r="MZZ42" s="191"/>
      <c r="NAA42" s="191"/>
      <c r="NAB42" s="191"/>
      <c r="NAC42" s="191"/>
      <c r="NAD42" s="191"/>
      <c r="NAE42" s="191"/>
      <c r="NAF42" s="191"/>
      <c r="NAG42" s="191"/>
      <c r="NAH42" s="191"/>
      <c r="NAI42" s="191"/>
      <c r="NAJ42" s="191"/>
      <c r="NAK42" s="191"/>
      <c r="NAL42" s="191"/>
      <c r="NAM42" s="191"/>
      <c r="NAN42" s="191"/>
      <c r="NAO42" s="191"/>
      <c r="NAP42" s="191"/>
      <c r="NAQ42" s="191"/>
      <c r="NAR42" s="191"/>
      <c r="NAS42" s="191"/>
      <c r="NAT42" s="191"/>
      <c r="NAU42" s="191"/>
      <c r="NAV42" s="191"/>
      <c r="NAW42" s="191"/>
      <c r="NAX42" s="191"/>
      <c r="NAY42" s="191"/>
      <c r="NAZ42" s="191"/>
      <c r="NBA42" s="191"/>
      <c r="NBB42" s="191"/>
      <c r="NBC42" s="191"/>
      <c r="NBD42" s="191"/>
      <c r="NBE42" s="191"/>
      <c r="NBF42" s="191"/>
      <c r="NBG42" s="191"/>
      <c r="NBH42" s="191"/>
      <c r="NBI42" s="191"/>
      <c r="NBJ42" s="191"/>
      <c r="NBK42" s="191"/>
      <c r="NBL42" s="191"/>
      <c r="NBM42" s="191"/>
      <c r="NBN42" s="191"/>
      <c r="NBO42" s="191"/>
      <c r="NBP42" s="191"/>
      <c r="NBQ42" s="191"/>
      <c r="NBR42" s="191"/>
      <c r="NBS42" s="191"/>
      <c r="NBT42" s="191"/>
      <c r="NBU42" s="191"/>
      <c r="NBV42" s="191"/>
      <c r="NBW42" s="191"/>
      <c r="NBX42" s="191"/>
      <c r="NBY42" s="191"/>
      <c r="NBZ42" s="191"/>
      <c r="NCA42" s="191"/>
      <c r="NCB42" s="191"/>
      <c r="NCC42" s="191"/>
      <c r="NCD42" s="191"/>
      <c r="NCE42" s="191"/>
      <c r="NCF42" s="191"/>
      <c r="NCG42" s="191"/>
      <c r="NCH42" s="191"/>
      <c r="NCI42" s="191"/>
      <c r="NCJ42" s="191"/>
      <c r="NCK42" s="191"/>
      <c r="NCL42" s="191"/>
      <c r="NCM42" s="191"/>
      <c r="NCN42" s="191"/>
      <c r="NCO42" s="191"/>
      <c r="NCP42" s="191"/>
      <c r="NCQ42" s="191"/>
      <c r="NCR42" s="191"/>
      <c r="NCS42" s="191"/>
      <c r="NCT42" s="191"/>
      <c r="NCU42" s="191"/>
      <c r="NCV42" s="191"/>
      <c r="NCW42" s="191"/>
      <c r="NCX42" s="191"/>
      <c r="NCY42" s="191"/>
      <c r="NCZ42" s="191"/>
      <c r="NDA42" s="191"/>
      <c r="NDB42" s="191"/>
      <c r="NDC42" s="191"/>
      <c r="NDD42" s="191"/>
      <c r="NDE42" s="191"/>
      <c r="NDF42" s="191"/>
      <c r="NDG42" s="191"/>
      <c r="NDH42" s="191"/>
      <c r="NDI42" s="191"/>
      <c r="NDJ42" s="191"/>
      <c r="NDK42" s="191"/>
      <c r="NDL42" s="191"/>
      <c r="NDM42" s="191"/>
      <c r="NDN42" s="191"/>
      <c r="NDO42" s="191"/>
      <c r="NDP42" s="191"/>
      <c r="NDQ42" s="191"/>
      <c r="NDR42" s="191"/>
      <c r="NDS42" s="191"/>
      <c r="NDT42" s="191"/>
      <c r="NDU42" s="191"/>
      <c r="NDV42" s="191"/>
      <c r="NDW42" s="191"/>
      <c r="NDX42" s="191"/>
      <c r="NDY42" s="191"/>
      <c r="NDZ42" s="191"/>
      <c r="NEA42" s="191"/>
      <c r="NEB42" s="191"/>
      <c r="NEC42" s="191"/>
      <c r="NED42" s="191"/>
      <c r="NEE42" s="191"/>
      <c r="NEF42" s="191"/>
      <c r="NEG42" s="191"/>
      <c r="NEH42" s="191"/>
      <c r="NEI42" s="191"/>
      <c r="NEJ42" s="191"/>
      <c r="NEK42" s="191"/>
      <c r="NEL42" s="191"/>
      <c r="NEM42" s="191"/>
      <c r="NEN42" s="191"/>
      <c r="NEO42" s="191"/>
      <c r="NEP42" s="191"/>
      <c r="NEQ42" s="191"/>
      <c r="NER42" s="191"/>
      <c r="NES42" s="191"/>
      <c r="NET42" s="191"/>
      <c r="NEU42" s="191"/>
      <c r="NEV42" s="191"/>
      <c r="NEW42" s="191"/>
      <c r="NEX42" s="191"/>
      <c r="NEY42" s="191"/>
      <c r="NEZ42" s="191"/>
      <c r="NFA42" s="191"/>
      <c r="NFB42" s="191"/>
      <c r="NFC42" s="191"/>
      <c r="NFD42" s="191"/>
      <c r="NFE42" s="191"/>
      <c r="NFF42" s="191"/>
      <c r="NFG42" s="191"/>
      <c r="NFH42" s="191"/>
      <c r="NFI42" s="191"/>
      <c r="NFJ42" s="191"/>
      <c r="NFK42" s="191"/>
      <c r="NFL42" s="191"/>
      <c r="NFM42" s="191"/>
      <c r="NFN42" s="191"/>
      <c r="NFO42" s="191"/>
      <c r="NFP42" s="191"/>
      <c r="NFQ42" s="191"/>
      <c r="NFR42" s="191"/>
      <c r="NFS42" s="191"/>
      <c r="NFT42" s="191"/>
      <c r="NFU42" s="191"/>
      <c r="NFV42" s="191"/>
      <c r="NFW42" s="191"/>
      <c r="NFX42" s="191"/>
      <c r="NFY42" s="191"/>
      <c r="NFZ42" s="191"/>
      <c r="NGA42" s="191"/>
      <c r="NGB42" s="191"/>
      <c r="NGC42" s="191"/>
      <c r="NGD42" s="191"/>
      <c r="NGE42" s="191"/>
      <c r="NGF42" s="191"/>
      <c r="NGG42" s="191"/>
      <c r="NGH42" s="191"/>
      <c r="NGI42" s="191"/>
      <c r="NGJ42" s="191"/>
      <c r="NGK42" s="191"/>
      <c r="NGL42" s="191"/>
      <c r="NGM42" s="191"/>
      <c r="NGN42" s="191"/>
      <c r="NGO42" s="191"/>
      <c r="NGP42" s="191"/>
      <c r="NGQ42" s="191"/>
      <c r="NGR42" s="191"/>
      <c r="NGS42" s="191"/>
      <c r="NGT42" s="191"/>
      <c r="NGU42" s="191"/>
      <c r="NGV42" s="191"/>
      <c r="NGW42" s="191"/>
      <c r="NGX42" s="191"/>
      <c r="NGY42" s="191"/>
      <c r="NGZ42" s="191"/>
      <c r="NHA42" s="191"/>
      <c r="NHB42" s="191"/>
      <c r="NHC42" s="191"/>
      <c r="NHD42" s="191"/>
      <c r="NHE42" s="191"/>
      <c r="NHF42" s="191"/>
      <c r="NHG42" s="191"/>
      <c r="NHH42" s="191"/>
      <c r="NHI42" s="191"/>
      <c r="NHJ42" s="191"/>
      <c r="NHK42" s="191"/>
      <c r="NHL42" s="191"/>
      <c r="NHM42" s="191"/>
      <c r="NHN42" s="191"/>
      <c r="NHO42" s="191"/>
      <c r="NHP42" s="191"/>
      <c r="NHQ42" s="191"/>
      <c r="NHR42" s="191"/>
      <c r="NHS42" s="191"/>
      <c r="NHT42" s="191"/>
      <c r="NHU42" s="191"/>
      <c r="NHV42" s="191"/>
      <c r="NHW42" s="191"/>
      <c r="NHX42" s="191"/>
      <c r="NHY42" s="191"/>
      <c r="NHZ42" s="191"/>
      <c r="NIA42" s="191"/>
      <c r="NIB42" s="191"/>
      <c r="NIC42" s="191"/>
      <c r="NID42" s="191"/>
      <c r="NIE42" s="191"/>
      <c r="NIF42" s="191"/>
      <c r="NIG42" s="191"/>
      <c r="NIH42" s="191"/>
      <c r="NII42" s="191"/>
      <c r="NIJ42" s="191"/>
      <c r="NIK42" s="191"/>
      <c r="NIL42" s="191"/>
      <c r="NIM42" s="191"/>
      <c r="NIN42" s="191"/>
      <c r="NIO42" s="191"/>
      <c r="NIP42" s="191"/>
      <c r="NIQ42" s="191"/>
      <c r="NIR42" s="191"/>
      <c r="NIS42" s="191"/>
      <c r="NIT42" s="191"/>
      <c r="NIU42" s="191"/>
      <c r="NIV42" s="191"/>
      <c r="NIW42" s="191"/>
      <c r="NIX42" s="191"/>
      <c r="NIY42" s="191"/>
      <c r="NIZ42" s="191"/>
      <c r="NJA42" s="191"/>
      <c r="NJB42" s="191"/>
      <c r="NJC42" s="191"/>
      <c r="NJD42" s="191"/>
      <c r="NJE42" s="191"/>
      <c r="NJF42" s="191"/>
      <c r="NJG42" s="191"/>
      <c r="NJH42" s="191"/>
      <c r="NJI42" s="191"/>
      <c r="NJJ42" s="191"/>
      <c r="NJK42" s="191"/>
      <c r="NJL42" s="191"/>
      <c r="NJM42" s="191"/>
      <c r="NJN42" s="191"/>
      <c r="NJO42" s="191"/>
      <c r="NJP42" s="191"/>
      <c r="NJQ42" s="191"/>
      <c r="NJR42" s="191"/>
      <c r="NJS42" s="191"/>
      <c r="NJT42" s="191"/>
      <c r="NJU42" s="191"/>
      <c r="NJV42" s="191"/>
      <c r="NJW42" s="191"/>
      <c r="NJX42" s="191"/>
      <c r="NJY42" s="191"/>
      <c r="NJZ42" s="191"/>
      <c r="NKA42" s="191"/>
      <c r="NKB42" s="191"/>
      <c r="NKC42" s="191"/>
      <c r="NKD42" s="191"/>
      <c r="NKE42" s="191"/>
      <c r="NKF42" s="191"/>
      <c r="NKG42" s="191"/>
      <c r="NKH42" s="191"/>
      <c r="NKI42" s="191"/>
      <c r="NKJ42" s="191"/>
      <c r="NKK42" s="191"/>
      <c r="NKL42" s="191"/>
      <c r="NKM42" s="191"/>
      <c r="NKN42" s="191"/>
      <c r="NKO42" s="191"/>
      <c r="NKP42" s="191"/>
      <c r="NKQ42" s="191"/>
      <c r="NKR42" s="191"/>
      <c r="NKS42" s="191"/>
      <c r="NKT42" s="191"/>
      <c r="NKU42" s="191"/>
      <c r="NKV42" s="191"/>
      <c r="NKW42" s="191"/>
      <c r="NKX42" s="191"/>
      <c r="NKY42" s="191"/>
      <c r="NKZ42" s="191"/>
      <c r="NLA42" s="191"/>
      <c r="NLB42" s="191"/>
      <c r="NLC42" s="191"/>
      <c r="NLD42" s="191"/>
      <c r="NLE42" s="191"/>
      <c r="NLF42" s="191"/>
      <c r="NLG42" s="191"/>
      <c r="NLH42" s="191"/>
      <c r="NLI42" s="191"/>
      <c r="NLJ42" s="191"/>
      <c r="NLK42" s="191"/>
      <c r="NLL42" s="191"/>
      <c r="NLM42" s="191"/>
      <c r="NLN42" s="191"/>
      <c r="NLO42" s="191"/>
      <c r="NLP42" s="191"/>
      <c r="NLQ42" s="191"/>
      <c r="NLR42" s="191"/>
      <c r="NLS42" s="191"/>
      <c r="NLT42" s="191"/>
      <c r="NLU42" s="191"/>
      <c r="NLV42" s="191"/>
      <c r="NLW42" s="191"/>
      <c r="NLX42" s="191"/>
      <c r="NLY42" s="191"/>
      <c r="NLZ42" s="191"/>
      <c r="NMA42" s="191"/>
      <c r="NMB42" s="191"/>
      <c r="NMC42" s="191"/>
      <c r="NMD42" s="191"/>
      <c r="NME42" s="191"/>
      <c r="NMF42" s="191"/>
      <c r="NMG42" s="191"/>
      <c r="NMH42" s="191"/>
      <c r="NMI42" s="191"/>
      <c r="NMJ42" s="191"/>
      <c r="NMK42" s="191"/>
      <c r="NML42" s="191"/>
      <c r="NMM42" s="191"/>
      <c r="NMN42" s="191"/>
      <c r="NMO42" s="191"/>
      <c r="NMP42" s="191"/>
      <c r="NMQ42" s="191"/>
      <c r="NMR42" s="191"/>
      <c r="NMS42" s="191"/>
      <c r="NMT42" s="191"/>
      <c r="NMU42" s="191"/>
      <c r="NMV42" s="191"/>
      <c r="NMW42" s="191"/>
      <c r="NMX42" s="191"/>
      <c r="NMY42" s="191"/>
      <c r="NMZ42" s="191"/>
      <c r="NNA42" s="191"/>
      <c r="NNB42" s="191"/>
      <c r="NNC42" s="191"/>
      <c r="NND42" s="191"/>
      <c r="NNE42" s="191"/>
      <c r="NNF42" s="191"/>
      <c r="NNG42" s="191"/>
      <c r="NNH42" s="191"/>
      <c r="NNI42" s="191"/>
      <c r="NNJ42" s="191"/>
      <c r="NNK42" s="191"/>
      <c r="NNL42" s="191"/>
      <c r="NNM42" s="191"/>
      <c r="NNN42" s="191"/>
      <c r="NNO42" s="191"/>
      <c r="NNP42" s="191"/>
      <c r="NNQ42" s="191"/>
      <c r="NNR42" s="191"/>
      <c r="NNS42" s="191"/>
      <c r="NNT42" s="191"/>
      <c r="NNU42" s="191"/>
      <c r="NNV42" s="191"/>
      <c r="NNW42" s="191"/>
      <c r="NNX42" s="191"/>
      <c r="NNY42" s="191"/>
      <c r="NNZ42" s="191"/>
      <c r="NOA42" s="191"/>
      <c r="NOB42" s="191"/>
      <c r="NOC42" s="191"/>
      <c r="NOD42" s="191"/>
      <c r="NOE42" s="191"/>
      <c r="NOF42" s="191"/>
      <c r="NOG42" s="191"/>
      <c r="NOH42" s="191"/>
      <c r="NOI42" s="191"/>
      <c r="NOJ42" s="191"/>
      <c r="NOK42" s="191"/>
      <c r="NOL42" s="191"/>
      <c r="NOM42" s="191"/>
      <c r="NON42" s="191"/>
      <c r="NOO42" s="191"/>
      <c r="NOP42" s="191"/>
      <c r="NOQ42" s="191"/>
      <c r="NOR42" s="191"/>
      <c r="NOS42" s="191"/>
      <c r="NOT42" s="191"/>
      <c r="NOU42" s="191"/>
      <c r="NOV42" s="191"/>
      <c r="NOW42" s="191"/>
      <c r="NOX42" s="191"/>
      <c r="NOY42" s="191"/>
      <c r="NOZ42" s="191"/>
      <c r="NPA42" s="191"/>
      <c r="NPB42" s="191"/>
      <c r="NPC42" s="191"/>
      <c r="NPD42" s="191"/>
      <c r="NPE42" s="191"/>
      <c r="NPF42" s="191"/>
      <c r="NPG42" s="191"/>
      <c r="NPH42" s="191"/>
      <c r="NPI42" s="191"/>
      <c r="NPJ42" s="191"/>
      <c r="NPK42" s="191"/>
      <c r="NPL42" s="191"/>
      <c r="NPM42" s="191"/>
      <c r="NPN42" s="191"/>
      <c r="NPO42" s="191"/>
      <c r="NPP42" s="191"/>
      <c r="NPQ42" s="191"/>
      <c r="NPR42" s="191"/>
      <c r="NPS42" s="191"/>
      <c r="NPT42" s="191"/>
      <c r="NPU42" s="191"/>
      <c r="NPV42" s="191"/>
      <c r="NPW42" s="191"/>
      <c r="NPX42" s="191"/>
      <c r="NPY42" s="191"/>
      <c r="NPZ42" s="191"/>
      <c r="NQA42" s="191"/>
      <c r="NQB42" s="191"/>
      <c r="NQC42" s="191"/>
      <c r="NQD42" s="191"/>
      <c r="NQE42" s="191"/>
      <c r="NQF42" s="191"/>
      <c r="NQG42" s="191"/>
      <c r="NQH42" s="191"/>
      <c r="NQI42" s="191"/>
      <c r="NQJ42" s="191"/>
      <c r="NQK42" s="191"/>
      <c r="NQL42" s="191"/>
      <c r="NQM42" s="191"/>
      <c r="NQN42" s="191"/>
      <c r="NQO42" s="191"/>
      <c r="NQP42" s="191"/>
      <c r="NQQ42" s="191"/>
      <c r="NQR42" s="191"/>
      <c r="NQS42" s="191"/>
      <c r="NQT42" s="191"/>
      <c r="NQU42" s="191"/>
      <c r="NQV42" s="191"/>
      <c r="NQW42" s="191"/>
      <c r="NQX42" s="191"/>
      <c r="NQY42" s="191"/>
      <c r="NQZ42" s="191"/>
      <c r="NRA42" s="191"/>
      <c r="NRB42" s="191"/>
      <c r="NRC42" s="191"/>
      <c r="NRD42" s="191"/>
      <c r="NRE42" s="191"/>
      <c r="NRF42" s="191"/>
      <c r="NRG42" s="191"/>
      <c r="NRH42" s="191"/>
      <c r="NRI42" s="191"/>
      <c r="NRJ42" s="191"/>
      <c r="NRK42" s="191"/>
      <c r="NRL42" s="191"/>
      <c r="NRM42" s="191"/>
      <c r="NRN42" s="191"/>
      <c r="NRO42" s="191"/>
      <c r="NRP42" s="191"/>
      <c r="NRQ42" s="191"/>
      <c r="NRR42" s="191"/>
      <c r="NRS42" s="191"/>
      <c r="NRT42" s="191"/>
      <c r="NRU42" s="191"/>
      <c r="NRV42" s="191"/>
      <c r="NRW42" s="191"/>
      <c r="NRX42" s="191"/>
      <c r="NRY42" s="191"/>
      <c r="NRZ42" s="191"/>
      <c r="NSA42" s="191"/>
      <c r="NSB42" s="191"/>
      <c r="NSC42" s="191"/>
      <c r="NSD42" s="191"/>
      <c r="NSE42" s="191"/>
      <c r="NSF42" s="191"/>
      <c r="NSG42" s="191"/>
      <c r="NSH42" s="191"/>
      <c r="NSI42" s="191"/>
      <c r="NSJ42" s="191"/>
      <c r="NSK42" s="191"/>
      <c r="NSL42" s="191"/>
      <c r="NSM42" s="191"/>
      <c r="NSN42" s="191"/>
      <c r="NSO42" s="191"/>
      <c r="NSP42" s="191"/>
      <c r="NSQ42" s="191"/>
      <c r="NSR42" s="191"/>
      <c r="NSS42" s="191"/>
      <c r="NST42" s="191"/>
      <c r="NSU42" s="191"/>
      <c r="NSV42" s="191"/>
      <c r="NSW42" s="191"/>
      <c r="NSX42" s="191"/>
      <c r="NSY42" s="191"/>
      <c r="NSZ42" s="191"/>
      <c r="NTA42" s="191"/>
      <c r="NTB42" s="191"/>
      <c r="NTC42" s="191"/>
      <c r="NTD42" s="191"/>
      <c r="NTE42" s="191"/>
      <c r="NTF42" s="191"/>
      <c r="NTG42" s="191"/>
      <c r="NTH42" s="191"/>
      <c r="NTI42" s="191"/>
      <c r="NTJ42" s="191"/>
      <c r="NTK42" s="191"/>
      <c r="NTL42" s="191"/>
      <c r="NTM42" s="191"/>
      <c r="NTN42" s="191"/>
      <c r="NTO42" s="191"/>
      <c r="NTP42" s="191"/>
      <c r="NTQ42" s="191"/>
      <c r="NTR42" s="191"/>
      <c r="NTS42" s="191"/>
      <c r="NTT42" s="191"/>
      <c r="NTU42" s="191"/>
      <c r="NTV42" s="191"/>
      <c r="NTW42" s="191"/>
      <c r="NTX42" s="191"/>
      <c r="NTY42" s="191"/>
      <c r="NTZ42" s="191"/>
      <c r="NUA42" s="191"/>
      <c r="NUB42" s="191"/>
      <c r="NUC42" s="191"/>
      <c r="NUD42" s="191"/>
      <c r="NUE42" s="191"/>
      <c r="NUF42" s="191"/>
      <c r="NUG42" s="191"/>
      <c r="NUH42" s="191"/>
      <c r="NUI42" s="191"/>
      <c r="NUJ42" s="191"/>
      <c r="NUK42" s="191"/>
      <c r="NUL42" s="191"/>
      <c r="NUM42" s="191"/>
      <c r="NUN42" s="191"/>
      <c r="NUO42" s="191"/>
      <c r="NUP42" s="191"/>
      <c r="NUQ42" s="191"/>
      <c r="NUR42" s="191"/>
      <c r="NUS42" s="191"/>
      <c r="NUT42" s="191"/>
      <c r="NUU42" s="191"/>
      <c r="NUV42" s="191"/>
      <c r="NUW42" s="191"/>
      <c r="NUX42" s="191"/>
      <c r="NUY42" s="191"/>
      <c r="NUZ42" s="191"/>
      <c r="NVA42" s="191"/>
      <c r="NVB42" s="191"/>
      <c r="NVC42" s="191"/>
      <c r="NVD42" s="191"/>
      <c r="NVE42" s="191"/>
      <c r="NVF42" s="191"/>
      <c r="NVG42" s="191"/>
      <c r="NVH42" s="191"/>
      <c r="NVI42" s="191"/>
      <c r="NVJ42" s="191"/>
      <c r="NVK42" s="191"/>
      <c r="NVL42" s="191"/>
      <c r="NVM42" s="191"/>
      <c r="NVN42" s="191"/>
      <c r="NVO42" s="191"/>
      <c r="NVP42" s="191"/>
      <c r="NVQ42" s="191"/>
      <c r="NVR42" s="191"/>
      <c r="NVS42" s="191"/>
      <c r="NVT42" s="191"/>
      <c r="NVU42" s="191"/>
      <c r="NVV42" s="191"/>
      <c r="NVW42" s="191"/>
      <c r="NVX42" s="191"/>
      <c r="NVY42" s="191"/>
      <c r="NVZ42" s="191"/>
      <c r="NWA42" s="191"/>
      <c r="NWB42" s="191"/>
      <c r="NWC42" s="191"/>
      <c r="NWD42" s="191"/>
      <c r="NWE42" s="191"/>
      <c r="NWF42" s="191"/>
      <c r="NWG42" s="191"/>
      <c r="NWH42" s="191"/>
      <c r="NWI42" s="191"/>
      <c r="NWJ42" s="191"/>
      <c r="NWK42" s="191"/>
      <c r="NWL42" s="191"/>
      <c r="NWM42" s="191"/>
      <c r="NWN42" s="191"/>
      <c r="NWO42" s="191"/>
      <c r="NWP42" s="191"/>
      <c r="NWQ42" s="191"/>
      <c r="NWR42" s="191"/>
      <c r="NWS42" s="191"/>
      <c r="NWT42" s="191"/>
      <c r="NWU42" s="191"/>
      <c r="NWV42" s="191"/>
      <c r="NWW42" s="191"/>
      <c r="NWX42" s="191"/>
      <c r="NWY42" s="191"/>
      <c r="NWZ42" s="191"/>
      <c r="NXA42" s="191"/>
      <c r="NXB42" s="191"/>
      <c r="NXC42" s="191"/>
      <c r="NXD42" s="191"/>
      <c r="NXE42" s="191"/>
      <c r="NXF42" s="191"/>
      <c r="NXG42" s="191"/>
      <c r="NXH42" s="191"/>
      <c r="NXI42" s="191"/>
      <c r="NXJ42" s="191"/>
      <c r="NXK42" s="191"/>
      <c r="NXL42" s="191"/>
      <c r="NXM42" s="191"/>
      <c r="NXN42" s="191"/>
      <c r="NXO42" s="191"/>
      <c r="NXP42" s="191"/>
      <c r="NXQ42" s="191"/>
      <c r="NXR42" s="191"/>
      <c r="NXS42" s="191"/>
      <c r="NXT42" s="191"/>
      <c r="NXU42" s="191"/>
      <c r="NXV42" s="191"/>
      <c r="NXW42" s="191"/>
      <c r="NXX42" s="191"/>
      <c r="NXY42" s="191"/>
      <c r="NXZ42" s="191"/>
      <c r="NYA42" s="191"/>
      <c r="NYB42" s="191"/>
      <c r="NYC42" s="191"/>
      <c r="NYD42" s="191"/>
      <c r="NYE42" s="191"/>
      <c r="NYF42" s="191"/>
      <c r="NYG42" s="191"/>
      <c r="NYH42" s="191"/>
      <c r="NYI42" s="191"/>
      <c r="NYJ42" s="191"/>
      <c r="NYK42" s="191"/>
      <c r="NYL42" s="191"/>
      <c r="NYM42" s="191"/>
      <c r="NYN42" s="191"/>
      <c r="NYO42" s="191"/>
      <c r="NYP42" s="191"/>
      <c r="NYQ42" s="191"/>
      <c r="NYR42" s="191"/>
      <c r="NYS42" s="191"/>
      <c r="NYT42" s="191"/>
      <c r="NYU42" s="191"/>
      <c r="NYV42" s="191"/>
      <c r="NYW42" s="191"/>
      <c r="NYX42" s="191"/>
      <c r="NYY42" s="191"/>
      <c r="NYZ42" s="191"/>
      <c r="NZA42" s="191"/>
      <c r="NZB42" s="191"/>
      <c r="NZC42" s="191"/>
      <c r="NZD42" s="191"/>
      <c r="NZE42" s="191"/>
      <c r="NZF42" s="191"/>
      <c r="NZG42" s="191"/>
      <c r="NZH42" s="191"/>
      <c r="NZI42" s="191"/>
      <c r="NZJ42" s="191"/>
      <c r="NZK42" s="191"/>
      <c r="NZL42" s="191"/>
      <c r="NZM42" s="191"/>
      <c r="NZN42" s="191"/>
      <c r="NZO42" s="191"/>
      <c r="NZP42" s="191"/>
      <c r="NZQ42" s="191"/>
      <c r="NZR42" s="191"/>
      <c r="NZS42" s="191"/>
      <c r="NZT42" s="191"/>
      <c r="NZU42" s="191"/>
      <c r="NZV42" s="191"/>
      <c r="NZW42" s="191"/>
      <c r="NZX42" s="191"/>
      <c r="NZY42" s="191"/>
      <c r="NZZ42" s="191"/>
      <c r="OAA42" s="191"/>
      <c r="OAB42" s="191"/>
      <c r="OAC42" s="191"/>
      <c r="OAD42" s="191"/>
      <c r="OAE42" s="191"/>
      <c r="OAF42" s="191"/>
      <c r="OAG42" s="191"/>
      <c r="OAH42" s="191"/>
      <c r="OAI42" s="191"/>
      <c r="OAJ42" s="191"/>
      <c r="OAK42" s="191"/>
      <c r="OAL42" s="191"/>
      <c r="OAM42" s="191"/>
      <c r="OAN42" s="191"/>
      <c r="OAO42" s="191"/>
      <c r="OAP42" s="191"/>
      <c r="OAQ42" s="191"/>
      <c r="OAR42" s="191"/>
      <c r="OAS42" s="191"/>
      <c r="OAT42" s="191"/>
      <c r="OAU42" s="191"/>
      <c r="OAV42" s="191"/>
      <c r="OAW42" s="191"/>
      <c r="OAX42" s="191"/>
      <c r="OAY42" s="191"/>
      <c r="OAZ42" s="191"/>
      <c r="OBA42" s="191"/>
      <c r="OBB42" s="191"/>
      <c r="OBC42" s="191"/>
      <c r="OBD42" s="191"/>
      <c r="OBE42" s="191"/>
      <c r="OBF42" s="191"/>
      <c r="OBG42" s="191"/>
      <c r="OBH42" s="191"/>
      <c r="OBI42" s="191"/>
      <c r="OBJ42" s="191"/>
      <c r="OBK42" s="191"/>
      <c r="OBL42" s="191"/>
      <c r="OBM42" s="191"/>
      <c r="OBN42" s="191"/>
      <c r="OBO42" s="191"/>
      <c r="OBP42" s="191"/>
      <c r="OBQ42" s="191"/>
      <c r="OBR42" s="191"/>
      <c r="OBS42" s="191"/>
      <c r="OBT42" s="191"/>
      <c r="OBU42" s="191"/>
      <c r="OBV42" s="191"/>
      <c r="OBW42" s="191"/>
      <c r="OBX42" s="191"/>
      <c r="OBY42" s="191"/>
      <c r="OBZ42" s="191"/>
      <c r="OCA42" s="191"/>
      <c r="OCB42" s="191"/>
      <c r="OCC42" s="191"/>
      <c r="OCD42" s="191"/>
      <c r="OCE42" s="191"/>
      <c r="OCF42" s="191"/>
      <c r="OCG42" s="191"/>
      <c r="OCH42" s="191"/>
      <c r="OCI42" s="191"/>
      <c r="OCJ42" s="191"/>
      <c r="OCK42" s="191"/>
      <c r="OCL42" s="191"/>
      <c r="OCM42" s="191"/>
      <c r="OCN42" s="191"/>
      <c r="OCO42" s="191"/>
      <c r="OCP42" s="191"/>
      <c r="OCQ42" s="191"/>
      <c r="OCR42" s="191"/>
      <c r="OCS42" s="191"/>
      <c r="OCT42" s="191"/>
      <c r="OCU42" s="191"/>
      <c r="OCV42" s="191"/>
      <c r="OCW42" s="191"/>
      <c r="OCX42" s="191"/>
      <c r="OCY42" s="191"/>
      <c r="OCZ42" s="191"/>
      <c r="ODA42" s="191"/>
      <c r="ODB42" s="191"/>
      <c r="ODC42" s="191"/>
      <c r="ODD42" s="191"/>
      <c r="ODE42" s="191"/>
      <c r="ODF42" s="191"/>
      <c r="ODG42" s="191"/>
      <c r="ODH42" s="191"/>
      <c r="ODI42" s="191"/>
      <c r="ODJ42" s="191"/>
      <c r="ODK42" s="191"/>
      <c r="ODL42" s="191"/>
      <c r="ODM42" s="191"/>
      <c r="ODN42" s="191"/>
      <c r="ODO42" s="191"/>
      <c r="ODP42" s="191"/>
      <c r="ODQ42" s="191"/>
      <c r="ODR42" s="191"/>
      <c r="ODS42" s="191"/>
      <c r="ODT42" s="191"/>
      <c r="ODU42" s="191"/>
      <c r="ODV42" s="191"/>
      <c r="ODW42" s="191"/>
      <c r="ODX42" s="191"/>
      <c r="ODY42" s="191"/>
      <c r="ODZ42" s="191"/>
      <c r="OEA42" s="191"/>
      <c r="OEB42" s="191"/>
      <c r="OEC42" s="191"/>
      <c r="OED42" s="191"/>
      <c r="OEE42" s="191"/>
      <c r="OEF42" s="191"/>
      <c r="OEG42" s="191"/>
      <c r="OEH42" s="191"/>
      <c r="OEI42" s="191"/>
      <c r="OEJ42" s="191"/>
      <c r="OEK42" s="191"/>
      <c r="OEL42" s="191"/>
      <c r="OEM42" s="191"/>
      <c r="OEN42" s="191"/>
      <c r="OEO42" s="191"/>
      <c r="OEP42" s="191"/>
      <c r="OEQ42" s="191"/>
      <c r="OER42" s="191"/>
      <c r="OES42" s="191"/>
      <c r="OET42" s="191"/>
      <c r="OEU42" s="191"/>
      <c r="OEV42" s="191"/>
      <c r="OEW42" s="191"/>
      <c r="OEX42" s="191"/>
      <c r="OEY42" s="191"/>
      <c r="OEZ42" s="191"/>
      <c r="OFA42" s="191"/>
      <c r="OFB42" s="191"/>
      <c r="OFC42" s="191"/>
      <c r="OFD42" s="191"/>
      <c r="OFE42" s="191"/>
      <c r="OFF42" s="191"/>
      <c r="OFG42" s="191"/>
      <c r="OFH42" s="191"/>
      <c r="OFI42" s="191"/>
      <c r="OFJ42" s="191"/>
      <c r="OFK42" s="191"/>
      <c r="OFL42" s="191"/>
      <c r="OFM42" s="191"/>
      <c r="OFN42" s="191"/>
      <c r="OFO42" s="191"/>
      <c r="OFP42" s="191"/>
      <c r="OFQ42" s="191"/>
      <c r="OFR42" s="191"/>
      <c r="OFS42" s="191"/>
      <c r="OFT42" s="191"/>
      <c r="OFU42" s="191"/>
      <c r="OFV42" s="191"/>
      <c r="OFW42" s="191"/>
      <c r="OFX42" s="191"/>
      <c r="OFY42" s="191"/>
      <c r="OFZ42" s="191"/>
      <c r="OGA42" s="191"/>
      <c r="OGB42" s="191"/>
      <c r="OGC42" s="191"/>
      <c r="OGD42" s="191"/>
      <c r="OGE42" s="191"/>
      <c r="OGF42" s="191"/>
      <c r="OGG42" s="191"/>
      <c r="OGH42" s="191"/>
      <c r="OGI42" s="191"/>
      <c r="OGJ42" s="191"/>
      <c r="OGK42" s="191"/>
      <c r="OGL42" s="191"/>
      <c r="OGM42" s="191"/>
      <c r="OGN42" s="191"/>
      <c r="OGO42" s="191"/>
      <c r="OGP42" s="191"/>
      <c r="OGQ42" s="191"/>
      <c r="OGR42" s="191"/>
      <c r="OGS42" s="191"/>
      <c r="OGT42" s="191"/>
      <c r="OGU42" s="191"/>
      <c r="OGV42" s="191"/>
      <c r="OGW42" s="191"/>
      <c r="OGX42" s="191"/>
      <c r="OGY42" s="191"/>
      <c r="OGZ42" s="191"/>
      <c r="OHA42" s="191"/>
      <c r="OHB42" s="191"/>
      <c r="OHC42" s="191"/>
      <c r="OHD42" s="191"/>
      <c r="OHE42" s="191"/>
      <c r="OHF42" s="191"/>
      <c r="OHG42" s="191"/>
      <c r="OHH42" s="191"/>
      <c r="OHI42" s="191"/>
      <c r="OHJ42" s="191"/>
      <c r="OHK42" s="191"/>
      <c r="OHL42" s="191"/>
      <c r="OHM42" s="191"/>
      <c r="OHN42" s="191"/>
      <c r="OHO42" s="191"/>
      <c r="OHP42" s="191"/>
      <c r="OHQ42" s="191"/>
      <c r="OHR42" s="191"/>
      <c r="OHS42" s="191"/>
      <c r="OHT42" s="191"/>
      <c r="OHU42" s="191"/>
      <c r="OHV42" s="191"/>
      <c r="OHW42" s="191"/>
      <c r="OHX42" s="191"/>
      <c r="OHY42" s="191"/>
      <c r="OHZ42" s="191"/>
      <c r="OIA42" s="191"/>
      <c r="OIB42" s="191"/>
      <c r="OIC42" s="191"/>
      <c r="OID42" s="191"/>
      <c r="OIE42" s="191"/>
      <c r="OIF42" s="191"/>
      <c r="OIG42" s="191"/>
      <c r="OIH42" s="191"/>
      <c r="OII42" s="191"/>
      <c r="OIJ42" s="191"/>
      <c r="OIK42" s="191"/>
      <c r="OIL42" s="191"/>
      <c r="OIM42" s="191"/>
      <c r="OIN42" s="191"/>
      <c r="OIO42" s="191"/>
      <c r="OIP42" s="191"/>
      <c r="OIQ42" s="191"/>
      <c r="OIR42" s="191"/>
      <c r="OIS42" s="191"/>
      <c r="OIT42" s="191"/>
      <c r="OIU42" s="191"/>
      <c r="OIV42" s="191"/>
      <c r="OIW42" s="191"/>
      <c r="OIX42" s="191"/>
      <c r="OIY42" s="191"/>
      <c r="OIZ42" s="191"/>
      <c r="OJA42" s="191"/>
      <c r="OJB42" s="191"/>
      <c r="OJC42" s="191"/>
      <c r="OJD42" s="191"/>
      <c r="OJE42" s="191"/>
      <c r="OJF42" s="191"/>
      <c r="OJG42" s="191"/>
      <c r="OJH42" s="191"/>
      <c r="OJI42" s="191"/>
      <c r="OJJ42" s="191"/>
      <c r="OJK42" s="191"/>
      <c r="OJL42" s="191"/>
      <c r="OJM42" s="191"/>
      <c r="OJN42" s="191"/>
      <c r="OJO42" s="191"/>
      <c r="OJP42" s="191"/>
      <c r="OJQ42" s="191"/>
      <c r="OJR42" s="191"/>
      <c r="OJS42" s="191"/>
      <c r="OJT42" s="191"/>
      <c r="OJU42" s="191"/>
      <c r="OJV42" s="191"/>
      <c r="OJW42" s="191"/>
      <c r="OJX42" s="191"/>
      <c r="OJY42" s="191"/>
      <c r="OJZ42" s="191"/>
      <c r="OKA42" s="191"/>
      <c r="OKB42" s="191"/>
      <c r="OKC42" s="191"/>
      <c r="OKD42" s="191"/>
      <c r="OKE42" s="191"/>
      <c r="OKF42" s="191"/>
      <c r="OKG42" s="191"/>
      <c r="OKH42" s="191"/>
      <c r="OKI42" s="191"/>
      <c r="OKJ42" s="191"/>
      <c r="OKK42" s="191"/>
      <c r="OKL42" s="191"/>
      <c r="OKM42" s="191"/>
      <c r="OKN42" s="191"/>
      <c r="OKO42" s="191"/>
      <c r="OKP42" s="191"/>
      <c r="OKQ42" s="191"/>
      <c r="OKR42" s="191"/>
      <c r="OKS42" s="191"/>
      <c r="OKT42" s="191"/>
      <c r="OKU42" s="191"/>
      <c r="OKV42" s="191"/>
      <c r="OKW42" s="191"/>
      <c r="OKX42" s="191"/>
      <c r="OKY42" s="191"/>
      <c r="OKZ42" s="191"/>
      <c r="OLA42" s="191"/>
      <c r="OLB42" s="191"/>
      <c r="OLC42" s="191"/>
      <c r="OLD42" s="191"/>
      <c r="OLE42" s="191"/>
      <c r="OLF42" s="191"/>
      <c r="OLG42" s="191"/>
      <c r="OLH42" s="191"/>
      <c r="OLI42" s="191"/>
      <c r="OLJ42" s="191"/>
      <c r="OLK42" s="191"/>
      <c r="OLL42" s="191"/>
      <c r="OLM42" s="191"/>
      <c r="OLN42" s="191"/>
      <c r="OLO42" s="191"/>
      <c r="OLP42" s="191"/>
      <c r="OLQ42" s="191"/>
      <c r="OLR42" s="191"/>
      <c r="OLS42" s="191"/>
      <c r="OLT42" s="191"/>
      <c r="OLU42" s="191"/>
      <c r="OLV42" s="191"/>
      <c r="OLW42" s="191"/>
      <c r="OLX42" s="191"/>
      <c r="OLY42" s="191"/>
      <c r="OLZ42" s="191"/>
      <c r="OMA42" s="191"/>
      <c r="OMB42" s="191"/>
      <c r="OMC42" s="191"/>
      <c r="OMD42" s="191"/>
      <c r="OME42" s="191"/>
      <c r="OMF42" s="191"/>
      <c r="OMG42" s="191"/>
      <c r="OMH42" s="191"/>
      <c r="OMI42" s="191"/>
      <c r="OMJ42" s="191"/>
      <c r="OMK42" s="191"/>
      <c r="OML42" s="191"/>
      <c r="OMM42" s="191"/>
      <c r="OMN42" s="191"/>
      <c r="OMO42" s="191"/>
      <c r="OMP42" s="191"/>
      <c r="OMQ42" s="191"/>
      <c r="OMR42" s="191"/>
      <c r="OMS42" s="191"/>
      <c r="OMT42" s="191"/>
      <c r="OMU42" s="191"/>
      <c r="OMV42" s="191"/>
      <c r="OMW42" s="191"/>
      <c r="OMX42" s="191"/>
      <c r="OMY42" s="191"/>
      <c r="OMZ42" s="191"/>
      <c r="ONA42" s="191"/>
      <c r="ONB42" s="191"/>
      <c r="ONC42" s="191"/>
      <c r="OND42" s="191"/>
      <c r="ONE42" s="191"/>
      <c r="ONF42" s="191"/>
      <c r="ONG42" s="191"/>
      <c r="ONH42" s="191"/>
      <c r="ONI42" s="191"/>
      <c r="ONJ42" s="191"/>
      <c r="ONK42" s="191"/>
      <c r="ONL42" s="191"/>
      <c r="ONM42" s="191"/>
      <c r="ONN42" s="191"/>
      <c r="ONO42" s="191"/>
      <c r="ONP42" s="191"/>
      <c r="ONQ42" s="191"/>
      <c r="ONR42" s="191"/>
      <c r="ONS42" s="191"/>
      <c r="ONT42" s="191"/>
      <c r="ONU42" s="191"/>
      <c r="ONV42" s="191"/>
      <c r="ONW42" s="191"/>
      <c r="ONX42" s="191"/>
      <c r="ONY42" s="191"/>
      <c r="ONZ42" s="191"/>
      <c r="OOA42" s="191"/>
      <c r="OOB42" s="191"/>
      <c r="OOC42" s="191"/>
      <c r="OOD42" s="191"/>
      <c r="OOE42" s="191"/>
      <c r="OOF42" s="191"/>
      <c r="OOG42" s="191"/>
      <c r="OOH42" s="191"/>
      <c r="OOI42" s="191"/>
      <c r="OOJ42" s="191"/>
      <c r="OOK42" s="191"/>
      <c r="OOL42" s="191"/>
      <c r="OOM42" s="191"/>
      <c r="OON42" s="191"/>
      <c r="OOO42" s="191"/>
      <c r="OOP42" s="191"/>
      <c r="OOQ42" s="191"/>
      <c r="OOR42" s="191"/>
      <c r="OOS42" s="191"/>
      <c r="OOT42" s="191"/>
      <c r="OOU42" s="191"/>
      <c r="OOV42" s="191"/>
      <c r="OOW42" s="191"/>
      <c r="OOX42" s="191"/>
      <c r="OOY42" s="191"/>
      <c r="OOZ42" s="191"/>
      <c r="OPA42" s="191"/>
      <c r="OPB42" s="191"/>
      <c r="OPC42" s="191"/>
      <c r="OPD42" s="191"/>
      <c r="OPE42" s="191"/>
      <c r="OPF42" s="191"/>
      <c r="OPG42" s="191"/>
      <c r="OPH42" s="191"/>
      <c r="OPI42" s="191"/>
      <c r="OPJ42" s="191"/>
      <c r="OPK42" s="191"/>
      <c r="OPL42" s="191"/>
      <c r="OPM42" s="191"/>
      <c r="OPN42" s="191"/>
      <c r="OPO42" s="191"/>
      <c r="OPP42" s="191"/>
      <c r="OPQ42" s="191"/>
      <c r="OPR42" s="191"/>
      <c r="OPS42" s="191"/>
      <c r="OPT42" s="191"/>
      <c r="OPU42" s="191"/>
      <c r="OPV42" s="191"/>
      <c r="OPW42" s="191"/>
      <c r="OPX42" s="191"/>
      <c r="OPY42" s="191"/>
      <c r="OPZ42" s="191"/>
      <c r="OQA42" s="191"/>
      <c r="OQB42" s="191"/>
      <c r="OQC42" s="191"/>
      <c r="OQD42" s="191"/>
      <c r="OQE42" s="191"/>
      <c r="OQF42" s="191"/>
      <c r="OQG42" s="191"/>
      <c r="OQH42" s="191"/>
      <c r="OQI42" s="191"/>
      <c r="OQJ42" s="191"/>
      <c r="OQK42" s="191"/>
      <c r="OQL42" s="191"/>
      <c r="OQM42" s="191"/>
      <c r="OQN42" s="191"/>
      <c r="OQO42" s="191"/>
      <c r="OQP42" s="191"/>
      <c r="OQQ42" s="191"/>
      <c r="OQR42" s="191"/>
      <c r="OQS42" s="191"/>
      <c r="OQT42" s="191"/>
      <c r="OQU42" s="191"/>
      <c r="OQV42" s="191"/>
      <c r="OQW42" s="191"/>
      <c r="OQX42" s="191"/>
      <c r="OQY42" s="191"/>
      <c r="OQZ42" s="191"/>
      <c r="ORA42" s="191"/>
      <c r="ORB42" s="191"/>
      <c r="ORC42" s="191"/>
      <c r="ORD42" s="191"/>
      <c r="ORE42" s="191"/>
      <c r="ORF42" s="191"/>
      <c r="ORG42" s="191"/>
      <c r="ORH42" s="191"/>
      <c r="ORI42" s="191"/>
      <c r="ORJ42" s="191"/>
      <c r="ORK42" s="191"/>
      <c r="ORL42" s="191"/>
      <c r="ORM42" s="191"/>
      <c r="ORN42" s="191"/>
      <c r="ORO42" s="191"/>
      <c r="ORP42" s="191"/>
      <c r="ORQ42" s="191"/>
      <c r="ORR42" s="191"/>
      <c r="ORS42" s="191"/>
      <c r="ORT42" s="191"/>
      <c r="ORU42" s="191"/>
      <c r="ORV42" s="191"/>
      <c r="ORW42" s="191"/>
      <c r="ORX42" s="191"/>
      <c r="ORY42" s="191"/>
      <c r="ORZ42" s="191"/>
      <c r="OSA42" s="191"/>
      <c r="OSB42" s="191"/>
      <c r="OSC42" s="191"/>
      <c r="OSD42" s="191"/>
      <c r="OSE42" s="191"/>
      <c r="OSF42" s="191"/>
      <c r="OSG42" s="191"/>
      <c r="OSH42" s="191"/>
      <c r="OSI42" s="191"/>
      <c r="OSJ42" s="191"/>
      <c r="OSK42" s="191"/>
      <c r="OSL42" s="191"/>
      <c r="OSM42" s="191"/>
      <c r="OSN42" s="191"/>
      <c r="OSO42" s="191"/>
      <c r="OSP42" s="191"/>
      <c r="OSQ42" s="191"/>
      <c r="OSR42" s="191"/>
      <c r="OSS42" s="191"/>
      <c r="OST42" s="191"/>
      <c r="OSU42" s="191"/>
      <c r="OSV42" s="191"/>
      <c r="OSW42" s="191"/>
      <c r="OSX42" s="191"/>
      <c r="OSY42" s="191"/>
      <c r="OSZ42" s="191"/>
      <c r="OTA42" s="191"/>
      <c r="OTB42" s="191"/>
      <c r="OTC42" s="191"/>
      <c r="OTD42" s="191"/>
      <c r="OTE42" s="191"/>
      <c r="OTF42" s="191"/>
      <c r="OTG42" s="191"/>
      <c r="OTH42" s="191"/>
      <c r="OTI42" s="191"/>
      <c r="OTJ42" s="191"/>
      <c r="OTK42" s="191"/>
      <c r="OTL42" s="191"/>
      <c r="OTM42" s="191"/>
      <c r="OTN42" s="191"/>
      <c r="OTO42" s="191"/>
      <c r="OTP42" s="191"/>
      <c r="OTQ42" s="191"/>
      <c r="OTR42" s="191"/>
      <c r="OTS42" s="191"/>
      <c r="OTT42" s="191"/>
      <c r="OTU42" s="191"/>
      <c r="OTV42" s="191"/>
      <c r="OTW42" s="191"/>
      <c r="OTX42" s="191"/>
      <c r="OTY42" s="191"/>
      <c r="OTZ42" s="191"/>
      <c r="OUA42" s="191"/>
      <c r="OUB42" s="191"/>
      <c r="OUC42" s="191"/>
      <c r="OUD42" s="191"/>
      <c r="OUE42" s="191"/>
      <c r="OUF42" s="191"/>
      <c r="OUG42" s="191"/>
      <c r="OUH42" s="191"/>
      <c r="OUI42" s="191"/>
      <c r="OUJ42" s="191"/>
      <c r="OUK42" s="191"/>
      <c r="OUL42" s="191"/>
      <c r="OUM42" s="191"/>
      <c r="OUN42" s="191"/>
      <c r="OUO42" s="191"/>
      <c r="OUP42" s="191"/>
      <c r="OUQ42" s="191"/>
      <c r="OUR42" s="191"/>
      <c r="OUS42" s="191"/>
      <c r="OUT42" s="191"/>
      <c r="OUU42" s="191"/>
      <c r="OUV42" s="191"/>
      <c r="OUW42" s="191"/>
      <c r="OUX42" s="191"/>
      <c r="OUY42" s="191"/>
      <c r="OUZ42" s="191"/>
      <c r="OVA42" s="191"/>
      <c r="OVB42" s="191"/>
      <c r="OVC42" s="191"/>
      <c r="OVD42" s="191"/>
      <c r="OVE42" s="191"/>
      <c r="OVF42" s="191"/>
      <c r="OVG42" s="191"/>
      <c r="OVH42" s="191"/>
      <c r="OVI42" s="191"/>
      <c r="OVJ42" s="191"/>
      <c r="OVK42" s="191"/>
      <c r="OVL42" s="191"/>
      <c r="OVM42" s="191"/>
      <c r="OVN42" s="191"/>
      <c r="OVO42" s="191"/>
      <c r="OVP42" s="191"/>
      <c r="OVQ42" s="191"/>
      <c r="OVR42" s="191"/>
      <c r="OVS42" s="191"/>
      <c r="OVT42" s="191"/>
      <c r="OVU42" s="191"/>
      <c r="OVV42" s="191"/>
      <c r="OVW42" s="191"/>
      <c r="OVX42" s="191"/>
      <c r="OVY42" s="191"/>
      <c r="OVZ42" s="191"/>
      <c r="OWA42" s="191"/>
      <c r="OWB42" s="191"/>
      <c r="OWC42" s="191"/>
      <c r="OWD42" s="191"/>
      <c r="OWE42" s="191"/>
      <c r="OWF42" s="191"/>
      <c r="OWG42" s="191"/>
      <c r="OWH42" s="191"/>
      <c r="OWI42" s="191"/>
      <c r="OWJ42" s="191"/>
      <c r="OWK42" s="191"/>
      <c r="OWL42" s="191"/>
      <c r="OWM42" s="191"/>
      <c r="OWN42" s="191"/>
      <c r="OWO42" s="191"/>
      <c r="OWP42" s="191"/>
      <c r="OWQ42" s="191"/>
      <c r="OWR42" s="191"/>
      <c r="OWS42" s="191"/>
      <c r="OWT42" s="191"/>
      <c r="OWU42" s="191"/>
      <c r="OWV42" s="191"/>
      <c r="OWW42" s="191"/>
      <c r="OWX42" s="191"/>
      <c r="OWY42" s="191"/>
      <c r="OWZ42" s="191"/>
      <c r="OXA42" s="191"/>
      <c r="OXB42" s="191"/>
      <c r="OXC42" s="191"/>
      <c r="OXD42" s="191"/>
      <c r="OXE42" s="191"/>
      <c r="OXF42" s="191"/>
      <c r="OXG42" s="191"/>
      <c r="OXH42" s="191"/>
      <c r="OXI42" s="191"/>
      <c r="OXJ42" s="191"/>
      <c r="OXK42" s="191"/>
      <c r="OXL42" s="191"/>
      <c r="OXM42" s="191"/>
      <c r="OXN42" s="191"/>
      <c r="OXO42" s="191"/>
      <c r="OXP42" s="191"/>
      <c r="OXQ42" s="191"/>
      <c r="OXR42" s="191"/>
      <c r="OXS42" s="191"/>
      <c r="OXT42" s="191"/>
      <c r="OXU42" s="191"/>
      <c r="OXV42" s="191"/>
      <c r="OXW42" s="191"/>
      <c r="OXX42" s="191"/>
      <c r="OXY42" s="191"/>
      <c r="OXZ42" s="191"/>
      <c r="OYA42" s="191"/>
      <c r="OYB42" s="191"/>
      <c r="OYC42" s="191"/>
      <c r="OYD42" s="191"/>
      <c r="OYE42" s="191"/>
      <c r="OYF42" s="191"/>
      <c r="OYG42" s="191"/>
      <c r="OYH42" s="191"/>
      <c r="OYI42" s="191"/>
      <c r="OYJ42" s="191"/>
      <c r="OYK42" s="191"/>
      <c r="OYL42" s="191"/>
      <c r="OYM42" s="191"/>
      <c r="OYN42" s="191"/>
      <c r="OYO42" s="191"/>
      <c r="OYP42" s="191"/>
      <c r="OYQ42" s="191"/>
      <c r="OYR42" s="191"/>
      <c r="OYS42" s="191"/>
      <c r="OYT42" s="191"/>
      <c r="OYU42" s="191"/>
      <c r="OYV42" s="191"/>
      <c r="OYW42" s="191"/>
      <c r="OYX42" s="191"/>
      <c r="OYY42" s="191"/>
      <c r="OYZ42" s="191"/>
      <c r="OZA42" s="191"/>
      <c r="OZB42" s="191"/>
      <c r="OZC42" s="191"/>
      <c r="OZD42" s="191"/>
      <c r="OZE42" s="191"/>
      <c r="OZF42" s="191"/>
      <c r="OZG42" s="191"/>
      <c r="OZH42" s="191"/>
      <c r="OZI42" s="191"/>
      <c r="OZJ42" s="191"/>
      <c r="OZK42" s="191"/>
      <c r="OZL42" s="191"/>
      <c r="OZM42" s="191"/>
      <c r="OZN42" s="191"/>
      <c r="OZO42" s="191"/>
      <c r="OZP42" s="191"/>
      <c r="OZQ42" s="191"/>
      <c r="OZR42" s="191"/>
      <c r="OZS42" s="191"/>
      <c r="OZT42" s="191"/>
      <c r="OZU42" s="191"/>
      <c r="OZV42" s="191"/>
      <c r="OZW42" s="191"/>
      <c r="OZX42" s="191"/>
      <c r="OZY42" s="191"/>
      <c r="OZZ42" s="191"/>
      <c r="PAA42" s="191"/>
      <c r="PAB42" s="191"/>
      <c r="PAC42" s="191"/>
      <c r="PAD42" s="191"/>
      <c r="PAE42" s="191"/>
      <c r="PAF42" s="191"/>
      <c r="PAG42" s="191"/>
      <c r="PAH42" s="191"/>
      <c r="PAI42" s="191"/>
      <c r="PAJ42" s="191"/>
      <c r="PAK42" s="191"/>
      <c r="PAL42" s="191"/>
      <c r="PAM42" s="191"/>
      <c r="PAN42" s="191"/>
      <c r="PAO42" s="191"/>
      <c r="PAP42" s="191"/>
      <c r="PAQ42" s="191"/>
      <c r="PAR42" s="191"/>
      <c r="PAS42" s="191"/>
      <c r="PAT42" s="191"/>
      <c r="PAU42" s="191"/>
      <c r="PAV42" s="191"/>
      <c r="PAW42" s="191"/>
      <c r="PAX42" s="191"/>
      <c r="PAY42" s="191"/>
      <c r="PAZ42" s="191"/>
      <c r="PBA42" s="191"/>
      <c r="PBB42" s="191"/>
      <c r="PBC42" s="191"/>
      <c r="PBD42" s="191"/>
      <c r="PBE42" s="191"/>
      <c r="PBF42" s="191"/>
      <c r="PBG42" s="191"/>
      <c r="PBH42" s="191"/>
      <c r="PBI42" s="191"/>
      <c r="PBJ42" s="191"/>
      <c r="PBK42" s="191"/>
      <c r="PBL42" s="191"/>
      <c r="PBM42" s="191"/>
      <c r="PBN42" s="191"/>
      <c r="PBO42" s="191"/>
      <c r="PBP42" s="191"/>
      <c r="PBQ42" s="191"/>
      <c r="PBR42" s="191"/>
      <c r="PBS42" s="191"/>
      <c r="PBT42" s="191"/>
      <c r="PBU42" s="191"/>
      <c r="PBV42" s="191"/>
      <c r="PBW42" s="191"/>
      <c r="PBX42" s="191"/>
      <c r="PBY42" s="191"/>
      <c r="PBZ42" s="191"/>
      <c r="PCA42" s="191"/>
      <c r="PCB42" s="191"/>
      <c r="PCC42" s="191"/>
      <c r="PCD42" s="191"/>
      <c r="PCE42" s="191"/>
      <c r="PCF42" s="191"/>
      <c r="PCG42" s="191"/>
      <c r="PCH42" s="191"/>
      <c r="PCI42" s="191"/>
      <c r="PCJ42" s="191"/>
      <c r="PCK42" s="191"/>
      <c r="PCL42" s="191"/>
      <c r="PCM42" s="191"/>
      <c r="PCN42" s="191"/>
      <c r="PCO42" s="191"/>
      <c r="PCP42" s="191"/>
      <c r="PCQ42" s="191"/>
      <c r="PCR42" s="191"/>
      <c r="PCS42" s="191"/>
      <c r="PCT42" s="191"/>
      <c r="PCU42" s="191"/>
      <c r="PCV42" s="191"/>
      <c r="PCW42" s="191"/>
      <c r="PCX42" s="191"/>
      <c r="PCY42" s="191"/>
      <c r="PCZ42" s="191"/>
      <c r="PDA42" s="191"/>
      <c r="PDB42" s="191"/>
      <c r="PDC42" s="191"/>
      <c r="PDD42" s="191"/>
      <c r="PDE42" s="191"/>
      <c r="PDF42" s="191"/>
      <c r="PDG42" s="191"/>
      <c r="PDH42" s="191"/>
      <c r="PDI42" s="191"/>
      <c r="PDJ42" s="191"/>
      <c r="PDK42" s="191"/>
      <c r="PDL42" s="191"/>
      <c r="PDM42" s="191"/>
      <c r="PDN42" s="191"/>
      <c r="PDO42" s="191"/>
      <c r="PDP42" s="191"/>
      <c r="PDQ42" s="191"/>
      <c r="PDR42" s="191"/>
      <c r="PDS42" s="191"/>
      <c r="PDT42" s="191"/>
      <c r="PDU42" s="191"/>
      <c r="PDV42" s="191"/>
      <c r="PDW42" s="191"/>
      <c r="PDX42" s="191"/>
      <c r="PDY42" s="191"/>
      <c r="PDZ42" s="191"/>
      <c r="PEA42" s="191"/>
      <c r="PEB42" s="191"/>
      <c r="PEC42" s="191"/>
      <c r="PED42" s="191"/>
      <c r="PEE42" s="191"/>
      <c r="PEF42" s="191"/>
      <c r="PEG42" s="191"/>
      <c r="PEH42" s="191"/>
      <c r="PEI42" s="191"/>
      <c r="PEJ42" s="191"/>
      <c r="PEK42" s="191"/>
      <c r="PEL42" s="191"/>
      <c r="PEM42" s="191"/>
      <c r="PEN42" s="191"/>
      <c r="PEO42" s="191"/>
      <c r="PEP42" s="191"/>
      <c r="PEQ42" s="191"/>
      <c r="PER42" s="191"/>
      <c r="PES42" s="191"/>
      <c r="PET42" s="191"/>
      <c r="PEU42" s="191"/>
      <c r="PEV42" s="191"/>
      <c r="PEW42" s="191"/>
      <c r="PEX42" s="191"/>
      <c r="PEY42" s="191"/>
      <c r="PEZ42" s="191"/>
      <c r="PFA42" s="191"/>
      <c r="PFB42" s="191"/>
      <c r="PFC42" s="191"/>
      <c r="PFD42" s="191"/>
      <c r="PFE42" s="191"/>
      <c r="PFF42" s="191"/>
      <c r="PFG42" s="191"/>
      <c r="PFH42" s="191"/>
      <c r="PFI42" s="191"/>
      <c r="PFJ42" s="191"/>
      <c r="PFK42" s="191"/>
      <c r="PFL42" s="191"/>
      <c r="PFM42" s="191"/>
      <c r="PFN42" s="191"/>
      <c r="PFO42" s="191"/>
      <c r="PFP42" s="191"/>
      <c r="PFQ42" s="191"/>
      <c r="PFR42" s="191"/>
      <c r="PFS42" s="191"/>
      <c r="PFT42" s="191"/>
      <c r="PFU42" s="191"/>
      <c r="PFV42" s="191"/>
      <c r="PFW42" s="191"/>
      <c r="PFX42" s="191"/>
      <c r="PFY42" s="191"/>
      <c r="PFZ42" s="191"/>
      <c r="PGA42" s="191"/>
      <c r="PGB42" s="191"/>
      <c r="PGC42" s="191"/>
      <c r="PGD42" s="191"/>
      <c r="PGE42" s="191"/>
      <c r="PGF42" s="191"/>
      <c r="PGG42" s="191"/>
      <c r="PGH42" s="191"/>
      <c r="PGI42" s="191"/>
      <c r="PGJ42" s="191"/>
      <c r="PGK42" s="191"/>
      <c r="PGL42" s="191"/>
      <c r="PGM42" s="191"/>
      <c r="PGN42" s="191"/>
      <c r="PGO42" s="191"/>
      <c r="PGP42" s="191"/>
      <c r="PGQ42" s="191"/>
      <c r="PGR42" s="191"/>
      <c r="PGS42" s="191"/>
      <c r="PGT42" s="191"/>
      <c r="PGU42" s="191"/>
      <c r="PGV42" s="191"/>
      <c r="PGW42" s="191"/>
      <c r="PGX42" s="191"/>
      <c r="PGY42" s="191"/>
      <c r="PGZ42" s="191"/>
      <c r="PHA42" s="191"/>
      <c r="PHB42" s="191"/>
      <c r="PHC42" s="191"/>
      <c r="PHD42" s="191"/>
      <c r="PHE42" s="191"/>
      <c r="PHF42" s="191"/>
      <c r="PHG42" s="191"/>
      <c r="PHH42" s="191"/>
      <c r="PHI42" s="191"/>
      <c r="PHJ42" s="191"/>
      <c r="PHK42" s="191"/>
      <c r="PHL42" s="191"/>
      <c r="PHM42" s="191"/>
      <c r="PHN42" s="191"/>
      <c r="PHO42" s="191"/>
      <c r="PHP42" s="191"/>
      <c r="PHQ42" s="191"/>
      <c r="PHR42" s="191"/>
      <c r="PHS42" s="191"/>
      <c r="PHT42" s="191"/>
      <c r="PHU42" s="191"/>
      <c r="PHV42" s="191"/>
      <c r="PHW42" s="191"/>
      <c r="PHX42" s="191"/>
      <c r="PHY42" s="191"/>
      <c r="PHZ42" s="191"/>
      <c r="PIA42" s="191"/>
      <c r="PIB42" s="191"/>
      <c r="PIC42" s="191"/>
      <c r="PID42" s="191"/>
      <c r="PIE42" s="191"/>
      <c r="PIF42" s="191"/>
      <c r="PIG42" s="191"/>
      <c r="PIH42" s="191"/>
      <c r="PII42" s="191"/>
      <c r="PIJ42" s="191"/>
      <c r="PIK42" s="191"/>
      <c r="PIL42" s="191"/>
      <c r="PIM42" s="191"/>
      <c r="PIN42" s="191"/>
      <c r="PIO42" s="191"/>
      <c r="PIP42" s="191"/>
      <c r="PIQ42" s="191"/>
      <c r="PIR42" s="191"/>
      <c r="PIS42" s="191"/>
      <c r="PIT42" s="191"/>
      <c r="PIU42" s="191"/>
      <c r="PIV42" s="191"/>
      <c r="PIW42" s="191"/>
      <c r="PIX42" s="191"/>
      <c r="PIY42" s="191"/>
      <c r="PIZ42" s="191"/>
      <c r="PJA42" s="191"/>
      <c r="PJB42" s="191"/>
      <c r="PJC42" s="191"/>
      <c r="PJD42" s="191"/>
      <c r="PJE42" s="191"/>
      <c r="PJF42" s="191"/>
      <c r="PJG42" s="191"/>
      <c r="PJH42" s="191"/>
      <c r="PJI42" s="191"/>
      <c r="PJJ42" s="191"/>
      <c r="PJK42" s="191"/>
      <c r="PJL42" s="191"/>
      <c r="PJM42" s="191"/>
      <c r="PJN42" s="191"/>
      <c r="PJO42" s="191"/>
      <c r="PJP42" s="191"/>
      <c r="PJQ42" s="191"/>
      <c r="PJR42" s="191"/>
      <c r="PJS42" s="191"/>
      <c r="PJT42" s="191"/>
      <c r="PJU42" s="191"/>
      <c r="PJV42" s="191"/>
      <c r="PJW42" s="191"/>
      <c r="PJX42" s="191"/>
      <c r="PJY42" s="191"/>
      <c r="PJZ42" s="191"/>
      <c r="PKA42" s="191"/>
      <c r="PKB42" s="191"/>
      <c r="PKC42" s="191"/>
      <c r="PKD42" s="191"/>
      <c r="PKE42" s="191"/>
      <c r="PKF42" s="191"/>
      <c r="PKG42" s="191"/>
      <c r="PKH42" s="191"/>
      <c r="PKI42" s="191"/>
      <c r="PKJ42" s="191"/>
      <c r="PKK42" s="191"/>
      <c r="PKL42" s="191"/>
      <c r="PKM42" s="191"/>
      <c r="PKN42" s="191"/>
      <c r="PKO42" s="191"/>
      <c r="PKP42" s="191"/>
      <c r="PKQ42" s="191"/>
      <c r="PKR42" s="191"/>
      <c r="PKS42" s="191"/>
      <c r="PKT42" s="191"/>
      <c r="PKU42" s="191"/>
      <c r="PKV42" s="191"/>
      <c r="PKW42" s="191"/>
      <c r="PKX42" s="191"/>
      <c r="PKY42" s="191"/>
      <c r="PKZ42" s="191"/>
      <c r="PLA42" s="191"/>
      <c r="PLB42" s="191"/>
      <c r="PLC42" s="191"/>
      <c r="PLD42" s="191"/>
      <c r="PLE42" s="191"/>
      <c r="PLF42" s="191"/>
      <c r="PLG42" s="191"/>
      <c r="PLH42" s="191"/>
      <c r="PLI42" s="191"/>
      <c r="PLJ42" s="191"/>
      <c r="PLK42" s="191"/>
      <c r="PLL42" s="191"/>
      <c r="PLM42" s="191"/>
      <c r="PLN42" s="191"/>
      <c r="PLO42" s="191"/>
      <c r="PLP42" s="191"/>
      <c r="PLQ42" s="191"/>
      <c r="PLR42" s="191"/>
      <c r="PLS42" s="191"/>
      <c r="PLT42" s="191"/>
      <c r="PLU42" s="191"/>
      <c r="PLV42" s="191"/>
      <c r="PLW42" s="191"/>
      <c r="PLX42" s="191"/>
      <c r="PLY42" s="191"/>
      <c r="PLZ42" s="191"/>
      <c r="PMA42" s="191"/>
      <c r="PMB42" s="191"/>
      <c r="PMC42" s="191"/>
      <c r="PMD42" s="191"/>
      <c r="PME42" s="191"/>
      <c r="PMF42" s="191"/>
      <c r="PMG42" s="191"/>
      <c r="PMH42" s="191"/>
      <c r="PMI42" s="191"/>
      <c r="PMJ42" s="191"/>
      <c r="PMK42" s="191"/>
      <c r="PML42" s="191"/>
      <c r="PMM42" s="191"/>
      <c r="PMN42" s="191"/>
      <c r="PMO42" s="191"/>
      <c r="PMP42" s="191"/>
      <c r="PMQ42" s="191"/>
      <c r="PMR42" s="191"/>
      <c r="PMS42" s="191"/>
      <c r="PMT42" s="191"/>
      <c r="PMU42" s="191"/>
      <c r="PMV42" s="191"/>
      <c r="PMW42" s="191"/>
      <c r="PMX42" s="191"/>
      <c r="PMY42" s="191"/>
      <c r="PMZ42" s="191"/>
      <c r="PNA42" s="191"/>
      <c r="PNB42" s="191"/>
      <c r="PNC42" s="191"/>
      <c r="PND42" s="191"/>
      <c r="PNE42" s="191"/>
      <c r="PNF42" s="191"/>
      <c r="PNG42" s="191"/>
      <c r="PNH42" s="191"/>
      <c r="PNI42" s="191"/>
      <c r="PNJ42" s="191"/>
      <c r="PNK42" s="191"/>
      <c r="PNL42" s="191"/>
      <c r="PNM42" s="191"/>
      <c r="PNN42" s="191"/>
      <c r="PNO42" s="191"/>
      <c r="PNP42" s="191"/>
      <c r="PNQ42" s="191"/>
      <c r="PNR42" s="191"/>
      <c r="PNS42" s="191"/>
      <c r="PNT42" s="191"/>
      <c r="PNU42" s="191"/>
      <c r="PNV42" s="191"/>
      <c r="PNW42" s="191"/>
      <c r="PNX42" s="191"/>
      <c r="PNY42" s="191"/>
      <c r="PNZ42" s="191"/>
      <c r="POA42" s="191"/>
      <c r="POB42" s="191"/>
      <c r="POC42" s="191"/>
      <c r="POD42" s="191"/>
      <c r="POE42" s="191"/>
      <c r="POF42" s="191"/>
      <c r="POG42" s="191"/>
      <c r="POH42" s="191"/>
      <c r="POI42" s="191"/>
      <c r="POJ42" s="191"/>
      <c r="POK42" s="191"/>
      <c r="POL42" s="191"/>
      <c r="POM42" s="191"/>
      <c r="PON42" s="191"/>
      <c r="POO42" s="191"/>
      <c r="POP42" s="191"/>
      <c r="POQ42" s="191"/>
      <c r="POR42" s="191"/>
      <c r="POS42" s="191"/>
      <c r="POT42" s="191"/>
      <c r="POU42" s="191"/>
      <c r="POV42" s="191"/>
      <c r="POW42" s="191"/>
      <c r="POX42" s="191"/>
      <c r="POY42" s="191"/>
      <c r="POZ42" s="191"/>
      <c r="PPA42" s="191"/>
      <c r="PPB42" s="191"/>
      <c r="PPC42" s="191"/>
      <c r="PPD42" s="191"/>
      <c r="PPE42" s="191"/>
      <c r="PPF42" s="191"/>
      <c r="PPG42" s="191"/>
      <c r="PPH42" s="191"/>
      <c r="PPI42" s="191"/>
      <c r="PPJ42" s="191"/>
      <c r="PPK42" s="191"/>
      <c r="PPL42" s="191"/>
      <c r="PPM42" s="191"/>
      <c r="PPN42" s="191"/>
      <c r="PPO42" s="191"/>
      <c r="PPP42" s="191"/>
      <c r="PPQ42" s="191"/>
      <c r="PPR42" s="191"/>
      <c r="PPS42" s="191"/>
      <c r="PPT42" s="191"/>
      <c r="PPU42" s="191"/>
      <c r="PPV42" s="191"/>
      <c r="PPW42" s="191"/>
      <c r="PPX42" s="191"/>
      <c r="PPY42" s="191"/>
      <c r="PPZ42" s="191"/>
      <c r="PQA42" s="191"/>
      <c r="PQB42" s="191"/>
      <c r="PQC42" s="191"/>
      <c r="PQD42" s="191"/>
      <c r="PQE42" s="191"/>
      <c r="PQF42" s="191"/>
      <c r="PQG42" s="191"/>
      <c r="PQH42" s="191"/>
      <c r="PQI42" s="191"/>
      <c r="PQJ42" s="191"/>
      <c r="PQK42" s="191"/>
      <c r="PQL42" s="191"/>
      <c r="PQM42" s="191"/>
      <c r="PQN42" s="191"/>
      <c r="PQO42" s="191"/>
      <c r="PQP42" s="191"/>
      <c r="PQQ42" s="191"/>
      <c r="PQR42" s="191"/>
      <c r="PQS42" s="191"/>
      <c r="PQT42" s="191"/>
      <c r="PQU42" s="191"/>
      <c r="PQV42" s="191"/>
      <c r="PQW42" s="191"/>
      <c r="PQX42" s="191"/>
      <c r="PQY42" s="191"/>
      <c r="PQZ42" s="191"/>
      <c r="PRA42" s="191"/>
      <c r="PRB42" s="191"/>
      <c r="PRC42" s="191"/>
      <c r="PRD42" s="191"/>
      <c r="PRE42" s="191"/>
      <c r="PRF42" s="191"/>
      <c r="PRG42" s="191"/>
      <c r="PRH42" s="191"/>
      <c r="PRI42" s="191"/>
      <c r="PRJ42" s="191"/>
      <c r="PRK42" s="191"/>
      <c r="PRL42" s="191"/>
      <c r="PRM42" s="191"/>
      <c r="PRN42" s="191"/>
      <c r="PRO42" s="191"/>
      <c r="PRP42" s="191"/>
      <c r="PRQ42" s="191"/>
      <c r="PRR42" s="191"/>
      <c r="PRS42" s="191"/>
      <c r="PRT42" s="191"/>
      <c r="PRU42" s="191"/>
      <c r="PRV42" s="191"/>
      <c r="PRW42" s="191"/>
      <c r="PRX42" s="191"/>
      <c r="PRY42" s="191"/>
      <c r="PRZ42" s="191"/>
      <c r="PSA42" s="191"/>
      <c r="PSB42" s="191"/>
      <c r="PSC42" s="191"/>
      <c r="PSD42" s="191"/>
      <c r="PSE42" s="191"/>
      <c r="PSF42" s="191"/>
      <c r="PSG42" s="191"/>
      <c r="PSH42" s="191"/>
      <c r="PSI42" s="191"/>
      <c r="PSJ42" s="191"/>
      <c r="PSK42" s="191"/>
      <c r="PSL42" s="191"/>
      <c r="PSM42" s="191"/>
      <c r="PSN42" s="191"/>
      <c r="PSO42" s="191"/>
      <c r="PSP42" s="191"/>
      <c r="PSQ42" s="191"/>
      <c r="PSR42" s="191"/>
      <c r="PSS42" s="191"/>
      <c r="PST42" s="191"/>
      <c r="PSU42" s="191"/>
      <c r="PSV42" s="191"/>
      <c r="PSW42" s="191"/>
      <c r="PSX42" s="191"/>
      <c r="PSY42" s="191"/>
      <c r="PSZ42" s="191"/>
      <c r="PTA42" s="191"/>
      <c r="PTB42" s="191"/>
      <c r="PTC42" s="191"/>
      <c r="PTD42" s="191"/>
      <c r="PTE42" s="191"/>
      <c r="PTF42" s="191"/>
      <c r="PTG42" s="191"/>
      <c r="PTH42" s="191"/>
      <c r="PTI42" s="191"/>
      <c r="PTJ42" s="191"/>
      <c r="PTK42" s="191"/>
      <c r="PTL42" s="191"/>
      <c r="PTM42" s="191"/>
      <c r="PTN42" s="191"/>
      <c r="PTO42" s="191"/>
      <c r="PTP42" s="191"/>
      <c r="PTQ42" s="191"/>
      <c r="PTR42" s="191"/>
      <c r="PTS42" s="191"/>
      <c r="PTT42" s="191"/>
      <c r="PTU42" s="191"/>
      <c r="PTV42" s="191"/>
      <c r="PTW42" s="191"/>
      <c r="PTX42" s="191"/>
      <c r="PTY42" s="191"/>
      <c r="PTZ42" s="191"/>
      <c r="PUA42" s="191"/>
      <c r="PUB42" s="191"/>
      <c r="PUC42" s="191"/>
      <c r="PUD42" s="191"/>
      <c r="PUE42" s="191"/>
      <c r="PUF42" s="191"/>
      <c r="PUG42" s="191"/>
      <c r="PUH42" s="191"/>
      <c r="PUI42" s="191"/>
      <c r="PUJ42" s="191"/>
      <c r="PUK42" s="191"/>
      <c r="PUL42" s="191"/>
      <c r="PUM42" s="191"/>
      <c r="PUN42" s="191"/>
      <c r="PUO42" s="191"/>
      <c r="PUP42" s="191"/>
      <c r="PUQ42" s="191"/>
      <c r="PUR42" s="191"/>
      <c r="PUS42" s="191"/>
      <c r="PUT42" s="191"/>
      <c r="PUU42" s="191"/>
      <c r="PUV42" s="191"/>
      <c r="PUW42" s="191"/>
      <c r="PUX42" s="191"/>
      <c r="PUY42" s="191"/>
      <c r="PUZ42" s="191"/>
      <c r="PVA42" s="191"/>
      <c r="PVB42" s="191"/>
      <c r="PVC42" s="191"/>
      <c r="PVD42" s="191"/>
      <c r="PVE42" s="191"/>
      <c r="PVF42" s="191"/>
      <c r="PVG42" s="191"/>
      <c r="PVH42" s="191"/>
      <c r="PVI42" s="191"/>
      <c r="PVJ42" s="191"/>
      <c r="PVK42" s="191"/>
      <c r="PVL42" s="191"/>
      <c r="PVM42" s="191"/>
      <c r="PVN42" s="191"/>
      <c r="PVO42" s="191"/>
      <c r="PVP42" s="191"/>
      <c r="PVQ42" s="191"/>
      <c r="PVR42" s="191"/>
      <c r="PVS42" s="191"/>
      <c r="PVT42" s="191"/>
      <c r="PVU42" s="191"/>
      <c r="PVV42" s="191"/>
      <c r="PVW42" s="191"/>
      <c r="PVX42" s="191"/>
      <c r="PVY42" s="191"/>
      <c r="PVZ42" s="191"/>
      <c r="PWA42" s="191"/>
      <c r="PWB42" s="191"/>
      <c r="PWC42" s="191"/>
      <c r="PWD42" s="191"/>
      <c r="PWE42" s="191"/>
      <c r="PWF42" s="191"/>
      <c r="PWG42" s="191"/>
      <c r="PWH42" s="191"/>
      <c r="PWI42" s="191"/>
      <c r="PWJ42" s="191"/>
      <c r="PWK42" s="191"/>
      <c r="PWL42" s="191"/>
      <c r="PWM42" s="191"/>
      <c r="PWN42" s="191"/>
      <c r="PWO42" s="191"/>
      <c r="PWP42" s="191"/>
      <c r="PWQ42" s="191"/>
      <c r="PWR42" s="191"/>
      <c r="PWS42" s="191"/>
      <c r="PWT42" s="191"/>
      <c r="PWU42" s="191"/>
      <c r="PWV42" s="191"/>
      <c r="PWW42" s="191"/>
      <c r="PWX42" s="191"/>
      <c r="PWY42" s="191"/>
      <c r="PWZ42" s="191"/>
      <c r="PXA42" s="191"/>
      <c r="PXB42" s="191"/>
      <c r="PXC42" s="191"/>
      <c r="PXD42" s="191"/>
      <c r="PXE42" s="191"/>
      <c r="PXF42" s="191"/>
      <c r="PXG42" s="191"/>
      <c r="PXH42" s="191"/>
      <c r="PXI42" s="191"/>
      <c r="PXJ42" s="191"/>
      <c r="PXK42" s="191"/>
      <c r="PXL42" s="191"/>
      <c r="PXM42" s="191"/>
      <c r="PXN42" s="191"/>
      <c r="PXO42" s="191"/>
      <c r="PXP42" s="191"/>
      <c r="PXQ42" s="191"/>
      <c r="PXR42" s="191"/>
      <c r="PXS42" s="191"/>
      <c r="PXT42" s="191"/>
      <c r="PXU42" s="191"/>
      <c r="PXV42" s="191"/>
      <c r="PXW42" s="191"/>
      <c r="PXX42" s="191"/>
      <c r="PXY42" s="191"/>
      <c r="PXZ42" s="191"/>
      <c r="PYA42" s="191"/>
      <c r="PYB42" s="191"/>
      <c r="PYC42" s="191"/>
      <c r="PYD42" s="191"/>
      <c r="PYE42" s="191"/>
      <c r="PYF42" s="191"/>
      <c r="PYG42" s="191"/>
      <c r="PYH42" s="191"/>
      <c r="PYI42" s="191"/>
      <c r="PYJ42" s="191"/>
      <c r="PYK42" s="191"/>
      <c r="PYL42" s="191"/>
      <c r="PYM42" s="191"/>
      <c r="PYN42" s="191"/>
      <c r="PYO42" s="191"/>
      <c r="PYP42" s="191"/>
      <c r="PYQ42" s="191"/>
      <c r="PYR42" s="191"/>
      <c r="PYS42" s="191"/>
      <c r="PYT42" s="191"/>
      <c r="PYU42" s="191"/>
      <c r="PYV42" s="191"/>
      <c r="PYW42" s="191"/>
      <c r="PYX42" s="191"/>
      <c r="PYY42" s="191"/>
      <c r="PYZ42" s="191"/>
      <c r="PZA42" s="191"/>
      <c r="PZB42" s="191"/>
      <c r="PZC42" s="191"/>
      <c r="PZD42" s="191"/>
      <c r="PZE42" s="191"/>
      <c r="PZF42" s="191"/>
      <c r="PZG42" s="191"/>
      <c r="PZH42" s="191"/>
      <c r="PZI42" s="191"/>
      <c r="PZJ42" s="191"/>
      <c r="PZK42" s="191"/>
      <c r="PZL42" s="191"/>
      <c r="PZM42" s="191"/>
      <c r="PZN42" s="191"/>
      <c r="PZO42" s="191"/>
      <c r="PZP42" s="191"/>
      <c r="PZQ42" s="191"/>
      <c r="PZR42" s="191"/>
      <c r="PZS42" s="191"/>
      <c r="PZT42" s="191"/>
      <c r="PZU42" s="191"/>
      <c r="PZV42" s="191"/>
      <c r="PZW42" s="191"/>
      <c r="PZX42" s="191"/>
      <c r="PZY42" s="191"/>
      <c r="PZZ42" s="191"/>
      <c r="QAA42" s="191"/>
      <c r="QAB42" s="191"/>
      <c r="QAC42" s="191"/>
      <c r="QAD42" s="191"/>
      <c r="QAE42" s="191"/>
      <c r="QAF42" s="191"/>
      <c r="QAG42" s="191"/>
      <c r="QAH42" s="191"/>
      <c r="QAI42" s="191"/>
      <c r="QAJ42" s="191"/>
      <c r="QAK42" s="191"/>
      <c r="QAL42" s="191"/>
      <c r="QAM42" s="191"/>
      <c r="QAN42" s="191"/>
      <c r="QAO42" s="191"/>
      <c r="QAP42" s="191"/>
      <c r="QAQ42" s="191"/>
      <c r="QAR42" s="191"/>
      <c r="QAS42" s="191"/>
      <c r="QAT42" s="191"/>
      <c r="QAU42" s="191"/>
      <c r="QAV42" s="191"/>
      <c r="QAW42" s="191"/>
      <c r="QAX42" s="191"/>
      <c r="QAY42" s="191"/>
      <c r="QAZ42" s="191"/>
      <c r="QBA42" s="191"/>
      <c r="QBB42" s="191"/>
      <c r="QBC42" s="191"/>
      <c r="QBD42" s="191"/>
      <c r="QBE42" s="191"/>
      <c r="QBF42" s="191"/>
      <c r="QBG42" s="191"/>
      <c r="QBH42" s="191"/>
      <c r="QBI42" s="191"/>
      <c r="QBJ42" s="191"/>
      <c r="QBK42" s="191"/>
      <c r="QBL42" s="191"/>
      <c r="QBM42" s="191"/>
      <c r="QBN42" s="191"/>
      <c r="QBO42" s="191"/>
      <c r="QBP42" s="191"/>
      <c r="QBQ42" s="191"/>
      <c r="QBR42" s="191"/>
      <c r="QBS42" s="191"/>
      <c r="QBT42" s="191"/>
      <c r="QBU42" s="191"/>
      <c r="QBV42" s="191"/>
      <c r="QBW42" s="191"/>
      <c r="QBX42" s="191"/>
      <c r="QBY42" s="191"/>
      <c r="QBZ42" s="191"/>
      <c r="QCA42" s="191"/>
      <c r="QCB42" s="191"/>
      <c r="QCC42" s="191"/>
      <c r="QCD42" s="191"/>
      <c r="QCE42" s="191"/>
      <c r="QCF42" s="191"/>
      <c r="QCG42" s="191"/>
      <c r="QCH42" s="191"/>
      <c r="QCI42" s="191"/>
      <c r="QCJ42" s="191"/>
      <c r="QCK42" s="191"/>
      <c r="QCL42" s="191"/>
      <c r="QCM42" s="191"/>
      <c r="QCN42" s="191"/>
      <c r="QCO42" s="191"/>
      <c r="QCP42" s="191"/>
      <c r="QCQ42" s="191"/>
      <c r="QCR42" s="191"/>
      <c r="QCS42" s="191"/>
      <c r="QCT42" s="191"/>
      <c r="QCU42" s="191"/>
      <c r="QCV42" s="191"/>
      <c r="QCW42" s="191"/>
      <c r="QCX42" s="191"/>
      <c r="QCY42" s="191"/>
      <c r="QCZ42" s="191"/>
      <c r="QDA42" s="191"/>
      <c r="QDB42" s="191"/>
      <c r="QDC42" s="191"/>
      <c r="QDD42" s="191"/>
      <c r="QDE42" s="191"/>
      <c r="QDF42" s="191"/>
      <c r="QDG42" s="191"/>
      <c r="QDH42" s="191"/>
      <c r="QDI42" s="191"/>
      <c r="QDJ42" s="191"/>
      <c r="QDK42" s="191"/>
      <c r="QDL42" s="191"/>
      <c r="QDM42" s="191"/>
      <c r="QDN42" s="191"/>
      <c r="QDO42" s="191"/>
      <c r="QDP42" s="191"/>
      <c r="QDQ42" s="191"/>
      <c r="QDR42" s="191"/>
      <c r="QDS42" s="191"/>
      <c r="QDT42" s="191"/>
      <c r="QDU42" s="191"/>
      <c r="QDV42" s="191"/>
      <c r="QDW42" s="191"/>
      <c r="QDX42" s="191"/>
      <c r="QDY42" s="191"/>
      <c r="QDZ42" s="191"/>
      <c r="QEA42" s="191"/>
      <c r="QEB42" s="191"/>
      <c r="QEC42" s="191"/>
      <c r="QED42" s="191"/>
      <c r="QEE42" s="191"/>
      <c r="QEF42" s="191"/>
      <c r="QEG42" s="191"/>
      <c r="QEH42" s="191"/>
      <c r="QEI42" s="191"/>
      <c r="QEJ42" s="191"/>
      <c r="QEK42" s="191"/>
      <c r="QEL42" s="191"/>
      <c r="QEM42" s="191"/>
      <c r="QEN42" s="191"/>
      <c r="QEO42" s="191"/>
      <c r="QEP42" s="191"/>
      <c r="QEQ42" s="191"/>
      <c r="QER42" s="191"/>
      <c r="QES42" s="191"/>
      <c r="QET42" s="191"/>
      <c r="QEU42" s="191"/>
      <c r="QEV42" s="191"/>
      <c r="QEW42" s="191"/>
      <c r="QEX42" s="191"/>
      <c r="QEY42" s="191"/>
      <c r="QEZ42" s="191"/>
      <c r="QFA42" s="191"/>
      <c r="QFB42" s="191"/>
      <c r="QFC42" s="191"/>
      <c r="QFD42" s="191"/>
      <c r="QFE42" s="191"/>
      <c r="QFF42" s="191"/>
      <c r="QFG42" s="191"/>
      <c r="QFH42" s="191"/>
      <c r="QFI42" s="191"/>
      <c r="QFJ42" s="191"/>
      <c r="QFK42" s="191"/>
      <c r="QFL42" s="191"/>
      <c r="QFM42" s="191"/>
      <c r="QFN42" s="191"/>
      <c r="QFO42" s="191"/>
      <c r="QFP42" s="191"/>
      <c r="QFQ42" s="191"/>
      <c r="QFR42" s="191"/>
      <c r="QFS42" s="191"/>
      <c r="QFT42" s="191"/>
      <c r="QFU42" s="191"/>
      <c r="QFV42" s="191"/>
      <c r="QFW42" s="191"/>
      <c r="QFX42" s="191"/>
      <c r="QFY42" s="191"/>
      <c r="QFZ42" s="191"/>
      <c r="QGA42" s="191"/>
      <c r="QGB42" s="191"/>
      <c r="QGC42" s="191"/>
      <c r="QGD42" s="191"/>
      <c r="QGE42" s="191"/>
      <c r="QGF42" s="191"/>
      <c r="QGG42" s="191"/>
      <c r="QGH42" s="191"/>
      <c r="QGI42" s="191"/>
      <c r="QGJ42" s="191"/>
      <c r="QGK42" s="191"/>
      <c r="QGL42" s="191"/>
      <c r="QGM42" s="191"/>
      <c r="QGN42" s="191"/>
      <c r="QGO42" s="191"/>
      <c r="QGP42" s="191"/>
      <c r="QGQ42" s="191"/>
      <c r="QGR42" s="191"/>
      <c r="QGS42" s="191"/>
      <c r="QGT42" s="191"/>
      <c r="QGU42" s="191"/>
      <c r="QGV42" s="191"/>
      <c r="QGW42" s="191"/>
      <c r="QGX42" s="191"/>
      <c r="QGY42" s="191"/>
      <c r="QGZ42" s="191"/>
      <c r="QHA42" s="191"/>
      <c r="QHB42" s="191"/>
      <c r="QHC42" s="191"/>
      <c r="QHD42" s="191"/>
      <c r="QHE42" s="191"/>
      <c r="QHF42" s="191"/>
      <c r="QHG42" s="191"/>
      <c r="QHH42" s="191"/>
      <c r="QHI42" s="191"/>
      <c r="QHJ42" s="191"/>
      <c r="QHK42" s="191"/>
      <c r="QHL42" s="191"/>
      <c r="QHM42" s="191"/>
      <c r="QHN42" s="191"/>
      <c r="QHO42" s="191"/>
      <c r="QHP42" s="191"/>
      <c r="QHQ42" s="191"/>
      <c r="QHR42" s="191"/>
      <c r="QHS42" s="191"/>
      <c r="QHT42" s="191"/>
      <c r="QHU42" s="191"/>
      <c r="QHV42" s="191"/>
      <c r="QHW42" s="191"/>
      <c r="QHX42" s="191"/>
      <c r="QHY42" s="191"/>
      <c r="QHZ42" s="191"/>
      <c r="QIA42" s="191"/>
      <c r="QIB42" s="191"/>
      <c r="QIC42" s="191"/>
      <c r="QID42" s="191"/>
      <c r="QIE42" s="191"/>
      <c r="QIF42" s="191"/>
      <c r="QIG42" s="191"/>
      <c r="QIH42" s="191"/>
      <c r="QII42" s="191"/>
      <c r="QIJ42" s="191"/>
      <c r="QIK42" s="191"/>
      <c r="QIL42" s="191"/>
      <c r="QIM42" s="191"/>
      <c r="QIN42" s="191"/>
      <c r="QIO42" s="191"/>
      <c r="QIP42" s="191"/>
      <c r="QIQ42" s="191"/>
      <c r="QIR42" s="191"/>
      <c r="QIS42" s="191"/>
      <c r="QIT42" s="191"/>
      <c r="QIU42" s="191"/>
      <c r="QIV42" s="191"/>
      <c r="QIW42" s="191"/>
      <c r="QIX42" s="191"/>
      <c r="QIY42" s="191"/>
      <c r="QIZ42" s="191"/>
      <c r="QJA42" s="191"/>
      <c r="QJB42" s="191"/>
      <c r="QJC42" s="191"/>
      <c r="QJD42" s="191"/>
      <c r="QJE42" s="191"/>
      <c r="QJF42" s="191"/>
      <c r="QJG42" s="191"/>
      <c r="QJH42" s="191"/>
      <c r="QJI42" s="191"/>
      <c r="QJJ42" s="191"/>
      <c r="QJK42" s="191"/>
      <c r="QJL42" s="191"/>
      <c r="QJM42" s="191"/>
      <c r="QJN42" s="191"/>
      <c r="QJO42" s="191"/>
      <c r="QJP42" s="191"/>
      <c r="QJQ42" s="191"/>
      <c r="QJR42" s="191"/>
      <c r="QJS42" s="191"/>
      <c r="QJT42" s="191"/>
      <c r="QJU42" s="191"/>
      <c r="QJV42" s="191"/>
      <c r="QJW42" s="191"/>
      <c r="QJX42" s="191"/>
      <c r="QJY42" s="191"/>
      <c r="QJZ42" s="191"/>
      <c r="QKA42" s="191"/>
      <c r="QKB42" s="191"/>
      <c r="QKC42" s="191"/>
      <c r="QKD42" s="191"/>
      <c r="QKE42" s="191"/>
      <c r="QKF42" s="191"/>
      <c r="QKG42" s="191"/>
      <c r="QKH42" s="191"/>
      <c r="QKI42" s="191"/>
      <c r="QKJ42" s="191"/>
      <c r="QKK42" s="191"/>
      <c r="QKL42" s="191"/>
      <c r="QKM42" s="191"/>
      <c r="QKN42" s="191"/>
      <c r="QKO42" s="191"/>
      <c r="QKP42" s="191"/>
      <c r="QKQ42" s="191"/>
      <c r="QKR42" s="191"/>
      <c r="QKS42" s="191"/>
      <c r="QKT42" s="191"/>
      <c r="QKU42" s="191"/>
      <c r="QKV42" s="191"/>
      <c r="QKW42" s="191"/>
      <c r="QKX42" s="191"/>
      <c r="QKY42" s="191"/>
      <c r="QKZ42" s="191"/>
      <c r="QLA42" s="191"/>
      <c r="QLB42" s="191"/>
      <c r="QLC42" s="191"/>
      <c r="QLD42" s="191"/>
      <c r="QLE42" s="191"/>
      <c r="QLF42" s="191"/>
      <c r="QLG42" s="191"/>
      <c r="QLH42" s="191"/>
      <c r="QLI42" s="191"/>
      <c r="QLJ42" s="191"/>
      <c r="QLK42" s="191"/>
      <c r="QLL42" s="191"/>
      <c r="QLM42" s="191"/>
      <c r="QLN42" s="191"/>
      <c r="QLO42" s="191"/>
      <c r="QLP42" s="191"/>
      <c r="QLQ42" s="191"/>
      <c r="QLR42" s="191"/>
      <c r="QLS42" s="191"/>
      <c r="QLT42" s="191"/>
      <c r="QLU42" s="191"/>
      <c r="QLV42" s="191"/>
      <c r="QLW42" s="191"/>
      <c r="QLX42" s="191"/>
      <c r="QLY42" s="191"/>
      <c r="QLZ42" s="191"/>
      <c r="QMA42" s="191"/>
      <c r="QMB42" s="191"/>
      <c r="QMC42" s="191"/>
      <c r="QMD42" s="191"/>
      <c r="QME42" s="191"/>
      <c r="QMF42" s="191"/>
      <c r="QMG42" s="191"/>
      <c r="QMH42" s="191"/>
      <c r="QMI42" s="191"/>
      <c r="QMJ42" s="191"/>
      <c r="QMK42" s="191"/>
      <c r="QML42" s="191"/>
      <c r="QMM42" s="191"/>
      <c r="QMN42" s="191"/>
      <c r="QMO42" s="191"/>
      <c r="QMP42" s="191"/>
      <c r="QMQ42" s="191"/>
      <c r="QMR42" s="191"/>
      <c r="QMS42" s="191"/>
      <c r="QMT42" s="191"/>
      <c r="QMU42" s="191"/>
      <c r="QMV42" s="191"/>
      <c r="QMW42" s="191"/>
      <c r="QMX42" s="191"/>
      <c r="QMY42" s="191"/>
      <c r="QMZ42" s="191"/>
      <c r="QNA42" s="191"/>
      <c r="QNB42" s="191"/>
      <c r="QNC42" s="191"/>
      <c r="QND42" s="191"/>
      <c r="QNE42" s="191"/>
      <c r="QNF42" s="191"/>
      <c r="QNG42" s="191"/>
      <c r="QNH42" s="191"/>
      <c r="QNI42" s="191"/>
      <c r="QNJ42" s="191"/>
      <c r="QNK42" s="191"/>
      <c r="QNL42" s="191"/>
      <c r="QNM42" s="191"/>
      <c r="QNN42" s="191"/>
      <c r="QNO42" s="191"/>
      <c r="QNP42" s="191"/>
      <c r="QNQ42" s="191"/>
      <c r="QNR42" s="191"/>
      <c r="QNS42" s="191"/>
      <c r="QNT42" s="191"/>
      <c r="QNU42" s="191"/>
      <c r="QNV42" s="191"/>
      <c r="QNW42" s="191"/>
      <c r="QNX42" s="191"/>
      <c r="QNY42" s="191"/>
      <c r="QNZ42" s="191"/>
      <c r="QOA42" s="191"/>
      <c r="QOB42" s="191"/>
      <c r="QOC42" s="191"/>
      <c r="QOD42" s="191"/>
      <c r="QOE42" s="191"/>
      <c r="QOF42" s="191"/>
      <c r="QOG42" s="191"/>
      <c r="QOH42" s="191"/>
      <c r="QOI42" s="191"/>
      <c r="QOJ42" s="191"/>
      <c r="QOK42" s="191"/>
      <c r="QOL42" s="191"/>
      <c r="QOM42" s="191"/>
      <c r="QON42" s="191"/>
      <c r="QOO42" s="191"/>
      <c r="QOP42" s="191"/>
      <c r="QOQ42" s="191"/>
      <c r="QOR42" s="191"/>
      <c r="QOS42" s="191"/>
      <c r="QOT42" s="191"/>
      <c r="QOU42" s="191"/>
      <c r="QOV42" s="191"/>
      <c r="QOW42" s="191"/>
      <c r="QOX42" s="191"/>
      <c r="QOY42" s="191"/>
      <c r="QOZ42" s="191"/>
      <c r="QPA42" s="191"/>
      <c r="QPB42" s="191"/>
      <c r="QPC42" s="191"/>
      <c r="QPD42" s="191"/>
      <c r="QPE42" s="191"/>
      <c r="QPF42" s="191"/>
      <c r="QPG42" s="191"/>
      <c r="QPH42" s="191"/>
      <c r="QPI42" s="191"/>
      <c r="QPJ42" s="191"/>
      <c r="QPK42" s="191"/>
      <c r="QPL42" s="191"/>
      <c r="QPM42" s="191"/>
      <c r="QPN42" s="191"/>
      <c r="QPO42" s="191"/>
      <c r="QPP42" s="191"/>
      <c r="QPQ42" s="191"/>
      <c r="QPR42" s="191"/>
      <c r="QPS42" s="191"/>
      <c r="QPT42" s="191"/>
      <c r="QPU42" s="191"/>
      <c r="QPV42" s="191"/>
      <c r="QPW42" s="191"/>
      <c r="QPX42" s="191"/>
      <c r="QPY42" s="191"/>
      <c r="QPZ42" s="191"/>
      <c r="QQA42" s="191"/>
      <c r="QQB42" s="191"/>
      <c r="QQC42" s="191"/>
      <c r="QQD42" s="191"/>
      <c r="QQE42" s="191"/>
      <c r="QQF42" s="191"/>
      <c r="QQG42" s="191"/>
      <c r="QQH42" s="191"/>
      <c r="QQI42" s="191"/>
      <c r="QQJ42" s="191"/>
      <c r="QQK42" s="191"/>
      <c r="QQL42" s="191"/>
      <c r="QQM42" s="191"/>
      <c r="QQN42" s="191"/>
      <c r="QQO42" s="191"/>
      <c r="QQP42" s="191"/>
      <c r="QQQ42" s="191"/>
      <c r="QQR42" s="191"/>
      <c r="QQS42" s="191"/>
      <c r="QQT42" s="191"/>
      <c r="QQU42" s="191"/>
      <c r="QQV42" s="191"/>
      <c r="QQW42" s="191"/>
      <c r="QQX42" s="191"/>
      <c r="QQY42" s="191"/>
      <c r="QQZ42" s="191"/>
      <c r="QRA42" s="191"/>
      <c r="QRB42" s="191"/>
      <c r="QRC42" s="191"/>
      <c r="QRD42" s="191"/>
      <c r="QRE42" s="191"/>
      <c r="QRF42" s="191"/>
      <c r="QRG42" s="191"/>
      <c r="QRH42" s="191"/>
      <c r="QRI42" s="191"/>
      <c r="QRJ42" s="191"/>
      <c r="QRK42" s="191"/>
      <c r="QRL42" s="191"/>
      <c r="QRM42" s="191"/>
      <c r="QRN42" s="191"/>
      <c r="QRO42" s="191"/>
      <c r="QRP42" s="191"/>
      <c r="QRQ42" s="191"/>
      <c r="QRR42" s="191"/>
      <c r="QRS42" s="191"/>
      <c r="QRT42" s="191"/>
      <c r="QRU42" s="191"/>
      <c r="QRV42" s="191"/>
      <c r="QRW42" s="191"/>
      <c r="QRX42" s="191"/>
      <c r="QRY42" s="191"/>
      <c r="QRZ42" s="191"/>
      <c r="QSA42" s="191"/>
      <c r="QSB42" s="191"/>
      <c r="QSC42" s="191"/>
      <c r="QSD42" s="191"/>
      <c r="QSE42" s="191"/>
      <c r="QSF42" s="191"/>
      <c r="QSG42" s="191"/>
      <c r="QSH42" s="191"/>
      <c r="QSI42" s="191"/>
      <c r="QSJ42" s="191"/>
      <c r="QSK42" s="191"/>
      <c r="QSL42" s="191"/>
      <c r="QSM42" s="191"/>
      <c r="QSN42" s="191"/>
      <c r="QSO42" s="191"/>
      <c r="QSP42" s="191"/>
      <c r="QSQ42" s="191"/>
      <c r="QSR42" s="191"/>
      <c r="QSS42" s="191"/>
      <c r="QST42" s="191"/>
      <c r="QSU42" s="191"/>
      <c r="QSV42" s="191"/>
      <c r="QSW42" s="191"/>
      <c r="QSX42" s="191"/>
      <c r="QSY42" s="191"/>
      <c r="QSZ42" s="191"/>
      <c r="QTA42" s="191"/>
      <c r="QTB42" s="191"/>
      <c r="QTC42" s="191"/>
      <c r="QTD42" s="191"/>
      <c r="QTE42" s="191"/>
      <c r="QTF42" s="191"/>
      <c r="QTG42" s="191"/>
      <c r="QTH42" s="191"/>
      <c r="QTI42" s="191"/>
      <c r="QTJ42" s="191"/>
      <c r="QTK42" s="191"/>
      <c r="QTL42" s="191"/>
      <c r="QTM42" s="191"/>
      <c r="QTN42" s="191"/>
      <c r="QTO42" s="191"/>
      <c r="QTP42" s="191"/>
      <c r="QTQ42" s="191"/>
      <c r="QTR42" s="191"/>
      <c r="QTS42" s="191"/>
      <c r="QTT42" s="191"/>
      <c r="QTU42" s="191"/>
      <c r="QTV42" s="191"/>
      <c r="QTW42" s="191"/>
      <c r="QTX42" s="191"/>
      <c r="QTY42" s="191"/>
      <c r="QTZ42" s="191"/>
      <c r="QUA42" s="191"/>
      <c r="QUB42" s="191"/>
      <c r="QUC42" s="191"/>
      <c r="QUD42" s="191"/>
      <c r="QUE42" s="191"/>
      <c r="QUF42" s="191"/>
      <c r="QUG42" s="191"/>
      <c r="QUH42" s="191"/>
      <c r="QUI42" s="191"/>
      <c r="QUJ42" s="191"/>
      <c r="QUK42" s="191"/>
      <c r="QUL42" s="191"/>
      <c r="QUM42" s="191"/>
      <c r="QUN42" s="191"/>
      <c r="QUO42" s="191"/>
      <c r="QUP42" s="191"/>
      <c r="QUQ42" s="191"/>
      <c r="QUR42" s="191"/>
      <c r="QUS42" s="191"/>
      <c r="QUT42" s="191"/>
      <c r="QUU42" s="191"/>
      <c r="QUV42" s="191"/>
      <c r="QUW42" s="191"/>
      <c r="QUX42" s="191"/>
      <c r="QUY42" s="191"/>
      <c r="QUZ42" s="191"/>
      <c r="QVA42" s="191"/>
      <c r="QVB42" s="191"/>
      <c r="QVC42" s="191"/>
      <c r="QVD42" s="191"/>
      <c r="QVE42" s="191"/>
      <c r="QVF42" s="191"/>
      <c r="QVG42" s="191"/>
      <c r="QVH42" s="191"/>
      <c r="QVI42" s="191"/>
      <c r="QVJ42" s="191"/>
      <c r="QVK42" s="191"/>
      <c r="QVL42" s="191"/>
      <c r="QVM42" s="191"/>
      <c r="QVN42" s="191"/>
      <c r="QVO42" s="191"/>
      <c r="QVP42" s="191"/>
      <c r="QVQ42" s="191"/>
      <c r="QVR42" s="191"/>
      <c r="QVS42" s="191"/>
      <c r="QVT42" s="191"/>
      <c r="QVU42" s="191"/>
      <c r="QVV42" s="191"/>
      <c r="QVW42" s="191"/>
      <c r="QVX42" s="191"/>
      <c r="QVY42" s="191"/>
      <c r="QVZ42" s="191"/>
      <c r="QWA42" s="191"/>
      <c r="QWB42" s="191"/>
      <c r="QWC42" s="191"/>
      <c r="QWD42" s="191"/>
      <c r="QWE42" s="191"/>
      <c r="QWF42" s="191"/>
      <c r="QWG42" s="191"/>
      <c r="QWH42" s="191"/>
      <c r="QWI42" s="191"/>
      <c r="QWJ42" s="191"/>
      <c r="QWK42" s="191"/>
      <c r="QWL42" s="191"/>
      <c r="QWM42" s="191"/>
      <c r="QWN42" s="191"/>
      <c r="QWO42" s="191"/>
      <c r="QWP42" s="191"/>
      <c r="QWQ42" s="191"/>
      <c r="QWR42" s="191"/>
      <c r="QWS42" s="191"/>
      <c r="QWT42" s="191"/>
      <c r="QWU42" s="191"/>
      <c r="QWV42" s="191"/>
      <c r="QWW42" s="191"/>
      <c r="QWX42" s="191"/>
      <c r="QWY42" s="191"/>
      <c r="QWZ42" s="191"/>
      <c r="QXA42" s="191"/>
      <c r="QXB42" s="191"/>
      <c r="QXC42" s="191"/>
      <c r="QXD42" s="191"/>
      <c r="QXE42" s="191"/>
      <c r="QXF42" s="191"/>
      <c r="QXG42" s="191"/>
      <c r="QXH42" s="191"/>
      <c r="QXI42" s="191"/>
      <c r="QXJ42" s="191"/>
      <c r="QXK42" s="191"/>
      <c r="QXL42" s="191"/>
      <c r="QXM42" s="191"/>
      <c r="QXN42" s="191"/>
      <c r="QXO42" s="191"/>
      <c r="QXP42" s="191"/>
      <c r="QXQ42" s="191"/>
      <c r="QXR42" s="191"/>
      <c r="QXS42" s="191"/>
      <c r="QXT42" s="191"/>
      <c r="QXU42" s="191"/>
      <c r="QXV42" s="191"/>
      <c r="QXW42" s="191"/>
      <c r="QXX42" s="191"/>
      <c r="QXY42" s="191"/>
      <c r="QXZ42" s="191"/>
      <c r="QYA42" s="191"/>
      <c r="QYB42" s="191"/>
      <c r="QYC42" s="191"/>
      <c r="QYD42" s="191"/>
      <c r="QYE42" s="191"/>
      <c r="QYF42" s="191"/>
      <c r="QYG42" s="191"/>
      <c r="QYH42" s="191"/>
      <c r="QYI42" s="191"/>
      <c r="QYJ42" s="191"/>
      <c r="QYK42" s="191"/>
      <c r="QYL42" s="191"/>
      <c r="QYM42" s="191"/>
      <c r="QYN42" s="191"/>
      <c r="QYO42" s="191"/>
      <c r="QYP42" s="191"/>
      <c r="QYQ42" s="191"/>
      <c r="QYR42" s="191"/>
      <c r="QYS42" s="191"/>
      <c r="QYT42" s="191"/>
      <c r="QYU42" s="191"/>
      <c r="QYV42" s="191"/>
      <c r="QYW42" s="191"/>
      <c r="QYX42" s="191"/>
      <c r="QYY42" s="191"/>
      <c r="QYZ42" s="191"/>
      <c r="QZA42" s="191"/>
      <c r="QZB42" s="191"/>
      <c r="QZC42" s="191"/>
      <c r="QZD42" s="191"/>
      <c r="QZE42" s="191"/>
      <c r="QZF42" s="191"/>
      <c r="QZG42" s="191"/>
      <c r="QZH42" s="191"/>
      <c r="QZI42" s="191"/>
      <c r="QZJ42" s="191"/>
      <c r="QZK42" s="191"/>
      <c r="QZL42" s="191"/>
      <c r="QZM42" s="191"/>
      <c r="QZN42" s="191"/>
      <c r="QZO42" s="191"/>
      <c r="QZP42" s="191"/>
      <c r="QZQ42" s="191"/>
      <c r="QZR42" s="191"/>
      <c r="QZS42" s="191"/>
      <c r="QZT42" s="191"/>
      <c r="QZU42" s="191"/>
      <c r="QZV42" s="191"/>
      <c r="QZW42" s="191"/>
      <c r="QZX42" s="191"/>
      <c r="QZY42" s="191"/>
      <c r="QZZ42" s="191"/>
      <c r="RAA42" s="191"/>
      <c r="RAB42" s="191"/>
      <c r="RAC42" s="191"/>
      <c r="RAD42" s="191"/>
      <c r="RAE42" s="191"/>
      <c r="RAF42" s="191"/>
      <c r="RAG42" s="191"/>
      <c r="RAH42" s="191"/>
      <c r="RAI42" s="191"/>
      <c r="RAJ42" s="191"/>
      <c r="RAK42" s="191"/>
      <c r="RAL42" s="191"/>
      <c r="RAM42" s="191"/>
      <c r="RAN42" s="191"/>
      <c r="RAO42" s="191"/>
      <c r="RAP42" s="191"/>
      <c r="RAQ42" s="191"/>
      <c r="RAR42" s="191"/>
      <c r="RAS42" s="191"/>
      <c r="RAT42" s="191"/>
      <c r="RAU42" s="191"/>
      <c r="RAV42" s="191"/>
      <c r="RAW42" s="191"/>
      <c r="RAX42" s="191"/>
      <c r="RAY42" s="191"/>
      <c r="RAZ42" s="191"/>
      <c r="RBA42" s="191"/>
      <c r="RBB42" s="191"/>
      <c r="RBC42" s="191"/>
      <c r="RBD42" s="191"/>
      <c r="RBE42" s="191"/>
      <c r="RBF42" s="191"/>
      <c r="RBG42" s="191"/>
      <c r="RBH42" s="191"/>
      <c r="RBI42" s="191"/>
      <c r="RBJ42" s="191"/>
      <c r="RBK42" s="191"/>
      <c r="RBL42" s="191"/>
      <c r="RBM42" s="191"/>
      <c r="RBN42" s="191"/>
      <c r="RBO42" s="191"/>
      <c r="RBP42" s="191"/>
      <c r="RBQ42" s="191"/>
      <c r="RBR42" s="191"/>
      <c r="RBS42" s="191"/>
      <c r="RBT42" s="191"/>
      <c r="RBU42" s="191"/>
      <c r="RBV42" s="191"/>
      <c r="RBW42" s="191"/>
      <c r="RBX42" s="191"/>
      <c r="RBY42" s="191"/>
      <c r="RBZ42" s="191"/>
      <c r="RCA42" s="191"/>
      <c r="RCB42" s="191"/>
      <c r="RCC42" s="191"/>
      <c r="RCD42" s="191"/>
      <c r="RCE42" s="191"/>
      <c r="RCF42" s="191"/>
      <c r="RCG42" s="191"/>
      <c r="RCH42" s="191"/>
      <c r="RCI42" s="191"/>
      <c r="RCJ42" s="191"/>
      <c r="RCK42" s="191"/>
      <c r="RCL42" s="191"/>
      <c r="RCM42" s="191"/>
      <c r="RCN42" s="191"/>
      <c r="RCO42" s="191"/>
      <c r="RCP42" s="191"/>
      <c r="RCQ42" s="191"/>
      <c r="RCR42" s="191"/>
      <c r="RCS42" s="191"/>
      <c r="RCT42" s="191"/>
      <c r="RCU42" s="191"/>
      <c r="RCV42" s="191"/>
      <c r="RCW42" s="191"/>
      <c r="RCX42" s="191"/>
      <c r="RCY42" s="191"/>
      <c r="RCZ42" s="191"/>
      <c r="RDA42" s="191"/>
      <c r="RDB42" s="191"/>
      <c r="RDC42" s="191"/>
      <c r="RDD42" s="191"/>
      <c r="RDE42" s="191"/>
      <c r="RDF42" s="191"/>
      <c r="RDG42" s="191"/>
      <c r="RDH42" s="191"/>
      <c r="RDI42" s="191"/>
      <c r="RDJ42" s="191"/>
      <c r="RDK42" s="191"/>
      <c r="RDL42" s="191"/>
      <c r="RDM42" s="191"/>
      <c r="RDN42" s="191"/>
      <c r="RDO42" s="191"/>
      <c r="RDP42" s="191"/>
      <c r="RDQ42" s="191"/>
      <c r="RDR42" s="191"/>
      <c r="RDS42" s="191"/>
      <c r="RDT42" s="191"/>
      <c r="RDU42" s="191"/>
      <c r="RDV42" s="191"/>
      <c r="RDW42" s="191"/>
      <c r="RDX42" s="191"/>
      <c r="RDY42" s="191"/>
      <c r="RDZ42" s="191"/>
      <c r="REA42" s="191"/>
      <c r="REB42" s="191"/>
      <c r="REC42" s="191"/>
      <c r="RED42" s="191"/>
      <c r="REE42" s="191"/>
      <c r="REF42" s="191"/>
      <c r="REG42" s="191"/>
      <c r="REH42" s="191"/>
      <c r="REI42" s="191"/>
      <c r="REJ42" s="191"/>
      <c r="REK42" s="191"/>
      <c r="REL42" s="191"/>
      <c r="REM42" s="191"/>
      <c r="REN42" s="191"/>
      <c r="REO42" s="191"/>
      <c r="REP42" s="191"/>
      <c r="REQ42" s="191"/>
      <c r="RER42" s="191"/>
      <c r="RES42" s="191"/>
      <c r="RET42" s="191"/>
      <c r="REU42" s="191"/>
      <c r="REV42" s="191"/>
      <c r="REW42" s="191"/>
      <c r="REX42" s="191"/>
      <c r="REY42" s="191"/>
      <c r="REZ42" s="191"/>
      <c r="RFA42" s="191"/>
      <c r="RFB42" s="191"/>
      <c r="RFC42" s="191"/>
      <c r="RFD42" s="191"/>
      <c r="RFE42" s="191"/>
      <c r="RFF42" s="191"/>
      <c r="RFG42" s="191"/>
      <c r="RFH42" s="191"/>
      <c r="RFI42" s="191"/>
      <c r="RFJ42" s="191"/>
      <c r="RFK42" s="191"/>
      <c r="RFL42" s="191"/>
      <c r="RFM42" s="191"/>
      <c r="RFN42" s="191"/>
      <c r="RFO42" s="191"/>
      <c r="RFP42" s="191"/>
      <c r="RFQ42" s="191"/>
      <c r="RFR42" s="191"/>
      <c r="RFS42" s="191"/>
      <c r="RFT42" s="191"/>
      <c r="RFU42" s="191"/>
      <c r="RFV42" s="191"/>
      <c r="RFW42" s="191"/>
      <c r="RFX42" s="191"/>
      <c r="RFY42" s="191"/>
      <c r="RFZ42" s="191"/>
      <c r="RGA42" s="191"/>
      <c r="RGB42" s="191"/>
      <c r="RGC42" s="191"/>
      <c r="RGD42" s="191"/>
      <c r="RGE42" s="191"/>
      <c r="RGF42" s="191"/>
      <c r="RGG42" s="191"/>
      <c r="RGH42" s="191"/>
      <c r="RGI42" s="191"/>
      <c r="RGJ42" s="191"/>
      <c r="RGK42" s="191"/>
      <c r="RGL42" s="191"/>
      <c r="RGM42" s="191"/>
      <c r="RGN42" s="191"/>
      <c r="RGO42" s="191"/>
      <c r="RGP42" s="191"/>
      <c r="RGQ42" s="191"/>
      <c r="RGR42" s="191"/>
      <c r="RGS42" s="191"/>
      <c r="RGT42" s="191"/>
      <c r="RGU42" s="191"/>
      <c r="RGV42" s="191"/>
      <c r="RGW42" s="191"/>
      <c r="RGX42" s="191"/>
      <c r="RGY42" s="191"/>
      <c r="RGZ42" s="191"/>
      <c r="RHA42" s="191"/>
      <c r="RHB42" s="191"/>
      <c r="RHC42" s="191"/>
      <c r="RHD42" s="191"/>
      <c r="RHE42" s="191"/>
      <c r="RHF42" s="191"/>
      <c r="RHG42" s="191"/>
      <c r="RHH42" s="191"/>
      <c r="RHI42" s="191"/>
      <c r="RHJ42" s="191"/>
      <c r="RHK42" s="191"/>
      <c r="RHL42" s="191"/>
      <c r="RHM42" s="191"/>
      <c r="RHN42" s="191"/>
      <c r="RHO42" s="191"/>
      <c r="RHP42" s="191"/>
      <c r="RHQ42" s="191"/>
      <c r="RHR42" s="191"/>
      <c r="RHS42" s="191"/>
      <c r="RHT42" s="191"/>
      <c r="RHU42" s="191"/>
      <c r="RHV42" s="191"/>
      <c r="RHW42" s="191"/>
      <c r="RHX42" s="191"/>
      <c r="RHY42" s="191"/>
      <c r="RHZ42" s="191"/>
      <c r="RIA42" s="191"/>
      <c r="RIB42" s="191"/>
      <c r="RIC42" s="191"/>
      <c r="RID42" s="191"/>
      <c r="RIE42" s="191"/>
      <c r="RIF42" s="191"/>
      <c r="RIG42" s="191"/>
      <c r="RIH42" s="191"/>
      <c r="RII42" s="191"/>
      <c r="RIJ42" s="191"/>
      <c r="RIK42" s="191"/>
      <c r="RIL42" s="191"/>
      <c r="RIM42" s="191"/>
      <c r="RIN42" s="191"/>
      <c r="RIO42" s="191"/>
      <c r="RIP42" s="191"/>
      <c r="RIQ42" s="191"/>
      <c r="RIR42" s="191"/>
      <c r="RIS42" s="191"/>
      <c r="RIT42" s="191"/>
      <c r="RIU42" s="191"/>
      <c r="RIV42" s="191"/>
      <c r="RIW42" s="191"/>
      <c r="RIX42" s="191"/>
      <c r="RIY42" s="191"/>
      <c r="RIZ42" s="191"/>
      <c r="RJA42" s="191"/>
      <c r="RJB42" s="191"/>
      <c r="RJC42" s="191"/>
      <c r="RJD42" s="191"/>
      <c r="RJE42" s="191"/>
      <c r="RJF42" s="191"/>
      <c r="RJG42" s="191"/>
      <c r="RJH42" s="191"/>
      <c r="RJI42" s="191"/>
      <c r="RJJ42" s="191"/>
      <c r="RJK42" s="191"/>
      <c r="RJL42" s="191"/>
      <c r="RJM42" s="191"/>
      <c r="RJN42" s="191"/>
      <c r="RJO42" s="191"/>
      <c r="RJP42" s="191"/>
      <c r="RJQ42" s="191"/>
      <c r="RJR42" s="191"/>
      <c r="RJS42" s="191"/>
      <c r="RJT42" s="191"/>
      <c r="RJU42" s="191"/>
      <c r="RJV42" s="191"/>
      <c r="RJW42" s="191"/>
      <c r="RJX42" s="191"/>
      <c r="RJY42" s="191"/>
      <c r="RJZ42" s="191"/>
      <c r="RKA42" s="191"/>
      <c r="RKB42" s="191"/>
      <c r="RKC42" s="191"/>
      <c r="RKD42" s="191"/>
      <c r="RKE42" s="191"/>
      <c r="RKF42" s="191"/>
      <c r="RKG42" s="191"/>
      <c r="RKH42" s="191"/>
      <c r="RKI42" s="191"/>
      <c r="RKJ42" s="191"/>
      <c r="RKK42" s="191"/>
      <c r="RKL42" s="191"/>
      <c r="RKM42" s="191"/>
      <c r="RKN42" s="191"/>
      <c r="RKO42" s="191"/>
      <c r="RKP42" s="191"/>
      <c r="RKQ42" s="191"/>
      <c r="RKR42" s="191"/>
      <c r="RKS42" s="191"/>
      <c r="RKT42" s="191"/>
      <c r="RKU42" s="191"/>
      <c r="RKV42" s="191"/>
      <c r="RKW42" s="191"/>
      <c r="RKX42" s="191"/>
      <c r="RKY42" s="191"/>
      <c r="RKZ42" s="191"/>
      <c r="RLA42" s="191"/>
      <c r="RLB42" s="191"/>
      <c r="RLC42" s="191"/>
      <c r="RLD42" s="191"/>
      <c r="RLE42" s="191"/>
      <c r="RLF42" s="191"/>
      <c r="RLG42" s="191"/>
      <c r="RLH42" s="191"/>
      <c r="RLI42" s="191"/>
      <c r="RLJ42" s="191"/>
      <c r="RLK42" s="191"/>
      <c r="RLL42" s="191"/>
      <c r="RLM42" s="191"/>
      <c r="RLN42" s="191"/>
      <c r="RLO42" s="191"/>
      <c r="RLP42" s="191"/>
      <c r="RLQ42" s="191"/>
      <c r="RLR42" s="191"/>
      <c r="RLS42" s="191"/>
      <c r="RLT42" s="191"/>
      <c r="RLU42" s="191"/>
      <c r="RLV42" s="191"/>
      <c r="RLW42" s="191"/>
      <c r="RLX42" s="191"/>
      <c r="RLY42" s="191"/>
      <c r="RLZ42" s="191"/>
      <c r="RMA42" s="191"/>
      <c r="RMB42" s="191"/>
      <c r="RMC42" s="191"/>
      <c r="RMD42" s="191"/>
      <c r="RME42" s="191"/>
      <c r="RMF42" s="191"/>
      <c r="RMG42" s="191"/>
      <c r="RMH42" s="191"/>
      <c r="RMI42" s="191"/>
      <c r="RMJ42" s="191"/>
      <c r="RMK42" s="191"/>
      <c r="RML42" s="191"/>
      <c r="RMM42" s="191"/>
      <c r="RMN42" s="191"/>
      <c r="RMO42" s="191"/>
      <c r="RMP42" s="191"/>
      <c r="RMQ42" s="191"/>
      <c r="RMR42" s="191"/>
      <c r="RMS42" s="191"/>
      <c r="RMT42" s="191"/>
      <c r="RMU42" s="191"/>
      <c r="RMV42" s="191"/>
      <c r="RMW42" s="191"/>
      <c r="RMX42" s="191"/>
      <c r="RMY42" s="191"/>
      <c r="RMZ42" s="191"/>
      <c r="RNA42" s="191"/>
      <c r="RNB42" s="191"/>
      <c r="RNC42" s="191"/>
      <c r="RND42" s="191"/>
      <c r="RNE42" s="191"/>
      <c r="RNF42" s="191"/>
      <c r="RNG42" s="191"/>
      <c r="RNH42" s="191"/>
      <c r="RNI42" s="191"/>
      <c r="RNJ42" s="191"/>
      <c r="RNK42" s="191"/>
      <c r="RNL42" s="191"/>
      <c r="RNM42" s="191"/>
      <c r="RNN42" s="191"/>
      <c r="RNO42" s="191"/>
      <c r="RNP42" s="191"/>
      <c r="RNQ42" s="191"/>
      <c r="RNR42" s="191"/>
      <c r="RNS42" s="191"/>
      <c r="RNT42" s="191"/>
      <c r="RNU42" s="191"/>
      <c r="RNV42" s="191"/>
      <c r="RNW42" s="191"/>
      <c r="RNX42" s="191"/>
      <c r="RNY42" s="191"/>
      <c r="RNZ42" s="191"/>
      <c r="ROA42" s="191"/>
      <c r="ROB42" s="191"/>
      <c r="ROC42" s="191"/>
      <c r="ROD42" s="191"/>
      <c r="ROE42" s="191"/>
      <c r="ROF42" s="191"/>
      <c r="ROG42" s="191"/>
      <c r="ROH42" s="191"/>
      <c r="ROI42" s="191"/>
      <c r="ROJ42" s="191"/>
      <c r="ROK42" s="191"/>
      <c r="ROL42" s="191"/>
      <c r="ROM42" s="191"/>
      <c r="RON42" s="191"/>
      <c r="ROO42" s="191"/>
      <c r="ROP42" s="191"/>
      <c r="ROQ42" s="191"/>
      <c r="ROR42" s="191"/>
      <c r="ROS42" s="191"/>
      <c r="ROT42" s="191"/>
      <c r="ROU42" s="191"/>
      <c r="ROV42" s="191"/>
      <c r="ROW42" s="191"/>
      <c r="ROX42" s="191"/>
      <c r="ROY42" s="191"/>
      <c r="ROZ42" s="191"/>
      <c r="RPA42" s="191"/>
      <c r="RPB42" s="191"/>
      <c r="RPC42" s="191"/>
      <c r="RPD42" s="191"/>
      <c r="RPE42" s="191"/>
      <c r="RPF42" s="191"/>
      <c r="RPG42" s="191"/>
      <c r="RPH42" s="191"/>
      <c r="RPI42" s="191"/>
      <c r="RPJ42" s="191"/>
      <c r="RPK42" s="191"/>
      <c r="RPL42" s="191"/>
      <c r="RPM42" s="191"/>
      <c r="RPN42" s="191"/>
      <c r="RPO42" s="191"/>
      <c r="RPP42" s="191"/>
      <c r="RPQ42" s="191"/>
      <c r="RPR42" s="191"/>
      <c r="RPS42" s="191"/>
      <c r="RPT42" s="191"/>
      <c r="RPU42" s="191"/>
      <c r="RPV42" s="191"/>
      <c r="RPW42" s="191"/>
      <c r="RPX42" s="191"/>
      <c r="RPY42" s="191"/>
      <c r="RPZ42" s="191"/>
      <c r="RQA42" s="191"/>
      <c r="RQB42" s="191"/>
      <c r="RQC42" s="191"/>
      <c r="RQD42" s="191"/>
      <c r="RQE42" s="191"/>
      <c r="RQF42" s="191"/>
      <c r="RQG42" s="191"/>
      <c r="RQH42" s="191"/>
      <c r="RQI42" s="191"/>
      <c r="RQJ42" s="191"/>
      <c r="RQK42" s="191"/>
      <c r="RQL42" s="191"/>
      <c r="RQM42" s="191"/>
      <c r="RQN42" s="191"/>
      <c r="RQO42" s="191"/>
      <c r="RQP42" s="191"/>
      <c r="RQQ42" s="191"/>
      <c r="RQR42" s="191"/>
      <c r="RQS42" s="191"/>
      <c r="RQT42" s="191"/>
      <c r="RQU42" s="191"/>
      <c r="RQV42" s="191"/>
      <c r="RQW42" s="191"/>
      <c r="RQX42" s="191"/>
      <c r="RQY42" s="191"/>
      <c r="RQZ42" s="191"/>
      <c r="RRA42" s="191"/>
      <c r="RRB42" s="191"/>
      <c r="RRC42" s="191"/>
      <c r="RRD42" s="191"/>
      <c r="RRE42" s="191"/>
      <c r="RRF42" s="191"/>
      <c r="RRG42" s="191"/>
      <c r="RRH42" s="191"/>
      <c r="RRI42" s="191"/>
      <c r="RRJ42" s="191"/>
      <c r="RRK42" s="191"/>
      <c r="RRL42" s="191"/>
      <c r="RRM42" s="191"/>
      <c r="RRN42" s="191"/>
      <c r="RRO42" s="191"/>
      <c r="RRP42" s="191"/>
      <c r="RRQ42" s="191"/>
      <c r="RRR42" s="191"/>
      <c r="RRS42" s="191"/>
      <c r="RRT42" s="191"/>
      <c r="RRU42" s="191"/>
      <c r="RRV42" s="191"/>
      <c r="RRW42" s="191"/>
      <c r="RRX42" s="191"/>
      <c r="RRY42" s="191"/>
      <c r="RRZ42" s="191"/>
      <c r="RSA42" s="191"/>
      <c r="RSB42" s="191"/>
      <c r="RSC42" s="191"/>
      <c r="RSD42" s="191"/>
      <c r="RSE42" s="191"/>
      <c r="RSF42" s="191"/>
      <c r="RSG42" s="191"/>
      <c r="RSH42" s="191"/>
      <c r="RSI42" s="191"/>
      <c r="RSJ42" s="191"/>
      <c r="RSK42" s="191"/>
      <c r="RSL42" s="191"/>
      <c r="RSM42" s="191"/>
      <c r="RSN42" s="191"/>
      <c r="RSO42" s="191"/>
      <c r="RSP42" s="191"/>
      <c r="RSQ42" s="191"/>
      <c r="RSR42" s="191"/>
      <c r="RSS42" s="191"/>
      <c r="RST42" s="191"/>
      <c r="RSU42" s="191"/>
      <c r="RSV42" s="191"/>
      <c r="RSW42" s="191"/>
      <c r="RSX42" s="191"/>
      <c r="RSY42" s="191"/>
      <c r="RSZ42" s="191"/>
      <c r="RTA42" s="191"/>
      <c r="RTB42" s="191"/>
      <c r="RTC42" s="191"/>
      <c r="RTD42" s="191"/>
      <c r="RTE42" s="191"/>
      <c r="RTF42" s="191"/>
      <c r="RTG42" s="191"/>
      <c r="RTH42" s="191"/>
      <c r="RTI42" s="191"/>
      <c r="RTJ42" s="191"/>
      <c r="RTK42" s="191"/>
      <c r="RTL42" s="191"/>
      <c r="RTM42" s="191"/>
      <c r="RTN42" s="191"/>
      <c r="RTO42" s="191"/>
      <c r="RTP42" s="191"/>
      <c r="RTQ42" s="191"/>
      <c r="RTR42" s="191"/>
      <c r="RTS42" s="191"/>
      <c r="RTT42" s="191"/>
      <c r="RTU42" s="191"/>
      <c r="RTV42" s="191"/>
      <c r="RTW42" s="191"/>
      <c r="RTX42" s="191"/>
      <c r="RTY42" s="191"/>
      <c r="RTZ42" s="191"/>
      <c r="RUA42" s="191"/>
      <c r="RUB42" s="191"/>
      <c r="RUC42" s="191"/>
      <c r="RUD42" s="191"/>
      <c r="RUE42" s="191"/>
      <c r="RUF42" s="191"/>
      <c r="RUG42" s="191"/>
      <c r="RUH42" s="191"/>
      <c r="RUI42" s="191"/>
      <c r="RUJ42" s="191"/>
      <c r="RUK42" s="191"/>
      <c r="RUL42" s="191"/>
      <c r="RUM42" s="191"/>
      <c r="RUN42" s="191"/>
      <c r="RUO42" s="191"/>
      <c r="RUP42" s="191"/>
      <c r="RUQ42" s="191"/>
      <c r="RUR42" s="191"/>
      <c r="RUS42" s="191"/>
      <c r="RUT42" s="191"/>
      <c r="RUU42" s="191"/>
      <c r="RUV42" s="191"/>
      <c r="RUW42" s="191"/>
      <c r="RUX42" s="191"/>
      <c r="RUY42" s="191"/>
      <c r="RUZ42" s="191"/>
      <c r="RVA42" s="191"/>
      <c r="RVB42" s="191"/>
      <c r="RVC42" s="191"/>
      <c r="RVD42" s="191"/>
      <c r="RVE42" s="191"/>
      <c r="RVF42" s="191"/>
      <c r="RVG42" s="191"/>
      <c r="RVH42" s="191"/>
      <c r="RVI42" s="191"/>
      <c r="RVJ42" s="191"/>
      <c r="RVK42" s="191"/>
      <c r="RVL42" s="191"/>
      <c r="RVM42" s="191"/>
      <c r="RVN42" s="191"/>
      <c r="RVO42" s="191"/>
      <c r="RVP42" s="191"/>
      <c r="RVQ42" s="191"/>
      <c r="RVR42" s="191"/>
      <c r="RVS42" s="191"/>
      <c r="RVT42" s="191"/>
      <c r="RVU42" s="191"/>
      <c r="RVV42" s="191"/>
      <c r="RVW42" s="191"/>
      <c r="RVX42" s="191"/>
      <c r="RVY42" s="191"/>
      <c r="RVZ42" s="191"/>
      <c r="RWA42" s="191"/>
      <c r="RWB42" s="191"/>
      <c r="RWC42" s="191"/>
      <c r="RWD42" s="191"/>
      <c r="RWE42" s="191"/>
      <c r="RWF42" s="191"/>
      <c r="RWG42" s="191"/>
      <c r="RWH42" s="191"/>
      <c r="RWI42" s="191"/>
      <c r="RWJ42" s="191"/>
      <c r="RWK42" s="191"/>
      <c r="RWL42" s="191"/>
      <c r="RWM42" s="191"/>
      <c r="RWN42" s="191"/>
      <c r="RWO42" s="191"/>
      <c r="RWP42" s="191"/>
      <c r="RWQ42" s="191"/>
      <c r="RWR42" s="191"/>
      <c r="RWS42" s="191"/>
      <c r="RWT42" s="191"/>
      <c r="RWU42" s="191"/>
      <c r="RWV42" s="191"/>
      <c r="RWW42" s="191"/>
      <c r="RWX42" s="191"/>
      <c r="RWY42" s="191"/>
      <c r="RWZ42" s="191"/>
      <c r="RXA42" s="191"/>
      <c r="RXB42" s="191"/>
      <c r="RXC42" s="191"/>
      <c r="RXD42" s="191"/>
      <c r="RXE42" s="191"/>
      <c r="RXF42" s="191"/>
      <c r="RXG42" s="191"/>
      <c r="RXH42" s="191"/>
      <c r="RXI42" s="191"/>
      <c r="RXJ42" s="191"/>
      <c r="RXK42" s="191"/>
      <c r="RXL42" s="191"/>
      <c r="RXM42" s="191"/>
      <c r="RXN42" s="191"/>
      <c r="RXO42" s="191"/>
      <c r="RXP42" s="191"/>
      <c r="RXQ42" s="191"/>
      <c r="RXR42" s="191"/>
      <c r="RXS42" s="191"/>
      <c r="RXT42" s="191"/>
      <c r="RXU42" s="191"/>
      <c r="RXV42" s="191"/>
      <c r="RXW42" s="191"/>
      <c r="RXX42" s="191"/>
      <c r="RXY42" s="191"/>
      <c r="RXZ42" s="191"/>
      <c r="RYA42" s="191"/>
      <c r="RYB42" s="191"/>
      <c r="RYC42" s="191"/>
      <c r="RYD42" s="191"/>
      <c r="RYE42" s="191"/>
      <c r="RYF42" s="191"/>
      <c r="RYG42" s="191"/>
      <c r="RYH42" s="191"/>
      <c r="RYI42" s="191"/>
      <c r="RYJ42" s="191"/>
      <c r="RYK42" s="191"/>
      <c r="RYL42" s="191"/>
      <c r="RYM42" s="191"/>
      <c r="RYN42" s="191"/>
      <c r="RYO42" s="191"/>
      <c r="RYP42" s="191"/>
      <c r="RYQ42" s="191"/>
      <c r="RYR42" s="191"/>
      <c r="RYS42" s="191"/>
      <c r="RYT42" s="191"/>
      <c r="RYU42" s="191"/>
      <c r="RYV42" s="191"/>
      <c r="RYW42" s="191"/>
      <c r="RYX42" s="191"/>
      <c r="RYY42" s="191"/>
      <c r="RYZ42" s="191"/>
      <c r="RZA42" s="191"/>
      <c r="RZB42" s="191"/>
      <c r="RZC42" s="191"/>
      <c r="RZD42" s="191"/>
      <c r="RZE42" s="191"/>
      <c r="RZF42" s="191"/>
      <c r="RZG42" s="191"/>
      <c r="RZH42" s="191"/>
      <c r="RZI42" s="191"/>
      <c r="RZJ42" s="191"/>
      <c r="RZK42" s="191"/>
      <c r="RZL42" s="191"/>
      <c r="RZM42" s="191"/>
      <c r="RZN42" s="191"/>
      <c r="RZO42" s="191"/>
      <c r="RZP42" s="191"/>
      <c r="RZQ42" s="191"/>
      <c r="RZR42" s="191"/>
      <c r="RZS42" s="191"/>
      <c r="RZT42" s="191"/>
      <c r="RZU42" s="191"/>
      <c r="RZV42" s="191"/>
      <c r="RZW42" s="191"/>
      <c r="RZX42" s="191"/>
      <c r="RZY42" s="191"/>
      <c r="RZZ42" s="191"/>
      <c r="SAA42" s="191"/>
      <c r="SAB42" s="191"/>
      <c r="SAC42" s="191"/>
      <c r="SAD42" s="191"/>
      <c r="SAE42" s="191"/>
      <c r="SAF42" s="191"/>
      <c r="SAG42" s="191"/>
      <c r="SAH42" s="191"/>
      <c r="SAI42" s="191"/>
      <c r="SAJ42" s="191"/>
      <c r="SAK42" s="191"/>
      <c r="SAL42" s="191"/>
      <c r="SAM42" s="191"/>
      <c r="SAN42" s="191"/>
      <c r="SAO42" s="191"/>
      <c r="SAP42" s="191"/>
      <c r="SAQ42" s="191"/>
      <c r="SAR42" s="191"/>
      <c r="SAS42" s="191"/>
      <c r="SAT42" s="191"/>
      <c r="SAU42" s="191"/>
      <c r="SAV42" s="191"/>
      <c r="SAW42" s="191"/>
      <c r="SAX42" s="191"/>
      <c r="SAY42" s="191"/>
      <c r="SAZ42" s="191"/>
      <c r="SBA42" s="191"/>
      <c r="SBB42" s="191"/>
      <c r="SBC42" s="191"/>
      <c r="SBD42" s="191"/>
      <c r="SBE42" s="191"/>
      <c r="SBF42" s="191"/>
      <c r="SBG42" s="191"/>
      <c r="SBH42" s="191"/>
      <c r="SBI42" s="191"/>
      <c r="SBJ42" s="191"/>
      <c r="SBK42" s="191"/>
      <c r="SBL42" s="191"/>
      <c r="SBM42" s="191"/>
      <c r="SBN42" s="191"/>
      <c r="SBO42" s="191"/>
      <c r="SBP42" s="191"/>
      <c r="SBQ42" s="191"/>
      <c r="SBR42" s="191"/>
      <c r="SBS42" s="191"/>
      <c r="SBT42" s="191"/>
      <c r="SBU42" s="191"/>
      <c r="SBV42" s="191"/>
      <c r="SBW42" s="191"/>
      <c r="SBX42" s="191"/>
      <c r="SBY42" s="191"/>
      <c r="SBZ42" s="191"/>
      <c r="SCA42" s="191"/>
      <c r="SCB42" s="191"/>
      <c r="SCC42" s="191"/>
      <c r="SCD42" s="191"/>
      <c r="SCE42" s="191"/>
      <c r="SCF42" s="191"/>
      <c r="SCG42" s="191"/>
      <c r="SCH42" s="191"/>
      <c r="SCI42" s="191"/>
      <c r="SCJ42" s="191"/>
      <c r="SCK42" s="191"/>
      <c r="SCL42" s="191"/>
      <c r="SCM42" s="191"/>
      <c r="SCN42" s="191"/>
      <c r="SCO42" s="191"/>
      <c r="SCP42" s="191"/>
      <c r="SCQ42" s="191"/>
      <c r="SCR42" s="191"/>
      <c r="SCS42" s="191"/>
      <c r="SCT42" s="191"/>
      <c r="SCU42" s="191"/>
      <c r="SCV42" s="191"/>
      <c r="SCW42" s="191"/>
      <c r="SCX42" s="191"/>
      <c r="SCY42" s="191"/>
      <c r="SCZ42" s="191"/>
      <c r="SDA42" s="191"/>
      <c r="SDB42" s="191"/>
      <c r="SDC42" s="191"/>
      <c r="SDD42" s="191"/>
      <c r="SDE42" s="191"/>
      <c r="SDF42" s="191"/>
      <c r="SDG42" s="191"/>
      <c r="SDH42" s="191"/>
      <c r="SDI42" s="191"/>
      <c r="SDJ42" s="191"/>
      <c r="SDK42" s="191"/>
      <c r="SDL42" s="191"/>
      <c r="SDM42" s="191"/>
      <c r="SDN42" s="191"/>
      <c r="SDO42" s="191"/>
      <c r="SDP42" s="191"/>
      <c r="SDQ42" s="191"/>
      <c r="SDR42" s="191"/>
      <c r="SDS42" s="191"/>
      <c r="SDT42" s="191"/>
      <c r="SDU42" s="191"/>
      <c r="SDV42" s="191"/>
      <c r="SDW42" s="191"/>
      <c r="SDX42" s="191"/>
      <c r="SDY42" s="191"/>
      <c r="SDZ42" s="191"/>
      <c r="SEA42" s="191"/>
      <c r="SEB42" s="191"/>
      <c r="SEC42" s="191"/>
      <c r="SED42" s="191"/>
      <c r="SEE42" s="191"/>
      <c r="SEF42" s="191"/>
      <c r="SEG42" s="191"/>
      <c r="SEH42" s="191"/>
      <c r="SEI42" s="191"/>
      <c r="SEJ42" s="191"/>
      <c r="SEK42" s="191"/>
      <c r="SEL42" s="191"/>
      <c r="SEM42" s="191"/>
      <c r="SEN42" s="191"/>
      <c r="SEO42" s="191"/>
      <c r="SEP42" s="191"/>
      <c r="SEQ42" s="191"/>
      <c r="SER42" s="191"/>
      <c r="SES42" s="191"/>
      <c r="SET42" s="191"/>
      <c r="SEU42" s="191"/>
      <c r="SEV42" s="191"/>
      <c r="SEW42" s="191"/>
      <c r="SEX42" s="191"/>
      <c r="SEY42" s="191"/>
      <c r="SEZ42" s="191"/>
      <c r="SFA42" s="191"/>
      <c r="SFB42" s="191"/>
      <c r="SFC42" s="191"/>
      <c r="SFD42" s="191"/>
      <c r="SFE42" s="191"/>
      <c r="SFF42" s="191"/>
      <c r="SFG42" s="191"/>
      <c r="SFH42" s="191"/>
      <c r="SFI42" s="191"/>
      <c r="SFJ42" s="191"/>
      <c r="SFK42" s="191"/>
      <c r="SFL42" s="191"/>
      <c r="SFM42" s="191"/>
      <c r="SFN42" s="191"/>
      <c r="SFO42" s="191"/>
      <c r="SFP42" s="191"/>
      <c r="SFQ42" s="191"/>
      <c r="SFR42" s="191"/>
      <c r="SFS42" s="191"/>
      <c r="SFT42" s="191"/>
      <c r="SFU42" s="191"/>
      <c r="SFV42" s="191"/>
      <c r="SFW42" s="191"/>
      <c r="SFX42" s="191"/>
      <c r="SFY42" s="191"/>
      <c r="SFZ42" s="191"/>
      <c r="SGA42" s="191"/>
      <c r="SGB42" s="191"/>
      <c r="SGC42" s="191"/>
      <c r="SGD42" s="191"/>
      <c r="SGE42" s="191"/>
      <c r="SGF42" s="191"/>
      <c r="SGG42" s="191"/>
      <c r="SGH42" s="191"/>
      <c r="SGI42" s="191"/>
      <c r="SGJ42" s="191"/>
      <c r="SGK42" s="191"/>
      <c r="SGL42" s="191"/>
      <c r="SGM42" s="191"/>
      <c r="SGN42" s="191"/>
      <c r="SGO42" s="191"/>
      <c r="SGP42" s="191"/>
      <c r="SGQ42" s="191"/>
      <c r="SGR42" s="191"/>
      <c r="SGS42" s="191"/>
      <c r="SGT42" s="191"/>
      <c r="SGU42" s="191"/>
      <c r="SGV42" s="191"/>
      <c r="SGW42" s="191"/>
      <c r="SGX42" s="191"/>
      <c r="SGY42" s="191"/>
      <c r="SGZ42" s="191"/>
      <c r="SHA42" s="191"/>
      <c r="SHB42" s="191"/>
      <c r="SHC42" s="191"/>
      <c r="SHD42" s="191"/>
      <c r="SHE42" s="191"/>
      <c r="SHF42" s="191"/>
      <c r="SHG42" s="191"/>
      <c r="SHH42" s="191"/>
      <c r="SHI42" s="191"/>
      <c r="SHJ42" s="191"/>
      <c r="SHK42" s="191"/>
      <c r="SHL42" s="191"/>
      <c r="SHM42" s="191"/>
      <c r="SHN42" s="191"/>
      <c r="SHO42" s="191"/>
      <c r="SHP42" s="191"/>
      <c r="SHQ42" s="191"/>
      <c r="SHR42" s="191"/>
      <c r="SHS42" s="191"/>
      <c r="SHT42" s="191"/>
      <c r="SHU42" s="191"/>
      <c r="SHV42" s="191"/>
      <c r="SHW42" s="191"/>
      <c r="SHX42" s="191"/>
      <c r="SHY42" s="191"/>
      <c r="SHZ42" s="191"/>
      <c r="SIA42" s="191"/>
      <c r="SIB42" s="191"/>
      <c r="SIC42" s="191"/>
      <c r="SID42" s="191"/>
      <c r="SIE42" s="191"/>
      <c r="SIF42" s="191"/>
      <c r="SIG42" s="191"/>
      <c r="SIH42" s="191"/>
      <c r="SII42" s="191"/>
      <c r="SIJ42" s="191"/>
      <c r="SIK42" s="191"/>
      <c r="SIL42" s="191"/>
      <c r="SIM42" s="191"/>
      <c r="SIN42" s="191"/>
      <c r="SIO42" s="191"/>
      <c r="SIP42" s="191"/>
      <c r="SIQ42" s="191"/>
      <c r="SIR42" s="191"/>
      <c r="SIS42" s="191"/>
      <c r="SIT42" s="191"/>
      <c r="SIU42" s="191"/>
      <c r="SIV42" s="191"/>
      <c r="SIW42" s="191"/>
      <c r="SIX42" s="191"/>
      <c r="SIY42" s="191"/>
      <c r="SIZ42" s="191"/>
      <c r="SJA42" s="191"/>
      <c r="SJB42" s="191"/>
      <c r="SJC42" s="191"/>
      <c r="SJD42" s="191"/>
      <c r="SJE42" s="191"/>
      <c r="SJF42" s="191"/>
      <c r="SJG42" s="191"/>
      <c r="SJH42" s="191"/>
      <c r="SJI42" s="191"/>
      <c r="SJJ42" s="191"/>
      <c r="SJK42" s="191"/>
      <c r="SJL42" s="191"/>
      <c r="SJM42" s="191"/>
      <c r="SJN42" s="191"/>
      <c r="SJO42" s="191"/>
      <c r="SJP42" s="191"/>
      <c r="SJQ42" s="191"/>
      <c r="SJR42" s="191"/>
      <c r="SJS42" s="191"/>
      <c r="SJT42" s="191"/>
      <c r="SJU42" s="191"/>
      <c r="SJV42" s="191"/>
      <c r="SJW42" s="191"/>
      <c r="SJX42" s="191"/>
      <c r="SJY42" s="191"/>
      <c r="SJZ42" s="191"/>
      <c r="SKA42" s="191"/>
      <c r="SKB42" s="191"/>
      <c r="SKC42" s="191"/>
      <c r="SKD42" s="191"/>
      <c r="SKE42" s="191"/>
      <c r="SKF42" s="191"/>
      <c r="SKG42" s="191"/>
      <c r="SKH42" s="191"/>
      <c r="SKI42" s="191"/>
      <c r="SKJ42" s="191"/>
      <c r="SKK42" s="191"/>
      <c r="SKL42" s="191"/>
      <c r="SKM42" s="191"/>
      <c r="SKN42" s="191"/>
      <c r="SKO42" s="191"/>
      <c r="SKP42" s="191"/>
      <c r="SKQ42" s="191"/>
      <c r="SKR42" s="191"/>
      <c r="SKS42" s="191"/>
      <c r="SKT42" s="191"/>
      <c r="SKU42" s="191"/>
      <c r="SKV42" s="191"/>
      <c r="SKW42" s="191"/>
      <c r="SKX42" s="191"/>
      <c r="SKY42" s="191"/>
      <c r="SKZ42" s="191"/>
      <c r="SLA42" s="191"/>
      <c r="SLB42" s="191"/>
      <c r="SLC42" s="191"/>
      <c r="SLD42" s="191"/>
      <c r="SLE42" s="191"/>
      <c r="SLF42" s="191"/>
      <c r="SLG42" s="191"/>
      <c r="SLH42" s="191"/>
      <c r="SLI42" s="191"/>
      <c r="SLJ42" s="191"/>
      <c r="SLK42" s="191"/>
      <c r="SLL42" s="191"/>
      <c r="SLM42" s="191"/>
      <c r="SLN42" s="191"/>
      <c r="SLO42" s="191"/>
      <c r="SLP42" s="191"/>
      <c r="SLQ42" s="191"/>
      <c r="SLR42" s="191"/>
      <c r="SLS42" s="191"/>
      <c r="SLT42" s="191"/>
      <c r="SLU42" s="191"/>
      <c r="SLV42" s="191"/>
      <c r="SLW42" s="191"/>
      <c r="SLX42" s="191"/>
      <c r="SLY42" s="191"/>
      <c r="SLZ42" s="191"/>
      <c r="SMA42" s="191"/>
      <c r="SMB42" s="191"/>
      <c r="SMC42" s="191"/>
      <c r="SMD42" s="191"/>
      <c r="SME42" s="191"/>
      <c r="SMF42" s="191"/>
      <c r="SMG42" s="191"/>
      <c r="SMH42" s="191"/>
      <c r="SMI42" s="191"/>
      <c r="SMJ42" s="191"/>
      <c r="SMK42" s="191"/>
      <c r="SML42" s="191"/>
      <c r="SMM42" s="191"/>
      <c r="SMN42" s="191"/>
      <c r="SMO42" s="191"/>
      <c r="SMP42" s="191"/>
      <c r="SMQ42" s="191"/>
      <c r="SMR42" s="191"/>
      <c r="SMS42" s="191"/>
      <c r="SMT42" s="191"/>
      <c r="SMU42" s="191"/>
      <c r="SMV42" s="191"/>
      <c r="SMW42" s="191"/>
      <c r="SMX42" s="191"/>
      <c r="SMY42" s="191"/>
      <c r="SMZ42" s="191"/>
      <c r="SNA42" s="191"/>
      <c r="SNB42" s="191"/>
      <c r="SNC42" s="191"/>
      <c r="SND42" s="191"/>
      <c r="SNE42" s="191"/>
      <c r="SNF42" s="191"/>
      <c r="SNG42" s="191"/>
      <c r="SNH42" s="191"/>
      <c r="SNI42" s="191"/>
      <c r="SNJ42" s="191"/>
      <c r="SNK42" s="191"/>
      <c r="SNL42" s="191"/>
      <c r="SNM42" s="191"/>
      <c r="SNN42" s="191"/>
      <c r="SNO42" s="191"/>
      <c r="SNP42" s="191"/>
      <c r="SNQ42" s="191"/>
      <c r="SNR42" s="191"/>
      <c r="SNS42" s="191"/>
      <c r="SNT42" s="191"/>
      <c r="SNU42" s="191"/>
      <c r="SNV42" s="191"/>
      <c r="SNW42" s="191"/>
      <c r="SNX42" s="191"/>
      <c r="SNY42" s="191"/>
      <c r="SNZ42" s="191"/>
      <c r="SOA42" s="191"/>
      <c r="SOB42" s="191"/>
      <c r="SOC42" s="191"/>
      <c r="SOD42" s="191"/>
      <c r="SOE42" s="191"/>
      <c r="SOF42" s="191"/>
      <c r="SOG42" s="191"/>
      <c r="SOH42" s="191"/>
      <c r="SOI42" s="191"/>
      <c r="SOJ42" s="191"/>
      <c r="SOK42" s="191"/>
      <c r="SOL42" s="191"/>
      <c r="SOM42" s="191"/>
      <c r="SON42" s="191"/>
      <c r="SOO42" s="191"/>
      <c r="SOP42" s="191"/>
      <c r="SOQ42" s="191"/>
      <c r="SOR42" s="191"/>
      <c r="SOS42" s="191"/>
      <c r="SOT42" s="191"/>
      <c r="SOU42" s="191"/>
      <c r="SOV42" s="191"/>
      <c r="SOW42" s="191"/>
      <c r="SOX42" s="191"/>
      <c r="SOY42" s="191"/>
      <c r="SOZ42" s="191"/>
      <c r="SPA42" s="191"/>
      <c r="SPB42" s="191"/>
      <c r="SPC42" s="191"/>
      <c r="SPD42" s="191"/>
      <c r="SPE42" s="191"/>
      <c r="SPF42" s="191"/>
      <c r="SPG42" s="191"/>
      <c r="SPH42" s="191"/>
      <c r="SPI42" s="191"/>
      <c r="SPJ42" s="191"/>
      <c r="SPK42" s="191"/>
      <c r="SPL42" s="191"/>
      <c r="SPM42" s="191"/>
      <c r="SPN42" s="191"/>
      <c r="SPO42" s="191"/>
      <c r="SPP42" s="191"/>
      <c r="SPQ42" s="191"/>
      <c r="SPR42" s="191"/>
      <c r="SPS42" s="191"/>
      <c r="SPT42" s="191"/>
      <c r="SPU42" s="191"/>
      <c r="SPV42" s="191"/>
      <c r="SPW42" s="191"/>
      <c r="SPX42" s="191"/>
      <c r="SPY42" s="191"/>
      <c r="SPZ42" s="191"/>
      <c r="SQA42" s="191"/>
      <c r="SQB42" s="191"/>
      <c r="SQC42" s="191"/>
      <c r="SQD42" s="191"/>
      <c r="SQE42" s="191"/>
      <c r="SQF42" s="191"/>
      <c r="SQG42" s="191"/>
      <c r="SQH42" s="191"/>
      <c r="SQI42" s="191"/>
      <c r="SQJ42" s="191"/>
      <c r="SQK42" s="191"/>
      <c r="SQL42" s="191"/>
      <c r="SQM42" s="191"/>
      <c r="SQN42" s="191"/>
      <c r="SQO42" s="191"/>
      <c r="SQP42" s="191"/>
      <c r="SQQ42" s="191"/>
      <c r="SQR42" s="191"/>
      <c r="SQS42" s="191"/>
      <c r="SQT42" s="191"/>
      <c r="SQU42" s="191"/>
      <c r="SQV42" s="191"/>
      <c r="SQW42" s="191"/>
      <c r="SQX42" s="191"/>
      <c r="SQY42" s="191"/>
      <c r="SQZ42" s="191"/>
      <c r="SRA42" s="191"/>
      <c r="SRB42" s="191"/>
      <c r="SRC42" s="191"/>
      <c r="SRD42" s="191"/>
      <c r="SRE42" s="191"/>
      <c r="SRF42" s="191"/>
      <c r="SRG42" s="191"/>
      <c r="SRH42" s="191"/>
      <c r="SRI42" s="191"/>
      <c r="SRJ42" s="191"/>
      <c r="SRK42" s="191"/>
      <c r="SRL42" s="191"/>
      <c r="SRM42" s="191"/>
      <c r="SRN42" s="191"/>
      <c r="SRO42" s="191"/>
      <c r="SRP42" s="191"/>
      <c r="SRQ42" s="191"/>
      <c r="SRR42" s="191"/>
      <c r="SRS42" s="191"/>
      <c r="SRT42" s="191"/>
      <c r="SRU42" s="191"/>
      <c r="SRV42" s="191"/>
      <c r="SRW42" s="191"/>
      <c r="SRX42" s="191"/>
      <c r="SRY42" s="191"/>
      <c r="SRZ42" s="191"/>
      <c r="SSA42" s="191"/>
      <c r="SSB42" s="191"/>
      <c r="SSC42" s="191"/>
      <c r="SSD42" s="191"/>
      <c r="SSE42" s="191"/>
      <c r="SSF42" s="191"/>
      <c r="SSG42" s="191"/>
      <c r="SSH42" s="191"/>
      <c r="SSI42" s="191"/>
      <c r="SSJ42" s="191"/>
      <c r="SSK42" s="191"/>
      <c r="SSL42" s="191"/>
      <c r="SSM42" s="191"/>
      <c r="SSN42" s="191"/>
      <c r="SSO42" s="191"/>
      <c r="SSP42" s="191"/>
      <c r="SSQ42" s="191"/>
      <c r="SSR42" s="191"/>
      <c r="SSS42" s="191"/>
      <c r="SST42" s="191"/>
      <c r="SSU42" s="191"/>
      <c r="SSV42" s="191"/>
      <c r="SSW42" s="191"/>
      <c r="SSX42" s="191"/>
      <c r="SSY42" s="191"/>
      <c r="SSZ42" s="191"/>
      <c r="STA42" s="191"/>
      <c r="STB42" s="191"/>
      <c r="STC42" s="191"/>
      <c r="STD42" s="191"/>
      <c r="STE42" s="191"/>
      <c r="STF42" s="191"/>
      <c r="STG42" s="191"/>
      <c r="STH42" s="191"/>
      <c r="STI42" s="191"/>
      <c r="STJ42" s="191"/>
      <c r="STK42" s="191"/>
      <c r="STL42" s="191"/>
      <c r="STM42" s="191"/>
      <c r="STN42" s="191"/>
      <c r="STO42" s="191"/>
      <c r="STP42" s="191"/>
      <c r="STQ42" s="191"/>
      <c r="STR42" s="191"/>
      <c r="STS42" s="191"/>
      <c r="STT42" s="191"/>
      <c r="STU42" s="191"/>
      <c r="STV42" s="191"/>
      <c r="STW42" s="191"/>
      <c r="STX42" s="191"/>
      <c r="STY42" s="191"/>
      <c r="STZ42" s="191"/>
      <c r="SUA42" s="191"/>
      <c r="SUB42" s="191"/>
      <c r="SUC42" s="191"/>
      <c r="SUD42" s="191"/>
      <c r="SUE42" s="191"/>
      <c r="SUF42" s="191"/>
      <c r="SUG42" s="191"/>
      <c r="SUH42" s="191"/>
      <c r="SUI42" s="191"/>
      <c r="SUJ42" s="191"/>
      <c r="SUK42" s="191"/>
      <c r="SUL42" s="191"/>
      <c r="SUM42" s="191"/>
      <c r="SUN42" s="191"/>
      <c r="SUO42" s="191"/>
      <c r="SUP42" s="191"/>
      <c r="SUQ42" s="191"/>
      <c r="SUR42" s="191"/>
      <c r="SUS42" s="191"/>
      <c r="SUT42" s="191"/>
      <c r="SUU42" s="191"/>
      <c r="SUV42" s="191"/>
      <c r="SUW42" s="191"/>
      <c r="SUX42" s="191"/>
      <c r="SUY42" s="191"/>
      <c r="SUZ42" s="191"/>
      <c r="SVA42" s="191"/>
      <c r="SVB42" s="191"/>
      <c r="SVC42" s="191"/>
      <c r="SVD42" s="191"/>
      <c r="SVE42" s="191"/>
      <c r="SVF42" s="191"/>
      <c r="SVG42" s="191"/>
      <c r="SVH42" s="191"/>
      <c r="SVI42" s="191"/>
      <c r="SVJ42" s="191"/>
      <c r="SVK42" s="191"/>
      <c r="SVL42" s="191"/>
      <c r="SVM42" s="191"/>
      <c r="SVN42" s="191"/>
      <c r="SVO42" s="191"/>
      <c r="SVP42" s="191"/>
      <c r="SVQ42" s="191"/>
      <c r="SVR42" s="191"/>
      <c r="SVS42" s="191"/>
      <c r="SVT42" s="191"/>
      <c r="SVU42" s="191"/>
      <c r="SVV42" s="191"/>
      <c r="SVW42" s="191"/>
      <c r="SVX42" s="191"/>
      <c r="SVY42" s="191"/>
      <c r="SVZ42" s="191"/>
      <c r="SWA42" s="191"/>
      <c r="SWB42" s="191"/>
      <c r="SWC42" s="191"/>
      <c r="SWD42" s="191"/>
      <c r="SWE42" s="191"/>
      <c r="SWF42" s="191"/>
      <c r="SWG42" s="191"/>
      <c r="SWH42" s="191"/>
      <c r="SWI42" s="191"/>
      <c r="SWJ42" s="191"/>
      <c r="SWK42" s="191"/>
      <c r="SWL42" s="191"/>
      <c r="SWM42" s="191"/>
      <c r="SWN42" s="191"/>
      <c r="SWO42" s="191"/>
      <c r="SWP42" s="191"/>
      <c r="SWQ42" s="191"/>
      <c r="SWR42" s="191"/>
      <c r="SWS42" s="191"/>
      <c r="SWT42" s="191"/>
      <c r="SWU42" s="191"/>
      <c r="SWV42" s="191"/>
      <c r="SWW42" s="191"/>
      <c r="SWX42" s="191"/>
      <c r="SWY42" s="191"/>
      <c r="SWZ42" s="191"/>
      <c r="SXA42" s="191"/>
      <c r="SXB42" s="191"/>
      <c r="SXC42" s="191"/>
      <c r="SXD42" s="191"/>
      <c r="SXE42" s="191"/>
      <c r="SXF42" s="191"/>
      <c r="SXG42" s="191"/>
      <c r="SXH42" s="191"/>
      <c r="SXI42" s="191"/>
      <c r="SXJ42" s="191"/>
      <c r="SXK42" s="191"/>
      <c r="SXL42" s="191"/>
      <c r="SXM42" s="191"/>
      <c r="SXN42" s="191"/>
      <c r="SXO42" s="191"/>
      <c r="SXP42" s="191"/>
      <c r="SXQ42" s="191"/>
      <c r="SXR42" s="191"/>
      <c r="SXS42" s="191"/>
      <c r="SXT42" s="191"/>
      <c r="SXU42" s="191"/>
      <c r="SXV42" s="191"/>
      <c r="SXW42" s="191"/>
      <c r="SXX42" s="191"/>
      <c r="SXY42" s="191"/>
      <c r="SXZ42" s="191"/>
      <c r="SYA42" s="191"/>
      <c r="SYB42" s="191"/>
      <c r="SYC42" s="191"/>
      <c r="SYD42" s="191"/>
      <c r="SYE42" s="191"/>
      <c r="SYF42" s="191"/>
      <c r="SYG42" s="191"/>
      <c r="SYH42" s="191"/>
      <c r="SYI42" s="191"/>
      <c r="SYJ42" s="191"/>
      <c r="SYK42" s="191"/>
      <c r="SYL42" s="191"/>
      <c r="SYM42" s="191"/>
      <c r="SYN42" s="191"/>
      <c r="SYO42" s="191"/>
      <c r="SYP42" s="191"/>
      <c r="SYQ42" s="191"/>
      <c r="SYR42" s="191"/>
      <c r="SYS42" s="191"/>
      <c r="SYT42" s="191"/>
      <c r="SYU42" s="191"/>
      <c r="SYV42" s="191"/>
      <c r="SYW42" s="191"/>
      <c r="SYX42" s="191"/>
      <c r="SYY42" s="191"/>
      <c r="SYZ42" s="191"/>
      <c r="SZA42" s="191"/>
      <c r="SZB42" s="191"/>
      <c r="SZC42" s="191"/>
      <c r="SZD42" s="191"/>
      <c r="SZE42" s="191"/>
      <c r="SZF42" s="191"/>
      <c r="SZG42" s="191"/>
      <c r="SZH42" s="191"/>
      <c r="SZI42" s="191"/>
      <c r="SZJ42" s="191"/>
      <c r="SZK42" s="191"/>
      <c r="SZL42" s="191"/>
      <c r="SZM42" s="191"/>
      <c r="SZN42" s="191"/>
      <c r="SZO42" s="191"/>
      <c r="SZP42" s="191"/>
      <c r="SZQ42" s="191"/>
      <c r="SZR42" s="191"/>
      <c r="SZS42" s="191"/>
      <c r="SZT42" s="191"/>
      <c r="SZU42" s="191"/>
      <c r="SZV42" s="191"/>
      <c r="SZW42" s="191"/>
      <c r="SZX42" s="191"/>
      <c r="SZY42" s="191"/>
      <c r="SZZ42" s="191"/>
      <c r="TAA42" s="191"/>
      <c r="TAB42" s="191"/>
      <c r="TAC42" s="191"/>
      <c r="TAD42" s="191"/>
      <c r="TAE42" s="191"/>
      <c r="TAF42" s="191"/>
      <c r="TAG42" s="191"/>
      <c r="TAH42" s="191"/>
      <c r="TAI42" s="191"/>
      <c r="TAJ42" s="191"/>
      <c r="TAK42" s="191"/>
      <c r="TAL42" s="191"/>
      <c r="TAM42" s="191"/>
      <c r="TAN42" s="191"/>
      <c r="TAO42" s="191"/>
      <c r="TAP42" s="191"/>
      <c r="TAQ42" s="191"/>
      <c r="TAR42" s="191"/>
      <c r="TAS42" s="191"/>
      <c r="TAT42" s="191"/>
      <c r="TAU42" s="191"/>
      <c r="TAV42" s="191"/>
      <c r="TAW42" s="191"/>
      <c r="TAX42" s="191"/>
      <c r="TAY42" s="191"/>
      <c r="TAZ42" s="191"/>
      <c r="TBA42" s="191"/>
      <c r="TBB42" s="191"/>
      <c r="TBC42" s="191"/>
      <c r="TBD42" s="191"/>
      <c r="TBE42" s="191"/>
      <c r="TBF42" s="191"/>
      <c r="TBG42" s="191"/>
      <c r="TBH42" s="191"/>
      <c r="TBI42" s="191"/>
      <c r="TBJ42" s="191"/>
      <c r="TBK42" s="191"/>
      <c r="TBL42" s="191"/>
      <c r="TBM42" s="191"/>
      <c r="TBN42" s="191"/>
      <c r="TBO42" s="191"/>
      <c r="TBP42" s="191"/>
      <c r="TBQ42" s="191"/>
      <c r="TBR42" s="191"/>
      <c r="TBS42" s="191"/>
      <c r="TBT42" s="191"/>
      <c r="TBU42" s="191"/>
      <c r="TBV42" s="191"/>
      <c r="TBW42" s="191"/>
      <c r="TBX42" s="191"/>
      <c r="TBY42" s="191"/>
      <c r="TBZ42" s="191"/>
      <c r="TCA42" s="191"/>
      <c r="TCB42" s="191"/>
      <c r="TCC42" s="191"/>
      <c r="TCD42" s="191"/>
      <c r="TCE42" s="191"/>
      <c r="TCF42" s="191"/>
      <c r="TCG42" s="191"/>
      <c r="TCH42" s="191"/>
      <c r="TCI42" s="191"/>
      <c r="TCJ42" s="191"/>
      <c r="TCK42" s="191"/>
      <c r="TCL42" s="191"/>
      <c r="TCM42" s="191"/>
      <c r="TCN42" s="191"/>
      <c r="TCO42" s="191"/>
      <c r="TCP42" s="191"/>
      <c r="TCQ42" s="191"/>
      <c r="TCR42" s="191"/>
      <c r="TCS42" s="191"/>
      <c r="TCT42" s="191"/>
      <c r="TCU42" s="191"/>
      <c r="TCV42" s="191"/>
      <c r="TCW42" s="191"/>
      <c r="TCX42" s="191"/>
      <c r="TCY42" s="191"/>
      <c r="TCZ42" s="191"/>
      <c r="TDA42" s="191"/>
      <c r="TDB42" s="191"/>
      <c r="TDC42" s="191"/>
      <c r="TDD42" s="191"/>
      <c r="TDE42" s="191"/>
      <c r="TDF42" s="191"/>
      <c r="TDG42" s="191"/>
      <c r="TDH42" s="191"/>
      <c r="TDI42" s="191"/>
      <c r="TDJ42" s="191"/>
      <c r="TDK42" s="191"/>
      <c r="TDL42" s="191"/>
      <c r="TDM42" s="191"/>
      <c r="TDN42" s="191"/>
      <c r="TDO42" s="191"/>
      <c r="TDP42" s="191"/>
      <c r="TDQ42" s="191"/>
      <c r="TDR42" s="191"/>
      <c r="TDS42" s="191"/>
      <c r="TDT42" s="191"/>
      <c r="TDU42" s="191"/>
      <c r="TDV42" s="191"/>
      <c r="TDW42" s="191"/>
      <c r="TDX42" s="191"/>
      <c r="TDY42" s="191"/>
      <c r="TDZ42" s="191"/>
      <c r="TEA42" s="191"/>
      <c r="TEB42" s="191"/>
      <c r="TEC42" s="191"/>
      <c r="TED42" s="191"/>
      <c r="TEE42" s="191"/>
      <c r="TEF42" s="191"/>
      <c r="TEG42" s="191"/>
      <c r="TEH42" s="191"/>
      <c r="TEI42" s="191"/>
      <c r="TEJ42" s="191"/>
      <c r="TEK42" s="191"/>
      <c r="TEL42" s="191"/>
      <c r="TEM42" s="191"/>
      <c r="TEN42" s="191"/>
      <c r="TEO42" s="191"/>
      <c r="TEP42" s="191"/>
      <c r="TEQ42" s="191"/>
      <c r="TER42" s="191"/>
      <c r="TES42" s="191"/>
      <c r="TET42" s="191"/>
      <c r="TEU42" s="191"/>
      <c r="TEV42" s="191"/>
      <c r="TEW42" s="191"/>
      <c r="TEX42" s="191"/>
      <c r="TEY42" s="191"/>
      <c r="TEZ42" s="191"/>
      <c r="TFA42" s="191"/>
      <c r="TFB42" s="191"/>
      <c r="TFC42" s="191"/>
      <c r="TFD42" s="191"/>
      <c r="TFE42" s="191"/>
      <c r="TFF42" s="191"/>
      <c r="TFG42" s="191"/>
      <c r="TFH42" s="191"/>
      <c r="TFI42" s="191"/>
      <c r="TFJ42" s="191"/>
      <c r="TFK42" s="191"/>
      <c r="TFL42" s="191"/>
      <c r="TFM42" s="191"/>
      <c r="TFN42" s="191"/>
      <c r="TFO42" s="191"/>
      <c r="TFP42" s="191"/>
      <c r="TFQ42" s="191"/>
      <c r="TFR42" s="191"/>
      <c r="TFS42" s="191"/>
      <c r="TFT42" s="191"/>
      <c r="TFU42" s="191"/>
      <c r="TFV42" s="191"/>
      <c r="TFW42" s="191"/>
      <c r="TFX42" s="191"/>
      <c r="TFY42" s="191"/>
      <c r="TFZ42" s="191"/>
      <c r="TGA42" s="191"/>
      <c r="TGB42" s="191"/>
      <c r="TGC42" s="191"/>
      <c r="TGD42" s="191"/>
      <c r="TGE42" s="191"/>
      <c r="TGF42" s="191"/>
      <c r="TGG42" s="191"/>
      <c r="TGH42" s="191"/>
      <c r="TGI42" s="191"/>
      <c r="TGJ42" s="191"/>
      <c r="TGK42" s="191"/>
      <c r="TGL42" s="191"/>
      <c r="TGM42" s="191"/>
      <c r="TGN42" s="191"/>
      <c r="TGO42" s="191"/>
      <c r="TGP42" s="191"/>
      <c r="TGQ42" s="191"/>
      <c r="TGR42" s="191"/>
      <c r="TGS42" s="191"/>
      <c r="TGT42" s="191"/>
      <c r="TGU42" s="191"/>
      <c r="TGV42" s="191"/>
      <c r="TGW42" s="191"/>
      <c r="TGX42" s="191"/>
      <c r="TGY42" s="191"/>
      <c r="TGZ42" s="191"/>
      <c r="THA42" s="191"/>
      <c r="THB42" s="191"/>
      <c r="THC42" s="191"/>
      <c r="THD42" s="191"/>
      <c r="THE42" s="191"/>
      <c r="THF42" s="191"/>
      <c r="THG42" s="191"/>
      <c r="THH42" s="191"/>
      <c r="THI42" s="191"/>
      <c r="THJ42" s="191"/>
      <c r="THK42" s="191"/>
      <c r="THL42" s="191"/>
      <c r="THM42" s="191"/>
      <c r="THN42" s="191"/>
      <c r="THO42" s="191"/>
      <c r="THP42" s="191"/>
      <c r="THQ42" s="191"/>
      <c r="THR42" s="191"/>
      <c r="THS42" s="191"/>
      <c r="THT42" s="191"/>
      <c r="THU42" s="191"/>
      <c r="THV42" s="191"/>
      <c r="THW42" s="191"/>
      <c r="THX42" s="191"/>
      <c r="THY42" s="191"/>
      <c r="THZ42" s="191"/>
      <c r="TIA42" s="191"/>
      <c r="TIB42" s="191"/>
      <c r="TIC42" s="191"/>
      <c r="TID42" s="191"/>
      <c r="TIE42" s="191"/>
      <c r="TIF42" s="191"/>
      <c r="TIG42" s="191"/>
      <c r="TIH42" s="191"/>
      <c r="TII42" s="191"/>
      <c r="TIJ42" s="191"/>
      <c r="TIK42" s="191"/>
      <c r="TIL42" s="191"/>
      <c r="TIM42" s="191"/>
      <c r="TIN42" s="191"/>
      <c r="TIO42" s="191"/>
      <c r="TIP42" s="191"/>
      <c r="TIQ42" s="191"/>
      <c r="TIR42" s="191"/>
      <c r="TIS42" s="191"/>
      <c r="TIT42" s="191"/>
      <c r="TIU42" s="191"/>
      <c r="TIV42" s="191"/>
      <c r="TIW42" s="191"/>
      <c r="TIX42" s="191"/>
      <c r="TIY42" s="191"/>
      <c r="TIZ42" s="191"/>
      <c r="TJA42" s="191"/>
      <c r="TJB42" s="191"/>
      <c r="TJC42" s="191"/>
      <c r="TJD42" s="191"/>
      <c r="TJE42" s="191"/>
      <c r="TJF42" s="191"/>
      <c r="TJG42" s="191"/>
      <c r="TJH42" s="191"/>
      <c r="TJI42" s="191"/>
      <c r="TJJ42" s="191"/>
      <c r="TJK42" s="191"/>
      <c r="TJL42" s="191"/>
      <c r="TJM42" s="191"/>
      <c r="TJN42" s="191"/>
      <c r="TJO42" s="191"/>
      <c r="TJP42" s="191"/>
      <c r="TJQ42" s="191"/>
      <c r="TJR42" s="191"/>
      <c r="TJS42" s="191"/>
      <c r="TJT42" s="191"/>
      <c r="TJU42" s="191"/>
      <c r="TJV42" s="191"/>
      <c r="TJW42" s="191"/>
      <c r="TJX42" s="191"/>
      <c r="TJY42" s="191"/>
      <c r="TJZ42" s="191"/>
      <c r="TKA42" s="191"/>
      <c r="TKB42" s="191"/>
      <c r="TKC42" s="191"/>
      <c r="TKD42" s="191"/>
      <c r="TKE42" s="191"/>
      <c r="TKF42" s="191"/>
      <c r="TKG42" s="191"/>
      <c r="TKH42" s="191"/>
      <c r="TKI42" s="191"/>
      <c r="TKJ42" s="191"/>
      <c r="TKK42" s="191"/>
      <c r="TKL42" s="191"/>
      <c r="TKM42" s="191"/>
      <c r="TKN42" s="191"/>
      <c r="TKO42" s="191"/>
      <c r="TKP42" s="191"/>
      <c r="TKQ42" s="191"/>
      <c r="TKR42" s="191"/>
      <c r="TKS42" s="191"/>
      <c r="TKT42" s="191"/>
      <c r="TKU42" s="191"/>
      <c r="TKV42" s="191"/>
      <c r="TKW42" s="191"/>
      <c r="TKX42" s="191"/>
      <c r="TKY42" s="191"/>
      <c r="TKZ42" s="191"/>
      <c r="TLA42" s="191"/>
      <c r="TLB42" s="191"/>
      <c r="TLC42" s="191"/>
      <c r="TLD42" s="191"/>
      <c r="TLE42" s="191"/>
      <c r="TLF42" s="191"/>
      <c r="TLG42" s="191"/>
      <c r="TLH42" s="191"/>
      <c r="TLI42" s="191"/>
      <c r="TLJ42" s="191"/>
      <c r="TLK42" s="191"/>
      <c r="TLL42" s="191"/>
      <c r="TLM42" s="191"/>
      <c r="TLN42" s="191"/>
      <c r="TLO42" s="191"/>
      <c r="TLP42" s="191"/>
      <c r="TLQ42" s="191"/>
      <c r="TLR42" s="191"/>
      <c r="TLS42" s="191"/>
      <c r="TLT42" s="191"/>
      <c r="TLU42" s="191"/>
      <c r="TLV42" s="191"/>
      <c r="TLW42" s="191"/>
      <c r="TLX42" s="191"/>
      <c r="TLY42" s="191"/>
      <c r="TLZ42" s="191"/>
      <c r="TMA42" s="191"/>
      <c r="TMB42" s="191"/>
      <c r="TMC42" s="191"/>
      <c r="TMD42" s="191"/>
      <c r="TME42" s="191"/>
      <c r="TMF42" s="191"/>
      <c r="TMG42" s="191"/>
      <c r="TMH42" s="191"/>
      <c r="TMI42" s="191"/>
      <c r="TMJ42" s="191"/>
      <c r="TMK42" s="191"/>
      <c r="TML42" s="191"/>
      <c r="TMM42" s="191"/>
      <c r="TMN42" s="191"/>
      <c r="TMO42" s="191"/>
      <c r="TMP42" s="191"/>
      <c r="TMQ42" s="191"/>
      <c r="TMR42" s="191"/>
      <c r="TMS42" s="191"/>
      <c r="TMT42" s="191"/>
      <c r="TMU42" s="191"/>
      <c r="TMV42" s="191"/>
      <c r="TMW42" s="191"/>
      <c r="TMX42" s="191"/>
      <c r="TMY42" s="191"/>
      <c r="TMZ42" s="191"/>
      <c r="TNA42" s="191"/>
      <c r="TNB42" s="191"/>
      <c r="TNC42" s="191"/>
      <c r="TND42" s="191"/>
      <c r="TNE42" s="191"/>
      <c r="TNF42" s="191"/>
      <c r="TNG42" s="191"/>
      <c r="TNH42" s="191"/>
      <c r="TNI42" s="191"/>
      <c r="TNJ42" s="191"/>
      <c r="TNK42" s="191"/>
      <c r="TNL42" s="191"/>
      <c r="TNM42" s="191"/>
      <c r="TNN42" s="191"/>
      <c r="TNO42" s="191"/>
      <c r="TNP42" s="191"/>
      <c r="TNQ42" s="191"/>
      <c r="TNR42" s="191"/>
      <c r="TNS42" s="191"/>
      <c r="TNT42" s="191"/>
      <c r="TNU42" s="191"/>
      <c r="TNV42" s="191"/>
      <c r="TNW42" s="191"/>
      <c r="TNX42" s="191"/>
      <c r="TNY42" s="191"/>
      <c r="TNZ42" s="191"/>
      <c r="TOA42" s="191"/>
      <c r="TOB42" s="191"/>
      <c r="TOC42" s="191"/>
      <c r="TOD42" s="191"/>
      <c r="TOE42" s="191"/>
      <c r="TOF42" s="191"/>
      <c r="TOG42" s="191"/>
      <c r="TOH42" s="191"/>
      <c r="TOI42" s="191"/>
      <c r="TOJ42" s="191"/>
      <c r="TOK42" s="191"/>
      <c r="TOL42" s="191"/>
      <c r="TOM42" s="191"/>
      <c r="TON42" s="191"/>
      <c r="TOO42" s="191"/>
      <c r="TOP42" s="191"/>
      <c r="TOQ42" s="191"/>
      <c r="TOR42" s="191"/>
      <c r="TOS42" s="191"/>
      <c r="TOT42" s="191"/>
      <c r="TOU42" s="191"/>
      <c r="TOV42" s="191"/>
      <c r="TOW42" s="191"/>
      <c r="TOX42" s="191"/>
      <c r="TOY42" s="191"/>
      <c r="TOZ42" s="191"/>
      <c r="TPA42" s="191"/>
      <c r="TPB42" s="191"/>
      <c r="TPC42" s="191"/>
      <c r="TPD42" s="191"/>
      <c r="TPE42" s="191"/>
      <c r="TPF42" s="191"/>
      <c r="TPG42" s="191"/>
      <c r="TPH42" s="191"/>
      <c r="TPI42" s="191"/>
      <c r="TPJ42" s="191"/>
      <c r="TPK42" s="191"/>
      <c r="TPL42" s="191"/>
      <c r="TPM42" s="191"/>
      <c r="TPN42" s="191"/>
      <c r="TPO42" s="191"/>
      <c r="TPP42" s="191"/>
      <c r="TPQ42" s="191"/>
      <c r="TPR42" s="191"/>
      <c r="TPS42" s="191"/>
      <c r="TPT42" s="191"/>
      <c r="TPU42" s="191"/>
      <c r="TPV42" s="191"/>
      <c r="TPW42" s="191"/>
      <c r="TPX42" s="191"/>
      <c r="TPY42" s="191"/>
      <c r="TPZ42" s="191"/>
      <c r="TQA42" s="191"/>
      <c r="TQB42" s="191"/>
      <c r="TQC42" s="191"/>
      <c r="TQD42" s="191"/>
      <c r="TQE42" s="191"/>
      <c r="TQF42" s="191"/>
      <c r="TQG42" s="191"/>
      <c r="TQH42" s="191"/>
      <c r="TQI42" s="191"/>
      <c r="TQJ42" s="191"/>
      <c r="TQK42" s="191"/>
      <c r="TQL42" s="191"/>
      <c r="TQM42" s="191"/>
      <c r="TQN42" s="191"/>
      <c r="TQO42" s="191"/>
      <c r="TQP42" s="191"/>
      <c r="TQQ42" s="191"/>
      <c r="TQR42" s="191"/>
      <c r="TQS42" s="191"/>
      <c r="TQT42" s="191"/>
      <c r="TQU42" s="191"/>
      <c r="TQV42" s="191"/>
      <c r="TQW42" s="191"/>
      <c r="TQX42" s="191"/>
      <c r="TQY42" s="191"/>
      <c r="TQZ42" s="191"/>
      <c r="TRA42" s="191"/>
      <c r="TRB42" s="191"/>
      <c r="TRC42" s="191"/>
      <c r="TRD42" s="191"/>
      <c r="TRE42" s="191"/>
      <c r="TRF42" s="191"/>
      <c r="TRG42" s="191"/>
      <c r="TRH42" s="191"/>
      <c r="TRI42" s="191"/>
      <c r="TRJ42" s="191"/>
      <c r="TRK42" s="191"/>
      <c r="TRL42" s="191"/>
      <c r="TRM42" s="191"/>
      <c r="TRN42" s="191"/>
      <c r="TRO42" s="191"/>
      <c r="TRP42" s="191"/>
      <c r="TRQ42" s="191"/>
      <c r="TRR42" s="191"/>
      <c r="TRS42" s="191"/>
      <c r="TRT42" s="191"/>
      <c r="TRU42" s="191"/>
      <c r="TRV42" s="191"/>
      <c r="TRW42" s="191"/>
      <c r="TRX42" s="191"/>
      <c r="TRY42" s="191"/>
      <c r="TRZ42" s="191"/>
      <c r="TSA42" s="191"/>
      <c r="TSB42" s="191"/>
      <c r="TSC42" s="191"/>
      <c r="TSD42" s="191"/>
      <c r="TSE42" s="191"/>
      <c r="TSF42" s="191"/>
      <c r="TSG42" s="191"/>
      <c r="TSH42" s="191"/>
      <c r="TSI42" s="191"/>
      <c r="TSJ42" s="191"/>
      <c r="TSK42" s="191"/>
      <c r="TSL42" s="191"/>
      <c r="TSM42" s="191"/>
      <c r="TSN42" s="191"/>
      <c r="TSO42" s="191"/>
      <c r="TSP42" s="191"/>
      <c r="TSQ42" s="191"/>
      <c r="TSR42" s="191"/>
      <c r="TSS42" s="191"/>
      <c r="TST42" s="191"/>
      <c r="TSU42" s="191"/>
      <c r="TSV42" s="191"/>
      <c r="TSW42" s="191"/>
      <c r="TSX42" s="191"/>
      <c r="TSY42" s="191"/>
      <c r="TSZ42" s="191"/>
      <c r="TTA42" s="191"/>
      <c r="TTB42" s="191"/>
      <c r="TTC42" s="191"/>
      <c r="TTD42" s="191"/>
      <c r="TTE42" s="191"/>
      <c r="TTF42" s="191"/>
      <c r="TTG42" s="191"/>
      <c r="TTH42" s="191"/>
      <c r="TTI42" s="191"/>
      <c r="TTJ42" s="191"/>
      <c r="TTK42" s="191"/>
      <c r="TTL42" s="191"/>
      <c r="TTM42" s="191"/>
      <c r="TTN42" s="191"/>
      <c r="TTO42" s="191"/>
      <c r="TTP42" s="191"/>
      <c r="TTQ42" s="191"/>
      <c r="TTR42" s="191"/>
      <c r="TTS42" s="191"/>
      <c r="TTT42" s="191"/>
      <c r="TTU42" s="191"/>
      <c r="TTV42" s="191"/>
      <c r="TTW42" s="191"/>
      <c r="TTX42" s="191"/>
      <c r="TTY42" s="191"/>
      <c r="TTZ42" s="191"/>
      <c r="TUA42" s="191"/>
      <c r="TUB42" s="191"/>
      <c r="TUC42" s="191"/>
      <c r="TUD42" s="191"/>
      <c r="TUE42" s="191"/>
      <c r="TUF42" s="191"/>
      <c r="TUG42" s="191"/>
      <c r="TUH42" s="191"/>
      <c r="TUI42" s="191"/>
      <c r="TUJ42" s="191"/>
      <c r="TUK42" s="191"/>
      <c r="TUL42" s="191"/>
      <c r="TUM42" s="191"/>
      <c r="TUN42" s="191"/>
      <c r="TUO42" s="191"/>
      <c r="TUP42" s="191"/>
      <c r="TUQ42" s="191"/>
      <c r="TUR42" s="191"/>
      <c r="TUS42" s="191"/>
      <c r="TUT42" s="191"/>
      <c r="TUU42" s="191"/>
      <c r="TUV42" s="191"/>
      <c r="TUW42" s="191"/>
      <c r="TUX42" s="191"/>
      <c r="TUY42" s="191"/>
      <c r="TUZ42" s="191"/>
      <c r="TVA42" s="191"/>
      <c r="TVB42" s="191"/>
      <c r="TVC42" s="191"/>
      <c r="TVD42" s="191"/>
      <c r="TVE42" s="191"/>
      <c r="TVF42" s="191"/>
      <c r="TVG42" s="191"/>
      <c r="TVH42" s="191"/>
      <c r="TVI42" s="191"/>
      <c r="TVJ42" s="191"/>
      <c r="TVK42" s="191"/>
      <c r="TVL42" s="191"/>
      <c r="TVM42" s="191"/>
      <c r="TVN42" s="191"/>
      <c r="TVO42" s="191"/>
      <c r="TVP42" s="191"/>
      <c r="TVQ42" s="191"/>
      <c r="TVR42" s="191"/>
      <c r="TVS42" s="191"/>
      <c r="TVT42" s="191"/>
      <c r="TVU42" s="191"/>
      <c r="TVV42" s="191"/>
      <c r="TVW42" s="191"/>
      <c r="TVX42" s="191"/>
      <c r="TVY42" s="191"/>
      <c r="TVZ42" s="191"/>
      <c r="TWA42" s="191"/>
      <c r="TWB42" s="191"/>
      <c r="TWC42" s="191"/>
      <c r="TWD42" s="191"/>
      <c r="TWE42" s="191"/>
      <c r="TWF42" s="191"/>
      <c r="TWG42" s="191"/>
      <c r="TWH42" s="191"/>
      <c r="TWI42" s="191"/>
      <c r="TWJ42" s="191"/>
      <c r="TWK42" s="191"/>
      <c r="TWL42" s="191"/>
      <c r="TWM42" s="191"/>
      <c r="TWN42" s="191"/>
      <c r="TWO42" s="191"/>
      <c r="TWP42" s="191"/>
      <c r="TWQ42" s="191"/>
      <c r="TWR42" s="191"/>
      <c r="TWS42" s="191"/>
      <c r="TWT42" s="191"/>
      <c r="TWU42" s="191"/>
      <c r="TWV42" s="191"/>
      <c r="TWW42" s="191"/>
      <c r="TWX42" s="191"/>
      <c r="TWY42" s="191"/>
      <c r="TWZ42" s="191"/>
      <c r="TXA42" s="191"/>
      <c r="TXB42" s="191"/>
      <c r="TXC42" s="191"/>
      <c r="TXD42" s="191"/>
      <c r="TXE42" s="191"/>
      <c r="TXF42" s="191"/>
      <c r="TXG42" s="191"/>
      <c r="TXH42" s="191"/>
      <c r="TXI42" s="191"/>
      <c r="TXJ42" s="191"/>
      <c r="TXK42" s="191"/>
      <c r="TXL42" s="191"/>
      <c r="TXM42" s="191"/>
      <c r="TXN42" s="191"/>
      <c r="TXO42" s="191"/>
      <c r="TXP42" s="191"/>
      <c r="TXQ42" s="191"/>
      <c r="TXR42" s="191"/>
      <c r="TXS42" s="191"/>
      <c r="TXT42" s="191"/>
      <c r="TXU42" s="191"/>
      <c r="TXV42" s="191"/>
      <c r="TXW42" s="191"/>
      <c r="TXX42" s="191"/>
      <c r="TXY42" s="191"/>
      <c r="TXZ42" s="191"/>
      <c r="TYA42" s="191"/>
      <c r="TYB42" s="191"/>
      <c r="TYC42" s="191"/>
      <c r="TYD42" s="191"/>
      <c r="TYE42" s="191"/>
      <c r="TYF42" s="191"/>
      <c r="TYG42" s="191"/>
      <c r="TYH42" s="191"/>
      <c r="TYI42" s="191"/>
      <c r="TYJ42" s="191"/>
      <c r="TYK42" s="191"/>
      <c r="TYL42" s="191"/>
      <c r="TYM42" s="191"/>
      <c r="TYN42" s="191"/>
      <c r="TYO42" s="191"/>
      <c r="TYP42" s="191"/>
      <c r="TYQ42" s="191"/>
      <c r="TYR42" s="191"/>
      <c r="TYS42" s="191"/>
      <c r="TYT42" s="191"/>
      <c r="TYU42" s="191"/>
      <c r="TYV42" s="191"/>
      <c r="TYW42" s="191"/>
      <c r="TYX42" s="191"/>
      <c r="TYY42" s="191"/>
      <c r="TYZ42" s="191"/>
      <c r="TZA42" s="191"/>
      <c r="TZB42" s="191"/>
      <c r="TZC42" s="191"/>
      <c r="TZD42" s="191"/>
      <c r="TZE42" s="191"/>
      <c r="TZF42" s="191"/>
      <c r="TZG42" s="191"/>
      <c r="TZH42" s="191"/>
      <c r="TZI42" s="191"/>
      <c r="TZJ42" s="191"/>
      <c r="TZK42" s="191"/>
      <c r="TZL42" s="191"/>
      <c r="TZM42" s="191"/>
      <c r="TZN42" s="191"/>
      <c r="TZO42" s="191"/>
      <c r="TZP42" s="191"/>
      <c r="TZQ42" s="191"/>
      <c r="TZR42" s="191"/>
      <c r="TZS42" s="191"/>
      <c r="TZT42" s="191"/>
      <c r="TZU42" s="191"/>
      <c r="TZV42" s="191"/>
      <c r="TZW42" s="191"/>
      <c r="TZX42" s="191"/>
      <c r="TZY42" s="191"/>
      <c r="TZZ42" s="191"/>
      <c r="UAA42" s="191"/>
      <c r="UAB42" s="191"/>
      <c r="UAC42" s="191"/>
      <c r="UAD42" s="191"/>
      <c r="UAE42" s="191"/>
      <c r="UAF42" s="191"/>
      <c r="UAG42" s="191"/>
      <c r="UAH42" s="191"/>
      <c r="UAI42" s="191"/>
      <c r="UAJ42" s="191"/>
      <c r="UAK42" s="191"/>
      <c r="UAL42" s="191"/>
      <c r="UAM42" s="191"/>
      <c r="UAN42" s="191"/>
      <c r="UAO42" s="191"/>
      <c r="UAP42" s="191"/>
      <c r="UAQ42" s="191"/>
      <c r="UAR42" s="191"/>
      <c r="UAS42" s="191"/>
      <c r="UAT42" s="191"/>
      <c r="UAU42" s="191"/>
      <c r="UAV42" s="191"/>
      <c r="UAW42" s="191"/>
      <c r="UAX42" s="191"/>
      <c r="UAY42" s="191"/>
      <c r="UAZ42" s="191"/>
      <c r="UBA42" s="191"/>
      <c r="UBB42" s="191"/>
      <c r="UBC42" s="191"/>
      <c r="UBD42" s="191"/>
      <c r="UBE42" s="191"/>
      <c r="UBF42" s="191"/>
      <c r="UBG42" s="191"/>
      <c r="UBH42" s="191"/>
      <c r="UBI42" s="191"/>
      <c r="UBJ42" s="191"/>
      <c r="UBK42" s="191"/>
      <c r="UBL42" s="191"/>
      <c r="UBM42" s="191"/>
      <c r="UBN42" s="191"/>
      <c r="UBO42" s="191"/>
      <c r="UBP42" s="191"/>
      <c r="UBQ42" s="191"/>
      <c r="UBR42" s="191"/>
      <c r="UBS42" s="191"/>
      <c r="UBT42" s="191"/>
      <c r="UBU42" s="191"/>
      <c r="UBV42" s="191"/>
      <c r="UBW42" s="191"/>
      <c r="UBX42" s="191"/>
      <c r="UBY42" s="191"/>
      <c r="UBZ42" s="191"/>
      <c r="UCA42" s="191"/>
      <c r="UCB42" s="191"/>
      <c r="UCC42" s="191"/>
      <c r="UCD42" s="191"/>
      <c r="UCE42" s="191"/>
      <c r="UCF42" s="191"/>
      <c r="UCG42" s="191"/>
      <c r="UCH42" s="191"/>
      <c r="UCI42" s="191"/>
      <c r="UCJ42" s="191"/>
      <c r="UCK42" s="191"/>
      <c r="UCL42" s="191"/>
      <c r="UCM42" s="191"/>
      <c r="UCN42" s="191"/>
      <c r="UCO42" s="191"/>
      <c r="UCP42" s="191"/>
      <c r="UCQ42" s="191"/>
      <c r="UCR42" s="191"/>
      <c r="UCS42" s="191"/>
      <c r="UCT42" s="191"/>
      <c r="UCU42" s="191"/>
      <c r="UCV42" s="191"/>
      <c r="UCW42" s="191"/>
      <c r="UCX42" s="191"/>
      <c r="UCY42" s="191"/>
      <c r="UCZ42" s="191"/>
      <c r="UDA42" s="191"/>
      <c r="UDB42" s="191"/>
      <c r="UDC42" s="191"/>
      <c r="UDD42" s="191"/>
      <c r="UDE42" s="191"/>
      <c r="UDF42" s="191"/>
      <c r="UDG42" s="191"/>
      <c r="UDH42" s="191"/>
      <c r="UDI42" s="191"/>
      <c r="UDJ42" s="191"/>
      <c r="UDK42" s="191"/>
      <c r="UDL42" s="191"/>
      <c r="UDM42" s="191"/>
      <c r="UDN42" s="191"/>
      <c r="UDO42" s="191"/>
      <c r="UDP42" s="191"/>
      <c r="UDQ42" s="191"/>
      <c r="UDR42" s="191"/>
      <c r="UDS42" s="191"/>
      <c r="UDT42" s="191"/>
      <c r="UDU42" s="191"/>
      <c r="UDV42" s="191"/>
      <c r="UDW42" s="191"/>
      <c r="UDX42" s="191"/>
      <c r="UDY42" s="191"/>
      <c r="UDZ42" s="191"/>
      <c r="UEA42" s="191"/>
      <c r="UEB42" s="191"/>
      <c r="UEC42" s="191"/>
      <c r="UED42" s="191"/>
      <c r="UEE42" s="191"/>
      <c r="UEF42" s="191"/>
      <c r="UEG42" s="191"/>
      <c r="UEH42" s="191"/>
      <c r="UEI42" s="191"/>
      <c r="UEJ42" s="191"/>
      <c r="UEK42" s="191"/>
      <c r="UEL42" s="191"/>
      <c r="UEM42" s="191"/>
      <c r="UEN42" s="191"/>
      <c r="UEO42" s="191"/>
      <c r="UEP42" s="191"/>
      <c r="UEQ42" s="191"/>
      <c r="UER42" s="191"/>
      <c r="UES42" s="191"/>
      <c r="UET42" s="191"/>
      <c r="UEU42" s="191"/>
      <c r="UEV42" s="191"/>
      <c r="UEW42" s="191"/>
      <c r="UEX42" s="191"/>
      <c r="UEY42" s="191"/>
      <c r="UEZ42" s="191"/>
      <c r="UFA42" s="191"/>
      <c r="UFB42" s="191"/>
      <c r="UFC42" s="191"/>
      <c r="UFD42" s="191"/>
      <c r="UFE42" s="191"/>
      <c r="UFF42" s="191"/>
      <c r="UFG42" s="191"/>
      <c r="UFH42" s="191"/>
      <c r="UFI42" s="191"/>
      <c r="UFJ42" s="191"/>
      <c r="UFK42" s="191"/>
      <c r="UFL42" s="191"/>
      <c r="UFM42" s="191"/>
      <c r="UFN42" s="191"/>
      <c r="UFO42" s="191"/>
      <c r="UFP42" s="191"/>
      <c r="UFQ42" s="191"/>
      <c r="UFR42" s="191"/>
      <c r="UFS42" s="191"/>
      <c r="UFT42" s="191"/>
      <c r="UFU42" s="191"/>
      <c r="UFV42" s="191"/>
      <c r="UFW42" s="191"/>
      <c r="UFX42" s="191"/>
      <c r="UFY42" s="191"/>
      <c r="UFZ42" s="191"/>
      <c r="UGA42" s="191"/>
      <c r="UGB42" s="191"/>
      <c r="UGC42" s="191"/>
      <c r="UGD42" s="191"/>
      <c r="UGE42" s="191"/>
      <c r="UGF42" s="191"/>
      <c r="UGG42" s="191"/>
      <c r="UGH42" s="191"/>
      <c r="UGI42" s="191"/>
      <c r="UGJ42" s="191"/>
      <c r="UGK42" s="191"/>
      <c r="UGL42" s="191"/>
      <c r="UGM42" s="191"/>
      <c r="UGN42" s="191"/>
      <c r="UGO42" s="191"/>
      <c r="UGP42" s="191"/>
      <c r="UGQ42" s="191"/>
      <c r="UGR42" s="191"/>
      <c r="UGS42" s="191"/>
      <c r="UGT42" s="191"/>
      <c r="UGU42" s="191"/>
      <c r="UGV42" s="191"/>
      <c r="UGW42" s="191"/>
      <c r="UGX42" s="191"/>
      <c r="UGY42" s="191"/>
      <c r="UGZ42" s="191"/>
      <c r="UHA42" s="191"/>
      <c r="UHB42" s="191"/>
      <c r="UHC42" s="191"/>
      <c r="UHD42" s="191"/>
      <c r="UHE42" s="191"/>
      <c r="UHF42" s="191"/>
      <c r="UHG42" s="191"/>
      <c r="UHH42" s="191"/>
      <c r="UHI42" s="191"/>
      <c r="UHJ42" s="191"/>
      <c r="UHK42" s="191"/>
      <c r="UHL42" s="191"/>
      <c r="UHM42" s="191"/>
      <c r="UHN42" s="191"/>
      <c r="UHO42" s="191"/>
      <c r="UHP42" s="191"/>
      <c r="UHQ42" s="191"/>
      <c r="UHR42" s="191"/>
      <c r="UHS42" s="191"/>
      <c r="UHT42" s="191"/>
      <c r="UHU42" s="191"/>
      <c r="UHV42" s="191"/>
      <c r="UHW42" s="191"/>
      <c r="UHX42" s="191"/>
      <c r="UHY42" s="191"/>
      <c r="UHZ42" s="191"/>
      <c r="UIA42" s="191"/>
      <c r="UIB42" s="191"/>
      <c r="UIC42" s="191"/>
      <c r="UID42" s="191"/>
      <c r="UIE42" s="191"/>
      <c r="UIF42" s="191"/>
      <c r="UIG42" s="191"/>
      <c r="UIH42" s="191"/>
      <c r="UII42" s="191"/>
      <c r="UIJ42" s="191"/>
      <c r="UIK42" s="191"/>
      <c r="UIL42" s="191"/>
      <c r="UIM42" s="191"/>
      <c r="UIN42" s="191"/>
      <c r="UIO42" s="191"/>
      <c r="UIP42" s="191"/>
      <c r="UIQ42" s="191"/>
      <c r="UIR42" s="191"/>
      <c r="UIS42" s="191"/>
      <c r="UIT42" s="191"/>
      <c r="UIU42" s="191"/>
      <c r="UIV42" s="191"/>
      <c r="UIW42" s="191"/>
      <c r="UIX42" s="191"/>
      <c r="UIY42" s="191"/>
      <c r="UIZ42" s="191"/>
      <c r="UJA42" s="191"/>
      <c r="UJB42" s="191"/>
      <c r="UJC42" s="191"/>
      <c r="UJD42" s="191"/>
      <c r="UJE42" s="191"/>
      <c r="UJF42" s="191"/>
      <c r="UJG42" s="191"/>
      <c r="UJH42" s="191"/>
      <c r="UJI42" s="191"/>
      <c r="UJJ42" s="191"/>
      <c r="UJK42" s="191"/>
      <c r="UJL42" s="191"/>
      <c r="UJM42" s="191"/>
      <c r="UJN42" s="191"/>
      <c r="UJO42" s="191"/>
      <c r="UJP42" s="191"/>
      <c r="UJQ42" s="191"/>
      <c r="UJR42" s="191"/>
      <c r="UJS42" s="191"/>
      <c r="UJT42" s="191"/>
      <c r="UJU42" s="191"/>
      <c r="UJV42" s="191"/>
      <c r="UJW42" s="191"/>
      <c r="UJX42" s="191"/>
      <c r="UJY42" s="191"/>
      <c r="UJZ42" s="191"/>
      <c r="UKA42" s="191"/>
      <c r="UKB42" s="191"/>
      <c r="UKC42" s="191"/>
      <c r="UKD42" s="191"/>
      <c r="UKE42" s="191"/>
      <c r="UKF42" s="191"/>
      <c r="UKG42" s="191"/>
      <c r="UKH42" s="191"/>
      <c r="UKI42" s="191"/>
      <c r="UKJ42" s="191"/>
      <c r="UKK42" s="191"/>
      <c r="UKL42" s="191"/>
      <c r="UKM42" s="191"/>
      <c r="UKN42" s="191"/>
      <c r="UKO42" s="191"/>
      <c r="UKP42" s="191"/>
      <c r="UKQ42" s="191"/>
      <c r="UKR42" s="191"/>
      <c r="UKS42" s="191"/>
      <c r="UKT42" s="191"/>
      <c r="UKU42" s="191"/>
      <c r="UKV42" s="191"/>
      <c r="UKW42" s="191"/>
      <c r="UKX42" s="191"/>
      <c r="UKY42" s="191"/>
      <c r="UKZ42" s="191"/>
      <c r="ULA42" s="191"/>
      <c r="ULB42" s="191"/>
      <c r="ULC42" s="191"/>
      <c r="ULD42" s="191"/>
      <c r="ULE42" s="191"/>
      <c r="ULF42" s="191"/>
      <c r="ULG42" s="191"/>
      <c r="ULH42" s="191"/>
      <c r="ULI42" s="191"/>
      <c r="ULJ42" s="191"/>
      <c r="ULK42" s="191"/>
      <c r="ULL42" s="191"/>
      <c r="ULM42" s="191"/>
      <c r="ULN42" s="191"/>
      <c r="ULO42" s="191"/>
      <c r="ULP42" s="191"/>
      <c r="ULQ42" s="191"/>
      <c r="ULR42" s="191"/>
      <c r="ULS42" s="191"/>
      <c r="ULT42" s="191"/>
      <c r="ULU42" s="191"/>
      <c r="ULV42" s="191"/>
      <c r="ULW42" s="191"/>
      <c r="ULX42" s="191"/>
      <c r="ULY42" s="191"/>
      <c r="ULZ42" s="191"/>
      <c r="UMA42" s="191"/>
      <c r="UMB42" s="191"/>
      <c r="UMC42" s="191"/>
      <c r="UMD42" s="191"/>
      <c r="UME42" s="191"/>
      <c r="UMF42" s="191"/>
      <c r="UMG42" s="191"/>
      <c r="UMH42" s="191"/>
      <c r="UMI42" s="191"/>
      <c r="UMJ42" s="191"/>
      <c r="UMK42" s="191"/>
      <c r="UML42" s="191"/>
      <c r="UMM42" s="191"/>
      <c r="UMN42" s="191"/>
      <c r="UMO42" s="191"/>
      <c r="UMP42" s="191"/>
      <c r="UMQ42" s="191"/>
      <c r="UMR42" s="191"/>
      <c r="UMS42" s="191"/>
      <c r="UMT42" s="191"/>
      <c r="UMU42" s="191"/>
      <c r="UMV42" s="191"/>
      <c r="UMW42" s="191"/>
      <c r="UMX42" s="191"/>
      <c r="UMY42" s="191"/>
      <c r="UMZ42" s="191"/>
      <c r="UNA42" s="191"/>
      <c r="UNB42" s="191"/>
      <c r="UNC42" s="191"/>
      <c r="UND42" s="191"/>
      <c r="UNE42" s="191"/>
      <c r="UNF42" s="191"/>
      <c r="UNG42" s="191"/>
      <c r="UNH42" s="191"/>
      <c r="UNI42" s="191"/>
      <c r="UNJ42" s="191"/>
      <c r="UNK42" s="191"/>
      <c r="UNL42" s="191"/>
      <c r="UNM42" s="191"/>
      <c r="UNN42" s="191"/>
      <c r="UNO42" s="191"/>
      <c r="UNP42" s="191"/>
      <c r="UNQ42" s="191"/>
      <c r="UNR42" s="191"/>
      <c r="UNS42" s="191"/>
      <c r="UNT42" s="191"/>
      <c r="UNU42" s="191"/>
      <c r="UNV42" s="191"/>
      <c r="UNW42" s="191"/>
      <c r="UNX42" s="191"/>
      <c r="UNY42" s="191"/>
      <c r="UNZ42" s="191"/>
      <c r="UOA42" s="191"/>
      <c r="UOB42" s="191"/>
      <c r="UOC42" s="191"/>
      <c r="UOD42" s="191"/>
      <c r="UOE42" s="191"/>
      <c r="UOF42" s="191"/>
      <c r="UOG42" s="191"/>
      <c r="UOH42" s="191"/>
      <c r="UOI42" s="191"/>
      <c r="UOJ42" s="191"/>
      <c r="UOK42" s="191"/>
      <c r="UOL42" s="191"/>
      <c r="UOM42" s="191"/>
      <c r="UON42" s="191"/>
      <c r="UOO42" s="191"/>
      <c r="UOP42" s="191"/>
      <c r="UOQ42" s="191"/>
      <c r="UOR42" s="191"/>
      <c r="UOS42" s="191"/>
      <c r="UOT42" s="191"/>
      <c r="UOU42" s="191"/>
      <c r="UOV42" s="191"/>
      <c r="UOW42" s="191"/>
      <c r="UOX42" s="191"/>
      <c r="UOY42" s="191"/>
      <c r="UOZ42" s="191"/>
      <c r="UPA42" s="191"/>
      <c r="UPB42" s="191"/>
      <c r="UPC42" s="191"/>
      <c r="UPD42" s="191"/>
      <c r="UPE42" s="191"/>
      <c r="UPF42" s="191"/>
      <c r="UPG42" s="191"/>
      <c r="UPH42" s="191"/>
      <c r="UPI42" s="191"/>
      <c r="UPJ42" s="191"/>
      <c r="UPK42" s="191"/>
      <c r="UPL42" s="191"/>
      <c r="UPM42" s="191"/>
      <c r="UPN42" s="191"/>
      <c r="UPO42" s="191"/>
      <c r="UPP42" s="191"/>
      <c r="UPQ42" s="191"/>
      <c r="UPR42" s="191"/>
      <c r="UPS42" s="191"/>
      <c r="UPT42" s="191"/>
      <c r="UPU42" s="191"/>
      <c r="UPV42" s="191"/>
      <c r="UPW42" s="191"/>
      <c r="UPX42" s="191"/>
      <c r="UPY42" s="191"/>
      <c r="UPZ42" s="191"/>
      <c r="UQA42" s="191"/>
      <c r="UQB42" s="191"/>
      <c r="UQC42" s="191"/>
      <c r="UQD42" s="191"/>
      <c r="UQE42" s="191"/>
      <c r="UQF42" s="191"/>
      <c r="UQG42" s="191"/>
      <c r="UQH42" s="191"/>
      <c r="UQI42" s="191"/>
      <c r="UQJ42" s="191"/>
      <c r="UQK42" s="191"/>
      <c r="UQL42" s="191"/>
      <c r="UQM42" s="191"/>
      <c r="UQN42" s="191"/>
      <c r="UQO42" s="191"/>
      <c r="UQP42" s="191"/>
      <c r="UQQ42" s="191"/>
      <c r="UQR42" s="191"/>
      <c r="UQS42" s="191"/>
      <c r="UQT42" s="191"/>
      <c r="UQU42" s="191"/>
      <c r="UQV42" s="191"/>
      <c r="UQW42" s="191"/>
      <c r="UQX42" s="191"/>
      <c r="UQY42" s="191"/>
      <c r="UQZ42" s="191"/>
      <c r="URA42" s="191"/>
      <c r="URB42" s="191"/>
      <c r="URC42" s="191"/>
      <c r="URD42" s="191"/>
      <c r="URE42" s="191"/>
      <c r="URF42" s="191"/>
      <c r="URG42" s="191"/>
      <c r="URH42" s="191"/>
      <c r="URI42" s="191"/>
      <c r="URJ42" s="191"/>
      <c r="URK42" s="191"/>
      <c r="URL42" s="191"/>
      <c r="URM42" s="191"/>
      <c r="URN42" s="191"/>
      <c r="URO42" s="191"/>
      <c r="URP42" s="191"/>
      <c r="URQ42" s="191"/>
      <c r="URR42" s="191"/>
      <c r="URS42" s="191"/>
      <c r="URT42" s="191"/>
      <c r="URU42" s="191"/>
      <c r="URV42" s="191"/>
      <c r="URW42" s="191"/>
      <c r="URX42" s="191"/>
      <c r="URY42" s="191"/>
      <c r="URZ42" s="191"/>
      <c r="USA42" s="191"/>
      <c r="USB42" s="191"/>
      <c r="USC42" s="191"/>
      <c r="USD42" s="191"/>
      <c r="USE42" s="191"/>
      <c r="USF42" s="191"/>
      <c r="USG42" s="191"/>
      <c r="USH42" s="191"/>
      <c r="USI42" s="191"/>
      <c r="USJ42" s="191"/>
      <c r="USK42" s="191"/>
      <c r="USL42" s="191"/>
      <c r="USM42" s="191"/>
      <c r="USN42" s="191"/>
      <c r="USO42" s="191"/>
      <c r="USP42" s="191"/>
      <c r="USQ42" s="191"/>
      <c r="USR42" s="191"/>
      <c r="USS42" s="191"/>
      <c r="UST42" s="191"/>
      <c r="USU42" s="191"/>
      <c r="USV42" s="191"/>
      <c r="USW42" s="191"/>
      <c r="USX42" s="191"/>
      <c r="USY42" s="191"/>
      <c r="USZ42" s="191"/>
      <c r="UTA42" s="191"/>
      <c r="UTB42" s="191"/>
      <c r="UTC42" s="191"/>
      <c r="UTD42" s="191"/>
      <c r="UTE42" s="191"/>
      <c r="UTF42" s="191"/>
      <c r="UTG42" s="191"/>
      <c r="UTH42" s="191"/>
      <c r="UTI42" s="191"/>
      <c r="UTJ42" s="191"/>
      <c r="UTK42" s="191"/>
      <c r="UTL42" s="191"/>
      <c r="UTM42" s="191"/>
      <c r="UTN42" s="191"/>
      <c r="UTO42" s="191"/>
      <c r="UTP42" s="191"/>
      <c r="UTQ42" s="191"/>
      <c r="UTR42" s="191"/>
      <c r="UTS42" s="191"/>
      <c r="UTT42" s="191"/>
      <c r="UTU42" s="191"/>
      <c r="UTV42" s="191"/>
      <c r="UTW42" s="191"/>
      <c r="UTX42" s="191"/>
      <c r="UTY42" s="191"/>
      <c r="UTZ42" s="191"/>
      <c r="UUA42" s="191"/>
      <c r="UUB42" s="191"/>
      <c r="UUC42" s="191"/>
      <c r="UUD42" s="191"/>
      <c r="UUE42" s="191"/>
      <c r="UUF42" s="191"/>
      <c r="UUG42" s="191"/>
      <c r="UUH42" s="191"/>
      <c r="UUI42" s="191"/>
      <c r="UUJ42" s="191"/>
      <c r="UUK42" s="191"/>
      <c r="UUL42" s="191"/>
      <c r="UUM42" s="191"/>
      <c r="UUN42" s="191"/>
      <c r="UUO42" s="191"/>
      <c r="UUP42" s="191"/>
      <c r="UUQ42" s="191"/>
      <c r="UUR42" s="191"/>
      <c r="UUS42" s="191"/>
      <c r="UUT42" s="191"/>
      <c r="UUU42" s="191"/>
      <c r="UUV42" s="191"/>
      <c r="UUW42" s="191"/>
      <c r="UUX42" s="191"/>
      <c r="UUY42" s="191"/>
      <c r="UUZ42" s="191"/>
      <c r="UVA42" s="191"/>
      <c r="UVB42" s="191"/>
      <c r="UVC42" s="191"/>
      <c r="UVD42" s="191"/>
      <c r="UVE42" s="191"/>
      <c r="UVF42" s="191"/>
      <c r="UVG42" s="191"/>
      <c r="UVH42" s="191"/>
      <c r="UVI42" s="191"/>
      <c r="UVJ42" s="191"/>
      <c r="UVK42" s="191"/>
      <c r="UVL42" s="191"/>
      <c r="UVM42" s="191"/>
      <c r="UVN42" s="191"/>
      <c r="UVO42" s="191"/>
      <c r="UVP42" s="191"/>
      <c r="UVQ42" s="191"/>
      <c r="UVR42" s="191"/>
      <c r="UVS42" s="191"/>
      <c r="UVT42" s="191"/>
      <c r="UVU42" s="191"/>
      <c r="UVV42" s="191"/>
      <c r="UVW42" s="191"/>
      <c r="UVX42" s="191"/>
      <c r="UVY42" s="191"/>
      <c r="UVZ42" s="191"/>
      <c r="UWA42" s="191"/>
      <c r="UWB42" s="191"/>
      <c r="UWC42" s="191"/>
      <c r="UWD42" s="191"/>
      <c r="UWE42" s="191"/>
      <c r="UWF42" s="191"/>
      <c r="UWG42" s="191"/>
      <c r="UWH42" s="191"/>
      <c r="UWI42" s="191"/>
      <c r="UWJ42" s="191"/>
      <c r="UWK42" s="191"/>
      <c r="UWL42" s="191"/>
      <c r="UWM42" s="191"/>
      <c r="UWN42" s="191"/>
      <c r="UWO42" s="191"/>
      <c r="UWP42" s="191"/>
      <c r="UWQ42" s="191"/>
      <c r="UWR42" s="191"/>
      <c r="UWS42" s="191"/>
      <c r="UWT42" s="191"/>
      <c r="UWU42" s="191"/>
      <c r="UWV42" s="191"/>
      <c r="UWW42" s="191"/>
      <c r="UWX42" s="191"/>
      <c r="UWY42" s="191"/>
      <c r="UWZ42" s="191"/>
      <c r="UXA42" s="191"/>
      <c r="UXB42" s="191"/>
      <c r="UXC42" s="191"/>
      <c r="UXD42" s="191"/>
      <c r="UXE42" s="191"/>
      <c r="UXF42" s="191"/>
      <c r="UXG42" s="191"/>
      <c r="UXH42" s="191"/>
      <c r="UXI42" s="191"/>
      <c r="UXJ42" s="191"/>
      <c r="UXK42" s="191"/>
      <c r="UXL42" s="191"/>
      <c r="UXM42" s="191"/>
      <c r="UXN42" s="191"/>
      <c r="UXO42" s="191"/>
      <c r="UXP42" s="191"/>
      <c r="UXQ42" s="191"/>
      <c r="UXR42" s="191"/>
      <c r="UXS42" s="191"/>
      <c r="UXT42" s="191"/>
      <c r="UXU42" s="191"/>
      <c r="UXV42" s="191"/>
      <c r="UXW42" s="191"/>
      <c r="UXX42" s="191"/>
      <c r="UXY42" s="191"/>
      <c r="UXZ42" s="191"/>
      <c r="UYA42" s="191"/>
      <c r="UYB42" s="191"/>
      <c r="UYC42" s="191"/>
      <c r="UYD42" s="191"/>
      <c r="UYE42" s="191"/>
      <c r="UYF42" s="191"/>
      <c r="UYG42" s="191"/>
      <c r="UYH42" s="191"/>
      <c r="UYI42" s="191"/>
      <c r="UYJ42" s="191"/>
      <c r="UYK42" s="191"/>
      <c r="UYL42" s="191"/>
      <c r="UYM42" s="191"/>
      <c r="UYN42" s="191"/>
      <c r="UYO42" s="191"/>
      <c r="UYP42" s="191"/>
      <c r="UYQ42" s="191"/>
      <c r="UYR42" s="191"/>
      <c r="UYS42" s="191"/>
      <c r="UYT42" s="191"/>
      <c r="UYU42" s="191"/>
      <c r="UYV42" s="191"/>
      <c r="UYW42" s="191"/>
      <c r="UYX42" s="191"/>
      <c r="UYY42" s="191"/>
      <c r="UYZ42" s="191"/>
      <c r="UZA42" s="191"/>
      <c r="UZB42" s="191"/>
      <c r="UZC42" s="191"/>
      <c r="UZD42" s="191"/>
      <c r="UZE42" s="191"/>
      <c r="UZF42" s="191"/>
      <c r="UZG42" s="191"/>
      <c r="UZH42" s="191"/>
      <c r="UZI42" s="191"/>
      <c r="UZJ42" s="191"/>
      <c r="UZK42" s="191"/>
      <c r="UZL42" s="191"/>
      <c r="UZM42" s="191"/>
      <c r="UZN42" s="191"/>
      <c r="UZO42" s="191"/>
      <c r="UZP42" s="191"/>
      <c r="UZQ42" s="191"/>
      <c r="UZR42" s="191"/>
      <c r="UZS42" s="191"/>
      <c r="UZT42" s="191"/>
      <c r="UZU42" s="191"/>
      <c r="UZV42" s="191"/>
      <c r="UZW42" s="191"/>
      <c r="UZX42" s="191"/>
      <c r="UZY42" s="191"/>
      <c r="UZZ42" s="191"/>
      <c r="VAA42" s="191"/>
      <c r="VAB42" s="191"/>
      <c r="VAC42" s="191"/>
      <c r="VAD42" s="191"/>
      <c r="VAE42" s="191"/>
      <c r="VAF42" s="191"/>
      <c r="VAG42" s="191"/>
      <c r="VAH42" s="191"/>
      <c r="VAI42" s="191"/>
      <c r="VAJ42" s="191"/>
      <c r="VAK42" s="191"/>
      <c r="VAL42" s="191"/>
      <c r="VAM42" s="191"/>
      <c r="VAN42" s="191"/>
      <c r="VAO42" s="191"/>
      <c r="VAP42" s="191"/>
      <c r="VAQ42" s="191"/>
      <c r="VAR42" s="191"/>
      <c r="VAS42" s="191"/>
      <c r="VAT42" s="191"/>
      <c r="VAU42" s="191"/>
      <c r="VAV42" s="191"/>
      <c r="VAW42" s="191"/>
      <c r="VAX42" s="191"/>
      <c r="VAY42" s="191"/>
      <c r="VAZ42" s="191"/>
      <c r="VBA42" s="191"/>
      <c r="VBB42" s="191"/>
      <c r="VBC42" s="191"/>
      <c r="VBD42" s="191"/>
      <c r="VBE42" s="191"/>
      <c r="VBF42" s="191"/>
      <c r="VBG42" s="191"/>
      <c r="VBH42" s="191"/>
      <c r="VBI42" s="191"/>
      <c r="VBJ42" s="191"/>
      <c r="VBK42" s="191"/>
      <c r="VBL42" s="191"/>
      <c r="VBM42" s="191"/>
      <c r="VBN42" s="191"/>
      <c r="VBO42" s="191"/>
      <c r="VBP42" s="191"/>
      <c r="VBQ42" s="191"/>
      <c r="VBR42" s="191"/>
      <c r="VBS42" s="191"/>
      <c r="VBT42" s="191"/>
      <c r="VBU42" s="191"/>
      <c r="VBV42" s="191"/>
      <c r="VBW42" s="191"/>
      <c r="VBX42" s="191"/>
      <c r="VBY42" s="191"/>
      <c r="VBZ42" s="191"/>
      <c r="VCA42" s="191"/>
      <c r="VCB42" s="191"/>
      <c r="VCC42" s="191"/>
      <c r="VCD42" s="191"/>
      <c r="VCE42" s="191"/>
      <c r="VCF42" s="191"/>
      <c r="VCG42" s="191"/>
      <c r="VCH42" s="191"/>
      <c r="VCI42" s="191"/>
      <c r="VCJ42" s="191"/>
      <c r="VCK42" s="191"/>
      <c r="VCL42" s="191"/>
      <c r="VCM42" s="191"/>
      <c r="VCN42" s="191"/>
      <c r="VCO42" s="191"/>
      <c r="VCP42" s="191"/>
      <c r="VCQ42" s="191"/>
      <c r="VCR42" s="191"/>
      <c r="VCS42" s="191"/>
      <c r="VCT42" s="191"/>
      <c r="VCU42" s="191"/>
      <c r="VCV42" s="191"/>
    </row>
    <row r="43" spans="5:14972" ht="15" customHeight="1" x14ac:dyDescent="0.3">
      <c r="F43" s="60"/>
      <c r="G43" s="190" t="s">
        <v>91</v>
      </c>
      <c r="H43" s="307">
        <f>SUM(H44:H45)</f>
        <v>0</v>
      </c>
      <c r="I43" s="189" t="s">
        <v>16</v>
      </c>
      <c r="J43" s="188">
        <f>SUM(J44:J45)</f>
        <v>0</v>
      </c>
      <c r="K43" s="188">
        <f t="shared" ref="K43:AM43" si="10">SUM(K44:K45)</f>
        <v>0</v>
      </c>
      <c r="L43" s="188">
        <f t="shared" si="10"/>
        <v>0</v>
      </c>
      <c r="M43" s="188">
        <f t="shared" si="10"/>
        <v>0</v>
      </c>
      <c r="N43" s="188">
        <f t="shared" si="10"/>
        <v>0</v>
      </c>
      <c r="O43" s="188">
        <f t="shared" si="10"/>
        <v>0</v>
      </c>
      <c r="P43" s="188">
        <f t="shared" si="10"/>
        <v>0</v>
      </c>
      <c r="Q43" s="188">
        <f t="shared" si="10"/>
        <v>0</v>
      </c>
      <c r="R43" s="188">
        <f t="shared" si="10"/>
        <v>0</v>
      </c>
      <c r="S43" s="188">
        <f t="shared" si="10"/>
        <v>0</v>
      </c>
      <c r="T43" s="188">
        <f t="shared" si="10"/>
        <v>0</v>
      </c>
      <c r="U43" s="188">
        <f t="shared" si="10"/>
        <v>0</v>
      </c>
      <c r="V43" s="188">
        <f t="shared" si="10"/>
        <v>0</v>
      </c>
      <c r="W43" s="188">
        <f t="shared" si="10"/>
        <v>0</v>
      </c>
      <c r="X43" s="188">
        <f t="shared" si="10"/>
        <v>0</v>
      </c>
      <c r="Y43" s="188">
        <f t="shared" si="10"/>
        <v>0</v>
      </c>
      <c r="Z43" s="188">
        <f t="shared" si="10"/>
        <v>0</v>
      </c>
      <c r="AA43" s="188">
        <f t="shared" si="10"/>
        <v>0</v>
      </c>
      <c r="AB43" s="188">
        <f t="shared" si="10"/>
        <v>0</v>
      </c>
      <c r="AC43" s="188">
        <f t="shared" si="10"/>
        <v>0</v>
      </c>
      <c r="AD43" s="188">
        <f t="shared" si="10"/>
        <v>0</v>
      </c>
      <c r="AE43" s="188">
        <f t="shared" si="10"/>
        <v>0</v>
      </c>
      <c r="AF43" s="188">
        <f t="shared" si="10"/>
        <v>0</v>
      </c>
      <c r="AG43" s="188">
        <f t="shared" si="10"/>
        <v>0</v>
      </c>
      <c r="AH43" s="188">
        <f t="shared" si="10"/>
        <v>0</v>
      </c>
      <c r="AI43" s="188">
        <f t="shared" si="10"/>
        <v>0</v>
      </c>
      <c r="AJ43" s="188">
        <f t="shared" si="10"/>
        <v>0</v>
      </c>
      <c r="AK43" s="188">
        <f t="shared" si="10"/>
        <v>0</v>
      </c>
      <c r="AL43" s="188">
        <f t="shared" si="10"/>
        <v>0</v>
      </c>
      <c r="AM43" s="188">
        <f t="shared" si="10"/>
        <v>0</v>
      </c>
      <c r="AN43" s="14"/>
      <c r="AO43" s="108">
        <f>SUM(J43:AM43)</f>
        <v>0</v>
      </c>
      <c r="AP43" s="93"/>
      <c r="AQ43" s="114"/>
      <c r="AR43" s="114"/>
      <c r="AS43" s="114"/>
      <c r="AT43" s="114"/>
      <c r="AU43" s="114"/>
      <c r="AV43" s="114"/>
      <c r="AW43" s="114"/>
      <c r="AX43" s="114"/>
      <c r="AY43" s="114"/>
      <c r="AZ43" s="114"/>
      <c r="BA43" s="114"/>
      <c r="BB43" s="114"/>
      <c r="CA43" s="93"/>
      <c r="CB43" s="93"/>
      <c r="DE43" s="93"/>
      <c r="EL43" s="204"/>
      <c r="EM43" s="66"/>
      <c r="EN43" s="5"/>
      <c r="EO43" s="5"/>
      <c r="EP43" s="5"/>
      <c r="EQ43" s="93"/>
      <c r="GT43" s="93"/>
      <c r="KO43" s="93"/>
      <c r="KP43" s="93"/>
      <c r="KQ43" s="93"/>
      <c r="KR43" s="93"/>
      <c r="PV43" s="93"/>
      <c r="PW43" s="93"/>
      <c r="PX43" s="92"/>
      <c r="PY43" s="93"/>
      <c r="QM43" s="92">
        <f>SUM(QM40:QM41)</f>
        <v>40.247160000000001</v>
      </c>
      <c r="QQ43" s="93"/>
      <c r="ST43" s="92"/>
      <c r="AIC43" s="5"/>
      <c r="AJR43" s="5"/>
      <c r="AJS43" s="5"/>
      <c r="AJT43" s="5"/>
    </row>
    <row r="44" spans="5:14972" ht="15" customHeight="1" x14ac:dyDescent="0.3">
      <c r="F44" s="60"/>
      <c r="G44" s="190" t="s">
        <v>95</v>
      </c>
      <c r="H44" s="307"/>
      <c r="I44" s="189" t="s">
        <v>16</v>
      </c>
      <c r="J44" s="188">
        <v>0</v>
      </c>
      <c r="K44" s="188">
        <v>0</v>
      </c>
      <c r="L44" s="188">
        <v>0</v>
      </c>
      <c r="M44" s="188">
        <v>0</v>
      </c>
      <c r="N44" s="188">
        <v>0</v>
      </c>
      <c r="O44" s="188">
        <v>0</v>
      </c>
      <c r="P44" s="188">
        <v>0</v>
      </c>
      <c r="Q44" s="188">
        <v>0</v>
      </c>
      <c r="R44" s="188">
        <v>0</v>
      </c>
      <c r="S44" s="188">
        <v>0</v>
      </c>
      <c r="T44" s="188">
        <v>0</v>
      </c>
      <c r="U44" s="188">
        <v>0</v>
      </c>
      <c r="V44" s="188">
        <v>0</v>
      </c>
      <c r="W44" s="188">
        <v>0</v>
      </c>
      <c r="X44" s="188">
        <v>0</v>
      </c>
      <c r="Y44" s="188">
        <v>0</v>
      </c>
      <c r="Z44" s="188">
        <v>0</v>
      </c>
      <c r="AA44" s="188">
        <v>0</v>
      </c>
      <c r="AB44" s="188">
        <v>0</v>
      </c>
      <c r="AC44" s="188">
        <v>0</v>
      </c>
      <c r="AD44" s="188">
        <v>0</v>
      </c>
      <c r="AE44" s="188">
        <v>0</v>
      </c>
      <c r="AF44" s="188">
        <v>0</v>
      </c>
      <c r="AG44" s="188">
        <v>0</v>
      </c>
      <c r="AH44" s="188">
        <v>0</v>
      </c>
      <c r="AI44" s="188">
        <v>0</v>
      </c>
      <c r="AJ44" s="188">
        <v>0</v>
      </c>
      <c r="AK44" s="188">
        <v>0</v>
      </c>
      <c r="AL44" s="188">
        <v>0</v>
      </c>
      <c r="AM44" s="188">
        <v>0</v>
      </c>
      <c r="AN44" s="14"/>
      <c r="AO44" s="203">
        <f>SUM(J44:AM44)</f>
        <v>0</v>
      </c>
      <c r="AP44" s="93"/>
      <c r="AQ44" s="92"/>
      <c r="AS44" s="85"/>
      <c r="CA44" s="93"/>
      <c r="CB44" s="93"/>
      <c r="DE44" s="93"/>
      <c r="EM44" s="66"/>
      <c r="EN44" s="92"/>
      <c r="EO44" s="92"/>
      <c r="EP44" s="92"/>
      <c r="EQ44" s="93"/>
      <c r="GT44" s="93"/>
      <c r="KO44" s="93"/>
      <c r="KP44" s="93"/>
      <c r="KQ44" s="93"/>
      <c r="KR44" s="93"/>
      <c r="PV44" s="93"/>
      <c r="PW44" s="93"/>
      <c r="PX44" s="92"/>
      <c r="PY44" s="93"/>
      <c r="QM44" s="92"/>
      <c r="QQ44" s="93"/>
      <c r="ST44" s="92"/>
      <c r="AIC44" s="5"/>
      <c r="AJR44" s="5"/>
      <c r="AJS44" s="5"/>
      <c r="AJT44" s="5"/>
    </row>
    <row r="45" spans="5:14972" ht="15" customHeight="1" x14ac:dyDescent="0.3">
      <c r="F45" s="60"/>
      <c r="G45" s="202" t="s">
        <v>94</v>
      </c>
      <c r="H45" s="307"/>
      <c r="I45" s="189" t="s">
        <v>16</v>
      </c>
      <c r="J45" s="188">
        <v>0</v>
      </c>
      <c r="K45" s="188">
        <v>0</v>
      </c>
      <c r="L45" s="188">
        <v>0</v>
      </c>
      <c r="M45" s="188">
        <v>0</v>
      </c>
      <c r="N45" s="188">
        <v>0</v>
      </c>
      <c r="O45" s="188">
        <v>0</v>
      </c>
      <c r="P45" s="188">
        <v>0</v>
      </c>
      <c r="Q45" s="188">
        <v>0</v>
      </c>
      <c r="R45" s="188">
        <v>0</v>
      </c>
      <c r="S45" s="188">
        <v>0</v>
      </c>
      <c r="T45" s="188">
        <v>0</v>
      </c>
      <c r="U45" s="188">
        <v>0</v>
      </c>
      <c r="V45" s="188">
        <v>0</v>
      </c>
      <c r="W45" s="188">
        <v>0</v>
      </c>
      <c r="X45" s="188">
        <v>0</v>
      </c>
      <c r="Y45" s="188">
        <v>0</v>
      </c>
      <c r="Z45" s="188">
        <v>0</v>
      </c>
      <c r="AA45" s="188">
        <v>0</v>
      </c>
      <c r="AB45" s="188">
        <v>0</v>
      </c>
      <c r="AC45" s="188">
        <v>0</v>
      </c>
      <c r="AD45" s="188">
        <v>0</v>
      </c>
      <c r="AE45" s="188">
        <v>0</v>
      </c>
      <c r="AF45" s="188">
        <v>0</v>
      </c>
      <c r="AG45" s="188">
        <v>0</v>
      </c>
      <c r="AH45" s="188">
        <v>0</v>
      </c>
      <c r="AI45" s="188">
        <v>0</v>
      </c>
      <c r="AJ45" s="188">
        <v>0</v>
      </c>
      <c r="AK45" s="188">
        <v>0</v>
      </c>
      <c r="AL45" s="188">
        <v>0</v>
      </c>
      <c r="AM45" s="188">
        <v>0</v>
      </c>
      <c r="AN45" s="14"/>
      <c r="AO45" s="108">
        <f>SUM(J45:AM45)</f>
        <v>0</v>
      </c>
      <c r="AP45" s="92"/>
      <c r="AQ45" s="92"/>
      <c r="AS45" s="85"/>
      <c r="CA45" s="93"/>
      <c r="CB45" s="93"/>
      <c r="DE45" s="93"/>
      <c r="EM45" s="66"/>
      <c r="EN45" s="93"/>
      <c r="EO45" s="93"/>
      <c r="EP45" s="93"/>
      <c r="EQ45" s="93"/>
      <c r="GT45" s="93"/>
      <c r="KO45" s="93"/>
      <c r="KP45" s="93"/>
      <c r="KQ45" s="93"/>
      <c r="KR45" s="93"/>
      <c r="PV45" s="93"/>
      <c r="PW45" s="93"/>
      <c r="PY45" s="93"/>
      <c r="QM45" s="92"/>
      <c r="QQ45" s="93"/>
      <c r="ST45" s="92"/>
      <c r="AIC45" s="5"/>
      <c r="AJR45" s="5"/>
      <c r="AJS45" s="5"/>
      <c r="AJT45" s="5"/>
    </row>
    <row r="46" spans="5:14972" ht="15" customHeight="1" x14ac:dyDescent="0.3">
      <c r="F46" s="60"/>
      <c r="G46" s="201" t="s">
        <v>93</v>
      </c>
      <c r="H46" s="308"/>
      <c r="I46" s="200"/>
      <c r="J46" s="198"/>
      <c r="K46" s="198"/>
      <c r="L46" s="198"/>
      <c r="M46" s="199"/>
      <c r="N46" s="198"/>
      <c r="O46" s="198"/>
      <c r="P46" s="198"/>
      <c r="Q46" s="198"/>
      <c r="R46" s="198"/>
      <c r="S46" s="198"/>
      <c r="T46" s="198"/>
      <c r="U46" s="198"/>
      <c r="V46" s="198"/>
      <c r="W46" s="198"/>
      <c r="X46" s="198"/>
      <c r="Y46" s="198"/>
      <c r="Z46" s="198"/>
      <c r="AA46" s="198"/>
      <c r="AB46" s="198"/>
      <c r="AC46" s="198"/>
      <c r="AD46" s="198"/>
      <c r="AE46" s="198"/>
      <c r="AF46" s="198"/>
      <c r="AG46" s="198"/>
      <c r="AH46" s="197"/>
      <c r="AI46" s="197"/>
      <c r="AJ46" s="197"/>
      <c r="AK46" s="197"/>
      <c r="AL46" s="197"/>
      <c r="AM46" s="197"/>
      <c r="AN46" s="14"/>
      <c r="AO46" s="196" t="s">
        <v>79</v>
      </c>
      <c r="AQ46" s="62"/>
      <c r="AS46" s="85"/>
    </row>
    <row r="47" spans="5:14972" ht="15" customHeight="1" x14ac:dyDescent="0.3">
      <c r="E47" s="191"/>
      <c r="F47" s="36"/>
      <c r="G47" s="195" t="s">
        <v>92</v>
      </c>
      <c r="H47" s="309"/>
      <c r="I47" s="194" t="s">
        <v>16</v>
      </c>
      <c r="J47" s="188"/>
      <c r="K47" s="188">
        <v>178343</v>
      </c>
      <c r="L47" s="188"/>
      <c r="M47" s="188"/>
      <c r="N47" s="188"/>
      <c r="O47" s="188">
        <v>231740</v>
      </c>
      <c r="P47" s="188"/>
      <c r="Q47" s="188"/>
      <c r="R47" s="188">
        <v>178343</v>
      </c>
      <c r="S47" s="188"/>
      <c r="T47" s="188"/>
      <c r="U47" s="188"/>
      <c r="V47" s="188"/>
      <c r="W47" s="188"/>
      <c r="X47" s="188"/>
      <c r="Y47" s="188"/>
      <c r="Z47" s="188"/>
      <c r="AA47" s="188"/>
      <c r="AB47" s="188"/>
      <c r="AC47" s="188"/>
      <c r="AD47" s="188"/>
      <c r="AE47" s="188"/>
      <c r="AF47" s="188"/>
      <c r="AG47" s="188"/>
      <c r="AH47" s="193"/>
      <c r="AI47" s="193">
        <v>342721</v>
      </c>
      <c r="AJ47" s="193"/>
      <c r="AK47" s="193"/>
      <c r="AL47" s="193"/>
      <c r="AM47" s="193"/>
      <c r="AN47" s="109"/>
      <c r="AO47" s="58">
        <f>SUM(J47:AM47)</f>
        <v>931147</v>
      </c>
      <c r="AP47" s="191"/>
      <c r="AQ47" s="31"/>
      <c r="AR47" s="192"/>
      <c r="AS47" s="114"/>
      <c r="AT47" s="192"/>
      <c r="AU47" s="192"/>
      <c r="AV47" s="192"/>
      <c r="AW47" s="192"/>
      <c r="AX47" s="192"/>
      <c r="AY47" s="192"/>
      <c r="AZ47" s="192"/>
      <c r="BA47" s="192"/>
      <c r="BB47" s="192"/>
      <c r="BC47" s="192"/>
      <c r="BD47" s="192"/>
      <c r="BE47" s="192"/>
      <c r="BF47" s="192"/>
      <c r="BG47" s="192"/>
      <c r="BH47" s="192"/>
      <c r="BI47" s="192"/>
      <c r="BJ47" s="192"/>
      <c r="BK47" s="192"/>
      <c r="BL47" s="192"/>
      <c r="BM47" s="192"/>
      <c r="BN47" s="192"/>
      <c r="BO47" s="192"/>
      <c r="BP47" s="192"/>
      <c r="BQ47" s="192"/>
      <c r="BR47" s="192"/>
      <c r="BS47" s="192"/>
      <c r="BT47" s="192"/>
      <c r="BU47" s="192"/>
      <c r="BV47" s="192"/>
      <c r="BW47" s="192"/>
      <c r="BX47" s="192"/>
      <c r="BY47" s="192"/>
      <c r="BZ47" s="192"/>
      <c r="CA47" s="28"/>
      <c r="CB47" s="28"/>
      <c r="CC47" s="191"/>
      <c r="CD47" s="191"/>
      <c r="CE47" s="191"/>
      <c r="CF47" s="191"/>
      <c r="CG47" s="191"/>
      <c r="CH47" s="191"/>
      <c r="CI47" s="191"/>
      <c r="CJ47" s="191"/>
      <c r="CK47" s="191"/>
      <c r="CL47" s="191"/>
      <c r="CM47" s="191"/>
      <c r="CN47" s="191"/>
      <c r="CO47" s="191"/>
      <c r="CP47" s="191"/>
      <c r="CQ47" s="191"/>
      <c r="CR47" s="191"/>
      <c r="CS47" s="191"/>
      <c r="CT47" s="191"/>
      <c r="CU47" s="191"/>
      <c r="CV47" s="191"/>
      <c r="CW47" s="191"/>
      <c r="CX47" s="191"/>
      <c r="CY47" s="191"/>
      <c r="CZ47" s="191"/>
      <c r="DA47" s="191"/>
      <c r="DC47" s="191"/>
      <c r="DD47" s="191"/>
      <c r="DE47" s="28"/>
      <c r="DF47" s="191"/>
      <c r="DG47" s="191"/>
      <c r="DH47" s="191"/>
      <c r="DI47" s="191"/>
      <c r="DJ47" s="191"/>
      <c r="DK47" s="191"/>
      <c r="DL47" s="191"/>
      <c r="DM47" s="191"/>
      <c r="DN47" s="191"/>
      <c r="DO47" s="191"/>
      <c r="DP47" s="191"/>
      <c r="DQ47" s="191"/>
      <c r="DR47" s="191"/>
      <c r="DS47" s="191"/>
      <c r="DT47" s="191"/>
      <c r="DU47" s="191"/>
      <c r="DV47" s="191"/>
      <c r="DW47" s="191"/>
      <c r="DX47" s="191"/>
      <c r="DY47" s="191"/>
      <c r="DZ47" s="191"/>
      <c r="EA47" s="191"/>
      <c r="EB47" s="191"/>
      <c r="EC47" s="191"/>
      <c r="ED47" s="191"/>
      <c r="EE47" s="191"/>
      <c r="EF47" s="191"/>
      <c r="EG47" s="191"/>
      <c r="EH47" s="191"/>
      <c r="EI47" s="191"/>
      <c r="EJ47" s="191"/>
      <c r="EK47" s="191"/>
      <c r="EL47" s="191"/>
      <c r="EM47" s="30"/>
      <c r="EN47" s="28"/>
      <c r="EO47" s="28"/>
      <c r="EP47" s="28"/>
      <c r="EQ47" s="28"/>
      <c r="ER47" s="191"/>
      <c r="ES47" s="191"/>
      <c r="ET47" s="191"/>
      <c r="EU47" s="191"/>
      <c r="EV47" s="191"/>
      <c r="EW47" s="191"/>
      <c r="EX47" s="191"/>
      <c r="EY47" s="191"/>
      <c r="EZ47" s="191"/>
      <c r="FA47" s="191"/>
      <c r="FB47" s="191"/>
      <c r="FC47" s="191"/>
      <c r="FD47" s="191"/>
      <c r="FE47" s="191"/>
      <c r="FF47" s="191"/>
      <c r="FG47" s="191"/>
      <c r="FH47" s="191"/>
      <c r="FI47" s="191"/>
      <c r="FJ47" s="191"/>
      <c r="FK47" s="191"/>
      <c r="FL47" s="191"/>
      <c r="FM47" s="191"/>
      <c r="FN47" s="191"/>
      <c r="FO47" s="191"/>
      <c r="FP47" s="191"/>
      <c r="FQ47" s="191"/>
      <c r="FR47" s="191"/>
      <c r="FS47" s="191"/>
      <c r="FT47" s="191"/>
      <c r="FU47" s="191"/>
      <c r="FV47" s="191"/>
      <c r="FW47" s="191"/>
      <c r="FX47" s="191"/>
      <c r="FY47" s="191"/>
      <c r="FZ47" s="191"/>
      <c r="GA47" s="191"/>
      <c r="GB47" s="191"/>
      <c r="GC47" s="191"/>
      <c r="GD47" s="191"/>
      <c r="GE47" s="191"/>
      <c r="GF47" s="191"/>
      <c r="GG47" s="191"/>
      <c r="GH47" s="191"/>
      <c r="GI47" s="191"/>
      <c r="GJ47" s="191"/>
      <c r="GK47" s="191"/>
      <c r="GL47" s="191"/>
      <c r="GM47" s="191"/>
      <c r="GN47" s="191"/>
      <c r="GO47" s="191"/>
      <c r="GP47" s="191"/>
      <c r="GQ47" s="191"/>
      <c r="GR47" s="191"/>
      <c r="GS47" s="191"/>
      <c r="GT47" s="28"/>
      <c r="GU47" s="191"/>
      <c r="GV47" s="191"/>
      <c r="GW47" s="191"/>
      <c r="GX47" s="191"/>
      <c r="GY47" s="191"/>
      <c r="GZ47" s="191"/>
      <c r="HA47" s="191"/>
      <c r="HB47" s="191"/>
      <c r="HC47" s="191"/>
      <c r="HD47" s="191"/>
      <c r="HE47" s="191"/>
      <c r="HF47" s="191"/>
      <c r="HG47" s="191"/>
      <c r="HH47" s="191"/>
      <c r="HI47" s="191"/>
      <c r="HJ47" s="191"/>
      <c r="HK47" s="191"/>
      <c r="HL47" s="191"/>
      <c r="HM47" s="191"/>
      <c r="HN47" s="191"/>
      <c r="HO47" s="191"/>
      <c r="HP47" s="191"/>
      <c r="HQ47" s="191"/>
      <c r="HR47" s="191"/>
      <c r="HS47" s="191"/>
      <c r="HT47" s="191"/>
      <c r="HU47" s="191"/>
      <c r="HV47" s="191"/>
      <c r="HW47" s="191"/>
      <c r="HX47" s="191"/>
      <c r="HY47" s="191"/>
      <c r="HZ47" s="191"/>
      <c r="IA47" s="191"/>
      <c r="IB47" s="191"/>
      <c r="IC47" s="191"/>
      <c r="ID47" s="191"/>
      <c r="IE47" s="191"/>
      <c r="IF47" s="191"/>
      <c r="IG47" s="191"/>
      <c r="IH47" s="191"/>
      <c r="II47" s="191"/>
      <c r="IJ47" s="191"/>
      <c r="IK47" s="191"/>
      <c r="IL47" s="191"/>
      <c r="IM47" s="191"/>
      <c r="IN47" s="191"/>
      <c r="IO47" s="191"/>
      <c r="IP47" s="191"/>
      <c r="IQ47" s="191"/>
      <c r="IR47" s="191"/>
      <c r="IS47" s="191"/>
      <c r="IT47" s="191"/>
      <c r="IU47" s="191"/>
      <c r="IV47" s="191"/>
      <c r="IW47" s="191"/>
      <c r="IX47" s="191"/>
      <c r="IY47" s="191"/>
      <c r="IZ47" s="191"/>
      <c r="JA47" s="191"/>
      <c r="JB47" s="191"/>
      <c r="JC47" s="191"/>
      <c r="JD47" s="191"/>
      <c r="JE47" s="191"/>
      <c r="JF47" s="191"/>
      <c r="JG47" s="191"/>
      <c r="JH47" s="191"/>
      <c r="JI47" s="191"/>
      <c r="JJ47" s="191"/>
      <c r="JK47" s="191"/>
      <c r="JL47" s="191"/>
      <c r="JM47" s="191"/>
      <c r="JN47" s="191"/>
      <c r="JO47" s="191"/>
      <c r="JP47" s="191"/>
      <c r="JQ47" s="191"/>
      <c r="JR47" s="191"/>
      <c r="JS47" s="191"/>
      <c r="JT47" s="191"/>
      <c r="JU47" s="191"/>
      <c r="JV47" s="191"/>
      <c r="JW47" s="191"/>
      <c r="JX47" s="191"/>
      <c r="JY47" s="191"/>
      <c r="JZ47" s="191"/>
      <c r="KA47" s="191"/>
      <c r="KB47" s="191"/>
      <c r="KC47" s="191"/>
      <c r="KD47" s="191"/>
      <c r="KE47" s="191"/>
      <c r="KF47" s="191"/>
      <c r="KG47" s="191"/>
      <c r="KH47" s="191"/>
      <c r="KI47" s="191"/>
      <c r="KJ47" s="191"/>
      <c r="KK47" s="191"/>
      <c r="KL47" s="191"/>
      <c r="KM47" s="191"/>
      <c r="KN47" s="191"/>
      <c r="KO47" s="28"/>
      <c r="KP47" s="28"/>
      <c r="KQ47" s="28"/>
      <c r="KR47" s="28"/>
      <c r="KS47" s="191"/>
      <c r="KT47" s="191"/>
      <c r="KU47" s="191"/>
      <c r="KV47" s="191"/>
      <c r="KW47" s="191"/>
      <c r="KX47" s="191"/>
      <c r="KY47" s="191"/>
      <c r="KZ47" s="191"/>
      <c r="LA47" s="191"/>
      <c r="LB47" s="191"/>
      <c r="LC47" s="191"/>
      <c r="LD47" s="191"/>
      <c r="LE47" s="191"/>
      <c r="LF47" s="191"/>
      <c r="LG47" s="191"/>
      <c r="LH47" s="191"/>
      <c r="LI47" s="191"/>
      <c r="LJ47" s="191"/>
      <c r="LK47" s="191"/>
      <c r="LL47" s="191"/>
      <c r="LM47" s="191"/>
      <c r="LN47" s="191"/>
      <c r="LO47" s="191"/>
      <c r="LP47" s="191"/>
      <c r="LQ47" s="191"/>
      <c r="LR47" s="191"/>
      <c r="LS47" s="191"/>
      <c r="LT47" s="191"/>
      <c r="LU47" s="191"/>
      <c r="LV47" s="191"/>
      <c r="LW47" s="191"/>
      <c r="LX47" s="191"/>
      <c r="LY47" s="191"/>
      <c r="LZ47" s="191"/>
      <c r="MA47" s="191"/>
      <c r="MB47" s="191"/>
      <c r="MC47" s="191"/>
      <c r="MD47" s="191"/>
      <c r="ME47" s="191"/>
      <c r="MF47" s="191"/>
      <c r="MG47" s="191"/>
      <c r="MH47" s="191"/>
      <c r="MI47" s="191"/>
      <c r="MJ47" s="191"/>
      <c r="MK47" s="191"/>
      <c r="ML47" s="191"/>
      <c r="MM47" s="191"/>
      <c r="MN47" s="191"/>
      <c r="MO47" s="191"/>
      <c r="MP47" s="191"/>
      <c r="MQ47" s="191"/>
      <c r="MR47" s="191"/>
      <c r="MS47" s="191"/>
      <c r="MT47" s="191"/>
      <c r="MU47" s="191"/>
      <c r="MV47" s="191"/>
      <c r="MW47" s="191"/>
      <c r="MX47" s="191"/>
      <c r="MY47" s="191"/>
      <c r="MZ47" s="191"/>
      <c r="NA47" s="191"/>
      <c r="NB47" s="191"/>
      <c r="NC47" s="191"/>
      <c r="ND47" s="191"/>
      <c r="NE47" s="191"/>
      <c r="NF47" s="191"/>
      <c r="NG47" s="191"/>
      <c r="NH47" s="191"/>
      <c r="NI47" s="191"/>
      <c r="NJ47" s="191"/>
      <c r="NK47" s="191"/>
      <c r="NL47" s="191"/>
      <c r="NM47" s="191"/>
      <c r="NN47" s="191"/>
      <c r="NO47" s="191"/>
      <c r="NP47" s="191"/>
      <c r="NQ47" s="191"/>
      <c r="NR47" s="191"/>
      <c r="NS47" s="191"/>
      <c r="NT47" s="191"/>
      <c r="NU47" s="191"/>
      <c r="NV47" s="191"/>
      <c r="NW47" s="191"/>
      <c r="NX47" s="191"/>
      <c r="NY47" s="191"/>
      <c r="NZ47" s="191"/>
      <c r="OA47" s="191"/>
      <c r="OB47" s="191"/>
      <c r="OC47" s="191"/>
      <c r="OD47" s="191"/>
      <c r="OE47" s="191"/>
      <c r="OF47" s="191"/>
      <c r="OG47" s="191"/>
      <c r="OH47" s="191"/>
      <c r="OI47" s="191"/>
      <c r="OJ47" s="191"/>
      <c r="OK47" s="191"/>
      <c r="OL47" s="191"/>
      <c r="OM47" s="191"/>
      <c r="ON47" s="191"/>
      <c r="OO47" s="191"/>
      <c r="OP47" s="191"/>
      <c r="OQ47" s="191"/>
      <c r="OR47" s="191"/>
      <c r="OS47" s="191"/>
      <c r="OT47" s="191"/>
      <c r="OU47" s="191"/>
      <c r="OV47" s="191"/>
      <c r="OW47" s="191"/>
      <c r="OX47" s="191"/>
      <c r="OY47" s="191"/>
      <c r="OZ47" s="191"/>
      <c r="PA47" s="191"/>
      <c r="PB47" s="191"/>
      <c r="PC47" s="191"/>
      <c r="PD47" s="191"/>
      <c r="PE47" s="191"/>
      <c r="PF47" s="191"/>
      <c r="PG47" s="191"/>
      <c r="PH47" s="191"/>
      <c r="PI47" s="191"/>
      <c r="PJ47" s="191"/>
      <c r="PK47" s="191"/>
      <c r="PL47" s="191"/>
      <c r="PM47" s="191"/>
      <c r="PN47" s="191"/>
      <c r="PO47" s="191"/>
      <c r="PP47" s="191"/>
      <c r="PQ47" s="191"/>
      <c r="PR47" s="191"/>
      <c r="PS47" s="191"/>
      <c r="PT47" s="191"/>
      <c r="PU47" s="191"/>
      <c r="PV47" s="28"/>
      <c r="PW47" s="28"/>
      <c r="PX47" s="191"/>
      <c r="PY47" s="28"/>
      <c r="PZ47" s="191"/>
      <c r="QA47" s="191"/>
      <c r="QB47" s="191"/>
      <c r="QC47" s="191"/>
      <c r="QD47" s="191"/>
      <c r="QE47" s="191"/>
      <c r="QF47" s="191"/>
      <c r="QG47" s="191"/>
      <c r="QH47" s="191"/>
      <c r="QI47" s="191"/>
      <c r="QJ47" s="191"/>
      <c r="QK47" s="191"/>
      <c r="QL47" s="191"/>
      <c r="QM47" s="29"/>
      <c r="QN47" s="191"/>
      <c r="QO47" s="191"/>
      <c r="QP47" s="191"/>
      <c r="QQ47" s="28"/>
      <c r="QR47" s="191"/>
      <c r="QS47" s="191"/>
      <c r="QT47" s="191"/>
      <c r="QU47" s="191"/>
      <c r="QV47" s="191"/>
      <c r="QW47" s="191"/>
      <c r="QX47" s="191"/>
      <c r="QY47" s="191"/>
      <c r="QZ47" s="191"/>
      <c r="RA47" s="191"/>
      <c r="RB47" s="191"/>
      <c r="RC47" s="191"/>
      <c r="RD47" s="191"/>
      <c r="RE47" s="191"/>
      <c r="RF47" s="191"/>
      <c r="RG47" s="191"/>
      <c r="RH47" s="191"/>
      <c r="RI47" s="191"/>
      <c r="RJ47" s="191"/>
      <c r="RK47" s="191"/>
      <c r="RL47" s="191"/>
      <c r="RM47" s="191"/>
      <c r="RN47" s="191"/>
      <c r="RO47" s="191"/>
      <c r="RP47" s="191"/>
      <c r="RQ47" s="191"/>
      <c r="RR47" s="191"/>
      <c r="RS47" s="191"/>
      <c r="RT47" s="191"/>
      <c r="RU47" s="191"/>
      <c r="RV47" s="191"/>
      <c r="RW47" s="191"/>
      <c r="RX47" s="191"/>
      <c r="RY47" s="191"/>
      <c r="RZ47" s="191"/>
      <c r="SA47" s="191"/>
      <c r="SB47" s="191"/>
      <c r="SC47" s="191"/>
      <c r="SD47" s="191"/>
      <c r="SE47" s="191"/>
      <c r="SF47" s="191"/>
      <c r="SG47" s="191"/>
      <c r="SH47" s="191"/>
      <c r="SI47" s="191"/>
      <c r="SJ47" s="191"/>
      <c r="SK47" s="191"/>
      <c r="SL47" s="191"/>
      <c r="SM47" s="191"/>
      <c r="SN47" s="191"/>
      <c r="SO47" s="191"/>
      <c r="SP47" s="191"/>
      <c r="SQ47" s="191"/>
      <c r="SR47" s="191"/>
      <c r="SS47" s="191"/>
      <c r="ST47" s="29"/>
      <c r="SU47" s="191"/>
      <c r="SV47" s="191"/>
      <c r="SW47" s="191"/>
      <c r="SX47" s="191"/>
      <c r="SY47" s="191"/>
      <c r="SZ47" s="191"/>
      <c r="TA47" s="191"/>
      <c r="TB47" s="191"/>
      <c r="TC47" s="191"/>
      <c r="TD47" s="191"/>
      <c r="TE47" s="191"/>
      <c r="TF47" s="191"/>
      <c r="TG47" s="191"/>
      <c r="TH47" s="191"/>
      <c r="TI47" s="191"/>
      <c r="TJ47" s="191"/>
      <c r="TK47" s="191"/>
      <c r="TL47" s="191"/>
      <c r="TM47" s="191"/>
      <c r="TN47" s="191"/>
      <c r="TO47" s="191"/>
      <c r="TP47" s="191"/>
      <c r="TQ47" s="191"/>
      <c r="TR47" s="191"/>
      <c r="TS47" s="191"/>
      <c r="TT47" s="191"/>
      <c r="TU47" s="191"/>
      <c r="TV47" s="191"/>
      <c r="TW47" s="191"/>
      <c r="TX47" s="191"/>
      <c r="TY47" s="191"/>
      <c r="TZ47" s="191"/>
      <c r="UA47" s="191"/>
      <c r="UB47" s="191"/>
      <c r="UC47" s="191"/>
      <c r="UD47" s="191"/>
      <c r="UE47" s="191"/>
      <c r="UF47" s="191"/>
      <c r="UG47" s="191"/>
      <c r="UH47" s="191"/>
      <c r="UI47" s="191"/>
      <c r="UJ47" s="191"/>
      <c r="UK47" s="191"/>
      <c r="UL47" s="191"/>
      <c r="UM47" s="191"/>
      <c r="UN47" s="191"/>
      <c r="UO47" s="191"/>
      <c r="UP47" s="191"/>
      <c r="UQ47" s="191"/>
      <c r="UR47" s="191"/>
      <c r="US47" s="191"/>
      <c r="UT47" s="191"/>
      <c r="UU47" s="191"/>
      <c r="UV47" s="191"/>
      <c r="UW47" s="191"/>
      <c r="UX47" s="191"/>
      <c r="UY47" s="191"/>
      <c r="UZ47" s="191"/>
      <c r="VA47" s="191"/>
      <c r="VB47" s="191"/>
      <c r="VC47" s="191"/>
      <c r="VD47" s="191"/>
      <c r="VE47" s="191"/>
      <c r="VF47" s="191"/>
      <c r="VG47" s="191"/>
      <c r="VH47" s="191"/>
      <c r="VI47" s="191"/>
      <c r="VJ47" s="191"/>
      <c r="VK47" s="191"/>
      <c r="VL47" s="191"/>
      <c r="VM47" s="191"/>
      <c r="VN47" s="191"/>
      <c r="VO47" s="191"/>
      <c r="VP47" s="191"/>
      <c r="VQ47" s="191"/>
      <c r="VR47" s="191"/>
      <c r="VS47" s="191"/>
      <c r="VT47" s="191"/>
      <c r="VU47" s="191"/>
      <c r="VV47" s="191"/>
      <c r="VW47" s="191"/>
      <c r="VX47" s="191"/>
      <c r="VY47" s="191"/>
      <c r="VZ47" s="191"/>
      <c r="WA47" s="191"/>
      <c r="WB47" s="191"/>
      <c r="WC47" s="191"/>
      <c r="WD47" s="191"/>
      <c r="WE47" s="191"/>
      <c r="WF47" s="191"/>
      <c r="WG47" s="191"/>
      <c r="WH47" s="191"/>
      <c r="WI47" s="191"/>
      <c r="WJ47" s="191"/>
      <c r="WK47" s="191"/>
      <c r="WL47" s="191"/>
      <c r="WM47" s="191"/>
      <c r="WN47" s="191"/>
      <c r="WO47" s="191"/>
      <c r="WP47" s="191"/>
      <c r="WQ47" s="191"/>
      <c r="WR47" s="191"/>
      <c r="WS47" s="191"/>
      <c r="WT47" s="191"/>
      <c r="WU47" s="191"/>
      <c r="WV47" s="191"/>
      <c r="WW47" s="191"/>
      <c r="WX47" s="191"/>
      <c r="WY47" s="191"/>
      <c r="WZ47" s="191"/>
      <c r="XA47" s="191"/>
      <c r="XB47" s="191"/>
      <c r="XC47" s="191"/>
      <c r="XD47" s="191"/>
      <c r="XE47" s="191"/>
      <c r="XF47" s="191"/>
      <c r="XG47" s="191"/>
      <c r="XH47" s="191"/>
      <c r="XI47" s="191"/>
      <c r="XJ47" s="191"/>
      <c r="XK47" s="191"/>
      <c r="XL47" s="191"/>
      <c r="XM47" s="191"/>
      <c r="XN47" s="191"/>
      <c r="XO47" s="191"/>
      <c r="XP47" s="191"/>
      <c r="XQ47" s="191"/>
      <c r="XR47" s="191"/>
      <c r="XS47" s="191"/>
      <c r="XT47" s="191"/>
      <c r="XU47" s="191"/>
      <c r="XV47" s="191"/>
      <c r="XW47" s="191"/>
      <c r="XX47" s="191"/>
      <c r="XY47" s="191"/>
      <c r="XZ47" s="191"/>
      <c r="YA47" s="191"/>
      <c r="YB47" s="191"/>
      <c r="YC47" s="191"/>
      <c r="YD47" s="191"/>
      <c r="YE47" s="191"/>
      <c r="YF47" s="191"/>
      <c r="YG47" s="191"/>
      <c r="YH47" s="191"/>
      <c r="YI47" s="191"/>
      <c r="YJ47" s="191"/>
      <c r="YK47" s="191"/>
      <c r="YL47" s="191"/>
      <c r="YM47" s="191"/>
      <c r="YN47" s="191"/>
      <c r="YO47" s="191"/>
      <c r="YP47" s="191"/>
      <c r="YQ47" s="191"/>
      <c r="YR47" s="191"/>
      <c r="YS47" s="191"/>
      <c r="YT47" s="191"/>
      <c r="YU47" s="191"/>
      <c r="YV47" s="191"/>
      <c r="YW47" s="191"/>
      <c r="YX47" s="191"/>
      <c r="YY47" s="191"/>
      <c r="YZ47" s="191"/>
      <c r="ZA47" s="191"/>
      <c r="ZB47" s="191"/>
      <c r="ZC47" s="191"/>
      <c r="ZD47" s="191"/>
      <c r="ZE47" s="191"/>
      <c r="ZF47" s="191"/>
      <c r="ZG47" s="191"/>
      <c r="ZH47" s="191"/>
      <c r="ZI47" s="191"/>
      <c r="ZJ47" s="191"/>
      <c r="ZK47" s="191"/>
      <c r="ZL47" s="191"/>
      <c r="ZM47" s="191"/>
      <c r="ZN47" s="191"/>
      <c r="ZO47" s="191"/>
      <c r="ZP47" s="191"/>
      <c r="ZQ47" s="191"/>
      <c r="ZR47" s="191"/>
      <c r="ZS47" s="191"/>
      <c r="ZT47" s="191"/>
      <c r="ZU47" s="191"/>
      <c r="ZV47" s="191"/>
      <c r="ZW47" s="191"/>
      <c r="ZX47" s="191"/>
      <c r="ZY47" s="191"/>
      <c r="ZZ47" s="191"/>
      <c r="AAA47" s="191"/>
      <c r="AAB47" s="191"/>
      <c r="AAC47" s="191"/>
      <c r="AAD47" s="191"/>
      <c r="AAE47" s="191"/>
      <c r="AAF47" s="191"/>
      <c r="AAG47" s="191"/>
      <c r="AAH47" s="191"/>
      <c r="AAI47" s="191"/>
      <c r="AAJ47" s="191"/>
      <c r="AAK47" s="191"/>
      <c r="AAL47" s="191"/>
      <c r="AAM47" s="191"/>
      <c r="AAN47" s="191"/>
      <c r="AAO47" s="191"/>
      <c r="AAP47" s="191"/>
      <c r="AAQ47" s="191"/>
      <c r="AAR47" s="191"/>
      <c r="AAS47" s="191"/>
      <c r="AAT47" s="191"/>
      <c r="AAU47" s="191"/>
      <c r="AAV47" s="191"/>
      <c r="AAW47" s="191"/>
      <c r="AAX47" s="191"/>
      <c r="AAY47" s="191"/>
      <c r="AAZ47" s="191"/>
      <c r="ABA47" s="191"/>
      <c r="ABB47" s="191"/>
      <c r="ABC47" s="191"/>
      <c r="ABD47" s="191"/>
      <c r="ABE47" s="191"/>
      <c r="ABF47" s="191"/>
      <c r="ABG47" s="191"/>
      <c r="ABH47" s="191"/>
      <c r="ABI47" s="191"/>
      <c r="ABJ47" s="191"/>
      <c r="ABK47" s="191"/>
      <c r="ABL47" s="191"/>
      <c r="ABM47" s="191"/>
      <c r="ABN47" s="191"/>
      <c r="ABO47" s="191"/>
      <c r="ABP47" s="191"/>
      <c r="ABQ47" s="191"/>
      <c r="ABR47" s="191"/>
      <c r="ABS47" s="191"/>
      <c r="ABT47" s="191"/>
      <c r="ABU47" s="191"/>
      <c r="ABV47" s="191"/>
      <c r="ABW47" s="191"/>
      <c r="ABX47" s="191"/>
      <c r="ABY47" s="191"/>
      <c r="ABZ47" s="191"/>
      <c r="ACA47" s="191"/>
      <c r="ACB47" s="191"/>
      <c r="ACC47" s="191"/>
      <c r="ACD47" s="191"/>
      <c r="ACE47" s="191"/>
      <c r="ACF47" s="191"/>
      <c r="ACG47" s="191"/>
      <c r="ACH47" s="191"/>
      <c r="ACI47" s="191"/>
      <c r="ACJ47" s="191"/>
      <c r="ACK47" s="191"/>
      <c r="ACL47" s="191"/>
      <c r="ACM47" s="191"/>
      <c r="ACN47" s="191"/>
      <c r="ACO47" s="191"/>
      <c r="ACP47" s="191"/>
      <c r="ACQ47" s="191"/>
      <c r="ACR47" s="191"/>
      <c r="ACS47" s="191"/>
      <c r="ACT47" s="191"/>
      <c r="ACU47" s="191"/>
      <c r="ACV47" s="191"/>
      <c r="ACW47" s="191"/>
      <c r="ACX47" s="191"/>
      <c r="ACY47" s="191"/>
      <c r="ACZ47" s="191"/>
      <c r="ADA47" s="191"/>
      <c r="ADB47" s="191"/>
      <c r="ADC47" s="191"/>
      <c r="ADD47" s="191"/>
      <c r="ADE47" s="191"/>
      <c r="ADF47" s="191"/>
      <c r="ADG47" s="191"/>
      <c r="ADH47" s="191"/>
      <c r="ADI47" s="191"/>
      <c r="ADJ47" s="191"/>
      <c r="ADK47" s="191"/>
      <c r="ADL47" s="191"/>
      <c r="ADM47" s="191"/>
      <c r="ADN47" s="191"/>
      <c r="ADO47" s="191"/>
      <c r="ADP47" s="191"/>
      <c r="ADQ47" s="191"/>
      <c r="ADR47" s="191"/>
      <c r="ADS47" s="191"/>
      <c r="ADT47" s="191"/>
      <c r="ADU47" s="191"/>
      <c r="ADV47" s="191"/>
      <c r="ADW47" s="191"/>
      <c r="ADX47" s="191"/>
      <c r="ADY47" s="191"/>
      <c r="ADZ47" s="191"/>
      <c r="AEA47" s="191"/>
      <c r="AEB47" s="191"/>
      <c r="AEC47" s="191"/>
      <c r="AED47" s="191"/>
      <c r="AEE47" s="191"/>
      <c r="AEF47" s="191"/>
      <c r="AEG47" s="191"/>
      <c r="AEH47" s="191"/>
      <c r="AEI47" s="191"/>
      <c r="AEJ47" s="191"/>
      <c r="AEK47" s="191"/>
      <c r="AEL47" s="191"/>
      <c r="AEM47" s="191"/>
      <c r="AEN47" s="191"/>
      <c r="AEO47" s="191"/>
      <c r="AEP47" s="191"/>
      <c r="AEQ47" s="191"/>
      <c r="AER47" s="191"/>
      <c r="AES47" s="191"/>
      <c r="AET47" s="191"/>
      <c r="AEU47" s="191"/>
      <c r="AEV47" s="191"/>
      <c r="AEW47" s="191"/>
      <c r="AEX47" s="191"/>
      <c r="AEY47" s="191"/>
      <c r="AEZ47" s="191"/>
      <c r="AFA47" s="191"/>
      <c r="AFB47" s="191"/>
      <c r="AFC47" s="191"/>
      <c r="AFD47" s="191"/>
      <c r="AFE47" s="191"/>
      <c r="AFF47" s="191"/>
      <c r="AFG47" s="191"/>
      <c r="AFH47" s="191"/>
      <c r="AFI47" s="191"/>
      <c r="AFJ47" s="191"/>
      <c r="AFK47" s="191"/>
      <c r="AFL47" s="191"/>
      <c r="AFM47" s="191"/>
      <c r="AFN47" s="191"/>
      <c r="AFO47" s="191"/>
      <c r="AFP47" s="191"/>
      <c r="AFQ47" s="191"/>
      <c r="AFR47" s="191"/>
      <c r="AFS47" s="191"/>
      <c r="AFT47" s="191"/>
      <c r="AFU47" s="191"/>
      <c r="AFV47" s="191"/>
      <c r="AFW47" s="191"/>
      <c r="AFX47" s="191"/>
      <c r="AFY47" s="191"/>
      <c r="AFZ47" s="191"/>
      <c r="AGA47" s="191"/>
      <c r="AGB47" s="191"/>
      <c r="AGC47" s="191"/>
      <c r="AGD47" s="191"/>
      <c r="AGE47" s="191"/>
      <c r="AGF47" s="191"/>
      <c r="AGG47" s="191"/>
      <c r="AGH47" s="191"/>
      <c r="AGI47" s="191"/>
      <c r="AGJ47" s="191"/>
      <c r="AGK47" s="191"/>
      <c r="AGL47" s="191"/>
      <c r="AGM47" s="191"/>
      <c r="AGN47" s="191"/>
      <c r="AGO47" s="191"/>
      <c r="AGP47" s="191"/>
      <c r="AGQ47" s="191"/>
      <c r="AGR47" s="191"/>
      <c r="AGS47" s="191"/>
      <c r="AGT47" s="191"/>
      <c r="AGU47" s="191"/>
      <c r="AGV47" s="191"/>
      <c r="AGW47" s="191"/>
      <c r="AGX47" s="191"/>
      <c r="AGY47" s="191"/>
      <c r="AGZ47" s="191"/>
      <c r="AHA47" s="191"/>
      <c r="AHB47" s="191"/>
      <c r="AHC47" s="191"/>
      <c r="AHD47" s="191"/>
      <c r="AHE47" s="191"/>
      <c r="AHF47" s="191"/>
      <c r="AHG47" s="191"/>
      <c r="AHH47" s="191"/>
      <c r="AHI47" s="191"/>
      <c r="AHJ47" s="191"/>
      <c r="AHK47" s="191"/>
      <c r="AHL47" s="191"/>
      <c r="AHM47" s="191"/>
      <c r="AHN47" s="191"/>
      <c r="AHO47" s="191"/>
      <c r="AHP47" s="191"/>
      <c r="AHQ47" s="191"/>
      <c r="AHR47" s="191"/>
      <c r="AHS47" s="191"/>
      <c r="AHT47" s="191"/>
      <c r="AHU47" s="191"/>
      <c r="AHV47" s="191"/>
      <c r="AHW47" s="191"/>
      <c r="AHX47" s="191"/>
      <c r="AHY47" s="191"/>
      <c r="AHZ47" s="191"/>
      <c r="AIA47" s="191"/>
      <c r="AIB47" s="191"/>
      <c r="AIC47" s="28"/>
      <c r="AID47" s="191"/>
      <c r="AIE47" s="191"/>
      <c r="AIF47" s="191"/>
      <c r="AIG47" s="191"/>
      <c r="AIH47" s="191"/>
      <c r="AII47" s="191"/>
      <c r="AIJ47" s="191"/>
      <c r="AIK47" s="191"/>
      <c r="AIL47" s="191"/>
      <c r="AIM47" s="191"/>
      <c r="AIN47" s="191"/>
      <c r="AIO47" s="191"/>
      <c r="AIP47" s="191"/>
      <c r="AIQ47" s="191"/>
      <c r="AIR47" s="191"/>
      <c r="AIS47" s="191"/>
      <c r="AIT47" s="191"/>
      <c r="AIU47" s="191"/>
      <c r="AIV47" s="191"/>
      <c r="AIW47" s="191"/>
      <c r="AIX47" s="191"/>
      <c r="AIY47" s="191"/>
      <c r="AIZ47" s="191"/>
      <c r="AJA47" s="191"/>
      <c r="AJB47" s="191"/>
      <c r="AJC47" s="191"/>
      <c r="AJD47" s="191"/>
      <c r="AJE47" s="191"/>
      <c r="AJF47" s="191"/>
      <c r="AJG47" s="191"/>
      <c r="AJH47" s="191"/>
      <c r="AJI47" s="191"/>
      <c r="AJJ47" s="191"/>
      <c r="AJK47" s="191"/>
      <c r="AJL47" s="191"/>
      <c r="AJM47" s="191"/>
      <c r="AJN47" s="191"/>
      <c r="AJO47" s="191"/>
      <c r="AJP47" s="191"/>
      <c r="AJQ47" s="191"/>
      <c r="AJR47" s="28"/>
      <c r="AJS47" s="28"/>
      <c r="AJT47" s="28"/>
      <c r="AJU47" s="191"/>
      <c r="AJV47" s="191"/>
      <c r="AJW47" s="191"/>
      <c r="AJX47" s="191"/>
      <c r="AJY47" s="191"/>
      <c r="AJZ47" s="191"/>
      <c r="AKA47" s="191"/>
      <c r="AKB47" s="191"/>
      <c r="AKC47" s="191"/>
      <c r="AKD47" s="191"/>
      <c r="AKE47" s="191"/>
      <c r="AKF47" s="191"/>
      <c r="AKG47" s="191"/>
      <c r="AKH47" s="191"/>
      <c r="AKI47" s="191"/>
      <c r="AKJ47" s="191"/>
      <c r="AKK47" s="191"/>
      <c r="AKL47" s="191"/>
      <c r="AKM47" s="191"/>
      <c r="AKN47" s="191"/>
      <c r="AKO47" s="191"/>
      <c r="AKP47" s="191"/>
      <c r="AKQ47" s="191"/>
      <c r="AKR47" s="191"/>
      <c r="AKS47" s="191"/>
      <c r="AKT47" s="191"/>
      <c r="AKU47" s="191"/>
      <c r="AKV47" s="191"/>
      <c r="AKW47" s="191"/>
      <c r="AKX47" s="191"/>
      <c r="AKY47" s="191"/>
      <c r="AKZ47" s="191"/>
      <c r="ALA47" s="191"/>
      <c r="ALB47" s="191"/>
      <c r="ALC47" s="191"/>
      <c r="ALD47" s="191"/>
      <c r="ALE47" s="191"/>
      <c r="ALF47" s="191"/>
      <c r="ALG47" s="191"/>
      <c r="ALH47" s="191"/>
      <c r="ALI47" s="191"/>
      <c r="ALJ47" s="191"/>
      <c r="ALK47" s="191"/>
      <c r="ALL47" s="191"/>
      <c r="ALM47" s="191"/>
      <c r="ALN47" s="191"/>
      <c r="ALO47" s="191"/>
      <c r="ALP47" s="191"/>
      <c r="ALQ47" s="191"/>
      <c r="ALR47" s="191"/>
      <c r="ALS47" s="191"/>
      <c r="ALT47" s="191"/>
      <c r="ALU47" s="191"/>
      <c r="ALV47" s="191"/>
      <c r="ALW47" s="191"/>
      <c r="ALX47" s="191"/>
      <c r="ALY47" s="191"/>
      <c r="ALZ47" s="191"/>
      <c r="AMA47" s="191"/>
      <c r="AMB47" s="191"/>
      <c r="AMC47" s="191"/>
      <c r="AMD47" s="191"/>
      <c r="AME47" s="191"/>
      <c r="AMF47" s="191"/>
      <c r="AMG47" s="191"/>
      <c r="AMH47" s="191"/>
      <c r="AMI47" s="191"/>
      <c r="AMJ47" s="191"/>
      <c r="AMK47" s="191"/>
      <c r="AML47" s="191"/>
      <c r="AMM47" s="191"/>
      <c r="AMN47" s="191"/>
      <c r="AMO47" s="191"/>
      <c r="AMP47" s="191"/>
      <c r="AMQ47" s="191"/>
      <c r="AMR47" s="191"/>
      <c r="AMS47" s="191"/>
      <c r="AMT47" s="191"/>
      <c r="AMU47" s="191"/>
      <c r="AMV47" s="191"/>
      <c r="AMW47" s="191"/>
      <c r="AMX47" s="191"/>
      <c r="AMY47" s="191"/>
      <c r="AMZ47" s="191"/>
      <c r="ANA47" s="191"/>
      <c r="ANB47" s="191"/>
      <c r="ANC47" s="191"/>
      <c r="AND47" s="191"/>
      <c r="ANE47" s="191"/>
      <c r="ANF47" s="191"/>
      <c r="ANG47" s="191"/>
      <c r="ANH47" s="191"/>
      <c r="ANI47" s="191"/>
      <c r="ANJ47" s="191"/>
      <c r="ANK47" s="191"/>
      <c r="ANL47" s="191"/>
      <c r="ANM47" s="191"/>
      <c r="ANN47" s="191"/>
      <c r="ANO47" s="191"/>
      <c r="ANP47" s="191"/>
      <c r="ANQ47" s="191"/>
      <c r="ANR47" s="191"/>
      <c r="ANS47" s="191"/>
      <c r="ANT47" s="191"/>
      <c r="ANU47" s="191"/>
      <c r="ANV47" s="191"/>
      <c r="ANW47" s="191"/>
      <c r="ANX47" s="191"/>
      <c r="ANY47" s="191"/>
      <c r="ANZ47" s="191"/>
      <c r="AOA47" s="191"/>
      <c r="AOB47" s="191"/>
      <c r="AOC47" s="191"/>
      <c r="AOD47" s="191"/>
      <c r="AOE47" s="191"/>
      <c r="AOF47" s="191"/>
      <c r="AOG47" s="191"/>
      <c r="AOH47" s="191"/>
      <c r="AOI47" s="191"/>
      <c r="AOJ47" s="191"/>
      <c r="AOK47" s="191"/>
      <c r="AOL47" s="191"/>
      <c r="AOM47" s="191"/>
      <c r="AON47" s="191"/>
      <c r="AOO47" s="191"/>
      <c r="AOP47" s="191"/>
      <c r="AOQ47" s="191"/>
      <c r="AOR47" s="191"/>
      <c r="AOS47" s="191"/>
      <c r="AOT47" s="191"/>
      <c r="AOU47" s="191"/>
      <c r="AOV47" s="191"/>
      <c r="AOW47" s="191"/>
      <c r="AOX47" s="191"/>
      <c r="AOY47" s="191"/>
      <c r="AOZ47" s="191"/>
      <c r="APA47" s="191"/>
      <c r="APB47" s="191"/>
      <c r="APC47" s="191"/>
      <c r="APD47" s="191"/>
      <c r="APE47" s="191"/>
      <c r="APF47" s="191"/>
      <c r="APG47" s="191"/>
      <c r="APH47" s="191"/>
      <c r="API47" s="191"/>
      <c r="APJ47" s="191"/>
      <c r="APK47" s="191"/>
      <c r="APL47" s="191"/>
      <c r="APM47" s="191"/>
      <c r="APN47" s="191"/>
      <c r="APO47" s="191"/>
      <c r="APP47" s="191"/>
      <c r="APQ47" s="191"/>
      <c r="APR47" s="191"/>
      <c r="APS47" s="191"/>
      <c r="APT47" s="191"/>
      <c r="APU47" s="191"/>
      <c r="APV47" s="191"/>
      <c r="APW47" s="191"/>
      <c r="APX47" s="191"/>
      <c r="APY47" s="191"/>
      <c r="APZ47" s="191"/>
      <c r="AQA47" s="191"/>
      <c r="AQB47" s="191"/>
      <c r="AQC47" s="191"/>
      <c r="AQD47" s="191"/>
      <c r="AQE47" s="191"/>
      <c r="AQF47" s="191"/>
      <c r="AQG47" s="191"/>
      <c r="AQH47" s="191"/>
      <c r="AQI47" s="191"/>
      <c r="AQJ47" s="191"/>
      <c r="AQK47" s="191"/>
      <c r="AQL47" s="191"/>
      <c r="AQM47" s="191"/>
      <c r="AQN47" s="191"/>
      <c r="AQO47" s="191"/>
      <c r="AQP47" s="191"/>
      <c r="AQQ47" s="191"/>
      <c r="AQR47" s="191"/>
      <c r="AQS47" s="191"/>
      <c r="AQT47" s="191"/>
      <c r="AQU47" s="191"/>
      <c r="AQV47" s="191"/>
      <c r="AQW47" s="191"/>
      <c r="AQX47" s="191"/>
      <c r="AQY47" s="191"/>
      <c r="AQZ47" s="191"/>
      <c r="ARA47" s="191"/>
      <c r="ARB47" s="191"/>
      <c r="ARC47" s="191"/>
      <c r="ARD47" s="191"/>
      <c r="ARE47" s="191"/>
      <c r="ARF47" s="191"/>
      <c r="ARG47" s="191"/>
      <c r="ARH47" s="191"/>
      <c r="ARI47" s="191"/>
      <c r="ARJ47" s="191"/>
      <c r="ARK47" s="191"/>
      <c r="ARL47" s="191"/>
      <c r="ARM47" s="191"/>
      <c r="ARN47" s="191"/>
      <c r="ARO47" s="191"/>
      <c r="ARP47" s="191"/>
      <c r="ARQ47" s="191"/>
      <c r="ARR47" s="191"/>
      <c r="ARS47" s="191"/>
      <c r="ART47" s="191"/>
      <c r="ARU47" s="191"/>
      <c r="ARV47" s="191"/>
      <c r="ARW47" s="191"/>
      <c r="ARX47" s="191"/>
      <c r="ARY47" s="191"/>
      <c r="ARZ47" s="191"/>
      <c r="ASA47" s="191"/>
      <c r="ASB47" s="191"/>
      <c r="ASC47" s="191"/>
      <c r="ASD47" s="191"/>
      <c r="ASE47" s="191"/>
      <c r="ASF47" s="191"/>
      <c r="ASG47" s="191"/>
      <c r="ASH47" s="191"/>
      <c r="ASI47" s="191"/>
      <c r="ASJ47" s="191"/>
      <c r="ASK47" s="191"/>
      <c r="ASL47" s="191"/>
      <c r="ASM47" s="191"/>
      <c r="ASN47" s="191"/>
      <c r="ASO47" s="191"/>
      <c r="ASP47" s="191"/>
      <c r="ASQ47" s="191"/>
      <c r="ASR47" s="191"/>
      <c r="ASS47" s="191"/>
      <c r="AST47" s="191"/>
      <c r="ASU47" s="191"/>
      <c r="ASV47" s="191"/>
      <c r="ASW47" s="191"/>
      <c r="ASX47" s="191"/>
      <c r="ASY47" s="191"/>
      <c r="ASZ47" s="191"/>
      <c r="ATA47" s="191"/>
      <c r="ATB47" s="191"/>
      <c r="ATC47" s="191"/>
      <c r="ATD47" s="191"/>
      <c r="ATE47" s="191"/>
      <c r="ATF47" s="191"/>
      <c r="ATG47" s="191"/>
      <c r="ATH47" s="191"/>
      <c r="ATI47" s="191"/>
      <c r="ATJ47" s="191"/>
      <c r="ATK47" s="191"/>
      <c r="ATL47" s="191"/>
      <c r="ATM47" s="191"/>
      <c r="ATN47" s="191"/>
      <c r="ATO47" s="191"/>
      <c r="ATP47" s="191"/>
      <c r="ATQ47" s="191"/>
      <c r="ATR47" s="191"/>
      <c r="ATS47" s="191"/>
      <c r="ATT47" s="191"/>
      <c r="ATU47" s="191"/>
      <c r="ATV47" s="191"/>
      <c r="ATW47" s="191"/>
      <c r="ATX47" s="191"/>
      <c r="ATY47" s="191"/>
      <c r="ATZ47" s="191"/>
      <c r="AUA47" s="191"/>
      <c r="AUB47" s="191"/>
      <c r="AUC47" s="191"/>
      <c r="AUD47" s="191"/>
      <c r="AUE47" s="191"/>
      <c r="AUF47" s="191"/>
      <c r="AUG47" s="191"/>
      <c r="AUH47" s="191"/>
      <c r="AUI47" s="191"/>
      <c r="AUJ47" s="191"/>
      <c r="AUK47" s="191"/>
      <c r="AUL47" s="191"/>
      <c r="AUM47" s="191"/>
      <c r="AUN47" s="191"/>
      <c r="AUO47" s="191"/>
      <c r="AUP47" s="191"/>
      <c r="AUQ47" s="191"/>
      <c r="AUR47" s="191"/>
      <c r="AUS47" s="191"/>
      <c r="AUT47" s="191"/>
      <c r="AUU47" s="191"/>
      <c r="AUV47" s="191"/>
      <c r="AUW47" s="191"/>
      <c r="AUX47" s="191"/>
      <c r="AUY47" s="191"/>
      <c r="AUZ47" s="191"/>
      <c r="AVA47" s="191"/>
      <c r="AVB47" s="191"/>
      <c r="AVC47" s="191"/>
      <c r="AVD47" s="191"/>
      <c r="AVE47" s="191"/>
      <c r="AVF47" s="191"/>
      <c r="AVG47" s="191"/>
      <c r="AVH47" s="191"/>
      <c r="AVI47" s="191"/>
      <c r="AVJ47" s="191"/>
      <c r="AVK47" s="191"/>
      <c r="AVL47" s="191"/>
      <c r="AVM47" s="191"/>
      <c r="AVN47" s="191"/>
      <c r="AVO47" s="191"/>
      <c r="AVP47" s="191"/>
      <c r="AVQ47" s="191"/>
      <c r="AVR47" s="191"/>
      <c r="AVS47" s="191"/>
      <c r="AVT47" s="191"/>
      <c r="AVU47" s="191"/>
      <c r="AVV47" s="191"/>
      <c r="AVW47" s="191"/>
      <c r="AVX47" s="191"/>
      <c r="AVY47" s="191"/>
      <c r="AVZ47" s="191"/>
      <c r="AWA47" s="191"/>
      <c r="AWB47" s="191"/>
      <c r="AWC47" s="191"/>
      <c r="AWD47" s="191"/>
      <c r="AWE47" s="191"/>
      <c r="AWF47" s="191"/>
      <c r="AWG47" s="191"/>
      <c r="AWH47" s="191"/>
      <c r="AWI47" s="191"/>
      <c r="AWJ47" s="191"/>
      <c r="AWK47" s="191"/>
      <c r="AWL47" s="191"/>
      <c r="AWM47" s="191"/>
      <c r="AWN47" s="191"/>
      <c r="AWO47" s="191"/>
      <c r="AWP47" s="191"/>
      <c r="AWQ47" s="191"/>
      <c r="AWR47" s="191"/>
      <c r="AWS47" s="191"/>
      <c r="AWT47" s="191"/>
      <c r="AWU47" s="191"/>
      <c r="AWV47" s="191"/>
      <c r="AWW47" s="191"/>
      <c r="AWX47" s="191"/>
      <c r="AWY47" s="191"/>
      <c r="AWZ47" s="191"/>
      <c r="AXA47" s="191"/>
      <c r="AXB47" s="191"/>
      <c r="AXC47" s="191"/>
      <c r="AXD47" s="191"/>
      <c r="AXE47" s="191"/>
      <c r="AXF47" s="191"/>
      <c r="AXG47" s="191"/>
      <c r="AXH47" s="191"/>
      <c r="AXI47" s="191"/>
      <c r="AXJ47" s="191"/>
      <c r="AXK47" s="191"/>
      <c r="AXL47" s="191"/>
      <c r="AXM47" s="191"/>
      <c r="AXN47" s="191"/>
      <c r="AXO47" s="191"/>
      <c r="AXP47" s="191"/>
      <c r="AXQ47" s="191"/>
      <c r="AXR47" s="191"/>
      <c r="AXS47" s="191"/>
      <c r="AXT47" s="191"/>
      <c r="AXU47" s="191"/>
      <c r="AXV47" s="191"/>
      <c r="AXW47" s="191"/>
      <c r="AXX47" s="191"/>
      <c r="AXY47" s="191"/>
      <c r="AXZ47" s="191"/>
      <c r="AYA47" s="191"/>
      <c r="AYB47" s="191"/>
      <c r="AYC47" s="191"/>
      <c r="AYD47" s="191"/>
      <c r="AYE47" s="191"/>
      <c r="AYF47" s="191"/>
      <c r="AYG47" s="191"/>
      <c r="AYH47" s="191"/>
      <c r="AYI47" s="191"/>
      <c r="AYJ47" s="191"/>
      <c r="AYK47" s="191"/>
      <c r="AYL47" s="191"/>
      <c r="AYM47" s="191"/>
      <c r="AYN47" s="191"/>
      <c r="AYO47" s="191"/>
      <c r="AYP47" s="191"/>
      <c r="AYQ47" s="191"/>
      <c r="AYR47" s="191"/>
      <c r="AYS47" s="191"/>
      <c r="AYT47" s="191"/>
      <c r="AYU47" s="191"/>
      <c r="AYV47" s="191"/>
      <c r="AYW47" s="191"/>
      <c r="AYX47" s="191"/>
      <c r="AYY47" s="191"/>
      <c r="AYZ47" s="191"/>
      <c r="AZA47" s="191"/>
      <c r="AZB47" s="191"/>
      <c r="AZC47" s="191"/>
      <c r="AZD47" s="191"/>
      <c r="AZE47" s="191"/>
      <c r="AZF47" s="191"/>
      <c r="AZG47" s="191"/>
      <c r="AZH47" s="191"/>
      <c r="AZI47" s="191"/>
      <c r="AZJ47" s="191"/>
      <c r="AZK47" s="191"/>
      <c r="AZL47" s="191"/>
      <c r="AZM47" s="191"/>
      <c r="AZN47" s="191"/>
      <c r="AZO47" s="191"/>
      <c r="AZP47" s="191"/>
      <c r="AZQ47" s="191"/>
      <c r="AZR47" s="191"/>
      <c r="AZS47" s="191"/>
      <c r="AZT47" s="191"/>
      <c r="AZU47" s="191"/>
      <c r="AZV47" s="191"/>
      <c r="AZW47" s="191"/>
      <c r="AZX47" s="191"/>
      <c r="AZY47" s="191"/>
      <c r="AZZ47" s="191"/>
      <c r="BAA47" s="191"/>
      <c r="BAB47" s="191"/>
      <c r="BAC47" s="191"/>
      <c r="BAD47" s="191"/>
      <c r="BAE47" s="191"/>
      <c r="BAF47" s="191"/>
      <c r="BAG47" s="191"/>
      <c r="BAH47" s="191"/>
      <c r="BAI47" s="191"/>
      <c r="BAJ47" s="191"/>
      <c r="BAK47" s="191"/>
      <c r="BAL47" s="191"/>
      <c r="BAM47" s="191"/>
      <c r="BAN47" s="191"/>
      <c r="BAO47" s="191"/>
      <c r="BAP47" s="191"/>
      <c r="BAQ47" s="191"/>
      <c r="BAR47" s="191"/>
      <c r="BAS47" s="191"/>
      <c r="BAT47" s="191"/>
      <c r="BAU47" s="191"/>
      <c r="BAV47" s="191"/>
      <c r="BAW47" s="191"/>
      <c r="BAX47" s="191"/>
      <c r="BAY47" s="191"/>
      <c r="BAZ47" s="191"/>
      <c r="BBA47" s="191"/>
      <c r="BBB47" s="191"/>
      <c r="BBC47" s="191"/>
      <c r="BBD47" s="191"/>
      <c r="BBE47" s="191"/>
      <c r="BBF47" s="191"/>
      <c r="BBG47" s="191"/>
      <c r="BBH47" s="191"/>
      <c r="BBI47" s="191"/>
      <c r="BBJ47" s="191"/>
      <c r="BBK47" s="191"/>
      <c r="BBL47" s="191"/>
      <c r="BBM47" s="191"/>
      <c r="BBN47" s="191"/>
      <c r="BBO47" s="191"/>
      <c r="BBP47" s="191"/>
      <c r="BBQ47" s="191"/>
      <c r="BBR47" s="191"/>
      <c r="BBS47" s="191"/>
      <c r="BBT47" s="191"/>
      <c r="BBU47" s="191"/>
      <c r="BBV47" s="191"/>
      <c r="BBW47" s="191"/>
      <c r="BBX47" s="191"/>
      <c r="BBY47" s="191"/>
      <c r="BBZ47" s="191"/>
      <c r="BCA47" s="191"/>
      <c r="BCB47" s="191"/>
      <c r="BCC47" s="191"/>
      <c r="BCD47" s="191"/>
      <c r="BCE47" s="191"/>
      <c r="BCF47" s="191"/>
      <c r="BCG47" s="191"/>
      <c r="BCH47" s="191"/>
      <c r="BCI47" s="191"/>
      <c r="BCJ47" s="191"/>
      <c r="BCK47" s="191"/>
      <c r="BCL47" s="191"/>
      <c r="BCM47" s="191"/>
      <c r="BCN47" s="191"/>
      <c r="BCO47" s="191"/>
      <c r="BCP47" s="191"/>
      <c r="BCQ47" s="191"/>
      <c r="BCR47" s="191"/>
      <c r="BCS47" s="191"/>
      <c r="BCT47" s="191"/>
      <c r="BCU47" s="191"/>
      <c r="BCV47" s="191"/>
      <c r="BCW47" s="191"/>
      <c r="BCX47" s="191"/>
      <c r="BCY47" s="191"/>
      <c r="BCZ47" s="191"/>
      <c r="BDA47" s="191"/>
      <c r="BDB47" s="191"/>
      <c r="BDC47" s="191"/>
      <c r="BDD47" s="191"/>
      <c r="BDE47" s="191"/>
      <c r="BDF47" s="191"/>
      <c r="BDG47" s="191"/>
      <c r="BDH47" s="191"/>
      <c r="BDI47" s="191"/>
      <c r="BDJ47" s="191"/>
      <c r="BDK47" s="191"/>
      <c r="BDL47" s="191"/>
      <c r="BDM47" s="191"/>
      <c r="BDN47" s="191"/>
      <c r="BDO47" s="191"/>
      <c r="BDP47" s="191"/>
      <c r="BDQ47" s="191"/>
      <c r="BDR47" s="191"/>
      <c r="BDS47" s="191"/>
      <c r="BDT47" s="191"/>
      <c r="BDU47" s="191"/>
      <c r="BDV47" s="191"/>
      <c r="BDW47" s="191"/>
      <c r="BDX47" s="191"/>
      <c r="BDY47" s="191"/>
      <c r="BDZ47" s="191"/>
      <c r="BEA47" s="191"/>
      <c r="BEB47" s="191"/>
      <c r="BEC47" s="191"/>
      <c r="BED47" s="191"/>
      <c r="BEE47" s="191"/>
      <c r="BEF47" s="191"/>
      <c r="BEG47" s="191"/>
      <c r="BEH47" s="191"/>
      <c r="BEI47" s="191"/>
      <c r="BEJ47" s="191"/>
      <c r="BEK47" s="191"/>
      <c r="BEL47" s="191"/>
      <c r="BEM47" s="191"/>
      <c r="BEN47" s="191"/>
      <c r="BEO47" s="191"/>
      <c r="BEP47" s="191"/>
      <c r="BEQ47" s="191"/>
      <c r="BER47" s="191"/>
      <c r="BES47" s="191"/>
      <c r="BET47" s="191"/>
      <c r="BEU47" s="191"/>
      <c r="BEV47" s="191"/>
      <c r="BEW47" s="191"/>
      <c r="BEX47" s="191"/>
      <c r="BEY47" s="191"/>
      <c r="BEZ47" s="191"/>
      <c r="BFA47" s="191"/>
      <c r="BFB47" s="191"/>
      <c r="BFC47" s="191"/>
      <c r="BFD47" s="191"/>
      <c r="BFE47" s="191"/>
      <c r="BFF47" s="191"/>
      <c r="BFG47" s="191"/>
      <c r="BFH47" s="191"/>
      <c r="BFI47" s="191"/>
      <c r="BFJ47" s="191"/>
      <c r="BFK47" s="191"/>
      <c r="BFL47" s="191"/>
      <c r="BFM47" s="191"/>
      <c r="BFN47" s="191"/>
      <c r="BFO47" s="191"/>
      <c r="BFP47" s="191"/>
      <c r="BFQ47" s="191"/>
      <c r="BFR47" s="191"/>
      <c r="BFS47" s="191"/>
      <c r="BFT47" s="191"/>
      <c r="BFU47" s="191"/>
      <c r="BFV47" s="191"/>
      <c r="BFW47" s="191"/>
      <c r="BFX47" s="191"/>
      <c r="BFY47" s="191"/>
      <c r="BFZ47" s="191"/>
      <c r="BGA47" s="191"/>
      <c r="BGB47" s="191"/>
      <c r="BGC47" s="191"/>
      <c r="BGD47" s="191"/>
      <c r="BGE47" s="191"/>
      <c r="BGF47" s="191"/>
      <c r="BGG47" s="191"/>
      <c r="BGH47" s="191"/>
      <c r="BGI47" s="191"/>
      <c r="BGJ47" s="191"/>
      <c r="BGK47" s="191"/>
      <c r="BGL47" s="191"/>
      <c r="BGM47" s="191"/>
      <c r="BGN47" s="191"/>
      <c r="BGO47" s="191"/>
      <c r="BGP47" s="191"/>
      <c r="BGQ47" s="191"/>
      <c r="BGR47" s="191"/>
      <c r="BGS47" s="191"/>
      <c r="BGT47" s="191"/>
      <c r="BGU47" s="191"/>
      <c r="BGV47" s="191"/>
      <c r="BGW47" s="191"/>
      <c r="BGX47" s="191"/>
      <c r="BGY47" s="191"/>
      <c r="BGZ47" s="191"/>
      <c r="BHA47" s="191"/>
      <c r="BHB47" s="191"/>
      <c r="BHC47" s="191"/>
      <c r="BHD47" s="191"/>
      <c r="BHE47" s="191"/>
      <c r="BHF47" s="191"/>
      <c r="BHG47" s="191"/>
      <c r="BHH47" s="191"/>
      <c r="BHI47" s="191"/>
      <c r="BHJ47" s="191"/>
      <c r="BHK47" s="191"/>
      <c r="BHL47" s="191"/>
      <c r="BHM47" s="191"/>
      <c r="BHN47" s="191"/>
      <c r="BHO47" s="191"/>
      <c r="BHP47" s="191"/>
      <c r="BHQ47" s="191"/>
      <c r="BHR47" s="191"/>
      <c r="BHS47" s="191"/>
      <c r="BHT47" s="191"/>
      <c r="BHU47" s="191"/>
      <c r="BHV47" s="191"/>
      <c r="BHW47" s="191"/>
      <c r="BHX47" s="191"/>
      <c r="BHY47" s="191"/>
      <c r="BHZ47" s="191"/>
      <c r="BIA47" s="191"/>
      <c r="BIB47" s="191"/>
      <c r="BIC47" s="191"/>
      <c r="BID47" s="191"/>
      <c r="BIE47" s="191"/>
      <c r="BIF47" s="191"/>
      <c r="BIG47" s="191"/>
      <c r="BIH47" s="191"/>
      <c r="BII47" s="191"/>
      <c r="BIJ47" s="191"/>
      <c r="BIK47" s="191"/>
      <c r="BIL47" s="191"/>
      <c r="BIM47" s="191"/>
      <c r="BIN47" s="191"/>
      <c r="BIO47" s="191"/>
      <c r="BIP47" s="191"/>
      <c r="BIQ47" s="191"/>
      <c r="BIR47" s="191"/>
      <c r="BIS47" s="191"/>
      <c r="BIT47" s="191"/>
      <c r="BIU47" s="191"/>
      <c r="BIV47" s="191"/>
      <c r="BIW47" s="191"/>
      <c r="BIX47" s="191"/>
      <c r="BIY47" s="191"/>
      <c r="BIZ47" s="191"/>
      <c r="BJA47" s="191"/>
      <c r="BJB47" s="191"/>
      <c r="BJC47" s="191"/>
      <c r="BJD47" s="191"/>
      <c r="BJE47" s="191"/>
      <c r="BJF47" s="191"/>
      <c r="BJG47" s="191"/>
      <c r="BJH47" s="191"/>
      <c r="BJI47" s="191"/>
      <c r="BJJ47" s="191"/>
      <c r="BJK47" s="191"/>
      <c r="BJL47" s="191"/>
      <c r="BJM47" s="191"/>
      <c r="BJN47" s="191"/>
      <c r="BJO47" s="191"/>
      <c r="BJP47" s="191"/>
      <c r="BJQ47" s="191"/>
      <c r="BJR47" s="191"/>
      <c r="BJS47" s="191"/>
      <c r="BJT47" s="191"/>
      <c r="BJU47" s="191"/>
      <c r="BJV47" s="191"/>
      <c r="BJW47" s="191"/>
      <c r="BJX47" s="191"/>
      <c r="BJY47" s="191"/>
      <c r="BJZ47" s="191"/>
      <c r="BKA47" s="191"/>
      <c r="BKB47" s="191"/>
      <c r="BKC47" s="191"/>
      <c r="BKD47" s="191"/>
      <c r="BKE47" s="191"/>
      <c r="BKF47" s="191"/>
      <c r="BKG47" s="191"/>
      <c r="BKH47" s="191"/>
      <c r="BKI47" s="191"/>
      <c r="BKJ47" s="191"/>
      <c r="BKK47" s="191"/>
      <c r="BKL47" s="191"/>
      <c r="BKM47" s="191"/>
      <c r="BKN47" s="191"/>
      <c r="BKO47" s="191"/>
      <c r="BKP47" s="191"/>
      <c r="BKQ47" s="191"/>
      <c r="BKR47" s="191"/>
      <c r="BKS47" s="191"/>
      <c r="BKT47" s="191"/>
      <c r="BKU47" s="191"/>
      <c r="BKV47" s="191"/>
      <c r="BKW47" s="191"/>
      <c r="BKX47" s="191"/>
      <c r="BKY47" s="191"/>
      <c r="BKZ47" s="191"/>
      <c r="BLA47" s="191"/>
      <c r="BLB47" s="191"/>
      <c r="BLC47" s="191"/>
      <c r="BLD47" s="191"/>
      <c r="BLE47" s="191"/>
      <c r="BLF47" s="191"/>
      <c r="BLG47" s="191"/>
      <c r="BLH47" s="191"/>
      <c r="BLI47" s="191"/>
      <c r="BLJ47" s="191"/>
      <c r="BLK47" s="191"/>
      <c r="BLL47" s="191"/>
      <c r="BLM47" s="191"/>
      <c r="BLN47" s="191"/>
      <c r="BLO47" s="191"/>
      <c r="BLP47" s="191"/>
      <c r="BLQ47" s="191"/>
      <c r="BLR47" s="191"/>
      <c r="BLS47" s="191"/>
      <c r="BLT47" s="191"/>
      <c r="BLU47" s="191"/>
      <c r="BLV47" s="191"/>
      <c r="BLW47" s="191"/>
      <c r="BLX47" s="191"/>
      <c r="BLY47" s="191"/>
      <c r="BLZ47" s="191"/>
      <c r="BMA47" s="191"/>
      <c r="BMB47" s="191"/>
      <c r="BMC47" s="191"/>
      <c r="BMD47" s="191"/>
      <c r="BME47" s="191"/>
      <c r="BMF47" s="191"/>
      <c r="BMG47" s="191"/>
      <c r="BMH47" s="191"/>
      <c r="BMI47" s="191"/>
      <c r="BMJ47" s="191"/>
      <c r="BMK47" s="191"/>
      <c r="BML47" s="191"/>
      <c r="BMM47" s="191"/>
      <c r="BMN47" s="191"/>
      <c r="BMO47" s="191"/>
      <c r="BMP47" s="191"/>
      <c r="BMQ47" s="191"/>
      <c r="BMR47" s="191"/>
      <c r="BMS47" s="191"/>
      <c r="BMT47" s="191"/>
      <c r="BMU47" s="191"/>
      <c r="BMV47" s="191"/>
      <c r="BMW47" s="191"/>
      <c r="BMX47" s="191"/>
      <c r="BMY47" s="191"/>
      <c r="BMZ47" s="191"/>
      <c r="BNA47" s="191"/>
      <c r="BNB47" s="191"/>
      <c r="BNC47" s="191"/>
      <c r="BND47" s="191"/>
      <c r="BNE47" s="191"/>
      <c r="BNF47" s="191"/>
      <c r="BNG47" s="191"/>
      <c r="BNH47" s="191"/>
      <c r="BNI47" s="191"/>
      <c r="BNJ47" s="191"/>
      <c r="BNK47" s="191"/>
      <c r="BNL47" s="191"/>
      <c r="BNM47" s="191"/>
      <c r="BNN47" s="191"/>
      <c r="BNO47" s="191"/>
      <c r="BNP47" s="191"/>
      <c r="BNQ47" s="191"/>
      <c r="BNR47" s="191"/>
      <c r="BNS47" s="191"/>
      <c r="BNT47" s="191"/>
      <c r="BNU47" s="191"/>
      <c r="BNV47" s="191"/>
      <c r="BNW47" s="191"/>
      <c r="BNX47" s="191"/>
      <c r="BNY47" s="191"/>
      <c r="BNZ47" s="191"/>
      <c r="BOA47" s="191"/>
      <c r="BOB47" s="191"/>
      <c r="BOC47" s="191"/>
      <c r="BOD47" s="191"/>
      <c r="BOE47" s="191"/>
      <c r="BOF47" s="191"/>
      <c r="BOG47" s="191"/>
      <c r="BOH47" s="191"/>
      <c r="BOI47" s="191"/>
      <c r="BOJ47" s="191"/>
      <c r="BOK47" s="191"/>
      <c r="BOL47" s="191"/>
      <c r="BOM47" s="191"/>
      <c r="BON47" s="191"/>
      <c r="BOO47" s="191"/>
      <c r="BOP47" s="191"/>
      <c r="BOQ47" s="191"/>
      <c r="BOR47" s="191"/>
      <c r="BOS47" s="191"/>
      <c r="BOT47" s="191"/>
      <c r="BOU47" s="191"/>
      <c r="BOV47" s="191"/>
      <c r="BOW47" s="191"/>
      <c r="BOX47" s="191"/>
      <c r="BOY47" s="191"/>
      <c r="BOZ47" s="191"/>
      <c r="BPA47" s="191"/>
      <c r="BPB47" s="191"/>
      <c r="BPC47" s="191"/>
      <c r="BPD47" s="191"/>
      <c r="BPE47" s="191"/>
      <c r="BPF47" s="191"/>
      <c r="BPG47" s="191"/>
      <c r="BPH47" s="191"/>
      <c r="BPI47" s="191"/>
      <c r="BPJ47" s="191"/>
      <c r="BPK47" s="191"/>
      <c r="BPL47" s="191"/>
      <c r="BPM47" s="191"/>
      <c r="BPN47" s="191"/>
      <c r="BPO47" s="191"/>
      <c r="BPP47" s="191"/>
      <c r="BPQ47" s="191"/>
      <c r="BPR47" s="191"/>
      <c r="BPS47" s="191"/>
      <c r="BPT47" s="191"/>
      <c r="BPU47" s="191"/>
      <c r="BPV47" s="191"/>
      <c r="BPW47" s="191"/>
      <c r="BPX47" s="191"/>
      <c r="BPY47" s="191"/>
      <c r="BPZ47" s="191"/>
      <c r="BQA47" s="191"/>
      <c r="BQB47" s="191"/>
      <c r="BQC47" s="191"/>
      <c r="BQD47" s="191"/>
      <c r="BQE47" s="191"/>
      <c r="BQF47" s="191"/>
      <c r="BQG47" s="191"/>
      <c r="BQH47" s="191"/>
      <c r="BQI47" s="191"/>
      <c r="BQJ47" s="191"/>
      <c r="BQK47" s="191"/>
      <c r="BQL47" s="191"/>
      <c r="BQM47" s="191"/>
      <c r="BQN47" s="191"/>
      <c r="BQO47" s="191"/>
      <c r="BQP47" s="191"/>
      <c r="BQQ47" s="191"/>
      <c r="BQR47" s="191"/>
      <c r="BQS47" s="191"/>
      <c r="BQT47" s="191"/>
      <c r="BQU47" s="191"/>
      <c r="BQV47" s="191"/>
      <c r="BQW47" s="191"/>
      <c r="BQX47" s="191"/>
      <c r="BQY47" s="191"/>
      <c r="BQZ47" s="191"/>
      <c r="BRA47" s="191"/>
      <c r="BRB47" s="191"/>
      <c r="BRC47" s="191"/>
      <c r="BRD47" s="191"/>
      <c r="BRE47" s="191"/>
      <c r="BRF47" s="191"/>
      <c r="BRG47" s="191"/>
      <c r="BRH47" s="191"/>
      <c r="BRI47" s="191"/>
      <c r="BRJ47" s="191"/>
      <c r="BRK47" s="191"/>
      <c r="BRL47" s="191"/>
      <c r="BRM47" s="191"/>
      <c r="BRN47" s="191"/>
      <c r="BRO47" s="191"/>
      <c r="BRP47" s="191"/>
      <c r="BRQ47" s="191"/>
      <c r="BRR47" s="191"/>
      <c r="BRS47" s="191"/>
      <c r="BRT47" s="191"/>
      <c r="BRU47" s="191"/>
      <c r="BRV47" s="191"/>
      <c r="BRW47" s="191"/>
      <c r="BRX47" s="191"/>
      <c r="BRY47" s="191"/>
      <c r="BRZ47" s="191"/>
      <c r="BSA47" s="191"/>
      <c r="BSB47" s="191"/>
      <c r="BSC47" s="191"/>
      <c r="BSD47" s="191"/>
      <c r="BSE47" s="191"/>
      <c r="BSF47" s="191"/>
      <c r="BSG47" s="191"/>
      <c r="BSH47" s="191"/>
      <c r="BSI47" s="191"/>
      <c r="BSJ47" s="191"/>
      <c r="BSK47" s="191"/>
      <c r="BSL47" s="191"/>
      <c r="BSM47" s="191"/>
      <c r="BSN47" s="191"/>
      <c r="BSO47" s="191"/>
      <c r="BSP47" s="191"/>
      <c r="BSQ47" s="191"/>
      <c r="BSR47" s="191"/>
      <c r="BSS47" s="191"/>
      <c r="BST47" s="191"/>
      <c r="BSU47" s="191"/>
      <c r="BSV47" s="191"/>
      <c r="BSW47" s="191"/>
      <c r="BSX47" s="191"/>
      <c r="BSY47" s="191"/>
      <c r="BSZ47" s="191"/>
      <c r="BTA47" s="191"/>
      <c r="BTB47" s="191"/>
      <c r="BTC47" s="191"/>
      <c r="BTD47" s="191"/>
      <c r="BTE47" s="191"/>
      <c r="BTF47" s="191"/>
      <c r="BTG47" s="191"/>
      <c r="BTH47" s="191"/>
      <c r="BTI47" s="191"/>
      <c r="BTJ47" s="191"/>
      <c r="BTK47" s="191"/>
      <c r="BTL47" s="191"/>
      <c r="BTM47" s="191"/>
      <c r="BTN47" s="191"/>
      <c r="BTO47" s="191"/>
      <c r="BTP47" s="191"/>
      <c r="BTQ47" s="191"/>
      <c r="BTR47" s="191"/>
      <c r="BTS47" s="191"/>
      <c r="BTT47" s="191"/>
      <c r="BTU47" s="191"/>
      <c r="BTV47" s="191"/>
      <c r="BTW47" s="191"/>
      <c r="BTX47" s="191"/>
      <c r="BTY47" s="191"/>
      <c r="BTZ47" s="191"/>
      <c r="BUA47" s="191"/>
      <c r="BUB47" s="191"/>
      <c r="BUC47" s="191"/>
      <c r="BUD47" s="191"/>
      <c r="BUE47" s="191"/>
      <c r="BUF47" s="191"/>
      <c r="BUG47" s="191"/>
      <c r="BUH47" s="191"/>
      <c r="BUI47" s="191"/>
      <c r="BUJ47" s="191"/>
      <c r="BUK47" s="191"/>
      <c r="BUL47" s="191"/>
      <c r="BUM47" s="191"/>
      <c r="BUN47" s="191"/>
      <c r="BUO47" s="191"/>
      <c r="BUP47" s="191"/>
      <c r="BUQ47" s="191"/>
      <c r="BUR47" s="191"/>
      <c r="BUS47" s="191"/>
      <c r="BUT47" s="191"/>
      <c r="BUU47" s="191"/>
      <c r="BUV47" s="191"/>
      <c r="BUW47" s="191"/>
      <c r="BUX47" s="191"/>
      <c r="BUY47" s="191"/>
      <c r="BUZ47" s="191"/>
      <c r="BVA47" s="191"/>
      <c r="BVB47" s="191"/>
      <c r="BVC47" s="191"/>
      <c r="BVD47" s="191"/>
      <c r="BVE47" s="191"/>
      <c r="BVF47" s="191"/>
      <c r="BVG47" s="191"/>
      <c r="BVH47" s="191"/>
      <c r="BVI47" s="191"/>
      <c r="BVJ47" s="191"/>
      <c r="BVK47" s="191"/>
      <c r="BVL47" s="191"/>
      <c r="BVM47" s="191"/>
      <c r="BVN47" s="191"/>
      <c r="BVO47" s="191"/>
      <c r="BVP47" s="191"/>
      <c r="BVQ47" s="191"/>
      <c r="BVR47" s="191"/>
      <c r="BVS47" s="191"/>
      <c r="BVT47" s="191"/>
      <c r="BVU47" s="191"/>
      <c r="BVV47" s="191"/>
      <c r="BVW47" s="191"/>
      <c r="BVX47" s="191"/>
      <c r="BVY47" s="191"/>
      <c r="BVZ47" s="191"/>
      <c r="BWA47" s="191"/>
      <c r="BWB47" s="191"/>
      <c r="BWC47" s="191"/>
      <c r="BWD47" s="191"/>
      <c r="BWE47" s="191"/>
      <c r="BWF47" s="191"/>
      <c r="BWG47" s="191"/>
      <c r="BWH47" s="191"/>
      <c r="BWI47" s="191"/>
      <c r="BWJ47" s="191"/>
      <c r="BWK47" s="191"/>
      <c r="BWL47" s="191"/>
      <c r="BWM47" s="191"/>
      <c r="BWN47" s="191"/>
      <c r="BWO47" s="191"/>
      <c r="BWP47" s="191"/>
      <c r="BWQ47" s="191"/>
      <c r="BWR47" s="191"/>
      <c r="BWS47" s="191"/>
      <c r="BWT47" s="191"/>
      <c r="BWU47" s="191"/>
      <c r="BWV47" s="191"/>
      <c r="BWW47" s="191"/>
      <c r="BWX47" s="191"/>
      <c r="BWY47" s="191"/>
      <c r="BWZ47" s="191"/>
      <c r="BXA47" s="191"/>
      <c r="BXB47" s="191"/>
      <c r="BXC47" s="191"/>
      <c r="BXD47" s="191"/>
      <c r="BXE47" s="191"/>
      <c r="BXF47" s="191"/>
      <c r="BXG47" s="191"/>
      <c r="BXH47" s="191"/>
      <c r="BXI47" s="191"/>
      <c r="BXJ47" s="191"/>
      <c r="BXK47" s="191"/>
      <c r="BXL47" s="191"/>
      <c r="BXM47" s="191"/>
      <c r="BXN47" s="191"/>
      <c r="BXO47" s="191"/>
      <c r="BXP47" s="191"/>
      <c r="BXQ47" s="191"/>
      <c r="BXR47" s="191"/>
      <c r="BXS47" s="191"/>
      <c r="BXT47" s="191"/>
      <c r="BXU47" s="191"/>
      <c r="BXV47" s="191"/>
      <c r="BXW47" s="191"/>
      <c r="BXX47" s="191"/>
      <c r="BXY47" s="191"/>
      <c r="BXZ47" s="191"/>
      <c r="BYA47" s="191"/>
      <c r="BYB47" s="191"/>
      <c r="BYC47" s="191"/>
      <c r="BYD47" s="191"/>
      <c r="BYE47" s="191"/>
      <c r="BYF47" s="191"/>
      <c r="BYG47" s="191"/>
      <c r="BYH47" s="191"/>
      <c r="BYI47" s="191"/>
      <c r="BYJ47" s="191"/>
      <c r="BYK47" s="191"/>
      <c r="BYL47" s="191"/>
      <c r="BYM47" s="191"/>
      <c r="BYN47" s="191"/>
      <c r="BYO47" s="191"/>
      <c r="BYP47" s="191"/>
      <c r="BYQ47" s="191"/>
      <c r="BYR47" s="191"/>
      <c r="BYS47" s="191"/>
      <c r="BYT47" s="191"/>
      <c r="BYU47" s="191"/>
      <c r="BYV47" s="191"/>
      <c r="BYW47" s="191"/>
      <c r="BYX47" s="191"/>
      <c r="BYY47" s="191"/>
      <c r="BYZ47" s="191"/>
      <c r="BZA47" s="191"/>
      <c r="BZB47" s="191"/>
      <c r="BZC47" s="191"/>
      <c r="BZD47" s="191"/>
      <c r="BZE47" s="191"/>
      <c r="BZF47" s="191"/>
      <c r="BZG47" s="191"/>
      <c r="BZH47" s="191"/>
      <c r="BZI47" s="191"/>
      <c r="BZJ47" s="191"/>
      <c r="BZK47" s="191"/>
      <c r="BZL47" s="191"/>
      <c r="BZM47" s="191"/>
      <c r="BZN47" s="191"/>
      <c r="BZO47" s="191"/>
      <c r="BZP47" s="191"/>
      <c r="BZQ47" s="191"/>
      <c r="BZR47" s="191"/>
      <c r="BZS47" s="191"/>
      <c r="BZT47" s="191"/>
      <c r="BZU47" s="191"/>
      <c r="BZV47" s="191"/>
      <c r="BZW47" s="191"/>
      <c r="BZX47" s="191"/>
      <c r="BZY47" s="191"/>
      <c r="BZZ47" s="191"/>
      <c r="CAA47" s="191"/>
      <c r="CAB47" s="191"/>
      <c r="CAC47" s="191"/>
      <c r="CAD47" s="191"/>
      <c r="CAE47" s="191"/>
      <c r="CAF47" s="191"/>
      <c r="CAG47" s="191"/>
      <c r="CAH47" s="191"/>
      <c r="CAI47" s="191"/>
      <c r="CAJ47" s="191"/>
      <c r="CAK47" s="191"/>
      <c r="CAL47" s="191"/>
      <c r="CAM47" s="191"/>
      <c r="CAN47" s="191"/>
      <c r="CAO47" s="191"/>
      <c r="CAP47" s="191"/>
      <c r="CAQ47" s="191"/>
      <c r="CAR47" s="191"/>
      <c r="CAS47" s="191"/>
      <c r="CAT47" s="191"/>
      <c r="CAU47" s="191"/>
      <c r="CAV47" s="191"/>
      <c r="CAW47" s="191"/>
      <c r="CAX47" s="191"/>
      <c r="CAY47" s="191"/>
      <c r="CAZ47" s="191"/>
      <c r="CBA47" s="191"/>
      <c r="CBB47" s="191"/>
      <c r="CBC47" s="191"/>
      <c r="CBD47" s="191"/>
      <c r="CBE47" s="191"/>
      <c r="CBF47" s="191"/>
      <c r="CBG47" s="191"/>
      <c r="CBH47" s="191"/>
      <c r="CBI47" s="191"/>
      <c r="CBJ47" s="191"/>
      <c r="CBK47" s="191"/>
      <c r="CBL47" s="191"/>
      <c r="CBM47" s="191"/>
      <c r="CBN47" s="191"/>
      <c r="CBO47" s="191"/>
      <c r="CBP47" s="191"/>
      <c r="CBQ47" s="191"/>
      <c r="CBR47" s="191"/>
      <c r="CBS47" s="191"/>
      <c r="CBT47" s="191"/>
      <c r="CBU47" s="191"/>
      <c r="CBV47" s="191"/>
      <c r="CBW47" s="191"/>
      <c r="CBX47" s="191"/>
      <c r="CBY47" s="191"/>
      <c r="CBZ47" s="191"/>
      <c r="CCA47" s="191"/>
      <c r="CCB47" s="191"/>
      <c r="CCC47" s="191"/>
      <c r="CCD47" s="191"/>
      <c r="CCE47" s="191"/>
      <c r="CCF47" s="191"/>
      <c r="CCG47" s="191"/>
      <c r="CCH47" s="191"/>
      <c r="CCI47" s="191"/>
      <c r="CCJ47" s="191"/>
      <c r="CCK47" s="191"/>
      <c r="CCL47" s="191"/>
      <c r="CCM47" s="191"/>
      <c r="CCN47" s="191"/>
      <c r="CCO47" s="191"/>
      <c r="CCP47" s="191"/>
      <c r="CCQ47" s="191"/>
      <c r="CCR47" s="191"/>
      <c r="CCS47" s="191"/>
      <c r="CCT47" s="191"/>
      <c r="CCU47" s="191"/>
      <c r="CCV47" s="191"/>
      <c r="CCW47" s="191"/>
      <c r="CCX47" s="191"/>
      <c r="CCY47" s="191"/>
      <c r="CCZ47" s="191"/>
      <c r="CDA47" s="191"/>
      <c r="CDB47" s="191"/>
      <c r="CDC47" s="191"/>
      <c r="CDD47" s="191"/>
      <c r="CDE47" s="191"/>
      <c r="CDF47" s="191"/>
      <c r="CDG47" s="191"/>
      <c r="CDH47" s="191"/>
      <c r="CDI47" s="191"/>
      <c r="CDJ47" s="191"/>
      <c r="CDK47" s="191"/>
      <c r="CDL47" s="191"/>
      <c r="CDM47" s="191"/>
      <c r="CDN47" s="191"/>
      <c r="CDO47" s="191"/>
      <c r="CDP47" s="191"/>
      <c r="CDQ47" s="191"/>
      <c r="CDR47" s="191"/>
      <c r="CDS47" s="191"/>
      <c r="CDT47" s="191"/>
      <c r="CDU47" s="191"/>
      <c r="CDV47" s="191"/>
      <c r="CDW47" s="191"/>
      <c r="CDX47" s="191"/>
      <c r="CDY47" s="191"/>
      <c r="CDZ47" s="191"/>
      <c r="CEA47" s="191"/>
      <c r="CEB47" s="191"/>
      <c r="CEC47" s="191"/>
      <c r="CED47" s="191"/>
      <c r="CEE47" s="191"/>
      <c r="CEF47" s="191"/>
      <c r="CEG47" s="191"/>
      <c r="CEH47" s="191"/>
      <c r="CEI47" s="191"/>
      <c r="CEJ47" s="191"/>
      <c r="CEK47" s="191"/>
      <c r="CEL47" s="191"/>
      <c r="CEM47" s="191"/>
      <c r="CEN47" s="191"/>
      <c r="CEO47" s="191"/>
      <c r="CEP47" s="191"/>
      <c r="CEQ47" s="191"/>
      <c r="CER47" s="191"/>
      <c r="CES47" s="191"/>
      <c r="CET47" s="191"/>
      <c r="CEU47" s="191"/>
      <c r="CEV47" s="191"/>
      <c r="CEW47" s="191"/>
      <c r="CEX47" s="191"/>
      <c r="CEY47" s="191"/>
      <c r="CEZ47" s="191"/>
      <c r="CFA47" s="191"/>
      <c r="CFB47" s="191"/>
      <c r="CFC47" s="191"/>
      <c r="CFD47" s="191"/>
      <c r="CFE47" s="191"/>
      <c r="CFF47" s="191"/>
      <c r="CFG47" s="191"/>
      <c r="CFH47" s="191"/>
      <c r="CFI47" s="191"/>
      <c r="CFJ47" s="191"/>
      <c r="CFK47" s="191"/>
      <c r="CFL47" s="191"/>
      <c r="CFM47" s="191"/>
      <c r="CFN47" s="191"/>
      <c r="CFO47" s="191"/>
      <c r="CFP47" s="191"/>
      <c r="CFQ47" s="191"/>
      <c r="CFR47" s="191"/>
      <c r="CFS47" s="191"/>
      <c r="CFT47" s="191"/>
      <c r="CFU47" s="191"/>
      <c r="CFV47" s="191"/>
      <c r="CFW47" s="191"/>
      <c r="CFX47" s="191"/>
      <c r="CFY47" s="191"/>
      <c r="CFZ47" s="191"/>
      <c r="CGA47" s="191"/>
      <c r="CGB47" s="191"/>
      <c r="CGC47" s="191"/>
      <c r="CGD47" s="191"/>
      <c r="CGE47" s="191"/>
      <c r="CGF47" s="191"/>
      <c r="CGG47" s="191"/>
      <c r="CGH47" s="191"/>
      <c r="CGI47" s="191"/>
      <c r="CGJ47" s="191"/>
      <c r="CGK47" s="191"/>
      <c r="CGL47" s="191"/>
      <c r="CGM47" s="191"/>
      <c r="CGN47" s="191"/>
      <c r="CGO47" s="191"/>
      <c r="CGP47" s="191"/>
      <c r="CGQ47" s="191"/>
      <c r="CGR47" s="191"/>
      <c r="CGS47" s="191"/>
      <c r="CGT47" s="191"/>
      <c r="CGU47" s="191"/>
      <c r="CGV47" s="191"/>
      <c r="CGW47" s="191"/>
      <c r="CGX47" s="191"/>
      <c r="CGY47" s="191"/>
      <c r="CGZ47" s="191"/>
      <c r="CHA47" s="191"/>
      <c r="CHB47" s="191"/>
      <c r="CHC47" s="191"/>
      <c r="CHD47" s="191"/>
      <c r="CHE47" s="191"/>
      <c r="CHF47" s="191"/>
      <c r="CHG47" s="191"/>
      <c r="CHH47" s="191"/>
      <c r="CHI47" s="191"/>
      <c r="CHJ47" s="191"/>
      <c r="CHK47" s="191"/>
      <c r="CHL47" s="191"/>
      <c r="CHM47" s="191"/>
      <c r="CHN47" s="191"/>
      <c r="CHO47" s="191"/>
      <c r="CHP47" s="191"/>
      <c r="CHQ47" s="191"/>
      <c r="CHR47" s="191"/>
      <c r="CHS47" s="191"/>
      <c r="CHT47" s="191"/>
      <c r="CHU47" s="191"/>
      <c r="CHV47" s="191"/>
      <c r="CHW47" s="191"/>
      <c r="CHX47" s="191"/>
      <c r="CHY47" s="191"/>
      <c r="CHZ47" s="191"/>
      <c r="CIA47" s="191"/>
      <c r="CIB47" s="191"/>
      <c r="CIC47" s="191"/>
      <c r="CID47" s="191"/>
      <c r="CIE47" s="191"/>
      <c r="CIF47" s="191"/>
      <c r="CIG47" s="191"/>
      <c r="CIH47" s="191"/>
      <c r="CII47" s="191"/>
      <c r="CIJ47" s="191"/>
      <c r="CIK47" s="191"/>
      <c r="CIL47" s="191"/>
      <c r="CIM47" s="191"/>
      <c r="CIN47" s="191"/>
      <c r="CIO47" s="191"/>
      <c r="CIP47" s="191"/>
      <c r="CIQ47" s="191"/>
      <c r="CIR47" s="191"/>
      <c r="CIS47" s="191"/>
      <c r="CIT47" s="191"/>
      <c r="CIU47" s="191"/>
      <c r="CIV47" s="191"/>
      <c r="CIW47" s="191"/>
      <c r="CIX47" s="191"/>
      <c r="CIY47" s="191"/>
      <c r="CIZ47" s="191"/>
      <c r="CJA47" s="191"/>
      <c r="CJB47" s="191"/>
      <c r="CJC47" s="191"/>
      <c r="CJD47" s="191"/>
      <c r="CJE47" s="191"/>
      <c r="CJF47" s="191"/>
      <c r="CJG47" s="191"/>
      <c r="CJH47" s="191"/>
      <c r="CJI47" s="191"/>
      <c r="CJJ47" s="191"/>
      <c r="CJK47" s="191"/>
      <c r="CJL47" s="191"/>
      <c r="CJM47" s="191"/>
      <c r="CJN47" s="191"/>
      <c r="CJO47" s="191"/>
      <c r="CJP47" s="191"/>
      <c r="CJQ47" s="191"/>
      <c r="CJR47" s="191"/>
      <c r="CJS47" s="191"/>
      <c r="CJT47" s="191"/>
      <c r="CJU47" s="191"/>
      <c r="CJV47" s="191"/>
      <c r="CJW47" s="191"/>
      <c r="CJX47" s="191"/>
      <c r="CJY47" s="191"/>
      <c r="CJZ47" s="191"/>
      <c r="CKA47" s="191"/>
      <c r="CKB47" s="191"/>
      <c r="CKC47" s="191"/>
      <c r="CKD47" s="191"/>
      <c r="CKE47" s="191"/>
      <c r="CKF47" s="191"/>
      <c r="CKG47" s="191"/>
      <c r="CKH47" s="191"/>
      <c r="CKI47" s="191"/>
      <c r="CKJ47" s="191"/>
      <c r="CKK47" s="191"/>
      <c r="CKL47" s="191"/>
      <c r="CKM47" s="191"/>
      <c r="CKN47" s="191"/>
      <c r="CKO47" s="191"/>
      <c r="CKP47" s="191"/>
      <c r="CKQ47" s="191"/>
      <c r="CKR47" s="191"/>
      <c r="CKS47" s="191"/>
      <c r="CKT47" s="191"/>
      <c r="CKU47" s="191"/>
      <c r="CKV47" s="191"/>
      <c r="CKW47" s="191"/>
      <c r="CKX47" s="191"/>
      <c r="CKY47" s="191"/>
      <c r="CKZ47" s="191"/>
      <c r="CLA47" s="191"/>
      <c r="CLB47" s="191"/>
      <c r="CLC47" s="191"/>
      <c r="CLD47" s="191"/>
      <c r="CLE47" s="191"/>
      <c r="CLF47" s="191"/>
      <c r="CLG47" s="191"/>
      <c r="CLH47" s="191"/>
      <c r="CLI47" s="191"/>
      <c r="CLJ47" s="191"/>
      <c r="CLK47" s="191"/>
      <c r="CLL47" s="191"/>
      <c r="CLM47" s="191"/>
      <c r="CLN47" s="191"/>
      <c r="CLO47" s="191"/>
      <c r="CLP47" s="191"/>
      <c r="CLQ47" s="191"/>
      <c r="CLR47" s="191"/>
      <c r="CLS47" s="191"/>
      <c r="CLT47" s="191"/>
      <c r="CLU47" s="191"/>
      <c r="CLV47" s="191"/>
      <c r="CLW47" s="191"/>
      <c r="CLX47" s="191"/>
      <c r="CLY47" s="191"/>
      <c r="CLZ47" s="191"/>
      <c r="CMA47" s="191"/>
      <c r="CMB47" s="191"/>
      <c r="CMC47" s="191"/>
      <c r="CMD47" s="191"/>
      <c r="CME47" s="191"/>
      <c r="CMF47" s="191"/>
      <c r="CMG47" s="191"/>
      <c r="CMH47" s="191"/>
      <c r="CMI47" s="191"/>
      <c r="CMJ47" s="191"/>
      <c r="CMK47" s="191"/>
      <c r="CML47" s="191"/>
      <c r="CMM47" s="191"/>
      <c r="CMN47" s="191"/>
      <c r="CMO47" s="191"/>
      <c r="CMP47" s="191"/>
      <c r="CMQ47" s="191"/>
      <c r="CMR47" s="191"/>
      <c r="CMS47" s="191"/>
      <c r="CMT47" s="191"/>
      <c r="CMU47" s="191"/>
      <c r="CMV47" s="191"/>
      <c r="CMW47" s="191"/>
      <c r="CMX47" s="191"/>
      <c r="CMY47" s="191"/>
      <c r="CMZ47" s="191"/>
      <c r="CNA47" s="191"/>
      <c r="CNB47" s="191"/>
      <c r="CNC47" s="191"/>
      <c r="CND47" s="191"/>
      <c r="CNE47" s="191"/>
      <c r="CNF47" s="191"/>
      <c r="CNG47" s="191"/>
      <c r="CNH47" s="191"/>
      <c r="CNI47" s="191"/>
      <c r="CNJ47" s="191"/>
      <c r="CNK47" s="191"/>
      <c r="CNL47" s="191"/>
      <c r="CNM47" s="191"/>
      <c r="CNN47" s="191"/>
      <c r="CNO47" s="191"/>
      <c r="CNP47" s="191"/>
      <c r="CNQ47" s="191"/>
      <c r="CNR47" s="191"/>
      <c r="CNS47" s="191"/>
      <c r="CNT47" s="191"/>
      <c r="CNU47" s="191"/>
      <c r="CNV47" s="191"/>
      <c r="CNW47" s="191"/>
      <c r="CNX47" s="191"/>
      <c r="CNY47" s="191"/>
      <c r="CNZ47" s="191"/>
      <c r="COA47" s="191"/>
      <c r="COB47" s="191"/>
      <c r="COC47" s="191"/>
      <c r="COD47" s="191"/>
      <c r="COE47" s="191"/>
      <c r="COF47" s="191"/>
      <c r="COG47" s="191"/>
      <c r="COH47" s="191"/>
      <c r="COI47" s="191"/>
      <c r="COJ47" s="191"/>
      <c r="COK47" s="191"/>
      <c r="COL47" s="191"/>
      <c r="COM47" s="191"/>
      <c r="CON47" s="191"/>
      <c r="COO47" s="191"/>
      <c r="COP47" s="191"/>
      <c r="COQ47" s="191"/>
      <c r="COR47" s="191"/>
      <c r="COS47" s="191"/>
      <c r="COT47" s="191"/>
      <c r="COU47" s="191"/>
      <c r="COV47" s="191"/>
      <c r="COW47" s="191"/>
      <c r="COX47" s="191"/>
      <c r="COY47" s="191"/>
      <c r="COZ47" s="191"/>
      <c r="CPA47" s="191"/>
      <c r="CPB47" s="191"/>
      <c r="CPC47" s="191"/>
      <c r="CPD47" s="191"/>
      <c r="CPE47" s="191"/>
      <c r="CPF47" s="191"/>
      <c r="CPG47" s="191"/>
      <c r="CPH47" s="191"/>
      <c r="CPI47" s="191"/>
      <c r="CPJ47" s="191"/>
      <c r="CPK47" s="191"/>
      <c r="CPL47" s="191"/>
      <c r="CPM47" s="191"/>
      <c r="CPN47" s="191"/>
      <c r="CPO47" s="191"/>
      <c r="CPP47" s="191"/>
      <c r="CPQ47" s="191"/>
      <c r="CPR47" s="191"/>
      <c r="CPS47" s="191"/>
      <c r="CPT47" s="191"/>
      <c r="CPU47" s="191"/>
      <c r="CPV47" s="191"/>
      <c r="CPW47" s="191"/>
      <c r="CPX47" s="191"/>
      <c r="CPY47" s="191"/>
      <c r="CPZ47" s="191"/>
      <c r="CQA47" s="191"/>
      <c r="CQB47" s="191"/>
      <c r="CQC47" s="191"/>
      <c r="CQD47" s="191"/>
      <c r="CQE47" s="191"/>
      <c r="CQF47" s="191"/>
      <c r="CQG47" s="191"/>
      <c r="CQH47" s="191"/>
      <c r="CQI47" s="191"/>
      <c r="CQJ47" s="191"/>
      <c r="CQK47" s="191"/>
      <c r="CQL47" s="191"/>
      <c r="CQM47" s="191"/>
      <c r="CQN47" s="191"/>
      <c r="CQO47" s="191"/>
      <c r="CQP47" s="191"/>
      <c r="CQQ47" s="191"/>
      <c r="CQR47" s="191"/>
      <c r="CQS47" s="191"/>
      <c r="CQT47" s="191"/>
      <c r="CQU47" s="191"/>
      <c r="CQV47" s="191"/>
      <c r="CQW47" s="191"/>
      <c r="CQX47" s="191"/>
      <c r="CQY47" s="191"/>
      <c r="CQZ47" s="191"/>
      <c r="CRA47" s="191"/>
      <c r="CRB47" s="191"/>
      <c r="CRC47" s="191"/>
      <c r="CRD47" s="191"/>
      <c r="CRE47" s="191"/>
      <c r="CRF47" s="191"/>
      <c r="CRG47" s="191"/>
      <c r="CRH47" s="191"/>
      <c r="CRI47" s="191"/>
      <c r="CRJ47" s="191"/>
      <c r="CRK47" s="191"/>
      <c r="CRL47" s="191"/>
      <c r="CRM47" s="191"/>
      <c r="CRN47" s="191"/>
      <c r="CRO47" s="191"/>
      <c r="CRP47" s="191"/>
      <c r="CRQ47" s="191"/>
      <c r="CRR47" s="191"/>
      <c r="CRS47" s="191"/>
      <c r="CRT47" s="191"/>
      <c r="CRU47" s="191"/>
      <c r="CRV47" s="191"/>
      <c r="CRW47" s="191"/>
      <c r="CRX47" s="191"/>
      <c r="CRY47" s="191"/>
      <c r="CRZ47" s="191"/>
      <c r="CSA47" s="191"/>
      <c r="CSB47" s="191"/>
      <c r="CSC47" s="191"/>
      <c r="CSD47" s="191"/>
      <c r="CSE47" s="191"/>
      <c r="CSF47" s="191"/>
      <c r="CSG47" s="191"/>
      <c r="CSH47" s="191"/>
      <c r="CSI47" s="191"/>
      <c r="CSJ47" s="191"/>
      <c r="CSK47" s="191"/>
      <c r="CSL47" s="191"/>
      <c r="CSM47" s="191"/>
      <c r="CSN47" s="191"/>
      <c r="CSO47" s="191"/>
      <c r="CSP47" s="191"/>
      <c r="CSQ47" s="191"/>
      <c r="CSR47" s="191"/>
      <c r="CSS47" s="191"/>
      <c r="CST47" s="191"/>
      <c r="CSU47" s="191"/>
      <c r="CSV47" s="191"/>
      <c r="CSW47" s="191"/>
      <c r="CSX47" s="191"/>
      <c r="CSY47" s="191"/>
      <c r="CSZ47" s="191"/>
      <c r="CTA47" s="191"/>
      <c r="CTB47" s="191"/>
      <c r="CTC47" s="191"/>
      <c r="CTD47" s="191"/>
      <c r="CTE47" s="191"/>
      <c r="CTF47" s="191"/>
      <c r="CTG47" s="191"/>
      <c r="CTH47" s="191"/>
      <c r="CTI47" s="191"/>
      <c r="CTJ47" s="191"/>
      <c r="CTK47" s="191"/>
      <c r="CTL47" s="191"/>
      <c r="CTM47" s="191"/>
      <c r="CTN47" s="191"/>
      <c r="CTO47" s="191"/>
      <c r="CTP47" s="191"/>
      <c r="CTQ47" s="191"/>
      <c r="CTR47" s="191"/>
      <c r="CTS47" s="191"/>
      <c r="CTT47" s="191"/>
      <c r="CTU47" s="191"/>
      <c r="CTV47" s="191"/>
      <c r="CTW47" s="191"/>
      <c r="CTX47" s="191"/>
      <c r="CTY47" s="191"/>
      <c r="CTZ47" s="191"/>
      <c r="CUA47" s="191"/>
      <c r="CUB47" s="191"/>
      <c r="CUC47" s="191"/>
      <c r="CUD47" s="191"/>
      <c r="CUE47" s="191"/>
      <c r="CUF47" s="191"/>
      <c r="CUG47" s="191"/>
      <c r="CUH47" s="191"/>
      <c r="CUI47" s="191"/>
      <c r="CUJ47" s="191"/>
      <c r="CUK47" s="191"/>
      <c r="CUL47" s="191"/>
      <c r="CUM47" s="191"/>
      <c r="CUN47" s="191"/>
      <c r="CUO47" s="191"/>
      <c r="CUP47" s="191"/>
      <c r="CUQ47" s="191"/>
      <c r="CUR47" s="191"/>
      <c r="CUS47" s="191"/>
      <c r="CUT47" s="191"/>
      <c r="CUU47" s="191"/>
      <c r="CUV47" s="191"/>
      <c r="CUW47" s="191"/>
      <c r="CUX47" s="191"/>
      <c r="CUY47" s="191"/>
      <c r="CUZ47" s="191"/>
      <c r="CVA47" s="191"/>
      <c r="CVB47" s="191"/>
      <c r="CVC47" s="191"/>
      <c r="CVD47" s="191"/>
      <c r="CVE47" s="191"/>
      <c r="CVF47" s="191"/>
      <c r="CVG47" s="191"/>
      <c r="CVH47" s="191"/>
      <c r="CVI47" s="191"/>
      <c r="CVJ47" s="191"/>
      <c r="CVK47" s="191"/>
      <c r="CVL47" s="191"/>
      <c r="CVM47" s="191"/>
      <c r="CVN47" s="191"/>
      <c r="CVO47" s="191"/>
      <c r="CVP47" s="191"/>
      <c r="CVQ47" s="191"/>
      <c r="CVR47" s="191"/>
      <c r="CVS47" s="191"/>
      <c r="CVT47" s="191"/>
      <c r="CVU47" s="191"/>
      <c r="CVV47" s="191"/>
      <c r="CVW47" s="191"/>
      <c r="CVX47" s="191"/>
      <c r="CVY47" s="191"/>
      <c r="CVZ47" s="191"/>
      <c r="CWA47" s="191"/>
      <c r="CWB47" s="191"/>
      <c r="CWC47" s="191"/>
      <c r="CWD47" s="191"/>
      <c r="CWE47" s="191"/>
      <c r="CWF47" s="191"/>
      <c r="CWG47" s="191"/>
      <c r="CWH47" s="191"/>
      <c r="CWI47" s="191"/>
      <c r="CWJ47" s="191"/>
      <c r="CWK47" s="191"/>
      <c r="CWL47" s="191"/>
      <c r="CWM47" s="191"/>
      <c r="CWN47" s="191"/>
      <c r="CWO47" s="191"/>
      <c r="CWP47" s="191"/>
      <c r="CWQ47" s="191"/>
      <c r="CWR47" s="191"/>
      <c r="CWS47" s="191"/>
      <c r="CWT47" s="191"/>
      <c r="CWU47" s="191"/>
      <c r="CWV47" s="191"/>
      <c r="CWW47" s="191"/>
      <c r="CWX47" s="191"/>
      <c r="CWY47" s="191"/>
      <c r="CWZ47" s="191"/>
      <c r="CXA47" s="191"/>
      <c r="CXB47" s="191"/>
      <c r="CXC47" s="191"/>
      <c r="CXD47" s="191"/>
      <c r="CXE47" s="191"/>
      <c r="CXF47" s="191"/>
      <c r="CXG47" s="191"/>
      <c r="CXH47" s="191"/>
      <c r="CXI47" s="191"/>
      <c r="CXJ47" s="191"/>
      <c r="CXK47" s="191"/>
      <c r="CXL47" s="191"/>
      <c r="CXM47" s="191"/>
      <c r="CXN47" s="191"/>
      <c r="CXO47" s="191"/>
      <c r="CXP47" s="191"/>
      <c r="CXQ47" s="191"/>
      <c r="CXR47" s="191"/>
      <c r="CXS47" s="191"/>
      <c r="CXT47" s="191"/>
      <c r="CXU47" s="191"/>
      <c r="CXV47" s="191"/>
      <c r="CXW47" s="191"/>
      <c r="CXX47" s="191"/>
      <c r="CXY47" s="191"/>
      <c r="CXZ47" s="191"/>
      <c r="CYA47" s="191"/>
      <c r="CYB47" s="191"/>
      <c r="CYC47" s="191"/>
      <c r="CYD47" s="191"/>
      <c r="CYE47" s="191"/>
      <c r="CYF47" s="191"/>
      <c r="CYG47" s="191"/>
      <c r="CYH47" s="191"/>
      <c r="CYI47" s="191"/>
      <c r="CYJ47" s="191"/>
      <c r="CYK47" s="191"/>
      <c r="CYL47" s="191"/>
      <c r="CYM47" s="191"/>
      <c r="CYN47" s="191"/>
      <c r="CYO47" s="191"/>
      <c r="CYP47" s="191"/>
      <c r="CYQ47" s="191"/>
      <c r="CYR47" s="191"/>
      <c r="CYS47" s="191"/>
      <c r="CYT47" s="191"/>
      <c r="CYU47" s="191"/>
      <c r="CYV47" s="191"/>
      <c r="CYW47" s="191"/>
      <c r="CYX47" s="191"/>
      <c r="CYY47" s="191"/>
      <c r="CYZ47" s="191"/>
      <c r="CZA47" s="191"/>
      <c r="CZB47" s="191"/>
      <c r="CZC47" s="191"/>
      <c r="CZD47" s="191"/>
      <c r="CZE47" s="191"/>
      <c r="CZF47" s="191"/>
      <c r="CZG47" s="191"/>
      <c r="CZH47" s="191"/>
      <c r="CZI47" s="191"/>
      <c r="CZJ47" s="191"/>
      <c r="CZK47" s="191"/>
      <c r="CZL47" s="191"/>
      <c r="CZM47" s="191"/>
      <c r="CZN47" s="191"/>
      <c r="CZO47" s="191"/>
      <c r="CZP47" s="191"/>
      <c r="CZQ47" s="191"/>
      <c r="CZR47" s="191"/>
      <c r="CZS47" s="191"/>
      <c r="CZT47" s="191"/>
      <c r="CZU47" s="191"/>
      <c r="CZV47" s="191"/>
      <c r="CZW47" s="191"/>
      <c r="CZX47" s="191"/>
      <c r="CZY47" s="191"/>
      <c r="CZZ47" s="191"/>
      <c r="DAA47" s="191"/>
      <c r="DAB47" s="191"/>
      <c r="DAC47" s="191"/>
      <c r="DAD47" s="191"/>
      <c r="DAE47" s="191"/>
      <c r="DAF47" s="191"/>
      <c r="DAG47" s="191"/>
      <c r="DAH47" s="191"/>
      <c r="DAI47" s="191"/>
      <c r="DAJ47" s="191"/>
      <c r="DAK47" s="191"/>
      <c r="DAL47" s="191"/>
      <c r="DAM47" s="191"/>
      <c r="DAN47" s="191"/>
      <c r="DAO47" s="191"/>
      <c r="DAP47" s="191"/>
      <c r="DAQ47" s="191"/>
      <c r="DAR47" s="191"/>
      <c r="DAS47" s="191"/>
      <c r="DAT47" s="191"/>
      <c r="DAU47" s="191"/>
      <c r="DAV47" s="191"/>
      <c r="DAW47" s="191"/>
      <c r="DAX47" s="191"/>
      <c r="DAY47" s="191"/>
      <c r="DAZ47" s="191"/>
      <c r="DBA47" s="191"/>
      <c r="DBB47" s="191"/>
      <c r="DBC47" s="191"/>
      <c r="DBD47" s="191"/>
      <c r="DBE47" s="191"/>
      <c r="DBF47" s="191"/>
      <c r="DBG47" s="191"/>
      <c r="DBH47" s="191"/>
      <c r="DBI47" s="191"/>
      <c r="DBJ47" s="191"/>
      <c r="DBK47" s="191"/>
      <c r="DBL47" s="191"/>
      <c r="DBM47" s="191"/>
      <c r="DBN47" s="191"/>
      <c r="DBO47" s="191"/>
      <c r="DBP47" s="191"/>
      <c r="DBQ47" s="191"/>
      <c r="DBR47" s="191"/>
      <c r="DBS47" s="191"/>
      <c r="DBT47" s="191"/>
      <c r="DBU47" s="191"/>
      <c r="DBV47" s="191"/>
      <c r="DBW47" s="191"/>
      <c r="DBX47" s="191"/>
      <c r="DBY47" s="191"/>
      <c r="DBZ47" s="191"/>
      <c r="DCA47" s="191"/>
      <c r="DCB47" s="191"/>
      <c r="DCC47" s="191"/>
      <c r="DCD47" s="191"/>
      <c r="DCE47" s="191"/>
      <c r="DCF47" s="191"/>
      <c r="DCG47" s="191"/>
      <c r="DCH47" s="191"/>
      <c r="DCI47" s="191"/>
      <c r="DCJ47" s="191"/>
      <c r="DCK47" s="191"/>
      <c r="DCL47" s="191"/>
      <c r="DCM47" s="191"/>
      <c r="DCN47" s="191"/>
      <c r="DCO47" s="191"/>
      <c r="DCP47" s="191"/>
      <c r="DCQ47" s="191"/>
      <c r="DCR47" s="191"/>
      <c r="DCS47" s="191"/>
      <c r="DCT47" s="191"/>
      <c r="DCU47" s="191"/>
      <c r="DCV47" s="191"/>
      <c r="DCW47" s="191"/>
      <c r="DCX47" s="191"/>
      <c r="DCY47" s="191"/>
      <c r="DCZ47" s="191"/>
      <c r="DDA47" s="191"/>
      <c r="DDB47" s="191"/>
      <c r="DDC47" s="191"/>
      <c r="DDD47" s="191"/>
      <c r="DDE47" s="191"/>
      <c r="DDF47" s="191"/>
      <c r="DDG47" s="191"/>
      <c r="DDH47" s="191"/>
      <c r="DDI47" s="191"/>
      <c r="DDJ47" s="191"/>
      <c r="DDK47" s="191"/>
      <c r="DDL47" s="191"/>
      <c r="DDM47" s="191"/>
      <c r="DDN47" s="191"/>
      <c r="DDO47" s="191"/>
      <c r="DDP47" s="191"/>
      <c r="DDQ47" s="191"/>
      <c r="DDR47" s="191"/>
      <c r="DDS47" s="191"/>
      <c r="DDT47" s="191"/>
      <c r="DDU47" s="191"/>
      <c r="DDV47" s="191"/>
      <c r="DDW47" s="191"/>
      <c r="DDX47" s="191"/>
      <c r="DDY47" s="191"/>
      <c r="DDZ47" s="191"/>
      <c r="DEA47" s="191"/>
      <c r="DEB47" s="191"/>
      <c r="DEC47" s="191"/>
      <c r="DED47" s="191"/>
      <c r="DEE47" s="191"/>
      <c r="DEF47" s="191"/>
      <c r="DEG47" s="191"/>
      <c r="DEH47" s="191"/>
      <c r="DEI47" s="191"/>
      <c r="DEJ47" s="191"/>
      <c r="DEK47" s="191"/>
      <c r="DEL47" s="191"/>
      <c r="DEM47" s="191"/>
      <c r="DEN47" s="191"/>
      <c r="DEO47" s="191"/>
      <c r="DEP47" s="191"/>
      <c r="DEQ47" s="191"/>
      <c r="DER47" s="191"/>
      <c r="DES47" s="191"/>
      <c r="DET47" s="191"/>
      <c r="DEU47" s="191"/>
      <c r="DEV47" s="191"/>
      <c r="DEW47" s="191"/>
      <c r="DEX47" s="191"/>
      <c r="DEY47" s="191"/>
      <c r="DEZ47" s="191"/>
      <c r="DFA47" s="191"/>
      <c r="DFB47" s="191"/>
      <c r="DFC47" s="191"/>
      <c r="DFD47" s="191"/>
      <c r="DFE47" s="191"/>
      <c r="DFF47" s="191"/>
      <c r="DFG47" s="191"/>
      <c r="DFH47" s="191"/>
      <c r="DFI47" s="191"/>
      <c r="DFJ47" s="191"/>
      <c r="DFK47" s="191"/>
      <c r="DFL47" s="191"/>
      <c r="DFM47" s="191"/>
      <c r="DFN47" s="191"/>
      <c r="DFO47" s="191"/>
      <c r="DFP47" s="191"/>
      <c r="DFQ47" s="191"/>
      <c r="DFR47" s="191"/>
      <c r="DFS47" s="191"/>
      <c r="DFT47" s="191"/>
      <c r="DFU47" s="191"/>
      <c r="DFV47" s="191"/>
      <c r="DFW47" s="191"/>
      <c r="DFX47" s="191"/>
      <c r="DFY47" s="191"/>
      <c r="DFZ47" s="191"/>
      <c r="DGA47" s="191"/>
      <c r="DGB47" s="191"/>
      <c r="DGC47" s="191"/>
      <c r="DGD47" s="191"/>
      <c r="DGE47" s="191"/>
      <c r="DGF47" s="191"/>
      <c r="DGG47" s="191"/>
      <c r="DGH47" s="191"/>
      <c r="DGI47" s="191"/>
      <c r="DGJ47" s="191"/>
      <c r="DGK47" s="191"/>
      <c r="DGL47" s="191"/>
      <c r="DGM47" s="191"/>
      <c r="DGN47" s="191"/>
      <c r="DGO47" s="191"/>
      <c r="DGP47" s="191"/>
      <c r="DGQ47" s="191"/>
      <c r="DGR47" s="191"/>
      <c r="DGS47" s="191"/>
      <c r="DGT47" s="191"/>
      <c r="DGU47" s="191"/>
      <c r="DGV47" s="191"/>
      <c r="DGW47" s="191"/>
      <c r="DGX47" s="191"/>
      <c r="DGY47" s="191"/>
      <c r="DGZ47" s="191"/>
      <c r="DHA47" s="191"/>
      <c r="DHB47" s="191"/>
      <c r="DHC47" s="191"/>
      <c r="DHD47" s="191"/>
      <c r="DHE47" s="191"/>
      <c r="DHF47" s="191"/>
      <c r="DHG47" s="191"/>
      <c r="DHH47" s="191"/>
      <c r="DHI47" s="191"/>
      <c r="DHJ47" s="191"/>
      <c r="DHK47" s="191"/>
      <c r="DHL47" s="191"/>
      <c r="DHM47" s="191"/>
      <c r="DHN47" s="191"/>
      <c r="DHO47" s="191"/>
      <c r="DHP47" s="191"/>
      <c r="DHQ47" s="191"/>
      <c r="DHR47" s="191"/>
      <c r="DHS47" s="191"/>
      <c r="DHT47" s="191"/>
      <c r="DHU47" s="191"/>
      <c r="DHV47" s="191"/>
      <c r="DHW47" s="191"/>
      <c r="DHX47" s="191"/>
      <c r="DHY47" s="191"/>
      <c r="DHZ47" s="191"/>
      <c r="DIA47" s="191"/>
      <c r="DIB47" s="191"/>
      <c r="DIC47" s="191"/>
      <c r="DID47" s="191"/>
      <c r="DIE47" s="191"/>
      <c r="DIF47" s="191"/>
      <c r="DIG47" s="191"/>
      <c r="DIH47" s="191"/>
      <c r="DII47" s="191"/>
      <c r="DIJ47" s="191"/>
      <c r="DIK47" s="191"/>
      <c r="DIL47" s="191"/>
      <c r="DIM47" s="191"/>
      <c r="DIN47" s="191"/>
      <c r="DIO47" s="191"/>
      <c r="DIP47" s="191"/>
      <c r="DIQ47" s="191"/>
      <c r="DIR47" s="191"/>
      <c r="DIS47" s="191"/>
      <c r="DIT47" s="191"/>
      <c r="DIU47" s="191"/>
      <c r="DIV47" s="191"/>
      <c r="DIW47" s="191"/>
      <c r="DIX47" s="191"/>
      <c r="DIY47" s="191"/>
      <c r="DIZ47" s="191"/>
      <c r="DJA47" s="191"/>
      <c r="DJB47" s="191"/>
      <c r="DJC47" s="191"/>
      <c r="DJD47" s="191"/>
      <c r="DJE47" s="191"/>
      <c r="DJF47" s="191"/>
      <c r="DJG47" s="191"/>
      <c r="DJH47" s="191"/>
      <c r="DJI47" s="191"/>
      <c r="DJJ47" s="191"/>
      <c r="DJK47" s="191"/>
      <c r="DJL47" s="191"/>
      <c r="DJM47" s="191"/>
      <c r="DJN47" s="191"/>
      <c r="DJO47" s="191"/>
      <c r="DJP47" s="191"/>
      <c r="DJQ47" s="191"/>
      <c r="DJR47" s="191"/>
      <c r="DJS47" s="191"/>
      <c r="DJT47" s="191"/>
      <c r="DJU47" s="191"/>
      <c r="DJV47" s="191"/>
      <c r="DJW47" s="191"/>
      <c r="DJX47" s="191"/>
      <c r="DJY47" s="191"/>
      <c r="DJZ47" s="191"/>
      <c r="DKA47" s="191"/>
      <c r="DKB47" s="191"/>
      <c r="DKC47" s="191"/>
      <c r="DKD47" s="191"/>
      <c r="DKE47" s="191"/>
      <c r="DKF47" s="191"/>
      <c r="DKG47" s="191"/>
      <c r="DKH47" s="191"/>
      <c r="DKI47" s="191"/>
      <c r="DKJ47" s="191"/>
      <c r="DKK47" s="191"/>
      <c r="DKL47" s="191"/>
      <c r="DKM47" s="191"/>
      <c r="DKN47" s="191"/>
      <c r="DKO47" s="191"/>
      <c r="DKP47" s="191"/>
      <c r="DKQ47" s="191"/>
      <c r="DKR47" s="191"/>
      <c r="DKS47" s="191"/>
      <c r="DKT47" s="191"/>
      <c r="DKU47" s="191"/>
      <c r="DKV47" s="191"/>
      <c r="DKW47" s="191"/>
      <c r="DKX47" s="191"/>
      <c r="DKY47" s="191"/>
      <c r="DKZ47" s="191"/>
      <c r="DLA47" s="191"/>
      <c r="DLB47" s="191"/>
      <c r="DLC47" s="191"/>
      <c r="DLD47" s="191"/>
      <c r="DLE47" s="191"/>
      <c r="DLF47" s="191"/>
      <c r="DLG47" s="191"/>
      <c r="DLH47" s="191"/>
      <c r="DLI47" s="191"/>
      <c r="DLJ47" s="191"/>
      <c r="DLK47" s="191"/>
      <c r="DLL47" s="191"/>
      <c r="DLM47" s="191"/>
      <c r="DLN47" s="191"/>
      <c r="DLO47" s="191"/>
      <c r="DLP47" s="191"/>
      <c r="DLQ47" s="191"/>
      <c r="DLR47" s="191"/>
      <c r="DLS47" s="191"/>
      <c r="DLT47" s="191"/>
      <c r="DLU47" s="191"/>
      <c r="DLV47" s="191"/>
      <c r="DLW47" s="191"/>
      <c r="DLX47" s="191"/>
      <c r="DLY47" s="191"/>
      <c r="DLZ47" s="191"/>
      <c r="DMA47" s="191"/>
      <c r="DMB47" s="191"/>
      <c r="DMC47" s="191"/>
      <c r="DMD47" s="191"/>
      <c r="DME47" s="191"/>
      <c r="DMF47" s="191"/>
      <c r="DMG47" s="191"/>
      <c r="DMH47" s="191"/>
      <c r="DMI47" s="191"/>
      <c r="DMJ47" s="191"/>
      <c r="DMK47" s="191"/>
      <c r="DML47" s="191"/>
      <c r="DMM47" s="191"/>
      <c r="DMN47" s="191"/>
      <c r="DMO47" s="191"/>
      <c r="DMP47" s="191"/>
      <c r="DMQ47" s="191"/>
      <c r="DMR47" s="191"/>
      <c r="DMS47" s="191"/>
      <c r="DMT47" s="191"/>
      <c r="DMU47" s="191"/>
      <c r="DMV47" s="191"/>
      <c r="DMW47" s="191"/>
      <c r="DMX47" s="191"/>
      <c r="DMY47" s="191"/>
      <c r="DMZ47" s="191"/>
      <c r="DNA47" s="191"/>
      <c r="DNB47" s="191"/>
      <c r="DNC47" s="191"/>
      <c r="DND47" s="191"/>
      <c r="DNE47" s="191"/>
      <c r="DNF47" s="191"/>
      <c r="DNG47" s="191"/>
      <c r="DNH47" s="191"/>
      <c r="DNI47" s="191"/>
      <c r="DNJ47" s="191"/>
      <c r="DNK47" s="191"/>
      <c r="DNL47" s="191"/>
      <c r="DNM47" s="191"/>
      <c r="DNN47" s="191"/>
      <c r="DNO47" s="191"/>
      <c r="DNP47" s="191"/>
      <c r="DNQ47" s="191"/>
      <c r="DNR47" s="191"/>
      <c r="DNS47" s="191"/>
      <c r="DNT47" s="191"/>
      <c r="DNU47" s="191"/>
      <c r="DNV47" s="191"/>
      <c r="DNW47" s="191"/>
      <c r="DNX47" s="191"/>
      <c r="DNY47" s="191"/>
      <c r="DNZ47" s="191"/>
      <c r="DOA47" s="191"/>
      <c r="DOB47" s="191"/>
      <c r="DOC47" s="191"/>
      <c r="DOD47" s="191"/>
      <c r="DOE47" s="191"/>
      <c r="DOF47" s="191"/>
      <c r="DOG47" s="191"/>
      <c r="DOH47" s="191"/>
      <c r="DOI47" s="191"/>
      <c r="DOJ47" s="191"/>
      <c r="DOK47" s="191"/>
      <c r="DOL47" s="191"/>
      <c r="DOM47" s="191"/>
      <c r="DON47" s="191"/>
      <c r="DOO47" s="191"/>
      <c r="DOP47" s="191"/>
      <c r="DOQ47" s="191"/>
      <c r="DOR47" s="191"/>
      <c r="DOS47" s="191"/>
      <c r="DOT47" s="191"/>
      <c r="DOU47" s="191"/>
      <c r="DOV47" s="191"/>
      <c r="DOW47" s="191"/>
      <c r="DOX47" s="191"/>
      <c r="DOY47" s="191"/>
      <c r="DOZ47" s="191"/>
      <c r="DPA47" s="191"/>
      <c r="DPB47" s="191"/>
      <c r="DPC47" s="191"/>
      <c r="DPD47" s="191"/>
      <c r="DPE47" s="191"/>
      <c r="DPF47" s="191"/>
      <c r="DPG47" s="191"/>
      <c r="DPH47" s="191"/>
      <c r="DPI47" s="191"/>
      <c r="DPJ47" s="191"/>
      <c r="DPK47" s="191"/>
      <c r="DPL47" s="191"/>
      <c r="DPM47" s="191"/>
      <c r="DPN47" s="191"/>
      <c r="DPO47" s="191"/>
      <c r="DPP47" s="191"/>
      <c r="DPQ47" s="191"/>
      <c r="DPR47" s="191"/>
      <c r="DPS47" s="191"/>
      <c r="DPT47" s="191"/>
      <c r="DPU47" s="191"/>
      <c r="DPV47" s="191"/>
      <c r="DPW47" s="191"/>
      <c r="DPX47" s="191"/>
      <c r="DPY47" s="191"/>
      <c r="DPZ47" s="191"/>
      <c r="DQA47" s="191"/>
      <c r="DQB47" s="191"/>
      <c r="DQC47" s="191"/>
      <c r="DQD47" s="191"/>
      <c r="DQE47" s="191"/>
      <c r="DQF47" s="191"/>
      <c r="DQG47" s="191"/>
      <c r="DQH47" s="191"/>
      <c r="DQI47" s="191"/>
      <c r="DQJ47" s="191"/>
      <c r="DQK47" s="191"/>
      <c r="DQL47" s="191"/>
      <c r="DQM47" s="191"/>
      <c r="DQN47" s="191"/>
      <c r="DQO47" s="191"/>
      <c r="DQP47" s="191"/>
      <c r="DQQ47" s="191"/>
      <c r="DQR47" s="191"/>
      <c r="DQS47" s="191"/>
      <c r="DQT47" s="191"/>
      <c r="DQU47" s="191"/>
      <c r="DQV47" s="191"/>
      <c r="DQW47" s="191"/>
      <c r="DQX47" s="191"/>
      <c r="DQY47" s="191"/>
      <c r="DQZ47" s="191"/>
      <c r="DRA47" s="191"/>
      <c r="DRB47" s="191"/>
      <c r="DRC47" s="191"/>
      <c r="DRD47" s="191"/>
      <c r="DRE47" s="191"/>
      <c r="DRF47" s="191"/>
      <c r="DRG47" s="191"/>
      <c r="DRH47" s="191"/>
      <c r="DRI47" s="191"/>
      <c r="DRJ47" s="191"/>
      <c r="DRK47" s="191"/>
      <c r="DRL47" s="191"/>
      <c r="DRM47" s="191"/>
      <c r="DRN47" s="191"/>
      <c r="DRO47" s="191"/>
      <c r="DRP47" s="191"/>
      <c r="DRQ47" s="191"/>
      <c r="DRR47" s="191"/>
      <c r="DRS47" s="191"/>
      <c r="DRT47" s="191"/>
      <c r="DRU47" s="191"/>
      <c r="DRV47" s="191"/>
      <c r="DRW47" s="191"/>
      <c r="DRX47" s="191"/>
      <c r="DRY47" s="191"/>
      <c r="DRZ47" s="191"/>
      <c r="DSA47" s="191"/>
      <c r="DSB47" s="191"/>
      <c r="DSC47" s="191"/>
      <c r="DSD47" s="191"/>
      <c r="DSE47" s="191"/>
      <c r="DSF47" s="191"/>
      <c r="DSG47" s="191"/>
      <c r="DSH47" s="191"/>
      <c r="DSI47" s="191"/>
      <c r="DSJ47" s="191"/>
      <c r="DSK47" s="191"/>
      <c r="DSL47" s="191"/>
      <c r="DSM47" s="191"/>
      <c r="DSN47" s="191"/>
      <c r="DSO47" s="191"/>
      <c r="DSP47" s="191"/>
      <c r="DSQ47" s="191"/>
      <c r="DSR47" s="191"/>
      <c r="DSS47" s="191"/>
      <c r="DST47" s="191"/>
      <c r="DSU47" s="191"/>
      <c r="DSV47" s="191"/>
      <c r="DSW47" s="191"/>
      <c r="DSX47" s="191"/>
      <c r="DSY47" s="191"/>
      <c r="DSZ47" s="191"/>
      <c r="DTA47" s="191"/>
      <c r="DTB47" s="191"/>
      <c r="DTC47" s="191"/>
      <c r="DTD47" s="191"/>
      <c r="DTE47" s="191"/>
      <c r="DTF47" s="191"/>
      <c r="DTG47" s="191"/>
      <c r="DTH47" s="191"/>
      <c r="DTI47" s="191"/>
      <c r="DTJ47" s="191"/>
      <c r="DTK47" s="191"/>
      <c r="DTL47" s="191"/>
      <c r="DTM47" s="191"/>
      <c r="DTN47" s="191"/>
      <c r="DTO47" s="191"/>
      <c r="DTP47" s="191"/>
      <c r="DTQ47" s="191"/>
      <c r="DTR47" s="191"/>
      <c r="DTS47" s="191"/>
      <c r="DTT47" s="191"/>
      <c r="DTU47" s="191"/>
      <c r="DTV47" s="191"/>
      <c r="DTW47" s="191"/>
      <c r="DTX47" s="191"/>
      <c r="DTY47" s="191"/>
      <c r="DTZ47" s="191"/>
      <c r="DUA47" s="191"/>
      <c r="DUB47" s="191"/>
      <c r="DUC47" s="191"/>
      <c r="DUD47" s="191"/>
      <c r="DUE47" s="191"/>
      <c r="DUF47" s="191"/>
      <c r="DUG47" s="191"/>
      <c r="DUH47" s="191"/>
      <c r="DUI47" s="191"/>
      <c r="DUJ47" s="191"/>
      <c r="DUK47" s="191"/>
      <c r="DUL47" s="191"/>
      <c r="DUM47" s="191"/>
      <c r="DUN47" s="191"/>
      <c r="DUO47" s="191"/>
      <c r="DUP47" s="191"/>
      <c r="DUQ47" s="191"/>
      <c r="DUR47" s="191"/>
      <c r="DUS47" s="191"/>
      <c r="DUT47" s="191"/>
      <c r="DUU47" s="191"/>
      <c r="DUV47" s="191"/>
      <c r="DUW47" s="191"/>
      <c r="DUX47" s="191"/>
      <c r="DUY47" s="191"/>
      <c r="DUZ47" s="191"/>
      <c r="DVA47" s="191"/>
      <c r="DVB47" s="191"/>
      <c r="DVC47" s="191"/>
      <c r="DVD47" s="191"/>
      <c r="DVE47" s="191"/>
      <c r="DVF47" s="191"/>
      <c r="DVG47" s="191"/>
      <c r="DVH47" s="191"/>
      <c r="DVI47" s="191"/>
      <c r="DVJ47" s="191"/>
      <c r="DVK47" s="191"/>
      <c r="DVL47" s="191"/>
      <c r="DVM47" s="191"/>
      <c r="DVN47" s="191"/>
      <c r="DVO47" s="191"/>
      <c r="DVP47" s="191"/>
      <c r="DVQ47" s="191"/>
      <c r="DVR47" s="191"/>
      <c r="DVS47" s="191"/>
      <c r="DVT47" s="191"/>
      <c r="DVU47" s="191"/>
      <c r="DVV47" s="191"/>
      <c r="DVW47" s="191"/>
      <c r="DVX47" s="191"/>
      <c r="DVY47" s="191"/>
      <c r="DVZ47" s="191"/>
      <c r="DWA47" s="191"/>
      <c r="DWB47" s="191"/>
      <c r="DWC47" s="191"/>
      <c r="DWD47" s="191"/>
      <c r="DWE47" s="191"/>
      <c r="DWF47" s="191"/>
      <c r="DWG47" s="191"/>
      <c r="DWH47" s="191"/>
      <c r="DWI47" s="191"/>
      <c r="DWJ47" s="191"/>
      <c r="DWK47" s="191"/>
      <c r="DWL47" s="191"/>
      <c r="DWM47" s="191"/>
      <c r="DWN47" s="191"/>
      <c r="DWO47" s="191"/>
      <c r="DWP47" s="191"/>
      <c r="DWQ47" s="191"/>
      <c r="DWR47" s="191"/>
      <c r="DWS47" s="191"/>
      <c r="DWT47" s="191"/>
      <c r="DWU47" s="191"/>
      <c r="DWV47" s="191"/>
      <c r="DWW47" s="191"/>
      <c r="DWX47" s="191"/>
      <c r="DWY47" s="191"/>
      <c r="DWZ47" s="191"/>
      <c r="DXA47" s="191"/>
      <c r="DXB47" s="191"/>
      <c r="DXC47" s="191"/>
      <c r="DXD47" s="191"/>
      <c r="DXE47" s="191"/>
      <c r="DXF47" s="191"/>
      <c r="DXG47" s="191"/>
      <c r="DXH47" s="191"/>
      <c r="DXI47" s="191"/>
      <c r="DXJ47" s="191"/>
      <c r="DXK47" s="191"/>
      <c r="DXL47" s="191"/>
      <c r="DXM47" s="191"/>
      <c r="DXN47" s="191"/>
      <c r="DXO47" s="191"/>
      <c r="DXP47" s="191"/>
      <c r="DXQ47" s="191"/>
      <c r="DXR47" s="191"/>
      <c r="DXS47" s="191"/>
      <c r="DXT47" s="191"/>
      <c r="DXU47" s="191"/>
      <c r="DXV47" s="191"/>
      <c r="DXW47" s="191"/>
      <c r="DXX47" s="191"/>
      <c r="DXY47" s="191"/>
      <c r="DXZ47" s="191"/>
      <c r="DYA47" s="191"/>
      <c r="DYB47" s="191"/>
      <c r="DYC47" s="191"/>
      <c r="DYD47" s="191"/>
      <c r="DYE47" s="191"/>
      <c r="DYF47" s="191"/>
      <c r="DYG47" s="191"/>
      <c r="DYH47" s="191"/>
      <c r="DYI47" s="191"/>
      <c r="DYJ47" s="191"/>
      <c r="DYK47" s="191"/>
      <c r="DYL47" s="191"/>
      <c r="DYM47" s="191"/>
      <c r="DYN47" s="191"/>
      <c r="DYO47" s="191"/>
      <c r="DYP47" s="191"/>
      <c r="DYQ47" s="191"/>
      <c r="DYR47" s="191"/>
      <c r="DYS47" s="191"/>
      <c r="DYT47" s="191"/>
      <c r="DYU47" s="191"/>
      <c r="DYV47" s="191"/>
      <c r="DYW47" s="191"/>
      <c r="DYX47" s="191"/>
      <c r="DYY47" s="191"/>
      <c r="DYZ47" s="191"/>
      <c r="DZA47" s="191"/>
      <c r="DZB47" s="191"/>
      <c r="DZC47" s="191"/>
      <c r="DZD47" s="191"/>
      <c r="DZE47" s="191"/>
      <c r="DZF47" s="191"/>
      <c r="DZG47" s="191"/>
      <c r="DZH47" s="191"/>
      <c r="DZI47" s="191"/>
      <c r="DZJ47" s="191"/>
      <c r="DZK47" s="191"/>
      <c r="DZL47" s="191"/>
      <c r="DZM47" s="191"/>
      <c r="DZN47" s="191"/>
      <c r="DZO47" s="191"/>
      <c r="DZP47" s="191"/>
      <c r="DZQ47" s="191"/>
      <c r="DZR47" s="191"/>
      <c r="DZS47" s="191"/>
      <c r="DZT47" s="191"/>
      <c r="DZU47" s="191"/>
      <c r="DZV47" s="191"/>
      <c r="DZW47" s="191"/>
      <c r="DZX47" s="191"/>
      <c r="DZY47" s="191"/>
      <c r="DZZ47" s="191"/>
      <c r="EAA47" s="191"/>
      <c r="EAB47" s="191"/>
      <c r="EAC47" s="191"/>
      <c r="EAD47" s="191"/>
      <c r="EAE47" s="191"/>
      <c r="EAF47" s="191"/>
      <c r="EAG47" s="191"/>
      <c r="EAH47" s="191"/>
      <c r="EAI47" s="191"/>
      <c r="EAJ47" s="191"/>
      <c r="EAK47" s="191"/>
      <c r="EAL47" s="191"/>
      <c r="EAM47" s="191"/>
      <c r="EAN47" s="191"/>
      <c r="EAO47" s="191"/>
      <c r="EAP47" s="191"/>
      <c r="EAQ47" s="191"/>
      <c r="EAR47" s="191"/>
      <c r="EAS47" s="191"/>
      <c r="EAT47" s="191"/>
      <c r="EAU47" s="191"/>
      <c r="EAV47" s="191"/>
      <c r="EAW47" s="191"/>
      <c r="EAX47" s="191"/>
      <c r="EAY47" s="191"/>
      <c r="EAZ47" s="191"/>
      <c r="EBA47" s="191"/>
      <c r="EBB47" s="191"/>
      <c r="EBC47" s="191"/>
      <c r="EBD47" s="191"/>
      <c r="EBE47" s="191"/>
      <c r="EBF47" s="191"/>
      <c r="EBG47" s="191"/>
      <c r="EBH47" s="191"/>
      <c r="EBI47" s="191"/>
      <c r="EBJ47" s="191"/>
      <c r="EBK47" s="191"/>
      <c r="EBL47" s="191"/>
      <c r="EBM47" s="191"/>
      <c r="EBN47" s="191"/>
      <c r="EBO47" s="191"/>
      <c r="EBP47" s="191"/>
      <c r="EBQ47" s="191"/>
      <c r="EBR47" s="191"/>
      <c r="EBS47" s="191"/>
      <c r="EBT47" s="191"/>
      <c r="EBU47" s="191"/>
      <c r="EBV47" s="191"/>
      <c r="EBW47" s="191"/>
      <c r="EBX47" s="191"/>
      <c r="EBY47" s="191"/>
      <c r="EBZ47" s="191"/>
      <c r="ECA47" s="191"/>
      <c r="ECB47" s="191"/>
      <c r="ECC47" s="191"/>
      <c r="ECD47" s="191"/>
      <c r="ECE47" s="191"/>
      <c r="ECF47" s="191"/>
      <c r="ECG47" s="191"/>
      <c r="ECH47" s="191"/>
      <c r="ECI47" s="191"/>
      <c r="ECJ47" s="191"/>
      <c r="ECK47" s="191"/>
      <c r="ECL47" s="191"/>
      <c r="ECM47" s="191"/>
      <c r="ECN47" s="191"/>
      <c r="ECO47" s="191"/>
      <c r="ECP47" s="191"/>
      <c r="ECQ47" s="191"/>
      <c r="ECR47" s="191"/>
      <c r="ECS47" s="191"/>
      <c r="ECT47" s="191"/>
      <c r="ECU47" s="191"/>
      <c r="ECV47" s="191"/>
      <c r="ECW47" s="191"/>
      <c r="ECX47" s="191"/>
      <c r="ECY47" s="191"/>
      <c r="ECZ47" s="191"/>
      <c r="EDA47" s="191"/>
      <c r="EDB47" s="191"/>
      <c r="EDC47" s="191"/>
      <c r="EDD47" s="191"/>
      <c r="EDE47" s="191"/>
      <c r="EDF47" s="191"/>
      <c r="EDG47" s="191"/>
      <c r="EDH47" s="191"/>
      <c r="EDI47" s="191"/>
      <c r="EDJ47" s="191"/>
      <c r="EDK47" s="191"/>
      <c r="EDL47" s="191"/>
      <c r="EDM47" s="191"/>
      <c r="EDN47" s="191"/>
      <c r="EDO47" s="191"/>
      <c r="EDP47" s="191"/>
      <c r="EDQ47" s="191"/>
      <c r="EDR47" s="191"/>
      <c r="EDS47" s="191"/>
      <c r="EDT47" s="191"/>
      <c r="EDU47" s="191"/>
      <c r="EDV47" s="191"/>
      <c r="EDW47" s="191"/>
      <c r="EDX47" s="191"/>
      <c r="EDY47" s="191"/>
      <c r="EDZ47" s="191"/>
      <c r="EEA47" s="191"/>
      <c r="EEB47" s="191"/>
      <c r="EEC47" s="191"/>
      <c r="EED47" s="191"/>
      <c r="EEE47" s="191"/>
      <c r="EEF47" s="191"/>
      <c r="EEG47" s="191"/>
      <c r="EEH47" s="191"/>
      <c r="EEI47" s="191"/>
      <c r="EEJ47" s="191"/>
      <c r="EEK47" s="191"/>
      <c r="EEL47" s="191"/>
      <c r="EEM47" s="191"/>
      <c r="EEN47" s="191"/>
      <c r="EEO47" s="191"/>
      <c r="EEP47" s="191"/>
      <c r="EEQ47" s="191"/>
      <c r="EER47" s="191"/>
      <c r="EES47" s="191"/>
      <c r="EET47" s="191"/>
      <c r="EEU47" s="191"/>
      <c r="EEV47" s="191"/>
      <c r="EEW47" s="191"/>
      <c r="EEX47" s="191"/>
      <c r="EEY47" s="191"/>
      <c r="EEZ47" s="191"/>
      <c r="EFA47" s="191"/>
      <c r="EFB47" s="191"/>
      <c r="EFC47" s="191"/>
      <c r="EFD47" s="191"/>
      <c r="EFE47" s="191"/>
      <c r="EFF47" s="191"/>
      <c r="EFG47" s="191"/>
      <c r="EFH47" s="191"/>
      <c r="EFI47" s="191"/>
      <c r="EFJ47" s="191"/>
      <c r="EFK47" s="191"/>
      <c r="EFL47" s="191"/>
      <c r="EFM47" s="191"/>
      <c r="EFN47" s="191"/>
      <c r="EFO47" s="191"/>
      <c r="EFP47" s="191"/>
      <c r="EFQ47" s="191"/>
      <c r="EFR47" s="191"/>
      <c r="EFS47" s="191"/>
      <c r="EFT47" s="191"/>
      <c r="EFU47" s="191"/>
      <c r="EFV47" s="191"/>
      <c r="EFW47" s="191"/>
      <c r="EFX47" s="191"/>
      <c r="EFY47" s="191"/>
      <c r="EFZ47" s="191"/>
      <c r="EGA47" s="191"/>
      <c r="EGB47" s="191"/>
      <c r="EGC47" s="191"/>
      <c r="EGD47" s="191"/>
      <c r="EGE47" s="191"/>
      <c r="EGF47" s="191"/>
      <c r="EGG47" s="191"/>
      <c r="EGH47" s="191"/>
      <c r="EGI47" s="191"/>
      <c r="EGJ47" s="191"/>
      <c r="EGK47" s="191"/>
      <c r="EGL47" s="191"/>
      <c r="EGM47" s="191"/>
      <c r="EGN47" s="191"/>
      <c r="EGO47" s="191"/>
      <c r="EGP47" s="191"/>
      <c r="EGQ47" s="191"/>
      <c r="EGR47" s="191"/>
      <c r="EGS47" s="191"/>
      <c r="EGT47" s="191"/>
      <c r="EGU47" s="191"/>
      <c r="EGV47" s="191"/>
      <c r="EGW47" s="191"/>
      <c r="EGX47" s="191"/>
      <c r="EGY47" s="191"/>
      <c r="EGZ47" s="191"/>
      <c r="EHA47" s="191"/>
      <c r="EHB47" s="191"/>
      <c r="EHC47" s="191"/>
      <c r="EHD47" s="191"/>
      <c r="EHE47" s="191"/>
      <c r="EHF47" s="191"/>
      <c r="EHG47" s="191"/>
      <c r="EHH47" s="191"/>
      <c r="EHI47" s="191"/>
      <c r="EHJ47" s="191"/>
      <c r="EHK47" s="191"/>
      <c r="EHL47" s="191"/>
      <c r="EHM47" s="191"/>
      <c r="EHN47" s="191"/>
      <c r="EHO47" s="191"/>
      <c r="EHP47" s="191"/>
      <c r="EHQ47" s="191"/>
      <c r="EHR47" s="191"/>
      <c r="EHS47" s="191"/>
      <c r="EHT47" s="191"/>
      <c r="EHU47" s="191"/>
      <c r="EHV47" s="191"/>
      <c r="EHW47" s="191"/>
      <c r="EHX47" s="191"/>
      <c r="EHY47" s="191"/>
      <c r="EHZ47" s="191"/>
      <c r="EIA47" s="191"/>
      <c r="EIB47" s="191"/>
      <c r="EIC47" s="191"/>
      <c r="EID47" s="191"/>
      <c r="EIE47" s="191"/>
      <c r="EIF47" s="191"/>
      <c r="EIG47" s="191"/>
      <c r="EIH47" s="191"/>
      <c r="EII47" s="191"/>
      <c r="EIJ47" s="191"/>
      <c r="EIK47" s="191"/>
      <c r="EIL47" s="191"/>
      <c r="EIM47" s="191"/>
      <c r="EIN47" s="191"/>
      <c r="EIO47" s="191"/>
      <c r="EIP47" s="191"/>
      <c r="EIQ47" s="191"/>
      <c r="EIR47" s="191"/>
      <c r="EIS47" s="191"/>
      <c r="EIT47" s="191"/>
      <c r="EIU47" s="191"/>
      <c r="EIV47" s="191"/>
      <c r="EIW47" s="191"/>
      <c r="EIX47" s="191"/>
      <c r="EIY47" s="191"/>
      <c r="EIZ47" s="191"/>
      <c r="EJA47" s="191"/>
      <c r="EJB47" s="191"/>
      <c r="EJC47" s="191"/>
      <c r="EJD47" s="191"/>
      <c r="EJE47" s="191"/>
      <c r="EJF47" s="191"/>
      <c r="EJG47" s="191"/>
      <c r="EJH47" s="191"/>
      <c r="EJI47" s="191"/>
      <c r="EJJ47" s="191"/>
      <c r="EJK47" s="191"/>
      <c r="EJL47" s="191"/>
      <c r="EJM47" s="191"/>
      <c r="EJN47" s="191"/>
      <c r="EJO47" s="191"/>
      <c r="EJP47" s="191"/>
      <c r="EJQ47" s="191"/>
      <c r="EJR47" s="191"/>
      <c r="EJS47" s="191"/>
      <c r="EJT47" s="191"/>
      <c r="EJU47" s="191"/>
      <c r="EJV47" s="191"/>
      <c r="EJW47" s="191"/>
      <c r="EJX47" s="191"/>
      <c r="EJY47" s="191"/>
      <c r="EJZ47" s="191"/>
      <c r="EKA47" s="191"/>
      <c r="EKB47" s="191"/>
      <c r="EKC47" s="191"/>
      <c r="EKD47" s="191"/>
      <c r="EKE47" s="191"/>
      <c r="EKF47" s="191"/>
      <c r="EKG47" s="191"/>
      <c r="EKH47" s="191"/>
      <c r="EKI47" s="191"/>
      <c r="EKJ47" s="191"/>
      <c r="EKK47" s="191"/>
      <c r="EKL47" s="191"/>
      <c r="EKM47" s="191"/>
      <c r="EKN47" s="191"/>
      <c r="EKO47" s="191"/>
      <c r="EKP47" s="191"/>
      <c r="EKQ47" s="191"/>
      <c r="EKR47" s="191"/>
      <c r="EKS47" s="191"/>
      <c r="EKT47" s="191"/>
      <c r="EKU47" s="191"/>
      <c r="EKV47" s="191"/>
      <c r="EKW47" s="191"/>
      <c r="EKX47" s="191"/>
      <c r="EKY47" s="191"/>
      <c r="EKZ47" s="191"/>
      <c r="ELA47" s="191"/>
      <c r="ELB47" s="191"/>
      <c r="ELC47" s="191"/>
      <c r="ELD47" s="191"/>
      <c r="ELE47" s="191"/>
      <c r="ELF47" s="191"/>
      <c r="ELG47" s="191"/>
      <c r="ELH47" s="191"/>
      <c r="ELI47" s="191"/>
      <c r="ELJ47" s="191"/>
      <c r="ELK47" s="191"/>
      <c r="ELL47" s="191"/>
      <c r="ELM47" s="191"/>
      <c r="ELN47" s="191"/>
      <c r="ELO47" s="191"/>
      <c r="ELP47" s="191"/>
      <c r="ELQ47" s="191"/>
      <c r="ELR47" s="191"/>
      <c r="ELS47" s="191"/>
      <c r="ELT47" s="191"/>
      <c r="ELU47" s="191"/>
      <c r="ELV47" s="191"/>
      <c r="ELW47" s="191"/>
      <c r="ELX47" s="191"/>
      <c r="ELY47" s="191"/>
      <c r="ELZ47" s="191"/>
      <c r="EMA47" s="191"/>
      <c r="EMB47" s="191"/>
      <c r="EMC47" s="191"/>
      <c r="EMD47" s="191"/>
      <c r="EME47" s="191"/>
      <c r="EMF47" s="191"/>
      <c r="EMG47" s="191"/>
      <c r="EMH47" s="191"/>
      <c r="EMI47" s="191"/>
      <c r="EMJ47" s="191"/>
      <c r="EMK47" s="191"/>
      <c r="EML47" s="191"/>
      <c r="EMM47" s="191"/>
      <c r="EMN47" s="191"/>
      <c r="EMO47" s="191"/>
      <c r="EMP47" s="191"/>
      <c r="EMQ47" s="191"/>
      <c r="EMR47" s="191"/>
      <c r="EMS47" s="191"/>
      <c r="EMT47" s="191"/>
      <c r="EMU47" s="191"/>
      <c r="EMV47" s="191"/>
      <c r="EMW47" s="191"/>
      <c r="EMX47" s="191"/>
      <c r="EMY47" s="191"/>
      <c r="EMZ47" s="191"/>
      <c r="ENA47" s="191"/>
      <c r="ENB47" s="191"/>
      <c r="ENC47" s="191"/>
      <c r="END47" s="191"/>
      <c r="ENE47" s="191"/>
      <c r="ENF47" s="191"/>
      <c r="ENG47" s="191"/>
      <c r="ENH47" s="191"/>
      <c r="ENI47" s="191"/>
      <c r="ENJ47" s="191"/>
      <c r="ENK47" s="191"/>
      <c r="ENL47" s="191"/>
      <c r="ENM47" s="191"/>
      <c r="ENN47" s="191"/>
      <c r="ENO47" s="191"/>
      <c r="ENP47" s="191"/>
      <c r="ENQ47" s="191"/>
      <c r="ENR47" s="191"/>
      <c r="ENS47" s="191"/>
      <c r="ENT47" s="191"/>
      <c r="ENU47" s="191"/>
      <c r="ENV47" s="191"/>
      <c r="ENW47" s="191"/>
      <c r="ENX47" s="191"/>
      <c r="ENY47" s="191"/>
      <c r="ENZ47" s="191"/>
      <c r="EOA47" s="191"/>
      <c r="EOB47" s="191"/>
      <c r="EOC47" s="191"/>
      <c r="EOD47" s="191"/>
      <c r="EOE47" s="191"/>
      <c r="EOF47" s="191"/>
      <c r="EOG47" s="191"/>
      <c r="EOH47" s="191"/>
      <c r="EOI47" s="191"/>
      <c r="EOJ47" s="191"/>
      <c r="EOK47" s="191"/>
      <c r="EOL47" s="191"/>
      <c r="EOM47" s="191"/>
      <c r="EON47" s="191"/>
      <c r="EOO47" s="191"/>
      <c r="EOP47" s="191"/>
      <c r="EOQ47" s="191"/>
      <c r="EOR47" s="191"/>
      <c r="EOS47" s="191"/>
      <c r="EOT47" s="191"/>
      <c r="EOU47" s="191"/>
      <c r="EOV47" s="191"/>
      <c r="EOW47" s="191"/>
      <c r="EOX47" s="191"/>
      <c r="EOY47" s="191"/>
      <c r="EOZ47" s="191"/>
      <c r="EPA47" s="191"/>
      <c r="EPB47" s="191"/>
      <c r="EPC47" s="191"/>
      <c r="EPD47" s="191"/>
      <c r="EPE47" s="191"/>
      <c r="EPF47" s="191"/>
      <c r="EPG47" s="191"/>
      <c r="EPH47" s="191"/>
      <c r="EPI47" s="191"/>
      <c r="EPJ47" s="191"/>
      <c r="EPK47" s="191"/>
      <c r="EPL47" s="191"/>
      <c r="EPM47" s="191"/>
      <c r="EPN47" s="191"/>
      <c r="EPO47" s="191"/>
      <c r="EPP47" s="191"/>
      <c r="EPQ47" s="191"/>
      <c r="EPR47" s="191"/>
      <c r="EPS47" s="191"/>
      <c r="EPT47" s="191"/>
      <c r="EPU47" s="191"/>
      <c r="EPV47" s="191"/>
      <c r="EPW47" s="191"/>
      <c r="EPX47" s="191"/>
      <c r="EPY47" s="191"/>
      <c r="EPZ47" s="191"/>
      <c r="EQA47" s="191"/>
      <c r="EQB47" s="191"/>
      <c r="EQC47" s="191"/>
      <c r="EQD47" s="191"/>
      <c r="EQE47" s="191"/>
      <c r="EQF47" s="191"/>
      <c r="EQG47" s="191"/>
      <c r="EQH47" s="191"/>
      <c r="EQI47" s="191"/>
      <c r="EQJ47" s="191"/>
      <c r="EQK47" s="191"/>
      <c r="EQL47" s="191"/>
      <c r="EQM47" s="191"/>
      <c r="EQN47" s="191"/>
      <c r="EQO47" s="191"/>
      <c r="EQP47" s="191"/>
      <c r="EQQ47" s="191"/>
      <c r="EQR47" s="191"/>
      <c r="EQS47" s="191"/>
      <c r="EQT47" s="191"/>
      <c r="EQU47" s="191"/>
      <c r="EQV47" s="191"/>
      <c r="EQW47" s="191"/>
      <c r="EQX47" s="191"/>
      <c r="EQY47" s="191"/>
      <c r="EQZ47" s="191"/>
      <c r="ERA47" s="191"/>
      <c r="ERB47" s="191"/>
      <c r="ERC47" s="191"/>
      <c r="ERD47" s="191"/>
      <c r="ERE47" s="191"/>
      <c r="ERF47" s="191"/>
      <c r="ERG47" s="191"/>
      <c r="ERH47" s="191"/>
      <c r="ERI47" s="191"/>
      <c r="ERJ47" s="191"/>
      <c r="ERK47" s="191"/>
      <c r="ERL47" s="191"/>
      <c r="ERM47" s="191"/>
      <c r="ERN47" s="191"/>
      <c r="ERO47" s="191"/>
      <c r="ERP47" s="191"/>
      <c r="ERQ47" s="191"/>
      <c r="ERR47" s="191"/>
      <c r="ERS47" s="191"/>
      <c r="ERT47" s="191"/>
      <c r="ERU47" s="191"/>
      <c r="ERV47" s="191"/>
      <c r="ERW47" s="191"/>
      <c r="ERX47" s="191"/>
      <c r="ERY47" s="191"/>
      <c r="ERZ47" s="191"/>
      <c r="ESA47" s="191"/>
      <c r="ESB47" s="191"/>
      <c r="ESC47" s="191"/>
      <c r="ESD47" s="191"/>
      <c r="ESE47" s="191"/>
      <c r="ESF47" s="191"/>
      <c r="ESG47" s="191"/>
      <c r="ESH47" s="191"/>
      <c r="ESI47" s="191"/>
      <c r="ESJ47" s="191"/>
      <c r="ESK47" s="191"/>
      <c r="ESL47" s="191"/>
      <c r="ESM47" s="191"/>
      <c r="ESN47" s="191"/>
      <c r="ESO47" s="191"/>
      <c r="ESP47" s="191"/>
      <c r="ESQ47" s="191"/>
      <c r="ESR47" s="191"/>
      <c r="ESS47" s="191"/>
      <c r="EST47" s="191"/>
      <c r="ESU47" s="191"/>
      <c r="ESV47" s="191"/>
      <c r="ESW47" s="191"/>
      <c r="ESX47" s="191"/>
      <c r="ESY47" s="191"/>
      <c r="ESZ47" s="191"/>
      <c r="ETA47" s="191"/>
      <c r="ETB47" s="191"/>
      <c r="ETC47" s="191"/>
      <c r="ETD47" s="191"/>
      <c r="ETE47" s="191"/>
      <c r="ETF47" s="191"/>
      <c r="ETG47" s="191"/>
      <c r="ETH47" s="191"/>
      <c r="ETI47" s="191"/>
      <c r="ETJ47" s="191"/>
      <c r="ETK47" s="191"/>
      <c r="ETL47" s="191"/>
      <c r="ETM47" s="191"/>
      <c r="ETN47" s="191"/>
      <c r="ETO47" s="191"/>
      <c r="ETP47" s="191"/>
      <c r="ETQ47" s="191"/>
      <c r="ETR47" s="191"/>
      <c r="ETS47" s="191"/>
      <c r="ETT47" s="191"/>
      <c r="ETU47" s="191"/>
      <c r="ETV47" s="191"/>
      <c r="ETW47" s="191"/>
      <c r="ETX47" s="191"/>
      <c r="ETY47" s="191"/>
      <c r="ETZ47" s="191"/>
      <c r="EUA47" s="191"/>
      <c r="EUB47" s="191"/>
      <c r="EUC47" s="191"/>
      <c r="EUD47" s="191"/>
      <c r="EUE47" s="191"/>
      <c r="EUF47" s="191"/>
      <c r="EUG47" s="191"/>
      <c r="EUH47" s="191"/>
      <c r="EUI47" s="191"/>
      <c r="EUJ47" s="191"/>
      <c r="EUK47" s="191"/>
      <c r="EUL47" s="191"/>
      <c r="EUM47" s="191"/>
      <c r="EUN47" s="191"/>
      <c r="EUO47" s="191"/>
      <c r="EUP47" s="191"/>
      <c r="EUQ47" s="191"/>
      <c r="EUR47" s="191"/>
      <c r="EUS47" s="191"/>
      <c r="EUT47" s="191"/>
      <c r="EUU47" s="191"/>
      <c r="EUV47" s="191"/>
      <c r="EUW47" s="191"/>
      <c r="EUX47" s="191"/>
      <c r="EUY47" s="191"/>
      <c r="EUZ47" s="191"/>
      <c r="EVA47" s="191"/>
      <c r="EVB47" s="191"/>
      <c r="EVC47" s="191"/>
      <c r="EVD47" s="191"/>
      <c r="EVE47" s="191"/>
      <c r="EVF47" s="191"/>
      <c r="EVG47" s="191"/>
      <c r="EVH47" s="191"/>
      <c r="EVI47" s="191"/>
      <c r="EVJ47" s="191"/>
      <c r="EVK47" s="191"/>
      <c r="EVL47" s="191"/>
      <c r="EVM47" s="191"/>
      <c r="EVN47" s="191"/>
      <c r="EVO47" s="191"/>
      <c r="EVP47" s="191"/>
      <c r="EVQ47" s="191"/>
      <c r="EVR47" s="191"/>
      <c r="EVS47" s="191"/>
      <c r="EVT47" s="191"/>
      <c r="EVU47" s="191"/>
      <c r="EVV47" s="191"/>
      <c r="EVW47" s="191"/>
      <c r="EVX47" s="191"/>
      <c r="EVY47" s="191"/>
      <c r="EVZ47" s="191"/>
      <c r="EWA47" s="191"/>
      <c r="EWB47" s="191"/>
      <c r="EWC47" s="191"/>
      <c r="EWD47" s="191"/>
      <c r="EWE47" s="191"/>
      <c r="EWF47" s="191"/>
      <c r="EWG47" s="191"/>
      <c r="EWH47" s="191"/>
      <c r="EWI47" s="191"/>
      <c r="EWJ47" s="191"/>
      <c r="EWK47" s="191"/>
      <c r="EWL47" s="191"/>
      <c r="EWM47" s="191"/>
      <c r="EWN47" s="191"/>
      <c r="EWO47" s="191"/>
      <c r="EWP47" s="191"/>
      <c r="EWQ47" s="191"/>
      <c r="EWR47" s="191"/>
      <c r="EWS47" s="191"/>
      <c r="EWT47" s="191"/>
      <c r="EWU47" s="191"/>
      <c r="EWV47" s="191"/>
      <c r="EWW47" s="191"/>
      <c r="EWX47" s="191"/>
      <c r="EWY47" s="191"/>
      <c r="EWZ47" s="191"/>
      <c r="EXA47" s="191"/>
      <c r="EXB47" s="191"/>
      <c r="EXC47" s="191"/>
      <c r="EXD47" s="191"/>
      <c r="EXE47" s="191"/>
      <c r="EXF47" s="191"/>
      <c r="EXG47" s="191"/>
      <c r="EXH47" s="191"/>
      <c r="EXI47" s="191"/>
      <c r="EXJ47" s="191"/>
      <c r="EXK47" s="191"/>
      <c r="EXL47" s="191"/>
      <c r="EXM47" s="191"/>
      <c r="EXN47" s="191"/>
      <c r="EXO47" s="191"/>
      <c r="EXP47" s="191"/>
      <c r="EXQ47" s="191"/>
      <c r="EXR47" s="191"/>
      <c r="EXS47" s="191"/>
      <c r="EXT47" s="191"/>
      <c r="EXU47" s="191"/>
      <c r="EXV47" s="191"/>
      <c r="EXW47" s="191"/>
      <c r="EXX47" s="191"/>
      <c r="EXY47" s="191"/>
      <c r="EXZ47" s="191"/>
      <c r="EYA47" s="191"/>
      <c r="EYB47" s="191"/>
      <c r="EYC47" s="191"/>
      <c r="EYD47" s="191"/>
      <c r="EYE47" s="191"/>
      <c r="EYF47" s="191"/>
      <c r="EYG47" s="191"/>
      <c r="EYH47" s="191"/>
      <c r="EYI47" s="191"/>
      <c r="EYJ47" s="191"/>
      <c r="EYK47" s="191"/>
      <c r="EYL47" s="191"/>
      <c r="EYM47" s="191"/>
      <c r="EYN47" s="191"/>
      <c r="EYO47" s="191"/>
      <c r="EYP47" s="191"/>
      <c r="EYQ47" s="191"/>
      <c r="EYR47" s="191"/>
      <c r="EYS47" s="191"/>
      <c r="EYT47" s="191"/>
      <c r="EYU47" s="191"/>
      <c r="EYV47" s="191"/>
      <c r="EYW47" s="191"/>
      <c r="EYX47" s="191"/>
      <c r="EYY47" s="191"/>
      <c r="EYZ47" s="191"/>
      <c r="EZA47" s="191"/>
      <c r="EZB47" s="191"/>
      <c r="EZC47" s="191"/>
      <c r="EZD47" s="191"/>
      <c r="EZE47" s="191"/>
      <c r="EZF47" s="191"/>
      <c r="EZG47" s="191"/>
      <c r="EZH47" s="191"/>
      <c r="EZI47" s="191"/>
      <c r="EZJ47" s="191"/>
      <c r="EZK47" s="191"/>
      <c r="EZL47" s="191"/>
      <c r="EZM47" s="191"/>
      <c r="EZN47" s="191"/>
      <c r="EZO47" s="191"/>
      <c r="EZP47" s="191"/>
      <c r="EZQ47" s="191"/>
      <c r="EZR47" s="191"/>
      <c r="EZS47" s="191"/>
      <c r="EZT47" s="191"/>
      <c r="EZU47" s="191"/>
      <c r="EZV47" s="191"/>
      <c r="EZW47" s="191"/>
      <c r="EZX47" s="191"/>
      <c r="EZY47" s="191"/>
      <c r="EZZ47" s="191"/>
      <c r="FAA47" s="191"/>
      <c r="FAB47" s="191"/>
      <c r="FAC47" s="191"/>
      <c r="FAD47" s="191"/>
      <c r="FAE47" s="191"/>
      <c r="FAF47" s="191"/>
      <c r="FAG47" s="191"/>
      <c r="FAH47" s="191"/>
      <c r="FAI47" s="191"/>
      <c r="FAJ47" s="191"/>
      <c r="FAK47" s="191"/>
      <c r="FAL47" s="191"/>
      <c r="FAM47" s="191"/>
      <c r="FAN47" s="191"/>
      <c r="FAO47" s="191"/>
      <c r="FAP47" s="191"/>
      <c r="FAQ47" s="191"/>
      <c r="FAR47" s="191"/>
      <c r="FAS47" s="191"/>
      <c r="FAT47" s="191"/>
      <c r="FAU47" s="191"/>
      <c r="FAV47" s="191"/>
      <c r="FAW47" s="191"/>
      <c r="FAX47" s="191"/>
      <c r="FAY47" s="191"/>
      <c r="FAZ47" s="191"/>
      <c r="FBA47" s="191"/>
      <c r="FBB47" s="191"/>
      <c r="FBC47" s="191"/>
      <c r="FBD47" s="191"/>
      <c r="FBE47" s="191"/>
      <c r="FBF47" s="191"/>
      <c r="FBG47" s="191"/>
      <c r="FBH47" s="191"/>
      <c r="FBI47" s="191"/>
      <c r="FBJ47" s="191"/>
      <c r="FBK47" s="191"/>
      <c r="FBL47" s="191"/>
      <c r="FBM47" s="191"/>
      <c r="FBN47" s="191"/>
      <c r="FBO47" s="191"/>
      <c r="FBP47" s="191"/>
      <c r="FBQ47" s="191"/>
      <c r="FBR47" s="191"/>
      <c r="FBS47" s="191"/>
      <c r="FBT47" s="191"/>
      <c r="FBU47" s="191"/>
      <c r="FBV47" s="191"/>
      <c r="FBW47" s="191"/>
      <c r="FBX47" s="191"/>
      <c r="FBY47" s="191"/>
      <c r="FBZ47" s="191"/>
      <c r="FCA47" s="191"/>
      <c r="FCB47" s="191"/>
      <c r="FCC47" s="191"/>
      <c r="FCD47" s="191"/>
      <c r="FCE47" s="191"/>
      <c r="FCF47" s="191"/>
      <c r="FCG47" s="191"/>
      <c r="FCH47" s="191"/>
      <c r="FCI47" s="191"/>
      <c r="FCJ47" s="191"/>
      <c r="FCK47" s="191"/>
      <c r="FCL47" s="191"/>
      <c r="FCM47" s="191"/>
      <c r="FCN47" s="191"/>
      <c r="FCO47" s="191"/>
      <c r="FCP47" s="191"/>
      <c r="FCQ47" s="191"/>
      <c r="FCR47" s="191"/>
      <c r="FCS47" s="191"/>
      <c r="FCT47" s="191"/>
      <c r="FCU47" s="191"/>
      <c r="FCV47" s="191"/>
      <c r="FCW47" s="191"/>
      <c r="FCX47" s="191"/>
      <c r="FCY47" s="191"/>
      <c r="FCZ47" s="191"/>
      <c r="FDA47" s="191"/>
      <c r="FDB47" s="191"/>
      <c r="FDC47" s="191"/>
      <c r="FDD47" s="191"/>
      <c r="FDE47" s="191"/>
      <c r="FDF47" s="191"/>
      <c r="FDG47" s="191"/>
      <c r="FDH47" s="191"/>
      <c r="FDI47" s="191"/>
      <c r="FDJ47" s="191"/>
      <c r="FDK47" s="191"/>
      <c r="FDL47" s="191"/>
      <c r="FDM47" s="191"/>
      <c r="FDN47" s="191"/>
      <c r="FDO47" s="191"/>
      <c r="FDP47" s="191"/>
      <c r="FDQ47" s="191"/>
      <c r="FDR47" s="191"/>
      <c r="FDS47" s="191"/>
      <c r="FDT47" s="191"/>
      <c r="FDU47" s="191"/>
      <c r="FDV47" s="191"/>
      <c r="FDW47" s="191"/>
      <c r="FDX47" s="191"/>
      <c r="FDY47" s="191"/>
      <c r="FDZ47" s="191"/>
      <c r="FEA47" s="191"/>
      <c r="FEB47" s="191"/>
      <c r="FEC47" s="191"/>
      <c r="FED47" s="191"/>
      <c r="FEE47" s="191"/>
      <c r="FEF47" s="191"/>
      <c r="FEG47" s="191"/>
      <c r="FEH47" s="191"/>
      <c r="FEI47" s="191"/>
      <c r="FEJ47" s="191"/>
      <c r="FEK47" s="191"/>
      <c r="FEL47" s="191"/>
      <c r="FEM47" s="191"/>
      <c r="FEN47" s="191"/>
      <c r="FEO47" s="191"/>
      <c r="FEP47" s="191"/>
      <c r="FEQ47" s="191"/>
      <c r="FER47" s="191"/>
      <c r="FES47" s="191"/>
      <c r="FET47" s="191"/>
      <c r="FEU47" s="191"/>
      <c r="FEV47" s="191"/>
      <c r="FEW47" s="191"/>
      <c r="FEX47" s="191"/>
      <c r="FEY47" s="191"/>
      <c r="FEZ47" s="191"/>
      <c r="FFA47" s="191"/>
      <c r="FFB47" s="191"/>
      <c r="FFC47" s="191"/>
      <c r="FFD47" s="191"/>
      <c r="FFE47" s="191"/>
      <c r="FFF47" s="191"/>
      <c r="FFG47" s="191"/>
      <c r="FFH47" s="191"/>
      <c r="FFI47" s="191"/>
      <c r="FFJ47" s="191"/>
      <c r="FFK47" s="191"/>
      <c r="FFL47" s="191"/>
      <c r="FFM47" s="191"/>
      <c r="FFN47" s="191"/>
      <c r="FFO47" s="191"/>
      <c r="FFP47" s="191"/>
      <c r="FFQ47" s="191"/>
      <c r="FFR47" s="191"/>
      <c r="FFS47" s="191"/>
      <c r="FFT47" s="191"/>
      <c r="FFU47" s="191"/>
      <c r="FFV47" s="191"/>
      <c r="FFW47" s="191"/>
      <c r="FFX47" s="191"/>
      <c r="FFY47" s="191"/>
      <c r="FFZ47" s="191"/>
      <c r="FGA47" s="191"/>
      <c r="FGB47" s="191"/>
      <c r="FGC47" s="191"/>
      <c r="FGD47" s="191"/>
      <c r="FGE47" s="191"/>
      <c r="FGF47" s="191"/>
      <c r="FGG47" s="191"/>
      <c r="FGH47" s="191"/>
      <c r="FGI47" s="191"/>
      <c r="FGJ47" s="191"/>
      <c r="FGK47" s="191"/>
      <c r="FGL47" s="191"/>
      <c r="FGM47" s="191"/>
      <c r="FGN47" s="191"/>
      <c r="FGO47" s="191"/>
      <c r="FGP47" s="191"/>
      <c r="FGQ47" s="191"/>
      <c r="FGR47" s="191"/>
      <c r="FGS47" s="191"/>
      <c r="FGT47" s="191"/>
      <c r="FGU47" s="191"/>
      <c r="FGV47" s="191"/>
      <c r="FGW47" s="191"/>
      <c r="FGX47" s="191"/>
      <c r="FGY47" s="191"/>
      <c r="FGZ47" s="191"/>
      <c r="FHA47" s="191"/>
      <c r="FHB47" s="191"/>
      <c r="FHC47" s="191"/>
      <c r="FHD47" s="191"/>
      <c r="FHE47" s="191"/>
      <c r="FHF47" s="191"/>
      <c r="FHG47" s="191"/>
      <c r="FHH47" s="191"/>
      <c r="FHI47" s="191"/>
      <c r="FHJ47" s="191"/>
      <c r="FHK47" s="191"/>
      <c r="FHL47" s="191"/>
      <c r="FHM47" s="191"/>
      <c r="FHN47" s="191"/>
      <c r="FHO47" s="191"/>
      <c r="FHP47" s="191"/>
      <c r="FHQ47" s="191"/>
      <c r="FHR47" s="191"/>
      <c r="FHS47" s="191"/>
      <c r="FHT47" s="191"/>
      <c r="FHU47" s="191"/>
      <c r="FHV47" s="191"/>
      <c r="FHW47" s="191"/>
      <c r="FHX47" s="191"/>
      <c r="FHY47" s="191"/>
      <c r="FHZ47" s="191"/>
      <c r="FIA47" s="191"/>
      <c r="FIB47" s="191"/>
      <c r="FIC47" s="191"/>
      <c r="FID47" s="191"/>
      <c r="FIE47" s="191"/>
      <c r="FIF47" s="191"/>
      <c r="FIG47" s="191"/>
      <c r="FIH47" s="191"/>
      <c r="FII47" s="191"/>
      <c r="FIJ47" s="191"/>
      <c r="FIK47" s="191"/>
      <c r="FIL47" s="191"/>
      <c r="FIM47" s="191"/>
      <c r="FIN47" s="191"/>
      <c r="FIO47" s="191"/>
      <c r="FIP47" s="191"/>
      <c r="FIQ47" s="191"/>
      <c r="FIR47" s="191"/>
      <c r="FIS47" s="191"/>
      <c r="FIT47" s="191"/>
      <c r="FIU47" s="191"/>
      <c r="FIV47" s="191"/>
      <c r="FIW47" s="191"/>
      <c r="FIX47" s="191"/>
      <c r="FIY47" s="191"/>
      <c r="FIZ47" s="191"/>
      <c r="FJA47" s="191"/>
      <c r="FJB47" s="191"/>
      <c r="FJC47" s="191"/>
      <c r="FJD47" s="191"/>
      <c r="FJE47" s="191"/>
      <c r="FJF47" s="191"/>
      <c r="FJG47" s="191"/>
      <c r="FJH47" s="191"/>
      <c r="FJI47" s="191"/>
      <c r="FJJ47" s="191"/>
      <c r="FJK47" s="191"/>
      <c r="FJL47" s="191"/>
      <c r="FJM47" s="191"/>
      <c r="FJN47" s="191"/>
      <c r="FJO47" s="191"/>
      <c r="FJP47" s="191"/>
      <c r="FJQ47" s="191"/>
      <c r="FJR47" s="191"/>
      <c r="FJS47" s="191"/>
      <c r="FJT47" s="191"/>
      <c r="FJU47" s="191"/>
      <c r="FJV47" s="191"/>
      <c r="FJW47" s="191"/>
      <c r="FJX47" s="191"/>
      <c r="FJY47" s="191"/>
      <c r="FJZ47" s="191"/>
      <c r="FKA47" s="191"/>
      <c r="FKB47" s="191"/>
      <c r="FKC47" s="191"/>
      <c r="FKD47" s="191"/>
      <c r="FKE47" s="191"/>
      <c r="FKF47" s="191"/>
      <c r="FKG47" s="191"/>
      <c r="FKH47" s="191"/>
      <c r="FKI47" s="191"/>
      <c r="FKJ47" s="191"/>
      <c r="FKK47" s="191"/>
      <c r="FKL47" s="191"/>
      <c r="FKM47" s="191"/>
      <c r="FKN47" s="191"/>
      <c r="FKO47" s="191"/>
      <c r="FKP47" s="191"/>
      <c r="FKQ47" s="191"/>
      <c r="FKR47" s="191"/>
      <c r="FKS47" s="191"/>
      <c r="FKT47" s="191"/>
      <c r="FKU47" s="191"/>
      <c r="FKV47" s="191"/>
      <c r="FKW47" s="191"/>
      <c r="FKX47" s="191"/>
      <c r="FKY47" s="191"/>
      <c r="FKZ47" s="191"/>
      <c r="FLA47" s="191"/>
      <c r="FLB47" s="191"/>
      <c r="FLC47" s="191"/>
      <c r="FLD47" s="191"/>
      <c r="FLE47" s="191"/>
      <c r="FLF47" s="191"/>
      <c r="FLG47" s="191"/>
      <c r="FLH47" s="191"/>
      <c r="FLI47" s="191"/>
      <c r="FLJ47" s="191"/>
      <c r="FLK47" s="191"/>
      <c r="FLL47" s="191"/>
      <c r="FLM47" s="191"/>
      <c r="FLN47" s="191"/>
      <c r="FLO47" s="191"/>
      <c r="FLP47" s="191"/>
      <c r="FLQ47" s="191"/>
      <c r="FLR47" s="191"/>
      <c r="FLS47" s="191"/>
      <c r="FLT47" s="191"/>
      <c r="FLU47" s="191"/>
      <c r="FLV47" s="191"/>
      <c r="FLW47" s="191"/>
      <c r="FLX47" s="191"/>
      <c r="FLY47" s="191"/>
      <c r="FLZ47" s="191"/>
      <c r="FMA47" s="191"/>
      <c r="FMB47" s="191"/>
      <c r="FMC47" s="191"/>
      <c r="FMD47" s="191"/>
      <c r="FME47" s="191"/>
      <c r="FMF47" s="191"/>
      <c r="FMG47" s="191"/>
      <c r="FMH47" s="191"/>
      <c r="FMI47" s="191"/>
      <c r="FMJ47" s="191"/>
      <c r="FMK47" s="191"/>
      <c r="FML47" s="191"/>
      <c r="FMM47" s="191"/>
      <c r="FMN47" s="191"/>
      <c r="FMO47" s="191"/>
      <c r="FMP47" s="191"/>
      <c r="FMQ47" s="191"/>
      <c r="FMR47" s="191"/>
      <c r="FMS47" s="191"/>
      <c r="FMT47" s="191"/>
      <c r="FMU47" s="191"/>
      <c r="FMV47" s="191"/>
      <c r="FMW47" s="191"/>
      <c r="FMX47" s="191"/>
      <c r="FMY47" s="191"/>
      <c r="FMZ47" s="191"/>
      <c r="FNA47" s="191"/>
      <c r="FNB47" s="191"/>
      <c r="FNC47" s="191"/>
      <c r="FND47" s="191"/>
      <c r="FNE47" s="191"/>
      <c r="FNF47" s="191"/>
      <c r="FNG47" s="191"/>
      <c r="FNH47" s="191"/>
      <c r="FNI47" s="191"/>
      <c r="FNJ47" s="191"/>
      <c r="FNK47" s="191"/>
      <c r="FNL47" s="191"/>
      <c r="FNM47" s="191"/>
      <c r="FNN47" s="191"/>
      <c r="FNO47" s="191"/>
      <c r="FNP47" s="191"/>
      <c r="FNQ47" s="191"/>
      <c r="FNR47" s="191"/>
      <c r="FNS47" s="191"/>
      <c r="FNT47" s="191"/>
      <c r="FNU47" s="191"/>
      <c r="FNV47" s="191"/>
      <c r="FNW47" s="191"/>
      <c r="FNX47" s="191"/>
      <c r="FNY47" s="191"/>
      <c r="FNZ47" s="191"/>
      <c r="FOA47" s="191"/>
      <c r="FOB47" s="191"/>
      <c r="FOC47" s="191"/>
      <c r="FOD47" s="191"/>
      <c r="FOE47" s="191"/>
      <c r="FOF47" s="191"/>
      <c r="FOG47" s="191"/>
      <c r="FOH47" s="191"/>
      <c r="FOI47" s="191"/>
      <c r="FOJ47" s="191"/>
      <c r="FOK47" s="191"/>
      <c r="FOL47" s="191"/>
      <c r="FOM47" s="191"/>
      <c r="FON47" s="191"/>
      <c r="FOO47" s="191"/>
      <c r="FOP47" s="191"/>
      <c r="FOQ47" s="191"/>
      <c r="FOR47" s="191"/>
      <c r="FOS47" s="191"/>
      <c r="FOT47" s="191"/>
      <c r="FOU47" s="191"/>
      <c r="FOV47" s="191"/>
      <c r="FOW47" s="191"/>
      <c r="FOX47" s="191"/>
      <c r="FOY47" s="191"/>
      <c r="FOZ47" s="191"/>
      <c r="FPA47" s="191"/>
      <c r="FPB47" s="191"/>
      <c r="FPC47" s="191"/>
      <c r="FPD47" s="191"/>
      <c r="FPE47" s="191"/>
      <c r="FPF47" s="191"/>
      <c r="FPG47" s="191"/>
      <c r="FPH47" s="191"/>
      <c r="FPI47" s="191"/>
      <c r="FPJ47" s="191"/>
      <c r="FPK47" s="191"/>
      <c r="FPL47" s="191"/>
      <c r="FPM47" s="191"/>
      <c r="FPN47" s="191"/>
      <c r="FPO47" s="191"/>
      <c r="FPP47" s="191"/>
      <c r="FPQ47" s="191"/>
      <c r="FPR47" s="191"/>
      <c r="FPS47" s="191"/>
      <c r="FPT47" s="191"/>
      <c r="FPU47" s="191"/>
      <c r="FPV47" s="191"/>
      <c r="FPW47" s="191"/>
      <c r="FPX47" s="191"/>
      <c r="FPY47" s="191"/>
      <c r="FPZ47" s="191"/>
      <c r="FQA47" s="191"/>
      <c r="FQB47" s="191"/>
      <c r="FQC47" s="191"/>
      <c r="FQD47" s="191"/>
      <c r="FQE47" s="191"/>
      <c r="FQF47" s="191"/>
      <c r="FQG47" s="191"/>
      <c r="FQH47" s="191"/>
      <c r="FQI47" s="191"/>
      <c r="FQJ47" s="191"/>
      <c r="FQK47" s="191"/>
      <c r="FQL47" s="191"/>
      <c r="FQM47" s="191"/>
      <c r="FQN47" s="191"/>
      <c r="FQO47" s="191"/>
      <c r="FQP47" s="191"/>
      <c r="FQQ47" s="191"/>
      <c r="FQR47" s="191"/>
      <c r="FQS47" s="191"/>
      <c r="FQT47" s="191"/>
      <c r="FQU47" s="191"/>
      <c r="FQV47" s="191"/>
      <c r="FQW47" s="191"/>
      <c r="FQX47" s="191"/>
      <c r="FQY47" s="191"/>
      <c r="FQZ47" s="191"/>
      <c r="FRA47" s="191"/>
      <c r="FRB47" s="191"/>
      <c r="FRC47" s="191"/>
      <c r="FRD47" s="191"/>
      <c r="FRE47" s="191"/>
      <c r="FRF47" s="191"/>
      <c r="FRG47" s="191"/>
      <c r="FRH47" s="191"/>
      <c r="FRI47" s="191"/>
      <c r="FRJ47" s="191"/>
      <c r="FRK47" s="191"/>
      <c r="FRL47" s="191"/>
      <c r="FRM47" s="191"/>
      <c r="FRN47" s="191"/>
      <c r="FRO47" s="191"/>
      <c r="FRP47" s="191"/>
      <c r="FRQ47" s="191"/>
      <c r="FRR47" s="191"/>
      <c r="FRS47" s="191"/>
      <c r="FRT47" s="191"/>
      <c r="FRU47" s="191"/>
      <c r="FRV47" s="191"/>
      <c r="FRW47" s="191"/>
      <c r="FRX47" s="191"/>
      <c r="FRY47" s="191"/>
      <c r="FRZ47" s="191"/>
      <c r="FSA47" s="191"/>
      <c r="FSB47" s="191"/>
      <c r="FSC47" s="191"/>
      <c r="FSD47" s="191"/>
      <c r="FSE47" s="191"/>
      <c r="FSF47" s="191"/>
      <c r="FSG47" s="191"/>
      <c r="FSH47" s="191"/>
      <c r="FSI47" s="191"/>
      <c r="FSJ47" s="191"/>
      <c r="FSK47" s="191"/>
      <c r="FSL47" s="191"/>
      <c r="FSM47" s="191"/>
      <c r="FSN47" s="191"/>
      <c r="FSO47" s="191"/>
      <c r="FSP47" s="191"/>
      <c r="FSQ47" s="191"/>
      <c r="FSR47" s="191"/>
      <c r="FSS47" s="191"/>
      <c r="FST47" s="191"/>
      <c r="FSU47" s="191"/>
      <c r="FSV47" s="191"/>
      <c r="FSW47" s="191"/>
      <c r="FSX47" s="191"/>
      <c r="FSY47" s="191"/>
      <c r="FSZ47" s="191"/>
      <c r="FTA47" s="191"/>
      <c r="FTB47" s="191"/>
      <c r="FTC47" s="191"/>
      <c r="FTD47" s="191"/>
      <c r="FTE47" s="191"/>
      <c r="FTF47" s="191"/>
      <c r="FTG47" s="191"/>
      <c r="FTH47" s="191"/>
      <c r="FTI47" s="191"/>
      <c r="FTJ47" s="191"/>
      <c r="FTK47" s="191"/>
      <c r="FTL47" s="191"/>
      <c r="FTM47" s="191"/>
      <c r="FTN47" s="191"/>
      <c r="FTO47" s="191"/>
      <c r="FTP47" s="191"/>
      <c r="FTQ47" s="191"/>
      <c r="FTR47" s="191"/>
      <c r="FTS47" s="191"/>
      <c r="FTT47" s="191"/>
      <c r="FTU47" s="191"/>
      <c r="FTV47" s="191"/>
      <c r="FTW47" s="191"/>
      <c r="FTX47" s="191"/>
      <c r="FTY47" s="191"/>
      <c r="FTZ47" s="191"/>
      <c r="FUA47" s="191"/>
      <c r="FUB47" s="191"/>
      <c r="FUC47" s="191"/>
      <c r="FUD47" s="191"/>
      <c r="FUE47" s="191"/>
      <c r="FUF47" s="191"/>
      <c r="FUG47" s="191"/>
      <c r="FUH47" s="191"/>
      <c r="FUI47" s="191"/>
      <c r="FUJ47" s="191"/>
      <c r="FUK47" s="191"/>
      <c r="FUL47" s="191"/>
      <c r="FUM47" s="191"/>
      <c r="FUN47" s="191"/>
      <c r="FUO47" s="191"/>
      <c r="FUP47" s="191"/>
      <c r="FUQ47" s="191"/>
      <c r="FUR47" s="191"/>
      <c r="FUS47" s="191"/>
      <c r="FUT47" s="191"/>
      <c r="FUU47" s="191"/>
      <c r="FUV47" s="191"/>
      <c r="FUW47" s="191"/>
      <c r="FUX47" s="191"/>
      <c r="FUY47" s="191"/>
      <c r="FUZ47" s="191"/>
      <c r="FVA47" s="191"/>
      <c r="FVB47" s="191"/>
      <c r="FVC47" s="191"/>
      <c r="FVD47" s="191"/>
      <c r="FVE47" s="191"/>
      <c r="FVF47" s="191"/>
      <c r="FVG47" s="191"/>
      <c r="FVH47" s="191"/>
      <c r="FVI47" s="191"/>
      <c r="FVJ47" s="191"/>
      <c r="FVK47" s="191"/>
      <c r="FVL47" s="191"/>
      <c r="FVM47" s="191"/>
      <c r="FVN47" s="191"/>
      <c r="FVO47" s="191"/>
      <c r="FVP47" s="191"/>
      <c r="FVQ47" s="191"/>
      <c r="FVR47" s="191"/>
      <c r="FVS47" s="191"/>
      <c r="FVT47" s="191"/>
      <c r="FVU47" s="191"/>
      <c r="FVV47" s="191"/>
      <c r="FVW47" s="191"/>
      <c r="FVX47" s="191"/>
      <c r="FVY47" s="191"/>
      <c r="FVZ47" s="191"/>
      <c r="FWA47" s="191"/>
      <c r="FWB47" s="191"/>
      <c r="FWC47" s="191"/>
      <c r="FWD47" s="191"/>
      <c r="FWE47" s="191"/>
      <c r="FWF47" s="191"/>
      <c r="FWG47" s="191"/>
      <c r="FWH47" s="191"/>
      <c r="FWI47" s="191"/>
      <c r="FWJ47" s="191"/>
      <c r="FWK47" s="191"/>
      <c r="FWL47" s="191"/>
      <c r="FWM47" s="191"/>
      <c r="FWN47" s="191"/>
      <c r="FWO47" s="191"/>
      <c r="FWP47" s="191"/>
      <c r="FWQ47" s="191"/>
      <c r="FWR47" s="191"/>
      <c r="FWS47" s="191"/>
      <c r="FWT47" s="191"/>
      <c r="FWU47" s="191"/>
      <c r="FWV47" s="191"/>
      <c r="FWW47" s="191"/>
      <c r="FWX47" s="191"/>
      <c r="FWY47" s="191"/>
      <c r="FWZ47" s="191"/>
      <c r="FXA47" s="191"/>
      <c r="FXB47" s="191"/>
      <c r="FXC47" s="191"/>
      <c r="FXD47" s="191"/>
      <c r="FXE47" s="191"/>
      <c r="FXF47" s="191"/>
      <c r="FXG47" s="191"/>
      <c r="FXH47" s="191"/>
      <c r="FXI47" s="191"/>
      <c r="FXJ47" s="191"/>
      <c r="FXK47" s="191"/>
      <c r="FXL47" s="191"/>
      <c r="FXM47" s="191"/>
      <c r="FXN47" s="191"/>
      <c r="FXO47" s="191"/>
      <c r="FXP47" s="191"/>
      <c r="FXQ47" s="191"/>
      <c r="FXR47" s="191"/>
      <c r="FXS47" s="191"/>
      <c r="FXT47" s="191"/>
      <c r="FXU47" s="191"/>
      <c r="FXV47" s="191"/>
      <c r="FXW47" s="191"/>
      <c r="FXX47" s="191"/>
      <c r="FXY47" s="191"/>
      <c r="FXZ47" s="191"/>
      <c r="FYA47" s="191"/>
      <c r="FYB47" s="191"/>
      <c r="FYC47" s="191"/>
      <c r="FYD47" s="191"/>
      <c r="FYE47" s="191"/>
      <c r="FYF47" s="191"/>
      <c r="FYG47" s="191"/>
      <c r="FYH47" s="191"/>
      <c r="FYI47" s="191"/>
      <c r="FYJ47" s="191"/>
      <c r="FYK47" s="191"/>
      <c r="FYL47" s="191"/>
      <c r="FYM47" s="191"/>
      <c r="FYN47" s="191"/>
      <c r="FYO47" s="191"/>
      <c r="FYP47" s="191"/>
      <c r="FYQ47" s="191"/>
      <c r="FYR47" s="191"/>
      <c r="FYS47" s="191"/>
      <c r="FYT47" s="191"/>
      <c r="FYU47" s="191"/>
      <c r="FYV47" s="191"/>
      <c r="FYW47" s="191"/>
      <c r="FYX47" s="191"/>
      <c r="FYY47" s="191"/>
      <c r="FYZ47" s="191"/>
      <c r="FZA47" s="191"/>
      <c r="FZB47" s="191"/>
      <c r="FZC47" s="191"/>
      <c r="FZD47" s="191"/>
      <c r="FZE47" s="191"/>
      <c r="FZF47" s="191"/>
      <c r="FZG47" s="191"/>
      <c r="FZH47" s="191"/>
      <c r="FZI47" s="191"/>
      <c r="FZJ47" s="191"/>
      <c r="FZK47" s="191"/>
      <c r="FZL47" s="191"/>
      <c r="FZM47" s="191"/>
      <c r="FZN47" s="191"/>
      <c r="FZO47" s="191"/>
      <c r="FZP47" s="191"/>
      <c r="FZQ47" s="191"/>
      <c r="FZR47" s="191"/>
      <c r="FZS47" s="191"/>
      <c r="FZT47" s="191"/>
      <c r="FZU47" s="191"/>
      <c r="FZV47" s="191"/>
      <c r="FZW47" s="191"/>
      <c r="FZX47" s="191"/>
      <c r="FZY47" s="191"/>
      <c r="FZZ47" s="191"/>
      <c r="GAA47" s="191"/>
      <c r="GAB47" s="191"/>
      <c r="GAC47" s="191"/>
      <c r="GAD47" s="191"/>
      <c r="GAE47" s="191"/>
      <c r="GAF47" s="191"/>
      <c r="GAG47" s="191"/>
      <c r="GAH47" s="191"/>
      <c r="GAI47" s="191"/>
      <c r="GAJ47" s="191"/>
      <c r="GAK47" s="191"/>
      <c r="GAL47" s="191"/>
      <c r="GAM47" s="191"/>
      <c r="GAN47" s="191"/>
      <c r="GAO47" s="191"/>
      <c r="GAP47" s="191"/>
      <c r="GAQ47" s="191"/>
      <c r="GAR47" s="191"/>
      <c r="GAS47" s="191"/>
      <c r="GAT47" s="191"/>
      <c r="GAU47" s="191"/>
      <c r="GAV47" s="191"/>
      <c r="GAW47" s="191"/>
      <c r="GAX47" s="191"/>
      <c r="GAY47" s="191"/>
      <c r="GAZ47" s="191"/>
      <c r="GBA47" s="191"/>
      <c r="GBB47" s="191"/>
      <c r="GBC47" s="191"/>
      <c r="GBD47" s="191"/>
      <c r="GBE47" s="191"/>
      <c r="GBF47" s="191"/>
      <c r="GBG47" s="191"/>
      <c r="GBH47" s="191"/>
      <c r="GBI47" s="191"/>
      <c r="GBJ47" s="191"/>
      <c r="GBK47" s="191"/>
      <c r="GBL47" s="191"/>
      <c r="GBM47" s="191"/>
      <c r="GBN47" s="191"/>
      <c r="GBO47" s="191"/>
      <c r="GBP47" s="191"/>
      <c r="GBQ47" s="191"/>
      <c r="GBR47" s="191"/>
      <c r="GBS47" s="191"/>
      <c r="GBT47" s="191"/>
      <c r="GBU47" s="191"/>
      <c r="GBV47" s="191"/>
      <c r="GBW47" s="191"/>
      <c r="GBX47" s="191"/>
      <c r="GBY47" s="191"/>
      <c r="GBZ47" s="191"/>
      <c r="GCA47" s="191"/>
      <c r="GCB47" s="191"/>
      <c r="GCC47" s="191"/>
      <c r="GCD47" s="191"/>
      <c r="GCE47" s="191"/>
      <c r="GCF47" s="191"/>
      <c r="GCG47" s="191"/>
      <c r="GCH47" s="191"/>
      <c r="GCI47" s="191"/>
      <c r="GCJ47" s="191"/>
      <c r="GCK47" s="191"/>
      <c r="GCL47" s="191"/>
      <c r="GCM47" s="191"/>
      <c r="GCN47" s="191"/>
      <c r="GCO47" s="191"/>
      <c r="GCP47" s="191"/>
      <c r="GCQ47" s="191"/>
      <c r="GCR47" s="191"/>
      <c r="GCS47" s="191"/>
      <c r="GCT47" s="191"/>
      <c r="GCU47" s="191"/>
      <c r="GCV47" s="191"/>
      <c r="GCW47" s="191"/>
      <c r="GCX47" s="191"/>
      <c r="GCY47" s="191"/>
      <c r="GCZ47" s="191"/>
      <c r="GDA47" s="191"/>
      <c r="GDB47" s="191"/>
      <c r="GDC47" s="191"/>
      <c r="GDD47" s="191"/>
      <c r="GDE47" s="191"/>
      <c r="GDF47" s="191"/>
      <c r="GDG47" s="191"/>
      <c r="GDH47" s="191"/>
      <c r="GDI47" s="191"/>
      <c r="GDJ47" s="191"/>
      <c r="GDK47" s="191"/>
      <c r="GDL47" s="191"/>
      <c r="GDM47" s="191"/>
      <c r="GDN47" s="191"/>
      <c r="GDO47" s="191"/>
      <c r="GDP47" s="191"/>
      <c r="GDQ47" s="191"/>
      <c r="GDR47" s="191"/>
      <c r="GDS47" s="191"/>
      <c r="GDT47" s="191"/>
      <c r="GDU47" s="191"/>
      <c r="GDV47" s="191"/>
      <c r="GDW47" s="191"/>
      <c r="GDX47" s="191"/>
      <c r="GDY47" s="191"/>
      <c r="GDZ47" s="191"/>
      <c r="GEA47" s="191"/>
      <c r="GEB47" s="191"/>
      <c r="GEC47" s="191"/>
      <c r="GED47" s="191"/>
      <c r="GEE47" s="191"/>
      <c r="GEF47" s="191"/>
      <c r="GEG47" s="191"/>
      <c r="GEH47" s="191"/>
      <c r="GEI47" s="191"/>
      <c r="GEJ47" s="191"/>
      <c r="GEK47" s="191"/>
      <c r="GEL47" s="191"/>
      <c r="GEM47" s="191"/>
      <c r="GEN47" s="191"/>
      <c r="GEO47" s="191"/>
      <c r="GEP47" s="191"/>
      <c r="GEQ47" s="191"/>
      <c r="GER47" s="191"/>
      <c r="GES47" s="191"/>
      <c r="GET47" s="191"/>
      <c r="GEU47" s="191"/>
      <c r="GEV47" s="191"/>
      <c r="GEW47" s="191"/>
      <c r="GEX47" s="191"/>
      <c r="GEY47" s="191"/>
      <c r="GEZ47" s="191"/>
      <c r="GFA47" s="191"/>
      <c r="GFB47" s="191"/>
      <c r="GFC47" s="191"/>
      <c r="GFD47" s="191"/>
      <c r="GFE47" s="191"/>
      <c r="GFF47" s="191"/>
      <c r="GFG47" s="191"/>
      <c r="GFH47" s="191"/>
      <c r="GFI47" s="191"/>
      <c r="GFJ47" s="191"/>
      <c r="GFK47" s="191"/>
      <c r="GFL47" s="191"/>
      <c r="GFM47" s="191"/>
      <c r="GFN47" s="191"/>
      <c r="GFO47" s="191"/>
      <c r="GFP47" s="191"/>
      <c r="GFQ47" s="191"/>
      <c r="GFR47" s="191"/>
      <c r="GFS47" s="191"/>
      <c r="GFT47" s="191"/>
      <c r="GFU47" s="191"/>
      <c r="GFV47" s="191"/>
      <c r="GFW47" s="191"/>
      <c r="GFX47" s="191"/>
      <c r="GFY47" s="191"/>
      <c r="GFZ47" s="191"/>
      <c r="GGA47" s="191"/>
      <c r="GGB47" s="191"/>
      <c r="GGC47" s="191"/>
      <c r="GGD47" s="191"/>
      <c r="GGE47" s="191"/>
      <c r="GGF47" s="191"/>
      <c r="GGG47" s="191"/>
      <c r="GGH47" s="191"/>
      <c r="GGI47" s="191"/>
      <c r="GGJ47" s="191"/>
      <c r="GGK47" s="191"/>
      <c r="GGL47" s="191"/>
      <c r="GGM47" s="191"/>
      <c r="GGN47" s="191"/>
      <c r="GGO47" s="191"/>
      <c r="GGP47" s="191"/>
      <c r="GGQ47" s="191"/>
      <c r="GGR47" s="191"/>
      <c r="GGS47" s="191"/>
      <c r="GGT47" s="191"/>
      <c r="GGU47" s="191"/>
      <c r="GGV47" s="191"/>
      <c r="GGW47" s="191"/>
      <c r="GGX47" s="191"/>
      <c r="GGY47" s="191"/>
      <c r="GGZ47" s="191"/>
      <c r="GHA47" s="191"/>
      <c r="GHB47" s="191"/>
      <c r="GHC47" s="191"/>
      <c r="GHD47" s="191"/>
      <c r="GHE47" s="191"/>
      <c r="GHF47" s="191"/>
      <c r="GHG47" s="191"/>
      <c r="GHH47" s="191"/>
      <c r="GHI47" s="191"/>
      <c r="GHJ47" s="191"/>
      <c r="GHK47" s="191"/>
      <c r="GHL47" s="191"/>
      <c r="GHM47" s="191"/>
      <c r="GHN47" s="191"/>
      <c r="GHO47" s="191"/>
      <c r="GHP47" s="191"/>
      <c r="GHQ47" s="191"/>
      <c r="GHR47" s="191"/>
      <c r="GHS47" s="191"/>
      <c r="GHT47" s="191"/>
      <c r="GHU47" s="191"/>
      <c r="GHV47" s="191"/>
      <c r="GHW47" s="191"/>
      <c r="GHX47" s="191"/>
      <c r="GHY47" s="191"/>
      <c r="GHZ47" s="191"/>
      <c r="GIA47" s="191"/>
      <c r="GIB47" s="191"/>
      <c r="GIC47" s="191"/>
      <c r="GID47" s="191"/>
      <c r="GIE47" s="191"/>
      <c r="GIF47" s="191"/>
      <c r="GIG47" s="191"/>
      <c r="GIH47" s="191"/>
      <c r="GII47" s="191"/>
      <c r="GIJ47" s="191"/>
      <c r="GIK47" s="191"/>
      <c r="GIL47" s="191"/>
      <c r="GIM47" s="191"/>
      <c r="GIN47" s="191"/>
      <c r="GIO47" s="191"/>
      <c r="GIP47" s="191"/>
      <c r="GIQ47" s="191"/>
      <c r="GIR47" s="191"/>
      <c r="GIS47" s="191"/>
      <c r="GIT47" s="191"/>
      <c r="GIU47" s="191"/>
      <c r="GIV47" s="191"/>
      <c r="GIW47" s="191"/>
      <c r="GIX47" s="191"/>
      <c r="GIY47" s="191"/>
      <c r="GIZ47" s="191"/>
      <c r="GJA47" s="191"/>
      <c r="GJB47" s="191"/>
      <c r="GJC47" s="191"/>
      <c r="GJD47" s="191"/>
      <c r="GJE47" s="191"/>
      <c r="GJF47" s="191"/>
      <c r="GJG47" s="191"/>
      <c r="GJH47" s="191"/>
      <c r="GJI47" s="191"/>
      <c r="GJJ47" s="191"/>
      <c r="GJK47" s="191"/>
      <c r="GJL47" s="191"/>
      <c r="GJM47" s="191"/>
      <c r="GJN47" s="191"/>
      <c r="GJO47" s="191"/>
      <c r="GJP47" s="191"/>
      <c r="GJQ47" s="191"/>
      <c r="GJR47" s="191"/>
      <c r="GJS47" s="191"/>
      <c r="GJT47" s="191"/>
      <c r="GJU47" s="191"/>
      <c r="GJV47" s="191"/>
      <c r="GJW47" s="191"/>
      <c r="GJX47" s="191"/>
      <c r="GJY47" s="191"/>
      <c r="GJZ47" s="191"/>
      <c r="GKA47" s="191"/>
      <c r="GKB47" s="191"/>
      <c r="GKC47" s="191"/>
      <c r="GKD47" s="191"/>
      <c r="GKE47" s="191"/>
      <c r="GKF47" s="191"/>
      <c r="GKG47" s="191"/>
      <c r="GKH47" s="191"/>
      <c r="GKI47" s="191"/>
      <c r="GKJ47" s="191"/>
      <c r="GKK47" s="191"/>
      <c r="GKL47" s="191"/>
      <c r="GKM47" s="191"/>
      <c r="GKN47" s="191"/>
      <c r="GKO47" s="191"/>
      <c r="GKP47" s="191"/>
      <c r="GKQ47" s="191"/>
      <c r="GKR47" s="191"/>
      <c r="GKS47" s="191"/>
      <c r="GKT47" s="191"/>
      <c r="GKU47" s="191"/>
      <c r="GKV47" s="191"/>
      <c r="GKW47" s="191"/>
      <c r="GKX47" s="191"/>
      <c r="GKY47" s="191"/>
      <c r="GKZ47" s="191"/>
      <c r="GLA47" s="191"/>
      <c r="GLB47" s="191"/>
      <c r="GLC47" s="191"/>
      <c r="GLD47" s="191"/>
      <c r="GLE47" s="191"/>
      <c r="GLF47" s="191"/>
      <c r="GLG47" s="191"/>
      <c r="GLH47" s="191"/>
      <c r="GLI47" s="191"/>
      <c r="GLJ47" s="191"/>
      <c r="GLK47" s="191"/>
      <c r="GLL47" s="191"/>
      <c r="GLM47" s="191"/>
      <c r="GLN47" s="191"/>
      <c r="GLO47" s="191"/>
      <c r="GLP47" s="191"/>
      <c r="GLQ47" s="191"/>
      <c r="GLR47" s="191"/>
      <c r="GLS47" s="191"/>
      <c r="GLT47" s="191"/>
      <c r="GLU47" s="191"/>
      <c r="GLV47" s="191"/>
      <c r="GLW47" s="191"/>
      <c r="GLX47" s="191"/>
      <c r="GLY47" s="191"/>
      <c r="GLZ47" s="191"/>
      <c r="GMA47" s="191"/>
      <c r="GMB47" s="191"/>
      <c r="GMC47" s="191"/>
      <c r="GMD47" s="191"/>
      <c r="GME47" s="191"/>
      <c r="GMF47" s="191"/>
      <c r="GMG47" s="191"/>
      <c r="GMH47" s="191"/>
      <c r="GMI47" s="191"/>
      <c r="GMJ47" s="191"/>
      <c r="GMK47" s="191"/>
      <c r="GML47" s="191"/>
      <c r="GMM47" s="191"/>
      <c r="GMN47" s="191"/>
      <c r="GMO47" s="191"/>
      <c r="GMP47" s="191"/>
      <c r="GMQ47" s="191"/>
      <c r="GMR47" s="191"/>
      <c r="GMS47" s="191"/>
      <c r="GMT47" s="191"/>
      <c r="GMU47" s="191"/>
      <c r="GMV47" s="191"/>
      <c r="GMW47" s="191"/>
      <c r="GMX47" s="191"/>
      <c r="GMY47" s="191"/>
      <c r="GMZ47" s="191"/>
      <c r="GNA47" s="191"/>
      <c r="GNB47" s="191"/>
      <c r="GNC47" s="191"/>
      <c r="GND47" s="191"/>
      <c r="GNE47" s="191"/>
      <c r="GNF47" s="191"/>
      <c r="GNG47" s="191"/>
      <c r="GNH47" s="191"/>
      <c r="GNI47" s="191"/>
      <c r="GNJ47" s="191"/>
      <c r="GNK47" s="191"/>
      <c r="GNL47" s="191"/>
      <c r="GNM47" s="191"/>
      <c r="GNN47" s="191"/>
      <c r="GNO47" s="191"/>
      <c r="GNP47" s="191"/>
      <c r="GNQ47" s="191"/>
      <c r="GNR47" s="191"/>
      <c r="GNS47" s="191"/>
      <c r="GNT47" s="191"/>
      <c r="GNU47" s="191"/>
      <c r="GNV47" s="191"/>
      <c r="GNW47" s="191"/>
      <c r="GNX47" s="191"/>
      <c r="GNY47" s="191"/>
      <c r="GNZ47" s="191"/>
      <c r="GOA47" s="191"/>
      <c r="GOB47" s="191"/>
      <c r="GOC47" s="191"/>
      <c r="GOD47" s="191"/>
      <c r="GOE47" s="191"/>
      <c r="GOF47" s="191"/>
      <c r="GOG47" s="191"/>
      <c r="GOH47" s="191"/>
      <c r="GOI47" s="191"/>
      <c r="GOJ47" s="191"/>
      <c r="GOK47" s="191"/>
      <c r="GOL47" s="191"/>
      <c r="GOM47" s="191"/>
      <c r="GON47" s="191"/>
      <c r="GOO47" s="191"/>
      <c r="GOP47" s="191"/>
      <c r="GOQ47" s="191"/>
      <c r="GOR47" s="191"/>
      <c r="GOS47" s="191"/>
      <c r="GOT47" s="191"/>
      <c r="GOU47" s="191"/>
      <c r="GOV47" s="191"/>
      <c r="GOW47" s="191"/>
      <c r="GOX47" s="191"/>
      <c r="GOY47" s="191"/>
      <c r="GOZ47" s="191"/>
      <c r="GPA47" s="191"/>
      <c r="GPB47" s="191"/>
      <c r="GPC47" s="191"/>
      <c r="GPD47" s="191"/>
      <c r="GPE47" s="191"/>
      <c r="GPF47" s="191"/>
      <c r="GPG47" s="191"/>
      <c r="GPH47" s="191"/>
      <c r="GPI47" s="191"/>
      <c r="GPJ47" s="191"/>
      <c r="GPK47" s="191"/>
      <c r="GPL47" s="191"/>
      <c r="GPM47" s="191"/>
      <c r="GPN47" s="191"/>
      <c r="GPO47" s="191"/>
      <c r="GPP47" s="191"/>
      <c r="GPQ47" s="191"/>
      <c r="GPR47" s="191"/>
      <c r="GPS47" s="191"/>
      <c r="GPT47" s="191"/>
      <c r="GPU47" s="191"/>
      <c r="GPV47" s="191"/>
      <c r="GPW47" s="191"/>
      <c r="GPX47" s="191"/>
      <c r="GPY47" s="191"/>
      <c r="GPZ47" s="191"/>
      <c r="GQA47" s="191"/>
      <c r="GQB47" s="191"/>
      <c r="GQC47" s="191"/>
      <c r="GQD47" s="191"/>
      <c r="GQE47" s="191"/>
      <c r="GQF47" s="191"/>
      <c r="GQG47" s="191"/>
      <c r="GQH47" s="191"/>
      <c r="GQI47" s="191"/>
      <c r="GQJ47" s="191"/>
      <c r="GQK47" s="191"/>
      <c r="GQL47" s="191"/>
      <c r="GQM47" s="191"/>
      <c r="GQN47" s="191"/>
      <c r="GQO47" s="191"/>
      <c r="GQP47" s="191"/>
      <c r="GQQ47" s="191"/>
      <c r="GQR47" s="191"/>
      <c r="GQS47" s="191"/>
      <c r="GQT47" s="191"/>
      <c r="GQU47" s="191"/>
      <c r="GQV47" s="191"/>
      <c r="GQW47" s="191"/>
      <c r="GQX47" s="191"/>
      <c r="GQY47" s="191"/>
      <c r="GQZ47" s="191"/>
      <c r="GRA47" s="191"/>
      <c r="GRB47" s="191"/>
      <c r="GRC47" s="191"/>
      <c r="GRD47" s="191"/>
      <c r="GRE47" s="191"/>
      <c r="GRF47" s="191"/>
      <c r="GRG47" s="191"/>
      <c r="GRH47" s="191"/>
      <c r="GRI47" s="191"/>
      <c r="GRJ47" s="191"/>
      <c r="GRK47" s="191"/>
      <c r="GRL47" s="191"/>
      <c r="GRM47" s="191"/>
      <c r="GRN47" s="191"/>
      <c r="GRO47" s="191"/>
      <c r="GRP47" s="191"/>
      <c r="GRQ47" s="191"/>
      <c r="GRR47" s="191"/>
      <c r="GRS47" s="191"/>
      <c r="GRT47" s="191"/>
      <c r="GRU47" s="191"/>
      <c r="GRV47" s="191"/>
      <c r="GRW47" s="191"/>
      <c r="GRX47" s="191"/>
      <c r="GRY47" s="191"/>
      <c r="GRZ47" s="191"/>
      <c r="GSA47" s="191"/>
      <c r="GSB47" s="191"/>
      <c r="GSC47" s="191"/>
      <c r="GSD47" s="191"/>
      <c r="GSE47" s="191"/>
      <c r="GSF47" s="191"/>
      <c r="GSG47" s="191"/>
      <c r="GSH47" s="191"/>
      <c r="GSI47" s="191"/>
      <c r="GSJ47" s="191"/>
      <c r="GSK47" s="191"/>
      <c r="GSL47" s="191"/>
      <c r="GSM47" s="191"/>
      <c r="GSN47" s="191"/>
      <c r="GSO47" s="191"/>
      <c r="GSP47" s="191"/>
      <c r="GSQ47" s="191"/>
      <c r="GSR47" s="191"/>
      <c r="GSS47" s="191"/>
      <c r="GST47" s="191"/>
      <c r="GSU47" s="191"/>
      <c r="GSV47" s="191"/>
      <c r="GSW47" s="191"/>
      <c r="GSX47" s="191"/>
      <c r="GSY47" s="191"/>
      <c r="GSZ47" s="191"/>
      <c r="GTA47" s="191"/>
      <c r="GTB47" s="191"/>
      <c r="GTC47" s="191"/>
      <c r="GTD47" s="191"/>
      <c r="GTE47" s="191"/>
      <c r="GTF47" s="191"/>
      <c r="GTG47" s="191"/>
      <c r="GTH47" s="191"/>
      <c r="GTI47" s="191"/>
      <c r="GTJ47" s="191"/>
      <c r="GTK47" s="191"/>
      <c r="GTL47" s="191"/>
      <c r="GTM47" s="191"/>
      <c r="GTN47" s="191"/>
      <c r="GTO47" s="191"/>
      <c r="GTP47" s="191"/>
      <c r="GTQ47" s="191"/>
      <c r="GTR47" s="191"/>
      <c r="GTS47" s="191"/>
      <c r="GTT47" s="191"/>
      <c r="GTU47" s="191"/>
      <c r="GTV47" s="191"/>
      <c r="GTW47" s="191"/>
      <c r="GTX47" s="191"/>
      <c r="GTY47" s="191"/>
      <c r="GTZ47" s="191"/>
      <c r="GUA47" s="191"/>
      <c r="GUB47" s="191"/>
      <c r="GUC47" s="191"/>
      <c r="GUD47" s="191"/>
      <c r="GUE47" s="191"/>
      <c r="GUF47" s="191"/>
      <c r="GUG47" s="191"/>
      <c r="GUH47" s="191"/>
      <c r="GUI47" s="191"/>
      <c r="GUJ47" s="191"/>
      <c r="GUK47" s="191"/>
      <c r="GUL47" s="191"/>
      <c r="GUM47" s="191"/>
      <c r="GUN47" s="191"/>
      <c r="GUO47" s="191"/>
      <c r="GUP47" s="191"/>
      <c r="GUQ47" s="191"/>
      <c r="GUR47" s="191"/>
      <c r="GUS47" s="191"/>
      <c r="GUT47" s="191"/>
      <c r="GUU47" s="191"/>
      <c r="GUV47" s="191"/>
      <c r="GUW47" s="191"/>
      <c r="GUX47" s="191"/>
      <c r="GUY47" s="191"/>
      <c r="GUZ47" s="191"/>
      <c r="GVA47" s="191"/>
      <c r="GVB47" s="191"/>
      <c r="GVC47" s="191"/>
      <c r="GVD47" s="191"/>
      <c r="GVE47" s="191"/>
      <c r="GVF47" s="191"/>
      <c r="GVG47" s="191"/>
      <c r="GVH47" s="191"/>
      <c r="GVI47" s="191"/>
      <c r="GVJ47" s="191"/>
      <c r="GVK47" s="191"/>
      <c r="GVL47" s="191"/>
      <c r="GVM47" s="191"/>
      <c r="GVN47" s="191"/>
      <c r="GVO47" s="191"/>
      <c r="GVP47" s="191"/>
      <c r="GVQ47" s="191"/>
      <c r="GVR47" s="191"/>
      <c r="GVS47" s="191"/>
      <c r="GVT47" s="191"/>
      <c r="GVU47" s="191"/>
      <c r="GVV47" s="191"/>
      <c r="GVW47" s="191"/>
      <c r="GVX47" s="191"/>
      <c r="GVY47" s="191"/>
      <c r="GVZ47" s="191"/>
      <c r="GWA47" s="191"/>
      <c r="GWB47" s="191"/>
      <c r="GWC47" s="191"/>
      <c r="GWD47" s="191"/>
      <c r="GWE47" s="191"/>
      <c r="GWF47" s="191"/>
      <c r="GWG47" s="191"/>
      <c r="GWH47" s="191"/>
      <c r="GWI47" s="191"/>
      <c r="GWJ47" s="191"/>
      <c r="GWK47" s="191"/>
      <c r="GWL47" s="191"/>
      <c r="GWM47" s="191"/>
      <c r="GWN47" s="191"/>
      <c r="GWO47" s="191"/>
      <c r="GWP47" s="191"/>
      <c r="GWQ47" s="191"/>
      <c r="GWR47" s="191"/>
      <c r="GWS47" s="191"/>
      <c r="GWT47" s="191"/>
      <c r="GWU47" s="191"/>
      <c r="GWV47" s="191"/>
      <c r="GWW47" s="191"/>
      <c r="GWX47" s="191"/>
      <c r="GWY47" s="191"/>
      <c r="GWZ47" s="191"/>
      <c r="GXA47" s="191"/>
      <c r="GXB47" s="191"/>
      <c r="GXC47" s="191"/>
      <c r="GXD47" s="191"/>
      <c r="GXE47" s="191"/>
      <c r="GXF47" s="191"/>
      <c r="GXG47" s="191"/>
      <c r="GXH47" s="191"/>
      <c r="GXI47" s="191"/>
      <c r="GXJ47" s="191"/>
      <c r="GXK47" s="191"/>
      <c r="GXL47" s="191"/>
      <c r="GXM47" s="191"/>
      <c r="GXN47" s="191"/>
      <c r="GXO47" s="191"/>
      <c r="GXP47" s="191"/>
      <c r="GXQ47" s="191"/>
      <c r="GXR47" s="191"/>
      <c r="GXS47" s="191"/>
      <c r="GXT47" s="191"/>
      <c r="GXU47" s="191"/>
      <c r="GXV47" s="191"/>
      <c r="GXW47" s="191"/>
      <c r="GXX47" s="191"/>
      <c r="GXY47" s="191"/>
      <c r="GXZ47" s="191"/>
      <c r="GYA47" s="191"/>
      <c r="GYB47" s="191"/>
      <c r="GYC47" s="191"/>
      <c r="GYD47" s="191"/>
      <c r="GYE47" s="191"/>
      <c r="GYF47" s="191"/>
      <c r="GYG47" s="191"/>
      <c r="GYH47" s="191"/>
      <c r="GYI47" s="191"/>
      <c r="GYJ47" s="191"/>
      <c r="GYK47" s="191"/>
      <c r="GYL47" s="191"/>
      <c r="GYM47" s="191"/>
      <c r="GYN47" s="191"/>
      <c r="GYO47" s="191"/>
      <c r="GYP47" s="191"/>
      <c r="GYQ47" s="191"/>
      <c r="GYR47" s="191"/>
      <c r="GYS47" s="191"/>
      <c r="GYT47" s="191"/>
      <c r="GYU47" s="191"/>
      <c r="GYV47" s="191"/>
      <c r="GYW47" s="191"/>
      <c r="GYX47" s="191"/>
      <c r="GYY47" s="191"/>
      <c r="GYZ47" s="191"/>
      <c r="GZA47" s="191"/>
      <c r="GZB47" s="191"/>
      <c r="GZC47" s="191"/>
      <c r="GZD47" s="191"/>
      <c r="GZE47" s="191"/>
      <c r="GZF47" s="191"/>
      <c r="GZG47" s="191"/>
      <c r="GZH47" s="191"/>
      <c r="GZI47" s="191"/>
      <c r="GZJ47" s="191"/>
      <c r="GZK47" s="191"/>
      <c r="GZL47" s="191"/>
      <c r="GZM47" s="191"/>
      <c r="GZN47" s="191"/>
      <c r="GZO47" s="191"/>
      <c r="GZP47" s="191"/>
      <c r="GZQ47" s="191"/>
      <c r="GZR47" s="191"/>
      <c r="GZS47" s="191"/>
      <c r="GZT47" s="191"/>
      <c r="GZU47" s="191"/>
      <c r="GZV47" s="191"/>
      <c r="GZW47" s="191"/>
      <c r="GZX47" s="191"/>
      <c r="GZY47" s="191"/>
      <c r="GZZ47" s="191"/>
      <c r="HAA47" s="191"/>
      <c r="HAB47" s="191"/>
      <c r="HAC47" s="191"/>
      <c r="HAD47" s="191"/>
      <c r="HAE47" s="191"/>
      <c r="HAF47" s="191"/>
      <c r="HAG47" s="191"/>
      <c r="HAH47" s="191"/>
      <c r="HAI47" s="191"/>
      <c r="HAJ47" s="191"/>
      <c r="HAK47" s="191"/>
      <c r="HAL47" s="191"/>
      <c r="HAM47" s="191"/>
      <c r="HAN47" s="191"/>
      <c r="HAO47" s="191"/>
      <c r="HAP47" s="191"/>
      <c r="HAQ47" s="191"/>
      <c r="HAR47" s="191"/>
      <c r="HAS47" s="191"/>
      <c r="HAT47" s="191"/>
      <c r="HAU47" s="191"/>
      <c r="HAV47" s="191"/>
      <c r="HAW47" s="191"/>
      <c r="HAX47" s="191"/>
      <c r="HAY47" s="191"/>
      <c r="HAZ47" s="191"/>
      <c r="HBA47" s="191"/>
      <c r="HBB47" s="191"/>
      <c r="HBC47" s="191"/>
      <c r="HBD47" s="191"/>
      <c r="HBE47" s="191"/>
      <c r="HBF47" s="191"/>
      <c r="HBG47" s="191"/>
      <c r="HBH47" s="191"/>
      <c r="HBI47" s="191"/>
      <c r="HBJ47" s="191"/>
      <c r="HBK47" s="191"/>
      <c r="HBL47" s="191"/>
      <c r="HBM47" s="191"/>
      <c r="HBN47" s="191"/>
      <c r="HBO47" s="191"/>
      <c r="HBP47" s="191"/>
      <c r="HBQ47" s="191"/>
      <c r="HBR47" s="191"/>
      <c r="HBS47" s="191"/>
      <c r="HBT47" s="191"/>
      <c r="HBU47" s="191"/>
      <c r="HBV47" s="191"/>
      <c r="HBW47" s="191"/>
      <c r="HBX47" s="191"/>
      <c r="HBY47" s="191"/>
      <c r="HBZ47" s="191"/>
      <c r="HCA47" s="191"/>
      <c r="HCB47" s="191"/>
      <c r="HCC47" s="191"/>
      <c r="HCD47" s="191"/>
      <c r="HCE47" s="191"/>
      <c r="HCF47" s="191"/>
      <c r="HCG47" s="191"/>
      <c r="HCH47" s="191"/>
      <c r="HCI47" s="191"/>
      <c r="HCJ47" s="191"/>
      <c r="HCK47" s="191"/>
      <c r="HCL47" s="191"/>
      <c r="HCM47" s="191"/>
      <c r="HCN47" s="191"/>
      <c r="HCO47" s="191"/>
      <c r="HCP47" s="191"/>
      <c r="HCQ47" s="191"/>
      <c r="HCR47" s="191"/>
      <c r="HCS47" s="191"/>
      <c r="HCT47" s="191"/>
      <c r="HCU47" s="191"/>
      <c r="HCV47" s="191"/>
      <c r="HCW47" s="191"/>
      <c r="HCX47" s="191"/>
      <c r="HCY47" s="191"/>
      <c r="HCZ47" s="191"/>
      <c r="HDA47" s="191"/>
      <c r="HDB47" s="191"/>
      <c r="HDC47" s="191"/>
      <c r="HDD47" s="191"/>
      <c r="HDE47" s="191"/>
      <c r="HDF47" s="191"/>
      <c r="HDG47" s="191"/>
      <c r="HDH47" s="191"/>
      <c r="HDI47" s="191"/>
      <c r="HDJ47" s="191"/>
      <c r="HDK47" s="191"/>
      <c r="HDL47" s="191"/>
      <c r="HDM47" s="191"/>
      <c r="HDN47" s="191"/>
      <c r="HDO47" s="191"/>
      <c r="HDP47" s="191"/>
      <c r="HDQ47" s="191"/>
      <c r="HDR47" s="191"/>
      <c r="HDS47" s="191"/>
      <c r="HDT47" s="191"/>
      <c r="HDU47" s="191"/>
      <c r="HDV47" s="191"/>
      <c r="HDW47" s="191"/>
      <c r="HDX47" s="191"/>
      <c r="HDY47" s="191"/>
      <c r="HDZ47" s="191"/>
      <c r="HEA47" s="191"/>
      <c r="HEB47" s="191"/>
      <c r="HEC47" s="191"/>
      <c r="HED47" s="191"/>
      <c r="HEE47" s="191"/>
      <c r="HEF47" s="191"/>
      <c r="HEG47" s="191"/>
      <c r="HEH47" s="191"/>
      <c r="HEI47" s="191"/>
      <c r="HEJ47" s="191"/>
      <c r="HEK47" s="191"/>
      <c r="HEL47" s="191"/>
      <c r="HEM47" s="191"/>
      <c r="HEN47" s="191"/>
      <c r="HEO47" s="191"/>
      <c r="HEP47" s="191"/>
      <c r="HEQ47" s="191"/>
      <c r="HER47" s="191"/>
      <c r="HES47" s="191"/>
      <c r="HET47" s="191"/>
      <c r="HEU47" s="191"/>
      <c r="HEV47" s="191"/>
      <c r="HEW47" s="191"/>
      <c r="HEX47" s="191"/>
      <c r="HEY47" s="191"/>
      <c r="HEZ47" s="191"/>
      <c r="HFA47" s="191"/>
      <c r="HFB47" s="191"/>
      <c r="HFC47" s="191"/>
      <c r="HFD47" s="191"/>
      <c r="HFE47" s="191"/>
      <c r="HFF47" s="191"/>
      <c r="HFG47" s="191"/>
      <c r="HFH47" s="191"/>
      <c r="HFI47" s="191"/>
      <c r="HFJ47" s="191"/>
      <c r="HFK47" s="191"/>
      <c r="HFL47" s="191"/>
      <c r="HFM47" s="191"/>
      <c r="HFN47" s="191"/>
      <c r="HFO47" s="191"/>
      <c r="HFP47" s="191"/>
      <c r="HFQ47" s="191"/>
      <c r="HFR47" s="191"/>
      <c r="HFS47" s="191"/>
      <c r="HFT47" s="191"/>
      <c r="HFU47" s="191"/>
      <c r="HFV47" s="191"/>
      <c r="HFW47" s="191"/>
      <c r="HFX47" s="191"/>
      <c r="HFY47" s="191"/>
      <c r="HFZ47" s="191"/>
      <c r="HGA47" s="191"/>
      <c r="HGB47" s="191"/>
      <c r="HGC47" s="191"/>
      <c r="HGD47" s="191"/>
      <c r="HGE47" s="191"/>
      <c r="HGF47" s="191"/>
      <c r="HGG47" s="191"/>
      <c r="HGH47" s="191"/>
      <c r="HGI47" s="191"/>
      <c r="HGJ47" s="191"/>
      <c r="HGK47" s="191"/>
      <c r="HGL47" s="191"/>
      <c r="HGM47" s="191"/>
      <c r="HGN47" s="191"/>
      <c r="HGO47" s="191"/>
      <c r="HGP47" s="191"/>
      <c r="HGQ47" s="191"/>
      <c r="HGR47" s="191"/>
      <c r="HGS47" s="191"/>
      <c r="HGT47" s="191"/>
      <c r="HGU47" s="191"/>
      <c r="HGV47" s="191"/>
      <c r="HGW47" s="191"/>
      <c r="HGX47" s="191"/>
      <c r="HGY47" s="191"/>
      <c r="HGZ47" s="191"/>
      <c r="HHA47" s="191"/>
      <c r="HHB47" s="191"/>
      <c r="HHC47" s="191"/>
      <c r="HHD47" s="191"/>
      <c r="HHE47" s="191"/>
      <c r="HHF47" s="191"/>
      <c r="HHG47" s="191"/>
      <c r="HHH47" s="191"/>
      <c r="HHI47" s="191"/>
      <c r="HHJ47" s="191"/>
      <c r="HHK47" s="191"/>
      <c r="HHL47" s="191"/>
      <c r="HHM47" s="191"/>
      <c r="HHN47" s="191"/>
      <c r="HHO47" s="191"/>
      <c r="HHP47" s="191"/>
      <c r="HHQ47" s="191"/>
      <c r="HHR47" s="191"/>
      <c r="HHS47" s="191"/>
      <c r="HHT47" s="191"/>
      <c r="HHU47" s="191"/>
      <c r="HHV47" s="191"/>
      <c r="HHW47" s="191"/>
      <c r="HHX47" s="191"/>
      <c r="HHY47" s="191"/>
      <c r="HHZ47" s="191"/>
      <c r="HIA47" s="191"/>
      <c r="HIB47" s="191"/>
      <c r="HIC47" s="191"/>
      <c r="HID47" s="191"/>
      <c r="HIE47" s="191"/>
      <c r="HIF47" s="191"/>
      <c r="HIG47" s="191"/>
      <c r="HIH47" s="191"/>
      <c r="HII47" s="191"/>
      <c r="HIJ47" s="191"/>
      <c r="HIK47" s="191"/>
      <c r="HIL47" s="191"/>
      <c r="HIM47" s="191"/>
      <c r="HIN47" s="191"/>
      <c r="HIO47" s="191"/>
      <c r="HIP47" s="191"/>
      <c r="HIQ47" s="191"/>
      <c r="HIR47" s="191"/>
      <c r="HIS47" s="191"/>
      <c r="HIT47" s="191"/>
      <c r="HIU47" s="191"/>
      <c r="HIV47" s="191"/>
      <c r="HIW47" s="191"/>
      <c r="HIX47" s="191"/>
      <c r="HIY47" s="191"/>
      <c r="HIZ47" s="191"/>
      <c r="HJA47" s="191"/>
      <c r="HJB47" s="191"/>
      <c r="HJC47" s="191"/>
      <c r="HJD47" s="191"/>
      <c r="HJE47" s="191"/>
      <c r="HJF47" s="191"/>
      <c r="HJG47" s="191"/>
      <c r="HJH47" s="191"/>
      <c r="HJI47" s="191"/>
      <c r="HJJ47" s="191"/>
      <c r="HJK47" s="191"/>
      <c r="HJL47" s="191"/>
      <c r="HJM47" s="191"/>
      <c r="HJN47" s="191"/>
      <c r="HJO47" s="191"/>
      <c r="HJP47" s="191"/>
      <c r="HJQ47" s="191"/>
      <c r="HJR47" s="191"/>
      <c r="HJS47" s="191"/>
      <c r="HJT47" s="191"/>
      <c r="HJU47" s="191"/>
      <c r="HJV47" s="191"/>
      <c r="HJW47" s="191"/>
      <c r="HJX47" s="191"/>
      <c r="HJY47" s="191"/>
      <c r="HJZ47" s="191"/>
      <c r="HKA47" s="191"/>
      <c r="HKB47" s="191"/>
      <c r="HKC47" s="191"/>
      <c r="HKD47" s="191"/>
      <c r="HKE47" s="191"/>
      <c r="HKF47" s="191"/>
      <c r="HKG47" s="191"/>
      <c r="HKH47" s="191"/>
      <c r="HKI47" s="191"/>
      <c r="HKJ47" s="191"/>
      <c r="HKK47" s="191"/>
      <c r="HKL47" s="191"/>
      <c r="HKM47" s="191"/>
      <c r="HKN47" s="191"/>
      <c r="HKO47" s="191"/>
      <c r="HKP47" s="191"/>
      <c r="HKQ47" s="191"/>
      <c r="HKR47" s="191"/>
      <c r="HKS47" s="191"/>
      <c r="HKT47" s="191"/>
      <c r="HKU47" s="191"/>
      <c r="HKV47" s="191"/>
      <c r="HKW47" s="191"/>
      <c r="HKX47" s="191"/>
      <c r="HKY47" s="191"/>
      <c r="HKZ47" s="191"/>
      <c r="HLA47" s="191"/>
      <c r="HLB47" s="191"/>
      <c r="HLC47" s="191"/>
      <c r="HLD47" s="191"/>
      <c r="HLE47" s="191"/>
      <c r="HLF47" s="191"/>
      <c r="HLG47" s="191"/>
      <c r="HLH47" s="191"/>
      <c r="HLI47" s="191"/>
      <c r="HLJ47" s="191"/>
      <c r="HLK47" s="191"/>
      <c r="HLL47" s="191"/>
      <c r="HLM47" s="191"/>
      <c r="HLN47" s="191"/>
      <c r="HLO47" s="191"/>
      <c r="HLP47" s="191"/>
      <c r="HLQ47" s="191"/>
      <c r="HLR47" s="191"/>
      <c r="HLS47" s="191"/>
      <c r="HLT47" s="191"/>
      <c r="HLU47" s="191"/>
      <c r="HLV47" s="191"/>
      <c r="HLW47" s="191"/>
      <c r="HLX47" s="191"/>
      <c r="HLY47" s="191"/>
      <c r="HLZ47" s="191"/>
      <c r="HMA47" s="191"/>
      <c r="HMB47" s="191"/>
      <c r="HMC47" s="191"/>
      <c r="HMD47" s="191"/>
      <c r="HME47" s="191"/>
      <c r="HMF47" s="191"/>
      <c r="HMG47" s="191"/>
      <c r="HMH47" s="191"/>
      <c r="HMI47" s="191"/>
      <c r="HMJ47" s="191"/>
      <c r="HMK47" s="191"/>
      <c r="HML47" s="191"/>
      <c r="HMM47" s="191"/>
      <c r="HMN47" s="191"/>
      <c r="HMO47" s="191"/>
      <c r="HMP47" s="191"/>
      <c r="HMQ47" s="191"/>
      <c r="HMR47" s="191"/>
      <c r="HMS47" s="191"/>
      <c r="HMT47" s="191"/>
      <c r="HMU47" s="191"/>
      <c r="HMV47" s="191"/>
      <c r="HMW47" s="191"/>
      <c r="HMX47" s="191"/>
      <c r="HMY47" s="191"/>
      <c r="HMZ47" s="191"/>
      <c r="HNA47" s="191"/>
      <c r="HNB47" s="191"/>
      <c r="HNC47" s="191"/>
      <c r="HND47" s="191"/>
      <c r="HNE47" s="191"/>
      <c r="HNF47" s="191"/>
      <c r="HNG47" s="191"/>
      <c r="HNH47" s="191"/>
      <c r="HNI47" s="191"/>
      <c r="HNJ47" s="191"/>
      <c r="HNK47" s="191"/>
      <c r="HNL47" s="191"/>
      <c r="HNM47" s="191"/>
      <c r="HNN47" s="191"/>
      <c r="HNO47" s="191"/>
      <c r="HNP47" s="191"/>
      <c r="HNQ47" s="191"/>
      <c r="HNR47" s="191"/>
      <c r="HNS47" s="191"/>
      <c r="HNT47" s="191"/>
      <c r="HNU47" s="191"/>
      <c r="HNV47" s="191"/>
      <c r="HNW47" s="191"/>
      <c r="HNX47" s="191"/>
      <c r="HNY47" s="191"/>
      <c r="HNZ47" s="191"/>
      <c r="HOA47" s="191"/>
      <c r="HOB47" s="191"/>
      <c r="HOC47" s="191"/>
      <c r="HOD47" s="191"/>
      <c r="HOE47" s="191"/>
      <c r="HOF47" s="191"/>
      <c r="HOG47" s="191"/>
      <c r="HOH47" s="191"/>
      <c r="HOI47" s="191"/>
      <c r="HOJ47" s="191"/>
      <c r="HOK47" s="191"/>
      <c r="HOL47" s="191"/>
      <c r="HOM47" s="191"/>
      <c r="HON47" s="191"/>
      <c r="HOO47" s="191"/>
      <c r="HOP47" s="191"/>
      <c r="HOQ47" s="191"/>
      <c r="HOR47" s="191"/>
      <c r="HOS47" s="191"/>
      <c r="HOT47" s="191"/>
      <c r="HOU47" s="191"/>
      <c r="HOV47" s="191"/>
      <c r="HOW47" s="191"/>
      <c r="HOX47" s="191"/>
      <c r="HOY47" s="191"/>
      <c r="HOZ47" s="191"/>
      <c r="HPA47" s="191"/>
      <c r="HPB47" s="191"/>
      <c r="HPC47" s="191"/>
      <c r="HPD47" s="191"/>
      <c r="HPE47" s="191"/>
      <c r="HPF47" s="191"/>
      <c r="HPG47" s="191"/>
      <c r="HPH47" s="191"/>
      <c r="HPI47" s="191"/>
      <c r="HPJ47" s="191"/>
      <c r="HPK47" s="191"/>
      <c r="HPL47" s="191"/>
      <c r="HPM47" s="191"/>
      <c r="HPN47" s="191"/>
      <c r="HPO47" s="191"/>
      <c r="HPP47" s="191"/>
      <c r="HPQ47" s="191"/>
      <c r="HPR47" s="191"/>
      <c r="HPS47" s="191"/>
      <c r="HPT47" s="191"/>
      <c r="HPU47" s="191"/>
      <c r="HPV47" s="191"/>
      <c r="HPW47" s="191"/>
      <c r="HPX47" s="191"/>
      <c r="HPY47" s="191"/>
      <c r="HPZ47" s="191"/>
      <c r="HQA47" s="191"/>
      <c r="HQB47" s="191"/>
      <c r="HQC47" s="191"/>
      <c r="HQD47" s="191"/>
      <c r="HQE47" s="191"/>
      <c r="HQF47" s="191"/>
      <c r="HQG47" s="191"/>
      <c r="HQH47" s="191"/>
      <c r="HQI47" s="191"/>
      <c r="HQJ47" s="191"/>
      <c r="HQK47" s="191"/>
      <c r="HQL47" s="191"/>
      <c r="HQM47" s="191"/>
      <c r="HQN47" s="191"/>
      <c r="HQO47" s="191"/>
      <c r="HQP47" s="191"/>
      <c r="HQQ47" s="191"/>
      <c r="HQR47" s="191"/>
      <c r="HQS47" s="191"/>
      <c r="HQT47" s="191"/>
      <c r="HQU47" s="191"/>
      <c r="HQV47" s="191"/>
      <c r="HQW47" s="191"/>
      <c r="HQX47" s="191"/>
      <c r="HQY47" s="191"/>
      <c r="HQZ47" s="191"/>
      <c r="HRA47" s="191"/>
      <c r="HRB47" s="191"/>
      <c r="HRC47" s="191"/>
      <c r="HRD47" s="191"/>
      <c r="HRE47" s="191"/>
      <c r="HRF47" s="191"/>
      <c r="HRG47" s="191"/>
      <c r="HRH47" s="191"/>
      <c r="HRI47" s="191"/>
      <c r="HRJ47" s="191"/>
      <c r="HRK47" s="191"/>
      <c r="HRL47" s="191"/>
      <c r="HRM47" s="191"/>
      <c r="HRN47" s="191"/>
      <c r="HRO47" s="191"/>
      <c r="HRP47" s="191"/>
      <c r="HRQ47" s="191"/>
      <c r="HRR47" s="191"/>
      <c r="HRS47" s="191"/>
      <c r="HRT47" s="191"/>
      <c r="HRU47" s="191"/>
      <c r="HRV47" s="191"/>
      <c r="HRW47" s="191"/>
      <c r="HRX47" s="191"/>
      <c r="HRY47" s="191"/>
      <c r="HRZ47" s="191"/>
      <c r="HSA47" s="191"/>
      <c r="HSB47" s="191"/>
      <c r="HSC47" s="191"/>
      <c r="HSD47" s="191"/>
      <c r="HSE47" s="191"/>
      <c r="HSF47" s="191"/>
      <c r="HSG47" s="191"/>
      <c r="HSH47" s="191"/>
      <c r="HSI47" s="191"/>
      <c r="HSJ47" s="191"/>
      <c r="HSK47" s="191"/>
      <c r="HSL47" s="191"/>
      <c r="HSM47" s="191"/>
      <c r="HSN47" s="191"/>
      <c r="HSO47" s="191"/>
      <c r="HSP47" s="191"/>
      <c r="HSQ47" s="191"/>
      <c r="HSR47" s="191"/>
      <c r="HSS47" s="191"/>
      <c r="HST47" s="191"/>
      <c r="HSU47" s="191"/>
      <c r="HSV47" s="191"/>
      <c r="HSW47" s="191"/>
      <c r="HSX47" s="191"/>
      <c r="HSY47" s="191"/>
      <c r="HSZ47" s="191"/>
      <c r="HTA47" s="191"/>
      <c r="HTB47" s="191"/>
      <c r="HTC47" s="191"/>
      <c r="HTD47" s="191"/>
      <c r="HTE47" s="191"/>
      <c r="HTF47" s="191"/>
      <c r="HTG47" s="191"/>
      <c r="HTH47" s="191"/>
      <c r="HTI47" s="191"/>
      <c r="HTJ47" s="191"/>
      <c r="HTK47" s="191"/>
      <c r="HTL47" s="191"/>
      <c r="HTM47" s="191"/>
      <c r="HTN47" s="191"/>
      <c r="HTO47" s="191"/>
      <c r="HTP47" s="191"/>
      <c r="HTQ47" s="191"/>
      <c r="HTR47" s="191"/>
      <c r="HTS47" s="191"/>
      <c r="HTT47" s="191"/>
      <c r="HTU47" s="191"/>
      <c r="HTV47" s="191"/>
      <c r="HTW47" s="191"/>
      <c r="HTX47" s="191"/>
      <c r="HTY47" s="191"/>
      <c r="HTZ47" s="191"/>
      <c r="HUA47" s="191"/>
      <c r="HUB47" s="191"/>
      <c r="HUC47" s="191"/>
      <c r="HUD47" s="191"/>
      <c r="HUE47" s="191"/>
      <c r="HUF47" s="191"/>
      <c r="HUG47" s="191"/>
      <c r="HUH47" s="191"/>
      <c r="HUI47" s="191"/>
      <c r="HUJ47" s="191"/>
      <c r="HUK47" s="191"/>
      <c r="HUL47" s="191"/>
      <c r="HUM47" s="191"/>
      <c r="HUN47" s="191"/>
      <c r="HUO47" s="191"/>
      <c r="HUP47" s="191"/>
      <c r="HUQ47" s="191"/>
      <c r="HUR47" s="191"/>
      <c r="HUS47" s="191"/>
      <c r="HUT47" s="191"/>
      <c r="HUU47" s="191"/>
      <c r="HUV47" s="191"/>
      <c r="HUW47" s="191"/>
      <c r="HUX47" s="191"/>
      <c r="HUY47" s="191"/>
      <c r="HUZ47" s="191"/>
      <c r="HVA47" s="191"/>
      <c r="HVB47" s="191"/>
      <c r="HVC47" s="191"/>
      <c r="HVD47" s="191"/>
      <c r="HVE47" s="191"/>
      <c r="HVF47" s="191"/>
      <c r="HVG47" s="191"/>
      <c r="HVH47" s="191"/>
      <c r="HVI47" s="191"/>
      <c r="HVJ47" s="191"/>
      <c r="HVK47" s="191"/>
      <c r="HVL47" s="191"/>
      <c r="HVM47" s="191"/>
      <c r="HVN47" s="191"/>
      <c r="HVO47" s="191"/>
      <c r="HVP47" s="191"/>
      <c r="HVQ47" s="191"/>
      <c r="HVR47" s="191"/>
      <c r="HVS47" s="191"/>
      <c r="HVT47" s="191"/>
      <c r="HVU47" s="191"/>
      <c r="HVV47" s="191"/>
      <c r="HVW47" s="191"/>
      <c r="HVX47" s="191"/>
      <c r="HVY47" s="191"/>
      <c r="HVZ47" s="191"/>
      <c r="HWA47" s="191"/>
      <c r="HWB47" s="191"/>
      <c r="HWC47" s="191"/>
      <c r="HWD47" s="191"/>
      <c r="HWE47" s="191"/>
      <c r="HWF47" s="191"/>
      <c r="HWG47" s="191"/>
      <c r="HWH47" s="191"/>
      <c r="HWI47" s="191"/>
      <c r="HWJ47" s="191"/>
      <c r="HWK47" s="191"/>
      <c r="HWL47" s="191"/>
      <c r="HWM47" s="191"/>
      <c r="HWN47" s="191"/>
      <c r="HWO47" s="191"/>
      <c r="HWP47" s="191"/>
      <c r="HWQ47" s="191"/>
      <c r="HWR47" s="191"/>
      <c r="HWS47" s="191"/>
      <c r="HWT47" s="191"/>
      <c r="HWU47" s="191"/>
      <c r="HWV47" s="191"/>
      <c r="HWW47" s="191"/>
      <c r="HWX47" s="191"/>
      <c r="HWY47" s="191"/>
      <c r="HWZ47" s="191"/>
      <c r="HXA47" s="191"/>
      <c r="HXB47" s="191"/>
      <c r="HXC47" s="191"/>
      <c r="HXD47" s="191"/>
      <c r="HXE47" s="191"/>
      <c r="HXF47" s="191"/>
      <c r="HXG47" s="191"/>
      <c r="HXH47" s="191"/>
      <c r="HXI47" s="191"/>
      <c r="HXJ47" s="191"/>
      <c r="HXK47" s="191"/>
      <c r="HXL47" s="191"/>
      <c r="HXM47" s="191"/>
      <c r="HXN47" s="191"/>
      <c r="HXO47" s="191"/>
      <c r="HXP47" s="191"/>
      <c r="HXQ47" s="191"/>
      <c r="HXR47" s="191"/>
      <c r="HXS47" s="191"/>
      <c r="HXT47" s="191"/>
      <c r="HXU47" s="191"/>
      <c r="HXV47" s="191"/>
      <c r="HXW47" s="191"/>
      <c r="HXX47" s="191"/>
      <c r="HXY47" s="191"/>
      <c r="HXZ47" s="191"/>
      <c r="HYA47" s="191"/>
      <c r="HYB47" s="191"/>
      <c r="HYC47" s="191"/>
      <c r="HYD47" s="191"/>
      <c r="HYE47" s="191"/>
      <c r="HYF47" s="191"/>
      <c r="HYG47" s="191"/>
      <c r="HYH47" s="191"/>
      <c r="HYI47" s="191"/>
      <c r="HYJ47" s="191"/>
      <c r="HYK47" s="191"/>
      <c r="HYL47" s="191"/>
      <c r="HYM47" s="191"/>
      <c r="HYN47" s="191"/>
      <c r="HYO47" s="191"/>
      <c r="HYP47" s="191"/>
      <c r="HYQ47" s="191"/>
      <c r="HYR47" s="191"/>
      <c r="HYS47" s="191"/>
      <c r="HYT47" s="191"/>
      <c r="HYU47" s="191"/>
      <c r="HYV47" s="191"/>
      <c r="HYW47" s="191"/>
      <c r="HYX47" s="191"/>
      <c r="HYY47" s="191"/>
      <c r="HYZ47" s="191"/>
      <c r="HZA47" s="191"/>
      <c r="HZB47" s="191"/>
      <c r="HZC47" s="191"/>
      <c r="HZD47" s="191"/>
      <c r="HZE47" s="191"/>
      <c r="HZF47" s="191"/>
      <c r="HZG47" s="191"/>
      <c r="HZH47" s="191"/>
      <c r="HZI47" s="191"/>
      <c r="HZJ47" s="191"/>
      <c r="HZK47" s="191"/>
      <c r="HZL47" s="191"/>
      <c r="HZM47" s="191"/>
      <c r="HZN47" s="191"/>
      <c r="HZO47" s="191"/>
      <c r="HZP47" s="191"/>
      <c r="HZQ47" s="191"/>
      <c r="HZR47" s="191"/>
      <c r="HZS47" s="191"/>
      <c r="HZT47" s="191"/>
      <c r="HZU47" s="191"/>
      <c r="HZV47" s="191"/>
      <c r="HZW47" s="191"/>
      <c r="HZX47" s="191"/>
      <c r="HZY47" s="191"/>
      <c r="HZZ47" s="191"/>
      <c r="IAA47" s="191"/>
      <c r="IAB47" s="191"/>
      <c r="IAC47" s="191"/>
      <c r="IAD47" s="191"/>
      <c r="IAE47" s="191"/>
      <c r="IAF47" s="191"/>
      <c r="IAG47" s="191"/>
      <c r="IAH47" s="191"/>
      <c r="IAI47" s="191"/>
      <c r="IAJ47" s="191"/>
      <c r="IAK47" s="191"/>
      <c r="IAL47" s="191"/>
      <c r="IAM47" s="191"/>
      <c r="IAN47" s="191"/>
      <c r="IAO47" s="191"/>
      <c r="IAP47" s="191"/>
      <c r="IAQ47" s="191"/>
      <c r="IAR47" s="191"/>
      <c r="IAS47" s="191"/>
      <c r="IAT47" s="191"/>
      <c r="IAU47" s="191"/>
      <c r="IAV47" s="191"/>
      <c r="IAW47" s="191"/>
      <c r="IAX47" s="191"/>
      <c r="IAY47" s="191"/>
      <c r="IAZ47" s="191"/>
      <c r="IBA47" s="191"/>
      <c r="IBB47" s="191"/>
      <c r="IBC47" s="191"/>
      <c r="IBD47" s="191"/>
      <c r="IBE47" s="191"/>
      <c r="IBF47" s="191"/>
      <c r="IBG47" s="191"/>
      <c r="IBH47" s="191"/>
      <c r="IBI47" s="191"/>
      <c r="IBJ47" s="191"/>
      <c r="IBK47" s="191"/>
      <c r="IBL47" s="191"/>
      <c r="IBM47" s="191"/>
      <c r="IBN47" s="191"/>
      <c r="IBO47" s="191"/>
      <c r="IBP47" s="191"/>
      <c r="IBQ47" s="191"/>
      <c r="IBR47" s="191"/>
      <c r="IBS47" s="191"/>
      <c r="IBT47" s="191"/>
      <c r="IBU47" s="191"/>
      <c r="IBV47" s="191"/>
      <c r="IBW47" s="191"/>
      <c r="IBX47" s="191"/>
      <c r="IBY47" s="191"/>
      <c r="IBZ47" s="191"/>
      <c r="ICA47" s="191"/>
      <c r="ICB47" s="191"/>
      <c r="ICC47" s="191"/>
      <c r="ICD47" s="191"/>
      <c r="ICE47" s="191"/>
      <c r="ICF47" s="191"/>
      <c r="ICG47" s="191"/>
      <c r="ICH47" s="191"/>
      <c r="ICI47" s="191"/>
      <c r="ICJ47" s="191"/>
      <c r="ICK47" s="191"/>
      <c r="ICL47" s="191"/>
      <c r="ICM47" s="191"/>
      <c r="ICN47" s="191"/>
      <c r="ICO47" s="191"/>
      <c r="ICP47" s="191"/>
      <c r="ICQ47" s="191"/>
      <c r="ICR47" s="191"/>
      <c r="ICS47" s="191"/>
      <c r="ICT47" s="191"/>
      <c r="ICU47" s="191"/>
      <c r="ICV47" s="191"/>
      <c r="ICW47" s="191"/>
      <c r="ICX47" s="191"/>
      <c r="ICY47" s="191"/>
      <c r="ICZ47" s="191"/>
      <c r="IDA47" s="191"/>
      <c r="IDB47" s="191"/>
      <c r="IDC47" s="191"/>
      <c r="IDD47" s="191"/>
      <c r="IDE47" s="191"/>
      <c r="IDF47" s="191"/>
      <c r="IDG47" s="191"/>
      <c r="IDH47" s="191"/>
      <c r="IDI47" s="191"/>
      <c r="IDJ47" s="191"/>
      <c r="IDK47" s="191"/>
      <c r="IDL47" s="191"/>
      <c r="IDM47" s="191"/>
      <c r="IDN47" s="191"/>
      <c r="IDO47" s="191"/>
      <c r="IDP47" s="191"/>
      <c r="IDQ47" s="191"/>
      <c r="IDR47" s="191"/>
      <c r="IDS47" s="191"/>
      <c r="IDT47" s="191"/>
      <c r="IDU47" s="191"/>
      <c r="IDV47" s="191"/>
      <c r="IDW47" s="191"/>
      <c r="IDX47" s="191"/>
      <c r="IDY47" s="191"/>
      <c r="IDZ47" s="191"/>
      <c r="IEA47" s="191"/>
      <c r="IEB47" s="191"/>
      <c r="IEC47" s="191"/>
      <c r="IED47" s="191"/>
      <c r="IEE47" s="191"/>
      <c r="IEF47" s="191"/>
      <c r="IEG47" s="191"/>
      <c r="IEH47" s="191"/>
      <c r="IEI47" s="191"/>
      <c r="IEJ47" s="191"/>
      <c r="IEK47" s="191"/>
      <c r="IEL47" s="191"/>
      <c r="IEM47" s="191"/>
      <c r="IEN47" s="191"/>
      <c r="IEO47" s="191"/>
      <c r="IEP47" s="191"/>
      <c r="IEQ47" s="191"/>
      <c r="IER47" s="191"/>
      <c r="IES47" s="191"/>
      <c r="IET47" s="191"/>
      <c r="IEU47" s="191"/>
      <c r="IEV47" s="191"/>
      <c r="IEW47" s="191"/>
      <c r="IEX47" s="191"/>
      <c r="IEY47" s="191"/>
      <c r="IEZ47" s="191"/>
      <c r="IFA47" s="191"/>
      <c r="IFB47" s="191"/>
      <c r="IFC47" s="191"/>
      <c r="IFD47" s="191"/>
      <c r="IFE47" s="191"/>
      <c r="IFF47" s="191"/>
      <c r="IFG47" s="191"/>
      <c r="IFH47" s="191"/>
      <c r="IFI47" s="191"/>
      <c r="IFJ47" s="191"/>
      <c r="IFK47" s="191"/>
      <c r="IFL47" s="191"/>
      <c r="IFM47" s="191"/>
      <c r="IFN47" s="191"/>
      <c r="IFO47" s="191"/>
      <c r="IFP47" s="191"/>
      <c r="IFQ47" s="191"/>
      <c r="IFR47" s="191"/>
      <c r="IFS47" s="191"/>
      <c r="IFT47" s="191"/>
      <c r="IFU47" s="191"/>
      <c r="IFV47" s="191"/>
      <c r="IFW47" s="191"/>
      <c r="IFX47" s="191"/>
      <c r="IFY47" s="191"/>
      <c r="IFZ47" s="191"/>
      <c r="IGA47" s="191"/>
      <c r="IGB47" s="191"/>
      <c r="IGC47" s="191"/>
      <c r="IGD47" s="191"/>
      <c r="IGE47" s="191"/>
      <c r="IGF47" s="191"/>
      <c r="IGG47" s="191"/>
      <c r="IGH47" s="191"/>
      <c r="IGI47" s="191"/>
      <c r="IGJ47" s="191"/>
      <c r="IGK47" s="191"/>
      <c r="IGL47" s="191"/>
      <c r="IGM47" s="191"/>
      <c r="IGN47" s="191"/>
      <c r="IGO47" s="191"/>
      <c r="IGP47" s="191"/>
      <c r="IGQ47" s="191"/>
      <c r="IGR47" s="191"/>
      <c r="IGS47" s="191"/>
      <c r="IGT47" s="191"/>
      <c r="IGU47" s="191"/>
      <c r="IGV47" s="191"/>
      <c r="IGW47" s="191"/>
      <c r="IGX47" s="191"/>
      <c r="IGY47" s="191"/>
      <c r="IGZ47" s="191"/>
      <c r="IHA47" s="191"/>
      <c r="IHB47" s="191"/>
      <c r="IHC47" s="191"/>
      <c r="IHD47" s="191"/>
      <c r="IHE47" s="191"/>
      <c r="IHF47" s="191"/>
      <c r="IHG47" s="191"/>
      <c r="IHH47" s="191"/>
      <c r="IHI47" s="191"/>
      <c r="IHJ47" s="191"/>
      <c r="IHK47" s="191"/>
      <c r="IHL47" s="191"/>
      <c r="IHM47" s="191"/>
      <c r="IHN47" s="191"/>
      <c r="IHO47" s="191"/>
      <c r="IHP47" s="191"/>
      <c r="IHQ47" s="191"/>
      <c r="IHR47" s="191"/>
      <c r="IHS47" s="191"/>
      <c r="IHT47" s="191"/>
      <c r="IHU47" s="191"/>
      <c r="IHV47" s="191"/>
      <c r="IHW47" s="191"/>
      <c r="IHX47" s="191"/>
      <c r="IHY47" s="191"/>
      <c r="IHZ47" s="191"/>
      <c r="IIA47" s="191"/>
      <c r="IIB47" s="191"/>
      <c r="IIC47" s="191"/>
      <c r="IID47" s="191"/>
      <c r="IIE47" s="191"/>
      <c r="IIF47" s="191"/>
      <c r="IIG47" s="191"/>
      <c r="IIH47" s="191"/>
      <c r="III47" s="191"/>
      <c r="IIJ47" s="191"/>
      <c r="IIK47" s="191"/>
      <c r="IIL47" s="191"/>
      <c r="IIM47" s="191"/>
      <c r="IIN47" s="191"/>
      <c r="IIO47" s="191"/>
      <c r="IIP47" s="191"/>
      <c r="IIQ47" s="191"/>
      <c r="IIR47" s="191"/>
      <c r="IIS47" s="191"/>
      <c r="IIT47" s="191"/>
      <c r="IIU47" s="191"/>
      <c r="IIV47" s="191"/>
      <c r="IIW47" s="191"/>
      <c r="IIX47" s="191"/>
      <c r="IIY47" s="191"/>
      <c r="IIZ47" s="191"/>
      <c r="IJA47" s="191"/>
      <c r="IJB47" s="191"/>
      <c r="IJC47" s="191"/>
      <c r="IJD47" s="191"/>
      <c r="IJE47" s="191"/>
      <c r="IJF47" s="191"/>
      <c r="IJG47" s="191"/>
      <c r="IJH47" s="191"/>
      <c r="IJI47" s="191"/>
      <c r="IJJ47" s="191"/>
      <c r="IJK47" s="191"/>
      <c r="IJL47" s="191"/>
      <c r="IJM47" s="191"/>
      <c r="IJN47" s="191"/>
      <c r="IJO47" s="191"/>
      <c r="IJP47" s="191"/>
      <c r="IJQ47" s="191"/>
      <c r="IJR47" s="191"/>
      <c r="IJS47" s="191"/>
      <c r="IJT47" s="191"/>
      <c r="IJU47" s="191"/>
      <c r="IJV47" s="191"/>
      <c r="IJW47" s="191"/>
      <c r="IJX47" s="191"/>
      <c r="IJY47" s="191"/>
      <c r="IJZ47" s="191"/>
      <c r="IKA47" s="191"/>
      <c r="IKB47" s="191"/>
      <c r="IKC47" s="191"/>
      <c r="IKD47" s="191"/>
      <c r="IKE47" s="191"/>
      <c r="IKF47" s="191"/>
      <c r="IKG47" s="191"/>
      <c r="IKH47" s="191"/>
      <c r="IKI47" s="191"/>
      <c r="IKJ47" s="191"/>
      <c r="IKK47" s="191"/>
      <c r="IKL47" s="191"/>
      <c r="IKM47" s="191"/>
      <c r="IKN47" s="191"/>
      <c r="IKO47" s="191"/>
      <c r="IKP47" s="191"/>
      <c r="IKQ47" s="191"/>
      <c r="IKR47" s="191"/>
      <c r="IKS47" s="191"/>
      <c r="IKT47" s="191"/>
      <c r="IKU47" s="191"/>
      <c r="IKV47" s="191"/>
      <c r="IKW47" s="191"/>
      <c r="IKX47" s="191"/>
      <c r="IKY47" s="191"/>
      <c r="IKZ47" s="191"/>
      <c r="ILA47" s="191"/>
      <c r="ILB47" s="191"/>
      <c r="ILC47" s="191"/>
      <c r="ILD47" s="191"/>
      <c r="ILE47" s="191"/>
      <c r="ILF47" s="191"/>
      <c r="ILG47" s="191"/>
      <c r="ILH47" s="191"/>
      <c r="ILI47" s="191"/>
      <c r="ILJ47" s="191"/>
      <c r="ILK47" s="191"/>
      <c r="ILL47" s="191"/>
      <c r="ILM47" s="191"/>
      <c r="ILN47" s="191"/>
      <c r="ILO47" s="191"/>
      <c r="ILP47" s="191"/>
      <c r="ILQ47" s="191"/>
      <c r="ILR47" s="191"/>
      <c r="ILS47" s="191"/>
      <c r="ILT47" s="191"/>
      <c r="ILU47" s="191"/>
      <c r="ILV47" s="191"/>
      <c r="ILW47" s="191"/>
      <c r="ILX47" s="191"/>
      <c r="ILY47" s="191"/>
      <c r="ILZ47" s="191"/>
      <c r="IMA47" s="191"/>
      <c r="IMB47" s="191"/>
      <c r="IMC47" s="191"/>
      <c r="IMD47" s="191"/>
      <c r="IME47" s="191"/>
      <c r="IMF47" s="191"/>
      <c r="IMG47" s="191"/>
      <c r="IMH47" s="191"/>
      <c r="IMI47" s="191"/>
      <c r="IMJ47" s="191"/>
      <c r="IMK47" s="191"/>
      <c r="IML47" s="191"/>
      <c r="IMM47" s="191"/>
      <c r="IMN47" s="191"/>
      <c r="IMO47" s="191"/>
      <c r="IMP47" s="191"/>
      <c r="IMQ47" s="191"/>
      <c r="IMR47" s="191"/>
      <c r="IMS47" s="191"/>
      <c r="IMT47" s="191"/>
      <c r="IMU47" s="191"/>
      <c r="IMV47" s="191"/>
      <c r="IMW47" s="191"/>
      <c r="IMX47" s="191"/>
      <c r="IMY47" s="191"/>
      <c r="IMZ47" s="191"/>
      <c r="INA47" s="191"/>
      <c r="INB47" s="191"/>
      <c r="INC47" s="191"/>
      <c r="IND47" s="191"/>
      <c r="INE47" s="191"/>
      <c r="INF47" s="191"/>
      <c r="ING47" s="191"/>
      <c r="INH47" s="191"/>
      <c r="INI47" s="191"/>
      <c r="INJ47" s="191"/>
      <c r="INK47" s="191"/>
      <c r="INL47" s="191"/>
      <c r="INM47" s="191"/>
      <c r="INN47" s="191"/>
      <c r="INO47" s="191"/>
      <c r="INP47" s="191"/>
      <c r="INQ47" s="191"/>
      <c r="INR47" s="191"/>
      <c r="INS47" s="191"/>
      <c r="INT47" s="191"/>
      <c r="INU47" s="191"/>
      <c r="INV47" s="191"/>
      <c r="INW47" s="191"/>
      <c r="INX47" s="191"/>
      <c r="INY47" s="191"/>
      <c r="INZ47" s="191"/>
      <c r="IOA47" s="191"/>
      <c r="IOB47" s="191"/>
      <c r="IOC47" s="191"/>
      <c r="IOD47" s="191"/>
      <c r="IOE47" s="191"/>
      <c r="IOF47" s="191"/>
      <c r="IOG47" s="191"/>
      <c r="IOH47" s="191"/>
      <c r="IOI47" s="191"/>
      <c r="IOJ47" s="191"/>
      <c r="IOK47" s="191"/>
      <c r="IOL47" s="191"/>
      <c r="IOM47" s="191"/>
      <c r="ION47" s="191"/>
      <c r="IOO47" s="191"/>
      <c r="IOP47" s="191"/>
      <c r="IOQ47" s="191"/>
      <c r="IOR47" s="191"/>
      <c r="IOS47" s="191"/>
      <c r="IOT47" s="191"/>
      <c r="IOU47" s="191"/>
      <c r="IOV47" s="191"/>
      <c r="IOW47" s="191"/>
      <c r="IOX47" s="191"/>
      <c r="IOY47" s="191"/>
      <c r="IOZ47" s="191"/>
      <c r="IPA47" s="191"/>
      <c r="IPB47" s="191"/>
      <c r="IPC47" s="191"/>
      <c r="IPD47" s="191"/>
      <c r="IPE47" s="191"/>
      <c r="IPF47" s="191"/>
      <c r="IPG47" s="191"/>
      <c r="IPH47" s="191"/>
      <c r="IPI47" s="191"/>
      <c r="IPJ47" s="191"/>
      <c r="IPK47" s="191"/>
      <c r="IPL47" s="191"/>
      <c r="IPM47" s="191"/>
      <c r="IPN47" s="191"/>
      <c r="IPO47" s="191"/>
      <c r="IPP47" s="191"/>
      <c r="IPQ47" s="191"/>
      <c r="IPR47" s="191"/>
      <c r="IPS47" s="191"/>
      <c r="IPT47" s="191"/>
      <c r="IPU47" s="191"/>
      <c r="IPV47" s="191"/>
      <c r="IPW47" s="191"/>
      <c r="IPX47" s="191"/>
      <c r="IPY47" s="191"/>
      <c r="IPZ47" s="191"/>
      <c r="IQA47" s="191"/>
      <c r="IQB47" s="191"/>
      <c r="IQC47" s="191"/>
      <c r="IQD47" s="191"/>
      <c r="IQE47" s="191"/>
      <c r="IQF47" s="191"/>
      <c r="IQG47" s="191"/>
      <c r="IQH47" s="191"/>
      <c r="IQI47" s="191"/>
      <c r="IQJ47" s="191"/>
      <c r="IQK47" s="191"/>
      <c r="IQL47" s="191"/>
      <c r="IQM47" s="191"/>
      <c r="IQN47" s="191"/>
      <c r="IQO47" s="191"/>
      <c r="IQP47" s="191"/>
      <c r="IQQ47" s="191"/>
      <c r="IQR47" s="191"/>
      <c r="IQS47" s="191"/>
      <c r="IQT47" s="191"/>
      <c r="IQU47" s="191"/>
      <c r="IQV47" s="191"/>
      <c r="IQW47" s="191"/>
      <c r="IQX47" s="191"/>
      <c r="IQY47" s="191"/>
      <c r="IQZ47" s="191"/>
      <c r="IRA47" s="191"/>
      <c r="IRB47" s="191"/>
      <c r="IRC47" s="191"/>
      <c r="IRD47" s="191"/>
      <c r="IRE47" s="191"/>
      <c r="IRF47" s="191"/>
      <c r="IRG47" s="191"/>
      <c r="IRH47" s="191"/>
      <c r="IRI47" s="191"/>
      <c r="IRJ47" s="191"/>
      <c r="IRK47" s="191"/>
      <c r="IRL47" s="191"/>
      <c r="IRM47" s="191"/>
      <c r="IRN47" s="191"/>
      <c r="IRO47" s="191"/>
      <c r="IRP47" s="191"/>
      <c r="IRQ47" s="191"/>
      <c r="IRR47" s="191"/>
      <c r="IRS47" s="191"/>
      <c r="IRT47" s="191"/>
      <c r="IRU47" s="191"/>
      <c r="IRV47" s="191"/>
      <c r="IRW47" s="191"/>
      <c r="IRX47" s="191"/>
      <c r="IRY47" s="191"/>
      <c r="IRZ47" s="191"/>
      <c r="ISA47" s="191"/>
      <c r="ISB47" s="191"/>
      <c r="ISC47" s="191"/>
      <c r="ISD47" s="191"/>
      <c r="ISE47" s="191"/>
      <c r="ISF47" s="191"/>
      <c r="ISG47" s="191"/>
      <c r="ISH47" s="191"/>
      <c r="ISI47" s="191"/>
      <c r="ISJ47" s="191"/>
      <c r="ISK47" s="191"/>
      <c r="ISL47" s="191"/>
      <c r="ISM47" s="191"/>
      <c r="ISN47" s="191"/>
      <c r="ISO47" s="191"/>
      <c r="ISP47" s="191"/>
      <c r="ISQ47" s="191"/>
      <c r="ISR47" s="191"/>
      <c r="ISS47" s="191"/>
      <c r="IST47" s="191"/>
      <c r="ISU47" s="191"/>
      <c r="ISV47" s="191"/>
      <c r="ISW47" s="191"/>
      <c r="ISX47" s="191"/>
      <c r="ISY47" s="191"/>
      <c r="ISZ47" s="191"/>
      <c r="ITA47" s="191"/>
      <c r="ITB47" s="191"/>
      <c r="ITC47" s="191"/>
      <c r="ITD47" s="191"/>
      <c r="ITE47" s="191"/>
      <c r="ITF47" s="191"/>
      <c r="ITG47" s="191"/>
      <c r="ITH47" s="191"/>
      <c r="ITI47" s="191"/>
      <c r="ITJ47" s="191"/>
      <c r="ITK47" s="191"/>
      <c r="ITL47" s="191"/>
      <c r="ITM47" s="191"/>
      <c r="ITN47" s="191"/>
      <c r="ITO47" s="191"/>
      <c r="ITP47" s="191"/>
      <c r="ITQ47" s="191"/>
      <c r="ITR47" s="191"/>
      <c r="ITS47" s="191"/>
      <c r="ITT47" s="191"/>
      <c r="ITU47" s="191"/>
      <c r="ITV47" s="191"/>
      <c r="ITW47" s="191"/>
      <c r="ITX47" s="191"/>
      <c r="ITY47" s="191"/>
      <c r="ITZ47" s="191"/>
      <c r="IUA47" s="191"/>
      <c r="IUB47" s="191"/>
      <c r="IUC47" s="191"/>
      <c r="IUD47" s="191"/>
      <c r="IUE47" s="191"/>
      <c r="IUF47" s="191"/>
      <c r="IUG47" s="191"/>
      <c r="IUH47" s="191"/>
      <c r="IUI47" s="191"/>
      <c r="IUJ47" s="191"/>
      <c r="IUK47" s="191"/>
      <c r="IUL47" s="191"/>
      <c r="IUM47" s="191"/>
      <c r="IUN47" s="191"/>
      <c r="IUO47" s="191"/>
      <c r="IUP47" s="191"/>
      <c r="IUQ47" s="191"/>
      <c r="IUR47" s="191"/>
      <c r="IUS47" s="191"/>
      <c r="IUT47" s="191"/>
      <c r="IUU47" s="191"/>
      <c r="IUV47" s="191"/>
      <c r="IUW47" s="191"/>
      <c r="IUX47" s="191"/>
      <c r="IUY47" s="191"/>
      <c r="IUZ47" s="191"/>
      <c r="IVA47" s="191"/>
      <c r="IVB47" s="191"/>
      <c r="IVC47" s="191"/>
      <c r="IVD47" s="191"/>
      <c r="IVE47" s="191"/>
      <c r="IVF47" s="191"/>
      <c r="IVG47" s="191"/>
      <c r="IVH47" s="191"/>
      <c r="IVI47" s="191"/>
      <c r="IVJ47" s="191"/>
      <c r="IVK47" s="191"/>
      <c r="IVL47" s="191"/>
      <c r="IVM47" s="191"/>
      <c r="IVN47" s="191"/>
      <c r="IVO47" s="191"/>
      <c r="IVP47" s="191"/>
      <c r="IVQ47" s="191"/>
      <c r="IVR47" s="191"/>
      <c r="IVS47" s="191"/>
      <c r="IVT47" s="191"/>
      <c r="IVU47" s="191"/>
      <c r="IVV47" s="191"/>
      <c r="IVW47" s="191"/>
      <c r="IVX47" s="191"/>
      <c r="IVY47" s="191"/>
      <c r="IVZ47" s="191"/>
      <c r="IWA47" s="191"/>
      <c r="IWB47" s="191"/>
      <c r="IWC47" s="191"/>
      <c r="IWD47" s="191"/>
      <c r="IWE47" s="191"/>
      <c r="IWF47" s="191"/>
      <c r="IWG47" s="191"/>
      <c r="IWH47" s="191"/>
      <c r="IWI47" s="191"/>
      <c r="IWJ47" s="191"/>
      <c r="IWK47" s="191"/>
      <c r="IWL47" s="191"/>
      <c r="IWM47" s="191"/>
      <c r="IWN47" s="191"/>
      <c r="IWO47" s="191"/>
      <c r="IWP47" s="191"/>
      <c r="IWQ47" s="191"/>
      <c r="IWR47" s="191"/>
      <c r="IWS47" s="191"/>
      <c r="IWT47" s="191"/>
      <c r="IWU47" s="191"/>
      <c r="IWV47" s="191"/>
      <c r="IWW47" s="191"/>
      <c r="IWX47" s="191"/>
      <c r="IWY47" s="191"/>
      <c r="IWZ47" s="191"/>
      <c r="IXA47" s="191"/>
      <c r="IXB47" s="191"/>
      <c r="IXC47" s="191"/>
      <c r="IXD47" s="191"/>
      <c r="IXE47" s="191"/>
      <c r="IXF47" s="191"/>
      <c r="IXG47" s="191"/>
      <c r="IXH47" s="191"/>
      <c r="IXI47" s="191"/>
      <c r="IXJ47" s="191"/>
      <c r="IXK47" s="191"/>
      <c r="IXL47" s="191"/>
      <c r="IXM47" s="191"/>
      <c r="IXN47" s="191"/>
      <c r="IXO47" s="191"/>
      <c r="IXP47" s="191"/>
      <c r="IXQ47" s="191"/>
      <c r="IXR47" s="191"/>
      <c r="IXS47" s="191"/>
      <c r="IXT47" s="191"/>
      <c r="IXU47" s="191"/>
      <c r="IXV47" s="191"/>
      <c r="IXW47" s="191"/>
      <c r="IXX47" s="191"/>
      <c r="IXY47" s="191"/>
      <c r="IXZ47" s="191"/>
      <c r="IYA47" s="191"/>
      <c r="IYB47" s="191"/>
      <c r="IYC47" s="191"/>
      <c r="IYD47" s="191"/>
      <c r="IYE47" s="191"/>
      <c r="IYF47" s="191"/>
      <c r="IYG47" s="191"/>
      <c r="IYH47" s="191"/>
      <c r="IYI47" s="191"/>
      <c r="IYJ47" s="191"/>
      <c r="IYK47" s="191"/>
      <c r="IYL47" s="191"/>
      <c r="IYM47" s="191"/>
      <c r="IYN47" s="191"/>
      <c r="IYO47" s="191"/>
      <c r="IYP47" s="191"/>
      <c r="IYQ47" s="191"/>
      <c r="IYR47" s="191"/>
      <c r="IYS47" s="191"/>
      <c r="IYT47" s="191"/>
      <c r="IYU47" s="191"/>
      <c r="IYV47" s="191"/>
      <c r="IYW47" s="191"/>
      <c r="IYX47" s="191"/>
      <c r="IYY47" s="191"/>
      <c r="IYZ47" s="191"/>
      <c r="IZA47" s="191"/>
      <c r="IZB47" s="191"/>
      <c r="IZC47" s="191"/>
      <c r="IZD47" s="191"/>
      <c r="IZE47" s="191"/>
      <c r="IZF47" s="191"/>
      <c r="IZG47" s="191"/>
      <c r="IZH47" s="191"/>
      <c r="IZI47" s="191"/>
      <c r="IZJ47" s="191"/>
      <c r="IZK47" s="191"/>
      <c r="IZL47" s="191"/>
      <c r="IZM47" s="191"/>
      <c r="IZN47" s="191"/>
      <c r="IZO47" s="191"/>
      <c r="IZP47" s="191"/>
      <c r="IZQ47" s="191"/>
      <c r="IZR47" s="191"/>
      <c r="IZS47" s="191"/>
      <c r="IZT47" s="191"/>
      <c r="IZU47" s="191"/>
      <c r="IZV47" s="191"/>
      <c r="IZW47" s="191"/>
      <c r="IZX47" s="191"/>
      <c r="IZY47" s="191"/>
      <c r="IZZ47" s="191"/>
      <c r="JAA47" s="191"/>
      <c r="JAB47" s="191"/>
      <c r="JAC47" s="191"/>
      <c r="JAD47" s="191"/>
      <c r="JAE47" s="191"/>
      <c r="JAF47" s="191"/>
      <c r="JAG47" s="191"/>
      <c r="JAH47" s="191"/>
      <c r="JAI47" s="191"/>
      <c r="JAJ47" s="191"/>
      <c r="JAK47" s="191"/>
      <c r="JAL47" s="191"/>
      <c r="JAM47" s="191"/>
      <c r="JAN47" s="191"/>
      <c r="JAO47" s="191"/>
      <c r="JAP47" s="191"/>
      <c r="JAQ47" s="191"/>
      <c r="JAR47" s="191"/>
      <c r="JAS47" s="191"/>
      <c r="JAT47" s="191"/>
      <c r="JAU47" s="191"/>
      <c r="JAV47" s="191"/>
      <c r="JAW47" s="191"/>
      <c r="JAX47" s="191"/>
      <c r="JAY47" s="191"/>
      <c r="JAZ47" s="191"/>
      <c r="JBA47" s="191"/>
      <c r="JBB47" s="191"/>
      <c r="JBC47" s="191"/>
      <c r="JBD47" s="191"/>
      <c r="JBE47" s="191"/>
      <c r="JBF47" s="191"/>
      <c r="JBG47" s="191"/>
      <c r="JBH47" s="191"/>
      <c r="JBI47" s="191"/>
      <c r="JBJ47" s="191"/>
      <c r="JBK47" s="191"/>
      <c r="JBL47" s="191"/>
      <c r="JBM47" s="191"/>
      <c r="JBN47" s="191"/>
      <c r="JBO47" s="191"/>
      <c r="JBP47" s="191"/>
      <c r="JBQ47" s="191"/>
      <c r="JBR47" s="191"/>
      <c r="JBS47" s="191"/>
      <c r="JBT47" s="191"/>
      <c r="JBU47" s="191"/>
      <c r="JBV47" s="191"/>
      <c r="JBW47" s="191"/>
      <c r="JBX47" s="191"/>
      <c r="JBY47" s="191"/>
      <c r="JBZ47" s="191"/>
      <c r="JCA47" s="191"/>
      <c r="JCB47" s="191"/>
      <c r="JCC47" s="191"/>
      <c r="JCD47" s="191"/>
      <c r="JCE47" s="191"/>
      <c r="JCF47" s="191"/>
      <c r="JCG47" s="191"/>
      <c r="JCH47" s="191"/>
      <c r="JCI47" s="191"/>
      <c r="JCJ47" s="191"/>
      <c r="JCK47" s="191"/>
      <c r="JCL47" s="191"/>
      <c r="JCM47" s="191"/>
      <c r="JCN47" s="191"/>
      <c r="JCO47" s="191"/>
      <c r="JCP47" s="191"/>
      <c r="JCQ47" s="191"/>
      <c r="JCR47" s="191"/>
      <c r="JCS47" s="191"/>
      <c r="JCT47" s="191"/>
      <c r="JCU47" s="191"/>
      <c r="JCV47" s="191"/>
      <c r="JCW47" s="191"/>
      <c r="JCX47" s="191"/>
      <c r="JCY47" s="191"/>
      <c r="JCZ47" s="191"/>
      <c r="JDA47" s="191"/>
      <c r="JDB47" s="191"/>
      <c r="JDC47" s="191"/>
      <c r="JDD47" s="191"/>
      <c r="JDE47" s="191"/>
      <c r="JDF47" s="191"/>
      <c r="JDG47" s="191"/>
      <c r="JDH47" s="191"/>
      <c r="JDI47" s="191"/>
      <c r="JDJ47" s="191"/>
      <c r="JDK47" s="191"/>
      <c r="JDL47" s="191"/>
      <c r="JDM47" s="191"/>
      <c r="JDN47" s="191"/>
      <c r="JDO47" s="191"/>
      <c r="JDP47" s="191"/>
      <c r="JDQ47" s="191"/>
      <c r="JDR47" s="191"/>
      <c r="JDS47" s="191"/>
      <c r="JDT47" s="191"/>
      <c r="JDU47" s="191"/>
      <c r="JDV47" s="191"/>
      <c r="JDW47" s="191"/>
      <c r="JDX47" s="191"/>
      <c r="JDY47" s="191"/>
      <c r="JDZ47" s="191"/>
      <c r="JEA47" s="191"/>
      <c r="JEB47" s="191"/>
      <c r="JEC47" s="191"/>
      <c r="JED47" s="191"/>
      <c r="JEE47" s="191"/>
      <c r="JEF47" s="191"/>
      <c r="JEG47" s="191"/>
      <c r="JEH47" s="191"/>
      <c r="JEI47" s="191"/>
      <c r="JEJ47" s="191"/>
      <c r="JEK47" s="191"/>
      <c r="JEL47" s="191"/>
      <c r="JEM47" s="191"/>
      <c r="JEN47" s="191"/>
      <c r="JEO47" s="191"/>
      <c r="JEP47" s="191"/>
      <c r="JEQ47" s="191"/>
      <c r="JER47" s="191"/>
      <c r="JES47" s="191"/>
      <c r="JET47" s="191"/>
      <c r="JEU47" s="191"/>
      <c r="JEV47" s="191"/>
      <c r="JEW47" s="191"/>
      <c r="JEX47" s="191"/>
      <c r="JEY47" s="191"/>
      <c r="JEZ47" s="191"/>
      <c r="JFA47" s="191"/>
      <c r="JFB47" s="191"/>
      <c r="JFC47" s="191"/>
      <c r="JFD47" s="191"/>
      <c r="JFE47" s="191"/>
      <c r="JFF47" s="191"/>
      <c r="JFG47" s="191"/>
      <c r="JFH47" s="191"/>
      <c r="JFI47" s="191"/>
      <c r="JFJ47" s="191"/>
      <c r="JFK47" s="191"/>
      <c r="JFL47" s="191"/>
      <c r="JFM47" s="191"/>
      <c r="JFN47" s="191"/>
      <c r="JFO47" s="191"/>
      <c r="JFP47" s="191"/>
      <c r="JFQ47" s="191"/>
      <c r="JFR47" s="191"/>
      <c r="JFS47" s="191"/>
      <c r="JFT47" s="191"/>
      <c r="JFU47" s="191"/>
      <c r="JFV47" s="191"/>
      <c r="JFW47" s="191"/>
      <c r="JFX47" s="191"/>
      <c r="JFY47" s="191"/>
      <c r="JFZ47" s="191"/>
      <c r="JGA47" s="191"/>
      <c r="JGB47" s="191"/>
      <c r="JGC47" s="191"/>
      <c r="JGD47" s="191"/>
      <c r="JGE47" s="191"/>
      <c r="JGF47" s="191"/>
      <c r="JGG47" s="191"/>
      <c r="JGH47" s="191"/>
      <c r="JGI47" s="191"/>
      <c r="JGJ47" s="191"/>
      <c r="JGK47" s="191"/>
      <c r="JGL47" s="191"/>
      <c r="JGM47" s="191"/>
      <c r="JGN47" s="191"/>
      <c r="JGO47" s="191"/>
      <c r="JGP47" s="191"/>
      <c r="JGQ47" s="191"/>
      <c r="JGR47" s="191"/>
      <c r="JGS47" s="191"/>
      <c r="JGT47" s="191"/>
      <c r="JGU47" s="191"/>
      <c r="JGV47" s="191"/>
      <c r="JGW47" s="191"/>
      <c r="JGX47" s="191"/>
      <c r="JGY47" s="191"/>
      <c r="JGZ47" s="191"/>
      <c r="JHA47" s="191"/>
      <c r="JHB47" s="191"/>
      <c r="JHC47" s="191"/>
      <c r="JHD47" s="191"/>
      <c r="JHE47" s="191"/>
      <c r="JHF47" s="191"/>
      <c r="JHG47" s="191"/>
      <c r="JHH47" s="191"/>
      <c r="JHI47" s="191"/>
      <c r="JHJ47" s="191"/>
      <c r="JHK47" s="191"/>
      <c r="JHL47" s="191"/>
      <c r="JHM47" s="191"/>
      <c r="JHN47" s="191"/>
      <c r="JHO47" s="191"/>
      <c r="JHP47" s="191"/>
      <c r="JHQ47" s="191"/>
      <c r="JHR47" s="191"/>
      <c r="JHS47" s="191"/>
      <c r="JHT47" s="191"/>
      <c r="JHU47" s="191"/>
      <c r="JHV47" s="191"/>
      <c r="JHW47" s="191"/>
      <c r="JHX47" s="191"/>
      <c r="JHY47" s="191"/>
      <c r="JHZ47" s="191"/>
      <c r="JIA47" s="191"/>
      <c r="JIB47" s="191"/>
      <c r="JIC47" s="191"/>
      <c r="JID47" s="191"/>
      <c r="JIE47" s="191"/>
      <c r="JIF47" s="191"/>
      <c r="JIG47" s="191"/>
      <c r="JIH47" s="191"/>
      <c r="JII47" s="191"/>
      <c r="JIJ47" s="191"/>
      <c r="JIK47" s="191"/>
      <c r="JIL47" s="191"/>
      <c r="JIM47" s="191"/>
      <c r="JIN47" s="191"/>
      <c r="JIO47" s="191"/>
      <c r="JIP47" s="191"/>
      <c r="JIQ47" s="191"/>
      <c r="JIR47" s="191"/>
      <c r="JIS47" s="191"/>
      <c r="JIT47" s="191"/>
      <c r="JIU47" s="191"/>
      <c r="JIV47" s="191"/>
      <c r="JIW47" s="191"/>
      <c r="JIX47" s="191"/>
      <c r="JIY47" s="191"/>
      <c r="JIZ47" s="191"/>
      <c r="JJA47" s="191"/>
      <c r="JJB47" s="191"/>
      <c r="JJC47" s="191"/>
      <c r="JJD47" s="191"/>
      <c r="JJE47" s="191"/>
      <c r="JJF47" s="191"/>
      <c r="JJG47" s="191"/>
      <c r="JJH47" s="191"/>
      <c r="JJI47" s="191"/>
      <c r="JJJ47" s="191"/>
      <c r="JJK47" s="191"/>
      <c r="JJL47" s="191"/>
      <c r="JJM47" s="191"/>
      <c r="JJN47" s="191"/>
      <c r="JJO47" s="191"/>
      <c r="JJP47" s="191"/>
      <c r="JJQ47" s="191"/>
      <c r="JJR47" s="191"/>
      <c r="JJS47" s="191"/>
      <c r="JJT47" s="191"/>
      <c r="JJU47" s="191"/>
      <c r="JJV47" s="191"/>
      <c r="JJW47" s="191"/>
      <c r="JJX47" s="191"/>
      <c r="JJY47" s="191"/>
      <c r="JJZ47" s="191"/>
      <c r="JKA47" s="191"/>
      <c r="JKB47" s="191"/>
      <c r="JKC47" s="191"/>
      <c r="JKD47" s="191"/>
      <c r="JKE47" s="191"/>
      <c r="JKF47" s="191"/>
      <c r="JKG47" s="191"/>
      <c r="JKH47" s="191"/>
      <c r="JKI47" s="191"/>
      <c r="JKJ47" s="191"/>
      <c r="JKK47" s="191"/>
      <c r="JKL47" s="191"/>
      <c r="JKM47" s="191"/>
      <c r="JKN47" s="191"/>
      <c r="JKO47" s="191"/>
      <c r="JKP47" s="191"/>
      <c r="JKQ47" s="191"/>
      <c r="JKR47" s="191"/>
      <c r="JKS47" s="191"/>
      <c r="JKT47" s="191"/>
      <c r="JKU47" s="191"/>
      <c r="JKV47" s="191"/>
      <c r="JKW47" s="191"/>
      <c r="JKX47" s="191"/>
      <c r="JKY47" s="191"/>
      <c r="JKZ47" s="191"/>
      <c r="JLA47" s="191"/>
      <c r="JLB47" s="191"/>
      <c r="JLC47" s="191"/>
      <c r="JLD47" s="191"/>
      <c r="JLE47" s="191"/>
      <c r="JLF47" s="191"/>
      <c r="JLG47" s="191"/>
      <c r="JLH47" s="191"/>
      <c r="JLI47" s="191"/>
      <c r="JLJ47" s="191"/>
      <c r="JLK47" s="191"/>
      <c r="JLL47" s="191"/>
      <c r="JLM47" s="191"/>
      <c r="JLN47" s="191"/>
      <c r="JLO47" s="191"/>
      <c r="JLP47" s="191"/>
      <c r="JLQ47" s="191"/>
      <c r="JLR47" s="191"/>
      <c r="JLS47" s="191"/>
      <c r="JLT47" s="191"/>
      <c r="JLU47" s="191"/>
      <c r="JLV47" s="191"/>
      <c r="JLW47" s="191"/>
      <c r="JLX47" s="191"/>
      <c r="JLY47" s="191"/>
      <c r="JLZ47" s="191"/>
      <c r="JMA47" s="191"/>
      <c r="JMB47" s="191"/>
      <c r="JMC47" s="191"/>
      <c r="JMD47" s="191"/>
      <c r="JME47" s="191"/>
      <c r="JMF47" s="191"/>
      <c r="JMG47" s="191"/>
      <c r="JMH47" s="191"/>
      <c r="JMI47" s="191"/>
      <c r="JMJ47" s="191"/>
      <c r="JMK47" s="191"/>
      <c r="JML47" s="191"/>
      <c r="JMM47" s="191"/>
      <c r="JMN47" s="191"/>
      <c r="JMO47" s="191"/>
      <c r="JMP47" s="191"/>
      <c r="JMQ47" s="191"/>
      <c r="JMR47" s="191"/>
      <c r="JMS47" s="191"/>
      <c r="JMT47" s="191"/>
      <c r="JMU47" s="191"/>
      <c r="JMV47" s="191"/>
      <c r="JMW47" s="191"/>
      <c r="JMX47" s="191"/>
      <c r="JMY47" s="191"/>
      <c r="JMZ47" s="191"/>
      <c r="JNA47" s="191"/>
      <c r="JNB47" s="191"/>
      <c r="JNC47" s="191"/>
      <c r="JND47" s="191"/>
      <c r="JNE47" s="191"/>
      <c r="JNF47" s="191"/>
      <c r="JNG47" s="191"/>
      <c r="JNH47" s="191"/>
      <c r="JNI47" s="191"/>
      <c r="JNJ47" s="191"/>
      <c r="JNK47" s="191"/>
      <c r="JNL47" s="191"/>
      <c r="JNM47" s="191"/>
      <c r="JNN47" s="191"/>
      <c r="JNO47" s="191"/>
      <c r="JNP47" s="191"/>
      <c r="JNQ47" s="191"/>
      <c r="JNR47" s="191"/>
      <c r="JNS47" s="191"/>
      <c r="JNT47" s="191"/>
      <c r="JNU47" s="191"/>
      <c r="JNV47" s="191"/>
      <c r="JNW47" s="191"/>
      <c r="JNX47" s="191"/>
      <c r="JNY47" s="191"/>
      <c r="JNZ47" s="191"/>
      <c r="JOA47" s="191"/>
      <c r="JOB47" s="191"/>
      <c r="JOC47" s="191"/>
      <c r="JOD47" s="191"/>
      <c r="JOE47" s="191"/>
      <c r="JOF47" s="191"/>
      <c r="JOG47" s="191"/>
      <c r="JOH47" s="191"/>
      <c r="JOI47" s="191"/>
      <c r="JOJ47" s="191"/>
      <c r="JOK47" s="191"/>
      <c r="JOL47" s="191"/>
      <c r="JOM47" s="191"/>
      <c r="JON47" s="191"/>
      <c r="JOO47" s="191"/>
      <c r="JOP47" s="191"/>
      <c r="JOQ47" s="191"/>
      <c r="JOR47" s="191"/>
      <c r="JOS47" s="191"/>
      <c r="JOT47" s="191"/>
      <c r="JOU47" s="191"/>
      <c r="JOV47" s="191"/>
      <c r="JOW47" s="191"/>
      <c r="JOX47" s="191"/>
      <c r="JOY47" s="191"/>
      <c r="JOZ47" s="191"/>
      <c r="JPA47" s="191"/>
      <c r="JPB47" s="191"/>
      <c r="JPC47" s="191"/>
      <c r="JPD47" s="191"/>
      <c r="JPE47" s="191"/>
      <c r="JPF47" s="191"/>
      <c r="JPG47" s="191"/>
      <c r="JPH47" s="191"/>
      <c r="JPI47" s="191"/>
      <c r="JPJ47" s="191"/>
      <c r="JPK47" s="191"/>
      <c r="JPL47" s="191"/>
      <c r="JPM47" s="191"/>
      <c r="JPN47" s="191"/>
      <c r="JPO47" s="191"/>
      <c r="JPP47" s="191"/>
      <c r="JPQ47" s="191"/>
      <c r="JPR47" s="191"/>
      <c r="JPS47" s="191"/>
      <c r="JPT47" s="191"/>
      <c r="JPU47" s="191"/>
      <c r="JPV47" s="191"/>
      <c r="JPW47" s="191"/>
      <c r="JPX47" s="191"/>
      <c r="JPY47" s="191"/>
      <c r="JPZ47" s="191"/>
      <c r="JQA47" s="191"/>
      <c r="JQB47" s="191"/>
      <c r="JQC47" s="191"/>
      <c r="JQD47" s="191"/>
      <c r="JQE47" s="191"/>
      <c r="JQF47" s="191"/>
      <c r="JQG47" s="191"/>
      <c r="JQH47" s="191"/>
      <c r="JQI47" s="191"/>
      <c r="JQJ47" s="191"/>
      <c r="JQK47" s="191"/>
      <c r="JQL47" s="191"/>
      <c r="JQM47" s="191"/>
      <c r="JQN47" s="191"/>
      <c r="JQO47" s="191"/>
      <c r="JQP47" s="191"/>
      <c r="JQQ47" s="191"/>
      <c r="JQR47" s="191"/>
      <c r="JQS47" s="191"/>
      <c r="JQT47" s="191"/>
      <c r="JQU47" s="191"/>
      <c r="JQV47" s="191"/>
      <c r="JQW47" s="191"/>
      <c r="JQX47" s="191"/>
      <c r="JQY47" s="191"/>
      <c r="JQZ47" s="191"/>
      <c r="JRA47" s="191"/>
      <c r="JRB47" s="191"/>
      <c r="JRC47" s="191"/>
      <c r="JRD47" s="191"/>
      <c r="JRE47" s="191"/>
      <c r="JRF47" s="191"/>
      <c r="JRG47" s="191"/>
      <c r="JRH47" s="191"/>
      <c r="JRI47" s="191"/>
      <c r="JRJ47" s="191"/>
      <c r="JRK47" s="191"/>
      <c r="JRL47" s="191"/>
      <c r="JRM47" s="191"/>
      <c r="JRN47" s="191"/>
      <c r="JRO47" s="191"/>
      <c r="JRP47" s="191"/>
      <c r="JRQ47" s="191"/>
      <c r="JRR47" s="191"/>
      <c r="JRS47" s="191"/>
      <c r="JRT47" s="191"/>
      <c r="JRU47" s="191"/>
      <c r="JRV47" s="191"/>
      <c r="JRW47" s="191"/>
      <c r="JRX47" s="191"/>
      <c r="JRY47" s="191"/>
      <c r="JRZ47" s="191"/>
      <c r="JSA47" s="191"/>
      <c r="JSB47" s="191"/>
      <c r="JSC47" s="191"/>
      <c r="JSD47" s="191"/>
      <c r="JSE47" s="191"/>
      <c r="JSF47" s="191"/>
      <c r="JSG47" s="191"/>
      <c r="JSH47" s="191"/>
      <c r="JSI47" s="191"/>
      <c r="JSJ47" s="191"/>
      <c r="JSK47" s="191"/>
      <c r="JSL47" s="191"/>
      <c r="JSM47" s="191"/>
      <c r="JSN47" s="191"/>
      <c r="JSO47" s="191"/>
      <c r="JSP47" s="191"/>
      <c r="JSQ47" s="191"/>
      <c r="JSR47" s="191"/>
      <c r="JSS47" s="191"/>
      <c r="JST47" s="191"/>
      <c r="JSU47" s="191"/>
      <c r="JSV47" s="191"/>
      <c r="JSW47" s="191"/>
      <c r="JSX47" s="191"/>
      <c r="JSY47" s="191"/>
      <c r="JSZ47" s="191"/>
      <c r="JTA47" s="191"/>
      <c r="JTB47" s="191"/>
      <c r="JTC47" s="191"/>
      <c r="JTD47" s="191"/>
      <c r="JTE47" s="191"/>
      <c r="JTF47" s="191"/>
      <c r="JTG47" s="191"/>
      <c r="JTH47" s="191"/>
      <c r="JTI47" s="191"/>
      <c r="JTJ47" s="191"/>
      <c r="JTK47" s="191"/>
      <c r="JTL47" s="191"/>
      <c r="JTM47" s="191"/>
      <c r="JTN47" s="191"/>
      <c r="JTO47" s="191"/>
      <c r="JTP47" s="191"/>
      <c r="JTQ47" s="191"/>
      <c r="JTR47" s="191"/>
      <c r="JTS47" s="191"/>
      <c r="JTT47" s="191"/>
      <c r="JTU47" s="191"/>
      <c r="JTV47" s="191"/>
      <c r="JTW47" s="191"/>
      <c r="JTX47" s="191"/>
      <c r="JTY47" s="191"/>
      <c r="JTZ47" s="191"/>
      <c r="JUA47" s="191"/>
      <c r="JUB47" s="191"/>
      <c r="JUC47" s="191"/>
      <c r="JUD47" s="191"/>
      <c r="JUE47" s="191"/>
      <c r="JUF47" s="191"/>
      <c r="JUG47" s="191"/>
      <c r="JUH47" s="191"/>
      <c r="JUI47" s="191"/>
      <c r="JUJ47" s="191"/>
      <c r="JUK47" s="191"/>
      <c r="JUL47" s="191"/>
      <c r="JUM47" s="191"/>
      <c r="JUN47" s="191"/>
      <c r="JUO47" s="191"/>
      <c r="JUP47" s="191"/>
      <c r="JUQ47" s="191"/>
      <c r="JUR47" s="191"/>
      <c r="JUS47" s="191"/>
      <c r="JUT47" s="191"/>
      <c r="JUU47" s="191"/>
      <c r="JUV47" s="191"/>
      <c r="JUW47" s="191"/>
      <c r="JUX47" s="191"/>
      <c r="JUY47" s="191"/>
      <c r="JUZ47" s="191"/>
      <c r="JVA47" s="191"/>
      <c r="JVB47" s="191"/>
      <c r="JVC47" s="191"/>
      <c r="JVD47" s="191"/>
      <c r="JVE47" s="191"/>
      <c r="JVF47" s="191"/>
      <c r="JVG47" s="191"/>
      <c r="JVH47" s="191"/>
      <c r="JVI47" s="191"/>
      <c r="JVJ47" s="191"/>
      <c r="JVK47" s="191"/>
      <c r="JVL47" s="191"/>
      <c r="JVM47" s="191"/>
      <c r="JVN47" s="191"/>
      <c r="JVO47" s="191"/>
      <c r="JVP47" s="191"/>
      <c r="JVQ47" s="191"/>
      <c r="JVR47" s="191"/>
      <c r="JVS47" s="191"/>
      <c r="JVT47" s="191"/>
      <c r="JVU47" s="191"/>
      <c r="JVV47" s="191"/>
      <c r="JVW47" s="191"/>
      <c r="JVX47" s="191"/>
      <c r="JVY47" s="191"/>
      <c r="JVZ47" s="191"/>
      <c r="JWA47" s="191"/>
      <c r="JWB47" s="191"/>
      <c r="JWC47" s="191"/>
      <c r="JWD47" s="191"/>
      <c r="JWE47" s="191"/>
      <c r="JWF47" s="191"/>
      <c r="JWG47" s="191"/>
      <c r="JWH47" s="191"/>
      <c r="JWI47" s="191"/>
      <c r="JWJ47" s="191"/>
      <c r="JWK47" s="191"/>
      <c r="JWL47" s="191"/>
      <c r="JWM47" s="191"/>
      <c r="JWN47" s="191"/>
      <c r="JWO47" s="191"/>
      <c r="JWP47" s="191"/>
      <c r="JWQ47" s="191"/>
      <c r="JWR47" s="191"/>
      <c r="JWS47" s="191"/>
      <c r="JWT47" s="191"/>
      <c r="JWU47" s="191"/>
      <c r="JWV47" s="191"/>
      <c r="JWW47" s="191"/>
      <c r="JWX47" s="191"/>
      <c r="JWY47" s="191"/>
      <c r="JWZ47" s="191"/>
      <c r="JXA47" s="191"/>
      <c r="JXB47" s="191"/>
      <c r="JXC47" s="191"/>
      <c r="JXD47" s="191"/>
      <c r="JXE47" s="191"/>
      <c r="JXF47" s="191"/>
      <c r="JXG47" s="191"/>
      <c r="JXH47" s="191"/>
      <c r="JXI47" s="191"/>
      <c r="JXJ47" s="191"/>
      <c r="JXK47" s="191"/>
      <c r="JXL47" s="191"/>
      <c r="JXM47" s="191"/>
      <c r="JXN47" s="191"/>
      <c r="JXO47" s="191"/>
      <c r="JXP47" s="191"/>
      <c r="JXQ47" s="191"/>
      <c r="JXR47" s="191"/>
      <c r="JXS47" s="191"/>
      <c r="JXT47" s="191"/>
      <c r="JXU47" s="191"/>
      <c r="JXV47" s="191"/>
      <c r="JXW47" s="191"/>
      <c r="JXX47" s="191"/>
      <c r="JXY47" s="191"/>
      <c r="JXZ47" s="191"/>
      <c r="JYA47" s="191"/>
      <c r="JYB47" s="191"/>
      <c r="JYC47" s="191"/>
      <c r="JYD47" s="191"/>
      <c r="JYE47" s="191"/>
      <c r="JYF47" s="191"/>
      <c r="JYG47" s="191"/>
      <c r="JYH47" s="191"/>
      <c r="JYI47" s="191"/>
      <c r="JYJ47" s="191"/>
      <c r="JYK47" s="191"/>
      <c r="JYL47" s="191"/>
      <c r="JYM47" s="191"/>
      <c r="JYN47" s="191"/>
      <c r="JYO47" s="191"/>
      <c r="JYP47" s="191"/>
      <c r="JYQ47" s="191"/>
      <c r="JYR47" s="191"/>
      <c r="JYS47" s="191"/>
      <c r="JYT47" s="191"/>
      <c r="JYU47" s="191"/>
      <c r="JYV47" s="191"/>
      <c r="JYW47" s="191"/>
      <c r="JYX47" s="191"/>
      <c r="JYY47" s="191"/>
      <c r="JYZ47" s="191"/>
      <c r="JZA47" s="191"/>
      <c r="JZB47" s="191"/>
      <c r="JZC47" s="191"/>
      <c r="JZD47" s="191"/>
      <c r="JZE47" s="191"/>
      <c r="JZF47" s="191"/>
      <c r="JZG47" s="191"/>
      <c r="JZH47" s="191"/>
      <c r="JZI47" s="191"/>
      <c r="JZJ47" s="191"/>
      <c r="JZK47" s="191"/>
      <c r="JZL47" s="191"/>
      <c r="JZM47" s="191"/>
      <c r="JZN47" s="191"/>
      <c r="JZO47" s="191"/>
      <c r="JZP47" s="191"/>
      <c r="JZQ47" s="191"/>
      <c r="JZR47" s="191"/>
      <c r="JZS47" s="191"/>
      <c r="JZT47" s="191"/>
      <c r="JZU47" s="191"/>
      <c r="JZV47" s="191"/>
      <c r="JZW47" s="191"/>
      <c r="JZX47" s="191"/>
      <c r="JZY47" s="191"/>
      <c r="JZZ47" s="191"/>
      <c r="KAA47" s="191"/>
      <c r="KAB47" s="191"/>
      <c r="KAC47" s="191"/>
      <c r="KAD47" s="191"/>
      <c r="KAE47" s="191"/>
      <c r="KAF47" s="191"/>
      <c r="KAG47" s="191"/>
      <c r="KAH47" s="191"/>
      <c r="KAI47" s="191"/>
      <c r="KAJ47" s="191"/>
      <c r="KAK47" s="191"/>
      <c r="KAL47" s="191"/>
      <c r="KAM47" s="191"/>
      <c r="KAN47" s="191"/>
      <c r="KAO47" s="191"/>
      <c r="KAP47" s="191"/>
      <c r="KAQ47" s="191"/>
      <c r="KAR47" s="191"/>
      <c r="KAS47" s="191"/>
      <c r="KAT47" s="191"/>
      <c r="KAU47" s="191"/>
      <c r="KAV47" s="191"/>
      <c r="KAW47" s="191"/>
      <c r="KAX47" s="191"/>
      <c r="KAY47" s="191"/>
      <c r="KAZ47" s="191"/>
      <c r="KBA47" s="191"/>
      <c r="KBB47" s="191"/>
      <c r="KBC47" s="191"/>
      <c r="KBD47" s="191"/>
      <c r="KBE47" s="191"/>
      <c r="KBF47" s="191"/>
      <c r="KBG47" s="191"/>
      <c r="KBH47" s="191"/>
      <c r="KBI47" s="191"/>
      <c r="KBJ47" s="191"/>
      <c r="KBK47" s="191"/>
      <c r="KBL47" s="191"/>
      <c r="KBM47" s="191"/>
      <c r="KBN47" s="191"/>
      <c r="KBO47" s="191"/>
      <c r="KBP47" s="191"/>
      <c r="KBQ47" s="191"/>
      <c r="KBR47" s="191"/>
      <c r="KBS47" s="191"/>
      <c r="KBT47" s="191"/>
      <c r="KBU47" s="191"/>
      <c r="KBV47" s="191"/>
      <c r="KBW47" s="191"/>
      <c r="KBX47" s="191"/>
      <c r="KBY47" s="191"/>
      <c r="KBZ47" s="191"/>
      <c r="KCA47" s="191"/>
      <c r="KCB47" s="191"/>
      <c r="KCC47" s="191"/>
      <c r="KCD47" s="191"/>
      <c r="KCE47" s="191"/>
      <c r="KCF47" s="191"/>
      <c r="KCG47" s="191"/>
      <c r="KCH47" s="191"/>
      <c r="KCI47" s="191"/>
      <c r="KCJ47" s="191"/>
      <c r="KCK47" s="191"/>
      <c r="KCL47" s="191"/>
      <c r="KCM47" s="191"/>
      <c r="KCN47" s="191"/>
      <c r="KCO47" s="191"/>
      <c r="KCP47" s="191"/>
      <c r="KCQ47" s="191"/>
      <c r="KCR47" s="191"/>
      <c r="KCS47" s="191"/>
      <c r="KCT47" s="191"/>
      <c r="KCU47" s="191"/>
      <c r="KCV47" s="191"/>
      <c r="KCW47" s="191"/>
      <c r="KCX47" s="191"/>
      <c r="KCY47" s="191"/>
      <c r="KCZ47" s="191"/>
      <c r="KDA47" s="191"/>
      <c r="KDB47" s="191"/>
      <c r="KDC47" s="191"/>
      <c r="KDD47" s="191"/>
      <c r="KDE47" s="191"/>
      <c r="KDF47" s="191"/>
      <c r="KDG47" s="191"/>
      <c r="KDH47" s="191"/>
      <c r="KDI47" s="191"/>
      <c r="KDJ47" s="191"/>
      <c r="KDK47" s="191"/>
      <c r="KDL47" s="191"/>
      <c r="KDM47" s="191"/>
      <c r="KDN47" s="191"/>
      <c r="KDO47" s="191"/>
      <c r="KDP47" s="191"/>
      <c r="KDQ47" s="191"/>
      <c r="KDR47" s="191"/>
      <c r="KDS47" s="191"/>
      <c r="KDT47" s="191"/>
      <c r="KDU47" s="191"/>
      <c r="KDV47" s="191"/>
      <c r="KDW47" s="191"/>
      <c r="KDX47" s="191"/>
      <c r="KDY47" s="191"/>
      <c r="KDZ47" s="191"/>
      <c r="KEA47" s="191"/>
      <c r="KEB47" s="191"/>
      <c r="KEC47" s="191"/>
      <c r="KED47" s="191"/>
      <c r="KEE47" s="191"/>
      <c r="KEF47" s="191"/>
      <c r="KEG47" s="191"/>
      <c r="KEH47" s="191"/>
      <c r="KEI47" s="191"/>
      <c r="KEJ47" s="191"/>
      <c r="KEK47" s="191"/>
      <c r="KEL47" s="191"/>
      <c r="KEM47" s="191"/>
      <c r="KEN47" s="191"/>
      <c r="KEO47" s="191"/>
      <c r="KEP47" s="191"/>
      <c r="KEQ47" s="191"/>
      <c r="KER47" s="191"/>
      <c r="KES47" s="191"/>
      <c r="KET47" s="191"/>
      <c r="KEU47" s="191"/>
      <c r="KEV47" s="191"/>
      <c r="KEW47" s="191"/>
      <c r="KEX47" s="191"/>
      <c r="KEY47" s="191"/>
      <c r="KEZ47" s="191"/>
      <c r="KFA47" s="191"/>
      <c r="KFB47" s="191"/>
      <c r="KFC47" s="191"/>
      <c r="KFD47" s="191"/>
      <c r="KFE47" s="191"/>
      <c r="KFF47" s="191"/>
      <c r="KFG47" s="191"/>
      <c r="KFH47" s="191"/>
      <c r="KFI47" s="191"/>
      <c r="KFJ47" s="191"/>
      <c r="KFK47" s="191"/>
      <c r="KFL47" s="191"/>
      <c r="KFM47" s="191"/>
      <c r="KFN47" s="191"/>
      <c r="KFO47" s="191"/>
      <c r="KFP47" s="191"/>
      <c r="KFQ47" s="191"/>
      <c r="KFR47" s="191"/>
      <c r="KFS47" s="191"/>
      <c r="KFT47" s="191"/>
      <c r="KFU47" s="191"/>
      <c r="KFV47" s="191"/>
      <c r="KFW47" s="191"/>
      <c r="KFX47" s="191"/>
      <c r="KFY47" s="191"/>
      <c r="KFZ47" s="191"/>
      <c r="KGA47" s="191"/>
      <c r="KGB47" s="191"/>
      <c r="KGC47" s="191"/>
      <c r="KGD47" s="191"/>
      <c r="KGE47" s="191"/>
      <c r="KGF47" s="191"/>
      <c r="KGG47" s="191"/>
      <c r="KGH47" s="191"/>
      <c r="KGI47" s="191"/>
      <c r="KGJ47" s="191"/>
      <c r="KGK47" s="191"/>
      <c r="KGL47" s="191"/>
      <c r="KGM47" s="191"/>
      <c r="KGN47" s="191"/>
      <c r="KGO47" s="191"/>
      <c r="KGP47" s="191"/>
      <c r="KGQ47" s="191"/>
      <c r="KGR47" s="191"/>
      <c r="KGS47" s="191"/>
      <c r="KGT47" s="191"/>
      <c r="KGU47" s="191"/>
      <c r="KGV47" s="191"/>
      <c r="KGW47" s="191"/>
      <c r="KGX47" s="191"/>
      <c r="KGY47" s="191"/>
      <c r="KGZ47" s="191"/>
      <c r="KHA47" s="191"/>
      <c r="KHB47" s="191"/>
      <c r="KHC47" s="191"/>
      <c r="KHD47" s="191"/>
      <c r="KHE47" s="191"/>
      <c r="KHF47" s="191"/>
      <c r="KHG47" s="191"/>
      <c r="KHH47" s="191"/>
      <c r="KHI47" s="191"/>
      <c r="KHJ47" s="191"/>
      <c r="KHK47" s="191"/>
      <c r="KHL47" s="191"/>
      <c r="KHM47" s="191"/>
      <c r="KHN47" s="191"/>
      <c r="KHO47" s="191"/>
      <c r="KHP47" s="191"/>
      <c r="KHQ47" s="191"/>
      <c r="KHR47" s="191"/>
      <c r="KHS47" s="191"/>
      <c r="KHT47" s="191"/>
      <c r="KHU47" s="191"/>
      <c r="KHV47" s="191"/>
      <c r="KHW47" s="191"/>
      <c r="KHX47" s="191"/>
      <c r="KHY47" s="191"/>
      <c r="KHZ47" s="191"/>
      <c r="KIA47" s="191"/>
      <c r="KIB47" s="191"/>
      <c r="KIC47" s="191"/>
      <c r="KID47" s="191"/>
      <c r="KIE47" s="191"/>
      <c r="KIF47" s="191"/>
      <c r="KIG47" s="191"/>
      <c r="KIH47" s="191"/>
      <c r="KII47" s="191"/>
      <c r="KIJ47" s="191"/>
      <c r="KIK47" s="191"/>
      <c r="KIL47" s="191"/>
      <c r="KIM47" s="191"/>
      <c r="KIN47" s="191"/>
      <c r="KIO47" s="191"/>
      <c r="KIP47" s="191"/>
      <c r="KIQ47" s="191"/>
      <c r="KIR47" s="191"/>
      <c r="KIS47" s="191"/>
      <c r="KIT47" s="191"/>
      <c r="KIU47" s="191"/>
      <c r="KIV47" s="191"/>
      <c r="KIW47" s="191"/>
      <c r="KIX47" s="191"/>
      <c r="KIY47" s="191"/>
      <c r="KIZ47" s="191"/>
      <c r="KJA47" s="191"/>
      <c r="KJB47" s="191"/>
      <c r="KJC47" s="191"/>
      <c r="KJD47" s="191"/>
      <c r="KJE47" s="191"/>
      <c r="KJF47" s="191"/>
      <c r="KJG47" s="191"/>
      <c r="KJH47" s="191"/>
      <c r="KJI47" s="191"/>
      <c r="KJJ47" s="191"/>
      <c r="KJK47" s="191"/>
      <c r="KJL47" s="191"/>
      <c r="KJM47" s="191"/>
      <c r="KJN47" s="191"/>
      <c r="KJO47" s="191"/>
      <c r="KJP47" s="191"/>
      <c r="KJQ47" s="191"/>
      <c r="KJR47" s="191"/>
      <c r="KJS47" s="191"/>
      <c r="KJT47" s="191"/>
      <c r="KJU47" s="191"/>
      <c r="KJV47" s="191"/>
      <c r="KJW47" s="191"/>
      <c r="KJX47" s="191"/>
      <c r="KJY47" s="191"/>
      <c r="KJZ47" s="191"/>
      <c r="KKA47" s="191"/>
      <c r="KKB47" s="191"/>
      <c r="KKC47" s="191"/>
      <c r="KKD47" s="191"/>
      <c r="KKE47" s="191"/>
      <c r="KKF47" s="191"/>
      <c r="KKG47" s="191"/>
      <c r="KKH47" s="191"/>
      <c r="KKI47" s="191"/>
      <c r="KKJ47" s="191"/>
      <c r="KKK47" s="191"/>
      <c r="KKL47" s="191"/>
      <c r="KKM47" s="191"/>
      <c r="KKN47" s="191"/>
      <c r="KKO47" s="191"/>
      <c r="KKP47" s="191"/>
      <c r="KKQ47" s="191"/>
      <c r="KKR47" s="191"/>
      <c r="KKS47" s="191"/>
      <c r="KKT47" s="191"/>
      <c r="KKU47" s="191"/>
      <c r="KKV47" s="191"/>
      <c r="KKW47" s="191"/>
      <c r="KKX47" s="191"/>
      <c r="KKY47" s="191"/>
      <c r="KKZ47" s="191"/>
      <c r="KLA47" s="191"/>
      <c r="KLB47" s="191"/>
      <c r="KLC47" s="191"/>
      <c r="KLD47" s="191"/>
      <c r="KLE47" s="191"/>
      <c r="KLF47" s="191"/>
      <c r="KLG47" s="191"/>
      <c r="KLH47" s="191"/>
      <c r="KLI47" s="191"/>
      <c r="KLJ47" s="191"/>
      <c r="KLK47" s="191"/>
      <c r="KLL47" s="191"/>
      <c r="KLM47" s="191"/>
      <c r="KLN47" s="191"/>
      <c r="KLO47" s="191"/>
      <c r="KLP47" s="191"/>
      <c r="KLQ47" s="191"/>
      <c r="KLR47" s="191"/>
      <c r="KLS47" s="191"/>
      <c r="KLT47" s="191"/>
      <c r="KLU47" s="191"/>
      <c r="KLV47" s="191"/>
      <c r="KLW47" s="191"/>
      <c r="KLX47" s="191"/>
      <c r="KLY47" s="191"/>
      <c r="KLZ47" s="191"/>
      <c r="KMA47" s="191"/>
      <c r="KMB47" s="191"/>
      <c r="KMC47" s="191"/>
      <c r="KMD47" s="191"/>
      <c r="KME47" s="191"/>
      <c r="KMF47" s="191"/>
      <c r="KMG47" s="191"/>
      <c r="KMH47" s="191"/>
      <c r="KMI47" s="191"/>
      <c r="KMJ47" s="191"/>
      <c r="KMK47" s="191"/>
      <c r="KML47" s="191"/>
      <c r="KMM47" s="191"/>
      <c r="KMN47" s="191"/>
      <c r="KMO47" s="191"/>
      <c r="KMP47" s="191"/>
      <c r="KMQ47" s="191"/>
      <c r="KMR47" s="191"/>
      <c r="KMS47" s="191"/>
      <c r="KMT47" s="191"/>
      <c r="KMU47" s="191"/>
      <c r="KMV47" s="191"/>
      <c r="KMW47" s="191"/>
      <c r="KMX47" s="191"/>
      <c r="KMY47" s="191"/>
      <c r="KMZ47" s="191"/>
      <c r="KNA47" s="191"/>
      <c r="KNB47" s="191"/>
      <c r="KNC47" s="191"/>
      <c r="KND47" s="191"/>
      <c r="KNE47" s="191"/>
      <c r="KNF47" s="191"/>
      <c r="KNG47" s="191"/>
      <c r="KNH47" s="191"/>
      <c r="KNI47" s="191"/>
      <c r="KNJ47" s="191"/>
      <c r="KNK47" s="191"/>
      <c r="KNL47" s="191"/>
      <c r="KNM47" s="191"/>
      <c r="KNN47" s="191"/>
      <c r="KNO47" s="191"/>
      <c r="KNP47" s="191"/>
      <c r="KNQ47" s="191"/>
      <c r="KNR47" s="191"/>
      <c r="KNS47" s="191"/>
      <c r="KNT47" s="191"/>
      <c r="KNU47" s="191"/>
      <c r="KNV47" s="191"/>
      <c r="KNW47" s="191"/>
      <c r="KNX47" s="191"/>
      <c r="KNY47" s="191"/>
      <c r="KNZ47" s="191"/>
      <c r="KOA47" s="191"/>
      <c r="KOB47" s="191"/>
      <c r="KOC47" s="191"/>
      <c r="KOD47" s="191"/>
      <c r="KOE47" s="191"/>
      <c r="KOF47" s="191"/>
      <c r="KOG47" s="191"/>
      <c r="KOH47" s="191"/>
      <c r="KOI47" s="191"/>
      <c r="KOJ47" s="191"/>
      <c r="KOK47" s="191"/>
      <c r="KOL47" s="191"/>
      <c r="KOM47" s="191"/>
      <c r="KON47" s="191"/>
      <c r="KOO47" s="191"/>
      <c r="KOP47" s="191"/>
      <c r="KOQ47" s="191"/>
      <c r="KOR47" s="191"/>
      <c r="KOS47" s="191"/>
      <c r="KOT47" s="191"/>
      <c r="KOU47" s="191"/>
      <c r="KOV47" s="191"/>
      <c r="KOW47" s="191"/>
      <c r="KOX47" s="191"/>
      <c r="KOY47" s="191"/>
      <c r="KOZ47" s="191"/>
      <c r="KPA47" s="191"/>
      <c r="KPB47" s="191"/>
      <c r="KPC47" s="191"/>
      <c r="KPD47" s="191"/>
      <c r="KPE47" s="191"/>
      <c r="KPF47" s="191"/>
      <c r="KPG47" s="191"/>
      <c r="KPH47" s="191"/>
      <c r="KPI47" s="191"/>
      <c r="KPJ47" s="191"/>
      <c r="KPK47" s="191"/>
      <c r="KPL47" s="191"/>
      <c r="KPM47" s="191"/>
      <c r="KPN47" s="191"/>
      <c r="KPO47" s="191"/>
      <c r="KPP47" s="191"/>
      <c r="KPQ47" s="191"/>
      <c r="KPR47" s="191"/>
      <c r="KPS47" s="191"/>
      <c r="KPT47" s="191"/>
      <c r="KPU47" s="191"/>
      <c r="KPV47" s="191"/>
      <c r="KPW47" s="191"/>
      <c r="KPX47" s="191"/>
      <c r="KPY47" s="191"/>
      <c r="KPZ47" s="191"/>
      <c r="KQA47" s="191"/>
      <c r="KQB47" s="191"/>
      <c r="KQC47" s="191"/>
      <c r="KQD47" s="191"/>
      <c r="KQE47" s="191"/>
      <c r="KQF47" s="191"/>
      <c r="KQG47" s="191"/>
      <c r="KQH47" s="191"/>
      <c r="KQI47" s="191"/>
      <c r="KQJ47" s="191"/>
      <c r="KQK47" s="191"/>
      <c r="KQL47" s="191"/>
      <c r="KQM47" s="191"/>
      <c r="KQN47" s="191"/>
      <c r="KQO47" s="191"/>
      <c r="KQP47" s="191"/>
      <c r="KQQ47" s="191"/>
      <c r="KQR47" s="191"/>
      <c r="KQS47" s="191"/>
      <c r="KQT47" s="191"/>
      <c r="KQU47" s="191"/>
      <c r="KQV47" s="191"/>
      <c r="KQW47" s="191"/>
      <c r="KQX47" s="191"/>
      <c r="KQY47" s="191"/>
      <c r="KQZ47" s="191"/>
      <c r="KRA47" s="191"/>
      <c r="KRB47" s="191"/>
      <c r="KRC47" s="191"/>
      <c r="KRD47" s="191"/>
      <c r="KRE47" s="191"/>
      <c r="KRF47" s="191"/>
      <c r="KRG47" s="191"/>
      <c r="KRH47" s="191"/>
      <c r="KRI47" s="191"/>
      <c r="KRJ47" s="191"/>
      <c r="KRK47" s="191"/>
      <c r="KRL47" s="191"/>
      <c r="KRM47" s="191"/>
      <c r="KRN47" s="191"/>
      <c r="KRO47" s="191"/>
      <c r="KRP47" s="191"/>
      <c r="KRQ47" s="191"/>
      <c r="KRR47" s="191"/>
      <c r="KRS47" s="191"/>
      <c r="KRT47" s="191"/>
      <c r="KRU47" s="191"/>
      <c r="KRV47" s="191"/>
      <c r="KRW47" s="191"/>
      <c r="KRX47" s="191"/>
      <c r="KRY47" s="191"/>
      <c r="KRZ47" s="191"/>
      <c r="KSA47" s="191"/>
      <c r="KSB47" s="191"/>
      <c r="KSC47" s="191"/>
      <c r="KSD47" s="191"/>
      <c r="KSE47" s="191"/>
      <c r="KSF47" s="191"/>
      <c r="KSG47" s="191"/>
      <c r="KSH47" s="191"/>
      <c r="KSI47" s="191"/>
      <c r="KSJ47" s="191"/>
      <c r="KSK47" s="191"/>
      <c r="KSL47" s="191"/>
      <c r="KSM47" s="191"/>
      <c r="KSN47" s="191"/>
      <c r="KSO47" s="191"/>
      <c r="KSP47" s="191"/>
      <c r="KSQ47" s="191"/>
      <c r="KSR47" s="191"/>
      <c r="KSS47" s="191"/>
      <c r="KST47" s="191"/>
      <c r="KSU47" s="191"/>
      <c r="KSV47" s="191"/>
      <c r="KSW47" s="191"/>
      <c r="KSX47" s="191"/>
      <c r="KSY47" s="191"/>
      <c r="KSZ47" s="191"/>
      <c r="KTA47" s="191"/>
      <c r="KTB47" s="191"/>
      <c r="KTC47" s="191"/>
      <c r="KTD47" s="191"/>
      <c r="KTE47" s="191"/>
      <c r="KTF47" s="191"/>
      <c r="KTG47" s="191"/>
      <c r="KTH47" s="191"/>
      <c r="KTI47" s="191"/>
      <c r="KTJ47" s="191"/>
      <c r="KTK47" s="191"/>
      <c r="KTL47" s="191"/>
      <c r="KTM47" s="191"/>
      <c r="KTN47" s="191"/>
      <c r="KTO47" s="191"/>
      <c r="KTP47" s="191"/>
      <c r="KTQ47" s="191"/>
      <c r="KTR47" s="191"/>
      <c r="KTS47" s="191"/>
      <c r="KTT47" s="191"/>
      <c r="KTU47" s="191"/>
      <c r="KTV47" s="191"/>
      <c r="KTW47" s="191"/>
      <c r="KTX47" s="191"/>
      <c r="KTY47" s="191"/>
      <c r="KTZ47" s="191"/>
      <c r="KUA47" s="191"/>
      <c r="KUB47" s="191"/>
      <c r="KUC47" s="191"/>
      <c r="KUD47" s="191"/>
      <c r="KUE47" s="191"/>
      <c r="KUF47" s="191"/>
      <c r="KUG47" s="191"/>
      <c r="KUH47" s="191"/>
      <c r="KUI47" s="191"/>
      <c r="KUJ47" s="191"/>
      <c r="KUK47" s="191"/>
      <c r="KUL47" s="191"/>
      <c r="KUM47" s="191"/>
      <c r="KUN47" s="191"/>
      <c r="KUO47" s="191"/>
      <c r="KUP47" s="191"/>
      <c r="KUQ47" s="191"/>
      <c r="KUR47" s="191"/>
      <c r="KUS47" s="191"/>
      <c r="KUT47" s="191"/>
      <c r="KUU47" s="191"/>
      <c r="KUV47" s="191"/>
      <c r="KUW47" s="191"/>
      <c r="KUX47" s="191"/>
      <c r="KUY47" s="191"/>
      <c r="KUZ47" s="191"/>
      <c r="KVA47" s="191"/>
      <c r="KVB47" s="191"/>
      <c r="KVC47" s="191"/>
      <c r="KVD47" s="191"/>
      <c r="KVE47" s="191"/>
      <c r="KVF47" s="191"/>
      <c r="KVG47" s="191"/>
      <c r="KVH47" s="191"/>
      <c r="KVI47" s="191"/>
      <c r="KVJ47" s="191"/>
      <c r="KVK47" s="191"/>
      <c r="KVL47" s="191"/>
      <c r="KVM47" s="191"/>
      <c r="KVN47" s="191"/>
      <c r="KVO47" s="191"/>
      <c r="KVP47" s="191"/>
      <c r="KVQ47" s="191"/>
      <c r="KVR47" s="191"/>
      <c r="KVS47" s="191"/>
      <c r="KVT47" s="191"/>
      <c r="KVU47" s="191"/>
      <c r="KVV47" s="191"/>
      <c r="KVW47" s="191"/>
      <c r="KVX47" s="191"/>
      <c r="KVY47" s="191"/>
      <c r="KVZ47" s="191"/>
      <c r="KWA47" s="191"/>
      <c r="KWB47" s="191"/>
      <c r="KWC47" s="191"/>
      <c r="KWD47" s="191"/>
      <c r="KWE47" s="191"/>
      <c r="KWF47" s="191"/>
      <c r="KWG47" s="191"/>
      <c r="KWH47" s="191"/>
      <c r="KWI47" s="191"/>
      <c r="KWJ47" s="191"/>
      <c r="KWK47" s="191"/>
      <c r="KWL47" s="191"/>
      <c r="KWM47" s="191"/>
      <c r="KWN47" s="191"/>
      <c r="KWO47" s="191"/>
      <c r="KWP47" s="191"/>
      <c r="KWQ47" s="191"/>
      <c r="KWR47" s="191"/>
      <c r="KWS47" s="191"/>
      <c r="KWT47" s="191"/>
      <c r="KWU47" s="191"/>
      <c r="KWV47" s="191"/>
      <c r="KWW47" s="191"/>
      <c r="KWX47" s="191"/>
      <c r="KWY47" s="191"/>
      <c r="KWZ47" s="191"/>
      <c r="KXA47" s="191"/>
      <c r="KXB47" s="191"/>
      <c r="KXC47" s="191"/>
      <c r="KXD47" s="191"/>
      <c r="KXE47" s="191"/>
      <c r="KXF47" s="191"/>
      <c r="KXG47" s="191"/>
      <c r="KXH47" s="191"/>
      <c r="KXI47" s="191"/>
      <c r="KXJ47" s="191"/>
      <c r="KXK47" s="191"/>
      <c r="KXL47" s="191"/>
      <c r="KXM47" s="191"/>
      <c r="KXN47" s="191"/>
      <c r="KXO47" s="191"/>
      <c r="KXP47" s="191"/>
      <c r="KXQ47" s="191"/>
      <c r="KXR47" s="191"/>
      <c r="KXS47" s="191"/>
      <c r="KXT47" s="191"/>
      <c r="KXU47" s="191"/>
      <c r="KXV47" s="191"/>
      <c r="KXW47" s="191"/>
      <c r="KXX47" s="191"/>
      <c r="KXY47" s="191"/>
      <c r="KXZ47" s="191"/>
      <c r="KYA47" s="191"/>
      <c r="KYB47" s="191"/>
      <c r="KYC47" s="191"/>
      <c r="KYD47" s="191"/>
      <c r="KYE47" s="191"/>
      <c r="KYF47" s="191"/>
      <c r="KYG47" s="191"/>
      <c r="KYH47" s="191"/>
      <c r="KYI47" s="191"/>
      <c r="KYJ47" s="191"/>
      <c r="KYK47" s="191"/>
      <c r="KYL47" s="191"/>
      <c r="KYM47" s="191"/>
      <c r="KYN47" s="191"/>
      <c r="KYO47" s="191"/>
      <c r="KYP47" s="191"/>
      <c r="KYQ47" s="191"/>
      <c r="KYR47" s="191"/>
      <c r="KYS47" s="191"/>
      <c r="KYT47" s="191"/>
      <c r="KYU47" s="191"/>
      <c r="KYV47" s="191"/>
      <c r="KYW47" s="191"/>
      <c r="KYX47" s="191"/>
      <c r="KYY47" s="191"/>
      <c r="KYZ47" s="191"/>
      <c r="KZA47" s="191"/>
      <c r="KZB47" s="191"/>
      <c r="KZC47" s="191"/>
      <c r="KZD47" s="191"/>
      <c r="KZE47" s="191"/>
      <c r="KZF47" s="191"/>
      <c r="KZG47" s="191"/>
      <c r="KZH47" s="191"/>
      <c r="KZI47" s="191"/>
      <c r="KZJ47" s="191"/>
      <c r="KZK47" s="191"/>
      <c r="KZL47" s="191"/>
      <c r="KZM47" s="191"/>
      <c r="KZN47" s="191"/>
      <c r="KZO47" s="191"/>
      <c r="KZP47" s="191"/>
      <c r="KZQ47" s="191"/>
      <c r="KZR47" s="191"/>
      <c r="KZS47" s="191"/>
      <c r="KZT47" s="191"/>
      <c r="KZU47" s="191"/>
      <c r="KZV47" s="191"/>
      <c r="KZW47" s="191"/>
      <c r="KZX47" s="191"/>
      <c r="KZY47" s="191"/>
      <c r="KZZ47" s="191"/>
      <c r="LAA47" s="191"/>
      <c r="LAB47" s="191"/>
      <c r="LAC47" s="191"/>
      <c r="LAD47" s="191"/>
      <c r="LAE47" s="191"/>
      <c r="LAF47" s="191"/>
      <c r="LAG47" s="191"/>
      <c r="LAH47" s="191"/>
      <c r="LAI47" s="191"/>
      <c r="LAJ47" s="191"/>
      <c r="LAK47" s="191"/>
      <c r="LAL47" s="191"/>
      <c r="LAM47" s="191"/>
      <c r="LAN47" s="191"/>
      <c r="LAO47" s="191"/>
      <c r="LAP47" s="191"/>
      <c r="LAQ47" s="191"/>
      <c r="LAR47" s="191"/>
      <c r="LAS47" s="191"/>
      <c r="LAT47" s="191"/>
      <c r="LAU47" s="191"/>
      <c r="LAV47" s="191"/>
      <c r="LAW47" s="191"/>
      <c r="LAX47" s="191"/>
      <c r="LAY47" s="191"/>
      <c r="LAZ47" s="191"/>
      <c r="LBA47" s="191"/>
      <c r="LBB47" s="191"/>
      <c r="LBC47" s="191"/>
      <c r="LBD47" s="191"/>
      <c r="LBE47" s="191"/>
      <c r="LBF47" s="191"/>
      <c r="LBG47" s="191"/>
      <c r="LBH47" s="191"/>
      <c r="LBI47" s="191"/>
      <c r="LBJ47" s="191"/>
      <c r="LBK47" s="191"/>
      <c r="LBL47" s="191"/>
      <c r="LBM47" s="191"/>
      <c r="LBN47" s="191"/>
      <c r="LBO47" s="191"/>
      <c r="LBP47" s="191"/>
      <c r="LBQ47" s="191"/>
      <c r="LBR47" s="191"/>
      <c r="LBS47" s="191"/>
      <c r="LBT47" s="191"/>
      <c r="LBU47" s="191"/>
      <c r="LBV47" s="191"/>
      <c r="LBW47" s="191"/>
      <c r="LBX47" s="191"/>
      <c r="LBY47" s="191"/>
      <c r="LBZ47" s="191"/>
      <c r="LCA47" s="191"/>
      <c r="LCB47" s="191"/>
      <c r="LCC47" s="191"/>
      <c r="LCD47" s="191"/>
      <c r="LCE47" s="191"/>
      <c r="LCF47" s="191"/>
      <c r="LCG47" s="191"/>
      <c r="LCH47" s="191"/>
      <c r="LCI47" s="191"/>
      <c r="LCJ47" s="191"/>
      <c r="LCK47" s="191"/>
      <c r="LCL47" s="191"/>
      <c r="LCM47" s="191"/>
      <c r="LCN47" s="191"/>
      <c r="LCO47" s="191"/>
      <c r="LCP47" s="191"/>
      <c r="LCQ47" s="191"/>
      <c r="LCR47" s="191"/>
      <c r="LCS47" s="191"/>
      <c r="LCT47" s="191"/>
      <c r="LCU47" s="191"/>
      <c r="LCV47" s="191"/>
      <c r="LCW47" s="191"/>
      <c r="LCX47" s="191"/>
      <c r="LCY47" s="191"/>
      <c r="LCZ47" s="191"/>
      <c r="LDA47" s="191"/>
      <c r="LDB47" s="191"/>
      <c r="LDC47" s="191"/>
      <c r="LDD47" s="191"/>
      <c r="LDE47" s="191"/>
      <c r="LDF47" s="191"/>
      <c r="LDG47" s="191"/>
      <c r="LDH47" s="191"/>
      <c r="LDI47" s="191"/>
      <c r="LDJ47" s="191"/>
      <c r="LDK47" s="191"/>
      <c r="LDL47" s="191"/>
      <c r="LDM47" s="191"/>
      <c r="LDN47" s="191"/>
      <c r="LDO47" s="191"/>
      <c r="LDP47" s="191"/>
      <c r="LDQ47" s="191"/>
      <c r="LDR47" s="191"/>
      <c r="LDS47" s="191"/>
      <c r="LDT47" s="191"/>
      <c r="LDU47" s="191"/>
      <c r="LDV47" s="191"/>
      <c r="LDW47" s="191"/>
      <c r="LDX47" s="191"/>
      <c r="LDY47" s="191"/>
      <c r="LDZ47" s="191"/>
      <c r="LEA47" s="191"/>
      <c r="LEB47" s="191"/>
      <c r="LEC47" s="191"/>
      <c r="LED47" s="191"/>
      <c r="LEE47" s="191"/>
      <c r="LEF47" s="191"/>
      <c r="LEG47" s="191"/>
      <c r="LEH47" s="191"/>
      <c r="LEI47" s="191"/>
      <c r="LEJ47" s="191"/>
      <c r="LEK47" s="191"/>
      <c r="LEL47" s="191"/>
      <c r="LEM47" s="191"/>
      <c r="LEN47" s="191"/>
      <c r="LEO47" s="191"/>
      <c r="LEP47" s="191"/>
      <c r="LEQ47" s="191"/>
      <c r="LER47" s="191"/>
      <c r="LES47" s="191"/>
      <c r="LET47" s="191"/>
      <c r="LEU47" s="191"/>
      <c r="LEV47" s="191"/>
      <c r="LEW47" s="191"/>
      <c r="LEX47" s="191"/>
      <c r="LEY47" s="191"/>
      <c r="LEZ47" s="191"/>
      <c r="LFA47" s="191"/>
      <c r="LFB47" s="191"/>
      <c r="LFC47" s="191"/>
      <c r="LFD47" s="191"/>
      <c r="LFE47" s="191"/>
      <c r="LFF47" s="191"/>
      <c r="LFG47" s="191"/>
      <c r="LFH47" s="191"/>
      <c r="LFI47" s="191"/>
      <c r="LFJ47" s="191"/>
      <c r="LFK47" s="191"/>
      <c r="LFL47" s="191"/>
      <c r="LFM47" s="191"/>
      <c r="LFN47" s="191"/>
      <c r="LFO47" s="191"/>
      <c r="LFP47" s="191"/>
      <c r="LFQ47" s="191"/>
      <c r="LFR47" s="191"/>
      <c r="LFS47" s="191"/>
      <c r="LFT47" s="191"/>
      <c r="LFU47" s="191"/>
      <c r="LFV47" s="191"/>
      <c r="LFW47" s="191"/>
      <c r="LFX47" s="191"/>
      <c r="LFY47" s="191"/>
      <c r="LFZ47" s="191"/>
      <c r="LGA47" s="191"/>
      <c r="LGB47" s="191"/>
      <c r="LGC47" s="191"/>
      <c r="LGD47" s="191"/>
      <c r="LGE47" s="191"/>
      <c r="LGF47" s="191"/>
      <c r="LGG47" s="191"/>
      <c r="LGH47" s="191"/>
      <c r="LGI47" s="191"/>
      <c r="LGJ47" s="191"/>
      <c r="LGK47" s="191"/>
      <c r="LGL47" s="191"/>
      <c r="LGM47" s="191"/>
      <c r="LGN47" s="191"/>
      <c r="LGO47" s="191"/>
      <c r="LGP47" s="191"/>
      <c r="LGQ47" s="191"/>
      <c r="LGR47" s="191"/>
      <c r="LGS47" s="191"/>
      <c r="LGT47" s="191"/>
      <c r="LGU47" s="191"/>
      <c r="LGV47" s="191"/>
      <c r="LGW47" s="191"/>
      <c r="LGX47" s="191"/>
      <c r="LGY47" s="191"/>
      <c r="LGZ47" s="191"/>
      <c r="LHA47" s="191"/>
      <c r="LHB47" s="191"/>
      <c r="LHC47" s="191"/>
      <c r="LHD47" s="191"/>
      <c r="LHE47" s="191"/>
      <c r="LHF47" s="191"/>
      <c r="LHG47" s="191"/>
      <c r="LHH47" s="191"/>
      <c r="LHI47" s="191"/>
      <c r="LHJ47" s="191"/>
      <c r="LHK47" s="191"/>
      <c r="LHL47" s="191"/>
      <c r="LHM47" s="191"/>
      <c r="LHN47" s="191"/>
      <c r="LHO47" s="191"/>
      <c r="LHP47" s="191"/>
      <c r="LHQ47" s="191"/>
      <c r="LHR47" s="191"/>
      <c r="LHS47" s="191"/>
      <c r="LHT47" s="191"/>
      <c r="LHU47" s="191"/>
      <c r="LHV47" s="191"/>
      <c r="LHW47" s="191"/>
      <c r="LHX47" s="191"/>
      <c r="LHY47" s="191"/>
      <c r="LHZ47" s="191"/>
      <c r="LIA47" s="191"/>
      <c r="LIB47" s="191"/>
      <c r="LIC47" s="191"/>
      <c r="LID47" s="191"/>
      <c r="LIE47" s="191"/>
      <c r="LIF47" s="191"/>
      <c r="LIG47" s="191"/>
      <c r="LIH47" s="191"/>
      <c r="LII47" s="191"/>
      <c r="LIJ47" s="191"/>
      <c r="LIK47" s="191"/>
      <c r="LIL47" s="191"/>
      <c r="LIM47" s="191"/>
      <c r="LIN47" s="191"/>
      <c r="LIO47" s="191"/>
      <c r="LIP47" s="191"/>
      <c r="LIQ47" s="191"/>
      <c r="LIR47" s="191"/>
      <c r="LIS47" s="191"/>
      <c r="LIT47" s="191"/>
      <c r="LIU47" s="191"/>
      <c r="LIV47" s="191"/>
      <c r="LIW47" s="191"/>
      <c r="LIX47" s="191"/>
      <c r="LIY47" s="191"/>
      <c r="LIZ47" s="191"/>
      <c r="LJA47" s="191"/>
      <c r="LJB47" s="191"/>
      <c r="LJC47" s="191"/>
      <c r="LJD47" s="191"/>
      <c r="LJE47" s="191"/>
      <c r="LJF47" s="191"/>
      <c r="LJG47" s="191"/>
      <c r="LJH47" s="191"/>
      <c r="LJI47" s="191"/>
      <c r="LJJ47" s="191"/>
      <c r="LJK47" s="191"/>
      <c r="LJL47" s="191"/>
      <c r="LJM47" s="191"/>
      <c r="LJN47" s="191"/>
      <c r="LJO47" s="191"/>
      <c r="LJP47" s="191"/>
      <c r="LJQ47" s="191"/>
      <c r="LJR47" s="191"/>
      <c r="LJS47" s="191"/>
      <c r="LJT47" s="191"/>
      <c r="LJU47" s="191"/>
      <c r="LJV47" s="191"/>
      <c r="LJW47" s="191"/>
      <c r="LJX47" s="191"/>
      <c r="LJY47" s="191"/>
      <c r="LJZ47" s="191"/>
      <c r="LKA47" s="191"/>
      <c r="LKB47" s="191"/>
      <c r="LKC47" s="191"/>
      <c r="LKD47" s="191"/>
      <c r="LKE47" s="191"/>
      <c r="LKF47" s="191"/>
      <c r="LKG47" s="191"/>
      <c r="LKH47" s="191"/>
      <c r="LKI47" s="191"/>
      <c r="LKJ47" s="191"/>
      <c r="LKK47" s="191"/>
      <c r="LKL47" s="191"/>
      <c r="LKM47" s="191"/>
      <c r="LKN47" s="191"/>
      <c r="LKO47" s="191"/>
      <c r="LKP47" s="191"/>
      <c r="LKQ47" s="191"/>
      <c r="LKR47" s="191"/>
      <c r="LKS47" s="191"/>
      <c r="LKT47" s="191"/>
      <c r="LKU47" s="191"/>
      <c r="LKV47" s="191"/>
      <c r="LKW47" s="191"/>
      <c r="LKX47" s="191"/>
      <c r="LKY47" s="191"/>
      <c r="LKZ47" s="191"/>
      <c r="LLA47" s="191"/>
      <c r="LLB47" s="191"/>
      <c r="LLC47" s="191"/>
      <c r="LLD47" s="191"/>
      <c r="LLE47" s="191"/>
      <c r="LLF47" s="191"/>
      <c r="LLG47" s="191"/>
      <c r="LLH47" s="191"/>
      <c r="LLI47" s="191"/>
      <c r="LLJ47" s="191"/>
      <c r="LLK47" s="191"/>
      <c r="LLL47" s="191"/>
      <c r="LLM47" s="191"/>
      <c r="LLN47" s="191"/>
      <c r="LLO47" s="191"/>
      <c r="LLP47" s="191"/>
      <c r="LLQ47" s="191"/>
      <c r="LLR47" s="191"/>
      <c r="LLS47" s="191"/>
      <c r="LLT47" s="191"/>
      <c r="LLU47" s="191"/>
      <c r="LLV47" s="191"/>
      <c r="LLW47" s="191"/>
      <c r="LLX47" s="191"/>
      <c r="LLY47" s="191"/>
      <c r="LLZ47" s="191"/>
      <c r="LMA47" s="191"/>
      <c r="LMB47" s="191"/>
      <c r="LMC47" s="191"/>
      <c r="LMD47" s="191"/>
      <c r="LME47" s="191"/>
      <c r="LMF47" s="191"/>
      <c r="LMG47" s="191"/>
      <c r="LMH47" s="191"/>
      <c r="LMI47" s="191"/>
      <c r="LMJ47" s="191"/>
      <c r="LMK47" s="191"/>
      <c r="LML47" s="191"/>
      <c r="LMM47" s="191"/>
      <c r="LMN47" s="191"/>
      <c r="LMO47" s="191"/>
      <c r="LMP47" s="191"/>
      <c r="LMQ47" s="191"/>
      <c r="LMR47" s="191"/>
      <c r="LMS47" s="191"/>
      <c r="LMT47" s="191"/>
      <c r="LMU47" s="191"/>
      <c r="LMV47" s="191"/>
      <c r="LMW47" s="191"/>
      <c r="LMX47" s="191"/>
      <c r="LMY47" s="191"/>
      <c r="LMZ47" s="191"/>
      <c r="LNA47" s="191"/>
      <c r="LNB47" s="191"/>
      <c r="LNC47" s="191"/>
      <c r="LND47" s="191"/>
      <c r="LNE47" s="191"/>
      <c r="LNF47" s="191"/>
      <c r="LNG47" s="191"/>
      <c r="LNH47" s="191"/>
      <c r="LNI47" s="191"/>
      <c r="LNJ47" s="191"/>
      <c r="LNK47" s="191"/>
      <c r="LNL47" s="191"/>
      <c r="LNM47" s="191"/>
      <c r="LNN47" s="191"/>
      <c r="LNO47" s="191"/>
      <c r="LNP47" s="191"/>
      <c r="LNQ47" s="191"/>
      <c r="LNR47" s="191"/>
      <c r="LNS47" s="191"/>
      <c r="LNT47" s="191"/>
      <c r="LNU47" s="191"/>
      <c r="LNV47" s="191"/>
      <c r="LNW47" s="191"/>
      <c r="LNX47" s="191"/>
      <c r="LNY47" s="191"/>
      <c r="LNZ47" s="191"/>
      <c r="LOA47" s="191"/>
      <c r="LOB47" s="191"/>
      <c r="LOC47" s="191"/>
      <c r="LOD47" s="191"/>
      <c r="LOE47" s="191"/>
      <c r="LOF47" s="191"/>
      <c r="LOG47" s="191"/>
      <c r="LOH47" s="191"/>
      <c r="LOI47" s="191"/>
      <c r="LOJ47" s="191"/>
      <c r="LOK47" s="191"/>
      <c r="LOL47" s="191"/>
      <c r="LOM47" s="191"/>
      <c r="LON47" s="191"/>
      <c r="LOO47" s="191"/>
      <c r="LOP47" s="191"/>
      <c r="LOQ47" s="191"/>
      <c r="LOR47" s="191"/>
      <c r="LOS47" s="191"/>
      <c r="LOT47" s="191"/>
      <c r="LOU47" s="191"/>
      <c r="LOV47" s="191"/>
      <c r="LOW47" s="191"/>
      <c r="LOX47" s="191"/>
      <c r="LOY47" s="191"/>
      <c r="LOZ47" s="191"/>
      <c r="LPA47" s="191"/>
      <c r="LPB47" s="191"/>
      <c r="LPC47" s="191"/>
      <c r="LPD47" s="191"/>
      <c r="LPE47" s="191"/>
      <c r="LPF47" s="191"/>
      <c r="LPG47" s="191"/>
      <c r="LPH47" s="191"/>
      <c r="LPI47" s="191"/>
      <c r="LPJ47" s="191"/>
      <c r="LPK47" s="191"/>
      <c r="LPL47" s="191"/>
      <c r="LPM47" s="191"/>
      <c r="LPN47" s="191"/>
      <c r="LPO47" s="191"/>
      <c r="LPP47" s="191"/>
      <c r="LPQ47" s="191"/>
      <c r="LPR47" s="191"/>
      <c r="LPS47" s="191"/>
      <c r="LPT47" s="191"/>
      <c r="LPU47" s="191"/>
      <c r="LPV47" s="191"/>
      <c r="LPW47" s="191"/>
      <c r="LPX47" s="191"/>
      <c r="LPY47" s="191"/>
      <c r="LPZ47" s="191"/>
      <c r="LQA47" s="191"/>
      <c r="LQB47" s="191"/>
      <c r="LQC47" s="191"/>
      <c r="LQD47" s="191"/>
      <c r="LQE47" s="191"/>
      <c r="LQF47" s="191"/>
      <c r="LQG47" s="191"/>
      <c r="LQH47" s="191"/>
      <c r="LQI47" s="191"/>
      <c r="LQJ47" s="191"/>
      <c r="LQK47" s="191"/>
      <c r="LQL47" s="191"/>
      <c r="LQM47" s="191"/>
      <c r="LQN47" s="191"/>
      <c r="LQO47" s="191"/>
      <c r="LQP47" s="191"/>
      <c r="LQQ47" s="191"/>
      <c r="LQR47" s="191"/>
      <c r="LQS47" s="191"/>
      <c r="LQT47" s="191"/>
      <c r="LQU47" s="191"/>
      <c r="LQV47" s="191"/>
      <c r="LQW47" s="191"/>
      <c r="LQX47" s="191"/>
      <c r="LQY47" s="191"/>
      <c r="LQZ47" s="191"/>
      <c r="LRA47" s="191"/>
      <c r="LRB47" s="191"/>
      <c r="LRC47" s="191"/>
      <c r="LRD47" s="191"/>
      <c r="LRE47" s="191"/>
      <c r="LRF47" s="191"/>
      <c r="LRG47" s="191"/>
      <c r="LRH47" s="191"/>
      <c r="LRI47" s="191"/>
      <c r="LRJ47" s="191"/>
      <c r="LRK47" s="191"/>
      <c r="LRL47" s="191"/>
      <c r="LRM47" s="191"/>
      <c r="LRN47" s="191"/>
      <c r="LRO47" s="191"/>
      <c r="LRP47" s="191"/>
      <c r="LRQ47" s="191"/>
      <c r="LRR47" s="191"/>
      <c r="LRS47" s="191"/>
      <c r="LRT47" s="191"/>
      <c r="LRU47" s="191"/>
      <c r="LRV47" s="191"/>
      <c r="LRW47" s="191"/>
      <c r="LRX47" s="191"/>
      <c r="LRY47" s="191"/>
      <c r="LRZ47" s="191"/>
      <c r="LSA47" s="191"/>
      <c r="LSB47" s="191"/>
      <c r="LSC47" s="191"/>
      <c r="LSD47" s="191"/>
      <c r="LSE47" s="191"/>
      <c r="LSF47" s="191"/>
      <c r="LSG47" s="191"/>
      <c r="LSH47" s="191"/>
      <c r="LSI47" s="191"/>
      <c r="LSJ47" s="191"/>
      <c r="LSK47" s="191"/>
      <c r="LSL47" s="191"/>
      <c r="LSM47" s="191"/>
      <c r="LSN47" s="191"/>
      <c r="LSO47" s="191"/>
      <c r="LSP47" s="191"/>
      <c r="LSQ47" s="191"/>
      <c r="LSR47" s="191"/>
      <c r="LSS47" s="191"/>
      <c r="LST47" s="191"/>
      <c r="LSU47" s="191"/>
      <c r="LSV47" s="191"/>
      <c r="LSW47" s="191"/>
      <c r="LSX47" s="191"/>
      <c r="LSY47" s="191"/>
      <c r="LSZ47" s="191"/>
      <c r="LTA47" s="191"/>
      <c r="LTB47" s="191"/>
      <c r="LTC47" s="191"/>
      <c r="LTD47" s="191"/>
      <c r="LTE47" s="191"/>
      <c r="LTF47" s="191"/>
      <c r="LTG47" s="191"/>
      <c r="LTH47" s="191"/>
      <c r="LTI47" s="191"/>
      <c r="LTJ47" s="191"/>
      <c r="LTK47" s="191"/>
      <c r="LTL47" s="191"/>
      <c r="LTM47" s="191"/>
      <c r="LTN47" s="191"/>
      <c r="LTO47" s="191"/>
      <c r="LTP47" s="191"/>
      <c r="LTQ47" s="191"/>
      <c r="LTR47" s="191"/>
      <c r="LTS47" s="191"/>
      <c r="LTT47" s="191"/>
      <c r="LTU47" s="191"/>
      <c r="LTV47" s="191"/>
      <c r="LTW47" s="191"/>
      <c r="LTX47" s="191"/>
      <c r="LTY47" s="191"/>
      <c r="LTZ47" s="191"/>
      <c r="LUA47" s="191"/>
      <c r="LUB47" s="191"/>
      <c r="LUC47" s="191"/>
      <c r="LUD47" s="191"/>
      <c r="LUE47" s="191"/>
      <c r="LUF47" s="191"/>
      <c r="LUG47" s="191"/>
      <c r="LUH47" s="191"/>
      <c r="LUI47" s="191"/>
      <c r="LUJ47" s="191"/>
      <c r="LUK47" s="191"/>
      <c r="LUL47" s="191"/>
      <c r="LUM47" s="191"/>
      <c r="LUN47" s="191"/>
      <c r="LUO47" s="191"/>
      <c r="LUP47" s="191"/>
      <c r="LUQ47" s="191"/>
      <c r="LUR47" s="191"/>
      <c r="LUS47" s="191"/>
      <c r="LUT47" s="191"/>
      <c r="LUU47" s="191"/>
      <c r="LUV47" s="191"/>
      <c r="LUW47" s="191"/>
      <c r="LUX47" s="191"/>
      <c r="LUY47" s="191"/>
      <c r="LUZ47" s="191"/>
      <c r="LVA47" s="191"/>
      <c r="LVB47" s="191"/>
      <c r="LVC47" s="191"/>
      <c r="LVD47" s="191"/>
      <c r="LVE47" s="191"/>
      <c r="LVF47" s="191"/>
      <c r="LVG47" s="191"/>
      <c r="LVH47" s="191"/>
      <c r="LVI47" s="191"/>
      <c r="LVJ47" s="191"/>
      <c r="LVK47" s="191"/>
      <c r="LVL47" s="191"/>
      <c r="LVM47" s="191"/>
      <c r="LVN47" s="191"/>
      <c r="LVO47" s="191"/>
      <c r="LVP47" s="191"/>
      <c r="LVQ47" s="191"/>
      <c r="LVR47" s="191"/>
      <c r="LVS47" s="191"/>
      <c r="LVT47" s="191"/>
      <c r="LVU47" s="191"/>
      <c r="LVV47" s="191"/>
      <c r="LVW47" s="191"/>
      <c r="LVX47" s="191"/>
      <c r="LVY47" s="191"/>
      <c r="LVZ47" s="191"/>
      <c r="LWA47" s="191"/>
      <c r="LWB47" s="191"/>
      <c r="LWC47" s="191"/>
      <c r="LWD47" s="191"/>
      <c r="LWE47" s="191"/>
      <c r="LWF47" s="191"/>
      <c r="LWG47" s="191"/>
      <c r="LWH47" s="191"/>
      <c r="LWI47" s="191"/>
      <c r="LWJ47" s="191"/>
      <c r="LWK47" s="191"/>
      <c r="LWL47" s="191"/>
      <c r="LWM47" s="191"/>
      <c r="LWN47" s="191"/>
      <c r="LWO47" s="191"/>
      <c r="LWP47" s="191"/>
      <c r="LWQ47" s="191"/>
      <c r="LWR47" s="191"/>
      <c r="LWS47" s="191"/>
      <c r="LWT47" s="191"/>
      <c r="LWU47" s="191"/>
      <c r="LWV47" s="191"/>
      <c r="LWW47" s="191"/>
      <c r="LWX47" s="191"/>
      <c r="LWY47" s="191"/>
      <c r="LWZ47" s="191"/>
      <c r="LXA47" s="191"/>
      <c r="LXB47" s="191"/>
      <c r="LXC47" s="191"/>
      <c r="LXD47" s="191"/>
      <c r="LXE47" s="191"/>
      <c r="LXF47" s="191"/>
      <c r="LXG47" s="191"/>
      <c r="LXH47" s="191"/>
      <c r="LXI47" s="191"/>
      <c r="LXJ47" s="191"/>
      <c r="LXK47" s="191"/>
      <c r="LXL47" s="191"/>
      <c r="LXM47" s="191"/>
      <c r="LXN47" s="191"/>
      <c r="LXO47" s="191"/>
      <c r="LXP47" s="191"/>
      <c r="LXQ47" s="191"/>
      <c r="LXR47" s="191"/>
      <c r="LXS47" s="191"/>
      <c r="LXT47" s="191"/>
      <c r="LXU47" s="191"/>
      <c r="LXV47" s="191"/>
      <c r="LXW47" s="191"/>
      <c r="LXX47" s="191"/>
      <c r="LXY47" s="191"/>
      <c r="LXZ47" s="191"/>
      <c r="LYA47" s="191"/>
      <c r="LYB47" s="191"/>
      <c r="LYC47" s="191"/>
      <c r="LYD47" s="191"/>
      <c r="LYE47" s="191"/>
      <c r="LYF47" s="191"/>
      <c r="LYG47" s="191"/>
      <c r="LYH47" s="191"/>
      <c r="LYI47" s="191"/>
      <c r="LYJ47" s="191"/>
      <c r="LYK47" s="191"/>
      <c r="LYL47" s="191"/>
      <c r="LYM47" s="191"/>
      <c r="LYN47" s="191"/>
      <c r="LYO47" s="191"/>
      <c r="LYP47" s="191"/>
      <c r="LYQ47" s="191"/>
      <c r="LYR47" s="191"/>
      <c r="LYS47" s="191"/>
      <c r="LYT47" s="191"/>
      <c r="LYU47" s="191"/>
      <c r="LYV47" s="191"/>
      <c r="LYW47" s="191"/>
      <c r="LYX47" s="191"/>
      <c r="LYY47" s="191"/>
      <c r="LYZ47" s="191"/>
      <c r="LZA47" s="191"/>
      <c r="LZB47" s="191"/>
      <c r="LZC47" s="191"/>
      <c r="LZD47" s="191"/>
      <c r="LZE47" s="191"/>
      <c r="LZF47" s="191"/>
      <c r="LZG47" s="191"/>
      <c r="LZH47" s="191"/>
      <c r="LZI47" s="191"/>
      <c r="LZJ47" s="191"/>
      <c r="LZK47" s="191"/>
      <c r="LZL47" s="191"/>
      <c r="LZM47" s="191"/>
      <c r="LZN47" s="191"/>
      <c r="LZO47" s="191"/>
      <c r="LZP47" s="191"/>
      <c r="LZQ47" s="191"/>
      <c r="LZR47" s="191"/>
      <c r="LZS47" s="191"/>
      <c r="LZT47" s="191"/>
      <c r="LZU47" s="191"/>
      <c r="LZV47" s="191"/>
      <c r="LZW47" s="191"/>
      <c r="LZX47" s="191"/>
      <c r="LZY47" s="191"/>
      <c r="LZZ47" s="191"/>
      <c r="MAA47" s="191"/>
      <c r="MAB47" s="191"/>
      <c r="MAC47" s="191"/>
      <c r="MAD47" s="191"/>
      <c r="MAE47" s="191"/>
      <c r="MAF47" s="191"/>
      <c r="MAG47" s="191"/>
      <c r="MAH47" s="191"/>
      <c r="MAI47" s="191"/>
      <c r="MAJ47" s="191"/>
      <c r="MAK47" s="191"/>
      <c r="MAL47" s="191"/>
      <c r="MAM47" s="191"/>
      <c r="MAN47" s="191"/>
      <c r="MAO47" s="191"/>
      <c r="MAP47" s="191"/>
      <c r="MAQ47" s="191"/>
      <c r="MAR47" s="191"/>
      <c r="MAS47" s="191"/>
      <c r="MAT47" s="191"/>
      <c r="MAU47" s="191"/>
      <c r="MAV47" s="191"/>
      <c r="MAW47" s="191"/>
      <c r="MAX47" s="191"/>
      <c r="MAY47" s="191"/>
      <c r="MAZ47" s="191"/>
      <c r="MBA47" s="191"/>
      <c r="MBB47" s="191"/>
      <c r="MBC47" s="191"/>
      <c r="MBD47" s="191"/>
      <c r="MBE47" s="191"/>
      <c r="MBF47" s="191"/>
      <c r="MBG47" s="191"/>
      <c r="MBH47" s="191"/>
      <c r="MBI47" s="191"/>
      <c r="MBJ47" s="191"/>
      <c r="MBK47" s="191"/>
      <c r="MBL47" s="191"/>
      <c r="MBM47" s="191"/>
      <c r="MBN47" s="191"/>
      <c r="MBO47" s="191"/>
      <c r="MBP47" s="191"/>
      <c r="MBQ47" s="191"/>
      <c r="MBR47" s="191"/>
      <c r="MBS47" s="191"/>
      <c r="MBT47" s="191"/>
      <c r="MBU47" s="191"/>
      <c r="MBV47" s="191"/>
      <c r="MBW47" s="191"/>
      <c r="MBX47" s="191"/>
      <c r="MBY47" s="191"/>
      <c r="MBZ47" s="191"/>
      <c r="MCA47" s="191"/>
      <c r="MCB47" s="191"/>
      <c r="MCC47" s="191"/>
      <c r="MCD47" s="191"/>
      <c r="MCE47" s="191"/>
      <c r="MCF47" s="191"/>
      <c r="MCG47" s="191"/>
      <c r="MCH47" s="191"/>
      <c r="MCI47" s="191"/>
      <c r="MCJ47" s="191"/>
      <c r="MCK47" s="191"/>
      <c r="MCL47" s="191"/>
      <c r="MCM47" s="191"/>
      <c r="MCN47" s="191"/>
      <c r="MCO47" s="191"/>
      <c r="MCP47" s="191"/>
      <c r="MCQ47" s="191"/>
      <c r="MCR47" s="191"/>
      <c r="MCS47" s="191"/>
      <c r="MCT47" s="191"/>
      <c r="MCU47" s="191"/>
      <c r="MCV47" s="191"/>
      <c r="MCW47" s="191"/>
      <c r="MCX47" s="191"/>
      <c r="MCY47" s="191"/>
      <c r="MCZ47" s="191"/>
      <c r="MDA47" s="191"/>
      <c r="MDB47" s="191"/>
      <c r="MDC47" s="191"/>
      <c r="MDD47" s="191"/>
      <c r="MDE47" s="191"/>
      <c r="MDF47" s="191"/>
      <c r="MDG47" s="191"/>
      <c r="MDH47" s="191"/>
      <c r="MDI47" s="191"/>
      <c r="MDJ47" s="191"/>
      <c r="MDK47" s="191"/>
      <c r="MDL47" s="191"/>
      <c r="MDM47" s="191"/>
      <c r="MDN47" s="191"/>
      <c r="MDO47" s="191"/>
      <c r="MDP47" s="191"/>
      <c r="MDQ47" s="191"/>
      <c r="MDR47" s="191"/>
      <c r="MDS47" s="191"/>
      <c r="MDT47" s="191"/>
      <c r="MDU47" s="191"/>
      <c r="MDV47" s="191"/>
      <c r="MDW47" s="191"/>
      <c r="MDX47" s="191"/>
      <c r="MDY47" s="191"/>
      <c r="MDZ47" s="191"/>
      <c r="MEA47" s="191"/>
      <c r="MEB47" s="191"/>
      <c r="MEC47" s="191"/>
      <c r="MED47" s="191"/>
      <c r="MEE47" s="191"/>
      <c r="MEF47" s="191"/>
      <c r="MEG47" s="191"/>
      <c r="MEH47" s="191"/>
      <c r="MEI47" s="191"/>
      <c r="MEJ47" s="191"/>
      <c r="MEK47" s="191"/>
      <c r="MEL47" s="191"/>
      <c r="MEM47" s="191"/>
      <c r="MEN47" s="191"/>
      <c r="MEO47" s="191"/>
      <c r="MEP47" s="191"/>
      <c r="MEQ47" s="191"/>
      <c r="MER47" s="191"/>
      <c r="MES47" s="191"/>
      <c r="MET47" s="191"/>
      <c r="MEU47" s="191"/>
      <c r="MEV47" s="191"/>
      <c r="MEW47" s="191"/>
      <c r="MEX47" s="191"/>
      <c r="MEY47" s="191"/>
      <c r="MEZ47" s="191"/>
      <c r="MFA47" s="191"/>
      <c r="MFB47" s="191"/>
      <c r="MFC47" s="191"/>
      <c r="MFD47" s="191"/>
      <c r="MFE47" s="191"/>
      <c r="MFF47" s="191"/>
      <c r="MFG47" s="191"/>
      <c r="MFH47" s="191"/>
      <c r="MFI47" s="191"/>
      <c r="MFJ47" s="191"/>
      <c r="MFK47" s="191"/>
      <c r="MFL47" s="191"/>
      <c r="MFM47" s="191"/>
      <c r="MFN47" s="191"/>
      <c r="MFO47" s="191"/>
      <c r="MFP47" s="191"/>
      <c r="MFQ47" s="191"/>
      <c r="MFR47" s="191"/>
      <c r="MFS47" s="191"/>
      <c r="MFT47" s="191"/>
      <c r="MFU47" s="191"/>
      <c r="MFV47" s="191"/>
      <c r="MFW47" s="191"/>
      <c r="MFX47" s="191"/>
      <c r="MFY47" s="191"/>
      <c r="MFZ47" s="191"/>
      <c r="MGA47" s="191"/>
      <c r="MGB47" s="191"/>
      <c r="MGC47" s="191"/>
      <c r="MGD47" s="191"/>
      <c r="MGE47" s="191"/>
      <c r="MGF47" s="191"/>
      <c r="MGG47" s="191"/>
      <c r="MGH47" s="191"/>
      <c r="MGI47" s="191"/>
      <c r="MGJ47" s="191"/>
      <c r="MGK47" s="191"/>
      <c r="MGL47" s="191"/>
      <c r="MGM47" s="191"/>
      <c r="MGN47" s="191"/>
      <c r="MGO47" s="191"/>
      <c r="MGP47" s="191"/>
      <c r="MGQ47" s="191"/>
      <c r="MGR47" s="191"/>
      <c r="MGS47" s="191"/>
      <c r="MGT47" s="191"/>
      <c r="MGU47" s="191"/>
      <c r="MGV47" s="191"/>
      <c r="MGW47" s="191"/>
      <c r="MGX47" s="191"/>
      <c r="MGY47" s="191"/>
      <c r="MGZ47" s="191"/>
      <c r="MHA47" s="191"/>
      <c r="MHB47" s="191"/>
      <c r="MHC47" s="191"/>
      <c r="MHD47" s="191"/>
      <c r="MHE47" s="191"/>
      <c r="MHF47" s="191"/>
      <c r="MHG47" s="191"/>
      <c r="MHH47" s="191"/>
      <c r="MHI47" s="191"/>
      <c r="MHJ47" s="191"/>
      <c r="MHK47" s="191"/>
      <c r="MHL47" s="191"/>
      <c r="MHM47" s="191"/>
      <c r="MHN47" s="191"/>
      <c r="MHO47" s="191"/>
      <c r="MHP47" s="191"/>
      <c r="MHQ47" s="191"/>
      <c r="MHR47" s="191"/>
      <c r="MHS47" s="191"/>
      <c r="MHT47" s="191"/>
      <c r="MHU47" s="191"/>
      <c r="MHV47" s="191"/>
      <c r="MHW47" s="191"/>
      <c r="MHX47" s="191"/>
      <c r="MHY47" s="191"/>
      <c r="MHZ47" s="191"/>
      <c r="MIA47" s="191"/>
      <c r="MIB47" s="191"/>
      <c r="MIC47" s="191"/>
      <c r="MID47" s="191"/>
      <c r="MIE47" s="191"/>
      <c r="MIF47" s="191"/>
      <c r="MIG47" s="191"/>
      <c r="MIH47" s="191"/>
      <c r="MII47" s="191"/>
      <c r="MIJ47" s="191"/>
      <c r="MIK47" s="191"/>
      <c r="MIL47" s="191"/>
      <c r="MIM47" s="191"/>
      <c r="MIN47" s="191"/>
      <c r="MIO47" s="191"/>
      <c r="MIP47" s="191"/>
      <c r="MIQ47" s="191"/>
      <c r="MIR47" s="191"/>
      <c r="MIS47" s="191"/>
      <c r="MIT47" s="191"/>
      <c r="MIU47" s="191"/>
      <c r="MIV47" s="191"/>
      <c r="MIW47" s="191"/>
      <c r="MIX47" s="191"/>
      <c r="MIY47" s="191"/>
      <c r="MIZ47" s="191"/>
      <c r="MJA47" s="191"/>
      <c r="MJB47" s="191"/>
      <c r="MJC47" s="191"/>
      <c r="MJD47" s="191"/>
      <c r="MJE47" s="191"/>
      <c r="MJF47" s="191"/>
      <c r="MJG47" s="191"/>
      <c r="MJH47" s="191"/>
      <c r="MJI47" s="191"/>
      <c r="MJJ47" s="191"/>
      <c r="MJK47" s="191"/>
      <c r="MJL47" s="191"/>
      <c r="MJM47" s="191"/>
      <c r="MJN47" s="191"/>
      <c r="MJO47" s="191"/>
      <c r="MJP47" s="191"/>
      <c r="MJQ47" s="191"/>
      <c r="MJR47" s="191"/>
      <c r="MJS47" s="191"/>
      <c r="MJT47" s="191"/>
      <c r="MJU47" s="191"/>
      <c r="MJV47" s="191"/>
      <c r="MJW47" s="191"/>
      <c r="MJX47" s="191"/>
      <c r="MJY47" s="191"/>
      <c r="MJZ47" s="191"/>
      <c r="MKA47" s="191"/>
      <c r="MKB47" s="191"/>
      <c r="MKC47" s="191"/>
      <c r="MKD47" s="191"/>
      <c r="MKE47" s="191"/>
      <c r="MKF47" s="191"/>
      <c r="MKG47" s="191"/>
      <c r="MKH47" s="191"/>
      <c r="MKI47" s="191"/>
      <c r="MKJ47" s="191"/>
      <c r="MKK47" s="191"/>
      <c r="MKL47" s="191"/>
      <c r="MKM47" s="191"/>
      <c r="MKN47" s="191"/>
      <c r="MKO47" s="191"/>
      <c r="MKP47" s="191"/>
      <c r="MKQ47" s="191"/>
      <c r="MKR47" s="191"/>
      <c r="MKS47" s="191"/>
      <c r="MKT47" s="191"/>
      <c r="MKU47" s="191"/>
      <c r="MKV47" s="191"/>
      <c r="MKW47" s="191"/>
      <c r="MKX47" s="191"/>
      <c r="MKY47" s="191"/>
      <c r="MKZ47" s="191"/>
      <c r="MLA47" s="191"/>
      <c r="MLB47" s="191"/>
      <c r="MLC47" s="191"/>
      <c r="MLD47" s="191"/>
      <c r="MLE47" s="191"/>
      <c r="MLF47" s="191"/>
      <c r="MLG47" s="191"/>
      <c r="MLH47" s="191"/>
      <c r="MLI47" s="191"/>
      <c r="MLJ47" s="191"/>
      <c r="MLK47" s="191"/>
      <c r="MLL47" s="191"/>
      <c r="MLM47" s="191"/>
      <c r="MLN47" s="191"/>
      <c r="MLO47" s="191"/>
      <c r="MLP47" s="191"/>
      <c r="MLQ47" s="191"/>
      <c r="MLR47" s="191"/>
      <c r="MLS47" s="191"/>
      <c r="MLT47" s="191"/>
      <c r="MLU47" s="191"/>
      <c r="MLV47" s="191"/>
      <c r="MLW47" s="191"/>
      <c r="MLX47" s="191"/>
      <c r="MLY47" s="191"/>
      <c r="MLZ47" s="191"/>
      <c r="MMA47" s="191"/>
      <c r="MMB47" s="191"/>
      <c r="MMC47" s="191"/>
      <c r="MMD47" s="191"/>
      <c r="MME47" s="191"/>
      <c r="MMF47" s="191"/>
      <c r="MMG47" s="191"/>
      <c r="MMH47" s="191"/>
      <c r="MMI47" s="191"/>
      <c r="MMJ47" s="191"/>
      <c r="MMK47" s="191"/>
      <c r="MML47" s="191"/>
      <c r="MMM47" s="191"/>
      <c r="MMN47" s="191"/>
      <c r="MMO47" s="191"/>
      <c r="MMP47" s="191"/>
      <c r="MMQ47" s="191"/>
      <c r="MMR47" s="191"/>
      <c r="MMS47" s="191"/>
      <c r="MMT47" s="191"/>
      <c r="MMU47" s="191"/>
      <c r="MMV47" s="191"/>
      <c r="MMW47" s="191"/>
      <c r="MMX47" s="191"/>
      <c r="MMY47" s="191"/>
      <c r="MMZ47" s="191"/>
      <c r="MNA47" s="191"/>
      <c r="MNB47" s="191"/>
      <c r="MNC47" s="191"/>
      <c r="MND47" s="191"/>
      <c r="MNE47" s="191"/>
      <c r="MNF47" s="191"/>
      <c r="MNG47" s="191"/>
      <c r="MNH47" s="191"/>
      <c r="MNI47" s="191"/>
      <c r="MNJ47" s="191"/>
      <c r="MNK47" s="191"/>
      <c r="MNL47" s="191"/>
      <c r="MNM47" s="191"/>
      <c r="MNN47" s="191"/>
      <c r="MNO47" s="191"/>
      <c r="MNP47" s="191"/>
      <c r="MNQ47" s="191"/>
      <c r="MNR47" s="191"/>
      <c r="MNS47" s="191"/>
      <c r="MNT47" s="191"/>
      <c r="MNU47" s="191"/>
      <c r="MNV47" s="191"/>
      <c r="MNW47" s="191"/>
      <c r="MNX47" s="191"/>
      <c r="MNY47" s="191"/>
      <c r="MNZ47" s="191"/>
      <c r="MOA47" s="191"/>
      <c r="MOB47" s="191"/>
      <c r="MOC47" s="191"/>
      <c r="MOD47" s="191"/>
      <c r="MOE47" s="191"/>
      <c r="MOF47" s="191"/>
      <c r="MOG47" s="191"/>
      <c r="MOH47" s="191"/>
      <c r="MOI47" s="191"/>
      <c r="MOJ47" s="191"/>
      <c r="MOK47" s="191"/>
      <c r="MOL47" s="191"/>
      <c r="MOM47" s="191"/>
      <c r="MON47" s="191"/>
      <c r="MOO47" s="191"/>
      <c r="MOP47" s="191"/>
      <c r="MOQ47" s="191"/>
      <c r="MOR47" s="191"/>
      <c r="MOS47" s="191"/>
      <c r="MOT47" s="191"/>
      <c r="MOU47" s="191"/>
      <c r="MOV47" s="191"/>
      <c r="MOW47" s="191"/>
      <c r="MOX47" s="191"/>
      <c r="MOY47" s="191"/>
      <c r="MOZ47" s="191"/>
      <c r="MPA47" s="191"/>
      <c r="MPB47" s="191"/>
      <c r="MPC47" s="191"/>
      <c r="MPD47" s="191"/>
      <c r="MPE47" s="191"/>
      <c r="MPF47" s="191"/>
      <c r="MPG47" s="191"/>
      <c r="MPH47" s="191"/>
      <c r="MPI47" s="191"/>
      <c r="MPJ47" s="191"/>
      <c r="MPK47" s="191"/>
      <c r="MPL47" s="191"/>
      <c r="MPM47" s="191"/>
      <c r="MPN47" s="191"/>
      <c r="MPO47" s="191"/>
      <c r="MPP47" s="191"/>
      <c r="MPQ47" s="191"/>
      <c r="MPR47" s="191"/>
      <c r="MPS47" s="191"/>
      <c r="MPT47" s="191"/>
      <c r="MPU47" s="191"/>
      <c r="MPV47" s="191"/>
      <c r="MPW47" s="191"/>
      <c r="MPX47" s="191"/>
      <c r="MPY47" s="191"/>
      <c r="MPZ47" s="191"/>
      <c r="MQA47" s="191"/>
      <c r="MQB47" s="191"/>
      <c r="MQC47" s="191"/>
      <c r="MQD47" s="191"/>
      <c r="MQE47" s="191"/>
      <c r="MQF47" s="191"/>
      <c r="MQG47" s="191"/>
      <c r="MQH47" s="191"/>
      <c r="MQI47" s="191"/>
      <c r="MQJ47" s="191"/>
      <c r="MQK47" s="191"/>
      <c r="MQL47" s="191"/>
      <c r="MQM47" s="191"/>
      <c r="MQN47" s="191"/>
      <c r="MQO47" s="191"/>
      <c r="MQP47" s="191"/>
      <c r="MQQ47" s="191"/>
      <c r="MQR47" s="191"/>
      <c r="MQS47" s="191"/>
      <c r="MQT47" s="191"/>
      <c r="MQU47" s="191"/>
      <c r="MQV47" s="191"/>
      <c r="MQW47" s="191"/>
      <c r="MQX47" s="191"/>
      <c r="MQY47" s="191"/>
      <c r="MQZ47" s="191"/>
      <c r="MRA47" s="191"/>
      <c r="MRB47" s="191"/>
      <c r="MRC47" s="191"/>
      <c r="MRD47" s="191"/>
      <c r="MRE47" s="191"/>
      <c r="MRF47" s="191"/>
      <c r="MRG47" s="191"/>
      <c r="MRH47" s="191"/>
      <c r="MRI47" s="191"/>
      <c r="MRJ47" s="191"/>
      <c r="MRK47" s="191"/>
      <c r="MRL47" s="191"/>
      <c r="MRM47" s="191"/>
      <c r="MRN47" s="191"/>
      <c r="MRO47" s="191"/>
      <c r="MRP47" s="191"/>
      <c r="MRQ47" s="191"/>
      <c r="MRR47" s="191"/>
      <c r="MRS47" s="191"/>
      <c r="MRT47" s="191"/>
      <c r="MRU47" s="191"/>
      <c r="MRV47" s="191"/>
      <c r="MRW47" s="191"/>
      <c r="MRX47" s="191"/>
      <c r="MRY47" s="191"/>
      <c r="MRZ47" s="191"/>
      <c r="MSA47" s="191"/>
      <c r="MSB47" s="191"/>
      <c r="MSC47" s="191"/>
      <c r="MSD47" s="191"/>
      <c r="MSE47" s="191"/>
      <c r="MSF47" s="191"/>
      <c r="MSG47" s="191"/>
      <c r="MSH47" s="191"/>
      <c r="MSI47" s="191"/>
      <c r="MSJ47" s="191"/>
      <c r="MSK47" s="191"/>
      <c r="MSL47" s="191"/>
      <c r="MSM47" s="191"/>
      <c r="MSN47" s="191"/>
      <c r="MSO47" s="191"/>
      <c r="MSP47" s="191"/>
      <c r="MSQ47" s="191"/>
      <c r="MSR47" s="191"/>
      <c r="MSS47" s="191"/>
      <c r="MST47" s="191"/>
      <c r="MSU47" s="191"/>
      <c r="MSV47" s="191"/>
      <c r="MSW47" s="191"/>
      <c r="MSX47" s="191"/>
      <c r="MSY47" s="191"/>
      <c r="MSZ47" s="191"/>
      <c r="MTA47" s="191"/>
      <c r="MTB47" s="191"/>
      <c r="MTC47" s="191"/>
      <c r="MTD47" s="191"/>
      <c r="MTE47" s="191"/>
      <c r="MTF47" s="191"/>
      <c r="MTG47" s="191"/>
      <c r="MTH47" s="191"/>
      <c r="MTI47" s="191"/>
      <c r="MTJ47" s="191"/>
      <c r="MTK47" s="191"/>
      <c r="MTL47" s="191"/>
      <c r="MTM47" s="191"/>
      <c r="MTN47" s="191"/>
      <c r="MTO47" s="191"/>
      <c r="MTP47" s="191"/>
      <c r="MTQ47" s="191"/>
      <c r="MTR47" s="191"/>
      <c r="MTS47" s="191"/>
      <c r="MTT47" s="191"/>
      <c r="MTU47" s="191"/>
      <c r="MTV47" s="191"/>
      <c r="MTW47" s="191"/>
      <c r="MTX47" s="191"/>
      <c r="MTY47" s="191"/>
      <c r="MTZ47" s="191"/>
      <c r="MUA47" s="191"/>
      <c r="MUB47" s="191"/>
      <c r="MUC47" s="191"/>
      <c r="MUD47" s="191"/>
      <c r="MUE47" s="191"/>
      <c r="MUF47" s="191"/>
      <c r="MUG47" s="191"/>
      <c r="MUH47" s="191"/>
      <c r="MUI47" s="191"/>
      <c r="MUJ47" s="191"/>
      <c r="MUK47" s="191"/>
      <c r="MUL47" s="191"/>
      <c r="MUM47" s="191"/>
      <c r="MUN47" s="191"/>
      <c r="MUO47" s="191"/>
      <c r="MUP47" s="191"/>
      <c r="MUQ47" s="191"/>
      <c r="MUR47" s="191"/>
      <c r="MUS47" s="191"/>
      <c r="MUT47" s="191"/>
      <c r="MUU47" s="191"/>
      <c r="MUV47" s="191"/>
      <c r="MUW47" s="191"/>
      <c r="MUX47" s="191"/>
      <c r="MUY47" s="191"/>
      <c r="MUZ47" s="191"/>
      <c r="MVA47" s="191"/>
      <c r="MVB47" s="191"/>
      <c r="MVC47" s="191"/>
      <c r="MVD47" s="191"/>
      <c r="MVE47" s="191"/>
      <c r="MVF47" s="191"/>
      <c r="MVG47" s="191"/>
      <c r="MVH47" s="191"/>
      <c r="MVI47" s="191"/>
      <c r="MVJ47" s="191"/>
      <c r="MVK47" s="191"/>
      <c r="MVL47" s="191"/>
      <c r="MVM47" s="191"/>
      <c r="MVN47" s="191"/>
      <c r="MVO47" s="191"/>
      <c r="MVP47" s="191"/>
      <c r="MVQ47" s="191"/>
      <c r="MVR47" s="191"/>
      <c r="MVS47" s="191"/>
      <c r="MVT47" s="191"/>
      <c r="MVU47" s="191"/>
      <c r="MVV47" s="191"/>
      <c r="MVW47" s="191"/>
      <c r="MVX47" s="191"/>
      <c r="MVY47" s="191"/>
      <c r="MVZ47" s="191"/>
      <c r="MWA47" s="191"/>
      <c r="MWB47" s="191"/>
      <c r="MWC47" s="191"/>
      <c r="MWD47" s="191"/>
      <c r="MWE47" s="191"/>
      <c r="MWF47" s="191"/>
      <c r="MWG47" s="191"/>
      <c r="MWH47" s="191"/>
      <c r="MWI47" s="191"/>
      <c r="MWJ47" s="191"/>
      <c r="MWK47" s="191"/>
      <c r="MWL47" s="191"/>
      <c r="MWM47" s="191"/>
      <c r="MWN47" s="191"/>
      <c r="MWO47" s="191"/>
      <c r="MWP47" s="191"/>
      <c r="MWQ47" s="191"/>
      <c r="MWR47" s="191"/>
      <c r="MWS47" s="191"/>
      <c r="MWT47" s="191"/>
      <c r="MWU47" s="191"/>
      <c r="MWV47" s="191"/>
      <c r="MWW47" s="191"/>
      <c r="MWX47" s="191"/>
      <c r="MWY47" s="191"/>
      <c r="MWZ47" s="191"/>
      <c r="MXA47" s="191"/>
      <c r="MXB47" s="191"/>
      <c r="MXC47" s="191"/>
      <c r="MXD47" s="191"/>
      <c r="MXE47" s="191"/>
      <c r="MXF47" s="191"/>
      <c r="MXG47" s="191"/>
      <c r="MXH47" s="191"/>
      <c r="MXI47" s="191"/>
      <c r="MXJ47" s="191"/>
      <c r="MXK47" s="191"/>
      <c r="MXL47" s="191"/>
      <c r="MXM47" s="191"/>
      <c r="MXN47" s="191"/>
      <c r="MXO47" s="191"/>
      <c r="MXP47" s="191"/>
      <c r="MXQ47" s="191"/>
      <c r="MXR47" s="191"/>
      <c r="MXS47" s="191"/>
      <c r="MXT47" s="191"/>
      <c r="MXU47" s="191"/>
      <c r="MXV47" s="191"/>
      <c r="MXW47" s="191"/>
      <c r="MXX47" s="191"/>
      <c r="MXY47" s="191"/>
      <c r="MXZ47" s="191"/>
      <c r="MYA47" s="191"/>
      <c r="MYB47" s="191"/>
      <c r="MYC47" s="191"/>
      <c r="MYD47" s="191"/>
      <c r="MYE47" s="191"/>
      <c r="MYF47" s="191"/>
      <c r="MYG47" s="191"/>
      <c r="MYH47" s="191"/>
      <c r="MYI47" s="191"/>
      <c r="MYJ47" s="191"/>
      <c r="MYK47" s="191"/>
      <c r="MYL47" s="191"/>
      <c r="MYM47" s="191"/>
      <c r="MYN47" s="191"/>
      <c r="MYO47" s="191"/>
      <c r="MYP47" s="191"/>
      <c r="MYQ47" s="191"/>
      <c r="MYR47" s="191"/>
      <c r="MYS47" s="191"/>
      <c r="MYT47" s="191"/>
      <c r="MYU47" s="191"/>
      <c r="MYV47" s="191"/>
      <c r="MYW47" s="191"/>
      <c r="MYX47" s="191"/>
      <c r="MYY47" s="191"/>
      <c r="MYZ47" s="191"/>
      <c r="MZA47" s="191"/>
      <c r="MZB47" s="191"/>
      <c r="MZC47" s="191"/>
      <c r="MZD47" s="191"/>
      <c r="MZE47" s="191"/>
      <c r="MZF47" s="191"/>
      <c r="MZG47" s="191"/>
      <c r="MZH47" s="191"/>
      <c r="MZI47" s="191"/>
      <c r="MZJ47" s="191"/>
      <c r="MZK47" s="191"/>
      <c r="MZL47" s="191"/>
      <c r="MZM47" s="191"/>
      <c r="MZN47" s="191"/>
      <c r="MZO47" s="191"/>
      <c r="MZP47" s="191"/>
      <c r="MZQ47" s="191"/>
      <c r="MZR47" s="191"/>
      <c r="MZS47" s="191"/>
      <c r="MZT47" s="191"/>
      <c r="MZU47" s="191"/>
      <c r="MZV47" s="191"/>
      <c r="MZW47" s="191"/>
      <c r="MZX47" s="191"/>
      <c r="MZY47" s="191"/>
      <c r="MZZ47" s="191"/>
      <c r="NAA47" s="191"/>
      <c r="NAB47" s="191"/>
      <c r="NAC47" s="191"/>
      <c r="NAD47" s="191"/>
      <c r="NAE47" s="191"/>
      <c r="NAF47" s="191"/>
      <c r="NAG47" s="191"/>
      <c r="NAH47" s="191"/>
      <c r="NAI47" s="191"/>
      <c r="NAJ47" s="191"/>
      <c r="NAK47" s="191"/>
      <c r="NAL47" s="191"/>
      <c r="NAM47" s="191"/>
      <c r="NAN47" s="191"/>
      <c r="NAO47" s="191"/>
      <c r="NAP47" s="191"/>
      <c r="NAQ47" s="191"/>
      <c r="NAR47" s="191"/>
      <c r="NAS47" s="191"/>
      <c r="NAT47" s="191"/>
      <c r="NAU47" s="191"/>
      <c r="NAV47" s="191"/>
      <c r="NAW47" s="191"/>
      <c r="NAX47" s="191"/>
      <c r="NAY47" s="191"/>
      <c r="NAZ47" s="191"/>
      <c r="NBA47" s="191"/>
      <c r="NBB47" s="191"/>
      <c r="NBC47" s="191"/>
      <c r="NBD47" s="191"/>
      <c r="NBE47" s="191"/>
      <c r="NBF47" s="191"/>
      <c r="NBG47" s="191"/>
      <c r="NBH47" s="191"/>
      <c r="NBI47" s="191"/>
      <c r="NBJ47" s="191"/>
      <c r="NBK47" s="191"/>
      <c r="NBL47" s="191"/>
      <c r="NBM47" s="191"/>
      <c r="NBN47" s="191"/>
      <c r="NBO47" s="191"/>
      <c r="NBP47" s="191"/>
      <c r="NBQ47" s="191"/>
      <c r="NBR47" s="191"/>
      <c r="NBS47" s="191"/>
      <c r="NBT47" s="191"/>
      <c r="NBU47" s="191"/>
      <c r="NBV47" s="191"/>
      <c r="NBW47" s="191"/>
      <c r="NBX47" s="191"/>
      <c r="NBY47" s="191"/>
      <c r="NBZ47" s="191"/>
      <c r="NCA47" s="191"/>
      <c r="NCB47" s="191"/>
      <c r="NCC47" s="191"/>
      <c r="NCD47" s="191"/>
      <c r="NCE47" s="191"/>
      <c r="NCF47" s="191"/>
      <c r="NCG47" s="191"/>
      <c r="NCH47" s="191"/>
      <c r="NCI47" s="191"/>
      <c r="NCJ47" s="191"/>
      <c r="NCK47" s="191"/>
      <c r="NCL47" s="191"/>
      <c r="NCM47" s="191"/>
      <c r="NCN47" s="191"/>
      <c r="NCO47" s="191"/>
      <c r="NCP47" s="191"/>
      <c r="NCQ47" s="191"/>
      <c r="NCR47" s="191"/>
      <c r="NCS47" s="191"/>
      <c r="NCT47" s="191"/>
      <c r="NCU47" s="191"/>
      <c r="NCV47" s="191"/>
      <c r="NCW47" s="191"/>
      <c r="NCX47" s="191"/>
      <c r="NCY47" s="191"/>
      <c r="NCZ47" s="191"/>
      <c r="NDA47" s="191"/>
      <c r="NDB47" s="191"/>
      <c r="NDC47" s="191"/>
      <c r="NDD47" s="191"/>
      <c r="NDE47" s="191"/>
      <c r="NDF47" s="191"/>
      <c r="NDG47" s="191"/>
      <c r="NDH47" s="191"/>
      <c r="NDI47" s="191"/>
      <c r="NDJ47" s="191"/>
      <c r="NDK47" s="191"/>
      <c r="NDL47" s="191"/>
      <c r="NDM47" s="191"/>
      <c r="NDN47" s="191"/>
      <c r="NDO47" s="191"/>
      <c r="NDP47" s="191"/>
      <c r="NDQ47" s="191"/>
      <c r="NDR47" s="191"/>
      <c r="NDS47" s="191"/>
      <c r="NDT47" s="191"/>
      <c r="NDU47" s="191"/>
      <c r="NDV47" s="191"/>
      <c r="NDW47" s="191"/>
      <c r="NDX47" s="191"/>
      <c r="NDY47" s="191"/>
      <c r="NDZ47" s="191"/>
      <c r="NEA47" s="191"/>
      <c r="NEB47" s="191"/>
      <c r="NEC47" s="191"/>
      <c r="NED47" s="191"/>
      <c r="NEE47" s="191"/>
      <c r="NEF47" s="191"/>
      <c r="NEG47" s="191"/>
      <c r="NEH47" s="191"/>
      <c r="NEI47" s="191"/>
      <c r="NEJ47" s="191"/>
      <c r="NEK47" s="191"/>
      <c r="NEL47" s="191"/>
      <c r="NEM47" s="191"/>
      <c r="NEN47" s="191"/>
      <c r="NEO47" s="191"/>
      <c r="NEP47" s="191"/>
      <c r="NEQ47" s="191"/>
      <c r="NER47" s="191"/>
      <c r="NES47" s="191"/>
      <c r="NET47" s="191"/>
      <c r="NEU47" s="191"/>
      <c r="NEV47" s="191"/>
      <c r="NEW47" s="191"/>
      <c r="NEX47" s="191"/>
      <c r="NEY47" s="191"/>
      <c r="NEZ47" s="191"/>
      <c r="NFA47" s="191"/>
      <c r="NFB47" s="191"/>
      <c r="NFC47" s="191"/>
      <c r="NFD47" s="191"/>
      <c r="NFE47" s="191"/>
      <c r="NFF47" s="191"/>
      <c r="NFG47" s="191"/>
      <c r="NFH47" s="191"/>
      <c r="NFI47" s="191"/>
      <c r="NFJ47" s="191"/>
      <c r="NFK47" s="191"/>
      <c r="NFL47" s="191"/>
      <c r="NFM47" s="191"/>
      <c r="NFN47" s="191"/>
      <c r="NFO47" s="191"/>
      <c r="NFP47" s="191"/>
      <c r="NFQ47" s="191"/>
      <c r="NFR47" s="191"/>
      <c r="NFS47" s="191"/>
      <c r="NFT47" s="191"/>
      <c r="NFU47" s="191"/>
      <c r="NFV47" s="191"/>
      <c r="NFW47" s="191"/>
      <c r="NFX47" s="191"/>
      <c r="NFY47" s="191"/>
      <c r="NFZ47" s="191"/>
      <c r="NGA47" s="191"/>
      <c r="NGB47" s="191"/>
      <c r="NGC47" s="191"/>
      <c r="NGD47" s="191"/>
      <c r="NGE47" s="191"/>
      <c r="NGF47" s="191"/>
      <c r="NGG47" s="191"/>
      <c r="NGH47" s="191"/>
      <c r="NGI47" s="191"/>
      <c r="NGJ47" s="191"/>
      <c r="NGK47" s="191"/>
      <c r="NGL47" s="191"/>
      <c r="NGM47" s="191"/>
      <c r="NGN47" s="191"/>
      <c r="NGO47" s="191"/>
      <c r="NGP47" s="191"/>
      <c r="NGQ47" s="191"/>
      <c r="NGR47" s="191"/>
      <c r="NGS47" s="191"/>
      <c r="NGT47" s="191"/>
      <c r="NGU47" s="191"/>
      <c r="NGV47" s="191"/>
      <c r="NGW47" s="191"/>
      <c r="NGX47" s="191"/>
      <c r="NGY47" s="191"/>
      <c r="NGZ47" s="191"/>
      <c r="NHA47" s="191"/>
      <c r="NHB47" s="191"/>
      <c r="NHC47" s="191"/>
      <c r="NHD47" s="191"/>
      <c r="NHE47" s="191"/>
      <c r="NHF47" s="191"/>
      <c r="NHG47" s="191"/>
      <c r="NHH47" s="191"/>
      <c r="NHI47" s="191"/>
      <c r="NHJ47" s="191"/>
      <c r="NHK47" s="191"/>
      <c r="NHL47" s="191"/>
      <c r="NHM47" s="191"/>
      <c r="NHN47" s="191"/>
      <c r="NHO47" s="191"/>
      <c r="NHP47" s="191"/>
      <c r="NHQ47" s="191"/>
      <c r="NHR47" s="191"/>
      <c r="NHS47" s="191"/>
      <c r="NHT47" s="191"/>
      <c r="NHU47" s="191"/>
      <c r="NHV47" s="191"/>
      <c r="NHW47" s="191"/>
      <c r="NHX47" s="191"/>
      <c r="NHY47" s="191"/>
      <c r="NHZ47" s="191"/>
      <c r="NIA47" s="191"/>
      <c r="NIB47" s="191"/>
      <c r="NIC47" s="191"/>
      <c r="NID47" s="191"/>
      <c r="NIE47" s="191"/>
      <c r="NIF47" s="191"/>
      <c r="NIG47" s="191"/>
      <c r="NIH47" s="191"/>
      <c r="NII47" s="191"/>
      <c r="NIJ47" s="191"/>
      <c r="NIK47" s="191"/>
      <c r="NIL47" s="191"/>
      <c r="NIM47" s="191"/>
      <c r="NIN47" s="191"/>
      <c r="NIO47" s="191"/>
      <c r="NIP47" s="191"/>
      <c r="NIQ47" s="191"/>
      <c r="NIR47" s="191"/>
      <c r="NIS47" s="191"/>
      <c r="NIT47" s="191"/>
      <c r="NIU47" s="191"/>
      <c r="NIV47" s="191"/>
      <c r="NIW47" s="191"/>
      <c r="NIX47" s="191"/>
      <c r="NIY47" s="191"/>
      <c r="NIZ47" s="191"/>
      <c r="NJA47" s="191"/>
      <c r="NJB47" s="191"/>
      <c r="NJC47" s="191"/>
      <c r="NJD47" s="191"/>
      <c r="NJE47" s="191"/>
      <c r="NJF47" s="191"/>
      <c r="NJG47" s="191"/>
      <c r="NJH47" s="191"/>
      <c r="NJI47" s="191"/>
      <c r="NJJ47" s="191"/>
      <c r="NJK47" s="191"/>
      <c r="NJL47" s="191"/>
      <c r="NJM47" s="191"/>
      <c r="NJN47" s="191"/>
      <c r="NJO47" s="191"/>
      <c r="NJP47" s="191"/>
      <c r="NJQ47" s="191"/>
      <c r="NJR47" s="191"/>
      <c r="NJS47" s="191"/>
      <c r="NJT47" s="191"/>
      <c r="NJU47" s="191"/>
      <c r="NJV47" s="191"/>
      <c r="NJW47" s="191"/>
      <c r="NJX47" s="191"/>
      <c r="NJY47" s="191"/>
      <c r="NJZ47" s="191"/>
      <c r="NKA47" s="191"/>
      <c r="NKB47" s="191"/>
      <c r="NKC47" s="191"/>
      <c r="NKD47" s="191"/>
      <c r="NKE47" s="191"/>
      <c r="NKF47" s="191"/>
      <c r="NKG47" s="191"/>
      <c r="NKH47" s="191"/>
      <c r="NKI47" s="191"/>
      <c r="NKJ47" s="191"/>
      <c r="NKK47" s="191"/>
      <c r="NKL47" s="191"/>
      <c r="NKM47" s="191"/>
      <c r="NKN47" s="191"/>
      <c r="NKO47" s="191"/>
      <c r="NKP47" s="191"/>
      <c r="NKQ47" s="191"/>
      <c r="NKR47" s="191"/>
      <c r="NKS47" s="191"/>
      <c r="NKT47" s="191"/>
      <c r="NKU47" s="191"/>
      <c r="NKV47" s="191"/>
      <c r="NKW47" s="191"/>
      <c r="NKX47" s="191"/>
      <c r="NKY47" s="191"/>
      <c r="NKZ47" s="191"/>
      <c r="NLA47" s="191"/>
      <c r="NLB47" s="191"/>
      <c r="NLC47" s="191"/>
      <c r="NLD47" s="191"/>
      <c r="NLE47" s="191"/>
      <c r="NLF47" s="191"/>
      <c r="NLG47" s="191"/>
      <c r="NLH47" s="191"/>
      <c r="NLI47" s="191"/>
      <c r="NLJ47" s="191"/>
      <c r="NLK47" s="191"/>
      <c r="NLL47" s="191"/>
      <c r="NLM47" s="191"/>
      <c r="NLN47" s="191"/>
      <c r="NLO47" s="191"/>
      <c r="NLP47" s="191"/>
      <c r="NLQ47" s="191"/>
      <c r="NLR47" s="191"/>
      <c r="NLS47" s="191"/>
      <c r="NLT47" s="191"/>
      <c r="NLU47" s="191"/>
      <c r="NLV47" s="191"/>
      <c r="NLW47" s="191"/>
      <c r="NLX47" s="191"/>
      <c r="NLY47" s="191"/>
      <c r="NLZ47" s="191"/>
      <c r="NMA47" s="191"/>
      <c r="NMB47" s="191"/>
      <c r="NMC47" s="191"/>
      <c r="NMD47" s="191"/>
      <c r="NME47" s="191"/>
      <c r="NMF47" s="191"/>
      <c r="NMG47" s="191"/>
      <c r="NMH47" s="191"/>
      <c r="NMI47" s="191"/>
      <c r="NMJ47" s="191"/>
      <c r="NMK47" s="191"/>
      <c r="NML47" s="191"/>
      <c r="NMM47" s="191"/>
      <c r="NMN47" s="191"/>
      <c r="NMO47" s="191"/>
      <c r="NMP47" s="191"/>
      <c r="NMQ47" s="191"/>
      <c r="NMR47" s="191"/>
      <c r="NMS47" s="191"/>
      <c r="NMT47" s="191"/>
      <c r="NMU47" s="191"/>
      <c r="NMV47" s="191"/>
      <c r="NMW47" s="191"/>
      <c r="NMX47" s="191"/>
      <c r="NMY47" s="191"/>
      <c r="NMZ47" s="191"/>
      <c r="NNA47" s="191"/>
      <c r="NNB47" s="191"/>
      <c r="NNC47" s="191"/>
      <c r="NND47" s="191"/>
      <c r="NNE47" s="191"/>
      <c r="NNF47" s="191"/>
      <c r="NNG47" s="191"/>
      <c r="NNH47" s="191"/>
      <c r="NNI47" s="191"/>
      <c r="NNJ47" s="191"/>
      <c r="NNK47" s="191"/>
      <c r="NNL47" s="191"/>
      <c r="NNM47" s="191"/>
      <c r="NNN47" s="191"/>
      <c r="NNO47" s="191"/>
      <c r="NNP47" s="191"/>
      <c r="NNQ47" s="191"/>
      <c r="NNR47" s="191"/>
      <c r="NNS47" s="191"/>
      <c r="NNT47" s="191"/>
      <c r="NNU47" s="191"/>
      <c r="NNV47" s="191"/>
      <c r="NNW47" s="191"/>
      <c r="NNX47" s="191"/>
      <c r="NNY47" s="191"/>
      <c r="NNZ47" s="191"/>
      <c r="NOA47" s="191"/>
      <c r="NOB47" s="191"/>
      <c r="NOC47" s="191"/>
      <c r="NOD47" s="191"/>
      <c r="NOE47" s="191"/>
      <c r="NOF47" s="191"/>
      <c r="NOG47" s="191"/>
      <c r="NOH47" s="191"/>
      <c r="NOI47" s="191"/>
      <c r="NOJ47" s="191"/>
      <c r="NOK47" s="191"/>
      <c r="NOL47" s="191"/>
      <c r="NOM47" s="191"/>
      <c r="NON47" s="191"/>
      <c r="NOO47" s="191"/>
      <c r="NOP47" s="191"/>
      <c r="NOQ47" s="191"/>
      <c r="NOR47" s="191"/>
      <c r="NOS47" s="191"/>
      <c r="NOT47" s="191"/>
      <c r="NOU47" s="191"/>
      <c r="NOV47" s="191"/>
      <c r="NOW47" s="191"/>
      <c r="NOX47" s="191"/>
      <c r="NOY47" s="191"/>
      <c r="NOZ47" s="191"/>
      <c r="NPA47" s="191"/>
      <c r="NPB47" s="191"/>
      <c r="NPC47" s="191"/>
      <c r="NPD47" s="191"/>
      <c r="NPE47" s="191"/>
      <c r="NPF47" s="191"/>
      <c r="NPG47" s="191"/>
      <c r="NPH47" s="191"/>
      <c r="NPI47" s="191"/>
      <c r="NPJ47" s="191"/>
      <c r="NPK47" s="191"/>
      <c r="NPL47" s="191"/>
      <c r="NPM47" s="191"/>
      <c r="NPN47" s="191"/>
      <c r="NPO47" s="191"/>
      <c r="NPP47" s="191"/>
      <c r="NPQ47" s="191"/>
      <c r="NPR47" s="191"/>
      <c r="NPS47" s="191"/>
      <c r="NPT47" s="191"/>
      <c r="NPU47" s="191"/>
      <c r="NPV47" s="191"/>
      <c r="NPW47" s="191"/>
      <c r="NPX47" s="191"/>
      <c r="NPY47" s="191"/>
      <c r="NPZ47" s="191"/>
      <c r="NQA47" s="191"/>
      <c r="NQB47" s="191"/>
      <c r="NQC47" s="191"/>
      <c r="NQD47" s="191"/>
      <c r="NQE47" s="191"/>
      <c r="NQF47" s="191"/>
      <c r="NQG47" s="191"/>
      <c r="NQH47" s="191"/>
      <c r="NQI47" s="191"/>
      <c r="NQJ47" s="191"/>
      <c r="NQK47" s="191"/>
      <c r="NQL47" s="191"/>
      <c r="NQM47" s="191"/>
      <c r="NQN47" s="191"/>
      <c r="NQO47" s="191"/>
      <c r="NQP47" s="191"/>
      <c r="NQQ47" s="191"/>
      <c r="NQR47" s="191"/>
      <c r="NQS47" s="191"/>
      <c r="NQT47" s="191"/>
      <c r="NQU47" s="191"/>
      <c r="NQV47" s="191"/>
      <c r="NQW47" s="191"/>
      <c r="NQX47" s="191"/>
      <c r="NQY47" s="191"/>
      <c r="NQZ47" s="191"/>
      <c r="NRA47" s="191"/>
      <c r="NRB47" s="191"/>
      <c r="NRC47" s="191"/>
      <c r="NRD47" s="191"/>
      <c r="NRE47" s="191"/>
      <c r="NRF47" s="191"/>
      <c r="NRG47" s="191"/>
      <c r="NRH47" s="191"/>
      <c r="NRI47" s="191"/>
      <c r="NRJ47" s="191"/>
      <c r="NRK47" s="191"/>
      <c r="NRL47" s="191"/>
      <c r="NRM47" s="191"/>
      <c r="NRN47" s="191"/>
      <c r="NRO47" s="191"/>
      <c r="NRP47" s="191"/>
      <c r="NRQ47" s="191"/>
      <c r="NRR47" s="191"/>
      <c r="NRS47" s="191"/>
      <c r="NRT47" s="191"/>
      <c r="NRU47" s="191"/>
      <c r="NRV47" s="191"/>
      <c r="NRW47" s="191"/>
      <c r="NRX47" s="191"/>
      <c r="NRY47" s="191"/>
      <c r="NRZ47" s="191"/>
      <c r="NSA47" s="191"/>
      <c r="NSB47" s="191"/>
      <c r="NSC47" s="191"/>
      <c r="NSD47" s="191"/>
      <c r="NSE47" s="191"/>
      <c r="NSF47" s="191"/>
      <c r="NSG47" s="191"/>
      <c r="NSH47" s="191"/>
      <c r="NSI47" s="191"/>
      <c r="NSJ47" s="191"/>
      <c r="NSK47" s="191"/>
      <c r="NSL47" s="191"/>
      <c r="NSM47" s="191"/>
      <c r="NSN47" s="191"/>
      <c r="NSO47" s="191"/>
      <c r="NSP47" s="191"/>
      <c r="NSQ47" s="191"/>
      <c r="NSR47" s="191"/>
      <c r="NSS47" s="191"/>
      <c r="NST47" s="191"/>
      <c r="NSU47" s="191"/>
      <c r="NSV47" s="191"/>
      <c r="NSW47" s="191"/>
      <c r="NSX47" s="191"/>
      <c r="NSY47" s="191"/>
      <c r="NSZ47" s="191"/>
      <c r="NTA47" s="191"/>
      <c r="NTB47" s="191"/>
      <c r="NTC47" s="191"/>
      <c r="NTD47" s="191"/>
      <c r="NTE47" s="191"/>
      <c r="NTF47" s="191"/>
      <c r="NTG47" s="191"/>
      <c r="NTH47" s="191"/>
      <c r="NTI47" s="191"/>
      <c r="NTJ47" s="191"/>
      <c r="NTK47" s="191"/>
      <c r="NTL47" s="191"/>
      <c r="NTM47" s="191"/>
      <c r="NTN47" s="191"/>
      <c r="NTO47" s="191"/>
      <c r="NTP47" s="191"/>
      <c r="NTQ47" s="191"/>
      <c r="NTR47" s="191"/>
      <c r="NTS47" s="191"/>
      <c r="NTT47" s="191"/>
      <c r="NTU47" s="191"/>
      <c r="NTV47" s="191"/>
      <c r="NTW47" s="191"/>
      <c r="NTX47" s="191"/>
      <c r="NTY47" s="191"/>
      <c r="NTZ47" s="191"/>
      <c r="NUA47" s="191"/>
      <c r="NUB47" s="191"/>
      <c r="NUC47" s="191"/>
      <c r="NUD47" s="191"/>
      <c r="NUE47" s="191"/>
      <c r="NUF47" s="191"/>
      <c r="NUG47" s="191"/>
      <c r="NUH47" s="191"/>
      <c r="NUI47" s="191"/>
      <c r="NUJ47" s="191"/>
      <c r="NUK47" s="191"/>
      <c r="NUL47" s="191"/>
      <c r="NUM47" s="191"/>
      <c r="NUN47" s="191"/>
      <c r="NUO47" s="191"/>
      <c r="NUP47" s="191"/>
      <c r="NUQ47" s="191"/>
      <c r="NUR47" s="191"/>
      <c r="NUS47" s="191"/>
      <c r="NUT47" s="191"/>
      <c r="NUU47" s="191"/>
      <c r="NUV47" s="191"/>
      <c r="NUW47" s="191"/>
      <c r="NUX47" s="191"/>
      <c r="NUY47" s="191"/>
      <c r="NUZ47" s="191"/>
      <c r="NVA47" s="191"/>
      <c r="NVB47" s="191"/>
      <c r="NVC47" s="191"/>
      <c r="NVD47" s="191"/>
      <c r="NVE47" s="191"/>
      <c r="NVF47" s="191"/>
      <c r="NVG47" s="191"/>
      <c r="NVH47" s="191"/>
      <c r="NVI47" s="191"/>
      <c r="NVJ47" s="191"/>
      <c r="NVK47" s="191"/>
      <c r="NVL47" s="191"/>
      <c r="NVM47" s="191"/>
      <c r="NVN47" s="191"/>
      <c r="NVO47" s="191"/>
      <c r="NVP47" s="191"/>
      <c r="NVQ47" s="191"/>
      <c r="NVR47" s="191"/>
      <c r="NVS47" s="191"/>
      <c r="NVT47" s="191"/>
      <c r="NVU47" s="191"/>
      <c r="NVV47" s="191"/>
      <c r="NVW47" s="191"/>
      <c r="NVX47" s="191"/>
      <c r="NVY47" s="191"/>
      <c r="NVZ47" s="191"/>
      <c r="NWA47" s="191"/>
      <c r="NWB47" s="191"/>
      <c r="NWC47" s="191"/>
      <c r="NWD47" s="191"/>
      <c r="NWE47" s="191"/>
      <c r="NWF47" s="191"/>
      <c r="NWG47" s="191"/>
      <c r="NWH47" s="191"/>
      <c r="NWI47" s="191"/>
      <c r="NWJ47" s="191"/>
      <c r="NWK47" s="191"/>
      <c r="NWL47" s="191"/>
      <c r="NWM47" s="191"/>
      <c r="NWN47" s="191"/>
      <c r="NWO47" s="191"/>
      <c r="NWP47" s="191"/>
      <c r="NWQ47" s="191"/>
      <c r="NWR47" s="191"/>
      <c r="NWS47" s="191"/>
      <c r="NWT47" s="191"/>
      <c r="NWU47" s="191"/>
      <c r="NWV47" s="191"/>
      <c r="NWW47" s="191"/>
      <c r="NWX47" s="191"/>
      <c r="NWY47" s="191"/>
      <c r="NWZ47" s="191"/>
      <c r="NXA47" s="191"/>
      <c r="NXB47" s="191"/>
      <c r="NXC47" s="191"/>
      <c r="NXD47" s="191"/>
      <c r="NXE47" s="191"/>
      <c r="NXF47" s="191"/>
      <c r="NXG47" s="191"/>
      <c r="NXH47" s="191"/>
      <c r="NXI47" s="191"/>
      <c r="NXJ47" s="191"/>
      <c r="NXK47" s="191"/>
      <c r="NXL47" s="191"/>
      <c r="NXM47" s="191"/>
      <c r="NXN47" s="191"/>
      <c r="NXO47" s="191"/>
      <c r="NXP47" s="191"/>
      <c r="NXQ47" s="191"/>
      <c r="NXR47" s="191"/>
      <c r="NXS47" s="191"/>
      <c r="NXT47" s="191"/>
      <c r="NXU47" s="191"/>
      <c r="NXV47" s="191"/>
      <c r="NXW47" s="191"/>
      <c r="NXX47" s="191"/>
      <c r="NXY47" s="191"/>
      <c r="NXZ47" s="191"/>
      <c r="NYA47" s="191"/>
      <c r="NYB47" s="191"/>
      <c r="NYC47" s="191"/>
      <c r="NYD47" s="191"/>
      <c r="NYE47" s="191"/>
      <c r="NYF47" s="191"/>
      <c r="NYG47" s="191"/>
      <c r="NYH47" s="191"/>
      <c r="NYI47" s="191"/>
      <c r="NYJ47" s="191"/>
      <c r="NYK47" s="191"/>
      <c r="NYL47" s="191"/>
      <c r="NYM47" s="191"/>
      <c r="NYN47" s="191"/>
      <c r="NYO47" s="191"/>
      <c r="NYP47" s="191"/>
      <c r="NYQ47" s="191"/>
      <c r="NYR47" s="191"/>
      <c r="NYS47" s="191"/>
      <c r="NYT47" s="191"/>
      <c r="NYU47" s="191"/>
      <c r="NYV47" s="191"/>
      <c r="NYW47" s="191"/>
      <c r="NYX47" s="191"/>
      <c r="NYY47" s="191"/>
      <c r="NYZ47" s="191"/>
      <c r="NZA47" s="191"/>
      <c r="NZB47" s="191"/>
      <c r="NZC47" s="191"/>
      <c r="NZD47" s="191"/>
      <c r="NZE47" s="191"/>
      <c r="NZF47" s="191"/>
      <c r="NZG47" s="191"/>
      <c r="NZH47" s="191"/>
      <c r="NZI47" s="191"/>
      <c r="NZJ47" s="191"/>
      <c r="NZK47" s="191"/>
      <c r="NZL47" s="191"/>
      <c r="NZM47" s="191"/>
      <c r="NZN47" s="191"/>
      <c r="NZO47" s="191"/>
      <c r="NZP47" s="191"/>
      <c r="NZQ47" s="191"/>
      <c r="NZR47" s="191"/>
      <c r="NZS47" s="191"/>
      <c r="NZT47" s="191"/>
      <c r="NZU47" s="191"/>
      <c r="NZV47" s="191"/>
      <c r="NZW47" s="191"/>
      <c r="NZX47" s="191"/>
      <c r="NZY47" s="191"/>
      <c r="NZZ47" s="191"/>
      <c r="OAA47" s="191"/>
      <c r="OAB47" s="191"/>
      <c r="OAC47" s="191"/>
      <c r="OAD47" s="191"/>
      <c r="OAE47" s="191"/>
      <c r="OAF47" s="191"/>
      <c r="OAG47" s="191"/>
      <c r="OAH47" s="191"/>
      <c r="OAI47" s="191"/>
      <c r="OAJ47" s="191"/>
      <c r="OAK47" s="191"/>
      <c r="OAL47" s="191"/>
      <c r="OAM47" s="191"/>
      <c r="OAN47" s="191"/>
      <c r="OAO47" s="191"/>
      <c r="OAP47" s="191"/>
      <c r="OAQ47" s="191"/>
      <c r="OAR47" s="191"/>
      <c r="OAS47" s="191"/>
      <c r="OAT47" s="191"/>
      <c r="OAU47" s="191"/>
      <c r="OAV47" s="191"/>
      <c r="OAW47" s="191"/>
      <c r="OAX47" s="191"/>
      <c r="OAY47" s="191"/>
      <c r="OAZ47" s="191"/>
      <c r="OBA47" s="191"/>
      <c r="OBB47" s="191"/>
      <c r="OBC47" s="191"/>
      <c r="OBD47" s="191"/>
      <c r="OBE47" s="191"/>
      <c r="OBF47" s="191"/>
      <c r="OBG47" s="191"/>
      <c r="OBH47" s="191"/>
      <c r="OBI47" s="191"/>
      <c r="OBJ47" s="191"/>
      <c r="OBK47" s="191"/>
      <c r="OBL47" s="191"/>
      <c r="OBM47" s="191"/>
      <c r="OBN47" s="191"/>
      <c r="OBO47" s="191"/>
      <c r="OBP47" s="191"/>
      <c r="OBQ47" s="191"/>
      <c r="OBR47" s="191"/>
      <c r="OBS47" s="191"/>
      <c r="OBT47" s="191"/>
      <c r="OBU47" s="191"/>
      <c r="OBV47" s="191"/>
      <c r="OBW47" s="191"/>
      <c r="OBX47" s="191"/>
      <c r="OBY47" s="191"/>
      <c r="OBZ47" s="191"/>
      <c r="OCA47" s="191"/>
      <c r="OCB47" s="191"/>
      <c r="OCC47" s="191"/>
      <c r="OCD47" s="191"/>
      <c r="OCE47" s="191"/>
      <c r="OCF47" s="191"/>
      <c r="OCG47" s="191"/>
      <c r="OCH47" s="191"/>
      <c r="OCI47" s="191"/>
      <c r="OCJ47" s="191"/>
      <c r="OCK47" s="191"/>
      <c r="OCL47" s="191"/>
      <c r="OCM47" s="191"/>
      <c r="OCN47" s="191"/>
      <c r="OCO47" s="191"/>
      <c r="OCP47" s="191"/>
      <c r="OCQ47" s="191"/>
      <c r="OCR47" s="191"/>
      <c r="OCS47" s="191"/>
      <c r="OCT47" s="191"/>
      <c r="OCU47" s="191"/>
      <c r="OCV47" s="191"/>
      <c r="OCW47" s="191"/>
      <c r="OCX47" s="191"/>
      <c r="OCY47" s="191"/>
      <c r="OCZ47" s="191"/>
      <c r="ODA47" s="191"/>
      <c r="ODB47" s="191"/>
      <c r="ODC47" s="191"/>
      <c r="ODD47" s="191"/>
      <c r="ODE47" s="191"/>
      <c r="ODF47" s="191"/>
      <c r="ODG47" s="191"/>
      <c r="ODH47" s="191"/>
      <c r="ODI47" s="191"/>
      <c r="ODJ47" s="191"/>
      <c r="ODK47" s="191"/>
      <c r="ODL47" s="191"/>
      <c r="ODM47" s="191"/>
      <c r="ODN47" s="191"/>
      <c r="ODO47" s="191"/>
      <c r="ODP47" s="191"/>
      <c r="ODQ47" s="191"/>
      <c r="ODR47" s="191"/>
      <c r="ODS47" s="191"/>
      <c r="ODT47" s="191"/>
      <c r="ODU47" s="191"/>
      <c r="ODV47" s="191"/>
      <c r="ODW47" s="191"/>
      <c r="ODX47" s="191"/>
      <c r="ODY47" s="191"/>
      <c r="ODZ47" s="191"/>
      <c r="OEA47" s="191"/>
      <c r="OEB47" s="191"/>
      <c r="OEC47" s="191"/>
      <c r="OED47" s="191"/>
      <c r="OEE47" s="191"/>
      <c r="OEF47" s="191"/>
      <c r="OEG47" s="191"/>
      <c r="OEH47" s="191"/>
      <c r="OEI47" s="191"/>
      <c r="OEJ47" s="191"/>
      <c r="OEK47" s="191"/>
      <c r="OEL47" s="191"/>
      <c r="OEM47" s="191"/>
      <c r="OEN47" s="191"/>
      <c r="OEO47" s="191"/>
      <c r="OEP47" s="191"/>
      <c r="OEQ47" s="191"/>
      <c r="OER47" s="191"/>
      <c r="OES47" s="191"/>
      <c r="OET47" s="191"/>
      <c r="OEU47" s="191"/>
      <c r="OEV47" s="191"/>
      <c r="OEW47" s="191"/>
      <c r="OEX47" s="191"/>
      <c r="OEY47" s="191"/>
      <c r="OEZ47" s="191"/>
      <c r="OFA47" s="191"/>
      <c r="OFB47" s="191"/>
      <c r="OFC47" s="191"/>
      <c r="OFD47" s="191"/>
      <c r="OFE47" s="191"/>
      <c r="OFF47" s="191"/>
      <c r="OFG47" s="191"/>
      <c r="OFH47" s="191"/>
      <c r="OFI47" s="191"/>
      <c r="OFJ47" s="191"/>
      <c r="OFK47" s="191"/>
      <c r="OFL47" s="191"/>
      <c r="OFM47" s="191"/>
      <c r="OFN47" s="191"/>
      <c r="OFO47" s="191"/>
      <c r="OFP47" s="191"/>
      <c r="OFQ47" s="191"/>
      <c r="OFR47" s="191"/>
      <c r="OFS47" s="191"/>
      <c r="OFT47" s="191"/>
      <c r="OFU47" s="191"/>
      <c r="OFV47" s="191"/>
      <c r="OFW47" s="191"/>
      <c r="OFX47" s="191"/>
      <c r="OFY47" s="191"/>
      <c r="OFZ47" s="191"/>
      <c r="OGA47" s="191"/>
      <c r="OGB47" s="191"/>
      <c r="OGC47" s="191"/>
      <c r="OGD47" s="191"/>
      <c r="OGE47" s="191"/>
      <c r="OGF47" s="191"/>
      <c r="OGG47" s="191"/>
      <c r="OGH47" s="191"/>
      <c r="OGI47" s="191"/>
      <c r="OGJ47" s="191"/>
      <c r="OGK47" s="191"/>
      <c r="OGL47" s="191"/>
      <c r="OGM47" s="191"/>
      <c r="OGN47" s="191"/>
      <c r="OGO47" s="191"/>
      <c r="OGP47" s="191"/>
      <c r="OGQ47" s="191"/>
      <c r="OGR47" s="191"/>
      <c r="OGS47" s="191"/>
      <c r="OGT47" s="191"/>
      <c r="OGU47" s="191"/>
      <c r="OGV47" s="191"/>
      <c r="OGW47" s="191"/>
      <c r="OGX47" s="191"/>
      <c r="OGY47" s="191"/>
      <c r="OGZ47" s="191"/>
      <c r="OHA47" s="191"/>
      <c r="OHB47" s="191"/>
      <c r="OHC47" s="191"/>
      <c r="OHD47" s="191"/>
      <c r="OHE47" s="191"/>
      <c r="OHF47" s="191"/>
      <c r="OHG47" s="191"/>
      <c r="OHH47" s="191"/>
      <c r="OHI47" s="191"/>
      <c r="OHJ47" s="191"/>
      <c r="OHK47" s="191"/>
      <c r="OHL47" s="191"/>
      <c r="OHM47" s="191"/>
      <c r="OHN47" s="191"/>
      <c r="OHO47" s="191"/>
      <c r="OHP47" s="191"/>
      <c r="OHQ47" s="191"/>
      <c r="OHR47" s="191"/>
      <c r="OHS47" s="191"/>
      <c r="OHT47" s="191"/>
      <c r="OHU47" s="191"/>
      <c r="OHV47" s="191"/>
      <c r="OHW47" s="191"/>
      <c r="OHX47" s="191"/>
      <c r="OHY47" s="191"/>
      <c r="OHZ47" s="191"/>
      <c r="OIA47" s="191"/>
      <c r="OIB47" s="191"/>
      <c r="OIC47" s="191"/>
      <c r="OID47" s="191"/>
      <c r="OIE47" s="191"/>
      <c r="OIF47" s="191"/>
      <c r="OIG47" s="191"/>
      <c r="OIH47" s="191"/>
      <c r="OII47" s="191"/>
      <c r="OIJ47" s="191"/>
      <c r="OIK47" s="191"/>
      <c r="OIL47" s="191"/>
      <c r="OIM47" s="191"/>
      <c r="OIN47" s="191"/>
      <c r="OIO47" s="191"/>
      <c r="OIP47" s="191"/>
      <c r="OIQ47" s="191"/>
      <c r="OIR47" s="191"/>
      <c r="OIS47" s="191"/>
      <c r="OIT47" s="191"/>
      <c r="OIU47" s="191"/>
      <c r="OIV47" s="191"/>
      <c r="OIW47" s="191"/>
      <c r="OIX47" s="191"/>
      <c r="OIY47" s="191"/>
      <c r="OIZ47" s="191"/>
      <c r="OJA47" s="191"/>
      <c r="OJB47" s="191"/>
      <c r="OJC47" s="191"/>
      <c r="OJD47" s="191"/>
      <c r="OJE47" s="191"/>
      <c r="OJF47" s="191"/>
      <c r="OJG47" s="191"/>
      <c r="OJH47" s="191"/>
      <c r="OJI47" s="191"/>
      <c r="OJJ47" s="191"/>
      <c r="OJK47" s="191"/>
      <c r="OJL47" s="191"/>
      <c r="OJM47" s="191"/>
      <c r="OJN47" s="191"/>
      <c r="OJO47" s="191"/>
      <c r="OJP47" s="191"/>
      <c r="OJQ47" s="191"/>
      <c r="OJR47" s="191"/>
      <c r="OJS47" s="191"/>
      <c r="OJT47" s="191"/>
      <c r="OJU47" s="191"/>
      <c r="OJV47" s="191"/>
      <c r="OJW47" s="191"/>
      <c r="OJX47" s="191"/>
      <c r="OJY47" s="191"/>
      <c r="OJZ47" s="191"/>
      <c r="OKA47" s="191"/>
      <c r="OKB47" s="191"/>
      <c r="OKC47" s="191"/>
      <c r="OKD47" s="191"/>
      <c r="OKE47" s="191"/>
      <c r="OKF47" s="191"/>
      <c r="OKG47" s="191"/>
      <c r="OKH47" s="191"/>
      <c r="OKI47" s="191"/>
      <c r="OKJ47" s="191"/>
      <c r="OKK47" s="191"/>
      <c r="OKL47" s="191"/>
      <c r="OKM47" s="191"/>
      <c r="OKN47" s="191"/>
      <c r="OKO47" s="191"/>
      <c r="OKP47" s="191"/>
      <c r="OKQ47" s="191"/>
      <c r="OKR47" s="191"/>
      <c r="OKS47" s="191"/>
      <c r="OKT47" s="191"/>
      <c r="OKU47" s="191"/>
      <c r="OKV47" s="191"/>
      <c r="OKW47" s="191"/>
      <c r="OKX47" s="191"/>
      <c r="OKY47" s="191"/>
      <c r="OKZ47" s="191"/>
      <c r="OLA47" s="191"/>
      <c r="OLB47" s="191"/>
      <c r="OLC47" s="191"/>
      <c r="OLD47" s="191"/>
      <c r="OLE47" s="191"/>
      <c r="OLF47" s="191"/>
      <c r="OLG47" s="191"/>
      <c r="OLH47" s="191"/>
      <c r="OLI47" s="191"/>
      <c r="OLJ47" s="191"/>
      <c r="OLK47" s="191"/>
      <c r="OLL47" s="191"/>
      <c r="OLM47" s="191"/>
      <c r="OLN47" s="191"/>
      <c r="OLO47" s="191"/>
      <c r="OLP47" s="191"/>
      <c r="OLQ47" s="191"/>
      <c r="OLR47" s="191"/>
      <c r="OLS47" s="191"/>
      <c r="OLT47" s="191"/>
      <c r="OLU47" s="191"/>
      <c r="OLV47" s="191"/>
      <c r="OLW47" s="191"/>
      <c r="OLX47" s="191"/>
      <c r="OLY47" s="191"/>
      <c r="OLZ47" s="191"/>
      <c r="OMA47" s="191"/>
      <c r="OMB47" s="191"/>
      <c r="OMC47" s="191"/>
      <c r="OMD47" s="191"/>
      <c r="OME47" s="191"/>
      <c r="OMF47" s="191"/>
      <c r="OMG47" s="191"/>
      <c r="OMH47" s="191"/>
      <c r="OMI47" s="191"/>
      <c r="OMJ47" s="191"/>
      <c r="OMK47" s="191"/>
      <c r="OML47" s="191"/>
      <c r="OMM47" s="191"/>
      <c r="OMN47" s="191"/>
      <c r="OMO47" s="191"/>
      <c r="OMP47" s="191"/>
      <c r="OMQ47" s="191"/>
      <c r="OMR47" s="191"/>
      <c r="OMS47" s="191"/>
      <c r="OMT47" s="191"/>
      <c r="OMU47" s="191"/>
      <c r="OMV47" s="191"/>
      <c r="OMW47" s="191"/>
      <c r="OMX47" s="191"/>
      <c r="OMY47" s="191"/>
      <c r="OMZ47" s="191"/>
      <c r="ONA47" s="191"/>
      <c r="ONB47" s="191"/>
      <c r="ONC47" s="191"/>
      <c r="OND47" s="191"/>
      <c r="ONE47" s="191"/>
      <c r="ONF47" s="191"/>
      <c r="ONG47" s="191"/>
      <c r="ONH47" s="191"/>
      <c r="ONI47" s="191"/>
      <c r="ONJ47" s="191"/>
      <c r="ONK47" s="191"/>
      <c r="ONL47" s="191"/>
      <c r="ONM47" s="191"/>
      <c r="ONN47" s="191"/>
      <c r="ONO47" s="191"/>
      <c r="ONP47" s="191"/>
      <c r="ONQ47" s="191"/>
      <c r="ONR47" s="191"/>
      <c r="ONS47" s="191"/>
      <c r="ONT47" s="191"/>
      <c r="ONU47" s="191"/>
      <c r="ONV47" s="191"/>
      <c r="ONW47" s="191"/>
      <c r="ONX47" s="191"/>
      <c r="ONY47" s="191"/>
      <c r="ONZ47" s="191"/>
      <c r="OOA47" s="191"/>
      <c r="OOB47" s="191"/>
      <c r="OOC47" s="191"/>
      <c r="OOD47" s="191"/>
      <c r="OOE47" s="191"/>
      <c r="OOF47" s="191"/>
      <c r="OOG47" s="191"/>
      <c r="OOH47" s="191"/>
      <c r="OOI47" s="191"/>
      <c r="OOJ47" s="191"/>
      <c r="OOK47" s="191"/>
      <c r="OOL47" s="191"/>
      <c r="OOM47" s="191"/>
      <c r="OON47" s="191"/>
      <c r="OOO47" s="191"/>
      <c r="OOP47" s="191"/>
      <c r="OOQ47" s="191"/>
      <c r="OOR47" s="191"/>
      <c r="OOS47" s="191"/>
      <c r="OOT47" s="191"/>
      <c r="OOU47" s="191"/>
      <c r="OOV47" s="191"/>
      <c r="OOW47" s="191"/>
      <c r="OOX47" s="191"/>
      <c r="OOY47" s="191"/>
      <c r="OOZ47" s="191"/>
      <c r="OPA47" s="191"/>
      <c r="OPB47" s="191"/>
      <c r="OPC47" s="191"/>
      <c r="OPD47" s="191"/>
      <c r="OPE47" s="191"/>
      <c r="OPF47" s="191"/>
      <c r="OPG47" s="191"/>
      <c r="OPH47" s="191"/>
      <c r="OPI47" s="191"/>
      <c r="OPJ47" s="191"/>
      <c r="OPK47" s="191"/>
      <c r="OPL47" s="191"/>
      <c r="OPM47" s="191"/>
      <c r="OPN47" s="191"/>
      <c r="OPO47" s="191"/>
      <c r="OPP47" s="191"/>
      <c r="OPQ47" s="191"/>
      <c r="OPR47" s="191"/>
      <c r="OPS47" s="191"/>
      <c r="OPT47" s="191"/>
      <c r="OPU47" s="191"/>
      <c r="OPV47" s="191"/>
      <c r="OPW47" s="191"/>
      <c r="OPX47" s="191"/>
      <c r="OPY47" s="191"/>
      <c r="OPZ47" s="191"/>
      <c r="OQA47" s="191"/>
      <c r="OQB47" s="191"/>
      <c r="OQC47" s="191"/>
      <c r="OQD47" s="191"/>
      <c r="OQE47" s="191"/>
      <c r="OQF47" s="191"/>
      <c r="OQG47" s="191"/>
      <c r="OQH47" s="191"/>
      <c r="OQI47" s="191"/>
      <c r="OQJ47" s="191"/>
      <c r="OQK47" s="191"/>
      <c r="OQL47" s="191"/>
      <c r="OQM47" s="191"/>
      <c r="OQN47" s="191"/>
      <c r="OQO47" s="191"/>
      <c r="OQP47" s="191"/>
      <c r="OQQ47" s="191"/>
      <c r="OQR47" s="191"/>
      <c r="OQS47" s="191"/>
      <c r="OQT47" s="191"/>
      <c r="OQU47" s="191"/>
      <c r="OQV47" s="191"/>
      <c r="OQW47" s="191"/>
      <c r="OQX47" s="191"/>
      <c r="OQY47" s="191"/>
      <c r="OQZ47" s="191"/>
      <c r="ORA47" s="191"/>
      <c r="ORB47" s="191"/>
      <c r="ORC47" s="191"/>
      <c r="ORD47" s="191"/>
      <c r="ORE47" s="191"/>
      <c r="ORF47" s="191"/>
      <c r="ORG47" s="191"/>
      <c r="ORH47" s="191"/>
      <c r="ORI47" s="191"/>
      <c r="ORJ47" s="191"/>
      <c r="ORK47" s="191"/>
      <c r="ORL47" s="191"/>
      <c r="ORM47" s="191"/>
      <c r="ORN47" s="191"/>
      <c r="ORO47" s="191"/>
      <c r="ORP47" s="191"/>
      <c r="ORQ47" s="191"/>
      <c r="ORR47" s="191"/>
      <c r="ORS47" s="191"/>
      <c r="ORT47" s="191"/>
      <c r="ORU47" s="191"/>
      <c r="ORV47" s="191"/>
      <c r="ORW47" s="191"/>
      <c r="ORX47" s="191"/>
      <c r="ORY47" s="191"/>
      <c r="ORZ47" s="191"/>
      <c r="OSA47" s="191"/>
      <c r="OSB47" s="191"/>
      <c r="OSC47" s="191"/>
      <c r="OSD47" s="191"/>
      <c r="OSE47" s="191"/>
      <c r="OSF47" s="191"/>
      <c r="OSG47" s="191"/>
      <c r="OSH47" s="191"/>
      <c r="OSI47" s="191"/>
      <c r="OSJ47" s="191"/>
      <c r="OSK47" s="191"/>
      <c r="OSL47" s="191"/>
      <c r="OSM47" s="191"/>
      <c r="OSN47" s="191"/>
      <c r="OSO47" s="191"/>
      <c r="OSP47" s="191"/>
      <c r="OSQ47" s="191"/>
      <c r="OSR47" s="191"/>
      <c r="OSS47" s="191"/>
      <c r="OST47" s="191"/>
      <c r="OSU47" s="191"/>
      <c r="OSV47" s="191"/>
      <c r="OSW47" s="191"/>
      <c r="OSX47" s="191"/>
      <c r="OSY47" s="191"/>
      <c r="OSZ47" s="191"/>
      <c r="OTA47" s="191"/>
      <c r="OTB47" s="191"/>
      <c r="OTC47" s="191"/>
      <c r="OTD47" s="191"/>
      <c r="OTE47" s="191"/>
      <c r="OTF47" s="191"/>
      <c r="OTG47" s="191"/>
      <c r="OTH47" s="191"/>
      <c r="OTI47" s="191"/>
      <c r="OTJ47" s="191"/>
      <c r="OTK47" s="191"/>
      <c r="OTL47" s="191"/>
      <c r="OTM47" s="191"/>
      <c r="OTN47" s="191"/>
      <c r="OTO47" s="191"/>
      <c r="OTP47" s="191"/>
      <c r="OTQ47" s="191"/>
      <c r="OTR47" s="191"/>
      <c r="OTS47" s="191"/>
      <c r="OTT47" s="191"/>
      <c r="OTU47" s="191"/>
      <c r="OTV47" s="191"/>
      <c r="OTW47" s="191"/>
      <c r="OTX47" s="191"/>
      <c r="OTY47" s="191"/>
      <c r="OTZ47" s="191"/>
      <c r="OUA47" s="191"/>
      <c r="OUB47" s="191"/>
      <c r="OUC47" s="191"/>
      <c r="OUD47" s="191"/>
      <c r="OUE47" s="191"/>
      <c r="OUF47" s="191"/>
      <c r="OUG47" s="191"/>
      <c r="OUH47" s="191"/>
      <c r="OUI47" s="191"/>
      <c r="OUJ47" s="191"/>
      <c r="OUK47" s="191"/>
      <c r="OUL47" s="191"/>
      <c r="OUM47" s="191"/>
      <c r="OUN47" s="191"/>
      <c r="OUO47" s="191"/>
      <c r="OUP47" s="191"/>
      <c r="OUQ47" s="191"/>
      <c r="OUR47" s="191"/>
      <c r="OUS47" s="191"/>
      <c r="OUT47" s="191"/>
      <c r="OUU47" s="191"/>
      <c r="OUV47" s="191"/>
      <c r="OUW47" s="191"/>
      <c r="OUX47" s="191"/>
      <c r="OUY47" s="191"/>
      <c r="OUZ47" s="191"/>
      <c r="OVA47" s="191"/>
      <c r="OVB47" s="191"/>
      <c r="OVC47" s="191"/>
      <c r="OVD47" s="191"/>
      <c r="OVE47" s="191"/>
      <c r="OVF47" s="191"/>
      <c r="OVG47" s="191"/>
      <c r="OVH47" s="191"/>
      <c r="OVI47" s="191"/>
      <c r="OVJ47" s="191"/>
      <c r="OVK47" s="191"/>
      <c r="OVL47" s="191"/>
      <c r="OVM47" s="191"/>
      <c r="OVN47" s="191"/>
      <c r="OVO47" s="191"/>
      <c r="OVP47" s="191"/>
      <c r="OVQ47" s="191"/>
      <c r="OVR47" s="191"/>
      <c r="OVS47" s="191"/>
      <c r="OVT47" s="191"/>
      <c r="OVU47" s="191"/>
      <c r="OVV47" s="191"/>
      <c r="OVW47" s="191"/>
      <c r="OVX47" s="191"/>
      <c r="OVY47" s="191"/>
      <c r="OVZ47" s="191"/>
      <c r="OWA47" s="191"/>
      <c r="OWB47" s="191"/>
      <c r="OWC47" s="191"/>
      <c r="OWD47" s="191"/>
      <c r="OWE47" s="191"/>
      <c r="OWF47" s="191"/>
      <c r="OWG47" s="191"/>
      <c r="OWH47" s="191"/>
      <c r="OWI47" s="191"/>
      <c r="OWJ47" s="191"/>
      <c r="OWK47" s="191"/>
      <c r="OWL47" s="191"/>
      <c r="OWM47" s="191"/>
      <c r="OWN47" s="191"/>
      <c r="OWO47" s="191"/>
      <c r="OWP47" s="191"/>
      <c r="OWQ47" s="191"/>
      <c r="OWR47" s="191"/>
      <c r="OWS47" s="191"/>
      <c r="OWT47" s="191"/>
      <c r="OWU47" s="191"/>
      <c r="OWV47" s="191"/>
      <c r="OWW47" s="191"/>
      <c r="OWX47" s="191"/>
      <c r="OWY47" s="191"/>
      <c r="OWZ47" s="191"/>
      <c r="OXA47" s="191"/>
      <c r="OXB47" s="191"/>
      <c r="OXC47" s="191"/>
      <c r="OXD47" s="191"/>
      <c r="OXE47" s="191"/>
      <c r="OXF47" s="191"/>
      <c r="OXG47" s="191"/>
      <c r="OXH47" s="191"/>
      <c r="OXI47" s="191"/>
      <c r="OXJ47" s="191"/>
      <c r="OXK47" s="191"/>
      <c r="OXL47" s="191"/>
      <c r="OXM47" s="191"/>
      <c r="OXN47" s="191"/>
      <c r="OXO47" s="191"/>
      <c r="OXP47" s="191"/>
      <c r="OXQ47" s="191"/>
      <c r="OXR47" s="191"/>
      <c r="OXS47" s="191"/>
      <c r="OXT47" s="191"/>
      <c r="OXU47" s="191"/>
      <c r="OXV47" s="191"/>
      <c r="OXW47" s="191"/>
      <c r="OXX47" s="191"/>
      <c r="OXY47" s="191"/>
      <c r="OXZ47" s="191"/>
      <c r="OYA47" s="191"/>
      <c r="OYB47" s="191"/>
      <c r="OYC47" s="191"/>
      <c r="OYD47" s="191"/>
      <c r="OYE47" s="191"/>
      <c r="OYF47" s="191"/>
      <c r="OYG47" s="191"/>
      <c r="OYH47" s="191"/>
      <c r="OYI47" s="191"/>
      <c r="OYJ47" s="191"/>
      <c r="OYK47" s="191"/>
      <c r="OYL47" s="191"/>
      <c r="OYM47" s="191"/>
      <c r="OYN47" s="191"/>
      <c r="OYO47" s="191"/>
      <c r="OYP47" s="191"/>
      <c r="OYQ47" s="191"/>
      <c r="OYR47" s="191"/>
      <c r="OYS47" s="191"/>
      <c r="OYT47" s="191"/>
      <c r="OYU47" s="191"/>
      <c r="OYV47" s="191"/>
      <c r="OYW47" s="191"/>
      <c r="OYX47" s="191"/>
      <c r="OYY47" s="191"/>
      <c r="OYZ47" s="191"/>
      <c r="OZA47" s="191"/>
      <c r="OZB47" s="191"/>
      <c r="OZC47" s="191"/>
      <c r="OZD47" s="191"/>
      <c r="OZE47" s="191"/>
      <c r="OZF47" s="191"/>
      <c r="OZG47" s="191"/>
      <c r="OZH47" s="191"/>
      <c r="OZI47" s="191"/>
      <c r="OZJ47" s="191"/>
      <c r="OZK47" s="191"/>
      <c r="OZL47" s="191"/>
      <c r="OZM47" s="191"/>
      <c r="OZN47" s="191"/>
      <c r="OZO47" s="191"/>
      <c r="OZP47" s="191"/>
      <c r="OZQ47" s="191"/>
      <c r="OZR47" s="191"/>
      <c r="OZS47" s="191"/>
      <c r="OZT47" s="191"/>
      <c r="OZU47" s="191"/>
      <c r="OZV47" s="191"/>
      <c r="OZW47" s="191"/>
      <c r="OZX47" s="191"/>
      <c r="OZY47" s="191"/>
      <c r="OZZ47" s="191"/>
      <c r="PAA47" s="191"/>
      <c r="PAB47" s="191"/>
      <c r="PAC47" s="191"/>
      <c r="PAD47" s="191"/>
      <c r="PAE47" s="191"/>
      <c r="PAF47" s="191"/>
      <c r="PAG47" s="191"/>
      <c r="PAH47" s="191"/>
      <c r="PAI47" s="191"/>
      <c r="PAJ47" s="191"/>
      <c r="PAK47" s="191"/>
      <c r="PAL47" s="191"/>
      <c r="PAM47" s="191"/>
      <c r="PAN47" s="191"/>
      <c r="PAO47" s="191"/>
      <c r="PAP47" s="191"/>
      <c r="PAQ47" s="191"/>
      <c r="PAR47" s="191"/>
      <c r="PAS47" s="191"/>
      <c r="PAT47" s="191"/>
      <c r="PAU47" s="191"/>
      <c r="PAV47" s="191"/>
      <c r="PAW47" s="191"/>
      <c r="PAX47" s="191"/>
      <c r="PAY47" s="191"/>
      <c r="PAZ47" s="191"/>
      <c r="PBA47" s="191"/>
      <c r="PBB47" s="191"/>
      <c r="PBC47" s="191"/>
      <c r="PBD47" s="191"/>
      <c r="PBE47" s="191"/>
      <c r="PBF47" s="191"/>
      <c r="PBG47" s="191"/>
      <c r="PBH47" s="191"/>
      <c r="PBI47" s="191"/>
      <c r="PBJ47" s="191"/>
      <c r="PBK47" s="191"/>
      <c r="PBL47" s="191"/>
      <c r="PBM47" s="191"/>
      <c r="PBN47" s="191"/>
      <c r="PBO47" s="191"/>
      <c r="PBP47" s="191"/>
      <c r="PBQ47" s="191"/>
      <c r="PBR47" s="191"/>
      <c r="PBS47" s="191"/>
      <c r="PBT47" s="191"/>
      <c r="PBU47" s="191"/>
      <c r="PBV47" s="191"/>
      <c r="PBW47" s="191"/>
      <c r="PBX47" s="191"/>
      <c r="PBY47" s="191"/>
      <c r="PBZ47" s="191"/>
      <c r="PCA47" s="191"/>
      <c r="PCB47" s="191"/>
      <c r="PCC47" s="191"/>
      <c r="PCD47" s="191"/>
      <c r="PCE47" s="191"/>
      <c r="PCF47" s="191"/>
      <c r="PCG47" s="191"/>
      <c r="PCH47" s="191"/>
      <c r="PCI47" s="191"/>
      <c r="PCJ47" s="191"/>
      <c r="PCK47" s="191"/>
      <c r="PCL47" s="191"/>
      <c r="PCM47" s="191"/>
      <c r="PCN47" s="191"/>
      <c r="PCO47" s="191"/>
      <c r="PCP47" s="191"/>
      <c r="PCQ47" s="191"/>
      <c r="PCR47" s="191"/>
      <c r="PCS47" s="191"/>
      <c r="PCT47" s="191"/>
      <c r="PCU47" s="191"/>
      <c r="PCV47" s="191"/>
      <c r="PCW47" s="191"/>
      <c r="PCX47" s="191"/>
      <c r="PCY47" s="191"/>
      <c r="PCZ47" s="191"/>
      <c r="PDA47" s="191"/>
      <c r="PDB47" s="191"/>
      <c r="PDC47" s="191"/>
      <c r="PDD47" s="191"/>
      <c r="PDE47" s="191"/>
      <c r="PDF47" s="191"/>
      <c r="PDG47" s="191"/>
      <c r="PDH47" s="191"/>
      <c r="PDI47" s="191"/>
      <c r="PDJ47" s="191"/>
      <c r="PDK47" s="191"/>
      <c r="PDL47" s="191"/>
      <c r="PDM47" s="191"/>
      <c r="PDN47" s="191"/>
      <c r="PDO47" s="191"/>
      <c r="PDP47" s="191"/>
      <c r="PDQ47" s="191"/>
      <c r="PDR47" s="191"/>
      <c r="PDS47" s="191"/>
      <c r="PDT47" s="191"/>
      <c r="PDU47" s="191"/>
      <c r="PDV47" s="191"/>
      <c r="PDW47" s="191"/>
      <c r="PDX47" s="191"/>
      <c r="PDY47" s="191"/>
      <c r="PDZ47" s="191"/>
      <c r="PEA47" s="191"/>
      <c r="PEB47" s="191"/>
      <c r="PEC47" s="191"/>
      <c r="PED47" s="191"/>
      <c r="PEE47" s="191"/>
      <c r="PEF47" s="191"/>
      <c r="PEG47" s="191"/>
      <c r="PEH47" s="191"/>
      <c r="PEI47" s="191"/>
      <c r="PEJ47" s="191"/>
      <c r="PEK47" s="191"/>
      <c r="PEL47" s="191"/>
      <c r="PEM47" s="191"/>
      <c r="PEN47" s="191"/>
      <c r="PEO47" s="191"/>
      <c r="PEP47" s="191"/>
      <c r="PEQ47" s="191"/>
      <c r="PER47" s="191"/>
      <c r="PES47" s="191"/>
      <c r="PET47" s="191"/>
      <c r="PEU47" s="191"/>
      <c r="PEV47" s="191"/>
      <c r="PEW47" s="191"/>
      <c r="PEX47" s="191"/>
      <c r="PEY47" s="191"/>
      <c r="PEZ47" s="191"/>
      <c r="PFA47" s="191"/>
      <c r="PFB47" s="191"/>
      <c r="PFC47" s="191"/>
      <c r="PFD47" s="191"/>
      <c r="PFE47" s="191"/>
      <c r="PFF47" s="191"/>
      <c r="PFG47" s="191"/>
      <c r="PFH47" s="191"/>
      <c r="PFI47" s="191"/>
      <c r="PFJ47" s="191"/>
      <c r="PFK47" s="191"/>
      <c r="PFL47" s="191"/>
      <c r="PFM47" s="191"/>
      <c r="PFN47" s="191"/>
      <c r="PFO47" s="191"/>
      <c r="PFP47" s="191"/>
      <c r="PFQ47" s="191"/>
      <c r="PFR47" s="191"/>
      <c r="PFS47" s="191"/>
      <c r="PFT47" s="191"/>
      <c r="PFU47" s="191"/>
      <c r="PFV47" s="191"/>
      <c r="PFW47" s="191"/>
      <c r="PFX47" s="191"/>
      <c r="PFY47" s="191"/>
      <c r="PFZ47" s="191"/>
      <c r="PGA47" s="191"/>
      <c r="PGB47" s="191"/>
      <c r="PGC47" s="191"/>
      <c r="PGD47" s="191"/>
      <c r="PGE47" s="191"/>
      <c r="PGF47" s="191"/>
      <c r="PGG47" s="191"/>
      <c r="PGH47" s="191"/>
      <c r="PGI47" s="191"/>
      <c r="PGJ47" s="191"/>
      <c r="PGK47" s="191"/>
      <c r="PGL47" s="191"/>
      <c r="PGM47" s="191"/>
      <c r="PGN47" s="191"/>
      <c r="PGO47" s="191"/>
      <c r="PGP47" s="191"/>
      <c r="PGQ47" s="191"/>
      <c r="PGR47" s="191"/>
      <c r="PGS47" s="191"/>
      <c r="PGT47" s="191"/>
      <c r="PGU47" s="191"/>
      <c r="PGV47" s="191"/>
      <c r="PGW47" s="191"/>
      <c r="PGX47" s="191"/>
      <c r="PGY47" s="191"/>
      <c r="PGZ47" s="191"/>
      <c r="PHA47" s="191"/>
      <c r="PHB47" s="191"/>
      <c r="PHC47" s="191"/>
      <c r="PHD47" s="191"/>
      <c r="PHE47" s="191"/>
      <c r="PHF47" s="191"/>
      <c r="PHG47" s="191"/>
      <c r="PHH47" s="191"/>
      <c r="PHI47" s="191"/>
      <c r="PHJ47" s="191"/>
      <c r="PHK47" s="191"/>
      <c r="PHL47" s="191"/>
      <c r="PHM47" s="191"/>
      <c r="PHN47" s="191"/>
      <c r="PHO47" s="191"/>
      <c r="PHP47" s="191"/>
      <c r="PHQ47" s="191"/>
      <c r="PHR47" s="191"/>
      <c r="PHS47" s="191"/>
      <c r="PHT47" s="191"/>
      <c r="PHU47" s="191"/>
      <c r="PHV47" s="191"/>
      <c r="PHW47" s="191"/>
      <c r="PHX47" s="191"/>
      <c r="PHY47" s="191"/>
      <c r="PHZ47" s="191"/>
      <c r="PIA47" s="191"/>
      <c r="PIB47" s="191"/>
      <c r="PIC47" s="191"/>
      <c r="PID47" s="191"/>
      <c r="PIE47" s="191"/>
      <c r="PIF47" s="191"/>
      <c r="PIG47" s="191"/>
      <c r="PIH47" s="191"/>
      <c r="PII47" s="191"/>
      <c r="PIJ47" s="191"/>
      <c r="PIK47" s="191"/>
      <c r="PIL47" s="191"/>
      <c r="PIM47" s="191"/>
      <c r="PIN47" s="191"/>
      <c r="PIO47" s="191"/>
      <c r="PIP47" s="191"/>
      <c r="PIQ47" s="191"/>
      <c r="PIR47" s="191"/>
      <c r="PIS47" s="191"/>
      <c r="PIT47" s="191"/>
      <c r="PIU47" s="191"/>
      <c r="PIV47" s="191"/>
      <c r="PIW47" s="191"/>
      <c r="PIX47" s="191"/>
      <c r="PIY47" s="191"/>
      <c r="PIZ47" s="191"/>
      <c r="PJA47" s="191"/>
      <c r="PJB47" s="191"/>
      <c r="PJC47" s="191"/>
      <c r="PJD47" s="191"/>
      <c r="PJE47" s="191"/>
      <c r="PJF47" s="191"/>
      <c r="PJG47" s="191"/>
      <c r="PJH47" s="191"/>
      <c r="PJI47" s="191"/>
      <c r="PJJ47" s="191"/>
      <c r="PJK47" s="191"/>
      <c r="PJL47" s="191"/>
      <c r="PJM47" s="191"/>
      <c r="PJN47" s="191"/>
      <c r="PJO47" s="191"/>
      <c r="PJP47" s="191"/>
      <c r="PJQ47" s="191"/>
      <c r="PJR47" s="191"/>
      <c r="PJS47" s="191"/>
      <c r="PJT47" s="191"/>
      <c r="PJU47" s="191"/>
      <c r="PJV47" s="191"/>
      <c r="PJW47" s="191"/>
      <c r="PJX47" s="191"/>
      <c r="PJY47" s="191"/>
      <c r="PJZ47" s="191"/>
      <c r="PKA47" s="191"/>
      <c r="PKB47" s="191"/>
      <c r="PKC47" s="191"/>
      <c r="PKD47" s="191"/>
      <c r="PKE47" s="191"/>
      <c r="PKF47" s="191"/>
      <c r="PKG47" s="191"/>
      <c r="PKH47" s="191"/>
      <c r="PKI47" s="191"/>
      <c r="PKJ47" s="191"/>
      <c r="PKK47" s="191"/>
      <c r="PKL47" s="191"/>
      <c r="PKM47" s="191"/>
      <c r="PKN47" s="191"/>
      <c r="PKO47" s="191"/>
      <c r="PKP47" s="191"/>
      <c r="PKQ47" s="191"/>
      <c r="PKR47" s="191"/>
      <c r="PKS47" s="191"/>
      <c r="PKT47" s="191"/>
      <c r="PKU47" s="191"/>
      <c r="PKV47" s="191"/>
      <c r="PKW47" s="191"/>
      <c r="PKX47" s="191"/>
      <c r="PKY47" s="191"/>
      <c r="PKZ47" s="191"/>
      <c r="PLA47" s="191"/>
      <c r="PLB47" s="191"/>
      <c r="PLC47" s="191"/>
      <c r="PLD47" s="191"/>
      <c r="PLE47" s="191"/>
      <c r="PLF47" s="191"/>
      <c r="PLG47" s="191"/>
      <c r="PLH47" s="191"/>
      <c r="PLI47" s="191"/>
      <c r="PLJ47" s="191"/>
      <c r="PLK47" s="191"/>
      <c r="PLL47" s="191"/>
      <c r="PLM47" s="191"/>
      <c r="PLN47" s="191"/>
      <c r="PLO47" s="191"/>
      <c r="PLP47" s="191"/>
      <c r="PLQ47" s="191"/>
      <c r="PLR47" s="191"/>
      <c r="PLS47" s="191"/>
      <c r="PLT47" s="191"/>
      <c r="PLU47" s="191"/>
      <c r="PLV47" s="191"/>
      <c r="PLW47" s="191"/>
      <c r="PLX47" s="191"/>
      <c r="PLY47" s="191"/>
      <c r="PLZ47" s="191"/>
      <c r="PMA47" s="191"/>
      <c r="PMB47" s="191"/>
      <c r="PMC47" s="191"/>
      <c r="PMD47" s="191"/>
      <c r="PME47" s="191"/>
      <c r="PMF47" s="191"/>
      <c r="PMG47" s="191"/>
      <c r="PMH47" s="191"/>
      <c r="PMI47" s="191"/>
      <c r="PMJ47" s="191"/>
      <c r="PMK47" s="191"/>
      <c r="PML47" s="191"/>
      <c r="PMM47" s="191"/>
      <c r="PMN47" s="191"/>
      <c r="PMO47" s="191"/>
      <c r="PMP47" s="191"/>
      <c r="PMQ47" s="191"/>
      <c r="PMR47" s="191"/>
      <c r="PMS47" s="191"/>
      <c r="PMT47" s="191"/>
      <c r="PMU47" s="191"/>
      <c r="PMV47" s="191"/>
      <c r="PMW47" s="191"/>
      <c r="PMX47" s="191"/>
      <c r="PMY47" s="191"/>
      <c r="PMZ47" s="191"/>
      <c r="PNA47" s="191"/>
      <c r="PNB47" s="191"/>
      <c r="PNC47" s="191"/>
      <c r="PND47" s="191"/>
      <c r="PNE47" s="191"/>
      <c r="PNF47" s="191"/>
      <c r="PNG47" s="191"/>
      <c r="PNH47" s="191"/>
      <c r="PNI47" s="191"/>
      <c r="PNJ47" s="191"/>
      <c r="PNK47" s="191"/>
      <c r="PNL47" s="191"/>
      <c r="PNM47" s="191"/>
      <c r="PNN47" s="191"/>
      <c r="PNO47" s="191"/>
      <c r="PNP47" s="191"/>
      <c r="PNQ47" s="191"/>
      <c r="PNR47" s="191"/>
      <c r="PNS47" s="191"/>
      <c r="PNT47" s="191"/>
      <c r="PNU47" s="191"/>
      <c r="PNV47" s="191"/>
      <c r="PNW47" s="191"/>
      <c r="PNX47" s="191"/>
      <c r="PNY47" s="191"/>
      <c r="PNZ47" s="191"/>
      <c r="POA47" s="191"/>
      <c r="POB47" s="191"/>
      <c r="POC47" s="191"/>
      <c r="POD47" s="191"/>
      <c r="POE47" s="191"/>
      <c r="POF47" s="191"/>
      <c r="POG47" s="191"/>
      <c r="POH47" s="191"/>
      <c r="POI47" s="191"/>
      <c r="POJ47" s="191"/>
      <c r="POK47" s="191"/>
      <c r="POL47" s="191"/>
      <c r="POM47" s="191"/>
      <c r="PON47" s="191"/>
      <c r="POO47" s="191"/>
      <c r="POP47" s="191"/>
      <c r="POQ47" s="191"/>
      <c r="POR47" s="191"/>
      <c r="POS47" s="191"/>
      <c r="POT47" s="191"/>
      <c r="POU47" s="191"/>
      <c r="POV47" s="191"/>
      <c r="POW47" s="191"/>
      <c r="POX47" s="191"/>
      <c r="POY47" s="191"/>
      <c r="POZ47" s="191"/>
      <c r="PPA47" s="191"/>
      <c r="PPB47" s="191"/>
      <c r="PPC47" s="191"/>
      <c r="PPD47" s="191"/>
      <c r="PPE47" s="191"/>
      <c r="PPF47" s="191"/>
      <c r="PPG47" s="191"/>
      <c r="PPH47" s="191"/>
      <c r="PPI47" s="191"/>
      <c r="PPJ47" s="191"/>
      <c r="PPK47" s="191"/>
      <c r="PPL47" s="191"/>
      <c r="PPM47" s="191"/>
      <c r="PPN47" s="191"/>
      <c r="PPO47" s="191"/>
      <c r="PPP47" s="191"/>
      <c r="PPQ47" s="191"/>
      <c r="PPR47" s="191"/>
      <c r="PPS47" s="191"/>
      <c r="PPT47" s="191"/>
      <c r="PPU47" s="191"/>
      <c r="PPV47" s="191"/>
      <c r="PPW47" s="191"/>
      <c r="PPX47" s="191"/>
      <c r="PPY47" s="191"/>
      <c r="PPZ47" s="191"/>
      <c r="PQA47" s="191"/>
      <c r="PQB47" s="191"/>
      <c r="PQC47" s="191"/>
      <c r="PQD47" s="191"/>
      <c r="PQE47" s="191"/>
      <c r="PQF47" s="191"/>
      <c r="PQG47" s="191"/>
      <c r="PQH47" s="191"/>
      <c r="PQI47" s="191"/>
      <c r="PQJ47" s="191"/>
      <c r="PQK47" s="191"/>
      <c r="PQL47" s="191"/>
      <c r="PQM47" s="191"/>
      <c r="PQN47" s="191"/>
      <c r="PQO47" s="191"/>
      <c r="PQP47" s="191"/>
      <c r="PQQ47" s="191"/>
      <c r="PQR47" s="191"/>
      <c r="PQS47" s="191"/>
      <c r="PQT47" s="191"/>
      <c r="PQU47" s="191"/>
      <c r="PQV47" s="191"/>
      <c r="PQW47" s="191"/>
      <c r="PQX47" s="191"/>
      <c r="PQY47" s="191"/>
      <c r="PQZ47" s="191"/>
      <c r="PRA47" s="191"/>
      <c r="PRB47" s="191"/>
      <c r="PRC47" s="191"/>
      <c r="PRD47" s="191"/>
      <c r="PRE47" s="191"/>
      <c r="PRF47" s="191"/>
      <c r="PRG47" s="191"/>
      <c r="PRH47" s="191"/>
      <c r="PRI47" s="191"/>
      <c r="PRJ47" s="191"/>
      <c r="PRK47" s="191"/>
      <c r="PRL47" s="191"/>
      <c r="PRM47" s="191"/>
      <c r="PRN47" s="191"/>
      <c r="PRO47" s="191"/>
      <c r="PRP47" s="191"/>
      <c r="PRQ47" s="191"/>
      <c r="PRR47" s="191"/>
      <c r="PRS47" s="191"/>
      <c r="PRT47" s="191"/>
      <c r="PRU47" s="191"/>
      <c r="PRV47" s="191"/>
      <c r="PRW47" s="191"/>
      <c r="PRX47" s="191"/>
      <c r="PRY47" s="191"/>
      <c r="PRZ47" s="191"/>
      <c r="PSA47" s="191"/>
      <c r="PSB47" s="191"/>
      <c r="PSC47" s="191"/>
      <c r="PSD47" s="191"/>
      <c r="PSE47" s="191"/>
      <c r="PSF47" s="191"/>
      <c r="PSG47" s="191"/>
      <c r="PSH47" s="191"/>
      <c r="PSI47" s="191"/>
      <c r="PSJ47" s="191"/>
      <c r="PSK47" s="191"/>
      <c r="PSL47" s="191"/>
      <c r="PSM47" s="191"/>
      <c r="PSN47" s="191"/>
      <c r="PSO47" s="191"/>
      <c r="PSP47" s="191"/>
      <c r="PSQ47" s="191"/>
      <c r="PSR47" s="191"/>
      <c r="PSS47" s="191"/>
      <c r="PST47" s="191"/>
      <c r="PSU47" s="191"/>
      <c r="PSV47" s="191"/>
      <c r="PSW47" s="191"/>
      <c r="PSX47" s="191"/>
      <c r="PSY47" s="191"/>
      <c r="PSZ47" s="191"/>
      <c r="PTA47" s="191"/>
      <c r="PTB47" s="191"/>
      <c r="PTC47" s="191"/>
      <c r="PTD47" s="191"/>
      <c r="PTE47" s="191"/>
      <c r="PTF47" s="191"/>
      <c r="PTG47" s="191"/>
      <c r="PTH47" s="191"/>
      <c r="PTI47" s="191"/>
      <c r="PTJ47" s="191"/>
      <c r="PTK47" s="191"/>
      <c r="PTL47" s="191"/>
      <c r="PTM47" s="191"/>
      <c r="PTN47" s="191"/>
      <c r="PTO47" s="191"/>
      <c r="PTP47" s="191"/>
      <c r="PTQ47" s="191"/>
      <c r="PTR47" s="191"/>
      <c r="PTS47" s="191"/>
      <c r="PTT47" s="191"/>
      <c r="PTU47" s="191"/>
      <c r="PTV47" s="191"/>
      <c r="PTW47" s="191"/>
      <c r="PTX47" s="191"/>
      <c r="PTY47" s="191"/>
      <c r="PTZ47" s="191"/>
      <c r="PUA47" s="191"/>
      <c r="PUB47" s="191"/>
      <c r="PUC47" s="191"/>
      <c r="PUD47" s="191"/>
      <c r="PUE47" s="191"/>
      <c r="PUF47" s="191"/>
      <c r="PUG47" s="191"/>
      <c r="PUH47" s="191"/>
      <c r="PUI47" s="191"/>
      <c r="PUJ47" s="191"/>
      <c r="PUK47" s="191"/>
      <c r="PUL47" s="191"/>
      <c r="PUM47" s="191"/>
      <c r="PUN47" s="191"/>
      <c r="PUO47" s="191"/>
      <c r="PUP47" s="191"/>
      <c r="PUQ47" s="191"/>
      <c r="PUR47" s="191"/>
      <c r="PUS47" s="191"/>
      <c r="PUT47" s="191"/>
      <c r="PUU47" s="191"/>
      <c r="PUV47" s="191"/>
      <c r="PUW47" s="191"/>
      <c r="PUX47" s="191"/>
      <c r="PUY47" s="191"/>
      <c r="PUZ47" s="191"/>
      <c r="PVA47" s="191"/>
      <c r="PVB47" s="191"/>
      <c r="PVC47" s="191"/>
      <c r="PVD47" s="191"/>
      <c r="PVE47" s="191"/>
      <c r="PVF47" s="191"/>
      <c r="PVG47" s="191"/>
      <c r="PVH47" s="191"/>
      <c r="PVI47" s="191"/>
      <c r="PVJ47" s="191"/>
      <c r="PVK47" s="191"/>
      <c r="PVL47" s="191"/>
      <c r="PVM47" s="191"/>
      <c r="PVN47" s="191"/>
      <c r="PVO47" s="191"/>
      <c r="PVP47" s="191"/>
      <c r="PVQ47" s="191"/>
      <c r="PVR47" s="191"/>
      <c r="PVS47" s="191"/>
      <c r="PVT47" s="191"/>
      <c r="PVU47" s="191"/>
      <c r="PVV47" s="191"/>
      <c r="PVW47" s="191"/>
      <c r="PVX47" s="191"/>
      <c r="PVY47" s="191"/>
      <c r="PVZ47" s="191"/>
      <c r="PWA47" s="191"/>
      <c r="PWB47" s="191"/>
      <c r="PWC47" s="191"/>
      <c r="PWD47" s="191"/>
      <c r="PWE47" s="191"/>
      <c r="PWF47" s="191"/>
      <c r="PWG47" s="191"/>
      <c r="PWH47" s="191"/>
      <c r="PWI47" s="191"/>
      <c r="PWJ47" s="191"/>
      <c r="PWK47" s="191"/>
      <c r="PWL47" s="191"/>
      <c r="PWM47" s="191"/>
      <c r="PWN47" s="191"/>
      <c r="PWO47" s="191"/>
      <c r="PWP47" s="191"/>
      <c r="PWQ47" s="191"/>
      <c r="PWR47" s="191"/>
      <c r="PWS47" s="191"/>
      <c r="PWT47" s="191"/>
      <c r="PWU47" s="191"/>
      <c r="PWV47" s="191"/>
      <c r="PWW47" s="191"/>
      <c r="PWX47" s="191"/>
      <c r="PWY47" s="191"/>
      <c r="PWZ47" s="191"/>
      <c r="PXA47" s="191"/>
      <c r="PXB47" s="191"/>
      <c r="PXC47" s="191"/>
      <c r="PXD47" s="191"/>
      <c r="PXE47" s="191"/>
      <c r="PXF47" s="191"/>
      <c r="PXG47" s="191"/>
      <c r="PXH47" s="191"/>
      <c r="PXI47" s="191"/>
      <c r="PXJ47" s="191"/>
      <c r="PXK47" s="191"/>
      <c r="PXL47" s="191"/>
      <c r="PXM47" s="191"/>
      <c r="PXN47" s="191"/>
      <c r="PXO47" s="191"/>
      <c r="PXP47" s="191"/>
      <c r="PXQ47" s="191"/>
      <c r="PXR47" s="191"/>
      <c r="PXS47" s="191"/>
      <c r="PXT47" s="191"/>
      <c r="PXU47" s="191"/>
      <c r="PXV47" s="191"/>
      <c r="PXW47" s="191"/>
      <c r="PXX47" s="191"/>
      <c r="PXY47" s="191"/>
      <c r="PXZ47" s="191"/>
      <c r="PYA47" s="191"/>
      <c r="PYB47" s="191"/>
      <c r="PYC47" s="191"/>
      <c r="PYD47" s="191"/>
      <c r="PYE47" s="191"/>
      <c r="PYF47" s="191"/>
      <c r="PYG47" s="191"/>
      <c r="PYH47" s="191"/>
      <c r="PYI47" s="191"/>
      <c r="PYJ47" s="191"/>
      <c r="PYK47" s="191"/>
      <c r="PYL47" s="191"/>
      <c r="PYM47" s="191"/>
      <c r="PYN47" s="191"/>
      <c r="PYO47" s="191"/>
      <c r="PYP47" s="191"/>
      <c r="PYQ47" s="191"/>
      <c r="PYR47" s="191"/>
      <c r="PYS47" s="191"/>
      <c r="PYT47" s="191"/>
      <c r="PYU47" s="191"/>
      <c r="PYV47" s="191"/>
      <c r="PYW47" s="191"/>
      <c r="PYX47" s="191"/>
      <c r="PYY47" s="191"/>
      <c r="PYZ47" s="191"/>
      <c r="PZA47" s="191"/>
      <c r="PZB47" s="191"/>
      <c r="PZC47" s="191"/>
      <c r="PZD47" s="191"/>
      <c r="PZE47" s="191"/>
      <c r="PZF47" s="191"/>
      <c r="PZG47" s="191"/>
      <c r="PZH47" s="191"/>
      <c r="PZI47" s="191"/>
      <c r="PZJ47" s="191"/>
      <c r="PZK47" s="191"/>
      <c r="PZL47" s="191"/>
      <c r="PZM47" s="191"/>
      <c r="PZN47" s="191"/>
      <c r="PZO47" s="191"/>
      <c r="PZP47" s="191"/>
      <c r="PZQ47" s="191"/>
      <c r="PZR47" s="191"/>
      <c r="PZS47" s="191"/>
      <c r="PZT47" s="191"/>
      <c r="PZU47" s="191"/>
      <c r="PZV47" s="191"/>
      <c r="PZW47" s="191"/>
      <c r="PZX47" s="191"/>
      <c r="PZY47" s="191"/>
      <c r="PZZ47" s="191"/>
      <c r="QAA47" s="191"/>
      <c r="QAB47" s="191"/>
      <c r="QAC47" s="191"/>
      <c r="QAD47" s="191"/>
      <c r="QAE47" s="191"/>
      <c r="QAF47" s="191"/>
      <c r="QAG47" s="191"/>
      <c r="QAH47" s="191"/>
      <c r="QAI47" s="191"/>
      <c r="QAJ47" s="191"/>
      <c r="QAK47" s="191"/>
      <c r="QAL47" s="191"/>
      <c r="QAM47" s="191"/>
      <c r="QAN47" s="191"/>
      <c r="QAO47" s="191"/>
      <c r="QAP47" s="191"/>
      <c r="QAQ47" s="191"/>
      <c r="QAR47" s="191"/>
      <c r="QAS47" s="191"/>
      <c r="QAT47" s="191"/>
      <c r="QAU47" s="191"/>
      <c r="QAV47" s="191"/>
      <c r="QAW47" s="191"/>
      <c r="QAX47" s="191"/>
      <c r="QAY47" s="191"/>
      <c r="QAZ47" s="191"/>
      <c r="QBA47" s="191"/>
      <c r="QBB47" s="191"/>
      <c r="QBC47" s="191"/>
      <c r="QBD47" s="191"/>
      <c r="QBE47" s="191"/>
      <c r="QBF47" s="191"/>
      <c r="QBG47" s="191"/>
      <c r="QBH47" s="191"/>
      <c r="QBI47" s="191"/>
      <c r="QBJ47" s="191"/>
      <c r="QBK47" s="191"/>
      <c r="QBL47" s="191"/>
      <c r="QBM47" s="191"/>
      <c r="QBN47" s="191"/>
      <c r="QBO47" s="191"/>
      <c r="QBP47" s="191"/>
      <c r="QBQ47" s="191"/>
      <c r="QBR47" s="191"/>
      <c r="QBS47" s="191"/>
      <c r="QBT47" s="191"/>
      <c r="QBU47" s="191"/>
      <c r="QBV47" s="191"/>
      <c r="QBW47" s="191"/>
      <c r="QBX47" s="191"/>
      <c r="QBY47" s="191"/>
      <c r="QBZ47" s="191"/>
      <c r="QCA47" s="191"/>
      <c r="QCB47" s="191"/>
      <c r="QCC47" s="191"/>
      <c r="QCD47" s="191"/>
      <c r="QCE47" s="191"/>
      <c r="QCF47" s="191"/>
      <c r="QCG47" s="191"/>
      <c r="QCH47" s="191"/>
      <c r="QCI47" s="191"/>
      <c r="QCJ47" s="191"/>
      <c r="QCK47" s="191"/>
      <c r="QCL47" s="191"/>
      <c r="QCM47" s="191"/>
      <c r="QCN47" s="191"/>
      <c r="QCO47" s="191"/>
      <c r="QCP47" s="191"/>
      <c r="QCQ47" s="191"/>
      <c r="QCR47" s="191"/>
      <c r="QCS47" s="191"/>
      <c r="QCT47" s="191"/>
      <c r="QCU47" s="191"/>
      <c r="QCV47" s="191"/>
      <c r="QCW47" s="191"/>
      <c r="QCX47" s="191"/>
      <c r="QCY47" s="191"/>
      <c r="QCZ47" s="191"/>
      <c r="QDA47" s="191"/>
      <c r="QDB47" s="191"/>
      <c r="QDC47" s="191"/>
      <c r="QDD47" s="191"/>
      <c r="QDE47" s="191"/>
      <c r="QDF47" s="191"/>
      <c r="QDG47" s="191"/>
      <c r="QDH47" s="191"/>
      <c r="QDI47" s="191"/>
      <c r="QDJ47" s="191"/>
      <c r="QDK47" s="191"/>
      <c r="QDL47" s="191"/>
      <c r="QDM47" s="191"/>
      <c r="QDN47" s="191"/>
      <c r="QDO47" s="191"/>
      <c r="QDP47" s="191"/>
      <c r="QDQ47" s="191"/>
      <c r="QDR47" s="191"/>
      <c r="QDS47" s="191"/>
      <c r="QDT47" s="191"/>
      <c r="QDU47" s="191"/>
      <c r="QDV47" s="191"/>
      <c r="QDW47" s="191"/>
      <c r="QDX47" s="191"/>
      <c r="QDY47" s="191"/>
      <c r="QDZ47" s="191"/>
      <c r="QEA47" s="191"/>
      <c r="QEB47" s="191"/>
      <c r="QEC47" s="191"/>
      <c r="QED47" s="191"/>
      <c r="QEE47" s="191"/>
      <c r="QEF47" s="191"/>
      <c r="QEG47" s="191"/>
      <c r="QEH47" s="191"/>
      <c r="QEI47" s="191"/>
      <c r="QEJ47" s="191"/>
      <c r="QEK47" s="191"/>
      <c r="QEL47" s="191"/>
      <c r="QEM47" s="191"/>
      <c r="QEN47" s="191"/>
      <c r="QEO47" s="191"/>
      <c r="QEP47" s="191"/>
      <c r="QEQ47" s="191"/>
      <c r="QER47" s="191"/>
      <c r="QES47" s="191"/>
      <c r="QET47" s="191"/>
      <c r="QEU47" s="191"/>
      <c r="QEV47" s="191"/>
      <c r="QEW47" s="191"/>
      <c r="QEX47" s="191"/>
      <c r="QEY47" s="191"/>
      <c r="QEZ47" s="191"/>
      <c r="QFA47" s="191"/>
      <c r="QFB47" s="191"/>
      <c r="QFC47" s="191"/>
      <c r="QFD47" s="191"/>
      <c r="QFE47" s="191"/>
      <c r="QFF47" s="191"/>
      <c r="QFG47" s="191"/>
      <c r="QFH47" s="191"/>
      <c r="QFI47" s="191"/>
      <c r="QFJ47" s="191"/>
      <c r="QFK47" s="191"/>
      <c r="QFL47" s="191"/>
      <c r="QFM47" s="191"/>
      <c r="QFN47" s="191"/>
      <c r="QFO47" s="191"/>
      <c r="QFP47" s="191"/>
      <c r="QFQ47" s="191"/>
      <c r="QFR47" s="191"/>
      <c r="QFS47" s="191"/>
      <c r="QFT47" s="191"/>
      <c r="QFU47" s="191"/>
      <c r="QFV47" s="191"/>
      <c r="QFW47" s="191"/>
      <c r="QFX47" s="191"/>
      <c r="QFY47" s="191"/>
      <c r="QFZ47" s="191"/>
      <c r="QGA47" s="191"/>
      <c r="QGB47" s="191"/>
      <c r="QGC47" s="191"/>
      <c r="QGD47" s="191"/>
      <c r="QGE47" s="191"/>
      <c r="QGF47" s="191"/>
      <c r="QGG47" s="191"/>
      <c r="QGH47" s="191"/>
      <c r="QGI47" s="191"/>
      <c r="QGJ47" s="191"/>
      <c r="QGK47" s="191"/>
      <c r="QGL47" s="191"/>
      <c r="QGM47" s="191"/>
      <c r="QGN47" s="191"/>
      <c r="QGO47" s="191"/>
      <c r="QGP47" s="191"/>
      <c r="QGQ47" s="191"/>
      <c r="QGR47" s="191"/>
      <c r="QGS47" s="191"/>
      <c r="QGT47" s="191"/>
      <c r="QGU47" s="191"/>
      <c r="QGV47" s="191"/>
      <c r="QGW47" s="191"/>
      <c r="QGX47" s="191"/>
      <c r="QGY47" s="191"/>
      <c r="QGZ47" s="191"/>
      <c r="QHA47" s="191"/>
      <c r="QHB47" s="191"/>
      <c r="QHC47" s="191"/>
      <c r="QHD47" s="191"/>
      <c r="QHE47" s="191"/>
      <c r="QHF47" s="191"/>
      <c r="QHG47" s="191"/>
      <c r="QHH47" s="191"/>
      <c r="QHI47" s="191"/>
      <c r="QHJ47" s="191"/>
      <c r="QHK47" s="191"/>
      <c r="QHL47" s="191"/>
      <c r="QHM47" s="191"/>
      <c r="QHN47" s="191"/>
      <c r="QHO47" s="191"/>
      <c r="QHP47" s="191"/>
      <c r="QHQ47" s="191"/>
      <c r="QHR47" s="191"/>
      <c r="QHS47" s="191"/>
      <c r="QHT47" s="191"/>
      <c r="QHU47" s="191"/>
      <c r="QHV47" s="191"/>
      <c r="QHW47" s="191"/>
      <c r="QHX47" s="191"/>
      <c r="QHY47" s="191"/>
      <c r="QHZ47" s="191"/>
      <c r="QIA47" s="191"/>
      <c r="QIB47" s="191"/>
      <c r="QIC47" s="191"/>
      <c r="QID47" s="191"/>
      <c r="QIE47" s="191"/>
      <c r="QIF47" s="191"/>
      <c r="QIG47" s="191"/>
      <c r="QIH47" s="191"/>
      <c r="QII47" s="191"/>
      <c r="QIJ47" s="191"/>
      <c r="QIK47" s="191"/>
      <c r="QIL47" s="191"/>
      <c r="QIM47" s="191"/>
      <c r="QIN47" s="191"/>
      <c r="QIO47" s="191"/>
      <c r="QIP47" s="191"/>
      <c r="QIQ47" s="191"/>
      <c r="QIR47" s="191"/>
      <c r="QIS47" s="191"/>
      <c r="QIT47" s="191"/>
      <c r="QIU47" s="191"/>
      <c r="QIV47" s="191"/>
      <c r="QIW47" s="191"/>
      <c r="QIX47" s="191"/>
      <c r="QIY47" s="191"/>
      <c r="QIZ47" s="191"/>
      <c r="QJA47" s="191"/>
      <c r="QJB47" s="191"/>
      <c r="QJC47" s="191"/>
      <c r="QJD47" s="191"/>
      <c r="QJE47" s="191"/>
      <c r="QJF47" s="191"/>
      <c r="QJG47" s="191"/>
      <c r="QJH47" s="191"/>
      <c r="QJI47" s="191"/>
      <c r="QJJ47" s="191"/>
      <c r="QJK47" s="191"/>
      <c r="QJL47" s="191"/>
      <c r="QJM47" s="191"/>
      <c r="QJN47" s="191"/>
      <c r="QJO47" s="191"/>
      <c r="QJP47" s="191"/>
      <c r="QJQ47" s="191"/>
      <c r="QJR47" s="191"/>
      <c r="QJS47" s="191"/>
      <c r="QJT47" s="191"/>
      <c r="QJU47" s="191"/>
      <c r="QJV47" s="191"/>
      <c r="QJW47" s="191"/>
      <c r="QJX47" s="191"/>
      <c r="QJY47" s="191"/>
      <c r="QJZ47" s="191"/>
      <c r="QKA47" s="191"/>
      <c r="QKB47" s="191"/>
      <c r="QKC47" s="191"/>
      <c r="QKD47" s="191"/>
      <c r="QKE47" s="191"/>
      <c r="QKF47" s="191"/>
      <c r="QKG47" s="191"/>
      <c r="QKH47" s="191"/>
      <c r="QKI47" s="191"/>
      <c r="QKJ47" s="191"/>
      <c r="QKK47" s="191"/>
      <c r="QKL47" s="191"/>
      <c r="QKM47" s="191"/>
      <c r="QKN47" s="191"/>
      <c r="QKO47" s="191"/>
      <c r="QKP47" s="191"/>
      <c r="QKQ47" s="191"/>
      <c r="QKR47" s="191"/>
      <c r="QKS47" s="191"/>
      <c r="QKT47" s="191"/>
      <c r="QKU47" s="191"/>
      <c r="QKV47" s="191"/>
      <c r="QKW47" s="191"/>
      <c r="QKX47" s="191"/>
      <c r="QKY47" s="191"/>
      <c r="QKZ47" s="191"/>
      <c r="QLA47" s="191"/>
      <c r="QLB47" s="191"/>
      <c r="QLC47" s="191"/>
      <c r="QLD47" s="191"/>
      <c r="QLE47" s="191"/>
      <c r="QLF47" s="191"/>
      <c r="QLG47" s="191"/>
      <c r="QLH47" s="191"/>
      <c r="QLI47" s="191"/>
      <c r="QLJ47" s="191"/>
      <c r="QLK47" s="191"/>
      <c r="QLL47" s="191"/>
      <c r="QLM47" s="191"/>
      <c r="QLN47" s="191"/>
      <c r="QLO47" s="191"/>
      <c r="QLP47" s="191"/>
      <c r="QLQ47" s="191"/>
      <c r="QLR47" s="191"/>
      <c r="QLS47" s="191"/>
      <c r="QLT47" s="191"/>
      <c r="QLU47" s="191"/>
      <c r="QLV47" s="191"/>
      <c r="QLW47" s="191"/>
      <c r="QLX47" s="191"/>
      <c r="QLY47" s="191"/>
      <c r="QLZ47" s="191"/>
      <c r="QMA47" s="191"/>
      <c r="QMB47" s="191"/>
      <c r="QMC47" s="191"/>
      <c r="QMD47" s="191"/>
      <c r="QME47" s="191"/>
      <c r="QMF47" s="191"/>
      <c r="QMG47" s="191"/>
      <c r="QMH47" s="191"/>
      <c r="QMI47" s="191"/>
      <c r="QMJ47" s="191"/>
      <c r="QMK47" s="191"/>
      <c r="QML47" s="191"/>
      <c r="QMM47" s="191"/>
      <c r="QMN47" s="191"/>
      <c r="QMO47" s="191"/>
      <c r="QMP47" s="191"/>
      <c r="QMQ47" s="191"/>
      <c r="QMR47" s="191"/>
      <c r="QMS47" s="191"/>
      <c r="QMT47" s="191"/>
      <c r="QMU47" s="191"/>
      <c r="QMV47" s="191"/>
      <c r="QMW47" s="191"/>
      <c r="QMX47" s="191"/>
      <c r="QMY47" s="191"/>
      <c r="QMZ47" s="191"/>
      <c r="QNA47" s="191"/>
      <c r="QNB47" s="191"/>
      <c r="QNC47" s="191"/>
      <c r="QND47" s="191"/>
      <c r="QNE47" s="191"/>
      <c r="QNF47" s="191"/>
      <c r="QNG47" s="191"/>
      <c r="QNH47" s="191"/>
      <c r="QNI47" s="191"/>
      <c r="QNJ47" s="191"/>
      <c r="QNK47" s="191"/>
      <c r="QNL47" s="191"/>
      <c r="QNM47" s="191"/>
      <c r="QNN47" s="191"/>
      <c r="QNO47" s="191"/>
      <c r="QNP47" s="191"/>
      <c r="QNQ47" s="191"/>
      <c r="QNR47" s="191"/>
      <c r="QNS47" s="191"/>
      <c r="QNT47" s="191"/>
      <c r="QNU47" s="191"/>
      <c r="QNV47" s="191"/>
      <c r="QNW47" s="191"/>
      <c r="QNX47" s="191"/>
      <c r="QNY47" s="191"/>
      <c r="QNZ47" s="191"/>
      <c r="QOA47" s="191"/>
      <c r="QOB47" s="191"/>
      <c r="QOC47" s="191"/>
      <c r="QOD47" s="191"/>
      <c r="QOE47" s="191"/>
      <c r="QOF47" s="191"/>
      <c r="QOG47" s="191"/>
      <c r="QOH47" s="191"/>
      <c r="QOI47" s="191"/>
      <c r="QOJ47" s="191"/>
      <c r="QOK47" s="191"/>
      <c r="QOL47" s="191"/>
      <c r="QOM47" s="191"/>
      <c r="QON47" s="191"/>
      <c r="QOO47" s="191"/>
      <c r="QOP47" s="191"/>
      <c r="QOQ47" s="191"/>
      <c r="QOR47" s="191"/>
      <c r="QOS47" s="191"/>
      <c r="QOT47" s="191"/>
      <c r="QOU47" s="191"/>
      <c r="QOV47" s="191"/>
      <c r="QOW47" s="191"/>
      <c r="QOX47" s="191"/>
      <c r="QOY47" s="191"/>
      <c r="QOZ47" s="191"/>
      <c r="QPA47" s="191"/>
      <c r="QPB47" s="191"/>
      <c r="QPC47" s="191"/>
      <c r="QPD47" s="191"/>
      <c r="QPE47" s="191"/>
      <c r="QPF47" s="191"/>
      <c r="QPG47" s="191"/>
      <c r="QPH47" s="191"/>
      <c r="QPI47" s="191"/>
      <c r="QPJ47" s="191"/>
      <c r="QPK47" s="191"/>
      <c r="QPL47" s="191"/>
      <c r="QPM47" s="191"/>
      <c r="QPN47" s="191"/>
      <c r="QPO47" s="191"/>
      <c r="QPP47" s="191"/>
      <c r="QPQ47" s="191"/>
      <c r="QPR47" s="191"/>
      <c r="QPS47" s="191"/>
      <c r="QPT47" s="191"/>
      <c r="QPU47" s="191"/>
      <c r="QPV47" s="191"/>
      <c r="QPW47" s="191"/>
      <c r="QPX47" s="191"/>
      <c r="QPY47" s="191"/>
      <c r="QPZ47" s="191"/>
      <c r="QQA47" s="191"/>
      <c r="QQB47" s="191"/>
      <c r="QQC47" s="191"/>
      <c r="QQD47" s="191"/>
      <c r="QQE47" s="191"/>
      <c r="QQF47" s="191"/>
      <c r="QQG47" s="191"/>
      <c r="QQH47" s="191"/>
      <c r="QQI47" s="191"/>
      <c r="QQJ47" s="191"/>
      <c r="QQK47" s="191"/>
      <c r="QQL47" s="191"/>
      <c r="QQM47" s="191"/>
      <c r="QQN47" s="191"/>
      <c r="QQO47" s="191"/>
      <c r="QQP47" s="191"/>
      <c r="QQQ47" s="191"/>
      <c r="QQR47" s="191"/>
      <c r="QQS47" s="191"/>
      <c r="QQT47" s="191"/>
      <c r="QQU47" s="191"/>
      <c r="QQV47" s="191"/>
      <c r="QQW47" s="191"/>
      <c r="QQX47" s="191"/>
      <c r="QQY47" s="191"/>
      <c r="QQZ47" s="191"/>
      <c r="QRA47" s="191"/>
      <c r="QRB47" s="191"/>
      <c r="QRC47" s="191"/>
      <c r="QRD47" s="191"/>
      <c r="QRE47" s="191"/>
      <c r="QRF47" s="191"/>
      <c r="QRG47" s="191"/>
      <c r="QRH47" s="191"/>
      <c r="QRI47" s="191"/>
      <c r="QRJ47" s="191"/>
      <c r="QRK47" s="191"/>
      <c r="QRL47" s="191"/>
      <c r="QRM47" s="191"/>
      <c r="QRN47" s="191"/>
      <c r="QRO47" s="191"/>
      <c r="QRP47" s="191"/>
      <c r="QRQ47" s="191"/>
      <c r="QRR47" s="191"/>
      <c r="QRS47" s="191"/>
      <c r="QRT47" s="191"/>
      <c r="QRU47" s="191"/>
      <c r="QRV47" s="191"/>
      <c r="QRW47" s="191"/>
      <c r="QRX47" s="191"/>
      <c r="QRY47" s="191"/>
      <c r="QRZ47" s="191"/>
      <c r="QSA47" s="191"/>
      <c r="QSB47" s="191"/>
      <c r="QSC47" s="191"/>
      <c r="QSD47" s="191"/>
      <c r="QSE47" s="191"/>
      <c r="QSF47" s="191"/>
      <c r="QSG47" s="191"/>
      <c r="QSH47" s="191"/>
      <c r="QSI47" s="191"/>
      <c r="QSJ47" s="191"/>
      <c r="QSK47" s="191"/>
      <c r="QSL47" s="191"/>
      <c r="QSM47" s="191"/>
      <c r="QSN47" s="191"/>
      <c r="QSO47" s="191"/>
      <c r="QSP47" s="191"/>
      <c r="QSQ47" s="191"/>
      <c r="QSR47" s="191"/>
      <c r="QSS47" s="191"/>
      <c r="QST47" s="191"/>
      <c r="QSU47" s="191"/>
      <c r="QSV47" s="191"/>
      <c r="QSW47" s="191"/>
      <c r="QSX47" s="191"/>
      <c r="QSY47" s="191"/>
      <c r="QSZ47" s="191"/>
      <c r="QTA47" s="191"/>
      <c r="QTB47" s="191"/>
      <c r="QTC47" s="191"/>
      <c r="QTD47" s="191"/>
      <c r="QTE47" s="191"/>
      <c r="QTF47" s="191"/>
      <c r="QTG47" s="191"/>
      <c r="QTH47" s="191"/>
      <c r="QTI47" s="191"/>
      <c r="QTJ47" s="191"/>
      <c r="QTK47" s="191"/>
      <c r="QTL47" s="191"/>
      <c r="QTM47" s="191"/>
      <c r="QTN47" s="191"/>
      <c r="QTO47" s="191"/>
      <c r="QTP47" s="191"/>
      <c r="QTQ47" s="191"/>
      <c r="QTR47" s="191"/>
      <c r="QTS47" s="191"/>
      <c r="QTT47" s="191"/>
      <c r="QTU47" s="191"/>
      <c r="QTV47" s="191"/>
      <c r="QTW47" s="191"/>
      <c r="QTX47" s="191"/>
      <c r="QTY47" s="191"/>
      <c r="QTZ47" s="191"/>
      <c r="QUA47" s="191"/>
      <c r="QUB47" s="191"/>
      <c r="QUC47" s="191"/>
      <c r="QUD47" s="191"/>
      <c r="QUE47" s="191"/>
      <c r="QUF47" s="191"/>
      <c r="QUG47" s="191"/>
      <c r="QUH47" s="191"/>
      <c r="QUI47" s="191"/>
      <c r="QUJ47" s="191"/>
      <c r="QUK47" s="191"/>
      <c r="QUL47" s="191"/>
      <c r="QUM47" s="191"/>
      <c r="QUN47" s="191"/>
      <c r="QUO47" s="191"/>
      <c r="QUP47" s="191"/>
      <c r="QUQ47" s="191"/>
      <c r="QUR47" s="191"/>
      <c r="QUS47" s="191"/>
      <c r="QUT47" s="191"/>
      <c r="QUU47" s="191"/>
      <c r="QUV47" s="191"/>
      <c r="QUW47" s="191"/>
      <c r="QUX47" s="191"/>
      <c r="QUY47" s="191"/>
      <c r="QUZ47" s="191"/>
      <c r="QVA47" s="191"/>
      <c r="QVB47" s="191"/>
      <c r="QVC47" s="191"/>
      <c r="QVD47" s="191"/>
      <c r="QVE47" s="191"/>
      <c r="QVF47" s="191"/>
      <c r="QVG47" s="191"/>
      <c r="QVH47" s="191"/>
      <c r="QVI47" s="191"/>
      <c r="QVJ47" s="191"/>
      <c r="QVK47" s="191"/>
      <c r="QVL47" s="191"/>
      <c r="QVM47" s="191"/>
      <c r="QVN47" s="191"/>
      <c r="QVO47" s="191"/>
      <c r="QVP47" s="191"/>
      <c r="QVQ47" s="191"/>
      <c r="QVR47" s="191"/>
      <c r="QVS47" s="191"/>
      <c r="QVT47" s="191"/>
      <c r="QVU47" s="191"/>
      <c r="QVV47" s="191"/>
      <c r="QVW47" s="191"/>
      <c r="QVX47" s="191"/>
      <c r="QVY47" s="191"/>
      <c r="QVZ47" s="191"/>
      <c r="QWA47" s="191"/>
      <c r="QWB47" s="191"/>
      <c r="QWC47" s="191"/>
      <c r="QWD47" s="191"/>
      <c r="QWE47" s="191"/>
      <c r="QWF47" s="191"/>
      <c r="QWG47" s="191"/>
      <c r="QWH47" s="191"/>
      <c r="QWI47" s="191"/>
      <c r="QWJ47" s="191"/>
      <c r="QWK47" s="191"/>
      <c r="QWL47" s="191"/>
      <c r="QWM47" s="191"/>
      <c r="QWN47" s="191"/>
      <c r="QWO47" s="191"/>
      <c r="QWP47" s="191"/>
      <c r="QWQ47" s="191"/>
      <c r="QWR47" s="191"/>
      <c r="QWS47" s="191"/>
      <c r="QWT47" s="191"/>
      <c r="QWU47" s="191"/>
      <c r="QWV47" s="191"/>
      <c r="QWW47" s="191"/>
      <c r="QWX47" s="191"/>
      <c r="QWY47" s="191"/>
      <c r="QWZ47" s="191"/>
      <c r="QXA47" s="191"/>
      <c r="QXB47" s="191"/>
      <c r="QXC47" s="191"/>
      <c r="QXD47" s="191"/>
      <c r="QXE47" s="191"/>
      <c r="QXF47" s="191"/>
      <c r="QXG47" s="191"/>
      <c r="QXH47" s="191"/>
      <c r="QXI47" s="191"/>
      <c r="QXJ47" s="191"/>
      <c r="QXK47" s="191"/>
      <c r="QXL47" s="191"/>
      <c r="QXM47" s="191"/>
      <c r="QXN47" s="191"/>
      <c r="QXO47" s="191"/>
      <c r="QXP47" s="191"/>
      <c r="QXQ47" s="191"/>
      <c r="QXR47" s="191"/>
      <c r="QXS47" s="191"/>
      <c r="QXT47" s="191"/>
      <c r="QXU47" s="191"/>
      <c r="QXV47" s="191"/>
      <c r="QXW47" s="191"/>
      <c r="QXX47" s="191"/>
      <c r="QXY47" s="191"/>
      <c r="QXZ47" s="191"/>
      <c r="QYA47" s="191"/>
      <c r="QYB47" s="191"/>
      <c r="QYC47" s="191"/>
      <c r="QYD47" s="191"/>
      <c r="QYE47" s="191"/>
      <c r="QYF47" s="191"/>
      <c r="QYG47" s="191"/>
      <c r="QYH47" s="191"/>
      <c r="QYI47" s="191"/>
      <c r="QYJ47" s="191"/>
      <c r="QYK47" s="191"/>
      <c r="QYL47" s="191"/>
      <c r="QYM47" s="191"/>
      <c r="QYN47" s="191"/>
      <c r="QYO47" s="191"/>
      <c r="QYP47" s="191"/>
      <c r="QYQ47" s="191"/>
      <c r="QYR47" s="191"/>
      <c r="QYS47" s="191"/>
      <c r="QYT47" s="191"/>
      <c r="QYU47" s="191"/>
      <c r="QYV47" s="191"/>
      <c r="QYW47" s="191"/>
      <c r="QYX47" s="191"/>
      <c r="QYY47" s="191"/>
      <c r="QYZ47" s="191"/>
      <c r="QZA47" s="191"/>
      <c r="QZB47" s="191"/>
      <c r="QZC47" s="191"/>
      <c r="QZD47" s="191"/>
      <c r="QZE47" s="191"/>
      <c r="QZF47" s="191"/>
      <c r="QZG47" s="191"/>
      <c r="QZH47" s="191"/>
      <c r="QZI47" s="191"/>
      <c r="QZJ47" s="191"/>
      <c r="QZK47" s="191"/>
      <c r="QZL47" s="191"/>
      <c r="QZM47" s="191"/>
      <c r="QZN47" s="191"/>
      <c r="QZO47" s="191"/>
      <c r="QZP47" s="191"/>
      <c r="QZQ47" s="191"/>
      <c r="QZR47" s="191"/>
      <c r="QZS47" s="191"/>
      <c r="QZT47" s="191"/>
      <c r="QZU47" s="191"/>
      <c r="QZV47" s="191"/>
      <c r="QZW47" s="191"/>
      <c r="QZX47" s="191"/>
      <c r="QZY47" s="191"/>
      <c r="QZZ47" s="191"/>
      <c r="RAA47" s="191"/>
      <c r="RAB47" s="191"/>
      <c r="RAC47" s="191"/>
      <c r="RAD47" s="191"/>
      <c r="RAE47" s="191"/>
      <c r="RAF47" s="191"/>
      <c r="RAG47" s="191"/>
      <c r="RAH47" s="191"/>
      <c r="RAI47" s="191"/>
      <c r="RAJ47" s="191"/>
      <c r="RAK47" s="191"/>
      <c r="RAL47" s="191"/>
      <c r="RAM47" s="191"/>
      <c r="RAN47" s="191"/>
      <c r="RAO47" s="191"/>
      <c r="RAP47" s="191"/>
      <c r="RAQ47" s="191"/>
      <c r="RAR47" s="191"/>
      <c r="RAS47" s="191"/>
      <c r="RAT47" s="191"/>
      <c r="RAU47" s="191"/>
      <c r="RAV47" s="191"/>
      <c r="RAW47" s="191"/>
      <c r="RAX47" s="191"/>
      <c r="RAY47" s="191"/>
      <c r="RAZ47" s="191"/>
      <c r="RBA47" s="191"/>
      <c r="RBB47" s="191"/>
      <c r="RBC47" s="191"/>
      <c r="RBD47" s="191"/>
      <c r="RBE47" s="191"/>
      <c r="RBF47" s="191"/>
      <c r="RBG47" s="191"/>
      <c r="RBH47" s="191"/>
      <c r="RBI47" s="191"/>
      <c r="RBJ47" s="191"/>
      <c r="RBK47" s="191"/>
      <c r="RBL47" s="191"/>
      <c r="RBM47" s="191"/>
      <c r="RBN47" s="191"/>
      <c r="RBO47" s="191"/>
      <c r="RBP47" s="191"/>
      <c r="RBQ47" s="191"/>
      <c r="RBR47" s="191"/>
      <c r="RBS47" s="191"/>
      <c r="RBT47" s="191"/>
      <c r="RBU47" s="191"/>
      <c r="RBV47" s="191"/>
      <c r="RBW47" s="191"/>
      <c r="RBX47" s="191"/>
      <c r="RBY47" s="191"/>
      <c r="RBZ47" s="191"/>
      <c r="RCA47" s="191"/>
      <c r="RCB47" s="191"/>
      <c r="RCC47" s="191"/>
      <c r="RCD47" s="191"/>
      <c r="RCE47" s="191"/>
      <c r="RCF47" s="191"/>
      <c r="RCG47" s="191"/>
      <c r="RCH47" s="191"/>
      <c r="RCI47" s="191"/>
      <c r="RCJ47" s="191"/>
      <c r="RCK47" s="191"/>
      <c r="RCL47" s="191"/>
      <c r="RCM47" s="191"/>
      <c r="RCN47" s="191"/>
      <c r="RCO47" s="191"/>
      <c r="RCP47" s="191"/>
      <c r="RCQ47" s="191"/>
      <c r="RCR47" s="191"/>
      <c r="RCS47" s="191"/>
      <c r="RCT47" s="191"/>
      <c r="RCU47" s="191"/>
      <c r="RCV47" s="191"/>
      <c r="RCW47" s="191"/>
      <c r="RCX47" s="191"/>
      <c r="RCY47" s="191"/>
      <c r="RCZ47" s="191"/>
      <c r="RDA47" s="191"/>
      <c r="RDB47" s="191"/>
      <c r="RDC47" s="191"/>
      <c r="RDD47" s="191"/>
      <c r="RDE47" s="191"/>
      <c r="RDF47" s="191"/>
      <c r="RDG47" s="191"/>
      <c r="RDH47" s="191"/>
      <c r="RDI47" s="191"/>
      <c r="RDJ47" s="191"/>
      <c r="RDK47" s="191"/>
      <c r="RDL47" s="191"/>
      <c r="RDM47" s="191"/>
      <c r="RDN47" s="191"/>
      <c r="RDO47" s="191"/>
      <c r="RDP47" s="191"/>
      <c r="RDQ47" s="191"/>
      <c r="RDR47" s="191"/>
      <c r="RDS47" s="191"/>
      <c r="RDT47" s="191"/>
      <c r="RDU47" s="191"/>
      <c r="RDV47" s="191"/>
      <c r="RDW47" s="191"/>
      <c r="RDX47" s="191"/>
      <c r="RDY47" s="191"/>
      <c r="RDZ47" s="191"/>
      <c r="REA47" s="191"/>
      <c r="REB47" s="191"/>
      <c r="REC47" s="191"/>
      <c r="RED47" s="191"/>
      <c r="REE47" s="191"/>
      <c r="REF47" s="191"/>
      <c r="REG47" s="191"/>
      <c r="REH47" s="191"/>
      <c r="REI47" s="191"/>
      <c r="REJ47" s="191"/>
      <c r="REK47" s="191"/>
      <c r="REL47" s="191"/>
      <c r="REM47" s="191"/>
      <c r="REN47" s="191"/>
      <c r="REO47" s="191"/>
      <c r="REP47" s="191"/>
      <c r="REQ47" s="191"/>
      <c r="RER47" s="191"/>
      <c r="RES47" s="191"/>
      <c r="RET47" s="191"/>
      <c r="REU47" s="191"/>
      <c r="REV47" s="191"/>
      <c r="REW47" s="191"/>
      <c r="REX47" s="191"/>
      <c r="REY47" s="191"/>
      <c r="REZ47" s="191"/>
      <c r="RFA47" s="191"/>
      <c r="RFB47" s="191"/>
      <c r="RFC47" s="191"/>
      <c r="RFD47" s="191"/>
      <c r="RFE47" s="191"/>
      <c r="RFF47" s="191"/>
      <c r="RFG47" s="191"/>
      <c r="RFH47" s="191"/>
      <c r="RFI47" s="191"/>
      <c r="RFJ47" s="191"/>
      <c r="RFK47" s="191"/>
      <c r="RFL47" s="191"/>
      <c r="RFM47" s="191"/>
      <c r="RFN47" s="191"/>
      <c r="RFO47" s="191"/>
      <c r="RFP47" s="191"/>
      <c r="RFQ47" s="191"/>
      <c r="RFR47" s="191"/>
      <c r="RFS47" s="191"/>
      <c r="RFT47" s="191"/>
      <c r="RFU47" s="191"/>
      <c r="RFV47" s="191"/>
      <c r="RFW47" s="191"/>
      <c r="RFX47" s="191"/>
      <c r="RFY47" s="191"/>
      <c r="RFZ47" s="191"/>
      <c r="RGA47" s="191"/>
      <c r="RGB47" s="191"/>
      <c r="RGC47" s="191"/>
      <c r="RGD47" s="191"/>
      <c r="RGE47" s="191"/>
      <c r="RGF47" s="191"/>
      <c r="RGG47" s="191"/>
      <c r="RGH47" s="191"/>
      <c r="RGI47" s="191"/>
      <c r="RGJ47" s="191"/>
      <c r="RGK47" s="191"/>
      <c r="RGL47" s="191"/>
      <c r="RGM47" s="191"/>
      <c r="RGN47" s="191"/>
      <c r="RGO47" s="191"/>
      <c r="RGP47" s="191"/>
      <c r="RGQ47" s="191"/>
      <c r="RGR47" s="191"/>
      <c r="RGS47" s="191"/>
      <c r="RGT47" s="191"/>
      <c r="RGU47" s="191"/>
      <c r="RGV47" s="191"/>
      <c r="RGW47" s="191"/>
      <c r="RGX47" s="191"/>
      <c r="RGY47" s="191"/>
      <c r="RGZ47" s="191"/>
      <c r="RHA47" s="191"/>
      <c r="RHB47" s="191"/>
      <c r="RHC47" s="191"/>
      <c r="RHD47" s="191"/>
      <c r="RHE47" s="191"/>
      <c r="RHF47" s="191"/>
      <c r="RHG47" s="191"/>
      <c r="RHH47" s="191"/>
      <c r="RHI47" s="191"/>
      <c r="RHJ47" s="191"/>
      <c r="RHK47" s="191"/>
      <c r="RHL47" s="191"/>
      <c r="RHM47" s="191"/>
      <c r="RHN47" s="191"/>
      <c r="RHO47" s="191"/>
      <c r="RHP47" s="191"/>
      <c r="RHQ47" s="191"/>
      <c r="RHR47" s="191"/>
      <c r="RHS47" s="191"/>
      <c r="RHT47" s="191"/>
      <c r="RHU47" s="191"/>
      <c r="RHV47" s="191"/>
      <c r="RHW47" s="191"/>
      <c r="RHX47" s="191"/>
      <c r="RHY47" s="191"/>
      <c r="RHZ47" s="191"/>
      <c r="RIA47" s="191"/>
      <c r="RIB47" s="191"/>
      <c r="RIC47" s="191"/>
      <c r="RID47" s="191"/>
      <c r="RIE47" s="191"/>
      <c r="RIF47" s="191"/>
      <c r="RIG47" s="191"/>
      <c r="RIH47" s="191"/>
      <c r="RII47" s="191"/>
      <c r="RIJ47" s="191"/>
      <c r="RIK47" s="191"/>
      <c r="RIL47" s="191"/>
      <c r="RIM47" s="191"/>
      <c r="RIN47" s="191"/>
      <c r="RIO47" s="191"/>
      <c r="RIP47" s="191"/>
      <c r="RIQ47" s="191"/>
      <c r="RIR47" s="191"/>
      <c r="RIS47" s="191"/>
      <c r="RIT47" s="191"/>
      <c r="RIU47" s="191"/>
      <c r="RIV47" s="191"/>
      <c r="RIW47" s="191"/>
      <c r="RIX47" s="191"/>
      <c r="RIY47" s="191"/>
      <c r="RIZ47" s="191"/>
      <c r="RJA47" s="191"/>
      <c r="RJB47" s="191"/>
      <c r="RJC47" s="191"/>
      <c r="RJD47" s="191"/>
      <c r="RJE47" s="191"/>
      <c r="RJF47" s="191"/>
      <c r="RJG47" s="191"/>
      <c r="RJH47" s="191"/>
      <c r="RJI47" s="191"/>
      <c r="RJJ47" s="191"/>
      <c r="RJK47" s="191"/>
      <c r="RJL47" s="191"/>
      <c r="RJM47" s="191"/>
      <c r="RJN47" s="191"/>
      <c r="RJO47" s="191"/>
      <c r="RJP47" s="191"/>
      <c r="RJQ47" s="191"/>
      <c r="RJR47" s="191"/>
      <c r="RJS47" s="191"/>
      <c r="RJT47" s="191"/>
      <c r="RJU47" s="191"/>
      <c r="RJV47" s="191"/>
      <c r="RJW47" s="191"/>
      <c r="RJX47" s="191"/>
      <c r="RJY47" s="191"/>
      <c r="RJZ47" s="191"/>
      <c r="RKA47" s="191"/>
      <c r="RKB47" s="191"/>
      <c r="RKC47" s="191"/>
      <c r="RKD47" s="191"/>
      <c r="RKE47" s="191"/>
      <c r="RKF47" s="191"/>
      <c r="RKG47" s="191"/>
      <c r="RKH47" s="191"/>
      <c r="RKI47" s="191"/>
      <c r="RKJ47" s="191"/>
      <c r="RKK47" s="191"/>
      <c r="RKL47" s="191"/>
      <c r="RKM47" s="191"/>
      <c r="RKN47" s="191"/>
      <c r="RKO47" s="191"/>
      <c r="RKP47" s="191"/>
      <c r="RKQ47" s="191"/>
      <c r="RKR47" s="191"/>
      <c r="RKS47" s="191"/>
      <c r="RKT47" s="191"/>
      <c r="RKU47" s="191"/>
      <c r="RKV47" s="191"/>
      <c r="RKW47" s="191"/>
      <c r="RKX47" s="191"/>
      <c r="RKY47" s="191"/>
      <c r="RKZ47" s="191"/>
      <c r="RLA47" s="191"/>
      <c r="RLB47" s="191"/>
      <c r="RLC47" s="191"/>
      <c r="RLD47" s="191"/>
      <c r="RLE47" s="191"/>
      <c r="RLF47" s="191"/>
      <c r="RLG47" s="191"/>
      <c r="RLH47" s="191"/>
      <c r="RLI47" s="191"/>
      <c r="RLJ47" s="191"/>
      <c r="RLK47" s="191"/>
      <c r="RLL47" s="191"/>
      <c r="RLM47" s="191"/>
      <c r="RLN47" s="191"/>
      <c r="RLO47" s="191"/>
      <c r="RLP47" s="191"/>
      <c r="RLQ47" s="191"/>
      <c r="RLR47" s="191"/>
      <c r="RLS47" s="191"/>
      <c r="RLT47" s="191"/>
      <c r="RLU47" s="191"/>
      <c r="RLV47" s="191"/>
      <c r="RLW47" s="191"/>
      <c r="RLX47" s="191"/>
      <c r="RLY47" s="191"/>
      <c r="RLZ47" s="191"/>
      <c r="RMA47" s="191"/>
      <c r="RMB47" s="191"/>
      <c r="RMC47" s="191"/>
      <c r="RMD47" s="191"/>
      <c r="RME47" s="191"/>
      <c r="RMF47" s="191"/>
      <c r="RMG47" s="191"/>
      <c r="RMH47" s="191"/>
      <c r="RMI47" s="191"/>
      <c r="RMJ47" s="191"/>
      <c r="RMK47" s="191"/>
      <c r="RML47" s="191"/>
      <c r="RMM47" s="191"/>
      <c r="RMN47" s="191"/>
      <c r="RMO47" s="191"/>
      <c r="RMP47" s="191"/>
      <c r="RMQ47" s="191"/>
      <c r="RMR47" s="191"/>
      <c r="RMS47" s="191"/>
      <c r="RMT47" s="191"/>
      <c r="RMU47" s="191"/>
      <c r="RMV47" s="191"/>
      <c r="RMW47" s="191"/>
      <c r="RMX47" s="191"/>
      <c r="RMY47" s="191"/>
      <c r="RMZ47" s="191"/>
      <c r="RNA47" s="191"/>
      <c r="RNB47" s="191"/>
      <c r="RNC47" s="191"/>
      <c r="RND47" s="191"/>
      <c r="RNE47" s="191"/>
      <c r="RNF47" s="191"/>
      <c r="RNG47" s="191"/>
      <c r="RNH47" s="191"/>
      <c r="RNI47" s="191"/>
      <c r="RNJ47" s="191"/>
      <c r="RNK47" s="191"/>
      <c r="RNL47" s="191"/>
      <c r="RNM47" s="191"/>
      <c r="RNN47" s="191"/>
      <c r="RNO47" s="191"/>
      <c r="RNP47" s="191"/>
      <c r="RNQ47" s="191"/>
      <c r="RNR47" s="191"/>
      <c r="RNS47" s="191"/>
      <c r="RNT47" s="191"/>
      <c r="RNU47" s="191"/>
      <c r="RNV47" s="191"/>
      <c r="RNW47" s="191"/>
      <c r="RNX47" s="191"/>
      <c r="RNY47" s="191"/>
      <c r="RNZ47" s="191"/>
      <c r="ROA47" s="191"/>
      <c r="ROB47" s="191"/>
      <c r="ROC47" s="191"/>
      <c r="ROD47" s="191"/>
      <c r="ROE47" s="191"/>
      <c r="ROF47" s="191"/>
      <c r="ROG47" s="191"/>
      <c r="ROH47" s="191"/>
      <c r="ROI47" s="191"/>
      <c r="ROJ47" s="191"/>
      <c r="ROK47" s="191"/>
      <c r="ROL47" s="191"/>
      <c r="ROM47" s="191"/>
      <c r="RON47" s="191"/>
      <c r="ROO47" s="191"/>
      <c r="ROP47" s="191"/>
      <c r="ROQ47" s="191"/>
      <c r="ROR47" s="191"/>
      <c r="ROS47" s="191"/>
      <c r="ROT47" s="191"/>
      <c r="ROU47" s="191"/>
      <c r="ROV47" s="191"/>
      <c r="ROW47" s="191"/>
      <c r="ROX47" s="191"/>
      <c r="ROY47" s="191"/>
      <c r="ROZ47" s="191"/>
      <c r="RPA47" s="191"/>
      <c r="RPB47" s="191"/>
      <c r="RPC47" s="191"/>
      <c r="RPD47" s="191"/>
      <c r="RPE47" s="191"/>
      <c r="RPF47" s="191"/>
      <c r="RPG47" s="191"/>
      <c r="RPH47" s="191"/>
      <c r="RPI47" s="191"/>
      <c r="RPJ47" s="191"/>
      <c r="RPK47" s="191"/>
      <c r="RPL47" s="191"/>
      <c r="RPM47" s="191"/>
      <c r="RPN47" s="191"/>
      <c r="RPO47" s="191"/>
      <c r="RPP47" s="191"/>
      <c r="RPQ47" s="191"/>
      <c r="RPR47" s="191"/>
      <c r="RPS47" s="191"/>
      <c r="RPT47" s="191"/>
      <c r="RPU47" s="191"/>
      <c r="RPV47" s="191"/>
      <c r="RPW47" s="191"/>
      <c r="RPX47" s="191"/>
      <c r="RPY47" s="191"/>
      <c r="RPZ47" s="191"/>
      <c r="RQA47" s="191"/>
      <c r="RQB47" s="191"/>
      <c r="RQC47" s="191"/>
      <c r="RQD47" s="191"/>
      <c r="RQE47" s="191"/>
      <c r="RQF47" s="191"/>
      <c r="RQG47" s="191"/>
      <c r="RQH47" s="191"/>
      <c r="RQI47" s="191"/>
      <c r="RQJ47" s="191"/>
      <c r="RQK47" s="191"/>
      <c r="RQL47" s="191"/>
      <c r="RQM47" s="191"/>
      <c r="RQN47" s="191"/>
      <c r="RQO47" s="191"/>
      <c r="RQP47" s="191"/>
      <c r="RQQ47" s="191"/>
      <c r="RQR47" s="191"/>
      <c r="RQS47" s="191"/>
      <c r="RQT47" s="191"/>
      <c r="RQU47" s="191"/>
      <c r="RQV47" s="191"/>
      <c r="RQW47" s="191"/>
      <c r="RQX47" s="191"/>
      <c r="RQY47" s="191"/>
      <c r="RQZ47" s="191"/>
      <c r="RRA47" s="191"/>
      <c r="RRB47" s="191"/>
      <c r="RRC47" s="191"/>
      <c r="RRD47" s="191"/>
      <c r="RRE47" s="191"/>
      <c r="RRF47" s="191"/>
      <c r="RRG47" s="191"/>
      <c r="RRH47" s="191"/>
      <c r="RRI47" s="191"/>
      <c r="RRJ47" s="191"/>
      <c r="RRK47" s="191"/>
      <c r="RRL47" s="191"/>
      <c r="RRM47" s="191"/>
      <c r="RRN47" s="191"/>
      <c r="RRO47" s="191"/>
      <c r="RRP47" s="191"/>
      <c r="RRQ47" s="191"/>
      <c r="RRR47" s="191"/>
      <c r="RRS47" s="191"/>
      <c r="RRT47" s="191"/>
      <c r="RRU47" s="191"/>
      <c r="RRV47" s="191"/>
      <c r="RRW47" s="191"/>
      <c r="RRX47" s="191"/>
      <c r="RRY47" s="191"/>
      <c r="RRZ47" s="191"/>
      <c r="RSA47" s="191"/>
      <c r="RSB47" s="191"/>
      <c r="RSC47" s="191"/>
      <c r="RSD47" s="191"/>
      <c r="RSE47" s="191"/>
      <c r="RSF47" s="191"/>
      <c r="RSG47" s="191"/>
      <c r="RSH47" s="191"/>
      <c r="RSI47" s="191"/>
      <c r="RSJ47" s="191"/>
      <c r="RSK47" s="191"/>
      <c r="RSL47" s="191"/>
      <c r="RSM47" s="191"/>
      <c r="RSN47" s="191"/>
      <c r="RSO47" s="191"/>
      <c r="RSP47" s="191"/>
      <c r="RSQ47" s="191"/>
      <c r="RSR47" s="191"/>
      <c r="RSS47" s="191"/>
      <c r="RST47" s="191"/>
      <c r="RSU47" s="191"/>
      <c r="RSV47" s="191"/>
      <c r="RSW47" s="191"/>
      <c r="RSX47" s="191"/>
      <c r="RSY47" s="191"/>
      <c r="RSZ47" s="191"/>
      <c r="RTA47" s="191"/>
      <c r="RTB47" s="191"/>
      <c r="RTC47" s="191"/>
      <c r="RTD47" s="191"/>
      <c r="RTE47" s="191"/>
      <c r="RTF47" s="191"/>
      <c r="RTG47" s="191"/>
      <c r="RTH47" s="191"/>
      <c r="RTI47" s="191"/>
      <c r="RTJ47" s="191"/>
      <c r="RTK47" s="191"/>
      <c r="RTL47" s="191"/>
      <c r="RTM47" s="191"/>
      <c r="RTN47" s="191"/>
      <c r="RTO47" s="191"/>
      <c r="RTP47" s="191"/>
      <c r="RTQ47" s="191"/>
      <c r="RTR47" s="191"/>
      <c r="RTS47" s="191"/>
      <c r="RTT47" s="191"/>
      <c r="RTU47" s="191"/>
      <c r="RTV47" s="191"/>
      <c r="RTW47" s="191"/>
      <c r="RTX47" s="191"/>
      <c r="RTY47" s="191"/>
      <c r="RTZ47" s="191"/>
      <c r="RUA47" s="191"/>
      <c r="RUB47" s="191"/>
      <c r="RUC47" s="191"/>
      <c r="RUD47" s="191"/>
      <c r="RUE47" s="191"/>
      <c r="RUF47" s="191"/>
      <c r="RUG47" s="191"/>
      <c r="RUH47" s="191"/>
      <c r="RUI47" s="191"/>
      <c r="RUJ47" s="191"/>
      <c r="RUK47" s="191"/>
      <c r="RUL47" s="191"/>
      <c r="RUM47" s="191"/>
      <c r="RUN47" s="191"/>
      <c r="RUO47" s="191"/>
      <c r="RUP47" s="191"/>
      <c r="RUQ47" s="191"/>
      <c r="RUR47" s="191"/>
      <c r="RUS47" s="191"/>
      <c r="RUT47" s="191"/>
      <c r="RUU47" s="191"/>
      <c r="RUV47" s="191"/>
      <c r="RUW47" s="191"/>
      <c r="RUX47" s="191"/>
      <c r="RUY47" s="191"/>
      <c r="RUZ47" s="191"/>
      <c r="RVA47" s="191"/>
      <c r="RVB47" s="191"/>
      <c r="RVC47" s="191"/>
      <c r="RVD47" s="191"/>
      <c r="RVE47" s="191"/>
      <c r="RVF47" s="191"/>
      <c r="RVG47" s="191"/>
      <c r="RVH47" s="191"/>
      <c r="RVI47" s="191"/>
      <c r="RVJ47" s="191"/>
      <c r="RVK47" s="191"/>
      <c r="RVL47" s="191"/>
      <c r="RVM47" s="191"/>
      <c r="RVN47" s="191"/>
      <c r="RVO47" s="191"/>
      <c r="RVP47" s="191"/>
      <c r="RVQ47" s="191"/>
      <c r="RVR47" s="191"/>
      <c r="RVS47" s="191"/>
      <c r="RVT47" s="191"/>
      <c r="RVU47" s="191"/>
      <c r="RVV47" s="191"/>
      <c r="RVW47" s="191"/>
      <c r="RVX47" s="191"/>
      <c r="RVY47" s="191"/>
      <c r="RVZ47" s="191"/>
      <c r="RWA47" s="191"/>
      <c r="RWB47" s="191"/>
      <c r="RWC47" s="191"/>
      <c r="RWD47" s="191"/>
      <c r="RWE47" s="191"/>
      <c r="RWF47" s="191"/>
      <c r="RWG47" s="191"/>
      <c r="RWH47" s="191"/>
      <c r="RWI47" s="191"/>
      <c r="RWJ47" s="191"/>
      <c r="RWK47" s="191"/>
      <c r="RWL47" s="191"/>
      <c r="RWM47" s="191"/>
      <c r="RWN47" s="191"/>
      <c r="RWO47" s="191"/>
      <c r="RWP47" s="191"/>
      <c r="RWQ47" s="191"/>
      <c r="RWR47" s="191"/>
      <c r="RWS47" s="191"/>
      <c r="RWT47" s="191"/>
      <c r="RWU47" s="191"/>
      <c r="RWV47" s="191"/>
      <c r="RWW47" s="191"/>
      <c r="RWX47" s="191"/>
      <c r="RWY47" s="191"/>
      <c r="RWZ47" s="191"/>
      <c r="RXA47" s="191"/>
      <c r="RXB47" s="191"/>
      <c r="RXC47" s="191"/>
      <c r="RXD47" s="191"/>
      <c r="RXE47" s="191"/>
      <c r="RXF47" s="191"/>
      <c r="RXG47" s="191"/>
      <c r="RXH47" s="191"/>
      <c r="RXI47" s="191"/>
      <c r="RXJ47" s="191"/>
      <c r="RXK47" s="191"/>
      <c r="RXL47" s="191"/>
      <c r="RXM47" s="191"/>
      <c r="RXN47" s="191"/>
      <c r="RXO47" s="191"/>
      <c r="RXP47" s="191"/>
      <c r="RXQ47" s="191"/>
      <c r="RXR47" s="191"/>
      <c r="RXS47" s="191"/>
      <c r="RXT47" s="191"/>
      <c r="RXU47" s="191"/>
      <c r="RXV47" s="191"/>
      <c r="RXW47" s="191"/>
      <c r="RXX47" s="191"/>
      <c r="RXY47" s="191"/>
      <c r="RXZ47" s="191"/>
      <c r="RYA47" s="191"/>
      <c r="RYB47" s="191"/>
      <c r="RYC47" s="191"/>
      <c r="RYD47" s="191"/>
      <c r="RYE47" s="191"/>
      <c r="RYF47" s="191"/>
      <c r="RYG47" s="191"/>
      <c r="RYH47" s="191"/>
      <c r="RYI47" s="191"/>
      <c r="RYJ47" s="191"/>
      <c r="RYK47" s="191"/>
      <c r="RYL47" s="191"/>
      <c r="RYM47" s="191"/>
      <c r="RYN47" s="191"/>
      <c r="RYO47" s="191"/>
      <c r="RYP47" s="191"/>
      <c r="RYQ47" s="191"/>
      <c r="RYR47" s="191"/>
      <c r="RYS47" s="191"/>
      <c r="RYT47" s="191"/>
      <c r="RYU47" s="191"/>
      <c r="RYV47" s="191"/>
      <c r="RYW47" s="191"/>
      <c r="RYX47" s="191"/>
      <c r="RYY47" s="191"/>
      <c r="RYZ47" s="191"/>
      <c r="RZA47" s="191"/>
      <c r="RZB47" s="191"/>
      <c r="RZC47" s="191"/>
      <c r="RZD47" s="191"/>
      <c r="RZE47" s="191"/>
      <c r="RZF47" s="191"/>
      <c r="RZG47" s="191"/>
      <c r="RZH47" s="191"/>
      <c r="RZI47" s="191"/>
      <c r="RZJ47" s="191"/>
      <c r="RZK47" s="191"/>
      <c r="RZL47" s="191"/>
      <c r="RZM47" s="191"/>
      <c r="RZN47" s="191"/>
      <c r="RZO47" s="191"/>
      <c r="RZP47" s="191"/>
      <c r="RZQ47" s="191"/>
      <c r="RZR47" s="191"/>
      <c r="RZS47" s="191"/>
      <c r="RZT47" s="191"/>
      <c r="RZU47" s="191"/>
      <c r="RZV47" s="191"/>
      <c r="RZW47" s="191"/>
      <c r="RZX47" s="191"/>
      <c r="RZY47" s="191"/>
      <c r="RZZ47" s="191"/>
      <c r="SAA47" s="191"/>
      <c r="SAB47" s="191"/>
      <c r="SAC47" s="191"/>
      <c r="SAD47" s="191"/>
      <c r="SAE47" s="191"/>
      <c r="SAF47" s="191"/>
      <c r="SAG47" s="191"/>
      <c r="SAH47" s="191"/>
      <c r="SAI47" s="191"/>
      <c r="SAJ47" s="191"/>
      <c r="SAK47" s="191"/>
      <c r="SAL47" s="191"/>
      <c r="SAM47" s="191"/>
      <c r="SAN47" s="191"/>
      <c r="SAO47" s="191"/>
      <c r="SAP47" s="191"/>
      <c r="SAQ47" s="191"/>
      <c r="SAR47" s="191"/>
      <c r="SAS47" s="191"/>
      <c r="SAT47" s="191"/>
      <c r="SAU47" s="191"/>
      <c r="SAV47" s="191"/>
      <c r="SAW47" s="191"/>
      <c r="SAX47" s="191"/>
      <c r="SAY47" s="191"/>
      <c r="SAZ47" s="191"/>
      <c r="SBA47" s="191"/>
      <c r="SBB47" s="191"/>
      <c r="SBC47" s="191"/>
      <c r="SBD47" s="191"/>
      <c r="SBE47" s="191"/>
      <c r="SBF47" s="191"/>
      <c r="SBG47" s="191"/>
      <c r="SBH47" s="191"/>
      <c r="SBI47" s="191"/>
      <c r="SBJ47" s="191"/>
      <c r="SBK47" s="191"/>
      <c r="SBL47" s="191"/>
      <c r="SBM47" s="191"/>
      <c r="SBN47" s="191"/>
      <c r="SBO47" s="191"/>
      <c r="SBP47" s="191"/>
      <c r="SBQ47" s="191"/>
      <c r="SBR47" s="191"/>
      <c r="SBS47" s="191"/>
      <c r="SBT47" s="191"/>
      <c r="SBU47" s="191"/>
      <c r="SBV47" s="191"/>
      <c r="SBW47" s="191"/>
      <c r="SBX47" s="191"/>
      <c r="SBY47" s="191"/>
      <c r="SBZ47" s="191"/>
      <c r="SCA47" s="191"/>
      <c r="SCB47" s="191"/>
      <c r="SCC47" s="191"/>
      <c r="SCD47" s="191"/>
      <c r="SCE47" s="191"/>
      <c r="SCF47" s="191"/>
      <c r="SCG47" s="191"/>
      <c r="SCH47" s="191"/>
      <c r="SCI47" s="191"/>
      <c r="SCJ47" s="191"/>
      <c r="SCK47" s="191"/>
      <c r="SCL47" s="191"/>
      <c r="SCM47" s="191"/>
      <c r="SCN47" s="191"/>
      <c r="SCO47" s="191"/>
      <c r="SCP47" s="191"/>
      <c r="SCQ47" s="191"/>
      <c r="SCR47" s="191"/>
      <c r="SCS47" s="191"/>
      <c r="SCT47" s="191"/>
      <c r="SCU47" s="191"/>
      <c r="SCV47" s="191"/>
      <c r="SCW47" s="191"/>
      <c r="SCX47" s="191"/>
      <c r="SCY47" s="191"/>
      <c r="SCZ47" s="191"/>
      <c r="SDA47" s="191"/>
      <c r="SDB47" s="191"/>
      <c r="SDC47" s="191"/>
      <c r="SDD47" s="191"/>
      <c r="SDE47" s="191"/>
      <c r="SDF47" s="191"/>
      <c r="SDG47" s="191"/>
      <c r="SDH47" s="191"/>
      <c r="SDI47" s="191"/>
      <c r="SDJ47" s="191"/>
      <c r="SDK47" s="191"/>
      <c r="SDL47" s="191"/>
      <c r="SDM47" s="191"/>
      <c r="SDN47" s="191"/>
      <c r="SDO47" s="191"/>
      <c r="SDP47" s="191"/>
      <c r="SDQ47" s="191"/>
      <c r="SDR47" s="191"/>
      <c r="SDS47" s="191"/>
      <c r="SDT47" s="191"/>
      <c r="SDU47" s="191"/>
      <c r="SDV47" s="191"/>
      <c r="SDW47" s="191"/>
      <c r="SDX47" s="191"/>
      <c r="SDY47" s="191"/>
      <c r="SDZ47" s="191"/>
      <c r="SEA47" s="191"/>
      <c r="SEB47" s="191"/>
      <c r="SEC47" s="191"/>
      <c r="SED47" s="191"/>
      <c r="SEE47" s="191"/>
      <c r="SEF47" s="191"/>
      <c r="SEG47" s="191"/>
      <c r="SEH47" s="191"/>
      <c r="SEI47" s="191"/>
      <c r="SEJ47" s="191"/>
      <c r="SEK47" s="191"/>
      <c r="SEL47" s="191"/>
      <c r="SEM47" s="191"/>
      <c r="SEN47" s="191"/>
      <c r="SEO47" s="191"/>
      <c r="SEP47" s="191"/>
      <c r="SEQ47" s="191"/>
      <c r="SER47" s="191"/>
      <c r="SES47" s="191"/>
      <c r="SET47" s="191"/>
      <c r="SEU47" s="191"/>
      <c r="SEV47" s="191"/>
      <c r="SEW47" s="191"/>
      <c r="SEX47" s="191"/>
      <c r="SEY47" s="191"/>
      <c r="SEZ47" s="191"/>
      <c r="SFA47" s="191"/>
      <c r="SFB47" s="191"/>
      <c r="SFC47" s="191"/>
      <c r="SFD47" s="191"/>
      <c r="SFE47" s="191"/>
      <c r="SFF47" s="191"/>
      <c r="SFG47" s="191"/>
      <c r="SFH47" s="191"/>
      <c r="SFI47" s="191"/>
      <c r="SFJ47" s="191"/>
      <c r="SFK47" s="191"/>
      <c r="SFL47" s="191"/>
      <c r="SFM47" s="191"/>
      <c r="SFN47" s="191"/>
      <c r="SFO47" s="191"/>
      <c r="SFP47" s="191"/>
      <c r="SFQ47" s="191"/>
      <c r="SFR47" s="191"/>
      <c r="SFS47" s="191"/>
      <c r="SFT47" s="191"/>
      <c r="SFU47" s="191"/>
      <c r="SFV47" s="191"/>
      <c r="SFW47" s="191"/>
      <c r="SFX47" s="191"/>
      <c r="SFY47" s="191"/>
      <c r="SFZ47" s="191"/>
      <c r="SGA47" s="191"/>
      <c r="SGB47" s="191"/>
      <c r="SGC47" s="191"/>
      <c r="SGD47" s="191"/>
      <c r="SGE47" s="191"/>
      <c r="SGF47" s="191"/>
      <c r="SGG47" s="191"/>
      <c r="SGH47" s="191"/>
      <c r="SGI47" s="191"/>
      <c r="SGJ47" s="191"/>
      <c r="SGK47" s="191"/>
      <c r="SGL47" s="191"/>
      <c r="SGM47" s="191"/>
      <c r="SGN47" s="191"/>
      <c r="SGO47" s="191"/>
      <c r="SGP47" s="191"/>
      <c r="SGQ47" s="191"/>
      <c r="SGR47" s="191"/>
      <c r="SGS47" s="191"/>
      <c r="SGT47" s="191"/>
      <c r="SGU47" s="191"/>
      <c r="SGV47" s="191"/>
      <c r="SGW47" s="191"/>
      <c r="SGX47" s="191"/>
      <c r="SGY47" s="191"/>
      <c r="SGZ47" s="191"/>
      <c r="SHA47" s="191"/>
      <c r="SHB47" s="191"/>
      <c r="SHC47" s="191"/>
      <c r="SHD47" s="191"/>
      <c r="SHE47" s="191"/>
      <c r="SHF47" s="191"/>
      <c r="SHG47" s="191"/>
      <c r="SHH47" s="191"/>
      <c r="SHI47" s="191"/>
      <c r="SHJ47" s="191"/>
      <c r="SHK47" s="191"/>
      <c r="SHL47" s="191"/>
      <c r="SHM47" s="191"/>
      <c r="SHN47" s="191"/>
      <c r="SHO47" s="191"/>
      <c r="SHP47" s="191"/>
      <c r="SHQ47" s="191"/>
      <c r="SHR47" s="191"/>
      <c r="SHS47" s="191"/>
      <c r="SHT47" s="191"/>
      <c r="SHU47" s="191"/>
      <c r="SHV47" s="191"/>
      <c r="SHW47" s="191"/>
      <c r="SHX47" s="191"/>
      <c r="SHY47" s="191"/>
      <c r="SHZ47" s="191"/>
      <c r="SIA47" s="191"/>
      <c r="SIB47" s="191"/>
      <c r="SIC47" s="191"/>
      <c r="SID47" s="191"/>
      <c r="SIE47" s="191"/>
      <c r="SIF47" s="191"/>
      <c r="SIG47" s="191"/>
      <c r="SIH47" s="191"/>
      <c r="SII47" s="191"/>
      <c r="SIJ47" s="191"/>
      <c r="SIK47" s="191"/>
      <c r="SIL47" s="191"/>
      <c r="SIM47" s="191"/>
      <c r="SIN47" s="191"/>
      <c r="SIO47" s="191"/>
      <c r="SIP47" s="191"/>
      <c r="SIQ47" s="191"/>
      <c r="SIR47" s="191"/>
      <c r="SIS47" s="191"/>
      <c r="SIT47" s="191"/>
      <c r="SIU47" s="191"/>
      <c r="SIV47" s="191"/>
      <c r="SIW47" s="191"/>
      <c r="SIX47" s="191"/>
      <c r="SIY47" s="191"/>
      <c r="SIZ47" s="191"/>
      <c r="SJA47" s="191"/>
      <c r="SJB47" s="191"/>
      <c r="SJC47" s="191"/>
      <c r="SJD47" s="191"/>
      <c r="SJE47" s="191"/>
      <c r="SJF47" s="191"/>
      <c r="SJG47" s="191"/>
      <c r="SJH47" s="191"/>
      <c r="SJI47" s="191"/>
      <c r="SJJ47" s="191"/>
      <c r="SJK47" s="191"/>
      <c r="SJL47" s="191"/>
      <c r="SJM47" s="191"/>
      <c r="SJN47" s="191"/>
      <c r="SJO47" s="191"/>
      <c r="SJP47" s="191"/>
      <c r="SJQ47" s="191"/>
      <c r="SJR47" s="191"/>
      <c r="SJS47" s="191"/>
      <c r="SJT47" s="191"/>
      <c r="SJU47" s="191"/>
      <c r="SJV47" s="191"/>
      <c r="SJW47" s="191"/>
      <c r="SJX47" s="191"/>
      <c r="SJY47" s="191"/>
      <c r="SJZ47" s="191"/>
      <c r="SKA47" s="191"/>
      <c r="SKB47" s="191"/>
      <c r="SKC47" s="191"/>
      <c r="SKD47" s="191"/>
      <c r="SKE47" s="191"/>
      <c r="SKF47" s="191"/>
      <c r="SKG47" s="191"/>
      <c r="SKH47" s="191"/>
      <c r="SKI47" s="191"/>
      <c r="SKJ47" s="191"/>
      <c r="SKK47" s="191"/>
      <c r="SKL47" s="191"/>
      <c r="SKM47" s="191"/>
      <c r="SKN47" s="191"/>
      <c r="SKO47" s="191"/>
      <c r="SKP47" s="191"/>
      <c r="SKQ47" s="191"/>
      <c r="SKR47" s="191"/>
      <c r="SKS47" s="191"/>
      <c r="SKT47" s="191"/>
      <c r="SKU47" s="191"/>
      <c r="SKV47" s="191"/>
      <c r="SKW47" s="191"/>
      <c r="SKX47" s="191"/>
      <c r="SKY47" s="191"/>
      <c r="SKZ47" s="191"/>
      <c r="SLA47" s="191"/>
      <c r="SLB47" s="191"/>
      <c r="SLC47" s="191"/>
      <c r="SLD47" s="191"/>
      <c r="SLE47" s="191"/>
      <c r="SLF47" s="191"/>
      <c r="SLG47" s="191"/>
      <c r="SLH47" s="191"/>
      <c r="SLI47" s="191"/>
      <c r="SLJ47" s="191"/>
      <c r="SLK47" s="191"/>
      <c r="SLL47" s="191"/>
      <c r="SLM47" s="191"/>
      <c r="SLN47" s="191"/>
      <c r="SLO47" s="191"/>
      <c r="SLP47" s="191"/>
      <c r="SLQ47" s="191"/>
      <c r="SLR47" s="191"/>
      <c r="SLS47" s="191"/>
      <c r="SLT47" s="191"/>
      <c r="SLU47" s="191"/>
      <c r="SLV47" s="191"/>
      <c r="SLW47" s="191"/>
      <c r="SLX47" s="191"/>
      <c r="SLY47" s="191"/>
      <c r="SLZ47" s="191"/>
      <c r="SMA47" s="191"/>
      <c r="SMB47" s="191"/>
      <c r="SMC47" s="191"/>
      <c r="SMD47" s="191"/>
      <c r="SME47" s="191"/>
      <c r="SMF47" s="191"/>
      <c r="SMG47" s="191"/>
      <c r="SMH47" s="191"/>
      <c r="SMI47" s="191"/>
      <c r="SMJ47" s="191"/>
      <c r="SMK47" s="191"/>
      <c r="SML47" s="191"/>
      <c r="SMM47" s="191"/>
      <c r="SMN47" s="191"/>
      <c r="SMO47" s="191"/>
      <c r="SMP47" s="191"/>
      <c r="SMQ47" s="191"/>
      <c r="SMR47" s="191"/>
      <c r="SMS47" s="191"/>
      <c r="SMT47" s="191"/>
      <c r="SMU47" s="191"/>
      <c r="SMV47" s="191"/>
      <c r="SMW47" s="191"/>
      <c r="SMX47" s="191"/>
      <c r="SMY47" s="191"/>
      <c r="SMZ47" s="191"/>
      <c r="SNA47" s="191"/>
      <c r="SNB47" s="191"/>
      <c r="SNC47" s="191"/>
      <c r="SND47" s="191"/>
      <c r="SNE47" s="191"/>
      <c r="SNF47" s="191"/>
      <c r="SNG47" s="191"/>
      <c r="SNH47" s="191"/>
      <c r="SNI47" s="191"/>
      <c r="SNJ47" s="191"/>
      <c r="SNK47" s="191"/>
      <c r="SNL47" s="191"/>
      <c r="SNM47" s="191"/>
      <c r="SNN47" s="191"/>
      <c r="SNO47" s="191"/>
      <c r="SNP47" s="191"/>
      <c r="SNQ47" s="191"/>
      <c r="SNR47" s="191"/>
      <c r="SNS47" s="191"/>
      <c r="SNT47" s="191"/>
      <c r="SNU47" s="191"/>
      <c r="SNV47" s="191"/>
      <c r="SNW47" s="191"/>
      <c r="SNX47" s="191"/>
      <c r="SNY47" s="191"/>
      <c r="SNZ47" s="191"/>
      <c r="SOA47" s="191"/>
      <c r="SOB47" s="191"/>
      <c r="SOC47" s="191"/>
      <c r="SOD47" s="191"/>
      <c r="SOE47" s="191"/>
      <c r="SOF47" s="191"/>
      <c r="SOG47" s="191"/>
      <c r="SOH47" s="191"/>
      <c r="SOI47" s="191"/>
      <c r="SOJ47" s="191"/>
      <c r="SOK47" s="191"/>
      <c r="SOL47" s="191"/>
      <c r="SOM47" s="191"/>
      <c r="SON47" s="191"/>
      <c r="SOO47" s="191"/>
      <c r="SOP47" s="191"/>
      <c r="SOQ47" s="191"/>
      <c r="SOR47" s="191"/>
      <c r="SOS47" s="191"/>
      <c r="SOT47" s="191"/>
      <c r="SOU47" s="191"/>
      <c r="SOV47" s="191"/>
      <c r="SOW47" s="191"/>
      <c r="SOX47" s="191"/>
      <c r="SOY47" s="191"/>
      <c r="SOZ47" s="191"/>
      <c r="SPA47" s="191"/>
      <c r="SPB47" s="191"/>
      <c r="SPC47" s="191"/>
      <c r="SPD47" s="191"/>
      <c r="SPE47" s="191"/>
      <c r="SPF47" s="191"/>
      <c r="SPG47" s="191"/>
      <c r="SPH47" s="191"/>
      <c r="SPI47" s="191"/>
      <c r="SPJ47" s="191"/>
      <c r="SPK47" s="191"/>
      <c r="SPL47" s="191"/>
      <c r="SPM47" s="191"/>
      <c r="SPN47" s="191"/>
      <c r="SPO47" s="191"/>
      <c r="SPP47" s="191"/>
      <c r="SPQ47" s="191"/>
      <c r="SPR47" s="191"/>
      <c r="SPS47" s="191"/>
      <c r="SPT47" s="191"/>
      <c r="SPU47" s="191"/>
      <c r="SPV47" s="191"/>
      <c r="SPW47" s="191"/>
      <c r="SPX47" s="191"/>
      <c r="SPY47" s="191"/>
      <c r="SPZ47" s="191"/>
      <c r="SQA47" s="191"/>
      <c r="SQB47" s="191"/>
      <c r="SQC47" s="191"/>
      <c r="SQD47" s="191"/>
      <c r="SQE47" s="191"/>
      <c r="SQF47" s="191"/>
      <c r="SQG47" s="191"/>
      <c r="SQH47" s="191"/>
      <c r="SQI47" s="191"/>
      <c r="SQJ47" s="191"/>
      <c r="SQK47" s="191"/>
      <c r="SQL47" s="191"/>
      <c r="SQM47" s="191"/>
      <c r="SQN47" s="191"/>
      <c r="SQO47" s="191"/>
      <c r="SQP47" s="191"/>
      <c r="SQQ47" s="191"/>
      <c r="SQR47" s="191"/>
      <c r="SQS47" s="191"/>
      <c r="SQT47" s="191"/>
      <c r="SQU47" s="191"/>
      <c r="SQV47" s="191"/>
      <c r="SQW47" s="191"/>
      <c r="SQX47" s="191"/>
      <c r="SQY47" s="191"/>
      <c r="SQZ47" s="191"/>
      <c r="SRA47" s="191"/>
      <c r="SRB47" s="191"/>
      <c r="SRC47" s="191"/>
      <c r="SRD47" s="191"/>
      <c r="SRE47" s="191"/>
      <c r="SRF47" s="191"/>
      <c r="SRG47" s="191"/>
      <c r="SRH47" s="191"/>
      <c r="SRI47" s="191"/>
      <c r="SRJ47" s="191"/>
      <c r="SRK47" s="191"/>
      <c r="SRL47" s="191"/>
      <c r="SRM47" s="191"/>
      <c r="SRN47" s="191"/>
      <c r="SRO47" s="191"/>
      <c r="SRP47" s="191"/>
      <c r="SRQ47" s="191"/>
      <c r="SRR47" s="191"/>
      <c r="SRS47" s="191"/>
      <c r="SRT47" s="191"/>
      <c r="SRU47" s="191"/>
      <c r="SRV47" s="191"/>
      <c r="SRW47" s="191"/>
      <c r="SRX47" s="191"/>
      <c r="SRY47" s="191"/>
      <c r="SRZ47" s="191"/>
      <c r="SSA47" s="191"/>
      <c r="SSB47" s="191"/>
      <c r="SSC47" s="191"/>
      <c r="SSD47" s="191"/>
      <c r="SSE47" s="191"/>
      <c r="SSF47" s="191"/>
      <c r="SSG47" s="191"/>
      <c r="SSH47" s="191"/>
      <c r="SSI47" s="191"/>
      <c r="SSJ47" s="191"/>
      <c r="SSK47" s="191"/>
      <c r="SSL47" s="191"/>
      <c r="SSM47" s="191"/>
      <c r="SSN47" s="191"/>
      <c r="SSO47" s="191"/>
      <c r="SSP47" s="191"/>
      <c r="SSQ47" s="191"/>
      <c r="SSR47" s="191"/>
      <c r="SSS47" s="191"/>
      <c r="SST47" s="191"/>
      <c r="SSU47" s="191"/>
      <c r="SSV47" s="191"/>
      <c r="SSW47" s="191"/>
      <c r="SSX47" s="191"/>
      <c r="SSY47" s="191"/>
      <c r="SSZ47" s="191"/>
      <c r="STA47" s="191"/>
      <c r="STB47" s="191"/>
      <c r="STC47" s="191"/>
      <c r="STD47" s="191"/>
      <c r="STE47" s="191"/>
      <c r="STF47" s="191"/>
      <c r="STG47" s="191"/>
      <c r="STH47" s="191"/>
      <c r="STI47" s="191"/>
      <c r="STJ47" s="191"/>
      <c r="STK47" s="191"/>
      <c r="STL47" s="191"/>
      <c r="STM47" s="191"/>
      <c r="STN47" s="191"/>
      <c r="STO47" s="191"/>
      <c r="STP47" s="191"/>
      <c r="STQ47" s="191"/>
      <c r="STR47" s="191"/>
      <c r="STS47" s="191"/>
      <c r="STT47" s="191"/>
      <c r="STU47" s="191"/>
      <c r="STV47" s="191"/>
      <c r="STW47" s="191"/>
      <c r="STX47" s="191"/>
      <c r="STY47" s="191"/>
      <c r="STZ47" s="191"/>
      <c r="SUA47" s="191"/>
      <c r="SUB47" s="191"/>
      <c r="SUC47" s="191"/>
      <c r="SUD47" s="191"/>
      <c r="SUE47" s="191"/>
      <c r="SUF47" s="191"/>
      <c r="SUG47" s="191"/>
      <c r="SUH47" s="191"/>
      <c r="SUI47" s="191"/>
      <c r="SUJ47" s="191"/>
      <c r="SUK47" s="191"/>
      <c r="SUL47" s="191"/>
      <c r="SUM47" s="191"/>
      <c r="SUN47" s="191"/>
      <c r="SUO47" s="191"/>
      <c r="SUP47" s="191"/>
      <c r="SUQ47" s="191"/>
      <c r="SUR47" s="191"/>
      <c r="SUS47" s="191"/>
      <c r="SUT47" s="191"/>
      <c r="SUU47" s="191"/>
      <c r="SUV47" s="191"/>
      <c r="SUW47" s="191"/>
      <c r="SUX47" s="191"/>
      <c r="SUY47" s="191"/>
      <c r="SUZ47" s="191"/>
      <c r="SVA47" s="191"/>
      <c r="SVB47" s="191"/>
      <c r="SVC47" s="191"/>
      <c r="SVD47" s="191"/>
      <c r="SVE47" s="191"/>
      <c r="SVF47" s="191"/>
      <c r="SVG47" s="191"/>
      <c r="SVH47" s="191"/>
      <c r="SVI47" s="191"/>
      <c r="SVJ47" s="191"/>
      <c r="SVK47" s="191"/>
      <c r="SVL47" s="191"/>
      <c r="SVM47" s="191"/>
      <c r="SVN47" s="191"/>
      <c r="SVO47" s="191"/>
      <c r="SVP47" s="191"/>
      <c r="SVQ47" s="191"/>
      <c r="SVR47" s="191"/>
      <c r="SVS47" s="191"/>
      <c r="SVT47" s="191"/>
      <c r="SVU47" s="191"/>
      <c r="SVV47" s="191"/>
      <c r="SVW47" s="191"/>
      <c r="SVX47" s="191"/>
      <c r="SVY47" s="191"/>
      <c r="SVZ47" s="191"/>
      <c r="SWA47" s="191"/>
      <c r="SWB47" s="191"/>
      <c r="SWC47" s="191"/>
      <c r="SWD47" s="191"/>
      <c r="SWE47" s="191"/>
      <c r="SWF47" s="191"/>
      <c r="SWG47" s="191"/>
      <c r="SWH47" s="191"/>
      <c r="SWI47" s="191"/>
      <c r="SWJ47" s="191"/>
      <c r="SWK47" s="191"/>
      <c r="SWL47" s="191"/>
      <c r="SWM47" s="191"/>
      <c r="SWN47" s="191"/>
      <c r="SWO47" s="191"/>
      <c r="SWP47" s="191"/>
      <c r="SWQ47" s="191"/>
      <c r="SWR47" s="191"/>
      <c r="SWS47" s="191"/>
      <c r="SWT47" s="191"/>
      <c r="SWU47" s="191"/>
      <c r="SWV47" s="191"/>
      <c r="SWW47" s="191"/>
      <c r="SWX47" s="191"/>
      <c r="SWY47" s="191"/>
      <c r="SWZ47" s="191"/>
      <c r="SXA47" s="191"/>
      <c r="SXB47" s="191"/>
      <c r="SXC47" s="191"/>
      <c r="SXD47" s="191"/>
      <c r="SXE47" s="191"/>
      <c r="SXF47" s="191"/>
      <c r="SXG47" s="191"/>
      <c r="SXH47" s="191"/>
      <c r="SXI47" s="191"/>
      <c r="SXJ47" s="191"/>
      <c r="SXK47" s="191"/>
      <c r="SXL47" s="191"/>
      <c r="SXM47" s="191"/>
      <c r="SXN47" s="191"/>
      <c r="SXO47" s="191"/>
      <c r="SXP47" s="191"/>
      <c r="SXQ47" s="191"/>
      <c r="SXR47" s="191"/>
      <c r="SXS47" s="191"/>
      <c r="SXT47" s="191"/>
      <c r="SXU47" s="191"/>
      <c r="SXV47" s="191"/>
      <c r="SXW47" s="191"/>
      <c r="SXX47" s="191"/>
      <c r="SXY47" s="191"/>
      <c r="SXZ47" s="191"/>
      <c r="SYA47" s="191"/>
      <c r="SYB47" s="191"/>
      <c r="SYC47" s="191"/>
      <c r="SYD47" s="191"/>
      <c r="SYE47" s="191"/>
      <c r="SYF47" s="191"/>
      <c r="SYG47" s="191"/>
      <c r="SYH47" s="191"/>
      <c r="SYI47" s="191"/>
      <c r="SYJ47" s="191"/>
      <c r="SYK47" s="191"/>
      <c r="SYL47" s="191"/>
      <c r="SYM47" s="191"/>
      <c r="SYN47" s="191"/>
      <c r="SYO47" s="191"/>
      <c r="SYP47" s="191"/>
      <c r="SYQ47" s="191"/>
      <c r="SYR47" s="191"/>
      <c r="SYS47" s="191"/>
      <c r="SYT47" s="191"/>
      <c r="SYU47" s="191"/>
      <c r="SYV47" s="191"/>
      <c r="SYW47" s="191"/>
      <c r="SYX47" s="191"/>
      <c r="SYY47" s="191"/>
      <c r="SYZ47" s="191"/>
      <c r="SZA47" s="191"/>
      <c r="SZB47" s="191"/>
      <c r="SZC47" s="191"/>
      <c r="SZD47" s="191"/>
      <c r="SZE47" s="191"/>
      <c r="SZF47" s="191"/>
      <c r="SZG47" s="191"/>
      <c r="SZH47" s="191"/>
      <c r="SZI47" s="191"/>
      <c r="SZJ47" s="191"/>
      <c r="SZK47" s="191"/>
      <c r="SZL47" s="191"/>
      <c r="SZM47" s="191"/>
      <c r="SZN47" s="191"/>
      <c r="SZO47" s="191"/>
      <c r="SZP47" s="191"/>
      <c r="SZQ47" s="191"/>
      <c r="SZR47" s="191"/>
      <c r="SZS47" s="191"/>
      <c r="SZT47" s="191"/>
      <c r="SZU47" s="191"/>
      <c r="SZV47" s="191"/>
      <c r="SZW47" s="191"/>
      <c r="SZX47" s="191"/>
      <c r="SZY47" s="191"/>
      <c r="SZZ47" s="191"/>
      <c r="TAA47" s="191"/>
      <c r="TAB47" s="191"/>
      <c r="TAC47" s="191"/>
      <c r="TAD47" s="191"/>
      <c r="TAE47" s="191"/>
      <c r="TAF47" s="191"/>
      <c r="TAG47" s="191"/>
      <c r="TAH47" s="191"/>
      <c r="TAI47" s="191"/>
      <c r="TAJ47" s="191"/>
      <c r="TAK47" s="191"/>
      <c r="TAL47" s="191"/>
      <c r="TAM47" s="191"/>
      <c r="TAN47" s="191"/>
      <c r="TAO47" s="191"/>
      <c r="TAP47" s="191"/>
      <c r="TAQ47" s="191"/>
      <c r="TAR47" s="191"/>
      <c r="TAS47" s="191"/>
      <c r="TAT47" s="191"/>
      <c r="TAU47" s="191"/>
      <c r="TAV47" s="191"/>
      <c r="TAW47" s="191"/>
      <c r="TAX47" s="191"/>
      <c r="TAY47" s="191"/>
      <c r="TAZ47" s="191"/>
      <c r="TBA47" s="191"/>
      <c r="TBB47" s="191"/>
      <c r="TBC47" s="191"/>
      <c r="TBD47" s="191"/>
      <c r="TBE47" s="191"/>
      <c r="TBF47" s="191"/>
      <c r="TBG47" s="191"/>
      <c r="TBH47" s="191"/>
      <c r="TBI47" s="191"/>
      <c r="TBJ47" s="191"/>
      <c r="TBK47" s="191"/>
      <c r="TBL47" s="191"/>
      <c r="TBM47" s="191"/>
      <c r="TBN47" s="191"/>
      <c r="TBO47" s="191"/>
      <c r="TBP47" s="191"/>
      <c r="TBQ47" s="191"/>
      <c r="TBR47" s="191"/>
      <c r="TBS47" s="191"/>
      <c r="TBT47" s="191"/>
      <c r="TBU47" s="191"/>
      <c r="TBV47" s="191"/>
      <c r="TBW47" s="191"/>
      <c r="TBX47" s="191"/>
      <c r="TBY47" s="191"/>
      <c r="TBZ47" s="191"/>
      <c r="TCA47" s="191"/>
      <c r="TCB47" s="191"/>
      <c r="TCC47" s="191"/>
      <c r="TCD47" s="191"/>
      <c r="TCE47" s="191"/>
      <c r="TCF47" s="191"/>
      <c r="TCG47" s="191"/>
      <c r="TCH47" s="191"/>
      <c r="TCI47" s="191"/>
      <c r="TCJ47" s="191"/>
      <c r="TCK47" s="191"/>
      <c r="TCL47" s="191"/>
      <c r="TCM47" s="191"/>
      <c r="TCN47" s="191"/>
      <c r="TCO47" s="191"/>
      <c r="TCP47" s="191"/>
      <c r="TCQ47" s="191"/>
      <c r="TCR47" s="191"/>
      <c r="TCS47" s="191"/>
      <c r="TCT47" s="191"/>
      <c r="TCU47" s="191"/>
      <c r="TCV47" s="191"/>
      <c r="TCW47" s="191"/>
      <c r="TCX47" s="191"/>
      <c r="TCY47" s="191"/>
      <c r="TCZ47" s="191"/>
      <c r="TDA47" s="191"/>
      <c r="TDB47" s="191"/>
      <c r="TDC47" s="191"/>
      <c r="TDD47" s="191"/>
      <c r="TDE47" s="191"/>
      <c r="TDF47" s="191"/>
      <c r="TDG47" s="191"/>
      <c r="TDH47" s="191"/>
      <c r="TDI47" s="191"/>
      <c r="TDJ47" s="191"/>
      <c r="TDK47" s="191"/>
      <c r="TDL47" s="191"/>
      <c r="TDM47" s="191"/>
      <c r="TDN47" s="191"/>
      <c r="TDO47" s="191"/>
      <c r="TDP47" s="191"/>
      <c r="TDQ47" s="191"/>
      <c r="TDR47" s="191"/>
      <c r="TDS47" s="191"/>
      <c r="TDT47" s="191"/>
      <c r="TDU47" s="191"/>
      <c r="TDV47" s="191"/>
      <c r="TDW47" s="191"/>
      <c r="TDX47" s="191"/>
      <c r="TDY47" s="191"/>
      <c r="TDZ47" s="191"/>
      <c r="TEA47" s="191"/>
      <c r="TEB47" s="191"/>
      <c r="TEC47" s="191"/>
      <c r="TED47" s="191"/>
      <c r="TEE47" s="191"/>
      <c r="TEF47" s="191"/>
      <c r="TEG47" s="191"/>
      <c r="TEH47" s="191"/>
      <c r="TEI47" s="191"/>
      <c r="TEJ47" s="191"/>
      <c r="TEK47" s="191"/>
      <c r="TEL47" s="191"/>
      <c r="TEM47" s="191"/>
      <c r="TEN47" s="191"/>
      <c r="TEO47" s="191"/>
      <c r="TEP47" s="191"/>
      <c r="TEQ47" s="191"/>
      <c r="TER47" s="191"/>
      <c r="TES47" s="191"/>
      <c r="TET47" s="191"/>
      <c r="TEU47" s="191"/>
      <c r="TEV47" s="191"/>
      <c r="TEW47" s="191"/>
      <c r="TEX47" s="191"/>
      <c r="TEY47" s="191"/>
      <c r="TEZ47" s="191"/>
      <c r="TFA47" s="191"/>
      <c r="TFB47" s="191"/>
      <c r="TFC47" s="191"/>
      <c r="TFD47" s="191"/>
      <c r="TFE47" s="191"/>
      <c r="TFF47" s="191"/>
      <c r="TFG47" s="191"/>
      <c r="TFH47" s="191"/>
      <c r="TFI47" s="191"/>
      <c r="TFJ47" s="191"/>
      <c r="TFK47" s="191"/>
      <c r="TFL47" s="191"/>
      <c r="TFM47" s="191"/>
      <c r="TFN47" s="191"/>
      <c r="TFO47" s="191"/>
      <c r="TFP47" s="191"/>
      <c r="TFQ47" s="191"/>
      <c r="TFR47" s="191"/>
      <c r="TFS47" s="191"/>
      <c r="TFT47" s="191"/>
      <c r="TFU47" s="191"/>
      <c r="TFV47" s="191"/>
      <c r="TFW47" s="191"/>
      <c r="TFX47" s="191"/>
      <c r="TFY47" s="191"/>
      <c r="TFZ47" s="191"/>
      <c r="TGA47" s="191"/>
      <c r="TGB47" s="191"/>
      <c r="TGC47" s="191"/>
      <c r="TGD47" s="191"/>
      <c r="TGE47" s="191"/>
      <c r="TGF47" s="191"/>
      <c r="TGG47" s="191"/>
      <c r="TGH47" s="191"/>
      <c r="TGI47" s="191"/>
      <c r="TGJ47" s="191"/>
      <c r="TGK47" s="191"/>
      <c r="TGL47" s="191"/>
      <c r="TGM47" s="191"/>
      <c r="TGN47" s="191"/>
      <c r="TGO47" s="191"/>
      <c r="TGP47" s="191"/>
      <c r="TGQ47" s="191"/>
      <c r="TGR47" s="191"/>
      <c r="TGS47" s="191"/>
      <c r="TGT47" s="191"/>
      <c r="TGU47" s="191"/>
      <c r="TGV47" s="191"/>
      <c r="TGW47" s="191"/>
      <c r="TGX47" s="191"/>
      <c r="TGY47" s="191"/>
      <c r="TGZ47" s="191"/>
      <c r="THA47" s="191"/>
      <c r="THB47" s="191"/>
      <c r="THC47" s="191"/>
      <c r="THD47" s="191"/>
      <c r="THE47" s="191"/>
      <c r="THF47" s="191"/>
      <c r="THG47" s="191"/>
      <c r="THH47" s="191"/>
      <c r="THI47" s="191"/>
      <c r="THJ47" s="191"/>
      <c r="THK47" s="191"/>
      <c r="THL47" s="191"/>
      <c r="THM47" s="191"/>
      <c r="THN47" s="191"/>
      <c r="THO47" s="191"/>
      <c r="THP47" s="191"/>
      <c r="THQ47" s="191"/>
      <c r="THR47" s="191"/>
      <c r="THS47" s="191"/>
      <c r="THT47" s="191"/>
      <c r="THU47" s="191"/>
      <c r="THV47" s="191"/>
      <c r="THW47" s="191"/>
      <c r="THX47" s="191"/>
      <c r="THY47" s="191"/>
      <c r="THZ47" s="191"/>
      <c r="TIA47" s="191"/>
      <c r="TIB47" s="191"/>
      <c r="TIC47" s="191"/>
      <c r="TID47" s="191"/>
      <c r="TIE47" s="191"/>
      <c r="TIF47" s="191"/>
      <c r="TIG47" s="191"/>
      <c r="TIH47" s="191"/>
      <c r="TII47" s="191"/>
      <c r="TIJ47" s="191"/>
      <c r="TIK47" s="191"/>
      <c r="TIL47" s="191"/>
      <c r="TIM47" s="191"/>
      <c r="TIN47" s="191"/>
      <c r="TIO47" s="191"/>
      <c r="TIP47" s="191"/>
      <c r="TIQ47" s="191"/>
      <c r="TIR47" s="191"/>
      <c r="TIS47" s="191"/>
      <c r="TIT47" s="191"/>
      <c r="TIU47" s="191"/>
      <c r="TIV47" s="191"/>
      <c r="TIW47" s="191"/>
      <c r="TIX47" s="191"/>
      <c r="TIY47" s="191"/>
      <c r="TIZ47" s="191"/>
      <c r="TJA47" s="191"/>
      <c r="TJB47" s="191"/>
      <c r="TJC47" s="191"/>
      <c r="TJD47" s="191"/>
      <c r="TJE47" s="191"/>
      <c r="TJF47" s="191"/>
      <c r="TJG47" s="191"/>
      <c r="TJH47" s="191"/>
      <c r="TJI47" s="191"/>
      <c r="TJJ47" s="191"/>
      <c r="TJK47" s="191"/>
      <c r="TJL47" s="191"/>
      <c r="TJM47" s="191"/>
      <c r="TJN47" s="191"/>
      <c r="TJO47" s="191"/>
      <c r="TJP47" s="191"/>
      <c r="TJQ47" s="191"/>
      <c r="TJR47" s="191"/>
      <c r="TJS47" s="191"/>
      <c r="TJT47" s="191"/>
      <c r="TJU47" s="191"/>
      <c r="TJV47" s="191"/>
      <c r="TJW47" s="191"/>
      <c r="TJX47" s="191"/>
      <c r="TJY47" s="191"/>
      <c r="TJZ47" s="191"/>
      <c r="TKA47" s="191"/>
      <c r="TKB47" s="191"/>
      <c r="TKC47" s="191"/>
      <c r="TKD47" s="191"/>
      <c r="TKE47" s="191"/>
      <c r="TKF47" s="191"/>
      <c r="TKG47" s="191"/>
      <c r="TKH47" s="191"/>
      <c r="TKI47" s="191"/>
      <c r="TKJ47" s="191"/>
      <c r="TKK47" s="191"/>
      <c r="TKL47" s="191"/>
      <c r="TKM47" s="191"/>
      <c r="TKN47" s="191"/>
      <c r="TKO47" s="191"/>
      <c r="TKP47" s="191"/>
      <c r="TKQ47" s="191"/>
      <c r="TKR47" s="191"/>
      <c r="TKS47" s="191"/>
      <c r="TKT47" s="191"/>
      <c r="TKU47" s="191"/>
      <c r="TKV47" s="191"/>
      <c r="TKW47" s="191"/>
      <c r="TKX47" s="191"/>
      <c r="TKY47" s="191"/>
      <c r="TKZ47" s="191"/>
      <c r="TLA47" s="191"/>
      <c r="TLB47" s="191"/>
      <c r="TLC47" s="191"/>
      <c r="TLD47" s="191"/>
      <c r="TLE47" s="191"/>
      <c r="TLF47" s="191"/>
      <c r="TLG47" s="191"/>
      <c r="TLH47" s="191"/>
      <c r="TLI47" s="191"/>
      <c r="TLJ47" s="191"/>
      <c r="TLK47" s="191"/>
      <c r="TLL47" s="191"/>
      <c r="TLM47" s="191"/>
      <c r="TLN47" s="191"/>
      <c r="TLO47" s="191"/>
      <c r="TLP47" s="191"/>
      <c r="TLQ47" s="191"/>
      <c r="TLR47" s="191"/>
      <c r="TLS47" s="191"/>
      <c r="TLT47" s="191"/>
      <c r="TLU47" s="191"/>
      <c r="TLV47" s="191"/>
      <c r="TLW47" s="191"/>
      <c r="TLX47" s="191"/>
      <c r="TLY47" s="191"/>
      <c r="TLZ47" s="191"/>
      <c r="TMA47" s="191"/>
      <c r="TMB47" s="191"/>
      <c r="TMC47" s="191"/>
      <c r="TMD47" s="191"/>
      <c r="TME47" s="191"/>
      <c r="TMF47" s="191"/>
      <c r="TMG47" s="191"/>
      <c r="TMH47" s="191"/>
      <c r="TMI47" s="191"/>
      <c r="TMJ47" s="191"/>
      <c r="TMK47" s="191"/>
      <c r="TML47" s="191"/>
      <c r="TMM47" s="191"/>
      <c r="TMN47" s="191"/>
      <c r="TMO47" s="191"/>
      <c r="TMP47" s="191"/>
      <c r="TMQ47" s="191"/>
      <c r="TMR47" s="191"/>
      <c r="TMS47" s="191"/>
      <c r="TMT47" s="191"/>
      <c r="TMU47" s="191"/>
      <c r="TMV47" s="191"/>
      <c r="TMW47" s="191"/>
      <c r="TMX47" s="191"/>
      <c r="TMY47" s="191"/>
      <c r="TMZ47" s="191"/>
      <c r="TNA47" s="191"/>
      <c r="TNB47" s="191"/>
      <c r="TNC47" s="191"/>
      <c r="TND47" s="191"/>
      <c r="TNE47" s="191"/>
      <c r="TNF47" s="191"/>
      <c r="TNG47" s="191"/>
      <c r="TNH47" s="191"/>
      <c r="TNI47" s="191"/>
      <c r="TNJ47" s="191"/>
      <c r="TNK47" s="191"/>
      <c r="TNL47" s="191"/>
      <c r="TNM47" s="191"/>
      <c r="TNN47" s="191"/>
      <c r="TNO47" s="191"/>
      <c r="TNP47" s="191"/>
      <c r="TNQ47" s="191"/>
      <c r="TNR47" s="191"/>
      <c r="TNS47" s="191"/>
      <c r="TNT47" s="191"/>
      <c r="TNU47" s="191"/>
      <c r="TNV47" s="191"/>
      <c r="TNW47" s="191"/>
      <c r="TNX47" s="191"/>
      <c r="TNY47" s="191"/>
      <c r="TNZ47" s="191"/>
      <c r="TOA47" s="191"/>
      <c r="TOB47" s="191"/>
      <c r="TOC47" s="191"/>
      <c r="TOD47" s="191"/>
      <c r="TOE47" s="191"/>
      <c r="TOF47" s="191"/>
      <c r="TOG47" s="191"/>
      <c r="TOH47" s="191"/>
      <c r="TOI47" s="191"/>
      <c r="TOJ47" s="191"/>
      <c r="TOK47" s="191"/>
      <c r="TOL47" s="191"/>
      <c r="TOM47" s="191"/>
      <c r="TON47" s="191"/>
      <c r="TOO47" s="191"/>
      <c r="TOP47" s="191"/>
      <c r="TOQ47" s="191"/>
      <c r="TOR47" s="191"/>
      <c r="TOS47" s="191"/>
      <c r="TOT47" s="191"/>
      <c r="TOU47" s="191"/>
      <c r="TOV47" s="191"/>
      <c r="TOW47" s="191"/>
      <c r="TOX47" s="191"/>
      <c r="TOY47" s="191"/>
      <c r="TOZ47" s="191"/>
      <c r="TPA47" s="191"/>
      <c r="TPB47" s="191"/>
      <c r="TPC47" s="191"/>
      <c r="TPD47" s="191"/>
      <c r="TPE47" s="191"/>
      <c r="TPF47" s="191"/>
      <c r="TPG47" s="191"/>
      <c r="TPH47" s="191"/>
      <c r="TPI47" s="191"/>
      <c r="TPJ47" s="191"/>
      <c r="TPK47" s="191"/>
      <c r="TPL47" s="191"/>
      <c r="TPM47" s="191"/>
      <c r="TPN47" s="191"/>
      <c r="TPO47" s="191"/>
      <c r="TPP47" s="191"/>
      <c r="TPQ47" s="191"/>
      <c r="TPR47" s="191"/>
      <c r="TPS47" s="191"/>
      <c r="TPT47" s="191"/>
      <c r="TPU47" s="191"/>
      <c r="TPV47" s="191"/>
      <c r="TPW47" s="191"/>
      <c r="TPX47" s="191"/>
      <c r="TPY47" s="191"/>
      <c r="TPZ47" s="191"/>
      <c r="TQA47" s="191"/>
      <c r="TQB47" s="191"/>
      <c r="TQC47" s="191"/>
      <c r="TQD47" s="191"/>
      <c r="TQE47" s="191"/>
      <c r="TQF47" s="191"/>
      <c r="TQG47" s="191"/>
      <c r="TQH47" s="191"/>
      <c r="TQI47" s="191"/>
      <c r="TQJ47" s="191"/>
      <c r="TQK47" s="191"/>
      <c r="TQL47" s="191"/>
      <c r="TQM47" s="191"/>
      <c r="TQN47" s="191"/>
      <c r="TQO47" s="191"/>
      <c r="TQP47" s="191"/>
      <c r="TQQ47" s="191"/>
      <c r="TQR47" s="191"/>
      <c r="TQS47" s="191"/>
      <c r="TQT47" s="191"/>
      <c r="TQU47" s="191"/>
      <c r="TQV47" s="191"/>
      <c r="TQW47" s="191"/>
      <c r="TQX47" s="191"/>
      <c r="TQY47" s="191"/>
      <c r="TQZ47" s="191"/>
      <c r="TRA47" s="191"/>
      <c r="TRB47" s="191"/>
      <c r="TRC47" s="191"/>
      <c r="TRD47" s="191"/>
      <c r="TRE47" s="191"/>
      <c r="TRF47" s="191"/>
      <c r="TRG47" s="191"/>
      <c r="TRH47" s="191"/>
      <c r="TRI47" s="191"/>
      <c r="TRJ47" s="191"/>
      <c r="TRK47" s="191"/>
      <c r="TRL47" s="191"/>
      <c r="TRM47" s="191"/>
      <c r="TRN47" s="191"/>
      <c r="TRO47" s="191"/>
      <c r="TRP47" s="191"/>
      <c r="TRQ47" s="191"/>
      <c r="TRR47" s="191"/>
      <c r="TRS47" s="191"/>
      <c r="TRT47" s="191"/>
      <c r="TRU47" s="191"/>
      <c r="TRV47" s="191"/>
      <c r="TRW47" s="191"/>
      <c r="TRX47" s="191"/>
      <c r="TRY47" s="191"/>
      <c r="TRZ47" s="191"/>
      <c r="TSA47" s="191"/>
      <c r="TSB47" s="191"/>
      <c r="TSC47" s="191"/>
      <c r="TSD47" s="191"/>
      <c r="TSE47" s="191"/>
      <c r="TSF47" s="191"/>
      <c r="TSG47" s="191"/>
      <c r="TSH47" s="191"/>
      <c r="TSI47" s="191"/>
      <c r="TSJ47" s="191"/>
      <c r="TSK47" s="191"/>
      <c r="TSL47" s="191"/>
      <c r="TSM47" s="191"/>
      <c r="TSN47" s="191"/>
      <c r="TSO47" s="191"/>
      <c r="TSP47" s="191"/>
      <c r="TSQ47" s="191"/>
      <c r="TSR47" s="191"/>
      <c r="TSS47" s="191"/>
      <c r="TST47" s="191"/>
      <c r="TSU47" s="191"/>
      <c r="TSV47" s="191"/>
      <c r="TSW47" s="191"/>
      <c r="TSX47" s="191"/>
      <c r="TSY47" s="191"/>
      <c r="TSZ47" s="191"/>
      <c r="TTA47" s="191"/>
      <c r="TTB47" s="191"/>
      <c r="TTC47" s="191"/>
      <c r="TTD47" s="191"/>
      <c r="TTE47" s="191"/>
      <c r="TTF47" s="191"/>
      <c r="TTG47" s="191"/>
      <c r="TTH47" s="191"/>
      <c r="TTI47" s="191"/>
      <c r="TTJ47" s="191"/>
      <c r="TTK47" s="191"/>
      <c r="TTL47" s="191"/>
      <c r="TTM47" s="191"/>
      <c r="TTN47" s="191"/>
      <c r="TTO47" s="191"/>
      <c r="TTP47" s="191"/>
      <c r="TTQ47" s="191"/>
      <c r="TTR47" s="191"/>
      <c r="TTS47" s="191"/>
      <c r="TTT47" s="191"/>
      <c r="TTU47" s="191"/>
      <c r="TTV47" s="191"/>
      <c r="TTW47" s="191"/>
      <c r="TTX47" s="191"/>
      <c r="TTY47" s="191"/>
      <c r="TTZ47" s="191"/>
      <c r="TUA47" s="191"/>
      <c r="TUB47" s="191"/>
      <c r="TUC47" s="191"/>
      <c r="TUD47" s="191"/>
      <c r="TUE47" s="191"/>
      <c r="TUF47" s="191"/>
      <c r="TUG47" s="191"/>
      <c r="TUH47" s="191"/>
      <c r="TUI47" s="191"/>
      <c r="TUJ47" s="191"/>
      <c r="TUK47" s="191"/>
      <c r="TUL47" s="191"/>
      <c r="TUM47" s="191"/>
      <c r="TUN47" s="191"/>
      <c r="TUO47" s="191"/>
      <c r="TUP47" s="191"/>
      <c r="TUQ47" s="191"/>
      <c r="TUR47" s="191"/>
      <c r="TUS47" s="191"/>
      <c r="TUT47" s="191"/>
      <c r="TUU47" s="191"/>
      <c r="TUV47" s="191"/>
      <c r="TUW47" s="191"/>
      <c r="TUX47" s="191"/>
      <c r="TUY47" s="191"/>
      <c r="TUZ47" s="191"/>
      <c r="TVA47" s="191"/>
      <c r="TVB47" s="191"/>
      <c r="TVC47" s="191"/>
      <c r="TVD47" s="191"/>
      <c r="TVE47" s="191"/>
      <c r="TVF47" s="191"/>
      <c r="TVG47" s="191"/>
      <c r="TVH47" s="191"/>
      <c r="TVI47" s="191"/>
      <c r="TVJ47" s="191"/>
      <c r="TVK47" s="191"/>
      <c r="TVL47" s="191"/>
      <c r="TVM47" s="191"/>
      <c r="TVN47" s="191"/>
      <c r="TVO47" s="191"/>
      <c r="TVP47" s="191"/>
      <c r="TVQ47" s="191"/>
      <c r="TVR47" s="191"/>
      <c r="TVS47" s="191"/>
      <c r="TVT47" s="191"/>
      <c r="TVU47" s="191"/>
      <c r="TVV47" s="191"/>
      <c r="TVW47" s="191"/>
      <c r="TVX47" s="191"/>
      <c r="TVY47" s="191"/>
      <c r="TVZ47" s="191"/>
      <c r="TWA47" s="191"/>
      <c r="TWB47" s="191"/>
      <c r="TWC47" s="191"/>
      <c r="TWD47" s="191"/>
      <c r="TWE47" s="191"/>
      <c r="TWF47" s="191"/>
      <c r="TWG47" s="191"/>
      <c r="TWH47" s="191"/>
      <c r="TWI47" s="191"/>
      <c r="TWJ47" s="191"/>
      <c r="TWK47" s="191"/>
      <c r="TWL47" s="191"/>
      <c r="TWM47" s="191"/>
      <c r="TWN47" s="191"/>
      <c r="TWO47" s="191"/>
      <c r="TWP47" s="191"/>
      <c r="TWQ47" s="191"/>
      <c r="TWR47" s="191"/>
      <c r="TWS47" s="191"/>
      <c r="TWT47" s="191"/>
      <c r="TWU47" s="191"/>
      <c r="TWV47" s="191"/>
      <c r="TWW47" s="191"/>
      <c r="TWX47" s="191"/>
      <c r="TWY47" s="191"/>
      <c r="TWZ47" s="191"/>
      <c r="TXA47" s="191"/>
      <c r="TXB47" s="191"/>
      <c r="TXC47" s="191"/>
      <c r="TXD47" s="191"/>
      <c r="TXE47" s="191"/>
      <c r="TXF47" s="191"/>
      <c r="TXG47" s="191"/>
      <c r="TXH47" s="191"/>
      <c r="TXI47" s="191"/>
      <c r="TXJ47" s="191"/>
      <c r="TXK47" s="191"/>
      <c r="TXL47" s="191"/>
      <c r="TXM47" s="191"/>
      <c r="TXN47" s="191"/>
      <c r="TXO47" s="191"/>
      <c r="TXP47" s="191"/>
      <c r="TXQ47" s="191"/>
      <c r="TXR47" s="191"/>
      <c r="TXS47" s="191"/>
      <c r="TXT47" s="191"/>
      <c r="TXU47" s="191"/>
      <c r="TXV47" s="191"/>
      <c r="TXW47" s="191"/>
      <c r="TXX47" s="191"/>
      <c r="TXY47" s="191"/>
      <c r="TXZ47" s="191"/>
      <c r="TYA47" s="191"/>
      <c r="TYB47" s="191"/>
      <c r="TYC47" s="191"/>
      <c r="TYD47" s="191"/>
      <c r="TYE47" s="191"/>
      <c r="TYF47" s="191"/>
      <c r="TYG47" s="191"/>
      <c r="TYH47" s="191"/>
      <c r="TYI47" s="191"/>
      <c r="TYJ47" s="191"/>
      <c r="TYK47" s="191"/>
      <c r="TYL47" s="191"/>
      <c r="TYM47" s="191"/>
      <c r="TYN47" s="191"/>
      <c r="TYO47" s="191"/>
      <c r="TYP47" s="191"/>
      <c r="TYQ47" s="191"/>
      <c r="TYR47" s="191"/>
      <c r="TYS47" s="191"/>
      <c r="TYT47" s="191"/>
      <c r="TYU47" s="191"/>
      <c r="TYV47" s="191"/>
      <c r="TYW47" s="191"/>
      <c r="TYX47" s="191"/>
      <c r="TYY47" s="191"/>
      <c r="TYZ47" s="191"/>
      <c r="TZA47" s="191"/>
      <c r="TZB47" s="191"/>
      <c r="TZC47" s="191"/>
      <c r="TZD47" s="191"/>
      <c r="TZE47" s="191"/>
      <c r="TZF47" s="191"/>
      <c r="TZG47" s="191"/>
      <c r="TZH47" s="191"/>
      <c r="TZI47" s="191"/>
      <c r="TZJ47" s="191"/>
      <c r="TZK47" s="191"/>
      <c r="TZL47" s="191"/>
      <c r="TZM47" s="191"/>
      <c r="TZN47" s="191"/>
      <c r="TZO47" s="191"/>
      <c r="TZP47" s="191"/>
      <c r="TZQ47" s="191"/>
      <c r="TZR47" s="191"/>
      <c r="TZS47" s="191"/>
      <c r="TZT47" s="191"/>
      <c r="TZU47" s="191"/>
      <c r="TZV47" s="191"/>
      <c r="TZW47" s="191"/>
      <c r="TZX47" s="191"/>
      <c r="TZY47" s="191"/>
      <c r="TZZ47" s="191"/>
      <c r="UAA47" s="191"/>
      <c r="UAB47" s="191"/>
      <c r="UAC47" s="191"/>
      <c r="UAD47" s="191"/>
      <c r="UAE47" s="191"/>
      <c r="UAF47" s="191"/>
      <c r="UAG47" s="191"/>
      <c r="UAH47" s="191"/>
      <c r="UAI47" s="191"/>
      <c r="UAJ47" s="191"/>
      <c r="UAK47" s="191"/>
      <c r="UAL47" s="191"/>
      <c r="UAM47" s="191"/>
      <c r="UAN47" s="191"/>
      <c r="UAO47" s="191"/>
      <c r="UAP47" s="191"/>
      <c r="UAQ47" s="191"/>
      <c r="UAR47" s="191"/>
      <c r="UAS47" s="191"/>
      <c r="UAT47" s="191"/>
      <c r="UAU47" s="191"/>
      <c r="UAV47" s="191"/>
      <c r="UAW47" s="191"/>
      <c r="UAX47" s="191"/>
      <c r="UAY47" s="191"/>
      <c r="UAZ47" s="191"/>
      <c r="UBA47" s="191"/>
      <c r="UBB47" s="191"/>
      <c r="UBC47" s="191"/>
      <c r="UBD47" s="191"/>
      <c r="UBE47" s="191"/>
      <c r="UBF47" s="191"/>
      <c r="UBG47" s="191"/>
      <c r="UBH47" s="191"/>
      <c r="UBI47" s="191"/>
      <c r="UBJ47" s="191"/>
      <c r="UBK47" s="191"/>
      <c r="UBL47" s="191"/>
      <c r="UBM47" s="191"/>
      <c r="UBN47" s="191"/>
      <c r="UBO47" s="191"/>
      <c r="UBP47" s="191"/>
      <c r="UBQ47" s="191"/>
      <c r="UBR47" s="191"/>
      <c r="UBS47" s="191"/>
      <c r="UBT47" s="191"/>
      <c r="UBU47" s="191"/>
      <c r="UBV47" s="191"/>
      <c r="UBW47" s="191"/>
      <c r="UBX47" s="191"/>
      <c r="UBY47" s="191"/>
      <c r="UBZ47" s="191"/>
      <c r="UCA47" s="191"/>
      <c r="UCB47" s="191"/>
      <c r="UCC47" s="191"/>
      <c r="UCD47" s="191"/>
      <c r="UCE47" s="191"/>
      <c r="UCF47" s="191"/>
      <c r="UCG47" s="191"/>
      <c r="UCH47" s="191"/>
      <c r="UCI47" s="191"/>
      <c r="UCJ47" s="191"/>
      <c r="UCK47" s="191"/>
      <c r="UCL47" s="191"/>
      <c r="UCM47" s="191"/>
      <c r="UCN47" s="191"/>
      <c r="UCO47" s="191"/>
      <c r="UCP47" s="191"/>
      <c r="UCQ47" s="191"/>
      <c r="UCR47" s="191"/>
      <c r="UCS47" s="191"/>
      <c r="UCT47" s="191"/>
      <c r="UCU47" s="191"/>
      <c r="UCV47" s="191"/>
      <c r="UCW47" s="191"/>
      <c r="UCX47" s="191"/>
      <c r="UCY47" s="191"/>
      <c r="UCZ47" s="191"/>
      <c r="UDA47" s="191"/>
      <c r="UDB47" s="191"/>
      <c r="UDC47" s="191"/>
      <c r="UDD47" s="191"/>
      <c r="UDE47" s="191"/>
      <c r="UDF47" s="191"/>
      <c r="UDG47" s="191"/>
      <c r="UDH47" s="191"/>
      <c r="UDI47" s="191"/>
      <c r="UDJ47" s="191"/>
      <c r="UDK47" s="191"/>
      <c r="UDL47" s="191"/>
      <c r="UDM47" s="191"/>
      <c r="UDN47" s="191"/>
      <c r="UDO47" s="191"/>
      <c r="UDP47" s="191"/>
      <c r="UDQ47" s="191"/>
      <c r="UDR47" s="191"/>
      <c r="UDS47" s="191"/>
      <c r="UDT47" s="191"/>
      <c r="UDU47" s="191"/>
      <c r="UDV47" s="191"/>
      <c r="UDW47" s="191"/>
      <c r="UDX47" s="191"/>
      <c r="UDY47" s="191"/>
      <c r="UDZ47" s="191"/>
      <c r="UEA47" s="191"/>
      <c r="UEB47" s="191"/>
      <c r="UEC47" s="191"/>
      <c r="UED47" s="191"/>
      <c r="UEE47" s="191"/>
      <c r="UEF47" s="191"/>
      <c r="UEG47" s="191"/>
      <c r="UEH47" s="191"/>
      <c r="UEI47" s="191"/>
      <c r="UEJ47" s="191"/>
      <c r="UEK47" s="191"/>
      <c r="UEL47" s="191"/>
      <c r="UEM47" s="191"/>
      <c r="UEN47" s="191"/>
      <c r="UEO47" s="191"/>
      <c r="UEP47" s="191"/>
      <c r="UEQ47" s="191"/>
      <c r="UER47" s="191"/>
      <c r="UES47" s="191"/>
      <c r="UET47" s="191"/>
      <c r="UEU47" s="191"/>
      <c r="UEV47" s="191"/>
      <c r="UEW47" s="191"/>
      <c r="UEX47" s="191"/>
      <c r="UEY47" s="191"/>
      <c r="UEZ47" s="191"/>
      <c r="UFA47" s="191"/>
      <c r="UFB47" s="191"/>
      <c r="UFC47" s="191"/>
      <c r="UFD47" s="191"/>
      <c r="UFE47" s="191"/>
      <c r="UFF47" s="191"/>
      <c r="UFG47" s="191"/>
      <c r="UFH47" s="191"/>
      <c r="UFI47" s="191"/>
      <c r="UFJ47" s="191"/>
      <c r="UFK47" s="191"/>
      <c r="UFL47" s="191"/>
      <c r="UFM47" s="191"/>
      <c r="UFN47" s="191"/>
      <c r="UFO47" s="191"/>
      <c r="UFP47" s="191"/>
      <c r="UFQ47" s="191"/>
      <c r="UFR47" s="191"/>
      <c r="UFS47" s="191"/>
      <c r="UFT47" s="191"/>
      <c r="UFU47" s="191"/>
      <c r="UFV47" s="191"/>
      <c r="UFW47" s="191"/>
      <c r="UFX47" s="191"/>
      <c r="UFY47" s="191"/>
      <c r="UFZ47" s="191"/>
      <c r="UGA47" s="191"/>
      <c r="UGB47" s="191"/>
      <c r="UGC47" s="191"/>
      <c r="UGD47" s="191"/>
      <c r="UGE47" s="191"/>
      <c r="UGF47" s="191"/>
      <c r="UGG47" s="191"/>
      <c r="UGH47" s="191"/>
      <c r="UGI47" s="191"/>
      <c r="UGJ47" s="191"/>
      <c r="UGK47" s="191"/>
      <c r="UGL47" s="191"/>
      <c r="UGM47" s="191"/>
      <c r="UGN47" s="191"/>
      <c r="UGO47" s="191"/>
      <c r="UGP47" s="191"/>
      <c r="UGQ47" s="191"/>
      <c r="UGR47" s="191"/>
      <c r="UGS47" s="191"/>
      <c r="UGT47" s="191"/>
      <c r="UGU47" s="191"/>
      <c r="UGV47" s="191"/>
      <c r="UGW47" s="191"/>
      <c r="UGX47" s="191"/>
      <c r="UGY47" s="191"/>
      <c r="UGZ47" s="191"/>
      <c r="UHA47" s="191"/>
      <c r="UHB47" s="191"/>
      <c r="UHC47" s="191"/>
      <c r="UHD47" s="191"/>
      <c r="UHE47" s="191"/>
      <c r="UHF47" s="191"/>
      <c r="UHG47" s="191"/>
      <c r="UHH47" s="191"/>
      <c r="UHI47" s="191"/>
      <c r="UHJ47" s="191"/>
      <c r="UHK47" s="191"/>
      <c r="UHL47" s="191"/>
      <c r="UHM47" s="191"/>
      <c r="UHN47" s="191"/>
      <c r="UHO47" s="191"/>
      <c r="UHP47" s="191"/>
      <c r="UHQ47" s="191"/>
      <c r="UHR47" s="191"/>
      <c r="UHS47" s="191"/>
      <c r="UHT47" s="191"/>
      <c r="UHU47" s="191"/>
      <c r="UHV47" s="191"/>
      <c r="UHW47" s="191"/>
      <c r="UHX47" s="191"/>
      <c r="UHY47" s="191"/>
      <c r="UHZ47" s="191"/>
      <c r="UIA47" s="191"/>
      <c r="UIB47" s="191"/>
      <c r="UIC47" s="191"/>
      <c r="UID47" s="191"/>
      <c r="UIE47" s="191"/>
      <c r="UIF47" s="191"/>
      <c r="UIG47" s="191"/>
      <c r="UIH47" s="191"/>
      <c r="UII47" s="191"/>
      <c r="UIJ47" s="191"/>
      <c r="UIK47" s="191"/>
      <c r="UIL47" s="191"/>
      <c r="UIM47" s="191"/>
      <c r="UIN47" s="191"/>
      <c r="UIO47" s="191"/>
      <c r="UIP47" s="191"/>
      <c r="UIQ47" s="191"/>
      <c r="UIR47" s="191"/>
      <c r="UIS47" s="191"/>
      <c r="UIT47" s="191"/>
      <c r="UIU47" s="191"/>
      <c r="UIV47" s="191"/>
      <c r="UIW47" s="191"/>
      <c r="UIX47" s="191"/>
      <c r="UIY47" s="191"/>
      <c r="UIZ47" s="191"/>
      <c r="UJA47" s="191"/>
      <c r="UJB47" s="191"/>
      <c r="UJC47" s="191"/>
      <c r="UJD47" s="191"/>
      <c r="UJE47" s="191"/>
      <c r="UJF47" s="191"/>
      <c r="UJG47" s="191"/>
      <c r="UJH47" s="191"/>
      <c r="UJI47" s="191"/>
      <c r="UJJ47" s="191"/>
      <c r="UJK47" s="191"/>
      <c r="UJL47" s="191"/>
      <c r="UJM47" s="191"/>
      <c r="UJN47" s="191"/>
      <c r="UJO47" s="191"/>
      <c r="UJP47" s="191"/>
      <c r="UJQ47" s="191"/>
      <c r="UJR47" s="191"/>
      <c r="UJS47" s="191"/>
      <c r="UJT47" s="191"/>
      <c r="UJU47" s="191"/>
      <c r="UJV47" s="191"/>
      <c r="UJW47" s="191"/>
      <c r="UJX47" s="191"/>
      <c r="UJY47" s="191"/>
      <c r="UJZ47" s="191"/>
      <c r="UKA47" s="191"/>
      <c r="UKB47" s="191"/>
      <c r="UKC47" s="191"/>
      <c r="UKD47" s="191"/>
      <c r="UKE47" s="191"/>
      <c r="UKF47" s="191"/>
      <c r="UKG47" s="191"/>
      <c r="UKH47" s="191"/>
      <c r="UKI47" s="191"/>
      <c r="UKJ47" s="191"/>
      <c r="UKK47" s="191"/>
      <c r="UKL47" s="191"/>
      <c r="UKM47" s="191"/>
      <c r="UKN47" s="191"/>
      <c r="UKO47" s="191"/>
      <c r="UKP47" s="191"/>
      <c r="UKQ47" s="191"/>
      <c r="UKR47" s="191"/>
      <c r="UKS47" s="191"/>
      <c r="UKT47" s="191"/>
      <c r="UKU47" s="191"/>
      <c r="UKV47" s="191"/>
      <c r="UKW47" s="191"/>
      <c r="UKX47" s="191"/>
      <c r="UKY47" s="191"/>
      <c r="UKZ47" s="191"/>
      <c r="ULA47" s="191"/>
      <c r="ULB47" s="191"/>
      <c r="ULC47" s="191"/>
      <c r="ULD47" s="191"/>
      <c r="ULE47" s="191"/>
      <c r="ULF47" s="191"/>
      <c r="ULG47" s="191"/>
      <c r="ULH47" s="191"/>
      <c r="ULI47" s="191"/>
      <c r="ULJ47" s="191"/>
      <c r="ULK47" s="191"/>
      <c r="ULL47" s="191"/>
      <c r="ULM47" s="191"/>
      <c r="ULN47" s="191"/>
      <c r="ULO47" s="191"/>
      <c r="ULP47" s="191"/>
      <c r="ULQ47" s="191"/>
      <c r="ULR47" s="191"/>
      <c r="ULS47" s="191"/>
      <c r="ULT47" s="191"/>
      <c r="ULU47" s="191"/>
      <c r="ULV47" s="191"/>
      <c r="ULW47" s="191"/>
      <c r="ULX47" s="191"/>
      <c r="ULY47" s="191"/>
      <c r="ULZ47" s="191"/>
      <c r="UMA47" s="191"/>
      <c r="UMB47" s="191"/>
      <c r="UMC47" s="191"/>
      <c r="UMD47" s="191"/>
      <c r="UME47" s="191"/>
      <c r="UMF47" s="191"/>
      <c r="UMG47" s="191"/>
      <c r="UMH47" s="191"/>
      <c r="UMI47" s="191"/>
      <c r="UMJ47" s="191"/>
      <c r="UMK47" s="191"/>
      <c r="UML47" s="191"/>
      <c r="UMM47" s="191"/>
      <c r="UMN47" s="191"/>
      <c r="UMO47" s="191"/>
      <c r="UMP47" s="191"/>
      <c r="UMQ47" s="191"/>
      <c r="UMR47" s="191"/>
      <c r="UMS47" s="191"/>
      <c r="UMT47" s="191"/>
      <c r="UMU47" s="191"/>
      <c r="UMV47" s="191"/>
      <c r="UMW47" s="191"/>
      <c r="UMX47" s="191"/>
      <c r="UMY47" s="191"/>
      <c r="UMZ47" s="191"/>
      <c r="UNA47" s="191"/>
      <c r="UNB47" s="191"/>
      <c r="UNC47" s="191"/>
      <c r="UND47" s="191"/>
      <c r="UNE47" s="191"/>
      <c r="UNF47" s="191"/>
      <c r="UNG47" s="191"/>
      <c r="UNH47" s="191"/>
      <c r="UNI47" s="191"/>
      <c r="UNJ47" s="191"/>
      <c r="UNK47" s="191"/>
      <c r="UNL47" s="191"/>
      <c r="UNM47" s="191"/>
      <c r="UNN47" s="191"/>
      <c r="UNO47" s="191"/>
      <c r="UNP47" s="191"/>
      <c r="UNQ47" s="191"/>
      <c r="UNR47" s="191"/>
      <c r="UNS47" s="191"/>
      <c r="UNT47" s="191"/>
      <c r="UNU47" s="191"/>
      <c r="UNV47" s="191"/>
      <c r="UNW47" s="191"/>
      <c r="UNX47" s="191"/>
      <c r="UNY47" s="191"/>
      <c r="UNZ47" s="191"/>
      <c r="UOA47" s="191"/>
      <c r="UOB47" s="191"/>
      <c r="UOC47" s="191"/>
      <c r="UOD47" s="191"/>
      <c r="UOE47" s="191"/>
      <c r="UOF47" s="191"/>
      <c r="UOG47" s="191"/>
      <c r="UOH47" s="191"/>
      <c r="UOI47" s="191"/>
      <c r="UOJ47" s="191"/>
      <c r="UOK47" s="191"/>
      <c r="UOL47" s="191"/>
      <c r="UOM47" s="191"/>
      <c r="UON47" s="191"/>
      <c r="UOO47" s="191"/>
      <c r="UOP47" s="191"/>
      <c r="UOQ47" s="191"/>
      <c r="UOR47" s="191"/>
      <c r="UOS47" s="191"/>
      <c r="UOT47" s="191"/>
      <c r="UOU47" s="191"/>
      <c r="UOV47" s="191"/>
      <c r="UOW47" s="191"/>
      <c r="UOX47" s="191"/>
      <c r="UOY47" s="191"/>
      <c r="UOZ47" s="191"/>
      <c r="UPA47" s="191"/>
      <c r="UPB47" s="191"/>
      <c r="UPC47" s="191"/>
      <c r="UPD47" s="191"/>
      <c r="UPE47" s="191"/>
      <c r="UPF47" s="191"/>
      <c r="UPG47" s="191"/>
      <c r="UPH47" s="191"/>
      <c r="UPI47" s="191"/>
      <c r="UPJ47" s="191"/>
      <c r="UPK47" s="191"/>
      <c r="UPL47" s="191"/>
      <c r="UPM47" s="191"/>
      <c r="UPN47" s="191"/>
      <c r="UPO47" s="191"/>
      <c r="UPP47" s="191"/>
      <c r="UPQ47" s="191"/>
      <c r="UPR47" s="191"/>
      <c r="UPS47" s="191"/>
      <c r="UPT47" s="191"/>
      <c r="UPU47" s="191"/>
      <c r="UPV47" s="191"/>
      <c r="UPW47" s="191"/>
      <c r="UPX47" s="191"/>
      <c r="UPY47" s="191"/>
      <c r="UPZ47" s="191"/>
      <c r="UQA47" s="191"/>
      <c r="UQB47" s="191"/>
      <c r="UQC47" s="191"/>
      <c r="UQD47" s="191"/>
      <c r="UQE47" s="191"/>
      <c r="UQF47" s="191"/>
      <c r="UQG47" s="191"/>
      <c r="UQH47" s="191"/>
      <c r="UQI47" s="191"/>
      <c r="UQJ47" s="191"/>
      <c r="UQK47" s="191"/>
      <c r="UQL47" s="191"/>
      <c r="UQM47" s="191"/>
      <c r="UQN47" s="191"/>
      <c r="UQO47" s="191"/>
      <c r="UQP47" s="191"/>
      <c r="UQQ47" s="191"/>
      <c r="UQR47" s="191"/>
      <c r="UQS47" s="191"/>
      <c r="UQT47" s="191"/>
      <c r="UQU47" s="191"/>
      <c r="UQV47" s="191"/>
      <c r="UQW47" s="191"/>
      <c r="UQX47" s="191"/>
      <c r="UQY47" s="191"/>
      <c r="UQZ47" s="191"/>
      <c r="URA47" s="191"/>
      <c r="URB47" s="191"/>
      <c r="URC47" s="191"/>
      <c r="URD47" s="191"/>
      <c r="URE47" s="191"/>
      <c r="URF47" s="191"/>
      <c r="URG47" s="191"/>
      <c r="URH47" s="191"/>
      <c r="URI47" s="191"/>
      <c r="URJ47" s="191"/>
      <c r="URK47" s="191"/>
      <c r="URL47" s="191"/>
      <c r="URM47" s="191"/>
      <c r="URN47" s="191"/>
      <c r="URO47" s="191"/>
      <c r="URP47" s="191"/>
      <c r="URQ47" s="191"/>
      <c r="URR47" s="191"/>
      <c r="URS47" s="191"/>
      <c r="URT47" s="191"/>
      <c r="URU47" s="191"/>
      <c r="URV47" s="191"/>
      <c r="URW47" s="191"/>
      <c r="URX47" s="191"/>
      <c r="URY47" s="191"/>
      <c r="URZ47" s="191"/>
      <c r="USA47" s="191"/>
      <c r="USB47" s="191"/>
      <c r="USC47" s="191"/>
      <c r="USD47" s="191"/>
      <c r="USE47" s="191"/>
      <c r="USF47" s="191"/>
      <c r="USG47" s="191"/>
      <c r="USH47" s="191"/>
      <c r="USI47" s="191"/>
      <c r="USJ47" s="191"/>
      <c r="USK47" s="191"/>
      <c r="USL47" s="191"/>
      <c r="USM47" s="191"/>
      <c r="USN47" s="191"/>
      <c r="USO47" s="191"/>
      <c r="USP47" s="191"/>
      <c r="USQ47" s="191"/>
      <c r="USR47" s="191"/>
      <c r="USS47" s="191"/>
      <c r="UST47" s="191"/>
      <c r="USU47" s="191"/>
      <c r="USV47" s="191"/>
      <c r="USW47" s="191"/>
      <c r="USX47" s="191"/>
      <c r="USY47" s="191"/>
      <c r="USZ47" s="191"/>
      <c r="UTA47" s="191"/>
      <c r="UTB47" s="191"/>
      <c r="UTC47" s="191"/>
      <c r="UTD47" s="191"/>
      <c r="UTE47" s="191"/>
      <c r="UTF47" s="191"/>
      <c r="UTG47" s="191"/>
      <c r="UTH47" s="191"/>
      <c r="UTI47" s="191"/>
      <c r="UTJ47" s="191"/>
      <c r="UTK47" s="191"/>
      <c r="UTL47" s="191"/>
      <c r="UTM47" s="191"/>
      <c r="UTN47" s="191"/>
      <c r="UTO47" s="191"/>
      <c r="UTP47" s="191"/>
      <c r="UTQ47" s="191"/>
      <c r="UTR47" s="191"/>
      <c r="UTS47" s="191"/>
      <c r="UTT47" s="191"/>
      <c r="UTU47" s="191"/>
      <c r="UTV47" s="191"/>
      <c r="UTW47" s="191"/>
      <c r="UTX47" s="191"/>
      <c r="UTY47" s="191"/>
      <c r="UTZ47" s="191"/>
      <c r="UUA47" s="191"/>
      <c r="UUB47" s="191"/>
      <c r="UUC47" s="191"/>
      <c r="UUD47" s="191"/>
      <c r="UUE47" s="191"/>
      <c r="UUF47" s="191"/>
      <c r="UUG47" s="191"/>
      <c r="UUH47" s="191"/>
      <c r="UUI47" s="191"/>
      <c r="UUJ47" s="191"/>
      <c r="UUK47" s="191"/>
      <c r="UUL47" s="191"/>
      <c r="UUM47" s="191"/>
      <c r="UUN47" s="191"/>
      <c r="UUO47" s="191"/>
      <c r="UUP47" s="191"/>
      <c r="UUQ47" s="191"/>
      <c r="UUR47" s="191"/>
      <c r="UUS47" s="191"/>
      <c r="UUT47" s="191"/>
      <c r="UUU47" s="191"/>
      <c r="UUV47" s="191"/>
      <c r="UUW47" s="191"/>
      <c r="UUX47" s="191"/>
      <c r="UUY47" s="191"/>
      <c r="UUZ47" s="191"/>
      <c r="UVA47" s="191"/>
      <c r="UVB47" s="191"/>
      <c r="UVC47" s="191"/>
      <c r="UVD47" s="191"/>
      <c r="UVE47" s="191"/>
      <c r="UVF47" s="191"/>
      <c r="UVG47" s="191"/>
      <c r="UVH47" s="191"/>
      <c r="UVI47" s="191"/>
      <c r="UVJ47" s="191"/>
      <c r="UVK47" s="191"/>
      <c r="UVL47" s="191"/>
      <c r="UVM47" s="191"/>
      <c r="UVN47" s="191"/>
      <c r="UVO47" s="191"/>
      <c r="UVP47" s="191"/>
      <c r="UVQ47" s="191"/>
      <c r="UVR47" s="191"/>
      <c r="UVS47" s="191"/>
      <c r="UVT47" s="191"/>
      <c r="UVU47" s="191"/>
      <c r="UVV47" s="191"/>
      <c r="UVW47" s="191"/>
      <c r="UVX47" s="191"/>
      <c r="UVY47" s="191"/>
      <c r="UVZ47" s="191"/>
      <c r="UWA47" s="191"/>
      <c r="UWB47" s="191"/>
      <c r="UWC47" s="191"/>
      <c r="UWD47" s="191"/>
      <c r="UWE47" s="191"/>
      <c r="UWF47" s="191"/>
      <c r="UWG47" s="191"/>
      <c r="UWH47" s="191"/>
      <c r="UWI47" s="191"/>
      <c r="UWJ47" s="191"/>
      <c r="UWK47" s="191"/>
      <c r="UWL47" s="191"/>
      <c r="UWM47" s="191"/>
      <c r="UWN47" s="191"/>
      <c r="UWO47" s="191"/>
      <c r="UWP47" s="191"/>
      <c r="UWQ47" s="191"/>
      <c r="UWR47" s="191"/>
      <c r="UWS47" s="191"/>
      <c r="UWT47" s="191"/>
      <c r="UWU47" s="191"/>
      <c r="UWV47" s="191"/>
      <c r="UWW47" s="191"/>
      <c r="UWX47" s="191"/>
      <c r="UWY47" s="191"/>
      <c r="UWZ47" s="191"/>
      <c r="UXA47" s="191"/>
      <c r="UXB47" s="191"/>
      <c r="UXC47" s="191"/>
      <c r="UXD47" s="191"/>
      <c r="UXE47" s="191"/>
      <c r="UXF47" s="191"/>
      <c r="UXG47" s="191"/>
      <c r="UXH47" s="191"/>
      <c r="UXI47" s="191"/>
      <c r="UXJ47" s="191"/>
      <c r="UXK47" s="191"/>
      <c r="UXL47" s="191"/>
      <c r="UXM47" s="191"/>
      <c r="UXN47" s="191"/>
      <c r="UXO47" s="191"/>
      <c r="UXP47" s="191"/>
      <c r="UXQ47" s="191"/>
      <c r="UXR47" s="191"/>
      <c r="UXS47" s="191"/>
      <c r="UXT47" s="191"/>
      <c r="UXU47" s="191"/>
      <c r="UXV47" s="191"/>
      <c r="UXW47" s="191"/>
      <c r="UXX47" s="191"/>
      <c r="UXY47" s="191"/>
      <c r="UXZ47" s="191"/>
      <c r="UYA47" s="191"/>
      <c r="UYB47" s="191"/>
      <c r="UYC47" s="191"/>
      <c r="UYD47" s="191"/>
      <c r="UYE47" s="191"/>
      <c r="UYF47" s="191"/>
      <c r="UYG47" s="191"/>
      <c r="UYH47" s="191"/>
      <c r="UYI47" s="191"/>
      <c r="UYJ47" s="191"/>
      <c r="UYK47" s="191"/>
      <c r="UYL47" s="191"/>
      <c r="UYM47" s="191"/>
      <c r="UYN47" s="191"/>
      <c r="UYO47" s="191"/>
      <c r="UYP47" s="191"/>
      <c r="UYQ47" s="191"/>
      <c r="UYR47" s="191"/>
      <c r="UYS47" s="191"/>
      <c r="UYT47" s="191"/>
      <c r="UYU47" s="191"/>
      <c r="UYV47" s="191"/>
      <c r="UYW47" s="191"/>
      <c r="UYX47" s="191"/>
      <c r="UYY47" s="191"/>
      <c r="UYZ47" s="191"/>
      <c r="UZA47" s="191"/>
      <c r="UZB47" s="191"/>
      <c r="UZC47" s="191"/>
      <c r="UZD47" s="191"/>
      <c r="UZE47" s="191"/>
      <c r="UZF47" s="191"/>
      <c r="UZG47" s="191"/>
      <c r="UZH47" s="191"/>
      <c r="UZI47" s="191"/>
      <c r="UZJ47" s="191"/>
      <c r="UZK47" s="191"/>
      <c r="UZL47" s="191"/>
      <c r="UZM47" s="191"/>
      <c r="UZN47" s="191"/>
      <c r="UZO47" s="191"/>
      <c r="UZP47" s="191"/>
      <c r="UZQ47" s="191"/>
      <c r="UZR47" s="191"/>
      <c r="UZS47" s="191"/>
      <c r="UZT47" s="191"/>
      <c r="UZU47" s="191"/>
      <c r="UZV47" s="191"/>
      <c r="UZW47" s="191"/>
      <c r="UZX47" s="191"/>
      <c r="UZY47" s="191"/>
      <c r="UZZ47" s="191"/>
      <c r="VAA47" s="191"/>
      <c r="VAB47" s="191"/>
      <c r="VAC47" s="191"/>
      <c r="VAD47" s="191"/>
      <c r="VAE47" s="191"/>
      <c r="VAF47" s="191"/>
      <c r="VAG47" s="191"/>
      <c r="VAH47" s="191"/>
      <c r="VAI47" s="191"/>
      <c r="VAJ47" s="191"/>
      <c r="VAK47" s="191"/>
      <c r="VAL47" s="191"/>
      <c r="VAM47" s="191"/>
      <c r="VAN47" s="191"/>
      <c r="VAO47" s="191"/>
      <c r="VAP47" s="191"/>
      <c r="VAQ47" s="191"/>
      <c r="VAR47" s="191"/>
      <c r="VAS47" s="191"/>
      <c r="VAT47" s="191"/>
      <c r="VAU47" s="191"/>
      <c r="VAV47" s="191"/>
      <c r="VAW47" s="191"/>
      <c r="VAX47" s="191"/>
      <c r="VAY47" s="191"/>
      <c r="VAZ47" s="191"/>
      <c r="VBA47" s="191"/>
      <c r="VBB47" s="191"/>
      <c r="VBC47" s="191"/>
      <c r="VBD47" s="191"/>
      <c r="VBE47" s="191"/>
      <c r="VBF47" s="191"/>
      <c r="VBG47" s="191"/>
      <c r="VBH47" s="191"/>
      <c r="VBI47" s="191"/>
      <c r="VBJ47" s="191"/>
      <c r="VBK47" s="191"/>
      <c r="VBL47" s="191"/>
      <c r="VBM47" s="191"/>
      <c r="VBN47" s="191"/>
      <c r="VBO47" s="191"/>
      <c r="VBP47" s="191"/>
      <c r="VBQ47" s="191"/>
      <c r="VBR47" s="191"/>
      <c r="VBS47" s="191"/>
      <c r="VBT47" s="191"/>
      <c r="VBU47" s="191"/>
      <c r="VBV47" s="191"/>
      <c r="VBW47" s="191"/>
      <c r="VBX47" s="191"/>
      <c r="VBY47" s="191"/>
      <c r="VBZ47" s="191"/>
      <c r="VCA47" s="191"/>
      <c r="VCB47" s="191"/>
      <c r="VCC47" s="191"/>
      <c r="VCD47" s="191"/>
      <c r="VCE47" s="191"/>
      <c r="VCF47" s="191"/>
      <c r="VCG47" s="191"/>
      <c r="VCH47" s="191"/>
      <c r="VCI47" s="191"/>
      <c r="VCJ47" s="191"/>
      <c r="VCK47" s="191"/>
      <c r="VCL47" s="191"/>
      <c r="VCM47" s="191"/>
      <c r="VCN47" s="191"/>
      <c r="VCO47" s="191"/>
      <c r="VCP47" s="191"/>
      <c r="VCQ47" s="191"/>
      <c r="VCR47" s="191"/>
      <c r="VCS47" s="191"/>
      <c r="VCT47" s="191"/>
      <c r="VCU47" s="191"/>
      <c r="VCV47" s="191"/>
    </row>
    <row r="48" spans="5:14972" ht="15" customHeight="1" x14ac:dyDescent="0.3">
      <c r="F48" s="60"/>
      <c r="G48" s="190" t="s">
        <v>91</v>
      </c>
      <c r="H48" s="307">
        <f>SUM(H50:H51)</f>
        <v>0</v>
      </c>
      <c r="I48" s="189" t="s">
        <v>16</v>
      </c>
      <c r="J48" s="188">
        <f>SUM(J50:J51)</f>
        <v>0</v>
      </c>
      <c r="K48" s="188">
        <f>K51+K50</f>
        <v>168000</v>
      </c>
      <c r="L48" s="188">
        <f t="shared" ref="L48:AM48" si="11">SUM(L50:L51)</f>
        <v>0</v>
      </c>
      <c r="M48" s="188">
        <f t="shared" si="11"/>
        <v>0</v>
      </c>
      <c r="N48" s="188">
        <f t="shared" si="11"/>
        <v>0</v>
      </c>
      <c r="O48" s="188">
        <f>O51+O50</f>
        <v>224000</v>
      </c>
      <c r="P48" s="188">
        <f t="shared" si="11"/>
        <v>0</v>
      </c>
      <c r="Q48" s="188">
        <f t="shared" si="11"/>
        <v>0</v>
      </c>
      <c r="R48" s="188">
        <f>R51+R50</f>
        <v>168000</v>
      </c>
      <c r="S48" s="188">
        <f t="shared" si="11"/>
        <v>0</v>
      </c>
      <c r="T48" s="188">
        <f t="shared" si="11"/>
        <v>0</v>
      </c>
      <c r="U48" s="188">
        <f t="shared" si="11"/>
        <v>0</v>
      </c>
      <c r="V48" s="188" t="s">
        <v>85</v>
      </c>
      <c r="W48" s="188">
        <f t="shared" si="11"/>
        <v>0</v>
      </c>
      <c r="X48" s="188">
        <f t="shared" si="11"/>
        <v>0</v>
      </c>
      <c r="Y48" s="188">
        <f t="shared" si="11"/>
        <v>0</v>
      </c>
      <c r="Z48" s="188">
        <f t="shared" si="11"/>
        <v>0</v>
      </c>
      <c r="AA48" s="188">
        <f t="shared" si="11"/>
        <v>0</v>
      </c>
      <c r="AB48" s="188">
        <f t="shared" si="11"/>
        <v>0</v>
      </c>
      <c r="AC48" s="188">
        <f t="shared" si="11"/>
        <v>0</v>
      </c>
      <c r="AD48" s="188">
        <f t="shared" si="11"/>
        <v>0</v>
      </c>
      <c r="AE48" s="188">
        <f t="shared" si="11"/>
        <v>0</v>
      </c>
      <c r="AF48" s="188">
        <f t="shared" si="11"/>
        <v>0</v>
      </c>
      <c r="AG48" s="188">
        <f t="shared" si="11"/>
        <v>0</v>
      </c>
      <c r="AH48" s="188">
        <f t="shared" si="11"/>
        <v>0</v>
      </c>
      <c r="AI48" s="188">
        <f t="shared" si="11"/>
        <v>324900</v>
      </c>
      <c r="AJ48" s="188">
        <f t="shared" si="11"/>
        <v>0</v>
      </c>
      <c r="AK48" s="188">
        <f t="shared" si="11"/>
        <v>0</v>
      </c>
      <c r="AL48" s="188">
        <f t="shared" si="11"/>
        <v>0</v>
      </c>
      <c r="AM48" s="188">
        <f t="shared" si="11"/>
        <v>0</v>
      </c>
      <c r="AN48" s="14"/>
      <c r="AO48" s="58">
        <f>SUM(J48:AM48)</f>
        <v>884900</v>
      </c>
      <c r="AP48" s="310"/>
      <c r="AQ48" s="94"/>
      <c r="AS48" s="85"/>
      <c r="CA48" s="93"/>
      <c r="CB48" s="93"/>
      <c r="DE48" s="93"/>
      <c r="EM48" s="66"/>
      <c r="EN48" s="93">
        <v>2136</v>
      </c>
      <c r="EO48" s="93"/>
      <c r="EP48" s="93"/>
      <c r="EQ48" s="93"/>
      <c r="GT48" s="93"/>
      <c r="KO48" s="93"/>
      <c r="KP48" s="93"/>
      <c r="KQ48" s="93"/>
      <c r="KR48" s="93"/>
      <c r="PV48" s="93"/>
      <c r="PW48" s="93"/>
      <c r="PY48" s="93"/>
      <c r="QM48" s="92"/>
      <c r="QQ48" s="93"/>
      <c r="ST48" s="92"/>
      <c r="AIC48" s="5"/>
      <c r="AJR48" s="5"/>
      <c r="AJS48" s="5"/>
      <c r="AJT48" s="5"/>
    </row>
    <row r="49" spans="6:956" ht="15" customHeight="1" x14ac:dyDescent="0.3">
      <c r="F49" s="60"/>
      <c r="G49" s="190" t="s">
        <v>90</v>
      </c>
      <c r="H49" s="307"/>
      <c r="I49" s="189" t="s">
        <v>16</v>
      </c>
      <c r="J49" s="188"/>
      <c r="K49" s="188"/>
      <c r="L49" s="188"/>
      <c r="M49" s="188"/>
      <c r="N49" s="188"/>
      <c r="O49" s="188" t="s">
        <v>157</v>
      </c>
      <c r="P49" s="188"/>
      <c r="Q49" s="188"/>
      <c r="R49" s="188"/>
      <c r="S49" s="188"/>
      <c r="T49" s="188"/>
      <c r="U49" s="188"/>
      <c r="V49" s="188"/>
      <c r="W49" s="188"/>
      <c r="X49" s="188"/>
      <c r="Y49" s="188"/>
      <c r="Z49" s="188"/>
      <c r="AA49" s="188"/>
      <c r="AB49" s="188"/>
      <c r="AC49" s="188"/>
      <c r="AD49" s="188"/>
      <c r="AE49" s="188"/>
      <c r="AF49" s="188"/>
      <c r="AG49" s="188"/>
      <c r="AH49" s="188"/>
      <c r="AI49" s="188"/>
      <c r="AJ49" s="188"/>
      <c r="AK49" s="188"/>
      <c r="AL49" s="188"/>
      <c r="AM49" s="188"/>
      <c r="AN49" s="14"/>
      <c r="AO49" s="58">
        <f>SUM(J49:AM49)</f>
        <v>0</v>
      </c>
      <c r="AQ49" s="94"/>
      <c r="AS49" s="85"/>
      <c r="CA49" s="93"/>
      <c r="CB49" s="93"/>
      <c r="DE49" s="93"/>
      <c r="EM49" s="66"/>
      <c r="EN49" s="93"/>
      <c r="EO49" s="93"/>
      <c r="EP49" s="93"/>
      <c r="EQ49" s="93"/>
      <c r="GT49" s="93"/>
      <c r="KO49" s="93"/>
      <c r="KP49" s="93"/>
      <c r="KQ49" s="93"/>
      <c r="KR49" s="93"/>
      <c r="PV49" s="93"/>
      <c r="PW49" s="93"/>
      <c r="PY49" s="93"/>
      <c r="QM49" s="92"/>
      <c r="QQ49" s="93"/>
      <c r="ST49" s="92"/>
      <c r="AIC49" s="5"/>
      <c r="AJR49" s="5"/>
      <c r="AJS49" s="5"/>
      <c r="AJT49" s="5"/>
    </row>
    <row r="50" spans="6:956" ht="15" customHeight="1" x14ac:dyDescent="0.3">
      <c r="F50" s="60"/>
      <c r="G50" s="190" t="s">
        <v>89</v>
      </c>
      <c r="H50" s="307"/>
      <c r="I50" s="189" t="s">
        <v>16</v>
      </c>
      <c r="J50" s="188">
        <v>0</v>
      </c>
      <c r="K50" s="188">
        <v>93900</v>
      </c>
      <c r="L50" s="188">
        <v>0</v>
      </c>
      <c r="M50" s="188">
        <v>0</v>
      </c>
      <c r="N50" s="188">
        <v>0</v>
      </c>
      <c r="O50" s="188">
        <v>131700</v>
      </c>
      <c r="P50" s="188">
        <v>0</v>
      </c>
      <c r="Q50" s="188">
        <v>0</v>
      </c>
      <c r="R50" s="188">
        <v>101500</v>
      </c>
      <c r="S50" s="188">
        <v>0</v>
      </c>
      <c r="T50" s="188">
        <v>0</v>
      </c>
      <c r="U50" s="188">
        <v>0</v>
      </c>
      <c r="V50" s="188">
        <v>0</v>
      </c>
      <c r="W50" s="188">
        <v>0</v>
      </c>
      <c r="X50" s="188">
        <v>0</v>
      </c>
      <c r="Y50" s="188">
        <v>0</v>
      </c>
      <c r="Z50" s="188">
        <v>0</v>
      </c>
      <c r="AA50" s="188">
        <v>0</v>
      </c>
      <c r="AB50" s="188">
        <v>0</v>
      </c>
      <c r="AC50" s="188">
        <v>0</v>
      </c>
      <c r="AD50" s="188">
        <v>0</v>
      </c>
      <c r="AE50" s="188">
        <v>0</v>
      </c>
      <c r="AF50" s="188">
        <v>0</v>
      </c>
      <c r="AG50" s="188">
        <v>0</v>
      </c>
      <c r="AH50" s="188">
        <v>0</v>
      </c>
      <c r="AI50" s="188">
        <v>196100</v>
      </c>
      <c r="AJ50" s="188">
        <v>0</v>
      </c>
      <c r="AK50" s="188">
        <v>0</v>
      </c>
      <c r="AL50" s="188">
        <v>0</v>
      </c>
      <c r="AM50" s="188">
        <v>0</v>
      </c>
      <c r="AN50" s="14"/>
      <c r="AO50" s="58">
        <f>SUM(J50:AM50)</f>
        <v>523200</v>
      </c>
      <c r="AP50" s="67"/>
      <c r="AQ50" s="94"/>
      <c r="AS50" s="85"/>
      <c r="CA50" s="93"/>
      <c r="CB50" s="93"/>
      <c r="CC50" s="67">
        <f>AQ50/1000</f>
        <v>0</v>
      </c>
      <c r="DE50" s="93"/>
      <c r="EM50" s="66"/>
      <c r="EN50" s="93">
        <v>1796</v>
      </c>
      <c r="EO50" s="93"/>
      <c r="EP50" s="93"/>
      <c r="EQ50" s="93"/>
      <c r="GT50" s="93"/>
      <c r="KO50" s="93"/>
      <c r="KP50" s="93"/>
      <c r="KQ50" s="93"/>
      <c r="KR50" s="93"/>
      <c r="PV50" s="93"/>
      <c r="PW50" s="93"/>
      <c r="PY50" s="93"/>
      <c r="QM50" s="92"/>
      <c r="QQ50" s="93"/>
      <c r="ST50" s="92"/>
      <c r="AIC50" s="5"/>
      <c r="AJR50" s="5"/>
      <c r="AJS50" s="5"/>
      <c r="AJT50" s="5"/>
    </row>
    <row r="51" spans="6:956" ht="15" customHeight="1" x14ac:dyDescent="0.3">
      <c r="F51" s="60"/>
      <c r="G51" s="190" t="s">
        <v>88</v>
      </c>
      <c r="H51" s="307"/>
      <c r="I51" s="189" t="s">
        <v>16</v>
      </c>
      <c r="J51" s="188">
        <v>0</v>
      </c>
      <c r="K51" s="188">
        <v>74100</v>
      </c>
      <c r="L51" s="188">
        <v>0</v>
      </c>
      <c r="M51" s="188">
        <v>0</v>
      </c>
      <c r="N51" s="188">
        <v>0</v>
      </c>
      <c r="O51" s="188">
        <v>92300</v>
      </c>
      <c r="P51" s="188">
        <v>0</v>
      </c>
      <c r="Q51" s="188">
        <v>0</v>
      </c>
      <c r="R51" s="188">
        <v>66500</v>
      </c>
      <c r="S51" s="188">
        <v>0</v>
      </c>
      <c r="T51" s="188">
        <v>0</v>
      </c>
      <c r="U51" s="188">
        <v>0</v>
      </c>
      <c r="V51" s="188">
        <v>0</v>
      </c>
      <c r="W51" s="188">
        <v>0</v>
      </c>
      <c r="X51" s="188">
        <v>0</v>
      </c>
      <c r="Y51" s="188">
        <v>0</v>
      </c>
      <c r="Z51" s="188">
        <v>0</v>
      </c>
      <c r="AA51" s="188">
        <v>0</v>
      </c>
      <c r="AB51" s="188">
        <v>0</v>
      </c>
      <c r="AC51" s="188">
        <v>0</v>
      </c>
      <c r="AD51" s="188">
        <v>0</v>
      </c>
      <c r="AE51" s="188">
        <v>0</v>
      </c>
      <c r="AF51" s="188">
        <v>0</v>
      </c>
      <c r="AG51" s="188">
        <v>0</v>
      </c>
      <c r="AH51" s="188">
        <v>0</v>
      </c>
      <c r="AI51" s="188">
        <v>128800</v>
      </c>
      <c r="AJ51" s="188">
        <v>0</v>
      </c>
      <c r="AK51" s="188">
        <v>0</v>
      </c>
      <c r="AL51" s="188">
        <v>0</v>
      </c>
      <c r="AM51" s="188">
        <v>0</v>
      </c>
      <c r="AN51" s="14"/>
      <c r="AO51" s="58">
        <f>SUM(J51:AM51)</f>
        <v>361700</v>
      </c>
      <c r="AQ51" s="94"/>
      <c r="CA51" s="93"/>
      <c r="CB51" s="93"/>
      <c r="CC51" s="67">
        <f>AQ51/1000</f>
        <v>0</v>
      </c>
      <c r="DE51" s="93"/>
      <c r="EM51" s="66"/>
      <c r="EN51" s="93">
        <f>EN48/EN50*100</f>
        <v>118.93095768374164</v>
      </c>
      <c r="EO51" s="93"/>
      <c r="EP51" s="93"/>
      <c r="EQ51" s="93"/>
      <c r="GT51" s="93"/>
      <c r="KO51" s="93"/>
      <c r="KP51" s="93"/>
      <c r="KQ51" s="93"/>
      <c r="KR51" s="93"/>
      <c r="PV51" s="93"/>
      <c r="PW51" s="93"/>
      <c r="PY51" s="93"/>
      <c r="QM51" s="92"/>
      <c r="QQ51" s="93"/>
      <c r="ST51" s="92"/>
      <c r="AIC51" s="5"/>
      <c r="AJR51" s="5"/>
      <c r="AJS51" s="5"/>
      <c r="AJT51" s="5"/>
    </row>
    <row r="52" spans="6:956" x14ac:dyDescent="0.3">
      <c r="F52" s="57"/>
      <c r="G52" s="26" t="s">
        <v>87</v>
      </c>
      <c r="H52" s="25"/>
      <c r="I52" s="25"/>
      <c r="J52" s="24"/>
      <c r="K52" s="24"/>
      <c r="L52" s="24"/>
      <c r="M52" s="24"/>
      <c r="N52" s="24"/>
      <c r="O52" s="24"/>
      <c r="P52" s="24"/>
      <c r="Q52" s="24"/>
      <c r="R52" s="24"/>
      <c r="S52" s="24"/>
      <c r="T52" s="24"/>
      <c r="U52" s="24"/>
      <c r="V52" s="24"/>
      <c r="W52" s="24"/>
      <c r="X52" s="24"/>
      <c r="Y52" s="24"/>
      <c r="Z52" s="24"/>
      <c r="AA52" s="24"/>
      <c r="AB52" s="24"/>
      <c r="AC52" s="24"/>
      <c r="AD52" s="24"/>
      <c r="AE52" s="24"/>
      <c r="AF52" s="24"/>
      <c r="AG52" s="24"/>
      <c r="AH52" s="24"/>
      <c r="AI52" s="24"/>
      <c r="AJ52" s="24"/>
      <c r="AK52" s="24"/>
      <c r="AL52" s="24"/>
      <c r="AM52" s="24"/>
      <c r="AN52" s="14"/>
      <c r="AO52" s="101" t="s">
        <v>86</v>
      </c>
      <c r="DM52" s="1" t="s">
        <v>85</v>
      </c>
      <c r="PW52" s="5">
        <v>678</v>
      </c>
    </row>
    <row r="53" spans="6:956" x14ac:dyDescent="0.3">
      <c r="F53" s="60"/>
      <c r="G53" s="18" t="s">
        <v>84</v>
      </c>
      <c r="H53" s="303">
        <v>94.2</v>
      </c>
      <c r="I53" s="91" t="s">
        <v>29</v>
      </c>
      <c r="J53" s="81">
        <f t="shared" ref="J53:AM53" si="12">(J35/(J29+J30))*100</f>
        <v>99.130163072153849</v>
      </c>
      <c r="K53" s="81">
        <f t="shared" si="12"/>
        <v>89.354679657696252</v>
      </c>
      <c r="L53" s="81">
        <f t="shared" si="12"/>
        <v>106.19970238999059</v>
      </c>
      <c r="M53" s="81">
        <f t="shared" si="12"/>
        <v>88.008860971783776</v>
      </c>
      <c r="N53" s="81">
        <f t="shared" si="12"/>
        <v>86.205027812605792</v>
      </c>
      <c r="O53" s="81">
        <f t="shared" si="12"/>
        <v>94.406727551480202</v>
      </c>
      <c r="P53" s="81">
        <f t="shared" si="12"/>
        <v>94.44942495628456</v>
      </c>
      <c r="Q53" s="81">
        <f t="shared" si="12"/>
        <v>95.769389073025309</v>
      </c>
      <c r="R53" s="81">
        <f t="shared" si="12"/>
        <v>98.072995754611654</v>
      </c>
      <c r="S53" s="81">
        <f t="shared" si="12"/>
        <v>90.219280520236595</v>
      </c>
      <c r="T53" s="81">
        <f t="shared" si="12"/>
        <v>92.694989300863938</v>
      </c>
      <c r="U53" s="81">
        <f t="shared" si="12"/>
        <v>103.16966306017426</v>
      </c>
      <c r="V53" s="81">
        <f t="shared" si="12"/>
        <v>94.75034594095942</v>
      </c>
      <c r="W53" s="81">
        <f t="shared" si="12"/>
        <v>98.902732595966171</v>
      </c>
      <c r="X53" s="81" t="e">
        <f t="shared" si="12"/>
        <v>#DIV/0!</v>
      </c>
      <c r="Y53" s="81" t="e">
        <f t="shared" si="12"/>
        <v>#DIV/0!</v>
      </c>
      <c r="Z53" s="81" t="e">
        <f t="shared" si="12"/>
        <v>#DIV/0!</v>
      </c>
      <c r="AA53" s="81" t="e">
        <f t="shared" si="12"/>
        <v>#DIV/0!</v>
      </c>
      <c r="AB53" s="81">
        <f t="shared" si="12"/>
        <v>103.07618958427341</v>
      </c>
      <c r="AC53" s="81">
        <f t="shared" si="12"/>
        <v>88.994302522395515</v>
      </c>
      <c r="AD53" s="81">
        <f t="shared" si="12"/>
        <v>96.088623241501494</v>
      </c>
      <c r="AE53" s="81">
        <f t="shared" si="12"/>
        <v>95.646913000631656</v>
      </c>
      <c r="AF53" s="81">
        <f t="shared" si="12"/>
        <v>95.267514074352817</v>
      </c>
      <c r="AG53" s="81">
        <f t="shared" si="12"/>
        <v>95.009285302876506</v>
      </c>
      <c r="AH53" s="81">
        <f t="shared" si="12"/>
        <v>94.614096392235183</v>
      </c>
      <c r="AI53" s="81">
        <f t="shared" si="12"/>
        <v>95.113846953605233</v>
      </c>
      <c r="AJ53" s="81">
        <f t="shared" si="12"/>
        <v>94.710471440688977</v>
      </c>
      <c r="AK53" s="81">
        <f t="shared" si="12"/>
        <v>95.478006471453241</v>
      </c>
      <c r="AL53" s="81">
        <f t="shared" si="12"/>
        <v>95.162533640474052</v>
      </c>
      <c r="AM53" s="81">
        <f t="shared" si="12"/>
        <v>94.590720032812797</v>
      </c>
      <c r="AN53" s="7"/>
      <c r="AO53" s="186">
        <f>AO35/(SUM(AO29:AO30))*100</f>
        <v>94.906153554891915</v>
      </c>
      <c r="AP53" s="134"/>
      <c r="AQ53" s="62"/>
      <c r="PW53" s="5">
        <v>420</v>
      </c>
      <c r="PY53" s="62">
        <f>PW53/PW52*100</f>
        <v>61.946902654867252</v>
      </c>
    </row>
    <row r="54" spans="6:956" x14ac:dyDescent="0.3">
      <c r="F54" s="60"/>
      <c r="G54" s="18" t="s">
        <v>83</v>
      </c>
      <c r="H54" s="303">
        <v>5</v>
      </c>
      <c r="I54" s="91" t="s">
        <v>29</v>
      </c>
      <c r="J54" s="81">
        <f t="shared" ref="J54:AM54" si="13">(J36/(J29+J30))*100</f>
        <v>4.687759104370838</v>
      </c>
      <c r="K54" s="81">
        <f t="shared" si="13"/>
        <v>4.5799825405609651</v>
      </c>
      <c r="L54" s="81">
        <f t="shared" si="13"/>
        <v>4.496865156162432</v>
      </c>
      <c r="M54" s="81">
        <f t="shared" si="13"/>
        <v>4.3834060858899999</v>
      </c>
      <c r="N54" s="81">
        <f t="shared" si="13"/>
        <v>4.7474786671894211</v>
      </c>
      <c r="O54" s="81">
        <f t="shared" si="13"/>
        <v>4.4185004938909538</v>
      </c>
      <c r="P54" s="81">
        <f t="shared" si="13"/>
        <v>5.1958514879445401</v>
      </c>
      <c r="Q54" s="81">
        <f t="shared" si="13"/>
        <v>4.0532135913003788</v>
      </c>
      <c r="R54" s="81">
        <f t="shared" si="13"/>
        <v>4.3885579996602502</v>
      </c>
      <c r="S54" s="81">
        <f t="shared" si="13"/>
        <v>4.011146312305879</v>
      </c>
      <c r="T54" s="81">
        <f t="shared" si="13"/>
        <v>4.9052933919055031</v>
      </c>
      <c r="U54" s="81">
        <f t="shared" si="13"/>
        <v>4.0961068451708602</v>
      </c>
      <c r="V54" s="81">
        <f t="shared" si="13"/>
        <v>4.4696506931285533</v>
      </c>
      <c r="W54" s="81">
        <f t="shared" si="13"/>
        <v>4.5783994795055305</v>
      </c>
      <c r="X54" s="81" t="e">
        <f t="shared" si="13"/>
        <v>#DIV/0!</v>
      </c>
      <c r="Y54" s="81" t="e">
        <f t="shared" si="13"/>
        <v>#DIV/0!</v>
      </c>
      <c r="Z54" s="81" t="e">
        <f t="shared" si="13"/>
        <v>#DIV/0!</v>
      </c>
      <c r="AA54" s="81" t="e">
        <f t="shared" si="13"/>
        <v>#DIV/0!</v>
      </c>
      <c r="AB54" s="81">
        <f t="shared" si="13"/>
        <v>3.9130915994789581</v>
      </c>
      <c r="AC54" s="81">
        <f t="shared" si="13"/>
        <v>3.9024542043758688</v>
      </c>
      <c r="AD54" s="81">
        <f t="shared" si="13"/>
        <v>4.23669975687561</v>
      </c>
      <c r="AE54" s="81">
        <f t="shared" si="13"/>
        <v>4.6138571644037096</v>
      </c>
      <c r="AF54" s="81">
        <f t="shared" si="13"/>
        <v>4.723457146548979</v>
      </c>
      <c r="AG54" s="81">
        <f t="shared" si="13"/>
        <v>4.4528128398046336</v>
      </c>
      <c r="AH54" s="81">
        <f t="shared" si="13"/>
        <v>4.6303961671817646</v>
      </c>
      <c r="AI54" s="81">
        <f t="shared" si="13"/>
        <v>4.5367583015616546</v>
      </c>
      <c r="AJ54" s="81">
        <f t="shared" si="13"/>
        <v>4.2172225463839874</v>
      </c>
      <c r="AK54" s="81">
        <f t="shared" si="13"/>
        <v>3.8464050825236304</v>
      </c>
      <c r="AL54" s="81">
        <f t="shared" si="13"/>
        <v>4.1801591702191709</v>
      </c>
      <c r="AM54" s="81">
        <f t="shared" si="13"/>
        <v>4.4890822030518462</v>
      </c>
      <c r="AN54" s="7"/>
      <c r="AO54" s="186">
        <f>AO36/(AO29+AO30)*100</f>
        <v>4.4147876926541425</v>
      </c>
      <c r="AQ54" s="62">
        <f>100-AO53-AO54</f>
        <v>0.6790587524539422</v>
      </c>
      <c r="PW54" s="5">
        <f>PW52-PW53</f>
        <v>258</v>
      </c>
      <c r="PY54" s="62">
        <f>PW54/PW52*100</f>
        <v>38.053097345132741</v>
      </c>
    </row>
    <row r="55" spans="6:956" x14ac:dyDescent="0.3">
      <c r="F55" s="60"/>
      <c r="G55" s="18" t="s">
        <v>82</v>
      </c>
      <c r="H55" s="303">
        <v>82</v>
      </c>
      <c r="I55" s="91" t="s">
        <v>29</v>
      </c>
      <c r="J55" s="81">
        <f t="shared" ref="J55:AM55" si="14">(J39/J38)*100</f>
        <v>77.615443641209964</v>
      </c>
      <c r="K55" s="81">
        <f t="shared" si="14"/>
        <v>80.92807563007517</v>
      </c>
      <c r="L55" s="81">
        <f t="shared" si="14"/>
        <v>78.051212066161852</v>
      </c>
      <c r="M55" s="81">
        <f t="shared" si="14"/>
        <v>78.811861959881412</v>
      </c>
      <c r="N55" s="81">
        <f>(N39/N38)*100</f>
        <v>80.25213381627087</v>
      </c>
      <c r="O55" s="81">
        <f t="shared" si="14"/>
        <v>74.990778680308878</v>
      </c>
      <c r="P55" s="81">
        <f t="shared" si="14"/>
        <v>80.037257815566335</v>
      </c>
      <c r="Q55" s="81">
        <f t="shared" si="14"/>
        <v>78.242205354335709</v>
      </c>
      <c r="R55" s="81">
        <f t="shared" si="14"/>
        <v>87.251863087779455</v>
      </c>
      <c r="S55" s="81">
        <f t="shared" si="14"/>
        <v>74.014001928188506</v>
      </c>
      <c r="T55" s="81">
        <f t="shared" si="14"/>
        <v>80.269976843943354</v>
      </c>
      <c r="U55" s="81">
        <f t="shared" si="14"/>
        <v>78.71806181370556</v>
      </c>
      <c r="V55" s="81">
        <f t="shared" si="14"/>
        <v>80.196003830864697</v>
      </c>
      <c r="W55" s="81">
        <f t="shared" si="14"/>
        <v>79.145395608866252</v>
      </c>
      <c r="X55" s="81">
        <f t="shared" si="14"/>
        <v>76.72752192741099</v>
      </c>
      <c r="Y55" s="81" t="e">
        <f t="shared" si="14"/>
        <v>#DIV/0!</v>
      </c>
      <c r="Z55" s="81" t="e">
        <f t="shared" si="14"/>
        <v>#DIV/0!</v>
      </c>
      <c r="AA55" s="81" t="e">
        <f t="shared" si="14"/>
        <v>#DIV/0!</v>
      </c>
      <c r="AB55" s="81">
        <f t="shared" si="14"/>
        <v>84.71225706528331</v>
      </c>
      <c r="AC55" s="81">
        <f t="shared" si="14"/>
        <v>80.370613843979584</v>
      </c>
      <c r="AD55" s="81">
        <f t="shared" si="14"/>
        <v>80.755281080457124</v>
      </c>
      <c r="AE55" s="81">
        <f t="shared" si="14"/>
        <v>82.903101140827886</v>
      </c>
      <c r="AF55" s="81">
        <f t="shared" si="14"/>
        <v>85.722146675006243</v>
      </c>
      <c r="AG55" s="81">
        <f t="shared" si="14"/>
        <v>82.130082768395567</v>
      </c>
      <c r="AH55" s="81">
        <f t="shared" si="14"/>
        <v>75.234271545907077</v>
      </c>
      <c r="AI55" s="81">
        <f t="shared" si="14"/>
        <v>83.515366583043004</v>
      </c>
      <c r="AJ55" s="81">
        <f t="shared" si="14"/>
        <v>82.476047121173451</v>
      </c>
      <c r="AK55" s="81">
        <f t="shared" si="14"/>
        <v>81.574740794712255</v>
      </c>
      <c r="AL55" s="81">
        <f t="shared" si="14"/>
        <v>80.740385834157223</v>
      </c>
      <c r="AM55" s="81">
        <f t="shared" si="14"/>
        <v>80.624406222250229</v>
      </c>
      <c r="AN55" s="7"/>
      <c r="AO55" s="181">
        <f>AO39/AO38*100</f>
        <v>80.519139781487709</v>
      </c>
    </row>
    <row r="56" spans="6:956" x14ac:dyDescent="0.3">
      <c r="F56" s="60"/>
      <c r="G56" s="18" t="s">
        <v>80</v>
      </c>
      <c r="H56" s="303">
        <v>18</v>
      </c>
      <c r="I56" s="91" t="s">
        <v>29</v>
      </c>
      <c r="J56" s="81">
        <f t="shared" ref="J56:AM56" si="15">(J40/J38)*100</f>
        <v>22.384556358790032</v>
      </c>
      <c r="K56" s="81">
        <f t="shared" si="15"/>
        <v>19.071924369924833</v>
      </c>
      <c r="L56" s="81">
        <f t="shared" si="15"/>
        <v>21.948787933838158</v>
      </c>
      <c r="M56" s="81">
        <f t="shared" si="15"/>
        <v>21.188138040118581</v>
      </c>
      <c r="N56" s="81">
        <f t="shared" si="15"/>
        <v>19.747866183729133</v>
      </c>
      <c r="O56" s="81">
        <f t="shared" si="15"/>
        <v>25.009221319691129</v>
      </c>
      <c r="P56" s="81">
        <f t="shared" si="15"/>
        <v>19.962742184433669</v>
      </c>
      <c r="Q56" s="81">
        <f t="shared" si="15"/>
        <v>21.757794645664301</v>
      </c>
      <c r="R56" s="81">
        <f t="shared" si="15"/>
        <v>12.748136912220536</v>
      </c>
      <c r="S56" s="81">
        <f t="shared" si="15"/>
        <v>25.985998071811483</v>
      </c>
      <c r="T56" s="81">
        <f t="shared" si="15"/>
        <v>19.730023156056635</v>
      </c>
      <c r="U56" s="81">
        <f t="shared" si="15"/>
        <v>21.281938186294436</v>
      </c>
      <c r="V56" s="81">
        <f t="shared" si="15"/>
        <v>19.803996169135303</v>
      </c>
      <c r="W56" s="81">
        <f t="shared" si="15"/>
        <v>20.854604391133741</v>
      </c>
      <c r="X56" s="81">
        <f t="shared" si="15"/>
        <v>23.272478072589013</v>
      </c>
      <c r="Y56" s="81" t="e">
        <f t="shared" si="15"/>
        <v>#DIV/0!</v>
      </c>
      <c r="Z56" s="81" t="e">
        <f t="shared" si="15"/>
        <v>#DIV/0!</v>
      </c>
      <c r="AA56" s="81" t="e">
        <f t="shared" si="15"/>
        <v>#DIV/0!</v>
      </c>
      <c r="AB56" s="81">
        <f t="shared" si="15"/>
        <v>15.28774293471669</v>
      </c>
      <c r="AC56" s="81">
        <f t="shared" si="15"/>
        <v>19.629386156020416</v>
      </c>
      <c r="AD56" s="81">
        <f t="shared" si="15"/>
        <v>19.244718919542883</v>
      </c>
      <c r="AE56" s="81">
        <f t="shared" si="15"/>
        <v>17.096898859172114</v>
      </c>
      <c r="AF56" s="81">
        <f t="shared" si="15"/>
        <v>14.27785332499375</v>
      </c>
      <c r="AG56" s="81">
        <f t="shared" si="15"/>
        <v>17.869917231604422</v>
      </c>
      <c r="AH56" s="81">
        <f t="shared" si="15"/>
        <v>24.765728454092915</v>
      </c>
      <c r="AI56" s="81">
        <f t="shared" si="15"/>
        <v>16.484633416956999</v>
      </c>
      <c r="AJ56" s="81">
        <f t="shared" si="15"/>
        <v>17.523952878826552</v>
      </c>
      <c r="AK56" s="81">
        <f t="shared" si="15"/>
        <v>18.425259205287752</v>
      </c>
      <c r="AL56" s="81">
        <f t="shared" si="15"/>
        <v>19.259614165842777</v>
      </c>
      <c r="AM56" s="81">
        <f t="shared" si="15"/>
        <v>19.375593777749781</v>
      </c>
      <c r="AN56" s="7"/>
      <c r="AO56" s="186">
        <f>AO40/AO38*100</f>
        <v>19.480860218512287</v>
      </c>
    </row>
    <row r="57" spans="6:956" ht="15" customHeight="1" x14ac:dyDescent="0.3">
      <c r="F57" s="60"/>
      <c r="G57" s="18" t="s">
        <v>81</v>
      </c>
      <c r="H57" s="303">
        <v>70</v>
      </c>
      <c r="I57" s="91" t="s">
        <v>29</v>
      </c>
      <c r="J57" s="81" t="e">
        <f t="shared" ref="J57:AG57" si="16">J44/J43*100</f>
        <v>#DIV/0!</v>
      </c>
      <c r="K57" s="81" t="e">
        <f t="shared" si="16"/>
        <v>#DIV/0!</v>
      </c>
      <c r="L57" s="81" t="e">
        <f t="shared" si="16"/>
        <v>#DIV/0!</v>
      </c>
      <c r="M57" s="81" t="e">
        <f t="shared" si="16"/>
        <v>#DIV/0!</v>
      </c>
      <c r="N57" s="81" t="e">
        <f t="shared" si="16"/>
        <v>#DIV/0!</v>
      </c>
      <c r="O57" s="81" t="e">
        <f t="shared" si="16"/>
        <v>#DIV/0!</v>
      </c>
      <c r="P57" s="81" t="e">
        <f t="shared" si="16"/>
        <v>#DIV/0!</v>
      </c>
      <c r="Q57" s="81" t="e">
        <f t="shared" si="16"/>
        <v>#DIV/0!</v>
      </c>
      <c r="R57" s="81" t="e">
        <f t="shared" si="16"/>
        <v>#DIV/0!</v>
      </c>
      <c r="S57" s="81" t="e">
        <f t="shared" si="16"/>
        <v>#DIV/0!</v>
      </c>
      <c r="T57" s="81" t="e">
        <f t="shared" si="16"/>
        <v>#DIV/0!</v>
      </c>
      <c r="U57" s="81" t="e">
        <f t="shared" si="16"/>
        <v>#DIV/0!</v>
      </c>
      <c r="V57" s="81" t="e">
        <f t="shared" si="16"/>
        <v>#DIV/0!</v>
      </c>
      <c r="W57" s="81" t="e">
        <f t="shared" si="16"/>
        <v>#DIV/0!</v>
      </c>
      <c r="X57" s="81" t="e">
        <f t="shared" si="16"/>
        <v>#DIV/0!</v>
      </c>
      <c r="Y57" s="81" t="e">
        <f t="shared" si="16"/>
        <v>#DIV/0!</v>
      </c>
      <c r="Z57" s="81" t="e">
        <f t="shared" si="16"/>
        <v>#DIV/0!</v>
      </c>
      <c r="AA57" s="81" t="e">
        <f t="shared" si="16"/>
        <v>#DIV/0!</v>
      </c>
      <c r="AB57" s="81" t="e">
        <f t="shared" si="16"/>
        <v>#DIV/0!</v>
      </c>
      <c r="AC57" s="81" t="e">
        <f t="shared" si="16"/>
        <v>#DIV/0!</v>
      </c>
      <c r="AD57" s="81" t="e">
        <f t="shared" si="16"/>
        <v>#DIV/0!</v>
      </c>
      <c r="AE57" s="81" t="e">
        <f t="shared" si="16"/>
        <v>#DIV/0!</v>
      </c>
      <c r="AF57" s="81" t="e">
        <f t="shared" si="16"/>
        <v>#DIV/0!</v>
      </c>
      <c r="AG57" s="81" t="e">
        <f t="shared" si="16"/>
        <v>#DIV/0!</v>
      </c>
      <c r="AH57" s="81" t="e">
        <f t="shared" ref="AH57:AM57" si="17">AH47/AH46*100</f>
        <v>#DIV/0!</v>
      </c>
      <c r="AI57" s="81" t="e">
        <f t="shared" si="17"/>
        <v>#DIV/0!</v>
      </c>
      <c r="AJ57" s="81" t="e">
        <f t="shared" si="17"/>
        <v>#DIV/0!</v>
      </c>
      <c r="AK57" s="81" t="e">
        <f t="shared" si="17"/>
        <v>#DIV/0!</v>
      </c>
      <c r="AL57" s="81" t="e">
        <f t="shared" si="17"/>
        <v>#DIV/0!</v>
      </c>
      <c r="AM57" s="81" t="e">
        <f t="shared" si="17"/>
        <v>#DIV/0!</v>
      </c>
      <c r="AN57" s="7"/>
      <c r="AO57" s="186" t="e">
        <f>AO44/AO43*100</f>
        <v>#DIV/0!</v>
      </c>
    </row>
    <row r="58" spans="6:956" ht="15" customHeight="1" x14ac:dyDescent="0.3">
      <c r="F58" s="60"/>
      <c r="G58" s="18" t="s">
        <v>80</v>
      </c>
      <c r="H58" s="303">
        <v>30</v>
      </c>
      <c r="I58" s="91" t="s">
        <v>29</v>
      </c>
      <c r="J58" s="81" t="e">
        <f t="shared" ref="J58:AG58" si="18">J45/J43*100</f>
        <v>#DIV/0!</v>
      </c>
      <c r="K58" s="81" t="e">
        <f t="shared" si="18"/>
        <v>#DIV/0!</v>
      </c>
      <c r="L58" s="81" t="e">
        <f t="shared" si="18"/>
        <v>#DIV/0!</v>
      </c>
      <c r="M58" s="81" t="e">
        <f t="shared" si="18"/>
        <v>#DIV/0!</v>
      </c>
      <c r="N58" s="81" t="e">
        <f t="shared" si="18"/>
        <v>#DIV/0!</v>
      </c>
      <c r="O58" s="81" t="e">
        <f t="shared" si="18"/>
        <v>#DIV/0!</v>
      </c>
      <c r="P58" s="81" t="e">
        <f t="shared" si="18"/>
        <v>#DIV/0!</v>
      </c>
      <c r="Q58" s="81" t="e">
        <f t="shared" si="18"/>
        <v>#DIV/0!</v>
      </c>
      <c r="R58" s="81" t="e">
        <f t="shared" si="18"/>
        <v>#DIV/0!</v>
      </c>
      <c r="S58" s="81" t="e">
        <f t="shared" si="18"/>
        <v>#DIV/0!</v>
      </c>
      <c r="T58" s="81" t="e">
        <f t="shared" si="18"/>
        <v>#DIV/0!</v>
      </c>
      <c r="U58" s="81" t="e">
        <f t="shared" si="18"/>
        <v>#DIV/0!</v>
      </c>
      <c r="V58" s="81" t="e">
        <f t="shared" si="18"/>
        <v>#DIV/0!</v>
      </c>
      <c r="W58" s="81" t="e">
        <f t="shared" si="18"/>
        <v>#DIV/0!</v>
      </c>
      <c r="X58" s="81" t="e">
        <f t="shared" si="18"/>
        <v>#DIV/0!</v>
      </c>
      <c r="Y58" s="81" t="e">
        <f t="shared" si="18"/>
        <v>#DIV/0!</v>
      </c>
      <c r="Z58" s="81" t="e">
        <f t="shared" si="18"/>
        <v>#DIV/0!</v>
      </c>
      <c r="AA58" s="81" t="e">
        <f t="shared" si="18"/>
        <v>#DIV/0!</v>
      </c>
      <c r="AB58" s="81" t="e">
        <f t="shared" si="18"/>
        <v>#DIV/0!</v>
      </c>
      <c r="AC58" s="81" t="e">
        <f t="shared" si="18"/>
        <v>#DIV/0!</v>
      </c>
      <c r="AD58" s="81" t="e">
        <f t="shared" si="18"/>
        <v>#DIV/0!</v>
      </c>
      <c r="AE58" s="81" t="e">
        <f t="shared" si="18"/>
        <v>#DIV/0!</v>
      </c>
      <c r="AF58" s="81" t="e">
        <f t="shared" si="18"/>
        <v>#DIV/0!</v>
      </c>
      <c r="AG58" s="81" t="e">
        <f t="shared" si="18"/>
        <v>#DIV/0!</v>
      </c>
      <c r="AH58" s="81" t="e">
        <f t="shared" ref="AH58:AM58" si="19">AH48/AH46*100</f>
        <v>#DIV/0!</v>
      </c>
      <c r="AI58" s="81" t="e">
        <f t="shared" si="19"/>
        <v>#DIV/0!</v>
      </c>
      <c r="AJ58" s="81" t="e">
        <f t="shared" si="19"/>
        <v>#DIV/0!</v>
      </c>
      <c r="AK58" s="81" t="e">
        <f t="shared" si="19"/>
        <v>#DIV/0!</v>
      </c>
      <c r="AL58" s="81" t="e">
        <f t="shared" si="19"/>
        <v>#DIV/0!</v>
      </c>
      <c r="AM58" s="81" t="e">
        <f t="shared" si="19"/>
        <v>#DIV/0!</v>
      </c>
      <c r="AN58" s="187"/>
      <c r="AO58" s="186" t="e">
        <f>AO45/AO43*100</f>
        <v>#DIV/0!</v>
      </c>
      <c r="GU58" s="1">
        <v>95.03</v>
      </c>
    </row>
    <row r="59" spans="6:956" ht="15" customHeight="1" x14ac:dyDescent="0.3">
      <c r="F59" s="60"/>
      <c r="G59" s="18" t="s">
        <v>79</v>
      </c>
      <c r="H59" s="303">
        <v>60</v>
      </c>
      <c r="I59" s="91" t="s">
        <v>29</v>
      </c>
      <c r="J59" s="81" t="e">
        <f t="shared" ref="J59:W59" si="20">J50/J48*100</f>
        <v>#DIV/0!</v>
      </c>
      <c r="K59" s="81">
        <f t="shared" si="20"/>
        <v>55.892857142857146</v>
      </c>
      <c r="L59" s="81" t="e">
        <f t="shared" si="20"/>
        <v>#DIV/0!</v>
      </c>
      <c r="M59" s="81" t="e">
        <f t="shared" si="20"/>
        <v>#DIV/0!</v>
      </c>
      <c r="N59" s="81" t="e">
        <f t="shared" si="20"/>
        <v>#DIV/0!</v>
      </c>
      <c r="O59" s="81">
        <f t="shared" si="20"/>
        <v>58.794642857142854</v>
      </c>
      <c r="P59" s="81" t="e">
        <f t="shared" si="20"/>
        <v>#DIV/0!</v>
      </c>
      <c r="Q59" s="81" t="e">
        <f t="shared" si="20"/>
        <v>#DIV/0!</v>
      </c>
      <c r="R59" s="81">
        <f t="shared" si="20"/>
        <v>60.416666666666664</v>
      </c>
      <c r="S59" s="81" t="e">
        <f t="shared" si="20"/>
        <v>#DIV/0!</v>
      </c>
      <c r="T59" s="81" t="e">
        <f t="shared" si="20"/>
        <v>#DIV/0!</v>
      </c>
      <c r="U59" s="81" t="e">
        <f t="shared" si="20"/>
        <v>#DIV/0!</v>
      </c>
      <c r="V59" s="81" t="e">
        <f t="shared" si="20"/>
        <v>#VALUE!</v>
      </c>
      <c r="W59" s="81" t="e">
        <f t="shared" si="20"/>
        <v>#DIV/0!</v>
      </c>
      <c r="X59" s="81" t="e">
        <f>(X50+X49)/X48*100</f>
        <v>#DIV/0!</v>
      </c>
      <c r="Y59" s="81" t="e">
        <f>(Y50+Y49)/Y48*100</f>
        <v>#DIV/0!</v>
      </c>
      <c r="Z59" s="81" t="e">
        <f>(Z50+Z49)/Z48*100</f>
        <v>#DIV/0!</v>
      </c>
      <c r="AA59" s="81" t="e">
        <f>(AA50+AA49)/AA48*100</f>
        <v>#DIV/0!</v>
      </c>
      <c r="AB59" s="81" t="e">
        <f t="shared" ref="AB59:AM59" si="21">AB50/AB48*100</f>
        <v>#DIV/0!</v>
      </c>
      <c r="AC59" s="81" t="e">
        <f t="shared" si="21"/>
        <v>#DIV/0!</v>
      </c>
      <c r="AD59" s="81" t="e">
        <f t="shared" si="21"/>
        <v>#DIV/0!</v>
      </c>
      <c r="AE59" s="81" t="e">
        <f t="shared" si="21"/>
        <v>#DIV/0!</v>
      </c>
      <c r="AF59" s="81" t="e">
        <f t="shared" si="21"/>
        <v>#DIV/0!</v>
      </c>
      <c r="AG59" s="81" t="e">
        <f t="shared" si="21"/>
        <v>#DIV/0!</v>
      </c>
      <c r="AH59" s="81" t="e">
        <f t="shared" si="21"/>
        <v>#DIV/0!</v>
      </c>
      <c r="AI59" s="81">
        <f t="shared" si="21"/>
        <v>60.35703293321022</v>
      </c>
      <c r="AJ59" s="81" t="e">
        <f t="shared" si="21"/>
        <v>#DIV/0!</v>
      </c>
      <c r="AK59" s="81" t="e">
        <f t="shared" si="21"/>
        <v>#DIV/0!</v>
      </c>
      <c r="AL59" s="81" t="e">
        <f t="shared" si="21"/>
        <v>#DIV/0!</v>
      </c>
      <c r="AM59" s="81" t="e">
        <f t="shared" si="21"/>
        <v>#DIV/0!</v>
      </c>
      <c r="AN59" s="7"/>
      <c r="AO59" s="181">
        <f>(AO50+AO49)/AO48*100</f>
        <v>59.12532489546841</v>
      </c>
      <c r="GU59" s="1">
        <v>4.2300000000000004</v>
      </c>
      <c r="PY59" s="5">
        <f>PY60/94.2%</f>
        <v>1307.8556263269638</v>
      </c>
      <c r="PZ59" s="1" t="s">
        <v>78</v>
      </c>
    </row>
    <row r="60" spans="6:956" ht="15" customHeight="1" x14ac:dyDescent="0.3">
      <c r="F60" s="60"/>
      <c r="G60" s="18" t="s">
        <v>77</v>
      </c>
      <c r="H60" s="303">
        <v>40</v>
      </c>
      <c r="I60" s="91" t="s">
        <v>29</v>
      </c>
      <c r="J60" s="81" t="e">
        <f t="shared" ref="J60:AM60" si="22">J51/J48*100</f>
        <v>#DIV/0!</v>
      </c>
      <c r="K60" s="81">
        <f t="shared" si="22"/>
        <v>44.107142857142854</v>
      </c>
      <c r="L60" s="81" t="e">
        <f t="shared" si="22"/>
        <v>#DIV/0!</v>
      </c>
      <c r="M60" s="81" t="e">
        <f t="shared" si="22"/>
        <v>#DIV/0!</v>
      </c>
      <c r="N60" s="81" t="e">
        <f t="shared" si="22"/>
        <v>#DIV/0!</v>
      </c>
      <c r="O60" s="81">
        <f t="shared" si="22"/>
        <v>41.205357142857139</v>
      </c>
      <c r="P60" s="81" t="e">
        <f t="shared" si="22"/>
        <v>#DIV/0!</v>
      </c>
      <c r="Q60" s="81" t="e">
        <f t="shared" si="22"/>
        <v>#DIV/0!</v>
      </c>
      <c r="R60" s="81">
        <f t="shared" si="22"/>
        <v>39.583333333333329</v>
      </c>
      <c r="S60" s="81" t="e">
        <f t="shared" si="22"/>
        <v>#DIV/0!</v>
      </c>
      <c r="T60" s="81" t="e">
        <f t="shared" si="22"/>
        <v>#DIV/0!</v>
      </c>
      <c r="U60" s="81" t="e">
        <f t="shared" si="22"/>
        <v>#DIV/0!</v>
      </c>
      <c r="V60" s="81" t="e">
        <f t="shared" si="22"/>
        <v>#VALUE!</v>
      </c>
      <c r="W60" s="81" t="e">
        <f t="shared" si="22"/>
        <v>#DIV/0!</v>
      </c>
      <c r="X60" s="81" t="e">
        <f t="shared" si="22"/>
        <v>#DIV/0!</v>
      </c>
      <c r="Y60" s="81" t="e">
        <f t="shared" si="22"/>
        <v>#DIV/0!</v>
      </c>
      <c r="Z60" s="81" t="e">
        <f t="shared" si="22"/>
        <v>#DIV/0!</v>
      </c>
      <c r="AA60" s="81" t="e">
        <f t="shared" si="22"/>
        <v>#DIV/0!</v>
      </c>
      <c r="AB60" s="81" t="e">
        <f t="shared" si="22"/>
        <v>#DIV/0!</v>
      </c>
      <c r="AC60" s="81" t="e">
        <f t="shared" si="22"/>
        <v>#DIV/0!</v>
      </c>
      <c r="AD60" s="81" t="e">
        <f t="shared" si="22"/>
        <v>#DIV/0!</v>
      </c>
      <c r="AE60" s="81" t="e">
        <f t="shared" si="22"/>
        <v>#DIV/0!</v>
      </c>
      <c r="AF60" s="81" t="e">
        <f t="shared" si="22"/>
        <v>#DIV/0!</v>
      </c>
      <c r="AG60" s="81" t="e">
        <f t="shared" si="22"/>
        <v>#DIV/0!</v>
      </c>
      <c r="AH60" s="81" t="e">
        <f t="shared" si="22"/>
        <v>#DIV/0!</v>
      </c>
      <c r="AI60" s="81">
        <f t="shared" si="22"/>
        <v>39.64296706678978</v>
      </c>
      <c r="AJ60" s="81" t="e">
        <f t="shared" si="22"/>
        <v>#DIV/0!</v>
      </c>
      <c r="AK60" s="81" t="e">
        <f t="shared" si="22"/>
        <v>#DIV/0!</v>
      </c>
      <c r="AL60" s="81" t="e">
        <f t="shared" si="22"/>
        <v>#DIV/0!</v>
      </c>
      <c r="AM60" s="81" t="e">
        <f t="shared" si="22"/>
        <v>#DIV/0!</v>
      </c>
      <c r="AN60" s="187"/>
      <c r="AO60" s="186">
        <f>AO51/AO48*100</f>
        <v>40.87467510453159</v>
      </c>
      <c r="GU60" s="1">
        <f>100-GU58-GU59</f>
        <v>0.73999999999999844</v>
      </c>
      <c r="PY60" s="5">
        <f>22*56</f>
        <v>1232</v>
      </c>
      <c r="PZ60" s="1" t="s">
        <v>76</v>
      </c>
    </row>
    <row r="61" spans="6:956" x14ac:dyDescent="0.3">
      <c r="F61" s="47">
        <v>3</v>
      </c>
      <c r="G61" s="185" t="s">
        <v>75</v>
      </c>
      <c r="H61" s="25"/>
      <c r="I61" s="25"/>
      <c r="J61" s="24"/>
      <c r="K61" s="24"/>
      <c r="L61" s="24"/>
      <c r="M61" s="24"/>
      <c r="N61" s="24"/>
      <c r="O61" s="24"/>
      <c r="P61" s="24"/>
      <c r="Q61" s="24"/>
      <c r="R61" s="24"/>
      <c r="S61" s="24"/>
      <c r="T61" s="24"/>
      <c r="U61" s="24"/>
      <c r="V61" s="24"/>
      <c r="W61" s="24"/>
      <c r="X61" s="24"/>
      <c r="Y61" s="24"/>
      <c r="Z61" s="24"/>
      <c r="AA61" s="24"/>
      <c r="AB61" s="24"/>
      <c r="AC61" s="24"/>
      <c r="AD61" s="24"/>
      <c r="AE61" s="24"/>
      <c r="AF61" s="24"/>
      <c r="AG61" s="24"/>
      <c r="AH61" s="24"/>
      <c r="AI61" s="24"/>
      <c r="AJ61" s="24"/>
      <c r="AK61" s="24"/>
      <c r="AL61" s="24"/>
      <c r="AM61" s="24"/>
      <c r="AN61" s="14"/>
      <c r="AO61" s="96" t="s">
        <v>74</v>
      </c>
      <c r="AP61" s="67"/>
      <c r="CZ61" s="5"/>
      <c r="PY61" s="5">
        <f>16.5*PY59</f>
        <v>21579.617834394903</v>
      </c>
    </row>
    <row r="62" spans="6:956" x14ac:dyDescent="0.3">
      <c r="F62" s="57"/>
      <c r="G62" s="59" t="s">
        <v>73</v>
      </c>
      <c r="H62" s="303">
        <v>8</v>
      </c>
      <c r="I62" s="55" t="s">
        <v>70</v>
      </c>
      <c r="J62" s="15">
        <v>20008</v>
      </c>
      <c r="K62" s="15">
        <f>7960+3500</f>
        <v>11460</v>
      </c>
      <c r="L62" s="15">
        <v>13616</v>
      </c>
      <c r="M62" s="15">
        <v>13680</v>
      </c>
      <c r="N62" s="15">
        <v>9352</v>
      </c>
      <c r="O62" s="15">
        <f>11160+3500</f>
        <v>14660</v>
      </c>
      <c r="P62" s="15">
        <v>14896</v>
      </c>
      <c r="Q62" s="15">
        <v>11848</v>
      </c>
      <c r="R62" s="15">
        <f>6416+3500+1900</f>
        <v>11816</v>
      </c>
      <c r="S62" s="15">
        <v>10440</v>
      </c>
      <c r="T62" s="15">
        <v>13776</v>
      </c>
      <c r="U62" s="15">
        <v>9280</v>
      </c>
      <c r="V62" s="15">
        <v>9896</v>
      </c>
      <c r="W62" s="15">
        <v>3984</v>
      </c>
      <c r="X62" s="15">
        <v>0</v>
      </c>
      <c r="Y62" s="15"/>
      <c r="Z62" s="15"/>
      <c r="AA62" s="15"/>
      <c r="AB62" s="15">
        <v>6936</v>
      </c>
      <c r="AC62" s="15">
        <v>15552</v>
      </c>
      <c r="AD62" s="15">
        <v>22048</v>
      </c>
      <c r="AE62" s="15">
        <v>23520</v>
      </c>
      <c r="AF62" s="15">
        <v>16864</v>
      </c>
      <c r="AG62" s="15">
        <v>17096</v>
      </c>
      <c r="AH62" s="15">
        <v>12769</v>
      </c>
      <c r="AI62" s="15">
        <v>15088</v>
      </c>
      <c r="AJ62" s="15">
        <v>14552</v>
      </c>
      <c r="AK62" s="15">
        <v>16272</v>
      </c>
      <c r="AL62" s="15">
        <v>20432</v>
      </c>
      <c r="AM62" s="15">
        <v>15392</v>
      </c>
      <c r="AN62" s="14"/>
      <c r="AO62" s="13">
        <f>SUM(J62:AM62)</f>
        <v>365233</v>
      </c>
      <c r="AP62" s="67"/>
      <c r="CZ62" s="5"/>
    </row>
    <row r="63" spans="6:956" x14ac:dyDescent="0.3">
      <c r="F63" s="60"/>
      <c r="G63" s="184"/>
      <c r="H63" s="305"/>
      <c r="I63" s="55" t="s">
        <v>29</v>
      </c>
      <c r="J63" s="183">
        <f>J62/J29*100</f>
        <v>1.3710175872338035</v>
      </c>
      <c r="K63" s="81">
        <f>K62/(K29-K47)*100</f>
        <v>0.89538664920688749</v>
      </c>
      <c r="L63" s="183">
        <f t="shared" ref="L63:Q63" si="23">L62/((L29+L30)-L47)*100</f>
        <v>0.93976296108155555</v>
      </c>
      <c r="M63" s="183">
        <f t="shared" si="23"/>
        <v>0.92139019460326677</v>
      </c>
      <c r="N63" s="81">
        <f t="shared" si="23"/>
        <v>0.62569999852807956</v>
      </c>
      <c r="O63" s="183">
        <f t="shared" si="23"/>
        <v>1.1868686664243275</v>
      </c>
      <c r="P63" s="183">
        <f t="shared" si="23"/>
        <v>1.0490295983250457</v>
      </c>
      <c r="Q63" s="81">
        <f t="shared" si="23"/>
        <v>0.8307524241380978</v>
      </c>
      <c r="R63" s="183">
        <f t="shared" ref="R63:AM63" si="24">R62/((R29+R30)-(R47+R42))*100</f>
        <v>1.0101666398793545</v>
      </c>
      <c r="S63" s="182">
        <f t="shared" si="24"/>
        <v>0.7376236084773018</v>
      </c>
      <c r="T63" s="183">
        <f t="shared" si="24"/>
        <v>1.040164420880002</v>
      </c>
      <c r="U63" s="182">
        <f t="shared" si="24"/>
        <v>0.67845630719448813</v>
      </c>
      <c r="V63" s="183">
        <f t="shared" si="24"/>
        <v>0.77104318340480704</v>
      </c>
      <c r="W63" s="183">
        <f t="shared" si="24"/>
        <v>0.64801561483409231</v>
      </c>
      <c r="X63" s="183" t="e">
        <f t="shared" si="24"/>
        <v>#DIV/0!</v>
      </c>
      <c r="Y63" s="183" t="e">
        <f t="shared" si="24"/>
        <v>#DIV/0!</v>
      </c>
      <c r="Z63" s="183" t="e">
        <f t="shared" si="24"/>
        <v>#DIV/0!</v>
      </c>
      <c r="AA63" s="81" t="e">
        <f t="shared" si="24"/>
        <v>#DIV/0!</v>
      </c>
      <c r="AB63" s="81">
        <f t="shared" si="24"/>
        <v>1.181027950654282</v>
      </c>
      <c r="AC63" s="81">
        <f t="shared" si="24"/>
        <v>1.0520918036690621</v>
      </c>
      <c r="AD63" s="81">
        <f t="shared" si="24"/>
        <v>1.3667533285477131</v>
      </c>
      <c r="AE63" s="81">
        <f t="shared" si="24"/>
        <v>1.3336191088566598</v>
      </c>
      <c r="AF63" s="182">
        <f t="shared" si="24"/>
        <v>0.91174449528313872</v>
      </c>
      <c r="AG63" s="81">
        <f t="shared" si="24"/>
        <v>0.88312399430742483</v>
      </c>
      <c r="AH63" s="81">
        <f t="shared" si="24"/>
        <v>0.86505330961307336</v>
      </c>
      <c r="AI63" s="81">
        <f t="shared" si="24"/>
        <v>1.1995919733558282</v>
      </c>
      <c r="AJ63" s="81">
        <f t="shared" si="24"/>
        <v>0.86378063106084402</v>
      </c>
      <c r="AK63" s="81">
        <f t="shared" si="24"/>
        <v>0.83693758612016778</v>
      </c>
      <c r="AL63" s="81">
        <f t="shared" si="24"/>
        <v>1.0234016986905448</v>
      </c>
      <c r="AM63" s="81">
        <f t="shared" si="24"/>
        <v>0.75879588479435556</v>
      </c>
      <c r="AN63" s="14"/>
      <c r="AO63" s="181">
        <f>AO62/(((AO29)-(AO42+AO47)))*100</f>
        <v>0.96013247158802262</v>
      </c>
      <c r="AP63" s="135">
        <f>AO63*10</f>
        <v>9.6013247158802262</v>
      </c>
      <c r="AQ63" s="163">
        <f>AO63*10</f>
        <v>9.6013247158802262</v>
      </c>
      <c r="CZ63" s="4"/>
      <c r="GU63" s="62">
        <f>V63*10</f>
        <v>7.7104318340480704</v>
      </c>
      <c r="PV63" s="62"/>
      <c r="PY63" s="5">
        <f>PY59+(AO47/1000)</f>
        <v>2239.0026263269638</v>
      </c>
      <c r="PZ63" s="5" t="s">
        <v>72</v>
      </c>
    </row>
    <row r="64" spans="6:956" x14ac:dyDescent="0.3">
      <c r="F64" s="57"/>
      <c r="G64" s="180" t="s">
        <v>71</v>
      </c>
      <c r="H64" s="311">
        <v>16</v>
      </c>
      <c r="I64" s="179" t="s">
        <v>70</v>
      </c>
      <c r="J64" s="178">
        <v>0</v>
      </c>
      <c r="K64" s="178">
        <f>6856-3500</f>
        <v>3356</v>
      </c>
      <c r="L64" s="178">
        <v>0</v>
      </c>
      <c r="M64" s="178">
        <v>0</v>
      </c>
      <c r="N64" s="178">
        <v>0</v>
      </c>
      <c r="O64" s="178">
        <f>6320-3500</f>
        <v>2820</v>
      </c>
      <c r="P64" s="178">
        <v>0</v>
      </c>
      <c r="Q64" s="178">
        <v>0</v>
      </c>
      <c r="R64" s="178">
        <f>8536-3500-1900</f>
        <v>3136</v>
      </c>
      <c r="S64" s="178">
        <v>0</v>
      </c>
      <c r="T64" s="178">
        <v>0</v>
      </c>
      <c r="U64" s="178">
        <v>0</v>
      </c>
      <c r="V64" s="178">
        <v>0</v>
      </c>
      <c r="W64" s="178">
        <v>0</v>
      </c>
      <c r="X64" s="178">
        <v>0</v>
      </c>
      <c r="Y64" s="178">
        <v>0</v>
      </c>
      <c r="Z64" s="178">
        <v>0</v>
      </c>
      <c r="AA64" s="178">
        <v>0</v>
      </c>
      <c r="AB64" s="178">
        <v>0</v>
      </c>
      <c r="AC64" s="178">
        <v>0</v>
      </c>
      <c r="AD64" s="178">
        <v>0</v>
      </c>
      <c r="AE64" s="178">
        <v>0</v>
      </c>
      <c r="AF64" s="178"/>
      <c r="AG64" s="178">
        <v>0</v>
      </c>
      <c r="AH64" s="178">
        <v>0</v>
      </c>
      <c r="AI64" s="178">
        <v>5350</v>
      </c>
      <c r="AJ64" s="178"/>
      <c r="AK64" s="178"/>
      <c r="AL64" s="178"/>
      <c r="AM64" s="178"/>
      <c r="AN64" s="14"/>
      <c r="AO64" s="171">
        <f>SUM(J64:AM64)</f>
        <v>14662</v>
      </c>
      <c r="AP64" s="134"/>
      <c r="AQ64" s="163"/>
      <c r="AS64" s="3">
        <f>AO64+AO66</f>
        <v>36301.130000000005</v>
      </c>
      <c r="CA64" s="5"/>
      <c r="CB64" s="5"/>
      <c r="DE64" s="5"/>
      <c r="EM64" s="66"/>
      <c r="EN64" s="5"/>
      <c r="EO64" s="5"/>
      <c r="EP64" s="5"/>
      <c r="EQ64" s="5"/>
      <c r="GT64" s="5"/>
      <c r="GU64" s="62"/>
      <c r="KO64" s="5"/>
      <c r="KP64" s="5"/>
      <c r="KQ64" s="5"/>
      <c r="KR64" s="5"/>
      <c r="PV64" s="5"/>
      <c r="PW64" s="5"/>
      <c r="PY64" s="5">
        <f>PY61+AO64</f>
        <v>36241.6178343949</v>
      </c>
      <c r="PZ64" s="5" t="s">
        <v>69</v>
      </c>
      <c r="QM64" s="62"/>
      <c r="QQ64" s="5"/>
      <c r="ST64" s="62"/>
      <c r="AIC64" s="5"/>
      <c r="AJR64" s="5"/>
      <c r="AJS64" s="5"/>
      <c r="AJT64" s="5"/>
    </row>
    <row r="65" spans="6:956" x14ac:dyDescent="0.3">
      <c r="F65" s="60"/>
      <c r="G65" s="177"/>
      <c r="H65" s="312"/>
      <c r="I65" s="176" t="s">
        <v>29</v>
      </c>
      <c r="J65" s="175" t="e">
        <f t="shared" ref="J65:Q65" si="25">J64/J47*100</f>
        <v>#DIV/0!</v>
      </c>
      <c r="K65" s="175">
        <f t="shared" si="25"/>
        <v>1.8817671565466547</v>
      </c>
      <c r="L65" s="175" t="e">
        <f t="shared" si="25"/>
        <v>#DIV/0!</v>
      </c>
      <c r="M65" s="175" t="e">
        <f t="shared" si="25"/>
        <v>#DIV/0!</v>
      </c>
      <c r="N65" s="175" t="e">
        <f t="shared" si="25"/>
        <v>#DIV/0!</v>
      </c>
      <c r="O65" s="175">
        <f t="shared" si="25"/>
        <v>1.2168809873133684</v>
      </c>
      <c r="P65" s="175" t="e">
        <f t="shared" si="25"/>
        <v>#DIV/0!</v>
      </c>
      <c r="Q65" s="175" t="e">
        <f t="shared" si="25"/>
        <v>#DIV/0!</v>
      </c>
      <c r="R65" s="175">
        <f>R64/(R42+R47)*100</f>
        <v>1.7584093572497941</v>
      </c>
      <c r="S65" s="175" t="e">
        <f>S64/S47*100</f>
        <v>#DIV/0!</v>
      </c>
      <c r="T65" s="175" t="e">
        <f>T64/(T47+T42)*100</f>
        <v>#DIV/0!</v>
      </c>
      <c r="U65" s="175" t="e">
        <f>U64/U47*100</f>
        <v>#DIV/0!</v>
      </c>
      <c r="V65" s="175" t="e">
        <f>V64/V47*100</f>
        <v>#DIV/0!</v>
      </c>
      <c r="W65" s="175" t="e">
        <f>W64/W47*100</f>
        <v>#DIV/0!</v>
      </c>
      <c r="X65" s="175" t="e">
        <f>X64/(X47+X42)*100</f>
        <v>#DIV/0!</v>
      </c>
      <c r="Y65" s="175" t="e">
        <f t="shared" ref="Y65:AE65" si="26">Y64/Y47*100</f>
        <v>#DIV/0!</v>
      </c>
      <c r="Z65" s="175" t="e">
        <f t="shared" si="26"/>
        <v>#DIV/0!</v>
      </c>
      <c r="AA65" s="175" t="e">
        <f t="shared" si="26"/>
        <v>#DIV/0!</v>
      </c>
      <c r="AB65" s="175" t="e">
        <f t="shared" si="26"/>
        <v>#DIV/0!</v>
      </c>
      <c r="AC65" s="175" t="e">
        <f t="shared" si="26"/>
        <v>#DIV/0!</v>
      </c>
      <c r="AD65" s="175" t="e">
        <f t="shared" si="26"/>
        <v>#DIV/0!</v>
      </c>
      <c r="AE65" s="175" t="e">
        <f t="shared" si="26"/>
        <v>#DIV/0!</v>
      </c>
      <c r="AF65" s="175" t="e">
        <f>AF64/(AF47+AF42)*100</f>
        <v>#DIV/0!</v>
      </c>
      <c r="AG65" s="175" t="e">
        <f>AG64/(AG47)*100</f>
        <v>#DIV/0!</v>
      </c>
      <c r="AH65" s="175" t="e">
        <f t="shared" ref="AH65:AM65" si="27">AH64/AH47*100</f>
        <v>#DIV/0!</v>
      </c>
      <c r="AI65" s="175">
        <f>AI64/AI47*100</f>
        <v>1.5610365282547611</v>
      </c>
      <c r="AJ65" s="175" t="e">
        <f t="shared" si="27"/>
        <v>#DIV/0!</v>
      </c>
      <c r="AK65" s="175" t="e">
        <f t="shared" si="27"/>
        <v>#DIV/0!</v>
      </c>
      <c r="AL65" s="175" t="e">
        <f t="shared" si="27"/>
        <v>#DIV/0!</v>
      </c>
      <c r="AM65" s="175" t="e">
        <f t="shared" si="27"/>
        <v>#DIV/0!</v>
      </c>
      <c r="AN65" s="14"/>
      <c r="AO65" s="174">
        <f>AO64/((AO47)+AO42)*100</f>
        <v>1.5746171120134631</v>
      </c>
      <c r="AP65" s="135"/>
      <c r="AQ65" s="163">
        <f>AO65*10</f>
        <v>15.746171120134631</v>
      </c>
      <c r="CA65" s="5"/>
      <c r="CB65" s="5"/>
      <c r="CZ65" s="4"/>
      <c r="DE65" s="5"/>
      <c r="EM65" s="66"/>
      <c r="EN65" s="5"/>
      <c r="EO65" s="5"/>
      <c r="EP65" s="5"/>
      <c r="EQ65" s="5"/>
      <c r="GT65" s="5"/>
      <c r="GU65" s="62"/>
      <c r="KO65" s="5"/>
      <c r="KP65" s="5"/>
      <c r="KQ65" s="5"/>
      <c r="KR65" s="5"/>
      <c r="PV65" s="62"/>
      <c r="PW65" s="5"/>
      <c r="PY65" s="173">
        <f>PY64/PY63</f>
        <v>16.186500814359697</v>
      </c>
      <c r="PZ65" s="172" t="s">
        <v>68</v>
      </c>
      <c r="QM65" s="62"/>
      <c r="QQ65" s="5"/>
      <c r="ST65" s="62"/>
      <c r="AIC65" s="5"/>
      <c r="AJR65" s="5"/>
      <c r="AJS65" s="5"/>
      <c r="AJT65" s="5"/>
    </row>
    <row r="66" spans="6:956" x14ac:dyDescent="0.3">
      <c r="F66" s="60"/>
      <c r="G66" s="59" t="s">
        <v>67</v>
      </c>
      <c r="H66" s="303">
        <v>0.55000000000000004</v>
      </c>
      <c r="I66" s="55" t="s">
        <v>16</v>
      </c>
      <c r="J66" s="15">
        <v>789.38</v>
      </c>
      <c r="K66" s="15">
        <v>750.85</v>
      </c>
      <c r="L66" s="15">
        <v>752.03</v>
      </c>
      <c r="M66" s="15">
        <v>714.76</v>
      </c>
      <c r="N66" s="15">
        <v>802.21</v>
      </c>
      <c r="O66" s="15">
        <v>794.04</v>
      </c>
      <c r="P66" s="15">
        <v>803.41</v>
      </c>
      <c r="Q66" s="15">
        <v>803.41</v>
      </c>
      <c r="R66" s="15">
        <v>726.37</v>
      </c>
      <c r="S66" s="15">
        <v>743.9</v>
      </c>
      <c r="T66" s="15">
        <v>714.73</v>
      </c>
      <c r="U66" s="15">
        <v>719.42</v>
      </c>
      <c r="V66" s="15">
        <v>682.03</v>
      </c>
      <c r="W66" s="15">
        <v>339.3</v>
      </c>
      <c r="X66" s="15">
        <v>0</v>
      </c>
      <c r="Y66" s="15"/>
      <c r="Z66" s="15"/>
      <c r="AA66" s="15"/>
      <c r="AB66" s="15">
        <v>464.16</v>
      </c>
      <c r="AC66" s="15">
        <v>808.04</v>
      </c>
      <c r="AD66" s="15">
        <v>932.8</v>
      </c>
      <c r="AE66" s="15">
        <v>943.29</v>
      </c>
      <c r="AF66" s="15">
        <v>1065</v>
      </c>
      <c r="AG66" s="15">
        <v>1178</v>
      </c>
      <c r="AH66" s="15">
        <v>904</v>
      </c>
      <c r="AI66" s="15">
        <v>873</v>
      </c>
      <c r="AJ66" s="15">
        <v>929</v>
      </c>
      <c r="AK66" s="15">
        <v>1032</v>
      </c>
      <c r="AL66" s="15">
        <v>1229</v>
      </c>
      <c r="AM66" s="15">
        <v>1145</v>
      </c>
      <c r="AN66" s="14"/>
      <c r="AO66" s="171">
        <f>SUM(J66:AM66)</f>
        <v>21639.13</v>
      </c>
      <c r="GU66" s="62"/>
      <c r="PY66" s="62">
        <v>16</v>
      </c>
      <c r="PZ66" s="1" t="s">
        <v>66</v>
      </c>
    </row>
    <row r="67" spans="6:956" x14ac:dyDescent="0.3">
      <c r="F67" s="170"/>
      <c r="G67" s="169"/>
      <c r="H67" s="305"/>
      <c r="I67" s="168" t="s">
        <v>29</v>
      </c>
      <c r="J67" s="166">
        <f t="shared" ref="J67:AM67" si="28">J66/(J29+J30)*100</f>
        <v>5.4091056727839856E-2</v>
      </c>
      <c r="K67" s="166">
        <f t="shared" si="28"/>
        <v>5.1490258442214817E-2</v>
      </c>
      <c r="L67" s="166">
        <f t="shared" si="28"/>
        <v>5.1904372768960212E-2</v>
      </c>
      <c r="M67" s="167">
        <f t="shared" si="28"/>
        <v>4.8141290606332668E-2</v>
      </c>
      <c r="N67" s="166">
        <f t="shared" si="28"/>
        <v>5.3672240784774464E-2</v>
      </c>
      <c r="O67" s="166">
        <f t="shared" si="28"/>
        <v>5.4129630525937618E-2</v>
      </c>
      <c r="P67" s="166">
        <f t="shared" si="28"/>
        <v>5.6579005745859619E-2</v>
      </c>
      <c r="Q67" s="166">
        <f t="shared" si="28"/>
        <v>5.633311994233535E-2</v>
      </c>
      <c r="R67" s="166">
        <f t="shared" si="28"/>
        <v>5.3882976237545913E-2</v>
      </c>
      <c r="S67" s="166">
        <f t="shared" si="28"/>
        <v>5.2559214784124987E-2</v>
      </c>
      <c r="T67" s="166">
        <f t="shared" si="28"/>
        <v>5.3966079887889366E-2</v>
      </c>
      <c r="U67" s="166">
        <f t="shared" si="28"/>
        <v>5.2596447901062354E-2</v>
      </c>
      <c r="V67" s="166">
        <f t="shared" si="28"/>
        <v>5.3140115438316544E-2</v>
      </c>
      <c r="W67" s="166">
        <f t="shared" si="28"/>
        <v>5.5188679245283014E-2</v>
      </c>
      <c r="X67" s="166" t="e">
        <f t="shared" si="28"/>
        <v>#DIV/0!</v>
      </c>
      <c r="Y67" s="166" t="e">
        <f t="shared" si="28"/>
        <v>#DIV/0!</v>
      </c>
      <c r="Z67" s="166" t="e">
        <f t="shared" si="28"/>
        <v>#DIV/0!</v>
      </c>
      <c r="AA67" s="166" t="e">
        <f t="shared" si="28"/>
        <v>#DIV/0!</v>
      </c>
      <c r="AB67" s="166">
        <f t="shared" si="28"/>
        <v>7.9034880850013201E-2</v>
      </c>
      <c r="AC67" s="166">
        <f t="shared" si="28"/>
        <v>5.4663854233330034E-2</v>
      </c>
      <c r="AD67" s="166">
        <f t="shared" si="28"/>
        <v>5.7824179284710932E-2</v>
      </c>
      <c r="AE67" s="166">
        <f t="shared" si="28"/>
        <v>5.3485951071147904E-2</v>
      </c>
      <c r="AF67" s="166">
        <f t="shared" si="28"/>
        <v>5.7578740955677353E-2</v>
      </c>
      <c r="AG67" s="166">
        <f t="shared" si="28"/>
        <v>6.0851665026564486E-2</v>
      </c>
      <c r="AH67" s="166">
        <f t="shared" si="28"/>
        <v>6.1242712184996349E-2</v>
      </c>
      <c r="AI67" s="166">
        <f t="shared" si="28"/>
        <v>5.4546067997015897E-2</v>
      </c>
      <c r="AJ67" s="166">
        <f t="shared" si="28"/>
        <v>5.5143774481550584E-2</v>
      </c>
      <c r="AK67" s="166">
        <f t="shared" si="28"/>
        <v>5.3080112394051943E-2</v>
      </c>
      <c r="AL67" s="166">
        <f t="shared" si="28"/>
        <v>6.1558373516575927E-2</v>
      </c>
      <c r="AM67" s="166">
        <f t="shared" si="28"/>
        <v>5.6446289506856623E-2</v>
      </c>
      <c r="AN67" s="165"/>
      <c r="AO67" s="164">
        <f>AO66/(AO29+71450)*100</f>
        <v>5.5424618310345883E-2</v>
      </c>
      <c r="AQ67" s="163">
        <f>AO67*10</f>
        <v>0.55424618310345886</v>
      </c>
      <c r="GU67" s="62">
        <f>T67*10</f>
        <v>0.53966079887889362</v>
      </c>
      <c r="PV67" s="62"/>
      <c r="PY67" s="62">
        <f>PY65-PY66</f>
        <v>0.18650081435969668</v>
      </c>
      <c r="PZ67" s="1" t="s">
        <v>65</v>
      </c>
    </row>
    <row r="68" spans="6:956" x14ac:dyDescent="0.3">
      <c r="F68" s="27">
        <v>4</v>
      </c>
      <c r="G68" s="162" t="s">
        <v>64</v>
      </c>
      <c r="H68" s="313">
        <v>0.8</v>
      </c>
      <c r="I68" s="161" t="s">
        <v>29</v>
      </c>
      <c r="J68" s="160">
        <f t="shared" ref="J68:AM68" si="29">((SUM(J35:J36))-(SUM(J29:J30)))/(SUM(J29:J30))*100</f>
        <v>3.8179221765246818</v>
      </c>
      <c r="K68" s="160">
        <f t="shared" si="29"/>
        <v>-6.065337801742789</v>
      </c>
      <c r="L68" s="160">
        <f t="shared" si="29"/>
        <v>10.696567546153018</v>
      </c>
      <c r="M68" s="160">
        <f t="shared" si="29"/>
        <v>-7.6077329423262272</v>
      </c>
      <c r="N68" s="160">
        <f t="shared" si="29"/>
        <v>-9.0474935202047835</v>
      </c>
      <c r="O68" s="160">
        <f t="shared" si="29"/>
        <v>-1.1747719546288389</v>
      </c>
      <c r="P68" s="160">
        <f t="shared" si="29"/>
        <v>-0.3547235557708952</v>
      </c>
      <c r="Q68" s="160">
        <f t="shared" si="29"/>
        <v>-0.17739733567432373</v>
      </c>
      <c r="R68" s="160">
        <f t="shared" si="29"/>
        <v>2.4615537542719079</v>
      </c>
      <c r="S68" s="160">
        <f t="shared" si="29"/>
        <v>-5.7695731674575157</v>
      </c>
      <c r="T68" s="160">
        <f t="shared" si="29"/>
        <v>-2.3997173072305622</v>
      </c>
      <c r="U68" s="160">
        <f t="shared" si="29"/>
        <v>7.2657699053451097</v>
      </c>
      <c r="V68" s="160">
        <f t="shared" si="29"/>
        <v>-0.78000336591203756</v>
      </c>
      <c r="W68" s="160">
        <f t="shared" si="29"/>
        <v>3.4811320754716983</v>
      </c>
      <c r="X68" s="160" t="e">
        <f t="shared" si="29"/>
        <v>#DIV/0!</v>
      </c>
      <c r="Y68" s="160" t="e">
        <f t="shared" si="29"/>
        <v>#DIV/0!</v>
      </c>
      <c r="Z68" s="160" t="e">
        <f t="shared" si="29"/>
        <v>#DIV/0!</v>
      </c>
      <c r="AA68" s="160" t="e">
        <f t="shared" si="29"/>
        <v>#DIV/0!</v>
      </c>
      <c r="AB68" s="160">
        <f t="shared" si="29"/>
        <v>6.9892811837523521</v>
      </c>
      <c r="AC68" s="160">
        <f t="shared" si="29"/>
        <v>-7.1032432732286193</v>
      </c>
      <c r="AD68" s="160">
        <f t="shared" si="29"/>
        <v>0.32532299837710443</v>
      </c>
      <c r="AE68" s="160">
        <f t="shared" si="29"/>
        <v>0.26077016503536471</v>
      </c>
      <c r="AF68" s="160">
        <f t="shared" si="29"/>
        <v>-9.0287790982141944E-3</v>
      </c>
      <c r="AG68" s="160">
        <f t="shared" si="29"/>
        <v>-0.53790185731885909</v>
      </c>
      <c r="AH68" s="160">
        <f t="shared" si="29"/>
        <v>-0.7555074405830523</v>
      </c>
      <c r="AI68" s="160">
        <f t="shared" si="29"/>
        <v>-0.349394744833119</v>
      </c>
      <c r="AJ68" s="160">
        <f t="shared" si="29"/>
        <v>-1.0723060129270303</v>
      </c>
      <c r="AK68" s="160">
        <f t="shared" si="29"/>
        <v>-0.67558844602313206</v>
      </c>
      <c r="AL68" s="160">
        <f t="shared" si="29"/>
        <v>-0.65730718930677456</v>
      </c>
      <c r="AM68" s="160">
        <f t="shared" si="29"/>
        <v>-0.9201977641353587</v>
      </c>
      <c r="AN68" s="159"/>
      <c r="AO68" s="158">
        <f>((SUM(AO35:AO36))-(SUM(AO29:AO30)))/(SUM(AO29:AO30))*100</f>
        <v>-0.67905875245393998</v>
      </c>
      <c r="AP68" s="157"/>
      <c r="AQ68" s="152"/>
      <c r="CA68" s="85"/>
      <c r="CB68" s="85"/>
      <c r="DE68" s="85"/>
      <c r="EM68" s="86"/>
      <c r="EN68" s="85"/>
      <c r="EO68" s="85"/>
      <c r="EP68" s="85"/>
      <c r="EQ68" s="85"/>
      <c r="GT68" s="85"/>
      <c r="KO68" s="85"/>
      <c r="KP68" s="85"/>
      <c r="KQ68" s="85"/>
      <c r="KR68" s="85"/>
      <c r="PV68" s="85"/>
      <c r="PW68" s="85"/>
      <c r="PY68" s="62"/>
      <c r="QM68" s="3"/>
      <c r="QQ68" s="85"/>
      <c r="ST68" s="3"/>
      <c r="AIC68" s="85"/>
      <c r="AJR68" s="85"/>
      <c r="AJS68" s="85"/>
      <c r="AJT68" s="85"/>
    </row>
    <row r="69" spans="6:956" x14ac:dyDescent="0.3">
      <c r="F69" s="17"/>
      <c r="G69" s="18" t="s">
        <v>63</v>
      </c>
      <c r="H69" s="314">
        <v>22</v>
      </c>
      <c r="I69" s="91" t="s">
        <v>29</v>
      </c>
      <c r="J69" s="81">
        <v>21.33</v>
      </c>
      <c r="K69" s="81">
        <v>21.41</v>
      </c>
      <c r="L69" s="81">
        <v>21.36</v>
      </c>
      <c r="M69" s="81">
        <v>21.4</v>
      </c>
      <c r="N69" s="81">
        <v>21.37</v>
      </c>
      <c r="O69" s="81">
        <v>21.38</v>
      </c>
      <c r="P69" s="81">
        <v>21.46</v>
      </c>
      <c r="Q69" s="81">
        <v>21.39</v>
      </c>
      <c r="R69" s="81">
        <v>21.4</v>
      </c>
      <c r="S69" s="81">
        <v>21.42</v>
      </c>
      <c r="T69" s="81">
        <v>21.33</v>
      </c>
      <c r="U69" s="81">
        <v>21.38</v>
      </c>
      <c r="V69" s="81">
        <v>21.35</v>
      </c>
      <c r="W69" s="81">
        <v>21.35</v>
      </c>
      <c r="X69" s="81"/>
      <c r="Y69" s="81"/>
      <c r="Z69" s="81"/>
      <c r="AA69" s="81"/>
      <c r="AB69" s="81">
        <v>21.36</v>
      </c>
      <c r="AC69" s="81">
        <v>21.35</v>
      </c>
      <c r="AD69" s="81">
        <v>21.37</v>
      </c>
      <c r="AE69" s="81">
        <v>21.4</v>
      </c>
      <c r="AF69" s="81">
        <v>21.4</v>
      </c>
      <c r="AG69" s="81">
        <v>21.41</v>
      </c>
      <c r="AH69" s="81">
        <v>21.41</v>
      </c>
      <c r="AI69" s="81">
        <v>21.43</v>
      </c>
      <c r="AJ69" s="81">
        <v>21.43</v>
      </c>
      <c r="AK69" s="81">
        <v>21.38</v>
      </c>
      <c r="AL69" s="81">
        <v>21.43</v>
      </c>
      <c r="AM69" s="81">
        <v>21.41</v>
      </c>
      <c r="AN69" s="7"/>
      <c r="AO69" s="153">
        <f>AVERAGE(J69:AJ69)</f>
        <v>21.386521739130441</v>
      </c>
      <c r="AP69" s="85"/>
      <c r="AQ69" s="152"/>
      <c r="CA69" s="85"/>
      <c r="CB69" s="85"/>
      <c r="DE69" s="85"/>
      <c r="EM69" s="86"/>
      <c r="EN69" s="85"/>
      <c r="EO69" s="85"/>
      <c r="EP69" s="85"/>
      <c r="EQ69" s="85"/>
      <c r="GT69" s="85"/>
      <c r="KO69" s="85"/>
      <c r="KP69" s="85"/>
      <c r="KQ69" s="85"/>
      <c r="KR69" s="85"/>
      <c r="PV69" s="85"/>
      <c r="PW69" s="85"/>
      <c r="PY69" s="85"/>
      <c r="QM69" s="3"/>
      <c r="QQ69" s="85"/>
      <c r="ST69" s="3"/>
      <c r="AIC69" s="85"/>
      <c r="AJR69" s="85"/>
      <c r="AJS69" s="85"/>
      <c r="AJT69" s="85"/>
    </row>
    <row r="70" spans="6:956" x14ac:dyDescent="0.3">
      <c r="F70" s="156"/>
      <c r="G70" s="155" t="s">
        <v>62</v>
      </c>
      <c r="H70" s="305"/>
      <c r="I70" s="154" t="s">
        <v>16</v>
      </c>
      <c r="J70" s="81">
        <f t="shared" ref="J70:AM70" si="30">SUM(J62,J64)+(J69%*SUM(J62,J64))</f>
        <v>24275.706399999999</v>
      </c>
      <c r="K70" s="81">
        <f t="shared" si="30"/>
        <v>17988.105599999999</v>
      </c>
      <c r="L70" s="81">
        <f t="shared" si="30"/>
        <v>16524.3776</v>
      </c>
      <c r="M70" s="81">
        <f t="shared" si="30"/>
        <v>16607.52</v>
      </c>
      <c r="N70" s="81">
        <f t="shared" si="30"/>
        <v>11350.5224</v>
      </c>
      <c r="O70" s="81">
        <f t="shared" si="30"/>
        <v>21217.223999999998</v>
      </c>
      <c r="P70" s="81">
        <f t="shared" si="30"/>
        <v>18092.6816</v>
      </c>
      <c r="Q70" s="81">
        <f t="shared" si="30"/>
        <v>14382.287200000001</v>
      </c>
      <c r="R70" s="81">
        <f t="shared" si="30"/>
        <v>18151.727999999999</v>
      </c>
      <c r="S70" s="81">
        <f t="shared" si="30"/>
        <v>12676.248</v>
      </c>
      <c r="T70" s="81">
        <f t="shared" si="30"/>
        <v>16714.4208</v>
      </c>
      <c r="U70" s="81">
        <f t="shared" si="30"/>
        <v>11264.064</v>
      </c>
      <c r="V70" s="81">
        <f t="shared" si="30"/>
        <v>12008.796</v>
      </c>
      <c r="W70" s="81">
        <f t="shared" si="30"/>
        <v>4834.5839999999998</v>
      </c>
      <c r="X70" s="81">
        <f t="shared" si="30"/>
        <v>0</v>
      </c>
      <c r="Y70" s="81">
        <f t="shared" si="30"/>
        <v>0</v>
      </c>
      <c r="Z70" s="81">
        <f t="shared" si="30"/>
        <v>0</v>
      </c>
      <c r="AA70" s="81">
        <f t="shared" si="30"/>
        <v>0</v>
      </c>
      <c r="AB70" s="81">
        <f t="shared" si="30"/>
        <v>8417.5295999999998</v>
      </c>
      <c r="AC70" s="81">
        <f t="shared" si="30"/>
        <v>18872.351999999999</v>
      </c>
      <c r="AD70" s="81">
        <f t="shared" si="30"/>
        <v>26759.657599999999</v>
      </c>
      <c r="AE70" s="81">
        <f t="shared" si="30"/>
        <v>28553.279999999999</v>
      </c>
      <c r="AF70" s="81">
        <f t="shared" si="30"/>
        <v>20472.896000000001</v>
      </c>
      <c r="AG70" s="81">
        <f t="shared" si="30"/>
        <v>20756.2536</v>
      </c>
      <c r="AH70" s="81">
        <f t="shared" si="30"/>
        <v>15502.8429</v>
      </c>
      <c r="AI70" s="81">
        <f t="shared" si="30"/>
        <v>24817.863400000002</v>
      </c>
      <c r="AJ70" s="81">
        <f t="shared" si="30"/>
        <v>17670.493600000002</v>
      </c>
      <c r="AK70" s="81">
        <f t="shared" si="30"/>
        <v>19750.953600000001</v>
      </c>
      <c r="AL70" s="81">
        <f t="shared" si="30"/>
        <v>24810.577600000001</v>
      </c>
      <c r="AM70" s="81">
        <f t="shared" si="30"/>
        <v>18687.427199999998</v>
      </c>
      <c r="AN70" s="7"/>
      <c r="AO70" s="153">
        <f>SUM(AO62,AO64)+(AO69%*SUM(AO62,AO64))</f>
        <v>461141.32676086959</v>
      </c>
      <c r="AP70" s="117"/>
      <c r="AQ70" s="152"/>
      <c r="CA70" s="85"/>
      <c r="CB70" s="85"/>
      <c r="DE70" s="85"/>
      <c r="EM70" s="86"/>
      <c r="EN70" s="85"/>
      <c r="EO70" s="85"/>
      <c r="EP70" s="85"/>
      <c r="EQ70" s="85"/>
      <c r="GT70" s="85"/>
      <c r="GU70" s="151">
        <f>AQ70+400</f>
        <v>400</v>
      </c>
      <c r="KO70" s="85"/>
      <c r="KP70" s="85"/>
      <c r="KQ70" s="85"/>
      <c r="KR70" s="85"/>
      <c r="PV70" s="85"/>
      <c r="PW70" s="85"/>
      <c r="PY70" s="85"/>
      <c r="QM70" s="3"/>
      <c r="QQ70" s="85"/>
      <c r="ST70" s="3"/>
      <c r="AIC70" s="85"/>
      <c r="AJR70" s="85"/>
      <c r="AJS70" s="85"/>
      <c r="AJT70" s="85"/>
    </row>
    <row r="71" spans="6:956" x14ac:dyDescent="0.3">
      <c r="F71" s="47">
        <v>5</v>
      </c>
      <c r="G71" s="103" t="s">
        <v>61</v>
      </c>
      <c r="H71" s="97"/>
      <c r="I71" s="97"/>
      <c r="J71" s="24"/>
      <c r="K71" s="24"/>
      <c r="L71" s="24"/>
      <c r="M71" s="24"/>
      <c r="N71" s="24"/>
      <c r="O71" s="24"/>
      <c r="P71" s="24"/>
      <c r="Q71" s="24"/>
      <c r="R71" s="24"/>
      <c r="S71" s="24"/>
      <c r="T71" s="24"/>
      <c r="U71" s="24"/>
      <c r="V71" s="24"/>
      <c r="W71" s="24"/>
      <c r="X71" s="24"/>
      <c r="Y71" s="24"/>
      <c r="Z71" s="24"/>
      <c r="AA71" s="24"/>
      <c r="AB71" s="24"/>
      <c r="AC71" s="24"/>
      <c r="AD71" s="24"/>
      <c r="AE71" s="24"/>
      <c r="AF71" s="24"/>
      <c r="AG71" s="102"/>
      <c r="AH71" s="24"/>
      <c r="AI71" s="24"/>
      <c r="AJ71" s="24"/>
      <c r="AK71" s="24"/>
      <c r="AL71" s="24"/>
      <c r="AM71" s="24"/>
      <c r="AN71" s="67"/>
      <c r="AO71" s="101" t="s">
        <v>47</v>
      </c>
      <c r="GU71" s="67">
        <v>17292</v>
      </c>
      <c r="PV71" s="5">
        <f>AQ71-GU71</f>
        <v>-17292</v>
      </c>
    </row>
    <row r="72" spans="6:956" x14ac:dyDescent="0.3">
      <c r="F72" s="57"/>
      <c r="G72" s="150" t="s">
        <v>60</v>
      </c>
      <c r="H72" s="315"/>
      <c r="I72" s="149" t="s">
        <v>16</v>
      </c>
      <c r="J72" s="148">
        <v>0</v>
      </c>
      <c r="K72" s="148">
        <v>88638</v>
      </c>
      <c r="L72" s="148">
        <v>0</v>
      </c>
      <c r="M72" s="148">
        <v>0</v>
      </c>
      <c r="N72" s="148">
        <v>0</v>
      </c>
      <c r="O72" s="148">
        <v>132361</v>
      </c>
      <c r="P72" s="148">
        <v>0</v>
      </c>
      <c r="Q72" s="148">
        <v>0</v>
      </c>
      <c r="R72" s="148">
        <v>0</v>
      </c>
      <c r="S72" s="148">
        <v>153263</v>
      </c>
      <c r="T72" s="148">
        <v>0</v>
      </c>
      <c r="U72" s="148">
        <v>58212</v>
      </c>
      <c r="V72" s="148">
        <v>0</v>
      </c>
      <c r="W72" s="148">
        <v>0</v>
      </c>
      <c r="X72" s="148">
        <v>45162</v>
      </c>
      <c r="Y72" s="148">
        <v>11200</v>
      </c>
      <c r="Z72" s="148">
        <v>0</v>
      </c>
      <c r="AA72" s="147"/>
      <c r="AB72" s="148"/>
      <c r="AC72" s="148">
        <v>0</v>
      </c>
      <c r="AD72" s="148">
        <v>0</v>
      </c>
      <c r="AE72" s="147"/>
      <c r="AF72" s="148">
        <v>32321</v>
      </c>
      <c r="AG72" s="148">
        <v>6393</v>
      </c>
      <c r="AH72" s="147"/>
      <c r="AI72" s="148">
        <v>196100</v>
      </c>
      <c r="AJ72" s="147"/>
      <c r="AK72" s="147"/>
      <c r="AL72" s="147"/>
      <c r="AM72" s="147"/>
      <c r="AN72" s="63"/>
      <c r="AO72" s="110">
        <f>SUM(J72:AM72)</f>
        <v>723650</v>
      </c>
      <c r="AQ72" s="125"/>
      <c r="CA72" s="124"/>
      <c r="CB72" s="124"/>
      <c r="DE72" s="124"/>
      <c r="EM72" s="50"/>
      <c r="EN72" s="124"/>
      <c r="EO72" s="124"/>
      <c r="EP72" s="124"/>
      <c r="EQ72" s="124"/>
      <c r="GT72" s="124"/>
      <c r="KO72" s="124"/>
      <c r="KP72" s="124"/>
      <c r="KQ72" s="124"/>
      <c r="KR72" s="124"/>
      <c r="PV72" s="124"/>
      <c r="PW72" s="124"/>
      <c r="PY72" s="124"/>
      <c r="QM72" s="123"/>
      <c r="QQ72" s="124"/>
      <c r="ST72" s="123"/>
      <c r="AIC72" s="48"/>
      <c r="AJR72" s="48"/>
      <c r="AJS72" s="48"/>
      <c r="AJT72" s="48"/>
    </row>
    <row r="73" spans="6:956" s="3" customFormat="1" ht="13.8" x14ac:dyDescent="0.25">
      <c r="F73" s="146"/>
      <c r="G73" s="145" t="s">
        <v>54</v>
      </c>
      <c r="H73" s="144"/>
      <c r="I73" s="143" t="s">
        <v>16</v>
      </c>
      <c r="J73" s="142">
        <v>0</v>
      </c>
      <c r="K73" s="141">
        <v>38290.544999999998</v>
      </c>
      <c r="L73" s="142">
        <v>400</v>
      </c>
      <c r="M73" s="142">
        <v>0</v>
      </c>
      <c r="N73" s="142">
        <v>0</v>
      </c>
      <c r="O73" s="142">
        <v>40165.65</v>
      </c>
      <c r="P73" s="142">
        <v>38289.65</v>
      </c>
      <c r="Q73" s="142">
        <v>38289.65</v>
      </c>
      <c r="R73" s="142">
        <v>38286.93</v>
      </c>
      <c r="S73" s="142">
        <v>38288.74</v>
      </c>
      <c r="T73" s="142">
        <v>0</v>
      </c>
      <c r="U73" s="142">
        <v>0</v>
      </c>
      <c r="V73" s="142"/>
      <c r="W73" s="142"/>
      <c r="X73" s="142"/>
      <c r="Y73" s="142"/>
      <c r="Z73" s="142"/>
      <c r="AA73" s="142"/>
      <c r="AB73" s="142">
        <v>38333.089999999997</v>
      </c>
      <c r="AC73" s="142">
        <v>38288.74</v>
      </c>
      <c r="AD73" s="142"/>
      <c r="AE73" s="142"/>
      <c r="AF73" s="142">
        <v>14760.55</v>
      </c>
      <c r="AG73" s="142"/>
      <c r="AH73" s="142"/>
      <c r="AI73" s="141">
        <v>17328.46</v>
      </c>
      <c r="AJ73" s="141">
        <v>38310</v>
      </c>
      <c r="AK73" s="141">
        <v>38289.65</v>
      </c>
      <c r="AL73" s="141">
        <v>27481.24</v>
      </c>
      <c r="AM73" s="141"/>
      <c r="AN73" s="140"/>
      <c r="AO73" s="139">
        <f>SUM(J73:AM73)</f>
        <v>444802.89500000002</v>
      </c>
      <c r="AQ73" s="137">
        <f>SUM(AO73+AO100+AO126+AO174)</f>
        <v>793736.02500000002</v>
      </c>
      <c r="AR73" s="137"/>
      <c r="AS73" s="137"/>
      <c r="AT73" s="137"/>
      <c r="AU73" s="137"/>
      <c r="AV73" s="137"/>
      <c r="AW73" s="137"/>
      <c r="AX73" s="137"/>
      <c r="AY73" s="137"/>
      <c r="AZ73" s="137"/>
      <c r="BA73" s="137"/>
      <c r="BB73" s="137"/>
      <c r="BC73" s="137"/>
      <c r="BD73" s="137"/>
      <c r="BE73" s="137"/>
      <c r="BF73" s="137"/>
      <c r="BG73" s="137"/>
      <c r="BH73" s="137"/>
      <c r="BI73" s="137"/>
      <c r="BJ73" s="137"/>
      <c r="BK73" s="137"/>
      <c r="BL73" s="137"/>
      <c r="BM73" s="137"/>
      <c r="BN73" s="137"/>
      <c r="BO73" s="137"/>
      <c r="BP73" s="137"/>
      <c r="BQ73" s="137"/>
      <c r="BR73" s="137"/>
      <c r="BS73" s="137"/>
      <c r="BT73" s="137"/>
      <c r="BU73" s="137"/>
      <c r="BV73" s="137"/>
      <c r="BW73" s="137"/>
      <c r="BX73" s="137"/>
      <c r="BY73" s="137"/>
      <c r="BZ73" s="137"/>
      <c r="CA73" s="137"/>
      <c r="CB73" s="137"/>
      <c r="CC73" s="137"/>
      <c r="CD73" s="137"/>
      <c r="CE73" s="137"/>
      <c r="CF73" s="137"/>
      <c r="CG73" s="137"/>
      <c r="CH73" s="137"/>
      <c r="CI73" s="137"/>
      <c r="CJ73" s="137"/>
      <c r="CK73" s="137"/>
      <c r="CL73" s="137"/>
      <c r="CM73" s="137"/>
      <c r="CN73" s="137"/>
      <c r="CO73" s="137"/>
      <c r="CP73" s="137"/>
      <c r="CQ73" s="137"/>
      <c r="CR73" s="137"/>
      <c r="CS73" s="137"/>
      <c r="CT73" s="137"/>
      <c r="CU73" s="137"/>
      <c r="CV73" s="137"/>
      <c r="CW73" s="137"/>
      <c r="CX73" s="137"/>
      <c r="CY73" s="137"/>
      <c r="CZ73" s="137"/>
      <c r="DA73" s="137"/>
      <c r="DC73" s="137"/>
      <c r="DD73" s="137"/>
      <c r="DE73" s="137"/>
      <c r="DF73" s="137"/>
      <c r="DG73" s="137"/>
      <c r="DH73" s="137"/>
      <c r="DI73" s="137"/>
      <c r="DJ73" s="137"/>
      <c r="DK73" s="137"/>
      <c r="DL73" s="137"/>
      <c r="DM73" s="137"/>
      <c r="DN73" s="137"/>
      <c r="DO73" s="137"/>
      <c r="DP73" s="137"/>
      <c r="DQ73" s="137"/>
      <c r="DR73" s="137"/>
      <c r="DS73" s="137"/>
      <c r="DT73" s="137"/>
      <c r="DU73" s="137"/>
      <c r="DV73" s="137"/>
      <c r="DW73" s="137"/>
      <c r="DX73" s="137"/>
      <c r="DY73" s="137"/>
      <c r="DZ73" s="137"/>
      <c r="EA73" s="137"/>
      <c r="EB73" s="137"/>
      <c r="EC73" s="137"/>
      <c r="ED73" s="137"/>
      <c r="EE73" s="137"/>
      <c r="EF73" s="137"/>
      <c r="EG73" s="137"/>
      <c r="EH73" s="137"/>
      <c r="EI73" s="137"/>
      <c r="EJ73" s="137"/>
      <c r="EK73" s="137"/>
      <c r="EL73" s="137"/>
      <c r="EM73" s="138"/>
      <c r="EN73" s="137"/>
      <c r="EO73" s="137"/>
      <c r="EP73" s="137"/>
      <c r="EQ73" s="137"/>
      <c r="ER73" s="137"/>
      <c r="ES73" s="137"/>
      <c r="ET73" s="137"/>
      <c r="EU73" s="137"/>
      <c r="EV73" s="137"/>
      <c r="EW73" s="137"/>
      <c r="EX73" s="137"/>
      <c r="EY73" s="137"/>
      <c r="EZ73" s="137"/>
      <c r="FA73" s="137"/>
      <c r="FB73" s="137"/>
      <c r="FC73" s="137"/>
      <c r="FD73" s="137"/>
      <c r="FE73" s="137"/>
      <c r="FF73" s="137"/>
      <c r="FG73" s="137"/>
      <c r="FH73" s="137"/>
      <c r="FI73" s="137"/>
      <c r="FJ73" s="137"/>
      <c r="FK73" s="137"/>
      <c r="FL73" s="137"/>
      <c r="FM73" s="137"/>
      <c r="FN73" s="137"/>
      <c r="FO73" s="137"/>
      <c r="FP73" s="137"/>
      <c r="FQ73" s="137"/>
      <c r="FR73" s="137"/>
      <c r="FS73" s="137"/>
      <c r="FT73" s="137"/>
      <c r="FU73" s="137"/>
      <c r="FV73" s="137"/>
      <c r="FW73" s="137"/>
      <c r="FX73" s="137"/>
      <c r="FY73" s="137"/>
      <c r="FZ73" s="137"/>
      <c r="GA73" s="137"/>
      <c r="GB73" s="137"/>
      <c r="GC73" s="137"/>
      <c r="GD73" s="137"/>
      <c r="GE73" s="137"/>
      <c r="GF73" s="137"/>
      <c r="GG73" s="137"/>
      <c r="GH73" s="137"/>
      <c r="GI73" s="137"/>
      <c r="GJ73" s="137"/>
      <c r="GK73" s="137"/>
      <c r="GL73" s="137"/>
      <c r="GM73" s="137"/>
      <c r="GN73" s="137"/>
      <c r="GO73" s="137"/>
      <c r="GP73" s="137"/>
      <c r="GQ73" s="137"/>
      <c r="GR73" s="137"/>
      <c r="GS73" s="137"/>
      <c r="GT73" s="137"/>
      <c r="GU73" s="137"/>
      <c r="GV73" s="137"/>
      <c r="GW73" s="137"/>
      <c r="GX73" s="137"/>
      <c r="GY73" s="137"/>
      <c r="GZ73" s="137"/>
      <c r="HA73" s="137"/>
      <c r="HB73" s="137"/>
      <c r="HC73" s="137"/>
      <c r="HD73" s="137"/>
      <c r="HE73" s="137"/>
      <c r="HF73" s="137"/>
      <c r="HG73" s="137"/>
      <c r="HH73" s="137"/>
      <c r="HI73" s="137"/>
      <c r="HJ73" s="137"/>
      <c r="HK73" s="137"/>
      <c r="HL73" s="137"/>
      <c r="HM73" s="137"/>
      <c r="HN73" s="137"/>
      <c r="HO73" s="137"/>
      <c r="HP73" s="137"/>
      <c r="HQ73" s="137"/>
      <c r="HR73" s="137"/>
      <c r="HS73" s="137"/>
      <c r="HT73" s="137"/>
      <c r="HU73" s="137"/>
      <c r="HV73" s="137"/>
      <c r="HW73" s="137"/>
      <c r="HX73" s="137"/>
      <c r="HY73" s="137"/>
      <c r="HZ73" s="137"/>
      <c r="IA73" s="137"/>
      <c r="IB73" s="137"/>
      <c r="IC73" s="137"/>
      <c r="ID73" s="137"/>
      <c r="IE73" s="137"/>
      <c r="IF73" s="137"/>
      <c r="IG73" s="137"/>
      <c r="IH73" s="137"/>
      <c r="II73" s="137"/>
      <c r="IJ73" s="137"/>
      <c r="IK73" s="137"/>
      <c r="IL73" s="137"/>
      <c r="IM73" s="137"/>
      <c r="IN73" s="137"/>
      <c r="IO73" s="137"/>
      <c r="IP73" s="137"/>
      <c r="IQ73" s="137"/>
      <c r="IR73" s="137"/>
      <c r="IS73" s="137"/>
      <c r="IT73" s="137"/>
      <c r="IU73" s="137"/>
      <c r="IV73" s="137"/>
      <c r="IW73" s="137"/>
      <c r="IX73" s="137"/>
      <c r="IY73" s="137"/>
      <c r="IZ73" s="137"/>
      <c r="JA73" s="137"/>
      <c r="JB73" s="137"/>
      <c r="JC73" s="137"/>
      <c r="JD73" s="137"/>
      <c r="JE73" s="137"/>
      <c r="JF73" s="137"/>
      <c r="JG73" s="137"/>
      <c r="JH73" s="137"/>
      <c r="JI73" s="137"/>
      <c r="JJ73" s="137"/>
      <c r="JK73" s="137"/>
      <c r="JL73" s="137"/>
      <c r="JM73" s="137"/>
      <c r="JN73" s="137"/>
      <c r="JO73" s="137"/>
      <c r="JP73" s="137"/>
      <c r="JQ73" s="137"/>
      <c r="JR73" s="137"/>
      <c r="JS73" s="137"/>
      <c r="JT73" s="137"/>
      <c r="JU73" s="137"/>
      <c r="JV73" s="137"/>
      <c r="JW73" s="137"/>
      <c r="JX73" s="137"/>
      <c r="JY73" s="137"/>
      <c r="JZ73" s="137"/>
      <c r="KA73" s="137"/>
      <c r="KB73" s="137"/>
      <c r="KC73" s="137"/>
      <c r="KD73" s="137"/>
      <c r="KE73" s="137"/>
      <c r="KF73" s="137"/>
      <c r="KG73" s="137"/>
      <c r="KH73" s="137"/>
      <c r="KI73" s="137"/>
      <c r="KJ73" s="137"/>
      <c r="KK73" s="137"/>
      <c r="KL73" s="137"/>
      <c r="KM73" s="137"/>
      <c r="KN73" s="137"/>
      <c r="KO73" s="137"/>
      <c r="KP73" s="137"/>
      <c r="KQ73" s="137"/>
      <c r="KR73" s="137"/>
      <c r="KS73" s="137"/>
      <c r="KT73" s="137"/>
      <c r="KU73" s="137"/>
      <c r="KV73" s="137"/>
      <c r="KW73" s="137"/>
      <c r="KX73" s="137"/>
      <c r="KY73" s="137"/>
      <c r="KZ73" s="137"/>
      <c r="LA73" s="137"/>
      <c r="LB73" s="137"/>
      <c r="LC73" s="137"/>
      <c r="LD73" s="137"/>
      <c r="LE73" s="137"/>
      <c r="LF73" s="137"/>
      <c r="LG73" s="137"/>
      <c r="LH73" s="137"/>
      <c r="LI73" s="137"/>
      <c r="LJ73" s="137"/>
      <c r="LK73" s="137"/>
      <c r="LL73" s="137"/>
      <c r="LM73" s="137"/>
      <c r="LN73" s="137"/>
      <c r="LO73" s="137"/>
      <c r="LP73" s="137"/>
      <c r="LQ73" s="137"/>
      <c r="LR73" s="137"/>
      <c r="LS73" s="137"/>
      <c r="LT73" s="137"/>
      <c r="LU73" s="137"/>
      <c r="LV73" s="137"/>
      <c r="LW73" s="137"/>
      <c r="LX73" s="137"/>
      <c r="LY73" s="137"/>
      <c r="LZ73" s="137"/>
      <c r="MA73" s="137"/>
      <c r="MB73" s="137"/>
      <c r="MC73" s="137"/>
      <c r="MD73" s="137"/>
      <c r="ME73" s="137"/>
      <c r="MF73" s="137"/>
      <c r="MG73" s="137"/>
      <c r="MH73" s="137"/>
      <c r="MI73" s="137"/>
      <c r="MJ73" s="137"/>
      <c r="MK73" s="137"/>
      <c r="ML73" s="137"/>
      <c r="MM73" s="137"/>
      <c r="MN73" s="137"/>
      <c r="MO73" s="137"/>
      <c r="MP73" s="137"/>
      <c r="MQ73" s="137"/>
      <c r="MR73" s="137"/>
      <c r="MS73" s="137"/>
      <c r="MT73" s="137"/>
      <c r="MU73" s="137"/>
      <c r="MV73" s="137"/>
      <c r="MW73" s="137"/>
      <c r="MX73" s="137"/>
      <c r="MY73" s="137"/>
      <c r="MZ73" s="137"/>
      <c r="NA73" s="137"/>
      <c r="NB73" s="137"/>
      <c r="NC73" s="137"/>
      <c r="ND73" s="137"/>
      <c r="NE73" s="137"/>
      <c r="NF73" s="137"/>
      <c r="NG73" s="137"/>
      <c r="NH73" s="137"/>
      <c r="NI73" s="137"/>
      <c r="NJ73" s="137"/>
      <c r="NK73" s="137"/>
      <c r="NL73" s="137"/>
      <c r="NM73" s="137"/>
      <c r="NN73" s="137"/>
      <c r="NO73" s="137"/>
      <c r="NP73" s="137"/>
      <c r="NQ73" s="137"/>
      <c r="NR73" s="137"/>
      <c r="NS73" s="137"/>
      <c r="NT73" s="137"/>
      <c r="NU73" s="137"/>
      <c r="NV73" s="137"/>
      <c r="NW73" s="137"/>
      <c r="NX73" s="137"/>
      <c r="NY73" s="137"/>
      <c r="NZ73" s="137"/>
      <c r="OA73" s="137"/>
      <c r="OB73" s="137"/>
      <c r="OC73" s="137"/>
      <c r="OD73" s="137"/>
      <c r="OE73" s="137"/>
      <c r="OF73" s="137"/>
      <c r="OG73" s="137"/>
      <c r="OH73" s="137"/>
      <c r="OI73" s="137"/>
      <c r="OJ73" s="137"/>
      <c r="OK73" s="137"/>
      <c r="OL73" s="137"/>
      <c r="OM73" s="137"/>
      <c r="ON73" s="137"/>
      <c r="OO73" s="137"/>
      <c r="OP73" s="137"/>
      <c r="OQ73" s="137"/>
      <c r="OR73" s="137"/>
      <c r="OS73" s="137"/>
      <c r="OT73" s="137"/>
      <c r="OU73" s="137"/>
      <c r="OV73" s="137"/>
      <c r="OW73" s="137"/>
      <c r="OX73" s="137"/>
      <c r="OY73" s="137"/>
      <c r="OZ73" s="137"/>
      <c r="PA73" s="137"/>
      <c r="PB73" s="137"/>
      <c r="PC73" s="137"/>
      <c r="PD73" s="137"/>
      <c r="PE73" s="137"/>
      <c r="PF73" s="137"/>
      <c r="PG73" s="137"/>
      <c r="PH73" s="137"/>
      <c r="PI73" s="137"/>
      <c r="PJ73" s="137"/>
      <c r="PK73" s="137"/>
      <c r="PL73" s="137"/>
      <c r="PM73" s="137"/>
      <c r="PN73" s="137"/>
      <c r="PO73" s="137"/>
      <c r="PP73" s="137"/>
      <c r="PQ73" s="137"/>
      <c r="PR73" s="137"/>
      <c r="PS73" s="137"/>
      <c r="PT73" s="137"/>
      <c r="PU73" s="137"/>
      <c r="PV73" s="137"/>
      <c r="PW73" s="137"/>
      <c r="PX73" s="137"/>
      <c r="PY73" s="137"/>
      <c r="PZ73" s="137"/>
      <c r="QA73" s="137"/>
      <c r="QB73" s="137"/>
      <c r="QC73" s="137"/>
      <c r="QD73" s="137"/>
      <c r="QE73" s="137"/>
      <c r="QF73" s="137"/>
      <c r="QG73" s="137"/>
      <c r="QH73" s="137"/>
      <c r="QI73" s="137"/>
      <c r="QJ73" s="137"/>
      <c r="QK73" s="137"/>
      <c r="QL73" s="137"/>
      <c r="QM73" s="137"/>
      <c r="QN73" s="137"/>
      <c r="QO73" s="137"/>
      <c r="QP73" s="137"/>
      <c r="QQ73" s="137"/>
      <c r="QR73" s="137"/>
      <c r="QS73" s="137"/>
      <c r="QT73" s="137"/>
      <c r="QU73" s="137"/>
      <c r="QV73" s="137"/>
      <c r="QW73" s="137"/>
      <c r="QX73" s="137"/>
      <c r="QY73" s="137"/>
      <c r="QZ73" s="137"/>
      <c r="RA73" s="137"/>
      <c r="RB73" s="137"/>
      <c r="RC73" s="137"/>
      <c r="RD73" s="137"/>
      <c r="RE73" s="137"/>
      <c r="RF73" s="137"/>
      <c r="RG73" s="137"/>
      <c r="RH73" s="137"/>
      <c r="RI73" s="137"/>
      <c r="RJ73" s="137"/>
      <c r="RK73" s="137"/>
      <c r="RL73" s="137"/>
      <c r="RM73" s="137"/>
      <c r="RN73" s="137"/>
      <c r="RO73" s="137"/>
      <c r="RP73" s="137"/>
      <c r="RQ73" s="137"/>
      <c r="RR73" s="137"/>
      <c r="RS73" s="137"/>
      <c r="RT73" s="137"/>
      <c r="RU73" s="137"/>
      <c r="RV73" s="137"/>
      <c r="RW73" s="137"/>
      <c r="RX73" s="137"/>
      <c r="RY73" s="137"/>
      <c r="RZ73" s="137"/>
      <c r="SA73" s="137"/>
      <c r="SB73" s="137"/>
      <c r="SC73" s="137"/>
      <c r="SD73" s="137"/>
      <c r="SE73" s="137"/>
      <c r="SF73" s="137"/>
      <c r="SG73" s="137"/>
      <c r="SH73" s="137"/>
      <c r="SI73" s="137"/>
      <c r="SJ73" s="137"/>
      <c r="SK73" s="137"/>
      <c r="SL73" s="137"/>
      <c r="SM73" s="137"/>
      <c r="SN73" s="137"/>
      <c r="SO73" s="137"/>
      <c r="SP73" s="137"/>
      <c r="SQ73" s="137"/>
      <c r="SR73" s="137"/>
      <c r="SS73" s="137"/>
      <c r="ST73" s="137"/>
      <c r="SU73" s="137"/>
      <c r="SV73" s="137"/>
      <c r="SW73" s="137"/>
      <c r="SX73" s="137"/>
      <c r="SY73" s="137"/>
      <c r="SZ73" s="137"/>
      <c r="TA73" s="137"/>
      <c r="TB73" s="137"/>
      <c r="TC73" s="137"/>
      <c r="TD73" s="137"/>
      <c r="TE73" s="137"/>
      <c r="TF73" s="137"/>
      <c r="TG73" s="137"/>
      <c r="TH73" s="137"/>
      <c r="TI73" s="137"/>
      <c r="TJ73" s="137"/>
      <c r="TK73" s="137"/>
      <c r="TL73" s="137"/>
      <c r="TM73" s="137"/>
      <c r="TN73" s="137"/>
      <c r="TO73" s="137"/>
      <c r="TP73" s="137"/>
      <c r="TQ73" s="137"/>
      <c r="TR73" s="137"/>
      <c r="TS73" s="137"/>
      <c r="TT73" s="137"/>
      <c r="TU73" s="137"/>
      <c r="TV73" s="137"/>
      <c r="TW73" s="137"/>
      <c r="TX73" s="137"/>
      <c r="TY73" s="137"/>
      <c r="TZ73" s="137"/>
      <c r="UA73" s="137"/>
      <c r="UB73" s="137"/>
      <c r="UC73" s="137"/>
      <c r="UD73" s="137"/>
      <c r="UE73" s="137"/>
      <c r="UF73" s="137"/>
      <c r="UG73" s="137"/>
      <c r="UH73" s="137"/>
      <c r="UI73" s="137"/>
      <c r="UJ73" s="137"/>
      <c r="UK73" s="137"/>
      <c r="UL73" s="137"/>
      <c r="UM73" s="137"/>
      <c r="UN73" s="137"/>
      <c r="UO73" s="137"/>
      <c r="UP73" s="137"/>
      <c r="UQ73" s="137"/>
      <c r="UR73" s="137"/>
      <c r="US73" s="137"/>
      <c r="UT73" s="137"/>
      <c r="UU73" s="137"/>
      <c r="UV73" s="137"/>
      <c r="UW73" s="137"/>
      <c r="UX73" s="137"/>
      <c r="UY73" s="137"/>
      <c r="UZ73" s="137"/>
      <c r="VA73" s="137"/>
      <c r="VB73" s="137"/>
      <c r="VC73" s="137"/>
      <c r="VD73" s="137"/>
      <c r="VE73" s="137"/>
      <c r="VF73" s="137"/>
      <c r="VG73" s="137"/>
      <c r="VH73" s="137"/>
      <c r="VI73" s="137"/>
      <c r="VJ73" s="137"/>
      <c r="VK73" s="137"/>
      <c r="VL73" s="137"/>
      <c r="VM73" s="137"/>
      <c r="VN73" s="137"/>
      <c r="VO73" s="137"/>
      <c r="VP73" s="137"/>
      <c r="VQ73" s="137"/>
      <c r="VR73" s="137"/>
      <c r="VS73" s="137"/>
      <c r="VT73" s="137"/>
      <c r="VU73" s="137"/>
      <c r="VV73" s="137"/>
      <c r="VW73" s="137"/>
      <c r="VX73" s="137"/>
      <c r="VY73" s="137"/>
      <c r="VZ73" s="137"/>
      <c r="WA73" s="137"/>
      <c r="WB73" s="137"/>
      <c r="WC73" s="137"/>
      <c r="WD73" s="137"/>
      <c r="WE73" s="137"/>
      <c r="WF73" s="137"/>
      <c r="WG73" s="137"/>
      <c r="WH73" s="137"/>
      <c r="WI73" s="137"/>
      <c r="WJ73" s="137"/>
      <c r="WK73" s="137"/>
      <c r="WL73" s="137"/>
      <c r="WM73" s="137"/>
      <c r="WN73" s="137"/>
      <c r="WO73" s="137"/>
      <c r="WP73" s="137"/>
      <c r="WQ73" s="137"/>
      <c r="WR73" s="137"/>
      <c r="WS73" s="137"/>
      <c r="WT73" s="137"/>
      <c r="WU73" s="137"/>
      <c r="WV73" s="137"/>
      <c r="WW73" s="137"/>
      <c r="WX73" s="137"/>
      <c r="WY73" s="137"/>
      <c r="WZ73" s="137"/>
      <c r="XA73" s="137"/>
      <c r="XB73" s="137"/>
      <c r="XC73" s="137"/>
      <c r="XD73" s="137"/>
      <c r="XE73" s="137"/>
      <c r="XF73" s="137"/>
      <c r="XG73" s="137"/>
      <c r="XH73" s="137"/>
      <c r="XI73" s="137"/>
      <c r="XJ73" s="137"/>
      <c r="XK73" s="137"/>
      <c r="XL73" s="137"/>
      <c r="XM73" s="137"/>
      <c r="XN73" s="137"/>
      <c r="XO73" s="137"/>
      <c r="XP73" s="137"/>
      <c r="XQ73" s="137"/>
      <c r="XR73" s="137"/>
      <c r="XS73" s="137"/>
      <c r="XT73" s="137"/>
      <c r="XU73" s="137"/>
      <c r="XV73" s="137"/>
      <c r="XW73" s="137"/>
      <c r="XX73" s="137"/>
      <c r="XY73" s="137"/>
      <c r="XZ73" s="137"/>
      <c r="YA73" s="137"/>
      <c r="YB73" s="137"/>
      <c r="YC73" s="137"/>
      <c r="YD73" s="137"/>
      <c r="YE73" s="137"/>
      <c r="YF73" s="137"/>
      <c r="YG73" s="137"/>
      <c r="YH73" s="137"/>
      <c r="YI73" s="137"/>
      <c r="YJ73" s="137"/>
      <c r="YK73" s="137"/>
      <c r="YL73" s="137"/>
      <c r="YM73" s="137"/>
      <c r="YN73" s="137"/>
      <c r="YO73" s="137"/>
      <c r="YP73" s="137"/>
      <c r="YQ73" s="137"/>
      <c r="YR73" s="137"/>
      <c r="YS73" s="137"/>
      <c r="YT73" s="137"/>
      <c r="YU73" s="137"/>
      <c r="YV73" s="137"/>
      <c r="YW73" s="137"/>
      <c r="YX73" s="137"/>
      <c r="YY73" s="137"/>
      <c r="YZ73" s="137"/>
      <c r="ZA73" s="137"/>
      <c r="ZB73" s="137"/>
      <c r="ZC73" s="137"/>
      <c r="ZD73" s="137"/>
      <c r="ZE73" s="137"/>
      <c r="ZF73" s="137"/>
      <c r="ZG73" s="137"/>
      <c r="ZH73" s="137"/>
      <c r="ZI73" s="137"/>
      <c r="ZJ73" s="137"/>
      <c r="ZK73" s="137"/>
      <c r="ZL73" s="137"/>
      <c r="ZM73" s="137"/>
      <c r="ZN73" s="137"/>
      <c r="ZO73" s="137"/>
      <c r="ZP73" s="137"/>
      <c r="ZQ73" s="137"/>
      <c r="ZR73" s="137"/>
      <c r="ZS73" s="137"/>
      <c r="ZT73" s="137"/>
      <c r="ZU73" s="137"/>
      <c r="ZV73" s="137"/>
      <c r="ZW73" s="137"/>
      <c r="ZX73" s="137"/>
      <c r="ZY73" s="137"/>
      <c r="ZZ73" s="137"/>
      <c r="AAA73" s="137"/>
      <c r="AAB73" s="137"/>
      <c r="AAC73" s="137"/>
      <c r="AAD73" s="137"/>
      <c r="AAE73" s="137"/>
      <c r="AAF73" s="137"/>
      <c r="AAG73" s="137"/>
      <c r="AAH73" s="137"/>
      <c r="AAI73" s="137"/>
      <c r="AAJ73" s="137"/>
      <c r="AAK73" s="137"/>
      <c r="AAL73" s="137"/>
      <c r="AAM73" s="137"/>
      <c r="AAN73" s="137"/>
      <c r="AAO73" s="137"/>
      <c r="AAP73" s="137"/>
      <c r="AAQ73" s="137"/>
      <c r="AAR73" s="137"/>
      <c r="AAS73" s="137"/>
      <c r="AAT73" s="137"/>
      <c r="AAU73" s="137"/>
      <c r="AAV73" s="137"/>
      <c r="AAW73" s="137"/>
      <c r="AAX73" s="137"/>
      <c r="AAY73" s="137"/>
      <c r="AAZ73" s="137"/>
      <c r="ABA73" s="137"/>
      <c r="ABB73" s="137"/>
      <c r="ABC73" s="137"/>
      <c r="ABD73" s="137"/>
      <c r="ABE73" s="137"/>
      <c r="ABF73" s="137"/>
      <c r="ABG73" s="137"/>
      <c r="ABH73" s="137"/>
      <c r="ABI73" s="137"/>
      <c r="ABJ73" s="137"/>
      <c r="ABK73" s="137"/>
      <c r="ABL73" s="137"/>
      <c r="ABM73" s="137"/>
      <c r="ABN73" s="137"/>
      <c r="ABO73" s="137"/>
      <c r="ABP73" s="137"/>
      <c r="ABQ73" s="137"/>
      <c r="ABR73" s="137"/>
      <c r="ABS73" s="137"/>
      <c r="ABT73" s="137"/>
      <c r="ABU73" s="137"/>
      <c r="ABV73" s="137"/>
      <c r="ABW73" s="137"/>
      <c r="ABX73" s="137"/>
      <c r="ABY73" s="137"/>
      <c r="ABZ73" s="137"/>
      <c r="ACA73" s="137"/>
      <c r="ACB73" s="137"/>
      <c r="ACC73" s="137"/>
      <c r="ACD73" s="137"/>
      <c r="ACE73" s="137"/>
      <c r="ACF73" s="137"/>
      <c r="ACG73" s="137"/>
      <c r="ACH73" s="137"/>
      <c r="ACI73" s="137"/>
      <c r="ACJ73" s="137"/>
      <c r="ACK73" s="137"/>
      <c r="ACL73" s="137"/>
      <c r="ACM73" s="137"/>
      <c r="ACN73" s="137"/>
      <c r="ACO73" s="137"/>
      <c r="ACP73" s="137"/>
      <c r="ACQ73" s="137"/>
      <c r="ACR73" s="137"/>
      <c r="ACS73" s="137"/>
      <c r="ACT73" s="137"/>
      <c r="ACU73" s="137"/>
      <c r="ACV73" s="137"/>
      <c r="ACW73" s="137"/>
      <c r="ACX73" s="137"/>
      <c r="ACY73" s="137"/>
      <c r="ACZ73" s="137"/>
      <c r="ADA73" s="137"/>
      <c r="ADB73" s="137"/>
      <c r="ADC73" s="137"/>
      <c r="ADD73" s="137"/>
      <c r="ADE73" s="137"/>
      <c r="ADF73" s="137"/>
      <c r="ADG73" s="137"/>
      <c r="ADH73" s="137"/>
      <c r="ADI73" s="137"/>
      <c r="ADJ73" s="137"/>
      <c r="ADK73" s="137"/>
      <c r="ADL73" s="137"/>
      <c r="ADM73" s="137"/>
      <c r="ADN73" s="137"/>
      <c r="ADO73" s="137"/>
      <c r="ADP73" s="137"/>
      <c r="ADQ73" s="137"/>
      <c r="ADR73" s="137"/>
      <c r="ADS73" s="137"/>
      <c r="ADT73" s="137"/>
      <c r="ADU73" s="137"/>
      <c r="ADV73" s="137"/>
      <c r="ADW73" s="137"/>
      <c r="ADX73" s="137"/>
      <c r="ADY73" s="137"/>
      <c r="ADZ73" s="137"/>
      <c r="AEA73" s="137"/>
      <c r="AEB73" s="137"/>
      <c r="AEC73" s="137"/>
      <c r="AED73" s="137"/>
      <c r="AEE73" s="137"/>
      <c r="AEF73" s="137"/>
      <c r="AEG73" s="137"/>
      <c r="AEH73" s="137"/>
      <c r="AEI73" s="137"/>
      <c r="AEJ73" s="137"/>
      <c r="AEK73" s="137"/>
      <c r="AEL73" s="137"/>
      <c r="AEM73" s="137"/>
      <c r="AEN73" s="137"/>
      <c r="AEO73" s="137"/>
      <c r="AEP73" s="137"/>
      <c r="AEQ73" s="137"/>
      <c r="AER73" s="137"/>
      <c r="AES73" s="137"/>
      <c r="AET73" s="137"/>
      <c r="AEU73" s="137"/>
      <c r="AEV73" s="137"/>
      <c r="AEW73" s="137"/>
      <c r="AEX73" s="137"/>
      <c r="AEY73" s="137"/>
      <c r="AEZ73" s="137"/>
      <c r="AFA73" s="137"/>
      <c r="AFB73" s="137"/>
      <c r="AFC73" s="137"/>
      <c r="AFD73" s="137"/>
      <c r="AFE73" s="137"/>
      <c r="AFF73" s="137"/>
      <c r="AFG73" s="137"/>
      <c r="AFH73" s="137"/>
      <c r="AFI73" s="137"/>
      <c r="AFJ73" s="137"/>
      <c r="AFK73" s="137"/>
      <c r="AFL73" s="137"/>
      <c r="AFM73" s="137"/>
      <c r="AFN73" s="137"/>
      <c r="AFO73" s="137"/>
      <c r="AFP73" s="137"/>
      <c r="AFQ73" s="137"/>
      <c r="AFR73" s="137"/>
      <c r="AFS73" s="137"/>
      <c r="AFT73" s="137"/>
      <c r="AFU73" s="137"/>
      <c r="AFV73" s="137"/>
      <c r="AFW73" s="137"/>
      <c r="AFX73" s="137"/>
      <c r="AFY73" s="137"/>
      <c r="AFZ73" s="137"/>
      <c r="AGA73" s="137"/>
      <c r="AGB73" s="137"/>
      <c r="AGC73" s="137"/>
      <c r="AGD73" s="137"/>
      <c r="AGE73" s="137"/>
      <c r="AGF73" s="137"/>
      <c r="AGG73" s="137"/>
      <c r="AGH73" s="137"/>
      <c r="AGI73" s="137"/>
      <c r="AGJ73" s="137"/>
      <c r="AGK73" s="137"/>
      <c r="AGL73" s="137"/>
      <c r="AGM73" s="137"/>
      <c r="AGN73" s="137"/>
      <c r="AGO73" s="3" t="s">
        <v>16</v>
      </c>
      <c r="AGP73" s="137" t="s">
        <v>59</v>
      </c>
    </row>
    <row r="74" spans="6:956" x14ac:dyDescent="0.3">
      <c r="F74" s="60"/>
      <c r="G74" s="65" t="s">
        <v>44</v>
      </c>
      <c r="H74" s="305"/>
      <c r="I74" s="55" t="s">
        <v>16</v>
      </c>
      <c r="J74" s="81">
        <f t="shared" ref="J74:AL74" si="31">SUM(J78:J79)*10.86</f>
        <v>0</v>
      </c>
      <c r="K74" s="81">
        <f t="shared" si="31"/>
        <v>38303.22</v>
      </c>
      <c r="L74" s="81">
        <f t="shared" si="31"/>
        <v>0</v>
      </c>
      <c r="M74" s="81">
        <f t="shared" si="31"/>
        <v>0</v>
      </c>
      <c r="N74" s="81">
        <f t="shared" si="31"/>
        <v>0</v>
      </c>
      <c r="O74" s="81">
        <f t="shared" si="31"/>
        <v>38292.36</v>
      </c>
      <c r="P74" s="81">
        <v>38289.65</v>
      </c>
      <c r="Q74" s="81">
        <f t="shared" si="31"/>
        <v>38303.22</v>
      </c>
      <c r="R74" s="81">
        <f t="shared" si="31"/>
        <v>38292.36</v>
      </c>
      <c r="S74" s="81">
        <f t="shared" si="31"/>
        <v>38281.5</v>
      </c>
      <c r="T74" s="81">
        <f t="shared" si="31"/>
        <v>0</v>
      </c>
      <c r="U74" s="81">
        <f t="shared" si="31"/>
        <v>0</v>
      </c>
      <c r="V74" s="81"/>
      <c r="W74" s="81"/>
      <c r="X74" s="81"/>
      <c r="Y74" s="81"/>
      <c r="Z74" s="81"/>
      <c r="AA74" s="81"/>
      <c r="AB74" s="81">
        <f t="shared" si="31"/>
        <v>38357.519999999997</v>
      </c>
      <c r="AC74" s="81">
        <f t="shared" si="31"/>
        <v>38335.799999999996</v>
      </c>
      <c r="AD74" s="81">
        <f t="shared" si="31"/>
        <v>0</v>
      </c>
      <c r="AE74" s="81">
        <f t="shared" si="31"/>
        <v>0</v>
      </c>
      <c r="AF74" s="81">
        <f t="shared" si="31"/>
        <v>14758.74</v>
      </c>
      <c r="AG74" s="81">
        <f t="shared" si="31"/>
        <v>0</v>
      </c>
      <c r="AH74" s="81">
        <f t="shared" si="31"/>
        <v>0</v>
      </c>
      <c r="AI74" s="81">
        <f t="shared" ref="AI74:AK74" si="32">SUM(AI78:AI79)*10.86</f>
        <v>17321.7</v>
      </c>
      <c r="AJ74" s="136">
        <f t="shared" si="32"/>
        <v>38346.659999999996</v>
      </c>
      <c r="AK74" s="81">
        <f t="shared" si="32"/>
        <v>38335.799999999996</v>
      </c>
      <c r="AL74" s="81">
        <f t="shared" si="31"/>
        <v>27486.66</v>
      </c>
      <c r="AM74" s="136">
        <f t="shared" ref="AM74" si="33">SUM(AM78:AM79)*10.86</f>
        <v>0</v>
      </c>
      <c r="AN74" s="14"/>
      <c r="AO74" s="98">
        <f>SUM(J74:AM74)</f>
        <v>442705.18999999994</v>
      </c>
      <c r="AP74" s="135"/>
      <c r="AQ74" s="104">
        <f>SUM(AO74,AO101)</f>
        <v>448037.44999999995</v>
      </c>
      <c r="CA74" s="93"/>
      <c r="CB74" s="93"/>
      <c r="DE74" s="93"/>
      <c r="EM74" s="66"/>
      <c r="EN74" s="93"/>
      <c r="EO74" s="93"/>
      <c r="EP74" s="93"/>
      <c r="EQ74" s="93"/>
      <c r="GT74" s="93"/>
      <c r="GU74" s="134">
        <f>AQ74/1000</f>
        <v>448.03744999999998</v>
      </c>
      <c r="KO74" s="93"/>
      <c r="KP74" s="93"/>
      <c r="KQ74" s="93"/>
      <c r="KR74" s="93"/>
      <c r="PV74" s="93">
        <v>4696</v>
      </c>
      <c r="PW74" s="92">
        <f>GU74/PV74*100</f>
        <v>9.5408315587734247</v>
      </c>
      <c r="PY74" s="93"/>
      <c r="QM74" s="92"/>
      <c r="QQ74" s="93"/>
      <c r="ST74" s="92"/>
      <c r="AIC74" s="5"/>
      <c r="AJR74" s="5"/>
      <c r="AJS74" s="5"/>
      <c r="AJT74" s="5"/>
    </row>
    <row r="75" spans="6:956" x14ac:dyDescent="0.3">
      <c r="F75" s="60"/>
      <c r="G75" s="65" t="s">
        <v>43</v>
      </c>
      <c r="H75" s="305"/>
      <c r="I75" s="55" t="s">
        <v>16</v>
      </c>
      <c r="J75" s="81">
        <f>J73-J74</f>
        <v>0</v>
      </c>
      <c r="K75" s="81">
        <f t="shared" ref="K75:AM75" si="34">K73-K74</f>
        <v>-12.67500000000291</v>
      </c>
      <c r="L75" s="81">
        <f t="shared" si="34"/>
        <v>400</v>
      </c>
      <c r="M75" s="81">
        <f t="shared" si="34"/>
        <v>0</v>
      </c>
      <c r="N75" s="81">
        <f t="shared" si="34"/>
        <v>0</v>
      </c>
      <c r="O75" s="81">
        <f t="shared" si="34"/>
        <v>1873.2900000000009</v>
      </c>
      <c r="P75" s="81">
        <f t="shared" si="34"/>
        <v>0</v>
      </c>
      <c r="Q75" s="81">
        <f>Q73-Q74</f>
        <v>-13.569999999999709</v>
      </c>
      <c r="R75" s="81">
        <f t="shared" si="34"/>
        <v>-5.430000000000291</v>
      </c>
      <c r="S75" s="81">
        <f t="shared" si="34"/>
        <v>7.2399999999979627</v>
      </c>
      <c r="T75" s="81">
        <f t="shared" si="34"/>
        <v>0</v>
      </c>
      <c r="U75" s="81">
        <f t="shared" si="34"/>
        <v>0</v>
      </c>
      <c r="V75" s="81">
        <f t="shared" si="34"/>
        <v>0</v>
      </c>
      <c r="W75" s="81">
        <f t="shared" si="34"/>
        <v>0</v>
      </c>
      <c r="X75" s="81">
        <f t="shared" si="34"/>
        <v>0</v>
      </c>
      <c r="Y75" s="81">
        <f t="shared" si="34"/>
        <v>0</v>
      </c>
      <c r="Z75" s="81">
        <f t="shared" si="34"/>
        <v>0</v>
      </c>
      <c r="AA75" s="81">
        <f t="shared" si="34"/>
        <v>0</v>
      </c>
      <c r="AB75" s="81">
        <f>AB73-AB74</f>
        <v>-24.430000000000291</v>
      </c>
      <c r="AC75" s="81">
        <f t="shared" si="34"/>
        <v>-47.059999999997672</v>
      </c>
      <c r="AD75" s="81">
        <f t="shared" si="34"/>
        <v>0</v>
      </c>
      <c r="AE75" s="81">
        <f t="shared" si="34"/>
        <v>0</v>
      </c>
      <c r="AF75" s="81">
        <f t="shared" si="34"/>
        <v>1.8099999999994907</v>
      </c>
      <c r="AG75" s="81">
        <f t="shared" si="34"/>
        <v>0</v>
      </c>
      <c r="AH75" s="81">
        <f t="shared" si="34"/>
        <v>0</v>
      </c>
      <c r="AI75" s="81">
        <f t="shared" si="34"/>
        <v>6.7599999999983993</v>
      </c>
      <c r="AJ75" s="81">
        <f t="shared" si="34"/>
        <v>-36.659999999996217</v>
      </c>
      <c r="AK75" s="81">
        <f t="shared" si="34"/>
        <v>-46.149999999994179</v>
      </c>
      <c r="AL75" s="81">
        <f t="shared" si="34"/>
        <v>-5.4199999999982538</v>
      </c>
      <c r="AM75" s="81">
        <f t="shared" si="34"/>
        <v>0</v>
      </c>
      <c r="AN75" s="14"/>
      <c r="AO75" s="98">
        <f>SUM(J75:AM75)</f>
        <v>2097.7050000000072</v>
      </c>
      <c r="AP75" s="134"/>
      <c r="AQ75" s="94">
        <f>AO127</f>
        <v>335773.30247999995</v>
      </c>
      <c r="CA75" s="93"/>
      <c r="CB75" s="93"/>
      <c r="DE75" s="93"/>
      <c r="EM75" s="66"/>
      <c r="EN75" s="93"/>
      <c r="EO75" s="93"/>
      <c r="EP75" s="93"/>
      <c r="EQ75" s="93"/>
      <c r="GT75" s="93"/>
      <c r="GU75" s="62">
        <f>AQ75/1000</f>
        <v>335.77330247999993</v>
      </c>
      <c r="KO75" s="93"/>
      <c r="KP75" s="93"/>
      <c r="KQ75" s="93"/>
      <c r="KR75" s="93"/>
      <c r="PV75" s="93">
        <v>565</v>
      </c>
      <c r="PW75" s="92">
        <f>GU75/PV75*100</f>
        <v>59.428903093805296</v>
      </c>
      <c r="PY75" s="93"/>
      <c r="QM75" s="92"/>
      <c r="QQ75" s="93"/>
      <c r="ST75" s="92"/>
      <c r="AIC75" s="5"/>
      <c r="AJR75" s="5"/>
      <c r="AJS75" s="5"/>
      <c r="AJT75" s="5"/>
    </row>
    <row r="76" spans="6:956" x14ac:dyDescent="0.3">
      <c r="F76" s="60"/>
      <c r="G76" s="65" t="s">
        <v>58</v>
      </c>
      <c r="H76" s="305"/>
      <c r="I76" s="60" t="s">
        <v>16</v>
      </c>
      <c r="J76" s="81">
        <v>0</v>
      </c>
      <c r="K76" s="81">
        <v>0</v>
      </c>
      <c r="L76" s="81"/>
      <c r="M76" s="81">
        <v>0</v>
      </c>
      <c r="N76" s="81">
        <v>0</v>
      </c>
      <c r="O76" s="81">
        <v>1849</v>
      </c>
      <c r="P76" s="81">
        <v>0</v>
      </c>
      <c r="Q76" s="81">
        <v>0</v>
      </c>
      <c r="R76" s="81">
        <v>0</v>
      </c>
      <c r="S76" s="81">
        <v>0</v>
      </c>
      <c r="T76" s="81">
        <v>0</v>
      </c>
      <c r="U76" s="81">
        <v>0</v>
      </c>
      <c r="V76" s="81">
        <v>0</v>
      </c>
      <c r="W76" s="81">
        <v>0</v>
      </c>
      <c r="X76" s="81">
        <v>0</v>
      </c>
      <c r="Y76" s="81">
        <v>0</v>
      </c>
      <c r="Z76" s="81">
        <v>0</v>
      </c>
      <c r="AA76" s="81">
        <v>0</v>
      </c>
      <c r="AB76" s="81">
        <v>0</v>
      </c>
      <c r="AC76" s="81">
        <v>0</v>
      </c>
      <c r="AD76" s="81">
        <v>0</v>
      </c>
      <c r="AE76" s="81">
        <v>0</v>
      </c>
      <c r="AF76" s="81">
        <v>0</v>
      </c>
      <c r="AG76" s="81">
        <v>0</v>
      </c>
      <c r="AH76" s="81">
        <v>0</v>
      </c>
      <c r="AI76" s="81">
        <v>0</v>
      </c>
      <c r="AJ76" s="81">
        <v>0</v>
      </c>
      <c r="AK76" s="81">
        <v>0</v>
      </c>
      <c r="AL76" s="81">
        <v>0</v>
      </c>
      <c r="AM76" s="81">
        <v>0</v>
      </c>
      <c r="AN76" s="14"/>
      <c r="AO76" s="98">
        <f>SUM(J76:AM76)</f>
        <v>1849</v>
      </c>
      <c r="AQ76" s="94"/>
      <c r="CA76" s="93"/>
      <c r="CB76" s="93"/>
      <c r="DE76" s="93"/>
      <c r="EM76" s="66"/>
      <c r="EN76" s="93"/>
      <c r="EO76" s="93"/>
      <c r="EP76" s="93"/>
      <c r="EQ76" s="93"/>
      <c r="GT76" s="93"/>
      <c r="KO76" s="93"/>
      <c r="KP76" s="93"/>
      <c r="KQ76" s="93"/>
      <c r="KR76" s="93"/>
      <c r="PV76" s="93"/>
      <c r="PW76" s="93"/>
      <c r="PY76" s="93"/>
      <c r="QM76" s="92"/>
      <c r="QQ76" s="93"/>
      <c r="ST76" s="92"/>
      <c r="AIC76" s="5"/>
      <c r="AJR76" s="5"/>
      <c r="AJS76" s="5"/>
      <c r="AJT76" s="5"/>
    </row>
    <row r="77" spans="6:956" x14ac:dyDescent="0.3">
      <c r="F77" s="60"/>
      <c r="G77" s="65" t="s">
        <v>33</v>
      </c>
      <c r="H77" s="305"/>
      <c r="I77" s="60"/>
      <c r="J77" s="15"/>
      <c r="K77" s="15"/>
      <c r="L77" s="15"/>
      <c r="M77" s="15"/>
      <c r="N77" s="15"/>
      <c r="O77" s="15"/>
      <c r="P77" s="15"/>
      <c r="Q77" s="15"/>
      <c r="R77" s="15"/>
      <c r="S77" s="15"/>
      <c r="T77" s="15"/>
      <c r="U77" s="15"/>
      <c r="V77" s="15"/>
      <c r="W77" s="15"/>
      <c r="X77" s="15"/>
      <c r="Y77" s="15"/>
      <c r="Z77" s="15"/>
      <c r="AA77" s="15"/>
      <c r="AB77" s="15"/>
      <c r="AC77" s="15"/>
      <c r="AD77" s="15"/>
      <c r="AE77" s="15"/>
      <c r="AF77" s="15"/>
      <c r="AG77" s="15"/>
      <c r="AH77" s="15"/>
      <c r="AI77" s="15"/>
      <c r="AJ77" s="15"/>
      <c r="AK77" s="15"/>
      <c r="AL77" s="15"/>
      <c r="AM77" s="15"/>
      <c r="AN77" s="14"/>
      <c r="AO77" s="100" t="s">
        <v>33</v>
      </c>
      <c r="AQ77" s="94">
        <f>12764.12+25546.34</f>
        <v>38310.46</v>
      </c>
      <c r="CA77" s="93"/>
      <c r="CB77" s="93"/>
      <c r="DE77" s="93"/>
      <c r="EM77" s="66"/>
      <c r="EN77" s="93"/>
      <c r="EO77" s="93"/>
      <c r="EP77" s="93"/>
      <c r="EQ77" s="93"/>
      <c r="GT77" s="93"/>
      <c r="KO77" s="93"/>
      <c r="KP77" s="93"/>
      <c r="KQ77" s="93"/>
      <c r="KR77" s="93"/>
      <c r="PV77" s="93"/>
      <c r="PW77" s="93"/>
      <c r="PY77" s="93"/>
      <c r="QM77" s="92"/>
      <c r="QQ77" s="93"/>
      <c r="ST77" s="92"/>
      <c r="AIC77" s="5"/>
      <c r="AJR77" s="5"/>
      <c r="AJS77" s="5"/>
      <c r="AJT77" s="5"/>
    </row>
    <row r="78" spans="6:956" x14ac:dyDescent="0.3">
      <c r="F78" s="36"/>
      <c r="G78" s="35" t="s">
        <v>57</v>
      </c>
      <c r="H78" s="298"/>
      <c r="I78" s="34" t="s">
        <v>36</v>
      </c>
      <c r="J78" s="61">
        <v>0</v>
      </c>
      <c r="K78" s="61">
        <v>1177</v>
      </c>
      <c r="L78" s="61">
        <v>0</v>
      </c>
      <c r="M78" s="61">
        <v>0</v>
      </c>
      <c r="N78" s="61">
        <v>0</v>
      </c>
      <c r="O78" s="61">
        <v>1176</v>
      </c>
      <c r="P78" s="61">
        <v>1175</v>
      </c>
      <c r="Q78" s="61">
        <v>1175</v>
      </c>
      <c r="R78" s="61">
        <v>1176</v>
      </c>
      <c r="S78" s="61">
        <v>1175</v>
      </c>
      <c r="T78" s="61">
        <v>0</v>
      </c>
      <c r="U78" s="61">
        <v>0</v>
      </c>
      <c r="V78" s="61"/>
      <c r="W78" s="61"/>
      <c r="X78" s="61"/>
      <c r="Y78" s="61"/>
      <c r="Z78" s="61"/>
      <c r="AA78" s="61"/>
      <c r="AB78" s="61">
        <v>1177</v>
      </c>
      <c r="AC78" s="61">
        <v>1178</v>
      </c>
      <c r="AD78" s="61"/>
      <c r="AE78" s="61"/>
      <c r="AF78" s="61">
        <v>359</v>
      </c>
      <c r="AG78" s="61"/>
      <c r="AH78" s="61"/>
      <c r="AI78" s="61">
        <v>495</v>
      </c>
      <c r="AJ78" s="61">
        <v>1178</v>
      </c>
      <c r="AK78" s="61">
        <v>1179</v>
      </c>
      <c r="AL78" s="61">
        <v>880</v>
      </c>
      <c r="AM78" s="61"/>
      <c r="AN78" s="109"/>
      <c r="AO78" s="58">
        <f>SUM(J78:AM78)</f>
        <v>13500</v>
      </c>
      <c r="AQ78" s="133"/>
      <c r="CA78" s="106"/>
      <c r="CB78" s="106"/>
      <c r="DE78" s="106"/>
      <c r="EM78" s="30"/>
      <c r="EN78" s="106"/>
      <c r="EO78" s="106"/>
      <c r="EP78" s="106"/>
      <c r="EQ78" s="106"/>
      <c r="GT78" s="106"/>
      <c r="KO78" s="106"/>
      <c r="KP78" s="106"/>
      <c r="KQ78" s="106"/>
      <c r="KR78" s="106"/>
      <c r="PV78" s="106"/>
      <c r="PW78" s="106"/>
      <c r="PY78" s="106"/>
      <c r="QM78" s="105"/>
      <c r="QQ78" s="106"/>
      <c r="ST78" s="105"/>
      <c r="AIC78" s="28"/>
      <c r="AJR78" s="28"/>
      <c r="AJS78" s="28"/>
      <c r="AJT78" s="28"/>
    </row>
    <row r="79" spans="6:956" x14ac:dyDescent="0.3">
      <c r="F79" s="36"/>
      <c r="G79" s="35" t="s">
        <v>56</v>
      </c>
      <c r="H79" s="298"/>
      <c r="I79" s="34" t="s">
        <v>36</v>
      </c>
      <c r="J79" s="61">
        <v>0</v>
      </c>
      <c r="K79" s="61">
        <v>2350</v>
      </c>
      <c r="L79" s="61">
        <v>0</v>
      </c>
      <c r="M79" s="61">
        <v>0</v>
      </c>
      <c r="N79" s="61">
        <v>0</v>
      </c>
      <c r="O79" s="61">
        <v>2350</v>
      </c>
      <c r="P79" s="61">
        <v>2350</v>
      </c>
      <c r="Q79" s="61">
        <v>2352</v>
      </c>
      <c r="R79" s="61">
        <v>2350</v>
      </c>
      <c r="S79" s="61">
        <v>2350</v>
      </c>
      <c r="T79" s="61">
        <v>0</v>
      </c>
      <c r="U79" s="61">
        <v>0</v>
      </c>
      <c r="V79" s="61"/>
      <c r="W79" s="61"/>
      <c r="X79" s="61"/>
      <c r="Y79" s="61"/>
      <c r="Z79" s="61"/>
      <c r="AA79" s="61"/>
      <c r="AB79" s="61">
        <v>2355</v>
      </c>
      <c r="AC79" s="61">
        <v>2352</v>
      </c>
      <c r="AD79" s="61"/>
      <c r="AE79" s="61"/>
      <c r="AF79" s="61">
        <v>1000</v>
      </c>
      <c r="AG79" s="61"/>
      <c r="AH79" s="61"/>
      <c r="AI79" s="61">
        <v>1100</v>
      </c>
      <c r="AJ79" s="61">
        <v>2353</v>
      </c>
      <c r="AK79" s="61">
        <v>2351</v>
      </c>
      <c r="AL79" s="61">
        <v>1651</v>
      </c>
      <c r="AM79" s="61"/>
      <c r="AN79" s="109"/>
      <c r="AO79" s="58">
        <f>SUM(J79:AM79)</f>
        <v>27264</v>
      </c>
      <c r="AQ79" s="107"/>
      <c r="CA79" s="106"/>
      <c r="CB79" s="106"/>
      <c r="DE79" s="106"/>
      <c r="EM79" s="30"/>
      <c r="EN79" s="106"/>
      <c r="EO79" s="106"/>
      <c r="EP79" s="106"/>
      <c r="EQ79" s="106"/>
      <c r="GT79" s="106"/>
      <c r="KO79" s="106"/>
      <c r="KP79" s="106"/>
      <c r="KQ79" s="106"/>
      <c r="KR79" s="106"/>
      <c r="PV79" s="106"/>
      <c r="PW79" s="106"/>
      <c r="PY79" s="106"/>
      <c r="QM79" s="105"/>
      <c r="QQ79" s="106"/>
      <c r="ST79" s="105"/>
      <c r="AIC79" s="28"/>
      <c r="AJR79" s="28"/>
      <c r="AJS79" s="28"/>
      <c r="AJT79" s="28"/>
    </row>
    <row r="80" spans="6:956" x14ac:dyDescent="0.3">
      <c r="F80" s="60"/>
      <c r="G80" s="65" t="s">
        <v>32</v>
      </c>
      <c r="H80" s="305"/>
      <c r="I80" s="60"/>
      <c r="J80" s="15"/>
      <c r="K80" s="15"/>
      <c r="L80" s="15"/>
      <c r="M80" s="15"/>
      <c r="N80" s="15"/>
      <c r="O80" s="15"/>
      <c r="P80" s="15"/>
      <c r="Q80" s="15"/>
      <c r="R80" s="15"/>
      <c r="S80" s="15"/>
      <c r="T80" s="15"/>
      <c r="U80" s="15"/>
      <c r="V80" s="15"/>
      <c r="W80" s="15"/>
      <c r="X80" s="15"/>
      <c r="Y80" s="15"/>
      <c r="Z80" s="15"/>
      <c r="AA80" s="15"/>
      <c r="AB80" s="15"/>
      <c r="AC80" s="15"/>
      <c r="AD80" s="15"/>
      <c r="AE80" s="15"/>
      <c r="AF80" s="15"/>
      <c r="AG80" s="15"/>
      <c r="AH80" s="15"/>
      <c r="AI80" s="15"/>
      <c r="AJ80" s="15"/>
      <c r="AK80" s="15"/>
      <c r="AL80" s="15"/>
      <c r="AM80" s="15"/>
      <c r="AN80" s="14"/>
      <c r="AO80" s="100" t="s">
        <v>32</v>
      </c>
      <c r="AQ80" s="94"/>
      <c r="CA80" s="93"/>
      <c r="CB80" s="93"/>
      <c r="DE80" s="93"/>
      <c r="EM80" s="66"/>
      <c r="EN80" s="93"/>
      <c r="EO80" s="93"/>
      <c r="EP80" s="93"/>
      <c r="EQ80" s="93"/>
      <c r="GT80" s="93"/>
      <c r="KO80" s="93"/>
      <c r="KP80" s="93"/>
      <c r="KQ80" s="93"/>
      <c r="KR80" s="93"/>
      <c r="PV80" s="93"/>
      <c r="PW80" s="93"/>
      <c r="PY80" s="93"/>
      <c r="QM80" s="92"/>
      <c r="QQ80" s="93"/>
      <c r="ST80" s="92"/>
      <c r="AIC80" s="5"/>
      <c r="AJR80" s="5"/>
      <c r="AJS80" s="5"/>
      <c r="AJT80" s="5"/>
    </row>
    <row r="81" spans="6:956" x14ac:dyDescent="0.3">
      <c r="F81" s="60"/>
      <c r="G81" s="59" t="s">
        <v>57</v>
      </c>
      <c r="H81" s="305"/>
      <c r="I81" s="55" t="s">
        <v>32</v>
      </c>
      <c r="J81" s="15">
        <f t="shared" ref="J81:AM81" si="35">J78*12</f>
        <v>0</v>
      </c>
      <c r="K81" s="15">
        <f t="shared" si="35"/>
        <v>14124</v>
      </c>
      <c r="L81" s="15">
        <f t="shared" si="35"/>
        <v>0</v>
      </c>
      <c r="M81" s="15">
        <f t="shared" si="35"/>
        <v>0</v>
      </c>
      <c r="N81" s="15">
        <f t="shared" si="35"/>
        <v>0</v>
      </c>
      <c r="O81" s="15">
        <f t="shared" si="35"/>
        <v>14112</v>
      </c>
      <c r="P81" s="15">
        <f t="shared" si="35"/>
        <v>14100</v>
      </c>
      <c r="Q81" s="15">
        <f t="shared" si="35"/>
        <v>14100</v>
      </c>
      <c r="R81" s="15">
        <f t="shared" si="35"/>
        <v>14112</v>
      </c>
      <c r="S81" s="15">
        <f t="shared" si="35"/>
        <v>14100</v>
      </c>
      <c r="T81" s="15">
        <f t="shared" si="35"/>
        <v>0</v>
      </c>
      <c r="U81" s="15">
        <f t="shared" si="35"/>
        <v>0</v>
      </c>
      <c r="V81" s="15">
        <f t="shared" si="35"/>
        <v>0</v>
      </c>
      <c r="W81" s="15">
        <f t="shared" si="35"/>
        <v>0</v>
      </c>
      <c r="X81" s="15">
        <f t="shared" si="35"/>
        <v>0</v>
      </c>
      <c r="Y81" s="15">
        <f t="shared" si="35"/>
        <v>0</v>
      </c>
      <c r="Z81" s="15">
        <f t="shared" si="35"/>
        <v>0</v>
      </c>
      <c r="AA81" s="15">
        <f t="shared" si="35"/>
        <v>0</v>
      </c>
      <c r="AB81" s="15">
        <f t="shared" si="35"/>
        <v>14124</v>
      </c>
      <c r="AC81" s="15">
        <f t="shared" si="35"/>
        <v>14136</v>
      </c>
      <c r="AD81" s="15">
        <f t="shared" si="35"/>
        <v>0</v>
      </c>
      <c r="AE81" s="15">
        <f t="shared" si="35"/>
        <v>0</v>
      </c>
      <c r="AF81" s="15">
        <f t="shared" si="35"/>
        <v>4308</v>
      </c>
      <c r="AG81" s="15">
        <f t="shared" si="35"/>
        <v>0</v>
      </c>
      <c r="AH81" s="15">
        <f t="shared" si="35"/>
        <v>0</v>
      </c>
      <c r="AI81" s="15">
        <f t="shared" si="35"/>
        <v>5940</v>
      </c>
      <c r="AJ81" s="15">
        <f t="shared" si="35"/>
        <v>14136</v>
      </c>
      <c r="AK81" s="15">
        <f t="shared" si="35"/>
        <v>14148</v>
      </c>
      <c r="AL81" s="15">
        <f t="shared" si="35"/>
        <v>10560</v>
      </c>
      <c r="AM81" s="15">
        <f t="shared" si="35"/>
        <v>0</v>
      </c>
      <c r="AN81" s="14"/>
      <c r="AO81" s="58">
        <f>AO78*12</f>
        <v>162000</v>
      </c>
      <c r="AQ81" s="94">
        <f>SUM(AO73+AO100+AO126+AO174)</f>
        <v>793736.02500000002</v>
      </c>
      <c r="CA81" s="93"/>
      <c r="CB81" s="93"/>
      <c r="DE81" s="93"/>
      <c r="EM81" s="66"/>
      <c r="EN81" s="93"/>
      <c r="EO81" s="93"/>
      <c r="EP81" s="93"/>
      <c r="EQ81" s="93"/>
      <c r="GT81" s="93"/>
      <c r="KO81" s="93"/>
      <c r="KP81" s="93"/>
      <c r="KQ81" s="93"/>
      <c r="KR81" s="93"/>
      <c r="PV81" s="93"/>
      <c r="PW81" s="93"/>
      <c r="PY81" s="93"/>
      <c r="QM81" s="92"/>
      <c r="QQ81" s="93"/>
      <c r="ST81" s="92"/>
      <c r="AIC81" s="5"/>
      <c r="AJR81" s="5"/>
      <c r="AJS81" s="5"/>
      <c r="AJT81" s="5"/>
    </row>
    <row r="82" spans="6:956" x14ac:dyDescent="0.3">
      <c r="F82" s="60"/>
      <c r="G82" s="59" t="s">
        <v>56</v>
      </c>
      <c r="H82" s="305"/>
      <c r="I82" s="55" t="s">
        <v>32</v>
      </c>
      <c r="J82" s="15">
        <f t="shared" ref="J82:AM82" si="36">J79*6</f>
        <v>0</v>
      </c>
      <c r="K82" s="15">
        <f t="shared" si="36"/>
        <v>14100</v>
      </c>
      <c r="L82" s="15">
        <v>0</v>
      </c>
      <c r="M82" s="15">
        <f t="shared" si="36"/>
        <v>0</v>
      </c>
      <c r="N82" s="15">
        <f t="shared" si="36"/>
        <v>0</v>
      </c>
      <c r="O82" s="15">
        <f t="shared" si="36"/>
        <v>14100</v>
      </c>
      <c r="P82" s="15">
        <f t="shared" si="36"/>
        <v>14100</v>
      </c>
      <c r="Q82" s="15">
        <f t="shared" si="36"/>
        <v>14112</v>
      </c>
      <c r="R82" s="15">
        <f t="shared" si="36"/>
        <v>14100</v>
      </c>
      <c r="S82" s="15">
        <f t="shared" si="36"/>
        <v>14100</v>
      </c>
      <c r="T82" s="15">
        <f t="shared" si="36"/>
        <v>0</v>
      </c>
      <c r="U82" s="15">
        <f t="shared" si="36"/>
        <v>0</v>
      </c>
      <c r="V82" s="15">
        <f t="shared" si="36"/>
        <v>0</v>
      </c>
      <c r="W82" s="15">
        <f t="shared" si="36"/>
        <v>0</v>
      </c>
      <c r="X82" s="15">
        <f t="shared" si="36"/>
        <v>0</v>
      </c>
      <c r="Y82" s="15">
        <f t="shared" si="36"/>
        <v>0</v>
      </c>
      <c r="Z82" s="15">
        <f t="shared" si="36"/>
        <v>0</v>
      </c>
      <c r="AA82" s="15">
        <f t="shared" si="36"/>
        <v>0</v>
      </c>
      <c r="AB82" s="15">
        <f t="shared" si="36"/>
        <v>14130</v>
      </c>
      <c r="AC82" s="15">
        <f t="shared" si="36"/>
        <v>14112</v>
      </c>
      <c r="AD82" s="15">
        <f t="shared" si="36"/>
        <v>0</v>
      </c>
      <c r="AE82" s="15">
        <f t="shared" si="36"/>
        <v>0</v>
      </c>
      <c r="AF82" s="15">
        <f t="shared" si="36"/>
        <v>6000</v>
      </c>
      <c r="AG82" s="15">
        <v>0</v>
      </c>
      <c r="AH82" s="15">
        <f t="shared" si="36"/>
        <v>0</v>
      </c>
      <c r="AI82" s="15">
        <f t="shared" si="36"/>
        <v>6600</v>
      </c>
      <c r="AJ82" s="15">
        <f t="shared" si="36"/>
        <v>14118</v>
      </c>
      <c r="AK82" s="15">
        <f t="shared" si="36"/>
        <v>14106</v>
      </c>
      <c r="AL82" s="15">
        <f t="shared" si="36"/>
        <v>9906</v>
      </c>
      <c r="AM82" s="15">
        <f t="shared" si="36"/>
        <v>0</v>
      </c>
      <c r="AN82" s="14"/>
      <c r="AO82" s="58">
        <f>AO79*6</f>
        <v>163584</v>
      </c>
      <c r="AQ82" s="94"/>
      <c r="CA82" s="93"/>
      <c r="CB82" s="93"/>
      <c r="DE82" s="93"/>
      <c r="EM82" s="66"/>
      <c r="EN82" s="93"/>
      <c r="EO82" s="93"/>
      <c r="EP82" s="93"/>
      <c r="EQ82" s="93"/>
      <c r="GT82" s="93"/>
      <c r="KO82" s="93"/>
      <c r="KP82" s="93"/>
      <c r="KQ82" s="93"/>
      <c r="KR82" s="93"/>
      <c r="PV82" s="93"/>
      <c r="PW82" s="93"/>
      <c r="PY82" s="93"/>
      <c r="QM82" s="92"/>
      <c r="QQ82" s="93"/>
      <c r="ST82" s="92"/>
      <c r="AIC82" s="5"/>
      <c r="AJR82" s="5"/>
      <c r="AJS82" s="5"/>
      <c r="AJT82" s="5"/>
    </row>
    <row r="83" spans="6:956" x14ac:dyDescent="0.3">
      <c r="F83" s="60"/>
      <c r="G83" s="65" t="s">
        <v>41</v>
      </c>
      <c r="H83" s="305"/>
      <c r="I83" s="55" t="s">
        <v>40</v>
      </c>
      <c r="J83" s="131">
        <f>(J73*45)/1700</f>
        <v>0</v>
      </c>
      <c r="K83" s="132">
        <f>(K73*45)/1700</f>
        <v>1013.5732499999999</v>
      </c>
      <c r="L83" s="132">
        <f t="shared" ref="L83:AM83" si="37">(L73*45)/1700</f>
        <v>10.588235294117647</v>
      </c>
      <c r="M83" s="132">
        <f t="shared" si="37"/>
        <v>0</v>
      </c>
      <c r="N83" s="132">
        <f t="shared" si="37"/>
        <v>0</v>
      </c>
      <c r="O83" s="132">
        <f t="shared" si="37"/>
        <v>1063.2083823529413</v>
      </c>
      <c r="P83" s="132">
        <f t="shared" si="37"/>
        <v>1013.5495588235294</v>
      </c>
      <c r="Q83" s="132">
        <f t="shared" si="37"/>
        <v>1013.5495588235294</v>
      </c>
      <c r="R83" s="132">
        <f t="shared" si="37"/>
        <v>1013.4775588235294</v>
      </c>
      <c r="S83" s="132">
        <f t="shared" si="37"/>
        <v>1013.5254705882352</v>
      </c>
      <c r="T83" s="131">
        <f t="shared" si="37"/>
        <v>0</v>
      </c>
      <c r="U83" s="131">
        <f t="shared" si="37"/>
        <v>0</v>
      </c>
      <c r="V83" s="131">
        <f t="shared" si="37"/>
        <v>0</v>
      </c>
      <c r="W83" s="131">
        <f t="shared" si="37"/>
        <v>0</v>
      </c>
      <c r="X83" s="131">
        <f t="shared" si="37"/>
        <v>0</v>
      </c>
      <c r="Y83" s="131">
        <f t="shared" si="37"/>
        <v>0</v>
      </c>
      <c r="Z83" s="131">
        <f t="shared" si="37"/>
        <v>0</v>
      </c>
      <c r="AA83" s="131">
        <f t="shared" si="37"/>
        <v>0</v>
      </c>
      <c r="AB83" s="131">
        <f t="shared" si="37"/>
        <v>1014.6994411764705</v>
      </c>
      <c r="AC83" s="131">
        <f t="shared" si="37"/>
        <v>1013.5254705882352</v>
      </c>
      <c r="AD83" s="131">
        <f t="shared" si="37"/>
        <v>0</v>
      </c>
      <c r="AE83" s="131">
        <f t="shared" si="37"/>
        <v>0</v>
      </c>
      <c r="AF83" s="131">
        <f t="shared" si="37"/>
        <v>390.72044117647062</v>
      </c>
      <c r="AG83" s="131">
        <f t="shared" si="37"/>
        <v>0</v>
      </c>
      <c r="AH83" s="131">
        <f t="shared" si="37"/>
        <v>0</v>
      </c>
      <c r="AI83" s="131">
        <f t="shared" si="37"/>
        <v>458.69452941176468</v>
      </c>
      <c r="AJ83" s="131">
        <f t="shared" si="37"/>
        <v>1014.0882352941177</v>
      </c>
      <c r="AK83" s="131">
        <f t="shared" si="37"/>
        <v>1013.5495588235294</v>
      </c>
      <c r="AL83" s="131">
        <f t="shared" si="37"/>
        <v>727.44458823529419</v>
      </c>
      <c r="AM83" s="131">
        <f t="shared" si="37"/>
        <v>0</v>
      </c>
      <c r="AN83" s="14"/>
      <c r="AO83" s="58">
        <f>SUM(J83:AM83)</f>
        <v>11774.194279411766</v>
      </c>
      <c r="AQ83" s="94"/>
      <c r="CA83" s="93"/>
      <c r="CB83" s="93"/>
      <c r="DE83" s="93"/>
      <c r="EM83" s="66"/>
      <c r="EN83" s="93"/>
      <c r="EO83" s="93"/>
      <c r="EP83" s="93"/>
      <c r="EQ83" s="93"/>
      <c r="GT83" s="93"/>
      <c r="KO83" s="93"/>
      <c r="KP83" s="93"/>
      <c r="KQ83" s="93"/>
      <c r="KR83" s="93"/>
      <c r="PV83" s="93"/>
      <c r="PW83" s="93"/>
      <c r="PY83" s="93"/>
      <c r="QM83" s="92"/>
      <c r="QQ83" s="93"/>
      <c r="ST83" s="92"/>
      <c r="AIC83" s="5"/>
      <c r="AJR83" s="5"/>
      <c r="AJS83" s="5"/>
      <c r="AJT83" s="5"/>
    </row>
    <row r="84" spans="6:956" x14ac:dyDescent="0.3">
      <c r="F84" s="60"/>
      <c r="G84" s="65" t="s">
        <v>39</v>
      </c>
      <c r="H84" s="305"/>
      <c r="I84" s="55" t="s">
        <v>38</v>
      </c>
      <c r="J84" s="15">
        <f t="shared" ref="J84:AL84" si="38">SUM(J78:J79)/500</f>
        <v>0</v>
      </c>
      <c r="K84" s="15">
        <f t="shared" si="38"/>
        <v>7.0540000000000003</v>
      </c>
      <c r="L84" s="15">
        <f t="shared" si="38"/>
        <v>0</v>
      </c>
      <c r="M84" s="15">
        <f t="shared" si="38"/>
        <v>0</v>
      </c>
      <c r="N84" s="15">
        <f t="shared" si="38"/>
        <v>0</v>
      </c>
      <c r="O84" s="15">
        <f t="shared" si="38"/>
        <v>7.0519999999999996</v>
      </c>
      <c r="P84" s="15">
        <f t="shared" si="38"/>
        <v>7.05</v>
      </c>
      <c r="Q84" s="15">
        <f t="shared" si="38"/>
        <v>7.0540000000000003</v>
      </c>
      <c r="R84" s="15">
        <f t="shared" si="38"/>
        <v>7.0519999999999996</v>
      </c>
      <c r="S84" s="15">
        <f t="shared" si="38"/>
        <v>7.05</v>
      </c>
      <c r="T84" s="15">
        <f t="shared" si="38"/>
        <v>0</v>
      </c>
      <c r="U84" s="15">
        <f t="shared" si="38"/>
        <v>0</v>
      </c>
      <c r="V84" s="15">
        <f t="shared" si="38"/>
        <v>0</v>
      </c>
      <c r="W84" s="15">
        <f t="shared" si="38"/>
        <v>0</v>
      </c>
      <c r="X84" s="15">
        <f t="shared" si="38"/>
        <v>0</v>
      </c>
      <c r="Y84" s="15">
        <f t="shared" si="38"/>
        <v>0</v>
      </c>
      <c r="Z84" s="15">
        <f t="shared" si="38"/>
        <v>0</v>
      </c>
      <c r="AA84" s="15">
        <f t="shared" si="38"/>
        <v>0</v>
      </c>
      <c r="AB84" s="15">
        <f t="shared" si="38"/>
        <v>7.0640000000000001</v>
      </c>
      <c r="AC84" s="15">
        <f t="shared" si="38"/>
        <v>7.06</v>
      </c>
      <c r="AD84" s="15">
        <f t="shared" ref="AD84:AE84" si="39">SUM(AD78:AD79)/500</f>
        <v>0</v>
      </c>
      <c r="AE84" s="15">
        <f t="shared" si="39"/>
        <v>0</v>
      </c>
      <c r="AF84" s="15">
        <f t="shared" si="38"/>
        <v>2.718</v>
      </c>
      <c r="AG84" s="15">
        <f t="shared" si="38"/>
        <v>0</v>
      </c>
      <c r="AH84" s="15">
        <f t="shared" si="38"/>
        <v>0</v>
      </c>
      <c r="AI84" s="15">
        <f t="shared" ref="AI84:AK84" si="40">SUM(AI78:AI79)/500</f>
        <v>3.19</v>
      </c>
      <c r="AJ84" s="15">
        <f t="shared" si="40"/>
        <v>7.0620000000000003</v>
      </c>
      <c r="AK84" s="15">
        <f t="shared" si="40"/>
        <v>7.06</v>
      </c>
      <c r="AL84" s="15">
        <f t="shared" si="38"/>
        <v>5.0620000000000003</v>
      </c>
      <c r="AM84" s="15">
        <f t="shared" ref="AM84" si="41">SUM(AM78:AM79)/500</f>
        <v>0</v>
      </c>
      <c r="AN84" s="14"/>
      <c r="AO84" s="58">
        <f>SUM(J84:AM84)</f>
        <v>81.527999999999992</v>
      </c>
      <c r="AQ84" s="94"/>
      <c r="CA84" s="93"/>
      <c r="CB84" s="93"/>
      <c r="DE84" s="93"/>
      <c r="EM84" s="66"/>
      <c r="EN84" s="93"/>
      <c r="EO84" s="93"/>
      <c r="EP84" s="93"/>
      <c r="EQ84" s="93"/>
      <c r="GT84" s="93"/>
      <c r="KO84" s="93"/>
      <c r="KP84" s="93"/>
      <c r="KQ84" s="93"/>
      <c r="KR84" s="93"/>
      <c r="PV84" s="93"/>
      <c r="PW84" s="93"/>
      <c r="PY84" s="93"/>
      <c r="QM84" s="92"/>
      <c r="QQ84" s="93"/>
      <c r="ST84" s="92"/>
      <c r="AIC84" s="5"/>
      <c r="AJR84" s="5"/>
      <c r="AJS84" s="5"/>
      <c r="AJT84" s="5"/>
    </row>
    <row r="85" spans="6:956" x14ac:dyDescent="0.3">
      <c r="F85" s="57"/>
      <c r="G85" s="103" t="s">
        <v>37</v>
      </c>
      <c r="H85" s="97"/>
      <c r="I85" s="97"/>
      <c r="J85" s="24"/>
      <c r="K85" s="24"/>
      <c r="L85" s="24"/>
      <c r="M85" s="24"/>
      <c r="N85" s="24"/>
      <c r="O85" s="24"/>
      <c r="P85" s="24"/>
      <c r="Q85" s="24"/>
      <c r="R85" s="24"/>
      <c r="S85" s="24"/>
      <c r="T85" s="24"/>
      <c r="U85" s="24"/>
      <c r="V85" s="24"/>
      <c r="W85" s="24"/>
      <c r="X85" s="24"/>
      <c r="Y85" s="24"/>
      <c r="Z85" s="24"/>
      <c r="AA85" s="24"/>
      <c r="AB85" s="24"/>
      <c r="AC85" s="24"/>
      <c r="AD85" s="24"/>
      <c r="AE85" s="24"/>
      <c r="AF85" s="24"/>
      <c r="AG85" s="102"/>
      <c r="AH85" s="24"/>
      <c r="AI85" s="24"/>
      <c r="AJ85" s="24"/>
      <c r="AK85" s="24"/>
      <c r="AL85" s="24"/>
      <c r="AM85" s="24"/>
      <c r="AN85" s="67"/>
      <c r="AO85" s="101" t="s">
        <v>34</v>
      </c>
    </row>
    <row r="86" spans="6:956" x14ac:dyDescent="0.3">
      <c r="F86" s="60"/>
      <c r="G86" s="65" t="s">
        <v>33</v>
      </c>
      <c r="H86" s="305"/>
      <c r="I86" s="60"/>
      <c r="J86" s="15"/>
      <c r="K86" s="15"/>
      <c r="L86" s="15"/>
      <c r="M86" s="15"/>
      <c r="N86" s="15"/>
      <c r="O86" s="15"/>
      <c r="P86" s="15"/>
      <c r="Q86" s="15"/>
      <c r="R86" s="15"/>
      <c r="S86" s="15"/>
      <c r="T86" s="15"/>
      <c r="U86" s="15"/>
      <c r="V86" s="15"/>
      <c r="W86" s="15"/>
      <c r="X86" s="15"/>
      <c r="Y86" s="15"/>
      <c r="Z86" s="15"/>
      <c r="AA86" s="15"/>
      <c r="AB86" s="15"/>
      <c r="AC86" s="15"/>
      <c r="AD86" s="15"/>
      <c r="AE86" s="15"/>
      <c r="AF86" s="15"/>
      <c r="AG86" s="15"/>
      <c r="AH86" s="15"/>
      <c r="AI86" s="15"/>
      <c r="AJ86" s="15"/>
      <c r="AK86" s="15"/>
      <c r="AL86" s="15"/>
      <c r="AM86" s="15"/>
      <c r="AN86" s="14"/>
      <c r="AO86" s="100" t="s">
        <v>33</v>
      </c>
      <c r="AQ86" s="94"/>
      <c r="CA86" s="93"/>
      <c r="CB86" s="93"/>
      <c r="DE86" s="93"/>
      <c r="EM86" s="66"/>
      <c r="EN86" s="93"/>
      <c r="EO86" s="93"/>
      <c r="EP86" s="93"/>
      <c r="EQ86" s="93"/>
      <c r="GT86" s="93"/>
      <c r="KO86" s="93"/>
      <c r="KP86" s="93"/>
      <c r="KQ86" s="93"/>
      <c r="KR86" s="93"/>
      <c r="PV86" s="93"/>
      <c r="PW86" s="93"/>
      <c r="PY86" s="93"/>
      <c r="QM86" s="92"/>
      <c r="QQ86" s="93"/>
      <c r="ST86" s="92"/>
      <c r="AIC86" s="5"/>
      <c r="AJR86" s="5"/>
      <c r="AJS86" s="5"/>
      <c r="AJT86" s="5"/>
    </row>
    <row r="87" spans="6:956" x14ac:dyDescent="0.3">
      <c r="F87" s="60"/>
      <c r="G87" s="59" t="s">
        <v>57</v>
      </c>
      <c r="H87" s="305"/>
      <c r="I87" s="55" t="s">
        <v>36</v>
      </c>
      <c r="J87" s="61">
        <v>0</v>
      </c>
      <c r="K87" s="61">
        <v>2</v>
      </c>
      <c r="L87" s="61">
        <v>0</v>
      </c>
      <c r="M87" s="61">
        <v>0</v>
      </c>
      <c r="N87" s="61">
        <v>0</v>
      </c>
      <c r="O87" s="61">
        <v>1</v>
      </c>
      <c r="P87" s="61">
        <v>1</v>
      </c>
      <c r="Q87" s="61">
        <v>0</v>
      </c>
      <c r="R87" s="61">
        <v>0</v>
      </c>
      <c r="S87" s="61">
        <v>0</v>
      </c>
      <c r="T87" s="61">
        <v>0</v>
      </c>
      <c r="U87" s="61">
        <v>0</v>
      </c>
      <c r="V87" s="15"/>
      <c r="W87" s="61">
        <v>0</v>
      </c>
      <c r="X87" s="61">
        <v>0</v>
      </c>
      <c r="Y87" s="61">
        <v>0</v>
      </c>
      <c r="Z87" s="61">
        <v>0</v>
      </c>
      <c r="AA87" s="61">
        <v>0</v>
      </c>
      <c r="AB87" s="61">
        <v>3</v>
      </c>
      <c r="AC87" s="61">
        <v>0</v>
      </c>
      <c r="AD87" s="61">
        <v>0</v>
      </c>
      <c r="AE87" s="61">
        <v>0</v>
      </c>
      <c r="AF87" s="61"/>
      <c r="AG87" s="61"/>
      <c r="AH87" s="61"/>
      <c r="AI87" s="61"/>
      <c r="AJ87" s="61">
        <v>3</v>
      </c>
      <c r="AK87" s="61">
        <v>4</v>
      </c>
      <c r="AL87" s="61"/>
      <c r="AM87" s="61"/>
      <c r="AN87" s="14"/>
      <c r="AO87" s="58">
        <f>SUM(J87:AM87)</f>
        <v>14</v>
      </c>
      <c r="AQ87" s="94"/>
      <c r="CA87" s="93"/>
      <c r="CB87" s="93"/>
      <c r="DE87" s="93"/>
      <c r="EM87" s="66"/>
      <c r="EN87" s="93"/>
      <c r="EO87" s="93"/>
      <c r="EP87" s="93"/>
      <c r="EQ87" s="93"/>
      <c r="GT87" s="93"/>
      <c r="KO87" s="93"/>
      <c r="KP87" s="93"/>
      <c r="KQ87" s="93"/>
      <c r="KR87" s="93"/>
      <c r="PV87" s="93"/>
      <c r="PW87" s="93"/>
      <c r="PY87" s="93"/>
      <c r="QM87" s="92"/>
      <c r="QQ87" s="93"/>
      <c r="ST87" s="92"/>
      <c r="AIC87" s="5"/>
      <c r="AJR87" s="5"/>
      <c r="AJS87" s="5"/>
      <c r="AJT87" s="5"/>
    </row>
    <row r="88" spans="6:956" x14ac:dyDescent="0.3">
      <c r="F88" s="60"/>
      <c r="G88" s="59" t="s">
        <v>56</v>
      </c>
      <c r="H88" s="305"/>
      <c r="I88" s="55" t="s">
        <v>36</v>
      </c>
      <c r="J88" s="61">
        <v>0</v>
      </c>
      <c r="K88" s="61">
        <v>0</v>
      </c>
      <c r="L88" s="61">
        <v>0</v>
      </c>
      <c r="M88" s="61">
        <v>0</v>
      </c>
      <c r="N88" s="61">
        <v>0</v>
      </c>
      <c r="O88" s="61">
        <v>0</v>
      </c>
      <c r="P88" s="61">
        <v>0</v>
      </c>
      <c r="Q88" s="61">
        <v>2</v>
      </c>
      <c r="R88" s="61">
        <v>0</v>
      </c>
      <c r="S88" s="61">
        <v>0</v>
      </c>
      <c r="T88" s="61">
        <v>0</v>
      </c>
      <c r="U88" s="61">
        <v>0</v>
      </c>
      <c r="V88" s="15"/>
      <c r="W88" s="61">
        <v>0</v>
      </c>
      <c r="X88" s="15"/>
      <c r="Y88" s="15">
        <v>0</v>
      </c>
      <c r="Z88" s="61">
        <v>0</v>
      </c>
      <c r="AA88" s="61">
        <v>0</v>
      </c>
      <c r="AB88" s="61">
        <v>3</v>
      </c>
      <c r="AC88" s="61">
        <v>2</v>
      </c>
      <c r="AD88" s="61">
        <v>0</v>
      </c>
      <c r="AE88" s="61"/>
      <c r="AF88" s="61"/>
      <c r="AG88" s="61"/>
      <c r="AH88" s="61"/>
      <c r="AI88" s="61"/>
      <c r="AJ88" s="61">
        <v>1</v>
      </c>
      <c r="AK88" s="61">
        <v>1</v>
      </c>
      <c r="AL88" s="61"/>
      <c r="AM88" s="61"/>
      <c r="AN88" s="14"/>
      <c r="AO88" s="58">
        <f>SUM(J88:AM88)</f>
        <v>9</v>
      </c>
      <c r="AQ88" s="94"/>
      <c r="CA88" s="93"/>
      <c r="CB88" s="93"/>
      <c r="DE88" s="93"/>
      <c r="EM88" s="66"/>
      <c r="EN88" s="93"/>
      <c r="EO88" s="93"/>
      <c r="EP88" s="93"/>
      <c r="EQ88" s="93"/>
      <c r="GT88" s="93"/>
      <c r="KO88" s="93"/>
      <c r="KP88" s="93"/>
      <c r="KQ88" s="93"/>
      <c r="KR88" s="93"/>
      <c r="PV88" s="93"/>
      <c r="PW88" s="93"/>
      <c r="PY88" s="93"/>
      <c r="QM88" s="92"/>
      <c r="QQ88" s="93"/>
      <c r="ST88" s="92"/>
      <c r="AIC88" s="5"/>
      <c r="AJR88" s="5"/>
      <c r="AJS88" s="5"/>
      <c r="AJT88" s="5"/>
    </row>
    <row r="89" spans="6:956" x14ac:dyDescent="0.3">
      <c r="F89" s="60"/>
      <c r="G89" s="65" t="s">
        <v>32</v>
      </c>
      <c r="H89" s="305"/>
      <c r="I89" s="60"/>
      <c r="J89" s="61"/>
      <c r="K89" s="61"/>
      <c r="L89" s="61"/>
      <c r="M89" s="61"/>
      <c r="N89" s="61"/>
      <c r="O89" s="61"/>
      <c r="P89" s="61"/>
      <c r="Q89" s="61"/>
      <c r="R89" s="61"/>
      <c r="S89" s="61"/>
      <c r="T89" s="61"/>
      <c r="U89" s="61"/>
      <c r="V89" s="15"/>
      <c r="W89" s="61"/>
      <c r="X89" s="15"/>
      <c r="Y89" s="15"/>
      <c r="Z89" s="61"/>
      <c r="AA89" s="15"/>
      <c r="AB89" s="15"/>
      <c r="AC89" s="15"/>
      <c r="AD89" s="15"/>
      <c r="AE89" s="15"/>
      <c r="AF89" s="15"/>
      <c r="AG89" s="15"/>
      <c r="AH89" s="15"/>
      <c r="AI89" s="15"/>
      <c r="AJ89" s="15"/>
      <c r="AK89" s="15"/>
      <c r="AL89" s="15"/>
      <c r="AM89" s="15"/>
      <c r="AN89" s="14"/>
      <c r="AO89" s="100" t="s">
        <v>32</v>
      </c>
      <c r="AQ89" s="94"/>
      <c r="BD89" s="85"/>
      <c r="BE89" s="85"/>
      <c r="BF89" s="85"/>
      <c r="BG89" s="85"/>
      <c r="BH89" s="85"/>
      <c r="BI89" s="85"/>
      <c r="BJ89" s="85"/>
      <c r="BK89" s="85"/>
      <c r="BL89" s="85"/>
      <c r="BM89" s="85"/>
      <c r="CA89" s="93"/>
      <c r="CB89" s="93"/>
      <c r="DE89" s="93"/>
      <c r="EM89" s="66"/>
      <c r="EN89" s="93"/>
      <c r="EO89" s="93"/>
      <c r="EP89" s="93"/>
      <c r="EQ89" s="93"/>
      <c r="GT89" s="93"/>
      <c r="KO89" s="93"/>
      <c r="KP89" s="93"/>
      <c r="KQ89" s="93"/>
      <c r="KR89" s="93"/>
      <c r="PV89" s="93"/>
      <c r="PW89" s="93"/>
      <c r="PY89" s="93"/>
      <c r="QM89" s="92"/>
      <c r="QQ89" s="93"/>
      <c r="ST89" s="92"/>
      <c r="AIC89" s="5"/>
      <c r="AJR89" s="5"/>
      <c r="AJS89" s="5"/>
      <c r="AJT89" s="5"/>
    </row>
    <row r="90" spans="6:956" x14ac:dyDescent="0.3">
      <c r="F90" s="60"/>
      <c r="G90" s="59" t="s">
        <v>57</v>
      </c>
      <c r="H90" s="305"/>
      <c r="I90" s="55" t="s">
        <v>32</v>
      </c>
      <c r="J90" s="61">
        <v>0</v>
      </c>
      <c r="K90" s="61">
        <v>5</v>
      </c>
      <c r="L90" s="61">
        <v>0</v>
      </c>
      <c r="M90" s="61">
        <v>0</v>
      </c>
      <c r="N90" s="61">
        <v>0</v>
      </c>
      <c r="O90" s="61">
        <v>6</v>
      </c>
      <c r="P90" s="61">
        <v>12</v>
      </c>
      <c r="Q90" s="61">
        <v>15</v>
      </c>
      <c r="R90" s="61">
        <v>5</v>
      </c>
      <c r="S90" s="61">
        <v>5</v>
      </c>
      <c r="T90" s="61">
        <v>0</v>
      </c>
      <c r="U90" s="61">
        <v>0</v>
      </c>
      <c r="V90" s="15"/>
      <c r="W90" s="61">
        <v>0</v>
      </c>
      <c r="X90" s="61"/>
      <c r="Y90" s="61"/>
      <c r="Z90" s="61"/>
      <c r="AA90" s="61"/>
      <c r="AB90" s="61">
        <v>51</v>
      </c>
      <c r="AC90" s="61">
        <v>16</v>
      </c>
      <c r="AD90" s="61"/>
      <c r="AE90" s="61"/>
      <c r="AF90" s="61"/>
      <c r="AG90" s="61"/>
      <c r="AH90" s="61"/>
      <c r="AI90" s="61"/>
      <c r="AJ90" s="61"/>
      <c r="AK90" s="61"/>
      <c r="AL90" s="61"/>
      <c r="AM90" s="61"/>
      <c r="AN90" s="14"/>
      <c r="AO90" s="58">
        <f>SUM(J90:AM90)</f>
        <v>115</v>
      </c>
      <c r="AQ90" s="94"/>
      <c r="BD90" s="121"/>
      <c r="BE90" s="85"/>
      <c r="BF90" s="85"/>
      <c r="BG90" s="85"/>
      <c r="BH90" s="130"/>
      <c r="BI90" s="85"/>
      <c r="BJ90" s="85"/>
      <c r="BK90" s="85"/>
      <c r="BL90" s="85"/>
      <c r="BM90" s="85"/>
      <c r="CA90" s="93"/>
      <c r="CB90" s="93"/>
      <c r="DE90" s="93"/>
      <c r="EM90" s="66"/>
      <c r="EN90" s="93"/>
      <c r="EO90" s="93"/>
      <c r="EP90" s="93"/>
      <c r="EQ90" s="93"/>
      <c r="GT90" s="93"/>
      <c r="KO90" s="93"/>
      <c r="KP90" s="93"/>
      <c r="KQ90" s="93"/>
      <c r="KR90" s="93"/>
      <c r="PV90" s="93"/>
      <c r="PW90" s="93"/>
      <c r="PY90" s="93"/>
      <c r="QM90" s="92"/>
      <c r="QQ90" s="93"/>
      <c r="ST90" s="92"/>
      <c r="AIC90" s="5"/>
      <c r="AJR90" s="5"/>
      <c r="AJS90" s="5"/>
      <c r="AJT90" s="5"/>
    </row>
    <row r="91" spans="6:956" x14ac:dyDescent="0.3">
      <c r="F91" s="60"/>
      <c r="G91" s="59" t="s">
        <v>56</v>
      </c>
      <c r="H91" s="305"/>
      <c r="I91" s="55" t="s">
        <v>32</v>
      </c>
      <c r="J91" s="61">
        <v>0</v>
      </c>
      <c r="K91" s="61">
        <v>3</v>
      </c>
      <c r="L91" s="61">
        <v>0</v>
      </c>
      <c r="M91" s="61">
        <v>0</v>
      </c>
      <c r="N91" s="61">
        <v>0</v>
      </c>
      <c r="O91" s="61">
        <v>11</v>
      </c>
      <c r="P91" s="61">
        <v>5</v>
      </c>
      <c r="Q91" s="61">
        <v>29</v>
      </c>
      <c r="R91" s="61">
        <v>7</v>
      </c>
      <c r="S91" s="61">
        <v>20</v>
      </c>
      <c r="T91" s="61">
        <v>0</v>
      </c>
      <c r="U91" s="61">
        <v>0</v>
      </c>
      <c r="V91" s="15"/>
      <c r="W91" s="61">
        <v>0</v>
      </c>
      <c r="X91" s="15"/>
      <c r="Y91" s="15"/>
      <c r="Z91" s="61"/>
      <c r="AA91" s="15"/>
      <c r="AB91" s="15">
        <v>24</v>
      </c>
      <c r="AC91" s="61">
        <v>11</v>
      </c>
      <c r="AD91" s="61"/>
      <c r="AE91" s="61"/>
      <c r="AF91" s="15"/>
      <c r="AG91" s="15"/>
      <c r="AH91" s="15"/>
      <c r="AI91" s="15"/>
      <c r="AJ91" s="15"/>
      <c r="AK91" s="15"/>
      <c r="AL91" s="15"/>
      <c r="AM91" s="15"/>
      <c r="AN91" s="14"/>
      <c r="AO91" s="58">
        <f>SUM(J91:AM91)</f>
        <v>110</v>
      </c>
      <c r="AQ91" s="94"/>
      <c r="BD91" s="85"/>
      <c r="BE91" s="85"/>
      <c r="BF91" s="85"/>
      <c r="BG91" s="85"/>
      <c r="BH91" s="85"/>
      <c r="BI91" s="85"/>
      <c r="BJ91" s="85"/>
      <c r="BK91" s="85"/>
      <c r="BL91" s="85"/>
      <c r="BM91" s="85"/>
      <c r="CA91" s="93"/>
      <c r="CB91" s="93"/>
      <c r="DE91" s="93"/>
      <c r="EM91" s="66"/>
      <c r="EN91" s="93"/>
      <c r="EO91" s="93"/>
      <c r="EP91" s="93"/>
      <c r="EQ91" s="93"/>
      <c r="GT91" s="93"/>
      <c r="KO91" s="93"/>
      <c r="KP91" s="93"/>
      <c r="KQ91" s="93"/>
      <c r="KR91" s="93"/>
      <c r="PV91" s="93"/>
      <c r="PW91" s="93"/>
      <c r="PY91" s="93"/>
      <c r="QM91" s="92"/>
      <c r="QQ91" s="93"/>
      <c r="ST91" s="92"/>
      <c r="AIC91" s="5"/>
      <c r="AJR91" s="5"/>
      <c r="AJS91" s="5"/>
      <c r="AJT91" s="5"/>
    </row>
    <row r="92" spans="6:956" ht="15" hidden="1" customHeight="1" x14ac:dyDescent="0.3">
      <c r="F92" s="57"/>
      <c r="G92" s="103" t="s">
        <v>35</v>
      </c>
      <c r="H92" s="97"/>
      <c r="I92" s="97"/>
      <c r="J92" s="24"/>
      <c r="K92" s="24"/>
      <c r="L92" s="24"/>
      <c r="M92" s="24"/>
      <c r="N92" s="24"/>
      <c r="O92" s="24"/>
      <c r="P92" s="24"/>
      <c r="Q92" s="24"/>
      <c r="R92" s="24"/>
      <c r="S92" s="24"/>
      <c r="T92" s="24"/>
      <c r="U92" s="24"/>
      <c r="V92" s="24"/>
      <c r="W92" s="24"/>
      <c r="X92" s="24"/>
      <c r="Y92" s="24"/>
      <c r="Z92" s="24"/>
      <c r="AA92" s="24"/>
      <c r="AB92" s="24"/>
      <c r="AC92" s="24"/>
      <c r="AD92" s="24"/>
      <c r="AE92" s="24"/>
      <c r="AF92" s="24"/>
      <c r="AG92" s="102"/>
      <c r="AH92" s="24"/>
      <c r="AI92" s="24"/>
      <c r="AJ92" s="24"/>
      <c r="AK92" s="24"/>
      <c r="AL92" s="24"/>
      <c r="AM92" s="24"/>
      <c r="AN92" s="67"/>
      <c r="AO92" s="101" t="s">
        <v>34</v>
      </c>
      <c r="BD92" s="85"/>
      <c r="BE92" s="85"/>
      <c r="BF92" s="85"/>
      <c r="BG92" s="85"/>
      <c r="BH92" s="85"/>
      <c r="BI92" s="85"/>
      <c r="BJ92" s="85"/>
      <c r="BK92" s="85"/>
      <c r="BL92" s="85"/>
      <c r="BM92" s="85"/>
    </row>
    <row r="93" spans="6:956" ht="15" hidden="1" customHeight="1" x14ac:dyDescent="0.3">
      <c r="F93" s="60"/>
      <c r="G93" s="65" t="s">
        <v>33</v>
      </c>
      <c r="H93" s="305"/>
      <c r="I93" s="60"/>
      <c r="J93" s="15"/>
      <c r="K93" s="15"/>
      <c r="L93" s="15"/>
      <c r="M93" s="15"/>
      <c r="N93" s="15"/>
      <c r="O93" s="15"/>
      <c r="P93" s="15"/>
      <c r="Q93" s="15"/>
      <c r="R93" s="15"/>
      <c r="S93" s="15"/>
      <c r="T93" s="15"/>
      <c r="U93" s="15"/>
      <c r="V93" s="15"/>
      <c r="W93" s="15"/>
      <c r="X93" s="15"/>
      <c r="Y93" s="15"/>
      <c r="Z93" s="15"/>
      <c r="AA93" s="15"/>
      <c r="AB93" s="15"/>
      <c r="AC93" s="15"/>
      <c r="AD93" s="15"/>
      <c r="AE93" s="15"/>
      <c r="AF93" s="15"/>
      <c r="AG93" s="15"/>
      <c r="AH93" s="15"/>
      <c r="AI93" s="15"/>
      <c r="AJ93" s="15"/>
      <c r="AK93" s="15"/>
      <c r="AL93" s="15"/>
      <c r="AM93" s="15"/>
      <c r="AN93" s="14"/>
      <c r="AO93" s="100" t="s">
        <v>33</v>
      </c>
      <c r="AQ93" s="94"/>
      <c r="BD93" s="85"/>
      <c r="BE93" s="85"/>
      <c r="BF93" s="85"/>
      <c r="BG93" s="85"/>
      <c r="BH93" s="85"/>
      <c r="BI93" s="85"/>
      <c r="BJ93" s="85"/>
      <c r="BK93" s="85"/>
      <c r="BL93" s="85"/>
      <c r="BM93" s="85"/>
      <c r="CA93" s="93"/>
      <c r="CB93" s="93"/>
      <c r="DE93" s="93"/>
      <c r="EM93" s="66"/>
      <c r="EN93" s="93"/>
      <c r="EO93" s="93"/>
      <c r="EP93" s="93"/>
      <c r="EQ93" s="93"/>
      <c r="GT93" s="93"/>
      <c r="KO93" s="93"/>
      <c r="KP93" s="93"/>
      <c r="KQ93" s="93"/>
      <c r="KR93" s="93"/>
      <c r="PV93" s="93"/>
      <c r="PW93" s="93"/>
      <c r="PY93" s="93"/>
      <c r="QM93" s="92"/>
      <c r="QQ93" s="93"/>
      <c r="ST93" s="92"/>
      <c r="AIC93" s="5"/>
      <c r="AJR93" s="5"/>
      <c r="AJS93" s="5"/>
      <c r="AJT93" s="5"/>
    </row>
    <row r="94" spans="6:956" ht="15" hidden="1" customHeight="1" x14ac:dyDescent="0.3">
      <c r="F94" s="60"/>
      <c r="G94" s="59" t="s">
        <v>57</v>
      </c>
      <c r="H94" s="303">
        <v>0.3</v>
      </c>
      <c r="I94" s="55" t="s">
        <v>29</v>
      </c>
      <c r="J94" s="81" t="e">
        <f t="shared" ref="J94:AM95" si="42">J87/J78*100</f>
        <v>#DIV/0!</v>
      </c>
      <c r="K94" s="81">
        <f t="shared" si="42"/>
        <v>0.16992353440951571</v>
      </c>
      <c r="L94" s="81" t="e">
        <f>L87/L78*100</f>
        <v>#DIV/0!</v>
      </c>
      <c r="M94" s="81" t="e">
        <f t="shared" si="42"/>
        <v>#DIV/0!</v>
      </c>
      <c r="N94" s="81" t="e">
        <f t="shared" si="42"/>
        <v>#DIV/0!</v>
      </c>
      <c r="O94" s="81">
        <f t="shared" si="42"/>
        <v>8.5034013605442174E-2</v>
      </c>
      <c r="P94" s="81">
        <f t="shared" si="42"/>
        <v>8.5106382978723402E-2</v>
      </c>
      <c r="Q94" s="81">
        <f t="shared" si="42"/>
        <v>0</v>
      </c>
      <c r="R94" s="81">
        <f t="shared" si="42"/>
        <v>0</v>
      </c>
      <c r="S94" s="81">
        <f t="shared" si="42"/>
        <v>0</v>
      </c>
      <c r="T94" s="81" t="e">
        <f t="shared" si="42"/>
        <v>#DIV/0!</v>
      </c>
      <c r="U94" s="81" t="e">
        <f t="shared" si="42"/>
        <v>#DIV/0!</v>
      </c>
      <c r="V94" s="81" t="e">
        <f t="shared" si="42"/>
        <v>#DIV/0!</v>
      </c>
      <c r="W94" s="81" t="e">
        <f t="shared" si="42"/>
        <v>#DIV/0!</v>
      </c>
      <c r="X94" s="81" t="e">
        <f t="shared" si="42"/>
        <v>#DIV/0!</v>
      </c>
      <c r="Y94" s="81" t="e">
        <f t="shared" si="42"/>
        <v>#DIV/0!</v>
      </c>
      <c r="Z94" s="81" t="e">
        <f t="shared" si="42"/>
        <v>#DIV/0!</v>
      </c>
      <c r="AA94" s="81" t="e">
        <f t="shared" si="42"/>
        <v>#DIV/0!</v>
      </c>
      <c r="AB94" s="81">
        <f t="shared" si="42"/>
        <v>0.25488530161427359</v>
      </c>
      <c r="AC94" s="81">
        <f t="shared" si="42"/>
        <v>0</v>
      </c>
      <c r="AD94" s="81" t="e">
        <f t="shared" si="42"/>
        <v>#DIV/0!</v>
      </c>
      <c r="AE94" s="81" t="e">
        <f t="shared" si="42"/>
        <v>#DIV/0!</v>
      </c>
      <c r="AF94" s="81">
        <f t="shared" si="42"/>
        <v>0</v>
      </c>
      <c r="AG94" s="81" t="e">
        <f t="shared" si="42"/>
        <v>#DIV/0!</v>
      </c>
      <c r="AH94" s="81" t="e">
        <f t="shared" si="42"/>
        <v>#DIV/0!</v>
      </c>
      <c r="AI94" s="81">
        <f t="shared" si="42"/>
        <v>0</v>
      </c>
      <c r="AJ94" s="81">
        <f t="shared" si="42"/>
        <v>0.25466893039049238</v>
      </c>
      <c r="AK94" s="81">
        <f t="shared" si="42"/>
        <v>0.33927056827820185</v>
      </c>
      <c r="AL94" s="81">
        <f t="shared" si="42"/>
        <v>0</v>
      </c>
      <c r="AM94" s="81" t="e">
        <f t="shared" si="42"/>
        <v>#DIV/0!</v>
      </c>
      <c r="AN94" s="14"/>
      <c r="AO94" s="98">
        <f>AO87/AO78*100</f>
        <v>0.1037037037037037</v>
      </c>
      <c r="AQ94" s="94"/>
      <c r="BD94" s="85"/>
      <c r="BE94" s="85"/>
      <c r="BF94" s="85"/>
      <c r="BG94" s="85"/>
      <c r="BH94" s="85"/>
      <c r="BI94" s="85"/>
      <c r="BJ94" s="85"/>
      <c r="BK94" s="85"/>
      <c r="BL94" s="85"/>
      <c r="BM94" s="85"/>
      <c r="CA94" s="93"/>
      <c r="CB94" s="93"/>
      <c r="DE94" s="93"/>
      <c r="EM94" s="66"/>
      <c r="EN94" s="93"/>
      <c r="EO94" s="93"/>
      <c r="EP94" s="93"/>
      <c r="EQ94" s="93"/>
      <c r="GT94" s="93"/>
      <c r="KO94" s="93"/>
      <c r="KP94" s="93"/>
      <c r="KQ94" s="93"/>
      <c r="KR94" s="93"/>
      <c r="PV94" s="93"/>
      <c r="PW94" s="93"/>
      <c r="PY94" s="93"/>
      <c r="QM94" s="92"/>
      <c r="QQ94" s="93"/>
      <c r="ST94" s="92"/>
      <c r="AIC94" s="5"/>
      <c r="AJR94" s="5"/>
      <c r="AJS94" s="5"/>
      <c r="AJT94" s="5"/>
    </row>
    <row r="95" spans="6:956" ht="15" hidden="1" customHeight="1" x14ac:dyDescent="0.3">
      <c r="F95" s="60"/>
      <c r="G95" s="59" t="s">
        <v>56</v>
      </c>
      <c r="H95" s="303">
        <v>0.3</v>
      </c>
      <c r="I95" s="55" t="s">
        <v>29</v>
      </c>
      <c r="J95" s="81" t="e">
        <f t="shared" si="42"/>
        <v>#DIV/0!</v>
      </c>
      <c r="K95" s="81">
        <f t="shared" si="42"/>
        <v>0</v>
      </c>
      <c r="L95" s="81" t="e">
        <f>L88/L79*100</f>
        <v>#DIV/0!</v>
      </c>
      <c r="M95" s="81" t="e">
        <f t="shared" si="42"/>
        <v>#DIV/0!</v>
      </c>
      <c r="N95" s="81" t="e">
        <f t="shared" si="42"/>
        <v>#DIV/0!</v>
      </c>
      <c r="O95" s="81">
        <f t="shared" si="42"/>
        <v>0</v>
      </c>
      <c r="P95" s="81">
        <f t="shared" si="42"/>
        <v>0</v>
      </c>
      <c r="Q95" s="81">
        <f t="shared" si="42"/>
        <v>8.5034013605442174E-2</v>
      </c>
      <c r="R95" s="81">
        <f t="shared" si="42"/>
        <v>0</v>
      </c>
      <c r="S95" s="81">
        <f t="shared" si="42"/>
        <v>0</v>
      </c>
      <c r="T95" s="81" t="e">
        <f t="shared" si="42"/>
        <v>#DIV/0!</v>
      </c>
      <c r="U95" s="81" t="e">
        <f t="shared" si="42"/>
        <v>#DIV/0!</v>
      </c>
      <c r="V95" s="81" t="e">
        <f t="shared" si="42"/>
        <v>#DIV/0!</v>
      </c>
      <c r="W95" s="81" t="e">
        <f t="shared" si="42"/>
        <v>#DIV/0!</v>
      </c>
      <c r="X95" s="81" t="e">
        <f t="shared" si="42"/>
        <v>#DIV/0!</v>
      </c>
      <c r="Y95" s="81" t="e">
        <f t="shared" si="42"/>
        <v>#DIV/0!</v>
      </c>
      <c r="Z95" s="81" t="e">
        <f t="shared" si="42"/>
        <v>#DIV/0!</v>
      </c>
      <c r="AA95" s="81" t="e">
        <f t="shared" si="42"/>
        <v>#DIV/0!</v>
      </c>
      <c r="AB95" s="81">
        <f t="shared" si="42"/>
        <v>0.12738853503184713</v>
      </c>
      <c r="AC95" s="81">
        <f t="shared" si="42"/>
        <v>8.5034013605442174E-2</v>
      </c>
      <c r="AD95" s="81" t="e">
        <f t="shared" si="42"/>
        <v>#DIV/0!</v>
      </c>
      <c r="AE95" s="81" t="e">
        <f t="shared" si="42"/>
        <v>#DIV/0!</v>
      </c>
      <c r="AF95" s="81">
        <f t="shared" si="42"/>
        <v>0</v>
      </c>
      <c r="AG95" s="81" t="e">
        <f t="shared" si="42"/>
        <v>#DIV/0!</v>
      </c>
      <c r="AH95" s="81" t="e">
        <f t="shared" si="42"/>
        <v>#DIV/0!</v>
      </c>
      <c r="AI95" s="81">
        <f t="shared" si="42"/>
        <v>0</v>
      </c>
      <c r="AJ95" s="81">
        <f t="shared" si="42"/>
        <v>4.2498937526561836E-2</v>
      </c>
      <c r="AK95" s="81">
        <f t="shared" si="42"/>
        <v>4.2535091450446622E-2</v>
      </c>
      <c r="AL95" s="81">
        <f t="shared" si="42"/>
        <v>0</v>
      </c>
      <c r="AM95" s="81" t="e">
        <f t="shared" si="42"/>
        <v>#DIV/0!</v>
      </c>
      <c r="AN95" s="14"/>
      <c r="AO95" s="98">
        <f>AO88/AO79*100</f>
        <v>3.3010563380281688E-2</v>
      </c>
      <c r="AQ95" s="94"/>
      <c r="BD95" s="85"/>
      <c r="BE95" s="85"/>
      <c r="BF95" s="85"/>
      <c r="BG95" s="85"/>
      <c r="BH95" s="85"/>
      <c r="BI95" s="85"/>
      <c r="BJ95" s="85"/>
      <c r="BK95" s="85"/>
      <c r="BL95" s="85"/>
      <c r="BM95" s="85"/>
      <c r="CA95" s="93"/>
      <c r="CB95" s="93"/>
      <c r="DE95" s="93"/>
      <c r="EM95" s="66"/>
      <c r="EN95" s="93"/>
      <c r="EO95" s="93"/>
      <c r="EP95" s="93"/>
      <c r="EQ95" s="93"/>
      <c r="GT95" s="93"/>
      <c r="KO95" s="93"/>
      <c r="KP95" s="93"/>
      <c r="KQ95" s="93"/>
      <c r="KR95" s="93"/>
      <c r="PV95" s="93"/>
      <c r="PW95" s="93"/>
      <c r="PY95" s="93"/>
      <c r="QM95" s="92"/>
      <c r="QQ95" s="93"/>
      <c r="ST95" s="92"/>
      <c r="AIC95" s="5"/>
      <c r="AJR95" s="5"/>
      <c r="AJS95" s="5"/>
      <c r="AJT95" s="5"/>
    </row>
    <row r="96" spans="6:956" ht="15" hidden="1" customHeight="1" x14ac:dyDescent="0.3">
      <c r="F96" s="60"/>
      <c r="G96" s="65" t="s">
        <v>32</v>
      </c>
      <c r="H96" s="303"/>
      <c r="I96" s="60"/>
      <c r="J96" s="81"/>
      <c r="K96" s="81"/>
      <c r="L96" s="81"/>
      <c r="M96" s="81"/>
      <c r="N96" s="81"/>
      <c r="O96" s="81"/>
      <c r="P96" s="81"/>
      <c r="Q96" s="81"/>
      <c r="R96" s="81"/>
      <c r="S96" s="81"/>
      <c r="T96" s="81"/>
      <c r="U96" s="81"/>
      <c r="V96" s="81"/>
      <c r="W96" s="81"/>
      <c r="X96" s="81"/>
      <c r="Y96" s="81"/>
      <c r="Z96" s="81"/>
      <c r="AA96" s="81"/>
      <c r="AB96" s="81"/>
      <c r="AC96" s="81"/>
      <c r="AD96" s="81"/>
      <c r="AE96" s="81"/>
      <c r="AF96" s="81"/>
      <c r="AG96" s="81"/>
      <c r="AH96" s="81"/>
      <c r="AI96" s="81"/>
      <c r="AJ96" s="81"/>
      <c r="AK96" s="81"/>
      <c r="AL96" s="81"/>
      <c r="AM96" s="81"/>
      <c r="AN96" s="14"/>
      <c r="AO96" s="100" t="s">
        <v>32</v>
      </c>
      <c r="AQ96" s="94"/>
      <c r="BD96" s="85"/>
      <c r="BE96" s="85"/>
      <c r="BF96" s="85"/>
      <c r="BG96" s="85"/>
      <c r="BH96" s="85"/>
      <c r="BI96" s="85"/>
      <c r="BJ96" s="85"/>
      <c r="BK96" s="85"/>
      <c r="BL96" s="85"/>
      <c r="BM96" s="85"/>
      <c r="CA96" s="93"/>
      <c r="CB96" s="93"/>
      <c r="DE96" s="93"/>
      <c r="EM96" s="66"/>
      <c r="EN96" s="93"/>
      <c r="EO96" s="93"/>
      <c r="EP96" s="93"/>
      <c r="EQ96" s="93"/>
      <c r="GT96" s="93"/>
      <c r="KO96" s="93"/>
      <c r="KP96" s="93"/>
      <c r="KQ96" s="93"/>
      <c r="KR96" s="93"/>
      <c r="PV96" s="93"/>
      <c r="PW96" s="93"/>
      <c r="PY96" s="93"/>
      <c r="QM96" s="92"/>
      <c r="QQ96" s="93"/>
      <c r="ST96" s="92"/>
      <c r="AIC96" s="5"/>
      <c r="AJR96" s="5"/>
      <c r="AJS96" s="5"/>
      <c r="AJT96" s="5"/>
    </row>
    <row r="97" spans="6:956" ht="15" hidden="1" customHeight="1" x14ac:dyDescent="0.3">
      <c r="F97" s="60"/>
      <c r="G97" s="59" t="s">
        <v>57</v>
      </c>
      <c r="H97" s="303">
        <v>0.5</v>
      </c>
      <c r="I97" s="55" t="s">
        <v>29</v>
      </c>
      <c r="J97" s="81" t="e">
        <f t="shared" ref="J97:AM98" si="43">J90/J81*100</f>
        <v>#DIV/0!</v>
      </c>
      <c r="K97" s="81">
        <f t="shared" si="43"/>
        <v>3.5400736335315777E-2</v>
      </c>
      <c r="L97" s="81" t="e">
        <f t="shared" si="43"/>
        <v>#DIV/0!</v>
      </c>
      <c r="M97" s="81" t="e">
        <f t="shared" si="43"/>
        <v>#DIV/0!</v>
      </c>
      <c r="N97" s="81" t="e">
        <f t="shared" si="43"/>
        <v>#DIV/0!</v>
      </c>
      <c r="O97" s="81">
        <f t="shared" si="43"/>
        <v>4.2517006802721087E-2</v>
      </c>
      <c r="P97" s="81">
        <f t="shared" si="43"/>
        <v>8.5106382978723402E-2</v>
      </c>
      <c r="Q97" s="81">
        <f t="shared" si="43"/>
        <v>0.10638297872340426</v>
      </c>
      <c r="R97" s="81">
        <f t="shared" si="43"/>
        <v>3.5430839002267574E-2</v>
      </c>
      <c r="S97" s="81">
        <f t="shared" si="43"/>
        <v>3.5460992907801421E-2</v>
      </c>
      <c r="T97" s="81" t="e">
        <f t="shared" si="43"/>
        <v>#DIV/0!</v>
      </c>
      <c r="U97" s="81" t="e">
        <f t="shared" si="43"/>
        <v>#DIV/0!</v>
      </c>
      <c r="V97" s="81" t="e">
        <f t="shared" si="43"/>
        <v>#DIV/0!</v>
      </c>
      <c r="W97" s="81" t="e">
        <f t="shared" si="43"/>
        <v>#DIV/0!</v>
      </c>
      <c r="X97" s="81" t="e">
        <f t="shared" si="43"/>
        <v>#DIV/0!</v>
      </c>
      <c r="Y97" s="81" t="e">
        <f t="shared" si="43"/>
        <v>#DIV/0!</v>
      </c>
      <c r="Z97" s="81" t="e">
        <f t="shared" si="43"/>
        <v>#DIV/0!</v>
      </c>
      <c r="AA97" s="81" t="e">
        <f t="shared" si="43"/>
        <v>#DIV/0!</v>
      </c>
      <c r="AB97" s="81">
        <f t="shared" si="43"/>
        <v>0.36108751062022088</v>
      </c>
      <c r="AC97" s="81">
        <f t="shared" si="43"/>
        <v>0.11318619128466327</v>
      </c>
      <c r="AD97" s="81" t="e">
        <f t="shared" si="43"/>
        <v>#DIV/0!</v>
      </c>
      <c r="AE97" s="81" t="e">
        <f t="shared" si="43"/>
        <v>#DIV/0!</v>
      </c>
      <c r="AF97" s="81">
        <f t="shared" si="43"/>
        <v>0</v>
      </c>
      <c r="AG97" s="81" t="e">
        <f t="shared" si="43"/>
        <v>#DIV/0!</v>
      </c>
      <c r="AH97" s="81" t="e">
        <f t="shared" si="43"/>
        <v>#DIV/0!</v>
      </c>
      <c r="AI97" s="81">
        <f t="shared" si="43"/>
        <v>0</v>
      </c>
      <c r="AJ97" s="81">
        <f t="shared" si="43"/>
        <v>0</v>
      </c>
      <c r="AK97" s="81">
        <f t="shared" si="43"/>
        <v>0</v>
      </c>
      <c r="AL97" s="81">
        <f t="shared" si="43"/>
        <v>0</v>
      </c>
      <c r="AM97" s="81" t="e">
        <f t="shared" si="43"/>
        <v>#DIV/0!</v>
      </c>
      <c r="AN97" s="14"/>
      <c r="AO97" s="98">
        <f>AO90/AO81*100</f>
        <v>7.098765432098765E-2</v>
      </c>
      <c r="AQ97" s="94"/>
      <c r="BD97" s="85"/>
      <c r="BE97" s="85"/>
      <c r="BF97" s="85"/>
      <c r="BG97" s="85"/>
      <c r="BH97" s="85"/>
      <c r="BI97" s="85"/>
      <c r="BJ97" s="85"/>
      <c r="BK97" s="85"/>
      <c r="BL97" s="85"/>
      <c r="BM97" s="85"/>
      <c r="CA97" s="93"/>
      <c r="CB97" s="93"/>
      <c r="DE97" s="93"/>
      <c r="EM97" s="66"/>
      <c r="EN97" s="93"/>
      <c r="EO97" s="93"/>
      <c r="EP97" s="93"/>
      <c r="EQ97" s="93"/>
      <c r="GT97" s="93"/>
      <c r="KO97" s="93"/>
      <c r="KP97" s="93"/>
      <c r="KQ97" s="93"/>
      <c r="KR97" s="93"/>
      <c r="PV97" s="93"/>
      <c r="PW97" s="93"/>
      <c r="PY97" s="93"/>
      <c r="QM97" s="92"/>
      <c r="QQ97" s="93"/>
      <c r="ST97" s="92"/>
      <c r="AIC97" s="5"/>
      <c r="AJR97" s="5"/>
      <c r="AJS97" s="5"/>
      <c r="AJT97" s="5"/>
    </row>
    <row r="98" spans="6:956" ht="15" hidden="1" customHeight="1" x14ac:dyDescent="0.3">
      <c r="F98" s="60"/>
      <c r="G98" s="59" t="s">
        <v>56</v>
      </c>
      <c r="H98" s="303">
        <v>0.5</v>
      </c>
      <c r="I98" s="55" t="s">
        <v>29</v>
      </c>
      <c r="J98" s="81" t="e">
        <f t="shared" si="43"/>
        <v>#DIV/0!</v>
      </c>
      <c r="K98" s="81">
        <f t="shared" si="43"/>
        <v>2.1276595744680851E-2</v>
      </c>
      <c r="L98" s="81" t="e">
        <f t="shared" si="43"/>
        <v>#DIV/0!</v>
      </c>
      <c r="M98" s="81" t="e">
        <f t="shared" si="43"/>
        <v>#DIV/0!</v>
      </c>
      <c r="N98" s="81" t="e">
        <f t="shared" si="43"/>
        <v>#DIV/0!</v>
      </c>
      <c r="O98" s="81">
        <f t="shared" si="43"/>
        <v>7.8014184397163122E-2</v>
      </c>
      <c r="P98" s="81">
        <f t="shared" si="43"/>
        <v>3.5460992907801421E-2</v>
      </c>
      <c r="Q98" s="81">
        <f t="shared" si="43"/>
        <v>0.20549886621315192</v>
      </c>
      <c r="R98" s="81">
        <f t="shared" si="43"/>
        <v>4.9645390070921988E-2</v>
      </c>
      <c r="S98" s="81">
        <f t="shared" si="43"/>
        <v>0.14184397163120568</v>
      </c>
      <c r="T98" s="81" t="e">
        <f t="shared" si="43"/>
        <v>#DIV/0!</v>
      </c>
      <c r="U98" s="81" t="e">
        <f t="shared" si="43"/>
        <v>#DIV/0!</v>
      </c>
      <c r="V98" s="81" t="e">
        <f t="shared" si="43"/>
        <v>#DIV/0!</v>
      </c>
      <c r="W98" s="81" t="e">
        <f t="shared" si="43"/>
        <v>#DIV/0!</v>
      </c>
      <c r="X98" s="81" t="e">
        <f t="shared" si="43"/>
        <v>#DIV/0!</v>
      </c>
      <c r="Y98" s="81" t="e">
        <f t="shared" si="43"/>
        <v>#DIV/0!</v>
      </c>
      <c r="Z98" s="81" t="e">
        <f t="shared" si="43"/>
        <v>#DIV/0!</v>
      </c>
      <c r="AA98" s="81" t="e">
        <f t="shared" si="43"/>
        <v>#DIV/0!</v>
      </c>
      <c r="AB98" s="81">
        <f t="shared" si="43"/>
        <v>0.16985138004246286</v>
      </c>
      <c r="AC98" s="81">
        <f t="shared" si="43"/>
        <v>7.7947845804988661E-2</v>
      </c>
      <c r="AD98" s="81" t="e">
        <f t="shared" si="43"/>
        <v>#DIV/0!</v>
      </c>
      <c r="AE98" s="81" t="e">
        <f t="shared" si="43"/>
        <v>#DIV/0!</v>
      </c>
      <c r="AF98" s="81">
        <f t="shared" si="43"/>
        <v>0</v>
      </c>
      <c r="AG98" s="81" t="e">
        <f t="shared" si="43"/>
        <v>#DIV/0!</v>
      </c>
      <c r="AH98" s="81" t="e">
        <f t="shared" si="43"/>
        <v>#DIV/0!</v>
      </c>
      <c r="AI98" s="81">
        <f t="shared" si="43"/>
        <v>0</v>
      </c>
      <c r="AJ98" s="81">
        <f t="shared" si="43"/>
        <v>0</v>
      </c>
      <c r="AK98" s="81">
        <f t="shared" si="43"/>
        <v>0</v>
      </c>
      <c r="AL98" s="81">
        <f t="shared" si="43"/>
        <v>0</v>
      </c>
      <c r="AM98" s="81" t="e">
        <f t="shared" si="43"/>
        <v>#DIV/0!</v>
      </c>
      <c r="AN98" s="14"/>
      <c r="AO98" s="98">
        <f>AO91/AO82*100</f>
        <v>6.7243740219092324E-2</v>
      </c>
      <c r="AQ98" s="94"/>
      <c r="BD98" s="85"/>
      <c r="BE98" s="85"/>
      <c r="BF98" s="85"/>
      <c r="BG98" s="85"/>
      <c r="BH98" s="85"/>
      <c r="BI98" s="85"/>
      <c r="BJ98" s="85"/>
      <c r="BK98" s="85"/>
      <c r="BL98" s="85"/>
      <c r="BM98" s="85"/>
      <c r="CA98" s="93"/>
      <c r="CB98" s="93"/>
      <c r="DE98" s="93"/>
      <c r="EM98" s="66"/>
      <c r="EN98" s="93"/>
      <c r="EO98" s="93"/>
      <c r="EP98" s="93"/>
      <c r="EQ98" s="93"/>
      <c r="GT98" s="93"/>
      <c r="KO98" s="93"/>
      <c r="KP98" s="93"/>
      <c r="KQ98" s="93"/>
      <c r="KR98" s="93"/>
      <c r="PV98" s="93"/>
      <c r="PW98" s="93"/>
      <c r="PY98" s="93"/>
      <c r="QM98" s="92"/>
      <c r="QQ98" s="93"/>
      <c r="ST98" s="92"/>
      <c r="AIC98" s="5"/>
      <c r="AJR98" s="5"/>
      <c r="AJS98" s="5"/>
      <c r="AJT98" s="5"/>
    </row>
    <row r="99" spans="6:956" x14ac:dyDescent="0.3">
      <c r="F99" s="47">
        <v>6</v>
      </c>
      <c r="G99" s="103" t="s">
        <v>55</v>
      </c>
      <c r="H99" s="97"/>
      <c r="I99" s="97"/>
      <c r="J99" s="24"/>
      <c r="K99" s="24"/>
      <c r="L99" s="24"/>
      <c r="M99" s="24"/>
      <c r="N99" s="24"/>
      <c r="O99" s="24"/>
      <c r="P99" s="24"/>
      <c r="Q99" s="24"/>
      <c r="R99" s="24"/>
      <c r="S99" s="24"/>
      <c r="T99" s="24"/>
      <c r="U99" s="24"/>
      <c r="V99" s="24"/>
      <c r="W99" s="24"/>
      <c r="X99" s="24"/>
      <c r="Y99" s="24"/>
      <c r="Z99" s="24"/>
      <c r="AA99" s="24"/>
      <c r="AB99" s="24"/>
      <c r="AC99" s="24"/>
      <c r="AD99" s="24"/>
      <c r="AE99" s="24"/>
      <c r="AF99" s="24"/>
      <c r="AG99" s="102"/>
      <c r="AH99" s="24"/>
      <c r="AI99" s="24"/>
      <c r="AJ99" s="24"/>
      <c r="AK99" s="24"/>
      <c r="AL99" s="24"/>
      <c r="AM99" s="24"/>
      <c r="AN99" s="67"/>
      <c r="AO99" s="101" t="s">
        <v>47</v>
      </c>
      <c r="AQ99" s="12"/>
      <c r="BD99" s="85"/>
      <c r="BE99" s="85"/>
      <c r="BF99" s="85"/>
      <c r="BG99" s="85"/>
      <c r="BH99" s="85"/>
      <c r="BI99" s="85"/>
      <c r="BJ99" s="85"/>
      <c r="BK99" s="85"/>
      <c r="BL99" s="85"/>
      <c r="BM99" s="85"/>
      <c r="CA99" s="5"/>
      <c r="CB99" s="5"/>
      <c r="DE99" s="5"/>
      <c r="EM99" s="66"/>
      <c r="EN99" s="5"/>
      <c r="EO99" s="5"/>
      <c r="EP99" s="5"/>
      <c r="EQ99" s="5"/>
      <c r="GT99" s="5"/>
      <c r="KO99" s="5"/>
      <c r="KP99" s="5"/>
      <c r="KQ99" s="5"/>
      <c r="KR99" s="5"/>
      <c r="PV99" s="5"/>
      <c r="PW99" s="5"/>
      <c r="PY99" s="5"/>
      <c r="QM99" s="62"/>
      <c r="QQ99" s="5"/>
      <c r="ST99" s="62"/>
      <c r="AIC99" s="5"/>
      <c r="AJR99" s="5"/>
      <c r="AJS99" s="5"/>
      <c r="AJT99" s="5"/>
    </row>
    <row r="100" spans="6:956" x14ac:dyDescent="0.3">
      <c r="F100" s="57"/>
      <c r="G100" s="56" t="s">
        <v>54</v>
      </c>
      <c r="H100" s="316"/>
      <c r="I100" s="112" t="s">
        <v>16</v>
      </c>
      <c r="J100" s="116">
        <v>0</v>
      </c>
      <c r="K100" s="116">
        <v>0</v>
      </c>
      <c r="L100" s="116">
        <v>0</v>
      </c>
      <c r="M100" s="116">
        <v>0</v>
      </c>
      <c r="N100" s="116">
        <v>0</v>
      </c>
      <c r="O100" s="116">
        <v>0</v>
      </c>
      <c r="P100" s="116">
        <v>0</v>
      </c>
      <c r="Q100" s="116">
        <v>0</v>
      </c>
      <c r="R100" s="116">
        <v>0</v>
      </c>
      <c r="S100" s="116">
        <v>0</v>
      </c>
      <c r="T100" s="116">
        <v>0</v>
      </c>
      <c r="U100" s="116">
        <v>0</v>
      </c>
      <c r="V100" s="126"/>
      <c r="W100" s="116">
        <v>0</v>
      </c>
      <c r="X100" s="116">
        <v>1585.56</v>
      </c>
      <c r="Y100" s="116">
        <v>532.14</v>
      </c>
      <c r="Z100" s="116">
        <v>0</v>
      </c>
      <c r="AA100" s="116">
        <v>0</v>
      </c>
      <c r="AB100" s="116">
        <v>0</v>
      </c>
      <c r="AC100" s="116">
        <v>0</v>
      </c>
      <c r="AD100" s="116">
        <v>0</v>
      </c>
      <c r="AE100" s="116">
        <v>0</v>
      </c>
      <c r="AF100" s="116">
        <v>0</v>
      </c>
      <c r="AG100" s="126"/>
      <c r="AH100" s="126"/>
      <c r="AI100" s="116"/>
      <c r="AJ100" s="116"/>
      <c r="AK100" s="116"/>
      <c r="AL100" s="116">
        <v>3217.28</v>
      </c>
      <c r="AM100" s="116"/>
      <c r="AN100" s="53"/>
      <c r="AO100" s="110">
        <f>SUM(AO101:AO102)</f>
        <v>5334.9800000000005</v>
      </c>
      <c r="AQ100" s="125"/>
      <c r="BD100" s="121"/>
      <c r="BE100" s="121"/>
      <c r="BF100" s="121"/>
      <c r="BG100" s="121"/>
      <c r="BH100" s="121"/>
      <c r="BI100" s="121"/>
      <c r="BJ100" s="121"/>
      <c r="BK100" s="121"/>
      <c r="BL100" s="121"/>
      <c r="BM100" s="121"/>
      <c r="CA100" s="124"/>
      <c r="CB100" s="124"/>
      <c r="DE100" s="124"/>
      <c r="EM100" s="50"/>
      <c r="EN100" s="124"/>
      <c r="EO100" s="124"/>
      <c r="EP100" s="124"/>
      <c r="EQ100" s="124"/>
      <c r="GT100" s="124"/>
      <c r="KO100" s="124"/>
      <c r="KP100" s="124"/>
      <c r="KQ100" s="124"/>
      <c r="KR100" s="124"/>
      <c r="PV100" s="124"/>
      <c r="PW100" s="124"/>
      <c r="PY100" s="124"/>
      <c r="QM100" s="123"/>
      <c r="QQ100" s="124"/>
      <c r="ST100" s="123"/>
      <c r="AIC100" s="48"/>
      <c r="AJR100" s="48"/>
      <c r="AJS100" s="48"/>
      <c r="AJT100" s="48"/>
    </row>
    <row r="101" spans="6:956" x14ac:dyDescent="0.3">
      <c r="F101" s="60"/>
      <c r="G101" s="65" t="s">
        <v>44</v>
      </c>
      <c r="H101" s="305"/>
      <c r="I101" s="55" t="s">
        <v>16</v>
      </c>
      <c r="J101" s="81">
        <f t="shared" ref="J101:AL101" si="44">SUM(J104:J105)*10.86</f>
        <v>0</v>
      </c>
      <c r="K101" s="81">
        <f t="shared" si="44"/>
        <v>0</v>
      </c>
      <c r="L101" s="81">
        <f t="shared" si="44"/>
        <v>0</v>
      </c>
      <c r="M101" s="81">
        <f t="shared" si="44"/>
        <v>0</v>
      </c>
      <c r="N101" s="81">
        <f t="shared" si="44"/>
        <v>0</v>
      </c>
      <c r="O101" s="81">
        <f t="shared" si="44"/>
        <v>0</v>
      </c>
      <c r="P101" s="81">
        <f t="shared" si="44"/>
        <v>0</v>
      </c>
      <c r="Q101" s="81">
        <f t="shared" si="44"/>
        <v>0</v>
      </c>
      <c r="R101" s="81">
        <f t="shared" si="44"/>
        <v>0</v>
      </c>
      <c r="S101" s="81">
        <f t="shared" si="44"/>
        <v>0</v>
      </c>
      <c r="T101" s="81">
        <f t="shared" si="44"/>
        <v>0</v>
      </c>
      <c r="U101" s="81">
        <f t="shared" si="44"/>
        <v>0</v>
      </c>
      <c r="V101" s="116">
        <v>0</v>
      </c>
      <c r="W101" s="116">
        <v>0</v>
      </c>
      <c r="X101" s="81">
        <f t="shared" si="44"/>
        <v>1585.56</v>
      </c>
      <c r="Y101" s="81">
        <f t="shared" si="44"/>
        <v>532.14</v>
      </c>
      <c r="Z101" s="81">
        <f t="shared" si="44"/>
        <v>0</v>
      </c>
      <c r="AA101" s="81">
        <f t="shared" si="44"/>
        <v>0</v>
      </c>
      <c r="AB101" s="81">
        <f t="shared" si="44"/>
        <v>0</v>
      </c>
      <c r="AC101" s="81">
        <f t="shared" si="44"/>
        <v>0</v>
      </c>
      <c r="AD101" s="81">
        <f t="shared" ref="AD101" si="45">SUM(AD104:AD105)*10.86</f>
        <v>0</v>
      </c>
      <c r="AE101" s="81">
        <f t="shared" si="44"/>
        <v>0</v>
      </c>
      <c r="AF101" s="81">
        <f t="shared" si="44"/>
        <v>0</v>
      </c>
      <c r="AG101" s="81">
        <f t="shared" si="44"/>
        <v>0</v>
      </c>
      <c r="AH101" s="81">
        <f t="shared" si="44"/>
        <v>0</v>
      </c>
      <c r="AI101" s="81">
        <f t="shared" ref="AI101:AK101" si="46">SUM(AI104:AI105)*10.86</f>
        <v>0</v>
      </c>
      <c r="AJ101" s="81">
        <f t="shared" si="46"/>
        <v>0</v>
      </c>
      <c r="AK101" s="81">
        <f t="shared" si="46"/>
        <v>0</v>
      </c>
      <c r="AL101" s="81">
        <f t="shared" si="44"/>
        <v>3214.56</v>
      </c>
      <c r="AM101" s="81">
        <f t="shared" ref="AM101" si="47">SUM(AM104:AM105)*10.86</f>
        <v>0</v>
      </c>
      <c r="AN101" s="14"/>
      <c r="AO101" s="98">
        <f>SUM(J101:AM101)</f>
        <v>5332.26</v>
      </c>
      <c r="AQ101" s="94"/>
      <c r="BD101" s="122"/>
      <c r="BE101" s="121"/>
      <c r="BF101" s="121"/>
      <c r="BG101" s="121"/>
      <c r="BH101" s="121"/>
      <c r="BI101" s="121"/>
      <c r="BJ101" s="85"/>
      <c r="BK101" s="85"/>
      <c r="BL101" s="85"/>
      <c r="BM101" s="85"/>
      <c r="CA101" s="93"/>
      <c r="CB101" s="93"/>
      <c r="DE101" s="93"/>
      <c r="EM101" s="66"/>
      <c r="EN101" s="93"/>
      <c r="EO101" s="93"/>
      <c r="EP101" s="93"/>
      <c r="EQ101" s="93"/>
      <c r="GT101" s="93"/>
      <c r="KO101" s="93"/>
      <c r="KP101" s="93"/>
      <c r="KQ101" s="93"/>
      <c r="KR101" s="93"/>
      <c r="PV101" s="93"/>
      <c r="PW101" s="129"/>
      <c r="PY101" s="93"/>
      <c r="QM101" s="92"/>
      <c r="QQ101" s="93"/>
      <c r="ST101" s="92"/>
      <c r="AIC101" s="5"/>
      <c r="AJR101" s="5"/>
      <c r="AJS101" s="5"/>
      <c r="AJT101" s="5"/>
    </row>
    <row r="102" spans="6:956" x14ac:dyDescent="0.3">
      <c r="F102" s="60"/>
      <c r="G102" s="65" t="s">
        <v>43</v>
      </c>
      <c r="H102" s="305"/>
      <c r="I102" s="55" t="s">
        <v>16</v>
      </c>
      <c r="J102" s="81">
        <f t="shared" ref="J102:AM102" si="48">J100-J101</f>
        <v>0</v>
      </c>
      <c r="K102" s="81">
        <f t="shared" si="48"/>
        <v>0</v>
      </c>
      <c r="L102" s="81">
        <f t="shared" si="48"/>
        <v>0</v>
      </c>
      <c r="M102" s="81">
        <f t="shared" si="48"/>
        <v>0</v>
      </c>
      <c r="N102" s="81">
        <f t="shared" si="48"/>
        <v>0</v>
      </c>
      <c r="O102" s="81">
        <f t="shared" si="48"/>
        <v>0</v>
      </c>
      <c r="P102" s="81">
        <f t="shared" si="48"/>
        <v>0</v>
      </c>
      <c r="Q102" s="81">
        <f t="shared" si="48"/>
        <v>0</v>
      </c>
      <c r="R102" s="81">
        <f t="shared" si="48"/>
        <v>0</v>
      </c>
      <c r="S102" s="81">
        <f t="shared" si="48"/>
        <v>0</v>
      </c>
      <c r="T102" s="81">
        <f t="shared" si="48"/>
        <v>0</v>
      </c>
      <c r="U102" s="81">
        <f t="shared" si="48"/>
        <v>0</v>
      </c>
      <c r="V102" s="81">
        <f t="shared" si="48"/>
        <v>0</v>
      </c>
      <c r="W102" s="81">
        <f t="shared" si="48"/>
        <v>0</v>
      </c>
      <c r="X102" s="81">
        <f t="shared" si="48"/>
        <v>0</v>
      </c>
      <c r="Y102" s="81">
        <f t="shared" si="48"/>
        <v>0</v>
      </c>
      <c r="Z102" s="81">
        <f t="shared" si="48"/>
        <v>0</v>
      </c>
      <c r="AA102" s="81">
        <f t="shared" si="48"/>
        <v>0</v>
      </c>
      <c r="AB102" s="81">
        <f t="shared" si="48"/>
        <v>0</v>
      </c>
      <c r="AC102" s="81">
        <f t="shared" si="48"/>
        <v>0</v>
      </c>
      <c r="AD102" s="81">
        <f t="shared" si="48"/>
        <v>0</v>
      </c>
      <c r="AE102" s="81">
        <f t="shared" si="48"/>
        <v>0</v>
      </c>
      <c r="AF102" s="81">
        <f t="shared" si="48"/>
        <v>0</v>
      </c>
      <c r="AG102" s="81">
        <f t="shared" si="48"/>
        <v>0</v>
      </c>
      <c r="AH102" s="81">
        <f t="shared" si="48"/>
        <v>0</v>
      </c>
      <c r="AI102" s="81">
        <f t="shared" si="48"/>
        <v>0</v>
      </c>
      <c r="AJ102" s="81">
        <f t="shared" si="48"/>
        <v>0</v>
      </c>
      <c r="AK102" s="81">
        <f t="shared" si="48"/>
        <v>0</v>
      </c>
      <c r="AL102" s="81">
        <f t="shared" si="48"/>
        <v>2.7200000000002547</v>
      </c>
      <c r="AM102" s="81">
        <f t="shared" si="48"/>
        <v>0</v>
      </c>
      <c r="AN102" s="14"/>
      <c r="AO102" s="98">
        <f>SUM(J102:AM102)</f>
        <v>2.7200000000002547</v>
      </c>
      <c r="AQ102" s="94"/>
      <c r="BD102" s="85"/>
      <c r="BE102" s="85"/>
      <c r="BF102" s="85"/>
      <c r="BG102" s="85"/>
      <c r="BH102" s="85"/>
      <c r="BI102" s="85"/>
      <c r="BJ102" s="85"/>
      <c r="BK102" s="85"/>
      <c r="BL102" s="85"/>
      <c r="BM102" s="85"/>
      <c r="CA102" s="93"/>
      <c r="CB102" s="93"/>
      <c r="DE102" s="93"/>
      <c r="EM102" s="66"/>
      <c r="EN102" s="93"/>
      <c r="EO102" s="93"/>
      <c r="EP102" s="93"/>
      <c r="EQ102" s="93"/>
      <c r="GT102" s="93"/>
      <c r="KO102" s="93"/>
      <c r="KP102" s="93"/>
      <c r="KQ102" s="93"/>
      <c r="KR102" s="93"/>
      <c r="PV102" s="93"/>
      <c r="PW102" s="93"/>
      <c r="PY102" s="93"/>
      <c r="QM102" s="92"/>
      <c r="QQ102" s="93"/>
      <c r="ST102" s="92"/>
      <c r="AIC102" s="5"/>
      <c r="AJR102" s="5"/>
      <c r="AJS102" s="5"/>
      <c r="AJT102" s="5"/>
    </row>
    <row r="103" spans="6:956" x14ac:dyDescent="0.3">
      <c r="F103" s="60"/>
      <c r="G103" s="65" t="s">
        <v>33</v>
      </c>
      <c r="H103" s="305"/>
      <c r="I103" s="60"/>
      <c r="J103" s="15"/>
      <c r="K103" s="15"/>
      <c r="L103" s="15"/>
      <c r="M103" s="15"/>
      <c r="N103" s="15"/>
      <c r="O103" s="15"/>
      <c r="P103" s="15"/>
      <c r="Q103" s="15"/>
      <c r="R103" s="15"/>
      <c r="S103" s="15"/>
      <c r="T103" s="15"/>
      <c r="U103" s="15"/>
      <c r="V103" s="15"/>
      <c r="W103" s="15"/>
      <c r="X103" s="15"/>
      <c r="Y103" s="15"/>
      <c r="Z103" s="15"/>
      <c r="AA103" s="15"/>
      <c r="AB103" s="15"/>
      <c r="AC103" s="15"/>
      <c r="AD103" s="15"/>
      <c r="AE103" s="15"/>
      <c r="AF103" s="15"/>
      <c r="AG103" s="15"/>
      <c r="AH103" s="15"/>
      <c r="AI103" s="15"/>
      <c r="AJ103" s="15"/>
      <c r="AK103" s="15"/>
      <c r="AL103" s="15"/>
      <c r="AM103" s="15"/>
      <c r="AN103" s="14"/>
      <c r="AO103" s="100" t="s">
        <v>33</v>
      </c>
      <c r="AQ103" s="94"/>
      <c r="BD103" s="85"/>
      <c r="BE103" s="85"/>
      <c r="BF103" s="85"/>
      <c r="BG103" s="85"/>
      <c r="BH103" s="85"/>
      <c r="BI103" s="85"/>
      <c r="BJ103" s="85"/>
      <c r="BK103" s="85"/>
      <c r="BL103" s="85"/>
      <c r="BM103" s="85"/>
      <c r="CA103" s="93"/>
      <c r="CB103" s="93"/>
      <c r="DE103" s="93"/>
      <c r="EM103" s="66"/>
      <c r="EN103" s="93"/>
      <c r="EO103" s="93"/>
      <c r="EP103" s="93"/>
      <c r="EQ103" s="93"/>
      <c r="GT103" s="93"/>
      <c r="KO103" s="93"/>
      <c r="KP103" s="93"/>
      <c r="KQ103" s="93"/>
      <c r="KR103" s="93"/>
      <c r="PV103" s="93"/>
      <c r="PW103" s="93"/>
      <c r="PY103" s="93"/>
      <c r="QM103" s="92"/>
      <c r="QQ103" s="93"/>
      <c r="ST103" s="92"/>
      <c r="AIC103" s="5"/>
      <c r="AJR103" s="5"/>
      <c r="AJS103" s="5"/>
      <c r="AJT103" s="5"/>
    </row>
    <row r="104" spans="6:956" x14ac:dyDescent="0.3">
      <c r="F104" s="36"/>
      <c r="G104" s="99" t="s">
        <v>53</v>
      </c>
      <c r="H104" s="298"/>
      <c r="I104" s="34" t="s">
        <v>36</v>
      </c>
      <c r="J104" s="61">
        <v>0</v>
      </c>
      <c r="K104" s="61">
        <v>0</v>
      </c>
      <c r="L104" s="61">
        <v>0</v>
      </c>
      <c r="M104" s="61">
        <v>0</v>
      </c>
      <c r="N104" s="61">
        <v>0</v>
      </c>
      <c r="O104" s="61">
        <v>0</v>
      </c>
      <c r="P104" s="61">
        <v>0</v>
      </c>
      <c r="Q104" s="61">
        <v>0</v>
      </c>
      <c r="R104" s="61">
        <v>0</v>
      </c>
      <c r="S104" s="61">
        <v>0</v>
      </c>
      <c r="T104" s="61">
        <v>0</v>
      </c>
      <c r="U104" s="61">
        <v>0</v>
      </c>
      <c r="V104" s="61"/>
      <c r="W104" s="61">
        <v>0</v>
      </c>
      <c r="X104" s="61">
        <v>146</v>
      </c>
      <c r="Y104" s="61">
        <v>49</v>
      </c>
      <c r="Z104" s="61">
        <v>0</v>
      </c>
      <c r="AA104" s="61">
        <v>0</v>
      </c>
      <c r="AB104" s="61">
        <v>0</v>
      </c>
      <c r="AC104" s="61">
        <v>0</v>
      </c>
      <c r="AD104" s="61">
        <v>0</v>
      </c>
      <c r="AE104" s="61">
        <v>0</v>
      </c>
      <c r="AF104" s="116"/>
      <c r="AG104" s="116">
        <v>0</v>
      </c>
      <c r="AH104" s="116"/>
      <c r="AI104" s="116"/>
      <c r="AJ104" s="116"/>
      <c r="AK104" s="116"/>
      <c r="AL104" s="61">
        <v>99</v>
      </c>
      <c r="AM104" s="61"/>
      <c r="AN104" s="109"/>
      <c r="AO104" s="108">
        <f>SUM(J104:AM104)</f>
        <v>294</v>
      </c>
      <c r="AQ104" s="107"/>
      <c r="BD104" s="114"/>
      <c r="BE104" s="114"/>
      <c r="BF104" s="114"/>
      <c r="BG104" s="114"/>
      <c r="BH104" s="114"/>
      <c r="BI104" s="114"/>
      <c r="BJ104" s="114"/>
      <c r="BK104" s="114"/>
      <c r="BL104" s="114"/>
      <c r="BM104" s="114"/>
      <c r="CA104" s="106"/>
      <c r="CB104" s="106"/>
      <c r="DE104" s="106"/>
      <c r="EM104" s="30"/>
      <c r="EN104" s="106"/>
      <c r="EO104" s="106"/>
      <c r="EP104" s="106"/>
      <c r="EQ104" s="106"/>
      <c r="GT104" s="106"/>
      <c r="KO104" s="106"/>
      <c r="KP104" s="106"/>
      <c r="KQ104" s="106"/>
      <c r="KR104" s="106"/>
      <c r="PV104" s="106"/>
      <c r="PW104" s="106"/>
      <c r="PY104" s="106"/>
      <c r="QM104" s="105"/>
      <c r="QQ104" s="106"/>
      <c r="ST104" s="105"/>
      <c r="AIC104" s="28"/>
      <c r="AJR104" s="28"/>
      <c r="AJS104" s="28"/>
      <c r="AJT104" s="28"/>
    </row>
    <row r="105" spans="6:956" x14ac:dyDescent="0.3">
      <c r="F105" s="36"/>
      <c r="G105" s="99" t="s">
        <v>52</v>
      </c>
      <c r="H105" s="298"/>
      <c r="I105" s="34" t="s">
        <v>36</v>
      </c>
      <c r="J105" s="61">
        <v>0</v>
      </c>
      <c r="K105" s="61">
        <v>0</v>
      </c>
      <c r="L105" s="61">
        <v>0</v>
      </c>
      <c r="M105" s="61">
        <v>0</v>
      </c>
      <c r="N105" s="61">
        <v>0</v>
      </c>
      <c r="O105" s="61">
        <v>0</v>
      </c>
      <c r="P105" s="61">
        <v>0</v>
      </c>
      <c r="Q105" s="61">
        <v>0</v>
      </c>
      <c r="R105" s="61">
        <v>0</v>
      </c>
      <c r="S105" s="61">
        <v>0</v>
      </c>
      <c r="T105" s="61">
        <v>0</v>
      </c>
      <c r="U105" s="61">
        <v>0</v>
      </c>
      <c r="V105" s="61"/>
      <c r="W105" s="61">
        <v>0</v>
      </c>
      <c r="X105" s="61">
        <v>0</v>
      </c>
      <c r="Y105" s="61">
        <v>0</v>
      </c>
      <c r="Z105" s="61">
        <v>0</v>
      </c>
      <c r="AA105" s="61">
        <v>0</v>
      </c>
      <c r="AB105" s="61">
        <v>0</v>
      </c>
      <c r="AC105" s="61">
        <v>0</v>
      </c>
      <c r="AD105" s="61">
        <v>0</v>
      </c>
      <c r="AE105" s="61">
        <v>0</v>
      </c>
      <c r="AF105" s="116">
        <v>0</v>
      </c>
      <c r="AG105" s="61"/>
      <c r="AH105" s="61"/>
      <c r="AI105" s="116"/>
      <c r="AJ105" s="116"/>
      <c r="AK105" s="116"/>
      <c r="AL105" s="61">
        <v>197</v>
      </c>
      <c r="AM105" s="61"/>
      <c r="AN105" s="109"/>
      <c r="AO105" s="108">
        <f>SUM(J105:AM105)</f>
        <v>197</v>
      </c>
      <c r="AQ105" s="107"/>
      <c r="BD105" s="114"/>
      <c r="BE105" s="114"/>
      <c r="BF105" s="114"/>
      <c r="BG105" s="114"/>
      <c r="BH105" s="114"/>
      <c r="BI105" s="114"/>
      <c r="BJ105" s="114"/>
      <c r="BK105" s="114"/>
      <c r="BL105" s="114"/>
      <c r="BM105" s="114"/>
      <c r="CA105" s="106"/>
      <c r="CB105" s="106"/>
      <c r="DE105" s="106"/>
      <c r="EM105" s="30"/>
      <c r="EN105" s="106"/>
      <c r="EO105" s="106"/>
      <c r="EP105" s="106"/>
      <c r="EQ105" s="106"/>
      <c r="GT105" s="106"/>
      <c r="KO105" s="106"/>
      <c r="KP105" s="106"/>
      <c r="KQ105" s="106"/>
      <c r="KR105" s="106"/>
      <c r="PV105" s="106"/>
      <c r="PW105" s="106"/>
      <c r="PY105" s="106"/>
      <c r="QM105" s="105"/>
      <c r="QQ105" s="106"/>
      <c r="ST105" s="105"/>
      <c r="AIC105" s="28"/>
      <c r="AJR105" s="28"/>
      <c r="AJS105" s="28"/>
      <c r="AJT105" s="28"/>
    </row>
    <row r="106" spans="6:956" x14ac:dyDescent="0.3">
      <c r="F106" s="60"/>
      <c r="G106" s="65" t="s">
        <v>32</v>
      </c>
      <c r="H106" s="305"/>
      <c r="I106" s="60"/>
      <c r="J106" s="15"/>
      <c r="K106" s="15"/>
      <c r="L106" s="15"/>
      <c r="M106" s="15"/>
      <c r="N106" s="15"/>
      <c r="O106" s="15"/>
      <c r="P106" s="15"/>
      <c r="Q106" s="15"/>
      <c r="R106" s="15"/>
      <c r="S106" s="15"/>
      <c r="T106" s="15"/>
      <c r="U106" s="15"/>
      <c r="V106" s="15"/>
      <c r="W106" s="15"/>
      <c r="X106" s="15"/>
      <c r="Y106" s="15"/>
      <c r="Z106" s="15"/>
      <c r="AA106" s="15"/>
      <c r="AB106" s="15"/>
      <c r="AC106" s="15"/>
      <c r="AD106" s="15"/>
      <c r="AE106" s="15"/>
      <c r="AF106" s="15"/>
      <c r="AG106" s="15"/>
      <c r="AH106" s="15"/>
      <c r="AI106" s="15"/>
      <c r="AJ106" s="15"/>
      <c r="AK106" s="15"/>
      <c r="AL106" s="15"/>
      <c r="AM106" s="15"/>
      <c r="AN106" s="14"/>
      <c r="AO106" s="100" t="s">
        <v>32</v>
      </c>
      <c r="AQ106" s="94"/>
      <c r="BD106" s="85"/>
      <c r="BE106" s="85"/>
      <c r="BF106" s="85"/>
      <c r="BG106" s="85"/>
      <c r="BH106" s="85"/>
      <c r="BI106" s="85"/>
      <c r="BJ106" s="85"/>
      <c r="BK106" s="85"/>
      <c r="BL106" s="85"/>
      <c r="BM106" s="85"/>
      <c r="CA106" s="93"/>
      <c r="CB106" s="93"/>
      <c r="DE106" s="93"/>
      <c r="EM106" s="66"/>
      <c r="EN106" s="93"/>
      <c r="EO106" s="93"/>
      <c r="EP106" s="93"/>
      <c r="EQ106" s="93"/>
      <c r="GT106" s="93"/>
      <c r="KO106" s="93"/>
      <c r="KP106" s="93"/>
      <c r="KQ106" s="93"/>
      <c r="KR106" s="93"/>
      <c r="PV106" s="93"/>
      <c r="PW106" s="93"/>
      <c r="PY106" s="93"/>
      <c r="QM106" s="92"/>
      <c r="QQ106" s="93"/>
      <c r="ST106" s="92"/>
      <c r="AIC106" s="5"/>
      <c r="AJR106" s="5"/>
      <c r="AJS106" s="5"/>
      <c r="AJT106" s="5"/>
    </row>
    <row r="107" spans="6:956" x14ac:dyDescent="0.3">
      <c r="F107" s="60"/>
      <c r="G107" s="99" t="s">
        <v>53</v>
      </c>
      <c r="H107" s="305"/>
      <c r="I107" s="55" t="s">
        <v>32</v>
      </c>
      <c r="J107" s="15">
        <f t="shared" ref="J107:AM107" si="49">J104*12</f>
        <v>0</v>
      </c>
      <c r="K107" s="15">
        <f t="shared" si="49"/>
        <v>0</v>
      </c>
      <c r="L107" s="15">
        <f t="shared" si="49"/>
        <v>0</v>
      </c>
      <c r="M107" s="15">
        <f t="shared" si="49"/>
        <v>0</v>
      </c>
      <c r="N107" s="15">
        <f t="shared" si="49"/>
        <v>0</v>
      </c>
      <c r="O107" s="15">
        <f t="shared" si="49"/>
        <v>0</v>
      </c>
      <c r="P107" s="15">
        <f t="shared" si="49"/>
        <v>0</v>
      </c>
      <c r="Q107" s="15">
        <f t="shared" si="49"/>
        <v>0</v>
      </c>
      <c r="R107" s="15">
        <f t="shared" si="49"/>
        <v>0</v>
      </c>
      <c r="S107" s="15">
        <f t="shared" si="49"/>
        <v>0</v>
      </c>
      <c r="T107" s="15">
        <f t="shared" si="49"/>
        <v>0</v>
      </c>
      <c r="U107" s="15">
        <f t="shared" si="49"/>
        <v>0</v>
      </c>
      <c r="V107" s="15">
        <f t="shared" si="49"/>
        <v>0</v>
      </c>
      <c r="W107" s="15">
        <f t="shared" si="49"/>
        <v>0</v>
      </c>
      <c r="X107" s="15">
        <f t="shared" si="49"/>
        <v>1752</v>
      </c>
      <c r="Y107" s="15">
        <f t="shared" si="49"/>
        <v>588</v>
      </c>
      <c r="Z107" s="15">
        <f>Z104*12</f>
        <v>0</v>
      </c>
      <c r="AA107" s="15">
        <f t="shared" si="49"/>
        <v>0</v>
      </c>
      <c r="AB107" s="15">
        <f t="shared" si="49"/>
        <v>0</v>
      </c>
      <c r="AC107" s="15">
        <f t="shared" si="49"/>
        <v>0</v>
      </c>
      <c r="AD107" s="15">
        <f t="shared" si="49"/>
        <v>0</v>
      </c>
      <c r="AE107" s="15">
        <f t="shared" si="49"/>
        <v>0</v>
      </c>
      <c r="AF107" s="15">
        <f t="shared" si="49"/>
        <v>0</v>
      </c>
      <c r="AG107" s="15">
        <f t="shared" si="49"/>
        <v>0</v>
      </c>
      <c r="AH107" s="15">
        <f t="shared" si="49"/>
        <v>0</v>
      </c>
      <c r="AI107" s="15">
        <f t="shared" si="49"/>
        <v>0</v>
      </c>
      <c r="AJ107" s="15">
        <f t="shared" si="49"/>
        <v>0</v>
      </c>
      <c r="AK107" s="15">
        <f t="shared" si="49"/>
        <v>0</v>
      </c>
      <c r="AL107" s="15">
        <f t="shared" si="49"/>
        <v>1188</v>
      </c>
      <c r="AM107" s="15">
        <f t="shared" si="49"/>
        <v>0</v>
      </c>
      <c r="AN107" s="14"/>
      <c r="AO107" s="58">
        <f>AO104*12</f>
        <v>3528</v>
      </c>
      <c r="AQ107" s="94"/>
      <c r="BD107" s="85"/>
      <c r="BE107" s="85"/>
      <c r="BF107" s="85"/>
      <c r="BG107" s="85"/>
      <c r="BH107" s="85"/>
      <c r="BI107" s="85"/>
      <c r="BJ107" s="85"/>
      <c r="BK107" s="85"/>
      <c r="BL107" s="85"/>
      <c r="BM107" s="85"/>
      <c r="CA107" s="93"/>
      <c r="CB107" s="93"/>
      <c r="DE107" s="93"/>
      <c r="EM107" s="66"/>
      <c r="EN107" s="93"/>
      <c r="EO107" s="93"/>
      <c r="EP107" s="93"/>
      <c r="EQ107" s="93"/>
      <c r="GT107" s="93"/>
      <c r="KO107" s="93"/>
      <c r="KP107" s="93"/>
      <c r="KQ107" s="93"/>
      <c r="KR107" s="93"/>
      <c r="PV107" s="93"/>
      <c r="PW107" s="93"/>
      <c r="PY107" s="93"/>
      <c r="QM107" s="92"/>
      <c r="QQ107" s="93"/>
      <c r="ST107" s="92"/>
      <c r="AIC107" s="5"/>
      <c r="AJR107" s="5"/>
      <c r="AJS107" s="5"/>
      <c r="AJT107" s="5"/>
    </row>
    <row r="108" spans="6:956" x14ac:dyDescent="0.3">
      <c r="F108" s="60"/>
      <c r="G108" s="99" t="s">
        <v>52</v>
      </c>
      <c r="H108" s="305"/>
      <c r="I108" s="55" t="s">
        <v>32</v>
      </c>
      <c r="J108" s="15">
        <f t="shared" ref="J108:AM108" si="50">J105*6</f>
        <v>0</v>
      </c>
      <c r="K108" s="15">
        <f t="shared" si="50"/>
        <v>0</v>
      </c>
      <c r="L108" s="15">
        <f t="shared" si="50"/>
        <v>0</v>
      </c>
      <c r="M108" s="15">
        <f t="shared" si="50"/>
        <v>0</v>
      </c>
      <c r="N108" s="15">
        <f t="shared" si="50"/>
        <v>0</v>
      </c>
      <c r="O108" s="15">
        <f t="shared" si="50"/>
        <v>0</v>
      </c>
      <c r="P108" s="15">
        <f t="shared" si="50"/>
        <v>0</v>
      </c>
      <c r="Q108" s="15">
        <f t="shared" si="50"/>
        <v>0</v>
      </c>
      <c r="R108" s="15">
        <f t="shared" si="50"/>
        <v>0</v>
      </c>
      <c r="S108" s="15">
        <f t="shared" si="50"/>
        <v>0</v>
      </c>
      <c r="T108" s="15">
        <f t="shared" si="50"/>
        <v>0</v>
      </c>
      <c r="U108" s="15">
        <f t="shared" si="50"/>
        <v>0</v>
      </c>
      <c r="V108" s="15">
        <f t="shared" si="50"/>
        <v>0</v>
      </c>
      <c r="W108" s="15">
        <f t="shared" si="50"/>
        <v>0</v>
      </c>
      <c r="X108" s="15">
        <f t="shared" si="50"/>
        <v>0</v>
      </c>
      <c r="Y108" s="15">
        <f t="shared" si="50"/>
        <v>0</v>
      </c>
      <c r="Z108" s="15">
        <f t="shared" si="50"/>
        <v>0</v>
      </c>
      <c r="AA108" s="15">
        <f t="shared" si="50"/>
        <v>0</v>
      </c>
      <c r="AB108" s="15">
        <f t="shared" si="50"/>
        <v>0</v>
      </c>
      <c r="AC108" s="15">
        <f t="shared" si="50"/>
        <v>0</v>
      </c>
      <c r="AD108" s="15">
        <f t="shared" si="50"/>
        <v>0</v>
      </c>
      <c r="AE108" s="15">
        <f t="shared" si="50"/>
        <v>0</v>
      </c>
      <c r="AF108" s="15">
        <f t="shared" si="50"/>
        <v>0</v>
      </c>
      <c r="AG108" s="15">
        <f t="shared" si="50"/>
        <v>0</v>
      </c>
      <c r="AH108" s="15">
        <f t="shared" si="50"/>
        <v>0</v>
      </c>
      <c r="AI108" s="15">
        <f t="shared" si="50"/>
        <v>0</v>
      </c>
      <c r="AJ108" s="15">
        <f t="shared" si="50"/>
        <v>0</v>
      </c>
      <c r="AK108" s="15">
        <f t="shared" si="50"/>
        <v>0</v>
      </c>
      <c r="AL108" s="15">
        <f t="shared" si="50"/>
        <v>1182</v>
      </c>
      <c r="AM108" s="15">
        <f t="shared" si="50"/>
        <v>0</v>
      </c>
      <c r="AN108" s="14"/>
      <c r="AO108" s="58">
        <f>AO105*6</f>
        <v>1182</v>
      </c>
      <c r="AQ108" s="94"/>
      <c r="BD108" s="85"/>
      <c r="BE108" s="85"/>
      <c r="BF108" s="85"/>
      <c r="BG108" s="85"/>
      <c r="BH108" s="85"/>
      <c r="BI108" s="85"/>
      <c r="BJ108" s="85"/>
      <c r="BK108" s="85"/>
      <c r="BL108" s="85"/>
      <c r="BM108" s="85"/>
      <c r="CA108" s="93"/>
      <c r="CB108" s="93"/>
      <c r="DE108" s="93"/>
      <c r="EM108" s="66"/>
      <c r="EN108" s="93"/>
      <c r="EO108" s="93"/>
      <c r="EP108" s="93"/>
      <c r="EQ108" s="93"/>
      <c r="GT108" s="93"/>
      <c r="KO108" s="93"/>
      <c r="KP108" s="93"/>
      <c r="KQ108" s="93"/>
      <c r="KR108" s="93"/>
      <c r="PV108" s="93"/>
      <c r="PW108" s="93"/>
      <c r="PY108" s="93"/>
      <c r="QM108" s="92"/>
      <c r="QQ108" s="93"/>
      <c r="ST108" s="92"/>
      <c r="AIC108" s="5"/>
      <c r="AJR108" s="5"/>
      <c r="AJS108" s="5"/>
      <c r="AJT108" s="5"/>
    </row>
    <row r="109" spans="6:956" x14ac:dyDescent="0.3">
      <c r="F109" s="60"/>
      <c r="G109" s="65" t="s">
        <v>41</v>
      </c>
      <c r="H109" s="305"/>
      <c r="I109" s="55" t="s">
        <v>40</v>
      </c>
      <c r="J109" s="15">
        <v>0</v>
      </c>
      <c r="K109" s="15">
        <f>(K100*45)/1700</f>
        <v>0</v>
      </c>
      <c r="L109" s="15">
        <f t="shared" ref="L109:AC109" si="51">(L100*45)/1700</f>
        <v>0</v>
      </c>
      <c r="M109" s="15">
        <f t="shared" si="51"/>
        <v>0</v>
      </c>
      <c r="N109" s="15">
        <f t="shared" si="51"/>
        <v>0</v>
      </c>
      <c r="O109" s="15">
        <f t="shared" si="51"/>
        <v>0</v>
      </c>
      <c r="P109" s="15">
        <f t="shared" si="51"/>
        <v>0</v>
      </c>
      <c r="Q109" s="15">
        <f t="shared" si="51"/>
        <v>0</v>
      </c>
      <c r="R109" s="15">
        <f t="shared" si="51"/>
        <v>0</v>
      </c>
      <c r="S109" s="15">
        <f t="shared" si="51"/>
        <v>0</v>
      </c>
      <c r="T109" s="15">
        <f t="shared" si="51"/>
        <v>0</v>
      </c>
      <c r="U109" s="15">
        <f t="shared" si="51"/>
        <v>0</v>
      </c>
      <c r="V109" s="15">
        <f t="shared" si="51"/>
        <v>0</v>
      </c>
      <c r="W109" s="15">
        <f t="shared" si="51"/>
        <v>0</v>
      </c>
      <c r="X109" s="15">
        <f t="shared" si="51"/>
        <v>41.970705882352938</v>
      </c>
      <c r="Y109" s="15">
        <f t="shared" si="51"/>
        <v>14.086058823529411</v>
      </c>
      <c r="Z109" s="15">
        <f t="shared" si="51"/>
        <v>0</v>
      </c>
      <c r="AA109" s="15">
        <f t="shared" si="51"/>
        <v>0</v>
      </c>
      <c r="AB109" s="15">
        <f t="shared" si="51"/>
        <v>0</v>
      </c>
      <c r="AC109" s="15">
        <f t="shared" si="51"/>
        <v>0</v>
      </c>
      <c r="AD109" s="15">
        <f t="shared" ref="AD109:AM109" si="52">AD100*45/1700</f>
        <v>0</v>
      </c>
      <c r="AE109" s="15">
        <f t="shared" si="52"/>
        <v>0</v>
      </c>
      <c r="AF109" s="15">
        <f t="shared" si="52"/>
        <v>0</v>
      </c>
      <c r="AG109" s="128">
        <f t="shared" si="52"/>
        <v>0</v>
      </c>
      <c r="AH109" s="15">
        <f t="shared" si="52"/>
        <v>0</v>
      </c>
      <c r="AI109" s="15">
        <f t="shared" si="52"/>
        <v>0</v>
      </c>
      <c r="AJ109" s="15">
        <f t="shared" si="52"/>
        <v>0</v>
      </c>
      <c r="AK109" s="15">
        <f t="shared" si="52"/>
        <v>0</v>
      </c>
      <c r="AL109" s="15">
        <f t="shared" si="52"/>
        <v>85.163294117647055</v>
      </c>
      <c r="AM109" s="15">
        <f t="shared" si="52"/>
        <v>0</v>
      </c>
      <c r="AN109" s="14"/>
      <c r="AO109" s="127">
        <f>SUM(J109:AM109)</f>
        <v>141.2200588235294</v>
      </c>
      <c r="AQ109" s="94"/>
      <c r="BD109" s="85"/>
      <c r="BE109" s="85"/>
      <c r="BF109" s="85"/>
      <c r="BG109" s="85"/>
      <c r="BH109" s="85"/>
      <c r="BI109" s="85"/>
      <c r="BJ109" s="85"/>
      <c r="BK109" s="85"/>
      <c r="BL109" s="85"/>
      <c r="BM109" s="85"/>
      <c r="CA109" s="93"/>
      <c r="CB109" s="93"/>
      <c r="DE109" s="93"/>
      <c r="EM109" s="66"/>
      <c r="EN109" s="93"/>
      <c r="EO109" s="93"/>
      <c r="EP109" s="93"/>
      <c r="EQ109" s="93"/>
      <c r="GT109" s="93"/>
      <c r="KO109" s="93"/>
      <c r="KP109" s="93"/>
      <c r="KQ109" s="93"/>
      <c r="KR109" s="93"/>
      <c r="PV109" s="93"/>
      <c r="PW109" s="93"/>
      <c r="PY109" s="93"/>
      <c r="QM109" s="92"/>
      <c r="QQ109" s="93"/>
      <c r="ST109" s="92"/>
      <c r="AIC109" s="5"/>
      <c r="AJR109" s="5"/>
      <c r="AJS109" s="5"/>
      <c r="AJT109" s="5"/>
    </row>
    <row r="110" spans="6:956" x14ac:dyDescent="0.3">
      <c r="F110" s="60"/>
      <c r="G110" s="65" t="s">
        <v>39</v>
      </c>
      <c r="H110" s="305"/>
      <c r="I110" s="55" t="s">
        <v>38</v>
      </c>
      <c r="J110" s="15">
        <f t="shared" ref="J110:AL110" si="53">SUM(J104:J105)/500</f>
        <v>0</v>
      </c>
      <c r="K110" s="15">
        <f t="shared" si="53"/>
        <v>0</v>
      </c>
      <c r="L110" s="15">
        <f t="shared" si="53"/>
        <v>0</v>
      </c>
      <c r="M110" s="15">
        <f t="shared" si="53"/>
        <v>0</v>
      </c>
      <c r="N110" s="15">
        <f t="shared" si="53"/>
        <v>0</v>
      </c>
      <c r="O110" s="15">
        <f t="shared" si="53"/>
        <v>0</v>
      </c>
      <c r="P110" s="15">
        <f t="shared" si="53"/>
        <v>0</v>
      </c>
      <c r="Q110" s="15">
        <f t="shared" si="53"/>
        <v>0</v>
      </c>
      <c r="R110" s="15">
        <f t="shared" si="53"/>
        <v>0</v>
      </c>
      <c r="S110" s="15">
        <f t="shared" si="53"/>
        <v>0</v>
      </c>
      <c r="T110" s="15">
        <f t="shared" si="53"/>
        <v>0</v>
      </c>
      <c r="U110" s="15">
        <f t="shared" si="53"/>
        <v>0</v>
      </c>
      <c r="V110" s="15">
        <f t="shared" si="53"/>
        <v>0</v>
      </c>
      <c r="W110" s="15">
        <f t="shared" si="53"/>
        <v>0</v>
      </c>
      <c r="X110" s="15">
        <f t="shared" si="53"/>
        <v>0.29199999999999998</v>
      </c>
      <c r="Y110" s="15">
        <f t="shared" si="53"/>
        <v>9.8000000000000004E-2</v>
      </c>
      <c r="Z110" s="15">
        <f t="shared" si="53"/>
        <v>0</v>
      </c>
      <c r="AA110" s="15">
        <f t="shared" si="53"/>
        <v>0</v>
      </c>
      <c r="AB110" s="15">
        <f t="shared" si="53"/>
        <v>0</v>
      </c>
      <c r="AC110" s="15">
        <f t="shared" si="53"/>
        <v>0</v>
      </c>
      <c r="AD110" s="15">
        <f t="shared" ref="AD110" si="54">SUM(AD104:AD105)/500</f>
        <v>0</v>
      </c>
      <c r="AE110" s="15">
        <f t="shared" si="53"/>
        <v>0</v>
      </c>
      <c r="AF110" s="15">
        <f t="shared" si="53"/>
        <v>0</v>
      </c>
      <c r="AG110" s="81">
        <f t="shared" si="53"/>
        <v>0</v>
      </c>
      <c r="AH110" s="15">
        <f t="shared" si="53"/>
        <v>0</v>
      </c>
      <c r="AI110" s="15">
        <f t="shared" ref="AI110:AK110" si="55">SUM(AI104:AI105)/500</f>
        <v>0</v>
      </c>
      <c r="AJ110" s="15">
        <f t="shared" si="55"/>
        <v>0</v>
      </c>
      <c r="AK110" s="15">
        <f t="shared" si="55"/>
        <v>0</v>
      </c>
      <c r="AL110" s="15">
        <f t="shared" si="53"/>
        <v>0.59199999999999997</v>
      </c>
      <c r="AM110" s="113">
        <f t="shared" ref="AM110" si="56">SUM(AM104:AM105)/500</f>
        <v>0</v>
      </c>
      <c r="AN110" s="14"/>
      <c r="AO110" s="127">
        <f>SUM(J110:AM110)</f>
        <v>0.98199999999999998</v>
      </c>
      <c r="AQ110" s="94"/>
      <c r="BD110" s="85"/>
      <c r="BE110" s="85"/>
      <c r="BF110" s="85"/>
      <c r="BG110" s="85"/>
      <c r="BH110" s="85"/>
      <c r="BI110" s="85"/>
      <c r="BJ110" s="85"/>
      <c r="BK110" s="85"/>
      <c r="BL110" s="85"/>
      <c r="BM110" s="85"/>
      <c r="CA110" s="93"/>
      <c r="CB110" s="93"/>
      <c r="DE110" s="93"/>
      <c r="EM110" s="66"/>
      <c r="EN110" s="93"/>
      <c r="EO110" s="93"/>
      <c r="EP110" s="93"/>
      <c r="EQ110" s="93"/>
      <c r="GT110" s="93"/>
      <c r="KO110" s="93"/>
      <c r="KP110" s="93"/>
      <c r="KQ110" s="93"/>
      <c r="KR110" s="93"/>
      <c r="PV110" s="93"/>
      <c r="PW110" s="93"/>
      <c r="PY110" s="93"/>
      <c r="QM110" s="92"/>
      <c r="QQ110" s="93"/>
      <c r="ST110" s="92"/>
      <c r="AIC110" s="5"/>
      <c r="AJR110" s="5"/>
      <c r="AJS110" s="5"/>
      <c r="AJT110" s="5"/>
    </row>
    <row r="111" spans="6:956" x14ac:dyDescent="0.3">
      <c r="F111" s="57"/>
      <c r="G111" s="103" t="s">
        <v>37</v>
      </c>
      <c r="H111" s="97"/>
      <c r="I111" s="97"/>
      <c r="J111" s="24"/>
      <c r="K111" s="24"/>
      <c r="L111" s="24"/>
      <c r="M111" s="24"/>
      <c r="N111" s="24"/>
      <c r="O111" s="24"/>
      <c r="P111" s="24"/>
      <c r="Q111" s="24"/>
      <c r="R111" s="24"/>
      <c r="S111" s="24"/>
      <c r="T111" s="24"/>
      <c r="U111" s="24"/>
      <c r="V111" s="24"/>
      <c r="W111" s="24"/>
      <c r="X111" s="24"/>
      <c r="Y111" s="24"/>
      <c r="Z111" s="24"/>
      <c r="AA111" s="24"/>
      <c r="AB111" s="24"/>
      <c r="AC111" s="24"/>
      <c r="AD111" s="24"/>
      <c r="AE111" s="24"/>
      <c r="AF111" s="24"/>
      <c r="AG111" s="102"/>
      <c r="AH111" s="24"/>
      <c r="AI111" s="24"/>
      <c r="AJ111" s="24"/>
      <c r="AK111" s="24"/>
      <c r="AL111" s="24"/>
      <c r="AM111" s="24"/>
      <c r="AN111" s="67"/>
      <c r="AO111" s="101" t="s">
        <v>34</v>
      </c>
      <c r="AQ111" s="12"/>
      <c r="BD111" s="85"/>
      <c r="BE111" s="85"/>
      <c r="BF111" s="85"/>
      <c r="BG111" s="85"/>
      <c r="BH111" s="85"/>
      <c r="BI111" s="85"/>
      <c r="BJ111" s="85"/>
      <c r="BK111" s="85"/>
      <c r="BL111" s="85"/>
      <c r="BM111" s="85"/>
      <c r="CA111" s="5"/>
      <c r="CB111" s="5"/>
      <c r="DE111" s="5"/>
      <c r="EM111" s="66"/>
      <c r="EN111" s="5"/>
      <c r="EO111" s="5"/>
      <c r="EP111" s="5"/>
      <c r="EQ111" s="5"/>
      <c r="GT111" s="5"/>
      <c r="KO111" s="5"/>
      <c r="KP111" s="5"/>
      <c r="KQ111" s="5"/>
      <c r="KR111" s="5"/>
      <c r="PV111" s="5"/>
      <c r="PW111" s="5"/>
      <c r="PY111" s="5"/>
      <c r="QM111" s="62"/>
      <c r="QQ111" s="5"/>
      <c r="ST111" s="62"/>
      <c r="AIC111" s="5"/>
      <c r="AJR111" s="5"/>
      <c r="AJS111" s="5"/>
      <c r="AJT111" s="5"/>
    </row>
    <row r="112" spans="6:956" x14ac:dyDescent="0.3">
      <c r="F112" s="60"/>
      <c r="G112" s="65" t="s">
        <v>33</v>
      </c>
      <c r="H112" s="305"/>
      <c r="I112" s="60"/>
      <c r="J112" s="15"/>
      <c r="K112" s="15"/>
      <c r="L112" s="15"/>
      <c r="M112" s="15"/>
      <c r="N112" s="15"/>
      <c r="O112" s="15"/>
      <c r="P112" s="15"/>
      <c r="Q112" s="15"/>
      <c r="R112" s="15"/>
      <c r="S112" s="15"/>
      <c r="T112" s="15"/>
      <c r="U112" s="15"/>
      <c r="V112" s="15"/>
      <c r="W112" s="15"/>
      <c r="X112" s="15"/>
      <c r="Y112" s="15"/>
      <c r="Z112" s="15"/>
      <c r="AA112" s="15"/>
      <c r="AB112" s="15"/>
      <c r="AC112" s="15"/>
      <c r="AD112" s="15"/>
      <c r="AE112" s="15"/>
      <c r="AF112" s="15"/>
      <c r="AG112" s="15"/>
      <c r="AH112" s="15"/>
      <c r="AI112" s="15"/>
      <c r="AJ112" s="15"/>
      <c r="AK112" s="15"/>
      <c r="AL112" s="15"/>
      <c r="AM112" s="15"/>
      <c r="AN112" s="14"/>
      <c r="AO112" s="100" t="s">
        <v>33</v>
      </c>
      <c r="AQ112" s="94"/>
      <c r="CA112" s="93"/>
      <c r="CB112" s="93"/>
      <c r="DE112" s="93"/>
      <c r="EM112" s="66"/>
      <c r="EN112" s="93"/>
      <c r="EO112" s="93"/>
      <c r="EP112" s="93"/>
      <c r="EQ112" s="93"/>
      <c r="GT112" s="93"/>
      <c r="KO112" s="93"/>
      <c r="KP112" s="93"/>
      <c r="KQ112" s="93"/>
      <c r="KR112" s="93"/>
      <c r="PV112" s="93"/>
      <c r="PW112" s="93"/>
      <c r="PY112" s="93"/>
      <c r="QM112" s="92"/>
      <c r="QQ112" s="93"/>
      <c r="ST112" s="92"/>
      <c r="AIC112" s="5"/>
      <c r="AJR112" s="5"/>
      <c r="AJS112" s="5"/>
      <c r="AJT112" s="5"/>
    </row>
    <row r="113" spans="6:956" x14ac:dyDescent="0.3">
      <c r="F113" s="60"/>
      <c r="G113" s="99" t="s">
        <v>53</v>
      </c>
      <c r="H113" s="305"/>
      <c r="I113" s="55" t="s">
        <v>36</v>
      </c>
      <c r="J113" s="61">
        <v>0</v>
      </c>
      <c r="K113" s="61">
        <v>0</v>
      </c>
      <c r="L113" s="61">
        <v>0</v>
      </c>
      <c r="M113" s="61">
        <v>0</v>
      </c>
      <c r="N113" s="61">
        <v>0</v>
      </c>
      <c r="O113" s="61">
        <v>0</v>
      </c>
      <c r="P113" s="61">
        <v>0</v>
      </c>
      <c r="Q113" s="61">
        <v>0</v>
      </c>
      <c r="R113" s="61">
        <v>0</v>
      </c>
      <c r="S113" s="61">
        <v>0</v>
      </c>
      <c r="T113" s="61">
        <v>0</v>
      </c>
      <c r="U113" s="61">
        <v>0</v>
      </c>
      <c r="V113" s="61">
        <v>0</v>
      </c>
      <c r="W113" s="61">
        <v>0</v>
      </c>
      <c r="X113" s="61">
        <v>0</v>
      </c>
      <c r="Y113" s="61">
        <v>0</v>
      </c>
      <c r="Z113" s="61">
        <v>0</v>
      </c>
      <c r="AA113" s="61">
        <v>0</v>
      </c>
      <c r="AB113" s="61">
        <v>0</v>
      </c>
      <c r="AC113" s="61">
        <v>0</v>
      </c>
      <c r="AD113" s="61">
        <v>0</v>
      </c>
      <c r="AE113" s="61">
        <v>0</v>
      </c>
      <c r="AF113" s="61">
        <v>0</v>
      </c>
      <c r="AG113" s="61">
        <v>0</v>
      </c>
      <c r="AH113" s="61">
        <v>0</v>
      </c>
      <c r="AI113" s="61">
        <v>0</v>
      </c>
      <c r="AJ113" s="61">
        <v>0</v>
      </c>
      <c r="AK113" s="61">
        <v>0</v>
      </c>
      <c r="AL113" s="61">
        <v>0</v>
      </c>
      <c r="AM113" s="61">
        <v>0</v>
      </c>
      <c r="AN113" s="14"/>
      <c r="AO113" s="58">
        <f>SUM(J113:AM113)</f>
        <v>0</v>
      </c>
      <c r="AQ113" s="94"/>
      <c r="CA113" s="93"/>
      <c r="CB113" s="93"/>
      <c r="DE113" s="93"/>
      <c r="EM113" s="66"/>
      <c r="EN113" s="93"/>
      <c r="EO113" s="93"/>
      <c r="EP113" s="93"/>
      <c r="EQ113" s="93"/>
      <c r="GT113" s="93"/>
      <c r="KO113" s="93"/>
      <c r="KP113" s="93"/>
      <c r="KQ113" s="93"/>
      <c r="KR113" s="93"/>
      <c r="PV113" s="93"/>
      <c r="PW113" s="93"/>
      <c r="PY113" s="93"/>
      <c r="QM113" s="92"/>
      <c r="QQ113" s="93"/>
      <c r="ST113" s="92"/>
      <c r="AIC113" s="5"/>
      <c r="AJR113" s="5"/>
      <c r="AJS113" s="5"/>
      <c r="AJT113" s="5"/>
    </row>
    <row r="114" spans="6:956" x14ac:dyDescent="0.3">
      <c r="F114" s="60"/>
      <c r="G114" s="99" t="s">
        <v>52</v>
      </c>
      <c r="H114" s="305"/>
      <c r="I114" s="55" t="s">
        <v>36</v>
      </c>
      <c r="J114" s="61">
        <v>0</v>
      </c>
      <c r="K114" s="61">
        <v>0</v>
      </c>
      <c r="L114" s="61">
        <v>0</v>
      </c>
      <c r="M114" s="61">
        <v>0</v>
      </c>
      <c r="N114" s="61">
        <v>0</v>
      </c>
      <c r="O114" s="61">
        <v>0</v>
      </c>
      <c r="P114" s="61">
        <v>0</v>
      </c>
      <c r="Q114" s="61">
        <v>0</v>
      </c>
      <c r="R114" s="61">
        <v>0</v>
      </c>
      <c r="S114" s="61">
        <v>0</v>
      </c>
      <c r="T114" s="61">
        <v>0</v>
      </c>
      <c r="U114" s="61">
        <v>0</v>
      </c>
      <c r="V114" s="61">
        <v>0</v>
      </c>
      <c r="W114" s="61">
        <v>0</v>
      </c>
      <c r="X114" s="61">
        <v>0</v>
      </c>
      <c r="Y114" s="61">
        <v>0</v>
      </c>
      <c r="Z114" s="61">
        <v>0</v>
      </c>
      <c r="AA114" s="61">
        <v>0</v>
      </c>
      <c r="AB114" s="61">
        <v>0</v>
      </c>
      <c r="AC114" s="61">
        <v>0</v>
      </c>
      <c r="AD114" s="61">
        <v>0</v>
      </c>
      <c r="AE114" s="61">
        <v>0</v>
      </c>
      <c r="AF114" s="61">
        <v>0</v>
      </c>
      <c r="AG114" s="61">
        <v>0</v>
      </c>
      <c r="AH114" s="61">
        <v>0</v>
      </c>
      <c r="AI114" s="61">
        <v>0</v>
      </c>
      <c r="AJ114" s="61">
        <v>0</v>
      </c>
      <c r="AK114" s="61">
        <v>0</v>
      </c>
      <c r="AL114" s="61">
        <v>0</v>
      </c>
      <c r="AM114" s="61">
        <v>0</v>
      </c>
      <c r="AN114" s="14"/>
      <c r="AO114" s="58">
        <f>SUM(J114:AM114)</f>
        <v>0</v>
      </c>
      <c r="AQ114" s="94"/>
      <c r="CA114" s="93"/>
      <c r="CB114" s="93"/>
      <c r="DE114" s="93"/>
      <c r="EM114" s="66"/>
      <c r="EN114" s="93"/>
      <c r="EO114" s="93"/>
      <c r="EP114" s="93"/>
      <c r="EQ114" s="93"/>
      <c r="GT114" s="93"/>
      <c r="KO114" s="93"/>
      <c r="KP114" s="93"/>
      <c r="KQ114" s="93"/>
      <c r="KR114" s="93"/>
      <c r="PV114" s="93"/>
      <c r="PW114" s="93"/>
      <c r="PY114" s="93"/>
      <c r="QM114" s="92"/>
      <c r="QQ114" s="93"/>
      <c r="ST114" s="92"/>
      <c r="AIC114" s="5"/>
      <c r="AJR114" s="5"/>
      <c r="AJS114" s="5"/>
      <c r="AJT114" s="5"/>
    </row>
    <row r="115" spans="6:956" x14ac:dyDescent="0.3">
      <c r="F115" s="60"/>
      <c r="G115" s="65" t="s">
        <v>32</v>
      </c>
      <c r="H115" s="305"/>
      <c r="I115" s="60"/>
      <c r="J115" s="61"/>
      <c r="K115" s="61"/>
      <c r="L115" s="61"/>
      <c r="M115" s="61"/>
      <c r="N115" s="61"/>
      <c r="O115" s="61"/>
      <c r="P115" s="61"/>
      <c r="Q115" s="61"/>
      <c r="R115" s="61"/>
      <c r="S115" s="61"/>
      <c r="T115" s="61"/>
      <c r="U115" s="61"/>
      <c r="V115" s="61"/>
      <c r="W115" s="61"/>
      <c r="X115" s="61"/>
      <c r="Y115" s="61"/>
      <c r="Z115" s="61"/>
      <c r="AA115" s="61"/>
      <c r="AB115" s="61"/>
      <c r="AC115" s="61"/>
      <c r="AD115" s="61"/>
      <c r="AE115" s="61"/>
      <c r="AF115" s="61"/>
      <c r="AG115" s="61"/>
      <c r="AH115" s="61"/>
      <c r="AI115" s="61"/>
      <c r="AJ115" s="61"/>
      <c r="AK115" s="61"/>
      <c r="AL115" s="61"/>
      <c r="AM115" s="61"/>
      <c r="AN115" s="14"/>
      <c r="AO115" s="100" t="s">
        <v>32</v>
      </c>
      <c r="AQ115" s="94"/>
      <c r="CA115" s="93"/>
      <c r="CB115" s="93"/>
      <c r="DE115" s="93"/>
      <c r="EM115" s="66"/>
      <c r="EN115" s="93"/>
      <c r="EO115" s="93"/>
      <c r="EP115" s="93"/>
      <c r="EQ115" s="93"/>
      <c r="GT115" s="93"/>
      <c r="KO115" s="93"/>
      <c r="KP115" s="93"/>
      <c r="KQ115" s="93"/>
      <c r="KR115" s="93"/>
      <c r="PV115" s="93"/>
      <c r="PW115" s="93"/>
      <c r="PY115" s="93"/>
      <c r="QM115" s="92"/>
      <c r="QQ115" s="93"/>
      <c r="ST115" s="92"/>
      <c r="AIC115" s="5"/>
      <c r="AJR115" s="5"/>
      <c r="AJS115" s="5"/>
      <c r="AJT115" s="5"/>
    </row>
    <row r="116" spans="6:956" x14ac:dyDescent="0.3">
      <c r="F116" s="60"/>
      <c r="G116" s="99" t="s">
        <v>53</v>
      </c>
      <c r="H116" s="305"/>
      <c r="I116" s="55" t="s">
        <v>32</v>
      </c>
      <c r="J116" s="61">
        <v>0</v>
      </c>
      <c r="K116" s="61">
        <v>0</v>
      </c>
      <c r="L116" s="61">
        <v>0</v>
      </c>
      <c r="M116" s="61">
        <v>0</v>
      </c>
      <c r="N116" s="61">
        <v>0</v>
      </c>
      <c r="O116" s="61">
        <v>0</v>
      </c>
      <c r="P116" s="61">
        <v>0</v>
      </c>
      <c r="Q116" s="61">
        <v>0</v>
      </c>
      <c r="R116" s="61">
        <v>0</v>
      </c>
      <c r="S116" s="61">
        <v>0</v>
      </c>
      <c r="T116" s="61">
        <v>0</v>
      </c>
      <c r="U116" s="61">
        <v>0</v>
      </c>
      <c r="V116" s="61">
        <v>0</v>
      </c>
      <c r="W116" s="61">
        <v>0</v>
      </c>
      <c r="X116" s="61">
        <v>0</v>
      </c>
      <c r="Y116" s="61">
        <v>0</v>
      </c>
      <c r="Z116" s="61">
        <v>0</v>
      </c>
      <c r="AA116" s="61">
        <v>0</v>
      </c>
      <c r="AB116" s="61">
        <v>0</v>
      </c>
      <c r="AC116" s="61">
        <v>0</v>
      </c>
      <c r="AD116" s="61">
        <v>0</v>
      </c>
      <c r="AE116" s="61">
        <v>0</v>
      </c>
      <c r="AF116" s="61">
        <v>0</v>
      </c>
      <c r="AG116" s="61">
        <v>0</v>
      </c>
      <c r="AH116" s="61">
        <v>0</v>
      </c>
      <c r="AI116" s="61">
        <v>0</v>
      </c>
      <c r="AJ116" s="61">
        <v>0</v>
      </c>
      <c r="AK116" s="61">
        <v>0</v>
      </c>
      <c r="AL116" s="61">
        <v>0</v>
      </c>
      <c r="AM116" s="61">
        <v>0</v>
      </c>
      <c r="AN116" s="14"/>
      <c r="AO116" s="58">
        <f>SUM(J116:AM116)</f>
        <v>0</v>
      </c>
      <c r="AQ116" s="94"/>
      <c r="CA116" s="93"/>
      <c r="CB116" s="93"/>
      <c r="DE116" s="93"/>
      <c r="EM116" s="66"/>
      <c r="EN116" s="93"/>
      <c r="EO116" s="93"/>
      <c r="EP116" s="93"/>
      <c r="EQ116" s="93"/>
      <c r="GT116" s="93"/>
      <c r="KO116" s="93"/>
      <c r="KP116" s="93"/>
      <c r="KQ116" s="93"/>
      <c r="KR116" s="93"/>
      <c r="PV116" s="93"/>
      <c r="PW116" s="93"/>
      <c r="PY116" s="93"/>
      <c r="QM116" s="92"/>
      <c r="QQ116" s="93"/>
      <c r="ST116" s="92"/>
      <c r="AIC116" s="5"/>
      <c r="AJR116" s="5"/>
      <c r="AJS116" s="5"/>
      <c r="AJT116" s="5"/>
    </row>
    <row r="117" spans="6:956" x14ac:dyDescent="0.3">
      <c r="F117" s="60"/>
      <c r="G117" s="99" t="s">
        <v>52</v>
      </c>
      <c r="H117" s="305"/>
      <c r="I117" s="55" t="s">
        <v>32</v>
      </c>
      <c r="J117" s="61">
        <v>0</v>
      </c>
      <c r="K117" s="61">
        <v>0</v>
      </c>
      <c r="L117" s="61">
        <v>0</v>
      </c>
      <c r="M117" s="61">
        <v>0</v>
      </c>
      <c r="N117" s="61">
        <v>0</v>
      </c>
      <c r="O117" s="61">
        <v>0</v>
      </c>
      <c r="P117" s="61">
        <v>0</v>
      </c>
      <c r="Q117" s="61">
        <v>0</v>
      </c>
      <c r="R117" s="61">
        <v>0</v>
      </c>
      <c r="S117" s="61">
        <v>0</v>
      </c>
      <c r="T117" s="61">
        <v>0</v>
      </c>
      <c r="U117" s="61">
        <v>0</v>
      </c>
      <c r="V117" s="61">
        <v>0</v>
      </c>
      <c r="W117" s="61">
        <v>0</v>
      </c>
      <c r="X117" s="61">
        <v>0</v>
      </c>
      <c r="Y117" s="61">
        <v>0</v>
      </c>
      <c r="Z117" s="61">
        <v>0</v>
      </c>
      <c r="AA117" s="61">
        <v>0</v>
      </c>
      <c r="AB117" s="61">
        <v>0</v>
      </c>
      <c r="AC117" s="61">
        <v>0</v>
      </c>
      <c r="AD117" s="61">
        <v>0</v>
      </c>
      <c r="AE117" s="61">
        <v>0</v>
      </c>
      <c r="AF117" s="61">
        <v>0</v>
      </c>
      <c r="AG117" s="61">
        <v>0</v>
      </c>
      <c r="AH117" s="61">
        <v>0</v>
      </c>
      <c r="AI117" s="61">
        <v>0</v>
      </c>
      <c r="AJ117" s="61">
        <v>0</v>
      </c>
      <c r="AK117" s="61">
        <v>0</v>
      </c>
      <c r="AL117" s="61">
        <v>0</v>
      </c>
      <c r="AM117" s="61">
        <v>0</v>
      </c>
      <c r="AN117" s="14"/>
      <c r="AO117" s="58">
        <f>SUM(J117:AM117)</f>
        <v>0</v>
      </c>
      <c r="AQ117" s="94"/>
      <c r="CA117" s="93"/>
      <c r="CB117" s="93"/>
      <c r="DE117" s="93"/>
      <c r="EM117" s="66"/>
      <c r="EN117" s="93"/>
      <c r="EO117" s="93"/>
      <c r="EP117" s="93"/>
      <c r="EQ117" s="93"/>
      <c r="GT117" s="93"/>
      <c r="KO117" s="93"/>
      <c r="KP117" s="93"/>
      <c r="KQ117" s="93"/>
      <c r="KR117" s="93"/>
      <c r="PV117" s="93"/>
      <c r="PW117" s="93"/>
      <c r="PY117" s="93"/>
      <c r="QM117" s="92"/>
      <c r="QQ117" s="93"/>
      <c r="ST117" s="92"/>
      <c r="AIC117" s="5"/>
      <c r="AJR117" s="5"/>
      <c r="AJS117" s="5"/>
      <c r="AJT117" s="5"/>
    </row>
    <row r="118" spans="6:956" ht="15" hidden="1" customHeight="1" x14ac:dyDescent="0.3">
      <c r="F118" s="57"/>
      <c r="G118" s="103" t="s">
        <v>35</v>
      </c>
      <c r="H118" s="97"/>
      <c r="I118" s="97"/>
      <c r="J118" s="24"/>
      <c r="K118" s="24"/>
      <c r="L118" s="24"/>
      <c r="M118" s="24"/>
      <c r="N118" s="24"/>
      <c r="O118" s="24"/>
      <c r="P118" s="24"/>
      <c r="Q118" s="24"/>
      <c r="R118" s="24"/>
      <c r="S118" s="24"/>
      <c r="T118" s="24"/>
      <c r="U118" s="24"/>
      <c r="V118" s="24"/>
      <c r="W118" s="24"/>
      <c r="X118" s="24"/>
      <c r="Y118" s="24"/>
      <c r="Z118" s="24"/>
      <c r="AA118" s="24"/>
      <c r="AB118" s="24"/>
      <c r="AC118" s="24"/>
      <c r="AD118" s="24"/>
      <c r="AE118" s="24"/>
      <c r="AF118" s="24"/>
      <c r="AG118" s="102"/>
      <c r="AH118" s="24"/>
      <c r="AI118" s="24"/>
      <c r="AJ118" s="24"/>
      <c r="AK118" s="24"/>
      <c r="AL118" s="24"/>
      <c r="AM118" s="24"/>
      <c r="AN118" s="67"/>
      <c r="AO118" s="101" t="s">
        <v>34</v>
      </c>
      <c r="AQ118" s="12"/>
      <c r="CA118" s="5"/>
      <c r="CB118" s="5"/>
      <c r="DE118" s="5"/>
      <c r="EM118" s="66"/>
      <c r="EN118" s="5"/>
      <c r="EO118" s="5"/>
      <c r="EP118" s="5"/>
      <c r="EQ118" s="5"/>
      <c r="GT118" s="5"/>
      <c r="KO118" s="5"/>
      <c r="KP118" s="5"/>
      <c r="KQ118" s="5"/>
      <c r="KR118" s="5"/>
      <c r="PV118" s="5"/>
      <c r="PW118" s="5"/>
      <c r="PY118" s="5"/>
      <c r="QM118" s="62"/>
      <c r="QQ118" s="5"/>
      <c r="ST118" s="62"/>
      <c r="AIC118" s="5"/>
      <c r="AJR118" s="5"/>
      <c r="AJS118" s="5"/>
      <c r="AJT118" s="5"/>
    </row>
    <row r="119" spans="6:956" ht="15" hidden="1" customHeight="1" x14ac:dyDescent="0.3">
      <c r="F119" s="60"/>
      <c r="G119" s="65" t="s">
        <v>33</v>
      </c>
      <c r="H119" s="305"/>
      <c r="I119" s="60"/>
      <c r="J119" s="15"/>
      <c r="K119" s="15"/>
      <c r="L119" s="15"/>
      <c r="M119" s="15"/>
      <c r="N119" s="15"/>
      <c r="O119" s="15"/>
      <c r="P119" s="15"/>
      <c r="Q119" s="15"/>
      <c r="R119" s="15"/>
      <c r="S119" s="15"/>
      <c r="T119" s="15"/>
      <c r="U119" s="15"/>
      <c r="V119" s="15"/>
      <c r="W119" s="15"/>
      <c r="X119" s="15"/>
      <c r="Y119" s="15"/>
      <c r="Z119" s="15"/>
      <c r="AA119" s="15"/>
      <c r="AB119" s="15"/>
      <c r="AC119" s="15"/>
      <c r="AD119" s="15"/>
      <c r="AE119" s="15"/>
      <c r="AF119" s="15"/>
      <c r="AG119" s="15"/>
      <c r="AH119" s="15"/>
      <c r="AI119" s="15"/>
      <c r="AJ119" s="15"/>
      <c r="AK119" s="15"/>
      <c r="AL119" s="15"/>
      <c r="AM119" s="15"/>
      <c r="AN119" s="14"/>
      <c r="AO119" s="100" t="s">
        <v>33</v>
      </c>
      <c r="AQ119" s="94"/>
      <c r="CA119" s="93"/>
      <c r="CB119" s="93"/>
      <c r="DE119" s="93"/>
      <c r="EM119" s="66"/>
      <c r="EN119" s="93"/>
      <c r="EO119" s="93"/>
      <c r="EP119" s="93"/>
      <c r="EQ119" s="93"/>
      <c r="GT119" s="93"/>
      <c r="KO119" s="93"/>
      <c r="KP119" s="93"/>
      <c r="KQ119" s="93"/>
      <c r="KR119" s="93"/>
      <c r="PV119" s="93"/>
      <c r="PW119" s="93"/>
      <c r="PY119" s="93"/>
      <c r="QM119" s="92"/>
      <c r="QQ119" s="93"/>
      <c r="ST119" s="92"/>
      <c r="AIC119" s="5"/>
      <c r="AJR119" s="5"/>
      <c r="AJS119" s="5"/>
      <c r="AJT119" s="5"/>
    </row>
    <row r="120" spans="6:956" ht="15" hidden="1" customHeight="1" x14ac:dyDescent="0.3">
      <c r="F120" s="60"/>
      <c r="G120" s="99" t="s">
        <v>53</v>
      </c>
      <c r="H120" s="303">
        <v>0.3</v>
      </c>
      <c r="I120" s="55" t="s">
        <v>29</v>
      </c>
      <c r="J120" s="81" t="e">
        <f t="shared" ref="J120:AM121" si="57">J113/J104*100</f>
        <v>#DIV/0!</v>
      </c>
      <c r="K120" s="81" t="e">
        <f t="shared" si="57"/>
        <v>#DIV/0!</v>
      </c>
      <c r="L120" s="81" t="e">
        <f t="shared" si="57"/>
        <v>#DIV/0!</v>
      </c>
      <c r="M120" s="81" t="e">
        <f t="shared" si="57"/>
        <v>#DIV/0!</v>
      </c>
      <c r="N120" s="81" t="e">
        <f t="shared" si="57"/>
        <v>#DIV/0!</v>
      </c>
      <c r="O120" s="81" t="e">
        <f t="shared" si="57"/>
        <v>#DIV/0!</v>
      </c>
      <c r="P120" s="81" t="e">
        <f t="shared" si="57"/>
        <v>#DIV/0!</v>
      </c>
      <c r="Q120" s="81" t="e">
        <f t="shared" si="57"/>
        <v>#DIV/0!</v>
      </c>
      <c r="R120" s="81" t="e">
        <f t="shared" si="57"/>
        <v>#DIV/0!</v>
      </c>
      <c r="S120" s="81" t="e">
        <f t="shared" si="57"/>
        <v>#DIV/0!</v>
      </c>
      <c r="T120" s="81" t="e">
        <f t="shared" si="57"/>
        <v>#DIV/0!</v>
      </c>
      <c r="U120" s="81" t="e">
        <f t="shared" si="57"/>
        <v>#DIV/0!</v>
      </c>
      <c r="V120" s="81" t="e">
        <f t="shared" si="57"/>
        <v>#DIV/0!</v>
      </c>
      <c r="W120" s="81" t="e">
        <f t="shared" si="57"/>
        <v>#DIV/0!</v>
      </c>
      <c r="X120" s="81">
        <f t="shared" si="57"/>
        <v>0</v>
      </c>
      <c r="Y120" s="81">
        <f t="shared" si="57"/>
        <v>0</v>
      </c>
      <c r="Z120" s="81" t="e">
        <f t="shared" si="57"/>
        <v>#DIV/0!</v>
      </c>
      <c r="AA120" s="81" t="e">
        <f t="shared" si="57"/>
        <v>#DIV/0!</v>
      </c>
      <c r="AB120" s="81" t="e">
        <f t="shared" si="57"/>
        <v>#DIV/0!</v>
      </c>
      <c r="AC120" s="81" t="e">
        <f t="shared" si="57"/>
        <v>#DIV/0!</v>
      </c>
      <c r="AD120" s="81" t="e">
        <f t="shared" si="57"/>
        <v>#DIV/0!</v>
      </c>
      <c r="AE120" s="81" t="e">
        <f t="shared" si="57"/>
        <v>#DIV/0!</v>
      </c>
      <c r="AF120" s="81" t="e">
        <f t="shared" si="57"/>
        <v>#DIV/0!</v>
      </c>
      <c r="AG120" s="81" t="e">
        <f t="shared" si="57"/>
        <v>#DIV/0!</v>
      </c>
      <c r="AH120" s="81" t="e">
        <f t="shared" si="57"/>
        <v>#DIV/0!</v>
      </c>
      <c r="AI120" s="81" t="e">
        <f t="shared" si="57"/>
        <v>#DIV/0!</v>
      </c>
      <c r="AJ120" s="81" t="e">
        <f t="shared" si="57"/>
        <v>#DIV/0!</v>
      </c>
      <c r="AK120" s="81" t="e">
        <f t="shared" si="57"/>
        <v>#DIV/0!</v>
      </c>
      <c r="AL120" s="81">
        <f t="shared" si="57"/>
        <v>0</v>
      </c>
      <c r="AM120" s="81" t="e">
        <f t="shared" si="57"/>
        <v>#DIV/0!</v>
      </c>
      <c r="AN120" s="14"/>
      <c r="AO120" s="98">
        <f>AO113/AO104*100</f>
        <v>0</v>
      </c>
      <c r="AQ120" s="94"/>
      <c r="CA120" s="93"/>
      <c r="CB120" s="93"/>
      <c r="DE120" s="93"/>
      <c r="EM120" s="66"/>
      <c r="EN120" s="93"/>
      <c r="EO120" s="93"/>
      <c r="EP120" s="93"/>
      <c r="EQ120" s="93"/>
      <c r="GT120" s="93"/>
      <c r="KO120" s="93"/>
      <c r="KP120" s="93"/>
      <c r="KQ120" s="93"/>
      <c r="KR120" s="93"/>
      <c r="PV120" s="93"/>
      <c r="PW120" s="93"/>
      <c r="PY120" s="93"/>
      <c r="QM120" s="92"/>
      <c r="QQ120" s="93"/>
      <c r="ST120" s="92"/>
      <c r="AIC120" s="5"/>
      <c r="AJR120" s="5"/>
      <c r="AJS120" s="5"/>
      <c r="AJT120" s="5"/>
    </row>
    <row r="121" spans="6:956" ht="15" hidden="1" customHeight="1" x14ac:dyDescent="0.3">
      <c r="F121" s="60"/>
      <c r="G121" s="99" t="s">
        <v>52</v>
      </c>
      <c r="H121" s="303">
        <v>0.3</v>
      </c>
      <c r="I121" s="55" t="s">
        <v>29</v>
      </c>
      <c r="J121" s="81" t="e">
        <f t="shared" si="57"/>
        <v>#DIV/0!</v>
      </c>
      <c r="K121" s="81" t="e">
        <f t="shared" si="57"/>
        <v>#DIV/0!</v>
      </c>
      <c r="L121" s="81" t="e">
        <f t="shared" si="57"/>
        <v>#DIV/0!</v>
      </c>
      <c r="M121" s="81" t="e">
        <f t="shared" si="57"/>
        <v>#DIV/0!</v>
      </c>
      <c r="N121" s="81" t="e">
        <f t="shared" si="57"/>
        <v>#DIV/0!</v>
      </c>
      <c r="O121" s="81" t="e">
        <f t="shared" si="57"/>
        <v>#DIV/0!</v>
      </c>
      <c r="P121" s="81" t="e">
        <f t="shared" si="57"/>
        <v>#DIV/0!</v>
      </c>
      <c r="Q121" s="81" t="e">
        <f t="shared" si="57"/>
        <v>#DIV/0!</v>
      </c>
      <c r="R121" s="81" t="e">
        <f t="shared" si="57"/>
        <v>#DIV/0!</v>
      </c>
      <c r="S121" s="81" t="e">
        <f t="shared" si="57"/>
        <v>#DIV/0!</v>
      </c>
      <c r="T121" s="81" t="e">
        <f t="shared" si="57"/>
        <v>#DIV/0!</v>
      </c>
      <c r="U121" s="81" t="e">
        <f t="shared" si="57"/>
        <v>#DIV/0!</v>
      </c>
      <c r="V121" s="81" t="e">
        <f t="shared" si="57"/>
        <v>#DIV/0!</v>
      </c>
      <c r="W121" s="81" t="e">
        <f t="shared" si="57"/>
        <v>#DIV/0!</v>
      </c>
      <c r="X121" s="81" t="e">
        <f t="shared" si="57"/>
        <v>#DIV/0!</v>
      </c>
      <c r="Y121" s="81" t="e">
        <f t="shared" si="57"/>
        <v>#DIV/0!</v>
      </c>
      <c r="Z121" s="81" t="e">
        <f t="shared" si="57"/>
        <v>#DIV/0!</v>
      </c>
      <c r="AA121" s="81" t="e">
        <f t="shared" si="57"/>
        <v>#DIV/0!</v>
      </c>
      <c r="AB121" s="81" t="e">
        <f t="shared" si="57"/>
        <v>#DIV/0!</v>
      </c>
      <c r="AC121" s="81" t="e">
        <f t="shared" si="57"/>
        <v>#DIV/0!</v>
      </c>
      <c r="AD121" s="81" t="e">
        <f t="shared" si="57"/>
        <v>#DIV/0!</v>
      </c>
      <c r="AE121" s="81" t="e">
        <f t="shared" si="57"/>
        <v>#DIV/0!</v>
      </c>
      <c r="AF121" s="81" t="e">
        <f t="shared" si="57"/>
        <v>#DIV/0!</v>
      </c>
      <c r="AG121" s="81" t="e">
        <f t="shared" si="57"/>
        <v>#DIV/0!</v>
      </c>
      <c r="AH121" s="81" t="e">
        <f t="shared" si="57"/>
        <v>#DIV/0!</v>
      </c>
      <c r="AI121" s="81" t="e">
        <f t="shared" si="57"/>
        <v>#DIV/0!</v>
      </c>
      <c r="AJ121" s="81" t="e">
        <f t="shared" si="57"/>
        <v>#DIV/0!</v>
      </c>
      <c r="AK121" s="81" t="e">
        <f t="shared" si="57"/>
        <v>#DIV/0!</v>
      </c>
      <c r="AL121" s="81">
        <f t="shared" si="57"/>
        <v>0</v>
      </c>
      <c r="AM121" s="81" t="e">
        <f t="shared" si="57"/>
        <v>#DIV/0!</v>
      </c>
      <c r="AN121" s="14"/>
      <c r="AO121" s="98">
        <f>AO114/AO105*100</f>
        <v>0</v>
      </c>
      <c r="AQ121" s="94"/>
      <c r="CA121" s="93"/>
      <c r="CB121" s="93"/>
      <c r="DE121" s="93"/>
      <c r="EM121" s="66"/>
      <c r="EN121" s="93"/>
      <c r="EO121" s="93"/>
      <c r="EP121" s="93"/>
      <c r="EQ121" s="93"/>
      <c r="GT121" s="93"/>
      <c r="KO121" s="93"/>
      <c r="KP121" s="93"/>
      <c r="KQ121" s="93"/>
      <c r="KR121" s="93"/>
      <c r="PV121" s="93"/>
      <c r="PW121" s="93"/>
      <c r="PY121" s="93"/>
      <c r="QM121" s="92"/>
      <c r="QQ121" s="93"/>
      <c r="ST121" s="92"/>
      <c r="AIC121" s="5"/>
      <c r="AJR121" s="5"/>
      <c r="AJS121" s="5"/>
      <c r="AJT121" s="5"/>
    </row>
    <row r="122" spans="6:956" ht="15" hidden="1" customHeight="1" x14ac:dyDescent="0.3">
      <c r="F122" s="60"/>
      <c r="G122" s="65" t="s">
        <v>32</v>
      </c>
      <c r="H122" s="303"/>
      <c r="I122" s="60"/>
      <c r="J122" s="81"/>
      <c r="K122" s="81"/>
      <c r="L122" s="81"/>
      <c r="M122" s="81"/>
      <c r="N122" s="81"/>
      <c r="O122" s="81"/>
      <c r="P122" s="81"/>
      <c r="Q122" s="81"/>
      <c r="R122" s="81"/>
      <c r="S122" s="81"/>
      <c r="T122" s="81"/>
      <c r="U122" s="81"/>
      <c r="V122" s="81"/>
      <c r="W122" s="81"/>
      <c r="X122" s="81"/>
      <c r="Y122" s="81"/>
      <c r="Z122" s="81"/>
      <c r="AA122" s="81"/>
      <c r="AB122" s="81"/>
      <c r="AC122" s="81"/>
      <c r="AD122" s="81"/>
      <c r="AE122" s="81"/>
      <c r="AF122" s="81"/>
      <c r="AG122" s="81"/>
      <c r="AH122" s="81"/>
      <c r="AI122" s="81"/>
      <c r="AJ122" s="81"/>
      <c r="AK122" s="81"/>
      <c r="AL122" s="81"/>
      <c r="AM122" s="81"/>
      <c r="AN122" s="14"/>
      <c r="AO122" s="100" t="s">
        <v>32</v>
      </c>
      <c r="AQ122" s="94"/>
      <c r="CA122" s="93"/>
      <c r="CB122" s="93"/>
      <c r="DE122" s="93"/>
      <c r="EM122" s="66"/>
      <c r="EN122" s="93"/>
      <c r="EO122" s="93"/>
      <c r="EP122" s="93"/>
      <c r="EQ122" s="93"/>
      <c r="GT122" s="93"/>
      <c r="KO122" s="93"/>
      <c r="KP122" s="93"/>
      <c r="KQ122" s="93"/>
      <c r="KR122" s="93"/>
      <c r="PV122" s="93"/>
      <c r="PW122" s="93"/>
      <c r="PY122" s="93"/>
      <c r="QM122" s="92"/>
      <c r="QQ122" s="93"/>
      <c r="ST122" s="92"/>
      <c r="AIC122" s="5"/>
      <c r="AJR122" s="5"/>
      <c r="AJS122" s="5"/>
      <c r="AJT122" s="5"/>
    </row>
    <row r="123" spans="6:956" ht="15" hidden="1" customHeight="1" x14ac:dyDescent="0.3">
      <c r="F123" s="60"/>
      <c r="G123" s="99" t="s">
        <v>53</v>
      </c>
      <c r="H123" s="303">
        <v>0.5</v>
      </c>
      <c r="I123" s="55" t="s">
        <v>29</v>
      </c>
      <c r="J123" s="81" t="e">
        <f t="shared" ref="J123:AM124" si="58">J116/J107*100</f>
        <v>#DIV/0!</v>
      </c>
      <c r="K123" s="81" t="e">
        <f t="shared" si="58"/>
        <v>#DIV/0!</v>
      </c>
      <c r="L123" s="81" t="e">
        <f t="shared" si="58"/>
        <v>#DIV/0!</v>
      </c>
      <c r="M123" s="81" t="e">
        <f t="shared" si="58"/>
        <v>#DIV/0!</v>
      </c>
      <c r="N123" s="81" t="e">
        <f t="shared" si="58"/>
        <v>#DIV/0!</v>
      </c>
      <c r="O123" s="81" t="e">
        <f t="shared" si="58"/>
        <v>#DIV/0!</v>
      </c>
      <c r="P123" s="81" t="e">
        <f t="shared" si="58"/>
        <v>#DIV/0!</v>
      </c>
      <c r="Q123" s="81" t="e">
        <f t="shared" si="58"/>
        <v>#DIV/0!</v>
      </c>
      <c r="R123" s="81" t="e">
        <f t="shared" si="58"/>
        <v>#DIV/0!</v>
      </c>
      <c r="S123" s="81" t="e">
        <f t="shared" si="58"/>
        <v>#DIV/0!</v>
      </c>
      <c r="T123" s="81" t="e">
        <f t="shared" si="58"/>
        <v>#DIV/0!</v>
      </c>
      <c r="U123" s="81" t="e">
        <f t="shared" si="58"/>
        <v>#DIV/0!</v>
      </c>
      <c r="V123" s="81" t="e">
        <f t="shared" si="58"/>
        <v>#DIV/0!</v>
      </c>
      <c r="W123" s="81" t="e">
        <f t="shared" si="58"/>
        <v>#DIV/0!</v>
      </c>
      <c r="X123" s="81">
        <f t="shared" si="58"/>
        <v>0</v>
      </c>
      <c r="Y123" s="81">
        <f t="shared" si="58"/>
        <v>0</v>
      </c>
      <c r="Z123" s="81" t="e">
        <f t="shared" si="58"/>
        <v>#DIV/0!</v>
      </c>
      <c r="AA123" s="81" t="e">
        <f t="shared" si="58"/>
        <v>#DIV/0!</v>
      </c>
      <c r="AB123" s="81" t="e">
        <f t="shared" si="58"/>
        <v>#DIV/0!</v>
      </c>
      <c r="AC123" s="81" t="e">
        <f t="shared" si="58"/>
        <v>#DIV/0!</v>
      </c>
      <c r="AD123" s="81" t="e">
        <f t="shared" si="58"/>
        <v>#DIV/0!</v>
      </c>
      <c r="AE123" s="81" t="e">
        <f t="shared" si="58"/>
        <v>#DIV/0!</v>
      </c>
      <c r="AF123" s="81" t="e">
        <f t="shared" si="58"/>
        <v>#DIV/0!</v>
      </c>
      <c r="AG123" s="81" t="e">
        <f t="shared" si="58"/>
        <v>#DIV/0!</v>
      </c>
      <c r="AH123" s="81" t="e">
        <f t="shared" si="58"/>
        <v>#DIV/0!</v>
      </c>
      <c r="AI123" s="81" t="e">
        <f t="shared" si="58"/>
        <v>#DIV/0!</v>
      </c>
      <c r="AJ123" s="81" t="e">
        <f t="shared" si="58"/>
        <v>#DIV/0!</v>
      </c>
      <c r="AK123" s="81" t="e">
        <f t="shared" si="58"/>
        <v>#DIV/0!</v>
      </c>
      <c r="AL123" s="81">
        <f t="shared" si="58"/>
        <v>0</v>
      </c>
      <c r="AM123" s="81" t="e">
        <f t="shared" si="58"/>
        <v>#DIV/0!</v>
      </c>
      <c r="AN123" s="14"/>
      <c r="AO123" s="98">
        <f>AO116/AO107*100</f>
        <v>0</v>
      </c>
      <c r="AQ123" s="94"/>
      <c r="CA123" s="93"/>
      <c r="CB123" s="93"/>
      <c r="DE123" s="93"/>
      <c r="EM123" s="66"/>
      <c r="EN123" s="93"/>
      <c r="EO123" s="93"/>
      <c r="EP123" s="93"/>
      <c r="EQ123" s="93"/>
      <c r="GT123" s="93"/>
      <c r="KO123" s="93"/>
      <c r="KP123" s="93"/>
      <c r="KQ123" s="93"/>
      <c r="KR123" s="93"/>
      <c r="PV123" s="93"/>
      <c r="PW123" s="93"/>
      <c r="PY123" s="93"/>
      <c r="QM123" s="92"/>
      <c r="QQ123" s="93"/>
      <c r="ST123" s="92"/>
      <c r="AIC123" s="5"/>
      <c r="AJR123" s="5"/>
      <c r="AJS123" s="5"/>
      <c r="AJT123" s="5"/>
    </row>
    <row r="124" spans="6:956" ht="15" hidden="1" customHeight="1" x14ac:dyDescent="0.3">
      <c r="F124" s="60"/>
      <c r="G124" s="99" t="s">
        <v>52</v>
      </c>
      <c r="H124" s="303">
        <v>0.5</v>
      </c>
      <c r="I124" s="55" t="s">
        <v>29</v>
      </c>
      <c r="J124" s="81" t="e">
        <f t="shared" si="58"/>
        <v>#DIV/0!</v>
      </c>
      <c r="K124" s="81" t="e">
        <f t="shared" si="58"/>
        <v>#DIV/0!</v>
      </c>
      <c r="L124" s="81" t="e">
        <f t="shared" si="58"/>
        <v>#DIV/0!</v>
      </c>
      <c r="M124" s="81" t="e">
        <f t="shared" si="58"/>
        <v>#DIV/0!</v>
      </c>
      <c r="N124" s="81" t="e">
        <f t="shared" si="58"/>
        <v>#DIV/0!</v>
      </c>
      <c r="O124" s="81" t="e">
        <f t="shared" si="58"/>
        <v>#DIV/0!</v>
      </c>
      <c r="P124" s="81" t="e">
        <f t="shared" si="58"/>
        <v>#DIV/0!</v>
      </c>
      <c r="Q124" s="81" t="e">
        <f t="shared" si="58"/>
        <v>#DIV/0!</v>
      </c>
      <c r="R124" s="81" t="e">
        <f t="shared" si="58"/>
        <v>#DIV/0!</v>
      </c>
      <c r="S124" s="81" t="e">
        <f t="shared" si="58"/>
        <v>#DIV/0!</v>
      </c>
      <c r="T124" s="81" t="e">
        <f t="shared" si="58"/>
        <v>#DIV/0!</v>
      </c>
      <c r="U124" s="81" t="e">
        <f t="shared" si="58"/>
        <v>#DIV/0!</v>
      </c>
      <c r="V124" s="81" t="e">
        <f t="shared" si="58"/>
        <v>#DIV/0!</v>
      </c>
      <c r="W124" s="81" t="e">
        <f t="shared" si="58"/>
        <v>#DIV/0!</v>
      </c>
      <c r="X124" s="81" t="e">
        <f t="shared" si="58"/>
        <v>#DIV/0!</v>
      </c>
      <c r="Y124" s="81" t="e">
        <f t="shared" si="58"/>
        <v>#DIV/0!</v>
      </c>
      <c r="Z124" s="81" t="e">
        <f t="shared" si="58"/>
        <v>#DIV/0!</v>
      </c>
      <c r="AA124" s="81" t="e">
        <f t="shared" si="58"/>
        <v>#DIV/0!</v>
      </c>
      <c r="AB124" s="81" t="e">
        <f t="shared" si="58"/>
        <v>#DIV/0!</v>
      </c>
      <c r="AC124" s="81" t="e">
        <f t="shared" si="58"/>
        <v>#DIV/0!</v>
      </c>
      <c r="AD124" s="81" t="e">
        <f t="shared" si="58"/>
        <v>#DIV/0!</v>
      </c>
      <c r="AE124" s="81" t="e">
        <f t="shared" si="58"/>
        <v>#DIV/0!</v>
      </c>
      <c r="AF124" s="81" t="e">
        <f t="shared" si="58"/>
        <v>#DIV/0!</v>
      </c>
      <c r="AG124" s="81" t="e">
        <f t="shared" si="58"/>
        <v>#DIV/0!</v>
      </c>
      <c r="AH124" s="81" t="e">
        <f t="shared" si="58"/>
        <v>#DIV/0!</v>
      </c>
      <c r="AI124" s="81" t="e">
        <f t="shared" si="58"/>
        <v>#DIV/0!</v>
      </c>
      <c r="AJ124" s="81" t="e">
        <f t="shared" si="58"/>
        <v>#DIV/0!</v>
      </c>
      <c r="AK124" s="81" t="e">
        <f t="shared" si="58"/>
        <v>#DIV/0!</v>
      </c>
      <c r="AL124" s="81">
        <f t="shared" si="58"/>
        <v>0</v>
      </c>
      <c r="AM124" s="81" t="e">
        <f t="shared" si="58"/>
        <v>#DIV/0!</v>
      </c>
      <c r="AN124" s="14"/>
      <c r="AO124" s="98">
        <f>AO117/AO108*100</f>
        <v>0</v>
      </c>
      <c r="AQ124" s="94"/>
      <c r="CA124" s="93"/>
      <c r="CB124" s="93"/>
      <c r="DE124" s="93"/>
      <c r="EM124" s="66"/>
      <c r="EN124" s="93"/>
      <c r="EO124" s="93"/>
      <c r="EP124" s="93"/>
      <c r="EQ124" s="93"/>
      <c r="GT124" s="93"/>
      <c r="KO124" s="93"/>
      <c r="KP124" s="93"/>
      <c r="KQ124" s="93"/>
      <c r="KR124" s="93"/>
      <c r="PV124" s="93"/>
      <c r="PW124" s="93"/>
      <c r="PY124" s="93"/>
      <c r="QM124" s="92"/>
      <c r="QQ124" s="93"/>
      <c r="ST124" s="92"/>
      <c r="AIC124" s="5"/>
      <c r="AJR124" s="5"/>
      <c r="AJS124" s="5"/>
      <c r="AJT124" s="5"/>
    </row>
    <row r="125" spans="6:956" x14ac:dyDescent="0.3">
      <c r="F125" s="47">
        <v>7</v>
      </c>
      <c r="G125" s="103" t="s">
        <v>51</v>
      </c>
      <c r="H125" s="97"/>
      <c r="I125" s="97"/>
      <c r="J125" s="24"/>
      <c r="K125" s="24"/>
      <c r="L125" s="24"/>
      <c r="M125" s="24"/>
      <c r="N125" s="24"/>
      <c r="O125" s="24"/>
      <c r="P125" s="24"/>
      <c r="Q125" s="24"/>
      <c r="R125" s="24"/>
      <c r="S125" s="24"/>
      <c r="T125" s="24"/>
      <c r="U125" s="24"/>
      <c r="V125" s="24"/>
      <c r="W125" s="24"/>
      <c r="X125" s="24"/>
      <c r="Y125" s="24"/>
      <c r="Z125" s="24"/>
      <c r="AA125" s="24"/>
      <c r="AB125" s="24"/>
      <c r="AC125" s="24"/>
      <c r="AD125" s="24"/>
      <c r="AE125" s="24"/>
      <c r="AF125" s="24"/>
      <c r="AG125" s="102"/>
      <c r="AH125" s="24"/>
      <c r="AI125" s="24"/>
      <c r="AJ125" s="24"/>
      <c r="AK125" s="24"/>
      <c r="AL125" s="24"/>
      <c r="AM125" s="24"/>
      <c r="AN125" s="67"/>
      <c r="AO125" s="101" t="s">
        <v>47</v>
      </c>
      <c r="AQ125" s="12"/>
      <c r="BD125" s="85"/>
      <c r="BE125" s="85"/>
      <c r="BF125" s="85"/>
      <c r="BG125" s="85"/>
      <c r="BH125" s="85"/>
      <c r="BI125" s="85"/>
      <c r="BJ125" s="85"/>
      <c r="BK125" s="85"/>
      <c r="BL125" s="85"/>
      <c r="BM125" s="85"/>
      <c r="CA125" s="5"/>
      <c r="CB125" s="5"/>
      <c r="DE125" s="5"/>
      <c r="EM125" s="66"/>
      <c r="EN125" s="5"/>
      <c r="EO125" s="5"/>
      <c r="EP125" s="5"/>
      <c r="EQ125" s="5"/>
      <c r="GT125" s="5"/>
      <c r="KO125" s="5"/>
      <c r="KP125" s="5"/>
      <c r="KQ125" s="5"/>
      <c r="KR125" s="5"/>
      <c r="PV125" s="5"/>
      <c r="PW125" s="5"/>
      <c r="PY125" s="5"/>
      <c r="QM125" s="62"/>
      <c r="QQ125" s="5"/>
      <c r="ST125" s="62"/>
      <c r="AIC125" s="5"/>
      <c r="AJR125" s="5"/>
      <c r="AJS125" s="5"/>
      <c r="AJT125" s="5"/>
    </row>
    <row r="126" spans="6:956" x14ac:dyDescent="0.3">
      <c r="F126" s="57"/>
      <c r="G126" s="56" t="s">
        <v>45</v>
      </c>
      <c r="H126" s="316"/>
      <c r="I126" s="112" t="s">
        <v>16</v>
      </c>
      <c r="J126" s="116">
        <v>46297.26</v>
      </c>
      <c r="K126" s="116">
        <v>0</v>
      </c>
      <c r="L126" s="116">
        <v>0</v>
      </c>
      <c r="M126" s="116">
        <v>0</v>
      </c>
      <c r="N126" s="116">
        <v>0</v>
      </c>
      <c r="O126" s="116">
        <v>0</v>
      </c>
      <c r="P126" s="116">
        <v>0</v>
      </c>
      <c r="Q126" s="116">
        <v>0</v>
      </c>
      <c r="R126" s="116">
        <v>0</v>
      </c>
      <c r="S126" s="116">
        <v>0</v>
      </c>
      <c r="T126" s="116">
        <v>0</v>
      </c>
      <c r="U126" s="116">
        <v>34458.5</v>
      </c>
      <c r="V126" s="116">
        <v>35553.19</v>
      </c>
      <c r="W126" s="116">
        <v>34799.699999999997</v>
      </c>
      <c r="X126" s="116">
        <v>35123.14</v>
      </c>
      <c r="Y126" s="116">
        <v>24193.99</v>
      </c>
      <c r="Z126" s="116">
        <v>938.3</v>
      </c>
      <c r="AA126" s="116">
        <v>0</v>
      </c>
      <c r="AB126" s="116">
        <v>0</v>
      </c>
      <c r="AC126" s="116">
        <v>0</v>
      </c>
      <c r="AD126" s="116">
        <v>34458.51</v>
      </c>
      <c r="AE126" s="116">
        <v>34460.589999999997</v>
      </c>
      <c r="AF126" s="116">
        <v>21267.85</v>
      </c>
      <c r="AG126" s="116">
        <v>33962.75</v>
      </c>
      <c r="AH126" s="116">
        <v>0</v>
      </c>
      <c r="AI126" s="116">
        <v>0</v>
      </c>
      <c r="AJ126" s="116">
        <v>0</v>
      </c>
      <c r="AK126" s="116">
        <v>0</v>
      </c>
      <c r="AL126" s="116">
        <v>0</v>
      </c>
      <c r="AM126" s="126"/>
      <c r="AN126" s="53"/>
      <c r="AO126" s="110">
        <f>SUM(AO127:AO128)</f>
        <v>335513.77999999997</v>
      </c>
      <c r="AP126" s="134"/>
      <c r="AQ126" s="125"/>
      <c r="BD126" s="121"/>
      <c r="BE126" s="121"/>
      <c r="BF126" s="121"/>
      <c r="BG126" s="121"/>
      <c r="BH126" s="121"/>
      <c r="BI126" s="121"/>
      <c r="BJ126" s="121"/>
      <c r="BK126" s="121"/>
      <c r="BL126" s="121"/>
      <c r="BM126" s="121"/>
      <c r="CA126" s="124"/>
      <c r="CB126" s="124"/>
      <c r="DE126" s="124"/>
      <c r="EM126" s="50"/>
      <c r="EN126" s="124"/>
      <c r="EO126" s="124"/>
      <c r="EP126" s="124"/>
      <c r="EQ126" s="124"/>
      <c r="GT126" s="124"/>
      <c r="KO126" s="124"/>
      <c r="KP126" s="124"/>
      <c r="KQ126" s="124"/>
      <c r="KR126" s="124"/>
      <c r="PV126" s="124"/>
      <c r="PW126" s="124"/>
      <c r="PY126" s="124"/>
      <c r="QM126" s="123"/>
      <c r="QQ126" s="124"/>
      <c r="ST126" s="123"/>
      <c r="AIC126" s="48"/>
      <c r="AJR126" s="48"/>
      <c r="AJS126" s="48"/>
      <c r="AJT126" s="48"/>
    </row>
    <row r="127" spans="6:956" x14ac:dyDescent="0.3">
      <c r="F127" s="60"/>
      <c r="G127" s="65" t="s">
        <v>44</v>
      </c>
      <c r="H127" s="305"/>
      <c r="I127" s="55" t="s">
        <v>16</v>
      </c>
      <c r="J127" s="81">
        <f>SUM(J130:J131)*9.75348</f>
        <v>46192.48128</v>
      </c>
      <c r="K127" s="81">
        <f t="shared" ref="K127:Y127" si="59">SUM(K130:K131)*9.75348</f>
        <v>0</v>
      </c>
      <c r="L127" s="81">
        <f t="shared" si="59"/>
        <v>0</v>
      </c>
      <c r="M127" s="81">
        <f t="shared" si="59"/>
        <v>0</v>
      </c>
      <c r="N127" s="81">
        <f t="shared" si="59"/>
        <v>0</v>
      </c>
      <c r="O127" s="81">
        <f t="shared" si="59"/>
        <v>0</v>
      </c>
      <c r="P127" s="81">
        <f t="shared" si="59"/>
        <v>0</v>
      </c>
      <c r="Q127" s="81">
        <f t="shared" si="59"/>
        <v>0</v>
      </c>
      <c r="R127" s="81">
        <f t="shared" si="59"/>
        <v>0</v>
      </c>
      <c r="S127" s="81">
        <f t="shared" si="59"/>
        <v>0</v>
      </c>
      <c r="T127" s="81">
        <f t="shared" si="59"/>
        <v>0</v>
      </c>
      <c r="U127" s="81">
        <f t="shared" si="59"/>
        <v>34517.565719999999</v>
      </c>
      <c r="V127" s="81">
        <f t="shared" si="59"/>
        <v>35492.913719999997</v>
      </c>
      <c r="W127" s="81">
        <f t="shared" si="59"/>
        <v>34829.677080000001</v>
      </c>
      <c r="X127" s="81">
        <f t="shared" si="59"/>
        <v>35151.541919999996</v>
      </c>
      <c r="Y127" s="81">
        <f t="shared" si="59"/>
        <v>24139.862999999998</v>
      </c>
      <c r="Z127" s="81">
        <f t="shared" ref="Z127:AL127" si="60">SUM(Z130:Z131)*9.75348</f>
        <v>936.33407999999997</v>
      </c>
      <c r="AA127" s="81">
        <f t="shared" si="60"/>
        <v>0</v>
      </c>
      <c r="AB127" s="81">
        <f t="shared" si="60"/>
        <v>0</v>
      </c>
      <c r="AC127" s="81">
        <f t="shared" si="60"/>
        <v>0</v>
      </c>
      <c r="AD127" s="81">
        <f t="shared" si="60"/>
        <v>34702.881840000002</v>
      </c>
      <c r="AE127" s="81">
        <f>SUM(AE130:AE131)*9.75348</f>
        <v>34498.05876</v>
      </c>
      <c r="AF127" s="81">
        <f t="shared" si="60"/>
        <v>21360.121199999998</v>
      </c>
      <c r="AG127" s="81">
        <f t="shared" si="60"/>
        <v>33951.863879999997</v>
      </c>
      <c r="AH127" s="81">
        <f t="shared" si="60"/>
        <v>0</v>
      </c>
      <c r="AI127" s="81">
        <f t="shared" si="60"/>
        <v>0</v>
      </c>
      <c r="AJ127" s="81">
        <f t="shared" si="60"/>
        <v>0</v>
      </c>
      <c r="AK127" s="81">
        <f t="shared" si="60"/>
        <v>0</v>
      </c>
      <c r="AL127" s="81">
        <f t="shared" si="60"/>
        <v>0</v>
      </c>
      <c r="AM127" s="81"/>
      <c r="AN127" s="14"/>
      <c r="AO127" s="98">
        <f>SUM(J127:AM127)</f>
        <v>335773.30247999995</v>
      </c>
      <c r="AQ127" s="94">
        <f>AO73+AO126</f>
        <v>780316.67500000005</v>
      </c>
      <c r="BD127" s="122"/>
      <c r="BE127" s="121"/>
      <c r="BF127" s="121"/>
      <c r="BG127" s="121"/>
      <c r="BH127" s="121"/>
      <c r="BI127" s="121"/>
      <c r="BJ127" s="85"/>
      <c r="BK127" s="85"/>
      <c r="BL127" s="85"/>
      <c r="BM127" s="85"/>
      <c r="CA127" s="93"/>
      <c r="CB127" s="93"/>
      <c r="DE127" s="93"/>
      <c r="EM127" s="66"/>
      <c r="EN127" s="93"/>
      <c r="EO127" s="93"/>
      <c r="EP127" s="93"/>
      <c r="EQ127" s="93"/>
      <c r="GT127" s="93"/>
      <c r="KO127" s="93"/>
      <c r="KP127" s="93"/>
      <c r="KQ127" s="93"/>
      <c r="KR127" s="93"/>
      <c r="PV127" s="93"/>
      <c r="PW127" s="93"/>
      <c r="PY127" s="93"/>
      <c r="QM127" s="92"/>
      <c r="QQ127" s="93"/>
      <c r="ST127" s="92"/>
      <c r="AIC127" s="5"/>
      <c r="AJR127" s="5"/>
      <c r="AJS127" s="5"/>
      <c r="AJT127" s="5"/>
    </row>
    <row r="128" spans="6:956" x14ac:dyDescent="0.3">
      <c r="F128" s="60"/>
      <c r="G128" s="65" t="s">
        <v>43</v>
      </c>
      <c r="H128" s="305"/>
      <c r="I128" s="55" t="s">
        <v>16</v>
      </c>
      <c r="J128" s="81">
        <f t="shared" ref="J128:AM128" si="61">J126-J127</f>
        <v>104.77872000000207</v>
      </c>
      <c r="K128" s="81">
        <f t="shared" si="61"/>
        <v>0</v>
      </c>
      <c r="L128" s="81">
        <f t="shared" si="61"/>
        <v>0</v>
      </c>
      <c r="M128" s="81">
        <f t="shared" si="61"/>
        <v>0</v>
      </c>
      <c r="N128" s="81">
        <f t="shared" si="61"/>
        <v>0</v>
      </c>
      <c r="O128" s="81">
        <f t="shared" si="61"/>
        <v>0</v>
      </c>
      <c r="P128" s="81">
        <f t="shared" si="61"/>
        <v>0</v>
      </c>
      <c r="Q128" s="81">
        <f t="shared" si="61"/>
        <v>0</v>
      </c>
      <c r="R128" s="81">
        <f t="shared" si="61"/>
        <v>0</v>
      </c>
      <c r="S128" s="81">
        <f t="shared" si="61"/>
        <v>0</v>
      </c>
      <c r="T128" s="81">
        <f t="shared" si="61"/>
        <v>0</v>
      </c>
      <c r="U128" s="81">
        <f t="shared" si="61"/>
        <v>-59.065719999998691</v>
      </c>
      <c r="V128" s="81">
        <f t="shared" si="61"/>
        <v>60.276280000005499</v>
      </c>
      <c r="W128" s="81">
        <f t="shared" si="61"/>
        <v>-29.977080000004207</v>
      </c>
      <c r="X128" s="81">
        <f t="shared" si="61"/>
        <v>-28.401919999996608</v>
      </c>
      <c r="Y128" s="81">
        <f t="shared" si="61"/>
        <v>54.127000000004045</v>
      </c>
      <c r="Z128" s="81">
        <f t="shared" si="61"/>
        <v>1.9659199999999828</v>
      </c>
      <c r="AA128" s="81">
        <f t="shared" si="61"/>
        <v>0</v>
      </c>
      <c r="AB128" s="81">
        <f t="shared" si="61"/>
        <v>0</v>
      </c>
      <c r="AC128" s="81">
        <f t="shared" si="61"/>
        <v>0</v>
      </c>
      <c r="AD128" s="81">
        <f t="shared" si="61"/>
        <v>-244.37183999999979</v>
      </c>
      <c r="AE128" s="81">
        <f t="shared" si="61"/>
        <v>-37.468760000003385</v>
      </c>
      <c r="AF128" s="81">
        <f t="shared" si="61"/>
        <v>-92.271199999999226</v>
      </c>
      <c r="AG128" s="81">
        <f t="shared" si="61"/>
        <v>10.886120000002848</v>
      </c>
      <c r="AH128" s="81">
        <f t="shared" si="61"/>
        <v>0</v>
      </c>
      <c r="AI128" s="81">
        <f t="shared" si="61"/>
        <v>0</v>
      </c>
      <c r="AJ128" s="81">
        <f t="shared" si="61"/>
        <v>0</v>
      </c>
      <c r="AK128" s="81">
        <f t="shared" si="61"/>
        <v>0</v>
      </c>
      <c r="AL128" s="81">
        <f t="shared" si="61"/>
        <v>0</v>
      </c>
      <c r="AM128" s="81">
        <f t="shared" si="61"/>
        <v>0</v>
      </c>
      <c r="AN128" s="14"/>
      <c r="AO128" s="98">
        <f>SUM(J128:AM128)</f>
        <v>-259.52247999998747</v>
      </c>
      <c r="AQ128" s="94"/>
      <c r="BD128" s="85"/>
      <c r="BE128" s="85"/>
      <c r="BF128" s="85"/>
      <c r="BG128" s="85"/>
      <c r="BH128" s="85"/>
      <c r="BI128" s="85"/>
      <c r="BJ128" s="85"/>
      <c r="BK128" s="85"/>
      <c r="BL128" s="85"/>
      <c r="BM128" s="85"/>
      <c r="CA128" s="93"/>
      <c r="CB128" s="93"/>
      <c r="DE128" s="93"/>
      <c r="EM128" s="66"/>
      <c r="EN128" s="93"/>
      <c r="EO128" s="93"/>
      <c r="EP128" s="93"/>
      <c r="EQ128" s="93"/>
      <c r="GT128" s="93"/>
      <c r="GU128" s="1">
        <f>0.9*12</f>
        <v>10.8</v>
      </c>
      <c r="KO128" s="93"/>
      <c r="KP128" s="93"/>
      <c r="KQ128" s="93"/>
      <c r="KR128" s="93"/>
      <c r="PV128" s="93"/>
      <c r="PW128" s="93"/>
      <c r="PY128" s="93"/>
      <c r="QM128" s="92"/>
      <c r="QQ128" s="93"/>
      <c r="ST128" s="92"/>
      <c r="AIC128" s="5"/>
      <c r="AJR128" s="5"/>
      <c r="AJS128" s="5"/>
      <c r="AJT128" s="5"/>
    </row>
    <row r="129" spans="6:956" x14ac:dyDescent="0.3">
      <c r="F129" s="60"/>
      <c r="G129" s="65" t="s">
        <v>33</v>
      </c>
      <c r="H129" s="305"/>
      <c r="I129" s="60"/>
      <c r="J129" s="15"/>
      <c r="K129" s="15"/>
      <c r="L129" s="15"/>
      <c r="M129" s="15"/>
      <c r="N129" s="15"/>
      <c r="O129" s="15"/>
      <c r="P129" s="15"/>
      <c r="Q129" s="15"/>
      <c r="R129" s="15"/>
      <c r="S129" s="15"/>
      <c r="T129" s="15"/>
      <c r="U129" s="15"/>
      <c r="V129" s="15"/>
      <c r="W129" s="15"/>
      <c r="X129" s="15"/>
      <c r="Y129" s="15"/>
      <c r="Z129" s="15"/>
      <c r="AA129" s="15"/>
      <c r="AB129" s="15"/>
      <c r="AC129" s="15"/>
      <c r="AD129" s="15"/>
      <c r="AE129" s="15"/>
      <c r="AF129" s="15"/>
      <c r="AG129" s="15"/>
      <c r="AH129" s="15"/>
      <c r="AI129" s="15"/>
      <c r="AJ129" s="15"/>
      <c r="AK129" s="15"/>
      <c r="AL129" s="15"/>
      <c r="AM129" s="15"/>
      <c r="AN129" s="14"/>
      <c r="AO129" s="100" t="s">
        <v>33</v>
      </c>
      <c r="AQ129" s="120"/>
      <c r="AS129" s="119"/>
      <c r="AV129" s="115"/>
      <c r="BD129" s="85"/>
      <c r="BE129" s="85"/>
      <c r="BF129" s="85"/>
      <c r="BG129" s="85"/>
      <c r="BH129" s="85"/>
      <c r="BI129" s="85"/>
      <c r="BJ129" s="85"/>
      <c r="BK129" s="85"/>
      <c r="BL129" s="85"/>
      <c r="BM129" s="85"/>
      <c r="CA129" s="93"/>
      <c r="CB129" s="93"/>
      <c r="DE129" s="93"/>
      <c r="EM129" s="66"/>
      <c r="EN129" s="93"/>
      <c r="EO129" s="93"/>
      <c r="EP129" s="93"/>
      <c r="EQ129" s="93"/>
      <c r="GT129" s="93"/>
      <c r="KO129" s="93"/>
      <c r="KP129" s="93"/>
      <c r="KQ129" s="93"/>
      <c r="KR129" s="93"/>
      <c r="PV129" s="93"/>
      <c r="PW129" s="93"/>
      <c r="PY129" s="93"/>
      <c r="QM129" s="92"/>
      <c r="QQ129" s="93"/>
      <c r="ST129" s="92"/>
      <c r="AIC129" s="5"/>
      <c r="AJR129" s="5"/>
      <c r="AJS129" s="5"/>
      <c r="AJT129" s="5"/>
    </row>
    <row r="130" spans="6:956" x14ac:dyDescent="0.3">
      <c r="F130" s="36"/>
      <c r="G130" s="99" t="s">
        <v>50</v>
      </c>
      <c r="H130" s="298"/>
      <c r="I130" s="34" t="s">
        <v>36</v>
      </c>
      <c r="J130" s="61">
        <v>0</v>
      </c>
      <c r="K130" s="61">
        <v>0</v>
      </c>
      <c r="L130" s="61">
        <v>0</v>
      </c>
      <c r="M130" s="61">
        <v>0</v>
      </c>
      <c r="N130" s="61">
        <v>0</v>
      </c>
      <c r="O130" s="61">
        <v>0</v>
      </c>
      <c r="P130" s="61">
        <v>0</v>
      </c>
      <c r="Q130" s="61">
        <v>0</v>
      </c>
      <c r="R130" s="61">
        <v>0</v>
      </c>
      <c r="S130" s="61">
        <v>0</v>
      </c>
      <c r="T130" s="61">
        <v>0</v>
      </c>
      <c r="U130" s="61">
        <v>1176</v>
      </c>
      <c r="V130" s="61">
        <v>1216</v>
      </c>
      <c r="W130" s="61">
        <v>1210</v>
      </c>
      <c r="X130" s="61">
        <v>1243</v>
      </c>
      <c r="Y130" s="61">
        <v>825</v>
      </c>
      <c r="Z130" s="61">
        <v>0</v>
      </c>
      <c r="AA130" s="61">
        <v>0</v>
      </c>
      <c r="AB130" s="61">
        <v>0</v>
      </c>
      <c r="AC130" s="61">
        <v>0</v>
      </c>
      <c r="AD130" s="61">
        <v>1175</v>
      </c>
      <c r="AE130" s="61">
        <v>1175</v>
      </c>
      <c r="AF130" s="61">
        <v>825</v>
      </c>
      <c r="AG130" s="61">
        <v>1175</v>
      </c>
      <c r="AH130" s="61">
        <v>0</v>
      </c>
      <c r="AI130" s="61">
        <v>0</v>
      </c>
      <c r="AJ130" s="61">
        <v>0</v>
      </c>
      <c r="AK130" s="61">
        <v>0</v>
      </c>
      <c r="AL130" s="61">
        <v>0</v>
      </c>
      <c r="AM130" s="61"/>
      <c r="AN130" s="109"/>
      <c r="AO130" s="108">
        <f>SUM(J130:AM130)</f>
        <v>10020</v>
      </c>
      <c r="AQ130" s="107"/>
      <c r="AR130" s="118"/>
      <c r="AS130" s="85"/>
      <c r="AT130" s="117"/>
      <c r="BD130" s="114"/>
      <c r="BE130" s="114"/>
      <c r="BF130" s="114"/>
      <c r="BG130" s="114"/>
      <c r="BH130" s="114"/>
      <c r="BI130" s="114"/>
      <c r="BJ130" s="114"/>
      <c r="BK130" s="114"/>
      <c r="BL130" s="114"/>
      <c r="BM130" s="114"/>
      <c r="CA130" s="106"/>
      <c r="CB130" s="106"/>
      <c r="DE130" s="106"/>
      <c r="EM130" s="30"/>
      <c r="EN130" s="106"/>
      <c r="EO130" s="106"/>
      <c r="EP130" s="106"/>
      <c r="EQ130" s="106"/>
      <c r="GT130" s="106"/>
      <c r="KO130" s="106"/>
      <c r="KP130" s="106"/>
      <c r="KQ130" s="106"/>
      <c r="KR130" s="106"/>
      <c r="PV130" s="106"/>
      <c r="PW130" s="106"/>
      <c r="PY130" s="106"/>
      <c r="QM130" s="105"/>
      <c r="QQ130" s="106"/>
      <c r="ST130" s="105"/>
      <c r="AIC130" s="28"/>
      <c r="AJR130" s="28"/>
      <c r="AJS130" s="28"/>
      <c r="AJT130" s="28"/>
    </row>
    <row r="131" spans="6:956" x14ac:dyDescent="0.3">
      <c r="F131" s="36"/>
      <c r="G131" s="99" t="s">
        <v>49</v>
      </c>
      <c r="H131" s="298"/>
      <c r="I131" s="34" t="s">
        <v>36</v>
      </c>
      <c r="J131" s="61">
        <v>4736</v>
      </c>
      <c r="K131" s="61">
        <v>0</v>
      </c>
      <c r="L131" s="61">
        <v>0</v>
      </c>
      <c r="M131" s="61">
        <v>0</v>
      </c>
      <c r="N131" s="61">
        <v>0</v>
      </c>
      <c r="O131" s="61">
        <v>0</v>
      </c>
      <c r="P131" s="61">
        <v>0</v>
      </c>
      <c r="Q131" s="61">
        <v>0</v>
      </c>
      <c r="R131" s="61">
        <v>0</v>
      </c>
      <c r="S131" s="61">
        <v>0</v>
      </c>
      <c r="T131" s="61">
        <v>0</v>
      </c>
      <c r="U131" s="116">
        <v>2363</v>
      </c>
      <c r="V131" s="116">
        <v>2423</v>
      </c>
      <c r="W131" s="116">
        <v>2361</v>
      </c>
      <c r="X131" s="116">
        <v>2361</v>
      </c>
      <c r="Y131" s="116">
        <v>1650</v>
      </c>
      <c r="Z131" s="116">
        <v>96</v>
      </c>
      <c r="AA131" s="116">
        <v>0</v>
      </c>
      <c r="AB131" s="116">
        <v>0</v>
      </c>
      <c r="AC131" s="116">
        <v>0</v>
      </c>
      <c r="AD131" s="116">
        <v>2383</v>
      </c>
      <c r="AE131" s="116">
        <v>2362</v>
      </c>
      <c r="AF131" s="116">
        <v>1365</v>
      </c>
      <c r="AG131" s="116">
        <v>2306</v>
      </c>
      <c r="AH131" s="116">
        <v>0</v>
      </c>
      <c r="AI131" s="116">
        <v>0</v>
      </c>
      <c r="AJ131" s="116">
        <v>0</v>
      </c>
      <c r="AK131" s="116">
        <v>0</v>
      </c>
      <c r="AL131" s="116">
        <v>0</v>
      </c>
      <c r="AM131" s="116"/>
      <c r="AN131" s="109"/>
      <c r="AO131" s="108">
        <f>SUM(J131:AM131)</f>
        <v>24406</v>
      </c>
      <c r="AQ131" s="107"/>
      <c r="AS131" s="85"/>
      <c r="AV131" s="115"/>
      <c r="BD131" s="114"/>
      <c r="BE131" s="114"/>
      <c r="BF131" s="114"/>
      <c r="BG131" s="114"/>
      <c r="BH131" s="114"/>
      <c r="BI131" s="114"/>
      <c r="BJ131" s="114"/>
      <c r="BK131" s="114"/>
      <c r="BL131" s="114"/>
      <c r="BM131" s="114"/>
      <c r="CA131" s="106"/>
      <c r="CB131" s="106"/>
      <c r="DE131" s="106"/>
      <c r="EM131" s="30"/>
      <c r="EN131" s="106"/>
      <c r="EO131" s="106"/>
      <c r="EP131" s="106"/>
      <c r="EQ131" s="106"/>
      <c r="GT131" s="106"/>
      <c r="KO131" s="106"/>
      <c r="KP131" s="106"/>
      <c r="KQ131" s="106"/>
      <c r="KR131" s="106"/>
      <c r="PV131" s="106"/>
      <c r="PW131" s="106"/>
      <c r="PY131" s="106"/>
      <c r="QM131" s="105"/>
      <c r="QQ131" s="106"/>
      <c r="ST131" s="105"/>
      <c r="AIC131" s="28"/>
      <c r="AJR131" s="28"/>
      <c r="AJS131" s="28"/>
      <c r="AJT131" s="28"/>
    </row>
    <row r="132" spans="6:956" x14ac:dyDescent="0.3">
      <c r="F132" s="60"/>
      <c r="G132" s="65" t="s">
        <v>32</v>
      </c>
      <c r="H132" s="305"/>
      <c r="I132" s="60"/>
      <c r="J132" s="15"/>
      <c r="K132" s="15"/>
      <c r="L132" s="15"/>
      <c r="M132" s="15"/>
      <c r="N132" s="15"/>
      <c r="O132" s="15"/>
      <c r="P132" s="15"/>
      <c r="Q132" s="15"/>
      <c r="R132" s="15"/>
      <c r="S132" s="15"/>
      <c r="T132" s="15"/>
      <c r="U132" s="15"/>
      <c r="V132" s="15"/>
      <c r="W132" s="15"/>
      <c r="X132" s="15"/>
      <c r="Y132" s="15"/>
      <c r="Z132" s="15"/>
      <c r="AA132" s="15"/>
      <c r="AB132" s="15"/>
      <c r="AC132" s="15"/>
      <c r="AD132" s="15"/>
      <c r="AE132" s="15"/>
      <c r="AF132" s="15"/>
      <c r="AG132" s="15"/>
      <c r="AH132" s="15"/>
      <c r="AI132" s="15"/>
      <c r="AJ132" s="15"/>
      <c r="AK132" s="15"/>
      <c r="AL132" s="15"/>
      <c r="AM132" s="15"/>
      <c r="AN132" s="14"/>
      <c r="AO132" s="100" t="s">
        <v>32</v>
      </c>
      <c r="AQ132" s="94"/>
      <c r="BD132" s="85"/>
      <c r="BE132" s="85"/>
      <c r="BF132" s="85"/>
      <c r="BG132" s="85"/>
      <c r="BH132" s="85"/>
      <c r="BI132" s="85"/>
      <c r="BJ132" s="85"/>
      <c r="BK132" s="85"/>
      <c r="BL132" s="85"/>
      <c r="BM132" s="85"/>
      <c r="CA132" s="93"/>
      <c r="CB132" s="93"/>
      <c r="DE132" s="93"/>
      <c r="EM132" s="66"/>
      <c r="EN132" s="93"/>
      <c r="EO132" s="93"/>
      <c r="EP132" s="93"/>
      <c r="EQ132" s="93"/>
      <c r="GT132" s="93"/>
      <c r="KO132" s="93"/>
      <c r="KP132" s="93"/>
      <c r="KQ132" s="93"/>
      <c r="KR132" s="93"/>
      <c r="PV132" s="93"/>
      <c r="PW132" s="93"/>
      <c r="PY132" s="93"/>
      <c r="QM132" s="92"/>
      <c r="QQ132" s="93"/>
      <c r="ST132" s="92"/>
      <c r="AIC132" s="5"/>
      <c r="AJR132" s="5"/>
      <c r="AJS132" s="5"/>
      <c r="AJT132" s="5"/>
    </row>
    <row r="133" spans="6:956" x14ac:dyDescent="0.3">
      <c r="F133" s="60"/>
      <c r="G133" s="99" t="s">
        <v>50</v>
      </c>
      <c r="H133" s="305"/>
      <c r="I133" s="55" t="s">
        <v>32</v>
      </c>
      <c r="J133" s="15">
        <f t="shared" ref="J133:AM133" si="62">J130*12</f>
        <v>0</v>
      </c>
      <c r="K133" s="15">
        <f t="shared" si="62"/>
        <v>0</v>
      </c>
      <c r="L133" s="15">
        <f t="shared" si="62"/>
        <v>0</v>
      </c>
      <c r="M133" s="15">
        <f t="shared" si="62"/>
        <v>0</v>
      </c>
      <c r="N133" s="15">
        <f t="shared" si="62"/>
        <v>0</v>
      </c>
      <c r="O133" s="15">
        <f t="shared" si="62"/>
        <v>0</v>
      </c>
      <c r="P133" s="15">
        <f t="shared" si="62"/>
        <v>0</v>
      </c>
      <c r="Q133" s="15">
        <f t="shared" si="62"/>
        <v>0</v>
      </c>
      <c r="R133" s="15">
        <f t="shared" si="62"/>
        <v>0</v>
      </c>
      <c r="S133" s="15">
        <f t="shared" si="62"/>
        <v>0</v>
      </c>
      <c r="T133" s="15">
        <f t="shared" si="62"/>
        <v>0</v>
      </c>
      <c r="U133" s="15">
        <f t="shared" si="62"/>
        <v>14112</v>
      </c>
      <c r="V133" s="15">
        <f t="shared" si="62"/>
        <v>14592</v>
      </c>
      <c r="W133" s="15">
        <f t="shared" si="62"/>
        <v>14520</v>
      </c>
      <c r="X133" s="15">
        <f t="shared" si="62"/>
        <v>14916</v>
      </c>
      <c r="Y133" s="15">
        <f t="shared" si="62"/>
        <v>9900</v>
      </c>
      <c r="Z133" s="15">
        <f t="shared" si="62"/>
        <v>0</v>
      </c>
      <c r="AA133" s="15">
        <f t="shared" si="62"/>
        <v>0</v>
      </c>
      <c r="AB133" s="15">
        <f t="shared" si="62"/>
        <v>0</v>
      </c>
      <c r="AC133" s="15">
        <f t="shared" si="62"/>
        <v>0</v>
      </c>
      <c r="AD133" s="15">
        <f t="shared" si="62"/>
        <v>14100</v>
      </c>
      <c r="AE133" s="15">
        <f t="shared" si="62"/>
        <v>14100</v>
      </c>
      <c r="AF133" s="15">
        <f t="shared" si="62"/>
        <v>9900</v>
      </c>
      <c r="AG133" s="15">
        <f t="shared" si="62"/>
        <v>14100</v>
      </c>
      <c r="AH133" s="15">
        <f t="shared" si="62"/>
        <v>0</v>
      </c>
      <c r="AI133" s="15">
        <f t="shared" si="62"/>
        <v>0</v>
      </c>
      <c r="AJ133" s="15">
        <f t="shared" si="62"/>
        <v>0</v>
      </c>
      <c r="AK133" s="15">
        <f t="shared" si="62"/>
        <v>0</v>
      </c>
      <c r="AL133" s="15">
        <f t="shared" si="62"/>
        <v>0</v>
      </c>
      <c r="AM133" s="15">
        <f t="shared" si="62"/>
        <v>0</v>
      </c>
      <c r="AN133" s="14"/>
      <c r="AO133" s="58">
        <f>AO130*12</f>
        <v>120240</v>
      </c>
      <c r="AQ133" s="94"/>
      <c r="BD133" s="85"/>
      <c r="BE133" s="85"/>
      <c r="BF133" s="85"/>
      <c r="BG133" s="85"/>
      <c r="BH133" s="85"/>
      <c r="BI133" s="85"/>
      <c r="BJ133" s="85"/>
      <c r="BK133" s="85"/>
      <c r="BL133" s="85"/>
      <c r="BM133" s="85"/>
      <c r="CA133" s="93"/>
      <c r="CB133" s="93"/>
      <c r="DE133" s="93"/>
      <c r="EM133" s="66"/>
      <c r="EN133" s="93"/>
      <c r="EO133" s="93"/>
      <c r="EP133" s="93"/>
      <c r="EQ133" s="93"/>
      <c r="GT133" s="93"/>
      <c r="KO133" s="93"/>
      <c r="KP133" s="93"/>
      <c r="KQ133" s="93"/>
      <c r="KR133" s="93"/>
      <c r="PV133" s="93"/>
      <c r="PW133" s="93"/>
      <c r="PY133" s="93"/>
      <c r="QM133" s="92"/>
      <c r="QQ133" s="93"/>
      <c r="ST133" s="92"/>
      <c r="AIC133" s="5"/>
      <c r="AJR133" s="5"/>
      <c r="AJS133" s="5"/>
      <c r="AJT133" s="5"/>
    </row>
    <row r="134" spans="6:956" x14ac:dyDescent="0.3">
      <c r="F134" s="60"/>
      <c r="G134" s="99" t="s">
        <v>49</v>
      </c>
      <c r="H134" s="305"/>
      <c r="I134" s="55" t="s">
        <v>32</v>
      </c>
      <c r="J134" s="15">
        <f>J131*6</f>
        <v>28416</v>
      </c>
      <c r="K134" s="15">
        <f t="shared" ref="K134:AM134" si="63">K131*6</f>
        <v>0</v>
      </c>
      <c r="L134" s="15">
        <f t="shared" si="63"/>
        <v>0</v>
      </c>
      <c r="M134" s="15">
        <f t="shared" si="63"/>
        <v>0</v>
      </c>
      <c r="N134" s="15">
        <f t="shared" si="63"/>
        <v>0</v>
      </c>
      <c r="O134" s="15">
        <f t="shared" si="63"/>
        <v>0</v>
      </c>
      <c r="P134" s="15">
        <f t="shared" si="63"/>
        <v>0</v>
      </c>
      <c r="Q134" s="15">
        <f t="shared" si="63"/>
        <v>0</v>
      </c>
      <c r="R134" s="15">
        <f t="shared" si="63"/>
        <v>0</v>
      </c>
      <c r="S134" s="15">
        <f t="shared" si="63"/>
        <v>0</v>
      </c>
      <c r="T134" s="15">
        <f t="shared" si="63"/>
        <v>0</v>
      </c>
      <c r="U134" s="15">
        <f t="shared" si="63"/>
        <v>14178</v>
      </c>
      <c r="V134" s="15">
        <f t="shared" si="63"/>
        <v>14538</v>
      </c>
      <c r="W134" s="15">
        <f t="shared" si="63"/>
        <v>14166</v>
      </c>
      <c r="X134" s="15">
        <f t="shared" si="63"/>
        <v>14166</v>
      </c>
      <c r="Y134" s="15">
        <f t="shared" si="63"/>
        <v>9900</v>
      </c>
      <c r="Z134" s="15">
        <f t="shared" si="63"/>
        <v>576</v>
      </c>
      <c r="AA134" s="15">
        <f t="shared" si="63"/>
        <v>0</v>
      </c>
      <c r="AB134" s="15">
        <f t="shared" si="63"/>
        <v>0</v>
      </c>
      <c r="AC134" s="15">
        <f t="shared" si="63"/>
        <v>0</v>
      </c>
      <c r="AD134" s="15">
        <f t="shared" si="63"/>
        <v>14298</v>
      </c>
      <c r="AE134" s="15">
        <f t="shared" si="63"/>
        <v>14172</v>
      </c>
      <c r="AF134" s="15">
        <f t="shared" si="63"/>
        <v>8190</v>
      </c>
      <c r="AG134" s="15">
        <f t="shared" si="63"/>
        <v>13836</v>
      </c>
      <c r="AH134" s="15">
        <f t="shared" si="63"/>
        <v>0</v>
      </c>
      <c r="AI134" s="15">
        <f t="shared" si="63"/>
        <v>0</v>
      </c>
      <c r="AJ134" s="15">
        <f t="shared" si="63"/>
        <v>0</v>
      </c>
      <c r="AK134" s="15">
        <f t="shared" si="63"/>
        <v>0</v>
      </c>
      <c r="AL134" s="15">
        <f t="shared" si="63"/>
        <v>0</v>
      </c>
      <c r="AM134" s="15">
        <f t="shared" si="63"/>
        <v>0</v>
      </c>
      <c r="AN134" s="14"/>
      <c r="AO134" s="58">
        <f>AO131*6</f>
        <v>146436</v>
      </c>
      <c r="AQ134" s="94"/>
      <c r="BD134" s="85"/>
      <c r="BE134" s="85"/>
      <c r="BF134" s="85"/>
      <c r="BG134" s="85"/>
      <c r="BH134" s="85"/>
      <c r="BI134" s="85"/>
      <c r="BJ134" s="85"/>
      <c r="BK134" s="85"/>
      <c r="BL134" s="85"/>
      <c r="BM134" s="85"/>
      <c r="CA134" s="93"/>
      <c r="CB134" s="93"/>
      <c r="DE134" s="93"/>
      <c r="EM134" s="66"/>
      <c r="EN134" s="93"/>
      <c r="EO134" s="93"/>
      <c r="EP134" s="93"/>
      <c r="EQ134" s="93"/>
      <c r="GT134" s="93"/>
      <c r="KO134" s="93"/>
      <c r="KP134" s="93"/>
      <c r="KQ134" s="93"/>
      <c r="KR134" s="93"/>
      <c r="PV134" s="93"/>
      <c r="PW134" s="93"/>
      <c r="PY134" s="93"/>
      <c r="QM134" s="92"/>
      <c r="QQ134" s="93"/>
      <c r="ST134" s="92"/>
      <c r="AIC134" s="5"/>
      <c r="AJR134" s="5"/>
      <c r="AJS134" s="5"/>
      <c r="AJT134" s="5"/>
    </row>
    <row r="135" spans="6:956" x14ac:dyDescent="0.3">
      <c r="F135" s="60"/>
      <c r="G135" s="65" t="s">
        <v>41</v>
      </c>
      <c r="H135" s="305"/>
      <c r="I135" s="55" t="s">
        <v>40</v>
      </c>
      <c r="J135" s="15">
        <f>(J126*45)/1700</f>
        <v>1225.5157058823531</v>
      </c>
      <c r="K135" s="15">
        <f>(K126*45)/1700</f>
        <v>0</v>
      </c>
      <c r="L135" s="15">
        <f t="shared" ref="L135:AC135" si="64">(L126*45)/1700</f>
        <v>0</v>
      </c>
      <c r="M135" s="15">
        <f t="shared" si="64"/>
        <v>0</v>
      </c>
      <c r="N135" s="15">
        <f t="shared" si="64"/>
        <v>0</v>
      </c>
      <c r="O135" s="15">
        <f t="shared" si="64"/>
        <v>0</v>
      </c>
      <c r="P135" s="15">
        <f t="shared" si="64"/>
        <v>0</v>
      </c>
      <c r="Q135" s="15">
        <f t="shared" si="64"/>
        <v>0</v>
      </c>
      <c r="R135" s="15">
        <f t="shared" si="64"/>
        <v>0</v>
      </c>
      <c r="S135" s="15">
        <f t="shared" si="64"/>
        <v>0</v>
      </c>
      <c r="T135" s="15">
        <f t="shared" si="64"/>
        <v>0</v>
      </c>
      <c r="U135" s="15">
        <f t="shared" si="64"/>
        <v>912.13676470588234</v>
      </c>
      <c r="V135" s="15">
        <f t="shared" si="64"/>
        <v>941.11385294117645</v>
      </c>
      <c r="W135" s="15">
        <f t="shared" si="64"/>
        <v>921.16852941176455</v>
      </c>
      <c r="X135" s="15">
        <f t="shared" si="64"/>
        <v>929.73017647058828</v>
      </c>
      <c r="Y135" s="15">
        <f t="shared" si="64"/>
        <v>640.42914705882356</v>
      </c>
      <c r="Z135" s="15">
        <f t="shared" si="64"/>
        <v>24.837352941176469</v>
      </c>
      <c r="AA135" s="15">
        <f t="shared" si="64"/>
        <v>0</v>
      </c>
      <c r="AB135" s="15">
        <f t="shared" si="64"/>
        <v>0</v>
      </c>
      <c r="AC135" s="15">
        <f t="shared" si="64"/>
        <v>0</v>
      </c>
      <c r="AD135" s="15">
        <f t="shared" ref="AD135:AM135" si="65">AD126*45/1700</f>
        <v>912.13702941176484</v>
      </c>
      <c r="AE135" s="15">
        <f t="shared" si="65"/>
        <v>912.19208823529402</v>
      </c>
      <c r="AF135" s="15">
        <f t="shared" si="65"/>
        <v>562.97249999999997</v>
      </c>
      <c r="AG135" s="15">
        <f t="shared" si="65"/>
        <v>899.01397058823534</v>
      </c>
      <c r="AH135" s="15">
        <f t="shared" si="65"/>
        <v>0</v>
      </c>
      <c r="AI135" s="15">
        <f t="shared" si="65"/>
        <v>0</v>
      </c>
      <c r="AJ135" s="15">
        <f t="shared" si="65"/>
        <v>0</v>
      </c>
      <c r="AK135" s="15">
        <f t="shared" si="65"/>
        <v>0</v>
      </c>
      <c r="AL135" s="15">
        <f t="shared" si="65"/>
        <v>0</v>
      </c>
      <c r="AM135" s="15">
        <f t="shared" si="65"/>
        <v>0</v>
      </c>
      <c r="AN135" s="14"/>
      <c r="AO135" s="58">
        <f>SUM(J135:AM135)</f>
        <v>8881.247117647059</v>
      </c>
      <c r="AQ135" s="94"/>
      <c r="BD135" s="85"/>
      <c r="BE135" s="85"/>
      <c r="BF135" s="85"/>
      <c r="BG135" s="85"/>
      <c r="BH135" s="85"/>
      <c r="BI135" s="85"/>
      <c r="BJ135" s="85"/>
      <c r="BK135" s="85"/>
      <c r="BL135" s="85"/>
      <c r="BM135" s="85"/>
      <c r="CA135" s="93"/>
      <c r="CB135" s="93"/>
      <c r="DE135" s="93"/>
      <c r="EM135" s="66"/>
      <c r="EN135" s="93"/>
      <c r="EO135" s="93"/>
      <c r="EP135" s="93"/>
      <c r="EQ135" s="93"/>
      <c r="GT135" s="93"/>
      <c r="KO135" s="93"/>
      <c r="KP135" s="93"/>
      <c r="KQ135" s="93"/>
      <c r="KR135" s="93"/>
      <c r="PV135" s="93"/>
      <c r="PW135" s="93"/>
      <c r="PY135" s="93"/>
      <c r="QM135" s="92"/>
      <c r="QQ135" s="93"/>
      <c r="ST135" s="92"/>
      <c r="AIC135" s="5"/>
      <c r="AJR135" s="5"/>
      <c r="AJS135" s="5"/>
      <c r="AJT135" s="5"/>
    </row>
    <row r="136" spans="6:956" x14ac:dyDescent="0.3">
      <c r="F136" s="60"/>
      <c r="G136" s="65" t="s">
        <v>39</v>
      </c>
      <c r="H136" s="305"/>
      <c r="I136" s="55" t="s">
        <v>38</v>
      </c>
      <c r="J136" s="15">
        <f t="shared" ref="J136:AH136" si="66">SUM(J130:J131)/500</f>
        <v>9.4719999999999995</v>
      </c>
      <c r="K136" s="15">
        <f t="shared" si="66"/>
        <v>0</v>
      </c>
      <c r="L136" s="15">
        <f t="shared" si="66"/>
        <v>0</v>
      </c>
      <c r="M136" s="15">
        <f t="shared" si="66"/>
        <v>0</v>
      </c>
      <c r="N136" s="15">
        <f t="shared" si="66"/>
        <v>0</v>
      </c>
      <c r="O136" s="15">
        <f t="shared" si="66"/>
        <v>0</v>
      </c>
      <c r="P136" s="15">
        <f t="shared" si="66"/>
        <v>0</v>
      </c>
      <c r="Q136" s="15">
        <f t="shared" si="66"/>
        <v>0</v>
      </c>
      <c r="R136" s="15">
        <f t="shared" si="66"/>
        <v>0</v>
      </c>
      <c r="S136" s="15">
        <f t="shared" si="66"/>
        <v>0</v>
      </c>
      <c r="T136" s="15">
        <f t="shared" si="66"/>
        <v>0</v>
      </c>
      <c r="U136" s="15">
        <f t="shared" si="66"/>
        <v>7.0780000000000003</v>
      </c>
      <c r="V136" s="15">
        <f t="shared" si="66"/>
        <v>7.2779999999999996</v>
      </c>
      <c r="W136" s="15">
        <f t="shared" si="66"/>
        <v>7.1420000000000003</v>
      </c>
      <c r="X136" s="15">
        <f t="shared" si="66"/>
        <v>7.2080000000000002</v>
      </c>
      <c r="Y136" s="15">
        <f t="shared" si="66"/>
        <v>4.95</v>
      </c>
      <c r="Z136" s="15">
        <f t="shared" si="66"/>
        <v>0.192</v>
      </c>
      <c r="AA136" s="15">
        <f t="shared" si="66"/>
        <v>0</v>
      </c>
      <c r="AB136" s="15">
        <f t="shared" si="66"/>
        <v>0</v>
      </c>
      <c r="AC136" s="15">
        <f t="shared" si="66"/>
        <v>0</v>
      </c>
      <c r="AD136" s="15">
        <f t="shared" ref="AD136" si="67">SUM(AD130:AD131)/500</f>
        <v>7.1159999999999997</v>
      </c>
      <c r="AE136" s="15">
        <f t="shared" si="66"/>
        <v>7.0739999999999998</v>
      </c>
      <c r="AF136" s="15">
        <f t="shared" si="66"/>
        <v>4.38</v>
      </c>
      <c r="AG136" s="15">
        <f t="shared" si="66"/>
        <v>6.9619999999999997</v>
      </c>
      <c r="AH136" s="15">
        <f t="shared" si="66"/>
        <v>0</v>
      </c>
      <c r="AI136" s="15">
        <f t="shared" ref="AI136:AM136" si="68">SUM(AI130:AI131)/500</f>
        <v>0</v>
      </c>
      <c r="AJ136" s="15">
        <f t="shared" si="68"/>
        <v>0</v>
      </c>
      <c r="AK136" s="15">
        <f t="shared" si="68"/>
        <v>0</v>
      </c>
      <c r="AL136" s="15">
        <f t="shared" si="68"/>
        <v>0</v>
      </c>
      <c r="AM136" s="113">
        <f t="shared" si="68"/>
        <v>0</v>
      </c>
      <c r="AN136" s="14"/>
      <c r="AO136" s="58">
        <f>SUM(J136:AM136)</f>
        <v>68.852000000000004</v>
      </c>
      <c r="AQ136" s="94"/>
      <c r="BD136" s="85"/>
      <c r="BE136" s="85"/>
      <c r="BF136" s="85"/>
      <c r="BG136" s="85"/>
      <c r="BH136" s="85"/>
      <c r="BI136" s="85"/>
      <c r="BJ136" s="85"/>
      <c r="BK136" s="85"/>
      <c r="BL136" s="85"/>
      <c r="BM136" s="85"/>
      <c r="CA136" s="93"/>
      <c r="CB136" s="93"/>
      <c r="DE136" s="93"/>
      <c r="EM136" s="66"/>
      <c r="EN136" s="93"/>
      <c r="EO136" s="93"/>
      <c r="EP136" s="93"/>
      <c r="EQ136" s="93"/>
      <c r="GT136" s="93"/>
      <c r="KO136" s="93"/>
      <c r="KP136" s="93"/>
      <c r="KQ136" s="93"/>
      <c r="KR136" s="93"/>
      <c r="PV136" s="93"/>
      <c r="PW136" s="93"/>
      <c r="PY136" s="93"/>
      <c r="QM136" s="92"/>
      <c r="QQ136" s="93"/>
      <c r="ST136" s="92"/>
      <c r="AIC136" s="5"/>
      <c r="AJR136" s="5"/>
      <c r="AJS136" s="5"/>
      <c r="AJT136" s="5"/>
    </row>
    <row r="137" spans="6:956" x14ac:dyDescent="0.3">
      <c r="F137" s="57"/>
      <c r="G137" s="103" t="s">
        <v>37</v>
      </c>
      <c r="H137" s="97"/>
      <c r="I137" s="97"/>
      <c r="J137" s="24"/>
      <c r="K137" s="24"/>
      <c r="L137" s="24"/>
      <c r="M137" s="24"/>
      <c r="N137" s="24"/>
      <c r="O137" s="24"/>
      <c r="P137" s="24"/>
      <c r="Q137" s="24"/>
      <c r="R137" s="24"/>
      <c r="S137" s="24"/>
      <c r="T137" s="24"/>
      <c r="U137" s="24"/>
      <c r="V137" s="24"/>
      <c r="W137" s="24"/>
      <c r="X137" s="24"/>
      <c r="Y137" s="24"/>
      <c r="Z137" s="24"/>
      <c r="AA137" s="24"/>
      <c r="AB137" s="24"/>
      <c r="AC137" s="24"/>
      <c r="AD137" s="24"/>
      <c r="AE137" s="24"/>
      <c r="AF137" s="24"/>
      <c r="AG137" s="102"/>
      <c r="AH137" s="24"/>
      <c r="AI137" s="24"/>
      <c r="AJ137" s="24"/>
      <c r="AK137" s="24"/>
      <c r="AL137" s="24"/>
      <c r="AM137" s="24"/>
      <c r="AN137" s="67"/>
      <c r="AO137" s="101" t="s">
        <v>34</v>
      </c>
      <c r="AQ137" s="12"/>
      <c r="BD137" s="85"/>
      <c r="BE137" s="85"/>
      <c r="BF137" s="85"/>
      <c r="BG137" s="85"/>
      <c r="BH137" s="85"/>
      <c r="BI137" s="85"/>
      <c r="BJ137" s="85"/>
      <c r="BK137" s="85"/>
      <c r="BL137" s="85"/>
      <c r="BM137" s="85"/>
      <c r="CA137" s="5"/>
      <c r="CB137" s="5"/>
      <c r="DE137" s="5"/>
      <c r="EM137" s="66"/>
      <c r="EN137" s="5"/>
      <c r="EO137" s="5"/>
      <c r="EP137" s="5"/>
      <c r="EQ137" s="5"/>
      <c r="GT137" s="5"/>
      <c r="KO137" s="5"/>
      <c r="KP137" s="5"/>
      <c r="KQ137" s="5"/>
      <c r="KR137" s="5"/>
      <c r="PV137" s="5"/>
      <c r="PW137" s="5"/>
      <c r="PY137" s="5"/>
      <c r="QM137" s="62"/>
      <c r="QQ137" s="5"/>
      <c r="ST137" s="62"/>
      <c r="AIC137" s="5"/>
      <c r="AJR137" s="5"/>
      <c r="AJS137" s="5"/>
      <c r="AJT137" s="5"/>
    </row>
    <row r="138" spans="6:956" x14ac:dyDescent="0.3">
      <c r="F138" s="60"/>
      <c r="G138" s="65" t="s">
        <v>33</v>
      </c>
      <c r="H138" s="305"/>
      <c r="I138" s="60"/>
      <c r="J138" s="15"/>
      <c r="K138" s="15"/>
      <c r="L138" s="15"/>
      <c r="M138" s="15"/>
      <c r="N138" s="15"/>
      <c r="O138" s="15"/>
      <c r="P138" s="15"/>
      <c r="Q138" s="15"/>
      <c r="R138" s="15"/>
      <c r="S138" s="15"/>
      <c r="T138" s="15"/>
      <c r="U138" s="15"/>
      <c r="V138" s="15"/>
      <c r="W138" s="15"/>
      <c r="X138" s="15"/>
      <c r="Y138" s="15"/>
      <c r="Z138" s="15"/>
      <c r="AA138" s="15"/>
      <c r="AB138" s="15"/>
      <c r="AC138" s="15"/>
      <c r="AD138" s="15"/>
      <c r="AE138" s="15"/>
      <c r="AF138" s="15"/>
      <c r="AG138" s="15"/>
      <c r="AH138" s="15"/>
      <c r="AI138" s="15"/>
      <c r="AJ138" s="15"/>
      <c r="AK138" s="15"/>
      <c r="AL138" s="15"/>
      <c r="AM138" s="15"/>
      <c r="AN138" s="14"/>
      <c r="AO138" s="100" t="s">
        <v>33</v>
      </c>
      <c r="AQ138" s="94"/>
      <c r="CA138" s="93"/>
      <c r="CB138" s="93"/>
      <c r="DE138" s="93"/>
      <c r="EM138" s="66"/>
      <c r="EN138" s="93"/>
      <c r="EO138" s="93"/>
      <c r="EP138" s="93"/>
      <c r="EQ138" s="93"/>
      <c r="GT138" s="93"/>
      <c r="KO138" s="93"/>
      <c r="KP138" s="93"/>
      <c r="KQ138" s="93"/>
      <c r="KR138" s="93"/>
      <c r="PV138" s="93"/>
      <c r="PW138" s="93"/>
      <c r="PY138" s="93"/>
      <c r="QM138" s="92"/>
      <c r="QQ138" s="93"/>
      <c r="ST138" s="92"/>
      <c r="AIC138" s="5"/>
      <c r="AJR138" s="5"/>
      <c r="AJS138" s="5"/>
      <c r="AJT138" s="5"/>
    </row>
    <row r="139" spans="6:956" x14ac:dyDescent="0.3">
      <c r="F139" s="60"/>
      <c r="G139" s="99" t="s">
        <v>50</v>
      </c>
      <c r="H139" s="305"/>
      <c r="I139" s="55" t="s">
        <v>36</v>
      </c>
      <c r="J139" s="61">
        <v>0</v>
      </c>
      <c r="K139" s="61">
        <v>0</v>
      </c>
      <c r="L139" s="61">
        <v>0</v>
      </c>
      <c r="M139" s="61">
        <v>0</v>
      </c>
      <c r="N139" s="61">
        <v>0</v>
      </c>
      <c r="O139" s="61">
        <v>0</v>
      </c>
      <c r="P139" s="61">
        <v>0</v>
      </c>
      <c r="Q139" s="61">
        <v>0</v>
      </c>
      <c r="R139" s="61">
        <v>0</v>
      </c>
      <c r="S139" s="61">
        <v>0</v>
      </c>
      <c r="T139" s="61">
        <v>0</v>
      </c>
      <c r="U139" s="61">
        <v>1</v>
      </c>
      <c r="V139" s="61">
        <v>2</v>
      </c>
      <c r="W139" s="61">
        <v>0</v>
      </c>
      <c r="X139" s="61">
        <v>0</v>
      </c>
      <c r="Y139" s="61">
        <v>0</v>
      </c>
      <c r="Z139" s="61">
        <v>0</v>
      </c>
      <c r="AA139" s="61">
        <v>0</v>
      </c>
      <c r="AB139" s="61">
        <v>0</v>
      </c>
      <c r="AC139" s="61">
        <v>0</v>
      </c>
      <c r="AD139" s="61">
        <v>0</v>
      </c>
      <c r="AE139" s="61">
        <v>0</v>
      </c>
      <c r="AF139" s="61">
        <v>0</v>
      </c>
      <c r="AG139" s="61">
        <v>0</v>
      </c>
      <c r="AH139" s="61">
        <v>0</v>
      </c>
      <c r="AI139" s="61">
        <v>0</v>
      </c>
      <c r="AJ139" s="61">
        <v>0</v>
      </c>
      <c r="AK139" s="61">
        <v>0</v>
      </c>
      <c r="AL139" s="61">
        <v>0</v>
      </c>
      <c r="AM139" s="61"/>
      <c r="AN139" s="14"/>
      <c r="AO139" s="58">
        <f>SUM(J139:AM139)</f>
        <v>3</v>
      </c>
      <c r="AQ139" s="94"/>
      <c r="CA139" s="93"/>
      <c r="CB139" s="93"/>
      <c r="DE139" s="93"/>
      <c r="EM139" s="66"/>
      <c r="EN139" s="93"/>
      <c r="EO139" s="93"/>
      <c r="EP139" s="93"/>
      <c r="EQ139" s="93"/>
      <c r="GT139" s="93"/>
      <c r="KO139" s="93"/>
      <c r="KP139" s="93"/>
      <c r="KQ139" s="93"/>
      <c r="KR139" s="93"/>
      <c r="PV139" s="93"/>
      <c r="PW139" s="93"/>
      <c r="PY139" s="93"/>
      <c r="QM139" s="92"/>
      <c r="QQ139" s="93"/>
      <c r="ST139" s="92"/>
      <c r="AIC139" s="5"/>
      <c r="AJR139" s="5"/>
      <c r="AJS139" s="5"/>
      <c r="AJT139" s="5"/>
    </row>
    <row r="140" spans="6:956" x14ac:dyDescent="0.3">
      <c r="F140" s="60"/>
      <c r="G140" s="99" t="s">
        <v>49</v>
      </c>
      <c r="H140" s="305"/>
      <c r="I140" s="55" t="s">
        <v>36</v>
      </c>
      <c r="J140" s="61">
        <v>0</v>
      </c>
      <c r="K140" s="61">
        <v>0</v>
      </c>
      <c r="L140" s="61">
        <v>0</v>
      </c>
      <c r="M140" s="61">
        <v>0</v>
      </c>
      <c r="N140" s="61">
        <v>0</v>
      </c>
      <c r="O140" s="61">
        <v>0</v>
      </c>
      <c r="P140" s="61">
        <v>0</v>
      </c>
      <c r="Q140" s="61">
        <v>0</v>
      </c>
      <c r="R140" s="61">
        <v>0</v>
      </c>
      <c r="S140" s="61">
        <v>0</v>
      </c>
      <c r="T140" s="61">
        <v>0</v>
      </c>
      <c r="U140" s="61">
        <v>13</v>
      </c>
      <c r="V140" s="61">
        <v>0</v>
      </c>
      <c r="W140" s="61">
        <v>11</v>
      </c>
      <c r="X140" s="61">
        <v>11</v>
      </c>
      <c r="Y140" s="61">
        <v>0</v>
      </c>
      <c r="Z140" s="61">
        <v>0</v>
      </c>
      <c r="AA140" s="61">
        <v>0</v>
      </c>
      <c r="AB140" s="61">
        <v>0</v>
      </c>
      <c r="AC140" s="61">
        <v>0</v>
      </c>
      <c r="AD140" s="61">
        <v>33</v>
      </c>
      <c r="AE140" s="61">
        <v>12</v>
      </c>
      <c r="AF140" s="61">
        <v>0</v>
      </c>
      <c r="AG140" s="61">
        <v>0</v>
      </c>
      <c r="AH140" s="61">
        <v>0</v>
      </c>
      <c r="AI140" s="61">
        <v>0</v>
      </c>
      <c r="AJ140" s="61">
        <v>0</v>
      </c>
      <c r="AK140" s="61">
        <v>0</v>
      </c>
      <c r="AL140" s="61">
        <v>0</v>
      </c>
      <c r="AM140" s="61"/>
      <c r="AN140" s="14"/>
      <c r="AO140" s="58">
        <f>SUM(J140:AM140)</f>
        <v>80</v>
      </c>
      <c r="AQ140" s="94"/>
      <c r="CA140" s="93"/>
      <c r="CB140" s="93"/>
      <c r="DE140" s="93"/>
      <c r="EM140" s="66"/>
      <c r="EN140" s="93"/>
      <c r="EO140" s="93"/>
      <c r="EP140" s="93"/>
      <c r="EQ140" s="93"/>
      <c r="GT140" s="93"/>
      <c r="KO140" s="93"/>
      <c r="KP140" s="93"/>
      <c r="KQ140" s="93"/>
      <c r="KR140" s="93"/>
      <c r="PV140" s="93"/>
      <c r="PW140" s="93"/>
      <c r="PY140" s="93"/>
      <c r="QM140" s="92"/>
      <c r="QQ140" s="93"/>
      <c r="ST140" s="92"/>
      <c r="AIC140" s="5"/>
      <c r="AJR140" s="5"/>
      <c r="AJS140" s="5"/>
      <c r="AJT140" s="5"/>
    </row>
    <row r="141" spans="6:956" x14ac:dyDescent="0.3">
      <c r="F141" s="60"/>
      <c r="G141" s="65" t="s">
        <v>32</v>
      </c>
      <c r="H141" s="305"/>
      <c r="I141" s="60"/>
      <c r="J141" s="61"/>
      <c r="K141" s="61"/>
      <c r="L141" s="61"/>
      <c r="M141" s="61"/>
      <c r="N141" s="61"/>
      <c r="O141" s="61"/>
      <c r="P141" s="61"/>
      <c r="Q141" s="61"/>
      <c r="R141" s="61"/>
      <c r="S141" s="61"/>
      <c r="T141" s="61"/>
      <c r="U141" s="61"/>
      <c r="V141" s="61"/>
      <c r="W141" s="61"/>
      <c r="X141" s="61"/>
      <c r="Y141" s="61"/>
      <c r="Z141" s="61"/>
      <c r="AA141" s="61"/>
      <c r="AB141" s="61"/>
      <c r="AC141" s="61"/>
      <c r="AD141" s="61"/>
      <c r="AE141" s="61"/>
      <c r="AF141" s="61"/>
      <c r="AG141" s="61"/>
      <c r="AH141" s="61"/>
      <c r="AI141" s="61"/>
      <c r="AJ141" s="61"/>
      <c r="AK141" s="61"/>
      <c r="AL141" s="61"/>
      <c r="AM141" s="61"/>
      <c r="AN141" s="14"/>
      <c r="AO141" s="100" t="s">
        <v>32</v>
      </c>
      <c r="AQ141" s="94"/>
      <c r="CA141" s="93"/>
      <c r="CB141" s="93"/>
      <c r="DE141" s="93"/>
      <c r="EM141" s="66"/>
      <c r="EN141" s="93"/>
      <c r="EO141" s="93"/>
      <c r="EP141" s="93"/>
      <c r="EQ141" s="93"/>
      <c r="GT141" s="93"/>
      <c r="KO141" s="93"/>
      <c r="KP141" s="93"/>
      <c r="KQ141" s="93"/>
      <c r="KR141" s="93"/>
      <c r="PV141" s="93"/>
      <c r="PW141" s="93"/>
      <c r="PY141" s="93"/>
      <c r="QM141" s="92"/>
      <c r="QQ141" s="93"/>
      <c r="ST141" s="92"/>
      <c r="AIC141" s="5"/>
      <c r="AJR141" s="5"/>
      <c r="AJS141" s="5"/>
      <c r="AJT141" s="5"/>
    </row>
    <row r="142" spans="6:956" x14ac:dyDescent="0.3">
      <c r="F142" s="60"/>
      <c r="G142" s="99" t="str">
        <f>G139</f>
        <v xml:space="preserve">INL SP 900 mL  </v>
      </c>
      <c r="H142" s="305"/>
      <c r="I142" s="55" t="s">
        <v>32</v>
      </c>
      <c r="J142" s="61">
        <v>0</v>
      </c>
      <c r="K142" s="61">
        <v>0</v>
      </c>
      <c r="L142" s="61">
        <v>0</v>
      </c>
      <c r="M142" s="61">
        <v>0</v>
      </c>
      <c r="N142" s="61">
        <v>0</v>
      </c>
      <c r="O142" s="61">
        <v>0</v>
      </c>
      <c r="P142" s="61">
        <v>0</v>
      </c>
      <c r="Q142" s="61">
        <v>0</v>
      </c>
      <c r="R142" s="61">
        <v>0</v>
      </c>
      <c r="S142" s="61">
        <v>0</v>
      </c>
      <c r="T142" s="61">
        <v>0</v>
      </c>
      <c r="U142" s="61">
        <v>8</v>
      </c>
      <c r="V142" s="61">
        <v>0</v>
      </c>
      <c r="W142" s="61">
        <v>18</v>
      </c>
      <c r="X142" s="61">
        <v>0</v>
      </c>
      <c r="Y142" s="61">
        <v>0</v>
      </c>
      <c r="Z142" s="61">
        <v>0</v>
      </c>
      <c r="AA142" s="61">
        <v>0</v>
      </c>
      <c r="AB142" s="61">
        <v>0</v>
      </c>
      <c r="AC142" s="61">
        <v>0</v>
      </c>
      <c r="AD142" s="61">
        <v>3</v>
      </c>
      <c r="AE142" s="61">
        <v>0</v>
      </c>
      <c r="AF142" s="61">
        <v>0</v>
      </c>
      <c r="AG142" s="61">
        <v>0</v>
      </c>
      <c r="AH142" s="61">
        <v>0</v>
      </c>
      <c r="AI142" s="61">
        <v>0</v>
      </c>
      <c r="AJ142" s="61">
        <v>0</v>
      </c>
      <c r="AK142" s="61">
        <v>0</v>
      </c>
      <c r="AL142" s="61">
        <v>0</v>
      </c>
      <c r="AM142" s="61"/>
      <c r="AN142" s="14"/>
      <c r="AO142" s="58">
        <f>SUM(J142:AM142)</f>
        <v>29</v>
      </c>
      <c r="AQ142" s="94"/>
      <c r="CA142" s="93"/>
      <c r="CB142" s="93"/>
      <c r="DE142" s="93"/>
      <c r="EM142" s="66"/>
      <c r="EN142" s="93"/>
      <c r="EO142" s="93"/>
      <c r="EP142" s="93"/>
      <c r="EQ142" s="93"/>
      <c r="GT142" s="93"/>
      <c r="KO142" s="93"/>
      <c r="KP142" s="93"/>
      <c r="KQ142" s="93"/>
      <c r="KR142" s="93"/>
      <c r="PV142" s="93"/>
      <c r="PW142" s="93"/>
      <c r="PY142" s="93"/>
      <c r="QM142" s="92"/>
      <c r="QQ142" s="93"/>
      <c r="ST142" s="92"/>
      <c r="AIC142" s="5"/>
      <c r="AJR142" s="5"/>
      <c r="AJS142" s="5"/>
      <c r="AJT142" s="5"/>
    </row>
    <row r="143" spans="6:956" x14ac:dyDescent="0.3">
      <c r="F143" s="60"/>
      <c r="G143" s="99" t="str">
        <f>G140</f>
        <v>INL SP 1,8 L</v>
      </c>
      <c r="H143" s="305"/>
      <c r="I143" s="55" t="s">
        <v>32</v>
      </c>
      <c r="J143" s="61">
        <v>0</v>
      </c>
      <c r="K143" s="61">
        <v>0</v>
      </c>
      <c r="L143" s="61">
        <v>0</v>
      </c>
      <c r="M143" s="61">
        <v>0</v>
      </c>
      <c r="N143" s="61">
        <v>0</v>
      </c>
      <c r="O143" s="61">
        <v>0</v>
      </c>
      <c r="P143" s="61">
        <v>0</v>
      </c>
      <c r="Q143" s="61">
        <v>0</v>
      </c>
      <c r="R143" s="61">
        <v>0</v>
      </c>
      <c r="S143" s="61">
        <v>0</v>
      </c>
      <c r="T143" s="61">
        <v>0</v>
      </c>
      <c r="U143" s="61">
        <v>4</v>
      </c>
      <c r="V143" s="61">
        <v>0</v>
      </c>
      <c r="W143" s="61">
        <v>3</v>
      </c>
      <c r="X143" s="61">
        <v>5</v>
      </c>
      <c r="Y143" s="61">
        <v>0</v>
      </c>
      <c r="Z143" s="61">
        <v>0</v>
      </c>
      <c r="AA143" s="61">
        <v>0</v>
      </c>
      <c r="AB143" s="61">
        <v>0</v>
      </c>
      <c r="AC143" s="61">
        <v>0</v>
      </c>
      <c r="AD143" s="61">
        <v>4</v>
      </c>
      <c r="AE143" s="61">
        <v>0</v>
      </c>
      <c r="AF143" s="61">
        <v>0</v>
      </c>
      <c r="AG143" s="61">
        <v>0</v>
      </c>
      <c r="AH143" s="61">
        <v>0</v>
      </c>
      <c r="AI143" s="61">
        <v>0</v>
      </c>
      <c r="AJ143" s="61">
        <v>0</v>
      </c>
      <c r="AK143" s="61">
        <v>0</v>
      </c>
      <c r="AL143" s="61">
        <v>0</v>
      </c>
      <c r="AM143" s="61"/>
      <c r="AN143" s="14"/>
      <c r="AO143" s="58">
        <f>SUM(J143:AM143)</f>
        <v>16</v>
      </c>
      <c r="AQ143" s="94"/>
      <c r="CA143" s="93"/>
      <c r="CB143" s="93"/>
      <c r="DE143" s="93"/>
      <c r="EM143" s="66"/>
      <c r="EN143" s="93"/>
      <c r="EO143" s="93"/>
      <c r="EP143" s="93"/>
      <c r="EQ143" s="93"/>
      <c r="GT143" s="93"/>
      <c r="KO143" s="93"/>
      <c r="KP143" s="93"/>
      <c r="KQ143" s="93"/>
      <c r="KR143" s="93"/>
      <c r="PV143" s="93"/>
      <c r="PW143" s="93"/>
      <c r="PY143" s="93"/>
      <c r="QM143" s="92"/>
      <c r="QQ143" s="93"/>
      <c r="ST143" s="92"/>
      <c r="AIC143" s="5"/>
      <c r="AJR143" s="5"/>
      <c r="AJS143" s="5"/>
      <c r="AJT143" s="5"/>
    </row>
    <row r="144" spans="6:956" x14ac:dyDescent="0.3">
      <c r="F144" s="47">
        <v>8</v>
      </c>
      <c r="G144" s="103" t="s">
        <v>48</v>
      </c>
      <c r="H144" s="97"/>
      <c r="I144" s="97"/>
      <c r="J144" s="24"/>
      <c r="K144" s="24"/>
      <c r="L144" s="24"/>
      <c r="M144" s="24"/>
      <c r="N144" s="24"/>
      <c r="O144" s="24"/>
      <c r="P144" s="24"/>
      <c r="Q144" s="24"/>
      <c r="R144" s="24"/>
      <c r="S144" s="24"/>
      <c r="T144" s="24"/>
      <c r="U144" s="24"/>
      <c r="V144" s="24"/>
      <c r="W144" s="24"/>
      <c r="X144" s="24"/>
      <c r="Y144" s="24"/>
      <c r="Z144" s="24"/>
      <c r="AA144" s="24"/>
      <c r="AB144" s="24"/>
      <c r="AC144" s="24"/>
      <c r="AD144" s="24"/>
      <c r="AE144" s="24"/>
      <c r="AF144" s="24"/>
      <c r="AG144" s="102"/>
      <c r="AH144" s="24"/>
      <c r="AI144" s="24"/>
      <c r="AJ144" s="24"/>
      <c r="AK144" s="24"/>
      <c r="AL144" s="24"/>
      <c r="AM144" s="24"/>
      <c r="AN144" s="67"/>
      <c r="AO144" s="101" t="s">
        <v>47</v>
      </c>
      <c r="AQ144" s="12"/>
      <c r="CA144" s="5"/>
      <c r="CB144" s="5"/>
      <c r="DE144" s="5"/>
      <c r="EM144" s="66"/>
      <c r="EN144" s="5"/>
      <c r="EO144" s="5"/>
      <c r="EP144" s="5"/>
      <c r="EQ144" s="5"/>
      <c r="GT144" s="5"/>
      <c r="KO144" s="5"/>
      <c r="KP144" s="5"/>
      <c r="KQ144" s="5"/>
      <c r="KR144" s="5"/>
      <c r="PV144" s="5"/>
      <c r="PW144" s="5"/>
      <c r="PY144" s="5"/>
      <c r="QM144" s="62"/>
      <c r="QQ144" s="5"/>
      <c r="ST144" s="62"/>
      <c r="AIC144" s="5"/>
      <c r="AJR144" s="5"/>
      <c r="AJS144" s="5"/>
      <c r="AJT144" s="5"/>
    </row>
    <row r="145" spans="6:956" x14ac:dyDescent="0.3">
      <c r="F145" s="60"/>
      <c r="G145" s="56" t="s">
        <v>46</v>
      </c>
      <c r="H145" s="316"/>
      <c r="I145" s="112" t="s">
        <v>16</v>
      </c>
      <c r="J145" s="111">
        <v>0</v>
      </c>
      <c r="K145" s="111">
        <v>0</v>
      </c>
      <c r="L145" s="111">
        <v>0</v>
      </c>
      <c r="M145" s="111">
        <v>0</v>
      </c>
      <c r="N145" s="111">
        <v>0</v>
      </c>
      <c r="O145" s="111">
        <v>0</v>
      </c>
      <c r="P145" s="111">
        <v>0</v>
      </c>
      <c r="Q145" s="111">
        <v>0</v>
      </c>
      <c r="R145" s="111">
        <v>0</v>
      </c>
      <c r="S145" s="111">
        <v>0</v>
      </c>
      <c r="T145" s="111">
        <v>0</v>
      </c>
      <c r="U145" s="111">
        <v>0</v>
      </c>
      <c r="V145" s="111">
        <v>0</v>
      </c>
      <c r="W145" s="111">
        <v>0</v>
      </c>
      <c r="X145" s="111">
        <v>0</v>
      </c>
      <c r="Y145" s="111">
        <v>0</v>
      </c>
      <c r="Z145" s="111">
        <v>0</v>
      </c>
      <c r="AA145" s="111">
        <v>0</v>
      </c>
      <c r="AB145" s="111">
        <v>0</v>
      </c>
      <c r="AC145" s="111">
        <v>0</v>
      </c>
      <c r="AD145" s="111">
        <v>0</v>
      </c>
      <c r="AE145" s="111">
        <v>0</v>
      </c>
      <c r="AF145" s="111">
        <v>0</v>
      </c>
      <c r="AG145" s="111">
        <v>0</v>
      </c>
      <c r="AH145" s="111">
        <v>0</v>
      </c>
      <c r="AI145" s="111">
        <v>0</v>
      </c>
      <c r="AJ145" s="111">
        <v>0</v>
      </c>
      <c r="AK145" s="111">
        <v>0</v>
      </c>
      <c r="AL145" s="111">
        <v>0</v>
      </c>
      <c r="AM145" s="111">
        <v>0</v>
      </c>
      <c r="AN145" s="53"/>
      <c r="AO145" s="110">
        <f>SUM(J145:AM145)</f>
        <v>0</v>
      </c>
      <c r="AQ145" s="94"/>
      <c r="CA145" s="93"/>
      <c r="CB145" s="93"/>
      <c r="DE145" s="93"/>
      <c r="EM145" s="66"/>
      <c r="EN145" s="93"/>
      <c r="EO145" s="93"/>
      <c r="EP145" s="93"/>
      <c r="EQ145" s="93"/>
      <c r="GT145" s="93"/>
      <c r="KO145" s="93"/>
      <c r="KP145" s="93"/>
      <c r="KQ145" s="93"/>
      <c r="KR145" s="93"/>
      <c r="PV145" s="93"/>
      <c r="PW145" s="93"/>
      <c r="PY145" s="93"/>
      <c r="QM145" s="92"/>
      <c r="QQ145" s="93"/>
      <c r="ST145" s="92"/>
      <c r="AIC145" s="5"/>
      <c r="AJR145" s="5"/>
      <c r="AJS145" s="5"/>
      <c r="AJT145" s="5"/>
    </row>
    <row r="146" spans="6:956" x14ac:dyDescent="0.3">
      <c r="F146" s="60"/>
      <c r="G146" s="56" t="s">
        <v>45</v>
      </c>
      <c r="H146" s="316"/>
      <c r="I146" s="112" t="s">
        <v>16</v>
      </c>
      <c r="J146" s="111">
        <v>0</v>
      </c>
      <c r="K146" s="111">
        <v>0</v>
      </c>
      <c r="L146" s="111">
        <v>0</v>
      </c>
      <c r="M146" s="111">
        <v>0</v>
      </c>
      <c r="N146" s="111">
        <v>0</v>
      </c>
      <c r="O146" s="111">
        <v>0</v>
      </c>
      <c r="P146" s="111">
        <v>0</v>
      </c>
      <c r="Q146" s="111">
        <v>0</v>
      </c>
      <c r="R146" s="111">
        <v>0</v>
      </c>
      <c r="S146" s="111">
        <v>0</v>
      </c>
      <c r="T146" s="111">
        <v>0</v>
      </c>
      <c r="U146" s="111">
        <v>0</v>
      </c>
      <c r="V146" s="111">
        <v>0</v>
      </c>
      <c r="W146" s="111">
        <v>0</v>
      </c>
      <c r="X146" s="111">
        <v>0</v>
      </c>
      <c r="Y146" s="111">
        <v>0</v>
      </c>
      <c r="Z146" s="111">
        <v>0</v>
      </c>
      <c r="AA146" s="111">
        <v>0</v>
      </c>
      <c r="AB146" s="111">
        <v>0</v>
      </c>
      <c r="AC146" s="111">
        <v>0</v>
      </c>
      <c r="AD146" s="111">
        <v>0</v>
      </c>
      <c r="AE146" s="111">
        <v>0</v>
      </c>
      <c r="AF146" s="111">
        <v>0</v>
      </c>
      <c r="AG146" s="111">
        <v>0</v>
      </c>
      <c r="AH146" s="111">
        <v>0</v>
      </c>
      <c r="AI146" s="111">
        <v>0</v>
      </c>
      <c r="AJ146" s="111">
        <v>0</v>
      </c>
      <c r="AK146" s="111">
        <v>0</v>
      </c>
      <c r="AL146" s="111">
        <v>0</v>
      </c>
      <c r="AM146" s="111">
        <v>0</v>
      </c>
      <c r="AN146" s="53"/>
      <c r="AO146" s="110">
        <f>SUM(AO147:AO148)</f>
        <v>0</v>
      </c>
      <c r="AQ146" s="92">
        <f>U147/1000</f>
        <v>0</v>
      </c>
      <c r="CA146" s="93"/>
      <c r="CB146" s="93"/>
      <c r="DE146" s="93"/>
      <c r="EM146" s="66"/>
      <c r="EN146" s="93"/>
      <c r="EO146" s="93"/>
      <c r="EP146" s="93"/>
      <c r="EQ146" s="93"/>
      <c r="GT146" s="93"/>
      <c r="KO146" s="93"/>
      <c r="KP146" s="93"/>
      <c r="KQ146" s="93"/>
      <c r="KR146" s="93"/>
      <c r="PV146" s="93"/>
      <c r="PW146" s="93"/>
      <c r="PY146" s="93"/>
      <c r="QM146" s="92"/>
      <c r="QQ146" s="93"/>
      <c r="ST146" s="92"/>
      <c r="AIC146" s="5"/>
      <c r="AJR146" s="5"/>
      <c r="AJS146" s="5"/>
      <c r="AJT146" s="5"/>
    </row>
    <row r="147" spans="6:956" x14ac:dyDescent="0.3">
      <c r="F147" s="60"/>
      <c r="G147" s="65" t="s">
        <v>44</v>
      </c>
      <c r="H147" s="305"/>
      <c r="I147" s="55" t="s">
        <v>16</v>
      </c>
      <c r="J147" s="81">
        <f>SUM(J150:J152)*9.75348</f>
        <v>0</v>
      </c>
      <c r="K147" s="81">
        <f t="shared" ref="K147:X147" si="69">SUM(K150:K152)*9.75348</f>
        <v>0</v>
      </c>
      <c r="L147" s="81">
        <f t="shared" si="69"/>
        <v>0</v>
      </c>
      <c r="M147" s="81">
        <f t="shared" si="69"/>
        <v>0</v>
      </c>
      <c r="N147" s="81">
        <f t="shared" si="69"/>
        <v>0</v>
      </c>
      <c r="O147" s="81">
        <f t="shared" si="69"/>
        <v>0</v>
      </c>
      <c r="P147" s="81">
        <f t="shared" si="69"/>
        <v>0</v>
      </c>
      <c r="Q147" s="81">
        <f t="shared" si="69"/>
        <v>0</v>
      </c>
      <c r="R147" s="81">
        <f t="shared" si="69"/>
        <v>0</v>
      </c>
      <c r="S147" s="81">
        <f t="shared" si="69"/>
        <v>0</v>
      </c>
      <c r="T147" s="81">
        <f t="shared" si="69"/>
        <v>0</v>
      </c>
      <c r="U147" s="81">
        <f t="shared" si="69"/>
        <v>0</v>
      </c>
      <c r="V147" s="81">
        <f t="shared" si="69"/>
        <v>0</v>
      </c>
      <c r="W147" s="81">
        <f t="shared" si="69"/>
        <v>0</v>
      </c>
      <c r="X147" s="81">
        <f t="shared" si="69"/>
        <v>0</v>
      </c>
      <c r="Y147" s="81">
        <f t="shared" ref="Y147:AM147" si="70">SUM(Y150:Y152)*9.75348</f>
        <v>0</v>
      </c>
      <c r="Z147" s="81">
        <f t="shared" si="70"/>
        <v>0</v>
      </c>
      <c r="AA147" s="81">
        <f t="shared" si="70"/>
        <v>0</v>
      </c>
      <c r="AB147" s="81">
        <f t="shared" si="70"/>
        <v>0</v>
      </c>
      <c r="AC147" s="81">
        <f t="shared" si="70"/>
        <v>0</v>
      </c>
      <c r="AD147" s="81">
        <f t="shared" si="70"/>
        <v>0</v>
      </c>
      <c r="AE147" s="81">
        <f t="shared" si="70"/>
        <v>0</v>
      </c>
      <c r="AF147" s="81">
        <f t="shared" si="70"/>
        <v>0</v>
      </c>
      <c r="AG147" s="81">
        <f t="shared" si="70"/>
        <v>0</v>
      </c>
      <c r="AH147" s="81">
        <f t="shared" si="70"/>
        <v>0</v>
      </c>
      <c r="AI147" s="81">
        <f t="shared" si="70"/>
        <v>0</v>
      </c>
      <c r="AJ147" s="81">
        <f t="shared" si="70"/>
        <v>0</v>
      </c>
      <c r="AK147" s="81">
        <f t="shared" si="70"/>
        <v>0</v>
      </c>
      <c r="AL147" s="81">
        <f t="shared" si="70"/>
        <v>0</v>
      </c>
      <c r="AM147" s="81">
        <f t="shared" si="70"/>
        <v>0</v>
      </c>
      <c r="AN147" s="14"/>
      <c r="AO147" s="98">
        <f>SUM(J147:AM147)</f>
        <v>0</v>
      </c>
      <c r="AQ147" s="92"/>
      <c r="CA147" s="93"/>
      <c r="CB147" s="93"/>
      <c r="DE147" s="93"/>
      <c r="EM147" s="66"/>
      <c r="EN147" s="93"/>
      <c r="EO147" s="93"/>
      <c r="EP147" s="93"/>
      <c r="EQ147" s="93"/>
      <c r="GT147" s="93"/>
      <c r="KO147" s="93"/>
      <c r="KP147" s="93"/>
      <c r="KQ147" s="93"/>
      <c r="KR147" s="93"/>
      <c r="PV147" s="93"/>
      <c r="PW147" s="93"/>
      <c r="PY147" s="93"/>
      <c r="QM147" s="92"/>
      <c r="QQ147" s="93"/>
      <c r="ST147" s="92"/>
      <c r="AIC147" s="5"/>
      <c r="AJR147" s="5"/>
      <c r="AJS147" s="5"/>
      <c r="AJT147" s="5"/>
    </row>
    <row r="148" spans="6:956" x14ac:dyDescent="0.3">
      <c r="F148" s="60"/>
      <c r="G148" s="65" t="s">
        <v>43</v>
      </c>
      <c r="H148" s="305"/>
      <c r="I148" s="55" t="s">
        <v>16</v>
      </c>
      <c r="J148" s="81">
        <f>J146-J147</f>
        <v>0</v>
      </c>
      <c r="K148" s="81">
        <f t="shared" ref="K148:AM148" si="71">K146-K147</f>
        <v>0</v>
      </c>
      <c r="L148" s="81">
        <f t="shared" si="71"/>
        <v>0</v>
      </c>
      <c r="M148" s="81">
        <f t="shared" si="71"/>
        <v>0</v>
      </c>
      <c r="N148" s="81">
        <f t="shared" si="71"/>
        <v>0</v>
      </c>
      <c r="O148" s="81">
        <f t="shared" si="71"/>
        <v>0</v>
      </c>
      <c r="P148" s="81">
        <f t="shared" si="71"/>
        <v>0</v>
      </c>
      <c r="Q148" s="81">
        <f t="shared" si="71"/>
        <v>0</v>
      </c>
      <c r="R148" s="81">
        <f t="shared" si="71"/>
        <v>0</v>
      </c>
      <c r="S148" s="81">
        <f t="shared" si="71"/>
        <v>0</v>
      </c>
      <c r="T148" s="81">
        <f t="shared" si="71"/>
        <v>0</v>
      </c>
      <c r="U148" s="81">
        <f t="shared" si="71"/>
        <v>0</v>
      </c>
      <c r="V148" s="81">
        <f t="shared" si="71"/>
        <v>0</v>
      </c>
      <c r="W148" s="81">
        <f t="shared" si="71"/>
        <v>0</v>
      </c>
      <c r="X148" s="81">
        <f t="shared" si="71"/>
        <v>0</v>
      </c>
      <c r="Y148" s="81">
        <f t="shared" si="71"/>
        <v>0</v>
      </c>
      <c r="Z148" s="81">
        <f t="shared" si="71"/>
        <v>0</v>
      </c>
      <c r="AA148" s="81">
        <f t="shared" si="71"/>
        <v>0</v>
      </c>
      <c r="AB148" s="81">
        <f t="shared" si="71"/>
        <v>0</v>
      </c>
      <c r="AC148" s="81">
        <f t="shared" si="71"/>
        <v>0</v>
      </c>
      <c r="AD148" s="81">
        <f t="shared" si="71"/>
        <v>0</v>
      </c>
      <c r="AE148" s="81">
        <f t="shared" si="71"/>
        <v>0</v>
      </c>
      <c r="AF148" s="81">
        <f t="shared" si="71"/>
        <v>0</v>
      </c>
      <c r="AG148" s="81">
        <f t="shared" si="71"/>
        <v>0</v>
      </c>
      <c r="AH148" s="81">
        <f t="shared" si="71"/>
        <v>0</v>
      </c>
      <c r="AI148" s="81">
        <f t="shared" si="71"/>
        <v>0</v>
      </c>
      <c r="AJ148" s="81">
        <f t="shared" si="71"/>
        <v>0</v>
      </c>
      <c r="AK148" s="81">
        <f t="shared" si="71"/>
        <v>0</v>
      </c>
      <c r="AL148" s="81">
        <f t="shared" si="71"/>
        <v>0</v>
      </c>
      <c r="AM148" s="81">
        <f t="shared" si="71"/>
        <v>0</v>
      </c>
      <c r="AN148" s="14"/>
      <c r="AO148" s="98">
        <f>SUM(J148:AM148)</f>
        <v>0</v>
      </c>
      <c r="AQ148" s="104"/>
      <c r="CA148" s="93"/>
      <c r="CB148" s="93"/>
      <c r="DE148" s="93"/>
      <c r="EM148" s="66"/>
      <c r="EN148" s="93"/>
      <c r="EO148" s="93"/>
      <c r="EP148" s="93"/>
      <c r="EQ148" s="93"/>
      <c r="GT148" s="93"/>
      <c r="KO148" s="93"/>
      <c r="KP148" s="93"/>
      <c r="KQ148" s="93"/>
      <c r="KR148" s="93"/>
      <c r="PV148" s="93"/>
      <c r="PW148" s="93"/>
      <c r="PY148" s="93"/>
      <c r="QM148" s="92"/>
      <c r="QQ148" s="93"/>
      <c r="ST148" s="92"/>
      <c r="AIC148" s="5"/>
      <c r="AJR148" s="5"/>
      <c r="AJS148" s="5"/>
      <c r="AJT148" s="5"/>
    </row>
    <row r="149" spans="6:956" x14ac:dyDescent="0.3">
      <c r="F149" s="60"/>
      <c r="G149" s="65" t="s">
        <v>33</v>
      </c>
      <c r="H149" s="305"/>
      <c r="I149" s="60"/>
      <c r="J149" s="15"/>
      <c r="K149" s="15"/>
      <c r="L149" s="15"/>
      <c r="M149" s="15"/>
      <c r="N149" s="15"/>
      <c r="O149" s="15"/>
      <c r="P149" s="15"/>
      <c r="Q149" s="15"/>
      <c r="R149" s="15"/>
      <c r="S149" s="15"/>
      <c r="T149" s="15"/>
      <c r="U149" s="15"/>
      <c r="V149" s="15"/>
      <c r="W149" s="15"/>
      <c r="X149" s="15"/>
      <c r="Y149" s="15"/>
      <c r="Z149" s="15"/>
      <c r="AA149" s="15"/>
      <c r="AB149" s="15"/>
      <c r="AC149" s="15"/>
      <c r="AD149" s="15"/>
      <c r="AE149" s="15"/>
      <c r="AF149" s="15"/>
      <c r="AG149" s="15"/>
      <c r="AH149" s="15"/>
      <c r="AI149" s="15"/>
      <c r="AJ149" s="15"/>
      <c r="AK149" s="15"/>
      <c r="AL149" s="15"/>
      <c r="AM149" s="15"/>
      <c r="AN149" s="14"/>
      <c r="AO149" s="100" t="s">
        <v>33</v>
      </c>
      <c r="AQ149" s="94"/>
      <c r="CA149" s="93"/>
      <c r="CB149" s="93"/>
      <c r="DE149" s="93"/>
      <c r="EM149" s="66"/>
      <c r="EN149" s="93"/>
      <c r="EO149" s="93"/>
      <c r="EP149" s="93"/>
      <c r="EQ149" s="93"/>
      <c r="GT149" s="93"/>
      <c r="KO149" s="93"/>
      <c r="KP149" s="93"/>
      <c r="KQ149" s="93"/>
      <c r="KR149" s="93"/>
      <c r="PV149" s="93"/>
      <c r="PW149" s="93"/>
      <c r="PY149" s="93"/>
      <c r="QM149" s="92"/>
      <c r="QQ149" s="93"/>
      <c r="ST149" s="92"/>
      <c r="AIC149" s="5"/>
      <c r="AJR149" s="5"/>
      <c r="AJS149" s="5"/>
      <c r="AJT149" s="5"/>
    </row>
    <row r="150" spans="6:956" x14ac:dyDescent="0.3">
      <c r="F150" s="36"/>
      <c r="G150" s="99" t="s">
        <v>31</v>
      </c>
      <c r="H150" s="298"/>
      <c r="I150" s="34" t="s">
        <v>36</v>
      </c>
      <c r="J150" s="61">
        <v>0</v>
      </c>
      <c r="K150" s="61">
        <v>0</v>
      </c>
      <c r="L150" s="61">
        <v>0</v>
      </c>
      <c r="M150" s="61">
        <v>0</v>
      </c>
      <c r="N150" s="61">
        <v>0</v>
      </c>
      <c r="O150" s="61">
        <v>0</v>
      </c>
      <c r="P150" s="61">
        <v>0</v>
      </c>
      <c r="Q150" s="61">
        <v>0</v>
      </c>
      <c r="R150" s="61">
        <v>0</v>
      </c>
      <c r="S150" s="61">
        <v>0</v>
      </c>
      <c r="T150" s="61">
        <v>0</v>
      </c>
      <c r="U150" s="61">
        <v>0</v>
      </c>
      <c r="V150" s="61">
        <v>0</v>
      </c>
      <c r="W150" s="61">
        <v>0</v>
      </c>
      <c r="X150" s="61">
        <v>0</v>
      </c>
      <c r="Y150" s="61">
        <v>0</v>
      </c>
      <c r="Z150" s="61">
        <v>0</v>
      </c>
      <c r="AA150" s="61">
        <v>0</v>
      </c>
      <c r="AB150" s="61">
        <v>0</v>
      </c>
      <c r="AC150" s="61">
        <v>0</v>
      </c>
      <c r="AD150" s="61">
        <v>0</v>
      </c>
      <c r="AE150" s="61">
        <v>0</v>
      </c>
      <c r="AF150" s="61">
        <v>0</v>
      </c>
      <c r="AG150" s="61">
        <v>0</v>
      </c>
      <c r="AH150" s="61">
        <v>0</v>
      </c>
      <c r="AI150" s="61">
        <v>0</v>
      </c>
      <c r="AJ150" s="61">
        <v>0</v>
      </c>
      <c r="AK150" s="61">
        <v>0</v>
      </c>
      <c r="AL150" s="61">
        <v>0</v>
      </c>
      <c r="AM150" s="61">
        <v>0</v>
      </c>
      <c r="AN150" s="109"/>
      <c r="AO150" s="108">
        <f>SUM(J150:AM150)</f>
        <v>0</v>
      </c>
      <c r="AQ150" s="107"/>
      <c r="CA150" s="106"/>
      <c r="CB150" s="106"/>
      <c r="DE150" s="106"/>
      <c r="EM150" s="30"/>
      <c r="EN150" s="106"/>
      <c r="EO150" s="106"/>
      <c r="EP150" s="106"/>
      <c r="EQ150" s="106"/>
      <c r="GT150" s="106"/>
      <c r="KO150" s="106"/>
      <c r="KP150" s="106"/>
      <c r="KQ150" s="106"/>
      <c r="KR150" s="106"/>
      <c r="PV150" s="106"/>
      <c r="PW150" s="106"/>
      <c r="PY150" s="106"/>
      <c r="QM150" s="105"/>
      <c r="QQ150" s="106"/>
      <c r="ST150" s="105"/>
      <c r="AIC150" s="28"/>
      <c r="AJR150" s="28"/>
      <c r="AJS150" s="28"/>
      <c r="AJT150" s="28"/>
    </row>
    <row r="151" spans="6:956" x14ac:dyDescent="0.3">
      <c r="F151" s="36"/>
      <c r="G151" s="99" t="s">
        <v>30</v>
      </c>
      <c r="H151" s="298"/>
      <c r="I151" s="34" t="s">
        <v>36</v>
      </c>
      <c r="J151" s="61">
        <v>0</v>
      </c>
      <c r="K151" s="61">
        <v>0</v>
      </c>
      <c r="L151" s="61">
        <v>0</v>
      </c>
      <c r="M151" s="61">
        <v>0</v>
      </c>
      <c r="N151" s="61">
        <v>0</v>
      </c>
      <c r="O151" s="61">
        <v>0</v>
      </c>
      <c r="P151" s="61">
        <v>0</v>
      </c>
      <c r="Q151" s="61">
        <v>0</v>
      </c>
      <c r="R151" s="61">
        <v>0</v>
      </c>
      <c r="S151" s="61">
        <v>0</v>
      </c>
      <c r="T151" s="61">
        <v>0</v>
      </c>
      <c r="U151" s="61">
        <v>0</v>
      </c>
      <c r="V151" s="61">
        <v>0</v>
      </c>
      <c r="W151" s="61">
        <v>0</v>
      </c>
      <c r="X151" s="61">
        <v>0</v>
      </c>
      <c r="Y151" s="61">
        <v>0</v>
      </c>
      <c r="Z151" s="61">
        <v>0</v>
      </c>
      <c r="AA151" s="61">
        <v>0</v>
      </c>
      <c r="AB151" s="61">
        <v>0</v>
      </c>
      <c r="AC151" s="61">
        <v>0</v>
      </c>
      <c r="AD151" s="61">
        <v>0</v>
      </c>
      <c r="AE151" s="61">
        <v>0</v>
      </c>
      <c r="AF151" s="61">
        <v>0</v>
      </c>
      <c r="AG151" s="61">
        <v>0</v>
      </c>
      <c r="AH151" s="61">
        <v>0</v>
      </c>
      <c r="AI151" s="61">
        <v>0</v>
      </c>
      <c r="AJ151" s="61">
        <v>0</v>
      </c>
      <c r="AK151" s="61">
        <v>0</v>
      </c>
      <c r="AL151" s="61">
        <v>0</v>
      </c>
      <c r="AM151" s="61">
        <v>0</v>
      </c>
      <c r="AN151" s="109"/>
      <c r="AO151" s="108">
        <f>SUM(J151:AM151)</f>
        <v>0</v>
      </c>
      <c r="AQ151" s="107"/>
      <c r="CA151" s="106"/>
      <c r="CB151" s="106"/>
      <c r="DE151" s="106"/>
      <c r="EM151" s="30"/>
      <c r="EN151" s="106"/>
      <c r="EO151" s="106"/>
      <c r="EP151" s="106"/>
      <c r="EQ151" s="106"/>
      <c r="GT151" s="106"/>
      <c r="KO151" s="106"/>
      <c r="KP151" s="106"/>
      <c r="KQ151" s="106"/>
      <c r="KR151" s="106"/>
      <c r="PV151" s="106"/>
      <c r="PW151" s="106"/>
      <c r="PY151" s="106"/>
      <c r="QM151" s="105"/>
      <c r="QQ151" s="106"/>
      <c r="ST151" s="105"/>
      <c r="AIC151" s="28"/>
      <c r="AJR151" s="28"/>
      <c r="AJS151" s="28"/>
      <c r="AJT151" s="28"/>
    </row>
    <row r="152" spans="6:956" x14ac:dyDescent="0.3">
      <c r="F152" s="36"/>
      <c r="G152" s="99" t="s">
        <v>42</v>
      </c>
      <c r="H152" s="298"/>
      <c r="I152" s="34" t="s">
        <v>36</v>
      </c>
      <c r="J152" s="61">
        <v>0</v>
      </c>
      <c r="K152" s="61">
        <v>0</v>
      </c>
      <c r="L152" s="61">
        <v>0</v>
      </c>
      <c r="M152" s="61">
        <v>0</v>
      </c>
      <c r="N152" s="61">
        <v>0</v>
      </c>
      <c r="O152" s="61">
        <v>0</v>
      </c>
      <c r="P152" s="61">
        <v>0</v>
      </c>
      <c r="Q152" s="61">
        <v>0</v>
      </c>
      <c r="R152" s="61">
        <v>0</v>
      </c>
      <c r="S152" s="61">
        <v>0</v>
      </c>
      <c r="T152" s="61">
        <v>0</v>
      </c>
      <c r="U152" s="61">
        <v>0</v>
      </c>
      <c r="V152" s="61">
        <v>0</v>
      </c>
      <c r="W152" s="61">
        <v>0</v>
      </c>
      <c r="X152" s="61">
        <v>0</v>
      </c>
      <c r="Y152" s="61">
        <v>0</v>
      </c>
      <c r="Z152" s="61">
        <v>0</v>
      </c>
      <c r="AA152" s="61">
        <v>0</v>
      </c>
      <c r="AB152" s="61">
        <v>0</v>
      </c>
      <c r="AC152" s="61">
        <v>0</v>
      </c>
      <c r="AD152" s="61">
        <v>0</v>
      </c>
      <c r="AE152" s="61">
        <v>0</v>
      </c>
      <c r="AF152" s="61">
        <v>0</v>
      </c>
      <c r="AG152" s="61">
        <v>0</v>
      </c>
      <c r="AH152" s="61">
        <v>0</v>
      </c>
      <c r="AI152" s="61">
        <v>0</v>
      </c>
      <c r="AJ152" s="61">
        <v>0</v>
      </c>
      <c r="AK152" s="61">
        <v>0</v>
      </c>
      <c r="AL152" s="61">
        <v>0</v>
      </c>
      <c r="AM152" s="61">
        <v>0</v>
      </c>
      <c r="AN152" s="109"/>
      <c r="AO152" s="108">
        <f>SUM(J152:AM152)</f>
        <v>0</v>
      </c>
      <c r="AQ152" s="107"/>
      <c r="CA152" s="106"/>
      <c r="CB152" s="106"/>
      <c r="DE152" s="106"/>
      <c r="EM152" s="30"/>
      <c r="EN152" s="106"/>
      <c r="EO152" s="106"/>
      <c r="EP152" s="106"/>
      <c r="EQ152" s="106"/>
      <c r="GT152" s="106"/>
      <c r="KO152" s="106"/>
      <c r="KP152" s="106"/>
      <c r="KQ152" s="106"/>
      <c r="KR152" s="106"/>
      <c r="PV152" s="106"/>
      <c r="PW152" s="106"/>
      <c r="PY152" s="106"/>
      <c r="QM152" s="105"/>
      <c r="QQ152" s="106"/>
      <c r="ST152" s="105"/>
      <c r="AIC152" s="28"/>
      <c r="AJR152" s="28"/>
      <c r="AJS152" s="28"/>
      <c r="AJT152" s="28"/>
    </row>
    <row r="153" spans="6:956" x14ac:dyDescent="0.3">
      <c r="F153" s="60"/>
      <c r="G153" s="65" t="s">
        <v>32</v>
      </c>
      <c r="H153" s="305"/>
      <c r="I153" s="60"/>
      <c r="J153" s="15"/>
      <c r="K153" s="15"/>
      <c r="L153" s="15"/>
      <c r="M153" s="15"/>
      <c r="N153" s="15"/>
      <c r="O153" s="15"/>
      <c r="P153" s="15"/>
      <c r="Q153" s="15"/>
      <c r="R153" s="15"/>
      <c r="S153" s="15"/>
      <c r="T153" s="15"/>
      <c r="U153" s="15"/>
      <c r="V153" s="15"/>
      <c r="W153" s="15"/>
      <c r="X153" s="15"/>
      <c r="Y153" s="15"/>
      <c r="Z153" s="15"/>
      <c r="AA153" s="15"/>
      <c r="AB153" s="15"/>
      <c r="AC153" s="15"/>
      <c r="AD153" s="15"/>
      <c r="AE153" s="15"/>
      <c r="AF153" s="15"/>
      <c r="AG153" s="15"/>
      <c r="AH153" s="15"/>
      <c r="AI153" s="15"/>
      <c r="AJ153" s="15"/>
      <c r="AK153" s="15"/>
      <c r="AL153" s="15"/>
      <c r="AM153" s="15"/>
      <c r="AN153" s="14"/>
      <c r="AO153" s="100" t="s">
        <v>32</v>
      </c>
      <c r="AQ153" s="94"/>
      <c r="CA153" s="93"/>
      <c r="CB153" s="93"/>
      <c r="DE153" s="93"/>
      <c r="EM153" s="66"/>
      <c r="EN153" s="93"/>
      <c r="EO153" s="93"/>
      <c r="EP153" s="93"/>
      <c r="EQ153" s="93"/>
      <c r="GT153" s="93"/>
      <c r="KO153" s="93"/>
      <c r="KP153" s="93"/>
      <c r="KQ153" s="93"/>
      <c r="KR153" s="93"/>
      <c r="PV153" s="93"/>
      <c r="PW153" s="93"/>
      <c r="PY153" s="93"/>
      <c r="QM153" s="92"/>
      <c r="QQ153" s="93"/>
      <c r="ST153" s="92"/>
      <c r="AIC153" s="5"/>
      <c r="AJR153" s="5"/>
      <c r="AJS153" s="5"/>
      <c r="AJT153" s="5"/>
    </row>
    <row r="154" spans="6:956" x14ac:dyDescent="0.3">
      <c r="F154" s="60"/>
      <c r="G154" s="99" t="s">
        <v>31</v>
      </c>
      <c r="H154" s="305"/>
      <c r="I154" s="55" t="s">
        <v>32</v>
      </c>
      <c r="J154" s="15">
        <f>J150*24</f>
        <v>0</v>
      </c>
      <c r="K154" s="15">
        <f t="shared" ref="K154:AM154" si="72">K150*24</f>
        <v>0</v>
      </c>
      <c r="L154" s="15">
        <f t="shared" si="72"/>
        <v>0</v>
      </c>
      <c r="M154" s="15">
        <f t="shared" si="72"/>
        <v>0</v>
      </c>
      <c r="N154" s="15">
        <f t="shared" si="72"/>
        <v>0</v>
      </c>
      <c r="O154" s="15">
        <f t="shared" si="72"/>
        <v>0</v>
      </c>
      <c r="P154" s="15">
        <f t="shared" si="72"/>
        <v>0</v>
      </c>
      <c r="Q154" s="15">
        <f t="shared" si="72"/>
        <v>0</v>
      </c>
      <c r="R154" s="15">
        <f t="shared" si="72"/>
        <v>0</v>
      </c>
      <c r="S154" s="15">
        <f t="shared" si="72"/>
        <v>0</v>
      </c>
      <c r="T154" s="15">
        <f t="shared" si="72"/>
        <v>0</v>
      </c>
      <c r="U154" s="15">
        <f t="shared" si="72"/>
        <v>0</v>
      </c>
      <c r="V154" s="15">
        <f t="shared" si="72"/>
        <v>0</v>
      </c>
      <c r="W154" s="15">
        <f t="shared" si="72"/>
        <v>0</v>
      </c>
      <c r="X154" s="15">
        <f t="shared" si="72"/>
        <v>0</v>
      </c>
      <c r="Y154" s="15">
        <f t="shared" si="72"/>
        <v>0</v>
      </c>
      <c r="Z154" s="15">
        <f t="shared" si="72"/>
        <v>0</v>
      </c>
      <c r="AA154" s="15">
        <f t="shared" si="72"/>
        <v>0</v>
      </c>
      <c r="AB154" s="15">
        <f t="shared" si="72"/>
        <v>0</v>
      </c>
      <c r="AC154" s="15">
        <f t="shared" si="72"/>
        <v>0</v>
      </c>
      <c r="AD154" s="15">
        <f t="shared" si="72"/>
        <v>0</v>
      </c>
      <c r="AE154" s="15">
        <f t="shared" si="72"/>
        <v>0</v>
      </c>
      <c r="AF154" s="15">
        <f t="shared" si="72"/>
        <v>0</v>
      </c>
      <c r="AG154" s="15">
        <f t="shared" si="72"/>
        <v>0</v>
      </c>
      <c r="AH154" s="15">
        <f t="shared" si="72"/>
        <v>0</v>
      </c>
      <c r="AI154" s="15">
        <f t="shared" si="72"/>
        <v>0</v>
      </c>
      <c r="AJ154" s="15">
        <f t="shared" si="72"/>
        <v>0</v>
      </c>
      <c r="AK154" s="15">
        <f t="shared" si="72"/>
        <v>0</v>
      </c>
      <c r="AL154" s="15">
        <f t="shared" si="72"/>
        <v>0</v>
      </c>
      <c r="AM154" s="15">
        <f t="shared" si="72"/>
        <v>0</v>
      </c>
      <c r="AN154" s="14"/>
      <c r="AO154" s="58">
        <f>AO150*24</f>
        <v>0</v>
      </c>
      <c r="AQ154" s="104"/>
      <c r="CA154" s="93"/>
      <c r="CB154" s="93"/>
      <c r="DE154" s="93"/>
      <c r="EM154" s="66"/>
      <c r="EN154" s="93"/>
      <c r="EO154" s="93"/>
      <c r="EP154" s="93"/>
      <c r="EQ154" s="93"/>
      <c r="GT154" s="93"/>
      <c r="KO154" s="93"/>
      <c r="KP154" s="93"/>
      <c r="KQ154" s="93"/>
      <c r="KR154" s="93"/>
      <c r="PV154" s="93"/>
      <c r="PW154" s="93"/>
      <c r="PY154" s="93"/>
      <c r="QM154" s="92"/>
      <c r="QQ154" s="93"/>
      <c r="ST154" s="92"/>
      <c r="AIC154" s="5"/>
      <c r="AJR154" s="5"/>
      <c r="AJS154" s="5"/>
      <c r="AJT154" s="5"/>
    </row>
    <row r="155" spans="6:956" x14ac:dyDescent="0.3">
      <c r="F155" s="60"/>
      <c r="G155" s="99" t="s">
        <v>30</v>
      </c>
      <c r="H155" s="305"/>
      <c r="I155" s="55" t="s">
        <v>32</v>
      </c>
      <c r="J155" s="15">
        <f>J151*12</f>
        <v>0</v>
      </c>
      <c r="K155" s="15">
        <f t="shared" ref="K155:AM156" si="73">K151*12</f>
        <v>0</v>
      </c>
      <c r="L155" s="15">
        <f t="shared" si="73"/>
        <v>0</v>
      </c>
      <c r="M155" s="15">
        <f t="shared" si="73"/>
        <v>0</v>
      </c>
      <c r="N155" s="15">
        <f t="shared" si="73"/>
        <v>0</v>
      </c>
      <c r="O155" s="15">
        <f t="shared" si="73"/>
        <v>0</v>
      </c>
      <c r="P155" s="15">
        <f t="shared" si="73"/>
        <v>0</v>
      </c>
      <c r="Q155" s="15">
        <f t="shared" si="73"/>
        <v>0</v>
      </c>
      <c r="R155" s="15">
        <f t="shared" si="73"/>
        <v>0</v>
      </c>
      <c r="S155" s="15">
        <f t="shared" si="73"/>
        <v>0</v>
      </c>
      <c r="T155" s="15">
        <f t="shared" si="73"/>
        <v>0</v>
      </c>
      <c r="U155" s="15">
        <f t="shared" si="73"/>
        <v>0</v>
      </c>
      <c r="V155" s="15">
        <f t="shared" si="73"/>
        <v>0</v>
      </c>
      <c r="W155" s="15">
        <f t="shared" si="73"/>
        <v>0</v>
      </c>
      <c r="X155" s="15">
        <f t="shared" si="73"/>
        <v>0</v>
      </c>
      <c r="Y155" s="15">
        <f t="shared" si="73"/>
        <v>0</v>
      </c>
      <c r="Z155" s="15">
        <f t="shared" si="73"/>
        <v>0</v>
      </c>
      <c r="AA155" s="15">
        <f t="shared" si="73"/>
        <v>0</v>
      </c>
      <c r="AB155" s="15">
        <f t="shared" si="73"/>
        <v>0</v>
      </c>
      <c r="AC155" s="15">
        <f t="shared" si="73"/>
        <v>0</v>
      </c>
      <c r="AD155" s="15">
        <f t="shared" si="73"/>
        <v>0</v>
      </c>
      <c r="AE155" s="15">
        <f t="shared" si="73"/>
        <v>0</v>
      </c>
      <c r="AF155" s="15">
        <f t="shared" si="73"/>
        <v>0</v>
      </c>
      <c r="AG155" s="15">
        <f t="shared" si="73"/>
        <v>0</v>
      </c>
      <c r="AH155" s="15">
        <f t="shared" si="73"/>
        <v>0</v>
      </c>
      <c r="AI155" s="15">
        <f t="shared" si="73"/>
        <v>0</v>
      </c>
      <c r="AJ155" s="15">
        <f t="shared" si="73"/>
        <v>0</v>
      </c>
      <c r="AK155" s="15">
        <f t="shared" si="73"/>
        <v>0</v>
      </c>
      <c r="AL155" s="15">
        <f t="shared" si="73"/>
        <v>0</v>
      </c>
      <c r="AM155" s="15">
        <f t="shared" si="73"/>
        <v>0</v>
      </c>
      <c r="AN155" s="14"/>
      <c r="AO155" s="58">
        <f>AO151*12</f>
        <v>0</v>
      </c>
      <c r="AQ155" s="94"/>
      <c r="CA155" s="93"/>
      <c r="CB155" s="93"/>
      <c r="DE155" s="93"/>
      <c r="EM155" s="66"/>
      <c r="EN155" s="93"/>
      <c r="EO155" s="93"/>
      <c r="EP155" s="93"/>
      <c r="EQ155" s="93"/>
      <c r="GT155" s="93"/>
      <c r="KO155" s="93"/>
      <c r="KP155" s="93"/>
      <c r="KQ155" s="93"/>
      <c r="KR155" s="93"/>
      <c r="PV155" s="93"/>
      <c r="PW155" s="93"/>
      <c r="PY155" s="93"/>
      <c r="QM155" s="92"/>
      <c r="QQ155" s="93"/>
      <c r="ST155" s="92"/>
      <c r="AIC155" s="5"/>
      <c r="AJR155" s="5"/>
      <c r="AJS155" s="5"/>
      <c r="AJT155" s="5"/>
    </row>
    <row r="156" spans="6:956" x14ac:dyDescent="0.3">
      <c r="F156" s="60"/>
      <c r="G156" s="99" t="s">
        <v>42</v>
      </c>
      <c r="H156" s="305"/>
      <c r="I156" s="55" t="s">
        <v>32</v>
      </c>
      <c r="J156" s="15">
        <f>J152*6</f>
        <v>0</v>
      </c>
      <c r="K156" s="15">
        <f t="shared" ref="K156:AG156" si="74">K152*6</f>
        <v>0</v>
      </c>
      <c r="L156" s="15">
        <f t="shared" si="74"/>
        <v>0</v>
      </c>
      <c r="M156" s="15">
        <f t="shared" si="74"/>
        <v>0</v>
      </c>
      <c r="N156" s="15">
        <f t="shared" si="74"/>
        <v>0</v>
      </c>
      <c r="O156" s="15">
        <f t="shared" si="74"/>
        <v>0</v>
      </c>
      <c r="P156" s="15">
        <f t="shared" si="74"/>
        <v>0</v>
      </c>
      <c r="Q156" s="15">
        <f t="shared" si="74"/>
        <v>0</v>
      </c>
      <c r="R156" s="15">
        <f t="shared" si="74"/>
        <v>0</v>
      </c>
      <c r="S156" s="15">
        <f t="shared" si="74"/>
        <v>0</v>
      </c>
      <c r="T156" s="15">
        <f t="shared" si="74"/>
        <v>0</v>
      </c>
      <c r="U156" s="15">
        <f t="shared" si="74"/>
        <v>0</v>
      </c>
      <c r="V156" s="15">
        <f t="shared" si="74"/>
        <v>0</v>
      </c>
      <c r="W156" s="15">
        <f t="shared" si="74"/>
        <v>0</v>
      </c>
      <c r="X156" s="15">
        <f t="shared" si="74"/>
        <v>0</v>
      </c>
      <c r="Y156" s="15">
        <f t="shared" si="74"/>
        <v>0</v>
      </c>
      <c r="Z156" s="15">
        <f t="shared" si="74"/>
        <v>0</v>
      </c>
      <c r="AA156" s="15">
        <f t="shared" si="74"/>
        <v>0</v>
      </c>
      <c r="AB156" s="15">
        <f t="shared" si="74"/>
        <v>0</v>
      </c>
      <c r="AC156" s="15">
        <f t="shared" si="74"/>
        <v>0</v>
      </c>
      <c r="AD156" s="15">
        <f t="shared" si="74"/>
        <v>0</v>
      </c>
      <c r="AE156" s="15">
        <f t="shared" si="74"/>
        <v>0</v>
      </c>
      <c r="AF156" s="15">
        <f t="shared" si="74"/>
        <v>0</v>
      </c>
      <c r="AG156" s="15">
        <f t="shared" si="74"/>
        <v>0</v>
      </c>
      <c r="AH156" s="15">
        <f t="shared" si="73"/>
        <v>0</v>
      </c>
      <c r="AI156" s="15">
        <f t="shared" si="73"/>
        <v>0</v>
      </c>
      <c r="AJ156" s="15">
        <f t="shared" si="73"/>
        <v>0</v>
      </c>
      <c r="AK156" s="15">
        <f t="shared" si="73"/>
        <v>0</v>
      </c>
      <c r="AL156" s="15">
        <f t="shared" si="73"/>
        <v>0</v>
      </c>
      <c r="AM156" s="15">
        <f t="shared" si="73"/>
        <v>0</v>
      </c>
      <c r="AN156" s="14"/>
      <c r="AO156" s="58">
        <f>AO152*6</f>
        <v>0</v>
      </c>
      <c r="AQ156" s="94"/>
      <c r="CA156" s="93"/>
      <c r="CB156" s="93"/>
      <c r="DE156" s="93"/>
      <c r="EM156" s="66"/>
      <c r="EN156" s="93"/>
      <c r="EO156" s="93"/>
      <c r="EP156" s="93"/>
      <c r="EQ156" s="93"/>
      <c r="GT156" s="93"/>
      <c r="KO156" s="93"/>
      <c r="KP156" s="93"/>
      <c r="KQ156" s="93"/>
      <c r="KR156" s="93"/>
      <c r="PV156" s="93"/>
      <c r="PW156" s="93"/>
      <c r="PY156" s="93"/>
      <c r="QM156" s="92"/>
      <c r="QQ156" s="93"/>
      <c r="ST156" s="92"/>
      <c r="AIC156" s="5"/>
      <c r="AJR156" s="5"/>
      <c r="AJS156" s="5"/>
      <c r="AJT156" s="5"/>
    </row>
    <row r="157" spans="6:956" x14ac:dyDescent="0.3">
      <c r="F157" s="60"/>
      <c r="G157" s="65" t="s">
        <v>41</v>
      </c>
      <c r="H157" s="305"/>
      <c r="I157" s="55" t="s">
        <v>40</v>
      </c>
      <c r="J157" s="15">
        <f>J146*45/1700</f>
        <v>0</v>
      </c>
      <c r="K157" s="15">
        <f t="shared" ref="K157:AM157" si="75">K146*45/1700</f>
        <v>0</v>
      </c>
      <c r="L157" s="15">
        <f t="shared" si="75"/>
        <v>0</v>
      </c>
      <c r="M157" s="15">
        <f t="shared" si="75"/>
        <v>0</v>
      </c>
      <c r="N157" s="15">
        <f t="shared" si="75"/>
        <v>0</v>
      </c>
      <c r="O157" s="15">
        <f t="shared" si="75"/>
        <v>0</v>
      </c>
      <c r="P157" s="15">
        <f t="shared" si="75"/>
        <v>0</v>
      </c>
      <c r="Q157" s="15">
        <f t="shared" si="75"/>
        <v>0</v>
      </c>
      <c r="R157" s="15">
        <f t="shared" si="75"/>
        <v>0</v>
      </c>
      <c r="S157" s="15">
        <f t="shared" si="75"/>
        <v>0</v>
      </c>
      <c r="T157" s="15">
        <f t="shared" si="75"/>
        <v>0</v>
      </c>
      <c r="U157" s="15">
        <f t="shared" si="75"/>
        <v>0</v>
      </c>
      <c r="V157" s="15">
        <f t="shared" si="75"/>
        <v>0</v>
      </c>
      <c r="W157" s="15">
        <f t="shared" si="75"/>
        <v>0</v>
      </c>
      <c r="X157" s="15">
        <f t="shared" si="75"/>
        <v>0</v>
      </c>
      <c r="Y157" s="15">
        <f t="shared" si="75"/>
        <v>0</v>
      </c>
      <c r="Z157" s="15">
        <f t="shared" si="75"/>
        <v>0</v>
      </c>
      <c r="AA157" s="15">
        <f t="shared" si="75"/>
        <v>0</v>
      </c>
      <c r="AB157" s="15">
        <f t="shared" si="75"/>
        <v>0</v>
      </c>
      <c r="AC157" s="15">
        <f t="shared" si="75"/>
        <v>0</v>
      </c>
      <c r="AD157" s="15">
        <f t="shared" si="75"/>
        <v>0</v>
      </c>
      <c r="AE157" s="15">
        <f t="shared" si="75"/>
        <v>0</v>
      </c>
      <c r="AF157" s="15">
        <f t="shared" si="75"/>
        <v>0</v>
      </c>
      <c r="AG157" s="15">
        <f t="shared" si="75"/>
        <v>0</v>
      </c>
      <c r="AH157" s="15">
        <f t="shared" si="75"/>
        <v>0</v>
      </c>
      <c r="AI157" s="15">
        <f t="shared" si="75"/>
        <v>0</v>
      </c>
      <c r="AJ157" s="15">
        <f t="shared" si="75"/>
        <v>0</v>
      </c>
      <c r="AK157" s="15">
        <f t="shared" si="75"/>
        <v>0</v>
      </c>
      <c r="AL157" s="15">
        <f t="shared" si="75"/>
        <v>0</v>
      </c>
      <c r="AM157" s="15">
        <f t="shared" si="75"/>
        <v>0</v>
      </c>
      <c r="AN157" s="14"/>
      <c r="AO157" s="58">
        <f>SUM(J157:AM157)</f>
        <v>0</v>
      </c>
      <c r="AQ157" s="94"/>
      <c r="CA157" s="93"/>
      <c r="CB157" s="93"/>
      <c r="DE157" s="93"/>
      <c r="EM157" s="66"/>
      <c r="EN157" s="93"/>
      <c r="EO157" s="93"/>
      <c r="EP157" s="93"/>
      <c r="EQ157" s="93"/>
      <c r="GT157" s="93"/>
      <c r="KO157" s="93"/>
      <c r="KP157" s="93"/>
      <c r="KQ157" s="93"/>
      <c r="KR157" s="93"/>
      <c r="PV157" s="93"/>
      <c r="PW157" s="93"/>
      <c r="PY157" s="93"/>
      <c r="QM157" s="92"/>
      <c r="QQ157" s="93"/>
      <c r="ST157" s="92"/>
      <c r="AIC157" s="5"/>
      <c r="AJR157" s="5"/>
      <c r="AJS157" s="5"/>
      <c r="AJT157" s="5"/>
    </row>
    <row r="158" spans="6:956" x14ac:dyDescent="0.3">
      <c r="F158" s="60"/>
      <c r="G158" s="65" t="s">
        <v>39</v>
      </c>
      <c r="H158" s="305"/>
      <c r="I158" s="55" t="s">
        <v>38</v>
      </c>
      <c r="J158" s="15">
        <f t="shared" ref="J158:AL158" si="76">SUM(J150:J152)/500</f>
        <v>0</v>
      </c>
      <c r="K158" s="15">
        <f t="shared" si="76"/>
        <v>0</v>
      </c>
      <c r="L158" s="15">
        <f t="shared" si="76"/>
        <v>0</v>
      </c>
      <c r="M158" s="15">
        <f t="shared" si="76"/>
        <v>0</v>
      </c>
      <c r="N158" s="15">
        <f t="shared" si="76"/>
        <v>0</v>
      </c>
      <c r="O158" s="15">
        <f t="shared" si="76"/>
        <v>0</v>
      </c>
      <c r="P158" s="15">
        <f t="shared" si="76"/>
        <v>0</v>
      </c>
      <c r="Q158" s="15">
        <f t="shared" si="76"/>
        <v>0</v>
      </c>
      <c r="R158" s="15">
        <f t="shared" si="76"/>
        <v>0</v>
      </c>
      <c r="S158" s="15">
        <f t="shared" si="76"/>
        <v>0</v>
      </c>
      <c r="T158" s="15">
        <f t="shared" si="76"/>
        <v>0</v>
      </c>
      <c r="U158" s="15">
        <f t="shared" si="76"/>
        <v>0</v>
      </c>
      <c r="V158" s="15">
        <f t="shared" si="76"/>
        <v>0</v>
      </c>
      <c r="W158" s="15">
        <f t="shared" si="76"/>
        <v>0</v>
      </c>
      <c r="X158" s="15">
        <f t="shared" si="76"/>
        <v>0</v>
      </c>
      <c r="Y158" s="15">
        <f t="shared" si="76"/>
        <v>0</v>
      </c>
      <c r="Z158" s="15">
        <f t="shared" si="76"/>
        <v>0</v>
      </c>
      <c r="AA158" s="15">
        <f t="shared" si="76"/>
        <v>0</v>
      </c>
      <c r="AB158" s="15">
        <f>SUM(AB150:AB152)/500</f>
        <v>0</v>
      </c>
      <c r="AC158" s="15">
        <f t="shared" si="76"/>
        <v>0</v>
      </c>
      <c r="AD158" s="15">
        <f t="shared" ref="AD158" si="77">SUM(AD150:AD152)/500</f>
        <v>0</v>
      </c>
      <c r="AE158" s="15">
        <f t="shared" si="76"/>
        <v>0</v>
      </c>
      <c r="AF158" s="15">
        <f t="shared" si="76"/>
        <v>0</v>
      </c>
      <c r="AG158" s="15">
        <f t="shared" si="76"/>
        <v>0</v>
      </c>
      <c r="AH158" s="15">
        <f t="shared" si="76"/>
        <v>0</v>
      </c>
      <c r="AI158" s="15">
        <f t="shared" ref="AI158:AK158" si="78">SUM(AI150:AI152)/500</f>
        <v>0</v>
      </c>
      <c r="AJ158" s="15">
        <f t="shared" si="78"/>
        <v>0</v>
      </c>
      <c r="AK158" s="15">
        <f t="shared" si="78"/>
        <v>0</v>
      </c>
      <c r="AL158" s="15">
        <f t="shared" si="76"/>
        <v>0</v>
      </c>
      <c r="AM158" s="15">
        <f t="shared" ref="AM158" si="79">SUM(AM150:AM152)/500</f>
        <v>0</v>
      </c>
      <c r="AN158" s="14"/>
      <c r="AO158" s="58">
        <f>SUM(J158:AM158)</f>
        <v>0</v>
      </c>
      <c r="AQ158" s="94"/>
      <c r="CA158" s="93"/>
      <c r="CB158" s="93"/>
      <c r="DE158" s="93"/>
      <c r="EM158" s="66"/>
      <c r="EN158" s="93"/>
      <c r="EO158" s="93"/>
      <c r="EP158" s="93"/>
      <c r="EQ158" s="93"/>
      <c r="GT158" s="93"/>
      <c r="KO158" s="93"/>
      <c r="KP158" s="93"/>
      <c r="KQ158" s="93"/>
      <c r="KR158" s="93"/>
      <c r="PV158" s="93"/>
      <c r="PW158" s="93"/>
      <c r="PY158" s="93"/>
      <c r="QM158" s="92"/>
      <c r="QQ158" s="93"/>
      <c r="ST158" s="92"/>
      <c r="AIC158" s="5"/>
      <c r="AJR158" s="5"/>
      <c r="AJS158" s="5"/>
      <c r="AJT158" s="5"/>
    </row>
    <row r="159" spans="6:956" ht="15" customHeight="1" x14ac:dyDescent="0.3">
      <c r="F159" s="57"/>
      <c r="G159" s="103" t="s">
        <v>37</v>
      </c>
      <c r="H159" s="97"/>
      <c r="I159" s="97"/>
      <c r="J159" s="24"/>
      <c r="K159" s="24"/>
      <c r="L159" s="24"/>
      <c r="M159" s="24"/>
      <c r="N159" s="24"/>
      <c r="O159" s="24"/>
      <c r="P159" s="24"/>
      <c r="Q159" s="24"/>
      <c r="R159" s="24"/>
      <c r="S159" s="24"/>
      <c r="T159" s="24"/>
      <c r="U159" s="24"/>
      <c r="V159" s="24"/>
      <c r="W159" s="24"/>
      <c r="X159" s="24"/>
      <c r="Y159" s="24"/>
      <c r="Z159" s="24"/>
      <c r="AA159" s="24"/>
      <c r="AB159" s="24"/>
      <c r="AC159" s="24"/>
      <c r="AD159" s="24"/>
      <c r="AE159" s="24"/>
      <c r="AF159" s="24"/>
      <c r="AG159" s="102"/>
      <c r="AH159" s="24"/>
      <c r="AI159" s="24"/>
      <c r="AJ159" s="24"/>
      <c r="AK159" s="24"/>
      <c r="AL159" s="24"/>
      <c r="AM159" s="24"/>
      <c r="AN159" s="67"/>
      <c r="AO159" s="101" t="s">
        <v>34</v>
      </c>
      <c r="AQ159" s="12"/>
      <c r="CA159" s="5"/>
      <c r="CB159" s="5"/>
      <c r="DE159" s="5"/>
      <c r="EM159" s="66"/>
      <c r="EN159" s="5"/>
      <c r="EO159" s="5"/>
      <c r="EP159" s="5"/>
      <c r="EQ159" s="5"/>
      <c r="GT159" s="5"/>
      <c r="KO159" s="5"/>
      <c r="KP159" s="5"/>
      <c r="KQ159" s="5"/>
      <c r="KR159" s="5"/>
      <c r="PV159" s="5"/>
      <c r="PW159" s="5"/>
      <c r="PY159" s="5"/>
      <c r="QM159" s="62"/>
      <c r="QQ159" s="5"/>
      <c r="ST159" s="62"/>
      <c r="AIC159" s="5"/>
      <c r="AJR159" s="5"/>
      <c r="AJS159" s="5"/>
      <c r="AJT159" s="5"/>
    </row>
    <row r="160" spans="6:956" ht="15" customHeight="1" x14ac:dyDescent="0.3">
      <c r="F160" s="60"/>
      <c r="G160" s="65" t="s">
        <v>33</v>
      </c>
      <c r="H160" s="305"/>
      <c r="I160" s="60"/>
      <c r="J160" s="15"/>
      <c r="K160" s="15"/>
      <c r="L160" s="15"/>
      <c r="M160" s="15"/>
      <c r="N160" s="15"/>
      <c r="O160" s="15"/>
      <c r="P160" s="15"/>
      <c r="Q160" s="15"/>
      <c r="R160" s="15"/>
      <c r="S160" s="15"/>
      <c r="T160" s="15"/>
      <c r="U160" s="15"/>
      <c r="V160" s="15"/>
      <c r="W160" s="15"/>
      <c r="X160" s="15"/>
      <c r="Y160" s="15"/>
      <c r="Z160" s="15"/>
      <c r="AA160" s="15"/>
      <c r="AB160" s="15"/>
      <c r="AC160" s="15"/>
      <c r="AD160" s="15"/>
      <c r="AE160" s="15"/>
      <c r="AF160" s="15"/>
      <c r="AG160" s="15"/>
      <c r="AH160" s="15"/>
      <c r="AI160" s="15"/>
      <c r="AJ160" s="15"/>
      <c r="AK160" s="15"/>
      <c r="AL160" s="15"/>
      <c r="AM160" s="15"/>
      <c r="AN160" s="14"/>
      <c r="AO160" s="100" t="s">
        <v>33</v>
      </c>
      <c r="AQ160" s="94"/>
      <c r="CA160" s="93"/>
      <c r="CB160" s="93"/>
      <c r="DE160" s="93"/>
      <c r="EM160" s="66"/>
      <c r="EN160" s="93"/>
      <c r="EO160" s="93"/>
      <c r="EP160" s="93"/>
      <c r="EQ160" s="93"/>
      <c r="GT160" s="93"/>
      <c r="KO160" s="93"/>
      <c r="KP160" s="93"/>
      <c r="KQ160" s="93"/>
      <c r="KR160" s="93"/>
      <c r="PV160" s="93"/>
      <c r="PW160" s="93"/>
      <c r="PY160" s="93"/>
      <c r="QM160" s="92"/>
      <c r="QQ160" s="93"/>
      <c r="ST160" s="92"/>
      <c r="AIC160" s="5"/>
      <c r="AJR160" s="5"/>
      <c r="AJS160" s="5"/>
      <c r="AJT160" s="5"/>
    </row>
    <row r="161" spans="6:956" ht="15" customHeight="1" x14ac:dyDescent="0.3">
      <c r="F161" s="60"/>
      <c r="G161" s="99" t="s">
        <v>31</v>
      </c>
      <c r="H161" s="305"/>
      <c r="I161" s="55" t="s">
        <v>36</v>
      </c>
      <c r="J161" s="15">
        <v>0</v>
      </c>
      <c r="K161" s="15"/>
      <c r="L161" s="15"/>
      <c r="M161" s="15"/>
      <c r="N161" s="15"/>
      <c r="O161" s="15"/>
      <c r="P161" s="15"/>
      <c r="Q161" s="15"/>
      <c r="R161" s="15"/>
      <c r="S161" s="15"/>
      <c r="T161" s="15"/>
      <c r="U161" s="15"/>
      <c r="V161" s="15"/>
      <c r="W161" s="15"/>
      <c r="X161" s="15"/>
      <c r="Y161" s="15"/>
      <c r="Z161" s="15"/>
      <c r="AA161" s="15"/>
      <c r="AB161" s="15"/>
      <c r="AC161" s="15"/>
      <c r="AD161" s="15"/>
      <c r="AE161" s="15"/>
      <c r="AF161" s="15"/>
      <c r="AG161" s="15"/>
      <c r="AH161" s="15"/>
      <c r="AI161" s="15"/>
      <c r="AJ161" s="15"/>
      <c r="AK161" s="15"/>
      <c r="AL161" s="15"/>
      <c r="AM161" s="15"/>
      <c r="AN161" s="14"/>
      <c r="AO161" s="58">
        <f>SUM(J161:AM161)</f>
        <v>0</v>
      </c>
      <c r="AQ161" s="94"/>
      <c r="CA161" s="93"/>
      <c r="CB161" s="93"/>
      <c r="DE161" s="93"/>
      <c r="EM161" s="66"/>
      <c r="EN161" s="93"/>
      <c r="EO161" s="93"/>
      <c r="EP161" s="93"/>
      <c r="EQ161" s="93"/>
      <c r="GT161" s="93"/>
      <c r="KO161" s="93"/>
      <c r="KP161" s="93"/>
      <c r="KQ161" s="93"/>
      <c r="KR161" s="93"/>
      <c r="PV161" s="93"/>
      <c r="PW161" s="93"/>
      <c r="PY161" s="93"/>
      <c r="QM161" s="92"/>
      <c r="QQ161" s="93"/>
      <c r="ST161" s="92"/>
      <c r="AIC161" s="5"/>
      <c r="AJR161" s="5"/>
      <c r="AJS161" s="5"/>
      <c r="AJT161" s="5"/>
    </row>
    <row r="162" spans="6:956" ht="15" customHeight="1" x14ac:dyDescent="0.3">
      <c r="F162" s="60"/>
      <c r="G162" s="99" t="s">
        <v>30</v>
      </c>
      <c r="H162" s="305"/>
      <c r="I162" s="55" t="s">
        <v>36</v>
      </c>
      <c r="J162" s="15">
        <v>0</v>
      </c>
      <c r="K162" s="15"/>
      <c r="L162" s="15"/>
      <c r="M162" s="15"/>
      <c r="N162" s="15"/>
      <c r="O162" s="15"/>
      <c r="P162" s="15"/>
      <c r="Q162" s="15"/>
      <c r="R162" s="15"/>
      <c r="S162" s="15"/>
      <c r="T162" s="15"/>
      <c r="U162" s="15"/>
      <c r="V162" s="15"/>
      <c r="W162" s="15"/>
      <c r="X162" s="15"/>
      <c r="Y162" s="15"/>
      <c r="Z162" s="15"/>
      <c r="AA162" s="15"/>
      <c r="AB162" s="15"/>
      <c r="AC162" s="15"/>
      <c r="AD162" s="15"/>
      <c r="AE162" s="15"/>
      <c r="AF162" s="15"/>
      <c r="AG162" s="15"/>
      <c r="AH162" s="15"/>
      <c r="AI162" s="15"/>
      <c r="AJ162" s="15"/>
      <c r="AK162" s="15"/>
      <c r="AL162" s="15"/>
      <c r="AM162" s="15"/>
      <c r="AN162" s="14"/>
      <c r="AO162" s="58">
        <f>SUM(J162:AM162)</f>
        <v>0</v>
      </c>
      <c r="AQ162" s="94"/>
      <c r="CA162" s="93"/>
      <c r="CB162" s="93"/>
      <c r="DE162" s="93"/>
      <c r="EM162" s="66"/>
      <c r="EN162" s="93"/>
      <c r="EO162" s="93"/>
      <c r="EP162" s="93"/>
      <c r="EQ162" s="93"/>
      <c r="GT162" s="93"/>
      <c r="KO162" s="93"/>
      <c r="KP162" s="93"/>
      <c r="KQ162" s="93"/>
      <c r="KR162" s="93"/>
      <c r="PV162" s="93"/>
      <c r="PW162" s="93"/>
      <c r="PY162" s="93"/>
      <c r="QM162" s="92"/>
      <c r="QQ162" s="93"/>
      <c r="ST162" s="92"/>
      <c r="AIC162" s="5"/>
      <c r="AJR162" s="5"/>
      <c r="AJS162" s="5"/>
      <c r="AJT162" s="5"/>
    </row>
    <row r="163" spans="6:956" ht="15" customHeight="1" x14ac:dyDescent="0.3">
      <c r="F163" s="60"/>
      <c r="G163" s="65" t="s">
        <v>32</v>
      </c>
      <c r="H163" s="305"/>
      <c r="I163" s="60"/>
      <c r="J163" s="15"/>
      <c r="K163" s="15"/>
      <c r="L163" s="15"/>
      <c r="M163" s="15"/>
      <c r="N163" s="15"/>
      <c r="O163" s="15"/>
      <c r="P163" s="15"/>
      <c r="Q163" s="15"/>
      <c r="R163" s="15"/>
      <c r="S163" s="15"/>
      <c r="T163" s="15"/>
      <c r="U163" s="15"/>
      <c r="V163" s="15"/>
      <c r="W163" s="15"/>
      <c r="X163" s="15"/>
      <c r="Y163" s="15"/>
      <c r="Z163" s="15"/>
      <c r="AA163" s="15"/>
      <c r="AB163" s="15"/>
      <c r="AC163" s="15"/>
      <c r="AD163" s="15"/>
      <c r="AE163" s="15"/>
      <c r="AF163" s="15"/>
      <c r="AG163" s="15"/>
      <c r="AH163" s="15"/>
      <c r="AI163" s="15"/>
      <c r="AJ163" s="15"/>
      <c r="AK163" s="15"/>
      <c r="AL163" s="15"/>
      <c r="AM163" s="15"/>
      <c r="AN163" s="14"/>
      <c r="AO163" s="100" t="s">
        <v>32</v>
      </c>
      <c r="AQ163" s="94"/>
      <c r="CA163" s="93"/>
      <c r="CB163" s="93"/>
      <c r="DE163" s="93"/>
      <c r="EM163" s="66"/>
      <c r="EN163" s="93"/>
      <c r="EO163" s="93"/>
      <c r="EP163" s="93"/>
      <c r="EQ163" s="93"/>
      <c r="GT163" s="93"/>
      <c r="KO163" s="93"/>
      <c r="KP163" s="93"/>
      <c r="KQ163" s="93"/>
      <c r="KR163" s="93"/>
      <c r="PV163" s="93"/>
      <c r="PW163" s="93"/>
      <c r="PY163" s="93"/>
      <c r="QM163" s="92"/>
      <c r="QQ163" s="93"/>
      <c r="ST163" s="92"/>
      <c r="AIC163" s="5"/>
      <c r="AJR163" s="5"/>
      <c r="AJS163" s="5"/>
      <c r="AJT163" s="5"/>
    </row>
    <row r="164" spans="6:956" ht="15" customHeight="1" x14ac:dyDescent="0.3">
      <c r="F164" s="60"/>
      <c r="G164" s="99" t="s">
        <v>31</v>
      </c>
      <c r="H164" s="305"/>
      <c r="I164" s="55" t="s">
        <v>32</v>
      </c>
      <c r="J164" s="15">
        <v>0</v>
      </c>
      <c r="K164" s="15"/>
      <c r="L164" s="15"/>
      <c r="M164" s="15"/>
      <c r="N164" s="15"/>
      <c r="O164" s="15"/>
      <c r="P164" s="15"/>
      <c r="Q164" s="15"/>
      <c r="R164" s="15"/>
      <c r="S164" s="15"/>
      <c r="T164" s="15"/>
      <c r="U164" s="15"/>
      <c r="V164" s="15"/>
      <c r="W164" s="15"/>
      <c r="X164" s="15"/>
      <c r="Y164" s="15"/>
      <c r="Z164" s="15"/>
      <c r="AA164" s="15"/>
      <c r="AB164" s="15"/>
      <c r="AC164" s="15"/>
      <c r="AD164" s="15"/>
      <c r="AE164" s="15"/>
      <c r="AF164" s="15"/>
      <c r="AG164" s="15"/>
      <c r="AH164" s="15"/>
      <c r="AI164" s="15"/>
      <c r="AJ164" s="15"/>
      <c r="AK164" s="15"/>
      <c r="AL164" s="15"/>
      <c r="AM164" s="15"/>
      <c r="AN164" s="14"/>
      <c r="AO164" s="58">
        <f>SUM(J164:AM164)</f>
        <v>0</v>
      </c>
      <c r="AQ164" s="94"/>
      <c r="CA164" s="93"/>
      <c r="CB164" s="93"/>
      <c r="DE164" s="93"/>
      <c r="EM164" s="66"/>
      <c r="EN164" s="93"/>
      <c r="EO164" s="93"/>
      <c r="EP164" s="93"/>
      <c r="EQ164" s="93"/>
      <c r="GT164" s="93"/>
      <c r="KO164" s="93"/>
      <c r="KP164" s="93"/>
      <c r="KQ164" s="93"/>
      <c r="KR164" s="93"/>
      <c r="PV164" s="93"/>
      <c r="PW164" s="93"/>
      <c r="PY164" s="93"/>
      <c r="QM164" s="92"/>
      <c r="QQ164" s="93"/>
      <c r="ST164" s="92"/>
      <c r="AIC164" s="5"/>
      <c r="AJR164" s="5"/>
      <c r="AJS164" s="5"/>
      <c r="AJT164" s="5"/>
    </row>
    <row r="165" spans="6:956" ht="15" customHeight="1" x14ac:dyDescent="0.3">
      <c r="F165" s="60"/>
      <c r="G165" s="99" t="s">
        <v>30</v>
      </c>
      <c r="H165" s="305"/>
      <c r="I165" s="55" t="s">
        <v>32</v>
      </c>
      <c r="J165" s="15">
        <v>0</v>
      </c>
      <c r="K165" s="15"/>
      <c r="L165" s="15"/>
      <c r="M165" s="15"/>
      <c r="N165" s="15"/>
      <c r="O165" s="15"/>
      <c r="P165" s="15"/>
      <c r="Q165" s="15"/>
      <c r="R165" s="15"/>
      <c r="S165" s="15"/>
      <c r="T165" s="15"/>
      <c r="U165" s="15"/>
      <c r="V165" s="15"/>
      <c r="W165" s="15"/>
      <c r="X165" s="15"/>
      <c r="Y165" s="15"/>
      <c r="Z165" s="15"/>
      <c r="AA165" s="15"/>
      <c r="AB165" s="15"/>
      <c r="AC165" s="15"/>
      <c r="AD165" s="15"/>
      <c r="AE165" s="15"/>
      <c r="AF165" s="15"/>
      <c r="AG165" s="15"/>
      <c r="AH165" s="15"/>
      <c r="AI165" s="15"/>
      <c r="AJ165" s="15"/>
      <c r="AK165" s="15"/>
      <c r="AL165" s="15"/>
      <c r="AM165" s="15"/>
      <c r="AN165" s="14"/>
      <c r="AO165" s="58">
        <f>SUM(J165:AM165)</f>
        <v>0</v>
      </c>
      <c r="AQ165" s="94"/>
      <c r="CA165" s="93"/>
      <c r="CB165" s="93"/>
      <c r="DE165" s="93"/>
      <c r="EM165" s="66"/>
      <c r="EN165" s="93"/>
      <c r="EO165" s="93"/>
      <c r="EP165" s="93"/>
      <c r="EQ165" s="93"/>
      <c r="GT165" s="93"/>
      <c r="KO165" s="93"/>
      <c r="KP165" s="93"/>
      <c r="KQ165" s="93"/>
      <c r="KR165" s="93"/>
      <c r="PV165" s="93"/>
      <c r="PW165" s="93"/>
      <c r="PY165" s="93"/>
      <c r="QM165" s="92"/>
      <c r="QQ165" s="93"/>
      <c r="ST165" s="92"/>
      <c r="AIC165" s="5"/>
      <c r="AJR165" s="5"/>
      <c r="AJS165" s="5"/>
      <c r="AJT165" s="5"/>
    </row>
    <row r="166" spans="6:956" ht="15" customHeight="1" x14ac:dyDescent="0.3">
      <c r="F166" s="57"/>
      <c r="G166" s="103" t="s">
        <v>35</v>
      </c>
      <c r="H166" s="97"/>
      <c r="I166" s="97"/>
      <c r="J166" s="24"/>
      <c r="K166" s="24"/>
      <c r="L166" s="24"/>
      <c r="M166" s="24"/>
      <c r="N166" s="24"/>
      <c r="O166" s="24"/>
      <c r="P166" s="24"/>
      <c r="Q166" s="24"/>
      <c r="R166" s="24"/>
      <c r="S166" s="24"/>
      <c r="T166" s="24"/>
      <c r="U166" s="24"/>
      <c r="V166" s="24"/>
      <c r="W166" s="24"/>
      <c r="X166" s="24"/>
      <c r="Y166" s="24"/>
      <c r="Z166" s="24"/>
      <c r="AA166" s="24"/>
      <c r="AB166" s="24"/>
      <c r="AC166" s="24"/>
      <c r="AD166" s="24"/>
      <c r="AE166" s="24"/>
      <c r="AF166" s="24"/>
      <c r="AG166" s="102"/>
      <c r="AH166" s="24"/>
      <c r="AI166" s="24"/>
      <c r="AJ166" s="24"/>
      <c r="AK166" s="24"/>
      <c r="AL166" s="24"/>
      <c r="AM166" s="24"/>
      <c r="AN166" s="67"/>
      <c r="AO166" s="101" t="s">
        <v>34</v>
      </c>
      <c r="AQ166" s="12"/>
      <c r="CA166" s="5"/>
      <c r="CB166" s="5"/>
      <c r="DE166" s="5"/>
      <c r="EM166" s="66"/>
      <c r="EN166" s="5"/>
      <c r="EO166" s="5"/>
      <c r="EP166" s="5"/>
      <c r="EQ166" s="5"/>
      <c r="GT166" s="5"/>
      <c r="KO166" s="5"/>
      <c r="KP166" s="5"/>
      <c r="KQ166" s="5"/>
      <c r="KR166" s="5"/>
      <c r="PV166" s="5"/>
      <c r="PW166" s="5"/>
      <c r="PY166" s="5"/>
      <c r="QM166" s="62"/>
      <c r="QQ166" s="5"/>
      <c r="ST166" s="62"/>
      <c r="AIC166" s="5"/>
      <c r="AJR166" s="5"/>
      <c r="AJS166" s="5"/>
      <c r="AJT166" s="5"/>
    </row>
    <row r="167" spans="6:956" ht="15" customHeight="1" x14ac:dyDescent="0.3">
      <c r="F167" s="60"/>
      <c r="G167" s="65" t="s">
        <v>33</v>
      </c>
      <c r="H167" s="305"/>
      <c r="I167" s="60"/>
      <c r="J167" s="15"/>
      <c r="K167" s="15"/>
      <c r="L167" s="15"/>
      <c r="M167" s="15"/>
      <c r="N167" s="15"/>
      <c r="O167" s="15"/>
      <c r="P167" s="15"/>
      <c r="Q167" s="15"/>
      <c r="R167" s="15"/>
      <c r="S167" s="15"/>
      <c r="T167" s="15"/>
      <c r="U167" s="15"/>
      <c r="V167" s="15"/>
      <c r="W167" s="15"/>
      <c r="X167" s="15"/>
      <c r="Y167" s="15"/>
      <c r="Z167" s="15"/>
      <c r="AA167" s="15"/>
      <c r="AB167" s="15"/>
      <c r="AC167" s="15"/>
      <c r="AD167" s="15"/>
      <c r="AE167" s="15"/>
      <c r="AF167" s="15"/>
      <c r="AG167" s="15"/>
      <c r="AH167" s="15"/>
      <c r="AI167" s="15"/>
      <c r="AJ167" s="15"/>
      <c r="AK167" s="15"/>
      <c r="AL167" s="15"/>
      <c r="AM167" s="15"/>
      <c r="AN167" s="14"/>
      <c r="AO167" s="100" t="s">
        <v>33</v>
      </c>
      <c r="AQ167" s="94"/>
      <c r="CA167" s="93"/>
      <c r="CB167" s="93"/>
      <c r="DE167" s="93"/>
      <c r="EM167" s="66"/>
      <c r="EN167" s="93"/>
      <c r="EO167" s="93"/>
      <c r="EP167" s="93"/>
      <c r="EQ167" s="93"/>
      <c r="GT167" s="93"/>
      <c r="KO167" s="93"/>
      <c r="KP167" s="93"/>
      <c r="KQ167" s="93"/>
      <c r="KR167" s="93"/>
      <c r="PV167" s="93"/>
      <c r="PW167" s="93"/>
      <c r="PY167" s="93"/>
      <c r="QM167" s="92"/>
      <c r="QQ167" s="93"/>
      <c r="ST167" s="92"/>
      <c r="AIC167" s="5"/>
      <c r="AJR167" s="5"/>
      <c r="AJS167" s="5"/>
      <c r="AJT167" s="5"/>
    </row>
    <row r="168" spans="6:956" ht="15" customHeight="1" x14ac:dyDescent="0.3">
      <c r="F168" s="60"/>
      <c r="G168" s="99" t="s">
        <v>31</v>
      </c>
      <c r="H168" s="303">
        <v>0.3</v>
      </c>
      <c r="I168" s="55" t="s">
        <v>29</v>
      </c>
      <c r="J168" s="81" t="e">
        <f t="shared" ref="J168:AM168" si="80">J161/J150*100</f>
        <v>#DIV/0!</v>
      </c>
      <c r="K168" s="81" t="e">
        <f t="shared" si="80"/>
        <v>#DIV/0!</v>
      </c>
      <c r="L168" s="81" t="e">
        <f t="shared" si="80"/>
        <v>#DIV/0!</v>
      </c>
      <c r="M168" s="81" t="e">
        <f t="shared" si="80"/>
        <v>#DIV/0!</v>
      </c>
      <c r="N168" s="81" t="e">
        <f t="shared" si="80"/>
        <v>#DIV/0!</v>
      </c>
      <c r="O168" s="81" t="e">
        <f t="shared" si="80"/>
        <v>#DIV/0!</v>
      </c>
      <c r="P168" s="81" t="e">
        <f t="shared" si="80"/>
        <v>#DIV/0!</v>
      </c>
      <c r="Q168" s="81" t="e">
        <f t="shared" si="80"/>
        <v>#DIV/0!</v>
      </c>
      <c r="R168" s="81" t="e">
        <f t="shared" si="80"/>
        <v>#DIV/0!</v>
      </c>
      <c r="S168" s="81" t="e">
        <f t="shared" si="80"/>
        <v>#DIV/0!</v>
      </c>
      <c r="T168" s="81" t="e">
        <f t="shared" si="80"/>
        <v>#DIV/0!</v>
      </c>
      <c r="U168" s="81" t="e">
        <f t="shared" si="80"/>
        <v>#DIV/0!</v>
      </c>
      <c r="V168" s="81" t="e">
        <f t="shared" si="80"/>
        <v>#DIV/0!</v>
      </c>
      <c r="W168" s="81" t="e">
        <f t="shared" si="80"/>
        <v>#DIV/0!</v>
      </c>
      <c r="X168" s="81" t="e">
        <f t="shared" si="80"/>
        <v>#DIV/0!</v>
      </c>
      <c r="Y168" s="81" t="e">
        <f t="shared" si="80"/>
        <v>#DIV/0!</v>
      </c>
      <c r="Z168" s="81" t="e">
        <f t="shared" si="80"/>
        <v>#DIV/0!</v>
      </c>
      <c r="AA168" s="81" t="e">
        <f t="shared" si="80"/>
        <v>#DIV/0!</v>
      </c>
      <c r="AB168" s="81" t="e">
        <f t="shared" si="80"/>
        <v>#DIV/0!</v>
      </c>
      <c r="AC168" s="81" t="e">
        <f t="shared" si="80"/>
        <v>#DIV/0!</v>
      </c>
      <c r="AD168" s="81" t="e">
        <f t="shared" si="80"/>
        <v>#DIV/0!</v>
      </c>
      <c r="AE168" s="81" t="e">
        <f t="shared" si="80"/>
        <v>#DIV/0!</v>
      </c>
      <c r="AF168" s="81" t="e">
        <f t="shared" si="80"/>
        <v>#DIV/0!</v>
      </c>
      <c r="AG168" s="81" t="e">
        <f t="shared" si="80"/>
        <v>#DIV/0!</v>
      </c>
      <c r="AH168" s="81" t="e">
        <f t="shared" si="80"/>
        <v>#DIV/0!</v>
      </c>
      <c r="AI168" s="81" t="e">
        <f t="shared" si="80"/>
        <v>#DIV/0!</v>
      </c>
      <c r="AJ168" s="81" t="e">
        <f t="shared" si="80"/>
        <v>#DIV/0!</v>
      </c>
      <c r="AK168" s="81" t="e">
        <f t="shared" si="80"/>
        <v>#DIV/0!</v>
      </c>
      <c r="AL168" s="81" t="e">
        <f t="shared" si="80"/>
        <v>#DIV/0!</v>
      </c>
      <c r="AM168" s="81" t="e">
        <f t="shared" si="80"/>
        <v>#DIV/0!</v>
      </c>
      <c r="AN168" s="14"/>
      <c r="AO168" s="98" t="e">
        <f>AO161/AO150*100</f>
        <v>#DIV/0!</v>
      </c>
      <c r="AQ168" s="94"/>
      <c r="CA168" s="93"/>
      <c r="CB168" s="93"/>
      <c r="DE168" s="93"/>
      <c r="EM168" s="66"/>
      <c r="EN168" s="93"/>
      <c r="EO168" s="93"/>
      <c r="EP168" s="93"/>
      <c r="EQ168" s="93"/>
      <c r="GT168" s="93"/>
      <c r="KO168" s="93"/>
      <c r="KP168" s="93"/>
      <c r="KQ168" s="93"/>
      <c r="KR168" s="93"/>
      <c r="PV168" s="93"/>
      <c r="PW168" s="93"/>
      <c r="PY168" s="93"/>
      <c r="QM168" s="92"/>
      <c r="QQ168" s="93"/>
      <c r="ST168" s="92"/>
      <c r="AIC168" s="5"/>
      <c r="AJR168" s="5"/>
      <c r="AJS168" s="5"/>
      <c r="AJT168" s="5"/>
    </row>
    <row r="169" spans="6:956" ht="15" customHeight="1" x14ac:dyDescent="0.3">
      <c r="F169" s="60"/>
      <c r="G169" s="99" t="s">
        <v>30</v>
      </c>
      <c r="H169" s="303">
        <v>0.3</v>
      </c>
      <c r="I169" s="55" t="s">
        <v>29</v>
      </c>
      <c r="J169" s="81" t="e">
        <f t="shared" ref="J169:AM169" si="81">J162/J152*100</f>
        <v>#DIV/0!</v>
      </c>
      <c r="K169" s="81" t="e">
        <f t="shared" si="81"/>
        <v>#DIV/0!</v>
      </c>
      <c r="L169" s="81" t="e">
        <f t="shared" si="81"/>
        <v>#DIV/0!</v>
      </c>
      <c r="M169" s="81" t="e">
        <f t="shared" si="81"/>
        <v>#DIV/0!</v>
      </c>
      <c r="N169" s="81" t="e">
        <f t="shared" si="81"/>
        <v>#DIV/0!</v>
      </c>
      <c r="O169" s="81" t="e">
        <f t="shared" si="81"/>
        <v>#DIV/0!</v>
      </c>
      <c r="P169" s="81" t="e">
        <f t="shared" si="81"/>
        <v>#DIV/0!</v>
      </c>
      <c r="Q169" s="81" t="e">
        <f t="shared" si="81"/>
        <v>#DIV/0!</v>
      </c>
      <c r="R169" s="81" t="e">
        <f t="shared" si="81"/>
        <v>#DIV/0!</v>
      </c>
      <c r="S169" s="81" t="e">
        <f t="shared" si="81"/>
        <v>#DIV/0!</v>
      </c>
      <c r="T169" s="81" t="e">
        <f t="shared" si="81"/>
        <v>#DIV/0!</v>
      </c>
      <c r="U169" s="81" t="e">
        <f t="shared" si="81"/>
        <v>#DIV/0!</v>
      </c>
      <c r="V169" s="81" t="e">
        <f t="shared" si="81"/>
        <v>#DIV/0!</v>
      </c>
      <c r="W169" s="81" t="e">
        <f t="shared" si="81"/>
        <v>#DIV/0!</v>
      </c>
      <c r="X169" s="81" t="e">
        <f t="shared" si="81"/>
        <v>#DIV/0!</v>
      </c>
      <c r="Y169" s="81" t="e">
        <f t="shared" si="81"/>
        <v>#DIV/0!</v>
      </c>
      <c r="Z169" s="81" t="e">
        <f t="shared" si="81"/>
        <v>#DIV/0!</v>
      </c>
      <c r="AA169" s="81" t="e">
        <f t="shared" si="81"/>
        <v>#DIV/0!</v>
      </c>
      <c r="AB169" s="81" t="e">
        <f>AB162/AB152*100</f>
        <v>#DIV/0!</v>
      </c>
      <c r="AC169" s="81" t="e">
        <f t="shared" si="81"/>
        <v>#DIV/0!</v>
      </c>
      <c r="AD169" s="81" t="e">
        <f t="shared" si="81"/>
        <v>#DIV/0!</v>
      </c>
      <c r="AE169" s="81" t="e">
        <f t="shared" si="81"/>
        <v>#DIV/0!</v>
      </c>
      <c r="AF169" s="81" t="e">
        <f t="shared" si="81"/>
        <v>#DIV/0!</v>
      </c>
      <c r="AG169" s="81" t="e">
        <f t="shared" si="81"/>
        <v>#DIV/0!</v>
      </c>
      <c r="AH169" s="81" t="e">
        <f t="shared" si="81"/>
        <v>#DIV/0!</v>
      </c>
      <c r="AI169" s="81" t="e">
        <f t="shared" si="81"/>
        <v>#DIV/0!</v>
      </c>
      <c r="AJ169" s="81" t="e">
        <f t="shared" si="81"/>
        <v>#DIV/0!</v>
      </c>
      <c r="AK169" s="81" t="e">
        <f t="shared" si="81"/>
        <v>#DIV/0!</v>
      </c>
      <c r="AL169" s="81" t="e">
        <f t="shared" si="81"/>
        <v>#DIV/0!</v>
      </c>
      <c r="AM169" s="81" t="e">
        <f t="shared" si="81"/>
        <v>#DIV/0!</v>
      </c>
      <c r="AN169" s="14"/>
      <c r="AO169" s="98" t="e">
        <f>AO162/AO152*100</f>
        <v>#DIV/0!</v>
      </c>
      <c r="AQ169" s="94"/>
      <c r="CA169" s="93"/>
      <c r="CB169" s="93"/>
      <c r="DE169" s="93"/>
      <c r="EM169" s="66"/>
      <c r="EN169" s="93"/>
      <c r="EO169" s="93"/>
      <c r="EP169" s="93"/>
      <c r="EQ169" s="93"/>
      <c r="GT169" s="93"/>
      <c r="KO169" s="93"/>
      <c r="KP169" s="93"/>
      <c r="KQ169" s="93"/>
      <c r="KR169" s="93"/>
      <c r="PV169" s="93"/>
      <c r="PW169" s="93"/>
      <c r="PY169" s="93"/>
      <c r="QM169" s="92"/>
      <c r="QQ169" s="93"/>
      <c r="ST169" s="92"/>
      <c r="AIC169" s="5"/>
      <c r="AJR169" s="5"/>
      <c r="AJS169" s="5"/>
      <c r="AJT169" s="5"/>
    </row>
    <row r="170" spans="6:956" ht="15" customHeight="1" x14ac:dyDescent="0.3">
      <c r="F170" s="60"/>
      <c r="G170" s="65" t="s">
        <v>32</v>
      </c>
      <c r="H170" s="303"/>
      <c r="I170" s="60"/>
      <c r="J170" s="81"/>
      <c r="K170" s="81"/>
      <c r="L170" s="81"/>
      <c r="M170" s="81"/>
      <c r="N170" s="81"/>
      <c r="O170" s="81"/>
      <c r="P170" s="81"/>
      <c r="Q170" s="81"/>
      <c r="R170" s="81"/>
      <c r="S170" s="81"/>
      <c r="T170" s="81"/>
      <c r="U170" s="81"/>
      <c r="V170" s="81"/>
      <c r="W170" s="81"/>
      <c r="X170" s="81"/>
      <c r="Y170" s="81"/>
      <c r="Z170" s="81"/>
      <c r="AA170" s="81"/>
      <c r="AB170" s="81"/>
      <c r="AC170" s="81"/>
      <c r="AD170" s="81"/>
      <c r="AE170" s="81"/>
      <c r="AF170" s="81"/>
      <c r="AG170" s="81"/>
      <c r="AH170" s="81"/>
      <c r="AI170" s="81"/>
      <c r="AJ170" s="81"/>
      <c r="AK170" s="81"/>
      <c r="AL170" s="81"/>
      <c r="AM170" s="81"/>
      <c r="AN170" s="14"/>
      <c r="AO170" s="100" t="s">
        <v>32</v>
      </c>
      <c r="AQ170" s="94"/>
      <c r="CA170" s="93"/>
      <c r="CB170" s="93"/>
      <c r="DE170" s="93"/>
      <c r="EM170" s="66"/>
      <c r="EN170" s="93"/>
      <c r="EO170" s="93"/>
      <c r="EP170" s="93"/>
      <c r="EQ170" s="93"/>
      <c r="GT170" s="93"/>
      <c r="KO170" s="93"/>
      <c r="KP170" s="93"/>
      <c r="KQ170" s="93"/>
      <c r="KR170" s="93"/>
      <c r="PV170" s="93"/>
      <c r="PW170" s="93"/>
      <c r="PY170" s="93"/>
      <c r="QM170" s="92"/>
      <c r="QQ170" s="93"/>
      <c r="ST170" s="92"/>
      <c r="AIC170" s="5"/>
      <c r="AJR170" s="5"/>
      <c r="AJS170" s="5"/>
      <c r="AJT170" s="5"/>
    </row>
    <row r="171" spans="6:956" ht="15" customHeight="1" x14ac:dyDescent="0.3">
      <c r="F171" s="60"/>
      <c r="G171" s="99" t="s">
        <v>31</v>
      </c>
      <c r="H171" s="303">
        <v>0.5</v>
      </c>
      <c r="I171" s="55" t="s">
        <v>29</v>
      </c>
      <c r="J171" s="81" t="e">
        <f t="shared" ref="J171:AM171" si="82">J164/J154*100</f>
        <v>#DIV/0!</v>
      </c>
      <c r="K171" s="81" t="e">
        <f t="shared" si="82"/>
        <v>#DIV/0!</v>
      </c>
      <c r="L171" s="81" t="e">
        <f t="shared" si="82"/>
        <v>#DIV/0!</v>
      </c>
      <c r="M171" s="81" t="e">
        <f t="shared" si="82"/>
        <v>#DIV/0!</v>
      </c>
      <c r="N171" s="81" t="e">
        <f t="shared" si="82"/>
        <v>#DIV/0!</v>
      </c>
      <c r="O171" s="81" t="e">
        <f t="shared" si="82"/>
        <v>#DIV/0!</v>
      </c>
      <c r="P171" s="81" t="e">
        <f t="shared" si="82"/>
        <v>#DIV/0!</v>
      </c>
      <c r="Q171" s="81" t="e">
        <f t="shared" si="82"/>
        <v>#DIV/0!</v>
      </c>
      <c r="R171" s="81" t="e">
        <f t="shared" si="82"/>
        <v>#DIV/0!</v>
      </c>
      <c r="S171" s="81" t="e">
        <f t="shared" si="82"/>
        <v>#DIV/0!</v>
      </c>
      <c r="T171" s="81" t="e">
        <f t="shared" si="82"/>
        <v>#DIV/0!</v>
      </c>
      <c r="U171" s="81" t="e">
        <f t="shared" si="82"/>
        <v>#DIV/0!</v>
      </c>
      <c r="V171" s="81" t="e">
        <f t="shared" si="82"/>
        <v>#DIV/0!</v>
      </c>
      <c r="W171" s="81" t="e">
        <f t="shared" si="82"/>
        <v>#DIV/0!</v>
      </c>
      <c r="X171" s="81" t="e">
        <f t="shared" si="82"/>
        <v>#DIV/0!</v>
      </c>
      <c r="Y171" s="81" t="e">
        <f t="shared" si="82"/>
        <v>#DIV/0!</v>
      </c>
      <c r="Z171" s="81" t="e">
        <f t="shared" si="82"/>
        <v>#DIV/0!</v>
      </c>
      <c r="AA171" s="81" t="e">
        <f t="shared" si="82"/>
        <v>#DIV/0!</v>
      </c>
      <c r="AB171" s="81" t="e">
        <f t="shared" si="82"/>
        <v>#DIV/0!</v>
      </c>
      <c r="AC171" s="81" t="e">
        <f t="shared" si="82"/>
        <v>#DIV/0!</v>
      </c>
      <c r="AD171" s="81" t="e">
        <f t="shared" si="82"/>
        <v>#DIV/0!</v>
      </c>
      <c r="AE171" s="81" t="e">
        <f t="shared" si="82"/>
        <v>#DIV/0!</v>
      </c>
      <c r="AF171" s="81" t="e">
        <f t="shared" si="82"/>
        <v>#DIV/0!</v>
      </c>
      <c r="AG171" s="81" t="e">
        <f t="shared" si="82"/>
        <v>#DIV/0!</v>
      </c>
      <c r="AH171" s="81" t="e">
        <f t="shared" si="82"/>
        <v>#DIV/0!</v>
      </c>
      <c r="AI171" s="81" t="e">
        <f t="shared" si="82"/>
        <v>#DIV/0!</v>
      </c>
      <c r="AJ171" s="81" t="e">
        <f t="shared" si="82"/>
        <v>#DIV/0!</v>
      </c>
      <c r="AK171" s="81" t="e">
        <f t="shared" si="82"/>
        <v>#DIV/0!</v>
      </c>
      <c r="AL171" s="81" t="e">
        <f t="shared" si="82"/>
        <v>#DIV/0!</v>
      </c>
      <c r="AM171" s="81" t="e">
        <f t="shared" si="82"/>
        <v>#DIV/0!</v>
      </c>
      <c r="AN171" s="14"/>
      <c r="AO171" s="98" t="e">
        <f>AO164/AO154*100</f>
        <v>#DIV/0!</v>
      </c>
      <c r="AQ171" s="94"/>
      <c r="CA171" s="93"/>
      <c r="CB171" s="93"/>
      <c r="DE171" s="93"/>
      <c r="EM171" s="66"/>
      <c r="EN171" s="93"/>
      <c r="EO171" s="93"/>
      <c r="EP171" s="93"/>
      <c r="EQ171" s="93"/>
      <c r="GT171" s="93"/>
      <c r="KO171" s="93"/>
      <c r="KP171" s="93"/>
      <c r="KQ171" s="93"/>
      <c r="KR171" s="93"/>
      <c r="PV171" s="93"/>
      <c r="PW171" s="93"/>
      <c r="PY171" s="93"/>
      <c r="QM171" s="92"/>
      <c r="QQ171" s="93"/>
      <c r="ST171" s="92"/>
      <c r="AIC171" s="5"/>
      <c r="AJR171" s="5"/>
      <c r="AJS171" s="5"/>
      <c r="AJT171" s="5"/>
    </row>
    <row r="172" spans="6:956" ht="15" customHeight="1" x14ac:dyDescent="0.3">
      <c r="F172" s="60"/>
      <c r="G172" s="99" t="s">
        <v>30</v>
      </c>
      <c r="H172" s="303">
        <v>0.5</v>
      </c>
      <c r="I172" s="55" t="s">
        <v>29</v>
      </c>
      <c r="J172" s="81" t="e">
        <f t="shared" ref="J172:AM172" si="83">J165/J156*100</f>
        <v>#DIV/0!</v>
      </c>
      <c r="K172" s="81" t="e">
        <f t="shared" si="83"/>
        <v>#DIV/0!</v>
      </c>
      <c r="L172" s="81" t="e">
        <f t="shared" si="83"/>
        <v>#DIV/0!</v>
      </c>
      <c r="M172" s="81" t="e">
        <f t="shared" si="83"/>
        <v>#DIV/0!</v>
      </c>
      <c r="N172" s="81" t="e">
        <f t="shared" si="83"/>
        <v>#DIV/0!</v>
      </c>
      <c r="O172" s="81" t="e">
        <f t="shared" si="83"/>
        <v>#DIV/0!</v>
      </c>
      <c r="P172" s="81" t="e">
        <f t="shared" si="83"/>
        <v>#DIV/0!</v>
      </c>
      <c r="Q172" s="81" t="e">
        <f t="shared" si="83"/>
        <v>#DIV/0!</v>
      </c>
      <c r="R172" s="81" t="e">
        <f t="shared" si="83"/>
        <v>#DIV/0!</v>
      </c>
      <c r="S172" s="81" t="e">
        <f t="shared" si="83"/>
        <v>#DIV/0!</v>
      </c>
      <c r="T172" s="81" t="e">
        <f t="shared" si="83"/>
        <v>#DIV/0!</v>
      </c>
      <c r="U172" s="81" t="e">
        <f t="shared" si="83"/>
        <v>#DIV/0!</v>
      </c>
      <c r="V172" s="81" t="e">
        <f t="shared" si="83"/>
        <v>#DIV/0!</v>
      </c>
      <c r="W172" s="81" t="e">
        <f t="shared" si="83"/>
        <v>#DIV/0!</v>
      </c>
      <c r="X172" s="81" t="e">
        <f t="shared" si="83"/>
        <v>#DIV/0!</v>
      </c>
      <c r="Y172" s="81" t="e">
        <f t="shared" si="83"/>
        <v>#DIV/0!</v>
      </c>
      <c r="Z172" s="81" t="e">
        <f t="shared" si="83"/>
        <v>#DIV/0!</v>
      </c>
      <c r="AA172" s="81" t="e">
        <f t="shared" si="83"/>
        <v>#DIV/0!</v>
      </c>
      <c r="AB172" s="81" t="e">
        <f t="shared" si="83"/>
        <v>#DIV/0!</v>
      </c>
      <c r="AC172" s="81" t="e">
        <f t="shared" si="83"/>
        <v>#DIV/0!</v>
      </c>
      <c r="AD172" s="81" t="e">
        <f t="shared" si="83"/>
        <v>#DIV/0!</v>
      </c>
      <c r="AE172" s="81" t="e">
        <f t="shared" si="83"/>
        <v>#DIV/0!</v>
      </c>
      <c r="AF172" s="81" t="e">
        <f t="shared" si="83"/>
        <v>#DIV/0!</v>
      </c>
      <c r="AG172" s="81" t="e">
        <f t="shared" si="83"/>
        <v>#DIV/0!</v>
      </c>
      <c r="AH172" s="81" t="e">
        <f t="shared" si="83"/>
        <v>#DIV/0!</v>
      </c>
      <c r="AI172" s="81" t="e">
        <f t="shared" si="83"/>
        <v>#DIV/0!</v>
      </c>
      <c r="AJ172" s="81" t="e">
        <f t="shared" si="83"/>
        <v>#DIV/0!</v>
      </c>
      <c r="AK172" s="81" t="e">
        <f t="shared" si="83"/>
        <v>#DIV/0!</v>
      </c>
      <c r="AL172" s="81" t="e">
        <f t="shared" si="83"/>
        <v>#DIV/0!</v>
      </c>
      <c r="AM172" s="81" t="e">
        <f t="shared" si="83"/>
        <v>#DIV/0!</v>
      </c>
      <c r="AN172" s="14"/>
      <c r="AO172" s="98" t="e">
        <f>AO165/AO156*100</f>
        <v>#DIV/0!</v>
      </c>
      <c r="AQ172" s="94"/>
      <c r="CA172" s="93"/>
      <c r="CB172" s="93"/>
      <c r="DE172" s="93"/>
      <c r="EM172" s="66"/>
      <c r="EN172" s="93"/>
      <c r="EO172" s="93"/>
      <c r="EP172" s="93"/>
      <c r="EQ172" s="93"/>
      <c r="GT172" s="93"/>
      <c r="KO172" s="93"/>
      <c r="KP172" s="93"/>
      <c r="KQ172" s="93"/>
      <c r="KR172" s="93"/>
      <c r="PV172" s="93"/>
      <c r="PW172" s="93"/>
      <c r="PY172" s="93"/>
      <c r="QM172" s="92"/>
      <c r="QQ172" s="93"/>
      <c r="ST172" s="92"/>
      <c r="AIC172" s="5"/>
      <c r="AJR172" s="5"/>
      <c r="AJS172" s="5"/>
      <c r="AJT172" s="5"/>
    </row>
    <row r="173" spans="6:956" ht="15" customHeight="1" x14ac:dyDescent="0.3">
      <c r="F173" s="57">
        <v>9</v>
      </c>
      <c r="G173" s="103" t="s">
        <v>164</v>
      </c>
      <c r="H173" s="326"/>
      <c r="I173" s="327"/>
      <c r="J173" s="46"/>
      <c r="K173" s="46"/>
      <c r="L173" s="46"/>
      <c r="M173" s="46"/>
      <c r="N173" s="46"/>
      <c r="O173" s="46"/>
      <c r="P173" s="46"/>
      <c r="Q173" s="46"/>
      <c r="R173" s="46"/>
      <c r="S173" s="46"/>
      <c r="T173" s="46"/>
      <c r="U173" s="46"/>
      <c r="V173" s="46"/>
      <c r="W173" s="46"/>
      <c r="X173" s="46"/>
      <c r="Y173" s="46"/>
      <c r="Z173" s="46"/>
      <c r="AA173" s="46"/>
      <c r="AB173" s="46"/>
      <c r="AC173" s="46"/>
      <c r="AD173" s="46"/>
      <c r="AE173" s="46"/>
      <c r="AF173" s="46"/>
      <c r="AG173" s="46"/>
      <c r="AH173" s="46"/>
      <c r="AI173" s="46"/>
      <c r="AJ173" s="328"/>
      <c r="AK173" s="328"/>
      <c r="AL173" s="328"/>
      <c r="AM173" s="328"/>
      <c r="AN173" s="7"/>
      <c r="AO173" s="329" t="s">
        <v>47</v>
      </c>
      <c r="AQ173" s="94"/>
      <c r="CA173" s="93"/>
      <c r="CB173" s="93"/>
      <c r="DE173" s="93"/>
      <c r="EM173" s="66"/>
      <c r="EN173" s="93"/>
      <c r="EO173" s="93"/>
      <c r="EP173" s="93"/>
      <c r="EQ173" s="93"/>
      <c r="GT173" s="93"/>
      <c r="KO173" s="93"/>
      <c r="KP173" s="93"/>
      <c r="KQ173" s="93"/>
      <c r="KR173" s="93"/>
      <c r="PV173" s="93"/>
      <c r="PW173" s="93"/>
      <c r="PY173" s="93"/>
      <c r="QM173" s="92"/>
      <c r="QQ173" s="93"/>
      <c r="ST173" s="92"/>
      <c r="AIC173" s="5"/>
      <c r="AJR173" s="5"/>
      <c r="AJS173" s="5"/>
      <c r="AJT173" s="5"/>
    </row>
    <row r="174" spans="6:956" ht="15" customHeight="1" x14ac:dyDescent="0.3">
      <c r="F174" s="60"/>
      <c r="G174" s="99" t="s">
        <v>165</v>
      </c>
      <c r="H174" s="303"/>
      <c r="I174" s="55" t="s">
        <v>16</v>
      </c>
      <c r="J174" s="81">
        <v>0</v>
      </c>
      <c r="K174" s="81">
        <v>0</v>
      </c>
      <c r="L174" s="81">
        <v>0</v>
      </c>
      <c r="M174" s="81">
        <v>0</v>
      </c>
      <c r="N174" s="81">
        <v>0</v>
      </c>
      <c r="O174" s="81">
        <v>0</v>
      </c>
      <c r="P174" s="81">
        <v>0</v>
      </c>
      <c r="Q174" s="81">
        <v>0</v>
      </c>
      <c r="R174" s="81">
        <v>0</v>
      </c>
      <c r="S174" s="81">
        <v>0</v>
      </c>
      <c r="T174" s="81">
        <v>0</v>
      </c>
      <c r="U174" s="81">
        <v>0</v>
      </c>
      <c r="V174" s="81">
        <v>0</v>
      </c>
      <c r="W174" s="81">
        <v>0</v>
      </c>
      <c r="X174" s="81">
        <v>0</v>
      </c>
      <c r="Y174" s="81">
        <v>0</v>
      </c>
      <c r="Z174" s="81">
        <v>0</v>
      </c>
      <c r="AA174" s="81">
        <v>0</v>
      </c>
      <c r="AB174" s="81">
        <v>8084.37</v>
      </c>
      <c r="AC174" s="81">
        <v>0</v>
      </c>
      <c r="AD174" s="81">
        <v>0</v>
      </c>
      <c r="AE174" s="81">
        <v>0</v>
      </c>
      <c r="AF174" s="81">
        <v>0</v>
      </c>
      <c r="AG174" s="81">
        <v>0</v>
      </c>
      <c r="AH174" s="81">
        <v>0</v>
      </c>
      <c r="AI174" s="81">
        <v>0</v>
      </c>
      <c r="AJ174" s="81">
        <v>0</v>
      </c>
      <c r="AK174" s="81">
        <v>0</v>
      </c>
      <c r="AL174" s="81">
        <v>0</v>
      </c>
      <c r="AM174" s="81"/>
      <c r="AN174" s="14"/>
      <c r="AO174" s="110">
        <f>SUM(AO175:AO176)</f>
        <v>8084.37</v>
      </c>
      <c r="AQ174" s="94"/>
      <c r="CA174" s="93"/>
      <c r="CB174" s="93"/>
      <c r="DE174" s="93"/>
      <c r="EM174" s="66"/>
      <c r="EN174" s="93"/>
      <c r="EO174" s="93"/>
      <c r="EP174" s="93"/>
      <c r="EQ174" s="93"/>
      <c r="GT174" s="93"/>
      <c r="KO174" s="93"/>
      <c r="KP174" s="93"/>
      <c r="KQ174" s="93"/>
      <c r="KR174" s="93"/>
      <c r="PV174" s="93"/>
      <c r="PW174" s="93"/>
      <c r="PY174" s="93"/>
      <c r="QM174" s="92"/>
      <c r="QQ174" s="93"/>
      <c r="ST174" s="92"/>
      <c r="AIC174" s="5"/>
      <c r="AJR174" s="5"/>
      <c r="AJS174" s="5"/>
      <c r="AJT174" s="5"/>
    </row>
    <row r="175" spans="6:956" ht="15" customHeight="1" x14ac:dyDescent="0.3">
      <c r="F175" s="60"/>
      <c r="G175" s="99" t="s">
        <v>44</v>
      </c>
      <c r="H175" s="303"/>
      <c r="I175" s="55" t="s">
        <v>16</v>
      </c>
      <c r="J175" s="81">
        <f>SUM(J178:J180)*9.75348</f>
        <v>0</v>
      </c>
      <c r="K175" s="81">
        <f t="shared" ref="K175:AI175" si="84">SUM(K178:K180)*9.75348</f>
        <v>0</v>
      </c>
      <c r="L175" s="81">
        <f t="shared" si="84"/>
        <v>0</v>
      </c>
      <c r="M175" s="81">
        <f t="shared" si="84"/>
        <v>0</v>
      </c>
      <c r="N175" s="81">
        <f t="shared" si="84"/>
        <v>0</v>
      </c>
      <c r="O175" s="81">
        <f t="shared" si="84"/>
        <v>0</v>
      </c>
      <c r="P175" s="81">
        <f t="shared" si="84"/>
        <v>0</v>
      </c>
      <c r="Q175" s="81">
        <f t="shared" si="84"/>
        <v>0</v>
      </c>
      <c r="R175" s="81">
        <f t="shared" si="84"/>
        <v>0</v>
      </c>
      <c r="S175" s="81">
        <f t="shared" si="84"/>
        <v>0</v>
      </c>
      <c r="T175" s="81">
        <f t="shared" si="84"/>
        <v>0</v>
      </c>
      <c r="U175" s="81">
        <f t="shared" si="84"/>
        <v>0</v>
      </c>
      <c r="V175" s="81">
        <f t="shared" si="84"/>
        <v>0</v>
      </c>
      <c r="W175" s="81">
        <f t="shared" si="84"/>
        <v>0</v>
      </c>
      <c r="X175" s="81">
        <f t="shared" si="84"/>
        <v>0</v>
      </c>
      <c r="Y175" s="81">
        <f t="shared" si="84"/>
        <v>0</v>
      </c>
      <c r="Z175" s="81">
        <f t="shared" si="84"/>
        <v>0</v>
      </c>
      <c r="AA175" s="81">
        <f t="shared" si="84"/>
        <v>0</v>
      </c>
      <c r="AB175" s="81">
        <f t="shared" ref="AB175" si="85">SUM(AB178:AB179)*10.86</f>
        <v>8134.1399999999994</v>
      </c>
      <c r="AC175" s="81">
        <f t="shared" si="84"/>
        <v>0</v>
      </c>
      <c r="AD175" s="81">
        <f t="shared" si="84"/>
        <v>0</v>
      </c>
      <c r="AE175" s="81">
        <f t="shared" si="84"/>
        <v>0</v>
      </c>
      <c r="AF175" s="81">
        <f t="shared" si="84"/>
        <v>0</v>
      </c>
      <c r="AG175" s="81">
        <f t="shared" si="84"/>
        <v>0</v>
      </c>
      <c r="AH175" s="81">
        <f t="shared" si="84"/>
        <v>0</v>
      </c>
      <c r="AI175" s="81">
        <f t="shared" si="84"/>
        <v>0</v>
      </c>
      <c r="AJ175" s="81">
        <v>0</v>
      </c>
      <c r="AK175" s="81">
        <v>0</v>
      </c>
      <c r="AL175" s="81">
        <v>0</v>
      </c>
      <c r="AM175" s="81"/>
      <c r="AN175" s="14"/>
      <c r="AO175" s="110">
        <f>SUM(J175:AI175)</f>
        <v>8134.1399999999994</v>
      </c>
      <c r="AQ175" s="94"/>
      <c r="CA175" s="93"/>
      <c r="CB175" s="93"/>
      <c r="DE175" s="93"/>
      <c r="EM175" s="66"/>
      <c r="EN175" s="93"/>
      <c r="EO175" s="93"/>
      <c r="EP175" s="93"/>
      <c r="EQ175" s="93"/>
      <c r="GT175" s="93"/>
      <c r="KO175" s="93"/>
      <c r="KP175" s="93"/>
      <c r="KQ175" s="93"/>
      <c r="KR175" s="93"/>
      <c r="PV175" s="93"/>
      <c r="PW175" s="93"/>
      <c r="PY175" s="93"/>
      <c r="QM175" s="92"/>
      <c r="QQ175" s="93"/>
      <c r="ST175" s="92"/>
      <c r="AIC175" s="5"/>
      <c r="AJR175" s="5"/>
      <c r="AJS175" s="5"/>
      <c r="AJT175" s="5"/>
    </row>
    <row r="176" spans="6:956" ht="15" customHeight="1" x14ac:dyDescent="0.3">
      <c r="F176" s="60"/>
      <c r="G176" s="99" t="s">
        <v>43</v>
      </c>
      <c r="H176" s="303"/>
      <c r="I176" s="55" t="s">
        <v>16</v>
      </c>
      <c r="J176" s="81">
        <f>J174-J175</f>
        <v>0</v>
      </c>
      <c r="K176" s="81">
        <f t="shared" ref="K176:AI176" si="86">K174-K175</f>
        <v>0</v>
      </c>
      <c r="L176" s="81">
        <f t="shared" si="86"/>
        <v>0</v>
      </c>
      <c r="M176" s="81">
        <f t="shared" si="86"/>
        <v>0</v>
      </c>
      <c r="N176" s="81">
        <f t="shared" si="86"/>
        <v>0</v>
      </c>
      <c r="O176" s="81">
        <f t="shared" si="86"/>
        <v>0</v>
      </c>
      <c r="P176" s="81">
        <f t="shared" si="86"/>
        <v>0</v>
      </c>
      <c r="Q176" s="81">
        <f t="shared" si="86"/>
        <v>0</v>
      </c>
      <c r="R176" s="81">
        <f t="shared" si="86"/>
        <v>0</v>
      </c>
      <c r="S176" s="81">
        <f t="shared" si="86"/>
        <v>0</v>
      </c>
      <c r="T176" s="81">
        <f t="shared" si="86"/>
        <v>0</v>
      </c>
      <c r="U176" s="81">
        <f t="shared" si="86"/>
        <v>0</v>
      </c>
      <c r="V176" s="81">
        <f t="shared" si="86"/>
        <v>0</v>
      </c>
      <c r="W176" s="81">
        <f t="shared" si="86"/>
        <v>0</v>
      </c>
      <c r="X176" s="81">
        <f t="shared" si="86"/>
        <v>0</v>
      </c>
      <c r="Y176" s="81">
        <f t="shared" si="86"/>
        <v>0</v>
      </c>
      <c r="Z176" s="81">
        <f t="shared" si="86"/>
        <v>0</v>
      </c>
      <c r="AA176" s="81">
        <f t="shared" si="86"/>
        <v>0</v>
      </c>
      <c r="AB176" s="81">
        <f>AB174-AB175</f>
        <v>-49.769999999999527</v>
      </c>
      <c r="AC176" s="81">
        <f t="shared" si="86"/>
        <v>0</v>
      </c>
      <c r="AD176" s="81">
        <f t="shared" si="86"/>
        <v>0</v>
      </c>
      <c r="AE176" s="81">
        <f t="shared" si="86"/>
        <v>0</v>
      </c>
      <c r="AF176" s="81">
        <f t="shared" si="86"/>
        <v>0</v>
      </c>
      <c r="AG176" s="81">
        <f t="shared" si="86"/>
        <v>0</v>
      </c>
      <c r="AH176" s="81">
        <f t="shared" si="86"/>
        <v>0</v>
      </c>
      <c r="AI176" s="81">
        <f t="shared" si="86"/>
        <v>0</v>
      </c>
      <c r="AJ176" s="81">
        <v>0</v>
      </c>
      <c r="AK176" s="81">
        <v>0</v>
      </c>
      <c r="AL176" s="81">
        <v>0</v>
      </c>
      <c r="AM176" s="81">
        <v>0</v>
      </c>
      <c r="AN176" s="14"/>
      <c r="AO176" s="110">
        <f>SUM(J176:AI176)</f>
        <v>-49.769999999999527</v>
      </c>
      <c r="AQ176" s="94"/>
      <c r="CA176" s="93"/>
      <c r="CB176" s="93"/>
      <c r="DE176" s="93"/>
      <c r="EM176" s="66"/>
      <c r="EN176" s="93"/>
      <c r="EO176" s="93"/>
      <c r="EP176" s="93"/>
      <c r="EQ176" s="93"/>
      <c r="GT176" s="93"/>
      <c r="KO176" s="93"/>
      <c r="KP176" s="93"/>
      <c r="KQ176" s="93"/>
      <c r="KR176" s="93"/>
      <c r="PV176" s="93"/>
      <c r="PW176" s="93"/>
      <c r="PY176" s="93"/>
      <c r="QM176" s="92"/>
      <c r="QQ176" s="93"/>
      <c r="ST176" s="92"/>
      <c r="AIC176" s="5"/>
      <c r="AJR176" s="5"/>
      <c r="AJS176" s="5"/>
      <c r="AJT176" s="5"/>
    </row>
    <row r="177" spans="6:956" ht="15" customHeight="1" x14ac:dyDescent="0.3">
      <c r="F177" s="60"/>
      <c r="G177" s="99" t="s">
        <v>33</v>
      </c>
      <c r="H177" s="303"/>
      <c r="I177" s="55"/>
      <c r="J177" s="81"/>
      <c r="K177" s="81"/>
      <c r="L177" s="81"/>
      <c r="M177" s="81"/>
      <c r="N177" s="81"/>
      <c r="O177" s="81"/>
      <c r="P177" s="81"/>
      <c r="Q177" s="81"/>
      <c r="R177" s="81"/>
      <c r="S177" s="81"/>
      <c r="T177" s="81"/>
      <c r="U177" s="81"/>
      <c r="V177" s="81"/>
      <c r="W177" s="81"/>
      <c r="X177" s="81"/>
      <c r="Y177" s="81"/>
      <c r="Z177" s="81"/>
      <c r="AA177" s="81"/>
      <c r="AB177" s="81"/>
      <c r="AC177" s="81"/>
      <c r="AD177" s="81"/>
      <c r="AE177" s="81"/>
      <c r="AF177" s="81"/>
      <c r="AG177" s="81"/>
      <c r="AH177" s="81"/>
      <c r="AI177" s="81"/>
      <c r="AJ177" s="81"/>
      <c r="AK177" s="81"/>
      <c r="AL177" s="81"/>
      <c r="AM177" s="81"/>
      <c r="AN177" s="14"/>
      <c r="AO177" s="98" t="s">
        <v>33</v>
      </c>
      <c r="AQ177" s="94"/>
      <c r="CA177" s="93"/>
      <c r="CB177" s="93"/>
      <c r="DE177" s="93"/>
      <c r="EM177" s="66"/>
      <c r="EN177" s="93"/>
      <c r="EO177" s="93"/>
      <c r="EP177" s="93"/>
      <c r="EQ177" s="93"/>
      <c r="GT177" s="93"/>
      <c r="KO177" s="93"/>
      <c r="KP177" s="93"/>
      <c r="KQ177" s="93"/>
      <c r="KR177" s="93"/>
      <c r="PV177" s="93"/>
      <c r="PW177" s="93"/>
      <c r="PY177" s="93"/>
      <c r="QM177" s="92"/>
      <c r="QQ177" s="93"/>
      <c r="ST177" s="92"/>
      <c r="AIC177" s="5"/>
      <c r="AJR177" s="5"/>
      <c r="AJS177" s="5"/>
      <c r="AJT177" s="5"/>
    </row>
    <row r="178" spans="6:956" ht="15" customHeight="1" x14ac:dyDescent="0.3">
      <c r="F178" s="60"/>
      <c r="G178" s="99" t="s">
        <v>166</v>
      </c>
      <c r="H178" s="303"/>
      <c r="I178" s="55" t="s">
        <v>36</v>
      </c>
      <c r="J178" s="81">
        <v>0</v>
      </c>
      <c r="K178" s="81">
        <v>0</v>
      </c>
      <c r="L178" s="81">
        <v>0</v>
      </c>
      <c r="M178" s="81">
        <v>0</v>
      </c>
      <c r="N178" s="81">
        <v>0</v>
      </c>
      <c r="O178" s="81">
        <v>0</v>
      </c>
      <c r="P178" s="81">
        <v>0</v>
      </c>
      <c r="Q178" s="81">
        <v>0</v>
      </c>
      <c r="R178" s="81">
        <v>0</v>
      </c>
      <c r="S178" s="81">
        <v>0</v>
      </c>
      <c r="T178" s="81">
        <v>0</v>
      </c>
      <c r="U178" s="81">
        <v>0</v>
      </c>
      <c r="V178" s="81">
        <v>0</v>
      </c>
      <c r="W178" s="81">
        <v>0</v>
      </c>
      <c r="X178" s="81">
        <v>0</v>
      </c>
      <c r="Y178" s="81">
        <v>0</v>
      </c>
      <c r="Z178" s="81">
        <v>0</v>
      </c>
      <c r="AA178" s="81">
        <v>0</v>
      </c>
      <c r="AB178" s="81">
        <v>749</v>
      </c>
      <c r="AC178" s="81">
        <v>0</v>
      </c>
      <c r="AD178" s="81">
        <v>0</v>
      </c>
      <c r="AE178" s="81">
        <v>0</v>
      </c>
      <c r="AF178" s="81">
        <v>0</v>
      </c>
      <c r="AG178" s="81">
        <v>0</v>
      </c>
      <c r="AH178" s="81">
        <v>0</v>
      </c>
      <c r="AI178" s="81">
        <v>0</v>
      </c>
      <c r="AJ178" s="81">
        <v>0</v>
      </c>
      <c r="AK178" s="81">
        <v>0</v>
      </c>
      <c r="AL178" s="81">
        <v>0</v>
      </c>
      <c r="AM178" s="81"/>
      <c r="AN178" s="14"/>
      <c r="AO178" s="108">
        <f>SUM(J178:AM178)</f>
        <v>749</v>
      </c>
      <c r="AQ178" s="94"/>
      <c r="CA178" s="93"/>
      <c r="CB178" s="93"/>
      <c r="DE178" s="93"/>
      <c r="EM178" s="66"/>
      <c r="EN178" s="93"/>
      <c r="EO178" s="93"/>
      <c r="EP178" s="93"/>
      <c r="EQ178" s="93"/>
      <c r="GT178" s="93"/>
      <c r="KO178" s="93"/>
      <c r="KP178" s="93"/>
      <c r="KQ178" s="93"/>
      <c r="KR178" s="93"/>
      <c r="PV178" s="93"/>
      <c r="PW178" s="93"/>
      <c r="PY178" s="93"/>
      <c r="QM178" s="92"/>
      <c r="QQ178" s="93"/>
      <c r="ST178" s="92"/>
      <c r="AIC178" s="5"/>
      <c r="AJR178" s="5"/>
      <c r="AJS178" s="5"/>
      <c r="AJT178" s="5"/>
    </row>
    <row r="179" spans="6:956" ht="15" customHeight="1" x14ac:dyDescent="0.3">
      <c r="F179" s="60"/>
      <c r="G179" s="99" t="s">
        <v>32</v>
      </c>
      <c r="H179" s="303"/>
      <c r="I179" s="55"/>
      <c r="J179" s="81"/>
      <c r="K179" s="81"/>
      <c r="L179" s="81"/>
      <c r="M179" s="81"/>
      <c r="N179" s="81"/>
      <c r="O179" s="81"/>
      <c r="P179" s="81"/>
      <c r="Q179" s="81"/>
      <c r="R179" s="81"/>
      <c r="S179" s="81"/>
      <c r="T179" s="81"/>
      <c r="U179" s="81"/>
      <c r="V179" s="81"/>
      <c r="W179" s="81"/>
      <c r="X179" s="81"/>
      <c r="Y179" s="81"/>
      <c r="Z179" s="81"/>
      <c r="AA179" s="81"/>
      <c r="AB179" s="81"/>
      <c r="AC179" s="81"/>
      <c r="AD179" s="81"/>
      <c r="AE179" s="81"/>
      <c r="AF179" s="81"/>
      <c r="AG179" s="81"/>
      <c r="AH179" s="81"/>
      <c r="AI179" s="81"/>
      <c r="AJ179" s="81"/>
      <c r="AK179" s="81"/>
      <c r="AL179" s="81"/>
      <c r="AM179" s="81"/>
      <c r="AN179" s="14"/>
      <c r="AO179" s="98" t="s">
        <v>32</v>
      </c>
      <c r="AQ179" s="94"/>
      <c r="CA179" s="93"/>
      <c r="CB179" s="93"/>
      <c r="DE179" s="93"/>
      <c r="EM179" s="66"/>
      <c r="EN179" s="93"/>
      <c r="EO179" s="93"/>
      <c r="EP179" s="93"/>
      <c r="EQ179" s="93"/>
      <c r="GT179" s="93"/>
      <c r="KO179" s="93"/>
      <c r="KP179" s="93"/>
      <c r="KQ179" s="93"/>
      <c r="KR179" s="93"/>
      <c r="PV179" s="93"/>
      <c r="PW179" s="93"/>
      <c r="PY179" s="93"/>
      <c r="QM179" s="92"/>
      <c r="QQ179" s="93"/>
      <c r="ST179" s="92"/>
      <c r="AIC179" s="5"/>
      <c r="AJR179" s="5"/>
      <c r="AJS179" s="5"/>
      <c r="AJT179" s="5"/>
    </row>
    <row r="180" spans="6:956" ht="15" customHeight="1" x14ac:dyDescent="0.3">
      <c r="F180" s="60"/>
      <c r="G180" s="99" t="s">
        <v>166</v>
      </c>
      <c r="H180" s="303"/>
      <c r="I180" s="55" t="s">
        <v>32</v>
      </c>
      <c r="J180" s="15">
        <f>J178*6</f>
        <v>0</v>
      </c>
      <c r="K180" s="15">
        <f t="shared" ref="K180:AI180" si="87">K178*6</f>
        <v>0</v>
      </c>
      <c r="L180" s="15">
        <f t="shared" si="87"/>
        <v>0</v>
      </c>
      <c r="M180" s="15">
        <f t="shared" si="87"/>
        <v>0</v>
      </c>
      <c r="N180" s="15">
        <f t="shared" si="87"/>
        <v>0</v>
      </c>
      <c r="O180" s="15">
        <f t="shared" si="87"/>
        <v>0</v>
      </c>
      <c r="P180" s="15">
        <f t="shared" si="87"/>
        <v>0</v>
      </c>
      <c r="Q180" s="15">
        <f t="shared" si="87"/>
        <v>0</v>
      </c>
      <c r="R180" s="15">
        <f t="shared" si="87"/>
        <v>0</v>
      </c>
      <c r="S180" s="15">
        <f t="shared" si="87"/>
        <v>0</v>
      </c>
      <c r="T180" s="15">
        <f t="shared" si="87"/>
        <v>0</v>
      </c>
      <c r="U180" s="15">
        <f t="shared" si="87"/>
        <v>0</v>
      </c>
      <c r="V180" s="15">
        <f t="shared" si="87"/>
        <v>0</v>
      </c>
      <c r="W180" s="15">
        <f t="shared" si="87"/>
        <v>0</v>
      </c>
      <c r="X180" s="15">
        <f t="shared" si="87"/>
        <v>0</v>
      </c>
      <c r="Y180" s="15">
        <f t="shared" si="87"/>
        <v>0</v>
      </c>
      <c r="Z180" s="15">
        <f t="shared" si="87"/>
        <v>0</v>
      </c>
      <c r="AA180" s="15">
        <f t="shared" si="87"/>
        <v>0</v>
      </c>
      <c r="AB180" s="15">
        <f>AB178*12</f>
        <v>8988</v>
      </c>
      <c r="AC180" s="15">
        <f t="shared" si="87"/>
        <v>0</v>
      </c>
      <c r="AD180" s="15">
        <f t="shared" si="87"/>
        <v>0</v>
      </c>
      <c r="AE180" s="15">
        <f t="shared" si="87"/>
        <v>0</v>
      </c>
      <c r="AF180" s="15">
        <f t="shared" si="87"/>
        <v>0</v>
      </c>
      <c r="AG180" s="15">
        <f t="shared" si="87"/>
        <v>0</v>
      </c>
      <c r="AH180" s="15">
        <f t="shared" si="87"/>
        <v>0</v>
      </c>
      <c r="AI180" s="15">
        <f t="shared" si="87"/>
        <v>0</v>
      </c>
      <c r="AJ180" s="81">
        <v>0</v>
      </c>
      <c r="AK180" s="81">
        <v>0</v>
      </c>
      <c r="AL180" s="81">
        <v>0</v>
      </c>
      <c r="AM180" s="81">
        <v>0</v>
      </c>
      <c r="AN180" s="14"/>
      <c r="AO180" s="58">
        <f>AO178*24</f>
        <v>17976</v>
      </c>
      <c r="AQ180" s="94"/>
      <c r="CA180" s="93"/>
      <c r="CB180" s="93"/>
      <c r="DE180" s="93"/>
      <c r="EM180" s="66"/>
      <c r="EN180" s="93"/>
      <c r="EO180" s="93"/>
      <c r="EP180" s="93"/>
      <c r="EQ180" s="93"/>
      <c r="GT180" s="93"/>
      <c r="KO180" s="93"/>
      <c r="KP180" s="93"/>
      <c r="KQ180" s="93"/>
      <c r="KR180" s="93"/>
      <c r="PV180" s="93"/>
      <c r="PW180" s="93"/>
      <c r="PY180" s="93"/>
      <c r="QM180" s="92"/>
      <c r="QQ180" s="93"/>
      <c r="ST180" s="92"/>
      <c r="AIC180" s="5"/>
      <c r="AJR180" s="5"/>
      <c r="AJS180" s="5"/>
      <c r="AJT180" s="5"/>
    </row>
    <row r="181" spans="6:956" ht="15" customHeight="1" x14ac:dyDescent="0.3">
      <c r="F181" s="60"/>
      <c r="G181" s="99" t="s">
        <v>41</v>
      </c>
      <c r="H181" s="303"/>
      <c r="I181" s="55" t="s">
        <v>40</v>
      </c>
      <c r="J181" s="15">
        <f>J178*45/1700</f>
        <v>0</v>
      </c>
      <c r="K181" s="15">
        <f t="shared" ref="K181:AI181" si="88">K178*45/1700</f>
        <v>0</v>
      </c>
      <c r="L181" s="15">
        <f t="shared" si="88"/>
        <v>0</v>
      </c>
      <c r="M181" s="15">
        <f t="shared" si="88"/>
        <v>0</v>
      </c>
      <c r="N181" s="15">
        <f t="shared" si="88"/>
        <v>0</v>
      </c>
      <c r="O181" s="15">
        <f t="shared" si="88"/>
        <v>0</v>
      </c>
      <c r="P181" s="15">
        <f t="shared" si="88"/>
        <v>0</v>
      </c>
      <c r="Q181" s="15">
        <f t="shared" si="88"/>
        <v>0</v>
      </c>
      <c r="R181" s="15">
        <f t="shared" si="88"/>
        <v>0</v>
      </c>
      <c r="S181" s="15">
        <f t="shared" si="88"/>
        <v>0</v>
      </c>
      <c r="T181" s="15">
        <f t="shared" si="88"/>
        <v>0</v>
      </c>
      <c r="U181" s="15">
        <f t="shared" si="88"/>
        <v>0</v>
      </c>
      <c r="V181" s="15">
        <f t="shared" si="88"/>
        <v>0</v>
      </c>
      <c r="W181" s="15">
        <f t="shared" si="88"/>
        <v>0</v>
      </c>
      <c r="X181" s="15">
        <f t="shared" si="88"/>
        <v>0</v>
      </c>
      <c r="Y181" s="15">
        <f t="shared" si="88"/>
        <v>0</v>
      </c>
      <c r="Z181" s="15">
        <f t="shared" si="88"/>
        <v>0</v>
      </c>
      <c r="AA181" s="15">
        <f t="shared" si="88"/>
        <v>0</v>
      </c>
      <c r="AB181" s="15">
        <f t="shared" si="88"/>
        <v>19.826470588235296</v>
      </c>
      <c r="AC181" s="15">
        <f t="shared" si="88"/>
        <v>0</v>
      </c>
      <c r="AD181" s="15">
        <f t="shared" si="88"/>
        <v>0</v>
      </c>
      <c r="AE181" s="15">
        <f t="shared" si="88"/>
        <v>0</v>
      </c>
      <c r="AF181" s="15">
        <f t="shared" si="88"/>
        <v>0</v>
      </c>
      <c r="AG181" s="15">
        <f t="shared" si="88"/>
        <v>0</v>
      </c>
      <c r="AH181" s="15">
        <f t="shared" si="88"/>
        <v>0</v>
      </c>
      <c r="AI181" s="15">
        <f t="shared" si="88"/>
        <v>0</v>
      </c>
      <c r="AJ181" s="81">
        <v>0</v>
      </c>
      <c r="AK181" s="81">
        <v>0</v>
      </c>
      <c r="AL181" s="81">
        <v>0</v>
      </c>
      <c r="AM181" s="81">
        <v>0</v>
      </c>
      <c r="AN181" s="14"/>
      <c r="AO181" s="58">
        <f>SUM(J181:AM181)</f>
        <v>19.826470588235296</v>
      </c>
      <c r="AQ181" s="94"/>
      <c r="CA181" s="93"/>
      <c r="CB181" s="93"/>
      <c r="DE181" s="93"/>
      <c r="EM181" s="66"/>
      <c r="EN181" s="93"/>
      <c r="EO181" s="93"/>
      <c r="EP181" s="93"/>
      <c r="EQ181" s="93"/>
      <c r="GT181" s="93"/>
      <c r="KO181" s="93"/>
      <c r="KP181" s="93"/>
      <c r="KQ181" s="93"/>
      <c r="KR181" s="93"/>
      <c r="PV181" s="93"/>
      <c r="PW181" s="93"/>
      <c r="PY181" s="93"/>
      <c r="QM181" s="92"/>
      <c r="QQ181" s="93"/>
      <c r="ST181" s="92"/>
      <c r="AIC181" s="5"/>
      <c r="AJR181" s="5"/>
      <c r="AJS181" s="5"/>
      <c r="AJT181" s="5"/>
    </row>
    <row r="182" spans="6:956" ht="15" customHeight="1" x14ac:dyDescent="0.3">
      <c r="F182" s="60"/>
      <c r="G182" s="99" t="s">
        <v>39</v>
      </c>
      <c r="H182" s="303"/>
      <c r="I182" s="55" t="s">
        <v>38</v>
      </c>
      <c r="J182" s="15">
        <f>SUM(J178)/500</f>
        <v>0</v>
      </c>
      <c r="K182" s="15">
        <f t="shared" ref="K182:AI182" si="89">SUM(K178)/500</f>
        <v>0</v>
      </c>
      <c r="L182" s="15">
        <f t="shared" si="89"/>
        <v>0</v>
      </c>
      <c r="M182" s="15">
        <f t="shared" si="89"/>
        <v>0</v>
      </c>
      <c r="N182" s="15">
        <f t="shared" si="89"/>
        <v>0</v>
      </c>
      <c r="O182" s="15">
        <f t="shared" si="89"/>
        <v>0</v>
      </c>
      <c r="P182" s="15">
        <f t="shared" si="89"/>
        <v>0</v>
      </c>
      <c r="Q182" s="15">
        <f t="shared" si="89"/>
        <v>0</v>
      </c>
      <c r="R182" s="15">
        <f t="shared" si="89"/>
        <v>0</v>
      </c>
      <c r="S182" s="15">
        <f t="shared" si="89"/>
        <v>0</v>
      </c>
      <c r="T182" s="15">
        <f t="shared" si="89"/>
        <v>0</v>
      </c>
      <c r="U182" s="15">
        <f t="shared" si="89"/>
        <v>0</v>
      </c>
      <c r="V182" s="15">
        <f t="shared" si="89"/>
        <v>0</v>
      </c>
      <c r="W182" s="15">
        <f t="shared" si="89"/>
        <v>0</v>
      </c>
      <c r="X182" s="15">
        <f t="shared" si="89"/>
        <v>0</v>
      </c>
      <c r="Y182" s="15">
        <f t="shared" si="89"/>
        <v>0</v>
      </c>
      <c r="Z182" s="15">
        <f t="shared" si="89"/>
        <v>0</v>
      </c>
      <c r="AA182" s="15">
        <f t="shared" si="89"/>
        <v>0</v>
      </c>
      <c r="AB182" s="15">
        <f t="shared" si="89"/>
        <v>1.498</v>
      </c>
      <c r="AC182" s="15">
        <f t="shared" si="89"/>
        <v>0</v>
      </c>
      <c r="AD182" s="15">
        <f t="shared" si="89"/>
        <v>0</v>
      </c>
      <c r="AE182" s="15">
        <f t="shared" si="89"/>
        <v>0</v>
      </c>
      <c r="AF182" s="15">
        <f t="shared" si="89"/>
        <v>0</v>
      </c>
      <c r="AG182" s="15">
        <f t="shared" si="89"/>
        <v>0</v>
      </c>
      <c r="AH182" s="15">
        <f t="shared" si="89"/>
        <v>0</v>
      </c>
      <c r="AI182" s="15">
        <f t="shared" si="89"/>
        <v>0</v>
      </c>
      <c r="AJ182" s="81">
        <v>0</v>
      </c>
      <c r="AK182" s="81">
        <v>0</v>
      </c>
      <c r="AL182" s="81">
        <v>0</v>
      </c>
      <c r="AM182" s="81">
        <v>0</v>
      </c>
      <c r="AN182" s="14"/>
      <c r="AO182" s="58">
        <f>SUM(J182:AM182)</f>
        <v>1.498</v>
      </c>
      <c r="AQ182" s="94"/>
      <c r="CA182" s="93"/>
      <c r="CB182" s="93"/>
      <c r="DE182" s="93"/>
      <c r="EM182" s="66"/>
      <c r="EN182" s="93"/>
      <c r="EO182" s="93"/>
      <c r="EP182" s="93"/>
      <c r="EQ182" s="93"/>
      <c r="GT182" s="93"/>
      <c r="KO182" s="93"/>
      <c r="KP182" s="93"/>
      <c r="KQ182" s="93"/>
      <c r="KR182" s="93"/>
      <c r="PV182" s="93"/>
      <c r="PW182" s="93"/>
      <c r="PY182" s="93"/>
      <c r="QM182" s="92"/>
      <c r="QQ182" s="93"/>
      <c r="ST182" s="92"/>
      <c r="AIC182" s="5"/>
      <c r="AJR182" s="5"/>
      <c r="AJS182" s="5"/>
      <c r="AJT182" s="5"/>
    </row>
    <row r="183" spans="6:956" ht="15" customHeight="1" x14ac:dyDescent="0.3">
      <c r="F183" s="60"/>
      <c r="G183" s="103" t="s">
        <v>37</v>
      </c>
      <c r="H183" s="326"/>
      <c r="I183" s="327"/>
      <c r="J183" s="46"/>
      <c r="K183" s="46"/>
      <c r="L183" s="46"/>
      <c r="M183" s="46"/>
      <c r="N183" s="46"/>
      <c r="O183" s="46"/>
      <c r="P183" s="46"/>
      <c r="Q183" s="46"/>
      <c r="R183" s="46"/>
      <c r="S183" s="46"/>
      <c r="T183" s="46"/>
      <c r="U183" s="46"/>
      <c r="V183" s="46"/>
      <c r="W183" s="46"/>
      <c r="X183" s="46"/>
      <c r="Y183" s="46"/>
      <c r="Z183" s="46"/>
      <c r="AA183" s="46"/>
      <c r="AB183" s="46"/>
      <c r="AC183" s="46"/>
      <c r="AD183" s="46"/>
      <c r="AE183" s="46"/>
      <c r="AF183" s="46"/>
      <c r="AG183" s="46"/>
      <c r="AH183" s="46"/>
      <c r="AI183" s="46"/>
      <c r="AJ183" s="46"/>
      <c r="AK183" s="46"/>
      <c r="AL183" s="46"/>
      <c r="AM183" s="46"/>
      <c r="AN183" s="14"/>
      <c r="AO183" s="338" t="s">
        <v>34</v>
      </c>
      <c r="AQ183" s="94"/>
      <c r="CA183" s="93"/>
      <c r="CB183" s="93"/>
      <c r="DE183" s="93"/>
      <c r="EM183" s="66"/>
      <c r="EN183" s="93"/>
      <c r="EO183" s="93"/>
      <c r="EP183" s="93"/>
      <c r="EQ183" s="93"/>
      <c r="GT183" s="93"/>
      <c r="KO183" s="93"/>
      <c r="KP183" s="93"/>
      <c r="KQ183" s="93"/>
      <c r="KR183" s="93"/>
      <c r="PV183" s="93"/>
      <c r="PW183" s="93"/>
      <c r="PY183" s="93"/>
      <c r="QM183" s="92"/>
      <c r="QQ183" s="93"/>
      <c r="ST183" s="92"/>
      <c r="AIC183" s="5"/>
      <c r="AJR183" s="5"/>
      <c r="AJS183" s="5"/>
      <c r="AJT183" s="5"/>
    </row>
    <row r="184" spans="6:956" ht="15" customHeight="1" x14ac:dyDescent="0.3">
      <c r="F184" s="60"/>
      <c r="G184" s="99" t="s">
        <v>33</v>
      </c>
      <c r="H184" s="303"/>
      <c r="I184" s="55"/>
      <c r="J184" s="81"/>
      <c r="K184" s="81"/>
      <c r="L184" s="81"/>
      <c r="M184" s="81"/>
      <c r="N184" s="81"/>
      <c r="O184" s="81"/>
      <c r="P184" s="81"/>
      <c r="Q184" s="81"/>
      <c r="R184" s="81"/>
      <c r="S184" s="81"/>
      <c r="T184" s="81"/>
      <c r="U184" s="81"/>
      <c r="V184" s="81"/>
      <c r="W184" s="81"/>
      <c r="X184" s="81"/>
      <c r="Y184" s="81"/>
      <c r="Z184" s="81"/>
      <c r="AA184" s="81"/>
      <c r="AB184" s="81"/>
      <c r="AC184" s="81"/>
      <c r="AD184" s="81"/>
      <c r="AE184" s="81"/>
      <c r="AF184" s="81"/>
      <c r="AG184" s="81"/>
      <c r="AH184" s="81"/>
      <c r="AI184" s="81"/>
      <c r="AJ184" s="81"/>
      <c r="AK184" s="81"/>
      <c r="AL184" s="81"/>
      <c r="AM184" s="81"/>
      <c r="AN184" s="14"/>
      <c r="AO184" s="98" t="s">
        <v>33</v>
      </c>
      <c r="AQ184" s="94"/>
      <c r="CA184" s="93"/>
      <c r="CB184" s="93"/>
      <c r="DE184" s="93"/>
      <c r="EM184" s="66"/>
      <c r="EN184" s="93"/>
      <c r="EO184" s="93"/>
      <c r="EP184" s="93"/>
      <c r="EQ184" s="93"/>
      <c r="GT184" s="93"/>
      <c r="KO184" s="93"/>
      <c r="KP184" s="93"/>
      <c r="KQ184" s="93"/>
      <c r="KR184" s="93"/>
      <c r="PV184" s="93"/>
      <c r="PW184" s="93"/>
      <c r="PY184" s="93"/>
      <c r="QM184" s="92"/>
      <c r="QQ184" s="93"/>
      <c r="ST184" s="92"/>
      <c r="AIC184" s="5"/>
      <c r="AJR184" s="5"/>
      <c r="AJS184" s="5"/>
      <c r="AJT184" s="5"/>
    </row>
    <row r="185" spans="6:956" ht="15" customHeight="1" x14ac:dyDescent="0.3">
      <c r="F185" s="60"/>
      <c r="G185" s="99" t="s">
        <v>166</v>
      </c>
      <c r="H185" s="303"/>
      <c r="I185" s="55" t="s">
        <v>36</v>
      </c>
      <c r="J185" s="81" t="e">
        <f t="shared" ref="J185:AM185" si="90">J178/J167*100</f>
        <v>#DIV/0!</v>
      </c>
      <c r="K185" s="81" t="e">
        <f t="shared" si="90"/>
        <v>#DIV/0!</v>
      </c>
      <c r="L185" s="81" t="e">
        <f t="shared" si="90"/>
        <v>#DIV/0!</v>
      </c>
      <c r="M185" s="81" t="e">
        <f t="shared" si="90"/>
        <v>#DIV/0!</v>
      </c>
      <c r="N185" s="81" t="e">
        <f t="shared" si="90"/>
        <v>#DIV/0!</v>
      </c>
      <c r="O185" s="81" t="e">
        <f t="shared" si="90"/>
        <v>#DIV/0!</v>
      </c>
      <c r="P185" s="81" t="e">
        <f t="shared" si="90"/>
        <v>#DIV/0!</v>
      </c>
      <c r="Q185" s="81" t="e">
        <f t="shared" si="90"/>
        <v>#DIV/0!</v>
      </c>
      <c r="R185" s="81" t="e">
        <f t="shared" si="90"/>
        <v>#DIV/0!</v>
      </c>
      <c r="S185" s="81" t="e">
        <f t="shared" si="90"/>
        <v>#DIV/0!</v>
      </c>
      <c r="T185" s="81" t="e">
        <f t="shared" si="90"/>
        <v>#DIV/0!</v>
      </c>
      <c r="U185" s="81" t="e">
        <f t="shared" si="90"/>
        <v>#DIV/0!</v>
      </c>
      <c r="V185" s="81" t="e">
        <f t="shared" si="90"/>
        <v>#DIV/0!</v>
      </c>
      <c r="W185" s="81" t="e">
        <f t="shared" si="90"/>
        <v>#DIV/0!</v>
      </c>
      <c r="X185" s="81" t="e">
        <f t="shared" si="90"/>
        <v>#DIV/0!</v>
      </c>
      <c r="Y185" s="81" t="e">
        <f t="shared" si="90"/>
        <v>#DIV/0!</v>
      </c>
      <c r="Z185" s="81" t="e">
        <f t="shared" si="90"/>
        <v>#DIV/0!</v>
      </c>
      <c r="AA185" s="81" t="e">
        <f t="shared" si="90"/>
        <v>#DIV/0!</v>
      </c>
      <c r="AB185" s="81" t="e">
        <f t="shared" si="90"/>
        <v>#DIV/0!</v>
      </c>
      <c r="AC185" s="81" t="e">
        <f t="shared" si="90"/>
        <v>#DIV/0!</v>
      </c>
      <c r="AD185" s="81" t="e">
        <f t="shared" si="90"/>
        <v>#DIV/0!</v>
      </c>
      <c r="AE185" s="81" t="e">
        <f t="shared" si="90"/>
        <v>#DIV/0!</v>
      </c>
      <c r="AF185" s="81" t="e">
        <f t="shared" si="90"/>
        <v>#DIV/0!</v>
      </c>
      <c r="AG185" s="81" t="e">
        <f t="shared" si="90"/>
        <v>#DIV/0!</v>
      </c>
      <c r="AH185" s="81" t="e">
        <f t="shared" si="90"/>
        <v>#DIV/0!</v>
      </c>
      <c r="AI185" s="81" t="e">
        <f t="shared" si="90"/>
        <v>#DIV/0!</v>
      </c>
      <c r="AJ185" s="81" t="e">
        <f t="shared" si="90"/>
        <v>#DIV/0!</v>
      </c>
      <c r="AK185" s="81" t="e">
        <f t="shared" si="90"/>
        <v>#DIV/0!</v>
      </c>
      <c r="AL185" s="81" t="e">
        <f t="shared" si="90"/>
        <v>#DIV/0!</v>
      </c>
      <c r="AM185" s="81" t="e">
        <f t="shared" si="90"/>
        <v>#DIV/0!</v>
      </c>
      <c r="AN185" s="14"/>
      <c r="AO185" s="58" t="e">
        <f>SUM(J185:AM185)</f>
        <v>#DIV/0!</v>
      </c>
      <c r="AQ185" s="94"/>
      <c r="CA185" s="93"/>
      <c r="CB185" s="93"/>
      <c r="DE185" s="93"/>
      <c r="EM185" s="66"/>
      <c r="EN185" s="93"/>
      <c r="EO185" s="93"/>
      <c r="EP185" s="93"/>
      <c r="EQ185" s="93"/>
      <c r="GT185" s="93"/>
      <c r="KO185" s="93"/>
      <c r="KP185" s="93"/>
      <c r="KQ185" s="93"/>
      <c r="KR185" s="93"/>
      <c r="PV185" s="93"/>
      <c r="PW185" s="93"/>
      <c r="PY185" s="93"/>
      <c r="QM185" s="92"/>
      <c r="QQ185" s="93"/>
      <c r="ST185" s="92"/>
      <c r="AIC185" s="5"/>
      <c r="AJR185" s="5"/>
      <c r="AJS185" s="5"/>
      <c r="AJT185" s="5"/>
    </row>
    <row r="186" spans="6:956" ht="15" customHeight="1" x14ac:dyDescent="0.3">
      <c r="F186" s="60"/>
      <c r="G186" s="99" t="s">
        <v>32</v>
      </c>
      <c r="H186" s="303"/>
      <c r="I186" s="55"/>
      <c r="J186" s="81"/>
      <c r="K186" s="81"/>
      <c r="L186" s="81"/>
      <c r="M186" s="81"/>
      <c r="N186" s="81"/>
      <c r="O186" s="81"/>
      <c r="P186" s="81"/>
      <c r="Q186" s="81"/>
      <c r="R186" s="81"/>
      <c r="S186" s="81"/>
      <c r="T186" s="81"/>
      <c r="U186" s="81"/>
      <c r="V186" s="81"/>
      <c r="W186" s="81"/>
      <c r="X186" s="81"/>
      <c r="Y186" s="81"/>
      <c r="Z186" s="81"/>
      <c r="AA186" s="81"/>
      <c r="AB186" s="81"/>
      <c r="AC186" s="81"/>
      <c r="AD186" s="81"/>
      <c r="AE186" s="81"/>
      <c r="AF186" s="81"/>
      <c r="AG186" s="81"/>
      <c r="AH186" s="81"/>
      <c r="AI186" s="81"/>
      <c r="AJ186" s="81"/>
      <c r="AK186" s="81"/>
      <c r="AL186" s="81"/>
      <c r="AM186" s="81"/>
      <c r="AN186" s="14"/>
      <c r="AO186" s="98" t="s">
        <v>32</v>
      </c>
      <c r="AQ186" s="94"/>
      <c r="CA186" s="93"/>
      <c r="CB186" s="93"/>
      <c r="DE186" s="93"/>
      <c r="EM186" s="66"/>
      <c r="EN186" s="93"/>
      <c r="EO186" s="93"/>
      <c r="EP186" s="93"/>
      <c r="EQ186" s="93"/>
      <c r="GT186" s="93"/>
      <c r="KO186" s="93"/>
      <c r="KP186" s="93"/>
      <c r="KQ186" s="93"/>
      <c r="KR186" s="93"/>
      <c r="PV186" s="93"/>
      <c r="PW186" s="93"/>
      <c r="PY186" s="93"/>
      <c r="QM186" s="92"/>
      <c r="QQ186" s="93"/>
      <c r="ST186" s="92"/>
      <c r="AIC186" s="5"/>
      <c r="AJR186" s="5"/>
      <c r="AJS186" s="5"/>
      <c r="AJT186" s="5"/>
    </row>
    <row r="187" spans="6:956" ht="15" customHeight="1" x14ac:dyDescent="0.3">
      <c r="F187" s="60"/>
      <c r="G187" s="285" t="s">
        <v>166</v>
      </c>
      <c r="H187" s="330"/>
      <c r="I187" s="168" t="s">
        <v>32</v>
      </c>
      <c r="J187" s="331" t="e">
        <f t="shared" ref="J187:AM187" si="91">J180/J170*100</f>
        <v>#DIV/0!</v>
      </c>
      <c r="K187" s="331" t="e">
        <f t="shared" si="91"/>
        <v>#DIV/0!</v>
      </c>
      <c r="L187" s="331" t="e">
        <f t="shared" si="91"/>
        <v>#DIV/0!</v>
      </c>
      <c r="M187" s="331" t="e">
        <f t="shared" si="91"/>
        <v>#DIV/0!</v>
      </c>
      <c r="N187" s="331" t="e">
        <f t="shared" si="91"/>
        <v>#DIV/0!</v>
      </c>
      <c r="O187" s="331" t="e">
        <f t="shared" si="91"/>
        <v>#DIV/0!</v>
      </c>
      <c r="P187" s="331" t="e">
        <f t="shared" si="91"/>
        <v>#DIV/0!</v>
      </c>
      <c r="Q187" s="331" t="e">
        <f t="shared" si="91"/>
        <v>#DIV/0!</v>
      </c>
      <c r="R187" s="331" t="e">
        <f t="shared" si="91"/>
        <v>#DIV/0!</v>
      </c>
      <c r="S187" s="331" t="e">
        <f t="shared" si="91"/>
        <v>#DIV/0!</v>
      </c>
      <c r="T187" s="331" t="e">
        <f t="shared" si="91"/>
        <v>#DIV/0!</v>
      </c>
      <c r="U187" s="331" t="e">
        <f t="shared" si="91"/>
        <v>#DIV/0!</v>
      </c>
      <c r="V187" s="331" t="e">
        <f t="shared" si="91"/>
        <v>#DIV/0!</v>
      </c>
      <c r="W187" s="331" t="e">
        <f t="shared" si="91"/>
        <v>#DIV/0!</v>
      </c>
      <c r="X187" s="331" t="e">
        <f t="shared" si="91"/>
        <v>#DIV/0!</v>
      </c>
      <c r="Y187" s="331" t="e">
        <f t="shared" si="91"/>
        <v>#DIV/0!</v>
      </c>
      <c r="Z187" s="331" t="e">
        <f t="shared" si="91"/>
        <v>#DIV/0!</v>
      </c>
      <c r="AA187" s="331" t="e">
        <f t="shared" si="91"/>
        <v>#DIV/0!</v>
      </c>
      <c r="AB187" s="331" t="e">
        <f t="shared" si="91"/>
        <v>#DIV/0!</v>
      </c>
      <c r="AC187" s="331" t="e">
        <f t="shared" si="91"/>
        <v>#DIV/0!</v>
      </c>
      <c r="AD187" s="331" t="e">
        <f t="shared" si="91"/>
        <v>#DIV/0!</v>
      </c>
      <c r="AE187" s="331" t="e">
        <f t="shared" si="91"/>
        <v>#DIV/0!</v>
      </c>
      <c r="AF187" s="331" t="e">
        <f t="shared" si="91"/>
        <v>#DIV/0!</v>
      </c>
      <c r="AG187" s="331" t="e">
        <f t="shared" si="91"/>
        <v>#DIV/0!</v>
      </c>
      <c r="AH187" s="331" t="e">
        <f t="shared" si="91"/>
        <v>#DIV/0!</v>
      </c>
      <c r="AI187" s="331" t="e">
        <f t="shared" si="91"/>
        <v>#DIV/0!</v>
      </c>
      <c r="AJ187" s="331" t="e">
        <f t="shared" si="91"/>
        <v>#DIV/0!</v>
      </c>
      <c r="AK187" s="331" t="e">
        <f t="shared" si="91"/>
        <v>#DIV/0!</v>
      </c>
      <c r="AL187" s="331" t="e">
        <f t="shared" si="91"/>
        <v>#DIV/0!</v>
      </c>
      <c r="AM187" s="331" t="e">
        <f t="shared" si="91"/>
        <v>#DIV/0!</v>
      </c>
      <c r="AN187" s="14"/>
      <c r="AO187" s="58" t="e">
        <f>SUM(J187:AM187)</f>
        <v>#DIV/0!</v>
      </c>
      <c r="AQ187" s="94"/>
      <c r="CA187" s="93"/>
      <c r="CB187" s="93"/>
      <c r="DE187" s="93"/>
      <c r="EM187" s="66"/>
      <c r="EN187" s="93"/>
      <c r="EO187" s="93"/>
      <c r="EP187" s="93"/>
      <c r="EQ187" s="93"/>
      <c r="GT187" s="93"/>
      <c r="KO187" s="93"/>
      <c r="KP187" s="93"/>
      <c r="KQ187" s="93"/>
      <c r="KR187" s="93"/>
      <c r="PV187" s="93"/>
      <c r="PW187" s="93"/>
      <c r="PY187" s="93"/>
      <c r="QM187" s="92"/>
      <c r="QQ187" s="93"/>
      <c r="ST187" s="92"/>
      <c r="AIC187" s="5"/>
      <c r="AJR187" s="5"/>
      <c r="AJS187" s="5"/>
      <c r="AJT187" s="5"/>
    </row>
    <row r="188" spans="6:956" ht="15" customHeight="1" x14ac:dyDescent="0.3">
      <c r="F188" s="60"/>
      <c r="G188" s="332" t="s">
        <v>167</v>
      </c>
      <c r="H188" s="333"/>
      <c r="I188" s="334"/>
      <c r="J188" s="335">
        <f t="shared" ref="J188:AK188" si="92">SUM(J174+J146+J126+J100+J73)</f>
        <v>46297.26</v>
      </c>
      <c r="K188" s="335">
        <f t="shared" si="92"/>
        <v>38290.544999999998</v>
      </c>
      <c r="L188" s="335">
        <f t="shared" si="92"/>
        <v>400</v>
      </c>
      <c r="M188" s="335">
        <f t="shared" si="92"/>
        <v>0</v>
      </c>
      <c r="N188" s="335">
        <f t="shared" si="92"/>
        <v>0</v>
      </c>
      <c r="O188" s="335">
        <f t="shared" si="92"/>
        <v>40165.65</v>
      </c>
      <c r="P188" s="335">
        <f t="shared" si="92"/>
        <v>38289.65</v>
      </c>
      <c r="Q188" s="335">
        <f t="shared" si="92"/>
        <v>38289.65</v>
      </c>
      <c r="R188" s="335">
        <f t="shared" si="92"/>
        <v>38286.93</v>
      </c>
      <c r="S188" s="335">
        <f t="shared" si="92"/>
        <v>38288.74</v>
      </c>
      <c r="T188" s="335">
        <f t="shared" si="92"/>
        <v>0</v>
      </c>
      <c r="U188" s="335">
        <f t="shared" si="92"/>
        <v>34458.5</v>
      </c>
      <c r="V188" s="335">
        <f t="shared" si="92"/>
        <v>35553.19</v>
      </c>
      <c r="W188" s="335">
        <f t="shared" si="92"/>
        <v>34799.699999999997</v>
      </c>
      <c r="X188" s="335">
        <f t="shared" si="92"/>
        <v>36708.699999999997</v>
      </c>
      <c r="Y188" s="335">
        <f t="shared" si="92"/>
        <v>24726.13</v>
      </c>
      <c r="Z188" s="335">
        <f t="shared" si="92"/>
        <v>938.3</v>
      </c>
      <c r="AA188" s="335">
        <f t="shared" si="92"/>
        <v>0</v>
      </c>
      <c r="AB188" s="335">
        <f t="shared" si="92"/>
        <v>46417.46</v>
      </c>
      <c r="AC188" s="335">
        <f t="shared" si="92"/>
        <v>38288.74</v>
      </c>
      <c r="AD188" s="335">
        <f t="shared" si="92"/>
        <v>34458.51</v>
      </c>
      <c r="AE188" s="335">
        <f t="shared" si="92"/>
        <v>34460.589999999997</v>
      </c>
      <c r="AF188" s="335">
        <f t="shared" si="92"/>
        <v>36028.399999999994</v>
      </c>
      <c r="AG188" s="335">
        <f t="shared" si="92"/>
        <v>33962.75</v>
      </c>
      <c r="AH188" s="335">
        <f>SUM(AH174+AH146+AH126+AH100+AH73)</f>
        <v>0</v>
      </c>
      <c r="AI188" s="335">
        <f t="shared" si="92"/>
        <v>17328.46</v>
      </c>
      <c r="AJ188" s="336">
        <f t="shared" si="92"/>
        <v>38310</v>
      </c>
      <c r="AK188" s="336">
        <f t="shared" si="92"/>
        <v>38289.65</v>
      </c>
      <c r="AL188" s="336">
        <f>SUM(AL174+AL146+AL126+AL100+AL73)</f>
        <v>30698.52</v>
      </c>
      <c r="AM188" s="336">
        <f>SUM(AM174+AM146+AM126+AM100+AM73)</f>
        <v>0</v>
      </c>
      <c r="AN188" s="14"/>
      <c r="AO188" s="337">
        <f>SUM(J188:AM188)</f>
        <v>793736.02500000002</v>
      </c>
      <c r="AQ188" s="94"/>
      <c r="CA188" s="93"/>
      <c r="CB188" s="93"/>
      <c r="DE188" s="93"/>
      <c r="EM188" s="66"/>
      <c r="EN188" s="93"/>
      <c r="EO188" s="93"/>
      <c r="EP188" s="93"/>
      <c r="EQ188" s="93"/>
      <c r="GT188" s="93"/>
      <c r="KO188" s="93"/>
      <c r="KP188" s="93"/>
      <c r="KQ188" s="93"/>
      <c r="KR188" s="93"/>
      <c r="PV188" s="93"/>
      <c r="PW188" s="93"/>
      <c r="PY188" s="93"/>
      <c r="QM188" s="92"/>
      <c r="QQ188" s="93"/>
      <c r="ST188" s="92"/>
      <c r="AIC188" s="5"/>
      <c r="AJR188" s="5"/>
      <c r="AJS188" s="5"/>
      <c r="AJT188" s="5"/>
    </row>
    <row r="189" spans="6:956" x14ac:dyDescent="0.3">
      <c r="F189" s="47">
        <v>10</v>
      </c>
      <c r="G189" s="26" t="s">
        <v>28</v>
      </c>
      <c r="H189" s="97"/>
      <c r="I189" s="25"/>
      <c r="J189" s="24"/>
      <c r="K189" s="24"/>
      <c r="L189" s="24"/>
      <c r="M189" s="24"/>
      <c r="N189" s="24"/>
      <c r="O189" s="24"/>
      <c r="P189" s="24"/>
      <c r="Q189" s="24"/>
      <c r="R189" s="24"/>
      <c r="S189" s="24"/>
      <c r="T189" s="24"/>
      <c r="U189" s="24"/>
      <c r="V189" s="24"/>
      <c r="W189" s="24"/>
      <c r="X189" s="24"/>
      <c r="Y189" s="24"/>
      <c r="Z189" s="24"/>
      <c r="AA189" s="24"/>
      <c r="AB189" s="24"/>
      <c r="AC189" s="24"/>
      <c r="AD189" s="24"/>
      <c r="AE189" s="24"/>
      <c r="AF189" s="24"/>
      <c r="AG189" s="24"/>
      <c r="AH189" s="24"/>
      <c r="AI189" s="24"/>
      <c r="AJ189" s="24"/>
      <c r="AK189" s="24"/>
      <c r="AL189" s="24"/>
      <c r="AM189" s="24"/>
      <c r="AN189" s="14"/>
      <c r="AO189" s="96" t="s">
        <v>27</v>
      </c>
    </row>
    <row r="190" spans="6:956" x14ac:dyDescent="0.3">
      <c r="F190" s="57"/>
      <c r="G190" s="59" t="s">
        <v>26</v>
      </c>
      <c r="H190" s="305"/>
      <c r="I190" s="55" t="s">
        <v>22</v>
      </c>
      <c r="J190" s="79">
        <v>1316.6</v>
      </c>
      <c r="K190" s="79">
        <v>1454</v>
      </c>
      <c r="L190" s="79">
        <v>1287.5999999999999</v>
      </c>
      <c r="M190" s="79">
        <v>1408</v>
      </c>
      <c r="N190" s="79">
        <v>1394.7</v>
      </c>
      <c r="O190" s="79">
        <v>1446.1</v>
      </c>
      <c r="P190" s="79">
        <v>1273.5</v>
      </c>
      <c r="Q190" s="79">
        <v>1383.5</v>
      </c>
      <c r="R190" s="79">
        <v>1474.5</v>
      </c>
      <c r="S190" s="79">
        <v>1320.9</v>
      </c>
      <c r="T190" s="79">
        <v>1116.8</v>
      </c>
      <c r="U190" s="79">
        <v>1161.2</v>
      </c>
      <c r="V190" s="79">
        <v>1296.9000000000001</v>
      </c>
      <c r="W190" s="79">
        <v>1256.0999999999999</v>
      </c>
      <c r="X190" s="79">
        <v>0</v>
      </c>
      <c r="Y190" s="79">
        <v>118.9</v>
      </c>
      <c r="Z190" s="79">
        <v>253.5</v>
      </c>
      <c r="AA190" s="79">
        <v>0</v>
      </c>
      <c r="AB190" s="79">
        <v>0</v>
      </c>
      <c r="AC190" s="79">
        <v>1159.7</v>
      </c>
      <c r="AD190" s="79">
        <v>1648.2</v>
      </c>
      <c r="AE190" s="79">
        <v>2088.8000000000002</v>
      </c>
      <c r="AF190" s="79">
        <v>1586.3</v>
      </c>
      <c r="AG190" s="79">
        <v>1411.7</v>
      </c>
      <c r="AH190" s="79">
        <v>1507.5</v>
      </c>
      <c r="AI190" s="79">
        <v>1250.2</v>
      </c>
      <c r="AJ190" s="79"/>
      <c r="AK190" s="79">
        <v>1772.4</v>
      </c>
      <c r="AL190" s="79">
        <v>1432.5</v>
      </c>
      <c r="AM190" s="79">
        <v>1555.3</v>
      </c>
      <c r="AO190" s="95">
        <f>SUM(J190:AM190)</f>
        <v>34375.400000000009</v>
      </c>
      <c r="AQ190" s="94"/>
      <c r="CA190" s="93"/>
      <c r="CB190" s="93"/>
      <c r="DE190" s="93"/>
      <c r="EM190" s="66"/>
      <c r="EN190" s="93"/>
      <c r="EO190" s="93"/>
      <c r="EP190" s="93"/>
      <c r="EQ190" s="93"/>
      <c r="GT190" s="93"/>
      <c r="KO190" s="93"/>
      <c r="KP190" s="93"/>
      <c r="KQ190" s="93"/>
      <c r="KR190" s="93"/>
      <c r="PV190" s="93"/>
      <c r="PW190" s="93"/>
      <c r="PY190" s="93"/>
      <c r="QM190" s="92"/>
      <c r="QQ190" s="93"/>
      <c r="ST190" s="92"/>
      <c r="AHD190" s="77"/>
      <c r="AIC190" s="5"/>
      <c r="AJR190" s="5"/>
      <c r="AJS190" s="5"/>
      <c r="AJT190" s="5"/>
    </row>
    <row r="191" spans="6:956" x14ac:dyDescent="0.3">
      <c r="F191" s="17"/>
      <c r="G191" s="18" t="s">
        <v>25</v>
      </c>
      <c r="H191" s="317">
        <v>1269.566</v>
      </c>
      <c r="I191" s="91" t="s">
        <v>22</v>
      </c>
      <c r="J191" s="79">
        <v>1372.7578000000001</v>
      </c>
      <c r="K191" s="79">
        <v>1218.6528000000001</v>
      </c>
      <c r="L191" s="80">
        <v>1335.4239</v>
      </c>
      <c r="M191" s="80">
        <v>1318.3268</v>
      </c>
      <c r="N191" s="80">
        <v>1365.6905999999999</v>
      </c>
      <c r="O191" s="80">
        <v>1219.5708</v>
      </c>
      <c r="P191" s="80">
        <v>1314.5315000000001</v>
      </c>
      <c r="Q191" s="79">
        <v>1412.6876</v>
      </c>
      <c r="R191" s="79">
        <v>1275.1904999999999</v>
      </c>
      <c r="S191" s="79">
        <v>1066.9177999999999</v>
      </c>
      <c r="T191" s="79">
        <v>1092.4670000000001</v>
      </c>
      <c r="U191" s="88">
        <v>1238.0573999999999</v>
      </c>
      <c r="V191" s="79">
        <v>1205.8089</v>
      </c>
      <c r="W191" s="88">
        <v>1154.9477199999999</v>
      </c>
      <c r="X191" s="88">
        <v>754.90809999999999</v>
      </c>
      <c r="Y191" s="90">
        <v>0</v>
      </c>
      <c r="Z191" s="90"/>
      <c r="AA191" s="88">
        <v>0.20419999999999999</v>
      </c>
      <c r="AB191" s="88">
        <v>1079.5968</v>
      </c>
      <c r="AC191" s="88">
        <v>1570.7243000000001</v>
      </c>
      <c r="AD191" s="88">
        <v>2025.8498</v>
      </c>
      <c r="AE191" s="88">
        <v>1548.4857999999999</v>
      </c>
      <c r="AF191" s="88">
        <v>1358.3381999999999</v>
      </c>
      <c r="AG191" s="88">
        <v>1453.3409999999999</v>
      </c>
      <c r="AH191" s="88">
        <v>1206.2050999999999</v>
      </c>
      <c r="AI191" s="88">
        <v>1168.2838999999999</v>
      </c>
      <c r="AJ191" s="88">
        <v>1330.7483999999999</v>
      </c>
      <c r="AK191" s="89">
        <v>1376.1016999999999</v>
      </c>
      <c r="AL191" s="79">
        <v>1482.6931</v>
      </c>
      <c r="AM191" s="88">
        <v>1479.0650000000001</v>
      </c>
      <c r="AO191" s="87">
        <f>SUM(J191:AM191)</f>
        <v>35425.576519999995</v>
      </c>
      <c r="AQ191" s="3">
        <f>AO191/AO28</f>
        <v>1362.5221738461537</v>
      </c>
      <c r="CA191" s="85"/>
      <c r="CB191" s="85"/>
      <c r="DE191" s="85"/>
      <c r="EM191" s="86"/>
      <c r="EN191" s="85"/>
      <c r="EO191" s="85"/>
      <c r="EP191" s="85"/>
      <c r="EQ191" s="85"/>
      <c r="GT191" s="85"/>
      <c r="KO191" s="85"/>
      <c r="KP191" s="85"/>
      <c r="KQ191" s="85"/>
      <c r="KR191" s="85"/>
      <c r="PV191" s="85"/>
      <c r="PW191" s="85"/>
      <c r="PY191" s="85"/>
      <c r="QM191" s="3"/>
      <c r="QQ191" s="85"/>
      <c r="ST191" s="3"/>
      <c r="AIC191" s="85"/>
      <c r="AJR191" s="85"/>
      <c r="AJS191" s="85"/>
      <c r="AJT191" s="85"/>
    </row>
    <row r="192" spans="6:956" x14ac:dyDescent="0.3">
      <c r="F192" s="60"/>
      <c r="G192" s="56" t="s">
        <v>12</v>
      </c>
      <c r="H192" s="305"/>
      <c r="I192" s="60"/>
      <c r="J192" s="79"/>
      <c r="K192" s="84"/>
      <c r="L192" s="84"/>
      <c r="M192" s="15"/>
      <c r="N192" s="84"/>
      <c r="O192" s="83"/>
      <c r="P192" s="83"/>
      <c r="Q192" s="15"/>
      <c r="R192" s="15"/>
      <c r="S192" s="15"/>
      <c r="T192" s="15"/>
      <c r="U192" s="82"/>
      <c r="V192" s="82"/>
      <c r="W192" s="15"/>
      <c r="X192" s="15"/>
      <c r="Y192" s="15"/>
      <c r="Z192" s="15"/>
      <c r="AA192" s="15"/>
      <c r="AB192" s="15"/>
      <c r="AC192" s="15"/>
      <c r="AD192" s="15"/>
      <c r="AE192" s="15"/>
      <c r="AF192" s="15"/>
      <c r="AG192" s="81"/>
      <c r="AH192" s="81"/>
      <c r="AI192" s="81"/>
      <c r="AJ192" s="81"/>
      <c r="AK192" s="81"/>
      <c r="AL192" s="81"/>
      <c r="AM192" s="81"/>
      <c r="AN192" s="14"/>
      <c r="AO192" s="20" t="s">
        <v>12</v>
      </c>
    </row>
    <row r="193" spans="6:956" x14ac:dyDescent="0.3">
      <c r="F193" s="60"/>
      <c r="G193" s="59" t="s">
        <v>24</v>
      </c>
      <c r="H193" s="303">
        <v>253.91319999999999</v>
      </c>
      <c r="I193" s="55" t="s">
        <v>22</v>
      </c>
      <c r="J193" s="79">
        <v>217.01598031048809</v>
      </c>
      <c r="K193" s="79">
        <v>220.37629999999999</v>
      </c>
      <c r="L193" s="79">
        <v>215.70650000000001</v>
      </c>
      <c r="M193" s="79">
        <v>205.4777</v>
      </c>
      <c r="N193" s="79">
        <v>215.4119</v>
      </c>
      <c r="O193" s="79">
        <v>214.59229999999999</v>
      </c>
      <c r="P193" s="79">
        <v>217.9786</v>
      </c>
      <c r="Q193" s="79">
        <v>217.66460000000001</v>
      </c>
      <c r="R193" s="79">
        <v>191.92310000000001</v>
      </c>
      <c r="S193" s="79">
        <v>187.62610000000001</v>
      </c>
      <c r="T193" s="79">
        <v>188.7347</v>
      </c>
      <c r="U193" s="79">
        <v>193.7336</v>
      </c>
      <c r="V193" s="79">
        <v>179.7499</v>
      </c>
      <c r="W193" s="79">
        <v>99.479200000000006</v>
      </c>
      <c r="X193" s="79">
        <v>0</v>
      </c>
      <c r="Y193" s="79">
        <v>0</v>
      </c>
      <c r="Z193" s="79">
        <v>0</v>
      </c>
      <c r="AA193" s="80">
        <v>0</v>
      </c>
      <c r="AB193" s="80">
        <v>198.71449999999999</v>
      </c>
      <c r="AC193" s="80">
        <v>233.77449999999999</v>
      </c>
      <c r="AD193" s="80">
        <v>281.69069999999999</v>
      </c>
      <c r="AE193" s="80">
        <v>306.1995</v>
      </c>
      <c r="AF193" s="79">
        <v>311.42930000000001</v>
      </c>
      <c r="AG193" s="79">
        <v>324.97230000000002</v>
      </c>
      <c r="AH193" s="79">
        <v>235.44640000000001</v>
      </c>
      <c r="AI193" s="79">
        <v>248.2799</v>
      </c>
      <c r="AJ193" s="79">
        <v>271.55200000000002</v>
      </c>
      <c r="AK193" s="79">
        <v>293.19040000000001</v>
      </c>
      <c r="AL193" s="79">
        <v>333.15699999999998</v>
      </c>
      <c r="AM193" s="79">
        <v>332.37020000000001</v>
      </c>
      <c r="AN193" s="14"/>
      <c r="AO193" s="78">
        <f>SUM(J193:AM193)</f>
        <v>6136.24718031049</v>
      </c>
      <c r="AQ193" s="62"/>
      <c r="XX193" s="77"/>
      <c r="AGO193" s="77"/>
    </row>
    <row r="194" spans="6:956" x14ac:dyDescent="0.3">
      <c r="F194" s="60"/>
      <c r="G194" s="59" t="s">
        <v>23</v>
      </c>
      <c r="H194" s="303">
        <v>1015.6528</v>
      </c>
      <c r="I194" s="55" t="s">
        <v>22</v>
      </c>
      <c r="J194" s="79">
        <f>J191-J193</f>
        <v>1155.7418196895119</v>
      </c>
      <c r="K194" s="79">
        <f t="shared" ref="K194:AM194" si="93">K191-K193</f>
        <v>998.27650000000006</v>
      </c>
      <c r="L194" s="79">
        <f t="shared" si="93"/>
        <v>1119.7174</v>
      </c>
      <c r="M194" s="79">
        <f t="shared" si="93"/>
        <v>1112.8491000000001</v>
      </c>
      <c r="N194" s="79">
        <f t="shared" si="93"/>
        <v>1150.2786999999998</v>
      </c>
      <c r="O194" s="79">
        <f t="shared" si="93"/>
        <v>1004.9784999999999</v>
      </c>
      <c r="P194" s="79">
        <f t="shared" si="93"/>
        <v>1096.5529000000001</v>
      </c>
      <c r="Q194" s="79">
        <f t="shared" si="93"/>
        <v>1195.0229999999999</v>
      </c>
      <c r="R194" s="79">
        <f t="shared" si="93"/>
        <v>1083.2674</v>
      </c>
      <c r="S194" s="79">
        <f t="shared" si="93"/>
        <v>879.29169999999999</v>
      </c>
      <c r="T194" s="79">
        <f t="shared" si="93"/>
        <v>903.73230000000012</v>
      </c>
      <c r="U194" s="79">
        <f t="shared" si="93"/>
        <v>1044.3237999999999</v>
      </c>
      <c r="V194" s="79">
        <f t="shared" si="93"/>
        <v>1026.059</v>
      </c>
      <c r="W194" s="79">
        <f t="shared" si="93"/>
        <v>1055.4685199999999</v>
      </c>
      <c r="X194" s="79">
        <f t="shared" si="93"/>
        <v>754.90809999999999</v>
      </c>
      <c r="Y194" s="79">
        <f t="shared" si="93"/>
        <v>0</v>
      </c>
      <c r="Z194" s="79">
        <f t="shared" si="93"/>
        <v>0</v>
      </c>
      <c r="AA194" s="79">
        <f t="shared" si="93"/>
        <v>0.20419999999999999</v>
      </c>
      <c r="AB194" s="79">
        <f t="shared" si="93"/>
        <v>880.88229999999999</v>
      </c>
      <c r="AC194" s="79">
        <f t="shared" si="93"/>
        <v>1336.9498000000001</v>
      </c>
      <c r="AD194" s="79">
        <f t="shared" si="93"/>
        <v>1744.1590999999999</v>
      </c>
      <c r="AE194" s="79">
        <f t="shared" si="93"/>
        <v>1242.2863</v>
      </c>
      <c r="AF194" s="79">
        <f t="shared" si="93"/>
        <v>1046.9088999999999</v>
      </c>
      <c r="AG194" s="79">
        <f t="shared" si="93"/>
        <v>1128.3687</v>
      </c>
      <c r="AH194" s="79">
        <f t="shared" si="93"/>
        <v>970.75869999999986</v>
      </c>
      <c r="AI194" s="79">
        <f t="shared" si="93"/>
        <v>920.00399999999991</v>
      </c>
      <c r="AJ194" s="79">
        <f t="shared" si="93"/>
        <v>1059.1963999999998</v>
      </c>
      <c r="AK194" s="79">
        <f t="shared" si="93"/>
        <v>1082.9113</v>
      </c>
      <c r="AL194" s="79">
        <f t="shared" si="93"/>
        <v>1149.5361</v>
      </c>
      <c r="AM194" s="79">
        <f t="shared" si="93"/>
        <v>1146.6948</v>
      </c>
      <c r="AN194" s="14"/>
      <c r="AO194" s="78">
        <f>SUM(J194:AM194)</f>
        <v>29289.32933968951</v>
      </c>
      <c r="XW194" s="77"/>
    </row>
    <row r="195" spans="6:956" x14ac:dyDescent="0.3">
      <c r="F195" s="76"/>
      <c r="G195" s="75" t="s">
        <v>1</v>
      </c>
      <c r="H195" s="318">
        <f>SUM(H193:H194)</f>
        <v>1269.566</v>
      </c>
      <c r="I195" s="74" t="s">
        <v>22</v>
      </c>
      <c r="J195" s="73">
        <f t="shared" ref="J195:AM195" si="94">J191</f>
        <v>1372.7578000000001</v>
      </c>
      <c r="K195" s="73">
        <f t="shared" si="94"/>
        <v>1218.6528000000001</v>
      </c>
      <c r="L195" s="73">
        <f t="shared" si="94"/>
        <v>1335.4239</v>
      </c>
      <c r="M195" s="73">
        <f t="shared" si="94"/>
        <v>1318.3268</v>
      </c>
      <c r="N195" s="73">
        <f t="shared" si="94"/>
        <v>1365.6905999999999</v>
      </c>
      <c r="O195" s="73">
        <f t="shared" si="94"/>
        <v>1219.5708</v>
      </c>
      <c r="P195" s="73">
        <f t="shared" si="94"/>
        <v>1314.5315000000001</v>
      </c>
      <c r="Q195" s="73">
        <f t="shared" si="94"/>
        <v>1412.6876</v>
      </c>
      <c r="R195" s="73">
        <f t="shared" si="94"/>
        <v>1275.1904999999999</v>
      </c>
      <c r="S195" s="73">
        <f t="shared" si="94"/>
        <v>1066.9177999999999</v>
      </c>
      <c r="T195" s="73">
        <f t="shared" si="94"/>
        <v>1092.4670000000001</v>
      </c>
      <c r="U195" s="73">
        <f t="shared" si="94"/>
        <v>1238.0573999999999</v>
      </c>
      <c r="V195" s="73">
        <f t="shared" si="94"/>
        <v>1205.8089</v>
      </c>
      <c r="W195" s="73">
        <f t="shared" si="94"/>
        <v>1154.9477199999999</v>
      </c>
      <c r="X195" s="73">
        <f t="shared" si="94"/>
        <v>754.90809999999999</v>
      </c>
      <c r="Y195" s="73">
        <f t="shared" si="94"/>
        <v>0</v>
      </c>
      <c r="Z195" s="73">
        <f t="shared" si="94"/>
        <v>0</v>
      </c>
      <c r="AA195" s="73">
        <f t="shared" si="94"/>
        <v>0.20419999999999999</v>
      </c>
      <c r="AB195" s="73">
        <f t="shared" si="94"/>
        <v>1079.5968</v>
      </c>
      <c r="AC195" s="73">
        <f t="shared" si="94"/>
        <v>1570.7243000000001</v>
      </c>
      <c r="AD195" s="73">
        <f t="shared" si="94"/>
        <v>2025.8498</v>
      </c>
      <c r="AE195" s="73">
        <f t="shared" si="94"/>
        <v>1548.4857999999999</v>
      </c>
      <c r="AF195" s="73">
        <f t="shared" si="94"/>
        <v>1358.3381999999999</v>
      </c>
      <c r="AG195" s="73">
        <f t="shared" si="94"/>
        <v>1453.3409999999999</v>
      </c>
      <c r="AH195" s="73">
        <f t="shared" si="94"/>
        <v>1206.2050999999999</v>
      </c>
      <c r="AI195" s="73">
        <f t="shared" si="94"/>
        <v>1168.2838999999999</v>
      </c>
      <c r="AJ195" s="73">
        <f t="shared" si="94"/>
        <v>1330.7483999999999</v>
      </c>
      <c r="AK195" s="73">
        <f t="shared" si="94"/>
        <v>1376.1016999999999</v>
      </c>
      <c r="AL195" s="73">
        <f t="shared" si="94"/>
        <v>1482.6931</v>
      </c>
      <c r="AM195" s="73">
        <f t="shared" si="94"/>
        <v>1479.0650000000001</v>
      </c>
      <c r="AN195" s="53"/>
      <c r="AO195" s="72">
        <f>SUM(AO193:AO194)</f>
        <v>35425.576520000002</v>
      </c>
      <c r="AQ195" s="51"/>
      <c r="CA195" s="48"/>
      <c r="CB195" s="48"/>
      <c r="DE195" s="48"/>
      <c r="EM195" s="50"/>
      <c r="EN195" s="48"/>
      <c r="EO195" s="48"/>
      <c r="EP195" s="48"/>
      <c r="EQ195" s="48"/>
      <c r="GT195" s="48"/>
      <c r="KO195" s="48"/>
      <c r="KP195" s="48"/>
      <c r="KQ195" s="48"/>
      <c r="KR195" s="48"/>
      <c r="PV195" s="48"/>
      <c r="PW195" s="48"/>
      <c r="PY195" s="48"/>
      <c r="QM195" s="49"/>
      <c r="QQ195" s="48"/>
      <c r="ST195" s="49"/>
      <c r="AIC195" s="48"/>
      <c r="AJR195" s="48"/>
      <c r="AJS195" s="48"/>
      <c r="AJT195" s="48"/>
    </row>
    <row r="196" spans="6:956" x14ac:dyDescent="0.3">
      <c r="F196" s="57">
        <v>11</v>
      </c>
      <c r="G196" s="71" t="s">
        <v>21</v>
      </c>
      <c r="H196" s="70"/>
      <c r="I196" s="70"/>
      <c r="J196" s="69"/>
      <c r="K196" s="69"/>
      <c r="L196" s="69"/>
      <c r="M196" s="69"/>
      <c r="N196" s="69"/>
      <c r="O196" s="69"/>
      <c r="P196" s="69"/>
      <c r="Q196" s="69"/>
      <c r="R196" s="69"/>
      <c r="S196" s="69"/>
      <c r="T196" s="69"/>
      <c r="U196" s="69"/>
      <c r="V196" s="69"/>
      <c r="W196" s="69"/>
      <c r="X196" s="69"/>
      <c r="Y196" s="69"/>
      <c r="Z196" s="69"/>
      <c r="AA196" s="69"/>
      <c r="AB196" s="69"/>
      <c r="AC196" s="69"/>
      <c r="AD196" s="69"/>
      <c r="AE196" s="69"/>
      <c r="AF196" s="69"/>
      <c r="AG196" s="69"/>
      <c r="AH196" s="69"/>
      <c r="AI196" s="69"/>
      <c r="AJ196" s="69"/>
      <c r="AK196" s="69"/>
      <c r="AL196" s="69"/>
      <c r="AM196" s="69"/>
      <c r="AN196" s="53"/>
      <c r="AO196" s="45" t="s">
        <v>20</v>
      </c>
      <c r="AQ196" s="51"/>
      <c r="CA196" s="48"/>
      <c r="CB196" s="48"/>
      <c r="DE196" s="48"/>
      <c r="EM196" s="50"/>
      <c r="EN196" s="48"/>
      <c r="EO196" s="48"/>
      <c r="EP196" s="48"/>
      <c r="EQ196" s="48"/>
      <c r="GT196" s="48"/>
      <c r="KO196" s="48"/>
      <c r="KP196" s="48"/>
      <c r="KQ196" s="48"/>
      <c r="KR196" s="48"/>
      <c r="PV196" s="48"/>
      <c r="PW196" s="48"/>
      <c r="PY196" s="48"/>
      <c r="QM196" s="49"/>
      <c r="QQ196" s="48"/>
      <c r="ST196" s="49"/>
      <c r="AIC196" s="48"/>
      <c r="AJR196" s="48"/>
      <c r="AJS196" s="48"/>
      <c r="AJT196" s="48"/>
    </row>
    <row r="197" spans="6:956" x14ac:dyDescent="0.3">
      <c r="F197" s="60"/>
      <c r="G197" s="59" t="s">
        <v>4</v>
      </c>
      <c r="H197" s="301">
        <f>17000*24</f>
        <v>408000</v>
      </c>
      <c r="I197" s="55" t="s">
        <v>16</v>
      </c>
      <c r="J197" s="61">
        <v>315090</v>
      </c>
      <c r="K197" s="61">
        <v>268711</v>
      </c>
      <c r="L197" s="61">
        <v>227565</v>
      </c>
      <c r="M197" s="61">
        <v>309538</v>
      </c>
      <c r="N197" s="61">
        <v>318769</v>
      </c>
      <c r="O197" s="61">
        <v>285273</v>
      </c>
      <c r="P197" s="61">
        <v>304685</v>
      </c>
      <c r="Q197" s="61">
        <v>341072</v>
      </c>
      <c r="R197" s="15">
        <v>307498</v>
      </c>
      <c r="S197" s="15">
        <v>226173</v>
      </c>
      <c r="T197" s="68">
        <v>244277</v>
      </c>
      <c r="U197" s="15">
        <v>297327</v>
      </c>
      <c r="V197" s="15">
        <v>271473</v>
      </c>
      <c r="W197" s="15">
        <v>27924</v>
      </c>
      <c r="X197" s="15">
        <v>172183</v>
      </c>
      <c r="Y197" s="15">
        <v>0</v>
      </c>
      <c r="Z197" s="15">
        <v>0</v>
      </c>
      <c r="AA197" s="15">
        <v>24773</v>
      </c>
      <c r="AB197" s="15">
        <v>183323</v>
      </c>
      <c r="AC197" s="15">
        <v>281441</v>
      </c>
      <c r="AD197" s="15">
        <v>231571</v>
      </c>
      <c r="AE197" s="15">
        <f>67936+184817</f>
        <v>252753</v>
      </c>
      <c r="AF197" s="15">
        <v>301000</v>
      </c>
      <c r="AG197" s="15">
        <v>324070</v>
      </c>
      <c r="AH197" s="15">
        <v>266930</v>
      </c>
      <c r="AI197" s="15">
        <v>259676</v>
      </c>
      <c r="AJ197" s="15">
        <v>305445</v>
      </c>
      <c r="AK197" s="15">
        <v>314800</v>
      </c>
      <c r="AL197" s="15">
        <v>336530</v>
      </c>
      <c r="AM197" s="15">
        <v>342009</v>
      </c>
      <c r="AN197" s="14"/>
      <c r="AO197" s="58">
        <f>SUM(J197:AM197)</f>
        <v>7341879</v>
      </c>
      <c r="AP197" s="67"/>
      <c r="AQ197" s="12">
        <f>AO197/AO28</f>
        <v>282379.96153846156</v>
      </c>
      <c r="CA197" s="5"/>
      <c r="CB197" s="5"/>
      <c r="DE197" s="5"/>
      <c r="EM197" s="66"/>
      <c r="EN197" s="5"/>
      <c r="EO197" s="5"/>
      <c r="EP197" s="5"/>
      <c r="EQ197" s="5"/>
      <c r="GT197" s="5"/>
      <c r="KO197" s="5"/>
      <c r="KP197" s="5"/>
      <c r="KQ197" s="5"/>
      <c r="KR197" s="5"/>
      <c r="PV197" s="5"/>
      <c r="PW197" s="5"/>
      <c r="PY197" s="5"/>
      <c r="QM197" s="62"/>
      <c r="QQ197" s="5"/>
      <c r="ST197" s="62"/>
      <c r="AIC197" s="5"/>
      <c r="AJR197" s="5"/>
      <c r="AJS197" s="5"/>
      <c r="AJT197" s="5"/>
    </row>
    <row r="198" spans="6:956" x14ac:dyDescent="0.3">
      <c r="F198" s="57"/>
      <c r="G198" s="65" t="s">
        <v>19</v>
      </c>
      <c r="H198" s="316"/>
      <c r="I198" s="57"/>
      <c r="J198" s="54"/>
      <c r="K198" s="54"/>
      <c r="L198" s="54"/>
      <c r="M198" s="54"/>
      <c r="N198" s="54"/>
      <c r="O198" s="54"/>
      <c r="P198" s="54"/>
      <c r="Q198" s="54"/>
      <c r="R198" s="54"/>
      <c r="S198" s="54"/>
      <c r="T198" s="54"/>
      <c r="U198" s="54"/>
      <c r="V198" s="54"/>
      <c r="W198" s="54"/>
      <c r="X198" s="54"/>
      <c r="Y198" s="54"/>
      <c r="Z198" s="54"/>
      <c r="AA198" s="54"/>
      <c r="AB198" s="54"/>
      <c r="AC198" s="54"/>
      <c r="AD198" s="54"/>
      <c r="AE198" s="54"/>
      <c r="AF198" s="54"/>
      <c r="AG198" s="54"/>
      <c r="AH198" s="54"/>
      <c r="AI198" s="54"/>
      <c r="AJ198" s="54"/>
      <c r="AK198" s="54"/>
      <c r="AL198" s="54"/>
      <c r="AM198" s="54"/>
      <c r="AN198" s="53"/>
      <c r="AO198" s="64" t="s">
        <v>19</v>
      </c>
      <c r="AP198" s="63"/>
      <c r="AQ198" s="51">
        <f>AQ197/24</f>
        <v>11765.831730769232</v>
      </c>
      <c r="CA198" s="48"/>
      <c r="CB198" s="48"/>
      <c r="DE198" s="48"/>
      <c r="EM198" s="50"/>
      <c r="EN198" s="48"/>
      <c r="EO198" s="48"/>
      <c r="EP198" s="48"/>
      <c r="EQ198" s="48"/>
      <c r="GT198" s="48"/>
      <c r="KO198" s="48"/>
      <c r="KP198" s="48"/>
      <c r="KQ198" s="48"/>
      <c r="KR198" s="48"/>
      <c r="PV198" s="48"/>
      <c r="PW198" s="48"/>
      <c r="PY198" s="48"/>
      <c r="QM198" s="49"/>
      <c r="QQ198" s="48"/>
      <c r="ST198" s="49"/>
      <c r="AIC198" s="48"/>
      <c r="AJR198" s="48"/>
      <c r="AJS198" s="48"/>
      <c r="AJT198" s="48"/>
    </row>
    <row r="199" spans="6:956" x14ac:dyDescent="0.3">
      <c r="F199" s="60"/>
      <c r="G199" s="59" t="s">
        <v>18</v>
      </c>
      <c r="H199" s="301">
        <v>180000</v>
      </c>
      <c r="I199" s="55" t="s">
        <v>16</v>
      </c>
      <c r="J199" s="61">
        <v>158500</v>
      </c>
      <c r="K199" s="61">
        <v>159400</v>
      </c>
      <c r="L199" s="61">
        <v>156700</v>
      </c>
      <c r="M199" s="61">
        <v>146900</v>
      </c>
      <c r="N199" s="61">
        <v>146300</v>
      </c>
      <c r="O199" s="61">
        <v>144800</v>
      </c>
      <c r="P199" s="319">
        <v>101.57</v>
      </c>
      <c r="Q199" s="61">
        <v>146400</v>
      </c>
      <c r="R199" s="61">
        <v>142000</v>
      </c>
      <c r="S199" s="15">
        <v>141000</v>
      </c>
      <c r="T199" s="15">
        <v>147600</v>
      </c>
      <c r="U199" s="15">
        <v>143200</v>
      </c>
      <c r="V199" s="15">
        <v>145100</v>
      </c>
      <c r="W199" s="15">
        <v>139600</v>
      </c>
      <c r="X199" s="15">
        <v>0</v>
      </c>
      <c r="Y199" s="15"/>
      <c r="Z199" s="15"/>
      <c r="AA199" s="15"/>
      <c r="AB199" s="15">
        <v>154100</v>
      </c>
      <c r="AC199" s="15">
        <v>157200</v>
      </c>
      <c r="AD199" s="15">
        <v>154200</v>
      </c>
      <c r="AE199" s="15">
        <v>145500</v>
      </c>
      <c r="AF199" s="15">
        <v>145800</v>
      </c>
      <c r="AG199" s="15">
        <v>144000</v>
      </c>
      <c r="AH199" s="15">
        <v>144000</v>
      </c>
      <c r="AI199" s="15">
        <v>143700</v>
      </c>
      <c r="AJ199" s="15">
        <v>144100</v>
      </c>
      <c r="AK199" s="15">
        <v>138300</v>
      </c>
      <c r="AL199" s="15">
        <v>149800</v>
      </c>
      <c r="AM199" s="15">
        <v>148000</v>
      </c>
      <c r="AN199" s="14"/>
      <c r="AO199" s="58">
        <f>SUM(J199:AM199)</f>
        <v>3686301.57</v>
      </c>
      <c r="AP199" s="62"/>
      <c r="AQ199" s="62">
        <f>AQ198/1000</f>
        <v>11.765831730769232</v>
      </c>
    </row>
    <row r="200" spans="6:956" x14ac:dyDescent="0.3">
      <c r="F200" s="60"/>
      <c r="G200" s="59" t="s">
        <v>17</v>
      </c>
      <c r="H200" s="301">
        <v>122000</v>
      </c>
      <c r="I200" s="55" t="s">
        <v>16</v>
      </c>
      <c r="J200" s="61">
        <v>81000</v>
      </c>
      <c r="K200" s="61">
        <v>62000</v>
      </c>
      <c r="L200" s="61">
        <v>96900</v>
      </c>
      <c r="M200" s="61">
        <v>98900</v>
      </c>
      <c r="N200" s="61">
        <v>101600</v>
      </c>
      <c r="O200" s="61">
        <v>53100</v>
      </c>
      <c r="P200" s="61">
        <v>95500</v>
      </c>
      <c r="Q200" s="61">
        <v>100500</v>
      </c>
      <c r="R200" s="61">
        <v>56600</v>
      </c>
      <c r="S200" s="15">
        <v>51000</v>
      </c>
      <c r="T200" s="15">
        <v>52000</v>
      </c>
      <c r="U200" s="15">
        <v>53000</v>
      </c>
      <c r="V200" s="15">
        <v>52900</v>
      </c>
      <c r="W200" s="15">
        <v>89700</v>
      </c>
      <c r="X200" s="15">
        <v>41200</v>
      </c>
      <c r="Y200" s="15"/>
      <c r="Z200" s="15"/>
      <c r="AA200" s="15"/>
      <c r="AB200" s="15">
        <v>48000</v>
      </c>
      <c r="AC200" s="15">
        <v>79700</v>
      </c>
      <c r="AD200" s="15">
        <v>91500</v>
      </c>
      <c r="AE200" s="15">
        <v>79300</v>
      </c>
      <c r="AF200" s="15">
        <v>88700</v>
      </c>
      <c r="AG200" s="15">
        <v>82600</v>
      </c>
      <c r="AH200" s="15">
        <v>82600</v>
      </c>
      <c r="AI200" s="15">
        <v>53800</v>
      </c>
      <c r="AJ200" s="15">
        <v>53800</v>
      </c>
      <c r="AK200" s="15">
        <v>99300</v>
      </c>
      <c r="AL200" s="15">
        <v>102200</v>
      </c>
      <c r="AM200" s="15">
        <v>104500</v>
      </c>
      <c r="AN200" s="14"/>
      <c r="AO200" s="58">
        <f>SUM(J200:AM200)</f>
        <v>2051900</v>
      </c>
    </row>
    <row r="201" spans="6:956" x14ac:dyDescent="0.3">
      <c r="F201" s="60"/>
      <c r="G201" s="59" t="s">
        <v>8</v>
      </c>
      <c r="H201" s="301">
        <f>H197-H199-H200</f>
        <v>106000</v>
      </c>
      <c r="I201" s="55" t="s">
        <v>16</v>
      </c>
      <c r="J201" s="15">
        <f t="shared" ref="J201:AM201" si="95">J197-J199-J200</f>
        <v>75590</v>
      </c>
      <c r="K201" s="15">
        <f t="shared" si="95"/>
        <v>47311</v>
      </c>
      <c r="L201" s="15">
        <f t="shared" si="95"/>
        <v>-26035</v>
      </c>
      <c r="M201" s="15">
        <f t="shared" si="95"/>
        <v>63738</v>
      </c>
      <c r="N201" s="15">
        <f t="shared" si="95"/>
        <v>70869</v>
      </c>
      <c r="O201" s="15">
        <f t="shared" si="95"/>
        <v>87373</v>
      </c>
      <c r="P201" s="15">
        <f t="shared" si="95"/>
        <v>209083.43</v>
      </c>
      <c r="Q201" s="15">
        <f t="shared" si="95"/>
        <v>94172</v>
      </c>
      <c r="R201" s="15">
        <f t="shared" si="95"/>
        <v>108898</v>
      </c>
      <c r="S201" s="15">
        <f t="shared" si="95"/>
        <v>34173</v>
      </c>
      <c r="T201" s="15">
        <f t="shared" si="95"/>
        <v>44677</v>
      </c>
      <c r="U201" s="15">
        <f t="shared" si="95"/>
        <v>101127</v>
      </c>
      <c r="V201" s="15">
        <f t="shared" si="95"/>
        <v>73473</v>
      </c>
      <c r="W201" s="15">
        <f t="shared" si="95"/>
        <v>-201376</v>
      </c>
      <c r="X201" s="15">
        <f t="shared" si="95"/>
        <v>130983</v>
      </c>
      <c r="Y201" s="15">
        <f t="shared" si="95"/>
        <v>0</v>
      </c>
      <c r="Z201" s="15">
        <f t="shared" si="95"/>
        <v>0</v>
      </c>
      <c r="AA201" s="15">
        <f t="shared" si="95"/>
        <v>24773</v>
      </c>
      <c r="AB201" s="15">
        <f t="shared" si="95"/>
        <v>-18777</v>
      </c>
      <c r="AC201" s="15">
        <f t="shared" si="95"/>
        <v>44541</v>
      </c>
      <c r="AD201" s="15">
        <f t="shared" si="95"/>
        <v>-14129</v>
      </c>
      <c r="AE201" s="15">
        <f t="shared" si="95"/>
        <v>27953</v>
      </c>
      <c r="AF201" s="15">
        <f t="shared" si="95"/>
        <v>66500</v>
      </c>
      <c r="AG201" s="15">
        <f t="shared" si="95"/>
        <v>97470</v>
      </c>
      <c r="AH201" s="15">
        <f t="shared" si="95"/>
        <v>40330</v>
      </c>
      <c r="AI201" s="15">
        <f t="shared" si="95"/>
        <v>62176</v>
      </c>
      <c r="AJ201" s="15">
        <f t="shared" si="95"/>
        <v>107545</v>
      </c>
      <c r="AK201" s="15">
        <f t="shared" si="95"/>
        <v>77200</v>
      </c>
      <c r="AL201" s="15">
        <f t="shared" si="95"/>
        <v>84530</v>
      </c>
      <c r="AM201" s="15">
        <f t="shared" si="95"/>
        <v>89509</v>
      </c>
      <c r="AN201" s="14"/>
      <c r="AO201" s="58">
        <f>SUM(J201:AM201)</f>
        <v>1603677.43</v>
      </c>
    </row>
    <row r="202" spans="6:956" x14ac:dyDescent="0.3">
      <c r="F202" s="57"/>
      <c r="G202" s="56" t="s">
        <v>1</v>
      </c>
      <c r="H202" s="320">
        <f>SUM(H199:H201)</f>
        <v>408000</v>
      </c>
      <c r="I202" s="55" t="s">
        <v>16</v>
      </c>
      <c r="J202" s="54">
        <f t="shared" ref="J202:AM202" si="96">SUM(J199:J201)</f>
        <v>315090</v>
      </c>
      <c r="K202" s="54">
        <f t="shared" si="96"/>
        <v>268711</v>
      </c>
      <c r="L202" s="54">
        <f t="shared" si="96"/>
        <v>227565</v>
      </c>
      <c r="M202" s="54">
        <f t="shared" si="96"/>
        <v>309538</v>
      </c>
      <c r="N202" s="54">
        <f t="shared" si="96"/>
        <v>318769</v>
      </c>
      <c r="O202" s="54">
        <f t="shared" si="96"/>
        <v>285273</v>
      </c>
      <c r="P202" s="54">
        <f t="shared" si="96"/>
        <v>304685</v>
      </c>
      <c r="Q202" s="54">
        <f t="shared" si="96"/>
        <v>341072</v>
      </c>
      <c r="R202" s="54">
        <f t="shared" si="96"/>
        <v>307498</v>
      </c>
      <c r="S202" s="54">
        <f t="shared" si="96"/>
        <v>226173</v>
      </c>
      <c r="T202" s="54">
        <f t="shared" si="96"/>
        <v>244277</v>
      </c>
      <c r="U202" s="54">
        <f t="shared" si="96"/>
        <v>297327</v>
      </c>
      <c r="V202" s="54">
        <f t="shared" si="96"/>
        <v>271473</v>
      </c>
      <c r="W202" s="54">
        <f t="shared" si="96"/>
        <v>27924</v>
      </c>
      <c r="X202" s="54">
        <f t="shared" si="96"/>
        <v>172183</v>
      </c>
      <c r="Y202" s="54">
        <f t="shared" si="96"/>
        <v>0</v>
      </c>
      <c r="Z202" s="54">
        <f t="shared" si="96"/>
        <v>0</v>
      </c>
      <c r="AA202" s="54">
        <f t="shared" si="96"/>
        <v>24773</v>
      </c>
      <c r="AB202" s="54">
        <f t="shared" si="96"/>
        <v>183323</v>
      </c>
      <c r="AC202" s="54">
        <f t="shared" si="96"/>
        <v>281441</v>
      </c>
      <c r="AD202" s="54">
        <f t="shared" si="96"/>
        <v>231571</v>
      </c>
      <c r="AE202" s="54">
        <f t="shared" si="96"/>
        <v>252753</v>
      </c>
      <c r="AF202" s="54">
        <f t="shared" si="96"/>
        <v>301000</v>
      </c>
      <c r="AG202" s="54">
        <f t="shared" si="96"/>
        <v>324070</v>
      </c>
      <c r="AH202" s="54">
        <f t="shared" si="96"/>
        <v>266930</v>
      </c>
      <c r="AI202" s="54">
        <f t="shared" si="96"/>
        <v>259676</v>
      </c>
      <c r="AJ202" s="54">
        <f t="shared" si="96"/>
        <v>305445</v>
      </c>
      <c r="AK202" s="54">
        <f t="shared" si="96"/>
        <v>314800</v>
      </c>
      <c r="AL202" s="54">
        <f t="shared" si="96"/>
        <v>336530</v>
      </c>
      <c r="AM202" s="54">
        <f t="shared" si="96"/>
        <v>342009</v>
      </c>
      <c r="AN202" s="53"/>
      <c r="AO202" s="52">
        <f>SUM(AO199:AO201)</f>
        <v>7341879</v>
      </c>
      <c r="AQ202" s="51"/>
      <c r="CA202" s="48"/>
      <c r="CB202" s="48"/>
      <c r="DE202" s="48"/>
      <c r="EM202" s="50"/>
      <c r="EN202" s="48"/>
      <c r="EO202" s="48"/>
      <c r="EP202" s="48"/>
      <c r="EQ202" s="48"/>
      <c r="GT202" s="48"/>
      <c r="KO202" s="48"/>
      <c r="KP202" s="48"/>
      <c r="KQ202" s="48"/>
      <c r="KR202" s="48"/>
      <c r="PV202" s="48"/>
      <c r="PW202" s="48"/>
      <c r="PY202" s="48"/>
      <c r="QM202" s="49"/>
      <c r="QQ202" s="48"/>
      <c r="ST202" s="49"/>
      <c r="AIC202" s="48"/>
      <c r="AJR202" s="48"/>
      <c r="AJS202" s="48"/>
      <c r="AJT202" s="48"/>
    </row>
    <row r="203" spans="6:956" x14ac:dyDescent="0.3">
      <c r="F203" s="47">
        <v>12</v>
      </c>
      <c r="G203" s="26" t="s">
        <v>15</v>
      </c>
      <c r="H203" s="25"/>
      <c r="I203" s="25"/>
      <c r="J203" s="24"/>
      <c r="K203" s="24"/>
      <c r="L203" s="24"/>
      <c r="M203" s="24"/>
      <c r="N203" s="24"/>
      <c r="O203" s="24"/>
      <c r="P203" s="24"/>
      <c r="Q203" s="24"/>
      <c r="R203" s="24"/>
      <c r="S203" s="24"/>
      <c r="T203" s="24"/>
      <c r="U203" s="24"/>
      <c r="V203" s="24"/>
      <c r="W203" s="24"/>
      <c r="X203" s="24"/>
      <c r="Y203" s="24"/>
      <c r="Z203" s="24"/>
      <c r="AA203" s="24"/>
      <c r="AB203" s="24"/>
      <c r="AC203" s="24"/>
      <c r="AD203" s="24"/>
      <c r="AE203" s="24"/>
      <c r="AF203" s="24"/>
      <c r="AG203" s="46"/>
      <c r="AH203" s="46"/>
      <c r="AI203" s="46"/>
      <c r="AJ203" s="46"/>
      <c r="AK203" s="46"/>
      <c r="AL203" s="46"/>
      <c r="AM203" s="46"/>
      <c r="AN203" s="14"/>
      <c r="AO203" s="45" t="s">
        <v>14</v>
      </c>
    </row>
    <row r="204" spans="6:956" ht="16.2" x14ac:dyDescent="0.3">
      <c r="F204" s="36"/>
      <c r="G204" s="35" t="s">
        <v>13</v>
      </c>
      <c r="H204" s="321">
        <v>670</v>
      </c>
      <c r="I204" s="34" t="s">
        <v>163</v>
      </c>
      <c r="J204" s="33">
        <v>676.76099999999997</v>
      </c>
      <c r="K204" s="33">
        <v>613</v>
      </c>
      <c r="L204" s="33">
        <v>726</v>
      </c>
      <c r="M204" s="33">
        <v>774</v>
      </c>
      <c r="N204" s="33">
        <v>713</v>
      </c>
      <c r="O204" s="33">
        <v>723</v>
      </c>
      <c r="P204" s="33">
        <v>861</v>
      </c>
      <c r="Q204" s="33">
        <v>678</v>
      </c>
      <c r="R204" s="33">
        <v>640</v>
      </c>
      <c r="S204" s="44">
        <v>378</v>
      </c>
      <c r="T204" s="44">
        <v>707</v>
      </c>
      <c r="U204" s="33">
        <v>726</v>
      </c>
      <c r="V204" s="33">
        <v>889</v>
      </c>
      <c r="W204" s="33">
        <v>572</v>
      </c>
      <c r="X204" s="44">
        <v>396</v>
      </c>
      <c r="Y204" s="44"/>
      <c r="Z204" s="44">
        <v>207</v>
      </c>
      <c r="AA204" s="44">
        <v>125</v>
      </c>
      <c r="AB204" s="44">
        <v>771</v>
      </c>
      <c r="AC204" s="44">
        <v>790</v>
      </c>
      <c r="AD204" s="44">
        <v>598</v>
      </c>
      <c r="AE204" s="44">
        <v>662</v>
      </c>
      <c r="AF204" s="33">
        <v>602</v>
      </c>
      <c r="AG204" s="33">
        <v>734</v>
      </c>
      <c r="AH204" s="33">
        <v>543</v>
      </c>
      <c r="AI204" s="44">
        <v>636</v>
      </c>
      <c r="AJ204" s="33">
        <v>686</v>
      </c>
      <c r="AK204" s="44">
        <v>796</v>
      </c>
      <c r="AL204" s="44">
        <v>927</v>
      </c>
      <c r="AM204" s="44">
        <v>668</v>
      </c>
      <c r="AO204" s="43">
        <f>SUM(J204:AM204)</f>
        <v>18817.760999999999</v>
      </c>
      <c r="AQ204" s="31">
        <f>AO204/AO28</f>
        <v>723.76003846153844</v>
      </c>
      <c r="CA204" s="28"/>
      <c r="CB204" s="28"/>
      <c r="DE204" s="28"/>
      <c r="EM204" s="30"/>
      <c r="EN204" s="28"/>
      <c r="EO204" s="28"/>
      <c r="EP204" s="28"/>
      <c r="EQ204" s="28"/>
      <c r="GT204" s="28"/>
      <c r="KO204" s="28"/>
      <c r="KP204" s="28"/>
      <c r="KQ204" s="28"/>
      <c r="KR204" s="28"/>
      <c r="PV204" s="28"/>
      <c r="PW204" s="28"/>
      <c r="PY204" s="28"/>
      <c r="QM204" s="29"/>
      <c r="QQ204" s="28"/>
      <c r="ST204" s="29"/>
      <c r="AIC204" s="28"/>
      <c r="AJR204" s="28"/>
      <c r="AJS204" s="28"/>
      <c r="AJT204" s="28"/>
    </row>
    <row r="205" spans="6:956" x14ac:dyDescent="0.3">
      <c r="F205" s="36"/>
      <c r="G205" s="42" t="s">
        <v>12</v>
      </c>
      <c r="H205" s="298"/>
      <c r="I205" s="36"/>
      <c r="J205" s="33"/>
      <c r="K205" s="33"/>
      <c r="L205" s="33"/>
      <c r="M205" s="33"/>
      <c r="N205" s="33"/>
      <c r="O205" s="33"/>
      <c r="P205" s="33"/>
      <c r="Q205" s="33"/>
      <c r="R205" s="33"/>
      <c r="S205" s="33"/>
      <c r="T205" s="33"/>
      <c r="U205" s="33"/>
      <c r="V205" s="33"/>
      <c r="W205" s="33"/>
      <c r="X205" s="33"/>
      <c r="Y205" s="33"/>
      <c r="Z205" s="33"/>
      <c r="AA205" s="33"/>
      <c r="AB205" s="33"/>
      <c r="AC205" s="33"/>
      <c r="AD205" s="33"/>
      <c r="AE205" s="33"/>
      <c r="AF205" s="33"/>
      <c r="AG205" s="33"/>
      <c r="AH205" s="33"/>
      <c r="AI205" s="33"/>
      <c r="AJ205" s="33"/>
      <c r="AK205" s="33"/>
      <c r="AL205" s="33"/>
      <c r="AM205" s="33"/>
      <c r="AO205" s="41" t="s">
        <v>12</v>
      </c>
      <c r="AQ205" s="31"/>
      <c r="CA205" s="28"/>
      <c r="CB205" s="28"/>
      <c r="DE205" s="28"/>
      <c r="EM205" s="30"/>
      <c r="EN205" s="28"/>
      <c r="EO205" s="28"/>
      <c r="EP205" s="28"/>
      <c r="EQ205" s="28"/>
      <c r="GT205" s="28"/>
      <c r="KO205" s="28"/>
      <c r="KP205" s="28"/>
      <c r="KQ205" s="28"/>
      <c r="KR205" s="28"/>
      <c r="PV205" s="28"/>
      <c r="PW205" s="28"/>
      <c r="PY205" s="28"/>
      <c r="QM205" s="29"/>
      <c r="QQ205" s="28"/>
      <c r="ST205" s="29"/>
      <c r="AIC205" s="28"/>
      <c r="AJR205" s="28"/>
      <c r="AJS205" s="28"/>
      <c r="AJT205" s="28"/>
    </row>
    <row r="206" spans="6:956" ht="16.2" x14ac:dyDescent="0.3">
      <c r="F206" s="36"/>
      <c r="G206" s="35" t="s">
        <v>11</v>
      </c>
      <c r="H206" s="322">
        <v>78.959999999999994</v>
      </c>
      <c r="I206" s="34" t="s">
        <v>163</v>
      </c>
      <c r="J206" s="39">
        <v>39</v>
      </c>
      <c r="K206" s="39">
        <v>86</v>
      </c>
      <c r="L206" s="39">
        <v>105</v>
      </c>
      <c r="M206" s="39">
        <v>102</v>
      </c>
      <c r="N206" s="39">
        <v>107</v>
      </c>
      <c r="O206" s="39">
        <v>96</v>
      </c>
      <c r="P206" s="39">
        <v>35</v>
      </c>
      <c r="Q206" s="39">
        <v>35</v>
      </c>
      <c r="R206" s="39">
        <v>94</v>
      </c>
      <c r="S206" s="33">
        <v>22</v>
      </c>
      <c r="T206" s="33">
        <v>135</v>
      </c>
      <c r="U206" s="33">
        <v>115</v>
      </c>
      <c r="V206" s="33">
        <v>108</v>
      </c>
      <c r="W206" s="33">
        <v>108</v>
      </c>
      <c r="X206" s="33">
        <v>0</v>
      </c>
      <c r="Y206" s="33">
        <v>0</v>
      </c>
      <c r="Z206" s="33">
        <v>0</v>
      </c>
      <c r="AA206" s="33">
        <v>0</v>
      </c>
      <c r="AB206" s="33">
        <v>89</v>
      </c>
      <c r="AC206" s="33">
        <v>89</v>
      </c>
      <c r="AD206" s="33">
        <v>73</v>
      </c>
      <c r="AE206" s="33">
        <v>50</v>
      </c>
      <c r="AF206" s="33">
        <v>66</v>
      </c>
      <c r="AG206" s="33">
        <v>48</v>
      </c>
      <c r="AH206" s="33">
        <v>48</v>
      </c>
      <c r="AI206" s="33">
        <v>40</v>
      </c>
      <c r="AJ206" s="33">
        <v>66</v>
      </c>
      <c r="AK206" s="33">
        <v>93</v>
      </c>
      <c r="AL206" s="33">
        <v>124</v>
      </c>
      <c r="AM206" s="33">
        <v>130</v>
      </c>
      <c r="AO206" s="32">
        <f>SUM(J206:AM206)</f>
        <v>2103</v>
      </c>
      <c r="AP206" s="40"/>
      <c r="AQ206" s="31"/>
      <c r="CA206" s="28"/>
      <c r="CB206" s="28"/>
      <c r="DE206" s="28"/>
      <c r="EM206" s="30"/>
      <c r="EN206" s="28"/>
      <c r="EO206" s="28"/>
      <c r="EP206" s="28"/>
      <c r="EQ206" s="28"/>
      <c r="GT206" s="28"/>
      <c r="KO206" s="28"/>
      <c r="KP206" s="28"/>
      <c r="KQ206" s="28"/>
      <c r="KR206" s="28"/>
      <c r="PV206" s="28"/>
      <c r="PW206" s="28"/>
      <c r="PY206" s="28"/>
      <c r="QM206" s="29"/>
      <c r="QQ206" s="28"/>
      <c r="ST206" s="29"/>
      <c r="AGO206" s="38">
        <f>AQ206-AO206</f>
        <v>-2103</v>
      </c>
      <c r="AIC206" s="28"/>
      <c r="AJR206" s="28"/>
      <c r="AJS206" s="28"/>
      <c r="AJT206" s="28"/>
    </row>
    <row r="207" spans="6:956" ht="16.2" x14ac:dyDescent="0.3">
      <c r="F207" s="36"/>
      <c r="G207" s="35" t="s">
        <v>10</v>
      </c>
      <c r="H207" s="322">
        <v>118.4</v>
      </c>
      <c r="I207" s="34" t="s">
        <v>163</v>
      </c>
      <c r="J207" s="39">
        <v>103</v>
      </c>
      <c r="K207" s="39">
        <v>76</v>
      </c>
      <c r="L207" s="39">
        <v>118</v>
      </c>
      <c r="M207" s="39">
        <v>116</v>
      </c>
      <c r="N207" s="39">
        <v>119</v>
      </c>
      <c r="O207" s="39">
        <v>88</v>
      </c>
      <c r="P207" s="39">
        <v>89</v>
      </c>
      <c r="Q207" s="39">
        <v>148</v>
      </c>
      <c r="R207" s="39">
        <v>85</v>
      </c>
      <c r="S207" s="33">
        <v>11</v>
      </c>
      <c r="T207" s="33">
        <v>68</v>
      </c>
      <c r="U207" s="33">
        <v>57</v>
      </c>
      <c r="V207" s="33">
        <v>59</v>
      </c>
      <c r="W207" s="33">
        <v>9.5</v>
      </c>
      <c r="X207" s="33">
        <v>148.09</v>
      </c>
      <c r="Y207" s="33">
        <v>0</v>
      </c>
      <c r="Z207" s="33">
        <v>0</v>
      </c>
      <c r="AA207" s="33">
        <v>0</v>
      </c>
      <c r="AB207" s="33">
        <v>43</v>
      </c>
      <c r="AC207" s="33">
        <v>97</v>
      </c>
      <c r="AD207" s="33">
        <v>119</v>
      </c>
      <c r="AE207" s="33">
        <v>98</v>
      </c>
      <c r="AF207" s="33">
        <v>132</v>
      </c>
      <c r="AG207" s="33">
        <v>119</v>
      </c>
      <c r="AH207" s="33">
        <v>119</v>
      </c>
      <c r="AI207" s="33">
        <v>63</v>
      </c>
      <c r="AJ207" s="33">
        <v>63</v>
      </c>
      <c r="AK207" s="33">
        <v>140</v>
      </c>
      <c r="AL207" s="33">
        <v>130</v>
      </c>
      <c r="AM207" s="33">
        <v>112</v>
      </c>
      <c r="AO207" s="32">
        <f>SUM(J207:AM207)</f>
        <v>2529.59</v>
      </c>
      <c r="AQ207" s="31">
        <v>1303</v>
      </c>
      <c r="CA207" s="28"/>
      <c r="CB207" s="28"/>
      <c r="DE207" s="28"/>
      <c r="EM207" s="30"/>
      <c r="EN207" s="28"/>
      <c r="EO207" s="28"/>
      <c r="EP207" s="28"/>
      <c r="EQ207" s="28"/>
      <c r="GT207" s="28"/>
      <c r="KO207" s="28"/>
      <c r="KP207" s="28"/>
      <c r="KQ207" s="28"/>
      <c r="KR207" s="28"/>
      <c r="PV207" s="28"/>
      <c r="PW207" s="28"/>
      <c r="PY207" s="28"/>
      <c r="QM207" s="29"/>
      <c r="QQ207" s="28"/>
      <c r="ST207" s="29"/>
      <c r="AGO207" s="38">
        <f>AQ207-AO207</f>
        <v>-1226.5900000000001</v>
      </c>
      <c r="AIC207" s="28"/>
      <c r="AJR207" s="28"/>
      <c r="AJS207" s="28"/>
      <c r="AJT207" s="28"/>
    </row>
    <row r="208" spans="6:956" ht="16.2" x14ac:dyDescent="0.3">
      <c r="F208" s="36"/>
      <c r="G208" s="35" t="s">
        <v>9</v>
      </c>
      <c r="H208" s="321">
        <f>44.69%*H204</f>
        <v>299.423</v>
      </c>
      <c r="I208" s="34" t="s">
        <v>163</v>
      </c>
      <c r="J208" s="33">
        <v>318</v>
      </c>
      <c r="K208" s="33">
        <v>317.5</v>
      </c>
      <c r="L208" s="33">
        <v>344.4</v>
      </c>
      <c r="M208" s="33">
        <v>316.39999999999998</v>
      </c>
      <c r="N208" s="33">
        <v>309</v>
      </c>
      <c r="O208" s="33">
        <v>289.7</v>
      </c>
      <c r="P208" s="33">
        <v>379.5</v>
      </c>
      <c r="Q208" s="33">
        <v>327.39999999999998</v>
      </c>
      <c r="R208" s="33">
        <v>331.1</v>
      </c>
      <c r="S208" s="33">
        <v>275</v>
      </c>
      <c r="T208" s="33">
        <v>275.8</v>
      </c>
      <c r="U208" s="33">
        <v>319</v>
      </c>
      <c r="V208" s="33">
        <v>337</v>
      </c>
      <c r="W208" s="33">
        <v>283.7</v>
      </c>
      <c r="X208" s="33">
        <v>165.1</v>
      </c>
      <c r="Y208" s="33">
        <v>11.4</v>
      </c>
      <c r="Z208" s="33">
        <v>0</v>
      </c>
      <c r="AA208" s="33">
        <v>35.799999999999997</v>
      </c>
      <c r="AB208" s="33">
        <v>353.7</v>
      </c>
      <c r="AC208" s="33">
        <v>369.8</v>
      </c>
      <c r="AD208" s="33">
        <v>263.60000000000002</v>
      </c>
      <c r="AE208" s="33">
        <v>332.8</v>
      </c>
      <c r="AF208" s="33">
        <v>353.4</v>
      </c>
      <c r="AG208" s="33">
        <v>329</v>
      </c>
      <c r="AH208" s="33">
        <v>290.89999999999998</v>
      </c>
      <c r="AI208" s="33">
        <v>301.10000000000002</v>
      </c>
      <c r="AJ208" s="33">
        <v>306</v>
      </c>
      <c r="AK208" s="33">
        <v>363.9</v>
      </c>
      <c r="AL208" s="33">
        <v>343.3</v>
      </c>
      <c r="AM208" s="33">
        <v>361.3</v>
      </c>
      <c r="AO208" s="32">
        <f>SUM(J208:AM208)</f>
        <v>8604.5999999999985</v>
      </c>
      <c r="AP208" s="38"/>
      <c r="AQ208" s="31"/>
      <c r="CA208" s="28"/>
      <c r="CB208" s="28"/>
      <c r="DE208" s="28"/>
      <c r="EM208" s="30"/>
      <c r="EN208" s="28"/>
      <c r="EO208" s="28"/>
      <c r="EP208" s="28"/>
      <c r="EQ208" s="28"/>
      <c r="GT208" s="28"/>
      <c r="KO208" s="28"/>
      <c r="KP208" s="28"/>
      <c r="KQ208" s="28"/>
      <c r="KR208" s="28"/>
      <c r="PV208" s="28"/>
      <c r="PW208" s="28"/>
      <c r="PY208" s="28"/>
      <c r="QM208" s="29"/>
      <c r="QQ208" s="28"/>
      <c r="ST208" s="29"/>
      <c r="AIC208" s="28"/>
      <c r="AJR208" s="28"/>
      <c r="AJS208" s="28"/>
      <c r="AJT208" s="28"/>
    </row>
    <row r="209" spans="5:14972" ht="16.2" x14ac:dyDescent="0.3">
      <c r="F209" s="36"/>
      <c r="G209" s="35" t="s">
        <v>8</v>
      </c>
      <c r="H209" s="321">
        <f>H204-SUM(H206:H208)</f>
        <v>173.21699999999998</v>
      </c>
      <c r="I209" s="34" t="s">
        <v>163</v>
      </c>
      <c r="J209" s="33">
        <f>J204-(SUM(J206:J208))</f>
        <v>216.76099999999997</v>
      </c>
      <c r="K209" s="33">
        <f t="shared" ref="K209:O209" si="97">K204-(SUM(K206:K208))</f>
        <v>133.5</v>
      </c>
      <c r="L209" s="33">
        <f t="shared" si="97"/>
        <v>158.60000000000002</v>
      </c>
      <c r="M209" s="33">
        <f t="shared" si="97"/>
        <v>239.60000000000002</v>
      </c>
      <c r="N209" s="33">
        <f t="shared" si="97"/>
        <v>178</v>
      </c>
      <c r="O209" s="33">
        <f t="shared" si="97"/>
        <v>249.3</v>
      </c>
      <c r="P209" s="33">
        <f t="shared" ref="P209:AM209" si="98">P204-(SUM(P206:P208))</f>
        <v>357.5</v>
      </c>
      <c r="Q209" s="33">
        <f t="shared" si="98"/>
        <v>167.60000000000002</v>
      </c>
      <c r="R209" s="33">
        <f t="shared" si="98"/>
        <v>129.89999999999998</v>
      </c>
      <c r="S209" s="33">
        <f t="shared" si="98"/>
        <v>70</v>
      </c>
      <c r="T209" s="33">
        <f t="shared" si="98"/>
        <v>228.2</v>
      </c>
      <c r="U209" s="33">
        <f t="shared" si="98"/>
        <v>235</v>
      </c>
      <c r="V209" s="33">
        <f t="shared" si="98"/>
        <v>385</v>
      </c>
      <c r="W209" s="33">
        <f t="shared" si="98"/>
        <v>170.8</v>
      </c>
      <c r="X209" s="33">
        <f t="shared" si="98"/>
        <v>82.81</v>
      </c>
      <c r="Y209" s="33">
        <f t="shared" si="98"/>
        <v>-11.4</v>
      </c>
      <c r="Z209" s="33">
        <f t="shared" si="98"/>
        <v>207</v>
      </c>
      <c r="AA209" s="33">
        <f t="shared" si="98"/>
        <v>89.2</v>
      </c>
      <c r="AB209" s="33">
        <f t="shared" si="98"/>
        <v>285.3</v>
      </c>
      <c r="AC209" s="33">
        <f t="shared" si="98"/>
        <v>234.20000000000005</v>
      </c>
      <c r="AD209" s="33">
        <f t="shared" si="98"/>
        <v>142.39999999999998</v>
      </c>
      <c r="AE209" s="33">
        <f t="shared" si="98"/>
        <v>181.2</v>
      </c>
      <c r="AF209" s="33">
        <f t="shared" si="98"/>
        <v>50.600000000000023</v>
      </c>
      <c r="AG209" s="33">
        <f t="shared" si="98"/>
        <v>238</v>
      </c>
      <c r="AH209" s="33">
        <f t="shared" si="98"/>
        <v>85.100000000000023</v>
      </c>
      <c r="AI209" s="33">
        <f t="shared" si="98"/>
        <v>231.89999999999998</v>
      </c>
      <c r="AJ209" s="33">
        <f t="shared" si="98"/>
        <v>251</v>
      </c>
      <c r="AK209" s="33">
        <f t="shared" si="98"/>
        <v>199.10000000000002</v>
      </c>
      <c r="AL209" s="33">
        <f t="shared" si="98"/>
        <v>329.70000000000005</v>
      </c>
      <c r="AM209" s="33">
        <f t="shared" si="98"/>
        <v>64.700000000000045</v>
      </c>
      <c r="AO209" s="32">
        <f>SUM(J209:AM209)</f>
        <v>5580.5710000000008</v>
      </c>
      <c r="AP209" s="37"/>
      <c r="AQ209" s="31"/>
      <c r="CA209" s="28"/>
      <c r="CB209" s="28"/>
      <c r="DE209" s="28"/>
      <c r="EM209" s="30"/>
      <c r="EN209" s="28"/>
      <c r="EO209" s="28"/>
      <c r="EP209" s="28"/>
      <c r="EQ209" s="28"/>
      <c r="GT209" s="28"/>
      <c r="KO209" s="28"/>
      <c r="KP209" s="28"/>
      <c r="KQ209" s="28"/>
      <c r="KR209" s="28"/>
      <c r="PV209" s="28"/>
      <c r="PW209" s="28"/>
      <c r="PY209" s="28"/>
      <c r="QM209" s="29"/>
      <c r="QQ209" s="28"/>
      <c r="ST209" s="29"/>
      <c r="AIC209" s="28"/>
      <c r="AJR209" s="28"/>
      <c r="AJS209" s="28"/>
      <c r="AJT209" s="28"/>
    </row>
    <row r="210" spans="5:14972" ht="16.2" x14ac:dyDescent="0.3">
      <c r="F210" s="36"/>
      <c r="G210" s="35" t="s">
        <v>7</v>
      </c>
      <c r="H210" s="321">
        <v>287.83999999999997</v>
      </c>
      <c r="I210" s="34" t="s">
        <v>163</v>
      </c>
      <c r="J210" s="33">
        <v>136</v>
      </c>
      <c r="K210" s="33">
        <v>130</v>
      </c>
      <c r="L210" s="33">
        <v>204</v>
      </c>
      <c r="M210" s="33">
        <v>142</v>
      </c>
      <c r="N210" s="33">
        <v>168</v>
      </c>
      <c r="O210" s="33">
        <v>146</v>
      </c>
      <c r="P210" s="33">
        <v>143</v>
      </c>
      <c r="Q210" s="33">
        <v>148</v>
      </c>
      <c r="R210" s="33">
        <v>139</v>
      </c>
      <c r="S210" s="33">
        <v>126</v>
      </c>
      <c r="T210" s="33">
        <v>81</v>
      </c>
      <c r="U210" s="33">
        <v>162</v>
      </c>
      <c r="V210" s="33">
        <v>196</v>
      </c>
      <c r="W210" s="33">
        <v>178</v>
      </c>
      <c r="X210" s="33">
        <v>90</v>
      </c>
      <c r="Y210" s="33">
        <v>149</v>
      </c>
      <c r="Z210" s="33">
        <v>0</v>
      </c>
      <c r="AA210" s="33">
        <v>0</v>
      </c>
      <c r="AB210" s="33">
        <v>191</v>
      </c>
      <c r="AC210" s="33">
        <v>183</v>
      </c>
      <c r="AD210" s="33">
        <v>192</v>
      </c>
      <c r="AE210" s="33">
        <v>125</v>
      </c>
      <c r="AF210" s="33">
        <v>134</v>
      </c>
      <c r="AG210" s="33">
        <v>175</v>
      </c>
      <c r="AH210" s="33">
        <v>158</v>
      </c>
      <c r="AI210" s="33">
        <v>125</v>
      </c>
      <c r="AJ210" s="33">
        <v>162</v>
      </c>
      <c r="AK210" s="33">
        <v>179</v>
      </c>
      <c r="AL210" s="33">
        <v>228</v>
      </c>
      <c r="AM210" s="33">
        <v>221</v>
      </c>
      <c r="AO210" s="32">
        <f>SUM(J210:AM210)</f>
        <v>4411</v>
      </c>
      <c r="AQ210" s="31"/>
      <c r="CA210" s="28"/>
      <c r="CB210" s="28"/>
      <c r="DE210" s="28"/>
      <c r="EM210" s="30"/>
      <c r="EN210" s="28"/>
      <c r="EO210" s="28"/>
      <c r="EP210" s="28"/>
      <c r="EQ210" s="28"/>
      <c r="GT210" s="28"/>
      <c r="KO210" s="28"/>
      <c r="KP210" s="28"/>
      <c r="KQ210" s="28"/>
      <c r="KR210" s="28"/>
      <c r="PV210" s="28"/>
      <c r="PW210" s="28"/>
      <c r="PY210" s="28"/>
      <c r="QM210" s="29"/>
      <c r="QQ210" s="28"/>
      <c r="ST210" s="29"/>
      <c r="AIC210" s="28"/>
      <c r="AJR210" s="28"/>
      <c r="AJS210" s="28"/>
      <c r="AJT210" s="28"/>
    </row>
    <row r="211" spans="5:14972" x14ac:dyDescent="0.3">
      <c r="F211" s="27">
        <v>13</v>
      </c>
      <c r="G211" s="26" t="s">
        <v>6</v>
      </c>
      <c r="H211" s="25"/>
      <c r="I211" s="25"/>
      <c r="J211" s="24"/>
      <c r="K211" s="24"/>
      <c r="L211" s="24"/>
      <c r="M211" s="24"/>
      <c r="N211" s="24"/>
      <c r="O211" s="24"/>
      <c r="P211" s="24"/>
      <c r="Q211" s="24"/>
      <c r="R211" s="24"/>
      <c r="S211" s="24"/>
      <c r="T211" s="24"/>
      <c r="U211" s="24"/>
      <c r="V211" s="24"/>
      <c r="W211" s="24"/>
      <c r="X211" s="24"/>
      <c r="Y211" s="24"/>
      <c r="Z211" s="24"/>
      <c r="AA211" s="24"/>
      <c r="AB211" s="24"/>
      <c r="AC211" s="24"/>
      <c r="AD211" s="24"/>
      <c r="AE211" s="24"/>
      <c r="AF211" s="24"/>
      <c r="AG211" s="24"/>
      <c r="AH211" s="24"/>
      <c r="AI211" s="24"/>
      <c r="AJ211" s="24"/>
      <c r="AK211" s="24"/>
      <c r="AL211" s="24"/>
      <c r="AM211" s="24"/>
      <c r="AN211" s="14"/>
      <c r="AO211" s="23" t="s">
        <v>5</v>
      </c>
    </row>
    <row r="212" spans="5:14972" s="2" customFormat="1" x14ac:dyDescent="0.3">
      <c r="E212" s="1"/>
      <c r="F212" s="19"/>
      <c r="G212" s="22" t="s">
        <v>4</v>
      </c>
      <c r="H212" s="323"/>
      <c r="I212" s="21"/>
      <c r="J212" s="15"/>
      <c r="K212" s="15"/>
      <c r="L212" s="15"/>
      <c r="M212" s="15"/>
      <c r="N212" s="15"/>
      <c r="O212" s="15"/>
      <c r="P212" s="15"/>
      <c r="Q212" s="15"/>
      <c r="R212" s="15"/>
      <c r="S212" s="15"/>
      <c r="T212" s="15"/>
      <c r="U212" s="15"/>
      <c r="V212" s="15"/>
      <c r="W212" s="15"/>
      <c r="X212" s="15"/>
      <c r="Y212" s="15"/>
      <c r="Z212" s="15"/>
      <c r="AA212" s="15"/>
      <c r="AB212" s="15"/>
      <c r="AC212" s="15"/>
      <c r="AD212" s="15"/>
      <c r="AE212" s="15"/>
      <c r="AF212" s="15"/>
      <c r="AG212" s="15"/>
      <c r="AH212" s="15"/>
      <c r="AI212" s="15"/>
      <c r="AJ212" s="15"/>
      <c r="AK212" s="15"/>
      <c r="AL212" s="15"/>
      <c r="AM212" s="15"/>
      <c r="AN212" s="14"/>
      <c r="AO212" s="20" t="s">
        <v>4</v>
      </c>
      <c r="AP212" s="1"/>
      <c r="AQ212" s="1"/>
      <c r="AS212" s="3"/>
      <c r="CA212" s="1"/>
      <c r="CB212" s="1"/>
      <c r="CC212" s="1"/>
      <c r="CD212" s="1"/>
      <c r="CE212" s="1"/>
      <c r="CF212" s="1"/>
      <c r="CG212" s="1"/>
      <c r="CH212" s="1"/>
      <c r="CI212" s="1"/>
      <c r="CJ212" s="1"/>
      <c r="CK212" s="1"/>
      <c r="CL212" s="1"/>
      <c r="CM212" s="1"/>
      <c r="CN212" s="1"/>
      <c r="CO212" s="1"/>
      <c r="CP212" s="1"/>
      <c r="CQ212" s="1"/>
      <c r="CR212" s="1"/>
      <c r="CS212" s="1"/>
      <c r="CT212" s="1"/>
      <c r="CU212" s="1"/>
      <c r="CV212" s="1"/>
      <c r="CW212" s="1"/>
      <c r="CX212" s="1"/>
      <c r="CY212" s="1"/>
      <c r="CZ212" s="1"/>
      <c r="DA212" s="1"/>
      <c r="DB212"/>
      <c r="DC212" s="1"/>
      <c r="DD212" s="1"/>
      <c r="DE212" s="1"/>
      <c r="DF212" s="1"/>
      <c r="DG212" s="1"/>
      <c r="DH212" s="1"/>
      <c r="DI212" s="1"/>
      <c r="DJ212" s="1"/>
      <c r="DK212" s="1"/>
      <c r="DL212" s="1"/>
      <c r="DM212" s="1"/>
      <c r="DN212" s="1"/>
      <c r="DO212" s="1"/>
      <c r="DP212" s="1"/>
      <c r="DQ212" s="1"/>
      <c r="DR212" s="1"/>
      <c r="DS212" s="1"/>
      <c r="DT212" s="1"/>
      <c r="DU212" s="1"/>
      <c r="DV212" s="1"/>
      <c r="DW212" s="1"/>
      <c r="DX212" s="1"/>
      <c r="DY212" s="1"/>
      <c r="DZ212" s="1"/>
      <c r="EA212" s="1"/>
      <c r="EB212" s="1"/>
      <c r="EC212" s="1"/>
      <c r="ED212" s="1"/>
      <c r="EE212" s="1"/>
      <c r="EF212" s="1"/>
      <c r="EG212" s="1"/>
      <c r="EH212" s="1"/>
      <c r="EI212" s="1"/>
      <c r="EJ212" s="1"/>
      <c r="EK212" s="1"/>
      <c r="EL212" s="1"/>
      <c r="EM212" s="1"/>
      <c r="EN212" s="1"/>
      <c r="EO212" s="1"/>
      <c r="EP212" s="1"/>
      <c r="EQ212" s="1"/>
      <c r="ER212" s="1"/>
      <c r="ES212" s="1"/>
      <c r="ET212" s="1"/>
      <c r="EU212" s="1"/>
      <c r="EV212" s="1"/>
      <c r="EW212" s="1"/>
      <c r="EX212" s="1"/>
      <c r="EY212" s="1"/>
      <c r="EZ212" s="1"/>
      <c r="FA212" s="1"/>
      <c r="FB212" s="1"/>
      <c r="FC212" s="1"/>
      <c r="FD212" s="1"/>
      <c r="FE212" s="1"/>
      <c r="FF212" s="1"/>
      <c r="FG212" s="1"/>
      <c r="FH212" s="1"/>
      <c r="FI212" s="1"/>
      <c r="FJ212" s="1"/>
      <c r="FK212" s="1"/>
      <c r="FL212" s="1"/>
      <c r="FM212" s="1"/>
      <c r="FN212" s="1"/>
      <c r="FO212" s="1"/>
      <c r="FP212" s="1"/>
      <c r="FQ212" s="1"/>
      <c r="FR212" s="1"/>
      <c r="FS212" s="1"/>
      <c r="FT212" s="1"/>
      <c r="FU212" s="1"/>
      <c r="FV212" s="1"/>
      <c r="FW212" s="1"/>
      <c r="FX212" s="1"/>
      <c r="FY212" s="1"/>
      <c r="FZ212" s="1"/>
      <c r="GA212" s="1"/>
      <c r="GB212" s="1"/>
      <c r="GC212" s="1"/>
      <c r="GD212" s="1"/>
      <c r="GE212" s="1"/>
      <c r="GF212" s="1"/>
      <c r="GG212" s="1"/>
      <c r="GH212" s="1"/>
      <c r="GI212" s="1"/>
      <c r="GJ212" s="1"/>
      <c r="GK212" s="1"/>
      <c r="GL212" s="1"/>
      <c r="GM212" s="1"/>
      <c r="GN212" s="1"/>
      <c r="GO212" s="1"/>
      <c r="GP212" s="1"/>
      <c r="GQ212" s="1"/>
      <c r="GR212" s="1"/>
      <c r="GS212" s="1"/>
      <c r="GT212" s="1"/>
      <c r="GU212" s="1"/>
      <c r="GV212" s="1"/>
      <c r="GW212" s="1"/>
      <c r="GX212" s="1"/>
      <c r="GY212" s="1"/>
      <c r="GZ212" s="1"/>
      <c r="HA212" s="1"/>
      <c r="HB212" s="1"/>
      <c r="HC212" s="1"/>
      <c r="HD212" s="1"/>
      <c r="HE212" s="1"/>
      <c r="HF212" s="1"/>
      <c r="HG212" s="1"/>
      <c r="HH212" s="1"/>
      <c r="HI212" s="1"/>
      <c r="HJ212" s="1"/>
      <c r="HK212" s="1"/>
      <c r="HL212" s="1"/>
      <c r="HM212" s="1"/>
      <c r="HN212" s="1"/>
      <c r="HO212" s="1"/>
      <c r="HP212" s="1"/>
      <c r="HQ212" s="1"/>
      <c r="HR212" s="1"/>
      <c r="HS212" s="1"/>
      <c r="HT212" s="1"/>
      <c r="HU212" s="1"/>
      <c r="HV212" s="1"/>
      <c r="HW212" s="1"/>
      <c r="HX212" s="1"/>
      <c r="HY212" s="1"/>
      <c r="HZ212" s="1"/>
      <c r="IA212" s="1"/>
      <c r="IB212" s="1"/>
      <c r="IC212" s="1"/>
      <c r="ID212" s="1"/>
      <c r="IE212" s="1"/>
      <c r="IF212" s="1"/>
      <c r="IG212" s="1"/>
      <c r="IH212" s="1"/>
      <c r="II212" s="1"/>
      <c r="IJ212" s="1"/>
      <c r="IK212" s="1"/>
      <c r="IL212" s="1"/>
      <c r="IM212" s="1"/>
      <c r="IN212" s="1"/>
      <c r="IO212" s="1"/>
      <c r="IP212" s="1"/>
      <c r="IQ212" s="1"/>
      <c r="IR212" s="1"/>
      <c r="IS212" s="1"/>
      <c r="IT212" s="1"/>
      <c r="IU212" s="1"/>
      <c r="IV212" s="1"/>
      <c r="IW212" s="1"/>
      <c r="IX212" s="1"/>
      <c r="IY212" s="1"/>
      <c r="IZ212" s="1"/>
      <c r="JA212" s="1"/>
      <c r="JB212" s="1"/>
      <c r="JC212" s="1"/>
      <c r="JD212" s="1"/>
      <c r="JE212" s="1"/>
      <c r="JF212" s="1"/>
      <c r="JG212" s="1"/>
      <c r="JH212" s="1"/>
      <c r="JI212" s="1"/>
      <c r="JJ212" s="1"/>
      <c r="JK212" s="1"/>
      <c r="JL212" s="1"/>
      <c r="JM212" s="1"/>
      <c r="JN212" s="1"/>
      <c r="JO212" s="1"/>
      <c r="JP212" s="1"/>
      <c r="JQ212" s="1"/>
      <c r="JR212" s="1"/>
      <c r="JS212" s="1"/>
      <c r="JT212" s="1"/>
      <c r="JU212" s="1"/>
      <c r="JV212" s="1"/>
      <c r="JW212" s="1"/>
      <c r="JX212" s="1"/>
      <c r="JY212" s="1"/>
      <c r="JZ212" s="1"/>
      <c r="KA212" s="1"/>
      <c r="KB212" s="1"/>
      <c r="KC212" s="1"/>
      <c r="KD212" s="1"/>
      <c r="KE212" s="1"/>
      <c r="KF212" s="1"/>
      <c r="KG212" s="1"/>
      <c r="KH212" s="1"/>
      <c r="KI212" s="1"/>
      <c r="KJ212" s="1"/>
      <c r="KK212" s="1"/>
      <c r="KL212" s="1"/>
      <c r="KM212" s="1"/>
      <c r="KN212" s="1"/>
      <c r="KO212" s="1"/>
      <c r="KP212" s="1"/>
      <c r="KQ212" s="1"/>
      <c r="KR212" s="1"/>
      <c r="KS212" s="1"/>
      <c r="KT212" s="1"/>
      <c r="KU212" s="1"/>
      <c r="KV212" s="1"/>
      <c r="KW212" s="1"/>
      <c r="KX212" s="1"/>
      <c r="KY212" s="1"/>
      <c r="KZ212" s="1"/>
      <c r="LA212" s="1"/>
      <c r="LB212" s="1"/>
      <c r="LC212" s="1"/>
      <c r="LD212" s="1"/>
      <c r="LE212" s="1"/>
      <c r="LF212" s="1"/>
      <c r="LG212" s="1"/>
      <c r="LH212" s="1"/>
      <c r="LI212" s="1"/>
      <c r="LJ212" s="1"/>
      <c r="LK212" s="1"/>
      <c r="LL212" s="1"/>
      <c r="LM212" s="1"/>
      <c r="LN212" s="1"/>
      <c r="LO212" s="1"/>
      <c r="LP212" s="1"/>
      <c r="LQ212" s="1"/>
      <c r="LR212" s="1"/>
      <c r="LS212" s="1"/>
      <c r="LT212" s="1"/>
      <c r="LU212" s="1"/>
      <c r="LV212" s="1"/>
      <c r="LW212" s="1"/>
      <c r="LX212" s="1"/>
      <c r="LY212" s="1"/>
      <c r="LZ212" s="1"/>
      <c r="MA212" s="1"/>
      <c r="MB212" s="1"/>
      <c r="MC212" s="1"/>
      <c r="MD212" s="1"/>
      <c r="ME212" s="1"/>
      <c r="MF212" s="1"/>
      <c r="MG212" s="1"/>
      <c r="MH212" s="1"/>
      <c r="MI212" s="1"/>
      <c r="MJ212" s="1"/>
      <c r="MK212" s="1"/>
      <c r="ML212" s="1"/>
      <c r="MM212" s="1"/>
      <c r="MN212" s="1"/>
      <c r="MO212" s="1"/>
      <c r="MP212" s="1"/>
      <c r="MQ212" s="1"/>
      <c r="MR212" s="1"/>
      <c r="MS212" s="1"/>
      <c r="MT212" s="1"/>
      <c r="MU212" s="1"/>
      <c r="MV212" s="1"/>
      <c r="MW212" s="1"/>
      <c r="MX212" s="1"/>
      <c r="MY212" s="1"/>
      <c r="MZ212" s="1"/>
      <c r="NA212" s="1"/>
      <c r="NB212" s="1"/>
      <c r="NC212" s="1"/>
      <c r="ND212" s="1"/>
      <c r="NE212" s="1"/>
      <c r="NF212" s="1"/>
      <c r="NG212" s="1"/>
      <c r="NH212" s="1"/>
      <c r="NI212" s="1"/>
      <c r="NJ212" s="1"/>
      <c r="NK212" s="1"/>
      <c r="NL212" s="1"/>
      <c r="NM212" s="1"/>
      <c r="NN212" s="1"/>
      <c r="NO212" s="1"/>
      <c r="NP212" s="1"/>
      <c r="NQ212" s="1"/>
      <c r="NR212" s="1"/>
      <c r="NS212" s="1"/>
      <c r="NT212" s="1"/>
      <c r="NU212" s="1"/>
      <c r="NV212" s="1"/>
      <c r="NW212" s="1"/>
      <c r="NX212" s="1"/>
      <c r="NY212" s="1"/>
      <c r="NZ212" s="1"/>
      <c r="OA212" s="1"/>
      <c r="OB212" s="1"/>
      <c r="OC212" s="1"/>
      <c r="OD212" s="1"/>
      <c r="OE212" s="1"/>
      <c r="OF212" s="1"/>
      <c r="OG212" s="1"/>
      <c r="OH212" s="1"/>
      <c r="OI212" s="1"/>
      <c r="OJ212" s="1"/>
      <c r="OK212" s="1"/>
      <c r="OL212" s="1"/>
      <c r="OM212" s="1"/>
      <c r="ON212" s="1"/>
      <c r="OO212" s="1"/>
      <c r="OP212" s="1"/>
      <c r="OQ212" s="1"/>
      <c r="OR212" s="1"/>
      <c r="OS212" s="1"/>
      <c r="OT212" s="1"/>
      <c r="OU212" s="1"/>
      <c r="OV212" s="1"/>
      <c r="OW212" s="1"/>
      <c r="OX212" s="1"/>
      <c r="OY212" s="1"/>
      <c r="OZ212" s="1"/>
      <c r="PA212" s="1"/>
      <c r="PB212" s="1"/>
      <c r="PC212" s="1"/>
      <c r="PD212" s="1"/>
      <c r="PE212" s="1"/>
      <c r="PF212" s="1"/>
      <c r="PG212" s="1"/>
      <c r="PH212" s="1"/>
      <c r="PI212" s="1"/>
      <c r="PJ212" s="1"/>
      <c r="PK212" s="1"/>
      <c r="PL212" s="1"/>
      <c r="PM212" s="1"/>
      <c r="PN212" s="1"/>
      <c r="PO212" s="1"/>
      <c r="PP212" s="1"/>
      <c r="PQ212" s="1"/>
      <c r="PR212" s="1"/>
      <c r="PS212" s="1"/>
      <c r="PT212" s="1"/>
      <c r="PU212" s="1"/>
      <c r="PV212" s="1"/>
      <c r="PW212" s="1"/>
      <c r="PX212" s="1"/>
      <c r="PY212" s="1"/>
      <c r="PZ212" s="1"/>
      <c r="QA212" s="1"/>
      <c r="QB212" s="1"/>
      <c r="QC212" s="1"/>
      <c r="QD212" s="1"/>
      <c r="QE212" s="1"/>
      <c r="QF212" s="1"/>
      <c r="QG212" s="1"/>
      <c r="QH212" s="1"/>
      <c r="QI212" s="1"/>
      <c r="QJ212" s="1"/>
      <c r="QK212" s="1"/>
      <c r="QL212" s="1"/>
      <c r="QM212" s="1"/>
      <c r="QN212" s="1"/>
      <c r="QO212" s="1"/>
      <c r="QP212" s="1"/>
      <c r="QQ212" s="1"/>
      <c r="QR212" s="1"/>
      <c r="QS212" s="1"/>
      <c r="QT212" s="1"/>
      <c r="QU212" s="1"/>
      <c r="QV212" s="1"/>
      <c r="QW212" s="1"/>
      <c r="QX212" s="1"/>
      <c r="QY212" s="1"/>
      <c r="QZ212" s="1"/>
      <c r="RA212" s="1"/>
      <c r="RB212" s="1"/>
      <c r="RC212" s="1"/>
      <c r="RD212" s="1"/>
      <c r="RE212" s="1"/>
      <c r="RF212" s="1"/>
      <c r="RG212" s="1"/>
      <c r="RH212" s="1"/>
      <c r="RI212" s="1"/>
      <c r="RJ212" s="1"/>
      <c r="RK212" s="1"/>
      <c r="RL212" s="1"/>
      <c r="RM212" s="1"/>
      <c r="RN212" s="1"/>
      <c r="RO212" s="1"/>
      <c r="RP212" s="1"/>
      <c r="RQ212" s="1"/>
      <c r="RR212" s="1"/>
      <c r="RS212" s="1"/>
      <c r="RT212" s="1"/>
      <c r="RU212" s="1"/>
      <c r="RV212" s="1"/>
      <c r="RW212" s="1"/>
      <c r="RX212" s="1"/>
      <c r="RY212" s="1"/>
      <c r="RZ212" s="1"/>
      <c r="SA212" s="1"/>
      <c r="SB212" s="1"/>
      <c r="SC212" s="1"/>
      <c r="SD212" s="1"/>
      <c r="SE212" s="1"/>
      <c r="SF212" s="1"/>
      <c r="SG212" s="1"/>
      <c r="SH212" s="1"/>
      <c r="SI212" s="1"/>
      <c r="SJ212" s="1"/>
      <c r="SK212" s="1"/>
      <c r="SL212" s="1"/>
      <c r="SM212" s="1"/>
      <c r="SN212" s="1"/>
      <c r="SO212" s="1"/>
      <c r="SP212" s="1"/>
      <c r="SQ212" s="1"/>
      <c r="SR212" s="1"/>
      <c r="SS212" s="1"/>
      <c r="ST212" s="1"/>
      <c r="SU212" s="1"/>
      <c r="SV212" s="1"/>
      <c r="SW212" s="1"/>
      <c r="SX212" s="1"/>
      <c r="SY212" s="1"/>
      <c r="SZ212" s="1"/>
      <c r="TA212" s="1"/>
      <c r="TB212" s="1"/>
      <c r="TC212" s="1"/>
      <c r="TD212" s="1"/>
      <c r="TE212" s="1"/>
      <c r="TF212" s="1"/>
      <c r="TG212" s="1"/>
      <c r="TH212" s="1"/>
      <c r="TI212" s="1"/>
      <c r="TJ212" s="1"/>
      <c r="TK212" s="1"/>
      <c r="TL212" s="1"/>
      <c r="TM212" s="1"/>
      <c r="TN212" s="1"/>
      <c r="TO212" s="1"/>
      <c r="TP212" s="1"/>
      <c r="TQ212" s="1"/>
      <c r="TR212" s="1"/>
      <c r="TS212" s="1"/>
      <c r="TT212" s="1"/>
      <c r="TU212" s="1"/>
      <c r="TV212" s="1"/>
      <c r="TW212" s="1"/>
      <c r="TX212" s="1"/>
      <c r="TY212" s="1"/>
      <c r="TZ212" s="1"/>
      <c r="UA212" s="1"/>
      <c r="UB212" s="1"/>
      <c r="UC212" s="1"/>
      <c r="UD212" s="1"/>
      <c r="UE212" s="1"/>
      <c r="UF212" s="1"/>
      <c r="UG212" s="1"/>
      <c r="UH212" s="1"/>
      <c r="UI212" s="1"/>
      <c r="UJ212" s="1"/>
      <c r="UK212" s="1"/>
      <c r="UL212" s="1"/>
      <c r="UM212" s="1"/>
      <c r="UN212" s="1"/>
      <c r="UO212" s="1"/>
      <c r="UP212" s="1"/>
      <c r="UQ212" s="1"/>
      <c r="UR212" s="1"/>
      <c r="US212" s="1"/>
      <c r="UT212" s="1"/>
      <c r="UU212" s="1"/>
      <c r="UV212" s="1"/>
      <c r="UW212" s="1"/>
      <c r="UX212" s="1"/>
      <c r="UY212" s="1"/>
      <c r="UZ212" s="1"/>
      <c r="VA212" s="1"/>
      <c r="VB212" s="1"/>
      <c r="VC212" s="1"/>
      <c r="VD212" s="1"/>
      <c r="VE212" s="1"/>
      <c r="VF212" s="1"/>
      <c r="VG212" s="1"/>
      <c r="VH212" s="1"/>
      <c r="VI212" s="1"/>
      <c r="VJ212" s="1"/>
      <c r="VK212" s="1"/>
      <c r="VL212" s="1"/>
      <c r="VM212" s="1"/>
      <c r="VN212" s="1"/>
      <c r="VO212" s="1"/>
      <c r="VP212" s="1"/>
      <c r="VQ212" s="1"/>
      <c r="VR212" s="1"/>
      <c r="VS212" s="1"/>
      <c r="VT212" s="1"/>
      <c r="VU212" s="1"/>
      <c r="VV212" s="1"/>
      <c r="VW212" s="1"/>
      <c r="VX212" s="1"/>
      <c r="VY212" s="1"/>
      <c r="VZ212" s="1"/>
      <c r="WA212" s="1"/>
      <c r="WB212" s="1"/>
      <c r="WC212" s="1"/>
      <c r="WD212" s="1"/>
      <c r="WE212" s="1"/>
      <c r="WF212" s="1"/>
      <c r="WG212" s="1"/>
      <c r="WH212" s="1"/>
      <c r="WI212" s="1"/>
      <c r="WJ212" s="1"/>
      <c r="WK212" s="1"/>
      <c r="WL212" s="1"/>
      <c r="WM212" s="1"/>
      <c r="WN212" s="1"/>
      <c r="WO212" s="1"/>
      <c r="WP212" s="1"/>
      <c r="WQ212" s="1"/>
      <c r="WR212" s="1"/>
      <c r="WS212" s="1"/>
      <c r="WT212" s="1"/>
      <c r="WU212" s="1"/>
      <c r="WV212" s="1"/>
      <c r="WW212" s="1"/>
      <c r="WX212" s="1"/>
      <c r="WY212" s="1"/>
      <c r="WZ212" s="1"/>
      <c r="XA212" s="1"/>
      <c r="XB212" s="1"/>
      <c r="XC212" s="1"/>
      <c r="XD212" s="1"/>
      <c r="XE212" s="1"/>
      <c r="XF212" s="1"/>
      <c r="XG212" s="1"/>
      <c r="XH212" s="1"/>
      <c r="XI212" s="1"/>
      <c r="XJ212" s="1"/>
      <c r="XK212" s="1"/>
      <c r="XL212" s="1"/>
      <c r="XM212" s="1"/>
      <c r="XN212" s="1"/>
      <c r="XO212" s="1"/>
      <c r="XP212" s="1"/>
      <c r="XQ212" s="1"/>
      <c r="XR212" s="1"/>
      <c r="XS212" s="1"/>
      <c r="XT212" s="1"/>
      <c r="XU212" s="1"/>
      <c r="XV212" s="1"/>
      <c r="XW212" s="1"/>
      <c r="XX212" s="1"/>
      <c r="XY212" s="1"/>
      <c r="XZ212" s="1"/>
      <c r="YA212" s="1"/>
      <c r="YB212" s="1"/>
      <c r="YC212" s="1"/>
      <c r="YD212" s="1"/>
      <c r="YE212" s="1"/>
      <c r="YF212" s="1"/>
      <c r="YG212" s="1"/>
      <c r="YH212" s="1"/>
      <c r="YI212" s="1"/>
      <c r="YJ212" s="1"/>
      <c r="YK212" s="1"/>
      <c r="YL212" s="1"/>
      <c r="YM212" s="1"/>
      <c r="YN212" s="1"/>
      <c r="YO212" s="1"/>
      <c r="YP212" s="1"/>
      <c r="YQ212" s="1"/>
      <c r="YR212" s="1"/>
      <c r="YS212" s="1"/>
      <c r="YT212" s="1"/>
      <c r="YU212" s="1"/>
      <c r="YV212" s="1"/>
      <c r="YW212" s="1"/>
      <c r="YX212" s="1"/>
      <c r="YY212" s="1"/>
      <c r="YZ212" s="1"/>
      <c r="ZA212" s="1"/>
      <c r="ZB212" s="1"/>
      <c r="ZC212" s="1"/>
      <c r="ZD212" s="1"/>
      <c r="ZE212" s="1"/>
      <c r="ZF212" s="1"/>
      <c r="ZG212" s="1"/>
      <c r="ZH212" s="1"/>
      <c r="ZI212" s="1"/>
      <c r="ZJ212" s="1"/>
      <c r="ZK212" s="1"/>
      <c r="ZL212" s="1"/>
      <c r="ZM212" s="1"/>
      <c r="ZN212" s="1"/>
      <c r="ZO212" s="1"/>
      <c r="ZP212" s="1"/>
      <c r="ZQ212" s="1"/>
      <c r="ZR212" s="1"/>
      <c r="ZS212" s="1"/>
      <c r="ZT212" s="1"/>
      <c r="ZU212" s="1"/>
      <c r="ZV212" s="1"/>
      <c r="ZW212" s="1"/>
      <c r="ZX212" s="1"/>
      <c r="ZY212" s="1"/>
      <c r="ZZ212" s="1"/>
      <c r="AAA212" s="1"/>
      <c r="AAB212" s="1"/>
      <c r="AAC212" s="1"/>
      <c r="AAD212" s="1"/>
      <c r="AAE212" s="1"/>
      <c r="AAF212" s="1"/>
      <c r="AAG212" s="1"/>
      <c r="AAH212" s="1"/>
      <c r="AAI212" s="1"/>
      <c r="AAJ212" s="1"/>
      <c r="AAK212" s="1"/>
      <c r="AAL212" s="1"/>
      <c r="AAM212" s="1"/>
      <c r="AAN212" s="1"/>
      <c r="AAO212" s="1"/>
      <c r="AAP212" s="1"/>
      <c r="AAQ212" s="1"/>
      <c r="AAR212" s="1"/>
      <c r="AAS212" s="1"/>
      <c r="AAT212" s="1"/>
      <c r="AAU212" s="1"/>
      <c r="AAV212" s="1"/>
      <c r="AAW212" s="1"/>
      <c r="AAX212" s="1"/>
      <c r="AAY212" s="1"/>
      <c r="AAZ212" s="1"/>
      <c r="ABA212" s="1"/>
      <c r="ABB212" s="1"/>
      <c r="ABC212" s="1"/>
      <c r="ABD212" s="1"/>
      <c r="ABE212" s="1"/>
      <c r="ABF212" s="1"/>
      <c r="ABG212" s="1"/>
      <c r="ABH212" s="1"/>
      <c r="ABI212" s="1"/>
      <c r="ABJ212" s="1"/>
      <c r="ABK212" s="1"/>
      <c r="ABL212" s="1"/>
      <c r="ABM212" s="1"/>
      <c r="ABN212" s="1"/>
      <c r="ABO212" s="1"/>
      <c r="ABP212" s="1"/>
      <c r="ABQ212" s="1"/>
      <c r="ABR212" s="1"/>
      <c r="ABS212" s="1"/>
      <c r="ABT212" s="1"/>
      <c r="ABU212" s="1"/>
      <c r="ABV212" s="1"/>
      <c r="ABW212" s="1"/>
      <c r="ABX212" s="1"/>
      <c r="ABY212" s="1"/>
      <c r="ABZ212" s="1"/>
      <c r="ACA212" s="1"/>
      <c r="ACB212" s="1"/>
      <c r="ACC212" s="1"/>
      <c r="ACD212" s="1"/>
      <c r="ACE212" s="1"/>
      <c r="ACF212" s="1"/>
      <c r="ACG212" s="1"/>
      <c r="ACH212" s="1"/>
      <c r="ACI212" s="1"/>
      <c r="ACJ212" s="1"/>
      <c r="ACK212" s="1"/>
      <c r="ACL212" s="1"/>
      <c r="ACM212" s="1"/>
      <c r="ACN212" s="1"/>
      <c r="ACO212" s="1"/>
      <c r="ACP212" s="1"/>
      <c r="ACQ212" s="1"/>
      <c r="ACR212" s="1"/>
      <c r="ACS212" s="1"/>
      <c r="ACT212" s="1"/>
      <c r="ACU212" s="1"/>
      <c r="ACV212" s="1"/>
      <c r="ACW212" s="1"/>
      <c r="ACX212" s="1"/>
      <c r="ACY212" s="1"/>
      <c r="ACZ212" s="1"/>
      <c r="ADA212" s="1"/>
      <c r="ADB212" s="1"/>
      <c r="ADC212" s="1"/>
      <c r="ADD212" s="1"/>
      <c r="ADE212" s="1"/>
      <c r="ADF212" s="1"/>
      <c r="ADG212" s="1"/>
      <c r="ADH212" s="1"/>
      <c r="ADI212" s="1"/>
      <c r="ADJ212" s="1"/>
      <c r="ADK212" s="1"/>
      <c r="ADL212" s="1"/>
      <c r="ADM212" s="1"/>
      <c r="ADN212" s="1"/>
      <c r="ADO212" s="1"/>
      <c r="ADP212" s="1"/>
      <c r="ADQ212" s="1"/>
      <c r="ADR212" s="1"/>
      <c r="ADS212" s="1"/>
      <c r="ADT212" s="1"/>
      <c r="ADU212" s="1"/>
      <c r="ADV212" s="1"/>
      <c r="ADW212" s="1"/>
      <c r="ADX212" s="1"/>
      <c r="ADY212" s="1"/>
      <c r="ADZ212" s="1"/>
      <c r="AEA212" s="1"/>
      <c r="AEB212" s="1"/>
      <c r="AEC212" s="1"/>
      <c r="AED212" s="1"/>
      <c r="AEE212" s="1"/>
      <c r="AEF212" s="1"/>
      <c r="AEG212" s="1"/>
      <c r="AEH212" s="1"/>
      <c r="AEI212" s="1"/>
      <c r="AEJ212" s="1"/>
      <c r="AEK212" s="1"/>
      <c r="AEL212" s="1"/>
      <c r="AEM212" s="1"/>
      <c r="AEN212" s="1"/>
      <c r="AEO212" s="1"/>
      <c r="AEP212" s="1"/>
      <c r="AEQ212" s="1"/>
      <c r="AER212" s="1"/>
      <c r="AES212" s="1"/>
      <c r="AET212" s="1"/>
      <c r="AEU212" s="1"/>
      <c r="AEV212" s="1"/>
      <c r="AEW212" s="1"/>
      <c r="AEX212" s="1"/>
      <c r="AEY212" s="1"/>
      <c r="AEZ212" s="1"/>
      <c r="AFA212" s="1"/>
      <c r="AFB212" s="1"/>
      <c r="AFC212" s="1"/>
      <c r="AFD212" s="1"/>
      <c r="AFE212" s="1"/>
      <c r="AFF212" s="1"/>
      <c r="AFG212" s="1"/>
      <c r="AFH212" s="1"/>
      <c r="AFI212" s="1"/>
      <c r="AFJ212" s="1"/>
      <c r="AFK212" s="1"/>
      <c r="AFL212" s="1"/>
      <c r="AFM212" s="1"/>
      <c r="AFN212" s="1"/>
      <c r="AFO212" s="1"/>
      <c r="AFP212" s="1"/>
      <c r="AFQ212" s="1"/>
      <c r="AFR212" s="1"/>
      <c r="AFS212" s="1"/>
      <c r="AFT212" s="1"/>
      <c r="AFU212" s="1"/>
      <c r="AFV212" s="1"/>
      <c r="AFW212" s="1"/>
      <c r="AFX212" s="1"/>
      <c r="AFY212" s="1"/>
      <c r="AFZ212" s="1"/>
      <c r="AGA212" s="1"/>
      <c r="AGB212" s="1"/>
      <c r="AGC212" s="1"/>
      <c r="AGD212" s="1"/>
      <c r="AGE212" s="1"/>
      <c r="AGF212" s="1"/>
      <c r="AGG212" s="1"/>
      <c r="AGH212" s="1"/>
      <c r="AGI212" s="1"/>
      <c r="AGJ212" s="1"/>
      <c r="AGK212" s="1"/>
      <c r="AGL212" s="1"/>
      <c r="AGM212" s="1"/>
      <c r="AGN212" s="1"/>
      <c r="AGO212" s="1"/>
      <c r="AGP212" s="1"/>
      <c r="AGQ212" s="1"/>
      <c r="AGR212" s="1"/>
      <c r="AGS212" s="1"/>
      <c r="AGT212" s="1"/>
      <c r="AGU212" s="1"/>
      <c r="AGV212" s="1"/>
      <c r="AGW212" s="1"/>
      <c r="AGX212" s="1"/>
      <c r="AGY212" s="1"/>
      <c r="AGZ212" s="1"/>
      <c r="AHA212" s="1"/>
      <c r="AHB212" s="1"/>
      <c r="AHC212" s="1"/>
      <c r="AHD212" s="1"/>
      <c r="AHE212" s="1"/>
      <c r="AHF212" s="1"/>
      <c r="AHG212" s="1"/>
      <c r="AHH212" s="1"/>
      <c r="AHI212" s="1"/>
      <c r="AHJ212" s="1"/>
      <c r="AHK212" s="1"/>
      <c r="AHL212" s="1"/>
      <c r="AHM212" s="1"/>
      <c r="AHN212" s="1"/>
      <c r="AHO212" s="1"/>
      <c r="AHP212" s="1"/>
      <c r="AHQ212" s="1"/>
      <c r="AHR212" s="1"/>
      <c r="AHS212" s="1"/>
      <c r="AHT212" s="1"/>
      <c r="AHU212" s="1"/>
      <c r="AHV212" s="1"/>
      <c r="AHW212" s="1"/>
      <c r="AHX212" s="1"/>
      <c r="AHY212" s="1"/>
      <c r="AHZ212" s="1"/>
      <c r="AIA212" s="1"/>
      <c r="AIB212" s="1"/>
      <c r="AIC212" s="1"/>
      <c r="AID212" s="1"/>
      <c r="AIE212" s="1"/>
      <c r="AIF212" s="1"/>
      <c r="AIG212" s="1"/>
      <c r="AIH212" s="1"/>
      <c r="AII212" s="1"/>
      <c r="AIJ212" s="1"/>
      <c r="AIK212" s="1"/>
      <c r="AIL212" s="1"/>
      <c r="AIM212" s="1"/>
      <c r="AIN212" s="1"/>
      <c r="AIO212" s="1"/>
      <c r="AIP212" s="1"/>
      <c r="AIQ212" s="1"/>
      <c r="AIR212" s="1"/>
      <c r="AIS212" s="1"/>
      <c r="AIT212" s="1"/>
      <c r="AIU212" s="1"/>
      <c r="AIV212" s="1"/>
      <c r="AIW212" s="1"/>
      <c r="AIX212" s="1"/>
      <c r="AIY212" s="1"/>
      <c r="AIZ212" s="1"/>
      <c r="AJA212" s="1"/>
      <c r="AJB212" s="1"/>
      <c r="AJC212" s="1"/>
      <c r="AJD212" s="1"/>
      <c r="AJE212" s="1"/>
      <c r="AJF212" s="1"/>
      <c r="AJG212" s="1"/>
      <c r="AJH212" s="1"/>
      <c r="AJI212" s="1"/>
      <c r="AJJ212" s="1"/>
      <c r="AJK212" s="1"/>
      <c r="AJL212" s="1"/>
      <c r="AJM212" s="1"/>
      <c r="AJN212" s="1"/>
      <c r="AJO212" s="1"/>
      <c r="AJP212" s="1"/>
      <c r="AJQ212" s="1"/>
      <c r="AJR212" s="1"/>
      <c r="AJS212" s="1"/>
      <c r="AJT212" s="1"/>
      <c r="AJU212" s="1"/>
      <c r="AJV212" s="1"/>
      <c r="AJW212" s="1"/>
      <c r="AJX212" s="1"/>
      <c r="AJY212" s="1"/>
      <c r="AJZ212" s="1"/>
      <c r="AKA212" s="1"/>
      <c r="AKB212" s="1"/>
      <c r="AKC212" s="1"/>
      <c r="AKD212" s="1"/>
      <c r="AKE212" s="1"/>
      <c r="AKF212" s="1"/>
      <c r="AKG212" s="1"/>
      <c r="AKH212" s="1"/>
      <c r="AKI212" s="1"/>
      <c r="AKJ212" s="1"/>
      <c r="AKK212" s="1"/>
      <c r="AKL212" s="1"/>
      <c r="AKM212" s="1"/>
      <c r="AKN212" s="1"/>
      <c r="AKO212" s="1"/>
      <c r="AKP212" s="1"/>
      <c r="AKQ212" s="1"/>
      <c r="AKR212" s="1"/>
      <c r="AKS212" s="1"/>
      <c r="AKT212" s="1"/>
      <c r="AKU212" s="1"/>
      <c r="AKV212" s="1"/>
      <c r="AKW212" s="1"/>
      <c r="AKX212" s="1"/>
      <c r="AKY212" s="1"/>
      <c r="AKZ212" s="1"/>
      <c r="ALA212" s="1"/>
      <c r="ALB212" s="1"/>
      <c r="ALC212" s="1"/>
      <c r="ALD212" s="1"/>
      <c r="ALE212" s="1"/>
      <c r="ALF212" s="1"/>
      <c r="ALG212" s="1"/>
      <c r="ALH212" s="1"/>
      <c r="ALI212" s="1"/>
      <c r="ALJ212" s="1"/>
      <c r="ALK212" s="1"/>
      <c r="ALL212" s="1"/>
      <c r="ALM212" s="1"/>
      <c r="ALN212" s="1"/>
      <c r="ALO212" s="1"/>
      <c r="ALP212" s="1"/>
      <c r="ALQ212" s="1"/>
      <c r="ALR212" s="1"/>
      <c r="ALS212" s="1"/>
      <c r="ALT212" s="1"/>
      <c r="ALU212" s="1"/>
      <c r="ALV212" s="1"/>
      <c r="ALW212" s="1"/>
      <c r="ALX212" s="1"/>
      <c r="ALY212" s="1"/>
      <c r="ALZ212" s="1"/>
      <c r="AMA212" s="1"/>
      <c r="AMB212" s="1"/>
      <c r="AMC212" s="1"/>
      <c r="AMD212" s="1"/>
      <c r="AME212" s="1"/>
      <c r="AMF212" s="1"/>
      <c r="AMG212" s="1"/>
      <c r="AMH212" s="1"/>
      <c r="AMI212" s="1"/>
      <c r="AMJ212" s="1"/>
      <c r="AMK212" s="1"/>
      <c r="AML212" s="1"/>
      <c r="AMM212" s="1"/>
      <c r="AMN212" s="1"/>
      <c r="AMO212" s="1"/>
      <c r="AMP212" s="1"/>
      <c r="AMQ212" s="1"/>
      <c r="AMR212" s="1"/>
      <c r="AMS212" s="1"/>
      <c r="AMT212" s="1"/>
      <c r="AMU212" s="1"/>
      <c r="AMV212" s="1"/>
      <c r="AMW212" s="1"/>
      <c r="AMX212" s="1"/>
      <c r="AMY212" s="1"/>
      <c r="AMZ212" s="1"/>
      <c r="ANA212" s="1"/>
      <c r="ANB212" s="1"/>
      <c r="ANC212" s="1"/>
      <c r="AND212" s="1"/>
      <c r="ANE212" s="1"/>
      <c r="ANF212" s="1"/>
      <c r="ANG212" s="1"/>
      <c r="ANH212" s="1"/>
      <c r="ANI212" s="1"/>
      <c r="ANJ212" s="1"/>
      <c r="ANK212" s="1"/>
      <c r="ANL212" s="1"/>
      <c r="ANM212" s="1"/>
      <c r="ANN212" s="1"/>
      <c r="ANO212" s="1"/>
      <c r="ANP212" s="1"/>
      <c r="ANQ212" s="1"/>
      <c r="ANR212" s="1"/>
      <c r="ANS212" s="1"/>
      <c r="ANT212" s="1"/>
      <c r="ANU212" s="1"/>
      <c r="ANV212" s="1"/>
      <c r="ANW212" s="1"/>
      <c r="ANX212" s="1"/>
      <c r="ANY212" s="1"/>
      <c r="ANZ212" s="1"/>
      <c r="AOA212" s="1"/>
      <c r="AOB212" s="1"/>
      <c r="AOC212" s="1"/>
      <c r="AOD212" s="1"/>
      <c r="AOE212" s="1"/>
      <c r="AOF212" s="1"/>
      <c r="AOG212" s="1"/>
      <c r="AOH212" s="1"/>
      <c r="AOI212" s="1"/>
      <c r="AOJ212" s="1"/>
      <c r="AOK212" s="1"/>
      <c r="AOL212" s="1"/>
      <c r="AOM212" s="1"/>
      <c r="AON212" s="1"/>
      <c r="AOO212" s="1"/>
      <c r="AOP212" s="1"/>
      <c r="AOQ212" s="1"/>
      <c r="AOR212" s="1"/>
      <c r="AOS212" s="1"/>
      <c r="AOT212" s="1"/>
      <c r="AOU212" s="1"/>
      <c r="AOV212" s="1"/>
      <c r="AOW212" s="1"/>
      <c r="AOX212" s="1"/>
      <c r="AOY212" s="1"/>
      <c r="AOZ212" s="1"/>
      <c r="APA212" s="1"/>
      <c r="APB212" s="1"/>
      <c r="APC212" s="1"/>
      <c r="APD212" s="1"/>
      <c r="APE212" s="1"/>
      <c r="APF212" s="1"/>
      <c r="APG212" s="1"/>
      <c r="APH212" s="1"/>
      <c r="API212" s="1"/>
      <c r="APJ212" s="1"/>
      <c r="APK212" s="1"/>
      <c r="APL212" s="1"/>
      <c r="APM212" s="1"/>
      <c r="APN212" s="1"/>
      <c r="APO212" s="1"/>
      <c r="APP212" s="1"/>
      <c r="APQ212" s="1"/>
      <c r="APR212" s="1"/>
      <c r="APS212" s="1"/>
      <c r="APT212" s="1"/>
      <c r="APU212" s="1"/>
      <c r="APV212" s="1"/>
      <c r="APW212" s="1"/>
      <c r="APX212" s="1"/>
      <c r="APY212" s="1"/>
      <c r="APZ212" s="1"/>
      <c r="AQA212" s="1"/>
      <c r="AQB212" s="1"/>
      <c r="AQC212" s="1"/>
      <c r="AQD212" s="1"/>
      <c r="AQE212" s="1"/>
      <c r="AQF212" s="1"/>
      <c r="AQG212" s="1"/>
      <c r="AQH212" s="1"/>
      <c r="AQI212" s="1"/>
      <c r="AQJ212" s="1"/>
      <c r="AQK212" s="1"/>
      <c r="AQL212" s="1"/>
      <c r="AQM212" s="1"/>
      <c r="AQN212" s="1"/>
      <c r="AQO212" s="1"/>
      <c r="AQP212" s="1"/>
      <c r="AQQ212" s="1"/>
      <c r="AQR212" s="1"/>
      <c r="AQS212" s="1"/>
      <c r="AQT212" s="1"/>
      <c r="AQU212" s="1"/>
      <c r="AQV212" s="1"/>
      <c r="AQW212" s="1"/>
      <c r="AQX212" s="1"/>
      <c r="AQY212" s="1"/>
      <c r="AQZ212" s="1"/>
      <c r="ARA212" s="1"/>
      <c r="ARB212" s="1"/>
      <c r="ARC212" s="1"/>
      <c r="ARD212" s="1"/>
      <c r="ARE212" s="1"/>
      <c r="ARF212" s="1"/>
      <c r="ARG212" s="1"/>
      <c r="ARH212" s="1"/>
      <c r="ARI212" s="1"/>
      <c r="ARJ212" s="1"/>
      <c r="ARK212" s="1"/>
      <c r="ARL212" s="1"/>
      <c r="ARM212" s="1"/>
      <c r="ARN212" s="1"/>
      <c r="ARO212" s="1"/>
      <c r="ARP212" s="1"/>
      <c r="ARQ212" s="1"/>
      <c r="ARR212" s="1"/>
      <c r="ARS212" s="1"/>
      <c r="ART212" s="1"/>
      <c r="ARU212" s="1"/>
      <c r="ARV212" s="1"/>
      <c r="ARW212" s="1"/>
      <c r="ARX212" s="1"/>
      <c r="ARY212" s="1"/>
      <c r="ARZ212" s="1"/>
      <c r="ASA212" s="1"/>
      <c r="ASB212" s="1"/>
      <c r="ASC212" s="1"/>
      <c r="ASD212" s="1"/>
      <c r="ASE212" s="1"/>
      <c r="ASF212" s="1"/>
      <c r="ASG212" s="1"/>
      <c r="ASH212" s="1"/>
      <c r="ASI212" s="1"/>
      <c r="ASJ212" s="1"/>
      <c r="ASK212" s="1"/>
      <c r="ASL212" s="1"/>
      <c r="ASM212" s="1"/>
      <c r="ASN212" s="1"/>
      <c r="ASO212" s="1"/>
      <c r="ASP212" s="1"/>
      <c r="ASQ212" s="1"/>
      <c r="ASR212" s="1"/>
      <c r="ASS212" s="1"/>
      <c r="AST212" s="1"/>
      <c r="ASU212" s="1"/>
      <c r="ASV212" s="1"/>
      <c r="ASW212" s="1"/>
      <c r="ASX212" s="1"/>
      <c r="ASY212" s="1"/>
      <c r="ASZ212" s="1"/>
      <c r="ATA212" s="1"/>
      <c r="ATB212" s="1"/>
      <c r="ATC212" s="1"/>
      <c r="ATD212" s="1"/>
      <c r="ATE212" s="1"/>
      <c r="ATF212" s="1"/>
      <c r="ATG212" s="1"/>
      <c r="ATH212" s="1"/>
      <c r="ATI212" s="1"/>
      <c r="ATJ212" s="1"/>
      <c r="ATK212" s="1"/>
      <c r="ATL212" s="1"/>
      <c r="ATM212" s="1"/>
      <c r="ATN212" s="1"/>
      <c r="ATO212" s="1"/>
      <c r="ATP212" s="1"/>
      <c r="ATQ212" s="1"/>
      <c r="ATR212" s="1"/>
      <c r="ATS212" s="1"/>
      <c r="ATT212" s="1"/>
      <c r="ATU212" s="1"/>
      <c r="ATV212" s="1"/>
      <c r="ATW212" s="1"/>
      <c r="ATX212" s="1"/>
      <c r="ATY212" s="1"/>
      <c r="ATZ212" s="1"/>
      <c r="AUA212" s="1"/>
      <c r="AUB212" s="1"/>
      <c r="AUC212" s="1"/>
      <c r="AUD212" s="1"/>
      <c r="AUE212" s="1"/>
      <c r="AUF212" s="1"/>
      <c r="AUG212" s="1"/>
      <c r="AUH212" s="1"/>
      <c r="AUI212" s="1"/>
      <c r="AUJ212" s="1"/>
      <c r="AUK212" s="1"/>
      <c r="AUL212" s="1"/>
      <c r="AUM212" s="1"/>
      <c r="AUN212" s="1"/>
      <c r="AUO212" s="1"/>
      <c r="AUP212" s="1"/>
      <c r="AUQ212" s="1"/>
      <c r="AUR212" s="1"/>
      <c r="AUS212" s="1"/>
      <c r="AUT212" s="1"/>
      <c r="AUU212" s="1"/>
      <c r="AUV212" s="1"/>
      <c r="AUW212" s="1"/>
      <c r="AUX212" s="1"/>
      <c r="AUY212" s="1"/>
      <c r="AUZ212" s="1"/>
      <c r="AVA212" s="1"/>
      <c r="AVB212" s="1"/>
      <c r="AVC212" s="1"/>
      <c r="AVD212" s="1"/>
      <c r="AVE212" s="1"/>
      <c r="AVF212" s="1"/>
      <c r="AVG212" s="1"/>
      <c r="AVH212" s="1"/>
      <c r="AVI212" s="1"/>
      <c r="AVJ212" s="1"/>
      <c r="AVK212" s="1"/>
      <c r="AVL212" s="1"/>
      <c r="AVM212" s="1"/>
      <c r="AVN212" s="1"/>
      <c r="AVO212" s="1"/>
      <c r="AVP212" s="1"/>
      <c r="AVQ212" s="1"/>
      <c r="AVR212" s="1"/>
      <c r="AVS212" s="1"/>
      <c r="AVT212" s="1"/>
      <c r="AVU212" s="1"/>
      <c r="AVV212" s="1"/>
      <c r="AVW212" s="1"/>
      <c r="AVX212" s="1"/>
      <c r="AVY212" s="1"/>
      <c r="AVZ212" s="1"/>
      <c r="AWA212" s="1"/>
      <c r="AWB212" s="1"/>
      <c r="AWC212" s="1"/>
      <c r="AWD212" s="1"/>
      <c r="AWE212" s="1"/>
      <c r="AWF212" s="1"/>
      <c r="AWG212" s="1"/>
      <c r="AWH212" s="1"/>
      <c r="AWI212" s="1"/>
      <c r="AWJ212" s="1"/>
      <c r="AWK212" s="1"/>
      <c r="AWL212" s="1"/>
      <c r="AWM212" s="1"/>
      <c r="AWN212" s="1"/>
      <c r="AWO212" s="1"/>
      <c r="AWP212" s="1"/>
      <c r="AWQ212" s="1"/>
      <c r="AWR212" s="1"/>
      <c r="AWS212" s="1"/>
      <c r="AWT212" s="1"/>
      <c r="AWU212" s="1"/>
      <c r="AWV212" s="1"/>
      <c r="AWW212" s="1"/>
      <c r="AWX212" s="1"/>
      <c r="AWY212" s="1"/>
      <c r="AWZ212" s="1"/>
      <c r="AXA212" s="1"/>
      <c r="AXB212" s="1"/>
      <c r="AXC212" s="1"/>
      <c r="AXD212" s="1"/>
      <c r="AXE212" s="1"/>
      <c r="AXF212" s="1"/>
      <c r="AXG212" s="1"/>
      <c r="AXH212" s="1"/>
      <c r="AXI212" s="1"/>
      <c r="AXJ212" s="1"/>
      <c r="AXK212" s="1"/>
      <c r="AXL212" s="1"/>
      <c r="AXM212" s="1"/>
      <c r="AXN212" s="1"/>
      <c r="AXO212" s="1"/>
      <c r="AXP212" s="1"/>
      <c r="AXQ212" s="1"/>
      <c r="AXR212" s="1"/>
      <c r="AXS212" s="1"/>
      <c r="AXT212" s="1"/>
      <c r="AXU212" s="1"/>
      <c r="AXV212" s="1"/>
      <c r="AXW212" s="1"/>
      <c r="AXX212" s="1"/>
      <c r="AXY212" s="1"/>
      <c r="AXZ212" s="1"/>
      <c r="AYA212" s="1"/>
      <c r="AYB212" s="1"/>
      <c r="AYC212" s="1"/>
      <c r="AYD212" s="1"/>
      <c r="AYE212" s="1"/>
      <c r="AYF212" s="1"/>
      <c r="AYG212" s="1"/>
      <c r="AYH212" s="1"/>
      <c r="AYI212" s="1"/>
      <c r="AYJ212" s="1"/>
      <c r="AYK212" s="1"/>
      <c r="AYL212" s="1"/>
      <c r="AYM212" s="1"/>
      <c r="AYN212" s="1"/>
      <c r="AYO212" s="1"/>
      <c r="AYP212" s="1"/>
      <c r="AYQ212" s="1"/>
      <c r="AYR212" s="1"/>
      <c r="AYS212" s="1"/>
      <c r="AYT212" s="1"/>
      <c r="AYU212" s="1"/>
      <c r="AYV212" s="1"/>
      <c r="AYW212" s="1"/>
      <c r="AYX212" s="1"/>
      <c r="AYY212" s="1"/>
      <c r="AYZ212" s="1"/>
      <c r="AZA212" s="1"/>
      <c r="AZB212" s="1"/>
      <c r="AZC212" s="1"/>
      <c r="AZD212" s="1"/>
      <c r="AZE212" s="1"/>
      <c r="AZF212" s="1"/>
      <c r="AZG212" s="1"/>
      <c r="AZH212" s="1"/>
      <c r="AZI212" s="1"/>
      <c r="AZJ212" s="1"/>
      <c r="AZK212" s="1"/>
      <c r="AZL212" s="1"/>
      <c r="AZM212" s="1"/>
      <c r="AZN212" s="1"/>
      <c r="AZO212" s="1"/>
      <c r="AZP212" s="1"/>
      <c r="AZQ212" s="1"/>
      <c r="AZR212" s="1"/>
      <c r="AZS212" s="1"/>
      <c r="AZT212" s="1"/>
      <c r="AZU212" s="1"/>
      <c r="AZV212" s="1"/>
      <c r="AZW212" s="1"/>
      <c r="AZX212" s="1"/>
      <c r="AZY212" s="1"/>
      <c r="AZZ212" s="1"/>
      <c r="BAA212" s="1"/>
      <c r="BAB212" s="1"/>
      <c r="BAC212" s="1"/>
      <c r="BAD212" s="1"/>
      <c r="BAE212" s="1"/>
      <c r="BAF212" s="1"/>
      <c r="BAG212" s="1"/>
      <c r="BAH212" s="1"/>
      <c r="BAI212" s="1"/>
      <c r="BAJ212" s="1"/>
      <c r="BAK212" s="1"/>
      <c r="BAL212" s="1"/>
      <c r="BAM212" s="1"/>
      <c r="BAN212" s="1"/>
      <c r="BAO212" s="1"/>
      <c r="BAP212" s="1"/>
      <c r="BAQ212" s="1"/>
      <c r="BAR212" s="1"/>
      <c r="BAS212" s="1"/>
      <c r="BAT212" s="1"/>
      <c r="BAU212" s="1"/>
      <c r="BAV212" s="1"/>
      <c r="BAW212" s="1"/>
      <c r="BAX212" s="1"/>
      <c r="BAY212" s="1"/>
      <c r="BAZ212" s="1"/>
      <c r="BBA212" s="1"/>
      <c r="BBB212" s="1"/>
      <c r="BBC212" s="1"/>
      <c r="BBD212" s="1"/>
      <c r="BBE212" s="1"/>
      <c r="BBF212" s="1"/>
      <c r="BBG212" s="1"/>
      <c r="BBH212" s="1"/>
      <c r="BBI212" s="1"/>
      <c r="BBJ212" s="1"/>
      <c r="BBK212" s="1"/>
      <c r="BBL212" s="1"/>
      <c r="BBM212" s="1"/>
      <c r="BBN212" s="1"/>
      <c r="BBO212" s="1"/>
      <c r="BBP212" s="1"/>
      <c r="BBQ212" s="1"/>
      <c r="BBR212" s="1"/>
      <c r="BBS212" s="1"/>
      <c r="BBT212" s="1"/>
      <c r="BBU212" s="1"/>
      <c r="BBV212" s="1"/>
      <c r="BBW212" s="1"/>
      <c r="BBX212" s="1"/>
      <c r="BBY212" s="1"/>
      <c r="BBZ212" s="1"/>
      <c r="BCA212" s="1"/>
      <c r="BCB212" s="1"/>
      <c r="BCC212" s="1"/>
      <c r="BCD212" s="1"/>
      <c r="BCE212" s="1"/>
      <c r="BCF212" s="1"/>
      <c r="BCG212" s="1"/>
      <c r="BCH212" s="1"/>
      <c r="BCI212" s="1"/>
      <c r="BCJ212" s="1"/>
      <c r="BCK212" s="1"/>
      <c r="BCL212" s="1"/>
      <c r="BCM212" s="1"/>
      <c r="BCN212" s="1"/>
      <c r="BCO212" s="1"/>
      <c r="BCP212" s="1"/>
      <c r="BCQ212" s="1"/>
      <c r="BCR212" s="1"/>
      <c r="BCS212" s="1"/>
      <c r="BCT212" s="1"/>
      <c r="BCU212" s="1"/>
      <c r="BCV212" s="1"/>
      <c r="BCW212" s="1"/>
      <c r="BCX212" s="1"/>
      <c r="BCY212" s="1"/>
      <c r="BCZ212" s="1"/>
      <c r="BDA212" s="1"/>
      <c r="BDB212" s="1"/>
      <c r="BDC212" s="1"/>
      <c r="BDD212" s="1"/>
      <c r="BDE212" s="1"/>
      <c r="BDF212" s="1"/>
      <c r="BDG212" s="1"/>
      <c r="BDH212" s="1"/>
      <c r="BDI212" s="1"/>
      <c r="BDJ212" s="1"/>
      <c r="BDK212" s="1"/>
      <c r="BDL212" s="1"/>
      <c r="BDM212" s="1"/>
      <c r="BDN212" s="1"/>
      <c r="BDO212" s="1"/>
      <c r="BDP212" s="1"/>
      <c r="BDQ212" s="1"/>
      <c r="BDR212" s="1"/>
      <c r="BDS212" s="1"/>
      <c r="BDT212" s="1"/>
      <c r="BDU212" s="1"/>
      <c r="BDV212" s="1"/>
      <c r="BDW212" s="1"/>
      <c r="BDX212" s="1"/>
      <c r="BDY212" s="1"/>
      <c r="BDZ212" s="1"/>
      <c r="BEA212" s="1"/>
      <c r="BEB212" s="1"/>
      <c r="BEC212" s="1"/>
      <c r="BED212" s="1"/>
      <c r="BEE212" s="1"/>
      <c r="BEF212" s="1"/>
      <c r="BEG212" s="1"/>
      <c r="BEH212" s="1"/>
      <c r="BEI212" s="1"/>
      <c r="BEJ212" s="1"/>
      <c r="BEK212" s="1"/>
      <c r="BEL212" s="1"/>
      <c r="BEM212" s="1"/>
      <c r="BEN212" s="1"/>
      <c r="BEO212" s="1"/>
      <c r="BEP212" s="1"/>
      <c r="BEQ212" s="1"/>
      <c r="BER212" s="1"/>
      <c r="BES212" s="1"/>
      <c r="BET212" s="1"/>
      <c r="BEU212" s="1"/>
      <c r="BEV212" s="1"/>
      <c r="BEW212" s="1"/>
      <c r="BEX212" s="1"/>
      <c r="BEY212" s="1"/>
      <c r="BEZ212" s="1"/>
      <c r="BFA212" s="1"/>
      <c r="BFB212" s="1"/>
      <c r="BFC212" s="1"/>
      <c r="BFD212" s="1"/>
      <c r="BFE212" s="1"/>
      <c r="BFF212" s="1"/>
      <c r="BFG212" s="1"/>
      <c r="BFH212" s="1"/>
      <c r="BFI212" s="1"/>
      <c r="BFJ212" s="1"/>
      <c r="BFK212" s="1"/>
      <c r="BFL212" s="1"/>
      <c r="BFM212" s="1"/>
      <c r="BFN212" s="1"/>
      <c r="BFO212" s="1"/>
      <c r="BFP212" s="1"/>
      <c r="BFQ212" s="1"/>
      <c r="BFR212" s="1"/>
      <c r="BFS212" s="1"/>
      <c r="BFT212" s="1"/>
      <c r="BFU212" s="1"/>
      <c r="BFV212" s="1"/>
      <c r="BFW212" s="1"/>
      <c r="BFX212" s="1"/>
      <c r="BFY212" s="1"/>
      <c r="BFZ212" s="1"/>
      <c r="BGA212" s="1"/>
      <c r="BGB212" s="1"/>
      <c r="BGC212" s="1"/>
      <c r="BGD212" s="1"/>
      <c r="BGE212" s="1"/>
      <c r="BGF212" s="1"/>
      <c r="BGG212" s="1"/>
      <c r="BGH212" s="1"/>
      <c r="BGI212" s="1"/>
      <c r="BGJ212" s="1"/>
      <c r="BGK212" s="1"/>
      <c r="BGL212" s="1"/>
      <c r="BGM212" s="1"/>
      <c r="BGN212" s="1"/>
      <c r="BGO212" s="1"/>
      <c r="BGP212" s="1"/>
      <c r="BGQ212" s="1"/>
      <c r="BGR212" s="1"/>
      <c r="BGS212" s="1"/>
      <c r="BGT212" s="1"/>
      <c r="BGU212" s="1"/>
      <c r="BGV212" s="1"/>
      <c r="BGW212" s="1"/>
      <c r="BGX212" s="1"/>
      <c r="BGY212" s="1"/>
      <c r="BGZ212" s="1"/>
      <c r="BHA212" s="1"/>
      <c r="BHB212" s="1"/>
      <c r="BHC212" s="1"/>
      <c r="BHD212" s="1"/>
      <c r="BHE212" s="1"/>
      <c r="BHF212" s="1"/>
      <c r="BHG212" s="1"/>
      <c r="BHH212" s="1"/>
      <c r="BHI212" s="1"/>
      <c r="BHJ212" s="1"/>
      <c r="BHK212" s="1"/>
      <c r="BHL212" s="1"/>
      <c r="BHM212" s="1"/>
      <c r="BHN212" s="1"/>
      <c r="BHO212" s="1"/>
      <c r="BHP212" s="1"/>
      <c r="BHQ212" s="1"/>
      <c r="BHR212" s="1"/>
      <c r="BHS212" s="1"/>
      <c r="BHT212" s="1"/>
      <c r="BHU212" s="1"/>
      <c r="BHV212" s="1"/>
      <c r="BHW212" s="1"/>
      <c r="BHX212" s="1"/>
      <c r="BHY212" s="1"/>
      <c r="BHZ212" s="1"/>
      <c r="BIA212" s="1"/>
      <c r="BIB212" s="1"/>
      <c r="BIC212" s="1"/>
      <c r="BID212" s="1"/>
      <c r="BIE212" s="1"/>
      <c r="BIF212" s="1"/>
      <c r="BIG212" s="1"/>
      <c r="BIH212" s="1"/>
      <c r="BII212" s="1"/>
      <c r="BIJ212" s="1"/>
      <c r="BIK212" s="1"/>
      <c r="BIL212" s="1"/>
      <c r="BIM212" s="1"/>
      <c r="BIN212" s="1"/>
      <c r="BIO212" s="1"/>
      <c r="BIP212" s="1"/>
      <c r="BIQ212" s="1"/>
      <c r="BIR212" s="1"/>
      <c r="BIS212" s="1"/>
      <c r="BIT212" s="1"/>
      <c r="BIU212" s="1"/>
      <c r="BIV212" s="1"/>
      <c r="BIW212" s="1"/>
      <c r="BIX212" s="1"/>
      <c r="BIY212" s="1"/>
      <c r="BIZ212" s="1"/>
      <c r="BJA212" s="1"/>
      <c r="BJB212" s="1"/>
      <c r="BJC212" s="1"/>
      <c r="BJD212" s="1"/>
      <c r="BJE212" s="1"/>
      <c r="BJF212" s="1"/>
      <c r="BJG212" s="1"/>
      <c r="BJH212" s="1"/>
      <c r="BJI212" s="1"/>
      <c r="BJJ212" s="1"/>
      <c r="BJK212" s="1"/>
      <c r="BJL212" s="1"/>
      <c r="BJM212" s="1"/>
      <c r="BJN212" s="1"/>
      <c r="BJO212" s="1"/>
      <c r="BJP212" s="1"/>
      <c r="BJQ212" s="1"/>
      <c r="BJR212" s="1"/>
      <c r="BJS212" s="1"/>
      <c r="BJT212" s="1"/>
      <c r="BJU212" s="1"/>
      <c r="BJV212" s="1"/>
      <c r="BJW212" s="1"/>
      <c r="BJX212" s="1"/>
      <c r="BJY212" s="1"/>
      <c r="BJZ212" s="1"/>
      <c r="BKA212" s="1"/>
      <c r="BKB212" s="1"/>
      <c r="BKC212" s="1"/>
      <c r="BKD212" s="1"/>
      <c r="BKE212" s="1"/>
      <c r="BKF212" s="1"/>
      <c r="BKG212" s="1"/>
      <c r="BKH212" s="1"/>
      <c r="BKI212" s="1"/>
      <c r="BKJ212" s="1"/>
      <c r="BKK212" s="1"/>
      <c r="BKL212" s="1"/>
      <c r="BKM212" s="1"/>
      <c r="BKN212" s="1"/>
      <c r="BKO212" s="1"/>
      <c r="BKP212" s="1"/>
      <c r="BKQ212" s="1"/>
      <c r="BKR212" s="1"/>
      <c r="BKS212" s="1"/>
      <c r="BKT212" s="1"/>
      <c r="BKU212" s="1"/>
      <c r="BKV212" s="1"/>
      <c r="BKW212" s="1"/>
      <c r="BKX212" s="1"/>
      <c r="BKY212" s="1"/>
      <c r="BKZ212" s="1"/>
      <c r="BLA212" s="1"/>
      <c r="BLB212" s="1"/>
      <c r="BLC212" s="1"/>
      <c r="BLD212" s="1"/>
      <c r="BLE212" s="1"/>
      <c r="BLF212" s="1"/>
      <c r="BLG212" s="1"/>
      <c r="BLH212" s="1"/>
      <c r="BLI212" s="1"/>
      <c r="BLJ212" s="1"/>
      <c r="BLK212" s="1"/>
      <c r="BLL212" s="1"/>
      <c r="BLM212" s="1"/>
      <c r="BLN212" s="1"/>
      <c r="BLO212" s="1"/>
      <c r="BLP212" s="1"/>
      <c r="BLQ212" s="1"/>
      <c r="BLR212" s="1"/>
      <c r="BLS212" s="1"/>
      <c r="BLT212" s="1"/>
      <c r="BLU212" s="1"/>
      <c r="BLV212" s="1"/>
      <c r="BLW212" s="1"/>
      <c r="BLX212" s="1"/>
      <c r="BLY212" s="1"/>
      <c r="BLZ212" s="1"/>
      <c r="BMA212" s="1"/>
      <c r="BMB212" s="1"/>
      <c r="BMC212" s="1"/>
      <c r="BMD212" s="1"/>
      <c r="BME212" s="1"/>
      <c r="BMF212" s="1"/>
      <c r="BMG212" s="1"/>
      <c r="BMH212" s="1"/>
      <c r="BMI212" s="1"/>
      <c r="BMJ212" s="1"/>
      <c r="BMK212" s="1"/>
      <c r="BML212" s="1"/>
      <c r="BMM212" s="1"/>
      <c r="BMN212" s="1"/>
      <c r="BMO212" s="1"/>
      <c r="BMP212" s="1"/>
      <c r="BMQ212" s="1"/>
      <c r="BMR212" s="1"/>
      <c r="BMS212" s="1"/>
      <c r="BMT212" s="1"/>
      <c r="BMU212" s="1"/>
      <c r="BMV212" s="1"/>
      <c r="BMW212" s="1"/>
      <c r="BMX212" s="1"/>
      <c r="BMY212" s="1"/>
      <c r="BMZ212" s="1"/>
      <c r="BNA212" s="1"/>
      <c r="BNB212" s="1"/>
      <c r="BNC212" s="1"/>
      <c r="BND212" s="1"/>
      <c r="BNE212" s="1"/>
      <c r="BNF212" s="1"/>
      <c r="BNG212" s="1"/>
      <c r="BNH212" s="1"/>
      <c r="BNI212" s="1"/>
      <c r="BNJ212" s="1"/>
      <c r="BNK212" s="1"/>
      <c r="BNL212" s="1"/>
      <c r="BNM212" s="1"/>
      <c r="BNN212" s="1"/>
      <c r="BNO212" s="1"/>
      <c r="BNP212" s="1"/>
      <c r="BNQ212" s="1"/>
      <c r="BNR212" s="1"/>
      <c r="BNS212" s="1"/>
      <c r="BNT212" s="1"/>
      <c r="BNU212" s="1"/>
      <c r="BNV212" s="1"/>
      <c r="BNW212" s="1"/>
      <c r="BNX212" s="1"/>
      <c r="BNY212" s="1"/>
      <c r="BNZ212" s="1"/>
      <c r="BOA212" s="1"/>
      <c r="BOB212" s="1"/>
      <c r="BOC212" s="1"/>
      <c r="BOD212" s="1"/>
      <c r="BOE212" s="1"/>
      <c r="BOF212" s="1"/>
      <c r="BOG212" s="1"/>
      <c r="BOH212" s="1"/>
      <c r="BOI212" s="1"/>
      <c r="BOJ212" s="1"/>
      <c r="BOK212" s="1"/>
      <c r="BOL212" s="1"/>
      <c r="BOM212" s="1"/>
      <c r="BON212" s="1"/>
      <c r="BOO212" s="1"/>
      <c r="BOP212" s="1"/>
      <c r="BOQ212" s="1"/>
      <c r="BOR212" s="1"/>
      <c r="BOS212" s="1"/>
      <c r="BOT212" s="1"/>
      <c r="BOU212" s="1"/>
      <c r="BOV212" s="1"/>
      <c r="BOW212" s="1"/>
      <c r="BOX212" s="1"/>
      <c r="BOY212" s="1"/>
      <c r="BOZ212" s="1"/>
      <c r="BPA212" s="1"/>
      <c r="BPB212" s="1"/>
      <c r="BPC212" s="1"/>
      <c r="BPD212" s="1"/>
      <c r="BPE212" s="1"/>
      <c r="BPF212" s="1"/>
      <c r="BPG212" s="1"/>
      <c r="BPH212" s="1"/>
      <c r="BPI212" s="1"/>
      <c r="BPJ212" s="1"/>
      <c r="BPK212" s="1"/>
      <c r="BPL212" s="1"/>
      <c r="BPM212" s="1"/>
      <c r="BPN212" s="1"/>
      <c r="BPO212" s="1"/>
      <c r="BPP212" s="1"/>
      <c r="BPQ212" s="1"/>
      <c r="BPR212" s="1"/>
      <c r="BPS212" s="1"/>
      <c r="BPT212" s="1"/>
      <c r="BPU212" s="1"/>
      <c r="BPV212" s="1"/>
      <c r="BPW212" s="1"/>
      <c r="BPX212" s="1"/>
      <c r="BPY212" s="1"/>
      <c r="BPZ212" s="1"/>
      <c r="BQA212" s="1"/>
      <c r="BQB212" s="1"/>
      <c r="BQC212" s="1"/>
      <c r="BQD212" s="1"/>
      <c r="BQE212" s="1"/>
      <c r="BQF212" s="1"/>
      <c r="BQG212" s="1"/>
      <c r="BQH212" s="1"/>
      <c r="BQI212" s="1"/>
      <c r="BQJ212" s="1"/>
      <c r="BQK212" s="1"/>
      <c r="BQL212" s="1"/>
      <c r="BQM212" s="1"/>
      <c r="BQN212" s="1"/>
      <c r="BQO212" s="1"/>
      <c r="BQP212" s="1"/>
      <c r="BQQ212" s="1"/>
      <c r="BQR212" s="1"/>
      <c r="BQS212" s="1"/>
      <c r="BQT212" s="1"/>
      <c r="BQU212" s="1"/>
      <c r="BQV212" s="1"/>
      <c r="BQW212" s="1"/>
      <c r="BQX212" s="1"/>
      <c r="BQY212" s="1"/>
      <c r="BQZ212" s="1"/>
      <c r="BRA212" s="1"/>
      <c r="BRB212" s="1"/>
      <c r="BRC212" s="1"/>
      <c r="BRD212" s="1"/>
      <c r="BRE212" s="1"/>
      <c r="BRF212" s="1"/>
      <c r="BRG212" s="1"/>
      <c r="BRH212" s="1"/>
      <c r="BRI212" s="1"/>
      <c r="BRJ212" s="1"/>
      <c r="BRK212" s="1"/>
      <c r="BRL212" s="1"/>
      <c r="BRM212" s="1"/>
      <c r="BRN212" s="1"/>
      <c r="BRO212" s="1"/>
      <c r="BRP212" s="1"/>
      <c r="BRQ212" s="1"/>
      <c r="BRR212" s="1"/>
      <c r="BRS212" s="1"/>
      <c r="BRT212" s="1"/>
      <c r="BRU212" s="1"/>
      <c r="BRV212" s="1"/>
      <c r="BRW212" s="1"/>
      <c r="BRX212" s="1"/>
      <c r="BRY212" s="1"/>
      <c r="BRZ212" s="1"/>
      <c r="BSA212" s="1"/>
      <c r="BSB212" s="1"/>
      <c r="BSC212" s="1"/>
      <c r="BSD212" s="1"/>
      <c r="BSE212" s="1"/>
      <c r="BSF212" s="1"/>
      <c r="BSG212" s="1"/>
      <c r="BSH212" s="1"/>
      <c r="BSI212" s="1"/>
      <c r="BSJ212" s="1"/>
      <c r="BSK212" s="1"/>
      <c r="BSL212" s="1"/>
      <c r="BSM212" s="1"/>
      <c r="BSN212" s="1"/>
      <c r="BSO212" s="1"/>
      <c r="BSP212" s="1"/>
      <c r="BSQ212" s="1"/>
      <c r="BSR212" s="1"/>
      <c r="BSS212" s="1"/>
      <c r="BST212" s="1"/>
      <c r="BSU212" s="1"/>
      <c r="BSV212" s="1"/>
      <c r="BSW212" s="1"/>
      <c r="BSX212" s="1"/>
      <c r="BSY212" s="1"/>
      <c r="BSZ212" s="1"/>
      <c r="BTA212" s="1"/>
      <c r="BTB212" s="1"/>
      <c r="BTC212" s="1"/>
      <c r="BTD212" s="1"/>
      <c r="BTE212" s="1"/>
      <c r="BTF212" s="1"/>
      <c r="BTG212" s="1"/>
      <c r="BTH212" s="1"/>
      <c r="BTI212" s="1"/>
      <c r="BTJ212" s="1"/>
      <c r="BTK212" s="1"/>
      <c r="BTL212" s="1"/>
      <c r="BTM212" s="1"/>
      <c r="BTN212" s="1"/>
      <c r="BTO212" s="1"/>
      <c r="BTP212" s="1"/>
      <c r="BTQ212" s="1"/>
      <c r="BTR212" s="1"/>
      <c r="BTS212" s="1"/>
      <c r="BTT212" s="1"/>
      <c r="BTU212" s="1"/>
      <c r="BTV212" s="1"/>
      <c r="BTW212" s="1"/>
      <c r="BTX212" s="1"/>
      <c r="BTY212" s="1"/>
      <c r="BTZ212" s="1"/>
      <c r="BUA212" s="1"/>
      <c r="BUB212" s="1"/>
      <c r="BUC212" s="1"/>
      <c r="BUD212" s="1"/>
      <c r="BUE212" s="1"/>
      <c r="BUF212" s="1"/>
      <c r="BUG212" s="1"/>
      <c r="BUH212" s="1"/>
      <c r="BUI212" s="1"/>
      <c r="BUJ212" s="1"/>
      <c r="BUK212" s="1"/>
      <c r="BUL212" s="1"/>
      <c r="BUM212" s="1"/>
      <c r="BUN212" s="1"/>
      <c r="BUO212" s="1"/>
      <c r="BUP212" s="1"/>
      <c r="BUQ212" s="1"/>
      <c r="BUR212" s="1"/>
      <c r="BUS212" s="1"/>
      <c r="BUT212" s="1"/>
      <c r="BUU212" s="1"/>
      <c r="BUV212" s="1"/>
      <c r="BUW212" s="1"/>
      <c r="BUX212" s="1"/>
      <c r="BUY212" s="1"/>
      <c r="BUZ212" s="1"/>
      <c r="BVA212" s="1"/>
      <c r="BVB212" s="1"/>
      <c r="BVC212" s="1"/>
      <c r="BVD212" s="1"/>
      <c r="BVE212" s="1"/>
      <c r="BVF212" s="1"/>
      <c r="BVG212" s="1"/>
      <c r="BVH212" s="1"/>
      <c r="BVI212" s="1"/>
      <c r="BVJ212" s="1"/>
      <c r="BVK212" s="1"/>
      <c r="BVL212" s="1"/>
      <c r="BVM212" s="1"/>
      <c r="BVN212" s="1"/>
      <c r="BVO212" s="1"/>
      <c r="BVP212" s="1"/>
      <c r="BVQ212" s="1"/>
      <c r="BVR212" s="1"/>
      <c r="BVS212" s="1"/>
      <c r="BVT212" s="1"/>
      <c r="BVU212" s="1"/>
      <c r="BVV212" s="1"/>
      <c r="BVW212" s="1"/>
      <c r="BVX212" s="1"/>
      <c r="BVY212" s="1"/>
      <c r="BVZ212" s="1"/>
      <c r="BWA212" s="1"/>
      <c r="BWB212" s="1"/>
      <c r="BWC212" s="1"/>
      <c r="BWD212" s="1"/>
      <c r="BWE212" s="1"/>
      <c r="BWF212" s="1"/>
      <c r="BWG212" s="1"/>
      <c r="BWH212" s="1"/>
      <c r="BWI212" s="1"/>
      <c r="BWJ212" s="1"/>
      <c r="BWK212" s="1"/>
      <c r="BWL212" s="1"/>
      <c r="BWM212" s="1"/>
      <c r="BWN212" s="1"/>
      <c r="BWO212" s="1"/>
      <c r="BWP212" s="1"/>
      <c r="BWQ212" s="1"/>
      <c r="BWR212" s="1"/>
      <c r="BWS212" s="1"/>
      <c r="BWT212" s="1"/>
      <c r="BWU212" s="1"/>
      <c r="BWV212" s="1"/>
      <c r="BWW212" s="1"/>
      <c r="BWX212" s="1"/>
      <c r="BWY212" s="1"/>
      <c r="BWZ212" s="1"/>
      <c r="BXA212" s="1"/>
      <c r="BXB212" s="1"/>
      <c r="BXC212" s="1"/>
      <c r="BXD212" s="1"/>
      <c r="BXE212" s="1"/>
      <c r="BXF212" s="1"/>
      <c r="BXG212" s="1"/>
      <c r="BXH212" s="1"/>
      <c r="BXI212" s="1"/>
      <c r="BXJ212" s="1"/>
      <c r="BXK212" s="1"/>
      <c r="BXL212" s="1"/>
      <c r="BXM212" s="1"/>
      <c r="BXN212" s="1"/>
      <c r="BXO212" s="1"/>
      <c r="BXP212" s="1"/>
      <c r="BXQ212" s="1"/>
      <c r="BXR212" s="1"/>
      <c r="BXS212" s="1"/>
      <c r="BXT212" s="1"/>
      <c r="BXU212" s="1"/>
      <c r="BXV212" s="1"/>
      <c r="BXW212" s="1"/>
      <c r="BXX212" s="1"/>
      <c r="BXY212" s="1"/>
      <c r="BXZ212" s="1"/>
      <c r="BYA212" s="1"/>
      <c r="BYB212" s="1"/>
      <c r="BYC212" s="1"/>
      <c r="BYD212" s="1"/>
      <c r="BYE212" s="1"/>
      <c r="BYF212" s="1"/>
      <c r="BYG212" s="1"/>
      <c r="BYH212" s="1"/>
      <c r="BYI212" s="1"/>
      <c r="BYJ212" s="1"/>
      <c r="BYK212" s="1"/>
      <c r="BYL212" s="1"/>
      <c r="BYM212" s="1"/>
      <c r="BYN212" s="1"/>
      <c r="BYO212" s="1"/>
      <c r="BYP212" s="1"/>
      <c r="BYQ212" s="1"/>
      <c r="BYR212" s="1"/>
      <c r="BYS212" s="1"/>
      <c r="BYT212" s="1"/>
      <c r="BYU212" s="1"/>
      <c r="BYV212" s="1"/>
      <c r="BYW212" s="1"/>
      <c r="BYX212" s="1"/>
      <c r="BYY212" s="1"/>
      <c r="BYZ212" s="1"/>
      <c r="BZA212" s="1"/>
      <c r="BZB212" s="1"/>
      <c r="BZC212" s="1"/>
      <c r="BZD212" s="1"/>
      <c r="BZE212" s="1"/>
      <c r="BZF212" s="1"/>
      <c r="BZG212" s="1"/>
      <c r="BZH212" s="1"/>
      <c r="BZI212" s="1"/>
      <c r="BZJ212" s="1"/>
      <c r="BZK212" s="1"/>
      <c r="BZL212" s="1"/>
      <c r="BZM212" s="1"/>
      <c r="BZN212" s="1"/>
      <c r="BZO212" s="1"/>
      <c r="BZP212" s="1"/>
      <c r="BZQ212" s="1"/>
      <c r="BZR212" s="1"/>
      <c r="BZS212" s="1"/>
      <c r="BZT212" s="1"/>
      <c r="BZU212" s="1"/>
      <c r="BZV212" s="1"/>
      <c r="BZW212" s="1"/>
      <c r="BZX212" s="1"/>
      <c r="BZY212" s="1"/>
      <c r="BZZ212" s="1"/>
      <c r="CAA212" s="1"/>
      <c r="CAB212" s="1"/>
      <c r="CAC212" s="1"/>
      <c r="CAD212" s="1"/>
      <c r="CAE212" s="1"/>
      <c r="CAF212" s="1"/>
      <c r="CAG212" s="1"/>
      <c r="CAH212" s="1"/>
      <c r="CAI212" s="1"/>
      <c r="CAJ212" s="1"/>
      <c r="CAK212" s="1"/>
      <c r="CAL212" s="1"/>
      <c r="CAM212" s="1"/>
      <c r="CAN212" s="1"/>
      <c r="CAO212" s="1"/>
      <c r="CAP212" s="1"/>
      <c r="CAQ212" s="1"/>
      <c r="CAR212" s="1"/>
      <c r="CAS212" s="1"/>
      <c r="CAT212" s="1"/>
      <c r="CAU212" s="1"/>
      <c r="CAV212" s="1"/>
      <c r="CAW212" s="1"/>
      <c r="CAX212" s="1"/>
      <c r="CAY212" s="1"/>
      <c r="CAZ212" s="1"/>
      <c r="CBA212" s="1"/>
      <c r="CBB212" s="1"/>
      <c r="CBC212" s="1"/>
      <c r="CBD212" s="1"/>
      <c r="CBE212" s="1"/>
      <c r="CBF212" s="1"/>
      <c r="CBG212" s="1"/>
      <c r="CBH212" s="1"/>
      <c r="CBI212" s="1"/>
      <c r="CBJ212" s="1"/>
      <c r="CBK212" s="1"/>
      <c r="CBL212" s="1"/>
      <c r="CBM212" s="1"/>
      <c r="CBN212" s="1"/>
      <c r="CBO212" s="1"/>
      <c r="CBP212" s="1"/>
      <c r="CBQ212" s="1"/>
      <c r="CBR212" s="1"/>
      <c r="CBS212" s="1"/>
      <c r="CBT212" s="1"/>
      <c r="CBU212" s="1"/>
      <c r="CBV212" s="1"/>
      <c r="CBW212" s="1"/>
      <c r="CBX212" s="1"/>
      <c r="CBY212" s="1"/>
      <c r="CBZ212" s="1"/>
      <c r="CCA212" s="1"/>
      <c r="CCB212" s="1"/>
      <c r="CCC212" s="1"/>
      <c r="CCD212" s="1"/>
      <c r="CCE212" s="1"/>
      <c r="CCF212" s="1"/>
      <c r="CCG212" s="1"/>
      <c r="CCH212" s="1"/>
      <c r="CCI212" s="1"/>
      <c r="CCJ212" s="1"/>
      <c r="CCK212" s="1"/>
      <c r="CCL212" s="1"/>
      <c r="CCM212" s="1"/>
      <c r="CCN212" s="1"/>
      <c r="CCO212" s="1"/>
      <c r="CCP212" s="1"/>
      <c r="CCQ212" s="1"/>
      <c r="CCR212" s="1"/>
      <c r="CCS212" s="1"/>
      <c r="CCT212" s="1"/>
      <c r="CCU212" s="1"/>
      <c r="CCV212" s="1"/>
      <c r="CCW212" s="1"/>
      <c r="CCX212" s="1"/>
      <c r="CCY212" s="1"/>
      <c r="CCZ212" s="1"/>
      <c r="CDA212" s="1"/>
      <c r="CDB212" s="1"/>
      <c r="CDC212" s="1"/>
      <c r="CDD212" s="1"/>
      <c r="CDE212" s="1"/>
      <c r="CDF212" s="1"/>
      <c r="CDG212" s="1"/>
      <c r="CDH212" s="1"/>
      <c r="CDI212" s="1"/>
      <c r="CDJ212" s="1"/>
      <c r="CDK212" s="1"/>
      <c r="CDL212" s="1"/>
      <c r="CDM212" s="1"/>
      <c r="CDN212" s="1"/>
      <c r="CDO212" s="1"/>
      <c r="CDP212" s="1"/>
      <c r="CDQ212" s="1"/>
      <c r="CDR212" s="1"/>
      <c r="CDS212" s="1"/>
      <c r="CDT212" s="1"/>
      <c r="CDU212" s="1"/>
      <c r="CDV212" s="1"/>
      <c r="CDW212" s="1"/>
      <c r="CDX212" s="1"/>
      <c r="CDY212" s="1"/>
      <c r="CDZ212" s="1"/>
      <c r="CEA212" s="1"/>
      <c r="CEB212" s="1"/>
      <c r="CEC212" s="1"/>
      <c r="CED212" s="1"/>
      <c r="CEE212" s="1"/>
      <c r="CEF212" s="1"/>
      <c r="CEG212" s="1"/>
      <c r="CEH212" s="1"/>
      <c r="CEI212" s="1"/>
      <c r="CEJ212" s="1"/>
      <c r="CEK212" s="1"/>
      <c r="CEL212" s="1"/>
      <c r="CEM212" s="1"/>
      <c r="CEN212" s="1"/>
      <c r="CEO212" s="1"/>
      <c r="CEP212" s="1"/>
      <c r="CEQ212" s="1"/>
      <c r="CER212" s="1"/>
      <c r="CES212" s="1"/>
      <c r="CET212" s="1"/>
      <c r="CEU212" s="1"/>
      <c r="CEV212" s="1"/>
      <c r="CEW212" s="1"/>
      <c r="CEX212" s="1"/>
      <c r="CEY212" s="1"/>
      <c r="CEZ212" s="1"/>
      <c r="CFA212" s="1"/>
      <c r="CFB212" s="1"/>
      <c r="CFC212" s="1"/>
      <c r="CFD212" s="1"/>
      <c r="CFE212" s="1"/>
      <c r="CFF212" s="1"/>
      <c r="CFG212" s="1"/>
      <c r="CFH212" s="1"/>
      <c r="CFI212" s="1"/>
      <c r="CFJ212" s="1"/>
      <c r="CFK212" s="1"/>
      <c r="CFL212" s="1"/>
      <c r="CFM212" s="1"/>
      <c r="CFN212" s="1"/>
      <c r="CFO212" s="1"/>
      <c r="CFP212" s="1"/>
      <c r="CFQ212" s="1"/>
      <c r="CFR212" s="1"/>
      <c r="CFS212" s="1"/>
      <c r="CFT212" s="1"/>
      <c r="CFU212" s="1"/>
      <c r="CFV212" s="1"/>
      <c r="CFW212" s="1"/>
      <c r="CFX212" s="1"/>
      <c r="CFY212" s="1"/>
      <c r="CFZ212" s="1"/>
      <c r="CGA212" s="1"/>
      <c r="CGB212" s="1"/>
      <c r="CGC212" s="1"/>
      <c r="CGD212" s="1"/>
      <c r="CGE212" s="1"/>
      <c r="CGF212" s="1"/>
      <c r="CGG212" s="1"/>
      <c r="CGH212" s="1"/>
      <c r="CGI212" s="1"/>
      <c r="CGJ212" s="1"/>
      <c r="CGK212" s="1"/>
      <c r="CGL212" s="1"/>
      <c r="CGM212" s="1"/>
      <c r="CGN212" s="1"/>
      <c r="CGO212" s="1"/>
      <c r="CGP212" s="1"/>
      <c r="CGQ212" s="1"/>
      <c r="CGR212" s="1"/>
      <c r="CGS212" s="1"/>
      <c r="CGT212" s="1"/>
      <c r="CGU212" s="1"/>
      <c r="CGV212" s="1"/>
      <c r="CGW212" s="1"/>
      <c r="CGX212" s="1"/>
      <c r="CGY212" s="1"/>
      <c r="CGZ212" s="1"/>
      <c r="CHA212" s="1"/>
      <c r="CHB212" s="1"/>
      <c r="CHC212" s="1"/>
      <c r="CHD212" s="1"/>
      <c r="CHE212" s="1"/>
      <c r="CHF212" s="1"/>
      <c r="CHG212" s="1"/>
      <c r="CHH212" s="1"/>
      <c r="CHI212" s="1"/>
      <c r="CHJ212" s="1"/>
      <c r="CHK212" s="1"/>
      <c r="CHL212" s="1"/>
      <c r="CHM212" s="1"/>
      <c r="CHN212" s="1"/>
      <c r="CHO212" s="1"/>
      <c r="CHP212" s="1"/>
      <c r="CHQ212" s="1"/>
      <c r="CHR212" s="1"/>
      <c r="CHS212" s="1"/>
      <c r="CHT212" s="1"/>
      <c r="CHU212" s="1"/>
      <c r="CHV212" s="1"/>
      <c r="CHW212" s="1"/>
      <c r="CHX212" s="1"/>
      <c r="CHY212" s="1"/>
      <c r="CHZ212" s="1"/>
      <c r="CIA212" s="1"/>
      <c r="CIB212" s="1"/>
      <c r="CIC212" s="1"/>
      <c r="CID212" s="1"/>
      <c r="CIE212" s="1"/>
      <c r="CIF212" s="1"/>
      <c r="CIG212" s="1"/>
      <c r="CIH212" s="1"/>
      <c r="CII212" s="1"/>
      <c r="CIJ212" s="1"/>
      <c r="CIK212" s="1"/>
      <c r="CIL212" s="1"/>
      <c r="CIM212" s="1"/>
      <c r="CIN212" s="1"/>
      <c r="CIO212" s="1"/>
      <c r="CIP212" s="1"/>
      <c r="CIQ212" s="1"/>
      <c r="CIR212" s="1"/>
      <c r="CIS212" s="1"/>
      <c r="CIT212" s="1"/>
      <c r="CIU212" s="1"/>
      <c r="CIV212" s="1"/>
      <c r="CIW212" s="1"/>
      <c r="CIX212" s="1"/>
      <c r="CIY212" s="1"/>
      <c r="CIZ212" s="1"/>
      <c r="CJA212" s="1"/>
      <c r="CJB212" s="1"/>
      <c r="CJC212" s="1"/>
      <c r="CJD212" s="1"/>
      <c r="CJE212" s="1"/>
      <c r="CJF212" s="1"/>
      <c r="CJG212" s="1"/>
      <c r="CJH212" s="1"/>
      <c r="CJI212" s="1"/>
      <c r="CJJ212" s="1"/>
      <c r="CJK212" s="1"/>
      <c r="CJL212" s="1"/>
      <c r="CJM212" s="1"/>
      <c r="CJN212" s="1"/>
      <c r="CJO212" s="1"/>
      <c r="CJP212" s="1"/>
      <c r="CJQ212" s="1"/>
      <c r="CJR212" s="1"/>
      <c r="CJS212" s="1"/>
      <c r="CJT212" s="1"/>
      <c r="CJU212" s="1"/>
      <c r="CJV212" s="1"/>
      <c r="CJW212" s="1"/>
      <c r="CJX212" s="1"/>
      <c r="CJY212" s="1"/>
      <c r="CJZ212" s="1"/>
      <c r="CKA212" s="1"/>
      <c r="CKB212" s="1"/>
      <c r="CKC212" s="1"/>
      <c r="CKD212" s="1"/>
      <c r="CKE212" s="1"/>
      <c r="CKF212" s="1"/>
      <c r="CKG212" s="1"/>
      <c r="CKH212" s="1"/>
      <c r="CKI212" s="1"/>
      <c r="CKJ212" s="1"/>
      <c r="CKK212" s="1"/>
      <c r="CKL212" s="1"/>
      <c r="CKM212" s="1"/>
      <c r="CKN212" s="1"/>
      <c r="CKO212" s="1"/>
      <c r="CKP212" s="1"/>
      <c r="CKQ212" s="1"/>
      <c r="CKR212" s="1"/>
      <c r="CKS212" s="1"/>
      <c r="CKT212" s="1"/>
      <c r="CKU212" s="1"/>
      <c r="CKV212" s="1"/>
      <c r="CKW212" s="1"/>
      <c r="CKX212" s="1"/>
      <c r="CKY212" s="1"/>
      <c r="CKZ212" s="1"/>
      <c r="CLA212" s="1"/>
      <c r="CLB212" s="1"/>
      <c r="CLC212" s="1"/>
      <c r="CLD212" s="1"/>
      <c r="CLE212" s="1"/>
      <c r="CLF212" s="1"/>
      <c r="CLG212" s="1"/>
      <c r="CLH212" s="1"/>
      <c r="CLI212" s="1"/>
      <c r="CLJ212" s="1"/>
      <c r="CLK212" s="1"/>
      <c r="CLL212" s="1"/>
      <c r="CLM212" s="1"/>
      <c r="CLN212" s="1"/>
      <c r="CLO212" s="1"/>
      <c r="CLP212" s="1"/>
      <c r="CLQ212" s="1"/>
      <c r="CLR212" s="1"/>
      <c r="CLS212" s="1"/>
      <c r="CLT212" s="1"/>
      <c r="CLU212" s="1"/>
      <c r="CLV212" s="1"/>
      <c r="CLW212" s="1"/>
      <c r="CLX212" s="1"/>
      <c r="CLY212" s="1"/>
      <c r="CLZ212" s="1"/>
      <c r="CMA212" s="1"/>
      <c r="CMB212" s="1"/>
      <c r="CMC212" s="1"/>
      <c r="CMD212" s="1"/>
      <c r="CME212" s="1"/>
      <c r="CMF212" s="1"/>
      <c r="CMG212" s="1"/>
      <c r="CMH212" s="1"/>
      <c r="CMI212" s="1"/>
      <c r="CMJ212" s="1"/>
      <c r="CMK212" s="1"/>
      <c r="CML212" s="1"/>
      <c r="CMM212" s="1"/>
      <c r="CMN212" s="1"/>
      <c r="CMO212" s="1"/>
      <c r="CMP212" s="1"/>
      <c r="CMQ212" s="1"/>
      <c r="CMR212" s="1"/>
      <c r="CMS212" s="1"/>
      <c r="CMT212" s="1"/>
      <c r="CMU212" s="1"/>
      <c r="CMV212" s="1"/>
      <c r="CMW212" s="1"/>
      <c r="CMX212" s="1"/>
      <c r="CMY212" s="1"/>
      <c r="CMZ212" s="1"/>
      <c r="CNA212" s="1"/>
      <c r="CNB212" s="1"/>
      <c r="CNC212" s="1"/>
      <c r="CND212" s="1"/>
      <c r="CNE212" s="1"/>
      <c r="CNF212" s="1"/>
      <c r="CNG212" s="1"/>
      <c r="CNH212" s="1"/>
      <c r="CNI212" s="1"/>
      <c r="CNJ212" s="1"/>
      <c r="CNK212" s="1"/>
      <c r="CNL212" s="1"/>
      <c r="CNM212" s="1"/>
      <c r="CNN212" s="1"/>
      <c r="CNO212" s="1"/>
      <c r="CNP212" s="1"/>
      <c r="CNQ212" s="1"/>
      <c r="CNR212" s="1"/>
      <c r="CNS212" s="1"/>
      <c r="CNT212" s="1"/>
      <c r="CNU212" s="1"/>
      <c r="CNV212" s="1"/>
      <c r="CNW212" s="1"/>
      <c r="CNX212" s="1"/>
      <c r="CNY212" s="1"/>
      <c r="CNZ212" s="1"/>
      <c r="COA212" s="1"/>
      <c r="COB212" s="1"/>
      <c r="COC212" s="1"/>
      <c r="COD212" s="1"/>
      <c r="COE212" s="1"/>
      <c r="COF212" s="1"/>
      <c r="COG212" s="1"/>
      <c r="COH212" s="1"/>
      <c r="COI212" s="1"/>
      <c r="COJ212" s="1"/>
      <c r="COK212" s="1"/>
      <c r="COL212" s="1"/>
      <c r="COM212" s="1"/>
      <c r="CON212" s="1"/>
      <c r="COO212" s="1"/>
      <c r="COP212" s="1"/>
      <c r="COQ212" s="1"/>
      <c r="COR212" s="1"/>
      <c r="COS212" s="1"/>
      <c r="COT212" s="1"/>
      <c r="COU212" s="1"/>
      <c r="COV212" s="1"/>
      <c r="COW212" s="1"/>
      <c r="COX212" s="1"/>
      <c r="COY212" s="1"/>
      <c r="COZ212" s="1"/>
      <c r="CPA212" s="1"/>
      <c r="CPB212" s="1"/>
      <c r="CPC212" s="1"/>
      <c r="CPD212" s="1"/>
      <c r="CPE212" s="1"/>
      <c r="CPF212" s="1"/>
      <c r="CPG212" s="1"/>
      <c r="CPH212" s="1"/>
      <c r="CPI212" s="1"/>
      <c r="CPJ212" s="1"/>
      <c r="CPK212" s="1"/>
      <c r="CPL212" s="1"/>
      <c r="CPM212" s="1"/>
      <c r="CPN212" s="1"/>
      <c r="CPO212" s="1"/>
      <c r="CPP212" s="1"/>
      <c r="CPQ212" s="1"/>
      <c r="CPR212" s="1"/>
      <c r="CPS212" s="1"/>
      <c r="CPT212" s="1"/>
      <c r="CPU212" s="1"/>
      <c r="CPV212" s="1"/>
      <c r="CPW212" s="1"/>
      <c r="CPX212" s="1"/>
      <c r="CPY212" s="1"/>
      <c r="CPZ212" s="1"/>
      <c r="CQA212" s="1"/>
      <c r="CQB212" s="1"/>
      <c r="CQC212" s="1"/>
      <c r="CQD212" s="1"/>
      <c r="CQE212" s="1"/>
      <c r="CQF212" s="1"/>
      <c r="CQG212" s="1"/>
      <c r="CQH212" s="1"/>
      <c r="CQI212" s="1"/>
      <c r="CQJ212" s="1"/>
      <c r="CQK212" s="1"/>
      <c r="CQL212" s="1"/>
      <c r="CQM212" s="1"/>
      <c r="CQN212" s="1"/>
      <c r="CQO212" s="1"/>
      <c r="CQP212" s="1"/>
      <c r="CQQ212" s="1"/>
      <c r="CQR212" s="1"/>
      <c r="CQS212" s="1"/>
      <c r="CQT212" s="1"/>
      <c r="CQU212" s="1"/>
      <c r="CQV212" s="1"/>
      <c r="CQW212" s="1"/>
      <c r="CQX212" s="1"/>
      <c r="CQY212" s="1"/>
      <c r="CQZ212" s="1"/>
      <c r="CRA212" s="1"/>
      <c r="CRB212" s="1"/>
      <c r="CRC212" s="1"/>
      <c r="CRD212" s="1"/>
      <c r="CRE212" s="1"/>
      <c r="CRF212" s="1"/>
      <c r="CRG212" s="1"/>
      <c r="CRH212" s="1"/>
      <c r="CRI212" s="1"/>
      <c r="CRJ212" s="1"/>
      <c r="CRK212" s="1"/>
      <c r="CRL212" s="1"/>
      <c r="CRM212" s="1"/>
      <c r="CRN212" s="1"/>
      <c r="CRO212" s="1"/>
      <c r="CRP212" s="1"/>
      <c r="CRQ212" s="1"/>
      <c r="CRR212" s="1"/>
      <c r="CRS212" s="1"/>
      <c r="CRT212" s="1"/>
      <c r="CRU212" s="1"/>
      <c r="CRV212" s="1"/>
      <c r="CRW212" s="1"/>
      <c r="CRX212" s="1"/>
      <c r="CRY212" s="1"/>
      <c r="CRZ212" s="1"/>
      <c r="CSA212" s="1"/>
      <c r="CSB212" s="1"/>
      <c r="CSC212" s="1"/>
      <c r="CSD212" s="1"/>
      <c r="CSE212" s="1"/>
      <c r="CSF212" s="1"/>
      <c r="CSG212" s="1"/>
      <c r="CSH212" s="1"/>
      <c r="CSI212" s="1"/>
      <c r="CSJ212" s="1"/>
      <c r="CSK212" s="1"/>
      <c r="CSL212" s="1"/>
      <c r="CSM212" s="1"/>
      <c r="CSN212" s="1"/>
      <c r="CSO212" s="1"/>
      <c r="CSP212" s="1"/>
      <c r="CSQ212" s="1"/>
      <c r="CSR212" s="1"/>
      <c r="CSS212" s="1"/>
      <c r="CST212" s="1"/>
      <c r="CSU212" s="1"/>
      <c r="CSV212" s="1"/>
      <c r="CSW212" s="1"/>
      <c r="CSX212" s="1"/>
      <c r="CSY212" s="1"/>
      <c r="CSZ212" s="1"/>
      <c r="CTA212" s="1"/>
      <c r="CTB212" s="1"/>
      <c r="CTC212" s="1"/>
      <c r="CTD212" s="1"/>
      <c r="CTE212" s="1"/>
      <c r="CTF212" s="1"/>
      <c r="CTG212" s="1"/>
      <c r="CTH212" s="1"/>
      <c r="CTI212" s="1"/>
      <c r="CTJ212" s="1"/>
      <c r="CTK212" s="1"/>
      <c r="CTL212" s="1"/>
      <c r="CTM212" s="1"/>
      <c r="CTN212" s="1"/>
      <c r="CTO212" s="1"/>
      <c r="CTP212" s="1"/>
      <c r="CTQ212" s="1"/>
      <c r="CTR212" s="1"/>
      <c r="CTS212" s="1"/>
      <c r="CTT212" s="1"/>
      <c r="CTU212" s="1"/>
      <c r="CTV212" s="1"/>
      <c r="CTW212" s="1"/>
      <c r="CTX212" s="1"/>
      <c r="CTY212" s="1"/>
      <c r="CTZ212" s="1"/>
      <c r="CUA212" s="1"/>
      <c r="CUB212" s="1"/>
      <c r="CUC212" s="1"/>
      <c r="CUD212" s="1"/>
      <c r="CUE212" s="1"/>
      <c r="CUF212" s="1"/>
      <c r="CUG212" s="1"/>
      <c r="CUH212" s="1"/>
      <c r="CUI212" s="1"/>
      <c r="CUJ212" s="1"/>
      <c r="CUK212" s="1"/>
      <c r="CUL212" s="1"/>
      <c r="CUM212" s="1"/>
      <c r="CUN212" s="1"/>
      <c r="CUO212" s="1"/>
      <c r="CUP212" s="1"/>
      <c r="CUQ212" s="1"/>
      <c r="CUR212" s="1"/>
      <c r="CUS212" s="1"/>
      <c r="CUT212" s="1"/>
      <c r="CUU212" s="1"/>
      <c r="CUV212" s="1"/>
      <c r="CUW212" s="1"/>
      <c r="CUX212" s="1"/>
      <c r="CUY212" s="1"/>
      <c r="CUZ212" s="1"/>
      <c r="CVA212" s="1"/>
      <c r="CVB212" s="1"/>
      <c r="CVC212" s="1"/>
      <c r="CVD212" s="1"/>
      <c r="CVE212" s="1"/>
      <c r="CVF212" s="1"/>
      <c r="CVG212" s="1"/>
      <c r="CVH212" s="1"/>
      <c r="CVI212" s="1"/>
      <c r="CVJ212" s="1"/>
      <c r="CVK212" s="1"/>
      <c r="CVL212" s="1"/>
      <c r="CVM212" s="1"/>
      <c r="CVN212" s="1"/>
      <c r="CVO212" s="1"/>
      <c r="CVP212" s="1"/>
      <c r="CVQ212" s="1"/>
      <c r="CVR212" s="1"/>
      <c r="CVS212" s="1"/>
      <c r="CVT212" s="1"/>
      <c r="CVU212" s="1"/>
      <c r="CVV212" s="1"/>
      <c r="CVW212" s="1"/>
      <c r="CVX212" s="1"/>
      <c r="CVY212" s="1"/>
      <c r="CVZ212" s="1"/>
      <c r="CWA212" s="1"/>
      <c r="CWB212" s="1"/>
      <c r="CWC212" s="1"/>
      <c r="CWD212" s="1"/>
      <c r="CWE212" s="1"/>
      <c r="CWF212" s="1"/>
      <c r="CWG212" s="1"/>
      <c r="CWH212" s="1"/>
      <c r="CWI212" s="1"/>
      <c r="CWJ212" s="1"/>
      <c r="CWK212" s="1"/>
      <c r="CWL212" s="1"/>
      <c r="CWM212" s="1"/>
      <c r="CWN212" s="1"/>
      <c r="CWO212" s="1"/>
      <c r="CWP212" s="1"/>
      <c r="CWQ212" s="1"/>
      <c r="CWR212" s="1"/>
      <c r="CWS212" s="1"/>
      <c r="CWT212" s="1"/>
      <c r="CWU212" s="1"/>
      <c r="CWV212" s="1"/>
      <c r="CWW212" s="1"/>
      <c r="CWX212" s="1"/>
      <c r="CWY212" s="1"/>
      <c r="CWZ212" s="1"/>
      <c r="CXA212" s="1"/>
      <c r="CXB212" s="1"/>
      <c r="CXC212" s="1"/>
      <c r="CXD212" s="1"/>
      <c r="CXE212" s="1"/>
      <c r="CXF212" s="1"/>
      <c r="CXG212" s="1"/>
      <c r="CXH212" s="1"/>
      <c r="CXI212" s="1"/>
      <c r="CXJ212" s="1"/>
      <c r="CXK212" s="1"/>
      <c r="CXL212" s="1"/>
      <c r="CXM212" s="1"/>
      <c r="CXN212" s="1"/>
      <c r="CXO212" s="1"/>
      <c r="CXP212" s="1"/>
      <c r="CXQ212" s="1"/>
      <c r="CXR212" s="1"/>
      <c r="CXS212" s="1"/>
      <c r="CXT212" s="1"/>
      <c r="CXU212" s="1"/>
      <c r="CXV212" s="1"/>
      <c r="CXW212" s="1"/>
      <c r="CXX212" s="1"/>
      <c r="CXY212" s="1"/>
      <c r="CXZ212" s="1"/>
      <c r="CYA212" s="1"/>
      <c r="CYB212" s="1"/>
      <c r="CYC212" s="1"/>
      <c r="CYD212" s="1"/>
      <c r="CYE212" s="1"/>
      <c r="CYF212" s="1"/>
      <c r="CYG212" s="1"/>
      <c r="CYH212" s="1"/>
      <c r="CYI212" s="1"/>
      <c r="CYJ212" s="1"/>
      <c r="CYK212" s="1"/>
      <c r="CYL212" s="1"/>
      <c r="CYM212" s="1"/>
      <c r="CYN212" s="1"/>
      <c r="CYO212" s="1"/>
      <c r="CYP212" s="1"/>
      <c r="CYQ212" s="1"/>
      <c r="CYR212" s="1"/>
      <c r="CYS212" s="1"/>
      <c r="CYT212" s="1"/>
      <c r="CYU212" s="1"/>
      <c r="CYV212" s="1"/>
      <c r="CYW212" s="1"/>
      <c r="CYX212" s="1"/>
      <c r="CYY212" s="1"/>
      <c r="CYZ212" s="1"/>
      <c r="CZA212" s="1"/>
      <c r="CZB212" s="1"/>
      <c r="CZC212" s="1"/>
      <c r="CZD212" s="1"/>
      <c r="CZE212" s="1"/>
      <c r="CZF212" s="1"/>
      <c r="CZG212" s="1"/>
      <c r="CZH212" s="1"/>
      <c r="CZI212" s="1"/>
      <c r="CZJ212" s="1"/>
      <c r="CZK212" s="1"/>
      <c r="CZL212" s="1"/>
      <c r="CZM212" s="1"/>
      <c r="CZN212" s="1"/>
      <c r="CZO212" s="1"/>
      <c r="CZP212" s="1"/>
      <c r="CZQ212" s="1"/>
      <c r="CZR212" s="1"/>
      <c r="CZS212" s="1"/>
      <c r="CZT212" s="1"/>
      <c r="CZU212" s="1"/>
      <c r="CZV212" s="1"/>
      <c r="CZW212" s="1"/>
      <c r="CZX212" s="1"/>
      <c r="CZY212" s="1"/>
      <c r="CZZ212" s="1"/>
      <c r="DAA212" s="1"/>
      <c r="DAB212" s="1"/>
      <c r="DAC212" s="1"/>
      <c r="DAD212" s="1"/>
      <c r="DAE212" s="1"/>
      <c r="DAF212" s="1"/>
      <c r="DAG212" s="1"/>
      <c r="DAH212" s="1"/>
      <c r="DAI212" s="1"/>
      <c r="DAJ212" s="1"/>
      <c r="DAK212" s="1"/>
      <c r="DAL212" s="1"/>
      <c r="DAM212" s="1"/>
      <c r="DAN212" s="1"/>
      <c r="DAO212" s="1"/>
      <c r="DAP212" s="1"/>
      <c r="DAQ212" s="1"/>
      <c r="DAR212" s="1"/>
      <c r="DAS212" s="1"/>
      <c r="DAT212" s="1"/>
      <c r="DAU212" s="1"/>
      <c r="DAV212" s="1"/>
      <c r="DAW212" s="1"/>
      <c r="DAX212" s="1"/>
      <c r="DAY212" s="1"/>
      <c r="DAZ212" s="1"/>
      <c r="DBA212" s="1"/>
      <c r="DBB212" s="1"/>
      <c r="DBC212" s="1"/>
      <c r="DBD212" s="1"/>
      <c r="DBE212" s="1"/>
      <c r="DBF212" s="1"/>
      <c r="DBG212" s="1"/>
      <c r="DBH212" s="1"/>
      <c r="DBI212" s="1"/>
      <c r="DBJ212" s="1"/>
      <c r="DBK212" s="1"/>
      <c r="DBL212" s="1"/>
      <c r="DBM212" s="1"/>
      <c r="DBN212" s="1"/>
      <c r="DBO212" s="1"/>
      <c r="DBP212" s="1"/>
      <c r="DBQ212" s="1"/>
      <c r="DBR212" s="1"/>
      <c r="DBS212" s="1"/>
      <c r="DBT212" s="1"/>
      <c r="DBU212" s="1"/>
      <c r="DBV212" s="1"/>
      <c r="DBW212" s="1"/>
      <c r="DBX212" s="1"/>
      <c r="DBY212" s="1"/>
      <c r="DBZ212" s="1"/>
      <c r="DCA212" s="1"/>
      <c r="DCB212" s="1"/>
      <c r="DCC212" s="1"/>
      <c r="DCD212" s="1"/>
      <c r="DCE212" s="1"/>
      <c r="DCF212" s="1"/>
      <c r="DCG212" s="1"/>
      <c r="DCH212" s="1"/>
      <c r="DCI212" s="1"/>
      <c r="DCJ212" s="1"/>
      <c r="DCK212" s="1"/>
      <c r="DCL212" s="1"/>
      <c r="DCM212" s="1"/>
      <c r="DCN212" s="1"/>
      <c r="DCO212" s="1"/>
      <c r="DCP212" s="1"/>
      <c r="DCQ212" s="1"/>
      <c r="DCR212" s="1"/>
      <c r="DCS212" s="1"/>
      <c r="DCT212" s="1"/>
      <c r="DCU212" s="1"/>
      <c r="DCV212" s="1"/>
      <c r="DCW212" s="1"/>
      <c r="DCX212" s="1"/>
      <c r="DCY212" s="1"/>
      <c r="DCZ212" s="1"/>
      <c r="DDA212" s="1"/>
      <c r="DDB212" s="1"/>
      <c r="DDC212" s="1"/>
      <c r="DDD212" s="1"/>
      <c r="DDE212" s="1"/>
      <c r="DDF212" s="1"/>
      <c r="DDG212" s="1"/>
      <c r="DDH212" s="1"/>
      <c r="DDI212" s="1"/>
      <c r="DDJ212" s="1"/>
      <c r="DDK212" s="1"/>
      <c r="DDL212" s="1"/>
      <c r="DDM212" s="1"/>
      <c r="DDN212" s="1"/>
      <c r="DDO212" s="1"/>
      <c r="DDP212" s="1"/>
      <c r="DDQ212" s="1"/>
      <c r="DDR212" s="1"/>
      <c r="DDS212" s="1"/>
      <c r="DDT212" s="1"/>
      <c r="DDU212" s="1"/>
      <c r="DDV212" s="1"/>
      <c r="DDW212" s="1"/>
      <c r="DDX212" s="1"/>
      <c r="DDY212" s="1"/>
      <c r="DDZ212" s="1"/>
      <c r="DEA212" s="1"/>
      <c r="DEB212" s="1"/>
      <c r="DEC212" s="1"/>
      <c r="DED212" s="1"/>
      <c r="DEE212" s="1"/>
      <c r="DEF212" s="1"/>
      <c r="DEG212" s="1"/>
      <c r="DEH212" s="1"/>
      <c r="DEI212" s="1"/>
      <c r="DEJ212" s="1"/>
      <c r="DEK212" s="1"/>
      <c r="DEL212" s="1"/>
      <c r="DEM212" s="1"/>
      <c r="DEN212" s="1"/>
      <c r="DEO212" s="1"/>
      <c r="DEP212" s="1"/>
      <c r="DEQ212" s="1"/>
      <c r="DER212" s="1"/>
      <c r="DES212" s="1"/>
      <c r="DET212" s="1"/>
      <c r="DEU212" s="1"/>
      <c r="DEV212" s="1"/>
      <c r="DEW212" s="1"/>
      <c r="DEX212" s="1"/>
      <c r="DEY212" s="1"/>
      <c r="DEZ212" s="1"/>
      <c r="DFA212" s="1"/>
      <c r="DFB212" s="1"/>
      <c r="DFC212" s="1"/>
      <c r="DFD212" s="1"/>
      <c r="DFE212" s="1"/>
      <c r="DFF212" s="1"/>
      <c r="DFG212" s="1"/>
      <c r="DFH212" s="1"/>
      <c r="DFI212" s="1"/>
      <c r="DFJ212" s="1"/>
      <c r="DFK212" s="1"/>
      <c r="DFL212" s="1"/>
      <c r="DFM212" s="1"/>
      <c r="DFN212" s="1"/>
      <c r="DFO212" s="1"/>
      <c r="DFP212" s="1"/>
      <c r="DFQ212" s="1"/>
      <c r="DFR212" s="1"/>
      <c r="DFS212" s="1"/>
      <c r="DFT212" s="1"/>
      <c r="DFU212" s="1"/>
      <c r="DFV212" s="1"/>
      <c r="DFW212" s="1"/>
      <c r="DFX212" s="1"/>
      <c r="DFY212" s="1"/>
      <c r="DFZ212" s="1"/>
      <c r="DGA212" s="1"/>
      <c r="DGB212" s="1"/>
      <c r="DGC212" s="1"/>
      <c r="DGD212" s="1"/>
      <c r="DGE212" s="1"/>
      <c r="DGF212" s="1"/>
      <c r="DGG212" s="1"/>
      <c r="DGH212" s="1"/>
      <c r="DGI212" s="1"/>
      <c r="DGJ212" s="1"/>
      <c r="DGK212" s="1"/>
      <c r="DGL212" s="1"/>
      <c r="DGM212" s="1"/>
      <c r="DGN212" s="1"/>
      <c r="DGO212" s="1"/>
      <c r="DGP212" s="1"/>
      <c r="DGQ212" s="1"/>
      <c r="DGR212" s="1"/>
      <c r="DGS212" s="1"/>
      <c r="DGT212" s="1"/>
      <c r="DGU212" s="1"/>
      <c r="DGV212" s="1"/>
      <c r="DGW212" s="1"/>
      <c r="DGX212" s="1"/>
      <c r="DGY212" s="1"/>
      <c r="DGZ212" s="1"/>
      <c r="DHA212" s="1"/>
      <c r="DHB212" s="1"/>
      <c r="DHC212" s="1"/>
      <c r="DHD212" s="1"/>
      <c r="DHE212" s="1"/>
      <c r="DHF212" s="1"/>
      <c r="DHG212" s="1"/>
      <c r="DHH212" s="1"/>
      <c r="DHI212" s="1"/>
      <c r="DHJ212" s="1"/>
      <c r="DHK212" s="1"/>
      <c r="DHL212" s="1"/>
      <c r="DHM212" s="1"/>
      <c r="DHN212" s="1"/>
      <c r="DHO212" s="1"/>
      <c r="DHP212" s="1"/>
      <c r="DHQ212" s="1"/>
      <c r="DHR212" s="1"/>
      <c r="DHS212" s="1"/>
      <c r="DHT212" s="1"/>
      <c r="DHU212" s="1"/>
      <c r="DHV212" s="1"/>
      <c r="DHW212" s="1"/>
      <c r="DHX212" s="1"/>
      <c r="DHY212" s="1"/>
      <c r="DHZ212" s="1"/>
      <c r="DIA212" s="1"/>
      <c r="DIB212" s="1"/>
      <c r="DIC212" s="1"/>
      <c r="DID212" s="1"/>
      <c r="DIE212" s="1"/>
      <c r="DIF212" s="1"/>
      <c r="DIG212" s="1"/>
      <c r="DIH212" s="1"/>
      <c r="DII212" s="1"/>
      <c r="DIJ212" s="1"/>
      <c r="DIK212" s="1"/>
      <c r="DIL212" s="1"/>
      <c r="DIM212" s="1"/>
      <c r="DIN212" s="1"/>
      <c r="DIO212" s="1"/>
      <c r="DIP212" s="1"/>
      <c r="DIQ212" s="1"/>
      <c r="DIR212" s="1"/>
      <c r="DIS212" s="1"/>
      <c r="DIT212" s="1"/>
      <c r="DIU212" s="1"/>
      <c r="DIV212" s="1"/>
      <c r="DIW212" s="1"/>
      <c r="DIX212" s="1"/>
      <c r="DIY212" s="1"/>
      <c r="DIZ212" s="1"/>
      <c r="DJA212" s="1"/>
      <c r="DJB212" s="1"/>
      <c r="DJC212" s="1"/>
      <c r="DJD212" s="1"/>
      <c r="DJE212" s="1"/>
      <c r="DJF212" s="1"/>
      <c r="DJG212" s="1"/>
      <c r="DJH212" s="1"/>
      <c r="DJI212" s="1"/>
      <c r="DJJ212" s="1"/>
      <c r="DJK212" s="1"/>
      <c r="DJL212" s="1"/>
      <c r="DJM212" s="1"/>
      <c r="DJN212" s="1"/>
      <c r="DJO212" s="1"/>
      <c r="DJP212" s="1"/>
      <c r="DJQ212" s="1"/>
      <c r="DJR212" s="1"/>
      <c r="DJS212" s="1"/>
      <c r="DJT212" s="1"/>
      <c r="DJU212" s="1"/>
      <c r="DJV212" s="1"/>
      <c r="DJW212" s="1"/>
      <c r="DJX212" s="1"/>
      <c r="DJY212" s="1"/>
      <c r="DJZ212" s="1"/>
      <c r="DKA212" s="1"/>
      <c r="DKB212" s="1"/>
      <c r="DKC212" s="1"/>
      <c r="DKD212" s="1"/>
      <c r="DKE212" s="1"/>
      <c r="DKF212" s="1"/>
      <c r="DKG212" s="1"/>
      <c r="DKH212" s="1"/>
      <c r="DKI212" s="1"/>
      <c r="DKJ212" s="1"/>
      <c r="DKK212" s="1"/>
      <c r="DKL212" s="1"/>
      <c r="DKM212" s="1"/>
      <c r="DKN212" s="1"/>
      <c r="DKO212" s="1"/>
      <c r="DKP212" s="1"/>
      <c r="DKQ212" s="1"/>
      <c r="DKR212" s="1"/>
      <c r="DKS212" s="1"/>
      <c r="DKT212" s="1"/>
      <c r="DKU212" s="1"/>
      <c r="DKV212" s="1"/>
      <c r="DKW212" s="1"/>
      <c r="DKX212" s="1"/>
      <c r="DKY212" s="1"/>
      <c r="DKZ212" s="1"/>
      <c r="DLA212" s="1"/>
      <c r="DLB212" s="1"/>
      <c r="DLC212" s="1"/>
      <c r="DLD212" s="1"/>
      <c r="DLE212" s="1"/>
      <c r="DLF212" s="1"/>
      <c r="DLG212" s="1"/>
      <c r="DLH212" s="1"/>
      <c r="DLI212" s="1"/>
      <c r="DLJ212" s="1"/>
      <c r="DLK212" s="1"/>
      <c r="DLL212" s="1"/>
      <c r="DLM212" s="1"/>
      <c r="DLN212" s="1"/>
      <c r="DLO212" s="1"/>
      <c r="DLP212" s="1"/>
      <c r="DLQ212" s="1"/>
      <c r="DLR212" s="1"/>
      <c r="DLS212" s="1"/>
      <c r="DLT212" s="1"/>
      <c r="DLU212" s="1"/>
      <c r="DLV212" s="1"/>
      <c r="DLW212" s="1"/>
      <c r="DLX212" s="1"/>
      <c r="DLY212" s="1"/>
      <c r="DLZ212" s="1"/>
      <c r="DMA212" s="1"/>
      <c r="DMB212" s="1"/>
      <c r="DMC212" s="1"/>
      <c r="DMD212" s="1"/>
      <c r="DME212" s="1"/>
      <c r="DMF212" s="1"/>
      <c r="DMG212" s="1"/>
      <c r="DMH212" s="1"/>
      <c r="DMI212" s="1"/>
      <c r="DMJ212" s="1"/>
      <c r="DMK212" s="1"/>
      <c r="DML212" s="1"/>
      <c r="DMM212" s="1"/>
      <c r="DMN212" s="1"/>
      <c r="DMO212" s="1"/>
      <c r="DMP212" s="1"/>
      <c r="DMQ212" s="1"/>
      <c r="DMR212" s="1"/>
      <c r="DMS212" s="1"/>
      <c r="DMT212" s="1"/>
      <c r="DMU212" s="1"/>
      <c r="DMV212" s="1"/>
      <c r="DMW212" s="1"/>
      <c r="DMX212" s="1"/>
      <c r="DMY212" s="1"/>
      <c r="DMZ212" s="1"/>
      <c r="DNA212" s="1"/>
      <c r="DNB212" s="1"/>
      <c r="DNC212" s="1"/>
      <c r="DND212" s="1"/>
      <c r="DNE212" s="1"/>
      <c r="DNF212" s="1"/>
      <c r="DNG212" s="1"/>
      <c r="DNH212" s="1"/>
      <c r="DNI212" s="1"/>
      <c r="DNJ212" s="1"/>
      <c r="DNK212" s="1"/>
      <c r="DNL212" s="1"/>
      <c r="DNM212" s="1"/>
      <c r="DNN212" s="1"/>
      <c r="DNO212" s="1"/>
      <c r="DNP212" s="1"/>
      <c r="DNQ212" s="1"/>
      <c r="DNR212" s="1"/>
      <c r="DNS212" s="1"/>
      <c r="DNT212" s="1"/>
      <c r="DNU212" s="1"/>
      <c r="DNV212" s="1"/>
      <c r="DNW212" s="1"/>
      <c r="DNX212" s="1"/>
      <c r="DNY212" s="1"/>
      <c r="DNZ212" s="1"/>
      <c r="DOA212" s="1"/>
      <c r="DOB212" s="1"/>
      <c r="DOC212" s="1"/>
      <c r="DOD212" s="1"/>
      <c r="DOE212" s="1"/>
      <c r="DOF212" s="1"/>
      <c r="DOG212" s="1"/>
      <c r="DOH212" s="1"/>
      <c r="DOI212" s="1"/>
      <c r="DOJ212" s="1"/>
      <c r="DOK212" s="1"/>
      <c r="DOL212" s="1"/>
      <c r="DOM212" s="1"/>
      <c r="DON212" s="1"/>
      <c r="DOO212" s="1"/>
      <c r="DOP212" s="1"/>
      <c r="DOQ212" s="1"/>
      <c r="DOR212" s="1"/>
      <c r="DOS212" s="1"/>
      <c r="DOT212" s="1"/>
      <c r="DOU212" s="1"/>
      <c r="DOV212" s="1"/>
      <c r="DOW212" s="1"/>
      <c r="DOX212" s="1"/>
      <c r="DOY212" s="1"/>
      <c r="DOZ212" s="1"/>
      <c r="DPA212" s="1"/>
      <c r="DPB212" s="1"/>
      <c r="DPC212" s="1"/>
      <c r="DPD212" s="1"/>
      <c r="DPE212" s="1"/>
      <c r="DPF212" s="1"/>
      <c r="DPG212" s="1"/>
      <c r="DPH212" s="1"/>
      <c r="DPI212" s="1"/>
      <c r="DPJ212" s="1"/>
      <c r="DPK212" s="1"/>
      <c r="DPL212" s="1"/>
      <c r="DPM212" s="1"/>
      <c r="DPN212" s="1"/>
      <c r="DPO212" s="1"/>
      <c r="DPP212" s="1"/>
      <c r="DPQ212" s="1"/>
      <c r="DPR212" s="1"/>
      <c r="DPS212" s="1"/>
      <c r="DPT212" s="1"/>
      <c r="DPU212" s="1"/>
      <c r="DPV212" s="1"/>
      <c r="DPW212" s="1"/>
      <c r="DPX212" s="1"/>
      <c r="DPY212" s="1"/>
      <c r="DPZ212" s="1"/>
      <c r="DQA212" s="1"/>
      <c r="DQB212" s="1"/>
      <c r="DQC212" s="1"/>
      <c r="DQD212" s="1"/>
      <c r="DQE212" s="1"/>
      <c r="DQF212" s="1"/>
      <c r="DQG212" s="1"/>
      <c r="DQH212" s="1"/>
      <c r="DQI212" s="1"/>
      <c r="DQJ212" s="1"/>
      <c r="DQK212" s="1"/>
      <c r="DQL212" s="1"/>
      <c r="DQM212" s="1"/>
      <c r="DQN212" s="1"/>
      <c r="DQO212" s="1"/>
      <c r="DQP212" s="1"/>
      <c r="DQQ212" s="1"/>
      <c r="DQR212" s="1"/>
      <c r="DQS212" s="1"/>
      <c r="DQT212" s="1"/>
      <c r="DQU212" s="1"/>
      <c r="DQV212" s="1"/>
      <c r="DQW212" s="1"/>
      <c r="DQX212" s="1"/>
      <c r="DQY212" s="1"/>
      <c r="DQZ212" s="1"/>
      <c r="DRA212" s="1"/>
      <c r="DRB212" s="1"/>
      <c r="DRC212" s="1"/>
      <c r="DRD212" s="1"/>
      <c r="DRE212" s="1"/>
      <c r="DRF212" s="1"/>
      <c r="DRG212" s="1"/>
      <c r="DRH212" s="1"/>
      <c r="DRI212" s="1"/>
      <c r="DRJ212" s="1"/>
      <c r="DRK212" s="1"/>
      <c r="DRL212" s="1"/>
      <c r="DRM212" s="1"/>
      <c r="DRN212" s="1"/>
      <c r="DRO212" s="1"/>
      <c r="DRP212" s="1"/>
      <c r="DRQ212" s="1"/>
      <c r="DRR212" s="1"/>
      <c r="DRS212" s="1"/>
      <c r="DRT212" s="1"/>
      <c r="DRU212" s="1"/>
      <c r="DRV212" s="1"/>
      <c r="DRW212" s="1"/>
      <c r="DRX212" s="1"/>
      <c r="DRY212" s="1"/>
      <c r="DRZ212" s="1"/>
      <c r="DSA212" s="1"/>
      <c r="DSB212" s="1"/>
      <c r="DSC212" s="1"/>
      <c r="DSD212" s="1"/>
      <c r="DSE212" s="1"/>
      <c r="DSF212" s="1"/>
      <c r="DSG212" s="1"/>
      <c r="DSH212" s="1"/>
      <c r="DSI212" s="1"/>
      <c r="DSJ212" s="1"/>
      <c r="DSK212" s="1"/>
      <c r="DSL212" s="1"/>
      <c r="DSM212" s="1"/>
      <c r="DSN212" s="1"/>
      <c r="DSO212" s="1"/>
      <c r="DSP212" s="1"/>
      <c r="DSQ212" s="1"/>
      <c r="DSR212" s="1"/>
      <c r="DSS212" s="1"/>
      <c r="DST212" s="1"/>
      <c r="DSU212" s="1"/>
      <c r="DSV212" s="1"/>
      <c r="DSW212" s="1"/>
      <c r="DSX212" s="1"/>
      <c r="DSY212" s="1"/>
      <c r="DSZ212" s="1"/>
      <c r="DTA212" s="1"/>
      <c r="DTB212" s="1"/>
      <c r="DTC212" s="1"/>
      <c r="DTD212" s="1"/>
      <c r="DTE212" s="1"/>
      <c r="DTF212" s="1"/>
      <c r="DTG212" s="1"/>
      <c r="DTH212" s="1"/>
      <c r="DTI212" s="1"/>
      <c r="DTJ212" s="1"/>
      <c r="DTK212" s="1"/>
      <c r="DTL212" s="1"/>
      <c r="DTM212" s="1"/>
      <c r="DTN212" s="1"/>
      <c r="DTO212" s="1"/>
      <c r="DTP212" s="1"/>
      <c r="DTQ212" s="1"/>
      <c r="DTR212" s="1"/>
      <c r="DTS212" s="1"/>
      <c r="DTT212" s="1"/>
      <c r="DTU212" s="1"/>
      <c r="DTV212" s="1"/>
      <c r="DTW212" s="1"/>
      <c r="DTX212" s="1"/>
      <c r="DTY212" s="1"/>
      <c r="DTZ212" s="1"/>
      <c r="DUA212" s="1"/>
      <c r="DUB212" s="1"/>
      <c r="DUC212" s="1"/>
      <c r="DUD212" s="1"/>
      <c r="DUE212" s="1"/>
      <c r="DUF212" s="1"/>
      <c r="DUG212" s="1"/>
      <c r="DUH212" s="1"/>
      <c r="DUI212" s="1"/>
      <c r="DUJ212" s="1"/>
      <c r="DUK212" s="1"/>
      <c r="DUL212" s="1"/>
      <c r="DUM212" s="1"/>
      <c r="DUN212" s="1"/>
      <c r="DUO212" s="1"/>
      <c r="DUP212" s="1"/>
      <c r="DUQ212" s="1"/>
      <c r="DUR212" s="1"/>
      <c r="DUS212" s="1"/>
      <c r="DUT212" s="1"/>
      <c r="DUU212" s="1"/>
      <c r="DUV212" s="1"/>
      <c r="DUW212" s="1"/>
      <c r="DUX212" s="1"/>
      <c r="DUY212" s="1"/>
      <c r="DUZ212" s="1"/>
      <c r="DVA212" s="1"/>
      <c r="DVB212" s="1"/>
      <c r="DVC212" s="1"/>
      <c r="DVD212" s="1"/>
      <c r="DVE212" s="1"/>
      <c r="DVF212" s="1"/>
      <c r="DVG212" s="1"/>
      <c r="DVH212" s="1"/>
      <c r="DVI212" s="1"/>
      <c r="DVJ212" s="1"/>
      <c r="DVK212" s="1"/>
      <c r="DVL212" s="1"/>
      <c r="DVM212" s="1"/>
      <c r="DVN212" s="1"/>
      <c r="DVO212" s="1"/>
      <c r="DVP212" s="1"/>
      <c r="DVQ212" s="1"/>
      <c r="DVR212" s="1"/>
      <c r="DVS212" s="1"/>
      <c r="DVT212" s="1"/>
      <c r="DVU212" s="1"/>
      <c r="DVV212" s="1"/>
      <c r="DVW212" s="1"/>
      <c r="DVX212" s="1"/>
      <c r="DVY212" s="1"/>
      <c r="DVZ212" s="1"/>
      <c r="DWA212" s="1"/>
      <c r="DWB212" s="1"/>
      <c r="DWC212" s="1"/>
      <c r="DWD212" s="1"/>
      <c r="DWE212" s="1"/>
      <c r="DWF212" s="1"/>
      <c r="DWG212" s="1"/>
      <c r="DWH212" s="1"/>
      <c r="DWI212" s="1"/>
      <c r="DWJ212" s="1"/>
      <c r="DWK212" s="1"/>
      <c r="DWL212" s="1"/>
      <c r="DWM212" s="1"/>
      <c r="DWN212" s="1"/>
      <c r="DWO212" s="1"/>
      <c r="DWP212" s="1"/>
      <c r="DWQ212" s="1"/>
      <c r="DWR212" s="1"/>
      <c r="DWS212" s="1"/>
      <c r="DWT212" s="1"/>
      <c r="DWU212" s="1"/>
      <c r="DWV212" s="1"/>
      <c r="DWW212" s="1"/>
      <c r="DWX212" s="1"/>
      <c r="DWY212" s="1"/>
      <c r="DWZ212" s="1"/>
      <c r="DXA212" s="1"/>
      <c r="DXB212" s="1"/>
      <c r="DXC212" s="1"/>
      <c r="DXD212" s="1"/>
      <c r="DXE212" s="1"/>
      <c r="DXF212" s="1"/>
      <c r="DXG212" s="1"/>
      <c r="DXH212" s="1"/>
      <c r="DXI212" s="1"/>
      <c r="DXJ212" s="1"/>
      <c r="DXK212" s="1"/>
      <c r="DXL212" s="1"/>
      <c r="DXM212" s="1"/>
      <c r="DXN212" s="1"/>
      <c r="DXO212" s="1"/>
      <c r="DXP212" s="1"/>
      <c r="DXQ212" s="1"/>
      <c r="DXR212" s="1"/>
      <c r="DXS212" s="1"/>
      <c r="DXT212" s="1"/>
      <c r="DXU212" s="1"/>
      <c r="DXV212" s="1"/>
      <c r="DXW212" s="1"/>
      <c r="DXX212" s="1"/>
      <c r="DXY212" s="1"/>
      <c r="DXZ212" s="1"/>
      <c r="DYA212" s="1"/>
      <c r="DYB212" s="1"/>
      <c r="DYC212" s="1"/>
      <c r="DYD212" s="1"/>
      <c r="DYE212" s="1"/>
      <c r="DYF212" s="1"/>
      <c r="DYG212" s="1"/>
      <c r="DYH212" s="1"/>
      <c r="DYI212" s="1"/>
      <c r="DYJ212" s="1"/>
      <c r="DYK212" s="1"/>
      <c r="DYL212" s="1"/>
      <c r="DYM212" s="1"/>
      <c r="DYN212" s="1"/>
      <c r="DYO212" s="1"/>
      <c r="DYP212" s="1"/>
      <c r="DYQ212" s="1"/>
      <c r="DYR212" s="1"/>
      <c r="DYS212" s="1"/>
      <c r="DYT212" s="1"/>
      <c r="DYU212" s="1"/>
      <c r="DYV212" s="1"/>
      <c r="DYW212" s="1"/>
      <c r="DYX212" s="1"/>
      <c r="DYY212" s="1"/>
      <c r="DYZ212" s="1"/>
      <c r="DZA212" s="1"/>
      <c r="DZB212" s="1"/>
      <c r="DZC212" s="1"/>
      <c r="DZD212" s="1"/>
      <c r="DZE212" s="1"/>
      <c r="DZF212" s="1"/>
      <c r="DZG212" s="1"/>
      <c r="DZH212" s="1"/>
      <c r="DZI212" s="1"/>
      <c r="DZJ212" s="1"/>
      <c r="DZK212" s="1"/>
      <c r="DZL212" s="1"/>
      <c r="DZM212" s="1"/>
      <c r="DZN212" s="1"/>
      <c r="DZO212" s="1"/>
      <c r="DZP212" s="1"/>
      <c r="DZQ212" s="1"/>
      <c r="DZR212" s="1"/>
      <c r="DZS212" s="1"/>
      <c r="DZT212" s="1"/>
      <c r="DZU212" s="1"/>
      <c r="DZV212" s="1"/>
      <c r="DZW212" s="1"/>
      <c r="DZX212" s="1"/>
      <c r="DZY212" s="1"/>
      <c r="DZZ212" s="1"/>
      <c r="EAA212" s="1"/>
      <c r="EAB212" s="1"/>
      <c r="EAC212" s="1"/>
      <c r="EAD212" s="1"/>
      <c r="EAE212" s="1"/>
      <c r="EAF212" s="1"/>
      <c r="EAG212" s="1"/>
      <c r="EAH212" s="1"/>
      <c r="EAI212" s="1"/>
      <c r="EAJ212" s="1"/>
      <c r="EAK212" s="1"/>
      <c r="EAL212" s="1"/>
      <c r="EAM212" s="1"/>
      <c r="EAN212" s="1"/>
      <c r="EAO212" s="1"/>
      <c r="EAP212" s="1"/>
      <c r="EAQ212" s="1"/>
      <c r="EAR212" s="1"/>
      <c r="EAS212" s="1"/>
      <c r="EAT212" s="1"/>
      <c r="EAU212" s="1"/>
      <c r="EAV212" s="1"/>
      <c r="EAW212" s="1"/>
      <c r="EAX212" s="1"/>
      <c r="EAY212" s="1"/>
      <c r="EAZ212" s="1"/>
      <c r="EBA212" s="1"/>
      <c r="EBB212" s="1"/>
      <c r="EBC212" s="1"/>
      <c r="EBD212" s="1"/>
      <c r="EBE212" s="1"/>
      <c r="EBF212" s="1"/>
      <c r="EBG212" s="1"/>
      <c r="EBH212" s="1"/>
      <c r="EBI212" s="1"/>
      <c r="EBJ212" s="1"/>
      <c r="EBK212" s="1"/>
      <c r="EBL212" s="1"/>
      <c r="EBM212" s="1"/>
      <c r="EBN212" s="1"/>
      <c r="EBO212" s="1"/>
      <c r="EBP212" s="1"/>
      <c r="EBQ212" s="1"/>
      <c r="EBR212" s="1"/>
      <c r="EBS212" s="1"/>
      <c r="EBT212" s="1"/>
      <c r="EBU212" s="1"/>
      <c r="EBV212" s="1"/>
      <c r="EBW212" s="1"/>
      <c r="EBX212" s="1"/>
      <c r="EBY212" s="1"/>
      <c r="EBZ212" s="1"/>
      <c r="ECA212" s="1"/>
      <c r="ECB212" s="1"/>
      <c r="ECC212" s="1"/>
      <c r="ECD212" s="1"/>
      <c r="ECE212" s="1"/>
      <c r="ECF212" s="1"/>
      <c r="ECG212" s="1"/>
      <c r="ECH212" s="1"/>
      <c r="ECI212" s="1"/>
      <c r="ECJ212" s="1"/>
      <c r="ECK212" s="1"/>
      <c r="ECL212" s="1"/>
      <c r="ECM212" s="1"/>
      <c r="ECN212" s="1"/>
      <c r="ECO212" s="1"/>
      <c r="ECP212" s="1"/>
      <c r="ECQ212" s="1"/>
      <c r="ECR212" s="1"/>
      <c r="ECS212" s="1"/>
      <c r="ECT212" s="1"/>
      <c r="ECU212" s="1"/>
      <c r="ECV212" s="1"/>
      <c r="ECW212" s="1"/>
      <c r="ECX212" s="1"/>
      <c r="ECY212" s="1"/>
      <c r="ECZ212" s="1"/>
      <c r="EDA212" s="1"/>
      <c r="EDB212" s="1"/>
      <c r="EDC212" s="1"/>
      <c r="EDD212" s="1"/>
      <c r="EDE212" s="1"/>
      <c r="EDF212" s="1"/>
      <c r="EDG212" s="1"/>
      <c r="EDH212" s="1"/>
      <c r="EDI212" s="1"/>
      <c r="EDJ212" s="1"/>
      <c r="EDK212" s="1"/>
      <c r="EDL212" s="1"/>
      <c r="EDM212" s="1"/>
      <c r="EDN212" s="1"/>
      <c r="EDO212" s="1"/>
      <c r="EDP212" s="1"/>
      <c r="EDQ212" s="1"/>
      <c r="EDR212" s="1"/>
      <c r="EDS212" s="1"/>
      <c r="EDT212" s="1"/>
      <c r="EDU212" s="1"/>
      <c r="EDV212" s="1"/>
      <c r="EDW212" s="1"/>
      <c r="EDX212" s="1"/>
      <c r="EDY212" s="1"/>
      <c r="EDZ212" s="1"/>
      <c r="EEA212" s="1"/>
      <c r="EEB212" s="1"/>
      <c r="EEC212" s="1"/>
      <c r="EED212" s="1"/>
      <c r="EEE212" s="1"/>
      <c r="EEF212" s="1"/>
      <c r="EEG212" s="1"/>
      <c r="EEH212" s="1"/>
      <c r="EEI212" s="1"/>
      <c r="EEJ212" s="1"/>
      <c r="EEK212" s="1"/>
      <c r="EEL212" s="1"/>
      <c r="EEM212" s="1"/>
      <c r="EEN212" s="1"/>
      <c r="EEO212" s="1"/>
      <c r="EEP212" s="1"/>
      <c r="EEQ212" s="1"/>
      <c r="EER212" s="1"/>
      <c r="EES212" s="1"/>
      <c r="EET212" s="1"/>
      <c r="EEU212" s="1"/>
      <c r="EEV212" s="1"/>
      <c r="EEW212" s="1"/>
      <c r="EEX212" s="1"/>
      <c r="EEY212" s="1"/>
      <c r="EEZ212" s="1"/>
      <c r="EFA212" s="1"/>
      <c r="EFB212" s="1"/>
      <c r="EFC212" s="1"/>
      <c r="EFD212" s="1"/>
      <c r="EFE212" s="1"/>
      <c r="EFF212" s="1"/>
      <c r="EFG212" s="1"/>
      <c r="EFH212" s="1"/>
      <c r="EFI212" s="1"/>
      <c r="EFJ212" s="1"/>
      <c r="EFK212" s="1"/>
      <c r="EFL212" s="1"/>
      <c r="EFM212" s="1"/>
      <c r="EFN212" s="1"/>
      <c r="EFO212" s="1"/>
      <c r="EFP212" s="1"/>
      <c r="EFQ212" s="1"/>
      <c r="EFR212" s="1"/>
      <c r="EFS212" s="1"/>
      <c r="EFT212" s="1"/>
      <c r="EFU212" s="1"/>
      <c r="EFV212" s="1"/>
      <c r="EFW212" s="1"/>
      <c r="EFX212" s="1"/>
      <c r="EFY212" s="1"/>
      <c r="EFZ212" s="1"/>
      <c r="EGA212" s="1"/>
      <c r="EGB212" s="1"/>
      <c r="EGC212" s="1"/>
      <c r="EGD212" s="1"/>
      <c r="EGE212" s="1"/>
      <c r="EGF212" s="1"/>
      <c r="EGG212" s="1"/>
      <c r="EGH212" s="1"/>
      <c r="EGI212" s="1"/>
      <c r="EGJ212" s="1"/>
      <c r="EGK212" s="1"/>
      <c r="EGL212" s="1"/>
      <c r="EGM212" s="1"/>
      <c r="EGN212" s="1"/>
      <c r="EGO212" s="1"/>
      <c r="EGP212" s="1"/>
      <c r="EGQ212" s="1"/>
      <c r="EGR212" s="1"/>
      <c r="EGS212" s="1"/>
      <c r="EGT212" s="1"/>
      <c r="EGU212" s="1"/>
      <c r="EGV212" s="1"/>
      <c r="EGW212" s="1"/>
      <c r="EGX212" s="1"/>
      <c r="EGY212" s="1"/>
      <c r="EGZ212" s="1"/>
      <c r="EHA212" s="1"/>
      <c r="EHB212" s="1"/>
      <c r="EHC212" s="1"/>
      <c r="EHD212" s="1"/>
      <c r="EHE212" s="1"/>
      <c r="EHF212" s="1"/>
      <c r="EHG212" s="1"/>
      <c r="EHH212" s="1"/>
      <c r="EHI212" s="1"/>
      <c r="EHJ212" s="1"/>
      <c r="EHK212" s="1"/>
      <c r="EHL212" s="1"/>
      <c r="EHM212" s="1"/>
      <c r="EHN212" s="1"/>
      <c r="EHO212" s="1"/>
      <c r="EHP212" s="1"/>
      <c r="EHQ212" s="1"/>
      <c r="EHR212" s="1"/>
      <c r="EHS212" s="1"/>
      <c r="EHT212" s="1"/>
      <c r="EHU212" s="1"/>
      <c r="EHV212" s="1"/>
      <c r="EHW212" s="1"/>
      <c r="EHX212" s="1"/>
      <c r="EHY212" s="1"/>
      <c r="EHZ212" s="1"/>
      <c r="EIA212" s="1"/>
      <c r="EIB212" s="1"/>
      <c r="EIC212" s="1"/>
      <c r="EID212" s="1"/>
      <c r="EIE212" s="1"/>
      <c r="EIF212" s="1"/>
      <c r="EIG212" s="1"/>
      <c r="EIH212" s="1"/>
      <c r="EII212" s="1"/>
      <c r="EIJ212" s="1"/>
      <c r="EIK212" s="1"/>
      <c r="EIL212" s="1"/>
      <c r="EIM212" s="1"/>
      <c r="EIN212" s="1"/>
      <c r="EIO212" s="1"/>
      <c r="EIP212" s="1"/>
      <c r="EIQ212" s="1"/>
      <c r="EIR212" s="1"/>
      <c r="EIS212" s="1"/>
      <c r="EIT212" s="1"/>
      <c r="EIU212" s="1"/>
      <c r="EIV212" s="1"/>
      <c r="EIW212" s="1"/>
      <c r="EIX212" s="1"/>
      <c r="EIY212" s="1"/>
      <c r="EIZ212" s="1"/>
      <c r="EJA212" s="1"/>
      <c r="EJB212" s="1"/>
      <c r="EJC212" s="1"/>
      <c r="EJD212" s="1"/>
      <c r="EJE212" s="1"/>
      <c r="EJF212" s="1"/>
      <c r="EJG212" s="1"/>
      <c r="EJH212" s="1"/>
      <c r="EJI212" s="1"/>
      <c r="EJJ212" s="1"/>
      <c r="EJK212" s="1"/>
      <c r="EJL212" s="1"/>
      <c r="EJM212" s="1"/>
      <c r="EJN212" s="1"/>
      <c r="EJO212" s="1"/>
      <c r="EJP212" s="1"/>
      <c r="EJQ212" s="1"/>
      <c r="EJR212" s="1"/>
      <c r="EJS212" s="1"/>
      <c r="EJT212" s="1"/>
      <c r="EJU212" s="1"/>
      <c r="EJV212" s="1"/>
      <c r="EJW212" s="1"/>
      <c r="EJX212" s="1"/>
      <c r="EJY212" s="1"/>
      <c r="EJZ212" s="1"/>
      <c r="EKA212" s="1"/>
      <c r="EKB212" s="1"/>
      <c r="EKC212" s="1"/>
      <c r="EKD212" s="1"/>
      <c r="EKE212" s="1"/>
      <c r="EKF212" s="1"/>
      <c r="EKG212" s="1"/>
      <c r="EKH212" s="1"/>
      <c r="EKI212" s="1"/>
      <c r="EKJ212" s="1"/>
      <c r="EKK212" s="1"/>
      <c r="EKL212" s="1"/>
      <c r="EKM212" s="1"/>
      <c r="EKN212" s="1"/>
      <c r="EKO212" s="1"/>
      <c r="EKP212" s="1"/>
      <c r="EKQ212" s="1"/>
      <c r="EKR212" s="1"/>
      <c r="EKS212" s="1"/>
      <c r="EKT212" s="1"/>
      <c r="EKU212" s="1"/>
      <c r="EKV212" s="1"/>
      <c r="EKW212" s="1"/>
      <c r="EKX212" s="1"/>
      <c r="EKY212" s="1"/>
      <c r="EKZ212" s="1"/>
      <c r="ELA212" s="1"/>
      <c r="ELB212" s="1"/>
      <c r="ELC212" s="1"/>
      <c r="ELD212" s="1"/>
      <c r="ELE212" s="1"/>
      <c r="ELF212" s="1"/>
      <c r="ELG212" s="1"/>
      <c r="ELH212" s="1"/>
      <c r="ELI212" s="1"/>
      <c r="ELJ212" s="1"/>
      <c r="ELK212" s="1"/>
      <c r="ELL212" s="1"/>
      <c r="ELM212" s="1"/>
      <c r="ELN212" s="1"/>
      <c r="ELO212" s="1"/>
      <c r="ELP212" s="1"/>
      <c r="ELQ212" s="1"/>
      <c r="ELR212" s="1"/>
      <c r="ELS212" s="1"/>
      <c r="ELT212" s="1"/>
      <c r="ELU212" s="1"/>
      <c r="ELV212" s="1"/>
      <c r="ELW212" s="1"/>
      <c r="ELX212" s="1"/>
      <c r="ELY212" s="1"/>
      <c r="ELZ212" s="1"/>
      <c r="EMA212" s="1"/>
      <c r="EMB212" s="1"/>
      <c r="EMC212" s="1"/>
      <c r="EMD212" s="1"/>
      <c r="EME212" s="1"/>
      <c r="EMF212" s="1"/>
      <c r="EMG212" s="1"/>
      <c r="EMH212" s="1"/>
      <c r="EMI212" s="1"/>
      <c r="EMJ212" s="1"/>
      <c r="EMK212" s="1"/>
      <c r="EML212" s="1"/>
      <c r="EMM212" s="1"/>
      <c r="EMN212" s="1"/>
      <c r="EMO212" s="1"/>
      <c r="EMP212" s="1"/>
      <c r="EMQ212" s="1"/>
      <c r="EMR212" s="1"/>
      <c r="EMS212" s="1"/>
      <c r="EMT212" s="1"/>
      <c r="EMU212" s="1"/>
      <c r="EMV212" s="1"/>
      <c r="EMW212" s="1"/>
      <c r="EMX212" s="1"/>
      <c r="EMY212" s="1"/>
      <c r="EMZ212" s="1"/>
      <c r="ENA212" s="1"/>
      <c r="ENB212" s="1"/>
      <c r="ENC212" s="1"/>
      <c r="END212" s="1"/>
      <c r="ENE212" s="1"/>
      <c r="ENF212" s="1"/>
      <c r="ENG212" s="1"/>
      <c r="ENH212" s="1"/>
      <c r="ENI212" s="1"/>
      <c r="ENJ212" s="1"/>
      <c r="ENK212" s="1"/>
      <c r="ENL212" s="1"/>
      <c r="ENM212" s="1"/>
      <c r="ENN212" s="1"/>
      <c r="ENO212" s="1"/>
      <c r="ENP212" s="1"/>
      <c r="ENQ212" s="1"/>
      <c r="ENR212" s="1"/>
      <c r="ENS212" s="1"/>
      <c r="ENT212" s="1"/>
      <c r="ENU212" s="1"/>
      <c r="ENV212" s="1"/>
      <c r="ENW212" s="1"/>
      <c r="ENX212" s="1"/>
      <c r="ENY212" s="1"/>
      <c r="ENZ212" s="1"/>
      <c r="EOA212" s="1"/>
      <c r="EOB212" s="1"/>
      <c r="EOC212" s="1"/>
      <c r="EOD212" s="1"/>
      <c r="EOE212" s="1"/>
      <c r="EOF212" s="1"/>
      <c r="EOG212" s="1"/>
      <c r="EOH212" s="1"/>
      <c r="EOI212" s="1"/>
      <c r="EOJ212" s="1"/>
      <c r="EOK212" s="1"/>
      <c r="EOL212" s="1"/>
      <c r="EOM212" s="1"/>
      <c r="EON212" s="1"/>
      <c r="EOO212" s="1"/>
      <c r="EOP212" s="1"/>
      <c r="EOQ212" s="1"/>
      <c r="EOR212" s="1"/>
      <c r="EOS212" s="1"/>
      <c r="EOT212" s="1"/>
      <c r="EOU212" s="1"/>
      <c r="EOV212" s="1"/>
      <c r="EOW212" s="1"/>
      <c r="EOX212" s="1"/>
      <c r="EOY212" s="1"/>
      <c r="EOZ212" s="1"/>
      <c r="EPA212" s="1"/>
      <c r="EPB212" s="1"/>
      <c r="EPC212" s="1"/>
      <c r="EPD212" s="1"/>
      <c r="EPE212" s="1"/>
      <c r="EPF212" s="1"/>
      <c r="EPG212" s="1"/>
      <c r="EPH212" s="1"/>
      <c r="EPI212" s="1"/>
      <c r="EPJ212" s="1"/>
      <c r="EPK212" s="1"/>
      <c r="EPL212" s="1"/>
      <c r="EPM212" s="1"/>
      <c r="EPN212" s="1"/>
      <c r="EPO212" s="1"/>
      <c r="EPP212" s="1"/>
      <c r="EPQ212" s="1"/>
      <c r="EPR212" s="1"/>
      <c r="EPS212" s="1"/>
      <c r="EPT212" s="1"/>
      <c r="EPU212" s="1"/>
      <c r="EPV212" s="1"/>
      <c r="EPW212" s="1"/>
      <c r="EPX212" s="1"/>
      <c r="EPY212" s="1"/>
      <c r="EPZ212" s="1"/>
      <c r="EQA212" s="1"/>
      <c r="EQB212" s="1"/>
      <c r="EQC212" s="1"/>
      <c r="EQD212" s="1"/>
      <c r="EQE212" s="1"/>
      <c r="EQF212" s="1"/>
      <c r="EQG212" s="1"/>
      <c r="EQH212" s="1"/>
      <c r="EQI212" s="1"/>
      <c r="EQJ212" s="1"/>
      <c r="EQK212" s="1"/>
      <c r="EQL212" s="1"/>
      <c r="EQM212" s="1"/>
      <c r="EQN212" s="1"/>
      <c r="EQO212" s="1"/>
      <c r="EQP212" s="1"/>
      <c r="EQQ212" s="1"/>
      <c r="EQR212" s="1"/>
      <c r="EQS212" s="1"/>
      <c r="EQT212" s="1"/>
      <c r="EQU212" s="1"/>
      <c r="EQV212" s="1"/>
      <c r="EQW212" s="1"/>
      <c r="EQX212" s="1"/>
      <c r="EQY212" s="1"/>
      <c r="EQZ212" s="1"/>
      <c r="ERA212" s="1"/>
      <c r="ERB212" s="1"/>
      <c r="ERC212" s="1"/>
      <c r="ERD212" s="1"/>
      <c r="ERE212" s="1"/>
      <c r="ERF212" s="1"/>
      <c r="ERG212" s="1"/>
      <c r="ERH212" s="1"/>
      <c r="ERI212" s="1"/>
      <c r="ERJ212" s="1"/>
      <c r="ERK212" s="1"/>
      <c r="ERL212" s="1"/>
      <c r="ERM212" s="1"/>
      <c r="ERN212" s="1"/>
      <c r="ERO212" s="1"/>
      <c r="ERP212" s="1"/>
      <c r="ERQ212" s="1"/>
      <c r="ERR212" s="1"/>
      <c r="ERS212" s="1"/>
      <c r="ERT212" s="1"/>
      <c r="ERU212" s="1"/>
      <c r="ERV212" s="1"/>
      <c r="ERW212" s="1"/>
      <c r="ERX212" s="1"/>
      <c r="ERY212" s="1"/>
      <c r="ERZ212" s="1"/>
      <c r="ESA212" s="1"/>
      <c r="ESB212" s="1"/>
      <c r="ESC212" s="1"/>
      <c r="ESD212" s="1"/>
      <c r="ESE212" s="1"/>
      <c r="ESF212" s="1"/>
      <c r="ESG212" s="1"/>
      <c r="ESH212" s="1"/>
      <c r="ESI212" s="1"/>
      <c r="ESJ212" s="1"/>
      <c r="ESK212" s="1"/>
      <c r="ESL212" s="1"/>
      <c r="ESM212" s="1"/>
      <c r="ESN212" s="1"/>
      <c r="ESO212" s="1"/>
      <c r="ESP212" s="1"/>
      <c r="ESQ212" s="1"/>
      <c r="ESR212" s="1"/>
      <c r="ESS212" s="1"/>
      <c r="EST212" s="1"/>
      <c r="ESU212" s="1"/>
      <c r="ESV212" s="1"/>
      <c r="ESW212" s="1"/>
      <c r="ESX212" s="1"/>
      <c r="ESY212" s="1"/>
      <c r="ESZ212" s="1"/>
      <c r="ETA212" s="1"/>
      <c r="ETB212" s="1"/>
      <c r="ETC212" s="1"/>
      <c r="ETD212" s="1"/>
      <c r="ETE212" s="1"/>
      <c r="ETF212" s="1"/>
      <c r="ETG212" s="1"/>
      <c r="ETH212" s="1"/>
      <c r="ETI212" s="1"/>
      <c r="ETJ212" s="1"/>
      <c r="ETK212" s="1"/>
      <c r="ETL212" s="1"/>
      <c r="ETM212" s="1"/>
      <c r="ETN212" s="1"/>
      <c r="ETO212" s="1"/>
      <c r="ETP212" s="1"/>
      <c r="ETQ212" s="1"/>
      <c r="ETR212" s="1"/>
      <c r="ETS212" s="1"/>
      <c r="ETT212" s="1"/>
      <c r="ETU212" s="1"/>
      <c r="ETV212" s="1"/>
      <c r="ETW212" s="1"/>
      <c r="ETX212" s="1"/>
      <c r="ETY212" s="1"/>
      <c r="ETZ212" s="1"/>
      <c r="EUA212" s="1"/>
      <c r="EUB212" s="1"/>
      <c r="EUC212" s="1"/>
      <c r="EUD212" s="1"/>
      <c r="EUE212" s="1"/>
      <c r="EUF212" s="1"/>
      <c r="EUG212" s="1"/>
      <c r="EUH212" s="1"/>
      <c r="EUI212" s="1"/>
      <c r="EUJ212" s="1"/>
      <c r="EUK212" s="1"/>
      <c r="EUL212" s="1"/>
      <c r="EUM212" s="1"/>
      <c r="EUN212" s="1"/>
      <c r="EUO212" s="1"/>
      <c r="EUP212" s="1"/>
      <c r="EUQ212" s="1"/>
      <c r="EUR212" s="1"/>
      <c r="EUS212" s="1"/>
      <c r="EUT212" s="1"/>
      <c r="EUU212" s="1"/>
      <c r="EUV212" s="1"/>
      <c r="EUW212" s="1"/>
      <c r="EUX212" s="1"/>
      <c r="EUY212" s="1"/>
      <c r="EUZ212" s="1"/>
      <c r="EVA212" s="1"/>
      <c r="EVB212" s="1"/>
      <c r="EVC212" s="1"/>
      <c r="EVD212" s="1"/>
      <c r="EVE212" s="1"/>
      <c r="EVF212" s="1"/>
      <c r="EVG212" s="1"/>
      <c r="EVH212" s="1"/>
      <c r="EVI212" s="1"/>
      <c r="EVJ212" s="1"/>
      <c r="EVK212" s="1"/>
      <c r="EVL212" s="1"/>
      <c r="EVM212" s="1"/>
      <c r="EVN212" s="1"/>
      <c r="EVO212" s="1"/>
      <c r="EVP212" s="1"/>
      <c r="EVQ212" s="1"/>
      <c r="EVR212" s="1"/>
      <c r="EVS212" s="1"/>
      <c r="EVT212" s="1"/>
      <c r="EVU212" s="1"/>
      <c r="EVV212" s="1"/>
      <c r="EVW212" s="1"/>
      <c r="EVX212" s="1"/>
      <c r="EVY212" s="1"/>
      <c r="EVZ212" s="1"/>
      <c r="EWA212" s="1"/>
      <c r="EWB212" s="1"/>
      <c r="EWC212" s="1"/>
      <c r="EWD212" s="1"/>
      <c r="EWE212" s="1"/>
      <c r="EWF212" s="1"/>
      <c r="EWG212" s="1"/>
      <c r="EWH212" s="1"/>
      <c r="EWI212" s="1"/>
      <c r="EWJ212" s="1"/>
      <c r="EWK212" s="1"/>
      <c r="EWL212" s="1"/>
      <c r="EWM212" s="1"/>
      <c r="EWN212" s="1"/>
      <c r="EWO212" s="1"/>
      <c r="EWP212" s="1"/>
      <c r="EWQ212" s="1"/>
      <c r="EWR212" s="1"/>
      <c r="EWS212" s="1"/>
      <c r="EWT212" s="1"/>
      <c r="EWU212" s="1"/>
      <c r="EWV212" s="1"/>
      <c r="EWW212" s="1"/>
      <c r="EWX212" s="1"/>
      <c r="EWY212" s="1"/>
      <c r="EWZ212" s="1"/>
      <c r="EXA212" s="1"/>
      <c r="EXB212" s="1"/>
      <c r="EXC212" s="1"/>
      <c r="EXD212" s="1"/>
      <c r="EXE212" s="1"/>
      <c r="EXF212" s="1"/>
      <c r="EXG212" s="1"/>
      <c r="EXH212" s="1"/>
      <c r="EXI212" s="1"/>
      <c r="EXJ212" s="1"/>
      <c r="EXK212" s="1"/>
      <c r="EXL212" s="1"/>
      <c r="EXM212" s="1"/>
      <c r="EXN212" s="1"/>
      <c r="EXO212" s="1"/>
      <c r="EXP212" s="1"/>
      <c r="EXQ212" s="1"/>
      <c r="EXR212" s="1"/>
      <c r="EXS212" s="1"/>
      <c r="EXT212" s="1"/>
      <c r="EXU212" s="1"/>
      <c r="EXV212" s="1"/>
      <c r="EXW212" s="1"/>
      <c r="EXX212" s="1"/>
      <c r="EXY212" s="1"/>
      <c r="EXZ212" s="1"/>
      <c r="EYA212" s="1"/>
      <c r="EYB212" s="1"/>
      <c r="EYC212" s="1"/>
      <c r="EYD212" s="1"/>
      <c r="EYE212" s="1"/>
      <c r="EYF212" s="1"/>
      <c r="EYG212" s="1"/>
      <c r="EYH212" s="1"/>
      <c r="EYI212" s="1"/>
      <c r="EYJ212" s="1"/>
      <c r="EYK212" s="1"/>
      <c r="EYL212" s="1"/>
      <c r="EYM212" s="1"/>
      <c r="EYN212" s="1"/>
      <c r="EYO212" s="1"/>
      <c r="EYP212" s="1"/>
      <c r="EYQ212" s="1"/>
      <c r="EYR212" s="1"/>
      <c r="EYS212" s="1"/>
      <c r="EYT212" s="1"/>
      <c r="EYU212" s="1"/>
      <c r="EYV212" s="1"/>
      <c r="EYW212" s="1"/>
      <c r="EYX212" s="1"/>
      <c r="EYY212" s="1"/>
      <c r="EYZ212" s="1"/>
      <c r="EZA212" s="1"/>
      <c r="EZB212" s="1"/>
      <c r="EZC212" s="1"/>
      <c r="EZD212" s="1"/>
      <c r="EZE212" s="1"/>
      <c r="EZF212" s="1"/>
      <c r="EZG212" s="1"/>
      <c r="EZH212" s="1"/>
      <c r="EZI212" s="1"/>
      <c r="EZJ212" s="1"/>
      <c r="EZK212" s="1"/>
      <c r="EZL212" s="1"/>
      <c r="EZM212" s="1"/>
      <c r="EZN212" s="1"/>
      <c r="EZO212" s="1"/>
      <c r="EZP212" s="1"/>
      <c r="EZQ212" s="1"/>
      <c r="EZR212" s="1"/>
      <c r="EZS212" s="1"/>
      <c r="EZT212" s="1"/>
      <c r="EZU212" s="1"/>
      <c r="EZV212" s="1"/>
      <c r="EZW212" s="1"/>
      <c r="EZX212" s="1"/>
      <c r="EZY212" s="1"/>
      <c r="EZZ212" s="1"/>
      <c r="FAA212" s="1"/>
      <c r="FAB212" s="1"/>
      <c r="FAC212" s="1"/>
      <c r="FAD212" s="1"/>
      <c r="FAE212" s="1"/>
      <c r="FAF212" s="1"/>
      <c r="FAG212" s="1"/>
      <c r="FAH212" s="1"/>
      <c r="FAI212" s="1"/>
      <c r="FAJ212" s="1"/>
      <c r="FAK212" s="1"/>
      <c r="FAL212" s="1"/>
      <c r="FAM212" s="1"/>
      <c r="FAN212" s="1"/>
      <c r="FAO212" s="1"/>
      <c r="FAP212" s="1"/>
      <c r="FAQ212" s="1"/>
      <c r="FAR212" s="1"/>
      <c r="FAS212" s="1"/>
      <c r="FAT212" s="1"/>
      <c r="FAU212" s="1"/>
      <c r="FAV212" s="1"/>
      <c r="FAW212" s="1"/>
      <c r="FAX212" s="1"/>
      <c r="FAY212" s="1"/>
      <c r="FAZ212" s="1"/>
      <c r="FBA212" s="1"/>
      <c r="FBB212" s="1"/>
      <c r="FBC212" s="1"/>
      <c r="FBD212" s="1"/>
      <c r="FBE212" s="1"/>
      <c r="FBF212" s="1"/>
      <c r="FBG212" s="1"/>
      <c r="FBH212" s="1"/>
      <c r="FBI212" s="1"/>
      <c r="FBJ212" s="1"/>
      <c r="FBK212" s="1"/>
      <c r="FBL212" s="1"/>
      <c r="FBM212" s="1"/>
      <c r="FBN212" s="1"/>
      <c r="FBO212" s="1"/>
      <c r="FBP212" s="1"/>
      <c r="FBQ212" s="1"/>
      <c r="FBR212" s="1"/>
      <c r="FBS212" s="1"/>
      <c r="FBT212" s="1"/>
      <c r="FBU212" s="1"/>
      <c r="FBV212" s="1"/>
      <c r="FBW212" s="1"/>
      <c r="FBX212" s="1"/>
      <c r="FBY212" s="1"/>
      <c r="FBZ212" s="1"/>
      <c r="FCA212" s="1"/>
      <c r="FCB212" s="1"/>
      <c r="FCC212" s="1"/>
      <c r="FCD212" s="1"/>
      <c r="FCE212" s="1"/>
      <c r="FCF212" s="1"/>
      <c r="FCG212" s="1"/>
      <c r="FCH212" s="1"/>
      <c r="FCI212" s="1"/>
      <c r="FCJ212" s="1"/>
      <c r="FCK212" s="1"/>
      <c r="FCL212" s="1"/>
      <c r="FCM212" s="1"/>
      <c r="FCN212" s="1"/>
      <c r="FCO212" s="1"/>
      <c r="FCP212" s="1"/>
      <c r="FCQ212" s="1"/>
      <c r="FCR212" s="1"/>
      <c r="FCS212" s="1"/>
      <c r="FCT212" s="1"/>
      <c r="FCU212" s="1"/>
      <c r="FCV212" s="1"/>
      <c r="FCW212" s="1"/>
      <c r="FCX212" s="1"/>
      <c r="FCY212" s="1"/>
      <c r="FCZ212" s="1"/>
      <c r="FDA212" s="1"/>
      <c r="FDB212" s="1"/>
      <c r="FDC212" s="1"/>
      <c r="FDD212" s="1"/>
      <c r="FDE212" s="1"/>
      <c r="FDF212" s="1"/>
      <c r="FDG212" s="1"/>
      <c r="FDH212" s="1"/>
      <c r="FDI212" s="1"/>
      <c r="FDJ212" s="1"/>
      <c r="FDK212" s="1"/>
      <c r="FDL212" s="1"/>
      <c r="FDM212" s="1"/>
      <c r="FDN212" s="1"/>
      <c r="FDO212" s="1"/>
      <c r="FDP212" s="1"/>
      <c r="FDQ212" s="1"/>
      <c r="FDR212" s="1"/>
      <c r="FDS212" s="1"/>
      <c r="FDT212" s="1"/>
      <c r="FDU212" s="1"/>
      <c r="FDV212" s="1"/>
      <c r="FDW212" s="1"/>
      <c r="FDX212" s="1"/>
      <c r="FDY212" s="1"/>
      <c r="FDZ212" s="1"/>
      <c r="FEA212" s="1"/>
      <c r="FEB212" s="1"/>
      <c r="FEC212" s="1"/>
      <c r="FED212" s="1"/>
      <c r="FEE212" s="1"/>
      <c r="FEF212" s="1"/>
      <c r="FEG212" s="1"/>
      <c r="FEH212" s="1"/>
      <c r="FEI212" s="1"/>
      <c r="FEJ212" s="1"/>
      <c r="FEK212" s="1"/>
      <c r="FEL212" s="1"/>
      <c r="FEM212" s="1"/>
      <c r="FEN212" s="1"/>
      <c r="FEO212" s="1"/>
      <c r="FEP212" s="1"/>
      <c r="FEQ212" s="1"/>
      <c r="FER212" s="1"/>
      <c r="FES212" s="1"/>
      <c r="FET212" s="1"/>
      <c r="FEU212" s="1"/>
      <c r="FEV212" s="1"/>
      <c r="FEW212" s="1"/>
      <c r="FEX212" s="1"/>
      <c r="FEY212" s="1"/>
      <c r="FEZ212" s="1"/>
      <c r="FFA212" s="1"/>
      <c r="FFB212" s="1"/>
      <c r="FFC212" s="1"/>
      <c r="FFD212" s="1"/>
      <c r="FFE212" s="1"/>
      <c r="FFF212" s="1"/>
      <c r="FFG212" s="1"/>
      <c r="FFH212" s="1"/>
      <c r="FFI212" s="1"/>
      <c r="FFJ212" s="1"/>
      <c r="FFK212" s="1"/>
      <c r="FFL212" s="1"/>
      <c r="FFM212" s="1"/>
      <c r="FFN212" s="1"/>
      <c r="FFO212" s="1"/>
      <c r="FFP212" s="1"/>
      <c r="FFQ212" s="1"/>
      <c r="FFR212" s="1"/>
      <c r="FFS212" s="1"/>
      <c r="FFT212" s="1"/>
      <c r="FFU212" s="1"/>
      <c r="FFV212" s="1"/>
      <c r="FFW212" s="1"/>
      <c r="FFX212" s="1"/>
      <c r="FFY212" s="1"/>
      <c r="FFZ212" s="1"/>
      <c r="FGA212" s="1"/>
      <c r="FGB212" s="1"/>
      <c r="FGC212" s="1"/>
      <c r="FGD212" s="1"/>
      <c r="FGE212" s="1"/>
      <c r="FGF212" s="1"/>
      <c r="FGG212" s="1"/>
      <c r="FGH212" s="1"/>
      <c r="FGI212" s="1"/>
      <c r="FGJ212" s="1"/>
      <c r="FGK212" s="1"/>
      <c r="FGL212" s="1"/>
      <c r="FGM212" s="1"/>
      <c r="FGN212" s="1"/>
      <c r="FGO212" s="1"/>
      <c r="FGP212" s="1"/>
      <c r="FGQ212" s="1"/>
      <c r="FGR212" s="1"/>
      <c r="FGS212" s="1"/>
      <c r="FGT212" s="1"/>
      <c r="FGU212" s="1"/>
      <c r="FGV212" s="1"/>
      <c r="FGW212" s="1"/>
      <c r="FGX212" s="1"/>
      <c r="FGY212" s="1"/>
      <c r="FGZ212" s="1"/>
      <c r="FHA212" s="1"/>
      <c r="FHB212" s="1"/>
      <c r="FHC212" s="1"/>
      <c r="FHD212" s="1"/>
      <c r="FHE212" s="1"/>
      <c r="FHF212" s="1"/>
      <c r="FHG212" s="1"/>
      <c r="FHH212" s="1"/>
      <c r="FHI212" s="1"/>
      <c r="FHJ212" s="1"/>
      <c r="FHK212" s="1"/>
      <c r="FHL212" s="1"/>
      <c r="FHM212" s="1"/>
      <c r="FHN212" s="1"/>
      <c r="FHO212" s="1"/>
      <c r="FHP212" s="1"/>
      <c r="FHQ212" s="1"/>
      <c r="FHR212" s="1"/>
      <c r="FHS212" s="1"/>
      <c r="FHT212" s="1"/>
      <c r="FHU212" s="1"/>
      <c r="FHV212" s="1"/>
      <c r="FHW212" s="1"/>
      <c r="FHX212" s="1"/>
      <c r="FHY212" s="1"/>
      <c r="FHZ212" s="1"/>
      <c r="FIA212" s="1"/>
      <c r="FIB212" s="1"/>
      <c r="FIC212" s="1"/>
      <c r="FID212" s="1"/>
      <c r="FIE212" s="1"/>
      <c r="FIF212" s="1"/>
      <c r="FIG212" s="1"/>
      <c r="FIH212" s="1"/>
      <c r="FII212" s="1"/>
      <c r="FIJ212" s="1"/>
      <c r="FIK212" s="1"/>
      <c r="FIL212" s="1"/>
      <c r="FIM212" s="1"/>
      <c r="FIN212" s="1"/>
      <c r="FIO212" s="1"/>
      <c r="FIP212" s="1"/>
      <c r="FIQ212" s="1"/>
      <c r="FIR212" s="1"/>
      <c r="FIS212" s="1"/>
      <c r="FIT212" s="1"/>
      <c r="FIU212" s="1"/>
      <c r="FIV212" s="1"/>
      <c r="FIW212" s="1"/>
      <c r="FIX212" s="1"/>
      <c r="FIY212" s="1"/>
      <c r="FIZ212" s="1"/>
      <c r="FJA212" s="1"/>
      <c r="FJB212" s="1"/>
      <c r="FJC212" s="1"/>
      <c r="FJD212" s="1"/>
      <c r="FJE212" s="1"/>
      <c r="FJF212" s="1"/>
      <c r="FJG212" s="1"/>
      <c r="FJH212" s="1"/>
      <c r="FJI212" s="1"/>
      <c r="FJJ212" s="1"/>
      <c r="FJK212" s="1"/>
      <c r="FJL212" s="1"/>
      <c r="FJM212" s="1"/>
      <c r="FJN212" s="1"/>
      <c r="FJO212" s="1"/>
      <c r="FJP212" s="1"/>
      <c r="FJQ212" s="1"/>
      <c r="FJR212" s="1"/>
      <c r="FJS212" s="1"/>
      <c r="FJT212" s="1"/>
      <c r="FJU212" s="1"/>
      <c r="FJV212" s="1"/>
      <c r="FJW212" s="1"/>
      <c r="FJX212" s="1"/>
      <c r="FJY212" s="1"/>
      <c r="FJZ212" s="1"/>
      <c r="FKA212" s="1"/>
      <c r="FKB212" s="1"/>
      <c r="FKC212" s="1"/>
      <c r="FKD212" s="1"/>
      <c r="FKE212" s="1"/>
      <c r="FKF212" s="1"/>
      <c r="FKG212" s="1"/>
      <c r="FKH212" s="1"/>
      <c r="FKI212" s="1"/>
      <c r="FKJ212" s="1"/>
      <c r="FKK212" s="1"/>
      <c r="FKL212" s="1"/>
      <c r="FKM212" s="1"/>
      <c r="FKN212" s="1"/>
      <c r="FKO212" s="1"/>
      <c r="FKP212" s="1"/>
      <c r="FKQ212" s="1"/>
      <c r="FKR212" s="1"/>
      <c r="FKS212" s="1"/>
      <c r="FKT212" s="1"/>
      <c r="FKU212" s="1"/>
      <c r="FKV212" s="1"/>
      <c r="FKW212" s="1"/>
      <c r="FKX212" s="1"/>
      <c r="FKY212" s="1"/>
      <c r="FKZ212" s="1"/>
      <c r="FLA212" s="1"/>
      <c r="FLB212" s="1"/>
      <c r="FLC212" s="1"/>
      <c r="FLD212" s="1"/>
      <c r="FLE212" s="1"/>
      <c r="FLF212" s="1"/>
      <c r="FLG212" s="1"/>
      <c r="FLH212" s="1"/>
      <c r="FLI212" s="1"/>
      <c r="FLJ212" s="1"/>
      <c r="FLK212" s="1"/>
      <c r="FLL212" s="1"/>
      <c r="FLM212" s="1"/>
      <c r="FLN212" s="1"/>
      <c r="FLO212" s="1"/>
      <c r="FLP212" s="1"/>
      <c r="FLQ212" s="1"/>
      <c r="FLR212" s="1"/>
      <c r="FLS212" s="1"/>
      <c r="FLT212" s="1"/>
      <c r="FLU212" s="1"/>
      <c r="FLV212" s="1"/>
      <c r="FLW212" s="1"/>
      <c r="FLX212" s="1"/>
      <c r="FLY212" s="1"/>
      <c r="FLZ212" s="1"/>
      <c r="FMA212" s="1"/>
      <c r="FMB212" s="1"/>
      <c r="FMC212" s="1"/>
      <c r="FMD212" s="1"/>
      <c r="FME212" s="1"/>
      <c r="FMF212" s="1"/>
      <c r="FMG212" s="1"/>
      <c r="FMH212" s="1"/>
      <c r="FMI212" s="1"/>
      <c r="FMJ212" s="1"/>
      <c r="FMK212" s="1"/>
      <c r="FML212" s="1"/>
      <c r="FMM212" s="1"/>
      <c r="FMN212" s="1"/>
      <c r="FMO212" s="1"/>
      <c r="FMP212" s="1"/>
      <c r="FMQ212" s="1"/>
      <c r="FMR212" s="1"/>
      <c r="FMS212" s="1"/>
      <c r="FMT212" s="1"/>
      <c r="FMU212" s="1"/>
      <c r="FMV212" s="1"/>
      <c r="FMW212" s="1"/>
      <c r="FMX212" s="1"/>
      <c r="FMY212" s="1"/>
      <c r="FMZ212" s="1"/>
      <c r="FNA212" s="1"/>
      <c r="FNB212" s="1"/>
      <c r="FNC212" s="1"/>
      <c r="FND212" s="1"/>
      <c r="FNE212" s="1"/>
      <c r="FNF212" s="1"/>
      <c r="FNG212" s="1"/>
      <c r="FNH212" s="1"/>
      <c r="FNI212" s="1"/>
      <c r="FNJ212" s="1"/>
      <c r="FNK212" s="1"/>
      <c r="FNL212" s="1"/>
      <c r="FNM212" s="1"/>
      <c r="FNN212" s="1"/>
      <c r="FNO212" s="1"/>
      <c r="FNP212" s="1"/>
      <c r="FNQ212" s="1"/>
      <c r="FNR212" s="1"/>
      <c r="FNS212" s="1"/>
      <c r="FNT212" s="1"/>
      <c r="FNU212" s="1"/>
      <c r="FNV212" s="1"/>
      <c r="FNW212" s="1"/>
      <c r="FNX212" s="1"/>
      <c r="FNY212" s="1"/>
      <c r="FNZ212" s="1"/>
      <c r="FOA212" s="1"/>
      <c r="FOB212" s="1"/>
      <c r="FOC212" s="1"/>
      <c r="FOD212" s="1"/>
      <c r="FOE212" s="1"/>
      <c r="FOF212" s="1"/>
      <c r="FOG212" s="1"/>
      <c r="FOH212" s="1"/>
      <c r="FOI212" s="1"/>
      <c r="FOJ212" s="1"/>
      <c r="FOK212" s="1"/>
      <c r="FOL212" s="1"/>
      <c r="FOM212" s="1"/>
      <c r="FON212" s="1"/>
      <c r="FOO212" s="1"/>
      <c r="FOP212" s="1"/>
      <c r="FOQ212" s="1"/>
      <c r="FOR212" s="1"/>
      <c r="FOS212" s="1"/>
      <c r="FOT212" s="1"/>
      <c r="FOU212" s="1"/>
      <c r="FOV212" s="1"/>
      <c r="FOW212" s="1"/>
      <c r="FOX212" s="1"/>
      <c r="FOY212" s="1"/>
      <c r="FOZ212" s="1"/>
      <c r="FPA212" s="1"/>
      <c r="FPB212" s="1"/>
      <c r="FPC212" s="1"/>
      <c r="FPD212" s="1"/>
      <c r="FPE212" s="1"/>
      <c r="FPF212" s="1"/>
      <c r="FPG212" s="1"/>
      <c r="FPH212" s="1"/>
      <c r="FPI212" s="1"/>
      <c r="FPJ212" s="1"/>
      <c r="FPK212" s="1"/>
      <c r="FPL212" s="1"/>
      <c r="FPM212" s="1"/>
      <c r="FPN212" s="1"/>
      <c r="FPO212" s="1"/>
      <c r="FPP212" s="1"/>
      <c r="FPQ212" s="1"/>
      <c r="FPR212" s="1"/>
      <c r="FPS212" s="1"/>
      <c r="FPT212" s="1"/>
      <c r="FPU212" s="1"/>
      <c r="FPV212" s="1"/>
      <c r="FPW212" s="1"/>
      <c r="FPX212" s="1"/>
      <c r="FPY212" s="1"/>
      <c r="FPZ212" s="1"/>
      <c r="FQA212" s="1"/>
      <c r="FQB212" s="1"/>
      <c r="FQC212" s="1"/>
      <c r="FQD212" s="1"/>
      <c r="FQE212" s="1"/>
      <c r="FQF212" s="1"/>
      <c r="FQG212" s="1"/>
      <c r="FQH212" s="1"/>
      <c r="FQI212" s="1"/>
      <c r="FQJ212" s="1"/>
      <c r="FQK212" s="1"/>
      <c r="FQL212" s="1"/>
      <c r="FQM212" s="1"/>
      <c r="FQN212" s="1"/>
      <c r="FQO212" s="1"/>
      <c r="FQP212" s="1"/>
      <c r="FQQ212" s="1"/>
      <c r="FQR212" s="1"/>
      <c r="FQS212" s="1"/>
      <c r="FQT212" s="1"/>
      <c r="FQU212" s="1"/>
      <c r="FQV212" s="1"/>
      <c r="FQW212" s="1"/>
      <c r="FQX212" s="1"/>
      <c r="FQY212" s="1"/>
      <c r="FQZ212" s="1"/>
      <c r="FRA212" s="1"/>
      <c r="FRB212" s="1"/>
      <c r="FRC212" s="1"/>
      <c r="FRD212" s="1"/>
      <c r="FRE212" s="1"/>
      <c r="FRF212" s="1"/>
      <c r="FRG212" s="1"/>
      <c r="FRH212" s="1"/>
      <c r="FRI212" s="1"/>
      <c r="FRJ212" s="1"/>
      <c r="FRK212" s="1"/>
      <c r="FRL212" s="1"/>
      <c r="FRM212" s="1"/>
      <c r="FRN212" s="1"/>
      <c r="FRO212" s="1"/>
      <c r="FRP212" s="1"/>
      <c r="FRQ212" s="1"/>
      <c r="FRR212" s="1"/>
      <c r="FRS212" s="1"/>
      <c r="FRT212" s="1"/>
      <c r="FRU212" s="1"/>
      <c r="FRV212" s="1"/>
      <c r="FRW212" s="1"/>
      <c r="FRX212" s="1"/>
      <c r="FRY212" s="1"/>
      <c r="FRZ212" s="1"/>
      <c r="FSA212" s="1"/>
      <c r="FSB212" s="1"/>
      <c r="FSC212" s="1"/>
      <c r="FSD212" s="1"/>
      <c r="FSE212" s="1"/>
      <c r="FSF212" s="1"/>
      <c r="FSG212" s="1"/>
      <c r="FSH212" s="1"/>
      <c r="FSI212" s="1"/>
      <c r="FSJ212" s="1"/>
      <c r="FSK212" s="1"/>
      <c r="FSL212" s="1"/>
      <c r="FSM212" s="1"/>
      <c r="FSN212" s="1"/>
      <c r="FSO212" s="1"/>
      <c r="FSP212" s="1"/>
      <c r="FSQ212" s="1"/>
      <c r="FSR212" s="1"/>
      <c r="FSS212" s="1"/>
      <c r="FST212" s="1"/>
      <c r="FSU212" s="1"/>
      <c r="FSV212" s="1"/>
      <c r="FSW212" s="1"/>
      <c r="FSX212" s="1"/>
      <c r="FSY212" s="1"/>
      <c r="FSZ212" s="1"/>
      <c r="FTA212" s="1"/>
      <c r="FTB212" s="1"/>
      <c r="FTC212" s="1"/>
      <c r="FTD212" s="1"/>
      <c r="FTE212" s="1"/>
      <c r="FTF212" s="1"/>
      <c r="FTG212" s="1"/>
      <c r="FTH212" s="1"/>
      <c r="FTI212" s="1"/>
      <c r="FTJ212" s="1"/>
      <c r="FTK212" s="1"/>
      <c r="FTL212" s="1"/>
      <c r="FTM212" s="1"/>
      <c r="FTN212" s="1"/>
      <c r="FTO212" s="1"/>
      <c r="FTP212" s="1"/>
      <c r="FTQ212" s="1"/>
      <c r="FTR212" s="1"/>
      <c r="FTS212" s="1"/>
      <c r="FTT212" s="1"/>
      <c r="FTU212" s="1"/>
      <c r="FTV212" s="1"/>
      <c r="FTW212" s="1"/>
      <c r="FTX212" s="1"/>
      <c r="FTY212" s="1"/>
      <c r="FTZ212" s="1"/>
      <c r="FUA212" s="1"/>
      <c r="FUB212" s="1"/>
      <c r="FUC212" s="1"/>
      <c r="FUD212" s="1"/>
      <c r="FUE212" s="1"/>
      <c r="FUF212" s="1"/>
      <c r="FUG212" s="1"/>
      <c r="FUH212" s="1"/>
      <c r="FUI212" s="1"/>
      <c r="FUJ212" s="1"/>
      <c r="FUK212" s="1"/>
      <c r="FUL212" s="1"/>
      <c r="FUM212" s="1"/>
      <c r="FUN212" s="1"/>
      <c r="FUO212" s="1"/>
      <c r="FUP212" s="1"/>
      <c r="FUQ212" s="1"/>
      <c r="FUR212" s="1"/>
      <c r="FUS212" s="1"/>
      <c r="FUT212" s="1"/>
      <c r="FUU212" s="1"/>
      <c r="FUV212" s="1"/>
      <c r="FUW212" s="1"/>
      <c r="FUX212" s="1"/>
      <c r="FUY212" s="1"/>
      <c r="FUZ212" s="1"/>
      <c r="FVA212" s="1"/>
      <c r="FVB212" s="1"/>
      <c r="FVC212" s="1"/>
      <c r="FVD212" s="1"/>
      <c r="FVE212" s="1"/>
      <c r="FVF212" s="1"/>
      <c r="FVG212" s="1"/>
      <c r="FVH212" s="1"/>
      <c r="FVI212" s="1"/>
      <c r="FVJ212" s="1"/>
      <c r="FVK212" s="1"/>
      <c r="FVL212" s="1"/>
      <c r="FVM212" s="1"/>
      <c r="FVN212" s="1"/>
      <c r="FVO212" s="1"/>
      <c r="FVP212" s="1"/>
      <c r="FVQ212" s="1"/>
      <c r="FVR212" s="1"/>
      <c r="FVS212" s="1"/>
      <c r="FVT212" s="1"/>
      <c r="FVU212" s="1"/>
      <c r="FVV212" s="1"/>
      <c r="FVW212" s="1"/>
      <c r="FVX212" s="1"/>
      <c r="FVY212" s="1"/>
      <c r="FVZ212" s="1"/>
      <c r="FWA212" s="1"/>
      <c r="FWB212" s="1"/>
      <c r="FWC212" s="1"/>
      <c r="FWD212" s="1"/>
      <c r="FWE212" s="1"/>
      <c r="FWF212" s="1"/>
      <c r="FWG212" s="1"/>
      <c r="FWH212" s="1"/>
      <c r="FWI212" s="1"/>
      <c r="FWJ212" s="1"/>
      <c r="FWK212" s="1"/>
      <c r="FWL212" s="1"/>
      <c r="FWM212" s="1"/>
      <c r="FWN212" s="1"/>
      <c r="FWO212" s="1"/>
      <c r="FWP212" s="1"/>
      <c r="FWQ212" s="1"/>
      <c r="FWR212" s="1"/>
      <c r="FWS212" s="1"/>
      <c r="FWT212" s="1"/>
      <c r="FWU212" s="1"/>
      <c r="FWV212" s="1"/>
      <c r="FWW212" s="1"/>
      <c r="FWX212" s="1"/>
      <c r="FWY212" s="1"/>
      <c r="FWZ212" s="1"/>
      <c r="FXA212" s="1"/>
      <c r="FXB212" s="1"/>
      <c r="FXC212" s="1"/>
      <c r="FXD212" s="1"/>
      <c r="FXE212" s="1"/>
      <c r="FXF212" s="1"/>
      <c r="FXG212" s="1"/>
      <c r="FXH212" s="1"/>
      <c r="FXI212" s="1"/>
      <c r="FXJ212" s="1"/>
      <c r="FXK212" s="1"/>
      <c r="FXL212" s="1"/>
      <c r="FXM212" s="1"/>
      <c r="FXN212" s="1"/>
      <c r="FXO212" s="1"/>
      <c r="FXP212" s="1"/>
      <c r="FXQ212" s="1"/>
      <c r="FXR212" s="1"/>
      <c r="FXS212" s="1"/>
      <c r="FXT212" s="1"/>
      <c r="FXU212" s="1"/>
      <c r="FXV212" s="1"/>
      <c r="FXW212" s="1"/>
      <c r="FXX212" s="1"/>
      <c r="FXY212" s="1"/>
      <c r="FXZ212" s="1"/>
      <c r="FYA212" s="1"/>
      <c r="FYB212" s="1"/>
      <c r="FYC212" s="1"/>
      <c r="FYD212" s="1"/>
      <c r="FYE212" s="1"/>
      <c r="FYF212" s="1"/>
      <c r="FYG212" s="1"/>
      <c r="FYH212" s="1"/>
      <c r="FYI212" s="1"/>
      <c r="FYJ212" s="1"/>
      <c r="FYK212" s="1"/>
      <c r="FYL212" s="1"/>
      <c r="FYM212" s="1"/>
      <c r="FYN212" s="1"/>
      <c r="FYO212" s="1"/>
      <c r="FYP212" s="1"/>
      <c r="FYQ212" s="1"/>
      <c r="FYR212" s="1"/>
      <c r="FYS212" s="1"/>
      <c r="FYT212" s="1"/>
      <c r="FYU212" s="1"/>
      <c r="FYV212" s="1"/>
      <c r="FYW212" s="1"/>
      <c r="FYX212" s="1"/>
      <c r="FYY212" s="1"/>
      <c r="FYZ212" s="1"/>
      <c r="FZA212" s="1"/>
      <c r="FZB212" s="1"/>
      <c r="FZC212" s="1"/>
      <c r="FZD212" s="1"/>
      <c r="FZE212" s="1"/>
      <c r="FZF212" s="1"/>
      <c r="FZG212" s="1"/>
      <c r="FZH212" s="1"/>
      <c r="FZI212" s="1"/>
      <c r="FZJ212" s="1"/>
      <c r="FZK212" s="1"/>
      <c r="FZL212" s="1"/>
      <c r="FZM212" s="1"/>
      <c r="FZN212" s="1"/>
      <c r="FZO212" s="1"/>
      <c r="FZP212" s="1"/>
      <c r="FZQ212" s="1"/>
      <c r="FZR212" s="1"/>
      <c r="FZS212" s="1"/>
      <c r="FZT212" s="1"/>
      <c r="FZU212" s="1"/>
      <c r="FZV212" s="1"/>
      <c r="FZW212" s="1"/>
      <c r="FZX212" s="1"/>
      <c r="FZY212" s="1"/>
      <c r="FZZ212" s="1"/>
      <c r="GAA212" s="1"/>
      <c r="GAB212" s="1"/>
      <c r="GAC212" s="1"/>
      <c r="GAD212" s="1"/>
      <c r="GAE212" s="1"/>
      <c r="GAF212" s="1"/>
      <c r="GAG212" s="1"/>
      <c r="GAH212" s="1"/>
      <c r="GAI212" s="1"/>
      <c r="GAJ212" s="1"/>
      <c r="GAK212" s="1"/>
      <c r="GAL212" s="1"/>
      <c r="GAM212" s="1"/>
      <c r="GAN212" s="1"/>
      <c r="GAO212" s="1"/>
      <c r="GAP212" s="1"/>
      <c r="GAQ212" s="1"/>
      <c r="GAR212" s="1"/>
      <c r="GAS212" s="1"/>
      <c r="GAT212" s="1"/>
      <c r="GAU212" s="1"/>
      <c r="GAV212" s="1"/>
      <c r="GAW212" s="1"/>
      <c r="GAX212" s="1"/>
      <c r="GAY212" s="1"/>
      <c r="GAZ212" s="1"/>
      <c r="GBA212" s="1"/>
      <c r="GBB212" s="1"/>
      <c r="GBC212" s="1"/>
      <c r="GBD212" s="1"/>
      <c r="GBE212" s="1"/>
      <c r="GBF212" s="1"/>
      <c r="GBG212" s="1"/>
      <c r="GBH212" s="1"/>
      <c r="GBI212" s="1"/>
      <c r="GBJ212" s="1"/>
      <c r="GBK212" s="1"/>
      <c r="GBL212" s="1"/>
      <c r="GBM212" s="1"/>
      <c r="GBN212" s="1"/>
      <c r="GBO212" s="1"/>
      <c r="GBP212" s="1"/>
      <c r="GBQ212" s="1"/>
      <c r="GBR212" s="1"/>
      <c r="GBS212" s="1"/>
      <c r="GBT212" s="1"/>
      <c r="GBU212" s="1"/>
      <c r="GBV212" s="1"/>
      <c r="GBW212" s="1"/>
      <c r="GBX212" s="1"/>
      <c r="GBY212" s="1"/>
      <c r="GBZ212" s="1"/>
      <c r="GCA212" s="1"/>
      <c r="GCB212" s="1"/>
      <c r="GCC212" s="1"/>
      <c r="GCD212" s="1"/>
      <c r="GCE212" s="1"/>
      <c r="GCF212" s="1"/>
      <c r="GCG212" s="1"/>
      <c r="GCH212" s="1"/>
      <c r="GCI212" s="1"/>
      <c r="GCJ212" s="1"/>
      <c r="GCK212" s="1"/>
      <c r="GCL212" s="1"/>
      <c r="GCM212" s="1"/>
      <c r="GCN212" s="1"/>
      <c r="GCO212" s="1"/>
      <c r="GCP212" s="1"/>
      <c r="GCQ212" s="1"/>
      <c r="GCR212" s="1"/>
      <c r="GCS212" s="1"/>
      <c r="GCT212" s="1"/>
      <c r="GCU212" s="1"/>
      <c r="GCV212" s="1"/>
      <c r="GCW212" s="1"/>
      <c r="GCX212" s="1"/>
      <c r="GCY212" s="1"/>
      <c r="GCZ212" s="1"/>
      <c r="GDA212" s="1"/>
      <c r="GDB212" s="1"/>
      <c r="GDC212" s="1"/>
      <c r="GDD212" s="1"/>
      <c r="GDE212" s="1"/>
      <c r="GDF212" s="1"/>
      <c r="GDG212" s="1"/>
      <c r="GDH212" s="1"/>
      <c r="GDI212" s="1"/>
      <c r="GDJ212" s="1"/>
      <c r="GDK212" s="1"/>
      <c r="GDL212" s="1"/>
      <c r="GDM212" s="1"/>
      <c r="GDN212" s="1"/>
      <c r="GDO212" s="1"/>
      <c r="GDP212" s="1"/>
      <c r="GDQ212" s="1"/>
      <c r="GDR212" s="1"/>
      <c r="GDS212" s="1"/>
      <c r="GDT212" s="1"/>
      <c r="GDU212" s="1"/>
      <c r="GDV212" s="1"/>
      <c r="GDW212" s="1"/>
      <c r="GDX212" s="1"/>
      <c r="GDY212" s="1"/>
      <c r="GDZ212" s="1"/>
      <c r="GEA212" s="1"/>
      <c r="GEB212" s="1"/>
      <c r="GEC212" s="1"/>
      <c r="GED212" s="1"/>
      <c r="GEE212" s="1"/>
      <c r="GEF212" s="1"/>
      <c r="GEG212" s="1"/>
      <c r="GEH212" s="1"/>
      <c r="GEI212" s="1"/>
      <c r="GEJ212" s="1"/>
      <c r="GEK212" s="1"/>
      <c r="GEL212" s="1"/>
      <c r="GEM212" s="1"/>
      <c r="GEN212" s="1"/>
      <c r="GEO212" s="1"/>
      <c r="GEP212" s="1"/>
      <c r="GEQ212" s="1"/>
      <c r="GER212" s="1"/>
      <c r="GES212" s="1"/>
      <c r="GET212" s="1"/>
      <c r="GEU212" s="1"/>
      <c r="GEV212" s="1"/>
      <c r="GEW212" s="1"/>
      <c r="GEX212" s="1"/>
      <c r="GEY212" s="1"/>
      <c r="GEZ212" s="1"/>
      <c r="GFA212" s="1"/>
      <c r="GFB212" s="1"/>
      <c r="GFC212" s="1"/>
      <c r="GFD212" s="1"/>
      <c r="GFE212" s="1"/>
      <c r="GFF212" s="1"/>
      <c r="GFG212" s="1"/>
      <c r="GFH212" s="1"/>
      <c r="GFI212" s="1"/>
      <c r="GFJ212" s="1"/>
      <c r="GFK212" s="1"/>
      <c r="GFL212" s="1"/>
      <c r="GFM212" s="1"/>
      <c r="GFN212" s="1"/>
      <c r="GFO212" s="1"/>
      <c r="GFP212" s="1"/>
      <c r="GFQ212" s="1"/>
      <c r="GFR212" s="1"/>
      <c r="GFS212" s="1"/>
      <c r="GFT212" s="1"/>
      <c r="GFU212" s="1"/>
      <c r="GFV212" s="1"/>
      <c r="GFW212" s="1"/>
      <c r="GFX212" s="1"/>
      <c r="GFY212" s="1"/>
      <c r="GFZ212" s="1"/>
      <c r="GGA212" s="1"/>
      <c r="GGB212" s="1"/>
      <c r="GGC212" s="1"/>
      <c r="GGD212" s="1"/>
      <c r="GGE212" s="1"/>
      <c r="GGF212" s="1"/>
      <c r="GGG212" s="1"/>
      <c r="GGH212" s="1"/>
      <c r="GGI212" s="1"/>
      <c r="GGJ212" s="1"/>
      <c r="GGK212" s="1"/>
      <c r="GGL212" s="1"/>
      <c r="GGM212" s="1"/>
      <c r="GGN212" s="1"/>
      <c r="GGO212" s="1"/>
      <c r="GGP212" s="1"/>
      <c r="GGQ212" s="1"/>
      <c r="GGR212" s="1"/>
      <c r="GGS212" s="1"/>
      <c r="GGT212" s="1"/>
      <c r="GGU212" s="1"/>
      <c r="GGV212" s="1"/>
      <c r="GGW212" s="1"/>
      <c r="GGX212" s="1"/>
      <c r="GGY212" s="1"/>
      <c r="GGZ212" s="1"/>
      <c r="GHA212" s="1"/>
      <c r="GHB212" s="1"/>
      <c r="GHC212" s="1"/>
      <c r="GHD212" s="1"/>
      <c r="GHE212" s="1"/>
      <c r="GHF212" s="1"/>
      <c r="GHG212" s="1"/>
      <c r="GHH212" s="1"/>
      <c r="GHI212" s="1"/>
      <c r="GHJ212" s="1"/>
      <c r="GHK212" s="1"/>
      <c r="GHL212" s="1"/>
      <c r="GHM212" s="1"/>
      <c r="GHN212" s="1"/>
      <c r="GHO212" s="1"/>
      <c r="GHP212" s="1"/>
      <c r="GHQ212" s="1"/>
      <c r="GHR212" s="1"/>
      <c r="GHS212" s="1"/>
      <c r="GHT212" s="1"/>
      <c r="GHU212" s="1"/>
      <c r="GHV212" s="1"/>
      <c r="GHW212" s="1"/>
      <c r="GHX212" s="1"/>
      <c r="GHY212" s="1"/>
      <c r="GHZ212" s="1"/>
      <c r="GIA212" s="1"/>
      <c r="GIB212" s="1"/>
      <c r="GIC212" s="1"/>
      <c r="GID212" s="1"/>
      <c r="GIE212" s="1"/>
      <c r="GIF212" s="1"/>
      <c r="GIG212" s="1"/>
      <c r="GIH212" s="1"/>
      <c r="GII212" s="1"/>
      <c r="GIJ212" s="1"/>
      <c r="GIK212" s="1"/>
      <c r="GIL212" s="1"/>
      <c r="GIM212" s="1"/>
      <c r="GIN212" s="1"/>
      <c r="GIO212" s="1"/>
      <c r="GIP212" s="1"/>
      <c r="GIQ212" s="1"/>
      <c r="GIR212" s="1"/>
      <c r="GIS212" s="1"/>
      <c r="GIT212" s="1"/>
      <c r="GIU212" s="1"/>
      <c r="GIV212" s="1"/>
      <c r="GIW212" s="1"/>
      <c r="GIX212" s="1"/>
      <c r="GIY212" s="1"/>
      <c r="GIZ212" s="1"/>
      <c r="GJA212" s="1"/>
      <c r="GJB212" s="1"/>
      <c r="GJC212" s="1"/>
      <c r="GJD212" s="1"/>
      <c r="GJE212" s="1"/>
      <c r="GJF212" s="1"/>
      <c r="GJG212" s="1"/>
      <c r="GJH212" s="1"/>
      <c r="GJI212" s="1"/>
      <c r="GJJ212" s="1"/>
      <c r="GJK212" s="1"/>
      <c r="GJL212" s="1"/>
      <c r="GJM212" s="1"/>
      <c r="GJN212" s="1"/>
      <c r="GJO212" s="1"/>
      <c r="GJP212" s="1"/>
      <c r="GJQ212" s="1"/>
      <c r="GJR212" s="1"/>
      <c r="GJS212" s="1"/>
      <c r="GJT212" s="1"/>
      <c r="GJU212" s="1"/>
      <c r="GJV212" s="1"/>
      <c r="GJW212" s="1"/>
      <c r="GJX212" s="1"/>
      <c r="GJY212" s="1"/>
      <c r="GJZ212" s="1"/>
      <c r="GKA212" s="1"/>
      <c r="GKB212" s="1"/>
      <c r="GKC212" s="1"/>
      <c r="GKD212" s="1"/>
      <c r="GKE212" s="1"/>
      <c r="GKF212" s="1"/>
      <c r="GKG212" s="1"/>
      <c r="GKH212" s="1"/>
      <c r="GKI212" s="1"/>
      <c r="GKJ212" s="1"/>
      <c r="GKK212" s="1"/>
      <c r="GKL212" s="1"/>
      <c r="GKM212" s="1"/>
      <c r="GKN212" s="1"/>
      <c r="GKO212" s="1"/>
      <c r="GKP212" s="1"/>
      <c r="GKQ212" s="1"/>
      <c r="GKR212" s="1"/>
      <c r="GKS212" s="1"/>
      <c r="GKT212" s="1"/>
      <c r="GKU212" s="1"/>
      <c r="GKV212" s="1"/>
      <c r="GKW212" s="1"/>
      <c r="GKX212" s="1"/>
      <c r="GKY212" s="1"/>
      <c r="GKZ212" s="1"/>
      <c r="GLA212" s="1"/>
      <c r="GLB212" s="1"/>
      <c r="GLC212" s="1"/>
      <c r="GLD212" s="1"/>
      <c r="GLE212" s="1"/>
      <c r="GLF212" s="1"/>
      <c r="GLG212" s="1"/>
      <c r="GLH212" s="1"/>
      <c r="GLI212" s="1"/>
      <c r="GLJ212" s="1"/>
      <c r="GLK212" s="1"/>
      <c r="GLL212" s="1"/>
      <c r="GLM212" s="1"/>
      <c r="GLN212" s="1"/>
      <c r="GLO212" s="1"/>
      <c r="GLP212" s="1"/>
      <c r="GLQ212" s="1"/>
      <c r="GLR212" s="1"/>
      <c r="GLS212" s="1"/>
      <c r="GLT212" s="1"/>
      <c r="GLU212" s="1"/>
      <c r="GLV212" s="1"/>
      <c r="GLW212" s="1"/>
      <c r="GLX212" s="1"/>
      <c r="GLY212" s="1"/>
      <c r="GLZ212" s="1"/>
      <c r="GMA212" s="1"/>
      <c r="GMB212" s="1"/>
      <c r="GMC212" s="1"/>
      <c r="GMD212" s="1"/>
      <c r="GME212" s="1"/>
      <c r="GMF212" s="1"/>
      <c r="GMG212" s="1"/>
      <c r="GMH212" s="1"/>
      <c r="GMI212" s="1"/>
      <c r="GMJ212" s="1"/>
      <c r="GMK212" s="1"/>
      <c r="GML212" s="1"/>
      <c r="GMM212" s="1"/>
      <c r="GMN212" s="1"/>
      <c r="GMO212" s="1"/>
      <c r="GMP212" s="1"/>
      <c r="GMQ212" s="1"/>
      <c r="GMR212" s="1"/>
      <c r="GMS212" s="1"/>
      <c r="GMT212" s="1"/>
      <c r="GMU212" s="1"/>
      <c r="GMV212" s="1"/>
      <c r="GMW212" s="1"/>
      <c r="GMX212" s="1"/>
      <c r="GMY212" s="1"/>
      <c r="GMZ212" s="1"/>
      <c r="GNA212" s="1"/>
      <c r="GNB212" s="1"/>
      <c r="GNC212" s="1"/>
      <c r="GND212" s="1"/>
      <c r="GNE212" s="1"/>
      <c r="GNF212" s="1"/>
      <c r="GNG212" s="1"/>
      <c r="GNH212" s="1"/>
      <c r="GNI212" s="1"/>
      <c r="GNJ212" s="1"/>
      <c r="GNK212" s="1"/>
      <c r="GNL212" s="1"/>
      <c r="GNM212" s="1"/>
      <c r="GNN212" s="1"/>
      <c r="GNO212" s="1"/>
      <c r="GNP212" s="1"/>
      <c r="GNQ212" s="1"/>
      <c r="GNR212" s="1"/>
      <c r="GNS212" s="1"/>
      <c r="GNT212" s="1"/>
      <c r="GNU212" s="1"/>
      <c r="GNV212" s="1"/>
      <c r="GNW212" s="1"/>
      <c r="GNX212" s="1"/>
      <c r="GNY212" s="1"/>
      <c r="GNZ212" s="1"/>
      <c r="GOA212" s="1"/>
      <c r="GOB212" s="1"/>
      <c r="GOC212" s="1"/>
      <c r="GOD212" s="1"/>
      <c r="GOE212" s="1"/>
      <c r="GOF212" s="1"/>
      <c r="GOG212" s="1"/>
      <c r="GOH212" s="1"/>
      <c r="GOI212" s="1"/>
      <c r="GOJ212" s="1"/>
      <c r="GOK212" s="1"/>
      <c r="GOL212" s="1"/>
      <c r="GOM212" s="1"/>
      <c r="GON212" s="1"/>
      <c r="GOO212" s="1"/>
      <c r="GOP212" s="1"/>
      <c r="GOQ212" s="1"/>
      <c r="GOR212" s="1"/>
      <c r="GOS212" s="1"/>
      <c r="GOT212" s="1"/>
      <c r="GOU212" s="1"/>
      <c r="GOV212" s="1"/>
      <c r="GOW212" s="1"/>
      <c r="GOX212" s="1"/>
      <c r="GOY212" s="1"/>
      <c r="GOZ212" s="1"/>
      <c r="GPA212" s="1"/>
      <c r="GPB212" s="1"/>
      <c r="GPC212" s="1"/>
      <c r="GPD212" s="1"/>
      <c r="GPE212" s="1"/>
      <c r="GPF212" s="1"/>
      <c r="GPG212" s="1"/>
      <c r="GPH212" s="1"/>
      <c r="GPI212" s="1"/>
      <c r="GPJ212" s="1"/>
      <c r="GPK212" s="1"/>
      <c r="GPL212" s="1"/>
      <c r="GPM212" s="1"/>
      <c r="GPN212" s="1"/>
      <c r="GPO212" s="1"/>
      <c r="GPP212" s="1"/>
      <c r="GPQ212" s="1"/>
      <c r="GPR212" s="1"/>
      <c r="GPS212" s="1"/>
      <c r="GPT212" s="1"/>
      <c r="GPU212" s="1"/>
      <c r="GPV212" s="1"/>
      <c r="GPW212" s="1"/>
      <c r="GPX212" s="1"/>
      <c r="GPY212" s="1"/>
      <c r="GPZ212" s="1"/>
      <c r="GQA212" s="1"/>
      <c r="GQB212" s="1"/>
      <c r="GQC212" s="1"/>
      <c r="GQD212" s="1"/>
      <c r="GQE212" s="1"/>
      <c r="GQF212" s="1"/>
      <c r="GQG212" s="1"/>
      <c r="GQH212" s="1"/>
      <c r="GQI212" s="1"/>
      <c r="GQJ212" s="1"/>
      <c r="GQK212" s="1"/>
      <c r="GQL212" s="1"/>
      <c r="GQM212" s="1"/>
      <c r="GQN212" s="1"/>
      <c r="GQO212" s="1"/>
      <c r="GQP212" s="1"/>
      <c r="GQQ212" s="1"/>
      <c r="GQR212" s="1"/>
      <c r="GQS212" s="1"/>
      <c r="GQT212" s="1"/>
      <c r="GQU212" s="1"/>
      <c r="GQV212" s="1"/>
      <c r="GQW212" s="1"/>
      <c r="GQX212" s="1"/>
      <c r="GQY212" s="1"/>
      <c r="GQZ212" s="1"/>
      <c r="GRA212" s="1"/>
      <c r="GRB212" s="1"/>
      <c r="GRC212" s="1"/>
      <c r="GRD212" s="1"/>
      <c r="GRE212" s="1"/>
      <c r="GRF212" s="1"/>
      <c r="GRG212" s="1"/>
      <c r="GRH212" s="1"/>
      <c r="GRI212" s="1"/>
      <c r="GRJ212" s="1"/>
      <c r="GRK212" s="1"/>
      <c r="GRL212" s="1"/>
      <c r="GRM212" s="1"/>
      <c r="GRN212" s="1"/>
      <c r="GRO212" s="1"/>
      <c r="GRP212" s="1"/>
      <c r="GRQ212" s="1"/>
      <c r="GRR212" s="1"/>
      <c r="GRS212" s="1"/>
      <c r="GRT212" s="1"/>
      <c r="GRU212" s="1"/>
      <c r="GRV212" s="1"/>
      <c r="GRW212" s="1"/>
      <c r="GRX212" s="1"/>
      <c r="GRY212" s="1"/>
      <c r="GRZ212" s="1"/>
      <c r="GSA212" s="1"/>
      <c r="GSB212" s="1"/>
      <c r="GSC212" s="1"/>
      <c r="GSD212" s="1"/>
      <c r="GSE212" s="1"/>
      <c r="GSF212" s="1"/>
      <c r="GSG212" s="1"/>
      <c r="GSH212" s="1"/>
      <c r="GSI212" s="1"/>
      <c r="GSJ212" s="1"/>
      <c r="GSK212" s="1"/>
      <c r="GSL212" s="1"/>
      <c r="GSM212" s="1"/>
      <c r="GSN212" s="1"/>
      <c r="GSO212" s="1"/>
      <c r="GSP212" s="1"/>
      <c r="GSQ212" s="1"/>
      <c r="GSR212" s="1"/>
      <c r="GSS212" s="1"/>
      <c r="GST212" s="1"/>
      <c r="GSU212" s="1"/>
      <c r="GSV212" s="1"/>
      <c r="GSW212" s="1"/>
      <c r="GSX212" s="1"/>
      <c r="GSY212" s="1"/>
      <c r="GSZ212" s="1"/>
      <c r="GTA212" s="1"/>
      <c r="GTB212" s="1"/>
      <c r="GTC212" s="1"/>
      <c r="GTD212" s="1"/>
      <c r="GTE212" s="1"/>
      <c r="GTF212" s="1"/>
      <c r="GTG212" s="1"/>
      <c r="GTH212" s="1"/>
      <c r="GTI212" s="1"/>
      <c r="GTJ212" s="1"/>
      <c r="GTK212" s="1"/>
      <c r="GTL212" s="1"/>
      <c r="GTM212" s="1"/>
      <c r="GTN212" s="1"/>
      <c r="GTO212" s="1"/>
      <c r="GTP212" s="1"/>
      <c r="GTQ212" s="1"/>
      <c r="GTR212" s="1"/>
      <c r="GTS212" s="1"/>
      <c r="GTT212" s="1"/>
      <c r="GTU212" s="1"/>
      <c r="GTV212" s="1"/>
      <c r="GTW212" s="1"/>
      <c r="GTX212" s="1"/>
      <c r="GTY212" s="1"/>
      <c r="GTZ212" s="1"/>
      <c r="GUA212" s="1"/>
      <c r="GUB212" s="1"/>
      <c r="GUC212" s="1"/>
      <c r="GUD212" s="1"/>
      <c r="GUE212" s="1"/>
      <c r="GUF212" s="1"/>
      <c r="GUG212" s="1"/>
      <c r="GUH212" s="1"/>
      <c r="GUI212" s="1"/>
      <c r="GUJ212" s="1"/>
      <c r="GUK212" s="1"/>
      <c r="GUL212" s="1"/>
      <c r="GUM212" s="1"/>
      <c r="GUN212" s="1"/>
      <c r="GUO212" s="1"/>
      <c r="GUP212" s="1"/>
      <c r="GUQ212" s="1"/>
      <c r="GUR212" s="1"/>
      <c r="GUS212" s="1"/>
      <c r="GUT212" s="1"/>
      <c r="GUU212" s="1"/>
      <c r="GUV212" s="1"/>
      <c r="GUW212" s="1"/>
      <c r="GUX212" s="1"/>
      <c r="GUY212" s="1"/>
      <c r="GUZ212" s="1"/>
      <c r="GVA212" s="1"/>
      <c r="GVB212" s="1"/>
      <c r="GVC212" s="1"/>
      <c r="GVD212" s="1"/>
      <c r="GVE212" s="1"/>
      <c r="GVF212" s="1"/>
      <c r="GVG212" s="1"/>
      <c r="GVH212" s="1"/>
      <c r="GVI212" s="1"/>
      <c r="GVJ212" s="1"/>
      <c r="GVK212" s="1"/>
      <c r="GVL212" s="1"/>
      <c r="GVM212" s="1"/>
      <c r="GVN212" s="1"/>
      <c r="GVO212" s="1"/>
      <c r="GVP212" s="1"/>
      <c r="GVQ212" s="1"/>
      <c r="GVR212" s="1"/>
      <c r="GVS212" s="1"/>
      <c r="GVT212" s="1"/>
      <c r="GVU212" s="1"/>
      <c r="GVV212" s="1"/>
      <c r="GVW212" s="1"/>
      <c r="GVX212" s="1"/>
      <c r="GVY212" s="1"/>
      <c r="GVZ212" s="1"/>
      <c r="GWA212" s="1"/>
      <c r="GWB212" s="1"/>
      <c r="GWC212" s="1"/>
      <c r="GWD212" s="1"/>
      <c r="GWE212" s="1"/>
      <c r="GWF212" s="1"/>
      <c r="GWG212" s="1"/>
      <c r="GWH212" s="1"/>
      <c r="GWI212" s="1"/>
      <c r="GWJ212" s="1"/>
      <c r="GWK212" s="1"/>
      <c r="GWL212" s="1"/>
      <c r="GWM212" s="1"/>
      <c r="GWN212" s="1"/>
      <c r="GWO212" s="1"/>
      <c r="GWP212" s="1"/>
      <c r="GWQ212" s="1"/>
      <c r="GWR212" s="1"/>
      <c r="GWS212" s="1"/>
      <c r="GWT212" s="1"/>
      <c r="GWU212" s="1"/>
      <c r="GWV212" s="1"/>
      <c r="GWW212" s="1"/>
      <c r="GWX212" s="1"/>
      <c r="GWY212" s="1"/>
      <c r="GWZ212" s="1"/>
      <c r="GXA212" s="1"/>
      <c r="GXB212" s="1"/>
      <c r="GXC212" s="1"/>
      <c r="GXD212" s="1"/>
      <c r="GXE212" s="1"/>
      <c r="GXF212" s="1"/>
      <c r="GXG212" s="1"/>
      <c r="GXH212" s="1"/>
      <c r="GXI212" s="1"/>
      <c r="GXJ212" s="1"/>
      <c r="GXK212" s="1"/>
      <c r="GXL212" s="1"/>
      <c r="GXM212" s="1"/>
      <c r="GXN212" s="1"/>
      <c r="GXO212" s="1"/>
      <c r="GXP212" s="1"/>
      <c r="GXQ212" s="1"/>
      <c r="GXR212" s="1"/>
      <c r="GXS212" s="1"/>
      <c r="GXT212" s="1"/>
      <c r="GXU212" s="1"/>
      <c r="GXV212" s="1"/>
      <c r="GXW212" s="1"/>
      <c r="GXX212" s="1"/>
      <c r="GXY212" s="1"/>
      <c r="GXZ212" s="1"/>
      <c r="GYA212" s="1"/>
      <c r="GYB212" s="1"/>
      <c r="GYC212" s="1"/>
      <c r="GYD212" s="1"/>
      <c r="GYE212" s="1"/>
      <c r="GYF212" s="1"/>
      <c r="GYG212" s="1"/>
      <c r="GYH212" s="1"/>
      <c r="GYI212" s="1"/>
      <c r="GYJ212" s="1"/>
      <c r="GYK212" s="1"/>
      <c r="GYL212" s="1"/>
      <c r="GYM212" s="1"/>
      <c r="GYN212" s="1"/>
      <c r="GYO212" s="1"/>
      <c r="GYP212" s="1"/>
      <c r="GYQ212" s="1"/>
      <c r="GYR212" s="1"/>
      <c r="GYS212" s="1"/>
      <c r="GYT212" s="1"/>
      <c r="GYU212" s="1"/>
      <c r="GYV212" s="1"/>
      <c r="GYW212" s="1"/>
      <c r="GYX212" s="1"/>
      <c r="GYY212" s="1"/>
      <c r="GYZ212" s="1"/>
      <c r="GZA212" s="1"/>
      <c r="GZB212" s="1"/>
      <c r="GZC212" s="1"/>
      <c r="GZD212" s="1"/>
      <c r="GZE212" s="1"/>
      <c r="GZF212" s="1"/>
      <c r="GZG212" s="1"/>
      <c r="GZH212" s="1"/>
      <c r="GZI212" s="1"/>
      <c r="GZJ212" s="1"/>
      <c r="GZK212" s="1"/>
      <c r="GZL212" s="1"/>
      <c r="GZM212" s="1"/>
      <c r="GZN212" s="1"/>
      <c r="GZO212" s="1"/>
      <c r="GZP212" s="1"/>
      <c r="GZQ212" s="1"/>
      <c r="GZR212" s="1"/>
      <c r="GZS212" s="1"/>
      <c r="GZT212" s="1"/>
      <c r="GZU212" s="1"/>
      <c r="GZV212" s="1"/>
      <c r="GZW212" s="1"/>
      <c r="GZX212" s="1"/>
      <c r="GZY212" s="1"/>
      <c r="GZZ212" s="1"/>
      <c r="HAA212" s="1"/>
      <c r="HAB212" s="1"/>
      <c r="HAC212" s="1"/>
      <c r="HAD212" s="1"/>
      <c r="HAE212" s="1"/>
      <c r="HAF212" s="1"/>
      <c r="HAG212" s="1"/>
      <c r="HAH212" s="1"/>
      <c r="HAI212" s="1"/>
      <c r="HAJ212" s="1"/>
      <c r="HAK212" s="1"/>
      <c r="HAL212" s="1"/>
      <c r="HAM212" s="1"/>
      <c r="HAN212" s="1"/>
      <c r="HAO212" s="1"/>
      <c r="HAP212" s="1"/>
      <c r="HAQ212" s="1"/>
      <c r="HAR212" s="1"/>
      <c r="HAS212" s="1"/>
      <c r="HAT212" s="1"/>
      <c r="HAU212" s="1"/>
      <c r="HAV212" s="1"/>
      <c r="HAW212" s="1"/>
      <c r="HAX212" s="1"/>
      <c r="HAY212" s="1"/>
      <c r="HAZ212" s="1"/>
      <c r="HBA212" s="1"/>
      <c r="HBB212" s="1"/>
      <c r="HBC212" s="1"/>
      <c r="HBD212" s="1"/>
      <c r="HBE212" s="1"/>
      <c r="HBF212" s="1"/>
      <c r="HBG212" s="1"/>
      <c r="HBH212" s="1"/>
      <c r="HBI212" s="1"/>
      <c r="HBJ212" s="1"/>
      <c r="HBK212" s="1"/>
      <c r="HBL212" s="1"/>
      <c r="HBM212" s="1"/>
      <c r="HBN212" s="1"/>
      <c r="HBO212" s="1"/>
      <c r="HBP212" s="1"/>
      <c r="HBQ212" s="1"/>
      <c r="HBR212" s="1"/>
      <c r="HBS212" s="1"/>
      <c r="HBT212" s="1"/>
      <c r="HBU212" s="1"/>
      <c r="HBV212" s="1"/>
      <c r="HBW212" s="1"/>
      <c r="HBX212" s="1"/>
      <c r="HBY212" s="1"/>
      <c r="HBZ212" s="1"/>
      <c r="HCA212" s="1"/>
      <c r="HCB212" s="1"/>
      <c r="HCC212" s="1"/>
      <c r="HCD212" s="1"/>
      <c r="HCE212" s="1"/>
      <c r="HCF212" s="1"/>
      <c r="HCG212" s="1"/>
      <c r="HCH212" s="1"/>
      <c r="HCI212" s="1"/>
      <c r="HCJ212" s="1"/>
      <c r="HCK212" s="1"/>
      <c r="HCL212" s="1"/>
      <c r="HCM212" s="1"/>
      <c r="HCN212" s="1"/>
      <c r="HCO212" s="1"/>
      <c r="HCP212" s="1"/>
      <c r="HCQ212" s="1"/>
      <c r="HCR212" s="1"/>
      <c r="HCS212" s="1"/>
      <c r="HCT212" s="1"/>
      <c r="HCU212" s="1"/>
      <c r="HCV212" s="1"/>
      <c r="HCW212" s="1"/>
      <c r="HCX212" s="1"/>
      <c r="HCY212" s="1"/>
      <c r="HCZ212" s="1"/>
      <c r="HDA212" s="1"/>
      <c r="HDB212" s="1"/>
      <c r="HDC212" s="1"/>
      <c r="HDD212" s="1"/>
      <c r="HDE212" s="1"/>
      <c r="HDF212" s="1"/>
      <c r="HDG212" s="1"/>
      <c r="HDH212" s="1"/>
      <c r="HDI212" s="1"/>
      <c r="HDJ212" s="1"/>
      <c r="HDK212" s="1"/>
      <c r="HDL212" s="1"/>
      <c r="HDM212" s="1"/>
      <c r="HDN212" s="1"/>
      <c r="HDO212" s="1"/>
      <c r="HDP212" s="1"/>
      <c r="HDQ212" s="1"/>
      <c r="HDR212" s="1"/>
      <c r="HDS212" s="1"/>
      <c r="HDT212" s="1"/>
      <c r="HDU212" s="1"/>
      <c r="HDV212" s="1"/>
      <c r="HDW212" s="1"/>
      <c r="HDX212" s="1"/>
      <c r="HDY212" s="1"/>
      <c r="HDZ212" s="1"/>
      <c r="HEA212" s="1"/>
      <c r="HEB212" s="1"/>
      <c r="HEC212" s="1"/>
      <c r="HED212" s="1"/>
      <c r="HEE212" s="1"/>
      <c r="HEF212" s="1"/>
      <c r="HEG212" s="1"/>
      <c r="HEH212" s="1"/>
      <c r="HEI212" s="1"/>
      <c r="HEJ212" s="1"/>
      <c r="HEK212" s="1"/>
      <c r="HEL212" s="1"/>
      <c r="HEM212" s="1"/>
      <c r="HEN212" s="1"/>
      <c r="HEO212" s="1"/>
      <c r="HEP212" s="1"/>
      <c r="HEQ212" s="1"/>
      <c r="HER212" s="1"/>
      <c r="HES212" s="1"/>
      <c r="HET212" s="1"/>
      <c r="HEU212" s="1"/>
      <c r="HEV212" s="1"/>
      <c r="HEW212" s="1"/>
      <c r="HEX212" s="1"/>
      <c r="HEY212" s="1"/>
      <c r="HEZ212" s="1"/>
      <c r="HFA212" s="1"/>
      <c r="HFB212" s="1"/>
      <c r="HFC212" s="1"/>
      <c r="HFD212" s="1"/>
      <c r="HFE212" s="1"/>
      <c r="HFF212" s="1"/>
      <c r="HFG212" s="1"/>
      <c r="HFH212" s="1"/>
      <c r="HFI212" s="1"/>
      <c r="HFJ212" s="1"/>
      <c r="HFK212" s="1"/>
      <c r="HFL212" s="1"/>
      <c r="HFM212" s="1"/>
      <c r="HFN212" s="1"/>
      <c r="HFO212" s="1"/>
      <c r="HFP212" s="1"/>
      <c r="HFQ212" s="1"/>
      <c r="HFR212" s="1"/>
      <c r="HFS212" s="1"/>
      <c r="HFT212" s="1"/>
      <c r="HFU212" s="1"/>
      <c r="HFV212" s="1"/>
      <c r="HFW212" s="1"/>
      <c r="HFX212" s="1"/>
      <c r="HFY212" s="1"/>
      <c r="HFZ212" s="1"/>
      <c r="HGA212" s="1"/>
      <c r="HGB212" s="1"/>
      <c r="HGC212" s="1"/>
      <c r="HGD212" s="1"/>
      <c r="HGE212" s="1"/>
      <c r="HGF212" s="1"/>
      <c r="HGG212" s="1"/>
      <c r="HGH212" s="1"/>
      <c r="HGI212" s="1"/>
      <c r="HGJ212" s="1"/>
      <c r="HGK212" s="1"/>
      <c r="HGL212" s="1"/>
      <c r="HGM212" s="1"/>
      <c r="HGN212" s="1"/>
      <c r="HGO212" s="1"/>
      <c r="HGP212" s="1"/>
      <c r="HGQ212" s="1"/>
      <c r="HGR212" s="1"/>
      <c r="HGS212" s="1"/>
      <c r="HGT212" s="1"/>
      <c r="HGU212" s="1"/>
      <c r="HGV212" s="1"/>
      <c r="HGW212" s="1"/>
      <c r="HGX212" s="1"/>
      <c r="HGY212" s="1"/>
      <c r="HGZ212" s="1"/>
      <c r="HHA212" s="1"/>
      <c r="HHB212" s="1"/>
      <c r="HHC212" s="1"/>
      <c r="HHD212" s="1"/>
      <c r="HHE212" s="1"/>
      <c r="HHF212" s="1"/>
      <c r="HHG212" s="1"/>
      <c r="HHH212" s="1"/>
      <c r="HHI212" s="1"/>
      <c r="HHJ212" s="1"/>
      <c r="HHK212" s="1"/>
      <c r="HHL212" s="1"/>
      <c r="HHM212" s="1"/>
      <c r="HHN212" s="1"/>
      <c r="HHO212" s="1"/>
      <c r="HHP212" s="1"/>
      <c r="HHQ212" s="1"/>
      <c r="HHR212" s="1"/>
      <c r="HHS212" s="1"/>
      <c r="HHT212" s="1"/>
      <c r="HHU212" s="1"/>
      <c r="HHV212" s="1"/>
      <c r="HHW212" s="1"/>
      <c r="HHX212" s="1"/>
      <c r="HHY212" s="1"/>
      <c r="HHZ212" s="1"/>
      <c r="HIA212" s="1"/>
      <c r="HIB212" s="1"/>
      <c r="HIC212" s="1"/>
      <c r="HID212" s="1"/>
      <c r="HIE212" s="1"/>
      <c r="HIF212" s="1"/>
      <c r="HIG212" s="1"/>
      <c r="HIH212" s="1"/>
      <c r="HII212" s="1"/>
      <c r="HIJ212" s="1"/>
      <c r="HIK212" s="1"/>
      <c r="HIL212" s="1"/>
      <c r="HIM212" s="1"/>
      <c r="HIN212" s="1"/>
      <c r="HIO212" s="1"/>
      <c r="HIP212" s="1"/>
      <c r="HIQ212" s="1"/>
      <c r="HIR212" s="1"/>
      <c r="HIS212" s="1"/>
      <c r="HIT212" s="1"/>
      <c r="HIU212" s="1"/>
      <c r="HIV212" s="1"/>
      <c r="HIW212" s="1"/>
      <c r="HIX212" s="1"/>
      <c r="HIY212" s="1"/>
      <c r="HIZ212" s="1"/>
      <c r="HJA212" s="1"/>
      <c r="HJB212" s="1"/>
      <c r="HJC212" s="1"/>
      <c r="HJD212" s="1"/>
      <c r="HJE212" s="1"/>
      <c r="HJF212" s="1"/>
      <c r="HJG212" s="1"/>
      <c r="HJH212" s="1"/>
      <c r="HJI212" s="1"/>
      <c r="HJJ212" s="1"/>
      <c r="HJK212" s="1"/>
      <c r="HJL212" s="1"/>
      <c r="HJM212" s="1"/>
      <c r="HJN212" s="1"/>
      <c r="HJO212" s="1"/>
      <c r="HJP212" s="1"/>
      <c r="HJQ212" s="1"/>
      <c r="HJR212" s="1"/>
      <c r="HJS212" s="1"/>
      <c r="HJT212" s="1"/>
      <c r="HJU212" s="1"/>
      <c r="HJV212" s="1"/>
      <c r="HJW212" s="1"/>
      <c r="HJX212" s="1"/>
      <c r="HJY212" s="1"/>
      <c r="HJZ212" s="1"/>
      <c r="HKA212" s="1"/>
      <c r="HKB212" s="1"/>
      <c r="HKC212" s="1"/>
      <c r="HKD212" s="1"/>
      <c r="HKE212" s="1"/>
      <c r="HKF212" s="1"/>
      <c r="HKG212" s="1"/>
      <c r="HKH212" s="1"/>
      <c r="HKI212" s="1"/>
      <c r="HKJ212" s="1"/>
      <c r="HKK212" s="1"/>
      <c r="HKL212" s="1"/>
      <c r="HKM212" s="1"/>
      <c r="HKN212" s="1"/>
      <c r="HKO212" s="1"/>
      <c r="HKP212" s="1"/>
      <c r="HKQ212" s="1"/>
      <c r="HKR212" s="1"/>
      <c r="HKS212" s="1"/>
      <c r="HKT212" s="1"/>
      <c r="HKU212" s="1"/>
      <c r="HKV212" s="1"/>
      <c r="HKW212" s="1"/>
      <c r="HKX212" s="1"/>
      <c r="HKY212" s="1"/>
      <c r="HKZ212" s="1"/>
      <c r="HLA212" s="1"/>
      <c r="HLB212" s="1"/>
      <c r="HLC212" s="1"/>
      <c r="HLD212" s="1"/>
      <c r="HLE212" s="1"/>
      <c r="HLF212" s="1"/>
      <c r="HLG212" s="1"/>
      <c r="HLH212" s="1"/>
      <c r="HLI212" s="1"/>
      <c r="HLJ212" s="1"/>
      <c r="HLK212" s="1"/>
      <c r="HLL212" s="1"/>
      <c r="HLM212" s="1"/>
      <c r="HLN212" s="1"/>
      <c r="HLO212" s="1"/>
      <c r="HLP212" s="1"/>
      <c r="HLQ212" s="1"/>
      <c r="HLR212" s="1"/>
      <c r="HLS212" s="1"/>
      <c r="HLT212" s="1"/>
      <c r="HLU212" s="1"/>
      <c r="HLV212" s="1"/>
      <c r="HLW212" s="1"/>
      <c r="HLX212" s="1"/>
      <c r="HLY212" s="1"/>
      <c r="HLZ212" s="1"/>
      <c r="HMA212" s="1"/>
      <c r="HMB212" s="1"/>
      <c r="HMC212" s="1"/>
      <c r="HMD212" s="1"/>
      <c r="HME212" s="1"/>
      <c r="HMF212" s="1"/>
      <c r="HMG212" s="1"/>
      <c r="HMH212" s="1"/>
      <c r="HMI212" s="1"/>
      <c r="HMJ212" s="1"/>
      <c r="HMK212" s="1"/>
      <c r="HML212" s="1"/>
      <c r="HMM212" s="1"/>
      <c r="HMN212" s="1"/>
      <c r="HMO212" s="1"/>
      <c r="HMP212" s="1"/>
      <c r="HMQ212" s="1"/>
      <c r="HMR212" s="1"/>
      <c r="HMS212" s="1"/>
      <c r="HMT212" s="1"/>
      <c r="HMU212" s="1"/>
      <c r="HMV212" s="1"/>
      <c r="HMW212" s="1"/>
      <c r="HMX212" s="1"/>
      <c r="HMY212" s="1"/>
      <c r="HMZ212" s="1"/>
      <c r="HNA212" s="1"/>
      <c r="HNB212" s="1"/>
      <c r="HNC212" s="1"/>
      <c r="HND212" s="1"/>
      <c r="HNE212" s="1"/>
      <c r="HNF212" s="1"/>
      <c r="HNG212" s="1"/>
      <c r="HNH212" s="1"/>
      <c r="HNI212" s="1"/>
      <c r="HNJ212" s="1"/>
      <c r="HNK212" s="1"/>
      <c r="HNL212" s="1"/>
      <c r="HNM212" s="1"/>
      <c r="HNN212" s="1"/>
      <c r="HNO212" s="1"/>
      <c r="HNP212" s="1"/>
      <c r="HNQ212" s="1"/>
      <c r="HNR212" s="1"/>
      <c r="HNS212" s="1"/>
      <c r="HNT212" s="1"/>
      <c r="HNU212" s="1"/>
      <c r="HNV212" s="1"/>
      <c r="HNW212" s="1"/>
      <c r="HNX212" s="1"/>
      <c r="HNY212" s="1"/>
      <c r="HNZ212" s="1"/>
      <c r="HOA212" s="1"/>
      <c r="HOB212" s="1"/>
      <c r="HOC212" s="1"/>
      <c r="HOD212" s="1"/>
      <c r="HOE212" s="1"/>
      <c r="HOF212" s="1"/>
      <c r="HOG212" s="1"/>
      <c r="HOH212" s="1"/>
      <c r="HOI212" s="1"/>
      <c r="HOJ212" s="1"/>
      <c r="HOK212" s="1"/>
      <c r="HOL212" s="1"/>
      <c r="HOM212" s="1"/>
      <c r="HON212" s="1"/>
      <c r="HOO212" s="1"/>
      <c r="HOP212" s="1"/>
      <c r="HOQ212" s="1"/>
      <c r="HOR212" s="1"/>
      <c r="HOS212" s="1"/>
      <c r="HOT212" s="1"/>
      <c r="HOU212" s="1"/>
      <c r="HOV212" s="1"/>
      <c r="HOW212" s="1"/>
      <c r="HOX212" s="1"/>
      <c r="HOY212" s="1"/>
      <c r="HOZ212" s="1"/>
      <c r="HPA212" s="1"/>
      <c r="HPB212" s="1"/>
      <c r="HPC212" s="1"/>
      <c r="HPD212" s="1"/>
      <c r="HPE212" s="1"/>
      <c r="HPF212" s="1"/>
      <c r="HPG212" s="1"/>
      <c r="HPH212" s="1"/>
      <c r="HPI212" s="1"/>
      <c r="HPJ212" s="1"/>
      <c r="HPK212" s="1"/>
      <c r="HPL212" s="1"/>
      <c r="HPM212" s="1"/>
      <c r="HPN212" s="1"/>
      <c r="HPO212" s="1"/>
      <c r="HPP212" s="1"/>
      <c r="HPQ212" s="1"/>
      <c r="HPR212" s="1"/>
      <c r="HPS212" s="1"/>
      <c r="HPT212" s="1"/>
      <c r="HPU212" s="1"/>
      <c r="HPV212" s="1"/>
      <c r="HPW212" s="1"/>
      <c r="HPX212" s="1"/>
      <c r="HPY212" s="1"/>
      <c r="HPZ212" s="1"/>
      <c r="HQA212" s="1"/>
      <c r="HQB212" s="1"/>
      <c r="HQC212" s="1"/>
      <c r="HQD212" s="1"/>
      <c r="HQE212" s="1"/>
      <c r="HQF212" s="1"/>
      <c r="HQG212" s="1"/>
      <c r="HQH212" s="1"/>
      <c r="HQI212" s="1"/>
      <c r="HQJ212" s="1"/>
      <c r="HQK212" s="1"/>
      <c r="HQL212" s="1"/>
      <c r="HQM212" s="1"/>
      <c r="HQN212" s="1"/>
      <c r="HQO212" s="1"/>
      <c r="HQP212" s="1"/>
      <c r="HQQ212" s="1"/>
      <c r="HQR212" s="1"/>
      <c r="HQS212" s="1"/>
      <c r="HQT212" s="1"/>
      <c r="HQU212" s="1"/>
      <c r="HQV212" s="1"/>
      <c r="HQW212" s="1"/>
      <c r="HQX212" s="1"/>
      <c r="HQY212" s="1"/>
      <c r="HQZ212" s="1"/>
      <c r="HRA212" s="1"/>
      <c r="HRB212" s="1"/>
      <c r="HRC212" s="1"/>
      <c r="HRD212" s="1"/>
      <c r="HRE212" s="1"/>
      <c r="HRF212" s="1"/>
      <c r="HRG212" s="1"/>
      <c r="HRH212" s="1"/>
      <c r="HRI212" s="1"/>
      <c r="HRJ212" s="1"/>
      <c r="HRK212" s="1"/>
      <c r="HRL212" s="1"/>
      <c r="HRM212" s="1"/>
      <c r="HRN212" s="1"/>
      <c r="HRO212" s="1"/>
      <c r="HRP212" s="1"/>
      <c r="HRQ212" s="1"/>
      <c r="HRR212" s="1"/>
      <c r="HRS212" s="1"/>
      <c r="HRT212" s="1"/>
      <c r="HRU212" s="1"/>
      <c r="HRV212" s="1"/>
      <c r="HRW212" s="1"/>
      <c r="HRX212" s="1"/>
      <c r="HRY212" s="1"/>
      <c r="HRZ212" s="1"/>
      <c r="HSA212" s="1"/>
      <c r="HSB212" s="1"/>
      <c r="HSC212" s="1"/>
      <c r="HSD212" s="1"/>
      <c r="HSE212" s="1"/>
      <c r="HSF212" s="1"/>
      <c r="HSG212" s="1"/>
      <c r="HSH212" s="1"/>
      <c r="HSI212" s="1"/>
      <c r="HSJ212" s="1"/>
      <c r="HSK212" s="1"/>
      <c r="HSL212" s="1"/>
      <c r="HSM212" s="1"/>
      <c r="HSN212" s="1"/>
      <c r="HSO212" s="1"/>
      <c r="HSP212" s="1"/>
      <c r="HSQ212" s="1"/>
      <c r="HSR212" s="1"/>
      <c r="HSS212" s="1"/>
      <c r="HST212" s="1"/>
      <c r="HSU212" s="1"/>
      <c r="HSV212" s="1"/>
      <c r="HSW212" s="1"/>
      <c r="HSX212" s="1"/>
      <c r="HSY212" s="1"/>
      <c r="HSZ212" s="1"/>
      <c r="HTA212" s="1"/>
      <c r="HTB212" s="1"/>
      <c r="HTC212" s="1"/>
      <c r="HTD212" s="1"/>
      <c r="HTE212" s="1"/>
      <c r="HTF212" s="1"/>
      <c r="HTG212" s="1"/>
      <c r="HTH212" s="1"/>
      <c r="HTI212" s="1"/>
      <c r="HTJ212" s="1"/>
      <c r="HTK212" s="1"/>
      <c r="HTL212" s="1"/>
      <c r="HTM212" s="1"/>
      <c r="HTN212" s="1"/>
      <c r="HTO212" s="1"/>
      <c r="HTP212" s="1"/>
      <c r="HTQ212" s="1"/>
      <c r="HTR212" s="1"/>
      <c r="HTS212" s="1"/>
      <c r="HTT212" s="1"/>
      <c r="HTU212" s="1"/>
      <c r="HTV212" s="1"/>
      <c r="HTW212" s="1"/>
      <c r="HTX212" s="1"/>
      <c r="HTY212" s="1"/>
      <c r="HTZ212" s="1"/>
      <c r="HUA212" s="1"/>
      <c r="HUB212" s="1"/>
      <c r="HUC212" s="1"/>
      <c r="HUD212" s="1"/>
      <c r="HUE212" s="1"/>
      <c r="HUF212" s="1"/>
      <c r="HUG212" s="1"/>
      <c r="HUH212" s="1"/>
      <c r="HUI212" s="1"/>
      <c r="HUJ212" s="1"/>
      <c r="HUK212" s="1"/>
      <c r="HUL212" s="1"/>
      <c r="HUM212" s="1"/>
      <c r="HUN212" s="1"/>
      <c r="HUO212" s="1"/>
      <c r="HUP212" s="1"/>
      <c r="HUQ212" s="1"/>
      <c r="HUR212" s="1"/>
      <c r="HUS212" s="1"/>
      <c r="HUT212" s="1"/>
      <c r="HUU212" s="1"/>
      <c r="HUV212" s="1"/>
      <c r="HUW212" s="1"/>
      <c r="HUX212" s="1"/>
      <c r="HUY212" s="1"/>
      <c r="HUZ212" s="1"/>
      <c r="HVA212" s="1"/>
      <c r="HVB212" s="1"/>
      <c r="HVC212" s="1"/>
      <c r="HVD212" s="1"/>
      <c r="HVE212" s="1"/>
      <c r="HVF212" s="1"/>
      <c r="HVG212" s="1"/>
      <c r="HVH212" s="1"/>
      <c r="HVI212" s="1"/>
      <c r="HVJ212" s="1"/>
      <c r="HVK212" s="1"/>
      <c r="HVL212" s="1"/>
      <c r="HVM212" s="1"/>
      <c r="HVN212" s="1"/>
      <c r="HVO212" s="1"/>
      <c r="HVP212" s="1"/>
      <c r="HVQ212" s="1"/>
      <c r="HVR212" s="1"/>
      <c r="HVS212" s="1"/>
      <c r="HVT212" s="1"/>
      <c r="HVU212" s="1"/>
      <c r="HVV212" s="1"/>
      <c r="HVW212" s="1"/>
      <c r="HVX212" s="1"/>
      <c r="HVY212" s="1"/>
      <c r="HVZ212" s="1"/>
      <c r="HWA212" s="1"/>
      <c r="HWB212" s="1"/>
      <c r="HWC212" s="1"/>
      <c r="HWD212" s="1"/>
      <c r="HWE212" s="1"/>
      <c r="HWF212" s="1"/>
      <c r="HWG212" s="1"/>
      <c r="HWH212" s="1"/>
      <c r="HWI212" s="1"/>
      <c r="HWJ212" s="1"/>
      <c r="HWK212" s="1"/>
      <c r="HWL212" s="1"/>
      <c r="HWM212" s="1"/>
      <c r="HWN212" s="1"/>
      <c r="HWO212" s="1"/>
      <c r="HWP212" s="1"/>
      <c r="HWQ212" s="1"/>
      <c r="HWR212" s="1"/>
      <c r="HWS212" s="1"/>
      <c r="HWT212" s="1"/>
      <c r="HWU212" s="1"/>
      <c r="HWV212" s="1"/>
      <c r="HWW212" s="1"/>
      <c r="HWX212" s="1"/>
      <c r="HWY212" s="1"/>
      <c r="HWZ212" s="1"/>
      <c r="HXA212" s="1"/>
      <c r="HXB212" s="1"/>
      <c r="HXC212" s="1"/>
      <c r="HXD212" s="1"/>
      <c r="HXE212" s="1"/>
      <c r="HXF212" s="1"/>
      <c r="HXG212" s="1"/>
      <c r="HXH212" s="1"/>
      <c r="HXI212" s="1"/>
      <c r="HXJ212" s="1"/>
      <c r="HXK212" s="1"/>
      <c r="HXL212" s="1"/>
      <c r="HXM212" s="1"/>
      <c r="HXN212" s="1"/>
      <c r="HXO212" s="1"/>
      <c r="HXP212" s="1"/>
      <c r="HXQ212" s="1"/>
      <c r="HXR212" s="1"/>
      <c r="HXS212" s="1"/>
      <c r="HXT212" s="1"/>
      <c r="HXU212" s="1"/>
      <c r="HXV212" s="1"/>
      <c r="HXW212" s="1"/>
      <c r="HXX212" s="1"/>
      <c r="HXY212" s="1"/>
      <c r="HXZ212" s="1"/>
      <c r="HYA212" s="1"/>
      <c r="HYB212" s="1"/>
      <c r="HYC212" s="1"/>
      <c r="HYD212" s="1"/>
      <c r="HYE212" s="1"/>
      <c r="HYF212" s="1"/>
      <c r="HYG212" s="1"/>
      <c r="HYH212" s="1"/>
      <c r="HYI212" s="1"/>
      <c r="HYJ212" s="1"/>
      <c r="HYK212" s="1"/>
      <c r="HYL212" s="1"/>
      <c r="HYM212" s="1"/>
      <c r="HYN212" s="1"/>
      <c r="HYO212" s="1"/>
      <c r="HYP212" s="1"/>
      <c r="HYQ212" s="1"/>
      <c r="HYR212" s="1"/>
      <c r="HYS212" s="1"/>
      <c r="HYT212" s="1"/>
      <c r="HYU212" s="1"/>
      <c r="HYV212" s="1"/>
      <c r="HYW212" s="1"/>
      <c r="HYX212" s="1"/>
      <c r="HYY212" s="1"/>
      <c r="HYZ212" s="1"/>
      <c r="HZA212" s="1"/>
      <c r="HZB212" s="1"/>
      <c r="HZC212" s="1"/>
      <c r="HZD212" s="1"/>
      <c r="HZE212" s="1"/>
      <c r="HZF212" s="1"/>
      <c r="HZG212" s="1"/>
      <c r="HZH212" s="1"/>
      <c r="HZI212" s="1"/>
      <c r="HZJ212" s="1"/>
      <c r="HZK212" s="1"/>
      <c r="HZL212" s="1"/>
      <c r="HZM212" s="1"/>
      <c r="HZN212" s="1"/>
      <c r="HZO212" s="1"/>
      <c r="HZP212" s="1"/>
      <c r="HZQ212" s="1"/>
      <c r="HZR212" s="1"/>
      <c r="HZS212" s="1"/>
      <c r="HZT212" s="1"/>
      <c r="HZU212" s="1"/>
      <c r="HZV212" s="1"/>
      <c r="HZW212" s="1"/>
      <c r="HZX212" s="1"/>
      <c r="HZY212" s="1"/>
      <c r="HZZ212" s="1"/>
      <c r="IAA212" s="1"/>
      <c r="IAB212" s="1"/>
      <c r="IAC212" s="1"/>
      <c r="IAD212" s="1"/>
      <c r="IAE212" s="1"/>
      <c r="IAF212" s="1"/>
      <c r="IAG212" s="1"/>
      <c r="IAH212" s="1"/>
      <c r="IAI212" s="1"/>
      <c r="IAJ212" s="1"/>
      <c r="IAK212" s="1"/>
      <c r="IAL212" s="1"/>
      <c r="IAM212" s="1"/>
      <c r="IAN212" s="1"/>
      <c r="IAO212" s="1"/>
      <c r="IAP212" s="1"/>
      <c r="IAQ212" s="1"/>
      <c r="IAR212" s="1"/>
      <c r="IAS212" s="1"/>
      <c r="IAT212" s="1"/>
      <c r="IAU212" s="1"/>
      <c r="IAV212" s="1"/>
      <c r="IAW212" s="1"/>
      <c r="IAX212" s="1"/>
      <c r="IAY212" s="1"/>
      <c r="IAZ212" s="1"/>
      <c r="IBA212" s="1"/>
      <c r="IBB212" s="1"/>
      <c r="IBC212" s="1"/>
      <c r="IBD212" s="1"/>
      <c r="IBE212" s="1"/>
      <c r="IBF212" s="1"/>
      <c r="IBG212" s="1"/>
      <c r="IBH212" s="1"/>
      <c r="IBI212" s="1"/>
      <c r="IBJ212" s="1"/>
      <c r="IBK212" s="1"/>
      <c r="IBL212" s="1"/>
      <c r="IBM212" s="1"/>
      <c r="IBN212" s="1"/>
      <c r="IBO212" s="1"/>
      <c r="IBP212" s="1"/>
      <c r="IBQ212" s="1"/>
      <c r="IBR212" s="1"/>
      <c r="IBS212" s="1"/>
      <c r="IBT212" s="1"/>
      <c r="IBU212" s="1"/>
      <c r="IBV212" s="1"/>
      <c r="IBW212" s="1"/>
      <c r="IBX212" s="1"/>
      <c r="IBY212" s="1"/>
      <c r="IBZ212" s="1"/>
      <c r="ICA212" s="1"/>
      <c r="ICB212" s="1"/>
      <c r="ICC212" s="1"/>
      <c r="ICD212" s="1"/>
      <c r="ICE212" s="1"/>
      <c r="ICF212" s="1"/>
      <c r="ICG212" s="1"/>
      <c r="ICH212" s="1"/>
      <c r="ICI212" s="1"/>
      <c r="ICJ212" s="1"/>
      <c r="ICK212" s="1"/>
      <c r="ICL212" s="1"/>
      <c r="ICM212" s="1"/>
      <c r="ICN212" s="1"/>
      <c r="ICO212" s="1"/>
      <c r="ICP212" s="1"/>
      <c r="ICQ212" s="1"/>
      <c r="ICR212" s="1"/>
      <c r="ICS212" s="1"/>
      <c r="ICT212" s="1"/>
      <c r="ICU212" s="1"/>
      <c r="ICV212" s="1"/>
      <c r="ICW212" s="1"/>
      <c r="ICX212" s="1"/>
      <c r="ICY212" s="1"/>
      <c r="ICZ212" s="1"/>
      <c r="IDA212" s="1"/>
      <c r="IDB212" s="1"/>
      <c r="IDC212" s="1"/>
      <c r="IDD212" s="1"/>
      <c r="IDE212" s="1"/>
      <c r="IDF212" s="1"/>
      <c r="IDG212" s="1"/>
      <c r="IDH212" s="1"/>
      <c r="IDI212" s="1"/>
      <c r="IDJ212" s="1"/>
      <c r="IDK212" s="1"/>
      <c r="IDL212" s="1"/>
      <c r="IDM212" s="1"/>
      <c r="IDN212" s="1"/>
      <c r="IDO212" s="1"/>
      <c r="IDP212" s="1"/>
      <c r="IDQ212" s="1"/>
      <c r="IDR212" s="1"/>
      <c r="IDS212" s="1"/>
      <c r="IDT212" s="1"/>
      <c r="IDU212" s="1"/>
      <c r="IDV212" s="1"/>
      <c r="IDW212" s="1"/>
      <c r="IDX212" s="1"/>
      <c r="IDY212" s="1"/>
      <c r="IDZ212" s="1"/>
      <c r="IEA212" s="1"/>
      <c r="IEB212" s="1"/>
      <c r="IEC212" s="1"/>
      <c r="IED212" s="1"/>
      <c r="IEE212" s="1"/>
      <c r="IEF212" s="1"/>
      <c r="IEG212" s="1"/>
      <c r="IEH212" s="1"/>
      <c r="IEI212" s="1"/>
      <c r="IEJ212" s="1"/>
      <c r="IEK212" s="1"/>
      <c r="IEL212" s="1"/>
      <c r="IEM212" s="1"/>
      <c r="IEN212" s="1"/>
      <c r="IEO212" s="1"/>
      <c r="IEP212" s="1"/>
      <c r="IEQ212" s="1"/>
      <c r="IER212" s="1"/>
      <c r="IES212" s="1"/>
      <c r="IET212" s="1"/>
      <c r="IEU212" s="1"/>
      <c r="IEV212" s="1"/>
      <c r="IEW212" s="1"/>
      <c r="IEX212" s="1"/>
      <c r="IEY212" s="1"/>
      <c r="IEZ212" s="1"/>
      <c r="IFA212" s="1"/>
      <c r="IFB212" s="1"/>
      <c r="IFC212" s="1"/>
      <c r="IFD212" s="1"/>
      <c r="IFE212" s="1"/>
      <c r="IFF212" s="1"/>
      <c r="IFG212" s="1"/>
      <c r="IFH212" s="1"/>
      <c r="IFI212" s="1"/>
      <c r="IFJ212" s="1"/>
      <c r="IFK212" s="1"/>
      <c r="IFL212" s="1"/>
      <c r="IFM212" s="1"/>
      <c r="IFN212" s="1"/>
      <c r="IFO212" s="1"/>
      <c r="IFP212" s="1"/>
      <c r="IFQ212" s="1"/>
      <c r="IFR212" s="1"/>
      <c r="IFS212" s="1"/>
      <c r="IFT212" s="1"/>
      <c r="IFU212" s="1"/>
      <c r="IFV212" s="1"/>
      <c r="IFW212" s="1"/>
      <c r="IFX212" s="1"/>
      <c r="IFY212" s="1"/>
      <c r="IFZ212" s="1"/>
      <c r="IGA212" s="1"/>
      <c r="IGB212" s="1"/>
      <c r="IGC212" s="1"/>
      <c r="IGD212" s="1"/>
      <c r="IGE212" s="1"/>
      <c r="IGF212" s="1"/>
      <c r="IGG212" s="1"/>
      <c r="IGH212" s="1"/>
      <c r="IGI212" s="1"/>
      <c r="IGJ212" s="1"/>
      <c r="IGK212" s="1"/>
      <c r="IGL212" s="1"/>
      <c r="IGM212" s="1"/>
      <c r="IGN212" s="1"/>
      <c r="IGO212" s="1"/>
      <c r="IGP212" s="1"/>
      <c r="IGQ212" s="1"/>
      <c r="IGR212" s="1"/>
      <c r="IGS212" s="1"/>
      <c r="IGT212" s="1"/>
      <c r="IGU212" s="1"/>
      <c r="IGV212" s="1"/>
      <c r="IGW212" s="1"/>
      <c r="IGX212" s="1"/>
      <c r="IGY212" s="1"/>
      <c r="IGZ212" s="1"/>
      <c r="IHA212" s="1"/>
      <c r="IHB212" s="1"/>
      <c r="IHC212" s="1"/>
      <c r="IHD212" s="1"/>
      <c r="IHE212" s="1"/>
      <c r="IHF212" s="1"/>
      <c r="IHG212" s="1"/>
      <c r="IHH212" s="1"/>
      <c r="IHI212" s="1"/>
      <c r="IHJ212" s="1"/>
      <c r="IHK212" s="1"/>
      <c r="IHL212" s="1"/>
      <c r="IHM212" s="1"/>
      <c r="IHN212" s="1"/>
      <c r="IHO212" s="1"/>
      <c r="IHP212" s="1"/>
      <c r="IHQ212" s="1"/>
      <c r="IHR212" s="1"/>
      <c r="IHS212" s="1"/>
      <c r="IHT212" s="1"/>
      <c r="IHU212" s="1"/>
      <c r="IHV212" s="1"/>
      <c r="IHW212" s="1"/>
      <c r="IHX212" s="1"/>
      <c r="IHY212" s="1"/>
      <c r="IHZ212" s="1"/>
      <c r="IIA212" s="1"/>
      <c r="IIB212" s="1"/>
      <c r="IIC212" s="1"/>
      <c r="IID212" s="1"/>
      <c r="IIE212" s="1"/>
      <c r="IIF212" s="1"/>
      <c r="IIG212" s="1"/>
      <c r="IIH212" s="1"/>
      <c r="III212" s="1"/>
      <c r="IIJ212" s="1"/>
      <c r="IIK212" s="1"/>
      <c r="IIL212" s="1"/>
      <c r="IIM212" s="1"/>
      <c r="IIN212" s="1"/>
      <c r="IIO212" s="1"/>
      <c r="IIP212" s="1"/>
      <c r="IIQ212" s="1"/>
      <c r="IIR212" s="1"/>
      <c r="IIS212" s="1"/>
      <c r="IIT212" s="1"/>
      <c r="IIU212" s="1"/>
      <c r="IIV212" s="1"/>
      <c r="IIW212" s="1"/>
      <c r="IIX212" s="1"/>
      <c r="IIY212" s="1"/>
      <c r="IIZ212" s="1"/>
      <c r="IJA212" s="1"/>
      <c r="IJB212" s="1"/>
      <c r="IJC212" s="1"/>
      <c r="IJD212" s="1"/>
      <c r="IJE212" s="1"/>
      <c r="IJF212" s="1"/>
      <c r="IJG212" s="1"/>
      <c r="IJH212" s="1"/>
      <c r="IJI212" s="1"/>
      <c r="IJJ212" s="1"/>
      <c r="IJK212" s="1"/>
      <c r="IJL212" s="1"/>
      <c r="IJM212" s="1"/>
      <c r="IJN212" s="1"/>
      <c r="IJO212" s="1"/>
      <c r="IJP212" s="1"/>
      <c r="IJQ212" s="1"/>
      <c r="IJR212" s="1"/>
      <c r="IJS212" s="1"/>
      <c r="IJT212" s="1"/>
      <c r="IJU212" s="1"/>
      <c r="IJV212" s="1"/>
      <c r="IJW212" s="1"/>
      <c r="IJX212" s="1"/>
      <c r="IJY212" s="1"/>
      <c r="IJZ212" s="1"/>
      <c r="IKA212" s="1"/>
      <c r="IKB212" s="1"/>
      <c r="IKC212" s="1"/>
      <c r="IKD212" s="1"/>
      <c r="IKE212" s="1"/>
      <c r="IKF212" s="1"/>
      <c r="IKG212" s="1"/>
      <c r="IKH212" s="1"/>
      <c r="IKI212" s="1"/>
      <c r="IKJ212" s="1"/>
      <c r="IKK212" s="1"/>
      <c r="IKL212" s="1"/>
      <c r="IKM212" s="1"/>
      <c r="IKN212" s="1"/>
      <c r="IKO212" s="1"/>
      <c r="IKP212" s="1"/>
      <c r="IKQ212" s="1"/>
      <c r="IKR212" s="1"/>
      <c r="IKS212" s="1"/>
      <c r="IKT212" s="1"/>
      <c r="IKU212" s="1"/>
      <c r="IKV212" s="1"/>
      <c r="IKW212" s="1"/>
      <c r="IKX212" s="1"/>
      <c r="IKY212" s="1"/>
      <c r="IKZ212" s="1"/>
      <c r="ILA212" s="1"/>
      <c r="ILB212" s="1"/>
      <c r="ILC212" s="1"/>
      <c r="ILD212" s="1"/>
      <c r="ILE212" s="1"/>
      <c r="ILF212" s="1"/>
      <c r="ILG212" s="1"/>
      <c r="ILH212" s="1"/>
      <c r="ILI212" s="1"/>
      <c r="ILJ212" s="1"/>
      <c r="ILK212" s="1"/>
      <c r="ILL212" s="1"/>
      <c r="ILM212" s="1"/>
      <c r="ILN212" s="1"/>
      <c r="ILO212" s="1"/>
      <c r="ILP212" s="1"/>
      <c r="ILQ212" s="1"/>
      <c r="ILR212" s="1"/>
      <c r="ILS212" s="1"/>
      <c r="ILT212" s="1"/>
      <c r="ILU212" s="1"/>
      <c r="ILV212" s="1"/>
      <c r="ILW212" s="1"/>
      <c r="ILX212" s="1"/>
      <c r="ILY212" s="1"/>
      <c r="ILZ212" s="1"/>
      <c r="IMA212" s="1"/>
      <c r="IMB212" s="1"/>
      <c r="IMC212" s="1"/>
      <c r="IMD212" s="1"/>
      <c r="IME212" s="1"/>
      <c r="IMF212" s="1"/>
      <c r="IMG212" s="1"/>
      <c r="IMH212" s="1"/>
      <c r="IMI212" s="1"/>
      <c r="IMJ212" s="1"/>
      <c r="IMK212" s="1"/>
      <c r="IML212" s="1"/>
      <c r="IMM212" s="1"/>
      <c r="IMN212" s="1"/>
      <c r="IMO212" s="1"/>
      <c r="IMP212" s="1"/>
      <c r="IMQ212" s="1"/>
      <c r="IMR212" s="1"/>
      <c r="IMS212" s="1"/>
      <c r="IMT212" s="1"/>
      <c r="IMU212" s="1"/>
      <c r="IMV212" s="1"/>
      <c r="IMW212" s="1"/>
      <c r="IMX212" s="1"/>
      <c r="IMY212" s="1"/>
      <c r="IMZ212" s="1"/>
      <c r="INA212" s="1"/>
      <c r="INB212" s="1"/>
      <c r="INC212" s="1"/>
      <c r="IND212" s="1"/>
      <c r="INE212" s="1"/>
      <c r="INF212" s="1"/>
      <c r="ING212" s="1"/>
      <c r="INH212" s="1"/>
      <c r="INI212" s="1"/>
      <c r="INJ212" s="1"/>
      <c r="INK212" s="1"/>
      <c r="INL212" s="1"/>
      <c r="INM212" s="1"/>
      <c r="INN212" s="1"/>
      <c r="INO212" s="1"/>
      <c r="INP212" s="1"/>
      <c r="INQ212" s="1"/>
      <c r="INR212" s="1"/>
      <c r="INS212" s="1"/>
      <c r="INT212" s="1"/>
      <c r="INU212" s="1"/>
      <c r="INV212" s="1"/>
      <c r="INW212" s="1"/>
      <c r="INX212" s="1"/>
      <c r="INY212" s="1"/>
      <c r="INZ212" s="1"/>
      <c r="IOA212" s="1"/>
      <c r="IOB212" s="1"/>
      <c r="IOC212" s="1"/>
      <c r="IOD212" s="1"/>
      <c r="IOE212" s="1"/>
      <c r="IOF212" s="1"/>
      <c r="IOG212" s="1"/>
      <c r="IOH212" s="1"/>
      <c r="IOI212" s="1"/>
      <c r="IOJ212" s="1"/>
      <c r="IOK212" s="1"/>
      <c r="IOL212" s="1"/>
      <c r="IOM212" s="1"/>
      <c r="ION212" s="1"/>
      <c r="IOO212" s="1"/>
      <c r="IOP212" s="1"/>
      <c r="IOQ212" s="1"/>
      <c r="IOR212" s="1"/>
      <c r="IOS212" s="1"/>
      <c r="IOT212" s="1"/>
      <c r="IOU212" s="1"/>
      <c r="IOV212" s="1"/>
      <c r="IOW212" s="1"/>
      <c r="IOX212" s="1"/>
      <c r="IOY212" s="1"/>
      <c r="IOZ212" s="1"/>
      <c r="IPA212" s="1"/>
      <c r="IPB212" s="1"/>
      <c r="IPC212" s="1"/>
      <c r="IPD212" s="1"/>
      <c r="IPE212" s="1"/>
      <c r="IPF212" s="1"/>
      <c r="IPG212" s="1"/>
      <c r="IPH212" s="1"/>
      <c r="IPI212" s="1"/>
      <c r="IPJ212" s="1"/>
      <c r="IPK212" s="1"/>
      <c r="IPL212" s="1"/>
      <c r="IPM212" s="1"/>
      <c r="IPN212" s="1"/>
      <c r="IPO212" s="1"/>
      <c r="IPP212" s="1"/>
      <c r="IPQ212" s="1"/>
      <c r="IPR212" s="1"/>
      <c r="IPS212" s="1"/>
      <c r="IPT212" s="1"/>
      <c r="IPU212" s="1"/>
      <c r="IPV212" s="1"/>
      <c r="IPW212" s="1"/>
      <c r="IPX212" s="1"/>
      <c r="IPY212" s="1"/>
      <c r="IPZ212" s="1"/>
      <c r="IQA212" s="1"/>
      <c r="IQB212" s="1"/>
      <c r="IQC212" s="1"/>
      <c r="IQD212" s="1"/>
      <c r="IQE212" s="1"/>
      <c r="IQF212" s="1"/>
      <c r="IQG212" s="1"/>
      <c r="IQH212" s="1"/>
      <c r="IQI212" s="1"/>
      <c r="IQJ212" s="1"/>
      <c r="IQK212" s="1"/>
      <c r="IQL212" s="1"/>
      <c r="IQM212" s="1"/>
      <c r="IQN212" s="1"/>
      <c r="IQO212" s="1"/>
      <c r="IQP212" s="1"/>
      <c r="IQQ212" s="1"/>
      <c r="IQR212" s="1"/>
      <c r="IQS212" s="1"/>
      <c r="IQT212" s="1"/>
      <c r="IQU212" s="1"/>
      <c r="IQV212" s="1"/>
      <c r="IQW212" s="1"/>
      <c r="IQX212" s="1"/>
      <c r="IQY212" s="1"/>
      <c r="IQZ212" s="1"/>
      <c r="IRA212" s="1"/>
      <c r="IRB212" s="1"/>
      <c r="IRC212" s="1"/>
      <c r="IRD212" s="1"/>
      <c r="IRE212" s="1"/>
      <c r="IRF212" s="1"/>
      <c r="IRG212" s="1"/>
      <c r="IRH212" s="1"/>
      <c r="IRI212" s="1"/>
      <c r="IRJ212" s="1"/>
      <c r="IRK212" s="1"/>
      <c r="IRL212" s="1"/>
      <c r="IRM212" s="1"/>
      <c r="IRN212" s="1"/>
      <c r="IRO212" s="1"/>
      <c r="IRP212" s="1"/>
      <c r="IRQ212" s="1"/>
      <c r="IRR212" s="1"/>
      <c r="IRS212" s="1"/>
      <c r="IRT212" s="1"/>
      <c r="IRU212" s="1"/>
      <c r="IRV212" s="1"/>
      <c r="IRW212" s="1"/>
      <c r="IRX212" s="1"/>
      <c r="IRY212" s="1"/>
      <c r="IRZ212" s="1"/>
      <c r="ISA212" s="1"/>
      <c r="ISB212" s="1"/>
      <c r="ISC212" s="1"/>
      <c r="ISD212" s="1"/>
      <c r="ISE212" s="1"/>
      <c r="ISF212" s="1"/>
      <c r="ISG212" s="1"/>
      <c r="ISH212" s="1"/>
      <c r="ISI212" s="1"/>
      <c r="ISJ212" s="1"/>
      <c r="ISK212" s="1"/>
      <c r="ISL212" s="1"/>
      <c r="ISM212" s="1"/>
      <c r="ISN212" s="1"/>
      <c r="ISO212" s="1"/>
      <c r="ISP212" s="1"/>
      <c r="ISQ212" s="1"/>
      <c r="ISR212" s="1"/>
      <c r="ISS212" s="1"/>
      <c r="IST212" s="1"/>
      <c r="ISU212" s="1"/>
      <c r="ISV212" s="1"/>
      <c r="ISW212" s="1"/>
      <c r="ISX212" s="1"/>
      <c r="ISY212" s="1"/>
      <c r="ISZ212" s="1"/>
      <c r="ITA212" s="1"/>
      <c r="ITB212" s="1"/>
      <c r="ITC212" s="1"/>
      <c r="ITD212" s="1"/>
      <c r="ITE212" s="1"/>
      <c r="ITF212" s="1"/>
      <c r="ITG212" s="1"/>
      <c r="ITH212" s="1"/>
      <c r="ITI212" s="1"/>
      <c r="ITJ212" s="1"/>
      <c r="ITK212" s="1"/>
      <c r="ITL212" s="1"/>
      <c r="ITM212" s="1"/>
      <c r="ITN212" s="1"/>
      <c r="ITO212" s="1"/>
      <c r="ITP212" s="1"/>
      <c r="ITQ212" s="1"/>
      <c r="ITR212" s="1"/>
      <c r="ITS212" s="1"/>
      <c r="ITT212" s="1"/>
      <c r="ITU212" s="1"/>
      <c r="ITV212" s="1"/>
      <c r="ITW212" s="1"/>
      <c r="ITX212" s="1"/>
      <c r="ITY212" s="1"/>
      <c r="ITZ212" s="1"/>
      <c r="IUA212" s="1"/>
      <c r="IUB212" s="1"/>
      <c r="IUC212" s="1"/>
      <c r="IUD212" s="1"/>
      <c r="IUE212" s="1"/>
      <c r="IUF212" s="1"/>
      <c r="IUG212" s="1"/>
      <c r="IUH212" s="1"/>
      <c r="IUI212" s="1"/>
      <c r="IUJ212" s="1"/>
      <c r="IUK212" s="1"/>
      <c r="IUL212" s="1"/>
      <c r="IUM212" s="1"/>
      <c r="IUN212" s="1"/>
      <c r="IUO212" s="1"/>
      <c r="IUP212" s="1"/>
      <c r="IUQ212" s="1"/>
      <c r="IUR212" s="1"/>
      <c r="IUS212" s="1"/>
      <c r="IUT212" s="1"/>
      <c r="IUU212" s="1"/>
      <c r="IUV212" s="1"/>
      <c r="IUW212" s="1"/>
      <c r="IUX212" s="1"/>
      <c r="IUY212" s="1"/>
      <c r="IUZ212" s="1"/>
      <c r="IVA212" s="1"/>
      <c r="IVB212" s="1"/>
      <c r="IVC212" s="1"/>
      <c r="IVD212" s="1"/>
      <c r="IVE212" s="1"/>
      <c r="IVF212" s="1"/>
      <c r="IVG212" s="1"/>
      <c r="IVH212" s="1"/>
      <c r="IVI212" s="1"/>
      <c r="IVJ212" s="1"/>
      <c r="IVK212" s="1"/>
      <c r="IVL212" s="1"/>
      <c r="IVM212" s="1"/>
      <c r="IVN212" s="1"/>
      <c r="IVO212" s="1"/>
      <c r="IVP212" s="1"/>
      <c r="IVQ212" s="1"/>
      <c r="IVR212" s="1"/>
      <c r="IVS212" s="1"/>
      <c r="IVT212" s="1"/>
      <c r="IVU212" s="1"/>
      <c r="IVV212" s="1"/>
      <c r="IVW212" s="1"/>
      <c r="IVX212" s="1"/>
      <c r="IVY212" s="1"/>
      <c r="IVZ212" s="1"/>
      <c r="IWA212" s="1"/>
      <c r="IWB212" s="1"/>
      <c r="IWC212" s="1"/>
      <c r="IWD212" s="1"/>
      <c r="IWE212" s="1"/>
      <c r="IWF212" s="1"/>
      <c r="IWG212" s="1"/>
      <c r="IWH212" s="1"/>
      <c r="IWI212" s="1"/>
      <c r="IWJ212" s="1"/>
      <c r="IWK212" s="1"/>
      <c r="IWL212" s="1"/>
      <c r="IWM212" s="1"/>
      <c r="IWN212" s="1"/>
      <c r="IWO212" s="1"/>
      <c r="IWP212" s="1"/>
      <c r="IWQ212" s="1"/>
      <c r="IWR212" s="1"/>
      <c r="IWS212" s="1"/>
      <c r="IWT212" s="1"/>
      <c r="IWU212" s="1"/>
      <c r="IWV212" s="1"/>
      <c r="IWW212" s="1"/>
      <c r="IWX212" s="1"/>
      <c r="IWY212" s="1"/>
      <c r="IWZ212" s="1"/>
      <c r="IXA212" s="1"/>
      <c r="IXB212" s="1"/>
      <c r="IXC212" s="1"/>
      <c r="IXD212" s="1"/>
      <c r="IXE212" s="1"/>
      <c r="IXF212" s="1"/>
      <c r="IXG212" s="1"/>
      <c r="IXH212" s="1"/>
      <c r="IXI212" s="1"/>
      <c r="IXJ212" s="1"/>
      <c r="IXK212" s="1"/>
      <c r="IXL212" s="1"/>
      <c r="IXM212" s="1"/>
      <c r="IXN212" s="1"/>
      <c r="IXO212" s="1"/>
      <c r="IXP212" s="1"/>
      <c r="IXQ212" s="1"/>
      <c r="IXR212" s="1"/>
      <c r="IXS212" s="1"/>
      <c r="IXT212" s="1"/>
      <c r="IXU212" s="1"/>
      <c r="IXV212" s="1"/>
      <c r="IXW212" s="1"/>
      <c r="IXX212" s="1"/>
      <c r="IXY212" s="1"/>
      <c r="IXZ212" s="1"/>
      <c r="IYA212" s="1"/>
      <c r="IYB212" s="1"/>
      <c r="IYC212" s="1"/>
      <c r="IYD212" s="1"/>
      <c r="IYE212" s="1"/>
      <c r="IYF212" s="1"/>
      <c r="IYG212" s="1"/>
      <c r="IYH212" s="1"/>
      <c r="IYI212" s="1"/>
      <c r="IYJ212" s="1"/>
      <c r="IYK212" s="1"/>
      <c r="IYL212" s="1"/>
      <c r="IYM212" s="1"/>
      <c r="IYN212" s="1"/>
      <c r="IYO212" s="1"/>
      <c r="IYP212" s="1"/>
      <c r="IYQ212" s="1"/>
      <c r="IYR212" s="1"/>
      <c r="IYS212" s="1"/>
      <c r="IYT212" s="1"/>
      <c r="IYU212" s="1"/>
      <c r="IYV212" s="1"/>
      <c r="IYW212" s="1"/>
      <c r="IYX212" s="1"/>
      <c r="IYY212" s="1"/>
      <c r="IYZ212" s="1"/>
      <c r="IZA212" s="1"/>
      <c r="IZB212" s="1"/>
      <c r="IZC212" s="1"/>
      <c r="IZD212" s="1"/>
      <c r="IZE212" s="1"/>
      <c r="IZF212" s="1"/>
      <c r="IZG212" s="1"/>
      <c r="IZH212" s="1"/>
      <c r="IZI212" s="1"/>
      <c r="IZJ212" s="1"/>
      <c r="IZK212" s="1"/>
      <c r="IZL212" s="1"/>
      <c r="IZM212" s="1"/>
      <c r="IZN212" s="1"/>
      <c r="IZO212" s="1"/>
      <c r="IZP212" s="1"/>
      <c r="IZQ212" s="1"/>
      <c r="IZR212" s="1"/>
      <c r="IZS212" s="1"/>
      <c r="IZT212" s="1"/>
      <c r="IZU212" s="1"/>
      <c r="IZV212" s="1"/>
      <c r="IZW212" s="1"/>
      <c r="IZX212" s="1"/>
      <c r="IZY212" s="1"/>
      <c r="IZZ212" s="1"/>
      <c r="JAA212" s="1"/>
      <c r="JAB212" s="1"/>
      <c r="JAC212" s="1"/>
      <c r="JAD212" s="1"/>
      <c r="JAE212" s="1"/>
      <c r="JAF212" s="1"/>
      <c r="JAG212" s="1"/>
      <c r="JAH212" s="1"/>
      <c r="JAI212" s="1"/>
      <c r="JAJ212" s="1"/>
      <c r="JAK212" s="1"/>
      <c r="JAL212" s="1"/>
      <c r="JAM212" s="1"/>
      <c r="JAN212" s="1"/>
      <c r="JAO212" s="1"/>
      <c r="JAP212" s="1"/>
      <c r="JAQ212" s="1"/>
      <c r="JAR212" s="1"/>
      <c r="JAS212" s="1"/>
      <c r="JAT212" s="1"/>
      <c r="JAU212" s="1"/>
      <c r="JAV212" s="1"/>
      <c r="JAW212" s="1"/>
      <c r="JAX212" s="1"/>
      <c r="JAY212" s="1"/>
      <c r="JAZ212" s="1"/>
      <c r="JBA212" s="1"/>
      <c r="JBB212" s="1"/>
      <c r="JBC212" s="1"/>
      <c r="JBD212" s="1"/>
      <c r="JBE212" s="1"/>
      <c r="JBF212" s="1"/>
      <c r="JBG212" s="1"/>
      <c r="JBH212" s="1"/>
      <c r="JBI212" s="1"/>
      <c r="JBJ212" s="1"/>
      <c r="JBK212" s="1"/>
      <c r="JBL212" s="1"/>
      <c r="JBM212" s="1"/>
      <c r="JBN212" s="1"/>
      <c r="JBO212" s="1"/>
      <c r="JBP212" s="1"/>
      <c r="JBQ212" s="1"/>
      <c r="JBR212" s="1"/>
      <c r="JBS212" s="1"/>
      <c r="JBT212" s="1"/>
      <c r="JBU212" s="1"/>
      <c r="JBV212" s="1"/>
      <c r="JBW212" s="1"/>
      <c r="JBX212" s="1"/>
      <c r="JBY212" s="1"/>
      <c r="JBZ212" s="1"/>
      <c r="JCA212" s="1"/>
      <c r="JCB212" s="1"/>
      <c r="JCC212" s="1"/>
      <c r="JCD212" s="1"/>
      <c r="JCE212" s="1"/>
      <c r="JCF212" s="1"/>
      <c r="JCG212" s="1"/>
      <c r="JCH212" s="1"/>
      <c r="JCI212" s="1"/>
      <c r="JCJ212" s="1"/>
      <c r="JCK212" s="1"/>
      <c r="JCL212" s="1"/>
      <c r="JCM212" s="1"/>
      <c r="JCN212" s="1"/>
      <c r="JCO212" s="1"/>
      <c r="JCP212" s="1"/>
      <c r="JCQ212" s="1"/>
      <c r="JCR212" s="1"/>
      <c r="JCS212" s="1"/>
      <c r="JCT212" s="1"/>
      <c r="JCU212" s="1"/>
      <c r="JCV212" s="1"/>
      <c r="JCW212" s="1"/>
      <c r="JCX212" s="1"/>
      <c r="JCY212" s="1"/>
      <c r="JCZ212" s="1"/>
      <c r="JDA212" s="1"/>
      <c r="JDB212" s="1"/>
      <c r="JDC212" s="1"/>
      <c r="JDD212" s="1"/>
      <c r="JDE212" s="1"/>
      <c r="JDF212" s="1"/>
      <c r="JDG212" s="1"/>
      <c r="JDH212" s="1"/>
      <c r="JDI212" s="1"/>
      <c r="JDJ212" s="1"/>
      <c r="JDK212" s="1"/>
      <c r="JDL212" s="1"/>
      <c r="JDM212" s="1"/>
      <c r="JDN212" s="1"/>
      <c r="JDO212" s="1"/>
      <c r="JDP212" s="1"/>
      <c r="JDQ212" s="1"/>
      <c r="JDR212" s="1"/>
      <c r="JDS212" s="1"/>
      <c r="JDT212" s="1"/>
      <c r="JDU212" s="1"/>
      <c r="JDV212" s="1"/>
      <c r="JDW212" s="1"/>
      <c r="JDX212" s="1"/>
      <c r="JDY212" s="1"/>
      <c r="JDZ212" s="1"/>
      <c r="JEA212" s="1"/>
      <c r="JEB212" s="1"/>
      <c r="JEC212" s="1"/>
      <c r="JED212" s="1"/>
      <c r="JEE212" s="1"/>
      <c r="JEF212" s="1"/>
      <c r="JEG212" s="1"/>
      <c r="JEH212" s="1"/>
      <c r="JEI212" s="1"/>
      <c r="JEJ212" s="1"/>
      <c r="JEK212" s="1"/>
      <c r="JEL212" s="1"/>
      <c r="JEM212" s="1"/>
      <c r="JEN212" s="1"/>
      <c r="JEO212" s="1"/>
      <c r="JEP212" s="1"/>
      <c r="JEQ212" s="1"/>
      <c r="JER212" s="1"/>
      <c r="JES212" s="1"/>
      <c r="JET212" s="1"/>
      <c r="JEU212" s="1"/>
      <c r="JEV212" s="1"/>
      <c r="JEW212" s="1"/>
      <c r="JEX212" s="1"/>
      <c r="JEY212" s="1"/>
      <c r="JEZ212" s="1"/>
      <c r="JFA212" s="1"/>
      <c r="JFB212" s="1"/>
      <c r="JFC212" s="1"/>
      <c r="JFD212" s="1"/>
      <c r="JFE212" s="1"/>
      <c r="JFF212" s="1"/>
      <c r="JFG212" s="1"/>
      <c r="JFH212" s="1"/>
      <c r="JFI212" s="1"/>
      <c r="JFJ212" s="1"/>
      <c r="JFK212" s="1"/>
      <c r="JFL212" s="1"/>
      <c r="JFM212" s="1"/>
      <c r="JFN212" s="1"/>
      <c r="JFO212" s="1"/>
      <c r="JFP212" s="1"/>
      <c r="JFQ212" s="1"/>
      <c r="JFR212" s="1"/>
      <c r="JFS212" s="1"/>
      <c r="JFT212" s="1"/>
      <c r="JFU212" s="1"/>
      <c r="JFV212" s="1"/>
      <c r="JFW212" s="1"/>
      <c r="JFX212" s="1"/>
      <c r="JFY212" s="1"/>
      <c r="JFZ212" s="1"/>
      <c r="JGA212" s="1"/>
      <c r="JGB212" s="1"/>
      <c r="JGC212" s="1"/>
      <c r="JGD212" s="1"/>
      <c r="JGE212" s="1"/>
      <c r="JGF212" s="1"/>
      <c r="JGG212" s="1"/>
      <c r="JGH212" s="1"/>
      <c r="JGI212" s="1"/>
      <c r="JGJ212" s="1"/>
      <c r="JGK212" s="1"/>
      <c r="JGL212" s="1"/>
      <c r="JGM212" s="1"/>
      <c r="JGN212" s="1"/>
      <c r="JGO212" s="1"/>
      <c r="JGP212" s="1"/>
      <c r="JGQ212" s="1"/>
      <c r="JGR212" s="1"/>
      <c r="JGS212" s="1"/>
      <c r="JGT212" s="1"/>
      <c r="JGU212" s="1"/>
      <c r="JGV212" s="1"/>
      <c r="JGW212" s="1"/>
      <c r="JGX212" s="1"/>
      <c r="JGY212" s="1"/>
      <c r="JGZ212" s="1"/>
      <c r="JHA212" s="1"/>
      <c r="JHB212" s="1"/>
      <c r="JHC212" s="1"/>
      <c r="JHD212" s="1"/>
      <c r="JHE212" s="1"/>
      <c r="JHF212" s="1"/>
      <c r="JHG212" s="1"/>
      <c r="JHH212" s="1"/>
      <c r="JHI212" s="1"/>
      <c r="JHJ212" s="1"/>
      <c r="JHK212" s="1"/>
      <c r="JHL212" s="1"/>
      <c r="JHM212" s="1"/>
      <c r="JHN212" s="1"/>
      <c r="JHO212" s="1"/>
      <c r="JHP212" s="1"/>
      <c r="JHQ212" s="1"/>
      <c r="JHR212" s="1"/>
      <c r="JHS212" s="1"/>
      <c r="JHT212" s="1"/>
      <c r="JHU212" s="1"/>
      <c r="JHV212" s="1"/>
      <c r="JHW212" s="1"/>
      <c r="JHX212" s="1"/>
      <c r="JHY212" s="1"/>
      <c r="JHZ212" s="1"/>
      <c r="JIA212" s="1"/>
      <c r="JIB212" s="1"/>
      <c r="JIC212" s="1"/>
      <c r="JID212" s="1"/>
      <c r="JIE212" s="1"/>
      <c r="JIF212" s="1"/>
      <c r="JIG212" s="1"/>
      <c r="JIH212" s="1"/>
      <c r="JII212" s="1"/>
      <c r="JIJ212" s="1"/>
      <c r="JIK212" s="1"/>
      <c r="JIL212" s="1"/>
      <c r="JIM212" s="1"/>
      <c r="JIN212" s="1"/>
      <c r="JIO212" s="1"/>
      <c r="JIP212" s="1"/>
      <c r="JIQ212" s="1"/>
      <c r="JIR212" s="1"/>
      <c r="JIS212" s="1"/>
      <c r="JIT212" s="1"/>
      <c r="JIU212" s="1"/>
      <c r="JIV212" s="1"/>
      <c r="JIW212" s="1"/>
      <c r="JIX212" s="1"/>
      <c r="JIY212" s="1"/>
      <c r="JIZ212" s="1"/>
      <c r="JJA212" s="1"/>
      <c r="JJB212" s="1"/>
      <c r="JJC212" s="1"/>
      <c r="JJD212" s="1"/>
      <c r="JJE212" s="1"/>
      <c r="JJF212" s="1"/>
      <c r="JJG212" s="1"/>
      <c r="JJH212" s="1"/>
      <c r="JJI212" s="1"/>
      <c r="JJJ212" s="1"/>
      <c r="JJK212" s="1"/>
      <c r="JJL212" s="1"/>
      <c r="JJM212" s="1"/>
      <c r="JJN212" s="1"/>
      <c r="JJO212" s="1"/>
      <c r="JJP212" s="1"/>
      <c r="JJQ212" s="1"/>
      <c r="JJR212" s="1"/>
      <c r="JJS212" s="1"/>
      <c r="JJT212" s="1"/>
      <c r="JJU212" s="1"/>
      <c r="JJV212" s="1"/>
      <c r="JJW212" s="1"/>
      <c r="JJX212" s="1"/>
      <c r="JJY212" s="1"/>
      <c r="JJZ212" s="1"/>
      <c r="JKA212" s="1"/>
      <c r="JKB212" s="1"/>
      <c r="JKC212" s="1"/>
      <c r="JKD212" s="1"/>
      <c r="JKE212" s="1"/>
      <c r="JKF212" s="1"/>
      <c r="JKG212" s="1"/>
      <c r="JKH212" s="1"/>
      <c r="JKI212" s="1"/>
      <c r="JKJ212" s="1"/>
      <c r="JKK212" s="1"/>
      <c r="JKL212" s="1"/>
      <c r="JKM212" s="1"/>
      <c r="JKN212" s="1"/>
      <c r="JKO212" s="1"/>
      <c r="JKP212" s="1"/>
      <c r="JKQ212" s="1"/>
      <c r="JKR212" s="1"/>
      <c r="JKS212" s="1"/>
      <c r="JKT212" s="1"/>
      <c r="JKU212" s="1"/>
      <c r="JKV212" s="1"/>
      <c r="JKW212" s="1"/>
      <c r="JKX212" s="1"/>
      <c r="JKY212" s="1"/>
      <c r="JKZ212" s="1"/>
      <c r="JLA212" s="1"/>
      <c r="JLB212" s="1"/>
      <c r="JLC212" s="1"/>
      <c r="JLD212" s="1"/>
      <c r="JLE212" s="1"/>
      <c r="JLF212" s="1"/>
      <c r="JLG212" s="1"/>
      <c r="JLH212" s="1"/>
      <c r="JLI212" s="1"/>
      <c r="JLJ212" s="1"/>
      <c r="JLK212" s="1"/>
      <c r="JLL212" s="1"/>
      <c r="JLM212" s="1"/>
      <c r="JLN212" s="1"/>
      <c r="JLO212" s="1"/>
      <c r="JLP212" s="1"/>
      <c r="JLQ212" s="1"/>
      <c r="JLR212" s="1"/>
      <c r="JLS212" s="1"/>
      <c r="JLT212" s="1"/>
      <c r="JLU212" s="1"/>
      <c r="JLV212" s="1"/>
      <c r="JLW212" s="1"/>
      <c r="JLX212" s="1"/>
      <c r="JLY212" s="1"/>
      <c r="JLZ212" s="1"/>
      <c r="JMA212" s="1"/>
      <c r="JMB212" s="1"/>
      <c r="JMC212" s="1"/>
      <c r="JMD212" s="1"/>
      <c r="JME212" s="1"/>
      <c r="JMF212" s="1"/>
      <c r="JMG212" s="1"/>
      <c r="JMH212" s="1"/>
      <c r="JMI212" s="1"/>
      <c r="JMJ212" s="1"/>
      <c r="JMK212" s="1"/>
      <c r="JML212" s="1"/>
      <c r="JMM212" s="1"/>
      <c r="JMN212" s="1"/>
      <c r="JMO212" s="1"/>
      <c r="JMP212" s="1"/>
      <c r="JMQ212" s="1"/>
      <c r="JMR212" s="1"/>
      <c r="JMS212" s="1"/>
      <c r="JMT212" s="1"/>
      <c r="JMU212" s="1"/>
      <c r="JMV212" s="1"/>
      <c r="JMW212" s="1"/>
      <c r="JMX212" s="1"/>
      <c r="JMY212" s="1"/>
      <c r="JMZ212" s="1"/>
      <c r="JNA212" s="1"/>
      <c r="JNB212" s="1"/>
      <c r="JNC212" s="1"/>
      <c r="JND212" s="1"/>
      <c r="JNE212" s="1"/>
      <c r="JNF212" s="1"/>
      <c r="JNG212" s="1"/>
      <c r="JNH212" s="1"/>
      <c r="JNI212" s="1"/>
      <c r="JNJ212" s="1"/>
      <c r="JNK212" s="1"/>
      <c r="JNL212" s="1"/>
      <c r="JNM212" s="1"/>
      <c r="JNN212" s="1"/>
      <c r="JNO212" s="1"/>
      <c r="JNP212" s="1"/>
      <c r="JNQ212" s="1"/>
      <c r="JNR212" s="1"/>
      <c r="JNS212" s="1"/>
      <c r="JNT212" s="1"/>
      <c r="JNU212" s="1"/>
      <c r="JNV212" s="1"/>
      <c r="JNW212" s="1"/>
      <c r="JNX212" s="1"/>
      <c r="JNY212" s="1"/>
      <c r="JNZ212" s="1"/>
      <c r="JOA212" s="1"/>
      <c r="JOB212" s="1"/>
      <c r="JOC212" s="1"/>
      <c r="JOD212" s="1"/>
      <c r="JOE212" s="1"/>
      <c r="JOF212" s="1"/>
      <c r="JOG212" s="1"/>
      <c r="JOH212" s="1"/>
      <c r="JOI212" s="1"/>
      <c r="JOJ212" s="1"/>
      <c r="JOK212" s="1"/>
      <c r="JOL212" s="1"/>
      <c r="JOM212" s="1"/>
      <c r="JON212" s="1"/>
      <c r="JOO212" s="1"/>
      <c r="JOP212" s="1"/>
      <c r="JOQ212" s="1"/>
      <c r="JOR212" s="1"/>
      <c r="JOS212" s="1"/>
      <c r="JOT212" s="1"/>
      <c r="JOU212" s="1"/>
      <c r="JOV212" s="1"/>
      <c r="JOW212" s="1"/>
      <c r="JOX212" s="1"/>
      <c r="JOY212" s="1"/>
      <c r="JOZ212" s="1"/>
      <c r="JPA212" s="1"/>
      <c r="JPB212" s="1"/>
      <c r="JPC212" s="1"/>
      <c r="JPD212" s="1"/>
      <c r="JPE212" s="1"/>
      <c r="JPF212" s="1"/>
      <c r="JPG212" s="1"/>
      <c r="JPH212" s="1"/>
      <c r="JPI212" s="1"/>
      <c r="JPJ212" s="1"/>
      <c r="JPK212" s="1"/>
      <c r="JPL212" s="1"/>
      <c r="JPM212" s="1"/>
      <c r="JPN212" s="1"/>
      <c r="JPO212" s="1"/>
      <c r="JPP212" s="1"/>
      <c r="JPQ212" s="1"/>
      <c r="JPR212" s="1"/>
      <c r="JPS212" s="1"/>
      <c r="JPT212" s="1"/>
      <c r="JPU212" s="1"/>
      <c r="JPV212" s="1"/>
      <c r="JPW212" s="1"/>
      <c r="JPX212" s="1"/>
      <c r="JPY212" s="1"/>
      <c r="JPZ212" s="1"/>
      <c r="JQA212" s="1"/>
      <c r="JQB212" s="1"/>
      <c r="JQC212" s="1"/>
      <c r="JQD212" s="1"/>
      <c r="JQE212" s="1"/>
      <c r="JQF212" s="1"/>
      <c r="JQG212" s="1"/>
      <c r="JQH212" s="1"/>
      <c r="JQI212" s="1"/>
      <c r="JQJ212" s="1"/>
      <c r="JQK212" s="1"/>
      <c r="JQL212" s="1"/>
      <c r="JQM212" s="1"/>
      <c r="JQN212" s="1"/>
      <c r="JQO212" s="1"/>
      <c r="JQP212" s="1"/>
      <c r="JQQ212" s="1"/>
      <c r="JQR212" s="1"/>
      <c r="JQS212" s="1"/>
      <c r="JQT212" s="1"/>
      <c r="JQU212" s="1"/>
      <c r="JQV212" s="1"/>
      <c r="JQW212" s="1"/>
      <c r="JQX212" s="1"/>
      <c r="JQY212" s="1"/>
      <c r="JQZ212" s="1"/>
      <c r="JRA212" s="1"/>
      <c r="JRB212" s="1"/>
      <c r="JRC212" s="1"/>
      <c r="JRD212" s="1"/>
      <c r="JRE212" s="1"/>
      <c r="JRF212" s="1"/>
      <c r="JRG212" s="1"/>
      <c r="JRH212" s="1"/>
      <c r="JRI212" s="1"/>
      <c r="JRJ212" s="1"/>
      <c r="JRK212" s="1"/>
      <c r="JRL212" s="1"/>
      <c r="JRM212" s="1"/>
      <c r="JRN212" s="1"/>
      <c r="JRO212" s="1"/>
      <c r="JRP212" s="1"/>
      <c r="JRQ212" s="1"/>
      <c r="JRR212" s="1"/>
      <c r="JRS212" s="1"/>
      <c r="JRT212" s="1"/>
      <c r="JRU212" s="1"/>
      <c r="JRV212" s="1"/>
      <c r="JRW212" s="1"/>
      <c r="JRX212" s="1"/>
      <c r="JRY212" s="1"/>
      <c r="JRZ212" s="1"/>
      <c r="JSA212" s="1"/>
      <c r="JSB212" s="1"/>
      <c r="JSC212" s="1"/>
      <c r="JSD212" s="1"/>
      <c r="JSE212" s="1"/>
      <c r="JSF212" s="1"/>
      <c r="JSG212" s="1"/>
      <c r="JSH212" s="1"/>
      <c r="JSI212" s="1"/>
      <c r="JSJ212" s="1"/>
      <c r="JSK212" s="1"/>
      <c r="JSL212" s="1"/>
      <c r="JSM212" s="1"/>
      <c r="JSN212" s="1"/>
      <c r="JSO212" s="1"/>
      <c r="JSP212" s="1"/>
      <c r="JSQ212" s="1"/>
      <c r="JSR212" s="1"/>
      <c r="JSS212" s="1"/>
      <c r="JST212" s="1"/>
      <c r="JSU212" s="1"/>
      <c r="JSV212" s="1"/>
      <c r="JSW212" s="1"/>
      <c r="JSX212" s="1"/>
      <c r="JSY212" s="1"/>
      <c r="JSZ212" s="1"/>
      <c r="JTA212" s="1"/>
      <c r="JTB212" s="1"/>
      <c r="JTC212" s="1"/>
      <c r="JTD212" s="1"/>
      <c r="JTE212" s="1"/>
      <c r="JTF212" s="1"/>
      <c r="JTG212" s="1"/>
      <c r="JTH212" s="1"/>
      <c r="JTI212" s="1"/>
      <c r="JTJ212" s="1"/>
      <c r="JTK212" s="1"/>
      <c r="JTL212" s="1"/>
      <c r="JTM212" s="1"/>
      <c r="JTN212" s="1"/>
      <c r="JTO212" s="1"/>
      <c r="JTP212" s="1"/>
      <c r="JTQ212" s="1"/>
      <c r="JTR212" s="1"/>
      <c r="JTS212" s="1"/>
      <c r="JTT212" s="1"/>
      <c r="JTU212" s="1"/>
      <c r="JTV212" s="1"/>
      <c r="JTW212" s="1"/>
      <c r="JTX212" s="1"/>
      <c r="JTY212" s="1"/>
      <c r="JTZ212" s="1"/>
      <c r="JUA212" s="1"/>
      <c r="JUB212" s="1"/>
      <c r="JUC212" s="1"/>
      <c r="JUD212" s="1"/>
      <c r="JUE212" s="1"/>
      <c r="JUF212" s="1"/>
      <c r="JUG212" s="1"/>
      <c r="JUH212" s="1"/>
      <c r="JUI212" s="1"/>
      <c r="JUJ212" s="1"/>
      <c r="JUK212" s="1"/>
      <c r="JUL212" s="1"/>
      <c r="JUM212" s="1"/>
      <c r="JUN212" s="1"/>
      <c r="JUO212" s="1"/>
      <c r="JUP212" s="1"/>
      <c r="JUQ212" s="1"/>
      <c r="JUR212" s="1"/>
      <c r="JUS212" s="1"/>
      <c r="JUT212" s="1"/>
      <c r="JUU212" s="1"/>
      <c r="JUV212" s="1"/>
      <c r="JUW212" s="1"/>
      <c r="JUX212" s="1"/>
      <c r="JUY212" s="1"/>
      <c r="JUZ212" s="1"/>
      <c r="JVA212" s="1"/>
      <c r="JVB212" s="1"/>
      <c r="JVC212" s="1"/>
      <c r="JVD212" s="1"/>
      <c r="JVE212" s="1"/>
      <c r="JVF212" s="1"/>
      <c r="JVG212" s="1"/>
      <c r="JVH212" s="1"/>
      <c r="JVI212" s="1"/>
      <c r="JVJ212" s="1"/>
      <c r="JVK212" s="1"/>
      <c r="JVL212" s="1"/>
      <c r="JVM212" s="1"/>
      <c r="JVN212" s="1"/>
      <c r="JVO212" s="1"/>
      <c r="JVP212" s="1"/>
      <c r="JVQ212" s="1"/>
      <c r="JVR212" s="1"/>
      <c r="JVS212" s="1"/>
      <c r="JVT212" s="1"/>
      <c r="JVU212" s="1"/>
      <c r="JVV212" s="1"/>
      <c r="JVW212" s="1"/>
      <c r="JVX212" s="1"/>
      <c r="JVY212" s="1"/>
      <c r="JVZ212" s="1"/>
      <c r="JWA212" s="1"/>
      <c r="JWB212" s="1"/>
      <c r="JWC212" s="1"/>
      <c r="JWD212" s="1"/>
      <c r="JWE212" s="1"/>
      <c r="JWF212" s="1"/>
      <c r="JWG212" s="1"/>
      <c r="JWH212" s="1"/>
      <c r="JWI212" s="1"/>
      <c r="JWJ212" s="1"/>
      <c r="JWK212" s="1"/>
      <c r="JWL212" s="1"/>
      <c r="JWM212" s="1"/>
      <c r="JWN212" s="1"/>
      <c r="JWO212" s="1"/>
      <c r="JWP212" s="1"/>
      <c r="JWQ212" s="1"/>
      <c r="JWR212" s="1"/>
      <c r="JWS212" s="1"/>
      <c r="JWT212" s="1"/>
      <c r="JWU212" s="1"/>
      <c r="JWV212" s="1"/>
      <c r="JWW212" s="1"/>
      <c r="JWX212" s="1"/>
      <c r="JWY212" s="1"/>
      <c r="JWZ212" s="1"/>
      <c r="JXA212" s="1"/>
      <c r="JXB212" s="1"/>
      <c r="JXC212" s="1"/>
      <c r="JXD212" s="1"/>
      <c r="JXE212" s="1"/>
      <c r="JXF212" s="1"/>
      <c r="JXG212" s="1"/>
      <c r="JXH212" s="1"/>
      <c r="JXI212" s="1"/>
      <c r="JXJ212" s="1"/>
      <c r="JXK212" s="1"/>
      <c r="JXL212" s="1"/>
      <c r="JXM212" s="1"/>
      <c r="JXN212" s="1"/>
      <c r="JXO212" s="1"/>
      <c r="JXP212" s="1"/>
      <c r="JXQ212" s="1"/>
      <c r="JXR212" s="1"/>
      <c r="JXS212" s="1"/>
      <c r="JXT212" s="1"/>
      <c r="JXU212" s="1"/>
      <c r="JXV212" s="1"/>
      <c r="JXW212" s="1"/>
      <c r="JXX212" s="1"/>
      <c r="JXY212" s="1"/>
      <c r="JXZ212" s="1"/>
      <c r="JYA212" s="1"/>
      <c r="JYB212" s="1"/>
      <c r="JYC212" s="1"/>
      <c r="JYD212" s="1"/>
      <c r="JYE212" s="1"/>
      <c r="JYF212" s="1"/>
      <c r="JYG212" s="1"/>
      <c r="JYH212" s="1"/>
      <c r="JYI212" s="1"/>
      <c r="JYJ212" s="1"/>
      <c r="JYK212" s="1"/>
      <c r="JYL212" s="1"/>
      <c r="JYM212" s="1"/>
      <c r="JYN212" s="1"/>
      <c r="JYO212" s="1"/>
      <c r="JYP212" s="1"/>
      <c r="JYQ212" s="1"/>
      <c r="JYR212" s="1"/>
      <c r="JYS212" s="1"/>
      <c r="JYT212" s="1"/>
      <c r="JYU212" s="1"/>
      <c r="JYV212" s="1"/>
      <c r="JYW212" s="1"/>
      <c r="JYX212" s="1"/>
      <c r="JYY212" s="1"/>
      <c r="JYZ212" s="1"/>
      <c r="JZA212" s="1"/>
      <c r="JZB212" s="1"/>
      <c r="JZC212" s="1"/>
      <c r="JZD212" s="1"/>
      <c r="JZE212" s="1"/>
      <c r="JZF212" s="1"/>
      <c r="JZG212" s="1"/>
      <c r="JZH212" s="1"/>
      <c r="JZI212" s="1"/>
      <c r="JZJ212" s="1"/>
      <c r="JZK212" s="1"/>
      <c r="JZL212" s="1"/>
      <c r="JZM212" s="1"/>
      <c r="JZN212" s="1"/>
      <c r="JZO212" s="1"/>
      <c r="JZP212" s="1"/>
      <c r="JZQ212" s="1"/>
      <c r="JZR212" s="1"/>
      <c r="JZS212" s="1"/>
      <c r="JZT212" s="1"/>
      <c r="JZU212" s="1"/>
      <c r="JZV212" s="1"/>
      <c r="JZW212" s="1"/>
      <c r="JZX212" s="1"/>
      <c r="JZY212" s="1"/>
      <c r="JZZ212" s="1"/>
      <c r="KAA212" s="1"/>
      <c r="KAB212" s="1"/>
      <c r="KAC212" s="1"/>
      <c r="KAD212" s="1"/>
      <c r="KAE212" s="1"/>
      <c r="KAF212" s="1"/>
      <c r="KAG212" s="1"/>
      <c r="KAH212" s="1"/>
      <c r="KAI212" s="1"/>
      <c r="KAJ212" s="1"/>
      <c r="KAK212" s="1"/>
      <c r="KAL212" s="1"/>
      <c r="KAM212" s="1"/>
      <c r="KAN212" s="1"/>
      <c r="KAO212" s="1"/>
      <c r="KAP212" s="1"/>
      <c r="KAQ212" s="1"/>
      <c r="KAR212" s="1"/>
      <c r="KAS212" s="1"/>
      <c r="KAT212" s="1"/>
      <c r="KAU212" s="1"/>
      <c r="KAV212" s="1"/>
      <c r="KAW212" s="1"/>
      <c r="KAX212" s="1"/>
      <c r="KAY212" s="1"/>
      <c r="KAZ212" s="1"/>
      <c r="KBA212" s="1"/>
      <c r="KBB212" s="1"/>
      <c r="KBC212" s="1"/>
      <c r="KBD212" s="1"/>
      <c r="KBE212" s="1"/>
      <c r="KBF212" s="1"/>
      <c r="KBG212" s="1"/>
      <c r="KBH212" s="1"/>
      <c r="KBI212" s="1"/>
      <c r="KBJ212" s="1"/>
      <c r="KBK212" s="1"/>
      <c r="KBL212" s="1"/>
      <c r="KBM212" s="1"/>
      <c r="KBN212" s="1"/>
      <c r="KBO212" s="1"/>
      <c r="KBP212" s="1"/>
      <c r="KBQ212" s="1"/>
      <c r="KBR212" s="1"/>
      <c r="KBS212" s="1"/>
      <c r="KBT212" s="1"/>
      <c r="KBU212" s="1"/>
      <c r="KBV212" s="1"/>
      <c r="KBW212" s="1"/>
      <c r="KBX212" s="1"/>
      <c r="KBY212" s="1"/>
      <c r="KBZ212" s="1"/>
      <c r="KCA212" s="1"/>
      <c r="KCB212" s="1"/>
      <c r="KCC212" s="1"/>
      <c r="KCD212" s="1"/>
      <c r="KCE212" s="1"/>
      <c r="KCF212" s="1"/>
      <c r="KCG212" s="1"/>
      <c r="KCH212" s="1"/>
      <c r="KCI212" s="1"/>
      <c r="KCJ212" s="1"/>
      <c r="KCK212" s="1"/>
      <c r="KCL212" s="1"/>
      <c r="KCM212" s="1"/>
      <c r="KCN212" s="1"/>
      <c r="KCO212" s="1"/>
      <c r="KCP212" s="1"/>
      <c r="KCQ212" s="1"/>
      <c r="KCR212" s="1"/>
      <c r="KCS212" s="1"/>
      <c r="KCT212" s="1"/>
      <c r="KCU212" s="1"/>
      <c r="KCV212" s="1"/>
      <c r="KCW212" s="1"/>
      <c r="KCX212" s="1"/>
      <c r="KCY212" s="1"/>
      <c r="KCZ212" s="1"/>
      <c r="KDA212" s="1"/>
      <c r="KDB212" s="1"/>
      <c r="KDC212" s="1"/>
      <c r="KDD212" s="1"/>
      <c r="KDE212" s="1"/>
      <c r="KDF212" s="1"/>
      <c r="KDG212" s="1"/>
      <c r="KDH212" s="1"/>
      <c r="KDI212" s="1"/>
      <c r="KDJ212" s="1"/>
      <c r="KDK212" s="1"/>
      <c r="KDL212" s="1"/>
      <c r="KDM212" s="1"/>
      <c r="KDN212" s="1"/>
      <c r="KDO212" s="1"/>
      <c r="KDP212" s="1"/>
      <c r="KDQ212" s="1"/>
      <c r="KDR212" s="1"/>
      <c r="KDS212" s="1"/>
      <c r="KDT212" s="1"/>
      <c r="KDU212" s="1"/>
      <c r="KDV212" s="1"/>
      <c r="KDW212" s="1"/>
      <c r="KDX212" s="1"/>
      <c r="KDY212" s="1"/>
      <c r="KDZ212" s="1"/>
      <c r="KEA212" s="1"/>
      <c r="KEB212" s="1"/>
      <c r="KEC212" s="1"/>
      <c r="KED212" s="1"/>
      <c r="KEE212" s="1"/>
      <c r="KEF212" s="1"/>
      <c r="KEG212" s="1"/>
      <c r="KEH212" s="1"/>
      <c r="KEI212" s="1"/>
      <c r="KEJ212" s="1"/>
      <c r="KEK212" s="1"/>
      <c r="KEL212" s="1"/>
      <c r="KEM212" s="1"/>
      <c r="KEN212" s="1"/>
      <c r="KEO212" s="1"/>
      <c r="KEP212" s="1"/>
      <c r="KEQ212" s="1"/>
      <c r="KER212" s="1"/>
      <c r="KES212" s="1"/>
      <c r="KET212" s="1"/>
      <c r="KEU212" s="1"/>
      <c r="KEV212" s="1"/>
      <c r="KEW212" s="1"/>
      <c r="KEX212" s="1"/>
      <c r="KEY212" s="1"/>
      <c r="KEZ212" s="1"/>
      <c r="KFA212" s="1"/>
      <c r="KFB212" s="1"/>
      <c r="KFC212" s="1"/>
      <c r="KFD212" s="1"/>
      <c r="KFE212" s="1"/>
      <c r="KFF212" s="1"/>
      <c r="KFG212" s="1"/>
      <c r="KFH212" s="1"/>
      <c r="KFI212" s="1"/>
      <c r="KFJ212" s="1"/>
      <c r="KFK212" s="1"/>
      <c r="KFL212" s="1"/>
      <c r="KFM212" s="1"/>
      <c r="KFN212" s="1"/>
      <c r="KFO212" s="1"/>
      <c r="KFP212" s="1"/>
      <c r="KFQ212" s="1"/>
      <c r="KFR212" s="1"/>
      <c r="KFS212" s="1"/>
      <c r="KFT212" s="1"/>
      <c r="KFU212" s="1"/>
      <c r="KFV212" s="1"/>
      <c r="KFW212" s="1"/>
      <c r="KFX212" s="1"/>
      <c r="KFY212" s="1"/>
      <c r="KFZ212" s="1"/>
      <c r="KGA212" s="1"/>
      <c r="KGB212" s="1"/>
      <c r="KGC212" s="1"/>
      <c r="KGD212" s="1"/>
      <c r="KGE212" s="1"/>
      <c r="KGF212" s="1"/>
      <c r="KGG212" s="1"/>
      <c r="KGH212" s="1"/>
      <c r="KGI212" s="1"/>
      <c r="KGJ212" s="1"/>
      <c r="KGK212" s="1"/>
      <c r="KGL212" s="1"/>
      <c r="KGM212" s="1"/>
      <c r="KGN212" s="1"/>
      <c r="KGO212" s="1"/>
      <c r="KGP212" s="1"/>
      <c r="KGQ212" s="1"/>
      <c r="KGR212" s="1"/>
      <c r="KGS212" s="1"/>
      <c r="KGT212" s="1"/>
      <c r="KGU212" s="1"/>
      <c r="KGV212" s="1"/>
      <c r="KGW212" s="1"/>
      <c r="KGX212" s="1"/>
      <c r="KGY212" s="1"/>
      <c r="KGZ212" s="1"/>
      <c r="KHA212" s="1"/>
      <c r="KHB212" s="1"/>
      <c r="KHC212" s="1"/>
      <c r="KHD212" s="1"/>
      <c r="KHE212" s="1"/>
      <c r="KHF212" s="1"/>
      <c r="KHG212" s="1"/>
      <c r="KHH212" s="1"/>
      <c r="KHI212" s="1"/>
      <c r="KHJ212" s="1"/>
      <c r="KHK212" s="1"/>
      <c r="KHL212" s="1"/>
      <c r="KHM212" s="1"/>
      <c r="KHN212" s="1"/>
      <c r="KHO212" s="1"/>
      <c r="KHP212" s="1"/>
      <c r="KHQ212" s="1"/>
      <c r="KHR212" s="1"/>
      <c r="KHS212" s="1"/>
      <c r="KHT212" s="1"/>
      <c r="KHU212" s="1"/>
      <c r="KHV212" s="1"/>
      <c r="KHW212" s="1"/>
      <c r="KHX212" s="1"/>
      <c r="KHY212" s="1"/>
      <c r="KHZ212" s="1"/>
      <c r="KIA212" s="1"/>
      <c r="KIB212" s="1"/>
      <c r="KIC212" s="1"/>
      <c r="KID212" s="1"/>
      <c r="KIE212" s="1"/>
      <c r="KIF212" s="1"/>
      <c r="KIG212" s="1"/>
      <c r="KIH212" s="1"/>
      <c r="KII212" s="1"/>
      <c r="KIJ212" s="1"/>
      <c r="KIK212" s="1"/>
      <c r="KIL212" s="1"/>
      <c r="KIM212" s="1"/>
      <c r="KIN212" s="1"/>
      <c r="KIO212" s="1"/>
      <c r="KIP212" s="1"/>
      <c r="KIQ212" s="1"/>
      <c r="KIR212" s="1"/>
      <c r="KIS212" s="1"/>
      <c r="KIT212" s="1"/>
      <c r="KIU212" s="1"/>
      <c r="KIV212" s="1"/>
      <c r="KIW212" s="1"/>
      <c r="KIX212" s="1"/>
      <c r="KIY212" s="1"/>
      <c r="KIZ212" s="1"/>
      <c r="KJA212" s="1"/>
      <c r="KJB212" s="1"/>
      <c r="KJC212" s="1"/>
      <c r="KJD212" s="1"/>
      <c r="KJE212" s="1"/>
      <c r="KJF212" s="1"/>
      <c r="KJG212" s="1"/>
      <c r="KJH212" s="1"/>
      <c r="KJI212" s="1"/>
      <c r="KJJ212" s="1"/>
      <c r="KJK212" s="1"/>
      <c r="KJL212" s="1"/>
      <c r="KJM212" s="1"/>
      <c r="KJN212" s="1"/>
      <c r="KJO212" s="1"/>
      <c r="KJP212" s="1"/>
      <c r="KJQ212" s="1"/>
      <c r="KJR212" s="1"/>
      <c r="KJS212" s="1"/>
      <c r="KJT212" s="1"/>
      <c r="KJU212" s="1"/>
      <c r="KJV212" s="1"/>
      <c r="KJW212" s="1"/>
      <c r="KJX212" s="1"/>
      <c r="KJY212" s="1"/>
      <c r="KJZ212" s="1"/>
      <c r="KKA212" s="1"/>
      <c r="KKB212" s="1"/>
      <c r="KKC212" s="1"/>
      <c r="KKD212" s="1"/>
      <c r="KKE212" s="1"/>
      <c r="KKF212" s="1"/>
      <c r="KKG212" s="1"/>
      <c r="KKH212" s="1"/>
      <c r="KKI212" s="1"/>
      <c r="KKJ212" s="1"/>
      <c r="KKK212" s="1"/>
      <c r="KKL212" s="1"/>
      <c r="KKM212" s="1"/>
      <c r="KKN212" s="1"/>
      <c r="KKO212" s="1"/>
      <c r="KKP212" s="1"/>
      <c r="KKQ212" s="1"/>
      <c r="KKR212" s="1"/>
      <c r="KKS212" s="1"/>
      <c r="KKT212" s="1"/>
      <c r="KKU212" s="1"/>
      <c r="KKV212" s="1"/>
      <c r="KKW212" s="1"/>
      <c r="KKX212" s="1"/>
      <c r="KKY212" s="1"/>
      <c r="KKZ212" s="1"/>
      <c r="KLA212" s="1"/>
      <c r="KLB212" s="1"/>
      <c r="KLC212" s="1"/>
      <c r="KLD212" s="1"/>
      <c r="KLE212" s="1"/>
      <c r="KLF212" s="1"/>
      <c r="KLG212" s="1"/>
      <c r="KLH212" s="1"/>
      <c r="KLI212" s="1"/>
      <c r="KLJ212" s="1"/>
      <c r="KLK212" s="1"/>
      <c r="KLL212" s="1"/>
      <c r="KLM212" s="1"/>
      <c r="KLN212" s="1"/>
      <c r="KLO212" s="1"/>
      <c r="KLP212" s="1"/>
      <c r="KLQ212" s="1"/>
      <c r="KLR212" s="1"/>
      <c r="KLS212" s="1"/>
      <c r="KLT212" s="1"/>
      <c r="KLU212" s="1"/>
      <c r="KLV212" s="1"/>
      <c r="KLW212" s="1"/>
      <c r="KLX212" s="1"/>
      <c r="KLY212" s="1"/>
      <c r="KLZ212" s="1"/>
      <c r="KMA212" s="1"/>
      <c r="KMB212" s="1"/>
      <c r="KMC212" s="1"/>
      <c r="KMD212" s="1"/>
      <c r="KME212" s="1"/>
      <c r="KMF212" s="1"/>
      <c r="KMG212" s="1"/>
      <c r="KMH212" s="1"/>
      <c r="KMI212" s="1"/>
      <c r="KMJ212" s="1"/>
      <c r="KMK212" s="1"/>
      <c r="KML212" s="1"/>
      <c r="KMM212" s="1"/>
      <c r="KMN212" s="1"/>
      <c r="KMO212" s="1"/>
      <c r="KMP212" s="1"/>
      <c r="KMQ212" s="1"/>
      <c r="KMR212" s="1"/>
      <c r="KMS212" s="1"/>
      <c r="KMT212" s="1"/>
      <c r="KMU212" s="1"/>
      <c r="KMV212" s="1"/>
      <c r="KMW212" s="1"/>
      <c r="KMX212" s="1"/>
      <c r="KMY212" s="1"/>
      <c r="KMZ212" s="1"/>
      <c r="KNA212" s="1"/>
      <c r="KNB212" s="1"/>
      <c r="KNC212" s="1"/>
      <c r="KND212" s="1"/>
      <c r="KNE212" s="1"/>
      <c r="KNF212" s="1"/>
      <c r="KNG212" s="1"/>
      <c r="KNH212" s="1"/>
      <c r="KNI212" s="1"/>
      <c r="KNJ212" s="1"/>
      <c r="KNK212" s="1"/>
      <c r="KNL212" s="1"/>
      <c r="KNM212" s="1"/>
      <c r="KNN212" s="1"/>
      <c r="KNO212" s="1"/>
      <c r="KNP212" s="1"/>
      <c r="KNQ212" s="1"/>
      <c r="KNR212" s="1"/>
      <c r="KNS212" s="1"/>
      <c r="KNT212" s="1"/>
      <c r="KNU212" s="1"/>
      <c r="KNV212" s="1"/>
      <c r="KNW212" s="1"/>
      <c r="KNX212" s="1"/>
      <c r="KNY212" s="1"/>
      <c r="KNZ212" s="1"/>
      <c r="KOA212" s="1"/>
      <c r="KOB212" s="1"/>
      <c r="KOC212" s="1"/>
      <c r="KOD212" s="1"/>
      <c r="KOE212" s="1"/>
      <c r="KOF212" s="1"/>
      <c r="KOG212" s="1"/>
      <c r="KOH212" s="1"/>
      <c r="KOI212" s="1"/>
      <c r="KOJ212" s="1"/>
      <c r="KOK212" s="1"/>
      <c r="KOL212" s="1"/>
      <c r="KOM212" s="1"/>
      <c r="KON212" s="1"/>
      <c r="KOO212" s="1"/>
      <c r="KOP212" s="1"/>
      <c r="KOQ212" s="1"/>
      <c r="KOR212" s="1"/>
      <c r="KOS212" s="1"/>
      <c r="KOT212" s="1"/>
      <c r="KOU212" s="1"/>
      <c r="KOV212" s="1"/>
      <c r="KOW212" s="1"/>
      <c r="KOX212" s="1"/>
      <c r="KOY212" s="1"/>
      <c r="KOZ212" s="1"/>
      <c r="KPA212" s="1"/>
      <c r="KPB212" s="1"/>
      <c r="KPC212" s="1"/>
      <c r="KPD212" s="1"/>
      <c r="KPE212" s="1"/>
      <c r="KPF212" s="1"/>
      <c r="KPG212" s="1"/>
      <c r="KPH212" s="1"/>
      <c r="KPI212" s="1"/>
      <c r="KPJ212" s="1"/>
      <c r="KPK212" s="1"/>
      <c r="KPL212" s="1"/>
      <c r="KPM212" s="1"/>
      <c r="KPN212" s="1"/>
      <c r="KPO212" s="1"/>
      <c r="KPP212" s="1"/>
      <c r="KPQ212" s="1"/>
      <c r="KPR212" s="1"/>
      <c r="KPS212" s="1"/>
      <c r="KPT212" s="1"/>
      <c r="KPU212" s="1"/>
      <c r="KPV212" s="1"/>
      <c r="KPW212" s="1"/>
      <c r="KPX212" s="1"/>
      <c r="KPY212" s="1"/>
      <c r="KPZ212" s="1"/>
      <c r="KQA212" s="1"/>
      <c r="KQB212" s="1"/>
      <c r="KQC212" s="1"/>
      <c r="KQD212" s="1"/>
      <c r="KQE212" s="1"/>
      <c r="KQF212" s="1"/>
      <c r="KQG212" s="1"/>
      <c r="KQH212" s="1"/>
      <c r="KQI212" s="1"/>
      <c r="KQJ212" s="1"/>
      <c r="KQK212" s="1"/>
      <c r="KQL212" s="1"/>
      <c r="KQM212" s="1"/>
      <c r="KQN212" s="1"/>
      <c r="KQO212" s="1"/>
      <c r="KQP212" s="1"/>
      <c r="KQQ212" s="1"/>
      <c r="KQR212" s="1"/>
      <c r="KQS212" s="1"/>
      <c r="KQT212" s="1"/>
      <c r="KQU212" s="1"/>
      <c r="KQV212" s="1"/>
      <c r="KQW212" s="1"/>
      <c r="KQX212" s="1"/>
      <c r="KQY212" s="1"/>
      <c r="KQZ212" s="1"/>
      <c r="KRA212" s="1"/>
      <c r="KRB212" s="1"/>
      <c r="KRC212" s="1"/>
      <c r="KRD212" s="1"/>
      <c r="KRE212" s="1"/>
      <c r="KRF212" s="1"/>
      <c r="KRG212" s="1"/>
      <c r="KRH212" s="1"/>
      <c r="KRI212" s="1"/>
      <c r="KRJ212" s="1"/>
      <c r="KRK212" s="1"/>
      <c r="KRL212" s="1"/>
      <c r="KRM212" s="1"/>
      <c r="KRN212" s="1"/>
      <c r="KRO212" s="1"/>
      <c r="KRP212" s="1"/>
      <c r="KRQ212" s="1"/>
      <c r="KRR212" s="1"/>
      <c r="KRS212" s="1"/>
      <c r="KRT212" s="1"/>
      <c r="KRU212" s="1"/>
      <c r="KRV212" s="1"/>
      <c r="KRW212" s="1"/>
      <c r="KRX212" s="1"/>
      <c r="KRY212" s="1"/>
      <c r="KRZ212" s="1"/>
      <c r="KSA212" s="1"/>
      <c r="KSB212" s="1"/>
      <c r="KSC212" s="1"/>
      <c r="KSD212" s="1"/>
      <c r="KSE212" s="1"/>
      <c r="KSF212" s="1"/>
      <c r="KSG212" s="1"/>
      <c r="KSH212" s="1"/>
      <c r="KSI212" s="1"/>
      <c r="KSJ212" s="1"/>
      <c r="KSK212" s="1"/>
      <c r="KSL212" s="1"/>
      <c r="KSM212" s="1"/>
      <c r="KSN212" s="1"/>
      <c r="KSO212" s="1"/>
      <c r="KSP212" s="1"/>
      <c r="KSQ212" s="1"/>
      <c r="KSR212" s="1"/>
      <c r="KSS212" s="1"/>
      <c r="KST212" s="1"/>
      <c r="KSU212" s="1"/>
      <c r="KSV212" s="1"/>
      <c r="KSW212" s="1"/>
      <c r="KSX212" s="1"/>
      <c r="KSY212" s="1"/>
      <c r="KSZ212" s="1"/>
      <c r="KTA212" s="1"/>
      <c r="KTB212" s="1"/>
      <c r="KTC212" s="1"/>
      <c r="KTD212" s="1"/>
      <c r="KTE212" s="1"/>
      <c r="KTF212" s="1"/>
      <c r="KTG212" s="1"/>
      <c r="KTH212" s="1"/>
      <c r="KTI212" s="1"/>
      <c r="KTJ212" s="1"/>
      <c r="KTK212" s="1"/>
      <c r="KTL212" s="1"/>
      <c r="KTM212" s="1"/>
      <c r="KTN212" s="1"/>
      <c r="KTO212" s="1"/>
      <c r="KTP212" s="1"/>
      <c r="KTQ212" s="1"/>
      <c r="KTR212" s="1"/>
      <c r="KTS212" s="1"/>
      <c r="KTT212" s="1"/>
      <c r="KTU212" s="1"/>
      <c r="KTV212" s="1"/>
      <c r="KTW212" s="1"/>
      <c r="KTX212" s="1"/>
      <c r="KTY212" s="1"/>
      <c r="KTZ212" s="1"/>
      <c r="KUA212" s="1"/>
      <c r="KUB212" s="1"/>
      <c r="KUC212" s="1"/>
      <c r="KUD212" s="1"/>
      <c r="KUE212" s="1"/>
      <c r="KUF212" s="1"/>
      <c r="KUG212" s="1"/>
      <c r="KUH212" s="1"/>
      <c r="KUI212" s="1"/>
      <c r="KUJ212" s="1"/>
      <c r="KUK212" s="1"/>
      <c r="KUL212" s="1"/>
      <c r="KUM212" s="1"/>
      <c r="KUN212" s="1"/>
      <c r="KUO212" s="1"/>
      <c r="KUP212" s="1"/>
      <c r="KUQ212" s="1"/>
      <c r="KUR212" s="1"/>
      <c r="KUS212" s="1"/>
      <c r="KUT212" s="1"/>
      <c r="KUU212" s="1"/>
      <c r="KUV212" s="1"/>
      <c r="KUW212" s="1"/>
      <c r="KUX212" s="1"/>
      <c r="KUY212" s="1"/>
      <c r="KUZ212" s="1"/>
      <c r="KVA212" s="1"/>
      <c r="KVB212" s="1"/>
      <c r="KVC212" s="1"/>
      <c r="KVD212" s="1"/>
      <c r="KVE212" s="1"/>
      <c r="KVF212" s="1"/>
      <c r="KVG212" s="1"/>
      <c r="KVH212" s="1"/>
      <c r="KVI212" s="1"/>
      <c r="KVJ212" s="1"/>
      <c r="KVK212" s="1"/>
      <c r="KVL212" s="1"/>
      <c r="KVM212" s="1"/>
      <c r="KVN212" s="1"/>
      <c r="KVO212" s="1"/>
      <c r="KVP212" s="1"/>
      <c r="KVQ212" s="1"/>
      <c r="KVR212" s="1"/>
      <c r="KVS212" s="1"/>
      <c r="KVT212" s="1"/>
      <c r="KVU212" s="1"/>
      <c r="KVV212" s="1"/>
      <c r="KVW212" s="1"/>
      <c r="KVX212" s="1"/>
      <c r="KVY212" s="1"/>
      <c r="KVZ212" s="1"/>
      <c r="KWA212" s="1"/>
      <c r="KWB212" s="1"/>
      <c r="KWC212" s="1"/>
      <c r="KWD212" s="1"/>
      <c r="KWE212" s="1"/>
      <c r="KWF212" s="1"/>
      <c r="KWG212" s="1"/>
      <c r="KWH212" s="1"/>
      <c r="KWI212" s="1"/>
      <c r="KWJ212" s="1"/>
      <c r="KWK212" s="1"/>
      <c r="KWL212" s="1"/>
      <c r="KWM212" s="1"/>
      <c r="KWN212" s="1"/>
      <c r="KWO212" s="1"/>
      <c r="KWP212" s="1"/>
      <c r="KWQ212" s="1"/>
      <c r="KWR212" s="1"/>
      <c r="KWS212" s="1"/>
      <c r="KWT212" s="1"/>
      <c r="KWU212" s="1"/>
      <c r="KWV212" s="1"/>
      <c r="KWW212" s="1"/>
      <c r="KWX212" s="1"/>
      <c r="KWY212" s="1"/>
      <c r="KWZ212" s="1"/>
      <c r="KXA212" s="1"/>
      <c r="KXB212" s="1"/>
      <c r="KXC212" s="1"/>
      <c r="KXD212" s="1"/>
      <c r="KXE212" s="1"/>
      <c r="KXF212" s="1"/>
      <c r="KXG212" s="1"/>
      <c r="KXH212" s="1"/>
      <c r="KXI212" s="1"/>
      <c r="KXJ212" s="1"/>
      <c r="KXK212" s="1"/>
      <c r="KXL212" s="1"/>
      <c r="KXM212" s="1"/>
      <c r="KXN212" s="1"/>
      <c r="KXO212" s="1"/>
      <c r="KXP212" s="1"/>
      <c r="KXQ212" s="1"/>
      <c r="KXR212" s="1"/>
      <c r="KXS212" s="1"/>
      <c r="KXT212" s="1"/>
      <c r="KXU212" s="1"/>
      <c r="KXV212" s="1"/>
      <c r="KXW212" s="1"/>
      <c r="KXX212" s="1"/>
      <c r="KXY212" s="1"/>
      <c r="KXZ212" s="1"/>
      <c r="KYA212" s="1"/>
      <c r="KYB212" s="1"/>
      <c r="KYC212" s="1"/>
      <c r="KYD212" s="1"/>
      <c r="KYE212" s="1"/>
      <c r="KYF212" s="1"/>
      <c r="KYG212" s="1"/>
      <c r="KYH212" s="1"/>
      <c r="KYI212" s="1"/>
      <c r="KYJ212" s="1"/>
      <c r="KYK212" s="1"/>
      <c r="KYL212" s="1"/>
      <c r="KYM212" s="1"/>
      <c r="KYN212" s="1"/>
      <c r="KYO212" s="1"/>
      <c r="KYP212" s="1"/>
      <c r="KYQ212" s="1"/>
      <c r="KYR212" s="1"/>
      <c r="KYS212" s="1"/>
      <c r="KYT212" s="1"/>
      <c r="KYU212" s="1"/>
      <c r="KYV212" s="1"/>
      <c r="KYW212" s="1"/>
      <c r="KYX212" s="1"/>
      <c r="KYY212" s="1"/>
      <c r="KYZ212" s="1"/>
      <c r="KZA212" s="1"/>
      <c r="KZB212" s="1"/>
      <c r="KZC212" s="1"/>
      <c r="KZD212" s="1"/>
      <c r="KZE212" s="1"/>
      <c r="KZF212" s="1"/>
      <c r="KZG212" s="1"/>
      <c r="KZH212" s="1"/>
      <c r="KZI212" s="1"/>
      <c r="KZJ212" s="1"/>
      <c r="KZK212" s="1"/>
      <c r="KZL212" s="1"/>
      <c r="KZM212" s="1"/>
      <c r="KZN212" s="1"/>
      <c r="KZO212" s="1"/>
      <c r="KZP212" s="1"/>
      <c r="KZQ212" s="1"/>
      <c r="KZR212" s="1"/>
      <c r="KZS212" s="1"/>
      <c r="KZT212" s="1"/>
      <c r="KZU212" s="1"/>
      <c r="KZV212" s="1"/>
      <c r="KZW212" s="1"/>
      <c r="KZX212" s="1"/>
      <c r="KZY212" s="1"/>
      <c r="KZZ212" s="1"/>
      <c r="LAA212" s="1"/>
      <c r="LAB212" s="1"/>
      <c r="LAC212" s="1"/>
      <c r="LAD212" s="1"/>
      <c r="LAE212" s="1"/>
      <c r="LAF212" s="1"/>
      <c r="LAG212" s="1"/>
      <c r="LAH212" s="1"/>
      <c r="LAI212" s="1"/>
      <c r="LAJ212" s="1"/>
      <c r="LAK212" s="1"/>
      <c r="LAL212" s="1"/>
      <c r="LAM212" s="1"/>
      <c r="LAN212" s="1"/>
      <c r="LAO212" s="1"/>
      <c r="LAP212" s="1"/>
      <c r="LAQ212" s="1"/>
      <c r="LAR212" s="1"/>
      <c r="LAS212" s="1"/>
      <c r="LAT212" s="1"/>
      <c r="LAU212" s="1"/>
      <c r="LAV212" s="1"/>
      <c r="LAW212" s="1"/>
      <c r="LAX212" s="1"/>
      <c r="LAY212" s="1"/>
      <c r="LAZ212" s="1"/>
      <c r="LBA212" s="1"/>
      <c r="LBB212" s="1"/>
      <c r="LBC212" s="1"/>
      <c r="LBD212" s="1"/>
      <c r="LBE212" s="1"/>
      <c r="LBF212" s="1"/>
      <c r="LBG212" s="1"/>
      <c r="LBH212" s="1"/>
      <c r="LBI212" s="1"/>
      <c r="LBJ212" s="1"/>
      <c r="LBK212" s="1"/>
      <c r="LBL212" s="1"/>
      <c r="LBM212" s="1"/>
      <c r="LBN212" s="1"/>
      <c r="LBO212" s="1"/>
      <c r="LBP212" s="1"/>
      <c r="LBQ212" s="1"/>
      <c r="LBR212" s="1"/>
      <c r="LBS212" s="1"/>
      <c r="LBT212" s="1"/>
      <c r="LBU212" s="1"/>
      <c r="LBV212" s="1"/>
      <c r="LBW212" s="1"/>
      <c r="LBX212" s="1"/>
      <c r="LBY212" s="1"/>
      <c r="LBZ212" s="1"/>
      <c r="LCA212" s="1"/>
      <c r="LCB212" s="1"/>
      <c r="LCC212" s="1"/>
      <c r="LCD212" s="1"/>
      <c r="LCE212" s="1"/>
      <c r="LCF212" s="1"/>
      <c r="LCG212" s="1"/>
      <c r="LCH212" s="1"/>
      <c r="LCI212" s="1"/>
      <c r="LCJ212" s="1"/>
      <c r="LCK212" s="1"/>
      <c r="LCL212" s="1"/>
      <c r="LCM212" s="1"/>
      <c r="LCN212" s="1"/>
      <c r="LCO212" s="1"/>
      <c r="LCP212" s="1"/>
      <c r="LCQ212" s="1"/>
      <c r="LCR212" s="1"/>
      <c r="LCS212" s="1"/>
      <c r="LCT212" s="1"/>
      <c r="LCU212" s="1"/>
      <c r="LCV212" s="1"/>
      <c r="LCW212" s="1"/>
      <c r="LCX212" s="1"/>
      <c r="LCY212" s="1"/>
      <c r="LCZ212" s="1"/>
      <c r="LDA212" s="1"/>
      <c r="LDB212" s="1"/>
      <c r="LDC212" s="1"/>
      <c r="LDD212" s="1"/>
      <c r="LDE212" s="1"/>
      <c r="LDF212" s="1"/>
      <c r="LDG212" s="1"/>
      <c r="LDH212" s="1"/>
      <c r="LDI212" s="1"/>
      <c r="LDJ212" s="1"/>
      <c r="LDK212" s="1"/>
      <c r="LDL212" s="1"/>
      <c r="LDM212" s="1"/>
      <c r="LDN212" s="1"/>
      <c r="LDO212" s="1"/>
      <c r="LDP212" s="1"/>
      <c r="LDQ212" s="1"/>
      <c r="LDR212" s="1"/>
      <c r="LDS212" s="1"/>
      <c r="LDT212" s="1"/>
      <c r="LDU212" s="1"/>
      <c r="LDV212" s="1"/>
      <c r="LDW212" s="1"/>
      <c r="LDX212" s="1"/>
      <c r="LDY212" s="1"/>
      <c r="LDZ212" s="1"/>
      <c r="LEA212" s="1"/>
      <c r="LEB212" s="1"/>
      <c r="LEC212" s="1"/>
      <c r="LED212" s="1"/>
      <c r="LEE212" s="1"/>
      <c r="LEF212" s="1"/>
      <c r="LEG212" s="1"/>
      <c r="LEH212" s="1"/>
      <c r="LEI212" s="1"/>
      <c r="LEJ212" s="1"/>
      <c r="LEK212" s="1"/>
      <c r="LEL212" s="1"/>
      <c r="LEM212" s="1"/>
      <c r="LEN212" s="1"/>
      <c r="LEO212" s="1"/>
      <c r="LEP212" s="1"/>
      <c r="LEQ212" s="1"/>
      <c r="LER212" s="1"/>
      <c r="LES212" s="1"/>
      <c r="LET212" s="1"/>
      <c r="LEU212" s="1"/>
      <c r="LEV212" s="1"/>
      <c r="LEW212" s="1"/>
      <c r="LEX212" s="1"/>
      <c r="LEY212" s="1"/>
      <c r="LEZ212" s="1"/>
      <c r="LFA212" s="1"/>
      <c r="LFB212" s="1"/>
      <c r="LFC212" s="1"/>
      <c r="LFD212" s="1"/>
      <c r="LFE212" s="1"/>
      <c r="LFF212" s="1"/>
      <c r="LFG212" s="1"/>
      <c r="LFH212" s="1"/>
      <c r="LFI212" s="1"/>
      <c r="LFJ212" s="1"/>
      <c r="LFK212" s="1"/>
      <c r="LFL212" s="1"/>
      <c r="LFM212" s="1"/>
      <c r="LFN212" s="1"/>
      <c r="LFO212" s="1"/>
      <c r="LFP212" s="1"/>
      <c r="LFQ212" s="1"/>
      <c r="LFR212" s="1"/>
      <c r="LFS212" s="1"/>
      <c r="LFT212" s="1"/>
      <c r="LFU212" s="1"/>
      <c r="LFV212" s="1"/>
      <c r="LFW212" s="1"/>
      <c r="LFX212" s="1"/>
      <c r="LFY212" s="1"/>
      <c r="LFZ212" s="1"/>
      <c r="LGA212" s="1"/>
      <c r="LGB212" s="1"/>
      <c r="LGC212" s="1"/>
      <c r="LGD212" s="1"/>
      <c r="LGE212" s="1"/>
      <c r="LGF212" s="1"/>
      <c r="LGG212" s="1"/>
      <c r="LGH212" s="1"/>
      <c r="LGI212" s="1"/>
      <c r="LGJ212" s="1"/>
      <c r="LGK212" s="1"/>
      <c r="LGL212" s="1"/>
      <c r="LGM212" s="1"/>
      <c r="LGN212" s="1"/>
      <c r="LGO212" s="1"/>
      <c r="LGP212" s="1"/>
      <c r="LGQ212" s="1"/>
      <c r="LGR212" s="1"/>
      <c r="LGS212" s="1"/>
      <c r="LGT212" s="1"/>
      <c r="LGU212" s="1"/>
      <c r="LGV212" s="1"/>
      <c r="LGW212" s="1"/>
      <c r="LGX212" s="1"/>
      <c r="LGY212" s="1"/>
      <c r="LGZ212" s="1"/>
      <c r="LHA212" s="1"/>
      <c r="LHB212" s="1"/>
      <c r="LHC212" s="1"/>
      <c r="LHD212" s="1"/>
      <c r="LHE212" s="1"/>
      <c r="LHF212" s="1"/>
      <c r="LHG212" s="1"/>
      <c r="LHH212" s="1"/>
      <c r="LHI212" s="1"/>
      <c r="LHJ212" s="1"/>
      <c r="LHK212" s="1"/>
      <c r="LHL212" s="1"/>
      <c r="LHM212" s="1"/>
      <c r="LHN212" s="1"/>
      <c r="LHO212" s="1"/>
      <c r="LHP212" s="1"/>
      <c r="LHQ212" s="1"/>
      <c r="LHR212" s="1"/>
      <c r="LHS212" s="1"/>
      <c r="LHT212" s="1"/>
      <c r="LHU212" s="1"/>
      <c r="LHV212" s="1"/>
      <c r="LHW212" s="1"/>
      <c r="LHX212" s="1"/>
      <c r="LHY212" s="1"/>
      <c r="LHZ212" s="1"/>
      <c r="LIA212" s="1"/>
      <c r="LIB212" s="1"/>
      <c r="LIC212" s="1"/>
      <c r="LID212" s="1"/>
      <c r="LIE212" s="1"/>
      <c r="LIF212" s="1"/>
      <c r="LIG212" s="1"/>
      <c r="LIH212" s="1"/>
      <c r="LII212" s="1"/>
      <c r="LIJ212" s="1"/>
      <c r="LIK212" s="1"/>
      <c r="LIL212" s="1"/>
      <c r="LIM212" s="1"/>
      <c r="LIN212" s="1"/>
      <c r="LIO212" s="1"/>
      <c r="LIP212" s="1"/>
      <c r="LIQ212" s="1"/>
      <c r="LIR212" s="1"/>
      <c r="LIS212" s="1"/>
      <c r="LIT212" s="1"/>
      <c r="LIU212" s="1"/>
      <c r="LIV212" s="1"/>
      <c r="LIW212" s="1"/>
      <c r="LIX212" s="1"/>
      <c r="LIY212" s="1"/>
      <c r="LIZ212" s="1"/>
      <c r="LJA212" s="1"/>
      <c r="LJB212" s="1"/>
      <c r="LJC212" s="1"/>
      <c r="LJD212" s="1"/>
      <c r="LJE212" s="1"/>
      <c r="LJF212" s="1"/>
      <c r="LJG212" s="1"/>
      <c r="LJH212" s="1"/>
      <c r="LJI212" s="1"/>
      <c r="LJJ212" s="1"/>
      <c r="LJK212" s="1"/>
      <c r="LJL212" s="1"/>
      <c r="LJM212" s="1"/>
      <c r="LJN212" s="1"/>
      <c r="LJO212" s="1"/>
      <c r="LJP212" s="1"/>
      <c r="LJQ212" s="1"/>
      <c r="LJR212" s="1"/>
      <c r="LJS212" s="1"/>
      <c r="LJT212" s="1"/>
      <c r="LJU212" s="1"/>
      <c r="LJV212" s="1"/>
      <c r="LJW212" s="1"/>
      <c r="LJX212" s="1"/>
      <c r="LJY212" s="1"/>
      <c r="LJZ212" s="1"/>
      <c r="LKA212" s="1"/>
      <c r="LKB212" s="1"/>
      <c r="LKC212" s="1"/>
      <c r="LKD212" s="1"/>
      <c r="LKE212" s="1"/>
      <c r="LKF212" s="1"/>
      <c r="LKG212" s="1"/>
      <c r="LKH212" s="1"/>
      <c r="LKI212" s="1"/>
      <c r="LKJ212" s="1"/>
      <c r="LKK212" s="1"/>
      <c r="LKL212" s="1"/>
      <c r="LKM212" s="1"/>
      <c r="LKN212" s="1"/>
      <c r="LKO212" s="1"/>
      <c r="LKP212" s="1"/>
      <c r="LKQ212" s="1"/>
      <c r="LKR212" s="1"/>
      <c r="LKS212" s="1"/>
      <c r="LKT212" s="1"/>
      <c r="LKU212" s="1"/>
      <c r="LKV212" s="1"/>
      <c r="LKW212" s="1"/>
      <c r="LKX212" s="1"/>
      <c r="LKY212" s="1"/>
      <c r="LKZ212" s="1"/>
      <c r="LLA212" s="1"/>
      <c r="LLB212" s="1"/>
      <c r="LLC212" s="1"/>
      <c r="LLD212" s="1"/>
      <c r="LLE212" s="1"/>
      <c r="LLF212" s="1"/>
      <c r="LLG212" s="1"/>
      <c r="LLH212" s="1"/>
      <c r="LLI212" s="1"/>
      <c r="LLJ212" s="1"/>
      <c r="LLK212" s="1"/>
      <c r="LLL212" s="1"/>
      <c r="LLM212" s="1"/>
      <c r="LLN212" s="1"/>
      <c r="LLO212" s="1"/>
      <c r="LLP212" s="1"/>
      <c r="LLQ212" s="1"/>
      <c r="LLR212" s="1"/>
      <c r="LLS212" s="1"/>
      <c r="LLT212" s="1"/>
      <c r="LLU212" s="1"/>
      <c r="LLV212" s="1"/>
      <c r="LLW212" s="1"/>
      <c r="LLX212" s="1"/>
      <c r="LLY212" s="1"/>
      <c r="LLZ212" s="1"/>
      <c r="LMA212" s="1"/>
      <c r="LMB212" s="1"/>
      <c r="LMC212" s="1"/>
      <c r="LMD212" s="1"/>
      <c r="LME212" s="1"/>
      <c r="LMF212" s="1"/>
      <c r="LMG212" s="1"/>
      <c r="LMH212" s="1"/>
      <c r="LMI212" s="1"/>
      <c r="LMJ212" s="1"/>
      <c r="LMK212" s="1"/>
      <c r="LML212" s="1"/>
      <c r="LMM212" s="1"/>
      <c r="LMN212" s="1"/>
      <c r="LMO212" s="1"/>
      <c r="LMP212" s="1"/>
      <c r="LMQ212" s="1"/>
      <c r="LMR212" s="1"/>
      <c r="LMS212" s="1"/>
      <c r="LMT212" s="1"/>
      <c r="LMU212" s="1"/>
      <c r="LMV212" s="1"/>
      <c r="LMW212" s="1"/>
      <c r="LMX212" s="1"/>
      <c r="LMY212" s="1"/>
      <c r="LMZ212" s="1"/>
      <c r="LNA212" s="1"/>
      <c r="LNB212" s="1"/>
      <c r="LNC212" s="1"/>
      <c r="LND212" s="1"/>
      <c r="LNE212" s="1"/>
      <c r="LNF212" s="1"/>
      <c r="LNG212" s="1"/>
      <c r="LNH212" s="1"/>
      <c r="LNI212" s="1"/>
      <c r="LNJ212" s="1"/>
      <c r="LNK212" s="1"/>
      <c r="LNL212" s="1"/>
      <c r="LNM212" s="1"/>
      <c r="LNN212" s="1"/>
      <c r="LNO212" s="1"/>
      <c r="LNP212" s="1"/>
      <c r="LNQ212" s="1"/>
      <c r="LNR212" s="1"/>
      <c r="LNS212" s="1"/>
      <c r="LNT212" s="1"/>
      <c r="LNU212" s="1"/>
      <c r="LNV212" s="1"/>
      <c r="LNW212" s="1"/>
      <c r="LNX212" s="1"/>
      <c r="LNY212" s="1"/>
      <c r="LNZ212" s="1"/>
      <c r="LOA212" s="1"/>
      <c r="LOB212" s="1"/>
      <c r="LOC212" s="1"/>
      <c r="LOD212" s="1"/>
      <c r="LOE212" s="1"/>
      <c r="LOF212" s="1"/>
      <c r="LOG212" s="1"/>
      <c r="LOH212" s="1"/>
      <c r="LOI212" s="1"/>
      <c r="LOJ212" s="1"/>
      <c r="LOK212" s="1"/>
      <c r="LOL212" s="1"/>
      <c r="LOM212" s="1"/>
      <c r="LON212" s="1"/>
      <c r="LOO212" s="1"/>
      <c r="LOP212" s="1"/>
      <c r="LOQ212" s="1"/>
      <c r="LOR212" s="1"/>
      <c r="LOS212" s="1"/>
      <c r="LOT212" s="1"/>
      <c r="LOU212" s="1"/>
      <c r="LOV212" s="1"/>
      <c r="LOW212" s="1"/>
      <c r="LOX212" s="1"/>
      <c r="LOY212" s="1"/>
      <c r="LOZ212" s="1"/>
      <c r="LPA212" s="1"/>
      <c r="LPB212" s="1"/>
      <c r="LPC212" s="1"/>
      <c r="LPD212" s="1"/>
      <c r="LPE212" s="1"/>
      <c r="LPF212" s="1"/>
      <c r="LPG212" s="1"/>
      <c r="LPH212" s="1"/>
      <c r="LPI212" s="1"/>
      <c r="LPJ212" s="1"/>
      <c r="LPK212" s="1"/>
      <c r="LPL212" s="1"/>
      <c r="LPM212" s="1"/>
      <c r="LPN212" s="1"/>
      <c r="LPO212" s="1"/>
      <c r="LPP212" s="1"/>
      <c r="LPQ212" s="1"/>
      <c r="LPR212" s="1"/>
      <c r="LPS212" s="1"/>
      <c r="LPT212" s="1"/>
      <c r="LPU212" s="1"/>
      <c r="LPV212" s="1"/>
      <c r="LPW212" s="1"/>
      <c r="LPX212" s="1"/>
      <c r="LPY212" s="1"/>
      <c r="LPZ212" s="1"/>
      <c r="LQA212" s="1"/>
      <c r="LQB212" s="1"/>
      <c r="LQC212" s="1"/>
      <c r="LQD212" s="1"/>
      <c r="LQE212" s="1"/>
      <c r="LQF212" s="1"/>
      <c r="LQG212" s="1"/>
      <c r="LQH212" s="1"/>
      <c r="LQI212" s="1"/>
      <c r="LQJ212" s="1"/>
      <c r="LQK212" s="1"/>
      <c r="LQL212" s="1"/>
      <c r="LQM212" s="1"/>
      <c r="LQN212" s="1"/>
      <c r="LQO212" s="1"/>
      <c r="LQP212" s="1"/>
      <c r="LQQ212" s="1"/>
      <c r="LQR212" s="1"/>
      <c r="LQS212" s="1"/>
      <c r="LQT212" s="1"/>
      <c r="LQU212" s="1"/>
      <c r="LQV212" s="1"/>
      <c r="LQW212" s="1"/>
      <c r="LQX212" s="1"/>
      <c r="LQY212" s="1"/>
      <c r="LQZ212" s="1"/>
      <c r="LRA212" s="1"/>
      <c r="LRB212" s="1"/>
      <c r="LRC212" s="1"/>
      <c r="LRD212" s="1"/>
      <c r="LRE212" s="1"/>
      <c r="LRF212" s="1"/>
      <c r="LRG212" s="1"/>
      <c r="LRH212" s="1"/>
      <c r="LRI212" s="1"/>
      <c r="LRJ212" s="1"/>
      <c r="LRK212" s="1"/>
      <c r="LRL212" s="1"/>
      <c r="LRM212" s="1"/>
      <c r="LRN212" s="1"/>
      <c r="LRO212" s="1"/>
      <c r="LRP212" s="1"/>
      <c r="LRQ212" s="1"/>
      <c r="LRR212" s="1"/>
      <c r="LRS212" s="1"/>
      <c r="LRT212" s="1"/>
      <c r="LRU212" s="1"/>
      <c r="LRV212" s="1"/>
      <c r="LRW212" s="1"/>
      <c r="LRX212" s="1"/>
      <c r="LRY212" s="1"/>
      <c r="LRZ212" s="1"/>
      <c r="LSA212" s="1"/>
      <c r="LSB212" s="1"/>
      <c r="LSC212" s="1"/>
      <c r="LSD212" s="1"/>
      <c r="LSE212" s="1"/>
      <c r="LSF212" s="1"/>
      <c r="LSG212" s="1"/>
      <c r="LSH212" s="1"/>
      <c r="LSI212" s="1"/>
      <c r="LSJ212" s="1"/>
      <c r="LSK212" s="1"/>
      <c r="LSL212" s="1"/>
      <c r="LSM212" s="1"/>
      <c r="LSN212" s="1"/>
      <c r="LSO212" s="1"/>
      <c r="LSP212" s="1"/>
      <c r="LSQ212" s="1"/>
      <c r="LSR212" s="1"/>
      <c r="LSS212" s="1"/>
      <c r="LST212" s="1"/>
      <c r="LSU212" s="1"/>
      <c r="LSV212" s="1"/>
      <c r="LSW212" s="1"/>
      <c r="LSX212" s="1"/>
      <c r="LSY212" s="1"/>
      <c r="LSZ212" s="1"/>
      <c r="LTA212" s="1"/>
      <c r="LTB212" s="1"/>
      <c r="LTC212" s="1"/>
      <c r="LTD212" s="1"/>
      <c r="LTE212" s="1"/>
      <c r="LTF212" s="1"/>
      <c r="LTG212" s="1"/>
      <c r="LTH212" s="1"/>
      <c r="LTI212" s="1"/>
      <c r="LTJ212" s="1"/>
      <c r="LTK212" s="1"/>
      <c r="LTL212" s="1"/>
      <c r="LTM212" s="1"/>
      <c r="LTN212" s="1"/>
      <c r="LTO212" s="1"/>
      <c r="LTP212" s="1"/>
      <c r="LTQ212" s="1"/>
      <c r="LTR212" s="1"/>
      <c r="LTS212" s="1"/>
      <c r="LTT212" s="1"/>
      <c r="LTU212" s="1"/>
      <c r="LTV212" s="1"/>
      <c r="LTW212" s="1"/>
      <c r="LTX212" s="1"/>
      <c r="LTY212" s="1"/>
      <c r="LTZ212" s="1"/>
      <c r="LUA212" s="1"/>
      <c r="LUB212" s="1"/>
      <c r="LUC212" s="1"/>
      <c r="LUD212" s="1"/>
      <c r="LUE212" s="1"/>
      <c r="LUF212" s="1"/>
      <c r="LUG212" s="1"/>
      <c r="LUH212" s="1"/>
      <c r="LUI212" s="1"/>
      <c r="LUJ212" s="1"/>
      <c r="LUK212" s="1"/>
      <c r="LUL212" s="1"/>
      <c r="LUM212" s="1"/>
      <c r="LUN212" s="1"/>
      <c r="LUO212" s="1"/>
      <c r="LUP212" s="1"/>
      <c r="LUQ212" s="1"/>
      <c r="LUR212" s="1"/>
      <c r="LUS212" s="1"/>
      <c r="LUT212" s="1"/>
      <c r="LUU212" s="1"/>
      <c r="LUV212" s="1"/>
      <c r="LUW212" s="1"/>
      <c r="LUX212" s="1"/>
      <c r="LUY212" s="1"/>
      <c r="LUZ212" s="1"/>
      <c r="LVA212" s="1"/>
      <c r="LVB212" s="1"/>
      <c r="LVC212" s="1"/>
      <c r="LVD212" s="1"/>
      <c r="LVE212" s="1"/>
      <c r="LVF212" s="1"/>
      <c r="LVG212" s="1"/>
      <c r="LVH212" s="1"/>
      <c r="LVI212" s="1"/>
      <c r="LVJ212" s="1"/>
      <c r="LVK212" s="1"/>
      <c r="LVL212" s="1"/>
      <c r="LVM212" s="1"/>
      <c r="LVN212" s="1"/>
      <c r="LVO212" s="1"/>
      <c r="LVP212" s="1"/>
      <c r="LVQ212" s="1"/>
      <c r="LVR212" s="1"/>
      <c r="LVS212" s="1"/>
      <c r="LVT212" s="1"/>
      <c r="LVU212" s="1"/>
      <c r="LVV212" s="1"/>
      <c r="LVW212" s="1"/>
      <c r="LVX212" s="1"/>
      <c r="LVY212" s="1"/>
      <c r="LVZ212" s="1"/>
      <c r="LWA212" s="1"/>
      <c r="LWB212" s="1"/>
      <c r="LWC212" s="1"/>
      <c r="LWD212" s="1"/>
      <c r="LWE212" s="1"/>
      <c r="LWF212" s="1"/>
      <c r="LWG212" s="1"/>
      <c r="LWH212" s="1"/>
      <c r="LWI212" s="1"/>
      <c r="LWJ212" s="1"/>
      <c r="LWK212" s="1"/>
      <c r="LWL212" s="1"/>
      <c r="LWM212" s="1"/>
      <c r="LWN212" s="1"/>
      <c r="LWO212" s="1"/>
      <c r="LWP212" s="1"/>
      <c r="LWQ212" s="1"/>
      <c r="LWR212" s="1"/>
      <c r="LWS212" s="1"/>
      <c r="LWT212" s="1"/>
      <c r="LWU212" s="1"/>
      <c r="LWV212" s="1"/>
      <c r="LWW212" s="1"/>
      <c r="LWX212" s="1"/>
      <c r="LWY212" s="1"/>
      <c r="LWZ212" s="1"/>
      <c r="LXA212" s="1"/>
      <c r="LXB212" s="1"/>
      <c r="LXC212" s="1"/>
      <c r="LXD212" s="1"/>
      <c r="LXE212" s="1"/>
      <c r="LXF212" s="1"/>
      <c r="LXG212" s="1"/>
      <c r="LXH212" s="1"/>
      <c r="LXI212" s="1"/>
      <c r="LXJ212" s="1"/>
      <c r="LXK212" s="1"/>
      <c r="LXL212" s="1"/>
      <c r="LXM212" s="1"/>
      <c r="LXN212" s="1"/>
      <c r="LXO212" s="1"/>
      <c r="LXP212" s="1"/>
      <c r="LXQ212" s="1"/>
      <c r="LXR212" s="1"/>
      <c r="LXS212" s="1"/>
      <c r="LXT212" s="1"/>
      <c r="LXU212" s="1"/>
      <c r="LXV212" s="1"/>
      <c r="LXW212" s="1"/>
      <c r="LXX212" s="1"/>
      <c r="LXY212" s="1"/>
      <c r="LXZ212" s="1"/>
      <c r="LYA212" s="1"/>
      <c r="LYB212" s="1"/>
      <c r="LYC212" s="1"/>
      <c r="LYD212" s="1"/>
      <c r="LYE212" s="1"/>
      <c r="LYF212" s="1"/>
      <c r="LYG212" s="1"/>
      <c r="LYH212" s="1"/>
      <c r="LYI212" s="1"/>
      <c r="LYJ212" s="1"/>
      <c r="LYK212" s="1"/>
      <c r="LYL212" s="1"/>
      <c r="LYM212" s="1"/>
      <c r="LYN212" s="1"/>
      <c r="LYO212" s="1"/>
      <c r="LYP212" s="1"/>
      <c r="LYQ212" s="1"/>
      <c r="LYR212" s="1"/>
      <c r="LYS212" s="1"/>
      <c r="LYT212" s="1"/>
      <c r="LYU212" s="1"/>
      <c r="LYV212" s="1"/>
      <c r="LYW212" s="1"/>
      <c r="LYX212" s="1"/>
      <c r="LYY212" s="1"/>
      <c r="LYZ212" s="1"/>
      <c r="LZA212" s="1"/>
      <c r="LZB212" s="1"/>
      <c r="LZC212" s="1"/>
      <c r="LZD212" s="1"/>
      <c r="LZE212" s="1"/>
      <c r="LZF212" s="1"/>
      <c r="LZG212" s="1"/>
      <c r="LZH212" s="1"/>
      <c r="LZI212" s="1"/>
      <c r="LZJ212" s="1"/>
      <c r="LZK212" s="1"/>
      <c r="LZL212" s="1"/>
      <c r="LZM212" s="1"/>
      <c r="LZN212" s="1"/>
      <c r="LZO212" s="1"/>
      <c r="LZP212" s="1"/>
      <c r="LZQ212" s="1"/>
      <c r="LZR212" s="1"/>
      <c r="LZS212" s="1"/>
      <c r="LZT212" s="1"/>
      <c r="LZU212" s="1"/>
      <c r="LZV212" s="1"/>
      <c r="LZW212" s="1"/>
      <c r="LZX212" s="1"/>
      <c r="LZY212" s="1"/>
      <c r="LZZ212" s="1"/>
      <c r="MAA212" s="1"/>
      <c r="MAB212" s="1"/>
      <c r="MAC212" s="1"/>
      <c r="MAD212" s="1"/>
      <c r="MAE212" s="1"/>
      <c r="MAF212" s="1"/>
      <c r="MAG212" s="1"/>
      <c r="MAH212" s="1"/>
      <c r="MAI212" s="1"/>
      <c r="MAJ212" s="1"/>
      <c r="MAK212" s="1"/>
      <c r="MAL212" s="1"/>
      <c r="MAM212" s="1"/>
      <c r="MAN212" s="1"/>
      <c r="MAO212" s="1"/>
      <c r="MAP212" s="1"/>
      <c r="MAQ212" s="1"/>
      <c r="MAR212" s="1"/>
      <c r="MAS212" s="1"/>
      <c r="MAT212" s="1"/>
      <c r="MAU212" s="1"/>
      <c r="MAV212" s="1"/>
      <c r="MAW212" s="1"/>
      <c r="MAX212" s="1"/>
      <c r="MAY212" s="1"/>
      <c r="MAZ212" s="1"/>
      <c r="MBA212" s="1"/>
      <c r="MBB212" s="1"/>
      <c r="MBC212" s="1"/>
      <c r="MBD212" s="1"/>
      <c r="MBE212" s="1"/>
      <c r="MBF212" s="1"/>
      <c r="MBG212" s="1"/>
      <c r="MBH212" s="1"/>
      <c r="MBI212" s="1"/>
      <c r="MBJ212" s="1"/>
      <c r="MBK212" s="1"/>
      <c r="MBL212" s="1"/>
      <c r="MBM212" s="1"/>
      <c r="MBN212" s="1"/>
      <c r="MBO212" s="1"/>
      <c r="MBP212" s="1"/>
      <c r="MBQ212" s="1"/>
      <c r="MBR212" s="1"/>
      <c r="MBS212" s="1"/>
      <c r="MBT212" s="1"/>
      <c r="MBU212" s="1"/>
      <c r="MBV212" s="1"/>
      <c r="MBW212" s="1"/>
      <c r="MBX212" s="1"/>
      <c r="MBY212" s="1"/>
      <c r="MBZ212" s="1"/>
      <c r="MCA212" s="1"/>
      <c r="MCB212" s="1"/>
      <c r="MCC212" s="1"/>
      <c r="MCD212" s="1"/>
      <c r="MCE212" s="1"/>
      <c r="MCF212" s="1"/>
      <c r="MCG212" s="1"/>
      <c r="MCH212" s="1"/>
      <c r="MCI212" s="1"/>
      <c r="MCJ212" s="1"/>
      <c r="MCK212" s="1"/>
      <c r="MCL212" s="1"/>
      <c r="MCM212" s="1"/>
      <c r="MCN212" s="1"/>
      <c r="MCO212" s="1"/>
      <c r="MCP212" s="1"/>
      <c r="MCQ212" s="1"/>
      <c r="MCR212" s="1"/>
      <c r="MCS212" s="1"/>
      <c r="MCT212" s="1"/>
      <c r="MCU212" s="1"/>
      <c r="MCV212" s="1"/>
      <c r="MCW212" s="1"/>
      <c r="MCX212" s="1"/>
      <c r="MCY212" s="1"/>
      <c r="MCZ212" s="1"/>
      <c r="MDA212" s="1"/>
      <c r="MDB212" s="1"/>
      <c r="MDC212" s="1"/>
      <c r="MDD212" s="1"/>
      <c r="MDE212" s="1"/>
      <c r="MDF212" s="1"/>
      <c r="MDG212" s="1"/>
      <c r="MDH212" s="1"/>
      <c r="MDI212" s="1"/>
      <c r="MDJ212" s="1"/>
      <c r="MDK212" s="1"/>
      <c r="MDL212" s="1"/>
      <c r="MDM212" s="1"/>
      <c r="MDN212" s="1"/>
      <c r="MDO212" s="1"/>
      <c r="MDP212" s="1"/>
      <c r="MDQ212" s="1"/>
      <c r="MDR212" s="1"/>
      <c r="MDS212" s="1"/>
      <c r="MDT212" s="1"/>
      <c r="MDU212" s="1"/>
      <c r="MDV212" s="1"/>
      <c r="MDW212" s="1"/>
      <c r="MDX212" s="1"/>
      <c r="MDY212" s="1"/>
      <c r="MDZ212" s="1"/>
      <c r="MEA212" s="1"/>
      <c r="MEB212" s="1"/>
      <c r="MEC212" s="1"/>
      <c r="MED212" s="1"/>
      <c r="MEE212" s="1"/>
      <c r="MEF212" s="1"/>
      <c r="MEG212" s="1"/>
      <c r="MEH212" s="1"/>
      <c r="MEI212" s="1"/>
      <c r="MEJ212" s="1"/>
      <c r="MEK212" s="1"/>
      <c r="MEL212" s="1"/>
      <c r="MEM212" s="1"/>
      <c r="MEN212" s="1"/>
      <c r="MEO212" s="1"/>
      <c r="MEP212" s="1"/>
      <c r="MEQ212" s="1"/>
      <c r="MER212" s="1"/>
      <c r="MES212" s="1"/>
      <c r="MET212" s="1"/>
      <c r="MEU212" s="1"/>
      <c r="MEV212" s="1"/>
      <c r="MEW212" s="1"/>
      <c r="MEX212" s="1"/>
      <c r="MEY212" s="1"/>
      <c r="MEZ212" s="1"/>
      <c r="MFA212" s="1"/>
      <c r="MFB212" s="1"/>
      <c r="MFC212" s="1"/>
      <c r="MFD212" s="1"/>
      <c r="MFE212" s="1"/>
      <c r="MFF212" s="1"/>
      <c r="MFG212" s="1"/>
      <c r="MFH212" s="1"/>
      <c r="MFI212" s="1"/>
      <c r="MFJ212" s="1"/>
      <c r="MFK212" s="1"/>
      <c r="MFL212" s="1"/>
      <c r="MFM212" s="1"/>
      <c r="MFN212" s="1"/>
      <c r="MFO212" s="1"/>
      <c r="MFP212" s="1"/>
      <c r="MFQ212" s="1"/>
      <c r="MFR212" s="1"/>
      <c r="MFS212" s="1"/>
      <c r="MFT212" s="1"/>
      <c r="MFU212" s="1"/>
      <c r="MFV212" s="1"/>
      <c r="MFW212" s="1"/>
      <c r="MFX212" s="1"/>
      <c r="MFY212" s="1"/>
      <c r="MFZ212" s="1"/>
      <c r="MGA212" s="1"/>
      <c r="MGB212" s="1"/>
      <c r="MGC212" s="1"/>
      <c r="MGD212" s="1"/>
      <c r="MGE212" s="1"/>
      <c r="MGF212" s="1"/>
      <c r="MGG212" s="1"/>
      <c r="MGH212" s="1"/>
      <c r="MGI212" s="1"/>
      <c r="MGJ212" s="1"/>
      <c r="MGK212" s="1"/>
      <c r="MGL212" s="1"/>
      <c r="MGM212" s="1"/>
      <c r="MGN212" s="1"/>
      <c r="MGO212" s="1"/>
      <c r="MGP212" s="1"/>
      <c r="MGQ212" s="1"/>
      <c r="MGR212" s="1"/>
      <c r="MGS212" s="1"/>
      <c r="MGT212" s="1"/>
      <c r="MGU212" s="1"/>
      <c r="MGV212" s="1"/>
      <c r="MGW212" s="1"/>
      <c r="MGX212" s="1"/>
      <c r="MGY212" s="1"/>
      <c r="MGZ212" s="1"/>
      <c r="MHA212" s="1"/>
      <c r="MHB212" s="1"/>
      <c r="MHC212" s="1"/>
      <c r="MHD212" s="1"/>
      <c r="MHE212" s="1"/>
      <c r="MHF212" s="1"/>
      <c r="MHG212" s="1"/>
      <c r="MHH212" s="1"/>
      <c r="MHI212" s="1"/>
      <c r="MHJ212" s="1"/>
      <c r="MHK212" s="1"/>
      <c r="MHL212" s="1"/>
      <c r="MHM212" s="1"/>
      <c r="MHN212" s="1"/>
      <c r="MHO212" s="1"/>
      <c r="MHP212" s="1"/>
      <c r="MHQ212" s="1"/>
      <c r="MHR212" s="1"/>
      <c r="MHS212" s="1"/>
      <c r="MHT212" s="1"/>
      <c r="MHU212" s="1"/>
      <c r="MHV212" s="1"/>
      <c r="MHW212" s="1"/>
      <c r="MHX212" s="1"/>
      <c r="MHY212" s="1"/>
      <c r="MHZ212" s="1"/>
      <c r="MIA212" s="1"/>
      <c r="MIB212" s="1"/>
      <c r="MIC212" s="1"/>
      <c r="MID212" s="1"/>
      <c r="MIE212" s="1"/>
      <c r="MIF212" s="1"/>
      <c r="MIG212" s="1"/>
      <c r="MIH212" s="1"/>
      <c r="MII212" s="1"/>
      <c r="MIJ212" s="1"/>
      <c r="MIK212" s="1"/>
      <c r="MIL212" s="1"/>
      <c r="MIM212" s="1"/>
      <c r="MIN212" s="1"/>
      <c r="MIO212" s="1"/>
      <c r="MIP212" s="1"/>
      <c r="MIQ212" s="1"/>
      <c r="MIR212" s="1"/>
      <c r="MIS212" s="1"/>
      <c r="MIT212" s="1"/>
      <c r="MIU212" s="1"/>
      <c r="MIV212" s="1"/>
      <c r="MIW212" s="1"/>
      <c r="MIX212" s="1"/>
      <c r="MIY212" s="1"/>
      <c r="MIZ212" s="1"/>
      <c r="MJA212" s="1"/>
      <c r="MJB212" s="1"/>
      <c r="MJC212" s="1"/>
      <c r="MJD212" s="1"/>
      <c r="MJE212" s="1"/>
      <c r="MJF212" s="1"/>
      <c r="MJG212" s="1"/>
      <c r="MJH212" s="1"/>
      <c r="MJI212" s="1"/>
      <c r="MJJ212" s="1"/>
      <c r="MJK212" s="1"/>
      <c r="MJL212" s="1"/>
      <c r="MJM212" s="1"/>
      <c r="MJN212" s="1"/>
      <c r="MJO212" s="1"/>
      <c r="MJP212" s="1"/>
      <c r="MJQ212" s="1"/>
      <c r="MJR212" s="1"/>
      <c r="MJS212" s="1"/>
      <c r="MJT212" s="1"/>
      <c r="MJU212" s="1"/>
      <c r="MJV212" s="1"/>
      <c r="MJW212" s="1"/>
      <c r="MJX212" s="1"/>
      <c r="MJY212" s="1"/>
      <c r="MJZ212" s="1"/>
      <c r="MKA212" s="1"/>
      <c r="MKB212" s="1"/>
      <c r="MKC212" s="1"/>
      <c r="MKD212" s="1"/>
      <c r="MKE212" s="1"/>
      <c r="MKF212" s="1"/>
      <c r="MKG212" s="1"/>
      <c r="MKH212" s="1"/>
      <c r="MKI212" s="1"/>
      <c r="MKJ212" s="1"/>
      <c r="MKK212" s="1"/>
      <c r="MKL212" s="1"/>
      <c r="MKM212" s="1"/>
      <c r="MKN212" s="1"/>
      <c r="MKO212" s="1"/>
      <c r="MKP212" s="1"/>
      <c r="MKQ212" s="1"/>
      <c r="MKR212" s="1"/>
      <c r="MKS212" s="1"/>
      <c r="MKT212" s="1"/>
      <c r="MKU212" s="1"/>
      <c r="MKV212" s="1"/>
      <c r="MKW212" s="1"/>
      <c r="MKX212" s="1"/>
      <c r="MKY212" s="1"/>
      <c r="MKZ212" s="1"/>
      <c r="MLA212" s="1"/>
      <c r="MLB212" s="1"/>
      <c r="MLC212" s="1"/>
      <c r="MLD212" s="1"/>
      <c r="MLE212" s="1"/>
      <c r="MLF212" s="1"/>
      <c r="MLG212" s="1"/>
      <c r="MLH212" s="1"/>
      <c r="MLI212" s="1"/>
      <c r="MLJ212" s="1"/>
      <c r="MLK212" s="1"/>
      <c r="MLL212" s="1"/>
      <c r="MLM212" s="1"/>
      <c r="MLN212" s="1"/>
      <c r="MLO212" s="1"/>
      <c r="MLP212" s="1"/>
      <c r="MLQ212" s="1"/>
      <c r="MLR212" s="1"/>
      <c r="MLS212" s="1"/>
      <c r="MLT212" s="1"/>
      <c r="MLU212" s="1"/>
      <c r="MLV212" s="1"/>
      <c r="MLW212" s="1"/>
      <c r="MLX212" s="1"/>
      <c r="MLY212" s="1"/>
      <c r="MLZ212" s="1"/>
      <c r="MMA212" s="1"/>
      <c r="MMB212" s="1"/>
      <c r="MMC212" s="1"/>
      <c r="MMD212" s="1"/>
      <c r="MME212" s="1"/>
      <c r="MMF212" s="1"/>
      <c r="MMG212" s="1"/>
      <c r="MMH212" s="1"/>
      <c r="MMI212" s="1"/>
      <c r="MMJ212" s="1"/>
      <c r="MMK212" s="1"/>
      <c r="MML212" s="1"/>
      <c r="MMM212" s="1"/>
      <c r="MMN212" s="1"/>
      <c r="MMO212" s="1"/>
      <c r="MMP212" s="1"/>
      <c r="MMQ212" s="1"/>
      <c r="MMR212" s="1"/>
      <c r="MMS212" s="1"/>
      <c r="MMT212" s="1"/>
      <c r="MMU212" s="1"/>
      <c r="MMV212" s="1"/>
      <c r="MMW212" s="1"/>
      <c r="MMX212" s="1"/>
      <c r="MMY212" s="1"/>
      <c r="MMZ212" s="1"/>
      <c r="MNA212" s="1"/>
      <c r="MNB212" s="1"/>
      <c r="MNC212" s="1"/>
      <c r="MND212" s="1"/>
      <c r="MNE212" s="1"/>
      <c r="MNF212" s="1"/>
      <c r="MNG212" s="1"/>
      <c r="MNH212" s="1"/>
      <c r="MNI212" s="1"/>
      <c r="MNJ212" s="1"/>
      <c r="MNK212" s="1"/>
      <c r="MNL212" s="1"/>
      <c r="MNM212" s="1"/>
      <c r="MNN212" s="1"/>
      <c r="MNO212" s="1"/>
      <c r="MNP212" s="1"/>
      <c r="MNQ212" s="1"/>
      <c r="MNR212" s="1"/>
      <c r="MNS212" s="1"/>
      <c r="MNT212" s="1"/>
      <c r="MNU212" s="1"/>
      <c r="MNV212" s="1"/>
      <c r="MNW212" s="1"/>
      <c r="MNX212" s="1"/>
      <c r="MNY212" s="1"/>
      <c r="MNZ212" s="1"/>
      <c r="MOA212" s="1"/>
      <c r="MOB212" s="1"/>
      <c r="MOC212" s="1"/>
      <c r="MOD212" s="1"/>
      <c r="MOE212" s="1"/>
      <c r="MOF212" s="1"/>
      <c r="MOG212" s="1"/>
      <c r="MOH212" s="1"/>
      <c r="MOI212" s="1"/>
      <c r="MOJ212" s="1"/>
      <c r="MOK212" s="1"/>
      <c r="MOL212" s="1"/>
      <c r="MOM212" s="1"/>
      <c r="MON212" s="1"/>
      <c r="MOO212" s="1"/>
      <c r="MOP212" s="1"/>
      <c r="MOQ212" s="1"/>
      <c r="MOR212" s="1"/>
      <c r="MOS212" s="1"/>
      <c r="MOT212" s="1"/>
      <c r="MOU212" s="1"/>
      <c r="MOV212" s="1"/>
      <c r="MOW212" s="1"/>
      <c r="MOX212" s="1"/>
      <c r="MOY212" s="1"/>
      <c r="MOZ212" s="1"/>
      <c r="MPA212" s="1"/>
      <c r="MPB212" s="1"/>
      <c r="MPC212" s="1"/>
      <c r="MPD212" s="1"/>
      <c r="MPE212" s="1"/>
      <c r="MPF212" s="1"/>
      <c r="MPG212" s="1"/>
      <c r="MPH212" s="1"/>
      <c r="MPI212" s="1"/>
      <c r="MPJ212" s="1"/>
      <c r="MPK212" s="1"/>
      <c r="MPL212" s="1"/>
      <c r="MPM212" s="1"/>
      <c r="MPN212" s="1"/>
      <c r="MPO212" s="1"/>
      <c r="MPP212" s="1"/>
      <c r="MPQ212" s="1"/>
      <c r="MPR212" s="1"/>
      <c r="MPS212" s="1"/>
      <c r="MPT212" s="1"/>
      <c r="MPU212" s="1"/>
      <c r="MPV212" s="1"/>
      <c r="MPW212" s="1"/>
      <c r="MPX212" s="1"/>
      <c r="MPY212" s="1"/>
      <c r="MPZ212" s="1"/>
      <c r="MQA212" s="1"/>
      <c r="MQB212" s="1"/>
      <c r="MQC212" s="1"/>
      <c r="MQD212" s="1"/>
      <c r="MQE212" s="1"/>
      <c r="MQF212" s="1"/>
      <c r="MQG212" s="1"/>
      <c r="MQH212" s="1"/>
      <c r="MQI212" s="1"/>
      <c r="MQJ212" s="1"/>
      <c r="MQK212" s="1"/>
      <c r="MQL212" s="1"/>
      <c r="MQM212" s="1"/>
      <c r="MQN212" s="1"/>
      <c r="MQO212" s="1"/>
      <c r="MQP212" s="1"/>
      <c r="MQQ212" s="1"/>
      <c r="MQR212" s="1"/>
      <c r="MQS212" s="1"/>
      <c r="MQT212" s="1"/>
      <c r="MQU212" s="1"/>
      <c r="MQV212" s="1"/>
      <c r="MQW212" s="1"/>
      <c r="MQX212" s="1"/>
      <c r="MQY212" s="1"/>
      <c r="MQZ212" s="1"/>
      <c r="MRA212" s="1"/>
      <c r="MRB212" s="1"/>
      <c r="MRC212" s="1"/>
      <c r="MRD212" s="1"/>
      <c r="MRE212" s="1"/>
      <c r="MRF212" s="1"/>
      <c r="MRG212" s="1"/>
      <c r="MRH212" s="1"/>
      <c r="MRI212" s="1"/>
      <c r="MRJ212" s="1"/>
      <c r="MRK212" s="1"/>
      <c r="MRL212" s="1"/>
      <c r="MRM212" s="1"/>
      <c r="MRN212" s="1"/>
      <c r="MRO212" s="1"/>
      <c r="MRP212" s="1"/>
      <c r="MRQ212" s="1"/>
      <c r="MRR212" s="1"/>
      <c r="MRS212" s="1"/>
      <c r="MRT212" s="1"/>
      <c r="MRU212" s="1"/>
      <c r="MRV212" s="1"/>
      <c r="MRW212" s="1"/>
      <c r="MRX212" s="1"/>
      <c r="MRY212" s="1"/>
      <c r="MRZ212" s="1"/>
      <c r="MSA212" s="1"/>
      <c r="MSB212" s="1"/>
      <c r="MSC212" s="1"/>
      <c r="MSD212" s="1"/>
      <c r="MSE212" s="1"/>
      <c r="MSF212" s="1"/>
      <c r="MSG212" s="1"/>
      <c r="MSH212" s="1"/>
      <c r="MSI212" s="1"/>
      <c r="MSJ212" s="1"/>
      <c r="MSK212" s="1"/>
      <c r="MSL212" s="1"/>
      <c r="MSM212" s="1"/>
      <c r="MSN212" s="1"/>
      <c r="MSO212" s="1"/>
      <c r="MSP212" s="1"/>
      <c r="MSQ212" s="1"/>
      <c r="MSR212" s="1"/>
      <c r="MSS212" s="1"/>
      <c r="MST212" s="1"/>
      <c r="MSU212" s="1"/>
      <c r="MSV212" s="1"/>
      <c r="MSW212" s="1"/>
      <c r="MSX212" s="1"/>
      <c r="MSY212" s="1"/>
      <c r="MSZ212" s="1"/>
      <c r="MTA212" s="1"/>
      <c r="MTB212" s="1"/>
      <c r="MTC212" s="1"/>
      <c r="MTD212" s="1"/>
      <c r="MTE212" s="1"/>
      <c r="MTF212" s="1"/>
      <c r="MTG212" s="1"/>
      <c r="MTH212" s="1"/>
      <c r="MTI212" s="1"/>
      <c r="MTJ212" s="1"/>
      <c r="MTK212" s="1"/>
      <c r="MTL212" s="1"/>
      <c r="MTM212" s="1"/>
      <c r="MTN212" s="1"/>
      <c r="MTO212" s="1"/>
      <c r="MTP212" s="1"/>
      <c r="MTQ212" s="1"/>
      <c r="MTR212" s="1"/>
      <c r="MTS212" s="1"/>
      <c r="MTT212" s="1"/>
      <c r="MTU212" s="1"/>
      <c r="MTV212" s="1"/>
      <c r="MTW212" s="1"/>
      <c r="MTX212" s="1"/>
      <c r="MTY212" s="1"/>
      <c r="MTZ212" s="1"/>
      <c r="MUA212" s="1"/>
      <c r="MUB212" s="1"/>
      <c r="MUC212" s="1"/>
      <c r="MUD212" s="1"/>
      <c r="MUE212" s="1"/>
      <c r="MUF212" s="1"/>
      <c r="MUG212" s="1"/>
      <c r="MUH212" s="1"/>
      <c r="MUI212" s="1"/>
      <c r="MUJ212" s="1"/>
      <c r="MUK212" s="1"/>
      <c r="MUL212" s="1"/>
      <c r="MUM212" s="1"/>
      <c r="MUN212" s="1"/>
      <c r="MUO212" s="1"/>
      <c r="MUP212" s="1"/>
      <c r="MUQ212" s="1"/>
      <c r="MUR212" s="1"/>
      <c r="MUS212" s="1"/>
      <c r="MUT212" s="1"/>
      <c r="MUU212" s="1"/>
      <c r="MUV212" s="1"/>
      <c r="MUW212" s="1"/>
      <c r="MUX212" s="1"/>
      <c r="MUY212" s="1"/>
      <c r="MUZ212" s="1"/>
      <c r="MVA212" s="1"/>
      <c r="MVB212" s="1"/>
      <c r="MVC212" s="1"/>
      <c r="MVD212" s="1"/>
      <c r="MVE212" s="1"/>
      <c r="MVF212" s="1"/>
      <c r="MVG212" s="1"/>
      <c r="MVH212" s="1"/>
      <c r="MVI212" s="1"/>
      <c r="MVJ212" s="1"/>
      <c r="MVK212" s="1"/>
      <c r="MVL212" s="1"/>
      <c r="MVM212" s="1"/>
      <c r="MVN212" s="1"/>
      <c r="MVO212" s="1"/>
      <c r="MVP212" s="1"/>
      <c r="MVQ212" s="1"/>
      <c r="MVR212" s="1"/>
      <c r="MVS212" s="1"/>
      <c r="MVT212" s="1"/>
      <c r="MVU212" s="1"/>
      <c r="MVV212" s="1"/>
      <c r="MVW212" s="1"/>
      <c r="MVX212" s="1"/>
      <c r="MVY212" s="1"/>
      <c r="MVZ212" s="1"/>
      <c r="MWA212" s="1"/>
      <c r="MWB212" s="1"/>
      <c r="MWC212" s="1"/>
      <c r="MWD212" s="1"/>
      <c r="MWE212" s="1"/>
      <c r="MWF212" s="1"/>
      <c r="MWG212" s="1"/>
      <c r="MWH212" s="1"/>
      <c r="MWI212" s="1"/>
      <c r="MWJ212" s="1"/>
      <c r="MWK212" s="1"/>
      <c r="MWL212" s="1"/>
      <c r="MWM212" s="1"/>
      <c r="MWN212" s="1"/>
      <c r="MWO212" s="1"/>
      <c r="MWP212" s="1"/>
      <c r="MWQ212" s="1"/>
      <c r="MWR212" s="1"/>
      <c r="MWS212" s="1"/>
      <c r="MWT212" s="1"/>
      <c r="MWU212" s="1"/>
      <c r="MWV212" s="1"/>
      <c r="MWW212" s="1"/>
      <c r="MWX212" s="1"/>
      <c r="MWY212" s="1"/>
      <c r="MWZ212" s="1"/>
      <c r="MXA212" s="1"/>
      <c r="MXB212" s="1"/>
      <c r="MXC212" s="1"/>
      <c r="MXD212" s="1"/>
      <c r="MXE212" s="1"/>
      <c r="MXF212" s="1"/>
      <c r="MXG212" s="1"/>
      <c r="MXH212" s="1"/>
      <c r="MXI212" s="1"/>
      <c r="MXJ212" s="1"/>
      <c r="MXK212" s="1"/>
      <c r="MXL212" s="1"/>
      <c r="MXM212" s="1"/>
      <c r="MXN212" s="1"/>
      <c r="MXO212" s="1"/>
      <c r="MXP212" s="1"/>
      <c r="MXQ212" s="1"/>
      <c r="MXR212" s="1"/>
      <c r="MXS212" s="1"/>
      <c r="MXT212" s="1"/>
      <c r="MXU212" s="1"/>
      <c r="MXV212" s="1"/>
      <c r="MXW212" s="1"/>
      <c r="MXX212" s="1"/>
      <c r="MXY212" s="1"/>
      <c r="MXZ212" s="1"/>
      <c r="MYA212" s="1"/>
      <c r="MYB212" s="1"/>
      <c r="MYC212" s="1"/>
      <c r="MYD212" s="1"/>
      <c r="MYE212" s="1"/>
      <c r="MYF212" s="1"/>
      <c r="MYG212" s="1"/>
      <c r="MYH212" s="1"/>
      <c r="MYI212" s="1"/>
      <c r="MYJ212" s="1"/>
      <c r="MYK212" s="1"/>
      <c r="MYL212" s="1"/>
      <c r="MYM212" s="1"/>
      <c r="MYN212" s="1"/>
      <c r="MYO212" s="1"/>
      <c r="MYP212" s="1"/>
      <c r="MYQ212" s="1"/>
      <c r="MYR212" s="1"/>
      <c r="MYS212" s="1"/>
      <c r="MYT212" s="1"/>
      <c r="MYU212" s="1"/>
      <c r="MYV212" s="1"/>
      <c r="MYW212" s="1"/>
      <c r="MYX212" s="1"/>
      <c r="MYY212" s="1"/>
      <c r="MYZ212" s="1"/>
      <c r="MZA212" s="1"/>
      <c r="MZB212" s="1"/>
      <c r="MZC212" s="1"/>
      <c r="MZD212" s="1"/>
      <c r="MZE212" s="1"/>
      <c r="MZF212" s="1"/>
      <c r="MZG212" s="1"/>
      <c r="MZH212" s="1"/>
      <c r="MZI212" s="1"/>
      <c r="MZJ212" s="1"/>
      <c r="MZK212" s="1"/>
      <c r="MZL212" s="1"/>
      <c r="MZM212" s="1"/>
      <c r="MZN212" s="1"/>
      <c r="MZO212" s="1"/>
      <c r="MZP212" s="1"/>
      <c r="MZQ212" s="1"/>
      <c r="MZR212" s="1"/>
      <c r="MZS212" s="1"/>
      <c r="MZT212" s="1"/>
      <c r="MZU212" s="1"/>
      <c r="MZV212" s="1"/>
      <c r="MZW212" s="1"/>
      <c r="MZX212" s="1"/>
      <c r="MZY212" s="1"/>
      <c r="MZZ212" s="1"/>
      <c r="NAA212" s="1"/>
      <c r="NAB212" s="1"/>
      <c r="NAC212" s="1"/>
      <c r="NAD212" s="1"/>
      <c r="NAE212" s="1"/>
      <c r="NAF212" s="1"/>
      <c r="NAG212" s="1"/>
      <c r="NAH212" s="1"/>
      <c r="NAI212" s="1"/>
      <c r="NAJ212" s="1"/>
      <c r="NAK212" s="1"/>
      <c r="NAL212" s="1"/>
      <c r="NAM212" s="1"/>
      <c r="NAN212" s="1"/>
      <c r="NAO212" s="1"/>
      <c r="NAP212" s="1"/>
      <c r="NAQ212" s="1"/>
      <c r="NAR212" s="1"/>
      <c r="NAS212" s="1"/>
      <c r="NAT212" s="1"/>
      <c r="NAU212" s="1"/>
      <c r="NAV212" s="1"/>
      <c r="NAW212" s="1"/>
      <c r="NAX212" s="1"/>
      <c r="NAY212" s="1"/>
      <c r="NAZ212" s="1"/>
      <c r="NBA212" s="1"/>
      <c r="NBB212" s="1"/>
      <c r="NBC212" s="1"/>
      <c r="NBD212" s="1"/>
      <c r="NBE212" s="1"/>
      <c r="NBF212" s="1"/>
      <c r="NBG212" s="1"/>
      <c r="NBH212" s="1"/>
      <c r="NBI212" s="1"/>
      <c r="NBJ212" s="1"/>
      <c r="NBK212" s="1"/>
      <c r="NBL212" s="1"/>
      <c r="NBM212" s="1"/>
      <c r="NBN212" s="1"/>
      <c r="NBO212" s="1"/>
      <c r="NBP212" s="1"/>
      <c r="NBQ212" s="1"/>
      <c r="NBR212" s="1"/>
      <c r="NBS212" s="1"/>
      <c r="NBT212" s="1"/>
      <c r="NBU212" s="1"/>
      <c r="NBV212" s="1"/>
      <c r="NBW212" s="1"/>
      <c r="NBX212" s="1"/>
      <c r="NBY212" s="1"/>
      <c r="NBZ212" s="1"/>
      <c r="NCA212" s="1"/>
      <c r="NCB212" s="1"/>
      <c r="NCC212" s="1"/>
      <c r="NCD212" s="1"/>
      <c r="NCE212" s="1"/>
      <c r="NCF212" s="1"/>
      <c r="NCG212" s="1"/>
      <c r="NCH212" s="1"/>
      <c r="NCI212" s="1"/>
      <c r="NCJ212" s="1"/>
      <c r="NCK212" s="1"/>
      <c r="NCL212" s="1"/>
      <c r="NCM212" s="1"/>
      <c r="NCN212" s="1"/>
      <c r="NCO212" s="1"/>
      <c r="NCP212" s="1"/>
      <c r="NCQ212" s="1"/>
      <c r="NCR212" s="1"/>
      <c r="NCS212" s="1"/>
      <c r="NCT212" s="1"/>
      <c r="NCU212" s="1"/>
      <c r="NCV212" s="1"/>
      <c r="NCW212" s="1"/>
      <c r="NCX212" s="1"/>
      <c r="NCY212" s="1"/>
      <c r="NCZ212" s="1"/>
      <c r="NDA212" s="1"/>
      <c r="NDB212" s="1"/>
      <c r="NDC212" s="1"/>
      <c r="NDD212" s="1"/>
      <c r="NDE212" s="1"/>
      <c r="NDF212" s="1"/>
      <c r="NDG212" s="1"/>
      <c r="NDH212" s="1"/>
      <c r="NDI212" s="1"/>
      <c r="NDJ212" s="1"/>
      <c r="NDK212" s="1"/>
      <c r="NDL212" s="1"/>
      <c r="NDM212" s="1"/>
      <c r="NDN212" s="1"/>
      <c r="NDO212" s="1"/>
      <c r="NDP212" s="1"/>
      <c r="NDQ212" s="1"/>
      <c r="NDR212" s="1"/>
      <c r="NDS212" s="1"/>
      <c r="NDT212" s="1"/>
      <c r="NDU212" s="1"/>
      <c r="NDV212" s="1"/>
      <c r="NDW212" s="1"/>
      <c r="NDX212" s="1"/>
      <c r="NDY212" s="1"/>
      <c r="NDZ212" s="1"/>
      <c r="NEA212" s="1"/>
      <c r="NEB212" s="1"/>
      <c r="NEC212" s="1"/>
      <c r="NED212" s="1"/>
      <c r="NEE212" s="1"/>
      <c r="NEF212" s="1"/>
      <c r="NEG212" s="1"/>
      <c r="NEH212" s="1"/>
      <c r="NEI212" s="1"/>
      <c r="NEJ212" s="1"/>
      <c r="NEK212" s="1"/>
      <c r="NEL212" s="1"/>
      <c r="NEM212" s="1"/>
      <c r="NEN212" s="1"/>
      <c r="NEO212" s="1"/>
      <c r="NEP212" s="1"/>
      <c r="NEQ212" s="1"/>
      <c r="NER212" s="1"/>
      <c r="NES212" s="1"/>
      <c r="NET212" s="1"/>
      <c r="NEU212" s="1"/>
      <c r="NEV212" s="1"/>
      <c r="NEW212" s="1"/>
      <c r="NEX212" s="1"/>
      <c r="NEY212" s="1"/>
      <c r="NEZ212" s="1"/>
      <c r="NFA212" s="1"/>
      <c r="NFB212" s="1"/>
      <c r="NFC212" s="1"/>
      <c r="NFD212" s="1"/>
      <c r="NFE212" s="1"/>
      <c r="NFF212" s="1"/>
      <c r="NFG212" s="1"/>
      <c r="NFH212" s="1"/>
      <c r="NFI212" s="1"/>
      <c r="NFJ212" s="1"/>
      <c r="NFK212" s="1"/>
      <c r="NFL212" s="1"/>
      <c r="NFM212" s="1"/>
      <c r="NFN212" s="1"/>
      <c r="NFO212" s="1"/>
      <c r="NFP212" s="1"/>
      <c r="NFQ212" s="1"/>
      <c r="NFR212" s="1"/>
      <c r="NFS212" s="1"/>
      <c r="NFT212" s="1"/>
      <c r="NFU212" s="1"/>
      <c r="NFV212" s="1"/>
      <c r="NFW212" s="1"/>
      <c r="NFX212" s="1"/>
      <c r="NFY212" s="1"/>
      <c r="NFZ212" s="1"/>
      <c r="NGA212" s="1"/>
      <c r="NGB212" s="1"/>
      <c r="NGC212" s="1"/>
      <c r="NGD212" s="1"/>
      <c r="NGE212" s="1"/>
      <c r="NGF212" s="1"/>
      <c r="NGG212" s="1"/>
      <c r="NGH212" s="1"/>
      <c r="NGI212" s="1"/>
      <c r="NGJ212" s="1"/>
      <c r="NGK212" s="1"/>
      <c r="NGL212" s="1"/>
      <c r="NGM212" s="1"/>
      <c r="NGN212" s="1"/>
      <c r="NGO212" s="1"/>
      <c r="NGP212" s="1"/>
      <c r="NGQ212" s="1"/>
      <c r="NGR212" s="1"/>
      <c r="NGS212" s="1"/>
      <c r="NGT212" s="1"/>
      <c r="NGU212" s="1"/>
      <c r="NGV212" s="1"/>
      <c r="NGW212" s="1"/>
      <c r="NGX212" s="1"/>
      <c r="NGY212" s="1"/>
      <c r="NGZ212" s="1"/>
      <c r="NHA212" s="1"/>
      <c r="NHB212" s="1"/>
      <c r="NHC212" s="1"/>
      <c r="NHD212" s="1"/>
      <c r="NHE212" s="1"/>
      <c r="NHF212" s="1"/>
      <c r="NHG212" s="1"/>
      <c r="NHH212" s="1"/>
      <c r="NHI212" s="1"/>
      <c r="NHJ212" s="1"/>
      <c r="NHK212" s="1"/>
      <c r="NHL212" s="1"/>
      <c r="NHM212" s="1"/>
      <c r="NHN212" s="1"/>
      <c r="NHO212" s="1"/>
      <c r="NHP212" s="1"/>
      <c r="NHQ212" s="1"/>
      <c r="NHR212" s="1"/>
      <c r="NHS212" s="1"/>
      <c r="NHT212" s="1"/>
      <c r="NHU212" s="1"/>
      <c r="NHV212" s="1"/>
      <c r="NHW212" s="1"/>
      <c r="NHX212" s="1"/>
      <c r="NHY212" s="1"/>
      <c r="NHZ212" s="1"/>
      <c r="NIA212" s="1"/>
      <c r="NIB212" s="1"/>
      <c r="NIC212" s="1"/>
      <c r="NID212" s="1"/>
      <c r="NIE212" s="1"/>
      <c r="NIF212" s="1"/>
      <c r="NIG212" s="1"/>
      <c r="NIH212" s="1"/>
      <c r="NII212" s="1"/>
      <c r="NIJ212" s="1"/>
      <c r="NIK212" s="1"/>
      <c r="NIL212" s="1"/>
      <c r="NIM212" s="1"/>
      <c r="NIN212" s="1"/>
      <c r="NIO212" s="1"/>
      <c r="NIP212" s="1"/>
      <c r="NIQ212" s="1"/>
      <c r="NIR212" s="1"/>
      <c r="NIS212" s="1"/>
      <c r="NIT212" s="1"/>
      <c r="NIU212" s="1"/>
      <c r="NIV212" s="1"/>
      <c r="NIW212" s="1"/>
      <c r="NIX212" s="1"/>
      <c r="NIY212" s="1"/>
      <c r="NIZ212" s="1"/>
      <c r="NJA212" s="1"/>
      <c r="NJB212" s="1"/>
      <c r="NJC212" s="1"/>
      <c r="NJD212" s="1"/>
      <c r="NJE212" s="1"/>
      <c r="NJF212" s="1"/>
      <c r="NJG212" s="1"/>
      <c r="NJH212" s="1"/>
      <c r="NJI212" s="1"/>
      <c r="NJJ212" s="1"/>
      <c r="NJK212" s="1"/>
      <c r="NJL212" s="1"/>
      <c r="NJM212" s="1"/>
      <c r="NJN212" s="1"/>
      <c r="NJO212" s="1"/>
      <c r="NJP212" s="1"/>
      <c r="NJQ212" s="1"/>
      <c r="NJR212" s="1"/>
      <c r="NJS212" s="1"/>
      <c r="NJT212" s="1"/>
      <c r="NJU212" s="1"/>
      <c r="NJV212" s="1"/>
      <c r="NJW212" s="1"/>
      <c r="NJX212" s="1"/>
      <c r="NJY212" s="1"/>
      <c r="NJZ212" s="1"/>
      <c r="NKA212" s="1"/>
      <c r="NKB212" s="1"/>
      <c r="NKC212" s="1"/>
      <c r="NKD212" s="1"/>
      <c r="NKE212" s="1"/>
      <c r="NKF212" s="1"/>
      <c r="NKG212" s="1"/>
      <c r="NKH212" s="1"/>
      <c r="NKI212" s="1"/>
      <c r="NKJ212" s="1"/>
      <c r="NKK212" s="1"/>
      <c r="NKL212" s="1"/>
      <c r="NKM212" s="1"/>
      <c r="NKN212" s="1"/>
      <c r="NKO212" s="1"/>
      <c r="NKP212" s="1"/>
      <c r="NKQ212" s="1"/>
      <c r="NKR212" s="1"/>
      <c r="NKS212" s="1"/>
      <c r="NKT212" s="1"/>
      <c r="NKU212" s="1"/>
      <c r="NKV212" s="1"/>
      <c r="NKW212" s="1"/>
      <c r="NKX212" s="1"/>
      <c r="NKY212" s="1"/>
      <c r="NKZ212" s="1"/>
      <c r="NLA212" s="1"/>
      <c r="NLB212" s="1"/>
      <c r="NLC212" s="1"/>
      <c r="NLD212" s="1"/>
      <c r="NLE212" s="1"/>
      <c r="NLF212" s="1"/>
      <c r="NLG212" s="1"/>
      <c r="NLH212" s="1"/>
      <c r="NLI212" s="1"/>
      <c r="NLJ212" s="1"/>
      <c r="NLK212" s="1"/>
      <c r="NLL212" s="1"/>
      <c r="NLM212" s="1"/>
      <c r="NLN212" s="1"/>
      <c r="NLO212" s="1"/>
      <c r="NLP212" s="1"/>
      <c r="NLQ212" s="1"/>
      <c r="NLR212" s="1"/>
      <c r="NLS212" s="1"/>
      <c r="NLT212" s="1"/>
      <c r="NLU212" s="1"/>
      <c r="NLV212" s="1"/>
      <c r="NLW212" s="1"/>
      <c r="NLX212" s="1"/>
      <c r="NLY212" s="1"/>
      <c r="NLZ212" s="1"/>
      <c r="NMA212" s="1"/>
      <c r="NMB212" s="1"/>
      <c r="NMC212" s="1"/>
      <c r="NMD212" s="1"/>
      <c r="NME212" s="1"/>
      <c r="NMF212" s="1"/>
      <c r="NMG212" s="1"/>
      <c r="NMH212" s="1"/>
      <c r="NMI212" s="1"/>
      <c r="NMJ212" s="1"/>
      <c r="NMK212" s="1"/>
      <c r="NML212" s="1"/>
      <c r="NMM212" s="1"/>
      <c r="NMN212" s="1"/>
      <c r="NMO212" s="1"/>
      <c r="NMP212" s="1"/>
      <c r="NMQ212" s="1"/>
      <c r="NMR212" s="1"/>
      <c r="NMS212" s="1"/>
      <c r="NMT212" s="1"/>
      <c r="NMU212" s="1"/>
      <c r="NMV212" s="1"/>
      <c r="NMW212" s="1"/>
      <c r="NMX212" s="1"/>
      <c r="NMY212" s="1"/>
      <c r="NMZ212" s="1"/>
      <c r="NNA212" s="1"/>
      <c r="NNB212" s="1"/>
      <c r="NNC212" s="1"/>
      <c r="NND212" s="1"/>
      <c r="NNE212" s="1"/>
      <c r="NNF212" s="1"/>
      <c r="NNG212" s="1"/>
      <c r="NNH212" s="1"/>
      <c r="NNI212" s="1"/>
      <c r="NNJ212" s="1"/>
      <c r="NNK212" s="1"/>
      <c r="NNL212" s="1"/>
      <c r="NNM212" s="1"/>
      <c r="NNN212" s="1"/>
      <c r="NNO212" s="1"/>
      <c r="NNP212" s="1"/>
      <c r="NNQ212" s="1"/>
      <c r="NNR212" s="1"/>
      <c r="NNS212" s="1"/>
      <c r="NNT212" s="1"/>
      <c r="NNU212" s="1"/>
      <c r="NNV212" s="1"/>
      <c r="NNW212" s="1"/>
      <c r="NNX212" s="1"/>
      <c r="NNY212" s="1"/>
      <c r="NNZ212" s="1"/>
      <c r="NOA212" s="1"/>
      <c r="NOB212" s="1"/>
      <c r="NOC212" s="1"/>
      <c r="NOD212" s="1"/>
      <c r="NOE212" s="1"/>
      <c r="NOF212" s="1"/>
      <c r="NOG212" s="1"/>
      <c r="NOH212" s="1"/>
      <c r="NOI212" s="1"/>
      <c r="NOJ212" s="1"/>
      <c r="NOK212" s="1"/>
      <c r="NOL212" s="1"/>
      <c r="NOM212" s="1"/>
      <c r="NON212" s="1"/>
      <c r="NOO212" s="1"/>
      <c r="NOP212" s="1"/>
      <c r="NOQ212" s="1"/>
      <c r="NOR212" s="1"/>
      <c r="NOS212" s="1"/>
      <c r="NOT212" s="1"/>
      <c r="NOU212" s="1"/>
      <c r="NOV212" s="1"/>
      <c r="NOW212" s="1"/>
      <c r="NOX212" s="1"/>
      <c r="NOY212" s="1"/>
      <c r="NOZ212" s="1"/>
      <c r="NPA212" s="1"/>
      <c r="NPB212" s="1"/>
      <c r="NPC212" s="1"/>
      <c r="NPD212" s="1"/>
      <c r="NPE212" s="1"/>
      <c r="NPF212" s="1"/>
      <c r="NPG212" s="1"/>
      <c r="NPH212" s="1"/>
      <c r="NPI212" s="1"/>
      <c r="NPJ212" s="1"/>
      <c r="NPK212" s="1"/>
      <c r="NPL212" s="1"/>
      <c r="NPM212" s="1"/>
      <c r="NPN212" s="1"/>
      <c r="NPO212" s="1"/>
      <c r="NPP212" s="1"/>
      <c r="NPQ212" s="1"/>
      <c r="NPR212" s="1"/>
      <c r="NPS212" s="1"/>
      <c r="NPT212" s="1"/>
      <c r="NPU212" s="1"/>
      <c r="NPV212" s="1"/>
      <c r="NPW212" s="1"/>
      <c r="NPX212" s="1"/>
      <c r="NPY212" s="1"/>
      <c r="NPZ212" s="1"/>
      <c r="NQA212" s="1"/>
      <c r="NQB212" s="1"/>
      <c r="NQC212" s="1"/>
      <c r="NQD212" s="1"/>
      <c r="NQE212" s="1"/>
      <c r="NQF212" s="1"/>
      <c r="NQG212" s="1"/>
      <c r="NQH212" s="1"/>
      <c r="NQI212" s="1"/>
      <c r="NQJ212" s="1"/>
      <c r="NQK212" s="1"/>
      <c r="NQL212" s="1"/>
      <c r="NQM212" s="1"/>
      <c r="NQN212" s="1"/>
      <c r="NQO212" s="1"/>
      <c r="NQP212" s="1"/>
      <c r="NQQ212" s="1"/>
      <c r="NQR212" s="1"/>
      <c r="NQS212" s="1"/>
      <c r="NQT212" s="1"/>
      <c r="NQU212" s="1"/>
      <c r="NQV212" s="1"/>
      <c r="NQW212" s="1"/>
      <c r="NQX212" s="1"/>
      <c r="NQY212" s="1"/>
      <c r="NQZ212" s="1"/>
      <c r="NRA212" s="1"/>
      <c r="NRB212" s="1"/>
      <c r="NRC212" s="1"/>
      <c r="NRD212" s="1"/>
      <c r="NRE212" s="1"/>
      <c r="NRF212" s="1"/>
      <c r="NRG212" s="1"/>
      <c r="NRH212" s="1"/>
      <c r="NRI212" s="1"/>
      <c r="NRJ212" s="1"/>
      <c r="NRK212" s="1"/>
      <c r="NRL212" s="1"/>
      <c r="NRM212" s="1"/>
      <c r="NRN212" s="1"/>
      <c r="NRO212" s="1"/>
      <c r="NRP212" s="1"/>
      <c r="NRQ212" s="1"/>
      <c r="NRR212" s="1"/>
      <c r="NRS212" s="1"/>
      <c r="NRT212" s="1"/>
      <c r="NRU212" s="1"/>
      <c r="NRV212" s="1"/>
      <c r="NRW212" s="1"/>
      <c r="NRX212" s="1"/>
      <c r="NRY212" s="1"/>
      <c r="NRZ212" s="1"/>
      <c r="NSA212" s="1"/>
      <c r="NSB212" s="1"/>
      <c r="NSC212" s="1"/>
      <c r="NSD212" s="1"/>
      <c r="NSE212" s="1"/>
      <c r="NSF212" s="1"/>
      <c r="NSG212" s="1"/>
      <c r="NSH212" s="1"/>
      <c r="NSI212" s="1"/>
      <c r="NSJ212" s="1"/>
      <c r="NSK212" s="1"/>
      <c r="NSL212" s="1"/>
      <c r="NSM212" s="1"/>
      <c r="NSN212" s="1"/>
      <c r="NSO212" s="1"/>
      <c r="NSP212" s="1"/>
      <c r="NSQ212" s="1"/>
      <c r="NSR212" s="1"/>
      <c r="NSS212" s="1"/>
      <c r="NST212" s="1"/>
      <c r="NSU212" s="1"/>
      <c r="NSV212" s="1"/>
      <c r="NSW212" s="1"/>
      <c r="NSX212" s="1"/>
      <c r="NSY212" s="1"/>
      <c r="NSZ212" s="1"/>
      <c r="NTA212" s="1"/>
      <c r="NTB212" s="1"/>
      <c r="NTC212" s="1"/>
      <c r="NTD212" s="1"/>
      <c r="NTE212" s="1"/>
      <c r="NTF212" s="1"/>
      <c r="NTG212" s="1"/>
      <c r="NTH212" s="1"/>
      <c r="NTI212" s="1"/>
      <c r="NTJ212" s="1"/>
      <c r="NTK212" s="1"/>
      <c r="NTL212" s="1"/>
      <c r="NTM212" s="1"/>
      <c r="NTN212" s="1"/>
      <c r="NTO212" s="1"/>
      <c r="NTP212" s="1"/>
      <c r="NTQ212" s="1"/>
      <c r="NTR212" s="1"/>
      <c r="NTS212" s="1"/>
      <c r="NTT212" s="1"/>
      <c r="NTU212" s="1"/>
      <c r="NTV212" s="1"/>
      <c r="NTW212" s="1"/>
      <c r="NTX212" s="1"/>
      <c r="NTY212" s="1"/>
      <c r="NTZ212" s="1"/>
      <c r="NUA212" s="1"/>
      <c r="NUB212" s="1"/>
      <c r="NUC212" s="1"/>
      <c r="NUD212" s="1"/>
      <c r="NUE212" s="1"/>
      <c r="NUF212" s="1"/>
      <c r="NUG212" s="1"/>
      <c r="NUH212" s="1"/>
      <c r="NUI212" s="1"/>
      <c r="NUJ212" s="1"/>
      <c r="NUK212" s="1"/>
      <c r="NUL212" s="1"/>
      <c r="NUM212" s="1"/>
      <c r="NUN212" s="1"/>
      <c r="NUO212" s="1"/>
      <c r="NUP212" s="1"/>
      <c r="NUQ212" s="1"/>
      <c r="NUR212" s="1"/>
      <c r="NUS212" s="1"/>
      <c r="NUT212" s="1"/>
      <c r="NUU212" s="1"/>
      <c r="NUV212" s="1"/>
      <c r="NUW212" s="1"/>
      <c r="NUX212" s="1"/>
      <c r="NUY212" s="1"/>
      <c r="NUZ212" s="1"/>
      <c r="NVA212" s="1"/>
      <c r="NVB212" s="1"/>
      <c r="NVC212" s="1"/>
      <c r="NVD212" s="1"/>
      <c r="NVE212" s="1"/>
      <c r="NVF212" s="1"/>
      <c r="NVG212" s="1"/>
      <c r="NVH212" s="1"/>
      <c r="NVI212" s="1"/>
      <c r="NVJ212" s="1"/>
      <c r="NVK212" s="1"/>
      <c r="NVL212" s="1"/>
      <c r="NVM212" s="1"/>
      <c r="NVN212" s="1"/>
      <c r="NVO212" s="1"/>
      <c r="NVP212" s="1"/>
      <c r="NVQ212" s="1"/>
      <c r="NVR212" s="1"/>
      <c r="NVS212" s="1"/>
      <c r="NVT212" s="1"/>
      <c r="NVU212" s="1"/>
      <c r="NVV212" s="1"/>
      <c r="NVW212" s="1"/>
      <c r="NVX212" s="1"/>
      <c r="NVY212" s="1"/>
      <c r="NVZ212" s="1"/>
      <c r="NWA212" s="1"/>
      <c r="NWB212" s="1"/>
      <c r="NWC212" s="1"/>
      <c r="NWD212" s="1"/>
      <c r="NWE212" s="1"/>
      <c r="NWF212" s="1"/>
      <c r="NWG212" s="1"/>
      <c r="NWH212" s="1"/>
      <c r="NWI212" s="1"/>
      <c r="NWJ212" s="1"/>
      <c r="NWK212" s="1"/>
      <c r="NWL212" s="1"/>
      <c r="NWM212" s="1"/>
      <c r="NWN212" s="1"/>
      <c r="NWO212" s="1"/>
      <c r="NWP212" s="1"/>
      <c r="NWQ212" s="1"/>
      <c r="NWR212" s="1"/>
      <c r="NWS212" s="1"/>
      <c r="NWT212" s="1"/>
      <c r="NWU212" s="1"/>
      <c r="NWV212" s="1"/>
      <c r="NWW212" s="1"/>
      <c r="NWX212" s="1"/>
      <c r="NWY212" s="1"/>
      <c r="NWZ212" s="1"/>
      <c r="NXA212" s="1"/>
      <c r="NXB212" s="1"/>
      <c r="NXC212" s="1"/>
      <c r="NXD212" s="1"/>
      <c r="NXE212" s="1"/>
      <c r="NXF212" s="1"/>
      <c r="NXG212" s="1"/>
      <c r="NXH212" s="1"/>
      <c r="NXI212" s="1"/>
      <c r="NXJ212" s="1"/>
      <c r="NXK212" s="1"/>
      <c r="NXL212" s="1"/>
      <c r="NXM212" s="1"/>
      <c r="NXN212" s="1"/>
      <c r="NXO212" s="1"/>
      <c r="NXP212" s="1"/>
      <c r="NXQ212" s="1"/>
      <c r="NXR212" s="1"/>
      <c r="NXS212" s="1"/>
      <c r="NXT212" s="1"/>
      <c r="NXU212" s="1"/>
      <c r="NXV212" s="1"/>
      <c r="NXW212" s="1"/>
      <c r="NXX212" s="1"/>
      <c r="NXY212" s="1"/>
      <c r="NXZ212" s="1"/>
      <c r="NYA212" s="1"/>
      <c r="NYB212" s="1"/>
      <c r="NYC212" s="1"/>
      <c r="NYD212" s="1"/>
      <c r="NYE212" s="1"/>
      <c r="NYF212" s="1"/>
      <c r="NYG212" s="1"/>
      <c r="NYH212" s="1"/>
      <c r="NYI212" s="1"/>
      <c r="NYJ212" s="1"/>
      <c r="NYK212" s="1"/>
      <c r="NYL212" s="1"/>
      <c r="NYM212" s="1"/>
      <c r="NYN212" s="1"/>
      <c r="NYO212" s="1"/>
      <c r="NYP212" s="1"/>
      <c r="NYQ212" s="1"/>
      <c r="NYR212" s="1"/>
      <c r="NYS212" s="1"/>
      <c r="NYT212" s="1"/>
      <c r="NYU212" s="1"/>
      <c r="NYV212" s="1"/>
      <c r="NYW212" s="1"/>
      <c r="NYX212" s="1"/>
      <c r="NYY212" s="1"/>
      <c r="NYZ212" s="1"/>
      <c r="NZA212" s="1"/>
      <c r="NZB212" s="1"/>
      <c r="NZC212" s="1"/>
      <c r="NZD212" s="1"/>
      <c r="NZE212" s="1"/>
      <c r="NZF212" s="1"/>
      <c r="NZG212" s="1"/>
      <c r="NZH212" s="1"/>
      <c r="NZI212" s="1"/>
      <c r="NZJ212" s="1"/>
      <c r="NZK212" s="1"/>
      <c r="NZL212" s="1"/>
      <c r="NZM212" s="1"/>
      <c r="NZN212" s="1"/>
      <c r="NZO212" s="1"/>
      <c r="NZP212" s="1"/>
      <c r="NZQ212" s="1"/>
      <c r="NZR212" s="1"/>
      <c r="NZS212" s="1"/>
      <c r="NZT212" s="1"/>
      <c r="NZU212" s="1"/>
      <c r="NZV212" s="1"/>
      <c r="NZW212" s="1"/>
      <c r="NZX212" s="1"/>
      <c r="NZY212" s="1"/>
      <c r="NZZ212" s="1"/>
      <c r="OAA212" s="1"/>
      <c r="OAB212" s="1"/>
      <c r="OAC212" s="1"/>
      <c r="OAD212" s="1"/>
      <c r="OAE212" s="1"/>
      <c r="OAF212" s="1"/>
      <c r="OAG212" s="1"/>
      <c r="OAH212" s="1"/>
      <c r="OAI212" s="1"/>
      <c r="OAJ212" s="1"/>
      <c r="OAK212" s="1"/>
      <c r="OAL212" s="1"/>
      <c r="OAM212" s="1"/>
      <c r="OAN212" s="1"/>
      <c r="OAO212" s="1"/>
      <c r="OAP212" s="1"/>
      <c r="OAQ212" s="1"/>
      <c r="OAR212" s="1"/>
      <c r="OAS212" s="1"/>
      <c r="OAT212" s="1"/>
      <c r="OAU212" s="1"/>
      <c r="OAV212" s="1"/>
      <c r="OAW212" s="1"/>
      <c r="OAX212" s="1"/>
      <c r="OAY212" s="1"/>
      <c r="OAZ212" s="1"/>
      <c r="OBA212" s="1"/>
      <c r="OBB212" s="1"/>
      <c r="OBC212" s="1"/>
      <c r="OBD212" s="1"/>
      <c r="OBE212" s="1"/>
      <c r="OBF212" s="1"/>
      <c r="OBG212" s="1"/>
      <c r="OBH212" s="1"/>
      <c r="OBI212" s="1"/>
      <c r="OBJ212" s="1"/>
      <c r="OBK212" s="1"/>
      <c r="OBL212" s="1"/>
      <c r="OBM212" s="1"/>
      <c r="OBN212" s="1"/>
      <c r="OBO212" s="1"/>
      <c r="OBP212" s="1"/>
      <c r="OBQ212" s="1"/>
      <c r="OBR212" s="1"/>
      <c r="OBS212" s="1"/>
      <c r="OBT212" s="1"/>
      <c r="OBU212" s="1"/>
      <c r="OBV212" s="1"/>
      <c r="OBW212" s="1"/>
      <c r="OBX212" s="1"/>
      <c r="OBY212" s="1"/>
      <c r="OBZ212" s="1"/>
      <c r="OCA212" s="1"/>
      <c r="OCB212" s="1"/>
      <c r="OCC212" s="1"/>
      <c r="OCD212" s="1"/>
      <c r="OCE212" s="1"/>
      <c r="OCF212" s="1"/>
      <c r="OCG212" s="1"/>
      <c r="OCH212" s="1"/>
      <c r="OCI212" s="1"/>
      <c r="OCJ212" s="1"/>
      <c r="OCK212" s="1"/>
      <c r="OCL212" s="1"/>
      <c r="OCM212" s="1"/>
      <c r="OCN212" s="1"/>
      <c r="OCO212" s="1"/>
      <c r="OCP212" s="1"/>
      <c r="OCQ212" s="1"/>
      <c r="OCR212" s="1"/>
      <c r="OCS212" s="1"/>
      <c r="OCT212" s="1"/>
      <c r="OCU212" s="1"/>
      <c r="OCV212" s="1"/>
      <c r="OCW212" s="1"/>
      <c r="OCX212" s="1"/>
      <c r="OCY212" s="1"/>
      <c r="OCZ212" s="1"/>
      <c r="ODA212" s="1"/>
      <c r="ODB212" s="1"/>
      <c r="ODC212" s="1"/>
      <c r="ODD212" s="1"/>
      <c r="ODE212" s="1"/>
      <c r="ODF212" s="1"/>
      <c r="ODG212" s="1"/>
      <c r="ODH212" s="1"/>
      <c r="ODI212" s="1"/>
      <c r="ODJ212" s="1"/>
      <c r="ODK212" s="1"/>
      <c r="ODL212" s="1"/>
      <c r="ODM212" s="1"/>
      <c r="ODN212" s="1"/>
      <c r="ODO212" s="1"/>
      <c r="ODP212" s="1"/>
      <c r="ODQ212" s="1"/>
      <c r="ODR212" s="1"/>
      <c r="ODS212" s="1"/>
      <c r="ODT212" s="1"/>
      <c r="ODU212" s="1"/>
      <c r="ODV212" s="1"/>
      <c r="ODW212" s="1"/>
      <c r="ODX212" s="1"/>
      <c r="ODY212" s="1"/>
      <c r="ODZ212" s="1"/>
      <c r="OEA212" s="1"/>
      <c r="OEB212" s="1"/>
      <c r="OEC212" s="1"/>
      <c r="OED212" s="1"/>
      <c r="OEE212" s="1"/>
      <c r="OEF212" s="1"/>
      <c r="OEG212" s="1"/>
      <c r="OEH212" s="1"/>
      <c r="OEI212" s="1"/>
      <c r="OEJ212" s="1"/>
      <c r="OEK212" s="1"/>
      <c r="OEL212" s="1"/>
      <c r="OEM212" s="1"/>
      <c r="OEN212" s="1"/>
      <c r="OEO212" s="1"/>
      <c r="OEP212" s="1"/>
      <c r="OEQ212" s="1"/>
      <c r="OER212" s="1"/>
      <c r="OES212" s="1"/>
      <c r="OET212" s="1"/>
      <c r="OEU212" s="1"/>
      <c r="OEV212" s="1"/>
      <c r="OEW212" s="1"/>
      <c r="OEX212" s="1"/>
      <c r="OEY212" s="1"/>
      <c r="OEZ212" s="1"/>
      <c r="OFA212" s="1"/>
      <c r="OFB212" s="1"/>
      <c r="OFC212" s="1"/>
      <c r="OFD212" s="1"/>
      <c r="OFE212" s="1"/>
      <c r="OFF212" s="1"/>
      <c r="OFG212" s="1"/>
      <c r="OFH212" s="1"/>
      <c r="OFI212" s="1"/>
      <c r="OFJ212" s="1"/>
      <c r="OFK212" s="1"/>
      <c r="OFL212" s="1"/>
      <c r="OFM212" s="1"/>
      <c r="OFN212" s="1"/>
      <c r="OFO212" s="1"/>
      <c r="OFP212" s="1"/>
      <c r="OFQ212" s="1"/>
      <c r="OFR212" s="1"/>
      <c r="OFS212" s="1"/>
      <c r="OFT212" s="1"/>
      <c r="OFU212" s="1"/>
      <c r="OFV212" s="1"/>
      <c r="OFW212" s="1"/>
      <c r="OFX212" s="1"/>
      <c r="OFY212" s="1"/>
      <c r="OFZ212" s="1"/>
      <c r="OGA212" s="1"/>
      <c r="OGB212" s="1"/>
      <c r="OGC212" s="1"/>
      <c r="OGD212" s="1"/>
      <c r="OGE212" s="1"/>
      <c r="OGF212" s="1"/>
      <c r="OGG212" s="1"/>
      <c r="OGH212" s="1"/>
      <c r="OGI212" s="1"/>
      <c r="OGJ212" s="1"/>
      <c r="OGK212" s="1"/>
      <c r="OGL212" s="1"/>
      <c r="OGM212" s="1"/>
      <c r="OGN212" s="1"/>
      <c r="OGO212" s="1"/>
      <c r="OGP212" s="1"/>
      <c r="OGQ212" s="1"/>
      <c r="OGR212" s="1"/>
      <c r="OGS212" s="1"/>
      <c r="OGT212" s="1"/>
      <c r="OGU212" s="1"/>
      <c r="OGV212" s="1"/>
      <c r="OGW212" s="1"/>
      <c r="OGX212" s="1"/>
      <c r="OGY212" s="1"/>
      <c r="OGZ212" s="1"/>
      <c r="OHA212" s="1"/>
      <c r="OHB212" s="1"/>
      <c r="OHC212" s="1"/>
      <c r="OHD212" s="1"/>
      <c r="OHE212" s="1"/>
      <c r="OHF212" s="1"/>
      <c r="OHG212" s="1"/>
      <c r="OHH212" s="1"/>
      <c r="OHI212" s="1"/>
      <c r="OHJ212" s="1"/>
      <c r="OHK212" s="1"/>
      <c r="OHL212" s="1"/>
      <c r="OHM212" s="1"/>
      <c r="OHN212" s="1"/>
      <c r="OHO212" s="1"/>
      <c r="OHP212" s="1"/>
      <c r="OHQ212" s="1"/>
      <c r="OHR212" s="1"/>
      <c r="OHS212" s="1"/>
      <c r="OHT212" s="1"/>
      <c r="OHU212" s="1"/>
      <c r="OHV212" s="1"/>
      <c r="OHW212" s="1"/>
      <c r="OHX212" s="1"/>
      <c r="OHY212" s="1"/>
      <c r="OHZ212" s="1"/>
      <c r="OIA212" s="1"/>
      <c r="OIB212" s="1"/>
      <c r="OIC212" s="1"/>
      <c r="OID212" s="1"/>
      <c r="OIE212" s="1"/>
      <c r="OIF212" s="1"/>
      <c r="OIG212" s="1"/>
      <c r="OIH212" s="1"/>
      <c r="OII212" s="1"/>
      <c r="OIJ212" s="1"/>
      <c r="OIK212" s="1"/>
      <c r="OIL212" s="1"/>
      <c r="OIM212" s="1"/>
      <c r="OIN212" s="1"/>
      <c r="OIO212" s="1"/>
      <c r="OIP212" s="1"/>
      <c r="OIQ212" s="1"/>
      <c r="OIR212" s="1"/>
      <c r="OIS212" s="1"/>
      <c r="OIT212" s="1"/>
      <c r="OIU212" s="1"/>
      <c r="OIV212" s="1"/>
      <c r="OIW212" s="1"/>
      <c r="OIX212" s="1"/>
      <c r="OIY212" s="1"/>
      <c r="OIZ212" s="1"/>
      <c r="OJA212" s="1"/>
      <c r="OJB212" s="1"/>
      <c r="OJC212" s="1"/>
      <c r="OJD212" s="1"/>
      <c r="OJE212" s="1"/>
      <c r="OJF212" s="1"/>
      <c r="OJG212" s="1"/>
      <c r="OJH212" s="1"/>
      <c r="OJI212" s="1"/>
      <c r="OJJ212" s="1"/>
      <c r="OJK212" s="1"/>
      <c r="OJL212" s="1"/>
      <c r="OJM212" s="1"/>
      <c r="OJN212" s="1"/>
      <c r="OJO212" s="1"/>
      <c r="OJP212" s="1"/>
      <c r="OJQ212" s="1"/>
      <c r="OJR212" s="1"/>
      <c r="OJS212" s="1"/>
      <c r="OJT212" s="1"/>
      <c r="OJU212" s="1"/>
      <c r="OJV212" s="1"/>
      <c r="OJW212" s="1"/>
      <c r="OJX212" s="1"/>
      <c r="OJY212" s="1"/>
      <c r="OJZ212" s="1"/>
      <c r="OKA212" s="1"/>
      <c r="OKB212" s="1"/>
      <c r="OKC212" s="1"/>
      <c r="OKD212" s="1"/>
      <c r="OKE212" s="1"/>
      <c r="OKF212" s="1"/>
      <c r="OKG212" s="1"/>
      <c r="OKH212" s="1"/>
      <c r="OKI212" s="1"/>
      <c r="OKJ212" s="1"/>
      <c r="OKK212" s="1"/>
      <c r="OKL212" s="1"/>
      <c r="OKM212" s="1"/>
      <c r="OKN212" s="1"/>
      <c r="OKO212" s="1"/>
      <c r="OKP212" s="1"/>
      <c r="OKQ212" s="1"/>
      <c r="OKR212" s="1"/>
      <c r="OKS212" s="1"/>
      <c r="OKT212" s="1"/>
      <c r="OKU212" s="1"/>
      <c r="OKV212" s="1"/>
      <c r="OKW212" s="1"/>
      <c r="OKX212" s="1"/>
      <c r="OKY212" s="1"/>
      <c r="OKZ212" s="1"/>
      <c r="OLA212" s="1"/>
      <c r="OLB212" s="1"/>
      <c r="OLC212" s="1"/>
      <c r="OLD212" s="1"/>
      <c r="OLE212" s="1"/>
      <c r="OLF212" s="1"/>
      <c r="OLG212" s="1"/>
      <c r="OLH212" s="1"/>
      <c r="OLI212" s="1"/>
      <c r="OLJ212" s="1"/>
      <c r="OLK212" s="1"/>
      <c r="OLL212" s="1"/>
      <c r="OLM212" s="1"/>
      <c r="OLN212" s="1"/>
      <c r="OLO212" s="1"/>
      <c r="OLP212" s="1"/>
      <c r="OLQ212" s="1"/>
      <c r="OLR212" s="1"/>
      <c r="OLS212" s="1"/>
      <c r="OLT212" s="1"/>
      <c r="OLU212" s="1"/>
      <c r="OLV212" s="1"/>
      <c r="OLW212" s="1"/>
      <c r="OLX212" s="1"/>
      <c r="OLY212" s="1"/>
      <c r="OLZ212" s="1"/>
      <c r="OMA212" s="1"/>
      <c r="OMB212" s="1"/>
      <c r="OMC212" s="1"/>
      <c r="OMD212" s="1"/>
      <c r="OME212" s="1"/>
      <c r="OMF212" s="1"/>
      <c r="OMG212" s="1"/>
      <c r="OMH212" s="1"/>
      <c r="OMI212" s="1"/>
      <c r="OMJ212" s="1"/>
      <c r="OMK212" s="1"/>
      <c r="OML212" s="1"/>
      <c r="OMM212" s="1"/>
      <c r="OMN212" s="1"/>
      <c r="OMO212" s="1"/>
      <c r="OMP212" s="1"/>
      <c r="OMQ212" s="1"/>
      <c r="OMR212" s="1"/>
      <c r="OMS212" s="1"/>
      <c r="OMT212" s="1"/>
      <c r="OMU212" s="1"/>
      <c r="OMV212" s="1"/>
      <c r="OMW212" s="1"/>
      <c r="OMX212" s="1"/>
      <c r="OMY212" s="1"/>
      <c r="OMZ212" s="1"/>
      <c r="ONA212" s="1"/>
      <c r="ONB212" s="1"/>
      <c r="ONC212" s="1"/>
      <c r="OND212" s="1"/>
      <c r="ONE212" s="1"/>
      <c r="ONF212" s="1"/>
      <c r="ONG212" s="1"/>
      <c r="ONH212" s="1"/>
      <c r="ONI212" s="1"/>
      <c r="ONJ212" s="1"/>
      <c r="ONK212" s="1"/>
      <c r="ONL212" s="1"/>
      <c r="ONM212" s="1"/>
      <c r="ONN212" s="1"/>
      <c r="ONO212" s="1"/>
      <c r="ONP212" s="1"/>
      <c r="ONQ212" s="1"/>
      <c r="ONR212" s="1"/>
      <c r="ONS212" s="1"/>
      <c r="ONT212" s="1"/>
      <c r="ONU212" s="1"/>
      <c r="ONV212" s="1"/>
      <c r="ONW212" s="1"/>
      <c r="ONX212" s="1"/>
      <c r="ONY212" s="1"/>
      <c r="ONZ212" s="1"/>
      <c r="OOA212" s="1"/>
      <c r="OOB212" s="1"/>
      <c r="OOC212" s="1"/>
      <c r="OOD212" s="1"/>
      <c r="OOE212" s="1"/>
      <c r="OOF212" s="1"/>
      <c r="OOG212" s="1"/>
      <c r="OOH212" s="1"/>
      <c r="OOI212" s="1"/>
      <c r="OOJ212" s="1"/>
      <c r="OOK212" s="1"/>
      <c r="OOL212" s="1"/>
      <c r="OOM212" s="1"/>
      <c r="OON212" s="1"/>
      <c r="OOO212" s="1"/>
      <c r="OOP212" s="1"/>
      <c r="OOQ212" s="1"/>
      <c r="OOR212" s="1"/>
      <c r="OOS212" s="1"/>
      <c r="OOT212" s="1"/>
      <c r="OOU212" s="1"/>
      <c r="OOV212" s="1"/>
      <c r="OOW212" s="1"/>
      <c r="OOX212" s="1"/>
      <c r="OOY212" s="1"/>
      <c r="OOZ212" s="1"/>
      <c r="OPA212" s="1"/>
      <c r="OPB212" s="1"/>
      <c r="OPC212" s="1"/>
      <c r="OPD212" s="1"/>
      <c r="OPE212" s="1"/>
      <c r="OPF212" s="1"/>
      <c r="OPG212" s="1"/>
      <c r="OPH212" s="1"/>
      <c r="OPI212" s="1"/>
      <c r="OPJ212" s="1"/>
      <c r="OPK212" s="1"/>
      <c r="OPL212" s="1"/>
      <c r="OPM212" s="1"/>
      <c r="OPN212" s="1"/>
      <c r="OPO212" s="1"/>
      <c r="OPP212" s="1"/>
      <c r="OPQ212" s="1"/>
      <c r="OPR212" s="1"/>
      <c r="OPS212" s="1"/>
      <c r="OPT212" s="1"/>
      <c r="OPU212" s="1"/>
      <c r="OPV212" s="1"/>
      <c r="OPW212" s="1"/>
      <c r="OPX212" s="1"/>
      <c r="OPY212" s="1"/>
      <c r="OPZ212" s="1"/>
      <c r="OQA212" s="1"/>
      <c r="OQB212" s="1"/>
      <c r="OQC212" s="1"/>
      <c r="OQD212" s="1"/>
      <c r="OQE212" s="1"/>
      <c r="OQF212" s="1"/>
      <c r="OQG212" s="1"/>
      <c r="OQH212" s="1"/>
      <c r="OQI212" s="1"/>
      <c r="OQJ212" s="1"/>
      <c r="OQK212" s="1"/>
      <c r="OQL212" s="1"/>
      <c r="OQM212" s="1"/>
      <c r="OQN212" s="1"/>
      <c r="OQO212" s="1"/>
      <c r="OQP212" s="1"/>
      <c r="OQQ212" s="1"/>
      <c r="OQR212" s="1"/>
      <c r="OQS212" s="1"/>
      <c r="OQT212" s="1"/>
      <c r="OQU212" s="1"/>
      <c r="OQV212" s="1"/>
      <c r="OQW212" s="1"/>
      <c r="OQX212" s="1"/>
      <c r="OQY212" s="1"/>
      <c r="OQZ212" s="1"/>
      <c r="ORA212" s="1"/>
      <c r="ORB212" s="1"/>
      <c r="ORC212" s="1"/>
      <c r="ORD212" s="1"/>
      <c r="ORE212" s="1"/>
      <c r="ORF212" s="1"/>
      <c r="ORG212" s="1"/>
      <c r="ORH212" s="1"/>
      <c r="ORI212" s="1"/>
      <c r="ORJ212" s="1"/>
      <c r="ORK212" s="1"/>
      <c r="ORL212" s="1"/>
      <c r="ORM212" s="1"/>
      <c r="ORN212" s="1"/>
      <c r="ORO212" s="1"/>
      <c r="ORP212" s="1"/>
      <c r="ORQ212" s="1"/>
      <c r="ORR212" s="1"/>
      <c r="ORS212" s="1"/>
      <c r="ORT212" s="1"/>
      <c r="ORU212" s="1"/>
      <c r="ORV212" s="1"/>
      <c r="ORW212" s="1"/>
      <c r="ORX212" s="1"/>
      <c r="ORY212" s="1"/>
      <c r="ORZ212" s="1"/>
      <c r="OSA212" s="1"/>
      <c r="OSB212" s="1"/>
      <c r="OSC212" s="1"/>
      <c r="OSD212" s="1"/>
      <c r="OSE212" s="1"/>
      <c r="OSF212" s="1"/>
      <c r="OSG212" s="1"/>
      <c r="OSH212" s="1"/>
      <c r="OSI212" s="1"/>
      <c r="OSJ212" s="1"/>
      <c r="OSK212" s="1"/>
      <c r="OSL212" s="1"/>
      <c r="OSM212" s="1"/>
      <c r="OSN212" s="1"/>
      <c r="OSO212" s="1"/>
      <c r="OSP212" s="1"/>
      <c r="OSQ212" s="1"/>
      <c r="OSR212" s="1"/>
      <c r="OSS212" s="1"/>
      <c r="OST212" s="1"/>
      <c r="OSU212" s="1"/>
      <c r="OSV212" s="1"/>
      <c r="OSW212" s="1"/>
      <c r="OSX212" s="1"/>
      <c r="OSY212" s="1"/>
      <c r="OSZ212" s="1"/>
      <c r="OTA212" s="1"/>
      <c r="OTB212" s="1"/>
      <c r="OTC212" s="1"/>
      <c r="OTD212" s="1"/>
      <c r="OTE212" s="1"/>
      <c r="OTF212" s="1"/>
      <c r="OTG212" s="1"/>
      <c r="OTH212" s="1"/>
      <c r="OTI212" s="1"/>
      <c r="OTJ212" s="1"/>
      <c r="OTK212" s="1"/>
      <c r="OTL212" s="1"/>
      <c r="OTM212" s="1"/>
      <c r="OTN212" s="1"/>
      <c r="OTO212" s="1"/>
      <c r="OTP212" s="1"/>
      <c r="OTQ212" s="1"/>
      <c r="OTR212" s="1"/>
      <c r="OTS212" s="1"/>
      <c r="OTT212" s="1"/>
      <c r="OTU212" s="1"/>
      <c r="OTV212" s="1"/>
      <c r="OTW212" s="1"/>
      <c r="OTX212" s="1"/>
      <c r="OTY212" s="1"/>
      <c r="OTZ212" s="1"/>
      <c r="OUA212" s="1"/>
      <c r="OUB212" s="1"/>
      <c r="OUC212" s="1"/>
      <c r="OUD212" s="1"/>
      <c r="OUE212" s="1"/>
      <c r="OUF212" s="1"/>
      <c r="OUG212" s="1"/>
      <c r="OUH212" s="1"/>
      <c r="OUI212" s="1"/>
      <c r="OUJ212" s="1"/>
      <c r="OUK212" s="1"/>
      <c r="OUL212" s="1"/>
      <c r="OUM212" s="1"/>
      <c r="OUN212" s="1"/>
      <c r="OUO212" s="1"/>
      <c r="OUP212" s="1"/>
      <c r="OUQ212" s="1"/>
      <c r="OUR212" s="1"/>
      <c r="OUS212" s="1"/>
      <c r="OUT212" s="1"/>
      <c r="OUU212" s="1"/>
      <c r="OUV212" s="1"/>
      <c r="OUW212" s="1"/>
      <c r="OUX212" s="1"/>
      <c r="OUY212" s="1"/>
      <c r="OUZ212" s="1"/>
      <c r="OVA212" s="1"/>
      <c r="OVB212" s="1"/>
      <c r="OVC212" s="1"/>
      <c r="OVD212" s="1"/>
      <c r="OVE212" s="1"/>
      <c r="OVF212" s="1"/>
      <c r="OVG212" s="1"/>
      <c r="OVH212" s="1"/>
      <c r="OVI212" s="1"/>
      <c r="OVJ212" s="1"/>
      <c r="OVK212" s="1"/>
      <c r="OVL212" s="1"/>
      <c r="OVM212" s="1"/>
      <c r="OVN212" s="1"/>
      <c r="OVO212" s="1"/>
      <c r="OVP212" s="1"/>
      <c r="OVQ212" s="1"/>
      <c r="OVR212" s="1"/>
      <c r="OVS212" s="1"/>
      <c r="OVT212" s="1"/>
      <c r="OVU212" s="1"/>
      <c r="OVV212" s="1"/>
      <c r="OVW212" s="1"/>
      <c r="OVX212" s="1"/>
      <c r="OVY212" s="1"/>
      <c r="OVZ212" s="1"/>
      <c r="OWA212" s="1"/>
      <c r="OWB212" s="1"/>
      <c r="OWC212" s="1"/>
      <c r="OWD212" s="1"/>
      <c r="OWE212" s="1"/>
      <c r="OWF212" s="1"/>
      <c r="OWG212" s="1"/>
      <c r="OWH212" s="1"/>
      <c r="OWI212" s="1"/>
      <c r="OWJ212" s="1"/>
      <c r="OWK212" s="1"/>
      <c r="OWL212" s="1"/>
      <c r="OWM212" s="1"/>
      <c r="OWN212" s="1"/>
      <c r="OWO212" s="1"/>
      <c r="OWP212" s="1"/>
      <c r="OWQ212" s="1"/>
      <c r="OWR212" s="1"/>
      <c r="OWS212" s="1"/>
      <c r="OWT212" s="1"/>
      <c r="OWU212" s="1"/>
      <c r="OWV212" s="1"/>
      <c r="OWW212" s="1"/>
      <c r="OWX212" s="1"/>
      <c r="OWY212" s="1"/>
      <c r="OWZ212" s="1"/>
      <c r="OXA212" s="1"/>
      <c r="OXB212" s="1"/>
      <c r="OXC212" s="1"/>
      <c r="OXD212" s="1"/>
      <c r="OXE212" s="1"/>
      <c r="OXF212" s="1"/>
      <c r="OXG212" s="1"/>
      <c r="OXH212" s="1"/>
      <c r="OXI212" s="1"/>
      <c r="OXJ212" s="1"/>
      <c r="OXK212" s="1"/>
      <c r="OXL212" s="1"/>
      <c r="OXM212" s="1"/>
      <c r="OXN212" s="1"/>
      <c r="OXO212" s="1"/>
      <c r="OXP212" s="1"/>
      <c r="OXQ212" s="1"/>
      <c r="OXR212" s="1"/>
      <c r="OXS212" s="1"/>
      <c r="OXT212" s="1"/>
      <c r="OXU212" s="1"/>
      <c r="OXV212" s="1"/>
      <c r="OXW212" s="1"/>
      <c r="OXX212" s="1"/>
      <c r="OXY212" s="1"/>
      <c r="OXZ212" s="1"/>
      <c r="OYA212" s="1"/>
      <c r="OYB212" s="1"/>
      <c r="OYC212" s="1"/>
      <c r="OYD212" s="1"/>
      <c r="OYE212" s="1"/>
      <c r="OYF212" s="1"/>
      <c r="OYG212" s="1"/>
      <c r="OYH212" s="1"/>
      <c r="OYI212" s="1"/>
      <c r="OYJ212" s="1"/>
      <c r="OYK212" s="1"/>
      <c r="OYL212" s="1"/>
      <c r="OYM212" s="1"/>
      <c r="OYN212" s="1"/>
      <c r="OYO212" s="1"/>
      <c r="OYP212" s="1"/>
      <c r="OYQ212" s="1"/>
      <c r="OYR212" s="1"/>
      <c r="OYS212" s="1"/>
      <c r="OYT212" s="1"/>
      <c r="OYU212" s="1"/>
      <c r="OYV212" s="1"/>
      <c r="OYW212" s="1"/>
      <c r="OYX212" s="1"/>
      <c r="OYY212" s="1"/>
      <c r="OYZ212" s="1"/>
      <c r="OZA212" s="1"/>
      <c r="OZB212" s="1"/>
      <c r="OZC212" s="1"/>
      <c r="OZD212" s="1"/>
      <c r="OZE212" s="1"/>
      <c r="OZF212" s="1"/>
      <c r="OZG212" s="1"/>
      <c r="OZH212" s="1"/>
      <c r="OZI212" s="1"/>
      <c r="OZJ212" s="1"/>
      <c r="OZK212" s="1"/>
      <c r="OZL212" s="1"/>
      <c r="OZM212" s="1"/>
      <c r="OZN212" s="1"/>
      <c r="OZO212" s="1"/>
      <c r="OZP212" s="1"/>
      <c r="OZQ212" s="1"/>
      <c r="OZR212" s="1"/>
      <c r="OZS212" s="1"/>
      <c r="OZT212" s="1"/>
      <c r="OZU212" s="1"/>
      <c r="OZV212" s="1"/>
      <c r="OZW212" s="1"/>
      <c r="OZX212" s="1"/>
      <c r="OZY212" s="1"/>
      <c r="OZZ212" s="1"/>
      <c r="PAA212" s="1"/>
      <c r="PAB212" s="1"/>
      <c r="PAC212" s="1"/>
      <c r="PAD212" s="1"/>
      <c r="PAE212" s="1"/>
      <c r="PAF212" s="1"/>
      <c r="PAG212" s="1"/>
      <c r="PAH212" s="1"/>
      <c r="PAI212" s="1"/>
      <c r="PAJ212" s="1"/>
      <c r="PAK212" s="1"/>
      <c r="PAL212" s="1"/>
      <c r="PAM212" s="1"/>
      <c r="PAN212" s="1"/>
      <c r="PAO212" s="1"/>
      <c r="PAP212" s="1"/>
      <c r="PAQ212" s="1"/>
      <c r="PAR212" s="1"/>
      <c r="PAS212" s="1"/>
      <c r="PAT212" s="1"/>
      <c r="PAU212" s="1"/>
      <c r="PAV212" s="1"/>
      <c r="PAW212" s="1"/>
      <c r="PAX212" s="1"/>
      <c r="PAY212" s="1"/>
      <c r="PAZ212" s="1"/>
      <c r="PBA212" s="1"/>
      <c r="PBB212" s="1"/>
      <c r="PBC212" s="1"/>
      <c r="PBD212" s="1"/>
      <c r="PBE212" s="1"/>
      <c r="PBF212" s="1"/>
      <c r="PBG212" s="1"/>
      <c r="PBH212" s="1"/>
      <c r="PBI212" s="1"/>
      <c r="PBJ212" s="1"/>
      <c r="PBK212" s="1"/>
      <c r="PBL212" s="1"/>
      <c r="PBM212" s="1"/>
      <c r="PBN212" s="1"/>
      <c r="PBO212" s="1"/>
      <c r="PBP212" s="1"/>
      <c r="PBQ212" s="1"/>
      <c r="PBR212" s="1"/>
      <c r="PBS212" s="1"/>
      <c r="PBT212" s="1"/>
      <c r="PBU212" s="1"/>
      <c r="PBV212" s="1"/>
      <c r="PBW212" s="1"/>
      <c r="PBX212" s="1"/>
      <c r="PBY212" s="1"/>
      <c r="PBZ212" s="1"/>
      <c r="PCA212" s="1"/>
      <c r="PCB212" s="1"/>
      <c r="PCC212" s="1"/>
      <c r="PCD212" s="1"/>
      <c r="PCE212" s="1"/>
      <c r="PCF212" s="1"/>
      <c r="PCG212" s="1"/>
      <c r="PCH212" s="1"/>
      <c r="PCI212" s="1"/>
      <c r="PCJ212" s="1"/>
      <c r="PCK212" s="1"/>
      <c r="PCL212" s="1"/>
      <c r="PCM212" s="1"/>
      <c r="PCN212" s="1"/>
      <c r="PCO212" s="1"/>
      <c r="PCP212" s="1"/>
      <c r="PCQ212" s="1"/>
      <c r="PCR212" s="1"/>
      <c r="PCS212" s="1"/>
      <c r="PCT212" s="1"/>
      <c r="PCU212" s="1"/>
      <c r="PCV212" s="1"/>
      <c r="PCW212" s="1"/>
      <c r="PCX212" s="1"/>
      <c r="PCY212" s="1"/>
      <c r="PCZ212" s="1"/>
      <c r="PDA212" s="1"/>
      <c r="PDB212" s="1"/>
      <c r="PDC212" s="1"/>
      <c r="PDD212" s="1"/>
      <c r="PDE212" s="1"/>
      <c r="PDF212" s="1"/>
      <c r="PDG212" s="1"/>
      <c r="PDH212" s="1"/>
      <c r="PDI212" s="1"/>
      <c r="PDJ212" s="1"/>
      <c r="PDK212" s="1"/>
      <c r="PDL212" s="1"/>
      <c r="PDM212" s="1"/>
      <c r="PDN212" s="1"/>
      <c r="PDO212" s="1"/>
      <c r="PDP212" s="1"/>
      <c r="PDQ212" s="1"/>
      <c r="PDR212" s="1"/>
      <c r="PDS212" s="1"/>
      <c r="PDT212" s="1"/>
      <c r="PDU212" s="1"/>
      <c r="PDV212" s="1"/>
      <c r="PDW212" s="1"/>
      <c r="PDX212" s="1"/>
      <c r="PDY212" s="1"/>
      <c r="PDZ212" s="1"/>
      <c r="PEA212" s="1"/>
      <c r="PEB212" s="1"/>
      <c r="PEC212" s="1"/>
      <c r="PED212" s="1"/>
      <c r="PEE212" s="1"/>
      <c r="PEF212" s="1"/>
      <c r="PEG212" s="1"/>
      <c r="PEH212" s="1"/>
      <c r="PEI212" s="1"/>
      <c r="PEJ212" s="1"/>
      <c r="PEK212" s="1"/>
      <c r="PEL212" s="1"/>
      <c r="PEM212" s="1"/>
      <c r="PEN212" s="1"/>
      <c r="PEO212" s="1"/>
      <c r="PEP212" s="1"/>
      <c r="PEQ212" s="1"/>
      <c r="PER212" s="1"/>
      <c r="PES212" s="1"/>
      <c r="PET212" s="1"/>
      <c r="PEU212" s="1"/>
      <c r="PEV212" s="1"/>
      <c r="PEW212" s="1"/>
      <c r="PEX212" s="1"/>
      <c r="PEY212" s="1"/>
      <c r="PEZ212" s="1"/>
      <c r="PFA212" s="1"/>
      <c r="PFB212" s="1"/>
      <c r="PFC212" s="1"/>
      <c r="PFD212" s="1"/>
      <c r="PFE212" s="1"/>
      <c r="PFF212" s="1"/>
      <c r="PFG212" s="1"/>
      <c r="PFH212" s="1"/>
      <c r="PFI212" s="1"/>
      <c r="PFJ212" s="1"/>
      <c r="PFK212" s="1"/>
      <c r="PFL212" s="1"/>
      <c r="PFM212" s="1"/>
      <c r="PFN212" s="1"/>
      <c r="PFO212" s="1"/>
      <c r="PFP212" s="1"/>
      <c r="PFQ212" s="1"/>
      <c r="PFR212" s="1"/>
      <c r="PFS212" s="1"/>
      <c r="PFT212" s="1"/>
      <c r="PFU212" s="1"/>
      <c r="PFV212" s="1"/>
      <c r="PFW212" s="1"/>
      <c r="PFX212" s="1"/>
      <c r="PFY212" s="1"/>
      <c r="PFZ212" s="1"/>
      <c r="PGA212" s="1"/>
      <c r="PGB212" s="1"/>
      <c r="PGC212" s="1"/>
      <c r="PGD212" s="1"/>
      <c r="PGE212" s="1"/>
      <c r="PGF212" s="1"/>
      <c r="PGG212" s="1"/>
      <c r="PGH212" s="1"/>
      <c r="PGI212" s="1"/>
      <c r="PGJ212" s="1"/>
      <c r="PGK212" s="1"/>
      <c r="PGL212" s="1"/>
      <c r="PGM212" s="1"/>
      <c r="PGN212" s="1"/>
      <c r="PGO212" s="1"/>
      <c r="PGP212" s="1"/>
      <c r="PGQ212" s="1"/>
      <c r="PGR212" s="1"/>
      <c r="PGS212" s="1"/>
      <c r="PGT212" s="1"/>
      <c r="PGU212" s="1"/>
      <c r="PGV212" s="1"/>
      <c r="PGW212" s="1"/>
      <c r="PGX212" s="1"/>
      <c r="PGY212" s="1"/>
      <c r="PGZ212" s="1"/>
      <c r="PHA212" s="1"/>
      <c r="PHB212" s="1"/>
      <c r="PHC212" s="1"/>
      <c r="PHD212" s="1"/>
      <c r="PHE212" s="1"/>
      <c r="PHF212" s="1"/>
      <c r="PHG212" s="1"/>
      <c r="PHH212" s="1"/>
      <c r="PHI212" s="1"/>
      <c r="PHJ212" s="1"/>
      <c r="PHK212" s="1"/>
      <c r="PHL212" s="1"/>
      <c r="PHM212" s="1"/>
      <c r="PHN212" s="1"/>
      <c r="PHO212" s="1"/>
      <c r="PHP212" s="1"/>
      <c r="PHQ212" s="1"/>
      <c r="PHR212" s="1"/>
      <c r="PHS212" s="1"/>
      <c r="PHT212" s="1"/>
      <c r="PHU212" s="1"/>
      <c r="PHV212" s="1"/>
      <c r="PHW212" s="1"/>
      <c r="PHX212" s="1"/>
      <c r="PHY212" s="1"/>
      <c r="PHZ212" s="1"/>
      <c r="PIA212" s="1"/>
      <c r="PIB212" s="1"/>
      <c r="PIC212" s="1"/>
      <c r="PID212" s="1"/>
      <c r="PIE212" s="1"/>
      <c r="PIF212" s="1"/>
      <c r="PIG212" s="1"/>
      <c r="PIH212" s="1"/>
      <c r="PII212" s="1"/>
      <c r="PIJ212" s="1"/>
      <c r="PIK212" s="1"/>
      <c r="PIL212" s="1"/>
      <c r="PIM212" s="1"/>
      <c r="PIN212" s="1"/>
      <c r="PIO212" s="1"/>
      <c r="PIP212" s="1"/>
      <c r="PIQ212" s="1"/>
      <c r="PIR212" s="1"/>
      <c r="PIS212" s="1"/>
      <c r="PIT212" s="1"/>
      <c r="PIU212" s="1"/>
      <c r="PIV212" s="1"/>
      <c r="PIW212" s="1"/>
      <c r="PIX212" s="1"/>
      <c r="PIY212" s="1"/>
      <c r="PIZ212" s="1"/>
      <c r="PJA212" s="1"/>
      <c r="PJB212" s="1"/>
      <c r="PJC212" s="1"/>
      <c r="PJD212" s="1"/>
      <c r="PJE212" s="1"/>
      <c r="PJF212" s="1"/>
      <c r="PJG212" s="1"/>
      <c r="PJH212" s="1"/>
      <c r="PJI212" s="1"/>
      <c r="PJJ212" s="1"/>
      <c r="PJK212" s="1"/>
      <c r="PJL212" s="1"/>
      <c r="PJM212" s="1"/>
      <c r="PJN212" s="1"/>
      <c r="PJO212" s="1"/>
      <c r="PJP212" s="1"/>
      <c r="PJQ212" s="1"/>
      <c r="PJR212" s="1"/>
      <c r="PJS212" s="1"/>
      <c r="PJT212" s="1"/>
      <c r="PJU212" s="1"/>
      <c r="PJV212" s="1"/>
      <c r="PJW212" s="1"/>
      <c r="PJX212" s="1"/>
      <c r="PJY212" s="1"/>
      <c r="PJZ212" s="1"/>
      <c r="PKA212" s="1"/>
      <c r="PKB212" s="1"/>
      <c r="PKC212" s="1"/>
      <c r="PKD212" s="1"/>
      <c r="PKE212" s="1"/>
      <c r="PKF212" s="1"/>
      <c r="PKG212" s="1"/>
      <c r="PKH212" s="1"/>
      <c r="PKI212" s="1"/>
      <c r="PKJ212" s="1"/>
      <c r="PKK212" s="1"/>
      <c r="PKL212" s="1"/>
      <c r="PKM212" s="1"/>
      <c r="PKN212" s="1"/>
      <c r="PKO212" s="1"/>
      <c r="PKP212" s="1"/>
      <c r="PKQ212" s="1"/>
      <c r="PKR212" s="1"/>
      <c r="PKS212" s="1"/>
      <c r="PKT212" s="1"/>
      <c r="PKU212" s="1"/>
      <c r="PKV212" s="1"/>
      <c r="PKW212" s="1"/>
      <c r="PKX212" s="1"/>
      <c r="PKY212" s="1"/>
      <c r="PKZ212" s="1"/>
      <c r="PLA212" s="1"/>
      <c r="PLB212" s="1"/>
      <c r="PLC212" s="1"/>
      <c r="PLD212" s="1"/>
      <c r="PLE212" s="1"/>
      <c r="PLF212" s="1"/>
      <c r="PLG212" s="1"/>
      <c r="PLH212" s="1"/>
      <c r="PLI212" s="1"/>
      <c r="PLJ212" s="1"/>
      <c r="PLK212" s="1"/>
      <c r="PLL212" s="1"/>
      <c r="PLM212" s="1"/>
      <c r="PLN212" s="1"/>
      <c r="PLO212" s="1"/>
      <c r="PLP212" s="1"/>
      <c r="PLQ212" s="1"/>
      <c r="PLR212" s="1"/>
      <c r="PLS212" s="1"/>
      <c r="PLT212" s="1"/>
      <c r="PLU212" s="1"/>
      <c r="PLV212" s="1"/>
      <c r="PLW212" s="1"/>
      <c r="PLX212" s="1"/>
      <c r="PLY212" s="1"/>
      <c r="PLZ212" s="1"/>
      <c r="PMA212" s="1"/>
      <c r="PMB212" s="1"/>
      <c r="PMC212" s="1"/>
      <c r="PMD212" s="1"/>
      <c r="PME212" s="1"/>
      <c r="PMF212" s="1"/>
      <c r="PMG212" s="1"/>
      <c r="PMH212" s="1"/>
      <c r="PMI212" s="1"/>
      <c r="PMJ212" s="1"/>
      <c r="PMK212" s="1"/>
      <c r="PML212" s="1"/>
      <c r="PMM212" s="1"/>
      <c r="PMN212" s="1"/>
      <c r="PMO212" s="1"/>
      <c r="PMP212" s="1"/>
      <c r="PMQ212" s="1"/>
      <c r="PMR212" s="1"/>
      <c r="PMS212" s="1"/>
      <c r="PMT212" s="1"/>
      <c r="PMU212" s="1"/>
      <c r="PMV212" s="1"/>
      <c r="PMW212" s="1"/>
      <c r="PMX212" s="1"/>
      <c r="PMY212" s="1"/>
      <c r="PMZ212" s="1"/>
      <c r="PNA212" s="1"/>
      <c r="PNB212" s="1"/>
      <c r="PNC212" s="1"/>
      <c r="PND212" s="1"/>
      <c r="PNE212" s="1"/>
      <c r="PNF212" s="1"/>
      <c r="PNG212" s="1"/>
      <c r="PNH212" s="1"/>
      <c r="PNI212" s="1"/>
      <c r="PNJ212" s="1"/>
      <c r="PNK212" s="1"/>
      <c r="PNL212" s="1"/>
      <c r="PNM212" s="1"/>
      <c r="PNN212" s="1"/>
      <c r="PNO212" s="1"/>
      <c r="PNP212" s="1"/>
      <c r="PNQ212" s="1"/>
      <c r="PNR212" s="1"/>
      <c r="PNS212" s="1"/>
      <c r="PNT212" s="1"/>
      <c r="PNU212" s="1"/>
      <c r="PNV212" s="1"/>
      <c r="PNW212" s="1"/>
      <c r="PNX212" s="1"/>
      <c r="PNY212" s="1"/>
      <c r="PNZ212" s="1"/>
      <c r="POA212" s="1"/>
      <c r="POB212" s="1"/>
      <c r="POC212" s="1"/>
      <c r="POD212" s="1"/>
      <c r="POE212" s="1"/>
      <c r="POF212" s="1"/>
      <c r="POG212" s="1"/>
      <c r="POH212" s="1"/>
      <c r="POI212" s="1"/>
      <c r="POJ212" s="1"/>
      <c r="POK212" s="1"/>
      <c r="POL212" s="1"/>
      <c r="POM212" s="1"/>
      <c r="PON212" s="1"/>
      <c r="POO212" s="1"/>
      <c r="POP212" s="1"/>
      <c r="POQ212" s="1"/>
      <c r="POR212" s="1"/>
      <c r="POS212" s="1"/>
      <c r="POT212" s="1"/>
      <c r="POU212" s="1"/>
      <c r="POV212" s="1"/>
      <c r="POW212" s="1"/>
      <c r="POX212" s="1"/>
      <c r="POY212" s="1"/>
      <c r="POZ212" s="1"/>
      <c r="PPA212" s="1"/>
      <c r="PPB212" s="1"/>
      <c r="PPC212" s="1"/>
      <c r="PPD212" s="1"/>
      <c r="PPE212" s="1"/>
      <c r="PPF212" s="1"/>
      <c r="PPG212" s="1"/>
      <c r="PPH212" s="1"/>
      <c r="PPI212" s="1"/>
      <c r="PPJ212" s="1"/>
      <c r="PPK212" s="1"/>
      <c r="PPL212" s="1"/>
      <c r="PPM212" s="1"/>
      <c r="PPN212" s="1"/>
      <c r="PPO212" s="1"/>
      <c r="PPP212" s="1"/>
      <c r="PPQ212" s="1"/>
      <c r="PPR212" s="1"/>
      <c r="PPS212" s="1"/>
      <c r="PPT212" s="1"/>
      <c r="PPU212" s="1"/>
      <c r="PPV212" s="1"/>
      <c r="PPW212" s="1"/>
      <c r="PPX212" s="1"/>
      <c r="PPY212" s="1"/>
      <c r="PPZ212" s="1"/>
      <c r="PQA212" s="1"/>
      <c r="PQB212" s="1"/>
      <c r="PQC212" s="1"/>
      <c r="PQD212" s="1"/>
      <c r="PQE212" s="1"/>
      <c r="PQF212" s="1"/>
      <c r="PQG212" s="1"/>
      <c r="PQH212" s="1"/>
      <c r="PQI212" s="1"/>
      <c r="PQJ212" s="1"/>
      <c r="PQK212" s="1"/>
      <c r="PQL212" s="1"/>
      <c r="PQM212" s="1"/>
      <c r="PQN212" s="1"/>
      <c r="PQO212" s="1"/>
      <c r="PQP212" s="1"/>
      <c r="PQQ212" s="1"/>
      <c r="PQR212" s="1"/>
      <c r="PQS212" s="1"/>
      <c r="PQT212" s="1"/>
      <c r="PQU212" s="1"/>
      <c r="PQV212" s="1"/>
      <c r="PQW212" s="1"/>
      <c r="PQX212" s="1"/>
      <c r="PQY212" s="1"/>
      <c r="PQZ212" s="1"/>
      <c r="PRA212" s="1"/>
      <c r="PRB212" s="1"/>
      <c r="PRC212" s="1"/>
      <c r="PRD212" s="1"/>
      <c r="PRE212" s="1"/>
      <c r="PRF212" s="1"/>
      <c r="PRG212" s="1"/>
      <c r="PRH212" s="1"/>
      <c r="PRI212" s="1"/>
      <c r="PRJ212" s="1"/>
      <c r="PRK212" s="1"/>
      <c r="PRL212" s="1"/>
      <c r="PRM212" s="1"/>
      <c r="PRN212" s="1"/>
      <c r="PRO212" s="1"/>
      <c r="PRP212" s="1"/>
      <c r="PRQ212" s="1"/>
      <c r="PRR212" s="1"/>
      <c r="PRS212" s="1"/>
      <c r="PRT212" s="1"/>
      <c r="PRU212" s="1"/>
      <c r="PRV212" s="1"/>
      <c r="PRW212" s="1"/>
      <c r="PRX212" s="1"/>
      <c r="PRY212" s="1"/>
      <c r="PRZ212" s="1"/>
      <c r="PSA212" s="1"/>
      <c r="PSB212" s="1"/>
      <c r="PSC212" s="1"/>
      <c r="PSD212" s="1"/>
      <c r="PSE212" s="1"/>
      <c r="PSF212" s="1"/>
      <c r="PSG212" s="1"/>
      <c r="PSH212" s="1"/>
      <c r="PSI212" s="1"/>
      <c r="PSJ212" s="1"/>
      <c r="PSK212" s="1"/>
      <c r="PSL212" s="1"/>
      <c r="PSM212" s="1"/>
      <c r="PSN212" s="1"/>
      <c r="PSO212" s="1"/>
      <c r="PSP212" s="1"/>
      <c r="PSQ212" s="1"/>
      <c r="PSR212" s="1"/>
      <c r="PSS212" s="1"/>
      <c r="PST212" s="1"/>
      <c r="PSU212" s="1"/>
      <c r="PSV212" s="1"/>
      <c r="PSW212" s="1"/>
      <c r="PSX212" s="1"/>
      <c r="PSY212" s="1"/>
      <c r="PSZ212" s="1"/>
      <c r="PTA212" s="1"/>
      <c r="PTB212" s="1"/>
      <c r="PTC212" s="1"/>
      <c r="PTD212" s="1"/>
      <c r="PTE212" s="1"/>
      <c r="PTF212" s="1"/>
      <c r="PTG212" s="1"/>
      <c r="PTH212" s="1"/>
      <c r="PTI212" s="1"/>
      <c r="PTJ212" s="1"/>
      <c r="PTK212" s="1"/>
      <c r="PTL212" s="1"/>
      <c r="PTM212" s="1"/>
      <c r="PTN212" s="1"/>
      <c r="PTO212" s="1"/>
      <c r="PTP212" s="1"/>
      <c r="PTQ212" s="1"/>
      <c r="PTR212" s="1"/>
      <c r="PTS212" s="1"/>
      <c r="PTT212" s="1"/>
      <c r="PTU212" s="1"/>
      <c r="PTV212" s="1"/>
      <c r="PTW212" s="1"/>
      <c r="PTX212" s="1"/>
      <c r="PTY212" s="1"/>
      <c r="PTZ212" s="1"/>
      <c r="PUA212" s="1"/>
      <c r="PUB212" s="1"/>
      <c r="PUC212" s="1"/>
      <c r="PUD212" s="1"/>
      <c r="PUE212" s="1"/>
      <c r="PUF212" s="1"/>
      <c r="PUG212" s="1"/>
      <c r="PUH212" s="1"/>
      <c r="PUI212" s="1"/>
      <c r="PUJ212" s="1"/>
      <c r="PUK212" s="1"/>
      <c r="PUL212" s="1"/>
      <c r="PUM212" s="1"/>
      <c r="PUN212" s="1"/>
      <c r="PUO212" s="1"/>
      <c r="PUP212" s="1"/>
      <c r="PUQ212" s="1"/>
      <c r="PUR212" s="1"/>
      <c r="PUS212" s="1"/>
      <c r="PUT212" s="1"/>
      <c r="PUU212" s="1"/>
      <c r="PUV212" s="1"/>
      <c r="PUW212" s="1"/>
      <c r="PUX212" s="1"/>
      <c r="PUY212" s="1"/>
      <c r="PUZ212" s="1"/>
      <c r="PVA212" s="1"/>
      <c r="PVB212" s="1"/>
      <c r="PVC212" s="1"/>
      <c r="PVD212" s="1"/>
      <c r="PVE212" s="1"/>
      <c r="PVF212" s="1"/>
      <c r="PVG212" s="1"/>
      <c r="PVH212" s="1"/>
      <c r="PVI212" s="1"/>
      <c r="PVJ212" s="1"/>
      <c r="PVK212" s="1"/>
      <c r="PVL212" s="1"/>
      <c r="PVM212" s="1"/>
      <c r="PVN212" s="1"/>
      <c r="PVO212" s="1"/>
      <c r="PVP212" s="1"/>
      <c r="PVQ212" s="1"/>
      <c r="PVR212" s="1"/>
      <c r="PVS212" s="1"/>
      <c r="PVT212" s="1"/>
      <c r="PVU212" s="1"/>
      <c r="PVV212" s="1"/>
      <c r="PVW212" s="1"/>
      <c r="PVX212" s="1"/>
      <c r="PVY212" s="1"/>
      <c r="PVZ212" s="1"/>
      <c r="PWA212" s="1"/>
      <c r="PWB212" s="1"/>
      <c r="PWC212" s="1"/>
      <c r="PWD212" s="1"/>
      <c r="PWE212" s="1"/>
      <c r="PWF212" s="1"/>
      <c r="PWG212" s="1"/>
      <c r="PWH212" s="1"/>
      <c r="PWI212" s="1"/>
      <c r="PWJ212" s="1"/>
      <c r="PWK212" s="1"/>
      <c r="PWL212" s="1"/>
      <c r="PWM212" s="1"/>
      <c r="PWN212" s="1"/>
      <c r="PWO212" s="1"/>
      <c r="PWP212" s="1"/>
      <c r="PWQ212" s="1"/>
      <c r="PWR212" s="1"/>
      <c r="PWS212" s="1"/>
      <c r="PWT212" s="1"/>
      <c r="PWU212" s="1"/>
      <c r="PWV212" s="1"/>
      <c r="PWW212" s="1"/>
      <c r="PWX212" s="1"/>
      <c r="PWY212" s="1"/>
      <c r="PWZ212" s="1"/>
      <c r="PXA212" s="1"/>
      <c r="PXB212" s="1"/>
      <c r="PXC212" s="1"/>
      <c r="PXD212" s="1"/>
      <c r="PXE212" s="1"/>
      <c r="PXF212" s="1"/>
      <c r="PXG212" s="1"/>
      <c r="PXH212" s="1"/>
      <c r="PXI212" s="1"/>
      <c r="PXJ212" s="1"/>
      <c r="PXK212" s="1"/>
      <c r="PXL212" s="1"/>
      <c r="PXM212" s="1"/>
      <c r="PXN212" s="1"/>
      <c r="PXO212" s="1"/>
      <c r="PXP212" s="1"/>
      <c r="PXQ212" s="1"/>
      <c r="PXR212" s="1"/>
      <c r="PXS212" s="1"/>
      <c r="PXT212" s="1"/>
      <c r="PXU212" s="1"/>
      <c r="PXV212" s="1"/>
      <c r="PXW212" s="1"/>
      <c r="PXX212" s="1"/>
      <c r="PXY212" s="1"/>
      <c r="PXZ212" s="1"/>
      <c r="PYA212" s="1"/>
      <c r="PYB212" s="1"/>
      <c r="PYC212" s="1"/>
      <c r="PYD212" s="1"/>
      <c r="PYE212" s="1"/>
      <c r="PYF212" s="1"/>
      <c r="PYG212" s="1"/>
      <c r="PYH212" s="1"/>
      <c r="PYI212" s="1"/>
      <c r="PYJ212" s="1"/>
      <c r="PYK212" s="1"/>
      <c r="PYL212" s="1"/>
      <c r="PYM212" s="1"/>
      <c r="PYN212" s="1"/>
      <c r="PYO212" s="1"/>
      <c r="PYP212" s="1"/>
      <c r="PYQ212" s="1"/>
      <c r="PYR212" s="1"/>
      <c r="PYS212" s="1"/>
      <c r="PYT212" s="1"/>
      <c r="PYU212" s="1"/>
      <c r="PYV212" s="1"/>
      <c r="PYW212" s="1"/>
      <c r="PYX212" s="1"/>
      <c r="PYY212" s="1"/>
      <c r="PYZ212" s="1"/>
      <c r="PZA212" s="1"/>
      <c r="PZB212" s="1"/>
      <c r="PZC212" s="1"/>
      <c r="PZD212" s="1"/>
      <c r="PZE212" s="1"/>
      <c r="PZF212" s="1"/>
      <c r="PZG212" s="1"/>
      <c r="PZH212" s="1"/>
      <c r="PZI212" s="1"/>
      <c r="PZJ212" s="1"/>
      <c r="PZK212" s="1"/>
      <c r="PZL212" s="1"/>
      <c r="PZM212" s="1"/>
      <c r="PZN212" s="1"/>
      <c r="PZO212" s="1"/>
      <c r="PZP212" s="1"/>
      <c r="PZQ212" s="1"/>
      <c r="PZR212" s="1"/>
      <c r="PZS212" s="1"/>
      <c r="PZT212" s="1"/>
      <c r="PZU212" s="1"/>
      <c r="PZV212" s="1"/>
      <c r="PZW212" s="1"/>
      <c r="PZX212" s="1"/>
      <c r="PZY212" s="1"/>
      <c r="PZZ212" s="1"/>
      <c r="QAA212" s="1"/>
      <c r="QAB212" s="1"/>
      <c r="QAC212" s="1"/>
      <c r="QAD212" s="1"/>
      <c r="QAE212" s="1"/>
      <c r="QAF212" s="1"/>
      <c r="QAG212" s="1"/>
      <c r="QAH212" s="1"/>
      <c r="QAI212" s="1"/>
      <c r="QAJ212" s="1"/>
      <c r="QAK212" s="1"/>
      <c r="QAL212" s="1"/>
      <c r="QAM212" s="1"/>
      <c r="QAN212" s="1"/>
      <c r="QAO212" s="1"/>
      <c r="QAP212" s="1"/>
      <c r="QAQ212" s="1"/>
      <c r="QAR212" s="1"/>
      <c r="QAS212" s="1"/>
      <c r="QAT212" s="1"/>
      <c r="QAU212" s="1"/>
      <c r="QAV212" s="1"/>
      <c r="QAW212" s="1"/>
      <c r="QAX212" s="1"/>
      <c r="QAY212" s="1"/>
      <c r="QAZ212" s="1"/>
      <c r="QBA212" s="1"/>
      <c r="QBB212" s="1"/>
      <c r="QBC212" s="1"/>
      <c r="QBD212" s="1"/>
      <c r="QBE212" s="1"/>
      <c r="QBF212" s="1"/>
      <c r="QBG212" s="1"/>
      <c r="QBH212" s="1"/>
      <c r="QBI212" s="1"/>
      <c r="QBJ212" s="1"/>
      <c r="QBK212" s="1"/>
      <c r="QBL212" s="1"/>
      <c r="QBM212" s="1"/>
      <c r="QBN212" s="1"/>
      <c r="QBO212" s="1"/>
      <c r="QBP212" s="1"/>
      <c r="QBQ212" s="1"/>
      <c r="QBR212" s="1"/>
      <c r="QBS212" s="1"/>
      <c r="QBT212" s="1"/>
      <c r="QBU212" s="1"/>
      <c r="QBV212" s="1"/>
      <c r="QBW212" s="1"/>
      <c r="QBX212" s="1"/>
      <c r="QBY212" s="1"/>
      <c r="QBZ212" s="1"/>
      <c r="QCA212" s="1"/>
      <c r="QCB212" s="1"/>
      <c r="QCC212" s="1"/>
      <c r="QCD212" s="1"/>
      <c r="QCE212" s="1"/>
      <c r="QCF212" s="1"/>
      <c r="QCG212" s="1"/>
      <c r="QCH212" s="1"/>
      <c r="QCI212" s="1"/>
      <c r="QCJ212" s="1"/>
      <c r="QCK212" s="1"/>
      <c r="QCL212" s="1"/>
      <c r="QCM212" s="1"/>
      <c r="QCN212" s="1"/>
      <c r="QCO212" s="1"/>
      <c r="QCP212" s="1"/>
      <c r="QCQ212" s="1"/>
      <c r="QCR212" s="1"/>
      <c r="QCS212" s="1"/>
      <c r="QCT212" s="1"/>
      <c r="QCU212" s="1"/>
      <c r="QCV212" s="1"/>
      <c r="QCW212" s="1"/>
      <c r="QCX212" s="1"/>
      <c r="QCY212" s="1"/>
      <c r="QCZ212" s="1"/>
      <c r="QDA212" s="1"/>
      <c r="QDB212" s="1"/>
      <c r="QDC212" s="1"/>
      <c r="QDD212" s="1"/>
      <c r="QDE212" s="1"/>
      <c r="QDF212" s="1"/>
      <c r="QDG212" s="1"/>
      <c r="QDH212" s="1"/>
      <c r="QDI212" s="1"/>
      <c r="QDJ212" s="1"/>
      <c r="QDK212" s="1"/>
      <c r="QDL212" s="1"/>
      <c r="QDM212" s="1"/>
      <c r="QDN212" s="1"/>
      <c r="QDO212" s="1"/>
      <c r="QDP212" s="1"/>
      <c r="QDQ212" s="1"/>
      <c r="QDR212" s="1"/>
      <c r="QDS212" s="1"/>
      <c r="QDT212" s="1"/>
      <c r="QDU212" s="1"/>
      <c r="QDV212" s="1"/>
      <c r="QDW212" s="1"/>
      <c r="QDX212" s="1"/>
      <c r="QDY212" s="1"/>
      <c r="QDZ212" s="1"/>
      <c r="QEA212" s="1"/>
      <c r="QEB212" s="1"/>
      <c r="QEC212" s="1"/>
      <c r="QED212" s="1"/>
      <c r="QEE212" s="1"/>
      <c r="QEF212" s="1"/>
      <c r="QEG212" s="1"/>
      <c r="QEH212" s="1"/>
      <c r="QEI212" s="1"/>
      <c r="QEJ212" s="1"/>
      <c r="QEK212" s="1"/>
      <c r="QEL212" s="1"/>
      <c r="QEM212" s="1"/>
      <c r="QEN212" s="1"/>
      <c r="QEO212" s="1"/>
      <c r="QEP212" s="1"/>
      <c r="QEQ212" s="1"/>
      <c r="QER212" s="1"/>
      <c r="QES212" s="1"/>
      <c r="QET212" s="1"/>
      <c r="QEU212" s="1"/>
      <c r="QEV212" s="1"/>
      <c r="QEW212" s="1"/>
      <c r="QEX212" s="1"/>
      <c r="QEY212" s="1"/>
      <c r="QEZ212" s="1"/>
      <c r="QFA212" s="1"/>
      <c r="QFB212" s="1"/>
      <c r="QFC212" s="1"/>
      <c r="QFD212" s="1"/>
      <c r="QFE212" s="1"/>
      <c r="QFF212" s="1"/>
      <c r="QFG212" s="1"/>
      <c r="QFH212" s="1"/>
      <c r="QFI212" s="1"/>
      <c r="QFJ212" s="1"/>
      <c r="QFK212" s="1"/>
      <c r="QFL212" s="1"/>
      <c r="QFM212" s="1"/>
      <c r="QFN212" s="1"/>
      <c r="QFO212" s="1"/>
      <c r="QFP212" s="1"/>
      <c r="QFQ212" s="1"/>
      <c r="QFR212" s="1"/>
      <c r="QFS212" s="1"/>
      <c r="QFT212" s="1"/>
      <c r="QFU212" s="1"/>
      <c r="QFV212" s="1"/>
      <c r="QFW212" s="1"/>
      <c r="QFX212" s="1"/>
      <c r="QFY212" s="1"/>
      <c r="QFZ212" s="1"/>
      <c r="QGA212" s="1"/>
      <c r="QGB212" s="1"/>
      <c r="QGC212" s="1"/>
      <c r="QGD212" s="1"/>
      <c r="QGE212" s="1"/>
      <c r="QGF212" s="1"/>
      <c r="QGG212" s="1"/>
      <c r="QGH212" s="1"/>
      <c r="QGI212" s="1"/>
      <c r="QGJ212" s="1"/>
      <c r="QGK212" s="1"/>
      <c r="QGL212" s="1"/>
      <c r="QGM212" s="1"/>
      <c r="QGN212" s="1"/>
      <c r="QGO212" s="1"/>
      <c r="QGP212" s="1"/>
      <c r="QGQ212" s="1"/>
      <c r="QGR212" s="1"/>
      <c r="QGS212" s="1"/>
      <c r="QGT212" s="1"/>
      <c r="QGU212" s="1"/>
      <c r="QGV212" s="1"/>
      <c r="QGW212" s="1"/>
      <c r="QGX212" s="1"/>
      <c r="QGY212" s="1"/>
      <c r="QGZ212" s="1"/>
      <c r="QHA212" s="1"/>
      <c r="QHB212" s="1"/>
      <c r="QHC212" s="1"/>
      <c r="QHD212" s="1"/>
      <c r="QHE212" s="1"/>
      <c r="QHF212" s="1"/>
      <c r="QHG212" s="1"/>
      <c r="QHH212" s="1"/>
      <c r="QHI212" s="1"/>
      <c r="QHJ212" s="1"/>
      <c r="QHK212" s="1"/>
      <c r="QHL212" s="1"/>
      <c r="QHM212" s="1"/>
      <c r="QHN212" s="1"/>
      <c r="QHO212" s="1"/>
      <c r="QHP212" s="1"/>
      <c r="QHQ212" s="1"/>
      <c r="QHR212" s="1"/>
      <c r="QHS212" s="1"/>
      <c r="QHT212" s="1"/>
      <c r="QHU212" s="1"/>
      <c r="QHV212" s="1"/>
      <c r="QHW212" s="1"/>
      <c r="QHX212" s="1"/>
      <c r="QHY212" s="1"/>
      <c r="QHZ212" s="1"/>
      <c r="QIA212" s="1"/>
      <c r="QIB212" s="1"/>
      <c r="QIC212" s="1"/>
      <c r="QID212" s="1"/>
      <c r="QIE212" s="1"/>
      <c r="QIF212" s="1"/>
      <c r="QIG212" s="1"/>
      <c r="QIH212" s="1"/>
      <c r="QII212" s="1"/>
      <c r="QIJ212" s="1"/>
      <c r="QIK212" s="1"/>
      <c r="QIL212" s="1"/>
      <c r="QIM212" s="1"/>
      <c r="QIN212" s="1"/>
      <c r="QIO212" s="1"/>
      <c r="QIP212" s="1"/>
      <c r="QIQ212" s="1"/>
      <c r="QIR212" s="1"/>
      <c r="QIS212" s="1"/>
      <c r="QIT212" s="1"/>
      <c r="QIU212" s="1"/>
      <c r="QIV212" s="1"/>
      <c r="QIW212" s="1"/>
      <c r="QIX212" s="1"/>
      <c r="QIY212" s="1"/>
      <c r="QIZ212" s="1"/>
      <c r="QJA212" s="1"/>
      <c r="QJB212" s="1"/>
      <c r="QJC212" s="1"/>
      <c r="QJD212" s="1"/>
      <c r="QJE212" s="1"/>
      <c r="QJF212" s="1"/>
      <c r="QJG212" s="1"/>
      <c r="QJH212" s="1"/>
      <c r="QJI212" s="1"/>
      <c r="QJJ212" s="1"/>
      <c r="QJK212" s="1"/>
      <c r="QJL212" s="1"/>
      <c r="QJM212" s="1"/>
      <c r="QJN212" s="1"/>
      <c r="QJO212" s="1"/>
      <c r="QJP212" s="1"/>
      <c r="QJQ212" s="1"/>
      <c r="QJR212" s="1"/>
      <c r="QJS212" s="1"/>
      <c r="QJT212" s="1"/>
      <c r="QJU212" s="1"/>
      <c r="QJV212" s="1"/>
      <c r="QJW212" s="1"/>
      <c r="QJX212" s="1"/>
      <c r="QJY212" s="1"/>
      <c r="QJZ212" s="1"/>
      <c r="QKA212" s="1"/>
      <c r="QKB212" s="1"/>
      <c r="QKC212" s="1"/>
      <c r="QKD212" s="1"/>
      <c r="QKE212" s="1"/>
      <c r="QKF212" s="1"/>
      <c r="QKG212" s="1"/>
      <c r="QKH212" s="1"/>
      <c r="QKI212" s="1"/>
      <c r="QKJ212" s="1"/>
      <c r="QKK212" s="1"/>
      <c r="QKL212" s="1"/>
      <c r="QKM212" s="1"/>
      <c r="QKN212" s="1"/>
      <c r="QKO212" s="1"/>
      <c r="QKP212" s="1"/>
      <c r="QKQ212" s="1"/>
      <c r="QKR212" s="1"/>
      <c r="QKS212" s="1"/>
      <c r="QKT212" s="1"/>
      <c r="QKU212" s="1"/>
      <c r="QKV212" s="1"/>
      <c r="QKW212" s="1"/>
      <c r="QKX212" s="1"/>
      <c r="QKY212" s="1"/>
      <c r="QKZ212" s="1"/>
      <c r="QLA212" s="1"/>
      <c r="QLB212" s="1"/>
      <c r="QLC212" s="1"/>
      <c r="QLD212" s="1"/>
      <c r="QLE212" s="1"/>
      <c r="QLF212" s="1"/>
      <c r="QLG212" s="1"/>
      <c r="QLH212" s="1"/>
      <c r="QLI212" s="1"/>
      <c r="QLJ212" s="1"/>
      <c r="QLK212" s="1"/>
      <c r="QLL212" s="1"/>
      <c r="QLM212" s="1"/>
      <c r="QLN212" s="1"/>
      <c r="QLO212" s="1"/>
      <c r="QLP212" s="1"/>
      <c r="QLQ212" s="1"/>
      <c r="QLR212" s="1"/>
      <c r="QLS212" s="1"/>
      <c r="QLT212" s="1"/>
      <c r="QLU212" s="1"/>
      <c r="QLV212" s="1"/>
      <c r="QLW212" s="1"/>
      <c r="QLX212" s="1"/>
      <c r="QLY212" s="1"/>
      <c r="QLZ212" s="1"/>
      <c r="QMA212" s="1"/>
      <c r="QMB212" s="1"/>
      <c r="QMC212" s="1"/>
      <c r="QMD212" s="1"/>
      <c r="QME212" s="1"/>
      <c r="QMF212" s="1"/>
      <c r="QMG212" s="1"/>
      <c r="QMH212" s="1"/>
      <c r="QMI212" s="1"/>
      <c r="QMJ212" s="1"/>
      <c r="QMK212" s="1"/>
      <c r="QML212" s="1"/>
      <c r="QMM212" s="1"/>
      <c r="QMN212" s="1"/>
      <c r="QMO212" s="1"/>
      <c r="QMP212" s="1"/>
      <c r="QMQ212" s="1"/>
      <c r="QMR212" s="1"/>
      <c r="QMS212" s="1"/>
      <c r="QMT212" s="1"/>
      <c r="QMU212" s="1"/>
      <c r="QMV212" s="1"/>
      <c r="QMW212" s="1"/>
      <c r="QMX212" s="1"/>
      <c r="QMY212" s="1"/>
      <c r="QMZ212" s="1"/>
      <c r="QNA212" s="1"/>
      <c r="QNB212" s="1"/>
      <c r="QNC212" s="1"/>
      <c r="QND212" s="1"/>
      <c r="QNE212" s="1"/>
      <c r="QNF212" s="1"/>
      <c r="QNG212" s="1"/>
      <c r="QNH212" s="1"/>
      <c r="QNI212" s="1"/>
      <c r="QNJ212" s="1"/>
      <c r="QNK212" s="1"/>
      <c r="QNL212" s="1"/>
      <c r="QNM212" s="1"/>
      <c r="QNN212" s="1"/>
      <c r="QNO212" s="1"/>
      <c r="QNP212" s="1"/>
      <c r="QNQ212" s="1"/>
      <c r="QNR212" s="1"/>
      <c r="QNS212" s="1"/>
      <c r="QNT212" s="1"/>
      <c r="QNU212" s="1"/>
      <c r="QNV212" s="1"/>
      <c r="QNW212" s="1"/>
      <c r="QNX212" s="1"/>
      <c r="QNY212" s="1"/>
      <c r="QNZ212" s="1"/>
      <c r="QOA212" s="1"/>
      <c r="QOB212" s="1"/>
      <c r="QOC212" s="1"/>
      <c r="QOD212" s="1"/>
      <c r="QOE212" s="1"/>
      <c r="QOF212" s="1"/>
      <c r="QOG212" s="1"/>
      <c r="QOH212" s="1"/>
      <c r="QOI212" s="1"/>
      <c r="QOJ212" s="1"/>
      <c r="QOK212" s="1"/>
      <c r="QOL212" s="1"/>
      <c r="QOM212" s="1"/>
      <c r="QON212" s="1"/>
      <c r="QOO212" s="1"/>
      <c r="QOP212" s="1"/>
      <c r="QOQ212" s="1"/>
      <c r="QOR212" s="1"/>
      <c r="QOS212" s="1"/>
      <c r="QOT212" s="1"/>
      <c r="QOU212" s="1"/>
      <c r="QOV212" s="1"/>
      <c r="QOW212" s="1"/>
      <c r="QOX212" s="1"/>
      <c r="QOY212" s="1"/>
      <c r="QOZ212" s="1"/>
      <c r="QPA212" s="1"/>
      <c r="QPB212" s="1"/>
      <c r="QPC212" s="1"/>
      <c r="QPD212" s="1"/>
      <c r="QPE212" s="1"/>
      <c r="QPF212" s="1"/>
      <c r="QPG212" s="1"/>
      <c r="QPH212" s="1"/>
      <c r="QPI212" s="1"/>
      <c r="QPJ212" s="1"/>
      <c r="QPK212" s="1"/>
      <c r="QPL212" s="1"/>
      <c r="QPM212" s="1"/>
      <c r="QPN212" s="1"/>
      <c r="QPO212" s="1"/>
      <c r="QPP212" s="1"/>
      <c r="QPQ212" s="1"/>
      <c r="QPR212" s="1"/>
      <c r="QPS212" s="1"/>
      <c r="QPT212" s="1"/>
      <c r="QPU212" s="1"/>
      <c r="QPV212" s="1"/>
      <c r="QPW212" s="1"/>
      <c r="QPX212" s="1"/>
      <c r="QPY212" s="1"/>
      <c r="QPZ212" s="1"/>
      <c r="QQA212" s="1"/>
      <c r="QQB212" s="1"/>
      <c r="QQC212" s="1"/>
      <c r="QQD212" s="1"/>
      <c r="QQE212" s="1"/>
      <c r="QQF212" s="1"/>
      <c r="QQG212" s="1"/>
      <c r="QQH212" s="1"/>
      <c r="QQI212" s="1"/>
      <c r="QQJ212" s="1"/>
      <c r="QQK212" s="1"/>
      <c r="QQL212" s="1"/>
      <c r="QQM212" s="1"/>
      <c r="QQN212" s="1"/>
      <c r="QQO212" s="1"/>
      <c r="QQP212" s="1"/>
      <c r="QQQ212" s="1"/>
      <c r="QQR212" s="1"/>
      <c r="QQS212" s="1"/>
      <c r="QQT212" s="1"/>
      <c r="QQU212" s="1"/>
      <c r="QQV212" s="1"/>
      <c r="QQW212" s="1"/>
      <c r="QQX212" s="1"/>
      <c r="QQY212" s="1"/>
      <c r="QQZ212" s="1"/>
      <c r="QRA212" s="1"/>
      <c r="QRB212" s="1"/>
      <c r="QRC212" s="1"/>
      <c r="QRD212" s="1"/>
      <c r="QRE212" s="1"/>
      <c r="QRF212" s="1"/>
      <c r="QRG212" s="1"/>
      <c r="QRH212" s="1"/>
      <c r="QRI212" s="1"/>
      <c r="QRJ212" s="1"/>
      <c r="QRK212" s="1"/>
      <c r="QRL212" s="1"/>
      <c r="QRM212" s="1"/>
      <c r="QRN212" s="1"/>
      <c r="QRO212" s="1"/>
      <c r="QRP212" s="1"/>
      <c r="QRQ212" s="1"/>
      <c r="QRR212" s="1"/>
      <c r="QRS212" s="1"/>
      <c r="QRT212" s="1"/>
      <c r="QRU212" s="1"/>
      <c r="QRV212" s="1"/>
      <c r="QRW212" s="1"/>
      <c r="QRX212" s="1"/>
      <c r="QRY212" s="1"/>
      <c r="QRZ212" s="1"/>
      <c r="QSA212" s="1"/>
      <c r="QSB212" s="1"/>
      <c r="QSC212" s="1"/>
      <c r="QSD212" s="1"/>
      <c r="QSE212" s="1"/>
      <c r="QSF212" s="1"/>
      <c r="QSG212" s="1"/>
      <c r="QSH212" s="1"/>
      <c r="QSI212" s="1"/>
      <c r="QSJ212" s="1"/>
      <c r="QSK212" s="1"/>
      <c r="QSL212" s="1"/>
      <c r="QSM212" s="1"/>
      <c r="QSN212" s="1"/>
      <c r="QSO212" s="1"/>
      <c r="QSP212" s="1"/>
      <c r="QSQ212" s="1"/>
      <c r="QSR212" s="1"/>
      <c r="QSS212" s="1"/>
      <c r="QST212" s="1"/>
      <c r="QSU212" s="1"/>
      <c r="QSV212" s="1"/>
      <c r="QSW212" s="1"/>
      <c r="QSX212" s="1"/>
      <c r="QSY212" s="1"/>
      <c r="QSZ212" s="1"/>
      <c r="QTA212" s="1"/>
      <c r="QTB212" s="1"/>
      <c r="QTC212" s="1"/>
      <c r="QTD212" s="1"/>
      <c r="QTE212" s="1"/>
      <c r="QTF212" s="1"/>
      <c r="QTG212" s="1"/>
      <c r="QTH212" s="1"/>
      <c r="QTI212" s="1"/>
      <c r="QTJ212" s="1"/>
      <c r="QTK212" s="1"/>
      <c r="QTL212" s="1"/>
      <c r="QTM212" s="1"/>
      <c r="QTN212" s="1"/>
      <c r="QTO212" s="1"/>
      <c r="QTP212" s="1"/>
      <c r="QTQ212" s="1"/>
      <c r="QTR212" s="1"/>
      <c r="QTS212" s="1"/>
      <c r="QTT212" s="1"/>
      <c r="QTU212" s="1"/>
      <c r="QTV212" s="1"/>
      <c r="QTW212" s="1"/>
      <c r="QTX212" s="1"/>
      <c r="QTY212" s="1"/>
      <c r="QTZ212" s="1"/>
      <c r="QUA212" s="1"/>
      <c r="QUB212" s="1"/>
      <c r="QUC212" s="1"/>
      <c r="QUD212" s="1"/>
      <c r="QUE212" s="1"/>
      <c r="QUF212" s="1"/>
      <c r="QUG212" s="1"/>
      <c r="QUH212" s="1"/>
      <c r="QUI212" s="1"/>
      <c r="QUJ212" s="1"/>
      <c r="QUK212" s="1"/>
      <c r="QUL212" s="1"/>
      <c r="QUM212" s="1"/>
      <c r="QUN212" s="1"/>
      <c r="QUO212" s="1"/>
      <c r="QUP212" s="1"/>
      <c r="QUQ212" s="1"/>
      <c r="QUR212" s="1"/>
      <c r="QUS212" s="1"/>
      <c r="QUT212" s="1"/>
      <c r="QUU212" s="1"/>
      <c r="QUV212" s="1"/>
      <c r="QUW212" s="1"/>
      <c r="QUX212" s="1"/>
      <c r="QUY212" s="1"/>
      <c r="QUZ212" s="1"/>
      <c r="QVA212" s="1"/>
      <c r="QVB212" s="1"/>
      <c r="QVC212" s="1"/>
      <c r="QVD212" s="1"/>
      <c r="QVE212" s="1"/>
      <c r="QVF212" s="1"/>
      <c r="QVG212" s="1"/>
      <c r="QVH212" s="1"/>
      <c r="QVI212" s="1"/>
      <c r="QVJ212" s="1"/>
      <c r="QVK212" s="1"/>
      <c r="QVL212" s="1"/>
      <c r="QVM212" s="1"/>
      <c r="QVN212" s="1"/>
      <c r="QVO212" s="1"/>
      <c r="QVP212" s="1"/>
      <c r="QVQ212" s="1"/>
      <c r="QVR212" s="1"/>
      <c r="QVS212" s="1"/>
      <c r="QVT212" s="1"/>
      <c r="QVU212" s="1"/>
      <c r="QVV212" s="1"/>
      <c r="QVW212" s="1"/>
      <c r="QVX212" s="1"/>
      <c r="QVY212" s="1"/>
      <c r="QVZ212" s="1"/>
      <c r="QWA212" s="1"/>
      <c r="QWB212" s="1"/>
      <c r="QWC212" s="1"/>
      <c r="QWD212" s="1"/>
      <c r="QWE212" s="1"/>
      <c r="QWF212" s="1"/>
      <c r="QWG212" s="1"/>
      <c r="QWH212" s="1"/>
      <c r="QWI212" s="1"/>
      <c r="QWJ212" s="1"/>
      <c r="QWK212" s="1"/>
      <c r="QWL212" s="1"/>
      <c r="QWM212" s="1"/>
      <c r="QWN212" s="1"/>
      <c r="QWO212" s="1"/>
      <c r="QWP212" s="1"/>
      <c r="QWQ212" s="1"/>
      <c r="QWR212" s="1"/>
      <c r="QWS212" s="1"/>
      <c r="QWT212" s="1"/>
      <c r="QWU212" s="1"/>
      <c r="QWV212" s="1"/>
      <c r="QWW212" s="1"/>
      <c r="QWX212" s="1"/>
      <c r="QWY212" s="1"/>
      <c r="QWZ212" s="1"/>
      <c r="QXA212" s="1"/>
      <c r="QXB212" s="1"/>
      <c r="QXC212" s="1"/>
      <c r="QXD212" s="1"/>
      <c r="QXE212" s="1"/>
      <c r="QXF212" s="1"/>
      <c r="QXG212" s="1"/>
      <c r="QXH212" s="1"/>
      <c r="QXI212" s="1"/>
      <c r="QXJ212" s="1"/>
      <c r="QXK212" s="1"/>
      <c r="QXL212" s="1"/>
      <c r="QXM212" s="1"/>
      <c r="QXN212" s="1"/>
      <c r="QXO212" s="1"/>
      <c r="QXP212" s="1"/>
      <c r="QXQ212" s="1"/>
      <c r="QXR212" s="1"/>
      <c r="QXS212" s="1"/>
      <c r="QXT212" s="1"/>
      <c r="QXU212" s="1"/>
      <c r="QXV212" s="1"/>
      <c r="QXW212" s="1"/>
      <c r="QXX212" s="1"/>
      <c r="QXY212" s="1"/>
      <c r="QXZ212" s="1"/>
      <c r="QYA212" s="1"/>
      <c r="QYB212" s="1"/>
      <c r="QYC212" s="1"/>
      <c r="QYD212" s="1"/>
      <c r="QYE212" s="1"/>
      <c r="QYF212" s="1"/>
      <c r="QYG212" s="1"/>
      <c r="QYH212" s="1"/>
      <c r="QYI212" s="1"/>
      <c r="QYJ212" s="1"/>
      <c r="QYK212" s="1"/>
      <c r="QYL212" s="1"/>
      <c r="QYM212" s="1"/>
      <c r="QYN212" s="1"/>
      <c r="QYO212" s="1"/>
      <c r="QYP212" s="1"/>
      <c r="QYQ212" s="1"/>
      <c r="QYR212" s="1"/>
      <c r="QYS212" s="1"/>
      <c r="QYT212" s="1"/>
      <c r="QYU212" s="1"/>
      <c r="QYV212" s="1"/>
      <c r="QYW212" s="1"/>
      <c r="QYX212" s="1"/>
      <c r="QYY212" s="1"/>
      <c r="QYZ212" s="1"/>
      <c r="QZA212" s="1"/>
      <c r="QZB212" s="1"/>
      <c r="QZC212" s="1"/>
      <c r="QZD212" s="1"/>
      <c r="QZE212" s="1"/>
      <c r="QZF212" s="1"/>
      <c r="QZG212" s="1"/>
      <c r="QZH212" s="1"/>
      <c r="QZI212" s="1"/>
      <c r="QZJ212" s="1"/>
      <c r="QZK212" s="1"/>
      <c r="QZL212" s="1"/>
      <c r="QZM212" s="1"/>
      <c r="QZN212" s="1"/>
      <c r="QZO212" s="1"/>
      <c r="QZP212" s="1"/>
      <c r="QZQ212" s="1"/>
      <c r="QZR212" s="1"/>
      <c r="QZS212" s="1"/>
      <c r="QZT212" s="1"/>
      <c r="QZU212" s="1"/>
      <c r="QZV212" s="1"/>
      <c r="QZW212" s="1"/>
      <c r="QZX212" s="1"/>
      <c r="QZY212" s="1"/>
      <c r="QZZ212" s="1"/>
      <c r="RAA212" s="1"/>
      <c r="RAB212" s="1"/>
      <c r="RAC212" s="1"/>
      <c r="RAD212" s="1"/>
      <c r="RAE212" s="1"/>
      <c r="RAF212" s="1"/>
      <c r="RAG212" s="1"/>
      <c r="RAH212" s="1"/>
      <c r="RAI212" s="1"/>
      <c r="RAJ212" s="1"/>
      <c r="RAK212" s="1"/>
      <c r="RAL212" s="1"/>
      <c r="RAM212" s="1"/>
      <c r="RAN212" s="1"/>
      <c r="RAO212" s="1"/>
      <c r="RAP212" s="1"/>
      <c r="RAQ212" s="1"/>
      <c r="RAR212" s="1"/>
      <c r="RAS212" s="1"/>
      <c r="RAT212" s="1"/>
      <c r="RAU212" s="1"/>
      <c r="RAV212" s="1"/>
      <c r="RAW212" s="1"/>
      <c r="RAX212" s="1"/>
      <c r="RAY212" s="1"/>
      <c r="RAZ212" s="1"/>
      <c r="RBA212" s="1"/>
      <c r="RBB212" s="1"/>
      <c r="RBC212" s="1"/>
      <c r="RBD212" s="1"/>
      <c r="RBE212" s="1"/>
      <c r="RBF212" s="1"/>
      <c r="RBG212" s="1"/>
      <c r="RBH212" s="1"/>
      <c r="RBI212" s="1"/>
      <c r="RBJ212" s="1"/>
      <c r="RBK212" s="1"/>
      <c r="RBL212" s="1"/>
      <c r="RBM212" s="1"/>
      <c r="RBN212" s="1"/>
      <c r="RBO212" s="1"/>
      <c r="RBP212" s="1"/>
      <c r="RBQ212" s="1"/>
      <c r="RBR212" s="1"/>
      <c r="RBS212" s="1"/>
      <c r="RBT212" s="1"/>
      <c r="RBU212" s="1"/>
      <c r="RBV212" s="1"/>
      <c r="RBW212" s="1"/>
      <c r="RBX212" s="1"/>
      <c r="RBY212" s="1"/>
      <c r="RBZ212" s="1"/>
      <c r="RCA212" s="1"/>
      <c r="RCB212" s="1"/>
      <c r="RCC212" s="1"/>
      <c r="RCD212" s="1"/>
      <c r="RCE212" s="1"/>
      <c r="RCF212" s="1"/>
      <c r="RCG212" s="1"/>
      <c r="RCH212" s="1"/>
      <c r="RCI212" s="1"/>
      <c r="RCJ212" s="1"/>
      <c r="RCK212" s="1"/>
      <c r="RCL212" s="1"/>
      <c r="RCM212" s="1"/>
      <c r="RCN212" s="1"/>
      <c r="RCO212" s="1"/>
      <c r="RCP212" s="1"/>
      <c r="RCQ212" s="1"/>
      <c r="RCR212" s="1"/>
      <c r="RCS212" s="1"/>
      <c r="RCT212" s="1"/>
      <c r="RCU212" s="1"/>
      <c r="RCV212" s="1"/>
      <c r="RCW212" s="1"/>
      <c r="RCX212" s="1"/>
      <c r="RCY212" s="1"/>
      <c r="RCZ212" s="1"/>
      <c r="RDA212" s="1"/>
      <c r="RDB212" s="1"/>
      <c r="RDC212" s="1"/>
      <c r="RDD212" s="1"/>
      <c r="RDE212" s="1"/>
      <c r="RDF212" s="1"/>
      <c r="RDG212" s="1"/>
      <c r="RDH212" s="1"/>
      <c r="RDI212" s="1"/>
      <c r="RDJ212" s="1"/>
      <c r="RDK212" s="1"/>
      <c r="RDL212" s="1"/>
      <c r="RDM212" s="1"/>
      <c r="RDN212" s="1"/>
      <c r="RDO212" s="1"/>
      <c r="RDP212" s="1"/>
      <c r="RDQ212" s="1"/>
      <c r="RDR212" s="1"/>
      <c r="RDS212" s="1"/>
      <c r="RDT212" s="1"/>
      <c r="RDU212" s="1"/>
      <c r="RDV212" s="1"/>
      <c r="RDW212" s="1"/>
      <c r="RDX212" s="1"/>
      <c r="RDY212" s="1"/>
      <c r="RDZ212" s="1"/>
      <c r="REA212" s="1"/>
      <c r="REB212" s="1"/>
      <c r="REC212" s="1"/>
      <c r="RED212" s="1"/>
      <c r="REE212" s="1"/>
      <c r="REF212" s="1"/>
      <c r="REG212" s="1"/>
      <c r="REH212" s="1"/>
      <c r="REI212" s="1"/>
      <c r="REJ212" s="1"/>
      <c r="REK212" s="1"/>
      <c r="REL212" s="1"/>
      <c r="REM212" s="1"/>
      <c r="REN212" s="1"/>
      <c r="REO212" s="1"/>
      <c r="REP212" s="1"/>
      <c r="REQ212" s="1"/>
      <c r="RER212" s="1"/>
      <c r="RES212" s="1"/>
      <c r="RET212" s="1"/>
      <c r="REU212" s="1"/>
      <c r="REV212" s="1"/>
      <c r="REW212" s="1"/>
      <c r="REX212" s="1"/>
      <c r="REY212" s="1"/>
      <c r="REZ212" s="1"/>
      <c r="RFA212" s="1"/>
      <c r="RFB212" s="1"/>
      <c r="RFC212" s="1"/>
      <c r="RFD212" s="1"/>
      <c r="RFE212" s="1"/>
      <c r="RFF212" s="1"/>
      <c r="RFG212" s="1"/>
      <c r="RFH212" s="1"/>
      <c r="RFI212" s="1"/>
      <c r="RFJ212" s="1"/>
      <c r="RFK212" s="1"/>
      <c r="RFL212" s="1"/>
      <c r="RFM212" s="1"/>
      <c r="RFN212" s="1"/>
      <c r="RFO212" s="1"/>
      <c r="RFP212" s="1"/>
      <c r="RFQ212" s="1"/>
      <c r="RFR212" s="1"/>
      <c r="RFS212" s="1"/>
      <c r="RFT212" s="1"/>
      <c r="RFU212" s="1"/>
      <c r="RFV212" s="1"/>
      <c r="RFW212" s="1"/>
      <c r="RFX212" s="1"/>
      <c r="RFY212" s="1"/>
      <c r="RFZ212" s="1"/>
      <c r="RGA212" s="1"/>
      <c r="RGB212" s="1"/>
      <c r="RGC212" s="1"/>
      <c r="RGD212" s="1"/>
      <c r="RGE212" s="1"/>
      <c r="RGF212" s="1"/>
      <c r="RGG212" s="1"/>
      <c r="RGH212" s="1"/>
      <c r="RGI212" s="1"/>
      <c r="RGJ212" s="1"/>
      <c r="RGK212" s="1"/>
      <c r="RGL212" s="1"/>
      <c r="RGM212" s="1"/>
      <c r="RGN212" s="1"/>
      <c r="RGO212" s="1"/>
      <c r="RGP212" s="1"/>
      <c r="RGQ212" s="1"/>
      <c r="RGR212" s="1"/>
      <c r="RGS212" s="1"/>
      <c r="RGT212" s="1"/>
      <c r="RGU212" s="1"/>
      <c r="RGV212" s="1"/>
      <c r="RGW212" s="1"/>
      <c r="RGX212" s="1"/>
      <c r="RGY212" s="1"/>
      <c r="RGZ212" s="1"/>
      <c r="RHA212" s="1"/>
      <c r="RHB212" s="1"/>
      <c r="RHC212" s="1"/>
      <c r="RHD212" s="1"/>
      <c r="RHE212" s="1"/>
      <c r="RHF212" s="1"/>
      <c r="RHG212" s="1"/>
      <c r="RHH212" s="1"/>
      <c r="RHI212" s="1"/>
      <c r="RHJ212" s="1"/>
      <c r="RHK212" s="1"/>
      <c r="RHL212" s="1"/>
      <c r="RHM212" s="1"/>
      <c r="RHN212" s="1"/>
      <c r="RHO212" s="1"/>
      <c r="RHP212" s="1"/>
      <c r="RHQ212" s="1"/>
      <c r="RHR212" s="1"/>
      <c r="RHS212" s="1"/>
      <c r="RHT212" s="1"/>
      <c r="RHU212" s="1"/>
      <c r="RHV212" s="1"/>
      <c r="RHW212" s="1"/>
      <c r="RHX212" s="1"/>
      <c r="RHY212" s="1"/>
      <c r="RHZ212" s="1"/>
      <c r="RIA212" s="1"/>
      <c r="RIB212" s="1"/>
      <c r="RIC212" s="1"/>
      <c r="RID212" s="1"/>
      <c r="RIE212" s="1"/>
      <c r="RIF212" s="1"/>
      <c r="RIG212" s="1"/>
      <c r="RIH212" s="1"/>
      <c r="RII212" s="1"/>
      <c r="RIJ212" s="1"/>
      <c r="RIK212" s="1"/>
      <c r="RIL212" s="1"/>
      <c r="RIM212" s="1"/>
      <c r="RIN212" s="1"/>
      <c r="RIO212" s="1"/>
      <c r="RIP212" s="1"/>
      <c r="RIQ212" s="1"/>
      <c r="RIR212" s="1"/>
      <c r="RIS212" s="1"/>
      <c r="RIT212" s="1"/>
      <c r="RIU212" s="1"/>
      <c r="RIV212" s="1"/>
      <c r="RIW212" s="1"/>
      <c r="RIX212" s="1"/>
      <c r="RIY212" s="1"/>
      <c r="RIZ212" s="1"/>
      <c r="RJA212" s="1"/>
      <c r="RJB212" s="1"/>
      <c r="RJC212" s="1"/>
      <c r="RJD212" s="1"/>
      <c r="RJE212" s="1"/>
      <c r="RJF212" s="1"/>
      <c r="RJG212" s="1"/>
      <c r="RJH212" s="1"/>
      <c r="RJI212" s="1"/>
      <c r="RJJ212" s="1"/>
      <c r="RJK212" s="1"/>
      <c r="RJL212" s="1"/>
      <c r="RJM212" s="1"/>
      <c r="RJN212" s="1"/>
      <c r="RJO212" s="1"/>
      <c r="RJP212" s="1"/>
      <c r="RJQ212" s="1"/>
      <c r="RJR212" s="1"/>
      <c r="RJS212" s="1"/>
      <c r="RJT212" s="1"/>
      <c r="RJU212" s="1"/>
      <c r="RJV212" s="1"/>
      <c r="RJW212" s="1"/>
      <c r="RJX212" s="1"/>
      <c r="RJY212" s="1"/>
      <c r="RJZ212" s="1"/>
      <c r="RKA212" s="1"/>
      <c r="RKB212" s="1"/>
      <c r="RKC212" s="1"/>
      <c r="RKD212" s="1"/>
      <c r="RKE212" s="1"/>
      <c r="RKF212" s="1"/>
      <c r="RKG212" s="1"/>
      <c r="RKH212" s="1"/>
      <c r="RKI212" s="1"/>
      <c r="RKJ212" s="1"/>
      <c r="RKK212" s="1"/>
      <c r="RKL212" s="1"/>
      <c r="RKM212" s="1"/>
      <c r="RKN212" s="1"/>
      <c r="RKO212" s="1"/>
      <c r="RKP212" s="1"/>
      <c r="RKQ212" s="1"/>
      <c r="RKR212" s="1"/>
      <c r="RKS212" s="1"/>
      <c r="RKT212" s="1"/>
      <c r="RKU212" s="1"/>
      <c r="RKV212" s="1"/>
      <c r="RKW212" s="1"/>
      <c r="RKX212" s="1"/>
      <c r="RKY212" s="1"/>
      <c r="RKZ212" s="1"/>
      <c r="RLA212" s="1"/>
      <c r="RLB212" s="1"/>
      <c r="RLC212" s="1"/>
      <c r="RLD212" s="1"/>
      <c r="RLE212" s="1"/>
      <c r="RLF212" s="1"/>
      <c r="RLG212" s="1"/>
      <c r="RLH212" s="1"/>
      <c r="RLI212" s="1"/>
      <c r="RLJ212" s="1"/>
      <c r="RLK212" s="1"/>
      <c r="RLL212" s="1"/>
      <c r="RLM212" s="1"/>
      <c r="RLN212" s="1"/>
      <c r="RLO212" s="1"/>
      <c r="RLP212" s="1"/>
      <c r="RLQ212" s="1"/>
      <c r="RLR212" s="1"/>
      <c r="RLS212" s="1"/>
      <c r="RLT212" s="1"/>
      <c r="RLU212" s="1"/>
      <c r="RLV212" s="1"/>
      <c r="RLW212" s="1"/>
      <c r="RLX212" s="1"/>
      <c r="RLY212" s="1"/>
      <c r="RLZ212" s="1"/>
      <c r="RMA212" s="1"/>
      <c r="RMB212" s="1"/>
      <c r="RMC212" s="1"/>
      <c r="RMD212" s="1"/>
      <c r="RME212" s="1"/>
      <c r="RMF212" s="1"/>
      <c r="RMG212" s="1"/>
      <c r="RMH212" s="1"/>
      <c r="RMI212" s="1"/>
      <c r="RMJ212" s="1"/>
      <c r="RMK212" s="1"/>
      <c r="RML212" s="1"/>
      <c r="RMM212" s="1"/>
      <c r="RMN212" s="1"/>
      <c r="RMO212" s="1"/>
      <c r="RMP212" s="1"/>
      <c r="RMQ212" s="1"/>
      <c r="RMR212" s="1"/>
      <c r="RMS212" s="1"/>
      <c r="RMT212" s="1"/>
      <c r="RMU212" s="1"/>
      <c r="RMV212" s="1"/>
      <c r="RMW212" s="1"/>
      <c r="RMX212" s="1"/>
      <c r="RMY212" s="1"/>
      <c r="RMZ212" s="1"/>
      <c r="RNA212" s="1"/>
      <c r="RNB212" s="1"/>
      <c r="RNC212" s="1"/>
      <c r="RND212" s="1"/>
      <c r="RNE212" s="1"/>
      <c r="RNF212" s="1"/>
      <c r="RNG212" s="1"/>
      <c r="RNH212" s="1"/>
      <c r="RNI212" s="1"/>
      <c r="RNJ212" s="1"/>
      <c r="RNK212" s="1"/>
      <c r="RNL212" s="1"/>
      <c r="RNM212" s="1"/>
      <c r="RNN212" s="1"/>
      <c r="RNO212" s="1"/>
      <c r="RNP212" s="1"/>
      <c r="RNQ212" s="1"/>
      <c r="RNR212" s="1"/>
      <c r="RNS212" s="1"/>
      <c r="RNT212" s="1"/>
      <c r="RNU212" s="1"/>
      <c r="RNV212" s="1"/>
      <c r="RNW212" s="1"/>
      <c r="RNX212" s="1"/>
      <c r="RNY212" s="1"/>
      <c r="RNZ212" s="1"/>
      <c r="ROA212" s="1"/>
      <c r="ROB212" s="1"/>
      <c r="ROC212" s="1"/>
      <c r="ROD212" s="1"/>
      <c r="ROE212" s="1"/>
      <c r="ROF212" s="1"/>
      <c r="ROG212" s="1"/>
      <c r="ROH212" s="1"/>
      <c r="ROI212" s="1"/>
      <c r="ROJ212" s="1"/>
      <c r="ROK212" s="1"/>
      <c r="ROL212" s="1"/>
      <c r="ROM212" s="1"/>
      <c r="RON212" s="1"/>
      <c r="ROO212" s="1"/>
      <c r="ROP212" s="1"/>
      <c r="ROQ212" s="1"/>
      <c r="ROR212" s="1"/>
      <c r="ROS212" s="1"/>
      <c r="ROT212" s="1"/>
      <c r="ROU212" s="1"/>
      <c r="ROV212" s="1"/>
      <c r="ROW212" s="1"/>
      <c r="ROX212" s="1"/>
      <c r="ROY212" s="1"/>
      <c r="ROZ212" s="1"/>
      <c r="RPA212" s="1"/>
      <c r="RPB212" s="1"/>
      <c r="RPC212" s="1"/>
      <c r="RPD212" s="1"/>
      <c r="RPE212" s="1"/>
      <c r="RPF212" s="1"/>
      <c r="RPG212" s="1"/>
      <c r="RPH212" s="1"/>
      <c r="RPI212" s="1"/>
      <c r="RPJ212" s="1"/>
      <c r="RPK212" s="1"/>
      <c r="RPL212" s="1"/>
      <c r="RPM212" s="1"/>
      <c r="RPN212" s="1"/>
      <c r="RPO212" s="1"/>
      <c r="RPP212" s="1"/>
      <c r="RPQ212" s="1"/>
      <c r="RPR212" s="1"/>
      <c r="RPS212" s="1"/>
      <c r="RPT212" s="1"/>
      <c r="RPU212" s="1"/>
      <c r="RPV212" s="1"/>
      <c r="RPW212" s="1"/>
      <c r="RPX212" s="1"/>
      <c r="RPY212" s="1"/>
      <c r="RPZ212" s="1"/>
      <c r="RQA212" s="1"/>
      <c r="RQB212" s="1"/>
      <c r="RQC212" s="1"/>
      <c r="RQD212" s="1"/>
      <c r="RQE212" s="1"/>
      <c r="RQF212" s="1"/>
      <c r="RQG212" s="1"/>
      <c r="RQH212" s="1"/>
      <c r="RQI212" s="1"/>
      <c r="RQJ212" s="1"/>
      <c r="RQK212" s="1"/>
      <c r="RQL212" s="1"/>
      <c r="RQM212" s="1"/>
      <c r="RQN212" s="1"/>
      <c r="RQO212" s="1"/>
      <c r="RQP212" s="1"/>
      <c r="RQQ212" s="1"/>
      <c r="RQR212" s="1"/>
      <c r="RQS212" s="1"/>
      <c r="RQT212" s="1"/>
      <c r="RQU212" s="1"/>
      <c r="RQV212" s="1"/>
      <c r="RQW212" s="1"/>
      <c r="RQX212" s="1"/>
      <c r="RQY212" s="1"/>
      <c r="RQZ212" s="1"/>
      <c r="RRA212" s="1"/>
      <c r="RRB212" s="1"/>
      <c r="RRC212" s="1"/>
      <c r="RRD212" s="1"/>
      <c r="RRE212" s="1"/>
      <c r="RRF212" s="1"/>
      <c r="RRG212" s="1"/>
      <c r="RRH212" s="1"/>
      <c r="RRI212" s="1"/>
      <c r="RRJ212" s="1"/>
      <c r="RRK212" s="1"/>
      <c r="RRL212" s="1"/>
      <c r="RRM212" s="1"/>
      <c r="RRN212" s="1"/>
      <c r="RRO212" s="1"/>
      <c r="RRP212" s="1"/>
      <c r="RRQ212" s="1"/>
      <c r="RRR212" s="1"/>
      <c r="RRS212" s="1"/>
      <c r="RRT212" s="1"/>
      <c r="RRU212" s="1"/>
      <c r="RRV212" s="1"/>
      <c r="RRW212" s="1"/>
      <c r="RRX212" s="1"/>
      <c r="RRY212" s="1"/>
      <c r="RRZ212" s="1"/>
      <c r="RSA212" s="1"/>
      <c r="RSB212" s="1"/>
      <c r="RSC212" s="1"/>
      <c r="RSD212" s="1"/>
      <c r="RSE212" s="1"/>
      <c r="RSF212" s="1"/>
      <c r="RSG212" s="1"/>
      <c r="RSH212" s="1"/>
      <c r="RSI212" s="1"/>
      <c r="RSJ212" s="1"/>
      <c r="RSK212" s="1"/>
      <c r="RSL212" s="1"/>
      <c r="RSM212" s="1"/>
      <c r="RSN212" s="1"/>
      <c r="RSO212" s="1"/>
      <c r="RSP212" s="1"/>
      <c r="RSQ212" s="1"/>
      <c r="RSR212" s="1"/>
      <c r="RSS212" s="1"/>
      <c r="RST212" s="1"/>
      <c r="RSU212" s="1"/>
      <c r="RSV212" s="1"/>
      <c r="RSW212" s="1"/>
      <c r="RSX212" s="1"/>
      <c r="RSY212" s="1"/>
      <c r="RSZ212" s="1"/>
      <c r="RTA212" s="1"/>
      <c r="RTB212" s="1"/>
      <c r="RTC212" s="1"/>
      <c r="RTD212" s="1"/>
      <c r="RTE212" s="1"/>
      <c r="RTF212" s="1"/>
      <c r="RTG212" s="1"/>
      <c r="RTH212" s="1"/>
      <c r="RTI212" s="1"/>
      <c r="RTJ212" s="1"/>
      <c r="RTK212" s="1"/>
      <c r="RTL212" s="1"/>
      <c r="RTM212" s="1"/>
      <c r="RTN212" s="1"/>
      <c r="RTO212" s="1"/>
      <c r="RTP212" s="1"/>
      <c r="RTQ212" s="1"/>
      <c r="RTR212" s="1"/>
      <c r="RTS212" s="1"/>
      <c r="RTT212" s="1"/>
      <c r="RTU212" s="1"/>
      <c r="RTV212" s="1"/>
      <c r="RTW212" s="1"/>
      <c r="RTX212" s="1"/>
      <c r="RTY212" s="1"/>
      <c r="RTZ212" s="1"/>
      <c r="RUA212" s="1"/>
      <c r="RUB212" s="1"/>
      <c r="RUC212" s="1"/>
      <c r="RUD212" s="1"/>
      <c r="RUE212" s="1"/>
      <c r="RUF212" s="1"/>
      <c r="RUG212" s="1"/>
      <c r="RUH212" s="1"/>
      <c r="RUI212" s="1"/>
      <c r="RUJ212" s="1"/>
      <c r="RUK212" s="1"/>
      <c r="RUL212" s="1"/>
      <c r="RUM212" s="1"/>
      <c r="RUN212" s="1"/>
      <c r="RUO212" s="1"/>
      <c r="RUP212" s="1"/>
      <c r="RUQ212" s="1"/>
      <c r="RUR212" s="1"/>
      <c r="RUS212" s="1"/>
      <c r="RUT212" s="1"/>
      <c r="RUU212" s="1"/>
      <c r="RUV212" s="1"/>
      <c r="RUW212" s="1"/>
      <c r="RUX212" s="1"/>
      <c r="RUY212" s="1"/>
      <c r="RUZ212" s="1"/>
      <c r="RVA212" s="1"/>
      <c r="RVB212" s="1"/>
      <c r="RVC212" s="1"/>
      <c r="RVD212" s="1"/>
      <c r="RVE212" s="1"/>
      <c r="RVF212" s="1"/>
      <c r="RVG212" s="1"/>
      <c r="RVH212" s="1"/>
      <c r="RVI212" s="1"/>
      <c r="RVJ212" s="1"/>
      <c r="RVK212" s="1"/>
      <c r="RVL212" s="1"/>
      <c r="RVM212" s="1"/>
      <c r="RVN212" s="1"/>
      <c r="RVO212" s="1"/>
      <c r="RVP212" s="1"/>
      <c r="RVQ212" s="1"/>
      <c r="RVR212" s="1"/>
      <c r="RVS212" s="1"/>
      <c r="RVT212" s="1"/>
      <c r="RVU212" s="1"/>
      <c r="RVV212" s="1"/>
      <c r="RVW212" s="1"/>
      <c r="RVX212" s="1"/>
      <c r="RVY212" s="1"/>
      <c r="RVZ212" s="1"/>
      <c r="RWA212" s="1"/>
      <c r="RWB212" s="1"/>
      <c r="RWC212" s="1"/>
      <c r="RWD212" s="1"/>
      <c r="RWE212" s="1"/>
      <c r="RWF212" s="1"/>
      <c r="RWG212" s="1"/>
      <c r="RWH212" s="1"/>
      <c r="RWI212" s="1"/>
      <c r="RWJ212" s="1"/>
      <c r="RWK212" s="1"/>
      <c r="RWL212" s="1"/>
      <c r="RWM212" s="1"/>
      <c r="RWN212" s="1"/>
      <c r="RWO212" s="1"/>
      <c r="RWP212" s="1"/>
      <c r="RWQ212" s="1"/>
      <c r="RWR212" s="1"/>
      <c r="RWS212" s="1"/>
      <c r="RWT212" s="1"/>
      <c r="RWU212" s="1"/>
      <c r="RWV212" s="1"/>
      <c r="RWW212" s="1"/>
      <c r="RWX212" s="1"/>
      <c r="RWY212" s="1"/>
      <c r="RWZ212" s="1"/>
      <c r="RXA212" s="1"/>
      <c r="RXB212" s="1"/>
      <c r="RXC212" s="1"/>
      <c r="RXD212" s="1"/>
      <c r="RXE212" s="1"/>
      <c r="RXF212" s="1"/>
      <c r="RXG212" s="1"/>
      <c r="RXH212" s="1"/>
      <c r="RXI212" s="1"/>
      <c r="RXJ212" s="1"/>
      <c r="RXK212" s="1"/>
      <c r="RXL212" s="1"/>
      <c r="RXM212" s="1"/>
      <c r="RXN212" s="1"/>
      <c r="RXO212" s="1"/>
      <c r="RXP212" s="1"/>
      <c r="RXQ212" s="1"/>
      <c r="RXR212" s="1"/>
      <c r="RXS212" s="1"/>
      <c r="RXT212" s="1"/>
      <c r="RXU212" s="1"/>
      <c r="RXV212" s="1"/>
      <c r="RXW212" s="1"/>
      <c r="RXX212" s="1"/>
      <c r="RXY212" s="1"/>
      <c r="RXZ212" s="1"/>
      <c r="RYA212" s="1"/>
      <c r="RYB212" s="1"/>
      <c r="RYC212" s="1"/>
      <c r="RYD212" s="1"/>
      <c r="RYE212" s="1"/>
      <c r="RYF212" s="1"/>
      <c r="RYG212" s="1"/>
      <c r="RYH212" s="1"/>
      <c r="RYI212" s="1"/>
      <c r="RYJ212" s="1"/>
      <c r="RYK212" s="1"/>
      <c r="RYL212" s="1"/>
      <c r="RYM212" s="1"/>
      <c r="RYN212" s="1"/>
      <c r="RYO212" s="1"/>
      <c r="RYP212" s="1"/>
      <c r="RYQ212" s="1"/>
      <c r="RYR212" s="1"/>
      <c r="RYS212" s="1"/>
      <c r="RYT212" s="1"/>
      <c r="RYU212" s="1"/>
      <c r="RYV212" s="1"/>
      <c r="RYW212" s="1"/>
      <c r="RYX212" s="1"/>
      <c r="RYY212" s="1"/>
      <c r="RYZ212" s="1"/>
      <c r="RZA212" s="1"/>
      <c r="RZB212" s="1"/>
      <c r="RZC212" s="1"/>
      <c r="RZD212" s="1"/>
      <c r="RZE212" s="1"/>
      <c r="RZF212" s="1"/>
      <c r="RZG212" s="1"/>
      <c r="RZH212" s="1"/>
      <c r="RZI212" s="1"/>
      <c r="RZJ212" s="1"/>
      <c r="RZK212" s="1"/>
      <c r="RZL212" s="1"/>
      <c r="RZM212" s="1"/>
      <c r="RZN212" s="1"/>
      <c r="RZO212" s="1"/>
      <c r="RZP212" s="1"/>
      <c r="RZQ212" s="1"/>
      <c r="RZR212" s="1"/>
      <c r="RZS212" s="1"/>
      <c r="RZT212" s="1"/>
      <c r="RZU212" s="1"/>
      <c r="RZV212" s="1"/>
      <c r="RZW212" s="1"/>
      <c r="RZX212" s="1"/>
      <c r="RZY212" s="1"/>
      <c r="RZZ212" s="1"/>
      <c r="SAA212" s="1"/>
      <c r="SAB212" s="1"/>
      <c r="SAC212" s="1"/>
      <c r="SAD212" s="1"/>
      <c r="SAE212" s="1"/>
      <c r="SAF212" s="1"/>
      <c r="SAG212" s="1"/>
      <c r="SAH212" s="1"/>
      <c r="SAI212" s="1"/>
      <c r="SAJ212" s="1"/>
      <c r="SAK212" s="1"/>
      <c r="SAL212" s="1"/>
      <c r="SAM212" s="1"/>
      <c r="SAN212" s="1"/>
      <c r="SAO212" s="1"/>
      <c r="SAP212" s="1"/>
      <c r="SAQ212" s="1"/>
      <c r="SAR212" s="1"/>
      <c r="SAS212" s="1"/>
      <c r="SAT212" s="1"/>
      <c r="SAU212" s="1"/>
      <c r="SAV212" s="1"/>
      <c r="SAW212" s="1"/>
      <c r="SAX212" s="1"/>
      <c r="SAY212" s="1"/>
      <c r="SAZ212" s="1"/>
      <c r="SBA212" s="1"/>
      <c r="SBB212" s="1"/>
      <c r="SBC212" s="1"/>
      <c r="SBD212" s="1"/>
      <c r="SBE212" s="1"/>
      <c r="SBF212" s="1"/>
      <c r="SBG212" s="1"/>
      <c r="SBH212" s="1"/>
      <c r="SBI212" s="1"/>
      <c r="SBJ212" s="1"/>
      <c r="SBK212" s="1"/>
      <c r="SBL212" s="1"/>
      <c r="SBM212" s="1"/>
      <c r="SBN212" s="1"/>
      <c r="SBO212" s="1"/>
      <c r="SBP212" s="1"/>
      <c r="SBQ212" s="1"/>
      <c r="SBR212" s="1"/>
      <c r="SBS212" s="1"/>
      <c r="SBT212" s="1"/>
      <c r="SBU212" s="1"/>
      <c r="SBV212" s="1"/>
      <c r="SBW212" s="1"/>
      <c r="SBX212" s="1"/>
      <c r="SBY212" s="1"/>
      <c r="SBZ212" s="1"/>
      <c r="SCA212" s="1"/>
      <c r="SCB212" s="1"/>
      <c r="SCC212" s="1"/>
      <c r="SCD212" s="1"/>
      <c r="SCE212" s="1"/>
      <c r="SCF212" s="1"/>
      <c r="SCG212" s="1"/>
      <c r="SCH212" s="1"/>
      <c r="SCI212" s="1"/>
      <c r="SCJ212" s="1"/>
      <c r="SCK212" s="1"/>
      <c r="SCL212" s="1"/>
      <c r="SCM212" s="1"/>
      <c r="SCN212" s="1"/>
      <c r="SCO212" s="1"/>
      <c r="SCP212" s="1"/>
      <c r="SCQ212" s="1"/>
      <c r="SCR212" s="1"/>
      <c r="SCS212" s="1"/>
      <c r="SCT212" s="1"/>
      <c r="SCU212" s="1"/>
      <c r="SCV212" s="1"/>
      <c r="SCW212" s="1"/>
      <c r="SCX212" s="1"/>
      <c r="SCY212" s="1"/>
      <c r="SCZ212" s="1"/>
      <c r="SDA212" s="1"/>
      <c r="SDB212" s="1"/>
      <c r="SDC212" s="1"/>
      <c r="SDD212" s="1"/>
      <c r="SDE212" s="1"/>
      <c r="SDF212" s="1"/>
      <c r="SDG212" s="1"/>
      <c r="SDH212" s="1"/>
      <c r="SDI212" s="1"/>
      <c r="SDJ212" s="1"/>
      <c r="SDK212" s="1"/>
      <c r="SDL212" s="1"/>
      <c r="SDM212" s="1"/>
      <c r="SDN212" s="1"/>
      <c r="SDO212" s="1"/>
      <c r="SDP212" s="1"/>
      <c r="SDQ212" s="1"/>
      <c r="SDR212" s="1"/>
      <c r="SDS212" s="1"/>
      <c r="SDT212" s="1"/>
      <c r="SDU212" s="1"/>
      <c r="SDV212" s="1"/>
      <c r="SDW212" s="1"/>
      <c r="SDX212" s="1"/>
      <c r="SDY212" s="1"/>
      <c r="SDZ212" s="1"/>
      <c r="SEA212" s="1"/>
      <c r="SEB212" s="1"/>
      <c r="SEC212" s="1"/>
      <c r="SED212" s="1"/>
      <c r="SEE212" s="1"/>
      <c r="SEF212" s="1"/>
      <c r="SEG212" s="1"/>
      <c r="SEH212" s="1"/>
      <c r="SEI212" s="1"/>
      <c r="SEJ212" s="1"/>
      <c r="SEK212" s="1"/>
      <c r="SEL212" s="1"/>
      <c r="SEM212" s="1"/>
      <c r="SEN212" s="1"/>
      <c r="SEO212" s="1"/>
      <c r="SEP212" s="1"/>
      <c r="SEQ212" s="1"/>
      <c r="SER212" s="1"/>
      <c r="SES212" s="1"/>
      <c r="SET212" s="1"/>
      <c r="SEU212" s="1"/>
      <c r="SEV212" s="1"/>
      <c r="SEW212" s="1"/>
      <c r="SEX212" s="1"/>
      <c r="SEY212" s="1"/>
      <c r="SEZ212" s="1"/>
      <c r="SFA212" s="1"/>
      <c r="SFB212" s="1"/>
      <c r="SFC212" s="1"/>
      <c r="SFD212" s="1"/>
      <c r="SFE212" s="1"/>
      <c r="SFF212" s="1"/>
      <c r="SFG212" s="1"/>
      <c r="SFH212" s="1"/>
      <c r="SFI212" s="1"/>
      <c r="SFJ212" s="1"/>
      <c r="SFK212" s="1"/>
      <c r="SFL212" s="1"/>
      <c r="SFM212" s="1"/>
      <c r="SFN212" s="1"/>
      <c r="SFO212" s="1"/>
      <c r="SFP212" s="1"/>
      <c r="SFQ212" s="1"/>
      <c r="SFR212" s="1"/>
      <c r="SFS212" s="1"/>
      <c r="SFT212" s="1"/>
      <c r="SFU212" s="1"/>
      <c r="SFV212" s="1"/>
      <c r="SFW212" s="1"/>
      <c r="SFX212" s="1"/>
      <c r="SFY212" s="1"/>
      <c r="SFZ212" s="1"/>
      <c r="SGA212" s="1"/>
      <c r="SGB212" s="1"/>
      <c r="SGC212" s="1"/>
      <c r="SGD212" s="1"/>
      <c r="SGE212" s="1"/>
      <c r="SGF212" s="1"/>
      <c r="SGG212" s="1"/>
      <c r="SGH212" s="1"/>
      <c r="SGI212" s="1"/>
      <c r="SGJ212" s="1"/>
      <c r="SGK212" s="1"/>
      <c r="SGL212" s="1"/>
      <c r="SGM212" s="1"/>
      <c r="SGN212" s="1"/>
      <c r="SGO212" s="1"/>
      <c r="SGP212" s="1"/>
      <c r="SGQ212" s="1"/>
      <c r="SGR212" s="1"/>
      <c r="SGS212" s="1"/>
      <c r="SGT212" s="1"/>
      <c r="SGU212" s="1"/>
      <c r="SGV212" s="1"/>
      <c r="SGW212" s="1"/>
      <c r="SGX212" s="1"/>
      <c r="SGY212" s="1"/>
      <c r="SGZ212" s="1"/>
      <c r="SHA212" s="1"/>
      <c r="SHB212" s="1"/>
      <c r="SHC212" s="1"/>
      <c r="SHD212" s="1"/>
      <c r="SHE212" s="1"/>
      <c r="SHF212" s="1"/>
      <c r="SHG212" s="1"/>
      <c r="SHH212" s="1"/>
      <c r="SHI212" s="1"/>
      <c r="SHJ212" s="1"/>
      <c r="SHK212" s="1"/>
      <c r="SHL212" s="1"/>
      <c r="SHM212" s="1"/>
      <c r="SHN212" s="1"/>
      <c r="SHO212" s="1"/>
      <c r="SHP212" s="1"/>
      <c r="SHQ212" s="1"/>
      <c r="SHR212" s="1"/>
      <c r="SHS212" s="1"/>
      <c r="SHT212" s="1"/>
      <c r="SHU212" s="1"/>
      <c r="SHV212" s="1"/>
      <c r="SHW212" s="1"/>
      <c r="SHX212" s="1"/>
      <c r="SHY212" s="1"/>
      <c r="SHZ212" s="1"/>
      <c r="SIA212" s="1"/>
      <c r="SIB212" s="1"/>
      <c r="SIC212" s="1"/>
      <c r="SID212" s="1"/>
      <c r="SIE212" s="1"/>
      <c r="SIF212" s="1"/>
      <c r="SIG212" s="1"/>
      <c r="SIH212" s="1"/>
      <c r="SII212" s="1"/>
      <c r="SIJ212" s="1"/>
      <c r="SIK212" s="1"/>
      <c r="SIL212" s="1"/>
      <c r="SIM212" s="1"/>
      <c r="SIN212" s="1"/>
      <c r="SIO212" s="1"/>
      <c r="SIP212" s="1"/>
      <c r="SIQ212" s="1"/>
      <c r="SIR212" s="1"/>
      <c r="SIS212" s="1"/>
      <c r="SIT212" s="1"/>
      <c r="SIU212" s="1"/>
      <c r="SIV212" s="1"/>
      <c r="SIW212" s="1"/>
      <c r="SIX212" s="1"/>
      <c r="SIY212" s="1"/>
      <c r="SIZ212" s="1"/>
      <c r="SJA212" s="1"/>
      <c r="SJB212" s="1"/>
      <c r="SJC212" s="1"/>
      <c r="SJD212" s="1"/>
      <c r="SJE212" s="1"/>
      <c r="SJF212" s="1"/>
      <c r="SJG212" s="1"/>
      <c r="SJH212" s="1"/>
      <c r="SJI212" s="1"/>
      <c r="SJJ212" s="1"/>
      <c r="SJK212" s="1"/>
      <c r="SJL212" s="1"/>
      <c r="SJM212" s="1"/>
      <c r="SJN212" s="1"/>
      <c r="SJO212" s="1"/>
      <c r="SJP212" s="1"/>
      <c r="SJQ212" s="1"/>
      <c r="SJR212" s="1"/>
      <c r="SJS212" s="1"/>
      <c r="SJT212" s="1"/>
      <c r="SJU212" s="1"/>
      <c r="SJV212" s="1"/>
      <c r="SJW212" s="1"/>
      <c r="SJX212" s="1"/>
      <c r="SJY212" s="1"/>
      <c r="SJZ212" s="1"/>
      <c r="SKA212" s="1"/>
      <c r="SKB212" s="1"/>
      <c r="SKC212" s="1"/>
      <c r="SKD212" s="1"/>
      <c r="SKE212" s="1"/>
      <c r="SKF212" s="1"/>
      <c r="SKG212" s="1"/>
      <c r="SKH212" s="1"/>
      <c r="SKI212" s="1"/>
      <c r="SKJ212" s="1"/>
      <c r="SKK212" s="1"/>
      <c r="SKL212" s="1"/>
      <c r="SKM212" s="1"/>
      <c r="SKN212" s="1"/>
      <c r="SKO212" s="1"/>
      <c r="SKP212" s="1"/>
      <c r="SKQ212" s="1"/>
      <c r="SKR212" s="1"/>
      <c r="SKS212" s="1"/>
      <c r="SKT212" s="1"/>
      <c r="SKU212" s="1"/>
      <c r="SKV212" s="1"/>
      <c r="SKW212" s="1"/>
      <c r="SKX212" s="1"/>
      <c r="SKY212" s="1"/>
      <c r="SKZ212" s="1"/>
      <c r="SLA212" s="1"/>
      <c r="SLB212" s="1"/>
      <c r="SLC212" s="1"/>
      <c r="SLD212" s="1"/>
      <c r="SLE212" s="1"/>
      <c r="SLF212" s="1"/>
      <c r="SLG212" s="1"/>
      <c r="SLH212" s="1"/>
      <c r="SLI212" s="1"/>
      <c r="SLJ212" s="1"/>
      <c r="SLK212" s="1"/>
      <c r="SLL212" s="1"/>
      <c r="SLM212" s="1"/>
      <c r="SLN212" s="1"/>
      <c r="SLO212" s="1"/>
      <c r="SLP212" s="1"/>
      <c r="SLQ212" s="1"/>
      <c r="SLR212" s="1"/>
      <c r="SLS212" s="1"/>
      <c r="SLT212" s="1"/>
      <c r="SLU212" s="1"/>
      <c r="SLV212" s="1"/>
      <c r="SLW212" s="1"/>
      <c r="SLX212" s="1"/>
      <c r="SLY212" s="1"/>
      <c r="SLZ212" s="1"/>
      <c r="SMA212" s="1"/>
      <c r="SMB212" s="1"/>
      <c r="SMC212" s="1"/>
      <c r="SMD212" s="1"/>
      <c r="SME212" s="1"/>
      <c r="SMF212" s="1"/>
      <c r="SMG212" s="1"/>
      <c r="SMH212" s="1"/>
      <c r="SMI212" s="1"/>
      <c r="SMJ212" s="1"/>
      <c r="SMK212" s="1"/>
      <c r="SML212" s="1"/>
      <c r="SMM212" s="1"/>
      <c r="SMN212" s="1"/>
      <c r="SMO212" s="1"/>
      <c r="SMP212" s="1"/>
      <c r="SMQ212" s="1"/>
      <c r="SMR212" s="1"/>
      <c r="SMS212" s="1"/>
      <c r="SMT212" s="1"/>
      <c r="SMU212" s="1"/>
      <c r="SMV212" s="1"/>
      <c r="SMW212" s="1"/>
      <c r="SMX212" s="1"/>
      <c r="SMY212" s="1"/>
      <c r="SMZ212" s="1"/>
      <c r="SNA212" s="1"/>
      <c r="SNB212" s="1"/>
      <c r="SNC212" s="1"/>
      <c r="SND212" s="1"/>
      <c r="SNE212" s="1"/>
      <c r="SNF212" s="1"/>
      <c r="SNG212" s="1"/>
      <c r="SNH212" s="1"/>
      <c r="SNI212" s="1"/>
      <c r="SNJ212" s="1"/>
      <c r="SNK212" s="1"/>
      <c r="SNL212" s="1"/>
      <c r="SNM212" s="1"/>
      <c r="SNN212" s="1"/>
      <c r="SNO212" s="1"/>
      <c r="SNP212" s="1"/>
      <c r="SNQ212" s="1"/>
      <c r="SNR212" s="1"/>
      <c r="SNS212" s="1"/>
      <c r="SNT212" s="1"/>
      <c r="SNU212" s="1"/>
      <c r="SNV212" s="1"/>
      <c r="SNW212" s="1"/>
      <c r="SNX212" s="1"/>
      <c r="SNY212" s="1"/>
      <c r="SNZ212" s="1"/>
      <c r="SOA212" s="1"/>
      <c r="SOB212" s="1"/>
      <c r="SOC212" s="1"/>
      <c r="SOD212" s="1"/>
      <c r="SOE212" s="1"/>
      <c r="SOF212" s="1"/>
      <c r="SOG212" s="1"/>
      <c r="SOH212" s="1"/>
      <c r="SOI212" s="1"/>
      <c r="SOJ212" s="1"/>
      <c r="SOK212" s="1"/>
      <c r="SOL212" s="1"/>
      <c r="SOM212" s="1"/>
      <c r="SON212" s="1"/>
      <c r="SOO212" s="1"/>
      <c r="SOP212" s="1"/>
      <c r="SOQ212" s="1"/>
      <c r="SOR212" s="1"/>
      <c r="SOS212" s="1"/>
      <c r="SOT212" s="1"/>
      <c r="SOU212" s="1"/>
      <c r="SOV212" s="1"/>
      <c r="SOW212" s="1"/>
      <c r="SOX212" s="1"/>
      <c r="SOY212" s="1"/>
      <c r="SOZ212" s="1"/>
      <c r="SPA212" s="1"/>
      <c r="SPB212" s="1"/>
      <c r="SPC212" s="1"/>
      <c r="SPD212" s="1"/>
      <c r="SPE212" s="1"/>
      <c r="SPF212" s="1"/>
      <c r="SPG212" s="1"/>
      <c r="SPH212" s="1"/>
      <c r="SPI212" s="1"/>
      <c r="SPJ212" s="1"/>
      <c r="SPK212" s="1"/>
      <c r="SPL212" s="1"/>
      <c r="SPM212" s="1"/>
      <c r="SPN212" s="1"/>
      <c r="SPO212" s="1"/>
      <c r="SPP212" s="1"/>
      <c r="SPQ212" s="1"/>
      <c r="SPR212" s="1"/>
      <c r="SPS212" s="1"/>
      <c r="SPT212" s="1"/>
      <c r="SPU212" s="1"/>
      <c r="SPV212" s="1"/>
      <c r="SPW212" s="1"/>
      <c r="SPX212" s="1"/>
      <c r="SPY212" s="1"/>
      <c r="SPZ212" s="1"/>
      <c r="SQA212" s="1"/>
      <c r="SQB212" s="1"/>
      <c r="SQC212" s="1"/>
      <c r="SQD212" s="1"/>
      <c r="SQE212" s="1"/>
      <c r="SQF212" s="1"/>
      <c r="SQG212" s="1"/>
      <c r="SQH212" s="1"/>
      <c r="SQI212" s="1"/>
      <c r="SQJ212" s="1"/>
      <c r="SQK212" s="1"/>
      <c r="SQL212" s="1"/>
      <c r="SQM212" s="1"/>
      <c r="SQN212" s="1"/>
      <c r="SQO212" s="1"/>
      <c r="SQP212" s="1"/>
      <c r="SQQ212" s="1"/>
      <c r="SQR212" s="1"/>
      <c r="SQS212" s="1"/>
      <c r="SQT212" s="1"/>
      <c r="SQU212" s="1"/>
      <c r="SQV212" s="1"/>
      <c r="SQW212" s="1"/>
      <c r="SQX212" s="1"/>
      <c r="SQY212" s="1"/>
      <c r="SQZ212" s="1"/>
      <c r="SRA212" s="1"/>
      <c r="SRB212" s="1"/>
      <c r="SRC212" s="1"/>
      <c r="SRD212" s="1"/>
      <c r="SRE212" s="1"/>
      <c r="SRF212" s="1"/>
      <c r="SRG212" s="1"/>
      <c r="SRH212" s="1"/>
      <c r="SRI212" s="1"/>
      <c r="SRJ212" s="1"/>
      <c r="SRK212" s="1"/>
      <c r="SRL212" s="1"/>
      <c r="SRM212" s="1"/>
      <c r="SRN212" s="1"/>
      <c r="SRO212" s="1"/>
      <c r="SRP212" s="1"/>
      <c r="SRQ212" s="1"/>
      <c r="SRR212" s="1"/>
      <c r="SRS212" s="1"/>
      <c r="SRT212" s="1"/>
      <c r="SRU212" s="1"/>
      <c r="SRV212" s="1"/>
      <c r="SRW212" s="1"/>
      <c r="SRX212" s="1"/>
      <c r="SRY212" s="1"/>
      <c r="SRZ212" s="1"/>
      <c r="SSA212" s="1"/>
      <c r="SSB212" s="1"/>
      <c r="SSC212" s="1"/>
      <c r="SSD212" s="1"/>
      <c r="SSE212" s="1"/>
      <c r="SSF212" s="1"/>
      <c r="SSG212" s="1"/>
      <c r="SSH212" s="1"/>
      <c r="SSI212" s="1"/>
      <c r="SSJ212" s="1"/>
      <c r="SSK212" s="1"/>
      <c r="SSL212" s="1"/>
      <c r="SSM212" s="1"/>
      <c r="SSN212" s="1"/>
      <c r="SSO212" s="1"/>
      <c r="SSP212" s="1"/>
      <c r="SSQ212" s="1"/>
      <c r="SSR212" s="1"/>
      <c r="SSS212" s="1"/>
      <c r="SST212" s="1"/>
      <c r="SSU212" s="1"/>
      <c r="SSV212" s="1"/>
      <c r="SSW212" s="1"/>
      <c r="SSX212" s="1"/>
      <c r="SSY212" s="1"/>
      <c r="SSZ212" s="1"/>
      <c r="STA212" s="1"/>
      <c r="STB212" s="1"/>
      <c r="STC212" s="1"/>
      <c r="STD212" s="1"/>
      <c r="STE212" s="1"/>
      <c r="STF212" s="1"/>
      <c r="STG212" s="1"/>
      <c r="STH212" s="1"/>
      <c r="STI212" s="1"/>
      <c r="STJ212" s="1"/>
      <c r="STK212" s="1"/>
      <c r="STL212" s="1"/>
      <c r="STM212" s="1"/>
      <c r="STN212" s="1"/>
      <c r="STO212" s="1"/>
      <c r="STP212" s="1"/>
      <c r="STQ212" s="1"/>
      <c r="STR212" s="1"/>
      <c r="STS212" s="1"/>
      <c r="STT212" s="1"/>
      <c r="STU212" s="1"/>
      <c r="STV212" s="1"/>
      <c r="STW212" s="1"/>
      <c r="STX212" s="1"/>
      <c r="STY212" s="1"/>
      <c r="STZ212" s="1"/>
      <c r="SUA212" s="1"/>
      <c r="SUB212" s="1"/>
      <c r="SUC212" s="1"/>
      <c r="SUD212" s="1"/>
      <c r="SUE212" s="1"/>
      <c r="SUF212" s="1"/>
      <c r="SUG212" s="1"/>
      <c r="SUH212" s="1"/>
      <c r="SUI212" s="1"/>
      <c r="SUJ212" s="1"/>
      <c r="SUK212" s="1"/>
      <c r="SUL212" s="1"/>
      <c r="SUM212" s="1"/>
      <c r="SUN212" s="1"/>
      <c r="SUO212" s="1"/>
      <c r="SUP212" s="1"/>
      <c r="SUQ212" s="1"/>
      <c r="SUR212" s="1"/>
      <c r="SUS212" s="1"/>
      <c r="SUT212" s="1"/>
      <c r="SUU212" s="1"/>
      <c r="SUV212" s="1"/>
      <c r="SUW212" s="1"/>
      <c r="SUX212" s="1"/>
      <c r="SUY212" s="1"/>
      <c r="SUZ212" s="1"/>
      <c r="SVA212" s="1"/>
      <c r="SVB212" s="1"/>
      <c r="SVC212" s="1"/>
      <c r="SVD212" s="1"/>
      <c r="SVE212" s="1"/>
      <c r="SVF212" s="1"/>
      <c r="SVG212" s="1"/>
      <c r="SVH212" s="1"/>
      <c r="SVI212" s="1"/>
      <c r="SVJ212" s="1"/>
      <c r="SVK212" s="1"/>
      <c r="SVL212" s="1"/>
      <c r="SVM212" s="1"/>
      <c r="SVN212" s="1"/>
      <c r="SVO212" s="1"/>
      <c r="SVP212" s="1"/>
      <c r="SVQ212" s="1"/>
      <c r="SVR212" s="1"/>
      <c r="SVS212" s="1"/>
      <c r="SVT212" s="1"/>
      <c r="SVU212" s="1"/>
      <c r="SVV212" s="1"/>
      <c r="SVW212" s="1"/>
      <c r="SVX212" s="1"/>
      <c r="SVY212" s="1"/>
      <c r="SVZ212" s="1"/>
      <c r="SWA212" s="1"/>
      <c r="SWB212" s="1"/>
      <c r="SWC212" s="1"/>
      <c r="SWD212" s="1"/>
      <c r="SWE212" s="1"/>
      <c r="SWF212" s="1"/>
      <c r="SWG212" s="1"/>
      <c r="SWH212" s="1"/>
      <c r="SWI212" s="1"/>
      <c r="SWJ212" s="1"/>
      <c r="SWK212" s="1"/>
      <c r="SWL212" s="1"/>
      <c r="SWM212" s="1"/>
      <c r="SWN212" s="1"/>
      <c r="SWO212" s="1"/>
      <c r="SWP212" s="1"/>
      <c r="SWQ212" s="1"/>
      <c r="SWR212" s="1"/>
      <c r="SWS212" s="1"/>
      <c r="SWT212" s="1"/>
      <c r="SWU212" s="1"/>
      <c r="SWV212" s="1"/>
      <c r="SWW212" s="1"/>
      <c r="SWX212" s="1"/>
      <c r="SWY212" s="1"/>
      <c r="SWZ212" s="1"/>
      <c r="SXA212" s="1"/>
      <c r="SXB212" s="1"/>
      <c r="SXC212" s="1"/>
      <c r="SXD212" s="1"/>
      <c r="SXE212" s="1"/>
      <c r="SXF212" s="1"/>
      <c r="SXG212" s="1"/>
      <c r="SXH212" s="1"/>
      <c r="SXI212" s="1"/>
      <c r="SXJ212" s="1"/>
      <c r="SXK212" s="1"/>
      <c r="SXL212" s="1"/>
      <c r="SXM212" s="1"/>
      <c r="SXN212" s="1"/>
      <c r="SXO212" s="1"/>
      <c r="SXP212" s="1"/>
      <c r="SXQ212" s="1"/>
      <c r="SXR212" s="1"/>
      <c r="SXS212" s="1"/>
      <c r="SXT212" s="1"/>
      <c r="SXU212" s="1"/>
      <c r="SXV212" s="1"/>
      <c r="SXW212" s="1"/>
      <c r="SXX212" s="1"/>
      <c r="SXY212" s="1"/>
      <c r="SXZ212" s="1"/>
      <c r="SYA212" s="1"/>
      <c r="SYB212" s="1"/>
      <c r="SYC212" s="1"/>
      <c r="SYD212" s="1"/>
      <c r="SYE212" s="1"/>
      <c r="SYF212" s="1"/>
      <c r="SYG212" s="1"/>
      <c r="SYH212" s="1"/>
      <c r="SYI212" s="1"/>
      <c r="SYJ212" s="1"/>
      <c r="SYK212" s="1"/>
      <c r="SYL212" s="1"/>
      <c r="SYM212" s="1"/>
      <c r="SYN212" s="1"/>
      <c r="SYO212" s="1"/>
      <c r="SYP212" s="1"/>
      <c r="SYQ212" s="1"/>
      <c r="SYR212" s="1"/>
      <c r="SYS212" s="1"/>
      <c r="SYT212" s="1"/>
      <c r="SYU212" s="1"/>
      <c r="SYV212" s="1"/>
      <c r="SYW212" s="1"/>
      <c r="SYX212" s="1"/>
      <c r="SYY212" s="1"/>
      <c r="SYZ212" s="1"/>
      <c r="SZA212" s="1"/>
      <c r="SZB212" s="1"/>
      <c r="SZC212" s="1"/>
      <c r="SZD212" s="1"/>
      <c r="SZE212" s="1"/>
      <c r="SZF212" s="1"/>
      <c r="SZG212" s="1"/>
      <c r="SZH212" s="1"/>
      <c r="SZI212" s="1"/>
      <c r="SZJ212" s="1"/>
      <c r="SZK212" s="1"/>
      <c r="SZL212" s="1"/>
      <c r="SZM212" s="1"/>
      <c r="SZN212" s="1"/>
      <c r="SZO212" s="1"/>
      <c r="SZP212" s="1"/>
      <c r="SZQ212" s="1"/>
      <c r="SZR212" s="1"/>
      <c r="SZS212" s="1"/>
      <c r="SZT212" s="1"/>
      <c r="SZU212" s="1"/>
      <c r="SZV212" s="1"/>
      <c r="SZW212" s="1"/>
      <c r="SZX212" s="1"/>
      <c r="SZY212" s="1"/>
      <c r="SZZ212" s="1"/>
      <c r="TAA212" s="1"/>
      <c r="TAB212" s="1"/>
      <c r="TAC212" s="1"/>
      <c r="TAD212" s="1"/>
      <c r="TAE212" s="1"/>
      <c r="TAF212" s="1"/>
      <c r="TAG212" s="1"/>
      <c r="TAH212" s="1"/>
      <c r="TAI212" s="1"/>
      <c r="TAJ212" s="1"/>
      <c r="TAK212" s="1"/>
      <c r="TAL212" s="1"/>
      <c r="TAM212" s="1"/>
      <c r="TAN212" s="1"/>
      <c r="TAO212" s="1"/>
      <c r="TAP212" s="1"/>
      <c r="TAQ212" s="1"/>
      <c r="TAR212" s="1"/>
      <c r="TAS212" s="1"/>
      <c r="TAT212" s="1"/>
      <c r="TAU212" s="1"/>
      <c r="TAV212" s="1"/>
      <c r="TAW212" s="1"/>
      <c r="TAX212" s="1"/>
      <c r="TAY212" s="1"/>
      <c r="TAZ212" s="1"/>
      <c r="TBA212" s="1"/>
      <c r="TBB212" s="1"/>
      <c r="TBC212" s="1"/>
      <c r="TBD212" s="1"/>
      <c r="TBE212" s="1"/>
      <c r="TBF212" s="1"/>
      <c r="TBG212" s="1"/>
      <c r="TBH212" s="1"/>
      <c r="TBI212" s="1"/>
      <c r="TBJ212" s="1"/>
      <c r="TBK212" s="1"/>
      <c r="TBL212" s="1"/>
      <c r="TBM212" s="1"/>
      <c r="TBN212" s="1"/>
      <c r="TBO212" s="1"/>
      <c r="TBP212" s="1"/>
      <c r="TBQ212" s="1"/>
      <c r="TBR212" s="1"/>
      <c r="TBS212" s="1"/>
      <c r="TBT212" s="1"/>
      <c r="TBU212" s="1"/>
      <c r="TBV212" s="1"/>
      <c r="TBW212" s="1"/>
      <c r="TBX212" s="1"/>
      <c r="TBY212" s="1"/>
      <c r="TBZ212" s="1"/>
      <c r="TCA212" s="1"/>
      <c r="TCB212" s="1"/>
      <c r="TCC212" s="1"/>
      <c r="TCD212" s="1"/>
      <c r="TCE212" s="1"/>
      <c r="TCF212" s="1"/>
      <c r="TCG212" s="1"/>
      <c r="TCH212" s="1"/>
      <c r="TCI212" s="1"/>
      <c r="TCJ212" s="1"/>
      <c r="TCK212" s="1"/>
      <c r="TCL212" s="1"/>
      <c r="TCM212" s="1"/>
      <c r="TCN212" s="1"/>
      <c r="TCO212" s="1"/>
      <c r="TCP212" s="1"/>
      <c r="TCQ212" s="1"/>
      <c r="TCR212" s="1"/>
      <c r="TCS212" s="1"/>
      <c r="TCT212" s="1"/>
      <c r="TCU212" s="1"/>
      <c r="TCV212" s="1"/>
      <c r="TCW212" s="1"/>
      <c r="TCX212" s="1"/>
      <c r="TCY212" s="1"/>
      <c r="TCZ212" s="1"/>
      <c r="TDA212" s="1"/>
      <c r="TDB212" s="1"/>
      <c r="TDC212" s="1"/>
      <c r="TDD212" s="1"/>
      <c r="TDE212" s="1"/>
      <c r="TDF212" s="1"/>
      <c r="TDG212" s="1"/>
      <c r="TDH212" s="1"/>
      <c r="TDI212" s="1"/>
      <c r="TDJ212" s="1"/>
      <c r="TDK212" s="1"/>
      <c r="TDL212" s="1"/>
      <c r="TDM212" s="1"/>
      <c r="TDN212" s="1"/>
      <c r="TDO212" s="1"/>
      <c r="TDP212" s="1"/>
      <c r="TDQ212" s="1"/>
      <c r="TDR212" s="1"/>
      <c r="TDS212" s="1"/>
      <c r="TDT212" s="1"/>
      <c r="TDU212" s="1"/>
      <c r="TDV212" s="1"/>
      <c r="TDW212" s="1"/>
      <c r="TDX212" s="1"/>
      <c r="TDY212" s="1"/>
      <c r="TDZ212" s="1"/>
      <c r="TEA212" s="1"/>
      <c r="TEB212" s="1"/>
      <c r="TEC212" s="1"/>
      <c r="TED212" s="1"/>
      <c r="TEE212" s="1"/>
      <c r="TEF212" s="1"/>
      <c r="TEG212" s="1"/>
      <c r="TEH212" s="1"/>
      <c r="TEI212" s="1"/>
      <c r="TEJ212" s="1"/>
      <c r="TEK212" s="1"/>
      <c r="TEL212" s="1"/>
      <c r="TEM212" s="1"/>
      <c r="TEN212" s="1"/>
      <c r="TEO212" s="1"/>
      <c r="TEP212" s="1"/>
      <c r="TEQ212" s="1"/>
      <c r="TER212" s="1"/>
      <c r="TES212" s="1"/>
      <c r="TET212" s="1"/>
      <c r="TEU212" s="1"/>
      <c r="TEV212" s="1"/>
      <c r="TEW212" s="1"/>
      <c r="TEX212" s="1"/>
      <c r="TEY212" s="1"/>
      <c r="TEZ212" s="1"/>
      <c r="TFA212" s="1"/>
      <c r="TFB212" s="1"/>
      <c r="TFC212" s="1"/>
      <c r="TFD212" s="1"/>
      <c r="TFE212" s="1"/>
      <c r="TFF212" s="1"/>
      <c r="TFG212" s="1"/>
      <c r="TFH212" s="1"/>
      <c r="TFI212" s="1"/>
      <c r="TFJ212" s="1"/>
      <c r="TFK212" s="1"/>
      <c r="TFL212" s="1"/>
      <c r="TFM212" s="1"/>
      <c r="TFN212" s="1"/>
      <c r="TFO212" s="1"/>
      <c r="TFP212" s="1"/>
      <c r="TFQ212" s="1"/>
      <c r="TFR212" s="1"/>
      <c r="TFS212" s="1"/>
      <c r="TFT212" s="1"/>
      <c r="TFU212" s="1"/>
      <c r="TFV212" s="1"/>
      <c r="TFW212" s="1"/>
      <c r="TFX212" s="1"/>
      <c r="TFY212" s="1"/>
      <c r="TFZ212" s="1"/>
      <c r="TGA212" s="1"/>
      <c r="TGB212" s="1"/>
      <c r="TGC212" s="1"/>
      <c r="TGD212" s="1"/>
      <c r="TGE212" s="1"/>
      <c r="TGF212" s="1"/>
      <c r="TGG212" s="1"/>
      <c r="TGH212" s="1"/>
      <c r="TGI212" s="1"/>
      <c r="TGJ212" s="1"/>
      <c r="TGK212" s="1"/>
      <c r="TGL212" s="1"/>
      <c r="TGM212" s="1"/>
      <c r="TGN212" s="1"/>
      <c r="TGO212" s="1"/>
      <c r="TGP212" s="1"/>
      <c r="TGQ212" s="1"/>
      <c r="TGR212" s="1"/>
      <c r="TGS212" s="1"/>
      <c r="TGT212" s="1"/>
      <c r="TGU212" s="1"/>
      <c r="TGV212" s="1"/>
      <c r="TGW212" s="1"/>
      <c r="TGX212" s="1"/>
      <c r="TGY212" s="1"/>
      <c r="TGZ212" s="1"/>
      <c r="THA212" s="1"/>
      <c r="THB212" s="1"/>
      <c r="THC212" s="1"/>
      <c r="THD212" s="1"/>
      <c r="THE212" s="1"/>
      <c r="THF212" s="1"/>
      <c r="THG212" s="1"/>
      <c r="THH212" s="1"/>
      <c r="THI212" s="1"/>
      <c r="THJ212" s="1"/>
      <c r="THK212" s="1"/>
      <c r="THL212" s="1"/>
      <c r="THM212" s="1"/>
      <c r="THN212" s="1"/>
      <c r="THO212" s="1"/>
      <c r="THP212" s="1"/>
      <c r="THQ212" s="1"/>
      <c r="THR212" s="1"/>
      <c r="THS212" s="1"/>
      <c r="THT212" s="1"/>
      <c r="THU212" s="1"/>
      <c r="THV212" s="1"/>
      <c r="THW212" s="1"/>
      <c r="THX212" s="1"/>
      <c r="THY212" s="1"/>
      <c r="THZ212" s="1"/>
      <c r="TIA212" s="1"/>
      <c r="TIB212" s="1"/>
      <c r="TIC212" s="1"/>
      <c r="TID212" s="1"/>
      <c r="TIE212" s="1"/>
      <c r="TIF212" s="1"/>
      <c r="TIG212" s="1"/>
      <c r="TIH212" s="1"/>
      <c r="TII212" s="1"/>
      <c r="TIJ212" s="1"/>
      <c r="TIK212" s="1"/>
      <c r="TIL212" s="1"/>
      <c r="TIM212" s="1"/>
      <c r="TIN212" s="1"/>
      <c r="TIO212" s="1"/>
      <c r="TIP212" s="1"/>
      <c r="TIQ212" s="1"/>
      <c r="TIR212" s="1"/>
      <c r="TIS212" s="1"/>
      <c r="TIT212" s="1"/>
      <c r="TIU212" s="1"/>
      <c r="TIV212" s="1"/>
      <c r="TIW212" s="1"/>
      <c r="TIX212" s="1"/>
      <c r="TIY212" s="1"/>
      <c r="TIZ212" s="1"/>
      <c r="TJA212" s="1"/>
      <c r="TJB212" s="1"/>
      <c r="TJC212" s="1"/>
      <c r="TJD212" s="1"/>
      <c r="TJE212" s="1"/>
      <c r="TJF212" s="1"/>
      <c r="TJG212" s="1"/>
      <c r="TJH212" s="1"/>
      <c r="TJI212" s="1"/>
      <c r="TJJ212" s="1"/>
      <c r="TJK212" s="1"/>
      <c r="TJL212" s="1"/>
      <c r="TJM212" s="1"/>
      <c r="TJN212" s="1"/>
      <c r="TJO212" s="1"/>
      <c r="TJP212" s="1"/>
      <c r="TJQ212" s="1"/>
      <c r="TJR212" s="1"/>
      <c r="TJS212" s="1"/>
      <c r="TJT212" s="1"/>
      <c r="TJU212" s="1"/>
      <c r="TJV212" s="1"/>
      <c r="TJW212" s="1"/>
      <c r="TJX212" s="1"/>
      <c r="TJY212" s="1"/>
      <c r="TJZ212" s="1"/>
      <c r="TKA212" s="1"/>
      <c r="TKB212" s="1"/>
      <c r="TKC212" s="1"/>
      <c r="TKD212" s="1"/>
      <c r="TKE212" s="1"/>
      <c r="TKF212" s="1"/>
      <c r="TKG212" s="1"/>
      <c r="TKH212" s="1"/>
      <c r="TKI212" s="1"/>
      <c r="TKJ212" s="1"/>
      <c r="TKK212" s="1"/>
      <c r="TKL212" s="1"/>
      <c r="TKM212" s="1"/>
      <c r="TKN212" s="1"/>
      <c r="TKO212" s="1"/>
      <c r="TKP212" s="1"/>
      <c r="TKQ212" s="1"/>
      <c r="TKR212" s="1"/>
      <c r="TKS212" s="1"/>
      <c r="TKT212" s="1"/>
      <c r="TKU212" s="1"/>
      <c r="TKV212" s="1"/>
      <c r="TKW212" s="1"/>
      <c r="TKX212" s="1"/>
      <c r="TKY212" s="1"/>
      <c r="TKZ212" s="1"/>
      <c r="TLA212" s="1"/>
      <c r="TLB212" s="1"/>
      <c r="TLC212" s="1"/>
      <c r="TLD212" s="1"/>
      <c r="TLE212" s="1"/>
      <c r="TLF212" s="1"/>
      <c r="TLG212" s="1"/>
      <c r="TLH212" s="1"/>
      <c r="TLI212" s="1"/>
      <c r="TLJ212" s="1"/>
      <c r="TLK212" s="1"/>
      <c r="TLL212" s="1"/>
      <c r="TLM212" s="1"/>
      <c r="TLN212" s="1"/>
      <c r="TLO212" s="1"/>
      <c r="TLP212" s="1"/>
      <c r="TLQ212" s="1"/>
      <c r="TLR212" s="1"/>
      <c r="TLS212" s="1"/>
      <c r="TLT212" s="1"/>
      <c r="TLU212" s="1"/>
      <c r="TLV212" s="1"/>
      <c r="TLW212" s="1"/>
      <c r="TLX212" s="1"/>
      <c r="TLY212" s="1"/>
      <c r="TLZ212" s="1"/>
      <c r="TMA212" s="1"/>
      <c r="TMB212" s="1"/>
      <c r="TMC212" s="1"/>
      <c r="TMD212" s="1"/>
      <c r="TME212" s="1"/>
      <c r="TMF212" s="1"/>
      <c r="TMG212" s="1"/>
      <c r="TMH212" s="1"/>
      <c r="TMI212" s="1"/>
      <c r="TMJ212" s="1"/>
      <c r="TMK212" s="1"/>
      <c r="TML212" s="1"/>
      <c r="TMM212" s="1"/>
      <c r="TMN212" s="1"/>
      <c r="TMO212" s="1"/>
      <c r="TMP212" s="1"/>
      <c r="TMQ212" s="1"/>
      <c r="TMR212" s="1"/>
      <c r="TMS212" s="1"/>
      <c r="TMT212" s="1"/>
      <c r="TMU212" s="1"/>
      <c r="TMV212" s="1"/>
      <c r="TMW212" s="1"/>
      <c r="TMX212" s="1"/>
      <c r="TMY212" s="1"/>
      <c r="TMZ212" s="1"/>
      <c r="TNA212" s="1"/>
      <c r="TNB212" s="1"/>
      <c r="TNC212" s="1"/>
      <c r="TND212" s="1"/>
      <c r="TNE212" s="1"/>
      <c r="TNF212" s="1"/>
      <c r="TNG212" s="1"/>
      <c r="TNH212" s="1"/>
      <c r="TNI212" s="1"/>
      <c r="TNJ212" s="1"/>
      <c r="TNK212" s="1"/>
      <c r="TNL212" s="1"/>
      <c r="TNM212" s="1"/>
      <c r="TNN212" s="1"/>
      <c r="TNO212" s="1"/>
      <c r="TNP212" s="1"/>
      <c r="TNQ212" s="1"/>
      <c r="TNR212" s="1"/>
      <c r="TNS212" s="1"/>
      <c r="TNT212" s="1"/>
      <c r="TNU212" s="1"/>
      <c r="TNV212" s="1"/>
      <c r="TNW212" s="1"/>
      <c r="TNX212" s="1"/>
      <c r="TNY212" s="1"/>
      <c r="TNZ212" s="1"/>
      <c r="TOA212" s="1"/>
      <c r="TOB212" s="1"/>
      <c r="TOC212" s="1"/>
      <c r="TOD212" s="1"/>
      <c r="TOE212" s="1"/>
      <c r="TOF212" s="1"/>
      <c r="TOG212" s="1"/>
      <c r="TOH212" s="1"/>
      <c r="TOI212" s="1"/>
      <c r="TOJ212" s="1"/>
      <c r="TOK212" s="1"/>
      <c r="TOL212" s="1"/>
      <c r="TOM212" s="1"/>
      <c r="TON212" s="1"/>
      <c r="TOO212" s="1"/>
      <c r="TOP212" s="1"/>
      <c r="TOQ212" s="1"/>
      <c r="TOR212" s="1"/>
      <c r="TOS212" s="1"/>
      <c r="TOT212" s="1"/>
      <c r="TOU212" s="1"/>
      <c r="TOV212" s="1"/>
      <c r="TOW212" s="1"/>
      <c r="TOX212" s="1"/>
      <c r="TOY212" s="1"/>
      <c r="TOZ212" s="1"/>
      <c r="TPA212" s="1"/>
      <c r="TPB212" s="1"/>
      <c r="TPC212" s="1"/>
      <c r="TPD212" s="1"/>
      <c r="TPE212" s="1"/>
      <c r="TPF212" s="1"/>
      <c r="TPG212" s="1"/>
      <c r="TPH212" s="1"/>
      <c r="TPI212" s="1"/>
      <c r="TPJ212" s="1"/>
      <c r="TPK212" s="1"/>
      <c r="TPL212" s="1"/>
      <c r="TPM212" s="1"/>
      <c r="TPN212" s="1"/>
      <c r="TPO212" s="1"/>
      <c r="TPP212" s="1"/>
      <c r="TPQ212" s="1"/>
      <c r="TPR212" s="1"/>
      <c r="TPS212" s="1"/>
      <c r="TPT212" s="1"/>
      <c r="TPU212" s="1"/>
      <c r="TPV212" s="1"/>
      <c r="TPW212" s="1"/>
      <c r="TPX212" s="1"/>
      <c r="TPY212" s="1"/>
      <c r="TPZ212" s="1"/>
      <c r="TQA212" s="1"/>
      <c r="TQB212" s="1"/>
      <c r="TQC212" s="1"/>
      <c r="TQD212" s="1"/>
      <c r="TQE212" s="1"/>
      <c r="TQF212" s="1"/>
      <c r="TQG212" s="1"/>
      <c r="TQH212" s="1"/>
      <c r="TQI212" s="1"/>
      <c r="TQJ212" s="1"/>
      <c r="TQK212" s="1"/>
      <c r="TQL212" s="1"/>
      <c r="TQM212" s="1"/>
      <c r="TQN212" s="1"/>
      <c r="TQO212" s="1"/>
      <c r="TQP212" s="1"/>
      <c r="TQQ212" s="1"/>
      <c r="TQR212" s="1"/>
      <c r="TQS212" s="1"/>
      <c r="TQT212" s="1"/>
      <c r="TQU212" s="1"/>
      <c r="TQV212" s="1"/>
      <c r="TQW212" s="1"/>
      <c r="TQX212" s="1"/>
      <c r="TQY212" s="1"/>
      <c r="TQZ212" s="1"/>
      <c r="TRA212" s="1"/>
      <c r="TRB212" s="1"/>
      <c r="TRC212" s="1"/>
      <c r="TRD212" s="1"/>
      <c r="TRE212" s="1"/>
      <c r="TRF212" s="1"/>
      <c r="TRG212" s="1"/>
      <c r="TRH212" s="1"/>
      <c r="TRI212" s="1"/>
      <c r="TRJ212" s="1"/>
      <c r="TRK212" s="1"/>
      <c r="TRL212" s="1"/>
      <c r="TRM212" s="1"/>
      <c r="TRN212" s="1"/>
      <c r="TRO212" s="1"/>
      <c r="TRP212" s="1"/>
      <c r="TRQ212" s="1"/>
      <c r="TRR212" s="1"/>
      <c r="TRS212" s="1"/>
      <c r="TRT212" s="1"/>
      <c r="TRU212" s="1"/>
      <c r="TRV212" s="1"/>
      <c r="TRW212" s="1"/>
      <c r="TRX212" s="1"/>
      <c r="TRY212" s="1"/>
      <c r="TRZ212" s="1"/>
      <c r="TSA212" s="1"/>
      <c r="TSB212" s="1"/>
      <c r="TSC212" s="1"/>
      <c r="TSD212" s="1"/>
      <c r="TSE212" s="1"/>
      <c r="TSF212" s="1"/>
      <c r="TSG212" s="1"/>
      <c r="TSH212" s="1"/>
      <c r="TSI212" s="1"/>
      <c r="TSJ212" s="1"/>
      <c r="TSK212" s="1"/>
      <c r="TSL212" s="1"/>
      <c r="TSM212" s="1"/>
      <c r="TSN212" s="1"/>
      <c r="TSO212" s="1"/>
      <c r="TSP212" s="1"/>
      <c r="TSQ212" s="1"/>
      <c r="TSR212" s="1"/>
      <c r="TSS212" s="1"/>
      <c r="TST212" s="1"/>
      <c r="TSU212" s="1"/>
      <c r="TSV212" s="1"/>
      <c r="TSW212" s="1"/>
      <c r="TSX212" s="1"/>
      <c r="TSY212" s="1"/>
      <c r="TSZ212" s="1"/>
      <c r="TTA212" s="1"/>
      <c r="TTB212" s="1"/>
      <c r="TTC212" s="1"/>
      <c r="TTD212" s="1"/>
      <c r="TTE212" s="1"/>
      <c r="TTF212" s="1"/>
      <c r="TTG212" s="1"/>
      <c r="TTH212" s="1"/>
      <c r="TTI212" s="1"/>
      <c r="TTJ212" s="1"/>
      <c r="TTK212" s="1"/>
      <c r="TTL212" s="1"/>
      <c r="TTM212" s="1"/>
      <c r="TTN212" s="1"/>
      <c r="TTO212" s="1"/>
      <c r="TTP212" s="1"/>
      <c r="TTQ212" s="1"/>
      <c r="TTR212" s="1"/>
      <c r="TTS212" s="1"/>
      <c r="TTT212" s="1"/>
      <c r="TTU212" s="1"/>
      <c r="TTV212" s="1"/>
      <c r="TTW212" s="1"/>
      <c r="TTX212" s="1"/>
      <c r="TTY212" s="1"/>
      <c r="TTZ212" s="1"/>
      <c r="TUA212" s="1"/>
      <c r="TUB212" s="1"/>
      <c r="TUC212" s="1"/>
      <c r="TUD212" s="1"/>
      <c r="TUE212" s="1"/>
      <c r="TUF212" s="1"/>
      <c r="TUG212" s="1"/>
      <c r="TUH212" s="1"/>
      <c r="TUI212" s="1"/>
      <c r="TUJ212" s="1"/>
      <c r="TUK212" s="1"/>
      <c r="TUL212" s="1"/>
      <c r="TUM212" s="1"/>
      <c r="TUN212" s="1"/>
      <c r="TUO212" s="1"/>
      <c r="TUP212" s="1"/>
      <c r="TUQ212" s="1"/>
      <c r="TUR212" s="1"/>
      <c r="TUS212" s="1"/>
      <c r="TUT212" s="1"/>
      <c r="TUU212" s="1"/>
      <c r="TUV212" s="1"/>
      <c r="TUW212" s="1"/>
      <c r="TUX212" s="1"/>
      <c r="TUY212" s="1"/>
      <c r="TUZ212" s="1"/>
      <c r="TVA212" s="1"/>
      <c r="TVB212" s="1"/>
      <c r="TVC212" s="1"/>
      <c r="TVD212" s="1"/>
      <c r="TVE212" s="1"/>
      <c r="TVF212" s="1"/>
      <c r="TVG212" s="1"/>
      <c r="TVH212" s="1"/>
      <c r="TVI212" s="1"/>
      <c r="TVJ212" s="1"/>
      <c r="TVK212" s="1"/>
      <c r="TVL212" s="1"/>
      <c r="TVM212" s="1"/>
      <c r="TVN212" s="1"/>
      <c r="TVO212" s="1"/>
      <c r="TVP212" s="1"/>
      <c r="TVQ212" s="1"/>
      <c r="TVR212" s="1"/>
      <c r="TVS212" s="1"/>
      <c r="TVT212" s="1"/>
      <c r="TVU212" s="1"/>
      <c r="TVV212" s="1"/>
      <c r="TVW212" s="1"/>
      <c r="TVX212" s="1"/>
      <c r="TVY212" s="1"/>
      <c r="TVZ212" s="1"/>
      <c r="TWA212" s="1"/>
      <c r="TWB212" s="1"/>
      <c r="TWC212" s="1"/>
      <c r="TWD212" s="1"/>
      <c r="TWE212" s="1"/>
      <c r="TWF212" s="1"/>
      <c r="TWG212" s="1"/>
      <c r="TWH212" s="1"/>
      <c r="TWI212" s="1"/>
      <c r="TWJ212" s="1"/>
      <c r="TWK212" s="1"/>
      <c r="TWL212" s="1"/>
      <c r="TWM212" s="1"/>
      <c r="TWN212" s="1"/>
      <c r="TWO212" s="1"/>
      <c r="TWP212" s="1"/>
      <c r="TWQ212" s="1"/>
      <c r="TWR212" s="1"/>
      <c r="TWS212" s="1"/>
      <c r="TWT212" s="1"/>
      <c r="TWU212" s="1"/>
      <c r="TWV212" s="1"/>
      <c r="TWW212" s="1"/>
      <c r="TWX212" s="1"/>
      <c r="TWY212" s="1"/>
      <c r="TWZ212" s="1"/>
      <c r="TXA212" s="1"/>
      <c r="TXB212" s="1"/>
      <c r="TXC212" s="1"/>
      <c r="TXD212" s="1"/>
      <c r="TXE212" s="1"/>
      <c r="TXF212" s="1"/>
      <c r="TXG212" s="1"/>
      <c r="TXH212" s="1"/>
      <c r="TXI212" s="1"/>
      <c r="TXJ212" s="1"/>
      <c r="TXK212" s="1"/>
      <c r="TXL212" s="1"/>
      <c r="TXM212" s="1"/>
      <c r="TXN212" s="1"/>
      <c r="TXO212" s="1"/>
      <c r="TXP212" s="1"/>
      <c r="TXQ212" s="1"/>
      <c r="TXR212" s="1"/>
      <c r="TXS212" s="1"/>
      <c r="TXT212" s="1"/>
      <c r="TXU212" s="1"/>
      <c r="TXV212" s="1"/>
      <c r="TXW212" s="1"/>
      <c r="TXX212" s="1"/>
      <c r="TXY212" s="1"/>
      <c r="TXZ212" s="1"/>
      <c r="TYA212" s="1"/>
      <c r="TYB212" s="1"/>
      <c r="TYC212" s="1"/>
      <c r="TYD212" s="1"/>
      <c r="TYE212" s="1"/>
      <c r="TYF212" s="1"/>
      <c r="TYG212" s="1"/>
      <c r="TYH212" s="1"/>
      <c r="TYI212" s="1"/>
      <c r="TYJ212" s="1"/>
      <c r="TYK212" s="1"/>
      <c r="TYL212" s="1"/>
      <c r="TYM212" s="1"/>
      <c r="TYN212" s="1"/>
      <c r="TYO212" s="1"/>
      <c r="TYP212" s="1"/>
      <c r="TYQ212" s="1"/>
      <c r="TYR212" s="1"/>
      <c r="TYS212" s="1"/>
      <c r="TYT212" s="1"/>
      <c r="TYU212" s="1"/>
      <c r="TYV212" s="1"/>
      <c r="TYW212" s="1"/>
      <c r="TYX212" s="1"/>
      <c r="TYY212" s="1"/>
      <c r="TYZ212" s="1"/>
      <c r="TZA212" s="1"/>
      <c r="TZB212" s="1"/>
      <c r="TZC212" s="1"/>
      <c r="TZD212" s="1"/>
      <c r="TZE212" s="1"/>
      <c r="TZF212" s="1"/>
      <c r="TZG212" s="1"/>
      <c r="TZH212" s="1"/>
      <c r="TZI212" s="1"/>
      <c r="TZJ212" s="1"/>
      <c r="TZK212" s="1"/>
      <c r="TZL212" s="1"/>
      <c r="TZM212" s="1"/>
      <c r="TZN212" s="1"/>
      <c r="TZO212" s="1"/>
      <c r="TZP212" s="1"/>
      <c r="TZQ212" s="1"/>
      <c r="TZR212" s="1"/>
      <c r="TZS212" s="1"/>
      <c r="TZT212" s="1"/>
      <c r="TZU212" s="1"/>
      <c r="TZV212" s="1"/>
      <c r="TZW212" s="1"/>
      <c r="TZX212" s="1"/>
      <c r="TZY212" s="1"/>
      <c r="TZZ212" s="1"/>
      <c r="UAA212" s="1"/>
      <c r="UAB212" s="1"/>
      <c r="UAC212" s="1"/>
      <c r="UAD212" s="1"/>
      <c r="UAE212" s="1"/>
      <c r="UAF212" s="1"/>
      <c r="UAG212" s="1"/>
      <c r="UAH212" s="1"/>
      <c r="UAI212" s="1"/>
      <c r="UAJ212" s="1"/>
      <c r="UAK212" s="1"/>
      <c r="UAL212" s="1"/>
      <c r="UAM212" s="1"/>
      <c r="UAN212" s="1"/>
      <c r="UAO212" s="1"/>
      <c r="UAP212" s="1"/>
      <c r="UAQ212" s="1"/>
      <c r="UAR212" s="1"/>
      <c r="UAS212" s="1"/>
      <c r="UAT212" s="1"/>
      <c r="UAU212" s="1"/>
      <c r="UAV212" s="1"/>
      <c r="UAW212" s="1"/>
      <c r="UAX212" s="1"/>
      <c r="UAY212" s="1"/>
      <c r="UAZ212" s="1"/>
      <c r="UBA212" s="1"/>
      <c r="UBB212" s="1"/>
      <c r="UBC212" s="1"/>
      <c r="UBD212" s="1"/>
      <c r="UBE212" s="1"/>
      <c r="UBF212" s="1"/>
      <c r="UBG212" s="1"/>
      <c r="UBH212" s="1"/>
      <c r="UBI212" s="1"/>
      <c r="UBJ212" s="1"/>
      <c r="UBK212" s="1"/>
      <c r="UBL212" s="1"/>
      <c r="UBM212" s="1"/>
      <c r="UBN212" s="1"/>
      <c r="UBO212" s="1"/>
      <c r="UBP212" s="1"/>
      <c r="UBQ212" s="1"/>
      <c r="UBR212" s="1"/>
      <c r="UBS212" s="1"/>
      <c r="UBT212" s="1"/>
      <c r="UBU212" s="1"/>
      <c r="UBV212" s="1"/>
      <c r="UBW212" s="1"/>
      <c r="UBX212" s="1"/>
      <c r="UBY212" s="1"/>
      <c r="UBZ212" s="1"/>
      <c r="UCA212" s="1"/>
      <c r="UCB212" s="1"/>
      <c r="UCC212" s="1"/>
      <c r="UCD212" s="1"/>
      <c r="UCE212" s="1"/>
      <c r="UCF212" s="1"/>
      <c r="UCG212" s="1"/>
      <c r="UCH212" s="1"/>
      <c r="UCI212" s="1"/>
      <c r="UCJ212" s="1"/>
      <c r="UCK212" s="1"/>
      <c r="UCL212" s="1"/>
      <c r="UCM212" s="1"/>
      <c r="UCN212" s="1"/>
      <c r="UCO212" s="1"/>
      <c r="UCP212" s="1"/>
      <c r="UCQ212" s="1"/>
      <c r="UCR212" s="1"/>
      <c r="UCS212" s="1"/>
      <c r="UCT212" s="1"/>
      <c r="UCU212" s="1"/>
      <c r="UCV212" s="1"/>
      <c r="UCW212" s="1"/>
      <c r="UCX212" s="1"/>
      <c r="UCY212" s="1"/>
      <c r="UCZ212" s="1"/>
      <c r="UDA212" s="1"/>
      <c r="UDB212" s="1"/>
      <c r="UDC212" s="1"/>
      <c r="UDD212" s="1"/>
      <c r="UDE212" s="1"/>
      <c r="UDF212" s="1"/>
      <c r="UDG212" s="1"/>
      <c r="UDH212" s="1"/>
      <c r="UDI212" s="1"/>
      <c r="UDJ212" s="1"/>
      <c r="UDK212" s="1"/>
      <c r="UDL212" s="1"/>
      <c r="UDM212" s="1"/>
      <c r="UDN212" s="1"/>
      <c r="UDO212" s="1"/>
      <c r="UDP212" s="1"/>
      <c r="UDQ212" s="1"/>
      <c r="UDR212" s="1"/>
      <c r="UDS212" s="1"/>
      <c r="UDT212" s="1"/>
      <c r="UDU212" s="1"/>
      <c r="UDV212" s="1"/>
      <c r="UDW212" s="1"/>
      <c r="UDX212" s="1"/>
      <c r="UDY212" s="1"/>
      <c r="UDZ212" s="1"/>
      <c r="UEA212" s="1"/>
      <c r="UEB212" s="1"/>
      <c r="UEC212" s="1"/>
      <c r="UED212" s="1"/>
      <c r="UEE212" s="1"/>
      <c r="UEF212" s="1"/>
      <c r="UEG212" s="1"/>
      <c r="UEH212" s="1"/>
      <c r="UEI212" s="1"/>
      <c r="UEJ212" s="1"/>
      <c r="UEK212" s="1"/>
      <c r="UEL212" s="1"/>
      <c r="UEM212" s="1"/>
      <c r="UEN212" s="1"/>
      <c r="UEO212" s="1"/>
      <c r="UEP212" s="1"/>
      <c r="UEQ212" s="1"/>
      <c r="UER212" s="1"/>
      <c r="UES212" s="1"/>
      <c r="UET212" s="1"/>
      <c r="UEU212" s="1"/>
      <c r="UEV212" s="1"/>
      <c r="UEW212" s="1"/>
      <c r="UEX212" s="1"/>
      <c r="UEY212" s="1"/>
      <c r="UEZ212" s="1"/>
      <c r="UFA212" s="1"/>
      <c r="UFB212" s="1"/>
      <c r="UFC212" s="1"/>
      <c r="UFD212" s="1"/>
      <c r="UFE212" s="1"/>
      <c r="UFF212" s="1"/>
      <c r="UFG212" s="1"/>
      <c r="UFH212" s="1"/>
      <c r="UFI212" s="1"/>
      <c r="UFJ212" s="1"/>
      <c r="UFK212" s="1"/>
      <c r="UFL212" s="1"/>
      <c r="UFM212" s="1"/>
      <c r="UFN212" s="1"/>
      <c r="UFO212" s="1"/>
      <c r="UFP212" s="1"/>
      <c r="UFQ212" s="1"/>
      <c r="UFR212" s="1"/>
      <c r="UFS212" s="1"/>
      <c r="UFT212" s="1"/>
      <c r="UFU212" s="1"/>
      <c r="UFV212" s="1"/>
      <c r="UFW212" s="1"/>
      <c r="UFX212" s="1"/>
      <c r="UFY212" s="1"/>
      <c r="UFZ212" s="1"/>
      <c r="UGA212" s="1"/>
      <c r="UGB212" s="1"/>
      <c r="UGC212" s="1"/>
      <c r="UGD212" s="1"/>
      <c r="UGE212" s="1"/>
      <c r="UGF212" s="1"/>
      <c r="UGG212" s="1"/>
      <c r="UGH212" s="1"/>
      <c r="UGI212" s="1"/>
      <c r="UGJ212" s="1"/>
      <c r="UGK212" s="1"/>
      <c r="UGL212" s="1"/>
      <c r="UGM212" s="1"/>
      <c r="UGN212" s="1"/>
      <c r="UGO212" s="1"/>
      <c r="UGP212" s="1"/>
      <c r="UGQ212" s="1"/>
      <c r="UGR212" s="1"/>
      <c r="UGS212" s="1"/>
      <c r="UGT212" s="1"/>
      <c r="UGU212" s="1"/>
      <c r="UGV212" s="1"/>
      <c r="UGW212" s="1"/>
      <c r="UGX212" s="1"/>
      <c r="UGY212" s="1"/>
      <c r="UGZ212" s="1"/>
      <c r="UHA212" s="1"/>
      <c r="UHB212" s="1"/>
      <c r="UHC212" s="1"/>
      <c r="UHD212" s="1"/>
      <c r="UHE212" s="1"/>
      <c r="UHF212" s="1"/>
      <c r="UHG212" s="1"/>
      <c r="UHH212" s="1"/>
      <c r="UHI212" s="1"/>
      <c r="UHJ212" s="1"/>
      <c r="UHK212" s="1"/>
      <c r="UHL212" s="1"/>
      <c r="UHM212" s="1"/>
      <c r="UHN212" s="1"/>
      <c r="UHO212" s="1"/>
      <c r="UHP212" s="1"/>
      <c r="UHQ212" s="1"/>
      <c r="UHR212" s="1"/>
      <c r="UHS212" s="1"/>
      <c r="UHT212" s="1"/>
      <c r="UHU212" s="1"/>
      <c r="UHV212" s="1"/>
      <c r="UHW212" s="1"/>
      <c r="UHX212" s="1"/>
      <c r="UHY212" s="1"/>
      <c r="UHZ212" s="1"/>
      <c r="UIA212" s="1"/>
      <c r="UIB212" s="1"/>
      <c r="UIC212" s="1"/>
      <c r="UID212" s="1"/>
      <c r="UIE212" s="1"/>
      <c r="UIF212" s="1"/>
      <c r="UIG212" s="1"/>
      <c r="UIH212" s="1"/>
      <c r="UII212" s="1"/>
      <c r="UIJ212" s="1"/>
      <c r="UIK212" s="1"/>
      <c r="UIL212" s="1"/>
      <c r="UIM212" s="1"/>
      <c r="UIN212" s="1"/>
      <c r="UIO212" s="1"/>
      <c r="UIP212" s="1"/>
      <c r="UIQ212" s="1"/>
      <c r="UIR212" s="1"/>
      <c r="UIS212" s="1"/>
      <c r="UIT212" s="1"/>
      <c r="UIU212" s="1"/>
      <c r="UIV212" s="1"/>
      <c r="UIW212" s="1"/>
      <c r="UIX212" s="1"/>
      <c r="UIY212" s="1"/>
      <c r="UIZ212" s="1"/>
      <c r="UJA212" s="1"/>
      <c r="UJB212" s="1"/>
      <c r="UJC212" s="1"/>
      <c r="UJD212" s="1"/>
      <c r="UJE212" s="1"/>
      <c r="UJF212" s="1"/>
      <c r="UJG212" s="1"/>
      <c r="UJH212" s="1"/>
      <c r="UJI212" s="1"/>
      <c r="UJJ212" s="1"/>
      <c r="UJK212" s="1"/>
      <c r="UJL212" s="1"/>
      <c r="UJM212" s="1"/>
      <c r="UJN212" s="1"/>
      <c r="UJO212" s="1"/>
      <c r="UJP212" s="1"/>
      <c r="UJQ212" s="1"/>
      <c r="UJR212" s="1"/>
      <c r="UJS212" s="1"/>
      <c r="UJT212" s="1"/>
      <c r="UJU212" s="1"/>
      <c r="UJV212" s="1"/>
      <c r="UJW212" s="1"/>
      <c r="UJX212" s="1"/>
      <c r="UJY212" s="1"/>
      <c r="UJZ212" s="1"/>
      <c r="UKA212" s="1"/>
      <c r="UKB212" s="1"/>
      <c r="UKC212" s="1"/>
      <c r="UKD212" s="1"/>
      <c r="UKE212" s="1"/>
      <c r="UKF212" s="1"/>
      <c r="UKG212" s="1"/>
      <c r="UKH212" s="1"/>
      <c r="UKI212" s="1"/>
      <c r="UKJ212" s="1"/>
      <c r="UKK212" s="1"/>
      <c r="UKL212" s="1"/>
      <c r="UKM212" s="1"/>
      <c r="UKN212" s="1"/>
      <c r="UKO212" s="1"/>
      <c r="UKP212" s="1"/>
      <c r="UKQ212" s="1"/>
      <c r="UKR212" s="1"/>
      <c r="UKS212" s="1"/>
      <c r="UKT212" s="1"/>
      <c r="UKU212" s="1"/>
      <c r="UKV212" s="1"/>
      <c r="UKW212" s="1"/>
      <c r="UKX212" s="1"/>
      <c r="UKY212" s="1"/>
      <c r="UKZ212" s="1"/>
      <c r="ULA212" s="1"/>
      <c r="ULB212" s="1"/>
      <c r="ULC212" s="1"/>
      <c r="ULD212" s="1"/>
      <c r="ULE212" s="1"/>
      <c r="ULF212" s="1"/>
      <c r="ULG212" s="1"/>
      <c r="ULH212" s="1"/>
      <c r="ULI212" s="1"/>
      <c r="ULJ212" s="1"/>
      <c r="ULK212" s="1"/>
      <c r="ULL212" s="1"/>
      <c r="ULM212" s="1"/>
      <c r="ULN212" s="1"/>
      <c r="ULO212" s="1"/>
      <c r="ULP212" s="1"/>
      <c r="ULQ212" s="1"/>
      <c r="ULR212" s="1"/>
      <c r="ULS212" s="1"/>
      <c r="ULT212" s="1"/>
      <c r="ULU212" s="1"/>
      <c r="ULV212" s="1"/>
      <c r="ULW212" s="1"/>
      <c r="ULX212" s="1"/>
      <c r="ULY212" s="1"/>
      <c r="ULZ212" s="1"/>
      <c r="UMA212" s="1"/>
      <c r="UMB212" s="1"/>
      <c r="UMC212" s="1"/>
      <c r="UMD212" s="1"/>
      <c r="UME212" s="1"/>
      <c r="UMF212" s="1"/>
      <c r="UMG212" s="1"/>
      <c r="UMH212" s="1"/>
      <c r="UMI212" s="1"/>
      <c r="UMJ212" s="1"/>
      <c r="UMK212" s="1"/>
      <c r="UML212" s="1"/>
      <c r="UMM212" s="1"/>
      <c r="UMN212" s="1"/>
      <c r="UMO212" s="1"/>
      <c r="UMP212" s="1"/>
      <c r="UMQ212" s="1"/>
      <c r="UMR212" s="1"/>
      <c r="UMS212" s="1"/>
      <c r="UMT212" s="1"/>
      <c r="UMU212" s="1"/>
      <c r="UMV212" s="1"/>
      <c r="UMW212" s="1"/>
      <c r="UMX212" s="1"/>
      <c r="UMY212" s="1"/>
      <c r="UMZ212" s="1"/>
      <c r="UNA212" s="1"/>
      <c r="UNB212" s="1"/>
      <c r="UNC212" s="1"/>
      <c r="UND212" s="1"/>
      <c r="UNE212" s="1"/>
      <c r="UNF212" s="1"/>
      <c r="UNG212" s="1"/>
      <c r="UNH212" s="1"/>
      <c r="UNI212" s="1"/>
      <c r="UNJ212" s="1"/>
      <c r="UNK212" s="1"/>
      <c r="UNL212" s="1"/>
      <c r="UNM212" s="1"/>
      <c r="UNN212" s="1"/>
      <c r="UNO212" s="1"/>
      <c r="UNP212" s="1"/>
      <c r="UNQ212" s="1"/>
      <c r="UNR212" s="1"/>
      <c r="UNS212" s="1"/>
      <c r="UNT212" s="1"/>
      <c r="UNU212" s="1"/>
      <c r="UNV212" s="1"/>
      <c r="UNW212" s="1"/>
      <c r="UNX212" s="1"/>
      <c r="UNY212" s="1"/>
      <c r="UNZ212" s="1"/>
      <c r="UOA212" s="1"/>
      <c r="UOB212" s="1"/>
      <c r="UOC212" s="1"/>
      <c r="UOD212" s="1"/>
      <c r="UOE212" s="1"/>
      <c r="UOF212" s="1"/>
      <c r="UOG212" s="1"/>
      <c r="UOH212" s="1"/>
      <c r="UOI212" s="1"/>
      <c r="UOJ212" s="1"/>
      <c r="UOK212" s="1"/>
      <c r="UOL212" s="1"/>
      <c r="UOM212" s="1"/>
      <c r="UON212" s="1"/>
      <c r="UOO212" s="1"/>
      <c r="UOP212" s="1"/>
      <c r="UOQ212" s="1"/>
      <c r="UOR212" s="1"/>
      <c r="UOS212" s="1"/>
      <c r="UOT212" s="1"/>
      <c r="UOU212" s="1"/>
      <c r="UOV212" s="1"/>
      <c r="UOW212" s="1"/>
      <c r="UOX212" s="1"/>
      <c r="UOY212" s="1"/>
      <c r="UOZ212" s="1"/>
      <c r="UPA212" s="1"/>
      <c r="UPB212" s="1"/>
      <c r="UPC212" s="1"/>
      <c r="UPD212" s="1"/>
      <c r="UPE212" s="1"/>
      <c r="UPF212" s="1"/>
      <c r="UPG212" s="1"/>
      <c r="UPH212" s="1"/>
      <c r="UPI212" s="1"/>
      <c r="UPJ212" s="1"/>
      <c r="UPK212" s="1"/>
      <c r="UPL212" s="1"/>
      <c r="UPM212" s="1"/>
      <c r="UPN212" s="1"/>
      <c r="UPO212" s="1"/>
      <c r="UPP212" s="1"/>
      <c r="UPQ212" s="1"/>
      <c r="UPR212" s="1"/>
      <c r="UPS212" s="1"/>
      <c r="UPT212" s="1"/>
      <c r="UPU212" s="1"/>
      <c r="UPV212" s="1"/>
      <c r="UPW212" s="1"/>
      <c r="UPX212" s="1"/>
      <c r="UPY212" s="1"/>
      <c r="UPZ212" s="1"/>
      <c r="UQA212" s="1"/>
      <c r="UQB212" s="1"/>
      <c r="UQC212" s="1"/>
      <c r="UQD212" s="1"/>
      <c r="UQE212" s="1"/>
      <c r="UQF212" s="1"/>
      <c r="UQG212" s="1"/>
      <c r="UQH212" s="1"/>
      <c r="UQI212" s="1"/>
      <c r="UQJ212" s="1"/>
      <c r="UQK212" s="1"/>
      <c r="UQL212" s="1"/>
      <c r="UQM212" s="1"/>
      <c r="UQN212" s="1"/>
      <c r="UQO212" s="1"/>
      <c r="UQP212" s="1"/>
      <c r="UQQ212" s="1"/>
      <c r="UQR212" s="1"/>
      <c r="UQS212" s="1"/>
      <c r="UQT212" s="1"/>
      <c r="UQU212" s="1"/>
      <c r="UQV212" s="1"/>
      <c r="UQW212" s="1"/>
      <c r="UQX212" s="1"/>
      <c r="UQY212" s="1"/>
      <c r="UQZ212" s="1"/>
      <c r="URA212" s="1"/>
      <c r="URB212" s="1"/>
      <c r="URC212" s="1"/>
      <c r="URD212" s="1"/>
      <c r="URE212" s="1"/>
      <c r="URF212" s="1"/>
      <c r="URG212" s="1"/>
      <c r="URH212" s="1"/>
      <c r="URI212" s="1"/>
      <c r="URJ212" s="1"/>
      <c r="URK212" s="1"/>
      <c r="URL212" s="1"/>
      <c r="URM212" s="1"/>
      <c r="URN212" s="1"/>
      <c r="URO212" s="1"/>
      <c r="URP212" s="1"/>
      <c r="URQ212" s="1"/>
      <c r="URR212" s="1"/>
      <c r="URS212" s="1"/>
      <c r="URT212" s="1"/>
      <c r="URU212" s="1"/>
      <c r="URV212" s="1"/>
      <c r="URW212" s="1"/>
      <c r="URX212" s="1"/>
      <c r="URY212" s="1"/>
      <c r="URZ212" s="1"/>
      <c r="USA212" s="1"/>
      <c r="USB212" s="1"/>
      <c r="USC212" s="1"/>
      <c r="USD212" s="1"/>
      <c r="USE212" s="1"/>
      <c r="USF212" s="1"/>
      <c r="USG212" s="1"/>
      <c r="USH212" s="1"/>
      <c r="USI212" s="1"/>
      <c r="USJ212" s="1"/>
      <c r="USK212" s="1"/>
      <c r="USL212" s="1"/>
      <c r="USM212" s="1"/>
      <c r="USN212" s="1"/>
      <c r="USO212" s="1"/>
      <c r="USP212" s="1"/>
      <c r="USQ212" s="1"/>
      <c r="USR212" s="1"/>
      <c r="USS212" s="1"/>
      <c r="UST212" s="1"/>
      <c r="USU212" s="1"/>
      <c r="USV212" s="1"/>
      <c r="USW212" s="1"/>
      <c r="USX212" s="1"/>
      <c r="USY212" s="1"/>
      <c r="USZ212" s="1"/>
      <c r="UTA212" s="1"/>
      <c r="UTB212" s="1"/>
      <c r="UTC212" s="1"/>
      <c r="UTD212" s="1"/>
      <c r="UTE212" s="1"/>
      <c r="UTF212" s="1"/>
      <c r="UTG212" s="1"/>
      <c r="UTH212" s="1"/>
      <c r="UTI212" s="1"/>
      <c r="UTJ212" s="1"/>
      <c r="UTK212" s="1"/>
      <c r="UTL212" s="1"/>
      <c r="UTM212" s="1"/>
      <c r="UTN212" s="1"/>
      <c r="UTO212" s="1"/>
      <c r="UTP212" s="1"/>
      <c r="UTQ212" s="1"/>
      <c r="UTR212" s="1"/>
      <c r="UTS212" s="1"/>
      <c r="UTT212" s="1"/>
      <c r="UTU212" s="1"/>
      <c r="UTV212" s="1"/>
      <c r="UTW212" s="1"/>
      <c r="UTX212" s="1"/>
      <c r="UTY212" s="1"/>
      <c r="UTZ212" s="1"/>
      <c r="UUA212" s="1"/>
      <c r="UUB212" s="1"/>
      <c r="UUC212" s="1"/>
      <c r="UUD212" s="1"/>
      <c r="UUE212" s="1"/>
      <c r="UUF212" s="1"/>
      <c r="UUG212" s="1"/>
      <c r="UUH212" s="1"/>
      <c r="UUI212" s="1"/>
      <c r="UUJ212" s="1"/>
      <c r="UUK212" s="1"/>
      <c r="UUL212" s="1"/>
      <c r="UUM212" s="1"/>
      <c r="UUN212" s="1"/>
      <c r="UUO212" s="1"/>
      <c r="UUP212" s="1"/>
      <c r="UUQ212" s="1"/>
      <c r="UUR212" s="1"/>
      <c r="UUS212" s="1"/>
      <c r="UUT212" s="1"/>
      <c r="UUU212" s="1"/>
      <c r="UUV212" s="1"/>
      <c r="UUW212" s="1"/>
      <c r="UUX212" s="1"/>
      <c r="UUY212" s="1"/>
      <c r="UUZ212" s="1"/>
      <c r="UVA212" s="1"/>
      <c r="UVB212" s="1"/>
      <c r="UVC212" s="1"/>
      <c r="UVD212" s="1"/>
      <c r="UVE212" s="1"/>
      <c r="UVF212" s="1"/>
      <c r="UVG212" s="1"/>
      <c r="UVH212" s="1"/>
      <c r="UVI212" s="1"/>
      <c r="UVJ212" s="1"/>
      <c r="UVK212" s="1"/>
      <c r="UVL212" s="1"/>
      <c r="UVM212" s="1"/>
      <c r="UVN212" s="1"/>
      <c r="UVO212" s="1"/>
      <c r="UVP212" s="1"/>
      <c r="UVQ212" s="1"/>
      <c r="UVR212" s="1"/>
      <c r="UVS212" s="1"/>
      <c r="UVT212" s="1"/>
      <c r="UVU212" s="1"/>
      <c r="UVV212" s="1"/>
      <c r="UVW212" s="1"/>
      <c r="UVX212" s="1"/>
      <c r="UVY212" s="1"/>
      <c r="UVZ212" s="1"/>
      <c r="UWA212" s="1"/>
      <c r="UWB212" s="1"/>
      <c r="UWC212" s="1"/>
      <c r="UWD212" s="1"/>
      <c r="UWE212" s="1"/>
      <c r="UWF212" s="1"/>
      <c r="UWG212" s="1"/>
      <c r="UWH212" s="1"/>
      <c r="UWI212" s="1"/>
      <c r="UWJ212" s="1"/>
      <c r="UWK212" s="1"/>
      <c r="UWL212" s="1"/>
      <c r="UWM212" s="1"/>
      <c r="UWN212" s="1"/>
      <c r="UWO212" s="1"/>
      <c r="UWP212" s="1"/>
      <c r="UWQ212" s="1"/>
      <c r="UWR212" s="1"/>
      <c r="UWS212" s="1"/>
      <c r="UWT212" s="1"/>
      <c r="UWU212" s="1"/>
      <c r="UWV212" s="1"/>
      <c r="UWW212" s="1"/>
      <c r="UWX212" s="1"/>
      <c r="UWY212" s="1"/>
      <c r="UWZ212" s="1"/>
      <c r="UXA212" s="1"/>
      <c r="UXB212" s="1"/>
      <c r="UXC212" s="1"/>
      <c r="UXD212" s="1"/>
      <c r="UXE212" s="1"/>
      <c r="UXF212" s="1"/>
      <c r="UXG212" s="1"/>
      <c r="UXH212" s="1"/>
      <c r="UXI212" s="1"/>
      <c r="UXJ212" s="1"/>
      <c r="UXK212" s="1"/>
      <c r="UXL212" s="1"/>
      <c r="UXM212" s="1"/>
      <c r="UXN212" s="1"/>
      <c r="UXO212" s="1"/>
      <c r="UXP212" s="1"/>
      <c r="UXQ212" s="1"/>
      <c r="UXR212" s="1"/>
      <c r="UXS212" s="1"/>
      <c r="UXT212" s="1"/>
      <c r="UXU212" s="1"/>
      <c r="UXV212" s="1"/>
      <c r="UXW212" s="1"/>
      <c r="UXX212" s="1"/>
      <c r="UXY212" s="1"/>
      <c r="UXZ212" s="1"/>
      <c r="UYA212" s="1"/>
      <c r="UYB212" s="1"/>
      <c r="UYC212" s="1"/>
      <c r="UYD212" s="1"/>
      <c r="UYE212" s="1"/>
      <c r="UYF212" s="1"/>
      <c r="UYG212" s="1"/>
      <c r="UYH212" s="1"/>
      <c r="UYI212" s="1"/>
      <c r="UYJ212" s="1"/>
      <c r="UYK212" s="1"/>
      <c r="UYL212" s="1"/>
      <c r="UYM212" s="1"/>
      <c r="UYN212" s="1"/>
      <c r="UYO212" s="1"/>
      <c r="UYP212" s="1"/>
      <c r="UYQ212" s="1"/>
      <c r="UYR212" s="1"/>
      <c r="UYS212" s="1"/>
      <c r="UYT212" s="1"/>
      <c r="UYU212" s="1"/>
      <c r="UYV212" s="1"/>
      <c r="UYW212" s="1"/>
      <c r="UYX212" s="1"/>
      <c r="UYY212" s="1"/>
      <c r="UYZ212" s="1"/>
      <c r="UZA212" s="1"/>
      <c r="UZB212" s="1"/>
      <c r="UZC212" s="1"/>
      <c r="UZD212" s="1"/>
      <c r="UZE212" s="1"/>
      <c r="UZF212" s="1"/>
      <c r="UZG212" s="1"/>
      <c r="UZH212" s="1"/>
      <c r="UZI212" s="1"/>
      <c r="UZJ212" s="1"/>
      <c r="UZK212" s="1"/>
      <c r="UZL212" s="1"/>
      <c r="UZM212" s="1"/>
      <c r="UZN212" s="1"/>
      <c r="UZO212" s="1"/>
      <c r="UZP212" s="1"/>
      <c r="UZQ212" s="1"/>
      <c r="UZR212" s="1"/>
      <c r="UZS212" s="1"/>
      <c r="UZT212" s="1"/>
      <c r="UZU212" s="1"/>
      <c r="UZV212" s="1"/>
      <c r="UZW212" s="1"/>
      <c r="UZX212" s="1"/>
      <c r="UZY212" s="1"/>
      <c r="UZZ212" s="1"/>
      <c r="VAA212" s="1"/>
      <c r="VAB212" s="1"/>
      <c r="VAC212" s="1"/>
      <c r="VAD212" s="1"/>
      <c r="VAE212" s="1"/>
      <c r="VAF212" s="1"/>
      <c r="VAG212" s="1"/>
      <c r="VAH212" s="1"/>
      <c r="VAI212" s="1"/>
      <c r="VAJ212" s="1"/>
      <c r="VAK212" s="1"/>
      <c r="VAL212" s="1"/>
      <c r="VAM212" s="1"/>
      <c r="VAN212" s="1"/>
      <c r="VAO212" s="1"/>
      <c r="VAP212" s="1"/>
      <c r="VAQ212" s="1"/>
      <c r="VAR212" s="1"/>
      <c r="VAS212" s="1"/>
      <c r="VAT212" s="1"/>
      <c r="VAU212" s="1"/>
      <c r="VAV212" s="1"/>
      <c r="VAW212" s="1"/>
      <c r="VAX212" s="1"/>
      <c r="VAY212" s="1"/>
      <c r="VAZ212" s="1"/>
      <c r="VBA212" s="1"/>
      <c r="VBB212" s="1"/>
      <c r="VBC212" s="1"/>
      <c r="VBD212" s="1"/>
      <c r="VBE212" s="1"/>
      <c r="VBF212" s="1"/>
      <c r="VBG212" s="1"/>
      <c r="VBH212" s="1"/>
      <c r="VBI212" s="1"/>
      <c r="VBJ212" s="1"/>
      <c r="VBK212" s="1"/>
      <c r="VBL212" s="1"/>
      <c r="VBM212" s="1"/>
      <c r="VBN212" s="1"/>
      <c r="VBO212" s="1"/>
      <c r="VBP212" s="1"/>
      <c r="VBQ212" s="1"/>
      <c r="VBR212" s="1"/>
      <c r="VBS212" s="1"/>
      <c r="VBT212" s="1"/>
      <c r="VBU212" s="1"/>
      <c r="VBV212" s="1"/>
      <c r="VBW212" s="1"/>
      <c r="VBX212" s="1"/>
      <c r="VBY212" s="1"/>
      <c r="VBZ212" s="1"/>
      <c r="VCA212" s="1"/>
      <c r="VCB212" s="1"/>
      <c r="VCC212" s="1"/>
      <c r="VCD212" s="1"/>
      <c r="VCE212" s="1"/>
      <c r="VCF212" s="1"/>
      <c r="VCG212" s="1"/>
      <c r="VCH212" s="1"/>
      <c r="VCI212" s="1"/>
      <c r="VCJ212" s="1"/>
      <c r="VCK212" s="1"/>
      <c r="VCL212" s="1"/>
      <c r="VCM212" s="1"/>
      <c r="VCN212" s="1"/>
      <c r="VCO212" s="1"/>
      <c r="VCP212" s="1"/>
      <c r="VCQ212" s="1"/>
      <c r="VCR212" s="1"/>
      <c r="VCS212" s="1"/>
      <c r="VCT212" s="1"/>
      <c r="VCU212" s="1"/>
      <c r="VCV212" s="1"/>
    </row>
    <row r="213" spans="5:14972" s="2" customFormat="1" x14ac:dyDescent="0.3">
      <c r="E213" s="1"/>
      <c r="F213" s="19"/>
      <c r="G213" s="18" t="s">
        <v>3</v>
      </c>
      <c r="H213" s="301">
        <v>28700</v>
      </c>
      <c r="I213" s="17" t="s">
        <v>2</v>
      </c>
      <c r="J213" s="15">
        <v>24000</v>
      </c>
      <c r="K213" s="15">
        <v>23900</v>
      </c>
      <c r="L213" s="16">
        <v>24600</v>
      </c>
      <c r="M213" s="16">
        <v>24000</v>
      </c>
      <c r="N213" s="15">
        <v>25700</v>
      </c>
      <c r="O213" s="16">
        <v>22200</v>
      </c>
      <c r="P213" s="15">
        <v>25800</v>
      </c>
      <c r="Q213" s="16">
        <v>25900</v>
      </c>
      <c r="R213" s="15">
        <v>22900</v>
      </c>
      <c r="S213" s="15">
        <v>21100</v>
      </c>
      <c r="T213" s="15">
        <v>21100</v>
      </c>
      <c r="U213" s="15">
        <v>21500</v>
      </c>
      <c r="V213" s="15">
        <v>21900</v>
      </c>
      <c r="W213" s="15">
        <v>24400</v>
      </c>
      <c r="X213" s="15">
        <v>13800</v>
      </c>
      <c r="Y213" s="16">
        <v>5200</v>
      </c>
      <c r="Z213" s="15">
        <v>4200</v>
      </c>
      <c r="AA213" s="15">
        <v>6300</v>
      </c>
      <c r="AB213" s="15">
        <v>19800</v>
      </c>
      <c r="AC213" s="16">
        <v>24700</v>
      </c>
      <c r="AD213" s="15">
        <v>27000</v>
      </c>
      <c r="AE213" s="15">
        <v>26300</v>
      </c>
      <c r="AF213" s="15">
        <v>26500</v>
      </c>
      <c r="AG213" s="15">
        <v>26700</v>
      </c>
      <c r="AH213" s="15">
        <v>22000</v>
      </c>
      <c r="AI213" s="15">
        <v>24000</v>
      </c>
      <c r="AJ213" s="15">
        <v>26000</v>
      </c>
      <c r="AK213" s="15">
        <v>28200</v>
      </c>
      <c r="AL213" s="15">
        <v>27700</v>
      </c>
      <c r="AM213" s="15">
        <v>28000</v>
      </c>
      <c r="AN213" s="14"/>
      <c r="AO213" s="13">
        <f>SUM(J213:AM213)</f>
        <v>665400</v>
      </c>
      <c r="AP213" s="1"/>
      <c r="AQ213" s="12">
        <f>AO213/AO28</f>
        <v>25592.307692307691</v>
      </c>
      <c r="AS213" s="3"/>
      <c r="CA213" s="1"/>
      <c r="CB213" s="1"/>
      <c r="CC213" s="1"/>
      <c r="CD213" s="1"/>
      <c r="CE213" s="1"/>
      <c r="CF213" s="1"/>
      <c r="CG213" s="1"/>
      <c r="CH213" s="1"/>
      <c r="CI213" s="1"/>
      <c r="CJ213" s="1"/>
      <c r="CK213" s="1"/>
      <c r="CL213" s="1"/>
      <c r="CM213" s="1"/>
      <c r="CN213" s="1"/>
      <c r="CO213" s="1"/>
      <c r="CP213" s="1"/>
      <c r="CQ213" s="1"/>
      <c r="CR213" s="1"/>
      <c r="CS213" s="1"/>
      <c r="CT213" s="1"/>
      <c r="CU213" s="1"/>
      <c r="CV213" s="1"/>
      <c r="CW213" s="1"/>
      <c r="CX213" s="1"/>
      <c r="CY213" s="1"/>
      <c r="CZ213" s="1"/>
      <c r="DA213" s="1"/>
      <c r="DB213"/>
      <c r="DC213" s="1"/>
      <c r="DD213" s="1"/>
      <c r="DE213" s="1"/>
      <c r="DF213" s="1"/>
      <c r="DG213" s="1"/>
      <c r="DH213" s="1"/>
      <c r="DI213" s="1"/>
      <c r="DJ213" s="1"/>
      <c r="DK213" s="1"/>
      <c r="DL213" s="1"/>
      <c r="DM213" s="1"/>
      <c r="DN213" s="1"/>
      <c r="DO213" s="1"/>
      <c r="DP213" s="1"/>
      <c r="DQ213" s="1"/>
      <c r="DR213" s="1"/>
      <c r="DS213" s="1"/>
      <c r="DT213" s="1"/>
      <c r="DU213" s="1"/>
      <c r="DV213" s="1"/>
      <c r="DW213" s="1"/>
      <c r="DX213" s="1"/>
      <c r="DY213" s="1"/>
      <c r="DZ213" s="1"/>
      <c r="EA213" s="1"/>
      <c r="EB213" s="1"/>
      <c r="EC213" s="1"/>
      <c r="ED213" s="1"/>
      <c r="EE213" s="1"/>
      <c r="EF213" s="1"/>
      <c r="EG213" s="1"/>
      <c r="EH213" s="1"/>
      <c r="EI213" s="1"/>
      <c r="EJ213" s="1"/>
      <c r="EK213" s="1"/>
      <c r="EL213" s="1"/>
      <c r="EM213" s="1"/>
      <c r="EN213" s="1"/>
      <c r="EO213" s="1"/>
      <c r="EP213" s="1"/>
      <c r="EQ213" s="1"/>
      <c r="ER213" s="1"/>
      <c r="ES213" s="1"/>
      <c r="ET213" s="1"/>
      <c r="EU213" s="1"/>
      <c r="EV213" s="1"/>
      <c r="EW213" s="1"/>
      <c r="EX213" s="1"/>
      <c r="EY213" s="1"/>
      <c r="EZ213" s="1"/>
      <c r="FA213" s="1"/>
      <c r="FB213" s="1"/>
      <c r="FC213" s="1"/>
      <c r="FD213" s="1"/>
      <c r="FE213" s="1"/>
      <c r="FF213" s="1"/>
      <c r="FG213" s="1"/>
      <c r="FH213" s="1"/>
      <c r="FI213" s="1"/>
      <c r="FJ213" s="1"/>
      <c r="FK213" s="1"/>
      <c r="FL213" s="1"/>
      <c r="FM213" s="1"/>
      <c r="FN213" s="1"/>
      <c r="FO213" s="1"/>
      <c r="FP213" s="1"/>
      <c r="FQ213" s="1"/>
      <c r="FR213" s="1"/>
      <c r="FS213" s="1"/>
      <c r="FT213" s="1"/>
      <c r="FU213" s="1"/>
      <c r="FV213" s="1"/>
      <c r="FW213" s="1"/>
      <c r="FX213" s="1"/>
      <c r="FY213" s="1"/>
      <c r="FZ213" s="1"/>
      <c r="GA213" s="1"/>
      <c r="GB213" s="1"/>
      <c r="GC213" s="1"/>
      <c r="GD213" s="1"/>
      <c r="GE213" s="1"/>
      <c r="GF213" s="1"/>
      <c r="GG213" s="1"/>
      <c r="GH213" s="1"/>
      <c r="GI213" s="1"/>
      <c r="GJ213" s="1"/>
      <c r="GK213" s="1"/>
      <c r="GL213" s="1"/>
      <c r="GM213" s="1"/>
      <c r="GN213" s="1"/>
      <c r="GO213" s="1"/>
      <c r="GP213" s="1"/>
      <c r="GQ213" s="1"/>
      <c r="GR213" s="1"/>
      <c r="GS213" s="1"/>
      <c r="GT213" s="1"/>
      <c r="GU213" s="1"/>
      <c r="GV213" s="1"/>
      <c r="GW213" s="1"/>
      <c r="GX213" s="1"/>
      <c r="GY213" s="1"/>
      <c r="GZ213" s="1"/>
      <c r="HA213" s="1"/>
      <c r="HB213" s="1"/>
      <c r="HC213" s="1"/>
      <c r="HD213" s="1"/>
      <c r="HE213" s="1"/>
      <c r="HF213" s="1"/>
      <c r="HG213" s="1"/>
      <c r="HH213" s="1"/>
      <c r="HI213" s="1"/>
      <c r="HJ213" s="1"/>
      <c r="HK213" s="1"/>
      <c r="HL213" s="1"/>
      <c r="HM213" s="1"/>
      <c r="HN213" s="1"/>
      <c r="HO213" s="1"/>
      <c r="HP213" s="1"/>
      <c r="HQ213" s="1"/>
      <c r="HR213" s="1"/>
      <c r="HS213" s="1"/>
      <c r="HT213" s="1"/>
      <c r="HU213" s="1"/>
      <c r="HV213" s="1"/>
      <c r="HW213" s="1"/>
      <c r="HX213" s="1"/>
      <c r="HY213" s="1"/>
      <c r="HZ213" s="1"/>
      <c r="IA213" s="1"/>
      <c r="IB213" s="1"/>
      <c r="IC213" s="1"/>
      <c r="ID213" s="1"/>
      <c r="IE213" s="1"/>
      <c r="IF213" s="1"/>
      <c r="IG213" s="1"/>
      <c r="IH213" s="1"/>
      <c r="II213" s="1"/>
      <c r="IJ213" s="1"/>
      <c r="IK213" s="1"/>
      <c r="IL213" s="1"/>
      <c r="IM213" s="1"/>
      <c r="IN213" s="1"/>
      <c r="IO213" s="1"/>
      <c r="IP213" s="1"/>
      <c r="IQ213" s="1"/>
      <c r="IR213" s="1"/>
      <c r="IS213" s="1"/>
      <c r="IT213" s="1"/>
      <c r="IU213" s="1"/>
      <c r="IV213" s="1"/>
      <c r="IW213" s="1"/>
      <c r="IX213" s="1"/>
      <c r="IY213" s="1"/>
      <c r="IZ213" s="1"/>
      <c r="JA213" s="1"/>
      <c r="JB213" s="1"/>
      <c r="JC213" s="1"/>
      <c r="JD213" s="1"/>
      <c r="JE213" s="1"/>
      <c r="JF213" s="1"/>
      <c r="JG213" s="1"/>
      <c r="JH213" s="1"/>
      <c r="JI213" s="1"/>
      <c r="JJ213" s="1"/>
      <c r="JK213" s="1"/>
      <c r="JL213" s="1"/>
      <c r="JM213" s="1"/>
      <c r="JN213" s="1"/>
      <c r="JO213" s="1"/>
      <c r="JP213" s="1"/>
      <c r="JQ213" s="1"/>
      <c r="JR213" s="1"/>
      <c r="JS213" s="1"/>
      <c r="JT213" s="1"/>
      <c r="JU213" s="1"/>
      <c r="JV213" s="1"/>
      <c r="JW213" s="1"/>
      <c r="JX213" s="1"/>
      <c r="JY213" s="1"/>
      <c r="JZ213" s="1"/>
      <c r="KA213" s="1"/>
      <c r="KB213" s="1"/>
      <c r="KC213" s="1"/>
      <c r="KD213" s="1"/>
      <c r="KE213" s="1"/>
      <c r="KF213" s="1"/>
      <c r="KG213" s="1"/>
      <c r="KH213" s="1"/>
      <c r="KI213" s="1"/>
      <c r="KJ213" s="1"/>
      <c r="KK213" s="1"/>
      <c r="KL213" s="1"/>
      <c r="KM213" s="1"/>
      <c r="KN213" s="1"/>
      <c r="KO213" s="1"/>
      <c r="KP213" s="1"/>
      <c r="KQ213" s="1"/>
      <c r="KR213" s="1"/>
      <c r="KS213" s="1"/>
      <c r="KT213" s="1"/>
      <c r="KU213" s="1"/>
      <c r="KV213" s="1"/>
      <c r="KW213" s="1"/>
      <c r="KX213" s="1"/>
      <c r="KY213" s="1"/>
      <c r="KZ213" s="1"/>
      <c r="LA213" s="1"/>
      <c r="LB213" s="1"/>
      <c r="LC213" s="1"/>
      <c r="LD213" s="1"/>
      <c r="LE213" s="1"/>
      <c r="LF213" s="1"/>
      <c r="LG213" s="1"/>
      <c r="LH213" s="1"/>
      <c r="LI213" s="1"/>
      <c r="LJ213" s="1"/>
      <c r="LK213" s="1"/>
      <c r="LL213" s="1"/>
      <c r="LM213" s="1"/>
      <c r="LN213" s="1"/>
      <c r="LO213" s="1"/>
      <c r="LP213" s="1"/>
      <c r="LQ213" s="1"/>
      <c r="LR213" s="1"/>
      <c r="LS213" s="1"/>
      <c r="LT213" s="1"/>
      <c r="LU213" s="1"/>
      <c r="LV213" s="1"/>
      <c r="LW213" s="1"/>
      <c r="LX213" s="1"/>
      <c r="LY213" s="1"/>
      <c r="LZ213" s="1"/>
      <c r="MA213" s="1"/>
      <c r="MB213" s="1"/>
      <c r="MC213" s="1"/>
      <c r="MD213" s="1"/>
      <c r="ME213" s="1"/>
      <c r="MF213" s="1"/>
      <c r="MG213" s="1"/>
      <c r="MH213" s="1"/>
      <c r="MI213" s="1"/>
      <c r="MJ213" s="1"/>
      <c r="MK213" s="1"/>
      <c r="ML213" s="1"/>
      <c r="MM213" s="1"/>
      <c r="MN213" s="1"/>
      <c r="MO213" s="1"/>
      <c r="MP213" s="1"/>
      <c r="MQ213" s="1"/>
      <c r="MR213" s="1"/>
      <c r="MS213" s="1"/>
      <c r="MT213" s="1"/>
      <c r="MU213" s="1"/>
      <c r="MV213" s="1"/>
      <c r="MW213" s="1"/>
      <c r="MX213" s="1"/>
      <c r="MY213" s="1"/>
      <c r="MZ213" s="1"/>
      <c r="NA213" s="1"/>
      <c r="NB213" s="1"/>
      <c r="NC213" s="1"/>
      <c r="ND213" s="1"/>
      <c r="NE213" s="1"/>
      <c r="NF213" s="1"/>
      <c r="NG213" s="1"/>
      <c r="NH213" s="1"/>
      <c r="NI213" s="1"/>
      <c r="NJ213" s="1"/>
      <c r="NK213" s="1"/>
      <c r="NL213" s="1"/>
      <c r="NM213" s="1"/>
      <c r="NN213" s="1"/>
      <c r="NO213" s="1"/>
      <c r="NP213" s="1"/>
      <c r="NQ213" s="1"/>
      <c r="NR213" s="1"/>
      <c r="NS213" s="1"/>
      <c r="NT213" s="1"/>
      <c r="NU213" s="1"/>
      <c r="NV213" s="1"/>
      <c r="NW213" s="1"/>
      <c r="NX213" s="1"/>
      <c r="NY213" s="1"/>
      <c r="NZ213" s="1"/>
      <c r="OA213" s="1"/>
      <c r="OB213" s="1"/>
      <c r="OC213" s="1"/>
      <c r="OD213" s="1"/>
      <c r="OE213" s="1"/>
      <c r="OF213" s="1"/>
      <c r="OG213" s="1"/>
      <c r="OH213" s="1"/>
      <c r="OI213" s="1"/>
      <c r="OJ213" s="1"/>
      <c r="OK213" s="1"/>
      <c r="OL213" s="1"/>
      <c r="OM213" s="1"/>
      <c r="ON213" s="1"/>
      <c r="OO213" s="1"/>
      <c r="OP213" s="1"/>
      <c r="OQ213" s="1"/>
      <c r="OR213" s="1"/>
      <c r="OS213" s="1"/>
      <c r="OT213" s="1"/>
      <c r="OU213" s="1"/>
      <c r="OV213" s="1"/>
      <c r="OW213" s="1"/>
      <c r="OX213" s="1"/>
      <c r="OY213" s="1"/>
      <c r="OZ213" s="1"/>
      <c r="PA213" s="1"/>
      <c r="PB213" s="1"/>
      <c r="PC213" s="1"/>
      <c r="PD213" s="1"/>
      <c r="PE213" s="1"/>
      <c r="PF213" s="1"/>
      <c r="PG213" s="1"/>
      <c r="PH213" s="1"/>
      <c r="PI213" s="1"/>
      <c r="PJ213" s="1"/>
      <c r="PK213" s="1"/>
      <c r="PL213" s="1"/>
      <c r="PM213" s="1"/>
      <c r="PN213" s="1"/>
      <c r="PO213" s="1"/>
      <c r="PP213" s="1"/>
      <c r="PQ213" s="1"/>
      <c r="PR213" s="1"/>
      <c r="PS213" s="1"/>
      <c r="PT213" s="1"/>
      <c r="PU213" s="1"/>
      <c r="PV213" s="1"/>
      <c r="PW213" s="1"/>
      <c r="PX213" s="1"/>
      <c r="PY213" s="1"/>
      <c r="PZ213" s="1"/>
      <c r="QA213" s="1"/>
      <c r="QB213" s="1"/>
      <c r="QC213" s="1"/>
      <c r="QD213" s="1"/>
      <c r="QE213" s="1"/>
      <c r="QF213" s="1"/>
      <c r="QG213" s="1"/>
      <c r="QH213" s="1"/>
      <c r="QI213" s="1"/>
      <c r="QJ213" s="1"/>
      <c r="QK213" s="1"/>
      <c r="QL213" s="1"/>
      <c r="QM213" s="1"/>
      <c r="QN213" s="1"/>
      <c r="QO213" s="1"/>
      <c r="QP213" s="1"/>
      <c r="QQ213" s="1"/>
      <c r="QR213" s="1"/>
      <c r="QS213" s="1"/>
      <c r="QT213" s="1"/>
      <c r="QU213" s="1"/>
      <c r="QV213" s="1"/>
      <c r="QW213" s="1"/>
      <c r="QX213" s="1"/>
      <c r="QY213" s="1"/>
      <c r="QZ213" s="1"/>
      <c r="RA213" s="1"/>
      <c r="RB213" s="1"/>
      <c r="RC213" s="1"/>
      <c r="RD213" s="1"/>
      <c r="RE213" s="1"/>
      <c r="RF213" s="1"/>
      <c r="RG213" s="1"/>
      <c r="RH213" s="1"/>
      <c r="RI213" s="1"/>
      <c r="RJ213" s="1"/>
      <c r="RK213" s="1"/>
      <c r="RL213" s="1"/>
      <c r="RM213" s="1"/>
      <c r="RN213" s="1"/>
      <c r="RO213" s="1"/>
      <c r="RP213" s="1"/>
      <c r="RQ213" s="1"/>
      <c r="RR213" s="1"/>
      <c r="RS213" s="1"/>
      <c r="RT213" s="1"/>
      <c r="RU213" s="1"/>
      <c r="RV213" s="1"/>
      <c r="RW213" s="1"/>
      <c r="RX213" s="1"/>
      <c r="RY213" s="1"/>
      <c r="RZ213" s="1"/>
      <c r="SA213" s="1"/>
      <c r="SB213" s="1"/>
      <c r="SC213" s="1"/>
      <c r="SD213" s="1"/>
      <c r="SE213" s="1"/>
      <c r="SF213" s="1"/>
      <c r="SG213" s="1"/>
      <c r="SH213" s="1"/>
      <c r="SI213" s="1"/>
      <c r="SJ213" s="1"/>
      <c r="SK213" s="1"/>
      <c r="SL213" s="1"/>
      <c r="SM213" s="1"/>
      <c r="SN213" s="1"/>
      <c r="SO213" s="1"/>
      <c r="SP213" s="1"/>
      <c r="SQ213" s="1"/>
      <c r="SR213" s="1"/>
      <c r="SS213" s="1"/>
      <c r="ST213" s="1"/>
      <c r="SU213" s="1"/>
      <c r="SV213" s="1"/>
      <c r="SW213" s="1"/>
      <c r="SX213" s="1"/>
      <c r="SY213" s="1"/>
      <c r="SZ213" s="1"/>
      <c r="TA213" s="1"/>
      <c r="TB213" s="1"/>
      <c r="TC213" s="1"/>
      <c r="TD213" s="1"/>
      <c r="TE213" s="1"/>
      <c r="TF213" s="1"/>
      <c r="TG213" s="1"/>
      <c r="TH213" s="1"/>
      <c r="TI213" s="1"/>
      <c r="TJ213" s="1"/>
      <c r="TK213" s="1"/>
      <c r="TL213" s="1"/>
      <c r="TM213" s="1"/>
      <c r="TN213" s="1"/>
      <c r="TO213" s="1"/>
      <c r="TP213" s="1"/>
      <c r="TQ213" s="1"/>
      <c r="TR213" s="1"/>
      <c r="TS213" s="1"/>
      <c r="TT213" s="1"/>
      <c r="TU213" s="1"/>
      <c r="TV213" s="1"/>
      <c r="TW213" s="1"/>
      <c r="TX213" s="1"/>
      <c r="TY213" s="1"/>
      <c r="TZ213" s="1"/>
      <c r="UA213" s="1"/>
      <c r="UB213" s="1"/>
      <c r="UC213" s="1"/>
      <c r="UD213" s="1"/>
      <c r="UE213" s="1"/>
      <c r="UF213" s="1"/>
      <c r="UG213" s="1"/>
      <c r="UH213" s="1"/>
      <c r="UI213" s="1"/>
      <c r="UJ213" s="1"/>
      <c r="UK213" s="1"/>
      <c r="UL213" s="1"/>
      <c r="UM213" s="1"/>
      <c r="UN213" s="1"/>
      <c r="UO213" s="1"/>
      <c r="UP213" s="1"/>
      <c r="UQ213" s="1"/>
      <c r="UR213" s="1"/>
      <c r="US213" s="1"/>
      <c r="UT213" s="1"/>
      <c r="UU213" s="1"/>
      <c r="UV213" s="1"/>
      <c r="UW213" s="1"/>
      <c r="UX213" s="1"/>
      <c r="UY213" s="1"/>
      <c r="UZ213" s="1"/>
      <c r="VA213" s="1"/>
      <c r="VB213" s="1"/>
      <c r="VC213" s="1"/>
      <c r="VD213" s="1"/>
      <c r="VE213" s="1"/>
      <c r="VF213" s="1"/>
      <c r="VG213" s="1"/>
      <c r="VH213" s="1"/>
      <c r="VI213" s="1"/>
      <c r="VJ213" s="1"/>
      <c r="VK213" s="1"/>
      <c r="VL213" s="1"/>
      <c r="VM213" s="1"/>
      <c r="VN213" s="1"/>
      <c r="VO213" s="1"/>
      <c r="VP213" s="1"/>
      <c r="VQ213" s="1"/>
      <c r="VR213" s="1"/>
      <c r="VS213" s="1"/>
      <c r="VT213" s="1"/>
      <c r="VU213" s="1"/>
      <c r="VV213" s="1"/>
      <c r="VW213" s="1"/>
      <c r="VX213" s="1"/>
      <c r="VY213" s="1"/>
      <c r="VZ213" s="1"/>
      <c r="WA213" s="1"/>
      <c r="WB213" s="1"/>
      <c r="WC213" s="1"/>
      <c r="WD213" s="1"/>
      <c r="WE213" s="1"/>
      <c r="WF213" s="1"/>
      <c r="WG213" s="1"/>
      <c r="WH213" s="1"/>
      <c r="WI213" s="1"/>
      <c r="WJ213" s="1"/>
      <c r="WK213" s="1"/>
      <c r="WL213" s="1"/>
      <c r="WM213" s="1"/>
      <c r="WN213" s="1"/>
      <c r="WO213" s="1"/>
      <c r="WP213" s="1"/>
      <c r="WQ213" s="1"/>
      <c r="WR213" s="1"/>
      <c r="WS213" s="1"/>
      <c r="WT213" s="1"/>
      <c r="WU213" s="1"/>
      <c r="WV213" s="1"/>
      <c r="WW213" s="1"/>
      <c r="WX213" s="1"/>
      <c r="WY213" s="1"/>
      <c r="WZ213" s="1"/>
      <c r="XA213" s="1"/>
      <c r="XB213" s="1"/>
      <c r="XC213" s="1"/>
      <c r="XD213" s="1"/>
      <c r="XE213" s="1"/>
      <c r="XF213" s="1"/>
      <c r="XG213" s="1"/>
      <c r="XH213" s="1"/>
      <c r="XI213" s="1"/>
      <c r="XJ213" s="1"/>
      <c r="XK213" s="1"/>
      <c r="XL213" s="1"/>
      <c r="XM213" s="1"/>
      <c r="XN213" s="1"/>
      <c r="XO213" s="1"/>
      <c r="XP213" s="1"/>
      <c r="XQ213" s="1"/>
      <c r="XR213" s="1"/>
      <c r="XS213" s="1"/>
      <c r="XT213" s="1"/>
      <c r="XU213" s="1"/>
      <c r="XV213" s="1"/>
      <c r="XW213" s="1"/>
      <c r="XX213" s="1"/>
      <c r="XY213" s="1"/>
      <c r="XZ213" s="1"/>
      <c r="YA213" s="1"/>
      <c r="YB213" s="1"/>
      <c r="YC213" s="1"/>
      <c r="YD213" s="1"/>
      <c r="YE213" s="1"/>
      <c r="YF213" s="1"/>
      <c r="YG213" s="1"/>
      <c r="YH213" s="1"/>
      <c r="YI213" s="1"/>
      <c r="YJ213" s="1"/>
      <c r="YK213" s="1"/>
      <c r="YL213" s="1"/>
      <c r="YM213" s="1"/>
      <c r="YN213" s="1"/>
      <c r="YO213" s="1"/>
      <c r="YP213" s="1"/>
      <c r="YQ213" s="1"/>
      <c r="YR213" s="1"/>
      <c r="YS213" s="1"/>
      <c r="YT213" s="1"/>
      <c r="YU213" s="1"/>
      <c r="YV213" s="1"/>
      <c r="YW213" s="1"/>
      <c r="YX213" s="1"/>
      <c r="YY213" s="1"/>
      <c r="YZ213" s="1"/>
      <c r="ZA213" s="1"/>
      <c r="ZB213" s="1"/>
      <c r="ZC213" s="1"/>
      <c r="ZD213" s="1"/>
      <c r="ZE213" s="1"/>
      <c r="ZF213" s="1"/>
      <c r="ZG213" s="1"/>
      <c r="ZH213" s="1"/>
      <c r="ZI213" s="1"/>
      <c r="ZJ213" s="1"/>
      <c r="ZK213" s="1"/>
      <c r="ZL213" s="1"/>
      <c r="ZM213" s="1"/>
      <c r="ZN213" s="1"/>
      <c r="ZO213" s="1"/>
      <c r="ZP213" s="1"/>
      <c r="ZQ213" s="1"/>
      <c r="ZR213" s="1"/>
      <c r="ZS213" s="1"/>
      <c r="ZT213" s="1"/>
      <c r="ZU213" s="1"/>
      <c r="ZV213" s="1"/>
      <c r="ZW213" s="1"/>
      <c r="ZX213" s="1"/>
      <c r="ZY213" s="1"/>
      <c r="ZZ213" s="1"/>
      <c r="AAA213" s="1"/>
      <c r="AAB213" s="1"/>
      <c r="AAC213" s="1"/>
      <c r="AAD213" s="1"/>
      <c r="AAE213" s="1"/>
      <c r="AAF213" s="1"/>
      <c r="AAG213" s="1"/>
      <c r="AAH213" s="1"/>
      <c r="AAI213" s="1"/>
      <c r="AAJ213" s="1"/>
      <c r="AAK213" s="1"/>
      <c r="AAL213" s="1"/>
      <c r="AAM213" s="1"/>
      <c r="AAN213" s="1"/>
      <c r="AAO213" s="1"/>
      <c r="AAP213" s="1"/>
      <c r="AAQ213" s="1"/>
      <c r="AAR213" s="1"/>
      <c r="AAS213" s="1"/>
      <c r="AAT213" s="1"/>
      <c r="AAU213" s="1"/>
      <c r="AAV213" s="1"/>
      <c r="AAW213" s="1"/>
      <c r="AAX213" s="1"/>
      <c r="AAY213" s="1"/>
      <c r="AAZ213" s="1"/>
      <c r="ABA213" s="1"/>
      <c r="ABB213" s="1"/>
      <c r="ABC213" s="1"/>
      <c r="ABD213" s="1"/>
      <c r="ABE213" s="1"/>
      <c r="ABF213" s="1"/>
      <c r="ABG213" s="1"/>
      <c r="ABH213" s="1"/>
      <c r="ABI213" s="1"/>
      <c r="ABJ213" s="1"/>
      <c r="ABK213" s="1"/>
      <c r="ABL213" s="1"/>
      <c r="ABM213" s="1"/>
      <c r="ABN213" s="1"/>
      <c r="ABO213" s="1"/>
      <c r="ABP213" s="1"/>
      <c r="ABQ213" s="1"/>
      <c r="ABR213" s="1"/>
      <c r="ABS213" s="1"/>
      <c r="ABT213" s="1"/>
      <c r="ABU213" s="1"/>
      <c r="ABV213" s="1"/>
      <c r="ABW213" s="1"/>
      <c r="ABX213" s="1"/>
      <c r="ABY213" s="1"/>
      <c r="ABZ213" s="1"/>
      <c r="ACA213" s="1"/>
      <c r="ACB213" s="1"/>
      <c r="ACC213" s="1"/>
      <c r="ACD213" s="1"/>
      <c r="ACE213" s="1"/>
      <c r="ACF213" s="1"/>
      <c r="ACG213" s="1"/>
      <c r="ACH213" s="1"/>
      <c r="ACI213" s="1"/>
      <c r="ACJ213" s="1"/>
      <c r="ACK213" s="1"/>
      <c r="ACL213" s="1"/>
      <c r="ACM213" s="1"/>
      <c r="ACN213" s="1"/>
      <c r="ACO213" s="1"/>
      <c r="ACP213" s="1"/>
      <c r="ACQ213" s="1"/>
      <c r="ACR213" s="1"/>
      <c r="ACS213" s="1"/>
      <c r="ACT213" s="1"/>
      <c r="ACU213" s="1"/>
      <c r="ACV213" s="1"/>
      <c r="ACW213" s="1"/>
      <c r="ACX213" s="1"/>
      <c r="ACY213" s="1"/>
      <c r="ACZ213" s="1"/>
      <c r="ADA213" s="1"/>
      <c r="ADB213" s="1"/>
      <c r="ADC213" s="1"/>
      <c r="ADD213" s="1"/>
      <c r="ADE213" s="1"/>
      <c r="ADF213" s="1"/>
      <c r="ADG213" s="1"/>
      <c r="ADH213" s="1"/>
      <c r="ADI213" s="1"/>
      <c r="ADJ213" s="1"/>
      <c r="ADK213" s="1"/>
      <c r="ADL213" s="1"/>
      <c r="ADM213" s="1"/>
      <c r="ADN213" s="1"/>
      <c r="ADO213" s="1"/>
      <c r="ADP213" s="1"/>
      <c r="ADQ213" s="1"/>
      <c r="ADR213" s="1"/>
      <c r="ADS213" s="1"/>
      <c r="ADT213" s="1"/>
      <c r="ADU213" s="1"/>
      <c r="ADV213" s="1"/>
      <c r="ADW213" s="1"/>
      <c r="ADX213" s="1"/>
      <c r="ADY213" s="1"/>
      <c r="ADZ213" s="1"/>
      <c r="AEA213" s="1"/>
      <c r="AEB213" s="1"/>
      <c r="AEC213" s="1"/>
      <c r="AED213" s="1"/>
      <c r="AEE213" s="1"/>
      <c r="AEF213" s="1"/>
      <c r="AEG213" s="1"/>
      <c r="AEH213" s="1"/>
      <c r="AEI213" s="1"/>
      <c r="AEJ213" s="1"/>
      <c r="AEK213" s="1"/>
      <c r="AEL213" s="1"/>
      <c r="AEM213" s="1"/>
      <c r="AEN213" s="1"/>
      <c r="AEO213" s="1"/>
      <c r="AEP213" s="1"/>
      <c r="AEQ213" s="1"/>
      <c r="AER213" s="1"/>
      <c r="AES213" s="1"/>
      <c r="AET213" s="1"/>
      <c r="AEU213" s="1"/>
      <c r="AEV213" s="1"/>
      <c r="AEW213" s="1"/>
      <c r="AEX213" s="1"/>
      <c r="AEY213" s="1"/>
      <c r="AEZ213" s="1"/>
      <c r="AFA213" s="1"/>
      <c r="AFB213" s="1"/>
      <c r="AFC213" s="1"/>
      <c r="AFD213" s="1"/>
      <c r="AFE213" s="1"/>
      <c r="AFF213" s="1"/>
      <c r="AFG213" s="1"/>
      <c r="AFH213" s="1"/>
      <c r="AFI213" s="1"/>
      <c r="AFJ213" s="1"/>
      <c r="AFK213" s="1"/>
      <c r="AFL213" s="1"/>
      <c r="AFM213" s="1"/>
      <c r="AFN213" s="1"/>
      <c r="AFO213" s="1"/>
      <c r="AFP213" s="1"/>
      <c r="AFQ213" s="1"/>
      <c r="AFR213" s="1"/>
      <c r="AFS213" s="1"/>
      <c r="AFT213" s="1"/>
      <c r="AFU213" s="1"/>
      <c r="AFV213" s="1"/>
      <c r="AFW213" s="1"/>
      <c r="AFX213" s="1"/>
      <c r="AFY213" s="1"/>
      <c r="AFZ213" s="1"/>
      <c r="AGA213" s="1"/>
      <c r="AGB213" s="1"/>
      <c r="AGC213" s="1"/>
      <c r="AGD213" s="1"/>
      <c r="AGE213" s="1"/>
      <c r="AGF213" s="1"/>
      <c r="AGG213" s="1"/>
      <c r="AGH213" s="1"/>
      <c r="AGI213" s="1"/>
      <c r="AGJ213" s="1"/>
      <c r="AGK213" s="1"/>
      <c r="AGL213" s="1"/>
      <c r="AGM213" s="1"/>
      <c r="AGN213" s="1"/>
      <c r="AGO213" s="1"/>
      <c r="AGP213" s="1"/>
      <c r="AGQ213" s="1"/>
      <c r="AGR213" s="1"/>
      <c r="AGS213" s="1"/>
      <c r="AGT213" s="1"/>
      <c r="AGU213" s="1"/>
      <c r="AGV213" s="1"/>
      <c r="AGW213" s="1"/>
      <c r="AGX213" s="1"/>
      <c r="AGY213" s="1"/>
      <c r="AGZ213" s="1"/>
      <c r="AHA213" s="1"/>
      <c r="AHB213" s="1"/>
      <c r="AHC213" s="1"/>
      <c r="AHD213" s="1"/>
      <c r="AHE213" s="1"/>
      <c r="AHF213" s="1"/>
      <c r="AHG213" s="1"/>
      <c r="AHH213" s="1"/>
      <c r="AHI213" s="1"/>
      <c r="AHJ213" s="1"/>
      <c r="AHK213" s="1"/>
      <c r="AHL213" s="1"/>
      <c r="AHM213" s="1"/>
      <c r="AHN213" s="1"/>
      <c r="AHO213" s="1"/>
      <c r="AHP213" s="1"/>
      <c r="AHQ213" s="1"/>
      <c r="AHR213" s="1"/>
      <c r="AHS213" s="1"/>
      <c r="AHT213" s="1"/>
      <c r="AHU213" s="1"/>
      <c r="AHV213" s="1"/>
      <c r="AHW213" s="1"/>
      <c r="AHX213" s="1"/>
      <c r="AHY213" s="1"/>
      <c r="AHZ213" s="1"/>
      <c r="AIA213" s="1"/>
      <c r="AIB213" s="1"/>
      <c r="AIC213" s="1"/>
      <c r="AID213" s="1"/>
      <c r="AIE213" s="1"/>
      <c r="AIF213" s="1"/>
      <c r="AIG213" s="1"/>
      <c r="AIH213" s="1"/>
      <c r="AII213" s="1"/>
      <c r="AIJ213" s="1"/>
      <c r="AIK213" s="1"/>
      <c r="AIL213" s="1"/>
      <c r="AIM213" s="1"/>
      <c r="AIN213" s="1"/>
      <c r="AIO213" s="1"/>
      <c r="AIP213" s="1"/>
      <c r="AIQ213" s="1"/>
      <c r="AIR213" s="1"/>
      <c r="AIS213" s="1"/>
      <c r="AIT213" s="1"/>
      <c r="AIU213" s="1"/>
      <c r="AIV213" s="1"/>
      <c r="AIW213" s="1"/>
      <c r="AIX213" s="1"/>
      <c r="AIY213" s="1"/>
      <c r="AIZ213" s="1"/>
      <c r="AJA213" s="1"/>
      <c r="AJB213" s="1"/>
      <c r="AJC213" s="1"/>
      <c r="AJD213" s="1"/>
      <c r="AJE213" s="1"/>
      <c r="AJF213" s="1"/>
      <c r="AJG213" s="1"/>
      <c r="AJH213" s="1"/>
      <c r="AJI213" s="1"/>
      <c r="AJJ213" s="1"/>
      <c r="AJK213" s="1"/>
      <c r="AJL213" s="1"/>
      <c r="AJM213" s="1"/>
      <c r="AJN213" s="1"/>
      <c r="AJO213" s="1"/>
      <c r="AJP213" s="1"/>
      <c r="AJQ213" s="1"/>
      <c r="AJR213" s="1"/>
      <c r="AJS213" s="1"/>
      <c r="AJT213" s="1"/>
      <c r="AJU213" s="1"/>
      <c r="AJV213" s="1"/>
      <c r="AJW213" s="1"/>
      <c r="AJX213" s="1"/>
      <c r="AJY213" s="1"/>
      <c r="AJZ213" s="1"/>
      <c r="AKA213" s="1"/>
      <c r="AKB213" s="1"/>
      <c r="AKC213" s="1"/>
      <c r="AKD213" s="1"/>
      <c r="AKE213" s="1"/>
      <c r="AKF213" s="1"/>
      <c r="AKG213" s="1"/>
      <c r="AKH213" s="1"/>
      <c r="AKI213" s="1"/>
      <c r="AKJ213" s="1"/>
      <c r="AKK213" s="1"/>
      <c r="AKL213" s="1"/>
      <c r="AKM213" s="1"/>
      <c r="AKN213" s="1"/>
      <c r="AKO213" s="1"/>
      <c r="AKP213" s="1"/>
      <c r="AKQ213" s="1"/>
      <c r="AKR213" s="1"/>
      <c r="AKS213" s="1"/>
      <c r="AKT213" s="1"/>
      <c r="AKU213" s="1"/>
      <c r="AKV213" s="1"/>
      <c r="AKW213" s="1"/>
      <c r="AKX213" s="1"/>
      <c r="AKY213" s="1"/>
      <c r="AKZ213" s="1"/>
      <c r="ALA213" s="1"/>
      <c r="ALB213" s="1"/>
      <c r="ALC213" s="1"/>
      <c r="ALD213" s="1"/>
      <c r="ALE213" s="1"/>
      <c r="ALF213" s="1"/>
      <c r="ALG213" s="1"/>
      <c r="ALH213" s="1"/>
      <c r="ALI213" s="1"/>
      <c r="ALJ213" s="1"/>
      <c r="ALK213" s="1"/>
      <c r="ALL213" s="1"/>
      <c r="ALM213" s="1"/>
      <c r="ALN213" s="1"/>
      <c r="ALO213" s="1"/>
      <c r="ALP213" s="1"/>
      <c r="ALQ213" s="1"/>
      <c r="ALR213" s="1"/>
      <c r="ALS213" s="1"/>
      <c r="ALT213" s="1"/>
      <c r="ALU213" s="1"/>
      <c r="ALV213" s="1"/>
      <c r="ALW213" s="1"/>
      <c r="ALX213" s="1"/>
      <c r="ALY213" s="1"/>
      <c r="ALZ213" s="1"/>
      <c r="AMA213" s="1"/>
      <c r="AMB213" s="1"/>
      <c r="AMC213" s="1"/>
      <c r="AMD213" s="1"/>
      <c r="AME213" s="1"/>
      <c r="AMF213" s="1"/>
      <c r="AMG213" s="1"/>
      <c r="AMH213" s="1"/>
      <c r="AMI213" s="1"/>
      <c r="AMJ213" s="1"/>
      <c r="AMK213" s="1"/>
      <c r="AML213" s="1"/>
      <c r="AMM213" s="1"/>
      <c r="AMN213" s="1"/>
      <c r="AMO213" s="1"/>
      <c r="AMP213" s="1"/>
      <c r="AMQ213" s="1"/>
      <c r="AMR213" s="1"/>
      <c r="AMS213" s="1"/>
      <c r="AMT213" s="1"/>
      <c r="AMU213" s="1"/>
      <c r="AMV213" s="1"/>
      <c r="AMW213" s="1"/>
      <c r="AMX213" s="1"/>
      <c r="AMY213" s="1"/>
      <c r="AMZ213" s="1"/>
      <c r="ANA213" s="1"/>
      <c r="ANB213" s="1"/>
      <c r="ANC213" s="1"/>
      <c r="AND213" s="1"/>
      <c r="ANE213" s="1"/>
      <c r="ANF213" s="1"/>
      <c r="ANG213" s="1"/>
      <c r="ANH213" s="1"/>
      <c r="ANI213" s="1"/>
      <c r="ANJ213" s="1"/>
      <c r="ANK213" s="1"/>
      <c r="ANL213" s="1"/>
      <c r="ANM213" s="1"/>
      <c r="ANN213" s="1"/>
      <c r="ANO213" s="1"/>
      <c r="ANP213" s="1"/>
      <c r="ANQ213" s="1"/>
      <c r="ANR213" s="1"/>
      <c r="ANS213" s="1"/>
      <c r="ANT213" s="1"/>
      <c r="ANU213" s="1"/>
      <c r="ANV213" s="1"/>
      <c r="ANW213" s="1"/>
      <c r="ANX213" s="1"/>
      <c r="ANY213" s="1"/>
      <c r="ANZ213" s="1"/>
      <c r="AOA213" s="1"/>
      <c r="AOB213" s="1"/>
      <c r="AOC213" s="1"/>
      <c r="AOD213" s="1"/>
      <c r="AOE213" s="1"/>
      <c r="AOF213" s="1"/>
      <c r="AOG213" s="1"/>
      <c r="AOH213" s="1"/>
      <c r="AOI213" s="1"/>
      <c r="AOJ213" s="1"/>
      <c r="AOK213" s="1"/>
      <c r="AOL213" s="1"/>
      <c r="AOM213" s="1"/>
      <c r="AON213" s="1"/>
      <c r="AOO213" s="1"/>
      <c r="AOP213" s="1"/>
      <c r="AOQ213" s="1"/>
      <c r="AOR213" s="1"/>
      <c r="AOS213" s="1"/>
      <c r="AOT213" s="1"/>
      <c r="AOU213" s="1"/>
      <c r="AOV213" s="1"/>
      <c r="AOW213" s="1"/>
      <c r="AOX213" s="1"/>
      <c r="AOY213" s="1"/>
      <c r="AOZ213" s="1"/>
      <c r="APA213" s="1"/>
      <c r="APB213" s="1"/>
      <c r="APC213" s="1"/>
      <c r="APD213" s="1"/>
      <c r="APE213" s="1"/>
      <c r="APF213" s="1"/>
      <c r="APG213" s="1"/>
      <c r="APH213" s="1"/>
      <c r="API213" s="1"/>
      <c r="APJ213" s="1"/>
      <c r="APK213" s="1"/>
      <c r="APL213" s="1"/>
      <c r="APM213" s="1"/>
      <c r="APN213" s="1"/>
      <c r="APO213" s="1"/>
      <c r="APP213" s="1"/>
      <c r="APQ213" s="1"/>
      <c r="APR213" s="1"/>
      <c r="APS213" s="1"/>
      <c r="APT213" s="1"/>
      <c r="APU213" s="1"/>
      <c r="APV213" s="1"/>
      <c r="APW213" s="1"/>
      <c r="APX213" s="1"/>
      <c r="APY213" s="1"/>
      <c r="APZ213" s="1"/>
      <c r="AQA213" s="1"/>
      <c r="AQB213" s="1"/>
      <c r="AQC213" s="1"/>
      <c r="AQD213" s="1"/>
      <c r="AQE213" s="1"/>
      <c r="AQF213" s="1"/>
      <c r="AQG213" s="1"/>
      <c r="AQH213" s="1"/>
      <c r="AQI213" s="1"/>
      <c r="AQJ213" s="1"/>
      <c r="AQK213" s="1"/>
      <c r="AQL213" s="1"/>
      <c r="AQM213" s="1"/>
      <c r="AQN213" s="1"/>
      <c r="AQO213" s="1"/>
      <c r="AQP213" s="1"/>
      <c r="AQQ213" s="1"/>
      <c r="AQR213" s="1"/>
      <c r="AQS213" s="1"/>
      <c r="AQT213" s="1"/>
      <c r="AQU213" s="1"/>
      <c r="AQV213" s="1"/>
      <c r="AQW213" s="1"/>
      <c r="AQX213" s="1"/>
      <c r="AQY213" s="1"/>
      <c r="AQZ213" s="1"/>
      <c r="ARA213" s="1"/>
      <c r="ARB213" s="1"/>
      <c r="ARC213" s="1"/>
      <c r="ARD213" s="1"/>
      <c r="ARE213" s="1"/>
      <c r="ARF213" s="1"/>
      <c r="ARG213" s="1"/>
      <c r="ARH213" s="1"/>
      <c r="ARI213" s="1"/>
      <c r="ARJ213" s="1"/>
      <c r="ARK213" s="1"/>
      <c r="ARL213" s="1"/>
      <c r="ARM213" s="1"/>
      <c r="ARN213" s="1"/>
      <c r="ARO213" s="1"/>
      <c r="ARP213" s="1"/>
      <c r="ARQ213" s="1"/>
      <c r="ARR213" s="1"/>
      <c r="ARS213" s="1"/>
      <c r="ART213" s="1"/>
      <c r="ARU213" s="1"/>
      <c r="ARV213" s="1"/>
      <c r="ARW213" s="1"/>
      <c r="ARX213" s="1"/>
      <c r="ARY213" s="1"/>
      <c r="ARZ213" s="1"/>
      <c r="ASA213" s="1"/>
      <c r="ASB213" s="1"/>
      <c r="ASC213" s="1"/>
      <c r="ASD213" s="1"/>
      <c r="ASE213" s="1"/>
      <c r="ASF213" s="1"/>
      <c r="ASG213" s="1"/>
      <c r="ASH213" s="1"/>
      <c r="ASI213" s="1"/>
      <c r="ASJ213" s="1"/>
      <c r="ASK213" s="1"/>
      <c r="ASL213" s="1"/>
      <c r="ASM213" s="1"/>
      <c r="ASN213" s="1"/>
      <c r="ASO213" s="1"/>
      <c r="ASP213" s="1"/>
      <c r="ASQ213" s="1"/>
      <c r="ASR213" s="1"/>
      <c r="ASS213" s="1"/>
      <c r="AST213" s="1"/>
      <c r="ASU213" s="1"/>
      <c r="ASV213" s="1"/>
      <c r="ASW213" s="1"/>
      <c r="ASX213" s="1"/>
      <c r="ASY213" s="1"/>
      <c r="ASZ213" s="1"/>
      <c r="ATA213" s="1"/>
      <c r="ATB213" s="1"/>
      <c r="ATC213" s="1"/>
      <c r="ATD213" s="1"/>
      <c r="ATE213" s="1"/>
      <c r="ATF213" s="1"/>
      <c r="ATG213" s="1"/>
      <c r="ATH213" s="1"/>
      <c r="ATI213" s="1"/>
      <c r="ATJ213" s="1"/>
      <c r="ATK213" s="1"/>
      <c r="ATL213" s="1"/>
      <c r="ATM213" s="1"/>
      <c r="ATN213" s="1"/>
      <c r="ATO213" s="1"/>
      <c r="ATP213" s="1"/>
      <c r="ATQ213" s="1"/>
      <c r="ATR213" s="1"/>
      <c r="ATS213" s="1"/>
      <c r="ATT213" s="1"/>
      <c r="ATU213" s="1"/>
      <c r="ATV213" s="1"/>
      <c r="ATW213" s="1"/>
      <c r="ATX213" s="1"/>
      <c r="ATY213" s="1"/>
      <c r="ATZ213" s="1"/>
      <c r="AUA213" s="1"/>
      <c r="AUB213" s="1"/>
      <c r="AUC213" s="1"/>
      <c r="AUD213" s="1"/>
      <c r="AUE213" s="1"/>
      <c r="AUF213" s="1"/>
      <c r="AUG213" s="1"/>
      <c r="AUH213" s="1"/>
      <c r="AUI213" s="1"/>
      <c r="AUJ213" s="1"/>
      <c r="AUK213" s="1"/>
      <c r="AUL213" s="1"/>
      <c r="AUM213" s="1"/>
      <c r="AUN213" s="1"/>
      <c r="AUO213" s="1"/>
      <c r="AUP213" s="1"/>
      <c r="AUQ213" s="1"/>
      <c r="AUR213" s="1"/>
      <c r="AUS213" s="1"/>
      <c r="AUT213" s="1"/>
      <c r="AUU213" s="1"/>
      <c r="AUV213" s="1"/>
      <c r="AUW213" s="1"/>
      <c r="AUX213" s="1"/>
      <c r="AUY213" s="1"/>
      <c r="AUZ213" s="1"/>
      <c r="AVA213" s="1"/>
      <c r="AVB213" s="1"/>
      <c r="AVC213" s="1"/>
      <c r="AVD213" s="1"/>
      <c r="AVE213" s="1"/>
      <c r="AVF213" s="1"/>
      <c r="AVG213" s="1"/>
      <c r="AVH213" s="1"/>
      <c r="AVI213" s="1"/>
      <c r="AVJ213" s="1"/>
      <c r="AVK213" s="1"/>
      <c r="AVL213" s="1"/>
      <c r="AVM213" s="1"/>
      <c r="AVN213" s="1"/>
      <c r="AVO213" s="1"/>
      <c r="AVP213" s="1"/>
      <c r="AVQ213" s="1"/>
      <c r="AVR213" s="1"/>
      <c r="AVS213" s="1"/>
      <c r="AVT213" s="1"/>
      <c r="AVU213" s="1"/>
      <c r="AVV213" s="1"/>
      <c r="AVW213" s="1"/>
      <c r="AVX213" s="1"/>
      <c r="AVY213" s="1"/>
      <c r="AVZ213" s="1"/>
      <c r="AWA213" s="1"/>
      <c r="AWB213" s="1"/>
      <c r="AWC213" s="1"/>
      <c r="AWD213" s="1"/>
      <c r="AWE213" s="1"/>
      <c r="AWF213" s="1"/>
      <c r="AWG213" s="1"/>
      <c r="AWH213" s="1"/>
      <c r="AWI213" s="1"/>
      <c r="AWJ213" s="1"/>
      <c r="AWK213" s="1"/>
      <c r="AWL213" s="1"/>
      <c r="AWM213" s="1"/>
      <c r="AWN213" s="1"/>
      <c r="AWO213" s="1"/>
      <c r="AWP213" s="1"/>
      <c r="AWQ213" s="1"/>
      <c r="AWR213" s="1"/>
      <c r="AWS213" s="1"/>
      <c r="AWT213" s="1"/>
      <c r="AWU213" s="1"/>
      <c r="AWV213" s="1"/>
      <c r="AWW213" s="1"/>
      <c r="AWX213" s="1"/>
      <c r="AWY213" s="1"/>
      <c r="AWZ213" s="1"/>
      <c r="AXA213" s="1"/>
      <c r="AXB213" s="1"/>
      <c r="AXC213" s="1"/>
      <c r="AXD213" s="1"/>
      <c r="AXE213" s="1"/>
      <c r="AXF213" s="1"/>
      <c r="AXG213" s="1"/>
      <c r="AXH213" s="1"/>
      <c r="AXI213" s="1"/>
      <c r="AXJ213" s="1"/>
      <c r="AXK213" s="1"/>
      <c r="AXL213" s="1"/>
      <c r="AXM213" s="1"/>
      <c r="AXN213" s="1"/>
      <c r="AXO213" s="1"/>
      <c r="AXP213" s="1"/>
      <c r="AXQ213" s="1"/>
      <c r="AXR213" s="1"/>
      <c r="AXS213" s="1"/>
      <c r="AXT213" s="1"/>
      <c r="AXU213" s="1"/>
      <c r="AXV213" s="1"/>
      <c r="AXW213" s="1"/>
      <c r="AXX213" s="1"/>
      <c r="AXY213" s="1"/>
      <c r="AXZ213" s="1"/>
      <c r="AYA213" s="1"/>
      <c r="AYB213" s="1"/>
      <c r="AYC213" s="1"/>
      <c r="AYD213" s="1"/>
      <c r="AYE213" s="1"/>
      <c r="AYF213" s="1"/>
      <c r="AYG213" s="1"/>
      <c r="AYH213" s="1"/>
      <c r="AYI213" s="1"/>
      <c r="AYJ213" s="1"/>
      <c r="AYK213" s="1"/>
      <c r="AYL213" s="1"/>
      <c r="AYM213" s="1"/>
      <c r="AYN213" s="1"/>
      <c r="AYO213" s="1"/>
      <c r="AYP213" s="1"/>
      <c r="AYQ213" s="1"/>
      <c r="AYR213" s="1"/>
      <c r="AYS213" s="1"/>
      <c r="AYT213" s="1"/>
      <c r="AYU213" s="1"/>
      <c r="AYV213" s="1"/>
      <c r="AYW213" s="1"/>
      <c r="AYX213" s="1"/>
      <c r="AYY213" s="1"/>
      <c r="AYZ213" s="1"/>
      <c r="AZA213" s="1"/>
      <c r="AZB213" s="1"/>
      <c r="AZC213" s="1"/>
      <c r="AZD213" s="1"/>
      <c r="AZE213" s="1"/>
      <c r="AZF213" s="1"/>
      <c r="AZG213" s="1"/>
      <c r="AZH213" s="1"/>
      <c r="AZI213" s="1"/>
      <c r="AZJ213" s="1"/>
      <c r="AZK213" s="1"/>
      <c r="AZL213" s="1"/>
      <c r="AZM213" s="1"/>
      <c r="AZN213" s="1"/>
      <c r="AZO213" s="1"/>
      <c r="AZP213" s="1"/>
      <c r="AZQ213" s="1"/>
      <c r="AZR213" s="1"/>
      <c r="AZS213" s="1"/>
      <c r="AZT213" s="1"/>
      <c r="AZU213" s="1"/>
      <c r="AZV213" s="1"/>
      <c r="AZW213" s="1"/>
      <c r="AZX213" s="1"/>
      <c r="AZY213" s="1"/>
      <c r="AZZ213" s="1"/>
      <c r="BAA213" s="1"/>
      <c r="BAB213" s="1"/>
      <c r="BAC213" s="1"/>
      <c r="BAD213" s="1"/>
      <c r="BAE213" s="1"/>
      <c r="BAF213" s="1"/>
      <c r="BAG213" s="1"/>
      <c r="BAH213" s="1"/>
      <c r="BAI213" s="1"/>
      <c r="BAJ213" s="1"/>
      <c r="BAK213" s="1"/>
      <c r="BAL213" s="1"/>
      <c r="BAM213" s="1"/>
      <c r="BAN213" s="1"/>
      <c r="BAO213" s="1"/>
      <c r="BAP213" s="1"/>
      <c r="BAQ213" s="1"/>
      <c r="BAR213" s="1"/>
      <c r="BAS213" s="1"/>
      <c r="BAT213" s="1"/>
      <c r="BAU213" s="1"/>
      <c r="BAV213" s="1"/>
      <c r="BAW213" s="1"/>
      <c r="BAX213" s="1"/>
      <c r="BAY213" s="1"/>
      <c r="BAZ213" s="1"/>
      <c r="BBA213" s="1"/>
      <c r="BBB213" s="1"/>
      <c r="BBC213" s="1"/>
      <c r="BBD213" s="1"/>
      <c r="BBE213" s="1"/>
      <c r="BBF213" s="1"/>
      <c r="BBG213" s="1"/>
      <c r="BBH213" s="1"/>
      <c r="BBI213" s="1"/>
      <c r="BBJ213" s="1"/>
      <c r="BBK213" s="1"/>
      <c r="BBL213" s="1"/>
      <c r="BBM213" s="1"/>
      <c r="BBN213" s="1"/>
      <c r="BBO213" s="1"/>
      <c r="BBP213" s="1"/>
      <c r="BBQ213" s="1"/>
      <c r="BBR213" s="1"/>
      <c r="BBS213" s="1"/>
      <c r="BBT213" s="1"/>
      <c r="BBU213" s="1"/>
      <c r="BBV213" s="1"/>
      <c r="BBW213" s="1"/>
      <c r="BBX213" s="1"/>
      <c r="BBY213" s="1"/>
      <c r="BBZ213" s="1"/>
      <c r="BCA213" s="1"/>
      <c r="BCB213" s="1"/>
      <c r="BCC213" s="1"/>
      <c r="BCD213" s="1"/>
      <c r="BCE213" s="1"/>
      <c r="BCF213" s="1"/>
      <c r="BCG213" s="1"/>
      <c r="BCH213" s="1"/>
      <c r="BCI213" s="1"/>
      <c r="BCJ213" s="1"/>
      <c r="BCK213" s="1"/>
      <c r="BCL213" s="1"/>
      <c r="BCM213" s="1"/>
      <c r="BCN213" s="1"/>
      <c r="BCO213" s="1"/>
      <c r="BCP213" s="1"/>
      <c r="BCQ213" s="1"/>
      <c r="BCR213" s="1"/>
      <c r="BCS213" s="1"/>
      <c r="BCT213" s="1"/>
      <c r="BCU213" s="1"/>
      <c r="BCV213" s="1"/>
      <c r="BCW213" s="1"/>
      <c r="BCX213" s="1"/>
      <c r="BCY213" s="1"/>
      <c r="BCZ213" s="1"/>
      <c r="BDA213" s="1"/>
      <c r="BDB213" s="1"/>
      <c r="BDC213" s="1"/>
      <c r="BDD213" s="1"/>
      <c r="BDE213" s="1"/>
      <c r="BDF213" s="1"/>
      <c r="BDG213" s="1"/>
      <c r="BDH213" s="1"/>
      <c r="BDI213" s="1"/>
      <c r="BDJ213" s="1"/>
      <c r="BDK213" s="1"/>
      <c r="BDL213" s="1"/>
      <c r="BDM213" s="1"/>
      <c r="BDN213" s="1"/>
      <c r="BDO213" s="1"/>
      <c r="BDP213" s="1"/>
      <c r="BDQ213" s="1"/>
      <c r="BDR213" s="1"/>
      <c r="BDS213" s="1"/>
      <c r="BDT213" s="1"/>
      <c r="BDU213" s="1"/>
      <c r="BDV213" s="1"/>
      <c r="BDW213" s="1"/>
      <c r="BDX213" s="1"/>
      <c r="BDY213" s="1"/>
      <c r="BDZ213" s="1"/>
      <c r="BEA213" s="1"/>
      <c r="BEB213" s="1"/>
      <c r="BEC213" s="1"/>
      <c r="BED213" s="1"/>
      <c r="BEE213" s="1"/>
      <c r="BEF213" s="1"/>
      <c r="BEG213" s="1"/>
      <c r="BEH213" s="1"/>
      <c r="BEI213" s="1"/>
      <c r="BEJ213" s="1"/>
      <c r="BEK213" s="1"/>
      <c r="BEL213" s="1"/>
      <c r="BEM213" s="1"/>
      <c r="BEN213" s="1"/>
      <c r="BEO213" s="1"/>
      <c r="BEP213" s="1"/>
      <c r="BEQ213" s="1"/>
      <c r="BER213" s="1"/>
      <c r="BES213" s="1"/>
      <c r="BET213" s="1"/>
      <c r="BEU213" s="1"/>
      <c r="BEV213" s="1"/>
      <c r="BEW213" s="1"/>
      <c r="BEX213" s="1"/>
      <c r="BEY213" s="1"/>
      <c r="BEZ213" s="1"/>
      <c r="BFA213" s="1"/>
      <c r="BFB213" s="1"/>
      <c r="BFC213" s="1"/>
      <c r="BFD213" s="1"/>
      <c r="BFE213" s="1"/>
      <c r="BFF213" s="1"/>
      <c r="BFG213" s="1"/>
      <c r="BFH213" s="1"/>
      <c r="BFI213" s="1"/>
      <c r="BFJ213" s="1"/>
      <c r="BFK213" s="1"/>
      <c r="BFL213" s="1"/>
      <c r="BFM213" s="1"/>
      <c r="BFN213" s="1"/>
      <c r="BFO213" s="1"/>
      <c r="BFP213" s="1"/>
      <c r="BFQ213" s="1"/>
      <c r="BFR213" s="1"/>
      <c r="BFS213" s="1"/>
      <c r="BFT213" s="1"/>
      <c r="BFU213" s="1"/>
      <c r="BFV213" s="1"/>
      <c r="BFW213" s="1"/>
      <c r="BFX213" s="1"/>
      <c r="BFY213" s="1"/>
      <c r="BFZ213" s="1"/>
      <c r="BGA213" s="1"/>
      <c r="BGB213" s="1"/>
      <c r="BGC213" s="1"/>
      <c r="BGD213" s="1"/>
      <c r="BGE213" s="1"/>
      <c r="BGF213" s="1"/>
      <c r="BGG213" s="1"/>
      <c r="BGH213" s="1"/>
      <c r="BGI213" s="1"/>
      <c r="BGJ213" s="1"/>
      <c r="BGK213" s="1"/>
      <c r="BGL213" s="1"/>
      <c r="BGM213" s="1"/>
      <c r="BGN213" s="1"/>
      <c r="BGO213" s="1"/>
      <c r="BGP213" s="1"/>
      <c r="BGQ213" s="1"/>
      <c r="BGR213" s="1"/>
      <c r="BGS213" s="1"/>
      <c r="BGT213" s="1"/>
      <c r="BGU213" s="1"/>
      <c r="BGV213" s="1"/>
      <c r="BGW213" s="1"/>
      <c r="BGX213" s="1"/>
      <c r="BGY213" s="1"/>
      <c r="BGZ213" s="1"/>
      <c r="BHA213" s="1"/>
      <c r="BHB213" s="1"/>
      <c r="BHC213" s="1"/>
      <c r="BHD213" s="1"/>
      <c r="BHE213" s="1"/>
      <c r="BHF213" s="1"/>
      <c r="BHG213" s="1"/>
      <c r="BHH213" s="1"/>
      <c r="BHI213" s="1"/>
      <c r="BHJ213" s="1"/>
      <c r="BHK213" s="1"/>
      <c r="BHL213" s="1"/>
      <c r="BHM213" s="1"/>
      <c r="BHN213" s="1"/>
      <c r="BHO213" s="1"/>
      <c r="BHP213" s="1"/>
      <c r="BHQ213" s="1"/>
      <c r="BHR213" s="1"/>
      <c r="BHS213" s="1"/>
      <c r="BHT213" s="1"/>
      <c r="BHU213" s="1"/>
      <c r="BHV213" s="1"/>
      <c r="BHW213" s="1"/>
      <c r="BHX213" s="1"/>
      <c r="BHY213" s="1"/>
      <c r="BHZ213" s="1"/>
      <c r="BIA213" s="1"/>
      <c r="BIB213" s="1"/>
      <c r="BIC213" s="1"/>
      <c r="BID213" s="1"/>
      <c r="BIE213" s="1"/>
      <c r="BIF213" s="1"/>
      <c r="BIG213" s="1"/>
      <c r="BIH213" s="1"/>
      <c r="BII213" s="1"/>
      <c r="BIJ213" s="1"/>
      <c r="BIK213" s="1"/>
      <c r="BIL213" s="1"/>
      <c r="BIM213" s="1"/>
      <c r="BIN213" s="1"/>
      <c r="BIO213" s="1"/>
      <c r="BIP213" s="1"/>
      <c r="BIQ213" s="1"/>
      <c r="BIR213" s="1"/>
      <c r="BIS213" s="1"/>
      <c r="BIT213" s="1"/>
      <c r="BIU213" s="1"/>
      <c r="BIV213" s="1"/>
      <c r="BIW213" s="1"/>
      <c r="BIX213" s="1"/>
      <c r="BIY213" s="1"/>
      <c r="BIZ213" s="1"/>
      <c r="BJA213" s="1"/>
      <c r="BJB213" s="1"/>
      <c r="BJC213" s="1"/>
      <c r="BJD213" s="1"/>
      <c r="BJE213" s="1"/>
      <c r="BJF213" s="1"/>
      <c r="BJG213" s="1"/>
      <c r="BJH213" s="1"/>
      <c r="BJI213" s="1"/>
      <c r="BJJ213" s="1"/>
      <c r="BJK213" s="1"/>
      <c r="BJL213" s="1"/>
      <c r="BJM213" s="1"/>
      <c r="BJN213" s="1"/>
      <c r="BJO213" s="1"/>
      <c r="BJP213" s="1"/>
      <c r="BJQ213" s="1"/>
      <c r="BJR213" s="1"/>
      <c r="BJS213" s="1"/>
      <c r="BJT213" s="1"/>
      <c r="BJU213" s="1"/>
      <c r="BJV213" s="1"/>
      <c r="BJW213" s="1"/>
      <c r="BJX213" s="1"/>
      <c r="BJY213" s="1"/>
      <c r="BJZ213" s="1"/>
      <c r="BKA213" s="1"/>
      <c r="BKB213" s="1"/>
      <c r="BKC213" s="1"/>
      <c r="BKD213" s="1"/>
      <c r="BKE213" s="1"/>
      <c r="BKF213" s="1"/>
      <c r="BKG213" s="1"/>
      <c r="BKH213" s="1"/>
      <c r="BKI213" s="1"/>
      <c r="BKJ213" s="1"/>
      <c r="BKK213" s="1"/>
      <c r="BKL213" s="1"/>
      <c r="BKM213" s="1"/>
      <c r="BKN213" s="1"/>
      <c r="BKO213" s="1"/>
      <c r="BKP213" s="1"/>
      <c r="BKQ213" s="1"/>
      <c r="BKR213" s="1"/>
      <c r="BKS213" s="1"/>
      <c r="BKT213" s="1"/>
      <c r="BKU213" s="1"/>
      <c r="BKV213" s="1"/>
      <c r="BKW213" s="1"/>
      <c r="BKX213" s="1"/>
      <c r="BKY213" s="1"/>
      <c r="BKZ213" s="1"/>
      <c r="BLA213" s="1"/>
      <c r="BLB213" s="1"/>
      <c r="BLC213" s="1"/>
      <c r="BLD213" s="1"/>
      <c r="BLE213" s="1"/>
      <c r="BLF213" s="1"/>
      <c r="BLG213" s="1"/>
      <c r="BLH213" s="1"/>
      <c r="BLI213" s="1"/>
      <c r="BLJ213" s="1"/>
      <c r="BLK213" s="1"/>
      <c r="BLL213" s="1"/>
      <c r="BLM213" s="1"/>
      <c r="BLN213" s="1"/>
      <c r="BLO213" s="1"/>
      <c r="BLP213" s="1"/>
      <c r="BLQ213" s="1"/>
      <c r="BLR213" s="1"/>
      <c r="BLS213" s="1"/>
      <c r="BLT213" s="1"/>
      <c r="BLU213" s="1"/>
      <c r="BLV213" s="1"/>
      <c r="BLW213" s="1"/>
      <c r="BLX213" s="1"/>
      <c r="BLY213" s="1"/>
      <c r="BLZ213" s="1"/>
      <c r="BMA213" s="1"/>
      <c r="BMB213" s="1"/>
      <c r="BMC213" s="1"/>
      <c r="BMD213" s="1"/>
      <c r="BME213" s="1"/>
      <c r="BMF213" s="1"/>
      <c r="BMG213" s="1"/>
      <c r="BMH213" s="1"/>
      <c r="BMI213" s="1"/>
      <c r="BMJ213" s="1"/>
      <c r="BMK213" s="1"/>
      <c r="BML213" s="1"/>
      <c r="BMM213" s="1"/>
      <c r="BMN213" s="1"/>
      <c r="BMO213" s="1"/>
      <c r="BMP213" s="1"/>
      <c r="BMQ213" s="1"/>
      <c r="BMR213" s="1"/>
      <c r="BMS213" s="1"/>
      <c r="BMT213" s="1"/>
      <c r="BMU213" s="1"/>
      <c r="BMV213" s="1"/>
      <c r="BMW213" s="1"/>
      <c r="BMX213" s="1"/>
      <c r="BMY213" s="1"/>
      <c r="BMZ213" s="1"/>
      <c r="BNA213" s="1"/>
      <c r="BNB213" s="1"/>
      <c r="BNC213" s="1"/>
      <c r="BND213" s="1"/>
      <c r="BNE213" s="1"/>
      <c r="BNF213" s="1"/>
      <c r="BNG213" s="1"/>
      <c r="BNH213" s="1"/>
      <c r="BNI213" s="1"/>
      <c r="BNJ213" s="1"/>
      <c r="BNK213" s="1"/>
      <c r="BNL213" s="1"/>
      <c r="BNM213" s="1"/>
      <c r="BNN213" s="1"/>
      <c r="BNO213" s="1"/>
      <c r="BNP213" s="1"/>
      <c r="BNQ213" s="1"/>
      <c r="BNR213" s="1"/>
      <c r="BNS213" s="1"/>
      <c r="BNT213" s="1"/>
      <c r="BNU213" s="1"/>
      <c r="BNV213" s="1"/>
      <c r="BNW213" s="1"/>
      <c r="BNX213" s="1"/>
      <c r="BNY213" s="1"/>
      <c r="BNZ213" s="1"/>
      <c r="BOA213" s="1"/>
      <c r="BOB213" s="1"/>
      <c r="BOC213" s="1"/>
      <c r="BOD213" s="1"/>
      <c r="BOE213" s="1"/>
      <c r="BOF213" s="1"/>
      <c r="BOG213" s="1"/>
      <c r="BOH213" s="1"/>
      <c r="BOI213" s="1"/>
      <c r="BOJ213" s="1"/>
      <c r="BOK213" s="1"/>
      <c r="BOL213" s="1"/>
      <c r="BOM213" s="1"/>
      <c r="BON213" s="1"/>
      <c r="BOO213" s="1"/>
      <c r="BOP213" s="1"/>
      <c r="BOQ213" s="1"/>
      <c r="BOR213" s="1"/>
      <c r="BOS213" s="1"/>
      <c r="BOT213" s="1"/>
      <c r="BOU213" s="1"/>
      <c r="BOV213" s="1"/>
      <c r="BOW213" s="1"/>
      <c r="BOX213" s="1"/>
      <c r="BOY213" s="1"/>
      <c r="BOZ213" s="1"/>
      <c r="BPA213" s="1"/>
      <c r="BPB213" s="1"/>
      <c r="BPC213" s="1"/>
      <c r="BPD213" s="1"/>
      <c r="BPE213" s="1"/>
      <c r="BPF213" s="1"/>
      <c r="BPG213" s="1"/>
      <c r="BPH213" s="1"/>
      <c r="BPI213" s="1"/>
      <c r="BPJ213" s="1"/>
      <c r="BPK213" s="1"/>
      <c r="BPL213" s="1"/>
      <c r="BPM213" s="1"/>
      <c r="BPN213" s="1"/>
      <c r="BPO213" s="1"/>
      <c r="BPP213" s="1"/>
      <c r="BPQ213" s="1"/>
      <c r="BPR213" s="1"/>
      <c r="BPS213" s="1"/>
      <c r="BPT213" s="1"/>
      <c r="BPU213" s="1"/>
      <c r="BPV213" s="1"/>
      <c r="BPW213" s="1"/>
      <c r="BPX213" s="1"/>
      <c r="BPY213" s="1"/>
      <c r="BPZ213" s="1"/>
      <c r="BQA213" s="1"/>
      <c r="BQB213" s="1"/>
      <c r="BQC213" s="1"/>
      <c r="BQD213" s="1"/>
      <c r="BQE213" s="1"/>
      <c r="BQF213" s="1"/>
      <c r="BQG213" s="1"/>
      <c r="BQH213" s="1"/>
      <c r="BQI213" s="1"/>
      <c r="BQJ213" s="1"/>
      <c r="BQK213" s="1"/>
      <c r="BQL213" s="1"/>
      <c r="BQM213" s="1"/>
      <c r="BQN213" s="1"/>
      <c r="BQO213" s="1"/>
      <c r="BQP213" s="1"/>
      <c r="BQQ213" s="1"/>
      <c r="BQR213" s="1"/>
      <c r="BQS213" s="1"/>
      <c r="BQT213" s="1"/>
      <c r="BQU213" s="1"/>
      <c r="BQV213" s="1"/>
      <c r="BQW213" s="1"/>
      <c r="BQX213" s="1"/>
      <c r="BQY213" s="1"/>
      <c r="BQZ213" s="1"/>
      <c r="BRA213" s="1"/>
      <c r="BRB213" s="1"/>
      <c r="BRC213" s="1"/>
      <c r="BRD213" s="1"/>
      <c r="BRE213" s="1"/>
      <c r="BRF213" s="1"/>
      <c r="BRG213" s="1"/>
      <c r="BRH213" s="1"/>
      <c r="BRI213" s="1"/>
      <c r="BRJ213" s="1"/>
      <c r="BRK213" s="1"/>
      <c r="BRL213" s="1"/>
      <c r="BRM213" s="1"/>
      <c r="BRN213" s="1"/>
      <c r="BRO213" s="1"/>
      <c r="BRP213" s="1"/>
      <c r="BRQ213" s="1"/>
      <c r="BRR213" s="1"/>
      <c r="BRS213" s="1"/>
      <c r="BRT213" s="1"/>
      <c r="BRU213" s="1"/>
      <c r="BRV213" s="1"/>
      <c r="BRW213" s="1"/>
      <c r="BRX213" s="1"/>
      <c r="BRY213" s="1"/>
      <c r="BRZ213" s="1"/>
      <c r="BSA213" s="1"/>
      <c r="BSB213" s="1"/>
      <c r="BSC213" s="1"/>
      <c r="BSD213" s="1"/>
      <c r="BSE213" s="1"/>
      <c r="BSF213" s="1"/>
      <c r="BSG213" s="1"/>
      <c r="BSH213" s="1"/>
      <c r="BSI213" s="1"/>
      <c r="BSJ213" s="1"/>
      <c r="BSK213" s="1"/>
      <c r="BSL213" s="1"/>
      <c r="BSM213" s="1"/>
      <c r="BSN213" s="1"/>
      <c r="BSO213" s="1"/>
      <c r="BSP213" s="1"/>
      <c r="BSQ213" s="1"/>
      <c r="BSR213" s="1"/>
      <c r="BSS213" s="1"/>
      <c r="BST213" s="1"/>
      <c r="BSU213" s="1"/>
      <c r="BSV213" s="1"/>
      <c r="BSW213" s="1"/>
      <c r="BSX213" s="1"/>
      <c r="BSY213" s="1"/>
      <c r="BSZ213" s="1"/>
      <c r="BTA213" s="1"/>
      <c r="BTB213" s="1"/>
      <c r="BTC213" s="1"/>
      <c r="BTD213" s="1"/>
      <c r="BTE213" s="1"/>
      <c r="BTF213" s="1"/>
      <c r="BTG213" s="1"/>
      <c r="BTH213" s="1"/>
      <c r="BTI213" s="1"/>
      <c r="BTJ213" s="1"/>
      <c r="BTK213" s="1"/>
      <c r="BTL213" s="1"/>
      <c r="BTM213" s="1"/>
      <c r="BTN213" s="1"/>
      <c r="BTO213" s="1"/>
      <c r="BTP213" s="1"/>
      <c r="BTQ213" s="1"/>
      <c r="BTR213" s="1"/>
      <c r="BTS213" s="1"/>
      <c r="BTT213" s="1"/>
      <c r="BTU213" s="1"/>
      <c r="BTV213" s="1"/>
      <c r="BTW213" s="1"/>
      <c r="BTX213" s="1"/>
      <c r="BTY213" s="1"/>
      <c r="BTZ213" s="1"/>
      <c r="BUA213" s="1"/>
      <c r="BUB213" s="1"/>
      <c r="BUC213" s="1"/>
      <c r="BUD213" s="1"/>
      <c r="BUE213" s="1"/>
      <c r="BUF213" s="1"/>
      <c r="BUG213" s="1"/>
      <c r="BUH213" s="1"/>
      <c r="BUI213" s="1"/>
      <c r="BUJ213" s="1"/>
      <c r="BUK213" s="1"/>
      <c r="BUL213" s="1"/>
      <c r="BUM213" s="1"/>
      <c r="BUN213" s="1"/>
      <c r="BUO213" s="1"/>
      <c r="BUP213" s="1"/>
      <c r="BUQ213" s="1"/>
      <c r="BUR213" s="1"/>
      <c r="BUS213" s="1"/>
      <c r="BUT213" s="1"/>
      <c r="BUU213" s="1"/>
      <c r="BUV213" s="1"/>
      <c r="BUW213" s="1"/>
      <c r="BUX213" s="1"/>
      <c r="BUY213" s="1"/>
      <c r="BUZ213" s="1"/>
      <c r="BVA213" s="1"/>
      <c r="BVB213" s="1"/>
      <c r="BVC213" s="1"/>
      <c r="BVD213" s="1"/>
      <c r="BVE213" s="1"/>
      <c r="BVF213" s="1"/>
      <c r="BVG213" s="1"/>
      <c r="BVH213" s="1"/>
      <c r="BVI213" s="1"/>
      <c r="BVJ213" s="1"/>
      <c r="BVK213" s="1"/>
      <c r="BVL213" s="1"/>
      <c r="BVM213" s="1"/>
      <c r="BVN213" s="1"/>
      <c r="BVO213" s="1"/>
      <c r="BVP213" s="1"/>
      <c r="BVQ213" s="1"/>
      <c r="BVR213" s="1"/>
      <c r="BVS213" s="1"/>
      <c r="BVT213" s="1"/>
      <c r="BVU213" s="1"/>
      <c r="BVV213" s="1"/>
      <c r="BVW213" s="1"/>
      <c r="BVX213" s="1"/>
      <c r="BVY213" s="1"/>
      <c r="BVZ213" s="1"/>
      <c r="BWA213" s="1"/>
      <c r="BWB213" s="1"/>
      <c r="BWC213" s="1"/>
      <c r="BWD213" s="1"/>
      <c r="BWE213" s="1"/>
      <c r="BWF213" s="1"/>
      <c r="BWG213" s="1"/>
      <c r="BWH213" s="1"/>
      <c r="BWI213" s="1"/>
      <c r="BWJ213" s="1"/>
      <c r="BWK213" s="1"/>
      <c r="BWL213" s="1"/>
      <c r="BWM213" s="1"/>
      <c r="BWN213" s="1"/>
      <c r="BWO213" s="1"/>
      <c r="BWP213" s="1"/>
      <c r="BWQ213" s="1"/>
      <c r="BWR213" s="1"/>
      <c r="BWS213" s="1"/>
      <c r="BWT213" s="1"/>
      <c r="BWU213" s="1"/>
      <c r="BWV213" s="1"/>
      <c r="BWW213" s="1"/>
      <c r="BWX213" s="1"/>
      <c r="BWY213" s="1"/>
      <c r="BWZ213" s="1"/>
      <c r="BXA213" s="1"/>
      <c r="BXB213" s="1"/>
      <c r="BXC213" s="1"/>
      <c r="BXD213" s="1"/>
      <c r="BXE213" s="1"/>
      <c r="BXF213" s="1"/>
      <c r="BXG213" s="1"/>
      <c r="BXH213" s="1"/>
      <c r="BXI213" s="1"/>
      <c r="BXJ213" s="1"/>
      <c r="BXK213" s="1"/>
      <c r="BXL213" s="1"/>
      <c r="BXM213" s="1"/>
      <c r="BXN213" s="1"/>
      <c r="BXO213" s="1"/>
      <c r="BXP213" s="1"/>
      <c r="BXQ213" s="1"/>
      <c r="BXR213" s="1"/>
      <c r="BXS213" s="1"/>
      <c r="BXT213" s="1"/>
      <c r="BXU213" s="1"/>
      <c r="BXV213" s="1"/>
      <c r="BXW213" s="1"/>
      <c r="BXX213" s="1"/>
      <c r="BXY213" s="1"/>
      <c r="BXZ213" s="1"/>
      <c r="BYA213" s="1"/>
      <c r="BYB213" s="1"/>
      <c r="BYC213" s="1"/>
      <c r="BYD213" s="1"/>
      <c r="BYE213" s="1"/>
      <c r="BYF213" s="1"/>
      <c r="BYG213" s="1"/>
      <c r="BYH213" s="1"/>
      <c r="BYI213" s="1"/>
      <c r="BYJ213" s="1"/>
      <c r="BYK213" s="1"/>
      <c r="BYL213" s="1"/>
      <c r="BYM213" s="1"/>
      <c r="BYN213" s="1"/>
      <c r="BYO213" s="1"/>
      <c r="BYP213" s="1"/>
      <c r="BYQ213" s="1"/>
      <c r="BYR213" s="1"/>
      <c r="BYS213" s="1"/>
      <c r="BYT213" s="1"/>
      <c r="BYU213" s="1"/>
      <c r="BYV213" s="1"/>
      <c r="BYW213" s="1"/>
      <c r="BYX213" s="1"/>
      <c r="BYY213" s="1"/>
      <c r="BYZ213" s="1"/>
      <c r="BZA213" s="1"/>
      <c r="BZB213" s="1"/>
      <c r="BZC213" s="1"/>
      <c r="BZD213" s="1"/>
      <c r="BZE213" s="1"/>
      <c r="BZF213" s="1"/>
      <c r="BZG213" s="1"/>
      <c r="BZH213" s="1"/>
      <c r="BZI213" s="1"/>
      <c r="BZJ213" s="1"/>
      <c r="BZK213" s="1"/>
      <c r="BZL213" s="1"/>
      <c r="BZM213" s="1"/>
      <c r="BZN213" s="1"/>
      <c r="BZO213" s="1"/>
      <c r="BZP213" s="1"/>
      <c r="BZQ213" s="1"/>
      <c r="BZR213" s="1"/>
      <c r="BZS213" s="1"/>
      <c r="BZT213" s="1"/>
      <c r="BZU213" s="1"/>
      <c r="BZV213" s="1"/>
      <c r="BZW213" s="1"/>
      <c r="BZX213" s="1"/>
      <c r="BZY213" s="1"/>
      <c r="BZZ213" s="1"/>
      <c r="CAA213" s="1"/>
      <c r="CAB213" s="1"/>
      <c r="CAC213" s="1"/>
      <c r="CAD213" s="1"/>
      <c r="CAE213" s="1"/>
      <c r="CAF213" s="1"/>
      <c r="CAG213" s="1"/>
      <c r="CAH213" s="1"/>
      <c r="CAI213" s="1"/>
      <c r="CAJ213" s="1"/>
      <c r="CAK213" s="1"/>
      <c r="CAL213" s="1"/>
      <c r="CAM213" s="1"/>
      <c r="CAN213" s="1"/>
      <c r="CAO213" s="1"/>
      <c r="CAP213" s="1"/>
      <c r="CAQ213" s="1"/>
      <c r="CAR213" s="1"/>
      <c r="CAS213" s="1"/>
      <c r="CAT213" s="1"/>
      <c r="CAU213" s="1"/>
      <c r="CAV213" s="1"/>
      <c r="CAW213" s="1"/>
      <c r="CAX213" s="1"/>
      <c r="CAY213" s="1"/>
      <c r="CAZ213" s="1"/>
      <c r="CBA213" s="1"/>
      <c r="CBB213" s="1"/>
      <c r="CBC213" s="1"/>
      <c r="CBD213" s="1"/>
      <c r="CBE213" s="1"/>
      <c r="CBF213" s="1"/>
      <c r="CBG213" s="1"/>
      <c r="CBH213" s="1"/>
      <c r="CBI213" s="1"/>
      <c r="CBJ213" s="1"/>
      <c r="CBK213" s="1"/>
      <c r="CBL213" s="1"/>
      <c r="CBM213" s="1"/>
      <c r="CBN213" s="1"/>
      <c r="CBO213" s="1"/>
      <c r="CBP213" s="1"/>
      <c r="CBQ213" s="1"/>
      <c r="CBR213" s="1"/>
      <c r="CBS213" s="1"/>
      <c r="CBT213" s="1"/>
      <c r="CBU213" s="1"/>
      <c r="CBV213" s="1"/>
      <c r="CBW213" s="1"/>
      <c r="CBX213" s="1"/>
      <c r="CBY213" s="1"/>
      <c r="CBZ213" s="1"/>
      <c r="CCA213" s="1"/>
      <c r="CCB213" s="1"/>
      <c r="CCC213" s="1"/>
      <c r="CCD213" s="1"/>
      <c r="CCE213" s="1"/>
      <c r="CCF213" s="1"/>
      <c r="CCG213" s="1"/>
      <c r="CCH213" s="1"/>
      <c r="CCI213" s="1"/>
      <c r="CCJ213" s="1"/>
      <c r="CCK213" s="1"/>
      <c r="CCL213" s="1"/>
      <c r="CCM213" s="1"/>
      <c r="CCN213" s="1"/>
      <c r="CCO213" s="1"/>
      <c r="CCP213" s="1"/>
      <c r="CCQ213" s="1"/>
      <c r="CCR213" s="1"/>
      <c r="CCS213" s="1"/>
      <c r="CCT213" s="1"/>
      <c r="CCU213" s="1"/>
      <c r="CCV213" s="1"/>
      <c r="CCW213" s="1"/>
      <c r="CCX213" s="1"/>
      <c r="CCY213" s="1"/>
      <c r="CCZ213" s="1"/>
      <c r="CDA213" s="1"/>
      <c r="CDB213" s="1"/>
      <c r="CDC213" s="1"/>
      <c r="CDD213" s="1"/>
      <c r="CDE213" s="1"/>
      <c r="CDF213" s="1"/>
      <c r="CDG213" s="1"/>
      <c r="CDH213" s="1"/>
      <c r="CDI213" s="1"/>
      <c r="CDJ213" s="1"/>
      <c r="CDK213" s="1"/>
      <c r="CDL213" s="1"/>
      <c r="CDM213" s="1"/>
      <c r="CDN213" s="1"/>
      <c r="CDO213" s="1"/>
      <c r="CDP213" s="1"/>
      <c r="CDQ213" s="1"/>
      <c r="CDR213" s="1"/>
      <c r="CDS213" s="1"/>
      <c r="CDT213" s="1"/>
      <c r="CDU213" s="1"/>
      <c r="CDV213" s="1"/>
      <c r="CDW213" s="1"/>
      <c r="CDX213" s="1"/>
      <c r="CDY213" s="1"/>
      <c r="CDZ213" s="1"/>
      <c r="CEA213" s="1"/>
      <c r="CEB213" s="1"/>
      <c r="CEC213" s="1"/>
      <c r="CED213" s="1"/>
      <c r="CEE213" s="1"/>
      <c r="CEF213" s="1"/>
      <c r="CEG213" s="1"/>
      <c r="CEH213" s="1"/>
      <c r="CEI213" s="1"/>
      <c r="CEJ213" s="1"/>
      <c r="CEK213" s="1"/>
      <c r="CEL213" s="1"/>
      <c r="CEM213" s="1"/>
      <c r="CEN213" s="1"/>
      <c r="CEO213" s="1"/>
      <c r="CEP213" s="1"/>
      <c r="CEQ213" s="1"/>
      <c r="CER213" s="1"/>
      <c r="CES213" s="1"/>
      <c r="CET213" s="1"/>
      <c r="CEU213" s="1"/>
      <c r="CEV213" s="1"/>
      <c r="CEW213" s="1"/>
      <c r="CEX213" s="1"/>
      <c r="CEY213" s="1"/>
      <c r="CEZ213" s="1"/>
      <c r="CFA213" s="1"/>
      <c r="CFB213" s="1"/>
      <c r="CFC213" s="1"/>
      <c r="CFD213" s="1"/>
      <c r="CFE213" s="1"/>
      <c r="CFF213" s="1"/>
      <c r="CFG213" s="1"/>
      <c r="CFH213" s="1"/>
      <c r="CFI213" s="1"/>
      <c r="CFJ213" s="1"/>
      <c r="CFK213" s="1"/>
      <c r="CFL213" s="1"/>
      <c r="CFM213" s="1"/>
      <c r="CFN213" s="1"/>
      <c r="CFO213" s="1"/>
      <c r="CFP213" s="1"/>
      <c r="CFQ213" s="1"/>
      <c r="CFR213" s="1"/>
      <c r="CFS213" s="1"/>
      <c r="CFT213" s="1"/>
      <c r="CFU213" s="1"/>
      <c r="CFV213" s="1"/>
      <c r="CFW213" s="1"/>
      <c r="CFX213" s="1"/>
      <c r="CFY213" s="1"/>
      <c r="CFZ213" s="1"/>
      <c r="CGA213" s="1"/>
      <c r="CGB213" s="1"/>
      <c r="CGC213" s="1"/>
      <c r="CGD213" s="1"/>
      <c r="CGE213" s="1"/>
      <c r="CGF213" s="1"/>
      <c r="CGG213" s="1"/>
      <c r="CGH213" s="1"/>
      <c r="CGI213" s="1"/>
      <c r="CGJ213" s="1"/>
      <c r="CGK213" s="1"/>
      <c r="CGL213" s="1"/>
      <c r="CGM213" s="1"/>
      <c r="CGN213" s="1"/>
      <c r="CGO213" s="1"/>
      <c r="CGP213" s="1"/>
      <c r="CGQ213" s="1"/>
      <c r="CGR213" s="1"/>
      <c r="CGS213" s="1"/>
      <c r="CGT213" s="1"/>
      <c r="CGU213" s="1"/>
      <c r="CGV213" s="1"/>
      <c r="CGW213" s="1"/>
      <c r="CGX213" s="1"/>
      <c r="CGY213" s="1"/>
      <c r="CGZ213" s="1"/>
      <c r="CHA213" s="1"/>
      <c r="CHB213" s="1"/>
      <c r="CHC213" s="1"/>
      <c r="CHD213" s="1"/>
      <c r="CHE213" s="1"/>
      <c r="CHF213" s="1"/>
      <c r="CHG213" s="1"/>
      <c r="CHH213" s="1"/>
      <c r="CHI213" s="1"/>
      <c r="CHJ213" s="1"/>
      <c r="CHK213" s="1"/>
      <c r="CHL213" s="1"/>
      <c r="CHM213" s="1"/>
      <c r="CHN213" s="1"/>
      <c r="CHO213" s="1"/>
      <c r="CHP213" s="1"/>
      <c r="CHQ213" s="1"/>
      <c r="CHR213" s="1"/>
      <c r="CHS213" s="1"/>
      <c r="CHT213" s="1"/>
      <c r="CHU213" s="1"/>
      <c r="CHV213" s="1"/>
      <c r="CHW213" s="1"/>
      <c r="CHX213" s="1"/>
      <c r="CHY213" s="1"/>
      <c r="CHZ213" s="1"/>
      <c r="CIA213" s="1"/>
      <c r="CIB213" s="1"/>
      <c r="CIC213" s="1"/>
      <c r="CID213" s="1"/>
      <c r="CIE213" s="1"/>
      <c r="CIF213" s="1"/>
      <c r="CIG213" s="1"/>
      <c r="CIH213" s="1"/>
      <c r="CII213" s="1"/>
      <c r="CIJ213" s="1"/>
      <c r="CIK213" s="1"/>
      <c r="CIL213" s="1"/>
      <c r="CIM213" s="1"/>
      <c r="CIN213" s="1"/>
      <c r="CIO213" s="1"/>
      <c r="CIP213" s="1"/>
      <c r="CIQ213" s="1"/>
      <c r="CIR213" s="1"/>
      <c r="CIS213" s="1"/>
      <c r="CIT213" s="1"/>
      <c r="CIU213" s="1"/>
      <c r="CIV213" s="1"/>
      <c r="CIW213" s="1"/>
      <c r="CIX213" s="1"/>
      <c r="CIY213" s="1"/>
      <c r="CIZ213" s="1"/>
      <c r="CJA213" s="1"/>
      <c r="CJB213" s="1"/>
      <c r="CJC213" s="1"/>
      <c r="CJD213" s="1"/>
      <c r="CJE213" s="1"/>
      <c r="CJF213" s="1"/>
      <c r="CJG213" s="1"/>
      <c r="CJH213" s="1"/>
      <c r="CJI213" s="1"/>
      <c r="CJJ213" s="1"/>
      <c r="CJK213" s="1"/>
      <c r="CJL213" s="1"/>
      <c r="CJM213" s="1"/>
      <c r="CJN213" s="1"/>
      <c r="CJO213" s="1"/>
      <c r="CJP213" s="1"/>
      <c r="CJQ213" s="1"/>
      <c r="CJR213" s="1"/>
      <c r="CJS213" s="1"/>
      <c r="CJT213" s="1"/>
      <c r="CJU213" s="1"/>
      <c r="CJV213" s="1"/>
      <c r="CJW213" s="1"/>
      <c r="CJX213" s="1"/>
      <c r="CJY213" s="1"/>
      <c r="CJZ213" s="1"/>
      <c r="CKA213" s="1"/>
      <c r="CKB213" s="1"/>
      <c r="CKC213" s="1"/>
      <c r="CKD213" s="1"/>
      <c r="CKE213" s="1"/>
      <c r="CKF213" s="1"/>
      <c r="CKG213" s="1"/>
      <c r="CKH213" s="1"/>
      <c r="CKI213" s="1"/>
      <c r="CKJ213" s="1"/>
      <c r="CKK213" s="1"/>
      <c r="CKL213" s="1"/>
      <c r="CKM213" s="1"/>
      <c r="CKN213" s="1"/>
      <c r="CKO213" s="1"/>
      <c r="CKP213" s="1"/>
      <c r="CKQ213" s="1"/>
      <c r="CKR213" s="1"/>
      <c r="CKS213" s="1"/>
      <c r="CKT213" s="1"/>
      <c r="CKU213" s="1"/>
      <c r="CKV213" s="1"/>
      <c r="CKW213" s="1"/>
      <c r="CKX213" s="1"/>
      <c r="CKY213" s="1"/>
      <c r="CKZ213" s="1"/>
      <c r="CLA213" s="1"/>
      <c r="CLB213" s="1"/>
      <c r="CLC213" s="1"/>
      <c r="CLD213" s="1"/>
      <c r="CLE213" s="1"/>
      <c r="CLF213" s="1"/>
      <c r="CLG213" s="1"/>
      <c r="CLH213" s="1"/>
      <c r="CLI213" s="1"/>
      <c r="CLJ213" s="1"/>
      <c r="CLK213" s="1"/>
      <c r="CLL213" s="1"/>
      <c r="CLM213" s="1"/>
      <c r="CLN213" s="1"/>
      <c r="CLO213" s="1"/>
      <c r="CLP213" s="1"/>
      <c r="CLQ213" s="1"/>
      <c r="CLR213" s="1"/>
      <c r="CLS213" s="1"/>
      <c r="CLT213" s="1"/>
      <c r="CLU213" s="1"/>
      <c r="CLV213" s="1"/>
      <c r="CLW213" s="1"/>
      <c r="CLX213" s="1"/>
      <c r="CLY213" s="1"/>
      <c r="CLZ213" s="1"/>
      <c r="CMA213" s="1"/>
      <c r="CMB213" s="1"/>
      <c r="CMC213" s="1"/>
      <c r="CMD213" s="1"/>
      <c r="CME213" s="1"/>
      <c r="CMF213" s="1"/>
      <c r="CMG213" s="1"/>
      <c r="CMH213" s="1"/>
      <c r="CMI213" s="1"/>
      <c r="CMJ213" s="1"/>
      <c r="CMK213" s="1"/>
      <c r="CML213" s="1"/>
      <c r="CMM213" s="1"/>
      <c r="CMN213" s="1"/>
      <c r="CMO213" s="1"/>
      <c r="CMP213" s="1"/>
      <c r="CMQ213" s="1"/>
      <c r="CMR213" s="1"/>
      <c r="CMS213" s="1"/>
      <c r="CMT213" s="1"/>
      <c r="CMU213" s="1"/>
      <c r="CMV213" s="1"/>
      <c r="CMW213" s="1"/>
      <c r="CMX213" s="1"/>
      <c r="CMY213" s="1"/>
      <c r="CMZ213" s="1"/>
      <c r="CNA213" s="1"/>
      <c r="CNB213" s="1"/>
      <c r="CNC213" s="1"/>
      <c r="CND213" s="1"/>
      <c r="CNE213" s="1"/>
      <c r="CNF213" s="1"/>
      <c r="CNG213" s="1"/>
      <c r="CNH213" s="1"/>
      <c r="CNI213" s="1"/>
      <c r="CNJ213" s="1"/>
      <c r="CNK213" s="1"/>
      <c r="CNL213" s="1"/>
      <c r="CNM213" s="1"/>
      <c r="CNN213" s="1"/>
      <c r="CNO213" s="1"/>
      <c r="CNP213" s="1"/>
      <c r="CNQ213" s="1"/>
      <c r="CNR213" s="1"/>
      <c r="CNS213" s="1"/>
      <c r="CNT213" s="1"/>
      <c r="CNU213" s="1"/>
      <c r="CNV213" s="1"/>
      <c r="CNW213" s="1"/>
      <c r="CNX213" s="1"/>
      <c r="CNY213" s="1"/>
      <c r="CNZ213" s="1"/>
      <c r="COA213" s="1"/>
      <c r="COB213" s="1"/>
      <c r="COC213" s="1"/>
      <c r="COD213" s="1"/>
      <c r="COE213" s="1"/>
      <c r="COF213" s="1"/>
      <c r="COG213" s="1"/>
      <c r="COH213" s="1"/>
      <c r="COI213" s="1"/>
      <c r="COJ213" s="1"/>
      <c r="COK213" s="1"/>
      <c r="COL213" s="1"/>
      <c r="COM213" s="1"/>
      <c r="CON213" s="1"/>
      <c r="COO213" s="1"/>
      <c r="COP213" s="1"/>
      <c r="COQ213" s="1"/>
      <c r="COR213" s="1"/>
      <c r="COS213" s="1"/>
      <c r="COT213" s="1"/>
      <c r="COU213" s="1"/>
      <c r="COV213" s="1"/>
      <c r="COW213" s="1"/>
      <c r="COX213" s="1"/>
      <c r="COY213" s="1"/>
      <c r="COZ213" s="1"/>
      <c r="CPA213" s="1"/>
      <c r="CPB213" s="1"/>
      <c r="CPC213" s="1"/>
      <c r="CPD213" s="1"/>
      <c r="CPE213" s="1"/>
      <c r="CPF213" s="1"/>
      <c r="CPG213" s="1"/>
      <c r="CPH213" s="1"/>
      <c r="CPI213" s="1"/>
      <c r="CPJ213" s="1"/>
      <c r="CPK213" s="1"/>
      <c r="CPL213" s="1"/>
      <c r="CPM213" s="1"/>
      <c r="CPN213" s="1"/>
      <c r="CPO213" s="1"/>
      <c r="CPP213" s="1"/>
      <c r="CPQ213" s="1"/>
      <c r="CPR213" s="1"/>
      <c r="CPS213" s="1"/>
      <c r="CPT213" s="1"/>
      <c r="CPU213" s="1"/>
      <c r="CPV213" s="1"/>
      <c r="CPW213" s="1"/>
      <c r="CPX213" s="1"/>
      <c r="CPY213" s="1"/>
      <c r="CPZ213" s="1"/>
      <c r="CQA213" s="1"/>
      <c r="CQB213" s="1"/>
      <c r="CQC213" s="1"/>
      <c r="CQD213" s="1"/>
      <c r="CQE213" s="1"/>
      <c r="CQF213" s="1"/>
      <c r="CQG213" s="1"/>
      <c r="CQH213" s="1"/>
      <c r="CQI213" s="1"/>
      <c r="CQJ213" s="1"/>
      <c r="CQK213" s="1"/>
      <c r="CQL213" s="1"/>
      <c r="CQM213" s="1"/>
      <c r="CQN213" s="1"/>
      <c r="CQO213" s="1"/>
      <c r="CQP213" s="1"/>
      <c r="CQQ213" s="1"/>
      <c r="CQR213" s="1"/>
      <c r="CQS213" s="1"/>
      <c r="CQT213" s="1"/>
      <c r="CQU213" s="1"/>
      <c r="CQV213" s="1"/>
      <c r="CQW213" s="1"/>
      <c r="CQX213" s="1"/>
      <c r="CQY213" s="1"/>
      <c r="CQZ213" s="1"/>
      <c r="CRA213" s="1"/>
      <c r="CRB213" s="1"/>
      <c r="CRC213" s="1"/>
      <c r="CRD213" s="1"/>
      <c r="CRE213" s="1"/>
      <c r="CRF213" s="1"/>
      <c r="CRG213" s="1"/>
      <c r="CRH213" s="1"/>
      <c r="CRI213" s="1"/>
      <c r="CRJ213" s="1"/>
      <c r="CRK213" s="1"/>
      <c r="CRL213" s="1"/>
      <c r="CRM213" s="1"/>
      <c r="CRN213" s="1"/>
      <c r="CRO213" s="1"/>
      <c r="CRP213" s="1"/>
      <c r="CRQ213" s="1"/>
      <c r="CRR213" s="1"/>
      <c r="CRS213" s="1"/>
      <c r="CRT213" s="1"/>
      <c r="CRU213" s="1"/>
      <c r="CRV213" s="1"/>
      <c r="CRW213" s="1"/>
      <c r="CRX213" s="1"/>
      <c r="CRY213" s="1"/>
      <c r="CRZ213" s="1"/>
      <c r="CSA213" s="1"/>
      <c r="CSB213" s="1"/>
      <c r="CSC213" s="1"/>
      <c r="CSD213" s="1"/>
      <c r="CSE213" s="1"/>
      <c r="CSF213" s="1"/>
      <c r="CSG213" s="1"/>
      <c r="CSH213" s="1"/>
      <c r="CSI213" s="1"/>
      <c r="CSJ213" s="1"/>
      <c r="CSK213" s="1"/>
      <c r="CSL213" s="1"/>
      <c r="CSM213" s="1"/>
      <c r="CSN213" s="1"/>
      <c r="CSO213" s="1"/>
      <c r="CSP213" s="1"/>
      <c r="CSQ213" s="1"/>
      <c r="CSR213" s="1"/>
      <c r="CSS213" s="1"/>
      <c r="CST213" s="1"/>
      <c r="CSU213" s="1"/>
      <c r="CSV213" s="1"/>
      <c r="CSW213" s="1"/>
      <c r="CSX213" s="1"/>
      <c r="CSY213" s="1"/>
      <c r="CSZ213" s="1"/>
      <c r="CTA213" s="1"/>
      <c r="CTB213" s="1"/>
      <c r="CTC213" s="1"/>
      <c r="CTD213" s="1"/>
      <c r="CTE213" s="1"/>
      <c r="CTF213" s="1"/>
      <c r="CTG213" s="1"/>
      <c r="CTH213" s="1"/>
      <c r="CTI213" s="1"/>
      <c r="CTJ213" s="1"/>
      <c r="CTK213" s="1"/>
      <c r="CTL213" s="1"/>
      <c r="CTM213" s="1"/>
      <c r="CTN213" s="1"/>
      <c r="CTO213" s="1"/>
      <c r="CTP213" s="1"/>
      <c r="CTQ213" s="1"/>
      <c r="CTR213" s="1"/>
      <c r="CTS213" s="1"/>
      <c r="CTT213" s="1"/>
      <c r="CTU213" s="1"/>
      <c r="CTV213" s="1"/>
      <c r="CTW213" s="1"/>
      <c r="CTX213" s="1"/>
      <c r="CTY213" s="1"/>
      <c r="CTZ213" s="1"/>
      <c r="CUA213" s="1"/>
      <c r="CUB213" s="1"/>
      <c r="CUC213" s="1"/>
      <c r="CUD213" s="1"/>
      <c r="CUE213" s="1"/>
      <c r="CUF213" s="1"/>
      <c r="CUG213" s="1"/>
      <c r="CUH213" s="1"/>
      <c r="CUI213" s="1"/>
      <c r="CUJ213" s="1"/>
      <c r="CUK213" s="1"/>
      <c r="CUL213" s="1"/>
      <c r="CUM213" s="1"/>
      <c r="CUN213" s="1"/>
      <c r="CUO213" s="1"/>
      <c r="CUP213" s="1"/>
      <c r="CUQ213" s="1"/>
      <c r="CUR213" s="1"/>
      <c r="CUS213" s="1"/>
      <c r="CUT213" s="1"/>
      <c r="CUU213" s="1"/>
      <c r="CUV213" s="1"/>
      <c r="CUW213" s="1"/>
      <c r="CUX213" s="1"/>
      <c r="CUY213" s="1"/>
      <c r="CUZ213" s="1"/>
      <c r="CVA213" s="1"/>
      <c r="CVB213" s="1"/>
      <c r="CVC213" s="1"/>
      <c r="CVD213" s="1"/>
      <c r="CVE213" s="1"/>
      <c r="CVF213" s="1"/>
      <c r="CVG213" s="1"/>
      <c r="CVH213" s="1"/>
      <c r="CVI213" s="1"/>
      <c r="CVJ213" s="1"/>
      <c r="CVK213" s="1"/>
      <c r="CVL213" s="1"/>
      <c r="CVM213" s="1"/>
      <c r="CVN213" s="1"/>
      <c r="CVO213" s="1"/>
      <c r="CVP213" s="1"/>
      <c r="CVQ213" s="1"/>
      <c r="CVR213" s="1"/>
      <c r="CVS213" s="1"/>
      <c r="CVT213" s="1"/>
      <c r="CVU213" s="1"/>
      <c r="CVV213" s="1"/>
      <c r="CVW213" s="1"/>
      <c r="CVX213" s="1"/>
      <c r="CVY213" s="1"/>
      <c r="CVZ213" s="1"/>
      <c r="CWA213" s="1"/>
      <c r="CWB213" s="1"/>
      <c r="CWC213" s="1"/>
      <c r="CWD213" s="1"/>
      <c r="CWE213" s="1"/>
      <c r="CWF213" s="1"/>
      <c r="CWG213" s="1"/>
      <c r="CWH213" s="1"/>
      <c r="CWI213" s="1"/>
      <c r="CWJ213" s="1"/>
      <c r="CWK213" s="1"/>
      <c r="CWL213" s="1"/>
      <c r="CWM213" s="1"/>
      <c r="CWN213" s="1"/>
      <c r="CWO213" s="1"/>
      <c r="CWP213" s="1"/>
      <c r="CWQ213" s="1"/>
      <c r="CWR213" s="1"/>
      <c r="CWS213" s="1"/>
      <c r="CWT213" s="1"/>
      <c r="CWU213" s="1"/>
      <c r="CWV213" s="1"/>
      <c r="CWW213" s="1"/>
      <c r="CWX213" s="1"/>
      <c r="CWY213" s="1"/>
      <c r="CWZ213" s="1"/>
      <c r="CXA213" s="1"/>
      <c r="CXB213" s="1"/>
      <c r="CXC213" s="1"/>
      <c r="CXD213" s="1"/>
      <c r="CXE213" s="1"/>
      <c r="CXF213" s="1"/>
      <c r="CXG213" s="1"/>
      <c r="CXH213" s="1"/>
      <c r="CXI213" s="1"/>
      <c r="CXJ213" s="1"/>
      <c r="CXK213" s="1"/>
      <c r="CXL213" s="1"/>
      <c r="CXM213" s="1"/>
      <c r="CXN213" s="1"/>
      <c r="CXO213" s="1"/>
      <c r="CXP213" s="1"/>
      <c r="CXQ213" s="1"/>
      <c r="CXR213" s="1"/>
      <c r="CXS213" s="1"/>
      <c r="CXT213" s="1"/>
      <c r="CXU213" s="1"/>
      <c r="CXV213" s="1"/>
      <c r="CXW213" s="1"/>
      <c r="CXX213" s="1"/>
      <c r="CXY213" s="1"/>
      <c r="CXZ213" s="1"/>
      <c r="CYA213" s="1"/>
      <c r="CYB213" s="1"/>
      <c r="CYC213" s="1"/>
      <c r="CYD213" s="1"/>
      <c r="CYE213" s="1"/>
      <c r="CYF213" s="1"/>
      <c r="CYG213" s="1"/>
      <c r="CYH213" s="1"/>
      <c r="CYI213" s="1"/>
      <c r="CYJ213" s="1"/>
      <c r="CYK213" s="1"/>
      <c r="CYL213" s="1"/>
      <c r="CYM213" s="1"/>
      <c r="CYN213" s="1"/>
      <c r="CYO213" s="1"/>
      <c r="CYP213" s="1"/>
      <c r="CYQ213" s="1"/>
      <c r="CYR213" s="1"/>
      <c r="CYS213" s="1"/>
      <c r="CYT213" s="1"/>
      <c r="CYU213" s="1"/>
      <c r="CYV213" s="1"/>
      <c r="CYW213" s="1"/>
      <c r="CYX213" s="1"/>
      <c r="CYY213" s="1"/>
      <c r="CYZ213" s="1"/>
      <c r="CZA213" s="1"/>
      <c r="CZB213" s="1"/>
      <c r="CZC213" s="1"/>
      <c r="CZD213" s="1"/>
      <c r="CZE213" s="1"/>
      <c r="CZF213" s="1"/>
      <c r="CZG213" s="1"/>
      <c r="CZH213" s="1"/>
      <c r="CZI213" s="1"/>
      <c r="CZJ213" s="1"/>
      <c r="CZK213" s="1"/>
      <c r="CZL213" s="1"/>
      <c r="CZM213" s="1"/>
      <c r="CZN213" s="1"/>
      <c r="CZO213" s="1"/>
      <c r="CZP213" s="1"/>
      <c r="CZQ213" s="1"/>
      <c r="CZR213" s="1"/>
      <c r="CZS213" s="1"/>
      <c r="CZT213" s="1"/>
      <c r="CZU213" s="1"/>
      <c r="CZV213" s="1"/>
      <c r="CZW213" s="1"/>
      <c r="CZX213" s="1"/>
      <c r="CZY213" s="1"/>
      <c r="CZZ213" s="1"/>
      <c r="DAA213" s="1"/>
      <c r="DAB213" s="1"/>
      <c r="DAC213" s="1"/>
      <c r="DAD213" s="1"/>
      <c r="DAE213" s="1"/>
      <c r="DAF213" s="1"/>
      <c r="DAG213" s="1"/>
      <c r="DAH213" s="1"/>
      <c r="DAI213" s="1"/>
      <c r="DAJ213" s="1"/>
      <c r="DAK213" s="1"/>
      <c r="DAL213" s="1"/>
      <c r="DAM213" s="1"/>
      <c r="DAN213" s="1"/>
      <c r="DAO213" s="1"/>
      <c r="DAP213" s="1"/>
      <c r="DAQ213" s="1"/>
      <c r="DAR213" s="1"/>
      <c r="DAS213" s="1"/>
      <c r="DAT213" s="1"/>
      <c r="DAU213" s="1"/>
      <c r="DAV213" s="1"/>
      <c r="DAW213" s="1"/>
      <c r="DAX213" s="1"/>
      <c r="DAY213" s="1"/>
      <c r="DAZ213" s="1"/>
      <c r="DBA213" s="1"/>
      <c r="DBB213" s="1"/>
      <c r="DBC213" s="1"/>
      <c r="DBD213" s="1"/>
      <c r="DBE213" s="1"/>
      <c r="DBF213" s="1"/>
      <c r="DBG213" s="1"/>
      <c r="DBH213" s="1"/>
      <c r="DBI213" s="1"/>
      <c r="DBJ213" s="1"/>
      <c r="DBK213" s="1"/>
      <c r="DBL213" s="1"/>
      <c r="DBM213" s="1"/>
      <c r="DBN213" s="1"/>
      <c r="DBO213" s="1"/>
      <c r="DBP213" s="1"/>
      <c r="DBQ213" s="1"/>
      <c r="DBR213" s="1"/>
      <c r="DBS213" s="1"/>
      <c r="DBT213" s="1"/>
      <c r="DBU213" s="1"/>
      <c r="DBV213" s="1"/>
      <c r="DBW213" s="1"/>
      <c r="DBX213" s="1"/>
      <c r="DBY213" s="1"/>
      <c r="DBZ213" s="1"/>
      <c r="DCA213" s="1"/>
      <c r="DCB213" s="1"/>
      <c r="DCC213" s="1"/>
      <c r="DCD213" s="1"/>
      <c r="DCE213" s="1"/>
      <c r="DCF213" s="1"/>
      <c r="DCG213" s="1"/>
      <c r="DCH213" s="1"/>
      <c r="DCI213" s="1"/>
      <c r="DCJ213" s="1"/>
      <c r="DCK213" s="1"/>
      <c r="DCL213" s="1"/>
      <c r="DCM213" s="1"/>
      <c r="DCN213" s="1"/>
      <c r="DCO213" s="1"/>
      <c r="DCP213" s="1"/>
      <c r="DCQ213" s="1"/>
      <c r="DCR213" s="1"/>
      <c r="DCS213" s="1"/>
      <c r="DCT213" s="1"/>
      <c r="DCU213" s="1"/>
      <c r="DCV213" s="1"/>
      <c r="DCW213" s="1"/>
      <c r="DCX213" s="1"/>
      <c r="DCY213" s="1"/>
      <c r="DCZ213" s="1"/>
      <c r="DDA213" s="1"/>
      <c r="DDB213" s="1"/>
      <c r="DDC213" s="1"/>
      <c r="DDD213" s="1"/>
      <c r="DDE213" s="1"/>
      <c r="DDF213" s="1"/>
      <c r="DDG213" s="1"/>
      <c r="DDH213" s="1"/>
      <c r="DDI213" s="1"/>
      <c r="DDJ213" s="1"/>
      <c r="DDK213" s="1"/>
      <c r="DDL213" s="1"/>
      <c r="DDM213" s="1"/>
      <c r="DDN213" s="1"/>
      <c r="DDO213" s="1"/>
      <c r="DDP213" s="1"/>
      <c r="DDQ213" s="1"/>
      <c r="DDR213" s="1"/>
      <c r="DDS213" s="1"/>
      <c r="DDT213" s="1"/>
      <c r="DDU213" s="1"/>
      <c r="DDV213" s="1"/>
      <c r="DDW213" s="1"/>
      <c r="DDX213" s="1"/>
      <c r="DDY213" s="1"/>
      <c r="DDZ213" s="1"/>
      <c r="DEA213" s="1"/>
      <c r="DEB213" s="1"/>
      <c r="DEC213" s="1"/>
      <c r="DED213" s="1"/>
      <c r="DEE213" s="1"/>
      <c r="DEF213" s="1"/>
      <c r="DEG213" s="1"/>
      <c r="DEH213" s="1"/>
      <c r="DEI213" s="1"/>
      <c r="DEJ213" s="1"/>
      <c r="DEK213" s="1"/>
      <c r="DEL213" s="1"/>
      <c r="DEM213" s="1"/>
      <c r="DEN213" s="1"/>
      <c r="DEO213" s="1"/>
      <c r="DEP213" s="1"/>
      <c r="DEQ213" s="1"/>
      <c r="DER213" s="1"/>
      <c r="DES213" s="1"/>
      <c r="DET213" s="1"/>
      <c r="DEU213" s="1"/>
      <c r="DEV213" s="1"/>
      <c r="DEW213" s="1"/>
      <c r="DEX213" s="1"/>
      <c r="DEY213" s="1"/>
      <c r="DEZ213" s="1"/>
      <c r="DFA213" s="1"/>
      <c r="DFB213" s="1"/>
      <c r="DFC213" s="1"/>
      <c r="DFD213" s="1"/>
      <c r="DFE213" s="1"/>
      <c r="DFF213" s="1"/>
      <c r="DFG213" s="1"/>
      <c r="DFH213" s="1"/>
      <c r="DFI213" s="1"/>
      <c r="DFJ213" s="1"/>
      <c r="DFK213" s="1"/>
      <c r="DFL213" s="1"/>
      <c r="DFM213" s="1"/>
      <c r="DFN213" s="1"/>
      <c r="DFO213" s="1"/>
      <c r="DFP213" s="1"/>
      <c r="DFQ213" s="1"/>
      <c r="DFR213" s="1"/>
      <c r="DFS213" s="1"/>
      <c r="DFT213" s="1"/>
      <c r="DFU213" s="1"/>
      <c r="DFV213" s="1"/>
      <c r="DFW213" s="1"/>
      <c r="DFX213" s="1"/>
      <c r="DFY213" s="1"/>
      <c r="DFZ213" s="1"/>
      <c r="DGA213" s="1"/>
      <c r="DGB213" s="1"/>
      <c r="DGC213" s="1"/>
      <c r="DGD213" s="1"/>
      <c r="DGE213" s="1"/>
      <c r="DGF213" s="1"/>
      <c r="DGG213" s="1"/>
      <c r="DGH213" s="1"/>
      <c r="DGI213" s="1"/>
      <c r="DGJ213" s="1"/>
      <c r="DGK213" s="1"/>
      <c r="DGL213" s="1"/>
      <c r="DGM213" s="1"/>
      <c r="DGN213" s="1"/>
      <c r="DGO213" s="1"/>
      <c r="DGP213" s="1"/>
      <c r="DGQ213" s="1"/>
      <c r="DGR213" s="1"/>
      <c r="DGS213" s="1"/>
      <c r="DGT213" s="1"/>
      <c r="DGU213" s="1"/>
      <c r="DGV213" s="1"/>
      <c r="DGW213" s="1"/>
      <c r="DGX213" s="1"/>
      <c r="DGY213" s="1"/>
      <c r="DGZ213" s="1"/>
      <c r="DHA213" s="1"/>
      <c r="DHB213" s="1"/>
      <c r="DHC213" s="1"/>
      <c r="DHD213" s="1"/>
      <c r="DHE213" s="1"/>
      <c r="DHF213" s="1"/>
      <c r="DHG213" s="1"/>
      <c r="DHH213" s="1"/>
      <c r="DHI213" s="1"/>
      <c r="DHJ213" s="1"/>
      <c r="DHK213" s="1"/>
      <c r="DHL213" s="1"/>
      <c r="DHM213" s="1"/>
      <c r="DHN213" s="1"/>
      <c r="DHO213" s="1"/>
      <c r="DHP213" s="1"/>
      <c r="DHQ213" s="1"/>
      <c r="DHR213" s="1"/>
      <c r="DHS213" s="1"/>
      <c r="DHT213" s="1"/>
      <c r="DHU213" s="1"/>
      <c r="DHV213" s="1"/>
      <c r="DHW213" s="1"/>
      <c r="DHX213" s="1"/>
      <c r="DHY213" s="1"/>
      <c r="DHZ213" s="1"/>
      <c r="DIA213" s="1"/>
      <c r="DIB213" s="1"/>
      <c r="DIC213" s="1"/>
      <c r="DID213" s="1"/>
      <c r="DIE213" s="1"/>
      <c r="DIF213" s="1"/>
      <c r="DIG213" s="1"/>
      <c r="DIH213" s="1"/>
      <c r="DII213" s="1"/>
      <c r="DIJ213" s="1"/>
      <c r="DIK213" s="1"/>
      <c r="DIL213" s="1"/>
      <c r="DIM213" s="1"/>
      <c r="DIN213" s="1"/>
      <c r="DIO213" s="1"/>
      <c r="DIP213" s="1"/>
      <c r="DIQ213" s="1"/>
      <c r="DIR213" s="1"/>
      <c r="DIS213" s="1"/>
      <c r="DIT213" s="1"/>
      <c r="DIU213" s="1"/>
      <c r="DIV213" s="1"/>
      <c r="DIW213" s="1"/>
      <c r="DIX213" s="1"/>
      <c r="DIY213" s="1"/>
      <c r="DIZ213" s="1"/>
      <c r="DJA213" s="1"/>
      <c r="DJB213" s="1"/>
      <c r="DJC213" s="1"/>
      <c r="DJD213" s="1"/>
      <c r="DJE213" s="1"/>
      <c r="DJF213" s="1"/>
      <c r="DJG213" s="1"/>
      <c r="DJH213" s="1"/>
      <c r="DJI213" s="1"/>
      <c r="DJJ213" s="1"/>
      <c r="DJK213" s="1"/>
      <c r="DJL213" s="1"/>
      <c r="DJM213" s="1"/>
      <c r="DJN213" s="1"/>
      <c r="DJO213" s="1"/>
      <c r="DJP213" s="1"/>
      <c r="DJQ213" s="1"/>
      <c r="DJR213" s="1"/>
      <c r="DJS213" s="1"/>
      <c r="DJT213" s="1"/>
      <c r="DJU213" s="1"/>
      <c r="DJV213" s="1"/>
      <c r="DJW213" s="1"/>
      <c r="DJX213" s="1"/>
      <c r="DJY213" s="1"/>
      <c r="DJZ213" s="1"/>
      <c r="DKA213" s="1"/>
      <c r="DKB213" s="1"/>
      <c r="DKC213" s="1"/>
      <c r="DKD213" s="1"/>
      <c r="DKE213" s="1"/>
      <c r="DKF213" s="1"/>
      <c r="DKG213" s="1"/>
      <c r="DKH213" s="1"/>
      <c r="DKI213" s="1"/>
      <c r="DKJ213" s="1"/>
      <c r="DKK213" s="1"/>
      <c r="DKL213" s="1"/>
      <c r="DKM213" s="1"/>
      <c r="DKN213" s="1"/>
      <c r="DKO213" s="1"/>
      <c r="DKP213" s="1"/>
      <c r="DKQ213" s="1"/>
      <c r="DKR213" s="1"/>
      <c r="DKS213" s="1"/>
      <c r="DKT213" s="1"/>
      <c r="DKU213" s="1"/>
      <c r="DKV213" s="1"/>
      <c r="DKW213" s="1"/>
      <c r="DKX213" s="1"/>
      <c r="DKY213" s="1"/>
      <c r="DKZ213" s="1"/>
      <c r="DLA213" s="1"/>
      <c r="DLB213" s="1"/>
      <c r="DLC213" s="1"/>
      <c r="DLD213" s="1"/>
      <c r="DLE213" s="1"/>
      <c r="DLF213" s="1"/>
      <c r="DLG213" s="1"/>
      <c r="DLH213" s="1"/>
      <c r="DLI213" s="1"/>
      <c r="DLJ213" s="1"/>
      <c r="DLK213" s="1"/>
      <c r="DLL213" s="1"/>
      <c r="DLM213" s="1"/>
      <c r="DLN213" s="1"/>
      <c r="DLO213" s="1"/>
      <c r="DLP213" s="1"/>
      <c r="DLQ213" s="1"/>
      <c r="DLR213" s="1"/>
      <c r="DLS213" s="1"/>
      <c r="DLT213" s="1"/>
      <c r="DLU213" s="1"/>
      <c r="DLV213" s="1"/>
      <c r="DLW213" s="1"/>
      <c r="DLX213" s="1"/>
      <c r="DLY213" s="1"/>
      <c r="DLZ213" s="1"/>
      <c r="DMA213" s="1"/>
      <c r="DMB213" s="1"/>
      <c r="DMC213" s="1"/>
      <c r="DMD213" s="1"/>
      <c r="DME213" s="1"/>
      <c r="DMF213" s="1"/>
      <c r="DMG213" s="1"/>
      <c r="DMH213" s="1"/>
      <c r="DMI213" s="1"/>
      <c r="DMJ213" s="1"/>
      <c r="DMK213" s="1"/>
      <c r="DML213" s="1"/>
      <c r="DMM213" s="1"/>
      <c r="DMN213" s="1"/>
      <c r="DMO213" s="1"/>
      <c r="DMP213" s="1"/>
      <c r="DMQ213" s="1"/>
      <c r="DMR213" s="1"/>
      <c r="DMS213" s="1"/>
      <c r="DMT213" s="1"/>
      <c r="DMU213" s="1"/>
      <c r="DMV213" s="1"/>
      <c r="DMW213" s="1"/>
      <c r="DMX213" s="1"/>
      <c r="DMY213" s="1"/>
      <c r="DMZ213" s="1"/>
      <c r="DNA213" s="1"/>
      <c r="DNB213" s="1"/>
      <c r="DNC213" s="1"/>
      <c r="DND213" s="1"/>
      <c r="DNE213" s="1"/>
      <c r="DNF213" s="1"/>
      <c r="DNG213" s="1"/>
      <c r="DNH213" s="1"/>
      <c r="DNI213" s="1"/>
      <c r="DNJ213" s="1"/>
      <c r="DNK213" s="1"/>
      <c r="DNL213" s="1"/>
      <c r="DNM213" s="1"/>
      <c r="DNN213" s="1"/>
      <c r="DNO213" s="1"/>
      <c r="DNP213" s="1"/>
      <c r="DNQ213" s="1"/>
      <c r="DNR213" s="1"/>
      <c r="DNS213" s="1"/>
      <c r="DNT213" s="1"/>
      <c r="DNU213" s="1"/>
      <c r="DNV213" s="1"/>
      <c r="DNW213" s="1"/>
      <c r="DNX213" s="1"/>
      <c r="DNY213" s="1"/>
      <c r="DNZ213" s="1"/>
      <c r="DOA213" s="1"/>
      <c r="DOB213" s="1"/>
      <c r="DOC213" s="1"/>
      <c r="DOD213" s="1"/>
      <c r="DOE213" s="1"/>
      <c r="DOF213" s="1"/>
      <c r="DOG213" s="1"/>
      <c r="DOH213" s="1"/>
      <c r="DOI213" s="1"/>
      <c r="DOJ213" s="1"/>
      <c r="DOK213" s="1"/>
      <c r="DOL213" s="1"/>
      <c r="DOM213" s="1"/>
      <c r="DON213" s="1"/>
      <c r="DOO213" s="1"/>
      <c r="DOP213" s="1"/>
      <c r="DOQ213" s="1"/>
      <c r="DOR213" s="1"/>
      <c r="DOS213" s="1"/>
      <c r="DOT213" s="1"/>
      <c r="DOU213" s="1"/>
      <c r="DOV213" s="1"/>
      <c r="DOW213" s="1"/>
      <c r="DOX213" s="1"/>
      <c r="DOY213" s="1"/>
      <c r="DOZ213" s="1"/>
      <c r="DPA213" s="1"/>
      <c r="DPB213" s="1"/>
      <c r="DPC213" s="1"/>
      <c r="DPD213" s="1"/>
      <c r="DPE213" s="1"/>
      <c r="DPF213" s="1"/>
      <c r="DPG213" s="1"/>
      <c r="DPH213" s="1"/>
      <c r="DPI213" s="1"/>
      <c r="DPJ213" s="1"/>
      <c r="DPK213" s="1"/>
      <c r="DPL213" s="1"/>
      <c r="DPM213" s="1"/>
      <c r="DPN213" s="1"/>
      <c r="DPO213" s="1"/>
      <c r="DPP213" s="1"/>
      <c r="DPQ213" s="1"/>
      <c r="DPR213" s="1"/>
      <c r="DPS213" s="1"/>
      <c r="DPT213" s="1"/>
      <c r="DPU213" s="1"/>
      <c r="DPV213" s="1"/>
      <c r="DPW213" s="1"/>
      <c r="DPX213" s="1"/>
      <c r="DPY213" s="1"/>
      <c r="DPZ213" s="1"/>
      <c r="DQA213" s="1"/>
      <c r="DQB213" s="1"/>
      <c r="DQC213" s="1"/>
      <c r="DQD213" s="1"/>
      <c r="DQE213" s="1"/>
      <c r="DQF213" s="1"/>
      <c r="DQG213" s="1"/>
      <c r="DQH213" s="1"/>
      <c r="DQI213" s="1"/>
      <c r="DQJ213" s="1"/>
      <c r="DQK213" s="1"/>
      <c r="DQL213" s="1"/>
      <c r="DQM213" s="1"/>
      <c r="DQN213" s="1"/>
      <c r="DQO213" s="1"/>
      <c r="DQP213" s="1"/>
      <c r="DQQ213" s="1"/>
      <c r="DQR213" s="1"/>
      <c r="DQS213" s="1"/>
      <c r="DQT213" s="1"/>
      <c r="DQU213" s="1"/>
      <c r="DQV213" s="1"/>
      <c r="DQW213" s="1"/>
      <c r="DQX213" s="1"/>
      <c r="DQY213" s="1"/>
      <c r="DQZ213" s="1"/>
      <c r="DRA213" s="1"/>
      <c r="DRB213" s="1"/>
      <c r="DRC213" s="1"/>
      <c r="DRD213" s="1"/>
      <c r="DRE213" s="1"/>
      <c r="DRF213" s="1"/>
      <c r="DRG213" s="1"/>
      <c r="DRH213" s="1"/>
      <c r="DRI213" s="1"/>
      <c r="DRJ213" s="1"/>
      <c r="DRK213" s="1"/>
      <c r="DRL213" s="1"/>
      <c r="DRM213" s="1"/>
      <c r="DRN213" s="1"/>
      <c r="DRO213" s="1"/>
      <c r="DRP213" s="1"/>
      <c r="DRQ213" s="1"/>
      <c r="DRR213" s="1"/>
      <c r="DRS213" s="1"/>
      <c r="DRT213" s="1"/>
      <c r="DRU213" s="1"/>
      <c r="DRV213" s="1"/>
      <c r="DRW213" s="1"/>
      <c r="DRX213" s="1"/>
      <c r="DRY213" s="1"/>
      <c r="DRZ213" s="1"/>
      <c r="DSA213" s="1"/>
      <c r="DSB213" s="1"/>
      <c r="DSC213" s="1"/>
      <c r="DSD213" s="1"/>
      <c r="DSE213" s="1"/>
      <c r="DSF213" s="1"/>
      <c r="DSG213" s="1"/>
      <c r="DSH213" s="1"/>
      <c r="DSI213" s="1"/>
      <c r="DSJ213" s="1"/>
      <c r="DSK213" s="1"/>
      <c r="DSL213" s="1"/>
      <c r="DSM213" s="1"/>
      <c r="DSN213" s="1"/>
      <c r="DSO213" s="1"/>
      <c r="DSP213" s="1"/>
      <c r="DSQ213" s="1"/>
      <c r="DSR213" s="1"/>
      <c r="DSS213" s="1"/>
      <c r="DST213" s="1"/>
      <c r="DSU213" s="1"/>
      <c r="DSV213" s="1"/>
      <c r="DSW213" s="1"/>
      <c r="DSX213" s="1"/>
      <c r="DSY213" s="1"/>
      <c r="DSZ213" s="1"/>
      <c r="DTA213" s="1"/>
      <c r="DTB213" s="1"/>
      <c r="DTC213" s="1"/>
      <c r="DTD213" s="1"/>
      <c r="DTE213" s="1"/>
      <c r="DTF213" s="1"/>
      <c r="DTG213" s="1"/>
      <c r="DTH213" s="1"/>
      <c r="DTI213" s="1"/>
      <c r="DTJ213" s="1"/>
      <c r="DTK213" s="1"/>
      <c r="DTL213" s="1"/>
      <c r="DTM213" s="1"/>
      <c r="DTN213" s="1"/>
      <c r="DTO213" s="1"/>
      <c r="DTP213" s="1"/>
      <c r="DTQ213" s="1"/>
      <c r="DTR213" s="1"/>
      <c r="DTS213" s="1"/>
      <c r="DTT213" s="1"/>
      <c r="DTU213" s="1"/>
      <c r="DTV213" s="1"/>
      <c r="DTW213" s="1"/>
      <c r="DTX213" s="1"/>
      <c r="DTY213" s="1"/>
      <c r="DTZ213" s="1"/>
      <c r="DUA213" s="1"/>
      <c r="DUB213" s="1"/>
      <c r="DUC213" s="1"/>
      <c r="DUD213" s="1"/>
      <c r="DUE213" s="1"/>
      <c r="DUF213" s="1"/>
      <c r="DUG213" s="1"/>
      <c r="DUH213" s="1"/>
      <c r="DUI213" s="1"/>
      <c r="DUJ213" s="1"/>
      <c r="DUK213" s="1"/>
      <c r="DUL213" s="1"/>
      <c r="DUM213" s="1"/>
      <c r="DUN213" s="1"/>
      <c r="DUO213" s="1"/>
      <c r="DUP213" s="1"/>
      <c r="DUQ213" s="1"/>
      <c r="DUR213" s="1"/>
      <c r="DUS213" s="1"/>
      <c r="DUT213" s="1"/>
      <c r="DUU213" s="1"/>
      <c r="DUV213" s="1"/>
      <c r="DUW213" s="1"/>
      <c r="DUX213" s="1"/>
      <c r="DUY213" s="1"/>
      <c r="DUZ213" s="1"/>
      <c r="DVA213" s="1"/>
      <c r="DVB213" s="1"/>
      <c r="DVC213" s="1"/>
      <c r="DVD213" s="1"/>
      <c r="DVE213" s="1"/>
      <c r="DVF213" s="1"/>
      <c r="DVG213" s="1"/>
      <c r="DVH213" s="1"/>
      <c r="DVI213" s="1"/>
      <c r="DVJ213" s="1"/>
      <c r="DVK213" s="1"/>
      <c r="DVL213" s="1"/>
      <c r="DVM213" s="1"/>
      <c r="DVN213" s="1"/>
      <c r="DVO213" s="1"/>
      <c r="DVP213" s="1"/>
      <c r="DVQ213" s="1"/>
      <c r="DVR213" s="1"/>
      <c r="DVS213" s="1"/>
      <c r="DVT213" s="1"/>
      <c r="DVU213" s="1"/>
      <c r="DVV213" s="1"/>
      <c r="DVW213" s="1"/>
      <c r="DVX213" s="1"/>
      <c r="DVY213" s="1"/>
      <c r="DVZ213" s="1"/>
      <c r="DWA213" s="1"/>
      <c r="DWB213" s="1"/>
      <c r="DWC213" s="1"/>
      <c r="DWD213" s="1"/>
      <c r="DWE213" s="1"/>
      <c r="DWF213" s="1"/>
      <c r="DWG213" s="1"/>
      <c r="DWH213" s="1"/>
      <c r="DWI213" s="1"/>
      <c r="DWJ213" s="1"/>
      <c r="DWK213" s="1"/>
      <c r="DWL213" s="1"/>
      <c r="DWM213" s="1"/>
      <c r="DWN213" s="1"/>
      <c r="DWO213" s="1"/>
      <c r="DWP213" s="1"/>
      <c r="DWQ213" s="1"/>
      <c r="DWR213" s="1"/>
      <c r="DWS213" s="1"/>
      <c r="DWT213" s="1"/>
      <c r="DWU213" s="1"/>
      <c r="DWV213" s="1"/>
      <c r="DWW213" s="1"/>
      <c r="DWX213" s="1"/>
      <c r="DWY213" s="1"/>
      <c r="DWZ213" s="1"/>
      <c r="DXA213" s="1"/>
      <c r="DXB213" s="1"/>
      <c r="DXC213" s="1"/>
      <c r="DXD213" s="1"/>
      <c r="DXE213" s="1"/>
      <c r="DXF213" s="1"/>
      <c r="DXG213" s="1"/>
      <c r="DXH213" s="1"/>
      <c r="DXI213" s="1"/>
      <c r="DXJ213" s="1"/>
      <c r="DXK213" s="1"/>
      <c r="DXL213" s="1"/>
      <c r="DXM213" s="1"/>
      <c r="DXN213" s="1"/>
      <c r="DXO213" s="1"/>
      <c r="DXP213" s="1"/>
      <c r="DXQ213" s="1"/>
      <c r="DXR213" s="1"/>
      <c r="DXS213" s="1"/>
      <c r="DXT213" s="1"/>
      <c r="DXU213" s="1"/>
      <c r="DXV213" s="1"/>
      <c r="DXW213" s="1"/>
      <c r="DXX213" s="1"/>
      <c r="DXY213" s="1"/>
      <c r="DXZ213" s="1"/>
      <c r="DYA213" s="1"/>
      <c r="DYB213" s="1"/>
      <c r="DYC213" s="1"/>
      <c r="DYD213" s="1"/>
      <c r="DYE213" s="1"/>
      <c r="DYF213" s="1"/>
      <c r="DYG213" s="1"/>
      <c r="DYH213" s="1"/>
      <c r="DYI213" s="1"/>
      <c r="DYJ213" s="1"/>
      <c r="DYK213" s="1"/>
      <c r="DYL213" s="1"/>
      <c r="DYM213" s="1"/>
      <c r="DYN213" s="1"/>
      <c r="DYO213" s="1"/>
      <c r="DYP213" s="1"/>
      <c r="DYQ213" s="1"/>
      <c r="DYR213" s="1"/>
      <c r="DYS213" s="1"/>
      <c r="DYT213" s="1"/>
      <c r="DYU213" s="1"/>
      <c r="DYV213" s="1"/>
      <c r="DYW213" s="1"/>
      <c r="DYX213" s="1"/>
      <c r="DYY213" s="1"/>
      <c r="DYZ213" s="1"/>
      <c r="DZA213" s="1"/>
      <c r="DZB213" s="1"/>
      <c r="DZC213" s="1"/>
      <c r="DZD213" s="1"/>
      <c r="DZE213" s="1"/>
      <c r="DZF213" s="1"/>
      <c r="DZG213" s="1"/>
      <c r="DZH213" s="1"/>
      <c r="DZI213" s="1"/>
      <c r="DZJ213" s="1"/>
      <c r="DZK213" s="1"/>
      <c r="DZL213" s="1"/>
      <c r="DZM213" s="1"/>
      <c r="DZN213" s="1"/>
      <c r="DZO213" s="1"/>
      <c r="DZP213" s="1"/>
      <c r="DZQ213" s="1"/>
      <c r="DZR213" s="1"/>
      <c r="DZS213" s="1"/>
      <c r="DZT213" s="1"/>
      <c r="DZU213" s="1"/>
      <c r="DZV213" s="1"/>
      <c r="DZW213" s="1"/>
      <c r="DZX213" s="1"/>
      <c r="DZY213" s="1"/>
      <c r="DZZ213" s="1"/>
      <c r="EAA213" s="1"/>
      <c r="EAB213" s="1"/>
      <c r="EAC213" s="1"/>
      <c r="EAD213" s="1"/>
      <c r="EAE213" s="1"/>
      <c r="EAF213" s="1"/>
      <c r="EAG213" s="1"/>
      <c r="EAH213" s="1"/>
      <c r="EAI213" s="1"/>
      <c r="EAJ213" s="1"/>
      <c r="EAK213" s="1"/>
      <c r="EAL213" s="1"/>
      <c r="EAM213" s="1"/>
      <c r="EAN213" s="1"/>
      <c r="EAO213" s="1"/>
      <c r="EAP213" s="1"/>
      <c r="EAQ213" s="1"/>
      <c r="EAR213" s="1"/>
      <c r="EAS213" s="1"/>
      <c r="EAT213" s="1"/>
      <c r="EAU213" s="1"/>
      <c r="EAV213" s="1"/>
      <c r="EAW213" s="1"/>
      <c r="EAX213" s="1"/>
      <c r="EAY213" s="1"/>
      <c r="EAZ213" s="1"/>
      <c r="EBA213" s="1"/>
      <c r="EBB213" s="1"/>
      <c r="EBC213" s="1"/>
      <c r="EBD213" s="1"/>
      <c r="EBE213" s="1"/>
      <c r="EBF213" s="1"/>
      <c r="EBG213" s="1"/>
      <c r="EBH213" s="1"/>
      <c r="EBI213" s="1"/>
      <c r="EBJ213" s="1"/>
      <c r="EBK213" s="1"/>
      <c r="EBL213" s="1"/>
      <c r="EBM213" s="1"/>
      <c r="EBN213" s="1"/>
      <c r="EBO213" s="1"/>
      <c r="EBP213" s="1"/>
      <c r="EBQ213" s="1"/>
      <c r="EBR213" s="1"/>
      <c r="EBS213" s="1"/>
      <c r="EBT213" s="1"/>
      <c r="EBU213" s="1"/>
      <c r="EBV213" s="1"/>
      <c r="EBW213" s="1"/>
      <c r="EBX213" s="1"/>
      <c r="EBY213" s="1"/>
      <c r="EBZ213" s="1"/>
      <c r="ECA213" s="1"/>
      <c r="ECB213" s="1"/>
      <c r="ECC213" s="1"/>
      <c r="ECD213" s="1"/>
      <c r="ECE213" s="1"/>
      <c r="ECF213" s="1"/>
      <c r="ECG213" s="1"/>
      <c r="ECH213" s="1"/>
      <c r="ECI213" s="1"/>
      <c r="ECJ213" s="1"/>
      <c r="ECK213" s="1"/>
      <c r="ECL213" s="1"/>
      <c r="ECM213" s="1"/>
      <c r="ECN213" s="1"/>
      <c r="ECO213" s="1"/>
      <c r="ECP213" s="1"/>
      <c r="ECQ213" s="1"/>
      <c r="ECR213" s="1"/>
      <c r="ECS213" s="1"/>
      <c r="ECT213" s="1"/>
      <c r="ECU213" s="1"/>
      <c r="ECV213" s="1"/>
      <c r="ECW213" s="1"/>
      <c r="ECX213" s="1"/>
      <c r="ECY213" s="1"/>
      <c r="ECZ213" s="1"/>
      <c r="EDA213" s="1"/>
      <c r="EDB213" s="1"/>
      <c r="EDC213" s="1"/>
      <c r="EDD213" s="1"/>
      <c r="EDE213" s="1"/>
      <c r="EDF213" s="1"/>
      <c r="EDG213" s="1"/>
      <c r="EDH213" s="1"/>
      <c r="EDI213" s="1"/>
      <c r="EDJ213" s="1"/>
      <c r="EDK213" s="1"/>
      <c r="EDL213" s="1"/>
      <c r="EDM213" s="1"/>
      <c r="EDN213" s="1"/>
      <c r="EDO213" s="1"/>
      <c r="EDP213" s="1"/>
      <c r="EDQ213" s="1"/>
      <c r="EDR213" s="1"/>
      <c r="EDS213" s="1"/>
      <c r="EDT213" s="1"/>
      <c r="EDU213" s="1"/>
      <c r="EDV213" s="1"/>
      <c r="EDW213" s="1"/>
      <c r="EDX213" s="1"/>
      <c r="EDY213" s="1"/>
      <c r="EDZ213" s="1"/>
      <c r="EEA213" s="1"/>
      <c r="EEB213" s="1"/>
      <c r="EEC213" s="1"/>
      <c r="EED213" s="1"/>
      <c r="EEE213" s="1"/>
      <c r="EEF213" s="1"/>
      <c r="EEG213" s="1"/>
      <c r="EEH213" s="1"/>
      <c r="EEI213" s="1"/>
      <c r="EEJ213" s="1"/>
      <c r="EEK213" s="1"/>
      <c r="EEL213" s="1"/>
      <c r="EEM213" s="1"/>
      <c r="EEN213" s="1"/>
      <c r="EEO213" s="1"/>
      <c r="EEP213" s="1"/>
      <c r="EEQ213" s="1"/>
      <c r="EER213" s="1"/>
      <c r="EES213" s="1"/>
      <c r="EET213" s="1"/>
      <c r="EEU213" s="1"/>
      <c r="EEV213" s="1"/>
      <c r="EEW213" s="1"/>
      <c r="EEX213" s="1"/>
      <c r="EEY213" s="1"/>
      <c r="EEZ213" s="1"/>
      <c r="EFA213" s="1"/>
      <c r="EFB213" s="1"/>
      <c r="EFC213" s="1"/>
      <c r="EFD213" s="1"/>
      <c r="EFE213" s="1"/>
      <c r="EFF213" s="1"/>
      <c r="EFG213" s="1"/>
      <c r="EFH213" s="1"/>
      <c r="EFI213" s="1"/>
      <c r="EFJ213" s="1"/>
      <c r="EFK213" s="1"/>
      <c r="EFL213" s="1"/>
      <c r="EFM213" s="1"/>
      <c r="EFN213" s="1"/>
      <c r="EFO213" s="1"/>
      <c r="EFP213" s="1"/>
      <c r="EFQ213" s="1"/>
      <c r="EFR213" s="1"/>
      <c r="EFS213" s="1"/>
      <c r="EFT213" s="1"/>
      <c r="EFU213" s="1"/>
      <c r="EFV213" s="1"/>
      <c r="EFW213" s="1"/>
      <c r="EFX213" s="1"/>
      <c r="EFY213" s="1"/>
      <c r="EFZ213" s="1"/>
      <c r="EGA213" s="1"/>
      <c r="EGB213" s="1"/>
      <c r="EGC213" s="1"/>
      <c r="EGD213" s="1"/>
      <c r="EGE213" s="1"/>
      <c r="EGF213" s="1"/>
      <c r="EGG213" s="1"/>
      <c r="EGH213" s="1"/>
      <c r="EGI213" s="1"/>
      <c r="EGJ213" s="1"/>
      <c r="EGK213" s="1"/>
      <c r="EGL213" s="1"/>
      <c r="EGM213" s="1"/>
      <c r="EGN213" s="1"/>
      <c r="EGO213" s="1"/>
      <c r="EGP213" s="1"/>
      <c r="EGQ213" s="1"/>
      <c r="EGR213" s="1"/>
      <c r="EGS213" s="1"/>
      <c r="EGT213" s="1"/>
      <c r="EGU213" s="1"/>
      <c r="EGV213" s="1"/>
      <c r="EGW213" s="1"/>
      <c r="EGX213" s="1"/>
      <c r="EGY213" s="1"/>
      <c r="EGZ213" s="1"/>
      <c r="EHA213" s="1"/>
      <c r="EHB213" s="1"/>
      <c r="EHC213" s="1"/>
      <c r="EHD213" s="1"/>
      <c r="EHE213" s="1"/>
      <c r="EHF213" s="1"/>
      <c r="EHG213" s="1"/>
      <c r="EHH213" s="1"/>
      <c r="EHI213" s="1"/>
      <c r="EHJ213" s="1"/>
      <c r="EHK213" s="1"/>
      <c r="EHL213" s="1"/>
      <c r="EHM213" s="1"/>
      <c r="EHN213" s="1"/>
      <c r="EHO213" s="1"/>
      <c r="EHP213" s="1"/>
      <c r="EHQ213" s="1"/>
      <c r="EHR213" s="1"/>
      <c r="EHS213" s="1"/>
      <c r="EHT213" s="1"/>
      <c r="EHU213" s="1"/>
      <c r="EHV213" s="1"/>
      <c r="EHW213" s="1"/>
      <c r="EHX213" s="1"/>
      <c r="EHY213" s="1"/>
      <c r="EHZ213" s="1"/>
      <c r="EIA213" s="1"/>
      <c r="EIB213" s="1"/>
      <c r="EIC213" s="1"/>
      <c r="EID213" s="1"/>
      <c r="EIE213" s="1"/>
      <c r="EIF213" s="1"/>
      <c r="EIG213" s="1"/>
      <c r="EIH213" s="1"/>
      <c r="EII213" s="1"/>
      <c r="EIJ213" s="1"/>
      <c r="EIK213" s="1"/>
      <c r="EIL213" s="1"/>
      <c r="EIM213" s="1"/>
      <c r="EIN213" s="1"/>
      <c r="EIO213" s="1"/>
      <c r="EIP213" s="1"/>
      <c r="EIQ213" s="1"/>
      <c r="EIR213" s="1"/>
      <c r="EIS213" s="1"/>
      <c r="EIT213" s="1"/>
      <c r="EIU213" s="1"/>
      <c r="EIV213" s="1"/>
      <c r="EIW213" s="1"/>
      <c r="EIX213" s="1"/>
      <c r="EIY213" s="1"/>
      <c r="EIZ213" s="1"/>
      <c r="EJA213" s="1"/>
      <c r="EJB213" s="1"/>
      <c r="EJC213" s="1"/>
      <c r="EJD213" s="1"/>
      <c r="EJE213" s="1"/>
      <c r="EJF213" s="1"/>
      <c r="EJG213" s="1"/>
      <c r="EJH213" s="1"/>
      <c r="EJI213" s="1"/>
      <c r="EJJ213" s="1"/>
      <c r="EJK213" s="1"/>
      <c r="EJL213" s="1"/>
      <c r="EJM213" s="1"/>
      <c r="EJN213" s="1"/>
      <c r="EJO213" s="1"/>
      <c r="EJP213" s="1"/>
      <c r="EJQ213" s="1"/>
      <c r="EJR213" s="1"/>
      <c r="EJS213" s="1"/>
      <c r="EJT213" s="1"/>
      <c r="EJU213" s="1"/>
      <c r="EJV213" s="1"/>
      <c r="EJW213" s="1"/>
      <c r="EJX213" s="1"/>
      <c r="EJY213" s="1"/>
      <c r="EJZ213" s="1"/>
      <c r="EKA213" s="1"/>
      <c r="EKB213" s="1"/>
      <c r="EKC213" s="1"/>
      <c r="EKD213" s="1"/>
      <c r="EKE213" s="1"/>
      <c r="EKF213" s="1"/>
      <c r="EKG213" s="1"/>
      <c r="EKH213" s="1"/>
      <c r="EKI213" s="1"/>
      <c r="EKJ213" s="1"/>
      <c r="EKK213" s="1"/>
      <c r="EKL213" s="1"/>
      <c r="EKM213" s="1"/>
      <c r="EKN213" s="1"/>
      <c r="EKO213" s="1"/>
      <c r="EKP213" s="1"/>
      <c r="EKQ213" s="1"/>
      <c r="EKR213" s="1"/>
      <c r="EKS213" s="1"/>
      <c r="EKT213" s="1"/>
      <c r="EKU213" s="1"/>
      <c r="EKV213" s="1"/>
      <c r="EKW213" s="1"/>
      <c r="EKX213" s="1"/>
      <c r="EKY213" s="1"/>
      <c r="EKZ213" s="1"/>
      <c r="ELA213" s="1"/>
      <c r="ELB213" s="1"/>
      <c r="ELC213" s="1"/>
      <c r="ELD213" s="1"/>
      <c r="ELE213" s="1"/>
      <c r="ELF213" s="1"/>
      <c r="ELG213" s="1"/>
      <c r="ELH213" s="1"/>
      <c r="ELI213" s="1"/>
      <c r="ELJ213" s="1"/>
      <c r="ELK213" s="1"/>
      <c r="ELL213" s="1"/>
      <c r="ELM213" s="1"/>
      <c r="ELN213" s="1"/>
      <c r="ELO213" s="1"/>
      <c r="ELP213" s="1"/>
      <c r="ELQ213" s="1"/>
      <c r="ELR213" s="1"/>
      <c r="ELS213" s="1"/>
      <c r="ELT213" s="1"/>
      <c r="ELU213" s="1"/>
      <c r="ELV213" s="1"/>
      <c r="ELW213" s="1"/>
      <c r="ELX213" s="1"/>
      <c r="ELY213" s="1"/>
      <c r="ELZ213" s="1"/>
      <c r="EMA213" s="1"/>
      <c r="EMB213" s="1"/>
      <c r="EMC213" s="1"/>
      <c r="EMD213" s="1"/>
      <c r="EME213" s="1"/>
      <c r="EMF213" s="1"/>
      <c r="EMG213" s="1"/>
      <c r="EMH213" s="1"/>
      <c r="EMI213" s="1"/>
      <c r="EMJ213" s="1"/>
      <c r="EMK213" s="1"/>
      <c r="EML213" s="1"/>
      <c r="EMM213" s="1"/>
      <c r="EMN213" s="1"/>
      <c r="EMO213" s="1"/>
      <c r="EMP213" s="1"/>
      <c r="EMQ213" s="1"/>
      <c r="EMR213" s="1"/>
      <c r="EMS213" s="1"/>
      <c r="EMT213" s="1"/>
      <c r="EMU213" s="1"/>
      <c r="EMV213" s="1"/>
      <c r="EMW213" s="1"/>
      <c r="EMX213" s="1"/>
      <c r="EMY213" s="1"/>
      <c r="EMZ213" s="1"/>
      <c r="ENA213" s="1"/>
      <c r="ENB213" s="1"/>
      <c r="ENC213" s="1"/>
      <c r="END213" s="1"/>
      <c r="ENE213" s="1"/>
      <c r="ENF213" s="1"/>
      <c r="ENG213" s="1"/>
      <c r="ENH213" s="1"/>
      <c r="ENI213" s="1"/>
      <c r="ENJ213" s="1"/>
      <c r="ENK213" s="1"/>
      <c r="ENL213" s="1"/>
      <c r="ENM213" s="1"/>
      <c r="ENN213" s="1"/>
      <c r="ENO213" s="1"/>
      <c r="ENP213" s="1"/>
      <c r="ENQ213" s="1"/>
      <c r="ENR213" s="1"/>
      <c r="ENS213" s="1"/>
      <c r="ENT213" s="1"/>
      <c r="ENU213" s="1"/>
      <c r="ENV213" s="1"/>
      <c r="ENW213" s="1"/>
      <c r="ENX213" s="1"/>
      <c r="ENY213" s="1"/>
      <c r="ENZ213" s="1"/>
      <c r="EOA213" s="1"/>
      <c r="EOB213" s="1"/>
      <c r="EOC213" s="1"/>
      <c r="EOD213" s="1"/>
      <c r="EOE213" s="1"/>
      <c r="EOF213" s="1"/>
      <c r="EOG213" s="1"/>
      <c r="EOH213" s="1"/>
      <c r="EOI213" s="1"/>
      <c r="EOJ213" s="1"/>
      <c r="EOK213" s="1"/>
      <c r="EOL213" s="1"/>
      <c r="EOM213" s="1"/>
      <c r="EON213" s="1"/>
      <c r="EOO213" s="1"/>
      <c r="EOP213" s="1"/>
      <c r="EOQ213" s="1"/>
      <c r="EOR213" s="1"/>
      <c r="EOS213" s="1"/>
      <c r="EOT213" s="1"/>
      <c r="EOU213" s="1"/>
      <c r="EOV213" s="1"/>
      <c r="EOW213" s="1"/>
      <c r="EOX213" s="1"/>
      <c r="EOY213" s="1"/>
      <c r="EOZ213" s="1"/>
      <c r="EPA213" s="1"/>
      <c r="EPB213" s="1"/>
      <c r="EPC213" s="1"/>
      <c r="EPD213" s="1"/>
      <c r="EPE213" s="1"/>
      <c r="EPF213" s="1"/>
      <c r="EPG213" s="1"/>
      <c r="EPH213" s="1"/>
      <c r="EPI213" s="1"/>
      <c r="EPJ213" s="1"/>
      <c r="EPK213" s="1"/>
      <c r="EPL213" s="1"/>
      <c r="EPM213" s="1"/>
      <c r="EPN213" s="1"/>
      <c r="EPO213" s="1"/>
      <c r="EPP213" s="1"/>
      <c r="EPQ213" s="1"/>
      <c r="EPR213" s="1"/>
      <c r="EPS213" s="1"/>
      <c r="EPT213" s="1"/>
      <c r="EPU213" s="1"/>
      <c r="EPV213" s="1"/>
      <c r="EPW213" s="1"/>
      <c r="EPX213" s="1"/>
      <c r="EPY213" s="1"/>
      <c r="EPZ213" s="1"/>
      <c r="EQA213" s="1"/>
      <c r="EQB213" s="1"/>
      <c r="EQC213" s="1"/>
      <c r="EQD213" s="1"/>
      <c r="EQE213" s="1"/>
      <c r="EQF213" s="1"/>
      <c r="EQG213" s="1"/>
      <c r="EQH213" s="1"/>
      <c r="EQI213" s="1"/>
      <c r="EQJ213" s="1"/>
      <c r="EQK213" s="1"/>
      <c r="EQL213" s="1"/>
      <c r="EQM213" s="1"/>
      <c r="EQN213" s="1"/>
      <c r="EQO213" s="1"/>
      <c r="EQP213" s="1"/>
      <c r="EQQ213" s="1"/>
      <c r="EQR213" s="1"/>
      <c r="EQS213" s="1"/>
      <c r="EQT213" s="1"/>
      <c r="EQU213" s="1"/>
      <c r="EQV213" s="1"/>
      <c r="EQW213" s="1"/>
      <c r="EQX213" s="1"/>
      <c r="EQY213" s="1"/>
      <c r="EQZ213" s="1"/>
      <c r="ERA213" s="1"/>
      <c r="ERB213" s="1"/>
      <c r="ERC213" s="1"/>
      <c r="ERD213" s="1"/>
      <c r="ERE213" s="1"/>
      <c r="ERF213" s="1"/>
      <c r="ERG213" s="1"/>
      <c r="ERH213" s="1"/>
      <c r="ERI213" s="1"/>
      <c r="ERJ213" s="1"/>
      <c r="ERK213" s="1"/>
      <c r="ERL213" s="1"/>
      <c r="ERM213" s="1"/>
      <c r="ERN213" s="1"/>
      <c r="ERO213" s="1"/>
      <c r="ERP213" s="1"/>
      <c r="ERQ213" s="1"/>
      <c r="ERR213" s="1"/>
      <c r="ERS213" s="1"/>
      <c r="ERT213" s="1"/>
      <c r="ERU213" s="1"/>
      <c r="ERV213" s="1"/>
      <c r="ERW213" s="1"/>
      <c r="ERX213" s="1"/>
      <c r="ERY213" s="1"/>
      <c r="ERZ213" s="1"/>
      <c r="ESA213" s="1"/>
      <c r="ESB213" s="1"/>
      <c r="ESC213" s="1"/>
      <c r="ESD213" s="1"/>
      <c r="ESE213" s="1"/>
      <c r="ESF213" s="1"/>
      <c r="ESG213" s="1"/>
      <c r="ESH213" s="1"/>
      <c r="ESI213" s="1"/>
      <c r="ESJ213" s="1"/>
      <c r="ESK213" s="1"/>
      <c r="ESL213" s="1"/>
      <c r="ESM213" s="1"/>
      <c r="ESN213" s="1"/>
      <c r="ESO213" s="1"/>
      <c r="ESP213" s="1"/>
      <c r="ESQ213" s="1"/>
      <c r="ESR213" s="1"/>
      <c r="ESS213" s="1"/>
      <c r="EST213" s="1"/>
      <c r="ESU213" s="1"/>
      <c r="ESV213" s="1"/>
      <c r="ESW213" s="1"/>
      <c r="ESX213" s="1"/>
      <c r="ESY213" s="1"/>
      <c r="ESZ213" s="1"/>
      <c r="ETA213" s="1"/>
      <c r="ETB213" s="1"/>
      <c r="ETC213" s="1"/>
      <c r="ETD213" s="1"/>
      <c r="ETE213" s="1"/>
      <c r="ETF213" s="1"/>
      <c r="ETG213" s="1"/>
      <c r="ETH213" s="1"/>
      <c r="ETI213" s="1"/>
      <c r="ETJ213" s="1"/>
      <c r="ETK213" s="1"/>
      <c r="ETL213" s="1"/>
      <c r="ETM213" s="1"/>
      <c r="ETN213" s="1"/>
      <c r="ETO213" s="1"/>
      <c r="ETP213" s="1"/>
      <c r="ETQ213" s="1"/>
      <c r="ETR213" s="1"/>
      <c r="ETS213" s="1"/>
      <c r="ETT213" s="1"/>
      <c r="ETU213" s="1"/>
      <c r="ETV213" s="1"/>
      <c r="ETW213" s="1"/>
      <c r="ETX213" s="1"/>
      <c r="ETY213" s="1"/>
      <c r="ETZ213" s="1"/>
      <c r="EUA213" s="1"/>
      <c r="EUB213" s="1"/>
      <c r="EUC213" s="1"/>
      <c r="EUD213" s="1"/>
      <c r="EUE213" s="1"/>
      <c r="EUF213" s="1"/>
      <c r="EUG213" s="1"/>
      <c r="EUH213" s="1"/>
      <c r="EUI213" s="1"/>
      <c r="EUJ213" s="1"/>
      <c r="EUK213" s="1"/>
      <c r="EUL213" s="1"/>
      <c r="EUM213" s="1"/>
      <c r="EUN213" s="1"/>
      <c r="EUO213" s="1"/>
      <c r="EUP213" s="1"/>
      <c r="EUQ213" s="1"/>
      <c r="EUR213" s="1"/>
      <c r="EUS213" s="1"/>
      <c r="EUT213" s="1"/>
      <c r="EUU213" s="1"/>
      <c r="EUV213" s="1"/>
      <c r="EUW213" s="1"/>
      <c r="EUX213" s="1"/>
      <c r="EUY213" s="1"/>
      <c r="EUZ213" s="1"/>
      <c r="EVA213" s="1"/>
      <c r="EVB213" s="1"/>
      <c r="EVC213" s="1"/>
      <c r="EVD213" s="1"/>
      <c r="EVE213" s="1"/>
      <c r="EVF213" s="1"/>
      <c r="EVG213" s="1"/>
      <c r="EVH213" s="1"/>
      <c r="EVI213" s="1"/>
      <c r="EVJ213" s="1"/>
      <c r="EVK213" s="1"/>
      <c r="EVL213" s="1"/>
      <c r="EVM213" s="1"/>
      <c r="EVN213" s="1"/>
      <c r="EVO213" s="1"/>
      <c r="EVP213" s="1"/>
      <c r="EVQ213" s="1"/>
      <c r="EVR213" s="1"/>
      <c r="EVS213" s="1"/>
      <c r="EVT213" s="1"/>
      <c r="EVU213" s="1"/>
      <c r="EVV213" s="1"/>
      <c r="EVW213" s="1"/>
      <c r="EVX213" s="1"/>
      <c r="EVY213" s="1"/>
      <c r="EVZ213" s="1"/>
      <c r="EWA213" s="1"/>
      <c r="EWB213" s="1"/>
      <c r="EWC213" s="1"/>
      <c r="EWD213" s="1"/>
      <c r="EWE213" s="1"/>
      <c r="EWF213" s="1"/>
      <c r="EWG213" s="1"/>
      <c r="EWH213" s="1"/>
      <c r="EWI213" s="1"/>
      <c r="EWJ213" s="1"/>
      <c r="EWK213" s="1"/>
      <c r="EWL213" s="1"/>
      <c r="EWM213" s="1"/>
      <c r="EWN213" s="1"/>
      <c r="EWO213" s="1"/>
      <c r="EWP213" s="1"/>
      <c r="EWQ213" s="1"/>
      <c r="EWR213" s="1"/>
      <c r="EWS213" s="1"/>
      <c r="EWT213" s="1"/>
      <c r="EWU213" s="1"/>
      <c r="EWV213" s="1"/>
      <c r="EWW213" s="1"/>
      <c r="EWX213" s="1"/>
      <c r="EWY213" s="1"/>
      <c r="EWZ213" s="1"/>
      <c r="EXA213" s="1"/>
      <c r="EXB213" s="1"/>
      <c r="EXC213" s="1"/>
      <c r="EXD213" s="1"/>
      <c r="EXE213" s="1"/>
      <c r="EXF213" s="1"/>
      <c r="EXG213" s="1"/>
      <c r="EXH213" s="1"/>
      <c r="EXI213" s="1"/>
      <c r="EXJ213" s="1"/>
      <c r="EXK213" s="1"/>
      <c r="EXL213" s="1"/>
      <c r="EXM213" s="1"/>
      <c r="EXN213" s="1"/>
      <c r="EXO213" s="1"/>
      <c r="EXP213" s="1"/>
      <c r="EXQ213" s="1"/>
      <c r="EXR213" s="1"/>
      <c r="EXS213" s="1"/>
      <c r="EXT213" s="1"/>
      <c r="EXU213" s="1"/>
      <c r="EXV213" s="1"/>
      <c r="EXW213" s="1"/>
      <c r="EXX213" s="1"/>
      <c r="EXY213" s="1"/>
      <c r="EXZ213" s="1"/>
      <c r="EYA213" s="1"/>
      <c r="EYB213" s="1"/>
      <c r="EYC213" s="1"/>
      <c r="EYD213" s="1"/>
      <c r="EYE213" s="1"/>
      <c r="EYF213" s="1"/>
      <c r="EYG213" s="1"/>
      <c r="EYH213" s="1"/>
      <c r="EYI213" s="1"/>
      <c r="EYJ213" s="1"/>
      <c r="EYK213" s="1"/>
      <c r="EYL213" s="1"/>
      <c r="EYM213" s="1"/>
      <c r="EYN213" s="1"/>
      <c r="EYO213" s="1"/>
      <c r="EYP213" s="1"/>
      <c r="EYQ213" s="1"/>
      <c r="EYR213" s="1"/>
      <c r="EYS213" s="1"/>
      <c r="EYT213" s="1"/>
      <c r="EYU213" s="1"/>
      <c r="EYV213" s="1"/>
      <c r="EYW213" s="1"/>
      <c r="EYX213" s="1"/>
      <c r="EYY213" s="1"/>
      <c r="EYZ213" s="1"/>
      <c r="EZA213" s="1"/>
      <c r="EZB213" s="1"/>
      <c r="EZC213" s="1"/>
      <c r="EZD213" s="1"/>
      <c r="EZE213" s="1"/>
      <c r="EZF213" s="1"/>
      <c r="EZG213" s="1"/>
      <c r="EZH213" s="1"/>
      <c r="EZI213" s="1"/>
      <c r="EZJ213" s="1"/>
      <c r="EZK213" s="1"/>
      <c r="EZL213" s="1"/>
      <c r="EZM213" s="1"/>
      <c r="EZN213" s="1"/>
      <c r="EZO213" s="1"/>
      <c r="EZP213" s="1"/>
      <c r="EZQ213" s="1"/>
      <c r="EZR213" s="1"/>
      <c r="EZS213" s="1"/>
      <c r="EZT213" s="1"/>
      <c r="EZU213" s="1"/>
      <c r="EZV213" s="1"/>
      <c r="EZW213" s="1"/>
      <c r="EZX213" s="1"/>
      <c r="EZY213" s="1"/>
      <c r="EZZ213" s="1"/>
      <c r="FAA213" s="1"/>
      <c r="FAB213" s="1"/>
      <c r="FAC213" s="1"/>
      <c r="FAD213" s="1"/>
      <c r="FAE213" s="1"/>
      <c r="FAF213" s="1"/>
      <c r="FAG213" s="1"/>
      <c r="FAH213" s="1"/>
      <c r="FAI213" s="1"/>
      <c r="FAJ213" s="1"/>
      <c r="FAK213" s="1"/>
      <c r="FAL213" s="1"/>
      <c r="FAM213" s="1"/>
      <c r="FAN213" s="1"/>
      <c r="FAO213" s="1"/>
      <c r="FAP213" s="1"/>
      <c r="FAQ213" s="1"/>
      <c r="FAR213" s="1"/>
      <c r="FAS213" s="1"/>
      <c r="FAT213" s="1"/>
      <c r="FAU213" s="1"/>
      <c r="FAV213" s="1"/>
      <c r="FAW213" s="1"/>
      <c r="FAX213" s="1"/>
      <c r="FAY213" s="1"/>
      <c r="FAZ213" s="1"/>
      <c r="FBA213" s="1"/>
      <c r="FBB213" s="1"/>
      <c r="FBC213" s="1"/>
      <c r="FBD213" s="1"/>
      <c r="FBE213" s="1"/>
      <c r="FBF213" s="1"/>
      <c r="FBG213" s="1"/>
      <c r="FBH213" s="1"/>
      <c r="FBI213" s="1"/>
      <c r="FBJ213" s="1"/>
      <c r="FBK213" s="1"/>
      <c r="FBL213" s="1"/>
      <c r="FBM213" s="1"/>
      <c r="FBN213" s="1"/>
      <c r="FBO213" s="1"/>
      <c r="FBP213" s="1"/>
      <c r="FBQ213" s="1"/>
      <c r="FBR213" s="1"/>
      <c r="FBS213" s="1"/>
      <c r="FBT213" s="1"/>
      <c r="FBU213" s="1"/>
      <c r="FBV213" s="1"/>
      <c r="FBW213" s="1"/>
      <c r="FBX213" s="1"/>
      <c r="FBY213" s="1"/>
      <c r="FBZ213" s="1"/>
      <c r="FCA213" s="1"/>
      <c r="FCB213" s="1"/>
      <c r="FCC213" s="1"/>
      <c r="FCD213" s="1"/>
      <c r="FCE213" s="1"/>
      <c r="FCF213" s="1"/>
      <c r="FCG213" s="1"/>
      <c r="FCH213" s="1"/>
      <c r="FCI213" s="1"/>
      <c r="FCJ213" s="1"/>
      <c r="FCK213" s="1"/>
      <c r="FCL213" s="1"/>
      <c r="FCM213" s="1"/>
      <c r="FCN213" s="1"/>
      <c r="FCO213" s="1"/>
      <c r="FCP213" s="1"/>
      <c r="FCQ213" s="1"/>
      <c r="FCR213" s="1"/>
      <c r="FCS213" s="1"/>
      <c r="FCT213" s="1"/>
      <c r="FCU213" s="1"/>
      <c r="FCV213" s="1"/>
      <c r="FCW213" s="1"/>
      <c r="FCX213" s="1"/>
      <c r="FCY213" s="1"/>
      <c r="FCZ213" s="1"/>
      <c r="FDA213" s="1"/>
      <c r="FDB213" s="1"/>
      <c r="FDC213" s="1"/>
      <c r="FDD213" s="1"/>
      <c r="FDE213" s="1"/>
      <c r="FDF213" s="1"/>
      <c r="FDG213" s="1"/>
      <c r="FDH213" s="1"/>
      <c r="FDI213" s="1"/>
      <c r="FDJ213" s="1"/>
      <c r="FDK213" s="1"/>
      <c r="FDL213" s="1"/>
      <c r="FDM213" s="1"/>
      <c r="FDN213" s="1"/>
      <c r="FDO213" s="1"/>
      <c r="FDP213" s="1"/>
      <c r="FDQ213" s="1"/>
      <c r="FDR213" s="1"/>
      <c r="FDS213" s="1"/>
      <c r="FDT213" s="1"/>
      <c r="FDU213" s="1"/>
      <c r="FDV213" s="1"/>
      <c r="FDW213" s="1"/>
      <c r="FDX213" s="1"/>
      <c r="FDY213" s="1"/>
      <c r="FDZ213" s="1"/>
      <c r="FEA213" s="1"/>
      <c r="FEB213" s="1"/>
      <c r="FEC213" s="1"/>
      <c r="FED213" s="1"/>
      <c r="FEE213" s="1"/>
      <c r="FEF213" s="1"/>
      <c r="FEG213" s="1"/>
      <c r="FEH213" s="1"/>
      <c r="FEI213" s="1"/>
      <c r="FEJ213" s="1"/>
      <c r="FEK213" s="1"/>
      <c r="FEL213" s="1"/>
      <c r="FEM213" s="1"/>
      <c r="FEN213" s="1"/>
      <c r="FEO213" s="1"/>
      <c r="FEP213" s="1"/>
      <c r="FEQ213" s="1"/>
      <c r="FER213" s="1"/>
      <c r="FES213" s="1"/>
      <c r="FET213" s="1"/>
      <c r="FEU213" s="1"/>
      <c r="FEV213" s="1"/>
      <c r="FEW213" s="1"/>
      <c r="FEX213" s="1"/>
      <c r="FEY213" s="1"/>
      <c r="FEZ213" s="1"/>
      <c r="FFA213" s="1"/>
      <c r="FFB213" s="1"/>
      <c r="FFC213" s="1"/>
      <c r="FFD213" s="1"/>
      <c r="FFE213" s="1"/>
      <c r="FFF213" s="1"/>
      <c r="FFG213" s="1"/>
      <c r="FFH213" s="1"/>
      <c r="FFI213" s="1"/>
      <c r="FFJ213" s="1"/>
      <c r="FFK213" s="1"/>
      <c r="FFL213" s="1"/>
      <c r="FFM213" s="1"/>
      <c r="FFN213" s="1"/>
      <c r="FFO213" s="1"/>
      <c r="FFP213" s="1"/>
      <c r="FFQ213" s="1"/>
      <c r="FFR213" s="1"/>
      <c r="FFS213" s="1"/>
      <c r="FFT213" s="1"/>
      <c r="FFU213" s="1"/>
      <c r="FFV213" s="1"/>
      <c r="FFW213" s="1"/>
      <c r="FFX213" s="1"/>
      <c r="FFY213" s="1"/>
      <c r="FFZ213" s="1"/>
      <c r="FGA213" s="1"/>
      <c r="FGB213" s="1"/>
      <c r="FGC213" s="1"/>
      <c r="FGD213" s="1"/>
      <c r="FGE213" s="1"/>
      <c r="FGF213" s="1"/>
      <c r="FGG213" s="1"/>
      <c r="FGH213" s="1"/>
      <c r="FGI213" s="1"/>
      <c r="FGJ213" s="1"/>
      <c r="FGK213" s="1"/>
      <c r="FGL213" s="1"/>
      <c r="FGM213" s="1"/>
      <c r="FGN213" s="1"/>
      <c r="FGO213" s="1"/>
      <c r="FGP213" s="1"/>
      <c r="FGQ213" s="1"/>
      <c r="FGR213" s="1"/>
      <c r="FGS213" s="1"/>
      <c r="FGT213" s="1"/>
      <c r="FGU213" s="1"/>
      <c r="FGV213" s="1"/>
      <c r="FGW213" s="1"/>
      <c r="FGX213" s="1"/>
      <c r="FGY213" s="1"/>
      <c r="FGZ213" s="1"/>
      <c r="FHA213" s="1"/>
      <c r="FHB213" s="1"/>
      <c r="FHC213" s="1"/>
      <c r="FHD213" s="1"/>
      <c r="FHE213" s="1"/>
      <c r="FHF213" s="1"/>
      <c r="FHG213" s="1"/>
      <c r="FHH213" s="1"/>
      <c r="FHI213" s="1"/>
      <c r="FHJ213" s="1"/>
      <c r="FHK213" s="1"/>
      <c r="FHL213" s="1"/>
      <c r="FHM213" s="1"/>
      <c r="FHN213" s="1"/>
      <c r="FHO213" s="1"/>
      <c r="FHP213" s="1"/>
      <c r="FHQ213" s="1"/>
      <c r="FHR213" s="1"/>
      <c r="FHS213" s="1"/>
      <c r="FHT213" s="1"/>
      <c r="FHU213" s="1"/>
      <c r="FHV213" s="1"/>
      <c r="FHW213" s="1"/>
      <c r="FHX213" s="1"/>
      <c r="FHY213" s="1"/>
      <c r="FHZ213" s="1"/>
      <c r="FIA213" s="1"/>
      <c r="FIB213" s="1"/>
      <c r="FIC213" s="1"/>
      <c r="FID213" s="1"/>
      <c r="FIE213" s="1"/>
      <c r="FIF213" s="1"/>
      <c r="FIG213" s="1"/>
      <c r="FIH213" s="1"/>
      <c r="FII213" s="1"/>
      <c r="FIJ213" s="1"/>
      <c r="FIK213" s="1"/>
      <c r="FIL213" s="1"/>
      <c r="FIM213" s="1"/>
      <c r="FIN213" s="1"/>
      <c r="FIO213" s="1"/>
      <c r="FIP213" s="1"/>
      <c r="FIQ213" s="1"/>
      <c r="FIR213" s="1"/>
      <c r="FIS213" s="1"/>
      <c r="FIT213" s="1"/>
      <c r="FIU213" s="1"/>
      <c r="FIV213" s="1"/>
      <c r="FIW213" s="1"/>
      <c r="FIX213" s="1"/>
      <c r="FIY213" s="1"/>
      <c r="FIZ213" s="1"/>
      <c r="FJA213" s="1"/>
      <c r="FJB213" s="1"/>
      <c r="FJC213" s="1"/>
      <c r="FJD213" s="1"/>
      <c r="FJE213" s="1"/>
      <c r="FJF213" s="1"/>
      <c r="FJG213" s="1"/>
      <c r="FJH213" s="1"/>
      <c r="FJI213" s="1"/>
      <c r="FJJ213" s="1"/>
      <c r="FJK213" s="1"/>
      <c r="FJL213" s="1"/>
      <c r="FJM213" s="1"/>
      <c r="FJN213" s="1"/>
      <c r="FJO213" s="1"/>
      <c r="FJP213" s="1"/>
      <c r="FJQ213" s="1"/>
      <c r="FJR213" s="1"/>
      <c r="FJS213" s="1"/>
      <c r="FJT213" s="1"/>
      <c r="FJU213" s="1"/>
      <c r="FJV213" s="1"/>
      <c r="FJW213" s="1"/>
      <c r="FJX213" s="1"/>
      <c r="FJY213" s="1"/>
      <c r="FJZ213" s="1"/>
      <c r="FKA213" s="1"/>
      <c r="FKB213" s="1"/>
      <c r="FKC213" s="1"/>
      <c r="FKD213" s="1"/>
      <c r="FKE213" s="1"/>
      <c r="FKF213" s="1"/>
      <c r="FKG213" s="1"/>
      <c r="FKH213" s="1"/>
      <c r="FKI213" s="1"/>
      <c r="FKJ213" s="1"/>
      <c r="FKK213" s="1"/>
      <c r="FKL213" s="1"/>
      <c r="FKM213" s="1"/>
      <c r="FKN213" s="1"/>
      <c r="FKO213" s="1"/>
      <c r="FKP213" s="1"/>
      <c r="FKQ213" s="1"/>
      <c r="FKR213" s="1"/>
      <c r="FKS213" s="1"/>
      <c r="FKT213" s="1"/>
      <c r="FKU213" s="1"/>
      <c r="FKV213" s="1"/>
      <c r="FKW213" s="1"/>
      <c r="FKX213" s="1"/>
      <c r="FKY213" s="1"/>
      <c r="FKZ213" s="1"/>
      <c r="FLA213" s="1"/>
      <c r="FLB213" s="1"/>
      <c r="FLC213" s="1"/>
      <c r="FLD213" s="1"/>
      <c r="FLE213" s="1"/>
      <c r="FLF213" s="1"/>
      <c r="FLG213" s="1"/>
      <c r="FLH213" s="1"/>
      <c r="FLI213" s="1"/>
      <c r="FLJ213" s="1"/>
      <c r="FLK213" s="1"/>
      <c r="FLL213" s="1"/>
      <c r="FLM213" s="1"/>
      <c r="FLN213" s="1"/>
      <c r="FLO213" s="1"/>
      <c r="FLP213" s="1"/>
      <c r="FLQ213" s="1"/>
      <c r="FLR213" s="1"/>
      <c r="FLS213" s="1"/>
      <c r="FLT213" s="1"/>
      <c r="FLU213" s="1"/>
      <c r="FLV213" s="1"/>
      <c r="FLW213" s="1"/>
      <c r="FLX213" s="1"/>
      <c r="FLY213" s="1"/>
      <c r="FLZ213" s="1"/>
      <c r="FMA213" s="1"/>
      <c r="FMB213" s="1"/>
      <c r="FMC213" s="1"/>
      <c r="FMD213" s="1"/>
      <c r="FME213" s="1"/>
      <c r="FMF213" s="1"/>
      <c r="FMG213" s="1"/>
      <c r="FMH213" s="1"/>
      <c r="FMI213" s="1"/>
      <c r="FMJ213" s="1"/>
      <c r="FMK213" s="1"/>
      <c r="FML213" s="1"/>
      <c r="FMM213" s="1"/>
      <c r="FMN213" s="1"/>
      <c r="FMO213" s="1"/>
      <c r="FMP213" s="1"/>
      <c r="FMQ213" s="1"/>
      <c r="FMR213" s="1"/>
      <c r="FMS213" s="1"/>
      <c r="FMT213" s="1"/>
      <c r="FMU213" s="1"/>
      <c r="FMV213" s="1"/>
      <c r="FMW213" s="1"/>
      <c r="FMX213" s="1"/>
      <c r="FMY213" s="1"/>
      <c r="FMZ213" s="1"/>
      <c r="FNA213" s="1"/>
      <c r="FNB213" s="1"/>
      <c r="FNC213" s="1"/>
      <c r="FND213" s="1"/>
      <c r="FNE213" s="1"/>
      <c r="FNF213" s="1"/>
      <c r="FNG213" s="1"/>
      <c r="FNH213" s="1"/>
      <c r="FNI213" s="1"/>
      <c r="FNJ213" s="1"/>
      <c r="FNK213" s="1"/>
      <c r="FNL213" s="1"/>
      <c r="FNM213" s="1"/>
      <c r="FNN213" s="1"/>
      <c r="FNO213" s="1"/>
      <c r="FNP213" s="1"/>
      <c r="FNQ213" s="1"/>
      <c r="FNR213" s="1"/>
      <c r="FNS213" s="1"/>
      <c r="FNT213" s="1"/>
      <c r="FNU213" s="1"/>
      <c r="FNV213" s="1"/>
      <c r="FNW213" s="1"/>
      <c r="FNX213" s="1"/>
      <c r="FNY213" s="1"/>
      <c r="FNZ213" s="1"/>
      <c r="FOA213" s="1"/>
      <c r="FOB213" s="1"/>
      <c r="FOC213" s="1"/>
      <c r="FOD213" s="1"/>
      <c r="FOE213" s="1"/>
      <c r="FOF213" s="1"/>
      <c r="FOG213" s="1"/>
      <c r="FOH213" s="1"/>
      <c r="FOI213" s="1"/>
      <c r="FOJ213" s="1"/>
      <c r="FOK213" s="1"/>
      <c r="FOL213" s="1"/>
      <c r="FOM213" s="1"/>
      <c r="FON213" s="1"/>
      <c r="FOO213" s="1"/>
      <c r="FOP213" s="1"/>
      <c r="FOQ213" s="1"/>
      <c r="FOR213" s="1"/>
      <c r="FOS213" s="1"/>
      <c r="FOT213" s="1"/>
      <c r="FOU213" s="1"/>
      <c r="FOV213" s="1"/>
      <c r="FOW213" s="1"/>
      <c r="FOX213" s="1"/>
      <c r="FOY213" s="1"/>
      <c r="FOZ213" s="1"/>
      <c r="FPA213" s="1"/>
      <c r="FPB213" s="1"/>
      <c r="FPC213" s="1"/>
      <c r="FPD213" s="1"/>
      <c r="FPE213" s="1"/>
      <c r="FPF213" s="1"/>
      <c r="FPG213" s="1"/>
      <c r="FPH213" s="1"/>
      <c r="FPI213" s="1"/>
      <c r="FPJ213" s="1"/>
      <c r="FPK213" s="1"/>
      <c r="FPL213" s="1"/>
      <c r="FPM213" s="1"/>
      <c r="FPN213" s="1"/>
      <c r="FPO213" s="1"/>
      <c r="FPP213" s="1"/>
      <c r="FPQ213" s="1"/>
      <c r="FPR213" s="1"/>
      <c r="FPS213" s="1"/>
      <c r="FPT213" s="1"/>
      <c r="FPU213" s="1"/>
      <c r="FPV213" s="1"/>
      <c r="FPW213" s="1"/>
      <c r="FPX213" s="1"/>
      <c r="FPY213" s="1"/>
      <c r="FPZ213" s="1"/>
      <c r="FQA213" s="1"/>
      <c r="FQB213" s="1"/>
      <c r="FQC213" s="1"/>
      <c r="FQD213" s="1"/>
      <c r="FQE213" s="1"/>
      <c r="FQF213" s="1"/>
      <c r="FQG213" s="1"/>
      <c r="FQH213" s="1"/>
      <c r="FQI213" s="1"/>
      <c r="FQJ213" s="1"/>
      <c r="FQK213" s="1"/>
      <c r="FQL213" s="1"/>
      <c r="FQM213" s="1"/>
      <c r="FQN213" s="1"/>
      <c r="FQO213" s="1"/>
      <c r="FQP213" s="1"/>
      <c r="FQQ213" s="1"/>
      <c r="FQR213" s="1"/>
      <c r="FQS213" s="1"/>
      <c r="FQT213" s="1"/>
      <c r="FQU213" s="1"/>
      <c r="FQV213" s="1"/>
      <c r="FQW213" s="1"/>
      <c r="FQX213" s="1"/>
      <c r="FQY213" s="1"/>
      <c r="FQZ213" s="1"/>
      <c r="FRA213" s="1"/>
      <c r="FRB213" s="1"/>
      <c r="FRC213" s="1"/>
      <c r="FRD213" s="1"/>
      <c r="FRE213" s="1"/>
      <c r="FRF213" s="1"/>
      <c r="FRG213" s="1"/>
      <c r="FRH213" s="1"/>
      <c r="FRI213" s="1"/>
      <c r="FRJ213" s="1"/>
      <c r="FRK213" s="1"/>
      <c r="FRL213" s="1"/>
      <c r="FRM213" s="1"/>
      <c r="FRN213" s="1"/>
      <c r="FRO213" s="1"/>
      <c r="FRP213" s="1"/>
      <c r="FRQ213" s="1"/>
      <c r="FRR213" s="1"/>
      <c r="FRS213" s="1"/>
      <c r="FRT213" s="1"/>
      <c r="FRU213" s="1"/>
      <c r="FRV213" s="1"/>
      <c r="FRW213" s="1"/>
      <c r="FRX213" s="1"/>
      <c r="FRY213" s="1"/>
      <c r="FRZ213" s="1"/>
      <c r="FSA213" s="1"/>
      <c r="FSB213" s="1"/>
      <c r="FSC213" s="1"/>
      <c r="FSD213" s="1"/>
      <c r="FSE213" s="1"/>
      <c r="FSF213" s="1"/>
      <c r="FSG213" s="1"/>
      <c r="FSH213" s="1"/>
      <c r="FSI213" s="1"/>
      <c r="FSJ213" s="1"/>
      <c r="FSK213" s="1"/>
      <c r="FSL213" s="1"/>
      <c r="FSM213" s="1"/>
      <c r="FSN213" s="1"/>
      <c r="FSO213" s="1"/>
      <c r="FSP213" s="1"/>
      <c r="FSQ213" s="1"/>
      <c r="FSR213" s="1"/>
      <c r="FSS213" s="1"/>
      <c r="FST213" s="1"/>
      <c r="FSU213" s="1"/>
      <c r="FSV213" s="1"/>
      <c r="FSW213" s="1"/>
      <c r="FSX213" s="1"/>
      <c r="FSY213" s="1"/>
      <c r="FSZ213" s="1"/>
      <c r="FTA213" s="1"/>
      <c r="FTB213" s="1"/>
      <c r="FTC213" s="1"/>
      <c r="FTD213" s="1"/>
      <c r="FTE213" s="1"/>
      <c r="FTF213" s="1"/>
      <c r="FTG213" s="1"/>
      <c r="FTH213" s="1"/>
      <c r="FTI213" s="1"/>
      <c r="FTJ213" s="1"/>
      <c r="FTK213" s="1"/>
      <c r="FTL213" s="1"/>
      <c r="FTM213" s="1"/>
      <c r="FTN213" s="1"/>
      <c r="FTO213" s="1"/>
      <c r="FTP213" s="1"/>
      <c r="FTQ213" s="1"/>
      <c r="FTR213" s="1"/>
      <c r="FTS213" s="1"/>
      <c r="FTT213" s="1"/>
      <c r="FTU213" s="1"/>
      <c r="FTV213" s="1"/>
      <c r="FTW213" s="1"/>
      <c r="FTX213" s="1"/>
      <c r="FTY213" s="1"/>
      <c r="FTZ213" s="1"/>
      <c r="FUA213" s="1"/>
      <c r="FUB213" s="1"/>
      <c r="FUC213" s="1"/>
      <c r="FUD213" s="1"/>
      <c r="FUE213" s="1"/>
      <c r="FUF213" s="1"/>
      <c r="FUG213" s="1"/>
      <c r="FUH213" s="1"/>
      <c r="FUI213" s="1"/>
      <c r="FUJ213" s="1"/>
      <c r="FUK213" s="1"/>
      <c r="FUL213" s="1"/>
      <c r="FUM213" s="1"/>
      <c r="FUN213" s="1"/>
      <c r="FUO213" s="1"/>
      <c r="FUP213" s="1"/>
      <c r="FUQ213" s="1"/>
      <c r="FUR213" s="1"/>
      <c r="FUS213" s="1"/>
      <c r="FUT213" s="1"/>
      <c r="FUU213" s="1"/>
      <c r="FUV213" s="1"/>
      <c r="FUW213" s="1"/>
      <c r="FUX213" s="1"/>
      <c r="FUY213" s="1"/>
      <c r="FUZ213" s="1"/>
      <c r="FVA213" s="1"/>
      <c r="FVB213" s="1"/>
      <c r="FVC213" s="1"/>
      <c r="FVD213" s="1"/>
      <c r="FVE213" s="1"/>
      <c r="FVF213" s="1"/>
      <c r="FVG213" s="1"/>
      <c r="FVH213" s="1"/>
      <c r="FVI213" s="1"/>
      <c r="FVJ213" s="1"/>
      <c r="FVK213" s="1"/>
      <c r="FVL213" s="1"/>
      <c r="FVM213" s="1"/>
      <c r="FVN213" s="1"/>
      <c r="FVO213" s="1"/>
      <c r="FVP213" s="1"/>
      <c r="FVQ213" s="1"/>
      <c r="FVR213" s="1"/>
      <c r="FVS213" s="1"/>
      <c r="FVT213" s="1"/>
      <c r="FVU213" s="1"/>
      <c r="FVV213" s="1"/>
      <c r="FVW213" s="1"/>
      <c r="FVX213" s="1"/>
      <c r="FVY213" s="1"/>
      <c r="FVZ213" s="1"/>
      <c r="FWA213" s="1"/>
      <c r="FWB213" s="1"/>
      <c r="FWC213" s="1"/>
      <c r="FWD213" s="1"/>
      <c r="FWE213" s="1"/>
      <c r="FWF213" s="1"/>
      <c r="FWG213" s="1"/>
      <c r="FWH213" s="1"/>
      <c r="FWI213" s="1"/>
      <c r="FWJ213" s="1"/>
      <c r="FWK213" s="1"/>
      <c r="FWL213" s="1"/>
      <c r="FWM213" s="1"/>
      <c r="FWN213" s="1"/>
      <c r="FWO213" s="1"/>
      <c r="FWP213" s="1"/>
      <c r="FWQ213" s="1"/>
      <c r="FWR213" s="1"/>
      <c r="FWS213" s="1"/>
      <c r="FWT213" s="1"/>
      <c r="FWU213" s="1"/>
      <c r="FWV213" s="1"/>
      <c r="FWW213" s="1"/>
      <c r="FWX213" s="1"/>
      <c r="FWY213" s="1"/>
      <c r="FWZ213" s="1"/>
      <c r="FXA213" s="1"/>
      <c r="FXB213" s="1"/>
      <c r="FXC213" s="1"/>
      <c r="FXD213" s="1"/>
      <c r="FXE213" s="1"/>
      <c r="FXF213" s="1"/>
      <c r="FXG213" s="1"/>
      <c r="FXH213" s="1"/>
      <c r="FXI213" s="1"/>
      <c r="FXJ213" s="1"/>
      <c r="FXK213" s="1"/>
      <c r="FXL213" s="1"/>
      <c r="FXM213" s="1"/>
      <c r="FXN213" s="1"/>
      <c r="FXO213" s="1"/>
      <c r="FXP213" s="1"/>
      <c r="FXQ213" s="1"/>
      <c r="FXR213" s="1"/>
      <c r="FXS213" s="1"/>
      <c r="FXT213" s="1"/>
      <c r="FXU213" s="1"/>
      <c r="FXV213" s="1"/>
      <c r="FXW213" s="1"/>
      <c r="FXX213" s="1"/>
      <c r="FXY213" s="1"/>
      <c r="FXZ213" s="1"/>
      <c r="FYA213" s="1"/>
      <c r="FYB213" s="1"/>
      <c r="FYC213" s="1"/>
      <c r="FYD213" s="1"/>
      <c r="FYE213" s="1"/>
      <c r="FYF213" s="1"/>
      <c r="FYG213" s="1"/>
      <c r="FYH213" s="1"/>
      <c r="FYI213" s="1"/>
      <c r="FYJ213" s="1"/>
      <c r="FYK213" s="1"/>
      <c r="FYL213" s="1"/>
      <c r="FYM213" s="1"/>
      <c r="FYN213" s="1"/>
      <c r="FYO213" s="1"/>
      <c r="FYP213" s="1"/>
      <c r="FYQ213" s="1"/>
      <c r="FYR213" s="1"/>
      <c r="FYS213" s="1"/>
      <c r="FYT213" s="1"/>
      <c r="FYU213" s="1"/>
      <c r="FYV213" s="1"/>
      <c r="FYW213" s="1"/>
      <c r="FYX213" s="1"/>
      <c r="FYY213" s="1"/>
      <c r="FYZ213" s="1"/>
      <c r="FZA213" s="1"/>
      <c r="FZB213" s="1"/>
      <c r="FZC213" s="1"/>
      <c r="FZD213" s="1"/>
      <c r="FZE213" s="1"/>
      <c r="FZF213" s="1"/>
      <c r="FZG213" s="1"/>
      <c r="FZH213" s="1"/>
      <c r="FZI213" s="1"/>
      <c r="FZJ213" s="1"/>
      <c r="FZK213" s="1"/>
      <c r="FZL213" s="1"/>
      <c r="FZM213" s="1"/>
      <c r="FZN213" s="1"/>
      <c r="FZO213" s="1"/>
      <c r="FZP213" s="1"/>
      <c r="FZQ213" s="1"/>
      <c r="FZR213" s="1"/>
      <c r="FZS213" s="1"/>
      <c r="FZT213" s="1"/>
      <c r="FZU213" s="1"/>
      <c r="FZV213" s="1"/>
      <c r="FZW213" s="1"/>
      <c r="FZX213" s="1"/>
      <c r="FZY213" s="1"/>
      <c r="FZZ213" s="1"/>
      <c r="GAA213" s="1"/>
      <c r="GAB213" s="1"/>
      <c r="GAC213" s="1"/>
      <c r="GAD213" s="1"/>
      <c r="GAE213" s="1"/>
      <c r="GAF213" s="1"/>
      <c r="GAG213" s="1"/>
      <c r="GAH213" s="1"/>
      <c r="GAI213" s="1"/>
      <c r="GAJ213" s="1"/>
      <c r="GAK213" s="1"/>
      <c r="GAL213" s="1"/>
      <c r="GAM213" s="1"/>
      <c r="GAN213" s="1"/>
      <c r="GAO213" s="1"/>
      <c r="GAP213" s="1"/>
      <c r="GAQ213" s="1"/>
      <c r="GAR213" s="1"/>
      <c r="GAS213" s="1"/>
      <c r="GAT213" s="1"/>
      <c r="GAU213" s="1"/>
      <c r="GAV213" s="1"/>
      <c r="GAW213" s="1"/>
      <c r="GAX213" s="1"/>
      <c r="GAY213" s="1"/>
      <c r="GAZ213" s="1"/>
      <c r="GBA213" s="1"/>
      <c r="GBB213" s="1"/>
      <c r="GBC213" s="1"/>
      <c r="GBD213" s="1"/>
      <c r="GBE213" s="1"/>
      <c r="GBF213" s="1"/>
      <c r="GBG213" s="1"/>
      <c r="GBH213" s="1"/>
      <c r="GBI213" s="1"/>
      <c r="GBJ213" s="1"/>
      <c r="GBK213" s="1"/>
      <c r="GBL213" s="1"/>
      <c r="GBM213" s="1"/>
      <c r="GBN213" s="1"/>
      <c r="GBO213" s="1"/>
      <c r="GBP213" s="1"/>
      <c r="GBQ213" s="1"/>
      <c r="GBR213" s="1"/>
      <c r="GBS213" s="1"/>
      <c r="GBT213" s="1"/>
      <c r="GBU213" s="1"/>
      <c r="GBV213" s="1"/>
      <c r="GBW213" s="1"/>
      <c r="GBX213" s="1"/>
      <c r="GBY213" s="1"/>
      <c r="GBZ213" s="1"/>
      <c r="GCA213" s="1"/>
      <c r="GCB213" s="1"/>
      <c r="GCC213" s="1"/>
      <c r="GCD213" s="1"/>
      <c r="GCE213" s="1"/>
      <c r="GCF213" s="1"/>
      <c r="GCG213" s="1"/>
      <c r="GCH213" s="1"/>
      <c r="GCI213" s="1"/>
      <c r="GCJ213" s="1"/>
      <c r="GCK213" s="1"/>
      <c r="GCL213" s="1"/>
      <c r="GCM213" s="1"/>
      <c r="GCN213" s="1"/>
      <c r="GCO213" s="1"/>
      <c r="GCP213" s="1"/>
      <c r="GCQ213" s="1"/>
      <c r="GCR213" s="1"/>
      <c r="GCS213" s="1"/>
      <c r="GCT213" s="1"/>
      <c r="GCU213" s="1"/>
      <c r="GCV213" s="1"/>
      <c r="GCW213" s="1"/>
      <c r="GCX213" s="1"/>
      <c r="GCY213" s="1"/>
      <c r="GCZ213" s="1"/>
      <c r="GDA213" s="1"/>
      <c r="GDB213" s="1"/>
      <c r="GDC213" s="1"/>
      <c r="GDD213" s="1"/>
      <c r="GDE213" s="1"/>
      <c r="GDF213" s="1"/>
      <c r="GDG213" s="1"/>
      <c r="GDH213" s="1"/>
      <c r="GDI213" s="1"/>
      <c r="GDJ213" s="1"/>
      <c r="GDK213" s="1"/>
      <c r="GDL213" s="1"/>
      <c r="GDM213" s="1"/>
      <c r="GDN213" s="1"/>
      <c r="GDO213" s="1"/>
      <c r="GDP213" s="1"/>
      <c r="GDQ213" s="1"/>
      <c r="GDR213" s="1"/>
      <c r="GDS213" s="1"/>
      <c r="GDT213" s="1"/>
      <c r="GDU213" s="1"/>
      <c r="GDV213" s="1"/>
      <c r="GDW213" s="1"/>
      <c r="GDX213" s="1"/>
      <c r="GDY213" s="1"/>
      <c r="GDZ213" s="1"/>
      <c r="GEA213" s="1"/>
      <c r="GEB213" s="1"/>
      <c r="GEC213" s="1"/>
      <c r="GED213" s="1"/>
      <c r="GEE213" s="1"/>
      <c r="GEF213" s="1"/>
      <c r="GEG213" s="1"/>
      <c r="GEH213" s="1"/>
      <c r="GEI213" s="1"/>
      <c r="GEJ213" s="1"/>
      <c r="GEK213" s="1"/>
      <c r="GEL213" s="1"/>
      <c r="GEM213" s="1"/>
      <c r="GEN213" s="1"/>
      <c r="GEO213" s="1"/>
      <c r="GEP213" s="1"/>
      <c r="GEQ213" s="1"/>
      <c r="GER213" s="1"/>
      <c r="GES213" s="1"/>
      <c r="GET213" s="1"/>
      <c r="GEU213" s="1"/>
      <c r="GEV213" s="1"/>
      <c r="GEW213" s="1"/>
      <c r="GEX213" s="1"/>
      <c r="GEY213" s="1"/>
      <c r="GEZ213" s="1"/>
      <c r="GFA213" s="1"/>
      <c r="GFB213" s="1"/>
      <c r="GFC213" s="1"/>
      <c r="GFD213" s="1"/>
      <c r="GFE213" s="1"/>
      <c r="GFF213" s="1"/>
      <c r="GFG213" s="1"/>
      <c r="GFH213" s="1"/>
      <c r="GFI213" s="1"/>
      <c r="GFJ213" s="1"/>
      <c r="GFK213" s="1"/>
      <c r="GFL213" s="1"/>
      <c r="GFM213" s="1"/>
      <c r="GFN213" s="1"/>
      <c r="GFO213" s="1"/>
      <c r="GFP213" s="1"/>
      <c r="GFQ213" s="1"/>
      <c r="GFR213" s="1"/>
      <c r="GFS213" s="1"/>
      <c r="GFT213" s="1"/>
      <c r="GFU213" s="1"/>
      <c r="GFV213" s="1"/>
      <c r="GFW213" s="1"/>
      <c r="GFX213" s="1"/>
      <c r="GFY213" s="1"/>
      <c r="GFZ213" s="1"/>
      <c r="GGA213" s="1"/>
      <c r="GGB213" s="1"/>
      <c r="GGC213" s="1"/>
      <c r="GGD213" s="1"/>
      <c r="GGE213" s="1"/>
      <c r="GGF213" s="1"/>
      <c r="GGG213" s="1"/>
      <c r="GGH213" s="1"/>
      <c r="GGI213" s="1"/>
      <c r="GGJ213" s="1"/>
      <c r="GGK213" s="1"/>
      <c r="GGL213" s="1"/>
      <c r="GGM213" s="1"/>
      <c r="GGN213" s="1"/>
      <c r="GGO213" s="1"/>
      <c r="GGP213" s="1"/>
      <c r="GGQ213" s="1"/>
      <c r="GGR213" s="1"/>
      <c r="GGS213" s="1"/>
      <c r="GGT213" s="1"/>
      <c r="GGU213" s="1"/>
      <c r="GGV213" s="1"/>
      <c r="GGW213" s="1"/>
      <c r="GGX213" s="1"/>
      <c r="GGY213" s="1"/>
      <c r="GGZ213" s="1"/>
      <c r="GHA213" s="1"/>
      <c r="GHB213" s="1"/>
      <c r="GHC213" s="1"/>
      <c r="GHD213" s="1"/>
      <c r="GHE213" s="1"/>
      <c r="GHF213" s="1"/>
      <c r="GHG213" s="1"/>
      <c r="GHH213" s="1"/>
      <c r="GHI213" s="1"/>
      <c r="GHJ213" s="1"/>
      <c r="GHK213" s="1"/>
      <c r="GHL213" s="1"/>
      <c r="GHM213" s="1"/>
      <c r="GHN213" s="1"/>
      <c r="GHO213" s="1"/>
      <c r="GHP213" s="1"/>
      <c r="GHQ213" s="1"/>
      <c r="GHR213" s="1"/>
      <c r="GHS213" s="1"/>
      <c r="GHT213" s="1"/>
      <c r="GHU213" s="1"/>
      <c r="GHV213" s="1"/>
      <c r="GHW213" s="1"/>
      <c r="GHX213" s="1"/>
      <c r="GHY213" s="1"/>
      <c r="GHZ213" s="1"/>
      <c r="GIA213" s="1"/>
      <c r="GIB213" s="1"/>
      <c r="GIC213" s="1"/>
      <c r="GID213" s="1"/>
      <c r="GIE213" s="1"/>
      <c r="GIF213" s="1"/>
      <c r="GIG213" s="1"/>
      <c r="GIH213" s="1"/>
      <c r="GII213" s="1"/>
      <c r="GIJ213" s="1"/>
      <c r="GIK213" s="1"/>
      <c r="GIL213" s="1"/>
      <c r="GIM213" s="1"/>
      <c r="GIN213" s="1"/>
      <c r="GIO213" s="1"/>
      <c r="GIP213" s="1"/>
      <c r="GIQ213" s="1"/>
      <c r="GIR213" s="1"/>
      <c r="GIS213" s="1"/>
      <c r="GIT213" s="1"/>
      <c r="GIU213" s="1"/>
      <c r="GIV213" s="1"/>
      <c r="GIW213" s="1"/>
      <c r="GIX213" s="1"/>
      <c r="GIY213" s="1"/>
      <c r="GIZ213" s="1"/>
      <c r="GJA213" s="1"/>
      <c r="GJB213" s="1"/>
      <c r="GJC213" s="1"/>
      <c r="GJD213" s="1"/>
      <c r="GJE213" s="1"/>
      <c r="GJF213" s="1"/>
      <c r="GJG213" s="1"/>
      <c r="GJH213" s="1"/>
      <c r="GJI213" s="1"/>
      <c r="GJJ213" s="1"/>
      <c r="GJK213" s="1"/>
      <c r="GJL213" s="1"/>
      <c r="GJM213" s="1"/>
      <c r="GJN213" s="1"/>
      <c r="GJO213" s="1"/>
      <c r="GJP213" s="1"/>
      <c r="GJQ213" s="1"/>
      <c r="GJR213" s="1"/>
      <c r="GJS213" s="1"/>
      <c r="GJT213" s="1"/>
      <c r="GJU213" s="1"/>
      <c r="GJV213" s="1"/>
      <c r="GJW213" s="1"/>
      <c r="GJX213" s="1"/>
      <c r="GJY213" s="1"/>
      <c r="GJZ213" s="1"/>
      <c r="GKA213" s="1"/>
      <c r="GKB213" s="1"/>
      <c r="GKC213" s="1"/>
      <c r="GKD213" s="1"/>
      <c r="GKE213" s="1"/>
      <c r="GKF213" s="1"/>
      <c r="GKG213" s="1"/>
      <c r="GKH213" s="1"/>
      <c r="GKI213" s="1"/>
      <c r="GKJ213" s="1"/>
      <c r="GKK213" s="1"/>
      <c r="GKL213" s="1"/>
      <c r="GKM213" s="1"/>
      <c r="GKN213" s="1"/>
      <c r="GKO213" s="1"/>
      <c r="GKP213" s="1"/>
      <c r="GKQ213" s="1"/>
      <c r="GKR213" s="1"/>
      <c r="GKS213" s="1"/>
      <c r="GKT213" s="1"/>
      <c r="GKU213" s="1"/>
      <c r="GKV213" s="1"/>
      <c r="GKW213" s="1"/>
      <c r="GKX213" s="1"/>
      <c r="GKY213" s="1"/>
      <c r="GKZ213" s="1"/>
      <c r="GLA213" s="1"/>
      <c r="GLB213" s="1"/>
      <c r="GLC213" s="1"/>
      <c r="GLD213" s="1"/>
      <c r="GLE213" s="1"/>
      <c r="GLF213" s="1"/>
      <c r="GLG213" s="1"/>
      <c r="GLH213" s="1"/>
      <c r="GLI213" s="1"/>
      <c r="GLJ213" s="1"/>
      <c r="GLK213" s="1"/>
      <c r="GLL213" s="1"/>
      <c r="GLM213" s="1"/>
      <c r="GLN213" s="1"/>
      <c r="GLO213" s="1"/>
      <c r="GLP213" s="1"/>
      <c r="GLQ213" s="1"/>
      <c r="GLR213" s="1"/>
      <c r="GLS213" s="1"/>
      <c r="GLT213" s="1"/>
      <c r="GLU213" s="1"/>
      <c r="GLV213" s="1"/>
      <c r="GLW213" s="1"/>
      <c r="GLX213" s="1"/>
      <c r="GLY213" s="1"/>
      <c r="GLZ213" s="1"/>
      <c r="GMA213" s="1"/>
      <c r="GMB213" s="1"/>
      <c r="GMC213" s="1"/>
      <c r="GMD213" s="1"/>
      <c r="GME213" s="1"/>
      <c r="GMF213" s="1"/>
      <c r="GMG213" s="1"/>
      <c r="GMH213" s="1"/>
      <c r="GMI213" s="1"/>
      <c r="GMJ213" s="1"/>
      <c r="GMK213" s="1"/>
      <c r="GML213" s="1"/>
      <c r="GMM213" s="1"/>
      <c r="GMN213" s="1"/>
      <c r="GMO213" s="1"/>
      <c r="GMP213" s="1"/>
      <c r="GMQ213" s="1"/>
      <c r="GMR213" s="1"/>
      <c r="GMS213" s="1"/>
      <c r="GMT213" s="1"/>
      <c r="GMU213" s="1"/>
      <c r="GMV213" s="1"/>
      <c r="GMW213" s="1"/>
      <c r="GMX213" s="1"/>
      <c r="GMY213" s="1"/>
      <c r="GMZ213" s="1"/>
      <c r="GNA213" s="1"/>
      <c r="GNB213" s="1"/>
      <c r="GNC213" s="1"/>
      <c r="GND213" s="1"/>
      <c r="GNE213" s="1"/>
      <c r="GNF213" s="1"/>
      <c r="GNG213" s="1"/>
      <c r="GNH213" s="1"/>
      <c r="GNI213" s="1"/>
      <c r="GNJ213" s="1"/>
      <c r="GNK213" s="1"/>
      <c r="GNL213" s="1"/>
      <c r="GNM213" s="1"/>
      <c r="GNN213" s="1"/>
      <c r="GNO213" s="1"/>
      <c r="GNP213" s="1"/>
      <c r="GNQ213" s="1"/>
      <c r="GNR213" s="1"/>
      <c r="GNS213" s="1"/>
      <c r="GNT213" s="1"/>
      <c r="GNU213" s="1"/>
      <c r="GNV213" s="1"/>
      <c r="GNW213" s="1"/>
      <c r="GNX213" s="1"/>
      <c r="GNY213" s="1"/>
      <c r="GNZ213" s="1"/>
      <c r="GOA213" s="1"/>
      <c r="GOB213" s="1"/>
      <c r="GOC213" s="1"/>
      <c r="GOD213" s="1"/>
      <c r="GOE213" s="1"/>
      <c r="GOF213" s="1"/>
      <c r="GOG213" s="1"/>
      <c r="GOH213" s="1"/>
      <c r="GOI213" s="1"/>
      <c r="GOJ213" s="1"/>
      <c r="GOK213" s="1"/>
      <c r="GOL213" s="1"/>
      <c r="GOM213" s="1"/>
      <c r="GON213" s="1"/>
      <c r="GOO213" s="1"/>
      <c r="GOP213" s="1"/>
      <c r="GOQ213" s="1"/>
      <c r="GOR213" s="1"/>
      <c r="GOS213" s="1"/>
      <c r="GOT213" s="1"/>
      <c r="GOU213" s="1"/>
      <c r="GOV213" s="1"/>
      <c r="GOW213" s="1"/>
      <c r="GOX213" s="1"/>
      <c r="GOY213" s="1"/>
      <c r="GOZ213" s="1"/>
      <c r="GPA213" s="1"/>
      <c r="GPB213" s="1"/>
      <c r="GPC213" s="1"/>
      <c r="GPD213" s="1"/>
      <c r="GPE213" s="1"/>
      <c r="GPF213" s="1"/>
      <c r="GPG213" s="1"/>
      <c r="GPH213" s="1"/>
      <c r="GPI213" s="1"/>
      <c r="GPJ213" s="1"/>
      <c r="GPK213" s="1"/>
      <c r="GPL213" s="1"/>
      <c r="GPM213" s="1"/>
      <c r="GPN213" s="1"/>
      <c r="GPO213" s="1"/>
      <c r="GPP213" s="1"/>
      <c r="GPQ213" s="1"/>
      <c r="GPR213" s="1"/>
      <c r="GPS213" s="1"/>
      <c r="GPT213" s="1"/>
      <c r="GPU213" s="1"/>
      <c r="GPV213" s="1"/>
      <c r="GPW213" s="1"/>
      <c r="GPX213" s="1"/>
      <c r="GPY213" s="1"/>
      <c r="GPZ213" s="1"/>
      <c r="GQA213" s="1"/>
      <c r="GQB213" s="1"/>
      <c r="GQC213" s="1"/>
      <c r="GQD213" s="1"/>
      <c r="GQE213" s="1"/>
      <c r="GQF213" s="1"/>
      <c r="GQG213" s="1"/>
      <c r="GQH213" s="1"/>
      <c r="GQI213" s="1"/>
      <c r="GQJ213" s="1"/>
      <c r="GQK213" s="1"/>
      <c r="GQL213" s="1"/>
      <c r="GQM213" s="1"/>
      <c r="GQN213" s="1"/>
      <c r="GQO213" s="1"/>
      <c r="GQP213" s="1"/>
      <c r="GQQ213" s="1"/>
      <c r="GQR213" s="1"/>
      <c r="GQS213" s="1"/>
      <c r="GQT213" s="1"/>
      <c r="GQU213" s="1"/>
      <c r="GQV213" s="1"/>
      <c r="GQW213" s="1"/>
      <c r="GQX213" s="1"/>
      <c r="GQY213" s="1"/>
      <c r="GQZ213" s="1"/>
      <c r="GRA213" s="1"/>
      <c r="GRB213" s="1"/>
      <c r="GRC213" s="1"/>
      <c r="GRD213" s="1"/>
      <c r="GRE213" s="1"/>
      <c r="GRF213" s="1"/>
      <c r="GRG213" s="1"/>
      <c r="GRH213" s="1"/>
      <c r="GRI213" s="1"/>
      <c r="GRJ213" s="1"/>
      <c r="GRK213" s="1"/>
      <c r="GRL213" s="1"/>
      <c r="GRM213" s="1"/>
      <c r="GRN213" s="1"/>
      <c r="GRO213" s="1"/>
      <c r="GRP213" s="1"/>
      <c r="GRQ213" s="1"/>
      <c r="GRR213" s="1"/>
      <c r="GRS213" s="1"/>
      <c r="GRT213" s="1"/>
      <c r="GRU213" s="1"/>
      <c r="GRV213" s="1"/>
      <c r="GRW213" s="1"/>
      <c r="GRX213" s="1"/>
      <c r="GRY213" s="1"/>
      <c r="GRZ213" s="1"/>
      <c r="GSA213" s="1"/>
      <c r="GSB213" s="1"/>
      <c r="GSC213" s="1"/>
      <c r="GSD213" s="1"/>
      <c r="GSE213" s="1"/>
      <c r="GSF213" s="1"/>
      <c r="GSG213" s="1"/>
      <c r="GSH213" s="1"/>
      <c r="GSI213" s="1"/>
      <c r="GSJ213" s="1"/>
      <c r="GSK213" s="1"/>
      <c r="GSL213" s="1"/>
      <c r="GSM213" s="1"/>
      <c r="GSN213" s="1"/>
      <c r="GSO213" s="1"/>
      <c r="GSP213" s="1"/>
      <c r="GSQ213" s="1"/>
      <c r="GSR213" s="1"/>
      <c r="GSS213" s="1"/>
      <c r="GST213" s="1"/>
      <c r="GSU213" s="1"/>
      <c r="GSV213" s="1"/>
      <c r="GSW213" s="1"/>
      <c r="GSX213" s="1"/>
      <c r="GSY213" s="1"/>
      <c r="GSZ213" s="1"/>
      <c r="GTA213" s="1"/>
      <c r="GTB213" s="1"/>
      <c r="GTC213" s="1"/>
      <c r="GTD213" s="1"/>
      <c r="GTE213" s="1"/>
      <c r="GTF213" s="1"/>
      <c r="GTG213" s="1"/>
      <c r="GTH213" s="1"/>
      <c r="GTI213" s="1"/>
      <c r="GTJ213" s="1"/>
      <c r="GTK213" s="1"/>
      <c r="GTL213" s="1"/>
      <c r="GTM213" s="1"/>
      <c r="GTN213" s="1"/>
      <c r="GTO213" s="1"/>
      <c r="GTP213" s="1"/>
      <c r="GTQ213" s="1"/>
      <c r="GTR213" s="1"/>
      <c r="GTS213" s="1"/>
      <c r="GTT213" s="1"/>
      <c r="GTU213" s="1"/>
      <c r="GTV213" s="1"/>
      <c r="GTW213" s="1"/>
      <c r="GTX213" s="1"/>
      <c r="GTY213" s="1"/>
      <c r="GTZ213" s="1"/>
      <c r="GUA213" s="1"/>
      <c r="GUB213" s="1"/>
      <c r="GUC213" s="1"/>
      <c r="GUD213" s="1"/>
      <c r="GUE213" s="1"/>
      <c r="GUF213" s="1"/>
      <c r="GUG213" s="1"/>
      <c r="GUH213" s="1"/>
      <c r="GUI213" s="1"/>
      <c r="GUJ213" s="1"/>
      <c r="GUK213" s="1"/>
      <c r="GUL213" s="1"/>
      <c r="GUM213" s="1"/>
      <c r="GUN213" s="1"/>
      <c r="GUO213" s="1"/>
      <c r="GUP213" s="1"/>
      <c r="GUQ213" s="1"/>
      <c r="GUR213" s="1"/>
      <c r="GUS213" s="1"/>
      <c r="GUT213" s="1"/>
      <c r="GUU213" s="1"/>
      <c r="GUV213" s="1"/>
      <c r="GUW213" s="1"/>
      <c r="GUX213" s="1"/>
      <c r="GUY213" s="1"/>
      <c r="GUZ213" s="1"/>
      <c r="GVA213" s="1"/>
      <c r="GVB213" s="1"/>
      <c r="GVC213" s="1"/>
      <c r="GVD213" s="1"/>
      <c r="GVE213" s="1"/>
      <c r="GVF213" s="1"/>
      <c r="GVG213" s="1"/>
      <c r="GVH213" s="1"/>
      <c r="GVI213" s="1"/>
      <c r="GVJ213" s="1"/>
      <c r="GVK213" s="1"/>
      <c r="GVL213" s="1"/>
      <c r="GVM213" s="1"/>
      <c r="GVN213" s="1"/>
      <c r="GVO213" s="1"/>
      <c r="GVP213" s="1"/>
      <c r="GVQ213" s="1"/>
      <c r="GVR213" s="1"/>
      <c r="GVS213" s="1"/>
      <c r="GVT213" s="1"/>
      <c r="GVU213" s="1"/>
      <c r="GVV213" s="1"/>
      <c r="GVW213" s="1"/>
      <c r="GVX213" s="1"/>
      <c r="GVY213" s="1"/>
      <c r="GVZ213" s="1"/>
      <c r="GWA213" s="1"/>
      <c r="GWB213" s="1"/>
      <c r="GWC213" s="1"/>
      <c r="GWD213" s="1"/>
      <c r="GWE213" s="1"/>
      <c r="GWF213" s="1"/>
      <c r="GWG213" s="1"/>
      <c r="GWH213" s="1"/>
      <c r="GWI213" s="1"/>
      <c r="GWJ213" s="1"/>
      <c r="GWK213" s="1"/>
      <c r="GWL213" s="1"/>
      <c r="GWM213" s="1"/>
      <c r="GWN213" s="1"/>
      <c r="GWO213" s="1"/>
      <c r="GWP213" s="1"/>
      <c r="GWQ213" s="1"/>
      <c r="GWR213" s="1"/>
      <c r="GWS213" s="1"/>
      <c r="GWT213" s="1"/>
      <c r="GWU213" s="1"/>
      <c r="GWV213" s="1"/>
      <c r="GWW213" s="1"/>
      <c r="GWX213" s="1"/>
      <c r="GWY213" s="1"/>
      <c r="GWZ213" s="1"/>
      <c r="GXA213" s="1"/>
      <c r="GXB213" s="1"/>
      <c r="GXC213" s="1"/>
      <c r="GXD213" s="1"/>
      <c r="GXE213" s="1"/>
      <c r="GXF213" s="1"/>
      <c r="GXG213" s="1"/>
      <c r="GXH213" s="1"/>
      <c r="GXI213" s="1"/>
      <c r="GXJ213" s="1"/>
      <c r="GXK213" s="1"/>
      <c r="GXL213" s="1"/>
      <c r="GXM213" s="1"/>
      <c r="GXN213" s="1"/>
      <c r="GXO213" s="1"/>
      <c r="GXP213" s="1"/>
      <c r="GXQ213" s="1"/>
      <c r="GXR213" s="1"/>
      <c r="GXS213" s="1"/>
      <c r="GXT213" s="1"/>
      <c r="GXU213" s="1"/>
      <c r="GXV213" s="1"/>
      <c r="GXW213" s="1"/>
      <c r="GXX213" s="1"/>
      <c r="GXY213" s="1"/>
      <c r="GXZ213" s="1"/>
      <c r="GYA213" s="1"/>
      <c r="GYB213" s="1"/>
      <c r="GYC213" s="1"/>
      <c r="GYD213" s="1"/>
      <c r="GYE213" s="1"/>
      <c r="GYF213" s="1"/>
      <c r="GYG213" s="1"/>
      <c r="GYH213" s="1"/>
      <c r="GYI213" s="1"/>
      <c r="GYJ213" s="1"/>
      <c r="GYK213" s="1"/>
      <c r="GYL213" s="1"/>
      <c r="GYM213" s="1"/>
      <c r="GYN213" s="1"/>
      <c r="GYO213" s="1"/>
      <c r="GYP213" s="1"/>
      <c r="GYQ213" s="1"/>
      <c r="GYR213" s="1"/>
      <c r="GYS213" s="1"/>
      <c r="GYT213" s="1"/>
      <c r="GYU213" s="1"/>
      <c r="GYV213" s="1"/>
      <c r="GYW213" s="1"/>
      <c r="GYX213" s="1"/>
      <c r="GYY213" s="1"/>
      <c r="GYZ213" s="1"/>
      <c r="GZA213" s="1"/>
      <c r="GZB213" s="1"/>
      <c r="GZC213" s="1"/>
      <c r="GZD213" s="1"/>
      <c r="GZE213" s="1"/>
      <c r="GZF213" s="1"/>
      <c r="GZG213" s="1"/>
      <c r="GZH213" s="1"/>
      <c r="GZI213" s="1"/>
      <c r="GZJ213" s="1"/>
      <c r="GZK213" s="1"/>
      <c r="GZL213" s="1"/>
      <c r="GZM213" s="1"/>
      <c r="GZN213" s="1"/>
      <c r="GZO213" s="1"/>
      <c r="GZP213" s="1"/>
      <c r="GZQ213" s="1"/>
      <c r="GZR213" s="1"/>
      <c r="GZS213" s="1"/>
      <c r="GZT213" s="1"/>
      <c r="GZU213" s="1"/>
      <c r="GZV213" s="1"/>
      <c r="GZW213" s="1"/>
      <c r="GZX213" s="1"/>
      <c r="GZY213" s="1"/>
      <c r="GZZ213" s="1"/>
      <c r="HAA213" s="1"/>
      <c r="HAB213" s="1"/>
      <c r="HAC213" s="1"/>
      <c r="HAD213" s="1"/>
      <c r="HAE213" s="1"/>
      <c r="HAF213" s="1"/>
      <c r="HAG213" s="1"/>
      <c r="HAH213" s="1"/>
      <c r="HAI213" s="1"/>
      <c r="HAJ213" s="1"/>
      <c r="HAK213" s="1"/>
      <c r="HAL213" s="1"/>
      <c r="HAM213" s="1"/>
      <c r="HAN213" s="1"/>
      <c r="HAO213" s="1"/>
      <c r="HAP213" s="1"/>
      <c r="HAQ213" s="1"/>
      <c r="HAR213" s="1"/>
      <c r="HAS213" s="1"/>
      <c r="HAT213" s="1"/>
      <c r="HAU213" s="1"/>
      <c r="HAV213" s="1"/>
      <c r="HAW213" s="1"/>
      <c r="HAX213" s="1"/>
      <c r="HAY213" s="1"/>
      <c r="HAZ213" s="1"/>
      <c r="HBA213" s="1"/>
      <c r="HBB213" s="1"/>
      <c r="HBC213" s="1"/>
      <c r="HBD213" s="1"/>
      <c r="HBE213" s="1"/>
      <c r="HBF213" s="1"/>
      <c r="HBG213" s="1"/>
      <c r="HBH213" s="1"/>
      <c r="HBI213" s="1"/>
      <c r="HBJ213" s="1"/>
      <c r="HBK213" s="1"/>
      <c r="HBL213" s="1"/>
      <c r="HBM213" s="1"/>
      <c r="HBN213" s="1"/>
      <c r="HBO213" s="1"/>
      <c r="HBP213" s="1"/>
      <c r="HBQ213" s="1"/>
      <c r="HBR213" s="1"/>
      <c r="HBS213" s="1"/>
      <c r="HBT213" s="1"/>
      <c r="HBU213" s="1"/>
      <c r="HBV213" s="1"/>
      <c r="HBW213" s="1"/>
      <c r="HBX213" s="1"/>
      <c r="HBY213" s="1"/>
      <c r="HBZ213" s="1"/>
      <c r="HCA213" s="1"/>
      <c r="HCB213" s="1"/>
      <c r="HCC213" s="1"/>
      <c r="HCD213" s="1"/>
      <c r="HCE213" s="1"/>
      <c r="HCF213" s="1"/>
      <c r="HCG213" s="1"/>
      <c r="HCH213" s="1"/>
      <c r="HCI213" s="1"/>
      <c r="HCJ213" s="1"/>
      <c r="HCK213" s="1"/>
      <c r="HCL213" s="1"/>
      <c r="HCM213" s="1"/>
      <c r="HCN213" s="1"/>
      <c r="HCO213" s="1"/>
      <c r="HCP213" s="1"/>
      <c r="HCQ213" s="1"/>
      <c r="HCR213" s="1"/>
      <c r="HCS213" s="1"/>
      <c r="HCT213" s="1"/>
      <c r="HCU213" s="1"/>
      <c r="HCV213" s="1"/>
      <c r="HCW213" s="1"/>
      <c r="HCX213" s="1"/>
      <c r="HCY213" s="1"/>
      <c r="HCZ213" s="1"/>
      <c r="HDA213" s="1"/>
      <c r="HDB213" s="1"/>
      <c r="HDC213" s="1"/>
      <c r="HDD213" s="1"/>
      <c r="HDE213" s="1"/>
      <c r="HDF213" s="1"/>
      <c r="HDG213" s="1"/>
      <c r="HDH213" s="1"/>
      <c r="HDI213" s="1"/>
      <c r="HDJ213" s="1"/>
      <c r="HDK213" s="1"/>
      <c r="HDL213" s="1"/>
      <c r="HDM213" s="1"/>
      <c r="HDN213" s="1"/>
      <c r="HDO213" s="1"/>
      <c r="HDP213" s="1"/>
      <c r="HDQ213" s="1"/>
      <c r="HDR213" s="1"/>
      <c r="HDS213" s="1"/>
      <c r="HDT213" s="1"/>
      <c r="HDU213" s="1"/>
      <c r="HDV213" s="1"/>
      <c r="HDW213" s="1"/>
      <c r="HDX213" s="1"/>
      <c r="HDY213" s="1"/>
      <c r="HDZ213" s="1"/>
      <c r="HEA213" s="1"/>
      <c r="HEB213" s="1"/>
      <c r="HEC213" s="1"/>
      <c r="HED213" s="1"/>
      <c r="HEE213" s="1"/>
      <c r="HEF213" s="1"/>
      <c r="HEG213" s="1"/>
      <c r="HEH213" s="1"/>
      <c r="HEI213" s="1"/>
      <c r="HEJ213" s="1"/>
      <c r="HEK213" s="1"/>
      <c r="HEL213" s="1"/>
      <c r="HEM213" s="1"/>
      <c r="HEN213" s="1"/>
      <c r="HEO213" s="1"/>
      <c r="HEP213" s="1"/>
      <c r="HEQ213" s="1"/>
      <c r="HER213" s="1"/>
      <c r="HES213" s="1"/>
      <c r="HET213" s="1"/>
      <c r="HEU213" s="1"/>
      <c r="HEV213" s="1"/>
      <c r="HEW213" s="1"/>
      <c r="HEX213" s="1"/>
      <c r="HEY213" s="1"/>
      <c r="HEZ213" s="1"/>
      <c r="HFA213" s="1"/>
      <c r="HFB213" s="1"/>
      <c r="HFC213" s="1"/>
      <c r="HFD213" s="1"/>
      <c r="HFE213" s="1"/>
      <c r="HFF213" s="1"/>
      <c r="HFG213" s="1"/>
      <c r="HFH213" s="1"/>
      <c r="HFI213" s="1"/>
      <c r="HFJ213" s="1"/>
      <c r="HFK213" s="1"/>
      <c r="HFL213" s="1"/>
      <c r="HFM213" s="1"/>
      <c r="HFN213" s="1"/>
      <c r="HFO213" s="1"/>
      <c r="HFP213" s="1"/>
      <c r="HFQ213" s="1"/>
      <c r="HFR213" s="1"/>
      <c r="HFS213" s="1"/>
      <c r="HFT213" s="1"/>
      <c r="HFU213" s="1"/>
      <c r="HFV213" s="1"/>
      <c r="HFW213" s="1"/>
      <c r="HFX213" s="1"/>
      <c r="HFY213" s="1"/>
      <c r="HFZ213" s="1"/>
      <c r="HGA213" s="1"/>
      <c r="HGB213" s="1"/>
      <c r="HGC213" s="1"/>
      <c r="HGD213" s="1"/>
      <c r="HGE213" s="1"/>
      <c r="HGF213" s="1"/>
      <c r="HGG213" s="1"/>
      <c r="HGH213" s="1"/>
      <c r="HGI213" s="1"/>
      <c r="HGJ213" s="1"/>
      <c r="HGK213" s="1"/>
      <c r="HGL213" s="1"/>
      <c r="HGM213" s="1"/>
      <c r="HGN213" s="1"/>
      <c r="HGO213" s="1"/>
      <c r="HGP213" s="1"/>
      <c r="HGQ213" s="1"/>
      <c r="HGR213" s="1"/>
      <c r="HGS213" s="1"/>
      <c r="HGT213" s="1"/>
      <c r="HGU213" s="1"/>
      <c r="HGV213" s="1"/>
      <c r="HGW213" s="1"/>
      <c r="HGX213" s="1"/>
      <c r="HGY213" s="1"/>
      <c r="HGZ213" s="1"/>
      <c r="HHA213" s="1"/>
      <c r="HHB213" s="1"/>
      <c r="HHC213" s="1"/>
      <c r="HHD213" s="1"/>
      <c r="HHE213" s="1"/>
      <c r="HHF213" s="1"/>
      <c r="HHG213" s="1"/>
      <c r="HHH213" s="1"/>
      <c r="HHI213" s="1"/>
      <c r="HHJ213" s="1"/>
      <c r="HHK213" s="1"/>
      <c r="HHL213" s="1"/>
      <c r="HHM213" s="1"/>
      <c r="HHN213" s="1"/>
      <c r="HHO213" s="1"/>
      <c r="HHP213" s="1"/>
      <c r="HHQ213" s="1"/>
      <c r="HHR213" s="1"/>
      <c r="HHS213" s="1"/>
      <c r="HHT213" s="1"/>
      <c r="HHU213" s="1"/>
      <c r="HHV213" s="1"/>
      <c r="HHW213" s="1"/>
      <c r="HHX213" s="1"/>
      <c r="HHY213" s="1"/>
      <c r="HHZ213" s="1"/>
      <c r="HIA213" s="1"/>
      <c r="HIB213" s="1"/>
      <c r="HIC213" s="1"/>
      <c r="HID213" s="1"/>
      <c r="HIE213" s="1"/>
      <c r="HIF213" s="1"/>
      <c r="HIG213" s="1"/>
      <c r="HIH213" s="1"/>
      <c r="HII213" s="1"/>
      <c r="HIJ213" s="1"/>
      <c r="HIK213" s="1"/>
      <c r="HIL213" s="1"/>
      <c r="HIM213" s="1"/>
      <c r="HIN213" s="1"/>
      <c r="HIO213" s="1"/>
      <c r="HIP213" s="1"/>
      <c r="HIQ213" s="1"/>
      <c r="HIR213" s="1"/>
      <c r="HIS213" s="1"/>
      <c r="HIT213" s="1"/>
      <c r="HIU213" s="1"/>
      <c r="HIV213" s="1"/>
      <c r="HIW213" s="1"/>
      <c r="HIX213" s="1"/>
      <c r="HIY213" s="1"/>
      <c r="HIZ213" s="1"/>
      <c r="HJA213" s="1"/>
      <c r="HJB213" s="1"/>
      <c r="HJC213" s="1"/>
      <c r="HJD213" s="1"/>
      <c r="HJE213" s="1"/>
      <c r="HJF213" s="1"/>
      <c r="HJG213" s="1"/>
      <c r="HJH213" s="1"/>
      <c r="HJI213" s="1"/>
      <c r="HJJ213" s="1"/>
      <c r="HJK213" s="1"/>
      <c r="HJL213" s="1"/>
      <c r="HJM213" s="1"/>
      <c r="HJN213" s="1"/>
      <c r="HJO213" s="1"/>
      <c r="HJP213" s="1"/>
      <c r="HJQ213" s="1"/>
      <c r="HJR213" s="1"/>
      <c r="HJS213" s="1"/>
      <c r="HJT213" s="1"/>
      <c r="HJU213" s="1"/>
      <c r="HJV213" s="1"/>
      <c r="HJW213" s="1"/>
      <c r="HJX213" s="1"/>
      <c r="HJY213" s="1"/>
      <c r="HJZ213" s="1"/>
      <c r="HKA213" s="1"/>
      <c r="HKB213" s="1"/>
      <c r="HKC213" s="1"/>
      <c r="HKD213" s="1"/>
      <c r="HKE213" s="1"/>
      <c r="HKF213" s="1"/>
      <c r="HKG213" s="1"/>
      <c r="HKH213" s="1"/>
      <c r="HKI213" s="1"/>
      <c r="HKJ213" s="1"/>
      <c r="HKK213" s="1"/>
      <c r="HKL213" s="1"/>
      <c r="HKM213" s="1"/>
      <c r="HKN213" s="1"/>
      <c r="HKO213" s="1"/>
      <c r="HKP213" s="1"/>
      <c r="HKQ213" s="1"/>
      <c r="HKR213" s="1"/>
      <c r="HKS213" s="1"/>
      <c r="HKT213" s="1"/>
      <c r="HKU213" s="1"/>
      <c r="HKV213" s="1"/>
      <c r="HKW213" s="1"/>
      <c r="HKX213" s="1"/>
      <c r="HKY213" s="1"/>
      <c r="HKZ213" s="1"/>
      <c r="HLA213" s="1"/>
      <c r="HLB213" s="1"/>
      <c r="HLC213" s="1"/>
      <c r="HLD213" s="1"/>
      <c r="HLE213" s="1"/>
      <c r="HLF213" s="1"/>
      <c r="HLG213" s="1"/>
      <c r="HLH213" s="1"/>
      <c r="HLI213" s="1"/>
      <c r="HLJ213" s="1"/>
      <c r="HLK213" s="1"/>
      <c r="HLL213" s="1"/>
      <c r="HLM213" s="1"/>
      <c r="HLN213" s="1"/>
      <c r="HLO213" s="1"/>
      <c r="HLP213" s="1"/>
      <c r="HLQ213" s="1"/>
      <c r="HLR213" s="1"/>
      <c r="HLS213" s="1"/>
      <c r="HLT213" s="1"/>
      <c r="HLU213" s="1"/>
      <c r="HLV213" s="1"/>
      <c r="HLW213" s="1"/>
      <c r="HLX213" s="1"/>
      <c r="HLY213" s="1"/>
      <c r="HLZ213" s="1"/>
      <c r="HMA213" s="1"/>
      <c r="HMB213" s="1"/>
      <c r="HMC213" s="1"/>
      <c r="HMD213" s="1"/>
      <c r="HME213" s="1"/>
      <c r="HMF213" s="1"/>
      <c r="HMG213" s="1"/>
      <c r="HMH213" s="1"/>
      <c r="HMI213" s="1"/>
      <c r="HMJ213" s="1"/>
      <c r="HMK213" s="1"/>
      <c r="HML213" s="1"/>
      <c r="HMM213" s="1"/>
      <c r="HMN213" s="1"/>
      <c r="HMO213" s="1"/>
      <c r="HMP213" s="1"/>
      <c r="HMQ213" s="1"/>
      <c r="HMR213" s="1"/>
      <c r="HMS213" s="1"/>
      <c r="HMT213" s="1"/>
      <c r="HMU213" s="1"/>
      <c r="HMV213" s="1"/>
      <c r="HMW213" s="1"/>
      <c r="HMX213" s="1"/>
      <c r="HMY213" s="1"/>
      <c r="HMZ213" s="1"/>
      <c r="HNA213" s="1"/>
      <c r="HNB213" s="1"/>
      <c r="HNC213" s="1"/>
      <c r="HND213" s="1"/>
      <c r="HNE213" s="1"/>
      <c r="HNF213" s="1"/>
      <c r="HNG213" s="1"/>
      <c r="HNH213" s="1"/>
      <c r="HNI213" s="1"/>
      <c r="HNJ213" s="1"/>
      <c r="HNK213" s="1"/>
      <c r="HNL213" s="1"/>
      <c r="HNM213" s="1"/>
      <c r="HNN213" s="1"/>
      <c r="HNO213" s="1"/>
      <c r="HNP213" s="1"/>
      <c r="HNQ213" s="1"/>
      <c r="HNR213" s="1"/>
      <c r="HNS213" s="1"/>
      <c r="HNT213" s="1"/>
      <c r="HNU213" s="1"/>
      <c r="HNV213" s="1"/>
      <c r="HNW213" s="1"/>
      <c r="HNX213" s="1"/>
      <c r="HNY213" s="1"/>
      <c r="HNZ213" s="1"/>
      <c r="HOA213" s="1"/>
      <c r="HOB213" s="1"/>
      <c r="HOC213" s="1"/>
      <c r="HOD213" s="1"/>
      <c r="HOE213" s="1"/>
      <c r="HOF213" s="1"/>
      <c r="HOG213" s="1"/>
      <c r="HOH213" s="1"/>
      <c r="HOI213" s="1"/>
      <c r="HOJ213" s="1"/>
      <c r="HOK213" s="1"/>
      <c r="HOL213" s="1"/>
      <c r="HOM213" s="1"/>
      <c r="HON213" s="1"/>
      <c r="HOO213" s="1"/>
      <c r="HOP213" s="1"/>
      <c r="HOQ213" s="1"/>
      <c r="HOR213" s="1"/>
      <c r="HOS213" s="1"/>
      <c r="HOT213" s="1"/>
      <c r="HOU213" s="1"/>
      <c r="HOV213" s="1"/>
      <c r="HOW213" s="1"/>
      <c r="HOX213" s="1"/>
      <c r="HOY213" s="1"/>
      <c r="HOZ213" s="1"/>
      <c r="HPA213" s="1"/>
      <c r="HPB213" s="1"/>
      <c r="HPC213" s="1"/>
      <c r="HPD213" s="1"/>
      <c r="HPE213" s="1"/>
      <c r="HPF213" s="1"/>
      <c r="HPG213" s="1"/>
      <c r="HPH213" s="1"/>
      <c r="HPI213" s="1"/>
      <c r="HPJ213" s="1"/>
      <c r="HPK213" s="1"/>
      <c r="HPL213" s="1"/>
      <c r="HPM213" s="1"/>
      <c r="HPN213" s="1"/>
      <c r="HPO213" s="1"/>
      <c r="HPP213" s="1"/>
      <c r="HPQ213" s="1"/>
      <c r="HPR213" s="1"/>
      <c r="HPS213" s="1"/>
      <c r="HPT213" s="1"/>
      <c r="HPU213" s="1"/>
      <c r="HPV213" s="1"/>
      <c r="HPW213" s="1"/>
      <c r="HPX213" s="1"/>
      <c r="HPY213" s="1"/>
      <c r="HPZ213" s="1"/>
      <c r="HQA213" s="1"/>
      <c r="HQB213" s="1"/>
      <c r="HQC213" s="1"/>
      <c r="HQD213" s="1"/>
      <c r="HQE213" s="1"/>
      <c r="HQF213" s="1"/>
      <c r="HQG213" s="1"/>
      <c r="HQH213" s="1"/>
      <c r="HQI213" s="1"/>
      <c r="HQJ213" s="1"/>
      <c r="HQK213" s="1"/>
      <c r="HQL213" s="1"/>
      <c r="HQM213" s="1"/>
      <c r="HQN213" s="1"/>
      <c r="HQO213" s="1"/>
      <c r="HQP213" s="1"/>
      <c r="HQQ213" s="1"/>
      <c r="HQR213" s="1"/>
      <c r="HQS213" s="1"/>
      <c r="HQT213" s="1"/>
      <c r="HQU213" s="1"/>
      <c r="HQV213" s="1"/>
      <c r="HQW213" s="1"/>
      <c r="HQX213" s="1"/>
      <c r="HQY213" s="1"/>
      <c r="HQZ213" s="1"/>
      <c r="HRA213" s="1"/>
      <c r="HRB213" s="1"/>
      <c r="HRC213" s="1"/>
      <c r="HRD213" s="1"/>
      <c r="HRE213" s="1"/>
      <c r="HRF213" s="1"/>
      <c r="HRG213" s="1"/>
      <c r="HRH213" s="1"/>
      <c r="HRI213" s="1"/>
      <c r="HRJ213" s="1"/>
      <c r="HRK213" s="1"/>
      <c r="HRL213" s="1"/>
      <c r="HRM213" s="1"/>
      <c r="HRN213" s="1"/>
      <c r="HRO213" s="1"/>
      <c r="HRP213" s="1"/>
      <c r="HRQ213" s="1"/>
      <c r="HRR213" s="1"/>
      <c r="HRS213" s="1"/>
      <c r="HRT213" s="1"/>
      <c r="HRU213" s="1"/>
      <c r="HRV213" s="1"/>
      <c r="HRW213" s="1"/>
      <c r="HRX213" s="1"/>
      <c r="HRY213" s="1"/>
      <c r="HRZ213" s="1"/>
      <c r="HSA213" s="1"/>
      <c r="HSB213" s="1"/>
      <c r="HSC213" s="1"/>
      <c r="HSD213" s="1"/>
      <c r="HSE213" s="1"/>
      <c r="HSF213" s="1"/>
      <c r="HSG213" s="1"/>
      <c r="HSH213" s="1"/>
      <c r="HSI213" s="1"/>
      <c r="HSJ213" s="1"/>
      <c r="HSK213" s="1"/>
      <c r="HSL213" s="1"/>
      <c r="HSM213" s="1"/>
      <c r="HSN213" s="1"/>
      <c r="HSO213" s="1"/>
      <c r="HSP213" s="1"/>
      <c r="HSQ213" s="1"/>
      <c r="HSR213" s="1"/>
      <c r="HSS213" s="1"/>
      <c r="HST213" s="1"/>
      <c r="HSU213" s="1"/>
      <c r="HSV213" s="1"/>
      <c r="HSW213" s="1"/>
      <c r="HSX213" s="1"/>
      <c r="HSY213" s="1"/>
      <c r="HSZ213" s="1"/>
      <c r="HTA213" s="1"/>
      <c r="HTB213" s="1"/>
      <c r="HTC213" s="1"/>
      <c r="HTD213" s="1"/>
      <c r="HTE213" s="1"/>
      <c r="HTF213" s="1"/>
      <c r="HTG213" s="1"/>
      <c r="HTH213" s="1"/>
      <c r="HTI213" s="1"/>
      <c r="HTJ213" s="1"/>
      <c r="HTK213" s="1"/>
      <c r="HTL213" s="1"/>
      <c r="HTM213" s="1"/>
      <c r="HTN213" s="1"/>
      <c r="HTO213" s="1"/>
      <c r="HTP213" s="1"/>
      <c r="HTQ213" s="1"/>
      <c r="HTR213" s="1"/>
      <c r="HTS213" s="1"/>
      <c r="HTT213" s="1"/>
      <c r="HTU213" s="1"/>
      <c r="HTV213" s="1"/>
      <c r="HTW213" s="1"/>
      <c r="HTX213" s="1"/>
      <c r="HTY213" s="1"/>
      <c r="HTZ213" s="1"/>
      <c r="HUA213" s="1"/>
      <c r="HUB213" s="1"/>
      <c r="HUC213" s="1"/>
      <c r="HUD213" s="1"/>
      <c r="HUE213" s="1"/>
      <c r="HUF213" s="1"/>
      <c r="HUG213" s="1"/>
      <c r="HUH213" s="1"/>
      <c r="HUI213" s="1"/>
      <c r="HUJ213" s="1"/>
      <c r="HUK213" s="1"/>
      <c r="HUL213" s="1"/>
      <c r="HUM213" s="1"/>
      <c r="HUN213" s="1"/>
      <c r="HUO213" s="1"/>
      <c r="HUP213" s="1"/>
      <c r="HUQ213" s="1"/>
      <c r="HUR213" s="1"/>
      <c r="HUS213" s="1"/>
      <c r="HUT213" s="1"/>
      <c r="HUU213" s="1"/>
      <c r="HUV213" s="1"/>
      <c r="HUW213" s="1"/>
      <c r="HUX213" s="1"/>
      <c r="HUY213" s="1"/>
      <c r="HUZ213" s="1"/>
      <c r="HVA213" s="1"/>
      <c r="HVB213" s="1"/>
      <c r="HVC213" s="1"/>
      <c r="HVD213" s="1"/>
      <c r="HVE213" s="1"/>
      <c r="HVF213" s="1"/>
      <c r="HVG213" s="1"/>
      <c r="HVH213" s="1"/>
      <c r="HVI213" s="1"/>
      <c r="HVJ213" s="1"/>
      <c r="HVK213" s="1"/>
      <c r="HVL213" s="1"/>
      <c r="HVM213" s="1"/>
      <c r="HVN213" s="1"/>
      <c r="HVO213" s="1"/>
      <c r="HVP213" s="1"/>
      <c r="HVQ213" s="1"/>
      <c r="HVR213" s="1"/>
      <c r="HVS213" s="1"/>
      <c r="HVT213" s="1"/>
      <c r="HVU213" s="1"/>
      <c r="HVV213" s="1"/>
      <c r="HVW213" s="1"/>
      <c r="HVX213" s="1"/>
      <c r="HVY213" s="1"/>
      <c r="HVZ213" s="1"/>
      <c r="HWA213" s="1"/>
      <c r="HWB213" s="1"/>
      <c r="HWC213" s="1"/>
      <c r="HWD213" s="1"/>
      <c r="HWE213" s="1"/>
      <c r="HWF213" s="1"/>
      <c r="HWG213" s="1"/>
      <c r="HWH213" s="1"/>
      <c r="HWI213" s="1"/>
      <c r="HWJ213" s="1"/>
      <c r="HWK213" s="1"/>
      <c r="HWL213" s="1"/>
      <c r="HWM213" s="1"/>
      <c r="HWN213" s="1"/>
      <c r="HWO213" s="1"/>
      <c r="HWP213" s="1"/>
      <c r="HWQ213" s="1"/>
      <c r="HWR213" s="1"/>
      <c r="HWS213" s="1"/>
      <c r="HWT213" s="1"/>
      <c r="HWU213" s="1"/>
      <c r="HWV213" s="1"/>
      <c r="HWW213" s="1"/>
      <c r="HWX213" s="1"/>
      <c r="HWY213" s="1"/>
      <c r="HWZ213" s="1"/>
      <c r="HXA213" s="1"/>
      <c r="HXB213" s="1"/>
      <c r="HXC213" s="1"/>
      <c r="HXD213" s="1"/>
      <c r="HXE213" s="1"/>
      <c r="HXF213" s="1"/>
      <c r="HXG213" s="1"/>
      <c r="HXH213" s="1"/>
      <c r="HXI213" s="1"/>
      <c r="HXJ213" s="1"/>
      <c r="HXK213" s="1"/>
      <c r="HXL213" s="1"/>
      <c r="HXM213" s="1"/>
      <c r="HXN213" s="1"/>
      <c r="HXO213" s="1"/>
      <c r="HXP213" s="1"/>
      <c r="HXQ213" s="1"/>
      <c r="HXR213" s="1"/>
      <c r="HXS213" s="1"/>
      <c r="HXT213" s="1"/>
      <c r="HXU213" s="1"/>
      <c r="HXV213" s="1"/>
      <c r="HXW213" s="1"/>
      <c r="HXX213" s="1"/>
      <c r="HXY213" s="1"/>
      <c r="HXZ213" s="1"/>
      <c r="HYA213" s="1"/>
      <c r="HYB213" s="1"/>
      <c r="HYC213" s="1"/>
      <c r="HYD213" s="1"/>
      <c r="HYE213" s="1"/>
      <c r="HYF213" s="1"/>
      <c r="HYG213" s="1"/>
      <c r="HYH213" s="1"/>
      <c r="HYI213" s="1"/>
      <c r="HYJ213" s="1"/>
      <c r="HYK213" s="1"/>
      <c r="HYL213" s="1"/>
      <c r="HYM213" s="1"/>
      <c r="HYN213" s="1"/>
      <c r="HYO213" s="1"/>
      <c r="HYP213" s="1"/>
      <c r="HYQ213" s="1"/>
      <c r="HYR213" s="1"/>
      <c r="HYS213" s="1"/>
      <c r="HYT213" s="1"/>
      <c r="HYU213" s="1"/>
      <c r="HYV213" s="1"/>
      <c r="HYW213" s="1"/>
      <c r="HYX213" s="1"/>
      <c r="HYY213" s="1"/>
      <c r="HYZ213" s="1"/>
      <c r="HZA213" s="1"/>
      <c r="HZB213" s="1"/>
      <c r="HZC213" s="1"/>
      <c r="HZD213" s="1"/>
      <c r="HZE213" s="1"/>
      <c r="HZF213" s="1"/>
      <c r="HZG213" s="1"/>
      <c r="HZH213" s="1"/>
      <c r="HZI213" s="1"/>
      <c r="HZJ213" s="1"/>
      <c r="HZK213" s="1"/>
      <c r="HZL213" s="1"/>
      <c r="HZM213" s="1"/>
      <c r="HZN213" s="1"/>
      <c r="HZO213" s="1"/>
      <c r="HZP213" s="1"/>
      <c r="HZQ213" s="1"/>
      <c r="HZR213" s="1"/>
      <c r="HZS213" s="1"/>
      <c r="HZT213" s="1"/>
      <c r="HZU213" s="1"/>
      <c r="HZV213" s="1"/>
      <c r="HZW213" s="1"/>
      <c r="HZX213" s="1"/>
      <c r="HZY213" s="1"/>
      <c r="HZZ213" s="1"/>
      <c r="IAA213" s="1"/>
      <c r="IAB213" s="1"/>
      <c r="IAC213" s="1"/>
      <c r="IAD213" s="1"/>
      <c r="IAE213" s="1"/>
      <c r="IAF213" s="1"/>
      <c r="IAG213" s="1"/>
      <c r="IAH213" s="1"/>
      <c r="IAI213" s="1"/>
      <c r="IAJ213" s="1"/>
      <c r="IAK213" s="1"/>
      <c r="IAL213" s="1"/>
      <c r="IAM213" s="1"/>
      <c r="IAN213" s="1"/>
      <c r="IAO213" s="1"/>
      <c r="IAP213" s="1"/>
      <c r="IAQ213" s="1"/>
      <c r="IAR213" s="1"/>
      <c r="IAS213" s="1"/>
      <c r="IAT213" s="1"/>
      <c r="IAU213" s="1"/>
      <c r="IAV213" s="1"/>
      <c r="IAW213" s="1"/>
      <c r="IAX213" s="1"/>
      <c r="IAY213" s="1"/>
      <c r="IAZ213" s="1"/>
      <c r="IBA213" s="1"/>
      <c r="IBB213" s="1"/>
      <c r="IBC213" s="1"/>
      <c r="IBD213" s="1"/>
      <c r="IBE213" s="1"/>
      <c r="IBF213" s="1"/>
      <c r="IBG213" s="1"/>
      <c r="IBH213" s="1"/>
      <c r="IBI213" s="1"/>
      <c r="IBJ213" s="1"/>
      <c r="IBK213" s="1"/>
      <c r="IBL213" s="1"/>
      <c r="IBM213" s="1"/>
      <c r="IBN213" s="1"/>
      <c r="IBO213" s="1"/>
      <c r="IBP213" s="1"/>
      <c r="IBQ213" s="1"/>
      <c r="IBR213" s="1"/>
      <c r="IBS213" s="1"/>
      <c r="IBT213" s="1"/>
      <c r="IBU213" s="1"/>
      <c r="IBV213" s="1"/>
      <c r="IBW213" s="1"/>
      <c r="IBX213" s="1"/>
      <c r="IBY213" s="1"/>
      <c r="IBZ213" s="1"/>
      <c r="ICA213" s="1"/>
      <c r="ICB213" s="1"/>
      <c r="ICC213" s="1"/>
      <c r="ICD213" s="1"/>
      <c r="ICE213" s="1"/>
      <c r="ICF213" s="1"/>
      <c r="ICG213" s="1"/>
      <c r="ICH213" s="1"/>
      <c r="ICI213" s="1"/>
      <c r="ICJ213" s="1"/>
      <c r="ICK213" s="1"/>
      <c r="ICL213" s="1"/>
      <c r="ICM213" s="1"/>
      <c r="ICN213" s="1"/>
      <c r="ICO213" s="1"/>
      <c r="ICP213" s="1"/>
      <c r="ICQ213" s="1"/>
      <c r="ICR213" s="1"/>
      <c r="ICS213" s="1"/>
      <c r="ICT213" s="1"/>
      <c r="ICU213" s="1"/>
      <c r="ICV213" s="1"/>
      <c r="ICW213" s="1"/>
      <c r="ICX213" s="1"/>
      <c r="ICY213" s="1"/>
      <c r="ICZ213" s="1"/>
      <c r="IDA213" s="1"/>
      <c r="IDB213" s="1"/>
      <c r="IDC213" s="1"/>
      <c r="IDD213" s="1"/>
      <c r="IDE213" s="1"/>
      <c r="IDF213" s="1"/>
      <c r="IDG213" s="1"/>
      <c r="IDH213" s="1"/>
      <c r="IDI213" s="1"/>
      <c r="IDJ213" s="1"/>
      <c r="IDK213" s="1"/>
      <c r="IDL213" s="1"/>
      <c r="IDM213" s="1"/>
      <c r="IDN213" s="1"/>
      <c r="IDO213" s="1"/>
      <c r="IDP213" s="1"/>
      <c r="IDQ213" s="1"/>
      <c r="IDR213" s="1"/>
      <c r="IDS213" s="1"/>
      <c r="IDT213" s="1"/>
      <c r="IDU213" s="1"/>
      <c r="IDV213" s="1"/>
      <c r="IDW213" s="1"/>
      <c r="IDX213" s="1"/>
      <c r="IDY213" s="1"/>
      <c r="IDZ213" s="1"/>
      <c r="IEA213" s="1"/>
      <c r="IEB213" s="1"/>
      <c r="IEC213" s="1"/>
      <c r="IED213" s="1"/>
      <c r="IEE213" s="1"/>
      <c r="IEF213" s="1"/>
      <c r="IEG213" s="1"/>
      <c r="IEH213" s="1"/>
      <c r="IEI213" s="1"/>
      <c r="IEJ213" s="1"/>
      <c r="IEK213" s="1"/>
      <c r="IEL213" s="1"/>
      <c r="IEM213" s="1"/>
      <c r="IEN213" s="1"/>
      <c r="IEO213" s="1"/>
      <c r="IEP213" s="1"/>
      <c r="IEQ213" s="1"/>
      <c r="IER213" s="1"/>
      <c r="IES213" s="1"/>
      <c r="IET213" s="1"/>
      <c r="IEU213" s="1"/>
      <c r="IEV213" s="1"/>
      <c r="IEW213" s="1"/>
      <c r="IEX213" s="1"/>
      <c r="IEY213" s="1"/>
      <c r="IEZ213" s="1"/>
      <c r="IFA213" s="1"/>
      <c r="IFB213" s="1"/>
      <c r="IFC213" s="1"/>
      <c r="IFD213" s="1"/>
      <c r="IFE213" s="1"/>
      <c r="IFF213" s="1"/>
      <c r="IFG213" s="1"/>
      <c r="IFH213" s="1"/>
      <c r="IFI213" s="1"/>
      <c r="IFJ213" s="1"/>
      <c r="IFK213" s="1"/>
      <c r="IFL213" s="1"/>
      <c r="IFM213" s="1"/>
      <c r="IFN213" s="1"/>
      <c r="IFO213" s="1"/>
      <c r="IFP213" s="1"/>
      <c r="IFQ213" s="1"/>
      <c r="IFR213" s="1"/>
      <c r="IFS213" s="1"/>
      <c r="IFT213" s="1"/>
      <c r="IFU213" s="1"/>
      <c r="IFV213" s="1"/>
      <c r="IFW213" s="1"/>
      <c r="IFX213" s="1"/>
      <c r="IFY213" s="1"/>
      <c r="IFZ213" s="1"/>
      <c r="IGA213" s="1"/>
      <c r="IGB213" s="1"/>
      <c r="IGC213" s="1"/>
      <c r="IGD213" s="1"/>
      <c r="IGE213" s="1"/>
      <c r="IGF213" s="1"/>
      <c r="IGG213" s="1"/>
      <c r="IGH213" s="1"/>
      <c r="IGI213" s="1"/>
      <c r="IGJ213" s="1"/>
      <c r="IGK213" s="1"/>
      <c r="IGL213" s="1"/>
      <c r="IGM213" s="1"/>
      <c r="IGN213" s="1"/>
      <c r="IGO213" s="1"/>
      <c r="IGP213" s="1"/>
      <c r="IGQ213" s="1"/>
      <c r="IGR213" s="1"/>
      <c r="IGS213" s="1"/>
      <c r="IGT213" s="1"/>
      <c r="IGU213" s="1"/>
      <c r="IGV213" s="1"/>
      <c r="IGW213" s="1"/>
      <c r="IGX213" s="1"/>
      <c r="IGY213" s="1"/>
      <c r="IGZ213" s="1"/>
      <c r="IHA213" s="1"/>
      <c r="IHB213" s="1"/>
      <c r="IHC213" s="1"/>
      <c r="IHD213" s="1"/>
      <c r="IHE213" s="1"/>
      <c r="IHF213" s="1"/>
      <c r="IHG213" s="1"/>
      <c r="IHH213" s="1"/>
      <c r="IHI213" s="1"/>
      <c r="IHJ213" s="1"/>
      <c r="IHK213" s="1"/>
      <c r="IHL213" s="1"/>
      <c r="IHM213" s="1"/>
      <c r="IHN213" s="1"/>
      <c r="IHO213" s="1"/>
      <c r="IHP213" s="1"/>
      <c r="IHQ213" s="1"/>
      <c r="IHR213" s="1"/>
      <c r="IHS213" s="1"/>
      <c r="IHT213" s="1"/>
      <c r="IHU213" s="1"/>
      <c r="IHV213" s="1"/>
      <c r="IHW213" s="1"/>
      <c r="IHX213" s="1"/>
      <c r="IHY213" s="1"/>
      <c r="IHZ213" s="1"/>
      <c r="IIA213" s="1"/>
      <c r="IIB213" s="1"/>
      <c r="IIC213" s="1"/>
      <c r="IID213" s="1"/>
      <c r="IIE213" s="1"/>
      <c r="IIF213" s="1"/>
      <c r="IIG213" s="1"/>
      <c r="IIH213" s="1"/>
      <c r="III213" s="1"/>
      <c r="IIJ213" s="1"/>
      <c r="IIK213" s="1"/>
      <c r="IIL213" s="1"/>
      <c r="IIM213" s="1"/>
      <c r="IIN213" s="1"/>
      <c r="IIO213" s="1"/>
      <c r="IIP213" s="1"/>
      <c r="IIQ213" s="1"/>
      <c r="IIR213" s="1"/>
      <c r="IIS213" s="1"/>
      <c r="IIT213" s="1"/>
      <c r="IIU213" s="1"/>
      <c r="IIV213" s="1"/>
      <c r="IIW213" s="1"/>
      <c r="IIX213" s="1"/>
      <c r="IIY213" s="1"/>
      <c r="IIZ213" s="1"/>
      <c r="IJA213" s="1"/>
      <c r="IJB213" s="1"/>
      <c r="IJC213" s="1"/>
      <c r="IJD213" s="1"/>
      <c r="IJE213" s="1"/>
      <c r="IJF213" s="1"/>
      <c r="IJG213" s="1"/>
      <c r="IJH213" s="1"/>
      <c r="IJI213" s="1"/>
      <c r="IJJ213" s="1"/>
      <c r="IJK213" s="1"/>
      <c r="IJL213" s="1"/>
      <c r="IJM213" s="1"/>
      <c r="IJN213" s="1"/>
      <c r="IJO213" s="1"/>
      <c r="IJP213" s="1"/>
      <c r="IJQ213" s="1"/>
      <c r="IJR213" s="1"/>
      <c r="IJS213" s="1"/>
      <c r="IJT213" s="1"/>
      <c r="IJU213" s="1"/>
      <c r="IJV213" s="1"/>
      <c r="IJW213" s="1"/>
      <c r="IJX213" s="1"/>
      <c r="IJY213" s="1"/>
      <c r="IJZ213" s="1"/>
      <c r="IKA213" s="1"/>
      <c r="IKB213" s="1"/>
      <c r="IKC213" s="1"/>
      <c r="IKD213" s="1"/>
      <c r="IKE213" s="1"/>
      <c r="IKF213" s="1"/>
      <c r="IKG213" s="1"/>
      <c r="IKH213" s="1"/>
      <c r="IKI213" s="1"/>
      <c r="IKJ213" s="1"/>
      <c r="IKK213" s="1"/>
      <c r="IKL213" s="1"/>
      <c r="IKM213" s="1"/>
      <c r="IKN213" s="1"/>
      <c r="IKO213" s="1"/>
      <c r="IKP213" s="1"/>
      <c r="IKQ213" s="1"/>
      <c r="IKR213" s="1"/>
      <c r="IKS213" s="1"/>
      <c r="IKT213" s="1"/>
      <c r="IKU213" s="1"/>
      <c r="IKV213" s="1"/>
      <c r="IKW213" s="1"/>
      <c r="IKX213" s="1"/>
      <c r="IKY213" s="1"/>
      <c r="IKZ213" s="1"/>
      <c r="ILA213" s="1"/>
      <c r="ILB213" s="1"/>
      <c r="ILC213" s="1"/>
      <c r="ILD213" s="1"/>
      <c r="ILE213" s="1"/>
      <c r="ILF213" s="1"/>
      <c r="ILG213" s="1"/>
      <c r="ILH213" s="1"/>
      <c r="ILI213" s="1"/>
      <c r="ILJ213" s="1"/>
      <c r="ILK213" s="1"/>
      <c r="ILL213" s="1"/>
      <c r="ILM213" s="1"/>
      <c r="ILN213" s="1"/>
      <c r="ILO213" s="1"/>
      <c r="ILP213" s="1"/>
      <c r="ILQ213" s="1"/>
      <c r="ILR213" s="1"/>
      <c r="ILS213" s="1"/>
      <c r="ILT213" s="1"/>
      <c r="ILU213" s="1"/>
      <c r="ILV213" s="1"/>
      <c r="ILW213" s="1"/>
      <c r="ILX213" s="1"/>
      <c r="ILY213" s="1"/>
      <c r="ILZ213" s="1"/>
      <c r="IMA213" s="1"/>
      <c r="IMB213" s="1"/>
      <c r="IMC213" s="1"/>
      <c r="IMD213" s="1"/>
      <c r="IME213" s="1"/>
      <c r="IMF213" s="1"/>
      <c r="IMG213" s="1"/>
      <c r="IMH213" s="1"/>
      <c r="IMI213" s="1"/>
      <c r="IMJ213" s="1"/>
      <c r="IMK213" s="1"/>
      <c r="IML213" s="1"/>
      <c r="IMM213" s="1"/>
      <c r="IMN213" s="1"/>
      <c r="IMO213" s="1"/>
      <c r="IMP213" s="1"/>
      <c r="IMQ213" s="1"/>
      <c r="IMR213" s="1"/>
      <c r="IMS213" s="1"/>
      <c r="IMT213" s="1"/>
      <c r="IMU213" s="1"/>
      <c r="IMV213" s="1"/>
      <c r="IMW213" s="1"/>
      <c r="IMX213" s="1"/>
      <c r="IMY213" s="1"/>
      <c r="IMZ213" s="1"/>
      <c r="INA213" s="1"/>
      <c r="INB213" s="1"/>
      <c r="INC213" s="1"/>
      <c r="IND213" s="1"/>
      <c r="INE213" s="1"/>
      <c r="INF213" s="1"/>
      <c r="ING213" s="1"/>
      <c r="INH213" s="1"/>
      <c r="INI213" s="1"/>
      <c r="INJ213" s="1"/>
      <c r="INK213" s="1"/>
      <c r="INL213" s="1"/>
      <c r="INM213" s="1"/>
      <c r="INN213" s="1"/>
      <c r="INO213" s="1"/>
      <c r="INP213" s="1"/>
      <c r="INQ213" s="1"/>
      <c r="INR213" s="1"/>
      <c r="INS213" s="1"/>
      <c r="INT213" s="1"/>
      <c r="INU213" s="1"/>
      <c r="INV213" s="1"/>
      <c r="INW213" s="1"/>
      <c r="INX213" s="1"/>
      <c r="INY213" s="1"/>
      <c r="INZ213" s="1"/>
      <c r="IOA213" s="1"/>
      <c r="IOB213" s="1"/>
      <c r="IOC213" s="1"/>
      <c r="IOD213" s="1"/>
      <c r="IOE213" s="1"/>
      <c r="IOF213" s="1"/>
      <c r="IOG213" s="1"/>
      <c r="IOH213" s="1"/>
      <c r="IOI213" s="1"/>
      <c r="IOJ213" s="1"/>
      <c r="IOK213" s="1"/>
      <c r="IOL213" s="1"/>
      <c r="IOM213" s="1"/>
      <c r="ION213" s="1"/>
      <c r="IOO213" s="1"/>
      <c r="IOP213" s="1"/>
      <c r="IOQ213" s="1"/>
      <c r="IOR213" s="1"/>
      <c r="IOS213" s="1"/>
      <c r="IOT213" s="1"/>
      <c r="IOU213" s="1"/>
      <c r="IOV213" s="1"/>
      <c r="IOW213" s="1"/>
      <c r="IOX213" s="1"/>
      <c r="IOY213" s="1"/>
      <c r="IOZ213" s="1"/>
      <c r="IPA213" s="1"/>
      <c r="IPB213" s="1"/>
      <c r="IPC213" s="1"/>
      <c r="IPD213" s="1"/>
      <c r="IPE213" s="1"/>
      <c r="IPF213" s="1"/>
      <c r="IPG213" s="1"/>
      <c r="IPH213" s="1"/>
      <c r="IPI213" s="1"/>
      <c r="IPJ213" s="1"/>
      <c r="IPK213" s="1"/>
      <c r="IPL213" s="1"/>
      <c r="IPM213" s="1"/>
      <c r="IPN213" s="1"/>
      <c r="IPO213" s="1"/>
      <c r="IPP213" s="1"/>
      <c r="IPQ213" s="1"/>
      <c r="IPR213" s="1"/>
      <c r="IPS213" s="1"/>
      <c r="IPT213" s="1"/>
      <c r="IPU213" s="1"/>
      <c r="IPV213" s="1"/>
      <c r="IPW213" s="1"/>
      <c r="IPX213" s="1"/>
      <c r="IPY213" s="1"/>
      <c r="IPZ213" s="1"/>
      <c r="IQA213" s="1"/>
      <c r="IQB213" s="1"/>
      <c r="IQC213" s="1"/>
      <c r="IQD213" s="1"/>
      <c r="IQE213" s="1"/>
      <c r="IQF213" s="1"/>
      <c r="IQG213" s="1"/>
      <c r="IQH213" s="1"/>
      <c r="IQI213" s="1"/>
      <c r="IQJ213" s="1"/>
      <c r="IQK213" s="1"/>
      <c r="IQL213" s="1"/>
      <c r="IQM213" s="1"/>
      <c r="IQN213" s="1"/>
      <c r="IQO213" s="1"/>
      <c r="IQP213" s="1"/>
      <c r="IQQ213" s="1"/>
      <c r="IQR213" s="1"/>
      <c r="IQS213" s="1"/>
      <c r="IQT213" s="1"/>
      <c r="IQU213" s="1"/>
      <c r="IQV213" s="1"/>
      <c r="IQW213" s="1"/>
      <c r="IQX213" s="1"/>
      <c r="IQY213" s="1"/>
      <c r="IQZ213" s="1"/>
      <c r="IRA213" s="1"/>
      <c r="IRB213" s="1"/>
      <c r="IRC213" s="1"/>
      <c r="IRD213" s="1"/>
      <c r="IRE213" s="1"/>
      <c r="IRF213" s="1"/>
      <c r="IRG213" s="1"/>
      <c r="IRH213" s="1"/>
      <c r="IRI213" s="1"/>
      <c r="IRJ213" s="1"/>
      <c r="IRK213" s="1"/>
      <c r="IRL213" s="1"/>
      <c r="IRM213" s="1"/>
      <c r="IRN213" s="1"/>
      <c r="IRO213" s="1"/>
      <c r="IRP213" s="1"/>
      <c r="IRQ213" s="1"/>
      <c r="IRR213" s="1"/>
      <c r="IRS213" s="1"/>
      <c r="IRT213" s="1"/>
      <c r="IRU213" s="1"/>
      <c r="IRV213" s="1"/>
      <c r="IRW213" s="1"/>
      <c r="IRX213" s="1"/>
      <c r="IRY213" s="1"/>
      <c r="IRZ213" s="1"/>
      <c r="ISA213" s="1"/>
      <c r="ISB213" s="1"/>
      <c r="ISC213" s="1"/>
      <c r="ISD213" s="1"/>
      <c r="ISE213" s="1"/>
      <c r="ISF213" s="1"/>
      <c r="ISG213" s="1"/>
      <c r="ISH213" s="1"/>
      <c r="ISI213" s="1"/>
      <c r="ISJ213" s="1"/>
      <c r="ISK213" s="1"/>
      <c r="ISL213" s="1"/>
      <c r="ISM213" s="1"/>
      <c r="ISN213" s="1"/>
      <c r="ISO213" s="1"/>
      <c r="ISP213" s="1"/>
      <c r="ISQ213" s="1"/>
      <c r="ISR213" s="1"/>
      <c r="ISS213" s="1"/>
      <c r="IST213" s="1"/>
      <c r="ISU213" s="1"/>
      <c r="ISV213" s="1"/>
      <c r="ISW213" s="1"/>
      <c r="ISX213" s="1"/>
      <c r="ISY213" s="1"/>
      <c r="ISZ213" s="1"/>
      <c r="ITA213" s="1"/>
      <c r="ITB213" s="1"/>
      <c r="ITC213" s="1"/>
      <c r="ITD213" s="1"/>
      <c r="ITE213" s="1"/>
      <c r="ITF213" s="1"/>
      <c r="ITG213" s="1"/>
      <c r="ITH213" s="1"/>
      <c r="ITI213" s="1"/>
      <c r="ITJ213" s="1"/>
      <c r="ITK213" s="1"/>
      <c r="ITL213" s="1"/>
      <c r="ITM213" s="1"/>
      <c r="ITN213" s="1"/>
      <c r="ITO213" s="1"/>
      <c r="ITP213" s="1"/>
      <c r="ITQ213" s="1"/>
      <c r="ITR213" s="1"/>
      <c r="ITS213" s="1"/>
      <c r="ITT213" s="1"/>
      <c r="ITU213" s="1"/>
      <c r="ITV213" s="1"/>
      <c r="ITW213" s="1"/>
      <c r="ITX213" s="1"/>
      <c r="ITY213" s="1"/>
      <c r="ITZ213" s="1"/>
      <c r="IUA213" s="1"/>
      <c r="IUB213" s="1"/>
      <c r="IUC213" s="1"/>
      <c r="IUD213" s="1"/>
      <c r="IUE213" s="1"/>
      <c r="IUF213" s="1"/>
      <c r="IUG213" s="1"/>
      <c r="IUH213" s="1"/>
      <c r="IUI213" s="1"/>
      <c r="IUJ213" s="1"/>
      <c r="IUK213" s="1"/>
      <c r="IUL213" s="1"/>
      <c r="IUM213" s="1"/>
      <c r="IUN213" s="1"/>
      <c r="IUO213" s="1"/>
      <c r="IUP213" s="1"/>
      <c r="IUQ213" s="1"/>
      <c r="IUR213" s="1"/>
      <c r="IUS213" s="1"/>
      <c r="IUT213" s="1"/>
      <c r="IUU213" s="1"/>
      <c r="IUV213" s="1"/>
      <c r="IUW213" s="1"/>
      <c r="IUX213" s="1"/>
      <c r="IUY213" s="1"/>
      <c r="IUZ213" s="1"/>
      <c r="IVA213" s="1"/>
      <c r="IVB213" s="1"/>
      <c r="IVC213" s="1"/>
      <c r="IVD213" s="1"/>
      <c r="IVE213" s="1"/>
      <c r="IVF213" s="1"/>
      <c r="IVG213" s="1"/>
      <c r="IVH213" s="1"/>
      <c r="IVI213" s="1"/>
      <c r="IVJ213" s="1"/>
      <c r="IVK213" s="1"/>
      <c r="IVL213" s="1"/>
      <c r="IVM213" s="1"/>
      <c r="IVN213" s="1"/>
      <c r="IVO213" s="1"/>
      <c r="IVP213" s="1"/>
      <c r="IVQ213" s="1"/>
      <c r="IVR213" s="1"/>
      <c r="IVS213" s="1"/>
      <c r="IVT213" s="1"/>
      <c r="IVU213" s="1"/>
      <c r="IVV213" s="1"/>
      <c r="IVW213" s="1"/>
      <c r="IVX213" s="1"/>
      <c r="IVY213" s="1"/>
      <c r="IVZ213" s="1"/>
      <c r="IWA213" s="1"/>
      <c r="IWB213" s="1"/>
      <c r="IWC213" s="1"/>
      <c r="IWD213" s="1"/>
      <c r="IWE213" s="1"/>
      <c r="IWF213" s="1"/>
      <c r="IWG213" s="1"/>
      <c r="IWH213" s="1"/>
      <c r="IWI213" s="1"/>
      <c r="IWJ213" s="1"/>
      <c r="IWK213" s="1"/>
      <c r="IWL213" s="1"/>
      <c r="IWM213" s="1"/>
      <c r="IWN213" s="1"/>
      <c r="IWO213" s="1"/>
      <c r="IWP213" s="1"/>
      <c r="IWQ213" s="1"/>
      <c r="IWR213" s="1"/>
      <c r="IWS213" s="1"/>
      <c r="IWT213" s="1"/>
      <c r="IWU213" s="1"/>
      <c r="IWV213" s="1"/>
      <c r="IWW213" s="1"/>
      <c r="IWX213" s="1"/>
      <c r="IWY213" s="1"/>
      <c r="IWZ213" s="1"/>
      <c r="IXA213" s="1"/>
      <c r="IXB213" s="1"/>
      <c r="IXC213" s="1"/>
      <c r="IXD213" s="1"/>
      <c r="IXE213" s="1"/>
      <c r="IXF213" s="1"/>
      <c r="IXG213" s="1"/>
      <c r="IXH213" s="1"/>
      <c r="IXI213" s="1"/>
      <c r="IXJ213" s="1"/>
      <c r="IXK213" s="1"/>
      <c r="IXL213" s="1"/>
      <c r="IXM213" s="1"/>
      <c r="IXN213" s="1"/>
      <c r="IXO213" s="1"/>
      <c r="IXP213" s="1"/>
      <c r="IXQ213" s="1"/>
      <c r="IXR213" s="1"/>
      <c r="IXS213" s="1"/>
      <c r="IXT213" s="1"/>
      <c r="IXU213" s="1"/>
      <c r="IXV213" s="1"/>
      <c r="IXW213" s="1"/>
      <c r="IXX213" s="1"/>
      <c r="IXY213" s="1"/>
      <c r="IXZ213" s="1"/>
      <c r="IYA213" s="1"/>
      <c r="IYB213" s="1"/>
      <c r="IYC213" s="1"/>
      <c r="IYD213" s="1"/>
      <c r="IYE213" s="1"/>
      <c r="IYF213" s="1"/>
      <c r="IYG213" s="1"/>
      <c r="IYH213" s="1"/>
      <c r="IYI213" s="1"/>
      <c r="IYJ213" s="1"/>
      <c r="IYK213" s="1"/>
      <c r="IYL213" s="1"/>
      <c r="IYM213" s="1"/>
      <c r="IYN213" s="1"/>
      <c r="IYO213" s="1"/>
      <c r="IYP213" s="1"/>
      <c r="IYQ213" s="1"/>
      <c r="IYR213" s="1"/>
      <c r="IYS213" s="1"/>
      <c r="IYT213" s="1"/>
      <c r="IYU213" s="1"/>
      <c r="IYV213" s="1"/>
      <c r="IYW213" s="1"/>
      <c r="IYX213" s="1"/>
      <c r="IYY213" s="1"/>
      <c r="IYZ213" s="1"/>
      <c r="IZA213" s="1"/>
      <c r="IZB213" s="1"/>
      <c r="IZC213" s="1"/>
      <c r="IZD213" s="1"/>
      <c r="IZE213" s="1"/>
      <c r="IZF213" s="1"/>
      <c r="IZG213" s="1"/>
      <c r="IZH213" s="1"/>
      <c r="IZI213" s="1"/>
      <c r="IZJ213" s="1"/>
      <c r="IZK213" s="1"/>
      <c r="IZL213" s="1"/>
      <c r="IZM213" s="1"/>
      <c r="IZN213" s="1"/>
      <c r="IZO213" s="1"/>
      <c r="IZP213" s="1"/>
      <c r="IZQ213" s="1"/>
      <c r="IZR213" s="1"/>
      <c r="IZS213" s="1"/>
      <c r="IZT213" s="1"/>
      <c r="IZU213" s="1"/>
      <c r="IZV213" s="1"/>
      <c r="IZW213" s="1"/>
      <c r="IZX213" s="1"/>
      <c r="IZY213" s="1"/>
      <c r="IZZ213" s="1"/>
      <c r="JAA213" s="1"/>
      <c r="JAB213" s="1"/>
      <c r="JAC213" s="1"/>
      <c r="JAD213" s="1"/>
      <c r="JAE213" s="1"/>
      <c r="JAF213" s="1"/>
      <c r="JAG213" s="1"/>
      <c r="JAH213" s="1"/>
      <c r="JAI213" s="1"/>
      <c r="JAJ213" s="1"/>
      <c r="JAK213" s="1"/>
      <c r="JAL213" s="1"/>
      <c r="JAM213" s="1"/>
      <c r="JAN213" s="1"/>
      <c r="JAO213" s="1"/>
      <c r="JAP213" s="1"/>
      <c r="JAQ213" s="1"/>
      <c r="JAR213" s="1"/>
      <c r="JAS213" s="1"/>
      <c r="JAT213" s="1"/>
      <c r="JAU213" s="1"/>
      <c r="JAV213" s="1"/>
      <c r="JAW213" s="1"/>
      <c r="JAX213" s="1"/>
      <c r="JAY213" s="1"/>
      <c r="JAZ213" s="1"/>
      <c r="JBA213" s="1"/>
      <c r="JBB213" s="1"/>
      <c r="JBC213" s="1"/>
      <c r="JBD213" s="1"/>
      <c r="JBE213" s="1"/>
      <c r="JBF213" s="1"/>
      <c r="JBG213" s="1"/>
      <c r="JBH213" s="1"/>
      <c r="JBI213" s="1"/>
      <c r="JBJ213" s="1"/>
      <c r="JBK213" s="1"/>
      <c r="JBL213" s="1"/>
      <c r="JBM213" s="1"/>
      <c r="JBN213" s="1"/>
      <c r="JBO213" s="1"/>
      <c r="JBP213" s="1"/>
      <c r="JBQ213" s="1"/>
      <c r="JBR213" s="1"/>
      <c r="JBS213" s="1"/>
      <c r="JBT213" s="1"/>
      <c r="JBU213" s="1"/>
      <c r="JBV213" s="1"/>
      <c r="JBW213" s="1"/>
      <c r="JBX213" s="1"/>
      <c r="JBY213" s="1"/>
      <c r="JBZ213" s="1"/>
      <c r="JCA213" s="1"/>
      <c r="JCB213" s="1"/>
      <c r="JCC213" s="1"/>
      <c r="JCD213" s="1"/>
      <c r="JCE213" s="1"/>
      <c r="JCF213" s="1"/>
      <c r="JCG213" s="1"/>
      <c r="JCH213" s="1"/>
      <c r="JCI213" s="1"/>
      <c r="JCJ213" s="1"/>
      <c r="JCK213" s="1"/>
      <c r="JCL213" s="1"/>
      <c r="JCM213" s="1"/>
      <c r="JCN213" s="1"/>
      <c r="JCO213" s="1"/>
      <c r="JCP213" s="1"/>
      <c r="JCQ213" s="1"/>
      <c r="JCR213" s="1"/>
      <c r="JCS213" s="1"/>
      <c r="JCT213" s="1"/>
      <c r="JCU213" s="1"/>
      <c r="JCV213" s="1"/>
      <c r="JCW213" s="1"/>
      <c r="JCX213" s="1"/>
      <c r="JCY213" s="1"/>
      <c r="JCZ213" s="1"/>
      <c r="JDA213" s="1"/>
      <c r="JDB213" s="1"/>
      <c r="JDC213" s="1"/>
      <c r="JDD213" s="1"/>
      <c r="JDE213" s="1"/>
      <c r="JDF213" s="1"/>
      <c r="JDG213" s="1"/>
      <c r="JDH213" s="1"/>
      <c r="JDI213" s="1"/>
      <c r="JDJ213" s="1"/>
      <c r="JDK213" s="1"/>
      <c r="JDL213" s="1"/>
      <c r="JDM213" s="1"/>
      <c r="JDN213" s="1"/>
      <c r="JDO213" s="1"/>
      <c r="JDP213" s="1"/>
      <c r="JDQ213" s="1"/>
      <c r="JDR213" s="1"/>
      <c r="JDS213" s="1"/>
      <c r="JDT213" s="1"/>
      <c r="JDU213" s="1"/>
      <c r="JDV213" s="1"/>
      <c r="JDW213" s="1"/>
      <c r="JDX213" s="1"/>
      <c r="JDY213" s="1"/>
      <c r="JDZ213" s="1"/>
      <c r="JEA213" s="1"/>
      <c r="JEB213" s="1"/>
      <c r="JEC213" s="1"/>
      <c r="JED213" s="1"/>
      <c r="JEE213" s="1"/>
      <c r="JEF213" s="1"/>
      <c r="JEG213" s="1"/>
      <c r="JEH213" s="1"/>
      <c r="JEI213" s="1"/>
      <c r="JEJ213" s="1"/>
      <c r="JEK213" s="1"/>
      <c r="JEL213" s="1"/>
      <c r="JEM213" s="1"/>
      <c r="JEN213" s="1"/>
      <c r="JEO213" s="1"/>
      <c r="JEP213" s="1"/>
      <c r="JEQ213" s="1"/>
      <c r="JER213" s="1"/>
      <c r="JES213" s="1"/>
      <c r="JET213" s="1"/>
      <c r="JEU213" s="1"/>
      <c r="JEV213" s="1"/>
      <c r="JEW213" s="1"/>
      <c r="JEX213" s="1"/>
      <c r="JEY213" s="1"/>
      <c r="JEZ213" s="1"/>
      <c r="JFA213" s="1"/>
      <c r="JFB213" s="1"/>
      <c r="JFC213" s="1"/>
      <c r="JFD213" s="1"/>
      <c r="JFE213" s="1"/>
      <c r="JFF213" s="1"/>
      <c r="JFG213" s="1"/>
      <c r="JFH213" s="1"/>
      <c r="JFI213" s="1"/>
      <c r="JFJ213" s="1"/>
      <c r="JFK213" s="1"/>
      <c r="JFL213" s="1"/>
      <c r="JFM213" s="1"/>
      <c r="JFN213" s="1"/>
      <c r="JFO213" s="1"/>
      <c r="JFP213" s="1"/>
      <c r="JFQ213" s="1"/>
      <c r="JFR213" s="1"/>
      <c r="JFS213" s="1"/>
      <c r="JFT213" s="1"/>
      <c r="JFU213" s="1"/>
      <c r="JFV213" s="1"/>
      <c r="JFW213" s="1"/>
      <c r="JFX213" s="1"/>
      <c r="JFY213" s="1"/>
      <c r="JFZ213" s="1"/>
      <c r="JGA213" s="1"/>
      <c r="JGB213" s="1"/>
      <c r="JGC213" s="1"/>
      <c r="JGD213" s="1"/>
      <c r="JGE213" s="1"/>
      <c r="JGF213" s="1"/>
      <c r="JGG213" s="1"/>
      <c r="JGH213" s="1"/>
      <c r="JGI213" s="1"/>
      <c r="JGJ213" s="1"/>
      <c r="JGK213" s="1"/>
      <c r="JGL213" s="1"/>
      <c r="JGM213" s="1"/>
      <c r="JGN213" s="1"/>
      <c r="JGO213" s="1"/>
      <c r="JGP213" s="1"/>
      <c r="JGQ213" s="1"/>
      <c r="JGR213" s="1"/>
      <c r="JGS213" s="1"/>
      <c r="JGT213" s="1"/>
      <c r="JGU213" s="1"/>
      <c r="JGV213" s="1"/>
      <c r="JGW213" s="1"/>
      <c r="JGX213" s="1"/>
      <c r="JGY213" s="1"/>
      <c r="JGZ213" s="1"/>
      <c r="JHA213" s="1"/>
      <c r="JHB213" s="1"/>
      <c r="JHC213" s="1"/>
      <c r="JHD213" s="1"/>
      <c r="JHE213" s="1"/>
      <c r="JHF213" s="1"/>
      <c r="JHG213" s="1"/>
      <c r="JHH213" s="1"/>
      <c r="JHI213" s="1"/>
      <c r="JHJ213" s="1"/>
      <c r="JHK213" s="1"/>
      <c r="JHL213" s="1"/>
      <c r="JHM213" s="1"/>
      <c r="JHN213" s="1"/>
      <c r="JHO213" s="1"/>
      <c r="JHP213" s="1"/>
      <c r="JHQ213" s="1"/>
      <c r="JHR213" s="1"/>
      <c r="JHS213" s="1"/>
      <c r="JHT213" s="1"/>
      <c r="JHU213" s="1"/>
      <c r="JHV213" s="1"/>
      <c r="JHW213" s="1"/>
      <c r="JHX213" s="1"/>
      <c r="JHY213" s="1"/>
      <c r="JHZ213" s="1"/>
      <c r="JIA213" s="1"/>
      <c r="JIB213" s="1"/>
      <c r="JIC213" s="1"/>
      <c r="JID213" s="1"/>
      <c r="JIE213" s="1"/>
      <c r="JIF213" s="1"/>
      <c r="JIG213" s="1"/>
      <c r="JIH213" s="1"/>
      <c r="JII213" s="1"/>
      <c r="JIJ213" s="1"/>
      <c r="JIK213" s="1"/>
      <c r="JIL213" s="1"/>
      <c r="JIM213" s="1"/>
      <c r="JIN213" s="1"/>
      <c r="JIO213" s="1"/>
      <c r="JIP213" s="1"/>
      <c r="JIQ213" s="1"/>
      <c r="JIR213" s="1"/>
      <c r="JIS213" s="1"/>
      <c r="JIT213" s="1"/>
      <c r="JIU213" s="1"/>
      <c r="JIV213" s="1"/>
      <c r="JIW213" s="1"/>
      <c r="JIX213" s="1"/>
      <c r="JIY213" s="1"/>
      <c r="JIZ213" s="1"/>
      <c r="JJA213" s="1"/>
      <c r="JJB213" s="1"/>
      <c r="JJC213" s="1"/>
      <c r="JJD213" s="1"/>
      <c r="JJE213" s="1"/>
      <c r="JJF213" s="1"/>
      <c r="JJG213" s="1"/>
      <c r="JJH213" s="1"/>
      <c r="JJI213" s="1"/>
      <c r="JJJ213" s="1"/>
      <c r="JJK213" s="1"/>
      <c r="JJL213" s="1"/>
      <c r="JJM213" s="1"/>
      <c r="JJN213" s="1"/>
      <c r="JJO213" s="1"/>
      <c r="JJP213" s="1"/>
      <c r="JJQ213" s="1"/>
      <c r="JJR213" s="1"/>
      <c r="JJS213" s="1"/>
      <c r="JJT213" s="1"/>
      <c r="JJU213" s="1"/>
      <c r="JJV213" s="1"/>
      <c r="JJW213" s="1"/>
      <c r="JJX213" s="1"/>
      <c r="JJY213" s="1"/>
      <c r="JJZ213" s="1"/>
      <c r="JKA213" s="1"/>
      <c r="JKB213" s="1"/>
      <c r="JKC213" s="1"/>
      <c r="JKD213" s="1"/>
      <c r="JKE213" s="1"/>
      <c r="JKF213" s="1"/>
      <c r="JKG213" s="1"/>
      <c r="JKH213" s="1"/>
      <c r="JKI213" s="1"/>
      <c r="JKJ213" s="1"/>
      <c r="JKK213" s="1"/>
      <c r="JKL213" s="1"/>
      <c r="JKM213" s="1"/>
      <c r="JKN213" s="1"/>
      <c r="JKO213" s="1"/>
      <c r="JKP213" s="1"/>
      <c r="JKQ213" s="1"/>
      <c r="JKR213" s="1"/>
      <c r="JKS213" s="1"/>
      <c r="JKT213" s="1"/>
      <c r="JKU213" s="1"/>
      <c r="JKV213" s="1"/>
      <c r="JKW213" s="1"/>
      <c r="JKX213" s="1"/>
      <c r="JKY213" s="1"/>
      <c r="JKZ213" s="1"/>
      <c r="JLA213" s="1"/>
      <c r="JLB213" s="1"/>
      <c r="JLC213" s="1"/>
      <c r="JLD213" s="1"/>
      <c r="JLE213" s="1"/>
      <c r="JLF213" s="1"/>
      <c r="JLG213" s="1"/>
      <c r="JLH213" s="1"/>
      <c r="JLI213" s="1"/>
      <c r="JLJ213" s="1"/>
      <c r="JLK213" s="1"/>
      <c r="JLL213" s="1"/>
      <c r="JLM213" s="1"/>
      <c r="JLN213" s="1"/>
      <c r="JLO213" s="1"/>
      <c r="JLP213" s="1"/>
      <c r="JLQ213" s="1"/>
      <c r="JLR213" s="1"/>
      <c r="JLS213" s="1"/>
      <c r="JLT213" s="1"/>
      <c r="JLU213" s="1"/>
      <c r="JLV213" s="1"/>
      <c r="JLW213" s="1"/>
      <c r="JLX213" s="1"/>
      <c r="JLY213" s="1"/>
      <c r="JLZ213" s="1"/>
      <c r="JMA213" s="1"/>
      <c r="JMB213" s="1"/>
      <c r="JMC213" s="1"/>
      <c r="JMD213" s="1"/>
      <c r="JME213" s="1"/>
      <c r="JMF213" s="1"/>
      <c r="JMG213" s="1"/>
      <c r="JMH213" s="1"/>
      <c r="JMI213" s="1"/>
      <c r="JMJ213" s="1"/>
      <c r="JMK213" s="1"/>
      <c r="JML213" s="1"/>
      <c r="JMM213" s="1"/>
      <c r="JMN213" s="1"/>
      <c r="JMO213" s="1"/>
      <c r="JMP213" s="1"/>
      <c r="JMQ213" s="1"/>
      <c r="JMR213" s="1"/>
      <c r="JMS213" s="1"/>
      <c r="JMT213" s="1"/>
      <c r="JMU213" s="1"/>
      <c r="JMV213" s="1"/>
      <c r="JMW213" s="1"/>
      <c r="JMX213" s="1"/>
      <c r="JMY213" s="1"/>
      <c r="JMZ213" s="1"/>
      <c r="JNA213" s="1"/>
      <c r="JNB213" s="1"/>
      <c r="JNC213" s="1"/>
      <c r="JND213" s="1"/>
      <c r="JNE213" s="1"/>
      <c r="JNF213" s="1"/>
      <c r="JNG213" s="1"/>
      <c r="JNH213" s="1"/>
      <c r="JNI213" s="1"/>
      <c r="JNJ213" s="1"/>
      <c r="JNK213" s="1"/>
      <c r="JNL213" s="1"/>
      <c r="JNM213" s="1"/>
      <c r="JNN213" s="1"/>
      <c r="JNO213" s="1"/>
      <c r="JNP213" s="1"/>
      <c r="JNQ213" s="1"/>
      <c r="JNR213" s="1"/>
      <c r="JNS213" s="1"/>
      <c r="JNT213" s="1"/>
      <c r="JNU213" s="1"/>
      <c r="JNV213" s="1"/>
      <c r="JNW213" s="1"/>
      <c r="JNX213" s="1"/>
      <c r="JNY213" s="1"/>
      <c r="JNZ213" s="1"/>
      <c r="JOA213" s="1"/>
      <c r="JOB213" s="1"/>
      <c r="JOC213" s="1"/>
      <c r="JOD213" s="1"/>
      <c r="JOE213" s="1"/>
      <c r="JOF213" s="1"/>
      <c r="JOG213" s="1"/>
      <c r="JOH213" s="1"/>
      <c r="JOI213" s="1"/>
      <c r="JOJ213" s="1"/>
      <c r="JOK213" s="1"/>
      <c r="JOL213" s="1"/>
      <c r="JOM213" s="1"/>
      <c r="JON213" s="1"/>
      <c r="JOO213" s="1"/>
      <c r="JOP213" s="1"/>
      <c r="JOQ213" s="1"/>
      <c r="JOR213" s="1"/>
      <c r="JOS213" s="1"/>
      <c r="JOT213" s="1"/>
      <c r="JOU213" s="1"/>
      <c r="JOV213" s="1"/>
      <c r="JOW213" s="1"/>
      <c r="JOX213" s="1"/>
      <c r="JOY213" s="1"/>
      <c r="JOZ213" s="1"/>
      <c r="JPA213" s="1"/>
      <c r="JPB213" s="1"/>
      <c r="JPC213" s="1"/>
      <c r="JPD213" s="1"/>
      <c r="JPE213" s="1"/>
      <c r="JPF213" s="1"/>
      <c r="JPG213" s="1"/>
      <c r="JPH213" s="1"/>
      <c r="JPI213" s="1"/>
      <c r="JPJ213" s="1"/>
      <c r="JPK213" s="1"/>
      <c r="JPL213" s="1"/>
      <c r="JPM213" s="1"/>
      <c r="JPN213" s="1"/>
      <c r="JPO213" s="1"/>
      <c r="JPP213" s="1"/>
      <c r="JPQ213" s="1"/>
      <c r="JPR213" s="1"/>
      <c r="JPS213" s="1"/>
      <c r="JPT213" s="1"/>
      <c r="JPU213" s="1"/>
      <c r="JPV213" s="1"/>
      <c r="JPW213" s="1"/>
      <c r="JPX213" s="1"/>
      <c r="JPY213" s="1"/>
      <c r="JPZ213" s="1"/>
      <c r="JQA213" s="1"/>
      <c r="JQB213" s="1"/>
      <c r="JQC213" s="1"/>
      <c r="JQD213" s="1"/>
      <c r="JQE213" s="1"/>
      <c r="JQF213" s="1"/>
      <c r="JQG213" s="1"/>
      <c r="JQH213" s="1"/>
      <c r="JQI213" s="1"/>
      <c r="JQJ213" s="1"/>
      <c r="JQK213" s="1"/>
      <c r="JQL213" s="1"/>
      <c r="JQM213" s="1"/>
      <c r="JQN213" s="1"/>
      <c r="JQO213" s="1"/>
      <c r="JQP213" s="1"/>
      <c r="JQQ213" s="1"/>
      <c r="JQR213" s="1"/>
      <c r="JQS213" s="1"/>
      <c r="JQT213" s="1"/>
      <c r="JQU213" s="1"/>
      <c r="JQV213" s="1"/>
      <c r="JQW213" s="1"/>
      <c r="JQX213" s="1"/>
      <c r="JQY213" s="1"/>
      <c r="JQZ213" s="1"/>
      <c r="JRA213" s="1"/>
      <c r="JRB213" s="1"/>
      <c r="JRC213" s="1"/>
      <c r="JRD213" s="1"/>
      <c r="JRE213" s="1"/>
      <c r="JRF213" s="1"/>
      <c r="JRG213" s="1"/>
      <c r="JRH213" s="1"/>
      <c r="JRI213" s="1"/>
      <c r="JRJ213" s="1"/>
      <c r="JRK213" s="1"/>
      <c r="JRL213" s="1"/>
      <c r="JRM213" s="1"/>
      <c r="JRN213" s="1"/>
      <c r="JRO213" s="1"/>
      <c r="JRP213" s="1"/>
      <c r="JRQ213" s="1"/>
      <c r="JRR213" s="1"/>
      <c r="JRS213" s="1"/>
      <c r="JRT213" s="1"/>
      <c r="JRU213" s="1"/>
      <c r="JRV213" s="1"/>
      <c r="JRW213" s="1"/>
      <c r="JRX213" s="1"/>
      <c r="JRY213" s="1"/>
      <c r="JRZ213" s="1"/>
      <c r="JSA213" s="1"/>
      <c r="JSB213" s="1"/>
      <c r="JSC213" s="1"/>
      <c r="JSD213" s="1"/>
      <c r="JSE213" s="1"/>
      <c r="JSF213" s="1"/>
      <c r="JSG213" s="1"/>
      <c r="JSH213" s="1"/>
      <c r="JSI213" s="1"/>
      <c r="JSJ213" s="1"/>
      <c r="JSK213" s="1"/>
      <c r="JSL213" s="1"/>
      <c r="JSM213" s="1"/>
      <c r="JSN213" s="1"/>
      <c r="JSO213" s="1"/>
      <c r="JSP213" s="1"/>
      <c r="JSQ213" s="1"/>
      <c r="JSR213" s="1"/>
      <c r="JSS213" s="1"/>
      <c r="JST213" s="1"/>
      <c r="JSU213" s="1"/>
      <c r="JSV213" s="1"/>
      <c r="JSW213" s="1"/>
      <c r="JSX213" s="1"/>
      <c r="JSY213" s="1"/>
      <c r="JSZ213" s="1"/>
      <c r="JTA213" s="1"/>
      <c r="JTB213" s="1"/>
      <c r="JTC213" s="1"/>
      <c r="JTD213" s="1"/>
      <c r="JTE213" s="1"/>
      <c r="JTF213" s="1"/>
      <c r="JTG213" s="1"/>
      <c r="JTH213" s="1"/>
      <c r="JTI213" s="1"/>
      <c r="JTJ213" s="1"/>
      <c r="JTK213" s="1"/>
      <c r="JTL213" s="1"/>
      <c r="JTM213" s="1"/>
      <c r="JTN213" s="1"/>
      <c r="JTO213" s="1"/>
      <c r="JTP213" s="1"/>
      <c r="JTQ213" s="1"/>
      <c r="JTR213" s="1"/>
      <c r="JTS213" s="1"/>
      <c r="JTT213" s="1"/>
      <c r="JTU213" s="1"/>
      <c r="JTV213" s="1"/>
      <c r="JTW213" s="1"/>
      <c r="JTX213" s="1"/>
      <c r="JTY213" s="1"/>
      <c r="JTZ213" s="1"/>
      <c r="JUA213" s="1"/>
      <c r="JUB213" s="1"/>
      <c r="JUC213" s="1"/>
      <c r="JUD213" s="1"/>
      <c r="JUE213" s="1"/>
      <c r="JUF213" s="1"/>
      <c r="JUG213" s="1"/>
      <c r="JUH213" s="1"/>
      <c r="JUI213" s="1"/>
      <c r="JUJ213" s="1"/>
      <c r="JUK213" s="1"/>
      <c r="JUL213" s="1"/>
      <c r="JUM213" s="1"/>
      <c r="JUN213" s="1"/>
      <c r="JUO213" s="1"/>
      <c r="JUP213" s="1"/>
      <c r="JUQ213" s="1"/>
      <c r="JUR213" s="1"/>
      <c r="JUS213" s="1"/>
      <c r="JUT213" s="1"/>
      <c r="JUU213" s="1"/>
      <c r="JUV213" s="1"/>
      <c r="JUW213" s="1"/>
      <c r="JUX213" s="1"/>
      <c r="JUY213" s="1"/>
      <c r="JUZ213" s="1"/>
      <c r="JVA213" s="1"/>
      <c r="JVB213" s="1"/>
      <c r="JVC213" s="1"/>
      <c r="JVD213" s="1"/>
      <c r="JVE213" s="1"/>
      <c r="JVF213" s="1"/>
      <c r="JVG213" s="1"/>
      <c r="JVH213" s="1"/>
      <c r="JVI213" s="1"/>
      <c r="JVJ213" s="1"/>
      <c r="JVK213" s="1"/>
      <c r="JVL213" s="1"/>
      <c r="JVM213" s="1"/>
      <c r="JVN213" s="1"/>
      <c r="JVO213" s="1"/>
      <c r="JVP213" s="1"/>
      <c r="JVQ213" s="1"/>
      <c r="JVR213" s="1"/>
      <c r="JVS213" s="1"/>
      <c r="JVT213" s="1"/>
      <c r="JVU213" s="1"/>
      <c r="JVV213" s="1"/>
      <c r="JVW213" s="1"/>
      <c r="JVX213" s="1"/>
      <c r="JVY213" s="1"/>
      <c r="JVZ213" s="1"/>
      <c r="JWA213" s="1"/>
      <c r="JWB213" s="1"/>
      <c r="JWC213" s="1"/>
      <c r="JWD213" s="1"/>
      <c r="JWE213" s="1"/>
      <c r="JWF213" s="1"/>
      <c r="JWG213" s="1"/>
      <c r="JWH213" s="1"/>
      <c r="JWI213" s="1"/>
      <c r="JWJ213" s="1"/>
      <c r="JWK213" s="1"/>
      <c r="JWL213" s="1"/>
      <c r="JWM213" s="1"/>
      <c r="JWN213" s="1"/>
      <c r="JWO213" s="1"/>
      <c r="JWP213" s="1"/>
      <c r="JWQ213" s="1"/>
      <c r="JWR213" s="1"/>
      <c r="JWS213" s="1"/>
      <c r="JWT213" s="1"/>
      <c r="JWU213" s="1"/>
      <c r="JWV213" s="1"/>
      <c r="JWW213" s="1"/>
      <c r="JWX213" s="1"/>
      <c r="JWY213" s="1"/>
      <c r="JWZ213" s="1"/>
      <c r="JXA213" s="1"/>
      <c r="JXB213" s="1"/>
      <c r="JXC213" s="1"/>
      <c r="JXD213" s="1"/>
      <c r="JXE213" s="1"/>
      <c r="JXF213" s="1"/>
      <c r="JXG213" s="1"/>
      <c r="JXH213" s="1"/>
      <c r="JXI213" s="1"/>
      <c r="JXJ213" s="1"/>
      <c r="JXK213" s="1"/>
      <c r="JXL213" s="1"/>
      <c r="JXM213" s="1"/>
      <c r="JXN213" s="1"/>
      <c r="JXO213" s="1"/>
      <c r="JXP213" s="1"/>
      <c r="JXQ213" s="1"/>
      <c r="JXR213" s="1"/>
      <c r="JXS213" s="1"/>
      <c r="JXT213" s="1"/>
      <c r="JXU213" s="1"/>
      <c r="JXV213" s="1"/>
      <c r="JXW213" s="1"/>
      <c r="JXX213" s="1"/>
      <c r="JXY213" s="1"/>
      <c r="JXZ213" s="1"/>
      <c r="JYA213" s="1"/>
      <c r="JYB213" s="1"/>
      <c r="JYC213" s="1"/>
      <c r="JYD213" s="1"/>
      <c r="JYE213" s="1"/>
      <c r="JYF213" s="1"/>
      <c r="JYG213" s="1"/>
      <c r="JYH213" s="1"/>
      <c r="JYI213" s="1"/>
      <c r="JYJ213" s="1"/>
      <c r="JYK213" s="1"/>
      <c r="JYL213" s="1"/>
      <c r="JYM213" s="1"/>
      <c r="JYN213" s="1"/>
      <c r="JYO213" s="1"/>
      <c r="JYP213" s="1"/>
      <c r="JYQ213" s="1"/>
      <c r="JYR213" s="1"/>
      <c r="JYS213" s="1"/>
      <c r="JYT213" s="1"/>
      <c r="JYU213" s="1"/>
      <c r="JYV213" s="1"/>
      <c r="JYW213" s="1"/>
      <c r="JYX213" s="1"/>
      <c r="JYY213" s="1"/>
      <c r="JYZ213" s="1"/>
      <c r="JZA213" s="1"/>
      <c r="JZB213" s="1"/>
      <c r="JZC213" s="1"/>
      <c r="JZD213" s="1"/>
      <c r="JZE213" s="1"/>
      <c r="JZF213" s="1"/>
      <c r="JZG213" s="1"/>
      <c r="JZH213" s="1"/>
      <c r="JZI213" s="1"/>
      <c r="JZJ213" s="1"/>
      <c r="JZK213" s="1"/>
      <c r="JZL213" s="1"/>
      <c r="JZM213" s="1"/>
      <c r="JZN213" s="1"/>
      <c r="JZO213" s="1"/>
      <c r="JZP213" s="1"/>
      <c r="JZQ213" s="1"/>
      <c r="JZR213" s="1"/>
      <c r="JZS213" s="1"/>
      <c r="JZT213" s="1"/>
      <c r="JZU213" s="1"/>
      <c r="JZV213" s="1"/>
      <c r="JZW213" s="1"/>
      <c r="JZX213" s="1"/>
      <c r="JZY213" s="1"/>
      <c r="JZZ213" s="1"/>
      <c r="KAA213" s="1"/>
      <c r="KAB213" s="1"/>
      <c r="KAC213" s="1"/>
      <c r="KAD213" s="1"/>
      <c r="KAE213" s="1"/>
      <c r="KAF213" s="1"/>
      <c r="KAG213" s="1"/>
      <c r="KAH213" s="1"/>
      <c r="KAI213" s="1"/>
      <c r="KAJ213" s="1"/>
      <c r="KAK213" s="1"/>
      <c r="KAL213" s="1"/>
      <c r="KAM213" s="1"/>
      <c r="KAN213" s="1"/>
      <c r="KAO213" s="1"/>
      <c r="KAP213" s="1"/>
      <c r="KAQ213" s="1"/>
      <c r="KAR213" s="1"/>
      <c r="KAS213" s="1"/>
      <c r="KAT213" s="1"/>
      <c r="KAU213" s="1"/>
      <c r="KAV213" s="1"/>
      <c r="KAW213" s="1"/>
      <c r="KAX213" s="1"/>
      <c r="KAY213" s="1"/>
      <c r="KAZ213" s="1"/>
      <c r="KBA213" s="1"/>
      <c r="KBB213" s="1"/>
      <c r="KBC213" s="1"/>
      <c r="KBD213" s="1"/>
      <c r="KBE213" s="1"/>
      <c r="KBF213" s="1"/>
      <c r="KBG213" s="1"/>
      <c r="KBH213" s="1"/>
      <c r="KBI213" s="1"/>
      <c r="KBJ213" s="1"/>
      <c r="KBK213" s="1"/>
      <c r="KBL213" s="1"/>
      <c r="KBM213" s="1"/>
      <c r="KBN213" s="1"/>
      <c r="KBO213" s="1"/>
      <c r="KBP213" s="1"/>
      <c r="KBQ213" s="1"/>
      <c r="KBR213" s="1"/>
      <c r="KBS213" s="1"/>
      <c r="KBT213" s="1"/>
      <c r="KBU213" s="1"/>
      <c r="KBV213" s="1"/>
      <c r="KBW213" s="1"/>
      <c r="KBX213" s="1"/>
      <c r="KBY213" s="1"/>
      <c r="KBZ213" s="1"/>
      <c r="KCA213" s="1"/>
      <c r="KCB213" s="1"/>
      <c r="KCC213" s="1"/>
      <c r="KCD213" s="1"/>
      <c r="KCE213" s="1"/>
      <c r="KCF213" s="1"/>
      <c r="KCG213" s="1"/>
      <c r="KCH213" s="1"/>
      <c r="KCI213" s="1"/>
      <c r="KCJ213" s="1"/>
      <c r="KCK213" s="1"/>
      <c r="KCL213" s="1"/>
      <c r="KCM213" s="1"/>
      <c r="KCN213" s="1"/>
      <c r="KCO213" s="1"/>
      <c r="KCP213" s="1"/>
      <c r="KCQ213" s="1"/>
      <c r="KCR213" s="1"/>
      <c r="KCS213" s="1"/>
      <c r="KCT213" s="1"/>
      <c r="KCU213" s="1"/>
      <c r="KCV213" s="1"/>
      <c r="KCW213" s="1"/>
      <c r="KCX213" s="1"/>
      <c r="KCY213" s="1"/>
      <c r="KCZ213" s="1"/>
      <c r="KDA213" s="1"/>
      <c r="KDB213" s="1"/>
      <c r="KDC213" s="1"/>
      <c r="KDD213" s="1"/>
      <c r="KDE213" s="1"/>
      <c r="KDF213" s="1"/>
      <c r="KDG213" s="1"/>
      <c r="KDH213" s="1"/>
      <c r="KDI213" s="1"/>
      <c r="KDJ213" s="1"/>
      <c r="KDK213" s="1"/>
      <c r="KDL213" s="1"/>
      <c r="KDM213" s="1"/>
      <c r="KDN213" s="1"/>
      <c r="KDO213" s="1"/>
      <c r="KDP213" s="1"/>
      <c r="KDQ213" s="1"/>
      <c r="KDR213" s="1"/>
      <c r="KDS213" s="1"/>
      <c r="KDT213" s="1"/>
      <c r="KDU213" s="1"/>
      <c r="KDV213" s="1"/>
      <c r="KDW213" s="1"/>
      <c r="KDX213" s="1"/>
      <c r="KDY213" s="1"/>
      <c r="KDZ213" s="1"/>
      <c r="KEA213" s="1"/>
      <c r="KEB213" s="1"/>
      <c r="KEC213" s="1"/>
      <c r="KED213" s="1"/>
      <c r="KEE213" s="1"/>
      <c r="KEF213" s="1"/>
      <c r="KEG213" s="1"/>
      <c r="KEH213" s="1"/>
      <c r="KEI213" s="1"/>
      <c r="KEJ213" s="1"/>
      <c r="KEK213" s="1"/>
      <c r="KEL213" s="1"/>
      <c r="KEM213" s="1"/>
      <c r="KEN213" s="1"/>
      <c r="KEO213" s="1"/>
      <c r="KEP213" s="1"/>
      <c r="KEQ213" s="1"/>
      <c r="KER213" s="1"/>
      <c r="KES213" s="1"/>
      <c r="KET213" s="1"/>
      <c r="KEU213" s="1"/>
      <c r="KEV213" s="1"/>
      <c r="KEW213" s="1"/>
      <c r="KEX213" s="1"/>
      <c r="KEY213" s="1"/>
      <c r="KEZ213" s="1"/>
      <c r="KFA213" s="1"/>
      <c r="KFB213" s="1"/>
      <c r="KFC213" s="1"/>
      <c r="KFD213" s="1"/>
      <c r="KFE213" s="1"/>
      <c r="KFF213" s="1"/>
      <c r="KFG213" s="1"/>
      <c r="KFH213" s="1"/>
      <c r="KFI213" s="1"/>
      <c r="KFJ213" s="1"/>
      <c r="KFK213" s="1"/>
      <c r="KFL213" s="1"/>
      <c r="KFM213" s="1"/>
      <c r="KFN213" s="1"/>
      <c r="KFO213" s="1"/>
      <c r="KFP213" s="1"/>
      <c r="KFQ213" s="1"/>
      <c r="KFR213" s="1"/>
      <c r="KFS213" s="1"/>
      <c r="KFT213" s="1"/>
      <c r="KFU213" s="1"/>
      <c r="KFV213" s="1"/>
      <c r="KFW213" s="1"/>
      <c r="KFX213" s="1"/>
      <c r="KFY213" s="1"/>
      <c r="KFZ213" s="1"/>
      <c r="KGA213" s="1"/>
      <c r="KGB213" s="1"/>
      <c r="KGC213" s="1"/>
      <c r="KGD213" s="1"/>
      <c r="KGE213" s="1"/>
      <c r="KGF213" s="1"/>
      <c r="KGG213" s="1"/>
      <c r="KGH213" s="1"/>
      <c r="KGI213" s="1"/>
      <c r="KGJ213" s="1"/>
      <c r="KGK213" s="1"/>
      <c r="KGL213" s="1"/>
      <c r="KGM213" s="1"/>
      <c r="KGN213" s="1"/>
      <c r="KGO213" s="1"/>
      <c r="KGP213" s="1"/>
      <c r="KGQ213" s="1"/>
      <c r="KGR213" s="1"/>
      <c r="KGS213" s="1"/>
      <c r="KGT213" s="1"/>
      <c r="KGU213" s="1"/>
      <c r="KGV213" s="1"/>
      <c r="KGW213" s="1"/>
      <c r="KGX213" s="1"/>
      <c r="KGY213" s="1"/>
      <c r="KGZ213" s="1"/>
      <c r="KHA213" s="1"/>
      <c r="KHB213" s="1"/>
      <c r="KHC213" s="1"/>
      <c r="KHD213" s="1"/>
      <c r="KHE213" s="1"/>
      <c r="KHF213" s="1"/>
      <c r="KHG213" s="1"/>
      <c r="KHH213" s="1"/>
      <c r="KHI213" s="1"/>
      <c r="KHJ213" s="1"/>
      <c r="KHK213" s="1"/>
      <c r="KHL213" s="1"/>
      <c r="KHM213" s="1"/>
      <c r="KHN213" s="1"/>
      <c r="KHO213" s="1"/>
      <c r="KHP213" s="1"/>
      <c r="KHQ213" s="1"/>
      <c r="KHR213" s="1"/>
      <c r="KHS213" s="1"/>
      <c r="KHT213" s="1"/>
      <c r="KHU213" s="1"/>
      <c r="KHV213" s="1"/>
      <c r="KHW213" s="1"/>
      <c r="KHX213" s="1"/>
      <c r="KHY213" s="1"/>
      <c r="KHZ213" s="1"/>
      <c r="KIA213" s="1"/>
      <c r="KIB213" s="1"/>
      <c r="KIC213" s="1"/>
      <c r="KID213" s="1"/>
      <c r="KIE213" s="1"/>
      <c r="KIF213" s="1"/>
      <c r="KIG213" s="1"/>
      <c r="KIH213" s="1"/>
      <c r="KII213" s="1"/>
      <c r="KIJ213" s="1"/>
      <c r="KIK213" s="1"/>
      <c r="KIL213" s="1"/>
      <c r="KIM213" s="1"/>
      <c r="KIN213" s="1"/>
      <c r="KIO213" s="1"/>
      <c r="KIP213" s="1"/>
      <c r="KIQ213" s="1"/>
      <c r="KIR213" s="1"/>
      <c r="KIS213" s="1"/>
      <c r="KIT213" s="1"/>
      <c r="KIU213" s="1"/>
      <c r="KIV213" s="1"/>
      <c r="KIW213" s="1"/>
      <c r="KIX213" s="1"/>
      <c r="KIY213" s="1"/>
      <c r="KIZ213" s="1"/>
      <c r="KJA213" s="1"/>
      <c r="KJB213" s="1"/>
      <c r="KJC213" s="1"/>
      <c r="KJD213" s="1"/>
      <c r="KJE213" s="1"/>
      <c r="KJF213" s="1"/>
      <c r="KJG213" s="1"/>
      <c r="KJH213" s="1"/>
      <c r="KJI213" s="1"/>
      <c r="KJJ213" s="1"/>
      <c r="KJK213" s="1"/>
      <c r="KJL213" s="1"/>
      <c r="KJM213" s="1"/>
      <c r="KJN213" s="1"/>
      <c r="KJO213" s="1"/>
      <c r="KJP213" s="1"/>
      <c r="KJQ213" s="1"/>
      <c r="KJR213" s="1"/>
      <c r="KJS213" s="1"/>
      <c r="KJT213" s="1"/>
      <c r="KJU213" s="1"/>
      <c r="KJV213" s="1"/>
      <c r="KJW213" s="1"/>
      <c r="KJX213" s="1"/>
      <c r="KJY213" s="1"/>
      <c r="KJZ213" s="1"/>
      <c r="KKA213" s="1"/>
      <c r="KKB213" s="1"/>
      <c r="KKC213" s="1"/>
      <c r="KKD213" s="1"/>
      <c r="KKE213" s="1"/>
      <c r="KKF213" s="1"/>
      <c r="KKG213" s="1"/>
      <c r="KKH213" s="1"/>
      <c r="KKI213" s="1"/>
      <c r="KKJ213" s="1"/>
      <c r="KKK213" s="1"/>
      <c r="KKL213" s="1"/>
      <c r="KKM213" s="1"/>
      <c r="KKN213" s="1"/>
      <c r="KKO213" s="1"/>
      <c r="KKP213" s="1"/>
      <c r="KKQ213" s="1"/>
      <c r="KKR213" s="1"/>
      <c r="KKS213" s="1"/>
      <c r="KKT213" s="1"/>
      <c r="KKU213" s="1"/>
      <c r="KKV213" s="1"/>
      <c r="KKW213" s="1"/>
      <c r="KKX213" s="1"/>
      <c r="KKY213" s="1"/>
      <c r="KKZ213" s="1"/>
      <c r="KLA213" s="1"/>
      <c r="KLB213" s="1"/>
      <c r="KLC213" s="1"/>
      <c r="KLD213" s="1"/>
      <c r="KLE213" s="1"/>
      <c r="KLF213" s="1"/>
      <c r="KLG213" s="1"/>
      <c r="KLH213" s="1"/>
      <c r="KLI213" s="1"/>
      <c r="KLJ213" s="1"/>
      <c r="KLK213" s="1"/>
      <c r="KLL213" s="1"/>
      <c r="KLM213" s="1"/>
      <c r="KLN213" s="1"/>
      <c r="KLO213" s="1"/>
      <c r="KLP213" s="1"/>
      <c r="KLQ213" s="1"/>
      <c r="KLR213" s="1"/>
      <c r="KLS213" s="1"/>
      <c r="KLT213" s="1"/>
      <c r="KLU213" s="1"/>
      <c r="KLV213" s="1"/>
      <c r="KLW213" s="1"/>
      <c r="KLX213" s="1"/>
      <c r="KLY213" s="1"/>
      <c r="KLZ213" s="1"/>
      <c r="KMA213" s="1"/>
      <c r="KMB213" s="1"/>
      <c r="KMC213" s="1"/>
      <c r="KMD213" s="1"/>
      <c r="KME213" s="1"/>
      <c r="KMF213" s="1"/>
      <c r="KMG213" s="1"/>
      <c r="KMH213" s="1"/>
      <c r="KMI213" s="1"/>
      <c r="KMJ213" s="1"/>
      <c r="KMK213" s="1"/>
      <c r="KML213" s="1"/>
      <c r="KMM213" s="1"/>
      <c r="KMN213" s="1"/>
      <c r="KMO213" s="1"/>
      <c r="KMP213" s="1"/>
      <c r="KMQ213" s="1"/>
      <c r="KMR213" s="1"/>
      <c r="KMS213" s="1"/>
      <c r="KMT213" s="1"/>
      <c r="KMU213" s="1"/>
      <c r="KMV213" s="1"/>
      <c r="KMW213" s="1"/>
      <c r="KMX213" s="1"/>
      <c r="KMY213" s="1"/>
      <c r="KMZ213" s="1"/>
      <c r="KNA213" s="1"/>
      <c r="KNB213" s="1"/>
      <c r="KNC213" s="1"/>
      <c r="KND213" s="1"/>
      <c r="KNE213" s="1"/>
      <c r="KNF213" s="1"/>
      <c r="KNG213" s="1"/>
      <c r="KNH213" s="1"/>
      <c r="KNI213" s="1"/>
      <c r="KNJ213" s="1"/>
      <c r="KNK213" s="1"/>
      <c r="KNL213" s="1"/>
      <c r="KNM213" s="1"/>
      <c r="KNN213" s="1"/>
      <c r="KNO213" s="1"/>
      <c r="KNP213" s="1"/>
      <c r="KNQ213" s="1"/>
      <c r="KNR213" s="1"/>
      <c r="KNS213" s="1"/>
      <c r="KNT213" s="1"/>
      <c r="KNU213" s="1"/>
      <c r="KNV213" s="1"/>
      <c r="KNW213" s="1"/>
      <c r="KNX213" s="1"/>
      <c r="KNY213" s="1"/>
      <c r="KNZ213" s="1"/>
      <c r="KOA213" s="1"/>
      <c r="KOB213" s="1"/>
      <c r="KOC213" s="1"/>
      <c r="KOD213" s="1"/>
      <c r="KOE213" s="1"/>
      <c r="KOF213" s="1"/>
      <c r="KOG213" s="1"/>
      <c r="KOH213" s="1"/>
      <c r="KOI213" s="1"/>
      <c r="KOJ213" s="1"/>
      <c r="KOK213" s="1"/>
      <c r="KOL213" s="1"/>
      <c r="KOM213" s="1"/>
      <c r="KON213" s="1"/>
      <c r="KOO213" s="1"/>
      <c r="KOP213" s="1"/>
      <c r="KOQ213" s="1"/>
      <c r="KOR213" s="1"/>
      <c r="KOS213" s="1"/>
      <c r="KOT213" s="1"/>
      <c r="KOU213" s="1"/>
      <c r="KOV213" s="1"/>
      <c r="KOW213" s="1"/>
      <c r="KOX213" s="1"/>
      <c r="KOY213" s="1"/>
      <c r="KOZ213" s="1"/>
      <c r="KPA213" s="1"/>
      <c r="KPB213" s="1"/>
      <c r="KPC213" s="1"/>
      <c r="KPD213" s="1"/>
      <c r="KPE213" s="1"/>
      <c r="KPF213" s="1"/>
      <c r="KPG213" s="1"/>
      <c r="KPH213" s="1"/>
      <c r="KPI213" s="1"/>
      <c r="KPJ213" s="1"/>
      <c r="KPK213" s="1"/>
      <c r="KPL213" s="1"/>
      <c r="KPM213" s="1"/>
      <c r="KPN213" s="1"/>
      <c r="KPO213" s="1"/>
      <c r="KPP213" s="1"/>
      <c r="KPQ213" s="1"/>
      <c r="KPR213" s="1"/>
      <c r="KPS213" s="1"/>
      <c r="KPT213" s="1"/>
      <c r="KPU213" s="1"/>
      <c r="KPV213" s="1"/>
      <c r="KPW213" s="1"/>
      <c r="KPX213" s="1"/>
      <c r="KPY213" s="1"/>
      <c r="KPZ213" s="1"/>
      <c r="KQA213" s="1"/>
      <c r="KQB213" s="1"/>
      <c r="KQC213" s="1"/>
      <c r="KQD213" s="1"/>
      <c r="KQE213" s="1"/>
      <c r="KQF213" s="1"/>
      <c r="KQG213" s="1"/>
      <c r="KQH213" s="1"/>
      <c r="KQI213" s="1"/>
      <c r="KQJ213" s="1"/>
      <c r="KQK213" s="1"/>
      <c r="KQL213" s="1"/>
      <c r="KQM213" s="1"/>
      <c r="KQN213" s="1"/>
      <c r="KQO213" s="1"/>
      <c r="KQP213" s="1"/>
      <c r="KQQ213" s="1"/>
      <c r="KQR213" s="1"/>
      <c r="KQS213" s="1"/>
      <c r="KQT213" s="1"/>
      <c r="KQU213" s="1"/>
      <c r="KQV213" s="1"/>
      <c r="KQW213" s="1"/>
      <c r="KQX213" s="1"/>
      <c r="KQY213" s="1"/>
      <c r="KQZ213" s="1"/>
      <c r="KRA213" s="1"/>
      <c r="KRB213" s="1"/>
      <c r="KRC213" s="1"/>
      <c r="KRD213" s="1"/>
      <c r="KRE213" s="1"/>
      <c r="KRF213" s="1"/>
      <c r="KRG213" s="1"/>
      <c r="KRH213" s="1"/>
      <c r="KRI213" s="1"/>
      <c r="KRJ213" s="1"/>
      <c r="KRK213" s="1"/>
      <c r="KRL213" s="1"/>
      <c r="KRM213" s="1"/>
      <c r="KRN213" s="1"/>
      <c r="KRO213" s="1"/>
      <c r="KRP213" s="1"/>
      <c r="KRQ213" s="1"/>
      <c r="KRR213" s="1"/>
      <c r="KRS213" s="1"/>
      <c r="KRT213" s="1"/>
      <c r="KRU213" s="1"/>
      <c r="KRV213" s="1"/>
      <c r="KRW213" s="1"/>
      <c r="KRX213" s="1"/>
      <c r="KRY213" s="1"/>
      <c r="KRZ213" s="1"/>
      <c r="KSA213" s="1"/>
      <c r="KSB213" s="1"/>
      <c r="KSC213" s="1"/>
      <c r="KSD213" s="1"/>
      <c r="KSE213" s="1"/>
      <c r="KSF213" s="1"/>
      <c r="KSG213" s="1"/>
      <c r="KSH213" s="1"/>
      <c r="KSI213" s="1"/>
      <c r="KSJ213" s="1"/>
      <c r="KSK213" s="1"/>
      <c r="KSL213" s="1"/>
      <c r="KSM213" s="1"/>
      <c r="KSN213" s="1"/>
      <c r="KSO213" s="1"/>
      <c r="KSP213" s="1"/>
      <c r="KSQ213" s="1"/>
      <c r="KSR213" s="1"/>
      <c r="KSS213" s="1"/>
      <c r="KST213" s="1"/>
      <c r="KSU213" s="1"/>
      <c r="KSV213" s="1"/>
      <c r="KSW213" s="1"/>
      <c r="KSX213" s="1"/>
      <c r="KSY213" s="1"/>
      <c r="KSZ213" s="1"/>
      <c r="KTA213" s="1"/>
      <c r="KTB213" s="1"/>
      <c r="KTC213" s="1"/>
      <c r="KTD213" s="1"/>
      <c r="KTE213" s="1"/>
      <c r="KTF213" s="1"/>
      <c r="KTG213" s="1"/>
      <c r="KTH213" s="1"/>
      <c r="KTI213" s="1"/>
      <c r="KTJ213" s="1"/>
      <c r="KTK213" s="1"/>
      <c r="KTL213" s="1"/>
      <c r="KTM213" s="1"/>
      <c r="KTN213" s="1"/>
      <c r="KTO213" s="1"/>
      <c r="KTP213" s="1"/>
      <c r="KTQ213" s="1"/>
      <c r="KTR213" s="1"/>
      <c r="KTS213" s="1"/>
      <c r="KTT213" s="1"/>
      <c r="KTU213" s="1"/>
      <c r="KTV213" s="1"/>
      <c r="KTW213" s="1"/>
      <c r="KTX213" s="1"/>
      <c r="KTY213" s="1"/>
      <c r="KTZ213" s="1"/>
      <c r="KUA213" s="1"/>
      <c r="KUB213" s="1"/>
      <c r="KUC213" s="1"/>
      <c r="KUD213" s="1"/>
      <c r="KUE213" s="1"/>
      <c r="KUF213" s="1"/>
      <c r="KUG213" s="1"/>
      <c r="KUH213" s="1"/>
      <c r="KUI213" s="1"/>
      <c r="KUJ213" s="1"/>
      <c r="KUK213" s="1"/>
      <c r="KUL213" s="1"/>
      <c r="KUM213" s="1"/>
      <c r="KUN213" s="1"/>
      <c r="KUO213" s="1"/>
      <c r="KUP213" s="1"/>
      <c r="KUQ213" s="1"/>
      <c r="KUR213" s="1"/>
      <c r="KUS213" s="1"/>
      <c r="KUT213" s="1"/>
      <c r="KUU213" s="1"/>
      <c r="KUV213" s="1"/>
      <c r="KUW213" s="1"/>
      <c r="KUX213" s="1"/>
      <c r="KUY213" s="1"/>
      <c r="KUZ213" s="1"/>
      <c r="KVA213" s="1"/>
      <c r="KVB213" s="1"/>
      <c r="KVC213" s="1"/>
      <c r="KVD213" s="1"/>
      <c r="KVE213" s="1"/>
      <c r="KVF213" s="1"/>
      <c r="KVG213" s="1"/>
      <c r="KVH213" s="1"/>
      <c r="KVI213" s="1"/>
      <c r="KVJ213" s="1"/>
      <c r="KVK213" s="1"/>
      <c r="KVL213" s="1"/>
      <c r="KVM213" s="1"/>
      <c r="KVN213" s="1"/>
      <c r="KVO213" s="1"/>
      <c r="KVP213" s="1"/>
      <c r="KVQ213" s="1"/>
      <c r="KVR213" s="1"/>
      <c r="KVS213" s="1"/>
      <c r="KVT213" s="1"/>
      <c r="KVU213" s="1"/>
      <c r="KVV213" s="1"/>
      <c r="KVW213" s="1"/>
      <c r="KVX213" s="1"/>
      <c r="KVY213" s="1"/>
      <c r="KVZ213" s="1"/>
      <c r="KWA213" s="1"/>
      <c r="KWB213" s="1"/>
      <c r="KWC213" s="1"/>
      <c r="KWD213" s="1"/>
      <c r="KWE213" s="1"/>
      <c r="KWF213" s="1"/>
      <c r="KWG213" s="1"/>
      <c r="KWH213" s="1"/>
      <c r="KWI213" s="1"/>
      <c r="KWJ213" s="1"/>
      <c r="KWK213" s="1"/>
      <c r="KWL213" s="1"/>
      <c r="KWM213" s="1"/>
      <c r="KWN213" s="1"/>
      <c r="KWO213" s="1"/>
      <c r="KWP213" s="1"/>
      <c r="KWQ213" s="1"/>
      <c r="KWR213" s="1"/>
      <c r="KWS213" s="1"/>
      <c r="KWT213" s="1"/>
      <c r="KWU213" s="1"/>
      <c r="KWV213" s="1"/>
      <c r="KWW213" s="1"/>
      <c r="KWX213" s="1"/>
      <c r="KWY213" s="1"/>
      <c r="KWZ213" s="1"/>
      <c r="KXA213" s="1"/>
      <c r="KXB213" s="1"/>
      <c r="KXC213" s="1"/>
      <c r="KXD213" s="1"/>
      <c r="KXE213" s="1"/>
      <c r="KXF213" s="1"/>
      <c r="KXG213" s="1"/>
      <c r="KXH213" s="1"/>
      <c r="KXI213" s="1"/>
      <c r="KXJ213" s="1"/>
      <c r="KXK213" s="1"/>
      <c r="KXL213" s="1"/>
      <c r="KXM213" s="1"/>
      <c r="KXN213" s="1"/>
      <c r="KXO213" s="1"/>
      <c r="KXP213" s="1"/>
      <c r="KXQ213" s="1"/>
      <c r="KXR213" s="1"/>
      <c r="KXS213" s="1"/>
      <c r="KXT213" s="1"/>
      <c r="KXU213" s="1"/>
      <c r="KXV213" s="1"/>
      <c r="KXW213" s="1"/>
      <c r="KXX213" s="1"/>
      <c r="KXY213" s="1"/>
      <c r="KXZ213" s="1"/>
      <c r="KYA213" s="1"/>
      <c r="KYB213" s="1"/>
      <c r="KYC213" s="1"/>
      <c r="KYD213" s="1"/>
      <c r="KYE213" s="1"/>
      <c r="KYF213" s="1"/>
      <c r="KYG213" s="1"/>
      <c r="KYH213" s="1"/>
      <c r="KYI213" s="1"/>
      <c r="KYJ213" s="1"/>
      <c r="KYK213" s="1"/>
      <c r="KYL213" s="1"/>
      <c r="KYM213" s="1"/>
      <c r="KYN213" s="1"/>
      <c r="KYO213" s="1"/>
      <c r="KYP213" s="1"/>
      <c r="KYQ213" s="1"/>
      <c r="KYR213" s="1"/>
      <c r="KYS213" s="1"/>
      <c r="KYT213" s="1"/>
      <c r="KYU213" s="1"/>
      <c r="KYV213" s="1"/>
      <c r="KYW213" s="1"/>
      <c r="KYX213" s="1"/>
      <c r="KYY213" s="1"/>
      <c r="KYZ213" s="1"/>
      <c r="KZA213" s="1"/>
      <c r="KZB213" s="1"/>
      <c r="KZC213" s="1"/>
      <c r="KZD213" s="1"/>
      <c r="KZE213" s="1"/>
      <c r="KZF213" s="1"/>
      <c r="KZG213" s="1"/>
      <c r="KZH213" s="1"/>
      <c r="KZI213" s="1"/>
      <c r="KZJ213" s="1"/>
      <c r="KZK213" s="1"/>
      <c r="KZL213" s="1"/>
      <c r="KZM213" s="1"/>
      <c r="KZN213" s="1"/>
      <c r="KZO213" s="1"/>
      <c r="KZP213" s="1"/>
      <c r="KZQ213" s="1"/>
      <c r="KZR213" s="1"/>
      <c r="KZS213" s="1"/>
      <c r="KZT213" s="1"/>
      <c r="KZU213" s="1"/>
      <c r="KZV213" s="1"/>
      <c r="KZW213" s="1"/>
      <c r="KZX213" s="1"/>
      <c r="KZY213" s="1"/>
      <c r="KZZ213" s="1"/>
      <c r="LAA213" s="1"/>
      <c r="LAB213" s="1"/>
      <c r="LAC213" s="1"/>
      <c r="LAD213" s="1"/>
      <c r="LAE213" s="1"/>
      <c r="LAF213" s="1"/>
      <c r="LAG213" s="1"/>
      <c r="LAH213" s="1"/>
      <c r="LAI213" s="1"/>
      <c r="LAJ213" s="1"/>
      <c r="LAK213" s="1"/>
      <c r="LAL213" s="1"/>
      <c r="LAM213" s="1"/>
      <c r="LAN213" s="1"/>
      <c r="LAO213" s="1"/>
      <c r="LAP213" s="1"/>
      <c r="LAQ213" s="1"/>
      <c r="LAR213" s="1"/>
      <c r="LAS213" s="1"/>
      <c r="LAT213" s="1"/>
      <c r="LAU213" s="1"/>
      <c r="LAV213" s="1"/>
      <c r="LAW213" s="1"/>
      <c r="LAX213" s="1"/>
      <c r="LAY213" s="1"/>
      <c r="LAZ213" s="1"/>
      <c r="LBA213" s="1"/>
      <c r="LBB213" s="1"/>
      <c r="LBC213" s="1"/>
      <c r="LBD213" s="1"/>
      <c r="LBE213" s="1"/>
      <c r="LBF213" s="1"/>
      <c r="LBG213" s="1"/>
      <c r="LBH213" s="1"/>
      <c r="LBI213" s="1"/>
      <c r="LBJ213" s="1"/>
      <c r="LBK213" s="1"/>
      <c r="LBL213" s="1"/>
      <c r="LBM213" s="1"/>
      <c r="LBN213" s="1"/>
      <c r="LBO213" s="1"/>
      <c r="LBP213" s="1"/>
      <c r="LBQ213" s="1"/>
      <c r="LBR213" s="1"/>
      <c r="LBS213" s="1"/>
      <c r="LBT213" s="1"/>
      <c r="LBU213" s="1"/>
      <c r="LBV213" s="1"/>
      <c r="LBW213" s="1"/>
      <c r="LBX213" s="1"/>
      <c r="LBY213" s="1"/>
      <c r="LBZ213" s="1"/>
      <c r="LCA213" s="1"/>
      <c r="LCB213" s="1"/>
      <c r="LCC213" s="1"/>
      <c r="LCD213" s="1"/>
      <c r="LCE213" s="1"/>
      <c r="LCF213" s="1"/>
      <c r="LCG213" s="1"/>
      <c r="LCH213" s="1"/>
      <c r="LCI213" s="1"/>
      <c r="LCJ213" s="1"/>
      <c r="LCK213" s="1"/>
      <c r="LCL213" s="1"/>
      <c r="LCM213" s="1"/>
      <c r="LCN213" s="1"/>
      <c r="LCO213" s="1"/>
      <c r="LCP213" s="1"/>
      <c r="LCQ213" s="1"/>
      <c r="LCR213" s="1"/>
      <c r="LCS213" s="1"/>
      <c r="LCT213" s="1"/>
      <c r="LCU213" s="1"/>
      <c r="LCV213" s="1"/>
      <c r="LCW213" s="1"/>
      <c r="LCX213" s="1"/>
      <c r="LCY213" s="1"/>
      <c r="LCZ213" s="1"/>
      <c r="LDA213" s="1"/>
      <c r="LDB213" s="1"/>
      <c r="LDC213" s="1"/>
      <c r="LDD213" s="1"/>
      <c r="LDE213" s="1"/>
      <c r="LDF213" s="1"/>
      <c r="LDG213" s="1"/>
      <c r="LDH213" s="1"/>
      <c r="LDI213" s="1"/>
      <c r="LDJ213" s="1"/>
      <c r="LDK213" s="1"/>
      <c r="LDL213" s="1"/>
      <c r="LDM213" s="1"/>
      <c r="LDN213" s="1"/>
      <c r="LDO213" s="1"/>
      <c r="LDP213" s="1"/>
      <c r="LDQ213" s="1"/>
      <c r="LDR213" s="1"/>
      <c r="LDS213" s="1"/>
      <c r="LDT213" s="1"/>
      <c r="LDU213" s="1"/>
      <c r="LDV213" s="1"/>
      <c r="LDW213" s="1"/>
      <c r="LDX213" s="1"/>
      <c r="LDY213" s="1"/>
      <c r="LDZ213" s="1"/>
      <c r="LEA213" s="1"/>
      <c r="LEB213" s="1"/>
      <c r="LEC213" s="1"/>
      <c r="LED213" s="1"/>
      <c r="LEE213" s="1"/>
      <c r="LEF213" s="1"/>
      <c r="LEG213" s="1"/>
      <c r="LEH213" s="1"/>
      <c r="LEI213" s="1"/>
      <c r="LEJ213" s="1"/>
      <c r="LEK213" s="1"/>
      <c r="LEL213" s="1"/>
      <c r="LEM213" s="1"/>
      <c r="LEN213" s="1"/>
      <c r="LEO213" s="1"/>
      <c r="LEP213" s="1"/>
      <c r="LEQ213" s="1"/>
      <c r="LER213" s="1"/>
      <c r="LES213" s="1"/>
      <c r="LET213" s="1"/>
      <c r="LEU213" s="1"/>
      <c r="LEV213" s="1"/>
      <c r="LEW213" s="1"/>
      <c r="LEX213" s="1"/>
      <c r="LEY213" s="1"/>
      <c r="LEZ213" s="1"/>
      <c r="LFA213" s="1"/>
      <c r="LFB213" s="1"/>
      <c r="LFC213" s="1"/>
      <c r="LFD213" s="1"/>
      <c r="LFE213" s="1"/>
      <c r="LFF213" s="1"/>
      <c r="LFG213" s="1"/>
      <c r="LFH213" s="1"/>
      <c r="LFI213" s="1"/>
      <c r="LFJ213" s="1"/>
      <c r="LFK213" s="1"/>
      <c r="LFL213" s="1"/>
      <c r="LFM213" s="1"/>
      <c r="LFN213" s="1"/>
      <c r="LFO213" s="1"/>
      <c r="LFP213" s="1"/>
      <c r="LFQ213" s="1"/>
      <c r="LFR213" s="1"/>
      <c r="LFS213" s="1"/>
      <c r="LFT213" s="1"/>
      <c r="LFU213" s="1"/>
      <c r="LFV213" s="1"/>
      <c r="LFW213" s="1"/>
      <c r="LFX213" s="1"/>
      <c r="LFY213" s="1"/>
      <c r="LFZ213" s="1"/>
      <c r="LGA213" s="1"/>
      <c r="LGB213" s="1"/>
      <c r="LGC213" s="1"/>
      <c r="LGD213" s="1"/>
      <c r="LGE213" s="1"/>
      <c r="LGF213" s="1"/>
      <c r="LGG213" s="1"/>
      <c r="LGH213" s="1"/>
      <c r="LGI213" s="1"/>
      <c r="LGJ213" s="1"/>
      <c r="LGK213" s="1"/>
      <c r="LGL213" s="1"/>
      <c r="LGM213" s="1"/>
      <c r="LGN213" s="1"/>
      <c r="LGO213" s="1"/>
      <c r="LGP213" s="1"/>
      <c r="LGQ213" s="1"/>
      <c r="LGR213" s="1"/>
      <c r="LGS213" s="1"/>
      <c r="LGT213" s="1"/>
      <c r="LGU213" s="1"/>
      <c r="LGV213" s="1"/>
      <c r="LGW213" s="1"/>
      <c r="LGX213" s="1"/>
      <c r="LGY213" s="1"/>
      <c r="LGZ213" s="1"/>
      <c r="LHA213" s="1"/>
      <c r="LHB213" s="1"/>
      <c r="LHC213" s="1"/>
      <c r="LHD213" s="1"/>
      <c r="LHE213" s="1"/>
      <c r="LHF213" s="1"/>
      <c r="LHG213" s="1"/>
      <c r="LHH213" s="1"/>
      <c r="LHI213" s="1"/>
      <c r="LHJ213" s="1"/>
      <c r="LHK213" s="1"/>
      <c r="LHL213" s="1"/>
      <c r="LHM213" s="1"/>
      <c r="LHN213" s="1"/>
      <c r="LHO213" s="1"/>
      <c r="LHP213" s="1"/>
      <c r="LHQ213" s="1"/>
      <c r="LHR213" s="1"/>
      <c r="LHS213" s="1"/>
      <c r="LHT213" s="1"/>
      <c r="LHU213" s="1"/>
      <c r="LHV213" s="1"/>
      <c r="LHW213" s="1"/>
      <c r="LHX213" s="1"/>
      <c r="LHY213" s="1"/>
      <c r="LHZ213" s="1"/>
      <c r="LIA213" s="1"/>
      <c r="LIB213" s="1"/>
      <c r="LIC213" s="1"/>
      <c r="LID213" s="1"/>
      <c r="LIE213" s="1"/>
      <c r="LIF213" s="1"/>
      <c r="LIG213" s="1"/>
      <c r="LIH213" s="1"/>
      <c r="LII213" s="1"/>
      <c r="LIJ213" s="1"/>
      <c r="LIK213" s="1"/>
      <c r="LIL213" s="1"/>
      <c r="LIM213" s="1"/>
      <c r="LIN213" s="1"/>
      <c r="LIO213" s="1"/>
      <c r="LIP213" s="1"/>
      <c r="LIQ213" s="1"/>
      <c r="LIR213" s="1"/>
      <c r="LIS213" s="1"/>
      <c r="LIT213" s="1"/>
      <c r="LIU213" s="1"/>
      <c r="LIV213" s="1"/>
      <c r="LIW213" s="1"/>
      <c r="LIX213" s="1"/>
      <c r="LIY213" s="1"/>
      <c r="LIZ213" s="1"/>
      <c r="LJA213" s="1"/>
      <c r="LJB213" s="1"/>
      <c r="LJC213" s="1"/>
      <c r="LJD213" s="1"/>
      <c r="LJE213" s="1"/>
      <c r="LJF213" s="1"/>
      <c r="LJG213" s="1"/>
      <c r="LJH213" s="1"/>
      <c r="LJI213" s="1"/>
      <c r="LJJ213" s="1"/>
      <c r="LJK213" s="1"/>
      <c r="LJL213" s="1"/>
      <c r="LJM213" s="1"/>
      <c r="LJN213" s="1"/>
      <c r="LJO213" s="1"/>
      <c r="LJP213" s="1"/>
      <c r="LJQ213" s="1"/>
      <c r="LJR213" s="1"/>
      <c r="LJS213" s="1"/>
      <c r="LJT213" s="1"/>
      <c r="LJU213" s="1"/>
      <c r="LJV213" s="1"/>
      <c r="LJW213" s="1"/>
      <c r="LJX213" s="1"/>
      <c r="LJY213" s="1"/>
      <c r="LJZ213" s="1"/>
      <c r="LKA213" s="1"/>
      <c r="LKB213" s="1"/>
      <c r="LKC213" s="1"/>
      <c r="LKD213" s="1"/>
      <c r="LKE213" s="1"/>
      <c r="LKF213" s="1"/>
      <c r="LKG213" s="1"/>
      <c r="LKH213" s="1"/>
      <c r="LKI213" s="1"/>
      <c r="LKJ213" s="1"/>
      <c r="LKK213" s="1"/>
      <c r="LKL213" s="1"/>
      <c r="LKM213" s="1"/>
      <c r="LKN213" s="1"/>
      <c r="LKO213" s="1"/>
      <c r="LKP213" s="1"/>
      <c r="LKQ213" s="1"/>
      <c r="LKR213" s="1"/>
      <c r="LKS213" s="1"/>
      <c r="LKT213" s="1"/>
      <c r="LKU213" s="1"/>
      <c r="LKV213" s="1"/>
      <c r="LKW213" s="1"/>
      <c r="LKX213" s="1"/>
      <c r="LKY213" s="1"/>
      <c r="LKZ213" s="1"/>
      <c r="LLA213" s="1"/>
      <c r="LLB213" s="1"/>
      <c r="LLC213" s="1"/>
      <c r="LLD213" s="1"/>
      <c r="LLE213" s="1"/>
      <c r="LLF213" s="1"/>
      <c r="LLG213" s="1"/>
      <c r="LLH213" s="1"/>
      <c r="LLI213" s="1"/>
      <c r="LLJ213" s="1"/>
      <c r="LLK213" s="1"/>
      <c r="LLL213" s="1"/>
      <c r="LLM213" s="1"/>
      <c r="LLN213" s="1"/>
      <c r="LLO213" s="1"/>
      <c r="LLP213" s="1"/>
      <c r="LLQ213" s="1"/>
      <c r="LLR213" s="1"/>
      <c r="LLS213" s="1"/>
      <c r="LLT213" s="1"/>
      <c r="LLU213" s="1"/>
      <c r="LLV213" s="1"/>
      <c r="LLW213" s="1"/>
      <c r="LLX213" s="1"/>
      <c r="LLY213" s="1"/>
      <c r="LLZ213" s="1"/>
      <c r="LMA213" s="1"/>
      <c r="LMB213" s="1"/>
      <c r="LMC213" s="1"/>
      <c r="LMD213" s="1"/>
      <c r="LME213" s="1"/>
      <c r="LMF213" s="1"/>
      <c r="LMG213" s="1"/>
      <c r="LMH213" s="1"/>
      <c r="LMI213" s="1"/>
      <c r="LMJ213" s="1"/>
      <c r="LMK213" s="1"/>
      <c r="LML213" s="1"/>
      <c r="LMM213" s="1"/>
      <c r="LMN213" s="1"/>
      <c r="LMO213" s="1"/>
      <c r="LMP213" s="1"/>
      <c r="LMQ213" s="1"/>
      <c r="LMR213" s="1"/>
      <c r="LMS213" s="1"/>
      <c r="LMT213" s="1"/>
      <c r="LMU213" s="1"/>
      <c r="LMV213" s="1"/>
      <c r="LMW213" s="1"/>
      <c r="LMX213" s="1"/>
      <c r="LMY213" s="1"/>
      <c r="LMZ213" s="1"/>
      <c r="LNA213" s="1"/>
      <c r="LNB213" s="1"/>
      <c r="LNC213" s="1"/>
      <c r="LND213" s="1"/>
      <c r="LNE213" s="1"/>
      <c r="LNF213" s="1"/>
      <c r="LNG213" s="1"/>
      <c r="LNH213" s="1"/>
      <c r="LNI213" s="1"/>
      <c r="LNJ213" s="1"/>
      <c r="LNK213" s="1"/>
      <c r="LNL213" s="1"/>
      <c r="LNM213" s="1"/>
      <c r="LNN213" s="1"/>
      <c r="LNO213" s="1"/>
      <c r="LNP213" s="1"/>
      <c r="LNQ213" s="1"/>
      <c r="LNR213" s="1"/>
      <c r="LNS213" s="1"/>
      <c r="LNT213" s="1"/>
      <c r="LNU213" s="1"/>
      <c r="LNV213" s="1"/>
      <c r="LNW213" s="1"/>
      <c r="LNX213" s="1"/>
      <c r="LNY213" s="1"/>
      <c r="LNZ213" s="1"/>
      <c r="LOA213" s="1"/>
      <c r="LOB213" s="1"/>
      <c r="LOC213" s="1"/>
      <c r="LOD213" s="1"/>
      <c r="LOE213" s="1"/>
      <c r="LOF213" s="1"/>
      <c r="LOG213" s="1"/>
      <c r="LOH213" s="1"/>
      <c r="LOI213" s="1"/>
      <c r="LOJ213" s="1"/>
      <c r="LOK213" s="1"/>
      <c r="LOL213" s="1"/>
      <c r="LOM213" s="1"/>
      <c r="LON213" s="1"/>
      <c r="LOO213" s="1"/>
      <c r="LOP213" s="1"/>
      <c r="LOQ213" s="1"/>
      <c r="LOR213" s="1"/>
      <c r="LOS213" s="1"/>
      <c r="LOT213" s="1"/>
      <c r="LOU213" s="1"/>
      <c r="LOV213" s="1"/>
      <c r="LOW213" s="1"/>
      <c r="LOX213" s="1"/>
      <c r="LOY213" s="1"/>
      <c r="LOZ213" s="1"/>
      <c r="LPA213" s="1"/>
      <c r="LPB213" s="1"/>
      <c r="LPC213" s="1"/>
      <c r="LPD213" s="1"/>
      <c r="LPE213" s="1"/>
      <c r="LPF213" s="1"/>
      <c r="LPG213" s="1"/>
      <c r="LPH213" s="1"/>
      <c r="LPI213" s="1"/>
      <c r="LPJ213" s="1"/>
      <c r="LPK213" s="1"/>
      <c r="LPL213" s="1"/>
      <c r="LPM213" s="1"/>
      <c r="LPN213" s="1"/>
      <c r="LPO213" s="1"/>
      <c r="LPP213" s="1"/>
      <c r="LPQ213" s="1"/>
      <c r="LPR213" s="1"/>
      <c r="LPS213" s="1"/>
      <c r="LPT213" s="1"/>
      <c r="LPU213" s="1"/>
      <c r="LPV213" s="1"/>
      <c r="LPW213" s="1"/>
      <c r="LPX213" s="1"/>
      <c r="LPY213" s="1"/>
      <c r="LPZ213" s="1"/>
      <c r="LQA213" s="1"/>
      <c r="LQB213" s="1"/>
      <c r="LQC213" s="1"/>
      <c r="LQD213" s="1"/>
      <c r="LQE213" s="1"/>
      <c r="LQF213" s="1"/>
      <c r="LQG213" s="1"/>
      <c r="LQH213" s="1"/>
      <c r="LQI213" s="1"/>
      <c r="LQJ213" s="1"/>
      <c r="LQK213" s="1"/>
      <c r="LQL213" s="1"/>
      <c r="LQM213" s="1"/>
      <c r="LQN213" s="1"/>
      <c r="LQO213" s="1"/>
      <c r="LQP213" s="1"/>
      <c r="LQQ213" s="1"/>
      <c r="LQR213" s="1"/>
      <c r="LQS213" s="1"/>
      <c r="LQT213" s="1"/>
      <c r="LQU213" s="1"/>
      <c r="LQV213" s="1"/>
      <c r="LQW213" s="1"/>
      <c r="LQX213" s="1"/>
      <c r="LQY213" s="1"/>
      <c r="LQZ213" s="1"/>
      <c r="LRA213" s="1"/>
      <c r="LRB213" s="1"/>
      <c r="LRC213" s="1"/>
      <c r="LRD213" s="1"/>
      <c r="LRE213" s="1"/>
      <c r="LRF213" s="1"/>
      <c r="LRG213" s="1"/>
      <c r="LRH213" s="1"/>
      <c r="LRI213" s="1"/>
      <c r="LRJ213" s="1"/>
      <c r="LRK213" s="1"/>
      <c r="LRL213" s="1"/>
      <c r="LRM213" s="1"/>
      <c r="LRN213" s="1"/>
      <c r="LRO213" s="1"/>
      <c r="LRP213" s="1"/>
      <c r="LRQ213" s="1"/>
      <c r="LRR213" s="1"/>
      <c r="LRS213" s="1"/>
      <c r="LRT213" s="1"/>
      <c r="LRU213" s="1"/>
      <c r="LRV213" s="1"/>
      <c r="LRW213" s="1"/>
      <c r="LRX213" s="1"/>
      <c r="LRY213" s="1"/>
      <c r="LRZ213" s="1"/>
      <c r="LSA213" s="1"/>
      <c r="LSB213" s="1"/>
      <c r="LSC213" s="1"/>
      <c r="LSD213" s="1"/>
      <c r="LSE213" s="1"/>
      <c r="LSF213" s="1"/>
      <c r="LSG213" s="1"/>
      <c r="LSH213" s="1"/>
      <c r="LSI213" s="1"/>
      <c r="LSJ213" s="1"/>
      <c r="LSK213" s="1"/>
      <c r="LSL213" s="1"/>
      <c r="LSM213" s="1"/>
      <c r="LSN213" s="1"/>
      <c r="LSO213" s="1"/>
      <c r="LSP213" s="1"/>
      <c r="LSQ213" s="1"/>
      <c r="LSR213" s="1"/>
      <c r="LSS213" s="1"/>
      <c r="LST213" s="1"/>
      <c r="LSU213" s="1"/>
      <c r="LSV213" s="1"/>
      <c r="LSW213" s="1"/>
      <c r="LSX213" s="1"/>
      <c r="LSY213" s="1"/>
      <c r="LSZ213" s="1"/>
      <c r="LTA213" s="1"/>
      <c r="LTB213" s="1"/>
      <c r="LTC213" s="1"/>
      <c r="LTD213" s="1"/>
      <c r="LTE213" s="1"/>
      <c r="LTF213" s="1"/>
      <c r="LTG213" s="1"/>
      <c r="LTH213" s="1"/>
      <c r="LTI213" s="1"/>
      <c r="LTJ213" s="1"/>
      <c r="LTK213" s="1"/>
      <c r="LTL213" s="1"/>
      <c r="LTM213" s="1"/>
      <c r="LTN213" s="1"/>
      <c r="LTO213" s="1"/>
      <c r="LTP213" s="1"/>
      <c r="LTQ213" s="1"/>
      <c r="LTR213" s="1"/>
      <c r="LTS213" s="1"/>
      <c r="LTT213" s="1"/>
      <c r="LTU213" s="1"/>
      <c r="LTV213" s="1"/>
      <c r="LTW213" s="1"/>
      <c r="LTX213" s="1"/>
      <c r="LTY213" s="1"/>
      <c r="LTZ213" s="1"/>
      <c r="LUA213" s="1"/>
      <c r="LUB213" s="1"/>
      <c r="LUC213" s="1"/>
      <c r="LUD213" s="1"/>
      <c r="LUE213" s="1"/>
      <c r="LUF213" s="1"/>
      <c r="LUG213" s="1"/>
      <c r="LUH213" s="1"/>
      <c r="LUI213" s="1"/>
      <c r="LUJ213" s="1"/>
      <c r="LUK213" s="1"/>
      <c r="LUL213" s="1"/>
      <c r="LUM213" s="1"/>
      <c r="LUN213" s="1"/>
      <c r="LUO213" s="1"/>
      <c r="LUP213" s="1"/>
      <c r="LUQ213" s="1"/>
      <c r="LUR213" s="1"/>
      <c r="LUS213" s="1"/>
      <c r="LUT213" s="1"/>
      <c r="LUU213" s="1"/>
      <c r="LUV213" s="1"/>
      <c r="LUW213" s="1"/>
      <c r="LUX213" s="1"/>
      <c r="LUY213" s="1"/>
      <c r="LUZ213" s="1"/>
      <c r="LVA213" s="1"/>
      <c r="LVB213" s="1"/>
      <c r="LVC213" s="1"/>
      <c r="LVD213" s="1"/>
      <c r="LVE213" s="1"/>
      <c r="LVF213" s="1"/>
      <c r="LVG213" s="1"/>
      <c r="LVH213" s="1"/>
      <c r="LVI213" s="1"/>
      <c r="LVJ213" s="1"/>
      <c r="LVK213" s="1"/>
      <c r="LVL213" s="1"/>
      <c r="LVM213" s="1"/>
      <c r="LVN213" s="1"/>
      <c r="LVO213" s="1"/>
      <c r="LVP213" s="1"/>
      <c r="LVQ213" s="1"/>
      <c r="LVR213" s="1"/>
      <c r="LVS213" s="1"/>
      <c r="LVT213" s="1"/>
      <c r="LVU213" s="1"/>
      <c r="LVV213" s="1"/>
      <c r="LVW213" s="1"/>
      <c r="LVX213" s="1"/>
      <c r="LVY213" s="1"/>
      <c r="LVZ213" s="1"/>
      <c r="LWA213" s="1"/>
      <c r="LWB213" s="1"/>
      <c r="LWC213" s="1"/>
      <c r="LWD213" s="1"/>
      <c r="LWE213" s="1"/>
      <c r="LWF213" s="1"/>
      <c r="LWG213" s="1"/>
      <c r="LWH213" s="1"/>
      <c r="LWI213" s="1"/>
      <c r="LWJ213" s="1"/>
      <c r="LWK213" s="1"/>
      <c r="LWL213" s="1"/>
      <c r="LWM213" s="1"/>
      <c r="LWN213" s="1"/>
      <c r="LWO213" s="1"/>
      <c r="LWP213" s="1"/>
      <c r="LWQ213" s="1"/>
      <c r="LWR213" s="1"/>
      <c r="LWS213" s="1"/>
      <c r="LWT213" s="1"/>
      <c r="LWU213" s="1"/>
      <c r="LWV213" s="1"/>
      <c r="LWW213" s="1"/>
      <c r="LWX213" s="1"/>
      <c r="LWY213" s="1"/>
      <c r="LWZ213" s="1"/>
      <c r="LXA213" s="1"/>
      <c r="LXB213" s="1"/>
      <c r="LXC213" s="1"/>
      <c r="LXD213" s="1"/>
      <c r="LXE213" s="1"/>
      <c r="LXF213" s="1"/>
      <c r="LXG213" s="1"/>
      <c r="LXH213" s="1"/>
      <c r="LXI213" s="1"/>
      <c r="LXJ213" s="1"/>
      <c r="LXK213" s="1"/>
      <c r="LXL213" s="1"/>
      <c r="LXM213" s="1"/>
      <c r="LXN213" s="1"/>
      <c r="LXO213" s="1"/>
      <c r="LXP213" s="1"/>
      <c r="LXQ213" s="1"/>
      <c r="LXR213" s="1"/>
      <c r="LXS213" s="1"/>
      <c r="LXT213" s="1"/>
      <c r="LXU213" s="1"/>
      <c r="LXV213" s="1"/>
      <c r="LXW213" s="1"/>
      <c r="LXX213" s="1"/>
      <c r="LXY213" s="1"/>
      <c r="LXZ213" s="1"/>
      <c r="LYA213" s="1"/>
      <c r="LYB213" s="1"/>
      <c r="LYC213" s="1"/>
      <c r="LYD213" s="1"/>
      <c r="LYE213" s="1"/>
      <c r="LYF213" s="1"/>
      <c r="LYG213" s="1"/>
      <c r="LYH213" s="1"/>
      <c r="LYI213" s="1"/>
      <c r="LYJ213" s="1"/>
      <c r="LYK213" s="1"/>
      <c r="LYL213" s="1"/>
      <c r="LYM213" s="1"/>
      <c r="LYN213" s="1"/>
      <c r="LYO213" s="1"/>
      <c r="LYP213" s="1"/>
      <c r="LYQ213" s="1"/>
      <c r="LYR213" s="1"/>
      <c r="LYS213" s="1"/>
      <c r="LYT213" s="1"/>
      <c r="LYU213" s="1"/>
      <c r="LYV213" s="1"/>
      <c r="LYW213" s="1"/>
      <c r="LYX213" s="1"/>
      <c r="LYY213" s="1"/>
      <c r="LYZ213" s="1"/>
      <c r="LZA213" s="1"/>
      <c r="LZB213" s="1"/>
      <c r="LZC213" s="1"/>
      <c r="LZD213" s="1"/>
      <c r="LZE213" s="1"/>
      <c r="LZF213" s="1"/>
      <c r="LZG213" s="1"/>
      <c r="LZH213" s="1"/>
      <c r="LZI213" s="1"/>
      <c r="LZJ213" s="1"/>
      <c r="LZK213" s="1"/>
      <c r="LZL213" s="1"/>
      <c r="LZM213" s="1"/>
      <c r="LZN213" s="1"/>
      <c r="LZO213" s="1"/>
      <c r="LZP213" s="1"/>
      <c r="LZQ213" s="1"/>
      <c r="LZR213" s="1"/>
      <c r="LZS213" s="1"/>
      <c r="LZT213" s="1"/>
      <c r="LZU213" s="1"/>
      <c r="LZV213" s="1"/>
      <c r="LZW213" s="1"/>
      <c r="LZX213" s="1"/>
      <c r="LZY213" s="1"/>
      <c r="LZZ213" s="1"/>
      <c r="MAA213" s="1"/>
      <c r="MAB213" s="1"/>
      <c r="MAC213" s="1"/>
      <c r="MAD213" s="1"/>
      <c r="MAE213" s="1"/>
      <c r="MAF213" s="1"/>
      <c r="MAG213" s="1"/>
      <c r="MAH213" s="1"/>
      <c r="MAI213" s="1"/>
      <c r="MAJ213" s="1"/>
      <c r="MAK213" s="1"/>
      <c r="MAL213" s="1"/>
      <c r="MAM213" s="1"/>
      <c r="MAN213" s="1"/>
      <c r="MAO213" s="1"/>
      <c r="MAP213" s="1"/>
      <c r="MAQ213" s="1"/>
      <c r="MAR213" s="1"/>
      <c r="MAS213" s="1"/>
      <c r="MAT213" s="1"/>
      <c r="MAU213" s="1"/>
      <c r="MAV213" s="1"/>
      <c r="MAW213" s="1"/>
      <c r="MAX213" s="1"/>
      <c r="MAY213" s="1"/>
      <c r="MAZ213" s="1"/>
      <c r="MBA213" s="1"/>
      <c r="MBB213" s="1"/>
      <c r="MBC213" s="1"/>
      <c r="MBD213" s="1"/>
      <c r="MBE213" s="1"/>
      <c r="MBF213" s="1"/>
      <c r="MBG213" s="1"/>
      <c r="MBH213" s="1"/>
      <c r="MBI213" s="1"/>
      <c r="MBJ213" s="1"/>
      <c r="MBK213" s="1"/>
      <c r="MBL213" s="1"/>
      <c r="MBM213" s="1"/>
      <c r="MBN213" s="1"/>
      <c r="MBO213" s="1"/>
      <c r="MBP213" s="1"/>
      <c r="MBQ213" s="1"/>
      <c r="MBR213" s="1"/>
      <c r="MBS213" s="1"/>
      <c r="MBT213" s="1"/>
      <c r="MBU213" s="1"/>
      <c r="MBV213" s="1"/>
      <c r="MBW213" s="1"/>
      <c r="MBX213" s="1"/>
      <c r="MBY213" s="1"/>
      <c r="MBZ213" s="1"/>
      <c r="MCA213" s="1"/>
      <c r="MCB213" s="1"/>
      <c r="MCC213" s="1"/>
      <c r="MCD213" s="1"/>
      <c r="MCE213" s="1"/>
      <c r="MCF213" s="1"/>
      <c r="MCG213" s="1"/>
      <c r="MCH213" s="1"/>
      <c r="MCI213" s="1"/>
      <c r="MCJ213" s="1"/>
      <c r="MCK213" s="1"/>
      <c r="MCL213" s="1"/>
      <c r="MCM213" s="1"/>
      <c r="MCN213" s="1"/>
      <c r="MCO213" s="1"/>
      <c r="MCP213" s="1"/>
      <c r="MCQ213" s="1"/>
      <c r="MCR213" s="1"/>
      <c r="MCS213" s="1"/>
      <c r="MCT213" s="1"/>
      <c r="MCU213" s="1"/>
      <c r="MCV213" s="1"/>
      <c r="MCW213" s="1"/>
      <c r="MCX213" s="1"/>
      <c r="MCY213" s="1"/>
      <c r="MCZ213" s="1"/>
      <c r="MDA213" s="1"/>
      <c r="MDB213" s="1"/>
      <c r="MDC213" s="1"/>
      <c r="MDD213" s="1"/>
      <c r="MDE213" s="1"/>
      <c r="MDF213" s="1"/>
      <c r="MDG213" s="1"/>
      <c r="MDH213" s="1"/>
      <c r="MDI213" s="1"/>
      <c r="MDJ213" s="1"/>
      <c r="MDK213" s="1"/>
      <c r="MDL213" s="1"/>
      <c r="MDM213" s="1"/>
      <c r="MDN213" s="1"/>
      <c r="MDO213" s="1"/>
      <c r="MDP213" s="1"/>
      <c r="MDQ213" s="1"/>
      <c r="MDR213" s="1"/>
      <c r="MDS213" s="1"/>
      <c r="MDT213" s="1"/>
      <c r="MDU213" s="1"/>
      <c r="MDV213" s="1"/>
      <c r="MDW213" s="1"/>
      <c r="MDX213" s="1"/>
      <c r="MDY213" s="1"/>
      <c r="MDZ213" s="1"/>
      <c r="MEA213" s="1"/>
      <c r="MEB213" s="1"/>
      <c r="MEC213" s="1"/>
      <c r="MED213" s="1"/>
      <c r="MEE213" s="1"/>
      <c r="MEF213" s="1"/>
      <c r="MEG213" s="1"/>
      <c r="MEH213" s="1"/>
      <c r="MEI213" s="1"/>
      <c r="MEJ213" s="1"/>
      <c r="MEK213" s="1"/>
      <c r="MEL213" s="1"/>
      <c r="MEM213" s="1"/>
      <c r="MEN213" s="1"/>
      <c r="MEO213" s="1"/>
      <c r="MEP213" s="1"/>
      <c r="MEQ213" s="1"/>
      <c r="MER213" s="1"/>
      <c r="MES213" s="1"/>
      <c r="MET213" s="1"/>
      <c r="MEU213" s="1"/>
      <c r="MEV213" s="1"/>
      <c r="MEW213" s="1"/>
      <c r="MEX213" s="1"/>
      <c r="MEY213" s="1"/>
      <c r="MEZ213" s="1"/>
      <c r="MFA213" s="1"/>
      <c r="MFB213" s="1"/>
      <c r="MFC213" s="1"/>
      <c r="MFD213" s="1"/>
      <c r="MFE213" s="1"/>
      <c r="MFF213" s="1"/>
      <c r="MFG213" s="1"/>
      <c r="MFH213" s="1"/>
      <c r="MFI213" s="1"/>
      <c r="MFJ213" s="1"/>
      <c r="MFK213" s="1"/>
      <c r="MFL213" s="1"/>
      <c r="MFM213" s="1"/>
      <c r="MFN213" s="1"/>
      <c r="MFO213" s="1"/>
      <c r="MFP213" s="1"/>
      <c r="MFQ213" s="1"/>
      <c r="MFR213" s="1"/>
      <c r="MFS213" s="1"/>
      <c r="MFT213" s="1"/>
      <c r="MFU213" s="1"/>
      <c r="MFV213" s="1"/>
      <c r="MFW213" s="1"/>
      <c r="MFX213" s="1"/>
      <c r="MFY213" s="1"/>
      <c r="MFZ213" s="1"/>
      <c r="MGA213" s="1"/>
      <c r="MGB213" s="1"/>
      <c r="MGC213" s="1"/>
      <c r="MGD213" s="1"/>
      <c r="MGE213" s="1"/>
      <c r="MGF213" s="1"/>
      <c r="MGG213" s="1"/>
      <c r="MGH213" s="1"/>
      <c r="MGI213" s="1"/>
      <c r="MGJ213" s="1"/>
      <c r="MGK213" s="1"/>
      <c r="MGL213" s="1"/>
      <c r="MGM213" s="1"/>
      <c r="MGN213" s="1"/>
      <c r="MGO213" s="1"/>
      <c r="MGP213" s="1"/>
      <c r="MGQ213" s="1"/>
      <c r="MGR213" s="1"/>
      <c r="MGS213" s="1"/>
      <c r="MGT213" s="1"/>
      <c r="MGU213" s="1"/>
      <c r="MGV213" s="1"/>
      <c r="MGW213" s="1"/>
      <c r="MGX213" s="1"/>
      <c r="MGY213" s="1"/>
      <c r="MGZ213" s="1"/>
      <c r="MHA213" s="1"/>
      <c r="MHB213" s="1"/>
      <c r="MHC213" s="1"/>
      <c r="MHD213" s="1"/>
      <c r="MHE213" s="1"/>
      <c r="MHF213" s="1"/>
      <c r="MHG213" s="1"/>
      <c r="MHH213" s="1"/>
      <c r="MHI213" s="1"/>
      <c r="MHJ213" s="1"/>
      <c r="MHK213" s="1"/>
      <c r="MHL213" s="1"/>
      <c r="MHM213" s="1"/>
      <c r="MHN213" s="1"/>
      <c r="MHO213" s="1"/>
      <c r="MHP213" s="1"/>
      <c r="MHQ213" s="1"/>
      <c r="MHR213" s="1"/>
      <c r="MHS213" s="1"/>
      <c r="MHT213" s="1"/>
      <c r="MHU213" s="1"/>
      <c r="MHV213" s="1"/>
      <c r="MHW213" s="1"/>
      <c r="MHX213" s="1"/>
      <c r="MHY213" s="1"/>
      <c r="MHZ213" s="1"/>
      <c r="MIA213" s="1"/>
      <c r="MIB213" s="1"/>
      <c r="MIC213" s="1"/>
      <c r="MID213" s="1"/>
      <c r="MIE213" s="1"/>
      <c r="MIF213" s="1"/>
      <c r="MIG213" s="1"/>
      <c r="MIH213" s="1"/>
      <c r="MII213" s="1"/>
      <c r="MIJ213" s="1"/>
      <c r="MIK213" s="1"/>
      <c r="MIL213" s="1"/>
      <c r="MIM213" s="1"/>
      <c r="MIN213" s="1"/>
      <c r="MIO213" s="1"/>
      <c r="MIP213" s="1"/>
      <c r="MIQ213" s="1"/>
      <c r="MIR213" s="1"/>
      <c r="MIS213" s="1"/>
      <c r="MIT213" s="1"/>
      <c r="MIU213" s="1"/>
      <c r="MIV213" s="1"/>
      <c r="MIW213" s="1"/>
      <c r="MIX213" s="1"/>
      <c r="MIY213" s="1"/>
      <c r="MIZ213" s="1"/>
      <c r="MJA213" s="1"/>
      <c r="MJB213" s="1"/>
      <c r="MJC213" s="1"/>
      <c r="MJD213" s="1"/>
      <c r="MJE213" s="1"/>
      <c r="MJF213" s="1"/>
      <c r="MJG213" s="1"/>
      <c r="MJH213" s="1"/>
      <c r="MJI213" s="1"/>
      <c r="MJJ213" s="1"/>
      <c r="MJK213" s="1"/>
      <c r="MJL213" s="1"/>
      <c r="MJM213" s="1"/>
      <c r="MJN213" s="1"/>
      <c r="MJO213" s="1"/>
      <c r="MJP213" s="1"/>
      <c r="MJQ213" s="1"/>
      <c r="MJR213" s="1"/>
      <c r="MJS213" s="1"/>
      <c r="MJT213" s="1"/>
      <c r="MJU213" s="1"/>
      <c r="MJV213" s="1"/>
      <c r="MJW213" s="1"/>
      <c r="MJX213" s="1"/>
      <c r="MJY213" s="1"/>
      <c r="MJZ213" s="1"/>
      <c r="MKA213" s="1"/>
      <c r="MKB213" s="1"/>
      <c r="MKC213" s="1"/>
      <c r="MKD213" s="1"/>
      <c r="MKE213" s="1"/>
      <c r="MKF213" s="1"/>
      <c r="MKG213" s="1"/>
      <c r="MKH213" s="1"/>
      <c r="MKI213" s="1"/>
      <c r="MKJ213" s="1"/>
      <c r="MKK213" s="1"/>
      <c r="MKL213" s="1"/>
      <c r="MKM213" s="1"/>
      <c r="MKN213" s="1"/>
      <c r="MKO213" s="1"/>
      <c r="MKP213" s="1"/>
      <c r="MKQ213" s="1"/>
      <c r="MKR213" s="1"/>
      <c r="MKS213" s="1"/>
      <c r="MKT213" s="1"/>
      <c r="MKU213" s="1"/>
      <c r="MKV213" s="1"/>
      <c r="MKW213" s="1"/>
      <c r="MKX213" s="1"/>
      <c r="MKY213" s="1"/>
      <c r="MKZ213" s="1"/>
      <c r="MLA213" s="1"/>
      <c r="MLB213" s="1"/>
      <c r="MLC213" s="1"/>
      <c r="MLD213" s="1"/>
      <c r="MLE213" s="1"/>
      <c r="MLF213" s="1"/>
      <c r="MLG213" s="1"/>
      <c r="MLH213" s="1"/>
      <c r="MLI213" s="1"/>
      <c r="MLJ213" s="1"/>
      <c r="MLK213" s="1"/>
      <c r="MLL213" s="1"/>
      <c r="MLM213" s="1"/>
      <c r="MLN213" s="1"/>
      <c r="MLO213" s="1"/>
      <c r="MLP213" s="1"/>
      <c r="MLQ213" s="1"/>
      <c r="MLR213" s="1"/>
      <c r="MLS213" s="1"/>
      <c r="MLT213" s="1"/>
      <c r="MLU213" s="1"/>
      <c r="MLV213" s="1"/>
      <c r="MLW213" s="1"/>
      <c r="MLX213" s="1"/>
      <c r="MLY213" s="1"/>
      <c r="MLZ213" s="1"/>
      <c r="MMA213" s="1"/>
      <c r="MMB213" s="1"/>
      <c r="MMC213" s="1"/>
      <c r="MMD213" s="1"/>
      <c r="MME213" s="1"/>
      <c r="MMF213" s="1"/>
      <c r="MMG213" s="1"/>
      <c r="MMH213" s="1"/>
      <c r="MMI213" s="1"/>
      <c r="MMJ213" s="1"/>
      <c r="MMK213" s="1"/>
      <c r="MML213" s="1"/>
      <c r="MMM213" s="1"/>
      <c r="MMN213" s="1"/>
      <c r="MMO213" s="1"/>
      <c r="MMP213" s="1"/>
      <c r="MMQ213" s="1"/>
      <c r="MMR213" s="1"/>
      <c r="MMS213" s="1"/>
      <c r="MMT213" s="1"/>
      <c r="MMU213" s="1"/>
      <c r="MMV213" s="1"/>
      <c r="MMW213" s="1"/>
      <c r="MMX213" s="1"/>
      <c r="MMY213" s="1"/>
      <c r="MMZ213" s="1"/>
      <c r="MNA213" s="1"/>
      <c r="MNB213" s="1"/>
      <c r="MNC213" s="1"/>
      <c r="MND213" s="1"/>
      <c r="MNE213" s="1"/>
      <c r="MNF213" s="1"/>
      <c r="MNG213" s="1"/>
      <c r="MNH213" s="1"/>
      <c r="MNI213" s="1"/>
      <c r="MNJ213" s="1"/>
      <c r="MNK213" s="1"/>
      <c r="MNL213" s="1"/>
      <c r="MNM213" s="1"/>
      <c r="MNN213" s="1"/>
      <c r="MNO213" s="1"/>
      <c r="MNP213" s="1"/>
      <c r="MNQ213" s="1"/>
      <c r="MNR213" s="1"/>
      <c r="MNS213" s="1"/>
      <c r="MNT213" s="1"/>
      <c r="MNU213" s="1"/>
      <c r="MNV213" s="1"/>
      <c r="MNW213" s="1"/>
      <c r="MNX213" s="1"/>
      <c r="MNY213" s="1"/>
      <c r="MNZ213" s="1"/>
      <c r="MOA213" s="1"/>
      <c r="MOB213" s="1"/>
      <c r="MOC213" s="1"/>
      <c r="MOD213" s="1"/>
      <c r="MOE213" s="1"/>
      <c r="MOF213" s="1"/>
      <c r="MOG213" s="1"/>
      <c r="MOH213" s="1"/>
      <c r="MOI213" s="1"/>
      <c r="MOJ213" s="1"/>
      <c r="MOK213" s="1"/>
      <c r="MOL213" s="1"/>
      <c r="MOM213" s="1"/>
      <c r="MON213" s="1"/>
      <c r="MOO213" s="1"/>
      <c r="MOP213" s="1"/>
      <c r="MOQ213" s="1"/>
      <c r="MOR213" s="1"/>
      <c r="MOS213" s="1"/>
      <c r="MOT213" s="1"/>
      <c r="MOU213" s="1"/>
      <c r="MOV213" s="1"/>
      <c r="MOW213" s="1"/>
      <c r="MOX213" s="1"/>
      <c r="MOY213" s="1"/>
      <c r="MOZ213" s="1"/>
      <c r="MPA213" s="1"/>
      <c r="MPB213" s="1"/>
      <c r="MPC213" s="1"/>
      <c r="MPD213" s="1"/>
      <c r="MPE213" s="1"/>
      <c r="MPF213" s="1"/>
      <c r="MPG213" s="1"/>
      <c r="MPH213" s="1"/>
      <c r="MPI213" s="1"/>
      <c r="MPJ213" s="1"/>
      <c r="MPK213" s="1"/>
      <c r="MPL213" s="1"/>
      <c r="MPM213" s="1"/>
      <c r="MPN213" s="1"/>
      <c r="MPO213" s="1"/>
      <c r="MPP213" s="1"/>
      <c r="MPQ213" s="1"/>
      <c r="MPR213" s="1"/>
      <c r="MPS213" s="1"/>
      <c r="MPT213" s="1"/>
      <c r="MPU213" s="1"/>
      <c r="MPV213" s="1"/>
      <c r="MPW213" s="1"/>
      <c r="MPX213" s="1"/>
      <c r="MPY213" s="1"/>
      <c r="MPZ213" s="1"/>
      <c r="MQA213" s="1"/>
      <c r="MQB213" s="1"/>
      <c r="MQC213" s="1"/>
      <c r="MQD213" s="1"/>
      <c r="MQE213" s="1"/>
      <c r="MQF213" s="1"/>
      <c r="MQG213" s="1"/>
      <c r="MQH213" s="1"/>
      <c r="MQI213" s="1"/>
      <c r="MQJ213" s="1"/>
      <c r="MQK213" s="1"/>
      <c r="MQL213" s="1"/>
      <c r="MQM213" s="1"/>
      <c r="MQN213" s="1"/>
      <c r="MQO213" s="1"/>
      <c r="MQP213" s="1"/>
      <c r="MQQ213" s="1"/>
      <c r="MQR213" s="1"/>
      <c r="MQS213" s="1"/>
      <c r="MQT213" s="1"/>
      <c r="MQU213" s="1"/>
      <c r="MQV213" s="1"/>
      <c r="MQW213" s="1"/>
      <c r="MQX213" s="1"/>
      <c r="MQY213" s="1"/>
      <c r="MQZ213" s="1"/>
      <c r="MRA213" s="1"/>
      <c r="MRB213" s="1"/>
      <c r="MRC213" s="1"/>
      <c r="MRD213" s="1"/>
      <c r="MRE213" s="1"/>
      <c r="MRF213" s="1"/>
      <c r="MRG213" s="1"/>
      <c r="MRH213" s="1"/>
      <c r="MRI213" s="1"/>
      <c r="MRJ213" s="1"/>
      <c r="MRK213" s="1"/>
      <c r="MRL213" s="1"/>
      <c r="MRM213" s="1"/>
      <c r="MRN213" s="1"/>
      <c r="MRO213" s="1"/>
      <c r="MRP213" s="1"/>
      <c r="MRQ213" s="1"/>
      <c r="MRR213" s="1"/>
      <c r="MRS213" s="1"/>
      <c r="MRT213" s="1"/>
      <c r="MRU213" s="1"/>
      <c r="MRV213" s="1"/>
      <c r="MRW213" s="1"/>
      <c r="MRX213" s="1"/>
      <c r="MRY213" s="1"/>
      <c r="MRZ213" s="1"/>
      <c r="MSA213" s="1"/>
      <c r="MSB213" s="1"/>
      <c r="MSC213" s="1"/>
      <c r="MSD213" s="1"/>
      <c r="MSE213" s="1"/>
      <c r="MSF213" s="1"/>
      <c r="MSG213" s="1"/>
      <c r="MSH213" s="1"/>
      <c r="MSI213" s="1"/>
      <c r="MSJ213" s="1"/>
      <c r="MSK213" s="1"/>
      <c r="MSL213" s="1"/>
      <c r="MSM213" s="1"/>
      <c r="MSN213" s="1"/>
      <c r="MSO213" s="1"/>
      <c r="MSP213" s="1"/>
      <c r="MSQ213" s="1"/>
      <c r="MSR213" s="1"/>
      <c r="MSS213" s="1"/>
      <c r="MST213" s="1"/>
      <c r="MSU213" s="1"/>
      <c r="MSV213" s="1"/>
      <c r="MSW213" s="1"/>
      <c r="MSX213" s="1"/>
      <c r="MSY213" s="1"/>
      <c r="MSZ213" s="1"/>
      <c r="MTA213" s="1"/>
      <c r="MTB213" s="1"/>
      <c r="MTC213" s="1"/>
      <c r="MTD213" s="1"/>
      <c r="MTE213" s="1"/>
      <c r="MTF213" s="1"/>
      <c r="MTG213" s="1"/>
      <c r="MTH213" s="1"/>
      <c r="MTI213" s="1"/>
      <c r="MTJ213" s="1"/>
      <c r="MTK213" s="1"/>
      <c r="MTL213" s="1"/>
      <c r="MTM213" s="1"/>
      <c r="MTN213" s="1"/>
      <c r="MTO213" s="1"/>
      <c r="MTP213" s="1"/>
      <c r="MTQ213" s="1"/>
      <c r="MTR213" s="1"/>
      <c r="MTS213" s="1"/>
      <c r="MTT213" s="1"/>
      <c r="MTU213" s="1"/>
      <c r="MTV213" s="1"/>
      <c r="MTW213" s="1"/>
      <c r="MTX213" s="1"/>
      <c r="MTY213" s="1"/>
      <c r="MTZ213" s="1"/>
      <c r="MUA213" s="1"/>
      <c r="MUB213" s="1"/>
      <c r="MUC213" s="1"/>
      <c r="MUD213" s="1"/>
      <c r="MUE213" s="1"/>
      <c r="MUF213" s="1"/>
      <c r="MUG213" s="1"/>
      <c r="MUH213" s="1"/>
      <c r="MUI213" s="1"/>
      <c r="MUJ213" s="1"/>
      <c r="MUK213" s="1"/>
      <c r="MUL213" s="1"/>
      <c r="MUM213" s="1"/>
      <c r="MUN213" s="1"/>
      <c r="MUO213" s="1"/>
      <c r="MUP213" s="1"/>
      <c r="MUQ213" s="1"/>
      <c r="MUR213" s="1"/>
      <c r="MUS213" s="1"/>
      <c r="MUT213" s="1"/>
      <c r="MUU213" s="1"/>
      <c r="MUV213" s="1"/>
      <c r="MUW213" s="1"/>
      <c r="MUX213" s="1"/>
      <c r="MUY213" s="1"/>
      <c r="MUZ213" s="1"/>
      <c r="MVA213" s="1"/>
      <c r="MVB213" s="1"/>
      <c r="MVC213" s="1"/>
      <c r="MVD213" s="1"/>
      <c r="MVE213" s="1"/>
      <c r="MVF213" s="1"/>
      <c r="MVG213" s="1"/>
      <c r="MVH213" s="1"/>
      <c r="MVI213" s="1"/>
      <c r="MVJ213" s="1"/>
      <c r="MVK213" s="1"/>
      <c r="MVL213" s="1"/>
      <c r="MVM213" s="1"/>
      <c r="MVN213" s="1"/>
      <c r="MVO213" s="1"/>
      <c r="MVP213" s="1"/>
      <c r="MVQ213" s="1"/>
      <c r="MVR213" s="1"/>
      <c r="MVS213" s="1"/>
      <c r="MVT213" s="1"/>
      <c r="MVU213" s="1"/>
      <c r="MVV213" s="1"/>
      <c r="MVW213" s="1"/>
      <c r="MVX213" s="1"/>
      <c r="MVY213" s="1"/>
      <c r="MVZ213" s="1"/>
      <c r="MWA213" s="1"/>
      <c r="MWB213" s="1"/>
      <c r="MWC213" s="1"/>
      <c r="MWD213" s="1"/>
      <c r="MWE213" s="1"/>
      <c r="MWF213" s="1"/>
      <c r="MWG213" s="1"/>
      <c r="MWH213" s="1"/>
      <c r="MWI213" s="1"/>
      <c r="MWJ213" s="1"/>
      <c r="MWK213" s="1"/>
      <c r="MWL213" s="1"/>
      <c r="MWM213" s="1"/>
      <c r="MWN213" s="1"/>
      <c r="MWO213" s="1"/>
      <c r="MWP213" s="1"/>
      <c r="MWQ213" s="1"/>
      <c r="MWR213" s="1"/>
      <c r="MWS213" s="1"/>
      <c r="MWT213" s="1"/>
      <c r="MWU213" s="1"/>
      <c r="MWV213" s="1"/>
      <c r="MWW213" s="1"/>
      <c r="MWX213" s="1"/>
      <c r="MWY213" s="1"/>
      <c r="MWZ213" s="1"/>
      <c r="MXA213" s="1"/>
      <c r="MXB213" s="1"/>
      <c r="MXC213" s="1"/>
      <c r="MXD213" s="1"/>
      <c r="MXE213" s="1"/>
      <c r="MXF213" s="1"/>
      <c r="MXG213" s="1"/>
      <c r="MXH213" s="1"/>
      <c r="MXI213" s="1"/>
      <c r="MXJ213" s="1"/>
      <c r="MXK213" s="1"/>
      <c r="MXL213" s="1"/>
      <c r="MXM213" s="1"/>
      <c r="MXN213" s="1"/>
      <c r="MXO213" s="1"/>
      <c r="MXP213" s="1"/>
      <c r="MXQ213" s="1"/>
      <c r="MXR213" s="1"/>
      <c r="MXS213" s="1"/>
      <c r="MXT213" s="1"/>
      <c r="MXU213" s="1"/>
      <c r="MXV213" s="1"/>
      <c r="MXW213" s="1"/>
      <c r="MXX213" s="1"/>
      <c r="MXY213" s="1"/>
      <c r="MXZ213" s="1"/>
      <c r="MYA213" s="1"/>
      <c r="MYB213" s="1"/>
      <c r="MYC213" s="1"/>
      <c r="MYD213" s="1"/>
      <c r="MYE213" s="1"/>
      <c r="MYF213" s="1"/>
      <c r="MYG213" s="1"/>
      <c r="MYH213" s="1"/>
      <c r="MYI213" s="1"/>
      <c r="MYJ213" s="1"/>
      <c r="MYK213" s="1"/>
      <c r="MYL213" s="1"/>
      <c r="MYM213" s="1"/>
      <c r="MYN213" s="1"/>
      <c r="MYO213" s="1"/>
      <c r="MYP213" s="1"/>
      <c r="MYQ213" s="1"/>
      <c r="MYR213" s="1"/>
      <c r="MYS213" s="1"/>
      <c r="MYT213" s="1"/>
      <c r="MYU213" s="1"/>
      <c r="MYV213" s="1"/>
      <c r="MYW213" s="1"/>
      <c r="MYX213" s="1"/>
      <c r="MYY213" s="1"/>
      <c r="MYZ213" s="1"/>
      <c r="MZA213" s="1"/>
      <c r="MZB213" s="1"/>
      <c r="MZC213" s="1"/>
      <c r="MZD213" s="1"/>
      <c r="MZE213" s="1"/>
      <c r="MZF213" s="1"/>
      <c r="MZG213" s="1"/>
      <c r="MZH213" s="1"/>
      <c r="MZI213" s="1"/>
      <c r="MZJ213" s="1"/>
      <c r="MZK213" s="1"/>
      <c r="MZL213" s="1"/>
      <c r="MZM213" s="1"/>
      <c r="MZN213" s="1"/>
      <c r="MZO213" s="1"/>
      <c r="MZP213" s="1"/>
      <c r="MZQ213" s="1"/>
      <c r="MZR213" s="1"/>
      <c r="MZS213" s="1"/>
      <c r="MZT213" s="1"/>
      <c r="MZU213" s="1"/>
      <c r="MZV213" s="1"/>
      <c r="MZW213" s="1"/>
      <c r="MZX213" s="1"/>
      <c r="MZY213" s="1"/>
      <c r="MZZ213" s="1"/>
      <c r="NAA213" s="1"/>
      <c r="NAB213" s="1"/>
      <c r="NAC213" s="1"/>
      <c r="NAD213" s="1"/>
      <c r="NAE213" s="1"/>
      <c r="NAF213" s="1"/>
      <c r="NAG213" s="1"/>
      <c r="NAH213" s="1"/>
      <c r="NAI213" s="1"/>
      <c r="NAJ213" s="1"/>
      <c r="NAK213" s="1"/>
      <c r="NAL213" s="1"/>
      <c r="NAM213" s="1"/>
      <c r="NAN213" s="1"/>
      <c r="NAO213" s="1"/>
      <c r="NAP213" s="1"/>
      <c r="NAQ213" s="1"/>
      <c r="NAR213" s="1"/>
      <c r="NAS213" s="1"/>
      <c r="NAT213" s="1"/>
      <c r="NAU213" s="1"/>
      <c r="NAV213" s="1"/>
      <c r="NAW213" s="1"/>
      <c r="NAX213" s="1"/>
      <c r="NAY213" s="1"/>
      <c r="NAZ213" s="1"/>
      <c r="NBA213" s="1"/>
      <c r="NBB213" s="1"/>
      <c r="NBC213" s="1"/>
      <c r="NBD213" s="1"/>
      <c r="NBE213" s="1"/>
      <c r="NBF213" s="1"/>
      <c r="NBG213" s="1"/>
      <c r="NBH213" s="1"/>
      <c r="NBI213" s="1"/>
      <c r="NBJ213" s="1"/>
      <c r="NBK213" s="1"/>
      <c r="NBL213" s="1"/>
      <c r="NBM213" s="1"/>
      <c r="NBN213" s="1"/>
      <c r="NBO213" s="1"/>
      <c r="NBP213" s="1"/>
      <c r="NBQ213" s="1"/>
      <c r="NBR213" s="1"/>
      <c r="NBS213" s="1"/>
      <c r="NBT213" s="1"/>
      <c r="NBU213" s="1"/>
      <c r="NBV213" s="1"/>
      <c r="NBW213" s="1"/>
      <c r="NBX213" s="1"/>
      <c r="NBY213" s="1"/>
      <c r="NBZ213" s="1"/>
      <c r="NCA213" s="1"/>
      <c r="NCB213" s="1"/>
      <c r="NCC213" s="1"/>
      <c r="NCD213" s="1"/>
      <c r="NCE213" s="1"/>
      <c r="NCF213" s="1"/>
      <c r="NCG213" s="1"/>
      <c r="NCH213" s="1"/>
      <c r="NCI213" s="1"/>
      <c r="NCJ213" s="1"/>
      <c r="NCK213" s="1"/>
      <c r="NCL213" s="1"/>
      <c r="NCM213" s="1"/>
      <c r="NCN213" s="1"/>
      <c r="NCO213" s="1"/>
      <c r="NCP213" s="1"/>
      <c r="NCQ213" s="1"/>
      <c r="NCR213" s="1"/>
      <c r="NCS213" s="1"/>
      <c r="NCT213" s="1"/>
      <c r="NCU213" s="1"/>
      <c r="NCV213" s="1"/>
      <c r="NCW213" s="1"/>
      <c r="NCX213" s="1"/>
      <c r="NCY213" s="1"/>
      <c r="NCZ213" s="1"/>
      <c r="NDA213" s="1"/>
      <c r="NDB213" s="1"/>
      <c r="NDC213" s="1"/>
      <c r="NDD213" s="1"/>
      <c r="NDE213" s="1"/>
      <c r="NDF213" s="1"/>
      <c r="NDG213" s="1"/>
      <c r="NDH213" s="1"/>
      <c r="NDI213" s="1"/>
      <c r="NDJ213" s="1"/>
      <c r="NDK213" s="1"/>
      <c r="NDL213" s="1"/>
      <c r="NDM213" s="1"/>
      <c r="NDN213" s="1"/>
      <c r="NDO213" s="1"/>
      <c r="NDP213" s="1"/>
      <c r="NDQ213" s="1"/>
      <c r="NDR213" s="1"/>
      <c r="NDS213" s="1"/>
      <c r="NDT213" s="1"/>
      <c r="NDU213" s="1"/>
      <c r="NDV213" s="1"/>
      <c r="NDW213" s="1"/>
      <c r="NDX213" s="1"/>
      <c r="NDY213" s="1"/>
      <c r="NDZ213" s="1"/>
      <c r="NEA213" s="1"/>
      <c r="NEB213" s="1"/>
      <c r="NEC213" s="1"/>
      <c r="NED213" s="1"/>
      <c r="NEE213" s="1"/>
      <c r="NEF213" s="1"/>
      <c r="NEG213" s="1"/>
      <c r="NEH213" s="1"/>
      <c r="NEI213" s="1"/>
      <c r="NEJ213" s="1"/>
      <c r="NEK213" s="1"/>
      <c r="NEL213" s="1"/>
      <c r="NEM213" s="1"/>
      <c r="NEN213" s="1"/>
      <c r="NEO213" s="1"/>
      <c r="NEP213" s="1"/>
      <c r="NEQ213" s="1"/>
      <c r="NER213" s="1"/>
      <c r="NES213" s="1"/>
      <c r="NET213" s="1"/>
      <c r="NEU213" s="1"/>
      <c r="NEV213" s="1"/>
      <c r="NEW213" s="1"/>
      <c r="NEX213" s="1"/>
      <c r="NEY213" s="1"/>
      <c r="NEZ213" s="1"/>
      <c r="NFA213" s="1"/>
      <c r="NFB213" s="1"/>
      <c r="NFC213" s="1"/>
      <c r="NFD213" s="1"/>
      <c r="NFE213" s="1"/>
      <c r="NFF213" s="1"/>
      <c r="NFG213" s="1"/>
      <c r="NFH213" s="1"/>
      <c r="NFI213" s="1"/>
      <c r="NFJ213" s="1"/>
      <c r="NFK213" s="1"/>
      <c r="NFL213" s="1"/>
      <c r="NFM213" s="1"/>
      <c r="NFN213" s="1"/>
      <c r="NFO213" s="1"/>
      <c r="NFP213" s="1"/>
      <c r="NFQ213" s="1"/>
      <c r="NFR213" s="1"/>
      <c r="NFS213" s="1"/>
      <c r="NFT213" s="1"/>
      <c r="NFU213" s="1"/>
      <c r="NFV213" s="1"/>
      <c r="NFW213" s="1"/>
      <c r="NFX213" s="1"/>
      <c r="NFY213" s="1"/>
      <c r="NFZ213" s="1"/>
      <c r="NGA213" s="1"/>
      <c r="NGB213" s="1"/>
      <c r="NGC213" s="1"/>
      <c r="NGD213" s="1"/>
      <c r="NGE213" s="1"/>
      <c r="NGF213" s="1"/>
      <c r="NGG213" s="1"/>
      <c r="NGH213" s="1"/>
      <c r="NGI213" s="1"/>
      <c r="NGJ213" s="1"/>
      <c r="NGK213" s="1"/>
      <c r="NGL213" s="1"/>
      <c r="NGM213" s="1"/>
      <c r="NGN213" s="1"/>
      <c r="NGO213" s="1"/>
      <c r="NGP213" s="1"/>
      <c r="NGQ213" s="1"/>
      <c r="NGR213" s="1"/>
      <c r="NGS213" s="1"/>
      <c r="NGT213" s="1"/>
      <c r="NGU213" s="1"/>
      <c r="NGV213" s="1"/>
      <c r="NGW213" s="1"/>
      <c r="NGX213" s="1"/>
      <c r="NGY213" s="1"/>
      <c r="NGZ213" s="1"/>
      <c r="NHA213" s="1"/>
      <c r="NHB213" s="1"/>
      <c r="NHC213" s="1"/>
      <c r="NHD213" s="1"/>
      <c r="NHE213" s="1"/>
      <c r="NHF213" s="1"/>
      <c r="NHG213" s="1"/>
      <c r="NHH213" s="1"/>
      <c r="NHI213" s="1"/>
      <c r="NHJ213" s="1"/>
      <c r="NHK213" s="1"/>
      <c r="NHL213" s="1"/>
      <c r="NHM213" s="1"/>
      <c r="NHN213" s="1"/>
      <c r="NHO213" s="1"/>
      <c r="NHP213" s="1"/>
      <c r="NHQ213" s="1"/>
      <c r="NHR213" s="1"/>
      <c r="NHS213" s="1"/>
      <c r="NHT213" s="1"/>
      <c r="NHU213" s="1"/>
      <c r="NHV213" s="1"/>
      <c r="NHW213" s="1"/>
      <c r="NHX213" s="1"/>
      <c r="NHY213" s="1"/>
      <c r="NHZ213" s="1"/>
      <c r="NIA213" s="1"/>
      <c r="NIB213" s="1"/>
      <c r="NIC213" s="1"/>
      <c r="NID213" s="1"/>
      <c r="NIE213" s="1"/>
      <c r="NIF213" s="1"/>
      <c r="NIG213" s="1"/>
      <c r="NIH213" s="1"/>
      <c r="NII213" s="1"/>
      <c r="NIJ213" s="1"/>
      <c r="NIK213" s="1"/>
      <c r="NIL213" s="1"/>
      <c r="NIM213" s="1"/>
      <c r="NIN213" s="1"/>
      <c r="NIO213" s="1"/>
      <c r="NIP213" s="1"/>
      <c r="NIQ213" s="1"/>
      <c r="NIR213" s="1"/>
      <c r="NIS213" s="1"/>
      <c r="NIT213" s="1"/>
      <c r="NIU213" s="1"/>
      <c r="NIV213" s="1"/>
      <c r="NIW213" s="1"/>
      <c r="NIX213" s="1"/>
      <c r="NIY213" s="1"/>
      <c r="NIZ213" s="1"/>
      <c r="NJA213" s="1"/>
      <c r="NJB213" s="1"/>
      <c r="NJC213" s="1"/>
      <c r="NJD213" s="1"/>
      <c r="NJE213" s="1"/>
      <c r="NJF213" s="1"/>
      <c r="NJG213" s="1"/>
      <c r="NJH213" s="1"/>
      <c r="NJI213" s="1"/>
      <c r="NJJ213" s="1"/>
      <c r="NJK213" s="1"/>
      <c r="NJL213" s="1"/>
      <c r="NJM213" s="1"/>
      <c r="NJN213" s="1"/>
      <c r="NJO213" s="1"/>
      <c r="NJP213" s="1"/>
      <c r="NJQ213" s="1"/>
      <c r="NJR213" s="1"/>
      <c r="NJS213" s="1"/>
      <c r="NJT213" s="1"/>
      <c r="NJU213" s="1"/>
      <c r="NJV213" s="1"/>
      <c r="NJW213" s="1"/>
      <c r="NJX213" s="1"/>
      <c r="NJY213" s="1"/>
      <c r="NJZ213" s="1"/>
      <c r="NKA213" s="1"/>
      <c r="NKB213" s="1"/>
      <c r="NKC213" s="1"/>
      <c r="NKD213" s="1"/>
      <c r="NKE213" s="1"/>
      <c r="NKF213" s="1"/>
      <c r="NKG213" s="1"/>
      <c r="NKH213" s="1"/>
      <c r="NKI213" s="1"/>
      <c r="NKJ213" s="1"/>
      <c r="NKK213" s="1"/>
      <c r="NKL213" s="1"/>
      <c r="NKM213" s="1"/>
      <c r="NKN213" s="1"/>
      <c r="NKO213" s="1"/>
      <c r="NKP213" s="1"/>
      <c r="NKQ213" s="1"/>
      <c r="NKR213" s="1"/>
      <c r="NKS213" s="1"/>
      <c r="NKT213" s="1"/>
      <c r="NKU213" s="1"/>
      <c r="NKV213" s="1"/>
      <c r="NKW213" s="1"/>
      <c r="NKX213" s="1"/>
      <c r="NKY213" s="1"/>
      <c r="NKZ213" s="1"/>
      <c r="NLA213" s="1"/>
      <c r="NLB213" s="1"/>
      <c r="NLC213" s="1"/>
      <c r="NLD213" s="1"/>
      <c r="NLE213" s="1"/>
      <c r="NLF213" s="1"/>
      <c r="NLG213" s="1"/>
      <c r="NLH213" s="1"/>
      <c r="NLI213" s="1"/>
      <c r="NLJ213" s="1"/>
      <c r="NLK213" s="1"/>
      <c r="NLL213" s="1"/>
      <c r="NLM213" s="1"/>
      <c r="NLN213" s="1"/>
      <c r="NLO213" s="1"/>
      <c r="NLP213" s="1"/>
      <c r="NLQ213" s="1"/>
      <c r="NLR213" s="1"/>
      <c r="NLS213" s="1"/>
      <c r="NLT213" s="1"/>
      <c r="NLU213" s="1"/>
      <c r="NLV213" s="1"/>
      <c r="NLW213" s="1"/>
      <c r="NLX213" s="1"/>
      <c r="NLY213" s="1"/>
      <c r="NLZ213" s="1"/>
      <c r="NMA213" s="1"/>
      <c r="NMB213" s="1"/>
      <c r="NMC213" s="1"/>
      <c r="NMD213" s="1"/>
      <c r="NME213" s="1"/>
      <c r="NMF213" s="1"/>
      <c r="NMG213" s="1"/>
      <c r="NMH213" s="1"/>
      <c r="NMI213" s="1"/>
      <c r="NMJ213" s="1"/>
      <c r="NMK213" s="1"/>
      <c r="NML213" s="1"/>
      <c r="NMM213" s="1"/>
      <c r="NMN213" s="1"/>
      <c r="NMO213" s="1"/>
      <c r="NMP213" s="1"/>
      <c r="NMQ213" s="1"/>
      <c r="NMR213" s="1"/>
      <c r="NMS213" s="1"/>
      <c r="NMT213" s="1"/>
      <c r="NMU213" s="1"/>
      <c r="NMV213" s="1"/>
      <c r="NMW213" s="1"/>
      <c r="NMX213" s="1"/>
      <c r="NMY213" s="1"/>
      <c r="NMZ213" s="1"/>
      <c r="NNA213" s="1"/>
      <c r="NNB213" s="1"/>
      <c r="NNC213" s="1"/>
      <c r="NND213" s="1"/>
      <c r="NNE213" s="1"/>
      <c r="NNF213" s="1"/>
      <c r="NNG213" s="1"/>
      <c r="NNH213" s="1"/>
      <c r="NNI213" s="1"/>
      <c r="NNJ213" s="1"/>
      <c r="NNK213" s="1"/>
      <c r="NNL213" s="1"/>
      <c r="NNM213" s="1"/>
      <c r="NNN213" s="1"/>
      <c r="NNO213" s="1"/>
      <c r="NNP213" s="1"/>
      <c r="NNQ213" s="1"/>
      <c r="NNR213" s="1"/>
      <c r="NNS213" s="1"/>
      <c r="NNT213" s="1"/>
      <c r="NNU213" s="1"/>
      <c r="NNV213" s="1"/>
      <c r="NNW213" s="1"/>
      <c r="NNX213" s="1"/>
      <c r="NNY213" s="1"/>
      <c r="NNZ213" s="1"/>
      <c r="NOA213" s="1"/>
      <c r="NOB213" s="1"/>
      <c r="NOC213" s="1"/>
      <c r="NOD213" s="1"/>
      <c r="NOE213" s="1"/>
      <c r="NOF213" s="1"/>
      <c r="NOG213" s="1"/>
      <c r="NOH213" s="1"/>
      <c r="NOI213" s="1"/>
      <c r="NOJ213" s="1"/>
      <c r="NOK213" s="1"/>
      <c r="NOL213" s="1"/>
      <c r="NOM213" s="1"/>
      <c r="NON213" s="1"/>
      <c r="NOO213" s="1"/>
      <c r="NOP213" s="1"/>
      <c r="NOQ213" s="1"/>
      <c r="NOR213" s="1"/>
      <c r="NOS213" s="1"/>
      <c r="NOT213" s="1"/>
      <c r="NOU213" s="1"/>
      <c r="NOV213" s="1"/>
      <c r="NOW213" s="1"/>
      <c r="NOX213" s="1"/>
      <c r="NOY213" s="1"/>
      <c r="NOZ213" s="1"/>
      <c r="NPA213" s="1"/>
      <c r="NPB213" s="1"/>
      <c r="NPC213" s="1"/>
      <c r="NPD213" s="1"/>
      <c r="NPE213" s="1"/>
      <c r="NPF213" s="1"/>
      <c r="NPG213" s="1"/>
      <c r="NPH213" s="1"/>
      <c r="NPI213" s="1"/>
      <c r="NPJ213" s="1"/>
      <c r="NPK213" s="1"/>
      <c r="NPL213" s="1"/>
      <c r="NPM213" s="1"/>
      <c r="NPN213" s="1"/>
      <c r="NPO213" s="1"/>
      <c r="NPP213" s="1"/>
      <c r="NPQ213" s="1"/>
      <c r="NPR213" s="1"/>
      <c r="NPS213" s="1"/>
      <c r="NPT213" s="1"/>
      <c r="NPU213" s="1"/>
      <c r="NPV213" s="1"/>
      <c r="NPW213" s="1"/>
      <c r="NPX213" s="1"/>
      <c r="NPY213" s="1"/>
      <c r="NPZ213" s="1"/>
      <c r="NQA213" s="1"/>
      <c r="NQB213" s="1"/>
      <c r="NQC213" s="1"/>
      <c r="NQD213" s="1"/>
      <c r="NQE213" s="1"/>
      <c r="NQF213" s="1"/>
      <c r="NQG213" s="1"/>
      <c r="NQH213" s="1"/>
      <c r="NQI213" s="1"/>
      <c r="NQJ213" s="1"/>
      <c r="NQK213" s="1"/>
      <c r="NQL213" s="1"/>
      <c r="NQM213" s="1"/>
      <c r="NQN213" s="1"/>
      <c r="NQO213" s="1"/>
      <c r="NQP213" s="1"/>
      <c r="NQQ213" s="1"/>
      <c r="NQR213" s="1"/>
      <c r="NQS213" s="1"/>
      <c r="NQT213" s="1"/>
      <c r="NQU213" s="1"/>
      <c r="NQV213" s="1"/>
      <c r="NQW213" s="1"/>
      <c r="NQX213" s="1"/>
      <c r="NQY213" s="1"/>
      <c r="NQZ213" s="1"/>
      <c r="NRA213" s="1"/>
      <c r="NRB213" s="1"/>
      <c r="NRC213" s="1"/>
      <c r="NRD213" s="1"/>
      <c r="NRE213" s="1"/>
      <c r="NRF213" s="1"/>
      <c r="NRG213" s="1"/>
      <c r="NRH213" s="1"/>
      <c r="NRI213" s="1"/>
      <c r="NRJ213" s="1"/>
      <c r="NRK213" s="1"/>
      <c r="NRL213" s="1"/>
      <c r="NRM213" s="1"/>
      <c r="NRN213" s="1"/>
      <c r="NRO213" s="1"/>
      <c r="NRP213" s="1"/>
      <c r="NRQ213" s="1"/>
      <c r="NRR213" s="1"/>
      <c r="NRS213" s="1"/>
      <c r="NRT213" s="1"/>
      <c r="NRU213" s="1"/>
      <c r="NRV213" s="1"/>
      <c r="NRW213" s="1"/>
      <c r="NRX213" s="1"/>
      <c r="NRY213" s="1"/>
      <c r="NRZ213" s="1"/>
      <c r="NSA213" s="1"/>
      <c r="NSB213" s="1"/>
      <c r="NSC213" s="1"/>
      <c r="NSD213" s="1"/>
      <c r="NSE213" s="1"/>
      <c r="NSF213" s="1"/>
      <c r="NSG213" s="1"/>
      <c r="NSH213" s="1"/>
      <c r="NSI213" s="1"/>
      <c r="NSJ213" s="1"/>
      <c r="NSK213" s="1"/>
      <c r="NSL213" s="1"/>
      <c r="NSM213" s="1"/>
      <c r="NSN213" s="1"/>
      <c r="NSO213" s="1"/>
      <c r="NSP213" s="1"/>
      <c r="NSQ213" s="1"/>
      <c r="NSR213" s="1"/>
      <c r="NSS213" s="1"/>
      <c r="NST213" s="1"/>
      <c r="NSU213" s="1"/>
      <c r="NSV213" s="1"/>
      <c r="NSW213" s="1"/>
      <c r="NSX213" s="1"/>
      <c r="NSY213" s="1"/>
      <c r="NSZ213" s="1"/>
      <c r="NTA213" s="1"/>
      <c r="NTB213" s="1"/>
      <c r="NTC213" s="1"/>
      <c r="NTD213" s="1"/>
      <c r="NTE213" s="1"/>
      <c r="NTF213" s="1"/>
      <c r="NTG213" s="1"/>
      <c r="NTH213" s="1"/>
      <c r="NTI213" s="1"/>
      <c r="NTJ213" s="1"/>
      <c r="NTK213" s="1"/>
      <c r="NTL213" s="1"/>
      <c r="NTM213" s="1"/>
      <c r="NTN213" s="1"/>
      <c r="NTO213" s="1"/>
      <c r="NTP213" s="1"/>
      <c r="NTQ213" s="1"/>
      <c r="NTR213" s="1"/>
      <c r="NTS213" s="1"/>
      <c r="NTT213" s="1"/>
      <c r="NTU213" s="1"/>
      <c r="NTV213" s="1"/>
      <c r="NTW213" s="1"/>
      <c r="NTX213" s="1"/>
      <c r="NTY213" s="1"/>
      <c r="NTZ213" s="1"/>
      <c r="NUA213" s="1"/>
      <c r="NUB213" s="1"/>
      <c r="NUC213" s="1"/>
      <c r="NUD213" s="1"/>
      <c r="NUE213" s="1"/>
      <c r="NUF213" s="1"/>
      <c r="NUG213" s="1"/>
      <c r="NUH213" s="1"/>
      <c r="NUI213" s="1"/>
      <c r="NUJ213" s="1"/>
      <c r="NUK213" s="1"/>
      <c r="NUL213" s="1"/>
      <c r="NUM213" s="1"/>
      <c r="NUN213" s="1"/>
      <c r="NUO213" s="1"/>
      <c r="NUP213" s="1"/>
      <c r="NUQ213" s="1"/>
      <c r="NUR213" s="1"/>
      <c r="NUS213" s="1"/>
      <c r="NUT213" s="1"/>
      <c r="NUU213" s="1"/>
      <c r="NUV213" s="1"/>
      <c r="NUW213" s="1"/>
      <c r="NUX213" s="1"/>
      <c r="NUY213" s="1"/>
      <c r="NUZ213" s="1"/>
      <c r="NVA213" s="1"/>
      <c r="NVB213" s="1"/>
      <c r="NVC213" s="1"/>
      <c r="NVD213" s="1"/>
      <c r="NVE213" s="1"/>
      <c r="NVF213" s="1"/>
      <c r="NVG213" s="1"/>
      <c r="NVH213" s="1"/>
      <c r="NVI213" s="1"/>
      <c r="NVJ213" s="1"/>
      <c r="NVK213" s="1"/>
      <c r="NVL213" s="1"/>
      <c r="NVM213" s="1"/>
      <c r="NVN213" s="1"/>
      <c r="NVO213" s="1"/>
      <c r="NVP213" s="1"/>
      <c r="NVQ213" s="1"/>
      <c r="NVR213" s="1"/>
      <c r="NVS213" s="1"/>
      <c r="NVT213" s="1"/>
      <c r="NVU213" s="1"/>
      <c r="NVV213" s="1"/>
      <c r="NVW213" s="1"/>
      <c r="NVX213" s="1"/>
      <c r="NVY213" s="1"/>
      <c r="NVZ213" s="1"/>
      <c r="NWA213" s="1"/>
      <c r="NWB213" s="1"/>
      <c r="NWC213" s="1"/>
      <c r="NWD213" s="1"/>
      <c r="NWE213" s="1"/>
      <c r="NWF213" s="1"/>
      <c r="NWG213" s="1"/>
      <c r="NWH213" s="1"/>
      <c r="NWI213" s="1"/>
      <c r="NWJ213" s="1"/>
      <c r="NWK213" s="1"/>
      <c r="NWL213" s="1"/>
      <c r="NWM213" s="1"/>
      <c r="NWN213" s="1"/>
      <c r="NWO213" s="1"/>
      <c r="NWP213" s="1"/>
      <c r="NWQ213" s="1"/>
      <c r="NWR213" s="1"/>
      <c r="NWS213" s="1"/>
      <c r="NWT213" s="1"/>
      <c r="NWU213" s="1"/>
      <c r="NWV213" s="1"/>
      <c r="NWW213" s="1"/>
      <c r="NWX213" s="1"/>
      <c r="NWY213" s="1"/>
      <c r="NWZ213" s="1"/>
      <c r="NXA213" s="1"/>
      <c r="NXB213" s="1"/>
      <c r="NXC213" s="1"/>
      <c r="NXD213" s="1"/>
      <c r="NXE213" s="1"/>
      <c r="NXF213" s="1"/>
      <c r="NXG213" s="1"/>
      <c r="NXH213" s="1"/>
      <c r="NXI213" s="1"/>
      <c r="NXJ213" s="1"/>
      <c r="NXK213" s="1"/>
      <c r="NXL213" s="1"/>
      <c r="NXM213" s="1"/>
      <c r="NXN213" s="1"/>
      <c r="NXO213" s="1"/>
      <c r="NXP213" s="1"/>
      <c r="NXQ213" s="1"/>
      <c r="NXR213" s="1"/>
      <c r="NXS213" s="1"/>
      <c r="NXT213" s="1"/>
      <c r="NXU213" s="1"/>
      <c r="NXV213" s="1"/>
      <c r="NXW213" s="1"/>
      <c r="NXX213" s="1"/>
      <c r="NXY213" s="1"/>
      <c r="NXZ213" s="1"/>
      <c r="NYA213" s="1"/>
      <c r="NYB213" s="1"/>
      <c r="NYC213" s="1"/>
      <c r="NYD213" s="1"/>
      <c r="NYE213" s="1"/>
      <c r="NYF213" s="1"/>
      <c r="NYG213" s="1"/>
      <c r="NYH213" s="1"/>
      <c r="NYI213" s="1"/>
      <c r="NYJ213" s="1"/>
      <c r="NYK213" s="1"/>
      <c r="NYL213" s="1"/>
      <c r="NYM213" s="1"/>
      <c r="NYN213" s="1"/>
      <c r="NYO213" s="1"/>
      <c r="NYP213" s="1"/>
      <c r="NYQ213" s="1"/>
      <c r="NYR213" s="1"/>
      <c r="NYS213" s="1"/>
      <c r="NYT213" s="1"/>
      <c r="NYU213" s="1"/>
      <c r="NYV213" s="1"/>
      <c r="NYW213" s="1"/>
      <c r="NYX213" s="1"/>
      <c r="NYY213" s="1"/>
      <c r="NYZ213" s="1"/>
      <c r="NZA213" s="1"/>
      <c r="NZB213" s="1"/>
      <c r="NZC213" s="1"/>
      <c r="NZD213" s="1"/>
      <c r="NZE213" s="1"/>
      <c r="NZF213" s="1"/>
      <c r="NZG213" s="1"/>
      <c r="NZH213" s="1"/>
      <c r="NZI213" s="1"/>
      <c r="NZJ213" s="1"/>
      <c r="NZK213" s="1"/>
      <c r="NZL213" s="1"/>
      <c r="NZM213" s="1"/>
      <c r="NZN213" s="1"/>
      <c r="NZO213" s="1"/>
      <c r="NZP213" s="1"/>
      <c r="NZQ213" s="1"/>
      <c r="NZR213" s="1"/>
      <c r="NZS213" s="1"/>
      <c r="NZT213" s="1"/>
      <c r="NZU213" s="1"/>
      <c r="NZV213" s="1"/>
      <c r="NZW213" s="1"/>
      <c r="NZX213" s="1"/>
      <c r="NZY213" s="1"/>
      <c r="NZZ213" s="1"/>
      <c r="OAA213" s="1"/>
      <c r="OAB213" s="1"/>
      <c r="OAC213" s="1"/>
      <c r="OAD213" s="1"/>
      <c r="OAE213" s="1"/>
      <c r="OAF213" s="1"/>
      <c r="OAG213" s="1"/>
      <c r="OAH213" s="1"/>
      <c r="OAI213" s="1"/>
      <c r="OAJ213" s="1"/>
      <c r="OAK213" s="1"/>
      <c r="OAL213" s="1"/>
      <c r="OAM213" s="1"/>
      <c r="OAN213" s="1"/>
      <c r="OAO213" s="1"/>
      <c r="OAP213" s="1"/>
      <c r="OAQ213" s="1"/>
      <c r="OAR213" s="1"/>
      <c r="OAS213" s="1"/>
      <c r="OAT213" s="1"/>
      <c r="OAU213" s="1"/>
      <c r="OAV213" s="1"/>
      <c r="OAW213" s="1"/>
      <c r="OAX213" s="1"/>
      <c r="OAY213" s="1"/>
      <c r="OAZ213" s="1"/>
      <c r="OBA213" s="1"/>
      <c r="OBB213" s="1"/>
      <c r="OBC213" s="1"/>
      <c r="OBD213" s="1"/>
      <c r="OBE213" s="1"/>
      <c r="OBF213" s="1"/>
      <c r="OBG213" s="1"/>
      <c r="OBH213" s="1"/>
      <c r="OBI213" s="1"/>
      <c r="OBJ213" s="1"/>
      <c r="OBK213" s="1"/>
      <c r="OBL213" s="1"/>
      <c r="OBM213" s="1"/>
      <c r="OBN213" s="1"/>
      <c r="OBO213" s="1"/>
      <c r="OBP213" s="1"/>
      <c r="OBQ213" s="1"/>
      <c r="OBR213" s="1"/>
      <c r="OBS213" s="1"/>
      <c r="OBT213" s="1"/>
      <c r="OBU213" s="1"/>
      <c r="OBV213" s="1"/>
      <c r="OBW213" s="1"/>
      <c r="OBX213" s="1"/>
      <c r="OBY213" s="1"/>
      <c r="OBZ213" s="1"/>
      <c r="OCA213" s="1"/>
      <c r="OCB213" s="1"/>
      <c r="OCC213" s="1"/>
      <c r="OCD213" s="1"/>
      <c r="OCE213" s="1"/>
      <c r="OCF213" s="1"/>
      <c r="OCG213" s="1"/>
      <c r="OCH213" s="1"/>
      <c r="OCI213" s="1"/>
      <c r="OCJ213" s="1"/>
      <c r="OCK213" s="1"/>
      <c r="OCL213" s="1"/>
      <c r="OCM213" s="1"/>
      <c r="OCN213" s="1"/>
      <c r="OCO213" s="1"/>
      <c r="OCP213" s="1"/>
      <c r="OCQ213" s="1"/>
      <c r="OCR213" s="1"/>
      <c r="OCS213" s="1"/>
      <c r="OCT213" s="1"/>
      <c r="OCU213" s="1"/>
      <c r="OCV213" s="1"/>
      <c r="OCW213" s="1"/>
      <c r="OCX213" s="1"/>
      <c r="OCY213" s="1"/>
      <c r="OCZ213" s="1"/>
      <c r="ODA213" s="1"/>
      <c r="ODB213" s="1"/>
      <c r="ODC213" s="1"/>
      <c r="ODD213" s="1"/>
      <c r="ODE213" s="1"/>
      <c r="ODF213" s="1"/>
      <c r="ODG213" s="1"/>
      <c r="ODH213" s="1"/>
      <c r="ODI213" s="1"/>
      <c r="ODJ213" s="1"/>
      <c r="ODK213" s="1"/>
      <c r="ODL213" s="1"/>
      <c r="ODM213" s="1"/>
      <c r="ODN213" s="1"/>
      <c r="ODO213" s="1"/>
      <c r="ODP213" s="1"/>
      <c r="ODQ213" s="1"/>
      <c r="ODR213" s="1"/>
      <c r="ODS213" s="1"/>
      <c r="ODT213" s="1"/>
      <c r="ODU213" s="1"/>
      <c r="ODV213" s="1"/>
      <c r="ODW213" s="1"/>
      <c r="ODX213" s="1"/>
      <c r="ODY213" s="1"/>
      <c r="ODZ213" s="1"/>
      <c r="OEA213" s="1"/>
      <c r="OEB213" s="1"/>
      <c r="OEC213" s="1"/>
      <c r="OED213" s="1"/>
      <c r="OEE213" s="1"/>
      <c r="OEF213" s="1"/>
      <c r="OEG213" s="1"/>
      <c r="OEH213" s="1"/>
      <c r="OEI213" s="1"/>
      <c r="OEJ213" s="1"/>
      <c r="OEK213" s="1"/>
      <c r="OEL213" s="1"/>
      <c r="OEM213" s="1"/>
      <c r="OEN213" s="1"/>
      <c r="OEO213" s="1"/>
      <c r="OEP213" s="1"/>
      <c r="OEQ213" s="1"/>
      <c r="OER213" s="1"/>
      <c r="OES213" s="1"/>
      <c r="OET213" s="1"/>
      <c r="OEU213" s="1"/>
      <c r="OEV213" s="1"/>
      <c r="OEW213" s="1"/>
      <c r="OEX213" s="1"/>
      <c r="OEY213" s="1"/>
      <c r="OEZ213" s="1"/>
      <c r="OFA213" s="1"/>
      <c r="OFB213" s="1"/>
      <c r="OFC213" s="1"/>
      <c r="OFD213" s="1"/>
      <c r="OFE213" s="1"/>
      <c r="OFF213" s="1"/>
      <c r="OFG213" s="1"/>
      <c r="OFH213" s="1"/>
      <c r="OFI213" s="1"/>
      <c r="OFJ213" s="1"/>
      <c r="OFK213" s="1"/>
      <c r="OFL213" s="1"/>
      <c r="OFM213" s="1"/>
      <c r="OFN213" s="1"/>
      <c r="OFO213" s="1"/>
      <c r="OFP213" s="1"/>
      <c r="OFQ213" s="1"/>
      <c r="OFR213" s="1"/>
      <c r="OFS213" s="1"/>
      <c r="OFT213" s="1"/>
      <c r="OFU213" s="1"/>
      <c r="OFV213" s="1"/>
      <c r="OFW213" s="1"/>
      <c r="OFX213" s="1"/>
      <c r="OFY213" s="1"/>
      <c r="OFZ213" s="1"/>
      <c r="OGA213" s="1"/>
      <c r="OGB213" s="1"/>
      <c r="OGC213" s="1"/>
      <c r="OGD213" s="1"/>
      <c r="OGE213" s="1"/>
      <c r="OGF213" s="1"/>
      <c r="OGG213" s="1"/>
      <c r="OGH213" s="1"/>
      <c r="OGI213" s="1"/>
      <c r="OGJ213" s="1"/>
      <c r="OGK213" s="1"/>
      <c r="OGL213" s="1"/>
      <c r="OGM213" s="1"/>
      <c r="OGN213" s="1"/>
      <c r="OGO213" s="1"/>
      <c r="OGP213" s="1"/>
      <c r="OGQ213" s="1"/>
      <c r="OGR213" s="1"/>
      <c r="OGS213" s="1"/>
      <c r="OGT213" s="1"/>
      <c r="OGU213" s="1"/>
      <c r="OGV213" s="1"/>
      <c r="OGW213" s="1"/>
      <c r="OGX213" s="1"/>
      <c r="OGY213" s="1"/>
      <c r="OGZ213" s="1"/>
      <c r="OHA213" s="1"/>
      <c r="OHB213" s="1"/>
      <c r="OHC213" s="1"/>
      <c r="OHD213" s="1"/>
      <c r="OHE213" s="1"/>
      <c r="OHF213" s="1"/>
      <c r="OHG213" s="1"/>
      <c r="OHH213" s="1"/>
      <c r="OHI213" s="1"/>
      <c r="OHJ213" s="1"/>
      <c r="OHK213" s="1"/>
      <c r="OHL213" s="1"/>
      <c r="OHM213" s="1"/>
      <c r="OHN213" s="1"/>
      <c r="OHO213" s="1"/>
      <c r="OHP213" s="1"/>
      <c r="OHQ213" s="1"/>
      <c r="OHR213" s="1"/>
      <c r="OHS213" s="1"/>
      <c r="OHT213" s="1"/>
      <c r="OHU213" s="1"/>
      <c r="OHV213" s="1"/>
      <c r="OHW213" s="1"/>
      <c r="OHX213" s="1"/>
      <c r="OHY213" s="1"/>
      <c r="OHZ213" s="1"/>
      <c r="OIA213" s="1"/>
      <c r="OIB213" s="1"/>
      <c r="OIC213" s="1"/>
      <c r="OID213" s="1"/>
      <c r="OIE213" s="1"/>
      <c r="OIF213" s="1"/>
      <c r="OIG213" s="1"/>
      <c r="OIH213" s="1"/>
      <c r="OII213" s="1"/>
      <c r="OIJ213" s="1"/>
      <c r="OIK213" s="1"/>
      <c r="OIL213" s="1"/>
      <c r="OIM213" s="1"/>
      <c r="OIN213" s="1"/>
      <c r="OIO213" s="1"/>
      <c r="OIP213" s="1"/>
      <c r="OIQ213" s="1"/>
      <c r="OIR213" s="1"/>
      <c r="OIS213" s="1"/>
      <c r="OIT213" s="1"/>
      <c r="OIU213" s="1"/>
      <c r="OIV213" s="1"/>
      <c r="OIW213" s="1"/>
      <c r="OIX213" s="1"/>
      <c r="OIY213" s="1"/>
      <c r="OIZ213" s="1"/>
      <c r="OJA213" s="1"/>
      <c r="OJB213" s="1"/>
      <c r="OJC213" s="1"/>
      <c r="OJD213" s="1"/>
      <c r="OJE213" s="1"/>
      <c r="OJF213" s="1"/>
      <c r="OJG213" s="1"/>
      <c r="OJH213" s="1"/>
      <c r="OJI213" s="1"/>
      <c r="OJJ213" s="1"/>
      <c r="OJK213" s="1"/>
      <c r="OJL213" s="1"/>
      <c r="OJM213" s="1"/>
      <c r="OJN213" s="1"/>
      <c r="OJO213" s="1"/>
      <c r="OJP213" s="1"/>
      <c r="OJQ213" s="1"/>
      <c r="OJR213" s="1"/>
      <c r="OJS213" s="1"/>
      <c r="OJT213" s="1"/>
      <c r="OJU213" s="1"/>
      <c r="OJV213" s="1"/>
      <c r="OJW213" s="1"/>
      <c r="OJX213" s="1"/>
      <c r="OJY213" s="1"/>
      <c r="OJZ213" s="1"/>
      <c r="OKA213" s="1"/>
      <c r="OKB213" s="1"/>
      <c r="OKC213" s="1"/>
      <c r="OKD213" s="1"/>
      <c r="OKE213" s="1"/>
      <c r="OKF213" s="1"/>
      <c r="OKG213" s="1"/>
      <c r="OKH213" s="1"/>
      <c r="OKI213" s="1"/>
      <c r="OKJ213" s="1"/>
      <c r="OKK213" s="1"/>
      <c r="OKL213" s="1"/>
      <c r="OKM213" s="1"/>
      <c r="OKN213" s="1"/>
      <c r="OKO213" s="1"/>
      <c r="OKP213" s="1"/>
      <c r="OKQ213" s="1"/>
      <c r="OKR213" s="1"/>
      <c r="OKS213" s="1"/>
      <c r="OKT213" s="1"/>
      <c r="OKU213" s="1"/>
      <c r="OKV213" s="1"/>
      <c r="OKW213" s="1"/>
      <c r="OKX213" s="1"/>
      <c r="OKY213" s="1"/>
      <c r="OKZ213" s="1"/>
      <c r="OLA213" s="1"/>
      <c r="OLB213" s="1"/>
      <c r="OLC213" s="1"/>
      <c r="OLD213" s="1"/>
      <c r="OLE213" s="1"/>
      <c r="OLF213" s="1"/>
      <c r="OLG213" s="1"/>
      <c r="OLH213" s="1"/>
      <c r="OLI213" s="1"/>
      <c r="OLJ213" s="1"/>
      <c r="OLK213" s="1"/>
      <c r="OLL213" s="1"/>
      <c r="OLM213" s="1"/>
      <c r="OLN213" s="1"/>
      <c r="OLO213" s="1"/>
      <c r="OLP213" s="1"/>
      <c r="OLQ213" s="1"/>
      <c r="OLR213" s="1"/>
      <c r="OLS213" s="1"/>
      <c r="OLT213" s="1"/>
      <c r="OLU213" s="1"/>
      <c r="OLV213" s="1"/>
      <c r="OLW213" s="1"/>
      <c r="OLX213" s="1"/>
      <c r="OLY213" s="1"/>
      <c r="OLZ213" s="1"/>
      <c r="OMA213" s="1"/>
      <c r="OMB213" s="1"/>
      <c r="OMC213" s="1"/>
      <c r="OMD213" s="1"/>
      <c r="OME213" s="1"/>
      <c r="OMF213" s="1"/>
      <c r="OMG213" s="1"/>
      <c r="OMH213" s="1"/>
      <c r="OMI213" s="1"/>
      <c r="OMJ213" s="1"/>
      <c r="OMK213" s="1"/>
      <c r="OML213" s="1"/>
      <c r="OMM213" s="1"/>
      <c r="OMN213" s="1"/>
      <c r="OMO213" s="1"/>
      <c r="OMP213" s="1"/>
      <c r="OMQ213" s="1"/>
      <c r="OMR213" s="1"/>
      <c r="OMS213" s="1"/>
      <c r="OMT213" s="1"/>
      <c r="OMU213" s="1"/>
      <c r="OMV213" s="1"/>
      <c r="OMW213" s="1"/>
      <c r="OMX213" s="1"/>
      <c r="OMY213" s="1"/>
      <c r="OMZ213" s="1"/>
      <c r="ONA213" s="1"/>
      <c r="ONB213" s="1"/>
      <c r="ONC213" s="1"/>
      <c r="OND213" s="1"/>
      <c r="ONE213" s="1"/>
      <c r="ONF213" s="1"/>
      <c r="ONG213" s="1"/>
      <c r="ONH213" s="1"/>
      <c r="ONI213" s="1"/>
      <c r="ONJ213" s="1"/>
      <c r="ONK213" s="1"/>
      <c r="ONL213" s="1"/>
      <c r="ONM213" s="1"/>
      <c r="ONN213" s="1"/>
      <c r="ONO213" s="1"/>
      <c r="ONP213" s="1"/>
      <c r="ONQ213" s="1"/>
      <c r="ONR213" s="1"/>
      <c r="ONS213" s="1"/>
      <c r="ONT213" s="1"/>
      <c r="ONU213" s="1"/>
      <c r="ONV213" s="1"/>
      <c r="ONW213" s="1"/>
      <c r="ONX213" s="1"/>
      <c r="ONY213" s="1"/>
      <c r="ONZ213" s="1"/>
      <c r="OOA213" s="1"/>
      <c r="OOB213" s="1"/>
      <c r="OOC213" s="1"/>
      <c r="OOD213" s="1"/>
      <c r="OOE213" s="1"/>
      <c r="OOF213" s="1"/>
      <c r="OOG213" s="1"/>
      <c r="OOH213" s="1"/>
      <c r="OOI213" s="1"/>
      <c r="OOJ213" s="1"/>
      <c r="OOK213" s="1"/>
      <c r="OOL213" s="1"/>
      <c r="OOM213" s="1"/>
      <c r="OON213" s="1"/>
      <c r="OOO213" s="1"/>
      <c r="OOP213" s="1"/>
      <c r="OOQ213" s="1"/>
      <c r="OOR213" s="1"/>
      <c r="OOS213" s="1"/>
      <c r="OOT213" s="1"/>
      <c r="OOU213" s="1"/>
      <c r="OOV213" s="1"/>
      <c r="OOW213" s="1"/>
      <c r="OOX213" s="1"/>
      <c r="OOY213" s="1"/>
      <c r="OOZ213" s="1"/>
      <c r="OPA213" s="1"/>
      <c r="OPB213" s="1"/>
      <c r="OPC213" s="1"/>
      <c r="OPD213" s="1"/>
      <c r="OPE213" s="1"/>
      <c r="OPF213" s="1"/>
      <c r="OPG213" s="1"/>
      <c r="OPH213" s="1"/>
      <c r="OPI213" s="1"/>
      <c r="OPJ213" s="1"/>
      <c r="OPK213" s="1"/>
      <c r="OPL213" s="1"/>
      <c r="OPM213" s="1"/>
      <c r="OPN213" s="1"/>
      <c r="OPO213" s="1"/>
      <c r="OPP213" s="1"/>
      <c r="OPQ213" s="1"/>
      <c r="OPR213" s="1"/>
      <c r="OPS213" s="1"/>
      <c r="OPT213" s="1"/>
      <c r="OPU213" s="1"/>
      <c r="OPV213" s="1"/>
      <c r="OPW213" s="1"/>
      <c r="OPX213" s="1"/>
      <c r="OPY213" s="1"/>
      <c r="OPZ213" s="1"/>
      <c r="OQA213" s="1"/>
      <c r="OQB213" s="1"/>
      <c r="OQC213" s="1"/>
      <c r="OQD213" s="1"/>
      <c r="OQE213" s="1"/>
      <c r="OQF213" s="1"/>
      <c r="OQG213" s="1"/>
      <c r="OQH213" s="1"/>
      <c r="OQI213" s="1"/>
      <c r="OQJ213" s="1"/>
      <c r="OQK213" s="1"/>
      <c r="OQL213" s="1"/>
      <c r="OQM213" s="1"/>
      <c r="OQN213" s="1"/>
      <c r="OQO213" s="1"/>
      <c r="OQP213" s="1"/>
      <c r="OQQ213" s="1"/>
      <c r="OQR213" s="1"/>
      <c r="OQS213" s="1"/>
      <c r="OQT213" s="1"/>
      <c r="OQU213" s="1"/>
      <c r="OQV213" s="1"/>
      <c r="OQW213" s="1"/>
      <c r="OQX213" s="1"/>
      <c r="OQY213" s="1"/>
      <c r="OQZ213" s="1"/>
      <c r="ORA213" s="1"/>
      <c r="ORB213" s="1"/>
      <c r="ORC213" s="1"/>
      <c r="ORD213" s="1"/>
      <c r="ORE213" s="1"/>
      <c r="ORF213" s="1"/>
      <c r="ORG213" s="1"/>
      <c r="ORH213" s="1"/>
      <c r="ORI213" s="1"/>
      <c r="ORJ213" s="1"/>
      <c r="ORK213" s="1"/>
      <c r="ORL213" s="1"/>
      <c r="ORM213" s="1"/>
      <c r="ORN213" s="1"/>
      <c r="ORO213" s="1"/>
      <c r="ORP213" s="1"/>
      <c r="ORQ213" s="1"/>
      <c r="ORR213" s="1"/>
      <c r="ORS213" s="1"/>
      <c r="ORT213" s="1"/>
      <c r="ORU213" s="1"/>
      <c r="ORV213" s="1"/>
      <c r="ORW213" s="1"/>
      <c r="ORX213" s="1"/>
      <c r="ORY213" s="1"/>
      <c r="ORZ213" s="1"/>
      <c r="OSA213" s="1"/>
      <c r="OSB213" s="1"/>
      <c r="OSC213" s="1"/>
      <c r="OSD213" s="1"/>
      <c r="OSE213" s="1"/>
      <c r="OSF213" s="1"/>
      <c r="OSG213" s="1"/>
      <c r="OSH213" s="1"/>
      <c r="OSI213" s="1"/>
      <c r="OSJ213" s="1"/>
      <c r="OSK213" s="1"/>
      <c r="OSL213" s="1"/>
      <c r="OSM213" s="1"/>
      <c r="OSN213" s="1"/>
      <c r="OSO213" s="1"/>
      <c r="OSP213" s="1"/>
      <c r="OSQ213" s="1"/>
      <c r="OSR213" s="1"/>
      <c r="OSS213" s="1"/>
      <c r="OST213" s="1"/>
      <c r="OSU213" s="1"/>
      <c r="OSV213" s="1"/>
      <c r="OSW213" s="1"/>
      <c r="OSX213" s="1"/>
      <c r="OSY213" s="1"/>
      <c r="OSZ213" s="1"/>
      <c r="OTA213" s="1"/>
      <c r="OTB213" s="1"/>
      <c r="OTC213" s="1"/>
      <c r="OTD213" s="1"/>
      <c r="OTE213" s="1"/>
      <c r="OTF213" s="1"/>
      <c r="OTG213" s="1"/>
      <c r="OTH213" s="1"/>
      <c r="OTI213" s="1"/>
      <c r="OTJ213" s="1"/>
      <c r="OTK213" s="1"/>
      <c r="OTL213" s="1"/>
      <c r="OTM213" s="1"/>
      <c r="OTN213" s="1"/>
      <c r="OTO213" s="1"/>
      <c r="OTP213" s="1"/>
      <c r="OTQ213" s="1"/>
      <c r="OTR213" s="1"/>
      <c r="OTS213" s="1"/>
      <c r="OTT213" s="1"/>
      <c r="OTU213" s="1"/>
      <c r="OTV213" s="1"/>
      <c r="OTW213" s="1"/>
      <c r="OTX213" s="1"/>
      <c r="OTY213" s="1"/>
      <c r="OTZ213" s="1"/>
      <c r="OUA213" s="1"/>
      <c r="OUB213" s="1"/>
      <c r="OUC213" s="1"/>
      <c r="OUD213" s="1"/>
      <c r="OUE213" s="1"/>
      <c r="OUF213" s="1"/>
      <c r="OUG213" s="1"/>
      <c r="OUH213" s="1"/>
      <c r="OUI213" s="1"/>
      <c r="OUJ213" s="1"/>
      <c r="OUK213" s="1"/>
      <c r="OUL213" s="1"/>
      <c r="OUM213" s="1"/>
      <c r="OUN213" s="1"/>
      <c r="OUO213" s="1"/>
      <c r="OUP213" s="1"/>
      <c r="OUQ213" s="1"/>
      <c r="OUR213" s="1"/>
      <c r="OUS213" s="1"/>
      <c r="OUT213" s="1"/>
      <c r="OUU213" s="1"/>
      <c r="OUV213" s="1"/>
      <c r="OUW213" s="1"/>
      <c r="OUX213" s="1"/>
      <c r="OUY213" s="1"/>
      <c r="OUZ213" s="1"/>
      <c r="OVA213" s="1"/>
      <c r="OVB213" s="1"/>
      <c r="OVC213" s="1"/>
      <c r="OVD213" s="1"/>
      <c r="OVE213" s="1"/>
      <c r="OVF213" s="1"/>
      <c r="OVG213" s="1"/>
      <c r="OVH213" s="1"/>
      <c r="OVI213" s="1"/>
      <c r="OVJ213" s="1"/>
      <c r="OVK213" s="1"/>
      <c r="OVL213" s="1"/>
      <c r="OVM213" s="1"/>
      <c r="OVN213" s="1"/>
      <c r="OVO213" s="1"/>
      <c r="OVP213" s="1"/>
      <c r="OVQ213" s="1"/>
      <c r="OVR213" s="1"/>
      <c r="OVS213" s="1"/>
      <c r="OVT213" s="1"/>
      <c r="OVU213" s="1"/>
      <c r="OVV213" s="1"/>
      <c r="OVW213" s="1"/>
      <c r="OVX213" s="1"/>
      <c r="OVY213" s="1"/>
      <c r="OVZ213" s="1"/>
      <c r="OWA213" s="1"/>
      <c r="OWB213" s="1"/>
      <c r="OWC213" s="1"/>
      <c r="OWD213" s="1"/>
      <c r="OWE213" s="1"/>
      <c r="OWF213" s="1"/>
      <c r="OWG213" s="1"/>
      <c r="OWH213" s="1"/>
      <c r="OWI213" s="1"/>
      <c r="OWJ213" s="1"/>
      <c r="OWK213" s="1"/>
      <c r="OWL213" s="1"/>
      <c r="OWM213" s="1"/>
      <c r="OWN213" s="1"/>
      <c r="OWO213" s="1"/>
      <c r="OWP213" s="1"/>
      <c r="OWQ213" s="1"/>
      <c r="OWR213" s="1"/>
      <c r="OWS213" s="1"/>
      <c r="OWT213" s="1"/>
      <c r="OWU213" s="1"/>
      <c r="OWV213" s="1"/>
      <c r="OWW213" s="1"/>
      <c r="OWX213" s="1"/>
      <c r="OWY213" s="1"/>
      <c r="OWZ213" s="1"/>
      <c r="OXA213" s="1"/>
      <c r="OXB213" s="1"/>
      <c r="OXC213" s="1"/>
      <c r="OXD213" s="1"/>
      <c r="OXE213" s="1"/>
      <c r="OXF213" s="1"/>
      <c r="OXG213" s="1"/>
      <c r="OXH213" s="1"/>
      <c r="OXI213" s="1"/>
      <c r="OXJ213" s="1"/>
      <c r="OXK213" s="1"/>
      <c r="OXL213" s="1"/>
      <c r="OXM213" s="1"/>
      <c r="OXN213" s="1"/>
      <c r="OXO213" s="1"/>
      <c r="OXP213" s="1"/>
      <c r="OXQ213" s="1"/>
      <c r="OXR213" s="1"/>
      <c r="OXS213" s="1"/>
      <c r="OXT213" s="1"/>
      <c r="OXU213" s="1"/>
      <c r="OXV213" s="1"/>
      <c r="OXW213" s="1"/>
      <c r="OXX213" s="1"/>
      <c r="OXY213" s="1"/>
      <c r="OXZ213" s="1"/>
      <c r="OYA213" s="1"/>
      <c r="OYB213" s="1"/>
      <c r="OYC213" s="1"/>
      <c r="OYD213" s="1"/>
      <c r="OYE213" s="1"/>
      <c r="OYF213" s="1"/>
      <c r="OYG213" s="1"/>
      <c r="OYH213" s="1"/>
      <c r="OYI213" s="1"/>
      <c r="OYJ213" s="1"/>
      <c r="OYK213" s="1"/>
      <c r="OYL213" s="1"/>
      <c r="OYM213" s="1"/>
      <c r="OYN213" s="1"/>
      <c r="OYO213" s="1"/>
      <c r="OYP213" s="1"/>
      <c r="OYQ213" s="1"/>
      <c r="OYR213" s="1"/>
      <c r="OYS213" s="1"/>
      <c r="OYT213" s="1"/>
      <c r="OYU213" s="1"/>
      <c r="OYV213" s="1"/>
      <c r="OYW213" s="1"/>
      <c r="OYX213" s="1"/>
      <c r="OYY213" s="1"/>
      <c r="OYZ213" s="1"/>
      <c r="OZA213" s="1"/>
      <c r="OZB213" s="1"/>
      <c r="OZC213" s="1"/>
      <c r="OZD213" s="1"/>
      <c r="OZE213" s="1"/>
      <c r="OZF213" s="1"/>
      <c r="OZG213" s="1"/>
      <c r="OZH213" s="1"/>
      <c r="OZI213" s="1"/>
      <c r="OZJ213" s="1"/>
      <c r="OZK213" s="1"/>
      <c r="OZL213" s="1"/>
      <c r="OZM213" s="1"/>
      <c r="OZN213" s="1"/>
      <c r="OZO213" s="1"/>
      <c r="OZP213" s="1"/>
      <c r="OZQ213" s="1"/>
      <c r="OZR213" s="1"/>
      <c r="OZS213" s="1"/>
      <c r="OZT213" s="1"/>
      <c r="OZU213" s="1"/>
      <c r="OZV213" s="1"/>
      <c r="OZW213" s="1"/>
      <c r="OZX213" s="1"/>
      <c r="OZY213" s="1"/>
      <c r="OZZ213" s="1"/>
      <c r="PAA213" s="1"/>
      <c r="PAB213" s="1"/>
      <c r="PAC213" s="1"/>
      <c r="PAD213" s="1"/>
      <c r="PAE213" s="1"/>
      <c r="PAF213" s="1"/>
      <c r="PAG213" s="1"/>
      <c r="PAH213" s="1"/>
      <c r="PAI213" s="1"/>
      <c r="PAJ213" s="1"/>
      <c r="PAK213" s="1"/>
      <c r="PAL213" s="1"/>
      <c r="PAM213" s="1"/>
      <c r="PAN213" s="1"/>
      <c r="PAO213" s="1"/>
      <c r="PAP213" s="1"/>
      <c r="PAQ213" s="1"/>
      <c r="PAR213" s="1"/>
      <c r="PAS213" s="1"/>
      <c r="PAT213" s="1"/>
      <c r="PAU213" s="1"/>
      <c r="PAV213" s="1"/>
      <c r="PAW213" s="1"/>
      <c r="PAX213" s="1"/>
      <c r="PAY213" s="1"/>
      <c r="PAZ213" s="1"/>
      <c r="PBA213" s="1"/>
      <c r="PBB213" s="1"/>
      <c r="PBC213" s="1"/>
      <c r="PBD213" s="1"/>
      <c r="PBE213" s="1"/>
      <c r="PBF213" s="1"/>
      <c r="PBG213" s="1"/>
      <c r="PBH213" s="1"/>
      <c r="PBI213" s="1"/>
      <c r="PBJ213" s="1"/>
      <c r="PBK213" s="1"/>
      <c r="PBL213" s="1"/>
      <c r="PBM213" s="1"/>
      <c r="PBN213" s="1"/>
      <c r="PBO213" s="1"/>
      <c r="PBP213" s="1"/>
      <c r="PBQ213" s="1"/>
      <c r="PBR213" s="1"/>
      <c r="PBS213" s="1"/>
      <c r="PBT213" s="1"/>
      <c r="PBU213" s="1"/>
      <c r="PBV213" s="1"/>
      <c r="PBW213" s="1"/>
      <c r="PBX213" s="1"/>
      <c r="PBY213" s="1"/>
      <c r="PBZ213" s="1"/>
      <c r="PCA213" s="1"/>
      <c r="PCB213" s="1"/>
      <c r="PCC213" s="1"/>
      <c r="PCD213" s="1"/>
      <c r="PCE213" s="1"/>
      <c r="PCF213" s="1"/>
      <c r="PCG213" s="1"/>
      <c r="PCH213" s="1"/>
      <c r="PCI213" s="1"/>
      <c r="PCJ213" s="1"/>
      <c r="PCK213" s="1"/>
      <c r="PCL213" s="1"/>
      <c r="PCM213" s="1"/>
      <c r="PCN213" s="1"/>
      <c r="PCO213" s="1"/>
      <c r="PCP213" s="1"/>
      <c r="PCQ213" s="1"/>
      <c r="PCR213" s="1"/>
      <c r="PCS213" s="1"/>
      <c r="PCT213" s="1"/>
      <c r="PCU213" s="1"/>
      <c r="PCV213" s="1"/>
      <c r="PCW213" s="1"/>
      <c r="PCX213" s="1"/>
      <c r="PCY213" s="1"/>
      <c r="PCZ213" s="1"/>
      <c r="PDA213" s="1"/>
      <c r="PDB213" s="1"/>
      <c r="PDC213" s="1"/>
      <c r="PDD213" s="1"/>
      <c r="PDE213" s="1"/>
      <c r="PDF213" s="1"/>
      <c r="PDG213" s="1"/>
      <c r="PDH213" s="1"/>
      <c r="PDI213" s="1"/>
      <c r="PDJ213" s="1"/>
      <c r="PDK213" s="1"/>
      <c r="PDL213" s="1"/>
      <c r="PDM213" s="1"/>
      <c r="PDN213" s="1"/>
      <c r="PDO213" s="1"/>
      <c r="PDP213" s="1"/>
      <c r="PDQ213" s="1"/>
      <c r="PDR213" s="1"/>
      <c r="PDS213" s="1"/>
      <c r="PDT213" s="1"/>
      <c r="PDU213" s="1"/>
      <c r="PDV213" s="1"/>
      <c r="PDW213" s="1"/>
      <c r="PDX213" s="1"/>
      <c r="PDY213" s="1"/>
      <c r="PDZ213" s="1"/>
      <c r="PEA213" s="1"/>
      <c r="PEB213" s="1"/>
      <c r="PEC213" s="1"/>
      <c r="PED213" s="1"/>
      <c r="PEE213" s="1"/>
      <c r="PEF213" s="1"/>
      <c r="PEG213" s="1"/>
      <c r="PEH213" s="1"/>
      <c r="PEI213" s="1"/>
      <c r="PEJ213" s="1"/>
      <c r="PEK213" s="1"/>
      <c r="PEL213" s="1"/>
      <c r="PEM213" s="1"/>
      <c r="PEN213" s="1"/>
      <c r="PEO213" s="1"/>
      <c r="PEP213" s="1"/>
      <c r="PEQ213" s="1"/>
      <c r="PER213" s="1"/>
      <c r="PES213" s="1"/>
      <c r="PET213" s="1"/>
      <c r="PEU213" s="1"/>
      <c r="PEV213" s="1"/>
      <c r="PEW213" s="1"/>
      <c r="PEX213" s="1"/>
      <c r="PEY213" s="1"/>
      <c r="PEZ213" s="1"/>
      <c r="PFA213" s="1"/>
      <c r="PFB213" s="1"/>
      <c r="PFC213" s="1"/>
      <c r="PFD213" s="1"/>
      <c r="PFE213" s="1"/>
      <c r="PFF213" s="1"/>
      <c r="PFG213" s="1"/>
      <c r="PFH213" s="1"/>
      <c r="PFI213" s="1"/>
      <c r="PFJ213" s="1"/>
      <c r="PFK213" s="1"/>
      <c r="PFL213" s="1"/>
      <c r="PFM213" s="1"/>
      <c r="PFN213" s="1"/>
      <c r="PFO213" s="1"/>
      <c r="PFP213" s="1"/>
      <c r="PFQ213" s="1"/>
      <c r="PFR213" s="1"/>
      <c r="PFS213" s="1"/>
      <c r="PFT213" s="1"/>
      <c r="PFU213" s="1"/>
      <c r="PFV213" s="1"/>
      <c r="PFW213" s="1"/>
      <c r="PFX213" s="1"/>
      <c r="PFY213" s="1"/>
      <c r="PFZ213" s="1"/>
      <c r="PGA213" s="1"/>
      <c r="PGB213" s="1"/>
      <c r="PGC213" s="1"/>
      <c r="PGD213" s="1"/>
      <c r="PGE213" s="1"/>
      <c r="PGF213" s="1"/>
      <c r="PGG213" s="1"/>
      <c r="PGH213" s="1"/>
      <c r="PGI213" s="1"/>
      <c r="PGJ213" s="1"/>
      <c r="PGK213" s="1"/>
      <c r="PGL213" s="1"/>
      <c r="PGM213" s="1"/>
      <c r="PGN213" s="1"/>
      <c r="PGO213" s="1"/>
      <c r="PGP213" s="1"/>
      <c r="PGQ213" s="1"/>
      <c r="PGR213" s="1"/>
      <c r="PGS213" s="1"/>
      <c r="PGT213" s="1"/>
      <c r="PGU213" s="1"/>
      <c r="PGV213" s="1"/>
      <c r="PGW213" s="1"/>
      <c r="PGX213" s="1"/>
      <c r="PGY213" s="1"/>
      <c r="PGZ213" s="1"/>
      <c r="PHA213" s="1"/>
      <c r="PHB213" s="1"/>
      <c r="PHC213" s="1"/>
      <c r="PHD213" s="1"/>
      <c r="PHE213" s="1"/>
      <c r="PHF213" s="1"/>
      <c r="PHG213" s="1"/>
      <c r="PHH213" s="1"/>
      <c r="PHI213" s="1"/>
      <c r="PHJ213" s="1"/>
      <c r="PHK213" s="1"/>
      <c r="PHL213" s="1"/>
      <c r="PHM213" s="1"/>
      <c r="PHN213" s="1"/>
      <c r="PHO213" s="1"/>
      <c r="PHP213" s="1"/>
      <c r="PHQ213" s="1"/>
      <c r="PHR213" s="1"/>
      <c r="PHS213" s="1"/>
      <c r="PHT213" s="1"/>
      <c r="PHU213" s="1"/>
      <c r="PHV213" s="1"/>
      <c r="PHW213" s="1"/>
      <c r="PHX213" s="1"/>
      <c r="PHY213" s="1"/>
      <c r="PHZ213" s="1"/>
      <c r="PIA213" s="1"/>
      <c r="PIB213" s="1"/>
      <c r="PIC213" s="1"/>
      <c r="PID213" s="1"/>
      <c r="PIE213" s="1"/>
      <c r="PIF213" s="1"/>
      <c r="PIG213" s="1"/>
      <c r="PIH213" s="1"/>
      <c r="PII213" s="1"/>
      <c r="PIJ213" s="1"/>
      <c r="PIK213" s="1"/>
      <c r="PIL213" s="1"/>
      <c r="PIM213" s="1"/>
      <c r="PIN213" s="1"/>
      <c r="PIO213" s="1"/>
      <c r="PIP213" s="1"/>
      <c r="PIQ213" s="1"/>
      <c r="PIR213" s="1"/>
      <c r="PIS213" s="1"/>
      <c r="PIT213" s="1"/>
      <c r="PIU213" s="1"/>
      <c r="PIV213" s="1"/>
      <c r="PIW213" s="1"/>
      <c r="PIX213" s="1"/>
      <c r="PIY213" s="1"/>
      <c r="PIZ213" s="1"/>
      <c r="PJA213" s="1"/>
      <c r="PJB213" s="1"/>
      <c r="PJC213" s="1"/>
      <c r="PJD213" s="1"/>
      <c r="PJE213" s="1"/>
      <c r="PJF213" s="1"/>
      <c r="PJG213" s="1"/>
      <c r="PJH213" s="1"/>
      <c r="PJI213" s="1"/>
      <c r="PJJ213" s="1"/>
      <c r="PJK213" s="1"/>
      <c r="PJL213" s="1"/>
      <c r="PJM213" s="1"/>
      <c r="PJN213" s="1"/>
      <c r="PJO213" s="1"/>
      <c r="PJP213" s="1"/>
      <c r="PJQ213" s="1"/>
      <c r="PJR213" s="1"/>
      <c r="PJS213" s="1"/>
      <c r="PJT213" s="1"/>
      <c r="PJU213" s="1"/>
      <c r="PJV213" s="1"/>
      <c r="PJW213" s="1"/>
      <c r="PJX213" s="1"/>
      <c r="PJY213" s="1"/>
      <c r="PJZ213" s="1"/>
      <c r="PKA213" s="1"/>
      <c r="PKB213" s="1"/>
      <c r="PKC213" s="1"/>
      <c r="PKD213" s="1"/>
      <c r="PKE213" s="1"/>
      <c r="PKF213" s="1"/>
      <c r="PKG213" s="1"/>
      <c r="PKH213" s="1"/>
      <c r="PKI213" s="1"/>
      <c r="PKJ213" s="1"/>
      <c r="PKK213" s="1"/>
      <c r="PKL213" s="1"/>
      <c r="PKM213" s="1"/>
      <c r="PKN213" s="1"/>
      <c r="PKO213" s="1"/>
      <c r="PKP213" s="1"/>
      <c r="PKQ213" s="1"/>
      <c r="PKR213" s="1"/>
      <c r="PKS213" s="1"/>
      <c r="PKT213" s="1"/>
      <c r="PKU213" s="1"/>
      <c r="PKV213" s="1"/>
      <c r="PKW213" s="1"/>
      <c r="PKX213" s="1"/>
      <c r="PKY213" s="1"/>
      <c r="PKZ213" s="1"/>
      <c r="PLA213" s="1"/>
      <c r="PLB213" s="1"/>
      <c r="PLC213" s="1"/>
      <c r="PLD213" s="1"/>
      <c r="PLE213" s="1"/>
      <c r="PLF213" s="1"/>
      <c r="PLG213" s="1"/>
      <c r="PLH213" s="1"/>
      <c r="PLI213" s="1"/>
      <c r="PLJ213" s="1"/>
      <c r="PLK213" s="1"/>
      <c r="PLL213" s="1"/>
      <c r="PLM213" s="1"/>
      <c r="PLN213" s="1"/>
      <c r="PLO213" s="1"/>
      <c r="PLP213" s="1"/>
      <c r="PLQ213" s="1"/>
      <c r="PLR213" s="1"/>
      <c r="PLS213" s="1"/>
      <c r="PLT213" s="1"/>
      <c r="PLU213" s="1"/>
      <c r="PLV213" s="1"/>
      <c r="PLW213" s="1"/>
      <c r="PLX213" s="1"/>
      <c r="PLY213" s="1"/>
      <c r="PLZ213" s="1"/>
      <c r="PMA213" s="1"/>
      <c r="PMB213" s="1"/>
      <c r="PMC213" s="1"/>
      <c r="PMD213" s="1"/>
      <c r="PME213" s="1"/>
      <c r="PMF213" s="1"/>
      <c r="PMG213" s="1"/>
      <c r="PMH213" s="1"/>
      <c r="PMI213" s="1"/>
      <c r="PMJ213" s="1"/>
      <c r="PMK213" s="1"/>
      <c r="PML213" s="1"/>
      <c r="PMM213" s="1"/>
      <c r="PMN213" s="1"/>
      <c r="PMO213" s="1"/>
      <c r="PMP213" s="1"/>
      <c r="PMQ213" s="1"/>
      <c r="PMR213" s="1"/>
      <c r="PMS213" s="1"/>
      <c r="PMT213" s="1"/>
      <c r="PMU213" s="1"/>
      <c r="PMV213" s="1"/>
      <c r="PMW213" s="1"/>
      <c r="PMX213" s="1"/>
      <c r="PMY213" s="1"/>
      <c r="PMZ213" s="1"/>
      <c r="PNA213" s="1"/>
      <c r="PNB213" s="1"/>
      <c r="PNC213" s="1"/>
      <c r="PND213" s="1"/>
      <c r="PNE213" s="1"/>
      <c r="PNF213" s="1"/>
      <c r="PNG213" s="1"/>
      <c r="PNH213" s="1"/>
      <c r="PNI213" s="1"/>
      <c r="PNJ213" s="1"/>
      <c r="PNK213" s="1"/>
      <c r="PNL213" s="1"/>
      <c r="PNM213" s="1"/>
      <c r="PNN213" s="1"/>
      <c r="PNO213" s="1"/>
      <c r="PNP213" s="1"/>
      <c r="PNQ213" s="1"/>
      <c r="PNR213" s="1"/>
      <c r="PNS213" s="1"/>
      <c r="PNT213" s="1"/>
      <c r="PNU213" s="1"/>
      <c r="PNV213" s="1"/>
      <c r="PNW213" s="1"/>
      <c r="PNX213" s="1"/>
      <c r="PNY213" s="1"/>
      <c r="PNZ213" s="1"/>
      <c r="POA213" s="1"/>
      <c r="POB213" s="1"/>
      <c r="POC213" s="1"/>
      <c r="POD213" s="1"/>
      <c r="POE213" s="1"/>
      <c r="POF213" s="1"/>
      <c r="POG213" s="1"/>
      <c r="POH213" s="1"/>
      <c r="POI213" s="1"/>
      <c r="POJ213" s="1"/>
      <c r="POK213" s="1"/>
      <c r="POL213" s="1"/>
      <c r="POM213" s="1"/>
      <c r="PON213" s="1"/>
      <c r="POO213" s="1"/>
      <c r="POP213" s="1"/>
      <c r="POQ213" s="1"/>
      <c r="POR213" s="1"/>
      <c r="POS213" s="1"/>
      <c r="POT213" s="1"/>
      <c r="POU213" s="1"/>
      <c r="POV213" s="1"/>
      <c r="POW213" s="1"/>
      <c r="POX213" s="1"/>
      <c r="POY213" s="1"/>
      <c r="POZ213" s="1"/>
      <c r="PPA213" s="1"/>
      <c r="PPB213" s="1"/>
      <c r="PPC213" s="1"/>
      <c r="PPD213" s="1"/>
      <c r="PPE213" s="1"/>
      <c r="PPF213" s="1"/>
      <c r="PPG213" s="1"/>
      <c r="PPH213" s="1"/>
      <c r="PPI213" s="1"/>
      <c r="PPJ213" s="1"/>
      <c r="PPK213" s="1"/>
      <c r="PPL213" s="1"/>
      <c r="PPM213" s="1"/>
      <c r="PPN213" s="1"/>
      <c r="PPO213" s="1"/>
      <c r="PPP213" s="1"/>
      <c r="PPQ213" s="1"/>
      <c r="PPR213" s="1"/>
      <c r="PPS213" s="1"/>
      <c r="PPT213" s="1"/>
      <c r="PPU213" s="1"/>
      <c r="PPV213" s="1"/>
      <c r="PPW213" s="1"/>
      <c r="PPX213" s="1"/>
      <c r="PPY213" s="1"/>
      <c r="PPZ213" s="1"/>
      <c r="PQA213" s="1"/>
      <c r="PQB213" s="1"/>
      <c r="PQC213" s="1"/>
      <c r="PQD213" s="1"/>
      <c r="PQE213" s="1"/>
      <c r="PQF213" s="1"/>
      <c r="PQG213" s="1"/>
      <c r="PQH213" s="1"/>
      <c r="PQI213" s="1"/>
      <c r="PQJ213" s="1"/>
      <c r="PQK213" s="1"/>
      <c r="PQL213" s="1"/>
      <c r="PQM213" s="1"/>
      <c r="PQN213" s="1"/>
      <c r="PQO213" s="1"/>
      <c r="PQP213" s="1"/>
      <c r="PQQ213" s="1"/>
      <c r="PQR213" s="1"/>
      <c r="PQS213" s="1"/>
      <c r="PQT213" s="1"/>
      <c r="PQU213" s="1"/>
      <c r="PQV213" s="1"/>
      <c r="PQW213" s="1"/>
      <c r="PQX213" s="1"/>
      <c r="PQY213" s="1"/>
      <c r="PQZ213" s="1"/>
      <c r="PRA213" s="1"/>
      <c r="PRB213" s="1"/>
      <c r="PRC213" s="1"/>
      <c r="PRD213" s="1"/>
      <c r="PRE213" s="1"/>
      <c r="PRF213" s="1"/>
      <c r="PRG213" s="1"/>
      <c r="PRH213" s="1"/>
      <c r="PRI213" s="1"/>
      <c r="PRJ213" s="1"/>
      <c r="PRK213" s="1"/>
      <c r="PRL213" s="1"/>
      <c r="PRM213" s="1"/>
      <c r="PRN213" s="1"/>
      <c r="PRO213" s="1"/>
      <c r="PRP213" s="1"/>
      <c r="PRQ213" s="1"/>
      <c r="PRR213" s="1"/>
      <c r="PRS213" s="1"/>
      <c r="PRT213" s="1"/>
      <c r="PRU213" s="1"/>
      <c r="PRV213" s="1"/>
      <c r="PRW213" s="1"/>
      <c r="PRX213" s="1"/>
      <c r="PRY213" s="1"/>
      <c r="PRZ213" s="1"/>
      <c r="PSA213" s="1"/>
      <c r="PSB213" s="1"/>
      <c r="PSC213" s="1"/>
      <c r="PSD213" s="1"/>
      <c r="PSE213" s="1"/>
      <c r="PSF213" s="1"/>
      <c r="PSG213" s="1"/>
      <c r="PSH213" s="1"/>
      <c r="PSI213" s="1"/>
      <c r="PSJ213" s="1"/>
      <c r="PSK213" s="1"/>
      <c r="PSL213" s="1"/>
      <c r="PSM213" s="1"/>
      <c r="PSN213" s="1"/>
      <c r="PSO213" s="1"/>
      <c r="PSP213" s="1"/>
      <c r="PSQ213" s="1"/>
      <c r="PSR213" s="1"/>
      <c r="PSS213" s="1"/>
      <c r="PST213" s="1"/>
      <c r="PSU213" s="1"/>
      <c r="PSV213" s="1"/>
      <c r="PSW213" s="1"/>
      <c r="PSX213" s="1"/>
      <c r="PSY213" s="1"/>
      <c r="PSZ213" s="1"/>
      <c r="PTA213" s="1"/>
      <c r="PTB213" s="1"/>
      <c r="PTC213" s="1"/>
      <c r="PTD213" s="1"/>
      <c r="PTE213" s="1"/>
      <c r="PTF213" s="1"/>
      <c r="PTG213" s="1"/>
      <c r="PTH213" s="1"/>
      <c r="PTI213" s="1"/>
      <c r="PTJ213" s="1"/>
      <c r="PTK213" s="1"/>
      <c r="PTL213" s="1"/>
      <c r="PTM213" s="1"/>
      <c r="PTN213" s="1"/>
      <c r="PTO213" s="1"/>
      <c r="PTP213" s="1"/>
      <c r="PTQ213" s="1"/>
      <c r="PTR213" s="1"/>
      <c r="PTS213" s="1"/>
      <c r="PTT213" s="1"/>
      <c r="PTU213" s="1"/>
      <c r="PTV213" s="1"/>
      <c r="PTW213" s="1"/>
      <c r="PTX213" s="1"/>
      <c r="PTY213" s="1"/>
      <c r="PTZ213" s="1"/>
      <c r="PUA213" s="1"/>
      <c r="PUB213" s="1"/>
      <c r="PUC213" s="1"/>
      <c r="PUD213" s="1"/>
      <c r="PUE213" s="1"/>
      <c r="PUF213" s="1"/>
      <c r="PUG213" s="1"/>
      <c r="PUH213" s="1"/>
      <c r="PUI213" s="1"/>
      <c r="PUJ213" s="1"/>
      <c r="PUK213" s="1"/>
      <c r="PUL213" s="1"/>
      <c r="PUM213" s="1"/>
      <c r="PUN213" s="1"/>
      <c r="PUO213" s="1"/>
      <c r="PUP213" s="1"/>
      <c r="PUQ213" s="1"/>
      <c r="PUR213" s="1"/>
      <c r="PUS213" s="1"/>
      <c r="PUT213" s="1"/>
      <c r="PUU213" s="1"/>
      <c r="PUV213" s="1"/>
      <c r="PUW213" s="1"/>
      <c r="PUX213" s="1"/>
      <c r="PUY213" s="1"/>
      <c r="PUZ213" s="1"/>
      <c r="PVA213" s="1"/>
      <c r="PVB213" s="1"/>
      <c r="PVC213" s="1"/>
      <c r="PVD213" s="1"/>
      <c r="PVE213" s="1"/>
      <c r="PVF213" s="1"/>
      <c r="PVG213" s="1"/>
      <c r="PVH213" s="1"/>
      <c r="PVI213" s="1"/>
      <c r="PVJ213" s="1"/>
      <c r="PVK213" s="1"/>
      <c r="PVL213" s="1"/>
      <c r="PVM213" s="1"/>
      <c r="PVN213" s="1"/>
      <c r="PVO213" s="1"/>
      <c r="PVP213" s="1"/>
      <c r="PVQ213" s="1"/>
      <c r="PVR213" s="1"/>
      <c r="PVS213" s="1"/>
      <c r="PVT213" s="1"/>
      <c r="PVU213" s="1"/>
      <c r="PVV213" s="1"/>
      <c r="PVW213" s="1"/>
      <c r="PVX213" s="1"/>
      <c r="PVY213" s="1"/>
      <c r="PVZ213" s="1"/>
      <c r="PWA213" s="1"/>
      <c r="PWB213" s="1"/>
      <c r="PWC213" s="1"/>
      <c r="PWD213" s="1"/>
      <c r="PWE213" s="1"/>
      <c r="PWF213" s="1"/>
      <c r="PWG213" s="1"/>
      <c r="PWH213" s="1"/>
      <c r="PWI213" s="1"/>
      <c r="PWJ213" s="1"/>
      <c r="PWK213" s="1"/>
      <c r="PWL213" s="1"/>
      <c r="PWM213" s="1"/>
      <c r="PWN213" s="1"/>
      <c r="PWO213" s="1"/>
      <c r="PWP213" s="1"/>
      <c r="PWQ213" s="1"/>
      <c r="PWR213" s="1"/>
      <c r="PWS213" s="1"/>
      <c r="PWT213" s="1"/>
      <c r="PWU213" s="1"/>
      <c r="PWV213" s="1"/>
      <c r="PWW213" s="1"/>
      <c r="PWX213" s="1"/>
      <c r="PWY213" s="1"/>
      <c r="PWZ213" s="1"/>
      <c r="PXA213" s="1"/>
      <c r="PXB213" s="1"/>
      <c r="PXC213" s="1"/>
      <c r="PXD213" s="1"/>
      <c r="PXE213" s="1"/>
      <c r="PXF213" s="1"/>
      <c r="PXG213" s="1"/>
      <c r="PXH213" s="1"/>
      <c r="PXI213" s="1"/>
      <c r="PXJ213" s="1"/>
      <c r="PXK213" s="1"/>
      <c r="PXL213" s="1"/>
      <c r="PXM213" s="1"/>
      <c r="PXN213" s="1"/>
      <c r="PXO213" s="1"/>
      <c r="PXP213" s="1"/>
      <c r="PXQ213" s="1"/>
      <c r="PXR213" s="1"/>
      <c r="PXS213" s="1"/>
      <c r="PXT213" s="1"/>
      <c r="PXU213" s="1"/>
      <c r="PXV213" s="1"/>
      <c r="PXW213" s="1"/>
      <c r="PXX213" s="1"/>
      <c r="PXY213" s="1"/>
      <c r="PXZ213" s="1"/>
      <c r="PYA213" s="1"/>
      <c r="PYB213" s="1"/>
      <c r="PYC213" s="1"/>
      <c r="PYD213" s="1"/>
      <c r="PYE213" s="1"/>
      <c r="PYF213" s="1"/>
      <c r="PYG213" s="1"/>
      <c r="PYH213" s="1"/>
      <c r="PYI213" s="1"/>
      <c r="PYJ213" s="1"/>
      <c r="PYK213" s="1"/>
      <c r="PYL213" s="1"/>
      <c r="PYM213" s="1"/>
      <c r="PYN213" s="1"/>
      <c r="PYO213" s="1"/>
      <c r="PYP213" s="1"/>
      <c r="PYQ213" s="1"/>
      <c r="PYR213" s="1"/>
      <c r="PYS213" s="1"/>
      <c r="PYT213" s="1"/>
      <c r="PYU213" s="1"/>
      <c r="PYV213" s="1"/>
      <c r="PYW213" s="1"/>
      <c r="PYX213" s="1"/>
      <c r="PYY213" s="1"/>
      <c r="PYZ213" s="1"/>
      <c r="PZA213" s="1"/>
      <c r="PZB213" s="1"/>
      <c r="PZC213" s="1"/>
      <c r="PZD213" s="1"/>
      <c r="PZE213" s="1"/>
      <c r="PZF213" s="1"/>
      <c r="PZG213" s="1"/>
      <c r="PZH213" s="1"/>
      <c r="PZI213" s="1"/>
      <c r="PZJ213" s="1"/>
      <c r="PZK213" s="1"/>
      <c r="PZL213" s="1"/>
      <c r="PZM213" s="1"/>
      <c r="PZN213" s="1"/>
      <c r="PZO213" s="1"/>
      <c r="PZP213" s="1"/>
      <c r="PZQ213" s="1"/>
      <c r="PZR213" s="1"/>
      <c r="PZS213" s="1"/>
      <c r="PZT213" s="1"/>
      <c r="PZU213" s="1"/>
      <c r="PZV213" s="1"/>
      <c r="PZW213" s="1"/>
      <c r="PZX213" s="1"/>
      <c r="PZY213" s="1"/>
      <c r="PZZ213" s="1"/>
      <c r="QAA213" s="1"/>
      <c r="QAB213" s="1"/>
      <c r="QAC213" s="1"/>
      <c r="QAD213" s="1"/>
      <c r="QAE213" s="1"/>
      <c r="QAF213" s="1"/>
      <c r="QAG213" s="1"/>
      <c r="QAH213" s="1"/>
      <c r="QAI213" s="1"/>
      <c r="QAJ213" s="1"/>
      <c r="QAK213" s="1"/>
      <c r="QAL213" s="1"/>
      <c r="QAM213" s="1"/>
      <c r="QAN213" s="1"/>
      <c r="QAO213" s="1"/>
      <c r="QAP213" s="1"/>
      <c r="QAQ213" s="1"/>
      <c r="QAR213" s="1"/>
      <c r="QAS213" s="1"/>
      <c r="QAT213" s="1"/>
      <c r="QAU213" s="1"/>
      <c r="QAV213" s="1"/>
      <c r="QAW213" s="1"/>
      <c r="QAX213" s="1"/>
      <c r="QAY213" s="1"/>
      <c r="QAZ213" s="1"/>
      <c r="QBA213" s="1"/>
      <c r="QBB213" s="1"/>
      <c r="QBC213" s="1"/>
      <c r="QBD213" s="1"/>
      <c r="QBE213" s="1"/>
      <c r="QBF213" s="1"/>
      <c r="QBG213" s="1"/>
      <c r="QBH213" s="1"/>
      <c r="QBI213" s="1"/>
      <c r="QBJ213" s="1"/>
      <c r="QBK213" s="1"/>
      <c r="QBL213" s="1"/>
      <c r="QBM213" s="1"/>
      <c r="QBN213" s="1"/>
      <c r="QBO213" s="1"/>
      <c r="QBP213" s="1"/>
      <c r="QBQ213" s="1"/>
      <c r="QBR213" s="1"/>
      <c r="QBS213" s="1"/>
      <c r="QBT213" s="1"/>
      <c r="QBU213" s="1"/>
      <c r="QBV213" s="1"/>
      <c r="QBW213" s="1"/>
      <c r="QBX213" s="1"/>
      <c r="QBY213" s="1"/>
      <c r="QBZ213" s="1"/>
      <c r="QCA213" s="1"/>
      <c r="QCB213" s="1"/>
      <c r="QCC213" s="1"/>
      <c r="QCD213" s="1"/>
      <c r="QCE213" s="1"/>
      <c r="QCF213" s="1"/>
      <c r="QCG213" s="1"/>
      <c r="QCH213" s="1"/>
      <c r="QCI213" s="1"/>
      <c r="QCJ213" s="1"/>
      <c r="QCK213" s="1"/>
      <c r="QCL213" s="1"/>
      <c r="QCM213" s="1"/>
      <c r="QCN213" s="1"/>
      <c r="QCO213" s="1"/>
      <c r="QCP213" s="1"/>
      <c r="QCQ213" s="1"/>
      <c r="QCR213" s="1"/>
      <c r="QCS213" s="1"/>
      <c r="QCT213" s="1"/>
      <c r="QCU213" s="1"/>
      <c r="QCV213" s="1"/>
      <c r="QCW213" s="1"/>
      <c r="QCX213" s="1"/>
      <c r="QCY213" s="1"/>
      <c r="QCZ213" s="1"/>
      <c r="QDA213" s="1"/>
      <c r="QDB213" s="1"/>
      <c r="QDC213" s="1"/>
      <c r="QDD213" s="1"/>
      <c r="QDE213" s="1"/>
      <c r="QDF213" s="1"/>
      <c r="QDG213" s="1"/>
      <c r="QDH213" s="1"/>
      <c r="QDI213" s="1"/>
      <c r="QDJ213" s="1"/>
      <c r="QDK213" s="1"/>
      <c r="QDL213" s="1"/>
      <c r="QDM213" s="1"/>
      <c r="QDN213" s="1"/>
      <c r="QDO213" s="1"/>
      <c r="QDP213" s="1"/>
      <c r="QDQ213" s="1"/>
      <c r="QDR213" s="1"/>
      <c r="QDS213" s="1"/>
      <c r="QDT213" s="1"/>
      <c r="QDU213" s="1"/>
      <c r="QDV213" s="1"/>
      <c r="QDW213" s="1"/>
      <c r="QDX213" s="1"/>
      <c r="QDY213" s="1"/>
      <c r="QDZ213" s="1"/>
      <c r="QEA213" s="1"/>
      <c r="QEB213" s="1"/>
      <c r="QEC213" s="1"/>
      <c r="QED213" s="1"/>
      <c r="QEE213" s="1"/>
      <c r="QEF213" s="1"/>
      <c r="QEG213" s="1"/>
      <c r="QEH213" s="1"/>
      <c r="QEI213" s="1"/>
      <c r="QEJ213" s="1"/>
      <c r="QEK213" s="1"/>
      <c r="QEL213" s="1"/>
      <c r="QEM213" s="1"/>
      <c r="QEN213" s="1"/>
      <c r="QEO213" s="1"/>
      <c r="QEP213" s="1"/>
      <c r="QEQ213" s="1"/>
      <c r="QER213" s="1"/>
      <c r="QES213" s="1"/>
      <c r="QET213" s="1"/>
      <c r="QEU213" s="1"/>
      <c r="QEV213" s="1"/>
      <c r="QEW213" s="1"/>
      <c r="QEX213" s="1"/>
      <c r="QEY213" s="1"/>
      <c r="QEZ213" s="1"/>
      <c r="QFA213" s="1"/>
      <c r="QFB213" s="1"/>
      <c r="QFC213" s="1"/>
      <c r="QFD213" s="1"/>
      <c r="QFE213" s="1"/>
      <c r="QFF213" s="1"/>
      <c r="QFG213" s="1"/>
      <c r="QFH213" s="1"/>
      <c r="QFI213" s="1"/>
      <c r="QFJ213" s="1"/>
      <c r="QFK213" s="1"/>
      <c r="QFL213" s="1"/>
      <c r="QFM213" s="1"/>
      <c r="QFN213" s="1"/>
      <c r="QFO213" s="1"/>
      <c r="QFP213" s="1"/>
      <c r="QFQ213" s="1"/>
      <c r="QFR213" s="1"/>
      <c r="QFS213" s="1"/>
      <c r="QFT213" s="1"/>
      <c r="QFU213" s="1"/>
      <c r="QFV213" s="1"/>
      <c r="QFW213" s="1"/>
      <c r="QFX213" s="1"/>
      <c r="QFY213" s="1"/>
      <c r="QFZ213" s="1"/>
      <c r="QGA213" s="1"/>
      <c r="QGB213" s="1"/>
      <c r="QGC213" s="1"/>
      <c r="QGD213" s="1"/>
      <c r="QGE213" s="1"/>
      <c r="QGF213" s="1"/>
      <c r="QGG213" s="1"/>
      <c r="QGH213" s="1"/>
      <c r="QGI213" s="1"/>
      <c r="QGJ213" s="1"/>
      <c r="QGK213" s="1"/>
      <c r="QGL213" s="1"/>
      <c r="QGM213" s="1"/>
      <c r="QGN213" s="1"/>
      <c r="QGO213" s="1"/>
      <c r="QGP213" s="1"/>
      <c r="QGQ213" s="1"/>
      <c r="QGR213" s="1"/>
      <c r="QGS213" s="1"/>
      <c r="QGT213" s="1"/>
      <c r="QGU213" s="1"/>
      <c r="QGV213" s="1"/>
      <c r="QGW213" s="1"/>
      <c r="QGX213" s="1"/>
      <c r="QGY213" s="1"/>
      <c r="QGZ213" s="1"/>
      <c r="QHA213" s="1"/>
      <c r="QHB213" s="1"/>
      <c r="QHC213" s="1"/>
      <c r="QHD213" s="1"/>
      <c r="QHE213" s="1"/>
      <c r="QHF213" s="1"/>
      <c r="QHG213" s="1"/>
      <c r="QHH213" s="1"/>
      <c r="QHI213" s="1"/>
      <c r="QHJ213" s="1"/>
      <c r="QHK213" s="1"/>
      <c r="QHL213" s="1"/>
      <c r="QHM213" s="1"/>
      <c r="QHN213" s="1"/>
      <c r="QHO213" s="1"/>
      <c r="QHP213" s="1"/>
      <c r="QHQ213" s="1"/>
      <c r="QHR213" s="1"/>
      <c r="QHS213" s="1"/>
      <c r="QHT213" s="1"/>
      <c r="QHU213" s="1"/>
      <c r="QHV213" s="1"/>
      <c r="QHW213" s="1"/>
      <c r="QHX213" s="1"/>
      <c r="QHY213" s="1"/>
      <c r="QHZ213" s="1"/>
      <c r="QIA213" s="1"/>
      <c r="QIB213" s="1"/>
      <c r="QIC213" s="1"/>
      <c r="QID213" s="1"/>
      <c r="QIE213" s="1"/>
      <c r="QIF213" s="1"/>
      <c r="QIG213" s="1"/>
      <c r="QIH213" s="1"/>
      <c r="QII213" s="1"/>
      <c r="QIJ213" s="1"/>
      <c r="QIK213" s="1"/>
      <c r="QIL213" s="1"/>
      <c r="QIM213" s="1"/>
      <c r="QIN213" s="1"/>
      <c r="QIO213" s="1"/>
      <c r="QIP213" s="1"/>
      <c r="QIQ213" s="1"/>
      <c r="QIR213" s="1"/>
      <c r="QIS213" s="1"/>
      <c r="QIT213" s="1"/>
      <c r="QIU213" s="1"/>
      <c r="QIV213" s="1"/>
      <c r="QIW213" s="1"/>
      <c r="QIX213" s="1"/>
      <c r="QIY213" s="1"/>
      <c r="QIZ213" s="1"/>
      <c r="QJA213" s="1"/>
      <c r="QJB213" s="1"/>
      <c r="QJC213" s="1"/>
      <c r="QJD213" s="1"/>
      <c r="QJE213" s="1"/>
      <c r="QJF213" s="1"/>
      <c r="QJG213" s="1"/>
      <c r="QJH213" s="1"/>
      <c r="QJI213" s="1"/>
      <c r="QJJ213" s="1"/>
      <c r="QJK213" s="1"/>
      <c r="QJL213" s="1"/>
      <c r="QJM213" s="1"/>
      <c r="QJN213" s="1"/>
      <c r="QJO213" s="1"/>
      <c r="QJP213" s="1"/>
      <c r="QJQ213" s="1"/>
      <c r="QJR213" s="1"/>
      <c r="QJS213" s="1"/>
      <c r="QJT213" s="1"/>
      <c r="QJU213" s="1"/>
      <c r="QJV213" s="1"/>
      <c r="QJW213" s="1"/>
      <c r="QJX213" s="1"/>
      <c r="QJY213" s="1"/>
      <c r="QJZ213" s="1"/>
      <c r="QKA213" s="1"/>
      <c r="QKB213" s="1"/>
      <c r="QKC213" s="1"/>
      <c r="QKD213" s="1"/>
      <c r="QKE213" s="1"/>
      <c r="QKF213" s="1"/>
      <c r="QKG213" s="1"/>
      <c r="QKH213" s="1"/>
      <c r="QKI213" s="1"/>
      <c r="QKJ213" s="1"/>
      <c r="QKK213" s="1"/>
      <c r="QKL213" s="1"/>
      <c r="QKM213" s="1"/>
      <c r="QKN213" s="1"/>
      <c r="QKO213" s="1"/>
      <c r="QKP213" s="1"/>
      <c r="QKQ213" s="1"/>
      <c r="QKR213" s="1"/>
      <c r="QKS213" s="1"/>
      <c r="QKT213" s="1"/>
      <c r="QKU213" s="1"/>
      <c r="QKV213" s="1"/>
      <c r="QKW213" s="1"/>
      <c r="QKX213" s="1"/>
      <c r="QKY213" s="1"/>
      <c r="QKZ213" s="1"/>
      <c r="QLA213" s="1"/>
      <c r="QLB213" s="1"/>
      <c r="QLC213" s="1"/>
      <c r="QLD213" s="1"/>
      <c r="QLE213" s="1"/>
      <c r="QLF213" s="1"/>
      <c r="QLG213" s="1"/>
      <c r="QLH213" s="1"/>
      <c r="QLI213" s="1"/>
      <c r="QLJ213" s="1"/>
      <c r="QLK213" s="1"/>
      <c r="QLL213" s="1"/>
      <c r="QLM213" s="1"/>
      <c r="QLN213" s="1"/>
      <c r="QLO213" s="1"/>
      <c r="QLP213" s="1"/>
      <c r="QLQ213" s="1"/>
      <c r="QLR213" s="1"/>
      <c r="QLS213" s="1"/>
      <c r="QLT213" s="1"/>
      <c r="QLU213" s="1"/>
      <c r="QLV213" s="1"/>
      <c r="QLW213" s="1"/>
      <c r="QLX213" s="1"/>
      <c r="QLY213" s="1"/>
      <c r="QLZ213" s="1"/>
      <c r="QMA213" s="1"/>
      <c r="QMB213" s="1"/>
      <c r="QMC213" s="1"/>
      <c r="QMD213" s="1"/>
      <c r="QME213" s="1"/>
      <c r="QMF213" s="1"/>
      <c r="QMG213" s="1"/>
      <c r="QMH213" s="1"/>
      <c r="QMI213" s="1"/>
      <c r="QMJ213" s="1"/>
      <c r="QMK213" s="1"/>
      <c r="QML213" s="1"/>
      <c r="QMM213" s="1"/>
      <c r="QMN213" s="1"/>
      <c r="QMO213" s="1"/>
      <c r="QMP213" s="1"/>
      <c r="QMQ213" s="1"/>
      <c r="QMR213" s="1"/>
      <c r="QMS213" s="1"/>
      <c r="QMT213" s="1"/>
      <c r="QMU213" s="1"/>
      <c r="QMV213" s="1"/>
      <c r="QMW213" s="1"/>
      <c r="QMX213" s="1"/>
      <c r="QMY213" s="1"/>
      <c r="QMZ213" s="1"/>
      <c r="QNA213" s="1"/>
      <c r="QNB213" s="1"/>
      <c r="QNC213" s="1"/>
      <c r="QND213" s="1"/>
      <c r="QNE213" s="1"/>
      <c r="QNF213" s="1"/>
      <c r="QNG213" s="1"/>
      <c r="QNH213" s="1"/>
      <c r="QNI213" s="1"/>
      <c r="QNJ213" s="1"/>
      <c r="QNK213" s="1"/>
      <c r="QNL213" s="1"/>
      <c r="QNM213" s="1"/>
      <c r="QNN213" s="1"/>
      <c r="QNO213" s="1"/>
      <c r="QNP213" s="1"/>
      <c r="QNQ213" s="1"/>
      <c r="QNR213" s="1"/>
      <c r="QNS213" s="1"/>
      <c r="QNT213" s="1"/>
      <c r="QNU213" s="1"/>
      <c r="QNV213" s="1"/>
      <c r="QNW213" s="1"/>
      <c r="QNX213" s="1"/>
      <c r="QNY213" s="1"/>
      <c r="QNZ213" s="1"/>
      <c r="QOA213" s="1"/>
      <c r="QOB213" s="1"/>
      <c r="QOC213" s="1"/>
      <c r="QOD213" s="1"/>
      <c r="QOE213" s="1"/>
      <c r="QOF213" s="1"/>
      <c r="QOG213" s="1"/>
      <c r="QOH213" s="1"/>
      <c r="QOI213" s="1"/>
      <c r="QOJ213" s="1"/>
      <c r="QOK213" s="1"/>
      <c r="QOL213" s="1"/>
      <c r="QOM213" s="1"/>
      <c r="QON213" s="1"/>
      <c r="QOO213" s="1"/>
      <c r="QOP213" s="1"/>
      <c r="QOQ213" s="1"/>
      <c r="QOR213" s="1"/>
      <c r="QOS213" s="1"/>
      <c r="QOT213" s="1"/>
      <c r="QOU213" s="1"/>
      <c r="QOV213" s="1"/>
      <c r="QOW213" s="1"/>
      <c r="QOX213" s="1"/>
      <c r="QOY213" s="1"/>
      <c r="QOZ213" s="1"/>
      <c r="QPA213" s="1"/>
      <c r="QPB213" s="1"/>
      <c r="QPC213" s="1"/>
      <c r="QPD213" s="1"/>
      <c r="QPE213" s="1"/>
      <c r="QPF213" s="1"/>
      <c r="QPG213" s="1"/>
      <c r="QPH213" s="1"/>
      <c r="QPI213" s="1"/>
      <c r="QPJ213" s="1"/>
      <c r="QPK213" s="1"/>
      <c r="QPL213" s="1"/>
      <c r="QPM213" s="1"/>
      <c r="QPN213" s="1"/>
      <c r="QPO213" s="1"/>
      <c r="QPP213" s="1"/>
      <c r="QPQ213" s="1"/>
      <c r="QPR213" s="1"/>
      <c r="QPS213" s="1"/>
      <c r="QPT213" s="1"/>
      <c r="QPU213" s="1"/>
      <c r="QPV213" s="1"/>
      <c r="QPW213" s="1"/>
      <c r="QPX213" s="1"/>
      <c r="QPY213" s="1"/>
      <c r="QPZ213" s="1"/>
      <c r="QQA213" s="1"/>
      <c r="QQB213" s="1"/>
      <c r="QQC213" s="1"/>
      <c r="QQD213" s="1"/>
      <c r="QQE213" s="1"/>
      <c r="QQF213" s="1"/>
      <c r="QQG213" s="1"/>
      <c r="QQH213" s="1"/>
      <c r="QQI213" s="1"/>
      <c r="QQJ213" s="1"/>
      <c r="QQK213" s="1"/>
      <c r="QQL213" s="1"/>
      <c r="QQM213" s="1"/>
      <c r="QQN213" s="1"/>
      <c r="QQO213" s="1"/>
      <c r="QQP213" s="1"/>
      <c r="QQQ213" s="1"/>
      <c r="QQR213" s="1"/>
      <c r="QQS213" s="1"/>
      <c r="QQT213" s="1"/>
      <c r="QQU213" s="1"/>
      <c r="QQV213" s="1"/>
      <c r="QQW213" s="1"/>
      <c r="QQX213" s="1"/>
      <c r="QQY213" s="1"/>
      <c r="QQZ213" s="1"/>
      <c r="QRA213" s="1"/>
      <c r="QRB213" s="1"/>
      <c r="QRC213" s="1"/>
      <c r="QRD213" s="1"/>
      <c r="QRE213" s="1"/>
      <c r="QRF213" s="1"/>
      <c r="QRG213" s="1"/>
      <c r="QRH213" s="1"/>
      <c r="QRI213" s="1"/>
      <c r="QRJ213" s="1"/>
      <c r="QRK213" s="1"/>
      <c r="QRL213" s="1"/>
      <c r="QRM213" s="1"/>
      <c r="QRN213" s="1"/>
      <c r="QRO213" s="1"/>
      <c r="QRP213" s="1"/>
      <c r="QRQ213" s="1"/>
      <c r="QRR213" s="1"/>
      <c r="QRS213" s="1"/>
      <c r="QRT213" s="1"/>
      <c r="QRU213" s="1"/>
      <c r="QRV213" s="1"/>
      <c r="QRW213" s="1"/>
      <c r="QRX213" s="1"/>
      <c r="QRY213" s="1"/>
      <c r="QRZ213" s="1"/>
      <c r="QSA213" s="1"/>
      <c r="QSB213" s="1"/>
      <c r="QSC213" s="1"/>
      <c r="QSD213" s="1"/>
      <c r="QSE213" s="1"/>
      <c r="QSF213" s="1"/>
      <c r="QSG213" s="1"/>
      <c r="QSH213" s="1"/>
      <c r="QSI213" s="1"/>
      <c r="QSJ213" s="1"/>
      <c r="QSK213" s="1"/>
      <c r="QSL213" s="1"/>
      <c r="QSM213" s="1"/>
      <c r="QSN213" s="1"/>
      <c r="QSO213" s="1"/>
      <c r="QSP213" s="1"/>
      <c r="QSQ213" s="1"/>
      <c r="QSR213" s="1"/>
      <c r="QSS213" s="1"/>
      <c r="QST213" s="1"/>
      <c r="QSU213" s="1"/>
      <c r="QSV213" s="1"/>
      <c r="QSW213" s="1"/>
      <c r="QSX213" s="1"/>
      <c r="QSY213" s="1"/>
      <c r="QSZ213" s="1"/>
      <c r="QTA213" s="1"/>
      <c r="QTB213" s="1"/>
      <c r="QTC213" s="1"/>
      <c r="QTD213" s="1"/>
      <c r="QTE213" s="1"/>
      <c r="QTF213" s="1"/>
      <c r="QTG213" s="1"/>
      <c r="QTH213" s="1"/>
      <c r="QTI213" s="1"/>
      <c r="QTJ213" s="1"/>
      <c r="QTK213" s="1"/>
      <c r="QTL213" s="1"/>
      <c r="QTM213" s="1"/>
      <c r="QTN213" s="1"/>
      <c r="QTO213" s="1"/>
      <c r="QTP213" s="1"/>
      <c r="QTQ213" s="1"/>
      <c r="QTR213" s="1"/>
      <c r="QTS213" s="1"/>
      <c r="QTT213" s="1"/>
      <c r="QTU213" s="1"/>
      <c r="QTV213" s="1"/>
      <c r="QTW213" s="1"/>
      <c r="QTX213" s="1"/>
      <c r="QTY213" s="1"/>
      <c r="QTZ213" s="1"/>
      <c r="QUA213" s="1"/>
      <c r="QUB213" s="1"/>
      <c r="QUC213" s="1"/>
      <c r="QUD213" s="1"/>
      <c r="QUE213" s="1"/>
      <c r="QUF213" s="1"/>
      <c r="QUG213" s="1"/>
      <c r="QUH213" s="1"/>
      <c r="QUI213" s="1"/>
      <c r="QUJ213" s="1"/>
      <c r="QUK213" s="1"/>
      <c r="QUL213" s="1"/>
      <c r="QUM213" s="1"/>
      <c r="QUN213" s="1"/>
      <c r="QUO213" s="1"/>
      <c r="QUP213" s="1"/>
      <c r="QUQ213" s="1"/>
      <c r="QUR213" s="1"/>
      <c r="QUS213" s="1"/>
      <c r="QUT213" s="1"/>
      <c r="QUU213" s="1"/>
      <c r="QUV213" s="1"/>
      <c r="QUW213" s="1"/>
      <c r="QUX213" s="1"/>
      <c r="QUY213" s="1"/>
      <c r="QUZ213" s="1"/>
      <c r="QVA213" s="1"/>
      <c r="QVB213" s="1"/>
      <c r="QVC213" s="1"/>
      <c r="QVD213" s="1"/>
      <c r="QVE213" s="1"/>
      <c r="QVF213" s="1"/>
      <c r="QVG213" s="1"/>
      <c r="QVH213" s="1"/>
      <c r="QVI213" s="1"/>
      <c r="QVJ213" s="1"/>
      <c r="QVK213" s="1"/>
      <c r="QVL213" s="1"/>
      <c r="QVM213" s="1"/>
      <c r="QVN213" s="1"/>
      <c r="QVO213" s="1"/>
      <c r="QVP213" s="1"/>
      <c r="QVQ213" s="1"/>
      <c r="QVR213" s="1"/>
      <c r="QVS213" s="1"/>
      <c r="QVT213" s="1"/>
      <c r="QVU213" s="1"/>
      <c r="QVV213" s="1"/>
      <c r="QVW213" s="1"/>
      <c r="QVX213" s="1"/>
      <c r="QVY213" s="1"/>
      <c r="QVZ213" s="1"/>
      <c r="QWA213" s="1"/>
      <c r="QWB213" s="1"/>
      <c r="QWC213" s="1"/>
      <c r="QWD213" s="1"/>
      <c r="QWE213" s="1"/>
      <c r="QWF213" s="1"/>
      <c r="QWG213" s="1"/>
      <c r="QWH213" s="1"/>
      <c r="QWI213" s="1"/>
      <c r="QWJ213" s="1"/>
      <c r="QWK213" s="1"/>
      <c r="QWL213" s="1"/>
      <c r="QWM213" s="1"/>
      <c r="QWN213" s="1"/>
      <c r="QWO213" s="1"/>
      <c r="QWP213" s="1"/>
      <c r="QWQ213" s="1"/>
      <c r="QWR213" s="1"/>
      <c r="QWS213" s="1"/>
      <c r="QWT213" s="1"/>
      <c r="QWU213" s="1"/>
      <c r="QWV213" s="1"/>
      <c r="QWW213" s="1"/>
      <c r="QWX213" s="1"/>
      <c r="QWY213" s="1"/>
      <c r="QWZ213" s="1"/>
      <c r="QXA213" s="1"/>
      <c r="QXB213" s="1"/>
      <c r="QXC213" s="1"/>
      <c r="QXD213" s="1"/>
      <c r="QXE213" s="1"/>
      <c r="QXF213" s="1"/>
      <c r="QXG213" s="1"/>
      <c r="QXH213" s="1"/>
      <c r="QXI213" s="1"/>
      <c r="QXJ213" s="1"/>
      <c r="QXK213" s="1"/>
      <c r="QXL213" s="1"/>
      <c r="QXM213" s="1"/>
      <c r="QXN213" s="1"/>
      <c r="QXO213" s="1"/>
      <c r="QXP213" s="1"/>
      <c r="QXQ213" s="1"/>
      <c r="QXR213" s="1"/>
      <c r="QXS213" s="1"/>
      <c r="QXT213" s="1"/>
      <c r="QXU213" s="1"/>
      <c r="QXV213" s="1"/>
      <c r="QXW213" s="1"/>
      <c r="QXX213" s="1"/>
      <c r="QXY213" s="1"/>
      <c r="QXZ213" s="1"/>
      <c r="QYA213" s="1"/>
      <c r="QYB213" s="1"/>
      <c r="QYC213" s="1"/>
      <c r="QYD213" s="1"/>
      <c r="QYE213" s="1"/>
      <c r="QYF213" s="1"/>
      <c r="QYG213" s="1"/>
      <c r="QYH213" s="1"/>
      <c r="QYI213" s="1"/>
      <c r="QYJ213" s="1"/>
      <c r="QYK213" s="1"/>
      <c r="QYL213" s="1"/>
      <c r="QYM213" s="1"/>
      <c r="QYN213" s="1"/>
      <c r="QYO213" s="1"/>
      <c r="QYP213" s="1"/>
      <c r="QYQ213" s="1"/>
      <c r="QYR213" s="1"/>
      <c r="QYS213" s="1"/>
      <c r="QYT213" s="1"/>
      <c r="QYU213" s="1"/>
      <c r="QYV213" s="1"/>
      <c r="QYW213" s="1"/>
      <c r="QYX213" s="1"/>
      <c r="QYY213" s="1"/>
      <c r="QYZ213" s="1"/>
      <c r="QZA213" s="1"/>
      <c r="QZB213" s="1"/>
      <c r="QZC213" s="1"/>
      <c r="QZD213" s="1"/>
      <c r="QZE213" s="1"/>
      <c r="QZF213" s="1"/>
      <c r="QZG213" s="1"/>
      <c r="QZH213" s="1"/>
      <c r="QZI213" s="1"/>
      <c r="QZJ213" s="1"/>
      <c r="QZK213" s="1"/>
      <c r="QZL213" s="1"/>
      <c r="QZM213" s="1"/>
      <c r="QZN213" s="1"/>
      <c r="QZO213" s="1"/>
      <c r="QZP213" s="1"/>
      <c r="QZQ213" s="1"/>
      <c r="QZR213" s="1"/>
      <c r="QZS213" s="1"/>
      <c r="QZT213" s="1"/>
      <c r="QZU213" s="1"/>
      <c r="QZV213" s="1"/>
      <c r="QZW213" s="1"/>
      <c r="QZX213" s="1"/>
      <c r="QZY213" s="1"/>
      <c r="QZZ213" s="1"/>
      <c r="RAA213" s="1"/>
      <c r="RAB213" s="1"/>
      <c r="RAC213" s="1"/>
      <c r="RAD213" s="1"/>
      <c r="RAE213" s="1"/>
      <c r="RAF213" s="1"/>
      <c r="RAG213" s="1"/>
      <c r="RAH213" s="1"/>
      <c r="RAI213" s="1"/>
      <c r="RAJ213" s="1"/>
      <c r="RAK213" s="1"/>
      <c r="RAL213" s="1"/>
      <c r="RAM213" s="1"/>
      <c r="RAN213" s="1"/>
      <c r="RAO213" s="1"/>
      <c r="RAP213" s="1"/>
      <c r="RAQ213" s="1"/>
      <c r="RAR213" s="1"/>
      <c r="RAS213" s="1"/>
      <c r="RAT213" s="1"/>
      <c r="RAU213" s="1"/>
      <c r="RAV213" s="1"/>
      <c r="RAW213" s="1"/>
      <c r="RAX213" s="1"/>
      <c r="RAY213" s="1"/>
      <c r="RAZ213" s="1"/>
      <c r="RBA213" s="1"/>
      <c r="RBB213" s="1"/>
      <c r="RBC213" s="1"/>
      <c r="RBD213" s="1"/>
      <c r="RBE213" s="1"/>
      <c r="RBF213" s="1"/>
      <c r="RBG213" s="1"/>
      <c r="RBH213" s="1"/>
      <c r="RBI213" s="1"/>
      <c r="RBJ213" s="1"/>
      <c r="RBK213" s="1"/>
      <c r="RBL213" s="1"/>
      <c r="RBM213" s="1"/>
      <c r="RBN213" s="1"/>
      <c r="RBO213" s="1"/>
      <c r="RBP213" s="1"/>
      <c r="RBQ213" s="1"/>
      <c r="RBR213" s="1"/>
      <c r="RBS213" s="1"/>
      <c r="RBT213" s="1"/>
      <c r="RBU213" s="1"/>
      <c r="RBV213" s="1"/>
      <c r="RBW213" s="1"/>
      <c r="RBX213" s="1"/>
      <c r="RBY213" s="1"/>
      <c r="RBZ213" s="1"/>
      <c r="RCA213" s="1"/>
      <c r="RCB213" s="1"/>
      <c r="RCC213" s="1"/>
      <c r="RCD213" s="1"/>
      <c r="RCE213" s="1"/>
      <c r="RCF213" s="1"/>
      <c r="RCG213" s="1"/>
      <c r="RCH213" s="1"/>
      <c r="RCI213" s="1"/>
      <c r="RCJ213" s="1"/>
      <c r="RCK213" s="1"/>
      <c r="RCL213" s="1"/>
      <c r="RCM213" s="1"/>
      <c r="RCN213" s="1"/>
      <c r="RCO213" s="1"/>
      <c r="RCP213" s="1"/>
      <c r="RCQ213" s="1"/>
      <c r="RCR213" s="1"/>
      <c r="RCS213" s="1"/>
      <c r="RCT213" s="1"/>
      <c r="RCU213" s="1"/>
      <c r="RCV213" s="1"/>
      <c r="RCW213" s="1"/>
      <c r="RCX213" s="1"/>
      <c r="RCY213" s="1"/>
      <c r="RCZ213" s="1"/>
      <c r="RDA213" s="1"/>
      <c r="RDB213" s="1"/>
      <c r="RDC213" s="1"/>
      <c r="RDD213" s="1"/>
      <c r="RDE213" s="1"/>
      <c r="RDF213" s="1"/>
      <c r="RDG213" s="1"/>
      <c r="RDH213" s="1"/>
      <c r="RDI213" s="1"/>
      <c r="RDJ213" s="1"/>
      <c r="RDK213" s="1"/>
      <c r="RDL213" s="1"/>
      <c r="RDM213" s="1"/>
      <c r="RDN213" s="1"/>
      <c r="RDO213" s="1"/>
      <c r="RDP213" s="1"/>
      <c r="RDQ213" s="1"/>
      <c r="RDR213" s="1"/>
      <c r="RDS213" s="1"/>
      <c r="RDT213" s="1"/>
      <c r="RDU213" s="1"/>
      <c r="RDV213" s="1"/>
      <c r="RDW213" s="1"/>
      <c r="RDX213" s="1"/>
      <c r="RDY213" s="1"/>
      <c r="RDZ213" s="1"/>
      <c r="REA213" s="1"/>
      <c r="REB213" s="1"/>
      <c r="REC213" s="1"/>
      <c r="RED213" s="1"/>
      <c r="REE213" s="1"/>
      <c r="REF213" s="1"/>
      <c r="REG213" s="1"/>
      <c r="REH213" s="1"/>
      <c r="REI213" s="1"/>
      <c r="REJ213" s="1"/>
      <c r="REK213" s="1"/>
      <c r="REL213" s="1"/>
      <c r="REM213" s="1"/>
      <c r="REN213" s="1"/>
      <c r="REO213" s="1"/>
      <c r="REP213" s="1"/>
      <c r="REQ213" s="1"/>
      <c r="RER213" s="1"/>
      <c r="RES213" s="1"/>
      <c r="RET213" s="1"/>
      <c r="REU213" s="1"/>
      <c r="REV213" s="1"/>
      <c r="REW213" s="1"/>
      <c r="REX213" s="1"/>
      <c r="REY213" s="1"/>
      <c r="REZ213" s="1"/>
      <c r="RFA213" s="1"/>
      <c r="RFB213" s="1"/>
      <c r="RFC213" s="1"/>
      <c r="RFD213" s="1"/>
      <c r="RFE213" s="1"/>
      <c r="RFF213" s="1"/>
      <c r="RFG213" s="1"/>
      <c r="RFH213" s="1"/>
      <c r="RFI213" s="1"/>
      <c r="RFJ213" s="1"/>
      <c r="RFK213" s="1"/>
      <c r="RFL213" s="1"/>
      <c r="RFM213" s="1"/>
      <c r="RFN213" s="1"/>
      <c r="RFO213" s="1"/>
      <c r="RFP213" s="1"/>
      <c r="RFQ213" s="1"/>
      <c r="RFR213" s="1"/>
      <c r="RFS213" s="1"/>
      <c r="RFT213" s="1"/>
      <c r="RFU213" s="1"/>
      <c r="RFV213" s="1"/>
      <c r="RFW213" s="1"/>
      <c r="RFX213" s="1"/>
      <c r="RFY213" s="1"/>
      <c r="RFZ213" s="1"/>
      <c r="RGA213" s="1"/>
      <c r="RGB213" s="1"/>
      <c r="RGC213" s="1"/>
      <c r="RGD213" s="1"/>
      <c r="RGE213" s="1"/>
      <c r="RGF213" s="1"/>
      <c r="RGG213" s="1"/>
      <c r="RGH213" s="1"/>
      <c r="RGI213" s="1"/>
      <c r="RGJ213" s="1"/>
      <c r="RGK213" s="1"/>
      <c r="RGL213" s="1"/>
      <c r="RGM213" s="1"/>
      <c r="RGN213" s="1"/>
      <c r="RGO213" s="1"/>
      <c r="RGP213" s="1"/>
      <c r="RGQ213" s="1"/>
      <c r="RGR213" s="1"/>
      <c r="RGS213" s="1"/>
      <c r="RGT213" s="1"/>
      <c r="RGU213" s="1"/>
      <c r="RGV213" s="1"/>
      <c r="RGW213" s="1"/>
      <c r="RGX213" s="1"/>
      <c r="RGY213" s="1"/>
      <c r="RGZ213" s="1"/>
      <c r="RHA213" s="1"/>
      <c r="RHB213" s="1"/>
      <c r="RHC213" s="1"/>
      <c r="RHD213" s="1"/>
      <c r="RHE213" s="1"/>
      <c r="RHF213" s="1"/>
      <c r="RHG213" s="1"/>
      <c r="RHH213" s="1"/>
      <c r="RHI213" s="1"/>
      <c r="RHJ213" s="1"/>
      <c r="RHK213" s="1"/>
      <c r="RHL213" s="1"/>
      <c r="RHM213" s="1"/>
      <c r="RHN213" s="1"/>
      <c r="RHO213" s="1"/>
      <c r="RHP213" s="1"/>
      <c r="RHQ213" s="1"/>
      <c r="RHR213" s="1"/>
      <c r="RHS213" s="1"/>
      <c r="RHT213" s="1"/>
      <c r="RHU213" s="1"/>
      <c r="RHV213" s="1"/>
      <c r="RHW213" s="1"/>
      <c r="RHX213" s="1"/>
      <c r="RHY213" s="1"/>
      <c r="RHZ213" s="1"/>
      <c r="RIA213" s="1"/>
      <c r="RIB213" s="1"/>
      <c r="RIC213" s="1"/>
      <c r="RID213" s="1"/>
      <c r="RIE213" s="1"/>
      <c r="RIF213" s="1"/>
      <c r="RIG213" s="1"/>
      <c r="RIH213" s="1"/>
      <c r="RII213" s="1"/>
      <c r="RIJ213" s="1"/>
      <c r="RIK213" s="1"/>
      <c r="RIL213" s="1"/>
      <c r="RIM213" s="1"/>
      <c r="RIN213" s="1"/>
      <c r="RIO213" s="1"/>
      <c r="RIP213" s="1"/>
      <c r="RIQ213" s="1"/>
      <c r="RIR213" s="1"/>
      <c r="RIS213" s="1"/>
      <c r="RIT213" s="1"/>
      <c r="RIU213" s="1"/>
      <c r="RIV213" s="1"/>
      <c r="RIW213" s="1"/>
      <c r="RIX213" s="1"/>
      <c r="RIY213" s="1"/>
      <c r="RIZ213" s="1"/>
      <c r="RJA213" s="1"/>
      <c r="RJB213" s="1"/>
      <c r="RJC213" s="1"/>
      <c r="RJD213" s="1"/>
      <c r="RJE213" s="1"/>
      <c r="RJF213" s="1"/>
      <c r="RJG213" s="1"/>
      <c r="RJH213" s="1"/>
      <c r="RJI213" s="1"/>
      <c r="RJJ213" s="1"/>
      <c r="RJK213" s="1"/>
      <c r="RJL213" s="1"/>
      <c r="RJM213" s="1"/>
      <c r="RJN213" s="1"/>
      <c r="RJO213" s="1"/>
      <c r="RJP213" s="1"/>
      <c r="RJQ213" s="1"/>
      <c r="RJR213" s="1"/>
      <c r="RJS213" s="1"/>
      <c r="RJT213" s="1"/>
      <c r="RJU213" s="1"/>
      <c r="RJV213" s="1"/>
      <c r="RJW213" s="1"/>
      <c r="RJX213" s="1"/>
      <c r="RJY213" s="1"/>
      <c r="RJZ213" s="1"/>
      <c r="RKA213" s="1"/>
      <c r="RKB213" s="1"/>
      <c r="RKC213" s="1"/>
      <c r="RKD213" s="1"/>
      <c r="RKE213" s="1"/>
      <c r="RKF213" s="1"/>
      <c r="RKG213" s="1"/>
      <c r="RKH213" s="1"/>
      <c r="RKI213" s="1"/>
      <c r="RKJ213" s="1"/>
      <c r="RKK213" s="1"/>
      <c r="RKL213" s="1"/>
      <c r="RKM213" s="1"/>
      <c r="RKN213" s="1"/>
      <c r="RKO213" s="1"/>
      <c r="RKP213" s="1"/>
      <c r="RKQ213" s="1"/>
      <c r="RKR213" s="1"/>
      <c r="RKS213" s="1"/>
      <c r="RKT213" s="1"/>
      <c r="RKU213" s="1"/>
      <c r="RKV213" s="1"/>
      <c r="RKW213" s="1"/>
      <c r="RKX213" s="1"/>
      <c r="RKY213" s="1"/>
      <c r="RKZ213" s="1"/>
      <c r="RLA213" s="1"/>
      <c r="RLB213" s="1"/>
      <c r="RLC213" s="1"/>
      <c r="RLD213" s="1"/>
      <c r="RLE213" s="1"/>
      <c r="RLF213" s="1"/>
      <c r="RLG213" s="1"/>
      <c r="RLH213" s="1"/>
      <c r="RLI213" s="1"/>
      <c r="RLJ213" s="1"/>
      <c r="RLK213" s="1"/>
      <c r="RLL213" s="1"/>
      <c r="RLM213" s="1"/>
      <c r="RLN213" s="1"/>
      <c r="RLO213" s="1"/>
      <c r="RLP213" s="1"/>
      <c r="RLQ213" s="1"/>
      <c r="RLR213" s="1"/>
      <c r="RLS213" s="1"/>
      <c r="RLT213" s="1"/>
      <c r="RLU213" s="1"/>
      <c r="RLV213" s="1"/>
      <c r="RLW213" s="1"/>
      <c r="RLX213" s="1"/>
      <c r="RLY213" s="1"/>
      <c r="RLZ213" s="1"/>
      <c r="RMA213" s="1"/>
      <c r="RMB213" s="1"/>
      <c r="RMC213" s="1"/>
      <c r="RMD213" s="1"/>
      <c r="RME213" s="1"/>
      <c r="RMF213" s="1"/>
      <c r="RMG213" s="1"/>
      <c r="RMH213" s="1"/>
      <c r="RMI213" s="1"/>
      <c r="RMJ213" s="1"/>
      <c r="RMK213" s="1"/>
      <c r="RML213" s="1"/>
      <c r="RMM213" s="1"/>
      <c r="RMN213" s="1"/>
      <c r="RMO213" s="1"/>
      <c r="RMP213" s="1"/>
      <c r="RMQ213" s="1"/>
      <c r="RMR213" s="1"/>
      <c r="RMS213" s="1"/>
      <c r="RMT213" s="1"/>
      <c r="RMU213" s="1"/>
      <c r="RMV213" s="1"/>
      <c r="RMW213" s="1"/>
      <c r="RMX213" s="1"/>
      <c r="RMY213" s="1"/>
      <c r="RMZ213" s="1"/>
      <c r="RNA213" s="1"/>
      <c r="RNB213" s="1"/>
      <c r="RNC213" s="1"/>
      <c r="RND213" s="1"/>
      <c r="RNE213" s="1"/>
      <c r="RNF213" s="1"/>
      <c r="RNG213" s="1"/>
      <c r="RNH213" s="1"/>
      <c r="RNI213" s="1"/>
      <c r="RNJ213" s="1"/>
      <c r="RNK213" s="1"/>
      <c r="RNL213" s="1"/>
      <c r="RNM213" s="1"/>
      <c r="RNN213" s="1"/>
      <c r="RNO213" s="1"/>
      <c r="RNP213" s="1"/>
      <c r="RNQ213" s="1"/>
      <c r="RNR213" s="1"/>
      <c r="RNS213" s="1"/>
      <c r="RNT213" s="1"/>
      <c r="RNU213" s="1"/>
      <c r="RNV213" s="1"/>
      <c r="RNW213" s="1"/>
      <c r="RNX213" s="1"/>
      <c r="RNY213" s="1"/>
      <c r="RNZ213" s="1"/>
      <c r="ROA213" s="1"/>
      <c r="ROB213" s="1"/>
      <c r="ROC213" s="1"/>
      <c r="ROD213" s="1"/>
      <c r="ROE213" s="1"/>
      <c r="ROF213" s="1"/>
      <c r="ROG213" s="1"/>
      <c r="ROH213" s="1"/>
      <c r="ROI213" s="1"/>
      <c r="ROJ213" s="1"/>
      <c r="ROK213" s="1"/>
      <c r="ROL213" s="1"/>
      <c r="ROM213" s="1"/>
      <c r="RON213" s="1"/>
      <c r="ROO213" s="1"/>
      <c r="ROP213" s="1"/>
      <c r="ROQ213" s="1"/>
      <c r="ROR213" s="1"/>
      <c r="ROS213" s="1"/>
      <c r="ROT213" s="1"/>
      <c r="ROU213" s="1"/>
      <c r="ROV213" s="1"/>
      <c r="ROW213" s="1"/>
      <c r="ROX213" s="1"/>
      <c r="ROY213" s="1"/>
      <c r="ROZ213" s="1"/>
      <c r="RPA213" s="1"/>
      <c r="RPB213" s="1"/>
      <c r="RPC213" s="1"/>
      <c r="RPD213" s="1"/>
      <c r="RPE213" s="1"/>
      <c r="RPF213" s="1"/>
      <c r="RPG213" s="1"/>
      <c r="RPH213" s="1"/>
      <c r="RPI213" s="1"/>
      <c r="RPJ213" s="1"/>
      <c r="RPK213" s="1"/>
      <c r="RPL213" s="1"/>
      <c r="RPM213" s="1"/>
      <c r="RPN213" s="1"/>
      <c r="RPO213" s="1"/>
      <c r="RPP213" s="1"/>
      <c r="RPQ213" s="1"/>
      <c r="RPR213" s="1"/>
      <c r="RPS213" s="1"/>
      <c r="RPT213" s="1"/>
      <c r="RPU213" s="1"/>
      <c r="RPV213" s="1"/>
      <c r="RPW213" s="1"/>
      <c r="RPX213" s="1"/>
      <c r="RPY213" s="1"/>
      <c r="RPZ213" s="1"/>
      <c r="RQA213" s="1"/>
      <c r="RQB213" s="1"/>
      <c r="RQC213" s="1"/>
      <c r="RQD213" s="1"/>
      <c r="RQE213" s="1"/>
      <c r="RQF213" s="1"/>
      <c r="RQG213" s="1"/>
      <c r="RQH213" s="1"/>
      <c r="RQI213" s="1"/>
      <c r="RQJ213" s="1"/>
      <c r="RQK213" s="1"/>
      <c r="RQL213" s="1"/>
      <c r="RQM213" s="1"/>
      <c r="RQN213" s="1"/>
      <c r="RQO213" s="1"/>
      <c r="RQP213" s="1"/>
      <c r="RQQ213" s="1"/>
      <c r="RQR213" s="1"/>
      <c r="RQS213" s="1"/>
      <c r="RQT213" s="1"/>
      <c r="RQU213" s="1"/>
      <c r="RQV213" s="1"/>
      <c r="RQW213" s="1"/>
      <c r="RQX213" s="1"/>
      <c r="RQY213" s="1"/>
      <c r="RQZ213" s="1"/>
      <c r="RRA213" s="1"/>
      <c r="RRB213" s="1"/>
      <c r="RRC213" s="1"/>
      <c r="RRD213" s="1"/>
      <c r="RRE213" s="1"/>
      <c r="RRF213" s="1"/>
      <c r="RRG213" s="1"/>
      <c r="RRH213" s="1"/>
      <c r="RRI213" s="1"/>
      <c r="RRJ213" s="1"/>
      <c r="RRK213" s="1"/>
      <c r="RRL213" s="1"/>
      <c r="RRM213" s="1"/>
      <c r="RRN213" s="1"/>
      <c r="RRO213" s="1"/>
      <c r="RRP213" s="1"/>
      <c r="RRQ213" s="1"/>
      <c r="RRR213" s="1"/>
      <c r="RRS213" s="1"/>
      <c r="RRT213" s="1"/>
      <c r="RRU213" s="1"/>
      <c r="RRV213" s="1"/>
      <c r="RRW213" s="1"/>
      <c r="RRX213" s="1"/>
      <c r="RRY213" s="1"/>
      <c r="RRZ213" s="1"/>
      <c r="RSA213" s="1"/>
      <c r="RSB213" s="1"/>
      <c r="RSC213" s="1"/>
      <c r="RSD213" s="1"/>
      <c r="RSE213" s="1"/>
      <c r="RSF213" s="1"/>
      <c r="RSG213" s="1"/>
      <c r="RSH213" s="1"/>
      <c r="RSI213" s="1"/>
      <c r="RSJ213" s="1"/>
      <c r="RSK213" s="1"/>
      <c r="RSL213" s="1"/>
      <c r="RSM213" s="1"/>
      <c r="RSN213" s="1"/>
      <c r="RSO213" s="1"/>
      <c r="RSP213" s="1"/>
      <c r="RSQ213" s="1"/>
      <c r="RSR213" s="1"/>
      <c r="RSS213" s="1"/>
      <c r="RST213" s="1"/>
      <c r="RSU213" s="1"/>
      <c r="RSV213" s="1"/>
      <c r="RSW213" s="1"/>
      <c r="RSX213" s="1"/>
      <c r="RSY213" s="1"/>
      <c r="RSZ213" s="1"/>
      <c r="RTA213" s="1"/>
      <c r="RTB213" s="1"/>
      <c r="RTC213" s="1"/>
      <c r="RTD213" s="1"/>
      <c r="RTE213" s="1"/>
      <c r="RTF213" s="1"/>
      <c r="RTG213" s="1"/>
      <c r="RTH213" s="1"/>
      <c r="RTI213" s="1"/>
      <c r="RTJ213" s="1"/>
      <c r="RTK213" s="1"/>
      <c r="RTL213" s="1"/>
      <c r="RTM213" s="1"/>
      <c r="RTN213" s="1"/>
      <c r="RTO213" s="1"/>
      <c r="RTP213" s="1"/>
      <c r="RTQ213" s="1"/>
      <c r="RTR213" s="1"/>
      <c r="RTS213" s="1"/>
      <c r="RTT213" s="1"/>
      <c r="RTU213" s="1"/>
      <c r="RTV213" s="1"/>
      <c r="RTW213" s="1"/>
      <c r="RTX213" s="1"/>
      <c r="RTY213" s="1"/>
      <c r="RTZ213" s="1"/>
      <c r="RUA213" s="1"/>
      <c r="RUB213" s="1"/>
      <c r="RUC213" s="1"/>
      <c r="RUD213" s="1"/>
      <c r="RUE213" s="1"/>
      <c r="RUF213" s="1"/>
      <c r="RUG213" s="1"/>
      <c r="RUH213" s="1"/>
      <c r="RUI213" s="1"/>
      <c r="RUJ213" s="1"/>
      <c r="RUK213" s="1"/>
      <c r="RUL213" s="1"/>
      <c r="RUM213" s="1"/>
      <c r="RUN213" s="1"/>
      <c r="RUO213" s="1"/>
      <c r="RUP213" s="1"/>
      <c r="RUQ213" s="1"/>
      <c r="RUR213" s="1"/>
      <c r="RUS213" s="1"/>
      <c r="RUT213" s="1"/>
      <c r="RUU213" s="1"/>
      <c r="RUV213" s="1"/>
      <c r="RUW213" s="1"/>
      <c r="RUX213" s="1"/>
      <c r="RUY213" s="1"/>
      <c r="RUZ213" s="1"/>
      <c r="RVA213" s="1"/>
      <c r="RVB213" s="1"/>
      <c r="RVC213" s="1"/>
      <c r="RVD213" s="1"/>
      <c r="RVE213" s="1"/>
      <c r="RVF213" s="1"/>
      <c r="RVG213" s="1"/>
      <c r="RVH213" s="1"/>
      <c r="RVI213" s="1"/>
      <c r="RVJ213" s="1"/>
      <c r="RVK213" s="1"/>
      <c r="RVL213" s="1"/>
      <c r="RVM213" s="1"/>
      <c r="RVN213" s="1"/>
      <c r="RVO213" s="1"/>
      <c r="RVP213" s="1"/>
      <c r="RVQ213" s="1"/>
      <c r="RVR213" s="1"/>
      <c r="RVS213" s="1"/>
      <c r="RVT213" s="1"/>
      <c r="RVU213" s="1"/>
      <c r="RVV213" s="1"/>
      <c r="RVW213" s="1"/>
      <c r="RVX213" s="1"/>
      <c r="RVY213" s="1"/>
      <c r="RVZ213" s="1"/>
      <c r="RWA213" s="1"/>
      <c r="RWB213" s="1"/>
      <c r="RWC213" s="1"/>
      <c r="RWD213" s="1"/>
      <c r="RWE213" s="1"/>
      <c r="RWF213" s="1"/>
      <c r="RWG213" s="1"/>
      <c r="RWH213" s="1"/>
      <c r="RWI213" s="1"/>
      <c r="RWJ213" s="1"/>
      <c r="RWK213" s="1"/>
      <c r="RWL213" s="1"/>
      <c r="RWM213" s="1"/>
      <c r="RWN213" s="1"/>
      <c r="RWO213" s="1"/>
      <c r="RWP213" s="1"/>
      <c r="RWQ213" s="1"/>
      <c r="RWR213" s="1"/>
      <c r="RWS213" s="1"/>
      <c r="RWT213" s="1"/>
      <c r="RWU213" s="1"/>
      <c r="RWV213" s="1"/>
      <c r="RWW213" s="1"/>
      <c r="RWX213" s="1"/>
      <c r="RWY213" s="1"/>
      <c r="RWZ213" s="1"/>
      <c r="RXA213" s="1"/>
      <c r="RXB213" s="1"/>
      <c r="RXC213" s="1"/>
      <c r="RXD213" s="1"/>
      <c r="RXE213" s="1"/>
      <c r="RXF213" s="1"/>
      <c r="RXG213" s="1"/>
      <c r="RXH213" s="1"/>
      <c r="RXI213" s="1"/>
      <c r="RXJ213" s="1"/>
      <c r="RXK213" s="1"/>
      <c r="RXL213" s="1"/>
      <c r="RXM213" s="1"/>
      <c r="RXN213" s="1"/>
      <c r="RXO213" s="1"/>
      <c r="RXP213" s="1"/>
      <c r="RXQ213" s="1"/>
      <c r="RXR213" s="1"/>
      <c r="RXS213" s="1"/>
      <c r="RXT213" s="1"/>
      <c r="RXU213" s="1"/>
      <c r="RXV213" s="1"/>
      <c r="RXW213" s="1"/>
      <c r="RXX213" s="1"/>
      <c r="RXY213" s="1"/>
      <c r="RXZ213" s="1"/>
      <c r="RYA213" s="1"/>
      <c r="RYB213" s="1"/>
      <c r="RYC213" s="1"/>
      <c r="RYD213" s="1"/>
      <c r="RYE213" s="1"/>
      <c r="RYF213" s="1"/>
      <c r="RYG213" s="1"/>
      <c r="RYH213" s="1"/>
      <c r="RYI213" s="1"/>
      <c r="RYJ213" s="1"/>
      <c r="RYK213" s="1"/>
      <c r="RYL213" s="1"/>
      <c r="RYM213" s="1"/>
      <c r="RYN213" s="1"/>
      <c r="RYO213" s="1"/>
      <c r="RYP213" s="1"/>
      <c r="RYQ213" s="1"/>
      <c r="RYR213" s="1"/>
      <c r="RYS213" s="1"/>
      <c r="RYT213" s="1"/>
      <c r="RYU213" s="1"/>
      <c r="RYV213" s="1"/>
      <c r="RYW213" s="1"/>
      <c r="RYX213" s="1"/>
      <c r="RYY213" s="1"/>
      <c r="RYZ213" s="1"/>
      <c r="RZA213" s="1"/>
      <c r="RZB213" s="1"/>
      <c r="RZC213" s="1"/>
      <c r="RZD213" s="1"/>
      <c r="RZE213" s="1"/>
      <c r="RZF213" s="1"/>
      <c r="RZG213" s="1"/>
      <c r="RZH213" s="1"/>
      <c r="RZI213" s="1"/>
      <c r="RZJ213" s="1"/>
      <c r="RZK213" s="1"/>
      <c r="RZL213" s="1"/>
      <c r="RZM213" s="1"/>
      <c r="RZN213" s="1"/>
      <c r="RZO213" s="1"/>
      <c r="RZP213" s="1"/>
      <c r="RZQ213" s="1"/>
      <c r="RZR213" s="1"/>
      <c r="RZS213" s="1"/>
      <c r="RZT213" s="1"/>
      <c r="RZU213" s="1"/>
      <c r="RZV213" s="1"/>
      <c r="RZW213" s="1"/>
      <c r="RZX213" s="1"/>
      <c r="RZY213" s="1"/>
      <c r="RZZ213" s="1"/>
      <c r="SAA213" s="1"/>
      <c r="SAB213" s="1"/>
      <c r="SAC213" s="1"/>
      <c r="SAD213" s="1"/>
      <c r="SAE213" s="1"/>
      <c r="SAF213" s="1"/>
      <c r="SAG213" s="1"/>
      <c r="SAH213" s="1"/>
      <c r="SAI213" s="1"/>
      <c r="SAJ213" s="1"/>
      <c r="SAK213" s="1"/>
      <c r="SAL213" s="1"/>
      <c r="SAM213" s="1"/>
      <c r="SAN213" s="1"/>
      <c r="SAO213" s="1"/>
      <c r="SAP213" s="1"/>
      <c r="SAQ213" s="1"/>
      <c r="SAR213" s="1"/>
      <c r="SAS213" s="1"/>
      <c r="SAT213" s="1"/>
      <c r="SAU213" s="1"/>
      <c r="SAV213" s="1"/>
      <c r="SAW213" s="1"/>
      <c r="SAX213" s="1"/>
      <c r="SAY213" s="1"/>
      <c r="SAZ213" s="1"/>
      <c r="SBA213" s="1"/>
      <c r="SBB213" s="1"/>
      <c r="SBC213" s="1"/>
      <c r="SBD213" s="1"/>
      <c r="SBE213" s="1"/>
      <c r="SBF213" s="1"/>
      <c r="SBG213" s="1"/>
      <c r="SBH213" s="1"/>
      <c r="SBI213" s="1"/>
      <c r="SBJ213" s="1"/>
      <c r="SBK213" s="1"/>
      <c r="SBL213" s="1"/>
      <c r="SBM213" s="1"/>
      <c r="SBN213" s="1"/>
      <c r="SBO213" s="1"/>
      <c r="SBP213" s="1"/>
      <c r="SBQ213" s="1"/>
      <c r="SBR213" s="1"/>
      <c r="SBS213" s="1"/>
      <c r="SBT213" s="1"/>
      <c r="SBU213" s="1"/>
      <c r="SBV213" s="1"/>
      <c r="SBW213" s="1"/>
      <c r="SBX213" s="1"/>
      <c r="SBY213" s="1"/>
      <c r="SBZ213" s="1"/>
      <c r="SCA213" s="1"/>
      <c r="SCB213" s="1"/>
      <c r="SCC213" s="1"/>
      <c r="SCD213" s="1"/>
      <c r="SCE213" s="1"/>
      <c r="SCF213" s="1"/>
      <c r="SCG213" s="1"/>
      <c r="SCH213" s="1"/>
      <c r="SCI213" s="1"/>
      <c r="SCJ213" s="1"/>
      <c r="SCK213" s="1"/>
      <c r="SCL213" s="1"/>
      <c r="SCM213" s="1"/>
      <c r="SCN213" s="1"/>
      <c r="SCO213" s="1"/>
      <c r="SCP213" s="1"/>
      <c r="SCQ213" s="1"/>
      <c r="SCR213" s="1"/>
      <c r="SCS213" s="1"/>
      <c r="SCT213" s="1"/>
      <c r="SCU213" s="1"/>
      <c r="SCV213" s="1"/>
      <c r="SCW213" s="1"/>
      <c r="SCX213" s="1"/>
      <c r="SCY213" s="1"/>
      <c r="SCZ213" s="1"/>
      <c r="SDA213" s="1"/>
      <c r="SDB213" s="1"/>
      <c r="SDC213" s="1"/>
      <c r="SDD213" s="1"/>
      <c r="SDE213" s="1"/>
      <c r="SDF213" s="1"/>
      <c r="SDG213" s="1"/>
      <c r="SDH213" s="1"/>
      <c r="SDI213" s="1"/>
      <c r="SDJ213" s="1"/>
      <c r="SDK213" s="1"/>
      <c r="SDL213" s="1"/>
      <c r="SDM213" s="1"/>
      <c r="SDN213" s="1"/>
      <c r="SDO213" s="1"/>
      <c r="SDP213" s="1"/>
      <c r="SDQ213" s="1"/>
      <c r="SDR213" s="1"/>
      <c r="SDS213" s="1"/>
      <c r="SDT213" s="1"/>
      <c r="SDU213" s="1"/>
      <c r="SDV213" s="1"/>
      <c r="SDW213" s="1"/>
      <c r="SDX213" s="1"/>
      <c r="SDY213" s="1"/>
      <c r="SDZ213" s="1"/>
      <c r="SEA213" s="1"/>
      <c r="SEB213" s="1"/>
      <c r="SEC213" s="1"/>
      <c r="SED213" s="1"/>
      <c r="SEE213" s="1"/>
      <c r="SEF213" s="1"/>
      <c r="SEG213" s="1"/>
      <c r="SEH213" s="1"/>
      <c r="SEI213" s="1"/>
      <c r="SEJ213" s="1"/>
      <c r="SEK213" s="1"/>
      <c r="SEL213" s="1"/>
      <c r="SEM213" s="1"/>
      <c r="SEN213" s="1"/>
      <c r="SEO213" s="1"/>
      <c r="SEP213" s="1"/>
      <c r="SEQ213" s="1"/>
      <c r="SER213" s="1"/>
      <c r="SES213" s="1"/>
      <c r="SET213" s="1"/>
      <c r="SEU213" s="1"/>
      <c r="SEV213" s="1"/>
      <c r="SEW213" s="1"/>
      <c r="SEX213" s="1"/>
      <c r="SEY213" s="1"/>
      <c r="SEZ213" s="1"/>
      <c r="SFA213" s="1"/>
      <c r="SFB213" s="1"/>
      <c r="SFC213" s="1"/>
      <c r="SFD213" s="1"/>
      <c r="SFE213" s="1"/>
      <c r="SFF213" s="1"/>
      <c r="SFG213" s="1"/>
      <c r="SFH213" s="1"/>
      <c r="SFI213" s="1"/>
      <c r="SFJ213" s="1"/>
      <c r="SFK213" s="1"/>
      <c r="SFL213" s="1"/>
      <c r="SFM213" s="1"/>
      <c r="SFN213" s="1"/>
      <c r="SFO213" s="1"/>
      <c r="SFP213" s="1"/>
      <c r="SFQ213" s="1"/>
      <c r="SFR213" s="1"/>
      <c r="SFS213" s="1"/>
      <c r="SFT213" s="1"/>
      <c r="SFU213" s="1"/>
      <c r="SFV213" s="1"/>
      <c r="SFW213" s="1"/>
      <c r="SFX213" s="1"/>
      <c r="SFY213" s="1"/>
      <c r="SFZ213" s="1"/>
      <c r="SGA213" s="1"/>
      <c r="SGB213" s="1"/>
      <c r="SGC213" s="1"/>
      <c r="SGD213" s="1"/>
      <c r="SGE213" s="1"/>
      <c r="SGF213" s="1"/>
      <c r="SGG213" s="1"/>
      <c r="SGH213" s="1"/>
      <c r="SGI213" s="1"/>
      <c r="SGJ213" s="1"/>
      <c r="SGK213" s="1"/>
      <c r="SGL213" s="1"/>
      <c r="SGM213" s="1"/>
      <c r="SGN213" s="1"/>
      <c r="SGO213" s="1"/>
      <c r="SGP213" s="1"/>
      <c r="SGQ213" s="1"/>
      <c r="SGR213" s="1"/>
      <c r="SGS213" s="1"/>
      <c r="SGT213" s="1"/>
      <c r="SGU213" s="1"/>
      <c r="SGV213" s="1"/>
      <c r="SGW213" s="1"/>
      <c r="SGX213" s="1"/>
      <c r="SGY213" s="1"/>
      <c r="SGZ213" s="1"/>
      <c r="SHA213" s="1"/>
      <c r="SHB213" s="1"/>
      <c r="SHC213" s="1"/>
      <c r="SHD213" s="1"/>
      <c r="SHE213" s="1"/>
      <c r="SHF213" s="1"/>
      <c r="SHG213" s="1"/>
      <c r="SHH213" s="1"/>
      <c r="SHI213" s="1"/>
      <c r="SHJ213" s="1"/>
      <c r="SHK213" s="1"/>
      <c r="SHL213" s="1"/>
      <c r="SHM213" s="1"/>
      <c r="SHN213" s="1"/>
      <c r="SHO213" s="1"/>
      <c r="SHP213" s="1"/>
      <c r="SHQ213" s="1"/>
      <c r="SHR213" s="1"/>
      <c r="SHS213" s="1"/>
      <c r="SHT213" s="1"/>
      <c r="SHU213" s="1"/>
      <c r="SHV213" s="1"/>
      <c r="SHW213" s="1"/>
      <c r="SHX213" s="1"/>
      <c r="SHY213" s="1"/>
      <c r="SHZ213" s="1"/>
      <c r="SIA213" s="1"/>
      <c r="SIB213" s="1"/>
      <c r="SIC213" s="1"/>
      <c r="SID213" s="1"/>
      <c r="SIE213" s="1"/>
      <c r="SIF213" s="1"/>
      <c r="SIG213" s="1"/>
      <c r="SIH213" s="1"/>
      <c r="SII213" s="1"/>
      <c r="SIJ213" s="1"/>
      <c r="SIK213" s="1"/>
      <c r="SIL213" s="1"/>
      <c r="SIM213" s="1"/>
      <c r="SIN213" s="1"/>
      <c r="SIO213" s="1"/>
      <c r="SIP213" s="1"/>
      <c r="SIQ213" s="1"/>
      <c r="SIR213" s="1"/>
      <c r="SIS213" s="1"/>
      <c r="SIT213" s="1"/>
      <c r="SIU213" s="1"/>
      <c r="SIV213" s="1"/>
      <c r="SIW213" s="1"/>
      <c r="SIX213" s="1"/>
      <c r="SIY213" s="1"/>
      <c r="SIZ213" s="1"/>
      <c r="SJA213" s="1"/>
      <c r="SJB213" s="1"/>
      <c r="SJC213" s="1"/>
      <c r="SJD213" s="1"/>
      <c r="SJE213" s="1"/>
      <c r="SJF213" s="1"/>
      <c r="SJG213" s="1"/>
      <c r="SJH213" s="1"/>
      <c r="SJI213" s="1"/>
      <c r="SJJ213" s="1"/>
      <c r="SJK213" s="1"/>
      <c r="SJL213" s="1"/>
      <c r="SJM213" s="1"/>
      <c r="SJN213" s="1"/>
      <c r="SJO213" s="1"/>
      <c r="SJP213" s="1"/>
      <c r="SJQ213" s="1"/>
      <c r="SJR213" s="1"/>
      <c r="SJS213" s="1"/>
      <c r="SJT213" s="1"/>
      <c r="SJU213" s="1"/>
      <c r="SJV213" s="1"/>
      <c r="SJW213" s="1"/>
      <c r="SJX213" s="1"/>
      <c r="SJY213" s="1"/>
      <c r="SJZ213" s="1"/>
      <c r="SKA213" s="1"/>
      <c r="SKB213" s="1"/>
      <c r="SKC213" s="1"/>
      <c r="SKD213" s="1"/>
      <c r="SKE213" s="1"/>
      <c r="SKF213" s="1"/>
      <c r="SKG213" s="1"/>
      <c r="SKH213" s="1"/>
      <c r="SKI213" s="1"/>
      <c r="SKJ213" s="1"/>
      <c r="SKK213" s="1"/>
      <c r="SKL213" s="1"/>
      <c r="SKM213" s="1"/>
      <c r="SKN213" s="1"/>
      <c r="SKO213" s="1"/>
      <c r="SKP213" s="1"/>
      <c r="SKQ213" s="1"/>
      <c r="SKR213" s="1"/>
      <c r="SKS213" s="1"/>
      <c r="SKT213" s="1"/>
      <c r="SKU213" s="1"/>
      <c r="SKV213" s="1"/>
      <c r="SKW213" s="1"/>
      <c r="SKX213" s="1"/>
      <c r="SKY213" s="1"/>
      <c r="SKZ213" s="1"/>
      <c r="SLA213" s="1"/>
      <c r="SLB213" s="1"/>
      <c r="SLC213" s="1"/>
      <c r="SLD213" s="1"/>
      <c r="SLE213" s="1"/>
      <c r="SLF213" s="1"/>
      <c r="SLG213" s="1"/>
      <c r="SLH213" s="1"/>
      <c r="SLI213" s="1"/>
      <c r="SLJ213" s="1"/>
      <c r="SLK213" s="1"/>
      <c r="SLL213" s="1"/>
      <c r="SLM213" s="1"/>
      <c r="SLN213" s="1"/>
      <c r="SLO213" s="1"/>
      <c r="SLP213" s="1"/>
      <c r="SLQ213" s="1"/>
      <c r="SLR213" s="1"/>
      <c r="SLS213" s="1"/>
      <c r="SLT213" s="1"/>
      <c r="SLU213" s="1"/>
      <c r="SLV213" s="1"/>
      <c r="SLW213" s="1"/>
      <c r="SLX213" s="1"/>
      <c r="SLY213" s="1"/>
      <c r="SLZ213" s="1"/>
      <c r="SMA213" s="1"/>
      <c r="SMB213" s="1"/>
      <c r="SMC213" s="1"/>
      <c r="SMD213" s="1"/>
      <c r="SME213" s="1"/>
      <c r="SMF213" s="1"/>
      <c r="SMG213" s="1"/>
      <c r="SMH213" s="1"/>
      <c r="SMI213" s="1"/>
      <c r="SMJ213" s="1"/>
      <c r="SMK213" s="1"/>
      <c r="SML213" s="1"/>
      <c r="SMM213" s="1"/>
      <c r="SMN213" s="1"/>
      <c r="SMO213" s="1"/>
      <c r="SMP213" s="1"/>
      <c r="SMQ213" s="1"/>
      <c r="SMR213" s="1"/>
      <c r="SMS213" s="1"/>
      <c r="SMT213" s="1"/>
      <c r="SMU213" s="1"/>
      <c r="SMV213" s="1"/>
      <c r="SMW213" s="1"/>
      <c r="SMX213" s="1"/>
      <c r="SMY213" s="1"/>
      <c r="SMZ213" s="1"/>
      <c r="SNA213" s="1"/>
      <c r="SNB213" s="1"/>
      <c r="SNC213" s="1"/>
      <c r="SND213" s="1"/>
      <c r="SNE213" s="1"/>
      <c r="SNF213" s="1"/>
      <c r="SNG213" s="1"/>
      <c r="SNH213" s="1"/>
      <c r="SNI213" s="1"/>
      <c r="SNJ213" s="1"/>
      <c r="SNK213" s="1"/>
      <c r="SNL213" s="1"/>
      <c r="SNM213" s="1"/>
      <c r="SNN213" s="1"/>
      <c r="SNO213" s="1"/>
      <c r="SNP213" s="1"/>
      <c r="SNQ213" s="1"/>
      <c r="SNR213" s="1"/>
      <c r="SNS213" s="1"/>
      <c r="SNT213" s="1"/>
      <c r="SNU213" s="1"/>
      <c r="SNV213" s="1"/>
      <c r="SNW213" s="1"/>
      <c r="SNX213" s="1"/>
      <c r="SNY213" s="1"/>
      <c r="SNZ213" s="1"/>
      <c r="SOA213" s="1"/>
      <c r="SOB213" s="1"/>
      <c r="SOC213" s="1"/>
      <c r="SOD213" s="1"/>
      <c r="SOE213" s="1"/>
      <c r="SOF213" s="1"/>
      <c r="SOG213" s="1"/>
      <c r="SOH213" s="1"/>
      <c r="SOI213" s="1"/>
      <c r="SOJ213" s="1"/>
      <c r="SOK213" s="1"/>
      <c r="SOL213" s="1"/>
      <c r="SOM213" s="1"/>
      <c r="SON213" s="1"/>
      <c r="SOO213" s="1"/>
      <c r="SOP213" s="1"/>
      <c r="SOQ213" s="1"/>
      <c r="SOR213" s="1"/>
      <c r="SOS213" s="1"/>
      <c r="SOT213" s="1"/>
      <c r="SOU213" s="1"/>
      <c r="SOV213" s="1"/>
      <c r="SOW213" s="1"/>
      <c r="SOX213" s="1"/>
      <c r="SOY213" s="1"/>
      <c r="SOZ213" s="1"/>
      <c r="SPA213" s="1"/>
      <c r="SPB213" s="1"/>
      <c r="SPC213" s="1"/>
      <c r="SPD213" s="1"/>
      <c r="SPE213" s="1"/>
      <c r="SPF213" s="1"/>
      <c r="SPG213" s="1"/>
      <c r="SPH213" s="1"/>
      <c r="SPI213" s="1"/>
      <c r="SPJ213" s="1"/>
      <c r="SPK213" s="1"/>
      <c r="SPL213" s="1"/>
      <c r="SPM213" s="1"/>
      <c r="SPN213" s="1"/>
      <c r="SPO213" s="1"/>
      <c r="SPP213" s="1"/>
      <c r="SPQ213" s="1"/>
      <c r="SPR213" s="1"/>
      <c r="SPS213" s="1"/>
      <c r="SPT213" s="1"/>
      <c r="SPU213" s="1"/>
      <c r="SPV213" s="1"/>
      <c r="SPW213" s="1"/>
      <c r="SPX213" s="1"/>
      <c r="SPY213" s="1"/>
      <c r="SPZ213" s="1"/>
      <c r="SQA213" s="1"/>
      <c r="SQB213" s="1"/>
      <c r="SQC213" s="1"/>
      <c r="SQD213" s="1"/>
      <c r="SQE213" s="1"/>
      <c r="SQF213" s="1"/>
      <c r="SQG213" s="1"/>
      <c r="SQH213" s="1"/>
      <c r="SQI213" s="1"/>
      <c r="SQJ213" s="1"/>
      <c r="SQK213" s="1"/>
      <c r="SQL213" s="1"/>
      <c r="SQM213" s="1"/>
      <c r="SQN213" s="1"/>
      <c r="SQO213" s="1"/>
      <c r="SQP213" s="1"/>
      <c r="SQQ213" s="1"/>
      <c r="SQR213" s="1"/>
      <c r="SQS213" s="1"/>
      <c r="SQT213" s="1"/>
      <c r="SQU213" s="1"/>
      <c r="SQV213" s="1"/>
      <c r="SQW213" s="1"/>
      <c r="SQX213" s="1"/>
      <c r="SQY213" s="1"/>
      <c r="SQZ213" s="1"/>
      <c r="SRA213" s="1"/>
      <c r="SRB213" s="1"/>
      <c r="SRC213" s="1"/>
      <c r="SRD213" s="1"/>
      <c r="SRE213" s="1"/>
      <c r="SRF213" s="1"/>
      <c r="SRG213" s="1"/>
      <c r="SRH213" s="1"/>
      <c r="SRI213" s="1"/>
      <c r="SRJ213" s="1"/>
      <c r="SRK213" s="1"/>
      <c r="SRL213" s="1"/>
      <c r="SRM213" s="1"/>
      <c r="SRN213" s="1"/>
      <c r="SRO213" s="1"/>
      <c r="SRP213" s="1"/>
      <c r="SRQ213" s="1"/>
      <c r="SRR213" s="1"/>
      <c r="SRS213" s="1"/>
      <c r="SRT213" s="1"/>
      <c r="SRU213" s="1"/>
      <c r="SRV213" s="1"/>
      <c r="SRW213" s="1"/>
      <c r="SRX213" s="1"/>
      <c r="SRY213" s="1"/>
      <c r="SRZ213" s="1"/>
      <c r="SSA213" s="1"/>
      <c r="SSB213" s="1"/>
      <c r="SSC213" s="1"/>
      <c r="SSD213" s="1"/>
      <c r="SSE213" s="1"/>
      <c r="SSF213" s="1"/>
      <c r="SSG213" s="1"/>
      <c r="SSH213" s="1"/>
      <c r="SSI213" s="1"/>
      <c r="SSJ213" s="1"/>
      <c r="SSK213" s="1"/>
      <c r="SSL213" s="1"/>
      <c r="SSM213" s="1"/>
      <c r="SSN213" s="1"/>
      <c r="SSO213" s="1"/>
      <c r="SSP213" s="1"/>
      <c r="SSQ213" s="1"/>
      <c r="SSR213" s="1"/>
      <c r="SSS213" s="1"/>
      <c r="SST213" s="1"/>
      <c r="SSU213" s="1"/>
      <c r="SSV213" s="1"/>
      <c r="SSW213" s="1"/>
      <c r="SSX213" s="1"/>
      <c r="SSY213" s="1"/>
      <c r="SSZ213" s="1"/>
      <c r="STA213" s="1"/>
      <c r="STB213" s="1"/>
      <c r="STC213" s="1"/>
      <c r="STD213" s="1"/>
      <c r="STE213" s="1"/>
      <c r="STF213" s="1"/>
      <c r="STG213" s="1"/>
      <c r="STH213" s="1"/>
      <c r="STI213" s="1"/>
      <c r="STJ213" s="1"/>
      <c r="STK213" s="1"/>
      <c r="STL213" s="1"/>
      <c r="STM213" s="1"/>
      <c r="STN213" s="1"/>
      <c r="STO213" s="1"/>
      <c r="STP213" s="1"/>
      <c r="STQ213" s="1"/>
      <c r="STR213" s="1"/>
      <c r="STS213" s="1"/>
      <c r="STT213" s="1"/>
      <c r="STU213" s="1"/>
      <c r="STV213" s="1"/>
      <c r="STW213" s="1"/>
      <c r="STX213" s="1"/>
      <c r="STY213" s="1"/>
      <c r="STZ213" s="1"/>
      <c r="SUA213" s="1"/>
      <c r="SUB213" s="1"/>
      <c r="SUC213" s="1"/>
      <c r="SUD213" s="1"/>
      <c r="SUE213" s="1"/>
      <c r="SUF213" s="1"/>
      <c r="SUG213" s="1"/>
      <c r="SUH213" s="1"/>
      <c r="SUI213" s="1"/>
      <c r="SUJ213" s="1"/>
      <c r="SUK213" s="1"/>
      <c r="SUL213" s="1"/>
      <c r="SUM213" s="1"/>
      <c r="SUN213" s="1"/>
      <c r="SUO213" s="1"/>
      <c r="SUP213" s="1"/>
      <c r="SUQ213" s="1"/>
      <c r="SUR213" s="1"/>
      <c r="SUS213" s="1"/>
      <c r="SUT213" s="1"/>
      <c r="SUU213" s="1"/>
      <c r="SUV213" s="1"/>
      <c r="SUW213" s="1"/>
      <c r="SUX213" s="1"/>
      <c r="SUY213" s="1"/>
      <c r="SUZ213" s="1"/>
      <c r="SVA213" s="1"/>
      <c r="SVB213" s="1"/>
      <c r="SVC213" s="1"/>
      <c r="SVD213" s="1"/>
      <c r="SVE213" s="1"/>
      <c r="SVF213" s="1"/>
      <c r="SVG213" s="1"/>
      <c r="SVH213" s="1"/>
      <c r="SVI213" s="1"/>
      <c r="SVJ213" s="1"/>
      <c r="SVK213" s="1"/>
      <c r="SVL213" s="1"/>
      <c r="SVM213" s="1"/>
      <c r="SVN213" s="1"/>
      <c r="SVO213" s="1"/>
      <c r="SVP213" s="1"/>
      <c r="SVQ213" s="1"/>
      <c r="SVR213" s="1"/>
      <c r="SVS213" s="1"/>
      <c r="SVT213" s="1"/>
      <c r="SVU213" s="1"/>
      <c r="SVV213" s="1"/>
      <c r="SVW213" s="1"/>
      <c r="SVX213" s="1"/>
      <c r="SVY213" s="1"/>
      <c r="SVZ213" s="1"/>
      <c r="SWA213" s="1"/>
      <c r="SWB213" s="1"/>
      <c r="SWC213" s="1"/>
      <c r="SWD213" s="1"/>
      <c r="SWE213" s="1"/>
      <c r="SWF213" s="1"/>
      <c r="SWG213" s="1"/>
      <c r="SWH213" s="1"/>
      <c r="SWI213" s="1"/>
      <c r="SWJ213" s="1"/>
      <c r="SWK213" s="1"/>
      <c r="SWL213" s="1"/>
      <c r="SWM213" s="1"/>
      <c r="SWN213" s="1"/>
      <c r="SWO213" s="1"/>
      <c r="SWP213" s="1"/>
      <c r="SWQ213" s="1"/>
      <c r="SWR213" s="1"/>
      <c r="SWS213" s="1"/>
      <c r="SWT213" s="1"/>
      <c r="SWU213" s="1"/>
      <c r="SWV213" s="1"/>
      <c r="SWW213" s="1"/>
      <c r="SWX213" s="1"/>
      <c r="SWY213" s="1"/>
      <c r="SWZ213" s="1"/>
      <c r="SXA213" s="1"/>
      <c r="SXB213" s="1"/>
      <c r="SXC213" s="1"/>
      <c r="SXD213" s="1"/>
      <c r="SXE213" s="1"/>
      <c r="SXF213" s="1"/>
      <c r="SXG213" s="1"/>
      <c r="SXH213" s="1"/>
      <c r="SXI213" s="1"/>
      <c r="SXJ213" s="1"/>
      <c r="SXK213" s="1"/>
      <c r="SXL213" s="1"/>
      <c r="SXM213" s="1"/>
      <c r="SXN213" s="1"/>
      <c r="SXO213" s="1"/>
      <c r="SXP213" s="1"/>
      <c r="SXQ213" s="1"/>
      <c r="SXR213" s="1"/>
      <c r="SXS213" s="1"/>
      <c r="SXT213" s="1"/>
      <c r="SXU213" s="1"/>
      <c r="SXV213" s="1"/>
      <c r="SXW213" s="1"/>
      <c r="SXX213" s="1"/>
      <c r="SXY213" s="1"/>
      <c r="SXZ213" s="1"/>
      <c r="SYA213" s="1"/>
      <c r="SYB213" s="1"/>
      <c r="SYC213" s="1"/>
      <c r="SYD213" s="1"/>
      <c r="SYE213" s="1"/>
      <c r="SYF213" s="1"/>
      <c r="SYG213" s="1"/>
      <c r="SYH213" s="1"/>
      <c r="SYI213" s="1"/>
      <c r="SYJ213" s="1"/>
      <c r="SYK213" s="1"/>
      <c r="SYL213" s="1"/>
      <c r="SYM213" s="1"/>
      <c r="SYN213" s="1"/>
      <c r="SYO213" s="1"/>
      <c r="SYP213" s="1"/>
      <c r="SYQ213" s="1"/>
      <c r="SYR213" s="1"/>
      <c r="SYS213" s="1"/>
      <c r="SYT213" s="1"/>
      <c r="SYU213" s="1"/>
      <c r="SYV213" s="1"/>
      <c r="SYW213" s="1"/>
      <c r="SYX213" s="1"/>
      <c r="SYY213" s="1"/>
      <c r="SYZ213" s="1"/>
      <c r="SZA213" s="1"/>
      <c r="SZB213" s="1"/>
      <c r="SZC213" s="1"/>
      <c r="SZD213" s="1"/>
      <c r="SZE213" s="1"/>
      <c r="SZF213" s="1"/>
      <c r="SZG213" s="1"/>
      <c r="SZH213" s="1"/>
      <c r="SZI213" s="1"/>
      <c r="SZJ213" s="1"/>
      <c r="SZK213" s="1"/>
      <c r="SZL213" s="1"/>
      <c r="SZM213" s="1"/>
      <c r="SZN213" s="1"/>
      <c r="SZO213" s="1"/>
      <c r="SZP213" s="1"/>
      <c r="SZQ213" s="1"/>
      <c r="SZR213" s="1"/>
      <c r="SZS213" s="1"/>
      <c r="SZT213" s="1"/>
      <c r="SZU213" s="1"/>
      <c r="SZV213" s="1"/>
      <c r="SZW213" s="1"/>
      <c r="SZX213" s="1"/>
      <c r="SZY213" s="1"/>
      <c r="SZZ213" s="1"/>
      <c r="TAA213" s="1"/>
      <c r="TAB213" s="1"/>
      <c r="TAC213" s="1"/>
      <c r="TAD213" s="1"/>
      <c r="TAE213" s="1"/>
      <c r="TAF213" s="1"/>
      <c r="TAG213" s="1"/>
      <c r="TAH213" s="1"/>
      <c r="TAI213" s="1"/>
      <c r="TAJ213" s="1"/>
      <c r="TAK213" s="1"/>
      <c r="TAL213" s="1"/>
      <c r="TAM213" s="1"/>
      <c r="TAN213" s="1"/>
      <c r="TAO213" s="1"/>
      <c r="TAP213" s="1"/>
      <c r="TAQ213" s="1"/>
      <c r="TAR213" s="1"/>
      <c r="TAS213" s="1"/>
      <c r="TAT213" s="1"/>
      <c r="TAU213" s="1"/>
      <c r="TAV213" s="1"/>
      <c r="TAW213" s="1"/>
      <c r="TAX213" s="1"/>
      <c r="TAY213" s="1"/>
      <c r="TAZ213" s="1"/>
      <c r="TBA213" s="1"/>
      <c r="TBB213" s="1"/>
      <c r="TBC213" s="1"/>
      <c r="TBD213" s="1"/>
      <c r="TBE213" s="1"/>
      <c r="TBF213" s="1"/>
      <c r="TBG213" s="1"/>
      <c r="TBH213" s="1"/>
      <c r="TBI213" s="1"/>
      <c r="TBJ213" s="1"/>
      <c r="TBK213" s="1"/>
      <c r="TBL213" s="1"/>
      <c r="TBM213" s="1"/>
      <c r="TBN213" s="1"/>
      <c r="TBO213" s="1"/>
      <c r="TBP213" s="1"/>
      <c r="TBQ213" s="1"/>
      <c r="TBR213" s="1"/>
      <c r="TBS213" s="1"/>
      <c r="TBT213" s="1"/>
      <c r="TBU213" s="1"/>
      <c r="TBV213" s="1"/>
      <c r="TBW213" s="1"/>
      <c r="TBX213" s="1"/>
      <c r="TBY213" s="1"/>
      <c r="TBZ213" s="1"/>
      <c r="TCA213" s="1"/>
      <c r="TCB213" s="1"/>
      <c r="TCC213" s="1"/>
      <c r="TCD213" s="1"/>
      <c r="TCE213" s="1"/>
      <c r="TCF213" s="1"/>
      <c r="TCG213" s="1"/>
      <c r="TCH213" s="1"/>
      <c r="TCI213" s="1"/>
      <c r="TCJ213" s="1"/>
      <c r="TCK213" s="1"/>
      <c r="TCL213" s="1"/>
      <c r="TCM213" s="1"/>
      <c r="TCN213" s="1"/>
      <c r="TCO213" s="1"/>
      <c r="TCP213" s="1"/>
      <c r="TCQ213" s="1"/>
      <c r="TCR213" s="1"/>
      <c r="TCS213" s="1"/>
      <c r="TCT213" s="1"/>
      <c r="TCU213" s="1"/>
      <c r="TCV213" s="1"/>
      <c r="TCW213" s="1"/>
      <c r="TCX213" s="1"/>
      <c r="TCY213" s="1"/>
      <c r="TCZ213" s="1"/>
      <c r="TDA213" s="1"/>
      <c r="TDB213" s="1"/>
      <c r="TDC213" s="1"/>
      <c r="TDD213" s="1"/>
      <c r="TDE213" s="1"/>
      <c r="TDF213" s="1"/>
      <c r="TDG213" s="1"/>
      <c r="TDH213" s="1"/>
      <c r="TDI213" s="1"/>
      <c r="TDJ213" s="1"/>
      <c r="TDK213" s="1"/>
      <c r="TDL213" s="1"/>
      <c r="TDM213" s="1"/>
      <c r="TDN213" s="1"/>
      <c r="TDO213" s="1"/>
      <c r="TDP213" s="1"/>
      <c r="TDQ213" s="1"/>
      <c r="TDR213" s="1"/>
      <c r="TDS213" s="1"/>
      <c r="TDT213" s="1"/>
      <c r="TDU213" s="1"/>
      <c r="TDV213" s="1"/>
      <c r="TDW213" s="1"/>
      <c r="TDX213" s="1"/>
      <c r="TDY213" s="1"/>
      <c r="TDZ213" s="1"/>
      <c r="TEA213" s="1"/>
      <c r="TEB213" s="1"/>
      <c r="TEC213" s="1"/>
      <c r="TED213" s="1"/>
      <c r="TEE213" s="1"/>
      <c r="TEF213" s="1"/>
      <c r="TEG213" s="1"/>
      <c r="TEH213" s="1"/>
      <c r="TEI213" s="1"/>
      <c r="TEJ213" s="1"/>
      <c r="TEK213" s="1"/>
      <c r="TEL213" s="1"/>
      <c r="TEM213" s="1"/>
      <c r="TEN213" s="1"/>
      <c r="TEO213" s="1"/>
      <c r="TEP213" s="1"/>
      <c r="TEQ213" s="1"/>
      <c r="TER213" s="1"/>
      <c r="TES213" s="1"/>
      <c r="TET213" s="1"/>
      <c r="TEU213" s="1"/>
      <c r="TEV213" s="1"/>
      <c r="TEW213" s="1"/>
      <c r="TEX213" s="1"/>
      <c r="TEY213" s="1"/>
      <c r="TEZ213" s="1"/>
      <c r="TFA213" s="1"/>
      <c r="TFB213" s="1"/>
      <c r="TFC213" s="1"/>
      <c r="TFD213" s="1"/>
      <c r="TFE213" s="1"/>
      <c r="TFF213" s="1"/>
      <c r="TFG213" s="1"/>
      <c r="TFH213" s="1"/>
      <c r="TFI213" s="1"/>
      <c r="TFJ213" s="1"/>
      <c r="TFK213" s="1"/>
      <c r="TFL213" s="1"/>
      <c r="TFM213" s="1"/>
      <c r="TFN213" s="1"/>
      <c r="TFO213" s="1"/>
      <c r="TFP213" s="1"/>
      <c r="TFQ213" s="1"/>
      <c r="TFR213" s="1"/>
      <c r="TFS213" s="1"/>
      <c r="TFT213" s="1"/>
      <c r="TFU213" s="1"/>
      <c r="TFV213" s="1"/>
      <c r="TFW213" s="1"/>
      <c r="TFX213" s="1"/>
      <c r="TFY213" s="1"/>
      <c r="TFZ213" s="1"/>
      <c r="TGA213" s="1"/>
      <c r="TGB213" s="1"/>
      <c r="TGC213" s="1"/>
      <c r="TGD213" s="1"/>
      <c r="TGE213" s="1"/>
      <c r="TGF213" s="1"/>
      <c r="TGG213" s="1"/>
      <c r="TGH213" s="1"/>
      <c r="TGI213" s="1"/>
      <c r="TGJ213" s="1"/>
      <c r="TGK213" s="1"/>
      <c r="TGL213" s="1"/>
      <c r="TGM213" s="1"/>
      <c r="TGN213" s="1"/>
      <c r="TGO213" s="1"/>
      <c r="TGP213" s="1"/>
      <c r="TGQ213" s="1"/>
      <c r="TGR213" s="1"/>
      <c r="TGS213" s="1"/>
      <c r="TGT213" s="1"/>
      <c r="TGU213" s="1"/>
      <c r="TGV213" s="1"/>
      <c r="TGW213" s="1"/>
      <c r="TGX213" s="1"/>
      <c r="TGY213" s="1"/>
      <c r="TGZ213" s="1"/>
      <c r="THA213" s="1"/>
      <c r="THB213" s="1"/>
      <c r="THC213" s="1"/>
      <c r="THD213" s="1"/>
      <c r="THE213" s="1"/>
      <c r="THF213" s="1"/>
      <c r="THG213" s="1"/>
      <c r="THH213" s="1"/>
      <c r="THI213" s="1"/>
      <c r="THJ213" s="1"/>
      <c r="THK213" s="1"/>
      <c r="THL213" s="1"/>
      <c r="THM213" s="1"/>
      <c r="THN213" s="1"/>
      <c r="THO213" s="1"/>
      <c r="THP213" s="1"/>
      <c r="THQ213" s="1"/>
      <c r="THR213" s="1"/>
      <c r="THS213" s="1"/>
      <c r="THT213" s="1"/>
      <c r="THU213" s="1"/>
      <c r="THV213" s="1"/>
      <c r="THW213" s="1"/>
      <c r="THX213" s="1"/>
      <c r="THY213" s="1"/>
      <c r="THZ213" s="1"/>
      <c r="TIA213" s="1"/>
      <c r="TIB213" s="1"/>
      <c r="TIC213" s="1"/>
      <c r="TID213" s="1"/>
      <c r="TIE213" s="1"/>
      <c r="TIF213" s="1"/>
      <c r="TIG213" s="1"/>
      <c r="TIH213" s="1"/>
      <c r="TII213" s="1"/>
      <c r="TIJ213" s="1"/>
      <c r="TIK213" s="1"/>
      <c r="TIL213" s="1"/>
      <c r="TIM213" s="1"/>
      <c r="TIN213" s="1"/>
      <c r="TIO213" s="1"/>
      <c r="TIP213" s="1"/>
      <c r="TIQ213" s="1"/>
      <c r="TIR213" s="1"/>
      <c r="TIS213" s="1"/>
      <c r="TIT213" s="1"/>
      <c r="TIU213" s="1"/>
      <c r="TIV213" s="1"/>
      <c r="TIW213" s="1"/>
      <c r="TIX213" s="1"/>
      <c r="TIY213" s="1"/>
      <c r="TIZ213" s="1"/>
      <c r="TJA213" s="1"/>
      <c r="TJB213" s="1"/>
      <c r="TJC213" s="1"/>
      <c r="TJD213" s="1"/>
      <c r="TJE213" s="1"/>
      <c r="TJF213" s="1"/>
      <c r="TJG213" s="1"/>
      <c r="TJH213" s="1"/>
      <c r="TJI213" s="1"/>
      <c r="TJJ213" s="1"/>
      <c r="TJK213" s="1"/>
      <c r="TJL213" s="1"/>
      <c r="TJM213" s="1"/>
      <c r="TJN213" s="1"/>
      <c r="TJO213" s="1"/>
      <c r="TJP213" s="1"/>
      <c r="TJQ213" s="1"/>
      <c r="TJR213" s="1"/>
      <c r="TJS213" s="1"/>
      <c r="TJT213" s="1"/>
      <c r="TJU213" s="1"/>
      <c r="TJV213" s="1"/>
      <c r="TJW213" s="1"/>
      <c r="TJX213" s="1"/>
      <c r="TJY213" s="1"/>
      <c r="TJZ213" s="1"/>
      <c r="TKA213" s="1"/>
      <c r="TKB213" s="1"/>
      <c r="TKC213" s="1"/>
      <c r="TKD213" s="1"/>
      <c r="TKE213" s="1"/>
      <c r="TKF213" s="1"/>
      <c r="TKG213" s="1"/>
      <c r="TKH213" s="1"/>
      <c r="TKI213" s="1"/>
      <c r="TKJ213" s="1"/>
      <c r="TKK213" s="1"/>
      <c r="TKL213" s="1"/>
      <c r="TKM213" s="1"/>
      <c r="TKN213" s="1"/>
      <c r="TKO213" s="1"/>
      <c r="TKP213" s="1"/>
      <c r="TKQ213" s="1"/>
      <c r="TKR213" s="1"/>
      <c r="TKS213" s="1"/>
      <c r="TKT213" s="1"/>
      <c r="TKU213" s="1"/>
      <c r="TKV213" s="1"/>
      <c r="TKW213" s="1"/>
      <c r="TKX213" s="1"/>
      <c r="TKY213" s="1"/>
      <c r="TKZ213" s="1"/>
      <c r="TLA213" s="1"/>
      <c r="TLB213" s="1"/>
      <c r="TLC213" s="1"/>
      <c r="TLD213" s="1"/>
      <c r="TLE213" s="1"/>
      <c r="TLF213" s="1"/>
      <c r="TLG213" s="1"/>
      <c r="TLH213" s="1"/>
      <c r="TLI213" s="1"/>
      <c r="TLJ213" s="1"/>
      <c r="TLK213" s="1"/>
      <c r="TLL213" s="1"/>
      <c r="TLM213" s="1"/>
      <c r="TLN213" s="1"/>
      <c r="TLO213" s="1"/>
      <c r="TLP213" s="1"/>
      <c r="TLQ213" s="1"/>
      <c r="TLR213" s="1"/>
      <c r="TLS213" s="1"/>
      <c r="TLT213" s="1"/>
      <c r="TLU213" s="1"/>
      <c r="TLV213" s="1"/>
      <c r="TLW213" s="1"/>
      <c r="TLX213" s="1"/>
      <c r="TLY213" s="1"/>
      <c r="TLZ213" s="1"/>
      <c r="TMA213" s="1"/>
      <c r="TMB213" s="1"/>
      <c r="TMC213" s="1"/>
      <c r="TMD213" s="1"/>
      <c r="TME213" s="1"/>
      <c r="TMF213" s="1"/>
      <c r="TMG213" s="1"/>
      <c r="TMH213" s="1"/>
      <c r="TMI213" s="1"/>
      <c r="TMJ213" s="1"/>
      <c r="TMK213" s="1"/>
      <c r="TML213" s="1"/>
      <c r="TMM213" s="1"/>
      <c r="TMN213" s="1"/>
      <c r="TMO213" s="1"/>
      <c r="TMP213" s="1"/>
      <c r="TMQ213" s="1"/>
      <c r="TMR213" s="1"/>
      <c r="TMS213" s="1"/>
      <c r="TMT213" s="1"/>
      <c r="TMU213" s="1"/>
      <c r="TMV213" s="1"/>
      <c r="TMW213" s="1"/>
      <c r="TMX213" s="1"/>
      <c r="TMY213" s="1"/>
      <c r="TMZ213" s="1"/>
      <c r="TNA213" s="1"/>
      <c r="TNB213" s="1"/>
      <c r="TNC213" s="1"/>
      <c r="TND213" s="1"/>
      <c r="TNE213" s="1"/>
      <c r="TNF213" s="1"/>
      <c r="TNG213" s="1"/>
      <c r="TNH213" s="1"/>
      <c r="TNI213" s="1"/>
      <c r="TNJ213" s="1"/>
      <c r="TNK213" s="1"/>
      <c r="TNL213" s="1"/>
      <c r="TNM213" s="1"/>
      <c r="TNN213" s="1"/>
      <c r="TNO213" s="1"/>
      <c r="TNP213" s="1"/>
      <c r="TNQ213" s="1"/>
      <c r="TNR213" s="1"/>
      <c r="TNS213" s="1"/>
      <c r="TNT213" s="1"/>
      <c r="TNU213" s="1"/>
      <c r="TNV213" s="1"/>
      <c r="TNW213" s="1"/>
      <c r="TNX213" s="1"/>
      <c r="TNY213" s="1"/>
      <c r="TNZ213" s="1"/>
      <c r="TOA213" s="1"/>
      <c r="TOB213" s="1"/>
      <c r="TOC213" s="1"/>
      <c r="TOD213" s="1"/>
      <c r="TOE213" s="1"/>
      <c r="TOF213" s="1"/>
      <c r="TOG213" s="1"/>
      <c r="TOH213" s="1"/>
      <c r="TOI213" s="1"/>
      <c r="TOJ213" s="1"/>
      <c r="TOK213" s="1"/>
      <c r="TOL213" s="1"/>
      <c r="TOM213" s="1"/>
      <c r="TON213" s="1"/>
      <c r="TOO213" s="1"/>
      <c r="TOP213" s="1"/>
      <c r="TOQ213" s="1"/>
      <c r="TOR213" s="1"/>
      <c r="TOS213" s="1"/>
      <c r="TOT213" s="1"/>
      <c r="TOU213" s="1"/>
      <c r="TOV213" s="1"/>
      <c r="TOW213" s="1"/>
      <c r="TOX213" s="1"/>
      <c r="TOY213" s="1"/>
      <c r="TOZ213" s="1"/>
      <c r="TPA213" s="1"/>
      <c r="TPB213" s="1"/>
      <c r="TPC213" s="1"/>
      <c r="TPD213" s="1"/>
      <c r="TPE213" s="1"/>
      <c r="TPF213" s="1"/>
      <c r="TPG213" s="1"/>
      <c r="TPH213" s="1"/>
      <c r="TPI213" s="1"/>
      <c r="TPJ213" s="1"/>
      <c r="TPK213" s="1"/>
      <c r="TPL213" s="1"/>
      <c r="TPM213" s="1"/>
      <c r="TPN213" s="1"/>
      <c r="TPO213" s="1"/>
      <c r="TPP213" s="1"/>
      <c r="TPQ213" s="1"/>
      <c r="TPR213" s="1"/>
      <c r="TPS213" s="1"/>
      <c r="TPT213" s="1"/>
      <c r="TPU213" s="1"/>
      <c r="TPV213" s="1"/>
      <c r="TPW213" s="1"/>
      <c r="TPX213" s="1"/>
      <c r="TPY213" s="1"/>
      <c r="TPZ213" s="1"/>
      <c r="TQA213" s="1"/>
      <c r="TQB213" s="1"/>
      <c r="TQC213" s="1"/>
      <c r="TQD213" s="1"/>
      <c r="TQE213" s="1"/>
      <c r="TQF213" s="1"/>
      <c r="TQG213" s="1"/>
      <c r="TQH213" s="1"/>
      <c r="TQI213" s="1"/>
      <c r="TQJ213" s="1"/>
      <c r="TQK213" s="1"/>
      <c r="TQL213" s="1"/>
      <c r="TQM213" s="1"/>
      <c r="TQN213" s="1"/>
      <c r="TQO213" s="1"/>
      <c r="TQP213" s="1"/>
      <c r="TQQ213" s="1"/>
      <c r="TQR213" s="1"/>
      <c r="TQS213" s="1"/>
      <c r="TQT213" s="1"/>
      <c r="TQU213" s="1"/>
      <c r="TQV213" s="1"/>
      <c r="TQW213" s="1"/>
      <c r="TQX213" s="1"/>
      <c r="TQY213" s="1"/>
      <c r="TQZ213" s="1"/>
      <c r="TRA213" s="1"/>
      <c r="TRB213" s="1"/>
      <c r="TRC213" s="1"/>
      <c r="TRD213" s="1"/>
      <c r="TRE213" s="1"/>
      <c r="TRF213" s="1"/>
      <c r="TRG213" s="1"/>
      <c r="TRH213" s="1"/>
      <c r="TRI213" s="1"/>
      <c r="TRJ213" s="1"/>
      <c r="TRK213" s="1"/>
      <c r="TRL213" s="1"/>
      <c r="TRM213" s="1"/>
      <c r="TRN213" s="1"/>
      <c r="TRO213" s="1"/>
      <c r="TRP213" s="1"/>
      <c r="TRQ213" s="1"/>
      <c r="TRR213" s="1"/>
      <c r="TRS213" s="1"/>
      <c r="TRT213" s="1"/>
      <c r="TRU213" s="1"/>
      <c r="TRV213" s="1"/>
      <c r="TRW213" s="1"/>
      <c r="TRX213" s="1"/>
      <c r="TRY213" s="1"/>
      <c r="TRZ213" s="1"/>
      <c r="TSA213" s="1"/>
      <c r="TSB213" s="1"/>
      <c r="TSC213" s="1"/>
      <c r="TSD213" s="1"/>
      <c r="TSE213" s="1"/>
      <c r="TSF213" s="1"/>
      <c r="TSG213" s="1"/>
      <c r="TSH213" s="1"/>
      <c r="TSI213" s="1"/>
      <c r="TSJ213" s="1"/>
      <c r="TSK213" s="1"/>
      <c r="TSL213" s="1"/>
      <c r="TSM213" s="1"/>
      <c r="TSN213" s="1"/>
      <c r="TSO213" s="1"/>
      <c r="TSP213" s="1"/>
      <c r="TSQ213" s="1"/>
      <c r="TSR213" s="1"/>
      <c r="TSS213" s="1"/>
      <c r="TST213" s="1"/>
      <c r="TSU213" s="1"/>
      <c r="TSV213" s="1"/>
      <c r="TSW213" s="1"/>
      <c r="TSX213" s="1"/>
      <c r="TSY213" s="1"/>
      <c r="TSZ213" s="1"/>
      <c r="TTA213" s="1"/>
      <c r="TTB213" s="1"/>
      <c r="TTC213" s="1"/>
      <c r="TTD213" s="1"/>
      <c r="TTE213" s="1"/>
      <c r="TTF213" s="1"/>
      <c r="TTG213" s="1"/>
      <c r="TTH213" s="1"/>
      <c r="TTI213" s="1"/>
      <c r="TTJ213" s="1"/>
      <c r="TTK213" s="1"/>
      <c r="TTL213" s="1"/>
      <c r="TTM213" s="1"/>
      <c r="TTN213" s="1"/>
      <c r="TTO213" s="1"/>
      <c r="TTP213" s="1"/>
      <c r="TTQ213" s="1"/>
      <c r="TTR213" s="1"/>
      <c r="TTS213" s="1"/>
      <c r="TTT213" s="1"/>
      <c r="TTU213" s="1"/>
      <c r="TTV213" s="1"/>
      <c r="TTW213" s="1"/>
      <c r="TTX213" s="1"/>
      <c r="TTY213" s="1"/>
      <c r="TTZ213" s="1"/>
      <c r="TUA213" s="1"/>
      <c r="TUB213" s="1"/>
      <c r="TUC213" s="1"/>
      <c r="TUD213" s="1"/>
      <c r="TUE213" s="1"/>
      <c r="TUF213" s="1"/>
      <c r="TUG213" s="1"/>
      <c r="TUH213" s="1"/>
      <c r="TUI213" s="1"/>
      <c r="TUJ213" s="1"/>
      <c r="TUK213" s="1"/>
      <c r="TUL213" s="1"/>
      <c r="TUM213" s="1"/>
      <c r="TUN213" s="1"/>
      <c r="TUO213" s="1"/>
      <c r="TUP213" s="1"/>
      <c r="TUQ213" s="1"/>
      <c r="TUR213" s="1"/>
      <c r="TUS213" s="1"/>
      <c r="TUT213" s="1"/>
      <c r="TUU213" s="1"/>
      <c r="TUV213" s="1"/>
      <c r="TUW213" s="1"/>
      <c r="TUX213" s="1"/>
      <c r="TUY213" s="1"/>
      <c r="TUZ213" s="1"/>
      <c r="TVA213" s="1"/>
      <c r="TVB213" s="1"/>
      <c r="TVC213" s="1"/>
      <c r="TVD213" s="1"/>
      <c r="TVE213" s="1"/>
      <c r="TVF213" s="1"/>
      <c r="TVG213" s="1"/>
      <c r="TVH213" s="1"/>
      <c r="TVI213" s="1"/>
      <c r="TVJ213" s="1"/>
      <c r="TVK213" s="1"/>
      <c r="TVL213" s="1"/>
      <c r="TVM213" s="1"/>
      <c r="TVN213" s="1"/>
      <c r="TVO213" s="1"/>
      <c r="TVP213" s="1"/>
      <c r="TVQ213" s="1"/>
      <c r="TVR213" s="1"/>
      <c r="TVS213" s="1"/>
      <c r="TVT213" s="1"/>
      <c r="TVU213" s="1"/>
      <c r="TVV213" s="1"/>
      <c r="TVW213" s="1"/>
      <c r="TVX213" s="1"/>
      <c r="TVY213" s="1"/>
      <c r="TVZ213" s="1"/>
      <c r="TWA213" s="1"/>
      <c r="TWB213" s="1"/>
      <c r="TWC213" s="1"/>
      <c r="TWD213" s="1"/>
      <c r="TWE213" s="1"/>
      <c r="TWF213" s="1"/>
      <c r="TWG213" s="1"/>
      <c r="TWH213" s="1"/>
      <c r="TWI213" s="1"/>
      <c r="TWJ213" s="1"/>
      <c r="TWK213" s="1"/>
      <c r="TWL213" s="1"/>
      <c r="TWM213" s="1"/>
      <c r="TWN213" s="1"/>
      <c r="TWO213" s="1"/>
      <c r="TWP213" s="1"/>
      <c r="TWQ213" s="1"/>
      <c r="TWR213" s="1"/>
      <c r="TWS213" s="1"/>
      <c r="TWT213" s="1"/>
      <c r="TWU213" s="1"/>
      <c r="TWV213" s="1"/>
      <c r="TWW213" s="1"/>
      <c r="TWX213" s="1"/>
      <c r="TWY213" s="1"/>
      <c r="TWZ213" s="1"/>
      <c r="TXA213" s="1"/>
      <c r="TXB213" s="1"/>
      <c r="TXC213" s="1"/>
      <c r="TXD213" s="1"/>
      <c r="TXE213" s="1"/>
      <c r="TXF213" s="1"/>
      <c r="TXG213" s="1"/>
      <c r="TXH213" s="1"/>
      <c r="TXI213" s="1"/>
      <c r="TXJ213" s="1"/>
      <c r="TXK213" s="1"/>
      <c r="TXL213" s="1"/>
      <c r="TXM213" s="1"/>
      <c r="TXN213" s="1"/>
      <c r="TXO213" s="1"/>
      <c r="TXP213" s="1"/>
      <c r="TXQ213" s="1"/>
      <c r="TXR213" s="1"/>
      <c r="TXS213" s="1"/>
      <c r="TXT213" s="1"/>
      <c r="TXU213" s="1"/>
      <c r="TXV213" s="1"/>
      <c r="TXW213" s="1"/>
      <c r="TXX213" s="1"/>
      <c r="TXY213" s="1"/>
      <c r="TXZ213" s="1"/>
      <c r="TYA213" s="1"/>
      <c r="TYB213" s="1"/>
      <c r="TYC213" s="1"/>
      <c r="TYD213" s="1"/>
      <c r="TYE213" s="1"/>
      <c r="TYF213" s="1"/>
      <c r="TYG213" s="1"/>
      <c r="TYH213" s="1"/>
      <c r="TYI213" s="1"/>
      <c r="TYJ213" s="1"/>
      <c r="TYK213" s="1"/>
      <c r="TYL213" s="1"/>
      <c r="TYM213" s="1"/>
      <c r="TYN213" s="1"/>
      <c r="TYO213" s="1"/>
      <c r="TYP213" s="1"/>
      <c r="TYQ213" s="1"/>
      <c r="TYR213" s="1"/>
      <c r="TYS213" s="1"/>
      <c r="TYT213" s="1"/>
      <c r="TYU213" s="1"/>
      <c r="TYV213" s="1"/>
      <c r="TYW213" s="1"/>
      <c r="TYX213" s="1"/>
      <c r="TYY213" s="1"/>
      <c r="TYZ213" s="1"/>
      <c r="TZA213" s="1"/>
      <c r="TZB213" s="1"/>
      <c r="TZC213" s="1"/>
      <c r="TZD213" s="1"/>
      <c r="TZE213" s="1"/>
      <c r="TZF213" s="1"/>
      <c r="TZG213" s="1"/>
      <c r="TZH213" s="1"/>
      <c r="TZI213" s="1"/>
      <c r="TZJ213" s="1"/>
      <c r="TZK213" s="1"/>
      <c r="TZL213" s="1"/>
      <c r="TZM213" s="1"/>
      <c r="TZN213" s="1"/>
      <c r="TZO213" s="1"/>
      <c r="TZP213" s="1"/>
      <c r="TZQ213" s="1"/>
      <c r="TZR213" s="1"/>
      <c r="TZS213" s="1"/>
      <c r="TZT213" s="1"/>
      <c r="TZU213" s="1"/>
      <c r="TZV213" s="1"/>
      <c r="TZW213" s="1"/>
      <c r="TZX213" s="1"/>
      <c r="TZY213" s="1"/>
      <c r="TZZ213" s="1"/>
      <c r="UAA213" s="1"/>
      <c r="UAB213" s="1"/>
      <c r="UAC213" s="1"/>
      <c r="UAD213" s="1"/>
      <c r="UAE213" s="1"/>
      <c r="UAF213" s="1"/>
      <c r="UAG213" s="1"/>
      <c r="UAH213" s="1"/>
      <c r="UAI213" s="1"/>
      <c r="UAJ213" s="1"/>
      <c r="UAK213" s="1"/>
      <c r="UAL213" s="1"/>
      <c r="UAM213" s="1"/>
      <c r="UAN213" s="1"/>
      <c r="UAO213" s="1"/>
      <c r="UAP213" s="1"/>
      <c r="UAQ213" s="1"/>
      <c r="UAR213" s="1"/>
      <c r="UAS213" s="1"/>
      <c r="UAT213" s="1"/>
      <c r="UAU213" s="1"/>
      <c r="UAV213" s="1"/>
      <c r="UAW213" s="1"/>
      <c r="UAX213" s="1"/>
      <c r="UAY213" s="1"/>
      <c r="UAZ213" s="1"/>
      <c r="UBA213" s="1"/>
      <c r="UBB213" s="1"/>
      <c r="UBC213" s="1"/>
      <c r="UBD213" s="1"/>
      <c r="UBE213" s="1"/>
      <c r="UBF213" s="1"/>
      <c r="UBG213" s="1"/>
      <c r="UBH213" s="1"/>
      <c r="UBI213" s="1"/>
      <c r="UBJ213" s="1"/>
      <c r="UBK213" s="1"/>
      <c r="UBL213" s="1"/>
      <c r="UBM213" s="1"/>
      <c r="UBN213" s="1"/>
      <c r="UBO213" s="1"/>
      <c r="UBP213" s="1"/>
      <c r="UBQ213" s="1"/>
      <c r="UBR213" s="1"/>
      <c r="UBS213" s="1"/>
      <c r="UBT213" s="1"/>
      <c r="UBU213" s="1"/>
      <c r="UBV213" s="1"/>
      <c r="UBW213" s="1"/>
      <c r="UBX213" s="1"/>
      <c r="UBY213" s="1"/>
      <c r="UBZ213" s="1"/>
      <c r="UCA213" s="1"/>
      <c r="UCB213" s="1"/>
      <c r="UCC213" s="1"/>
      <c r="UCD213" s="1"/>
      <c r="UCE213" s="1"/>
      <c r="UCF213" s="1"/>
      <c r="UCG213" s="1"/>
      <c r="UCH213" s="1"/>
      <c r="UCI213" s="1"/>
      <c r="UCJ213" s="1"/>
      <c r="UCK213" s="1"/>
      <c r="UCL213" s="1"/>
      <c r="UCM213" s="1"/>
      <c r="UCN213" s="1"/>
      <c r="UCO213" s="1"/>
      <c r="UCP213" s="1"/>
      <c r="UCQ213" s="1"/>
      <c r="UCR213" s="1"/>
      <c r="UCS213" s="1"/>
      <c r="UCT213" s="1"/>
      <c r="UCU213" s="1"/>
      <c r="UCV213" s="1"/>
      <c r="UCW213" s="1"/>
      <c r="UCX213" s="1"/>
      <c r="UCY213" s="1"/>
      <c r="UCZ213" s="1"/>
      <c r="UDA213" s="1"/>
      <c r="UDB213" s="1"/>
      <c r="UDC213" s="1"/>
      <c r="UDD213" s="1"/>
      <c r="UDE213" s="1"/>
      <c r="UDF213" s="1"/>
      <c r="UDG213" s="1"/>
      <c r="UDH213" s="1"/>
      <c r="UDI213" s="1"/>
      <c r="UDJ213" s="1"/>
      <c r="UDK213" s="1"/>
      <c r="UDL213" s="1"/>
      <c r="UDM213" s="1"/>
      <c r="UDN213" s="1"/>
      <c r="UDO213" s="1"/>
      <c r="UDP213" s="1"/>
      <c r="UDQ213" s="1"/>
      <c r="UDR213" s="1"/>
      <c r="UDS213" s="1"/>
      <c r="UDT213" s="1"/>
      <c r="UDU213" s="1"/>
      <c r="UDV213" s="1"/>
      <c r="UDW213" s="1"/>
      <c r="UDX213" s="1"/>
      <c r="UDY213" s="1"/>
      <c r="UDZ213" s="1"/>
      <c r="UEA213" s="1"/>
      <c r="UEB213" s="1"/>
      <c r="UEC213" s="1"/>
      <c r="UED213" s="1"/>
      <c r="UEE213" s="1"/>
      <c r="UEF213" s="1"/>
      <c r="UEG213" s="1"/>
      <c r="UEH213" s="1"/>
      <c r="UEI213" s="1"/>
      <c r="UEJ213" s="1"/>
      <c r="UEK213" s="1"/>
      <c r="UEL213" s="1"/>
      <c r="UEM213" s="1"/>
      <c r="UEN213" s="1"/>
      <c r="UEO213" s="1"/>
      <c r="UEP213" s="1"/>
      <c r="UEQ213" s="1"/>
      <c r="UER213" s="1"/>
      <c r="UES213" s="1"/>
      <c r="UET213" s="1"/>
      <c r="UEU213" s="1"/>
      <c r="UEV213" s="1"/>
      <c r="UEW213" s="1"/>
      <c r="UEX213" s="1"/>
      <c r="UEY213" s="1"/>
      <c r="UEZ213" s="1"/>
      <c r="UFA213" s="1"/>
      <c r="UFB213" s="1"/>
      <c r="UFC213" s="1"/>
      <c r="UFD213" s="1"/>
      <c r="UFE213" s="1"/>
      <c r="UFF213" s="1"/>
      <c r="UFG213" s="1"/>
      <c r="UFH213" s="1"/>
      <c r="UFI213" s="1"/>
      <c r="UFJ213" s="1"/>
      <c r="UFK213" s="1"/>
      <c r="UFL213" s="1"/>
      <c r="UFM213" s="1"/>
      <c r="UFN213" s="1"/>
      <c r="UFO213" s="1"/>
      <c r="UFP213" s="1"/>
      <c r="UFQ213" s="1"/>
      <c r="UFR213" s="1"/>
      <c r="UFS213" s="1"/>
      <c r="UFT213" s="1"/>
      <c r="UFU213" s="1"/>
      <c r="UFV213" s="1"/>
      <c r="UFW213" s="1"/>
      <c r="UFX213" s="1"/>
      <c r="UFY213" s="1"/>
      <c r="UFZ213" s="1"/>
      <c r="UGA213" s="1"/>
      <c r="UGB213" s="1"/>
      <c r="UGC213" s="1"/>
      <c r="UGD213" s="1"/>
      <c r="UGE213" s="1"/>
      <c r="UGF213" s="1"/>
      <c r="UGG213" s="1"/>
      <c r="UGH213" s="1"/>
      <c r="UGI213" s="1"/>
      <c r="UGJ213" s="1"/>
      <c r="UGK213" s="1"/>
      <c r="UGL213" s="1"/>
      <c r="UGM213" s="1"/>
      <c r="UGN213" s="1"/>
      <c r="UGO213" s="1"/>
      <c r="UGP213" s="1"/>
      <c r="UGQ213" s="1"/>
      <c r="UGR213" s="1"/>
      <c r="UGS213" s="1"/>
      <c r="UGT213" s="1"/>
      <c r="UGU213" s="1"/>
      <c r="UGV213" s="1"/>
      <c r="UGW213" s="1"/>
      <c r="UGX213" s="1"/>
      <c r="UGY213" s="1"/>
      <c r="UGZ213" s="1"/>
      <c r="UHA213" s="1"/>
      <c r="UHB213" s="1"/>
      <c r="UHC213" s="1"/>
      <c r="UHD213" s="1"/>
      <c r="UHE213" s="1"/>
      <c r="UHF213" s="1"/>
      <c r="UHG213" s="1"/>
      <c r="UHH213" s="1"/>
      <c r="UHI213" s="1"/>
      <c r="UHJ213" s="1"/>
      <c r="UHK213" s="1"/>
      <c r="UHL213" s="1"/>
      <c r="UHM213" s="1"/>
      <c r="UHN213" s="1"/>
      <c r="UHO213" s="1"/>
      <c r="UHP213" s="1"/>
      <c r="UHQ213" s="1"/>
      <c r="UHR213" s="1"/>
      <c r="UHS213" s="1"/>
      <c r="UHT213" s="1"/>
      <c r="UHU213" s="1"/>
      <c r="UHV213" s="1"/>
      <c r="UHW213" s="1"/>
      <c r="UHX213" s="1"/>
      <c r="UHY213" s="1"/>
      <c r="UHZ213" s="1"/>
      <c r="UIA213" s="1"/>
      <c r="UIB213" s="1"/>
      <c r="UIC213" s="1"/>
      <c r="UID213" s="1"/>
      <c r="UIE213" s="1"/>
      <c r="UIF213" s="1"/>
      <c r="UIG213" s="1"/>
      <c r="UIH213" s="1"/>
      <c r="UII213" s="1"/>
      <c r="UIJ213" s="1"/>
      <c r="UIK213" s="1"/>
      <c r="UIL213" s="1"/>
      <c r="UIM213" s="1"/>
      <c r="UIN213" s="1"/>
      <c r="UIO213" s="1"/>
      <c r="UIP213" s="1"/>
      <c r="UIQ213" s="1"/>
      <c r="UIR213" s="1"/>
      <c r="UIS213" s="1"/>
      <c r="UIT213" s="1"/>
      <c r="UIU213" s="1"/>
      <c r="UIV213" s="1"/>
      <c r="UIW213" s="1"/>
      <c r="UIX213" s="1"/>
      <c r="UIY213" s="1"/>
      <c r="UIZ213" s="1"/>
      <c r="UJA213" s="1"/>
      <c r="UJB213" s="1"/>
      <c r="UJC213" s="1"/>
      <c r="UJD213" s="1"/>
      <c r="UJE213" s="1"/>
      <c r="UJF213" s="1"/>
      <c r="UJG213" s="1"/>
      <c r="UJH213" s="1"/>
      <c r="UJI213" s="1"/>
      <c r="UJJ213" s="1"/>
      <c r="UJK213" s="1"/>
      <c r="UJL213" s="1"/>
      <c r="UJM213" s="1"/>
      <c r="UJN213" s="1"/>
      <c r="UJO213" s="1"/>
      <c r="UJP213" s="1"/>
      <c r="UJQ213" s="1"/>
      <c r="UJR213" s="1"/>
      <c r="UJS213" s="1"/>
      <c r="UJT213" s="1"/>
      <c r="UJU213" s="1"/>
      <c r="UJV213" s="1"/>
      <c r="UJW213" s="1"/>
      <c r="UJX213" s="1"/>
      <c r="UJY213" s="1"/>
      <c r="UJZ213" s="1"/>
      <c r="UKA213" s="1"/>
      <c r="UKB213" s="1"/>
      <c r="UKC213" s="1"/>
      <c r="UKD213" s="1"/>
      <c r="UKE213" s="1"/>
      <c r="UKF213" s="1"/>
      <c r="UKG213" s="1"/>
      <c r="UKH213" s="1"/>
      <c r="UKI213" s="1"/>
      <c r="UKJ213" s="1"/>
      <c r="UKK213" s="1"/>
      <c r="UKL213" s="1"/>
      <c r="UKM213" s="1"/>
      <c r="UKN213" s="1"/>
      <c r="UKO213" s="1"/>
      <c r="UKP213" s="1"/>
      <c r="UKQ213" s="1"/>
      <c r="UKR213" s="1"/>
      <c r="UKS213" s="1"/>
      <c r="UKT213" s="1"/>
      <c r="UKU213" s="1"/>
      <c r="UKV213" s="1"/>
      <c r="UKW213" s="1"/>
      <c r="UKX213" s="1"/>
      <c r="UKY213" s="1"/>
      <c r="UKZ213" s="1"/>
      <c r="ULA213" s="1"/>
      <c r="ULB213" s="1"/>
      <c r="ULC213" s="1"/>
      <c r="ULD213" s="1"/>
      <c r="ULE213" s="1"/>
      <c r="ULF213" s="1"/>
      <c r="ULG213" s="1"/>
      <c r="ULH213" s="1"/>
      <c r="ULI213" s="1"/>
      <c r="ULJ213" s="1"/>
      <c r="ULK213" s="1"/>
      <c r="ULL213" s="1"/>
      <c r="ULM213" s="1"/>
      <c r="ULN213" s="1"/>
      <c r="ULO213" s="1"/>
      <c r="ULP213" s="1"/>
      <c r="ULQ213" s="1"/>
      <c r="ULR213" s="1"/>
      <c r="ULS213" s="1"/>
      <c r="ULT213" s="1"/>
      <c r="ULU213" s="1"/>
      <c r="ULV213" s="1"/>
      <c r="ULW213" s="1"/>
      <c r="ULX213" s="1"/>
      <c r="ULY213" s="1"/>
      <c r="ULZ213" s="1"/>
      <c r="UMA213" s="1"/>
      <c r="UMB213" s="1"/>
      <c r="UMC213" s="1"/>
      <c r="UMD213" s="1"/>
      <c r="UME213" s="1"/>
      <c r="UMF213" s="1"/>
      <c r="UMG213" s="1"/>
      <c r="UMH213" s="1"/>
      <c r="UMI213" s="1"/>
      <c r="UMJ213" s="1"/>
      <c r="UMK213" s="1"/>
      <c r="UML213" s="1"/>
      <c r="UMM213" s="1"/>
      <c r="UMN213" s="1"/>
      <c r="UMO213" s="1"/>
      <c r="UMP213" s="1"/>
      <c r="UMQ213" s="1"/>
      <c r="UMR213" s="1"/>
      <c r="UMS213" s="1"/>
      <c r="UMT213" s="1"/>
      <c r="UMU213" s="1"/>
      <c r="UMV213" s="1"/>
      <c r="UMW213" s="1"/>
      <c r="UMX213" s="1"/>
      <c r="UMY213" s="1"/>
      <c r="UMZ213" s="1"/>
      <c r="UNA213" s="1"/>
      <c r="UNB213" s="1"/>
      <c r="UNC213" s="1"/>
      <c r="UND213" s="1"/>
      <c r="UNE213" s="1"/>
      <c r="UNF213" s="1"/>
      <c r="UNG213" s="1"/>
      <c r="UNH213" s="1"/>
      <c r="UNI213" s="1"/>
      <c r="UNJ213" s="1"/>
      <c r="UNK213" s="1"/>
      <c r="UNL213" s="1"/>
      <c r="UNM213" s="1"/>
      <c r="UNN213" s="1"/>
      <c r="UNO213" s="1"/>
      <c r="UNP213" s="1"/>
      <c r="UNQ213" s="1"/>
      <c r="UNR213" s="1"/>
      <c r="UNS213" s="1"/>
      <c r="UNT213" s="1"/>
      <c r="UNU213" s="1"/>
      <c r="UNV213" s="1"/>
      <c r="UNW213" s="1"/>
      <c r="UNX213" s="1"/>
      <c r="UNY213" s="1"/>
      <c r="UNZ213" s="1"/>
      <c r="UOA213" s="1"/>
      <c r="UOB213" s="1"/>
      <c r="UOC213" s="1"/>
      <c r="UOD213" s="1"/>
      <c r="UOE213" s="1"/>
      <c r="UOF213" s="1"/>
      <c r="UOG213" s="1"/>
      <c r="UOH213" s="1"/>
      <c r="UOI213" s="1"/>
      <c r="UOJ213" s="1"/>
      <c r="UOK213" s="1"/>
      <c r="UOL213" s="1"/>
      <c r="UOM213" s="1"/>
      <c r="UON213" s="1"/>
      <c r="UOO213" s="1"/>
      <c r="UOP213" s="1"/>
      <c r="UOQ213" s="1"/>
      <c r="UOR213" s="1"/>
      <c r="UOS213" s="1"/>
      <c r="UOT213" s="1"/>
      <c r="UOU213" s="1"/>
      <c r="UOV213" s="1"/>
      <c r="UOW213" s="1"/>
      <c r="UOX213" s="1"/>
      <c r="UOY213" s="1"/>
      <c r="UOZ213" s="1"/>
      <c r="UPA213" s="1"/>
      <c r="UPB213" s="1"/>
      <c r="UPC213" s="1"/>
      <c r="UPD213" s="1"/>
      <c r="UPE213" s="1"/>
      <c r="UPF213" s="1"/>
      <c r="UPG213" s="1"/>
      <c r="UPH213" s="1"/>
      <c r="UPI213" s="1"/>
      <c r="UPJ213" s="1"/>
      <c r="UPK213" s="1"/>
      <c r="UPL213" s="1"/>
      <c r="UPM213" s="1"/>
      <c r="UPN213" s="1"/>
      <c r="UPO213" s="1"/>
      <c r="UPP213" s="1"/>
      <c r="UPQ213" s="1"/>
      <c r="UPR213" s="1"/>
      <c r="UPS213" s="1"/>
      <c r="UPT213" s="1"/>
      <c r="UPU213" s="1"/>
      <c r="UPV213" s="1"/>
      <c r="UPW213" s="1"/>
      <c r="UPX213" s="1"/>
      <c r="UPY213" s="1"/>
      <c r="UPZ213" s="1"/>
      <c r="UQA213" s="1"/>
      <c r="UQB213" s="1"/>
      <c r="UQC213" s="1"/>
      <c r="UQD213" s="1"/>
      <c r="UQE213" s="1"/>
      <c r="UQF213" s="1"/>
      <c r="UQG213" s="1"/>
      <c r="UQH213" s="1"/>
      <c r="UQI213" s="1"/>
      <c r="UQJ213" s="1"/>
      <c r="UQK213" s="1"/>
      <c r="UQL213" s="1"/>
      <c r="UQM213" s="1"/>
      <c r="UQN213" s="1"/>
      <c r="UQO213" s="1"/>
      <c r="UQP213" s="1"/>
      <c r="UQQ213" s="1"/>
      <c r="UQR213" s="1"/>
      <c r="UQS213" s="1"/>
      <c r="UQT213" s="1"/>
      <c r="UQU213" s="1"/>
      <c r="UQV213" s="1"/>
      <c r="UQW213" s="1"/>
      <c r="UQX213" s="1"/>
      <c r="UQY213" s="1"/>
      <c r="UQZ213" s="1"/>
      <c r="URA213" s="1"/>
      <c r="URB213" s="1"/>
      <c r="URC213" s="1"/>
      <c r="URD213" s="1"/>
      <c r="URE213" s="1"/>
      <c r="URF213" s="1"/>
      <c r="URG213" s="1"/>
      <c r="URH213" s="1"/>
      <c r="URI213" s="1"/>
      <c r="URJ213" s="1"/>
      <c r="URK213" s="1"/>
      <c r="URL213" s="1"/>
      <c r="URM213" s="1"/>
      <c r="URN213" s="1"/>
      <c r="URO213" s="1"/>
      <c r="URP213" s="1"/>
      <c r="URQ213" s="1"/>
      <c r="URR213" s="1"/>
      <c r="URS213" s="1"/>
      <c r="URT213" s="1"/>
      <c r="URU213" s="1"/>
      <c r="URV213" s="1"/>
      <c r="URW213" s="1"/>
      <c r="URX213" s="1"/>
      <c r="URY213" s="1"/>
      <c r="URZ213" s="1"/>
      <c r="USA213" s="1"/>
      <c r="USB213" s="1"/>
      <c r="USC213" s="1"/>
      <c r="USD213" s="1"/>
      <c r="USE213" s="1"/>
      <c r="USF213" s="1"/>
      <c r="USG213" s="1"/>
      <c r="USH213" s="1"/>
      <c r="USI213" s="1"/>
      <c r="USJ213" s="1"/>
      <c r="USK213" s="1"/>
      <c r="USL213" s="1"/>
      <c r="USM213" s="1"/>
      <c r="USN213" s="1"/>
      <c r="USO213" s="1"/>
      <c r="USP213" s="1"/>
      <c r="USQ213" s="1"/>
      <c r="USR213" s="1"/>
      <c r="USS213" s="1"/>
      <c r="UST213" s="1"/>
      <c r="USU213" s="1"/>
      <c r="USV213" s="1"/>
      <c r="USW213" s="1"/>
      <c r="USX213" s="1"/>
      <c r="USY213" s="1"/>
      <c r="USZ213" s="1"/>
      <c r="UTA213" s="1"/>
      <c r="UTB213" s="1"/>
      <c r="UTC213" s="1"/>
      <c r="UTD213" s="1"/>
      <c r="UTE213" s="1"/>
      <c r="UTF213" s="1"/>
      <c r="UTG213" s="1"/>
      <c r="UTH213" s="1"/>
      <c r="UTI213" s="1"/>
      <c r="UTJ213" s="1"/>
      <c r="UTK213" s="1"/>
      <c r="UTL213" s="1"/>
      <c r="UTM213" s="1"/>
      <c r="UTN213" s="1"/>
      <c r="UTO213" s="1"/>
      <c r="UTP213" s="1"/>
      <c r="UTQ213" s="1"/>
      <c r="UTR213" s="1"/>
      <c r="UTS213" s="1"/>
      <c r="UTT213" s="1"/>
      <c r="UTU213" s="1"/>
      <c r="UTV213" s="1"/>
      <c r="UTW213" s="1"/>
      <c r="UTX213" s="1"/>
      <c r="UTY213" s="1"/>
      <c r="UTZ213" s="1"/>
      <c r="UUA213" s="1"/>
      <c r="UUB213" s="1"/>
      <c r="UUC213" s="1"/>
      <c r="UUD213" s="1"/>
      <c r="UUE213" s="1"/>
      <c r="UUF213" s="1"/>
      <c r="UUG213" s="1"/>
      <c r="UUH213" s="1"/>
      <c r="UUI213" s="1"/>
      <c r="UUJ213" s="1"/>
      <c r="UUK213" s="1"/>
      <c r="UUL213" s="1"/>
      <c r="UUM213" s="1"/>
      <c r="UUN213" s="1"/>
      <c r="UUO213" s="1"/>
      <c r="UUP213" s="1"/>
      <c r="UUQ213" s="1"/>
      <c r="UUR213" s="1"/>
      <c r="UUS213" s="1"/>
      <c r="UUT213" s="1"/>
      <c r="UUU213" s="1"/>
      <c r="UUV213" s="1"/>
      <c r="UUW213" s="1"/>
      <c r="UUX213" s="1"/>
      <c r="UUY213" s="1"/>
      <c r="UUZ213" s="1"/>
      <c r="UVA213" s="1"/>
      <c r="UVB213" s="1"/>
      <c r="UVC213" s="1"/>
      <c r="UVD213" s="1"/>
      <c r="UVE213" s="1"/>
      <c r="UVF213" s="1"/>
      <c r="UVG213" s="1"/>
      <c r="UVH213" s="1"/>
      <c r="UVI213" s="1"/>
      <c r="UVJ213" s="1"/>
      <c r="UVK213" s="1"/>
      <c r="UVL213" s="1"/>
      <c r="UVM213" s="1"/>
      <c r="UVN213" s="1"/>
      <c r="UVO213" s="1"/>
      <c r="UVP213" s="1"/>
      <c r="UVQ213" s="1"/>
      <c r="UVR213" s="1"/>
      <c r="UVS213" s="1"/>
      <c r="UVT213" s="1"/>
      <c r="UVU213" s="1"/>
      <c r="UVV213" s="1"/>
      <c r="UVW213" s="1"/>
      <c r="UVX213" s="1"/>
      <c r="UVY213" s="1"/>
      <c r="UVZ213" s="1"/>
      <c r="UWA213" s="1"/>
      <c r="UWB213" s="1"/>
      <c r="UWC213" s="1"/>
      <c r="UWD213" s="1"/>
      <c r="UWE213" s="1"/>
      <c r="UWF213" s="1"/>
      <c r="UWG213" s="1"/>
      <c r="UWH213" s="1"/>
      <c r="UWI213" s="1"/>
      <c r="UWJ213" s="1"/>
      <c r="UWK213" s="1"/>
      <c r="UWL213" s="1"/>
      <c r="UWM213" s="1"/>
      <c r="UWN213" s="1"/>
      <c r="UWO213" s="1"/>
      <c r="UWP213" s="1"/>
      <c r="UWQ213" s="1"/>
      <c r="UWR213" s="1"/>
      <c r="UWS213" s="1"/>
      <c r="UWT213" s="1"/>
      <c r="UWU213" s="1"/>
      <c r="UWV213" s="1"/>
      <c r="UWW213" s="1"/>
      <c r="UWX213" s="1"/>
      <c r="UWY213" s="1"/>
      <c r="UWZ213" s="1"/>
      <c r="UXA213" s="1"/>
      <c r="UXB213" s="1"/>
      <c r="UXC213" s="1"/>
      <c r="UXD213" s="1"/>
      <c r="UXE213" s="1"/>
      <c r="UXF213" s="1"/>
      <c r="UXG213" s="1"/>
      <c r="UXH213" s="1"/>
      <c r="UXI213" s="1"/>
      <c r="UXJ213" s="1"/>
      <c r="UXK213" s="1"/>
      <c r="UXL213" s="1"/>
      <c r="UXM213" s="1"/>
      <c r="UXN213" s="1"/>
      <c r="UXO213" s="1"/>
      <c r="UXP213" s="1"/>
      <c r="UXQ213" s="1"/>
      <c r="UXR213" s="1"/>
      <c r="UXS213" s="1"/>
      <c r="UXT213" s="1"/>
      <c r="UXU213" s="1"/>
      <c r="UXV213" s="1"/>
      <c r="UXW213" s="1"/>
      <c r="UXX213" s="1"/>
      <c r="UXY213" s="1"/>
      <c r="UXZ213" s="1"/>
      <c r="UYA213" s="1"/>
      <c r="UYB213" s="1"/>
      <c r="UYC213" s="1"/>
      <c r="UYD213" s="1"/>
      <c r="UYE213" s="1"/>
      <c r="UYF213" s="1"/>
      <c r="UYG213" s="1"/>
      <c r="UYH213" s="1"/>
      <c r="UYI213" s="1"/>
      <c r="UYJ213" s="1"/>
      <c r="UYK213" s="1"/>
      <c r="UYL213" s="1"/>
      <c r="UYM213" s="1"/>
      <c r="UYN213" s="1"/>
      <c r="UYO213" s="1"/>
      <c r="UYP213" s="1"/>
      <c r="UYQ213" s="1"/>
      <c r="UYR213" s="1"/>
      <c r="UYS213" s="1"/>
      <c r="UYT213" s="1"/>
      <c r="UYU213" s="1"/>
      <c r="UYV213" s="1"/>
      <c r="UYW213" s="1"/>
      <c r="UYX213" s="1"/>
      <c r="UYY213" s="1"/>
      <c r="UYZ213" s="1"/>
      <c r="UZA213" s="1"/>
      <c r="UZB213" s="1"/>
      <c r="UZC213" s="1"/>
      <c r="UZD213" s="1"/>
      <c r="UZE213" s="1"/>
      <c r="UZF213" s="1"/>
      <c r="UZG213" s="1"/>
      <c r="UZH213" s="1"/>
      <c r="UZI213" s="1"/>
      <c r="UZJ213" s="1"/>
      <c r="UZK213" s="1"/>
      <c r="UZL213" s="1"/>
      <c r="UZM213" s="1"/>
      <c r="UZN213" s="1"/>
      <c r="UZO213" s="1"/>
      <c r="UZP213" s="1"/>
      <c r="UZQ213" s="1"/>
      <c r="UZR213" s="1"/>
      <c r="UZS213" s="1"/>
      <c r="UZT213" s="1"/>
      <c r="UZU213" s="1"/>
      <c r="UZV213" s="1"/>
      <c r="UZW213" s="1"/>
      <c r="UZX213" s="1"/>
      <c r="UZY213" s="1"/>
      <c r="UZZ213" s="1"/>
      <c r="VAA213" s="1"/>
      <c r="VAB213" s="1"/>
      <c r="VAC213" s="1"/>
      <c r="VAD213" s="1"/>
      <c r="VAE213" s="1"/>
      <c r="VAF213" s="1"/>
      <c r="VAG213" s="1"/>
      <c r="VAH213" s="1"/>
      <c r="VAI213" s="1"/>
      <c r="VAJ213" s="1"/>
      <c r="VAK213" s="1"/>
      <c r="VAL213" s="1"/>
      <c r="VAM213" s="1"/>
      <c r="VAN213" s="1"/>
      <c r="VAO213" s="1"/>
      <c r="VAP213" s="1"/>
      <c r="VAQ213" s="1"/>
      <c r="VAR213" s="1"/>
      <c r="VAS213" s="1"/>
      <c r="VAT213" s="1"/>
      <c r="VAU213" s="1"/>
      <c r="VAV213" s="1"/>
      <c r="VAW213" s="1"/>
      <c r="VAX213" s="1"/>
      <c r="VAY213" s="1"/>
      <c r="VAZ213" s="1"/>
      <c r="VBA213" s="1"/>
      <c r="VBB213" s="1"/>
      <c r="VBC213" s="1"/>
      <c r="VBD213" s="1"/>
      <c r="VBE213" s="1"/>
      <c r="VBF213" s="1"/>
      <c r="VBG213" s="1"/>
      <c r="VBH213" s="1"/>
      <c r="VBI213" s="1"/>
      <c r="VBJ213" s="1"/>
      <c r="VBK213" s="1"/>
      <c r="VBL213" s="1"/>
      <c r="VBM213" s="1"/>
      <c r="VBN213" s="1"/>
      <c r="VBO213" s="1"/>
      <c r="VBP213" s="1"/>
      <c r="VBQ213" s="1"/>
      <c r="VBR213" s="1"/>
      <c r="VBS213" s="1"/>
      <c r="VBT213" s="1"/>
      <c r="VBU213" s="1"/>
      <c r="VBV213" s="1"/>
      <c r="VBW213" s="1"/>
      <c r="VBX213" s="1"/>
      <c r="VBY213" s="1"/>
      <c r="VBZ213" s="1"/>
      <c r="VCA213" s="1"/>
      <c r="VCB213" s="1"/>
      <c r="VCC213" s="1"/>
      <c r="VCD213" s="1"/>
      <c r="VCE213" s="1"/>
      <c r="VCF213" s="1"/>
      <c r="VCG213" s="1"/>
      <c r="VCH213" s="1"/>
      <c r="VCI213" s="1"/>
      <c r="VCJ213" s="1"/>
      <c r="VCK213" s="1"/>
      <c r="VCL213" s="1"/>
      <c r="VCM213" s="1"/>
      <c r="VCN213" s="1"/>
      <c r="VCO213" s="1"/>
      <c r="VCP213" s="1"/>
      <c r="VCQ213" s="1"/>
      <c r="VCR213" s="1"/>
      <c r="VCS213" s="1"/>
      <c r="VCT213" s="1"/>
      <c r="VCU213" s="1"/>
      <c r="VCV213" s="1"/>
    </row>
    <row r="214" spans="5:14972" s="2" customFormat="1" ht="15" thickBot="1" x14ac:dyDescent="0.35">
      <c r="E214" s="1"/>
      <c r="F214" s="11"/>
      <c r="G214" s="10" t="s">
        <v>1</v>
      </c>
      <c r="H214" s="324"/>
      <c r="I214" s="9" t="s">
        <v>0</v>
      </c>
      <c r="J214" s="8">
        <f t="shared" ref="J214:AM214" si="99">SUM(J213:J213)</f>
        <v>24000</v>
      </c>
      <c r="K214" s="8">
        <f t="shared" si="99"/>
        <v>23900</v>
      </c>
      <c r="L214" s="8">
        <f t="shared" si="99"/>
        <v>24600</v>
      </c>
      <c r="M214" s="8">
        <f t="shared" si="99"/>
        <v>24000</v>
      </c>
      <c r="N214" s="8">
        <f t="shared" si="99"/>
        <v>25700</v>
      </c>
      <c r="O214" s="8">
        <f t="shared" si="99"/>
        <v>22200</v>
      </c>
      <c r="P214" s="8">
        <f t="shared" si="99"/>
        <v>25800</v>
      </c>
      <c r="Q214" s="8">
        <f t="shared" si="99"/>
        <v>25900</v>
      </c>
      <c r="R214" s="8">
        <f t="shared" si="99"/>
        <v>22900</v>
      </c>
      <c r="S214" s="8">
        <f t="shared" si="99"/>
        <v>21100</v>
      </c>
      <c r="T214" s="8">
        <f t="shared" si="99"/>
        <v>21100</v>
      </c>
      <c r="U214" s="8">
        <f t="shared" si="99"/>
        <v>21500</v>
      </c>
      <c r="V214" s="8">
        <f t="shared" si="99"/>
        <v>21900</v>
      </c>
      <c r="W214" s="8">
        <f t="shared" si="99"/>
        <v>24400</v>
      </c>
      <c r="X214" s="8">
        <f t="shared" si="99"/>
        <v>13800</v>
      </c>
      <c r="Y214" s="8">
        <f t="shared" si="99"/>
        <v>5200</v>
      </c>
      <c r="Z214" s="8">
        <f t="shared" si="99"/>
        <v>4200</v>
      </c>
      <c r="AA214" s="8">
        <f t="shared" si="99"/>
        <v>6300</v>
      </c>
      <c r="AB214" s="8">
        <f t="shared" si="99"/>
        <v>19800</v>
      </c>
      <c r="AC214" s="8">
        <f t="shared" si="99"/>
        <v>24700</v>
      </c>
      <c r="AD214" s="8">
        <f t="shared" si="99"/>
        <v>27000</v>
      </c>
      <c r="AE214" s="8">
        <f t="shared" si="99"/>
        <v>26300</v>
      </c>
      <c r="AF214" s="8">
        <f t="shared" si="99"/>
        <v>26500</v>
      </c>
      <c r="AG214" s="8">
        <f t="shared" si="99"/>
        <v>26700</v>
      </c>
      <c r="AH214" s="8">
        <f t="shared" si="99"/>
        <v>22000</v>
      </c>
      <c r="AI214" s="8">
        <f t="shared" si="99"/>
        <v>24000</v>
      </c>
      <c r="AJ214" s="8">
        <f t="shared" si="99"/>
        <v>26000</v>
      </c>
      <c r="AK214" s="8">
        <f t="shared" si="99"/>
        <v>28200</v>
      </c>
      <c r="AL214" s="8">
        <f t="shared" si="99"/>
        <v>27700</v>
      </c>
      <c r="AM214" s="8">
        <f t="shared" si="99"/>
        <v>28000</v>
      </c>
      <c r="AN214" s="7"/>
      <c r="AO214" s="6">
        <f>SUM(J214:AM214)</f>
        <v>665400</v>
      </c>
      <c r="AP214" s="1"/>
      <c r="AQ214" s="1"/>
      <c r="AS214" s="3"/>
      <c r="CA214" s="1"/>
      <c r="CB214" s="1"/>
      <c r="CC214" s="1"/>
      <c r="CD214" s="1"/>
      <c r="CE214" s="1"/>
      <c r="CF214" s="1"/>
      <c r="CG214" s="1"/>
      <c r="CH214" s="1"/>
      <c r="CI214" s="1"/>
      <c r="CJ214" s="1"/>
      <c r="CK214" s="1"/>
      <c r="CL214" s="1"/>
      <c r="CM214" s="1"/>
      <c r="CN214" s="1"/>
      <c r="CO214" s="1"/>
      <c r="CP214" s="1"/>
      <c r="CQ214" s="1"/>
      <c r="CR214" s="1"/>
      <c r="CS214" s="1"/>
      <c r="CT214" s="1"/>
      <c r="CU214" s="1"/>
      <c r="CV214" s="1"/>
      <c r="CW214" s="1"/>
      <c r="CX214" s="1"/>
      <c r="CY214" s="1"/>
      <c r="CZ214" s="1"/>
      <c r="DA214" s="1"/>
      <c r="DB214"/>
      <c r="DC214" s="1"/>
      <c r="DD214" s="1"/>
      <c r="DE214" s="1"/>
      <c r="DF214" s="1"/>
      <c r="DG214" s="1"/>
      <c r="DH214" s="1"/>
      <c r="DI214" s="1"/>
      <c r="DJ214" s="1"/>
      <c r="DK214" s="1"/>
      <c r="DL214" s="1"/>
      <c r="DM214" s="1"/>
      <c r="DN214" s="1"/>
      <c r="DO214" s="1"/>
      <c r="DP214" s="1"/>
      <c r="DQ214" s="1"/>
      <c r="DR214" s="1"/>
      <c r="DS214" s="1"/>
      <c r="DT214" s="1"/>
      <c r="DU214" s="1"/>
      <c r="DV214" s="1"/>
      <c r="DW214" s="1"/>
      <c r="DX214" s="1"/>
      <c r="DY214" s="1"/>
      <c r="DZ214" s="1"/>
      <c r="EA214" s="1"/>
      <c r="EB214" s="1"/>
      <c r="EC214" s="1"/>
      <c r="ED214" s="1"/>
      <c r="EE214" s="1"/>
      <c r="EF214" s="1"/>
      <c r="EG214" s="1"/>
      <c r="EH214" s="1"/>
      <c r="EI214" s="1"/>
      <c r="EJ214" s="1"/>
      <c r="EK214" s="1"/>
      <c r="EL214" s="1"/>
      <c r="EM214" s="1"/>
      <c r="EN214" s="1"/>
      <c r="EO214" s="1"/>
      <c r="EP214" s="1"/>
      <c r="EQ214" s="1"/>
      <c r="ER214" s="1"/>
      <c r="ES214" s="1"/>
      <c r="ET214" s="1"/>
      <c r="EU214" s="1"/>
      <c r="EV214" s="1"/>
      <c r="EW214" s="1"/>
      <c r="EX214" s="1"/>
      <c r="EY214" s="1"/>
      <c r="EZ214" s="1"/>
      <c r="FA214" s="1"/>
      <c r="FB214" s="1"/>
      <c r="FC214" s="1"/>
      <c r="FD214" s="1"/>
      <c r="FE214" s="1"/>
      <c r="FF214" s="1"/>
      <c r="FG214" s="1"/>
      <c r="FH214" s="1"/>
      <c r="FI214" s="1"/>
      <c r="FJ214" s="1"/>
      <c r="FK214" s="1"/>
      <c r="FL214" s="1"/>
      <c r="FM214" s="1"/>
      <c r="FN214" s="1"/>
      <c r="FO214" s="1"/>
      <c r="FP214" s="1"/>
      <c r="FQ214" s="1"/>
      <c r="FR214" s="1"/>
      <c r="FS214" s="1"/>
      <c r="FT214" s="1"/>
      <c r="FU214" s="1"/>
      <c r="FV214" s="1"/>
      <c r="FW214" s="1"/>
      <c r="FX214" s="1"/>
      <c r="FY214" s="1"/>
      <c r="FZ214" s="1"/>
      <c r="GA214" s="1"/>
      <c r="GB214" s="1"/>
      <c r="GC214" s="1"/>
      <c r="GD214" s="1"/>
      <c r="GE214" s="1"/>
      <c r="GF214" s="1"/>
      <c r="GG214" s="1"/>
      <c r="GH214" s="1"/>
      <c r="GI214" s="1"/>
      <c r="GJ214" s="1"/>
      <c r="GK214" s="1"/>
      <c r="GL214" s="1"/>
      <c r="GM214" s="1"/>
      <c r="GN214" s="1"/>
      <c r="GO214" s="1"/>
      <c r="GP214" s="1"/>
      <c r="GQ214" s="1"/>
      <c r="GR214" s="1"/>
      <c r="GS214" s="1"/>
      <c r="GT214" s="1"/>
      <c r="GU214" s="1"/>
      <c r="GV214" s="1"/>
      <c r="GW214" s="1"/>
      <c r="GX214" s="1"/>
      <c r="GY214" s="1"/>
      <c r="GZ214" s="1"/>
      <c r="HA214" s="1"/>
      <c r="HB214" s="1"/>
      <c r="HC214" s="1"/>
      <c r="HD214" s="1"/>
      <c r="HE214" s="1"/>
      <c r="HF214" s="1"/>
      <c r="HG214" s="1"/>
      <c r="HH214" s="1"/>
      <c r="HI214" s="1"/>
      <c r="HJ214" s="1"/>
      <c r="HK214" s="1"/>
      <c r="HL214" s="1"/>
      <c r="HM214" s="1"/>
      <c r="HN214" s="1"/>
      <c r="HO214" s="1"/>
      <c r="HP214" s="1"/>
      <c r="HQ214" s="1"/>
      <c r="HR214" s="1"/>
      <c r="HS214" s="1"/>
      <c r="HT214" s="1"/>
      <c r="HU214" s="1"/>
      <c r="HV214" s="1"/>
      <c r="HW214" s="1"/>
      <c r="HX214" s="1"/>
      <c r="HY214" s="1"/>
      <c r="HZ214" s="1"/>
      <c r="IA214" s="1"/>
      <c r="IB214" s="1"/>
      <c r="IC214" s="1"/>
      <c r="ID214" s="1"/>
      <c r="IE214" s="1"/>
      <c r="IF214" s="1"/>
      <c r="IG214" s="1"/>
      <c r="IH214" s="1"/>
      <c r="II214" s="1"/>
      <c r="IJ214" s="1"/>
      <c r="IK214" s="1"/>
      <c r="IL214" s="1"/>
      <c r="IM214" s="1"/>
      <c r="IN214" s="1"/>
      <c r="IO214" s="1"/>
      <c r="IP214" s="1"/>
      <c r="IQ214" s="1"/>
      <c r="IR214" s="1"/>
      <c r="IS214" s="1"/>
      <c r="IT214" s="1"/>
      <c r="IU214" s="1"/>
      <c r="IV214" s="1"/>
      <c r="IW214" s="1"/>
      <c r="IX214" s="1"/>
      <c r="IY214" s="1"/>
      <c r="IZ214" s="1"/>
      <c r="JA214" s="1"/>
      <c r="JB214" s="1"/>
      <c r="JC214" s="1"/>
      <c r="JD214" s="1"/>
      <c r="JE214" s="1"/>
      <c r="JF214" s="1"/>
      <c r="JG214" s="1"/>
      <c r="JH214" s="1"/>
      <c r="JI214" s="1"/>
      <c r="JJ214" s="1"/>
      <c r="JK214" s="1"/>
      <c r="JL214" s="1"/>
      <c r="JM214" s="1"/>
      <c r="JN214" s="1"/>
      <c r="JO214" s="1"/>
      <c r="JP214" s="1"/>
      <c r="JQ214" s="1"/>
      <c r="JR214" s="1"/>
      <c r="JS214" s="1"/>
      <c r="JT214" s="1"/>
      <c r="JU214" s="1"/>
      <c r="JV214" s="1"/>
      <c r="JW214" s="1"/>
      <c r="JX214" s="1"/>
      <c r="JY214" s="1"/>
      <c r="JZ214" s="1"/>
      <c r="KA214" s="1"/>
      <c r="KB214" s="1"/>
      <c r="KC214" s="1"/>
      <c r="KD214" s="1"/>
      <c r="KE214" s="1"/>
      <c r="KF214" s="1"/>
      <c r="KG214" s="1"/>
      <c r="KH214" s="1"/>
      <c r="KI214" s="1"/>
      <c r="KJ214" s="1"/>
      <c r="KK214" s="1"/>
      <c r="KL214" s="1"/>
      <c r="KM214" s="1"/>
      <c r="KN214" s="1"/>
      <c r="KO214" s="1"/>
      <c r="KP214" s="1"/>
      <c r="KQ214" s="1"/>
      <c r="KR214" s="1"/>
      <c r="KS214" s="1"/>
      <c r="KT214" s="1"/>
      <c r="KU214" s="1"/>
      <c r="KV214" s="1"/>
      <c r="KW214" s="1"/>
      <c r="KX214" s="1"/>
      <c r="KY214" s="1"/>
      <c r="KZ214" s="1"/>
      <c r="LA214" s="1"/>
      <c r="LB214" s="1"/>
      <c r="LC214" s="1"/>
      <c r="LD214" s="1"/>
      <c r="LE214" s="1"/>
      <c r="LF214" s="1"/>
      <c r="LG214" s="1"/>
      <c r="LH214" s="1"/>
      <c r="LI214" s="1"/>
      <c r="LJ214" s="1"/>
      <c r="LK214" s="1"/>
      <c r="LL214" s="1"/>
      <c r="LM214" s="1"/>
      <c r="LN214" s="1"/>
      <c r="LO214" s="1"/>
      <c r="LP214" s="1"/>
      <c r="LQ214" s="1"/>
      <c r="LR214" s="1"/>
      <c r="LS214" s="1"/>
      <c r="LT214" s="1"/>
      <c r="LU214" s="1"/>
      <c r="LV214" s="1"/>
      <c r="LW214" s="1"/>
      <c r="LX214" s="1"/>
      <c r="LY214" s="1"/>
      <c r="LZ214" s="1"/>
      <c r="MA214" s="1"/>
      <c r="MB214" s="1"/>
      <c r="MC214" s="1"/>
      <c r="MD214" s="1"/>
      <c r="ME214" s="1"/>
      <c r="MF214" s="1"/>
      <c r="MG214" s="1"/>
      <c r="MH214" s="1"/>
      <c r="MI214" s="1"/>
      <c r="MJ214" s="1"/>
      <c r="MK214" s="1"/>
      <c r="ML214" s="1"/>
      <c r="MM214" s="1"/>
      <c r="MN214" s="1"/>
      <c r="MO214" s="1"/>
      <c r="MP214" s="1"/>
      <c r="MQ214" s="1"/>
      <c r="MR214" s="1"/>
      <c r="MS214" s="1"/>
      <c r="MT214" s="1"/>
      <c r="MU214" s="1"/>
      <c r="MV214" s="1"/>
      <c r="MW214" s="1"/>
      <c r="MX214" s="1"/>
      <c r="MY214" s="1"/>
      <c r="MZ214" s="1"/>
      <c r="NA214" s="1"/>
      <c r="NB214" s="1"/>
      <c r="NC214" s="1"/>
      <c r="ND214" s="1"/>
      <c r="NE214" s="1"/>
      <c r="NF214" s="1"/>
      <c r="NG214" s="1"/>
      <c r="NH214" s="1"/>
      <c r="NI214" s="1"/>
      <c r="NJ214" s="1"/>
      <c r="NK214" s="1"/>
      <c r="NL214" s="1"/>
      <c r="NM214" s="1"/>
      <c r="NN214" s="1"/>
      <c r="NO214" s="1"/>
      <c r="NP214" s="1"/>
      <c r="NQ214" s="1"/>
      <c r="NR214" s="1"/>
      <c r="NS214" s="1"/>
      <c r="NT214" s="1"/>
      <c r="NU214" s="1"/>
      <c r="NV214" s="1"/>
      <c r="NW214" s="1"/>
      <c r="NX214" s="1"/>
      <c r="NY214" s="1"/>
      <c r="NZ214" s="1"/>
      <c r="OA214" s="1"/>
      <c r="OB214" s="1"/>
      <c r="OC214" s="1"/>
      <c r="OD214" s="1"/>
      <c r="OE214" s="1"/>
      <c r="OF214" s="1"/>
      <c r="OG214" s="1"/>
      <c r="OH214" s="1"/>
      <c r="OI214" s="1"/>
      <c r="OJ214" s="1"/>
      <c r="OK214" s="1"/>
      <c r="OL214" s="1"/>
      <c r="OM214" s="1"/>
      <c r="ON214" s="1"/>
      <c r="OO214" s="1"/>
      <c r="OP214" s="1"/>
      <c r="OQ214" s="1"/>
      <c r="OR214" s="1"/>
      <c r="OS214" s="1"/>
      <c r="OT214" s="1"/>
      <c r="OU214" s="1"/>
      <c r="OV214" s="1"/>
      <c r="OW214" s="1"/>
      <c r="OX214" s="1"/>
      <c r="OY214" s="1"/>
      <c r="OZ214" s="1"/>
      <c r="PA214" s="1"/>
      <c r="PB214" s="1"/>
      <c r="PC214" s="1"/>
      <c r="PD214" s="1"/>
      <c r="PE214" s="1"/>
      <c r="PF214" s="1"/>
      <c r="PG214" s="1"/>
      <c r="PH214" s="1"/>
      <c r="PI214" s="1"/>
      <c r="PJ214" s="1"/>
      <c r="PK214" s="1"/>
      <c r="PL214" s="1"/>
      <c r="PM214" s="1"/>
      <c r="PN214" s="1"/>
      <c r="PO214" s="1"/>
      <c r="PP214" s="1"/>
      <c r="PQ214" s="1"/>
      <c r="PR214" s="1"/>
      <c r="PS214" s="1"/>
      <c r="PT214" s="1"/>
      <c r="PU214" s="1"/>
      <c r="PV214" s="1"/>
      <c r="PW214" s="1"/>
      <c r="PX214" s="1"/>
      <c r="PY214" s="1"/>
      <c r="PZ214" s="1"/>
      <c r="QA214" s="1"/>
      <c r="QB214" s="1"/>
      <c r="QC214" s="1"/>
      <c r="QD214" s="1"/>
      <c r="QE214" s="1"/>
      <c r="QF214" s="1"/>
      <c r="QG214" s="1"/>
      <c r="QH214" s="1"/>
      <c r="QI214" s="1"/>
      <c r="QJ214" s="1"/>
      <c r="QK214" s="1"/>
      <c r="QL214" s="1"/>
      <c r="QM214" s="1"/>
      <c r="QN214" s="1"/>
      <c r="QO214" s="1"/>
      <c r="QP214" s="1"/>
      <c r="QQ214" s="1"/>
      <c r="QR214" s="1"/>
      <c r="QS214" s="1"/>
      <c r="QT214" s="1"/>
      <c r="QU214" s="1"/>
      <c r="QV214" s="1"/>
      <c r="QW214" s="1"/>
      <c r="QX214" s="1"/>
      <c r="QY214" s="1"/>
      <c r="QZ214" s="1"/>
      <c r="RA214" s="1"/>
      <c r="RB214" s="1"/>
      <c r="RC214" s="1"/>
      <c r="RD214" s="1"/>
      <c r="RE214" s="1"/>
      <c r="RF214" s="1"/>
      <c r="RG214" s="1"/>
      <c r="RH214" s="1"/>
      <c r="RI214" s="1"/>
      <c r="RJ214" s="1"/>
      <c r="RK214" s="1"/>
      <c r="RL214" s="1"/>
      <c r="RM214" s="1"/>
      <c r="RN214" s="1"/>
      <c r="RO214" s="1"/>
      <c r="RP214" s="1"/>
      <c r="RQ214" s="1"/>
      <c r="RR214" s="1"/>
      <c r="RS214" s="1"/>
      <c r="RT214" s="1"/>
      <c r="RU214" s="1"/>
      <c r="RV214" s="1"/>
      <c r="RW214" s="1"/>
      <c r="RX214" s="1"/>
      <c r="RY214" s="1"/>
      <c r="RZ214" s="1"/>
      <c r="SA214" s="1"/>
      <c r="SB214" s="1"/>
      <c r="SC214" s="1"/>
      <c r="SD214" s="1"/>
      <c r="SE214" s="1"/>
      <c r="SF214" s="1"/>
      <c r="SG214" s="1"/>
      <c r="SH214" s="1"/>
      <c r="SI214" s="1"/>
      <c r="SJ214" s="1"/>
      <c r="SK214" s="1"/>
      <c r="SL214" s="1"/>
      <c r="SM214" s="1"/>
      <c r="SN214" s="1"/>
      <c r="SO214" s="1"/>
      <c r="SP214" s="1"/>
      <c r="SQ214" s="1"/>
      <c r="SR214" s="1"/>
      <c r="SS214" s="1"/>
      <c r="ST214" s="1"/>
      <c r="SU214" s="1"/>
      <c r="SV214" s="1"/>
      <c r="SW214" s="1"/>
      <c r="SX214" s="1"/>
      <c r="SY214" s="1"/>
      <c r="SZ214" s="1"/>
      <c r="TA214" s="1"/>
      <c r="TB214" s="1"/>
      <c r="TC214" s="1"/>
      <c r="TD214" s="1"/>
      <c r="TE214" s="1"/>
      <c r="TF214" s="1"/>
      <c r="TG214" s="1"/>
      <c r="TH214" s="1"/>
      <c r="TI214" s="1"/>
      <c r="TJ214" s="1"/>
      <c r="TK214" s="1"/>
      <c r="TL214" s="1"/>
      <c r="TM214" s="1"/>
      <c r="TN214" s="1"/>
      <c r="TO214" s="1"/>
      <c r="TP214" s="1"/>
      <c r="TQ214" s="1"/>
      <c r="TR214" s="1"/>
      <c r="TS214" s="1"/>
      <c r="TT214" s="1"/>
      <c r="TU214" s="1"/>
      <c r="TV214" s="1"/>
      <c r="TW214" s="1"/>
      <c r="TX214" s="1"/>
      <c r="TY214" s="1"/>
      <c r="TZ214" s="1"/>
      <c r="UA214" s="1"/>
      <c r="UB214" s="1"/>
      <c r="UC214" s="1"/>
      <c r="UD214" s="1"/>
      <c r="UE214" s="1"/>
      <c r="UF214" s="1"/>
      <c r="UG214" s="1"/>
      <c r="UH214" s="1"/>
      <c r="UI214" s="1"/>
      <c r="UJ214" s="1"/>
      <c r="UK214" s="1"/>
      <c r="UL214" s="1"/>
      <c r="UM214" s="1"/>
      <c r="UN214" s="1"/>
      <c r="UO214" s="1"/>
      <c r="UP214" s="1"/>
      <c r="UQ214" s="1"/>
      <c r="UR214" s="1"/>
      <c r="US214" s="1"/>
      <c r="UT214" s="1"/>
      <c r="UU214" s="1"/>
      <c r="UV214" s="1"/>
      <c r="UW214" s="1"/>
      <c r="UX214" s="1"/>
      <c r="UY214" s="1"/>
      <c r="UZ214" s="1"/>
      <c r="VA214" s="1"/>
      <c r="VB214" s="1"/>
      <c r="VC214" s="1"/>
      <c r="VD214" s="1"/>
      <c r="VE214" s="1"/>
      <c r="VF214" s="1"/>
      <c r="VG214" s="1"/>
      <c r="VH214" s="1"/>
      <c r="VI214" s="1"/>
      <c r="VJ214" s="1"/>
      <c r="VK214" s="1"/>
      <c r="VL214" s="1"/>
      <c r="VM214" s="1"/>
      <c r="VN214" s="1"/>
      <c r="VO214" s="1"/>
      <c r="VP214" s="1"/>
      <c r="VQ214" s="1"/>
      <c r="VR214" s="1"/>
      <c r="VS214" s="1"/>
      <c r="VT214" s="1"/>
      <c r="VU214" s="1"/>
      <c r="VV214" s="1"/>
      <c r="VW214" s="1"/>
      <c r="VX214" s="1"/>
      <c r="VY214" s="1"/>
      <c r="VZ214" s="1"/>
      <c r="WA214" s="1"/>
      <c r="WB214" s="1"/>
      <c r="WC214" s="1"/>
      <c r="WD214" s="1"/>
      <c r="WE214" s="1"/>
      <c r="WF214" s="1"/>
      <c r="WG214" s="1"/>
      <c r="WH214" s="1"/>
      <c r="WI214" s="1"/>
      <c r="WJ214" s="1"/>
      <c r="WK214" s="1"/>
      <c r="WL214" s="1"/>
      <c r="WM214" s="1"/>
      <c r="WN214" s="1"/>
      <c r="WO214" s="1"/>
      <c r="WP214" s="1"/>
      <c r="WQ214" s="1"/>
      <c r="WR214" s="1"/>
      <c r="WS214" s="1"/>
      <c r="WT214" s="1"/>
      <c r="WU214" s="1"/>
      <c r="WV214" s="1"/>
      <c r="WW214" s="1"/>
      <c r="WX214" s="1"/>
      <c r="WY214" s="1"/>
      <c r="WZ214" s="1"/>
      <c r="XA214" s="1"/>
      <c r="XB214" s="1"/>
      <c r="XC214" s="1"/>
      <c r="XD214" s="1"/>
      <c r="XE214" s="1"/>
      <c r="XF214" s="1"/>
      <c r="XG214" s="1"/>
      <c r="XH214" s="1"/>
      <c r="XI214" s="1"/>
      <c r="XJ214" s="1"/>
      <c r="XK214" s="1"/>
      <c r="XL214" s="1"/>
      <c r="XM214" s="1"/>
      <c r="XN214" s="1"/>
      <c r="XO214" s="1"/>
      <c r="XP214" s="1"/>
      <c r="XQ214" s="1"/>
      <c r="XR214" s="1"/>
      <c r="XS214" s="1"/>
      <c r="XT214" s="1"/>
      <c r="XU214" s="1"/>
      <c r="XV214" s="1"/>
      <c r="XW214" s="1"/>
      <c r="XX214" s="1"/>
      <c r="XY214" s="1"/>
      <c r="XZ214" s="1"/>
      <c r="YA214" s="1"/>
      <c r="YB214" s="1"/>
      <c r="YC214" s="1"/>
      <c r="YD214" s="1"/>
      <c r="YE214" s="1"/>
      <c r="YF214" s="1"/>
      <c r="YG214" s="1"/>
      <c r="YH214" s="1"/>
      <c r="YI214" s="1"/>
      <c r="YJ214" s="1"/>
      <c r="YK214" s="1"/>
      <c r="YL214" s="1"/>
      <c r="YM214" s="1"/>
      <c r="YN214" s="1"/>
      <c r="YO214" s="1"/>
      <c r="YP214" s="1"/>
      <c r="YQ214" s="1"/>
      <c r="YR214" s="1"/>
      <c r="YS214" s="1"/>
      <c r="YT214" s="1"/>
      <c r="YU214" s="1"/>
      <c r="YV214" s="1"/>
      <c r="YW214" s="1"/>
      <c r="YX214" s="1"/>
      <c r="YY214" s="1"/>
      <c r="YZ214" s="1"/>
      <c r="ZA214" s="1"/>
      <c r="ZB214" s="1"/>
      <c r="ZC214" s="1"/>
      <c r="ZD214" s="1"/>
      <c r="ZE214" s="1"/>
      <c r="ZF214" s="1"/>
      <c r="ZG214" s="1"/>
      <c r="ZH214" s="1"/>
      <c r="ZI214" s="1"/>
      <c r="ZJ214" s="1"/>
      <c r="ZK214" s="1"/>
      <c r="ZL214" s="1"/>
      <c r="ZM214" s="1"/>
      <c r="ZN214" s="1"/>
      <c r="ZO214" s="1"/>
      <c r="ZP214" s="1"/>
      <c r="ZQ214" s="1"/>
      <c r="ZR214" s="1"/>
      <c r="ZS214" s="1"/>
      <c r="ZT214" s="1"/>
      <c r="ZU214" s="1"/>
      <c r="ZV214" s="1"/>
      <c r="ZW214" s="1"/>
      <c r="ZX214" s="1"/>
      <c r="ZY214" s="1"/>
      <c r="ZZ214" s="1"/>
      <c r="AAA214" s="1"/>
      <c r="AAB214" s="1"/>
      <c r="AAC214" s="1"/>
      <c r="AAD214" s="1"/>
      <c r="AAE214" s="1"/>
      <c r="AAF214" s="1"/>
      <c r="AAG214" s="1"/>
      <c r="AAH214" s="1"/>
      <c r="AAI214" s="1"/>
      <c r="AAJ214" s="1"/>
      <c r="AAK214" s="1"/>
      <c r="AAL214" s="1"/>
      <c r="AAM214" s="1"/>
      <c r="AAN214" s="1"/>
      <c r="AAO214" s="1"/>
      <c r="AAP214" s="1"/>
      <c r="AAQ214" s="1"/>
      <c r="AAR214" s="1"/>
      <c r="AAS214" s="1"/>
      <c r="AAT214" s="1"/>
      <c r="AAU214" s="1"/>
      <c r="AAV214" s="1"/>
      <c r="AAW214" s="1"/>
      <c r="AAX214" s="1"/>
      <c r="AAY214" s="1"/>
      <c r="AAZ214" s="1"/>
      <c r="ABA214" s="1"/>
      <c r="ABB214" s="1"/>
      <c r="ABC214" s="1"/>
      <c r="ABD214" s="1"/>
      <c r="ABE214" s="1"/>
      <c r="ABF214" s="1"/>
      <c r="ABG214" s="1"/>
      <c r="ABH214" s="1"/>
      <c r="ABI214" s="1"/>
      <c r="ABJ214" s="1"/>
      <c r="ABK214" s="1"/>
      <c r="ABL214" s="1"/>
      <c r="ABM214" s="1"/>
      <c r="ABN214" s="1"/>
      <c r="ABO214" s="1"/>
      <c r="ABP214" s="1"/>
      <c r="ABQ214" s="1"/>
      <c r="ABR214" s="1"/>
      <c r="ABS214" s="1"/>
      <c r="ABT214" s="1"/>
      <c r="ABU214" s="1"/>
      <c r="ABV214" s="1"/>
      <c r="ABW214" s="1"/>
      <c r="ABX214" s="1"/>
      <c r="ABY214" s="1"/>
      <c r="ABZ214" s="1"/>
      <c r="ACA214" s="1"/>
      <c r="ACB214" s="1"/>
      <c r="ACC214" s="1"/>
      <c r="ACD214" s="1"/>
      <c r="ACE214" s="1"/>
      <c r="ACF214" s="1"/>
      <c r="ACG214" s="1"/>
      <c r="ACH214" s="1"/>
      <c r="ACI214" s="1"/>
      <c r="ACJ214" s="1"/>
      <c r="ACK214" s="1"/>
      <c r="ACL214" s="1"/>
      <c r="ACM214" s="1"/>
      <c r="ACN214" s="1"/>
      <c r="ACO214" s="1"/>
      <c r="ACP214" s="1"/>
      <c r="ACQ214" s="1"/>
      <c r="ACR214" s="1"/>
      <c r="ACS214" s="1"/>
      <c r="ACT214" s="1"/>
      <c r="ACU214" s="1"/>
      <c r="ACV214" s="1"/>
      <c r="ACW214" s="1"/>
      <c r="ACX214" s="1"/>
      <c r="ACY214" s="1"/>
      <c r="ACZ214" s="1"/>
      <c r="ADA214" s="1"/>
      <c r="ADB214" s="1"/>
      <c r="ADC214" s="1"/>
      <c r="ADD214" s="1"/>
      <c r="ADE214" s="1"/>
      <c r="ADF214" s="1"/>
      <c r="ADG214" s="1"/>
      <c r="ADH214" s="1"/>
      <c r="ADI214" s="1"/>
      <c r="ADJ214" s="1"/>
      <c r="ADK214" s="1"/>
      <c r="ADL214" s="1"/>
      <c r="ADM214" s="1"/>
      <c r="ADN214" s="1"/>
      <c r="ADO214" s="1"/>
      <c r="ADP214" s="1"/>
      <c r="ADQ214" s="1"/>
      <c r="ADR214" s="1"/>
      <c r="ADS214" s="1"/>
      <c r="ADT214" s="1"/>
      <c r="ADU214" s="1"/>
      <c r="ADV214" s="1"/>
      <c r="ADW214" s="1"/>
      <c r="ADX214" s="1"/>
      <c r="ADY214" s="1"/>
      <c r="ADZ214" s="1"/>
      <c r="AEA214" s="1"/>
      <c r="AEB214" s="1"/>
      <c r="AEC214" s="1"/>
      <c r="AED214" s="1"/>
      <c r="AEE214" s="1"/>
      <c r="AEF214" s="1"/>
      <c r="AEG214" s="1"/>
      <c r="AEH214" s="1"/>
      <c r="AEI214" s="1"/>
      <c r="AEJ214" s="1"/>
      <c r="AEK214" s="1"/>
      <c r="AEL214" s="1"/>
      <c r="AEM214" s="1"/>
      <c r="AEN214" s="1"/>
      <c r="AEO214" s="1"/>
      <c r="AEP214" s="1"/>
      <c r="AEQ214" s="1"/>
      <c r="AER214" s="1"/>
      <c r="AES214" s="1"/>
      <c r="AET214" s="1"/>
      <c r="AEU214" s="1"/>
      <c r="AEV214" s="1"/>
      <c r="AEW214" s="1"/>
      <c r="AEX214" s="1"/>
      <c r="AEY214" s="1"/>
      <c r="AEZ214" s="1"/>
      <c r="AFA214" s="1"/>
      <c r="AFB214" s="1"/>
      <c r="AFC214" s="1"/>
      <c r="AFD214" s="1"/>
      <c r="AFE214" s="1"/>
      <c r="AFF214" s="1"/>
      <c r="AFG214" s="1"/>
      <c r="AFH214" s="1"/>
      <c r="AFI214" s="1"/>
      <c r="AFJ214" s="1"/>
      <c r="AFK214" s="1"/>
      <c r="AFL214" s="1"/>
      <c r="AFM214" s="1"/>
      <c r="AFN214" s="1"/>
      <c r="AFO214" s="1"/>
      <c r="AFP214" s="1"/>
      <c r="AFQ214" s="1"/>
      <c r="AFR214" s="1"/>
      <c r="AFS214" s="1"/>
      <c r="AFT214" s="1"/>
      <c r="AFU214" s="1"/>
      <c r="AFV214" s="1"/>
      <c r="AFW214" s="1"/>
      <c r="AFX214" s="1"/>
      <c r="AFY214" s="1"/>
      <c r="AFZ214" s="1"/>
      <c r="AGA214" s="1"/>
      <c r="AGB214" s="1"/>
      <c r="AGC214" s="1"/>
      <c r="AGD214" s="1"/>
      <c r="AGE214" s="1"/>
      <c r="AGF214" s="1"/>
      <c r="AGG214" s="1"/>
      <c r="AGH214" s="1"/>
      <c r="AGI214" s="1"/>
      <c r="AGJ214" s="1"/>
      <c r="AGK214" s="1"/>
      <c r="AGL214" s="1"/>
      <c r="AGM214" s="1"/>
      <c r="AGN214" s="1"/>
      <c r="AGO214" s="1"/>
      <c r="AGP214" s="1"/>
      <c r="AGQ214" s="1"/>
      <c r="AGR214" s="1"/>
      <c r="AGS214" s="1"/>
      <c r="AGT214" s="1"/>
      <c r="AGU214" s="1"/>
      <c r="AGV214" s="1"/>
      <c r="AGW214" s="1"/>
      <c r="AGX214" s="1"/>
      <c r="AGY214" s="1"/>
      <c r="AGZ214" s="1"/>
      <c r="AHA214" s="1"/>
      <c r="AHB214" s="1"/>
      <c r="AHC214" s="1"/>
      <c r="AHD214" s="1"/>
      <c r="AHE214" s="1"/>
      <c r="AHF214" s="1"/>
      <c r="AHG214" s="1"/>
      <c r="AHH214" s="1"/>
      <c r="AHI214" s="1"/>
      <c r="AHJ214" s="1"/>
      <c r="AHK214" s="1"/>
      <c r="AHL214" s="1"/>
      <c r="AHM214" s="1"/>
      <c r="AHN214" s="1"/>
      <c r="AHO214" s="1"/>
      <c r="AHP214" s="1"/>
      <c r="AHQ214" s="1"/>
      <c r="AHR214" s="1"/>
      <c r="AHS214" s="1"/>
      <c r="AHT214" s="1"/>
      <c r="AHU214" s="1"/>
      <c r="AHV214" s="1"/>
      <c r="AHW214" s="1"/>
      <c r="AHX214" s="1"/>
      <c r="AHY214" s="1"/>
      <c r="AHZ214" s="1"/>
      <c r="AIA214" s="1"/>
      <c r="AIB214" s="1"/>
      <c r="AIC214" s="1"/>
      <c r="AID214" s="1"/>
      <c r="AIE214" s="1"/>
      <c r="AIF214" s="1"/>
      <c r="AIG214" s="1"/>
      <c r="AIH214" s="1"/>
      <c r="AII214" s="1"/>
      <c r="AIJ214" s="1"/>
      <c r="AIK214" s="1"/>
      <c r="AIL214" s="1"/>
      <c r="AIM214" s="1"/>
      <c r="AIN214" s="1"/>
      <c r="AIO214" s="1"/>
      <c r="AIP214" s="1"/>
      <c r="AIQ214" s="1"/>
      <c r="AIR214" s="1"/>
      <c r="AIS214" s="1"/>
      <c r="AIT214" s="1"/>
      <c r="AIU214" s="1"/>
      <c r="AIV214" s="1"/>
      <c r="AIW214" s="1"/>
      <c r="AIX214" s="1"/>
      <c r="AIY214" s="1"/>
      <c r="AIZ214" s="1"/>
      <c r="AJA214" s="1"/>
      <c r="AJB214" s="1"/>
      <c r="AJC214" s="1"/>
      <c r="AJD214" s="1"/>
      <c r="AJE214" s="1"/>
      <c r="AJF214" s="1"/>
      <c r="AJG214" s="1"/>
      <c r="AJH214" s="1"/>
      <c r="AJI214" s="1"/>
      <c r="AJJ214" s="1"/>
      <c r="AJK214" s="1"/>
      <c r="AJL214" s="1"/>
      <c r="AJM214" s="1"/>
      <c r="AJN214" s="1"/>
      <c r="AJO214" s="1"/>
      <c r="AJP214" s="1"/>
      <c r="AJQ214" s="1"/>
      <c r="AJR214" s="1"/>
      <c r="AJS214" s="1"/>
      <c r="AJT214" s="1"/>
      <c r="AJU214" s="1"/>
      <c r="AJV214" s="1"/>
      <c r="AJW214" s="1"/>
      <c r="AJX214" s="1"/>
      <c r="AJY214" s="1"/>
      <c r="AJZ214" s="1"/>
      <c r="AKA214" s="1"/>
      <c r="AKB214" s="1"/>
      <c r="AKC214" s="1"/>
      <c r="AKD214" s="1"/>
      <c r="AKE214" s="1"/>
      <c r="AKF214" s="1"/>
      <c r="AKG214" s="1"/>
      <c r="AKH214" s="1"/>
      <c r="AKI214" s="1"/>
      <c r="AKJ214" s="1"/>
      <c r="AKK214" s="1"/>
      <c r="AKL214" s="1"/>
      <c r="AKM214" s="1"/>
      <c r="AKN214" s="1"/>
      <c r="AKO214" s="1"/>
      <c r="AKP214" s="1"/>
      <c r="AKQ214" s="1"/>
      <c r="AKR214" s="1"/>
      <c r="AKS214" s="1"/>
      <c r="AKT214" s="1"/>
      <c r="AKU214" s="1"/>
      <c r="AKV214" s="1"/>
      <c r="AKW214" s="1"/>
      <c r="AKX214" s="1"/>
      <c r="AKY214" s="1"/>
      <c r="AKZ214" s="1"/>
      <c r="ALA214" s="1"/>
      <c r="ALB214" s="1"/>
      <c r="ALC214" s="1"/>
      <c r="ALD214" s="1"/>
      <c r="ALE214" s="1"/>
      <c r="ALF214" s="1"/>
      <c r="ALG214" s="1"/>
      <c r="ALH214" s="1"/>
      <c r="ALI214" s="1"/>
      <c r="ALJ214" s="1"/>
      <c r="ALK214" s="1"/>
      <c r="ALL214" s="1"/>
      <c r="ALM214" s="1"/>
      <c r="ALN214" s="1"/>
      <c r="ALO214" s="1"/>
      <c r="ALP214" s="1"/>
      <c r="ALQ214" s="1"/>
      <c r="ALR214" s="1"/>
      <c r="ALS214" s="1"/>
      <c r="ALT214" s="1"/>
      <c r="ALU214" s="1"/>
      <c r="ALV214" s="1"/>
      <c r="ALW214" s="1"/>
      <c r="ALX214" s="1"/>
      <c r="ALY214" s="1"/>
      <c r="ALZ214" s="1"/>
      <c r="AMA214" s="1"/>
      <c r="AMB214" s="1"/>
      <c r="AMC214" s="1"/>
      <c r="AMD214" s="1"/>
      <c r="AME214" s="1"/>
      <c r="AMF214" s="1"/>
      <c r="AMG214" s="1"/>
      <c r="AMH214" s="1"/>
      <c r="AMI214" s="1"/>
      <c r="AMJ214" s="1"/>
      <c r="AMK214" s="1"/>
      <c r="AML214" s="1"/>
      <c r="AMM214" s="1"/>
      <c r="AMN214" s="1"/>
      <c r="AMO214" s="1"/>
      <c r="AMP214" s="1"/>
      <c r="AMQ214" s="1"/>
      <c r="AMR214" s="1"/>
      <c r="AMS214" s="1"/>
      <c r="AMT214" s="1"/>
      <c r="AMU214" s="1"/>
      <c r="AMV214" s="1"/>
      <c r="AMW214" s="1"/>
      <c r="AMX214" s="1"/>
      <c r="AMY214" s="1"/>
      <c r="AMZ214" s="1"/>
      <c r="ANA214" s="1"/>
      <c r="ANB214" s="1"/>
      <c r="ANC214" s="1"/>
      <c r="AND214" s="1"/>
      <c r="ANE214" s="1"/>
      <c r="ANF214" s="1"/>
      <c r="ANG214" s="1"/>
      <c r="ANH214" s="1"/>
      <c r="ANI214" s="1"/>
      <c r="ANJ214" s="1"/>
      <c r="ANK214" s="1"/>
      <c r="ANL214" s="1"/>
      <c r="ANM214" s="1"/>
      <c r="ANN214" s="1"/>
      <c r="ANO214" s="1"/>
      <c r="ANP214" s="1"/>
      <c r="ANQ214" s="1"/>
      <c r="ANR214" s="1"/>
      <c r="ANS214" s="1"/>
      <c r="ANT214" s="1"/>
      <c r="ANU214" s="1"/>
      <c r="ANV214" s="1"/>
      <c r="ANW214" s="1"/>
      <c r="ANX214" s="1"/>
      <c r="ANY214" s="1"/>
      <c r="ANZ214" s="1"/>
      <c r="AOA214" s="1"/>
      <c r="AOB214" s="1"/>
      <c r="AOC214" s="1"/>
      <c r="AOD214" s="1"/>
      <c r="AOE214" s="1"/>
      <c r="AOF214" s="1"/>
      <c r="AOG214" s="1"/>
      <c r="AOH214" s="1"/>
      <c r="AOI214" s="1"/>
      <c r="AOJ214" s="1"/>
      <c r="AOK214" s="1"/>
      <c r="AOL214" s="1"/>
      <c r="AOM214" s="1"/>
      <c r="AON214" s="1"/>
      <c r="AOO214" s="1"/>
      <c r="AOP214" s="1"/>
      <c r="AOQ214" s="1"/>
      <c r="AOR214" s="1"/>
      <c r="AOS214" s="1"/>
      <c r="AOT214" s="1"/>
      <c r="AOU214" s="1"/>
      <c r="AOV214" s="1"/>
      <c r="AOW214" s="1"/>
      <c r="AOX214" s="1"/>
      <c r="AOY214" s="1"/>
      <c r="AOZ214" s="1"/>
      <c r="APA214" s="1"/>
      <c r="APB214" s="1"/>
      <c r="APC214" s="1"/>
      <c r="APD214" s="1"/>
      <c r="APE214" s="1"/>
      <c r="APF214" s="1"/>
      <c r="APG214" s="1"/>
      <c r="APH214" s="1"/>
      <c r="API214" s="1"/>
      <c r="APJ214" s="1"/>
      <c r="APK214" s="1"/>
      <c r="APL214" s="1"/>
      <c r="APM214" s="1"/>
      <c r="APN214" s="1"/>
      <c r="APO214" s="1"/>
      <c r="APP214" s="1"/>
      <c r="APQ214" s="1"/>
      <c r="APR214" s="1"/>
      <c r="APS214" s="1"/>
      <c r="APT214" s="1"/>
      <c r="APU214" s="1"/>
      <c r="APV214" s="1"/>
      <c r="APW214" s="1"/>
      <c r="APX214" s="1"/>
      <c r="APY214" s="1"/>
      <c r="APZ214" s="1"/>
      <c r="AQA214" s="1"/>
      <c r="AQB214" s="1"/>
      <c r="AQC214" s="1"/>
      <c r="AQD214" s="1"/>
      <c r="AQE214" s="1"/>
      <c r="AQF214" s="1"/>
      <c r="AQG214" s="1"/>
      <c r="AQH214" s="1"/>
      <c r="AQI214" s="1"/>
      <c r="AQJ214" s="1"/>
      <c r="AQK214" s="1"/>
      <c r="AQL214" s="1"/>
      <c r="AQM214" s="1"/>
      <c r="AQN214" s="1"/>
      <c r="AQO214" s="1"/>
      <c r="AQP214" s="1"/>
      <c r="AQQ214" s="1"/>
      <c r="AQR214" s="1"/>
      <c r="AQS214" s="1"/>
      <c r="AQT214" s="1"/>
      <c r="AQU214" s="1"/>
      <c r="AQV214" s="1"/>
      <c r="AQW214" s="1"/>
      <c r="AQX214" s="1"/>
      <c r="AQY214" s="1"/>
      <c r="AQZ214" s="1"/>
      <c r="ARA214" s="1"/>
      <c r="ARB214" s="1"/>
      <c r="ARC214" s="1"/>
      <c r="ARD214" s="1"/>
      <c r="ARE214" s="1"/>
      <c r="ARF214" s="1"/>
      <c r="ARG214" s="1"/>
      <c r="ARH214" s="1"/>
      <c r="ARI214" s="1"/>
      <c r="ARJ214" s="1"/>
      <c r="ARK214" s="1"/>
      <c r="ARL214" s="1"/>
      <c r="ARM214" s="1"/>
      <c r="ARN214" s="1"/>
      <c r="ARO214" s="1"/>
      <c r="ARP214" s="1"/>
      <c r="ARQ214" s="1"/>
      <c r="ARR214" s="1"/>
      <c r="ARS214" s="1"/>
      <c r="ART214" s="1"/>
      <c r="ARU214" s="1"/>
      <c r="ARV214" s="1"/>
      <c r="ARW214" s="1"/>
      <c r="ARX214" s="1"/>
      <c r="ARY214" s="1"/>
      <c r="ARZ214" s="1"/>
      <c r="ASA214" s="1"/>
      <c r="ASB214" s="1"/>
      <c r="ASC214" s="1"/>
      <c r="ASD214" s="1"/>
      <c r="ASE214" s="1"/>
      <c r="ASF214" s="1"/>
      <c r="ASG214" s="1"/>
      <c r="ASH214" s="1"/>
      <c r="ASI214" s="1"/>
      <c r="ASJ214" s="1"/>
      <c r="ASK214" s="1"/>
      <c r="ASL214" s="1"/>
      <c r="ASM214" s="1"/>
      <c r="ASN214" s="1"/>
      <c r="ASO214" s="1"/>
      <c r="ASP214" s="1"/>
      <c r="ASQ214" s="1"/>
      <c r="ASR214" s="1"/>
      <c r="ASS214" s="1"/>
      <c r="AST214" s="1"/>
      <c r="ASU214" s="1"/>
      <c r="ASV214" s="1"/>
      <c r="ASW214" s="1"/>
      <c r="ASX214" s="1"/>
      <c r="ASY214" s="1"/>
      <c r="ASZ214" s="1"/>
      <c r="ATA214" s="1"/>
      <c r="ATB214" s="1"/>
      <c r="ATC214" s="1"/>
      <c r="ATD214" s="1"/>
      <c r="ATE214" s="1"/>
      <c r="ATF214" s="1"/>
      <c r="ATG214" s="1"/>
      <c r="ATH214" s="1"/>
      <c r="ATI214" s="1"/>
      <c r="ATJ214" s="1"/>
      <c r="ATK214" s="1"/>
      <c r="ATL214" s="1"/>
      <c r="ATM214" s="1"/>
      <c r="ATN214" s="1"/>
      <c r="ATO214" s="1"/>
      <c r="ATP214" s="1"/>
      <c r="ATQ214" s="1"/>
      <c r="ATR214" s="1"/>
      <c r="ATS214" s="1"/>
      <c r="ATT214" s="1"/>
      <c r="ATU214" s="1"/>
      <c r="ATV214" s="1"/>
      <c r="ATW214" s="1"/>
      <c r="ATX214" s="1"/>
      <c r="ATY214" s="1"/>
      <c r="ATZ214" s="1"/>
      <c r="AUA214" s="1"/>
      <c r="AUB214" s="1"/>
      <c r="AUC214" s="1"/>
      <c r="AUD214" s="1"/>
      <c r="AUE214" s="1"/>
      <c r="AUF214" s="1"/>
      <c r="AUG214" s="1"/>
      <c r="AUH214" s="1"/>
      <c r="AUI214" s="1"/>
      <c r="AUJ214" s="1"/>
      <c r="AUK214" s="1"/>
      <c r="AUL214" s="1"/>
      <c r="AUM214" s="1"/>
      <c r="AUN214" s="1"/>
      <c r="AUO214" s="1"/>
      <c r="AUP214" s="1"/>
      <c r="AUQ214" s="1"/>
      <c r="AUR214" s="1"/>
      <c r="AUS214" s="1"/>
      <c r="AUT214" s="1"/>
      <c r="AUU214" s="1"/>
      <c r="AUV214" s="1"/>
      <c r="AUW214" s="1"/>
      <c r="AUX214" s="1"/>
      <c r="AUY214" s="1"/>
      <c r="AUZ214" s="1"/>
      <c r="AVA214" s="1"/>
      <c r="AVB214" s="1"/>
      <c r="AVC214" s="1"/>
      <c r="AVD214" s="1"/>
      <c r="AVE214" s="1"/>
      <c r="AVF214" s="1"/>
      <c r="AVG214" s="1"/>
      <c r="AVH214" s="1"/>
      <c r="AVI214" s="1"/>
      <c r="AVJ214" s="1"/>
      <c r="AVK214" s="1"/>
      <c r="AVL214" s="1"/>
      <c r="AVM214" s="1"/>
      <c r="AVN214" s="1"/>
      <c r="AVO214" s="1"/>
      <c r="AVP214" s="1"/>
      <c r="AVQ214" s="1"/>
      <c r="AVR214" s="1"/>
      <c r="AVS214" s="1"/>
      <c r="AVT214" s="1"/>
      <c r="AVU214" s="1"/>
      <c r="AVV214" s="1"/>
      <c r="AVW214" s="1"/>
      <c r="AVX214" s="1"/>
      <c r="AVY214" s="1"/>
      <c r="AVZ214" s="1"/>
      <c r="AWA214" s="1"/>
      <c r="AWB214" s="1"/>
      <c r="AWC214" s="1"/>
      <c r="AWD214" s="1"/>
      <c r="AWE214" s="1"/>
      <c r="AWF214" s="1"/>
      <c r="AWG214" s="1"/>
      <c r="AWH214" s="1"/>
      <c r="AWI214" s="1"/>
      <c r="AWJ214" s="1"/>
      <c r="AWK214" s="1"/>
      <c r="AWL214" s="1"/>
      <c r="AWM214" s="1"/>
      <c r="AWN214" s="1"/>
      <c r="AWO214" s="1"/>
      <c r="AWP214" s="1"/>
      <c r="AWQ214" s="1"/>
      <c r="AWR214" s="1"/>
      <c r="AWS214" s="1"/>
      <c r="AWT214" s="1"/>
      <c r="AWU214" s="1"/>
      <c r="AWV214" s="1"/>
      <c r="AWW214" s="1"/>
      <c r="AWX214" s="1"/>
      <c r="AWY214" s="1"/>
      <c r="AWZ214" s="1"/>
      <c r="AXA214" s="1"/>
      <c r="AXB214" s="1"/>
      <c r="AXC214" s="1"/>
      <c r="AXD214" s="1"/>
      <c r="AXE214" s="1"/>
      <c r="AXF214" s="1"/>
      <c r="AXG214" s="1"/>
      <c r="AXH214" s="1"/>
      <c r="AXI214" s="1"/>
      <c r="AXJ214" s="1"/>
      <c r="AXK214" s="1"/>
      <c r="AXL214" s="1"/>
      <c r="AXM214" s="1"/>
      <c r="AXN214" s="1"/>
      <c r="AXO214" s="1"/>
      <c r="AXP214" s="1"/>
      <c r="AXQ214" s="1"/>
      <c r="AXR214" s="1"/>
      <c r="AXS214" s="1"/>
      <c r="AXT214" s="1"/>
      <c r="AXU214" s="1"/>
      <c r="AXV214" s="1"/>
      <c r="AXW214" s="1"/>
      <c r="AXX214" s="1"/>
      <c r="AXY214" s="1"/>
      <c r="AXZ214" s="1"/>
      <c r="AYA214" s="1"/>
      <c r="AYB214" s="1"/>
      <c r="AYC214" s="1"/>
      <c r="AYD214" s="1"/>
      <c r="AYE214" s="1"/>
      <c r="AYF214" s="1"/>
      <c r="AYG214" s="1"/>
      <c r="AYH214" s="1"/>
      <c r="AYI214" s="1"/>
      <c r="AYJ214" s="1"/>
      <c r="AYK214" s="1"/>
      <c r="AYL214" s="1"/>
      <c r="AYM214" s="1"/>
      <c r="AYN214" s="1"/>
      <c r="AYO214" s="1"/>
      <c r="AYP214" s="1"/>
      <c r="AYQ214" s="1"/>
      <c r="AYR214" s="1"/>
      <c r="AYS214" s="1"/>
      <c r="AYT214" s="1"/>
      <c r="AYU214" s="1"/>
      <c r="AYV214" s="1"/>
      <c r="AYW214" s="1"/>
      <c r="AYX214" s="1"/>
      <c r="AYY214" s="1"/>
      <c r="AYZ214" s="1"/>
      <c r="AZA214" s="1"/>
      <c r="AZB214" s="1"/>
      <c r="AZC214" s="1"/>
      <c r="AZD214" s="1"/>
      <c r="AZE214" s="1"/>
      <c r="AZF214" s="1"/>
      <c r="AZG214" s="1"/>
      <c r="AZH214" s="1"/>
      <c r="AZI214" s="1"/>
      <c r="AZJ214" s="1"/>
      <c r="AZK214" s="1"/>
      <c r="AZL214" s="1"/>
      <c r="AZM214" s="1"/>
      <c r="AZN214" s="1"/>
      <c r="AZO214" s="1"/>
      <c r="AZP214" s="1"/>
      <c r="AZQ214" s="1"/>
      <c r="AZR214" s="1"/>
      <c r="AZS214" s="1"/>
      <c r="AZT214" s="1"/>
      <c r="AZU214" s="1"/>
      <c r="AZV214" s="1"/>
      <c r="AZW214" s="1"/>
      <c r="AZX214" s="1"/>
      <c r="AZY214" s="1"/>
      <c r="AZZ214" s="1"/>
      <c r="BAA214" s="1"/>
      <c r="BAB214" s="1"/>
      <c r="BAC214" s="1"/>
      <c r="BAD214" s="1"/>
      <c r="BAE214" s="1"/>
      <c r="BAF214" s="1"/>
      <c r="BAG214" s="1"/>
      <c r="BAH214" s="1"/>
      <c r="BAI214" s="1"/>
      <c r="BAJ214" s="1"/>
      <c r="BAK214" s="1"/>
      <c r="BAL214" s="1"/>
      <c r="BAM214" s="1"/>
      <c r="BAN214" s="1"/>
      <c r="BAO214" s="1"/>
      <c r="BAP214" s="1"/>
      <c r="BAQ214" s="1"/>
      <c r="BAR214" s="1"/>
      <c r="BAS214" s="1"/>
      <c r="BAT214" s="1"/>
      <c r="BAU214" s="1"/>
      <c r="BAV214" s="1"/>
      <c r="BAW214" s="1"/>
      <c r="BAX214" s="1"/>
      <c r="BAY214" s="1"/>
      <c r="BAZ214" s="1"/>
      <c r="BBA214" s="1"/>
      <c r="BBB214" s="1"/>
      <c r="BBC214" s="1"/>
      <c r="BBD214" s="1"/>
      <c r="BBE214" s="1"/>
      <c r="BBF214" s="1"/>
      <c r="BBG214" s="1"/>
      <c r="BBH214" s="1"/>
      <c r="BBI214" s="1"/>
      <c r="BBJ214" s="1"/>
      <c r="BBK214" s="1"/>
      <c r="BBL214" s="1"/>
      <c r="BBM214" s="1"/>
      <c r="BBN214" s="1"/>
      <c r="BBO214" s="1"/>
      <c r="BBP214" s="1"/>
      <c r="BBQ214" s="1"/>
      <c r="BBR214" s="1"/>
      <c r="BBS214" s="1"/>
      <c r="BBT214" s="1"/>
      <c r="BBU214" s="1"/>
      <c r="BBV214" s="1"/>
      <c r="BBW214" s="1"/>
      <c r="BBX214" s="1"/>
      <c r="BBY214" s="1"/>
      <c r="BBZ214" s="1"/>
      <c r="BCA214" s="1"/>
      <c r="BCB214" s="1"/>
      <c r="BCC214" s="1"/>
      <c r="BCD214" s="1"/>
      <c r="BCE214" s="1"/>
      <c r="BCF214" s="1"/>
      <c r="BCG214" s="1"/>
      <c r="BCH214" s="1"/>
      <c r="BCI214" s="1"/>
      <c r="BCJ214" s="1"/>
      <c r="BCK214" s="1"/>
      <c r="BCL214" s="1"/>
      <c r="BCM214" s="1"/>
      <c r="BCN214" s="1"/>
      <c r="BCO214" s="1"/>
      <c r="BCP214" s="1"/>
      <c r="BCQ214" s="1"/>
      <c r="BCR214" s="1"/>
      <c r="BCS214" s="1"/>
      <c r="BCT214" s="1"/>
      <c r="BCU214" s="1"/>
      <c r="BCV214" s="1"/>
      <c r="BCW214" s="1"/>
      <c r="BCX214" s="1"/>
      <c r="BCY214" s="1"/>
      <c r="BCZ214" s="1"/>
      <c r="BDA214" s="1"/>
      <c r="BDB214" s="1"/>
      <c r="BDC214" s="1"/>
      <c r="BDD214" s="1"/>
      <c r="BDE214" s="1"/>
      <c r="BDF214" s="1"/>
      <c r="BDG214" s="1"/>
      <c r="BDH214" s="1"/>
      <c r="BDI214" s="1"/>
      <c r="BDJ214" s="1"/>
      <c r="BDK214" s="1"/>
      <c r="BDL214" s="1"/>
      <c r="BDM214" s="1"/>
      <c r="BDN214" s="1"/>
      <c r="BDO214" s="1"/>
      <c r="BDP214" s="1"/>
      <c r="BDQ214" s="1"/>
      <c r="BDR214" s="1"/>
      <c r="BDS214" s="1"/>
      <c r="BDT214" s="1"/>
      <c r="BDU214" s="1"/>
      <c r="BDV214" s="1"/>
      <c r="BDW214" s="1"/>
      <c r="BDX214" s="1"/>
      <c r="BDY214" s="1"/>
      <c r="BDZ214" s="1"/>
      <c r="BEA214" s="1"/>
      <c r="BEB214" s="1"/>
      <c r="BEC214" s="1"/>
      <c r="BED214" s="1"/>
      <c r="BEE214" s="1"/>
      <c r="BEF214" s="1"/>
      <c r="BEG214" s="1"/>
      <c r="BEH214" s="1"/>
      <c r="BEI214" s="1"/>
      <c r="BEJ214" s="1"/>
      <c r="BEK214" s="1"/>
      <c r="BEL214" s="1"/>
      <c r="BEM214" s="1"/>
      <c r="BEN214" s="1"/>
      <c r="BEO214" s="1"/>
      <c r="BEP214" s="1"/>
      <c r="BEQ214" s="1"/>
      <c r="BER214" s="1"/>
      <c r="BES214" s="1"/>
      <c r="BET214" s="1"/>
      <c r="BEU214" s="1"/>
      <c r="BEV214" s="1"/>
      <c r="BEW214" s="1"/>
      <c r="BEX214" s="1"/>
      <c r="BEY214" s="1"/>
      <c r="BEZ214" s="1"/>
      <c r="BFA214" s="1"/>
      <c r="BFB214" s="1"/>
      <c r="BFC214" s="1"/>
      <c r="BFD214" s="1"/>
      <c r="BFE214" s="1"/>
      <c r="BFF214" s="1"/>
      <c r="BFG214" s="1"/>
      <c r="BFH214" s="1"/>
      <c r="BFI214" s="1"/>
      <c r="BFJ214" s="1"/>
      <c r="BFK214" s="1"/>
      <c r="BFL214" s="1"/>
      <c r="BFM214" s="1"/>
      <c r="BFN214" s="1"/>
      <c r="BFO214" s="1"/>
      <c r="BFP214" s="1"/>
      <c r="BFQ214" s="1"/>
      <c r="BFR214" s="1"/>
      <c r="BFS214" s="1"/>
      <c r="BFT214" s="1"/>
      <c r="BFU214" s="1"/>
      <c r="BFV214" s="1"/>
      <c r="BFW214" s="1"/>
      <c r="BFX214" s="1"/>
      <c r="BFY214" s="1"/>
      <c r="BFZ214" s="1"/>
      <c r="BGA214" s="1"/>
      <c r="BGB214" s="1"/>
      <c r="BGC214" s="1"/>
      <c r="BGD214" s="1"/>
      <c r="BGE214" s="1"/>
      <c r="BGF214" s="1"/>
      <c r="BGG214" s="1"/>
      <c r="BGH214" s="1"/>
      <c r="BGI214" s="1"/>
      <c r="BGJ214" s="1"/>
      <c r="BGK214" s="1"/>
      <c r="BGL214" s="1"/>
      <c r="BGM214" s="1"/>
      <c r="BGN214" s="1"/>
      <c r="BGO214" s="1"/>
      <c r="BGP214" s="1"/>
      <c r="BGQ214" s="1"/>
      <c r="BGR214" s="1"/>
      <c r="BGS214" s="1"/>
      <c r="BGT214" s="1"/>
      <c r="BGU214" s="1"/>
      <c r="BGV214" s="1"/>
      <c r="BGW214" s="1"/>
      <c r="BGX214" s="1"/>
      <c r="BGY214" s="1"/>
      <c r="BGZ214" s="1"/>
      <c r="BHA214" s="1"/>
      <c r="BHB214" s="1"/>
      <c r="BHC214" s="1"/>
      <c r="BHD214" s="1"/>
      <c r="BHE214" s="1"/>
      <c r="BHF214" s="1"/>
      <c r="BHG214" s="1"/>
      <c r="BHH214" s="1"/>
      <c r="BHI214" s="1"/>
      <c r="BHJ214" s="1"/>
      <c r="BHK214" s="1"/>
      <c r="BHL214" s="1"/>
      <c r="BHM214" s="1"/>
      <c r="BHN214" s="1"/>
      <c r="BHO214" s="1"/>
      <c r="BHP214" s="1"/>
      <c r="BHQ214" s="1"/>
      <c r="BHR214" s="1"/>
      <c r="BHS214" s="1"/>
      <c r="BHT214" s="1"/>
      <c r="BHU214" s="1"/>
      <c r="BHV214" s="1"/>
      <c r="BHW214" s="1"/>
      <c r="BHX214" s="1"/>
      <c r="BHY214" s="1"/>
      <c r="BHZ214" s="1"/>
      <c r="BIA214" s="1"/>
      <c r="BIB214" s="1"/>
      <c r="BIC214" s="1"/>
      <c r="BID214" s="1"/>
      <c r="BIE214" s="1"/>
      <c r="BIF214" s="1"/>
      <c r="BIG214" s="1"/>
      <c r="BIH214" s="1"/>
      <c r="BII214" s="1"/>
      <c r="BIJ214" s="1"/>
      <c r="BIK214" s="1"/>
      <c r="BIL214" s="1"/>
      <c r="BIM214" s="1"/>
      <c r="BIN214" s="1"/>
      <c r="BIO214" s="1"/>
      <c r="BIP214" s="1"/>
      <c r="BIQ214" s="1"/>
      <c r="BIR214" s="1"/>
      <c r="BIS214" s="1"/>
      <c r="BIT214" s="1"/>
      <c r="BIU214" s="1"/>
      <c r="BIV214" s="1"/>
      <c r="BIW214" s="1"/>
      <c r="BIX214" s="1"/>
      <c r="BIY214" s="1"/>
      <c r="BIZ214" s="1"/>
      <c r="BJA214" s="1"/>
      <c r="BJB214" s="1"/>
      <c r="BJC214" s="1"/>
      <c r="BJD214" s="1"/>
      <c r="BJE214" s="1"/>
      <c r="BJF214" s="1"/>
      <c r="BJG214" s="1"/>
      <c r="BJH214" s="1"/>
      <c r="BJI214" s="1"/>
      <c r="BJJ214" s="1"/>
      <c r="BJK214" s="1"/>
      <c r="BJL214" s="1"/>
      <c r="BJM214" s="1"/>
      <c r="BJN214" s="1"/>
      <c r="BJO214" s="1"/>
      <c r="BJP214" s="1"/>
      <c r="BJQ214" s="1"/>
      <c r="BJR214" s="1"/>
      <c r="BJS214" s="1"/>
      <c r="BJT214" s="1"/>
      <c r="BJU214" s="1"/>
      <c r="BJV214" s="1"/>
      <c r="BJW214" s="1"/>
      <c r="BJX214" s="1"/>
      <c r="BJY214" s="1"/>
      <c r="BJZ214" s="1"/>
      <c r="BKA214" s="1"/>
      <c r="BKB214" s="1"/>
      <c r="BKC214" s="1"/>
      <c r="BKD214" s="1"/>
      <c r="BKE214" s="1"/>
      <c r="BKF214" s="1"/>
      <c r="BKG214" s="1"/>
      <c r="BKH214" s="1"/>
      <c r="BKI214" s="1"/>
      <c r="BKJ214" s="1"/>
      <c r="BKK214" s="1"/>
      <c r="BKL214" s="1"/>
      <c r="BKM214" s="1"/>
      <c r="BKN214" s="1"/>
      <c r="BKO214" s="1"/>
      <c r="BKP214" s="1"/>
      <c r="BKQ214" s="1"/>
      <c r="BKR214" s="1"/>
      <c r="BKS214" s="1"/>
      <c r="BKT214" s="1"/>
      <c r="BKU214" s="1"/>
      <c r="BKV214" s="1"/>
      <c r="BKW214" s="1"/>
      <c r="BKX214" s="1"/>
      <c r="BKY214" s="1"/>
      <c r="BKZ214" s="1"/>
      <c r="BLA214" s="1"/>
      <c r="BLB214" s="1"/>
      <c r="BLC214" s="1"/>
      <c r="BLD214" s="1"/>
      <c r="BLE214" s="1"/>
      <c r="BLF214" s="1"/>
      <c r="BLG214" s="1"/>
      <c r="BLH214" s="1"/>
      <c r="BLI214" s="1"/>
      <c r="BLJ214" s="1"/>
      <c r="BLK214" s="1"/>
      <c r="BLL214" s="1"/>
      <c r="BLM214" s="1"/>
      <c r="BLN214" s="1"/>
      <c r="BLO214" s="1"/>
      <c r="BLP214" s="1"/>
      <c r="BLQ214" s="1"/>
      <c r="BLR214" s="1"/>
      <c r="BLS214" s="1"/>
      <c r="BLT214" s="1"/>
      <c r="BLU214" s="1"/>
      <c r="BLV214" s="1"/>
      <c r="BLW214" s="1"/>
      <c r="BLX214" s="1"/>
      <c r="BLY214" s="1"/>
      <c r="BLZ214" s="1"/>
      <c r="BMA214" s="1"/>
      <c r="BMB214" s="1"/>
      <c r="BMC214" s="1"/>
      <c r="BMD214" s="1"/>
      <c r="BME214" s="1"/>
      <c r="BMF214" s="1"/>
      <c r="BMG214" s="1"/>
      <c r="BMH214" s="1"/>
      <c r="BMI214" s="1"/>
      <c r="BMJ214" s="1"/>
      <c r="BMK214" s="1"/>
      <c r="BML214" s="1"/>
      <c r="BMM214" s="1"/>
      <c r="BMN214" s="1"/>
      <c r="BMO214" s="1"/>
      <c r="BMP214" s="1"/>
      <c r="BMQ214" s="1"/>
      <c r="BMR214" s="1"/>
      <c r="BMS214" s="1"/>
      <c r="BMT214" s="1"/>
      <c r="BMU214" s="1"/>
      <c r="BMV214" s="1"/>
      <c r="BMW214" s="1"/>
      <c r="BMX214" s="1"/>
      <c r="BMY214" s="1"/>
      <c r="BMZ214" s="1"/>
      <c r="BNA214" s="1"/>
      <c r="BNB214" s="1"/>
      <c r="BNC214" s="1"/>
      <c r="BND214" s="1"/>
      <c r="BNE214" s="1"/>
      <c r="BNF214" s="1"/>
      <c r="BNG214" s="1"/>
      <c r="BNH214" s="1"/>
      <c r="BNI214" s="1"/>
      <c r="BNJ214" s="1"/>
      <c r="BNK214" s="1"/>
      <c r="BNL214" s="1"/>
      <c r="BNM214" s="1"/>
      <c r="BNN214" s="1"/>
      <c r="BNO214" s="1"/>
      <c r="BNP214" s="1"/>
      <c r="BNQ214" s="1"/>
      <c r="BNR214" s="1"/>
      <c r="BNS214" s="1"/>
      <c r="BNT214" s="1"/>
      <c r="BNU214" s="1"/>
      <c r="BNV214" s="1"/>
      <c r="BNW214" s="1"/>
      <c r="BNX214" s="1"/>
      <c r="BNY214" s="1"/>
      <c r="BNZ214" s="1"/>
      <c r="BOA214" s="1"/>
      <c r="BOB214" s="1"/>
      <c r="BOC214" s="1"/>
      <c r="BOD214" s="1"/>
      <c r="BOE214" s="1"/>
      <c r="BOF214" s="1"/>
      <c r="BOG214" s="1"/>
      <c r="BOH214" s="1"/>
      <c r="BOI214" s="1"/>
      <c r="BOJ214" s="1"/>
      <c r="BOK214" s="1"/>
      <c r="BOL214" s="1"/>
      <c r="BOM214" s="1"/>
      <c r="BON214" s="1"/>
      <c r="BOO214" s="1"/>
      <c r="BOP214" s="1"/>
      <c r="BOQ214" s="1"/>
      <c r="BOR214" s="1"/>
      <c r="BOS214" s="1"/>
      <c r="BOT214" s="1"/>
      <c r="BOU214" s="1"/>
      <c r="BOV214" s="1"/>
      <c r="BOW214" s="1"/>
      <c r="BOX214" s="1"/>
      <c r="BOY214" s="1"/>
      <c r="BOZ214" s="1"/>
      <c r="BPA214" s="1"/>
      <c r="BPB214" s="1"/>
      <c r="BPC214" s="1"/>
      <c r="BPD214" s="1"/>
      <c r="BPE214" s="1"/>
      <c r="BPF214" s="1"/>
      <c r="BPG214" s="1"/>
      <c r="BPH214" s="1"/>
      <c r="BPI214" s="1"/>
      <c r="BPJ214" s="1"/>
      <c r="BPK214" s="1"/>
      <c r="BPL214" s="1"/>
      <c r="BPM214" s="1"/>
      <c r="BPN214" s="1"/>
      <c r="BPO214" s="1"/>
      <c r="BPP214" s="1"/>
      <c r="BPQ214" s="1"/>
      <c r="BPR214" s="1"/>
      <c r="BPS214" s="1"/>
      <c r="BPT214" s="1"/>
      <c r="BPU214" s="1"/>
      <c r="BPV214" s="1"/>
      <c r="BPW214" s="1"/>
      <c r="BPX214" s="1"/>
      <c r="BPY214" s="1"/>
      <c r="BPZ214" s="1"/>
      <c r="BQA214" s="1"/>
      <c r="BQB214" s="1"/>
      <c r="BQC214" s="1"/>
      <c r="BQD214" s="1"/>
      <c r="BQE214" s="1"/>
      <c r="BQF214" s="1"/>
      <c r="BQG214" s="1"/>
      <c r="BQH214" s="1"/>
      <c r="BQI214" s="1"/>
      <c r="BQJ214" s="1"/>
      <c r="BQK214" s="1"/>
      <c r="BQL214" s="1"/>
      <c r="BQM214" s="1"/>
      <c r="BQN214" s="1"/>
      <c r="BQO214" s="1"/>
      <c r="BQP214" s="1"/>
      <c r="BQQ214" s="1"/>
      <c r="BQR214" s="1"/>
      <c r="BQS214" s="1"/>
      <c r="BQT214" s="1"/>
      <c r="BQU214" s="1"/>
      <c r="BQV214" s="1"/>
      <c r="BQW214" s="1"/>
      <c r="BQX214" s="1"/>
      <c r="BQY214" s="1"/>
      <c r="BQZ214" s="1"/>
      <c r="BRA214" s="1"/>
      <c r="BRB214" s="1"/>
      <c r="BRC214" s="1"/>
      <c r="BRD214" s="1"/>
      <c r="BRE214" s="1"/>
      <c r="BRF214" s="1"/>
      <c r="BRG214" s="1"/>
      <c r="BRH214" s="1"/>
      <c r="BRI214" s="1"/>
      <c r="BRJ214" s="1"/>
      <c r="BRK214" s="1"/>
      <c r="BRL214" s="1"/>
      <c r="BRM214" s="1"/>
      <c r="BRN214" s="1"/>
      <c r="BRO214" s="1"/>
      <c r="BRP214" s="1"/>
      <c r="BRQ214" s="1"/>
      <c r="BRR214" s="1"/>
      <c r="BRS214" s="1"/>
      <c r="BRT214" s="1"/>
      <c r="BRU214" s="1"/>
      <c r="BRV214" s="1"/>
      <c r="BRW214" s="1"/>
      <c r="BRX214" s="1"/>
      <c r="BRY214" s="1"/>
      <c r="BRZ214" s="1"/>
      <c r="BSA214" s="1"/>
      <c r="BSB214" s="1"/>
      <c r="BSC214" s="1"/>
      <c r="BSD214" s="1"/>
      <c r="BSE214" s="1"/>
      <c r="BSF214" s="1"/>
      <c r="BSG214" s="1"/>
      <c r="BSH214" s="1"/>
      <c r="BSI214" s="1"/>
      <c r="BSJ214" s="1"/>
      <c r="BSK214" s="1"/>
      <c r="BSL214" s="1"/>
      <c r="BSM214" s="1"/>
      <c r="BSN214" s="1"/>
      <c r="BSO214" s="1"/>
      <c r="BSP214" s="1"/>
      <c r="BSQ214" s="1"/>
      <c r="BSR214" s="1"/>
      <c r="BSS214" s="1"/>
      <c r="BST214" s="1"/>
      <c r="BSU214" s="1"/>
      <c r="BSV214" s="1"/>
      <c r="BSW214" s="1"/>
      <c r="BSX214" s="1"/>
      <c r="BSY214" s="1"/>
      <c r="BSZ214" s="1"/>
      <c r="BTA214" s="1"/>
      <c r="BTB214" s="1"/>
      <c r="BTC214" s="1"/>
      <c r="BTD214" s="1"/>
      <c r="BTE214" s="1"/>
      <c r="BTF214" s="1"/>
      <c r="BTG214" s="1"/>
      <c r="BTH214" s="1"/>
      <c r="BTI214" s="1"/>
      <c r="BTJ214" s="1"/>
      <c r="BTK214" s="1"/>
      <c r="BTL214" s="1"/>
      <c r="BTM214" s="1"/>
      <c r="BTN214" s="1"/>
      <c r="BTO214" s="1"/>
      <c r="BTP214" s="1"/>
      <c r="BTQ214" s="1"/>
      <c r="BTR214" s="1"/>
      <c r="BTS214" s="1"/>
      <c r="BTT214" s="1"/>
      <c r="BTU214" s="1"/>
      <c r="BTV214" s="1"/>
      <c r="BTW214" s="1"/>
      <c r="BTX214" s="1"/>
      <c r="BTY214" s="1"/>
      <c r="BTZ214" s="1"/>
      <c r="BUA214" s="1"/>
      <c r="BUB214" s="1"/>
      <c r="BUC214" s="1"/>
      <c r="BUD214" s="1"/>
      <c r="BUE214" s="1"/>
      <c r="BUF214" s="1"/>
      <c r="BUG214" s="1"/>
      <c r="BUH214" s="1"/>
      <c r="BUI214" s="1"/>
      <c r="BUJ214" s="1"/>
      <c r="BUK214" s="1"/>
      <c r="BUL214" s="1"/>
      <c r="BUM214" s="1"/>
      <c r="BUN214" s="1"/>
      <c r="BUO214" s="1"/>
      <c r="BUP214" s="1"/>
      <c r="BUQ214" s="1"/>
      <c r="BUR214" s="1"/>
      <c r="BUS214" s="1"/>
      <c r="BUT214" s="1"/>
      <c r="BUU214" s="1"/>
      <c r="BUV214" s="1"/>
      <c r="BUW214" s="1"/>
      <c r="BUX214" s="1"/>
      <c r="BUY214" s="1"/>
      <c r="BUZ214" s="1"/>
      <c r="BVA214" s="1"/>
      <c r="BVB214" s="1"/>
      <c r="BVC214" s="1"/>
      <c r="BVD214" s="1"/>
      <c r="BVE214" s="1"/>
      <c r="BVF214" s="1"/>
      <c r="BVG214" s="1"/>
      <c r="BVH214" s="1"/>
      <c r="BVI214" s="1"/>
      <c r="BVJ214" s="1"/>
      <c r="BVK214" s="1"/>
      <c r="BVL214" s="1"/>
      <c r="BVM214" s="1"/>
      <c r="BVN214" s="1"/>
      <c r="BVO214" s="1"/>
      <c r="BVP214" s="1"/>
      <c r="BVQ214" s="1"/>
      <c r="BVR214" s="1"/>
      <c r="BVS214" s="1"/>
      <c r="BVT214" s="1"/>
      <c r="BVU214" s="1"/>
      <c r="BVV214" s="1"/>
      <c r="BVW214" s="1"/>
      <c r="BVX214" s="1"/>
      <c r="BVY214" s="1"/>
      <c r="BVZ214" s="1"/>
      <c r="BWA214" s="1"/>
      <c r="BWB214" s="1"/>
      <c r="BWC214" s="1"/>
      <c r="BWD214" s="1"/>
      <c r="BWE214" s="1"/>
      <c r="BWF214" s="1"/>
      <c r="BWG214" s="1"/>
      <c r="BWH214" s="1"/>
      <c r="BWI214" s="1"/>
      <c r="BWJ214" s="1"/>
      <c r="BWK214" s="1"/>
      <c r="BWL214" s="1"/>
      <c r="BWM214" s="1"/>
      <c r="BWN214" s="1"/>
      <c r="BWO214" s="1"/>
      <c r="BWP214" s="1"/>
      <c r="BWQ214" s="1"/>
      <c r="BWR214" s="1"/>
      <c r="BWS214" s="1"/>
      <c r="BWT214" s="1"/>
      <c r="BWU214" s="1"/>
      <c r="BWV214" s="1"/>
      <c r="BWW214" s="1"/>
      <c r="BWX214" s="1"/>
      <c r="BWY214" s="1"/>
      <c r="BWZ214" s="1"/>
      <c r="BXA214" s="1"/>
      <c r="BXB214" s="1"/>
      <c r="BXC214" s="1"/>
      <c r="BXD214" s="1"/>
      <c r="BXE214" s="1"/>
      <c r="BXF214" s="1"/>
      <c r="BXG214" s="1"/>
      <c r="BXH214" s="1"/>
      <c r="BXI214" s="1"/>
      <c r="BXJ214" s="1"/>
      <c r="BXK214" s="1"/>
      <c r="BXL214" s="1"/>
      <c r="BXM214" s="1"/>
      <c r="BXN214" s="1"/>
      <c r="BXO214" s="1"/>
      <c r="BXP214" s="1"/>
      <c r="BXQ214" s="1"/>
      <c r="BXR214" s="1"/>
      <c r="BXS214" s="1"/>
      <c r="BXT214" s="1"/>
      <c r="BXU214" s="1"/>
      <c r="BXV214" s="1"/>
      <c r="BXW214" s="1"/>
      <c r="BXX214" s="1"/>
      <c r="BXY214" s="1"/>
      <c r="BXZ214" s="1"/>
      <c r="BYA214" s="1"/>
      <c r="BYB214" s="1"/>
      <c r="BYC214" s="1"/>
      <c r="BYD214" s="1"/>
      <c r="BYE214" s="1"/>
      <c r="BYF214" s="1"/>
      <c r="BYG214" s="1"/>
      <c r="BYH214" s="1"/>
      <c r="BYI214" s="1"/>
      <c r="BYJ214" s="1"/>
      <c r="BYK214" s="1"/>
      <c r="BYL214" s="1"/>
      <c r="BYM214" s="1"/>
      <c r="BYN214" s="1"/>
      <c r="BYO214" s="1"/>
      <c r="BYP214" s="1"/>
      <c r="BYQ214" s="1"/>
      <c r="BYR214" s="1"/>
      <c r="BYS214" s="1"/>
      <c r="BYT214" s="1"/>
      <c r="BYU214" s="1"/>
      <c r="BYV214" s="1"/>
      <c r="BYW214" s="1"/>
      <c r="BYX214" s="1"/>
      <c r="BYY214" s="1"/>
      <c r="BYZ214" s="1"/>
      <c r="BZA214" s="1"/>
      <c r="BZB214" s="1"/>
      <c r="BZC214" s="1"/>
      <c r="BZD214" s="1"/>
      <c r="BZE214" s="1"/>
      <c r="BZF214" s="1"/>
      <c r="BZG214" s="1"/>
      <c r="BZH214" s="1"/>
      <c r="BZI214" s="1"/>
      <c r="BZJ214" s="1"/>
      <c r="BZK214" s="1"/>
      <c r="BZL214" s="1"/>
      <c r="BZM214" s="1"/>
      <c r="BZN214" s="1"/>
      <c r="BZO214" s="1"/>
      <c r="BZP214" s="1"/>
      <c r="BZQ214" s="1"/>
      <c r="BZR214" s="1"/>
      <c r="BZS214" s="1"/>
      <c r="BZT214" s="1"/>
      <c r="BZU214" s="1"/>
      <c r="BZV214" s="1"/>
      <c r="BZW214" s="1"/>
      <c r="BZX214" s="1"/>
      <c r="BZY214" s="1"/>
      <c r="BZZ214" s="1"/>
      <c r="CAA214" s="1"/>
      <c r="CAB214" s="1"/>
      <c r="CAC214" s="1"/>
      <c r="CAD214" s="1"/>
      <c r="CAE214" s="1"/>
      <c r="CAF214" s="1"/>
      <c r="CAG214" s="1"/>
      <c r="CAH214" s="1"/>
      <c r="CAI214" s="1"/>
      <c r="CAJ214" s="1"/>
      <c r="CAK214" s="1"/>
      <c r="CAL214" s="1"/>
      <c r="CAM214" s="1"/>
      <c r="CAN214" s="1"/>
      <c r="CAO214" s="1"/>
      <c r="CAP214" s="1"/>
      <c r="CAQ214" s="1"/>
      <c r="CAR214" s="1"/>
      <c r="CAS214" s="1"/>
      <c r="CAT214" s="1"/>
      <c r="CAU214" s="1"/>
      <c r="CAV214" s="1"/>
      <c r="CAW214" s="1"/>
      <c r="CAX214" s="1"/>
      <c r="CAY214" s="1"/>
      <c r="CAZ214" s="1"/>
      <c r="CBA214" s="1"/>
      <c r="CBB214" s="1"/>
      <c r="CBC214" s="1"/>
      <c r="CBD214" s="1"/>
      <c r="CBE214" s="1"/>
      <c r="CBF214" s="1"/>
      <c r="CBG214" s="1"/>
      <c r="CBH214" s="1"/>
      <c r="CBI214" s="1"/>
      <c r="CBJ214" s="1"/>
      <c r="CBK214" s="1"/>
      <c r="CBL214" s="1"/>
      <c r="CBM214" s="1"/>
      <c r="CBN214" s="1"/>
      <c r="CBO214" s="1"/>
      <c r="CBP214" s="1"/>
      <c r="CBQ214" s="1"/>
      <c r="CBR214" s="1"/>
      <c r="CBS214" s="1"/>
      <c r="CBT214" s="1"/>
      <c r="CBU214" s="1"/>
      <c r="CBV214" s="1"/>
      <c r="CBW214" s="1"/>
      <c r="CBX214" s="1"/>
      <c r="CBY214" s="1"/>
      <c r="CBZ214" s="1"/>
      <c r="CCA214" s="1"/>
      <c r="CCB214" s="1"/>
      <c r="CCC214" s="1"/>
      <c r="CCD214" s="1"/>
      <c r="CCE214" s="1"/>
      <c r="CCF214" s="1"/>
      <c r="CCG214" s="1"/>
      <c r="CCH214" s="1"/>
      <c r="CCI214" s="1"/>
      <c r="CCJ214" s="1"/>
      <c r="CCK214" s="1"/>
      <c r="CCL214" s="1"/>
      <c r="CCM214" s="1"/>
      <c r="CCN214" s="1"/>
      <c r="CCO214" s="1"/>
      <c r="CCP214" s="1"/>
      <c r="CCQ214" s="1"/>
      <c r="CCR214" s="1"/>
      <c r="CCS214" s="1"/>
      <c r="CCT214" s="1"/>
      <c r="CCU214" s="1"/>
      <c r="CCV214" s="1"/>
      <c r="CCW214" s="1"/>
      <c r="CCX214" s="1"/>
      <c r="CCY214" s="1"/>
      <c r="CCZ214" s="1"/>
      <c r="CDA214" s="1"/>
      <c r="CDB214" s="1"/>
      <c r="CDC214" s="1"/>
      <c r="CDD214" s="1"/>
      <c r="CDE214" s="1"/>
      <c r="CDF214" s="1"/>
      <c r="CDG214" s="1"/>
      <c r="CDH214" s="1"/>
      <c r="CDI214" s="1"/>
      <c r="CDJ214" s="1"/>
      <c r="CDK214" s="1"/>
      <c r="CDL214" s="1"/>
      <c r="CDM214" s="1"/>
      <c r="CDN214" s="1"/>
      <c r="CDO214" s="1"/>
      <c r="CDP214" s="1"/>
      <c r="CDQ214" s="1"/>
      <c r="CDR214" s="1"/>
      <c r="CDS214" s="1"/>
      <c r="CDT214" s="1"/>
      <c r="CDU214" s="1"/>
      <c r="CDV214" s="1"/>
      <c r="CDW214" s="1"/>
      <c r="CDX214" s="1"/>
      <c r="CDY214" s="1"/>
      <c r="CDZ214" s="1"/>
      <c r="CEA214" s="1"/>
      <c r="CEB214" s="1"/>
      <c r="CEC214" s="1"/>
      <c r="CED214" s="1"/>
      <c r="CEE214" s="1"/>
      <c r="CEF214" s="1"/>
      <c r="CEG214" s="1"/>
      <c r="CEH214" s="1"/>
      <c r="CEI214" s="1"/>
      <c r="CEJ214" s="1"/>
      <c r="CEK214" s="1"/>
      <c r="CEL214" s="1"/>
      <c r="CEM214" s="1"/>
      <c r="CEN214" s="1"/>
      <c r="CEO214" s="1"/>
      <c r="CEP214" s="1"/>
      <c r="CEQ214" s="1"/>
      <c r="CER214" s="1"/>
      <c r="CES214" s="1"/>
      <c r="CET214" s="1"/>
      <c r="CEU214" s="1"/>
      <c r="CEV214" s="1"/>
      <c r="CEW214" s="1"/>
      <c r="CEX214" s="1"/>
      <c r="CEY214" s="1"/>
      <c r="CEZ214" s="1"/>
      <c r="CFA214" s="1"/>
      <c r="CFB214" s="1"/>
      <c r="CFC214" s="1"/>
      <c r="CFD214" s="1"/>
      <c r="CFE214" s="1"/>
      <c r="CFF214" s="1"/>
      <c r="CFG214" s="1"/>
      <c r="CFH214" s="1"/>
      <c r="CFI214" s="1"/>
      <c r="CFJ214" s="1"/>
      <c r="CFK214" s="1"/>
      <c r="CFL214" s="1"/>
      <c r="CFM214" s="1"/>
      <c r="CFN214" s="1"/>
      <c r="CFO214" s="1"/>
      <c r="CFP214" s="1"/>
      <c r="CFQ214" s="1"/>
      <c r="CFR214" s="1"/>
      <c r="CFS214" s="1"/>
      <c r="CFT214" s="1"/>
      <c r="CFU214" s="1"/>
      <c r="CFV214" s="1"/>
      <c r="CFW214" s="1"/>
      <c r="CFX214" s="1"/>
      <c r="CFY214" s="1"/>
      <c r="CFZ214" s="1"/>
      <c r="CGA214" s="1"/>
      <c r="CGB214" s="1"/>
      <c r="CGC214" s="1"/>
      <c r="CGD214" s="1"/>
      <c r="CGE214" s="1"/>
      <c r="CGF214" s="1"/>
      <c r="CGG214" s="1"/>
      <c r="CGH214" s="1"/>
      <c r="CGI214" s="1"/>
      <c r="CGJ214" s="1"/>
      <c r="CGK214" s="1"/>
      <c r="CGL214" s="1"/>
      <c r="CGM214" s="1"/>
      <c r="CGN214" s="1"/>
      <c r="CGO214" s="1"/>
      <c r="CGP214" s="1"/>
      <c r="CGQ214" s="1"/>
      <c r="CGR214" s="1"/>
      <c r="CGS214" s="1"/>
      <c r="CGT214" s="1"/>
      <c r="CGU214" s="1"/>
      <c r="CGV214" s="1"/>
      <c r="CGW214" s="1"/>
      <c r="CGX214" s="1"/>
      <c r="CGY214" s="1"/>
      <c r="CGZ214" s="1"/>
      <c r="CHA214" s="1"/>
      <c r="CHB214" s="1"/>
      <c r="CHC214" s="1"/>
      <c r="CHD214" s="1"/>
      <c r="CHE214" s="1"/>
      <c r="CHF214" s="1"/>
      <c r="CHG214" s="1"/>
      <c r="CHH214" s="1"/>
      <c r="CHI214" s="1"/>
      <c r="CHJ214" s="1"/>
      <c r="CHK214" s="1"/>
      <c r="CHL214" s="1"/>
      <c r="CHM214" s="1"/>
      <c r="CHN214" s="1"/>
      <c r="CHO214" s="1"/>
      <c r="CHP214" s="1"/>
      <c r="CHQ214" s="1"/>
      <c r="CHR214" s="1"/>
      <c r="CHS214" s="1"/>
      <c r="CHT214" s="1"/>
      <c r="CHU214" s="1"/>
      <c r="CHV214" s="1"/>
      <c r="CHW214" s="1"/>
      <c r="CHX214" s="1"/>
      <c r="CHY214" s="1"/>
      <c r="CHZ214" s="1"/>
      <c r="CIA214" s="1"/>
      <c r="CIB214" s="1"/>
      <c r="CIC214" s="1"/>
      <c r="CID214" s="1"/>
      <c r="CIE214" s="1"/>
      <c r="CIF214" s="1"/>
      <c r="CIG214" s="1"/>
      <c r="CIH214" s="1"/>
      <c r="CII214" s="1"/>
      <c r="CIJ214" s="1"/>
      <c r="CIK214" s="1"/>
      <c r="CIL214" s="1"/>
      <c r="CIM214" s="1"/>
      <c r="CIN214" s="1"/>
      <c r="CIO214" s="1"/>
      <c r="CIP214" s="1"/>
      <c r="CIQ214" s="1"/>
      <c r="CIR214" s="1"/>
      <c r="CIS214" s="1"/>
      <c r="CIT214" s="1"/>
      <c r="CIU214" s="1"/>
      <c r="CIV214" s="1"/>
      <c r="CIW214" s="1"/>
      <c r="CIX214" s="1"/>
      <c r="CIY214" s="1"/>
      <c r="CIZ214" s="1"/>
      <c r="CJA214" s="1"/>
      <c r="CJB214" s="1"/>
      <c r="CJC214" s="1"/>
      <c r="CJD214" s="1"/>
      <c r="CJE214" s="1"/>
      <c r="CJF214" s="1"/>
      <c r="CJG214" s="1"/>
      <c r="CJH214" s="1"/>
      <c r="CJI214" s="1"/>
      <c r="CJJ214" s="1"/>
      <c r="CJK214" s="1"/>
      <c r="CJL214" s="1"/>
      <c r="CJM214" s="1"/>
      <c r="CJN214" s="1"/>
      <c r="CJO214" s="1"/>
      <c r="CJP214" s="1"/>
      <c r="CJQ214" s="1"/>
      <c r="CJR214" s="1"/>
      <c r="CJS214" s="1"/>
      <c r="CJT214" s="1"/>
      <c r="CJU214" s="1"/>
      <c r="CJV214" s="1"/>
      <c r="CJW214" s="1"/>
      <c r="CJX214" s="1"/>
      <c r="CJY214" s="1"/>
      <c r="CJZ214" s="1"/>
      <c r="CKA214" s="1"/>
      <c r="CKB214" s="1"/>
      <c r="CKC214" s="1"/>
      <c r="CKD214" s="1"/>
      <c r="CKE214" s="1"/>
      <c r="CKF214" s="1"/>
      <c r="CKG214" s="1"/>
      <c r="CKH214" s="1"/>
      <c r="CKI214" s="1"/>
      <c r="CKJ214" s="1"/>
      <c r="CKK214" s="1"/>
      <c r="CKL214" s="1"/>
      <c r="CKM214" s="1"/>
      <c r="CKN214" s="1"/>
      <c r="CKO214" s="1"/>
      <c r="CKP214" s="1"/>
      <c r="CKQ214" s="1"/>
      <c r="CKR214" s="1"/>
      <c r="CKS214" s="1"/>
      <c r="CKT214" s="1"/>
      <c r="CKU214" s="1"/>
      <c r="CKV214" s="1"/>
      <c r="CKW214" s="1"/>
      <c r="CKX214" s="1"/>
      <c r="CKY214" s="1"/>
      <c r="CKZ214" s="1"/>
      <c r="CLA214" s="1"/>
      <c r="CLB214" s="1"/>
      <c r="CLC214" s="1"/>
      <c r="CLD214" s="1"/>
      <c r="CLE214" s="1"/>
      <c r="CLF214" s="1"/>
      <c r="CLG214" s="1"/>
      <c r="CLH214" s="1"/>
      <c r="CLI214" s="1"/>
      <c r="CLJ214" s="1"/>
      <c r="CLK214" s="1"/>
      <c r="CLL214" s="1"/>
      <c r="CLM214" s="1"/>
      <c r="CLN214" s="1"/>
      <c r="CLO214" s="1"/>
      <c r="CLP214" s="1"/>
      <c r="CLQ214" s="1"/>
      <c r="CLR214" s="1"/>
      <c r="CLS214" s="1"/>
      <c r="CLT214" s="1"/>
      <c r="CLU214" s="1"/>
      <c r="CLV214" s="1"/>
      <c r="CLW214" s="1"/>
      <c r="CLX214" s="1"/>
      <c r="CLY214" s="1"/>
      <c r="CLZ214" s="1"/>
      <c r="CMA214" s="1"/>
      <c r="CMB214" s="1"/>
      <c r="CMC214" s="1"/>
      <c r="CMD214" s="1"/>
      <c r="CME214" s="1"/>
      <c r="CMF214" s="1"/>
      <c r="CMG214" s="1"/>
      <c r="CMH214" s="1"/>
      <c r="CMI214" s="1"/>
      <c r="CMJ214" s="1"/>
      <c r="CMK214" s="1"/>
      <c r="CML214" s="1"/>
      <c r="CMM214" s="1"/>
      <c r="CMN214" s="1"/>
      <c r="CMO214" s="1"/>
      <c r="CMP214" s="1"/>
      <c r="CMQ214" s="1"/>
      <c r="CMR214" s="1"/>
      <c r="CMS214" s="1"/>
      <c r="CMT214" s="1"/>
      <c r="CMU214" s="1"/>
      <c r="CMV214" s="1"/>
      <c r="CMW214" s="1"/>
      <c r="CMX214" s="1"/>
      <c r="CMY214" s="1"/>
      <c r="CMZ214" s="1"/>
      <c r="CNA214" s="1"/>
      <c r="CNB214" s="1"/>
      <c r="CNC214" s="1"/>
      <c r="CND214" s="1"/>
      <c r="CNE214" s="1"/>
      <c r="CNF214" s="1"/>
      <c r="CNG214" s="1"/>
      <c r="CNH214" s="1"/>
      <c r="CNI214" s="1"/>
      <c r="CNJ214" s="1"/>
      <c r="CNK214" s="1"/>
      <c r="CNL214" s="1"/>
      <c r="CNM214" s="1"/>
      <c r="CNN214" s="1"/>
      <c r="CNO214" s="1"/>
      <c r="CNP214" s="1"/>
      <c r="CNQ214" s="1"/>
      <c r="CNR214" s="1"/>
      <c r="CNS214" s="1"/>
      <c r="CNT214" s="1"/>
      <c r="CNU214" s="1"/>
      <c r="CNV214" s="1"/>
      <c r="CNW214" s="1"/>
      <c r="CNX214" s="1"/>
      <c r="CNY214" s="1"/>
      <c r="CNZ214" s="1"/>
      <c r="COA214" s="1"/>
      <c r="COB214" s="1"/>
      <c r="COC214" s="1"/>
      <c r="COD214" s="1"/>
      <c r="COE214" s="1"/>
      <c r="COF214" s="1"/>
      <c r="COG214" s="1"/>
      <c r="COH214" s="1"/>
      <c r="COI214" s="1"/>
      <c r="COJ214" s="1"/>
      <c r="COK214" s="1"/>
      <c r="COL214" s="1"/>
      <c r="COM214" s="1"/>
      <c r="CON214" s="1"/>
      <c r="COO214" s="1"/>
      <c r="COP214" s="1"/>
      <c r="COQ214" s="1"/>
      <c r="COR214" s="1"/>
      <c r="COS214" s="1"/>
      <c r="COT214" s="1"/>
      <c r="COU214" s="1"/>
      <c r="COV214" s="1"/>
      <c r="COW214" s="1"/>
      <c r="COX214" s="1"/>
      <c r="COY214" s="1"/>
      <c r="COZ214" s="1"/>
      <c r="CPA214" s="1"/>
      <c r="CPB214" s="1"/>
      <c r="CPC214" s="1"/>
      <c r="CPD214" s="1"/>
      <c r="CPE214" s="1"/>
      <c r="CPF214" s="1"/>
      <c r="CPG214" s="1"/>
      <c r="CPH214" s="1"/>
      <c r="CPI214" s="1"/>
      <c r="CPJ214" s="1"/>
      <c r="CPK214" s="1"/>
      <c r="CPL214" s="1"/>
      <c r="CPM214" s="1"/>
      <c r="CPN214" s="1"/>
      <c r="CPO214" s="1"/>
      <c r="CPP214" s="1"/>
      <c r="CPQ214" s="1"/>
      <c r="CPR214" s="1"/>
      <c r="CPS214" s="1"/>
      <c r="CPT214" s="1"/>
      <c r="CPU214" s="1"/>
      <c r="CPV214" s="1"/>
      <c r="CPW214" s="1"/>
      <c r="CPX214" s="1"/>
      <c r="CPY214" s="1"/>
      <c r="CPZ214" s="1"/>
      <c r="CQA214" s="1"/>
      <c r="CQB214" s="1"/>
      <c r="CQC214" s="1"/>
      <c r="CQD214" s="1"/>
      <c r="CQE214" s="1"/>
      <c r="CQF214" s="1"/>
      <c r="CQG214" s="1"/>
      <c r="CQH214" s="1"/>
      <c r="CQI214" s="1"/>
      <c r="CQJ214" s="1"/>
      <c r="CQK214" s="1"/>
      <c r="CQL214" s="1"/>
      <c r="CQM214" s="1"/>
      <c r="CQN214" s="1"/>
      <c r="CQO214" s="1"/>
      <c r="CQP214" s="1"/>
      <c r="CQQ214" s="1"/>
      <c r="CQR214" s="1"/>
      <c r="CQS214" s="1"/>
      <c r="CQT214" s="1"/>
      <c r="CQU214" s="1"/>
      <c r="CQV214" s="1"/>
      <c r="CQW214" s="1"/>
      <c r="CQX214" s="1"/>
      <c r="CQY214" s="1"/>
      <c r="CQZ214" s="1"/>
      <c r="CRA214" s="1"/>
      <c r="CRB214" s="1"/>
      <c r="CRC214" s="1"/>
      <c r="CRD214" s="1"/>
      <c r="CRE214" s="1"/>
      <c r="CRF214" s="1"/>
      <c r="CRG214" s="1"/>
      <c r="CRH214" s="1"/>
      <c r="CRI214" s="1"/>
      <c r="CRJ214" s="1"/>
      <c r="CRK214" s="1"/>
      <c r="CRL214" s="1"/>
      <c r="CRM214" s="1"/>
      <c r="CRN214" s="1"/>
      <c r="CRO214" s="1"/>
      <c r="CRP214" s="1"/>
      <c r="CRQ214" s="1"/>
      <c r="CRR214" s="1"/>
      <c r="CRS214" s="1"/>
      <c r="CRT214" s="1"/>
      <c r="CRU214" s="1"/>
      <c r="CRV214" s="1"/>
      <c r="CRW214" s="1"/>
      <c r="CRX214" s="1"/>
      <c r="CRY214" s="1"/>
      <c r="CRZ214" s="1"/>
      <c r="CSA214" s="1"/>
      <c r="CSB214" s="1"/>
      <c r="CSC214" s="1"/>
      <c r="CSD214" s="1"/>
      <c r="CSE214" s="1"/>
      <c r="CSF214" s="1"/>
      <c r="CSG214" s="1"/>
      <c r="CSH214" s="1"/>
      <c r="CSI214" s="1"/>
      <c r="CSJ214" s="1"/>
      <c r="CSK214" s="1"/>
      <c r="CSL214" s="1"/>
      <c r="CSM214" s="1"/>
      <c r="CSN214" s="1"/>
      <c r="CSO214" s="1"/>
      <c r="CSP214" s="1"/>
      <c r="CSQ214" s="1"/>
      <c r="CSR214" s="1"/>
      <c r="CSS214" s="1"/>
      <c r="CST214" s="1"/>
      <c r="CSU214" s="1"/>
      <c r="CSV214" s="1"/>
      <c r="CSW214" s="1"/>
      <c r="CSX214" s="1"/>
      <c r="CSY214" s="1"/>
      <c r="CSZ214" s="1"/>
      <c r="CTA214" s="1"/>
      <c r="CTB214" s="1"/>
      <c r="CTC214" s="1"/>
      <c r="CTD214" s="1"/>
      <c r="CTE214" s="1"/>
      <c r="CTF214" s="1"/>
      <c r="CTG214" s="1"/>
      <c r="CTH214" s="1"/>
      <c r="CTI214" s="1"/>
      <c r="CTJ214" s="1"/>
      <c r="CTK214" s="1"/>
      <c r="CTL214" s="1"/>
      <c r="CTM214" s="1"/>
      <c r="CTN214" s="1"/>
      <c r="CTO214" s="1"/>
      <c r="CTP214" s="1"/>
      <c r="CTQ214" s="1"/>
      <c r="CTR214" s="1"/>
      <c r="CTS214" s="1"/>
      <c r="CTT214" s="1"/>
      <c r="CTU214" s="1"/>
      <c r="CTV214" s="1"/>
      <c r="CTW214" s="1"/>
      <c r="CTX214" s="1"/>
      <c r="CTY214" s="1"/>
      <c r="CTZ214" s="1"/>
      <c r="CUA214" s="1"/>
      <c r="CUB214" s="1"/>
      <c r="CUC214" s="1"/>
      <c r="CUD214" s="1"/>
      <c r="CUE214" s="1"/>
      <c r="CUF214" s="1"/>
      <c r="CUG214" s="1"/>
      <c r="CUH214" s="1"/>
      <c r="CUI214" s="1"/>
      <c r="CUJ214" s="1"/>
      <c r="CUK214" s="1"/>
      <c r="CUL214" s="1"/>
      <c r="CUM214" s="1"/>
      <c r="CUN214" s="1"/>
      <c r="CUO214" s="1"/>
      <c r="CUP214" s="1"/>
      <c r="CUQ214" s="1"/>
      <c r="CUR214" s="1"/>
      <c r="CUS214" s="1"/>
      <c r="CUT214" s="1"/>
      <c r="CUU214" s="1"/>
      <c r="CUV214" s="1"/>
      <c r="CUW214" s="1"/>
      <c r="CUX214" s="1"/>
      <c r="CUY214" s="1"/>
      <c r="CUZ214" s="1"/>
      <c r="CVA214" s="1"/>
      <c r="CVB214" s="1"/>
      <c r="CVC214" s="1"/>
      <c r="CVD214" s="1"/>
      <c r="CVE214" s="1"/>
      <c r="CVF214" s="1"/>
      <c r="CVG214" s="1"/>
      <c r="CVH214" s="1"/>
      <c r="CVI214" s="1"/>
      <c r="CVJ214" s="1"/>
      <c r="CVK214" s="1"/>
      <c r="CVL214" s="1"/>
      <c r="CVM214" s="1"/>
      <c r="CVN214" s="1"/>
      <c r="CVO214" s="1"/>
      <c r="CVP214" s="1"/>
      <c r="CVQ214" s="1"/>
      <c r="CVR214" s="1"/>
      <c r="CVS214" s="1"/>
      <c r="CVT214" s="1"/>
      <c r="CVU214" s="1"/>
      <c r="CVV214" s="1"/>
      <c r="CVW214" s="1"/>
      <c r="CVX214" s="1"/>
      <c r="CVY214" s="1"/>
      <c r="CVZ214" s="1"/>
      <c r="CWA214" s="1"/>
      <c r="CWB214" s="1"/>
      <c r="CWC214" s="1"/>
      <c r="CWD214" s="1"/>
      <c r="CWE214" s="1"/>
      <c r="CWF214" s="1"/>
      <c r="CWG214" s="1"/>
      <c r="CWH214" s="1"/>
      <c r="CWI214" s="1"/>
      <c r="CWJ214" s="1"/>
      <c r="CWK214" s="1"/>
      <c r="CWL214" s="1"/>
      <c r="CWM214" s="1"/>
      <c r="CWN214" s="1"/>
      <c r="CWO214" s="1"/>
      <c r="CWP214" s="1"/>
      <c r="CWQ214" s="1"/>
      <c r="CWR214" s="1"/>
      <c r="CWS214" s="1"/>
      <c r="CWT214" s="1"/>
      <c r="CWU214" s="1"/>
      <c r="CWV214" s="1"/>
      <c r="CWW214" s="1"/>
      <c r="CWX214" s="1"/>
      <c r="CWY214" s="1"/>
      <c r="CWZ214" s="1"/>
      <c r="CXA214" s="1"/>
      <c r="CXB214" s="1"/>
      <c r="CXC214" s="1"/>
      <c r="CXD214" s="1"/>
      <c r="CXE214" s="1"/>
      <c r="CXF214" s="1"/>
      <c r="CXG214" s="1"/>
      <c r="CXH214" s="1"/>
      <c r="CXI214" s="1"/>
      <c r="CXJ214" s="1"/>
      <c r="CXK214" s="1"/>
      <c r="CXL214" s="1"/>
      <c r="CXM214" s="1"/>
      <c r="CXN214" s="1"/>
      <c r="CXO214" s="1"/>
      <c r="CXP214" s="1"/>
      <c r="CXQ214" s="1"/>
      <c r="CXR214" s="1"/>
      <c r="CXS214" s="1"/>
      <c r="CXT214" s="1"/>
      <c r="CXU214" s="1"/>
      <c r="CXV214" s="1"/>
      <c r="CXW214" s="1"/>
      <c r="CXX214" s="1"/>
      <c r="CXY214" s="1"/>
      <c r="CXZ214" s="1"/>
      <c r="CYA214" s="1"/>
      <c r="CYB214" s="1"/>
      <c r="CYC214" s="1"/>
      <c r="CYD214" s="1"/>
      <c r="CYE214" s="1"/>
      <c r="CYF214" s="1"/>
      <c r="CYG214" s="1"/>
      <c r="CYH214" s="1"/>
      <c r="CYI214" s="1"/>
      <c r="CYJ214" s="1"/>
      <c r="CYK214" s="1"/>
      <c r="CYL214" s="1"/>
      <c r="CYM214" s="1"/>
      <c r="CYN214" s="1"/>
      <c r="CYO214" s="1"/>
      <c r="CYP214" s="1"/>
      <c r="CYQ214" s="1"/>
      <c r="CYR214" s="1"/>
      <c r="CYS214" s="1"/>
      <c r="CYT214" s="1"/>
      <c r="CYU214" s="1"/>
      <c r="CYV214" s="1"/>
      <c r="CYW214" s="1"/>
      <c r="CYX214" s="1"/>
      <c r="CYY214" s="1"/>
      <c r="CYZ214" s="1"/>
      <c r="CZA214" s="1"/>
      <c r="CZB214" s="1"/>
      <c r="CZC214" s="1"/>
      <c r="CZD214" s="1"/>
      <c r="CZE214" s="1"/>
      <c r="CZF214" s="1"/>
      <c r="CZG214" s="1"/>
      <c r="CZH214" s="1"/>
      <c r="CZI214" s="1"/>
      <c r="CZJ214" s="1"/>
      <c r="CZK214" s="1"/>
      <c r="CZL214" s="1"/>
      <c r="CZM214" s="1"/>
      <c r="CZN214" s="1"/>
      <c r="CZO214" s="1"/>
      <c r="CZP214" s="1"/>
      <c r="CZQ214" s="1"/>
      <c r="CZR214" s="1"/>
      <c r="CZS214" s="1"/>
      <c r="CZT214" s="1"/>
      <c r="CZU214" s="1"/>
      <c r="CZV214" s="1"/>
      <c r="CZW214" s="1"/>
      <c r="CZX214" s="1"/>
      <c r="CZY214" s="1"/>
      <c r="CZZ214" s="1"/>
      <c r="DAA214" s="1"/>
      <c r="DAB214" s="1"/>
      <c r="DAC214" s="1"/>
      <c r="DAD214" s="1"/>
      <c r="DAE214" s="1"/>
      <c r="DAF214" s="1"/>
      <c r="DAG214" s="1"/>
      <c r="DAH214" s="1"/>
      <c r="DAI214" s="1"/>
      <c r="DAJ214" s="1"/>
      <c r="DAK214" s="1"/>
      <c r="DAL214" s="1"/>
      <c r="DAM214" s="1"/>
      <c r="DAN214" s="1"/>
      <c r="DAO214" s="1"/>
      <c r="DAP214" s="1"/>
      <c r="DAQ214" s="1"/>
      <c r="DAR214" s="1"/>
      <c r="DAS214" s="1"/>
      <c r="DAT214" s="1"/>
      <c r="DAU214" s="1"/>
      <c r="DAV214" s="1"/>
      <c r="DAW214" s="1"/>
      <c r="DAX214" s="1"/>
      <c r="DAY214" s="1"/>
      <c r="DAZ214" s="1"/>
      <c r="DBA214" s="1"/>
      <c r="DBB214" s="1"/>
      <c r="DBC214" s="1"/>
      <c r="DBD214" s="1"/>
      <c r="DBE214" s="1"/>
      <c r="DBF214" s="1"/>
      <c r="DBG214" s="1"/>
      <c r="DBH214" s="1"/>
      <c r="DBI214" s="1"/>
      <c r="DBJ214" s="1"/>
      <c r="DBK214" s="1"/>
      <c r="DBL214" s="1"/>
      <c r="DBM214" s="1"/>
      <c r="DBN214" s="1"/>
      <c r="DBO214" s="1"/>
      <c r="DBP214" s="1"/>
      <c r="DBQ214" s="1"/>
      <c r="DBR214" s="1"/>
      <c r="DBS214" s="1"/>
      <c r="DBT214" s="1"/>
      <c r="DBU214" s="1"/>
      <c r="DBV214" s="1"/>
      <c r="DBW214" s="1"/>
      <c r="DBX214" s="1"/>
      <c r="DBY214" s="1"/>
      <c r="DBZ214" s="1"/>
      <c r="DCA214" s="1"/>
      <c r="DCB214" s="1"/>
      <c r="DCC214" s="1"/>
      <c r="DCD214" s="1"/>
      <c r="DCE214" s="1"/>
      <c r="DCF214" s="1"/>
      <c r="DCG214" s="1"/>
      <c r="DCH214" s="1"/>
      <c r="DCI214" s="1"/>
      <c r="DCJ214" s="1"/>
      <c r="DCK214" s="1"/>
      <c r="DCL214" s="1"/>
      <c r="DCM214" s="1"/>
      <c r="DCN214" s="1"/>
      <c r="DCO214" s="1"/>
      <c r="DCP214" s="1"/>
      <c r="DCQ214" s="1"/>
      <c r="DCR214" s="1"/>
      <c r="DCS214" s="1"/>
      <c r="DCT214" s="1"/>
      <c r="DCU214" s="1"/>
      <c r="DCV214" s="1"/>
      <c r="DCW214" s="1"/>
      <c r="DCX214" s="1"/>
      <c r="DCY214" s="1"/>
      <c r="DCZ214" s="1"/>
      <c r="DDA214" s="1"/>
      <c r="DDB214" s="1"/>
      <c r="DDC214" s="1"/>
      <c r="DDD214" s="1"/>
      <c r="DDE214" s="1"/>
      <c r="DDF214" s="1"/>
      <c r="DDG214" s="1"/>
      <c r="DDH214" s="1"/>
      <c r="DDI214" s="1"/>
      <c r="DDJ214" s="1"/>
      <c r="DDK214" s="1"/>
      <c r="DDL214" s="1"/>
      <c r="DDM214" s="1"/>
      <c r="DDN214" s="1"/>
      <c r="DDO214" s="1"/>
      <c r="DDP214" s="1"/>
      <c r="DDQ214" s="1"/>
      <c r="DDR214" s="1"/>
      <c r="DDS214" s="1"/>
      <c r="DDT214" s="1"/>
      <c r="DDU214" s="1"/>
      <c r="DDV214" s="1"/>
      <c r="DDW214" s="1"/>
      <c r="DDX214" s="1"/>
      <c r="DDY214" s="1"/>
      <c r="DDZ214" s="1"/>
      <c r="DEA214" s="1"/>
      <c r="DEB214" s="1"/>
      <c r="DEC214" s="1"/>
      <c r="DED214" s="1"/>
      <c r="DEE214" s="1"/>
      <c r="DEF214" s="1"/>
      <c r="DEG214" s="1"/>
      <c r="DEH214" s="1"/>
      <c r="DEI214" s="1"/>
      <c r="DEJ214" s="1"/>
      <c r="DEK214" s="1"/>
      <c r="DEL214" s="1"/>
      <c r="DEM214" s="1"/>
      <c r="DEN214" s="1"/>
      <c r="DEO214" s="1"/>
      <c r="DEP214" s="1"/>
      <c r="DEQ214" s="1"/>
      <c r="DER214" s="1"/>
      <c r="DES214" s="1"/>
      <c r="DET214" s="1"/>
      <c r="DEU214" s="1"/>
      <c r="DEV214" s="1"/>
      <c r="DEW214" s="1"/>
      <c r="DEX214" s="1"/>
      <c r="DEY214" s="1"/>
      <c r="DEZ214" s="1"/>
      <c r="DFA214" s="1"/>
      <c r="DFB214" s="1"/>
      <c r="DFC214" s="1"/>
      <c r="DFD214" s="1"/>
      <c r="DFE214" s="1"/>
      <c r="DFF214" s="1"/>
      <c r="DFG214" s="1"/>
      <c r="DFH214" s="1"/>
      <c r="DFI214" s="1"/>
      <c r="DFJ214" s="1"/>
      <c r="DFK214" s="1"/>
      <c r="DFL214" s="1"/>
      <c r="DFM214" s="1"/>
      <c r="DFN214" s="1"/>
      <c r="DFO214" s="1"/>
      <c r="DFP214" s="1"/>
      <c r="DFQ214" s="1"/>
      <c r="DFR214" s="1"/>
      <c r="DFS214" s="1"/>
      <c r="DFT214" s="1"/>
      <c r="DFU214" s="1"/>
      <c r="DFV214" s="1"/>
      <c r="DFW214" s="1"/>
      <c r="DFX214" s="1"/>
      <c r="DFY214" s="1"/>
      <c r="DFZ214" s="1"/>
      <c r="DGA214" s="1"/>
      <c r="DGB214" s="1"/>
      <c r="DGC214" s="1"/>
      <c r="DGD214" s="1"/>
      <c r="DGE214" s="1"/>
      <c r="DGF214" s="1"/>
      <c r="DGG214" s="1"/>
      <c r="DGH214" s="1"/>
      <c r="DGI214" s="1"/>
      <c r="DGJ214" s="1"/>
      <c r="DGK214" s="1"/>
      <c r="DGL214" s="1"/>
      <c r="DGM214" s="1"/>
      <c r="DGN214" s="1"/>
      <c r="DGO214" s="1"/>
      <c r="DGP214" s="1"/>
      <c r="DGQ214" s="1"/>
      <c r="DGR214" s="1"/>
      <c r="DGS214" s="1"/>
      <c r="DGT214" s="1"/>
      <c r="DGU214" s="1"/>
      <c r="DGV214" s="1"/>
      <c r="DGW214" s="1"/>
      <c r="DGX214" s="1"/>
      <c r="DGY214" s="1"/>
      <c r="DGZ214" s="1"/>
      <c r="DHA214" s="1"/>
      <c r="DHB214" s="1"/>
      <c r="DHC214" s="1"/>
      <c r="DHD214" s="1"/>
      <c r="DHE214" s="1"/>
      <c r="DHF214" s="1"/>
      <c r="DHG214" s="1"/>
      <c r="DHH214" s="1"/>
      <c r="DHI214" s="1"/>
      <c r="DHJ214" s="1"/>
      <c r="DHK214" s="1"/>
      <c r="DHL214" s="1"/>
      <c r="DHM214" s="1"/>
      <c r="DHN214" s="1"/>
      <c r="DHO214" s="1"/>
      <c r="DHP214" s="1"/>
      <c r="DHQ214" s="1"/>
      <c r="DHR214" s="1"/>
      <c r="DHS214" s="1"/>
      <c r="DHT214" s="1"/>
      <c r="DHU214" s="1"/>
      <c r="DHV214" s="1"/>
      <c r="DHW214" s="1"/>
      <c r="DHX214" s="1"/>
      <c r="DHY214" s="1"/>
      <c r="DHZ214" s="1"/>
      <c r="DIA214" s="1"/>
      <c r="DIB214" s="1"/>
      <c r="DIC214" s="1"/>
      <c r="DID214" s="1"/>
      <c r="DIE214" s="1"/>
      <c r="DIF214" s="1"/>
      <c r="DIG214" s="1"/>
      <c r="DIH214" s="1"/>
      <c r="DII214" s="1"/>
      <c r="DIJ214" s="1"/>
      <c r="DIK214" s="1"/>
      <c r="DIL214" s="1"/>
      <c r="DIM214" s="1"/>
      <c r="DIN214" s="1"/>
      <c r="DIO214" s="1"/>
      <c r="DIP214" s="1"/>
      <c r="DIQ214" s="1"/>
      <c r="DIR214" s="1"/>
      <c r="DIS214" s="1"/>
      <c r="DIT214" s="1"/>
      <c r="DIU214" s="1"/>
      <c r="DIV214" s="1"/>
      <c r="DIW214" s="1"/>
      <c r="DIX214" s="1"/>
      <c r="DIY214" s="1"/>
      <c r="DIZ214" s="1"/>
      <c r="DJA214" s="1"/>
      <c r="DJB214" s="1"/>
      <c r="DJC214" s="1"/>
      <c r="DJD214" s="1"/>
      <c r="DJE214" s="1"/>
      <c r="DJF214" s="1"/>
      <c r="DJG214" s="1"/>
      <c r="DJH214" s="1"/>
      <c r="DJI214" s="1"/>
      <c r="DJJ214" s="1"/>
      <c r="DJK214" s="1"/>
      <c r="DJL214" s="1"/>
      <c r="DJM214" s="1"/>
      <c r="DJN214" s="1"/>
      <c r="DJO214" s="1"/>
      <c r="DJP214" s="1"/>
      <c r="DJQ214" s="1"/>
      <c r="DJR214" s="1"/>
      <c r="DJS214" s="1"/>
      <c r="DJT214" s="1"/>
      <c r="DJU214" s="1"/>
      <c r="DJV214" s="1"/>
      <c r="DJW214" s="1"/>
      <c r="DJX214" s="1"/>
      <c r="DJY214" s="1"/>
      <c r="DJZ214" s="1"/>
      <c r="DKA214" s="1"/>
      <c r="DKB214" s="1"/>
      <c r="DKC214" s="1"/>
      <c r="DKD214" s="1"/>
      <c r="DKE214" s="1"/>
      <c r="DKF214" s="1"/>
      <c r="DKG214" s="1"/>
      <c r="DKH214" s="1"/>
      <c r="DKI214" s="1"/>
      <c r="DKJ214" s="1"/>
      <c r="DKK214" s="1"/>
      <c r="DKL214" s="1"/>
      <c r="DKM214" s="1"/>
      <c r="DKN214" s="1"/>
      <c r="DKO214" s="1"/>
      <c r="DKP214" s="1"/>
      <c r="DKQ214" s="1"/>
      <c r="DKR214" s="1"/>
      <c r="DKS214" s="1"/>
      <c r="DKT214" s="1"/>
      <c r="DKU214" s="1"/>
      <c r="DKV214" s="1"/>
      <c r="DKW214" s="1"/>
      <c r="DKX214" s="1"/>
      <c r="DKY214" s="1"/>
      <c r="DKZ214" s="1"/>
      <c r="DLA214" s="1"/>
      <c r="DLB214" s="1"/>
      <c r="DLC214" s="1"/>
      <c r="DLD214" s="1"/>
      <c r="DLE214" s="1"/>
      <c r="DLF214" s="1"/>
      <c r="DLG214" s="1"/>
      <c r="DLH214" s="1"/>
      <c r="DLI214" s="1"/>
      <c r="DLJ214" s="1"/>
      <c r="DLK214" s="1"/>
      <c r="DLL214" s="1"/>
      <c r="DLM214" s="1"/>
      <c r="DLN214" s="1"/>
      <c r="DLO214" s="1"/>
      <c r="DLP214" s="1"/>
      <c r="DLQ214" s="1"/>
      <c r="DLR214" s="1"/>
      <c r="DLS214" s="1"/>
      <c r="DLT214" s="1"/>
      <c r="DLU214" s="1"/>
      <c r="DLV214" s="1"/>
      <c r="DLW214" s="1"/>
      <c r="DLX214" s="1"/>
      <c r="DLY214" s="1"/>
      <c r="DLZ214" s="1"/>
      <c r="DMA214" s="1"/>
      <c r="DMB214" s="1"/>
      <c r="DMC214" s="1"/>
      <c r="DMD214" s="1"/>
      <c r="DME214" s="1"/>
      <c r="DMF214" s="1"/>
      <c r="DMG214" s="1"/>
      <c r="DMH214" s="1"/>
      <c r="DMI214" s="1"/>
      <c r="DMJ214" s="1"/>
      <c r="DMK214" s="1"/>
      <c r="DML214" s="1"/>
      <c r="DMM214" s="1"/>
      <c r="DMN214" s="1"/>
      <c r="DMO214" s="1"/>
      <c r="DMP214" s="1"/>
      <c r="DMQ214" s="1"/>
      <c r="DMR214" s="1"/>
      <c r="DMS214" s="1"/>
      <c r="DMT214" s="1"/>
      <c r="DMU214" s="1"/>
      <c r="DMV214" s="1"/>
      <c r="DMW214" s="1"/>
      <c r="DMX214" s="1"/>
      <c r="DMY214" s="1"/>
      <c r="DMZ214" s="1"/>
      <c r="DNA214" s="1"/>
      <c r="DNB214" s="1"/>
      <c r="DNC214" s="1"/>
      <c r="DND214" s="1"/>
      <c r="DNE214" s="1"/>
      <c r="DNF214" s="1"/>
      <c r="DNG214" s="1"/>
      <c r="DNH214" s="1"/>
      <c r="DNI214" s="1"/>
      <c r="DNJ214" s="1"/>
      <c r="DNK214" s="1"/>
      <c r="DNL214" s="1"/>
      <c r="DNM214" s="1"/>
      <c r="DNN214" s="1"/>
      <c r="DNO214" s="1"/>
      <c r="DNP214" s="1"/>
      <c r="DNQ214" s="1"/>
      <c r="DNR214" s="1"/>
      <c r="DNS214" s="1"/>
      <c r="DNT214" s="1"/>
      <c r="DNU214" s="1"/>
      <c r="DNV214" s="1"/>
      <c r="DNW214" s="1"/>
      <c r="DNX214" s="1"/>
      <c r="DNY214" s="1"/>
      <c r="DNZ214" s="1"/>
      <c r="DOA214" s="1"/>
      <c r="DOB214" s="1"/>
      <c r="DOC214" s="1"/>
      <c r="DOD214" s="1"/>
      <c r="DOE214" s="1"/>
      <c r="DOF214" s="1"/>
      <c r="DOG214" s="1"/>
      <c r="DOH214" s="1"/>
      <c r="DOI214" s="1"/>
      <c r="DOJ214" s="1"/>
      <c r="DOK214" s="1"/>
      <c r="DOL214" s="1"/>
      <c r="DOM214" s="1"/>
      <c r="DON214" s="1"/>
      <c r="DOO214" s="1"/>
      <c r="DOP214" s="1"/>
      <c r="DOQ214" s="1"/>
      <c r="DOR214" s="1"/>
      <c r="DOS214" s="1"/>
      <c r="DOT214" s="1"/>
      <c r="DOU214" s="1"/>
      <c r="DOV214" s="1"/>
      <c r="DOW214" s="1"/>
      <c r="DOX214" s="1"/>
      <c r="DOY214" s="1"/>
      <c r="DOZ214" s="1"/>
      <c r="DPA214" s="1"/>
      <c r="DPB214" s="1"/>
      <c r="DPC214" s="1"/>
      <c r="DPD214" s="1"/>
      <c r="DPE214" s="1"/>
      <c r="DPF214" s="1"/>
      <c r="DPG214" s="1"/>
      <c r="DPH214" s="1"/>
      <c r="DPI214" s="1"/>
      <c r="DPJ214" s="1"/>
      <c r="DPK214" s="1"/>
      <c r="DPL214" s="1"/>
      <c r="DPM214" s="1"/>
      <c r="DPN214" s="1"/>
      <c r="DPO214" s="1"/>
      <c r="DPP214" s="1"/>
      <c r="DPQ214" s="1"/>
      <c r="DPR214" s="1"/>
      <c r="DPS214" s="1"/>
      <c r="DPT214" s="1"/>
      <c r="DPU214" s="1"/>
      <c r="DPV214" s="1"/>
      <c r="DPW214" s="1"/>
      <c r="DPX214" s="1"/>
      <c r="DPY214" s="1"/>
      <c r="DPZ214" s="1"/>
      <c r="DQA214" s="1"/>
      <c r="DQB214" s="1"/>
      <c r="DQC214" s="1"/>
      <c r="DQD214" s="1"/>
      <c r="DQE214" s="1"/>
      <c r="DQF214" s="1"/>
      <c r="DQG214" s="1"/>
      <c r="DQH214" s="1"/>
      <c r="DQI214" s="1"/>
      <c r="DQJ214" s="1"/>
      <c r="DQK214" s="1"/>
      <c r="DQL214" s="1"/>
      <c r="DQM214" s="1"/>
      <c r="DQN214" s="1"/>
      <c r="DQO214" s="1"/>
      <c r="DQP214" s="1"/>
      <c r="DQQ214" s="1"/>
      <c r="DQR214" s="1"/>
      <c r="DQS214" s="1"/>
      <c r="DQT214" s="1"/>
      <c r="DQU214" s="1"/>
      <c r="DQV214" s="1"/>
      <c r="DQW214" s="1"/>
      <c r="DQX214" s="1"/>
      <c r="DQY214" s="1"/>
      <c r="DQZ214" s="1"/>
      <c r="DRA214" s="1"/>
      <c r="DRB214" s="1"/>
      <c r="DRC214" s="1"/>
      <c r="DRD214" s="1"/>
      <c r="DRE214" s="1"/>
      <c r="DRF214" s="1"/>
      <c r="DRG214" s="1"/>
      <c r="DRH214" s="1"/>
      <c r="DRI214" s="1"/>
      <c r="DRJ214" s="1"/>
      <c r="DRK214" s="1"/>
      <c r="DRL214" s="1"/>
      <c r="DRM214" s="1"/>
      <c r="DRN214" s="1"/>
      <c r="DRO214" s="1"/>
      <c r="DRP214" s="1"/>
      <c r="DRQ214" s="1"/>
      <c r="DRR214" s="1"/>
      <c r="DRS214" s="1"/>
      <c r="DRT214" s="1"/>
      <c r="DRU214" s="1"/>
      <c r="DRV214" s="1"/>
      <c r="DRW214" s="1"/>
      <c r="DRX214" s="1"/>
      <c r="DRY214" s="1"/>
      <c r="DRZ214" s="1"/>
      <c r="DSA214" s="1"/>
      <c r="DSB214" s="1"/>
      <c r="DSC214" s="1"/>
      <c r="DSD214" s="1"/>
      <c r="DSE214" s="1"/>
      <c r="DSF214" s="1"/>
      <c r="DSG214" s="1"/>
      <c r="DSH214" s="1"/>
      <c r="DSI214" s="1"/>
      <c r="DSJ214" s="1"/>
      <c r="DSK214" s="1"/>
      <c r="DSL214" s="1"/>
      <c r="DSM214" s="1"/>
      <c r="DSN214" s="1"/>
      <c r="DSO214" s="1"/>
      <c r="DSP214" s="1"/>
      <c r="DSQ214" s="1"/>
      <c r="DSR214" s="1"/>
      <c r="DSS214" s="1"/>
      <c r="DST214" s="1"/>
      <c r="DSU214" s="1"/>
      <c r="DSV214" s="1"/>
      <c r="DSW214" s="1"/>
      <c r="DSX214" s="1"/>
      <c r="DSY214" s="1"/>
      <c r="DSZ214" s="1"/>
      <c r="DTA214" s="1"/>
      <c r="DTB214" s="1"/>
      <c r="DTC214" s="1"/>
      <c r="DTD214" s="1"/>
      <c r="DTE214" s="1"/>
      <c r="DTF214" s="1"/>
      <c r="DTG214" s="1"/>
      <c r="DTH214" s="1"/>
      <c r="DTI214" s="1"/>
      <c r="DTJ214" s="1"/>
      <c r="DTK214" s="1"/>
      <c r="DTL214" s="1"/>
      <c r="DTM214" s="1"/>
      <c r="DTN214" s="1"/>
      <c r="DTO214" s="1"/>
      <c r="DTP214" s="1"/>
      <c r="DTQ214" s="1"/>
      <c r="DTR214" s="1"/>
      <c r="DTS214" s="1"/>
      <c r="DTT214" s="1"/>
      <c r="DTU214" s="1"/>
      <c r="DTV214" s="1"/>
      <c r="DTW214" s="1"/>
      <c r="DTX214" s="1"/>
      <c r="DTY214" s="1"/>
      <c r="DTZ214" s="1"/>
      <c r="DUA214" s="1"/>
      <c r="DUB214" s="1"/>
      <c r="DUC214" s="1"/>
      <c r="DUD214" s="1"/>
      <c r="DUE214" s="1"/>
      <c r="DUF214" s="1"/>
      <c r="DUG214" s="1"/>
      <c r="DUH214" s="1"/>
      <c r="DUI214" s="1"/>
      <c r="DUJ214" s="1"/>
      <c r="DUK214" s="1"/>
      <c r="DUL214" s="1"/>
      <c r="DUM214" s="1"/>
      <c r="DUN214" s="1"/>
      <c r="DUO214" s="1"/>
      <c r="DUP214" s="1"/>
      <c r="DUQ214" s="1"/>
      <c r="DUR214" s="1"/>
      <c r="DUS214" s="1"/>
      <c r="DUT214" s="1"/>
      <c r="DUU214" s="1"/>
      <c r="DUV214" s="1"/>
      <c r="DUW214" s="1"/>
      <c r="DUX214" s="1"/>
      <c r="DUY214" s="1"/>
      <c r="DUZ214" s="1"/>
      <c r="DVA214" s="1"/>
      <c r="DVB214" s="1"/>
      <c r="DVC214" s="1"/>
      <c r="DVD214" s="1"/>
      <c r="DVE214" s="1"/>
      <c r="DVF214" s="1"/>
      <c r="DVG214" s="1"/>
      <c r="DVH214" s="1"/>
      <c r="DVI214" s="1"/>
      <c r="DVJ214" s="1"/>
      <c r="DVK214" s="1"/>
      <c r="DVL214" s="1"/>
      <c r="DVM214" s="1"/>
      <c r="DVN214" s="1"/>
      <c r="DVO214" s="1"/>
      <c r="DVP214" s="1"/>
      <c r="DVQ214" s="1"/>
      <c r="DVR214" s="1"/>
      <c r="DVS214" s="1"/>
      <c r="DVT214" s="1"/>
      <c r="DVU214" s="1"/>
      <c r="DVV214" s="1"/>
      <c r="DVW214" s="1"/>
      <c r="DVX214" s="1"/>
      <c r="DVY214" s="1"/>
      <c r="DVZ214" s="1"/>
      <c r="DWA214" s="1"/>
      <c r="DWB214" s="1"/>
      <c r="DWC214" s="1"/>
      <c r="DWD214" s="1"/>
      <c r="DWE214" s="1"/>
      <c r="DWF214" s="1"/>
      <c r="DWG214" s="1"/>
      <c r="DWH214" s="1"/>
      <c r="DWI214" s="1"/>
      <c r="DWJ214" s="1"/>
      <c r="DWK214" s="1"/>
      <c r="DWL214" s="1"/>
      <c r="DWM214" s="1"/>
      <c r="DWN214" s="1"/>
      <c r="DWO214" s="1"/>
      <c r="DWP214" s="1"/>
      <c r="DWQ214" s="1"/>
      <c r="DWR214" s="1"/>
      <c r="DWS214" s="1"/>
      <c r="DWT214" s="1"/>
      <c r="DWU214" s="1"/>
      <c r="DWV214" s="1"/>
      <c r="DWW214" s="1"/>
      <c r="DWX214" s="1"/>
      <c r="DWY214" s="1"/>
      <c r="DWZ214" s="1"/>
      <c r="DXA214" s="1"/>
      <c r="DXB214" s="1"/>
      <c r="DXC214" s="1"/>
      <c r="DXD214" s="1"/>
      <c r="DXE214" s="1"/>
      <c r="DXF214" s="1"/>
      <c r="DXG214" s="1"/>
      <c r="DXH214" s="1"/>
      <c r="DXI214" s="1"/>
      <c r="DXJ214" s="1"/>
      <c r="DXK214" s="1"/>
      <c r="DXL214" s="1"/>
      <c r="DXM214" s="1"/>
      <c r="DXN214" s="1"/>
      <c r="DXO214" s="1"/>
      <c r="DXP214" s="1"/>
      <c r="DXQ214" s="1"/>
      <c r="DXR214" s="1"/>
      <c r="DXS214" s="1"/>
      <c r="DXT214" s="1"/>
      <c r="DXU214" s="1"/>
      <c r="DXV214" s="1"/>
      <c r="DXW214" s="1"/>
      <c r="DXX214" s="1"/>
      <c r="DXY214" s="1"/>
      <c r="DXZ214" s="1"/>
      <c r="DYA214" s="1"/>
      <c r="DYB214" s="1"/>
      <c r="DYC214" s="1"/>
      <c r="DYD214" s="1"/>
      <c r="DYE214" s="1"/>
      <c r="DYF214" s="1"/>
      <c r="DYG214" s="1"/>
      <c r="DYH214" s="1"/>
      <c r="DYI214" s="1"/>
      <c r="DYJ214" s="1"/>
      <c r="DYK214" s="1"/>
      <c r="DYL214" s="1"/>
      <c r="DYM214" s="1"/>
      <c r="DYN214" s="1"/>
      <c r="DYO214" s="1"/>
      <c r="DYP214" s="1"/>
      <c r="DYQ214" s="1"/>
      <c r="DYR214" s="1"/>
      <c r="DYS214" s="1"/>
      <c r="DYT214" s="1"/>
      <c r="DYU214" s="1"/>
      <c r="DYV214" s="1"/>
      <c r="DYW214" s="1"/>
      <c r="DYX214" s="1"/>
      <c r="DYY214" s="1"/>
      <c r="DYZ214" s="1"/>
      <c r="DZA214" s="1"/>
      <c r="DZB214" s="1"/>
      <c r="DZC214" s="1"/>
      <c r="DZD214" s="1"/>
      <c r="DZE214" s="1"/>
      <c r="DZF214" s="1"/>
      <c r="DZG214" s="1"/>
      <c r="DZH214" s="1"/>
      <c r="DZI214" s="1"/>
      <c r="DZJ214" s="1"/>
      <c r="DZK214" s="1"/>
      <c r="DZL214" s="1"/>
      <c r="DZM214" s="1"/>
      <c r="DZN214" s="1"/>
      <c r="DZO214" s="1"/>
      <c r="DZP214" s="1"/>
      <c r="DZQ214" s="1"/>
      <c r="DZR214" s="1"/>
      <c r="DZS214" s="1"/>
      <c r="DZT214" s="1"/>
      <c r="DZU214" s="1"/>
      <c r="DZV214" s="1"/>
      <c r="DZW214" s="1"/>
      <c r="DZX214" s="1"/>
      <c r="DZY214" s="1"/>
      <c r="DZZ214" s="1"/>
      <c r="EAA214" s="1"/>
      <c r="EAB214" s="1"/>
      <c r="EAC214" s="1"/>
      <c r="EAD214" s="1"/>
      <c r="EAE214" s="1"/>
      <c r="EAF214" s="1"/>
      <c r="EAG214" s="1"/>
      <c r="EAH214" s="1"/>
      <c r="EAI214" s="1"/>
      <c r="EAJ214" s="1"/>
      <c r="EAK214" s="1"/>
      <c r="EAL214" s="1"/>
      <c r="EAM214" s="1"/>
      <c r="EAN214" s="1"/>
      <c r="EAO214" s="1"/>
      <c r="EAP214" s="1"/>
      <c r="EAQ214" s="1"/>
      <c r="EAR214" s="1"/>
      <c r="EAS214" s="1"/>
      <c r="EAT214" s="1"/>
      <c r="EAU214" s="1"/>
      <c r="EAV214" s="1"/>
      <c r="EAW214" s="1"/>
      <c r="EAX214" s="1"/>
      <c r="EAY214" s="1"/>
      <c r="EAZ214" s="1"/>
      <c r="EBA214" s="1"/>
      <c r="EBB214" s="1"/>
      <c r="EBC214" s="1"/>
      <c r="EBD214" s="1"/>
      <c r="EBE214" s="1"/>
      <c r="EBF214" s="1"/>
      <c r="EBG214" s="1"/>
      <c r="EBH214" s="1"/>
      <c r="EBI214" s="1"/>
      <c r="EBJ214" s="1"/>
      <c r="EBK214" s="1"/>
      <c r="EBL214" s="1"/>
      <c r="EBM214" s="1"/>
      <c r="EBN214" s="1"/>
      <c r="EBO214" s="1"/>
      <c r="EBP214" s="1"/>
      <c r="EBQ214" s="1"/>
      <c r="EBR214" s="1"/>
      <c r="EBS214" s="1"/>
      <c r="EBT214" s="1"/>
      <c r="EBU214" s="1"/>
      <c r="EBV214" s="1"/>
      <c r="EBW214" s="1"/>
      <c r="EBX214" s="1"/>
      <c r="EBY214" s="1"/>
      <c r="EBZ214" s="1"/>
      <c r="ECA214" s="1"/>
      <c r="ECB214" s="1"/>
      <c r="ECC214" s="1"/>
      <c r="ECD214" s="1"/>
      <c r="ECE214" s="1"/>
      <c r="ECF214" s="1"/>
      <c r="ECG214" s="1"/>
      <c r="ECH214" s="1"/>
      <c r="ECI214" s="1"/>
      <c r="ECJ214" s="1"/>
      <c r="ECK214" s="1"/>
      <c r="ECL214" s="1"/>
      <c r="ECM214" s="1"/>
      <c r="ECN214" s="1"/>
      <c r="ECO214" s="1"/>
      <c r="ECP214" s="1"/>
      <c r="ECQ214" s="1"/>
      <c r="ECR214" s="1"/>
      <c r="ECS214" s="1"/>
      <c r="ECT214" s="1"/>
      <c r="ECU214" s="1"/>
      <c r="ECV214" s="1"/>
      <c r="ECW214" s="1"/>
      <c r="ECX214" s="1"/>
      <c r="ECY214" s="1"/>
      <c r="ECZ214" s="1"/>
      <c r="EDA214" s="1"/>
      <c r="EDB214" s="1"/>
      <c r="EDC214" s="1"/>
      <c r="EDD214" s="1"/>
      <c r="EDE214" s="1"/>
      <c r="EDF214" s="1"/>
      <c r="EDG214" s="1"/>
      <c r="EDH214" s="1"/>
      <c r="EDI214" s="1"/>
      <c r="EDJ214" s="1"/>
      <c r="EDK214" s="1"/>
      <c r="EDL214" s="1"/>
      <c r="EDM214" s="1"/>
      <c r="EDN214" s="1"/>
      <c r="EDO214" s="1"/>
      <c r="EDP214" s="1"/>
      <c r="EDQ214" s="1"/>
      <c r="EDR214" s="1"/>
      <c r="EDS214" s="1"/>
      <c r="EDT214" s="1"/>
      <c r="EDU214" s="1"/>
      <c r="EDV214" s="1"/>
      <c r="EDW214" s="1"/>
      <c r="EDX214" s="1"/>
      <c r="EDY214" s="1"/>
      <c r="EDZ214" s="1"/>
      <c r="EEA214" s="1"/>
      <c r="EEB214" s="1"/>
      <c r="EEC214" s="1"/>
      <c r="EED214" s="1"/>
      <c r="EEE214" s="1"/>
      <c r="EEF214" s="1"/>
      <c r="EEG214" s="1"/>
      <c r="EEH214" s="1"/>
      <c r="EEI214" s="1"/>
      <c r="EEJ214" s="1"/>
      <c r="EEK214" s="1"/>
      <c r="EEL214" s="1"/>
      <c r="EEM214" s="1"/>
      <c r="EEN214" s="1"/>
      <c r="EEO214" s="1"/>
      <c r="EEP214" s="1"/>
      <c r="EEQ214" s="1"/>
      <c r="EER214" s="1"/>
      <c r="EES214" s="1"/>
      <c r="EET214" s="1"/>
      <c r="EEU214" s="1"/>
      <c r="EEV214" s="1"/>
      <c r="EEW214" s="1"/>
      <c r="EEX214" s="1"/>
      <c r="EEY214" s="1"/>
      <c r="EEZ214" s="1"/>
      <c r="EFA214" s="1"/>
      <c r="EFB214" s="1"/>
      <c r="EFC214" s="1"/>
      <c r="EFD214" s="1"/>
      <c r="EFE214" s="1"/>
      <c r="EFF214" s="1"/>
      <c r="EFG214" s="1"/>
      <c r="EFH214" s="1"/>
      <c r="EFI214" s="1"/>
      <c r="EFJ214" s="1"/>
      <c r="EFK214" s="1"/>
      <c r="EFL214" s="1"/>
      <c r="EFM214" s="1"/>
      <c r="EFN214" s="1"/>
      <c r="EFO214" s="1"/>
      <c r="EFP214" s="1"/>
      <c r="EFQ214" s="1"/>
      <c r="EFR214" s="1"/>
      <c r="EFS214" s="1"/>
      <c r="EFT214" s="1"/>
      <c r="EFU214" s="1"/>
      <c r="EFV214" s="1"/>
      <c r="EFW214" s="1"/>
      <c r="EFX214" s="1"/>
      <c r="EFY214" s="1"/>
      <c r="EFZ214" s="1"/>
      <c r="EGA214" s="1"/>
      <c r="EGB214" s="1"/>
      <c r="EGC214" s="1"/>
      <c r="EGD214" s="1"/>
      <c r="EGE214" s="1"/>
      <c r="EGF214" s="1"/>
      <c r="EGG214" s="1"/>
      <c r="EGH214" s="1"/>
      <c r="EGI214" s="1"/>
      <c r="EGJ214" s="1"/>
      <c r="EGK214" s="1"/>
      <c r="EGL214" s="1"/>
      <c r="EGM214" s="1"/>
      <c r="EGN214" s="1"/>
      <c r="EGO214" s="1"/>
      <c r="EGP214" s="1"/>
      <c r="EGQ214" s="1"/>
      <c r="EGR214" s="1"/>
      <c r="EGS214" s="1"/>
      <c r="EGT214" s="1"/>
      <c r="EGU214" s="1"/>
      <c r="EGV214" s="1"/>
      <c r="EGW214" s="1"/>
      <c r="EGX214" s="1"/>
      <c r="EGY214" s="1"/>
      <c r="EGZ214" s="1"/>
      <c r="EHA214" s="1"/>
      <c r="EHB214" s="1"/>
      <c r="EHC214" s="1"/>
      <c r="EHD214" s="1"/>
      <c r="EHE214" s="1"/>
      <c r="EHF214" s="1"/>
      <c r="EHG214" s="1"/>
      <c r="EHH214" s="1"/>
      <c r="EHI214" s="1"/>
      <c r="EHJ214" s="1"/>
      <c r="EHK214" s="1"/>
      <c r="EHL214" s="1"/>
      <c r="EHM214" s="1"/>
      <c r="EHN214" s="1"/>
      <c r="EHO214" s="1"/>
      <c r="EHP214" s="1"/>
      <c r="EHQ214" s="1"/>
      <c r="EHR214" s="1"/>
      <c r="EHS214" s="1"/>
      <c r="EHT214" s="1"/>
      <c r="EHU214" s="1"/>
      <c r="EHV214" s="1"/>
      <c r="EHW214" s="1"/>
      <c r="EHX214" s="1"/>
      <c r="EHY214" s="1"/>
      <c r="EHZ214" s="1"/>
      <c r="EIA214" s="1"/>
      <c r="EIB214" s="1"/>
      <c r="EIC214" s="1"/>
      <c r="EID214" s="1"/>
      <c r="EIE214" s="1"/>
      <c r="EIF214" s="1"/>
      <c r="EIG214" s="1"/>
      <c r="EIH214" s="1"/>
      <c r="EII214" s="1"/>
      <c r="EIJ214" s="1"/>
      <c r="EIK214" s="1"/>
      <c r="EIL214" s="1"/>
      <c r="EIM214" s="1"/>
      <c r="EIN214" s="1"/>
      <c r="EIO214" s="1"/>
      <c r="EIP214" s="1"/>
      <c r="EIQ214" s="1"/>
      <c r="EIR214" s="1"/>
      <c r="EIS214" s="1"/>
      <c r="EIT214" s="1"/>
      <c r="EIU214" s="1"/>
      <c r="EIV214" s="1"/>
      <c r="EIW214" s="1"/>
      <c r="EIX214" s="1"/>
      <c r="EIY214" s="1"/>
      <c r="EIZ214" s="1"/>
      <c r="EJA214" s="1"/>
      <c r="EJB214" s="1"/>
      <c r="EJC214" s="1"/>
      <c r="EJD214" s="1"/>
      <c r="EJE214" s="1"/>
      <c r="EJF214" s="1"/>
      <c r="EJG214" s="1"/>
      <c r="EJH214" s="1"/>
      <c r="EJI214" s="1"/>
      <c r="EJJ214" s="1"/>
      <c r="EJK214" s="1"/>
      <c r="EJL214" s="1"/>
      <c r="EJM214" s="1"/>
      <c r="EJN214" s="1"/>
      <c r="EJO214" s="1"/>
      <c r="EJP214" s="1"/>
      <c r="EJQ214" s="1"/>
      <c r="EJR214" s="1"/>
      <c r="EJS214" s="1"/>
      <c r="EJT214" s="1"/>
      <c r="EJU214" s="1"/>
      <c r="EJV214" s="1"/>
      <c r="EJW214" s="1"/>
      <c r="EJX214" s="1"/>
      <c r="EJY214" s="1"/>
      <c r="EJZ214" s="1"/>
      <c r="EKA214" s="1"/>
      <c r="EKB214" s="1"/>
      <c r="EKC214" s="1"/>
      <c r="EKD214" s="1"/>
      <c r="EKE214" s="1"/>
      <c r="EKF214" s="1"/>
      <c r="EKG214" s="1"/>
      <c r="EKH214" s="1"/>
      <c r="EKI214" s="1"/>
      <c r="EKJ214" s="1"/>
      <c r="EKK214" s="1"/>
      <c r="EKL214" s="1"/>
      <c r="EKM214" s="1"/>
      <c r="EKN214" s="1"/>
      <c r="EKO214" s="1"/>
      <c r="EKP214" s="1"/>
      <c r="EKQ214" s="1"/>
      <c r="EKR214" s="1"/>
      <c r="EKS214" s="1"/>
      <c r="EKT214" s="1"/>
      <c r="EKU214" s="1"/>
      <c r="EKV214" s="1"/>
      <c r="EKW214" s="1"/>
      <c r="EKX214" s="1"/>
      <c r="EKY214" s="1"/>
      <c r="EKZ214" s="1"/>
      <c r="ELA214" s="1"/>
      <c r="ELB214" s="1"/>
      <c r="ELC214" s="1"/>
      <c r="ELD214" s="1"/>
      <c r="ELE214" s="1"/>
      <c r="ELF214" s="1"/>
      <c r="ELG214" s="1"/>
      <c r="ELH214" s="1"/>
      <c r="ELI214" s="1"/>
      <c r="ELJ214" s="1"/>
      <c r="ELK214" s="1"/>
      <c r="ELL214" s="1"/>
      <c r="ELM214" s="1"/>
      <c r="ELN214" s="1"/>
      <c r="ELO214" s="1"/>
      <c r="ELP214" s="1"/>
      <c r="ELQ214" s="1"/>
      <c r="ELR214" s="1"/>
      <c r="ELS214" s="1"/>
      <c r="ELT214" s="1"/>
      <c r="ELU214" s="1"/>
      <c r="ELV214" s="1"/>
      <c r="ELW214" s="1"/>
      <c r="ELX214" s="1"/>
      <c r="ELY214" s="1"/>
      <c r="ELZ214" s="1"/>
      <c r="EMA214" s="1"/>
      <c r="EMB214" s="1"/>
      <c r="EMC214" s="1"/>
      <c r="EMD214" s="1"/>
      <c r="EME214" s="1"/>
      <c r="EMF214" s="1"/>
      <c r="EMG214" s="1"/>
      <c r="EMH214" s="1"/>
      <c r="EMI214" s="1"/>
      <c r="EMJ214" s="1"/>
      <c r="EMK214" s="1"/>
      <c r="EML214" s="1"/>
      <c r="EMM214" s="1"/>
      <c r="EMN214" s="1"/>
      <c r="EMO214" s="1"/>
      <c r="EMP214" s="1"/>
      <c r="EMQ214" s="1"/>
      <c r="EMR214" s="1"/>
      <c r="EMS214" s="1"/>
      <c r="EMT214" s="1"/>
      <c r="EMU214" s="1"/>
      <c r="EMV214" s="1"/>
      <c r="EMW214" s="1"/>
      <c r="EMX214" s="1"/>
      <c r="EMY214" s="1"/>
      <c r="EMZ214" s="1"/>
      <c r="ENA214" s="1"/>
      <c r="ENB214" s="1"/>
      <c r="ENC214" s="1"/>
      <c r="END214" s="1"/>
      <c r="ENE214" s="1"/>
      <c r="ENF214" s="1"/>
      <c r="ENG214" s="1"/>
      <c r="ENH214" s="1"/>
      <c r="ENI214" s="1"/>
      <c r="ENJ214" s="1"/>
      <c r="ENK214" s="1"/>
      <c r="ENL214" s="1"/>
      <c r="ENM214" s="1"/>
      <c r="ENN214" s="1"/>
      <c r="ENO214" s="1"/>
      <c r="ENP214" s="1"/>
      <c r="ENQ214" s="1"/>
      <c r="ENR214" s="1"/>
      <c r="ENS214" s="1"/>
      <c r="ENT214" s="1"/>
      <c r="ENU214" s="1"/>
      <c r="ENV214" s="1"/>
      <c r="ENW214" s="1"/>
      <c r="ENX214" s="1"/>
      <c r="ENY214" s="1"/>
      <c r="ENZ214" s="1"/>
      <c r="EOA214" s="1"/>
      <c r="EOB214" s="1"/>
      <c r="EOC214" s="1"/>
      <c r="EOD214" s="1"/>
      <c r="EOE214" s="1"/>
      <c r="EOF214" s="1"/>
      <c r="EOG214" s="1"/>
      <c r="EOH214" s="1"/>
      <c r="EOI214" s="1"/>
      <c r="EOJ214" s="1"/>
      <c r="EOK214" s="1"/>
      <c r="EOL214" s="1"/>
      <c r="EOM214" s="1"/>
      <c r="EON214" s="1"/>
      <c r="EOO214" s="1"/>
      <c r="EOP214" s="1"/>
      <c r="EOQ214" s="1"/>
      <c r="EOR214" s="1"/>
      <c r="EOS214" s="1"/>
      <c r="EOT214" s="1"/>
      <c r="EOU214" s="1"/>
      <c r="EOV214" s="1"/>
      <c r="EOW214" s="1"/>
      <c r="EOX214" s="1"/>
      <c r="EOY214" s="1"/>
      <c r="EOZ214" s="1"/>
      <c r="EPA214" s="1"/>
      <c r="EPB214" s="1"/>
      <c r="EPC214" s="1"/>
      <c r="EPD214" s="1"/>
      <c r="EPE214" s="1"/>
      <c r="EPF214" s="1"/>
      <c r="EPG214" s="1"/>
      <c r="EPH214" s="1"/>
      <c r="EPI214" s="1"/>
      <c r="EPJ214" s="1"/>
      <c r="EPK214" s="1"/>
      <c r="EPL214" s="1"/>
      <c r="EPM214" s="1"/>
      <c r="EPN214" s="1"/>
      <c r="EPO214" s="1"/>
      <c r="EPP214" s="1"/>
      <c r="EPQ214" s="1"/>
      <c r="EPR214" s="1"/>
      <c r="EPS214" s="1"/>
      <c r="EPT214" s="1"/>
      <c r="EPU214" s="1"/>
      <c r="EPV214" s="1"/>
      <c r="EPW214" s="1"/>
      <c r="EPX214" s="1"/>
      <c r="EPY214" s="1"/>
      <c r="EPZ214" s="1"/>
      <c r="EQA214" s="1"/>
      <c r="EQB214" s="1"/>
      <c r="EQC214" s="1"/>
      <c r="EQD214" s="1"/>
      <c r="EQE214" s="1"/>
      <c r="EQF214" s="1"/>
      <c r="EQG214" s="1"/>
      <c r="EQH214" s="1"/>
      <c r="EQI214" s="1"/>
      <c r="EQJ214" s="1"/>
      <c r="EQK214" s="1"/>
      <c r="EQL214" s="1"/>
      <c r="EQM214" s="1"/>
      <c r="EQN214" s="1"/>
      <c r="EQO214" s="1"/>
      <c r="EQP214" s="1"/>
      <c r="EQQ214" s="1"/>
      <c r="EQR214" s="1"/>
      <c r="EQS214" s="1"/>
      <c r="EQT214" s="1"/>
      <c r="EQU214" s="1"/>
      <c r="EQV214" s="1"/>
      <c r="EQW214" s="1"/>
      <c r="EQX214" s="1"/>
      <c r="EQY214" s="1"/>
      <c r="EQZ214" s="1"/>
      <c r="ERA214" s="1"/>
      <c r="ERB214" s="1"/>
      <c r="ERC214" s="1"/>
      <c r="ERD214" s="1"/>
      <c r="ERE214" s="1"/>
      <c r="ERF214" s="1"/>
      <c r="ERG214" s="1"/>
      <c r="ERH214" s="1"/>
      <c r="ERI214" s="1"/>
      <c r="ERJ214" s="1"/>
      <c r="ERK214" s="1"/>
      <c r="ERL214" s="1"/>
      <c r="ERM214" s="1"/>
      <c r="ERN214" s="1"/>
      <c r="ERO214" s="1"/>
      <c r="ERP214" s="1"/>
      <c r="ERQ214" s="1"/>
      <c r="ERR214" s="1"/>
      <c r="ERS214" s="1"/>
      <c r="ERT214" s="1"/>
      <c r="ERU214" s="1"/>
      <c r="ERV214" s="1"/>
      <c r="ERW214" s="1"/>
      <c r="ERX214" s="1"/>
      <c r="ERY214" s="1"/>
      <c r="ERZ214" s="1"/>
      <c r="ESA214" s="1"/>
      <c r="ESB214" s="1"/>
      <c r="ESC214" s="1"/>
      <c r="ESD214" s="1"/>
      <c r="ESE214" s="1"/>
      <c r="ESF214" s="1"/>
      <c r="ESG214" s="1"/>
      <c r="ESH214" s="1"/>
      <c r="ESI214" s="1"/>
      <c r="ESJ214" s="1"/>
      <c r="ESK214" s="1"/>
      <c r="ESL214" s="1"/>
      <c r="ESM214" s="1"/>
      <c r="ESN214" s="1"/>
      <c r="ESO214" s="1"/>
      <c r="ESP214" s="1"/>
      <c r="ESQ214" s="1"/>
      <c r="ESR214" s="1"/>
      <c r="ESS214" s="1"/>
      <c r="EST214" s="1"/>
      <c r="ESU214" s="1"/>
      <c r="ESV214" s="1"/>
      <c r="ESW214" s="1"/>
      <c r="ESX214" s="1"/>
      <c r="ESY214" s="1"/>
      <c r="ESZ214" s="1"/>
      <c r="ETA214" s="1"/>
      <c r="ETB214" s="1"/>
      <c r="ETC214" s="1"/>
      <c r="ETD214" s="1"/>
      <c r="ETE214" s="1"/>
      <c r="ETF214" s="1"/>
      <c r="ETG214" s="1"/>
      <c r="ETH214" s="1"/>
      <c r="ETI214" s="1"/>
      <c r="ETJ214" s="1"/>
      <c r="ETK214" s="1"/>
      <c r="ETL214" s="1"/>
      <c r="ETM214" s="1"/>
      <c r="ETN214" s="1"/>
      <c r="ETO214" s="1"/>
      <c r="ETP214" s="1"/>
      <c r="ETQ214" s="1"/>
      <c r="ETR214" s="1"/>
      <c r="ETS214" s="1"/>
      <c r="ETT214" s="1"/>
      <c r="ETU214" s="1"/>
      <c r="ETV214" s="1"/>
      <c r="ETW214" s="1"/>
      <c r="ETX214" s="1"/>
      <c r="ETY214" s="1"/>
      <c r="ETZ214" s="1"/>
      <c r="EUA214" s="1"/>
      <c r="EUB214" s="1"/>
      <c r="EUC214" s="1"/>
      <c r="EUD214" s="1"/>
      <c r="EUE214" s="1"/>
      <c r="EUF214" s="1"/>
      <c r="EUG214" s="1"/>
      <c r="EUH214" s="1"/>
      <c r="EUI214" s="1"/>
      <c r="EUJ214" s="1"/>
      <c r="EUK214" s="1"/>
      <c r="EUL214" s="1"/>
      <c r="EUM214" s="1"/>
      <c r="EUN214" s="1"/>
      <c r="EUO214" s="1"/>
      <c r="EUP214" s="1"/>
      <c r="EUQ214" s="1"/>
      <c r="EUR214" s="1"/>
      <c r="EUS214" s="1"/>
      <c r="EUT214" s="1"/>
      <c r="EUU214" s="1"/>
      <c r="EUV214" s="1"/>
      <c r="EUW214" s="1"/>
      <c r="EUX214" s="1"/>
      <c r="EUY214" s="1"/>
      <c r="EUZ214" s="1"/>
      <c r="EVA214" s="1"/>
      <c r="EVB214" s="1"/>
      <c r="EVC214" s="1"/>
      <c r="EVD214" s="1"/>
      <c r="EVE214" s="1"/>
      <c r="EVF214" s="1"/>
      <c r="EVG214" s="1"/>
      <c r="EVH214" s="1"/>
      <c r="EVI214" s="1"/>
      <c r="EVJ214" s="1"/>
      <c r="EVK214" s="1"/>
      <c r="EVL214" s="1"/>
      <c r="EVM214" s="1"/>
      <c r="EVN214" s="1"/>
      <c r="EVO214" s="1"/>
      <c r="EVP214" s="1"/>
      <c r="EVQ214" s="1"/>
      <c r="EVR214" s="1"/>
      <c r="EVS214" s="1"/>
      <c r="EVT214" s="1"/>
      <c r="EVU214" s="1"/>
      <c r="EVV214" s="1"/>
      <c r="EVW214" s="1"/>
      <c r="EVX214" s="1"/>
      <c r="EVY214" s="1"/>
      <c r="EVZ214" s="1"/>
      <c r="EWA214" s="1"/>
      <c r="EWB214" s="1"/>
      <c r="EWC214" s="1"/>
      <c r="EWD214" s="1"/>
      <c r="EWE214" s="1"/>
      <c r="EWF214" s="1"/>
      <c r="EWG214" s="1"/>
      <c r="EWH214" s="1"/>
      <c r="EWI214" s="1"/>
      <c r="EWJ214" s="1"/>
      <c r="EWK214" s="1"/>
      <c r="EWL214" s="1"/>
      <c r="EWM214" s="1"/>
      <c r="EWN214" s="1"/>
      <c r="EWO214" s="1"/>
      <c r="EWP214" s="1"/>
      <c r="EWQ214" s="1"/>
      <c r="EWR214" s="1"/>
      <c r="EWS214" s="1"/>
      <c r="EWT214" s="1"/>
      <c r="EWU214" s="1"/>
      <c r="EWV214" s="1"/>
      <c r="EWW214" s="1"/>
      <c r="EWX214" s="1"/>
      <c r="EWY214" s="1"/>
      <c r="EWZ214" s="1"/>
      <c r="EXA214" s="1"/>
      <c r="EXB214" s="1"/>
      <c r="EXC214" s="1"/>
      <c r="EXD214" s="1"/>
      <c r="EXE214" s="1"/>
      <c r="EXF214" s="1"/>
      <c r="EXG214" s="1"/>
      <c r="EXH214" s="1"/>
      <c r="EXI214" s="1"/>
      <c r="EXJ214" s="1"/>
      <c r="EXK214" s="1"/>
      <c r="EXL214" s="1"/>
      <c r="EXM214" s="1"/>
      <c r="EXN214" s="1"/>
      <c r="EXO214" s="1"/>
      <c r="EXP214" s="1"/>
      <c r="EXQ214" s="1"/>
      <c r="EXR214" s="1"/>
      <c r="EXS214" s="1"/>
      <c r="EXT214" s="1"/>
      <c r="EXU214" s="1"/>
      <c r="EXV214" s="1"/>
      <c r="EXW214" s="1"/>
      <c r="EXX214" s="1"/>
      <c r="EXY214" s="1"/>
      <c r="EXZ214" s="1"/>
      <c r="EYA214" s="1"/>
      <c r="EYB214" s="1"/>
      <c r="EYC214" s="1"/>
      <c r="EYD214" s="1"/>
      <c r="EYE214" s="1"/>
      <c r="EYF214" s="1"/>
      <c r="EYG214" s="1"/>
      <c r="EYH214" s="1"/>
      <c r="EYI214" s="1"/>
      <c r="EYJ214" s="1"/>
      <c r="EYK214" s="1"/>
      <c r="EYL214" s="1"/>
      <c r="EYM214" s="1"/>
      <c r="EYN214" s="1"/>
      <c r="EYO214" s="1"/>
      <c r="EYP214" s="1"/>
      <c r="EYQ214" s="1"/>
      <c r="EYR214" s="1"/>
      <c r="EYS214" s="1"/>
      <c r="EYT214" s="1"/>
      <c r="EYU214" s="1"/>
      <c r="EYV214" s="1"/>
      <c r="EYW214" s="1"/>
      <c r="EYX214" s="1"/>
      <c r="EYY214" s="1"/>
      <c r="EYZ214" s="1"/>
      <c r="EZA214" s="1"/>
      <c r="EZB214" s="1"/>
      <c r="EZC214" s="1"/>
      <c r="EZD214" s="1"/>
      <c r="EZE214" s="1"/>
      <c r="EZF214" s="1"/>
      <c r="EZG214" s="1"/>
      <c r="EZH214" s="1"/>
      <c r="EZI214" s="1"/>
      <c r="EZJ214" s="1"/>
      <c r="EZK214" s="1"/>
      <c r="EZL214" s="1"/>
      <c r="EZM214" s="1"/>
      <c r="EZN214" s="1"/>
      <c r="EZO214" s="1"/>
      <c r="EZP214" s="1"/>
      <c r="EZQ214" s="1"/>
      <c r="EZR214" s="1"/>
      <c r="EZS214" s="1"/>
      <c r="EZT214" s="1"/>
      <c r="EZU214" s="1"/>
      <c r="EZV214" s="1"/>
      <c r="EZW214" s="1"/>
      <c r="EZX214" s="1"/>
      <c r="EZY214" s="1"/>
      <c r="EZZ214" s="1"/>
      <c r="FAA214" s="1"/>
      <c r="FAB214" s="1"/>
      <c r="FAC214" s="1"/>
      <c r="FAD214" s="1"/>
      <c r="FAE214" s="1"/>
      <c r="FAF214" s="1"/>
      <c r="FAG214" s="1"/>
      <c r="FAH214" s="1"/>
      <c r="FAI214" s="1"/>
      <c r="FAJ214" s="1"/>
      <c r="FAK214" s="1"/>
      <c r="FAL214" s="1"/>
      <c r="FAM214" s="1"/>
      <c r="FAN214" s="1"/>
      <c r="FAO214" s="1"/>
      <c r="FAP214" s="1"/>
      <c r="FAQ214" s="1"/>
      <c r="FAR214" s="1"/>
      <c r="FAS214" s="1"/>
      <c r="FAT214" s="1"/>
      <c r="FAU214" s="1"/>
      <c r="FAV214" s="1"/>
      <c r="FAW214" s="1"/>
      <c r="FAX214" s="1"/>
      <c r="FAY214" s="1"/>
      <c r="FAZ214" s="1"/>
      <c r="FBA214" s="1"/>
      <c r="FBB214" s="1"/>
      <c r="FBC214" s="1"/>
      <c r="FBD214" s="1"/>
      <c r="FBE214" s="1"/>
      <c r="FBF214" s="1"/>
      <c r="FBG214" s="1"/>
      <c r="FBH214" s="1"/>
      <c r="FBI214" s="1"/>
      <c r="FBJ214" s="1"/>
      <c r="FBK214" s="1"/>
      <c r="FBL214" s="1"/>
      <c r="FBM214" s="1"/>
      <c r="FBN214" s="1"/>
      <c r="FBO214" s="1"/>
      <c r="FBP214" s="1"/>
      <c r="FBQ214" s="1"/>
      <c r="FBR214" s="1"/>
      <c r="FBS214" s="1"/>
      <c r="FBT214" s="1"/>
      <c r="FBU214" s="1"/>
      <c r="FBV214" s="1"/>
      <c r="FBW214" s="1"/>
      <c r="FBX214" s="1"/>
      <c r="FBY214" s="1"/>
      <c r="FBZ214" s="1"/>
      <c r="FCA214" s="1"/>
      <c r="FCB214" s="1"/>
      <c r="FCC214" s="1"/>
      <c r="FCD214" s="1"/>
      <c r="FCE214" s="1"/>
      <c r="FCF214" s="1"/>
      <c r="FCG214" s="1"/>
      <c r="FCH214" s="1"/>
      <c r="FCI214" s="1"/>
      <c r="FCJ214" s="1"/>
      <c r="FCK214" s="1"/>
      <c r="FCL214" s="1"/>
      <c r="FCM214" s="1"/>
      <c r="FCN214" s="1"/>
      <c r="FCO214" s="1"/>
      <c r="FCP214" s="1"/>
      <c r="FCQ214" s="1"/>
      <c r="FCR214" s="1"/>
      <c r="FCS214" s="1"/>
      <c r="FCT214" s="1"/>
      <c r="FCU214" s="1"/>
      <c r="FCV214" s="1"/>
      <c r="FCW214" s="1"/>
      <c r="FCX214" s="1"/>
      <c r="FCY214" s="1"/>
      <c r="FCZ214" s="1"/>
      <c r="FDA214" s="1"/>
      <c r="FDB214" s="1"/>
      <c r="FDC214" s="1"/>
      <c r="FDD214" s="1"/>
      <c r="FDE214" s="1"/>
      <c r="FDF214" s="1"/>
      <c r="FDG214" s="1"/>
      <c r="FDH214" s="1"/>
      <c r="FDI214" s="1"/>
      <c r="FDJ214" s="1"/>
      <c r="FDK214" s="1"/>
      <c r="FDL214" s="1"/>
      <c r="FDM214" s="1"/>
      <c r="FDN214" s="1"/>
      <c r="FDO214" s="1"/>
      <c r="FDP214" s="1"/>
      <c r="FDQ214" s="1"/>
      <c r="FDR214" s="1"/>
      <c r="FDS214" s="1"/>
      <c r="FDT214" s="1"/>
      <c r="FDU214" s="1"/>
      <c r="FDV214" s="1"/>
      <c r="FDW214" s="1"/>
      <c r="FDX214" s="1"/>
      <c r="FDY214" s="1"/>
      <c r="FDZ214" s="1"/>
      <c r="FEA214" s="1"/>
      <c r="FEB214" s="1"/>
      <c r="FEC214" s="1"/>
      <c r="FED214" s="1"/>
      <c r="FEE214" s="1"/>
      <c r="FEF214" s="1"/>
      <c r="FEG214" s="1"/>
      <c r="FEH214" s="1"/>
      <c r="FEI214" s="1"/>
      <c r="FEJ214" s="1"/>
      <c r="FEK214" s="1"/>
      <c r="FEL214" s="1"/>
      <c r="FEM214" s="1"/>
      <c r="FEN214" s="1"/>
      <c r="FEO214" s="1"/>
      <c r="FEP214" s="1"/>
      <c r="FEQ214" s="1"/>
      <c r="FER214" s="1"/>
      <c r="FES214" s="1"/>
      <c r="FET214" s="1"/>
      <c r="FEU214" s="1"/>
      <c r="FEV214" s="1"/>
      <c r="FEW214" s="1"/>
      <c r="FEX214" s="1"/>
      <c r="FEY214" s="1"/>
      <c r="FEZ214" s="1"/>
      <c r="FFA214" s="1"/>
      <c r="FFB214" s="1"/>
      <c r="FFC214" s="1"/>
      <c r="FFD214" s="1"/>
      <c r="FFE214" s="1"/>
      <c r="FFF214" s="1"/>
      <c r="FFG214" s="1"/>
      <c r="FFH214" s="1"/>
      <c r="FFI214" s="1"/>
      <c r="FFJ214" s="1"/>
      <c r="FFK214" s="1"/>
      <c r="FFL214" s="1"/>
      <c r="FFM214" s="1"/>
      <c r="FFN214" s="1"/>
      <c r="FFO214" s="1"/>
      <c r="FFP214" s="1"/>
      <c r="FFQ214" s="1"/>
      <c r="FFR214" s="1"/>
      <c r="FFS214" s="1"/>
      <c r="FFT214" s="1"/>
      <c r="FFU214" s="1"/>
      <c r="FFV214" s="1"/>
      <c r="FFW214" s="1"/>
      <c r="FFX214" s="1"/>
      <c r="FFY214" s="1"/>
      <c r="FFZ214" s="1"/>
      <c r="FGA214" s="1"/>
      <c r="FGB214" s="1"/>
      <c r="FGC214" s="1"/>
      <c r="FGD214" s="1"/>
      <c r="FGE214" s="1"/>
      <c r="FGF214" s="1"/>
      <c r="FGG214" s="1"/>
      <c r="FGH214" s="1"/>
      <c r="FGI214" s="1"/>
      <c r="FGJ214" s="1"/>
      <c r="FGK214" s="1"/>
      <c r="FGL214" s="1"/>
      <c r="FGM214" s="1"/>
      <c r="FGN214" s="1"/>
      <c r="FGO214" s="1"/>
      <c r="FGP214" s="1"/>
      <c r="FGQ214" s="1"/>
      <c r="FGR214" s="1"/>
      <c r="FGS214" s="1"/>
      <c r="FGT214" s="1"/>
      <c r="FGU214" s="1"/>
      <c r="FGV214" s="1"/>
      <c r="FGW214" s="1"/>
      <c r="FGX214" s="1"/>
      <c r="FGY214" s="1"/>
      <c r="FGZ214" s="1"/>
      <c r="FHA214" s="1"/>
      <c r="FHB214" s="1"/>
      <c r="FHC214" s="1"/>
      <c r="FHD214" s="1"/>
      <c r="FHE214" s="1"/>
      <c r="FHF214" s="1"/>
      <c r="FHG214" s="1"/>
      <c r="FHH214" s="1"/>
      <c r="FHI214" s="1"/>
      <c r="FHJ214" s="1"/>
      <c r="FHK214" s="1"/>
      <c r="FHL214" s="1"/>
      <c r="FHM214" s="1"/>
      <c r="FHN214" s="1"/>
      <c r="FHO214" s="1"/>
      <c r="FHP214" s="1"/>
      <c r="FHQ214" s="1"/>
      <c r="FHR214" s="1"/>
      <c r="FHS214" s="1"/>
      <c r="FHT214" s="1"/>
      <c r="FHU214" s="1"/>
      <c r="FHV214" s="1"/>
      <c r="FHW214" s="1"/>
      <c r="FHX214" s="1"/>
      <c r="FHY214" s="1"/>
      <c r="FHZ214" s="1"/>
      <c r="FIA214" s="1"/>
      <c r="FIB214" s="1"/>
      <c r="FIC214" s="1"/>
      <c r="FID214" s="1"/>
      <c r="FIE214" s="1"/>
      <c r="FIF214" s="1"/>
      <c r="FIG214" s="1"/>
      <c r="FIH214" s="1"/>
      <c r="FII214" s="1"/>
      <c r="FIJ214" s="1"/>
      <c r="FIK214" s="1"/>
      <c r="FIL214" s="1"/>
      <c r="FIM214" s="1"/>
      <c r="FIN214" s="1"/>
      <c r="FIO214" s="1"/>
      <c r="FIP214" s="1"/>
      <c r="FIQ214" s="1"/>
      <c r="FIR214" s="1"/>
      <c r="FIS214" s="1"/>
      <c r="FIT214" s="1"/>
      <c r="FIU214" s="1"/>
      <c r="FIV214" s="1"/>
      <c r="FIW214" s="1"/>
      <c r="FIX214" s="1"/>
      <c r="FIY214" s="1"/>
      <c r="FIZ214" s="1"/>
      <c r="FJA214" s="1"/>
      <c r="FJB214" s="1"/>
      <c r="FJC214" s="1"/>
      <c r="FJD214" s="1"/>
      <c r="FJE214" s="1"/>
      <c r="FJF214" s="1"/>
      <c r="FJG214" s="1"/>
      <c r="FJH214" s="1"/>
      <c r="FJI214" s="1"/>
      <c r="FJJ214" s="1"/>
      <c r="FJK214" s="1"/>
      <c r="FJL214" s="1"/>
      <c r="FJM214" s="1"/>
      <c r="FJN214" s="1"/>
      <c r="FJO214" s="1"/>
      <c r="FJP214" s="1"/>
      <c r="FJQ214" s="1"/>
      <c r="FJR214" s="1"/>
      <c r="FJS214" s="1"/>
      <c r="FJT214" s="1"/>
      <c r="FJU214" s="1"/>
      <c r="FJV214" s="1"/>
      <c r="FJW214" s="1"/>
      <c r="FJX214" s="1"/>
      <c r="FJY214" s="1"/>
      <c r="FJZ214" s="1"/>
      <c r="FKA214" s="1"/>
      <c r="FKB214" s="1"/>
      <c r="FKC214" s="1"/>
      <c r="FKD214" s="1"/>
      <c r="FKE214" s="1"/>
      <c r="FKF214" s="1"/>
      <c r="FKG214" s="1"/>
      <c r="FKH214" s="1"/>
      <c r="FKI214" s="1"/>
      <c r="FKJ214" s="1"/>
      <c r="FKK214" s="1"/>
      <c r="FKL214" s="1"/>
      <c r="FKM214" s="1"/>
      <c r="FKN214" s="1"/>
      <c r="FKO214" s="1"/>
      <c r="FKP214" s="1"/>
      <c r="FKQ214" s="1"/>
      <c r="FKR214" s="1"/>
      <c r="FKS214" s="1"/>
      <c r="FKT214" s="1"/>
      <c r="FKU214" s="1"/>
      <c r="FKV214" s="1"/>
      <c r="FKW214" s="1"/>
      <c r="FKX214" s="1"/>
      <c r="FKY214" s="1"/>
      <c r="FKZ214" s="1"/>
      <c r="FLA214" s="1"/>
      <c r="FLB214" s="1"/>
      <c r="FLC214" s="1"/>
      <c r="FLD214" s="1"/>
      <c r="FLE214" s="1"/>
      <c r="FLF214" s="1"/>
      <c r="FLG214" s="1"/>
      <c r="FLH214" s="1"/>
      <c r="FLI214" s="1"/>
      <c r="FLJ214" s="1"/>
      <c r="FLK214" s="1"/>
      <c r="FLL214" s="1"/>
      <c r="FLM214" s="1"/>
      <c r="FLN214" s="1"/>
      <c r="FLO214" s="1"/>
      <c r="FLP214" s="1"/>
      <c r="FLQ214" s="1"/>
      <c r="FLR214" s="1"/>
      <c r="FLS214" s="1"/>
      <c r="FLT214" s="1"/>
      <c r="FLU214" s="1"/>
      <c r="FLV214" s="1"/>
      <c r="FLW214" s="1"/>
      <c r="FLX214" s="1"/>
      <c r="FLY214" s="1"/>
      <c r="FLZ214" s="1"/>
      <c r="FMA214" s="1"/>
      <c r="FMB214" s="1"/>
      <c r="FMC214" s="1"/>
      <c r="FMD214" s="1"/>
      <c r="FME214" s="1"/>
      <c r="FMF214" s="1"/>
      <c r="FMG214" s="1"/>
      <c r="FMH214" s="1"/>
      <c r="FMI214" s="1"/>
      <c r="FMJ214" s="1"/>
      <c r="FMK214" s="1"/>
      <c r="FML214" s="1"/>
      <c r="FMM214" s="1"/>
      <c r="FMN214" s="1"/>
      <c r="FMO214" s="1"/>
      <c r="FMP214" s="1"/>
      <c r="FMQ214" s="1"/>
      <c r="FMR214" s="1"/>
      <c r="FMS214" s="1"/>
      <c r="FMT214" s="1"/>
      <c r="FMU214" s="1"/>
      <c r="FMV214" s="1"/>
      <c r="FMW214" s="1"/>
      <c r="FMX214" s="1"/>
      <c r="FMY214" s="1"/>
      <c r="FMZ214" s="1"/>
      <c r="FNA214" s="1"/>
      <c r="FNB214" s="1"/>
      <c r="FNC214" s="1"/>
      <c r="FND214" s="1"/>
      <c r="FNE214" s="1"/>
      <c r="FNF214" s="1"/>
      <c r="FNG214" s="1"/>
      <c r="FNH214" s="1"/>
      <c r="FNI214" s="1"/>
      <c r="FNJ214" s="1"/>
      <c r="FNK214" s="1"/>
      <c r="FNL214" s="1"/>
      <c r="FNM214" s="1"/>
      <c r="FNN214" s="1"/>
      <c r="FNO214" s="1"/>
      <c r="FNP214" s="1"/>
      <c r="FNQ214" s="1"/>
      <c r="FNR214" s="1"/>
      <c r="FNS214" s="1"/>
      <c r="FNT214" s="1"/>
      <c r="FNU214" s="1"/>
      <c r="FNV214" s="1"/>
      <c r="FNW214" s="1"/>
      <c r="FNX214" s="1"/>
      <c r="FNY214" s="1"/>
      <c r="FNZ214" s="1"/>
      <c r="FOA214" s="1"/>
      <c r="FOB214" s="1"/>
      <c r="FOC214" s="1"/>
      <c r="FOD214" s="1"/>
      <c r="FOE214" s="1"/>
      <c r="FOF214" s="1"/>
      <c r="FOG214" s="1"/>
      <c r="FOH214" s="1"/>
      <c r="FOI214" s="1"/>
      <c r="FOJ214" s="1"/>
      <c r="FOK214" s="1"/>
      <c r="FOL214" s="1"/>
      <c r="FOM214" s="1"/>
      <c r="FON214" s="1"/>
      <c r="FOO214" s="1"/>
      <c r="FOP214" s="1"/>
      <c r="FOQ214" s="1"/>
      <c r="FOR214" s="1"/>
      <c r="FOS214" s="1"/>
      <c r="FOT214" s="1"/>
      <c r="FOU214" s="1"/>
      <c r="FOV214" s="1"/>
      <c r="FOW214" s="1"/>
      <c r="FOX214" s="1"/>
      <c r="FOY214" s="1"/>
      <c r="FOZ214" s="1"/>
      <c r="FPA214" s="1"/>
      <c r="FPB214" s="1"/>
      <c r="FPC214" s="1"/>
      <c r="FPD214" s="1"/>
      <c r="FPE214" s="1"/>
      <c r="FPF214" s="1"/>
      <c r="FPG214" s="1"/>
      <c r="FPH214" s="1"/>
      <c r="FPI214" s="1"/>
      <c r="FPJ214" s="1"/>
      <c r="FPK214" s="1"/>
      <c r="FPL214" s="1"/>
      <c r="FPM214" s="1"/>
      <c r="FPN214" s="1"/>
      <c r="FPO214" s="1"/>
      <c r="FPP214" s="1"/>
      <c r="FPQ214" s="1"/>
      <c r="FPR214" s="1"/>
      <c r="FPS214" s="1"/>
      <c r="FPT214" s="1"/>
      <c r="FPU214" s="1"/>
      <c r="FPV214" s="1"/>
      <c r="FPW214" s="1"/>
      <c r="FPX214" s="1"/>
      <c r="FPY214" s="1"/>
      <c r="FPZ214" s="1"/>
      <c r="FQA214" s="1"/>
      <c r="FQB214" s="1"/>
      <c r="FQC214" s="1"/>
      <c r="FQD214" s="1"/>
      <c r="FQE214" s="1"/>
      <c r="FQF214" s="1"/>
      <c r="FQG214" s="1"/>
      <c r="FQH214" s="1"/>
      <c r="FQI214" s="1"/>
      <c r="FQJ214" s="1"/>
      <c r="FQK214" s="1"/>
      <c r="FQL214" s="1"/>
      <c r="FQM214" s="1"/>
      <c r="FQN214" s="1"/>
      <c r="FQO214" s="1"/>
      <c r="FQP214" s="1"/>
      <c r="FQQ214" s="1"/>
      <c r="FQR214" s="1"/>
      <c r="FQS214" s="1"/>
      <c r="FQT214" s="1"/>
      <c r="FQU214" s="1"/>
      <c r="FQV214" s="1"/>
      <c r="FQW214" s="1"/>
      <c r="FQX214" s="1"/>
      <c r="FQY214" s="1"/>
      <c r="FQZ214" s="1"/>
      <c r="FRA214" s="1"/>
      <c r="FRB214" s="1"/>
      <c r="FRC214" s="1"/>
      <c r="FRD214" s="1"/>
      <c r="FRE214" s="1"/>
      <c r="FRF214" s="1"/>
      <c r="FRG214" s="1"/>
      <c r="FRH214" s="1"/>
      <c r="FRI214" s="1"/>
      <c r="FRJ214" s="1"/>
      <c r="FRK214" s="1"/>
      <c r="FRL214" s="1"/>
      <c r="FRM214" s="1"/>
      <c r="FRN214" s="1"/>
      <c r="FRO214" s="1"/>
      <c r="FRP214" s="1"/>
      <c r="FRQ214" s="1"/>
      <c r="FRR214" s="1"/>
      <c r="FRS214" s="1"/>
      <c r="FRT214" s="1"/>
      <c r="FRU214" s="1"/>
      <c r="FRV214" s="1"/>
      <c r="FRW214" s="1"/>
      <c r="FRX214" s="1"/>
      <c r="FRY214" s="1"/>
      <c r="FRZ214" s="1"/>
      <c r="FSA214" s="1"/>
      <c r="FSB214" s="1"/>
      <c r="FSC214" s="1"/>
      <c r="FSD214" s="1"/>
      <c r="FSE214" s="1"/>
      <c r="FSF214" s="1"/>
      <c r="FSG214" s="1"/>
      <c r="FSH214" s="1"/>
      <c r="FSI214" s="1"/>
      <c r="FSJ214" s="1"/>
      <c r="FSK214" s="1"/>
      <c r="FSL214" s="1"/>
      <c r="FSM214" s="1"/>
      <c r="FSN214" s="1"/>
      <c r="FSO214" s="1"/>
      <c r="FSP214" s="1"/>
      <c r="FSQ214" s="1"/>
      <c r="FSR214" s="1"/>
      <c r="FSS214" s="1"/>
      <c r="FST214" s="1"/>
      <c r="FSU214" s="1"/>
      <c r="FSV214" s="1"/>
      <c r="FSW214" s="1"/>
      <c r="FSX214" s="1"/>
      <c r="FSY214" s="1"/>
      <c r="FSZ214" s="1"/>
      <c r="FTA214" s="1"/>
      <c r="FTB214" s="1"/>
      <c r="FTC214" s="1"/>
      <c r="FTD214" s="1"/>
      <c r="FTE214" s="1"/>
      <c r="FTF214" s="1"/>
      <c r="FTG214" s="1"/>
      <c r="FTH214" s="1"/>
      <c r="FTI214" s="1"/>
      <c r="FTJ214" s="1"/>
      <c r="FTK214" s="1"/>
      <c r="FTL214" s="1"/>
      <c r="FTM214" s="1"/>
      <c r="FTN214" s="1"/>
      <c r="FTO214" s="1"/>
      <c r="FTP214" s="1"/>
      <c r="FTQ214" s="1"/>
      <c r="FTR214" s="1"/>
      <c r="FTS214" s="1"/>
      <c r="FTT214" s="1"/>
      <c r="FTU214" s="1"/>
      <c r="FTV214" s="1"/>
      <c r="FTW214" s="1"/>
      <c r="FTX214" s="1"/>
      <c r="FTY214" s="1"/>
      <c r="FTZ214" s="1"/>
      <c r="FUA214" s="1"/>
      <c r="FUB214" s="1"/>
      <c r="FUC214" s="1"/>
      <c r="FUD214" s="1"/>
      <c r="FUE214" s="1"/>
      <c r="FUF214" s="1"/>
      <c r="FUG214" s="1"/>
      <c r="FUH214" s="1"/>
      <c r="FUI214" s="1"/>
      <c r="FUJ214" s="1"/>
      <c r="FUK214" s="1"/>
      <c r="FUL214" s="1"/>
      <c r="FUM214" s="1"/>
      <c r="FUN214" s="1"/>
      <c r="FUO214" s="1"/>
      <c r="FUP214" s="1"/>
      <c r="FUQ214" s="1"/>
      <c r="FUR214" s="1"/>
      <c r="FUS214" s="1"/>
      <c r="FUT214" s="1"/>
      <c r="FUU214" s="1"/>
      <c r="FUV214" s="1"/>
      <c r="FUW214" s="1"/>
      <c r="FUX214" s="1"/>
      <c r="FUY214" s="1"/>
      <c r="FUZ214" s="1"/>
      <c r="FVA214" s="1"/>
      <c r="FVB214" s="1"/>
      <c r="FVC214" s="1"/>
      <c r="FVD214" s="1"/>
      <c r="FVE214" s="1"/>
      <c r="FVF214" s="1"/>
      <c r="FVG214" s="1"/>
      <c r="FVH214" s="1"/>
      <c r="FVI214" s="1"/>
      <c r="FVJ214" s="1"/>
      <c r="FVK214" s="1"/>
      <c r="FVL214" s="1"/>
      <c r="FVM214" s="1"/>
      <c r="FVN214" s="1"/>
      <c r="FVO214" s="1"/>
      <c r="FVP214" s="1"/>
      <c r="FVQ214" s="1"/>
      <c r="FVR214" s="1"/>
      <c r="FVS214" s="1"/>
      <c r="FVT214" s="1"/>
      <c r="FVU214" s="1"/>
      <c r="FVV214" s="1"/>
      <c r="FVW214" s="1"/>
      <c r="FVX214" s="1"/>
      <c r="FVY214" s="1"/>
      <c r="FVZ214" s="1"/>
      <c r="FWA214" s="1"/>
      <c r="FWB214" s="1"/>
      <c r="FWC214" s="1"/>
      <c r="FWD214" s="1"/>
      <c r="FWE214" s="1"/>
      <c r="FWF214" s="1"/>
      <c r="FWG214" s="1"/>
      <c r="FWH214" s="1"/>
      <c r="FWI214" s="1"/>
      <c r="FWJ214" s="1"/>
      <c r="FWK214" s="1"/>
      <c r="FWL214" s="1"/>
      <c r="FWM214" s="1"/>
      <c r="FWN214" s="1"/>
      <c r="FWO214" s="1"/>
      <c r="FWP214" s="1"/>
      <c r="FWQ214" s="1"/>
      <c r="FWR214" s="1"/>
      <c r="FWS214" s="1"/>
      <c r="FWT214" s="1"/>
      <c r="FWU214" s="1"/>
      <c r="FWV214" s="1"/>
      <c r="FWW214" s="1"/>
      <c r="FWX214" s="1"/>
      <c r="FWY214" s="1"/>
      <c r="FWZ214" s="1"/>
      <c r="FXA214" s="1"/>
      <c r="FXB214" s="1"/>
      <c r="FXC214" s="1"/>
      <c r="FXD214" s="1"/>
      <c r="FXE214" s="1"/>
      <c r="FXF214" s="1"/>
      <c r="FXG214" s="1"/>
      <c r="FXH214" s="1"/>
      <c r="FXI214" s="1"/>
      <c r="FXJ214" s="1"/>
      <c r="FXK214" s="1"/>
      <c r="FXL214" s="1"/>
      <c r="FXM214" s="1"/>
      <c r="FXN214" s="1"/>
      <c r="FXO214" s="1"/>
      <c r="FXP214" s="1"/>
      <c r="FXQ214" s="1"/>
      <c r="FXR214" s="1"/>
      <c r="FXS214" s="1"/>
      <c r="FXT214" s="1"/>
      <c r="FXU214" s="1"/>
      <c r="FXV214" s="1"/>
      <c r="FXW214" s="1"/>
      <c r="FXX214" s="1"/>
      <c r="FXY214" s="1"/>
      <c r="FXZ214" s="1"/>
      <c r="FYA214" s="1"/>
      <c r="FYB214" s="1"/>
      <c r="FYC214" s="1"/>
      <c r="FYD214" s="1"/>
      <c r="FYE214" s="1"/>
      <c r="FYF214" s="1"/>
      <c r="FYG214" s="1"/>
      <c r="FYH214" s="1"/>
      <c r="FYI214" s="1"/>
      <c r="FYJ214" s="1"/>
      <c r="FYK214" s="1"/>
      <c r="FYL214" s="1"/>
      <c r="FYM214" s="1"/>
      <c r="FYN214" s="1"/>
      <c r="FYO214" s="1"/>
      <c r="FYP214" s="1"/>
      <c r="FYQ214" s="1"/>
      <c r="FYR214" s="1"/>
      <c r="FYS214" s="1"/>
      <c r="FYT214" s="1"/>
      <c r="FYU214" s="1"/>
      <c r="FYV214" s="1"/>
      <c r="FYW214" s="1"/>
      <c r="FYX214" s="1"/>
      <c r="FYY214" s="1"/>
      <c r="FYZ214" s="1"/>
      <c r="FZA214" s="1"/>
      <c r="FZB214" s="1"/>
      <c r="FZC214" s="1"/>
      <c r="FZD214" s="1"/>
      <c r="FZE214" s="1"/>
      <c r="FZF214" s="1"/>
      <c r="FZG214" s="1"/>
      <c r="FZH214" s="1"/>
      <c r="FZI214" s="1"/>
      <c r="FZJ214" s="1"/>
      <c r="FZK214" s="1"/>
      <c r="FZL214" s="1"/>
      <c r="FZM214" s="1"/>
      <c r="FZN214" s="1"/>
      <c r="FZO214" s="1"/>
      <c r="FZP214" s="1"/>
      <c r="FZQ214" s="1"/>
      <c r="FZR214" s="1"/>
      <c r="FZS214" s="1"/>
      <c r="FZT214" s="1"/>
      <c r="FZU214" s="1"/>
      <c r="FZV214" s="1"/>
      <c r="FZW214" s="1"/>
      <c r="FZX214" s="1"/>
      <c r="FZY214" s="1"/>
      <c r="FZZ214" s="1"/>
      <c r="GAA214" s="1"/>
      <c r="GAB214" s="1"/>
      <c r="GAC214" s="1"/>
      <c r="GAD214" s="1"/>
      <c r="GAE214" s="1"/>
      <c r="GAF214" s="1"/>
      <c r="GAG214" s="1"/>
      <c r="GAH214" s="1"/>
      <c r="GAI214" s="1"/>
      <c r="GAJ214" s="1"/>
      <c r="GAK214" s="1"/>
      <c r="GAL214" s="1"/>
      <c r="GAM214" s="1"/>
      <c r="GAN214" s="1"/>
      <c r="GAO214" s="1"/>
      <c r="GAP214" s="1"/>
      <c r="GAQ214" s="1"/>
      <c r="GAR214" s="1"/>
      <c r="GAS214" s="1"/>
      <c r="GAT214" s="1"/>
      <c r="GAU214" s="1"/>
      <c r="GAV214" s="1"/>
      <c r="GAW214" s="1"/>
      <c r="GAX214" s="1"/>
      <c r="GAY214" s="1"/>
      <c r="GAZ214" s="1"/>
      <c r="GBA214" s="1"/>
      <c r="GBB214" s="1"/>
      <c r="GBC214" s="1"/>
      <c r="GBD214" s="1"/>
      <c r="GBE214" s="1"/>
      <c r="GBF214" s="1"/>
      <c r="GBG214" s="1"/>
      <c r="GBH214" s="1"/>
      <c r="GBI214" s="1"/>
      <c r="GBJ214" s="1"/>
      <c r="GBK214" s="1"/>
      <c r="GBL214" s="1"/>
      <c r="GBM214" s="1"/>
      <c r="GBN214" s="1"/>
      <c r="GBO214" s="1"/>
      <c r="GBP214" s="1"/>
      <c r="GBQ214" s="1"/>
      <c r="GBR214" s="1"/>
      <c r="GBS214" s="1"/>
      <c r="GBT214" s="1"/>
      <c r="GBU214" s="1"/>
      <c r="GBV214" s="1"/>
      <c r="GBW214" s="1"/>
      <c r="GBX214" s="1"/>
      <c r="GBY214" s="1"/>
      <c r="GBZ214" s="1"/>
      <c r="GCA214" s="1"/>
      <c r="GCB214" s="1"/>
      <c r="GCC214" s="1"/>
      <c r="GCD214" s="1"/>
      <c r="GCE214" s="1"/>
      <c r="GCF214" s="1"/>
      <c r="GCG214" s="1"/>
      <c r="GCH214" s="1"/>
      <c r="GCI214" s="1"/>
      <c r="GCJ214" s="1"/>
      <c r="GCK214" s="1"/>
      <c r="GCL214" s="1"/>
      <c r="GCM214" s="1"/>
      <c r="GCN214" s="1"/>
      <c r="GCO214" s="1"/>
      <c r="GCP214" s="1"/>
      <c r="GCQ214" s="1"/>
      <c r="GCR214" s="1"/>
      <c r="GCS214" s="1"/>
      <c r="GCT214" s="1"/>
      <c r="GCU214" s="1"/>
      <c r="GCV214" s="1"/>
      <c r="GCW214" s="1"/>
      <c r="GCX214" s="1"/>
      <c r="GCY214" s="1"/>
      <c r="GCZ214" s="1"/>
      <c r="GDA214" s="1"/>
      <c r="GDB214" s="1"/>
      <c r="GDC214" s="1"/>
      <c r="GDD214" s="1"/>
      <c r="GDE214" s="1"/>
      <c r="GDF214" s="1"/>
      <c r="GDG214" s="1"/>
      <c r="GDH214" s="1"/>
      <c r="GDI214" s="1"/>
      <c r="GDJ214" s="1"/>
      <c r="GDK214" s="1"/>
      <c r="GDL214" s="1"/>
      <c r="GDM214" s="1"/>
      <c r="GDN214" s="1"/>
      <c r="GDO214" s="1"/>
      <c r="GDP214" s="1"/>
      <c r="GDQ214" s="1"/>
      <c r="GDR214" s="1"/>
      <c r="GDS214" s="1"/>
      <c r="GDT214" s="1"/>
      <c r="GDU214" s="1"/>
      <c r="GDV214" s="1"/>
      <c r="GDW214" s="1"/>
      <c r="GDX214" s="1"/>
      <c r="GDY214" s="1"/>
      <c r="GDZ214" s="1"/>
      <c r="GEA214" s="1"/>
      <c r="GEB214" s="1"/>
      <c r="GEC214" s="1"/>
      <c r="GED214" s="1"/>
      <c r="GEE214" s="1"/>
      <c r="GEF214" s="1"/>
      <c r="GEG214" s="1"/>
      <c r="GEH214" s="1"/>
      <c r="GEI214" s="1"/>
      <c r="GEJ214" s="1"/>
      <c r="GEK214" s="1"/>
      <c r="GEL214" s="1"/>
      <c r="GEM214" s="1"/>
      <c r="GEN214" s="1"/>
      <c r="GEO214" s="1"/>
      <c r="GEP214" s="1"/>
      <c r="GEQ214" s="1"/>
      <c r="GER214" s="1"/>
      <c r="GES214" s="1"/>
      <c r="GET214" s="1"/>
      <c r="GEU214" s="1"/>
      <c r="GEV214" s="1"/>
      <c r="GEW214" s="1"/>
      <c r="GEX214" s="1"/>
      <c r="GEY214" s="1"/>
      <c r="GEZ214" s="1"/>
      <c r="GFA214" s="1"/>
      <c r="GFB214" s="1"/>
      <c r="GFC214" s="1"/>
      <c r="GFD214" s="1"/>
      <c r="GFE214" s="1"/>
      <c r="GFF214" s="1"/>
      <c r="GFG214" s="1"/>
      <c r="GFH214" s="1"/>
      <c r="GFI214" s="1"/>
      <c r="GFJ214" s="1"/>
      <c r="GFK214" s="1"/>
      <c r="GFL214" s="1"/>
      <c r="GFM214" s="1"/>
      <c r="GFN214" s="1"/>
      <c r="GFO214" s="1"/>
      <c r="GFP214" s="1"/>
      <c r="GFQ214" s="1"/>
      <c r="GFR214" s="1"/>
      <c r="GFS214" s="1"/>
      <c r="GFT214" s="1"/>
      <c r="GFU214" s="1"/>
      <c r="GFV214" s="1"/>
      <c r="GFW214" s="1"/>
      <c r="GFX214" s="1"/>
      <c r="GFY214" s="1"/>
      <c r="GFZ214" s="1"/>
      <c r="GGA214" s="1"/>
      <c r="GGB214" s="1"/>
      <c r="GGC214" s="1"/>
      <c r="GGD214" s="1"/>
      <c r="GGE214" s="1"/>
      <c r="GGF214" s="1"/>
      <c r="GGG214" s="1"/>
      <c r="GGH214" s="1"/>
      <c r="GGI214" s="1"/>
      <c r="GGJ214" s="1"/>
      <c r="GGK214" s="1"/>
      <c r="GGL214" s="1"/>
      <c r="GGM214" s="1"/>
      <c r="GGN214" s="1"/>
      <c r="GGO214" s="1"/>
      <c r="GGP214" s="1"/>
      <c r="GGQ214" s="1"/>
      <c r="GGR214" s="1"/>
      <c r="GGS214" s="1"/>
      <c r="GGT214" s="1"/>
      <c r="GGU214" s="1"/>
      <c r="GGV214" s="1"/>
      <c r="GGW214" s="1"/>
      <c r="GGX214" s="1"/>
      <c r="GGY214" s="1"/>
      <c r="GGZ214" s="1"/>
      <c r="GHA214" s="1"/>
      <c r="GHB214" s="1"/>
      <c r="GHC214" s="1"/>
      <c r="GHD214" s="1"/>
      <c r="GHE214" s="1"/>
      <c r="GHF214" s="1"/>
      <c r="GHG214" s="1"/>
      <c r="GHH214" s="1"/>
      <c r="GHI214" s="1"/>
      <c r="GHJ214" s="1"/>
      <c r="GHK214" s="1"/>
      <c r="GHL214" s="1"/>
      <c r="GHM214" s="1"/>
      <c r="GHN214" s="1"/>
      <c r="GHO214" s="1"/>
      <c r="GHP214" s="1"/>
      <c r="GHQ214" s="1"/>
      <c r="GHR214" s="1"/>
      <c r="GHS214" s="1"/>
      <c r="GHT214" s="1"/>
      <c r="GHU214" s="1"/>
      <c r="GHV214" s="1"/>
      <c r="GHW214" s="1"/>
      <c r="GHX214" s="1"/>
      <c r="GHY214" s="1"/>
      <c r="GHZ214" s="1"/>
      <c r="GIA214" s="1"/>
      <c r="GIB214" s="1"/>
      <c r="GIC214" s="1"/>
      <c r="GID214" s="1"/>
      <c r="GIE214" s="1"/>
      <c r="GIF214" s="1"/>
      <c r="GIG214" s="1"/>
      <c r="GIH214" s="1"/>
      <c r="GII214" s="1"/>
      <c r="GIJ214" s="1"/>
      <c r="GIK214" s="1"/>
      <c r="GIL214" s="1"/>
      <c r="GIM214" s="1"/>
      <c r="GIN214" s="1"/>
      <c r="GIO214" s="1"/>
      <c r="GIP214" s="1"/>
      <c r="GIQ214" s="1"/>
      <c r="GIR214" s="1"/>
      <c r="GIS214" s="1"/>
      <c r="GIT214" s="1"/>
      <c r="GIU214" s="1"/>
      <c r="GIV214" s="1"/>
      <c r="GIW214" s="1"/>
      <c r="GIX214" s="1"/>
      <c r="GIY214" s="1"/>
      <c r="GIZ214" s="1"/>
      <c r="GJA214" s="1"/>
      <c r="GJB214" s="1"/>
      <c r="GJC214" s="1"/>
      <c r="GJD214" s="1"/>
      <c r="GJE214" s="1"/>
      <c r="GJF214" s="1"/>
      <c r="GJG214" s="1"/>
      <c r="GJH214" s="1"/>
      <c r="GJI214" s="1"/>
      <c r="GJJ214" s="1"/>
      <c r="GJK214" s="1"/>
      <c r="GJL214" s="1"/>
      <c r="GJM214" s="1"/>
      <c r="GJN214" s="1"/>
      <c r="GJO214" s="1"/>
      <c r="GJP214" s="1"/>
      <c r="GJQ214" s="1"/>
      <c r="GJR214" s="1"/>
      <c r="GJS214" s="1"/>
      <c r="GJT214" s="1"/>
      <c r="GJU214" s="1"/>
      <c r="GJV214" s="1"/>
      <c r="GJW214" s="1"/>
      <c r="GJX214" s="1"/>
      <c r="GJY214" s="1"/>
      <c r="GJZ214" s="1"/>
      <c r="GKA214" s="1"/>
      <c r="GKB214" s="1"/>
      <c r="GKC214" s="1"/>
      <c r="GKD214" s="1"/>
      <c r="GKE214" s="1"/>
      <c r="GKF214" s="1"/>
      <c r="GKG214" s="1"/>
      <c r="GKH214" s="1"/>
      <c r="GKI214" s="1"/>
      <c r="GKJ214" s="1"/>
      <c r="GKK214" s="1"/>
      <c r="GKL214" s="1"/>
      <c r="GKM214" s="1"/>
      <c r="GKN214" s="1"/>
      <c r="GKO214" s="1"/>
      <c r="GKP214" s="1"/>
      <c r="GKQ214" s="1"/>
      <c r="GKR214" s="1"/>
      <c r="GKS214" s="1"/>
      <c r="GKT214" s="1"/>
      <c r="GKU214" s="1"/>
      <c r="GKV214" s="1"/>
      <c r="GKW214" s="1"/>
      <c r="GKX214" s="1"/>
      <c r="GKY214" s="1"/>
      <c r="GKZ214" s="1"/>
      <c r="GLA214" s="1"/>
      <c r="GLB214" s="1"/>
      <c r="GLC214" s="1"/>
      <c r="GLD214" s="1"/>
      <c r="GLE214" s="1"/>
      <c r="GLF214" s="1"/>
      <c r="GLG214" s="1"/>
      <c r="GLH214" s="1"/>
      <c r="GLI214" s="1"/>
      <c r="GLJ214" s="1"/>
      <c r="GLK214" s="1"/>
      <c r="GLL214" s="1"/>
      <c r="GLM214" s="1"/>
      <c r="GLN214" s="1"/>
      <c r="GLO214" s="1"/>
      <c r="GLP214" s="1"/>
      <c r="GLQ214" s="1"/>
      <c r="GLR214" s="1"/>
      <c r="GLS214" s="1"/>
      <c r="GLT214" s="1"/>
      <c r="GLU214" s="1"/>
      <c r="GLV214" s="1"/>
      <c r="GLW214" s="1"/>
      <c r="GLX214" s="1"/>
      <c r="GLY214" s="1"/>
      <c r="GLZ214" s="1"/>
      <c r="GMA214" s="1"/>
      <c r="GMB214" s="1"/>
      <c r="GMC214" s="1"/>
      <c r="GMD214" s="1"/>
      <c r="GME214" s="1"/>
      <c r="GMF214" s="1"/>
      <c r="GMG214" s="1"/>
      <c r="GMH214" s="1"/>
      <c r="GMI214" s="1"/>
      <c r="GMJ214" s="1"/>
      <c r="GMK214" s="1"/>
      <c r="GML214" s="1"/>
      <c r="GMM214" s="1"/>
      <c r="GMN214" s="1"/>
      <c r="GMO214" s="1"/>
      <c r="GMP214" s="1"/>
      <c r="GMQ214" s="1"/>
      <c r="GMR214" s="1"/>
      <c r="GMS214" s="1"/>
      <c r="GMT214" s="1"/>
      <c r="GMU214" s="1"/>
      <c r="GMV214" s="1"/>
      <c r="GMW214" s="1"/>
      <c r="GMX214" s="1"/>
      <c r="GMY214" s="1"/>
      <c r="GMZ214" s="1"/>
      <c r="GNA214" s="1"/>
      <c r="GNB214" s="1"/>
      <c r="GNC214" s="1"/>
      <c r="GND214" s="1"/>
      <c r="GNE214" s="1"/>
      <c r="GNF214" s="1"/>
      <c r="GNG214" s="1"/>
      <c r="GNH214" s="1"/>
      <c r="GNI214" s="1"/>
      <c r="GNJ214" s="1"/>
      <c r="GNK214" s="1"/>
      <c r="GNL214" s="1"/>
      <c r="GNM214" s="1"/>
      <c r="GNN214" s="1"/>
      <c r="GNO214" s="1"/>
      <c r="GNP214" s="1"/>
      <c r="GNQ214" s="1"/>
      <c r="GNR214" s="1"/>
      <c r="GNS214" s="1"/>
      <c r="GNT214" s="1"/>
      <c r="GNU214" s="1"/>
      <c r="GNV214" s="1"/>
      <c r="GNW214" s="1"/>
      <c r="GNX214" s="1"/>
      <c r="GNY214" s="1"/>
      <c r="GNZ214" s="1"/>
      <c r="GOA214" s="1"/>
      <c r="GOB214" s="1"/>
      <c r="GOC214" s="1"/>
      <c r="GOD214" s="1"/>
      <c r="GOE214" s="1"/>
      <c r="GOF214" s="1"/>
      <c r="GOG214" s="1"/>
      <c r="GOH214" s="1"/>
      <c r="GOI214" s="1"/>
      <c r="GOJ214" s="1"/>
      <c r="GOK214" s="1"/>
      <c r="GOL214" s="1"/>
      <c r="GOM214" s="1"/>
      <c r="GON214" s="1"/>
      <c r="GOO214" s="1"/>
      <c r="GOP214" s="1"/>
      <c r="GOQ214" s="1"/>
      <c r="GOR214" s="1"/>
      <c r="GOS214" s="1"/>
      <c r="GOT214" s="1"/>
      <c r="GOU214" s="1"/>
      <c r="GOV214" s="1"/>
      <c r="GOW214" s="1"/>
      <c r="GOX214" s="1"/>
      <c r="GOY214" s="1"/>
      <c r="GOZ214" s="1"/>
      <c r="GPA214" s="1"/>
      <c r="GPB214" s="1"/>
      <c r="GPC214" s="1"/>
      <c r="GPD214" s="1"/>
      <c r="GPE214" s="1"/>
      <c r="GPF214" s="1"/>
      <c r="GPG214" s="1"/>
      <c r="GPH214" s="1"/>
      <c r="GPI214" s="1"/>
      <c r="GPJ214" s="1"/>
      <c r="GPK214" s="1"/>
      <c r="GPL214" s="1"/>
      <c r="GPM214" s="1"/>
      <c r="GPN214" s="1"/>
      <c r="GPO214" s="1"/>
      <c r="GPP214" s="1"/>
      <c r="GPQ214" s="1"/>
      <c r="GPR214" s="1"/>
      <c r="GPS214" s="1"/>
      <c r="GPT214" s="1"/>
      <c r="GPU214" s="1"/>
      <c r="GPV214" s="1"/>
      <c r="GPW214" s="1"/>
      <c r="GPX214" s="1"/>
      <c r="GPY214" s="1"/>
      <c r="GPZ214" s="1"/>
      <c r="GQA214" s="1"/>
      <c r="GQB214" s="1"/>
      <c r="GQC214" s="1"/>
      <c r="GQD214" s="1"/>
      <c r="GQE214" s="1"/>
      <c r="GQF214" s="1"/>
      <c r="GQG214" s="1"/>
      <c r="GQH214" s="1"/>
      <c r="GQI214" s="1"/>
      <c r="GQJ214" s="1"/>
      <c r="GQK214" s="1"/>
      <c r="GQL214" s="1"/>
      <c r="GQM214" s="1"/>
      <c r="GQN214" s="1"/>
      <c r="GQO214" s="1"/>
      <c r="GQP214" s="1"/>
      <c r="GQQ214" s="1"/>
      <c r="GQR214" s="1"/>
      <c r="GQS214" s="1"/>
      <c r="GQT214" s="1"/>
      <c r="GQU214" s="1"/>
      <c r="GQV214" s="1"/>
      <c r="GQW214" s="1"/>
      <c r="GQX214" s="1"/>
      <c r="GQY214" s="1"/>
      <c r="GQZ214" s="1"/>
      <c r="GRA214" s="1"/>
      <c r="GRB214" s="1"/>
      <c r="GRC214" s="1"/>
      <c r="GRD214" s="1"/>
      <c r="GRE214" s="1"/>
      <c r="GRF214" s="1"/>
      <c r="GRG214" s="1"/>
      <c r="GRH214" s="1"/>
      <c r="GRI214" s="1"/>
      <c r="GRJ214" s="1"/>
      <c r="GRK214" s="1"/>
      <c r="GRL214" s="1"/>
      <c r="GRM214" s="1"/>
      <c r="GRN214" s="1"/>
      <c r="GRO214" s="1"/>
      <c r="GRP214" s="1"/>
      <c r="GRQ214" s="1"/>
      <c r="GRR214" s="1"/>
      <c r="GRS214" s="1"/>
      <c r="GRT214" s="1"/>
      <c r="GRU214" s="1"/>
      <c r="GRV214" s="1"/>
      <c r="GRW214" s="1"/>
      <c r="GRX214" s="1"/>
      <c r="GRY214" s="1"/>
      <c r="GRZ214" s="1"/>
      <c r="GSA214" s="1"/>
      <c r="GSB214" s="1"/>
      <c r="GSC214" s="1"/>
      <c r="GSD214" s="1"/>
      <c r="GSE214" s="1"/>
      <c r="GSF214" s="1"/>
      <c r="GSG214" s="1"/>
      <c r="GSH214" s="1"/>
      <c r="GSI214" s="1"/>
      <c r="GSJ214" s="1"/>
      <c r="GSK214" s="1"/>
      <c r="GSL214" s="1"/>
      <c r="GSM214" s="1"/>
      <c r="GSN214" s="1"/>
      <c r="GSO214" s="1"/>
      <c r="GSP214" s="1"/>
      <c r="GSQ214" s="1"/>
      <c r="GSR214" s="1"/>
      <c r="GSS214" s="1"/>
      <c r="GST214" s="1"/>
      <c r="GSU214" s="1"/>
      <c r="GSV214" s="1"/>
      <c r="GSW214" s="1"/>
      <c r="GSX214" s="1"/>
      <c r="GSY214" s="1"/>
      <c r="GSZ214" s="1"/>
      <c r="GTA214" s="1"/>
      <c r="GTB214" s="1"/>
      <c r="GTC214" s="1"/>
      <c r="GTD214" s="1"/>
      <c r="GTE214" s="1"/>
      <c r="GTF214" s="1"/>
      <c r="GTG214" s="1"/>
      <c r="GTH214" s="1"/>
      <c r="GTI214" s="1"/>
      <c r="GTJ214" s="1"/>
      <c r="GTK214" s="1"/>
      <c r="GTL214" s="1"/>
      <c r="GTM214" s="1"/>
      <c r="GTN214" s="1"/>
      <c r="GTO214" s="1"/>
      <c r="GTP214" s="1"/>
      <c r="GTQ214" s="1"/>
      <c r="GTR214" s="1"/>
      <c r="GTS214" s="1"/>
      <c r="GTT214" s="1"/>
      <c r="GTU214" s="1"/>
      <c r="GTV214" s="1"/>
      <c r="GTW214" s="1"/>
      <c r="GTX214" s="1"/>
      <c r="GTY214" s="1"/>
      <c r="GTZ214" s="1"/>
      <c r="GUA214" s="1"/>
      <c r="GUB214" s="1"/>
      <c r="GUC214" s="1"/>
      <c r="GUD214" s="1"/>
      <c r="GUE214" s="1"/>
      <c r="GUF214" s="1"/>
      <c r="GUG214" s="1"/>
      <c r="GUH214" s="1"/>
      <c r="GUI214" s="1"/>
      <c r="GUJ214" s="1"/>
      <c r="GUK214" s="1"/>
      <c r="GUL214" s="1"/>
      <c r="GUM214" s="1"/>
      <c r="GUN214" s="1"/>
      <c r="GUO214" s="1"/>
      <c r="GUP214" s="1"/>
      <c r="GUQ214" s="1"/>
      <c r="GUR214" s="1"/>
      <c r="GUS214" s="1"/>
      <c r="GUT214" s="1"/>
      <c r="GUU214" s="1"/>
      <c r="GUV214" s="1"/>
      <c r="GUW214" s="1"/>
      <c r="GUX214" s="1"/>
      <c r="GUY214" s="1"/>
      <c r="GUZ214" s="1"/>
      <c r="GVA214" s="1"/>
      <c r="GVB214" s="1"/>
      <c r="GVC214" s="1"/>
      <c r="GVD214" s="1"/>
      <c r="GVE214" s="1"/>
      <c r="GVF214" s="1"/>
      <c r="GVG214" s="1"/>
      <c r="GVH214" s="1"/>
      <c r="GVI214" s="1"/>
      <c r="GVJ214" s="1"/>
      <c r="GVK214" s="1"/>
      <c r="GVL214" s="1"/>
      <c r="GVM214" s="1"/>
      <c r="GVN214" s="1"/>
      <c r="GVO214" s="1"/>
      <c r="GVP214" s="1"/>
      <c r="GVQ214" s="1"/>
      <c r="GVR214" s="1"/>
      <c r="GVS214" s="1"/>
      <c r="GVT214" s="1"/>
      <c r="GVU214" s="1"/>
      <c r="GVV214" s="1"/>
      <c r="GVW214" s="1"/>
      <c r="GVX214" s="1"/>
      <c r="GVY214" s="1"/>
      <c r="GVZ214" s="1"/>
      <c r="GWA214" s="1"/>
      <c r="GWB214" s="1"/>
      <c r="GWC214" s="1"/>
      <c r="GWD214" s="1"/>
      <c r="GWE214" s="1"/>
      <c r="GWF214" s="1"/>
      <c r="GWG214" s="1"/>
      <c r="GWH214" s="1"/>
      <c r="GWI214" s="1"/>
      <c r="GWJ214" s="1"/>
      <c r="GWK214" s="1"/>
      <c r="GWL214" s="1"/>
      <c r="GWM214" s="1"/>
      <c r="GWN214" s="1"/>
      <c r="GWO214" s="1"/>
      <c r="GWP214" s="1"/>
      <c r="GWQ214" s="1"/>
      <c r="GWR214" s="1"/>
      <c r="GWS214" s="1"/>
      <c r="GWT214" s="1"/>
      <c r="GWU214" s="1"/>
      <c r="GWV214" s="1"/>
      <c r="GWW214" s="1"/>
      <c r="GWX214" s="1"/>
      <c r="GWY214" s="1"/>
      <c r="GWZ214" s="1"/>
      <c r="GXA214" s="1"/>
      <c r="GXB214" s="1"/>
      <c r="GXC214" s="1"/>
      <c r="GXD214" s="1"/>
      <c r="GXE214" s="1"/>
      <c r="GXF214" s="1"/>
      <c r="GXG214" s="1"/>
      <c r="GXH214" s="1"/>
      <c r="GXI214" s="1"/>
      <c r="GXJ214" s="1"/>
      <c r="GXK214" s="1"/>
      <c r="GXL214" s="1"/>
      <c r="GXM214" s="1"/>
      <c r="GXN214" s="1"/>
      <c r="GXO214" s="1"/>
      <c r="GXP214" s="1"/>
      <c r="GXQ214" s="1"/>
      <c r="GXR214" s="1"/>
      <c r="GXS214" s="1"/>
      <c r="GXT214" s="1"/>
      <c r="GXU214" s="1"/>
      <c r="GXV214" s="1"/>
      <c r="GXW214" s="1"/>
      <c r="GXX214" s="1"/>
      <c r="GXY214" s="1"/>
      <c r="GXZ214" s="1"/>
      <c r="GYA214" s="1"/>
      <c r="GYB214" s="1"/>
      <c r="GYC214" s="1"/>
      <c r="GYD214" s="1"/>
      <c r="GYE214" s="1"/>
      <c r="GYF214" s="1"/>
      <c r="GYG214" s="1"/>
      <c r="GYH214" s="1"/>
      <c r="GYI214" s="1"/>
      <c r="GYJ214" s="1"/>
      <c r="GYK214" s="1"/>
      <c r="GYL214" s="1"/>
      <c r="GYM214" s="1"/>
      <c r="GYN214" s="1"/>
      <c r="GYO214" s="1"/>
      <c r="GYP214" s="1"/>
      <c r="GYQ214" s="1"/>
      <c r="GYR214" s="1"/>
      <c r="GYS214" s="1"/>
      <c r="GYT214" s="1"/>
      <c r="GYU214" s="1"/>
      <c r="GYV214" s="1"/>
      <c r="GYW214" s="1"/>
      <c r="GYX214" s="1"/>
      <c r="GYY214" s="1"/>
      <c r="GYZ214" s="1"/>
      <c r="GZA214" s="1"/>
      <c r="GZB214" s="1"/>
      <c r="GZC214" s="1"/>
      <c r="GZD214" s="1"/>
      <c r="GZE214" s="1"/>
      <c r="GZF214" s="1"/>
      <c r="GZG214" s="1"/>
      <c r="GZH214" s="1"/>
      <c r="GZI214" s="1"/>
      <c r="GZJ214" s="1"/>
      <c r="GZK214" s="1"/>
      <c r="GZL214" s="1"/>
      <c r="GZM214" s="1"/>
      <c r="GZN214" s="1"/>
      <c r="GZO214" s="1"/>
      <c r="GZP214" s="1"/>
      <c r="GZQ214" s="1"/>
      <c r="GZR214" s="1"/>
      <c r="GZS214" s="1"/>
      <c r="GZT214" s="1"/>
      <c r="GZU214" s="1"/>
      <c r="GZV214" s="1"/>
      <c r="GZW214" s="1"/>
      <c r="GZX214" s="1"/>
      <c r="GZY214" s="1"/>
      <c r="GZZ214" s="1"/>
      <c r="HAA214" s="1"/>
      <c r="HAB214" s="1"/>
      <c r="HAC214" s="1"/>
      <c r="HAD214" s="1"/>
      <c r="HAE214" s="1"/>
      <c r="HAF214" s="1"/>
      <c r="HAG214" s="1"/>
      <c r="HAH214" s="1"/>
      <c r="HAI214" s="1"/>
      <c r="HAJ214" s="1"/>
      <c r="HAK214" s="1"/>
      <c r="HAL214" s="1"/>
      <c r="HAM214" s="1"/>
      <c r="HAN214" s="1"/>
      <c r="HAO214" s="1"/>
      <c r="HAP214" s="1"/>
      <c r="HAQ214" s="1"/>
      <c r="HAR214" s="1"/>
      <c r="HAS214" s="1"/>
      <c r="HAT214" s="1"/>
      <c r="HAU214" s="1"/>
      <c r="HAV214" s="1"/>
      <c r="HAW214" s="1"/>
      <c r="HAX214" s="1"/>
      <c r="HAY214" s="1"/>
      <c r="HAZ214" s="1"/>
      <c r="HBA214" s="1"/>
      <c r="HBB214" s="1"/>
      <c r="HBC214" s="1"/>
      <c r="HBD214" s="1"/>
      <c r="HBE214" s="1"/>
      <c r="HBF214" s="1"/>
      <c r="HBG214" s="1"/>
      <c r="HBH214" s="1"/>
      <c r="HBI214" s="1"/>
      <c r="HBJ214" s="1"/>
      <c r="HBK214" s="1"/>
      <c r="HBL214" s="1"/>
      <c r="HBM214" s="1"/>
      <c r="HBN214" s="1"/>
      <c r="HBO214" s="1"/>
      <c r="HBP214" s="1"/>
      <c r="HBQ214" s="1"/>
      <c r="HBR214" s="1"/>
      <c r="HBS214" s="1"/>
      <c r="HBT214" s="1"/>
      <c r="HBU214" s="1"/>
      <c r="HBV214" s="1"/>
      <c r="HBW214" s="1"/>
      <c r="HBX214" s="1"/>
      <c r="HBY214" s="1"/>
      <c r="HBZ214" s="1"/>
      <c r="HCA214" s="1"/>
      <c r="HCB214" s="1"/>
      <c r="HCC214" s="1"/>
      <c r="HCD214" s="1"/>
      <c r="HCE214" s="1"/>
      <c r="HCF214" s="1"/>
      <c r="HCG214" s="1"/>
      <c r="HCH214" s="1"/>
      <c r="HCI214" s="1"/>
      <c r="HCJ214" s="1"/>
      <c r="HCK214" s="1"/>
      <c r="HCL214" s="1"/>
      <c r="HCM214" s="1"/>
      <c r="HCN214" s="1"/>
      <c r="HCO214" s="1"/>
      <c r="HCP214" s="1"/>
      <c r="HCQ214" s="1"/>
      <c r="HCR214" s="1"/>
      <c r="HCS214" s="1"/>
      <c r="HCT214" s="1"/>
      <c r="HCU214" s="1"/>
      <c r="HCV214" s="1"/>
      <c r="HCW214" s="1"/>
      <c r="HCX214" s="1"/>
      <c r="HCY214" s="1"/>
      <c r="HCZ214" s="1"/>
      <c r="HDA214" s="1"/>
      <c r="HDB214" s="1"/>
      <c r="HDC214" s="1"/>
      <c r="HDD214" s="1"/>
      <c r="HDE214" s="1"/>
      <c r="HDF214" s="1"/>
      <c r="HDG214" s="1"/>
      <c r="HDH214" s="1"/>
      <c r="HDI214" s="1"/>
      <c r="HDJ214" s="1"/>
      <c r="HDK214" s="1"/>
      <c r="HDL214" s="1"/>
      <c r="HDM214" s="1"/>
      <c r="HDN214" s="1"/>
      <c r="HDO214" s="1"/>
      <c r="HDP214" s="1"/>
      <c r="HDQ214" s="1"/>
      <c r="HDR214" s="1"/>
      <c r="HDS214" s="1"/>
      <c r="HDT214" s="1"/>
      <c r="HDU214" s="1"/>
      <c r="HDV214" s="1"/>
      <c r="HDW214" s="1"/>
      <c r="HDX214" s="1"/>
      <c r="HDY214" s="1"/>
      <c r="HDZ214" s="1"/>
      <c r="HEA214" s="1"/>
      <c r="HEB214" s="1"/>
      <c r="HEC214" s="1"/>
      <c r="HED214" s="1"/>
      <c r="HEE214" s="1"/>
      <c r="HEF214" s="1"/>
      <c r="HEG214" s="1"/>
      <c r="HEH214" s="1"/>
      <c r="HEI214" s="1"/>
      <c r="HEJ214" s="1"/>
      <c r="HEK214" s="1"/>
      <c r="HEL214" s="1"/>
      <c r="HEM214" s="1"/>
      <c r="HEN214" s="1"/>
      <c r="HEO214" s="1"/>
      <c r="HEP214" s="1"/>
      <c r="HEQ214" s="1"/>
      <c r="HER214" s="1"/>
      <c r="HES214" s="1"/>
      <c r="HET214" s="1"/>
      <c r="HEU214" s="1"/>
      <c r="HEV214" s="1"/>
      <c r="HEW214" s="1"/>
      <c r="HEX214" s="1"/>
      <c r="HEY214" s="1"/>
      <c r="HEZ214" s="1"/>
      <c r="HFA214" s="1"/>
      <c r="HFB214" s="1"/>
      <c r="HFC214" s="1"/>
      <c r="HFD214" s="1"/>
      <c r="HFE214" s="1"/>
      <c r="HFF214" s="1"/>
      <c r="HFG214" s="1"/>
      <c r="HFH214" s="1"/>
      <c r="HFI214" s="1"/>
      <c r="HFJ214" s="1"/>
      <c r="HFK214" s="1"/>
      <c r="HFL214" s="1"/>
      <c r="HFM214" s="1"/>
      <c r="HFN214" s="1"/>
      <c r="HFO214" s="1"/>
      <c r="HFP214" s="1"/>
      <c r="HFQ214" s="1"/>
      <c r="HFR214" s="1"/>
      <c r="HFS214" s="1"/>
      <c r="HFT214" s="1"/>
      <c r="HFU214" s="1"/>
      <c r="HFV214" s="1"/>
      <c r="HFW214" s="1"/>
      <c r="HFX214" s="1"/>
      <c r="HFY214" s="1"/>
      <c r="HFZ214" s="1"/>
      <c r="HGA214" s="1"/>
      <c r="HGB214" s="1"/>
      <c r="HGC214" s="1"/>
      <c r="HGD214" s="1"/>
      <c r="HGE214" s="1"/>
      <c r="HGF214" s="1"/>
      <c r="HGG214" s="1"/>
      <c r="HGH214" s="1"/>
      <c r="HGI214" s="1"/>
      <c r="HGJ214" s="1"/>
      <c r="HGK214" s="1"/>
      <c r="HGL214" s="1"/>
      <c r="HGM214" s="1"/>
      <c r="HGN214" s="1"/>
      <c r="HGO214" s="1"/>
      <c r="HGP214" s="1"/>
      <c r="HGQ214" s="1"/>
      <c r="HGR214" s="1"/>
      <c r="HGS214" s="1"/>
      <c r="HGT214" s="1"/>
      <c r="HGU214" s="1"/>
      <c r="HGV214" s="1"/>
      <c r="HGW214" s="1"/>
      <c r="HGX214" s="1"/>
      <c r="HGY214" s="1"/>
      <c r="HGZ214" s="1"/>
      <c r="HHA214" s="1"/>
      <c r="HHB214" s="1"/>
      <c r="HHC214" s="1"/>
      <c r="HHD214" s="1"/>
      <c r="HHE214" s="1"/>
      <c r="HHF214" s="1"/>
      <c r="HHG214" s="1"/>
      <c r="HHH214" s="1"/>
      <c r="HHI214" s="1"/>
      <c r="HHJ214" s="1"/>
      <c r="HHK214" s="1"/>
      <c r="HHL214" s="1"/>
      <c r="HHM214" s="1"/>
      <c r="HHN214" s="1"/>
      <c r="HHO214" s="1"/>
      <c r="HHP214" s="1"/>
      <c r="HHQ214" s="1"/>
      <c r="HHR214" s="1"/>
      <c r="HHS214" s="1"/>
      <c r="HHT214" s="1"/>
      <c r="HHU214" s="1"/>
      <c r="HHV214" s="1"/>
      <c r="HHW214" s="1"/>
      <c r="HHX214" s="1"/>
      <c r="HHY214" s="1"/>
      <c r="HHZ214" s="1"/>
      <c r="HIA214" s="1"/>
      <c r="HIB214" s="1"/>
      <c r="HIC214" s="1"/>
      <c r="HID214" s="1"/>
      <c r="HIE214" s="1"/>
      <c r="HIF214" s="1"/>
      <c r="HIG214" s="1"/>
      <c r="HIH214" s="1"/>
      <c r="HII214" s="1"/>
      <c r="HIJ214" s="1"/>
      <c r="HIK214" s="1"/>
      <c r="HIL214" s="1"/>
      <c r="HIM214" s="1"/>
      <c r="HIN214" s="1"/>
      <c r="HIO214" s="1"/>
      <c r="HIP214" s="1"/>
      <c r="HIQ214" s="1"/>
      <c r="HIR214" s="1"/>
      <c r="HIS214" s="1"/>
      <c r="HIT214" s="1"/>
      <c r="HIU214" s="1"/>
      <c r="HIV214" s="1"/>
      <c r="HIW214" s="1"/>
      <c r="HIX214" s="1"/>
      <c r="HIY214" s="1"/>
      <c r="HIZ214" s="1"/>
      <c r="HJA214" s="1"/>
      <c r="HJB214" s="1"/>
      <c r="HJC214" s="1"/>
      <c r="HJD214" s="1"/>
      <c r="HJE214" s="1"/>
      <c r="HJF214" s="1"/>
      <c r="HJG214" s="1"/>
      <c r="HJH214" s="1"/>
      <c r="HJI214" s="1"/>
      <c r="HJJ214" s="1"/>
      <c r="HJK214" s="1"/>
      <c r="HJL214" s="1"/>
      <c r="HJM214" s="1"/>
      <c r="HJN214" s="1"/>
      <c r="HJO214" s="1"/>
      <c r="HJP214" s="1"/>
      <c r="HJQ214" s="1"/>
      <c r="HJR214" s="1"/>
      <c r="HJS214" s="1"/>
      <c r="HJT214" s="1"/>
      <c r="HJU214" s="1"/>
      <c r="HJV214" s="1"/>
      <c r="HJW214" s="1"/>
      <c r="HJX214" s="1"/>
      <c r="HJY214" s="1"/>
      <c r="HJZ214" s="1"/>
      <c r="HKA214" s="1"/>
      <c r="HKB214" s="1"/>
      <c r="HKC214" s="1"/>
      <c r="HKD214" s="1"/>
      <c r="HKE214" s="1"/>
      <c r="HKF214" s="1"/>
      <c r="HKG214" s="1"/>
      <c r="HKH214" s="1"/>
      <c r="HKI214" s="1"/>
      <c r="HKJ214" s="1"/>
      <c r="HKK214" s="1"/>
      <c r="HKL214" s="1"/>
      <c r="HKM214" s="1"/>
      <c r="HKN214" s="1"/>
      <c r="HKO214" s="1"/>
      <c r="HKP214" s="1"/>
      <c r="HKQ214" s="1"/>
      <c r="HKR214" s="1"/>
      <c r="HKS214" s="1"/>
      <c r="HKT214" s="1"/>
      <c r="HKU214" s="1"/>
      <c r="HKV214" s="1"/>
      <c r="HKW214" s="1"/>
      <c r="HKX214" s="1"/>
      <c r="HKY214" s="1"/>
      <c r="HKZ214" s="1"/>
      <c r="HLA214" s="1"/>
      <c r="HLB214" s="1"/>
      <c r="HLC214" s="1"/>
      <c r="HLD214" s="1"/>
      <c r="HLE214" s="1"/>
      <c r="HLF214" s="1"/>
      <c r="HLG214" s="1"/>
      <c r="HLH214" s="1"/>
      <c r="HLI214" s="1"/>
      <c r="HLJ214" s="1"/>
      <c r="HLK214" s="1"/>
      <c r="HLL214" s="1"/>
      <c r="HLM214" s="1"/>
      <c r="HLN214" s="1"/>
      <c r="HLO214" s="1"/>
      <c r="HLP214" s="1"/>
      <c r="HLQ214" s="1"/>
      <c r="HLR214" s="1"/>
      <c r="HLS214" s="1"/>
      <c r="HLT214" s="1"/>
      <c r="HLU214" s="1"/>
      <c r="HLV214" s="1"/>
      <c r="HLW214" s="1"/>
      <c r="HLX214" s="1"/>
      <c r="HLY214" s="1"/>
      <c r="HLZ214" s="1"/>
      <c r="HMA214" s="1"/>
      <c r="HMB214" s="1"/>
      <c r="HMC214" s="1"/>
      <c r="HMD214" s="1"/>
      <c r="HME214" s="1"/>
      <c r="HMF214" s="1"/>
      <c r="HMG214" s="1"/>
      <c r="HMH214" s="1"/>
      <c r="HMI214" s="1"/>
      <c r="HMJ214" s="1"/>
      <c r="HMK214" s="1"/>
      <c r="HML214" s="1"/>
      <c r="HMM214" s="1"/>
      <c r="HMN214" s="1"/>
      <c r="HMO214" s="1"/>
      <c r="HMP214" s="1"/>
      <c r="HMQ214" s="1"/>
      <c r="HMR214" s="1"/>
      <c r="HMS214" s="1"/>
      <c r="HMT214" s="1"/>
      <c r="HMU214" s="1"/>
      <c r="HMV214" s="1"/>
      <c r="HMW214" s="1"/>
      <c r="HMX214" s="1"/>
      <c r="HMY214" s="1"/>
      <c r="HMZ214" s="1"/>
      <c r="HNA214" s="1"/>
      <c r="HNB214" s="1"/>
      <c r="HNC214" s="1"/>
      <c r="HND214" s="1"/>
      <c r="HNE214" s="1"/>
      <c r="HNF214" s="1"/>
      <c r="HNG214" s="1"/>
      <c r="HNH214" s="1"/>
      <c r="HNI214" s="1"/>
      <c r="HNJ214" s="1"/>
      <c r="HNK214" s="1"/>
      <c r="HNL214" s="1"/>
      <c r="HNM214" s="1"/>
      <c r="HNN214" s="1"/>
      <c r="HNO214" s="1"/>
      <c r="HNP214" s="1"/>
      <c r="HNQ214" s="1"/>
      <c r="HNR214" s="1"/>
      <c r="HNS214" s="1"/>
      <c r="HNT214" s="1"/>
      <c r="HNU214" s="1"/>
      <c r="HNV214" s="1"/>
      <c r="HNW214" s="1"/>
      <c r="HNX214" s="1"/>
      <c r="HNY214" s="1"/>
      <c r="HNZ214" s="1"/>
      <c r="HOA214" s="1"/>
      <c r="HOB214" s="1"/>
      <c r="HOC214" s="1"/>
      <c r="HOD214" s="1"/>
      <c r="HOE214" s="1"/>
      <c r="HOF214" s="1"/>
      <c r="HOG214" s="1"/>
      <c r="HOH214" s="1"/>
      <c r="HOI214" s="1"/>
      <c r="HOJ214" s="1"/>
      <c r="HOK214" s="1"/>
      <c r="HOL214" s="1"/>
      <c r="HOM214" s="1"/>
      <c r="HON214" s="1"/>
      <c r="HOO214" s="1"/>
      <c r="HOP214" s="1"/>
      <c r="HOQ214" s="1"/>
      <c r="HOR214" s="1"/>
      <c r="HOS214" s="1"/>
      <c r="HOT214" s="1"/>
      <c r="HOU214" s="1"/>
      <c r="HOV214" s="1"/>
      <c r="HOW214" s="1"/>
      <c r="HOX214" s="1"/>
      <c r="HOY214" s="1"/>
      <c r="HOZ214" s="1"/>
      <c r="HPA214" s="1"/>
      <c r="HPB214" s="1"/>
      <c r="HPC214" s="1"/>
      <c r="HPD214" s="1"/>
      <c r="HPE214" s="1"/>
      <c r="HPF214" s="1"/>
      <c r="HPG214" s="1"/>
      <c r="HPH214" s="1"/>
      <c r="HPI214" s="1"/>
      <c r="HPJ214" s="1"/>
      <c r="HPK214" s="1"/>
      <c r="HPL214" s="1"/>
      <c r="HPM214" s="1"/>
      <c r="HPN214" s="1"/>
      <c r="HPO214" s="1"/>
      <c r="HPP214" s="1"/>
      <c r="HPQ214" s="1"/>
      <c r="HPR214" s="1"/>
      <c r="HPS214" s="1"/>
      <c r="HPT214" s="1"/>
      <c r="HPU214" s="1"/>
      <c r="HPV214" s="1"/>
      <c r="HPW214" s="1"/>
      <c r="HPX214" s="1"/>
      <c r="HPY214" s="1"/>
      <c r="HPZ214" s="1"/>
      <c r="HQA214" s="1"/>
      <c r="HQB214" s="1"/>
      <c r="HQC214" s="1"/>
      <c r="HQD214" s="1"/>
      <c r="HQE214" s="1"/>
      <c r="HQF214" s="1"/>
      <c r="HQG214" s="1"/>
      <c r="HQH214" s="1"/>
      <c r="HQI214" s="1"/>
      <c r="HQJ214" s="1"/>
      <c r="HQK214" s="1"/>
      <c r="HQL214" s="1"/>
      <c r="HQM214" s="1"/>
      <c r="HQN214" s="1"/>
      <c r="HQO214" s="1"/>
      <c r="HQP214" s="1"/>
      <c r="HQQ214" s="1"/>
      <c r="HQR214" s="1"/>
      <c r="HQS214" s="1"/>
      <c r="HQT214" s="1"/>
      <c r="HQU214" s="1"/>
      <c r="HQV214" s="1"/>
      <c r="HQW214" s="1"/>
      <c r="HQX214" s="1"/>
      <c r="HQY214" s="1"/>
      <c r="HQZ214" s="1"/>
      <c r="HRA214" s="1"/>
      <c r="HRB214" s="1"/>
      <c r="HRC214" s="1"/>
      <c r="HRD214" s="1"/>
      <c r="HRE214" s="1"/>
      <c r="HRF214" s="1"/>
      <c r="HRG214" s="1"/>
      <c r="HRH214" s="1"/>
      <c r="HRI214" s="1"/>
      <c r="HRJ214" s="1"/>
      <c r="HRK214" s="1"/>
      <c r="HRL214" s="1"/>
      <c r="HRM214" s="1"/>
      <c r="HRN214" s="1"/>
      <c r="HRO214" s="1"/>
      <c r="HRP214" s="1"/>
      <c r="HRQ214" s="1"/>
      <c r="HRR214" s="1"/>
      <c r="HRS214" s="1"/>
      <c r="HRT214" s="1"/>
      <c r="HRU214" s="1"/>
      <c r="HRV214" s="1"/>
      <c r="HRW214" s="1"/>
      <c r="HRX214" s="1"/>
      <c r="HRY214" s="1"/>
      <c r="HRZ214" s="1"/>
      <c r="HSA214" s="1"/>
      <c r="HSB214" s="1"/>
      <c r="HSC214" s="1"/>
      <c r="HSD214" s="1"/>
      <c r="HSE214" s="1"/>
      <c r="HSF214" s="1"/>
      <c r="HSG214" s="1"/>
      <c r="HSH214" s="1"/>
      <c r="HSI214" s="1"/>
      <c r="HSJ214" s="1"/>
      <c r="HSK214" s="1"/>
      <c r="HSL214" s="1"/>
      <c r="HSM214" s="1"/>
      <c r="HSN214" s="1"/>
      <c r="HSO214" s="1"/>
      <c r="HSP214" s="1"/>
      <c r="HSQ214" s="1"/>
      <c r="HSR214" s="1"/>
      <c r="HSS214" s="1"/>
      <c r="HST214" s="1"/>
      <c r="HSU214" s="1"/>
      <c r="HSV214" s="1"/>
      <c r="HSW214" s="1"/>
      <c r="HSX214" s="1"/>
      <c r="HSY214" s="1"/>
      <c r="HSZ214" s="1"/>
      <c r="HTA214" s="1"/>
      <c r="HTB214" s="1"/>
      <c r="HTC214" s="1"/>
      <c r="HTD214" s="1"/>
      <c r="HTE214" s="1"/>
      <c r="HTF214" s="1"/>
      <c r="HTG214" s="1"/>
      <c r="HTH214" s="1"/>
      <c r="HTI214" s="1"/>
      <c r="HTJ214" s="1"/>
      <c r="HTK214" s="1"/>
      <c r="HTL214" s="1"/>
      <c r="HTM214" s="1"/>
      <c r="HTN214" s="1"/>
      <c r="HTO214" s="1"/>
      <c r="HTP214" s="1"/>
      <c r="HTQ214" s="1"/>
      <c r="HTR214" s="1"/>
      <c r="HTS214" s="1"/>
      <c r="HTT214" s="1"/>
      <c r="HTU214" s="1"/>
      <c r="HTV214" s="1"/>
      <c r="HTW214" s="1"/>
      <c r="HTX214" s="1"/>
      <c r="HTY214" s="1"/>
      <c r="HTZ214" s="1"/>
      <c r="HUA214" s="1"/>
      <c r="HUB214" s="1"/>
      <c r="HUC214" s="1"/>
      <c r="HUD214" s="1"/>
      <c r="HUE214" s="1"/>
      <c r="HUF214" s="1"/>
      <c r="HUG214" s="1"/>
      <c r="HUH214" s="1"/>
      <c r="HUI214" s="1"/>
      <c r="HUJ214" s="1"/>
      <c r="HUK214" s="1"/>
      <c r="HUL214" s="1"/>
      <c r="HUM214" s="1"/>
      <c r="HUN214" s="1"/>
      <c r="HUO214" s="1"/>
      <c r="HUP214" s="1"/>
      <c r="HUQ214" s="1"/>
      <c r="HUR214" s="1"/>
      <c r="HUS214" s="1"/>
      <c r="HUT214" s="1"/>
      <c r="HUU214" s="1"/>
      <c r="HUV214" s="1"/>
      <c r="HUW214" s="1"/>
      <c r="HUX214" s="1"/>
      <c r="HUY214" s="1"/>
      <c r="HUZ214" s="1"/>
      <c r="HVA214" s="1"/>
      <c r="HVB214" s="1"/>
      <c r="HVC214" s="1"/>
      <c r="HVD214" s="1"/>
      <c r="HVE214" s="1"/>
      <c r="HVF214" s="1"/>
      <c r="HVG214" s="1"/>
      <c r="HVH214" s="1"/>
      <c r="HVI214" s="1"/>
      <c r="HVJ214" s="1"/>
      <c r="HVK214" s="1"/>
      <c r="HVL214" s="1"/>
      <c r="HVM214" s="1"/>
      <c r="HVN214" s="1"/>
      <c r="HVO214" s="1"/>
      <c r="HVP214" s="1"/>
      <c r="HVQ214" s="1"/>
      <c r="HVR214" s="1"/>
      <c r="HVS214" s="1"/>
      <c r="HVT214" s="1"/>
      <c r="HVU214" s="1"/>
      <c r="HVV214" s="1"/>
      <c r="HVW214" s="1"/>
      <c r="HVX214" s="1"/>
      <c r="HVY214" s="1"/>
      <c r="HVZ214" s="1"/>
      <c r="HWA214" s="1"/>
      <c r="HWB214" s="1"/>
      <c r="HWC214" s="1"/>
      <c r="HWD214" s="1"/>
      <c r="HWE214" s="1"/>
      <c r="HWF214" s="1"/>
      <c r="HWG214" s="1"/>
      <c r="HWH214" s="1"/>
      <c r="HWI214" s="1"/>
      <c r="HWJ214" s="1"/>
      <c r="HWK214" s="1"/>
      <c r="HWL214" s="1"/>
      <c r="HWM214" s="1"/>
      <c r="HWN214" s="1"/>
      <c r="HWO214" s="1"/>
      <c r="HWP214" s="1"/>
      <c r="HWQ214" s="1"/>
      <c r="HWR214" s="1"/>
      <c r="HWS214" s="1"/>
      <c r="HWT214" s="1"/>
      <c r="HWU214" s="1"/>
      <c r="HWV214" s="1"/>
      <c r="HWW214" s="1"/>
      <c r="HWX214" s="1"/>
      <c r="HWY214" s="1"/>
      <c r="HWZ214" s="1"/>
      <c r="HXA214" s="1"/>
      <c r="HXB214" s="1"/>
      <c r="HXC214" s="1"/>
      <c r="HXD214" s="1"/>
      <c r="HXE214" s="1"/>
      <c r="HXF214" s="1"/>
      <c r="HXG214" s="1"/>
      <c r="HXH214" s="1"/>
      <c r="HXI214" s="1"/>
      <c r="HXJ214" s="1"/>
      <c r="HXK214" s="1"/>
      <c r="HXL214" s="1"/>
      <c r="HXM214" s="1"/>
      <c r="HXN214" s="1"/>
      <c r="HXO214" s="1"/>
      <c r="HXP214" s="1"/>
      <c r="HXQ214" s="1"/>
      <c r="HXR214" s="1"/>
      <c r="HXS214" s="1"/>
      <c r="HXT214" s="1"/>
      <c r="HXU214" s="1"/>
      <c r="HXV214" s="1"/>
      <c r="HXW214" s="1"/>
      <c r="HXX214" s="1"/>
      <c r="HXY214" s="1"/>
      <c r="HXZ214" s="1"/>
      <c r="HYA214" s="1"/>
      <c r="HYB214" s="1"/>
      <c r="HYC214" s="1"/>
      <c r="HYD214" s="1"/>
      <c r="HYE214" s="1"/>
      <c r="HYF214" s="1"/>
      <c r="HYG214" s="1"/>
      <c r="HYH214" s="1"/>
      <c r="HYI214" s="1"/>
      <c r="HYJ214" s="1"/>
      <c r="HYK214" s="1"/>
      <c r="HYL214" s="1"/>
      <c r="HYM214" s="1"/>
      <c r="HYN214" s="1"/>
      <c r="HYO214" s="1"/>
      <c r="HYP214" s="1"/>
      <c r="HYQ214" s="1"/>
      <c r="HYR214" s="1"/>
      <c r="HYS214" s="1"/>
      <c r="HYT214" s="1"/>
      <c r="HYU214" s="1"/>
      <c r="HYV214" s="1"/>
      <c r="HYW214" s="1"/>
      <c r="HYX214" s="1"/>
      <c r="HYY214" s="1"/>
      <c r="HYZ214" s="1"/>
      <c r="HZA214" s="1"/>
      <c r="HZB214" s="1"/>
      <c r="HZC214" s="1"/>
      <c r="HZD214" s="1"/>
      <c r="HZE214" s="1"/>
      <c r="HZF214" s="1"/>
      <c r="HZG214" s="1"/>
      <c r="HZH214" s="1"/>
      <c r="HZI214" s="1"/>
      <c r="HZJ214" s="1"/>
      <c r="HZK214" s="1"/>
      <c r="HZL214" s="1"/>
      <c r="HZM214" s="1"/>
      <c r="HZN214" s="1"/>
      <c r="HZO214" s="1"/>
      <c r="HZP214" s="1"/>
      <c r="HZQ214" s="1"/>
      <c r="HZR214" s="1"/>
      <c r="HZS214" s="1"/>
      <c r="HZT214" s="1"/>
      <c r="HZU214" s="1"/>
      <c r="HZV214" s="1"/>
      <c r="HZW214" s="1"/>
      <c r="HZX214" s="1"/>
      <c r="HZY214" s="1"/>
      <c r="HZZ214" s="1"/>
      <c r="IAA214" s="1"/>
      <c r="IAB214" s="1"/>
      <c r="IAC214" s="1"/>
      <c r="IAD214" s="1"/>
      <c r="IAE214" s="1"/>
      <c r="IAF214" s="1"/>
      <c r="IAG214" s="1"/>
      <c r="IAH214" s="1"/>
      <c r="IAI214" s="1"/>
      <c r="IAJ214" s="1"/>
      <c r="IAK214" s="1"/>
      <c r="IAL214" s="1"/>
      <c r="IAM214" s="1"/>
      <c r="IAN214" s="1"/>
      <c r="IAO214" s="1"/>
      <c r="IAP214" s="1"/>
      <c r="IAQ214" s="1"/>
      <c r="IAR214" s="1"/>
      <c r="IAS214" s="1"/>
      <c r="IAT214" s="1"/>
      <c r="IAU214" s="1"/>
      <c r="IAV214" s="1"/>
      <c r="IAW214" s="1"/>
      <c r="IAX214" s="1"/>
      <c r="IAY214" s="1"/>
      <c r="IAZ214" s="1"/>
      <c r="IBA214" s="1"/>
      <c r="IBB214" s="1"/>
      <c r="IBC214" s="1"/>
      <c r="IBD214" s="1"/>
      <c r="IBE214" s="1"/>
      <c r="IBF214" s="1"/>
      <c r="IBG214" s="1"/>
      <c r="IBH214" s="1"/>
      <c r="IBI214" s="1"/>
      <c r="IBJ214" s="1"/>
      <c r="IBK214" s="1"/>
      <c r="IBL214" s="1"/>
      <c r="IBM214" s="1"/>
      <c r="IBN214" s="1"/>
      <c r="IBO214" s="1"/>
      <c r="IBP214" s="1"/>
      <c r="IBQ214" s="1"/>
      <c r="IBR214" s="1"/>
      <c r="IBS214" s="1"/>
      <c r="IBT214" s="1"/>
      <c r="IBU214" s="1"/>
      <c r="IBV214" s="1"/>
      <c r="IBW214" s="1"/>
      <c r="IBX214" s="1"/>
      <c r="IBY214" s="1"/>
      <c r="IBZ214" s="1"/>
      <c r="ICA214" s="1"/>
      <c r="ICB214" s="1"/>
      <c r="ICC214" s="1"/>
      <c r="ICD214" s="1"/>
      <c r="ICE214" s="1"/>
      <c r="ICF214" s="1"/>
      <c r="ICG214" s="1"/>
      <c r="ICH214" s="1"/>
      <c r="ICI214" s="1"/>
      <c r="ICJ214" s="1"/>
      <c r="ICK214" s="1"/>
      <c r="ICL214" s="1"/>
      <c r="ICM214" s="1"/>
      <c r="ICN214" s="1"/>
      <c r="ICO214" s="1"/>
      <c r="ICP214" s="1"/>
      <c r="ICQ214" s="1"/>
      <c r="ICR214" s="1"/>
      <c r="ICS214" s="1"/>
      <c r="ICT214" s="1"/>
      <c r="ICU214" s="1"/>
      <c r="ICV214" s="1"/>
      <c r="ICW214" s="1"/>
      <c r="ICX214" s="1"/>
      <c r="ICY214" s="1"/>
      <c r="ICZ214" s="1"/>
      <c r="IDA214" s="1"/>
      <c r="IDB214" s="1"/>
      <c r="IDC214" s="1"/>
      <c r="IDD214" s="1"/>
      <c r="IDE214" s="1"/>
      <c r="IDF214" s="1"/>
      <c r="IDG214" s="1"/>
      <c r="IDH214" s="1"/>
      <c r="IDI214" s="1"/>
      <c r="IDJ214" s="1"/>
      <c r="IDK214" s="1"/>
      <c r="IDL214" s="1"/>
      <c r="IDM214" s="1"/>
      <c r="IDN214" s="1"/>
      <c r="IDO214" s="1"/>
      <c r="IDP214" s="1"/>
      <c r="IDQ214" s="1"/>
      <c r="IDR214" s="1"/>
      <c r="IDS214" s="1"/>
      <c r="IDT214" s="1"/>
      <c r="IDU214" s="1"/>
      <c r="IDV214" s="1"/>
      <c r="IDW214" s="1"/>
      <c r="IDX214" s="1"/>
      <c r="IDY214" s="1"/>
      <c r="IDZ214" s="1"/>
      <c r="IEA214" s="1"/>
      <c r="IEB214" s="1"/>
      <c r="IEC214" s="1"/>
      <c r="IED214" s="1"/>
      <c r="IEE214" s="1"/>
      <c r="IEF214" s="1"/>
      <c r="IEG214" s="1"/>
      <c r="IEH214" s="1"/>
      <c r="IEI214" s="1"/>
      <c r="IEJ214" s="1"/>
      <c r="IEK214" s="1"/>
      <c r="IEL214" s="1"/>
      <c r="IEM214" s="1"/>
      <c r="IEN214" s="1"/>
      <c r="IEO214" s="1"/>
      <c r="IEP214" s="1"/>
      <c r="IEQ214" s="1"/>
      <c r="IER214" s="1"/>
      <c r="IES214" s="1"/>
      <c r="IET214" s="1"/>
      <c r="IEU214" s="1"/>
      <c r="IEV214" s="1"/>
      <c r="IEW214" s="1"/>
      <c r="IEX214" s="1"/>
      <c r="IEY214" s="1"/>
      <c r="IEZ214" s="1"/>
      <c r="IFA214" s="1"/>
      <c r="IFB214" s="1"/>
      <c r="IFC214" s="1"/>
      <c r="IFD214" s="1"/>
      <c r="IFE214" s="1"/>
      <c r="IFF214" s="1"/>
      <c r="IFG214" s="1"/>
      <c r="IFH214" s="1"/>
      <c r="IFI214" s="1"/>
      <c r="IFJ214" s="1"/>
      <c r="IFK214" s="1"/>
      <c r="IFL214" s="1"/>
      <c r="IFM214" s="1"/>
      <c r="IFN214" s="1"/>
      <c r="IFO214" s="1"/>
      <c r="IFP214" s="1"/>
      <c r="IFQ214" s="1"/>
      <c r="IFR214" s="1"/>
      <c r="IFS214" s="1"/>
      <c r="IFT214" s="1"/>
      <c r="IFU214" s="1"/>
      <c r="IFV214" s="1"/>
      <c r="IFW214" s="1"/>
      <c r="IFX214" s="1"/>
      <c r="IFY214" s="1"/>
      <c r="IFZ214" s="1"/>
      <c r="IGA214" s="1"/>
      <c r="IGB214" s="1"/>
      <c r="IGC214" s="1"/>
      <c r="IGD214" s="1"/>
      <c r="IGE214" s="1"/>
      <c r="IGF214" s="1"/>
      <c r="IGG214" s="1"/>
      <c r="IGH214" s="1"/>
      <c r="IGI214" s="1"/>
      <c r="IGJ214" s="1"/>
      <c r="IGK214" s="1"/>
      <c r="IGL214" s="1"/>
      <c r="IGM214" s="1"/>
      <c r="IGN214" s="1"/>
      <c r="IGO214" s="1"/>
      <c r="IGP214" s="1"/>
      <c r="IGQ214" s="1"/>
      <c r="IGR214" s="1"/>
      <c r="IGS214" s="1"/>
      <c r="IGT214" s="1"/>
      <c r="IGU214" s="1"/>
      <c r="IGV214" s="1"/>
      <c r="IGW214" s="1"/>
      <c r="IGX214" s="1"/>
      <c r="IGY214" s="1"/>
      <c r="IGZ214" s="1"/>
      <c r="IHA214" s="1"/>
      <c r="IHB214" s="1"/>
      <c r="IHC214" s="1"/>
      <c r="IHD214" s="1"/>
      <c r="IHE214" s="1"/>
      <c r="IHF214" s="1"/>
      <c r="IHG214" s="1"/>
      <c r="IHH214" s="1"/>
      <c r="IHI214" s="1"/>
      <c r="IHJ214" s="1"/>
      <c r="IHK214" s="1"/>
      <c r="IHL214" s="1"/>
      <c r="IHM214" s="1"/>
      <c r="IHN214" s="1"/>
      <c r="IHO214" s="1"/>
      <c r="IHP214" s="1"/>
      <c r="IHQ214" s="1"/>
      <c r="IHR214" s="1"/>
      <c r="IHS214" s="1"/>
      <c r="IHT214" s="1"/>
      <c r="IHU214" s="1"/>
      <c r="IHV214" s="1"/>
      <c r="IHW214" s="1"/>
      <c r="IHX214" s="1"/>
      <c r="IHY214" s="1"/>
      <c r="IHZ214" s="1"/>
      <c r="IIA214" s="1"/>
      <c r="IIB214" s="1"/>
      <c r="IIC214" s="1"/>
      <c r="IID214" s="1"/>
      <c r="IIE214" s="1"/>
      <c r="IIF214" s="1"/>
      <c r="IIG214" s="1"/>
      <c r="IIH214" s="1"/>
      <c r="III214" s="1"/>
      <c r="IIJ214" s="1"/>
      <c r="IIK214" s="1"/>
      <c r="IIL214" s="1"/>
      <c r="IIM214" s="1"/>
      <c r="IIN214" s="1"/>
      <c r="IIO214" s="1"/>
      <c r="IIP214" s="1"/>
      <c r="IIQ214" s="1"/>
      <c r="IIR214" s="1"/>
      <c r="IIS214" s="1"/>
      <c r="IIT214" s="1"/>
      <c r="IIU214" s="1"/>
      <c r="IIV214" s="1"/>
      <c r="IIW214" s="1"/>
      <c r="IIX214" s="1"/>
      <c r="IIY214" s="1"/>
      <c r="IIZ214" s="1"/>
      <c r="IJA214" s="1"/>
      <c r="IJB214" s="1"/>
      <c r="IJC214" s="1"/>
      <c r="IJD214" s="1"/>
      <c r="IJE214" s="1"/>
      <c r="IJF214" s="1"/>
      <c r="IJG214" s="1"/>
      <c r="IJH214" s="1"/>
      <c r="IJI214" s="1"/>
      <c r="IJJ214" s="1"/>
      <c r="IJK214" s="1"/>
      <c r="IJL214" s="1"/>
      <c r="IJM214" s="1"/>
      <c r="IJN214" s="1"/>
      <c r="IJO214" s="1"/>
      <c r="IJP214" s="1"/>
      <c r="IJQ214" s="1"/>
      <c r="IJR214" s="1"/>
      <c r="IJS214" s="1"/>
      <c r="IJT214" s="1"/>
      <c r="IJU214" s="1"/>
      <c r="IJV214" s="1"/>
      <c r="IJW214" s="1"/>
      <c r="IJX214" s="1"/>
      <c r="IJY214" s="1"/>
      <c r="IJZ214" s="1"/>
      <c r="IKA214" s="1"/>
      <c r="IKB214" s="1"/>
      <c r="IKC214" s="1"/>
      <c r="IKD214" s="1"/>
      <c r="IKE214" s="1"/>
      <c r="IKF214" s="1"/>
      <c r="IKG214" s="1"/>
      <c r="IKH214" s="1"/>
      <c r="IKI214" s="1"/>
      <c r="IKJ214" s="1"/>
      <c r="IKK214" s="1"/>
      <c r="IKL214" s="1"/>
      <c r="IKM214" s="1"/>
      <c r="IKN214" s="1"/>
      <c r="IKO214" s="1"/>
      <c r="IKP214" s="1"/>
      <c r="IKQ214" s="1"/>
      <c r="IKR214" s="1"/>
      <c r="IKS214" s="1"/>
      <c r="IKT214" s="1"/>
      <c r="IKU214" s="1"/>
      <c r="IKV214" s="1"/>
      <c r="IKW214" s="1"/>
      <c r="IKX214" s="1"/>
      <c r="IKY214" s="1"/>
      <c r="IKZ214" s="1"/>
      <c r="ILA214" s="1"/>
      <c r="ILB214" s="1"/>
      <c r="ILC214" s="1"/>
      <c r="ILD214" s="1"/>
      <c r="ILE214" s="1"/>
      <c r="ILF214" s="1"/>
      <c r="ILG214" s="1"/>
      <c r="ILH214" s="1"/>
      <c r="ILI214" s="1"/>
      <c r="ILJ214" s="1"/>
      <c r="ILK214" s="1"/>
      <c r="ILL214" s="1"/>
      <c r="ILM214" s="1"/>
      <c r="ILN214" s="1"/>
      <c r="ILO214" s="1"/>
      <c r="ILP214" s="1"/>
      <c r="ILQ214" s="1"/>
      <c r="ILR214" s="1"/>
      <c r="ILS214" s="1"/>
      <c r="ILT214" s="1"/>
      <c r="ILU214" s="1"/>
      <c r="ILV214" s="1"/>
      <c r="ILW214" s="1"/>
      <c r="ILX214" s="1"/>
      <c r="ILY214" s="1"/>
      <c r="ILZ214" s="1"/>
      <c r="IMA214" s="1"/>
      <c r="IMB214" s="1"/>
      <c r="IMC214" s="1"/>
      <c r="IMD214" s="1"/>
      <c r="IME214" s="1"/>
      <c r="IMF214" s="1"/>
      <c r="IMG214" s="1"/>
      <c r="IMH214" s="1"/>
      <c r="IMI214" s="1"/>
      <c r="IMJ214" s="1"/>
      <c r="IMK214" s="1"/>
      <c r="IML214" s="1"/>
      <c r="IMM214" s="1"/>
      <c r="IMN214" s="1"/>
      <c r="IMO214" s="1"/>
      <c r="IMP214" s="1"/>
      <c r="IMQ214" s="1"/>
      <c r="IMR214" s="1"/>
      <c r="IMS214" s="1"/>
      <c r="IMT214" s="1"/>
      <c r="IMU214" s="1"/>
      <c r="IMV214" s="1"/>
      <c r="IMW214" s="1"/>
      <c r="IMX214" s="1"/>
      <c r="IMY214" s="1"/>
      <c r="IMZ214" s="1"/>
      <c r="INA214" s="1"/>
      <c r="INB214" s="1"/>
      <c r="INC214" s="1"/>
      <c r="IND214" s="1"/>
      <c r="INE214" s="1"/>
      <c r="INF214" s="1"/>
      <c r="ING214" s="1"/>
      <c r="INH214" s="1"/>
      <c r="INI214" s="1"/>
      <c r="INJ214" s="1"/>
      <c r="INK214" s="1"/>
      <c r="INL214" s="1"/>
      <c r="INM214" s="1"/>
      <c r="INN214" s="1"/>
      <c r="INO214" s="1"/>
      <c r="INP214" s="1"/>
      <c r="INQ214" s="1"/>
      <c r="INR214" s="1"/>
      <c r="INS214" s="1"/>
      <c r="INT214" s="1"/>
      <c r="INU214" s="1"/>
      <c r="INV214" s="1"/>
      <c r="INW214" s="1"/>
      <c r="INX214" s="1"/>
      <c r="INY214" s="1"/>
      <c r="INZ214" s="1"/>
      <c r="IOA214" s="1"/>
      <c r="IOB214" s="1"/>
      <c r="IOC214" s="1"/>
      <c r="IOD214" s="1"/>
      <c r="IOE214" s="1"/>
      <c r="IOF214" s="1"/>
      <c r="IOG214" s="1"/>
      <c r="IOH214" s="1"/>
      <c r="IOI214" s="1"/>
      <c r="IOJ214" s="1"/>
      <c r="IOK214" s="1"/>
      <c r="IOL214" s="1"/>
      <c r="IOM214" s="1"/>
      <c r="ION214" s="1"/>
      <c r="IOO214" s="1"/>
      <c r="IOP214" s="1"/>
      <c r="IOQ214" s="1"/>
      <c r="IOR214" s="1"/>
      <c r="IOS214" s="1"/>
      <c r="IOT214" s="1"/>
      <c r="IOU214" s="1"/>
      <c r="IOV214" s="1"/>
      <c r="IOW214" s="1"/>
      <c r="IOX214" s="1"/>
      <c r="IOY214" s="1"/>
      <c r="IOZ214" s="1"/>
      <c r="IPA214" s="1"/>
      <c r="IPB214" s="1"/>
      <c r="IPC214" s="1"/>
      <c r="IPD214" s="1"/>
      <c r="IPE214" s="1"/>
      <c r="IPF214" s="1"/>
      <c r="IPG214" s="1"/>
      <c r="IPH214" s="1"/>
      <c r="IPI214" s="1"/>
      <c r="IPJ214" s="1"/>
      <c r="IPK214" s="1"/>
      <c r="IPL214" s="1"/>
      <c r="IPM214" s="1"/>
      <c r="IPN214" s="1"/>
      <c r="IPO214" s="1"/>
      <c r="IPP214" s="1"/>
      <c r="IPQ214" s="1"/>
      <c r="IPR214" s="1"/>
      <c r="IPS214" s="1"/>
      <c r="IPT214" s="1"/>
      <c r="IPU214" s="1"/>
      <c r="IPV214" s="1"/>
      <c r="IPW214" s="1"/>
      <c r="IPX214" s="1"/>
      <c r="IPY214" s="1"/>
      <c r="IPZ214" s="1"/>
      <c r="IQA214" s="1"/>
      <c r="IQB214" s="1"/>
      <c r="IQC214" s="1"/>
      <c r="IQD214" s="1"/>
      <c r="IQE214" s="1"/>
      <c r="IQF214" s="1"/>
      <c r="IQG214" s="1"/>
      <c r="IQH214" s="1"/>
      <c r="IQI214" s="1"/>
      <c r="IQJ214" s="1"/>
      <c r="IQK214" s="1"/>
      <c r="IQL214" s="1"/>
      <c r="IQM214" s="1"/>
      <c r="IQN214" s="1"/>
      <c r="IQO214" s="1"/>
      <c r="IQP214" s="1"/>
      <c r="IQQ214" s="1"/>
      <c r="IQR214" s="1"/>
      <c r="IQS214" s="1"/>
      <c r="IQT214" s="1"/>
      <c r="IQU214" s="1"/>
      <c r="IQV214" s="1"/>
      <c r="IQW214" s="1"/>
      <c r="IQX214" s="1"/>
      <c r="IQY214" s="1"/>
      <c r="IQZ214" s="1"/>
      <c r="IRA214" s="1"/>
      <c r="IRB214" s="1"/>
      <c r="IRC214" s="1"/>
      <c r="IRD214" s="1"/>
      <c r="IRE214" s="1"/>
      <c r="IRF214" s="1"/>
      <c r="IRG214" s="1"/>
      <c r="IRH214" s="1"/>
      <c r="IRI214" s="1"/>
      <c r="IRJ214" s="1"/>
      <c r="IRK214" s="1"/>
      <c r="IRL214" s="1"/>
      <c r="IRM214" s="1"/>
      <c r="IRN214" s="1"/>
      <c r="IRO214" s="1"/>
      <c r="IRP214" s="1"/>
      <c r="IRQ214" s="1"/>
      <c r="IRR214" s="1"/>
      <c r="IRS214" s="1"/>
      <c r="IRT214" s="1"/>
      <c r="IRU214" s="1"/>
      <c r="IRV214" s="1"/>
      <c r="IRW214" s="1"/>
      <c r="IRX214" s="1"/>
      <c r="IRY214" s="1"/>
      <c r="IRZ214" s="1"/>
      <c r="ISA214" s="1"/>
      <c r="ISB214" s="1"/>
      <c r="ISC214" s="1"/>
      <c r="ISD214" s="1"/>
      <c r="ISE214" s="1"/>
      <c r="ISF214" s="1"/>
      <c r="ISG214" s="1"/>
      <c r="ISH214" s="1"/>
      <c r="ISI214" s="1"/>
      <c r="ISJ214" s="1"/>
      <c r="ISK214" s="1"/>
      <c r="ISL214" s="1"/>
      <c r="ISM214" s="1"/>
      <c r="ISN214" s="1"/>
      <c r="ISO214" s="1"/>
      <c r="ISP214" s="1"/>
      <c r="ISQ214" s="1"/>
      <c r="ISR214" s="1"/>
      <c r="ISS214" s="1"/>
      <c r="IST214" s="1"/>
      <c r="ISU214" s="1"/>
      <c r="ISV214" s="1"/>
      <c r="ISW214" s="1"/>
      <c r="ISX214" s="1"/>
      <c r="ISY214" s="1"/>
      <c r="ISZ214" s="1"/>
      <c r="ITA214" s="1"/>
      <c r="ITB214" s="1"/>
      <c r="ITC214" s="1"/>
      <c r="ITD214" s="1"/>
      <c r="ITE214" s="1"/>
      <c r="ITF214" s="1"/>
      <c r="ITG214" s="1"/>
      <c r="ITH214" s="1"/>
      <c r="ITI214" s="1"/>
      <c r="ITJ214" s="1"/>
      <c r="ITK214" s="1"/>
      <c r="ITL214" s="1"/>
      <c r="ITM214" s="1"/>
      <c r="ITN214" s="1"/>
      <c r="ITO214" s="1"/>
      <c r="ITP214" s="1"/>
      <c r="ITQ214" s="1"/>
      <c r="ITR214" s="1"/>
      <c r="ITS214" s="1"/>
      <c r="ITT214" s="1"/>
      <c r="ITU214" s="1"/>
      <c r="ITV214" s="1"/>
      <c r="ITW214" s="1"/>
      <c r="ITX214" s="1"/>
      <c r="ITY214" s="1"/>
      <c r="ITZ214" s="1"/>
      <c r="IUA214" s="1"/>
      <c r="IUB214" s="1"/>
      <c r="IUC214" s="1"/>
      <c r="IUD214" s="1"/>
      <c r="IUE214" s="1"/>
      <c r="IUF214" s="1"/>
      <c r="IUG214" s="1"/>
      <c r="IUH214" s="1"/>
      <c r="IUI214" s="1"/>
      <c r="IUJ214" s="1"/>
      <c r="IUK214" s="1"/>
      <c r="IUL214" s="1"/>
      <c r="IUM214" s="1"/>
      <c r="IUN214" s="1"/>
      <c r="IUO214" s="1"/>
      <c r="IUP214" s="1"/>
      <c r="IUQ214" s="1"/>
      <c r="IUR214" s="1"/>
      <c r="IUS214" s="1"/>
      <c r="IUT214" s="1"/>
      <c r="IUU214" s="1"/>
      <c r="IUV214" s="1"/>
      <c r="IUW214" s="1"/>
      <c r="IUX214" s="1"/>
      <c r="IUY214" s="1"/>
      <c r="IUZ214" s="1"/>
      <c r="IVA214" s="1"/>
      <c r="IVB214" s="1"/>
      <c r="IVC214" s="1"/>
      <c r="IVD214" s="1"/>
      <c r="IVE214" s="1"/>
      <c r="IVF214" s="1"/>
      <c r="IVG214" s="1"/>
      <c r="IVH214" s="1"/>
      <c r="IVI214" s="1"/>
      <c r="IVJ214" s="1"/>
      <c r="IVK214" s="1"/>
      <c r="IVL214" s="1"/>
      <c r="IVM214" s="1"/>
      <c r="IVN214" s="1"/>
      <c r="IVO214" s="1"/>
      <c r="IVP214" s="1"/>
      <c r="IVQ214" s="1"/>
      <c r="IVR214" s="1"/>
      <c r="IVS214" s="1"/>
      <c r="IVT214" s="1"/>
      <c r="IVU214" s="1"/>
      <c r="IVV214" s="1"/>
      <c r="IVW214" s="1"/>
      <c r="IVX214" s="1"/>
      <c r="IVY214" s="1"/>
      <c r="IVZ214" s="1"/>
      <c r="IWA214" s="1"/>
      <c r="IWB214" s="1"/>
      <c r="IWC214" s="1"/>
      <c r="IWD214" s="1"/>
      <c r="IWE214" s="1"/>
      <c r="IWF214" s="1"/>
      <c r="IWG214" s="1"/>
      <c r="IWH214" s="1"/>
      <c r="IWI214" s="1"/>
      <c r="IWJ214" s="1"/>
      <c r="IWK214" s="1"/>
      <c r="IWL214" s="1"/>
      <c r="IWM214" s="1"/>
      <c r="IWN214" s="1"/>
      <c r="IWO214" s="1"/>
      <c r="IWP214" s="1"/>
      <c r="IWQ214" s="1"/>
      <c r="IWR214" s="1"/>
      <c r="IWS214" s="1"/>
      <c r="IWT214" s="1"/>
      <c r="IWU214" s="1"/>
      <c r="IWV214" s="1"/>
      <c r="IWW214" s="1"/>
      <c r="IWX214" s="1"/>
      <c r="IWY214" s="1"/>
      <c r="IWZ214" s="1"/>
      <c r="IXA214" s="1"/>
      <c r="IXB214" s="1"/>
      <c r="IXC214" s="1"/>
      <c r="IXD214" s="1"/>
      <c r="IXE214" s="1"/>
      <c r="IXF214" s="1"/>
      <c r="IXG214" s="1"/>
      <c r="IXH214" s="1"/>
      <c r="IXI214" s="1"/>
      <c r="IXJ214" s="1"/>
      <c r="IXK214" s="1"/>
      <c r="IXL214" s="1"/>
      <c r="IXM214" s="1"/>
      <c r="IXN214" s="1"/>
      <c r="IXO214" s="1"/>
      <c r="IXP214" s="1"/>
      <c r="IXQ214" s="1"/>
      <c r="IXR214" s="1"/>
      <c r="IXS214" s="1"/>
      <c r="IXT214" s="1"/>
      <c r="IXU214" s="1"/>
      <c r="IXV214" s="1"/>
      <c r="IXW214" s="1"/>
      <c r="IXX214" s="1"/>
      <c r="IXY214" s="1"/>
      <c r="IXZ214" s="1"/>
      <c r="IYA214" s="1"/>
      <c r="IYB214" s="1"/>
      <c r="IYC214" s="1"/>
      <c r="IYD214" s="1"/>
      <c r="IYE214" s="1"/>
      <c r="IYF214" s="1"/>
      <c r="IYG214" s="1"/>
      <c r="IYH214" s="1"/>
      <c r="IYI214" s="1"/>
      <c r="IYJ214" s="1"/>
      <c r="IYK214" s="1"/>
      <c r="IYL214" s="1"/>
      <c r="IYM214" s="1"/>
      <c r="IYN214" s="1"/>
      <c r="IYO214" s="1"/>
      <c r="IYP214" s="1"/>
      <c r="IYQ214" s="1"/>
      <c r="IYR214" s="1"/>
      <c r="IYS214" s="1"/>
      <c r="IYT214" s="1"/>
      <c r="IYU214" s="1"/>
      <c r="IYV214" s="1"/>
      <c r="IYW214" s="1"/>
      <c r="IYX214" s="1"/>
      <c r="IYY214" s="1"/>
      <c r="IYZ214" s="1"/>
      <c r="IZA214" s="1"/>
      <c r="IZB214" s="1"/>
      <c r="IZC214" s="1"/>
      <c r="IZD214" s="1"/>
      <c r="IZE214" s="1"/>
      <c r="IZF214" s="1"/>
      <c r="IZG214" s="1"/>
      <c r="IZH214" s="1"/>
      <c r="IZI214" s="1"/>
      <c r="IZJ214" s="1"/>
      <c r="IZK214" s="1"/>
      <c r="IZL214" s="1"/>
      <c r="IZM214" s="1"/>
      <c r="IZN214" s="1"/>
      <c r="IZO214" s="1"/>
      <c r="IZP214" s="1"/>
      <c r="IZQ214" s="1"/>
      <c r="IZR214" s="1"/>
      <c r="IZS214" s="1"/>
      <c r="IZT214" s="1"/>
      <c r="IZU214" s="1"/>
      <c r="IZV214" s="1"/>
      <c r="IZW214" s="1"/>
      <c r="IZX214" s="1"/>
      <c r="IZY214" s="1"/>
      <c r="IZZ214" s="1"/>
      <c r="JAA214" s="1"/>
      <c r="JAB214" s="1"/>
      <c r="JAC214" s="1"/>
      <c r="JAD214" s="1"/>
      <c r="JAE214" s="1"/>
      <c r="JAF214" s="1"/>
      <c r="JAG214" s="1"/>
      <c r="JAH214" s="1"/>
      <c r="JAI214" s="1"/>
      <c r="JAJ214" s="1"/>
      <c r="JAK214" s="1"/>
      <c r="JAL214" s="1"/>
      <c r="JAM214" s="1"/>
      <c r="JAN214" s="1"/>
      <c r="JAO214" s="1"/>
      <c r="JAP214" s="1"/>
      <c r="JAQ214" s="1"/>
      <c r="JAR214" s="1"/>
      <c r="JAS214" s="1"/>
      <c r="JAT214" s="1"/>
      <c r="JAU214" s="1"/>
      <c r="JAV214" s="1"/>
      <c r="JAW214" s="1"/>
      <c r="JAX214" s="1"/>
      <c r="JAY214" s="1"/>
      <c r="JAZ214" s="1"/>
      <c r="JBA214" s="1"/>
      <c r="JBB214" s="1"/>
      <c r="JBC214" s="1"/>
      <c r="JBD214" s="1"/>
      <c r="JBE214" s="1"/>
      <c r="JBF214" s="1"/>
      <c r="JBG214" s="1"/>
      <c r="JBH214" s="1"/>
      <c r="JBI214" s="1"/>
      <c r="JBJ214" s="1"/>
      <c r="JBK214" s="1"/>
      <c r="JBL214" s="1"/>
      <c r="JBM214" s="1"/>
      <c r="JBN214" s="1"/>
      <c r="JBO214" s="1"/>
      <c r="JBP214" s="1"/>
      <c r="JBQ214" s="1"/>
      <c r="JBR214" s="1"/>
      <c r="JBS214" s="1"/>
      <c r="JBT214" s="1"/>
      <c r="JBU214" s="1"/>
      <c r="JBV214" s="1"/>
      <c r="JBW214" s="1"/>
      <c r="JBX214" s="1"/>
      <c r="JBY214" s="1"/>
      <c r="JBZ214" s="1"/>
      <c r="JCA214" s="1"/>
      <c r="JCB214" s="1"/>
      <c r="JCC214" s="1"/>
      <c r="JCD214" s="1"/>
      <c r="JCE214" s="1"/>
      <c r="JCF214" s="1"/>
      <c r="JCG214" s="1"/>
      <c r="JCH214" s="1"/>
      <c r="JCI214" s="1"/>
      <c r="JCJ214" s="1"/>
      <c r="JCK214" s="1"/>
      <c r="JCL214" s="1"/>
      <c r="JCM214" s="1"/>
      <c r="JCN214" s="1"/>
      <c r="JCO214" s="1"/>
      <c r="JCP214" s="1"/>
      <c r="JCQ214" s="1"/>
      <c r="JCR214" s="1"/>
      <c r="JCS214" s="1"/>
      <c r="JCT214" s="1"/>
      <c r="JCU214" s="1"/>
      <c r="JCV214" s="1"/>
      <c r="JCW214" s="1"/>
      <c r="JCX214" s="1"/>
      <c r="JCY214" s="1"/>
      <c r="JCZ214" s="1"/>
      <c r="JDA214" s="1"/>
      <c r="JDB214" s="1"/>
      <c r="JDC214" s="1"/>
      <c r="JDD214" s="1"/>
      <c r="JDE214" s="1"/>
      <c r="JDF214" s="1"/>
      <c r="JDG214" s="1"/>
      <c r="JDH214" s="1"/>
      <c r="JDI214" s="1"/>
      <c r="JDJ214" s="1"/>
      <c r="JDK214" s="1"/>
      <c r="JDL214" s="1"/>
      <c r="JDM214" s="1"/>
      <c r="JDN214" s="1"/>
      <c r="JDO214" s="1"/>
      <c r="JDP214" s="1"/>
      <c r="JDQ214" s="1"/>
      <c r="JDR214" s="1"/>
      <c r="JDS214" s="1"/>
      <c r="JDT214" s="1"/>
      <c r="JDU214" s="1"/>
      <c r="JDV214" s="1"/>
      <c r="JDW214" s="1"/>
      <c r="JDX214" s="1"/>
      <c r="JDY214" s="1"/>
      <c r="JDZ214" s="1"/>
      <c r="JEA214" s="1"/>
      <c r="JEB214" s="1"/>
      <c r="JEC214" s="1"/>
      <c r="JED214" s="1"/>
      <c r="JEE214" s="1"/>
      <c r="JEF214" s="1"/>
      <c r="JEG214" s="1"/>
      <c r="JEH214" s="1"/>
      <c r="JEI214" s="1"/>
      <c r="JEJ214" s="1"/>
      <c r="JEK214" s="1"/>
      <c r="JEL214" s="1"/>
      <c r="JEM214" s="1"/>
      <c r="JEN214" s="1"/>
      <c r="JEO214" s="1"/>
      <c r="JEP214" s="1"/>
      <c r="JEQ214" s="1"/>
      <c r="JER214" s="1"/>
      <c r="JES214" s="1"/>
      <c r="JET214" s="1"/>
      <c r="JEU214" s="1"/>
      <c r="JEV214" s="1"/>
      <c r="JEW214" s="1"/>
      <c r="JEX214" s="1"/>
      <c r="JEY214" s="1"/>
      <c r="JEZ214" s="1"/>
      <c r="JFA214" s="1"/>
      <c r="JFB214" s="1"/>
      <c r="JFC214" s="1"/>
      <c r="JFD214" s="1"/>
      <c r="JFE214" s="1"/>
      <c r="JFF214" s="1"/>
      <c r="JFG214" s="1"/>
      <c r="JFH214" s="1"/>
      <c r="JFI214" s="1"/>
      <c r="JFJ214" s="1"/>
      <c r="JFK214" s="1"/>
      <c r="JFL214" s="1"/>
      <c r="JFM214" s="1"/>
      <c r="JFN214" s="1"/>
      <c r="JFO214" s="1"/>
      <c r="JFP214" s="1"/>
      <c r="JFQ214" s="1"/>
      <c r="JFR214" s="1"/>
      <c r="JFS214" s="1"/>
      <c r="JFT214" s="1"/>
      <c r="JFU214" s="1"/>
      <c r="JFV214" s="1"/>
      <c r="JFW214" s="1"/>
      <c r="JFX214" s="1"/>
      <c r="JFY214" s="1"/>
      <c r="JFZ214" s="1"/>
      <c r="JGA214" s="1"/>
      <c r="JGB214" s="1"/>
      <c r="JGC214" s="1"/>
      <c r="JGD214" s="1"/>
      <c r="JGE214" s="1"/>
      <c r="JGF214" s="1"/>
      <c r="JGG214" s="1"/>
      <c r="JGH214" s="1"/>
      <c r="JGI214" s="1"/>
      <c r="JGJ214" s="1"/>
      <c r="JGK214" s="1"/>
      <c r="JGL214" s="1"/>
      <c r="JGM214" s="1"/>
      <c r="JGN214" s="1"/>
      <c r="JGO214" s="1"/>
      <c r="JGP214" s="1"/>
      <c r="JGQ214" s="1"/>
      <c r="JGR214" s="1"/>
      <c r="JGS214" s="1"/>
      <c r="JGT214" s="1"/>
      <c r="JGU214" s="1"/>
      <c r="JGV214" s="1"/>
      <c r="JGW214" s="1"/>
      <c r="JGX214" s="1"/>
      <c r="JGY214" s="1"/>
      <c r="JGZ214" s="1"/>
      <c r="JHA214" s="1"/>
      <c r="JHB214" s="1"/>
      <c r="JHC214" s="1"/>
      <c r="JHD214" s="1"/>
      <c r="JHE214" s="1"/>
      <c r="JHF214" s="1"/>
      <c r="JHG214" s="1"/>
      <c r="JHH214" s="1"/>
      <c r="JHI214" s="1"/>
      <c r="JHJ214" s="1"/>
      <c r="JHK214" s="1"/>
      <c r="JHL214" s="1"/>
      <c r="JHM214" s="1"/>
      <c r="JHN214" s="1"/>
      <c r="JHO214" s="1"/>
      <c r="JHP214" s="1"/>
      <c r="JHQ214" s="1"/>
      <c r="JHR214" s="1"/>
      <c r="JHS214" s="1"/>
      <c r="JHT214" s="1"/>
      <c r="JHU214" s="1"/>
      <c r="JHV214" s="1"/>
      <c r="JHW214" s="1"/>
      <c r="JHX214" s="1"/>
      <c r="JHY214" s="1"/>
      <c r="JHZ214" s="1"/>
      <c r="JIA214" s="1"/>
      <c r="JIB214" s="1"/>
      <c r="JIC214" s="1"/>
      <c r="JID214" s="1"/>
      <c r="JIE214" s="1"/>
      <c r="JIF214" s="1"/>
      <c r="JIG214" s="1"/>
      <c r="JIH214" s="1"/>
      <c r="JII214" s="1"/>
      <c r="JIJ214" s="1"/>
      <c r="JIK214" s="1"/>
      <c r="JIL214" s="1"/>
      <c r="JIM214" s="1"/>
      <c r="JIN214" s="1"/>
      <c r="JIO214" s="1"/>
      <c r="JIP214" s="1"/>
      <c r="JIQ214" s="1"/>
      <c r="JIR214" s="1"/>
      <c r="JIS214" s="1"/>
      <c r="JIT214" s="1"/>
      <c r="JIU214" s="1"/>
      <c r="JIV214" s="1"/>
      <c r="JIW214" s="1"/>
      <c r="JIX214" s="1"/>
      <c r="JIY214" s="1"/>
      <c r="JIZ214" s="1"/>
      <c r="JJA214" s="1"/>
      <c r="JJB214" s="1"/>
      <c r="JJC214" s="1"/>
      <c r="JJD214" s="1"/>
      <c r="JJE214" s="1"/>
      <c r="JJF214" s="1"/>
      <c r="JJG214" s="1"/>
      <c r="JJH214" s="1"/>
      <c r="JJI214" s="1"/>
      <c r="JJJ214" s="1"/>
      <c r="JJK214" s="1"/>
      <c r="JJL214" s="1"/>
      <c r="JJM214" s="1"/>
      <c r="JJN214" s="1"/>
      <c r="JJO214" s="1"/>
      <c r="JJP214" s="1"/>
      <c r="JJQ214" s="1"/>
      <c r="JJR214" s="1"/>
      <c r="JJS214" s="1"/>
      <c r="JJT214" s="1"/>
      <c r="JJU214" s="1"/>
      <c r="JJV214" s="1"/>
      <c r="JJW214" s="1"/>
      <c r="JJX214" s="1"/>
      <c r="JJY214" s="1"/>
      <c r="JJZ214" s="1"/>
      <c r="JKA214" s="1"/>
      <c r="JKB214" s="1"/>
      <c r="JKC214" s="1"/>
      <c r="JKD214" s="1"/>
      <c r="JKE214" s="1"/>
      <c r="JKF214" s="1"/>
      <c r="JKG214" s="1"/>
      <c r="JKH214" s="1"/>
      <c r="JKI214" s="1"/>
      <c r="JKJ214" s="1"/>
      <c r="JKK214" s="1"/>
      <c r="JKL214" s="1"/>
      <c r="JKM214" s="1"/>
      <c r="JKN214" s="1"/>
      <c r="JKO214" s="1"/>
      <c r="JKP214" s="1"/>
      <c r="JKQ214" s="1"/>
      <c r="JKR214" s="1"/>
      <c r="JKS214" s="1"/>
      <c r="JKT214" s="1"/>
      <c r="JKU214" s="1"/>
      <c r="JKV214" s="1"/>
      <c r="JKW214" s="1"/>
      <c r="JKX214" s="1"/>
      <c r="JKY214" s="1"/>
      <c r="JKZ214" s="1"/>
      <c r="JLA214" s="1"/>
      <c r="JLB214" s="1"/>
      <c r="JLC214" s="1"/>
      <c r="JLD214" s="1"/>
      <c r="JLE214" s="1"/>
      <c r="JLF214" s="1"/>
      <c r="JLG214" s="1"/>
      <c r="JLH214" s="1"/>
      <c r="JLI214" s="1"/>
      <c r="JLJ214" s="1"/>
      <c r="JLK214" s="1"/>
      <c r="JLL214" s="1"/>
      <c r="JLM214" s="1"/>
      <c r="JLN214" s="1"/>
      <c r="JLO214" s="1"/>
      <c r="JLP214" s="1"/>
      <c r="JLQ214" s="1"/>
      <c r="JLR214" s="1"/>
      <c r="JLS214" s="1"/>
      <c r="JLT214" s="1"/>
      <c r="JLU214" s="1"/>
      <c r="JLV214" s="1"/>
      <c r="JLW214" s="1"/>
      <c r="JLX214" s="1"/>
      <c r="JLY214" s="1"/>
      <c r="JLZ214" s="1"/>
      <c r="JMA214" s="1"/>
      <c r="JMB214" s="1"/>
      <c r="JMC214" s="1"/>
      <c r="JMD214" s="1"/>
      <c r="JME214" s="1"/>
      <c r="JMF214" s="1"/>
      <c r="JMG214" s="1"/>
      <c r="JMH214" s="1"/>
      <c r="JMI214" s="1"/>
      <c r="JMJ214" s="1"/>
      <c r="JMK214" s="1"/>
      <c r="JML214" s="1"/>
      <c r="JMM214" s="1"/>
      <c r="JMN214" s="1"/>
      <c r="JMO214" s="1"/>
      <c r="JMP214" s="1"/>
      <c r="JMQ214" s="1"/>
      <c r="JMR214" s="1"/>
      <c r="JMS214" s="1"/>
      <c r="JMT214" s="1"/>
      <c r="JMU214" s="1"/>
      <c r="JMV214" s="1"/>
      <c r="JMW214" s="1"/>
      <c r="JMX214" s="1"/>
      <c r="JMY214" s="1"/>
      <c r="JMZ214" s="1"/>
      <c r="JNA214" s="1"/>
      <c r="JNB214" s="1"/>
      <c r="JNC214" s="1"/>
      <c r="JND214" s="1"/>
      <c r="JNE214" s="1"/>
      <c r="JNF214" s="1"/>
      <c r="JNG214" s="1"/>
      <c r="JNH214" s="1"/>
      <c r="JNI214" s="1"/>
      <c r="JNJ214" s="1"/>
      <c r="JNK214" s="1"/>
      <c r="JNL214" s="1"/>
      <c r="JNM214" s="1"/>
      <c r="JNN214" s="1"/>
      <c r="JNO214" s="1"/>
      <c r="JNP214" s="1"/>
      <c r="JNQ214" s="1"/>
      <c r="JNR214" s="1"/>
      <c r="JNS214" s="1"/>
      <c r="JNT214" s="1"/>
      <c r="JNU214" s="1"/>
      <c r="JNV214" s="1"/>
      <c r="JNW214" s="1"/>
      <c r="JNX214" s="1"/>
      <c r="JNY214" s="1"/>
      <c r="JNZ214" s="1"/>
      <c r="JOA214" s="1"/>
      <c r="JOB214" s="1"/>
      <c r="JOC214" s="1"/>
      <c r="JOD214" s="1"/>
      <c r="JOE214" s="1"/>
      <c r="JOF214" s="1"/>
      <c r="JOG214" s="1"/>
      <c r="JOH214" s="1"/>
      <c r="JOI214" s="1"/>
      <c r="JOJ214" s="1"/>
      <c r="JOK214" s="1"/>
      <c r="JOL214" s="1"/>
      <c r="JOM214" s="1"/>
      <c r="JON214" s="1"/>
      <c r="JOO214" s="1"/>
      <c r="JOP214" s="1"/>
      <c r="JOQ214" s="1"/>
      <c r="JOR214" s="1"/>
      <c r="JOS214" s="1"/>
      <c r="JOT214" s="1"/>
      <c r="JOU214" s="1"/>
      <c r="JOV214" s="1"/>
      <c r="JOW214" s="1"/>
      <c r="JOX214" s="1"/>
      <c r="JOY214" s="1"/>
      <c r="JOZ214" s="1"/>
      <c r="JPA214" s="1"/>
      <c r="JPB214" s="1"/>
      <c r="JPC214" s="1"/>
      <c r="JPD214" s="1"/>
      <c r="JPE214" s="1"/>
      <c r="JPF214" s="1"/>
      <c r="JPG214" s="1"/>
      <c r="JPH214" s="1"/>
      <c r="JPI214" s="1"/>
      <c r="JPJ214" s="1"/>
      <c r="JPK214" s="1"/>
      <c r="JPL214" s="1"/>
      <c r="JPM214" s="1"/>
      <c r="JPN214" s="1"/>
      <c r="JPO214" s="1"/>
      <c r="JPP214" s="1"/>
      <c r="JPQ214" s="1"/>
      <c r="JPR214" s="1"/>
      <c r="JPS214" s="1"/>
      <c r="JPT214" s="1"/>
      <c r="JPU214" s="1"/>
      <c r="JPV214" s="1"/>
      <c r="JPW214" s="1"/>
      <c r="JPX214" s="1"/>
      <c r="JPY214" s="1"/>
      <c r="JPZ214" s="1"/>
      <c r="JQA214" s="1"/>
      <c r="JQB214" s="1"/>
      <c r="JQC214" s="1"/>
      <c r="JQD214" s="1"/>
      <c r="JQE214" s="1"/>
      <c r="JQF214" s="1"/>
      <c r="JQG214" s="1"/>
      <c r="JQH214" s="1"/>
      <c r="JQI214" s="1"/>
      <c r="JQJ214" s="1"/>
      <c r="JQK214" s="1"/>
      <c r="JQL214" s="1"/>
      <c r="JQM214" s="1"/>
      <c r="JQN214" s="1"/>
      <c r="JQO214" s="1"/>
      <c r="JQP214" s="1"/>
      <c r="JQQ214" s="1"/>
      <c r="JQR214" s="1"/>
      <c r="JQS214" s="1"/>
      <c r="JQT214" s="1"/>
      <c r="JQU214" s="1"/>
      <c r="JQV214" s="1"/>
      <c r="JQW214" s="1"/>
      <c r="JQX214" s="1"/>
      <c r="JQY214" s="1"/>
      <c r="JQZ214" s="1"/>
      <c r="JRA214" s="1"/>
      <c r="JRB214" s="1"/>
      <c r="JRC214" s="1"/>
      <c r="JRD214" s="1"/>
      <c r="JRE214" s="1"/>
      <c r="JRF214" s="1"/>
      <c r="JRG214" s="1"/>
      <c r="JRH214" s="1"/>
      <c r="JRI214" s="1"/>
      <c r="JRJ214" s="1"/>
      <c r="JRK214" s="1"/>
      <c r="JRL214" s="1"/>
      <c r="JRM214" s="1"/>
      <c r="JRN214" s="1"/>
      <c r="JRO214" s="1"/>
      <c r="JRP214" s="1"/>
      <c r="JRQ214" s="1"/>
      <c r="JRR214" s="1"/>
      <c r="JRS214" s="1"/>
      <c r="JRT214" s="1"/>
      <c r="JRU214" s="1"/>
      <c r="JRV214" s="1"/>
      <c r="JRW214" s="1"/>
      <c r="JRX214" s="1"/>
      <c r="JRY214" s="1"/>
      <c r="JRZ214" s="1"/>
      <c r="JSA214" s="1"/>
      <c r="JSB214" s="1"/>
      <c r="JSC214" s="1"/>
      <c r="JSD214" s="1"/>
      <c r="JSE214" s="1"/>
      <c r="JSF214" s="1"/>
      <c r="JSG214" s="1"/>
      <c r="JSH214" s="1"/>
      <c r="JSI214" s="1"/>
      <c r="JSJ214" s="1"/>
      <c r="JSK214" s="1"/>
      <c r="JSL214" s="1"/>
      <c r="JSM214" s="1"/>
      <c r="JSN214" s="1"/>
      <c r="JSO214" s="1"/>
      <c r="JSP214" s="1"/>
      <c r="JSQ214" s="1"/>
      <c r="JSR214" s="1"/>
      <c r="JSS214" s="1"/>
      <c r="JST214" s="1"/>
      <c r="JSU214" s="1"/>
      <c r="JSV214" s="1"/>
      <c r="JSW214" s="1"/>
      <c r="JSX214" s="1"/>
      <c r="JSY214" s="1"/>
      <c r="JSZ214" s="1"/>
      <c r="JTA214" s="1"/>
      <c r="JTB214" s="1"/>
      <c r="JTC214" s="1"/>
      <c r="JTD214" s="1"/>
      <c r="JTE214" s="1"/>
      <c r="JTF214" s="1"/>
      <c r="JTG214" s="1"/>
      <c r="JTH214" s="1"/>
      <c r="JTI214" s="1"/>
      <c r="JTJ214" s="1"/>
      <c r="JTK214" s="1"/>
      <c r="JTL214" s="1"/>
      <c r="JTM214" s="1"/>
      <c r="JTN214" s="1"/>
      <c r="JTO214" s="1"/>
      <c r="JTP214" s="1"/>
      <c r="JTQ214" s="1"/>
      <c r="JTR214" s="1"/>
      <c r="JTS214" s="1"/>
      <c r="JTT214" s="1"/>
      <c r="JTU214" s="1"/>
      <c r="JTV214" s="1"/>
      <c r="JTW214" s="1"/>
      <c r="JTX214" s="1"/>
      <c r="JTY214" s="1"/>
      <c r="JTZ214" s="1"/>
      <c r="JUA214" s="1"/>
      <c r="JUB214" s="1"/>
      <c r="JUC214" s="1"/>
      <c r="JUD214" s="1"/>
      <c r="JUE214" s="1"/>
      <c r="JUF214" s="1"/>
      <c r="JUG214" s="1"/>
      <c r="JUH214" s="1"/>
      <c r="JUI214" s="1"/>
      <c r="JUJ214" s="1"/>
      <c r="JUK214" s="1"/>
      <c r="JUL214" s="1"/>
      <c r="JUM214" s="1"/>
      <c r="JUN214" s="1"/>
      <c r="JUO214" s="1"/>
      <c r="JUP214" s="1"/>
      <c r="JUQ214" s="1"/>
      <c r="JUR214" s="1"/>
      <c r="JUS214" s="1"/>
      <c r="JUT214" s="1"/>
      <c r="JUU214" s="1"/>
      <c r="JUV214" s="1"/>
      <c r="JUW214" s="1"/>
      <c r="JUX214" s="1"/>
      <c r="JUY214" s="1"/>
      <c r="JUZ214" s="1"/>
      <c r="JVA214" s="1"/>
      <c r="JVB214" s="1"/>
      <c r="JVC214" s="1"/>
      <c r="JVD214" s="1"/>
      <c r="JVE214" s="1"/>
      <c r="JVF214" s="1"/>
      <c r="JVG214" s="1"/>
      <c r="JVH214" s="1"/>
      <c r="JVI214" s="1"/>
      <c r="JVJ214" s="1"/>
      <c r="JVK214" s="1"/>
      <c r="JVL214" s="1"/>
      <c r="JVM214" s="1"/>
      <c r="JVN214" s="1"/>
      <c r="JVO214" s="1"/>
      <c r="JVP214" s="1"/>
      <c r="JVQ214" s="1"/>
      <c r="JVR214" s="1"/>
      <c r="JVS214" s="1"/>
      <c r="JVT214" s="1"/>
      <c r="JVU214" s="1"/>
      <c r="JVV214" s="1"/>
      <c r="JVW214" s="1"/>
      <c r="JVX214" s="1"/>
      <c r="JVY214" s="1"/>
      <c r="JVZ214" s="1"/>
      <c r="JWA214" s="1"/>
      <c r="JWB214" s="1"/>
      <c r="JWC214" s="1"/>
      <c r="JWD214" s="1"/>
      <c r="JWE214" s="1"/>
      <c r="JWF214" s="1"/>
      <c r="JWG214" s="1"/>
      <c r="JWH214" s="1"/>
      <c r="JWI214" s="1"/>
      <c r="JWJ214" s="1"/>
      <c r="JWK214" s="1"/>
      <c r="JWL214" s="1"/>
      <c r="JWM214" s="1"/>
      <c r="JWN214" s="1"/>
      <c r="JWO214" s="1"/>
      <c r="JWP214" s="1"/>
      <c r="JWQ214" s="1"/>
      <c r="JWR214" s="1"/>
      <c r="JWS214" s="1"/>
      <c r="JWT214" s="1"/>
      <c r="JWU214" s="1"/>
      <c r="JWV214" s="1"/>
      <c r="JWW214" s="1"/>
      <c r="JWX214" s="1"/>
      <c r="JWY214" s="1"/>
      <c r="JWZ214" s="1"/>
      <c r="JXA214" s="1"/>
      <c r="JXB214" s="1"/>
      <c r="JXC214" s="1"/>
      <c r="JXD214" s="1"/>
      <c r="JXE214" s="1"/>
      <c r="JXF214" s="1"/>
      <c r="JXG214" s="1"/>
      <c r="JXH214" s="1"/>
      <c r="JXI214" s="1"/>
      <c r="JXJ214" s="1"/>
      <c r="JXK214" s="1"/>
      <c r="JXL214" s="1"/>
      <c r="JXM214" s="1"/>
      <c r="JXN214" s="1"/>
      <c r="JXO214" s="1"/>
      <c r="JXP214" s="1"/>
      <c r="JXQ214" s="1"/>
      <c r="JXR214" s="1"/>
      <c r="JXS214" s="1"/>
      <c r="JXT214" s="1"/>
      <c r="JXU214" s="1"/>
      <c r="JXV214" s="1"/>
      <c r="JXW214" s="1"/>
      <c r="JXX214" s="1"/>
      <c r="JXY214" s="1"/>
      <c r="JXZ214" s="1"/>
      <c r="JYA214" s="1"/>
      <c r="JYB214" s="1"/>
      <c r="JYC214" s="1"/>
      <c r="JYD214" s="1"/>
      <c r="JYE214" s="1"/>
      <c r="JYF214" s="1"/>
      <c r="JYG214" s="1"/>
      <c r="JYH214" s="1"/>
      <c r="JYI214" s="1"/>
      <c r="JYJ214" s="1"/>
      <c r="JYK214" s="1"/>
      <c r="JYL214" s="1"/>
      <c r="JYM214" s="1"/>
      <c r="JYN214" s="1"/>
      <c r="JYO214" s="1"/>
      <c r="JYP214" s="1"/>
      <c r="JYQ214" s="1"/>
      <c r="JYR214" s="1"/>
      <c r="JYS214" s="1"/>
      <c r="JYT214" s="1"/>
      <c r="JYU214" s="1"/>
      <c r="JYV214" s="1"/>
      <c r="JYW214" s="1"/>
      <c r="JYX214" s="1"/>
      <c r="JYY214" s="1"/>
      <c r="JYZ214" s="1"/>
      <c r="JZA214" s="1"/>
      <c r="JZB214" s="1"/>
      <c r="JZC214" s="1"/>
      <c r="JZD214" s="1"/>
      <c r="JZE214" s="1"/>
      <c r="JZF214" s="1"/>
      <c r="JZG214" s="1"/>
      <c r="JZH214" s="1"/>
      <c r="JZI214" s="1"/>
      <c r="JZJ214" s="1"/>
      <c r="JZK214" s="1"/>
      <c r="JZL214" s="1"/>
      <c r="JZM214" s="1"/>
      <c r="JZN214" s="1"/>
      <c r="JZO214" s="1"/>
      <c r="JZP214" s="1"/>
      <c r="JZQ214" s="1"/>
      <c r="JZR214" s="1"/>
      <c r="JZS214" s="1"/>
      <c r="JZT214" s="1"/>
      <c r="JZU214" s="1"/>
      <c r="JZV214" s="1"/>
      <c r="JZW214" s="1"/>
      <c r="JZX214" s="1"/>
      <c r="JZY214" s="1"/>
      <c r="JZZ214" s="1"/>
      <c r="KAA214" s="1"/>
      <c r="KAB214" s="1"/>
      <c r="KAC214" s="1"/>
      <c r="KAD214" s="1"/>
      <c r="KAE214" s="1"/>
      <c r="KAF214" s="1"/>
      <c r="KAG214" s="1"/>
      <c r="KAH214" s="1"/>
      <c r="KAI214" s="1"/>
      <c r="KAJ214" s="1"/>
      <c r="KAK214" s="1"/>
      <c r="KAL214" s="1"/>
      <c r="KAM214" s="1"/>
      <c r="KAN214" s="1"/>
      <c r="KAO214" s="1"/>
      <c r="KAP214" s="1"/>
      <c r="KAQ214" s="1"/>
      <c r="KAR214" s="1"/>
      <c r="KAS214" s="1"/>
      <c r="KAT214" s="1"/>
      <c r="KAU214" s="1"/>
      <c r="KAV214" s="1"/>
      <c r="KAW214" s="1"/>
      <c r="KAX214" s="1"/>
      <c r="KAY214" s="1"/>
      <c r="KAZ214" s="1"/>
      <c r="KBA214" s="1"/>
      <c r="KBB214" s="1"/>
      <c r="KBC214" s="1"/>
      <c r="KBD214" s="1"/>
      <c r="KBE214" s="1"/>
      <c r="KBF214" s="1"/>
      <c r="KBG214" s="1"/>
      <c r="KBH214" s="1"/>
      <c r="KBI214" s="1"/>
      <c r="KBJ214" s="1"/>
      <c r="KBK214" s="1"/>
      <c r="KBL214" s="1"/>
      <c r="KBM214" s="1"/>
      <c r="KBN214" s="1"/>
      <c r="KBO214" s="1"/>
      <c r="KBP214" s="1"/>
      <c r="KBQ214" s="1"/>
      <c r="KBR214" s="1"/>
      <c r="KBS214" s="1"/>
      <c r="KBT214" s="1"/>
      <c r="KBU214" s="1"/>
      <c r="KBV214" s="1"/>
      <c r="KBW214" s="1"/>
      <c r="KBX214" s="1"/>
      <c r="KBY214" s="1"/>
      <c r="KBZ214" s="1"/>
      <c r="KCA214" s="1"/>
      <c r="KCB214" s="1"/>
      <c r="KCC214" s="1"/>
      <c r="KCD214" s="1"/>
      <c r="KCE214" s="1"/>
      <c r="KCF214" s="1"/>
      <c r="KCG214" s="1"/>
      <c r="KCH214" s="1"/>
      <c r="KCI214" s="1"/>
      <c r="KCJ214" s="1"/>
      <c r="KCK214" s="1"/>
      <c r="KCL214" s="1"/>
      <c r="KCM214" s="1"/>
      <c r="KCN214" s="1"/>
      <c r="KCO214" s="1"/>
      <c r="KCP214" s="1"/>
      <c r="KCQ214" s="1"/>
      <c r="KCR214" s="1"/>
      <c r="KCS214" s="1"/>
      <c r="KCT214" s="1"/>
      <c r="KCU214" s="1"/>
      <c r="KCV214" s="1"/>
      <c r="KCW214" s="1"/>
      <c r="KCX214" s="1"/>
      <c r="KCY214" s="1"/>
      <c r="KCZ214" s="1"/>
      <c r="KDA214" s="1"/>
      <c r="KDB214" s="1"/>
      <c r="KDC214" s="1"/>
      <c r="KDD214" s="1"/>
      <c r="KDE214" s="1"/>
      <c r="KDF214" s="1"/>
      <c r="KDG214" s="1"/>
      <c r="KDH214" s="1"/>
      <c r="KDI214" s="1"/>
      <c r="KDJ214" s="1"/>
      <c r="KDK214" s="1"/>
      <c r="KDL214" s="1"/>
      <c r="KDM214" s="1"/>
      <c r="KDN214" s="1"/>
      <c r="KDO214" s="1"/>
      <c r="KDP214" s="1"/>
      <c r="KDQ214" s="1"/>
      <c r="KDR214" s="1"/>
      <c r="KDS214" s="1"/>
      <c r="KDT214" s="1"/>
      <c r="KDU214" s="1"/>
      <c r="KDV214" s="1"/>
      <c r="KDW214" s="1"/>
      <c r="KDX214" s="1"/>
      <c r="KDY214" s="1"/>
      <c r="KDZ214" s="1"/>
      <c r="KEA214" s="1"/>
      <c r="KEB214" s="1"/>
      <c r="KEC214" s="1"/>
      <c r="KED214" s="1"/>
      <c r="KEE214" s="1"/>
      <c r="KEF214" s="1"/>
      <c r="KEG214" s="1"/>
      <c r="KEH214" s="1"/>
      <c r="KEI214" s="1"/>
      <c r="KEJ214" s="1"/>
      <c r="KEK214" s="1"/>
      <c r="KEL214" s="1"/>
      <c r="KEM214" s="1"/>
      <c r="KEN214" s="1"/>
      <c r="KEO214" s="1"/>
      <c r="KEP214" s="1"/>
      <c r="KEQ214" s="1"/>
      <c r="KER214" s="1"/>
      <c r="KES214" s="1"/>
      <c r="KET214" s="1"/>
      <c r="KEU214" s="1"/>
      <c r="KEV214" s="1"/>
      <c r="KEW214" s="1"/>
      <c r="KEX214" s="1"/>
      <c r="KEY214" s="1"/>
      <c r="KEZ214" s="1"/>
      <c r="KFA214" s="1"/>
      <c r="KFB214" s="1"/>
      <c r="KFC214" s="1"/>
      <c r="KFD214" s="1"/>
      <c r="KFE214" s="1"/>
      <c r="KFF214" s="1"/>
      <c r="KFG214" s="1"/>
      <c r="KFH214" s="1"/>
      <c r="KFI214" s="1"/>
      <c r="KFJ214" s="1"/>
      <c r="KFK214" s="1"/>
      <c r="KFL214" s="1"/>
      <c r="KFM214" s="1"/>
      <c r="KFN214" s="1"/>
      <c r="KFO214" s="1"/>
      <c r="KFP214" s="1"/>
      <c r="KFQ214" s="1"/>
      <c r="KFR214" s="1"/>
      <c r="KFS214" s="1"/>
      <c r="KFT214" s="1"/>
      <c r="KFU214" s="1"/>
      <c r="KFV214" s="1"/>
      <c r="KFW214" s="1"/>
      <c r="KFX214" s="1"/>
      <c r="KFY214" s="1"/>
      <c r="KFZ214" s="1"/>
      <c r="KGA214" s="1"/>
      <c r="KGB214" s="1"/>
      <c r="KGC214" s="1"/>
      <c r="KGD214" s="1"/>
      <c r="KGE214" s="1"/>
      <c r="KGF214" s="1"/>
      <c r="KGG214" s="1"/>
      <c r="KGH214" s="1"/>
      <c r="KGI214" s="1"/>
      <c r="KGJ214" s="1"/>
      <c r="KGK214" s="1"/>
      <c r="KGL214" s="1"/>
      <c r="KGM214" s="1"/>
      <c r="KGN214" s="1"/>
      <c r="KGO214" s="1"/>
      <c r="KGP214" s="1"/>
      <c r="KGQ214" s="1"/>
      <c r="KGR214" s="1"/>
      <c r="KGS214" s="1"/>
      <c r="KGT214" s="1"/>
      <c r="KGU214" s="1"/>
      <c r="KGV214" s="1"/>
      <c r="KGW214" s="1"/>
      <c r="KGX214" s="1"/>
      <c r="KGY214" s="1"/>
      <c r="KGZ214" s="1"/>
      <c r="KHA214" s="1"/>
      <c r="KHB214" s="1"/>
      <c r="KHC214" s="1"/>
      <c r="KHD214" s="1"/>
      <c r="KHE214" s="1"/>
      <c r="KHF214" s="1"/>
      <c r="KHG214" s="1"/>
      <c r="KHH214" s="1"/>
      <c r="KHI214" s="1"/>
      <c r="KHJ214" s="1"/>
      <c r="KHK214" s="1"/>
      <c r="KHL214" s="1"/>
      <c r="KHM214" s="1"/>
      <c r="KHN214" s="1"/>
      <c r="KHO214" s="1"/>
      <c r="KHP214" s="1"/>
      <c r="KHQ214" s="1"/>
      <c r="KHR214" s="1"/>
      <c r="KHS214" s="1"/>
      <c r="KHT214" s="1"/>
      <c r="KHU214" s="1"/>
      <c r="KHV214" s="1"/>
      <c r="KHW214" s="1"/>
      <c r="KHX214" s="1"/>
      <c r="KHY214" s="1"/>
      <c r="KHZ214" s="1"/>
      <c r="KIA214" s="1"/>
      <c r="KIB214" s="1"/>
      <c r="KIC214" s="1"/>
      <c r="KID214" s="1"/>
      <c r="KIE214" s="1"/>
      <c r="KIF214" s="1"/>
      <c r="KIG214" s="1"/>
      <c r="KIH214" s="1"/>
      <c r="KII214" s="1"/>
      <c r="KIJ214" s="1"/>
      <c r="KIK214" s="1"/>
      <c r="KIL214" s="1"/>
      <c r="KIM214" s="1"/>
      <c r="KIN214" s="1"/>
      <c r="KIO214" s="1"/>
      <c r="KIP214" s="1"/>
      <c r="KIQ214" s="1"/>
      <c r="KIR214" s="1"/>
      <c r="KIS214" s="1"/>
      <c r="KIT214" s="1"/>
      <c r="KIU214" s="1"/>
      <c r="KIV214" s="1"/>
      <c r="KIW214" s="1"/>
      <c r="KIX214" s="1"/>
      <c r="KIY214" s="1"/>
      <c r="KIZ214" s="1"/>
      <c r="KJA214" s="1"/>
      <c r="KJB214" s="1"/>
      <c r="KJC214" s="1"/>
      <c r="KJD214" s="1"/>
      <c r="KJE214" s="1"/>
      <c r="KJF214" s="1"/>
      <c r="KJG214" s="1"/>
      <c r="KJH214" s="1"/>
      <c r="KJI214" s="1"/>
      <c r="KJJ214" s="1"/>
      <c r="KJK214" s="1"/>
      <c r="KJL214" s="1"/>
      <c r="KJM214" s="1"/>
      <c r="KJN214" s="1"/>
      <c r="KJO214" s="1"/>
      <c r="KJP214" s="1"/>
      <c r="KJQ214" s="1"/>
      <c r="KJR214" s="1"/>
      <c r="KJS214" s="1"/>
      <c r="KJT214" s="1"/>
      <c r="KJU214" s="1"/>
      <c r="KJV214" s="1"/>
      <c r="KJW214" s="1"/>
      <c r="KJX214" s="1"/>
      <c r="KJY214" s="1"/>
      <c r="KJZ214" s="1"/>
      <c r="KKA214" s="1"/>
      <c r="KKB214" s="1"/>
      <c r="KKC214" s="1"/>
      <c r="KKD214" s="1"/>
      <c r="KKE214" s="1"/>
      <c r="KKF214" s="1"/>
      <c r="KKG214" s="1"/>
      <c r="KKH214" s="1"/>
      <c r="KKI214" s="1"/>
      <c r="KKJ214" s="1"/>
      <c r="KKK214" s="1"/>
      <c r="KKL214" s="1"/>
      <c r="KKM214" s="1"/>
      <c r="KKN214" s="1"/>
      <c r="KKO214" s="1"/>
      <c r="KKP214" s="1"/>
      <c r="KKQ214" s="1"/>
      <c r="KKR214" s="1"/>
      <c r="KKS214" s="1"/>
      <c r="KKT214" s="1"/>
      <c r="KKU214" s="1"/>
      <c r="KKV214" s="1"/>
      <c r="KKW214" s="1"/>
      <c r="KKX214" s="1"/>
      <c r="KKY214" s="1"/>
      <c r="KKZ214" s="1"/>
      <c r="KLA214" s="1"/>
      <c r="KLB214" s="1"/>
      <c r="KLC214" s="1"/>
      <c r="KLD214" s="1"/>
      <c r="KLE214" s="1"/>
      <c r="KLF214" s="1"/>
      <c r="KLG214" s="1"/>
      <c r="KLH214" s="1"/>
      <c r="KLI214" s="1"/>
      <c r="KLJ214" s="1"/>
      <c r="KLK214" s="1"/>
      <c r="KLL214" s="1"/>
      <c r="KLM214" s="1"/>
      <c r="KLN214" s="1"/>
      <c r="KLO214" s="1"/>
      <c r="KLP214" s="1"/>
      <c r="KLQ214" s="1"/>
      <c r="KLR214" s="1"/>
      <c r="KLS214" s="1"/>
      <c r="KLT214" s="1"/>
      <c r="KLU214" s="1"/>
      <c r="KLV214" s="1"/>
      <c r="KLW214" s="1"/>
      <c r="KLX214" s="1"/>
      <c r="KLY214" s="1"/>
      <c r="KLZ214" s="1"/>
      <c r="KMA214" s="1"/>
      <c r="KMB214" s="1"/>
      <c r="KMC214" s="1"/>
      <c r="KMD214" s="1"/>
      <c r="KME214" s="1"/>
      <c r="KMF214" s="1"/>
      <c r="KMG214" s="1"/>
      <c r="KMH214" s="1"/>
      <c r="KMI214" s="1"/>
      <c r="KMJ214" s="1"/>
      <c r="KMK214" s="1"/>
      <c r="KML214" s="1"/>
      <c r="KMM214" s="1"/>
      <c r="KMN214" s="1"/>
      <c r="KMO214" s="1"/>
      <c r="KMP214" s="1"/>
      <c r="KMQ214" s="1"/>
      <c r="KMR214" s="1"/>
      <c r="KMS214" s="1"/>
      <c r="KMT214" s="1"/>
      <c r="KMU214" s="1"/>
      <c r="KMV214" s="1"/>
      <c r="KMW214" s="1"/>
      <c r="KMX214" s="1"/>
      <c r="KMY214" s="1"/>
      <c r="KMZ214" s="1"/>
      <c r="KNA214" s="1"/>
      <c r="KNB214" s="1"/>
      <c r="KNC214" s="1"/>
      <c r="KND214" s="1"/>
      <c r="KNE214" s="1"/>
      <c r="KNF214" s="1"/>
      <c r="KNG214" s="1"/>
      <c r="KNH214" s="1"/>
      <c r="KNI214" s="1"/>
      <c r="KNJ214" s="1"/>
      <c r="KNK214" s="1"/>
      <c r="KNL214" s="1"/>
      <c r="KNM214" s="1"/>
      <c r="KNN214" s="1"/>
      <c r="KNO214" s="1"/>
      <c r="KNP214" s="1"/>
      <c r="KNQ214" s="1"/>
      <c r="KNR214" s="1"/>
      <c r="KNS214" s="1"/>
      <c r="KNT214" s="1"/>
      <c r="KNU214" s="1"/>
      <c r="KNV214" s="1"/>
      <c r="KNW214" s="1"/>
      <c r="KNX214" s="1"/>
      <c r="KNY214" s="1"/>
      <c r="KNZ214" s="1"/>
      <c r="KOA214" s="1"/>
      <c r="KOB214" s="1"/>
      <c r="KOC214" s="1"/>
      <c r="KOD214" s="1"/>
      <c r="KOE214" s="1"/>
      <c r="KOF214" s="1"/>
      <c r="KOG214" s="1"/>
      <c r="KOH214" s="1"/>
      <c r="KOI214" s="1"/>
      <c r="KOJ214" s="1"/>
      <c r="KOK214" s="1"/>
      <c r="KOL214" s="1"/>
      <c r="KOM214" s="1"/>
      <c r="KON214" s="1"/>
      <c r="KOO214" s="1"/>
      <c r="KOP214" s="1"/>
      <c r="KOQ214" s="1"/>
      <c r="KOR214" s="1"/>
      <c r="KOS214" s="1"/>
      <c r="KOT214" s="1"/>
      <c r="KOU214" s="1"/>
      <c r="KOV214" s="1"/>
      <c r="KOW214" s="1"/>
      <c r="KOX214" s="1"/>
      <c r="KOY214" s="1"/>
      <c r="KOZ214" s="1"/>
      <c r="KPA214" s="1"/>
      <c r="KPB214" s="1"/>
      <c r="KPC214" s="1"/>
      <c r="KPD214" s="1"/>
      <c r="KPE214" s="1"/>
      <c r="KPF214" s="1"/>
      <c r="KPG214" s="1"/>
      <c r="KPH214" s="1"/>
      <c r="KPI214" s="1"/>
      <c r="KPJ214" s="1"/>
      <c r="KPK214" s="1"/>
      <c r="KPL214" s="1"/>
      <c r="KPM214" s="1"/>
      <c r="KPN214" s="1"/>
      <c r="KPO214" s="1"/>
      <c r="KPP214" s="1"/>
      <c r="KPQ214" s="1"/>
      <c r="KPR214" s="1"/>
      <c r="KPS214" s="1"/>
      <c r="KPT214" s="1"/>
      <c r="KPU214" s="1"/>
      <c r="KPV214" s="1"/>
      <c r="KPW214" s="1"/>
      <c r="KPX214" s="1"/>
      <c r="KPY214" s="1"/>
      <c r="KPZ214" s="1"/>
      <c r="KQA214" s="1"/>
      <c r="KQB214" s="1"/>
      <c r="KQC214" s="1"/>
      <c r="KQD214" s="1"/>
      <c r="KQE214" s="1"/>
      <c r="KQF214" s="1"/>
      <c r="KQG214" s="1"/>
      <c r="KQH214" s="1"/>
      <c r="KQI214" s="1"/>
      <c r="KQJ214" s="1"/>
      <c r="KQK214" s="1"/>
      <c r="KQL214" s="1"/>
      <c r="KQM214" s="1"/>
      <c r="KQN214" s="1"/>
      <c r="KQO214" s="1"/>
      <c r="KQP214" s="1"/>
      <c r="KQQ214" s="1"/>
      <c r="KQR214" s="1"/>
      <c r="KQS214" s="1"/>
      <c r="KQT214" s="1"/>
      <c r="KQU214" s="1"/>
      <c r="KQV214" s="1"/>
      <c r="KQW214" s="1"/>
      <c r="KQX214" s="1"/>
      <c r="KQY214" s="1"/>
      <c r="KQZ214" s="1"/>
      <c r="KRA214" s="1"/>
      <c r="KRB214" s="1"/>
      <c r="KRC214" s="1"/>
      <c r="KRD214" s="1"/>
      <c r="KRE214" s="1"/>
      <c r="KRF214" s="1"/>
      <c r="KRG214" s="1"/>
      <c r="KRH214" s="1"/>
      <c r="KRI214" s="1"/>
      <c r="KRJ214" s="1"/>
      <c r="KRK214" s="1"/>
      <c r="KRL214" s="1"/>
      <c r="KRM214" s="1"/>
      <c r="KRN214" s="1"/>
      <c r="KRO214" s="1"/>
      <c r="KRP214" s="1"/>
      <c r="KRQ214" s="1"/>
      <c r="KRR214" s="1"/>
      <c r="KRS214" s="1"/>
      <c r="KRT214" s="1"/>
      <c r="KRU214" s="1"/>
      <c r="KRV214" s="1"/>
      <c r="KRW214" s="1"/>
      <c r="KRX214" s="1"/>
      <c r="KRY214" s="1"/>
      <c r="KRZ214" s="1"/>
      <c r="KSA214" s="1"/>
      <c r="KSB214" s="1"/>
      <c r="KSC214" s="1"/>
      <c r="KSD214" s="1"/>
      <c r="KSE214" s="1"/>
      <c r="KSF214" s="1"/>
      <c r="KSG214" s="1"/>
      <c r="KSH214" s="1"/>
      <c r="KSI214" s="1"/>
      <c r="KSJ214" s="1"/>
      <c r="KSK214" s="1"/>
      <c r="KSL214" s="1"/>
      <c r="KSM214" s="1"/>
      <c r="KSN214" s="1"/>
      <c r="KSO214" s="1"/>
      <c r="KSP214" s="1"/>
      <c r="KSQ214" s="1"/>
      <c r="KSR214" s="1"/>
      <c r="KSS214" s="1"/>
      <c r="KST214" s="1"/>
      <c r="KSU214" s="1"/>
      <c r="KSV214" s="1"/>
      <c r="KSW214" s="1"/>
      <c r="KSX214" s="1"/>
      <c r="KSY214" s="1"/>
      <c r="KSZ214" s="1"/>
      <c r="KTA214" s="1"/>
      <c r="KTB214" s="1"/>
      <c r="KTC214" s="1"/>
      <c r="KTD214" s="1"/>
      <c r="KTE214" s="1"/>
      <c r="KTF214" s="1"/>
      <c r="KTG214" s="1"/>
      <c r="KTH214" s="1"/>
      <c r="KTI214" s="1"/>
      <c r="KTJ214" s="1"/>
      <c r="KTK214" s="1"/>
      <c r="KTL214" s="1"/>
      <c r="KTM214" s="1"/>
      <c r="KTN214" s="1"/>
      <c r="KTO214" s="1"/>
      <c r="KTP214" s="1"/>
      <c r="KTQ214" s="1"/>
      <c r="KTR214" s="1"/>
      <c r="KTS214" s="1"/>
      <c r="KTT214" s="1"/>
      <c r="KTU214" s="1"/>
      <c r="KTV214" s="1"/>
      <c r="KTW214" s="1"/>
      <c r="KTX214" s="1"/>
      <c r="KTY214" s="1"/>
      <c r="KTZ214" s="1"/>
      <c r="KUA214" s="1"/>
      <c r="KUB214" s="1"/>
      <c r="KUC214" s="1"/>
      <c r="KUD214" s="1"/>
      <c r="KUE214" s="1"/>
      <c r="KUF214" s="1"/>
      <c r="KUG214" s="1"/>
      <c r="KUH214" s="1"/>
      <c r="KUI214" s="1"/>
      <c r="KUJ214" s="1"/>
      <c r="KUK214" s="1"/>
      <c r="KUL214" s="1"/>
      <c r="KUM214" s="1"/>
      <c r="KUN214" s="1"/>
      <c r="KUO214" s="1"/>
      <c r="KUP214" s="1"/>
      <c r="KUQ214" s="1"/>
      <c r="KUR214" s="1"/>
      <c r="KUS214" s="1"/>
      <c r="KUT214" s="1"/>
      <c r="KUU214" s="1"/>
      <c r="KUV214" s="1"/>
      <c r="KUW214" s="1"/>
      <c r="KUX214" s="1"/>
      <c r="KUY214" s="1"/>
      <c r="KUZ214" s="1"/>
      <c r="KVA214" s="1"/>
      <c r="KVB214" s="1"/>
      <c r="KVC214" s="1"/>
      <c r="KVD214" s="1"/>
      <c r="KVE214" s="1"/>
      <c r="KVF214" s="1"/>
      <c r="KVG214" s="1"/>
      <c r="KVH214" s="1"/>
      <c r="KVI214" s="1"/>
      <c r="KVJ214" s="1"/>
      <c r="KVK214" s="1"/>
      <c r="KVL214" s="1"/>
      <c r="KVM214" s="1"/>
      <c r="KVN214" s="1"/>
      <c r="KVO214" s="1"/>
      <c r="KVP214" s="1"/>
      <c r="KVQ214" s="1"/>
      <c r="KVR214" s="1"/>
      <c r="KVS214" s="1"/>
      <c r="KVT214" s="1"/>
      <c r="KVU214" s="1"/>
      <c r="KVV214" s="1"/>
      <c r="KVW214" s="1"/>
      <c r="KVX214" s="1"/>
      <c r="KVY214" s="1"/>
      <c r="KVZ214" s="1"/>
      <c r="KWA214" s="1"/>
      <c r="KWB214" s="1"/>
      <c r="KWC214" s="1"/>
      <c r="KWD214" s="1"/>
      <c r="KWE214" s="1"/>
      <c r="KWF214" s="1"/>
      <c r="KWG214" s="1"/>
      <c r="KWH214" s="1"/>
      <c r="KWI214" s="1"/>
      <c r="KWJ214" s="1"/>
      <c r="KWK214" s="1"/>
      <c r="KWL214" s="1"/>
      <c r="KWM214" s="1"/>
      <c r="KWN214" s="1"/>
      <c r="KWO214" s="1"/>
      <c r="KWP214" s="1"/>
      <c r="KWQ214" s="1"/>
      <c r="KWR214" s="1"/>
      <c r="KWS214" s="1"/>
      <c r="KWT214" s="1"/>
      <c r="KWU214" s="1"/>
      <c r="KWV214" s="1"/>
      <c r="KWW214" s="1"/>
      <c r="KWX214" s="1"/>
      <c r="KWY214" s="1"/>
      <c r="KWZ214" s="1"/>
      <c r="KXA214" s="1"/>
      <c r="KXB214" s="1"/>
      <c r="KXC214" s="1"/>
      <c r="KXD214" s="1"/>
      <c r="KXE214" s="1"/>
      <c r="KXF214" s="1"/>
      <c r="KXG214" s="1"/>
      <c r="KXH214" s="1"/>
      <c r="KXI214" s="1"/>
      <c r="KXJ214" s="1"/>
      <c r="KXK214" s="1"/>
      <c r="KXL214" s="1"/>
      <c r="KXM214" s="1"/>
      <c r="KXN214" s="1"/>
      <c r="KXO214" s="1"/>
      <c r="KXP214" s="1"/>
      <c r="KXQ214" s="1"/>
      <c r="KXR214" s="1"/>
      <c r="KXS214" s="1"/>
      <c r="KXT214" s="1"/>
      <c r="KXU214" s="1"/>
      <c r="KXV214" s="1"/>
      <c r="KXW214" s="1"/>
      <c r="KXX214" s="1"/>
      <c r="KXY214" s="1"/>
      <c r="KXZ214" s="1"/>
      <c r="KYA214" s="1"/>
      <c r="KYB214" s="1"/>
      <c r="KYC214" s="1"/>
      <c r="KYD214" s="1"/>
      <c r="KYE214" s="1"/>
      <c r="KYF214" s="1"/>
      <c r="KYG214" s="1"/>
      <c r="KYH214" s="1"/>
      <c r="KYI214" s="1"/>
      <c r="KYJ214" s="1"/>
      <c r="KYK214" s="1"/>
      <c r="KYL214" s="1"/>
      <c r="KYM214" s="1"/>
      <c r="KYN214" s="1"/>
      <c r="KYO214" s="1"/>
      <c r="KYP214" s="1"/>
      <c r="KYQ214" s="1"/>
      <c r="KYR214" s="1"/>
      <c r="KYS214" s="1"/>
      <c r="KYT214" s="1"/>
      <c r="KYU214" s="1"/>
      <c r="KYV214" s="1"/>
      <c r="KYW214" s="1"/>
      <c r="KYX214" s="1"/>
      <c r="KYY214" s="1"/>
      <c r="KYZ214" s="1"/>
      <c r="KZA214" s="1"/>
      <c r="KZB214" s="1"/>
      <c r="KZC214" s="1"/>
      <c r="KZD214" s="1"/>
      <c r="KZE214" s="1"/>
      <c r="KZF214" s="1"/>
      <c r="KZG214" s="1"/>
      <c r="KZH214" s="1"/>
      <c r="KZI214" s="1"/>
      <c r="KZJ214" s="1"/>
      <c r="KZK214" s="1"/>
      <c r="KZL214" s="1"/>
      <c r="KZM214" s="1"/>
      <c r="KZN214" s="1"/>
      <c r="KZO214" s="1"/>
      <c r="KZP214" s="1"/>
      <c r="KZQ214" s="1"/>
      <c r="KZR214" s="1"/>
      <c r="KZS214" s="1"/>
      <c r="KZT214" s="1"/>
      <c r="KZU214" s="1"/>
      <c r="KZV214" s="1"/>
      <c r="KZW214" s="1"/>
      <c r="KZX214" s="1"/>
      <c r="KZY214" s="1"/>
      <c r="KZZ214" s="1"/>
      <c r="LAA214" s="1"/>
      <c r="LAB214" s="1"/>
      <c r="LAC214" s="1"/>
      <c r="LAD214" s="1"/>
      <c r="LAE214" s="1"/>
      <c r="LAF214" s="1"/>
      <c r="LAG214" s="1"/>
      <c r="LAH214" s="1"/>
      <c r="LAI214" s="1"/>
      <c r="LAJ214" s="1"/>
      <c r="LAK214" s="1"/>
      <c r="LAL214" s="1"/>
      <c r="LAM214" s="1"/>
      <c r="LAN214" s="1"/>
      <c r="LAO214" s="1"/>
      <c r="LAP214" s="1"/>
      <c r="LAQ214" s="1"/>
      <c r="LAR214" s="1"/>
      <c r="LAS214" s="1"/>
      <c r="LAT214" s="1"/>
      <c r="LAU214" s="1"/>
      <c r="LAV214" s="1"/>
      <c r="LAW214" s="1"/>
      <c r="LAX214" s="1"/>
      <c r="LAY214" s="1"/>
      <c r="LAZ214" s="1"/>
      <c r="LBA214" s="1"/>
      <c r="LBB214" s="1"/>
      <c r="LBC214" s="1"/>
      <c r="LBD214" s="1"/>
      <c r="LBE214" s="1"/>
      <c r="LBF214" s="1"/>
      <c r="LBG214" s="1"/>
      <c r="LBH214" s="1"/>
      <c r="LBI214" s="1"/>
      <c r="LBJ214" s="1"/>
      <c r="LBK214" s="1"/>
      <c r="LBL214" s="1"/>
      <c r="LBM214" s="1"/>
      <c r="LBN214" s="1"/>
      <c r="LBO214" s="1"/>
      <c r="LBP214" s="1"/>
      <c r="LBQ214" s="1"/>
      <c r="LBR214" s="1"/>
      <c r="LBS214" s="1"/>
      <c r="LBT214" s="1"/>
      <c r="LBU214" s="1"/>
      <c r="LBV214" s="1"/>
      <c r="LBW214" s="1"/>
      <c r="LBX214" s="1"/>
      <c r="LBY214" s="1"/>
      <c r="LBZ214" s="1"/>
      <c r="LCA214" s="1"/>
      <c r="LCB214" s="1"/>
      <c r="LCC214" s="1"/>
      <c r="LCD214" s="1"/>
      <c r="LCE214" s="1"/>
      <c r="LCF214" s="1"/>
      <c r="LCG214" s="1"/>
      <c r="LCH214" s="1"/>
      <c r="LCI214" s="1"/>
      <c r="LCJ214" s="1"/>
      <c r="LCK214" s="1"/>
      <c r="LCL214" s="1"/>
      <c r="LCM214" s="1"/>
      <c r="LCN214" s="1"/>
      <c r="LCO214" s="1"/>
      <c r="LCP214" s="1"/>
      <c r="LCQ214" s="1"/>
      <c r="LCR214" s="1"/>
      <c r="LCS214" s="1"/>
      <c r="LCT214" s="1"/>
      <c r="LCU214" s="1"/>
      <c r="LCV214" s="1"/>
      <c r="LCW214" s="1"/>
      <c r="LCX214" s="1"/>
      <c r="LCY214" s="1"/>
      <c r="LCZ214" s="1"/>
      <c r="LDA214" s="1"/>
      <c r="LDB214" s="1"/>
      <c r="LDC214" s="1"/>
      <c r="LDD214" s="1"/>
      <c r="LDE214" s="1"/>
      <c r="LDF214" s="1"/>
      <c r="LDG214" s="1"/>
      <c r="LDH214" s="1"/>
      <c r="LDI214" s="1"/>
      <c r="LDJ214" s="1"/>
      <c r="LDK214" s="1"/>
      <c r="LDL214" s="1"/>
      <c r="LDM214" s="1"/>
      <c r="LDN214" s="1"/>
      <c r="LDO214" s="1"/>
      <c r="LDP214" s="1"/>
      <c r="LDQ214" s="1"/>
      <c r="LDR214" s="1"/>
      <c r="LDS214" s="1"/>
      <c r="LDT214" s="1"/>
      <c r="LDU214" s="1"/>
      <c r="LDV214" s="1"/>
      <c r="LDW214" s="1"/>
      <c r="LDX214" s="1"/>
      <c r="LDY214" s="1"/>
      <c r="LDZ214" s="1"/>
      <c r="LEA214" s="1"/>
      <c r="LEB214" s="1"/>
      <c r="LEC214" s="1"/>
      <c r="LED214" s="1"/>
      <c r="LEE214" s="1"/>
      <c r="LEF214" s="1"/>
      <c r="LEG214" s="1"/>
      <c r="LEH214" s="1"/>
      <c r="LEI214" s="1"/>
      <c r="LEJ214" s="1"/>
      <c r="LEK214" s="1"/>
      <c r="LEL214" s="1"/>
      <c r="LEM214" s="1"/>
      <c r="LEN214" s="1"/>
      <c r="LEO214" s="1"/>
      <c r="LEP214" s="1"/>
      <c r="LEQ214" s="1"/>
      <c r="LER214" s="1"/>
      <c r="LES214" s="1"/>
      <c r="LET214" s="1"/>
      <c r="LEU214" s="1"/>
      <c r="LEV214" s="1"/>
      <c r="LEW214" s="1"/>
      <c r="LEX214" s="1"/>
      <c r="LEY214" s="1"/>
      <c r="LEZ214" s="1"/>
      <c r="LFA214" s="1"/>
      <c r="LFB214" s="1"/>
      <c r="LFC214" s="1"/>
      <c r="LFD214" s="1"/>
      <c r="LFE214" s="1"/>
      <c r="LFF214" s="1"/>
      <c r="LFG214" s="1"/>
      <c r="LFH214" s="1"/>
      <c r="LFI214" s="1"/>
      <c r="LFJ214" s="1"/>
      <c r="LFK214" s="1"/>
      <c r="LFL214" s="1"/>
      <c r="LFM214" s="1"/>
      <c r="LFN214" s="1"/>
      <c r="LFO214" s="1"/>
      <c r="LFP214" s="1"/>
      <c r="LFQ214" s="1"/>
      <c r="LFR214" s="1"/>
      <c r="LFS214" s="1"/>
      <c r="LFT214" s="1"/>
      <c r="LFU214" s="1"/>
      <c r="LFV214" s="1"/>
      <c r="LFW214" s="1"/>
      <c r="LFX214" s="1"/>
      <c r="LFY214" s="1"/>
      <c r="LFZ214" s="1"/>
      <c r="LGA214" s="1"/>
      <c r="LGB214" s="1"/>
      <c r="LGC214" s="1"/>
      <c r="LGD214" s="1"/>
      <c r="LGE214" s="1"/>
      <c r="LGF214" s="1"/>
      <c r="LGG214" s="1"/>
      <c r="LGH214" s="1"/>
      <c r="LGI214" s="1"/>
      <c r="LGJ214" s="1"/>
      <c r="LGK214" s="1"/>
      <c r="LGL214" s="1"/>
      <c r="LGM214" s="1"/>
      <c r="LGN214" s="1"/>
      <c r="LGO214" s="1"/>
      <c r="LGP214" s="1"/>
      <c r="LGQ214" s="1"/>
      <c r="LGR214" s="1"/>
      <c r="LGS214" s="1"/>
      <c r="LGT214" s="1"/>
      <c r="LGU214" s="1"/>
      <c r="LGV214" s="1"/>
      <c r="LGW214" s="1"/>
      <c r="LGX214" s="1"/>
      <c r="LGY214" s="1"/>
      <c r="LGZ214" s="1"/>
      <c r="LHA214" s="1"/>
      <c r="LHB214" s="1"/>
      <c r="LHC214" s="1"/>
      <c r="LHD214" s="1"/>
      <c r="LHE214" s="1"/>
      <c r="LHF214" s="1"/>
      <c r="LHG214" s="1"/>
      <c r="LHH214" s="1"/>
      <c r="LHI214" s="1"/>
      <c r="LHJ214" s="1"/>
      <c r="LHK214" s="1"/>
      <c r="LHL214" s="1"/>
      <c r="LHM214" s="1"/>
      <c r="LHN214" s="1"/>
      <c r="LHO214" s="1"/>
      <c r="LHP214" s="1"/>
      <c r="LHQ214" s="1"/>
      <c r="LHR214" s="1"/>
      <c r="LHS214" s="1"/>
      <c r="LHT214" s="1"/>
      <c r="LHU214" s="1"/>
      <c r="LHV214" s="1"/>
      <c r="LHW214" s="1"/>
      <c r="LHX214" s="1"/>
      <c r="LHY214" s="1"/>
      <c r="LHZ214" s="1"/>
      <c r="LIA214" s="1"/>
      <c r="LIB214" s="1"/>
      <c r="LIC214" s="1"/>
      <c r="LID214" s="1"/>
      <c r="LIE214" s="1"/>
      <c r="LIF214" s="1"/>
      <c r="LIG214" s="1"/>
      <c r="LIH214" s="1"/>
      <c r="LII214" s="1"/>
      <c r="LIJ214" s="1"/>
      <c r="LIK214" s="1"/>
      <c r="LIL214" s="1"/>
      <c r="LIM214" s="1"/>
      <c r="LIN214" s="1"/>
      <c r="LIO214" s="1"/>
      <c r="LIP214" s="1"/>
      <c r="LIQ214" s="1"/>
      <c r="LIR214" s="1"/>
      <c r="LIS214" s="1"/>
      <c r="LIT214" s="1"/>
      <c r="LIU214" s="1"/>
      <c r="LIV214" s="1"/>
      <c r="LIW214" s="1"/>
      <c r="LIX214" s="1"/>
      <c r="LIY214" s="1"/>
      <c r="LIZ214" s="1"/>
      <c r="LJA214" s="1"/>
      <c r="LJB214" s="1"/>
      <c r="LJC214" s="1"/>
      <c r="LJD214" s="1"/>
      <c r="LJE214" s="1"/>
      <c r="LJF214" s="1"/>
      <c r="LJG214" s="1"/>
      <c r="LJH214" s="1"/>
      <c r="LJI214" s="1"/>
      <c r="LJJ214" s="1"/>
      <c r="LJK214" s="1"/>
      <c r="LJL214" s="1"/>
      <c r="LJM214" s="1"/>
      <c r="LJN214" s="1"/>
      <c r="LJO214" s="1"/>
      <c r="LJP214" s="1"/>
      <c r="LJQ214" s="1"/>
      <c r="LJR214" s="1"/>
      <c r="LJS214" s="1"/>
      <c r="LJT214" s="1"/>
      <c r="LJU214" s="1"/>
      <c r="LJV214" s="1"/>
      <c r="LJW214" s="1"/>
      <c r="LJX214" s="1"/>
      <c r="LJY214" s="1"/>
      <c r="LJZ214" s="1"/>
      <c r="LKA214" s="1"/>
      <c r="LKB214" s="1"/>
      <c r="LKC214" s="1"/>
      <c r="LKD214" s="1"/>
      <c r="LKE214" s="1"/>
      <c r="LKF214" s="1"/>
      <c r="LKG214" s="1"/>
      <c r="LKH214" s="1"/>
      <c r="LKI214" s="1"/>
      <c r="LKJ214" s="1"/>
      <c r="LKK214" s="1"/>
      <c r="LKL214" s="1"/>
      <c r="LKM214" s="1"/>
      <c r="LKN214" s="1"/>
      <c r="LKO214" s="1"/>
      <c r="LKP214" s="1"/>
      <c r="LKQ214" s="1"/>
      <c r="LKR214" s="1"/>
      <c r="LKS214" s="1"/>
      <c r="LKT214" s="1"/>
      <c r="LKU214" s="1"/>
      <c r="LKV214" s="1"/>
      <c r="LKW214" s="1"/>
      <c r="LKX214" s="1"/>
      <c r="LKY214" s="1"/>
      <c r="LKZ214" s="1"/>
      <c r="LLA214" s="1"/>
      <c r="LLB214" s="1"/>
      <c r="LLC214" s="1"/>
      <c r="LLD214" s="1"/>
      <c r="LLE214" s="1"/>
      <c r="LLF214" s="1"/>
      <c r="LLG214" s="1"/>
      <c r="LLH214" s="1"/>
      <c r="LLI214" s="1"/>
      <c r="LLJ214" s="1"/>
      <c r="LLK214" s="1"/>
      <c r="LLL214" s="1"/>
      <c r="LLM214" s="1"/>
      <c r="LLN214" s="1"/>
      <c r="LLO214" s="1"/>
      <c r="LLP214" s="1"/>
      <c r="LLQ214" s="1"/>
      <c r="LLR214" s="1"/>
      <c r="LLS214" s="1"/>
      <c r="LLT214" s="1"/>
      <c r="LLU214" s="1"/>
      <c r="LLV214" s="1"/>
      <c r="LLW214" s="1"/>
      <c r="LLX214" s="1"/>
      <c r="LLY214" s="1"/>
      <c r="LLZ214" s="1"/>
      <c r="LMA214" s="1"/>
      <c r="LMB214" s="1"/>
      <c r="LMC214" s="1"/>
      <c r="LMD214" s="1"/>
      <c r="LME214" s="1"/>
      <c r="LMF214" s="1"/>
      <c r="LMG214" s="1"/>
      <c r="LMH214" s="1"/>
      <c r="LMI214" s="1"/>
      <c r="LMJ214" s="1"/>
      <c r="LMK214" s="1"/>
      <c r="LML214" s="1"/>
      <c r="LMM214" s="1"/>
      <c r="LMN214" s="1"/>
      <c r="LMO214" s="1"/>
      <c r="LMP214" s="1"/>
      <c r="LMQ214" s="1"/>
      <c r="LMR214" s="1"/>
      <c r="LMS214" s="1"/>
      <c r="LMT214" s="1"/>
      <c r="LMU214" s="1"/>
      <c r="LMV214" s="1"/>
      <c r="LMW214" s="1"/>
      <c r="LMX214" s="1"/>
      <c r="LMY214" s="1"/>
      <c r="LMZ214" s="1"/>
      <c r="LNA214" s="1"/>
      <c r="LNB214" s="1"/>
      <c r="LNC214" s="1"/>
      <c r="LND214" s="1"/>
      <c r="LNE214" s="1"/>
      <c r="LNF214" s="1"/>
      <c r="LNG214" s="1"/>
      <c r="LNH214" s="1"/>
      <c r="LNI214" s="1"/>
      <c r="LNJ214" s="1"/>
      <c r="LNK214" s="1"/>
      <c r="LNL214" s="1"/>
      <c r="LNM214" s="1"/>
      <c r="LNN214" s="1"/>
      <c r="LNO214" s="1"/>
      <c r="LNP214" s="1"/>
      <c r="LNQ214" s="1"/>
      <c r="LNR214" s="1"/>
      <c r="LNS214" s="1"/>
      <c r="LNT214" s="1"/>
      <c r="LNU214" s="1"/>
      <c r="LNV214" s="1"/>
      <c r="LNW214" s="1"/>
      <c r="LNX214" s="1"/>
      <c r="LNY214" s="1"/>
      <c r="LNZ214" s="1"/>
      <c r="LOA214" s="1"/>
      <c r="LOB214" s="1"/>
      <c r="LOC214" s="1"/>
      <c r="LOD214" s="1"/>
      <c r="LOE214" s="1"/>
      <c r="LOF214" s="1"/>
      <c r="LOG214" s="1"/>
      <c r="LOH214" s="1"/>
      <c r="LOI214" s="1"/>
      <c r="LOJ214" s="1"/>
      <c r="LOK214" s="1"/>
      <c r="LOL214" s="1"/>
      <c r="LOM214" s="1"/>
      <c r="LON214" s="1"/>
      <c r="LOO214" s="1"/>
      <c r="LOP214" s="1"/>
      <c r="LOQ214" s="1"/>
      <c r="LOR214" s="1"/>
      <c r="LOS214" s="1"/>
      <c r="LOT214" s="1"/>
      <c r="LOU214" s="1"/>
      <c r="LOV214" s="1"/>
      <c r="LOW214" s="1"/>
      <c r="LOX214" s="1"/>
      <c r="LOY214" s="1"/>
      <c r="LOZ214" s="1"/>
      <c r="LPA214" s="1"/>
      <c r="LPB214" s="1"/>
      <c r="LPC214" s="1"/>
      <c r="LPD214" s="1"/>
      <c r="LPE214" s="1"/>
      <c r="LPF214" s="1"/>
      <c r="LPG214" s="1"/>
      <c r="LPH214" s="1"/>
      <c r="LPI214" s="1"/>
      <c r="LPJ214" s="1"/>
      <c r="LPK214" s="1"/>
      <c r="LPL214" s="1"/>
      <c r="LPM214" s="1"/>
      <c r="LPN214" s="1"/>
      <c r="LPO214" s="1"/>
      <c r="LPP214" s="1"/>
      <c r="LPQ214" s="1"/>
      <c r="LPR214" s="1"/>
      <c r="LPS214" s="1"/>
      <c r="LPT214" s="1"/>
      <c r="LPU214" s="1"/>
      <c r="LPV214" s="1"/>
      <c r="LPW214" s="1"/>
      <c r="LPX214" s="1"/>
      <c r="LPY214" s="1"/>
      <c r="LPZ214" s="1"/>
      <c r="LQA214" s="1"/>
      <c r="LQB214" s="1"/>
      <c r="LQC214" s="1"/>
      <c r="LQD214" s="1"/>
      <c r="LQE214" s="1"/>
      <c r="LQF214" s="1"/>
      <c r="LQG214" s="1"/>
      <c r="LQH214" s="1"/>
      <c r="LQI214" s="1"/>
      <c r="LQJ214" s="1"/>
      <c r="LQK214" s="1"/>
      <c r="LQL214" s="1"/>
      <c r="LQM214" s="1"/>
      <c r="LQN214" s="1"/>
      <c r="LQO214" s="1"/>
      <c r="LQP214" s="1"/>
      <c r="LQQ214" s="1"/>
      <c r="LQR214" s="1"/>
      <c r="LQS214" s="1"/>
      <c r="LQT214" s="1"/>
      <c r="LQU214" s="1"/>
      <c r="LQV214" s="1"/>
      <c r="LQW214" s="1"/>
      <c r="LQX214" s="1"/>
      <c r="LQY214" s="1"/>
      <c r="LQZ214" s="1"/>
      <c r="LRA214" s="1"/>
      <c r="LRB214" s="1"/>
      <c r="LRC214" s="1"/>
      <c r="LRD214" s="1"/>
      <c r="LRE214" s="1"/>
      <c r="LRF214" s="1"/>
      <c r="LRG214" s="1"/>
      <c r="LRH214" s="1"/>
      <c r="LRI214" s="1"/>
      <c r="LRJ214" s="1"/>
      <c r="LRK214" s="1"/>
      <c r="LRL214" s="1"/>
      <c r="LRM214" s="1"/>
      <c r="LRN214" s="1"/>
      <c r="LRO214" s="1"/>
      <c r="LRP214" s="1"/>
      <c r="LRQ214" s="1"/>
      <c r="LRR214" s="1"/>
      <c r="LRS214" s="1"/>
      <c r="LRT214" s="1"/>
      <c r="LRU214" s="1"/>
      <c r="LRV214" s="1"/>
      <c r="LRW214" s="1"/>
      <c r="LRX214" s="1"/>
      <c r="LRY214" s="1"/>
      <c r="LRZ214" s="1"/>
      <c r="LSA214" s="1"/>
      <c r="LSB214" s="1"/>
      <c r="LSC214" s="1"/>
      <c r="LSD214" s="1"/>
      <c r="LSE214" s="1"/>
      <c r="LSF214" s="1"/>
      <c r="LSG214" s="1"/>
      <c r="LSH214" s="1"/>
      <c r="LSI214" s="1"/>
      <c r="LSJ214" s="1"/>
      <c r="LSK214" s="1"/>
      <c r="LSL214" s="1"/>
      <c r="LSM214" s="1"/>
      <c r="LSN214" s="1"/>
      <c r="LSO214" s="1"/>
      <c r="LSP214" s="1"/>
      <c r="LSQ214" s="1"/>
      <c r="LSR214" s="1"/>
      <c r="LSS214" s="1"/>
      <c r="LST214" s="1"/>
      <c r="LSU214" s="1"/>
      <c r="LSV214" s="1"/>
      <c r="LSW214" s="1"/>
      <c r="LSX214" s="1"/>
      <c r="LSY214" s="1"/>
      <c r="LSZ214" s="1"/>
      <c r="LTA214" s="1"/>
      <c r="LTB214" s="1"/>
      <c r="LTC214" s="1"/>
      <c r="LTD214" s="1"/>
      <c r="LTE214" s="1"/>
      <c r="LTF214" s="1"/>
      <c r="LTG214" s="1"/>
      <c r="LTH214" s="1"/>
      <c r="LTI214" s="1"/>
      <c r="LTJ214" s="1"/>
      <c r="LTK214" s="1"/>
      <c r="LTL214" s="1"/>
      <c r="LTM214" s="1"/>
      <c r="LTN214" s="1"/>
      <c r="LTO214" s="1"/>
      <c r="LTP214" s="1"/>
      <c r="LTQ214" s="1"/>
      <c r="LTR214" s="1"/>
      <c r="LTS214" s="1"/>
      <c r="LTT214" s="1"/>
      <c r="LTU214" s="1"/>
      <c r="LTV214" s="1"/>
      <c r="LTW214" s="1"/>
      <c r="LTX214" s="1"/>
      <c r="LTY214" s="1"/>
      <c r="LTZ214" s="1"/>
      <c r="LUA214" s="1"/>
      <c r="LUB214" s="1"/>
      <c r="LUC214" s="1"/>
      <c r="LUD214" s="1"/>
      <c r="LUE214" s="1"/>
      <c r="LUF214" s="1"/>
      <c r="LUG214" s="1"/>
      <c r="LUH214" s="1"/>
      <c r="LUI214" s="1"/>
      <c r="LUJ214" s="1"/>
      <c r="LUK214" s="1"/>
      <c r="LUL214" s="1"/>
      <c r="LUM214" s="1"/>
      <c r="LUN214" s="1"/>
      <c r="LUO214" s="1"/>
      <c r="LUP214" s="1"/>
      <c r="LUQ214" s="1"/>
      <c r="LUR214" s="1"/>
      <c r="LUS214" s="1"/>
      <c r="LUT214" s="1"/>
      <c r="LUU214" s="1"/>
      <c r="LUV214" s="1"/>
      <c r="LUW214" s="1"/>
      <c r="LUX214" s="1"/>
      <c r="LUY214" s="1"/>
      <c r="LUZ214" s="1"/>
      <c r="LVA214" s="1"/>
      <c r="LVB214" s="1"/>
      <c r="LVC214" s="1"/>
      <c r="LVD214" s="1"/>
      <c r="LVE214" s="1"/>
      <c r="LVF214" s="1"/>
      <c r="LVG214" s="1"/>
      <c r="LVH214" s="1"/>
      <c r="LVI214" s="1"/>
      <c r="LVJ214" s="1"/>
      <c r="LVK214" s="1"/>
      <c r="LVL214" s="1"/>
      <c r="LVM214" s="1"/>
      <c r="LVN214" s="1"/>
      <c r="LVO214" s="1"/>
      <c r="LVP214" s="1"/>
      <c r="LVQ214" s="1"/>
      <c r="LVR214" s="1"/>
      <c r="LVS214" s="1"/>
      <c r="LVT214" s="1"/>
      <c r="LVU214" s="1"/>
      <c r="LVV214" s="1"/>
      <c r="LVW214" s="1"/>
      <c r="LVX214" s="1"/>
      <c r="LVY214" s="1"/>
      <c r="LVZ214" s="1"/>
      <c r="LWA214" s="1"/>
      <c r="LWB214" s="1"/>
      <c r="LWC214" s="1"/>
      <c r="LWD214" s="1"/>
      <c r="LWE214" s="1"/>
      <c r="LWF214" s="1"/>
      <c r="LWG214" s="1"/>
      <c r="LWH214" s="1"/>
      <c r="LWI214" s="1"/>
      <c r="LWJ214" s="1"/>
      <c r="LWK214" s="1"/>
      <c r="LWL214" s="1"/>
      <c r="LWM214" s="1"/>
      <c r="LWN214" s="1"/>
      <c r="LWO214" s="1"/>
      <c r="LWP214" s="1"/>
      <c r="LWQ214" s="1"/>
      <c r="LWR214" s="1"/>
      <c r="LWS214" s="1"/>
      <c r="LWT214" s="1"/>
      <c r="LWU214" s="1"/>
      <c r="LWV214" s="1"/>
      <c r="LWW214" s="1"/>
      <c r="LWX214" s="1"/>
      <c r="LWY214" s="1"/>
      <c r="LWZ214" s="1"/>
      <c r="LXA214" s="1"/>
      <c r="LXB214" s="1"/>
      <c r="LXC214" s="1"/>
      <c r="LXD214" s="1"/>
      <c r="LXE214" s="1"/>
      <c r="LXF214" s="1"/>
      <c r="LXG214" s="1"/>
      <c r="LXH214" s="1"/>
      <c r="LXI214" s="1"/>
      <c r="LXJ214" s="1"/>
      <c r="LXK214" s="1"/>
      <c r="LXL214" s="1"/>
      <c r="LXM214" s="1"/>
      <c r="LXN214" s="1"/>
      <c r="LXO214" s="1"/>
      <c r="LXP214" s="1"/>
      <c r="LXQ214" s="1"/>
      <c r="LXR214" s="1"/>
      <c r="LXS214" s="1"/>
      <c r="LXT214" s="1"/>
      <c r="LXU214" s="1"/>
      <c r="LXV214" s="1"/>
      <c r="LXW214" s="1"/>
      <c r="LXX214" s="1"/>
      <c r="LXY214" s="1"/>
      <c r="LXZ214" s="1"/>
      <c r="LYA214" s="1"/>
      <c r="LYB214" s="1"/>
      <c r="LYC214" s="1"/>
      <c r="LYD214" s="1"/>
      <c r="LYE214" s="1"/>
      <c r="LYF214" s="1"/>
      <c r="LYG214" s="1"/>
      <c r="LYH214" s="1"/>
      <c r="LYI214" s="1"/>
      <c r="LYJ214" s="1"/>
      <c r="LYK214" s="1"/>
      <c r="LYL214" s="1"/>
      <c r="LYM214" s="1"/>
      <c r="LYN214" s="1"/>
      <c r="LYO214" s="1"/>
      <c r="LYP214" s="1"/>
      <c r="LYQ214" s="1"/>
      <c r="LYR214" s="1"/>
      <c r="LYS214" s="1"/>
      <c r="LYT214" s="1"/>
      <c r="LYU214" s="1"/>
      <c r="LYV214" s="1"/>
      <c r="LYW214" s="1"/>
      <c r="LYX214" s="1"/>
      <c r="LYY214" s="1"/>
      <c r="LYZ214" s="1"/>
      <c r="LZA214" s="1"/>
      <c r="LZB214" s="1"/>
      <c r="LZC214" s="1"/>
      <c r="LZD214" s="1"/>
      <c r="LZE214" s="1"/>
      <c r="LZF214" s="1"/>
      <c r="LZG214" s="1"/>
      <c r="LZH214" s="1"/>
      <c r="LZI214" s="1"/>
      <c r="LZJ214" s="1"/>
      <c r="LZK214" s="1"/>
      <c r="LZL214" s="1"/>
      <c r="LZM214" s="1"/>
      <c r="LZN214" s="1"/>
      <c r="LZO214" s="1"/>
      <c r="LZP214" s="1"/>
      <c r="LZQ214" s="1"/>
      <c r="LZR214" s="1"/>
      <c r="LZS214" s="1"/>
      <c r="LZT214" s="1"/>
      <c r="LZU214" s="1"/>
      <c r="LZV214" s="1"/>
      <c r="LZW214" s="1"/>
      <c r="LZX214" s="1"/>
      <c r="LZY214" s="1"/>
      <c r="LZZ214" s="1"/>
      <c r="MAA214" s="1"/>
      <c r="MAB214" s="1"/>
      <c r="MAC214" s="1"/>
      <c r="MAD214" s="1"/>
      <c r="MAE214" s="1"/>
      <c r="MAF214" s="1"/>
      <c r="MAG214" s="1"/>
      <c r="MAH214" s="1"/>
      <c r="MAI214" s="1"/>
      <c r="MAJ214" s="1"/>
      <c r="MAK214" s="1"/>
      <c r="MAL214" s="1"/>
      <c r="MAM214" s="1"/>
      <c r="MAN214" s="1"/>
      <c r="MAO214" s="1"/>
      <c r="MAP214" s="1"/>
      <c r="MAQ214" s="1"/>
      <c r="MAR214" s="1"/>
      <c r="MAS214" s="1"/>
      <c r="MAT214" s="1"/>
      <c r="MAU214" s="1"/>
      <c r="MAV214" s="1"/>
      <c r="MAW214" s="1"/>
      <c r="MAX214" s="1"/>
      <c r="MAY214" s="1"/>
      <c r="MAZ214" s="1"/>
      <c r="MBA214" s="1"/>
      <c r="MBB214" s="1"/>
      <c r="MBC214" s="1"/>
      <c r="MBD214" s="1"/>
      <c r="MBE214" s="1"/>
      <c r="MBF214" s="1"/>
      <c r="MBG214" s="1"/>
      <c r="MBH214" s="1"/>
      <c r="MBI214" s="1"/>
      <c r="MBJ214" s="1"/>
      <c r="MBK214" s="1"/>
      <c r="MBL214" s="1"/>
      <c r="MBM214" s="1"/>
      <c r="MBN214" s="1"/>
      <c r="MBO214" s="1"/>
      <c r="MBP214" s="1"/>
      <c r="MBQ214" s="1"/>
      <c r="MBR214" s="1"/>
      <c r="MBS214" s="1"/>
      <c r="MBT214" s="1"/>
      <c r="MBU214" s="1"/>
      <c r="MBV214" s="1"/>
      <c r="MBW214" s="1"/>
      <c r="MBX214" s="1"/>
      <c r="MBY214" s="1"/>
      <c r="MBZ214" s="1"/>
      <c r="MCA214" s="1"/>
      <c r="MCB214" s="1"/>
      <c r="MCC214" s="1"/>
      <c r="MCD214" s="1"/>
      <c r="MCE214" s="1"/>
      <c r="MCF214" s="1"/>
      <c r="MCG214" s="1"/>
      <c r="MCH214" s="1"/>
      <c r="MCI214" s="1"/>
      <c r="MCJ214" s="1"/>
      <c r="MCK214" s="1"/>
      <c r="MCL214" s="1"/>
      <c r="MCM214" s="1"/>
      <c r="MCN214" s="1"/>
      <c r="MCO214" s="1"/>
      <c r="MCP214" s="1"/>
      <c r="MCQ214" s="1"/>
      <c r="MCR214" s="1"/>
      <c r="MCS214" s="1"/>
      <c r="MCT214" s="1"/>
      <c r="MCU214" s="1"/>
      <c r="MCV214" s="1"/>
      <c r="MCW214" s="1"/>
      <c r="MCX214" s="1"/>
      <c r="MCY214" s="1"/>
      <c r="MCZ214" s="1"/>
      <c r="MDA214" s="1"/>
      <c r="MDB214" s="1"/>
      <c r="MDC214" s="1"/>
      <c r="MDD214" s="1"/>
      <c r="MDE214" s="1"/>
      <c r="MDF214" s="1"/>
      <c r="MDG214" s="1"/>
      <c r="MDH214" s="1"/>
      <c r="MDI214" s="1"/>
      <c r="MDJ214" s="1"/>
      <c r="MDK214" s="1"/>
      <c r="MDL214" s="1"/>
      <c r="MDM214" s="1"/>
      <c r="MDN214" s="1"/>
      <c r="MDO214" s="1"/>
      <c r="MDP214" s="1"/>
      <c r="MDQ214" s="1"/>
      <c r="MDR214" s="1"/>
      <c r="MDS214" s="1"/>
      <c r="MDT214" s="1"/>
      <c r="MDU214" s="1"/>
      <c r="MDV214" s="1"/>
      <c r="MDW214" s="1"/>
      <c r="MDX214" s="1"/>
      <c r="MDY214" s="1"/>
      <c r="MDZ214" s="1"/>
      <c r="MEA214" s="1"/>
      <c r="MEB214" s="1"/>
      <c r="MEC214" s="1"/>
      <c r="MED214" s="1"/>
      <c r="MEE214" s="1"/>
      <c r="MEF214" s="1"/>
      <c r="MEG214" s="1"/>
      <c r="MEH214" s="1"/>
      <c r="MEI214" s="1"/>
      <c r="MEJ214" s="1"/>
      <c r="MEK214" s="1"/>
      <c r="MEL214" s="1"/>
      <c r="MEM214" s="1"/>
      <c r="MEN214" s="1"/>
      <c r="MEO214" s="1"/>
      <c r="MEP214" s="1"/>
      <c r="MEQ214" s="1"/>
      <c r="MER214" s="1"/>
      <c r="MES214" s="1"/>
      <c r="MET214" s="1"/>
      <c r="MEU214" s="1"/>
      <c r="MEV214" s="1"/>
      <c r="MEW214" s="1"/>
      <c r="MEX214" s="1"/>
      <c r="MEY214" s="1"/>
      <c r="MEZ214" s="1"/>
      <c r="MFA214" s="1"/>
      <c r="MFB214" s="1"/>
      <c r="MFC214" s="1"/>
      <c r="MFD214" s="1"/>
      <c r="MFE214" s="1"/>
      <c r="MFF214" s="1"/>
      <c r="MFG214" s="1"/>
      <c r="MFH214" s="1"/>
      <c r="MFI214" s="1"/>
      <c r="MFJ214" s="1"/>
      <c r="MFK214" s="1"/>
      <c r="MFL214" s="1"/>
      <c r="MFM214" s="1"/>
      <c r="MFN214" s="1"/>
      <c r="MFO214" s="1"/>
      <c r="MFP214" s="1"/>
      <c r="MFQ214" s="1"/>
      <c r="MFR214" s="1"/>
      <c r="MFS214" s="1"/>
      <c r="MFT214" s="1"/>
      <c r="MFU214" s="1"/>
      <c r="MFV214" s="1"/>
      <c r="MFW214" s="1"/>
      <c r="MFX214" s="1"/>
      <c r="MFY214" s="1"/>
      <c r="MFZ214" s="1"/>
      <c r="MGA214" s="1"/>
      <c r="MGB214" s="1"/>
      <c r="MGC214" s="1"/>
      <c r="MGD214" s="1"/>
      <c r="MGE214" s="1"/>
      <c r="MGF214" s="1"/>
      <c r="MGG214" s="1"/>
      <c r="MGH214" s="1"/>
      <c r="MGI214" s="1"/>
      <c r="MGJ214" s="1"/>
      <c r="MGK214" s="1"/>
      <c r="MGL214" s="1"/>
      <c r="MGM214" s="1"/>
      <c r="MGN214" s="1"/>
      <c r="MGO214" s="1"/>
      <c r="MGP214" s="1"/>
      <c r="MGQ214" s="1"/>
      <c r="MGR214" s="1"/>
      <c r="MGS214" s="1"/>
      <c r="MGT214" s="1"/>
      <c r="MGU214" s="1"/>
      <c r="MGV214" s="1"/>
      <c r="MGW214" s="1"/>
      <c r="MGX214" s="1"/>
      <c r="MGY214" s="1"/>
      <c r="MGZ214" s="1"/>
      <c r="MHA214" s="1"/>
      <c r="MHB214" s="1"/>
      <c r="MHC214" s="1"/>
      <c r="MHD214" s="1"/>
      <c r="MHE214" s="1"/>
      <c r="MHF214" s="1"/>
      <c r="MHG214" s="1"/>
      <c r="MHH214" s="1"/>
      <c r="MHI214" s="1"/>
      <c r="MHJ214" s="1"/>
      <c r="MHK214" s="1"/>
      <c r="MHL214" s="1"/>
      <c r="MHM214" s="1"/>
      <c r="MHN214" s="1"/>
      <c r="MHO214" s="1"/>
      <c r="MHP214" s="1"/>
      <c r="MHQ214" s="1"/>
      <c r="MHR214" s="1"/>
      <c r="MHS214" s="1"/>
      <c r="MHT214" s="1"/>
      <c r="MHU214" s="1"/>
      <c r="MHV214" s="1"/>
      <c r="MHW214" s="1"/>
      <c r="MHX214" s="1"/>
      <c r="MHY214" s="1"/>
      <c r="MHZ214" s="1"/>
      <c r="MIA214" s="1"/>
      <c r="MIB214" s="1"/>
      <c r="MIC214" s="1"/>
      <c r="MID214" s="1"/>
      <c r="MIE214" s="1"/>
      <c r="MIF214" s="1"/>
      <c r="MIG214" s="1"/>
      <c r="MIH214" s="1"/>
      <c r="MII214" s="1"/>
      <c r="MIJ214" s="1"/>
      <c r="MIK214" s="1"/>
      <c r="MIL214" s="1"/>
      <c r="MIM214" s="1"/>
      <c r="MIN214" s="1"/>
      <c r="MIO214" s="1"/>
      <c r="MIP214" s="1"/>
      <c r="MIQ214" s="1"/>
      <c r="MIR214" s="1"/>
      <c r="MIS214" s="1"/>
      <c r="MIT214" s="1"/>
      <c r="MIU214" s="1"/>
      <c r="MIV214" s="1"/>
      <c r="MIW214" s="1"/>
      <c r="MIX214" s="1"/>
      <c r="MIY214" s="1"/>
      <c r="MIZ214" s="1"/>
      <c r="MJA214" s="1"/>
      <c r="MJB214" s="1"/>
      <c r="MJC214" s="1"/>
      <c r="MJD214" s="1"/>
      <c r="MJE214" s="1"/>
      <c r="MJF214" s="1"/>
      <c r="MJG214" s="1"/>
      <c r="MJH214" s="1"/>
      <c r="MJI214" s="1"/>
      <c r="MJJ214" s="1"/>
      <c r="MJK214" s="1"/>
      <c r="MJL214" s="1"/>
      <c r="MJM214" s="1"/>
      <c r="MJN214" s="1"/>
      <c r="MJO214" s="1"/>
      <c r="MJP214" s="1"/>
      <c r="MJQ214" s="1"/>
      <c r="MJR214" s="1"/>
      <c r="MJS214" s="1"/>
      <c r="MJT214" s="1"/>
      <c r="MJU214" s="1"/>
      <c r="MJV214" s="1"/>
      <c r="MJW214" s="1"/>
      <c r="MJX214" s="1"/>
      <c r="MJY214" s="1"/>
      <c r="MJZ214" s="1"/>
      <c r="MKA214" s="1"/>
      <c r="MKB214" s="1"/>
      <c r="MKC214" s="1"/>
      <c r="MKD214" s="1"/>
      <c r="MKE214" s="1"/>
      <c r="MKF214" s="1"/>
      <c r="MKG214" s="1"/>
      <c r="MKH214" s="1"/>
      <c r="MKI214" s="1"/>
      <c r="MKJ214" s="1"/>
      <c r="MKK214" s="1"/>
      <c r="MKL214" s="1"/>
      <c r="MKM214" s="1"/>
      <c r="MKN214" s="1"/>
      <c r="MKO214" s="1"/>
      <c r="MKP214" s="1"/>
      <c r="MKQ214" s="1"/>
      <c r="MKR214" s="1"/>
      <c r="MKS214" s="1"/>
      <c r="MKT214" s="1"/>
      <c r="MKU214" s="1"/>
      <c r="MKV214" s="1"/>
      <c r="MKW214" s="1"/>
      <c r="MKX214" s="1"/>
      <c r="MKY214" s="1"/>
      <c r="MKZ214" s="1"/>
      <c r="MLA214" s="1"/>
      <c r="MLB214" s="1"/>
      <c r="MLC214" s="1"/>
      <c r="MLD214" s="1"/>
      <c r="MLE214" s="1"/>
      <c r="MLF214" s="1"/>
      <c r="MLG214" s="1"/>
      <c r="MLH214" s="1"/>
      <c r="MLI214" s="1"/>
      <c r="MLJ214" s="1"/>
      <c r="MLK214" s="1"/>
      <c r="MLL214" s="1"/>
      <c r="MLM214" s="1"/>
      <c r="MLN214" s="1"/>
      <c r="MLO214" s="1"/>
      <c r="MLP214" s="1"/>
      <c r="MLQ214" s="1"/>
      <c r="MLR214" s="1"/>
      <c r="MLS214" s="1"/>
      <c r="MLT214" s="1"/>
      <c r="MLU214" s="1"/>
      <c r="MLV214" s="1"/>
      <c r="MLW214" s="1"/>
      <c r="MLX214" s="1"/>
      <c r="MLY214" s="1"/>
      <c r="MLZ214" s="1"/>
      <c r="MMA214" s="1"/>
      <c r="MMB214" s="1"/>
      <c r="MMC214" s="1"/>
      <c r="MMD214" s="1"/>
      <c r="MME214" s="1"/>
      <c r="MMF214" s="1"/>
      <c r="MMG214" s="1"/>
      <c r="MMH214" s="1"/>
      <c r="MMI214" s="1"/>
      <c r="MMJ214" s="1"/>
      <c r="MMK214" s="1"/>
      <c r="MML214" s="1"/>
      <c r="MMM214" s="1"/>
      <c r="MMN214" s="1"/>
      <c r="MMO214" s="1"/>
      <c r="MMP214" s="1"/>
      <c r="MMQ214" s="1"/>
      <c r="MMR214" s="1"/>
      <c r="MMS214" s="1"/>
      <c r="MMT214" s="1"/>
      <c r="MMU214" s="1"/>
      <c r="MMV214" s="1"/>
      <c r="MMW214" s="1"/>
      <c r="MMX214" s="1"/>
      <c r="MMY214" s="1"/>
      <c r="MMZ214" s="1"/>
      <c r="MNA214" s="1"/>
      <c r="MNB214" s="1"/>
      <c r="MNC214" s="1"/>
      <c r="MND214" s="1"/>
      <c r="MNE214" s="1"/>
      <c r="MNF214" s="1"/>
      <c r="MNG214" s="1"/>
      <c r="MNH214" s="1"/>
      <c r="MNI214" s="1"/>
      <c r="MNJ214" s="1"/>
      <c r="MNK214" s="1"/>
      <c r="MNL214" s="1"/>
      <c r="MNM214" s="1"/>
      <c r="MNN214" s="1"/>
      <c r="MNO214" s="1"/>
      <c r="MNP214" s="1"/>
      <c r="MNQ214" s="1"/>
      <c r="MNR214" s="1"/>
      <c r="MNS214" s="1"/>
      <c r="MNT214" s="1"/>
      <c r="MNU214" s="1"/>
      <c r="MNV214" s="1"/>
      <c r="MNW214" s="1"/>
      <c r="MNX214" s="1"/>
      <c r="MNY214" s="1"/>
      <c r="MNZ214" s="1"/>
      <c r="MOA214" s="1"/>
      <c r="MOB214" s="1"/>
      <c r="MOC214" s="1"/>
      <c r="MOD214" s="1"/>
      <c r="MOE214" s="1"/>
      <c r="MOF214" s="1"/>
      <c r="MOG214" s="1"/>
      <c r="MOH214" s="1"/>
      <c r="MOI214" s="1"/>
      <c r="MOJ214" s="1"/>
      <c r="MOK214" s="1"/>
      <c r="MOL214" s="1"/>
      <c r="MOM214" s="1"/>
      <c r="MON214" s="1"/>
      <c r="MOO214" s="1"/>
      <c r="MOP214" s="1"/>
      <c r="MOQ214" s="1"/>
      <c r="MOR214" s="1"/>
      <c r="MOS214" s="1"/>
      <c r="MOT214" s="1"/>
      <c r="MOU214" s="1"/>
      <c r="MOV214" s="1"/>
      <c r="MOW214" s="1"/>
      <c r="MOX214" s="1"/>
      <c r="MOY214" s="1"/>
      <c r="MOZ214" s="1"/>
      <c r="MPA214" s="1"/>
      <c r="MPB214" s="1"/>
      <c r="MPC214" s="1"/>
      <c r="MPD214" s="1"/>
      <c r="MPE214" s="1"/>
      <c r="MPF214" s="1"/>
      <c r="MPG214" s="1"/>
      <c r="MPH214" s="1"/>
      <c r="MPI214" s="1"/>
      <c r="MPJ214" s="1"/>
      <c r="MPK214" s="1"/>
      <c r="MPL214" s="1"/>
      <c r="MPM214" s="1"/>
      <c r="MPN214" s="1"/>
      <c r="MPO214" s="1"/>
      <c r="MPP214" s="1"/>
      <c r="MPQ214" s="1"/>
      <c r="MPR214" s="1"/>
      <c r="MPS214" s="1"/>
      <c r="MPT214" s="1"/>
      <c r="MPU214" s="1"/>
      <c r="MPV214" s="1"/>
      <c r="MPW214" s="1"/>
      <c r="MPX214" s="1"/>
      <c r="MPY214" s="1"/>
      <c r="MPZ214" s="1"/>
      <c r="MQA214" s="1"/>
      <c r="MQB214" s="1"/>
      <c r="MQC214" s="1"/>
      <c r="MQD214" s="1"/>
      <c r="MQE214" s="1"/>
      <c r="MQF214" s="1"/>
      <c r="MQG214" s="1"/>
      <c r="MQH214" s="1"/>
      <c r="MQI214" s="1"/>
      <c r="MQJ214" s="1"/>
      <c r="MQK214" s="1"/>
      <c r="MQL214" s="1"/>
      <c r="MQM214" s="1"/>
      <c r="MQN214" s="1"/>
      <c r="MQO214" s="1"/>
      <c r="MQP214" s="1"/>
      <c r="MQQ214" s="1"/>
      <c r="MQR214" s="1"/>
      <c r="MQS214" s="1"/>
      <c r="MQT214" s="1"/>
      <c r="MQU214" s="1"/>
      <c r="MQV214" s="1"/>
      <c r="MQW214" s="1"/>
      <c r="MQX214" s="1"/>
      <c r="MQY214" s="1"/>
      <c r="MQZ214" s="1"/>
      <c r="MRA214" s="1"/>
      <c r="MRB214" s="1"/>
      <c r="MRC214" s="1"/>
      <c r="MRD214" s="1"/>
      <c r="MRE214" s="1"/>
      <c r="MRF214" s="1"/>
      <c r="MRG214" s="1"/>
      <c r="MRH214" s="1"/>
      <c r="MRI214" s="1"/>
      <c r="MRJ214" s="1"/>
      <c r="MRK214" s="1"/>
      <c r="MRL214" s="1"/>
      <c r="MRM214" s="1"/>
      <c r="MRN214" s="1"/>
      <c r="MRO214" s="1"/>
      <c r="MRP214" s="1"/>
      <c r="MRQ214" s="1"/>
      <c r="MRR214" s="1"/>
      <c r="MRS214" s="1"/>
      <c r="MRT214" s="1"/>
      <c r="MRU214" s="1"/>
      <c r="MRV214" s="1"/>
      <c r="MRW214" s="1"/>
      <c r="MRX214" s="1"/>
      <c r="MRY214" s="1"/>
      <c r="MRZ214" s="1"/>
      <c r="MSA214" s="1"/>
      <c r="MSB214" s="1"/>
      <c r="MSC214" s="1"/>
      <c r="MSD214" s="1"/>
      <c r="MSE214" s="1"/>
      <c r="MSF214" s="1"/>
      <c r="MSG214" s="1"/>
      <c r="MSH214" s="1"/>
      <c r="MSI214" s="1"/>
      <c r="MSJ214" s="1"/>
      <c r="MSK214" s="1"/>
      <c r="MSL214" s="1"/>
      <c r="MSM214" s="1"/>
      <c r="MSN214" s="1"/>
      <c r="MSO214" s="1"/>
      <c r="MSP214" s="1"/>
      <c r="MSQ214" s="1"/>
      <c r="MSR214" s="1"/>
      <c r="MSS214" s="1"/>
      <c r="MST214" s="1"/>
      <c r="MSU214" s="1"/>
      <c r="MSV214" s="1"/>
      <c r="MSW214" s="1"/>
      <c r="MSX214" s="1"/>
      <c r="MSY214" s="1"/>
      <c r="MSZ214" s="1"/>
      <c r="MTA214" s="1"/>
      <c r="MTB214" s="1"/>
      <c r="MTC214" s="1"/>
      <c r="MTD214" s="1"/>
      <c r="MTE214" s="1"/>
      <c r="MTF214" s="1"/>
      <c r="MTG214" s="1"/>
      <c r="MTH214" s="1"/>
      <c r="MTI214" s="1"/>
      <c r="MTJ214" s="1"/>
      <c r="MTK214" s="1"/>
      <c r="MTL214" s="1"/>
      <c r="MTM214" s="1"/>
      <c r="MTN214" s="1"/>
      <c r="MTO214" s="1"/>
      <c r="MTP214" s="1"/>
      <c r="MTQ214" s="1"/>
      <c r="MTR214" s="1"/>
      <c r="MTS214" s="1"/>
      <c r="MTT214" s="1"/>
      <c r="MTU214" s="1"/>
      <c r="MTV214" s="1"/>
      <c r="MTW214" s="1"/>
      <c r="MTX214" s="1"/>
      <c r="MTY214" s="1"/>
      <c r="MTZ214" s="1"/>
      <c r="MUA214" s="1"/>
      <c r="MUB214" s="1"/>
      <c r="MUC214" s="1"/>
      <c r="MUD214" s="1"/>
      <c r="MUE214" s="1"/>
      <c r="MUF214" s="1"/>
      <c r="MUG214" s="1"/>
      <c r="MUH214" s="1"/>
      <c r="MUI214" s="1"/>
      <c r="MUJ214" s="1"/>
      <c r="MUK214" s="1"/>
      <c r="MUL214" s="1"/>
      <c r="MUM214" s="1"/>
      <c r="MUN214" s="1"/>
      <c r="MUO214" s="1"/>
      <c r="MUP214" s="1"/>
      <c r="MUQ214" s="1"/>
      <c r="MUR214" s="1"/>
      <c r="MUS214" s="1"/>
      <c r="MUT214" s="1"/>
      <c r="MUU214" s="1"/>
      <c r="MUV214" s="1"/>
      <c r="MUW214" s="1"/>
      <c r="MUX214" s="1"/>
      <c r="MUY214" s="1"/>
      <c r="MUZ214" s="1"/>
      <c r="MVA214" s="1"/>
      <c r="MVB214" s="1"/>
      <c r="MVC214" s="1"/>
      <c r="MVD214" s="1"/>
      <c r="MVE214" s="1"/>
      <c r="MVF214" s="1"/>
      <c r="MVG214" s="1"/>
      <c r="MVH214" s="1"/>
      <c r="MVI214" s="1"/>
      <c r="MVJ214" s="1"/>
      <c r="MVK214" s="1"/>
      <c r="MVL214" s="1"/>
      <c r="MVM214" s="1"/>
      <c r="MVN214" s="1"/>
      <c r="MVO214" s="1"/>
      <c r="MVP214" s="1"/>
      <c r="MVQ214" s="1"/>
      <c r="MVR214" s="1"/>
      <c r="MVS214" s="1"/>
      <c r="MVT214" s="1"/>
      <c r="MVU214" s="1"/>
      <c r="MVV214" s="1"/>
      <c r="MVW214" s="1"/>
      <c r="MVX214" s="1"/>
      <c r="MVY214" s="1"/>
      <c r="MVZ214" s="1"/>
      <c r="MWA214" s="1"/>
      <c r="MWB214" s="1"/>
      <c r="MWC214" s="1"/>
      <c r="MWD214" s="1"/>
      <c r="MWE214" s="1"/>
      <c r="MWF214" s="1"/>
      <c r="MWG214" s="1"/>
      <c r="MWH214" s="1"/>
      <c r="MWI214" s="1"/>
      <c r="MWJ214" s="1"/>
      <c r="MWK214" s="1"/>
      <c r="MWL214" s="1"/>
      <c r="MWM214" s="1"/>
      <c r="MWN214" s="1"/>
      <c r="MWO214" s="1"/>
      <c r="MWP214" s="1"/>
      <c r="MWQ214" s="1"/>
      <c r="MWR214" s="1"/>
      <c r="MWS214" s="1"/>
      <c r="MWT214" s="1"/>
      <c r="MWU214" s="1"/>
      <c r="MWV214" s="1"/>
      <c r="MWW214" s="1"/>
      <c r="MWX214" s="1"/>
      <c r="MWY214" s="1"/>
      <c r="MWZ214" s="1"/>
      <c r="MXA214" s="1"/>
      <c r="MXB214" s="1"/>
      <c r="MXC214" s="1"/>
      <c r="MXD214" s="1"/>
      <c r="MXE214" s="1"/>
      <c r="MXF214" s="1"/>
      <c r="MXG214" s="1"/>
      <c r="MXH214" s="1"/>
      <c r="MXI214" s="1"/>
      <c r="MXJ214" s="1"/>
      <c r="MXK214" s="1"/>
      <c r="MXL214" s="1"/>
      <c r="MXM214" s="1"/>
      <c r="MXN214" s="1"/>
      <c r="MXO214" s="1"/>
      <c r="MXP214" s="1"/>
      <c r="MXQ214" s="1"/>
      <c r="MXR214" s="1"/>
      <c r="MXS214" s="1"/>
      <c r="MXT214" s="1"/>
      <c r="MXU214" s="1"/>
      <c r="MXV214" s="1"/>
      <c r="MXW214" s="1"/>
      <c r="MXX214" s="1"/>
      <c r="MXY214" s="1"/>
      <c r="MXZ214" s="1"/>
      <c r="MYA214" s="1"/>
      <c r="MYB214" s="1"/>
      <c r="MYC214" s="1"/>
      <c r="MYD214" s="1"/>
      <c r="MYE214" s="1"/>
      <c r="MYF214" s="1"/>
      <c r="MYG214" s="1"/>
      <c r="MYH214" s="1"/>
      <c r="MYI214" s="1"/>
      <c r="MYJ214" s="1"/>
      <c r="MYK214" s="1"/>
      <c r="MYL214" s="1"/>
      <c r="MYM214" s="1"/>
      <c r="MYN214" s="1"/>
      <c r="MYO214" s="1"/>
      <c r="MYP214" s="1"/>
      <c r="MYQ214" s="1"/>
      <c r="MYR214" s="1"/>
      <c r="MYS214" s="1"/>
      <c r="MYT214" s="1"/>
      <c r="MYU214" s="1"/>
      <c r="MYV214" s="1"/>
      <c r="MYW214" s="1"/>
      <c r="MYX214" s="1"/>
      <c r="MYY214" s="1"/>
      <c r="MYZ214" s="1"/>
      <c r="MZA214" s="1"/>
      <c r="MZB214" s="1"/>
      <c r="MZC214" s="1"/>
      <c r="MZD214" s="1"/>
      <c r="MZE214" s="1"/>
      <c r="MZF214" s="1"/>
      <c r="MZG214" s="1"/>
      <c r="MZH214" s="1"/>
      <c r="MZI214" s="1"/>
      <c r="MZJ214" s="1"/>
      <c r="MZK214" s="1"/>
      <c r="MZL214" s="1"/>
      <c r="MZM214" s="1"/>
      <c r="MZN214" s="1"/>
      <c r="MZO214" s="1"/>
      <c r="MZP214" s="1"/>
      <c r="MZQ214" s="1"/>
      <c r="MZR214" s="1"/>
      <c r="MZS214" s="1"/>
      <c r="MZT214" s="1"/>
      <c r="MZU214" s="1"/>
      <c r="MZV214" s="1"/>
      <c r="MZW214" s="1"/>
      <c r="MZX214" s="1"/>
      <c r="MZY214" s="1"/>
      <c r="MZZ214" s="1"/>
      <c r="NAA214" s="1"/>
      <c r="NAB214" s="1"/>
      <c r="NAC214" s="1"/>
      <c r="NAD214" s="1"/>
      <c r="NAE214" s="1"/>
      <c r="NAF214" s="1"/>
      <c r="NAG214" s="1"/>
      <c r="NAH214" s="1"/>
      <c r="NAI214" s="1"/>
      <c r="NAJ214" s="1"/>
      <c r="NAK214" s="1"/>
      <c r="NAL214" s="1"/>
      <c r="NAM214" s="1"/>
      <c r="NAN214" s="1"/>
      <c r="NAO214" s="1"/>
      <c r="NAP214" s="1"/>
      <c r="NAQ214" s="1"/>
      <c r="NAR214" s="1"/>
      <c r="NAS214" s="1"/>
      <c r="NAT214" s="1"/>
      <c r="NAU214" s="1"/>
      <c r="NAV214" s="1"/>
      <c r="NAW214" s="1"/>
      <c r="NAX214" s="1"/>
      <c r="NAY214" s="1"/>
      <c r="NAZ214" s="1"/>
      <c r="NBA214" s="1"/>
      <c r="NBB214" s="1"/>
      <c r="NBC214" s="1"/>
      <c r="NBD214" s="1"/>
      <c r="NBE214" s="1"/>
      <c r="NBF214" s="1"/>
      <c r="NBG214" s="1"/>
      <c r="NBH214" s="1"/>
      <c r="NBI214" s="1"/>
      <c r="NBJ214" s="1"/>
      <c r="NBK214" s="1"/>
      <c r="NBL214" s="1"/>
      <c r="NBM214" s="1"/>
      <c r="NBN214" s="1"/>
      <c r="NBO214" s="1"/>
      <c r="NBP214" s="1"/>
      <c r="NBQ214" s="1"/>
      <c r="NBR214" s="1"/>
      <c r="NBS214" s="1"/>
      <c r="NBT214" s="1"/>
      <c r="NBU214" s="1"/>
      <c r="NBV214" s="1"/>
      <c r="NBW214" s="1"/>
      <c r="NBX214" s="1"/>
      <c r="NBY214" s="1"/>
      <c r="NBZ214" s="1"/>
      <c r="NCA214" s="1"/>
      <c r="NCB214" s="1"/>
      <c r="NCC214" s="1"/>
      <c r="NCD214" s="1"/>
      <c r="NCE214" s="1"/>
      <c r="NCF214" s="1"/>
      <c r="NCG214" s="1"/>
      <c r="NCH214" s="1"/>
      <c r="NCI214" s="1"/>
      <c r="NCJ214" s="1"/>
      <c r="NCK214" s="1"/>
      <c r="NCL214" s="1"/>
      <c r="NCM214" s="1"/>
      <c r="NCN214" s="1"/>
      <c r="NCO214" s="1"/>
      <c r="NCP214" s="1"/>
      <c r="NCQ214" s="1"/>
      <c r="NCR214" s="1"/>
      <c r="NCS214" s="1"/>
      <c r="NCT214" s="1"/>
      <c r="NCU214" s="1"/>
      <c r="NCV214" s="1"/>
      <c r="NCW214" s="1"/>
      <c r="NCX214" s="1"/>
      <c r="NCY214" s="1"/>
      <c r="NCZ214" s="1"/>
      <c r="NDA214" s="1"/>
      <c r="NDB214" s="1"/>
      <c r="NDC214" s="1"/>
      <c r="NDD214" s="1"/>
      <c r="NDE214" s="1"/>
      <c r="NDF214" s="1"/>
      <c r="NDG214" s="1"/>
      <c r="NDH214" s="1"/>
      <c r="NDI214" s="1"/>
      <c r="NDJ214" s="1"/>
      <c r="NDK214" s="1"/>
      <c r="NDL214" s="1"/>
      <c r="NDM214" s="1"/>
      <c r="NDN214" s="1"/>
      <c r="NDO214" s="1"/>
      <c r="NDP214" s="1"/>
      <c r="NDQ214" s="1"/>
      <c r="NDR214" s="1"/>
      <c r="NDS214" s="1"/>
      <c r="NDT214" s="1"/>
      <c r="NDU214" s="1"/>
      <c r="NDV214" s="1"/>
      <c r="NDW214" s="1"/>
      <c r="NDX214" s="1"/>
      <c r="NDY214" s="1"/>
      <c r="NDZ214" s="1"/>
      <c r="NEA214" s="1"/>
      <c r="NEB214" s="1"/>
      <c r="NEC214" s="1"/>
      <c r="NED214" s="1"/>
      <c r="NEE214" s="1"/>
      <c r="NEF214" s="1"/>
      <c r="NEG214" s="1"/>
      <c r="NEH214" s="1"/>
      <c r="NEI214" s="1"/>
      <c r="NEJ214" s="1"/>
      <c r="NEK214" s="1"/>
      <c r="NEL214" s="1"/>
      <c r="NEM214" s="1"/>
      <c r="NEN214" s="1"/>
      <c r="NEO214" s="1"/>
      <c r="NEP214" s="1"/>
      <c r="NEQ214" s="1"/>
      <c r="NER214" s="1"/>
      <c r="NES214" s="1"/>
      <c r="NET214" s="1"/>
      <c r="NEU214" s="1"/>
      <c r="NEV214" s="1"/>
      <c r="NEW214" s="1"/>
      <c r="NEX214" s="1"/>
      <c r="NEY214" s="1"/>
      <c r="NEZ214" s="1"/>
      <c r="NFA214" s="1"/>
      <c r="NFB214" s="1"/>
      <c r="NFC214" s="1"/>
      <c r="NFD214" s="1"/>
      <c r="NFE214" s="1"/>
      <c r="NFF214" s="1"/>
      <c r="NFG214" s="1"/>
      <c r="NFH214" s="1"/>
      <c r="NFI214" s="1"/>
      <c r="NFJ214" s="1"/>
      <c r="NFK214" s="1"/>
      <c r="NFL214" s="1"/>
      <c r="NFM214" s="1"/>
      <c r="NFN214" s="1"/>
      <c r="NFO214" s="1"/>
      <c r="NFP214" s="1"/>
      <c r="NFQ214" s="1"/>
      <c r="NFR214" s="1"/>
      <c r="NFS214" s="1"/>
      <c r="NFT214" s="1"/>
      <c r="NFU214" s="1"/>
      <c r="NFV214" s="1"/>
      <c r="NFW214" s="1"/>
      <c r="NFX214" s="1"/>
      <c r="NFY214" s="1"/>
      <c r="NFZ214" s="1"/>
      <c r="NGA214" s="1"/>
      <c r="NGB214" s="1"/>
      <c r="NGC214" s="1"/>
      <c r="NGD214" s="1"/>
      <c r="NGE214" s="1"/>
      <c r="NGF214" s="1"/>
      <c r="NGG214" s="1"/>
      <c r="NGH214" s="1"/>
      <c r="NGI214" s="1"/>
      <c r="NGJ214" s="1"/>
      <c r="NGK214" s="1"/>
      <c r="NGL214" s="1"/>
      <c r="NGM214" s="1"/>
      <c r="NGN214" s="1"/>
      <c r="NGO214" s="1"/>
      <c r="NGP214" s="1"/>
      <c r="NGQ214" s="1"/>
      <c r="NGR214" s="1"/>
      <c r="NGS214" s="1"/>
      <c r="NGT214" s="1"/>
      <c r="NGU214" s="1"/>
      <c r="NGV214" s="1"/>
      <c r="NGW214" s="1"/>
      <c r="NGX214" s="1"/>
      <c r="NGY214" s="1"/>
      <c r="NGZ214" s="1"/>
      <c r="NHA214" s="1"/>
      <c r="NHB214" s="1"/>
      <c r="NHC214" s="1"/>
      <c r="NHD214" s="1"/>
      <c r="NHE214" s="1"/>
      <c r="NHF214" s="1"/>
      <c r="NHG214" s="1"/>
      <c r="NHH214" s="1"/>
      <c r="NHI214" s="1"/>
      <c r="NHJ214" s="1"/>
      <c r="NHK214" s="1"/>
      <c r="NHL214" s="1"/>
      <c r="NHM214" s="1"/>
      <c r="NHN214" s="1"/>
      <c r="NHO214" s="1"/>
      <c r="NHP214" s="1"/>
      <c r="NHQ214" s="1"/>
      <c r="NHR214" s="1"/>
      <c r="NHS214" s="1"/>
      <c r="NHT214" s="1"/>
      <c r="NHU214" s="1"/>
      <c r="NHV214" s="1"/>
      <c r="NHW214" s="1"/>
      <c r="NHX214" s="1"/>
      <c r="NHY214" s="1"/>
      <c r="NHZ214" s="1"/>
      <c r="NIA214" s="1"/>
      <c r="NIB214" s="1"/>
      <c r="NIC214" s="1"/>
      <c r="NID214" s="1"/>
      <c r="NIE214" s="1"/>
      <c r="NIF214" s="1"/>
      <c r="NIG214" s="1"/>
      <c r="NIH214" s="1"/>
      <c r="NII214" s="1"/>
      <c r="NIJ214" s="1"/>
      <c r="NIK214" s="1"/>
      <c r="NIL214" s="1"/>
      <c r="NIM214" s="1"/>
      <c r="NIN214" s="1"/>
      <c r="NIO214" s="1"/>
      <c r="NIP214" s="1"/>
      <c r="NIQ214" s="1"/>
      <c r="NIR214" s="1"/>
      <c r="NIS214" s="1"/>
      <c r="NIT214" s="1"/>
      <c r="NIU214" s="1"/>
      <c r="NIV214" s="1"/>
      <c r="NIW214" s="1"/>
      <c r="NIX214" s="1"/>
      <c r="NIY214" s="1"/>
      <c r="NIZ214" s="1"/>
      <c r="NJA214" s="1"/>
      <c r="NJB214" s="1"/>
      <c r="NJC214" s="1"/>
      <c r="NJD214" s="1"/>
      <c r="NJE214" s="1"/>
      <c r="NJF214" s="1"/>
      <c r="NJG214" s="1"/>
      <c r="NJH214" s="1"/>
      <c r="NJI214" s="1"/>
      <c r="NJJ214" s="1"/>
      <c r="NJK214" s="1"/>
      <c r="NJL214" s="1"/>
      <c r="NJM214" s="1"/>
      <c r="NJN214" s="1"/>
      <c r="NJO214" s="1"/>
      <c r="NJP214" s="1"/>
      <c r="NJQ214" s="1"/>
      <c r="NJR214" s="1"/>
      <c r="NJS214" s="1"/>
      <c r="NJT214" s="1"/>
      <c r="NJU214" s="1"/>
      <c r="NJV214" s="1"/>
      <c r="NJW214" s="1"/>
      <c r="NJX214" s="1"/>
      <c r="NJY214" s="1"/>
      <c r="NJZ214" s="1"/>
      <c r="NKA214" s="1"/>
      <c r="NKB214" s="1"/>
      <c r="NKC214" s="1"/>
      <c r="NKD214" s="1"/>
      <c r="NKE214" s="1"/>
      <c r="NKF214" s="1"/>
      <c r="NKG214" s="1"/>
      <c r="NKH214" s="1"/>
      <c r="NKI214" s="1"/>
      <c r="NKJ214" s="1"/>
      <c r="NKK214" s="1"/>
      <c r="NKL214" s="1"/>
      <c r="NKM214" s="1"/>
      <c r="NKN214" s="1"/>
      <c r="NKO214" s="1"/>
      <c r="NKP214" s="1"/>
      <c r="NKQ214" s="1"/>
      <c r="NKR214" s="1"/>
      <c r="NKS214" s="1"/>
      <c r="NKT214" s="1"/>
      <c r="NKU214" s="1"/>
      <c r="NKV214" s="1"/>
      <c r="NKW214" s="1"/>
      <c r="NKX214" s="1"/>
      <c r="NKY214" s="1"/>
      <c r="NKZ214" s="1"/>
      <c r="NLA214" s="1"/>
      <c r="NLB214" s="1"/>
      <c r="NLC214" s="1"/>
      <c r="NLD214" s="1"/>
      <c r="NLE214" s="1"/>
      <c r="NLF214" s="1"/>
      <c r="NLG214" s="1"/>
      <c r="NLH214" s="1"/>
      <c r="NLI214" s="1"/>
      <c r="NLJ214" s="1"/>
      <c r="NLK214" s="1"/>
      <c r="NLL214" s="1"/>
      <c r="NLM214" s="1"/>
      <c r="NLN214" s="1"/>
      <c r="NLO214" s="1"/>
      <c r="NLP214" s="1"/>
      <c r="NLQ214" s="1"/>
      <c r="NLR214" s="1"/>
      <c r="NLS214" s="1"/>
      <c r="NLT214" s="1"/>
      <c r="NLU214" s="1"/>
      <c r="NLV214" s="1"/>
      <c r="NLW214" s="1"/>
      <c r="NLX214" s="1"/>
      <c r="NLY214" s="1"/>
      <c r="NLZ214" s="1"/>
      <c r="NMA214" s="1"/>
      <c r="NMB214" s="1"/>
      <c r="NMC214" s="1"/>
      <c r="NMD214" s="1"/>
      <c r="NME214" s="1"/>
      <c r="NMF214" s="1"/>
      <c r="NMG214" s="1"/>
      <c r="NMH214" s="1"/>
      <c r="NMI214" s="1"/>
      <c r="NMJ214" s="1"/>
      <c r="NMK214" s="1"/>
      <c r="NML214" s="1"/>
      <c r="NMM214" s="1"/>
      <c r="NMN214" s="1"/>
      <c r="NMO214" s="1"/>
      <c r="NMP214" s="1"/>
      <c r="NMQ214" s="1"/>
      <c r="NMR214" s="1"/>
      <c r="NMS214" s="1"/>
      <c r="NMT214" s="1"/>
      <c r="NMU214" s="1"/>
      <c r="NMV214" s="1"/>
      <c r="NMW214" s="1"/>
      <c r="NMX214" s="1"/>
      <c r="NMY214" s="1"/>
      <c r="NMZ214" s="1"/>
      <c r="NNA214" s="1"/>
      <c r="NNB214" s="1"/>
      <c r="NNC214" s="1"/>
      <c r="NND214" s="1"/>
      <c r="NNE214" s="1"/>
      <c r="NNF214" s="1"/>
      <c r="NNG214" s="1"/>
      <c r="NNH214" s="1"/>
      <c r="NNI214" s="1"/>
      <c r="NNJ214" s="1"/>
      <c r="NNK214" s="1"/>
      <c r="NNL214" s="1"/>
      <c r="NNM214" s="1"/>
      <c r="NNN214" s="1"/>
      <c r="NNO214" s="1"/>
      <c r="NNP214" s="1"/>
      <c r="NNQ214" s="1"/>
      <c r="NNR214" s="1"/>
      <c r="NNS214" s="1"/>
      <c r="NNT214" s="1"/>
      <c r="NNU214" s="1"/>
      <c r="NNV214" s="1"/>
      <c r="NNW214" s="1"/>
      <c r="NNX214" s="1"/>
      <c r="NNY214" s="1"/>
      <c r="NNZ214" s="1"/>
      <c r="NOA214" s="1"/>
      <c r="NOB214" s="1"/>
      <c r="NOC214" s="1"/>
      <c r="NOD214" s="1"/>
      <c r="NOE214" s="1"/>
      <c r="NOF214" s="1"/>
      <c r="NOG214" s="1"/>
      <c r="NOH214" s="1"/>
      <c r="NOI214" s="1"/>
      <c r="NOJ214" s="1"/>
      <c r="NOK214" s="1"/>
      <c r="NOL214" s="1"/>
      <c r="NOM214" s="1"/>
      <c r="NON214" s="1"/>
      <c r="NOO214" s="1"/>
      <c r="NOP214" s="1"/>
      <c r="NOQ214" s="1"/>
      <c r="NOR214" s="1"/>
      <c r="NOS214" s="1"/>
      <c r="NOT214" s="1"/>
      <c r="NOU214" s="1"/>
      <c r="NOV214" s="1"/>
      <c r="NOW214" s="1"/>
      <c r="NOX214" s="1"/>
      <c r="NOY214" s="1"/>
      <c r="NOZ214" s="1"/>
      <c r="NPA214" s="1"/>
      <c r="NPB214" s="1"/>
      <c r="NPC214" s="1"/>
      <c r="NPD214" s="1"/>
      <c r="NPE214" s="1"/>
      <c r="NPF214" s="1"/>
      <c r="NPG214" s="1"/>
      <c r="NPH214" s="1"/>
      <c r="NPI214" s="1"/>
      <c r="NPJ214" s="1"/>
      <c r="NPK214" s="1"/>
      <c r="NPL214" s="1"/>
      <c r="NPM214" s="1"/>
      <c r="NPN214" s="1"/>
      <c r="NPO214" s="1"/>
      <c r="NPP214" s="1"/>
      <c r="NPQ214" s="1"/>
      <c r="NPR214" s="1"/>
      <c r="NPS214" s="1"/>
      <c r="NPT214" s="1"/>
      <c r="NPU214" s="1"/>
      <c r="NPV214" s="1"/>
      <c r="NPW214" s="1"/>
      <c r="NPX214" s="1"/>
      <c r="NPY214" s="1"/>
      <c r="NPZ214" s="1"/>
      <c r="NQA214" s="1"/>
      <c r="NQB214" s="1"/>
      <c r="NQC214" s="1"/>
      <c r="NQD214" s="1"/>
      <c r="NQE214" s="1"/>
      <c r="NQF214" s="1"/>
      <c r="NQG214" s="1"/>
      <c r="NQH214" s="1"/>
      <c r="NQI214" s="1"/>
      <c r="NQJ214" s="1"/>
      <c r="NQK214" s="1"/>
      <c r="NQL214" s="1"/>
      <c r="NQM214" s="1"/>
      <c r="NQN214" s="1"/>
      <c r="NQO214" s="1"/>
      <c r="NQP214" s="1"/>
      <c r="NQQ214" s="1"/>
      <c r="NQR214" s="1"/>
      <c r="NQS214" s="1"/>
      <c r="NQT214" s="1"/>
      <c r="NQU214" s="1"/>
      <c r="NQV214" s="1"/>
      <c r="NQW214" s="1"/>
      <c r="NQX214" s="1"/>
      <c r="NQY214" s="1"/>
      <c r="NQZ214" s="1"/>
      <c r="NRA214" s="1"/>
      <c r="NRB214" s="1"/>
      <c r="NRC214" s="1"/>
      <c r="NRD214" s="1"/>
      <c r="NRE214" s="1"/>
      <c r="NRF214" s="1"/>
      <c r="NRG214" s="1"/>
      <c r="NRH214" s="1"/>
      <c r="NRI214" s="1"/>
      <c r="NRJ214" s="1"/>
      <c r="NRK214" s="1"/>
      <c r="NRL214" s="1"/>
      <c r="NRM214" s="1"/>
      <c r="NRN214" s="1"/>
      <c r="NRO214" s="1"/>
      <c r="NRP214" s="1"/>
      <c r="NRQ214" s="1"/>
      <c r="NRR214" s="1"/>
      <c r="NRS214" s="1"/>
      <c r="NRT214" s="1"/>
      <c r="NRU214" s="1"/>
      <c r="NRV214" s="1"/>
      <c r="NRW214" s="1"/>
      <c r="NRX214" s="1"/>
      <c r="NRY214" s="1"/>
      <c r="NRZ214" s="1"/>
      <c r="NSA214" s="1"/>
      <c r="NSB214" s="1"/>
      <c r="NSC214" s="1"/>
      <c r="NSD214" s="1"/>
      <c r="NSE214" s="1"/>
      <c r="NSF214" s="1"/>
      <c r="NSG214" s="1"/>
      <c r="NSH214" s="1"/>
      <c r="NSI214" s="1"/>
      <c r="NSJ214" s="1"/>
      <c r="NSK214" s="1"/>
      <c r="NSL214" s="1"/>
      <c r="NSM214" s="1"/>
      <c r="NSN214" s="1"/>
      <c r="NSO214" s="1"/>
      <c r="NSP214" s="1"/>
      <c r="NSQ214" s="1"/>
      <c r="NSR214" s="1"/>
      <c r="NSS214" s="1"/>
      <c r="NST214" s="1"/>
      <c r="NSU214" s="1"/>
      <c r="NSV214" s="1"/>
      <c r="NSW214" s="1"/>
      <c r="NSX214" s="1"/>
      <c r="NSY214" s="1"/>
      <c r="NSZ214" s="1"/>
      <c r="NTA214" s="1"/>
      <c r="NTB214" s="1"/>
      <c r="NTC214" s="1"/>
      <c r="NTD214" s="1"/>
      <c r="NTE214" s="1"/>
      <c r="NTF214" s="1"/>
      <c r="NTG214" s="1"/>
      <c r="NTH214" s="1"/>
      <c r="NTI214" s="1"/>
      <c r="NTJ214" s="1"/>
      <c r="NTK214" s="1"/>
      <c r="NTL214" s="1"/>
      <c r="NTM214" s="1"/>
      <c r="NTN214" s="1"/>
      <c r="NTO214" s="1"/>
      <c r="NTP214" s="1"/>
      <c r="NTQ214" s="1"/>
      <c r="NTR214" s="1"/>
      <c r="NTS214" s="1"/>
      <c r="NTT214" s="1"/>
      <c r="NTU214" s="1"/>
      <c r="NTV214" s="1"/>
      <c r="NTW214" s="1"/>
      <c r="NTX214" s="1"/>
      <c r="NTY214" s="1"/>
      <c r="NTZ214" s="1"/>
      <c r="NUA214" s="1"/>
      <c r="NUB214" s="1"/>
      <c r="NUC214" s="1"/>
      <c r="NUD214" s="1"/>
      <c r="NUE214" s="1"/>
      <c r="NUF214" s="1"/>
      <c r="NUG214" s="1"/>
      <c r="NUH214" s="1"/>
      <c r="NUI214" s="1"/>
      <c r="NUJ214" s="1"/>
      <c r="NUK214" s="1"/>
      <c r="NUL214" s="1"/>
      <c r="NUM214" s="1"/>
      <c r="NUN214" s="1"/>
      <c r="NUO214" s="1"/>
      <c r="NUP214" s="1"/>
      <c r="NUQ214" s="1"/>
      <c r="NUR214" s="1"/>
      <c r="NUS214" s="1"/>
      <c r="NUT214" s="1"/>
      <c r="NUU214" s="1"/>
      <c r="NUV214" s="1"/>
      <c r="NUW214" s="1"/>
      <c r="NUX214" s="1"/>
      <c r="NUY214" s="1"/>
      <c r="NUZ214" s="1"/>
      <c r="NVA214" s="1"/>
      <c r="NVB214" s="1"/>
      <c r="NVC214" s="1"/>
      <c r="NVD214" s="1"/>
      <c r="NVE214" s="1"/>
      <c r="NVF214" s="1"/>
      <c r="NVG214" s="1"/>
      <c r="NVH214" s="1"/>
      <c r="NVI214" s="1"/>
      <c r="NVJ214" s="1"/>
      <c r="NVK214" s="1"/>
      <c r="NVL214" s="1"/>
      <c r="NVM214" s="1"/>
      <c r="NVN214" s="1"/>
      <c r="NVO214" s="1"/>
      <c r="NVP214" s="1"/>
      <c r="NVQ214" s="1"/>
      <c r="NVR214" s="1"/>
      <c r="NVS214" s="1"/>
      <c r="NVT214" s="1"/>
      <c r="NVU214" s="1"/>
      <c r="NVV214" s="1"/>
      <c r="NVW214" s="1"/>
      <c r="NVX214" s="1"/>
      <c r="NVY214" s="1"/>
      <c r="NVZ214" s="1"/>
      <c r="NWA214" s="1"/>
      <c r="NWB214" s="1"/>
      <c r="NWC214" s="1"/>
      <c r="NWD214" s="1"/>
      <c r="NWE214" s="1"/>
      <c r="NWF214" s="1"/>
      <c r="NWG214" s="1"/>
      <c r="NWH214" s="1"/>
      <c r="NWI214" s="1"/>
      <c r="NWJ214" s="1"/>
      <c r="NWK214" s="1"/>
      <c r="NWL214" s="1"/>
      <c r="NWM214" s="1"/>
      <c r="NWN214" s="1"/>
      <c r="NWO214" s="1"/>
      <c r="NWP214" s="1"/>
      <c r="NWQ214" s="1"/>
      <c r="NWR214" s="1"/>
      <c r="NWS214" s="1"/>
      <c r="NWT214" s="1"/>
      <c r="NWU214" s="1"/>
      <c r="NWV214" s="1"/>
      <c r="NWW214" s="1"/>
      <c r="NWX214" s="1"/>
      <c r="NWY214" s="1"/>
      <c r="NWZ214" s="1"/>
      <c r="NXA214" s="1"/>
      <c r="NXB214" s="1"/>
      <c r="NXC214" s="1"/>
      <c r="NXD214" s="1"/>
      <c r="NXE214" s="1"/>
      <c r="NXF214" s="1"/>
      <c r="NXG214" s="1"/>
      <c r="NXH214" s="1"/>
      <c r="NXI214" s="1"/>
      <c r="NXJ214" s="1"/>
      <c r="NXK214" s="1"/>
      <c r="NXL214" s="1"/>
      <c r="NXM214" s="1"/>
      <c r="NXN214" s="1"/>
      <c r="NXO214" s="1"/>
      <c r="NXP214" s="1"/>
      <c r="NXQ214" s="1"/>
      <c r="NXR214" s="1"/>
      <c r="NXS214" s="1"/>
      <c r="NXT214" s="1"/>
      <c r="NXU214" s="1"/>
      <c r="NXV214" s="1"/>
      <c r="NXW214" s="1"/>
      <c r="NXX214" s="1"/>
      <c r="NXY214" s="1"/>
      <c r="NXZ214" s="1"/>
      <c r="NYA214" s="1"/>
      <c r="NYB214" s="1"/>
      <c r="NYC214" s="1"/>
      <c r="NYD214" s="1"/>
      <c r="NYE214" s="1"/>
      <c r="NYF214" s="1"/>
      <c r="NYG214" s="1"/>
      <c r="NYH214" s="1"/>
      <c r="NYI214" s="1"/>
      <c r="NYJ214" s="1"/>
      <c r="NYK214" s="1"/>
      <c r="NYL214" s="1"/>
      <c r="NYM214" s="1"/>
      <c r="NYN214" s="1"/>
      <c r="NYO214" s="1"/>
      <c r="NYP214" s="1"/>
      <c r="NYQ214" s="1"/>
      <c r="NYR214" s="1"/>
      <c r="NYS214" s="1"/>
      <c r="NYT214" s="1"/>
      <c r="NYU214" s="1"/>
      <c r="NYV214" s="1"/>
      <c r="NYW214" s="1"/>
      <c r="NYX214" s="1"/>
      <c r="NYY214" s="1"/>
      <c r="NYZ214" s="1"/>
      <c r="NZA214" s="1"/>
      <c r="NZB214" s="1"/>
      <c r="NZC214" s="1"/>
      <c r="NZD214" s="1"/>
      <c r="NZE214" s="1"/>
      <c r="NZF214" s="1"/>
      <c r="NZG214" s="1"/>
      <c r="NZH214" s="1"/>
      <c r="NZI214" s="1"/>
      <c r="NZJ214" s="1"/>
      <c r="NZK214" s="1"/>
      <c r="NZL214" s="1"/>
      <c r="NZM214" s="1"/>
      <c r="NZN214" s="1"/>
      <c r="NZO214" s="1"/>
      <c r="NZP214" s="1"/>
      <c r="NZQ214" s="1"/>
      <c r="NZR214" s="1"/>
      <c r="NZS214" s="1"/>
      <c r="NZT214" s="1"/>
      <c r="NZU214" s="1"/>
      <c r="NZV214" s="1"/>
      <c r="NZW214" s="1"/>
      <c r="NZX214" s="1"/>
      <c r="NZY214" s="1"/>
      <c r="NZZ214" s="1"/>
      <c r="OAA214" s="1"/>
      <c r="OAB214" s="1"/>
      <c r="OAC214" s="1"/>
      <c r="OAD214" s="1"/>
      <c r="OAE214" s="1"/>
      <c r="OAF214" s="1"/>
      <c r="OAG214" s="1"/>
      <c r="OAH214" s="1"/>
      <c r="OAI214" s="1"/>
      <c r="OAJ214" s="1"/>
      <c r="OAK214" s="1"/>
      <c r="OAL214" s="1"/>
      <c r="OAM214" s="1"/>
      <c r="OAN214" s="1"/>
      <c r="OAO214" s="1"/>
      <c r="OAP214" s="1"/>
      <c r="OAQ214" s="1"/>
      <c r="OAR214" s="1"/>
      <c r="OAS214" s="1"/>
      <c r="OAT214" s="1"/>
      <c r="OAU214" s="1"/>
      <c r="OAV214" s="1"/>
      <c r="OAW214" s="1"/>
      <c r="OAX214" s="1"/>
      <c r="OAY214" s="1"/>
      <c r="OAZ214" s="1"/>
      <c r="OBA214" s="1"/>
      <c r="OBB214" s="1"/>
      <c r="OBC214" s="1"/>
      <c r="OBD214" s="1"/>
      <c r="OBE214" s="1"/>
      <c r="OBF214" s="1"/>
      <c r="OBG214" s="1"/>
      <c r="OBH214" s="1"/>
      <c r="OBI214" s="1"/>
      <c r="OBJ214" s="1"/>
      <c r="OBK214" s="1"/>
      <c r="OBL214" s="1"/>
      <c r="OBM214" s="1"/>
      <c r="OBN214" s="1"/>
      <c r="OBO214" s="1"/>
      <c r="OBP214" s="1"/>
      <c r="OBQ214" s="1"/>
      <c r="OBR214" s="1"/>
      <c r="OBS214" s="1"/>
      <c r="OBT214" s="1"/>
      <c r="OBU214" s="1"/>
      <c r="OBV214" s="1"/>
      <c r="OBW214" s="1"/>
      <c r="OBX214" s="1"/>
      <c r="OBY214" s="1"/>
      <c r="OBZ214" s="1"/>
      <c r="OCA214" s="1"/>
      <c r="OCB214" s="1"/>
      <c r="OCC214" s="1"/>
      <c r="OCD214" s="1"/>
      <c r="OCE214" s="1"/>
      <c r="OCF214" s="1"/>
      <c r="OCG214" s="1"/>
      <c r="OCH214" s="1"/>
      <c r="OCI214" s="1"/>
      <c r="OCJ214" s="1"/>
      <c r="OCK214" s="1"/>
      <c r="OCL214" s="1"/>
      <c r="OCM214" s="1"/>
      <c r="OCN214" s="1"/>
      <c r="OCO214" s="1"/>
      <c r="OCP214" s="1"/>
      <c r="OCQ214" s="1"/>
      <c r="OCR214" s="1"/>
      <c r="OCS214" s="1"/>
      <c r="OCT214" s="1"/>
      <c r="OCU214" s="1"/>
      <c r="OCV214" s="1"/>
      <c r="OCW214" s="1"/>
      <c r="OCX214" s="1"/>
      <c r="OCY214" s="1"/>
      <c r="OCZ214" s="1"/>
      <c r="ODA214" s="1"/>
      <c r="ODB214" s="1"/>
      <c r="ODC214" s="1"/>
      <c r="ODD214" s="1"/>
      <c r="ODE214" s="1"/>
      <c r="ODF214" s="1"/>
      <c r="ODG214" s="1"/>
      <c r="ODH214" s="1"/>
      <c r="ODI214" s="1"/>
      <c r="ODJ214" s="1"/>
      <c r="ODK214" s="1"/>
      <c r="ODL214" s="1"/>
      <c r="ODM214" s="1"/>
      <c r="ODN214" s="1"/>
      <c r="ODO214" s="1"/>
      <c r="ODP214" s="1"/>
      <c r="ODQ214" s="1"/>
      <c r="ODR214" s="1"/>
      <c r="ODS214" s="1"/>
      <c r="ODT214" s="1"/>
      <c r="ODU214" s="1"/>
      <c r="ODV214" s="1"/>
      <c r="ODW214" s="1"/>
      <c r="ODX214" s="1"/>
      <c r="ODY214" s="1"/>
      <c r="ODZ214" s="1"/>
      <c r="OEA214" s="1"/>
      <c r="OEB214" s="1"/>
      <c r="OEC214" s="1"/>
      <c r="OED214" s="1"/>
      <c r="OEE214" s="1"/>
      <c r="OEF214" s="1"/>
      <c r="OEG214" s="1"/>
      <c r="OEH214" s="1"/>
      <c r="OEI214" s="1"/>
      <c r="OEJ214" s="1"/>
      <c r="OEK214" s="1"/>
      <c r="OEL214" s="1"/>
      <c r="OEM214" s="1"/>
      <c r="OEN214" s="1"/>
      <c r="OEO214" s="1"/>
      <c r="OEP214" s="1"/>
      <c r="OEQ214" s="1"/>
      <c r="OER214" s="1"/>
      <c r="OES214" s="1"/>
      <c r="OET214" s="1"/>
      <c r="OEU214" s="1"/>
      <c r="OEV214" s="1"/>
      <c r="OEW214" s="1"/>
      <c r="OEX214" s="1"/>
      <c r="OEY214" s="1"/>
      <c r="OEZ214" s="1"/>
      <c r="OFA214" s="1"/>
      <c r="OFB214" s="1"/>
      <c r="OFC214" s="1"/>
      <c r="OFD214" s="1"/>
      <c r="OFE214" s="1"/>
      <c r="OFF214" s="1"/>
      <c r="OFG214" s="1"/>
      <c r="OFH214" s="1"/>
      <c r="OFI214" s="1"/>
      <c r="OFJ214" s="1"/>
      <c r="OFK214" s="1"/>
      <c r="OFL214" s="1"/>
      <c r="OFM214" s="1"/>
      <c r="OFN214" s="1"/>
      <c r="OFO214" s="1"/>
      <c r="OFP214" s="1"/>
      <c r="OFQ214" s="1"/>
      <c r="OFR214" s="1"/>
      <c r="OFS214" s="1"/>
      <c r="OFT214" s="1"/>
      <c r="OFU214" s="1"/>
      <c r="OFV214" s="1"/>
      <c r="OFW214" s="1"/>
      <c r="OFX214" s="1"/>
      <c r="OFY214" s="1"/>
      <c r="OFZ214" s="1"/>
      <c r="OGA214" s="1"/>
      <c r="OGB214" s="1"/>
      <c r="OGC214" s="1"/>
      <c r="OGD214" s="1"/>
      <c r="OGE214" s="1"/>
      <c r="OGF214" s="1"/>
      <c r="OGG214" s="1"/>
      <c r="OGH214" s="1"/>
      <c r="OGI214" s="1"/>
      <c r="OGJ214" s="1"/>
      <c r="OGK214" s="1"/>
      <c r="OGL214" s="1"/>
      <c r="OGM214" s="1"/>
      <c r="OGN214" s="1"/>
      <c r="OGO214" s="1"/>
      <c r="OGP214" s="1"/>
      <c r="OGQ214" s="1"/>
      <c r="OGR214" s="1"/>
      <c r="OGS214" s="1"/>
      <c r="OGT214" s="1"/>
      <c r="OGU214" s="1"/>
      <c r="OGV214" s="1"/>
      <c r="OGW214" s="1"/>
      <c r="OGX214" s="1"/>
      <c r="OGY214" s="1"/>
      <c r="OGZ214" s="1"/>
      <c r="OHA214" s="1"/>
      <c r="OHB214" s="1"/>
      <c r="OHC214" s="1"/>
      <c r="OHD214" s="1"/>
      <c r="OHE214" s="1"/>
      <c r="OHF214" s="1"/>
      <c r="OHG214" s="1"/>
      <c r="OHH214" s="1"/>
      <c r="OHI214" s="1"/>
      <c r="OHJ214" s="1"/>
      <c r="OHK214" s="1"/>
      <c r="OHL214" s="1"/>
      <c r="OHM214" s="1"/>
      <c r="OHN214" s="1"/>
      <c r="OHO214" s="1"/>
      <c r="OHP214" s="1"/>
      <c r="OHQ214" s="1"/>
      <c r="OHR214" s="1"/>
      <c r="OHS214" s="1"/>
      <c r="OHT214" s="1"/>
      <c r="OHU214" s="1"/>
      <c r="OHV214" s="1"/>
      <c r="OHW214" s="1"/>
      <c r="OHX214" s="1"/>
      <c r="OHY214" s="1"/>
      <c r="OHZ214" s="1"/>
      <c r="OIA214" s="1"/>
      <c r="OIB214" s="1"/>
      <c r="OIC214" s="1"/>
      <c r="OID214" s="1"/>
      <c r="OIE214" s="1"/>
      <c r="OIF214" s="1"/>
      <c r="OIG214" s="1"/>
      <c r="OIH214" s="1"/>
      <c r="OII214" s="1"/>
      <c r="OIJ214" s="1"/>
      <c r="OIK214" s="1"/>
      <c r="OIL214" s="1"/>
      <c r="OIM214" s="1"/>
      <c r="OIN214" s="1"/>
      <c r="OIO214" s="1"/>
      <c r="OIP214" s="1"/>
      <c r="OIQ214" s="1"/>
      <c r="OIR214" s="1"/>
      <c r="OIS214" s="1"/>
      <c r="OIT214" s="1"/>
      <c r="OIU214" s="1"/>
      <c r="OIV214" s="1"/>
      <c r="OIW214" s="1"/>
      <c r="OIX214" s="1"/>
      <c r="OIY214" s="1"/>
      <c r="OIZ214" s="1"/>
      <c r="OJA214" s="1"/>
      <c r="OJB214" s="1"/>
      <c r="OJC214" s="1"/>
      <c r="OJD214" s="1"/>
      <c r="OJE214" s="1"/>
      <c r="OJF214" s="1"/>
      <c r="OJG214" s="1"/>
      <c r="OJH214" s="1"/>
      <c r="OJI214" s="1"/>
      <c r="OJJ214" s="1"/>
      <c r="OJK214" s="1"/>
      <c r="OJL214" s="1"/>
      <c r="OJM214" s="1"/>
      <c r="OJN214" s="1"/>
      <c r="OJO214" s="1"/>
      <c r="OJP214" s="1"/>
      <c r="OJQ214" s="1"/>
      <c r="OJR214" s="1"/>
      <c r="OJS214" s="1"/>
      <c r="OJT214" s="1"/>
      <c r="OJU214" s="1"/>
      <c r="OJV214" s="1"/>
      <c r="OJW214" s="1"/>
      <c r="OJX214" s="1"/>
      <c r="OJY214" s="1"/>
      <c r="OJZ214" s="1"/>
      <c r="OKA214" s="1"/>
      <c r="OKB214" s="1"/>
      <c r="OKC214" s="1"/>
      <c r="OKD214" s="1"/>
      <c r="OKE214" s="1"/>
      <c r="OKF214" s="1"/>
      <c r="OKG214" s="1"/>
      <c r="OKH214" s="1"/>
      <c r="OKI214" s="1"/>
      <c r="OKJ214" s="1"/>
      <c r="OKK214" s="1"/>
      <c r="OKL214" s="1"/>
      <c r="OKM214" s="1"/>
      <c r="OKN214" s="1"/>
      <c r="OKO214" s="1"/>
      <c r="OKP214" s="1"/>
      <c r="OKQ214" s="1"/>
      <c r="OKR214" s="1"/>
      <c r="OKS214" s="1"/>
      <c r="OKT214" s="1"/>
      <c r="OKU214" s="1"/>
      <c r="OKV214" s="1"/>
      <c r="OKW214" s="1"/>
      <c r="OKX214" s="1"/>
      <c r="OKY214" s="1"/>
      <c r="OKZ214" s="1"/>
      <c r="OLA214" s="1"/>
      <c r="OLB214" s="1"/>
      <c r="OLC214" s="1"/>
      <c r="OLD214" s="1"/>
      <c r="OLE214" s="1"/>
      <c r="OLF214" s="1"/>
      <c r="OLG214" s="1"/>
      <c r="OLH214" s="1"/>
      <c r="OLI214" s="1"/>
      <c r="OLJ214" s="1"/>
      <c r="OLK214" s="1"/>
      <c r="OLL214" s="1"/>
      <c r="OLM214" s="1"/>
      <c r="OLN214" s="1"/>
      <c r="OLO214" s="1"/>
      <c r="OLP214" s="1"/>
      <c r="OLQ214" s="1"/>
      <c r="OLR214" s="1"/>
      <c r="OLS214" s="1"/>
      <c r="OLT214" s="1"/>
      <c r="OLU214" s="1"/>
      <c r="OLV214" s="1"/>
      <c r="OLW214" s="1"/>
      <c r="OLX214" s="1"/>
      <c r="OLY214" s="1"/>
      <c r="OLZ214" s="1"/>
      <c r="OMA214" s="1"/>
      <c r="OMB214" s="1"/>
      <c r="OMC214" s="1"/>
      <c r="OMD214" s="1"/>
      <c r="OME214" s="1"/>
      <c r="OMF214" s="1"/>
      <c r="OMG214" s="1"/>
      <c r="OMH214" s="1"/>
      <c r="OMI214" s="1"/>
      <c r="OMJ214" s="1"/>
      <c r="OMK214" s="1"/>
      <c r="OML214" s="1"/>
      <c r="OMM214" s="1"/>
      <c r="OMN214" s="1"/>
      <c r="OMO214" s="1"/>
      <c r="OMP214" s="1"/>
      <c r="OMQ214" s="1"/>
      <c r="OMR214" s="1"/>
      <c r="OMS214" s="1"/>
      <c r="OMT214" s="1"/>
      <c r="OMU214" s="1"/>
      <c r="OMV214" s="1"/>
      <c r="OMW214" s="1"/>
      <c r="OMX214" s="1"/>
      <c r="OMY214" s="1"/>
      <c r="OMZ214" s="1"/>
      <c r="ONA214" s="1"/>
      <c r="ONB214" s="1"/>
      <c r="ONC214" s="1"/>
      <c r="OND214" s="1"/>
      <c r="ONE214" s="1"/>
      <c r="ONF214" s="1"/>
      <c r="ONG214" s="1"/>
      <c r="ONH214" s="1"/>
      <c r="ONI214" s="1"/>
      <c r="ONJ214" s="1"/>
      <c r="ONK214" s="1"/>
      <c r="ONL214" s="1"/>
      <c r="ONM214" s="1"/>
      <c r="ONN214" s="1"/>
      <c r="ONO214" s="1"/>
      <c r="ONP214" s="1"/>
      <c r="ONQ214" s="1"/>
      <c r="ONR214" s="1"/>
      <c r="ONS214" s="1"/>
      <c r="ONT214" s="1"/>
      <c r="ONU214" s="1"/>
      <c r="ONV214" s="1"/>
      <c r="ONW214" s="1"/>
      <c r="ONX214" s="1"/>
      <c r="ONY214" s="1"/>
      <c r="ONZ214" s="1"/>
      <c r="OOA214" s="1"/>
      <c r="OOB214" s="1"/>
      <c r="OOC214" s="1"/>
      <c r="OOD214" s="1"/>
      <c r="OOE214" s="1"/>
      <c r="OOF214" s="1"/>
      <c r="OOG214" s="1"/>
      <c r="OOH214" s="1"/>
      <c r="OOI214" s="1"/>
      <c r="OOJ214" s="1"/>
      <c r="OOK214" s="1"/>
      <c r="OOL214" s="1"/>
      <c r="OOM214" s="1"/>
      <c r="OON214" s="1"/>
      <c r="OOO214" s="1"/>
      <c r="OOP214" s="1"/>
      <c r="OOQ214" s="1"/>
      <c r="OOR214" s="1"/>
      <c r="OOS214" s="1"/>
      <c r="OOT214" s="1"/>
      <c r="OOU214" s="1"/>
      <c r="OOV214" s="1"/>
      <c r="OOW214" s="1"/>
      <c r="OOX214" s="1"/>
      <c r="OOY214" s="1"/>
      <c r="OOZ214" s="1"/>
      <c r="OPA214" s="1"/>
      <c r="OPB214" s="1"/>
      <c r="OPC214" s="1"/>
      <c r="OPD214" s="1"/>
      <c r="OPE214" s="1"/>
      <c r="OPF214" s="1"/>
      <c r="OPG214" s="1"/>
      <c r="OPH214" s="1"/>
      <c r="OPI214" s="1"/>
      <c r="OPJ214" s="1"/>
      <c r="OPK214" s="1"/>
      <c r="OPL214" s="1"/>
      <c r="OPM214" s="1"/>
      <c r="OPN214" s="1"/>
      <c r="OPO214" s="1"/>
      <c r="OPP214" s="1"/>
      <c r="OPQ214" s="1"/>
      <c r="OPR214" s="1"/>
      <c r="OPS214" s="1"/>
      <c r="OPT214" s="1"/>
      <c r="OPU214" s="1"/>
      <c r="OPV214" s="1"/>
      <c r="OPW214" s="1"/>
      <c r="OPX214" s="1"/>
      <c r="OPY214" s="1"/>
      <c r="OPZ214" s="1"/>
      <c r="OQA214" s="1"/>
      <c r="OQB214" s="1"/>
      <c r="OQC214" s="1"/>
      <c r="OQD214" s="1"/>
      <c r="OQE214" s="1"/>
      <c r="OQF214" s="1"/>
      <c r="OQG214" s="1"/>
      <c r="OQH214" s="1"/>
      <c r="OQI214" s="1"/>
      <c r="OQJ214" s="1"/>
      <c r="OQK214" s="1"/>
      <c r="OQL214" s="1"/>
      <c r="OQM214" s="1"/>
      <c r="OQN214" s="1"/>
      <c r="OQO214" s="1"/>
      <c r="OQP214" s="1"/>
      <c r="OQQ214" s="1"/>
      <c r="OQR214" s="1"/>
      <c r="OQS214" s="1"/>
      <c r="OQT214" s="1"/>
      <c r="OQU214" s="1"/>
      <c r="OQV214" s="1"/>
      <c r="OQW214" s="1"/>
      <c r="OQX214" s="1"/>
      <c r="OQY214" s="1"/>
      <c r="OQZ214" s="1"/>
      <c r="ORA214" s="1"/>
      <c r="ORB214" s="1"/>
      <c r="ORC214" s="1"/>
      <c r="ORD214" s="1"/>
      <c r="ORE214" s="1"/>
      <c r="ORF214" s="1"/>
      <c r="ORG214" s="1"/>
      <c r="ORH214" s="1"/>
      <c r="ORI214" s="1"/>
      <c r="ORJ214" s="1"/>
      <c r="ORK214" s="1"/>
      <c r="ORL214" s="1"/>
      <c r="ORM214" s="1"/>
      <c r="ORN214" s="1"/>
      <c r="ORO214" s="1"/>
      <c r="ORP214" s="1"/>
      <c r="ORQ214" s="1"/>
      <c r="ORR214" s="1"/>
      <c r="ORS214" s="1"/>
      <c r="ORT214" s="1"/>
      <c r="ORU214" s="1"/>
      <c r="ORV214" s="1"/>
      <c r="ORW214" s="1"/>
      <c r="ORX214" s="1"/>
      <c r="ORY214" s="1"/>
      <c r="ORZ214" s="1"/>
      <c r="OSA214" s="1"/>
      <c r="OSB214" s="1"/>
      <c r="OSC214" s="1"/>
      <c r="OSD214" s="1"/>
      <c r="OSE214" s="1"/>
      <c r="OSF214" s="1"/>
      <c r="OSG214" s="1"/>
      <c r="OSH214" s="1"/>
      <c r="OSI214" s="1"/>
      <c r="OSJ214" s="1"/>
      <c r="OSK214" s="1"/>
      <c r="OSL214" s="1"/>
      <c r="OSM214" s="1"/>
      <c r="OSN214" s="1"/>
      <c r="OSO214" s="1"/>
      <c r="OSP214" s="1"/>
      <c r="OSQ214" s="1"/>
      <c r="OSR214" s="1"/>
      <c r="OSS214" s="1"/>
      <c r="OST214" s="1"/>
      <c r="OSU214" s="1"/>
      <c r="OSV214" s="1"/>
      <c r="OSW214" s="1"/>
      <c r="OSX214" s="1"/>
      <c r="OSY214" s="1"/>
      <c r="OSZ214" s="1"/>
      <c r="OTA214" s="1"/>
      <c r="OTB214" s="1"/>
      <c r="OTC214" s="1"/>
      <c r="OTD214" s="1"/>
      <c r="OTE214" s="1"/>
      <c r="OTF214" s="1"/>
      <c r="OTG214" s="1"/>
      <c r="OTH214" s="1"/>
      <c r="OTI214" s="1"/>
      <c r="OTJ214" s="1"/>
      <c r="OTK214" s="1"/>
      <c r="OTL214" s="1"/>
      <c r="OTM214" s="1"/>
      <c r="OTN214" s="1"/>
      <c r="OTO214" s="1"/>
      <c r="OTP214" s="1"/>
      <c r="OTQ214" s="1"/>
      <c r="OTR214" s="1"/>
      <c r="OTS214" s="1"/>
      <c r="OTT214" s="1"/>
      <c r="OTU214" s="1"/>
      <c r="OTV214" s="1"/>
      <c r="OTW214" s="1"/>
      <c r="OTX214" s="1"/>
      <c r="OTY214" s="1"/>
      <c r="OTZ214" s="1"/>
      <c r="OUA214" s="1"/>
      <c r="OUB214" s="1"/>
      <c r="OUC214" s="1"/>
      <c r="OUD214" s="1"/>
      <c r="OUE214" s="1"/>
      <c r="OUF214" s="1"/>
      <c r="OUG214" s="1"/>
      <c r="OUH214" s="1"/>
      <c r="OUI214" s="1"/>
      <c r="OUJ214" s="1"/>
      <c r="OUK214" s="1"/>
      <c r="OUL214" s="1"/>
      <c r="OUM214" s="1"/>
      <c r="OUN214" s="1"/>
      <c r="OUO214" s="1"/>
      <c r="OUP214" s="1"/>
      <c r="OUQ214" s="1"/>
      <c r="OUR214" s="1"/>
      <c r="OUS214" s="1"/>
      <c r="OUT214" s="1"/>
      <c r="OUU214" s="1"/>
      <c r="OUV214" s="1"/>
      <c r="OUW214" s="1"/>
      <c r="OUX214" s="1"/>
      <c r="OUY214" s="1"/>
      <c r="OUZ214" s="1"/>
      <c r="OVA214" s="1"/>
      <c r="OVB214" s="1"/>
      <c r="OVC214" s="1"/>
      <c r="OVD214" s="1"/>
      <c r="OVE214" s="1"/>
      <c r="OVF214" s="1"/>
      <c r="OVG214" s="1"/>
      <c r="OVH214" s="1"/>
      <c r="OVI214" s="1"/>
      <c r="OVJ214" s="1"/>
      <c r="OVK214" s="1"/>
      <c r="OVL214" s="1"/>
      <c r="OVM214" s="1"/>
      <c r="OVN214" s="1"/>
      <c r="OVO214" s="1"/>
      <c r="OVP214" s="1"/>
      <c r="OVQ214" s="1"/>
      <c r="OVR214" s="1"/>
      <c r="OVS214" s="1"/>
      <c r="OVT214" s="1"/>
      <c r="OVU214" s="1"/>
      <c r="OVV214" s="1"/>
      <c r="OVW214" s="1"/>
      <c r="OVX214" s="1"/>
      <c r="OVY214" s="1"/>
      <c r="OVZ214" s="1"/>
      <c r="OWA214" s="1"/>
      <c r="OWB214" s="1"/>
      <c r="OWC214" s="1"/>
      <c r="OWD214" s="1"/>
      <c r="OWE214" s="1"/>
      <c r="OWF214" s="1"/>
      <c r="OWG214" s="1"/>
      <c r="OWH214" s="1"/>
      <c r="OWI214" s="1"/>
      <c r="OWJ214" s="1"/>
      <c r="OWK214" s="1"/>
      <c r="OWL214" s="1"/>
      <c r="OWM214" s="1"/>
      <c r="OWN214" s="1"/>
      <c r="OWO214" s="1"/>
      <c r="OWP214" s="1"/>
      <c r="OWQ214" s="1"/>
      <c r="OWR214" s="1"/>
      <c r="OWS214" s="1"/>
      <c r="OWT214" s="1"/>
      <c r="OWU214" s="1"/>
      <c r="OWV214" s="1"/>
      <c r="OWW214" s="1"/>
      <c r="OWX214" s="1"/>
      <c r="OWY214" s="1"/>
      <c r="OWZ214" s="1"/>
      <c r="OXA214" s="1"/>
      <c r="OXB214" s="1"/>
      <c r="OXC214" s="1"/>
      <c r="OXD214" s="1"/>
      <c r="OXE214" s="1"/>
      <c r="OXF214" s="1"/>
      <c r="OXG214" s="1"/>
      <c r="OXH214" s="1"/>
      <c r="OXI214" s="1"/>
      <c r="OXJ214" s="1"/>
      <c r="OXK214" s="1"/>
      <c r="OXL214" s="1"/>
      <c r="OXM214" s="1"/>
      <c r="OXN214" s="1"/>
      <c r="OXO214" s="1"/>
      <c r="OXP214" s="1"/>
      <c r="OXQ214" s="1"/>
      <c r="OXR214" s="1"/>
      <c r="OXS214" s="1"/>
      <c r="OXT214" s="1"/>
      <c r="OXU214" s="1"/>
      <c r="OXV214" s="1"/>
      <c r="OXW214" s="1"/>
      <c r="OXX214" s="1"/>
      <c r="OXY214" s="1"/>
      <c r="OXZ214" s="1"/>
      <c r="OYA214" s="1"/>
      <c r="OYB214" s="1"/>
      <c r="OYC214" s="1"/>
      <c r="OYD214" s="1"/>
      <c r="OYE214" s="1"/>
      <c r="OYF214" s="1"/>
      <c r="OYG214" s="1"/>
      <c r="OYH214" s="1"/>
      <c r="OYI214" s="1"/>
      <c r="OYJ214" s="1"/>
      <c r="OYK214" s="1"/>
      <c r="OYL214" s="1"/>
      <c r="OYM214" s="1"/>
      <c r="OYN214" s="1"/>
      <c r="OYO214" s="1"/>
      <c r="OYP214" s="1"/>
      <c r="OYQ214" s="1"/>
      <c r="OYR214" s="1"/>
      <c r="OYS214" s="1"/>
      <c r="OYT214" s="1"/>
      <c r="OYU214" s="1"/>
      <c r="OYV214" s="1"/>
      <c r="OYW214" s="1"/>
      <c r="OYX214" s="1"/>
      <c r="OYY214" s="1"/>
      <c r="OYZ214" s="1"/>
      <c r="OZA214" s="1"/>
      <c r="OZB214" s="1"/>
      <c r="OZC214" s="1"/>
      <c r="OZD214" s="1"/>
      <c r="OZE214" s="1"/>
      <c r="OZF214" s="1"/>
      <c r="OZG214" s="1"/>
      <c r="OZH214" s="1"/>
      <c r="OZI214" s="1"/>
      <c r="OZJ214" s="1"/>
      <c r="OZK214" s="1"/>
      <c r="OZL214" s="1"/>
      <c r="OZM214" s="1"/>
      <c r="OZN214" s="1"/>
      <c r="OZO214" s="1"/>
      <c r="OZP214" s="1"/>
      <c r="OZQ214" s="1"/>
      <c r="OZR214" s="1"/>
      <c r="OZS214" s="1"/>
      <c r="OZT214" s="1"/>
      <c r="OZU214" s="1"/>
      <c r="OZV214" s="1"/>
      <c r="OZW214" s="1"/>
      <c r="OZX214" s="1"/>
      <c r="OZY214" s="1"/>
      <c r="OZZ214" s="1"/>
      <c r="PAA214" s="1"/>
      <c r="PAB214" s="1"/>
      <c r="PAC214" s="1"/>
      <c r="PAD214" s="1"/>
      <c r="PAE214" s="1"/>
      <c r="PAF214" s="1"/>
      <c r="PAG214" s="1"/>
      <c r="PAH214" s="1"/>
      <c r="PAI214" s="1"/>
      <c r="PAJ214" s="1"/>
      <c r="PAK214" s="1"/>
      <c r="PAL214" s="1"/>
      <c r="PAM214" s="1"/>
      <c r="PAN214" s="1"/>
      <c r="PAO214" s="1"/>
      <c r="PAP214" s="1"/>
      <c r="PAQ214" s="1"/>
      <c r="PAR214" s="1"/>
      <c r="PAS214" s="1"/>
      <c r="PAT214" s="1"/>
      <c r="PAU214" s="1"/>
      <c r="PAV214" s="1"/>
      <c r="PAW214" s="1"/>
      <c r="PAX214" s="1"/>
      <c r="PAY214" s="1"/>
      <c r="PAZ214" s="1"/>
      <c r="PBA214" s="1"/>
      <c r="PBB214" s="1"/>
      <c r="PBC214" s="1"/>
      <c r="PBD214" s="1"/>
      <c r="PBE214" s="1"/>
      <c r="PBF214" s="1"/>
      <c r="PBG214" s="1"/>
      <c r="PBH214" s="1"/>
      <c r="PBI214" s="1"/>
      <c r="PBJ214" s="1"/>
      <c r="PBK214" s="1"/>
      <c r="PBL214" s="1"/>
      <c r="PBM214" s="1"/>
      <c r="PBN214" s="1"/>
      <c r="PBO214" s="1"/>
      <c r="PBP214" s="1"/>
      <c r="PBQ214" s="1"/>
      <c r="PBR214" s="1"/>
      <c r="PBS214" s="1"/>
      <c r="PBT214" s="1"/>
      <c r="PBU214" s="1"/>
      <c r="PBV214" s="1"/>
      <c r="PBW214" s="1"/>
      <c r="PBX214" s="1"/>
      <c r="PBY214" s="1"/>
      <c r="PBZ214" s="1"/>
      <c r="PCA214" s="1"/>
      <c r="PCB214" s="1"/>
      <c r="PCC214" s="1"/>
      <c r="PCD214" s="1"/>
      <c r="PCE214" s="1"/>
      <c r="PCF214" s="1"/>
      <c r="PCG214" s="1"/>
      <c r="PCH214" s="1"/>
      <c r="PCI214" s="1"/>
      <c r="PCJ214" s="1"/>
      <c r="PCK214" s="1"/>
      <c r="PCL214" s="1"/>
      <c r="PCM214" s="1"/>
      <c r="PCN214" s="1"/>
      <c r="PCO214" s="1"/>
      <c r="PCP214" s="1"/>
      <c r="PCQ214" s="1"/>
      <c r="PCR214" s="1"/>
      <c r="PCS214" s="1"/>
      <c r="PCT214" s="1"/>
      <c r="PCU214" s="1"/>
      <c r="PCV214" s="1"/>
      <c r="PCW214" s="1"/>
      <c r="PCX214" s="1"/>
      <c r="PCY214" s="1"/>
      <c r="PCZ214" s="1"/>
      <c r="PDA214" s="1"/>
      <c r="PDB214" s="1"/>
      <c r="PDC214" s="1"/>
      <c r="PDD214" s="1"/>
      <c r="PDE214" s="1"/>
      <c r="PDF214" s="1"/>
      <c r="PDG214" s="1"/>
      <c r="PDH214" s="1"/>
      <c r="PDI214" s="1"/>
      <c r="PDJ214" s="1"/>
      <c r="PDK214" s="1"/>
      <c r="PDL214" s="1"/>
      <c r="PDM214" s="1"/>
      <c r="PDN214" s="1"/>
      <c r="PDO214" s="1"/>
      <c r="PDP214" s="1"/>
      <c r="PDQ214" s="1"/>
      <c r="PDR214" s="1"/>
      <c r="PDS214" s="1"/>
      <c r="PDT214" s="1"/>
      <c r="PDU214" s="1"/>
      <c r="PDV214" s="1"/>
      <c r="PDW214" s="1"/>
      <c r="PDX214" s="1"/>
      <c r="PDY214" s="1"/>
      <c r="PDZ214" s="1"/>
      <c r="PEA214" s="1"/>
      <c r="PEB214" s="1"/>
      <c r="PEC214" s="1"/>
      <c r="PED214" s="1"/>
      <c r="PEE214" s="1"/>
      <c r="PEF214" s="1"/>
      <c r="PEG214" s="1"/>
      <c r="PEH214" s="1"/>
      <c r="PEI214" s="1"/>
      <c r="PEJ214" s="1"/>
      <c r="PEK214" s="1"/>
      <c r="PEL214" s="1"/>
      <c r="PEM214" s="1"/>
      <c r="PEN214" s="1"/>
      <c r="PEO214" s="1"/>
      <c r="PEP214" s="1"/>
      <c r="PEQ214" s="1"/>
      <c r="PER214" s="1"/>
      <c r="PES214" s="1"/>
      <c r="PET214" s="1"/>
      <c r="PEU214" s="1"/>
      <c r="PEV214" s="1"/>
      <c r="PEW214" s="1"/>
      <c r="PEX214" s="1"/>
      <c r="PEY214" s="1"/>
      <c r="PEZ214" s="1"/>
      <c r="PFA214" s="1"/>
      <c r="PFB214" s="1"/>
      <c r="PFC214" s="1"/>
      <c r="PFD214" s="1"/>
      <c r="PFE214" s="1"/>
      <c r="PFF214" s="1"/>
      <c r="PFG214" s="1"/>
      <c r="PFH214" s="1"/>
      <c r="PFI214" s="1"/>
      <c r="PFJ214" s="1"/>
      <c r="PFK214" s="1"/>
      <c r="PFL214" s="1"/>
      <c r="PFM214" s="1"/>
      <c r="PFN214" s="1"/>
      <c r="PFO214" s="1"/>
      <c r="PFP214" s="1"/>
      <c r="PFQ214" s="1"/>
      <c r="PFR214" s="1"/>
      <c r="PFS214" s="1"/>
      <c r="PFT214" s="1"/>
      <c r="PFU214" s="1"/>
      <c r="PFV214" s="1"/>
      <c r="PFW214" s="1"/>
      <c r="PFX214" s="1"/>
      <c r="PFY214" s="1"/>
      <c r="PFZ214" s="1"/>
      <c r="PGA214" s="1"/>
      <c r="PGB214" s="1"/>
      <c r="PGC214" s="1"/>
      <c r="PGD214" s="1"/>
      <c r="PGE214" s="1"/>
      <c r="PGF214" s="1"/>
      <c r="PGG214" s="1"/>
      <c r="PGH214" s="1"/>
      <c r="PGI214" s="1"/>
      <c r="PGJ214" s="1"/>
      <c r="PGK214" s="1"/>
      <c r="PGL214" s="1"/>
      <c r="PGM214" s="1"/>
      <c r="PGN214" s="1"/>
      <c r="PGO214" s="1"/>
      <c r="PGP214" s="1"/>
      <c r="PGQ214" s="1"/>
      <c r="PGR214" s="1"/>
      <c r="PGS214" s="1"/>
      <c r="PGT214" s="1"/>
      <c r="PGU214" s="1"/>
      <c r="PGV214" s="1"/>
      <c r="PGW214" s="1"/>
      <c r="PGX214" s="1"/>
      <c r="PGY214" s="1"/>
      <c r="PGZ214" s="1"/>
      <c r="PHA214" s="1"/>
      <c r="PHB214" s="1"/>
      <c r="PHC214" s="1"/>
      <c r="PHD214" s="1"/>
      <c r="PHE214" s="1"/>
      <c r="PHF214" s="1"/>
      <c r="PHG214" s="1"/>
      <c r="PHH214" s="1"/>
      <c r="PHI214" s="1"/>
      <c r="PHJ214" s="1"/>
      <c r="PHK214" s="1"/>
      <c r="PHL214" s="1"/>
      <c r="PHM214" s="1"/>
      <c r="PHN214" s="1"/>
      <c r="PHO214" s="1"/>
      <c r="PHP214" s="1"/>
      <c r="PHQ214" s="1"/>
      <c r="PHR214" s="1"/>
      <c r="PHS214" s="1"/>
      <c r="PHT214" s="1"/>
      <c r="PHU214" s="1"/>
      <c r="PHV214" s="1"/>
      <c r="PHW214" s="1"/>
      <c r="PHX214" s="1"/>
      <c r="PHY214" s="1"/>
      <c r="PHZ214" s="1"/>
      <c r="PIA214" s="1"/>
      <c r="PIB214" s="1"/>
      <c r="PIC214" s="1"/>
      <c r="PID214" s="1"/>
      <c r="PIE214" s="1"/>
      <c r="PIF214" s="1"/>
      <c r="PIG214" s="1"/>
      <c r="PIH214" s="1"/>
      <c r="PII214" s="1"/>
      <c r="PIJ214" s="1"/>
      <c r="PIK214" s="1"/>
      <c r="PIL214" s="1"/>
      <c r="PIM214" s="1"/>
      <c r="PIN214" s="1"/>
      <c r="PIO214" s="1"/>
      <c r="PIP214" s="1"/>
      <c r="PIQ214" s="1"/>
      <c r="PIR214" s="1"/>
      <c r="PIS214" s="1"/>
      <c r="PIT214" s="1"/>
      <c r="PIU214" s="1"/>
      <c r="PIV214" s="1"/>
      <c r="PIW214" s="1"/>
      <c r="PIX214" s="1"/>
      <c r="PIY214" s="1"/>
      <c r="PIZ214" s="1"/>
      <c r="PJA214" s="1"/>
      <c r="PJB214" s="1"/>
      <c r="PJC214" s="1"/>
      <c r="PJD214" s="1"/>
      <c r="PJE214" s="1"/>
      <c r="PJF214" s="1"/>
      <c r="PJG214" s="1"/>
      <c r="PJH214" s="1"/>
      <c r="PJI214" s="1"/>
      <c r="PJJ214" s="1"/>
      <c r="PJK214" s="1"/>
      <c r="PJL214" s="1"/>
      <c r="PJM214" s="1"/>
      <c r="PJN214" s="1"/>
      <c r="PJO214" s="1"/>
      <c r="PJP214" s="1"/>
      <c r="PJQ214" s="1"/>
      <c r="PJR214" s="1"/>
      <c r="PJS214" s="1"/>
      <c r="PJT214" s="1"/>
      <c r="PJU214" s="1"/>
      <c r="PJV214" s="1"/>
      <c r="PJW214" s="1"/>
      <c r="PJX214" s="1"/>
      <c r="PJY214" s="1"/>
      <c r="PJZ214" s="1"/>
      <c r="PKA214" s="1"/>
      <c r="PKB214" s="1"/>
      <c r="PKC214" s="1"/>
      <c r="PKD214" s="1"/>
      <c r="PKE214" s="1"/>
      <c r="PKF214" s="1"/>
      <c r="PKG214" s="1"/>
      <c r="PKH214" s="1"/>
      <c r="PKI214" s="1"/>
      <c r="PKJ214" s="1"/>
      <c r="PKK214" s="1"/>
      <c r="PKL214" s="1"/>
      <c r="PKM214" s="1"/>
      <c r="PKN214" s="1"/>
      <c r="PKO214" s="1"/>
      <c r="PKP214" s="1"/>
      <c r="PKQ214" s="1"/>
      <c r="PKR214" s="1"/>
      <c r="PKS214" s="1"/>
      <c r="PKT214" s="1"/>
      <c r="PKU214" s="1"/>
      <c r="PKV214" s="1"/>
      <c r="PKW214" s="1"/>
      <c r="PKX214" s="1"/>
      <c r="PKY214" s="1"/>
      <c r="PKZ214" s="1"/>
      <c r="PLA214" s="1"/>
      <c r="PLB214" s="1"/>
      <c r="PLC214" s="1"/>
      <c r="PLD214" s="1"/>
      <c r="PLE214" s="1"/>
      <c r="PLF214" s="1"/>
      <c r="PLG214" s="1"/>
      <c r="PLH214" s="1"/>
      <c r="PLI214" s="1"/>
      <c r="PLJ214" s="1"/>
      <c r="PLK214" s="1"/>
      <c r="PLL214" s="1"/>
      <c r="PLM214" s="1"/>
      <c r="PLN214" s="1"/>
      <c r="PLO214" s="1"/>
      <c r="PLP214" s="1"/>
      <c r="PLQ214" s="1"/>
      <c r="PLR214" s="1"/>
      <c r="PLS214" s="1"/>
      <c r="PLT214" s="1"/>
      <c r="PLU214" s="1"/>
      <c r="PLV214" s="1"/>
      <c r="PLW214" s="1"/>
      <c r="PLX214" s="1"/>
      <c r="PLY214" s="1"/>
      <c r="PLZ214" s="1"/>
      <c r="PMA214" s="1"/>
      <c r="PMB214" s="1"/>
      <c r="PMC214" s="1"/>
      <c r="PMD214" s="1"/>
      <c r="PME214" s="1"/>
      <c r="PMF214" s="1"/>
      <c r="PMG214" s="1"/>
      <c r="PMH214" s="1"/>
      <c r="PMI214" s="1"/>
      <c r="PMJ214" s="1"/>
      <c r="PMK214" s="1"/>
      <c r="PML214" s="1"/>
      <c r="PMM214" s="1"/>
      <c r="PMN214" s="1"/>
      <c r="PMO214" s="1"/>
      <c r="PMP214" s="1"/>
      <c r="PMQ214" s="1"/>
      <c r="PMR214" s="1"/>
      <c r="PMS214" s="1"/>
      <c r="PMT214" s="1"/>
      <c r="PMU214" s="1"/>
      <c r="PMV214" s="1"/>
      <c r="PMW214" s="1"/>
      <c r="PMX214" s="1"/>
      <c r="PMY214" s="1"/>
      <c r="PMZ214" s="1"/>
      <c r="PNA214" s="1"/>
      <c r="PNB214" s="1"/>
      <c r="PNC214" s="1"/>
      <c r="PND214" s="1"/>
      <c r="PNE214" s="1"/>
      <c r="PNF214" s="1"/>
      <c r="PNG214" s="1"/>
      <c r="PNH214" s="1"/>
      <c r="PNI214" s="1"/>
      <c r="PNJ214" s="1"/>
      <c r="PNK214" s="1"/>
      <c r="PNL214" s="1"/>
      <c r="PNM214" s="1"/>
      <c r="PNN214" s="1"/>
      <c r="PNO214" s="1"/>
      <c r="PNP214" s="1"/>
      <c r="PNQ214" s="1"/>
      <c r="PNR214" s="1"/>
      <c r="PNS214" s="1"/>
      <c r="PNT214" s="1"/>
      <c r="PNU214" s="1"/>
      <c r="PNV214" s="1"/>
      <c r="PNW214" s="1"/>
      <c r="PNX214" s="1"/>
      <c r="PNY214" s="1"/>
      <c r="PNZ214" s="1"/>
      <c r="POA214" s="1"/>
      <c r="POB214" s="1"/>
      <c r="POC214" s="1"/>
      <c r="POD214" s="1"/>
      <c r="POE214" s="1"/>
      <c r="POF214" s="1"/>
      <c r="POG214" s="1"/>
      <c r="POH214" s="1"/>
      <c r="POI214" s="1"/>
      <c r="POJ214" s="1"/>
      <c r="POK214" s="1"/>
      <c r="POL214" s="1"/>
      <c r="POM214" s="1"/>
      <c r="PON214" s="1"/>
      <c r="POO214" s="1"/>
      <c r="POP214" s="1"/>
      <c r="POQ214" s="1"/>
      <c r="POR214" s="1"/>
      <c r="POS214" s="1"/>
      <c r="POT214" s="1"/>
      <c r="POU214" s="1"/>
      <c r="POV214" s="1"/>
      <c r="POW214" s="1"/>
      <c r="POX214" s="1"/>
      <c r="POY214" s="1"/>
      <c r="POZ214" s="1"/>
      <c r="PPA214" s="1"/>
      <c r="PPB214" s="1"/>
      <c r="PPC214" s="1"/>
      <c r="PPD214" s="1"/>
      <c r="PPE214" s="1"/>
      <c r="PPF214" s="1"/>
      <c r="PPG214" s="1"/>
      <c r="PPH214" s="1"/>
      <c r="PPI214" s="1"/>
      <c r="PPJ214" s="1"/>
      <c r="PPK214" s="1"/>
      <c r="PPL214" s="1"/>
      <c r="PPM214" s="1"/>
      <c r="PPN214" s="1"/>
      <c r="PPO214" s="1"/>
      <c r="PPP214" s="1"/>
      <c r="PPQ214" s="1"/>
      <c r="PPR214" s="1"/>
      <c r="PPS214" s="1"/>
      <c r="PPT214" s="1"/>
      <c r="PPU214" s="1"/>
      <c r="PPV214" s="1"/>
      <c r="PPW214" s="1"/>
      <c r="PPX214" s="1"/>
      <c r="PPY214" s="1"/>
      <c r="PPZ214" s="1"/>
      <c r="PQA214" s="1"/>
      <c r="PQB214" s="1"/>
      <c r="PQC214" s="1"/>
      <c r="PQD214" s="1"/>
      <c r="PQE214" s="1"/>
      <c r="PQF214" s="1"/>
      <c r="PQG214" s="1"/>
      <c r="PQH214" s="1"/>
      <c r="PQI214" s="1"/>
      <c r="PQJ214" s="1"/>
      <c r="PQK214" s="1"/>
      <c r="PQL214" s="1"/>
      <c r="PQM214" s="1"/>
      <c r="PQN214" s="1"/>
      <c r="PQO214" s="1"/>
      <c r="PQP214" s="1"/>
      <c r="PQQ214" s="1"/>
      <c r="PQR214" s="1"/>
      <c r="PQS214" s="1"/>
      <c r="PQT214" s="1"/>
      <c r="PQU214" s="1"/>
      <c r="PQV214" s="1"/>
      <c r="PQW214" s="1"/>
      <c r="PQX214" s="1"/>
      <c r="PQY214" s="1"/>
      <c r="PQZ214" s="1"/>
      <c r="PRA214" s="1"/>
      <c r="PRB214" s="1"/>
      <c r="PRC214" s="1"/>
      <c r="PRD214" s="1"/>
      <c r="PRE214" s="1"/>
      <c r="PRF214" s="1"/>
      <c r="PRG214" s="1"/>
      <c r="PRH214" s="1"/>
      <c r="PRI214" s="1"/>
      <c r="PRJ214" s="1"/>
      <c r="PRK214" s="1"/>
      <c r="PRL214" s="1"/>
      <c r="PRM214" s="1"/>
      <c r="PRN214" s="1"/>
      <c r="PRO214" s="1"/>
      <c r="PRP214" s="1"/>
      <c r="PRQ214" s="1"/>
      <c r="PRR214" s="1"/>
      <c r="PRS214" s="1"/>
      <c r="PRT214" s="1"/>
      <c r="PRU214" s="1"/>
      <c r="PRV214" s="1"/>
      <c r="PRW214" s="1"/>
      <c r="PRX214" s="1"/>
      <c r="PRY214" s="1"/>
      <c r="PRZ214" s="1"/>
      <c r="PSA214" s="1"/>
      <c r="PSB214" s="1"/>
      <c r="PSC214" s="1"/>
      <c r="PSD214" s="1"/>
      <c r="PSE214" s="1"/>
      <c r="PSF214" s="1"/>
      <c r="PSG214" s="1"/>
      <c r="PSH214" s="1"/>
      <c r="PSI214" s="1"/>
      <c r="PSJ214" s="1"/>
      <c r="PSK214" s="1"/>
      <c r="PSL214" s="1"/>
      <c r="PSM214" s="1"/>
      <c r="PSN214" s="1"/>
      <c r="PSO214" s="1"/>
      <c r="PSP214" s="1"/>
      <c r="PSQ214" s="1"/>
      <c r="PSR214" s="1"/>
      <c r="PSS214" s="1"/>
      <c r="PST214" s="1"/>
      <c r="PSU214" s="1"/>
      <c r="PSV214" s="1"/>
      <c r="PSW214" s="1"/>
      <c r="PSX214" s="1"/>
      <c r="PSY214" s="1"/>
      <c r="PSZ214" s="1"/>
      <c r="PTA214" s="1"/>
      <c r="PTB214" s="1"/>
      <c r="PTC214" s="1"/>
      <c r="PTD214" s="1"/>
      <c r="PTE214" s="1"/>
      <c r="PTF214" s="1"/>
      <c r="PTG214" s="1"/>
      <c r="PTH214" s="1"/>
      <c r="PTI214" s="1"/>
      <c r="PTJ214" s="1"/>
      <c r="PTK214" s="1"/>
      <c r="PTL214" s="1"/>
      <c r="PTM214" s="1"/>
      <c r="PTN214" s="1"/>
      <c r="PTO214" s="1"/>
      <c r="PTP214" s="1"/>
      <c r="PTQ214" s="1"/>
      <c r="PTR214" s="1"/>
      <c r="PTS214" s="1"/>
      <c r="PTT214" s="1"/>
      <c r="PTU214" s="1"/>
      <c r="PTV214" s="1"/>
      <c r="PTW214" s="1"/>
      <c r="PTX214" s="1"/>
      <c r="PTY214" s="1"/>
      <c r="PTZ214" s="1"/>
      <c r="PUA214" s="1"/>
      <c r="PUB214" s="1"/>
      <c r="PUC214" s="1"/>
      <c r="PUD214" s="1"/>
      <c r="PUE214" s="1"/>
      <c r="PUF214" s="1"/>
      <c r="PUG214" s="1"/>
      <c r="PUH214" s="1"/>
      <c r="PUI214" s="1"/>
      <c r="PUJ214" s="1"/>
      <c r="PUK214" s="1"/>
      <c r="PUL214" s="1"/>
      <c r="PUM214" s="1"/>
      <c r="PUN214" s="1"/>
      <c r="PUO214" s="1"/>
      <c r="PUP214" s="1"/>
      <c r="PUQ214" s="1"/>
      <c r="PUR214" s="1"/>
      <c r="PUS214" s="1"/>
      <c r="PUT214" s="1"/>
      <c r="PUU214" s="1"/>
      <c r="PUV214" s="1"/>
      <c r="PUW214" s="1"/>
      <c r="PUX214" s="1"/>
      <c r="PUY214" s="1"/>
      <c r="PUZ214" s="1"/>
      <c r="PVA214" s="1"/>
      <c r="PVB214" s="1"/>
      <c r="PVC214" s="1"/>
      <c r="PVD214" s="1"/>
      <c r="PVE214" s="1"/>
      <c r="PVF214" s="1"/>
      <c r="PVG214" s="1"/>
      <c r="PVH214" s="1"/>
      <c r="PVI214" s="1"/>
      <c r="PVJ214" s="1"/>
      <c r="PVK214" s="1"/>
      <c r="PVL214" s="1"/>
      <c r="PVM214" s="1"/>
      <c r="PVN214" s="1"/>
      <c r="PVO214" s="1"/>
      <c r="PVP214" s="1"/>
      <c r="PVQ214" s="1"/>
      <c r="PVR214" s="1"/>
      <c r="PVS214" s="1"/>
      <c r="PVT214" s="1"/>
      <c r="PVU214" s="1"/>
      <c r="PVV214" s="1"/>
      <c r="PVW214" s="1"/>
      <c r="PVX214" s="1"/>
      <c r="PVY214" s="1"/>
      <c r="PVZ214" s="1"/>
      <c r="PWA214" s="1"/>
      <c r="PWB214" s="1"/>
      <c r="PWC214" s="1"/>
      <c r="PWD214" s="1"/>
      <c r="PWE214" s="1"/>
      <c r="PWF214" s="1"/>
      <c r="PWG214" s="1"/>
      <c r="PWH214" s="1"/>
      <c r="PWI214" s="1"/>
      <c r="PWJ214" s="1"/>
      <c r="PWK214" s="1"/>
      <c r="PWL214" s="1"/>
      <c r="PWM214" s="1"/>
      <c r="PWN214" s="1"/>
      <c r="PWO214" s="1"/>
      <c r="PWP214" s="1"/>
      <c r="PWQ214" s="1"/>
      <c r="PWR214" s="1"/>
      <c r="PWS214" s="1"/>
      <c r="PWT214" s="1"/>
      <c r="PWU214" s="1"/>
      <c r="PWV214" s="1"/>
      <c r="PWW214" s="1"/>
      <c r="PWX214" s="1"/>
      <c r="PWY214" s="1"/>
      <c r="PWZ214" s="1"/>
      <c r="PXA214" s="1"/>
      <c r="PXB214" s="1"/>
      <c r="PXC214" s="1"/>
      <c r="PXD214" s="1"/>
      <c r="PXE214" s="1"/>
      <c r="PXF214" s="1"/>
      <c r="PXG214" s="1"/>
      <c r="PXH214" s="1"/>
      <c r="PXI214" s="1"/>
      <c r="PXJ214" s="1"/>
      <c r="PXK214" s="1"/>
      <c r="PXL214" s="1"/>
      <c r="PXM214" s="1"/>
      <c r="PXN214" s="1"/>
      <c r="PXO214" s="1"/>
      <c r="PXP214" s="1"/>
      <c r="PXQ214" s="1"/>
      <c r="PXR214" s="1"/>
      <c r="PXS214" s="1"/>
      <c r="PXT214" s="1"/>
      <c r="PXU214" s="1"/>
      <c r="PXV214" s="1"/>
      <c r="PXW214" s="1"/>
      <c r="PXX214" s="1"/>
      <c r="PXY214" s="1"/>
      <c r="PXZ214" s="1"/>
      <c r="PYA214" s="1"/>
      <c r="PYB214" s="1"/>
      <c r="PYC214" s="1"/>
      <c r="PYD214" s="1"/>
      <c r="PYE214" s="1"/>
      <c r="PYF214" s="1"/>
      <c r="PYG214" s="1"/>
      <c r="PYH214" s="1"/>
      <c r="PYI214" s="1"/>
      <c r="PYJ214" s="1"/>
      <c r="PYK214" s="1"/>
      <c r="PYL214" s="1"/>
      <c r="PYM214" s="1"/>
      <c r="PYN214" s="1"/>
      <c r="PYO214" s="1"/>
      <c r="PYP214" s="1"/>
      <c r="PYQ214" s="1"/>
      <c r="PYR214" s="1"/>
      <c r="PYS214" s="1"/>
      <c r="PYT214" s="1"/>
      <c r="PYU214" s="1"/>
      <c r="PYV214" s="1"/>
      <c r="PYW214" s="1"/>
      <c r="PYX214" s="1"/>
      <c r="PYY214" s="1"/>
      <c r="PYZ214" s="1"/>
      <c r="PZA214" s="1"/>
      <c r="PZB214" s="1"/>
      <c r="PZC214" s="1"/>
      <c r="PZD214" s="1"/>
      <c r="PZE214" s="1"/>
      <c r="PZF214" s="1"/>
      <c r="PZG214" s="1"/>
      <c r="PZH214" s="1"/>
      <c r="PZI214" s="1"/>
      <c r="PZJ214" s="1"/>
      <c r="PZK214" s="1"/>
      <c r="PZL214" s="1"/>
      <c r="PZM214" s="1"/>
      <c r="PZN214" s="1"/>
      <c r="PZO214" s="1"/>
      <c r="PZP214" s="1"/>
      <c r="PZQ214" s="1"/>
      <c r="PZR214" s="1"/>
      <c r="PZS214" s="1"/>
      <c r="PZT214" s="1"/>
      <c r="PZU214" s="1"/>
      <c r="PZV214" s="1"/>
      <c r="PZW214" s="1"/>
      <c r="PZX214" s="1"/>
      <c r="PZY214" s="1"/>
      <c r="PZZ214" s="1"/>
      <c r="QAA214" s="1"/>
      <c r="QAB214" s="1"/>
      <c r="QAC214" s="1"/>
      <c r="QAD214" s="1"/>
      <c r="QAE214" s="1"/>
      <c r="QAF214" s="1"/>
      <c r="QAG214" s="1"/>
      <c r="QAH214" s="1"/>
      <c r="QAI214" s="1"/>
      <c r="QAJ214" s="1"/>
      <c r="QAK214" s="1"/>
      <c r="QAL214" s="1"/>
      <c r="QAM214" s="1"/>
      <c r="QAN214" s="1"/>
      <c r="QAO214" s="1"/>
      <c r="QAP214" s="1"/>
      <c r="QAQ214" s="1"/>
      <c r="QAR214" s="1"/>
      <c r="QAS214" s="1"/>
      <c r="QAT214" s="1"/>
      <c r="QAU214" s="1"/>
      <c r="QAV214" s="1"/>
      <c r="QAW214" s="1"/>
      <c r="QAX214" s="1"/>
      <c r="QAY214" s="1"/>
      <c r="QAZ214" s="1"/>
      <c r="QBA214" s="1"/>
      <c r="QBB214" s="1"/>
      <c r="QBC214" s="1"/>
      <c r="QBD214" s="1"/>
      <c r="QBE214" s="1"/>
      <c r="QBF214" s="1"/>
      <c r="QBG214" s="1"/>
      <c r="QBH214" s="1"/>
      <c r="QBI214" s="1"/>
      <c r="QBJ214" s="1"/>
      <c r="QBK214" s="1"/>
      <c r="QBL214" s="1"/>
      <c r="QBM214" s="1"/>
      <c r="QBN214" s="1"/>
      <c r="QBO214" s="1"/>
      <c r="QBP214" s="1"/>
      <c r="QBQ214" s="1"/>
      <c r="QBR214" s="1"/>
      <c r="QBS214" s="1"/>
      <c r="QBT214" s="1"/>
      <c r="QBU214" s="1"/>
      <c r="QBV214" s="1"/>
      <c r="QBW214" s="1"/>
      <c r="QBX214" s="1"/>
      <c r="QBY214" s="1"/>
      <c r="QBZ214" s="1"/>
      <c r="QCA214" s="1"/>
      <c r="QCB214" s="1"/>
      <c r="QCC214" s="1"/>
      <c r="QCD214" s="1"/>
      <c r="QCE214" s="1"/>
      <c r="QCF214" s="1"/>
      <c r="QCG214" s="1"/>
      <c r="QCH214" s="1"/>
      <c r="QCI214" s="1"/>
      <c r="QCJ214" s="1"/>
      <c r="QCK214" s="1"/>
      <c r="QCL214" s="1"/>
      <c r="QCM214" s="1"/>
      <c r="QCN214" s="1"/>
      <c r="QCO214" s="1"/>
      <c r="QCP214" s="1"/>
      <c r="QCQ214" s="1"/>
      <c r="QCR214" s="1"/>
      <c r="QCS214" s="1"/>
      <c r="QCT214" s="1"/>
      <c r="QCU214" s="1"/>
      <c r="QCV214" s="1"/>
      <c r="QCW214" s="1"/>
      <c r="QCX214" s="1"/>
      <c r="QCY214" s="1"/>
      <c r="QCZ214" s="1"/>
      <c r="QDA214" s="1"/>
      <c r="QDB214" s="1"/>
      <c r="QDC214" s="1"/>
      <c r="QDD214" s="1"/>
      <c r="QDE214" s="1"/>
      <c r="QDF214" s="1"/>
      <c r="QDG214" s="1"/>
      <c r="QDH214" s="1"/>
      <c r="QDI214" s="1"/>
      <c r="QDJ214" s="1"/>
      <c r="QDK214" s="1"/>
      <c r="QDL214" s="1"/>
      <c r="QDM214" s="1"/>
      <c r="QDN214" s="1"/>
      <c r="QDO214" s="1"/>
      <c r="QDP214" s="1"/>
      <c r="QDQ214" s="1"/>
      <c r="QDR214" s="1"/>
      <c r="QDS214" s="1"/>
      <c r="QDT214" s="1"/>
      <c r="QDU214" s="1"/>
      <c r="QDV214" s="1"/>
      <c r="QDW214" s="1"/>
      <c r="QDX214" s="1"/>
      <c r="QDY214" s="1"/>
      <c r="QDZ214" s="1"/>
      <c r="QEA214" s="1"/>
      <c r="QEB214" s="1"/>
      <c r="QEC214" s="1"/>
      <c r="QED214" s="1"/>
      <c r="QEE214" s="1"/>
      <c r="QEF214" s="1"/>
      <c r="QEG214" s="1"/>
      <c r="QEH214" s="1"/>
      <c r="QEI214" s="1"/>
      <c r="QEJ214" s="1"/>
      <c r="QEK214" s="1"/>
      <c r="QEL214" s="1"/>
      <c r="QEM214" s="1"/>
      <c r="QEN214" s="1"/>
      <c r="QEO214" s="1"/>
      <c r="QEP214" s="1"/>
      <c r="QEQ214" s="1"/>
      <c r="QER214" s="1"/>
      <c r="QES214" s="1"/>
      <c r="QET214" s="1"/>
      <c r="QEU214" s="1"/>
      <c r="QEV214" s="1"/>
      <c r="QEW214" s="1"/>
      <c r="QEX214" s="1"/>
      <c r="QEY214" s="1"/>
      <c r="QEZ214" s="1"/>
      <c r="QFA214" s="1"/>
      <c r="QFB214" s="1"/>
      <c r="QFC214" s="1"/>
      <c r="QFD214" s="1"/>
      <c r="QFE214" s="1"/>
      <c r="QFF214" s="1"/>
      <c r="QFG214" s="1"/>
      <c r="QFH214" s="1"/>
      <c r="QFI214" s="1"/>
      <c r="QFJ214" s="1"/>
      <c r="QFK214" s="1"/>
      <c r="QFL214" s="1"/>
      <c r="QFM214" s="1"/>
      <c r="QFN214" s="1"/>
      <c r="QFO214" s="1"/>
      <c r="QFP214" s="1"/>
      <c r="QFQ214" s="1"/>
      <c r="QFR214" s="1"/>
      <c r="QFS214" s="1"/>
      <c r="QFT214" s="1"/>
      <c r="QFU214" s="1"/>
      <c r="QFV214" s="1"/>
      <c r="QFW214" s="1"/>
      <c r="QFX214" s="1"/>
      <c r="QFY214" s="1"/>
      <c r="QFZ214" s="1"/>
      <c r="QGA214" s="1"/>
      <c r="QGB214" s="1"/>
      <c r="QGC214" s="1"/>
      <c r="QGD214" s="1"/>
      <c r="QGE214" s="1"/>
      <c r="QGF214" s="1"/>
      <c r="QGG214" s="1"/>
      <c r="QGH214" s="1"/>
      <c r="QGI214" s="1"/>
      <c r="QGJ214" s="1"/>
      <c r="QGK214" s="1"/>
      <c r="QGL214" s="1"/>
      <c r="QGM214" s="1"/>
      <c r="QGN214" s="1"/>
      <c r="QGO214" s="1"/>
      <c r="QGP214" s="1"/>
      <c r="QGQ214" s="1"/>
      <c r="QGR214" s="1"/>
      <c r="QGS214" s="1"/>
      <c r="QGT214" s="1"/>
      <c r="QGU214" s="1"/>
      <c r="QGV214" s="1"/>
      <c r="QGW214" s="1"/>
      <c r="QGX214" s="1"/>
      <c r="QGY214" s="1"/>
      <c r="QGZ214" s="1"/>
      <c r="QHA214" s="1"/>
      <c r="QHB214" s="1"/>
      <c r="QHC214" s="1"/>
      <c r="QHD214" s="1"/>
      <c r="QHE214" s="1"/>
      <c r="QHF214" s="1"/>
      <c r="QHG214" s="1"/>
      <c r="QHH214" s="1"/>
      <c r="QHI214" s="1"/>
      <c r="QHJ214" s="1"/>
      <c r="QHK214" s="1"/>
      <c r="QHL214" s="1"/>
      <c r="QHM214" s="1"/>
      <c r="QHN214" s="1"/>
      <c r="QHO214" s="1"/>
      <c r="QHP214" s="1"/>
      <c r="QHQ214" s="1"/>
      <c r="QHR214" s="1"/>
      <c r="QHS214" s="1"/>
      <c r="QHT214" s="1"/>
      <c r="QHU214" s="1"/>
      <c r="QHV214" s="1"/>
      <c r="QHW214" s="1"/>
      <c r="QHX214" s="1"/>
      <c r="QHY214" s="1"/>
      <c r="QHZ214" s="1"/>
      <c r="QIA214" s="1"/>
      <c r="QIB214" s="1"/>
      <c r="QIC214" s="1"/>
      <c r="QID214" s="1"/>
      <c r="QIE214" s="1"/>
      <c r="QIF214" s="1"/>
      <c r="QIG214" s="1"/>
      <c r="QIH214" s="1"/>
      <c r="QII214" s="1"/>
      <c r="QIJ214" s="1"/>
      <c r="QIK214" s="1"/>
      <c r="QIL214" s="1"/>
      <c r="QIM214" s="1"/>
      <c r="QIN214" s="1"/>
      <c r="QIO214" s="1"/>
      <c r="QIP214" s="1"/>
      <c r="QIQ214" s="1"/>
      <c r="QIR214" s="1"/>
      <c r="QIS214" s="1"/>
      <c r="QIT214" s="1"/>
      <c r="QIU214" s="1"/>
      <c r="QIV214" s="1"/>
      <c r="QIW214" s="1"/>
      <c r="QIX214" s="1"/>
      <c r="QIY214" s="1"/>
      <c r="QIZ214" s="1"/>
      <c r="QJA214" s="1"/>
      <c r="QJB214" s="1"/>
      <c r="QJC214" s="1"/>
      <c r="QJD214" s="1"/>
      <c r="QJE214" s="1"/>
      <c r="QJF214" s="1"/>
      <c r="QJG214" s="1"/>
      <c r="QJH214" s="1"/>
      <c r="QJI214" s="1"/>
      <c r="QJJ214" s="1"/>
      <c r="QJK214" s="1"/>
      <c r="QJL214" s="1"/>
      <c r="QJM214" s="1"/>
      <c r="QJN214" s="1"/>
      <c r="QJO214" s="1"/>
      <c r="QJP214" s="1"/>
      <c r="QJQ214" s="1"/>
      <c r="QJR214" s="1"/>
      <c r="QJS214" s="1"/>
      <c r="QJT214" s="1"/>
      <c r="QJU214" s="1"/>
      <c r="QJV214" s="1"/>
      <c r="QJW214" s="1"/>
      <c r="QJX214" s="1"/>
      <c r="QJY214" s="1"/>
      <c r="QJZ214" s="1"/>
      <c r="QKA214" s="1"/>
      <c r="QKB214" s="1"/>
      <c r="QKC214" s="1"/>
      <c r="QKD214" s="1"/>
      <c r="QKE214" s="1"/>
      <c r="QKF214" s="1"/>
      <c r="QKG214" s="1"/>
      <c r="QKH214" s="1"/>
      <c r="QKI214" s="1"/>
      <c r="QKJ214" s="1"/>
      <c r="QKK214" s="1"/>
      <c r="QKL214" s="1"/>
      <c r="QKM214" s="1"/>
      <c r="QKN214" s="1"/>
      <c r="QKO214" s="1"/>
      <c r="QKP214" s="1"/>
      <c r="QKQ214" s="1"/>
      <c r="QKR214" s="1"/>
      <c r="QKS214" s="1"/>
      <c r="QKT214" s="1"/>
      <c r="QKU214" s="1"/>
      <c r="QKV214" s="1"/>
      <c r="QKW214" s="1"/>
      <c r="QKX214" s="1"/>
      <c r="QKY214" s="1"/>
      <c r="QKZ214" s="1"/>
      <c r="QLA214" s="1"/>
      <c r="QLB214" s="1"/>
      <c r="QLC214" s="1"/>
      <c r="QLD214" s="1"/>
      <c r="QLE214" s="1"/>
      <c r="QLF214" s="1"/>
      <c r="QLG214" s="1"/>
      <c r="QLH214" s="1"/>
      <c r="QLI214" s="1"/>
      <c r="QLJ214" s="1"/>
      <c r="QLK214" s="1"/>
      <c r="QLL214" s="1"/>
      <c r="QLM214" s="1"/>
      <c r="QLN214" s="1"/>
      <c r="QLO214" s="1"/>
      <c r="QLP214" s="1"/>
      <c r="QLQ214" s="1"/>
      <c r="QLR214" s="1"/>
      <c r="QLS214" s="1"/>
      <c r="QLT214" s="1"/>
      <c r="QLU214" s="1"/>
      <c r="QLV214" s="1"/>
      <c r="QLW214" s="1"/>
      <c r="QLX214" s="1"/>
      <c r="QLY214" s="1"/>
      <c r="QLZ214" s="1"/>
      <c r="QMA214" s="1"/>
      <c r="QMB214" s="1"/>
      <c r="QMC214" s="1"/>
      <c r="QMD214" s="1"/>
      <c r="QME214" s="1"/>
      <c r="QMF214" s="1"/>
      <c r="QMG214" s="1"/>
      <c r="QMH214" s="1"/>
      <c r="QMI214" s="1"/>
      <c r="QMJ214" s="1"/>
      <c r="QMK214" s="1"/>
      <c r="QML214" s="1"/>
      <c r="QMM214" s="1"/>
      <c r="QMN214" s="1"/>
      <c r="QMO214" s="1"/>
      <c r="QMP214" s="1"/>
      <c r="QMQ214" s="1"/>
      <c r="QMR214" s="1"/>
      <c r="QMS214" s="1"/>
      <c r="QMT214" s="1"/>
      <c r="QMU214" s="1"/>
      <c r="QMV214" s="1"/>
      <c r="QMW214" s="1"/>
      <c r="QMX214" s="1"/>
      <c r="QMY214" s="1"/>
      <c r="QMZ214" s="1"/>
      <c r="QNA214" s="1"/>
      <c r="QNB214" s="1"/>
      <c r="QNC214" s="1"/>
      <c r="QND214" s="1"/>
      <c r="QNE214" s="1"/>
      <c r="QNF214" s="1"/>
      <c r="QNG214" s="1"/>
      <c r="QNH214" s="1"/>
      <c r="QNI214" s="1"/>
      <c r="QNJ214" s="1"/>
      <c r="QNK214" s="1"/>
      <c r="QNL214" s="1"/>
      <c r="QNM214" s="1"/>
      <c r="QNN214" s="1"/>
      <c r="QNO214" s="1"/>
      <c r="QNP214" s="1"/>
      <c r="QNQ214" s="1"/>
      <c r="QNR214" s="1"/>
      <c r="QNS214" s="1"/>
      <c r="QNT214" s="1"/>
      <c r="QNU214" s="1"/>
      <c r="QNV214" s="1"/>
      <c r="QNW214" s="1"/>
      <c r="QNX214" s="1"/>
      <c r="QNY214" s="1"/>
      <c r="QNZ214" s="1"/>
      <c r="QOA214" s="1"/>
      <c r="QOB214" s="1"/>
      <c r="QOC214" s="1"/>
      <c r="QOD214" s="1"/>
      <c r="QOE214" s="1"/>
      <c r="QOF214" s="1"/>
      <c r="QOG214" s="1"/>
      <c r="QOH214" s="1"/>
      <c r="QOI214" s="1"/>
      <c r="QOJ214" s="1"/>
      <c r="QOK214" s="1"/>
      <c r="QOL214" s="1"/>
      <c r="QOM214" s="1"/>
      <c r="QON214" s="1"/>
      <c r="QOO214" s="1"/>
      <c r="QOP214" s="1"/>
      <c r="QOQ214" s="1"/>
      <c r="QOR214" s="1"/>
      <c r="QOS214" s="1"/>
      <c r="QOT214" s="1"/>
      <c r="QOU214" s="1"/>
      <c r="QOV214" s="1"/>
      <c r="QOW214" s="1"/>
      <c r="QOX214" s="1"/>
      <c r="QOY214" s="1"/>
      <c r="QOZ214" s="1"/>
      <c r="QPA214" s="1"/>
      <c r="QPB214" s="1"/>
      <c r="QPC214" s="1"/>
      <c r="QPD214" s="1"/>
      <c r="QPE214" s="1"/>
      <c r="QPF214" s="1"/>
      <c r="QPG214" s="1"/>
      <c r="QPH214" s="1"/>
      <c r="QPI214" s="1"/>
      <c r="QPJ214" s="1"/>
      <c r="QPK214" s="1"/>
      <c r="QPL214" s="1"/>
      <c r="QPM214" s="1"/>
      <c r="QPN214" s="1"/>
      <c r="QPO214" s="1"/>
      <c r="QPP214" s="1"/>
      <c r="QPQ214" s="1"/>
      <c r="QPR214" s="1"/>
      <c r="QPS214" s="1"/>
      <c r="QPT214" s="1"/>
      <c r="QPU214" s="1"/>
      <c r="QPV214" s="1"/>
      <c r="QPW214" s="1"/>
      <c r="QPX214" s="1"/>
      <c r="QPY214" s="1"/>
      <c r="QPZ214" s="1"/>
      <c r="QQA214" s="1"/>
      <c r="QQB214" s="1"/>
      <c r="QQC214" s="1"/>
      <c r="QQD214" s="1"/>
      <c r="QQE214" s="1"/>
      <c r="QQF214" s="1"/>
      <c r="QQG214" s="1"/>
      <c r="QQH214" s="1"/>
      <c r="QQI214" s="1"/>
      <c r="QQJ214" s="1"/>
      <c r="QQK214" s="1"/>
      <c r="QQL214" s="1"/>
      <c r="QQM214" s="1"/>
      <c r="QQN214" s="1"/>
      <c r="QQO214" s="1"/>
      <c r="QQP214" s="1"/>
      <c r="QQQ214" s="1"/>
      <c r="QQR214" s="1"/>
      <c r="QQS214" s="1"/>
      <c r="QQT214" s="1"/>
      <c r="QQU214" s="1"/>
      <c r="QQV214" s="1"/>
      <c r="QQW214" s="1"/>
      <c r="QQX214" s="1"/>
      <c r="QQY214" s="1"/>
      <c r="QQZ214" s="1"/>
      <c r="QRA214" s="1"/>
      <c r="QRB214" s="1"/>
      <c r="QRC214" s="1"/>
      <c r="QRD214" s="1"/>
      <c r="QRE214" s="1"/>
      <c r="QRF214" s="1"/>
      <c r="QRG214" s="1"/>
      <c r="QRH214" s="1"/>
      <c r="QRI214" s="1"/>
      <c r="QRJ214" s="1"/>
      <c r="QRK214" s="1"/>
      <c r="QRL214" s="1"/>
      <c r="QRM214" s="1"/>
      <c r="QRN214" s="1"/>
      <c r="QRO214" s="1"/>
      <c r="QRP214" s="1"/>
      <c r="QRQ214" s="1"/>
      <c r="QRR214" s="1"/>
      <c r="QRS214" s="1"/>
      <c r="QRT214" s="1"/>
      <c r="QRU214" s="1"/>
      <c r="QRV214" s="1"/>
      <c r="QRW214" s="1"/>
      <c r="QRX214" s="1"/>
      <c r="QRY214" s="1"/>
      <c r="QRZ214" s="1"/>
      <c r="QSA214" s="1"/>
      <c r="QSB214" s="1"/>
      <c r="QSC214" s="1"/>
      <c r="QSD214" s="1"/>
      <c r="QSE214" s="1"/>
      <c r="QSF214" s="1"/>
      <c r="QSG214" s="1"/>
      <c r="QSH214" s="1"/>
      <c r="QSI214" s="1"/>
      <c r="QSJ214" s="1"/>
      <c r="QSK214" s="1"/>
      <c r="QSL214" s="1"/>
      <c r="QSM214" s="1"/>
      <c r="QSN214" s="1"/>
      <c r="QSO214" s="1"/>
      <c r="QSP214" s="1"/>
      <c r="QSQ214" s="1"/>
      <c r="QSR214" s="1"/>
      <c r="QSS214" s="1"/>
      <c r="QST214" s="1"/>
      <c r="QSU214" s="1"/>
      <c r="QSV214" s="1"/>
      <c r="QSW214" s="1"/>
      <c r="QSX214" s="1"/>
      <c r="QSY214" s="1"/>
      <c r="QSZ214" s="1"/>
      <c r="QTA214" s="1"/>
      <c r="QTB214" s="1"/>
      <c r="QTC214" s="1"/>
      <c r="QTD214" s="1"/>
      <c r="QTE214" s="1"/>
      <c r="QTF214" s="1"/>
      <c r="QTG214" s="1"/>
      <c r="QTH214" s="1"/>
      <c r="QTI214" s="1"/>
      <c r="QTJ214" s="1"/>
      <c r="QTK214" s="1"/>
      <c r="QTL214" s="1"/>
      <c r="QTM214" s="1"/>
      <c r="QTN214" s="1"/>
      <c r="QTO214" s="1"/>
      <c r="QTP214" s="1"/>
      <c r="QTQ214" s="1"/>
      <c r="QTR214" s="1"/>
      <c r="QTS214" s="1"/>
      <c r="QTT214" s="1"/>
      <c r="QTU214" s="1"/>
      <c r="QTV214" s="1"/>
      <c r="QTW214" s="1"/>
      <c r="QTX214" s="1"/>
      <c r="QTY214" s="1"/>
      <c r="QTZ214" s="1"/>
      <c r="QUA214" s="1"/>
      <c r="QUB214" s="1"/>
      <c r="QUC214" s="1"/>
      <c r="QUD214" s="1"/>
      <c r="QUE214" s="1"/>
      <c r="QUF214" s="1"/>
      <c r="QUG214" s="1"/>
      <c r="QUH214" s="1"/>
      <c r="QUI214" s="1"/>
      <c r="QUJ214" s="1"/>
      <c r="QUK214" s="1"/>
      <c r="QUL214" s="1"/>
      <c r="QUM214" s="1"/>
      <c r="QUN214" s="1"/>
      <c r="QUO214" s="1"/>
      <c r="QUP214" s="1"/>
      <c r="QUQ214" s="1"/>
      <c r="QUR214" s="1"/>
      <c r="QUS214" s="1"/>
      <c r="QUT214" s="1"/>
      <c r="QUU214" s="1"/>
      <c r="QUV214" s="1"/>
      <c r="QUW214" s="1"/>
      <c r="QUX214" s="1"/>
      <c r="QUY214" s="1"/>
      <c r="QUZ214" s="1"/>
      <c r="QVA214" s="1"/>
      <c r="QVB214" s="1"/>
      <c r="QVC214" s="1"/>
      <c r="QVD214" s="1"/>
      <c r="QVE214" s="1"/>
      <c r="QVF214" s="1"/>
      <c r="QVG214" s="1"/>
      <c r="QVH214" s="1"/>
      <c r="QVI214" s="1"/>
      <c r="QVJ214" s="1"/>
      <c r="QVK214" s="1"/>
      <c r="QVL214" s="1"/>
      <c r="QVM214" s="1"/>
      <c r="QVN214" s="1"/>
      <c r="QVO214" s="1"/>
      <c r="QVP214" s="1"/>
      <c r="QVQ214" s="1"/>
      <c r="QVR214" s="1"/>
      <c r="QVS214" s="1"/>
      <c r="QVT214" s="1"/>
      <c r="QVU214" s="1"/>
      <c r="QVV214" s="1"/>
      <c r="QVW214" s="1"/>
      <c r="QVX214" s="1"/>
      <c r="QVY214" s="1"/>
      <c r="QVZ214" s="1"/>
      <c r="QWA214" s="1"/>
      <c r="QWB214" s="1"/>
      <c r="QWC214" s="1"/>
      <c r="QWD214" s="1"/>
      <c r="QWE214" s="1"/>
      <c r="QWF214" s="1"/>
      <c r="QWG214" s="1"/>
      <c r="QWH214" s="1"/>
      <c r="QWI214" s="1"/>
      <c r="QWJ214" s="1"/>
      <c r="QWK214" s="1"/>
      <c r="QWL214" s="1"/>
      <c r="QWM214" s="1"/>
      <c r="QWN214" s="1"/>
      <c r="QWO214" s="1"/>
      <c r="QWP214" s="1"/>
      <c r="QWQ214" s="1"/>
      <c r="QWR214" s="1"/>
      <c r="QWS214" s="1"/>
      <c r="QWT214" s="1"/>
      <c r="QWU214" s="1"/>
      <c r="QWV214" s="1"/>
      <c r="QWW214" s="1"/>
      <c r="QWX214" s="1"/>
      <c r="QWY214" s="1"/>
      <c r="QWZ214" s="1"/>
      <c r="QXA214" s="1"/>
      <c r="QXB214" s="1"/>
      <c r="QXC214" s="1"/>
      <c r="QXD214" s="1"/>
      <c r="QXE214" s="1"/>
      <c r="QXF214" s="1"/>
      <c r="QXG214" s="1"/>
      <c r="QXH214" s="1"/>
      <c r="QXI214" s="1"/>
      <c r="QXJ214" s="1"/>
      <c r="QXK214" s="1"/>
      <c r="QXL214" s="1"/>
      <c r="QXM214" s="1"/>
      <c r="QXN214" s="1"/>
      <c r="QXO214" s="1"/>
      <c r="QXP214" s="1"/>
      <c r="QXQ214" s="1"/>
      <c r="QXR214" s="1"/>
      <c r="QXS214" s="1"/>
      <c r="QXT214" s="1"/>
      <c r="QXU214" s="1"/>
      <c r="QXV214" s="1"/>
      <c r="QXW214" s="1"/>
      <c r="QXX214" s="1"/>
      <c r="QXY214" s="1"/>
      <c r="QXZ214" s="1"/>
      <c r="QYA214" s="1"/>
      <c r="QYB214" s="1"/>
      <c r="QYC214" s="1"/>
      <c r="QYD214" s="1"/>
      <c r="QYE214" s="1"/>
      <c r="QYF214" s="1"/>
      <c r="QYG214" s="1"/>
      <c r="QYH214" s="1"/>
      <c r="QYI214" s="1"/>
      <c r="QYJ214" s="1"/>
      <c r="QYK214" s="1"/>
      <c r="QYL214" s="1"/>
      <c r="QYM214" s="1"/>
      <c r="QYN214" s="1"/>
      <c r="QYO214" s="1"/>
      <c r="QYP214" s="1"/>
      <c r="QYQ214" s="1"/>
      <c r="QYR214" s="1"/>
      <c r="QYS214" s="1"/>
      <c r="QYT214" s="1"/>
      <c r="QYU214" s="1"/>
      <c r="QYV214" s="1"/>
      <c r="QYW214" s="1"/>
      <c r="QYX214" s="1"/>
      <c r="QYY214" s="1"/>
      <c r="QYZ214" s="1"/>
      <c r="QZA214" s="1"/>
      <c r="QZB214" s="1"/>
      <c r="QZC214" s="1"/>
      <c r="QZD214" s="1"/>
      <c r="QZE214" s="1"/>
      <c r="QZF214" s="1"/>
      <c r="QZG214" s="1"/>
      <c r="QZH214" s="1"/>
      <c r="QZI214" s="1"/>
      <c r="QZJ214" s="1"/>
      <c r="QZK214" s="1"/>
      <c r="QZL214" s="1"/>
      <c r="QZM214" s="1"/>
      <c r="QZN214" s="1"/>
      <c r="QZO214" s="1"/>
      <c r="QZP214" s="1"/>
      <c r="QZQ214" s="1"/>
      <c r="QZR214" s="1"/>
      <c r="QZS214" s="1"/>
      <c r="QZT214" s="1"/>
      <c r="QZU214" s="1"/>
      <c r="QZV214" s="1"/>
      <c r="QZW214" s="1"/>
      <c r="QZX214" s="1"/>
      <c r="QZY214" s="1"/>
      <c r="QZZ214" s="1"/>
      <c r="RAA214" s="1"/>
      <c r="RAB214" s="1"/>
      <c r="RAC214" s="1"/>
      <c r="RAD214" s="1"/>
      <c r="RAE214" s="1"/>
      <c r="RAF214" s="1"/>
      <c r="RAG214" s="1"/>
      <c r="RAH214" s="1"/>
      <c r="RAI214" s="1"/>
      <c r="RAJ214" s="1"/>
      <c r="RAK214" s="1"/>
      <c r="RAL214" s="1"/>
      <c r="RAM214" s="1"/>
      <c r="RAN214" s="1"/>
      <c r="RAO214" s="1"/>
      <c r="RAP214" s="1"/>
      <c r="RAQ214" s="1"/>
      <c r="RAR214" s="1"/>
      <c r="RAS214" s="1"/>
      <c r="RAT214" s="1"/>
      <c r="RAU214" s="1"/>
      <c r="RAV214" s="1"/>
      <c r="RAW214" s="1"/>
      <c r="RAX214" s="1"/>
      <c r="RAY214" s="1"/>
      <c r="RAZ214" s="1"/>
      <c r="RBA214" s="1"/>
      <c r="RBB214" s="1"/>
      <c r="RBC214" s="1"/>
      <c r="RBD214" s="1"/>
      <c r="RBE214" s="1"/>
      <c r="RBF214" s="1"/>
      <c r="RBG214" s="1"/>
      <c r="RBH214" s="1"/>
      <c r="RBI214" s="1"/>
      <c r="RBJ214" s="1"/>
      <c r="RBK214" s="1"/>
      <c r="RBL214" s="1"/>
      <c r="RBM214" s="1"/>
      <c r="RBN214" s="1"/>
      <c r="RBO214" s="1"/>
      <c r="RBP214" s="1"/>
      <c r="RBQ214" s="1"/>
      <c r="RBR214" s="1"/>
      <c r="RBS214" s="1"/>
      <c r="RBT214" s="1"/>
      <c r="RBU214" s="1"/>
      <c r="RBV214" s="1"/>
      <c r="RBW214" s="1"/>
      <c r="RBX214" s="1"/>
      <c r="RBY214" s="1"/>
      <c r="RBZ214" s="1"/>
      <c r="RCA214" s="1"/>
      <c r="RCB214" s="1"/>
      <c r="RCC214" s="1"/>
      <c r="RCD214" s="1"/>
      <c r="RCE214" s="1"/>
      <c r="RCF214" s="1"/>
      <c r="RCG214" s="1"/>
      <c r="RCH214" s="1"/>
      <c r="RCI214" s="1"/>
      <c r="RCJ214" s="1"/>
      <c r="RCK214" s="1"/>
      <c r="RCL214" s="1"/>
      <c r="RCM214" s="1"/>
      <c r="RCN214" s="1"/>
      <c r="RCO214" s="1"/>
      <c r="RCP214" s="1"/>
      <c r="RCQ214" s="1"/>
      <c r="RCR214" s="1"/>
      <c r="RCS214" s="1"/>
      <c r="RCT214" s="1"/>
      <c r="RCU214" s="1"/>
      <c r="RCV214" s="1"/>
      <c r="RCW214" s="1"/>
      <c r="RCX214" s="1"/>
      <c r="RCY214" s="1"/>
      <c r="RCZ214" s="1"/>
      <c r="RDA214" s="1"/>
      <c r="RDB214" s="1"/>
      <c r="RDC214" s="1"/>
      <c r="RDD214" s="1"/>
      <c r="RDE214" s="1"/>
      <c r="RDF214" s="1"/>
      <c r="RDG214" s="1"/>
      <c r="RDH214" s="1"/>
      <c r="RDI214" s="1"/>
      <c r="RDJ214" s="1"/>
      <c r="RDK214" s="1"/>
      <c r="RDL214" s="1"/>
      <c r="RDM214" s="1"/>
      <c r="RDN214" s="1"/>
      <c r="RDO214" s="1"/>
      <c r="RDP214" s="1"/>
      <c r="RDQ214" s="1"/>
      <c r="RDR214" s="1"/>
      <c r="RDS214" s="1"/>
      <c r="RDT214" s="1"/>
      <c r="RDU214" s="1"/>
      <c r="RDV214" s="1"/>
      <c r="RDW214" s="1"/>
      <c r="RDX214" s="1"/>
      <c r="RDY214" s="1"/>
      <c r="RDZ214" s="1"/>
      <c r="REA214" s="1"/>
      <c r="REB214" s="1"/>
      <c r="REC214" s="1"/>
      <c r="RED214" s="1"/>
      <c r="REE214" s="1"/>
      <c r="REF214" s="1"/>
      <c r="REG214" s="1"/>
      <c r="REH214" s="1"/>
      <c r="REI214" s="1"/>
      <c r="REJ214" s="1"/>
      <c r="REK214" s="1"/>
      <c r="REL214" s="1"/>
      <c r="REM214" s="1"/>
      <c r="REN214" s="1"/>
      <c r="REO214" s="1"/>
      <c r="REP214" s="1"/>
      <c r="REQ214" s="1"/>
      <c r="RER214" s="1"/>
      <c r="RES214" s="1"/>
      <c r="RET214" s="1"/>
      <c r="REU214" s="1"/>
      <c r="REV214" s="1"/>
      <c r="REW214" s="1"/>
      <c r="REX214" s="1"/>
      <c r="REY214" s="1"/>
      <c r="REZ214" s="1"/>
      <c r="RFA214" s="1"/>
      <c r="RFB214" s="1"/>
      <c r="RFC214" s="1"/>
      <c r="RFD214" s="1"/>
      <c r="RFE214" s="1"/>
      <c r="RFF214" s="1"/>
      <c r="RFG214" s="1"/>
      <c r="RFH214" s="1"/>
      <c r="RFI214" s="1"/>
      <c r="RFJ214" s="1"/>
      <c r="RFK214" s="1"/>
      <c r="RFL214" s="1"/>
      <c r="RFM214" s="1"/>
      <c r="RFN214" s="1"/>
      <c r="RFO214" s="1"/>
      <c r="RFP214" s="1"/>
      <c r="RFQ214" s="1"/>
      <c r="RFR214" s="1"/>
      <c r="RFS214" s="1"/>
      <c r="RFT214" s="1"/>
      <c r="RFU214" s="1"/>
      <c r="RFV214" s="1"/>
      <c r="RFW214" s="1"/>
      <c r="RFX214" s="1"/>
      <c r="RFY214" s="1"/>
      <c r="RFZ214" s="1"/>
      <c r="RGA214" s="1"/>
      <c r="RGB214" s="1"/>
      <c r="RGC214" s="1"/>
      <c r="RGD214" s="1"/>
      <c r="RGE214" s="1"/>
      <c r="RGF214" s="1"/>
      <c r="RGG214" s="1"/>
      <c r="RGH214" s="1"/>
      <c r="RGI214" s="1"/>
      <c r="RGJ214" s="1"/>
      <c r="RGK214" s="1"/>
      <c r="RGL214" s="1"/>
      <c r="RGM214" s="1"/>
      <c r="RGN214" s="1"/>
      <c r="RGO214" s="1"/>
      <c r="RGP214" s="1"/>
      <c r="RGQ214" s="1"/>
      <c r="RGR214" s="1"/>
      <c r="RGS214" s="1"/>
      <c r="RGT214" s="1"/>
      <c r="RGU214" s="1"/>
      <c r="RGV214" s="1"/>
      <c r="RGW214" s="1"/>
      <c r="RGX214" s="1"/>
      <c r="RGY214" s="1"/>
      <c r="RGZ214" s="1"/>
      <c r="RHA214" s="1"/>
      <c r="RHB214" s="1"/>
      <c r="RHC214" s="1"/>
      <c r="RHD214" s="1"/>
      <c r="RHE214" s="1"/>
      <c r="RHF214" s="1"/>
      <c r="RHG214" s="1"/>
      <c r="RHH214" s="1"/>
      <c r="RHI214" s="1"/>
      <c r="RHJ214" s="1"/>
      <c r="RHK214" s="1"/>
      <c r="RHL214" s="1"/>
      <c r="RHM214" s="1"/>
      <c r="RHN214" s="1"/>
      <c r="RHO214" s="1"/>
      <c r="RHP214" s="1"/>
      <c r="RHQ214" s="1"/>
      <c r="RHR214" s="1"/>
      <c r="RHS214" s="1"/>
      <c r="RHT214" s="1"/>
      <c r="RHU214" s="1"/>
      <c r="RHV214" s="1"/>
      <c r="RHW214" s="1"/>
      <c r="RHX214" s="1"/>
      <c r="RHY214" s="1"/>
      <c r="RHZ214" s="1"/>
      <c r="RIA214" s="1"/>
      <c r="RIB214" s="1"/>
      <c r="RIC214" s="1"/>
      <c r="RID214" s="1"/>
      <c r="RIE214" s="1"/>
      <c r="RIF214" s="1"/>
      <c r="RIG214" s="1"/>
      <c r="RIH214" s="1"/>
      <c r="RII214" s="1"/>
      <c r="RIJ214" s="1"/>
      <c r="RIK214" s="1"/>
      <c r="RIL214" s="1"/>
      <c r="RIM214" s="1"/>
      <c r="RIN214" s="1"/>
      <c r="RIO214" s="1"/>
      <c r="RIP214" s="1"/>
      <c r="RIQ214" s="1"/>
      <c r="RIR214" s="1"/>
      <c r="RIS214" s="1"/>
      <c r="RIT214" s="1"/>
      <c r="RIU214" s="1"/>
      <c r="RIV214" s="1"/>
      <c r="RIW214" s="1"/>
      <c r="RIX214" s="1"/>
      <c r="RIY214" s="1"/>
      <c r="RIZ214" s="1"/>
      <c r="RJA214" s="1"/>
      <c r="RJB214" s="1"/>
      <c r="RJC214" s="1"/>
      <c r="RJD214" s="1"/>
      <c r="RJE214" s="1"/>
      <c r="RJF214" s="1"/>
      <c r="RJG214" s="1"/>
      <c r="RJH214" s="1"/>
      <c r="RJI214" s="1"/>
      <c r="RJJ214" s="1"/>
      <c r="RJK214" s="1"/>
      <c r="RJL214" s="1"/>
      <c r="RJM214" s="1"/>
      <c r="RJN214" s="1"/>
      <c r="RJO214" s="1"/>
      <c r="RJP214" s="1"/>
      <c r="RJQ214" s="1"/>
      <c r="RJR214" s="1"/>
      <c r="RJS214" s="1"/>
      <c r="RJT214" s="1"/>
      <c r="RJU214" s="1"/>
      <c r="RJV214" s="1"/>
      <c r="RJW214" s="1"/>
      <c r="RJX214" s="1"/>
      <c r="RJY214" s="1"/>
      <c r="RJZ214" s="1"/>
      <c r="RKA214" s="1"/>
      <c r="RKB214" s="1"/>
      <c r="RKC214" s="1"/>
      <c r="RKD214" s="1"/>
      <c r="RKE214" s="1"/>
      <c r="RKF214" s="1"/>
      <c r="RKG214" s="1"/>
      <c r="RKH214" s="1"/>
      <c r="RKI214" s="1"/>
      <c r="RKJ214" s="1"/>
      <c r="RKK214" s="1"/>
      <c r="RKL214" s="1"/>
      <c r="RKM214" s="1"/>
      <c r="RKN214" s="1"/>
      <c r="RKO214" s="1"/>
      <c r="RKP214" s="1"/>
      <c r="RKQ214" s="1"/>
      <c r="RKR214" s="1"/>
      <c r="RKS214" s="1"/>
      <c r="RKT214" s="1"/>
      <c r="RKU214" s="1"/>
      <c r="RKV214" s="1"/>
      <c r="RKW214" s="1"/>
      <c r="RKX214" s="1"/>
      <c r="RKY214" s="1"/>
      <c r="RKZ214" s="1"/>
      <c r="RLA214" s="1"/>
      <c r="RLB214" s="1"/>
      <c r="RLC214" s="1"/>
      <c r="RLD214" s="1"/>
      <c r="RLE214" s="1"/>
      <c r="RLF214" s="1"/>
      <c r="RLG214" s="1"/>
      <c r="RLH214" s="1"/>
      <c r="RLI214" s="1"/>
      <c r="RLJ214" s="1"/>
      <c r="RLK214" s="1"/>
      <c r="RLL214" s="1"/>
      <c r="RLM214" s="1"/>
      <c r="RLN214" s="1"/>
      <c r="RLO214" s="1"/>
      <c r="RLP214" s="1"/>
      <c r="RLQ214" s="1"/>
      <c r="RLR214" s="1"/>
      <c r="RLS214" s="1"/>
      <c r="RLT214" s="1"/>
      <c r="RLU214" s="1"/>
      <c r="RLV214" s="1"/>
      <c r="RLW214" s="1"/>
      <c r="RLX214" s="1"/>
      <c r="RLY214" s="1"/>
      <c r="RLZ214" s="1"/>
      <c r="RMA214" s="1"/>
      <c r="RMB214" s="1"/>
      <c r="RMC214" s="1"/>
      <c r="RMD214" s="1"/>
      <c r="RME214" s="1"/>
      <c r="RMF214" s="1"/>
      <c r="RMG214" s="1"/>
      <c r="RMH214" s="1"/>
      <c r="RMI214" s="1"/>
      <c r="RMJ214" s="1"/>
      <c r="RMK214" s="1"/>
      <c r="RML214" s="1"/>
      <c r="RMM214" s="1"/>
      <c r="RMN214" s="1"/>
      <c r="RMO214" s="1"/>
      <c r="RMP214" s="1"/>
      <c r="RMQ214" s="1"/>
      <c r="RMR214" s="1"/>
      <c r="RMS214" s="1"/>
      <c r="RMT214" s="1"/>
      <c r="RMU214" s="1"/>
      <c r="RMV214" s="1"/>
      <c r="RMW214" s="1"/>
      <c r="RMX214" s="1"/>
      <c r="RMY214" s="1"/>
      <c r="RMZ214" s="1"/>
      <c r="RNA214" s="1"/>
      <c r="RNB214" s="1"/>
      <c r="RNC214" s="1"/>
      <c r="RND214" s="1"/>
      <c r="RNE214" s="1"/>
      <c r="RNF214" s="1"/>
      <c r="RNG214" s="1"/>
      <c r="RNH214" s="1"/>
      <c r="RNI214" s="1"/>
      <c r="RNJ214" s="1"/>
      <c r="RNK214" s="1"/>
      <c r="RNL214" s="1"/>
      <c r="RNM214" s="1"/>
      <c r="RNN214" s="1"/>
      <c r="RNO214" s="1"/>
      <c r="RNP214" s="1"/>
      <c r="RNQ214" s="1"/>
      <c r="RNR214" s="1"/>
      <c r="RNS214" s="1"/>
      <c r="RNT214" s="1"/>
      <c r="RNU214" s="1"/>
      <c r="RNV214" s="1"/>
      <c r="RNW214" s="1"/>
      <c r="RNX214" s="1"/>
      <c r="RNY214" s="1"/>
      <c r="RNZ214" s="1"/>
      <c r="ROA214" s="1"/>
      <c r="ROB214" s="1"/>
      <c r="ROC214" s="1"/>
      <c r="ROD214" s="1"/>
      <c r="ROE214" s="1"/>
      <c r="ROF214" s="1"/>
      <c r="ROG214" s="1"/>
      <c r="ROH214" s="1"/>
      <c r="ROI214" s="1"/>
      <c r="ROJ214" s="1"/>
      <c r="ROK214" s="1"/>
      <c r="ROL214" s="1"/>
      <c r="ROM214" s="1"/>
      <c r="RON214" s="1"/>
      <c r="ROO214" s="1"/>
      <c r="ROP214" s="1"/>
      <c r="ROQ214" s="1"/>
      <c r="ROR214" s="1"/>
      <c r="ROS214" s="1"/>
      <c r="ROT214" s="1"/>
      <c r="ROU214" s="1"/>
      <c r="ROV214" s="1"/>
      <c r="ROW214" s="1"/>
      <c r="ROX214" s="1"/>
      <c r="ROY214" s="1"/>
      <c r="ROZ214" s="1"/>
      <c r="RPA214" s="1"/>
      <c r="RPB214" s="1"/>
      <c r="RPC214" s="1"/>
      <c r="RPD214" s="1"/>
      <c r="RPE214" s="1"/>
      <c r="RPF214" s="1"/>
      <c r="RPG214" s="1"/>
      <c r="RPH214" s="1"/>
      <c r="RPI214" s="1"/>
      <c r="RPJ214" s="1"/>
      <c r="RPK214" s="1"/>
      <c r="RPL214" s="1"/>
      <c r="RPM214" s="1"/>
      <c r="RPN214" s="1"/>
      <c r="RPO214" s="1"/>
      <c r="RPP214" s="1"/>
      <c r="RPQ214" s="1"/>
      <c r="RPR214" s="1"/>
      <c r="RPS214" s="1"/>
      <c r="RPT214" s="1"/>
      <c r="RPU214" s="1"/>
      <c r="RPV214" s="1"/>
      <c r="RPW214" s="1"/>
      <c r="RPX214" s="1"/>
      <c r="RPY214" s="1"/>
      <c r="RPZ214" s="1"/>
      <c r="RQA214" s="1"/>
      <c r="RQB214" s="1"/>
      <c r="RQC214" s="1"/>
      <c r="RQD214" s="1"/>
      <c r="RQE214" s="1"/>
      <c r="RQF214" s="1"/>
      <c r="RQG214" s="1"/>
      <c r="RQH214" s="1"/>
      <c r="RQI214" s="1"/>
      <c r="RQJ214" s="1"/>
      <c r="RQK214" s="1"/>
      <c r="RQL214" s="1"/>
      <c r="RQM214" s="1"/>
      <c r="RQN214" s="1"/>
      <c r="RQO214" s="1"/>
      <c r="RQP214" s="1"/>
      <c r="RQQ214" s="1"/>
      <c r="RQR214" s="1"/>
      <c r="RQS214" s="1"/>
      <c r="RQT214" s="1"/>
      <c r="RQU214" s="1"/>
      <c r="RQV214" s="1"/>
      <c r="RQW214" s="1"/>
      <c r="RQX214" s="1"/>
      <c r="RQY214" s="1"/>
      <c r="RQZ214" s="1"/>
      <c r="RRA214" s="1"/>
      <c r="RRB214" s="1"/>
      <c r="RRC214" s="1"/>
      <c r="RRD214" s="1"/>
      <c r="RRE214" s="1"/>
      <c r="RRF214" s="1"/>
      <c r="RRG214" s="1"/>
      <c r="RRH214" s="1"/>
      <c r="RRI214" s="1"/>
      <c r="RRJ214" s="1"/>
      <c r="RRK214" s="1"/>
      <c r="RRL214" s="1"/>
      <c r="RRM214" s="1"/>
      <c r="RRN214" s="1"/>
      <c r="RRO214" s="1"/>
      <c r="RRP214" s="1"/>
      <c r="RRQ214" s="1"/>
      <c r="RRR214" s="1"/>
      <c r="RRS214" s="1"/>
      <c r="RRT214" s="1"/>
      <c r="RRU214" s="1"/>
      <c r="RRV214" s="1"/>
      <c r="RRW214" s="1"/>
      <c r="RRX214" s="1"/>
      <c r="RRY214" s="1"/>
      <c r="RRZ214" s="1"/>
      <c r="RSA214" s="1"/>
      <c r="RSB214" s="1"/>
      <c r="RSC214" s="1"/>
      <c r="RSD214" s="1"/>
      <c r="RSE214" s="1"/>
      <c r="RSF214" s="1"/>
      <c r="RSG214" s="1"/>
      <c r="RSH214" s="1"/>
      <c r="RSI214" s="1"/>
      <c r="RSJ214" s="1"/>
      <c r="RSK214" s="1"/>
      <c r="RSL214" s="1"/>
      <c r="RSM214" s="1"/>
      <c r="RSN214" s="1"/>
      <c r="RSO214" s="1"/>
      <c r="RSP214" s="1"/>
      <c r="RSQ214" s="1"/>
      <c r="RSR214" s="1"/>
      <c r="RSS214" s="1"/>
      <c r="RST214" s="1"/>
      <c r="RSU214" s="1"/>
      <c r="RSV214" s="1"/>
      <c r="RSW214" s="1"/>
      <c r="RSX214" s="1"/>
      <c r="RSY214" s="1"/>
      <c r="RSZ214" s="1"/>
      <c r="RTA214" s="1"/>
      <c r="RTB214" s="1"/>
      <c r="RTC214" s="1"/>
      <c r="RTD214" s="1"/>
      <c r="RTE214" s="1"/>
      <c r="RTF214" s="1"/>
      <c r="RTG214" s="1"/>
      <c r="RTH214" s="1"/>
      <c r="RTI214" s="1"/>
      <c r="RTJ214" s="1"/>
      <c r="RTK214" s="1"/>
      <c r="RTL214" s="1"/>
      <c r="RTM214" s="1"/>
      <c r="RTN214" s="1"/>
      <c r="RTO214" s="1"/>
      <c r="RTP214" s="1"/>
      <c r="RTQ214" s="1"/>
      <c r="RTR214" s="1"/>
      <c r="RTS214" s="1"/>
      <c r="RTT214" s="1"/>
      <c r="RTU214" s="1"/>
      <c r="RTV214" s="1"/>
      <c r="RTW214" s="1"/>
      <c r="RTX214" s="1"/>
      <c r="RTY214" s="1"/>
      <c r="RTZ214" s="1"/>
      <c r="RUA214" s="1"/>
      <c r="RUB214" s="1"/>
      <c r="RUC214" s="1"/>
      <c r="RUD214" s="1"/>
      <c r="RUE214" s="1"/>
      <c r="RUF214" s="1"/>
      <c r="RUG214" s="1"/>
      <c r="RUH214" s="1"/>
      <c r="RUI214" s="1"/>
      <c r="RUJ214" s="1"/>
      <c r="RUK214" s="1"/>
      <c r="RUL214" s="1"/>
      <c r="RUM214" s="1"/>
      <c r="RUN214" s="1"/>
      <c r="RUO214" s="1"/>
      <c r="RUP214" s="1"/>
      <c r="RUQ214" s="1"/>
      <c r="RUR214" s="1"/>
      <c r="RUS214" s="1"/>
      <c r="RUT214" s="1"/>
      <c r="RUU214" s="1"/>
      <c r="RUV214" s="1"/>
      <c r="RUW214" s="1"/>
      <c r="RUX214" s="1"/>
      <c r="RUY214" s="1"/>
      <c r="RUZ214" s="1"/>
      <c r="RVA214" s="1"/>
      <c r="RVB214" s="1"/>
      <c r="RVC214" s="1"/>
      <c r="RVD214" s="1"/>
      <c r="RVE214" s="1"/>
      <c r="RVF214" s="1"/>
      <c r="RVG214" s="1"/>
      <c r="RVH214" s="1"/>
      <c r="RVI214" s="1"/>
      <c r="RVJ214" s="1"/>
      <c r="RVK214" s="1"/>
      <c r="RVL214" s="1"/>
      <c r="RVM214" s="1"/>
      <c r="RVN214" s="1"/>
      <c r="RVO214" s="1"/>
      <c r="RVP214" s="1"/>
      <c r="RVQ214" s="1"/>
      <c r="RVR214" s="1"/>
      <c r="RVS214" s="1"/>
      <c r="RVT214" s="1"/>
      <c r="RVU214" s="1"/>
      <c r="RVV214" s="1"/>
      <c r="RVW214" s="1"/>
      <c r="RVX214" s="1"/>
      <c r="RVY214" s="1"/>
      <c r="RVZ214" s="1"/>
      <c r="RWA214" s="1"/>
      <c r="RWB214" s="1"/>
      <c r="RWC214" s="1"/>
      <c r="RWD214" s="1"/>
      <c r="RWE214" s="1"/>
      <c r="RWF214" s="1"/>
      <c r="RWG214" s="1"/>
      <c r="RWH214" s="1"/>
      <c r="RWI214" s="1"/>
      <c r="RWJ214" s="1"/>
      <c r="RWK214" s="1"/>
      <c r="RWL214" s="1"/>
      <c r="RWM214" s="1"/>
      <c r="RWN214" s="1"/>
      <c r="RWO214" s="1"/>
      <c r="RWP214" s="1"/>
      <c r="RWQ214" s="1"/>
      <c r="RWR214" s="1"/>
      <c r="RWS214" s="1"/>
      <c r="RWT214" s="1"/>
      <c r="RWU214" s="1"/>
      <c r="RWV214" s="1"/>
      <c r="RWW214" s="1"/>
      <c r="RWX214" s="1"/>
      <c r="RWY214" s="1"/>
      <c r="RWZ214" s="1"/>
      <c r="RXA214" s="1"/>
      <c r="RXB214" s="1"/>
      <c r="RXC214" s="1"/>
      <c r="RXD214" s="1"/>
      <c r="RXE214" s="1"/>
      <c r="RXF214" s="1"/>
      <c r="RXG214" s="1"/>
      <c r="RXH214" s="1"/>
      <c r="RXI214" s="1"/>
      <c r="RXJ214" s="1"/>
      <c r="RXK214" s="1"/>
      <c r="RXL214" s="1"/>
      <c r="RXM214" s="1"/>
      <c r="RXN214" s="1"/>
      <c r="RXO214" s="1"/>
      <c r="RXP214" s="1"/>
      <c r="RXQ214" s="1"/>
      <c r="RXR214" s="1"/>
      <c r="RXS214" s="1"/>
      <c r="RXT214" s="1"/>
      <c r="RXU214" s="1"/>
      <c r="RXV214" s="1"/>
      <c r="RXW214" s="1"/>
      <c r="RXX214" s="1"/>
      <c r="RXY214" s="1"/>
      <c r="RXZ214" s="1"/>
      <c r="RYA214" s="1"/>
      <c r="RYB214" s="1"/>
      <c r="RYC214" s="1"/>
      <c r="RYD214" s="1"/>
      <c r="RYE214" s="1"/>
      <c r="RYF214" s="1"/>
      <c r="RYG214" s="1"/>
      <c r="RYH214" s="1"/>
      <c r="RYI214" s="1"/>
      <c r="RYJ214" s="1"/>
      <c r="RYK214" s="1"/>
      <c r="RYL214" s="1"/>
      <c r="RYM214" s="1"/>
      <c r="RYN214" s="1"/>
      <c r="RYO214" s="1"/>
      <c r="RYP214" s="1"/>
      <c r="RYQ214" s="1"/>
      <c r="RYR214" s="1"/>
      <c r="RYS214" s="1"/>
      <c r="RYT214" s="1"/>
      <c r="RYU214" s="1"/>
      <c r="RYV214" s="1"/>
      <c r="RYW214" s="1"/>
      <c r="RYX214" s="1"/>
      <c r="RYY214" s="1"/>
      <c r="RYZ214" s="1"/>
      <c r="RZA214" s="1"/>
      <c r="RZB214" s="1"/>
      <c r="RZC214" s="1"/>
      <c r="RZD214" s="1"/>
      <c r="RZE214" s="1"/>
      <c r="RZF214" s="1"/>
      <c r="RZG214" s="1"/>
      <c r="RZH214" s="1"/>
      <c r="RZI214" s="1"/>
      <c r="RZJ214" s="1"/>
      <c r="RZK214" s="1"/>
      <c r="RZL214" s="1"/>
      <c r="RZM214" s="1"/>
      <c r="RZN214" s="1"/>
      <c r="RZO214" s="1"/>
      <c r="RZP214" s="1"/>
      <c r="RZQ214" s="1"/>
      <c r="RZR214" s="1"/>
      <c r="RZS214" s="1"/>
      <c r="RZT214" s="1"/>
      <c r="RZU214" s="1"/>
      <c r="RZV214" s="1"/>
      <c r="RZW214" s="1"/>
      <c r="RZX214" s="1"/>
      <c r="RZY214" s="1"/>
      <c r="RZZ214" s="1"/>
      <c r="SAA214" s="1"/>
      <c r="SAB214" s="1"/>
      <c r="SAC214" s="1"/>
      <c r="SAD214" s="1"/>
      <c r="SAE214" s="1"/>
      <c r="SAF214" s="1"/>
      <c r="SAG214" s="1"/>
      <c r="SAH214" s="1"/>
      <c r="SAI214" s="1"/>
      <c r="SAJ214" s="1"/>
      <c r="SAK214" s="1"/>
      <c r="SAL214" s="1"/>
      <c r="SAM214" s="1"/>
      <c r="SAN214" s="1"/>
      <c r="SAO214" s="1"/>
      <c r="SAP214" s="1"/>
      <c r="SAQ214" s="1"/>
      <c r="SAR214" s="1"/>
      <c r="SAS214" s="1"/>
      <c r="SAT214" s="1"/>
      <c r="SAU214" s="1"/>
      <c r="SAV214" s="1"/>
      <c r="SAW214" s="1"/>
      <c r="SAX214" s="1"/>
      <c r="SAY214" s="1"/>
      <c r="SAZ214" s="1"/>
      <c r="SBA214" s="1"/>
      <c r="SBB214" s="1"/>
      <c r="SBC214" s="1"/>
      <c r="SBD214" s="1"/>
      <c r="SBE214" s="1"/>
      <c r="SBF214" s="1"/>
      <c r="SBG214" s="1"/>
      <c r="SBH214" s="1"/>
      <c r="SBI214" s="1"/>
      <c r="SBJ214" s="1"/>
      <c r="SBK214" s="1"/>
      <c r="SBL214" s="1"/>
      <c r="SBM214" s="1"/>
      <c r="SBN214" s="1"/>
      <c r="SBO214" s="1"/>
      <c r="SBP214" s="1"/>
      <c r="SBQ214" s="1"/>
      <c r="SBR214" s="1"/>
      <c r="SBS214" s="1"/>
      <c r="SBT214" s="1"/>
      <c r="SBU214" s="1"/>
      <c r="SBV214" s="1"/>
      <c r="SBW214" s="1"/>
      <c r="SBX214" s="1"/>
      <c r="SBY214" s="1"/>
      <c r="SBZ214" s="1"/>
      <c r="SCA214" s="1"/>
      <c r="SCB214" s="1"/>
      <c r="SCC214" s="1"/>
      <c r="SCD214" s="1"/>
      <c r="SCE214" s="1"/>
      <c r="SCF214" s="1"/>
      <c r="SCG214" s="1"/>
      <c r="SCH214" s="1"/>
      <c r="SCI214" s="1"/>
      <c r="SCJ214" s="1"/>
      <c r="SCK214" s="1"/>
      <c r="SCL214" s="1"/>
      <c r="SCM214" s="1"/>
      <c r="SCN214" s="1"/>
      <c r="SCO214" s="1"/>
      <c r="SCP214" s="1"/>
      <c r="SCQ214" s="1"/>
      <c r="SCR214" s="1"/>
      <c r="SCS214" s="1"/>
      <c r="SCT214" s="1"/>
      <c r="SCU214" s="1"/>
      <c r="SCV214" s="1"/>
      <c r="SCW214" s="1"/>
      <c r="SCX214" s="1"/>
      <c r="SCY214" s="1"/>
      <c r="SCZ214" s="1"/>
      <c r="SDA214" s="1"/>
      <c r="SDB214" s="1"/>
      <c r="SDC214" s="1"/>
      <c r="SDD214" s="1"/>
      <c r="SDE214" s="1"/>
      <c r="SDF214" s="1"/>
      <c r="SDG214" s="1"/>
      <c r="SDH214" s="1"/>
      <c r="SDI214" s="1"/>
      <c r="SDJ214" s="1"/>
      <c r="SDK214" s="1"/>
      <c r="SDL214" s="1"/>
      <c r="SDM214" s="1"/>
      <c r="SDN214" s="1"/>
      <c r="SDO214" s="1"/>
      <c r="SDP214" s="1"/>
      <c r="SDQ214" s="1"/>
      <c r="SDR214" s="1"/>
      <c r="SDS214" s="1"/>
      <c r="SDT214" s="1"/>
      <c r="SDU214" s="1"/>
      <c r="SDV214" s="1"/>
      <c r="SDW214" s="1"/>
      <c r="SDX214" s="1"/>
      <c r="SDY214" s="1"/>
      <c r="SDZ214" s="1"/>
      <c r="SEA214" s="1"/>
      <c r="SEB214" s="1"/>
      <c r="SEC214" s="1"/>
      <c r="SED214" s="1"/>
      <c r="SEE214" s="1"/>
      <c r="SEF214" s="1"/>
      <c r="SEG214" s="1"/>
      <c r="SEH214" s="1"/>
      <c r="SEI214" s="1"/>
      <c r="SEJ214" s="1"/>
      <c r="SEK214" s="1"/>
      <c r="SEL214" s="1"/>
      <c r="SEM214" s="1"/>
      <c r="SEN214" s="1"/>
      <c r="SEO214" s="1"/>
      <c r="SEP214" s="1"/>
      <c r="SEQ214" s="1"/>
      <c r="SER214" s="1"/>
      <c r="SES214" s="1"/>
      <c r="SET214" s="1"/>
      <c r="SEU214" s="1"/>
      <c r="SEV214" s="1"/>
      <c r="SEW214" s="1"/>
      <c r="SEX214" s="1"/>
      <c r="SEY214" s="1"/>
      <c r="SEZ214" s="1"/>
      <c r="SFA214" s="1"/>
      <c r="SFB214" s="1"/>
      <c r="SFC214" s="1"/>
      <c r="SFD214" s="1"/>
      <c r="SFE214" s="1"/>
      <c r="SFF214" s="1"/>
      <c r="SFG214" s="1"/>
      <c r="SFH214" s="1"/>
      <c r="SFI214" s="1"/>
      <c r="SFJ214" s="1"/>
      <c r="SFK214" s="1"/>
      <c r="SFL214" s="1"/>
      <c r="SFM214" s="1"/>
      <c r="SFN214" s="1"/>
      <c r="SFO214" s="1"/>
      <c r="SFP214" s="1"/>
      <c r="SFQ214" s="1"/>
      <c r="SFR214" s="1"/>
      <c r="SFS214" s="1"/>
      <c r="SFT214" s="1"/>
      <c r="SFU214" s="1"/>
      <c r="SFV214" s="1"/>
      <c r="SFW214" s="1"/>
      <c r="SFX214" s="1"/>
      <c r="SFY214" s="1"/>
      <c r="SFZ214" s="1"/>
      <c r="SGA214" s="1"/>
      <c r="SGB214" s="1"/>
      <c r="SGC214" s="1"/>
      <c r="SGD214" s="1"/>
      <c r="SGE214" s="1"/>
      <c r="SGF214" s="1"/>
      <c r="SGG214" s="1"/>
      <c r="SGH214" s="1"/>
      <c r="SGI214" s="1"/>
      <c r="SGJ214" s="1"/>
      <c r="SGK214" s="1"/>
      <c r="SGL214" s="1"/>
      <c r="SGM214" s="1"/>
      <c r="SGN214" s="1"/>
      <c r="SGO214" s="1"/>
      <c r="SGP214" s="1"/>
      <c r="SGQ214" s="1"/>
      <c r="SGR214" s="1"/>
      <c r="SGS214" s="1"/>
      <c r="SGT214" s="1"/>
      <c r="SGU214" s="1"/>
      <c r="SGV214" s="1"/>
      <c r="SGW214" s="1"/>
      <c r="SGX214" s="1"/>
      <c r="SGY214" s="1"/>
      <c r="SGZ214" s="1"/>
      <c r="SHA214" s="1"/>
      <c r="SHB214" s="1"/>
      <c r="SHC214" s="1"/>
      <c r="SHD214" s="1"/>
      <c r="SHE214" s="1"/>
      <c r="SHF214" s="1"/>
      <c r="SHG214" s="1"/>
      <c r="SHH214" s="1"/>
      <c r="SHI214" s="1"/>
      <c r="SHJ214" s="1"/>
      <c r="SHK214" s="1"/>
      <c r="SHL214" s="1"/>
      <c r="SHM214" s="1"/>
      <c r="SHN214" s="1"/>
      <c r="SHO214" s="1"/>
      <c r="SHP214" s="1"/>
      <c r="SHQ214" s="1"/>
      <c r="SHR214" s="1"/>
      <c r="SHS214" s="1"/>
      <c r="SHT214" s="1"/>
      <c r="SHU214" s="1"/>
      <c r="SHV214" s="1"/>
      <c r="SHW214" s="1"/>
      <c r="SHX214" s="1"/>
      <c r="SHY214" s="1"/>
      <c r="SHZ214" s="1"/>
      <c r="SIA214" s="1"/>
      <c r="SIB214" s="1"/>
      <c r="SIC214" s="1"/>
      <c r="SID214" s="1"/>
      <c r="SIE214" s="1"/>
      <c r="SIF214" s="1"/>
      <c r="SIG214" s="1"/>
      <c r="SIH214" s="1"/>
      <c r="SII214" s="1"/>
      <c r="SIJ214" s="1"/>
      <c r="SIK214" s="1"/>
      <c r="SIL214" s="1"/>
      <c r="SIM214" s="1"/>
      <c r="SIN214" s="1"/>
      <c r="SIO214" s="1"/>
      <c r="SIP214" s="1"/>
      <c r="SIQ214" s="1"/>
      <c r="SIR214" s="1"/>
      <c r="SIS214" s="1"/>
      <c r="SIT214" s="1"/>
      <c r="SIU214" s="1"/>
      <c r="SIV214" s="1"/>
      <c r="SIW214" s="1"/>
      <c r="SIX214" s="1"/>
      <c r="SIY214" s="1"/>
      <c r="SIZ214" s="1"/>
      <c r="SJA214" s="1"/>
      <c r="SJB214" s="1"/>
      <c r="SJC214" s="1"/>
      <c r="SJD214" s="1"/>
      <c r="SJE214" s="1"/>
      <c r="SJF214" s="1"/>
      <c r="SJG214" s="1"/>
      <c r="SJH214" s="1"/>
      <c r="SJI214" s="1"/>
      <c r="SJJ214" s="1"/>
      <c r="SJK214" s="1"/>
      <c r="SJL214" s="1"/>
      <c r="SJM214" s="1"/>
      <c r="SJN214" s="1"/>
      <c r="SJO214" s="1"/>
      <c r="SJP214" s="1"/>
      <c r="SJQ214" s="1"/>
      <c r="SJR214" s="1"/>
      <c r="SJS214" s="1"/>
      <c r="SJT214" s="1"/>
      <c r="SJU214" s="1"/>
      <c r="SJV214" s="1"/>
      <c r="SJW214" s="1"/>
      <c r="SJX214" s="1"/>
      <c r="SJY214" s="1"/>
      <c r="SJZ214" s="1"/>
      <c r="SKA214" s="1"/>
      <c r="SKB214" s="1"/>
      <c r="SKC214" s="1"/>
      <c r="SKD214" s="1"/>
      <c r="SKE214" s="1"/>
      <c r="SKF214" s="1"/>
      <c r="SKG214" s="1"/>
      <c r="SKH214" s="1"/>
      <c r="SKI214" s="1"/>
      <c r="SKJ214" s="1"/>
      <c r="SKK214" s="1"/>
      <c r="SKL214" s="1"/>
      <c r="SKM214" s="1"/>
      <c r="SKN214" s="1"/>
      <c r="SKO214" s="1"/>
      <c r="SKP214" s="1"/>
      <c r="SKQ214" s="1"/>
      <c r="SKR214" s="1"/>
      <c r="SKS214" s="1"/>
      <c r="SKT214" s="1"/>
      <c r="SKU214" s="1"/>
      <c r="SKV214" s="1"/>
      <c r="SKW214" s="1"/>
      <c r="SKX214" s="1"/>
      <c r="SKY214" s="1"/>
      <c r="SKZ214" s="1"/>
      <c r="SLA214" s="1"/>
      <c r="SLB214" s="1"/>
      <c r="SLC214" s="1"/>
      <c r="SLD214" s="1"/>
      <c r="SLE214" s="1"/>
      <c r="SLF214" s="1"/>
      <c r="SLG214" s="1"/>
      <c r="SLH214" s="1"/>
      <c r="SLI214" s="1"/>
      <c r="SLJ214" s="1"/>
      <c r="SLK214" s="1"/>
      <c r="SLL214" s="1"/>
      <c r="SLM214" s="1"/>
      <c r="SLN214" s="1"/>
      <c r="SLO214" s="1"/>
      <c r="SLP214" s="1"/>
      <c r="SLQ214" s="1"/>
      <c r="SLR214" s="1"/>
      <c r="SLS214" s="1"/>
      <c r="SLT214" s="1"/>
      <c r="SLU214" s="1"/>
      <c r="SLV214" s="1"/>
      <c r="SLW214" s="1"/>
      <c r="SLX214" s="1"/>
      <c r="SLY214" s="1"/>
      <c r="SLZ214" s="1"/>
      <c r="SMA214" s="1"/>
      <c r="SMB214" s="1"/>
      <c r="SMC214" s="1"/>
      <c r="SMD214" s="1"/>
      <c r="SME214" s="1"/>
      <c r="SMF214" s="1"/>
      <c r="SMG214" s="1"/>
      <c r="SMH214" s="1"/>
      <c r="SMI214" s="1"/>
      <c r="SMJ214" s="1"/>
      <c r="SMK214" s="1"/>
      <c r="SML214" s="1"/>
      <c r="SMM214" s="1"/>
      <c r="SMN214" s="1"/>
      <c r="SMO214" s="1"/>
      <c r="SMP214" s="1"/>
      <c r="SMQ214" s="1"/>
      <c r="SMR214" s="1"/>
      <c r="SMS214" s="1"/>
      <c r="SMT214" s="1"/>
      <c r="SMU214" s="1"/>
      <c r="SMV214" s="1"/>
      <c r="SMW214" s="1"/>
      <c r="SMX214" s="1"/>
      <c r="SMY214" s="1"/>
      <c r="SMZ214" s="1"/>
      <c r="SNA214" s="1"/>
      <c r="SNB214" s="1"/>
      <c r="SNC214" s="1"/>
      <c r="SND214" s="1"/>
      <c r="SNE214" s="1"/>
      <c r="SNF214" s="1"/>
      <c r="SNG214" s="1"/>
      <c r="SNH214" s="1"/>
      <c r="SNI214" s="1"/>
      <c r="SNJ214" s="1"/>
      <c r="SNK214" s="1"/>
      <c r="SNL214" s="1"/>
      <c r="SNM214" s="1"/>
      <c r="SNN214" s="1"/>
      <c r="SNO214" s="1"/>
      <c r="SNP214" s="1"/>
      <c r="SNQ214" s="1"/>
      <c r="SNR214" s="1"/>
      <c r="SNS214" s="1"/>
      <c r="SNT214" s="1"/>
      <c r="SNU214" s="1"/>
      <c r="SNV214" s="1"/>
      <c r="SNW214" s="1"/>
      <c r="SNX214" s="1"/>
      <c r="SNY214" s="1"/>
      <c r="SNZ214" s="1"/>
      <c r="SOA214" s="1"/>
      <c r="SOB214" s="1"/>
      <c r="SOC214" s="1"/>
      <c r="SOD214" s="1"/>
      <c r="SOE214" s="1"/>
      <c r="SOF214" s="1"/>
      <c r="SOG214" s="1"/>
      <c r="SOH214" s="1"/>
      <c r="SOI214" s="1"/>
      <c r="SOJ214" s="1"/>
      <c r="SOK214" s="1"/>
      <c r="SOL214" s="1"/>
      <c r="SOM214" s="1"/>
      <c r="SON214" s="1"/>
      <c r="SOO214" s="1"/>
      <c r="SOP214" s="1"/>
      <c r="SOQ214" s="1"/>
      <c r="SOR214" s="1"/>
      <c r="SOS214" s="1"/>
      <c r="SOT214" s="1"/>
      <c r="SOU214" s="1"/>
      <c r="SOV214" s="1"/>
      <c r="SOW214" s="1"/>
      <c r="SOX214" s="1"/>
      <c r="SOY214" s="1"/>
      <c r="SOZ214" s="1"/>
      <c r="SPA214" s="1"/>
      <c r="SPB214" s="1"/>
      <c r="SPC214" s="1"/>
      <c r="SPD214" s="1"/>
      <c r="SPE214" s="1"/>
      <c r="SPF214" s="1"/>
      <c r="SPG214" s="1"/>
      <c r="SPH214" s="1"/>
      <c r="SPI214" s="1"/>
      <c r="SPJ214" s="1"/>
      <c r="SPK214" s="1"/>
      <c r="SPL214" s="1"/>
      <c r="SPM214" s="1"/>
      <c r="SPN214" s="1"/>
      <c r="SPO214" s="1"/>
      <c r="SPP214" s="1"/>
      <c r="SPQ214" s="1"/>
      <c r="SPR214" s="1"/>
      <c r="SPS214" s="1"/>
      <c r="SPT214" s="1"/>
      <c r="SPU214" s="1"/>
      <c r="SPV214" s="1"/>
      <c r="SPW214" s="1"/>
      <c r="SPX214" s="1"/>
      <c r="SPY214" s="1"/>
      <c r="SPZ214" s="1"/>
      <c r="SQA214" s="1"/>
      <c r="SQB214" s="1"/>
      <c r="SQC214" s="1"/>
      <c r="SQD214" s="1"/>
      <c r="SQE214" s="1"/>
      <c r="SQF214" s="1"/>
      <c r="SQG214" s="1"/>
      <c r="SQH214" s="1"/>
      <c r="SQI214" s="1"/>
      <c r="SQJ214" s="1"/>
      <c r="SQK214" s="1"/>
      <c r="SQL214" s="1"/>
      <c r="SQM214" s="1"/>
      <c r="SQN214" s="1"/>
      <c r="SQO214" s="1"/>
      <c r="SQP214" s="1"/>
      <c r="SQQ214" s="1"/>
      <c r="SQR214" s="1"/>
      <c r="SQS214" s="1"/>
      <c r="SQT214" s="1"/>
      <c r="SQU214" s="1"/>
      <c r="SQV214" s="1"/>
      <c r="SQW214" s="1"/>
      <c r="SQX214" s="1"/>
      <c r="SQY214" s="1"/>
      <c r="SQZ214" s="1"/>
      <c r="SRA214" s="1"/>
      <c r="SRB214" s="1"/>
      <c r="SRC214" s="1"/>
      <c r="SRD214" s="1"/>
      <c r="SRE214" s="1"/>
      <c r="SRF214" s="1"/>
      <c r="SRG214" s="1"/>
      <c r="SRH214" s="1"/>
      <c r="SRI214" s="1"/>
      <c r="SRJ214" s="1"/>
      <c r="SRK214" s="1"/>
      <c r="SRL214" s="1"/>
      <c r="SRM214" s="1"/>
      <c r="SRN214" s="1"/>
      <c r="SRO214" s="1"/>
      <c r="SRP214" s="1"/>
      <c r="SRQ214" s="1"/>
      <c r="SRR214" s="1"/>
      <c r="SRS214" s="1"/>
      <c r="SRT214" s="1"/>
      <c r="SRU214" s="1"/>
      <c r="SRV214" s="1"/>
      <c r="SRW214" s="1"/>
      <c r="SRX214" s="1"/>
      <c r="SRY214" s="1"/>
      <c r="SRZ214" s="1"/>
      <c r="SSA214" s="1"/>
      <c r="SSB214" s="1"/>
      <c r="SSC214" s="1"/>
      <c r="SSD214" s="1"/>
      <c r="SSE214" s="1"/>
      <c r="SSF214" s="1"/>
      <c r="SSG214" s="1"/>
      <c r="SSH214" s="1"/>
      <c r="SSI214" s="1"/>
      <c r="SSJ214" s="1"/>
      <c r="SSK214" s="1"/>
      <c r="SSL214" s="1"/>
      <c r="SSM214" s="1"/>
      <c r="SSN214" s="1"/>
      <c r="SSO214" s="1"/>
      <c r="SSP214" s="1"/>
      <c r="SSQ214" s="1"/>
      <c r="SSR214" s="1"/>
      <c r="SSS214" s="1"/>
      <c r="SST214" s="1"/>
      <c r="SSU214" s="1"/>
      <c r="SSV214" s="1"/>
      <c r="SSW214" s="1"/>
      <c r="SSX214" s="1"/>
      <c r="SSY214" s="1"/>
      <c r="SSZ214" s="1"/>
      <c r="STA214" s="1"/>
      <c r="STB214" s="1"/>
      <c r="STC214" s="1"/>
      <c r="STD214" s="1"/>
      <c r="STE214" s="1"/>
      <c r="STF214" s="1"/>
      <c r="STG214" s="1"/>
      <c r="STH214" s="1"/>
      <c r="STI214" s="1"/>
      <c r="STJ214" s="1"/>
      <c r="STK214" s="1"/>
      <c r="STL214" s="1"/>
      <c r="STM214" s="1"/>
      <c r="STN214" s="1"/>
      <c r="STO214" s="1"/>
      <c r="STP214" s="1"/>
      <c r="STQ214" s="1"/>
      <c r="STR214" s="1"/>
      <c r="STS214" s="1"/>
      <c r="STT214" s="1"/>
      <c r="STU214" s="1"/>
      <c r="STV214" s="1"/>
      <c r="STW214" s="1"/>
      <c r="STX214" s="1"/>
      <c r="STY214" s="1"/>
      <c r="STZ214" s="1"/>
      <c r="SUA214" s="1"/>
      <c r="SUB214" s="1"/>
      <c r="SUC214" s="1"/>
      <c r="SUD214" s="1"/>
      <c r="SUE214" s="1"/>
      <c r="SUF214" s="1"/>
      <c r="SUG214" s="1"/>
      <c r="SUH214" s="1"/>
      <c r="SUI214" s="1"/>
      <c r="SUJ214" s="1"/>
      <c r="SUK214" s="1"/>
      <c r="SUL214" s="1"/>
      <c r="SUM214" s="1"/>
      <c r="SUN214" s="1"/>
      <c r="SUO214" s="1"/>
      <c r="SUP214" s="1"/>
      <c r="SUQ214" s="1"/>
      <c r="SUR214" s="1"/>
      <c r="SUS214" s="1"/>
      <c r="SUT214" s="1"/>
      <c r="SUU214" s="1"/>
      <c r="SUV214" s="1"/>
      <c r="SUW214" s="1"/>
      <c r="SUX214" s="1"/>
      <c r="SUY214" s="1"/>
      <c r="SUZ214" s="1"/>
      <c r="SVA214" s="1"/>
      <c r="SVB214" s="1"/>
      <c r="SVC214" s="1"/>
      <c r="SVD214" s="1"/>
      <c r="SVE214" s="1"/>
      <c r="SVF214" s="1"/>
      <c r="SVG214" s="1"/>
      <c r="SVH214" s="1"/>
      <c r="SVI214" s="1"/>
      <c r="SVJ214" s="1"/>
      <c r="SVK214" s="1"/>
      <c r="SVL214" s="1"/>
      <c r="SVM214" s="1"/>
      <c r="SVN214" s="1"/>
      <c r="SVO214" s="1"/>
      <c r="SVP214" s="1"/>
      <c r="SVQ214" s="1"/>
      <c r="SVR214" s="1"/>
      <c r="SVS214" s="1"/>
      <c r="SVT214" s="1"/>
      <c r="SVU214" s="1"/>
      <c r="SVV214" s="1"/>
      <c r="SVW214" s="1"/>
      <c r="SVX214" s="1"/>
      <c r="SVY214" s="1"/>
      <c r="SVZ214" s="1"/>
      <c r="SWA214" s="1"/>
      <c r="SWB214" s="1"/>
      <c r="SWC214" s="1"/>
      <c r="SWD214" s="1"/>
      <c r="SWE214" s="1"/>
      <c r="SWF214" s="1"/>
      <c r="SWG214" s="1"/>
      <c r="SWH214" s="1"/>
      <c r="SWI214" s="1"/>
      <c r="SWJ214" s="1"/>
      <c r="SWK214" s="1"/>
      <c r="SWL214" s="1"/>
      <c r="SWM214" s="1"/>
      <c r="SWN214" s="1"/>
      <c r="SWO214" s="1"/>
      <c r="SWP214" s="1"/>
      <c r="SWQ214" s="1"/>
      <c r="SWR214" s="1"/>
      <c r="SWS214" s="1"/>
      <c r="SWT214" s="1"/>
      <c r="SWU214" s="1"/>
      <c r="SWV214" s="1"/>
      <c r="SWW214" s="1"/>
      <c r="SWX214" s="1"/>
      <c r="SWY214" s="1"/>
      <c r="SWZ214" s="1"/>
      <c r="SXA214" s="1"/>
      <c r="SXB214" s="1"/>
      <c r="SXC214" s="1"/>
      <c r="SXD214" s="1"/>
      <c r="SXE214" s="1"/>
      <c r="SXF214" s="1"/>
      <c r="SXG214" s="1"/>
      <c r="SXH214" s="1"/>
      <c r="SXI214" s="1"/>
      <c r="SXJ214" s="1"/>
      <c r="SXK214" s="1"/>
      <c r="SXL214" s="1"/>
      <c r="SXM214" s="1"/>
      <c r="SXN214" s="1"/>
      <c r="SXO214" s="1"/>
      <c r="SXP214" s="1"/>
      <c r="SXQ214" s="1"/>
      <c r="SXR214" s="1"/>
      <c r="SXS214" s="1"/>
      <c r="SXT214" s="1"/>
      <c r="SXU214" s="1"/>
      <c r="SXV214" s="1"/>
      <c r="SXW214" s="1"/>
      <c r="SXX214" s="1"/>
      <c r="SXY214" s="1"/>
      <c r="SXZ214" s="1"/>
      <c r="SYA214" s="1"/>
      <c r="SYB214" s="1"/>
      <c r="SYC214" s="1"/>
      <c r="SYD214" s="1"/>
      <c r="SYE214" s="1"/>
      <c r="SYF214" s="1"/>
      <c r="SYG214" s="1"/>
      <c r="SYH214" s="1"/>
      <c r="SYI214" s="1"/>
      <c r="SYJ214" s="1"/>
      <c r="SYK214" s="1"/>
      <c r="SYL214" s="1"/>
      <c r="SYM214" s="1"/>
      <c r="SYN214" s="1"/>
      <c r="SYO214" s="1"/>
      <c r="SYP214" s="1"/>
      <c r="SYQ214" s="1"/>
      <c r="SYR214" s="1"/>
      <c r="SYS214" s="1"/>
      <c r="SYT214" s="1"/>
      <c r="SYU214" s="1"/>
      <c r="SYV214" s="1"/>
      <c r="SYW214" s="1"/>
      <c r="SYX214" s="1"/>
      <c r="SYY214" s="1"/>
      <c r="SYZ214" s="1"/>
      <c r="SZA214" s="1"/>
      <c r="SZB214" s="1"/>
      <c r="SZC214" s="1"/>
      <c r="SZD214" s="1"/>
      <c r="SZE214" s="1"/>
      <c r="SZF214" s="1"/>
      <c r="SZG214" s="1"/>
      <c r="SZH214" s="1"/>
      <c r="SZI214" s="1"/>
      <c r="SZJ214" s="1"/>
      <c r="SZK214" s="1"/>
      <c r="SZL214" s="1"/>
      <c r="SZM214" s="1"/>
      <c r="SZN214" s="1"/>
      <c r="SZO214" s="1"/>
      <c r="SZP214" s="1"/>
      <c r="SZQ214" s="1"/>
      <c r="SZR214" s="1"/>
      <c r="SZS214" s="1"/>
      <c r="SZT214" s="1"/>
      <c r="SZU214" s="1"/>
      <c r="SZV214" s="1"/>
      <c r="SZW214" s="1"/>
      <c r="SZX214" s="1"/>
      <c r="SZY214" s="1"/>
      <c r="SZZ214" s="1"/>
      <c r="TAA214" s="1"/>
      <c r="TAB214" s="1"/>
      <c r="TAC214" s="1"/>
      <c r="TAD214" s="1"/>
      <c r="TAE214" s="1"/>
      <c r="TAF214" s="1"/>
      <c r="TAG214" s="1"/>
      <c r="TAH214" s="1"/>
      <c r="TAI214" s="1"/>
      <c r="TAJ214" s="1"/>
      <c r="TAK214" s="1"/>
      <c r="TAL214" s="1"/>
      <c r="TAM214" s="1"/>
      <c r="TAN214" s="1"/>
      <c r="TAO214" s="1"/>
      <c r="TAP214" s="1"/>
      <c r="TAQ214" s="1"/>
      <c r="TAR214" s="1"/>
      <c r="TAS214" s="1"/>
      <c r="TAT214" s="1"/>
      <c r="TAU214" s="1"/>
      <c r="TAV214" s="1"/>
      <c r="TAW214" s="1"/>
      <c r="TAX214" s="1"/>
      <c r="TAY214" s="1"/>
      <c r="TAZ214" s="1"/>
      <c r="TBA214" s="1"/>
      <c r="TBB214" s="1"/>
      <c r="TBC214" s="1"/>
      <c r="TBD214" s="1"/>
      <c r="TBE214" s="1"/>
      <c r="TBF214" s="1"/>
      <c r="TBG214" s="1"/>
      <c r="TBH214" s="1"/>
      <c r="TBI214" s="1"/>
      <c r="TBJ214" s="1"/>
      <c r="TBK214" s="1"/>
      <c r="TBL214" s="1"/>
      <c r="TBM214" s="1"/>
      <c r="TBN214" s="1"/>
      <c r="TBO214" s="1"/>
      <c r="TBP214" s="1"/>
      <c r="TBQ214" s="1"/>
      <c r="TBR214" s="1"/>
      <c r="TBS214" s="1"/>
      <c r="TBT214" s="1"/>
      <c r="TBU214" s="1"/>
      <c r="TBV214" s="1"/>
      <c r="TBW214" s="1"/>
      <c r="TBX214" s="1"/>
      <c r="TBY214" s="1"/>
      <c r="TBZ214" s="1"/>
      <c r="TCA214" s="1"/>
      <c r="TCB214" s="1"/>
      <c r="TCC214" s="1"/>
      <c r="TCD214" s="1"/>
      <c r="TCE214" s="1"/>
      <c r="TCF214" s="1"/>
      <c r="TCG214" s="1"/>
      <c r="TCH214" s="1"/>
      <c r="TCI214" s="1"/>
      <c r="TCJ214" s="1"/>
      <c r="TCK214" s="1"/>
      <c r="TCL214" s="1"/>
      <c r="TCM214" s="1"/>
      <c r="TCN214" s="1"/>
      <c r="TCO214" s="1"/>
      <c r="TCP214" s="1"/>
      <c r="TCQ214" s="1"/>
      <c r="TCR214" s="1"/>
      <c r="TCS214" s="1"/>
      <c r="TCT214" s="1"/>
      <c r="TCU214" s="1"/>
      <c r="TCV214" s="1"/>
      <c r="TCW214" s="1"/>
      <c r="TCX214" s="1"/>
      <c r="TCY214" s="1"/>
      <c r="TCZ214" s="1"/>
      <c r="TDA214" s="1"/>
      <c r="TDB214" s="1"/>
      <c r="TDC214" s="1"/>
      <c r="TDD214" s="1"/>
      <c r="TDE214" s="1"/>
      <c r="TDF214" s="1"/>
      <c r="TDG214" s="1"/>
      <c r="TDH214" s="1"/>
      <c r="TDI214" s="1"/>
      <c r="TDJ214" s="1"/>
      <c r="TDK214" s="1"/>
      <c r="TDL214" s="1"/>
      <c r="TDM214" s="1"/>
      <c r="TDN214" s="1"/>
      <c r="TDO214" s="1"/>
      <c r="TDP214" s="1"/>
      <c r="TDQ214" s="1"/>
      <c r="TDR214" s="1"/>
      <c r="TDS214" s="1"/>
      <c r="TDT214" s="1"/>
      <c r="TDU214" s="1"/>
      <c r="TDV214" s="1"/>
      <c r="TDW214" s="1"/>
      <c r="TDX214" s="1"/>
      <c r="TDY214" s="1"/>
      <c r="TDZ214" s="1"/>
      <c r="TEA214" s="1"/>
      <c r="TEB214" s="1"/>
      <c r="TEC214" s="1"/>
      <c r="TED214" s="1"/>
      <c r="TEE214" s="1"/>
      <c r="TEF214" s="1"/>
      <c r="TEG214" s="1"/>
      <c r="TEH214" s="1"/>
      <c r="TEI214" s="1"/>
      <c r="TEJ214" s="1"/>
      <c r="TEK214" s="1"/>
      <c r="TEL214" s="1"/>
      <c r="TEM214" s="1"/>
      <c r="TEN214" s="1"/>
      <c r="TEO214" s="1"/>
      <c r="TEP214" s="1"/>
      <c r="TEQ214" s="1"/>
      <c r="TER214" s="1"/>
      <c r="TES214" s="1"/>
      <c r="TET214" s="1"/>
      <c r="TEU214" s="1"/>
      <c r="TEV214" s="1"/>
      <c r="TEW214" s="1"/>
      <c r="TEX214" s="1"/>
      <c r="TEY214" s="1"/>
      <c r="TEZ214" s="1"/>
      <c r="TFA214" s="1"/>
      <c r="TFB214" s="1"/>
      <c r="TFC214" s="1"/>
      <c r="TFD214" s="1"/>
      <c r="TFE214" s="1"/>
      <c r="TFF214" s="1"/>
      <c r="TFG214" s="1"/>
      <c r="TFH214" s="1"/>
      <c r="TFI214" s="1"/>
      <c r="TFJ214" s="1"/>
      <c r="TFK214" s="1"/>
      <c r="TFL214" s="1"/>
      <c r="TFM214" s="1"/>
      <c r="TFN214" s="1"/>
      <c r="TFO214" s="1"/>
      <c r="TFP214" s="1"/>
      <c r="TFQ214" s="1"/>
      <c r="TFR214" s="1"/>
      <c r="TFS214" s="1"/>
      <c r="TFT214" s="1"/>
      <c r="TFU214" s="1"/>
      <c r="TFV214" s="1"/>
      <c r="TFW214" s="1"/>
      <c r="TFX214" s="1"/>
      <c r="TFY214" s="1"/>
      <c r="TFZ214" s="1"/>
      <c r="TGA214" s="1"/>
      <c r="TGB214" s="1"/>
      <c r="TGC214" s="1"/>
      <c r="TGD214" s="1"/>
      <c r="TGE214" s="1"/>
      <c r="TGF214" s="1"/>
      <c r="TGG214" s="1"/>
      <c r="TGH214" s="1"/>
      <c r="TGI214" s="1"/>
      <c r="TGJ214" s="1"/>
      <c r="TGK214" s="1"/>
      <c r="TGL214" s="1"/>
      <c r="TGM214" s="1"/>
      <c r="TGN214" s="1"/>
      <c r="TGO214" s="1"/>
      <c r="TGP214" s="1"/>
      <c r="TGQ214" s="1"/>
      <c r="TGR214" s="1"/>
      <c r="TGS214" s="1"/>
      <c r="TGT214" s="1"/>
      <c r="TGU214" s="1"/>
      <c r="TGV214" s="1"/>
      <c r="TGW214" s="1"/>
      <c r="TGX214" s="1"/>
      <c r="TGY214" s="1"/>
      <c r="TGZ214" s="1"/>
      <c r="THA214" s="1"/>
      <c r="THB214" s="1"/>
      <c r="THC214" s="1"/>
      <c r="THD214" s="1"/>
      <c r="THE214" s="1"/>
      <c r="THF214" s="1"/>
      <c r="THG214" s="1"/>
      <c r="THH214" s="1"/>
      <c r="THI214" s="1"/>
      <c r="THJ214" s="1"/>
      <c r="THK214" s="1"/>
      <c r="THL214" s="1"/>
      <c r="THM214" s="1"/>
      <c r="THN214" s="1"/>
      <c r="THO214" s="1"/>
      <c r="THP214" s="1"/>
      <c r="THQ214" s="1"/>
      <c r="THR214" s="1"/>
      <c r="THS214" s="1"/>
      <c r="THT214" s="1"/>
      <c r="THU214" s="1"/>
      <c r="THV214" s="1"/>
      <c r="THW214" s="1"/>
      <c r="THX214" s="1"/>
      <c r="THY214" s="1"/>
      <c r="THZ214" s="1"/>
      <c r="TIA214" s="1"/>
      <c r="TIB214" s="1"/>
      <c r="TIC214" s="1"/>
      <c r="TID214" s="1"/>
      <c r="TIE214" s="1"/>
      <c r="TIF214" s="1"/>
      <c r="TIG214" s="1"/>
      <c r="TIH214" s="1"/>
      <c r="TII214" s="1"/>
      <c r="TIJ214" s="1"/>
      <c r="TIK214" s="1"/>
      <c r="TIL214" s="1"/>
      <c r="TIM214" s="1"/>
      <c r="TIN214" s="1"/>
      <c r="TIO214" s="1"/>
      <c r="TIP214" s="1"/>
      <c r="TIQ214" s="1"/>
      <c r="TIR214" s="1"/>
      <c r="TIS214" s="1"/>
      <c r="TIT214" s="1"/>
      <c r="TIU214" s="1"/>
      <c r="TIV214" s="1"/>
      <c r="TIW214" s="1"/>
      <c r="TIX214" s="1"/>
      <c r="TIY214" s="1"/>
      <c r="TIZ214" s="1"/>
      <c r="TJA214" s="1"/>
      <c r="TJB214" s="1"/>
      <c r="TJC214" s="1"/>
      <c r="TJD214" s="1"/>
      <c r="TJE214" s="1"/>
      <c r="TJF214" s="1"/>
      <c r="TJG214" s="1"/>
      <c r="TJH214" s="1"/>
      <c r="TJI214" s="1"/>
      <c r="TJJ214" s="1"/>
      <c r="TJK214" s="1"/>
      <c r="TJL214" s="1"/>
      <c r="TJM214" s="1"/>
      <c r="TJN214" s="1"/>
      <c r="TJO214" s="1"/>
      <c r="TJP214" s="1"/>
      <c r="TJQ214" s="1"/>
      <c r="TJR214" s="1"/>
      <c r="TJS214" s="1"/>
      <c r="TJT214" s="1"/>
      <c r="TJU214" s="1"/>
      <c r="TJV214" s="1"/>
      <c r="TJW214" s="1"/>
      <c r="TJX214" s="1"/>
      <c r="TJY214" s="1"/>
      <c r="TJZ214" s="1"/>
      <c r="TKA214" s="1"/>
      <c r="TKB214" s="1"/>
      <c r="TKC214" s="1"/>
      <c r="TKD214" s="1"/>
      <c r="TKE214" s="1"/>
      <c r="TKF214" s="1"/>
      <c r="TKG214" s="1"/>
      <c r="TKH214" s="1"/>
      <c r="TKI214" s="1"/>
      <c r="TKJ214" s="1"/>
      <c r="TKK214" s="1"/>
      <c r="TKL214" s="1"/>
      <c r="TKM214" s="1"/>
      <c r="TKN214" s="1"/>
      <c r="TKO214" s="1"/>
      <c r="TKP214" s="1"/>
      <c r="TKQ214" s="1"/>
      <c r="TKR214" s="1"/>
      <c r="TKS214" s="1"/>
      <c r="TKT214" s="1"/>
      <c r="TKU214" s="1"/>
      <c r="TKV214" s="1"/>
      <c r="TKW214" s="1"/>
      <c r="TKX214" s="1"/>
      <c r="TKY214" s="1"/>
      <c r="TKZ214" s="1"/>
      <c r="TLA214" s="1"/>
      <c r="TLB214" s="1"/>
      <c r="TLC214" s="1"/>
      <c r="TLD214" s="1"/>
      <c r="TLE214" s="1"/>
      <c r="TLF214" s="1"/>
      <c r="TLG214" s="1"/>
      <c r="TLH214" s="1"/>
      <c r="TLI214" s="1"/>
      <c r="TLJ214" s="1"/>
      <c r="TLK214" s="1"/>
      <c r="TLL214" s="1"/>
      <c r="TLM214" s="1"/>
      <c r="TLN214" s="1"/>
      <c r="TLO214" s="1"/>
      <c r="TLP214" s="1"/>
      <c r="TLQ214" s="1"/>
      <c r="TLR214" s="1"/>
      <c r="TLS214" s="1"/>
      <c r="TLT214" s="1"/>
      <c r="TLU214" s="1"/>
      <c r="TLV214" s="1"/>
      <c r="TLW214" s="1"/>
      <c r="TLX214" s="1"/>
      <c r="TLY214" s="1"/>
      <c r="TLZ214" s="1"/>
      <c r="TMA214" s="1"/>
      <c r="TMB214" s="1"/>
      <c r="TMC214" s="1"/>
      <c r="TMD214" s="1"/>
      <c r="TME214" s="1"/>
      <c r="TMF214" s="1"/>
      <c r="TMG214" s="1"/>
      <c r="TMH214" s="1"/>
      <c r="TMI214" s="1"/>
      <c r="TMJ214" s="1"/>
      <c r="TMK214" s="1"/>
      <c r="TML214" s="1"/>
      <c r="TMM214" s="1"/>
      <c r="TMN214" s="1"/>
      <c r="TMO214" s="1"/>
      <c r="TMP214" s="1"/>
      <c r="TMQ214" s="1"/>
      <c r="TMR214" s="1"/>
      <c r="TMS214" s="1"/>
      <c r="TMT214" s="1"/>
      <c r="TMU214" s="1"/>
      <c r="TMV214" s="1"/>
      <c r="TMW214" s="1"/>
      <c r="TMX214" s="1"/>
      <c r="TMY214" s="1"/>
      <c r="TMZ214" s="1"/>
      <c r="TNA214" s="1"/>
      <c r="TNB214" s="1"/>
      <c r="TNC214" s="1"/>
      <c r="TND214" s="1"/>
      <c r="TNE214" s="1"/>
      <c r="TNF214" s="1"/>
      <c r="TNG214" s="1"/>
      <c r="TNH214" s="1"/>
      <c r="TNI214" s="1"/>
      <c r="TNJ214" s="1"/>
      <c r="TNK214" s="1"/>
      <c r="TNL214" s="1"/>
      <c r="TNM214" s="1"/>
      <c r="TNN214" s="1"/>
      <c r="TNO214" s="1"/>
      <c r="TNP214" s="1"/>
      <c r="TNQ214" s="1"/>
      <c r="TNR214" s="1"/>
      <c r="TNS214" s="1"/>
      <c r="TNT214" s="1"/>
      <c r="TNU214" s="1"/>
      <c r="TNV214" s="1"/>
      <c r="TNW214" s="1"/>
      <c r="TNX214" s="1"/>
      <c r="TNY214" s="1"/>
      <c r="TNZ214" s="1"/>
      <c r="TOA214" s="1"/>
      <c r="TOB214" s="1"/>
      <c r="TOC214" s="1"/>
      <c r="TOD214" s="1"/>
      <c r="TOE214" s="1"/>
      <c r="TOF214" s="1"/>
      <c r="TOG214" s="1"/>
      <c r="TOH214" s="1"/>
      <c r="TOI214" s="1"/>
      <c r="TOJ214" s="1"/>
      <c r="TOK214" s="1"/>
      <c r="TOL214" s="1"/>
      <c r="TOM214" s="1"/>
      <c r="TON214" s="1"/>
      <c r="TOO214" s="1"/>
      <c r="TOP214" s="1"/>
      <c r="TOQ214" s="1"/>
      <c r="TOR214" s="1"/>
      <c r="TOS214" s="1"/>
      <c r="TOT214" s="1"/>
      <c r="TOU214" s="1"/>
      <c r="TOV214" s="1"/>
      <c r="TOW214" s="1"/>
      <c r="TOX214" s="1"/>
      <c r="TOY214" s="1"/>
      <c r="TOZ214" s="1"/>
      <c r="TPA214" s="1"/>
      <c r="TPB214" s="1"/>
      <c r="TPC214" s="1"/>
      <c r="TPD214" s="1"/>
      <c r="TPE214" s="1"/>
      <c r="TPF214" s="1"/>
      <c r="TPG214" s="1"/>
      <c r="TPH214" s="1"/>
      <c r="TPI214" s="1"/>
      <c r="TPJ214" s="1"/>
      <c r="TPK214" s="1"/>
      <c r="TPL214" s="1"/>
      <c r="TPM214" s="1"/>
      <c r="TPN214" s="1"/>
      <c r="TPO214" s="1"/>
      <c r="TPP214" s="1"/>
      <c r="TPQ214" s="1"/>
      <c r="TPR214" s="1"/>
      <c r="TPS214" s="1"/>
      <c r="TPT214" s="1"/>
      <c r="TPU214" s="1"/>
      <c r="TPV214" s="1"/>
      <c r="TPW214" s="1"/>
      <c r="TPX214" s="1"/>
      <c r="TPY214" s="1"/>
      <c r="TPZ214" s="1"/>
      <c r="TQA214" s="1"/>
      <c r="TQB214" s="1"/>
      <c r="TQC214" s="1"/>
      <c r="TQD214" s="1"/>
      <c r="TQE214" s="1"/>
      <c r="TQF214" s="1"/>
      <c r="TQG214" s="1"/>
      <c r="TQH214" s="1"/>
      <c r="TQI214" s="1"/>
      <c r="TQJ214" s="1"/>
      <c r="TQK214" s="1"/>
      <c r="TQL214" s="1"/>
      <c r="TQM214" s="1"/>
      <c r="TQN214" s="1"/>
      <c r="TQO214" s="1"/>
      <c r="TQP214" s="1"/>
      <c r="TQQ214" s="1"/>
      <c r="TQR214" s="1"/>
      <c r="TQS214" s="1"/>
      <c r="TQT214" s="1"/>
      <c r="TQU214" s="1"/>
      <c r="TQV214" s="1"/>
      <c r="TQW214" s="1"/>
      <c r="TQX214" s="1"/>
      <c r="TQY214" s="1"/>
      <c r="TQZ214" s="1"/>
      <c r="TRA214" s="1"/>
      <c r="TRB214" s="1"/>
      <c r="TRC214" s="1"/>
      <c r="TRD214" s="1"/>
      <c r="TRE214" s="1"/>
      <c r="TRF214" s="1"/>
      <c r="TRG214" s="1"/>
      <c r="TRH214" s="1"/>
      <c r="TRI214" s="1"/>
      <c r="TRJ214" s="1"/>
      <c r="TRK214" s="1"/>
      <c r="TRL214" s="1"/>
      <c r="TRM214" s="1"/>
      <c r="TRN214" s="1"/>
      <c r="TRO214" s="1"/>
      <c r="TRP214" s="1"/>
      <c r="TRQ214" s="1"/>
      <c r="TRR214" s="1"/>
      <c r="TRS214" s="1"/>
      <c r="TRT214" s="1"/>
      <c r="TRU214" s="1"/>
      <c r="TRV214" s="1"/>
      <c r="TRW214" s="1"/>
      <c r="TRX214" s="1"/>
      <c r="TRY214" s="1"/>
      <c r="TRZ214" s="1"/>
      <c r="TSA214" s="1"/>
      <c r="TSB214" s="1"/>
      <c r="TSC214" s="1"/>
      <c r="TSD214" s="1"/>
      <c r="TSE214" s="1"/>
      <c r="TSF214" s="1"/>
      <c r="TSG214" s="1"/>
      <c r="TSH214" s="1"/>
      <c r="TSI214" s="1"/>
      <c r="TSJ214" s="1"/>
      <c r="TSK214" s="1"/>
      <c r="TSL214" s="1"/>
      <c r="TSM214" s="1"/>
      <c r="TSN214" s="1"/>
      <c r="TSO214" s="1"/>
      <c r="TSP214" s="1"/>
      <c r="TSQ214" s="1"/>
      <c r="TSR214" s="1"/>
      <c r="TSS214" s="1"/>
      <c r="TST214" s="1"/>
      <c r="TSU214" s="1"/>
      <c r="TSV214" s="1"/>
      <c r="TSW214" s="1"/>
      <c r="TSX214" s="1"/>
      <c r="TSY214" s="1"/>
      <c r="TSZ214" s="1"/>
      <c r="TTA214" s="1"/>
      <c r="TTB214" s="1"/>
      <c r="TTC214" s="1"/>
      <c r="TTD214" s="1"/>
      <c r="TTE214" s="1"/>
      <c r="TTF214" s="1"/>
      <c r="TTG214" s="1"/>
      <c r="TTH214" s="1"/>
      <c r="TTI214" s="1"/>
      <c r="TTJ214" s="1"/>
      <c r="TTK214" s="1"/>
      <c r="TTL214" s="1"/>
      <c r="TTM214" s="1"/>
      <c r="TTN214" s="1"/>
      <c r="TTO214" s="1"/>
      <c r="TTP214" s="1"/>
      <c r="TTQ214" s="1"/>
      <c r="TTR214" s="1"/>
      <c r="TTS214" s="1"/>
      <c r="TTT214" s="1"/>
      <c r="TTU214" s="1"/>
      <c r="TTV214" s="1"/>
      <c r="TTW214" s="1"/>
      <c r="TTX214" s="1"/>
      <c r="TTY214" s="1"/>
      <c r="TTZ214" s="1"/>
      <c r="TUA214" s="1"/>
      <c r="TUB214" s="1"/>
      <c r="TUC214" s="1"/>
      <c r="TUD214" s="1"/>
      <c r="TUE214" s="1"/>
      <c r="TUF214" s="1"/>
      <c r="TUG214" s="1"/>
      <c r="TUH214" s="1"/>
      <c r="TUI214" s="1"/>
      <c r="TUJ214" s="1"/>
      <c r="TUK214" s="1"/>
      <c r="TUL214" s="1"/>
      <c r="TUM214" s="1"/>
      <c r="TUN214" s="1"/>
      <c r="TUO214" s="1"/>
      <c r="TUP214" s="1"/>
      <c r="TUQ214" s="1"/>
      <c r="TUR214" s="1"/>
      <c r="TUS214" s="1"/>
      <c r="TUT214" s="1"/>
      <c r="TUU214" s="1"/>
      <c r="TUV214" s="1"/>
      <c r="TUW214" s="1"/>
      <c r="TUX214" s="1"/>
      <c r="TUY214" s="1"/>
      <c r="TUZ214" s="1"/>
      <c r="TVA214" s="1"/>
      <c r="TVB214" s="1"/>
      <c r="TVC214" s="1"/>
      <c r="TVD214" s="1"/>
      <c r="TVE214" s="1"/>
      <c r="TVF214" s="1"/>
      <c r="TVG214" s="1"/>
      <c r="TVH214" s="1"/>
      <c r="TVI214" s="1"/>
      <c r="TVJ214" s="1"/>
      <c r="TVK214" s="1"/>
      <c r="TVL214" s="1"/>
      <c r="TVM214" s="1"/>
      <c r="TVN214" s="1"/>
      <c r="TVO214" s="1"/>
      <c r="TVP214" s="1"/>
      <c r="TVQ214" s="1"/>
      <c r="TVR214" s="1"/>
      <c r="TVS214" s="1"/>
      <c r="TVT214" s="1"/>
      <c r="TVU214" s="1"/>
      <c r="TVV214" s="1"/>
      <c r="TVW214" s="1"/>
      <c r="TVX214" s="1"/>
      <c r="TVY214" s="1"/>
      <c r="TVZ214" s="1"/>
      <c r="TWA214" s="1"/>
      <c r="TWB214" s="1"/>
      <c r="TWC214" s="1"/>
      <c r="TWD214" s="1"/>
      <c r="TWE214" s="1"/>
      <c r="TWF214" s="1"/>
      <c r="TWG214" s="1"/>
      <c r="TWH214" s="1"/>
      <c r="TWI214" s="1"/>
      <c r="TWJ214" s="1"/>
      <c r="TWK214" s="1"/>
      <c r="TWL214" s="1"/>
      <c r="TWM214" s="1"/>
      <c r="TWN214" s="1"/>
      <c r="TWO214" s="1"/>
      <c r="TWP214" s="1"/>
      <c r="TWQ214" s="1"/>
      <c r="TWR214" s="1"/>
      <c r="TWS214" s="1"/>
      <c r="TWT214" s="1"/>
      <c r="TWU214" s="1"/>
      <c r="TWV214" s="1"/>
      <c r="TWW214" s="1"/>
      <c r="TWX214" s="1"/>
      <c r="TWY214" s="1"/>
      <c r="TWZ214" s="1"/>
      <c r="TXA214" s="1"/>
      <c r="TXB214" s="1"/>
      <c r="TXC214" s="1"/>
      <c r="TXD214" s="1"/>
      <c r="TXE214" s="1"/>
      <c r="TXF214" s="1"/>
      <c r="TXG214" s="1"/>
      <c r="TXH214" s="1"/>
      <c r="TXI214" s="1"/>
      <c r="TXJ214" s="1"/>
      <c r="TXK214" s="1"/>
      <c r="TXL214" s="1"/>
      <c r="TXM214" s="1"/>
      <c r="TXN214" s="1"/>
      <c r="TXO214" s="1"/>
      <c r="TXP214" s="1"/>
      <c r="TXQ214" s="1"/>
      <c r="TXR214" s="1"/>
      <c r="TXS214" s="1"/>
      <c r="TXT214" s="1"/>
      <c r="TXU214" s="1"/>
      <c r="TXV214" s="1"/>
      <c r="TXW214" s="1"/>
      <c r="TXX214" s="1"/>
      <c r="TXY214" s="1"/>
      <c r="TXZ214" s="1"/>
      <c r="TYA214" s="1"/>
      <c r="TYB214" s="1"/>
      <c r="TYC214" s="1"/>
      <c r="TYD214" s="1"/>
      <c r="TYE214" s="1"/>
      <c r="TYF214" s="1"/>
      <c r="TYG214" s="1"/>
      <c r="TYH214" s="1"/>
      <c r="TYI214" s="1"/>
      <c r="TYJ214" s="1"/>
      <c r="TYK214" s="1"/>
      <c r="TYL214" s="1"/>
      <c r="TYM214" s="1"/>
      <c r="TYN214" s="1"/>
      <c r="TYO214" s="1"/>
      <c r="TYP214" s="1"/>
      <c r="TYQ214" s="1"/>
      <c r="TYR214" s="1"/>
      <c r="TYS214" s="1"/>
      <c r="TYT214" s="1"/>
      <c r="TYU214" s="1"/>
      <c r="TYV214" s="1"/>
      <c r="TYW214" s="1"/>
      <c r="TYX214" s="1"/>
      <c r="TYY214" s="1"/>
      <c r="TYZ214" s="1"/>
      <c r="TZA214" s="1"/>
      <c r="TZB214" s="1"/>
      <c r="TZC214" s="1"/>
      <c r="TZD214" s="1"/>
      <c r="TZE214" s="1"/>
      <c r="TZF214" s="1"/>
      <c r="TZG214" s="1"/>
      <c r="TZH214" s="1"/>
      <c r="TZI214" s="1"/>
      <c r="TZJ214" s="1"/>
      <c r="TZK214" s="1"/>
      <c r="TZL214" s="1"/>
      <c r="TZM214" s="1"/>
      <c r="TZN214" s="1"/>
      <c r="TZO214" s="1"/>
      <c r="TZP214" s="1"/>
      <c r="TZQ214" s="1"/>
      <c r="TZR214" s="1"/>
      <c r="TZS214" s="1"/>
      <c r="TZT214" s="1"/>
      <c r="TZU214" s="1"/>
      <c r="TZV214" s="1"/>
      <c r="TZW214" s="1"/>
      <c r="TZX214" s="1"/>
      <c r="TZY214" s="1"/>
      <c r="TZZ214" s="1"/>
      <c r="UAA214" s="1"/>
      <c r="UAB214" s="1"/>
      <c r="UAC214" s="1"/>
      <c r="UAD214" s="1"/>
      <c r="UAE214" s="1"/>
      <c r="UAF214" s="1"/>
      <c r="UAG214" s="1"/>
      <c r="UAH214" s="1"/>
      <c r="UAI214" s="1"/>
      <c r="UAJ214" s="1"/>
      <c r="UAK214" s="1"/>
      <c r="UAL214" s="1"/>
      <c r="UAM214" s="1"/>
      <c r="UAN214" s="1"/>
      <c r="UAO214" s="1"/>
      <c r="UAP214" s="1"/>
      <c r="UAQ214" s="1"/>
      <c r="UAR214" s="1"/>
      <c r="UAS214" s="1"/>
      <c r="UAT214" s="1"/>
      <c r="UAU214" s="1"/>
      <c r="UAV214" s="1"/>
      <c r="UAW214" s="1"/>
      <c r="UAX214" s="1"/>
      <c r="UAY214" s="1"/>
      <c r="UAZ214" s="1"/>
      <c r="UBA214" s="1"/>
      <c r="UBB214" s="1"/>
      <c r="UBC214" s="1"/>
      <c r="UBD214" s="1"/>
      <c r="UBE214" s="1"/>
      <c r="UBF214" s="1"/>
      <c r="UBG214" s="1"/>
      <c r="UBH214" s="1"/>
      <c r="UBI214" s="1"/>
      <c r="UBJ214" s="1"/>
      <c r="UBK214" s="1"/>
      <c r="UBL214" s="1"/>
      <c r="UBM214" s="1"/>
      <c r="UBN214" s="1"/>
      <c r="UBO214" s="1"/>
      <c r="UBP214" s="1"/>
      <c r="UBQ214" s="1"/>
      <c r="UBR214" s="1"/>
      <c r="UBS214" s="1"/>
      <c r="UBT214" s="1"/>
      <c r="UBU214" s="1"/>
      <c r="UBV214" s="1"/>
      <c r="UBW214" s="1"/>
      <c r="UBX214" s="1"/>
      <c r="UBY214" s="1"/>
      <c r="UBZ214" s="1"/>
      <c r="UCA214" s="1"/>
      <c r="UCB214" s="1"/>
      <c r="UCC214" s="1"/>
      <c r="UCD214" s="1"/>
      <c r="UCE214" s="1"/>
      <c r="UCF214" s="1"/>
      <c r="UCG214" s="1"/>
      <c r="UCH214" s="1"/>
      <c r="UCI214" s="1"/>
      <c r="UCJ214" s="1"/>
      <c r="UCK214" s="1"/>
      <c r="UCL214" s="1"/>
      <c r="UCM214" s="1"/>
      <c r="UCN214" s="1"/>
      <c r="UCO214" s="1"/>
      <c r="UCP214" s="1"/>
      <c r="UCQ214" s="1"/>
      <c r="UCR214" s="1"/>
      <c r="UCS214" s="1"/>
      <c r="UCT214" s="1"/>
      <c r="UCU214" s="1"/>
      <c r="UCV214" s="1"/>
      <c r="UCW214" s="1"/>
      <c r="UCX214" s="1"/>
      <c r="UCY214" s="1"/>
      <c r="UCZ214" s="1"/>
      <c r="UDA214" s="1"/>
      <c r="UDB214" s="1"/>
      <c r="UDC214" s="1"/>
      <c r="UDD214" s="1"/>
      <c r="UDE214" s="1"/>
      <c r="UDF214" s="1"/>
      <c r="UDG214" s="1"/>
      <c r="UDH214" s="1"/>
      <c r="UDI214" s="1"/>
      <c r="UDJ214" s="1"/>
      <c r="UDK214" s="1"/>
      <c r="UDL214" s="1"/>
      <c r="UDM214" s="1"/>
      <c r="UDN214" s="1"/>
      <c r="UDO214" s="1"/>
      <c r="UDP214" s="1"/>
      <c r="UDQ214" s="1"/>
      <c r="UDR214" s="1"/>
      <c r="UDS214" s="1"/>
      <c r="UDT214" s="1"/>
      <c r="UDU214" s="1"/>
      <c r="UDV214" s="1"/>
      <c r="UDW214" s="1"/>
      <c r="UDX214" s="1"/>
      <c r="UDY214" s="1"/>
      <c r="UDZ214" s="1"/>
      <c r="UEA214" s="1"/>
      <c r="UEB214" s="1"/>
      <c r="UEC214" s="1"/>
      <c r="UED214" s="1"/>
      <c r="UEE214" s="1"/>
      <c r="UEF214" s="1"/>
      <c r="UEG214" s="1"/>
      <c r="UEH214" s="1"/>
      <c r="UEI214" s="1"/>
      <c r="UEJ214" s="1"/>
      <c r="UEK214" s="1"/>
      <c r="UEL214" s="1"/>
      <c r="UEM214" s="1"/>
      <c r="UEN214" s="1"/>
      <c r="UEO214" s="1"/>
      <c r="UEP214" s="1"/>
      <c r="UEQ214" s="1"/>
      <c r="UER214" s="1"/>
      <c r="UES214" s="1"/>
      <c r="UET214" s="1"/>
      <c r="UEU214" s="1"/>
      <c r="UEV214" s="1"/>
      <c r="UEW214" s="1"/>
      <c r="UEX214" s="1"/>
      <c r="UEY214" s="1"/>
      <c r="UEZ214" s="1"/>
      <c r="UFA214" s="1"/>
      <c r="UFB214" s="1"/>
      <c r="UFC214" s="1"/>
      <c r="UFD214" s="1"/>
      <c r="UFE214" s="1"/>
      <c r="UFF214" s="1"/>
      <c r="UFG214" s="1"/>
      <c r="UFH214" s="1"/>
      <c r="UFI214" s="1"/>
      <c r="UFJ214" s="1"/>
      <c r="UFK214" s="1"/>
      <c r="UFL214" s="1"/>
      <c r="UFM214" s="1"/>
      <c r="UFN214" s="1"/>
      <c r="UFO214" s="1"/>
      <c r="UFP214" s="1"/>
      <c r="UFQ214" s="1"/>
      <c r="UFR214" s="1"/>
      <c r="UFS214" s="1"/>
      <c r="UFT214" s="1"/>
      <c r="UFU214" s="1"/>
      <c r="UFV214" s="1"/>
      <c r="UFW214" s="1"/>
      <c r="UFX214" s="1"/>
      <c r="UFY214" s="1"/>
      <c r="UFZ214" s="1"/>
      <c r="UGA214" s="1"/>
      <c r="UGB214" s="1"/>
      <c r="UGC214" s="1"/>
      <c r="UGD214" s="1"/>
      <c r="UGE214" s="1"/>
      <c r="UGF214" s="1"/>
      <c r="UGG214" s="1"/>
      <c r="UGH214" s="1"/>
      <c r="UGI214" s="1"/>
      <c r="UGJ214" s="1"/>
      <c r="UGK214" s="1"/>
      <c r="UGL214" s="1"/>
      <c r="UGM214" s="1"/>
      <c r="UGN214" s="1"/>
      <c r="UGO214" s="1"/>
      <c r="UGP214" s="1"/>
      <c r="UGQ214" s="1"/>
      <c r="UGR214" s="1"/>
      <c r="UGS214" s="1"/>
      <c r="UGT214" s="1"/>
      <c r="UGU214" s="1"/>
      <c r="UGV214" s="1"/>
      <c r="UGW214" s="1"/>
      <c r="UGX214" s="1"/>
      <c r="UGY214" s="1"/>
      <c r="UGZ214" s="1"/>
      <c r="UHA214" s="1"/>
      <c r="UHB214" s="1"/>
      <c r="UHC214" s="1"/>
      <c r="UHD214" s="1"/>
      <c r="UHE214" s="1"/>
      <c r="UHF214" s="1"/>
      <c r="UHG214" s="1"/>
      <c r="UHH214" s="1"/>
      <c r="UHI214" s="1"/>
      <c r="UHJ214" s="1"/>
      <c r="UHK214" s="1"/>
      <c r="UHL214" s="1"/>
      <c r="UHM214" s="1"/>
      <c r="UHN214" s="1"/>
      <c r="UHO214" s="1"/>
      <c r="UHP214" s="1"/>
      <c r="UHQ214" s="1"/>
      <c r="UHR214" s="1"/>
      <c r="UHS214" s="1"/>
      <c r="UHT214" s="1"/>
      <c r="UHU214" s="1"/>
      <c r="UHV214" s="1"/>
      <c r="UHW214" s="1"/>
      <c r="UHX214" s="1"/>
      <c r="UHY214" s="1"/>
      <c r="UHZ214" s="1"/>
      <c r="UIA214" s="1"/>
      <c r="UIB214" s="1"/>
      <c r="UIC214" s="1"/>
      <c r="UID214" s="1"/>
      <c r="UIE214" s="1"/>
      <c r="UIF214" s="1"/>
      <c r="UIG214" s="1"/>
      <c r="UIH214" s="1"/>
      <c r="UII214" s="1"/>
      <c r="UIJ214" s="1"/>
      <c r="UIK214" s="1"/>
      <c r="UIL214" s="1"/>
      <c r="UIM214" s="1"/>
      <c r="UIN214" s="1"/>
      <c r="UIO214" s="1"/>
      <c r="UIP214" s="1"/>
      <c r="UIQ214" s="1"/>
      <c r="UIR214" s="1"/>
      <c r="UIS214" s="1"/>
      <c r="UIT214" s="1"/>
      <c r="UIU214" s="1"/>
      <c r="UIV214" s="1"/>
      <c r="UIW214" s="1"/>
      <c r="UIX214" s="1"/>
      <c r="UIY214" s="1"/>
      <c r="UIZ214" s="1"/>
      <c r="UJA214" s="1"/>
      <c r="UJB214" s="1"/>
      <c r="UJC214" s="1"/>
      <c r="UJD214" s="1"/>
      <c r="UJE214" s="1"/>
      <c r="UJF214" s="1"/>
      <c r="UJG214" s="1"/>
      <c r="UJH214" s="1"/>
      <c r="UJI214" s="1"/>
      <c r="UJJ214" s="1"/>
      <c r="UJK214" s="1"/>
      <c r="UJL214" s="1"/>
      <c r="UJM214" s="1"/>
      <c r="UJN214" s="1"/>
      <c r="UJO214" s="1"/>
      <c r="UJP214" s="1"/>
      <c r="UJQ214" s="1"/>
      <c r="UJR214" s="1"/>
      <c r="UJS214" s="1"/>
      <c r="UJT214" s="1"/>
      <c r="UJU214" s="1"/>
      <c r="UJV214" s="1"/>
      <c r="UJW214" s="1"/>
      <c r="UJX214" s="1"/>
      <c r="UJY214" s="1"/>
      <c r="UJZ214" s="1"/>
      <c r="UKA214" s="1"/>
      <c r="UKB214" s="1"/>
      <c r="UKC214" s="1"/>
      <c r="UKD214" s="1"/>
      <c r="UKE214" s="1"/>
      <c r="UKF214" s="1"/>
      <c r="UKG214" s="1"/>
      <c r="UKH214" s="1"/>
      <c r="UKI214" s="1"/>
      <c r="UKJ214" s="1"/>
      <c r="UKK214" s="1"/>
      <c r="UKL214" s="1"/>
      <c r="UKM214" s="1"/>
      <c r="UKN214" s="1"/>
      <c r="UKO214" s="1"/>
      <c r="UKP214" s="1"/>
      <c r="UKQ214" s="1"/>
      <c r="UKR214" s="1"/>
      <c r="UKS214" s="1"/>
      <c r="UKT214" s="1"/>
      <c r="UKU214" s="1"/>
      <c r="UKV214" s="1"/>
      <c r="UKW214" s="1"/>
      <c r="UKX214" s="1"/>
      <c r="UKY214" s="1"/>
      <c r="UKZ214" s="1"/>
      <c r="ULA214" s="1"/>
      <c r="ULB214" s="1"/>
      <c r="ULC214" s="1"/>
      <c r="ULD214" s="1"/>
      <c r="ULE214" s="1"/>
      <c r="ULF214" s="1"/>
      <c r="ULG214" s="1"/>
      <c r="ULH214" s="1"/>
      <c r="ULI214" s="1"/>
      <c r="ULJ214" s="1"/>
      <c r="ULK214" s="1"/>
      <c r="ULL214" s="1"/>
      <c r="ULM214" s="1"/>
      <c r="ULN214" s="1"/>
      <c r="ULO214" s="1"/>
      <c r="ULP214" s="1"/>
      <c r="ULQ214" s="1"/>
      <c r="ULR214" s="1"/>
      <c r="ULS214" s="1"/>
      <c r="ULT214" s="1"/>
      <c r="ULU214" s="1"/>
      <c r="ULV214" s="1"/>
      <c r="ULW214" s="1"/>
      <c r="ULX214" s="1"/>
      <c r="ULY214" s="1"/>
      <c r="ULZ214" s="1"/>
      <c r="UMA214" s="1"/>
      <c r="UMB214" s="1"/>
      <c r="UMC214" s="1"/>
      <c r="UMD214" s="1"/>
      <c r="UME214" s="1"/>
      <c r="UMF214" s="1"/>
      <c r="UMG214" s="1"/>
      <c r="UMH214" s="1"/>
      <c r="UMI214" s="1"/>
      <c r="UMJ214" s="1"/>
      <c r="UMK214" s="1"/>
      <c r="UML214" s="1"/>
      <c r="UMM214" s="1"/>
      <c r="UMN214" s="1"/>
      <c r="UMO214" s="1"/>
      <c r="UMP214" s="1"/>
      <c r="UMQ214" s="1"/>
      <c r="UMR214" s="1"/>
      <c r="UMS214" s="1"/>
      <c r="UMT214" s="1"/>
      <c r="UMU214" s="1"/>
      <c r="UMV214" s="1"/>
      <c r="UMW214" s="1"/>
      <c r="UMX214" s="1"/>
      <c r="UMY214" s="1"/>
      <c r="UMZ214" s="1"/>
      <c r="UNA214" s="1"/>
      <c r="UNB214" s="1"/>
      <c r="UNC214" s="1"/>
      <c r="UND214" s="1"/>
      <c r="UNE214" s="1"/>
      <c r="UNF214" s="1"/>
      <c r="UNG214" s="1"/>
      <c r="UNH214" s="1"/>
      <c r="UNI214" s="1"/>
      <c r="UNJ214" s="1"/>
      <c r="UNK214" s="1"/>
      <c r="UNL214" s="1"/>
      <c r="UNM214" s="1"/>
      <c r="UNN214" s="1"/>
      <c r="UNO214" s="1"/>
      <c r="UNP214" s="1"/>
      <c r="UNQ214" s="1"/>
      <c r="UNR214" s="1"/>
      <c r="UNS214" s="1"/>
      <c r="UNT214" s="1"/>
      <c r="UNU214" s="1"/>
      <c r="UNV214" s="1"/>
      <c r="UNW214" s="1"/>
      <c r="UNX214" s="1"/>
      <c r="UNY214" s="1"/>
      <c r="UNZ214" s="1"/>
      <c r="UOA214" s="1"/>
      <c r="UOB214" s="1"/>
      <c r="UOC214" s="1"/>
      <c r="UOD214" s="1"/>
      <c r="UOE214" s="1"/>
      <c r="UOF214" s="1"/>
      <c r="UOG214" s="1"/>
      <c r="UOH214" s="1"/>
      <c r="UOI214" s="1"/>
      <c r="UOJ214" s="1"/>
      <c r="UOK214" s="1"/>
      <c r="UOL214" s="1"/>
      <c r="UOM214" s="1"/>
      <c r="UON214" s="1"/>
      <c r="UOO214" s="1"/>
      <c r="UOP214" s="1"/>
      <c r="UOQ214" s="1"/>
      <c r="UOR214" s="1"/>
      <c r="UOS214" s="1"/>
      <c r="UOT214" s="1"/>
      <c r="UOU214" s="1"/>
      <c r="UOV214" s="1"/>
      <c r="UOW214" s="1"/>
      <c r="UOX214" s="1"/>
      <c r="UOY214" s="1"/>
      <c r="UOZ214" s="1"/>
      <c r="UPA214" s="1"/>
      <c r="UPB214" s="1"/>
      <c r="UPC214" s="1"/>
      <c r="UPD214" s="1"/>
      <c r="UPE214" s="1"/>
      <c r="UPF214" s="1"/>
      <c r="UPG214" s="1"/>
      <c r="UPH214" s="1"/>
      <c r="UPI214" s="1"/>
      <c r="UPJ214" s="1"/>
      <c r="UPK214" s="1"/>
      <c r="UPL214" s="1"/>
      <c r="UPM214" s="1"/>
      <c r="UPN214" s="1"/>
      <c r="UPO214" s="1"/>
      <c r="UPP214" s="1"/>
      <c r="UPQ214" s="1"/>
      <c r="UPR214" s="1"/>
      <c r="UPS214" s="1"/>
      <c r="UPT214" s="1"/>
      <c r="UPU214" s="1"/>
      <c r="UPV214" s="1"/>
      <c r="UPW214" s="1"/>
      <c r="UPX214" s="1"/>
      <c r="UPY214" s="1"/>
      <c r="UPZ214" s="1"/>
      <c r="UQA214" s="1"/>
      <c r="UQB214" s="1"/>
      <c r="UQC214" s="1"/>
      <c r="UQD214" s="1"/>
      <c r="UQE214" s="1"/>
      <c r="UQF214" s="1"/>
      <c r="UQG214" s="1"/>
      <c r="UQH214" s="1"/>
      <c r="UQI214" s="1"/>
      <c r="UQJ214" s="1"/>
      <c r="UQK214" s="1"/>
      <c r="UQL214" s="1"/>
      <c r="UQM214" s="1"/>
      <c r="UQN214" s="1"/>
      <c r="UQO214" s="1"/>
      <c r="UQP214" s="1"/>
      <c r="UQQ214" s="1"/>
      <c r="UQR214" s="1"/>
      <c r="UQS214" s="1"/>
      <c r="UQT214" s="1"/>
      <c r="UQU214" s="1"/>
      <c r="UQV214" s="1"/>
      <c r="UQW214" s="1"/>
      <c r="UQX214" s="1"/>
      <c r="UQY214" s="1"/>
      <c r="UQZ214" s="1"/>
      <c r="URA214" s="1"/>
      <c r="URB214" s="1"/>
      <c r="URC214" s="1"/>
      <c r="URD214" s="1"/>
      <c r="URE214" s="1"/>
      <c r="URF214" s="1"/>
      <c r="URG214" s="1"/>
      <c r="URH214" s="1"/>
      <c r="URI214" s="1"/>
      <c r="URJ214" s="1"/>
      <c r="URK214" s="1"/>
      <c r="URL214" s="1"/>
      <c r="URM214" s="1"/>
      <c r="URN214" s="1"/>
      <c r="URO214" s="1"/>
      <c r="URP214" s="1"/>
      <c r="URQ214" s="1"/>
      <c r="URR214" s="1"/>
      <c r="URS214" s="1"/>
      <c r="URT214" s="1"/>
      <c r="URU214" s="1"/>
      <c r="URV214" s="1"/>
      <c r="URW214" s="1"/>
      <c r="URX214" s="1"/>
      <c r="URY214" s="1"/>
      <c r="URZ214" s="1"/>
      <c r="USA214" s="1"/>
      <c r="USB214" s="1"/>
      <c r="USC214" s="1"/>
      <c r="USD214" s="1"/>
      <c r="USE214" s="1"/>
      <c r="USF214" s="1"/>
      <c r="USG214" s="1"/>
      <c r="USH214" s="1"/>
      <c r="USI214" s="1"/>
      <c r="USJ214" s="1"/>
      <c r="USK214" s="1"/>
      <c r="USL214" s="1"/>
      <c r="USM214" s="1"/>
      <c r="USN214" s="1"/>
      <c r="USO214" s="1"/>
      <c r="USP214" s="1"/>
      <c r="USQ214" s="1"/>
      <c r="USR214" s="1"/>
      <c r="USS214" s="1"/>
      <c r="UST214" s="1"/>
      <c r="USU214" s="1"/>
      <c r="USV214" s="1"/>
      <c r="USW214" s="1"/>
      <c r="USX214" s="1"/>
      <c r="USY214" s="1"/>
      <c r="USZ214" s="1"/>
      <c r="UTA214" s="1"/>
      <c r="UTB214" s="1"/>
      <c r="UTC214" s="1"/>
      <c r="UTD214" s="1"/>
      <c r="UTE214" s="1"/>
      <c r="UTF214" s="1"/>
      <c r="UTG214" s="1"/>
      <c r="UTH214" s="1"/>
      <c r="UTI214" s="1"/>
      <c r="UTJ214" s="1"/>
      <c r="UTK214" s="1"/>
      <c r="UTL214" s="1"/>
      <c r="UTM214" s="1"/>
      <c r="UTN214" s="1"/>
      <c r="UTO214" s="1"/>
      <c r="UTP214" s="1"/>
      <c r="UTQ214" s="1"/>
      <c r="UTR214" s="1"/>
      <c r="UTS214" s="1"/>
      <c r="UTT214" s="1"/>
      <c r="UTU214" s="1"/>
      <c r="UTV214" s="1"/>
      <c r="UTW214" s="1"/>
      <c r="UTX214" s="1"/>
      <c r="UTY214" s="1"/>
      <c r="UTZ214" s="1"/>
      <c r="UUA214" s="1"/>
      <c r="UUB214" s="1"/>
      <c r="UUC214" s="1"/>
      <c r="UUD214" s="1"/>
      <c r="UUE214" s="1"/>
      <c r="UUF214" s="1"/>
      <c r="UUG214" s="1"/>
      <c r="UUH214" s="1"/>
      <c r="UUI214" s="1"/>
      <c r="UUJ214" s="1"/>
      <c r="UUK214" s="1"/>
      <c r="UUL214" s="1"/>
      <c r="UUM214" s="1"/>
      <c r="UUN214" s="1"/>
      <c r="UUO214" s="1"/>
      <c r="UUP214" s="1"/>
      <c r="UUQ214" s="1"/>
      <c r="UUR214" s="1"/>
      <c r="UUS214" s="1"/>
      <c r="UUT214" s="1"/>
      <c r="UUU214" s="1"/>
      <c r="UUV214" s="1"/>
      <c r="UUW214" s="1"/>
      <c r="UUX214" s="1"/>
      <c r="UUY214" s="1"/>
      <c r="UUZ214" s="1"/>
      <c r="UVA214" s="1"/>
      <c r="UVB214" s="1"/>
      <c r="UVC214" s="1"/>
      <c r="UVD214" s="1"/>
      <c r="UVE214" s="1"/>
      <c r="UVF214" s="1"/>
      <c r="UVG214" s="1"/>
      <c r="UVH214" s="1"/>
      <c r="UVI214" s="1"/>
      <c r="UVJ214" s="1"/>
      <c r="UVK214" s="1"/>
      <c r="UVL214" s="1"/>
      <c r="UVM214" s="1"/>
      <c r="UVN214" s="1"/>
      <c r="UVO214" s="1"/>
      <c r="UVP214" s="1"/>
      <c r="UVQ214" s="1"/>
      <c r="UVR214" s="1"/>
      <c r="UVS214" s="1"/>
      <c r="UVT214" s="1"/>
      <c r="UVU214" s="1"/>
      <c r="UVV214" s="1"/>
      <c r="UVW214" s="1"/>
      <c r="UVX214" s="1"/>
      <c r="UVY214" s="1"/>
      <c r="UVZ214" s="1"/>
      <c r="UWA214" s="1"/>
      <c r="UWB214" s="1"/>
      <c r="UWC214" s="1"/>
      <c r="UWD214" s="1"/>
      <c r="UWE214" s="1"/>
      <c r="UWF214" s="1"/>
      <c r="UWG214" s="1"/>
      <c r="UWH214" s="1"/>
      <c r="UWI214" s="1"/>
      <c r="UWJ214" s="1"/>
      <c r="UWK214" s="1"/>
      <c r="UWL214" s="1"/>
      <c r="UWM214" s="1"/>
      <c r="UWN214" s="1"/>
      <c r="UWO214" s="1"/>
      <c r="UWP214" s="1"/>
      <c r="UWQ214" s="1"/>
      <c r="UWR214" s="1"/>
      <c r="UWS214" s="1"/>
      <c r="UWT214" s="1"/>
      <c r="UWU214" s="1"/>
      <c r="UWV214" s="1"/>
      <c r="UWW214" s="1"/>
      <c r="UWX214" s="1"/>
      <c r="UWY214" s="1"/>
      <c r="UWZ214" s="1"/>
      <c r="UXA214" s="1"/>
      <c r="UXB214" s="1"/>
      <c r="UXC214" s="1"/>
      <c r="UXD214" s="1"/>
      <c r="UXE214" s="1"/>
      <c r="UXF214" s="1"/>
      <c r="UXG214" s="1"/>
      <c r="UXH214" s="1"/>
      <c r="UXI214" s="1"/>
      <c r="UXJ214" s="1"/>
      <c r="UXK214" s="1"/>
      <c r="UXL214" s="1"/>
      <c r="UXM214" s="1"/>
      <c r="UXN214" s="1"/>
      <c r="UXO214" s="1"/>
      <c r="UXP214" s="1"/>
      <c r="UXQ214" s="1"/>
      <c r="UXR214" s="1"/>
      <c r="UXS214" s="1"/>
      <c r="UXT214" s="1"/>
      <c r="UXU214" s="1"/>
      <c r="UXV214" s="1"/>
      <c r="UXW214" s="1"/>
      <c r="UXX214" s="1"/>
      <c r="UXY214" s="1"/>
      <c r="UXZ214" s="1"/>
      <c r="UYA214" s="1"/>
      <c r="UYB214" s="1"/>
      <c r="UYC214" s="1"/>
      <c r="UYD214" s="1"/>
      <c r="UYE214" s="1"/>
      <c r="UYF214" s="1"/>
      <c r="UYG214" s="1"/>
      <c r="UYH214" s="1"/>
      <c r="UYI214" s="1"/>
      <c r="UYJ214" s="1"/>
      <c r="UYK214" s="1"/>
      <c r="UYL214" s="1"/>
      <c r="UYM214" s="1"/>
      <c r="UYN214" s="1"/>
      <c r="UYO214" s="1"/>
      <c r="UYP214" s="1"/>
      <c r="UYQ214" s="1"/>
      <c r="UYR214" s="1"/>
      <c r="UYS214" s="1"/>
      <c r="UYT214" s="1"/>
      <c r="UYU214" s="1"/>
      <c r="UYV214" s="1"/>
      <c r="UYW214" s="1"/>
      <c r="UYX214" s="1"/>
      <c r="UYY214" s="1"/>
      <c r="UYZ214" s="1"/>
      <c r="UZA214" s="1"/>
      <c r="UZB214" s="1"/>
      <c r="UZC214" s="1"/>
      <c r="UZD214" s="1"/>
      <c r="UZE214" s="1"/>
      <c r="UZF214" s="1"/>
      <c r="UZG214" s="1"/>
      <c r="UZH214" s="1"/>
      <c r="UZI214" s="1"/>
      <c r="UZJ214" s="1"/>
      <c r="UZK214" s="1"/>
      <c r="UZL214" s="1"/>
      <c r="UZM214" s="1"/>
      <c r="UZN214" s="1"/>
      <c r="UZO214" s="1"/>
      <c r="UZP214" s="1"/>
      <c r="UZQ214" s="1"/>
      <c r="UZR214" s="1"/>
      <c r="UZS214" s="1"/>
      <c r="UZT214" s="1"/>
      <c r="UZU214" s="1"/>
      <c r="UZV214" s="1"/>
      <c r="UZW214" s="1"/>
      <c r="UZX214" s="1"/>
      <c r="UZY214" s="1"/>
      <c r="UZZ214" s="1"/>
      <c r="VAA214" s="1"/>
      <c r="VAB214" s="1"/>
      <c r="VAC214" s="1"/>
      <c r="VAD214" s="1"/>
      <c r="VAE214" s="1"/>
      <c r="VAF214" s="1"/>
      <c r="VAG214" s="1"/>
      <c r="VAH214" s="1"/>
      <c r="VAI214" s="1"/>
      <c r="VAJ214" s="1"/>
      <c r="VAK214" s="1"/>
      <c r="VAL214" s="1"/>
      <c r="VAM214" s="1"/>
      <c r="VAN214" s="1"/>
      <c r="VAO214" s="1"/>
      <c r="VAP214" s="1"/>
      <c r="VAQ214" s="1"/>
      <c r="VAR214" s="1"/>
      <c r="VAS214" s="1"/>
      <c r="VAT214" s="1"/>
      <c r="VAU214" s="1"/>
      <c r="VAV214" s="1"/>
      <c r="VAW214" s="1"/>
      <c r="VAX214" s="1"/>
      <c r="VAY214" s="1"/>
      <c r="VAZ214" s="1"/>
      <c r="VBA214" s="1"/>
      <c r="VBB214" s="1"/>
      <c r="VBC214" s="1"/>
      <c r="VBD214" s="1"/>
      <c r="VBE214" s="1"/>
      <c r="VBF214" s="1"/>
      <c r="VBG214" s="1"/>
      <c r="VBH214" s="1"/>
      <c r="VBI214" s="1"/>
      <c r="VBJ214" s="1"/>
      <c r="VBK214" s="1"/>
      <c r="VBL214" s="1"/>
      <c r="VBM214" s="1"/>
      <c r="VBN214" s="1"/>
      <c r="VBO214" s="1"/>
      <c r="VBP214" s="1"/>
      <c r="VBQ214" s="1"/>
      <c r="VBR214" s="1"/>
      <c r="VBS214" s="1"/>
      <c r="VBT214" s="1"/>
      <c r="VBU214" s="1"/>
      <c r="VBV214" s="1"/>
      <c r="VBW214" s="1"/>
      <c r="VBX214" s="1"/>
      <c r="VBY214" s="1"/>
      <c r="VBZ214" s="1"/>
      <c r="VCA214" s="1"/>
      <c r="VCB214" s="1"/>
      <c r="VCC214" s="1"/>
      <c r="VCD214" s="1"/>
      <c r="VCE214" s="1"/>
      <c r="VCF214" s="1"/>
      <c r="VCG214" s="1"/>
      <c r="VCH214" s="1"/>
      <c r="VCI214" s="1"/>
      <c r="VCJ214" s="1"/>
      <c r="VCK214" s="1"/>
      <c r="VCL214" s="1"/>
      <c r="VCM214" s="1"/>
      <c r="VCN214" s="1"/>
      <c r="VCO214" s="1"/>
      <c r="VCP214" s="1"/>
      <c r="VCQ214" s="1"/>
      <c r="VCR214" s="1"/>
      <c r="VCS214" s="1"/>
      <c r="VCT214" s="1"/>
      <c r="VCU214" s="1"/>
      <c r="VCV214" s="1"/>
    </row>
    <row r="221" spans="5:14972" s="2" customFormat="1" x14ac:dyDescent="0.3">
      <c r="E221" s="1"/>
      <c r="F221" s="1"/>
      <c r="G221" s="1"/>
      <c r="H221" s="1"/>
      <c r="I221" s="1"/>
      <c r="J221" s="1"/>
      <c r="K221" s="1"/>
      <c r="L221" s="1"/>
      <c r="M221" s="1"/>
      <c r="N221" s="1"/>
      <c r="O221" s="1"/>
      <c r="P221" s="1"/>
      <c r="Q221" s="1"/>
      <c r="R221" s="1"/>
      <c r="S221" s="1"/>
      <c r="T221" s="1"/>
      <c r="U221" s="1"/>
      <c r="V221" s="1"/>
      <c r="W221" s="1"/>
      <c r="X221" s="1"/>
      <c r="Y221" s="1"/>
      <c r="Z221" s="1"/>
      <c r="AA221" s="1"/>
      <c r="AB221" s="1"/>
      <c r="AC221" s="1"/>
      <c r="AD221" s="1"/>
      <c r="AE221" s="1"/>
      <c r="AF221" s="1"/>
      <c r="AG221" s="1"/>
      <c r="AH221" s="1"/>
      <c r="AI221" s="1"/>
      <c r="AJ221" s="1"/>
      <c r="AK221" s="1"/>
      <c r="AL221" s="1"/>
      <c r="AM221" s="5"/>
      <c r="AN221" s="5"/>
      <c r="AO221" s="1"/>
      <c r="AP221" s="1"/>
      <c r="AQ221" s="1"/>
      <c r="AS221" s="3"/>
      <c r="CA221" s="1"/>
      <c r="CB221" s="1"/>
      <c r="CC221" s="1"/>
      <c r="CD221" s="1"/>
      <c r="CE221" s="1"/>
      <c r="CF221" s="1"/>
      <c r="CG221" s="1"/>
      <c r="CH221" s="1"/>
      <c r="CI221" s="1"/>
      <c r="CJ221" s="1"/>
      <c r="CK221" s="1"/>
      <c r="CL221" s="1"/>
      <c r="CM221" s="1"/>
      <c r="CN221" s="1"/>
      <c r="CO221" s="1"/>
      <c r="CP221" s="1"/>
      <c r="CQ221" s="1"/>
      <c r="CR221" s="1"/>
      <c r="CS221" s="1"/>
      <c r="CT221" s="1"/>
      <c r="CU221" s="1"/>
      <c r="CV221" s="1"/>
      <c r="CW221" s="1"/>
      <c r="CX221" s="1"/>
      <c r="CY221" s="1"/>
      <c r="CZ221" s="1"/>
      <c r="DA221" s="1"/>
      <c r="DB221"/>
      <c r="DC221" s="1"/>
      <c r="DD221" s="1"/>
      <c r="DE221" s="1"/>
      <c r="DF221" s="1"/>
      <c r="DG221" s="1"/>
      <c r="DH221" s="1"/>
      <c r="DI221" s="1"/>
      <c r="DJ221" s="1"/>
      <c r="DK221" s="1"/>
      <c r="DL221" s="1"/>
      <c r="DM221" s="1"/>
      <c r="DN221" s="1"/>
      <c r="DO221" s="1"/>
      <c r="DP221" s="1"/>
      <c r="DQ221" s="1"/>
      <c r="DR221" s="1"/>
      <c r="DS221" s="1"/>
      <c r="DT221" s="1"/>
      <c r="DU221" s="1"/>
      <c r="DV221" s="1"/>
      <c r="DW221" s="1"/>
      <c r="DX221" s="1"/>
      <c r="DY221" s="1"/>
      <c r="DZ221" s="1"/>
      <c r="EA221" s="1"/>
      <c r="EB221" s="1"/>
      <c r="EC221" s="1"/>
      <c r="ED221" s="1"/>
      <c r="EE221" s="1"/>
      <c r="EF221" s="1"/>
      <c r="EG221" s="1"/>
      <c r="EH221" s="1"/>
      <c r="EI221" s="1"/>
      <c r="EJ221" s="1"/>
      <c r="EK221" s="1"/>
      <c r="EL221" s="1"/>
      <c r="EM221" s="1"/>
      <c r="EN221" s="1"/>
      <c r="EO221" s="1"/>
      <c r="EP221" s="1"/>
      <c r="EQ221" s="1"/>
      <c r="ER221" s="1"/>
      <c r="ES221" s="1"/>
      <c r="ET221" s="1"/>
      <c r="EU221" s="1"/>
      <c r="EV221" s="1"/>
      <c r="EW221" s="1"/>
      <c r="EX221" s="1"/>
      <c r="EY221" s="1"/>
      <c r="EZ221" s="1"/>
      <c r="FA221" s="1"/>
      <c r="FB221" s="1"/>
      <c r="FC221" s="1"/>
      <c r="FD221" s="1"/>
      <c r="FE221" s="1"/>
      <c r="FF221" s="1"/>
      <c r="FG221" s="1"/>
      <c r="FH221" s="1"/>
      <c r="FI221" s="1"/>
      <c r="FJ221" s="1"/>
      <c r="FK221" s="1"/>
      <c r="FL221" s="1"/>
      <c r="FM221" s="1"/>
      <c r="FN221" s="1"/>
      <c r="FO221" s="1"/>
      <c r="FP221" s="1"/>
      <c r="FQ221" s="1"/>
      <c r="FR221" s="1"/>
      <c r="FS221" s="1"/>
      <c r="FT221" s="1"/>
      <c r="FU221" s="1"/>
      <c r="FV221" s="1"/>
      <c r="FW221" s="1"/>
      <c r="FX221" s="1"/>
      <c r="FY221" s="1"/>
      <c r="FZ221" s="1"/>
      <c r="GA221" s="1"/>
      <c r="GB221" s="1"/>
      <c r="GC221" s="1"/>
      <c r="GD221" s="1"/>
      <c r="GE221" s="1"/>
      <c r="GF221" s="1"/>
      <c r="GG221" s="1"/>
      <c r="GH221" s="1"/>
      <c r="GI221" s="1"/>
      <c r="GJ221" s="1"/>
      <c r="GK221" s="1"/>
      <c r="GL221" s="1"/>
      <c r="GM221" s="1"/>
      <c r="GN221" s="1"/>
      <c r="GO221" s="1"/>
      <c r="GP221" s="1"/>
      <c r="GQ221" s="1"/>
      <c r="GR221" s="1"/>
      <c r="GS221" s="1"/>
      <c r="GT221" s="1"/>
      <c r="GU221" s="1"/>
      <c r="GV221" s="1"/>
      <c r="GW221" s="1"/>
      <c r="GX221" s="1"/>
      <c r="GY221" s="1"/>
      <c r="GZ221" s="1"/>
      <c r="HA221" s="1"/>
      <c r="HB221" s="1"/>
      <c r="HC221" s="1"/>
      <c r="HD221" s="1"/>
      <c r="HE221" s="1"/>
      <c r="HF221" s="1"/>
      <c r="HG221" s="1"/>
      <c r="HH221" s="1"/>
      <c r="HI221" s="1"/>
      <c r="HJ221" s="1"/>
      <c r="HK221" s="1"/>
      <c r="HL221" s="1"/>
      <c r="HM221" s="1"/>
      <c r="HN221" s="1"/>
      <c r="HO221" s="1"/>
      <c r="HP221" s="1"/>
      <c r="HQ221" s="1"/>
      <c r="HR221" s="1"/>
      <c r="HS221" s="1"/>
      <c r="HT221" s="1"/>
      <c r="HU221" s="1"/>
      <c r="HV221" s="1"/>
      <c r="HW221" s="1"/>
      <c r="HX221" s="1"/>
      <c r="HY221" s="1"/>
      <c r="HZ221" s="1"/>
      <c r="IA221" s="1"/>
      <c r="IB221" s="1"/>
      <c r="IC221" s="1"/>
      <c r="ID221" s="1"/>
      <c r="IE221" s="1"/>
      <c r="IF221" s="1"/>
      <c r="IG221" s="1"/>
      <c r="IH221" s="1"/>
      <c r="II221" s="1"/>
      <c r="IJ221" s="1"/>
      <c r="IK221" s="1"/>
      <c r="IL221" s="1"/>
      <c r="IM221" s="1"/>
      <c r="IN221" s="1"/>
      <c r="IO221" s="1"/>
      <c r="IP221" s="1"/>
      <c r="IQ221" s="1"/>
      <c r="IR221" s="1"/>
      <c r="IS221" s="1"/>
      <c r="IT221" s="1"/>
      <c r="IU221" s="1"/>
      <c r="IV221" s="1"/>
      <c r="IW221" s="1"/>
      <c r="IX221" s="1"/>
      <c r="IY221" s="1"/>
      <c r="IZ221" s="1"/>
      <c r="JA221" s="1"/>
      <c r="JB221" s="1"/>
      <c r="JC221" s="1"/>
      <c r="JD221" s="1"/>
      <c r="JE221" s="1"/>
      <c r="JF221" s="1"/>
      <c r="JG221" s="1"/>
      <c r="JH221" s="1"/>
      <c r="JI221" s="1"/>
      <c r="JJ221" s="1"/>
      <c r="JK221" s="1"/>
      <c r="JL221" s="1"/>
      <c r="JM221" s="1"/>
      <c r="JN221" s="1"/>
      <c r="JO221" s="1"/>
      <c r="JP221" s="1"/>
      <c r="JQ221" s="1"/>
      <c r="JR221" s="1"/>
      <c r="JS221" s="1"/>
      <c r="JT221" s="1"/>
      <c r="JU221" s="1"/>
      <c r="JV221" s="1"/>
      <c r="JW221" s="1"/>
      <c r="JX221" s="1"/>
      <c r="JY221" s="1"/>
      <c r="JZ221" s="1"/>
      <c r="KA221" s="1"/>
      <c r="KB221" s="1"/>
      <c r="KC221" s="1"/>
      <c r="KD221" s="1"/>
      <c r="KE221" s="1"/>
      <c r="KF221" s="1"/>
      <c r="KG221" s="1"/>
      <c r="KH221" s="1"/>
      <c r="KI221" s="1"/>
      <c r="KJ221" s="1"/>
      <c r="KK221" s="1"/>
      <c r="KL221" s="1"/>
      <c r="KM221" s="1"/>
      <c r="KN221" s="1"/>
      <c r="KO221" s="1"/>
      <c r="KP221" s="1"/>
      <c r="KQ221" s="1"/>
      <c r="KR221" s="1"/>
      <c r="KS221" s="1"/>
      <c r="KT221" s="1"/>
      <c r="KU221" s="1"/>
      <c r="KV221" s="1"/>
      <c r="KW221" s="1"/>
      <c r="KX221" s="1"/>
      <c r="KY221" s="1"/>
      <c r="KZ221" s="1"/>
      <c r="LA221" s="1"/>
      <c r="LB221" s="1"/>
      <c r="LC221" s="1"/>
      <c r="LD221" s="1"/>
      <c r="LE221" s="1"/>
      <c r="LF221" s="1"/>
      <c r="LG221" s="1"/>
      <c r="LH221" s="1"/>
      <c r="LI221" s="1"/>
      <c r="LJ221" s="1"/>
      <c r="LK221" s="1"/>
      <c r="LL221" s="1"/>
      <c r="LM221" s="1"/>
      <c r="LN221" s="1"/>
      <c r="LO221" s="1"/>
      <c r="LP221" s="1"/>
      <c r="LQ221" s="1"/>
      <c r="LR221" s="1"/>
      <c r="LS221" s="1"/>
      <c r="LT221" s="1"/>
      <c r="LU221" s="1"/>
      <c r="LV221" s="1"/>
      <c r="LW221" s="1"/>
      <c r="LX221" s="1"/>
      <c r="LY221" s="1"/>
      <c r="LZ221" s="1"/>
      <c r="MA221" s="1"/>
      <c r="MB221" s="1"/>
      <c r="MC221" s="1"/>
      <c r="MD221" s="1"/>
      <c r="ME221" s="1"/>
      <c r="MF221" s="1"/>
      <c r="MG221" s="1"/>
      <c r="MH221" s="1"/>
      <c r="MI221" s="1"/>
      <c r="MJ221" s="1"/>
      <c r="MK221" s="1"/>
      <c r="ML221" s="1"/>
      <c r="MM221" s="1"/>
      <c r="MN221" s="1"/>
      <c r="MO221" s="1"/>
      <c r="MP221" s="1"/>
      <c r="MQ221" s="1"/>
      <c r="MR221" s="1"/>
      <c r="MS221" s="1"/>
      <c r="MT221" s="1"/>
      <c r="MU221" s="1"/>
      <c r="MV221" s="1"/>
      <c r="MW221" s="1"/>
      <c r="MX221" s="1"/>
      <c r="MY221" s="1"/>
      <c r="MZ221" s="1"/>
      <c r="NA221" s="1"/>
      <c r="NB221" s="1"/>
      <c r="NC221" s="1"/>
      <c r="ND221" s="1"/>
      <c r="NE221" s="1"/>
      <c r="NF221" s="1"/>
      <c r="NG221" s="1"/>
      <c r="NH221" s="1"/>
      <c r="NI221" s="1"/>
      <c r="NJ221" s="1"/>
      <c r="NK221" s="1"/>
      <c r="NL221" s="1"/>
      <c r="NM221" s="1"/>
      <c r="NN221" s="1"/>
      <c r="NO221" s="1"/>
      <c r="NP221" s="1"/>
      <c r="NQ221" s="1"/>
      <c r="NR221" s="1"/>
      <c r="NS221" s="1"/>
      <c r="NT221" s="1"/>
      <c r="NU221" s="1"/>
      <c r="NV221" s="1"/>
      <c r="NW221" s="1"/>
      <c r="NX221" s="1"/>
      <c r="NY221" s="1"/>
      <c r="NZ221" s="1"/>
      <c r="OA221" s="1"/>
      <c r="OB221" s="1"/>
      <c r="OC221" s="1"/>
      <c r="OD221" s="1"/>
      <c r="OE221" s="1"/>
      <c r="OF221" s="1"/>
      <c r="OG221" s="1"/>
      <c r="OH221" s="1"/>
      <c r="OI221" s="1"/>
      <c r="OJ221" s="1"/>
      <c r="OK221" s="1"/>
      <c r="OL221" s="1"/>
      <c r="OM221" s="1"/>
      <c r="ON221" s="1"/>
      <c r="OO221" s="1"/>
      <c r="OP221" s="1"/>
      <c r="OQ221" s="1"/>
      <c r="OR221" s="1"/>
      <c r="OS221" s="1"/>
      <c r="OT221" s="1"/>
      <c r="OU221" s="1"/>
      <c r="OV221" s="1"/>
      <c r="OW221" s="1"/>
      <c r="OX221" s="1"/>
      <c r="OY221" s="1"/>
      <c r="OZ221" s="1"/>
      <c r="PA221" s="1"/>
      <c r="PB221" s="1"/>
      <c r="PC221" s="1"/>
      <c r="PD221" s="1"/>
      <c r="PE221" s="1"/>
      <c r="PF221" s="1"/>
      <c r="PG221" s="1"/>
      <c r="PH221" s="1"/>
      <c r="PI221" s="1"/>
      <c r="PJ221" s="1"/>
      <c r="PK221" s="1"/>
      <c r="PL221" s="1"/>
      <c r="PM221" s="1"/>
      <c r="PN221" s="1"/>
      <c r="PO221" s="1"/>
      <c r="PP221" s="1"/>
      <c r="PQ221" s="1"/>
      <c r="PR221" s="1"/>
      <c r="PS221" s="1"/>
      <c r="PT221" s="1"/>
      <c r="PU221" s="1"/>
      <c r="PV221" s="1"/>
      <c r="PW221" s="1"/>
      <c r="PX221" s="1"/>
      <c r="PY221" s="1"/>
      <c r="PZ221" s="1"/>
      <c r="QA221" s="1"/>
      <c r="QB221" s="1"/>
      <c r="QC221" s="1"/>
      <c r="QD221" s="1"/>
      <c r="QE221" s="1"/>
      <c r="QF221" s="1"/>
      <c r="QG221" s="1"/>
      <c r="QH221" s="1"/>
      <c r="QI221" s="1"/>
      <c r="QJ221" s="1"/>
      <c r="QK221" s="1"/>
      <c r="QL221" s="1"/>
      <c r="QM221" s="1"/>
      <c r="QN221" s="1"/>
      <c r="QO221" s="1"/>
      <c r="QP221" s="1"/>
      <c r="QQ221" s="1"/>
      <c r="QR221" s="1"/>
      <c r="QS221" s="1"/>
      <c r="QT221" s="1"/>
      <c r="QU221" s="1"/>
      <c r="QV221" s="1"/>
      <c r="QW221" s="1"/>
      <c r="QX221" s="1"/>
      <c r="QY221" s="1"/>
      <c r="QZ221" s="1"/>
      <c r="RA221" s="1"/>
      <c r="RB221" s="1"/>
      <c r="RC221" s="1"/>
      <c r="RD221" s="1"/>
      <c r="RE221" s="1"/>
      <c r="RF221" s="1"/>
      <c r="RG221" s="1"/>
      <c r="RH221" s="1"/>
      <c r="RI221" s="1"/>
      <c r="RJ221" s="1"/>
      <c r="RK221" s="1"/>
      <c r="RL221" s="1"/>
      <c r="RM221" s="1"/>
      <c r="RN221" s="1"/>
      <c r="RO221" s="1"/>
      <c r="RP221" s="1"/>
      <c r="RQ221" s="1"/>
      <c r="RR221" s="1"/>
      <c r="RS221" s="1"/>
      <c r="RT221" s="1"/>
      <c r="RU221" s="1"/>
      <c r="RV221" s="1"/>
      <c r="RW221" s="1"/>
      <c r="RX221" s="1"/>
      <c r="RY221" s="1"/>
      <c r="RZ221" s="1"/>
      <c r="SA221" s="1"/>
      <c r="SB221" s="1"/>
      <c r="SC221" s="1"/>
      <c r="SD221" s="1"/>
      <c r="SE221" s="1"/>
      <c r="SF221" s="1"/>
      <c r="SG221" s="1"/>
      <c r="SH221" s="1"/>
      <c r="SI221" s="1"/>
      <c r="SJ221" s="1"/>
      <c r="SK221" s="1"/>
      <c r="SL221" s="1"/>
      <c r="SM221" s="1"/>
      <c r="SN221" s="1"/>
      <c r="SO221" s="1"/>
      <c r="SP221" s="1"/>
      <c r="SQ221" s="1"/>
      <c r="SR221" s="1"/>
      <c r="SS221" s="1"/>
      <c r="ST221" s="1"/>
      <c r="SU221" s="1"/>
      <c r="SV221" s="1"/>
      <c r="SW221" s="1"/>
      <c r="SX221" s="1"/>
      <c r="SY221" s="1"/>
      <c r="SZ221" s="1"/>
      <c r="TA221" s="1"/>
      <c r="TB221" s="1"/>
      <c r="TC221" s="1"/>
      <c r="TD221" s="1"/>
      <c r="TE221" s="1"/>
      <c r="TF221" s="1"/>
      <c r="TG221" s="1"/>
      <c r="TH221" s="1"/>
      <c r="TI221" s="1"/>
      <c r="TJ221" s="1"/>
      <c r="TK221" s="1"/>
      <c r="TL221" s="1"/>
      <c r="TM221" s="1"/>
      <c r="TN221" s="1"/>
      <c r="TO221" s="1"/>
      <c r="TP221" s="1"/>
      <c r="TQ221" s="1"/>
      <c r="TR221" s="1"/>
      <c r="TS221" s="1"/>
      <c r="TT221" s="1"/>
      <c r="TU221" s="1"/>
      <c r="TV221" s="1"/>
      <c r="TW221" s="1"/>
      <c r="TX221" s="1"/>
      <c r="TY221" s="1"/>
      <c r="TZ221" s="1"/>
      <c r="UA221" s="1"/>
      <c r="UB221" s="1"/>
      <c r="UC221" s="1"/>
      <c r="UD221" s="1"/>
      <c r="UE221" s="1"/>
      <c r="UF221" s="1"/>
      <c r="UG221" s="1"/>
      <c r="UH221" s="1"/>
      <c r="UI221" s="1"/>
      <c r="UJ221" s="1"/>
      <c r="UK221" s="1"/>
      <c r="UL221" s="1"/>
      <c r="UM221" s="1"/>
      <c r="UN221" s="1"/>
      <c r="UO221" s="1"/>
      <c r="UP221" s="1"/>
      <c r="UQ221" s="1"/>
      <c r="UR221" s="1"/>
      <c r="US221" s="1"/>
      <c r="UT221" s="1"/>
      <c r="UU221" s="1"/>
      <c r="UV221" s="1"/>
      <c r="UW221" s="1"/>
      <c r="UX221" s="1"/>
      <c r="UY221" s="1"/>
      <c r="UZ221" s="1"/>
      <c r="VA221" s="1"/>
      <c r="VB221" s="1"/>
      <c r="VC221" s="1"/>
      <c r="VD221" s="1"/>
      <c r="VE221" s="1"/>
      <c r="VF221" s="1"/>
      <c r="VG221" s="1"/>
      <c r="VH221" s="1"/>
      <c r="VI221" s="1"/>
      <c r="VJ221" s="1"/>
      <c r="VK221" s="1"/>
      <c r="VL221" s="1"/>
      <c r="VM221" s="1"/>
      <c r="VN221" s="1"/>
      <c r="VO221" s="1"/>
      <c r="VP221" s="1"/>
      <c r="VQ221" s="1"/>
      <c r="VR221" s="1"/>
      <c r="VS221" s="1"/>
      <c r="VT221" s="1"/>
      <c r="VU221" s="1"/>
      <c r="VV221" s="1"/>
      <c r="VW221" s="1"/>
      <c r="VX221" s="1"/>
      <c r="VY221" s="1"/>
      <c r="VZ221" s="1"/>
      <c r="WA221" s="1"/>
      <c r="WB221" s="1"/>
      <c r="WC221" s="1"/>
      <c r="WD221" s="1"/>
      <c r="WE221" s="1"/>
      <c r="WF221" s="1"/>
      <c r="WG221" s="1"/>
      <c r="WH221" s="1"/>
      <c r="WI221" s="1"/>
      <c r="WJ221" s="1"/>
      <c r="WK221" s="1"/>
      <c r="WL221" s="1"/>
      <c r="WM221" s="1"/>
      <c r="WN221" s="1"/>
      <c r="WO221" s="1"/>
      <c r="WP221" s="1"/>
      <c r="WQ221" s="1"/>
      <c r="WR221" s="1"/>
      <c r="WS221" s="1"/>
      <c r="WT221" s="1"/>
      <c r="WU221" s="1"/>
      <c r="WV221" s="1"/>
      <c r="WW221" s="1"/>
      <c r="WX221" s="1"/>
      <c r="WY221" s="1"/>
      <c r="WZ221" s="1"/>
      <c r="XA221" s="1"/>
      <c r="XB221" s="1"/>
      <c r="XC221" s="1"/>
      <c r="XD221" s="1"/>
      <c r="XE221" s="1"/>
      <c r="XF221" s="1"/>
      <c r="XG221" s="1"/>
      <c r="XH221" s="1"/>
      <c r="XI221" s="1"/>
      <c r="XJ221" s="1"/>
      <c r="XK221" s="1"/>
      <c r="XL221" s="1"/>
      <c r="XM221" s="1"/>
      <c r="XN221" s="1"/>
      <c r="XO221" s="1"/>
      <c r="XP221" s="1"/>
      <c r="XQ221" s="1"/>
      <c r="XR221" s="1"/>
      <c r="XS221" s="1"/>
      <c r="XT221" s="1"/>
      <c r="XU221" s="1"/>
      <c r="XV221" s="1"/>
      <c r="XW221" s="1"/>
      <c r="XX221" s="1"/>
      <c r="XY221" s="1"/>
      <c r="XZ221" s="1"/>
      <c r="YA221" s="1"/>
      <c r="YB221" s="1"/>
      <c r="YC221" s="1"/>
      <c r="YD221" s="1"/>
      <c r="YE221" s="1"/>
      <c r="YF221" s="1"/>
      <c r="YG221" s="1"/>
      <c r="YH221" s="1"/>
      <c r="YI221" s="1"/>
      <c r="YJ221" s="1"/>
      <c r="YK221" s="1"/>
      <c r="YL221" s="1"/>
      <c r="YM221" s="1"/>
      <c r="YN221" s="1"/>
      <c r="YO221" s="1"/>
      <c r="YP221" s="1"/>
      <c r="YQ221" s="1"/>
      <c r="YR221" s="1"/>
      <c r="YS221" s="1"/>
      <c r="YT221" s="1"/>
      <c r="YU221" s="1"/>
      <c r="YV221" s="1"/>
      <c r="YW221" s="1"/>
      <c r="YX221" s="1"/>
      <c r="YY221" s="1"/>
      <c r="YZ221" s="1"/>
      <c r="ZA221" s="1"/>
      <c r="ZB221" s="1"/>
      <c r="ZC221" s="1"/>
      <c r="ZD221" s="1"/>
      <c r="ZE221" s="1"/>
      <c r="ZF221" s="1"/>
      <c r="ZG221" s="1"/>
      <c r="ZH221" s="1"/>
      <c r="ZI221" s="1"/>
      <c r="ZJ221" s="1"/>
      <c r="ZK221" s="1"/>
      <c r="ZL221" s="1"/>
      <c r="ZM221" s="1"/>
      <c r="ZN221" s="1"/>
      <c r="ZO221" s="1"/>
      <c r="ZP221" s="1"/>
      <c r="ZQ221" s="1"/>
      <c r="ZR221" s="1"/>
      <c r="ZS221" s="1"/>
      <c r="ZT221" s="1"/>
      <c r="ZU221" s="1"/>
      <c r="ZV221" s="1"/>
      <c r="ZW221" s="1"/>
      <c r="ZX221" s="1"/>
      <c r="ZY221" s="1"/>
      <c r="ZZ221" s="1"/>
      <c r="AAA221" s="1"/>
      <c r="AAB221" s="1"/>
      <c r="AAC221" s="1"/>
      <c r="AAD221" s="1"/>
      <c r="AAE221" s="1"/>
      <c r="AAF221" s="1"/>
      <c r="AAG221" s="1"/>
      <c r="AAH221" s="1"/>
      <c r="AAI221" s="1"/>
      <c r="AAJ221" s="1"/>
      <c r="AAK221" s="1"/>
      <c r="AAL221" s="1"/>
      <c r="AAM221" s="1"/>
      <c r="AAN221" s="1"/>
      <c r="AAO221" s="1"/>
      <c r="AAP221" s="1"/>
      <c r="AAQ221" s="1"/>
      <c r="AAR221" s="1"/>
      <c r="AAS221" s="1"/>
      <c r="AAT221" s="1"/>
      <c r="AAU221" s="1"/>
      <c r="AAV221" s="1"/>
      <c r="AAW221" s="1"/>
      <c r="AAX221" s="1"/>
      <c r="AAY221" s="1"/>
      <c r="AAZ221" s="1"/>
      <c r="ABA221" s="1"/>
      <c r="ABB221" s="1"/>
      <c r="ABC221" s="1"/>
      <c r="ABD221" s="1"/>
      <c r="ABE221" s="1"/>
      <c r="ABF221" s="1"/>
      <c r="ABG221" s="1"/>
      <c r="ABH221" s="1"/>
      <c r="ABI221" s="1"/>
      <c r="ABJ221" s="1"/>
      <c r="ABK221" s="1"/>
      <c r="ABL221" s="1"/>
      <c r="ABM221" s="1"/>
      <c r="ABN221" s="1"/>
      <c r="ABO221" s="1"/>
      <c r="ABP221" s="1"/>
      <c r="ABQ221" s="1"/>
      <c r="ABR221" s="1"/>
      <c r="ABS221" s="1"/>
      <c r="ABT221" s="1"/>
      <c r="ABU221" s="1"/>
      <c r="ABV221" s="1"/>
      <c r="ABW221" s="1"/>
      <c r="ABX221" s="1"/>
      <c r="ABY221" s="1"/>
      <c r="ABZ221" s="1"/>
      <c r="ACA221" s="1"/>
      <c r="ACB221" s="1"/>
      <c r="ACC221" s="1"/>
      <c r="ACD221" s="1"/>
      <c r="ACE221" s="1"/>
      <c r="ACF221" s="1"/>
      <c r="ACG221" s="1"/>
      <c r="ACH221" s="1"/>
      <c r="ACI221" s="1"/>
      <c r="ACJ221" s="1"/>
      <c r="ACK221" s="1"/>
      <c r="ACL221" s="1"/>
      <c r="ACM221" s="1"/>
      <c r="ACN221" s="1"/>
      <c r="ACO221" s="1"/>
      <c r="ACP221" s="1"/>
      <c r="ACQ221" s="1"/>
      <c r="ACR221" s="1"/>
      <c r="ACS221" s="1"/>
      <c r="ACT221" s="1"/>
      <c r="ACU221" s="1"/>
      <c r="ACV221" s="1"/>
      <c r="ACW221" s="1"/>
      <c r="ACX221" s="1"/>
      <c r="ACY221" s="1"/>
      <c r="ACZ221" s="1"/>
      <c r="ADA221" s="1"/>
      <c r="ADB221" s="1"/>
      <c r="ADC221" s="1"/>
      <c r="ADD221" s="1"/>
      <c r="ADE221" s="1"/>
      <c r="ADF221" s="1"/>
      <c r="ADG221" s="1"/>
      <c r="ADH221" s="1"/>
      <c r="ADI221" s="1"/>
      <c r="ADJ221" s="1"/>
      <c r="ADK221" s="1"/>
      <c r="ADL221" s="1"/>
      <c r="ADM221" s="1"/>
      <c r="ADN221" s="1"/>
      <c r="ADO221" s="1"/>
      <c r="ADP221" s="1"/>
      <c r="ADQ221" s="1"/>
      <c r="ADR221" s="1"/>
      <c r="ADS221" s="1"/>
      <c r="ADT221" s="1"/>
      <c r="ADU221" s="1"/>
      <c r="ADV221" s="1"/>
      <c r="ADW221" s="1"/>
      <c r="ADX221" s="1"/>
      <c r="ADY221" s="1"/>
      <c r="ADZ221" s="1"/>
      <c r="AEA221" s="1"/>
      <c r="AEB221" s="1"/>
      <c r="AEC221" s="1"/>
      <c r="AED221" s="1"/>
      <c r="AEE221" s="1"/>
      <c r="AEF221" s="1"/>
      <c r="AEG221" s="1"/>
      <c r="AEH221" s="1"/>
      <c r="AEI221" s="1"/>
      <c r="AEJ221" s="1"/>
      <c r="AEK221" s="1"/>
      <c r="AEL221" s="1"/>
      <c r="AEM221" s="1"/>
      <c r="AEN221" s="1"/>
      <c r="AEO221" s="1"/>
      <c r="AEP221" s="1"/>
      <c r="AEQ221" s="1"/>
      <c r="AER221" s="1"/>
      <c r="AES221" s="1"/>
      <c r="AET221" s="1"/>
      <c r="AEU221" s="1"/>
      <c r="AEV221" s="1"/>
      <c r="AEW221" s="1"/>
      <c r="AEX221" s="1"/>
      <c r="AEY221" s="1"/>
      <c r="AEZ221" s="1"/>
      <c r="AFA221" s="1"/>
      <c r="AFB221" s="1"/>
      <c r="AFC221" s="1"/>
      <c r="AFD221" s="1"/>
      <c r="AFE221" s="1"/>
      <c r="AFF221" s="1"/>
      <c r="AFG221" s="1"/>
      <c r="AFH221" s="1"/>
      <c r="AFI221" s="1"/>
      <c r="AFJ221" s="1"/>
      <c r="AFK221" s="1"/>
      <c r="AFL221" s="1"/>
      <c r="AFM221" s="1"/>
      <c r="AFN221" s="1"/>
      <c r="AFO221" s="1"/>
      <c r="AFP221" s="1"/>
      <c r="AFQ221" s="1"/>
      <c r="AFR221" s="1"/>
      <c r="AFS221" s="1"/>
      <c r="AFT221" s="1"/>
      <c r="AFU221" s="1"/>
      <c r="AFV221" s="1"/>
      <c r="AFW221" s="1"/>
      <c r="AFX221" s="1"/>
      <c r="AFY221" s="1"/>
      <c r="AFZ221" s="1"/>
      <c r="AGA221" s="1"/>
      <c r="AGB221" s="1"/>
      <c r="AGC221" s="1"/>
      <c r="AGD221" s="1"/>
      <c r="AGE221" s="1"/>
      <c r="AGF221" s="1"/>
      <c r="AGG221" s="1"/>
      <c r="AGH221" s="1"/>
      <c r="AGI221" s="1"/>
      <c r="AGJ221" s="1"/>
      <c r="AGK221" s="1"/>
      <c r="AGL221" s="1"/>
      <c r="AGM221" s="1"/>
      <c r="AGN221" s="1"/>
      <c r="AGO221" s="1"/>
      <c r="AGP221" s="1"/>
      <c r="AGQ221" s="1"/>
      <c r="AGR221" s="1"/>
      <c r="AGS221" s="1"/>
      <c r="AGT221" s="1"/>
      <c r="AGU221" s="1"/>
      <c r="AGV221" s="1"/>
      <c r="AGW221" s="1"/>
      <c r="AGX221" s="1"/>
      <c r="AGY221" s="1"/>
      <c r="AGZ221" s="1"/>
      <c r="AHA221" s="1"/>
      <c r="AHB221" s="1"/>
      <c r="AHC221" s="1"/>
      <c r="AHD221" s="1"/>
      <c r="AHE221" s="1"/>
      <c r="AHF221" s="1"/>
      <c r="AHG221" s="1"/>
      <c r="AHH221" s="1"/>
      <c r="AHI221" s="1"/>
      <c r="AHJ221" s="1"/>
      <c r="AHK221" s="1"/>
      <c r="AHL221" s="1"/>
      <c r="AHM221" s="1"/>
      <c r="AHN221" s="1"/>
      <c r="AHO221" s="1"/>
      <c r="AHP221" s="1"/>
      <c r="AHQ221" s="1"/>
      <c r="AHR221" s="1"/>
      <c r="AHS221" s="1"/>
      <c r="AHT221" s="1"/>
      <c r="AHU221" s="1"/>
      <c r="AHV221" s="1"/>
      <c r="AHW221" s="1"/>
      <c r="AHX221" s="1"/>
      <c r="AHY221" s="1"/>
      <c r="AHZ221" s="1"/>
      <c r="AIA221" s="1"/>
      <c r="AIB221" s="1"/>
      <c r="AIC221" s="1"/>
      <c r="AID221" s="1"/>
      <c r="AIE221" s="1"/>
      <c r="AIF221" s="1"/>
      <c r="AIG221" s="1"/>
      <c r="AIH221" s="1"/>
      <c r="AII221" s="1"/>
      <c r="AIJ221" s="1"/>
      <c r="AIK221" s="1"/>
      <c r="AIL221" s="1"/>
      <c r="AIM221" s="1"/>
      <c r="AIN221" s="1"/>
      <c r="AIO221" s="1"/>
      <c r="AIP221" s="1"/>
      <c r="AIQ221" s="1"/>
      <c r="AIR221" s="1"/>
      <c r="AIS221" s="1"/>
      <c r="AIT221" s="1"/>
      <c r="AIU221" s="1"/>
      <c r="AIV221" s="1"/>
      <c r="AIW221" s="1"/>
      <c r="AIX221" s="1"/>
      <c r="AIY221" s="1"/>
      <c r="AIZ221" s="1"/>
      <c r="AJA221" s="1"/>
      <c r="AJB221" s="1"/>
      <c r="AJC221" s="1"/>
      <c r="AJD221" s="1"/>
      <c r="AJE221" s="1"/>
      <c r="AJF221" s="1"/>
      <c r="AJG221" s="1"/>
      <c r="AJH221" s="1"/>
      <c r="AJI221" s="1"/>
      <c r="AJJ221" s="1"/>
      <c r="AJK221" s="1"/>
      <c r="AJL221" s="1"/>
      <c r="AJM221" s="1"/>
      <c r="AJN221" s="1"/>
      <c r="AJO221" s="1"/>
      <c r="AJP221" s="1"/>
      <c r="AJQ221" s="1"/>
      <c r="AJR221" s="1"/>
      <c r="AJS221" s="1"/>
      <c r="AJT221" s="1"/>
      <c r="AJU221" s="1"/>
      <c r="AJV221" s="1"/>
      <c r="AJW221" s="1"/>
      <c r="AJX221" s="1"/>
      <c r="AJY221" s="1"/>
      <c r="AJZ221" s="1"/>
      <c r="AKA221" s="1"/>
      <c r="AKB221" s="1"/>
      <c r="AKC221" s="1"/>
      <c r="AKD221" s="1"/>
      <c r="AKE221" s="1"/>
      <c r="AKF221" s="1"/>
      <c r="AKG221" s="1"/>
      <c r="AKH221" s="1"/>
      <c r="AKI221" s="1"/>
      <c r="AKJ221" s="1"/>
      <c r="AKK221" s="1"/>
      <c r="AKL221" s="1"/>
      <c r="AKM221" s="1"/>
      <c r="AKN221" s="1"/>
      <c r="AKO221" s="1"/>
      <c r="AKP221" s="1"/>
      <c r="AKQ221" s="1"/>
      <c r="AKR221" s="1"/>
      <c r="AKS221" s="1"/>
      <c r="AKT221" s="1"/>
      <c r="AKU221" s="1"/>
      <c r="AKV221" s="1"/>
      <c r="AKW221" s="1"/>
      <c r="AKX221" s="1"/>
      <c r="AKY221" s="1"/>
      <c r="AKZ221" s="1"/>
      <c r="ALA221" s="1"/>
      <c r="ALB221" s="1"/>
      <c r="ALC221" s="1"/>
      <c r="ALD221" s="1"/>
      <c r="ALE221" s="1"/>
      <c r="ALF221" s="1"/>
      <c r="ALG221" s="1"/>
      <c r="ALH221" s="1"/>
      <c r="ALI221" s="1"/>
      <c r="ALJ221" s="1"/>
      <c r="ALK221" s="1"/>
      <c r="ALL221" s="1"/>
      <c r="ALM221" s="1"/>
      <c r="ALN221" s="1"/>
      <c r="ALO221" s="1"/>
      <c r="ALP221" s="1"/>
      <c r="ALQ221" s="1"/>
      <c r="ALR221" s="1"/>
      <c r="ALS221" s="1"/>
      <c r="ALT221" s="1"/>
      <c r="ALU221" s="1"/>
      <c r="ALV221" s="1"/>
      <c r="ALW221" s="1"/>
      <c r="ALX221" s="1"/>
      <c r="ALY221" s="1"/>
      <c r="ALZ221" s="1"/>
      <c r="AMA221" s="1"/>
      <c r="AMB221" s="1"/>
      <c r="AMC221" s="1"/>
      <c r="AMD221" s="1"/>
      <c r="AME221" s="1"/>
      <c r="AMF221" s="1"/>
      <c r="AMG221" s="1"/>
      <c r="AMH221" s="1"/>
      <c r="AMI221" s="1"/>
      <c r="AMJ221" s="1"/>
      <c r="AMK221" s="1"/>
      <c r="AML221" s="1"/>
      <c r="AMM221" s="1"/>
      <c r="AMN221" s="1"/>
      <c r="AMO221" s="1"/>
      <c r="AMP221" s="1"/>
      <c r="AMQ221" s="1"/>
      <c r="AMR221" s="1"/>
      <c r="AMS221" s="1"/>
      <c r="AMT221" s="1"/>
      <c r="AMU221" s="1"/>
      <c r="AMV221" s="1"/>
      <c r="AMW221" s="1"/>
      <c r="AMX221" s="1"/>
      <c r="AMY221" s="1"/>
      <c r="AMZ221" s="1"/>
      <c r="ANA221" s="1"/>
      <c r="ANB221" s="1"/>
      <c r="ANC221" s="1"/>
      <c r="AND221" s="1"/>
      <c r="ANE221" s="1"/>
      <c r="ANF221" s="1"/>
      <c r="ANG221" s="1"/>
      <c r="ANH221" s="1"/>
      <c r="ANI221" s="1"/>
      <c r="ANJ221" s="1"/>
      <c r="ANK221" s="1"/>
      <c r="ANL221" s="1"/>
      <c r="ANM221" s="1"/>
      <c r="ANN221" s="1"/>
      <c r="ANO221" s="1"/>
      <c r="ANP221" s="1"/>
      <c r="ANQ221" s="1"/>
      <c r="ANR221" s="1"/>
      <c r="ANS221" s="1"/>
      <c r="ANT221" s="1"/>
      <c r="ANU221" s="1"/>
      <c r="ANV221" s="1"/>
      <c r="ANW221" s="1"/>
      <c r="ANX221" s="1"/>
      <c r="ANY221" s="1"/>
      <c r="ANZ221" s="1"/>
      <c r="AOA221" s="1"/>
      <c r="AOB221" s="1"/>
      <c r="AOC221" s="1"/>
      <c r="AOD221" s="1"/>
      <c r="AOE221" s="1"/>
      <c r="AOF221" s="1"/>
      <c r="AOG221" s="1"/>
      <c r="AOH221" s="1"/>
      <c r="AOI221" s="1"/>
      <c r="AOJ221" s="1"/>
      <c r="AOK221" s="1"/>
      <c r="AOL221" s="1"/>
      <c r="AOM221" s="1"/>
      <c r="AON221" s="1"/>
      <c r="AOO221" s="1"/>
      <c r="AOP221" s="1"/>
      <c r="AOQ221" s="1"/>
      <c r="AOR221" s="1"/>
      <c r="AOS221" s="1"/>
      <c r="AOT221" s="1"/>
      <c r="AOU221" s="1"/>
      <c r="AOV221" s="1"/>
      <c r="AOW221" s="1"/>
      <c r="AOX221" s="1"/>
      <c r="AOY221" s="1"/>
      <c r="AOZ221" s="1"/>
      <c r="APA221" s="1"/>
      <c r="APB221" s="1"/>
      <c r="APC221" s="1"/>
      <c r="APD221" s="1"/>
      <c r="APE221" s="1"/>
      <c r="APF221" s="1"/>
      <c r="APG221" s="1"/>
      <c r="APH221" s="1"/>
      <c r="API221" s="1"/>
      <c r="APJ221" s="1"/>
      <c r="APK221" s="1"/>
      <c r="APL221" s="1"/>
      <c r="APM221" s="1"/>
      <c r="APN221" s="1"/>
      <c r="APO221" s="1"/>
      <c r="APP221" s="1"/>
      <c r="APQ221" s="1"/>
      <c r="APR221" s="1"/>
      <c r="APS221" s="1"/>
      <c r="APT221" s="1"/>
      <c r="APU221" s="1"/>
      <c r="APV221" s="1"/>
      <c r="APW221" s="1"/>
      <c r="APX221" s="1"/>
      <c r="APY221" s="1"/>
      <c r="APZ221" s="1"/>
      <c r="AQA221" s="1"/>
      <c r="AQB221" s="1"/>
      <c r="AQC221" s="1"/>
      <c r="AQD221" s="1"/>
      <c r="AQE221" s="1"/>
      <c r="AQF221" s="1"/>
      <c r="AQG221" s="1"/>
      <c r="AQH221" s="1"/>
      <c r="AQI221" s="1"/>
      <c r="AQJ221" s="1"/>
      <c r="AQK221" s="1"/>
      <c r="AQL221" s="1"/>
      <c r="AQM221" s="1"/>
      <c r="AQN221" s="1"/>
      <c r="AQO221" s="1"/>
      <c r="AQP221" s="1"/>
      <c r="AQQ221" s="1"/>
      <c r="AQR221" s="1"/>
      <c r="AQS221" s="1"/>
      <c r="AQT221" s="1"/>
      <c r="AQU221" s="1"/>
      <c r="AQV221" s="1"/>
      <c r="AQW221" s="1"/>
      <c r="AQX221" s="1"/>
      <c r="AQY221" s="1"/>
      <c r="AQZ221" s="1"/>
      <c r="ARA221" s="1"/>
      <c r="ARB221" s="1"/>
      <c r="ARC221" s="1"/>
      <c r="ARD221" s="1"/>
      <c r="ARE221" s="1"/>
      <c r="ARF221" s="1"/>
      <c r="ARG221" s="1"/>
      <c r="ARH221" s="1"/>
      <c r="ARI221" s="1"/>
      <c r="ARJ221" s="1"/>
      <c r="ARK221" s="1"/>
      <c r="ARL221" s="1"/>
      <c r="ARM221" s="1"/>
      <c r="ARN221" s="1"/>
      <c r="ARO221" s="1"/>
      <c r="ARP221" s="1"/>
      <c r="ARQ221" s="1"/>
      <c r="ARR221" s="1"/>
      <c r="ARS221" s="1"/>
      <c r="ART221" s="1"/>
      <c r="ARU221" s="1"/>
      <c r="ARV221" s="1"/>
      <c r="ARW221" s="1"/>
      <c r="ARX221" s="1"/>
      <c r="ARY221" s="1"/>
      <c r="ARZ221" s="1"/>
      <c r="ASA221" s="1"/>
      <c r="ASB221" s="1"/>
      <c r="ASC221" s="1"/>
      <c r="ASD221" s="1"/>
      <c r="ASE221" s="1"/>
      <c r="ASF221" s="1"/>
      <c r="ASG221" s="1"/>
      <c r="ASH221" s="1"/>
      <c r="ASI221" s="1"/>
      <c r="ASJ221" s="1"/>
      <c r="ASK221" s="1"/>
      <c r="ASL221" s="1"/>
      <c r="ASM221" s="1"/>
      <c r="ASN221" s="1"/>
      <c r="ASO221" s="1"/>
      <c r="ASP221" s="1"/>
      <c r="ASQ221" s="1"/>
      <c r="ASR221" s="1"/>
      <c r="ASS221" s="1"/>
      <c r="AST221" s="1"/>
      <c r="ASU221" s="1"/>
      <c r="ASV221" s="1"/>
      <c r="ASW221" s="1"/>
      <c r="ASX221" s="1"/>
      <c r="ASY221" s="1"/>
      <c r="ASZ221" s="1"/>
      <c r="ATA221" s="1"/>
      <c r="ATB221" s="1"/>
      <c r="ATC221" s="1"/>
      <c r="ATD221" s="1"/>
      <c r="ATE221" s="1"/>
      <c r="ATF221" s="1"/>
      <c r="ATG221" s="1"/>
      <c r="ATH221" s="1"/>
      <c r="ATI221" s="1"/>
      <c r="ATJ221" s="1"/>
      <c r="ATK221" s="1"/>
      <c r="ATL221" s="1"/>
      <c r="ATM221" s="1"/>
      <c r="ATN221" s="1"/>
      <c r="ATO221" s="1"/>
      <c r="ATP221" s="1"/>
      <c r="ATQ221" s="1"/>
      <c r="ATR221" s="1"/>
      <c r="ATS221" s="1"/>
      <c r="ATT221" s="1"/>
      <c r="ATU221" s="1"/>
      <c r="ATV221" s="1"/>
      <c r="ATW221" s="1"/>
      <c r="ATX221" s="1"/>
      <c r="ATY221" s="1"/>
      <c r="ATZ221" s="1"/>
      <c r="AUA221" s="1"/>
      <c r="AUB221" s="1"/>
      <c r="AUC221" s="1"/>
      <c r="AUD221" s="1"/>
      <c r="AUE221" s="1"/>
      <c r="AUF221" s="1"/>
      <c r="AUG221" s="1"/>
      <c r="AUH221" s="1"/>
      <c r="AUI221" s="1"/>
      <c r="AUJ221" s="1"/>
      <c r="AUK221" s="1"/>
      <c r="AUL221" s="1"/>
      <c r="AUM221" s="1"/>
      <c r="AUN221" s="1"/>
      <c r="AUO221" s="1"/>
      <c r="AUP221" s="1"/>
      <c r="AUQ221" s="1"/>
      <c r="AUR221" s="1"/>
      <c r="AUS221" s="1"/>
      <c r="AUT221" s="1"/>
      <c r="AUU221" s="1"/>
      <c r="AUV221" s="1"/>
      <c r="AUW221" s="1"/>
      <c r="AUX221" s="1"/>
      <c r="AUY221" s="1"/>
      <c r="AUZ221" s="1"/>
      <c r="AVA221" s="1"/>
      <c r="AVB221" s="1"/>
      <c r="AVC221" s="1"/>
      <c r="AVD221" s="1"/>
      <c r="AVE221" s="1"/>
      <c r="AVF221" s="1"/>
      <c r="AVG221" s="1"/>
      <c r="AVH221" s="1"/>
      <c r="AVI221" s="1"/>
      <c r="AVJ221" s="1"/>
      <c r="AVK221" s="1"/>
      <c r="AVL221" s="1"/>
      <c r="AVM221" s="1"/>
      <c r="AVN221" s="1"/>
      <c r="AVO221" s="1"/>
      <c r="AVP221" s="1"/>
      <c r="AVQ221" s="1"/>
      <c r="AVR221" s="1"/>
      <c r="AVS221" s="1"/>
      <c r="AVT221" s="1"/>
      <c r="AVU221" s="1"/>
      <c r="AVV221" s="1"/>
      <c r="AVW221" s="1"/>
      <c r="AVX221" s="1"/>
      <c r="AVY221" s="1"/>
      <c r="AVZ221" s="1"/>
      <c r="AWA221" s="1"/>
      <c r="AWB221" s="1"/>
      <c r="AWC221" s="1"/>
      <c r="AWD221" s="1"/>
      <c r="AWE221" s="1"/>
      <c r="AWF221" s="1"/>
      <c r="AWG221" s="1"/>
      <c r="AWH221" s="1"/>
      <c r="AWI221" s="1"/>
      <c r="AWJ221" s="1"/>
      <c r="AWK221" s="1"/>
      <c r="AWL221" s="1"/>
      <c r="AWM221" s="1"/>
      <c r="AWN221" s="1"/>
      <c r="AWO221" s="1"/>
      <c r="AWP221" s="1"/>
      <c r="AWQ221" s="1"/>
      <c r="AWR221" s="1"/>
      <c r="AWS221" s="1"/>
      <c r="AWT221" s="1"/>
      <c r="AWU221" s="1"/>
      <c r="AWV221" s="1"/>
      <c r="AWW221" s="1"/>
      <c r="AWX221" s="1"/>
      <c r="AWY221" s="1"/>
      <c r="AWZ221" s="1"/>
      <c r="AXA221" s="1"/>
      <c r="AXB221" s="1"/>
      <c r="AXC221" s="1"/>
      <c r="AXD221" s="1"/>
      <c r="AXE221" s="1"/>
      <c r="AXF221" s="1"/>
      <c r="AXG221" s="1"/>
      <c r="AXH221" s="1"/>
      <c r="AXI221" s="1"/>
      <c r="AXJ221" s="1"/>
      <c r="AXK221" s="1"/>
      <c r="AXL221" s="1"/>
      <c r="AXM221" s="1"/>
      <c r="AXN221" s="1"/>
      <c r="AXO221" s="1"/>
      <c r="AXP221" s="1"/>
      <c r="AXQ221" s="1"/>
      <c r="AXR221" s="1"/>
      <c r="AXS221" s="1"/>
      <c r="AXT221" s="1"/>
      <c r="AXU221" s="1"/>
      <c r="AXV221" s="1"/>
      <c r="AXW221" s="1"/>
      <c r="AXX221" s="1"/>
      <c r="AXY221" s="1"/>
      <c r="AXZ221" s="1"/>
      <c r="AYA221" s="1"/>
      <c r="AYB221" s="1"/>
      <c r="AYC221" s="1"/>
      <c r="AYD221" s="1"/>
      <c r="AYE221" s="1"/>
      <c r="AYF221" s="1"/>
      <c r="AYG221" s="1"/>
      <c r="AYH221" s="1"/>
      <c r="AYI221" s="1"/>
      <c r="AYJ221" s="1"/>
      <c r="AYK221" s="1"/>
      <c r="AYL221" s="1"/>
      <c r="AYM221" s="1"/>
      <c r="AYN221" s="1"/>
      <c r="AYO221" s="1"/>
      <c r="AYP221" s="1"/>
      <c r="AYQ221" s="1"/>
      <c r="AYR221" s="1"/>
      <c r="AYS221" s="1"/>
      <c r="AYT221" s="1"/>
      <c r="AYU221" s="1"/>
      <c r="AYV221" s="1"/>
      <c r="AYW221" s="1"/>
      <c r="AYX221" s="1"/>
      <c r="AYY221" s="1"/>
      <c r="AYZ221" s="1"/>
      <c r="AZA221" s="1"/>
      <c r="AZB221" s="1"/>
      <c r="AZC221" s="1"/>
      <c r="AZD221" s="1"/>
      <c r="AZE221" s="1"/>
      <c r="AZF221" s="1"/>
      <c r="AZG221" s="1"/>
      <c r="AZH221" s="1"/>
      <c r="AZI221" s="1"/>
      <c r="AZJ221" s="1"/>
      <c r="AZK221" s="1"/>
      <c r="AZL221" s="1"/>
      <c r="AZM221" s="1"/>
      <c r="AZN221" s="1"/>
      <c r="AZO221" s="1"/>
      <c r="AZP221" s="1"/>
      <c r="AZQ221" s="1"/>
      <c r="AZR221" s="1"/>
      <c r="AZS221" s="1"/>
      <c r="AZT221" s="1"/>
      <c r="AZU221" s="1"/>
      <c r="AZV221" s="1"/>
      <c r="AZW221" s="1"/>
      <c r="AZX221" s="1"/>
      <c r="AZY221" s="1"/>
      <c r="AZZ221" s="1"/>
      <c r="BAA221" s="1"/>
      <c r="BAB221" s="1"/>
      <c r="BAC221" s="1"/>
      <c r="BAD221" s="1"/>
      <c r="BAE221" s="1"/>
      <c r="BAF221" s="1"/>
      <c r="BAG221" s="1"/>
      <c r="BAH221" s="1"/>
      <c r="BAI221" s="1"/>
      <c r="BAJ221" s="1"/>
      <c r="BAK221" s="1"/>
      <c r="BAL221" s="1"/>
      <c r="BAM221" s="1"/>
      <c r="BAN221" s="1"/>
      <c r="BAO221" s="1"/>
      <c r="BAP221" s="1"/>
      <c r="BAQ221" s="1"/>
      <c r="BAR221" s="1"/>
      <c r="BAS221" s="1"/>
      <c r="BAT221" s="1"/>
      <c r="BAU221" s="1"/>
      <c r="BAV221" s="1"/>
      <c r="BAW221" s="1"/>
      <c r="BAX221" s="1"/>
      <c r="BAY221" s="1"/>
      <c r="BAZ221" s="1"/>
      <c r="BBA221" s="1"/>
      <c r="BBB221" s="1"/>
      <c r="BBC221" s="1"/>
      <c r="BBD221" s="1"/>
      <c r="BBE221" s="1"/>
      <c r="BBF221" s="1"/>
      <c r="BBG221" s="1"/>
      <c r="BBH221" s="1"/>
      <c r="BBI221" s="1"/>
      <c r="BBJ221" s="1"/>
      <c r="BBK221" s="1"/>
      <c r="BBL221" s="1"/>
      <c r="BBM221" s="1"/>
      <c r="BBN221" s="1"/>
      <c r="BBO221" s="1"/>
      <c r="BBP221" s="1"/>
      <c r="BBQ221" s="1"/>
      <c r="BBR221" s="1"/>
      <c r="BBS221" s="1"/>
      <c r="BBT221" s="1"/>
      <c r="BBU221" s="1"/>
      <c r="BBV221" s="1"/>
      <c r="BBW221" s="1"/>
      <c r="BBX221" s="1"/>
      <c r="BBY221" s="1"/>
      <c r="BBZ221" s="1"/>
      <c r="BCA221" s="1"/>
      <c r="BCB221" s="1"/>
      <c r="BCC221" s="1"/>
      <c r="BCD221" s="1"/>
      <c r="BCE221" s="1"/>
      <c r="BCF221" s="1"/>
      <c r="BCG221" s="1"/>
      <c r="BCH221" s="1"/>
      <c r="BCI221" s="1"/>
      <c r="BCJ221" s="1"/>
      <c r="BCK221" s="1"/>
      <c r="BCL221" s="1"/>
      <c r="BCM221" s="1"/>
      <c r="BCN221" s="1"/>
      <c r="BCO221" s="1"/>
      <c r="BCP221" s="1"/>
      <c r="BCQ221" s="1"/>
      <c r="BCR221" s="1"/>
      <c r="BCS221" s="1"/>
      <c r="BCT221" s="1"/>
      <c r="BCU221" s="1"/>
      <c r="BCV221" s="1"/>
      <c r="BCW221" s="1"/>
      <c r="BCX221" s="1"/>
      <c r="BCY221" s="1"/>
      <c r="BCZ221" s="1"/>
      <c r="BDA221" s="1"/>
      <c r="BDB221" s="1"/>
      <c r="BDC221" s="1"/>
      <c r="BDD221" s="1"/>
      <c r="BDE221" s="1"/>
      <c r="BDF221" s="1"/>
      <c r="BDG221" s="1"/>
      <c r="BDH221" s="1"/>
      <c r="BDI221" s="1"/>
      <c r="BDJ221" s="1"/>
      <c r="BDK221" s="1"/>
      <c r="BDL221" s="1"/>
      <c r="BDM221" s="1"/>
      <c r="BDN221" s="1"/>
      <c r="BDO221" s="1"/>
      <c r="BDP221" s="1"/>
      <c r="BDQ221" s="1"/>
      <c r="BDR221" s="1"/>
      <c r="BDS221" s="1"/>
      <c r="BDT221" s="1"/>
      <c r="BDU221" s="1"/>
      <c r="BDV221" s="1"/>
      <c r="BDW221" s="1"/>
      <c r="BDX221" s="1"/>
      <c r="BDY221" s="1"/>
      <c r="BDZ221" s="1"/>
      <c r="BEA221" s="1"/>
      <c r="BEB221" s="1"/>
      <c r="BEC221" s="1"/>
      <c r="BED221" s="1"/>
      <c r="BEE221" s="1"/>
      <c r="BEF221" s="1"/>
      <c r="BEG221" s="1"/>
      <c r="BEH221" s="1"/>
      <c r="BEI221" s="1"/>
      <c r="BEJ221" s="1"/>
      <c r="BEK221" s="1"/>
      <c r="BEL221" s="1"/>
      <c r="BEM221" s="1"/>
      <c r="BEN221" s="1"/>
      <c r="BEO221" s="1"/>
      <c r="BEP221" s="1"/>
      <c r="BEQ221" s="1"/>
      <c r="BER221" s="1"/>
      <c r="BES221" s="1"/>
      <c r="BET221" s="1"/>
      <c r="BEU221" s="1"/>
      <c r="BEV221" s="1"/>
      <c r="BEW221" s="1"/>
      <c r="BEX221" s="1"/>
      <c r="BEY221" s="1"/>
      <c r="BEZ221" s="1"/>
      <c r="BFA221" s="1"/>
      <c r="BFB221" s="1"/>
      <c r="BFC221" s="1"/>
      <c r="BFD221" s="1"/>
      <c r="BFE221" s="1"/>
      <c r="BFF221" s="1"/>
      <c r="BFG221" s="1"/>
      <c r="BFH221" s="1"/>
      <c r="BFI221" s="1"/>
      <c r="BFJ221" s="1"/>
      <c r="BFK221" s="1"/>
      <c r="BFL221" s="1"/>
      <c r="BFM221" s="1"/>
      <c r="BFN221" s="1"/>
      <c r="BFO221" s="1"/>
      <c r="BFP221" s="1"/>
      <c r="BFQ221" s="1"/>
      <c r="BFR221" s="1"/>
      <c r="BFS221" s="1"/>
      <c r="BFT221" s="1"/>
      <c r="BFU221" s="1"/>
      <c r="BFV221" s="1"/>
      <c r="BFW221" s="1"/>
      <c r="BFX221" s="1"/>
      <c r="BFY221" s="1"/>
      <c r="BFZ221" s="1"/>
      <c r="BGA221" s="1"/>
      <c r="BGB221" s="1"/>
      <c r="BGC221" s="1"/>
      <c r="BGD221" s="1"/>
      <c r="BGE221" s="1"/>
      <c r="BGF221" s="1"/>
      <c r="BGG221" s="1"/>
      <c r="BGH221" s="1"/>
      <c r="BGI221" s="1"/>
      <c r="BGJ221" s="1"/>
      <c r="BGK221" s="1"/>
      <c r="BGL221" s="1"/>
      <c r="BGM221" s="1"/>
      <c r="BGN221" s="1"/>
      <c r="BGO221" s="1"/>
      <c r="BGP221" s="1"/>
      <c r="BGQ221" s="1"/>
      <c r="BGR221" s="1"/>
      <c r="BGS221" s="1"/>
      <c r="BGT221" s="1"/>
      <c r="BGU221" s="1"/>
      <c r="BGV221" s="1"/>
      <c r="BGW221" s="1"/>
      <c r="BGX221" s="1"/>
      <c r="BGY221" s="1"/>
      <c r="BGZ221" s="1"/>
      <c r="BHA221" s="1"/>
      <c r="BHB221" s="1"/>
      <c r="BHC221" s="1"/>
      <c r="BHD221" s="1"/>
      <c r="BHE221" s="1"/>
      <c r="BHF221" s="1"/>
      <c r="BHG221" s="1"/>
      <c r="BHH221" s="1"/>
      <c r="BHI221" s="1"/>
      <c r="BHJ221" s="1"/>
      <c r="BHK221" s="1"/>
      <c r="BHL221" s="1"/>
      <c r="BHM221" s="1"/>
      <c r="BHN221" s="1"/>
      <c r="BHO221" s="1"/>
      <c r="BHP221" s="1"/>
      <c r="BHQ221" s="1"/>
      <c r="BHR221" s="1"/>
      <c r="BHS221" s="1"/>
      <c r="BHT221" s="1"/>
      <c r="BHU221" s="1"/>
      <c r="BHV221" s="1"/>
      <c r="BHW221" s="1"/>
      <c r="BHX221" s="1"/>
      <c r="BHY221" s="1"/>
      <c r="BHZ221" s="1"/>
      <c r="BIA221" s="1"/>
      <c r="BIB221" s="1"/>
      <c r="BIC221" s="1"/>
      <c r="BID221" s="1"/>
      <c r="BIE221" s="1"/>
      <c r="BIF221" s="1"/>
      <c r="BIG221" s="1"/>
      <c r="BIH221" s="1"/>
      <c r="BII221" s="1"/>
      <c r="BIJ221" s="1"/>
      <c r="BIK221" s="1"/>
      <c r="BIL221" s="1"/>
      <c r="BIM221" s="1"/>
      <c r="BIN221" s="1"/>
      <c r="BIO221" s="1"/>
      <c r="BIP221" s="1"/>
      <c r="BIQ221" s="1"/>
      <c r="BIR221" s="1"/>
      <c r="BIS221" s="1"/>
      <c r="BIT221" s="1"/>
      <c r="BIU221" s="1"/>
      <c r="BIV221" s="1"/>
      <c r="BIW221" s="1"/>
      <c r="BIX221" s="1"/>
      <c r="BIY221" s="1"/>
      <c r="BIZ221" s="1"/>
      <c r="BJA221" s="1"/>
      <c r="BJB221" s="1"/>
      <c r="BJC221" s="1"/>
      <c r="BJD221" s="1"/>
      <c r="BJE221" s="1"/>
      <c r="BJF221" s="1"/>
      <c r="BJG221" s="1"/>
      <c r="BJH221" s="1"/>
      <c r="BJI221" s="1"/>
      <c r="BJJ221" s="1"/>
      <c r="BJK221" s="1"/>
      <c r="BJL221" s="1"/>
      <c r="BJM221" s="1"/>
      <c r="BJN221" s="1"/>
      <c r="BJO221" s="1"/>
      <c r="BJP221" s="1"/>
      <c r="BJQ221" s="1"/>
      <c r="BJR221" s="1"/>
      <c r="BJS221" s="1"/>
      <c r="BJT221" s="1"/>
      <c r="BJU221" s="1"/>
      <c r="BJV221" s="1"/>
      <c r="BJW221" s="1"/>
      <c r="BJX221" s="1"/>
      <c r="BJY221" s="1"/>
      <c r="BJZ221" s="1"/>
      <c r="BKA221" s="1"/>
      <c r="BKB221" s="1"/>
      <c r="BKC221" s="1"/>
      <c r="BKD221" s="1"/>
      <c r="BKE221" s="1"/>
      <c r="BKF221" s="1"/>
      <c r="BKG221" s="1"/>
      <c r="BKH221" s="1"/>
      <c r="BKI221" s="1"/>
      <c r="BKJ221" s="1"/>
      <c r="BKK221" s="1"/>
      <c r="BKL221" s="1"/>
      <c r="BKM221" s="1"/>
      <c r="BKN221" s="1"/>
      <c r="BKO221" s="1"/>
      <c r="BKP221" s="1"/>
      <c r="BKQ221" s="1"/>
      <c r="BKR221" s="1"/>
      <c r="BKS221" s="1"/>
      <c r="BKT221" s="1"/>
      <c r="BKU221" s="1"/>
      <c r="BKV221" s="1"/>
      <c r="BKW221" s="1"/>
      <c r="BKX221" s="1"/>
      <c r="BKY221" s="1"/>
      <c r="BKZ221" s="1"/>
      <c r="BLA221" s="1"/>
      <c r="BLB221" s="1"/>
      <c r="BLC221" s="1"/>
      <c r="BLD221" s="1"/>
      <c r="BLE221" s="1"/>
      <c r="BLF221" s="1"/>
      <c r="BLG221" s="1"/>
      <c r="BLH221" s="1"/>
      <c r="BLI221" s="1"/>
      <c r="BLJ221" s="1"/>
      <c r="BLK221" s="1"/>
      <c r="BLL221" s="1"/>
      <c r="BLM221" s="1"/>
      <c r="BLN221" s="1"/>
      <c r="BLO221" s="1"/>
      <c r="BLP221" s="1"/>
      <c r="BLQ221" s="1"/>
      <c r="BLR221" s="1"/>
      <c r="BLS221" s="1"/>
      <c r="BLT221" s="1"/>
      <c r="BLU221" s="1"/>
      <c r="BLV221" s="1"/>
      <c r="BLW221" s="1"/>
      <c r="BLX221" s="1"/>
      <c r="BLY221" s="1"/>
      <c r="BLZ221" s="1"/>
      <c r="BMA221" s="1"/>
      <c r="BMB221" s="1"/>
      <c r="BMC221" s="1"/>
      <c r="BMD221" s="1"/>
      <c r="BME221" s="1"/>
      <c r="BMF221" s="1"/>
      <c r="BMG221" s="1"/>
      <c r="BMH221" s="1"/>
      <c r="BMI221" s="1"/>
      <c r="BMJ221" s="1"/>
      <c r="BMK221" s="1"/>
      <c r="BML221" s="1"/>
      <c r="BMM221" s="1"/>
      <c r="BMN221" s="1"/>
      <c r="BMO221" s="1"/>
      <c r="BMP221" s="1"/>
      <c r="BMQ221" s="1"/>
      <c r="BMR221" s="1"/>
      <c r="BMS221" s="1"/>
      <c r="BMT221" s="1"/>
      <c r="BMU221" s="1"/>
      <c r="BMV221" s="1"/>
      <c r="BMW221" s="1"/>
      <c r="BMX221" s="1"/>
      <c r="BMY221" s="1"/>
      <c r="BMZ221" s="1"/>
      <c r="BNA221" s="1"/>
      <c r="BNB221" s="1"/>
      <c r="BNC221" s="1"/>
      <c r="BND221" s="1"/>
      <c r="BNE221" s="1"/>
      <c r="BNF221" s="1"/>
      <c r="BNG221" s="1"/>
      <c r="BNH221" s="1"/>
      <c r="BNI221" s="1"/>
      <c r="BNJ221" s="1"/>
      <c r="BNK221" s="1"/>
      <c r="BNL221" s="1"/>
      <c r="BNM221" s="1"/>
      <c r="BNN221" s="1"/>
      <c r="BNO221" s="1"/>
      <c r="BNP221" s="1"/>
      <c r="BNQ221" s="1"/>
      <c r="BNR221" s="1"/>
      <c r="BNS221" s="1"/>
      <c r="BNT221" s="1"/>
      <c r="BNU221" s="1"/>
      <c r="BNV221" s="1"/>
      <c r="BNW221" s="1"/>
      <c r="BNX221" s="1"/>
      <c r="BNY221" s="1"/>
      <c r="BNZ221" s="1"/>
      <c r="BOA221" s="1"/>
      <c r="BOB221" s="1"/>
      <c r="BOC221" s="1"/>
      <c r="BOD221" s="1"/>
      <c r="BOE221" s="1"/>
      <c r="BOF221" s="1"/>
      <c r="BOG221" s="1"/>
      <c r="BOH221" s="1"/>
      <c r="BOI221" s="1"/>
      <c r="BOJ221" s="1"/>
      <c r="BOK221" s="1"/>
      <c r="BOL221" s="1"/>
      <c r="BOM221" s="1"/>
      <c r="BON221" s="1"/>
      <c r="BOO221" s="1"/>
      <c r="BOP221" s="1"/>
      <c r="BOQ221" s="1"/>
      <c r="BOR221" s="1"/>
      <c r="BOS221" s="1"/>
      <c r="BOT221" s="1"/>
      <c r="BOU221" s="1"/>
      <c r="BOV221" s="1"/>
      <c r="BOW221" s="1"/>
      <c r="BOX221" s="1"/>
      <c r="BOY221" s="1"/>
      <c r="BOZ221" s="1"/>
      <c r="BPA221" s="1"/>
      <c r="BPB221" s="1"/>
      <c r="BPC221" s="1"/>
      <c r="BPD221" s="1"/>
      <c r="BPE221" s="1"/>
      <c r="BPF221" s="1"/>
      <c r="BPG221" s="1"/>
      <c r="BPH221" s="1"/>
      <c r="BPI221" s="1"/>
      <c r="BPJ221" s="1"/>
      <c r="BPK221" s="1"/>
      <c r="BPL221" s="1"/>
      <c r="BPM221" s="1"/>
      <c r="BPN221" s="1"/>
      <c r="BPO221" s="1"/>
      <c r="BPP221" s="1"/>
      <c r="BPQ221" s="1"/>
      <c r="BPR221" s="1"/>
      <c r="BPS221" s="1"/>
      <c r="BPT221" s="1"/>
      <c r="BPU221" s="1"/>
      <c r="BPV221" s="1"/>
      <c r="BPW221" s="1"/>
      <c r="BPX221" s="1"/>
      <c r="BPY221" s="1"/>
      <c r="BPZ221" s="1"/>
      <c r="BQA221" s="1"/>
      <c r="BQB221" s="1"/>
      <c r="BQC221" s="1"/>
      <c r="BQD221" s="1"/>
      <c r="BQE221" s="1"/>
      <c r="BQF221" s="1"/>
      <c r="BQG221" s="1"/>
      <c r="BQH221" s="1"/>
      <c r="BQI221" s="1"/>
      <c r="BQJ221" s="1"/>
      <c r="BQK221" s="1"/>
      <c r="BQL221" s="1"/>
      <c r="BQM221" s="1"/>
      <c r="BQN221" s="1"/>
      <c r="BQO221" s="1"/>
      <c r="BQP221" s="1"/>
      <c r="BQQ221" s="1"/>
      <c r="BQR221" s="1"/>
      <c r="BQS221" s="1"/>
      <c r="BQT221" s="1"/>
      <c r="BQU221" s="1"/>
      <c r="BQV221" s="1"/>
      <c r="BQW221" s="1"/>
      <c r="BQX221" s="1"/>
      <c r="BQY221" s="1"/>
      <c r="BQZ221" s="1"/>
      <c r="BRA221" s="1"/>
      <c r="BRB221" s="1"/>
      <c r="BRC221" s="1"/>
      <c r="BRD221" s="1"/>
      <c r="BRE221" s="1"/>
      <c r="BRF221" s="1"/>
      <c r="BRG221" s="1"/>
      <c r="BRH221" s="1"/>
      <c r="BRI221" s="1"/>
      <c r="BRJ221" s="1"/>
      <c r="BRK221" s="1"/>
      <c r="BRL221" s="1"/>
      <c r="BRM221" s="1"/>
      <c r="BRN221" s="1"/>
      <c r="BRO221" s="1"/>
      <c r="BRP221" s="1"/>
      <c r="BRQ221" s="1"/>
      <c r="BRR221" s="1"/>
      <c r="BRS221" s="1"/>
      <c r="BRT221" s="1"/>
      <c r="BRU221" s="1"/>
      <c r="BRV221" s="1"/>
      <c r="BRW221" s="1"/>
      <c r="BRX221" s="1"/>
      <c r="BRY221" s="1"/>
      <c r="BRZ221" s="1"/>
      <c r="BSA221" s="1"/>
      <c r="BSB221" s="1"/>
      <c r="BSC221" s="1"/>
      <c r="BSD221" s="1"/>
      <c r="BSE221" s="1"/>
      <c r="BSF221" s="1"/>
      <c r="BSG221" s="1"/>
      <c r="BSH221" s="1"/>
      <c r="BSI221" s="1"/>
      <c r="BSJ221" s="1"/>
      <c r="BSK221" s="1"/>
      <c r="BSL221" s="1"/>
      <c r="BSM221" s="1"/>
      <c r="BSN221" s="1"/>
      <c r="BSO221" s="1"/>
      <c r="BSP221" s="1"/>
      <c r="BSQ221" s="1"/>
      <c r="BSR221" s="1"/>
      <c r="BSS221" s="1"/>
      <c r="BST221" s="1"/>
      <c r="BSU221" s="1"/>
      <c r="BSV221" s="1"/>
      <c r="BSW221" s="1"/>
      <c r="BSX221" s="1"/>
      <c r="BSY221" s="1"/>
      <c r="BSZ221" s="1"/>
      <c r="BTA221" s="1"/>
      <c r="BTB221" s="1"/>
      <c r="BTC221" s="1"/>
      <c r="BTD221" s="1"/>
      <c r="BTE221" s="1"/>
      <c r="BTF221" s="1"/>
      <c r="BTG221" s="1"/>
      <c r="BTH221" s="1"/>
      <c r="BTI221" s="1"/>
      <c r="BTJ221" s="1"/>
      <c r="BTK221" s="1"/>
      <c r="BTL221" s="1"/>
      <c r="BTM221" s="1"/>
      <c r="BTN221" s="1"/>
      <c r="BTO221" s="1"/>
      <c r="BTP221" s="1"/>
      <c r="BTQ221" s="1"/>
      <c r="BTR221" s="1"/>
      <c r="BTS221" s="1"/>
      <c r="BTT221" s="1"/>
      <c r="BTU221" s="1"/>
      <c r="BTV221" s="1"/>
      <c r="BTW221" s="1"/>
      <c r="BTX221" s="1"/>
      <c r="BTY221" s="1"/>
      <c r="BTZ221" s="1"/>
      <c r="BUA221" s="1"/>
      <c r="BUB221" s="1"/>
      <c r="BUC221" s="1"/>
      <c r="BUD221" s="1"/>
      <c r="BUE221" s="1"/>
      <c r="BUF221" s="1"/>
      <c r="BUG221" s="1"/>
      <c r="BUH221" s="1"/>
      <c r="BUI221" s="1"/>
      <c r="BUJ221" s="1"/>
      <c r="BUK221" s="1"/>
      <c r="BUL221" s="1"/>
      <c r="BUM221" s="1"/>
      <c r="BUN221" s="1"/>
      <c r="BUO221" s="1"/>
      <c r="BUP221" s="1"/>
      <c r="BUQ221" s="1"/>
      <c r="BUR221" s="1"/>
      <c r="BUS221" s="1"/>
      <c r="BUT221" s="1"/>
      <c r="BUU221" s="1"/>
      <c r="BUV221" s="1"/>
      <c r="BUW221" s="1"/>
      <c r="BUX221" s="1"/>
      <c r="BUY221" s="1"/>
      <c r="BUZ221" s="1"/>
      <c r="BVA221" s="1"/>
      <c r="BVB221" s="1"/>
      <c r="BVC221" s="1"/>
      <c r="BVD221" s="1"/>
      <c r="BVE221" s="1"/>
      <c r="BVF221" s="1"/>
      <c r="BVG221" s="1"/>
      <c r="BVH221" s="1"/>
      <c r="BVI221" s="1"/>
      <c r="BVJ221" s="1"/>
      <c r="BVK221" s="1"/>
      <c r="BVL221" s="1"/>
      <c r="BVM221" s="1"/>
      <c r="BVN221" s="1"/>
      <c r="BVO221" s="1"/>
      <c r="BVP221" s="1"/>
      <c r="BVQ221" s="1"/>
      <c r="BVR221" s="1"/>
      <c r="BVS221" s="1"/>
      <c r="BVT221" s="1"/>
      <c r="BVU221" s="1"/>
      <c r="BVV221" s="1"/>
      <c r="BVW221" s="1"/>
      <c r="BVX221" s="1"/>
      <c r="BVY221" s="1"/>
      <c r="BVZ221" s="1"/>
      <c r="BWA221" s="1"/>
      <c r="BWB221" s="1"/>
      <c r="BWC221" s="1"/>
      <c r="BWD221" s="1"/>
      <c r="BWE221" s="1"/>
      <c r="BWF221" s="1"/>
      <c r="BWG221" s="1"/>
      <c r="BWH221" s="1"/>
      <c r="BWI221" s="1"/>
      <c r="BWJ221" s="1"/>
      <c r="BWK221" s="1"/>
      <c r="BWL221" s="1"/>
      <c r="BWM221" s="1"/>
      <c r="BWN221" s="1"/>
      <c r="BWO221" s="1"/>
      <c r="BWP221" s="1"/>
      <c r="BWQ221" s="1"/>
      <c r="BWR221" s="1"/>
      <c r="BWS221" s="1"/>
      <c r="BWT221" s="1"/>
      <c r="BWU221" s="1"/>
      <c r="BWV221" s="1"/>
      <c r="BWW221" s="1"/>
      <c r="BWX221" s="1"/>
      <c r="BWY221" s="1"/>
      <c r="BWZ221" s="1"/>
      <c r="BXA221" s="1"/>
      <c r="BXB221" s="1"/>
      <c r="BXC221" s="1"/>
      <c r="BXD221" s="1"/>
      <c r="BXE221" s="1"/>
      <c r="BXF221" s="1"/>
      <c r="BXG221" s="1"/>
      <c r="BXH221" s="1"/>
      <c r="BXI221" s="1"/>
      <c r="BXJ221" s="1"/>
      <c r="BXK221" s="1"/>
      <c r="BXL221" s="1"/>
      <c r="BXM221" s="1"/>
      <c r="BXN221" s="1"/>
      <c r="BXO221" s="1"/>
      <c r="BXP221" s="1"/>
      <c r="BXQ221" s="1"/>
      <c r="BXR221" s="1"/>
      <c r="BXS221" s="1"/>
      <c r="BXT221" s="1"/>
      <c r="BXU221" s="1"/>
      <c r="BXV221" s="1"/>
      <c r="BXW221" s="1"/>
      <c r="BXX221" s="1"/>
      <c r="BXY221" s="1"/>
      <c r="BXZ221" s="1"/>
      <c r="BYA221" s="1"/>
      <c r="BYB221" s="1"/>
      <c r="BYC221" s="1"/>
      <c r="BYD221" s="1"/>
      <c r="BYE221" s="1"/>
      <c r="BYF221" s="1"/>
      <c r="BYG221" s="1"/>
      <c r="BYH221" s="1"/>
      <c r="BYI221" s="1"/>
      <c r="BYJ221" s="1"/>
      <c r="BYK221" s="1"/>
      <c r="BYL221" s="1"/>
      <c r="BYM221" s="1"/>
      <c r="BYN221" s="1"/>
      <c r="BYO221" s="1"/>
      <c r="BYP221" s="1"/>
      <c r="BYQ221" s="1"/>
      <c r="BYR221" s="1"/>
      <c r="BYS221" s="1"/>
      <c r="BYT221" s="1"/>
      <c r="BYU221" s="1"/>
      <c r="BYV221" s="1"/>
      <c r="BYW221" s="1"/>
      <c r="BYX221" s="1"/>
      <c r="BYY221" s="1"/>
      <c r="BYZ221" s="1"/>
      <c r="BZA221" s="1"/>
      <c r="BZB221" s="1"/>
      <c r="BZC221" s="1"/>
      <c r="BZD221" s="1"/>
      <c r="BZE221" s="1"/>
      <c r="BZF221" s="1"/>
      <c r="BZG221" s="1"/>
      <c r="BZH221" s="1"/>
      <c r="BZI221" s="1"/>
      <c r="BZJ221" s="1"/>
      <c r="BZK221" s="1"/>
      <c r="BZL221" s="1"/>
      <c r="BZM221" s="1"/>
      <c r="BZN221" s="1"/>
      <c r="BZO221" s="1"/>
      <c r="BZP221" s="1"/>
      <c r="BZQ221" s="1"/>
      <c r="BZR221" s="1"/>
      <c r="BZS221" s="1"/>
      <c r="BZT221" s="1"/>
      <c r="BZU221" s="1"/>
      <c r="BZV221" s="1"/>
      <c r="BZW221" s="1"/>
      <c r="BZX221" s="1"/>
      <c r="BZY221" s="1"/>
      <c r="BZZ221" s="1"/>
      <c r="CAA221" s="1"/>
      <c r="CAB221" s="1"/>
      <c r="CAC221" s="1"/>
      <c r="CAD221" s="1"/>
      <c r="CAE221" s="1"/>
      <c r="CAF221" s="1"/>
      <c r="CAG221" s="1"/>
      <c r="CAH221" s="1"/>
      <c r="CAI221" s="1"/>
      <c r="CAJ221" s="1"/>
      <c r="CAK221" s="1"/>
      <c r="CAL221" s="1"/>
      <c r="CAM221" s="1"/>
      <c r="CAN221" s="1"/>
      <c r="CAO221" s="1"/>
      <c r="CAP221" s="1"/>
      <c r="CAQ221" s="1"/>
      <c r="CAR221" s="1"/>
      <c r="CAS221" s="1"/>
      <c r="CAT221" s="1"/>
      <c r="CAU221" s="1"/>
      <c r="CAV221" s="1"/>
      <c r="CAW221" s="1"/>
      <c r="CAX221" s="1"/>
      <c r="CAY221" s="1"/>
      <c r="CAZ221" s="1"/>
      <c r="CBA221" s="1"/>
      <c r="CBB221" s="1"/>
      <c r="CBC221" s="1"/>
      <c r="CBD221" s="1"/>
      <c r="CBE221" s="1"/>
      <c r="CBF221" s="1"/>
      <c r="CBG221" s="1"/>
      <c r="CBH221" s="1"/>
      <c r="CBI221" s="1"/>
      <c r="CBJ221" s="1"/>
      <c r="CBK221" s="1"/>
      <c r="CBL221" s="1"/>
      <c r="CBM221" s="1"/>
      <c r="CBN221" s="1"/>
      <c r="CBO221" s="1"/>
      <c r="CBP221" s="1"/>
      <c r="CBQ221" s="1"/>
      <c r="CBR221" s="1"/>
      <c r="CBS221" s="1"/>
      <c r="CBT221" s="1"/>
      <c r="CBU221" s="1"/>
      <c r="CBV221" s="1"/>
      <c r="CBW221" s="1"/>
      <c r="CBX221" s="1"/>
      <c r="CBY221" s="1"/>
      <c r="CBZ221" s="1"/>
      <c r="CCA221" s="1"/>
      <c r="CCB221" s="1"/>
      <c r="CCC221" s="1"/>
      <c r="CCD221" s="1"/>
      <c r="CCE221" s="1"/>
      <c r="CCF221" s="1"/>
      <c r="CCG221" s="1"/>
      <c r="CCH221" s="1"/>
      <c r="CCI221" s="1"/>
      <c r="CCJ221" s="1"/>
      <c r="CCK221" s="1"/>
      <c r="CCL221" s="1"/>
      <c r="CCM221" s="1"/>
      <c r="CCN221" s="1"/>
      <c r="CCO221" s="1"/>
      <c r="CCP221" s="1"/>
      <c r="CCQ221" s="1"/>
      <c r="CCR221" s="1"/>
      <c r="CCS221" s="1"/>
      <c r="CCT221" s="1"/>
      <c r="CCU221" s="1"/>
      <c r="CCV221" s="1"/>
      <c r="CCW221" s="1"/>
      <c r="CCX221" s="1"/>
      <c r="CCY221" s="1"/>
      <c r="CCZ221" s="1"/>
      <c r="CDA221" s="1"/>
      <c r="CDB221" s="1"/>
      <c r="CDC221" s="1"/>
      <c r="CDD221" s="1"/>
      <c r="CDE221" s="1"/>
      <c r="CDF221" s="1"/>
      <c r="CDG221" s="1"/>
      <c r="CDH221" s="1"/>
      <c r="CDI221" s="1"/>
      <c r="CDJ221" s="1"/>
      <c r="CDK221" s="1"/>
      <c r="CDL221" s="1"/>
      <c r="CDM221" s="1"/>
      <c r="CDN221" s="1"/>
      <c r="CDO221" s="1"/>
      <c r="CDP221" s="1"/>
      <c r="CDQ221" s="1"/>
      <c r="CDR221" s="1"/>
      <c r="CDS221" s="1"/>
      <c r="CDT221" s="1"/>
      <c r="CDU221" s="1"/>
      <c r="CDV221" s="1"/>
      <c r="CDW221" s="1"/>
      <c r="CDX221" s="1"/>
      <c r="CDY221" s="1"/>
      <c r="CDZ221" s="1"/>
      <c r="CEA221" s="1"/>
      <c r="CEB221" s="1"/>
      <c r="CEC221" s="1"/>
      <c r="CED221" s="1"/>
      <c r="CEE221" s="1"/>
      <c r="CEF221" s="1"/>
      <c r="CEG221" s="1"/>
      <c r="CEH221" s="1"/>
      <c r="CEI221" s="1"/>
      <c r="CEJ221" s="1"/>
      <c r="CEK221" s="1"/>
      <c r="CEL221" s="1"/>
      <c r="CEM221" s="1"/>
      <c r="CEN221" s="1"/>
      <c r="CEO221" s="1"/>
      <c r="CEP221" s="1"/>
      <c r="CEQ221" s="1"/>
      <c r="CER221" s="1"/>
      <c r="CES221" s="1"/>
      <c r="CET221" s="1"/>
      <c r="CEU221" s="1"/>
      <c r="CEV221" s="1"/>
      <c r="CEW221" s="1"/>
      <c r="CEX221" s="1"/>
      <c r="CEY221" s="1"/>
      <c r="CEZ221" s="1"/>
      <c r="CFA221" s="1"/>
      <c r="CFB221" s="1"/>
      <c r="CFC221" s="1"/>
      <c r="CFD221" s="1"/>
      <c r="CFE221" s="1"/>
      <c r="CFF221" s="1"/>
      <c r="CFG221" s="1"/>
      <c r="CFH221" s="1"/>
      <c r="CFI221" s="1"/>
      <c r="CFJ221" s="1"/>
      <c r="CFK221" s="1"/>
      <c r="CFL221" s="1"/>
      <c r="CFM221" s="1"/>
      <c r="CFN221" s="1"/>
      <c r="CFO221" s="1"/>
      <c r="CFP221" s="1"/>
      <c r="CFQ221" s="1"/>
      <c r="CFR221" s="1"/>
      <c r="CFS221" s="1"/>
      <c r="CFT221" s="1"/>
      <c r="CFU221" s="1"/>
      <c r="CFV221" s="1"/>
      <c r="CFW221" s="1"/>
      <c r="CFX221" s="1"/>
      <c r="CFY221" s="1"/>
      <c r="CFZ221" s="1"/>
      <c r="CGA221" s="1"/>
      <c r="CGB221" s="1"/>
      <c r="CGC221" s="1"/>
      <c r="CGD221" s="1"/>
      <c r="CGE221" s="1"/>
      <c r="CGF221" s="1"/>
      <c r="CGG221" s="1"/>
      <c r="CGH221" s="1"/>
      <c r="CGI221" s="1"/>
      <c r="CGJ221" s="1"/>
      <c r="CGK221" s="1"/>
      <c r="CGL221" s="1"/>
      <c r="CGM221" s="1"/>
      <c r="CGN221" s="1"/>
      <c r="CGO221" s="1"/>
      <c r="CGP221" s="1"/>
      <c r="CGQ221" s="1"/>
      <c r="CGR221" s="1"/>
      <c r="CGS221" s="1"/>
      <c r="CGT221" s="1"/>
      <c r="CGU221" s="1"/>
      <c r="CGV221" s="1"/>
      <c r="CGW221" s="1"/>
      <c r="CGX221" s="1"/>
      <c r="CGY221" s="1"/>
      <c r="CGZ221" s="1"/>
      <c r="CHA221" s="1"/>
      <c r="CHB221" s="1"/>
      <c r="CHC221" s="1"/>
      <c r="CHD221" s="1"/>
      <c r="CHE221" s="1"/>
      <c r="CHF221" s="1"/>
      <c r="CHG221" s="1"/>
      <c r="CHH221" s="1"/>
      <c r="CHI221" s="1"/>
      <c r="CHJ221" s="1"/>
      <c r="CHK221" s="1"/>
      <c r="CHL221" s="1"/>
      <c r="CHM221" s="1"/>
      <c r="CHN221" s="1"/>
      <c r="CHO221" s="1"/>
      <c r="CHP221" s="1"/>
      <c r="CHQ221" s="1"/>
      <c r="CHR221" s="1"/>
      <c r="CHS221" s="1"/>
      <c r="CHT221" s="1"/>
      <c r="CHU221" s="1"/>
      <c r="CHV221" s="1"/>
      <c r="CHW221" s="1"/>
      <c r="CHX221" s="1"/>
      <c r="CHY221" s="1"/>
      <c r="CHZ221" s="1"/>
      <c r="CIA221" s="1"/>
      <c r="CIB221" s="1"/>
      <c r="CIC221" s="1"/>
      <c r="CID221" s="1"/>
      <c r="CIE221" s="1"/>
      <c r="CIF221" s="1"/>
      <c r="CIG221" s="1"/>
      <c r="CIH221" s="1"/>
      <c r="CII221" s="1"/>
      <c r="CIJ221" s="1"/>
      <c r="CIK221" s="1"/>
      <c r="CIL221" s="1"/>
      <c r="CIM221" s="1"/>
      <c r="CIN221" s="1"/>
      <c r="CIO221" s="1"/>
      <c r="CIP221" s="1"/>
      <c r="CIQ221" s="1"/>
      <c r="CIR221" s="1"/>
      <c r="CIS221" s="1"/>
      <c r="CIT221" s="1"/>
      <c r="CIU221" s="1"/>
      <c r="CIV221" s="1"/>
      <c r="CIW221" s="1"/>
      <c r="CIX221" s="1"/>
      <c r="CIY221" s="1"/>
      <c r="CIZ221" s="1"/>
      <c r="CJA221" s="1"/>
      <c r="CJB221" s="1"/>
      <c r="CJC221" s="1"/>
      <c r="CJD221" s="1"/>
      <c r="CJE221" s="1"/>
      <c r="CJF221" s="1"/>
      <c r="CJG221" s="1"/>
      <c r="CJH221" s="1"/>
      <c r="CJI221" s="1"/>
      <c r="CJJ221" s="1"/>
      <c r="CJK221" s="1"/>
      <c r="CJL221" s="1"/>
      <c r="CJM221" s="1"/>
      <c r="CJN221" s="1"/>
      <c r="CJO221" s="1"/>
      <c r="CJP221" s="1"/>
      <c r="CJQ221" s="1"/>
      <c r="CJR221" s="1"/>
      <c r="CJS221" s="1"/>
      <c r="CJT221" s="1"/>
      <c r="CJU221" s="1"/>
      <c r="CJV221" s="1"/>
      <c r="CJW221" s="1"/>
      <c r="CJX221" s="1"/>
      <c r="CJY221" s="1"/>
      <c r="CJZ221" s="1"/>
      <c r="CKA221" s="1"/>
      <c r="CKB221" s="1"/>
      <c r="CKC221" s="1"/>
      <c r="CKD221" s="1"/>
      <c r="CKE221" s="1"/>
      <c r="CKF221" s="1"/>
      <c r="CKG221" s="1"/>
      <c r="CKH221" s="1"/>
      <c r="CKI221" s="1"/>
      <c r="CKJ221" s="1"/>
      <c r="CKK221" s="1"/>
      <c r="CKL221" s="1"/>
      <c r="CKM221" s="1"/>
      <c r="CKN221" s="1"/>
      <c r="CKO221" s="1"/>
      <c r="CKP221" s="1"/>
      <c r="CKQ221" s="1"/>
      <c r="CKR221" s="1"/>
      <c r="CKS221" s="1"/>
      <c r="CKT221" s="1"/>
      <c r="CKU221" s="1"/>
      <c r="CKV221" s="1"/>
      <c r="CKW221" s="1"/>
      <c r="CKX221" s="1"/>
      <c r="CKY221" s="1"/>
      <c r="CKZ221" s="1"/>
      <c r="CLA221" s="1"/>
      <c r="CLB221" s="1"/>
      <c r="CLC221" s="1"/>
      <c r="CLD221" s="1"/>
      <c r="CLE221" s="1"/>
      <c r="CLF221" s="1"/>
      <c r="CLG221" s="1"/>
      <c r="CLH221" s="1"/>
      <c r="CLI221" s="1"/>
      <c r="CLJ221" s="1"/>
      <c r="CLK221" s="1"/>
      <c r="CLL221" s="1"/>
      <c r="CLM221" s="1"/>
      <c r="CLN221" s="1"/>
      <c r="CLO221" s="1"/>
      <c r="CLP221" s="1"/>
      <c r="CLQ221" s="1"/>
      <c r="CLR221" s="1"/>
      <c r="CLS221" s="1"/>
      <c r="CLT221" s="1"/>
      <c r="CLU221" s="1"/>
      <c r="CLV221" s="1"/>
      <c r="CLW221" s="1"/>
      <c r="CLX221" s="1"/>
      <c r="CLY221" s="1"/>
      <c r="CLZ221" s="1"/>
      <c r="CMA221" s="1"/>
      <c r="CMB221" s="1"/>
      <c r="CMC221" s="1"/>
      <c r="CMD221" s="1"/>
      <c r="CME221" s="1"/>
      <c r="CMF221" s="1"/>
      <c r="CMG221" s="1"/>
      <c r="CMH221" s="1"/>
      <c r="CMI221" s="1"/>
      <c r="CMJ221" s="1"/>
      <c r="CMK221" s="1"/>
      <c r="CML221" s="1"/>
      <c r="CMM221" s="1"/>
      <c r="CMN221" s="1"/>
      <c r="CMO221" s="1"/>
      <c r="CMP221" s="1"/>
      <c r="CMQ221" s="1"/>
      <c r="CMR221" s="1"/>
      <c r="CMS221" s="1"/>
      <c r="CMT221" s="1"/>
      <c r="CMU221" s="1"/>
      <c r="CMV221" s="1"/>
      <c r="CMW221" s="1"/>
      <c r="CMX221" s="1"/>
      <c r="CMY221" s="1"/>
      <c r="CMZ221" s="1"/>
      <c r="CNA221" s="1"/>
      <c r="CNB221" s="1"/>
      <c r="CNC221" s="1"/>
      <c r="CND221" s="1"/>
      <c r="CNE221" s="1"/>
      <c r="CNF221" s="1"/>
      <c r="CNG221" s="1"/>
      <c r="CNH221" s="1"/>
      <c r="CNI221" s="1"/>
      <c r="CNJ221" s="1"/>
      <c r="CNK221" s="1"/>
      <c r="CNL221" s="1"/>
      <c r="CNM221" s="1"/>
      <c r="CNN221" s="1"/>
      <c r="CNO221" s="1"/>
      <c r="CNP221" s="1"/>
      <c r="CNQ221" s="1"/>
      <c r="CNR221" s="1"/>
      <c r="CNS221" s="1"/>
      <c r="CNT221" s="1"/>
      <c r="CNU221" s="1"/>
      <c r="CNV221" s="1"/>
      <c r="CNW221" s="1"/>
      <c r="CNX221" s="1"/>
      <c r="CNY221" s="1"/>
      <c r="CNZ221" s="1"/>
      <c r="COA221" s="1"/>
      <c r="COB221" s="1"/>
      <c r="COC221" s="1"/>
      <c r="COD221" s="1"/>
      <c r="COE221" s="1"/>
      <c r="COF221" s="1"/>
      <c r="COG221" s="1"/>
      <c r="COH221" s="1"/>
      <c r="COI221" s="1"/>
      <c r="COJ221" s="1"/>
      <c r="COK221" s="1"/>
      <c r="COL221" s="1"/>
      <c r="COM221" s="1"/>
      <c r="CON221" s="1"/>
      <c r="COO221" s="1"/>
      <c r="COP221" s="1"/>
      <c r="COQ221" s="1"/>
      <c r="COR221" s="1"/>
      <c r="COS221" s="1"/>
      <c r="COT221" s="1"/>
      <c r="COU221" s="1"/>
      <c r="COV221" s="1"/>
      <c r="COW221" s="1"/>
      <c r="COX221" s="1"/>
      <c r="COY221" s="1"/>
      <c r="COZ221" s="1"/>
      <c r="CPA221" s="1"/>
      <c r="CPB221" s="1"/>
      <c r="CPC221" s="1"/>
      <c r="CPD221" s="1"/>
      <c r="CPE221" s="1"/>
      <c r="CPF221" s="1"/>
      <c r="CPG221" s="1"/>
      <c r="CPH221" s="1"/>
      <c r="CPI221" s="1"/>
      <c r="CPJ221" s="1"/>
      <c r="CPK221" s="1"/>
      <c r="CPL221" s="1"/>
      <c r="CPM221" s="1"/>
      <c r="CPN221" s="1"/>
      <c r="CPO221" s="1"/>
      <c r="CPP221" s="1"/>
      <c r="CPQ221" s="1"/>
      <c r="CPR221" s="1"/>
      <c r="CPS221" s="1"/>
      <c r="CPT221" s="1"/>
      <c r="CPU221" s="1"/>
      <c r="CPV221" s="1"/>
      <c r="CPW221" s="1"/>
      <c r="CPX221" s="1"/>
      <c r="CPY221" s="1"/>
      <c r="CPZ221" s="1"/>
      <c r="CQA221" s="1"/>
      <c r="CQB221" s="1"/>
      <c r="CQC221" s="1"/>
      <c r="CQD221" s="1"/>
      <c r="CQE221" s="1"/>
      <c r="CQF221" s="1"/>
      <c r="CQG221" s="1"/>
      <c r="CQH221" s="1"/>
      <c r="CQI221" s="1"/>
      <c r="CQJ221" s="1"/>
      <c r="CQK221" s="1"/>
      <c r="CQL221" s="1"/>
      <c r="CQM221" s="1"/>
      <c r="CQN221" s="1"/>
      <c r="CQO221" s="1"/>
      <c r="CQP221" s="1"/>
      <c r="CQQ221" s="1"/>
      <c r="CQR221" s="1"/>
      <c r="CQS221" s="1"/>
      <c r="CQT221" s="1"/>
      <c r="CQU221" s="1"/>
      <c r="CQV221" s="1"/>
      <c r="CQW221" s="1"/>
      <c r="CQX221" s="1"/>
      <c r="CQY221" s="1"/>
      <c r="CQZ221" s="1"/>
      <c r="CRA221" s="1"/>
      <c r="CRB221" s="1"/>
      <c r="CRC221" s="1"/>
      <c r="CRD221" s="1"/>
      <c r="CRE221" s="1"/>
      <c r="CRF221" s="1"/>
      <c r="CRG221" s="1"/>
      <c r="CRH221" s="1"/>
      <c r="CRI221" s="1"/>
      <c r="CRJ221" s="1"/>
      <c r="CRK221" s="1"/>
      <c r="CRL221" s="1"/>
      <c r="CRM221" s="1"/>
      <c r="CRN221" s="1"/>
      <c r="CRO221" s="1"/>
      <c r="CRP221" s="1"/>
      <c r="CRQ221" s="1"/>
      <c r="CRR221" s="1"/>
      <c r="CRS221" s="1"/>
      <c r="CRT221" s="1"/>
      <c r="CRU221" s="1"/>
      <c r="CRV221" s="1"/>
      <c r="CRW221" s="1"/>
      <c r="CRX221" s="1"/>
      <c r="CRY221" s="1"/>
      <c r="CRZ221" s="1"/>
      <c r="CSA221" s="1"/>
      <c r="CSB221" s="1"/>
      <c r="CSC221" s="1"/>
      <c r="CSD221" s="1"/>
      <c r="CSE221" s="1"/>
      <c r="CSF221" s="1"/>
      <c r="CSG221" s="1"/>
      <c r="CSH221" s="1"/>
      <c r="CSI221" s="1"/>
      <c r="CSJ221" s="1"/>
      <c r="CSK221" s="1"/>
      <c r="CSL221" s="1"/>
      <c r="CSM221" s="1"/>
      <c r="CSN221" s="1"/>
      <c r="CSO221" s="1"/>
      <c r="CSP221" s="1"/>
      <c r="CSQ221" s="1"/>
      <c r="CSR221" s="1"/>
      <c r="CSS221" s="1"/>
      <c r="CST221" s="1"/>
      <c r="CSU221" s="1"/>
      <c r="CSV221" s="1"/>
      <c r="CSW221" s="1"/>
      <c r="CSX221" s="1"/>
      <c r="CSY221" s="1"/>
      <c r="CSZ221" s="1"/>
      <c r="CTA221" s="1"/>
      <c r="CTB221" s="1"/>
      <c r="CTC221" s="1"/>
      <c r="CTD221" s="1"/>
      <c r="CTE221" s="1"/>
      <c r="CTF221" s="1"/>
      <c r="CTG221" s="1"/>
      <c r="CTH221" s="1"/>
      <c r="CTI221" s="1"/>
      <c r="CTJ221" s="1"/>
      <c r="CTK221" s="1"/>
      <c r="CTL221" s="1"/>
      <c r="CTM221" s="1"/>
      <c r="CTN221" s="1"/>
      <c r="CTO221" s="1"/>
      <c r="CTP221" s="1"/>
      <c r="CTQ221" s="1"/>
      <c r="CTR221" s="1"/>
      <c r="CTS221" s="1"/>
      <c r="CTT221" s="1"/>
      <c r="CTU221" s="1"/>
      <c r="CTV221" s="1"/>
      <c r="CTW221" s="1"/>
      <c r="CTX221" s="1"/>
      <c r="CTY221" s="1"/>
      <c r="CTZ221" s="1"/>
      <c r="CUA221" s="1"/>
      <c r="CUB221" s="1"/>
      <c r="CUC221" s="1"/>
      <c r="CUD221" s="1"/>
      <c r="CUE221" s="1"/>
      <c r="CUF221" s="1"/>
      <c r="CUG221" s="1"/>
      <c r="CUH221" s="1"/>
      <c r="CUI221" s="1"/>
      <c r="CUJ221" s="1"/>
      <c r="CUK221" s="1"/>
      <c r="CUL221" s="1"/>
      <c r="CUM221" s="1"/>
      <c r="CUN221" s="1"/>
      <c r="CUO221" s="1"/>
      <c r="CUP221" s="1"/>
      <c r="CUQ221" s="1"/>
      <c r="CUR221" s="1"/>
      <c r="CUS221" s="1"/>
      <c r="CUT221" s="1"/>
      <c r="CUU221" s="1"/>
      <c r="CUV221" s="1"/>
      <c r="CUW221" s="1"/>
      <c r="CUX221" s="1"/>
      <c r="CUY221" s="1"/>
      <c r="CUZ221" s="1"/>
      <c r="CVA221" s="1"/>
      <c r="CVB221" s="1"/>
      <c r="CVC221" s="1"/>
      <c r="CVD221" s="1"/>
      <c r="CVE221" s="1"/>
      <c r="CVF221" s="1"/>
      <c r="CVG221" s="1"/>
      <c r="CVH221" s="1"/>
      <c r="CVI221" s="1"/>
      <c r="CVJ221" s="1"/>
      <c r="CVK221" s="1"/>
      <c r="CVL221" s="1"/>
      <c r="CVM221" s="1"/>
      <c r="CVN221" s="1"/>
      <c r="CVO221" s="1"/>
      <c r="CVP221" s="1"/>
      <c r="CVQ221" s="1"/>
      <c r="CVR221" s="1"/>
      <c r="CVS221" s="1"/>
      <c r="CVT221" s="1"/>
      <c r="CVU221" s="1"/>
      <c r="CVV221" s="1"/>
      <c r="CVW221" s="1"/>
      <c r="CVX221" s="1"/>
      <c r="CVY221" s="1"/>
      <c r="CVZ221" s="1"/>
      <c r="CWA221" s="1"/>
      <c r="CWB221" s="1"/>
      <c r="CWC221" s="1"/>
      <c r="CWD221" s="1"/>
      <c r="CWE221" s="1"/>
      <c r="CWF221" s="1"/>
      <c r="CWG221" s="1"/>
      <c r="CWH221" s="1"/>
      <c r="CWI221" s="1"/>
      <c r="CWJ221" s="1"/>
      <c r="CWK221" s="1"/>
      <c r="CWL221" s="1"/>
      <c r="CWM221" s="1"/>
      <c r="CWN221" s="1"/>
      <c r="CWO221" s="1"/>
      <c r="CWP221" s="1"/>
      <c r="CWQ221" s="1"/>
      <c r="CWR221" s="1"/>
      <c r="CWS221" s="1"/>
      <c r="CWT221" s="1"/>
      <c r="CWU221" s="1"/>
      <c r="CWV221" s="1"/>
      <c r="CWW221" s="1"/>
      <c r="CWX221" s="1"/>
      <c r="CWY221" s="1"/>
      <c r="CWZ221" s="1"/>
      <c r="CXA221" s="1"/>
      <c r="CXB221" s="1"/>
      <c r="CXC221" s="1"/>
      <c r="CXD221" s="1"/>
      <c r="CXE221" s="1"/>
      <c r="CXF221" s="1"/>
      <c r="CXG221" s="1"/>
      <c r="CXH221" s="1"/>
      <c r="CXI221" s="1"/>
      <c r="CXJ221" s="1"/>
      <c r="CXK221" s="1"/>
      <c r="CXL221" s="1"/>
      <c r="CXM221" s="1"/>
      <c r="CXN221" s="1"/>
      <c r="CXO221" s="1"/>
      <c r="CXP221" s="1"/>
      <c r="CXQ221" s="1"/>
      <c r="CXR221" s="1"/>
      <c r="CXS221" s="1"/>
      <c r="CXT221" s="1"/>
      <c r="CXU221" s="1"/>
      <c r="CXV221" s="1"/>
      <c r="CXW221" s="1"/>
      <c r="CXX221" s="1"/>
      <c r="CXY221" s="1"/>
      <c r="CXZ221" s="1"/>
      <c r="CYA221" s="1"/>
      <c r="CYB221" s="1"/>
      <c r="CYC221" s="1"/>
      <c r="CYD221" s="1"/>
      <c r="CYE221" s="1"/>
      <c r="CYF221" s="1"/>
      <c r="CYG221" s="1"/>
      <c r="CYH221" s="1"/>
      <c r="CYI221" s="1"/>
      <c r="CYJ221" s="1"/>
      <c r="CYK221" s="1"/>
      <c r="CYL221" s="1"/>
      <c r="CYM221" s="1"/>
      <c r="CYN221" s="1"/>
      <c r="CYO221" s="1"/>
      <c r="CYP221" s="1"/>
      <c r="CYQ221" s="1"/>
      <c r="CYR221" s="1"/>
      <c r="CYS221" s="1"/>
      <c r="CYT221" s="1"/>
      <c r="CYU221" s="1"/>
      <c r="CYV221" s="1"/>
      <c r="CYW221" s="1"/>
      <c r="CYX221" s="1"/>
      <c r="CYY221" s="1"/>
      <c r="CYZ221" s="1"/>
      <c r="CZA221" s="1"/>
      <c r="CZB221" s="1"/>
      <c r="CZC221" s="1"/>
      <c r="CZD221" s="1"/>
      <c r="CZE221" s="1"/>
      <c r="CZF221" s="1"/>
      <c r="CZG221" s="1"/>
      <c r="CZH221" s="1"/>
      <c r="CZI221" s="1"/>
      <c r="CZJ221" s="1"/>
      <c r="CZK221" s="1"/>
      <c r="CZL221" s="1"/>
      <c r="CZM221" s="1"/>
      <c r="CZN221" s="1"/>
      <c r="CZO221" s="1"/>
      <c r="CZP221" s="1"/>
      <c r="CZQ221" s="1"/>
      <c r="CZR221" s="1"/>
      <c r="CZS221" s="1"/>
      <c r="CZT221" s="1"/>
      <c r="CZU221" s="1"/>
      <c r="CZV221" s="1"/>
      <c r="CZW221" s="1"/>
      <c r="CZX221" s="1"/>
      <c r="CZY221" s="1"/>
      <c r="CZZ221" s="1"/>
      <c r="DAA221" s="1"/>
      <c r="DAB221" s="1"/>
      <c r="DAC221" s="1"/>
      <c r="DAD221" s="1"/>
      <c r="DAE221" s="1"/>
      <c r="DAF221" s="1"/>
      <c r="DAG221" s="1"/>
      <c r="DAH221" s="1"/>
      <c r="DAI221" s="1"/>
      <c r="DAJ221" s="1"/>
      <c r="DAK221" s="1"/>
      <c r="DAL221" s="1"/>
      <c r="DAM221" s="1"/>
      <c r="DAN221" s="1"/>
      <c r="DAO221" s="1"/>
      <c r="DAP221" s="1"/>
      <c r="DAQ221" s="1"/>
      <c r="DAR221" s="1"/>
      <c r="DAS221" s="1"/>
      <c r="DAT221" s="1"/>
      <c r="DAU221" s="1"/>
      <c r="DAV221" s="1"/>
      <c r="DAW221" s="1"/>
      <c r="DAX221" s="1"/>
      <c r="DAY221" s="1"/>
      <c r="DAZ221" s="1"/>
      <c r="DBA221" s="1"/>
      <c r="DBB221" s="1"/>
      <c r="DBC221" s="1"/>
      <c r="DBD221" s="1"/>
      <c r="DBE221" s="1"/>
      <c r="DBF221" s="1"/>
      <c r="DBG221" s="1"/>
      <c r="DBH221" s="1"/>
      <c r="DBI221" s="1"/>
      <c r="DBJ221" s="1"/>
      <c r="DBK221" s="1"/>
      <c r="DBL221" s="1"/>
      <c r="DBM221" s="1"/>
      <c r="DBN221" s="1"/>
      <c r="DBO221" s="1"/>
      <c r="DBP221" s="1"/>
      <c r="DBQ221" s="1"/>
      <c r="DBR221" s="1"/>
      <c r="DBS221" s="1"/>
      <c r="DBT221" s="1"/>
      <c r="DBU221" s="1"/>
      <c r="DBV221" s="1"/>
      <c r="DBW221" s="1"/>
      <c r="DBX221" s="1"/>
      <c r="DBY221" s="1"/>
      <c r="DBZ221" s="1"/>
      <c r="DCA221" s="1"/>
      <c r="DCB221" s="1"/>
      <c r="DCC221" s="1"/>
      <c r="DCD221" s="1"/>
      <c r="DCE221" s="1"/>
      <c r="DCF221" s="1"/>
      <c r="DCG221" s="1"/>
      <c r="DCH221" s="1"/>
      <c r="DCI221" s="1"/>
      <c r="DCJ221" s="1"/>
      <c r="DCK221" s="1"/>
      <c r="DCL221" s="1"/>
      <c r="DCM221" s="1"/>
      <c r="DCN221" s="1"/>
      <c r="DCO221" s="1"/>
      <c r="DCP221" s="1"/>
      <c r="DCQ221" s="1"/>
      <c r="DCR221" s="1"/>
      <c r="DCS221" s="1"/>
      <c r="DCT221" s="1"/>
      <c r="DCU221" s="1"/>
      <c r="DCV221" s="1"/>
      <c r="DCW221" s="1"/>
      <c r="DCX221" s="1"/>
      <c r="DCY221" s="1"/>
      <c r="DCZ221" s="1"/>
      <c r="DDA221" s="1"/>
      <c r="DDB221" s="1"/>
      <c r="DDC221" s="1"/>
      <c r="DDD221" s="1"/>
      <c r="DDE221" s="1"/>
      <c r="DDF221" s="1"/>
      <c r="DDG221" s="1"/>
      <c r="DDH221" s="1"/>
      <c r="DDI221" s="1"/>
      <c r="DDJ221" s="1"/>
      <c r="DDK221" s="1"/>
      <c r="DDL221" s="1"/>
      <c r="DDM221" s="1"/>
      <c r="DDN221" s="1"/>
      <c r="DDO221" s="1"/>
      <c r="DDP221" s="1"/>
      <c r="DDQ221" s="1"/>
      <c r="DDR221" s="1"/>
      <c r="DDS221" s="1"/>
      <c r="DDT221" s="1"/>
      <c r="DDU221" s="1"/>
      <c r="DDV221" s="1"/>
      <c r="DDW221" s="1"/>
      <c r="DDX221" s="1"/>
      <c r="DDY221" s="1"/>
      <c r="DDZ221" s="1"/>
      <c r="DEA221" s="1"/>
      <c r="DEB221" s="1"/>
      <c r="DEC221" s="1"/>
      <c r="DED221" s="1"/>
      <c r="DEE221" s="1"/>
      <c r="DEF221" s="1"/>
      <c r="DEG221" s="1"/>
      <c r="DEH221" s="1"/>
      <c r="DEI221" s="1"/>
      <c r="DEJ221" s="1"/>
      <c r="DEK221" s="1"/>
      <c r="DEL221" s="1"/>
      <c r="DEM221" s="1"/>
      <c r="DEN221" s="1"/>
      <c r="DEO221" s="1"/>
      <c r="DEP221" s="1"/>
      <c r="DEQ221" s="1"/>
      <c r="DER221" s="1"/>
      <c r="DES221" s="1"/>
      <c r="DET221" s="1"/>
      <c r="DEU221" s="1"/>
      <c r="DEV221" s="1"/>
      <c r="DEW221" s="1"/>
      <c r="DEX221" s="1"/>
      <c r="DEY221" s="1"/>
      <c r="DEZ221" s="1"/>
      <c r="DFA221" s="1"/>
      <c r="DFB221" s="1"/>
      <c r="DFC221" s="1"/>
      <c r="DFD221" s="1"/>
      <c r="DFE221" s="1"/>
      <c r="DFF221" s="1"/>
      <c r="DFG221" s="1"/>
      <c r="DFH221" s="1"/>
      <c r="DFI221" s="1"/>
      <c r="DFJ221" s="1"/>
      <c r="DFK221" s="1"/>
      <c r="DFL221" s="1"/>
      <c r="DFM221" s="1"/>
      <c r="DFN221" s="1"/>
      <c r="DFO221" s="1"/>
      <c r="DFP221" s="1"/>
      <c r="DFQ221" s="1"/>
      <c r="DFR221" s="1"/>
      <c r="DFS221" s="1"/>
      <c r="DFT221" s="1"/>
      <c r="DFU221" s="1"/>
      <c r="DFV221" s="1"/>
      <c r="DFW221" s="1"/>
      <c r="DFX221" s="1"/>
      <c r="DFY221" s="1"/>
      <c r="DFZ221" s="1"/>
      <c r="DGA221" s="1"/>
      <c r="DGB221" s="1"/>
      <c r="DGC221" s="1"/>
      <c r="DGD221" s="1"/>
      <c r="DGE221" s="1"/>
      <c r="DGF221" s="1"/>
      <c r="DGG221" s="1"/>
      <c r="DGH221" s="1"/>
      <c r="DGI221" s="1"/>
      <c r="DGJ221" s="1"/>
      <c r="DGK221" s="1"/>
      <c r="DGL221" s="1"/>
      <c r="DGM221" s="1"/>
      <c r="DGN221" s="1"/>
      <c r="DGO221" s="1"/>
      <c r="DGP221" s="1"/>
      <c r="DGQ221" s="1"/>
      <c r="DGR221" s="1"/>
      <c r="DGS221" s="1"/>
      <c r="DGT221" s="1"/>
      <c r="DGU221" s="1"/>
      <c r="DGV221" s="1"/>
      <c r="DGW221" s="1"/>
      <c r="DGX221" s="1"/>
      <c r="DGY221" s="1"/>
      <c r="DGZ221" s="1"/>
      <c r="DHA221" s="1"/>
      <c r="DHB221" s="1"/>
      <c r="DHC221" s="1"/>
      <c r="DHD221" s="1"/>
      <c r="DHE221" s="1"/>
      <c r="DHF221" s="1"/>
      <c r="DHG221" s="1"/>
      <c r="DHH221" s="1"/>
      <c r="DHI221" s="1"/>
      <c r="DHJ221" s="1"/>
      <c r="DHK221" s="1"/>
      <c r="DHL221" s="1"/>
      <c r="DHM221" s="1"/>
      <c r="DHN221" s="1"/>
      <c r="DHO221" s="1"/>
      <c r="DHP221" s="1"/>
      <c r="DHQ221" s="1"/>
      <c r="DHR221" s="1"/>
      <c r="DHS221" s="1"/>
      <c r="DHT221" s="1"/>
      <c r="DHU221" s="1"/>
      <c r="DHV221" s="1"/>
      <c r="DHW221" s="1"/>
      <c r="DHX221" s="1"/>
      <c r="DHY221" s="1"/>
      <c r="DHZ221" s="1"/>
      <c r="DIA221" s="1"/>
      <c r="DIB221" s="1"/>
      <c r="DIC221" s="1"/>
      <c r="DID221" s="1"/>
      <c r="DIE221" s="1"/>
      <c r="DIF221" s="1"/>
      <c r="DIG221" s="1"/>
      <c r="DIH221" s="1"/>
      <c r="DII221" s="1"/>
      <c r="DIJ221" s="1"/>
      <c r="DIK221" s="1"/>
      <c r="DIL221" s="1"/>
      <c r="DIM221" s="1"/>
      <c r="DIN221" s="1"/>
      <c r="DIO221" s="1"/>
      <c r="DIP221" s="1"/>
      <c r="DIQ221" s="1"/>
      <c r="DIR221" s="1"/>
      <c r="DIS221" s="1"/>
      <c r="DIT221" s="1"/>
      <c r="DIU221" s="1"/>
      <c r="DIV221" s="1"/>
      <c r="DIW221" s="1"/>
      <c r="DIX221" s="1"/>
      <c r="DIY221" s="1"/>
      <c r="DIZ221" s="1"/>
      <c r="DJA221" s="1"/>
      <c r="DJB221" s="1"/>
      <c r="DJC221" s="1"/>
      <c r="DJD221" s="1"/>
      <c r="DJE221" s="1"/>
      <c r="DJF221" s="1"/>
      <c r="DJG221" s="1"/>
      <c r="DJH221" s="1"/>
      <c r="DJI221" s="1"/>
      <c r="DJJ221" s="1"/>
      <c r="DJK221" s="1"/>
      <c r="DJL221" s="1"/>
      <c r="DJM221" s="1"/>
      <c r="DJN221" s="1"/>
      <c r="DJO221" s="1"/>
      <c r="DJP221" s="1"/>
      <c r="DJQ221" s="1"/>
      <c r="DJR221" s="1"/>
      <c r="DJS221" s="1"/>
      <c r="DJT221" s="1"/>
      <c r="DJU221" s="1"/>
      <c r="DJV221" s="1"/>
      <c r="DJW221" s="1"/>
      <c r="DJX221" s="1"/>
      <c r="DJY221" s="1"/>
      <c r="DJZ221" s="1"/>
      <c r="DKA221" s="1"/>
      <c r="DKB221" s="1"/>
      <c r="DKC221" s="1"/>
      <c r="DKD221" s="1"/>
      <c r="DKE221" s="1"/>
      <c r="DKF221" s="1"/>
      <c r="DKG221" s="1"/>
      <c r="DKH221" s="1"/>
      <c r="DKI221" s="1"/>
      <c r="DKJ221" s="1"/>
      <c r="DKK221" s="1"/>
      <c r="DKL221" s="1"/>
      <c r="DKM221" s="1"/>
      <c r="DKN221" s="1"/>
      <c r="DKO221" s="1"/>
      <c r="DKP221" s="1"/>
      <c r="DKQ221" s="1"/>
      <c r="DKR221" s="1"/>
      <c r="DKS221" s="1"/>
      <c r="DKT221" s="1"/>
      <c r="DKU221" s="1"/>
      <c r="DKV221" s="1"/>
      <c r="DKW221" s="1"/>
      <c r="DKX221" s="1"/>
      <c r="DKY221" s="1"/>
      <c r="DKZ221" s="1"/>
      <c r="DLA221" s="1"/>
      <c r="DLB221" s="1"/>
      <c r="DLC221" s="1"/>
      <c r="DLD221" s="1"/>
      <c r="DLE221" s="1"/>
      <c r="DLF221" s="1"/>
      <c r="DLG221" s="1"/>
      <c r="DLH221" s="1"/>
      <c r="DLI221" s="1"/>
      <c r="DLJ221" s="1"/>
      <c r="DLK221" s="1"/>
      <c r="DLL221" s="1"/>
      <c r="DLM221" s="1"/>
      <c r="DLN221" s="1"/>
      <c r="DLO221" s="1"/>
      <c r="DLP221" s="1"/>
      <c r="DLQ221" s="1"/>
      <c r="DLR221" s="1"/>
      <c r="DLS221" s="1"/>
      <c r="DLT221" s="1"/>
      <c r="DLU221" s="1"/>
      <c r="DLV221" s="1"/>
      <c r="DLW221" s="1"/>
      <c r="DLX221" s="1"/>
      <c r="DLY221" s="1"/>
      <c r="DLZ221" s="1"/>
      <c r="DMA221" s="1"/>
      <c r="DMB221" s="1"/>
      <c r="DMC221" s="1"/>
      <c r="DMD221" s="1"/>
      <c r="DME221" s="1"/>
      <c r="DMF221" s="1"/>
      <c r="DMG221" s="1"/>
      <c r="DMH221" s="1"/>
      <c r="DMI221" s="1"/>
      <c r="DMJ221" s="1"/>
      <c r="DMK221" s="1"/>
      <c r="DML221" s="1"/>
      <c r="DMM221" s="1"/>
      <c r="DMN221" s="1"/>
      <c r="DMO221" s="1"/>
      <c r="DMP221" s="1"/>
      <c r="DMQ221" s="1"/>
      <c r="DMR221" s="1"/>
      <c r="DMS221" s="1"/>
      <c r="DMT221" s="1"/>
      <c r="DMU221" s="1"/>
      <c r="DMV221" s="1"/>
      <c r="DMW221" s="1"/>
      <c r="DMX221" s="1"/>
      <c r="DMY221" s="1"/>
      <c r="DMZ221" s="1"/>
      <c r="DNA221" s="1"/>
      <c r="DNB221" s="1"/>
      <c r="DNC221" s="1"/>
      <c r="DND221" s="1"/>
      <c r="DNE221" s="1"/>
      <c r="DNF221" s="1"/>
      <c r="DNG221" s="1"/>
      <c r="DNH221" s="1"/>
      <c r="DNI221" s="1"/>
      <c r="DNJ221" s="1"/>
      <c r="DNK221" s="1"/>
      <c r="DNL221" s="1"/>
      <c r="DNM221" s="1"/>
      <c r="DNN221" s="1"/>
      <c r="DNO221" s="1"/>
      <c r="DNP221" s="1"/>
      <c r="DNQ221" s="1"/>
      <c r="DNR221" s="1"/>
      <c r="DNS221" s="1"/>
      <c r="DNT221" s="1"/>
      <c r="DNU221" s="1"/>
      <c r="DNV221" s="1"/>
      <c r="DNW221" s="1"/>
      <c r="DNX221" s="1"/>
      <c r="DNY221" s="1"/>
      <c r="DNZ221" s="1"/>
      <c r="DOA221" s="1"/>
      <c r="DOB221" s="1"/>
      <c r="DOC221" s="1"/>
      <c r="DOD221" s="1"/>
      <c r="DOE221" s="1"/>
      <c r="DOF221" s="1"/>
      <c r="DOG221" s="1"/>
      <c r="DOH221" s="1"/>
      <c r="DOI221" s="1"/>
      <c r="DOJ221" s="1"/>
      <c r="DOK221" s="1"/>
      <c r="DOL221" s="1"/>
      <c r="DOM221" s="1"/>
      <c r="DON221" s="1"/>
      <c r="DOO221" s="1"/>
      <c r="DOP221" s="1"/>
      <c r="DOQ221" s="1"/>
      <c r="DOR221" s="1"/>
      <c r="DOS221" s="1"/>
      <c r="DOT221" s="1"/>
      <c r="DOU221" s="1"/>
      <c r="DOV221" s="1"/>
      <c r="DOW221" s="1"/>
      <c r="DOX221" s="1"/>
      <c r="DOY221" s="1"/>
      <c r="DOZ221" s="1"/>
      <c r="DPA221" s="1"/>
      <c r="DPB221" s="1"/>
      <c r="DPC221" s="1"/>
      <c r="DPD221" s="1"/>
      <c r="DPE221" s="1"/>
      <c r="DPF221" s="1"/>
      <c r="DPG221" s="1"/>
      <c r="DPH221" s="1"/>
      <c r="DPI221" s="1"/>
      <c r="DPJ221" s="1"/>
      <c r="DPK221" s="1"/>
      <c r="DPL221" s="1"/>
      <c r="DPM221" s="1"/>
      <c r="DPN221" s="1"/>
      <c r="DPO221" s="1"/>
      <c r="DPP221" s="1"/>
      <c r="DPQ221" s="1"/>
      <c r="DPR221" s="1"/>
      <c r="DPS221" s="1"/>
      <c r="DPT221" s="1"/>
      <c r="DPU221" s="1"/>
      <c r="DPV221" s="1"/>
      <c r="DPW221" s="1"/>
      <c r="DPX221" s="1"/>
      <c r="DPY221" s="1"/>
      <c r="DPZ221" s="1"/>
      <c r="DQA221" s="1"/>
      <c r="DQB221" s="1"/>
      <c r="DQC221" s="1"/>
      <c r="DQD221" s="1"/>
      <c r="DQE221" s="1"/>
      <c r="DQF221" s="1"/>
      <c r="DQG221" s="1"/>
      <c r="DQH221" s="1"/>
      <c r="DQI221" s="1"/>
      <c r="DQJ221" s="1"/>
      <c r="DQK221" s="1"/>
      <c r="DQL221" s="1"/>
      <c r="DQM221" s="1"/>
      <c r="DQN221" s="1"/>
      <c r="DQO221" s="1"/>
      <c r="DQP221" s="1"/>
      <c r="DQQ221" s="1"/>
      <c r="DQR221" s="1"/>
      <c r="DQS221" s="1"/>
      <c r="DQT221" s="1"/>
      <c r="DQU221" s="1"/>
      <c r="DQV221" s="1"/>
      <c r="DQW221" s="1"/>
      <c r="DQX221" s="1"/>
      <c r="DQY221" s="1"/>
      <c r="DQZ221" s="1"/>
      <c r="DRA221" s="1"/>
      <c r="DRB221" s="1"/>
      <c r="DRC221" s="1"/>
      <c r="DRD221" s="1"/>
      <c r="DRE221" s="1"/>
      <c r="DRF221" s="1"/>
      <c r="DRG221" s="1"/>
      <c r="DRH221" s="1"/>
      <c r="DRI221" s="1"/>
      <c r="DRJ221" s="1"/>
      <c r="DRK221" s="1"/>
      <c r="DRL221" s="1"/>
      <c r="DRM221" s="1"/>
      <c r="DRN221" s="1"/>
      <c r="DRO221" s="1"/>
      <c r="DRP221" s="1"/>
      <c r="DRQ221" s="1"/>
      <c r="DRR221" s="1"/>
      <c r="DRS221" s="1"/>
      <c r="DRT221" s="1"/>
      <c r="DRU221" s="1"/>
      <c r="DRV221" s="1"/>
      <c r="DRW221" s="1"/>
      <c r="DRX221" s="1"/>
      <c r="DRY221" s="1"/>
      <c r="DRZ221" s="1"/>
      <c r="DSA221" s="1"/>
      <c r="DSB221" s="1"/>
      <c r="DSC221" s="1"/>
      <c r="DSD221" s="1"/>
      <c r="DSE221" s="1"/>
      <c r="DSF221" s="1"/>
      <c r="DSG221" s="1"/>
      <c r="DSH221" s="1"/>
      <c r="DSI221" s="1"/>
      <c r="DSJ221" s="1"/>
      <c r="DSK221" s="1"/>
      <c r="DSL221" s="1"/>
      <c r="DSM221" s="1"/>
      <c r="DSN221" s="1"/>
      <c r="DSO221" s="1"/>
      <c r="DSP221" s="1"/>
      <c r="DSQ221" s="1"/>
      <c r="DSR221" s="1"/>
      <c r="DSS221" s="1"/>
      <c r="DST221" s="1"/>
      <c r="DSU221" s="1"/>
      <c r="DSV221" s="1"/>
      <c r="DSW221" s="1"/>
      <c r="DSX221" s="1"/>
      <c r="DSY221" s="1"/>
      <c r="DSZ221" s="1"/>
      <c r="DTA221" s="1"/>
      <c r="DTB221" s="1"/>
      <c r="DTC221" s="1"/>
      <c r="DTD221" s="1"/>
      <c r="DTE221" s="1"/>
      <c r="DTF221" s="1"/>
      <c r="DTG221" s="1"/>
      <c r="DTH221" s="1"/>
      <c r="DTI221" s="1"/>
      <c r="DTJ221" s="1"/>
      <c r="DTK221" s="1"/>
      <c r="DTL221" s="1"/>
      <c r="DTM221" s="1"/>
      <c r="DTN221" s="1"/>
      <c r="DTO221" s="1"/>
      <c r="DTP221" s="1"/>
      <c r="DTQ221" s="1"/>
      <c r="DTR221" s="1"/>
      <c r="DTS221" s="1"/>
      <c r="DTT221" s="1"/>
      <c r="DTU221" s="1"/>
      <c r="DTV221" s="1"/>
      <c r="DTW221" s="1"/>
      <c r="DTX221" s="1"/>
      <c r="DTY221" s="1"/>
      <c r="DTZ221" s="1"/>
      <c r="DUA221" s="1"/>
      <c r="DUB221" s="1"/>
      <c r="DUC221" s="1"/>
      <c r="DUD221" s="1"/>
      <c r="DUE221" s="1"/>
      <c r="DUF221" s="1"/>
      <c r="DUG221" s="1"/>
      <c r="DUH221" s="1"/>
      <c r="DUI221" s="1"/>
      <c r="DUJ221" s="1"/>
      <c r="DUK221" s="1"/>
      <c r="DUL221" s="1"/>
      <c r="DUM221" s="1"/>
      <c r="DUN221" s="1"/>
      <c r="DUO221" s="1"/>
      <c r="DUP221" s="1"/>
      <c r="DUQ221" s="1"/>
      <c r="DUR221" s="1"/>
      <c r="DUS221" s="1"/>
      <c r="DUT221" s="1"/>
      <c r="DUU221" s="1"/>
      <c r="DUV221" s="1"/>
      <c r="DUW221" s="1"/>
      <c r="DUX221" s="1"/>
      <c r="DUY221" s="1"/>
      <c r="DUZ221" s="1"/>
      <c r="DVA221" s="1"/>
      <c r="DVB221" s="1"/>
      <c r="DVC221" s="1"/>
      <c r="DVD221" s="1"/>
      <c r="DVE221" s="1"/>
      <c r="DVF221" s="1"/>
      <c r="DVG221" s="1"/>
      <c r="DVH221" s="1"/>
      <c r="DVI221" s="1"/>
      <c r="DVJ221" s="1"/>
      <c r="DVK221" s="1"/>
      <c r="DVL221" s="1"/>
      <c r="DVM221" s="1"/>
      <c r="DVN221" s="1"/>
      <c r="DVO221" s="1"/>
      <c r="DVP221" s="1"/>
      <c r="DVQ221" s="1"/>
      <c r="DVR221" s="1"/>
      <c r="DVS221" s="1"/>
      <c r="DVT221" s="1"/>
      <c r="DVU221" s="1"/>
      <c r="DVV221" s="1"/>
      <c r="DVW221" s="1"/>
      <c r="DVX221" s="1"/>
      <c r="DVY221" s="1"/>
      <c r="DVZ221" s="1"/>
      <c r="DWA221" s="1"/>
      <c r="DWB221" s="1"/>
      <c r="DWC221" s="1"/>
      <c r="DWD221" s="1"/>
      <c r="DWE221" s="1"/>
      <c r="DWF221" s="1"/>
      <c r="DWG221" s="1"/>
      <c r="DWH221" s="1"/>
      <c r="DWI221" s="1"/>
      <c r="DWJ221" s="1"/>
      <c r="DWK221" s="1"/>
      <c r="DWL221" s="1"/>
      <c r="DWM221" s="1"/>
      <c r="DWN221" s="1"/>
      <c r="DWO221" s="1"/>
      <c r="DWP221" s="1"/>
      <c r="DWQ221" s="1"/>
      <c r="DWR221" s="1"/>
      <c r="DWS221" s="1"/>
      <c r="DWT221" s="1"/>
      <c r="DWU221" s="1"/>
      <c r="DWV221" s="1"/>
      <c r="DWW221" s="1"/>
      <c r="DWX221" s="1"/>
      <c r="DWY221" s="1"/>
      <c r="DWZ221" s="1"/>
      <c r="DXA221" s="1"/>
      <c r="DXB221" s="1"/>
      <c r="DXC221" s="1"/>
      <c r="DXD221" s="1"/>
      <c r="DXE221" s="1"/>
      <c r="DXF221" s="1"/>
      <c r="DXG221" s="1"/>
      <c r="DXH221" s="1"/>
      <c r="DXI221" s="1"/>
      <c r="DXJ221" s="1"/>
      <c r="DXK221" s="1"/>
      <c r="DXL221" s="1"/>
      <c r="DXM221" s="1"/>
      <c r="DXN221" s="1"/>
      <c r="DXO221" s="1"/>
      <c r="DXP221" s="1"/>
      <c r="DXQ221" s="1"/>
      <c r="DXR221" s="1"/>
      <c r="DXS221" s="1"/>
      <c r="DXT221" s="1"/>
      <c r="DXU221" s="1"/>
      <c r="DXV221" s="1"/>
      <c r="DXW221" s="1"/>
      <c r="DXX221" s="1"/>
      <c r="DXY221" s="1"/>
      <c r="DXZ221" s="1"/>
      <c r="DYA221" s="1"/>
      <c r="DYB221" s="1"/>
      <c r="DYC221" s="1"/>
      <c r="DYD221" s="1"/>
      <c r="DYE221" s="1"/>
      <c r="DYF221" s="1"/>
      <c r="DYG221" s="1"/>
      <c r="DYH221" s="1"/>
      <c r="DYI221" s="1"/>
      <c r="DYJ221" s="1"/>
      <c r="DYK221" s="1"/>
      <c r="DYL221" s="1"/>
      <c r="DYM221" s="1"/>
      <c r="DYN221" s="1"/>
      <c r="DYO221" s="1"/>
      <c r="DYP221" s="1"/>
      <c r="DYQ221" s="1"/>
      <c r="DYR221" s="1"/>
      <c r="DYS221" s="1"/>
      <c r="DYT221" s="1"/>
      <c r="DYU221" s="1"/>
      <c r="DYV221" s="1"/>
      <c r="DYW221" s="1"/>
      <c r="DYX221" s="1"/>
      <c r="DYY221" s="1"/>
      <c r="DYZ221" s="1"/>
      <c r="DZA221" s="1"/>
      <c r="DZB221" s="1"/>
      <c r="DZC221" s="1"/>
      <c r="DZD221" s="1"/>
      <c r="DZE221" s="1"/>
      <c r="DZF221" s="1"/>
      <c r="DZG221" s="1"/>
      <c r="DZH221" s="1"/>
      <c r="DZI221" s="1"/>
      <c r="DZJ221" s="1"/>
      <c r="DZK221" s="1"/>
      <c r="DZL221" s="1"/>
      <c r="DZM221" s="1"/>
      <c r="DZN221" s="1"/>
      <c r="DZO221" s="1"/>
      <c r="DZP221" s="1"/>
      <c r="DZQ221" s="1"/>
      <c r="DZR221" s="1"/>
      <c r="DZS221" s="1"/>
      <c r="DZT221" s="1"/>
      <c r="DZU221" s="1"/>
      <c r="DZV221" s="1"/>
      <c r="DZW221" s="1"/>
      <c r="DZX221" s="1"/>
      <c r="DZY221" s="1"/>
      <c r="DZZ221" s="1"/>
      <c r="EAA221" s="1"/>
      <c r="EAB221" s="1"/>
      <c r="EAC221" s="1"/>
      <c r="EAD221" s="1"/>
      <c r="EAE221" s="1"/>
      <c r="EAF221" s="1"/>
      <c r="EAG221" s="1"/>
      <c r="EAH221" s="1"/>
      <c r="EAI221" s="1"/>
      <c r="EAJ221" s="1"/>
      <c r="EAK221" s="1"/>
      <c r="EAL221" s="1"/>
      <c r="EAM221" s="1"/>
      <c r="EAN221" s="1"/>
      <c r="EAO221" s="1"/>
      <c r="EAP221" s="1"/>
      <c r="EAQ221" s="1"/>
      <c r="EAR221" s="1"/>
      <c r="EAS221" s="1"/>
      <c r="EAT221" s="1"/>
      <c r="EAU221" s="1"/>
      <c r="EAV221" s="1"/>
      <c r="EAW221" s="1"/>
      <c r="EAX221" s="1"/>
      <c r="EAY221" s="1"/>
      <c r="EAZ221" s="1"/>
      <c r="EBA221" s="1"/>
      <c r="EBB221" s="1"/>
      <c r="EBC221" s="1"/>
      <c r="EBD221" s="1"/>
      <c r="EBE221" s="1"/>
      <c r="EBF221" s="1"/>
      <c r="EBG221" s="1"/>
      <c r="EBH221" s="1"/>
      <c r="EBI221" s="1"/>
      <c r="EBJ221" s="1"/>
      <c r="EBK221" s="1"/>
      <c r="EBL221" s="1"/>
      <c r="EBM221" s="1"/>
      <c r="EBN221" s="1"/>
      <c r="EBO221" s="1"/>
      <c r="EBP221" s="1"/>
      <c r="EBQ221" s="1"/>
      <c r="EBR221" s="1"/>
      <c r="EBS221" s="1"/>
      <c r="EBT221" s="1"/>
      <c r="EBU221" s="1"/>
      <c r="EBV221" s="1"/>
      <c r="EBW221" s="1"/>
      <c r="EBX221" s="1"/>
      <c r="EBY221" s="1"/>
      <c r="EBZ221" s="1"/>
      <c r="ECA221" s="1"/>
      <c r="ECB221" s="1"/>
      <c r="ECC221" s="1"/>
      <c r="ECD221" s="1"/>
      <c r="ECE221" s="1"/>
      <c r="ECF221" s="1"/>
      <c r="ECG221" s="1"/>
      <c r="ECH221" s="1"/>
      <c r="ECI221" s="1"/>
      <c r="ECJ221" s="1"/>
      <c r="ECK221" s="1"/>
      <c r="ECL221" s="1"/>
      <c r="ECM221" s="1"/>
      <c r="ECN221" s="1"/>
      <c r="ECO221" s="1"/>
      <c r="ECP221" s="1"/>
      <c r="ECQ221" s="1"/>
      <c r="ECR221" s="1"/>
      <c r="ECS221" s="1"/>
      <c r="ECT221" s="1"/>
      <c r="ECU221" s="1"/>
      <c r="ECV221" s="1"/>
      <c r="ECW221" s="1"/>
      <c r="ECX221" s="1"/>
      <c r="ECY221" s="1"/>
      <c r="ECZ221" s="1"/>
      <c r="EDA221" s="1"/>
      <c r="EDB221" s="1"/>
      <c r="EDC221" s="1"/>
      <c r="EDD221" s="1"/>
      <c r="EDE221" s="1"/>
      <c r="EDF221" s="1"/>
      <c r="EDG221" s="1"/>
      <c r="EDH221" s="1"/>
      <c r="EDI221" s="1"/>
      <c r="EDJ221" s="1"/>
      <c r="EDK221" s="1"/>
      <c r="EDL221" s="1"/>
      <c r="EDM221" s="1"/>
      <c r="EDN221" s="1"/>
      <c r="EDO221" s="1"/>
      <c r="EDP221" s="1"/>
      <c r="EDQ221" s="1"/>
      <c r="EDR221" s="1"/>
      <c r="EDS221" s="1"/>
      <c r="EDT221" s="1"/>
      <c r="EDU221" s="1"/>
      <c r="EDV221" s="1"/>
      <c r="EDW221" s="1"/>
      <c r="EDX221" s="1"/>
      <c r="EDY221" s="1"/>
      <c r="EDZ221" s="1"/>
      <c r="EEA221" s="1"/>
      <c r="EEB221" s="1"/>
      <c r="EEC221" s="1"/>
      <c r="EED221" s="1"/>
      <c r="EEE221" s="1"/>
      <c r="EEF221" s="1"/>
      <c r="EEG221" s="1"/>
      <c r="EEH221" s="1"/>
      <c r="EEI221" s="1"/>
      <c r="EEJ221" s="1"/>
      <c r="EEK221" s="1"/>
      <c r="EEL221" s="1"/>
      <c r="EEM221" s="1"/>
      <c r="EEN221" s="1"/>
      <c r="EEO221" s="1"/>
      <c r="EEP221" s="1"/>
      <c r="EEQ221" s="1"/>
      <c r="EER221" s="1"/>
      <c r="EES221" s="1"/>
      <c r="EET221" s="1"/>
      <c r="EEU221" s="1"/>
      <c r="EEV221" s="1"/>
      <c r="EEW221" s="1"/>
      <c r="EEX221" s="1"/>
      <c r="EEY221" s="1"/>
      <c r="EEZ221" s="1"/>
      <c r="EFA221" s="1"/>
      <c r="EFB221" s="1"/>
      <c r="EFC221" s="1"/>
      <c r="EFD221" s="1"/>
      <c r="EFE221" s="1"/>
      <c r="EFF221" s="1"/>
      <c r="EFG221" s="1"/>
      <c r="EFH221" s="1"/>
      <c r="EFI221" s="1"/>
      <c r="EFJ221" s="1"/>
      <c r="EFK221" s="1"/>
      <c r="EFL221" s="1"/>
      <c r="EFM221" s="1"/>
      <c r="EFN221" s="1"/>
      <c r="EFO221" s="1"/>
      <c r="EFP221" s="1"/>
      <c r="EFQ221" s="1"/>
      <c r="EFR221" s="1"/>
      <c r="EFS221" s="1"/>
      <c r="EFT221" s="1"/>
      <c r="EFU221" s="1"/>
      <c r="EFV221" s="1"/>
      <c r="EFW221" s="1"/>
      <c r="EFX221" s="1"/>
      <c r="EFY221" s="1"/>
      <c r="EFZ221" s="1"/>
      <c r="EGA221" s="1"/>
      <c r="EGB221" s="1"/>
      <c r="EGC221" s="1"/>
      <c r="EGD221" s="1"/>
      <c r="EGE221" s="1"/>
      <c r="EGF221" s="1"/>
      <c r="EGG221" s="1"/>
      <c r="EGH221" s="1"/>
      <c r="EGI221" s="1"/>
      <c r="EGJ221" s="1"/>
      <c r="EGK221" s="1"/>
      <c r="EGL221" s="1"/>
      <c r="EGM221" s="1"/>
      <c r="EGN221" s="1"/>
      <c r="EGO221" s="1"/>
      <c r="EGP221" s="1"/>
      <c r="EGQ221" s="1"/>
      <c r="EGR221" s="1"/>
      <c r="EGS221" s="1"/>
      <c r="EGT221" s="1"/>
      <c r="EGU221" s="1"/>
      <c r="EGV221" s="1"/>
      <c r="EGW221" s="1"/>
      <c r="EGX221" s="1"/>
      <c r="EGY221" s="1"/>
      <c r="EGZ221" s="1"/>
      <c r="EHA221" s="1"/>
      <c r="EHB221" s="1"/>
      <c r="EHC221" s="1"/>
      <c r="EHD221" s="1"/>
      <c r="EHE221" s="1"/>
      <c r="EHF221" s="1"/>
      <c r="EHG221" s="1"/>
      <c r="EHH221" s="1"/>
      <c r="EHI221" s="1"/>
      <c r="EHJ221" s="1"/>
      <c r="EHK221" s="1"/>
      <c r="EHL221" s="1"/>
      <c r="EHM221" s="1"/>
      <c r="EHN221" s="1"/>
      <c r="EHO221" s="1"/>
      <c r="EHP221" s="1"/>
      <c r="EHQ221" s="1"/>
      <c r="EHR221" s="1"/>
      <c r="EHS221" s="1"/>
      <c r="EHT221" s="1"/>
      <c r="EHU221" s="1"/>
      <c r="EHV221" s="1"/>
      <c r="EHW221" s="1"/>
      <c r="EHX221" s="1"/>
      <c r="EHY221" s="1"/>
      <c r="EHZ221" s="1"/>
      <c r="EIA221" s="1"/>
      <c r="EIB221" s="1"/>
      <c r="EIC221" s="1"/>
      <c r="EID221" s="1"/>
      <c r="EIE221" s="1"/>
      <c r="EIF221" s="1"/>
      <c r="EIG221" s="1"/>
      <c r="EIH221" s="1"/>
      <c r="EII221" s="1"/>
      <c r="EIJ221" s="1"/>
      <c r="EIK221" s="1"/>
      <c r="EIL221" s="1"/>
      <c r="EIM221" s="1"/>
      <c r="EIN221" s="1"/>
      <c r="EIO221" s="1"/>
      <c r="EIP221" s="1"/>
      <c r="EIQ221" s="1"/>
      <c r="EIR221" s="1"/>
      <c r="EIS221" s="1"/>
      <c r="EIT221" s="1"/>
      <c r="EIU221" s="1"/>
      <c r="EIV221" s="1"/>
      <c r="EIW221" s="1"/>
      <c r="EIX221" s="1"/>
      <c r="EIY221" s="1"/>
      <c r="EIZ221" s="1"/>
      <c r="EJA221" s="1"/>
      <c r="EJB221" s="1"/>
      <c r="EJC221" s="1"/>
      <c r="EJD221" s="1"/>
      <c r="EJE221" s="1"/>
      <c r="EJF221" s="1"/>
      <c r="EJG221" s="1"/>
      <c r="EJH221" s="1"/>
      <c r="EJI221" s="1"/>
      <c r="EJJ221" s="1"/>
      <c r="EJK221" s="1"/>
      <c r="EJL221" s="1"/>
      <c r="EJM221" s="1"/>
      <c r="EJN221" s="1"/>
      <c r="EJO221" s="1"/>
      <c r="EJP221" s="1"/>
      <c r="EJQ221" s="1"/>
      <c r="EJR221" s="1"/>
      <c r="EJS221" s="1"/>
      <c r="EJT221" s="1"/>
      <c r="EJU221" s="1"/>
      <c r="EJV221" s="1"/>
      <c r="EJW221" s="1"/>
      <c r="EJX221" s="1"/>
      <c r="EJY221" s="1"/>
      <c r="EJZ221" s="1"/>
      <c r="EKA221" s="1"/>
      <c r="EKB221" s="1"/>
      <c r="EKC221" s="1"/>
      <c r="EKD221" s="1"/>
      <c r="EKE221" s="1"/>
      <c r="EKF221" s="1"/>
      <c r="EKG221" s="1"/>
      <c r="EKH221" s="1"/>
      <c r="EKI221" s="1"/>
      <c r="EKJ221" s="1"/>
      <c r="EKK221" s="1"/>
      <c r="EKL221" s="1"/>
      <c r="EKM221" s="1"/>
      <c r="EKN221" s="1"/>
      <c r="EKO221" s="1"/>
      <c r="EKP221" s="1"/>
      <c r="EKQ221" s="1"/>
      <c r="EKR221" s="1"/>
      <c r="EKS221" s="1"/>
      <c r="EKT221" s="1"/>
      <c r="EKU221" s="1"/>
      <c r="EKV221" s="1"/>
      <c r="EKW221" s="1"/>
      <c r="EKX221" s="1"/>
      <c r="EKY221" s="1"/>
      <c r="EKZ221" s="1"/>
      <c r="ELA221" s="1"/>
      <c r="ELB221" s="1"/>
      <c r="ELC221" s="1"/>
      <c r="ELD221" s="1"/>
      <c r="ELE221" s="1"/>
      <c r="ELF221" s="1"/>
      <c r="ELG221" s="1"/>
      <c r="ELH221" s="1"/>
      <c r="ELI221" s="1"/>
      <c r="ELJ221" s="1"/>
      <c r="ELK221" s="1"/>
      <c r="ELL221" s="1"/>
      <c r="ELM221" s="1"/>
      <c r="ELN221" s="1"/>
      <c r="ELO221" s="1"/>
      <c r="ELP221" s="1"/>
      <c r="ELQ221" s="1"/>
      <c r="ELR221" s="1"/>
      <c r="ELS221" s="1"/>
      <c r="ELT221" s="1"/>
      <c r="ELU221" s="1"/>
      <c r="ELV221" s="1"/>
      <c r="ELW221" s="1"/>
      <c r="ELX221" s="1"/>
      <c r="ELY221" s="1"/>
      <c r="ELZ221" s="1"/>
      <c r="EMA221" s="1"/>
      <c r="EMB221" s="1"/>
      <c r="EMC221" s="1"/>
      <c r="EMD221" s="1"/>
      <c r="EME221" s="1"/>
      <c r="EMF221" s="1"/>
      <c r="EMG221" s="1"/>
      <c r="EMH221" s="1"/>
      <c r="EMI221" s="1"/>
      <c r="EMJ221" s="1"/>
      <c r="EMK221" s="1"/>
      <c r="EML221" s="1"/>
      <c r="EMM221" s="1"/>
      <c r="EMN221" s="1"/>
      <c r="EMO221" s="1"/>
      <c r="EMP221" s="1"/>
      <c r="EMQ221" s="1"/>
      <c r="EMR221" s="1"/>
      <c r="EMS221" s="1"/>
      <c r="EMT221" s="1"/>
      <c r="EMU221" s="1"/>
      <c r="EMV221" s="1"/>
      <c r="EMW221" s="1"/>
      <c r="EMX221" s="1"/>
      <c r="EMY221" s="1"/>
      <c r="EMZ221" s="1"/>
      <c r="ENA221" s="1"/>
      <c r="ENB221" s="1"/>
      <c r="ENC221" s="1"/>
      <c r="END221" s="1"/>
      <c r="ENE221" s="1"/>
      <c r="ENF221" s="1"/>
      <c r="ENG221" s="1"/>
      <c r="ENH221" s="1"/>
      <c r="ENI221" s="1"/>
      <c r="ENJ221" s="1"/>
      <c r="ENK221" s="1"/>
      <c r="ENL221" s="1"/>
      <c r="ENM221" s="1"/>
      <c r="ENN221" s="1"/>
      <c r="ENO221" s="1"/>
      <c r="ENP221" s="1"/>
      <c r="ENQ221" s="1"/>
      <c r="ENR221" s="1"/>
      <c r="ENS221" s="1"/>
      <c r="ENT221" s="1"/>
      <c r="ENU221" s="1"/>
      <c r="ENV221" s="1"/>
      <c r="ENW221" s="1"/>
      <c r="ENX221" s="1"/>
      <c r="ENY221" s="1"/>
      <c r="ENZ221" s="1"/>
      <c r="EOA221" s="1"/>
      <c r="EOB221" s="1"/>
      <c r="EOC221" s="1"/>
      <c r="EOD221" s="1"/>
      <c r="EOE221" s="1"/>
      <c r="EOF221" s="1"/>
      <c r="EOG221" s="1"/>
      <c r="EOH221" s="1"/>
      <c r="EOI221" s="1"/>
      <c r="EOJ221" s="1"/>
      <c r="EOK221" s="1"/>
      <c r="EOL221" s="1"/>
      <c r="EOM221" s="1"/>
      <c r="EON221" s="1"/>
      <c r="EOO221" s="1"/>
      <c r="EOP221" s="1"/>
      <c r="EOQ221" s="1"/>
      <c r="EOR221" s="1"/>
      <c r="EOS221" s="1"/>
      <c r="EOT221" s="1"/>
      <c r="EOU221" s="1"/>
      <c r="EOV221" s="1"/>
      <c r="EOW221" s="1"/>
      <c r="EOX221" s="1"/>
      <c r="EOY221" s="1"/>
      <c r="EOZ221" s="1"/>
      <c r="EPA221" s="1"/>
      <c r="EPB221" s="1"/>
      <c r="EPC221" s="1"/>
      <c r="EPD221" s="1"/>
      <c r="EPE221" s="1"/>
      <c r="EPF221" s="1"/>
      <c r="EPG221" s="1"/>
      <c r="EPH221" s="1"/>
      <c r="EPI221" s="1"/>
      <c r="EPJ221" s="1"/>
      <c r="EPK221" s="1"/>
      <c r="EPL221" s="1"/>
      <c r="EPM221" s="1"/>
      <c r="EPN221" s="1"/>
      <c r="EPO221" s="1"/>
      <c r="EPP221" s="1"/>
      <c r="EPQ221" s="1"/>
      <c r="EPR221" s="1"/>
      <c r="EPS221" s="1"/>
      <c r="EPT221" s="1"/>
      <c r="EPU221" s="1"/>
      <c r="EPV221" s="1"/>
      <c r="EPW221" s="1"/>
      <c r="EPX221" s="1"/>
      <c r="EPY221" s="1"/>
      <c r="EPZ221" s="1"/>
      <c r="EQA221" s="1"/>
      <c r="EQB221" s="1"/>
      <c r="EQC221" s="1"/>
      <c r="EQD221" s="1"/>
      <c r="EQE221" s="1"/>
      <c r="EQF221" s="1"/>
      <c r="EQG221" s="1"/>
      <c r="EQH221" s="1"/>
      <c r="EQI221" s="1"/>
      <c r="EQJ221" s="1"/>
      <c r="EQK221" s="1"/>
      <c r="EQL221" s="1"/>
      <c r="EQM221" s="1"/>
      <c r="EQN221" s="1"/>
      <c r="EQO221" s="1"/>
      <c r="EQP221" s="1"/>
      <c r="EQQ221" s="1"/>
      <c r="EQR221" s="1"/>
      <c r="EQS221" s="1"/>
      <c r="EQT221" s="1"/>
      <c r="EQU221" s="1"/>
      <c r="EQV221" s="1"/>
      <c r="EQW221" s="1"/>
      <c r="EQX221" s="1"/>
      <c r="EQY221" s="1"/>
      <c r="EQZ221" s="1"/>
      <c r="ERA221" s="1"/>
      <c r="ERB221" s="1"/>
      <c r="ERC221" s="1"/>
      <c r="ERD221" s="1"/>
      <c r="ERE221" s="1"/>
      <c r="ERF221" s="1"/>
      <c r="ERG221" s="1"/>
      <c r="ERH221" s="1"/>
      <c r="ERI221" s="1"/>
      <c r="ERJ221" s="1"/>
      <c r="ERK221" s="1"/>
      <c r="ERL221" s="1"/>
      <c r="ERM221" s="1"/>
      <c r="ERN221" s="1"/>
      <c r="ERO221" s="1"/>
      <c r="ERP221" s="1"/>
      <c r="ERQ221" s="1"/>
      <c r="ERR221" s="1"/>
      <c r="ERS221" s="1"/>
      <c r="ERT221" s="1"/>
      <c r="ERU221" s="1"/>
      <c r="ERV221" s="1"/>
      <c r="ERW221" s="1"/>
      <c r="ERX221" s="1"/>
      <c r="ERY221" s="1"/>
      <c r="ERZ221" s="1"/>
      <c r="ESA221" s="1"/>
      <c r="ESB221" s="1"/>
      <c r="ESC221" s="1"/>
      <c r="ESD221" s="1"/>
      <c r="ESE221" s="1"/>
      <c r="ESF221" s="1"/>
      <c r="ESG221" s="1"/>
      <c r="ESH221" s="1"/>
      <c r="ESI221" s="1"/>
      <c r="ESJ221" s="1"/>
      <c r="ESK221" s="1"/>
      <c r="ESL221" s="1"/>
      <c r="ESM221" s="1"/>
      <c r="ESN221" s="1"/>
      <c r="ESO221" s="1"/>
      <c r="ESP221" s="1"/>
      <c r="ESQ221" s="1"/>
      <c r="ESR221" s="1"/>
      <c r="ESS221" s="1"/>
      <c r="EST221" s="1"/>
      <c r="ESU221" s="1"/>
      <c r="ESV221" s="1"/>
      <c r="ESW221" s="1"/>
      <c r="ESX221" s="1"/>
      <c r="ESY221" s="1"/>
      <c r="ESZ221" s="1"/>
      <c r="ETA221" s="1"/>
      <c r="ETB221" s="1"/>
      <c r="ETC221" s="1"/>
      <c r="ETD221" s="1"/>
      <c r="ETE221" s="1"/>
      <c r="ETF221" s="1"/>
      <c r="ETG221" s="1"/>
      <c r="ETH221" s="1"/>
      <c r="ETI221" s="1"/>
      <c r="ETJ221" s="1"/>
      <c r="ETK221" s="1"/>
      <c r="ETL221" s="1"/>
      <c r="ETM221" s="1"/>
      <c r="ETN221" s="1"/>
      <c r="ETO221" s="1"/>
      <c r="ETP221" s="1"/>
      <c r="ETQ221" s="1"/>
      <c r="ETR221" s="1"/>
      <c r="ETS221" s="1"/>
      <c r="ETT221" s="1"/>
      <c r="ETU221" s="1"/>
      <c r="ETV221" s="1"/>
      <c r="ETW221" s="1"/>
      <c r="ETX221" s="1"/>
      <c r="ETY221" s="1"/>
      <c r="ETZ221" s="1"/>
      <c r="EUA221" s="1"/>
      <c r="EUB221" s="1"/>
      <c r="EUC221" s="1"/>
      <c r="EUD221" s="1"/>
      <c r="EUE221" s="1"/>
      <c r="EUF221" s="1"/>
      <c r="EUG221" s="1"/>
      <c r="EUH221" s="1"/>
      <c r="EUI221" s="1"/>
      <c r="EUJ221" s="1"/>
      <c r="EUK221" s="1"/>
      <c r="EUL221" s="1"/>
      <c r="EUM221" s="1"/>
      <c r="EUN221" s="1"/>
      <c r="EUO221" s="1"/>
      <c r="EUP221" s="1"/>
      <c r="EUQ221" s="1"/>
      <c r="EUR221" s="1"/>
      <c r="EUS221" s="1"/>
      <c r="EUT221" s="1"/>
      <c r="EUU221" s="1"/>
      <c r="EUV221" s="1"/>
      <c r="EUW221" s="1"/>
      <c r="EUX221" s="1"/>
      <c r="EUY221" s="1"/>
      <c r="EUZ221" s="1"/>
      <c r="EVA221" s="1"/>
      <c r="EVB221" s="1"/>
      <c r="EVC221" s="1"/>
      <c r="EVD221" s="1"/>
      <c r="EVE221" s="1"/>
      <c r="EVF221" s="1"/>
      <c r="EVG221" s="1"/>
      <c r="EVH221" s="1"/>
      <c r="EVI221" s="1"/>
      <c r="EVJ221" s="1"/>
      <c r="EVK221" s="1"/>
      <c r="EVL221" s="1"/>
      <c r="EVM221" s="1"/>
      <c r="EVN221" s="1"/>
      <c r="EVO221" s="1"/>
      <c r="EVP221" s="1"/>
      <c r="EVQ221" s="1"/>
      <c r="EVR221" s="1"/>
      <c r="EVS221" s="1"/>
      <c r="EVT221" s="1"/>
      <c r="EVU221" s="1"/>
      <c r="EVV221" s="1"/>
      <c r="EVW221" s="1"/>
      <c r="EVX221" s="1"/>
      <c r="EVY221" s="1"/>
      <c r="EVZ221" s="1"/>
      <c r="EWA221" s="1"/>
      <c r="EWB221" s="1"/>
      <c r="EWC221" s="1"/>
      <c r="EWD221" s="1"/>
      <c r="EWE221" s="1"/>
      <c r="EWF221" s="1"/>
      <c r="EWG221" s="1"/>
      <c r="EWH221" s="1"/>
      <c r="EWI221" s="1"/>
      <c r="EWJ221" s="1"/>
      <c r="EWK221" s="1"/>
      <c r="EWL221" s="1"/>
      <c r="EWM221" s="1"/>
      <c r="EWN221" s="1"/>
      <c r="EWO221" s="1"/>
      <c r="EWP221" s="1"/>
      <c r="EWQ221" s="1"/>
      <c r="EWR221" s="1"/>
      <c r="EWS221" s="1"/>
      <c r="EWT221" s="1"/>
      <c r="EWU221" s="1"/>
      <c r="EWV221" s="1"/>
      <c r="EWW221" s="1"/>
      <c r="EWX221" s="1"/>
      <c r="EWY221" s="1"/>
      <c r="EWZ221" s="1"/>
      <c r="EXA221" s="1"/>
      <c r="EXB221" s="1"/>
      <c r="EXC221" s="1"/>
      <c r="EXD221" s="1"/>
      <c r="EXE221" s="1"/>
      <c r="EXF221" s="1"/>
      <c r="EXG221" s="1"/>
      <c r="EXH221" s="1"/>
      <c r="EXI221" s="1"/>
      <c r="EXJ221" s="1"/>
      <c r="EXK221" s="1"/>
      <c r="EXL221" s="1"/>
      <c r="EXM221" s="1"/>
      <c r="EXN221" s="1"/>
      <c r="EXO221" s="1"/>
      <c r="EXP221" s="1"/>
      <c r="EXQ221" s="1"/>
      <c r="EXR221" s="1"/>
      <c r="EXS221" s="1"/>
      <c r="EXT221" s="1"/>
      <c r="EXU221" s="1"/>
      <c r="EXV221" s="1"/>
      <c r="EXW221" s="1"/>
      <c r="EXX221" s="1"/>
      <c r="EXY221" s="1"/>
      <c r="EXZ221" s="1"/>
      <c r="EYA221" s="1"/>
      <c r="EYB221" s="1"/>
      <c r="EYC221" s="1"/>
      <c r="EYD221" s="1"/>
      <c r="EYE221" s="1"/>
      <c r="EYF221" s="1"/>
      <c r="EYG221" s="1"/>
      <c r="EYH221" s="1"/>
      <c r="EYI221" s="1"/>
      <c r="EYJ221" s="1"/>
      <c r="EYK221" s="1"/>
      <c r="EYL221" s="1"/>
      <c r="EYM221" s="1"/>
      <c r="EYN221" s="1"/>
      <c r="EYO221" s="1"/>
      <c r="EYP221" s="1"/>
      <c r="EYQ221" s="1"/>
      <c r="EYR221" s="1"/>
      <c r="EYS221" s="1"/>
      <c r="EYT221" s="1"/>
      <c r="EYU221" s="1"/>
      <c r="EYV221" s="1"/>
      <c r="EYW221" s="1"/>
      <c r="EYX221" s="1"/>
      <c r="EYY221" s="1"/>
      <c r="EYZ221" s="1"/>
      <c r="EZA221" s="1"/>
      <c r="EZB221" s="1"/>
      <c r="EZC221" s="1"/>
      <c r="EZD221" s="1"/>
      <c r="EZE221" s="1"/>
      <c r="EZF221" s="1"/>
      <c r="EZG221" s="1"/>
      <c r="EZH221" s="1"/>
      <c r="EZI221" s="1"/>
      <c r="EZJ221" s="1"/>
      <c r="EZK221" s="1"/>
      <c r="EZL221" s="1"/>
      <c r="EZM221" s="1"/>
      <c r="EZN221" s="1"/>
      <c r="EZO221" s="1"/>
      <c r="EZP221" s="1"/>
      <c r="EZQ221" s="1"/>
      <c r="EZR221" s="1"/>
      <c r="EZS221" s="1"/>
      <c r="EZT221" s="1"/>
      <c r="EZU221" s="1"/>
      <c r="EZV221" s="1"/>
      <c r="EZW221" s="1"/>
      <c r="EZX221" s="1"/>
      <c r="EZY221" s="1"/>
      <c r="EZZ221" s="1"/>
      <c r="FAA221" s="1"/>
      <c r="FAB221" s="1"/>
      <c r="FAC221" s="1"/>
      <c r="FAD221" s="1"/>
      <c r="FAE221" s="1"/>
      <c r="FAF221" s="1"/>
      <c r="FAG221" s="1"/>
      <c r="FAH221" s="1"/>
      <c r="FAI221" s="1"/>
      <c r="FAJ221" s="1"/>
      <c r="FAK221" s="1"/>
      <c r="FAL221" s="1"/>
      <c r="FAM221" s="1"/>
      <c r="FAN221" s="1"/>
      <c r="FAO221" s="1"/>
      <c r="FAP221" s="1"/>
      <c r="FAQ221" s="1"/>
      <c r="FAR221" s="1"/>
      <c r="FAS221" s="1"/>
      <c r="FAT221" s="1"/>
      <c r="FAU221" s="1"/>
      <c r="FAV221" s="1"/>
      <c r="FAW221" s="1"/>
      <c r="FAX221" s="1"/>
      <c r="FAY221" s="1"/>
      <c r="FAZ221" s="1"/>
      <c r="FBA221" s="1"/>
      <c r="FBB221" s="1"/>
      <c r="FBC221" s="1"/>
      <c r="FBD221" s="1"/>
      <c r="FBE221" s="1"/>
      <c r="FBF221" s="1"/>
      <c r="FBG221" s="1"/>
      <c r="FBH221" s="1"/>
      <c r="FBI221" s="1"/>
      <c r="FBJ221" s="1"/>
      <c r="FBK221" s="1"/>
      <c r="FBL221" s="1"/>
      <c r="FBM221" s="1"/>
      <c r="FBN221" s="1"/>
      <c r="FBO221" s="1"/>
      <c r="FBP221" s="1"/>
      <c r="FBQ221" s="1"/>
      <c r="FBR221" s="1"/>
      <c r="FBS221" s="1"/>
      <c r="FBT221" s="1"/>
      <c r="FBU221" s="1"/>
      <c r="FBV221" s="1"/>
      <c r="FBW221" s="1"/>
      <c r="FBX221" s="1"/>
      <c r="FBY221" s="1"/>
      <c r="FBZ221" s="1"/>
      <c r="FCA221" s="1"/>
      <c r="FCB221" s="1"/>
      <c r="FCC221" s="1"/>
      <c r="FCD221" s="1"/>
      <c r="FCE221" s="1"/>
      <c r="FCF221" s="1"/>
      <c r="FCG221" s="1"/>
      <c r="FCH221" s="1"/>
      <c r="FCI221" s="1"/>
      <c r="FCJ221" s="1"/>
      <c r="FCK221" s="1"/>
      <c r="FCL221" s="1"/>
      <c r="FCM221" s="1"/>
      <c r="FCN221" s="1"/>
      <c r="FCO221" s="1"/>
      <c r="FCP221" s="1"/>
      <c r="FCQ221" s="1"/>
      <c r="FCR221" s="1"/>
      <c r="FCS221" s="1"/>
      <c r="FCT221" s="1"/>
      <c r="FCU221" s="1"/>
      <c r="FCV221" s="1"/>
      <c r="FCW221" s="1"/>
      <c r="FCX221" s="1"/>
      <c r="FCY221" s="1"/>
      <c r="FCZ221" s="1"/>
      <c r="FDA221" s="1"/>
      <c r="FDB221" s="1"/>
      <c r="FDC221" s="1"/>
      <c r="FDD221" s="1"/>
      <c r="FDE221" s="1"/>
      <c r="FDF221" s="1"/>
      <c r="FDG221" s="1"/>
      <c r="FDH221" s="1"/>
      <c r="FDI221" s="1"/>
      <c r="FDJ221" s="1"/>
      <c r="FDK221" s="1"/>
      <c r="FDL221" s="1"/>
      <c r="FDM221" s="1"/>
      <c r="FDN221" s="1"/>
      <c r="FDO221" s="1"/>
      <c r="FDP221" s="1"/>
      <c r="FDQ221" s="1"/>
      <c r="FDR221" s="1"/>
      <c r="FDS221" s="1"/>
      <c r="FDT221" s="1"/>
      <c r="FDU221" s="1"/>
      <c r="FDV221" s="1"/>
      <c r="FDW221" s="1"/>
      <c r="FDX221" s="1"/>
      <c r="FDY221" s="1"/>
      <c r="FDZ221" s="1"/>
      <c r="FEA221" s="1"/>
      <c r="FEB221" s="1"/>
      <c r="FEC221" s="1"/>
      <c r="FED221" s="1"/>
      <c r="FEE221" s="1"/>
      <c r="FEF221" s="1"/>
      <c r="FEG221" s="1"/>
      <c r="FEH221" s="1"/>
      <c r="FEI221" s="1"/>
      <c r="FEJ221" s="1"/>
      <c r="FEK221" s="1"/>
      <c r="FEL221" s="1"/>
      <c r="FEM221" s="1"/>
      <c r="FEN221" s="1"/>
      <c r="FEO221" s="1"/>
      <c r="FEP221" s="1"/>
      <c r="FEQ221" s="1"/>
      <c r="FER221" s="1"/>
      <c r="FES221" s="1"/>
      <c r="FET221" s="1"/>
      <c r="FEU221" s="1"/>
      <c r="FEV221" s="1"/>
      <c r="FEW221" s="1"/>
      <c r="FEX221" s="1"/>
      <c r="FEY221" s="1"/>
      <c r="FEZ221" s="1"/>
      <c r="FFA221" s="1"/>
      <c r="FFB221" s="1"/>
      <c r="FFC221" s="1"/>
      <c r="FFD221" s="1"/>
      <c r="FFE221" s="1"/>
      <c r="FFF221" s="1"/>
      <c r="FFG221" s="1"/>
      <c r="FFH221" s="1"/>
      <c r="FFI221" s="1"/>
      <c r="FFJ221" s="1"/>
      <c r="FFK221" s="1"/>
      <c r="FFL221" s="1"/>
      <c r="FFM221" s="1"/>
      <c r="FFN221" s="1"/>
      <c r="FFO221" s="1"/>
      <c r="FFP221" s="1"/>
      <c r="FFQ221" s="1"/>
      <c r="FFR221" s="1"/>
      <c r="FFS221" s="1"/>
      <c r="FFT221" s="1"/>
      <c r="FFU221" s="1"/>
      <c r="FFV221" s="1"/>
      <c r="FFW221" s="1"/>
      <c r="FFX221" s="1"/>
      <c r="FFY221" s="1"/>
      <c r="FFZ221" s="1"/>
      <c r="FGA221" s="1"/>
      <c r="FGB221" s="1"/>
      <c r="FGC221" s="1"/>
      <c r="FGD221" s="1"/>
      <c r="FGE221" s="1"/>
      <c r="FGF221" s="1"/>
      <c r="FGG221" s="1"/>
      <c r="FGH221" s="1"/>
      <c r="FGI221" s="1"/>
      <c r="FGJ221" s="1"/>
      <c r="FGK221" s="1"/>
      <c r="FGL221" s="1"/>
      <c r="FGM221" s="1"/>
      <c r="FGN221" s="1"/>
      <c r="FGO221" s="1"/>
      <c r="FGP221" s="1"/>
      <c r="FGQ221" s="1"/>
      <c r="FGR221" s="1"/>
      <c r="FGS221" s="1"/>
      <c r="FGT221" s="1"/>
      <c r="FGU221" s="1"/>
      <c r="FGV221" s="1"/>
      <c r="FGW221" s="1"/>
      <c r="FGX221" s="1"/>
      <c r="FGY221" s="1"/>
      <c r="FGZ221" s="1"/>
      <c r="FHA221" s="1"/>
      <c r="FHB221" s="1"/>
      <c r="FHC221" s="1"/>
      <c r="FHD221" s="1"/>
      <c r="FHE221" s="1"/>
      <c r="FHF221" s="1"/>
      <c r="FHG221" s="1"/>
      <c r="FHH221" s="1"/>
      <c r="FHI221" s="1"/>
      <c r="FHJ221" s="1"/>
      <c r="FHK221" s="1"/>
      <c r="FHL221" s="1"/>
      <c r="FHM221" s="1"/>
      <c r="FHN221" s="1"/>
      <c r="FHO221" s="1"/>
      <c r="FHP221" s="1"/>
      <c r="FHQ221" s="1"/>
      <c r="FHR221" s="1"/>
      <c r="FHS221" s="1"/>
      <c r="FHT221" s="1"/>
      <c r="FHU221" s="1"/>
      <c r="FHV221" s="1"/>
      <c r="FHW221" s="1"/>
      <c r="FHX221" s="1"/>
      <c r="FHY221" s="1"/>
      <c r="FHZ221" s="1"/>
      <c r="FIA221" s="1"/>
      <c r="FIB221" s="1"/>
      <c r="FIC221" s="1"/>
      <c r="FID221" s="1"/>
      <c r="FIE221" s="1"/>
      <c r="FIF221" s="1"/>
      <c r="FIG221" s="1"/>
      <c r="FIH221" s="1"/>
      <c r="FII221" s="1"/>
      <c r="FIJ221" s="1"/>
      <c r="FIK221" s="1"/>
      <c r="FIL221" s="1"/>
      <c r="FIM221" s="1"/>
      <c r="FIN221" s="1"/>
      <c r="FIO221" s="1"/>
      <c r="FIP221" s="1"/>
      <c r="FIQ221" s="1"/>
      <c r="FIR221" s="1"/>
      <c r="FIS221" s="1"/>
      <c r="FIT221" s="1"/>
      <c r="FIU221" s="1"/>
      <c r="FIV221" s="1"/>
      <c r="FIW221" s="1"/>
      <c r="FIX221" s="1"/>
      <c r="FIY221" s="1"/>
      <c r="FIZ221" s="1"/>
      <c r="FJA221" s="1"/>
      <c r="FJB221" s="1"/>
      <c r="FJC221" s="1"/>
      <c r="FJD221" s="1"/>
      <c r="FJE221" s="1"/>
      <c r="FJF221" s="1"/>
      <c r="FJG221" s="1"/>
      <c r="FJH221" s="1"/>
      <c r="FJI221" s="1"/>
      <c r="FJJ221" s="1"/>
      <c r="FJK221" s="1"/>
      <c r="FJL221" s="1"/>
      <c r="FJM221" s="1"/>
      <c r="FJN221" s="1"/>
      <c r="FJO221" s="1"/>
      <c r="FJP221" s="1"/>
      <c r="FJQ221" s="1"/>
      <c r="FJR221" s="1"/>
      <c r="FJS221" s="1"/>
      <c r="FJT221" s="1"/>
      <c r="FJU221" s="1"/>
      <c r="FJV221" s="1"/>
      <c r="FJW221" s="1"/>
      <c r="FJX221" s="1"/>
      <c r="FJY221" s="1"/>
      <c r="FJZ221" s="1"/>
      <c r="FKA221" s="1"/>
      <c r="FKB221" s="1"/>
      <c r="FKC221" s="1"/>
      <c r="FKD221" s="1"/>
      <c r="FKE221" s="1"/>
      <c r="FKF221" s="1"/>
      <c r="FKG221" s="1"/>
      <c r="FKH221" s="1"/>
      <c r="FKI221" s="1"/>
      <c r="FKJ221" s="1"/>
      <c r="FKK221" s="1"/>
      <c r="FKL221" s="1"/>
      <c r="FKM221" s="1"/>
      <c r="FKN221" s="1"/>
      <c r="FKO221" s="1"/>
      <c r="FKP221" s="1"/>
      <c r="FKQ221" s="1"/>
      <c r="FKR221" s="1"/>
      <c r="FKS221" s="1"/>
      <c r="FKT221" s="1"/>
      <c r="FKU221" s="1"/>
      <c r="FKV221" s="1"/>
      <c r="FKW221" s="1"/>
      <c r="FKX221" s="1"/>
      <c r="FKY221" s="1"/>
      <c r="FKZ221" s="1"/>
      <c r="FLA221" s="1"/>
      <c r="FLB221" s="1"/>
      <c r="FLC221" s="1"/>
      <c r="FLD221" s="1"/>
      <c r="FLE221" s="1"/>
      <c r="FLF221" s="1"/>
      <c r="FLG221" s="1"/>
      <c r="FLH221" s="1"/>
      <c r="FLI221" s="1"/>
      <c r="FLJ221" s="1"/>
      <c r="FLK221" s="1"/>
      <c r="FLL221" s="1"/>
      <c r="FLM221" s="1"/>
      <c r="FLN221" s="1"/>
      <c r="FLO221" s="1"/>
      <c r="FLP221" s="1"/>
      <c r="FLQ221" s="1"/>
      <c r="FLR221" s="1"/>
      <c r="FLS221" s="1"/>
      <c r="FLT221" s="1"/>
      <c r="FLU221" s="1"/>
      <c r="FLV221" s="1"/>
      <c r="FLW221" s="1"/>
      <c r="FLX221" s="1"/>
      <c r="FLY221" s="1"/>
      <c r="FLZ221" s="1"/>
      <c r="FMA221" s="1"/>
      <c r="FMB221" s="1"/>
      <c r="FMC221" s="1"/>
      <c r="FMD221" s="1"/>
      <c r="FME221" s="1"/>
      <c r="FMF221" s="1"/>
      <c r="FMG221" s="1"/>
      <c r="FMH221" s="1"/>
      <c r="FMI221" s="1"/>
      <c r="FMJ221" s="1"/>
      <c r="FMK221" s="1"/>
      <c r="FML221" s="1"/>
      <c r="FMM221" s="1"/>
      <c r="FMN221" s="1"/>
      <c r="FMO221" s="1"/>
      <c r="FMP221" s="1"/>
      <c r="FMQ221" s="1"/>
      <c r="FMR221" s="1"/>
      <c r="FMS221" s="1"/>
      <c r="FMT221" s="1"/>
      <c r="FMU221" s="1"/>
      <c r="FMV221" s="1"/>
      <c r="FMW221" s="1"/>
      <c r="FMX221" s="1"/>
      <c r="FMY221" s="1"/>
      <c r="FMZ221" s="1"/>
      <c r="FNA221" s="1"/>
      <c r="FNB221" s="1"/>
      <c r="FNC221" s="1"/>
      <c r="FND221" s="1"/>
      <c r="FNE221" s="1"/>
      <c r="FNF221" s="1"/>
      <c r="FNG221" s="1"/>
      <c r="FNH221" s="1"/>
      <c r="FNI221" s="1"/>
      <c r="FNJ221" s="1"/>
      <c r="FNK221" s="1"/>
      <c r="FNL221" s="1"/>
      <c r="FNM221" s="1"/>
      <c r="FNN221" s="1"/>
      <c r="FNO221" s="1"/>
      <c r="FNP221" s="1"/>
      <c r="FNQ221" s="1"/>
      <c r="FNR221" s="1"/>
      <c r="FNS221" s="1"/>
      <c r="FNT221" s="1"/>
      <c r="FNU221" s="1"/>
      <c r="FNV221" s="1"/>
      <c r="FNW221" s="1"/>
      <c r="FNX221" s="1"/>
      <c r="FNY221" s="1"/>
      <c r="FNZ221" s="1"/>
      <c r="FOA221" s="1"/>
      <c r="FOB221" s="1"/>
      <c r="FOC221" s="1"/>
      <c r="FOD221" s="1"/>
      <c r="FOE221" s="1"/>
      <c r="FOF221" s="1"/>
      <c r="FOG221" s="1"/>
      <c r="FOH221" s="1"/>
      <c r="FOI221" s="1"/>
      <c r="FOJ221" s="1"/>
      <c r="FOK221" s="1"/>
      <c r="FOL221" s="1"/>
      <c r="FOM221" s="1"/>
      <c r="FON221" s="1"/>
      <c r="FOO221" s="1"/>
      <c r="FOP221" s="1"/>
      <c r="FOQ221" s="1"/>
      <c r="FOR221" s="1"/>
      <c r="FOS221" s="1"/>
      <c r="FOT221" s="1"/>
      <c r="FOU221" s="1"/>
      <c r="FOV221" s="1"/>
      <c r="FOW221" s="1"/>
      <c r="FOX221" s="1"/>
      <c r="FOY221" s="1"/>
      <c r="FOZ221" s="1"/>
      <c r="FPA221" s="1"/>
      <c r="FPB221" s="1"/>
      <c r="FPC221" s="1"/>
      <c r="FPD221" s="1"/>
      <c r="FPE221" s="1"/>
      <c r="FPF221" s="1"/>
      <c r="FPG221" s="1"/>
      <c r="FPH221" s="1"/>
      <c r="FPI221" s="1"/>
      <c r="FPJ221" s="1"/>
      <c r="FPK221" s="1"/>
      <c r="FPL221" s="1"/>
      <c r="FPM221" s="1"/>
      <c r="FPN221" s="1"/>
      <c r="FPO221" s="1"/>
      <c r="FPP221" s="1"/>
      <c r="FPQ221" s="1"/>
      <c r="FPR221" s="1"/>
      <c r="FPS221" s="1"/>
      <c r="FPT221" s="1"/>
      <c r="FPU221" s="1"/>
      <c r="FPV221" s="1"/>
      <c r="FPW221" s="1"/>
      <c r="FPX221" s="1"/>
      <c r="FPY221" s="1"/>
      <c r="FPZ221" s="1"/>
      <c r="FQA221" s="1"/>
      <c r="FQB221" s="1"/>
      <c r="FQC221" s="1"/>
      <c r="FQD221" s="1"/>
      <c r="FQE221" s="1"/>
      <c r="FQF221" s="1"/>
      <c r="FQG221" s="1"/>
      <c r="FQH221" s="1"/>
      <c r="FQI221" s="1"/>
      <c r="FQJ221" s="1"/>
      <c r="FQK221" s="1"/>
      <c r="FQL221" s="1"/>
      <c r="FQM221" s="1"/>
      <c r="FQN221" s="1"/>
      <c r="FQO221" s="1"/>
      <c r="FQP221" s="1"/>
      <c r="FQQ221" s="1"/>
      <c r="FQR221" s="1"/>
      <c r="FQS221" s="1"/>
      <c r="FQT221" s="1"/>
      <c r="FQU221" s="1"/>
      <c r="FQV221" s="1"/>
      <c r="FQW221" s="1"/>
      <c r="FQX221" s="1"/>
      <c r="FQY221" s="1"/>
      <c r="FQZ221" s="1"/>
      <c r="FRA221" s="1"/>
      <c r="FRB221" s="1"/>
      <c r="FRC221" s="1"/>
      <c r="FRD221" s="1"/>
      <c r="FRE221" s="1"/>
      <c r="FRF221" s="1"/>
      <c r="FRG221" s="1"/>
      <c r="FRH221" s="1"/>
      <c r="FRI221" s="1"/>
      <c r="FRJ221" s="1"/>
      <c r="FRK221" s="1"/>
      <c r="FRL221" s="1"/>
      <c r="FRM221" s="1"/>
      <c r="FRN221" s="1"/>
      <c r="FRO221" s="1"/>
      <c r="FRP221" s="1"/>
      <c r="FRQ221" s="1"/>
      <c r="FRR221" s="1"/>
      <c r="FRS221" s="1"/>
      <c r="FRT221" s="1"/>
      <c r="FRU221" s="1"/>
      <c r="FRV221" s="1"/>
      <c r="FRW221" s="1"/>
      <c r="FRX221" s="1"/>
      <c r="FRY221" s="1"/>
      <c r="FRZ221" s="1"/>
      <c r="FSA221" s="1"/>
      <c r="FSB221" s="1"/>
      <c r="FSC221" s="1"/>
      <c r="FSD221" s="1"/>
      <c r="FSE221" s="1"/>
      <c r="FSF221" s="1"/>
      <c r="FSG221" s="1"/>
      <c r="FSH221" s="1"/>
      <c r="FSI221" s="1"/>
      <c r="FSJ221" s="1"/>
      <c r="FSK221" s="1"/>
      <c r="FSL221" s="1"/>
      <c r="FSM221" s="1"/>
      <c r="FSN221" s="1"/>
      <c r="FSO221" s="1"/>
      <c r="FSP221" s="1"/>
      <c r="FSQ221" s="1"/>
      <c r="FSR221" s="1"/>
      <c r="FSS221" s="1"/>
      <c r="FST221" s="1"/>
      <c r="FSU221" s="1"/>
      <c r="FSV221" s="1"/>
      <c r="FSW221" s="1"/>
      <c r="FSX221" s="1"/>
      <c r="FSY221" s="1"/>
      <c r="FSZ221" s="1"/>
      <c r="FTA221" s="1"/>
      <c r="FTB221" s="1"/>
      <c r="FTC221" s="1"/>
      <c r="FTD221" s="1"/>
      <c r="FTE221" s="1"/>
      <c r="FTF221" s="1"/>
      <c r="FTG221" s="1"/>
      <c r="FTH221" s="1"/>
      <c r="FTI221" s="1"/>
      <c r="FTJ221" s="1"/>
      <c r="FTK221" s="1"/>
      <c r="FTL221" s="1"/>
      <c r="FTM221" s="1"/>
      <c r="FTN221" s="1"/>
      <c r="FTO221" s="1"/>
      <c r="FTP221" s="1"/>
      <c r="FTQ221" s="1"/>
      <c r="FTR221" s="1"/>
      <c r="FTS221" s="1"/>
      <c r="FTT221" s="1"/>
      <c r="FTU221" s="1"/>
      <c r="FTV221" s="1"/>
      <c r="FTW221" s="1"/>
      <c r="FTX221" s="1"/>
      <c r="FTY221" s="1"/>
      <c r="FTZ221" s="1"/>
      <c r="FUA221" s="1"/>
      <c r="FUB221" s="1"/>
      <c r="FUC221" s="1"/>
      <c r="FUD221" s="1"/>
      <c r="FUE221" s="1"/>
      <c r="FUF221" s="1"/>
      <c r="FUG221" s="1"/>
      <c r="FUH221" s="1"/>
      <c r="FUI221" s="1"/>
      <c r="FUJ221" s="1"/>
      <c r="FUK221" s="1"/>
      <c r="FUL221" s="1"/>
      <c r="FUM221" s="1"/>
      <c r="FUN221" s="1"/>
      <c r="FUO221" s="1"/>
      <c r="FUP221" s="1"/>
      <c r="FUQ221" s="1"/>
      <c r="FUR221" s="1"/>
      <c r="FUS221" s="1"/>
      <c r="FUT221" s="1"/>
      <c r="FUU221" s="1"/>
      <c r="FUV221" s="1"/>
      <c r="FUW221" s="1"/>
      <c r="FUX221" s="1"/>
      <c r="FUY221" s="1"/>
      <c r="FUZ221" s="1"/>
      <c r="FVA221" s="1"/>
      <c r="FVB221" s="1"/>
      <c r="FVC221" s="1"/>
      <c r="FVD221" s="1"/>
      <c r="FVE221" s="1"/>
      <c r="FVF221" s="1"/>
      <c r="FVG221" s="1"/>
      <c r="FVH221" s="1"/>
      <c r="FVI221" s="1"/>
      <c r="FVJ221" s="1"/>
      <c r="FVK221" s="1"/>
      <c r="FVL221" s="1"/>
      <c r="FVM221" s="1"/>
      <c r="FVN221" s="1"/>
      <c r="FVO221" s="1"/>
      <c r="FVP221" s="1"/>
      <c r="FVQ221" s="1"/>
      <c r="FVR221" s="1"/>
      <c r="FVS221" s="1"/>
      <c r="FVT221" s="1"/>
      <c r="FVU221" s="1"/>
      <c r="FVV221" s="1"/>
      <c r="FVW221" s="1"/>
      <c r="FVX221" s="1"/>
      <c r="FVY221" s="1"/>
      <c r="FVZ221" s="1"/>
      <c r="FWA221" s="1"/>
      <c r="FWB221" s="1"/>
      <c r="FWC221" s="1"/>
      <c r="FWD221" s="1"/>
      <c r="FWE221" s="1"/>
      <c r="FWF221" s="1"/>
      <c r="FWG221" s="1"/>
      <c r="FWH221" s="1"/>
      <c r="FWI221" s="1"/>
      <c r="FWJ221" s="1"/>
      <c r="FWK221" s="1"/>
      <c r="FWL221" s="1"/>
      <c r="FWM221" s="1"/>
      <c r="FWN221" s="1"/>
      <c r="FWO221" s="1"/>
      <c r="FWP221" s="1"/>
      <c r="FWQ221" s="1"/>
      <c r="FWR221" s="1"/>
      <c r="FWS221" s="1"/>
      <c r="FWT221" s="1"/>
      <c r="FWU221" s="1"/>
      <c r="FWV221" s="1"/>
      <c r="FWW221" s="1"/>
      <c r="FWX221" s="1"/>
      <c r="FWY221" s="1"/>
      <c r="FWZ221" s="1"/>
      <c r="FXA221" s="1"/>
      <c r="FXB221" s="1"/>
      <c r="FXC221" s="1"/>
      <c r="FXD221" s="1"/>
      <c r="FXE221" s="1"/>
      <c r="FXF221" s="1"/>
      <c r="FXG221" s="1"/>
      <c r="FXH221" s="1"/>
      <c r="FXI221" s="1"/>
      <c r="FXJ221" s="1"/>
      <c r="FXK221" s="1"/>
      <c r="FXL221" s="1"/>
      <c r="FXM221" s="1"/>
      <c r="FXN221" s="1"/>
      <c r="FXO221" s="1"/>
      <c r="FXP221" s="1"/>
      <c r="FXQ221" s="1"/>
      <c r="FXR221" s="1"/>
      <c r="FXS221" s="1"/>
      <c r="FXT221" s="1"/>
      <c r="FXU221" s="1"/>
      <c r="FXV221" s="1"/>
      <c r="FXW221" s="1"/>
      <c r="FXX221" s="1"/>
      <c r="FXY221" s="1"/>
      <c r="FXZ221" s="1"/>
      <c r="FYA221" s="1"/>
      <c r="FYB221" s="1"/>
      <c r="FYC221" s="1"/>
      <c r="FYD221" s="1"/>
      <c r="FYE221" s="1"/>
      <c r="FYF221" s="1"/>
      <c r="FYG221" s="1"/>
      <c r="FYH221" s="1"/>
      <c r="FYI221" s="1"/>
      <c r="FYJ221" s="1"/>
      <c r="FYK221" s="1"/>
      <c r="FYL221" s="1"/>
      <c r="FYM221" s="1"/>
      <c r="FYN221" s="1"/>
      <c r="FYO221" s="1"/>
      <c r="FYP221" s="1"/>
      <c r="FYQ221" s="1"/>
      <c r="FYR221" s="1"/>
      <c r="FYS221" s="1"/>
      <c r="FYT221" s="1"/>
      <c r="FYU221" s="1"/>
      <c r="FYV221" s="1"/>
      <c r="FYW221" s="1"/>
      <c r="FYX221" s="1"/>
      <c r="FYY221" s="1"/>
      <c r="FYZ221" s="1"/>
      <c r="FZA221" s="1"/>
      <c r="FZB221" s="1"/>
      <c r="FZC221" s="1"/>
      <c r="FZD221" s="1"/>
      <c r="FZE221" s="1"/>
      <c r="FZF221" s="1"/>
      <c r="FZG221" s="1"/>
      <c r="FZH221" s="1"/>
      <c r="FZI221" s="1"/>
      <c r="FZJ221" s="1"/>
      <c r="FZK221" s="1"/>
      <c r="FZL221" s="1"/>
      <c r="FZM221" s="1"/>
      <c r="FZN221" s="1"/>
      <c r="FZO221" s="1"/>
      <c r="FZP221" s="1"/>
      <c r="FZQ221" s="1"/>
      <c r="FZR221" s="1"/>
      <c r="FZS221" s="1"/>
      <c r="FZT221" s="1"/>
      <c r="FZU221" s="1"/>
      <c r="FZV221" s="1"/>
      <c r="FZW221" s="1"/>
      <c r="FZX221" s="1"/>
      <c r="FZY221" s="1"/>
      <c r="FZZ221" s="1"/>
      <c r="GAA221" s="1"/>
      <c r="GAB221" s="1"/>
      <c r="GAC221" s="1"/>
      <c r="GAD221" s="1"/>
      <c r="GAE221" s="1"/>
      <c r="GAF221" s="1"/>
      <c r="GAG221" s="1"/>
      <c r="GAH221" s="1"/>
      <c r="GAI221" s="1"/>
      <c r="GAJ221" s="1"/>
      <c r="GAK221" s="1"/>
      <c r="GAL221" s="1"/>
      <c r="GAM221" s="1"/>
      <c r="GAN221" s="1"/>
      <c r="GAO221" s="1"/>
      <c r="GAP221" s="1"/>
      <c r="GAQ221" s="1"/>
      <c r="GAR221" s="1"/>
      <c r="GAS221" s="1"/>
      <c r="GAT221" s="1"/>
      <c r="GAU221" s="1"/>
      <c r="GAV221" s="1"/>
      <c r="GAW221" s="1"/>
      <c r="GAX221" s="1"/>
      <c r="GAY221" s="1"/>
      <c r="GAZ221" s="1"/>
      <c r="GBA221" s="1"/>
      <c r="GBB221" s="1"/>
      <c r="GBC221" s="1"/>
      <c r="GBD221" s="1"/>
      <c r="GBE221" s="1"/>
      <c r="GBF221" s="1"/>
      <c r="GBG221" s="1"/>
      <c r="GBH221" s="1"/>
      <c r="GBI221" s="1"/>
      <c r="GBJ221" s="1"/>
      <c r="GBK221" s="1"/>
      <c r="GBL221" s="1"/>
      <c r="GBM221" s="1"/>
      <c r="GBN221" s="1"/>
      <c r="GBO221" s="1"/>
      <c r="GBP221" s="1"/>
      <c r="GBQ221" s="1"/>
      <c r="GBR221" s="1"/>
      <c r="GBS221" s="1"/>
      <c r="GBT221" s="1"/>
      <c r="GBU221" s="1"/>
      <c r="GBV221" s="1"/>
      <c r="GBW221" s="1"/>
      <c r="GBX221" s="1"/>
      <c r="GBY221" s="1"/>
      <c r="GBZ221" s="1"/>
      <c r="GCA221" s="1"/>
      <c r="GCB221" s="1"/>
      <c r="GCC221" s="1"/>
      <c r="GCD221" s="1"/>
      <c r="GCE221" s="1"/>
      <c r="GCF221" s="1"/>
      <c r="GCG221" s="1"/>
      <c r="GCH221" s="1"/>
      <c r="GCI221" s="1"/>
      <c r="GCJ221" s="1"/>
      <c r="GCK221" s="1"/>
      <c r="GCL221" s="1"/>
      <c r="GCM221" s="1"/>
      <c r="GCN221" s="1"/>
      <c r="GCO221" s="1"/>
      <c r="GCP221" s="1"/>
      <c r="GCQ221" s="1"/>
      <c r="GCR221" s="1"/>
      <c r="GCS221" s="1"/>
      <c r="GCT221" s="1"/>
      <c r="GCU221" s="1"/>
      <c r="GCV221" s="1"/>
      <c r="GCW221" s="1"/>
      <c r="GCX221" s="1"/>
      <c r="GCY221" s="1"/>
      <c r="GCZ221" s="1"/>
      <c r="GDA221" s="1"/>
      <c r="GDB221" s="1"/>
      <c r="GDC221" s="1"/>
      <c r="GDD221" s="1"/>
      <c r="GDE221" s="1"/>
      <c r="GDF221" s="1"/>
      <c r="GDG221" s="1"/>
      <c r="GDH221" s="1"/>
      <c r="GDI221" s="1"/>
      <c r="GDJ221" s="1"/>
      <c r="GDK221" s="1"/>
      <c r="GDL221" s="1"/>
      <c r="GDM221" s="1"/>
      <c r="GDN221" s="1"/>
      <c r="GDO221" s="1"/>
      <c r="GDP221" s="1"/>
      <c r="GDQ221" s="1"/>
      <c r="GDR221" s="1"/>
      <c r="GDS221" s="1"/>
      <c r="GDT221" s="1"/>
      <c r="GDU221" s="1"/>
      <c r="GDV221" s="1"/>
      <c r="GDW221" s="1"/>
      <c r="GDX221" s="1"/>
      <c r="GDY221" s="1"/>
      <c r="GDZ221" s="1"/>
      <c r="GEA221" s="1"/>
      <c r="GEB221" s="1"/>
      <c r="GEC221" s="1"/>
      <c r="GED221" s="1"/>
      <c r="GEE221" s="1"/>
      <c r="GEF221" s="1"/>
      <c r="GEG221" s="1"/>
      <c r="GEH221" s="1"/>
      <c r="GEI221" s="1"/>
      <c r="GEJ221" s="1"/>
      <c r="GEK221" s="1"/>
      <c r="GEL221" s="1"/>
      <c r="GEM221" s="1"/>
      <c r="GEN221" s="1"/>
      <c r="GEO221" s="1"/>
      <c r="GEP221" s="1"/>
      <c r="GEQ221" s="1"/>
      <c r="GER221" s="1"/>
      <c r="GES221" s="1"/>
      <c r="GET221" s="1"/>
      <c r="GEU221" s="1"/>
      <c r="GEV221" s="1"/>
      <c r="GEW221" s="1"/>
      <c r="GEX221" s="1"/>
      <c r="GEY221" s="1"/>
      <c r="GEZ221" s="1"/>
      <c r="GFA221" s="1"/>
      <c r="GFB221" s="1"/>
      <c r="GFC221" s="1"/>
      <c r="GFD221" s="1"/>
      <c r="GFE221" s="1"/>
      <c r="GFF221" s="1"/>
      <c r="GFG221" s="1"/>
      <c r="GFH221" s="1"/>
      <c r="GFI221" s="1"/>
      <c r="GFJ221" s="1"/>
      <c r="GFK221" s="1"/>
      <c r="GFL221" s="1"/>
      <c r="GFM221" s="1"/>
      <c r="GFN221" s="1"/>
      <c r="GFO221" s="1"/>
      <c r="GFP221" s="1"/>
      <c r="GFQ221" s="1"/>
      <c r="GFR221" s="1"/>
      <c r="GFS221" s="1"/>
      <c r="GFT221" s="1"/>
      <c r="GFU221" s="1"/>
      <c r="GFV221" s="1"/>
      <c r="GFW221" s="1"/>
      <c r="GFX221" s="1"/>
      <c r="GFY221" s="1"/>
      <c r="GFZ221" s="1"/>
      <c r="GGA221" s="1"/>
      <c r="GGB221" s="1"/>
      <c r="GGC221" s="1"/>
      <c r="GGD221" s="1"/>
      <c r="GGE221" s="1"/>
      <c r="GGF221" s="1"/>
      <c r="GGG221" s="1"/>
      <c r="GGH221" s="1"/>
      <c r="GGI221" s="1"/>
      <c r="GGJ221" s="1"/>
      <c r="GGK221" s="1"/>
      <c r="GGL221" s="1"/>
      <c r="GGM221" s="1"/>
      <c r="GGN221" s="1"/>
      <c r="GGO221" s="1"/>
      <c r="GGP221" s="1"/>
      <c r="GGQ221" s="1"/>
      <c r="GGR221" s="1"/>
      <c r="GGS221" s="1"/>
      <c r="GGT221" s="1"/>
      <c r="GGU221" s="1"/>
      <c r="GGV221" s="1"/>
      <c r="GGW221" s="1"/>
      <c r="GGX221" s="1"/>
      <c r="GGY221" s="1"/>
      <c r="GGZ221" s="1"/>
      <c r="GHA221" s="1"/>
      <c r="GHB221" s="1"/>
      <c r="GHC221" s="1"/>
      <c r="GHD221" s="1"/>
      <c r="GHE221" s="1"/>
      <c r="GHF221" s="1"/>
      <c r="GHG221" s="1"/>
      <c r="GHH221" s="1"/>
      <c r="GHI221" s="1"/>
      <c r="GHJ221" s="1"/>
      <c r="GHK221" s="1"/>
      <c r="GHL221" s="1"/>
      <c r="GHM221" s="1"/>
      <c r="GHN221" s="1"/>
      <c r="GHO221" s="1"/>
      <c r="GHP221" s="1"/>
      <c r="GHQ221" s="1"/>
      <c r="GHR221" s="1"/>
      <c r="GHS221" s="1"/>
      <c r="GHT221" s="1"/>
      <c r="GHU221" s="1"/>
      <c r="GHV221" s="1"/>
      <c r="GHW221" s="1"/>
      <c r="GHX221" s="1"/>
      <c r="GHY221" s="1"/>
      <c r="GHZ221" s="1"/>
      <c r="GIA221" s="1"/>
      <c r="GIB221" s="1"/>
      <c r="GIC221" s="1"/>
      <c r="GID221" s="1"/>
      <c r="GIE221" s="1"/>
      <c r="GIF221" s="1"/>
      <c r="GIG221" s="1"/>
      <c r="GIH221" s="1"/>
      <c r="GII221" s="1"/>
      <c r="GIJ221" s="1"/>
      <c r="GIK221" s="1"/>
      <c r="GIL221" s="1"/>
      <c r="GIM221" s="1"/>
      <c r="GIN221" s="1"/>
      <c r="GIO221" s="1"/>
      <c r="GIP221" s="1"/>
      <c r="GIQ221" s="1"/>
      <c r="GIR221" s="1"/>
      <c r="GIS221" s="1"/>
      <c r="GIT221" s="1"/>
      <c r="GIU221" s="1"/>
      <c r="GIV221" s="1"/>
      <c r="GIW221" s="1"/>
      <c r="GIX221" s="1"/>
      <c r="GIY221" s="1"/>
      <c r="GIZ221" s="1"/>
      <c r="GJA221" s="1"/>
      <c r="GJB221" s="1"/>
      <c r="GJC221" s="1"/>
      <c r="GJD221" s="1"/>
      <c r="GJE221" s="1"/>
      <c r="GJF221" s="1"/>
      <c r="GJG221" s="1"/>
      <c r="GJH221" s="1"/>
      <c r="GJI221" s="1"/>
      <c r="GJJ221" s="1"/>
      <c r="GJK221" s="1"/>
      <c r="GJL221" s="1"/>
      <c r="GJM221" s="1"/>
      <c r="GJN221" s="1"/>
      <c r="GJO221" s="1"/>
      <c r="GJP221" s="1"/>
      <c r="GJQ221" s="1"/>
      <c r="GJR221" s="1"/>
      <c r="GJS221" s="1"/>
      <c r="GJT221" s="1"/>
      <c r="GJU221" s="1"/>
      <c r="GJV221" s="1"/>
      <c r="GJW221" s="1"/>
      <c r="GJX221" s="1"/>
      <c r="GJY221" s="1"/>
      <c r="GJZ221" s="1"/>
      <c r="GKA221" s="1"/>
      <c r="GKB221" s="1"/>
      <c r="GKC221" s="1"/>
      <c r="GKD221" s="1"/>
      <c r="GKE221" s="1"/>
      <c r="GKF221" s="1"/>
      <c r="GKG221" s="1"/>
      <c r="GKH221" s="1"/>
      <c r="GKI221" s="1"/>
      <c r="GKJ221" s="1"/>
      <c r="GKK221" s="1"/>
      <c r="GKL221" s="1"/>
      <c r="GKM221" s="1"/>
      <c r="GKN221" s="1"/>
      <c r="GKO221" s="1"/>
      <c r="GKP221" s="1"/>
      <c r="GKQ221" s="1"/>
      <c r="GKR221" s="1"/>
      <c r="GKS221" s="1"/>
      <c r="GKT221" s="1"/>
      <c r="GKU221" s="1"/>
      <c r="GKV221" s="1"/>
      <c r="GKW221" s="1"/>
      <c r="GKX221" s="1"/>
      <c r="GKY221" s="1"/>
      <c r="GKZ221" s="1"/>
      <c r="GLA221" s="1"/>
      <c r="GLB221" s="1"/>
      <c r="GLC221" s="1"/>
      <c r="GLD221" s="1"/>
      <c r="GLE221" s="1"/>
      <c r="GLF221" s="1"/>
      <c r="GLG221" s="1"/>
      <c r="GLH221" s="1"/>
      <c r="GLI221" s="1"/>
      <c r="GLJ221" s="1"/>
      <c r="GLK221" s="1"/>
      <c r="GLL221" s="1"/>
      <c r="GLM221" s="1"/>
      <c r="GLN221" s="1"/>
      <c r="GLO221" s="1"/>
      <c r="GLP221" s="1"/>
      <c r="GLQ221" s="1"/>
      <c r="GLR221" s="1"/>
      <c r="GLS221" s="1"/>
      <c r="GLT221" s="1"/>
      <c r="GLU221" s="1"/>
      <c r="GLV221" s="1"/>
      <c r="GLW221" s="1"/>
      <c r="GLX221" s="1"/>
      <c r="GLY221" s="1"/>
      <c r="GLZ221" s="1"/>
      <c r="GMA221" s="1"/>
      <c r="GMB221" s="1"/>
      <c r="GMC221" s="1"/>
      <c r="GMD221" s="1"/>
      <c r="GME221" s="1"/>
      <c r="GMF221" s="1"/>
      <c r="GMG221" s="1"/>
      <c r="GMH221" s="1"/>
      <c r="GMI221" s="1"/>
      <c r="GMJ221" s="1"/>
      <c r="GMK221" s="1"/>
      <c r="GML221" s="1"/>
      <c r="GMM221" s="1"/>
      <c r="GMN221" s="1"/>
      <c r="GMO221" s="1"/>
      <c r="GMP221" s="1"/>
      <c r="GMQ221" s="1"/>
      <c r="GMR221" s="1"/>
      <c r="GMS221" s="1"/>
      <c r="GMT221" s="1"/>
      <c r="GMU221" s="1"/>
      <c r="GMV221" s="1"/>
      <c r="GMW221" s="1"/>
      <c r="GMX221" s="1"/>
      <c r="GMY221" s="1"/>
      <c r="GMZ221" s="1"/>
      <c r="GNA221" s="1"/>
      <c r="GNB221" s="1"/>
      <c r="GNC221" s="1"/>
      <c r="GND221" s="1"/>
      <c r="GNE221" s="1"/>
      <c r="GNF221" s="1"/>
      <c r="GNG221" s="1"/>
      <c r="GNH221" s="1"/>
      <c r="GNI221" s="1"/>
      <c r="GNJ221" s="1"/>
      <c r="GNK221" s="1"/>
      <c r="GNL221" s="1"/>
      <c r="GNM221" s="1"/>
      <c r="GNN221" s="1"/>
      <c r="GNO221" s="1"/>
      <c r="GNP221" s="1"/>
      <c r="GNQ221" s="1"/>
      <c r="GNR221" s="1"/>
      <c r="GNS221" s="1"/>
      <c r="GNT221" s="1"/>
      <c r="GNU221" s="1"/>
      <c r="GNV221" s="1"/>
      <c r="GNW221" s="1"/>
      <c r="GNX221" s="1"/>
      <c r="GNY221" s="1"/>
      <c r="GNZ221" s="1"/>
      <c r="GOA221" s="1"/>
      <c r="GOB221" s="1"/>
      <c r="GOC221" s="1"/>
      <c r="GOD221" s="1"/>
      <c r="GOE221" s="1"/>
      <c r="GOF221" s="1"/>
      <c r="GOG221" s="1"/>
      <c r="GOH221" s="1"/>
      <c r="GOI221" s="1"/>
      <c r="GOJ221" s="1"/>
      <c r="GOK221" s="1"/>
      <c r="GOL221" s="1"/>
      <c r="GOM221" s="1"/>
      <c r="GON221" s="1"/>
      <c r="GOO221" s="1"/>
      <c r="GOP221" s="1"/>
      <c r="GOQ221" s="1"/>
      <c r="GOR221" s="1"/>
      <c r="GOS221" s="1"/>
      <c r="GOT221" s="1"/>
      <c r="GOU221" s="1"/>
      <c r="GOV221" s="1"/>
      <c r="GOW221" s="1"/>
      <c r="GOX221" s="1"/>
      <c r="GOY221" s="1"/>
      <c r="GOZ221" s="1"/>
      <c r="GPA221" s="1"/>
      <c r="GPB221" s="1"/>
      <c r="GPC221" s="1"/>
      <c r="GPD221" s="1"/>
      <c r="GPE221" s="1"/>
      <c r="GPF221" s="1"/>
      <c r="GPG221" s="1"/>
      <c r="GPH221" s="1"/>
      <c r="GPI221" s="1"/>
      <c r="GPJ221" s="1"/>
      <c r="GPK221" s="1"/>
      <c r="GPL221" s="1"/>
      <c r="GPM221" s="1"/>
      <c r="GPN221" s="1"/>
      <c r="GPO221" s="1"/>
      <c r="GPP221" s="1"/>
      <c r="GPQ221" s="1"/>
      <c r="GPR221" s="1"/>
      <c r="GPS221" s="1"/>
      <c r="GPT221" s="1"/>
      <c r="GPU221" s="1"/>
      <c r="GPV221" s="1"/>
      <c r="GPW221" s="1"/>
      <c r="GPX221" s="1"/>
      <c r="GPY221" s="1"/>
      <c r="GPZ221" s="1"/>
      <c r="GQA221" s="1"/>
      <c r="GQB221" s="1"/>
      <c r="GQC221" s="1"/>
      <c r="GQD221" s="1"/>
      <c r="GQE221" s="1"/>
      <c r="GQF221" s="1"/>
      <c r="GQG221" s="1"/>
      <c r="GQH221" s="1"/>
      <c r="GQI221" s="1"/>
      <c r="GQJ221" s="1"/>
      <c r="GQK221" s="1"/>
      <c r="GQL221" s="1"/>
      <c r="GQM221" s="1"/>
      <c r="GQN221" s="1"/>
      <c r="GQO221" s="1"/>
      <c r="GQP221" s="1"/>
      <c r="GQQ221" s="1"/>
      <c r="GQR221" s="1"/>
      <c r="GQS221" s="1"/>
      <c r="GQT221" s="1"/>
      <c r="GQU221" s="1"/>
      <c r="GQV221" s="1"/>
      <c r="GQW221" s="1"/>
      <c r="GQX221" s="1"/>
      <c r="GQY221" s="1"/>
      <c r="GQZ221" s="1"/>
      <c r="GRA221" s="1"/>
      <c r="GRB221" s="1"/>
      <c r="GRC221" s="1"/>
      <c r="GRD221" s="1"/>
      <c r="GRE221" s="1"/>
      <c r="GRF221" s="1"/>
      <c r="GRG221" s="1"/>
      <c r="GRH221" s="1"/>
      <c r="GRI221" s="1"/>
      <c r="GRJ221" s="1"/>
      <c r="GRK221" s="1"/>
      <c r="GRL221" s="1"/>
      <c r="GRM221" s="1"/>
      <c r="GRN221" s="1"/>
      <c r="GRO221" s="1"/>
      <c r="GRP221" s="1"/>
      <c r="GRQ221" s="1"/>
      <c r="GRR221" s="1"/>
      <c r="GRS221" s="1"/>
      <c r="GRT221" s="1"/>
      <c r="GRU221" s="1"/>
      <c r="GRV221" s="1"/>
      <c r="GRW221" s="1"/>
      <c r="GRX221" s="1"/>
      <c r="GRY221" s="1"/>
      <c r="GRZ221" s="1"/>
      <c r="GSA221" s="1"/>
      <c r="GSB221" s="1"/>
      <c r="GSC221" s="1"/>
      <c r="GSD221" s="1"/>
      <c r="GSE221" s="1"/>
      <c r="GSF221" s="1"/>
      <c r="GSG221" s="1"/>
      <c r="GSH221" s="1"/>
      <c r="GSI221" s="1"/>
      <c r="GSJ221" s="1"/>
      <c r="GSK221" s="1"/>
      <c r="GSL221" s="1"/>
      <c r="GSM221" s="1"/>
      <c r="GSN221" s="1"/>
      <c r="GSO221" s="1"/>
      <c r="GSP221" s="1"/>
      <c r="GSQ221" s="1"/>
      <c r="GSR221" s="1"/>
      <c r="GSS221" s="1"/>
      <c r="GST221" s="1"/>
      <c r="GSU221" s="1"/>
      <c r="GSV221" s="1"/>
      <c r="GSW221" s="1"/>
      <c r="GSX221" s="1"/>
      <c r="GSY221" s="1"/>
      <c r="GSZ221" s="1"/>
      <c r="GTA221" s="1"/>
      <c r="GTB221" s="1"/>
      <c r="GTC221" s="1"/>
      <c r="GTD221" s="1"/>
      <c r="GTE221" s="1"/>
      <c r="GTF221" s="1"/>
      <c r="GTG221" s="1"/>
      <c r="GTH221" s="1"/>
      <c r="GTI221" s="1"/>
      <c r="GTJ221" s="1"/>
      <c r="GTK221" s="1"/>
      <c r="GTL221" s="1"/>
      <c r="GTM221" s="1"/>
      <c r="GTN221" s="1"/>
      <c r="GTO221" s="1"/>
      <c r="GTP221" s="1"/>
      <c r="GTQ221" s="1"/>
      <c r="GTR221" s="1"/>
      <c r="GTS221" s="1"/>
      <c r="GTT221" s="1"/>
      <c r="GTU221" s="1"/>
      <c r="GTV221" s="1"/>
      <c r="GTW221" s="1"/>
      <c r="GTX221" s="1"/>
      <c r="GTY221" s="1"/>
      <c r="GTZ221" s="1"/>
      <c r="GUA221" s="1"/>
      <c r="GUB221" s="1"/>
      <c r="GUC221" s="1"/>
      <c r="GUD221" s="1"/>
      <c r="GUE221" s="1"/>
      <c r="GUF221" s="1"/>
      <c r="GUG221" s="1"/>
      <c r="GUH221" s="1"/>
      <c r="GUI221" s="1"/>
      <c r="GUJ221" s="1"/>
      <c r="GUK221" s="1"/>
      <c r="GUL221" s="1"/>
      <c r="GUM221" s="1"/>
      <c r="GUN221" s="1"/>
      <c r="GUO221" s="1"/>
      <c r="GUP221" s="1"/>
      <c r="GUQ221" s="1"/>
      <c r="GUR221" s="1"/>
      <c r="GUS221" s="1"/>
      <c r="GUT221" s="1"/>
      <c r="GUU221" s="1"/>
      <c r="GUV221" s="1"/>
      <c r="GUW221" s="1"/>
      <c r="GUX221" s="1"/>
      <c r="GUY221" s="1"/>
      <c r="GUZ221" s="1"/>
      <c r="GVA221" s="1"/>
      <c r="GVB221" s="1"/>
      <c r="GVC221" s="1"/>
      <c r="GVD221" s="1"/>
      <c r="GVE221" s="1"/>
      <c r="GVF221" s="1"/>
      <c r="GVG221" s="1"/>
      <c r="GVH221" s="1"/>
      <c r="GVI221" s="1"/>
      <c r="GVJ221" s="1"/>
      <c r="GVK221" s="1"/>
      <c r="GVL221" s="1"/>
      <c r="GVM221" s="1"/>
      <c r="GVN221" s="1"/>
      <c r="GVO221" s="1"/>
      <c r="GVP221" s="1"/>
      <c r="GVQ221" s="1"/>
      <c r="GVR221" s="1"/>
      <c r="GVS221" s="1"/>
      <c r="GVT221" s="1"/>
      <c r="GVU221" s="1"/>
      <c r="GVV221" s="1"/>
      <c r="GVW221" s="1"/>
      <c r="GVX221" s="1"/>
      <c r="GVY221" s="1"/>
      <c r="GVZ221" s="1"/>
      <c r="GWA221" s="1"/>
      <c r="GWB221" s="1"/>
      <c r="GWC221" s="1"/>
      <c r="GWD221" s="1"/>
      <c r="GWE221" s="1"/>
      <c r="GWF221" s="1"/>
      <c r="GWG221" s="1"/>
      <c r="GWH221" s="1"/>
      <c r="GWI221" s="1"/>
      <c r="GWJ221" s="1"/>
      <c r="GWK221" s="1"/>
      <c r="GWL221" s="1"/>
      <c r="GWM221" s="1"/>
      <c r="GWN221" s="1"/>
      <c r="GWO221" s="1"/>
      <c r="GWP221" s="1"/>
      <c r="GWQ221" s="1"/>
      <c r="GWR221" s="1"/>
      <c r="GWS221" s="1"/>
      <c r="GWT221" s="1"/>
      <c r="GWU221" s="1"/>
      <c r="GWV221" s="1"/>
      <c r="GWW221" s="1"/>
      <c r="GWX221" s="1"/>
      <c r="GWY221" s="1"/>
      <c r="GWZ221" s="1"/>
      <c r="GXA221" s="1"/>
      <c r="GXB221" s="1"/>
      <c r="GXC221" s="1"/>
      <c r="GXD221" s="1"/>
      <c r="GXE221" s="1"/>
      <c r="GXF221" s="1"/>
      <c r="GXG221" s="1"/>
      <c r="GXH221" s="1"/>
      <c r="GXI221" s="1"/>
      <c r="GXJ221" s="1"/>
      <c r="GXK221" s="1"/>
      <c r="GXL221" s="1"/>
      <c r="GXM221" s="1"/>
      <c r="GXN221" s="1"/>
      <c r="GXO221" s="1"/>
      <c r="GXP221" s="1"/>
      <c r="GXQ221" s="1"/>
      <c r="GXR221" s="1"/>
      <c r="GXS221" s="1"/>
      <c r="GXT221" s="1"/>
      <c r="GXU221" s="1"/>
      <c r="GXV221" s="1"/>
      <c r="GXW221" s="1"/>
      <c r="GXX221" s="1"/>
      <c r="GXY221" s="1"/>
      <c r="GXZ221" s="1"/>
      <c r="GYA221" s="1"/>
      <c r="GYB221" s="1"/>
      <c r="GYC221" s="1"/>
      <c r="GYD221" s="1"/>
      <c r="GYE221" s="1"/>
      <c r="GYF221" s="1"/>
      <c r="GYG221" s="1"/>
      <c r="GYH221" s="1"/>
      <c r="GYI221" s="1"/>
      <c r="GYJ221" s="1"/>
      <c r="GYK221" s="1"/>
      <c r="GYL221" s="1"/>
      <c r="GYM221" s="1"/>
      <c r="GYN221" s="1"/>
      <c r="GYO221" s="1"/>
      <c r="GYP221" s="1"/>
      <c r="GYQ221" s="1"/>
      <c r="GYR221" s="1"/>
      <c r="GYS221" s="1"/>
      <c r="GYT221" s="1"/>
      <c r="GYU221" s="1"/>
      <c r="GYV221" s="1"/>
      <c r="GYW221" s="1"/>
      <c r="GYX221" s="1"/>
      <c r="GYY221" s="1"/>
      <c r="GYZ221" s="1"/>
      <c r="GZA221" s="1"/>
      <c r="GZB221" s="1"/>
      <c r="GZC221" s="1"/>
      <c r="GZD221" s="1"/>
      <c r="GZE221" s="1"/>
      <c r="GZF221" s="1"/>
      <c r="GZG221" s="1"/>
      <c r="GZH221" s="1"/>
      <c r="GZI221" s="1"/>
      <c r="GZJ221" s="1"/>
      <c r="GZK221" s="1"/>
      <c r="GZL221" s="1"/>
      <c r="GZM221" s="1"/>
      <c r="GZN221" s="1"/>
      <c r="GZO221" s="1"/>
      <c r="GZP221" s="1"/>
      <c r="GZQ221" s="1"/>
      <c r="GZR221" s="1"/>
      <c r="GZS221" s="1"/>
      <c r="GZT221" s="1"/>
      <c r="GZU221" s="1"/>
      <c r="GZV221" s="1"/>
      <c r="GZW221" s="1"/>
      <c r="GZX221" s="1"/>
      <c r="GZY221" s="1"/>
      <c r="GZZ221" s="1"/>
      <c r="HAA221" s="1"/>
      <c r="HAB221" s="1"/>
      <c r="HAC221" s="1"/>
      <c r="HAD221" s="1"/>
      <c r="HAE221" s="1"/>
      <c r="HAF221" s="1"/>
      <c r="HAG221" s="1"/>
      <c r="HAH221" s="1"/>
      <c r="HAI221" s="1"/>
      <c r="HAJ221" s="1"/>
      <c r="HAK221" s="1"/>
      <c r="HAL221" s="1"/>
      <c r="HAM221" s="1"/>
      <c r="HAN221" s="1"/>
      <c r="HAO221" s="1"/>
      <c r="HAP221" s="1"/>
      <c r="HAQ221" s="1"/>
      <c r="HAR221" s="1"/>
      <c r="HAS221" s="1"/>
      <c r="HAT221" s="1"/>
      <c r="HAU221" s="1"/>
      <c r="HAV221" s="1"/>
      <c r="HAW221" s="1"/>
      <c r="HAX221" s="1"/>
      <c r="HAY221" s="1"/>
      <c r="HAZ221" s="1"/>
      <c r="HBA221" s="1"/>
      <c r="HBB221" s="1"/>
      <c r="HBC221" s="1"/>
      <c r="HBD221" s="1"/>
      <c r="HBE221" s="1"/>
      <c r="HBF221" s="1"/>
      <c r="HBG221" s="1"/>
      <c r="HBH221" s="1"/>
      <c r="HBI221" s="1"/>
      <c r="HBJ221" s="1"/>
      <c r="HBK221" s="1"/>
      <c r="HBL221" s="1"/>
      <c r="HBM221" s="1"/>
      <c r="HBN221" s="1"/>
      <c r="HBO221" s="1"/>
      <c r="HBP221" s="1"/>
      <c r="HBQ221" s="1"/>
      <c r="HBR221" s="1"/>
      <c r="HBS221" s="1"/>
      <c r="HBT221" s="1"/>
      <c r="HBU221" s="1"/>
      <c r="HBV221" s="1"/>
      <c r="HBW221" s="1"/>
      <c r="HBX221" s="1"/>
      <c r="HBY221" s="1"/>
      <c r="HBZ221" s="1"/>
      <c r="HCA221" s="1"/>
      <c r="HCB221" s="1"/>
      <c r="HCC221" s="1"/>
      <c r="HCD221" s="1"/>
      <c r="HCE221" s="1"/>
      <c r="HCF221" s="1"/>
      <c r="HCG221" s="1"/>
      <c r="HCH221" s="1"/>
      <c r="HCI221" s="1"/>
      <c r="HCJ221" s="1"/>
      <c r="HCK221" s="1"/>
      <c r="HCL221" s="1"/>
      <c r="HCM221" s="1"/>
      <c r="HCN221" s="1"/>
      <c r="HCO221" s="1"/>
      <c r="HCP221" s="1"/>
      <c r="HCQ221" s="1"/>
      <c r="HCR221" s="1"/>
      <c r="HCS221" s="1"/>
      <c r="HCT221" s="1"/>
      <c r="HCU221" s="1"/>
      <c r="HCV221" s="1"/>
      <c r="HCW221" s="1"/>
      <c r="HCX221" s="1"/>
      <c r="HCY221" s="1"/>
      <c r="HCZ221" s="1"/>
      <c r="HDA221" s="1"/>
      <c r="HDB221" s="1"/>
      <c r="HDC221" s="1"/>
      <c r="HDD221" s="1"/>
      <c r="HDE221" s="1"/>
      <c r="HDF221" s="1"/>
      <c r="HDG221" s="1"/>
      <c r="HDH221" s="1"/>
      <c r="HDI221" s="1"/>
      <c r="HDJ221" s="1"/>
      <c r="HDK221" s="1"/>
      <c r="HDL221" s="1"/>
      <c r="HDM221" s="1"/>
      <c r="HDN221" s="1"/>
      <c r="HDO221" s="1"/>
      <c r="HDP221" s="1"/>
      <c r="HDQ221" s="1"/>
      <c r="HDR221" s="1"/>
      <c r="HDS221" s="1"/>
      <c r="HDT221" s="1"/>
      <c r="HDU221" s="1"/>
      <c r="HDV221" s="1"/>
      <c r="HDW221" s="1"/>
      <c r="HDX221" s="1"/>
      <c r="HDY221" s="1"/>
      <c r="HDZ221" s="1"/>
      <c r="HEA221" s="1"/>
      <c r="HEB221" s="1"/>
      <c r="HEC221" s="1"/>
      <c r="HED221" s="1"/>
      <c r="HEE221" s="1"/>
      <c r="HEF221" s="1"/>
      <c r="HEG221" s="1"/>
      <c r="HEH221" s="1"/>
      <c r="HEI221" s="1"/>
      <c r="HEJ221" s="1"/>
      <c r="HEK221" s="1"/>
      <c r="HEL221" s="1"/>
      <c r="HEM221" s="1"/>
      <c r="HEN221" s="1"/>
      <c r="HEO221" s="1"/>
      <c r="HEP221" s="1"/>
      <c r="HEQ221" s="1"/>
      <c r="HER221" s="1"/>
      <c r="HES221" s="1"/>
      <c r="HET221" s="1"/>
      <c r="HEU221" s="1"/>
      <c r="HEV221" s="1"/>
      <c r="HEW221" s="1"/>
      <c r="HEX221" s="1"/>
      <c r="HEY221" s="1"/>
      <c r="HEZ221" s="1"/>
      <c r="HFA221" s="1"/>
      <c r="HFB221" s="1"/>
      <c r="HFC221" s="1"/>
      <c r="HFD221" s="1"/>
      <c r="HFE221" s="1"/>
      <c r="HFF221" s="1"/>
      <c r="HFG221" s="1"/>
      <c r="HFH221" s="1"/>
      <c r="HFI221" s="1"/>
      <c r="HFJ221" s="1"/>
      <c r="HFK221" s="1"/>
      <c r="HFL221" s="1"/>
      <c r="HFM221" s="1"/>
      <c r="HFN221" s="1"/>
      <c r="HFO221" s="1"/>
      <c r="HFP221" s="1"/>
      <c r="HFQ221" s="1"/>
      <c r="HFR221" s="1"/>
      <c r="HFS221" s="1"/>
      <c r="HFT221" s="1"/>
      <c r="HFU221" s="1"/>
      <c r="HFV221" s="1"/>
      <c r="HFW221" s="1"/>
      <c r="HFX221" s="1"/>
      <c r="HFY221" s="1"/>
      <c r="HFZ221" s="1"/>
      <c r="HGA221" s="1"/>
      <c r="HGB221" s="1"/>
      <c r="HGC221" s="1"/>
      <c r="HGD221" s="1"/>
      <c r="HGE221" s="1"/>
      <c r="HGF221" s="1"/>
      <c r="HGG221" s="1"/>
      <c r="HGH221" s="1"/>
      <c r="HGI221" s="1"/>
      <c r="HGJ221" s="1"/>
      <c r="HGK221" s="1"/>
      <c r="HGL221" s="1"/>
      <c r="HGM221" s="1"/>
      <c r="HGN221" s="1"/>
      <c r="HGO221" s="1"/>
      <c r="HGP221" s="1"/>
      <c r="HGQ221" s="1"/>
      <c r="HGR221" s="1"/>
      <c r="HGS221" s="1"/>
      <c r="HGT221" s="1"/>
      <c r="HGU221" s="1"/>
      <c r="HGV221" s="1"/>
      <c r="HGW221" s="1"/>
      <c r="HGX221" s="1"/>
      <c r="HGY221" s="1"/>
      <c r="HGZ221" s="1"/>
      <c r="HHA221" s="1"/>
      <c r="HHB221" s="1"/>
      <c r="HHC221" s="1"/>
      <c r="HHD221" s="1"/>
      <c r="HHE221" s="1"/>
      <c r="HHF221" s="1"/>
      <c r="HHG221" s="1"/>
      <c r="HHH221" s="1"/>
      <c r="HHI221" s="1"/>
      <c r="HHJ221" s="1"/>
      <c r="HHK221" s="1"/>
      <c r="HHL221" s="1"/>
      <c r="HHM221" s="1"/>
      <c r="HHN221" s="1"/>
      <c r="HHO221" s="1"/>
      <c r="HHP221" s="1"/>
      <c r="HHQ221" s="1"/>
      <c r="HHR221" s="1"/>
      <c r="HHS221" s="1"/>
      <c r="HHT221" s="1"/>
      <c r="HHU221" s="1"/>
      <c r="HHV221" s="1"/>
      <c r="HHW221" s="1"/>
      <c r="HHX221" s="1"/>
      <c r="HHY221" s="1"/>
      <c r="HHZ221" s="1"/>
      <c r="HIA221" s="1"/>
      <c r="HIB221" s="1"/>
      <c r="HIC221" s="1"/>
      <c r="HID221" s="1"/>
      <c r="HIE221" s="1"/>
      <c r="HIF221" s="1"/>
      <c r="HIG221" s="1"/>
      <c r="HIH221" s="1"/>
      <c r="HII221" s="1"/>
      <c r="HIJ221" s="1"/>
      <c r="HIK221" s="1"/>
      <c r="HIL221" s="1"/>
      <c r="HIM221" s="1"/>
      <c r="HIN221" s="1"/>
      <c r="HIO221" s="1"/>
      <c r="HIP221" s="1"/>
      <c r="HIQ221" s="1"/>
      <c r="HIR221" s="1"/>
      <c r="HIS221" s="1"/>
      <c r="HIT221" s="1"/>
      <c r="HIU221" s="1"/>
      <c r="HIV221" s="1"/>
      <c r="HIW221" s="1"/>
      <c r="HIX221" s="1"/>
      <c r="HIY221" s="1"/>
      <c r="HIZ221" s="1"/>
      <c r="HJA221" s="1"/>
      <c r="HJB221" s="1"/>
      <c r="HJC221" s="1"/>
      <c r="HJD221" s="1"/>
      <c r="HJE221" s="1"/>
      <c r="HJF221" s="1"/>
      <c r="HJG221" s="1"/>
      <c r="HJH221" s="1"/>
      <c r="HJI221" s="1"/>
      <c r="HJJ221" s="1"/>
      <c r="HJK221" s="1"/>
      <c r="HJL221" s="1"/>
      <c r="HJM221" s="1"/>
      <c r="HJN221" s="1"/>
      <c r="HJO221" s="1"/>
      <c r="HJP221" s="1"/>
      <c r="HJQ221" s="1"/>
      <c r="HJR221" s="1"/>
      <c r="HJS221" s="1"/>
      <c r="HJT221" s="1"/>
      <c r="HJU221" s="1"/>
      <c r="HJV221" s="1"/>
      <c r="HJW221" s="1"/>
      <c r="HJX221" s="1"/>
      <c r="HJY221" s="1"/>
      <c r="HJZ221" s="1"/>
      <c r="HKA221" s="1"/>
      <c r="HKB221" s="1"/>
      <c r="HKC221" s="1"/>
      <c r="HKD221" s="1"/>
      <c r="HKE221" s="1"/>
      <c r="HKF221" s="1"/>
      <c r="HKG221" s="1"/>
      <c r="HKH221" s="1"/>
      <c r="HKI221" s="1"/>
      <c r="HKJ221" s="1"/>
      <c r="HKK221" s="1"/>
      <c r="HKL221" s="1"/>
      <c r="HKM221" s="1"/>
      <c r="HKN221" s="1"/>
      <c r="HKO221" s="1"/>
      <c r="HKP221" s="1"/>
      <c r="HKQ221" s="1"/>
      <c r="HKR221" s="1"/>
      <c r="HKS221" s="1"/>
      <c r="HKT221" s="1"/>
      <c r="HKU221" s="1"/>
      <c r="HKV221" s="1"/>
      <c r="HKW221" s="1"/>
      <c r="HKX221" s="1"/>
      <c r="HKY221" s="1"/>
      <c r="HKZ221" s="1"/>
      <c r="HLA221" s="1"/>
      <c r="HLB221" s="1"/>
      <c r="HLC221" s="1"/>
      <c r="HLD221" s="1"/>
      <c r="HLE221" s="1"/>
      <c r="HLF221" s="1"/>
      <c r="HLG221" s="1"/>
      <c r="HLH221" s="1"/>
      <c r="HLI221" s="1"/>
      <c r="HLJ221" s="1"/>
      <c r="HLK221" s="1"/>
      <c r="HLL221" s="1"/>
      <c r="HLM221" s="1"/>
      <c r="HLN221" s="1"/>
      <c r="HLO221" s="1"/>
      <c r="HLP221" s="1"/>
      <c r="HLQ221" s="1"/>
      <c r="HLR221" s="1"/>
      <c r="HLS221" s="1"/>
      <c r="HLT221" s="1"/>
      <c r="HLU221" s="1"/>
      <c r="HLV221" s="1"/>
      <c r="HLW221" s="1"/>
      <c r="HLX221" s="1"/>
      <c r="HLY221" s="1"/>
      <c r="HLZ221" s="1"/>
      <c r="HMA221" s="1"/>
      <c r="HMB221" s="1"/>
      <c r="HMC221" s="1"/>
      <c r="HMD221" s="1"/>
      <c r="HME221" s="1"/>
      <c r="HMF221" s="1"/>
      <c r="HMG221" s="1"/>
      <c r="HMH221" s="1"/>
      <c r="HMI221" s="1"/>
      <c r="HMJ221" s="1"/>
      <c r="HMK221" s="1"/>
      <c r="HML221" s="1"/>
      <c r="HMM221" s="1"/>
      <c r="HMN221" s="1"/>
      <c r="HMO221" s="1"/>
      <c r="HMP221" s="1"/>
      <c r="HMQ221" s="1"/>
      <c r="HMR221" s="1"/>
      <c r="HMS221" s="1"/>
      <c r="HMT221" s="1"/>
      <c r="HMU221" s="1"/>
      <c r="HMV221" s="1"/>
      <c r="HMW221" s="1"/>
      <c r="HMX221" s="1"/>
      <c r="HMY221" s="1"/>
      <c r="HMZ221" s="1"/>
      <c r="HNA221" s="1"/>
      <c r="HNB221" s="1"/>
      <c r="HNC221" s="1"/>
      <c r="HND221" s="1"/>
      <c r="HNE221" s="1"/>
      <c r="HNF221" s="1"/>
      <c r="HNG221" s="1"/>
      <c r="HNH221" s="1"/>
      <c r="HNI221" s="1"/>
      <c r="HNJ221" s="1"/>
      <c r="HNK221" s="1"/>
      <c r="HNL221" s="1"/>
      <c r="HNM221" s="1"/>
      <c r="HNN221" s="1"/>
      <c r="HNO221" s="1"/>
      <c r="HNP221" s="1"/>
      <c r="HNQ221" s="1"/>
      <c r="HNR221" s="1"/>
      <c r="HNS221" s="1"/>
      <c r="HNT221" s="1"/>
      <c r="HNU221" s="1"/>
      <c r="HNV221" s="1"/>
      <c r="HNW221" s="1"/>
      <c r="HNX221" s="1"/>
      <c r="HNY221" s="1"/>
      <c r="HNZ221" s="1"/>
      <c r="HOA221" s="1"/>
      <c r="HOB221" s="1"/>
      <c r="HOC221" s="1"/>
      <c r="HOD221" s="1"/>
      <c r="HOE221" s="1"/>
      <c r="HOF221" s="1"/>
      <c r="HOG221" s="1"/>
      <c r="HOH221" s="1"/>
      <c r="HOI221" s="1"/>
      <c r="HOJ221" s="1"/>
      <c r="HOK221" s="1"/>
      <c r="HOL221" s="1"/>
      <c r="HOM221" s="1"/>
      <c r="HON221" s="1"/>
      <c r="HOO221" s="1"/>
      <c r="HOP221" s="1"/>
      <c r="HOQ221" s="1"/>
      <c r="HOR221" s="1"/>
      <c r="HOS221" s="1"/>
      <c r="HOT221" s="1"/>
      <c r="HOU221" s="1"/>
      <c r="HOV221" s="1"/>
      <c r="HOW221" s="1"/>
      <c r="HOX221" s="1"/>
      <c r="HOY221" s="1"/>
      <c r="HOZ221" s="1"/>
      <c r="HPA221" s="1"/>
      <c r="HPB221" s="1"/>
      <c r="HPC221" s="1"/>
      <c r="HPD221" s="1"/>
      <c r="HPE221" s="1"/>
      <c r="HPF221" s="1"/>
      <c r="HPG221" s="1"/>
      <c r="HPH221" s="1"/>
      <c r="HPI221" s="1"/>
      <c r="HPJ221" s="1"/>
      <c r="HPK221" s="1"/>
      <c r="HPL221" s="1"/>
      <c r="HPM221" s="1"/>
      <c r="HPN221" s="1"/>
      <c r="HPO221" s="1"/>
      <c r="HPP221" s="1"/>
      <c r="HPQ221" s="1"/>
      <c r="HPR221" s="1"/>
      <c r="HPS221" s="1"/>
      <c r="HPT221" s="1"/>
      <c r="HPU221" s="1"/>
      <c r="HPV221" s="1"/>
      <c r="HPW221" s="1"/>
      <c r="HPX221" s="1"/>
      <c r="HPY221" s="1"/>
      <c r="HPZ221" s="1"/>
      <c r="HQA221" s="1"/>
      <c r="HQB221" s="1"/>
      <c r="HQC221" s="1"/>
      <c r="HQD221" s="1"/>
      <c r="HQE221" s="1"/>
      <c r="HQF221" s="1"/>
      <c r="HQG221" s="1"/>
      <c r="HQH221" s="1"/>
      <c r="HQI221" s="1"/>
      <c r="HQJ221" s="1"/>
      <c r="HQK221" s="1"/>
      <c r="HQL221" s="1"/>
      <c r="HQM221" s="1"/>
      <c r="HQN221" s="1"/>
      <c r="HQO221" s="1"/>
      <c r="HQP221" s="1"/>
      <c r="HQQ221" s="1"/>
      <c r="HQR221" s="1"/>
      <c r="HQS221" s="1"/>
      <c r="HQT221" s="1"/>
      <c r="HQU221" s="1"/>
      <c r="HQV221" s="1"/>
      <c r="HQW221" s="1"/>
      <c r="HQX221" s="1"/>
      <c r="HQY221" s="1"/>
      <c r="HQZ221" s="1"/>
      <c r="HRA221" s="1"/>
      <c r="HRB221" s="1"/>
      <c r="HRC221" s="1"/>
      <c r="HRD221" s="1"/>
      <c r="HRE221" s="1"/>
      <c r="HRF221" s="1"/>
      <c r="HRG221" s="1"/>
      <c r="HRH221" s="1"/>
      <c r="HRI221" s="1"/>
      <c r="HRJ221" s="1"/>
      <c r="HRK221" s="1"/>
      <c r="HRL221" s="1"/>
      <c r="HRM221" s="1"/>
      <c r="HRN221" s="1"/>
      <c r="HRO221" s="1"/>
      <c r="HRP221" s="1"/>
      <c r="HRQ221" s="1"/>
      <c r="HRR221" s="1"/>
      <c r="HRS221" s="1"/>
      <c r="HRT221" s="1"/>
      <c r="HRU221" s="1"/>
      <c r="HRV221" s="1"/>
      <c r="HRW221" s="1"/>
      <c r="HRX221" s="1"/>
      <c r="HRY221" s="1"/>
      <c r="HRZ221" s="1"/>
      <c r="HSA221" s="1"/>
      <c r="HSB221" s="1"/>
      <c r="HSC221" s="1"/>
      <c r="HSD221" s="1"/>
      <c r="HSE221" s="1"/>
      <c r="HSF221" s="1"/>
      <c r="HSG221" s="1"/>
      <c r="HSH221" s="1"/>
      <c r="HSI221" s="1"/>
      <c r="HSJ221" s="1"/>
      <c r="HSK221" s="1"/>
      <c r="HSL221" s="1"/>
      <c r="HSM221" s="1"/>
      <c r="HSN221" s="1"/>
      <c r="HSO221" s="1"/>
      <c r="HSP221" s="1"/>
      <c r="HSQ221" s="1"/>
      <c r="HSR221" s="1"/>
      <c r="HSS221" s="1"/>
      <c r="HST221" s="1"/>
      <c r="HSU221" s="1"/>
      <c r="HSV221" s="1"/>
      <c r="HSW221" s="1"/>
      <c r="HSX221" s="1"/>
      <c r="HSY221" s="1"/>
      <c r="HSZ221" s="1"/>
      <c r="HTA221" s="1"/>
      <c r="HTB221" s="1"/>
      <c r="HTC221" s="1"/>
      <c r="HTD221" s="1"/>
      <c r="HTE221" s="1"/>
      <c r="HTF221" s="1"/>
      <c r="HTG221" s="1"/>
      <c r="HTH221" s="1"/>
      <c r="HTI221" s="1"/>
      <c r="HTJ221" s="1"/>
      <c r="HTK221" s="1"/>
      <c r="HTL221" s="1"/>
      <c r="HTM221" s="1"/>
      <c r="HTN221" s="1"/>
      <c r="HTO221" s="1"/>
      <c r="HTP221" s="1"/>
      <c r="HTQ221" s="1"/>
      <c r="HTR221" s="1"/>
      <c r="HTS221" s="1"/>
      <c r="HTT221" s="1"/>
      <c r="HTU221" s="1"/>
      <c r="HTV221" s="1"/>
      <c r="HTW221" s="1"/>
      <c r="HTX221" s="1"/>
      <c r="HTY221" s="1"/>
      <c r="HTZ221" s="1"/>
      <c r="HUA221" s="1"/>
      <c r="HUB221" s="1"/>
      <c r="HUC221" s="1"/>
      <c r="HUD221" s="1"/>
      <c r="HUE221" s="1"/>
      <c r="HUF221" s="1"/>
      <c r="HUG221" s="1"/>
      <c r="HUH221" s="1"/>
      <c r="HUI221" s="1"/>
      <c r="HUJ221" s="1"/>
      <c r="HUK221" s="1"/>
      <c r="HUL221" s="1"/>
      <c r="HUM221" s="1"/>
      <c r="HUN221" s="1"/>
      <c r="HUO221" s="1"/>
      <c r="HUP221" s="1"/>
      <c r="HUQ221" s="1"/>
      <c r="HUR221" s="1"/>
      <c r="HUS221" s="1"/>
      <c r="HUT221" s="1"/>
      <c r="HUU221" s="1"/>
      <c r="HUV221" s="1"/>
      <c r="HUW221" s="1"/>
      <c r="HUX221" s="1"/>
      <c r="HUY221" s="1"/>
      <c r="HUZ221" s="1"/>
      <c r="HVA221" s="1"/>
      <c r="HVB221" s="1"/>
      <c r="HVC221" s="1"/>
      <c r="HVD221" s="1"/>
      <c r="HVE221" s="1"/>
      <c r="HVF221" s="1"/>
      <c r="HVG221" s="1"/>
      <c r="HVH221" s="1"/>
      <c r="HVI221" s="1"/>
      <c r="HVJ221" s="1"/>
      <c r="HVK221" s="1"/>
      <c r="HVL221" s="1"/>
      <c r="HVM221" s="1"/>
      <c r="HVN221" s="1"/>
      <c r="HVO221" s="1"/>
      <c r="HVP221" s="1"/>
      <c r="HVQ221" s="1"/>
      <c r="HVR221" s="1"/>
      <c r="HVS221" s="1"/>
      <c r="HVT221" s="1"/>
      <c r="HVU221" s="1"/>
      <c r="HVV221" s="1"/>
      <c r="HVW221" s="1"/>
      <c r="HVX221" s="1"/>
      <c r="HVY221" s="1"/>
      <c r="HVZ221" s="1"/>
      <c r="HWA221" s="1"/>
      <c r="HWB221" s="1"/>
      <c r="HWC221" s="1"/>
      <c r="HWD221" s="1"/>
      <c r="HWE221" s="1"/>
      <c r="HWF221" s="1"/>
      <c r="HWG221" s="1"/>
      <c r="HWH221" s="1"/>
      <c r="HWI221" s="1"/>
      <c r="HWJ221" s="1"/>
      <c r="HWK221" s="1"/>
      <c r="HWL221" s="1"/>
      <c r="HWM221" s="1"/>
      <c r="HWN221" s="1"/>
      <c r="HWO221" s="1"/>
      <c r="HWP221" s="1"/>
      <c r="HWQ221" s="1"/>
      <c r="HWR221" s="1"/>
      <c r="HWS221" s="1"/>
      <c r="HWT221" s="1"/>
      <c r="HWU221" s="1"/>
      <c r="HWV221" s="1"/>
      <c r="HWW221" s="1"/>
      <c r="HWX221" s="1"/>
      <c r="HWY221" s="1"/>
      <c r="HWZ221" s="1"/>
      <c r="HXA221" s="1"/>
      <c r="HXB221" s="1"/>
      <c r="HXC221" s="1"/>
      <c r="HXD221" s="1"/>
      <c r="HXE221" s="1"/>
      <c r="HXF221" s="1"/>
      <c r="HXG221" s="1"/>
      <c r="HXH221" s="1"/>
      <c r="HXI221" s="1"/>
      <c r="HXJ221" s="1"/>
      <c r="HXK221" s="1"/>
      <c r="HXL221" s="1"/>
      <c r="HXM221" s="1"/>
      <c r="HXN221" s="1"/>
      <c r="HXO221" s="1"/>
      <c r="HXP221" s="1"/>
      <c r="HXQ221" s="1"/>
      <c r="HXR221" s="1"/>
      <c r="HXS221" s="1"/>
      <c r="HXT221" s="1"/>
      <c r="HXU221" s="1"/>
      <c r="HXV221" s="1"/>
      <c r="HXW221" s="1"/>
      <c r="HXX221" s="1"/>
      <c r="HXY221" s="1"/>
      <c r="HXZ221" s="1"/>
      <c r="HYA221" s="1"/>
      <c r="HYB221" s="1"/>
      <c r="HYC221" s="1"/>
      <c r="HYD221" s="1"/>
      <c r="HYE221" s="1"/>
      <c r="HYF221" s="1"/>
      <c r="HYG221" s="1"/>
      <c r="HYH221" s="1"/>
      <c r="HYI221" s="1"/>
      <c r="HYJ221" s="1"/>
      <c r="HYK221" s="1"/>
      <c r="HYL221" s="1"/>
      <c r="HYM221" s="1"/>
      <c r="HYN221" s="1"/>
      <c r="HYO221" s="1"/>
      <c r="HYP221" s="1"/>
      <c r="HYQ221" s="1"/>
      <c r="HYR221" s="1"/>
      <c r="HYS221" s="1"/>
      <c r="HYT221" s="1"/>
      <c r="HYU221" s="1"/>
      <c r="HYV221" s="1"/>
      <c r="HYW221" s="1"/>
      <c r="HYX221" s="1"/>
      <c r="HYY221" s="1"/>
      <c r="HYZ221" s="1"/>
      <c r="HZA221" s="1"/>
      <c r="HZB221" s="1"/>
      <c r="HZC221" s="1"/>
      <c r="HZD221" s="1"/>
      <c r="HZE221" s="1"/>
      <c r="HZF221" s="1"/>
      <c r="HZG221" s="1"/>
      <c r="HZH221" s="1"/>
      <c r="HZI221" s="1"/>
      <c r="HZJ221" s="1"/>
      <c r="HZK221" s="1"/>
      <c r="HZL221" s="1"/>
      <c r="HZM221" s="1"/>
      <c r="HZN221" s="1"/>
      <c r="HZO221" s="1"/>
      <c r="HZP221" s="1"/>
      <c r="HZQ221" s="1"/>
      <c r="HZR221" s="1"/>
      <c r="HZS221" s="1"/>
      <c r="HZT221" s="1"/>
      <c r="HZU221" s="1"/>
      <c r="HZV221" s="1"/>
      <c r="HZW221" s="1"/>
      <c r="HZX221" s="1"/>
      <c r="HZY221" s="1"/>
      <c r="HZZ221" s="1"/>
      <c r="IAA221" s="1"/>
      <c r="IAB221" s="1"/>
      <c r="IAC221" s="1"/>
      <c r="IAD221" s="1"/>
      <c r="IAE221" s="1"/>
      <c r="IAF221" s="1"/>
      <c r="IAG221" s="1"/>
      <c r="IAH221" s="1"/>
      <c r="IAI221" s="1"/>
      <c r="IAJ221" s="1"/>
      <c r="IAK221" s="1"/>
      <c r="IAL221" s="1"/>
      <c r="IAM221" s="1"/>
      <c r="IAN221" s="1"/>
      <c r="IAO221" s="1"/>
      <c r="IAP221" s="1"/>
      <c r="IAQ221" s="1"/>
      <c r="IAR221" s="1"/>
      <c r="IAS221" s="1"/>
      <c r="IAT221" s="1"/>
      <c r="IAU221" s="1"/>
      <c r="IAV221" s="1"/>
      <c r="IAW221" s="1"/>
      <c r="IAX221" s="1"/>
      <c r="IAY221" s="1"/>
      <c r="IAZ221" s="1"/>
      <c r="IBA221" s="1"/>
      <c r="IBB221" s="1"/>
      <c r="IBC221" s="1"/>
      <c r="IBD221" s="1"/>
      <c r="IBE221" s="1"/>
      <c r="IBF221" s="1"/>
      <c r="IBG221" s="1"/>
      <c r="IBH221" s="1"/>
      <c r="IBI221" s="1"/>
      <c r="IBJ221" s="1"/>
      <c r="IBK221" s="1"/>
      <c r="IBL221" s="1"/>
      <c r="IBM221" s="1"/>
      <c r="IBN221" s="1"/>
      <c r="IBO221" s="1"/>
      <c r="IBP221" s="1"/>
      <c r="IBQ221" s="1"/>
      <c r="IBR221" s="1"/>
      <c r="IBS221" s="1"/>
      <c r="IBT221" s="1"/>
      <c r="IBU221" s="1"/>
      <c r="IBV221" s="1"/>
      <c r="IBW221" s="1"/>
      <c r="IBX221" s="1"/>
      <c r="IBY221" s="1"/>
      <c r="IBZ221" s="1"/>
      <c r="ICA221" s="1"/>
      <c r="ICB221" s="1"/>
      <c r="ICC221" s="1"/>
      <c r="ICD221" s="1"/>
      <c r="ICE221" s="1"/>
      <c r="ICF221" s="1"/>
      <c r="ICG221" s="1"/>
      <c r="ICH221" s="1"/>
      <c r="ICI221" s="1"/>
      <c r="ICJ221" s="1"/>
      <c r="ICK221" s="1"/>
      <c r="ICL221" s="1"/>
      <c r="ICM221" s="1"/>
      <c r="ICN221" s="1"/>
      <c r="ICO221" s="1"/>
      <c r="ICP221" s="1"/>
      <c r="ICQ221" s="1"/>
      <c r="ICR221" s="1"/>
      <c r="ICS221" s="1"/>
      <c r="ICT221" s="1"/>
      <c r="ICU221" s="1"/>
      <c r="ICV221" s="1"/>
      <c r="ICW221" s="1"/>
      <c r="ICX221" s="1"/>
      <c r="ICY221" s="1"/>
      <c r="ICZ221" s="1"/>
      <c r="IDA221" s="1"/>
      <c r="IDB221" s="1"/>
      <c r="IDC221" s="1"/>
      <c r="IDD221" s="1"/>
      <c r="IDE221" s="1"/>
      <c r="IDF221" s="1"/>
      <c r="IDG221" s="1"/>
      <c r="IDH221" s="1"/>
      <c r="IDI221" s="1"/>
      <c r="IDJ221" s="1"/>
      <c r="IDK221" s="1"/>
      <c r="IDL221" s="1"/>
      <c r="IDM221" s="1"/>
      <c r="IDN221" s="1"/>
      <c r="IDO221" s="1"/>
      <c r="IDP221" s="1"/>
      <c r="IDQ221" s="1"/>
      <c r="IDR221" s="1"/>
      <c r="IDS221" s="1"/>
      <c r="IDT221" s="1"/>
      <c r="IDU221" s="1"/>
      <c r="IDV221" s="1"/>
      <c r="IDW221" s="1"/>
      <c r="IDX221" s="1"/>
      <c r="IDY221" s="1"/>
      <c r="IDZ221" s="1"/>
      <c r="IEA221" s="1"/>
      <c r="IEB221" s="1"/>
      <c r="IEC221" s="1"/>
      <c r="IED221" s="1"/>
      <c r="IEE221" s="1"/>
      <c r="IEF221" s="1"/>
      <c r="IEG221" s="1"/>
      <c r="IEH221" s="1"/>
      <c r="IEI221" s="1"/>
      <c r="IEJ221" s="1"/>
      <c r="IEK221" s="1"/>
      <c r="IEL221" s="1"/>
      <c r="IEM221" s="1"/>
      <c r="IEN221" s="1"/>
      <c r="IEO221" s="1"/>
      <c r="IEP221" s="1"/>
      <c r="IEQ221" s="1"/>
      <c r="IER221" s="1"/>
      <c r="IES221" s="1"/>
      <c r="IET221" s="1"/>
      <c r="IEU221" s="1"/>
      <c r="IEV221" s="1"/>
      <c r="IEW221" s="1"/>
      <c r="IEX221" s="1"/>
      <c r="IEY221" s="1"/>
      <c r="IEZ221" s="1"/>
      <c r="IFA221" s="1"/>
      <c r="IFB221" s="1"/>
      <c r="IFC221" s="1"/>
      <c r="IFD221" s="1"/>
      <c r="IFE221" s="1"/>
      <c r="IFF221" s="1"/>
      <c r="IFG221" s="1"/>
      <c r="IFH221" s="1"/>
      <c r="IFI221" s="1"/>
      <c r="IFJ221" s="1"/>
      <c r="IFK221" s="1"/>
      <c r="IFL221" s="1"/>
      <c r="IFM221" s="1"/>
      <c r="IFN221" s="1"/>
      <c r="IFO221" s="1"/>
      <c r="IFP221" s="1"/>
      <c r="IFQ221" s="1"/>
      <c r="IFR221" s="1"/>
      <c r="IFS221" s="1"/>
      <c r="IFT221" s="1"/>
      <c r="IFU221" s="1"/>
      <c r="IFV221" s="1"/>
      <c r="IFW221" s="1"/>
      <c r="IFX221" s="1"/>
      <c r="IFY221" s="1"/>
      <c r="IFZ221" s="1"/>
      <c r="IGA221" s="1"/>
      <c r="IGB221" s="1"/>
      <c r="IGC221" s="1"/>
      <c r="IGD221" s="1"/>
      <c r="IGE221" s="1"/>
      <c r="IGF221" s="1"/>
      <c r="IGG221" s="1"/>
      <c r="IGH221" s="1"/>
      <c r="IGI221" s="1"/>
      <c r="IGJ221" s="1"/>
      <c r="IGK221" s="1"/>
      <c r="IGL221" s="1"/>
      <c r="IGM221" s="1"/>
      <c r="IGN221" s="1"/>
      <c r="IGO221" s="1"/>
      <c r="IGP221" s="1"/>
      <c r="IGQ221" s="1"/>
      <c r="IGR221" s="1"/>
      <c r="IGS221" s="1"/>
      <c r="IGT221" s="1"/>
      <c r="IGU221" s="1"/>
      <c r="IGV221" s="1"/>
      <c r="IGW221" s="1"/>
      <c r="IGX221" s="1"/>
      <c r="IGY221" s="1"/>
      <c r="IGZ221" s="1"/>
      <c r="IHA221" s="1"/>
      <c r="IHB221" s="1"/>
      <c r="IHC221" s="1"/>
      <c r="IHD221" s="1"/>
      <c r="IHE221" s="1"/>
      <c r="IHF221" s="1"/>
      <c r="IHG221" s="1"/>
      <c r="IHH221" s="1"/>
      <c r="IHI221" s="1"/>
      <c r="IHJ221" s="1"/>
      <c r="IHK221" s="1"/>
      <c r="IHL221" s="1"/>
      <c r="IHM221" s="1"/>
      <c r="IHN221" s="1"/>
      <c r="IHO221" s="1"/>
      <c r="IHP221" s="1"/>
      <c r="IHQ221" s="1"/>
      <c r="IHR221" s="1"/>
      <c r="IHS221" s="1"/>
      <c r="IHT221" s="1"/>
      <c r="IHU221" s="1"/>
      <c r="IHV221" s="1"/>
      <c r="IHW221" s="1"/>
      <c r="IHX221" s="1"/>
      <c r="IHY221" s="1"/>
      <c r="IHZ221" s="1"/>
      <c r="IIA221" s="1"/>
      <c r="IIB221" s="1"/>
      <c r="IIC221" s="1"/>
      <c r="IID221" s="1"/>
      <c r="IIE221" s="1"/>
      <c r="IIF221" s="1"/>
      <c r="IIG221" s="1"/>
      <c r="IIH221" s="1"/>
      <c r="III221" s="1"/>
      <c r="IIJ221" s="1"/>
      <c r="IIK221" s="1"/>
      <c r="IIL221" s="1"/>
      <c r="IIM221" s="1"/>
      <c r="IIN221" s="1"/>
      <c r="IIO221" s="1"/>
      <c r="IIP221" s="1"/>
      <c r="IIQ221" s="1"/>
      <c r="IIR221" s="1"/>
      <c r="IIS221" s="1"/>
      <c r="IIT221" s="1"/>
      <c r="IIU221" s="1"/>
      <c r="IIV221" s="1"/>
      <c r="IIW221" s="1"/>
      <c r="IIX221" s="1"/>
      <c r="IIY221" s="1"/>
      <c r="IIZ221" s="1"/>
      <c r="IJA221" s="1"/>
      <c r="IJB221" s="1"/>
      <c r="IJC221" s="1"/>
      <c r="IJD221" s="1"/>
      <c r="IJE221" s="1"/>
      <c r="IJF221" s="1"/>
      <c r="IJG221" s="1"/>
      <c r="IJH221" s="1"/>
      <c r="IJI221" s="1"/>
      <c r="IJJ221" s="1"/>
      <c r="IJK221" s="1"/>
      <c r="IJL221" s="1"/>
      <c r="IJM221" s="1"/>
      <c r="IJN221" s="1"/>
      <c r="IJO221" s="1"/>
      <c r="IJP221" s="1"/>
      <c r="IJQ221" s="1"/>
      <c r="IJR221" s="1"/>
      <c r="IJS221" s="1"/>
      <c r="IJT221" s="1"/>
      <c r="IJU221" s="1"/>
      <c r="IJV221" s="1"/>
      <c r="IJW221" s="1"/>
      <c r="IJX221" s="1"/>
      <c r="IJY221" s="1"/>
      <c r="IJZ221" s="1"/>
      <c r="IKA221" s="1"/>
      <c r="IKB221" s="1"/>
      <c r="IKC221" s="1"/>
      <c r="IKD221" s="1"/>
      <c r="IKE221" s="1"/>
      <c r="IKF221" s="1"/>
      <c r="IKG221" s="1"/>
      <c r="IKH221" s="1"/>
      <c r="IKI221" s="1"/>
      <c r="IKJ221" s="1"/>
      <c r="IKK221" s="1"/>
      <c r="IKL221" s="1"/>
      <c r="IKM221" s="1"/>
      <c r="IKN221" s="1"/>
      <c r="IKO221" s="1"/>
      <c r="IKP221" s="1"/>
      <c r="IKQ221" s="1"/>
      <c r="IKR221" s="1"/>
      <c r="IKS221" s="1"/>
      <c r="IKT221" s="1"/>
      <c r="IKU221" s="1"/>
      <c r="IKV221" s="1"/>
      <c r="IKW221" s="1"/>
      <c r="IKX221" s="1"/>
      <c r="IKY221" s="1"/>
      <c r="IKZ221" s="1"/>
      <c r="ILA221" s="1"/>
      <c r="ILB221" s="1"/>
      <c r="ILC221" s="1"/>
      <c r="ILD221" s="1"/>
      <c r="ILE221" s="1"/>
      <c r="ILF221" s="1"/>
      <c r="ILG221" s="1"/>
      <c r="ILH221" s="1"/>
      <c r="ILI221" s="1"/>
      <c r="ILJ221" s="1"/>
      <c r="ILK221" s="1"/>
      <c r="ILL221" s="1"/>
      <c r="ILM221" s="1"/>
      <c r="ILN221" s="1"/>
      <c r="ILO221" s="1"/>
      <c r="ILP221" s="1"/>
      <c r="ILQ221" s="1"/>
      <c r="ILR221" s="1"/>
      <c r="ILS221" s="1"/>
      <c r="ILT221" s="1"/>
      <c r="ILU221" s="1"/>
      <c r="ILV221" s="1"/>
      <c r="ILW221" s="1"/>
      <c r="ILX221" s="1"/>
      <c r="ILY221" s="1"/>
      <c r="ILZ221" s="1"/>
      <c r="IMA221" s="1"/>
      <c r="IMB221" s="1"/>
      <c r="IMC221" s="1"/>
      <c r="IMD221" s="1"/>
      <c r="IME221" s="1"/>
      <c r="IMF221" s="1"/>
      <c r="IMG221" s="1"/>
      <c r="IMH221" s="1"/>
      <c r="IMI221" s="1"/>
      <c r="IMJ221" s="1"/>
      <c r="IMK221" s="1"/>
      <c r="IML221" s="1"/>
      <c r="IMM221" s="1"/>
      <c r="IMN221" s="1"/>
      <c r="IMO221" s="1"/>
      <c r="IMP221" s="1"/>
      <c r="IMQ221" s="1"/>
      <c r="IMR221" s="1"/>
      <c r="IMS221" s="1"/>
      <c r="IMT221" s="1"/>
      <c r="IMU221" s="1"/>
      <c r="IMV221" s="1"/>
      <c r="IMW221" s="1"/>
      <c r="IMX221" s="1"/>
      <c r="IMY221" s="1"/>
      <c r="IMZ221" s="1"/>
      <c r="INA221" s="1"/>
      <c r="INB221" s="1"/>
      <c r="INC221" s="1"/>
      <c r="IND221" s="1"/>
      <c r="INE221" s="1"/>
      <c r="INF221" s="1"/>
      <c r="ING221" s="1"/>
      <c r="INH221" s="1"/>
      <c r="INI221" s="1"/>
      <c r="INJ221" s="1"/>
      <c r="INK221" s="1"/>
      <c r="INL221" s="1"/>
      <c r="INM221" s="1"/>
      <c r="INN221" s="1"/>
      <c r="INO221" s="1"/>
      <c r="INP221" s="1"/>
      <c r="INQ221" s="1"/>
      <c r="INR221" s="1"/>
      <c r="INS221" s="1"/>
      <c r="INT221" s="1"/>
      <c r="INU221" s="1"/>
      <c r="INV221" s="1"/>
      <c r="INW221" s="1"/>
      <c r="INX221" s="1"/>
      <c r="INY221" s="1"/>
      <c r="INZ221" s="1"/>
      <c r="IOA221" s="1"/>
      <c r="IOB221" s="1"/>
      <c r="IOC221" s="1"/>
      <c r="IOD221" s="1"/>
      <c r="IOE221" s="1"/>
      <c r="IOF221" s="1"/>
      <c r="IOG221" s="1"/>
      <c r="IOH221" s="1"/>
      <c r="IOI221" s="1"/>
      <c r="IOJ221" s="1"/>
      <c r="IOK221" s="1"/>
      <c r="IOL221" s="1"/>
      <c r="IOM221" s="1"/>
      <c r="ION221" s="1"/>
      <c r="IOO221" s="1"/>
      <c r="IOP221" s="1"/>
      <c r="IOQ221" s="1"/>
      <c r="IOR221" s="1"/>
      <c r="IOS221" s="1"/>
      <c r="IOT221" s="1"/>
      <c r="IOU221" s="1"/>
      <c r="IOV221" s="1"/>
      <c r="IOW221" s="1"/>
      <c r="IOX221" s="1"/>
      <c r="IOY221" s="1"/>
      <c r="IOZ221" s="1"/>
      <c r="IPA221" s="1"/>
      <c r="IPB221" s="1"/>
      <c r="IPC221" s="1"/>
      <c r="IPD221" s="1"/>
      <c r="IPE221" s="1"/>
      <c r="IPF221" s="1"/>
      <c r="IPG221" s="1"/>
      <c r="IPH221" s="1"/>
      <c r="IPI221" s="1"/>
      <c r="IPJ221" s="1"/>
      <c r="IPK221" s="1"/>
      <c r="IPL221" s="1"/>
      <c r="IPM221" s="1"/>
      <c r="IPN221" s="1"/>
      <c r="IPO221" s="1"/>
      <c r="IPP221" s="1"/>
      <c r="IPQ221" s="1"/>
      <c r="IPR221" s="1"/>
      <c r="IPS221" s="1"/>
      <c r="IPT221" s="1"/>
      <c r="IPU221" s="1"/>
      <c r="IPV221" s="1"/>
      <c r="IPW221" s="1"/>
      <c r="IPX221" s="1"/>
      <c r="IPY221" s="1"/>
      <c r="IPZ221" s="1"/>
      <c r="IQA221" s="1"/>
      <c r="IQB221" s="1"/>
      <c r="IQC221" s="1"/>
      <c r="IQD221" s="1"/>
      <c r="IQE221" s="1"/>
      <c r="IQF221" s="1"/>
      <c r="IQG221" s="1"/>
      <c r="IQH221" s="1"/>
      <c r="IQI221" s="1"/>
      <c r="IQJ221" s="1"/>
      <c r="IQK221" s="1"/>
      <c r="IQL221" s="1"/>
      <c r="IQM221" s="1"/>
      <c r="IQN221" s="1"/>
      <c r="IQO221" s="1"/>
      <c r="IQP221" s="1"/>
      <c r="IQQ221" s="1"/>
      <c r="IQR221" s="1"/>
      <c r="IQS221" s="1"/>
      <c r="IQT221" s="1"/>
      <c r="IQU221" s="1"/>
      <c r="IQV221" s="1"/>
      <c r="IQW221" s="1"/>
      <c r="IQX221" s="1"/>
      <c r="IQY221" s="1"/>
      <c r="IQZ221" s="1"/>
      <c r="IRA221" s="1"/>
      <c r="IRB221" s="1"/>
      <c r="IRC221" s="1"/>
      <c r="IRD221" s="1"/>
      <c r="IRE221" s="1"/>
      <c r="IRF221" s="1"/>
      <c r="IRG221" s="1"/>
      <c r="IRH221" s="1"/>
      <c r="IRI221" s="1"/>
      <c r="IRJ221" s="1"/>
      <c r="IRK221" s="1"/>
      <c r="IRL221" s="1"/>
      <c r="IRM221" s="1"/>
      <c r="IRN221" s="1"/>
      <c r="IRO221" s="1"/>
      <c r="IRP221" s="1"/>
      <c r="IRQ221" s="1"/>
      <c r="IRR221" s="1"/>
      <c r="IRS221" s="1"/>
      <c r="IRT221" s="1"/>
      <c r="IRU221" s="1"/>
      <c r="IRV221" s="1"/>
      <c r="IRW221" s="1"/>
      <c r="IRX221" s="1"/>
      <c r="IRY221" s="1"/>
      <c r="IRZ221" s="1"/>
      <c r="ISA221" s="1"/>
      <c r="ISB221" s="1"/>
      <c r="ISC221" s="1"/>
      <c r="ISD221" s="1"/>
      <c r="ISE221" s="1"/>
      <c r="ISF221" s="1"/>
      <c r="ISG221" s="1"/>
      <c r="ISH221" s="1"/>
      <c r="ISI221" s="1"/>
      <c r="ISJ221" s="1"/>
      <c r="ISK221" s="1"/>
      <c r="ISL221" s="1"/>
      <c r="ISM221" s="1"/>
      <c r="ISN221" s="1"/>
      <c r="ISO221" s="1"/>
      <c r="ISP221" s="1"/>
      <c r="ISQ221" s="1"/>
      <c r="ISR221" s="1"/>
      <c r="ISS221" s="1"/>
      <c r="IST221" s="1"/>
      <c r="ISU221" s="1"/>
      <c r="ISV221" s="1"/>
      <c r="ISW221" s="1"/>
      <c r="ISX221" s="1"/>
      <c r="ISY221" s="1"/>
      <c r="ISZ221" s="1"/>
      <c r="ITA221" s="1"/>
      <c r="ITB221" s="1"/>
      <c r="ITC221" s="1"/>
      <c r="ITD221" s="1"/>
      <c r="ITE221" s="1"/>
      <c r="ITF221" s="1"/>
      <c r="ITG221" s="1"/>
      <c r="ITH221" s="1"/>
      <c r="ITI221" s="1"/>
      <c r="ITJ221" s="1"/>
      <c r="ITK221" s="1"/>
      <c r="ITL221" s="1"/>
      <c r="ITM221" s="1"/>
      <c r="ITN221" s="1"/>
      <c r="ITO221" s="1"/>
      <c r="ITP221" s="1"/>
      <c r="ITQ221" s="1"/>
      <c r="ITR221" s="1"/>
      <c r="ITS221" s="1"/>
      <c r="ITT221" s="1"/>
      <c r="ITU221" s="1"/>
      <c r="ITV221" s="1"/>
      <c r="ITW221" s="1"/>
      <c r="ITX221" s="1"/>
      <c r="ITY221" s="1"/>
      <c r="ITZ221" s="1"/>
      <c r="IUA221" s="1"/>
      <c r="IUB221" s="1"/>
      <c r="IUC221" s="1"/>
      <c r="IUD221" s="1"/>
      <c r="IUE221" s="1"/>
      <c r="IUF221" s="1"/>
      <c r="IUG221" s="1"/>
      <c r="IUH221" s="1"/>
      <c r="IUI221" s="1"/>
      <c r="IUJ221" s="1"/>
      <c r="IUK221" s="1"/>
      <c r="IUL221" s="1"/>
      <c r="IUM221" s="1"/>
      <c r="IUN221" s="1"/>
      <c r="IUO221" s="1"/>
      <c r="IUP221" s="1"/>
      <c r="IUQ221" s="1"/>
      <c r="IUR221" s="1"/>
      <c r="IUS221" s="1"/>
      <c r="IUT221" s="1"/>
      <c r="IUU221" s="1"/>
      <c r="IUV221" s="1"/>
      <c r="IUW221" s="1"/>
      <c r="IUX221" s="1"/>
      <c r="IUY221" s="1"/>
      <c r="IUZ221" s="1"/>
      <c r="IVA221" s="1"/>
      <c r="IVB221" s="1"/>
      <c r="IVC221" s="1"/>
      <c r="IVD221" s="1"/>
      <c r="IVE221" s="1"/>
      <c r="IVF221" s="1"/>
      <c r="IVG221" s="1"/>
      <c r="IVH221" s="1"/>
      <c r="IVI221" s="1"/>
      <c r="IVJ221" s="1"/>
      <c r="IVK221" s="1"/>
      <c r="IVL221" s="1"/>
      <c r="IVM221" s="1"/>
      <c r="IVN221" s="1"/>
      <c r="IVO221" s="1"/>
      <c r="IVP221" s="1"/>
      <c r="IVQ221" s="1"/>
      <c r="IVR221" s="1"/>
      <c r="IVS221" s="1"/>
      <c r="IVT221" s="1"/>
      <c r="IVU221" s="1"/>
      <c r="IVV221" s="1"/>
      <c r="IVW221" s="1"/>
      <c r="IVX221" s="1"/>
      <c r="IVY221" s="1"/>
      <c r="IVZ221" s="1"/>
      <c r="IWA221" s="1"/>
      <c r="IWB221" s="1"/>
      <c r="IWC221" s="1"/>
      <c r="IWD221" s="1"/>
      <c r="IWE221" s="1"/>
      <c r="IWF221" s="1"/>
      <c r="IWG221" s="1"/>
      <c r="IWH221" s="1"/>
      <c r="IWI221" s="1"/>
      <c r="IWJ221" s="1"/>
      <c r="IWK221" s="1"/>
      <c r="IWL221" s="1"/>
      <c r="IWM221" s="1"/>
      <c r="IWN221" s="1"/>
      <c r="IWO221" s="1"/>
      <c r="IWP221" s="1"/>
      <c r="IWQ221" s="1"/>
      <c r="IWR221" s="1"/>
      <c r="IWS221" s="1"/>
      <c r="IWT221" s="1"/>
      <c r="IWU221" s="1"/>
      <c r="IWV221" s="1"/>
      <c r="IWW221" s="1"/>
      <c r="IWX221" s="1"/>
      <c r="IWY221" s="1"/>
      <c r="IWZ221" s="1"/>
      <c r="IXA221" s="1"/>
      <c r="IXB221" s="1"/>
      <c r="IXC221" s="1"/>
      <c r="IXD221" s="1"/>
      <c r="IXE221" s="1"/>
      <c r="IXF221" s="1"/>
      <c r="IXG221" s="1"/>
      <c r="IXH221" s="1"/>
      <c r="IXI221" s="1"/>
      <c r="IXJ221" s="1"/>
      <c r="IXK221" s="1"/>
      <c r="IXL221" s="1"/>
      <c r="IXM221" s="1"/>
      <c r="IXN221" s="1"/>
      <c r="IXO221" s="1"/>
      <c r="IXP221" s="1"/>
      <c r="IXQ221" s="1"/>
      <c r="IXR221" s="1"/>
      <c r="IXS221" s="1"/>
      <c r="IXT221" s="1"/>
      <c r="IXU221" s="1"/>
      <c r="IXV221" s="1"/>
      <c r="IXW221" s="1"/>
      <c r="IXX221" s="1"/>
      <c r="IXY221" s="1"/>
      <c r="IXZ221" s="1"/>
      <c r="IYA221" s="1"/>
      <c r="IYB221" s="1"/>
      <c r="IYC221" s="1"/>
      <c r="IYD221" s="1"/>
      <c r="IYE221" s="1"/>
      <c r="IYF221" s="1"/>
      <c r="IYG221" s="1"/>
      <c r="IYH221" s="1"/>
      <c r="IYI221" s="1"/>
      <c r="IYJ221" s="1"/>
      <c r="IYK221" s="1"/>
      <c r="IYL221" s="1"/>
      <c r="IYM221" s="1"/>
      <c r="IYN221" s="1"/>
      <c r="IYO221" s="1"/>
      <c r="IYP221" s="1"/>
      <c r="IYQ221" s="1"/>
      <c r="IYR221" s="1"/>
      <c r="IYS221" s="1"/>
      <c r="IYT221" s="1"/>
      <c r="IYU221" s="1"/>
      <c r="IYV221" s="1"/>
      <c r="IYW221" s="1"/>
      <c r="IYX221" s="1"/>
      <c r="IYY221" s="1"/>
      <c r="IYZ221" s="1"/>
      <c r="IZA221" s="1"/>
      <c r="IZB221" s="1"/>
      <c r="IZC221" s="1"/>
      <c r="IZD221" s="1"/>
      <c r="IZE221" s="1"/>
      <c r="IZF221" s="1"/>
      <c r="IZG221" s="1"/>
      <c r="IZH221" s="1"/>
      <c r="IZI221" s="1"/>
      <c r="IZJ221" s="1"/>
      <c r="IZK221" s="1"/>
      <c r="IZL221" s="1"/>
      <c r="IZM221" s="1"/>
      <c r="IZN221" s="1"/>
      <c r="IZO221" s="1"/>
      <c r="IZP221" s="1"/>
      <c r="IZQ221" s="1"/>
      <c r="IZR221" s="1"/>
      <c r="IZS221" s="1"/>
      <c r="IZT221" s="1"/>
      <c r="IZU221" s="1"/>
      <c r="IZV221" s="1"/>
      <c r="IZW221" s="1"/>
      <c r="IZX221" s="1"/>
      <c r="IZY221" s="1"/>
      <c r="IZZ221" s="1"/>
      <c r="JAA221" s="1"/>
      <c r="JAB221" s="1"/>
      <c r="JAC221" s="1"/>
      <c r="JAD221" s="1"/>
      <c r="JAE221" s="1"/>
      <c r="JAF221" s="1"/>
      <c r="JAG221" s="1"/>
      <c r="JAH221" s="1"/>
      <c r="JAI221" s="1"/>
      <c r="JAJ221" s="1"/>
      <c r="JAK221" s="1"/>
      <c r="JAL221" s="1"/>
      <c r="JAM221" s="1"/>
      <c r="JAN221" s="1"/>
      <c r="JAO221" s="1"/>
      <c r="JAP221" s="1"/>
      <c r="JAQ221" s="1"/>
      <c r="JAR221" s="1"/>
      <c r="JAS221" s="1"/>
      <c r="JAT221" s="1"/>
      <c r="JAU221" s="1"/>
      <c r="JAV221" s="1"/>
      <c r="JAW221" s="1"/>
      <c r="JAX221" s="1"/>
      <c r="JAY221" s="1"/>
      <c r="JAZ221" s="1"/>
      <c r="JBA221" s="1"/>
      <c r="JBB221" s="1"/>
      <c r="JBC221" s="1"/>
      <c r="JBD221" s="1"/>
      <c r="JBE221" s="1"/>
      <c r="JBF221" s="1"/>
      <c r="JBG221" s="1"/>
      <c r="JBH221" s="1"/>
      <c r="JBI221" s="1"/>
      <c r="JBJ221" s="1"/>
      <c r="JBK221" s="1"/>
      <c r="JBL221" s="1"/>
      <c r="JBM221" s="1"/>
      <c r="JBN221" s="1"/>
      <c r="JBO221" s="1"/>
      <c r="JBP221" s="1"/>
      <c r="JBQ221" s="1"/>
      <c r="JBR221" s="1"/>
      <c r="JBS221" s="1"/>
      <c r="JBT221" s="1"/>
      <c r="JBU221" s="1"/>
      <c r="JBV221" s="1"/>
      <c r="JBW221" s="1"/>
      <c r="JBX221" s="1"/>
      <c r="JBY221" s="1"/>
      <c r="JBZ221" s="1"/>
      <c r="JCA221" s="1"/>
      <c r="JCB221" s="1"/>
      <c r="JCC221" s="1"/>
      <c r="JCD221" s="1"/>
      <c r="JCE221" s="1"/>
      <c r="JCF221" s="1"/>
      <c r="JCG221" s="1"/>
      <c r="JCH221" s="1"/>
      <c r="JCI221" s="1"/>
      <c r="JCJ221" s="1"/>
      <c r="JCK221" s="1"/>
      <c r="JCL221" s="1"/>
      <c r="JCM221" s="1"/>
      <c r="JCN221" s="1"/>
      <c r="JCO221" s="1"/>
      <c r="JCP221" s="1"/>
      <c r="JCQ221" s="1"/>
      <c r="JCR221" s="1"/>
      <c r="JCS221" s="1"/>
      <c r="JCT221" s="1"/>
      <c r="JCU221" s="1"/>
      <c r="JCV221" s="1"/>
      <c r="JCW221" s="1"/>
      <c r="JCX221" s="1"/>
      <c r="JCY221" s="1"/>
      <c r="JCZ221" s="1"/>
      <c r="JDA221" s="1"/>
      <c r="JDB221" s="1"/>
      <c r="JDC221" s="1"/>
      <c r="JDD221" s="1"/>
      <c r="JDE221" s="1"/>
      <c r="JDF221" s="1"/>
      <c r="JDG221" s="1"/>
      <c r="JDH221" s="1"/>
      <c r="JDI221" s="1"/>
      <c r="JDJ221" s="1"/>
      <c r="JDK221" s="1"/>
      <c r="JDL221" s="1"/>
      <c r="JDM221" s="1"/>
      <c r="JDN221" s="1"/>
      <c r="JDO221" s="1"/>
      <c r="JDP221" s="1"/>
      <c r="JDQ221" s="1"/>
      <c r="JDR221" s="1"/>
      <c r="JDS221" s="1"/>
      <c r="JDT221" s="1"/>
      <c r="JDU221" s="1"/>
      <c r="JDV221" s="1"/>
      <c r="JDW221" s="1"/>
      <c r="JDX221" s="1"/>
      <c r="JDY221" s="1"/>
      <c r="JDZ221" s="1"/>
      <c r="JEA221" s="1"/>
      <c r="JEB221" s="1"/>
      <c r="JEC221" s="1"/>
      <c r="JED221" s="1"/>
      <c r="JEE221" s="1"/>
      <c r="JEF221" s="1"/>
      <c r="JEG221" s="1"/>
      <c r="JEH221" s="1"/>
      <c r="JEI221" s="1"/>
      <c r="JEJ221" s="1"/>
      <c r="JEK221" s="1"/>
      <c r="JEL221" s="1"/>
      <c r="JEM221" s="1"/>
      <c r="JEN221" s="1"/>
      <c r="JEO221" s="1"/>
      <c r="JEP221" s="1"/>
      <c r="JEQ221" s="1"/>
      <c r="JER221" s="1"/>
      <c r="JES221" s="1"/>
      <c r="JET221" s="1"/>
      <c r="JEU221" s="1"/>
      <c r="JEV221" s="1"/>
      <c r="JEW221" s="1"/>
      <c r="JEX221" s="1"/>
      <c r="JEY221" s="1"/>
      <c r="JEZ221" s="1"/>
      <c r="JFA221" s="1"/>
      <c r="JFB221" s="1"/>
      <c r="JFC221" s="1"/>
      <c r="JFD221" s="1"/>
      <c r="JFE221" s="1"/>
      <c r="JFF221" s="1"/>
      <c r="JFG221" s="1"/>
      <c r="JFH221" s="1"/>
      <c r="JFI221" s="1"/>
      <c r="JFJ221" s="1"/>
      <c r="JFK221" s="1"/>
      <c r="JFL221" s="1"/>
      <c r="JFM221" s="1"/>
      <c r="JFN221" s="1"/>
      <c r="JFO221" s="1"/>
      <c r="JFP221" s="1"/>
      <c r="JFQ221" s="1"/>
      <c r="JFR221" s="1"/>
      <c r="JFS221" s="1"/>
      <c r="JFT221" s="1"/>
      <c r="JFU221" s="1"/>
      <c r="JFV221" s="1"/>
      <c r="JFW221" s="1"/>
      <c r="JFX221" s="1"/>
      <c r="JFY221" s="1"/>
      <c r="JFZ221" s="1"/>
      <c r="JGA221" s="1"/>
      <c r="JGB221" s="1"/>
      <c r="JGC221" s="1"/>
      <c r="JGD221" s="1"/>
      <c r="JGE221" s="1"/>
      <c r="JGF221" s="1"/>
      <c r="JGG221" s="1"/>
      <c r="JGH221" s="1"/>
      <c r="JGI221" s="1"/>
      <c r="JGJ221" s="1"/>
      <c r="JGK221" s="1"/>
      <c r="JGL221" s="1"/>
      <c r="JGM221" s="1"/>
      <c r="JGN221" s="1"/>
      <c r="JGO221" s="1"/>
      <c r="JGP221" s="1"/>
      <c r="JGQ221" s="1"/>
      <c r="JGR221" s="1"/>
      <c r="JGS221" s="1"/>
      <c r="JGT221" s="1"/>
      <c r="JGU221" s="1"/>
      <c r="JGV221" s="1"/>
      <c r="JGW221" s="1"/>
      <c r="JGX221" s="1"/>
      <c r="JGY221" s="1"/>
      <c r="JGZ221" s="1"/>
      <c r="JHA221" s="1"/>
      <c r="JHB221" s="1"/>
      <c r="JHC221" s="1"/>
      <c r="JHD221" s="1"/>
      <c r="JHE221" s="1"/>
      <c r="JHF221" s="1"/>
      <c r="JHG221" s="1"/>
      <c r="JHH221" s="1"/>
      <c r="JHI221" s="1"/>
      <c r="JHJ221" s="1"/>
      <c r="JHK221" s="1"/>
      <c r="JHL221" s="1"/>
      <c r="JHM221" s="1"/>
      <c r="JHN221" s="1"/>
      <c r="JHO221" s="1"/>
      <c r="JHP221" s="1"/>
      <c r="JHQ221" s="1"/>
      <c r="JHR221" s="1"/>
      <c r="JHS221" s="1"/>
      <c r="JHT221" s="1"/>
      <c r="JHU221" s="1"/>
      <c r="JHV221" s="1"/>
      <c r="JHW221" s="1"/>
      <c r="JHX221" s="1"/>
      <c r="JHY221" s="1"/>
      <c r="JHZ221" s="1"/>
      <c r="JIA221" s="1"/>
      <c r="JIB221" s="1"/>
      <c r="JIC221" s="1"/>
      <c r="JID221" s="1"/>
      <c r="JIE221" s="1"/>
      <c r="JIF221" s="1"/>
      <c r="JIG221" s="1"/>
      <c r="JIH221" s="1"/>
      <c r="JII221" s="1"/>
      <c r="JIJ221" s="1"/>
      <c r="JIK221" s="1"/>
      <c r="JIL221" s="1"/>
      <c r="JIM221" s="1"/>
      <c r="JIN221" s="1"/>
      <c r="JIO221" s="1"/>
      <c r="JIP221" s="1"/>
      <c r="JIQ221" s="1"/>
      <c r="JIR221" s="1"/>
      <c r="JIS221" s="1"/>
      <c r="JIT221" s="1"/>
      <c r="JIU221" s="1"/>
      <c r="JIV221" s="1"/>
      <c r="JIW221" s="1"/>
      <c r="JIX221" s="1"/>
      <c r="JIY221" s="1"/>
      <c r="JIZ221" s="1"/>
      <c r="JJA221" s="1"/>
      <c r="JJB221" s="1"/>
      <c r="JJC221" s="1"/>
      <c r="JJD221" s="1"/>
      <c r="JJE221" s="1"/>
      <c r="JJF221" s="1"/>
      <c r="JJG221" s="1"/>
      <c r="JJH221" s="1"/>
      <c r="JJI221" s="1"/>
      <c r="JJJ221" s="1"/>
      <c r="JJK221" s="1"/>
      <c r="JJL221" s="1"/>
      <c r="JJM221" s="1"/>
      <c r="JJN221" s="1"/>
      <c r="JJO221" s="1"/>
      <c r="JJP221" s="1"/>
      <c r="JJQ221" s="1"/>
      <c r="JJR221" s="1"/>
      <c r="JJS221" s="1"/>
      <c r="JJT221" s="1"/>
      <c r="JJU221" s="1"/>
      <c r="JJV221" s="1"/>
      <c r="JJW221" s="1"/>
      <c r="JJX221" s="1"/>
      <c r="JJY221" s="1"/>
      <c r="JJZ221" s="1"/>
      <c r="JKA221" s="1"/>
      <c r="JKB221" s="1"/>
      <c r="JKC221" s="1"/>
      <c r="JKD221" s="1"/>
      <c r="JKE221" s="1"/>
      <c r="JKF221" s="1"/>
      <c r="JKG221" s="1"/>
      <c r="JKH221" s="1"/>
      <c r="JKI221" s="1"/>
      <c r="JKJ221" s="1"/>
      <c r="JKK221" s="1"/>
      <c r="JKL221" s="1"/>
      <c r="JKM221" s="1"/>
      <c r="JKN221" s="1"/>
      <c r="JKO221" s="1"/>
      <c r="JKP221" s="1"/>
      <c r="JKQ221" s="1"/>
      <c r="JKR221" s="1"/>
      <c r="JKS221" s="1"/>
      <c r="JKT221" s="1"/>
      <c r="JKU221" s="1"/>
      <c r="JKV221" s="1"/>
      <c r="JKW221" s="1"/>
      <c r="JKX221" s="1"/>
      <c r="JKY221" s="1"/>
      <c r="JKZ221" s="1"/>
      <c r="JLA221" s="1"/>
      <c r="JLB221" s="1"/>
      <c r="JLC221" s="1"/>
      <c r="JLD221" s="1"/>
      <c r="JLE221" s="1"/>
      <c r="JLF221" s="1"/>
      <c r="JLG221" s="1"/>
      <c r="JLH221" s="1"/>
      <c r="JLI221" s="1"/>
      <c r="JLJ221" s="1"/>
      <c r="JLK221" s="1"/>
      <c r="JLL221" s="1"/>
      <c r="JLM221" s="1"/>
      <c r="JLN221" s="1"/>
      <c r="JLO221" s="1"/>
      <c r="JLP221" s="1"/>
      <c r="JLQ221" s="1"/>
      <c r="JLR221" s="1"/>
      <c r="JLS221" s="1"/>
      <c r="JLT221" s="1"/>
      <c r="JLU221" s="1"/>
      <c r="JLV221" s="1"/>
      <c r="JLW221" s="1"/>
      <c r="JLX221" s="1"/>
      <c r="JLY221" s="1"/>
      <c r="JLZ221" s="1"/>
      <c r="JMA221" s="1"/>
      <c r="JMB221" s="1"/>
      <c r="JMC221" s="1"/>
      <c r="JMD221" s="1"/>
      <c r="JME221" s="1"/>
      <c r="JMF221" s="1"/>
      <c r="JMG221" s="1"/>
      <c r="JMH221" s="1"/>
      <c r="JMI221" s="1"/>
      <c r="JMJ221" s="1"/>
      <c r="JMK221" s="1"/>
      <c r="JML221" s="1"/>
      <c r="JMM221" s="1"/>
      <c r="JMN221" s="1"/>
      <c r="JMO221" s="1"/>
      <c r="JMP221" s="1"/>
      <c r="JMQ221" s="1"/>
      <c r="JMR221" s="1"/>
      <c r="JMS221" s="1"/>
      <c r="JMT221" s="1"/>
      <c r="JMU221" s="1"/>
      <c r="JMV221" s="1"/>
      <c r="JMW221" s="1"/>
      <c r="JMX221" s="1"/>
      <c r="JMY221" s="1"/>
      <c r="JMZ221" s="1"/>
      <c r="JNA221" s="1"/>
      <c r="JNB221" s="1"/>
      <c r="JNC221" s="1"/>
      <c r="JND221" s="1"/>
      <c r="JNE221" s="1"/>
      <c r="JNF221" s="1"/>
      <c r="JNG221" s="1"/>
      <c r="JNH221" s="1"/>
      <c r="JNI221" s="1"/>
      <c r="JNJ221" s="1"/>
      <c r="JNK221" s="1"/>
      <c r="JNL221" s="1"/>
      <c r="JNM221" s="1"/>
      <c r="JNN221" s="1"/>
      <c r="JNO221" s="1"/>
      <c r="JNP221" s="1"/>
      <c r="JNQ221" s="1"/>
      <c r="JNR221" s="1"/>
      <c r="JNS221" s="1"/>
      <c r="JNT221" s="1"/>
      <c r="JNU221" s="1"/>
      <c r="JNV221" s="1"/>
      <c r="JNW221" s="1"/>
      <c r="JNX221" s="1"/>
      <c r="JNY221" s="1"/>
      <c r="JNZ221" s="1"/>
      <c r="JOA221" s="1"/>
      <c r="JOB221" s="1"/>
      <c r="JOC221" s="1"/>
      <c r="JOD221" s="1"/>
      <c r="JOE221" s="1"/>
      <c r="JOF221" s="1"/>
      <c r="JOG221" s="1"/>
      <c r="JOH221" s="1"/>
      <c r="JOI221" s="1"/>
      <c r="JOJ221" s="1"/>
      <c r="JOK221" s="1"/>
      <c r="JOL221" s="1"/>
      <c r="JOM221" s="1"/>
      <c r="JON221" s="1"/>
      <c r="JOO221" s="1"/>
      <c r="JOP221" s="1"/>
      <c r="JOQ221" s="1"/>
      <c r="JOR221" s="1"/>
      <c r="JOS221" s="1"/>
      <c r="JOT221" s="1"/>
      <c r="JOU221" s="1"/>
      <c r="JOV221" s="1"/>
      <c r="JOW221" s="1"/>
      <c r="JOX221" s="1"/>
      <c r="JOY221" s="1"/>
      <c r="JOZ221" s="1"/>
      <c r="JPA221" s="1"/>
      <c r="JPB221" s="1"/>
      <c r="JPC221" s="1"/>
      <c r="JPD221" s="1"/>
      <c r="JPE221" s="1"/>
      <c r="JPF221" s="1"/>
      <c r="JPG221" s="1"/>
      <c r="JPH221" s="1"/>
      <c r="JPI221" s="1"/>
      <c r="JPJ221" s="1"/>
      <c r="JPK221" s="1"/>
      <c r="JPL221" s="1"/>
      <c r="JPM221" s="1"/>
      <c r="JPN221" s="1"/>
      <c r="JPO221" s="1"/>
      <c r="JPP221" s="1"/>
      <c r="JPQ221" s="1"/>
      <c r="JPR221" s="1"/>
      <c r="JPS221" s="1"/>
      <c r="JPT221" s="1"/>
      <c r="JPU221" s="1"/>
      <c r="JPV221" s="1"/>
      <c r="JPW221" s="1"/>
      <c r="JPX221" s="1"/>
      <c r="JPY221" s="1"/>
      <c r="JPZ221" s="1"/>
      <c r="JQA221" s="1"/>
      <c r="JQB221" s="1"/>
      <c r="JQC221" s="1"/>
      <c r="JQD221" s="1"/>
      <c r="JQE221" s="1"/>
      <c r="JQF221" s="1"/>
      <c r="JQG221" s="1"/>
      <c r="JQH221" s="1"/>
      <c r="JQI221" s="1"/>
      <c r="JQJ221" s="1"/>
      <c r="JQK221" s="1"/>
      <c r="JQL221" s="1"/>
      <c r="JQM221" s="1"/>
      <c r="JQN221" s="1"/>
      <c r="JQO221" s="1"/>
      <c r="JQP221" s="1"/>
      <c r="JQQ221" s="1"/>
      <c r="JQR221" s="1"/>
      <c r="JQS221" s="1"/>
      <c r="JQT221" s="1"/>
      <c r="JQU221" s="1"/>
      <c r="JQV221" s="1"/>
      <c r="JQW221" s="1"/>
      <c r="JQX221" s="1"/>
      <c r="JQY221" s="1"/>
      <c r="JQZ221" s="1"/>
      <c r="JRA221" s="1"/>
      <c r="JRB221" s="1"/>
      <c r="JRC221" s="1"/>
      <c r="JRD221" s="1"/>
      <c r="JRE221" s="1"/>
      <c r="JRF221" s="1"/>
      <c r="JRG221" s="1"/>
      <c r="JRH221" s="1"/>
      <c r="JRI221" s="1"/>
      <c r="JRJ221" s="1"/>
      <c r="JRK221" s="1"/>
      <c r="JRL221" s="1"/>
      <c r="JRM221" s="1"/>
      <c r="JRN221" s="1"/>
      <c r="JRO221" s="1"/>
      <c r="JRP221" s="1"/>
      <c r="JRQ221" s="1"/>
      <c r="JRR221" s="1"/>
      <c r="JRS221" s="1"/>
      <c r="JRT221" s="1"/>
      <c r="JRU221" s="1"/>
      <c r="JRV221" s="1"/>
      <c r="JRW221" s="1"/>
      <c r="JRX221" s="1"/>
      <c r="JRY221" s="1"/>
      <c r="JRZ221" s="1"/>
      <c r="JSA221" s="1"/>
      <c r="JSB221" s="1"/>
      <c r="JSC221" s="1"/>
      <c r="JSD221" s="1"/>
      <c r="JSE221" s="1"/>
      <c r="JSF221" s="1"/>
      <c r="JSG221" s="1"/>
      <c r="JSH221" s="1"/>
      <c r="JSI221" s="1"/>
      <c r="JSJ221" s="1"/>
      <c r="JSK221" s="1"/>
      <c r="JSL221" s="1"/>
      <c r="JSM221" s="1"/>
      <c r="JSN221" s="1"/>
      <c r="JSO221" s="1"/>
      <c r="JSP221" s="1"/>
      <c r="JSQ221" s="1"/>
      <c r="JSR221" s="1"/>
      <c r="JSS221" s="1"/>
      <c r="JST221" s="1"/>
      <c r="JSU221" s="1"/>
      <c r="JSV221" s="1"/>
      <c r="JSW221" s="1"/>
      <c r="JSX221" s="1"/>
      <c r="JSY221" s="1"/>
      <c r="JSZ221" s="1"/>
      <c r="JTA221" s="1"/>
      <c r="JTB221" s="1"/>
      <c r="JTC221" s="1"/>
      <c r="JTD221" s="1"/>
      <c r="JTE221" s="1"/>
      <c r="JTF221" s="1"/>
      <c r="JTG221" s="1"/>
      <c r="JTH221" s="1"/>
      <c r="JTI221" s="1"/>
      <c r="JTJ221" s="1"/>
      <c r="JTK221" s="1"/>
      <c r="JTL221" s="1"/>
      <c r="JTM221" s="1"/>
      <c r="JTN221" s="1"/>
      <c r="JTO221" s="1"/>
      <c r="JTP221" s="1"/>
      <c r="JTQ221" s="1"/>
      <c r="JTR221" s="1"/>
      <c r="JTS221" s="1"/>
      <c r="JTT221" s="1"/>
      <c r="JTU221" s="1"/>
      <c r="JTV221" s="1"/>
      <c r="JTW221" s="1"/>
      <c r="JTX221" s="1"/>
      <c r="JTY221" s="1"/>
      <c r="JTZ221" s="1"/>
      <c r="JUA221" s="1"/>
      <c r="JUB221" s="1"/>
      <c r="JUC221" s="1"/>
      <c r="JUD221" s="1"/>
      <c r="JUE221" s="1"/>
      <c r="JUF221" s="1"/>
      <c r="JUG221" s="1"/>
      <c r="JUH221" s="1"/>
      <c r="JUI221" s="1"/>
      <c r="JUJ221" s="1"/>
      <c r="JUK221" s="1"/>
      <c r="JUL221" s="1"/>
      <c r="JUM221" s="1"/>
      <c r="JUN221" s="1"/>
      <c r="JUO221" s="1"/>
      <c r="JUP221" s="1"/>
      <c r="JUQ221" s="1"/>
      <c r="JUR221" s="1"/>
      <c r="JUS221" s="1"/>
      <c r="JUT221" s="1"/>
      <c r="JUU221" s="1"/>
      <c r="JUV221" s="1"/>
      <c r="JUW221" s="1"/>
      <c r="JUX221" s="1"/>
      <c r="JUY221" s="1"/>
      <c r="JUZ221" s="1"/>
      <c r="JVA221" s="1"/>
      <c r="JVB221" s="1"/>
      <c r="JVC221" s="1"/>
      <c r="JVD221" s="1"/>
      <c r="JVE221" s="1"/>
      <c r="JVF221" s="1"/>
      <c r="JVG221" s="1"/>
      <c r="JVH221" s="1"/>
      <c r="JVI221" s="1"/>
      <c r="JVJ221" s="1"/>
      <c r="JVK221" s="1"/>
      <c r="JVL221" s="1"/>
      <c r="JVM221" s="1"/>
      <c r="JVN221" s="1"/>
      <c r="JVO221" s="1"/>
      <c r="JVP221" s="1"/>
      <c r="JVQ221" s="1"/>
      <c r="JVR221" s="1"/>
      <c r="JVS221" s="1"/>
      <c r="JVT221" s="1"/>
      <c r="JVU221" s="1"/>
      <c r="JVV221" s="1"/>
      <c r="JVW221" s="1"/>
      <c r="JVX221" s="1"/>
      <c r="JVY221" s="1"/>
      <c r="JVZ221" s="1"/>
      <c r="JWA221" s="1"/>
      <c r="JWB221" s="1"/>
      <c r="JWC221" s="1"/>
      <c r="JWD221" s="1"/>
      <c r="JWE221" s="1"/>
      <c r="JWF221" s="1"/>
      <c r="JWG221" s="1"/>
      <c r="JWH221" s="1"/>
      <c r="JWI221" s="1"/>
      <c r="JWJ221" s="1"/>
      <c r="JWK221" s="1"/>
      <c r="JWL221" s="1"/>
      <c r="JWM221" s="1"/>
      <c r="JWN221" s="1"/>
      <c r="JWO221" s="1"/>
      <c r="JWP221" s="1"/>
      <c r="JWQ221" s="1"/>
      <c r="JWR221" s="1"/>
      <c r="JWS221" s="1"/>
      <c r="JWT221" s="1"/>
      <c r="JWU221" s="1"/>
      <c r="JWV221" s="1"/>
      <c r="JWW221" s="1"/>
      <c r="JWX221" s="1"/>
      <c r="JWY221" s="1"/>
      <c r="JWZ221" s="1"/>
      <c r="JXA221" s="1"/>
      <c r="JXB221" s="1"/>
      <c r="JXC221" s="1"/>
      <c r="JXD221" s="1"/>
      <c r="JXE221" s="1"/>
      <c r="JXF221" s="1"/>
      <c r="JXG221" s="1"/>
      <c r="JXH221" s="1"/>
      <c r="JXI221" s="1"/>
      <c r="JXJ221" s="1"/>
      <c r="JXK221" s="1"/>
      <c r="JXL221" s="1"/>
      <c r="JXM221" s="1"/>
      <c r="JXN221" s="1"/>
      <c r="JXO221" s="1"/>
      <c r="JXP221" s="1"/>
      <c r="JXQ221" s="1"/>
      <c r="JXR221" s="1"/>
      <c r="JXS221" s="1"/>
      <c r="JXT221" s="1"/>
      <c r="JXU221" s="1"/>
      <c r="JXV221" s="1"/>
      <c r="JXW221" s="1"/>
      <c r="JXX221" s="1"/>
      <c r="JXY221" s="1"/>
      <c r="JXZ221" s="1"/>
      <c r="JYA221" s="1"/>
      <c r="JYB221" s="1"/>
      <c r="JYC221" s="1"/>
      <c r="JYD221" s="1"/>
      <c r="JYE221" s="1"/>
      <c r="JYF221" s="1"/>
      <c r="JYG221" s="1"/>
      <c r="JYH221" s="1"/>
      <c r="JYI221" s="1"/>
      <c r="JYJ221" s="1"/>
      <c r="JYK221" s="1"/>
      <c r="JYL221" s="1"/>
      <c r="JYM221" s="1"/>
      <c r="JYN221" s="1"/>
      <c r="JYO221" s="1"/>
      <c r="JYP221" s="1"/>
      <c r="JYQ221" s="1"/>
      <c r="JYR221" s="1"/>
      <c r="JYS221" s="1"/>
      <c r="JYT221" s="1"/>
      <c r="JYU221" s="1"/>
      <c r="JYV221" s="1"/>
      <c r="JYW221" s="1"/>
      <c r="JYX221" s="1"/>
      <c r="JYY221" s="1"/>
      <c r="JYZ221" s="1"/>
      <c r="JZA221" s="1"/>
      <c r="JZB221" s="1"/>
      <c r="JZC221" s="1"/>
      <c r="JZD221" s="1"/>
      <c r="JZE221" s="1"/>
      <c r="JZF221" s="1"/>
      <c r="JZG221" s="1"/>
      <c r="JZH221" s="1"/>
      <c r="JZI221" s="1"/>
      <c r="JZJ221" s="1"/>
      <c r="JZK221" s="1"/>
      <c r="JZL221" s="1"/>
      <c r="JZM221" s="1"/>
      <c r="JZN221" s="1"/>
      <c r="JZO221" s="1"/>
      <c r="JZP221" s="1"/>
      <c r="JZQ221" s="1"/>
      <c r="JZR221" s="1"/>
      <c r="JZS221" s="1"/>
      <c r="JZT221" s="1"/>
      <c r="JZU221" s="1"/>
      <c r="JZV221" s="1"/>
      <c r="JZW221" s="1"/>
      <c r="JZX221" s="1"/>
      <c r="JZY221" s="1"/>
      <c r="JZZ221" s="1"/>
      <c r="KAA221" s="1"/>
      <c r="KAB221" s="1"/>
      <c r="KAC221" s="1"/>
      <c r="KAD221" s="1"/>
      <c r="KAE221" s="1"/>
      <c r="KAF221" s="1"/>
      <c r="KAG221" s="1"/>
      <c r="KAH221" s="1"/>
      <c r="KAI221" s="1"/>
      <c r="KAJ221" s="1"/>
      <c r="KAK221" s="1"/>
      <c r="KAL221" s="1"/>
      <c r="KAM221" s="1"/>
      <c r="KAN221" s="1"/>
      <c r="KAO221" s="1"/>
      <c r="KAP221" s="1"/>
      <c r="KAQ221" s="1"/>
      <c r="KAR221" s="1"/>
      <c r="KAS221" s="1"/>
      <c r="KAT221" s="1"/>
      <c r="KAU221" s="1"/>
      <c r="KAV221" s="1"/>
      <c r="KAW221" s="1"/>
      <c r="KAX221" s="1"/>
      <c r="KAY221" s="1"/>
      <c r="KAZ221" s="1"/>
      <c r="KBA221" s="1"/>
      <c r="KBB221" s="1"/>
      <c r="KBC221" s="1"/>
      <c r="KBD221" s="1"/>
      <c r="KBE221" s="1"/>
      <c r="KBF221" s="1"/>
      <c r="KBG221" s="1"/>
      <c r="KBH221" s="1"/>
      <c r="KBI221" s="1"/>
      <c r="KBJ221" s="1"/>
      <c r="KBK221" s="1"/>
      <c r="KBL221" s="1"/>
      <c r="KBM221" s="1"/>
      <c r="KBN221" s="1"/>
      <c r="KBO221" s="1"/>
      <c r="KBP221" s="1"/>
      <c r="KBQ221" s="1"/>
      <c r="KBR221" s="1"/>
      <c r="KBS221" s="1"/>
      <c r="KBT221" s="1"/>
      <c r="KBU221" s="1"/>
      <c r="KBV221" s="1"/>
      <c r="KBW221" s="1"/>
      <c r="KBX221" s="1"/>
      <c r="KBY221" s="1"/>
      <c r="KBZ221" s="1"/>
      <c r="KCA221" s="1"/>
      <c r="KCB221" s="1"/>
      <c r="KCC221" s="1"/>
      <c r="KCD221" s="1"/>
      <c r="KCE221" s="1"/>
      <c r="KCF221" s="1"/>
      <c r="KCG221" s="1"/>
      <c r="KCH221" s="1"/>
      <c r="KCI221" s="1"/>
      <c r="KCJ221" s="1"/>
      <c r="KCK221" s="1"/>
      <c r="KCL221" s="1"/>
      <c r="KCM221" s="1"/>
      <c r="KCN221" s="1"/>
      <c r="KCO221" s="1"/>
      <c r="KCP221" s="1"/>
      <c r="KCQ221" s="1"/>
      <c r="KCR221" s="1"/>
      <c r="KCS221" s="1"/>
      <c r="KCT221" s="1"/>
      <c r="KCU221" s="1"/>
      <c r="KCV221" s="1"/>
      <c r="KCW221" s="1"/>
      <c r="KCX221" s="1"/>
      <c r="KCY221" s="1"/>
      <c r="KCZ221" s="1"/>
      <c r="KDA221" s="1"/>
      <c r="KDB221" s="1"/>
      <c r="KDC221" s="1"/>
      <c r="KDD221" s="1"/>
      <c r="KDE221" s="1"/>
      <c r="KDF221" s="1"/>
      <c r="KDG221" s="1"/>
      <c r="KDH221" s="1"/>
      <c r="KDI221" s="1"/>
      <c r="KDJ221" s="1"/>
      <c r="KDK221" s="1"/>
      <c r="KDL221" s="1"/>
      <c r="KDM221" s="1"/>
      <c r="KDN221" s="1"/>
      <c r="KDO221" s="1"/>
      <c r="KDP221" s="1"/>
      <c r="KDQ221" s="1"/>
      <c r="KDR221" s="1"/>
      <c r="KDS221" s="1"/>
      <c r="KDT221" s="1"/>
      <c r="KDU221" s="1"/>
      <c r="KDV221" s="1"/>
      <c r="KDW221" s="1"/>
      <c r="KDX221" s="1"/>
      <c r="KDY221" s="1"/>
      <c r="KDZ221" s="1"/>
      <c r="KEA221" s="1"/>
      <c r="KEB221" s="1"/>
      <c r="KEC221" s="1"/>
      <c r="KED221" s="1"/>
      <c r="KEE221" s="1"/>
      <c r="KEF221" s="1"/>
      <c r="KEG221" s="1"/>
      <c r="KEH221" s="1"/>
      <c r="KEI221" s="1"/>
      <c r="KEJ221" s="1"/>
      <c r="KEK221" s="1"/>
      <c r="KEL221" s="1"/>
      <c r="KEM221" s="1"/>
      <c r="KEN221" s="1"/>
      <c r="KEO221" s="1"/>
      <c r="KEP221" s="1"/>
      <c r="KEQ221" s="1"/>
      <c r="KER221" s="1"/>
      <c r="KES221" s="1"/>
      <c r="KET221" s="1"/>
      <c r="KEU221" s="1"/>
      <c r="KEV221" s="1"/>
      <c r="KEW221" s="1"/>
      <c r="KEX221" s="1"/>
      <c r="KEY221" s="1"/>
      <c r="KEZ221" s="1"/>
      <c r="KFA221" s="1"/>
      <c r="KFB221" s="1"/>
      <c r="KFC221" s="1"/>
      <c r="KFD221" s="1"/>
      <c r="KFE221" s="1"/>
      <c r="KFF221" s="1"/>
      <c r="KFG221" s="1"/>
      <c r="KFH221" s="1"/>
      <c r="KFI221" s="1"/>
      <c r="KFJ221" s="1"/>
      <c r="KFK221" s="1"/>
      <c r="KFL221" s="1"/>
      <c r="KFM221" s="1"/>
      <c r="KFN221" s="1"/>
      <c r="KFO221" s="1"/>
      <c r="KFP221" s="1"/>
      <c r="KFQ221" s="1"/>
      <c r="KFR221" s="1"/>
      <c r="KFS221" s="1"/>
      <c r="KFT221" s="1"/>
      <c r="KFU221" s="1"/>
      <c r="KFV221" s="1"/>
      <c r="KFW221" s="1"/>
      <c r="KFX221" s="1"/>
      <c r="KFY221" s="1"/>
      <c r="KFZ221" s="1"/>
      <c r="KGA221" s="1"/>
      <c r="KGB221" s="1"/>
      <c r="KGC221" s="1"/>
      <c r="KGD221" s="1"/>
      <c r="KGE221" s="1"/>
      <c r="KGF221" s="1"/>
      <c r="KGG221" s="1"/>
      <c r="KGH221" s="1"/>
      <c r="KGI221" s="1"/>
      <c r="KGJ221" s="1"/>
      <c r="KGK221" s="1"/>
      <c r="KGL221" s="1"/>
      <c r="KGM221" s="1"/>
      <c r="KGN221" s="1"/>
      <c r="KGO221" s="1"/>
      <c r="KGP221" s="1"/>
      <c r="KGQ221" s="1"/>
      <c r="KGR221" s="1"/>
      <c r="KGS221" s="1"/>
      <c r="KGT221" s="1"/>
      <c r="KGU221" s="1"/>
      <c r="KGV221" s="1"/>
      <c r="KGW221" s="1"/>
      <c r="KGX221" s="1"/>
      <c r="KGY221" s="1"/>
      <c r="KGZ221" s="1"/>
      <c r="KHA221" s="1"/>
      <c r="KHB221" s="1"/>
      <c r="KHC221" s="1"/>
      <c r="KHD221" s="1"/>
      <c r="KHE221" s="1"/>
      <c r="KHF221" s="1"/>
      <c r="KHG221" s="1"/>
      <c r="KHH221" s="1"/>
      <c r="KHI221" s="1"/>
      <c r="KHJ221" s="1"/>
      <c r="KHK221" s="1"/>
      <c r="KHL221" s="1"/>
      <c r="KHM221" s="1"/>
      <c r="KHN221" s="1"/>
      <c r="KHO221" s="1"/>
      <c r="KHP221" s="1"/>
      <c r="KHQ221" s="1"/>
      <c r="KHR221" s="1"/>
      <c r="KHS221" s="1"/>
      <c r="KHT221" s="1"/>
      <c r="KHU221" s="1"/>
      <c r="KHV221" s="1"/>
      <c r="KHW221" s="1"/>
      <c r="KHX221" s="1"/>
      <c r="KHY221" s="1"/>
      <c r="KHZ221" s="1"/>
      <c r="KIA221" s="1"/>
      <c r="KIB221" s="1"/>
      <c r="KIC221" s="1"/>
      <c r="KID221" s="1"/>
      <c r="KIE221" s="1"/>
      <c r="KIF221" s="1"/>
      <c r="KIG221" s="1"/>
      <c r="KIH221" s="1"/>
      <c r="KII221" s="1"/>
      <c r="KIJ221" s="1"/>
      <c r="KIK221" s="1"/>
      <c r="KIL221" s="1"/>
      <c r="KIM221" s="1"/>
      <c r="KIN221" s="1"/>
      <c r="KIO221" s="1"/>
      <c r="KIP221" s="1"/>
      <c r="KIQ221" s="1"/>
      <c r="KIR221" s="1"/>
      <c r="KIS221" s="1"/>
      <c r="KIT221" s="1"/>
      <c r="KIU221" s="1"/>
      <c r="KIV221" s="1"/>
      <c r="KIW221" s="1"/>
      <c r="KIX221" s="1"/>
      <c r="KIY221" s="1"/>
      <c r="KIZ221" s="1"/>
      <c r="KJA221" s="1"/>
      <c r="KJB221" s="1"/>
      <c r="KJC221" s="1"/>
      <c r="KJD221" s="1"/>
      <c r="KJE221" s="1"/>
      <c r="KJF221" s="1"/>
      <c r="KJG221" s="1"/>
      <c r="KJH221" s="1"/>
      <c r="KJI221" s="1"/>
      <c r="KJJ221" s="1"/>
      <c r="KJK221" s="1"/>
      <c r="KJL221" s="1"/>
      <c r="KJM221" s="1"/>
      <c r="KJN221" s="1"/>
      <c r="KJO221" s="1"/>
      <c r="KJP221" s="1"/>
      <c r="KJQ221" s="1"/>
      <c r="KJR221" s="1"/>
      <c r="KJS221" s="1"/>
      <c r="KJT221" s="1"/>
      <c r="KJU221" s="1"/>
      <c r="KJV221" s="1"/>
      <c r="KJW221" s="1"/>
      <c r="KJX221" s="1"/>
      <c r="KJY221" s="1"/>
      <c r="KJZ221" s="1"/>
      <c r="KKA221" s="1"/>
      <c r="KKB221" s="1"/>
      <c r="KKC221" s="1"/>
      <c r="KKD221" s="1"/>
      <c r="KKE221" s="1"/>
      <c r="KKF221" s="1"/>
      <c r="KKG221" s="1"/>
      <c r="KKH221" s="1"/>
      <c r="KKI221" s="1"/>
      <c r="KKJ221" s="1"/>
      <c r="KKK221" s="1"/>
      <c r="KKL221" s="1"/>
      <c r="KKM221" s="1"/>
      <c r="KKN221" s="1"/>
      <c r="KKO221" s="1"/>
      <c r="KKP221" s="1"/>
      <c r="KKQ221" s="1"/>
      <c r="KKR221" s="1"/>
      <c r="KKS221" s="1"/>
      <c r="KKT221" s="1"/>
      <c r="KKU221" s="1"/>
      <c r="KKV221" s="1"/>
      <c r="KKW221" s="1"/>
      <c r="KKX221" s="1"/>
      <c r="KKY221" s="1"/>
      <c r="KKZ221" s="1"/>
      <c r="KLA221" s="1"/>
      <c r="KLB221" s="1"/>
      <c r="KLC221" s="1"/>
      <c r="KLD221" s="1"/>
      <c r="KLE221" s="1"/>
      <c r="KLF221" s="1"/>
      <c r="KLG221" s="1"/>
      <c r="KLH221" s="1"/>
      <c r="KLI221" s="1"/>
      <c r="KLJ221" s="1"/>
      <c r="KLK221" s="1"/>
      <c r="KLL221" s="1"/>
      <c r="KLM221" s="1"/>
      <c r="KLN221" s="1"/>
      <c r="KLO221" s="1"/>
      <c r="KLP221" s="1"/>
      <c r="KLQ221" s="1"/>
      <c r="KLR221" s="1"/>
      <c r="KLS221" s="1"/>
      <c r="KLT221" s="1"/>
      <c r="KLU221" s="1"/>
      <c r="KLV221" s="1"/>
      <c r="KLW221" s="1"/>
      <c r="KLX221" s="1"/>
      <c r="KLY221" s="1"/>
      <c r="KLZ221" s="1"/>
      <c r="KMA221" s="1"/>
      <c r="KMB221" s="1"/>
      <c r="KMC221" s="1"/>
      <c r="KMD221" s="1"/>
      <c r="KME221" s="1"/>
      <c r="KMF221" s="1"/>
      <c r="KMG221" s="1"/>
      <c r="KMH221" s="1"/>
      <c r="KMI221" s="1"/>
      <c r="KMJ221" s="1"/>
      <c r="KMK221" s="1"/>
      <c r="KML221" s="1"/>
      <c r="KMM221" s="1"/>
      <c r="KMN221" s="1"/>
      <c r="KMO221" s="1"/>
      <c r="KMP221" s="1"/>
      <c r="KMQ221" s="1"/>
      <c r="KMR221" s="1"/>
      <c r="KMS221" s="1"/>
      <c r="KMT221" s="1"/>
      <c r="KMU221" s="1"/>
      <c r="KMV221" s="1"/>
      <c r="KMW221" s="1"/>
      <c r="KMX221" s="1"/>
      <c r="KMY221" s="1"/>
      <c r="KMZ221" s="1"/>
      <c r="KNA221" s="1"/>
      <c r="KNB221" s="1"/>
      <c r="KNC221" s="1"/>
      <c r="KND221" s="1"/>
      <c r="KNE221" s="1"/>
      <c r="KNF221" s="1"/>
      <c r="KNG221" s="1"/>
      <c r="KNH221" s="1"/>
      <c r="KNI221" s="1"/>
      <c r="KNJ221" s="1"/>
      <c r="KNK221" s="1"/>
      <c r="KNL221" s="1"/>
      <c r="KNM221" s="1"/>
      <c r="KNN221" s="1"/>
      <c r="KNO221" s="1"/>
      <c r="KNP221" s="1"/>
      <c r="KNQ221" s="1"/>
      <c r="KNR221" s="1"/>
      <c r="KNS221" s="1"/>
      <c r="KNT221" s="1"/>
      <c r="KNU221" s="1"/>
      <c r="KNV221" s="1"/>
      <c r="KNW221" s="1"/>
      <c r="KNX221" s="1"/>
      <c r="KNY221" s="1"/>
      <c r="KNZ221" s="1"/>
      <c r="KOA221" s="1"/>
      <c r="KOB221" s="1"/>
      <c r="KOC221" s="1"/>
      <c r="KOD221" s="1"/>
      <c r="KOE221" s="1"/>
      <c r="KOF221" s="1"/>
      <c r="KOG221" s="1"/>
      <c r="KOH221" s="1"/>
      <c r="KOI221" s="1"/>
      <c r="KOJ221" s="1"/>
      <c r="KOK221" s="1"/>
      <c r="KOL221" s="1"/>
      <c r="KOM221" s="1"/>
      <c r="KON221" s="1"/>
      <c r="KOO221" s="1"/>
      <c r="KOP221" s="1"/>
      <c r="KOQ221" s="1"/>
      <c r="KOR221" s="1"/>
      <c r="KOS221" s="1"/>
      <c r="KOT221" s="1"/>
      <c r="KOU221" s="1"/>
      <c r="KOV221" s="1"/>
      <c r="KOW221" s="1"/>
      <c r="KOX221" s="1"/>
      <c r="KOY221" s="1"/>
      <c r="KOZ221" s="1"/>
      <c r="KPA221" s="1"/>
      <c r="KPB221" s="1"/>
      <c r="KPC221" s="1"/>
      <c r="KPD221" s="1"/>
      <c r="KPE221" s="1"/>
      <c r="KPF221" s="1"/>
      <c r="KPG221" s="1"/>
      <c r="KPH221" s="1"/>
      <c r="KPI221" s="1"/>
      <c r="KPJ221" s="1"/>
      <c r="KPK221" s="1"/>
      <c r="KPL221" s="1"/>
      <c r="KPM221" s="1"/>
      <c r="KPN221" s="1"/>
      <c r="KPO221" s="1"/>
      <c r="KPP221" s="1"/>
      <c r="KPQ221" s="1"/>
      <c r="KPR221" s="1"/>
      <c r="KPS221" s="1"/>
      <c r="KPT221" s="1"/>
      <c r="KPU221" s="1"/>
      <c r="KPV221" s="1"/>
      <c r="KPW221" s="1"/>
      <c r="KPX221" s="1"/>
      <c r="KPY221" s="1"/>
      <c r="KPZ221" s="1"/>
      <c r="KQA221" s="1"/>
      <c r="KQB221" s="1"/>
      <c r="KQC221" s="1"/>
      <c r="KQD221" s="1"/>
      <c r="KQE221" s="1"/>
      <c r="KQF221" s="1"/>
      <c r="KQG221" s="1"/>
      <c r="KQH221" s="1"/>
      <c r="KQI221" s="1"/>
      <c r="KQJ221" s="1"/>
      <c r="KQK221" s="1"/>
      <c r="KQL221" s="1"/>
      <c r="KQM221" s="1"/>
      <c r="KQN221" s="1"/>
      <c r="KQO221" s="1"/>
      <c r="KQP221" s="1"/>
      <c r="KQQ221" s="1"/>
      <c r="KQR221" s="1"/>
      <c r="KQS221" s="1"/>
      <c r="KQT221" s="1"/>
      <c r="KQU221" s="1"/>
      <c r="KQV221" s="1"/>
      <c r="KQW221" s="1"/>
      <c r="KQX221" s="1"/>
      <c r="KQY221" s="1"/>
      <c r="KQZ221" s="1"/>
      <c r="KRA221" s="1"/>
      <c r="KRB221" s="1"/>
      <c r="KRC221" s="1"/>
      <c r="KRD221" s="1"/>
      <c r="KRE221" s="1"/>
      <c r="KRF221" s="1"/>
      <c r="KRG221" s="1"/>
      <c r="KRH221" s="1"/>
      <c r="KRI221" s="1"/>
      <c r="KRJ221" s="1"/>
      <c r="KRK221" s="1"/>
      <c r="KRL221" s="1"/>
      <c r="KRM221" s="1"/>
      <c r="KRN221" s="1"/>
      <c r="KRO221" s="1"/>
      <c r="KRP221" s="1"/>
      <c r="KRQ221" s="1"/>
      <c r="KRR221" s="1"/>
      <c r="KRS221" s="1"/>
      <c r="KRT221" s="1"/>
      <c r="KRU221" s="1"/>
      <c r="KRV221" s="1"/>
      <c r="KRW221" s="1"/>
      <c r="KRX221" s="1"/>
      <c r="KRY221" s="1"/>
      <c r="KRZ221" s="1"/>
      <c r="KSA221" s="1"/>
      <c r="KSB221" s="1"/>
      <c r="KSC221" s="1"/>
      <c r="KSD221" s="1"/>
      <c r="KSE221" s="1"/>
      <c r="KSF221" s="1"/>
      <c r="KSG221" s="1"/>
      <c r="KSH221" s="1"/>
      <c r="KSI221" s="1"/>
      <c r="KSJ221" s="1"/>
      <c r="KSK221" s="1"/>
      <c r="KSL221" s="1"/>
      <c r="KSM221" s="1"/>
      <c r="KSN221" s="1"/>
      <c r="KSO221" s="1"/>
      <c r="KSP221" s="1"/>
      <c r="KSQ221" s="1"/>
      <c r="KSR221" s="1"/>
      <c r="KSS221" s="1"/>
      <c r="KST221" s="1"/>
      <c r="KSU221" s="1"/>
      <c r="KSV221" s="1"/>
      <c r="KSW221" s="1"/>
      <c r="KSX221" s="1"/>
      <c r="KSY221" s="1"/>
      <c r="KSZ221" s="1"/>
      <c r="KTA221" s="1"/>
      <c r="KTB221" s="1"/>
      <c r="KTC221" s="1"/>
      <c r="KTD221" s="1"/>
      <c r="KTE221" s="1"/>
      <c r="KTF221" s="1"/>
      <c r="KTG221" s="1"/>
      <c r="KTH221" s="1"/>
      <c r="KTI221" s="1"/>
      <c r="KTJ221" s="1"/>
      <c r="KTK221" s="1"/>
      <c r="KTL221" s="1"/>
      <c r="KTM221" s="1"/>
      <c r="KTN221" s="1"/>
      <c r="KTO221" s="1"/>
      <c r="KTP221" s="1"/>
      <c r="KTQ221" s="1"/>
      <c r="KTR221" s="1"/>
      <c r="KTS221" s="1"/>
      <c r="KTT221" s="1"/>
      <c r="KTU221" s="1"/>
      <c r="KTV221" s="1"/>
      <c r="KTW221" s="1"/>
      <c r="KTX221" s="1"/>
      <c r="KTY221" s="1"/>
      <c r="KTZ221" s="1"/>
      <c r="KUA221" s="1"/>
      <c r="KUB221" s="1"/>
      <c r="KUC221" s="1"/>
      <c r="KUD221" s="1"/>
      <c r="KUE221" s="1"/>
      <c r="KUF221" s="1"/>
      <c r="KUG221" s="1"/>
      <c r="KUH221" s="1"/>
      <c r="KUI221" s="1"/>
      <c r="KUJ221" s="1"/>
      <c r="KUK221" s="1"/>
      <c r="KUL221" s="1"/>
      <c r="KUM221" s="1"/>
      <c r="KUN221" s="1"/>
      <c r="KUO221" s="1"/>
      <c r="KUP221" s="1"/>
      <c r="KUQ221" s="1"/>
      <c r="KUR221" s="1"/>
      <c r="KUS221" s="1"/>
      <c r="KUT221" s="1"/>
      <c r="KUU221" s="1"/>
      <c r="KUV221" s="1"/>
      <c r="KUW221" s="1"/>
      <c r="KUX221" s="1"/>
      <c r="KUY221" s="1"/>
      <c r="KUZ221" s="1"/>
      <c r="KVA221" s="1"/>
      <c r="KVB221" s="1"/>
      <c r="KVC221" s="1"/>
      <c r="KVD221" s="1"/>
      <c r="KVE221" s="1"/>
      <c r="KVF221" s="1"/>
      <c r="KVG221" s="1"/>
      <c r="KVH221" s="1"/>
      <c r="KVI221" s="1"/>
      <c r="KVJ221" s="1"/>
      <c r="KVK221" s="1"/>
      <c r="KVL221" s="1"/>
      <c r="KVM221" s="1"/>
      <c r="KVN221" s="1"/>
      <c r="KVO221" s="1"/>
      <c r="KVP221" s="1"/>
      <c r="KVQ221" s="1"/>
      <c r="KVR221" s="1"/>
      <c r="KVS221" s="1"/>
      <c r="KVT221" s="1"/>
      <c r="KVU221" s="1"/>
      <c r="KVV221" s="1"/>
      <c r="KVW221" s="1"/>
      <c r="KVX221" s="1"/>
      <c r="KVY221" s="1"/>
      <c r="KVZ221" s="1"/>
      <c r="KWA221" s="1"/>
      <c r="KWB221" s="1"/>
      <c r="KWC221" s="1"/>
      <c r="KWD221" s="1"/>
      <c r="KWE221" s="1"/>
      <c r="KWF221" s="1"/>
      <c r="KWG221" s="1"/>
      <c r="KWH221" s="1"/>
      <c r="KWI221" s="1"/>
      <c r="KWJ221" s="1"/>
      <c r="KWK221" s="1"/>
      <c r="KWL221" s="1"/>
      <c r="KWM221" s="1"/>
      <c r="KWN221" s="1"/>
      <c r="KWO221" s="1"/>
      <c r="KWP221" s="1"/>
      <c r="KWQ221" s="1"/>
      <c r="KWR221" s="1"/>
      <c r="KWS221" s="1"/>
      <c r="KWT221" s="1"/>
      <c r="KWU221" s="1"/>
      <c r="KWV221" s="1"/>
      <c r="KWW221" s="1"/>
      <c r="KWX221" s="1"/>
      <c r="KWY221" s="1"/>
      <c r="KWZ221" s="1"/>
      <c r="KXA221" s="1"/>
      <c r="KXB221" s="1"/>
      <c r="KXC221" s="1"/>
      <c r="KXD221" s="1"/>
      <c r="KXE221" s="1"/>
      <c r="KXF221" s="1"/>
      <c r="KXG221" s="1"/>
      <c r="KXH221" s="1"/>
      <c r="KXI221" s="1"/>
      <c r="KXJ221" s="1"/>
      <c r="KXK221" s="1"/>
      <c r="KXL221" s="1"/>
      <c r="KXM221" s="1"/>
      <c r="KXN221" s="1"/>
      <c r="KXO221" s="1"/>
      <c r="KXP221" s="1"/>
      <c r="KXQ221" s="1"/>
      <c r="KXR221" s="1"/>
      <c r="KXS221" s="1"/>
      <c r="KXT221" s="1"/>
      <c r="KXU221" s="1"/>
      <c r="KXV221" s="1"/>
      <c r="KXW221" s="1"/>
      <c r="KXX221" s="1"/>
      <c r="KXY221" s="1"/>
      <c r="KXZ221" s="1"/>
      <c r="KYA221" s="1"/>
      <c r="KYB221" s="1"/>
      <c r="KYC221" s="1"/>
      <c r="KYD221" s="1"/>
      <c r="KYE221" s="1"/>
      <c r="KYF221" s="1"/>
      <c r="KYG221" s="1"/>
      <c r="KYH221" s="1"/>
      <c r="KYI221" s="1"/>
      <c r="KYJ221" s="1"/>
      <c r="KYK221" s="1"/>
      <c r="KYL221" s="1"/>
      <c r="KYM221" s="1"/>
      <c r="KYN221" s="1"/>
      <c r="KYO221" s="1"/>
      <c r="KYP221" s="1"/>
      <c r="KYQ221" s="1"/>
      <c r="KYR221" s="1"/>
      <c r="KYS221" s="1"/>
      <c r="KYT221" s="1"/>
      <c r="KYU221" s="1"/>
      <c r="KYV221" s="1"/>
      <c r="KYW221" s="1"/>
      <c r="KYX221" s="1"/>
      <c r="KYY221" s="1"/>
      <c r="KYZ221" s="1"/>
      <c r="KZA221" s="1"/>
      <c r="KZB221" s="1"/>
      <c r="KZC221" s="1"/>
      <c r="KZD221" s="1"/>
      <c r="KZE221" s="1"/>
      <c r="KZF221" s="1"/>
      <c r="KZG221" s="1"/>
      <c r="KZH221" s="1"/>
      <c r="KZI221" s="1"/>
      <c r="KZJ221" s="1"/>
      <c r="KZK221" s="1"/>
      <c r="KZL221" s="1"/>
      <c r="KZM221" s="1"/>
      <c r="KZN221" s="1"/>
      <c r="KZO221" s="1"/>
      <c r="KZP221" s="1"/>
      <c r="KZQ221" s="1"/>
      <c r="KZR221" s="1"/>
      <c r="KZS221" s="1"/>
      <c r="KZT221" s="1"/>
      <c r="KZU221" s="1"/>
      <c r="KZV221" s="1"/>
      <c r="KZW221" s="1"/>
      <c r="KZX221" s="1"/>
      <c r="KZY221" s="1"/>
      <c r="KZZ221" s="1"/>
      <c r="LAA221" s="1"/>
      <c r="LAB221" s="1"/>
      <c r="LAC221" s="1"/>
      <c r="LAD221" s="1"/>
      <c r="LAE221" s="1"/>
      <c r="LAF221" s="1"/>
      <c r="LAG221" s="1"/>
      <c r="LAH221" s="1"/>
      <c r="LAI221" s="1"/>
      <c r="LAJ221" s="1"/>
      <c r="LAK221" s="1"/>
      <c r="LAL221" s="1"/>
      <c r="LAM221" s="1"/>
      <c r="LAN221" s="1"/>
      <c r="LAO221" s="1"/>
      <c r="LAP221" s="1"/>
      <c r="LAQ221" s="1"/>
      <c r="LAR221" s="1"/>
      <c r="LAS221" s="1"/>
      <c r="LAT221" s="1"/>
      <c r="LAU221" s="1"/>
      <c r="LAV221" s="1"/>
      <c r="LAW221" s="1"/>
      <c r="LAX221" s="1"/>
      <c r="LAY221" s="1"/>
      <c r="LAZ221" s="1"/>
      <c r="LBA221" s="1"/>
      <c r="LBB221" s="1"/>
      <c r="LBC221" s="1"/>
      <c r="LBD221" s="1"/>
      <c r="LBE221" s="1"/>
      <c r="LBF221" s="1"/>
      <c r="LBG221" s="1"/>
      <c r="LBH221" s="1"/>
      <c r="LBI221" s="1"/>
      <c r="LBJ221" s="1"/>
      <c r="LBK221" s="1"/>
      <c r="LBL221" s="1"/>
      <c r="LBM221" s="1"/>
      <c r="LBN221" s="1"/>
      <c r="LBO221" s="1"/>
      <c r="LBP221" s="1"/>
      <c r="LBQ221" s="1"/>
      <c r="LBR221" s="1"/>
      <c r="LBS221" s="1"/>
      <c r="LBT221" s="1"/>
      <c r="LBU221" s="1"/>
      <c r="LBV221" s="1"/>
      <c r="LBW221" s="1"/>
      <c r="LBX221" s="1"/>
      <c r="LBY221" s="1"/>
      <c r="LBZ221" s="1"/>
      <c r="LCA221" s="1"/>
      <c r="LCB221" s="1"/>
      <c r="LCC221" s="1"/>
      <c r="LCD221" s="1"/>
      <c r="LCE221" s="1"/>
      <c r="LCF221" s="1"/>
      <c r="LCG221" s="1"/>
      <c r="LCH221" s="1"/>
      <c r="LCI221" s="1"/>
      <c r="LCJ221" s="1"/>
      <c r="LCK221" s="1"/>
      <c r="LCL221" s="1"/>
      <c r="LCM221" s="1"/>
      <c r="LCN221" s="1"/>
      <c r="LCO221" s="1"/>
      <c r="LCP221" s="1"/>
      <c r="LCQ221" s="1"/>
      <c r="LCR221" s="1"/>
      <c r="LCS221" s="1"/>
      <c r="LCT221" s="1"/>
      <c r="LCU221" s="1"/>
      <c r="LCV221" s="1"/>
      <c r="LCW221" s="1"/>
      <c r="LCX221" s="1"/>
      <c r="LCY221" s="1"/>
      <c r="LCZ221" s="1"/>
      <c r="LDA221" s="1"/>
      <c r="LDB221" s="1"/>
      <c r="LDC221" s="1"/>
      <c r="LDD221" s="1"/>
      <c r="LDE221" s="1"/>
      <c r="LDF221" s="1"/>
      <c r="LDG221" s="1"/>
      <c r="LDH221" s="1"/>
      <c r="LDI221" s="1"/>
      <c r="LDJ221" s="1"/>
      <c r="LDK221" s="1"/>
      <c r="LDL221" s="1"/>
      <c r="LDM221" s="1"/>
      <c r="LDN221" s="1"/>
      <c r="LDO221" s="1"/>
      <c r="LDP221" s="1"/>
      <c r="LDQ221" s="1"/>
      <c r="LDR221" s="1"/>
      <c r="LDS221" s="1"/>
      <c r="LDT221" s="1"/>
      <c r="LDU221" s="1"/>
      <c r="LDV221" s="1"/>
      <c r="LDW221" s="1"/>
      <c r="LDX221" s="1"/>
      <c r="LDY221" s="1"/>
      <c r="LDZ221" s="1"/>
      <c r="LEA221" s="1"/>
      <c r="LEB221" s="1"/>
      <c r="LEC221" s="1"/>
      <c r="LED221" s="1"/>
      <c r="LEE221" s="1"/>
      <c r="LEF221" s="1"/>
      <c r="LEG221" s="1"/>
      <c r="LEH221" s="1"/>
      <c r="LEI221" s="1"/>
      <c r="LEJ221" s="1"/>
      <c r="LEK221" s="1"/>
      <c r="LEL221" s="1"/>
      <c r="LEM221" s="1"/>
      <c r="LEN221" s="1"/>
      <c r="LEO221" s="1"/>
      <c r="LEP221" s="1"/>
      <c r="LEQ221" s="1"/>
      <c r="LER221" s="1"/>
      <c r="LES221" s="1"/>
      <c r="LET221" s="1"/>
      <c r="LEU221" s="1"/>
      <c r="LEV221" s="1"/>
      <c r="LEW221" s="1"/>
      <c r="LEX221" s="1"/>
      <c r="LEY221" s="1"/>
      <c r="LEZ221" s="1"/>
      <c r="LFA221" s="1"/>
      <c r="LFB221" s="1"/>
      <c r="LFC221" s="1"/>
      <c r="LFD221" s="1"/>
      <c r="LFE221" s="1"/>
      <c r="LFF221" s="1"/>
      <c r="LFG221" s="1"/>
      <c r="LFH221" s="1"/>
      <c r="LFI221" s="1"/>
      <c r="LFJ221" s="1"/>
      <c r="LFK221" s="1"/>
      <c r="LFL221" s="1"/>
      <c r="LFM221" s="1"/>
      <c r="LFN221" s="1"/>
      <c r="LFO221" s="1"/>
      <c r="LFP221" s="1"/>
      <c r="LFQ221" s="1"/>
      <c r="LFR221" s="1"/>
      <c r="LFS221" s="1"/>
      <c r="LFT221" s="1"/>
      <c r="LFU221" s="1"/>
      <c r="LFV221" s="1"/>
      <c r="LFW221" s="1"/>
      <c r="LFX221" s="1"/>
      <c r="LFY221" s="1"/>
      <c r="LFZ221" s="1"/>
      <c r="LGA221" s="1"/>
      <c r="LGB221" s="1"/>
      <c r="LGC221" s="1"/>
      <c r="LGD221" s="1"/>
      <c r="LGE221" s="1"/>
      <c r="LGF221" s="1"/>
      <c r="LGG221" s="1"/>
      <c r="LGH221" s="1"/>
      <c r="LGI221" s="1"/>
      <c r="LGJ221" s="1"/>
      <c r="LGK221" s="1"/>
      <c r="LGL221" s="1"/>
      <c r="LGM221" s="1"/>
      <c r="LGN221" s="1"/>
      <c r="LGO221" s="1"/>
      <c r="LGP221" s="1"/>
      <c r="LGQ221" s="1"/>
      <c r="LGR221" s="1"/>
      <c r="LGS221" s="1"/>
      <c r="LGT221" s="1"/>
      <c r="LGU221" s="1"/>
      <c r="LGV221" s="1"/>
      <c r="LGW221" s="1"/>
      <c r="LGX221" s="1"/>
      <c r="LGY221" s="1"/>
      <c r="LGZ221" s="1"/>
      <c r="LHA221" s="1"/>
      <c r="LHB221" s="1"/>
      <c r="LHC221" s="1"/>
      <c r="LHD221" s="1"/>
      <c r="LHE221" s="1"/>
      <c r="LHF221" s="1"/>
      <c r="LHG221" s="1"/>
      <c r="LHH221" s="1"/>
      <c r="LHI221" s="1"/>
      <c r="LHJ221" s="1"/>
      <c r="LHK221" s="1"/>
      <c r="LHL221" s="1"/>
      <c r="LHM221" s="1"/>
      <c r="LHN221" s="1"/>
      <c r="LHO221" s="1"/>
      <c r="LHP221" s="1"/>
      <c r="LHQ221" s="1"/>
      <c r="LHR221" s="1"/>
      <c r="LHS221" s="1"/>
      <c r="LHT221" s="1"/>
      <c r="LHU221" s="1"/>
      <c r="LHV221" s="1"/>
      <c r="LHW221" s="1"/>
      <c r="LHX221" s="1"/>
      <c r="LHY221" s="1"/>
      <c r="LHZ221" s="1"/>
      <c r="LIA221" s="1"/>
      <c r="LIB221" s="1"/>
      <c r="LIC221" s="1"/>
      <c r="LID221" s="1"/>
      <c r="LIE221" s="1"/>
      <c r="LIF221" s="1"/>
      <c r="LIG221" s="1"/>
      <c r="LIH221" s="1"/>
      <c r="LII221" s="1"/>
      <c r="LIJ221" s="1"/>
      <c r="LIK221" s="1"/>
      <c r="LIL221" s="1"/>
      <c r="LIM221" s="1"/>
      <c r="LIN221" s="1"/>
      <c r="LIO221" s="1"/>
      <c r="LIP221" s="1"/>
      <c r="LIQ221" s="1"/>
      <c r="LIR221" s="1"/>
      <c r="LIS221" s="1"/>
      <c r="LIT221" s="1"/>
      <c r="LIU221" s="1"/>
      <c r="LIV221" s="1"/>
      <c r="LIW221" s="1"/>
      <c r="LIX221" s="1"/>
      <c r="LIY221" s="1"/>
      <c r="LIZ221" s="1"/>
      <c r="LJA221" s="1"/>
      <c r="LJB221" s="1"/>
      <c r="LJC221" s="1"/>
      <c r="LJD221" s="1"/>
      <c r="LJE221" s="1"/>
      <c r="LJF221" s="1"/>
      <c r="LJG221" s="1"/>
      <c r="LJH221" s="1"/>
      <c r="LJI221" s="1"/>
      <c r="LJJ221" s="1"/>
      <c r="LJK221" s="1"/>
      <c r="LJL221" s="1"/>
      <c r="LJM221" s="1"/>
      <c r="LJN221" s="1"/>
      <c r="LJO221" s="1"/>
      <c r="LJP221" s="1"/>
      <c r="LJQ221" s="1"/>
      <c r="LJR221" s="1"/>
      <c r="LJS221" s="1"/>
      <c r="LJT221" s="1"/>
      <c r="LJU221" s="1"/>
      <c r="LJV221" s="1"/>
      <c r="LJW221" s="1"/>
      <c r="LJX221" s="1"/>
      <c r="LJY221" s="1"/>
      <c r="LJZ221" s="1"/>
      <c r="LKA221" s="1"/>
      <c r="LKB221" s="1"/>
      <c r="LKC221" s="1"/>
      <c r="LKD221" s="1"/>
      <c r="LKE221" s="1"/>
      <c r="LKF221" s="1"/>
      <c r="LKG221" s="1"/>
      <c r="LKH221" s="1"/>
      <c r="LKI221" s="1"/>
      <c r="LKJ221" s="1"/>
      <c r="LKK221" s="1"/>
      <c r="LKL221" s="1"/>
      <c r="LKM221" s="1"/>
      <c r="LKN221" s="1"/>
      <c r="LKO221" s="1"/>
      <c r="LKP221" s="1"/>
      <c r="LKQ221" s="1"/>
      <c r="LKR221" s="1"/>
      <c r="LKS221" s="1"/>
      <c r="LKT221" s="1"/>
      <c r="LKU221" s="1"/>
      <c r="LKV221" s="1"/>
      <c r="LKW221" s="1"/>
      <c r="LKX221" s="1"/>
      <c r="LKY221" s="1"/>
      <c r="LKZ221" s="1"/>
      <c r="LLA221" s="1"/>
      <c r="LLB221" s="1"/>
      <c r="LLC221" s="1"/>
      <c r="LLD221" s="1"/>
      <c r="LLE221" s="1"/>
      <c r="LLF221" s="1"/>
      <c r="LLG221" s="1"/>
      <c r="LLH221" s="1"/>
      <c r="LLI221" s="1"/>
      <c r="LLJ221" s="1"/>
      <c r="LLK221" s="1"/>
      <c r="LLL221" s="1"/>
      <c r="LLM221" s="1"/>
      <c r="LLN221" s="1"/>
      <c r="LLO221" s="1"/>
      <c r="LLP221" s="1"/>
      <c r="LLQ221" s="1"/>
      <c r="LLR221" s="1"/>
      <c r="LLS221" s="1"/>
      <c r="LLT221" s="1"/>
      <c r="LLU221" s="1"/>
      <c r="LLV221" s="1"/>
      <c r="LLW221" s="1"/>
      <c r="LLX221" s="1"/>
      <c r="LLY221" s="1"/>
      <c r="LLZ221" s="1"/>
      <c r="LMA221" s="1"/>
      <c r="LMB221" s="1"/>
      <c r="LMC221" s="1"/>
      <c r="LMD221" s="1"/>
      <c r="LME221" s="1"/>
      <c r="LMF221" s="1"/>
      <c r="LMG221" s="1"/>
      <c r="LMH221" s="1"/>
      <c r="LMI221" s="1"/>
      <c r="LMJ221" s="1"/>
      <c r="LMK221" s="1"/>
      <c r="LML221" s="1"/>
      <c r="LMM221" s="1"/>
      <c r="LMN221" s="1"/>
      <c r="LMO221" s="1"/>
      <c r="LMP221" s="1"/>
      <c r="LMQ221" s="1"/>
      <c r="LMR221" s="1"/>
      <c r="LMS221" s="1"/>
      <c r="LMT221" s="1"/>
      <c r="LMU221" s="1"/>
      <c r="LMV221" s="1"/>
      <c r="LMW221" s="1"/>
      <c r="LMX221" s="1"/>
      <c r="LMY221" s="1"/>
      <c r="LMZ221" s="1"/>
      <c r="LNA221" s="1"/>
      <c r="LNB221" s="1"/>
      <c r="LNC221" s="1"/>
      <c r="LND221" s="1"/>
      <c r="LNE221" s="1"/>
      <c r="LNF221" s="1"/>
      <c r="LNG221" s="1"/>
      <c r="LNH221" s="1"/>
      <c r="LNI221" s="1"/>
      <c r="LNJ221" s="1"/>
      <c r="LNK221" s="1"/>
      <c r="LNL221" s="1"/>
      <c r="LNM221" s="1"/>
      <c r="LNN221" s="1"/>
      <c r="LNO221" s="1"/>
      <c r="LNP221" s="1"/>
      <c r="LNQ221" s="1"/>
      <c r="LNR221" s="1"/>
      <c r="LNS221" s="1"/>
      <c r="LNT221" s="1"/>
      <c r="LNU221" s="1"/>
      <c r="LNV221" s="1"/>
      <c r="LNW221" s="1"/>
      <c r="LNX221" s="1"/>
      <c r="LNY221" s="1"/>
      <c r="LNZ221" s="1"/>
      <c r="LOA221" s="1"/>
      <c r="LOB221" s="1"/>
      <c r="LOC221" s="1"/>
      <c r="LOD221" s="1"/>
      <c r="LOE221" s="1"/>
      <c r="LOF221" s="1"/>
      <c r="LOG221" s="1"/>
      <c r="LOH221" s="1"/>
      <c r="LOI221" s="1"/>
      <c r="LOJ221" s="1"/>
      <c r="LOK221" s="1"/>
      <c r="LOL221" s="1"/>
      <c r="LOM221" s="1"/>
      <c r="LON221" s="1"/>
      <c r="LOO221" s="1"/>
      <c r="LOP221" s="1"/>
      <c r="LOQ221" s="1"/>
      <c r="LOR221" s="1"/>
      <c r="LOS221" s="1"/>
      <c r="LOT221" s="1"/>
      <c r="LOU221" s="1"/>
      <c r="LOV221" s="1"/>
      <c r="LOW221" s="1"/>
      <c r="LOX221" s="1"/>
      <c r="LOY221" s="1"/>
      <c r="LOZ221" s="1"/>
      <c r="LPA221" s="1"/>
      <c r="LPB221" s="1"/>
      <c r="LPC221" s="1"/>
      <c r="LPD221" s="1"/>
      <c r="LPE221" s="1"/>
      <c r="LPF221" s="1"/>
      <c r="LPG221" s="1"/>
      <c r="LPH221" s="1"/>
      <c r="LPI221" s="1"/>
      <c r="LPJ221" s="1"/>
      <c r="LPK221" s="1"/>
      <c r="LPL221" s="1"/>
      <c r="LPM221" s="1"/>
      <c r="LPN221" s="1"/>
      <c r="LPO221" s="1"/>
      <c r="LPP221" s="1"/>
      <c r="LPQ221" s="1"/>
      <c r="LPR221" s="1"/>
      <c r="LPS221" s="1"/>
      <c r="LPT221" s="1"/>
      <c r="LPU221" s="1"/>
      <c r="LPV221" s="1"/>
      <c r="LPW221" s="1"/>
      <c r="LPX221" s="1"/>
      <c r="LPY221" s="1"/>
      <c r="LPZ221" s="1"/>
      <c r="LQA221" s="1"/>
      <c r="LQB221" s="1"/>
      <c r="LQC221" s="1"/>
      <c r="LQD221" s="1"/>
      <c r="LQE221" s="1"/>
      <c r="LQF221" s="1"/>
      <c r="LQG221" s="1"/>
      <c r="LQH221" s="1"/>
      <c r="LQI221" s="1"/>
      <c r="LQJ221" s="1"/>
      <c r="LQK221" s="1"/>
      <c r="LQL221" s="1"/>
      <c r="LQM221" s="1"/>
      <c r="LQN221" s="1"/>
      <c r="LQO221" s="1"/>
      <c r="LQP221" s="1"/>
      <c r="LQQ221" s="1"/>
      <c r="LQR221" s="1"/>
      <c r="LQS221" s="1"/>
      <c r="LQT221" s="1"/>
      <c r="LQU221" s="1"/>
      <c r="LQV221" s="1"/>
      <c r="LQW221" s="1"/>
      <c r="LQX221" s="1"/>
      <c r="LQY221" s="1"/>
      <c r="LQZ221" s="1"/>
      <c r="LRA221" s="1"/>
      <c r="LRB221" s="1"/>
      <c r="LRC221" s="1"/>
      <c r="LRD221" s="1"/>
      <c r="LRE221" s="1"/>
      <c r="LRF221" s="1"/>
      <c r="LRG221" s="1"/>
      <c r="LRH221" s="1"/>
      <c r="LRI221" s="1"/>
      <c r="LRJ221" s="1"/>
      <c r="LRK221" s="1"/>
      <c r="LRL221" s="1"/>
      <c r="LRM221" s="1"/>
      <c r="LRN221" s="1"/>
      <c r="LRO221" s="1"/>
      <c r="LRP221" s="1"/>
      <c r="LRQ221" s="1"/>
      <c r="LRR221" s="1"/>
      <c r="LRS221" s="1"/>
      <c r="LRT221" s="1"/>
      <c r="LRU221" s="1"/>
      <c r="LRV221" s="1"/>
      <c r="LRW221" s="1"/>
      <c r="LRX221" s="1"/>
      <c r="LRY221" s="1"/>
      <c r="LRZ221" s="1"/>
      <c r="LSA221" s="1"/>
      <c r="LSB221" s="1"/>
      <c r="LSC221" s="1"/>
      <c r="LSD221" s="1"/>
      <c r="LSE221" s="1"/>
      <c r="LSF221" s="1"/>
      <c r="LSG221" s="1"/>
      <c r="LSH221" s="1"/>
      <c r="LSI221" s="1"/>
      <c r="LSJ221" s="1"/>
      <c r="LSK221" s="1"/>
      <c r="LSL221" s="1"/>
      <c r="LSM221" s="1"/>
      <c r="LSN221" s="1"/>
      <c r="LSO221" s="1"/>
      <c r="LSP221" s="1"/>
      <c r="LSQ221" s="1"/>
      <c r="LSR221" s="1"/>
      <c r="LSS221" s="1"/>
      <c r="LST221" s="1"/>
      <c r="LSU221" s="1"/>
      <c r="LSV221" s="1"/>
      <c r="LSW221" s="1"/>
      <c r="LSX221" s="1"/>
      <c r="LSY221" s="1"/>
      <c r="LSZ221" s="1"/>
      <c r="LTA221" s="1"/>
      <c r="LTB221" s="1"/>
      <c r="LTC221" s="1"/>
      <c r="LTD221" s="1"/>
      <c r="LTE221" s="1"/>
      <c r="LTF221" s="1"/>
      <c r="LTG221" s="1"/>
      <c r="LTH221" s="1"/>
      <c r="LTI221" s="1"/>
      <c r="LTJ221" s="1"/>
      <c r="LTK221" s="1"/>
      <c r="LTL221" s="1"/>
      <c r="LTM221" s="1"/>
      <c r="LTN221" s="1"/>
      <c r="LTO221" s="1"/>
      <c r="LTP221" s="1"/>
      <c r="LTQ221" s="1"/>
      <c r="LTR221" s="1"/>
      <c r="LTS221" s="1"/>
      <c r="LTT221" s="1"/>
      <c r="LTU221" s="1"/>
      <c r="LTV221" s="1"/>
      <c r="LTW221" s="1"/>
      <c r="LTX221" s="1"/>
      <c r="LTY221" s="1"/>
      <c r="LTZ221" s="1"/>
      <c r="LUA221" s="1"/>
      <c r="LUB221" s="1"/>
      <c r="LUC221" s="1"/>
      <c r="LUD221" s="1"/>
      <c r="LUE221" s="1"/>
      <c r="LUF221" s="1"/>
      <c r="LUG221" s="1"/>
      <c r="LUH221" s="1"/>
      <c r="LUI221" s="1"/>
      <c r="LUJ221" s="1"/>
      <c r="LUK221" s="1"/>
      <c r="LUL221" s="1"/>
      <c r="LUM221" s="1"/>
      <c r="LUN221" s="1"/>
      <c r="LUO221" s="1"/>
      <c r="LUP221" s="1"/>
      <c r="LUQ221" s="1"/>
      <c r="LUR221" s="1"/>
      <c r="LUS221" s="1"/>
      <c r="LUT221" s="1"/>
      <c r="LUU221" s="1"/>
      <c r="LUV221" s="1"/>
      <c r="LUW221" s="1"/>
      <c r="LUX221" s="1"/>
      <c r="LUY221" s="1"/>
      <c r="LUZ221" s="1"/>
      <c r="LVA221" s="1"/>
      <c r="LVB221" s="1"/>
      <c r="LVC221" s="1"/>
      <c r="LVD221" s="1"/>
      <c r="LVE221" s="1"/>
      <c r="LVF221" s="1"/>
      <c r="LVG221" s="1"/>
      <c r="LVH221" s="1"/>
      <c r="LVI221" s="1"/>
      <c r="LVJ221" s="1"/>
      <c r="LVK221" s="1"/>
      <c r="LVL221" s="1"/>
      <c r="LVM221" s="1"/>
      <c r="LVN221" s="1"/>
      <c r="LVO221" s="1"/>
      <c r="LVP221" s="1"/>
      <c r="LVQ221" s="1"/>
      <c r="LVR221" s="1"/>
      <c r="LVS221" s="1"/>
      <c r="LVT221" s="1"/>
      <c r="LVU221" s="1"/>
      <c r="LVV221" s="1"/>
      <c r="LVW221" s="1"/>
      <c r="LVX221" s="1"/>
      <c r="LVY221" s="1"/>
      <c r="LVZ221" s="1"/>
      <c r="LWA221" s="1"/>
      <c r="LWB221" s="1"/>
      <c r="LWC221" s="1"/>
      <c r="LWD221" s="1"/>
      <c r="LWE221" s="1"/>
      <c r="LWF221" s="1"/>
      <c r="LWG221" s="1"/>
      <c r="LWH221" s="1"/>
      <c r="LWI221" s="1"/>
      <c r="LWJ221" s="1"/>
      <c r="LWK221" s="1"/>
      <c r="LWL221" s="1"/>
      <c r="LWM221" s="1"/>
      <c r="LWN221" s="1"/>
      <c r="LWO221" s="1"/>
      <c r="LWP221" s="1"/>
      <c r="LWQ221" s="1"/>
      <c r="LWR221" s="1"/>
      <c r="LWS221" s="1"/>
      <c r="LWT221" s="1"/>
      <c r="LWU221" s="1"/>
      <c r="LWV221" s="1"/>
      <c r="LWW221" s="1"/>
      <c r="LWX221" s="1"/>
      <c r="LWY221" s="1"/>
      <c r="LWZ221" s="1"/>
      <c r="LXA221" s="1"/>
      <c r="LXB221" s="1"/>
      <c r="LXC221" s="1"/>
      <c r="LXD221" s="1"/>
      <c r="LXE221" s="1"/>
      <c r="LXF221" s="1"/>
      <c r="LXG221" s="1"/>
      <c r="LXH221" s="1"/>
      <c r="LXI221" s="1"/>
      <c r="LXJ221" s="1"/>
      <c r="LXK221" s="1"/>
      <c r="LXL221" s="1"/>
      <c r="LXM221" s="1"/>
      <c r="LXN221" s="1"/>
      <c r="LXO221" s="1"/>
      <c r="LXP221" s="1"/>
      <c r="LXQ221" s="1"/>
      <c r="LXR221" s="1"/>
      <c r="LXS221" s="1"/>
      <c r="LXT221" s="1"/>
      <c r="LXU221" s="1"/>
      <c r="LXV221" s="1"/>
      <c r="LXW221" s="1"/>
      <c r="LXX221" s="1"/>
      <c r="LXY221" s="1"/>
      <c r="LXZ221" s="1"/>
      <c r="LYA221" s="1"/>
      <c r="LYB221" s="1"/>
      <c r="LYC221" s="1"/>
      <c r="LYD221" s="1"/>
      <c r="LYE221" s="1"/>
      <c r="LYF221" s="1"/>
      <c r="LYG221" s="1"/>
      <c r="LYH221" s="1"/>
      <c r="LYI221" s="1"/>
      <c r="LYJ221" s="1"/>
      <c r="LYK221" s="1"/>
      <c r="LYL221" s="1"/>
      <c r="LYM221" s="1"/>
      <c r="LYN221" s="1"/>
      <c r="LYO221" s="1"/>
      <c r="LYP221" s="1"/>
      <c r="LYQ221" s="1"/>
      <c r="LYR221" s="1"/>
      <c r="LYS221" s="1"/>
      <c r="LYT221" s="1"/>
      <c r="LYU221" s="1"/>
      <c r="LYV221" s="1"/>
      <c r="LYW221" s="1"/>
      <c r="LYX221" s="1"/>
      <c r="LYY221" s="1"/>
      <c r="LYZ221" s="1"/>
      <c r="LZA221" s="1"/>
      <c r="LZB221" s="1"/>
      <c r="LZC221" s="1"/>
      <c r="LZD221" s="1"/>
      <c r="LZE221" s="1"/>
      <c r="LZF221" s="1"/>
      <c r="LZG221" s="1"/>
      <c r="LZH221" s="1"/>
      <c r="LZI221" s="1"/>
      <c r="LZJ221" s="1"/>
      <c r="LZK221" s="1"/>
      <c r="LZL221" s="1"/>
      <c r="LZM221" s="1"/>
      <c r="LZN221" s="1"/>
      <c r="LZO221" s="1"/>
      <c r="LZP221" s="1"/>
      <c r="LZQ221" s="1"/>
      <c r="LZR221" s="1"/>
      <c r="LZS221" s="1"/>
      <c r="LZT221" s="1"/>
      <c r="LZU221" s="1"/>
      <c r="LZV221" s="1"/>
      <c r="LZW221" s="1"/>
      <c r="LZX221" s="1"/>
      <c r="LZY221" s="1"/>
      <c r="LZZ221" s="1"/>
      <c r="MAA221" s="1"/>
      <c r="MAB221" s="1"/>
      <c r="MAC221" s="1"/>
      <c r="MAD221" s="1"/>
      <c r="MAE221" s="1"/>
      <c r="MAF221" s="1"/>
      <c r="MAG221" s="1"/>
      <c r="MAH221" s="1"/>
      <c r="MAI221" s="1"/>
      <c r="MAJ221" s="1"/>
      <c r="MAK221" s="1"/>
      <c r="MAL221" s="1"/>
      <c r="MAM221" s="1"/>
      <c r="MAN221" s="1"/>
      <c r="MAO221" s="1"/>
      <c r="MAP221" s="1"/>
      <c r="MAQ221" s="1"/>
      <c r="MAR221" s="1"/>
      <c r="MAS221" s="1"/>
      <c r="MAT221" s="1"/>
      <c r="MAU221" s="1"/>
      <c r="MAV221" s="1"/>
      <c r="MAW221" s="1"/>
      <c r="MAX221" s="1"/>
      <c r="MAY221" s="1"/>
      <c r="MAZ221" s="1"/>
      <c r="MBA221" s="1"/>
      <c r="MBB221" s="1"/>
      <c r="MBC221" s="1"/>
      <c r="MBD221" s="1"/>
      <c r="MBE221" s="1"/>
      <c r="MBF221" s="1"/>
      <c r="MBG221" s="1"/>
      <c r="MBH221" s="1"/>
      <c r="MBI221" s="1"/>
      <c r="MBJ221" s="1"/>
      <c r="MBK221" s="1"/>
      <c r="MBL221" s="1"/>
      <c r="MBM221" s="1"/>
      <c r="MBN221" s="1"/>
      <c r="MBO221" s="1"/>
      <c r="MBP221" s="1"/>
      <c r="MBQ221" s="1"/>
      <c r="MBR221" s="1"/>
      <c r="MBS221" s="1"/>
      <c r="MBT221" s="1"/>
      <c r="MBU221" s="1"/>
      <c r="MBV221" s="1"/>
      <c r="MBW221" s="1"/>
      <c r="MBX221" s="1"/>
      <c r="MBY221" s="1"/>
      <c r="MBZ221" s="1"/>
      <c r="MCA221" s="1"/>
      <c r="MCB221" s="1"/>
      <c r="MCC221" s="1"/>
      <c r="MCD221" s="1"/>
      <c r="MCE221" s="1"/>
      <c r="MCF221" s="1"/>
      <c r="MCG221" s="1"/>
      <c r="MCH221" s="1"/>
      <c r="MCI221" s="1"/>
      <c r="MCJ221" s="1"/>
      <c r="MCK221" s="1"/>
      <c r="MCL221" s="1"/>
      <c r="MCM221" s="1"/>
      <c r="MCN221" s="1"/>
      <c r="MCO221" s="1"/>
      <c r="MCP221" s="1"/>
      <c r="MCQ221" s="1"/>
      <c r="MCR221" s="1"/>
      <c r="MCS221" s="1"/>
      <c r="MCT221" s="1"/>
      <c r="MCU221" s="1"/>
      <c r="MCV221" s="1"/>
      <c r="MCW221" s="1"/>
      <c r="MCX221" s="1"/>
      <c r="MCY221" s="1"/>
      <c r="MCZ221" s="1"/>
      <c r="MDA221" s="1"/>
      <c r="MDB221" s="1"/>
      <c r="MDC221" s="1"/>
      <c r="MDD221" s="1"/>
      <c r="MDE221" s="1"/>
      <c r="MDF221" s="1"/>
      <c r="MDG221" s="1"/>
      <c r="MDH221" s="1"/>
      <c r="MDI221" s="1"/>
      <c r="MDJ221" s="1"/>
      <c r="MDK221" s="1"/>
      <c r="MDL221" s="1"/>
      <c r="MDM221" s="1"/>
      <c r="MDN221" s="1"/>
      <c r="MDO221" s="1"/>
      <c r="MDP221" s="1"/>
      <c r="MDQ221" s="1"/>
      <c r="MDR221" s="1"/>
      <c r="MDS221" s="1"/>
      <c r="MDT221" s="1"/>
      <c r="MDU221" s="1"/>
      <c r="MDV221" s="1"/>
      <c r="MDW221" s="1"/>
      <c r="MDX221" s="1"/>
      <c r="MDY221" s="1"/>
      <c r="MDZ221" s="1"/>
      <c r="MEA221" s="1"/>
      <c r="MEB221" s="1"/>
      <c r="MEC221" s="1"/>
      <c r="MED221" s="1"/>
      <c r="MEE221" s="1"/>
      <c r="MEF221" s="1"/>
      <c r="MEG221" s="1"/>
      <c r="MEH221" s="1"/>
      <c r="MEI221" s="1"/>
      <c r="MEJ221" s="1"/>
      <c r="MEK221" s="1"/>
      <c r="MEL221" s="1"/>
      <c r="MEM221" s="1"/>
      <c r="MEN221" s="1"/>
      <c r="MEO221" s="1"/>
      <c r="MEP221" s="1"/>
      <c r="MEQ221" s="1"/>
      <c r="MER221" s="1"/>
      <c r="MES221" s="1"/>
      <c r="MET221" s="1"/>
      <c r="MEU221" s="1"/>
      <c r="MEV221" s="1"/>
      <c r="MEW221" s="1"/>
      <c r="MEX221" s="1"/>
      <c r="MEY221" s="1"/>
      <c r="MEZ221" s="1"/>
      <c r="MFA221" s="1"/>
      <c r="MFB221" s="1"/>
      <c r="MFC221" s="1"/>
      <c r="MFD221" s="1"/>
      <c r="MFE221" s="1"/>
      <c r="MFF221" s="1"/>
      <c r="MFG221" s="1"/>
      <c r="MFH221" s="1"/>
      <c r="MFI221" s="1"/>
      <c r="MFJ221" s="1"/>
      <c r="MFK221" s="1"/>
      <c r="MFL221" s="1"/>
      <c r="MFM221" s="1"/>
      <c r="MFN221" s="1"/>
      <c r="MFO221" s="1"/>
      <c r="MFP221" s="1"/>
      <c r="MFQ221" s="1"/>
      <c r="MFR221" s="1"/>
      <c r="MFS221" s="1"/>
      <c r="MFT221" s="1"/>
      <c r="MFU221" s="1"/>
      <c r="MFV221" s="1"/>
      <c r="MFW221" s="1"/>
      <c r="MFX221" s="1"/>
      <c r="MFY221" s="1"/>
      <c r="MFZ221" s="1"/>
      <c r="MGA221" s="1"/>
      <c r="MGB221" s="1"/>
      <c r="MGC221" s="1"/>
      <c r="MGD221" s="1"/>
      <c r="MGE221" s="1"/>
      <c r="MGF221" s="1"/>
      <c r="MGG221" s="1"/>
      <c r="MGH221" s="1"/>
      <c r="MGI221" s="1"/>
      <c r="MGJ221" s="1"/>
      <c r="MGK221" s="1"/>
      <c r="MGL221" s="1"/>
      <c r="MGM221" s="1"/>
      <c r="MGN221" s="1"/>
      <c r="MGO221" s="1"/>
      <c r="MGP221" s="1"/>
      <c r="MGQ221" s="1"/>
      <c r="MGR221" s="1"/>
      <c r="MGS221" s="1"/>
      <c r="MGT221" s="1"/>
      <c r="MGU221" s="1"/>
      <c r="MGV221" s="1"/>
      <c r="MGW221" s="1"/>
      <c r="MGX221" s="1"/>
      <c r="MGY221" s="1"/>
      <c r="MGZ221" s="1"/>
      <c r="MHA221" s="1"/>
      <c r="MHB221" s="1"/>
      <c r="MHC221" s="1"/>
      <c r="MHD221" s="1"/>
      <c r="MHE221" s="1"/>
      <c r="MHF221" s="1"/>
      <c r="MHG221" s="1"/>
      <c r="MHH221" s="1"/>
      <c r="MHI221" s="1"/>
      <c r="MHJ221" s="1"/>
      <c r="MHK221" s="1"/>
      <c r="MHL221" s="1"/>
      <c r="MHM221" s="1"/>
      <c r="MHN221" s="1"/>
      <c r="MHO221" s="1"/>
      <c r="MHP221" s="1"/>
      <c r="MHQ221" s="1"/>
      <c r="MHR221" s="1"/>
      <c r="MHS221" s="1"/>
      <c r="MHT221" s="1"/>
      <c r="MHU221" s="1"/>
      <c r="MHV221" s="1"/>
      <c r="MHW221" s="1"/>
      <c r="MHX221" s="1"/>
      <c r="MHY221" s="1"/>
      <c r="MHZ221" s="1"/>
      <c r="MIA221" s="1"/>
      <c r="MIB221" s="1"/>
      <c r="MIC221" s="1"/>
      <c r="MID221" s="1"/>
      <c r="MIE221" s="1"/>
      <c r="MIF221" s="1"/>
      <c r="MIG221" s="1"/>
      <c r="MIH221" s="1"/>
      <c r="MII221" s="1"/>
      <c r="MIJ221" s="1"/>
      <c r="MIK221" s="1"/>
      <c r="MIL221" s="1"/>
      <c r="MIM221" s="1"/>
      <c r="MIN221" s="1"/>
      <c r="MIO221" s="1"/>
      <c r="MIP221" s="1"/>
      <c r="MIQ221" s="1"/>
      <c r="MIR221" s="1"/>
      <c r="MIS221" s="1"/>
      <c r="MIT221" s="1"/>
      <c r="MIU221" s="1"/>
      <c r="MIV221" s="1"/>
      <c r="MIW221" s="1"/>
      <c r="MIX221" s="1"/>
      <c r="MIY221" s="1"/>
      <c r="MIZ221" s="1"/>
      <c r="MJA221" s="1"/>
      <c r="MJB221" s="1"/>
      <c r="MJC221" s="1"/>
      <c r="MJD221" s="1"/>
      <c r="MJE221" s="1"/>
      <c r="MJF221" s="1"/>
      <c r="MJG221" s="1"/>
      <c r="MJH221" s="1"/>
      <c r="MJI221" s="1"/>
      <c r="MJJ221" s="1"/>
      <c r="MJK221" s="1"/>
      <c r="MJL221" s="1"/>
      <c r="MJM221" s="1"/>
      <c r="MJN221" s="1"/>
      <c r="MJO221" s="1"/>
      <c r="MJP221" s="1"/>
      <c r="MJQ221" s="1"/>
      <c r="MJR221" s="1"/>
      <c r="MJS221" s="1"/>
      <c r="MJT221" s="1"/>
      <c r="MJU221" s="1"/>
      <c r="MJV221" s="1"/>
      <c r="MJW221" s="1"/>
      <c r="MJX221" s="1"/>
      <c r="MJY221" s="1"/>
      <c r="MJZ221" s="1"/>
      <c r="MKA221" s="1"/>
      <c r="MKB221" s="1"/>
      <c r="MKC221" s="1"/>
      <c r="MKD221" s="1"/>
      <c r="MKE221" s="1"/>
      <c r="MKF221" s="1"/>
      <c r="MKG221" s="1"/>
      <c r="MKH221" s="1"/>
      <c r="MKI221" s="1"/>
      <c r="MKJ221" s="1"/>
      <c r="MKK221" s="1"/>
      <c r="MKL221" s="1"/>
      <c r="MKM221" s="1"/>
      <c r="MKN221" s="1"/>
      <c r="MKO221" s="1"/>
      <c r="MKP221" s="1"/>
      <c r="MKQ221" s="1"/>
      <c r="MKR221" s="1"/>
      <c r="MKS221" s="1"/>
      <c r="MKT221" s="1"/>
      <c r="MKU221" s="1"/>
      <c r="MKV221" s="1"/>
      <c r="MKW221" s="1"/>
      <c r="MKX221" s="1"/>
      <c r="MKY221" s="1"/>
      <c r="MKZ221" s="1"/>
      <c r="MLA221" s="1"/>
      <c r="MLB221" s="1"/>
      <c r="MLC221" s="1"/>
      <c r="MLD221" s="1"/>
      <c r="MLE221" s="1"/>
      <c r="MLF221" s="1"/>
      <c r="MLG221" s="1"/>
      <c r="MLH221" s="1"/>
      <c r="MLI221" s="1"/>
      <c r="MLJ221" s="1"/>
      <c r="MLK221" s="1"/>
      <c r="MLL221" s="1"/>
      <c r="MLM221" s="1"/>
      <c r="MLN221" s="1"/>
      <c r="MLO221" s="1"/>
      <c r="MLP221" s="1"/>
      <c r="MLQ221" s="1"/>
      <c r="MLR221" s="1"/>
      <c r="MLS221" s="1"/>
      <c r="MLT221" s="1"/>
      <c r="MLU221" s="1"/>
      <c r="MLV221" s="1"/>
      <c r="MLW221" s="1"/>
      <c r="MLX221" s="1"/>
      <c r="MLY221" s="1"/>
      <c r="MLZ221" s="1"/>
      <c r="MMA221" s="1"/>
      <c r="MMB221" s="1"/>
      <c r="MMC221" s="1"/>
      <c r="MMD221" s="1"/>
      <c r="MME221" s="1"/>
      <c r="MMF221" s="1"/>
      <c r="MMG221" s="1"/>
      <c r="MMH221" s="1"/>
      <c r="MMI221" s="1"/>
      <c r="MMJ221" s="1"/>
      <c r="MMK221" s="1"/>
      <c r="MML221" s="1"/>
      <c r="MMM221" s="1"/>
      <c r="MMN221" s="1"/>
      <c r="MMO221" s="1"/>
      <c r="MMP221" s="1"/>
      <c r="MMQ221" s="1"/>
      <c r="MMR221" s="1"/>
      <c r="MMS221" s="1"/>
      <c r="MMT221" s="1"/>
      <c r="MMU221" s="1"/>
      <c r="MMV221" s="1"/>
      <c r="MMW221" s="1"/>
      <c r="MMX221" s="1"/>
      <c r="MMY221" s="1"/>
      <c r="MMZ221" s="1"/>
      <c r="MNA221" s="1"/>
      <c r="MNB221" s="1"/>
      <c r="MNC221" s="1"/>
      <c r="MND221" s="1"/>
      <c r="MNE221" s="1"/>
      <c r="MNF221" s="1"/>
      <c r="MNG221" s="1"/>
      <c r="MNH221" s="1"/>
      <c r="MNI221" s="1"/>
      <c r="MNJ221" s="1"/>
      <c r="MNK221" s="1"/>
      <c r="MNL221" s="1"/>
      <c r="MNM221" s="1"/>
      <c r="MNN221" s="1"/>
      <c r="MNO221" s="1"/>
      <c r="MNP221" s="1"/>
      <c r="MNQ221" s="1"/>
      <c r="MNR221" s="1"/>
      <c r="MNS221" s="1"/>
      <c r="MNT221" s="1"/>
      <c r="MNU221" s="1"/>
      <c r="MNV221" s="1"/>
      <c r="MNW221" s="1"/>
      <c r="MNX221" s="1"/>
      <c r="MNY221" s="1"/>
      <c r="MNZ221" s="1"/>
      <c r="MOA221" s="1"/>
      <c r="MOB221" s="1"/>
      <c r="MOC221" s="1"/>
      <c r="MOD221" s="1"/>
      <c r="MOE221" s="1"/>
      <c r="MOF221" s="1"/>
      <c r="MOG221" s="1"/>
      <c r="MOH221" s="1"/>
      <c r="MOI221" s="1"/>
      <c r="MOJ221" s="1"/>
      <c r="MOK221" s="1"/>
      <c r="MOL221" s="1"/>
      <c r="MOM221" s="1"/>
      <c r="MON221" s="1"/>
      <c r="MOO221" s="1"/>
      <c r="MOP221" s="1"/>
      <c r="MOQ221" s="1"/>
      <c r="MOR221" s="1"/>
      <c r="MOS221" s="1"/>
      <c r="MOT221" s="1"/>
      <c r="MOU221" s="1"/>
      <c r="MOV221" s="1"/>
      <c r="MOW221" s="1"/>
      <c r="MOX221" s="1"/>
      <c r="MOY221" s="1"/>
      <c r="MOZ221" s="1"/>
      <c r="MPA221" s="1"/>
      <c r="MPB221" s="1"/>
      <c r="MPC221" s="1"/>
      <c r="MPD221" s="1"/>
      <c r="MPE221" s="1"/>
      <c r="MPF221" s="1"/>
      <c r="MPG221" s="1"/>
      <c r="MPH221" s="1"/>
      <c r="MPI221" s="1"/>
      <c r="MPJ221" s="1"/>
      <c r="MPK221" s="1"/>
      <c r="MPL221" s="1"/>
      <c r="MPM221" s="1"/>
      <c r="MPN221" s="1"/>
      <c r="MPO221" s="1"/>
      <c r="MPP221" s="1"/>
      <c r="MPQ221" s="1"/>
      <c r="MPR221" s="1"/>
      <c r="MPS221" s="1"/>
      <c r="MPT221" s="1"/>
      <c r="MPU221" s="1"/>
      <c r="MPV221" s="1"/>
      <c r="MPW221" s="1"/>
      <c r="MPX221" s="1"/>
      <c r="MPY221" s="1"/>
      <c r="MPZ221" s="1"/>
      <c r="MQA221" s="1"/>
      <c r="MQB221" s="1"/>
      <c r="MQC221" s="1"/>
      <c r="MQD221" s="1"/>
      <c r="MQE221" s="1"/>
      <c r="MQF221" s="1"/>
      <c r="MQG221" s="1"/>
      <c r="MQH221" s="1"/>
      <c r="MQI221" s="1"/>
      <c r="MQJ221" s="1"/>
      <c r="MQK221" s="1"/>
      <c r="MQL221" s="1"/>
      <c r="MQM221" s="1"/>
      <c r="MQN221" s="1"/>
      <c r="MQO221" s="1"/>
      <c r="MQP221" s="1"/>
      <c r="MQQ221" s="1"/>
      <c r="MQR221" s="1"/>
      <c r="MQS221" s="1"/>
      <c r="MQT221" s="1"/>
      <c r="MQU221" s="1"/>
      <c r="MQV221" s="1"/>
      <c r="MQW221" s="1"/>
      <c r="MQX221" s="1"/>
      <c r="MQY221" s="1"/>
      <c r="MQZ221" s="1"/>
      <c r="MRA221" s="1"/>
      <c r="MRB221" s="1"/>
      <c r="MRC221" s="1"/>
      <c r="MRD221" s="1"/>
      <c r="MRE221" s="1"/>
      <c r="MRF221" s="1"/>
      <c r="MRG221" s="1"/>
      <c r="MRH221" s="1"/>
      <c r="MRI221" s="1"/>
      <c r="MRJ221" s="1"/>
      <c r="MRK221" s="1"/>
      <c r="MRL221" s="1"/>
      <c r="MRM221" s="1"/>
      <c r="MRN221" s="1"/>
      <c r="MRO221" s="1"/>
      <c r="MRP221" s="1"/>
      <c r="MRQ221" s="1"/>
      <c r="MRR221" s="1"/>
      <c r="MRS221" s="1"/>
      <c r="MRT221" s="1"/>
      <c r="MRU221" s="1"/>
      <c r="MRV221" s="1"/>
      <c r="MRW221" s="1"/>
      <c r="MRX221" s="1"/>
      <c r="MRY221" s="1"/>
      <c r="MRZ221" s="1"/>
      <c r="MSA221" s="1"/>
      <c r="MSB221" s="1"/>
      <c r="MSC221" s="1"/>
      <c r="MSD221" s="1"/>
      <c r="MSE221" s="1"/>
      <c r="MSF221" s="1"/>
      <c r="MSG221" s="1"/>
      <c r="MSH221" s="1"/>
      <c r="MSI221" s="1"/>
      <c r="MSJ221" s="1"/>
      <c r="MSK221" s="1"/>
      <c r="MSL221" s="1"/>
      <c r="MSM221" s="1"/>
      <c r="MSN221" s="1"/>
      <c r="MSO221" s="1"/>
      <c r="MSP221" s="1"/>
      <c r="MSQ221" s="1"/>
      <c r="MSR221" s="1"/>
      <c r="MSS221" s="1"/>
      <c r="MST221" s="1"/>
      <c r="MSU221" s="1"/>
      <c r="MSV221" s="1"/>
      <c r="MSW221" s="1"/>
      <c r="MSX221" s="1"/>
      <c r="MSY221" s="1"/>
      <c r="MSZ221" s="1"/>
      <c r="MTA221" s="1"/>
      <c r="MTB221" s="1"/>
      <c r="MTC221" s="1"/>
      <c r="MTD221" s="1"/>
      <c r="MTE221" s="1"/>
      <c r="MTF221" s="1"/>
      <c r="MTG221" s="1"/>
      <c r="MTH221" s="1"/>
      <c r="MTI221" s="1"/>
      <c r="MTJ221" s="1"/>
      <c r="MTK221" s="1"/>
      <c r="MTL221" s="1"/>
      <c r="MTM221" s="1"/>
      <c r="MTN221" s="1"/>
      <c r="MTO221" s="1"/>
      <c r="MTP221" s="1"/>
      <c r="MTQ221" s="1"/>
      <c r="MTR221" s="1"/>
      <c r="MTS221" s="1"/>
      <c r="MTT221" s="1"/>
      <c r="MTU221" s="1"/>
      <c r="MTV221" s="1"/>
      <c r="MTW221" s="1"/>
      <c r="MTX221" s="1"/>
      <c r="MTY221" s="1"/>
      <c r="MTZ221" s="1"/>
      <c r="MUA221" s="1"/>
      <c r="MUB221" s="1"/>
      <c r="MUC221" s="1"/>
      <c r="MUD221" s="1"/>
      <c r="MUE221" s="1"/>
      <c r="MUF221" s="1"/>
      <c r="MUG221" s="1"/>
      <c r="MUH221" s="1"/>
      <c r="MUI221" s="1"/>
      <c r="MUJ221" s="1"/>
      <c r="MUK221" s="1"/>
      <c r="MUL221" s="1"/>
      <c r="MUM221" s="1"/>
      <c r="MUN221" s="1"/>
      <c r="MUO221" s="1"/>
      <c r="MUP221" s="1"/>
      <c r="MUQ221" s="1"/>
      <c r="MUR221" s="1"/>
      <c r="MUS221" s="1"/>
      <c r="MUT221" s="1"/>
      <c r="MUU221" s="1"/>
      <c r="MUV221" s="1"/>
      <c r="MUW221" s="1"/>
      <c r="MUX221" s="1"/>
      <c r="MUY221" s="1"/>
      <c r="MUZ221" s="1"/>
      <c r="MVA221" s="1"/>
      <c r="MVB221" s="1"/>
      <c r="MVC221" s="1"/>
      <c r="MVD221" s="1"/>
      <c r="MVE221" s="1"/>
      <c r="MVF221" s="1"/>
      <c r="MVG221" s="1"/>
      <c r="MVH221" s="1"/>
      <c r="MVI221" s="1"/>
      <c r="MVJ221" s="1"/>
      <c r="MVK221" s="1"/>
      <c r="MVL221" s="1"/>
      <c r="MVM221" s="1"/>
      <c r="MVN221" s="1"/>
      <c r="MVO221" s="1"/>
      <c r="MVP221" s="1"/>
      <c r="MVQ221" s="1"/>
      <c r="MVR221" s="1"/>
      <c r="MVS221" s="1"/>
      <c r="MVT221" s="1"/>
      <c r="MVU221" s="1"/>
      <c r="MVV221" s="1"/>
      <c r="MVW221" s="1"/>
      <c r="MVX221" s="1"/>
      <c r="MVY221" s="1"/>
      <c r="MVZ221" s="1"/>
      <c r="MWA221" s="1"/>
      <c r="MWB221" s="1"/>
      <c r="MWC221" s="1"/>
      <c r="MWD221" s="1"/>
      <c r="MWE221" s="1"/>
      <c r="MWF221" s="1"/>
      <c r="MWG221" s="1"/>
      <c r="MWH221" s="1"/>
      <c r="MWI221" s="1"/>
      <c r="MWJ221" s="1"/>
      <c r="MWK221" s="1"/>
      <c r="MWL221" s="1"/>
      <c r="MWM221" s="1"/>
      <c r="MWN221" s="1"/>
      <c r="MWO221" s="1"/>
      <c r="MWP221" s="1"/>
      <c r="MWQ221" s="1"/>
      <c r="MWR221" s="1"/>
      <c r="MWS221" s="1"/>
      <c r="MWT221" s="1"/>
      <c r="MWU221" s="1"/>
      <c r="MWV221" s="1"/>
      <c r="MWW221" s="1"/>
      <c r="MWX221" s="1"/>
      <c r="MWY221" s="1"/>
      <c r="MWZ221" s="1"/>
      <c r="MXA221" s="1"/>
      <c r="MXB221" s="1"/>
      <c r="MXC221" s="1"/>
      <c r="MXD221" s="1"/>
      <c r="MXE221" s="1"/>
      <c r="MXF221" s="1"/>
      <c r="MXG221" s="1"/>
      <c r="MXH221" s="1"/>
      <c r="MXI221" s="1"/>
      <c r="MXJ221" s="1"/>
      <c r="MXK221" s="1"/>
      <c r="MXL221" s="1"/>
      <c r="MXM221" s="1"/>
      <c r="MXN221" s="1"/>
      <c r="MXO221" s="1"/>
      <c r="MXP221" s="1"/>
      <c r="MXQ221" s="1"/>
      <c r="MXR221" s="1"/>
      <c r="MXS221" s="1"/>
      <c r="MXT221" s="1"/>
      <c r="MXU221" s="1"/>
      <c r="MXV221" s="1"/>
      <c r="MXW221" s="1"/>
      <c r="MXX221" s="1"/>
      <c r="MXY221" s="1"/>
      <c r="MXZ221" s="1"/>
      <c r="MYA221" s="1"/>
      <c r="MYB221" s="1"/>
      <c r="MYC221" s="1"/>
      <c r="MYD221" s="1"/>
      <c r="MYE221" s="1"/>
      <c r="MYF221" s="1"/>
      <c r="MYG221" s="1"/>
      <c r="MYH221" s="1"/>
      <c r="MYI221" s="1"/>
      <c r="MYJ221" s="1"/>
      <c r="MYK221" s="1"/>
      <c r="MYL221" s="1"/>
      <c r="MYM221" s="1"/>
      <c r="MYN221" s="1"/>
      <c r="MYO221" s="1"/>
      <c r="MYP221" s="1"/>
      <c r="MYQ221" s="1"/>
      <c r="MYR221" s="1"/>
      <c r="MYS221" s="1"/>
      <c r="MYT221" s="1"/>
      <c r="MYU221" s="1"/>
      <c r="MYV221" s="1"/>
      <c r="MYW221" s="1"/>
      <c r="MYX221" s="1"/>
      <c r="MYY221" s="1"/>
      <c r="MYZ221" s="1"/>
      <c r="MZA221" s="1"/>
      <c r="MZB221" s="1"/>
      <c r="MZC221" s="1"/>
      <c r="MZD221" s="1"/>
      <c r="MZE221" s="1"/>
      <c r="MZF221" s="1"/>
      <c r="MZG221" s="1"/>
      <c r="MZH221" s="1"/>
      <c r="MZI221" s="1"/>
      <c r="MZJ221" s="1"/>
      <c r="MZK221" s="1"/>
      <c r="MZL221" s="1"/>
      <c r="MZM221" s="1"/>
      <c r="MZN221" s="1"/>
      <c r="MZO221" s="1"/>
      <c r="MZP221" s="1"/>
      <c r="MZQ221" s="1"/>
      <c r="MZR221" s="1"/>
      <c r="MZS221" s="1"/>
      <c r="MZT221" s="1"/>
      <c r="MZU221" s="1"/>
      <c r="MZV221" s="1"/>
      <c r="MZW221" s="1"/>
      <c r="MZX221" s="1"/>
      <c r="MZY221" s="1"/>
      <c r="MZZ221" s="1"/>
      <c r="NAA221" s="1"/>
      <c r="NAB221" s="1"/>
      <c r="NAC221" s="1"/>
      <c r="NAD221" s="1"/>
      <c r="NAE221" s="1"/>
      <c r="NAF221" s="1"/>
      <c r="NAG221" s="1"/>
      <c r="NAH221" s="1"/>
      <c r="NAI221" s="1"/>
      <c r="NAJ221" s="1"/>
      <c r="NAK221" s="1"/>
      <c r="NAL221" s="1"/>
      <c r="NAM221" s="1"/>
      <c r="NAN221" s="1"/>
      <c r="NAO221" s="1"/>
      <c r="NAP221" s="1"/>
      <c r="NAQ221" s="1"/>
      <c r="NAR221" s="1"/>
      <c r="NAS221" s="1"/>
      <c r="NAT221" s="1"/>
      <c r="NAU221" s="1"/>
      <c r="NAV221" s="1"/>
      <c r="NAW221" s="1"/>
      <c r="NAX221" s="1"/>
      <c r="NAY221" s="1"/>
      <c r="NAZ221" s="1"/>
      <c r="NBA221" s="1"/>
      <c r="NBB221" s="1"/>
      <c r="NBC221" s="1"/>
      <c r="NBD221" s="1"/>
      <c r="NBE221" s="1"/>
      <c r="NBF221" s="1"/>
      <c r="NBG221" s="1"/>
      <c r="NBH221" s="1"/>
      <c r="NBI221" s="1"/>
      <c r="NBJ221" s="1"/>
      <c r="NBK221" s="1"/>
      <c r="NBL221" s="1"/>
      <c r="NBM221" s="1"/>
      <c r="NBN221" s="1"/>
      <c r="NBO221" s="1"/>
      <c r="NBP221" s="1"/>
      <c r="NBQ221" s="1"/>
      <c r="NBR221" s="1"/>
      <c r="NBS221" s="1"/>
      <c r="NBT221" s="1"/>
      <c r="NBU221" s="1"/>
      <c r="NBV221" s="1"/>
      <c r="NBW221" s="1"/>
      <c r="NBX221" s="1"/>
      <c r="NBY221" s="1"/>
      <c r="NBZ221" s="1"/>
      <c r="NCA221" s="1"/>
      <c r="NCB221" s="1"/>
      <c r="NCC221" s="1"/>
      <c r="NCD221" s="1"/>
      <c r="NCE221" s="1"/>
      <c r="NCF221" s="1"/>
      <c r="NCG221" s="1"/>
      <c r="NCH221" s="1"/>
      <c r="NCI221" s="1"/>
      <c r="NCJ221" s="1"/>
      <c r="NCK221" s="1"/>
      <c r="NCL221" s="1"/>
      <c r="NCM221" s="1"/>
      <c r="NCN221" s="1"/>
      <c r="NCO221" s="1"/>
      <c r="NCP221" s="1"/>
      <c r="NCQ221" s="1"/>
      <c r="NCR221" s="1"/>
      <c r="NCS221" s="1"/>
      <c r="NCT221" s="1"/>
      <c r="NCU221" s="1"/>
      <c r="NCV221" s="1"/>
      <c r="NCW221" s="1"/>
      <c r="NCX221" s="1"/>
      <c r="NCY221" s="1"/>
      <c r="NCZ221" s="1"/>
      <c r="NDA221" s="1"/>
      <c r="NDB221" s="1"/>
      <c r="NDC221" s="1"/>
      <c r="NDD221" s="1"/>
      <c r="NDE221" s="1"/>
      <c r="NDF221" s="1"/>
      <c r="NDG221" s="1"/>
      <c r="NDH221" s="1"/>
      <c r="NDI221" s="1"/>
      <c r="NDJ221" s="1"/>
      <c r="NDK221" s="1"/>
      <c r="NDL221" s="1"/>
      <c r="NDM221" s="1"/>
      <c r="NDN221" s="1"/>
      <c r="NDO221" s="1"/>
      <c r="NDP221" s="1"/>
      <c r="NDQ221" s="1"/>
      <c r="NDR221" s="1"/>
      <c r="NDS221" s="1"/>
      <c r="NDT221" s="1"/>
      <c r="NDU221" s="1"/>
      <c r="NDV221" s="1"/>
      <c r="NDW221" s="1"/>
      <c r="NDX221" s="1"/>
      <c r="NDY221" s="1"/>
      <c r="NDZ221" s="1"/>
      <c r="NEA221" s="1"/>
      <c r="NEB221" s="1"/>
      <c r="NEC221" s="1"/>
      <c r="NED221" s="1"/>
      <c r="NEE221" s="1"/>
      <c r="NEF221" s="1"/>
      <c r="NEG221" s="1"/>
      <c r="NEH221" s="1"/>
      <c r="NEI221" s="1"/>
      <c r="NEJ221" s="1"/>
      <c r="NEK221" s="1"/>
      <c r="NEL221" s="1"/>
      <c r="NEM221" s="1"/>
      <c r="NEN221" s="1"/>
      <c r="NEO221" s="1"/>
      <c r="NEP221" s="1"/>
      <c r="NEQ221" s="1"/>
      <c r="NER221" s="1"/>
      <c r="NES221" s="1"/>
      <c r="NET221" s="1"/>
      <c r="NEU221" s="1"/>
      <c r="NEV221" s="1"/>
      <c r="NEW221" s="1"/>
      <c r="NEX221" s="1"/>
      <c r="NEY221" s="1"/>
      <c r="NEZ221" s="1"/>
      <c r="NFA221" s="1"/>
      <c r="NFB221" s="1"/>
      <c r="NFC221" s="1"/>
      <c r="NFD221" s="1"/>
      <c r="NFE221" s="1"/>
      <c r="NFF221" s="1"/>
      <c r="NFG221" s="1"/>
      <c r="NFH221" s="1"/>
      <c r="NFI221" s="1"/>
      <c r="NFJ221" s="1"/>
      <c r="NFK221" s="1"/>
      <c r="NFL221" s="1"/>
      <c r="NFM221" s="1"/>
      <c r="NFN221" s="1"/>
      <c r="NFO221" s="1"/>
      <c r="NFP221" s="1"/>
      <c r="NFQ221" s="1"/>
      <c r="NFR221" s="1"/>
      <c r="NFS221" s="1"/>
      <c r="NFT221" s="1"/>
      <c r="NFU221" s="1"/>
      <c r="NFV221" s="1"/>
      <c r="NFW221" s="1"/>
      <c r="NFX221" s="1"/>
      <c r="NFY221" s="1"/>
      <c r="NFZ221" s="1"/>
      <c r="NGA221" s="1"/>
      <c r="NGB221" s="1"/>
      <c r="NGC221" s="1"/>
      <c r="NGD221" s="1"/>
      <c r="NGE221" s="1"/>
      <c r="NGF221" s="1"/>
      <c r="NGG221" s="1"/>
      <c r="NGH221" s="1"/>
      <c r="NGI221" s="1"/>
      <c r="NGJ221" s="1"/>
      <c r="NGK221" s="1"/>
      <c r="NGL221" s="1"/>
      <c r="NGM221" s="1"/>
      <c r="NGN221" s="1"/>
      <c r="NGO221" s="1"/>
      <c r="NGP221" s="1"/>
      <c r="NGQ221" s="1"/>
      <c r="NGR221" s="1"/>
      <c r="NGS221" s="1"/>
      <c r="NGT221" s="1"/>
      <c r="NGU221" s="1"/>
      <c r="NGV221" s="1"/>
      <c r="NGW221" s="1"/>
      <c r="NGX221" s="1"/>
      <c r="NGY221" s="1"/>
      <c r="NGZ221" s="1"/>
      <c r="NHA221" s="1"/>
      <c r="NHB221" s="1"/>
      <c r="NHC221" s="1"/>
      <c r="NHD221" s="1"/>
      <c r="NHE221" s="1"/>
      <c r="NHF221" s="1"/>
      <c r="NHG221" s="1"/>
      <c r="NHH221" s="1"/>
      <c r="NHI221" s="1"/>
      <c r="NHJ221" s="1"/>
      <c r="NHK221" s="1"/>
      <c r="NHL221" s="1"/>
      <c r="NHM221" s="1"/>
      <c r="NHN221" s="1"/>
      <c r="NHO221" s="1"/>
      <c r="NHP221" s="1"/>
      <c r="NHQ221" s="1"/>
      <c r="NHR221" s="1"/>
      <c r="NHS221" s="1"/>
      <c r="NHT221" s="1"/>
      <c r="NHU221" s="1"/>
      <c r="NHV221" s="1"/>
      <c r="NHW221" s="1"/>
      <c r="NHX221" s="1"/>
      <c r="NHY221" s="1"/>
      <c r="NHZ221" s="1"/>
      <c r="NIA221" s="1"/>
      <c r="NIB221" s="1"/>
      <c r="NIC221" s="1"/>
      <c r="NID221" s="1"/>
      <c r="NIE221" s="1"/>
      <c r="NIF221" s="1"/>
      <c r="NIG221" s="1"/>
      <c r="NIH221" s="1"/>
      <c r="NII221" s="1"/>
      <c r="NIJ221" s="1"/>
      <c r="NIK221" s="1"/>
      <c r="NIL221" s="1"/>
      <c r="NIM221" s="1"/>
      <c r="NIN221" s="1"/>
      <c r="NIO221" s="1"/>
      <c r="NIP221" s="1"/>
      <c r="NIQ221" s="1"/>
      <c r="NIR221" s="1"/>
      <c r="NIS221" s="1"/>
      <c r="NIT221" s="1"/>
      <c r="NIU221" s="1"/>
      <c r="NIV221" s="1"/>
      <c r="NIW221" s="1"/>
      <c r="NIX221" s="1"/>
      <c r="NIY221" s="1"/>
      <c r="NIZ221" s="1"/>
      <c r="NJA221" s="1"/>
      <c r="NJB221" s="1"/>
      <c r="NJC221" s="1"/>
      <c r="NJD221" s="1"/>
      <c r="NJE221" s="1"/>
      <c r="NJF221" s="1"/>
      <c r="NJG221" s="1"/>
      <c r="NJH221" s="1"/>
      <c r="NJI221" s="1"/>
      <c r="NJJ221" s="1"/>
      <c r="NJK221" s="1"/>
      <c r="NJL221" s="1"/>
      <c r="NJM221" s="1"/>
      <c r="NJN221" s="1"/>
      <c r="NJO221" s="1"/>
      <c r="NJP221" s="1"/>
      <c r="NJQ221" s="1"/>
      <c r="NJR221" s="1"/>
      <c r="NJS221" s="1"/>
      <c r="NJT221" s="1"/>
      <c r="NJU221" s="1"/>
      <c r="NJV221" s="1"/>
      <c r="NJW221" s="1"/>
      <c r="NJX221" s="1"/>
      <c r="NJY221" s="1"/>
      <c r="NJZ221" s="1"/>
      <c r="NKA221" s="1"/>
      <c r="NKB221" s="1"/>
      <c r="NKC221" s="1"/>
      <c r="NKD221" s="1"/>
      <c r="NKE221" s="1"/>
      <c r="NKF221" s="1"/>
      <c r="NKG221" s="1"/>
      <c r="NKH221" s="1"/>
      <c r="NKI221" s="1"/>
      <c r="NKJ221" s="1"/>
      <c r="NKK221" s="1"/>
      <c r="NKL221" s="1"/>
      <c r="NKM221" s="1"/>
      <c r="NKN221" s="1"/>
      <c r="NKO221" s="1"/>
      <c r="NKP221" s="1"/>
      <c r="NKQ221" s="1"/>
      <c r="NKR221" s="1"/>
      <c r="NKS221" s="1"/>
      <c r="NKT221" s="1"/>
      <c r="NKU221" s="1"/>
      <c r="NKV221" s="1"/>
      <c r="NKW221" s="1"/>
      <c r="NKX221" s="1"/>
      <c r="NKY221" s="1"/>
      <c r="NKZ221" s="1"/>
      <c r="NLA221" s="1"/>
      <c r="NLB221" s="1"/>
      <c r="NLC221" s="1"/>
      <c r="NLD221" s="1"/>
      <c r="NLE221" s="1"/>
      <c r="NLF221" s="1"/>
      <c r="NLG221" s="1"/>
      <c r="NLH221" s="1"/>
      <c r="NLI221" s="1"/>
      <c r="NLJ221" s="1"/>
      <c r="NLK221" s="1"/>
      <c r="NLL221" s="1"/>
      <c r="NLM221" s="1"/>
      <c r="NLN221" s="1"/>
      <c r="NLO221" s="1"/>
      <c r="NLP221" s="1"/>
      <c r="NLQ221" s="1"/>
      <c r="NLR221" s="1"/>
      <c r="NLS221" s="1"/>
      <c r="NLT221" s="1"/>
      <c r="NLU221" s="1"/>
      <c r="NLV221" s="1"/>
      <c r="NLW221" s="1"/>
      <c r="NLX221" s="1"/>
      <c r="NLY221" s="1"/>
      <c r="NLZ221" s="1"/>
      <c r="NMA221" s="1"/>
      <c r="NMB221" s="1"/>
      <c r="NMC221" s="1"/>
      <c r="NMD221" s="1"/>
      <c r="NME221" s="1"/>
      <c r="NMF221" s="1"/>
      <c r="NMG221" s="1"/>
      <c r="NMH221" s="1"/>
      <c r="NMI221" s="1"/>
      <c r="NMJ221" s="1"/>
      <c r="NMK221" s="1"/>
      <c r="NML221" s="1"/>
      <c r="NMM221" s="1"/>
      <c r="NMN221" s="1"/>
      <c r="NMO221" s="1"/>
      <c r="NMP221" s="1"/>
      <c r="NMQ221" s="1"/>
      <c r="NMR221" s="1"/>
      <c r="NMS221" s="1"/>
      <c r="NMT221" s="1"/>
      <c r="NMU221" s="1"/>
      <c r="NMV221" s="1"/>
      <c r="NMW221" s="1"/>
      <c r="NMX221" s="1"/>
      <c r="NMY221" s="1"/>
      <c r="NMZ221" s="1"/>
      <c r="NNA221" s="1"/>
      <c r="NNB221" s="1"/>
      <c r="NNC221" s="1"/>
      <c r="NND221" s="1"/>
      <c r="NNE221" s="1"/>
      <c r="NNF221" s="1"/>
      <c r="NNG221" s="1"/>
      <c r="NNH221" s="1"/>
      <c r="NNI221" s="1"/>
      <c r="NNJ221" s="1"/>
      <c r="NNK221" s="1"/>
      <c r="NNL221" s="1"/>
      <c r="NNM221" s="1"/>
      <c r="NNN221" s="1"/>
      <c r="NNO221" s="1"/>
      <c r="NNP221" s="1"/>
      <c r="NNQ221" s="1"/>
      <c r="NNR221" s="1"/>
      <c r="NNS221" s="1"/>
      <c r="NNT221" s="1"/>
      <c r="NNU221" s="1"/>
      <c r="NNV221" s="1"/>
      <c r="NNW221" s="1"/>
      <c r="NNX221" s="1"/>
      <c r="NNY221" s="1"/>
      <c r="NNZ221" s="1"/>
      <c r="NOA221" s="1"/>
      <c r="NOB221" s="1"/>
      <c r="NOC221" s="1"/>
      <c r="NOD221" s="1"/>
      <c r="NOE221" s="1"/>
      <c r="NOF221" s="1"/>
      <c r="NOG221" s="1"/>
      <c r="NOH221" s="1"/>
      <c r="NOI221" s="1"/>
      <c r="NOJ221" s="1"/>
      <c r="NOK221" s="1"/>
      <c r="NOL221" s="1"/>
      <c r="NOM221" s="1"/>
      <c r="NON221" s="1"/>
      <c r="NOO221" s="1"/>
      <c r="NOP221" s="1"/>
      <c r="NOQ221" s="1"/>
      <c r="NOR221" s="1"/>
      <c r="NOS221" s="1"/>
      <c r="NOT221" s="1"/>
      <c r="NOU221" s="1"/>
      <c r="NOV221" s="1"/>
      <c r="NOW221" s="1"/>
      <c r="NOX221" s="1"/>
      <c r="NOY221" s="1"/>
      <c r="NOZ221" s="1"/>
      <c r="NPA221" s="1"/>
      <c r="NPB221" s="1"/>
      <c r="NPC221" s="1"/>
      <c r="NPD221" s="1"/>
      <c r="NPE221" s="1"/>
      <c r="NPF221" s="1"/>
      <c r="NPG221" s="1"/>
      <c r="NPH221" s="1"/>
      <c r="NPI221" s="1"/>
      <c r="NPJ221" s="1"/>
      <c r="NPK221" s="1"/>
      <c r="NPL221" s="1"/>
      <c r="NPM221" s="1"/>
      <c r="NPN221" s="1"/>
      <c r="NPO221" s="1"/>
      <c r="NPP221" s="1"/>
      <c r="NPQ221" s="1"/>
      <c r="NPR221" s="1"/>
      <c r="NPS221" s="1"/>
      <c r="NPT221" s="1"/>
      <c r="NPU221" s="1"/>
      <c r="NPV221" s="1"/>
      <c r="NPW221" s="1"/>
      <c r="NPX221" s="1"/>
      <c r="NPY221" s="1"/>
      <c r="NPZ221" s="1"/>
      <c r="NQA221" s="1"/>
      <c r="NQB221" s="1"/>
      <c r="NQC221" s="1"/>
      <c r="NQD221" s="1"/>
      <c r="NQE221" s="1"/>
      <c r="NQF221" s="1"/>
      <c r="NQG221" s="1"/>
      <c r="NQH221" s="1"/>
      <c r="NQI221" s="1"/>
      <c r="NQJ221" s="1"/>
      <c r="NQK221" s="1"/>
      <c r="NQL221" s="1"/>
      <c r="NQM221" s="1"/>
      <c r="NQN221" s="1"/>
      <c r="NQO221" s="1"/>
      <c r="NQP221" s="1"/>
      <c r="NQQ221" s="1"/>
      <c r="NQR221" s="1"/>
      <c r="NQS221" s="1"/>
      <c r="NQT221" s="1"/>
      <c r="NQU221" s="1"/>
      <c r="NQV221" s="1"/>
      <c r="NQW221" s="1"/>
      <c r="NQX221" s="1"/>
      <c r="NQY221" s="1"/>
      <c r="NQZ221" s="1"/>
      <c r="NRA221" s="1"/>
      <c r="NRB221" s="1"/>
      <c r="NRC221" s="1"/>
      <c r="NRD221" s="1"/>
      <c r="NRE221" s="1"/>
      <c r="NRF221" s="1"/>
      <c r="NRG221" s="1"/>
      <c r="NRH221" s="1"/>
      <c r="NRI221" s="1"/>
      <c r="NRJ221" s="1"/>
      <c r="NRK221" s="1"/>
      <c r="NRL221" s="1"/>
      <c r="NRM221" s="1"/>
      <c r="NRN221" s="1"/>
      <c r="NRO221" s="1"/>
      <c r="NRP221" s="1"/>
      <c r="NRQ221" s="1"/>
      <c r="NRR221" s="1"/>
      <c r="NRS221" s="1"/>
      <c r="NRT221" s="1"/>
      <c r="NRU221" s="1"/>
      <c r="NRV221" s="1"/>
      <c r="NRW221" s="1"/>
      <c r="NRX221" s="1"/>
      <c r="NRY221" s="1"/>
      <c r="NRZ221" s="1"/>
      <c r="NSA221" s="1"/>
      <c r="NSB221" s="1"/>
      <c r="NSC221" s="1"/>
      <c r="NSD221" s="1"/>
      <c r="NSE221" s="1"/>
      <c r="NSF221" s="1"/>
      <c r="NSG221" s="1"/>
      <c r="NSH221" s="1"/>
      <c r="NSI221" s="1"/>
      <c r="NSJ221" s="1"/>
      <c r="NSK221" s="1"/>
      <c r="NSL221" s="1"/>
      <c r="NSM221" s="1"/>
      <c r="NSN221" s="1"/>
      <c r="NSO221" s="1"/>
      <c r="NSP221" s="1"/>
      <c r="NSQ221" s="1"/>
      <c r="NSR221" s="1"/>
      <c r="NSS221" s="1"/>
      <c r="NST221" s="1"/>
      <c r="NSU221" s="1"/>
      <c r="NSV221" s="1"/>
      <c r="NSW221" s="1"/>
      <c r="NSX221" s="1"/>
      <c r="NSY221" s="1"/>
      <c r="NSZ221" s="1"/>
      <c r="NTA221" s="1"/>
      <c r="NTB221" s="1"/>
      <c r="NTC221" s="1"/>
      <c r="NTD221" s="1"/>
      <c r="NTE221" s="1"/>
      <c r="NTF221" s="1"/>
      <c r="NTG221" s="1"/>
      <c r="NTH221" s="1"/>
      <c r="NTI221" s="1"/>
      <c r="NTJ221" s="1"/>
      <c r="NTK221" s="1"/>
      <c r="NTL221" s="1"/>
      <c r="NTM221" s="1"/>
      <c r="NTN221" s="1"/>
      <c r="NTO221" s="1"/>
      <c r="NTP221" s="1"/>
      <c r="NTQ221" s="1"/>
      <c r="NTR221" s="1"/>
      <c r="NTS221" s="1"/>
      <c r="NTT221" s="1"/>
      <c r="NTU221" s="1"/>
      <c r="NTV221" s="1"/>
      <c r="NTW221" s="1"/>
      <c r="NTX221" s="1"/>
      <c r="NTY221" s="1"/>
      <c r="NTZ221" s="1"/>
      <c r="NUA221" s="1"/>
      <c r="NUB221" s="1"/>
      <c r="NUC221" s="1"/>
      <c r="NUD221" s="1"/>
      <c r="NUE221" s="1"/>
      <c r="NUF221" s="1"/>
      <c r="NUG221" s="1"/>
      <c r="NUH221" s="1"/>
      <c r="NUI221" s="1"/>
      <c r="NUJ221" s="1"/>
      <c r="NUK221" s="1"/>
      <c r="NUL221" s="1"/>
      <c r="NUM221" s="1"/>
      <c r="NUN221" s="1"/>
      <c r="NUO221" s="1"/>
      <c r="NUP221" s="1"/>
      <c r="NUQ221" s="1"/>
      <c r="NUR221" s="1"/>
      <c r="NUS221" s="1"/>
      <c r="NUT221" s="1"/>
      <c r="NUU221" s="1"/>
      <c r="NUV221" s="1"/>
      <c r="NUW221" s="1"/>
      <c r="NUX221" s="1"/>
      <c r="NUY221" s="1"/>
      <c r="NUZ221" s="1"/>
      <c r="NVA221" s="1"/>
      <c r="NVB221" s="1"/>
      <c r="NVC221" s="1"/>
      <c r="NVD221" s="1"/>
      <c r="NVE221" s="1"/>
      <c r="NVF221" s="1"/>
      <c r="NVG221" s="1"/>
      <c r="NVH221" s="1"/>
      <c r="NVI221" s="1"/>
      <c r="NVJ221" s="1"/>
      <c r="NVK221" s="1"/>
      <c r="NVL221" s="1"/>
      <c r="NVM221" s="1"/>
      <c r="NVN221" s="1"/>
      <c r="NVO221" s="1"/>
      <c r="NVP221" s="1"/>
      <c r="NVQ221" s="1"/>
      <c r="NVR221" s="1"/>
      <c r="NVS221" s="1"/>
      <c r="NVT221" s="1"/>
      <c r="NVU221" s="1"/>
      <c r="NVV221" s="1"/>
      <c r="NVW221" s="1"/>
      <c r="NVX221" s="1"/>
      <c r="NVY221" s="1"/>
      <c r="NVZ221" s="1"/>
      <c r="NWA221" s="1"/>
      <c r="NWB221" s="1"/>
      <c r="NWC221" s="1"/>
      <c r="NWD221" s="1"/>
      <c r="NWE221" s="1"/>
      <c r="NWF221" s="1"/>
      <c r="NWG221" s="1"/>
      <c r="NWH221" s="1"/>
      <c r="NWI221" s="1"/>
      <c r="NWJ221" s="1"/>
      <c r="NWK221" s="1"/>
      <c r="NWL221" s="1"/>
      <c r="NWM221" s="1"/>
      <c r="NWN221" s="1"/>
      <c r="NWO221" s="1"/>
      <c r="NWP221" s="1"/>
      <c r="NWQ221" s="1"/>
      <c r="NWR221" s="1"/>
      <c r="NWS221" s="1"/>
      <c r="NWT221" s="1"/>
      <c r="NWU221" s="1"/>
      <c r="NWV221" s="1"/>
      <c r="NWW221" s="1"/>
      <c r="NWX221" s="1"/>
      <c r="NWY221" s="1"/>
      <c r="NWZ221" s="1"/>
      <c r="NXA221" s="1"/>
      <c r="NXB221" s="1"/>
      <c r="NXC221" s="1"/>
      <c r="NXD221" s="1"/>
      <c r="NXE221" s="1"/>
      <c r="NXF221" s="1"/>
      <c r="NXG221" s="1"/>
      <c r="NXH221" s="1"/>
      <c r="NXI221" s="1"/>
      <c r="NXJ221" s="1"/>
      <c r="NXK221" s="1"/>
      <c r="NXL221" s="1"/>
      <c r="NXM221" s="1"/>
      <c r="NXN221" s="1"/>
      <c r="NXO221" s="1"/>
      <c r="NXP221" s="1"/>
      <c r="NXQ221" s="1"/>
      <c r="NXR221" s="1"/>
      <c r="NXS221" s="1"/>
      <c r="NXT221" s="1"/>
      <c r="NXU221" s="1"/>
      <c r="NXV221" s="1"/>
      <c r="NXW221" s="1"/>
      <c r="NXX221" s="1"/>
      <c r="NXY221" s="1"/>
      <c r="NXZ221" s="1"/>
      <c r="NYA221" s="1"/>
      <c r="NYB221" s="1"/>
      <c r="NYC221" s="1"/>
      <c r="NYD221" s="1"/>
      <c r="NYE221" s="1"/>
      <c r="NYF221" s="1"/>
      <c r="NYG221" s="1"/>
      <c r="NYH221" s="1"/>
      <c r="NYI221" s="1"/>
      <c r="NYJ221" s="1"/>
      <c r="NYK221" s="1"/>
      <c r="NYL221" s="1"/>
      <c r="NYM221" s="1"/>
      <c r="NYN221" s="1"/>
      <c r="NYO221" s="1"/>
      <c r="NYP221" s="1"/>
      <c r="NYQ221" s="1"/>
      <c r="NYR221" s="1"/>
      <c r="NYS221" s="1"/>
      <c r="NYT221" s="1"/>
      <c r="NYU221" s="1"/>
      <c r="NYV221" s="1"/>
      <c r="NYW221" s="1"/>
      <c r="NYX221" s="1"/>
      <c r="NYY221" s="1"/>
      <c r="NYZ221" s="1"/>
      <c r="NZA221" s="1"/>
      <c r="NZB221" s="1"/>
      <c r="NZC221" s="1"/>
      <c r="NZD221" s="1"/>
      <c r="NZE221" s="1"/>
      <c r="NZF221" s="1"/>
      <c r="NZG221" s="1"/>
      <c r="NZH221" s="1"/>
      <c r="NZI221" s="1"/>
      <c r="NZJ221" s="1"/>
      <c r="NZK221" s="1"/>
      <c r="NZL221" s="1"/>
      <c r="NZM221" s="1"/>
      <c r="NZN221" s="1"/>
      <c r="NZO221" s="1"/>
      <c r="NZP221" s="1"/>
      <c r="NZQ221" s="1"/>
      <c r="NZR221" s="1"/>
      <c r="NZS221" s="1"/>
      <c r="NZT221" s="1"/>
      <c r="NZU221" s="1"/>
      <c r="NZV221" s="1"/>
      <c r="NZW221" s="1"/>
      <c r="NZX221" s="1"/>
      <c r="NZY221" s="1"/>
      <c r="NZZ221" s="1"/>
      <c r="OAA221" s="1"/>
      <c r="OAB221" s="1"/>
      <c r="OAC221" s="1"/>
      <c r="OAD221" s="1"/>
      <c r="OAE221" s="1"/>
      <c r="OAF221" s="1"/>
      <c r="OAG221" s="1"/>
      <c r="OAH221" s="1"/>
      <c r="OAI221" s="1"/>
      <c r="OAJ221" s="1"/>
      <c r="OAK221" s="1"/>
      <c r="OAL221" s="1"/>
      <c r="OAM221" s="1"/>
      <c r="OAN221" s="1"/>
      <c r="OAO221" s="1"/>
      <c r="OAP221" s="1"/>
      <c r="OAQ221" s="1"/>
      <c r="OAR221" s="1"/>
      <c r="OAS221" s="1"/>
      <c r="OAT221" s="1"/>
      <c r="OAU221" s="1"/>
      <c r="OAV221" s="1"/>
      <c r="OAW221" s="1"/>
      <c r="OAX221" s="1"/>
      <c r="OAY221" s="1"/>
      <c r="OAZ221" s="1"/>
      <c r="OBA221" s="1"/>
      <c r="OBB221" s="1"/>
      <c r="OBC221" s="1"/>
      <c r="OBD221" s="1"/>
      <c r="OBE221" s="1"/>
      <c r="OBF221" s="1"/>
      <c r="OBG221" s="1"/>
      <c r="OBH221" s="1"/>
      <c r="OBI221" s="1"/>
      <c r="OBJ221" s="1"/>
      <c r="OBK221" s="1"/>
      <c r="OBL221" s="1"/>
      <c r="OBM221" s="1"/>
      <c r="OBN221" s="1"/>
      <c r="OBO221" s="1"/>
      <c r="OBP221" s="1"/>
      <c r="OBQ221" s="1"/>
      <c r="OBR221" s="1"/>
      <c r="OBS221" s="1"/>
      <c r="OBT221" s="1"/>
      <c r="OBU221" s="1"/>
      <c r="OBV221" s="1"/>
      <c r="OBW221" s="1"/>
      <c r="OBX221" s="1"/>
      <c r="OBY221" s="1"/>
      <c r="OBZ221" s="1"/>
      <c r="OCA221" s="1"/>
      <c r="OCB221" s="1"/>
      <c r="OCC221" s="1"/>
      <c r="OCD221" s="1"/>
      <c r="OCE221" s="1"/>
      <c r="OCF221" s="1"/>
      <c r="OCG221" s="1"/>
      <c r="OCH221" s="1"/>
      <c r="OCI221" s="1"/>
      <c r="OCJ221" s="1"/>
      <c r="OCK221" s="1"/>
      <c r="OCL221" s="1"/>
      <c r="OCM221" s="1"/>
      <c r="OCN221" s="1"/>
      <c r="OCO221" s="1"/>
      <c r="OCP221" s="1"/>
      <c r="OCQ221" s="1"/>
      <c r="OCR221" s="1"/>
      <c r="OCS221" s="1"/>
      <c r="OCT221" s="1"/>
      <c r="OCU221" s="1"/>
      <c r="OCV221" s="1"/>
      <c r="OCW221" s="1"/>
      <c r="OCX221" s="1"/>
      <c r="OCY221" s="1"/>
      <c r="OCZ221" s="1"/>
      <c r="ODA221" s="1"/>
      <c r="ODB221" s="1"/>
      <c r="ODC221" s="1"/>
      <c r="ODD221" s="1"/>
      <c r="ODE221" s="1"/>
      <c r="ODF221" s="1"/>
      <c r="ODG221" s="1"/>
      <c r="ODH221" s="1"/>
      <c r="ODI221" s="1"/>
      <c r="ODJ221" s="1"/>
      <c r="ODK221" s="1"/>
      <c r="ODL221" s="1"/>
      <c r="ODM221" s="1"/>
      <c r="ODN221" s="1"/>
      <c r="ODO221" s="1"/>
      <c r="ODP221" s="1"/>
      <c r="ODQ221" s="1"/>
      <c r="ODR221" s="1"/>
      <c r="ODS221" s="1"/>
      <c r="ODT221" s="1"/>
      <c r="ODU221" s="1"/>
      <c r="ODV221" s="1"/>
      <c r="ODW221" s="1"/>
      <c r="ODX221" s="1"/>
      <c r="ODY221" s="1"/>
      <c r="ODZ221" s="1"/>
      <c r="OEA221" s="1"/>
      <c r="OEB221" s="1"/>
      <c r="OEC221" s="1"/>
      <c r="OED221" s="1"/>
      <c r="OEE221" s="1"/>
      <c r="OEF221" s="1"/>
      <c r="OEG221" s="1"/>
      <c r="OEH221" s="1"/>
      <c r="OEI221" s="1"/>
      <c r="OEJ221" s="1"/>
      <c r="OEK221" s="1"/>
      <c r="OEL221" s="1"/>
      <c r="OEM221" s="1"/>
      <c r="OEN221" s="1"/>
      <c r="OEO221" s="1"/>
      <c r="OEP221" s="1"/>
      <c r="OEQ221" s="1"/>
      <c r="OER221" s="1"/>
      <c r="OES221" s="1"/>
      <c r="OET221" s="1"/>
      <c r="OEU221" s="1"/>
      <c r="OEV221" s="1"/>
      <c r="OEW221" s="1"/>
      <c r="OEX221" s="1"/>
      <c r="OEY221" s="1"/>
      <c r="OEZ221" s="1"/>
      <c r="OFA221" s="1"/>
      <c r="OFB221" s="1"/>
      <c r="OFC221" s="1"/>
      <c r="OFD221" s="1"/>
      <c r="OFE221" s="1"/>
      <c r="OFF221" s="1"/>
      <c r="OFG221" s="1"/>
      <c r="OFH221" s="1"/>
      <c r="OFI221" s="1"/>
      <c r="OFJ221" s="1"/>
      <c r="OFK221" s="1"/>
      <c r="OFL221" s="1"/>
      <c r="OFM221" s="1"/>
      <c r="OFN221" s="1"/>
      <c r="OFO221" s="1"/>
      <c r="OFP221" s="1"/>
      <c r="OFQ221" s="1"/>
      <c r="OFR221" s="1"/>
      <c r="OFS221" s="1"/>
      <c r="OFT221" s="1"/>
      <c r="OFU221" s="1"/>
      <c r="OFV221" s="1"/>
      <c r="OFW221" s="1"/>
      <c r="OFX221" s="1"/>
      <c r="OFY221" s="1"/>
      <c r="OFZ221" s="1"/>
      <c r="OGA221" s="1"/>
      <c r="OGB221" s="1"/>
      <c r="OGC221" s="1"/>
      <c r="OGD221" s="1"/>
      <c r="OGE221" s="1"/>
      <c r="OGF221" s="1"/>
      <c r="OGG221" s="1"/>
      <c r="OGH221" s="1"/>
      <c r="OGI221" s="1"/>
      <c r="OGJ221" s="1"/>
      <c r="OGK221" s="1"/>
      <c r="OGL221" s="1"/>
      <c r="OGM221" s="1"/>
      <c r="OGN221" s="1"/>
      <c r="OGO221" s="1"/>
      <c r="OGP221" s="1"/>
      <c r="OGQ221" s="1"/>
      <c r="OGR221" s="1"/>
      <c r="OGS221" s="1"/>
      <c r="OGT221" s="1"/>
      <c r="OGU221" s="1"/>
      <c r="OGV221" s="1"/>
      <c r="OGW221" s="1"/>
      <c r="OGX221" s="1"/>
      <c r="OGY221" s="1"/>
      <c r="OGZ221" s="1"/>
      <c r="OHA221" s="1"/>
      <c r="OHB221" s="1"/>
      <c r="OHC221" s="1"/>
      <c r="OHD221" s="1"/>
      <c r="OHE221" s="1"/>
      <c r="OHF221" s="1"/>
      <c r="OHG221" s="1"/>
      <c r="OHH221" s="1"/>
      <c r="OHI221" s="1"/>
      <c r="OHJ221" s="1"/>
      <c r="OHK221" s="1"/>
      <c r="OHL221" s="1"/>
      <c r="OHM221" s="1"/>
      <c r="OHN221" s="1"/>
      <c r="OHO221" s="1"/>
      <c r="OHP221" s="1"/>
      <c r="OHQ221" s="1"/>
      <c r="OHR221" s="1"/>
      <c r="OHS221" s="1"/>
      <c r="OHT221" s="1"/>
      <c r="OHU221" s="1"/>
      <c r="OHV221" s="1"/>
      <c r="OHW221" s="1"/>
      <c r="OHX221" s="1"/>
      <c r="OHY221" s="1"/>
      <c r="OHZ221" s="1"/>
      <c r="OIA221" s="1"/>
      <c r="OIB221" s="1"/>
      <c r="OIC221" s="1"/>
      <c r="OID221" s="1"/>
      <c r="OIE221" s="1"/>
      <c r="OIF221" s="1"/>
      <c r="OIG221" s="1"/>
      <c r="OIH221" s="1"/>
      <c r="OII221" s="1"/>
      <c r="OIJ221" s="1"/>
      <c r="OIK221" s="1"/>
      <c r="OIL221" s="1"/>
      <c r="OIM221" s="1"/>
      <c r="OIN221" s="1"/>
      <c r="OIO221" s="1"/>
      <c r="OIP221" s="1"/>
      <c r="OIQ221" s="1"/>
      <c r="OIR221" s="1"/>
      <c r="OIS221" s="1"/>
      <c r="OIT221" s="1"/>
      <c r="OIU221" s="1"/>
      <c r="OIV221" s="1"/>
      <c r="OIW221" s="1"/>
      <c r="OIX221" s="1"/>
      <c r="OIY221" s="1"/>
      <c r="OIZ221" s="1"/>
      <c r="OJA221" s="1"/>
      <c r="OJB221" s="1"/>
      <c r="OJC221" s="1"/>
      <c r="OJD221" s="1"/>
      <c r="OJE221" s="1"/>
      <c r="OJF221" s="1"/>
      <c r="OJG221" s="1"/>
      <c r="OJH221" s="1"/>
      <c r="OJI221" s="1"/>
      <c r="OJJ221" s="1"/>
      <c r="OJK221" s="1"/>
      <c r="OJL221" s="1"/>
      <c r="OJM221" s="1"/>
      <c r="OJN221" s="1"/>
      <c r="OJO221" s="1"/>
      <c r="OJP221" s="1"/>
      <c r="OJQ221" s="1"/>
      <c r="OJR221" s="1"/>
      <c r="OJS221" s="1"/>
      <c r="OJT221" s="1"/>
      <c r="OJU221" s="1"/>
      <c r="OJV221" s="1"/>
      <c r="OJW221" s="1"/>
      <c r="OJX221" s="1"/>
      <c r="OJY221" s="1"/>
      <c r="OJZ221" s="1"/>
      <c r="OKA221" s="1"/>
      <c r="OKB221" s="1"/>
      <c r="OKC221" s="1"/>
      <c r="OKD221" s="1"/>
      <c r="OKE221" s="1"/>
      <c r="OKF221" s="1"/>
      <c r="OKG221" s="1"/>
      <c r="OKH221" s="1"/>
      <c r="OKI221" s="1"/>
      <c r="OKJ221" s="1"/>
      <c r="OKK221" s="1"/>
      <c r="OKL221" s="1"/>
      <c r="OKM221" s="1"/>
      <c r="OKN221" s="1"/>
      <c r="OKO221" s="1"/>
      <c r="OKP221" s="1"/>
      <c r="OKQ221" s="1"/>
      <c r="OKR221" s="1"/>
      <c r="OKS221" s="1"/>
      <c r="OKT221" s="1"/>
      <c r="OKU221" s="1"/>
      <c r="OKV221" s="1"/>
      <c r="OKW221" s="1"/>
      <c r="OKX221" s="1"/>
      <c r="OKY221" s="1"/>
      <c r="OKZ221" s="1"/>
      <c r="OLA221" s="1"/>
      <c r="OLB221" s="1"/>
      <c r="OLC221" s="1"/>
      <c r="OLD221" s="1"/>
      <c r="OLE221" s="1"/>
      <c r="OLF221" s="1"/>
      <c r="OLG221" s="1"/>
      <c r="OLH221" s="1"/>
      <c r="OLI221" s="1"/>
      <c r="OLJ221" s="1"/>
      <c r="OLK221" s="1"/>
      <c r="OLL221" s="1"/>
      <c r="OLM221" s="1"/>
      <c r="OLN221" s="1"/>
      <c r="OLO221" s="1"/>
      <c r="OLP221" s="1"/>
      <c r="OLQ221" s="1"/>
      <c r="OLR221" s="1"/>
      <c r="OLS221" s="1"/>
      <c r="OLT221" s="1"/>
      <c r="OLU221" s="1"/>
      <c r="OLV221" s="1"/>
      <c r="OLW221" s="1"/>
      <c r="OLX221" s="1"/>
      <c r="OLY221" s="1"/>
      <c r="OLZ221" s="1"/>
      <c r="OMA221" s="1"/>
      <c r="OMB221" s="1"/>
      <c r="OMC221" s="1"/>
      <c r="OMD221" s="1"/>
      <c r="OME221" s="1"/>
      <c r="OMF221" s="1"/>
      <c r="OMG221" s="1"/>
      <c r="OMH221" s="1"/>
      <c r="OMI221" s="1"/>
      <c r="OMJ221" s="1"/>
      <c r="OMK221" s="1"/>
      <c r="OML221" s="1"/>
      <c r="OMM221" s="1"/>
      <c r="OMN221" s="1"/>
      <c r="OMO221" s="1"/>
      <c r="OMP221" s="1"/>
      <c r="OMQ221" s="1"/>
      <c r="OMR221" s="1"/>
      <c r="OMS221" s="1"/>
      <c r="OMT221" s="1"/>
      <c r="OMU221" s="1"/>
      <c r="OMV221" s="1"/>
      <c r="OMW221" s="1"/>
      <c r="OMX221" s="1"/>
      <c r="OMY221" s="1"/>
      <c r="OMZ221" s="1"/>
      <c r="ONA221" s="1"/>
      <c r="ONB221" s="1"/>
      <c r="ONC221" s="1"/>
      <c r="OND221" s="1"/>
      <c r="ONE221" s="1"/>
      <c r="ONF221" s="1"/>
      <c r="ONG221" s="1"/>
      <c r="ONH221" s="1"/>
      <c r="ONI221" s="1"/>
      <c r="ONJ221" s="1"/>
      <c r="ONK221" s="1"/>
      <c r="ONL221" s="1"/>
      <c r="ONM221" s="1"/>
      <c r="ONN221" s="1"/>
      <c r="ONO221" s="1"/>
      <c r="ONP221" s="1"/>
      <c r="ONQ221" s="1"/>
      <c r="ONR221" s="1"/>
      <c r="ONS221" s="1"/>
      <c r="ONT221" s="1"/>
      <c r="ONU221" s="1"/>
      <c r="ONV221" s="1"/>
      <c r="ONW221" s="1"/>
      <c r="ONX221" s="1"/>
      <c r="ONY221" s="1"/>
      <c r="ONZ221" s="1"/>
      <c r="OOA221" s="1"/>
      <c r="OOB221" s="1"/>
      <c r="OOC221" s="1"/>
      <c r="OOD221" s="1"/>
      <c r="OOE221" s="1"/>
      <c r="OOF221" s="1"/>
      <c r="OOG221" s="1"/>
      <c r="OOH221" s="1"/>
      <c r="OOI221" s="1"/>
      <c r="OOJ221" s="1"/>
      <c r="OOK221" s="1"/>
      <c r="OOL221" s="1"/>
      <c r="OOM221" s="1"/>
      <c r="OON221" s="1"/>
      <c r="OOO221" s="1"/>
      <c r="OOP221" s="1"/>
      <c r="OOQ221" s="1"/>
      <c r="OOR221" s="1"/>
      <c r="OOS221" s="1"/>
      <c r="OOT221" s="1"/>
      <c r="OOU221" s="1"/>
      <c r="OOV221" s="1"/>
      <c r="OOW221" s="1"/>
      <c r="OOX221" s="1"/>
      <c r="OOY221" s="1"/>
      <c r="OOZ221" s="1"/>
      <c r="OPA221" s="1"/>
      <c r="OPB221" s="1"/>
      <c r="OPC221" s="1"/>
      <c r="OPD221" s="1"/>
      <c r="OPE221" s="1"/>
      <c r="OPF221" s="1"/>
      <c r="OPG221" s="1"/>
      <c r="OPH221" s="1"/>
      <c r="OPI221" s="1"/>
      <c r="OPJ221" s="1"/>
      <c r="OPK221" s="1"/>
      <c r="OPL221" s="1"/>
      <c r="OPM221" s="1"/>
      <c r="OPN221" s="1"/>
      <c r="OPO221" s="1"/>
      <c r="OPP221" s="1"/>
      <c r="OPQ221" s="1"/>
      <c r="OPR221" s="1"/>
      <c r="OPS221" s="1"/>
      <c r="OPT221" s="1"/>
      <c r="OPU221" s="1"/>
      <c r="OPV221" s="1"/>
      <c r="OPW221" s="1"/>
      <c r="OPX221" s="1"/>
      <c r="OPY221" s="1"/>
      <c r="OPZ221" s="1"/>
      <c r="OQA221" s="1"/>
      <c r="OQB221" s="1"/>
      <c r="OQC221" s="1"/>
      <c r="OQD221" s="1"/>
      <c r="OQE221" s="1"/>
      <c r="OQF221" s="1"/>
      <c r="OQG221" s="1"/>
      <c r="OQH221" s="1"/>
      <c r="OQI221" s="1"/>
      <c r="OQJ221" s="1"/>
      <c r="OQK221" s="1"/>
      <c r="OQL221" s="1"/>
      <c r="OQM221" s="1"/>
      <c r="OQN221" s="1"/>
      <c r="OQO221" s="1"/>
      <c r="OQP221" s="1"/>
      <c r="OQQ221" s="1"/>
      <c r="OQR221" s="1"/>
      <c r="OQS221" s="1"/>
      <c r="OQT221" s="1"/>
      <c r="OQU221" s="1"/>
      <c r="OQV221" s="1"/>
      <c r="OQW221" s="1"/>
      <c r="OQX221" s="1"/>
      <c r="OQY221" s="1"/>
      <c r="OQZ221" s="1"/>
      <c r="ORA221" s="1"/>
      <c r="ORB221" s="1"/>
      <c r="ORC221" s="1"/>
      <c r="ORD221" s="1"/>
      <c r="ORE221" s="1"/>
      <c r="ORF221" s="1"/>
      <c r="ORG221" s="1"/>
      <c r="ORH221" s="1"/>
      <c r="ORI221" s="1"/>
      <c r="ORJ221" s="1"/>
      <c r="ORK221" s="1"/>
      <c r="ORL221" s="1"/>
      <c r="ORM221" s="1"/>
      <c r="ORN221" s="1"/>
      <c r="ORO221" s="1"/>
      <c r="ORP221" s="1"/>
      <c r="ORQ221" s="1"/>
      <c r="ORR221" s="1"/>
      <c r="ORS221" s="1"/>
      <c r="ORT221" s="1"/>
      <c r="ORU221" s="1"/>
      <c r="ORV221" s="1"/>
      <c r="ORW221" s="1"/>
      <c r="ORX221" s="1"/>
      <c r="ORY221" s="1"/>
      <c r="ORZ221" s="1"/>
      <c r="OSA221" s="1"/>
      <c r="OSB221" s="1"/>
      <c r="OSC221" s="1"/>
      <c r="OSD221" s="1"/>
      <c r="OSE221" s="1"/>
      <c r="OSF221" s="1"/>
      <c r="OSG221" s="1"/>
      <c r="OSH221" s="1"/>
      <c r="OSI221" s="1"/>
      <c r="OSJ221" s="1"/>
      <c r="OSK221" s="1"/>
      <c r="OSL221" s="1"/>
      <c r="OSM221" s="1"/>
      <c r="OSN221" s="1"/>
      <c r="OSO221" s="1"/>
      <c r="OSP221" s="1"/>
      <c r="OSQ221" s="1"/>
      <c r="OSR221" s="1"/>
      <c r="OSS221" s="1"/>
      <c r="OST221" s="1"/>
      <c r="OSU221" s="1"/>
      <c r="OSV221" s="1"/>
      <c r="OSW221" s="1"/>
      <c r="OSX221" s="1"/>
      <c r="OSY221" s="1"/>
      <c r="OSZ221" s="1"/>
      <c r="OTA221" s="1"/>
      <c r="OTB221" s="1"/>
      <c r="OTC221" s="1"/>
      <c r="OTD221" s="1"/>
      <c r="OTE221" s="1"/>
      <c r="OTF221" s="1"/>
      <c r="OTG221" s="1"/>
      <c r="OTH221" s="1"/>
      <c r="OTI221" s="1"/>
      <c r="OTJ221" s="1"/>
      <c r="OTK221" s="1"/>
      <c r="OTL221" s="1"/>
      <c r="OTM221" s="1"/>
      <c r="OTN221" s="1"/>
      <c r="OTO221" s="1"/>
      <c r="OTP221" s="1"/>
      <c r="OTQ221" s="1"/>
      <c r="OTR221" s="1"/>
      <c r="OTS221" s="1"/>
      <c r="OTT221" s="1"/>
      <c r="OTU221" s="1"/>
      <c r="OTV221" s="1"/>
      <c r="OTW221" s="1"/>
      <c r="OTX221" s="1"/>
      <c r="OTY221" s="1"/>
      <c r="OTZ221" s="1"/>
      <c r="OUA221" s="1"/>
      <c r="OUB221" s="1"/>
      <c r="OUC221" s="1"/>
      <c r="OUD221" s="1"/>
      <c r="OUE221" s="1"/>
      <c r="OUF221" s="1"/>
      <c r="OUG221" s="1"/>
      <c r="OUH221" s="1"/>
      <c r="OUI221" s="1"/>
      <c r="OUJ221" s="1"/>
      <c r="OUK221" s="1"/>
      <c r="OUL221" s="1"/>
      <c r="OUM221" s="1"/>
      <c r="OUN221" s="1"/>
      <c r="OUO221" s="1"/>
      <c r="OUP221" s="1"/>
      <c r="OUQ221" s="1"/>
      <c r="OUR221" s="1"/>
      <c r="OUS221" s="1"/>
      <c r="OUT221" s="1"/>
      <c r="OUU221" s="1"/>
      <c r="OUV221" s="1"/>
      <c r="OUW221" s="1"/>
      <c r="OUX221" s="1"/>
      <c r="OUY221" s="1"/>
      <c r="OUZ221" s="1"/>
      <c r="OVA221" s="1"/>
      <c r="OVB221" s="1"/>
      <c r="OVC221" s="1"/>
      <c r="OVD221" s="1"/>
      <c r="OVE221" s="1"/>
      <c r="OVF221" s="1"/>
      <c r="OVG221" s="1"/>
      <c r="OVH221" s="1"/>
      <c r="OVI221" s="1"/>
      <c r="OVJ221" s="1"/>
      <c r="OVK221" s="1"/>
      <c r="OVL221" s="1"/>
      <c r="OVM221" s="1"/>
      <c r="OVN221" s="1"/>
      <c r="OVO221" s="1"/>
      <c r="OVP221" s="1"/>
      <c r="OVQ221" s="1"/>
      <c r="OVR221" s="1"/>
      <c r="OVS221" s="1"/>
      <c r="OVT221" s="1"/>
      <c r="OVU221" s="1"/>
      <c r="OVV221" s="1"/>
      <c r="OVW221" s="1"/>
      <c r="OVX221" s="1"/>
      <c r="OVY221" s="1"/>
      <c r="OVZ221" s="1"/>
      <c r="OWA221" s="1"/>
      <c r="OWB221" s="1"/>
      <c r="OWC221" s="1"/>
      <c r="OWD221" s="1"/>
      <c r="OWE221" s="1"/>
      <c r="OWF221" s="1"/>
      <c r="OWG221" s="1"/>
      <c r="OWH221" s="1"/>
      <c r="OWI221" s="1"/>
      <c r="OWJ221" s="1"/>
      <c r="OWK221" s="1"/>
      <c r="OWL221" s="1"/>
      <c r="OWM221" s="1"/>
      <c r="OWN221" s="1"/>
      <c r="OWO221" s="1"/>
      <c r="OWP221" s="1"/>
      <c r="OWQ221" s="1"/>
      <c r="OWR221" s="1"/>
      <c r="OWS221" s="1"/>
      <c r="OWT221" s="1"/>
      <c r="OWU221" s="1"/>
      <c r="OWV221" s="1"/>
      <c r="OWW221" s="1"/>
      <c r="OWX221" s="1"/>
      <c r="OWY221" s="1"/>
      <c r="OWZ221" s="1"/>
      <c r="OXA221" s="1"/>
      <c r="OXB221" s="1"/>
      <c r="OXC221" s="1"/>
      <c r="OXD221" s="1"/>
      <c r="OXE221" s="1"/>
      <c r="OXF221" s="1"/>
      <c r="OXG221" s="1"/>
      <c r="OXH221" s="1"/>
      <c r="OXI221" s="1"/>
      <c r="OXJ221" s="1"/>
      <c r="OXK221" s="1"/>
      <c r="OXL221" s="1"/>
      <c r="OXM221" s="1"/>
      <c r="OXN221" s="1"/>
      <c r="OXO221" s="1"/>
      <c r="OXP221" s="1"/>
      <c r="OXQ221" s="1"/>
      <c r="OXR221" s="1"/>
      <c r="OXS221" s="1"/>
      <c r="OXT221" s="1"/>
      <c r="OXU221" s="1"/>
      <c r="OXV221" s="1"/>
      <c r="OXW221" s="1"/>
      <c r="OXX221" s="1"/>
      <c r="OXY221" s="1"/>
      <c r="OXZ221" s="1"/>
      <c r="OYA221" s="1"/>
      <c r="OYB221" s="1"/>
      <c r="OYC221" s="1"/>
      <c r="OYD221" s="1"/>
      <c r="OYE221" s="1"/>
      <c r="OYF221" s="1"/>
      <c r="OYG221" s="1"/>
      <c r="OYH221" s="1"/>
      <c r="OYI221" s="1"/>
      <c r="OYJ221" s="1"/>
      <c r="OYK221" s="1"/>
      <c r="OYL221" s="1"/>
      <c r="OYM221" s="1"/>
      <c r="OYN221" s="1"/>
      <c r="OYO221" s="1"/>
      <c r="OYP221" s="1"/>
      <c r="OYQ221" s="1"/>
      <c r="OYR221" s="1"/>
      <c r="OYS221" s="1"/>
      <c r="OYT221" s="1"/>
      <c r="OYU221" s="1"/>
      <c r="OYV221" s="1"/>
      <c r="OYW221" s="1"/>
      <c r="OYX221" s="1"/>
      <c r="OYY221" s="1"/>
      <c r="OYZ221" s="1"/>
      <c r="OZA221" s="1"/>
      <c r="OZB221" s="1"/>
      <c r="OZC221" s="1"/>
      <c r="OZD221" s="1"/>
      <c r="OZE221" s="1"/>
      <c r="OZF221" s="1"/>
      <c r="OZG221" s="1"/>
      <c r="OZH221" s="1"/>
      <c r="OZI221" s="1"/>
      <c r="OZJ221" s="1"/>
      <c r="OZK221" s="1"/>
      <c r="OZL221" s="1"/>
      <c r="OZM221" s="1"/>
      <c r="OZN221" s="1"/>
      <c r="OZO221" s="1"/>
      <c r="OZP221" s="1"/>
      <c r="OZQ221" s="1"/>
      <c r="OZR221" s="1"/>
      <c r="OZS221" s="1"/>
      <c r="OZT221" s="1"/>
      <c r="OZU221" s="1"/>
      <c r="OZV221" s="1"/>
      <c r="OZW221" s="1"/>
      <c r="OZX221" s="1"/>
      <c r="OZY221" s="1"/>
      <c r="OZZ221" s="1"/>
      <c r="PAA221" s="1"/>
      <c r="PAB221" s="1"/>
      <c r="PAC221" s="1"/>
      <c r="PAD221" s="1"/>
      <c r="PAE221" s="1"/>
      <c r="PAF221" s="1"/>
      <c r="PAG221" s="1"/>
      <c r="PAH221" s="1"/>
      <c r="PAI221" s="1"/>
      <c r="PAJ221" s="1"/>
      <c r="PAK221" s="1"/>
      <c r="PAL221" s="1"/>
      <c r="PAM221" s="1"/>
      <c r="PAN221" s="1"/>
      <c r="PAO221" s="1"/>
      <c r="PAP221" s="1"/>
      <c r="PAQ221" s="1"/>
      <c r="PAR221" s="1"/>
      <c r="PAS221" s="1"/>
      <c r="PAT221" s="1"/>
      <c r="PAU221" s="1"/>
      <c r="PAV221" s="1"/>
      <c r="PAW221" s="1"/>
      <c r="PAX221" s="1"/>
      <c r="PAY221" s="1"/>
      <c r="PAZ221" s="1"/>
      <c r="PBA221" s="1"/>
      <c r="PBB221" s="1"/>
      <c r="PBC221" s="1"/>
      <c r="PBD221" s="1"/>
      <c r="PBE221" s="1"/>
      <c r="PBF221" s="1"/>
      <c r="PBG221" s="1"/>
      <c r="PBH221" s="1"/>
      <c r="PBI221" s="1"/>
      <c r="PBJ221" s="1"/>
      <c r="PBK221" s="1"/>
      <c r="PBL221" s="1"/>
      <c r="PBM221" s="1"/>
      <c r="PBN221" s="1"/>
      <c r="PBO221" s="1"/>
      <c r="PBP221" s="1"/>
      <c r="PBQ221" s="1"/>
      <c r="PBR221" s="1"/>
      <c r="PBS221" s="1"/>
      <c r="PBT221" s="1"/>
      <c r="PBU221" s="1"/>
      <c r="PBV221" s="1"/>
      <c r="PBW221" s="1"/>
      <c r="PBX221" s="1"/>
      <c r="PBY221" s="1"/>
      <c r="PBZ221" s="1"/>
      <c r="PCA221" s="1"/>
      <c r="PCB221" s="1"/>
      <c r="PCC221" s="1"/>
      <c r="PCD221" s="1"/>
      <c r="PCE221" s="1"/>
      <c r="PCF221" s="1"/>
      <c r="PCG221" s="1"/>
      <c r="PCH221" s="1"/>
      <c r="PCI221" s="1"/>
      <c r="PCJ221" s="1"/>
      <c r="PCK221" s="1"/>
      <c r="PCL221" s="1"/>
      <c r="PCM221" s="1"/>
      <c r="PCN221" s="1"/>
      <c r="PCO221" s="1"/>
      <c r="PCP221" s="1"/>
      <c r="PCQ221" s="1"/>
      <c r="PCR221" s="1"/>
      <c r="PCS221" s="1"/>
      <c r="PCT221" s="1"/>
      <c r="PCU221" s="1"/>
      <c r="PCV221" s="1"/>
      <c r="PCW221" s="1"/>
      <c r="PCX221" s="1"/>
      <c r="PCY221" s="1"/>
      <c r="PCZ221" s="1"/>
      <c r="PDA221" s="1"/>
      <c r="PDB221" s="1"/>
      <c r="PDC221" s="1"/>
      <c r="PDD221" s="1"/>
      <c r="PDE221" s="1"/>
      <c r="PDF221" s="1"/>
      <c r="PDG221" s="1"/>
      <c r="PDH221" s="1"/>
      <c r="PDI221" s="1"/>
      <c r="PDJ221" s="1"/>
      <c r="PDK221" s="1"/>
      <c r="PDL221" s="1"/>
      <c r="PDM221" s="1"/>
      <c r="PDN221" s="1"/>
      <c r="PDO221" s="1"/>
      <c r="PDP221" s="1"/>
      <c r="PDQ221" s="1"/>
      <c r="PDR221" s="1"/>
      <c r="PDS221" s="1"/>
      <c r="PDT221" s="1"/>
      <c r="PDU221" s="1"/>
      <c r="PDV221" s="1"/>
      <c r="PDW221" s="1"/>
      <c r="PDX221" s="1"/>
      <c r="PDY221" s="1"/>
      <c r="PDZ221" s="1"/>
      <c r="PEA221" s="1"/>
      <c r="PEB221" s="1"/>
      <c r="PEC221" s="1"/>
      <c r="PED221" s="1"/>
      <c r="PEE221" s="1"/>
      <c r="PEF221" s="1"/>
      <c r="PEG221" s="1"/>
      <c r="PEH221" s="1"/>
      <c r="PEI221" s="1"/>
      <c r="PEJ221" s="1"/>
      <c r="PEK221" s="1"/>
      <c r="PEL221" s="1"/>
      <c r="PEM221" s="1"/>
      <c r="PEN221" s="1"/>
      <c r="PEO221" s="1"/>
      <c r="PEP221" s="1"/>
      <c r="PEQ221" s="1"/>
      <c r="PER221" s="1"/>
      <c r="PES221" s="1"/>
      <c r="PET221" s="1"/>
      <c r="PEU221" s="1"/>
      <c r="PEV221" s="1"/>
      <c r="PEW221" s="1"/>
      <c r="PEX221" s="1"/>
      <c r="PEY221" s="1"/>
      <c r="PEZ221" s="1"/>
      <c r="PFA221" s="1"/>
      <c r="PFB221" s="1"/>
      <c r="PFC221" s="1"/>
      <c r="PFD221" s="1"/>
      <c r="PFE221" s="1"/>
      <c r="PFF221" s="1"/>
      <c r="PFG221" s="1"/>
      <c r="PFH221" s="1"/>
      <c r="PFI221" s="1"/>
      <c r="PFJ221" s="1"/>
      <c r="PFK221" s="1"/>
      <c r="PFL221" s="1"/>
      <c r="PFM221" s="1"/>
      <c r="PFN221" s="1"/>
      <c r="PFO221" s="1"/>
      <c r="PFP221" s="1"/>
      <c r="PFQ221" s="1"/>
      <c r="PFR221" s="1"/>
      <c r="PFS221" s="1"/>
      <c r="PFT221" s="1"/>
      <c r="PFU221" s="1"/>
      <c r="PFV221" s="1"/>
      <c r="PFW221" s="1"/>
      <c r="PFX221" s="1"/>
      <c r="PFY221" s="1"/>
      <c r="PFZ221" s="1"/>
      <c r="PGA221" s="1"/>
      <c r="PGB221" s="1"/>
      <c r="PGC221" s="1"/>
      <c r="PGD221" s="1"/>
      <c r="PGE221" s="1"/>
      <c r="PGF221" s="1"/>
      <c r="PGG221" s="1"/>
      <c r="PGH221" s="1"/>
      <c r="PGI221" s="1"/>
      <c r="PGJ221" s="1"/>
      <c r="PGK221" s="1"/>
      <c r="PGL221" s="1"/>
      <c r="PGM221" s="1"/>
      <c r="PGN221" s="1"/>
      <c r="PGO221" s="1"/>
      <c r="PGP221" s="1"/>
      <c r="PGQ221" s="1"/>
      <c r="PGR221" s="1"/>
      <c r="PGS221" s="1"/>
      <c r="PGT221" s="1"/>
      <c r="PGU221" s="1"/>
      <c r="PGV221" s="1"/>
      <c r="PGW221" s="1"/>
      <c r="PGX221" s="1"/>
      <c r="PGY221" s="1"/>
      <c r="PGZ221" s="1"/>
      <c r="PHA221" s="1"/>
      <c r="PHB221" s="1"/>
      <c r="PHC221" s="1"/>
      <c r="PHD221" s="1"/>
      <c r="PHE221" s="1"/>
      <c r="PHF221" s="1"/>
      <c r="PHG221" s="1"/>
      <c r="PHH221" s="1"/>
      <c r="PHI221" s="1"/>
      <c r="PHJ221" s="1"/>
      <c r="PHK221" s="1"/>
      <c r="PHL221" s="1"/>
      <c r="PHM221" s="1"/>
      <c r="PHN221" s="1"/>
      <c r="PHO221" s="1"/>
      <c r="PHP221" s="1"/>
      <c r="PHQ221" s="1"/>
      <c r="PHR221" s="1"/>
      <c r="PHS221" s="1"/>
      <c r="PHT221" s="1"/>
      <c r="PHU221" s="1"/>
      <c r="PHV221" s="1"/>
      <c r="PHW221" s="1"/>
      <c r="PHX221" s="1"/>
      <c r="PHY221" s="1"/>
      <c r="PHZ221" s="1"/>
      <c r="PIA221" s="1"/>
      <c r="PIB221" s="1"/>
      <c r="PIC221" s="1"/>
      <c r="PID221" s="1"/>
      <c r="PIE221" s="1"/>
      <c r="PIF221" s="1"/>
      <c r="PIG221" s="1"/>
      <c r="PIH221" s="1"/>
      <c r="PII221" s="1"/>
      <c r="PIJ221" s="1"/>
      <c r="PIK221" s="1"/>
      <c r="PIL221" s="1"/>
      <c r="PIM221" s="1"/>
      <c r="PIN221" s="1"/>
      <c r="PIO221" s="1"/>
      <c r="PIP221" s="1"/>
      <c r="PIQ221" s="1"/>
      <c r="PIR221" s="1"/>
      <c r="PIS221" s="1"/>
      <c r="PIT221" s="1"/>
      <c r="PIU221" s="1"/>
      <c r="PIV221" s="1"/>
      <c r="PIW221" s="1"/>
      <c r="PIX221" s="1"/>
      <c r="PIY221" s="1"/>
      <c r="PIZ221" s="1"/>
      <c r="PJA221" s="1"/>
      <c r="PJB221" s="1"/>
      <c r="PJC221" s="1"/>
      <c r="PJD221" s="1"/>
      <c r="PJE221" s="1"/>
      <c r="PJF221" s="1"/>
      <c r="PJG221" s="1"/>
      <c r="PJH221" s="1"/>
      <c r="PJI221" s="1"/>
      <c r="PJJ221" s="1"/>
      <c r="PJK221" s="1"/>
      <c r="PJL221" s="1"/>
      <c r="PJM221" s="1"/>
      <c r="PJN221" s="1"/>
      <c r="PJO221" s="1"/>
      <c r="PJP221" s="1"/>
      <c r="PJQ221" s="1"/>
      <c r="PJR221" s="1"/>
      <c r="PJS221" s="1"/>
      <c r="PJT221" s="1"/>
      <c r="PJU221" s="1"/>
      <c r="PJV221" s="1"/>
      <c r="PJW221" s="1"/>
      <c r="PJX221" s="1"/>
      <c r="PJY221" s="1"/>
      <c r="PJZ221" s="1"/>
      <c r="PKA221" s="1"/>
      <c r="PKB221" s="1"/>
      <c r="PKC221" s="1"/>
      <c r="PKD221" s="1"/>
      <c r="PKE221" s="1"/>
      <c r="PKF221" s="1"/>
      <c r="PKG221" s="1"/>
      <c r="PKH221" s="1"/>
      <c r="PKI221" s="1"/>
      <c r="PKJ221" s="1"/>
      <c r="PKK221" s="1"/>
      <c r="PKL221" s="1"/>
      <c r="PKM221" s="1"/>
      <c r="PKN221" s="1"/>
      <c r="PKO221" s="1"/>
      <c r="PKP221" s="1"/>
      <c r="PKQ221" s="1"/>
      <c r="PKR221" s="1"/>
      <c r="PKS221" s="1"/>
      <c r="PKT221" s="1"/>
      <c r="PKU221" s="1"/>
      <c r="PKV221" s="1"/>
      <c r="PKW221" s="1"/>
      <c r="PKX221" s="1"/>
      <c r="PKY221" s="1"/>
      <c r="PKZ221" s="1"/>
      <c r="PLA221" s="1"/>
      <c r="PLB221" s="1"/>
      <c r="PLC221" s="1"/>
      <c r="PLD221" s="1"/>
      <c r="PLE221" s="1"/>
      <c r="PLF221" s="1"/>
      <c r="PLG221" s="1"/>
      <c r="PLH221" s="1"/>
      <c r="PLI221" s="1"/>
      <c r="PLJ221" s="1"/>
      <c r="PLK221" s="1"/>
      <c r="PLL221" s="1"/>
      <c r="PLM221" s="1"/>
      <c r="PLN221" s="1"/>
      <c r="PLO221" s="1"/>
      <c r="PLP221" s="1"/>
      <c r="PLQ221" s="1"/>
      <c r="PLR221" s="1"/>
      <c r="PLS221" s="1"/>
      <c r="PLT221" s="1"/>
      <c r="PLU221" s="1"/>
      <c r="PLV221" s="1"/>
      <c r="PLW221" s="1"/>
      <c r="PLX221" s="1"/>
      <c r="PLY221" s="1"/>
      <c r="PLZ221" s="1"/>
      <c r="PMA221" s="1"/>
      <c r="PMB221" s="1"/>
      <c r="PMC221" s="1"/>
      <c r="PMD221" s="1"/>
      <c r="PME221" s="1"/>
      <c r="PMF221" s="1"/>
      <c r="PMG221" s="1"/>
      <c r="PMH221" s="1"/>
      <c r="PMI221" s="1"/>
      <c r="PMJ221" s="1"/>
      <c r="PMK221" s="1"/>
      <c r="PML221" s="1"/>
      <c r="PMM221" s="1"/>
      <c r="PMN221" s="1"/>
      <c r="PMO221" s="1"/>
      <c r="PMP221" s="1"/>
      <c r="PMQ221" s="1"/>
      <c r="PMR221" s="1"/>
      <c r="PMS221" s="1"/>
      <c r="PMT221" s="1"/>
      <c r="PMU221" s="1"/>
      <c r="PMV221" s="1"/>
      <c r="PMW221" s="1"/>
      <c r="PMX221" s="1"/>
      <c r="PMY221" s="1"/>
      <c r="PMZ221" s="1"/>
      <c r="PNA221" s="1"/>
      <c r="PNB221" s="1"/>
      <c r="PNC221" s="1"/>
      <c r="PND221" s="1"/>
      <c r="PNE221" s="1"/>
      <c r="PNF221" s="1"/>
      <c r="PNG221" s="1"/>
      <c r="PNH221" s="1"/>
      <c r="PNI221" s="1"/>
      <c r="PNJ221" s="1"/>
      <c r="PNK221" s="1"/>
      <c r="PNL221" s="1"/>
      <c r="PNM221" s="1"/>
      <c r="PNN221" s="1"/>
      <c r="PNO221" s="1"/>
      <c r="PNP221" s="1"/>
      <c r="PNQ221" s="1"/>
      <c r="PNR221" s="1"/>
      <c r="PNS221" s="1"/>
      <c r="PNT221" s="1"/>
      <c r="PNU221" s="1"/>
      <c r="PNV221" s="1"/>
      <c r="PNW221" s="1"/>
      <c r="PNX221" s="1"/>
      <c r="PNY221" s="1"/>
      <c r="PNZ221" s="1"/>
      <c r="POA221" s="1"/>
      <c r="POB221" s="1"/>
      <c r="POC221" s="1"/>
      <c r="POD221" s="1"/>
      <c r="POE221" s="1"/>
      <c r="POF221" s="1"/>
      <c r="POG221" s="1"/>
      <c r="POH221" s="1"/>
      <c r="POI221" s="1"/>
      <c r="POJ221" s="1"/>
      <c r="POK221" s="1"/>
      <c r="POL221" s="1"/>
      <c r="POM221" s="1"/>
      <c r="PON221" s="1"/>
      <c r="POO221" s="1"/>
      <c r="POP221" s="1"/>
      <c r="POQ221" s="1"/>
      <c r="POR221" s="1"/>
      <c r="POS221" s="1"/>
      <c r="POT221" s="1"/>
      <c r="POU221" s="1"/>
      <c r="POV221" s="1"/>
      <c r="POW221" s="1"/>
      <c r="POX221" s="1"/>
      <c r="POY221" s="1"/>
      <c r="POZ221" s="1"/>
      <c r="PPA221" s="1"/>
      <c r="PPB221" s="1"/>
      <c r="PPC221" s="1"/>
      <c r="PPD221" s="1"/>
      <c r="PPE221" s="1"/>
      <c r="PPF221" s="1"/>
      <c r="PPG221" s="1"/>
      <c r="PPH221" s="1"/>
      <c r="PPI221" s="1"/>
      <c r="PPJ221" s="1"/>
      <c r="PPK221" s="1"/>
      <c r="PPL221" s="1"/>
      <c r="PPM221" s="1"/>
      <c r="PPN221" s="1"/>
      <c r="PPO221" s="1"/>
      <c r="PPP221" s="1"/>
      <c r="PPQ221" s="1"/>
      <c r="PPR221" s="1"/>
      <c r="PPS221" s="1"/>
      <c r="PPT221" s="1"/>
      <c r="PPU221" s="1"/>
      <c r="PPV221" s="1"/>
      <c r="PPW221" s="1"/>
      <c r="PPX221" s="1"/>
      <c r="PPY221" s="1"/>
      <c r="PPZ221" s="1"/>
      <c r="PQA221" s="1"/>
      <c r="PQB221" s="1"/>
      <c r="PQC221" s="1"/>
      <c r="PQD221" s="1"/>
      <c r="PQE221" s="1"/>
      <c r="PQF221" s="1"/>
      <c r="PQG221" s="1"/>
      <c r="PQH221" s="1"/>
      <c r="PQI221" s="1"/>
      <c r="PQJ221" s="1"/>
      <c r="PQK221" s="1"/>
      <c r="PQL221" s="1"/>
      <c r="PQM221" s="1"/>
      <c r="PQN221" s="1"/>
      <c r="PQO221" s="1"/>
      <c r="PQP221" s="1"/>
      <c r="PQQ221" s="1"/>
      <c r="PQR221" s="1"/>
      <c r="PQS221" s="1"/>
      <c r="PQT221" s="1"/>
      <c r="PQU221" s="1"/>
      <c r="PQV221" s="1"/>
      <c r="PQW221" s="1"/>
      <c r="PQX221" s="1"/>
      <c r="PQY221" s="1"/>
      <c r="PQZ221" s="1"/>
      <c r="PRA221" s="1"/>
      <c r="PRB221" s="1"/>
      <c r="PRC221" s="1"/>
      <c r="PRD221" s="1"/>
      <c r="PRE221" s="1"/>
      <c r="PRF221" s="1"/>
      <c r="PRG221" s="1"/>
      <c r="PRH221" s="1"/>
      <c r="PRI221" s="1"/>
      <c r="PRJ221" s="1"/>
      <c r="PRK221" s="1"/>
      <c r="PRL221" s="1"/>
      <c r="PRM221" s="1"/>
      <c r="PRN221" s="1"/>
      <c r="PRO221" s="1"/>
      <c r="PRP221" s="1"/>
      <c r="PRQ221" s="1"/>
      <c r="PRR221" s="1"/>
      <c r="PRS221" s="1"/>
      <c r="PRT221" s="1"/>
      <c r="PRU221" s="1"/>
      <c r="PRV221" s="1"/>
      <c r="PRW221" s="1"/>
      <c r="PRX221" s="1"/>
      <c r="PRY221" s="1"/>
      <c r="PRZ221" s="1"/>
      <c r="PSA221" s="1"/>
      <c r="PSB221" s="1"/>
      <c r="PSC221" s="1"/>
      <c r="PSD221" s="1"/>
      <c r="PSE221" s="1"/>
      <c r="PSF221" s="1"/>
      <c r="PSG221" s="1"/>
      <c r="PSH221" s="1"/>
      <c r="PSI221" s="1"/>
      <c r="PSJ221" s="1"/>
      <c r="PSK221" s="1"/>
      <c r="PSL221" s="1"/>
      <c r="PSM221" s="1"/>
      <c r="PSN221" s="1"/>
      <c r="PSO221" s="1"/>
      <c r="PSP221" s="1"/>
      <c r="PSQ221" s="1"/>
      <c r="PSR221" s="1"/>
      <c r="PSS221" s="1"/>
      <c r="PST221" s="1"/>
      <c r="PSU221" s="1"/>
      <c r="PSV221" s="1"/>
      <c r="PSW221" s="1"/>
      <c r="PSX221" s="1"/>
      <c r="PSY221" s="1"/>
      <c r="PSZ221" s="1"/>
      <c r="PTA221" s="1"/>
      <c r="PTB221" s="1"/>
      <c r="PTC221" s="1"/>
      <c r="PTD221" s="1"/>
      <c r="PTE221" s="1"/>
      <c r="PTF221" s="1"/>
      <c r="PTG221" s="1"/>
      <c r="PTH221" s="1"/>
      <c r="PTI221" s="1"/>
      <c r="PTJ221" s="1"/>
      <c r="PTK221" s="1"/>
      <c r="PTL221" s="1"/>
      <c r="PTM221" s="1"/>
      <c r="PTN221" s="1"/>
      <c r="PTO221" s="1"/>
      <c r="PTP221" s="1"/>
      <c r="PTQ221" s="1"/>
      <c r="PTR221" s="1"/>
      <c r="PTS221" s="1"/>
      <c r="PTT221" s="1"/>
      <c r="PTU221" s="1"/>
      <c r="PTV221" s="1"/>
      <c r="PTW221" s="1"/>
      <c r="PTX221" s="1"/>
      <c r="PTY221" s="1"/>
      <c r="PTZ221" s="1"/>
      <c r="PUA221" s="1"/>
      <c r="PUB221" s="1"/>
      <c r="PUC221" s="1"/>
      <c r="PUD221" s="1"/>
      <c r="PUE221" s="1"/>
      <c r="PUF221" s="1"/>
      <c r="PUG221" s="1"/>
      <c r="PUH221" s="1"/>
      <c r="PUI221" s="1"/>
      <c r="PUJ221" s="1"/>
      <c r="PUK221" s="1"/>
      <c r="PUL221" s="1"/>
      <c r="PUM221" s="1"/>
      <c r="PUN221" s="1"/>
      <c r="PUO221" s="1"/>
      <c r="PUP221" s="1"/>
      <c r="PUQ221" s="1"/>
      <c r="PUR221" s="1"/>
      <c r="PUS221" s="1"/>
      <c r="PUT221" s="1"/>
      <c r="PUU221" s="1"/>
      <c r="PUV221" s="1"/>
      <c r="PUW221" s="1"/>
      <c r="PUX221" s="1"/>
      <c r="PUY221" s="1"/>
      <c r="PUZ221" s="1"/>
      <c r="PVA221" s="1"/>
      <c r="PVB221" s="1"/>
      <c r="PVC221" s="1"/>
      <c r="PVD221" s="1"/>
      <c r="PVE221" s="1"/>
      <c r="PVF221" s="1"/>
      <c r="PVG221" s="1"/>
      <c r="PVH221" s="1"/>
      <c r="PVI221" s="1"/>
      <c r="PVJ221" s="1"/>
      <c r="PVK221" s="1"/>
      <c r="PVL221" s="1"/>
      <c r="PVM221" s="1"/>
      <c r="PVN221" s="1"/>
      <c r="PVO221" s="1"/>
      <c r="PVP221" s="1"/>
      <c r="PVQ221" s="1"/>
      <c r="PVR221" s="1"/>
      <c r="PVS221" s="1"/>
      <c r="PVT221" s="1"/>
      <c r="PVU221" s="1"/>
      <c r="PVV221" s="1"/>
      <c r="PVW221" s="1"/>
      <c r="PVX221" s="1"/>
      <c r="PVY221" s="1"/>
      <c r="PVZ221" s="1"/>
      <c r="PWA221" s="1"/>
      <c r="PWB221" s="1"/>
      <c r="PWC221" s="1"/>
      <c r="PWD221" s="1"/>
      <c r="PWE221" s="1"/>
      <c r="PWF221" s="1"/>
      <c r="PWG221" s="1"/>
      <c r="PWH221" s="1"/>
      <c r="PWI221" s="1"/>
      <c r="PWJ221" s="1"/>
      <c r="PWK221" s="1"/>
      <c r="PWL221" s="1"/>
      <c r="PWM221" s="1"/>
      <c r="PWN221" s="1"/>
      <c r="PWO221" s="1"/>
      <c r="PWP221" s="1"/>
      <c r="PWQ221" s="1"/>
      <c r="PWR221" s="1"/>
      <c r="PWS221" s="1"/>
      <c r="PWT221" s="1"/>
      <c r="PWU221" s="1"/>
      <c r="PWV221" s="1"/>
      <c r="PWW221" s="1"/>
      <c r="PWX221" s="1"/>
      <c r="PWY221" s="1"/>
      <c r="PWZ221" s="1"/>
      <c r="PXA221" s="1"/>
      <c r="PXB221" s="1"/>
      <c r="PXC221" s="1"/>
      <c r="PXD221" s="1"/>
      <c r="PXE221" s="1"/>
      <c r="PXF221" s="1"/>
      <c r="PXG221" s="1"/>
      <c r="PXH221" s="1"/>
      <c r="PXI221" s="1"/>
      <c r="PXJ221" s="1"/>
      <c r="PXK221" s="1"/>
      <c r="PXL221" s="1"/>
      <c r="PXM221" s="1"/>
      <c r="PXN221" s="1"/>
      <c r="PXO221" s="1"/>
      <c r="PXP221" s="1"/>
      <c r="PXQ221" s="1"/>
      <c r="PXR221" s="1"/>
      <c r="PXS221" s="1"/>
      <c r="PXT221" s="1"/>
      <c r="PXU221" s="1"/>
      <c r="PXV221" s="1"/>
      <c r="PXW221" s="1"/>
      <c r="PXX221" s="1"/>
      <c r="PXY221" s="1"/>
      <c r="PXZ221" s="1"/>
      <c r="PYA221" s="1"/>
      <c r="PYB221" s="1"/>
      <c r="PYC221" s="1"/>
      <c r="PYD221" s="1"/>
      <c r="PYE221" s="1"/>
      <c r="PYF221" s="1"/>
      <c r="PYG221" s="1"/>
      <c r="PYH221" s="1"/>
      <c r="PYI221" s="1"/>
      <c r="PYJ221" s="1"/>
      <c r="PYK221" s="1"/>
      <c r="PYL221" s="1"/>
      <c r="PYM221" s="1"/>
      <c r="PYN221" s="1"/>
      <c r="PYO221" s="1"/>
      <c r="PYP221" s="1"/>
      <c r="PYQ221" s="1"/>
      <c r="PYR221" s="1"/>
      <c r="PYS221" s="1"/>
      <c r="PYT221" s="1"/>
      <c r="PYU221" s="1"/>
      <c r="PYV221" s="1"/>
      <c r="PYW221" s="1"/>
      <c r="PYX221" s="1"/>
      <c r="PYY221" s="1"/>
      <c r="PYZ221" s="1"/>
      <c r="PZA221" s="1"/>
      <c r="PZB221" s="1"/>
      <c r="PZC221" s="1"/>
      <c r="PZD221" s="1"/>
      <c r="PZE221" s="1"/>
      <c r="PZF221" s="1"/>
      <c r="PZG221" s="1"/>
      <c r="PZH221" s="1"/>
      <c r="PZI221" s="1"/>
      <c r="PZJ221" s="1"/>
      <c r="PZK221" s="1"/>
      <c r="PZL221" s="1"/>
      <c r="PZM221" s="1"/>
      <c r="PZN221" s="1"/>
      <c r="PZO221" s="1"/>
      <c r="PZP221" s="1"/>
      <c r="PZQ221" s="1"/>
      <c r="PZR221" s="1"/>
      <c r="PZS221" s="1"/>
      <c r="PZT221" s="1"/>
      <c r="PZU221" s="1"/>
      <c r="PZV221" s="1"/>
      <c r="PZW221" s="1"/>
      <c r="PZX221" s="1"/>
      <c r="PZY221" s="1"/>
      <c r="PZZ221" s="1"/>
      <c r="QAA221" s="1"/>
      <c r="QAB221" s="1"/>
      <c r="QAC221" s="1"/>
      <c r="QAD221" s="1"/>
      <c r="QAE221" s="1"/>
      <c r="QAF221" s="1"/>
      <c r="QAG221" s="1"/>
      <c r="QAH221" s="1"/>
      <c r="QAI221" s="1"/>
      <c r="QAJ221" s="1"/>
      <c r="QAK221" s="1"/>
      <c r="QAL221" s="1"/>
      <c r="QAM221" s="1"/>
      <c r="QAN221" s="1"/>
      <c r="QAO221" s="1"/>
      <c r="QAP221" s="1"/>
      <c r="QAQ221" s="1"/>
      <c r="QAR221" s="1"/>
      <c r="QAS221" s="1"/>
      <c r="QAT221" s="1"/>
      <c r="QAU221" s="1"/>
      <c r="QAV221" s="1"/>
      <c r="QAW221" s="1"/>
      <c r="QAX221" s="1"/>
      <c r="QAY221" s="1"/>
      <c r="QAZ221" s="1"/>
      <c r="QBA221" s="1"/>
      <c r="QBB221" s="1"/>
      <c r="QBC221" s="1"/>
      <c r="QBD221" s="1"/>
      <c r="QBE221" s="1"/>
      <c r="QBF221" s="1"/>
      <c r="QBG221" s="1"/>
      <c r="QBH221" s="1"/>
      <c r="QBI221" s="1"/>
      <c r="QBJ221" s="1"/>
      <c r="QBK221" s="1"/>
      <c r="QBL221" s="1"/>
      <c r="QBM221" s="1"/>
      <c r="QBN221" s="1"/>
      <c r="QBO221" s="1"/>
      <c r="QBP221" s="1"/>
      <c r="QBQ221" s="1"/>
      <c r="QBR221" s="1"/>
      <c r="QBS221" s="1"/>
      <c r="QBT221" s="1"/>
      <c r="QBU221" s="1"/>
      <c r="QBV221" s="1"/>
      <c r="QBW221" s="1"/>
      <c r="QBX221" s="1"/>
      <c r="QBY221" s="1"/>
      <c r="QBZ221" s="1"/>
      <c r="QCA221" s="1"/>
      <c r="QCB221" s="1"/>
      <c r="QCC221" s="1"/>
      <c r="QCD221" s="1"/>
      <c r="QCE221" s="1"/>
      <c r="QCF221" s="1"/>
      <c r="QCG221" s="1"/>
      <c r="QCH221" s="1"/>
      <c r="QCI221" s="1"/>
      <c r="QCJ221" s="1"/>
      <c r="QCK221" s="1"/>
      <c r="QCL221" s="1"/>
      <c r="QCM221" s="1"/>
      <c r="QCN221" s="1"/>
      <c r="QCO221" s="1"/>
      <c r="QCP221" s="1"/>
      <c r="QCQ221" s="1"/>
      <c r="QCR221" s="1"/>
      <c r="QCS221" s="1"/>
      <c r="QCT221" s="1"/>
      <c r="QCU221" s="1"/>
      <c r="QCV221" s="1"/>
      <c r="QCW221" s="1"/>
      <c r="QCX221" s="1"/>
      <c r="QCY221" s="1"/>
      <c r="QCZ221" s="1"/>
      <c r="QDA221" s="1"/>
      <c r="QDB221" s="1"/>
      <c r="QDC221" s="1"/>
      <c r="QDD221" s="1"/>
      <c r="QDE221" s="1"/>
      <c r="QDF221" s="1"/>
      <c r="QDG221" s="1"/>
      <c r="QDH221" s="1"/>
      <c r="QDI221" s="1"/>
      <c r="QDJ221" s="1"/>
      <c r="QDK221" s="1"/>
      <c r="QDL221" s="1"/>
      <c r="QDM221" s="1"/>
      <c r="QDN221" s="1"/>
      <c r="QDO221" s="1"/>
      <c r="QDP221" s="1"/>
      <c r="QDQ221" s="1"/>
      <c r="QDR221" s="1"/>
      <c r="QDS221" s="1"/>
      <c r="QDT221" s="1"/>
      <c r="QDU221" s="1"/>
      <c r="QDV221" s="1"/>
      <c r="QDW221" s="1"/>
      <c r="QDX221" s="1"/>
      <c r="QDY221" s="1"/>
      <c r="QDZ221" s="1"/>
      <c r="QEA221" s="1"/>
      <c r="QEB221" s="1"/>
      <c r="QEC221" s="1"/>
      <c r="QED221" s="1"/>
      <c r="QEE221" s="1"/>
      <c r="QEF221" s="1"/>
      <c r="QEG221" s="1"/>
      <c r="QEH221" s="1"/>
      <c r="QEI221" s="1"/>
      <c r="QEJ221" s="1"/>
      <c r="QEK221" s="1"/>
      <c r="QEL221" s="1"/>
      <c r="QEM221" s="1"/>
      <c r="QEN221" s="1"/>
      <c r="QEO221" s="1"/>
      <c r="QEP221" s="1"/>
      <c r="QEQ221" s="1"/>
      <c r="QER221" s="1"/>
      <c r="QES221" s="1"/>
      <c r="QET221" s="1"/>
      <c r="QEU221" s="1"/>
      <c r="QEV221" s="1"/>
      <c r="QEW221" s="1"/>
      <c r="QEX221" s="1"/>
      <c r="QEY221" s="1"/>
      <c r="QEZ221" s="1"/>
      <c r="QFA221" s="1"/>
      <c r="QFB221" s="1"/>
      <c r="QFC221" s="1"/>
      <c r="QFD221" s="1"/>
      <c r="QFE221" s="1"/>
      <c r="QFF221" s="1"/>
      <c r="QFG221" s="1"/>
      <c r="QFH221" s="1"/>
      <c r="QFI221" s="1"/>
      <c r="QFJ221" s="1"/>
      <c r="QFK221" s="1"/>
      <c r="QFL221" s="1"/>
      <c r="QFM221" s="1"/>
      <c r="QFN221" s="1"/>
      <c r="QFO221" s="1"/>
      <c r="QFP221" s="1"/>
      <c r="QFQ221" s="1"/>
      <c r="QFR221" s="1"/>
      <c r="QFS221" s="1"/>
      <c r="QFT221" s="1"/>
      <c r="QFU221" s="1"/>
      <c r="QFV221" s="1"/>
      <c r="QFW221" s="1"/>
      <c r="QFX221" s="1"/>
      <c r="QFY221" s="1"/>
      <c r="QFZ221" s="1"/>
      <c r="QGA221" s="1"/>
      <c r="QGB221" s="1"/>
      <c r="QGC221" s="1"/>
      <c r="QGD221" s="1"/>
      <c r="QGE221" s="1"/>
      <c r="QGF221" s="1"/>
      <c r="QGG221" s="1"/>
      <c r="QGH221" s="1"/>
      <c r="QGI221" s="1"/>
      <c r="QGJ221" s="1"/>
      <c r="QGK221" s="1"/>
      <c r="QGL221" s="1"/>
      <c r="QGM221" s="1"/>
      <c r="QGN221" s="1"/>
      <c r="QGO221" s="1"/>
      <c r="QGP221" s="1"/>
      <c r="QGQ221" s="1"/>
      <c r="QGR221" s="1"/>
      <c r="QGS221" s="1"/>
      <c r="QGT221" s="1"/>
      <c r="QGU221" s="1"/>
      <c r="QGV221" s="1"/>
      <c r="QGW221" s="1"/>
      <c r="QGX221" s="1"/>
      <c r="QGY221" s="1"/>
      <c r="QGZ221" s="1"/>
      <c r="QHA221" s="1"/>
      <c r="QHB221" s="1"/>
      <c r="QHC221" s="1"/>
      <c r="QHD221" s="1"/>
      <c r="QHE221" s="1"/>
      <c r="QHF221" s="1"/>
      <c r="QHG221" s="1"/>
      <c r="QHH221" s="1"/>
      <c r="QHI221" s="1"/>
      <c r="QHJ221" s="1"/>
      <c r="QHK221" s="1"/>
      <c r="QHL221" s="1"/>
      <c r="QHM221" s="1"/>
      <c r="QHN221" s="1"/>
      <c r="QHO221" s="1"/>
      <c r="QHP221" s="1"/>
      <c r="QHQ221" s="1"/>
      <c r="QHR221" s="1"/>
      <c r="QHS221" s="1"/>
      <c r="QHT221" s="1"/>
      <c r="QHU221" s="1"/>
      <c r="QHV221" s="1"/>
      <c r="QHW221" s="1"/>
      <c r="QHX221" s="1"/>
      <c r="QHY221" s="1"/>
      <c r="QHZ221" s="1"/>
      <c r="QIA221" s="1"/>
      <c r="QIB221" s="1"/>
      <c r="QIC221" s="1"/>
      <c r="QID221" s="1"/>
      <c r="QIE221" s="1"/>
      <c r="QIF221" s="1"/>
      <c r="QIG221" s="1"/>
      <c r="QIH221" s="1"/>
      <c r="QII221" s="1"/>
      <c r="QIJ221" s="1"/>
      <c r="QIK221" s="1"/>
      <c r="QIL221" s="1"/>
      <c r="QIM221" s="1"/>
      <c r="QIN221" s="1"/>
      <c r="QIO221" s="1"/>
      <c r="QIP221" s="1"/>
      <c r="QIQ221" s="1"/>
      <c r="QIR221" s="1"/>
      <c r="QIS221" s="1"/>
      <c r="QIT221" s="1"/>
      <c r="QIU221" s="1"/>
      <c r="QIV221" s="1"/>
      <c r="QIW221" s="1"/>
      <c r="QIX221" s="1"/>
      <c r="QIY221" s="1"/>
      <c r="QIZ221" s="1"/>
      <c r="QJA221" s="1"/>
      <c r="QJB221" s="1"/>
      <c r="QJC221" s="1"/>
      <c r="QJD221" s="1"/>
      <c r="QJE221" s="1"/>
      <c r="QJF221" s="1"/>
      <c r="QJG221" s="1"/>
      <c r="QJH221" s="1"/>
      <c r="QJI221" s="1"/>
      <c r="QJJ221" s="1"/>
      <c r="QJK221" s="1"/>
      <c r="QJL221" s="1"/>
      <c r="QJM221" s="1"/>
      <c r="QJN221" s="1"/>
      <c r="QJO221" s="1"/>
      <c r="QJP221" s="1"/>
      <c r="QJQ221" s="1"/>
      <c r="QJR221" s="1"/>
      <c r="QJS221" s="1"/>
      <c r="QJT221" s="1"/>
      <c r="QJU221" s="1"/>
      <c r="QJV221" s="1"/>
      <c r="QJW221" s="1"/>
      <c r="QJX221" s="1"/>
      <c r="QJY221" s="1"/>
      <c r="QJZ221" s="1"/>
      <c r="QKA221" s="1"/>
      <c r="QKB221" s="1"/>
      <c r="QKC221" s="1"/>
      <c r="QKD221" s="1"/>
      <c r="QKE221" s="1"/>
      <c r="QKF221" s="1"/>
      <c r="QKG221" s="1"/>
      <c r="QKH221" s="1"/>
      <c r="QKI221" s="1"/>
      <c r="QKJ221" s="1"/>
      <c r="QKK221" s="1"/>
      <c r="QKL221" s="1"/>
      <c r="QKM221" s="1"/>
      <c r="QKN221" s="1"/>
      <c r="QKO221" s="1"/>
      <c r="QKP221" s="1"/>
      <c r="QKQ221" s="1"/>
      <c r="QKR221" s="1"/>
      <c r="QKS221" s="1"/>
      <c r="QKT221" s="1"/>
      <c r="QKU221" s="1"/>
      <c r="QKV221" s="1"/>
      <c r="QKW221" s="1"/>
      <c r="QKX221" s="1"/>
      <c r="QKY221" s="1"/>
      <c r="QKZ221" s="1"/>
      <c r="QLA221" s="1"/>
      <c r="QLB221" s="1"/>
      <c r="QLC221" s="1"/>
      <c r="QLD221" s="1"/>
      <c r="QLE221" s="1"/>
      <c r="QLF221" s="1"/>
      <c r="QLG221" s="1"/>
      <c r="QLH221" s="1"/>
      <c r="QLI221" s="1"/>
      <c r="QLJ221" s="1"/>
      <c r="QLK221" s="1"/>
      <c r="QLL221" s="1"/>
      <c r="QLM221" s="1"/>
      <c r="QLN221" s="1"/>
      <c r="QLO221" s="1"/>
      <c r="QLP221" s="1"/>
      <c r="QLQ221" s="1"/>
      <c r="QLR221" s="1"/>
      <c r="QLS221" s="1"/>
      <c r="QLT221" s="1"/>
      <c r="QLU221" s="1"/>
      <c r="QLV221" s="1"/>
      <c r="QLW221" s="1"/>
      <c r="QLX221" s="1"/>
      <c r="QLY221" s="1"/>
      <c r="QLZ221" s="1"/>
      <c r="QMA221" s="1"/>
      <c r="QMB221" s="1"/>
      <c r="QMC221" s="1"/>
      <c r="QMD221" s="1"/>
      <c r="QME221" s="1"/>
      <c r="QMF221" s="1"/>
      <c r="QMG221" s="1"/>
      <c r="QMH221" s="1"/>
      <c r="QMI221" s="1"/>
      <c r="QMJ221" s="1"/>
      <c r="QMK221" s="1"/>
      <c r="QML221" s="1"/>
      <c r="QMM221" s="1"/>
      <c r="QMN221" s="1"/>
      <c r="QMO221" s="1"/>
      <c r="QMP221" s="1"/>
      <c r="QMQ221" s="1"/>
      <c r="QMR221" s="1"/>
      <c r="QMS221" s="1"/>
      <c r="QMT221" s="1"/>
      <c r="QMU221" s="1"/>
      <c r="QMV221" s="1"/>
      <c r="QMW221" s="1"/>
      <c r="QMX221" s="1"/>
      <c r="QMY221" s="1"/>
      <c r="QMZ221" s="1"/>
      <c r="QNA221" s="1"/>
      <c r="QNB221" s="1"/>
      <c r="QNC221" s="1"/>
      <c r="QND221" s="1"/>
      <c r="QNE221" s="1"/>
      <c r="QNF221" s="1"/>
      <c r="QNG221" s="1"/>
      <c r="QNH221" s="1"/>
      <c r="QNI221" s="1"/>
      <c r="QNJ221" s="1"/>
      <c r="QNK221" s="1"/>
      <c r="QNL221" s="1"/>
      <c r="QNM221" s="1"/>
      <c r="QNN221" s="1"/>
      <c r="QNO221" s="1"/>
      <c r="QNP221" s="1"/>
      <c r="QNQ221" s="1"/>
      <c r="QNR221" s="1"/>
      <c r="QNS221" s="1"/>
      <c r="QNT221" s="1"/>
      <c r="QNU221" s="1"/>
      <c r="QNV221" s="1"/>
      <c r="QNW221" s="1"/>
      <c r="QNX221" s="1"/>
      <c r="QNY221" s="1"/>
      <c r="QNZ221" s="1"/>
      <c r="QOA221" s="1"/>
      <c r="QOB221" s="1"/>
      <c r="QOC221" s="1"/>
      <c r="QOD221" s="1"/>
      <c r="QOE221" s="1"/>
      <c r="QOF221" s="1"/>
      <c r="QOG221" s="1"/>
      <c r="QOH221" s="1"/>
      <c r="QOI221" s="1"/>
      <c r="QOJ221" s="1"/>
      <c r="QOK221" s="1"/>
      <c r="QOL221" s="1"/>
      <c r="QOM221" s="1"/>
      <c r="QON221" s="1"/>
      <c r="QOO221" s="1"/>
      <c r="QOP221" s="1"/>
      <c r="QOQ221" s="1"/>
      <c r="QOR221" s="1"/>
      <c r="QOS221" s="1"/>
      <c r="QOT221" s="1"/>
      <c r="QOU221" s="1"/>
      <c r="QOV221" s="1"/>
      <c r="QOW221" s="1"/>
      <c r="QOX221" s="1"/>
      <c r="QOY221" s="1"/>
      <c r="QOZ221" s="1"/>
      <c r="QPA221" s="1"/>
      <c r="QPB221" s="1"/>
      <c r="QPC221" s="1"/>
      <c r="QPD221" s="1"/>
      <c r="QPE221" s="1"/>
      <c r="QPF221" s="1"/>
      <c r="QPG221" s="1"/>
      <c r="QPH221" s="1"/>
      <c r="QPI221" s="1"/>
      <c r="QPJ221" s="1"/>
      <c r="QPK221" s="1"/>
      <c r="QPL221" s="1"/>
      <c r="QPM221" s="1"/>
      <c r="QPN221" s="1"/>
      <c r="QPO221" s="1"/>
      <c r="QPP221" s="1"/>
      <c r="QPQ221" s="1"/>
      <c r="QPR221" s="1"/>
      <c r="QPS221" s="1"/>
      <c r="QPT221" s="1"/>
      <c r="QPU221" s="1"/>
      <c r="QPV221" s="1"/>
      <c r="QPW221" s="1"/>
      <c r="QPX221" s="1"/>
      <c r="QPY221" s="1"/>
      <c r="QPZ221" s="1"/>
      <c r="QQA221" s="1"/>
      <c r="QQB221" s="1"/>
      <c r="QQC221" s="1"/>
      <c r="QQD221" s="1"/>
      <c r="QQE221" s="1"/>
      <c r="QQF221" s="1"/>
      <c r="QQG221" s="1"/>
      <c r="QQH221" s="1"/>
      <c r="QQI221" s="1"/>
      <c r="QQJ221" s="1"/>
      <c r="QQK221" s="1"/>
      <c r="QQL221" s="1"/>
      <c r="QQM221" s="1"/>
      <c r="QQN221" s="1"/>
      <c r="QQO221" s="1"/>
      <c r="QQP221" s="1"/>
      <c r="QQQ221" s="1"/>
      <c r="QQR221" s="1"/>
      <c r="QQS221" s="1"/>
      <c r="QQT221" s="1"/>
      <c r="QQU221" s="1"/>
      <c r="QQV221" s="1"/>
      <c r="QQW221" s="1"/>
      <c r="QQX221" s="1"/>
      <c r="QQY221" s="1"/>
      <c r="QQZ221" s="1"/>
      <c r="QRA221" s="1"/>
      <c r="QRB221" s="1"/>
      <c r="QRC221" s="1"/>
      <c r="QRD221" s="1"/>
      <c r="QRE221" s="1"/>
      <c r="QRF221" s="1"/>
      <c r="QRG221" s="1"/>
      <c r="QRH221" s="1"/>
      <c r="QRI221" s="1"/>
      <c r="QRJ221" s="1"/>
      <c r="QRK221" s="1"/>
      <c r="QRL221" s="1"/>
      <c r="QRM221" s="1"/>
      <c r="QRN221" s="1"/>
      <c r="QRO221" s="1"/>
      <c r="QRP221" s="1"/>
      <c r="QRQ221" s="1"/>
      <c r="QRR221" s="1"/>
      <c r="QRS221" s="1"/>
      <c r="QRT221" s="1"/>
      <c r="QRU221" s="1"/>
      <c r="QRV221" s="1"/>
      <c r="QRW221" s="1"/>
      <c r="QRX221" s="1"/>
      <c r="QRY221" s="1"/>
      <c r="QRZ221" s="1"/>
      <c r="QSA221" s="1"/>
      <c r="QSB221" s="1"/>
      <c r="QSC221" s="1"/>
      <c r="QSD221" s="1"/>
      <c r="QSE221" s="1"/>
      <c r="QSF221" s="1"/>
      <c r="QSG221" s="1"/>
      <c r="QSH221" s="1"/>
      <c r="QSI221" s="1"/>
      <c r="QSJ221" s="1"/>
      <c r="QSK221" s="1"/>
      <c r="QSL221" s="1"/>
      <c r="QSM221" s="1"/>
      <c r="QSN221" s="1"/>
      <c r="QSO221" s="1"/>
      <c r="QSP221" s="1"/>
      <c r="QSQ221" s="1"/>
      <c r="QSR221" s="1"/>
      <c r="QSS221" s="1"/>
      <c r="QST221" s="1"/>
      <c r="QSU221" s="1"/>
      <c r="QSV221" s="1"/>
      <c r="QSW221" s="1"/>
      <c r="QSX221" s="1"/>
      <c r="QSY221" s="1"/>
      <c r="QSZ221" s="1"/>
      <c r="QTA221" s="1"/>
      <c r="QTB221" s="1"/>
      <c r="QTC221" s="1"/>
      <c r="QTD221" s="1"/>
      <c r="QTE221" s="1"/>
      <c r="QTF221" s="1"/>
      <c r="QTG221" s="1"/>
      <c r="QTH221" s="1"/>
      <c r="QTI221" s="1"/>
      <c r="QTJ221" s="1"/>
      <c r="QTK221" s="1"/>
      <c r="QTL221" s="1"/>
      <c r="QTM221" s="1"/>
      <c r="QTN221" s="1"/>
      <c r="QTO221" s="1"/>
      <c r="QTP221" s="1"/>
      <c r="QTQ221" s="1"/>
      <c r="QTR221" s="1"/>
      <c r="QTS221" s="1"/>
      <c r="QTT221" s="1"/>
      <c r="QTU221" s="1"/>
      <c r="QTV221" s="1"/>
      <c r="QTW221" s="1"/>
      <c r="QTX221" s="1"/>
      <c r="QTY221" s="1"/>
      <c r="QTZ221" s="1"/>
      <c r="QUA221" s="1"/>
      <c r="QUB221" s="1"/>
      <c r="QUC221" s="1"/>
      <c r="QUD221" s="1"/>
      <c r="QUE221" s="1"/>
      <c r="QUF221" s="1"/>
      <c r="QUG221" s="1"/>
      <c r="QUH221" s="1"/>
      <c r="QUI221" s="1"/>
      <c r="QUJ221" s="1"/>
      <c r="QUK221" s="1"/>
      <c r="QUL221" s="1"/>
      <c r="QUM221" s="1"/>
      <c r="QUN221" s="1"/>
      <c r="QUO221" s="1"/>
      <c r="QUP221" s="1"/>
      <c r="QUQ221" s="1"/>
      <c r="QUR221" s="1"/>
      <c r="QUS221" s="1"/>
      <c r="QUT221" s="1"/>
      <c r="QUU221" s="1"/>
      <c r="QUV221" s="1"/>
      <c r="QUW221" s="1"/>
      <c r="QUX221" s="1"/>
      <c r="QUY221" s="1"/>
      <c r="QUZ221" s="1"/>
      <c r="QVA221" s="1"/>
      <c r="QVB221" s="1"/>
      <c r="QVC221" s="1"/>
      <c r="QVD221" s="1"/>
      <c r="QVE221" s="1"/>
      <c r="QVF221" s="1"/>
      <c r="QVG221" s="1"/>
      <c r="QVH221" s="1"/>
      <c r="QVI221" s="1"/>
      <c r="QVJ221" s="1"/>
      <c r="QVK221" s="1"/>
      <c r="QVL221" s="1"/>
      <c r="QVM221" s="1"/>
      <c r="QVN221" s="1"/>
      <c r="QVO221" s="1"/>
      <c r="QVP221" s="1"/>
      <c r="QVQ221" s="1"/>
      <c r="QVR221" s="1"/>
      <c r="QVS221" s="1"/>
      <c r="QVT221" s="1"/>
      <c r="QVU221" s="1"/>
      <c r="QVV221" s="1"/>
      <c r="QVW221" s="1"/>
      <c r="QVX221" s="1"/>
      <c r="QVY221" s="1"/>
      <c r="QVZ221" s="1"/>
      <c r="QWA221" s="1"/>
      <c r="QWB221" s="1"/>
      <c r="QWC221" s="1"/>
      <c r="QWD221" s="1"/>
      <c r="QWE221" s="1"/>
      <c r="QWF221" s="1"/>
      <c r="QWG221" s="1"/>
      <c r="QWH221" s="1"/>
      <c r="QWI221" s="1"/>
      <c r="QWJ221" s="1"/>
      <c r="QWK221" s="1"/>
      <c r="QWL221" s="1"/>
      <c r="QWM221" s="1"/>
      <c r="QWN221" s="1"/>
      <c r="QWO221" s="1"/>
      <c r="QWP221" s="1"/>
      <c r="QWQ221" s="1"/>
      <c r="QWR221" s="1"/>
      <c r="QWS221" s="1"/>
      <c r="QWT221" s="1"/>
      <c r="QWU221" s="1"/>
      <c r="QWV221" s="1"/>
      <c r="QWW221" s="1"/>
      <c r="QWX221" s="1"/>
      <c r="QWY221" s="1"/>
      <c r="QWZ221" s="1"/>
      <c r="QXA221" s="1"/>
      <c r="QXB221" s="1"/>
      <c r="QXC221" s="1"/>
      <c r="QXD221" s="1"/>
      <c r="QXE221" s="1"/>
      <c r="QXF221" s="1"/>
      <c r="QXG221" s="1"/>
      <c r="QXH221" s="1"/>
      <c r="QXI221" s="1"/>
      <c r="QXJ221" s="1"/>
      <c r="QXK221" s="1"/>
      <c r="QXL221" s="1"/>
      <c r="QXM221" s="1"/>
      <c r="QXN221" s="1"/>
      <c r="QXO221" s="1"/>
      <c r="QXP221" s="1"/>
      <c r="QXQ221" s="1"/>
      <c r="QXR221" s="1"/>
      <c r="QXS221" s="1"/>
      <c r="QXT221" s="1"/>
      <c r="QXU221" s="1"/>
      <c r="QXV221" s="1"/>
      <c r="QXW221" s="1"/>
      <c r="QXX221" s="1"/>
      <c r="QXY221" s="1"/>
      <c r="QXZ221" s="1"/>
      <c r="QYA221" s="1"/>
      <c r="QYB221" s="1"/>
      <c r="QYC221" s="1"/>
      <c r="QYD221" s="1"/>
      <c r="QYE221" s="1"/>
      <c r="QYF221" s="1"/>
      <c r="QYG221" s="1"/>
      <c r="QYH221" s="1"/>
      <c r="QYI221" s="1"/>
      <c r="QYJ221" s="1"/>
      <c r="QYK221" s="1"/>
      <c r="QYL221" s="1"/>
      <c r="QYM221" s="1"/>
      <c r="QYN221" s="1"/>
      <c r="QYO221" s="1"/>
      <c r="QYP221" s="1"/>
      <c r="QYQ221" s="1"/>
      <c r="QYR221" s="1"/>
      <c r="QYS221" s="1"/>
      <c r="QYT221" s="1"/>
      <c r="QYU221" s="1"/>
      <c r="QYV221" s="1"/>
      <c r="QYW221" s="1"/>
      <c r="QYX221" s="1"/>
      <c r="QYY221" s="1"/>
      <c r="QYZ221" s="1"/>
      <c r="QZA221" s="1"/>
      <c r="QZB221" s="1"/>
      <c r="QZC221" s="1"/>
      <c r="QZD221" s="1"/>
      <c r="QZE221" s="1"/>
      <c r="QZF221" s="1"/>
      <c r="QZG221" s="1"/>
      <c r="QZH221" s="1"/>
      <c r="QZI221" s="1"/>
      <c r="QZJ221" s="1"/>
      <c r="QZK221" s="1"/>
      <c r="QZL221" s="1"/>
      <c r="QZM221" s="1"/>
      <c r="QZN221" s="1"/>
      <c r="QZO221" s="1"/>
      <c r="QZP221" s="1"/>
      <c r="QZQ221" s="1"/>
      <c r="QZR221" s="1"/>
      <c r="QZS221" s="1"/>
      <c r="QZT221" s="1"/>
      <c r="QZU221" s="1"/>
      <c r="QZV221" s="1"/>
      <c r="QZW221" s="1"/>
      <c r="QZX221" s="1"/>
      <c r="QZY221" s="1"/>
      <c r="QZZ221" s="1"/>
      <c r="RAA221" s="1"/>
      <c r="RAB221" s="1"/>
      <c r="RAC221" s="1"/>
      <c r="RAD221" s="1"/>
      <c r="RAE221" s="1"/>
      <c r="RAF221" s="1"/>
      <c r="RAG221" s="1"/>
      <c r="RAH221" s="1"/>
      <c r="RAI221" s="1"/>
      <c r="RAJ221" s="1"/>
      <c r="RAK221" s="1"/>
      <c r="RAL221" s="1"/>
      <c r="RAM221" s="1"/>
      <c r="RAN221" s="1"/>
      <c r="RAO221" s="1"/>
      <c r="RAP221" s="1"/>
      <c r="RAQ221" s="1"/>
      <c r="RAR221" s="1"/>
      <c r="RAS221" s="1"/>
      <c r="RAT221" s="1"/>
      <c r="RAU221" s="1"/>
      <c r="RAV221" s="1"/>
      <c r="RAW221" s="1"/>
      <c r="RAX221" s="1"/>
      <c r="RAY221" s="1"/>
      <c r="RAZ221" s="1"/>
      <c r="RBA221" s="1"/>
      <c r="RBB221" s="1"/>
      <c r="RBC221" s="1"/>
      <c r="RBD221" s="1"/>
      <c r="RBE221" s="1"/>
      <c r="RBF221" s="1"/>
      <c r="RBG221" s="1"/>
      <c r="RBH221" s="1"/>
      <c r="RBI221" s="1"/>
      <c r="RBJ221" s="1"/>
      <c r="RBK221" s="1"/>
      <c r="RBL221" s="1"/>
      <c r="RBM221" s="1"/>
      <c r="RBN221" s="1"/>
      <c r="RBO221" s="1"/>
      <c r="RBP221" s="1"/>
      <c r="RBQ221" s="1"/>
      <c r="RBR221" s="1"/>
      <c r="RBS221" s="1"/>
      <c r="RBT221" s="1"/>
      <c r="RBU221" s="1"/>
      <c r="RBV221" s="1"/>
      <c r="RBW221" s="1"/>
      <c r="RBX221" s="1"/>
      <c r="RBY221" s="1"/>
      <c r="RBZ221" s="1"/>
      <c r="RCA221" s="1"/>
      <c r="RCB221" s="1"/>
      <c r="RCC221" s="1"/>
      <c r="RCD221" s="1"/>
      <c r="RCE221" s="1"/>
      <c r="RCF221" s="1"/>
      <c r="RCG221" s="1"/>
      <c r="RCH221" s="1"/>
      <c r="RCI221" s="1"/>
      <c r="RCJ221" s="1"/>
      <c r="RCK221" s="1"/>
      <c r="RCL221" s="1"/>
      <c r="RCM221" s="1"/>
      <c r="RCN221" s="1"/>
      <c r="RCO221" s="1"/>
      <c r="RCP221" s="1"/>
      <c r="RCQ221" s="1"/>
      <c r="RCR221" s="1"/>
      <c r="RCS221" s="1"/>
      <c r="RCT221" s="1"/>
      <c r="RCU221" s="1"/>
      <c r="RCV221" s="1"/>
      <c r="RCW221" s="1"/>
      <c r="RCX221" s="1"/>
      <c r="RCY221" s="1"/>
      <c r="RCZ221" s="1"/>
      <c r="RDA221" s="1"/>
      <c r="RDB221" s="1"/>
      <c r="RDC221" s="1"/>
      <c r="RDD221" s="1"/>
      <c r="RDE221" s="1"/>
      <c r="RDF221" s="1"/>
      <c r="RDG221" s="1"/>
      <c r="RDH221" s="1"/>
      <c r="RDI221" s="1"/>
      <c r="RDJ221" s="1"/>
      <c r="RDK221" s="1"/>
      <c r="RDL221" s="1"/>
      <c r="RDM221" s="1"/>
      <c r="RDN221" s="1"/>
      <c r="RDO221" s="1"/>
      <c r="RDP221" s="1"/>
      <c r="RDQ221" s="1"/>
      <c r="RDR221" s="1"/>
      <c r="RDS221" s="1"/>
      <c r="RDT221" s="1"/>
      <c r="RDU221" s="1"/>
      <c r="RDV221" s="1"/>
      <c r="RDW221" s="1"/>
      <c r="RDX221" s="1"/>
      <c r="RDY221" s="1"/>
      <c r="RDZ221" s="1"/>
      <c r="REA221" s="1"/>
      <c r="REB221" s="1"/>
      <c r="REC221" s="1"/>
      <c r="RED221" s="1"/>
      <c r="REE221" s="1"/>
      <c r="REF221" s="1"/>
      <c r="REG221" s="1"/>
      <c r="REH221" s="1"/>
      <c r="REI221" s="1"/>
      <c r="REJ221" s="1"/>
      <c r="REK221" s="1"/>
      <c r="REL221" s="1"/>
      <c r="REM221" s="1"/>
      <c r="REN221" s="1"/>
      <c r="REO221" s="1"/>
      <c r="REP221" s="1"/>
      <c r="REQ221" s="1"/>
      <c r="RER221" s="1"/>
      <c r="RES221" s="1"/>
      <c r="RET221" s="1"/>
      <c r="REU221" s="1"/>
      <c r="REV221" s="1"/>
      <c r="REW221" s="1"/>
      <c r="REX221" s="1"/>
      <c r="REY221" s="1"/>
      <c r="REZ221" s="1"/>
      <c r="RFA221" s="1"/>
      <c r="RFB221" s="1"/>
      <c r="RFC221" s="1"/>
      <c r="RFD221" s="1"/>
      <c r="RFE221" s="1"/>
      <c r="RFF221" s="1"/>
      <c r="RFG221" s="1"/>
      <c r="RFH221" s="1"/>
      <c r="RFI221" s="1"/>
      <c r="RFJ221" s="1"/>
      <c r="RFK221" s="1"/>
      <c r="RFL221" s="1"/>
      <c r="RFM221" s="1"/>
      <c r="RFN221" s="1"/>
      <c r="RFO221" s="1"/>
      <c r="RFP221" s="1"/>
      <c r="RFQ221" s="1"/>
      <c r="RFR221" s="1"/>
      <c r="RFS221" s="1"/>
      <c r="RFT221" s="1"/>
      <c r="RFU221" s="1"/>
      <c r="RFV221" s="1"/>
      <c r="RFW221" s="1"/>
      <c r="RFX221" s="1"/>
      <c r="RFY221" s="1"/>
      <c r="RFZ221" s="1"/>
      <c r="RGA221" s="1"/>
      <c r="RGB221" s="1"/>
      <c r="RGC221" s="1"/>
      <c r="RGD221" s="1"/>
      <c r="RGE221" s="1"/>
      <c r="RGF221" s="1"/>
      <c r="RGG221" s="1"/>
      <c r="RGH221" s="1"/>
      <c r="RGI221" s="1"/>
      <c r="RGJ221" s="1"/>
      <c r="RGK221" s="1"/>
      <c r="RGL221" s="1"/>
      <c r="RGM221" s="1"/>
      <c r="RGN221" s="1"/>
      <c r="RGO221" s="1"/>
      <c r="RGP221" s="1"/>
      <c r="RGQ221" s="1"/>
      <c r="RGR221" s="1"/>
      <c r="RGS221" s="1"/>
      <c r="RGT221" s="1"/>
      <c r="RGU221" s="1"/>
      <c r="RGV221" s="1"/>
      <c r="RGW221" s="1"/>
      <c r="RGX221" s="1"/>
      <c r="RGY221" s="1"/>
      <c r="RGZ221" s="1"/>
      <c r="RHA221" s="1"/>
      <c r="RHB221" s="1"/>
      <c r="RHC221" s="1"/>
      <c r="RHD221" s="1"/>
      <c r="RHE221" s="1"/>
      <c r="RHF221" s="1"/>
      <c r="RHG221" s="1"/>
      <c r="RHH221" s="1"/>
      <c r="RHI221" s="1"/>
      <c r="RHJ221" s="1"/>
      <c r="RHK221" s="1"/>
      <c r="RHL221" s="1"/>
      <c r="RHM221" s="1"/>
      <c r="RHN221" s="1"/>
      <c r="RHO221" s="1"/>
      <c r="RHP221" s="1"/>
      <c r="RHQ221" s="1"/>
      <c r="RHR221" s="1"/>
      <c r="RHS221" s="1"/>
      <c r="RHT221" s="1"/>
      <c r="RHU221" s="1"/>
      <c r="RHV221" s="1"/>
      <c r="RHW221" s="1"/>
      <c r="RHX221" s="1"/>
      <c r="RHY221" s="1"/>
      <c r="RHZ221" s="1"/>
      <c r="RIA221" s="1"/>
      <c r="RIB221" s="1"/>
      <c r="RIC221" s="1"/>
      <c r="RID221" s="1"/>
      <c r="RIE221" s="1"/>
      <c r="RIF221" s="1"/>
      <c r="RIG221" s="1"/>
      <c r="RIH221" s="1"/>
      <c r="RII221" s="1"/>
      <c r="RIJ221" s="1"/>
      <c r="RIK221" s="1"/>
      <c r="RIL221" s="1"/>
      <c r="RIM221" s="1"/>
      <c r="RIN221" s="1"/>
      <c r="RIO221" s="1"/>
      <c r="RIP221" s="1"/>
      <c r="RIQ221" s="1"/>
      <c r="RIR221" s="1"/>
      <c r="RIS221" s="1"/>
      <c r="RIT221" s="1"/>
      <c r="RIU221" s="1"/>
      <c r="RIV221" s="1"/>
      <c r="RIW221" s="1"/>
      <c r="RIX221" s="1"/>
      <c r="RIY221" s="1"/>
      <c r="RIZ221" s="1"/>
      <c r="RJA221" s="1"/>
      <c r="RJB221" s="1"/>
      <c r="RJC221" s="1"/>
      <c r="RJD221" s="1"/>
      <c r="RJE221" s="1"/>
      <c r="RJF221" s="1"/>
      <c r="RJG221" s="1"/>
      <c r="RJH221" s="1"/>
      <c r="RJI221" s="1"/>
      <c r="RJJ221" s="1"/>
      <c r="RJK221" s="1"/>
      <c r="RJL221" s="1"/>
      <c r="RJM221" s="1"/>
      <c r="RJN221" s="1"/>
      <c r="RJO221" s="1"/>
      <c r="RJP221" s="1"/>
      <c r="RJQ221" s="1"/>
      <c r="RJR221" s="1"/>
      <c r="RJS221" s="1"/>
      <c r="RJT221" s="1"/>
      <c r="RJU221" s="1"/>
      <c r="RJV221" s="1"/>
      <c r="RJW221" s="1"/>
      <c r="RJX221" s="1"/>
      <c r="RJY221" s="1"/>
      <c r="RJZ221" s="1"/>
      <c r="RKA221" s="1"/>
      <c r="RKB221" s="1"/>
      <c r="RKC221" s="1"/>
      <c r="RKD221" s="1"/>
      <c r="RKE221" s="1"/>
      <c r="RKF221" s="1"/>
      <c r="RKG221" s="1"/>
      <c r="RKH221" s="1"/>
      <c r="RKI221" s="1"/>
      <c r="RKJ221" s="1"/>
      <c r="RKK221" s="1"/>
      <c r="RKL221" s="1"/>
      <c r="RKM221" s="1"/>
      <c r="RKN221" s="1"/>
      <c r="RKO221" s="1"/>
      <c r="RKP221" s="1"/>
      <c r="RKQ221" s="1"/>
      <c r="RKR221" s="1"/>
      <c r="RKS221" s="1"/>
      <c r="RKT221" s="1"/>
      <c r="RKU221" s="1"/>
      <c r="RKV221" s="1"/>
      <c r="RKW221" s="1"/>
      <c r="RKX221" s="1"/>
      <c r="RKY221" s="1"/>
      <c r="RKZ221" s="1"/>
      <c r="RLA221" s="1"/>
      <c r="RLB221" s="1"/>
      <c r="RLC221" s="1"/>
      <c r="RLD221" s="1"/>
      <c r="RLE221" s="1"/>
      <c r="RLF221" s="1"/>
      <c r="RLG221" s="1"/>
      <c r="RLH221" s="1"/>
      <c r="RLI221" s="1"/>
      <c r="RLJ221" s="1"/>
      <c r="RLK221" s="1"/>
      <c r="RLL221" s="1"/>
      <c r="RLM221" s="1"/>
      <c r="RLN221" s="1"/>
      <c r="RLO221" s="1"/>
      <c r="RLP221" s="1"/>
      <c r="RLQ221" s="1"/>
      <c r="RLR221" s="1"/>
      <c r="RLS221" s="1"/>
      <c r="RLT221" s="1"/>
      <c r="RLU221" s="1"/>
      <c r="RLV221" s="1"/>
      <c r="RLW221" s="1"/>
      <c r="RLX221" s="1"/>
      <c r="RLY221" s="1"/>
      <c r="RLZ221" s="1"/>
      <c r="RMA221" s="1"/>
      <c r="RMB221" s="1"/>
      <c r="RMC221" s="1"/>
      <c r="RMD221" s="1"/>
      <c r="RME221" s="1"/>
      <c r="RMF221" s="1"/>
      <c r="RMG221" s="1"/>
      <c r="RMH221" s="1"/>
      <c r="RMI221" s="1"/>
      <c r="RMJ221" s="1"/>
      <c r="RMK221" s="1"/>
      <c r="RML221" s="1"/>
      <c r="RMM221" s="1"/>
      <c r="RMN221" s="1"/>
      <c r="RMO221" s="1"/>
      <c r="RMP221" s="1"/>
      <c r="RMQ221" s="1"/>
      <c r="RMR221" s="1"/>
      <c r="RMS221" s="1"/>
      <c r="RMT221" s="1"/>
      <c r="RMU221" s="1"/>
      <c r="RMV221" s="1"/>
      <c r="RMW221" s="1"/>
      <c r="RMX221" s="1"/>
      <c r="RMY221" s="1"/>
      <c r="RMZ221" s="1"/>
      <c r="RNA221" s="1"/>
      <c r="RNB221" s="1"/>
      <c r="RNC221" s="1"/>
      <c r="RND221" s="1"/>
      <c r="RNE221" s="1"/>
      <c r="RNF221" s="1"/>
      <c r="RNG221" s="1"/>
      <c r="RNH221" s="1"/>
      <c r="RNI221" s="1"/>
      <c r="RNJ221" s="1"/>
      <c r="RNK221" s="1"/>
      <c r="RNL221" s="1"/>
      <c r="RNM221" s="1"/>
      <c r="RNN221" s="1"/>
      <c r="RNO221" s="1"/>
      <c r="RNP221" s="1"/>
      <c r="RNQ221" s="1"/>
      <c r="RNR221" s="1"/>
      <c r="RNS221" s="1"/>
      <c r="RNT221" s="1"/>
      <c r="RNU221" s="1"/>
      <c r="RNV221" s="1"/>
      <c r="RNW221" s="1"/>
      <c r="RNX221" s="1"/>
      <c r="RNY221" s="1"/>
      <c r="RNZ221" s="1"/>
      <c r="ROA221" s="1"/>
      <c r="ROB221" s="1"/>
      <c r="ROC221" s="1"/>
      <c r="ROD221" s="1"/>
      <c r="ROE221" s="1"/>
      <c r="ROF221" s="1"/>
      <c r="ROG221" s="1"/>
      <c r="ROH221" s="1"/>
      <c r="ROI221" s="1"/>
      <c r="ROJ221" s="1"/>
      <c r="ROK221" s="1"/>
      <c r="ROL221" s="1"/>
      <c r="ROM221" s="1"/>
      <c r="RON221" s="1"/>
      <c r="ROO221" s="1"/>
      <c r="ROP221" s="1"/>
      <c r="ROQ221" s="1"/>
      <c r="ROR221" s="1"/>
      <c r="ROS221" s="1"/>
      <c r="ROT221" s="1"/>
      <c r="ROU221" s="1"/>
      <c r="ROV221" s="1"/>
      <c r="ROW221" s="1"/>
      <c r="ROX221" s="1"/>
      <c r="ROY221" s="1"/>
      <c r="ROZ221" s="1"/>
      <c r="RPA221" s="1"/>
      <c r="RPB221" s="1"/>
      <c r="RPC221" s="1"/>
      <c r="RPD221" s="1"/>
      <c r="RPE221" s="1"/>
      <c r="RPF221" s="1"/>
      <c r="RPG221" s="1"/>
      <c r="RPH221" s="1"/>
      <c r="RPI221" s="1"/>
      <c r="RPJ221" s="1"/>
      <c r="RPK221" s="1"/>
      <c r="RPL221" s="1"/>
      <c r="RPM221" s="1"/>
      <c r="RPN221" s="1"/>
      <c r="RPO221" s="1"/>
      <c r="RPP221" s="1"/>
      <c r="RPQ221" s="1"/>
      <c r="RPR221" s="1"/>
      <c r="RPS221" s="1"/>
      <c r="RPT221" s="1"/>
      <c r="RPU221" s="1"/>
      <c r="RPV221" s="1"/>
      <c r="RPW221" s="1"/>
      <c r="RPX221" s="1"/>
      <c r="RPY221" s="1"/>
      <c r="RPZ221" s="1"/>
      <c r="RQA221" s="1"/>
      <c r="RQB221" s="1"/>
      <c r="RQC221" s="1"/>
      <c r="RQD221" s="1"/>
      <c r="RQE221" s="1"/>
      <c r="RQF221" s="1"/>
      <c r="RQG221" s="1"/>
      <c r="RQH221" s="1"/>
      <c r="RQI221" s="1"/>
      <c r="RQJ221" s="1"/>
      <c r="RQK221" s="1"/>
      <c r="RQL221" s="1"/>
      <c r="RQM221" s="1"/>
      <c r="RQN221" s="1"/>
      <c r="RQO221" s="1"/>
      <c r="RQP221" s="1"/>
      <c r="RQQ221" s="1"/>
      <c r="RQR221" s="1"/>
      <c r="RQS221" s="1"/>
      <c r="RQT221" s="1"/>
      <c r="RQU221" s="1"/>
      <c r="RQV221" s="1"/>
      <c r="RQW221" s="1"/>
      <c r="RQX221" s="1"/>
      <c r="RQY221" s="1"/>
      <c r="RQZ221" s="1"/>
      <c r="RRA221" s="1"/>
      <c r="RRB221" s="1"/>
      <c r="RRC221" s="1"/>
      <c r="RRD221" s="1"/>
      <c r="RRE221" s="1"/>
      <c r="RRF221" s="1"/>
      <c r="RRG221" s="1"/>
      <c r="RRH221" s="1"/>
      <c r="RRI221" s="1"/>
      <c r="RRJ221" s="1"/>
      <c r="RRK221" s="1"/>
      <c r="RRL221" s="1"/>
      <c r="RRM221" s="1"/>
      <c r="RRN221" s="1"/>
      <c r="RRO221" s="1"/>
      <c r="RRP221" s="1"/>
      <c r="RRQ221" s="1"/>
      <c r="RRR221" s="1"/>
      <c r="RRS221" s="1"/>
      <c r="RRT221" s="1"/>
      <c r="RRU221" s="1"/>
      <c r="RRV221" s="1"/>
      <c r="RRW221" s="1"/>
      <c r="RRX221" s="1"/>
      <c r="RRY221" s="1"/>
      <c r="RRZ221" s="1"/>
      <c r="RSA221" s="1"/>
      <c r="RSB221" s="1"/>
      <c r="RSC221" s="1"/>
      <c r="RSD221" s="1"/>
      <c r="RSE221" s="1"/>
      <c r="RSF221" s="1"/>
      <c r="RSG221" s="1"/>
      <c r="RSH221" s="1"/>
      <c r="RSI221" s="1"/>
      <c r="RSJ221" s="1"/>
      <c r="RSK221" s="1"/>
      <c r="RSL221" s="1"/>
      <c r="RSM221" s="1"/>
      <c r="RSN221" s="1"/>
      <c r="RSO221" s="1"/>
      <c r="RSP221" s="1"/>
      <c r="RSQ221" s="1"/>
      <c r="RSR221" s="1"/>
      <c r="RSS221" s="1"/>
      <c r="RST221" s="1"/>
      <c r="RSU221" s="1"/>
      <c r="RSV221" s="1"/>
      <c r="RSW221" s="1"/>
      <c r="RSX221" s="1"/>
      <c r="RSY221" s="1"/>
      <c r="RSZ221" s="1"/>
      <c r="RTA221" s="1"/>
      <c r="RTB221" s="1"/>
      <c r="RTC221" s="1"/>
      <c r="RTD221" s="1"/>
      <c r="RTE221" s="1"/>
      <c r="RTF221" s="1"/>
      <c r="RTG221" s="1"/>
      <c r="RTH221" s="1"/>
      <c r="RTI221" s="1"/>
      <c r="RTJ221" s="1"/>
      <c r="RTK221" s="1"/>
      <c r="RTL221" s="1"/>
      <c r="RTM221" s="1"/>
      <c r="RTN221" s="1"/>
      <c r="RTO221" s="1"/>
      <c r="RTP221" s="1"/>
      <c r="RTQ221" s="1"/>
      <c r="RTR221" s="1"/>
      <c r="RTS221" s="1"/>
      <c r="RTT221" s="1"/>
      <c r="RTU221" s="1"/>
      <c r="RTV221" s="1"/>
      <c r="RTW221" s="1"/>
      <c r="RTX221" s="1"/>
      <c r="RTY221" s="1"/>
      <c r="RTZ221" s="1"/>
      <c r="RUA221" s="1"/>
      <c r="RUB221" s="1"/>
      <c r="RUC221" s="1"/>
      <c r="RUD221" s="1"/>
      <c r="RUE221" s="1"/>
      <c r="RUF221" s="1"/>
      <c r="RUG221" s="1"/>
      <c r="RUH221" s="1"/>
      <c r="RUI221" s="1"/>
      <c r="RUJ221" s="1"/>
      <c r="RUK221" s="1"/>
      <c r="RUL221" s="1"/>
      <c r="RUM221" s="1"/>
      <c r="RUN221" s="1"/>
      <c r="RUO221" s="1"/>
      <c r="RUP221" s="1"/>
      <c r="RUQ221" s="1"/>
      <c r="RUR221" s="1"/>
      <c r="RUS221" s="1"/>
      <c r="RUT221" s="1"/>
      <c r="RUU221" s="1"/>
      <c r="RUV221" s="1"/>
      <c r="RUW221" s="1"/>
      <c r="RUX221" s="1"/>
      <c r="RUY221" s="1"/>
      <c r="RUZ221" s="1"/>
      <c r="RVA221" s="1"/>
      <c r="RVB221" s="1"/>
      <c r="RVC221" s="1"/>
      <c r="RVD221" s="1"/>
      <c r="RVE221" s="1"/>
      <c r="RVF221" s="1"/>
      <c r="RVG221" s="1"/>
      <c r="RVH221" s="1"/>
      <c r="RVI221" s="1"/>
      <c r="RVJ221" s="1"/>
      <c r="RVK221" s="1"/>
      <c r="RVL221" s="1"/>
      <c r="RVM221" s="1"/>
      <c r="RVN221" s="1"/>
      <c r="RVO221" s="1"/>
      <c r="RVP221" s="1"/>
      <c r="RVQ221" s="1"/>
      <c r="RVR221" s="1"/>
      <c r="RVS221" s="1"/>
      <c r="RVT221" s="1"/>
      <c r="RVU221" s="1"/>
      <c r="RVV221" s="1"/>
      <c r="RVW221" s="1"/>
      <c r="RVX221" s="1"/>
      <c r="RVY221" s="1"/>
      <c r="RVZ221" s="1"/>
      <c r="RWA221" s="1"/>
      <c r="RWB221" s="1"/>
      <c r="RWC221" s="1"/>
      <c r="RWD221" s="1"/>
      <c r="RWE221" s="1"/>
      <c r="RWF221" s="1"/>
      <c r="RWG221" s="1"/>
      <c r="RWH221" s="1"/>
      <c r="RWI221" s="1"/>
      <c r="RWJ221" s="1"/>
      <c r="RWK221" s="1"/>
      <c r="RWL221" s="1"/>
      <c r="RWM221" s="1"/>
      <c r="RWN221" s="1"/>
      <c r="RWO221" s="1"/>
      <c r="RWP221" s="1"/>
      <c r="RWQ221" s="1"/>
      <c r="RWR221" s="1"/>
      <c r="RWS221" s="1"/>
      <c r="RWT221" s="1"/>
      <c r="RWU221" s="1"/>
      <c r="RWV221" s="1"/>
      <c r="RWW221" s="1"/>
      <c r="RWX221" s="1"/>
      <c r="RWY221" s="1"/>
      <c r="RWZ221" s="1"/>
      <c r="RXA221" s="1"/>
      <c r="RXB221" s="1"/>
      <c r="RXC221" s="1"/>
      <c r="RXD221" s="1"/>
      <c r="RXE221" s="1"/>
      <c r="RXF221" s="1"/>
      <c r="RXG221" s="1"/>
      <c r="RXH221" s="1"/>
      <c r="RXI221" s="1"/>
      <c r="RXJ221" s="1"/>
      <c r="RXK221" s="1"/>
      <c r="RXL221" s="1"/>
      <c r="RXM221" s="1"/>
      <c r="RXN221" s="1"/>
      <c r="RXO221" s="1"/>
      <c r="RXP221" s="1"/>
      <c r="RXQ221" s="1"/>
      <c r="RXR221" s="1"/>
      <c r="RXS221" s="1"/>
      <c r="RXT221" s="1"/>
      <c r="RXU221" s="1"/>
      <c r="RXV221" s="1"/>
      <c r="RXW221" s="1"/>
      <c r="RXX221" s="1"/>
      <c r="RXY221" s="1"/>
      <c r="RXZ221" s="1"/>
      <c r="RYA221" s="1"/>
      <c r="RYB221" s="1"/>
      <c r="RYC221" s="1"/>
      <c r="RYD221" s="1"/>
      <c r="RYE221" s="1"/>
      <c r="RYF221" s="1"/>
      <c r="RYG221" s="1"/>
      <c r="RYH221" s="1"/>
      <c r="RYI221" s="1"/>
      <c r="RYJ221" s="1"/>
      <c r="RYK221" s="1"/>
      <c r="RYL221" s="1"/>
      <c r="RYM221" s="1"/>
      <c r="RYN221" s="1"/>
      <c r="RYO221" s="1"/>
      <c r="RYP221" s="1"/>
      <c r="RYQ221" s="1"/>
      <c r="RYR221" s="1"/>
      <c r="RYS221" s="1"/>
      <c r="RYT221" s="1"/>
      <c r="RYU221" s="1"/>
      <c r="RYV221" s="1"/>
      <c r="RYW221" s="1"/>
      <c r="RYX221" s="1"/>
      <c r="RYY221" s="1"/>
      <c r="RYZ221" s="1"/>
      <c r="RZA221" s="1"/>
      <c r="RZB221" s="1"/>
      <c r="RZC221" s="1"/>
      <c r="RZD221" s="1"/>
      <c r="RZE221" s="1"/>
      <c r="RZF221" s="1"/>
      <c r="RZG221" s="1"/>
      <c r="RZH221" s="1"/>
      <c r="RZI221" s="1"/>
      <c r="RZJ221" s="1"/>
      <c r="RZK221" s="1"/>
      <c r="RZL221" s="1"/>
      <c r="RZM221" s="1"/>
      <c r="RZN221" s="1"/>
      <c r="RZO221" s="1"/>
      <c r="RZP221" s="1"/>
      <c r="RZQ221" s="1"/>
      <c r="RZR221" s="1"/>
      <c r="RZS221" s="1"/>
      <c r="RZT221" s="1"/>
      <c r="RZU221" s="1"/>
      <c r="RZV221" s="1"/>
      <c r="RZW221" s="1"/>
      <c r="RZX221" s="1"/>
      <c r="RZY221" s="1"/>
      <c r="RZZ221" s="1"/>
      <c r="SAA221" s="1"/>
      <c r="SAB221" s="1"/>
      <c r="SAC221" s="1"/>
      <c r="SAD221" s="1"/>
      <c r="SAE221" s="1"/>
      <c r="SAF221" s="1"/>
      <c r="SAG221" s="1"/>
      <c r="SAH221" s="1"/>
      <c r="SAI221" s="1"/>
      <c r="SAJ221" s="1"/>
      <c r="SAK221" s="1"/>
      <c r="SAL221" s="1"/>
      <c r="SAM221" s="1"/>
      <c r="SAN221" s="1"/>
      <c r="SAO221" s="1"/>
      <c r="SAP221" s="1"/>
      <c r="SAQ221" s="1"/>
      <c r="SAR221" s="1"/>
      <c r="SAS221" s="1"/>
      <c r="SAT221" s="1"/>
      <c r="SAU221" s="1"/>
      <c r="SAV221" s="1"/>
      <c r="SAW221" s="1"/>
      <c r="SAX221" s="1"/>
      <c r="SAY221" s="1"/>
      <c r="SAZ221" s="1"/>
      <c r="SBA221" s="1"/>
      <c r="SBB221" s="1"/>
      <c r="SBC221" s="1"/>
      <c r="SBD221" s="1"/>
      <c r="SBE221" s="1"/>
      <c r="SBF221" s="1"/>
      <c r="SBG221" s="1"/>
      <c r="SBH221" s="1"/>
      <c r="SBI221" s="1"/>
      <c r="SBJ221" s="1"/>
      <c r="SBK221" s="1"/>
      <c r="SBL221" s="1"/>
      <c r="SBM221" s="1"/>
      <c r="SBN221" s="1"/>
      <c r="SBO221" s="1"/>
      <c r="SBP221" s="1"/>
      <c r="SBQ221" s="1"/>
      <c r="SBR221" s="1"/>
      <c r="SBS221" s="1"/>
      <c r="SBT221" s="1"/>
      <c r="SBU221" s="1"/>
      <c r="SBV221" s="1"/>
      <c r="SBW221" s="1"/>
      <c r="SBX221" s="1"/>
      <c r="SBY221" s="1"/>
      <c r="SBZ221" s="1"/>
      <c r="SCA221" s="1"/>
      <c r="SCB221" s="1"/>
      <c r="SCC221" s="1"/>
      <c r="SCD221" s="1"/>
      <c r="SCE221" s="1"/>
      <c r="SCF221" s="1"/>
      <c r="SCG221" s="1"/>
      <c r="SCH221" s="1"/>
      <c r="SCI221" s="1"/>
      <c r="SCJ221" s="1"/>
      <c r="SCK221" s="1"/>
      <c r="SCL221" s="1"/>
      <c r="SCM221" s="1"/>
      <c r="SCN221" s="1"/>
      <c r="SCO221" s="1"/>
      <c r="SCP221" s="1"/>
      <c r="SCQ221" s="1"/>
      <c r="SCR221" s="1"/>
      <c r="SCS221" s="1"/>
      <c r="SCT221" s="1"/>
      <c r="SCU221" s="1"/>
      <c r="SCV221" s="1"/>
      <c r="SCW221" s="1"/>
      <c r="SCX221" s="1"/>
      <c r="SCY221" s="1"/>
      <c r="SCZ221" s="1"/>
      <c r="SDA221" s="1"/>
      <c r="SDB221" s="1"/>
      <c r="SDC221" s="1"/>
      <c r="SDD221" s="1"/>
      <c r="SDE221" s="1"/>
      <c r="SDF221" s="1"/>
      <c r="SDG221" s="1"/>
      <c r="SDH221" s="1"/>
      <c r="SDI221" s="1"/>
      <c r="SDJ221" s="1"/>
      <c r="SDK221" s="1"/>
      <c r="SDL221" s="1"/>
      <c r="SDM221" s="1"/>
      <c r="SDN221" s="1"/>
      <c r="SDO221" s="1"/>
      <c r="SDP221" s="1"/>
      <c r="SDQ221" s="1"/>
      <c r="SDR221" s="1"/>
      <c r="SDS221" s="1"/>
      <c r="SDT221" s="1"/>
      <c r="SDU221" s="1"/>
      <c r="SDV221" s="1"/>
      <c r="SDW221" s="1"/>
      <c r="SDX221" s="1"/>
      <c r="SDY221" s="1"/>
      <c r="SDZ221" s="1"/>
      <c r="SEA221" s="1"/>
      <c r="SEB221" s="1"/>
      <c r="SEC221" s="1"/>
      <c r="SED221" s="1"/>
      <c r="SEE221" s="1"/>
      <c r="SEF221" s="1"/>
      <c r="SEG221" s="1"/>
      <c r="SEH221" s="1"/>
      <c r="SEI221" s="1"/>
      <c r="SEJ221" s="1"/>
      <c r="SEK221" s="1"/>
      <c r="SEL221" s="1"/>
      <c r="SEM221" s="1"/>
      <c r="SEN221" s="1"/>
      <c r="SEO221" s="1"/>
      <c r="SEP221" s="1"/>
      <c r="SEQ221" s="1"/>
      <c r="SER221" s="1"/>
      <c r="SES221" s="1"/>
      <c r="SET221" s="1"/>
      <c r="SEU221" s="1"/>
      <c r="SEV221" s="1"/>
      <c r="SEW221" s="1"/>
      <c r="SEX221" s="1"/>
      <c r="SEY221" s="1"/>
      <c r="SEZ221" s="1"/>
      <c r="SFA221" s="1"/>
      <c r="SFB221" s="1"/>
      <c r="SFC221" s="1"/>
      <c r="SFD221" s="1"/>
      <c r="SFE221" s="1"/>
      <c r="SFF221" s="1"/>
      <c r="SFG221" s="1"/>
      <c r="SFH221" s="1"/>
      <c r="SFI221" s="1"/>
      <c r="SFJ221" s="1"/>
      <c r="SFK221" s="1"/>
      <c r="SFL221" s="1"/>
      <c r="SFM221" s="1"/>
      <c r="SFN221" s="1"/>
      <c r="SFO221" s="1"/>
      <c r="SFP221" s="1"/>
      <c r="SFQ221" s="1"/>
      <c r="SFR221" s="1"/>
      <c r="SFS221" s="1"/>
      <c r="SFT221" s="1"/>
      <c r="SFU221" s="1"/>
      <c r="SFV221" s="1"/>
      <c r="SFW221" s="1"/>
      <c r="SFX221" s="1"/>
      <c r="SFY221" s="1"/>
      <c r="SFZ221" s="1"/>
      <c r="SGA221" s="1"/>
      <c r="SGB221" s="1"/>
      <c r="SGC221" s="1"/>
      <c r="SGD221" s="1"/>
      <c r="SGE221" s="1"/>
      <c r="SGF221" s="1"/>
      <c r="SGG221" s="1"/>
      <c r="SGH221" s="1"/>
      <c r="SGI221" s="1"/>
      <c r="SGJ221" s="1"/>
      <c r="SGK221" s="1"/>
      <c r="SGL221" s="1"/>
      <c r="SGM221" s="1"/>
      <c r="SGN221" s="1"/>
      <c r="SGO221" s="1"/>
      <c r="SGP221" s="1"/>
      <c r="SGQ221" s="1"/>
      <c r="SGR221" s="1"/>
      <c r="SGS221" s="1"/>
      <c r="SGT221" s="1"/>
      <c r="SGU221" s="1"/>
      <c r="SGV221" s="1"/>
      <c r="SGW221" s="1"/>
      <c r="SGX221" s="1"/>
      <c r="SGY221" s="1"/>
      <c r="SGZ221" s="1"/>
      <c r="SHA221" s="1"/>
      <c r="SHB221" s="1"/>
      <c r="SHC221" s="1"/>
      <c r="SHD221" s="1"/>
      <c r="SHE221" s="1"/>
      <c r="SHF221" s="1"/>
      <c r="SHG221" s="1"/>
      <c r="SHH221" s="1"/>
      <c r="SHI221" s="1"/>
      <c r="SHJ221" s="1"/>
      <c r="SHK221" s="1"/>
      <c r="SHL221" s="1"/>
      <c r="SHM221" s="1"/>
      <c r="SHN221" s="1"/>
      <c r="SHO221" s="1"/>
      <c r="SHP221" s="1"/>
      <c r="SHQ221" s="1"/>
      <c r="SHR221" s="1"/>
      <c r="SHS221" s="1"/>
      <c r="SHT221" s="1"/>
      <c r="SHU221" s="1"/>
      <c r="SHV221" s="1"/>
      <c r="SHW221" s="1"/>
      <c r="SHX221" s="1"/>
      <c r="SHY221" s="1"/>
      <c r="SHZ221" s="1"/>
      <c r="SIA221" s="1"/>
      <c r="SIB221" s="1"/>
      <c r="SIC221" s="1"/>
      <c r="SID221" s="1"/>
      <c r="SIE221" s="1"/>
      <c r="SIF221" s="1"/>
      <c r="SIG221" s="1"/>
      <c r="SIH221" s="1"/>
      <c r="SII221" s="1"/>
      <c r="SIJ221" s="1"/>
      <c r="SIK221" s="1"/>
      <c r="SIL221" s="1"/>
      <c r="SIM221" s="1"/>
      <c r="SIN221" s="1"/>
      <c r="SIO221" s="1"/>
      <c r="SIP221" s="1"/>
      <c r="SIQ221" s="1"/>
      <c r="SIR221" s="1"/>
      <c r="SIS221" s="1"/>
      <c r="SIT221" s="1"/>
      <c r="SIU221" s="1"/>
      <c r="SIV221" s="1"/>
      <c r="SIW221" s="1"/>
      <c r="SIX221" s="1"/>
      <c r="SIY221" s="1"/>
      <c r="SIZ221" s="1"/>
      <c r="SJA221" s="1"/>
      <c r="SJB221" s="1"/>
      <c r="SJC221" s="1"/>
      <c r="SJD221" s="1"/>
      <c r="SJE221" s="1"/>
      <c r="SJF221" s="1"/>
      <c r="SJG221" s="1"/>
      <c r="SJH221" s="1"/>
      <c r="SJI221" s="1"/>
      <c r="SJJ221" s="1"/>
      <c r="SJK221" s="1"/>
      <c r="SJL221" s="1"/>
      <c r="SJM221" s="1"/>
      <c r="SJN221" s="1"/>
      <c r="SJO221" s="1"/>
      <c r="SJP221" s="1"/>
      <c r="SJQ221" s="1"/>
      <c r="SJR221" s="1"/>
      <c r="SJS221" s="1"/>
      <c r="SJT221" s="1"/>
      <c r="SJU221" s="1"/>
      <c r="SJV221" s="1"/>
      <c r="SJW221" s="1"/>
      <c r="SJX221" s="1"/>
      <c r="SJY221" s="1"/>
      <c r="SJZ221" s="1"/>
      <c r="SKA221" s="1"/>
      <c r="SKB221" s="1"/>
      <c r="SKC221" s="1"/>
      <c r="SKD221" s="1"/>
      <c r="SKE221" s="1"/>
      <c r="SKF221" s="1"/>
      <c r="SKG221" s="1"/>
      <c r="SKH221" s="1"/>
      <c r="SKI221" s="1"/>
      <c r="SKJ221" s="1"/>
      <c r="SKK221" s="1"/>
      <c r="SKL221" s="1"/>
      <c r="SKM221" s="1"/>
      <c r="SKN221" s="1"/>
      <c r="SKO221" s="1"/>
      <c r="SKP221" s="1"/>
      <c r="SKQ221" s="1"/>
      <c r="SKR221" s="1"/>
      <c r="SKS221" s="1"/>
      <c r="SKT221" s="1"/>
      <c r="SKU221" s="1"/>
      <c r="SKV221" s="1"/>
      <c r="SKW221" s="1"/>
      <c r="SKX221" s="1"/>
      <c r="SKY221" s="1"/>
      <c r="SKZ221" s="1"/>
      <c r="SLA221" s="1"/>
      <c r="SLB221" s="1"/>
      <c r="SLC221" s="1"/>
      <c r="SLD221" s="1"/>
      <c r="SLE221" s="1"/>
      <c r="SLF221" s="1"/>
      <c r="SLG221" s="1"/>
      <c r="SLH221" s="1"/>
      <c r="SLI221" s="1"/>
      <c r="SLJ221" s="1"/>
      <c r="SLK221" s="1"/>
      <c r="SLL221" s="1"/>
      <c r="SLM221" s="1"/>
      <c r="SLN221" s="1"/>
      <c r="SLO221" s="1"/>
      <c r="SLP221" s="1"/>
      <c r="SLQ221" s="1"/>
      <c r="SLR221" s="1"/>
      <c r="SLS221" s="1"/>
      <c r="SLT221" s="1"/>
      <c r="SLU221" s="1"/>
      <c r="SLV221" s="1"/>
      <c r="SLW221" s="1"/>
      <c r="SLX221" s="1"/>
      <c r="SLY221" s="1"/>
      <c r="SLZ221" s="1"/>
      <c r="SMA221" s="1"/>
      <c r="SMB221" s="1"/>
      <c r="SMC221" s="1"/>
      <c r="SMD221" s="1"/>
      <c r="SME221" s="1"/>
      <c r="SMF221" s="1"/>
      <c r="SMG221" s="1"/>
      <c r="SMH221" s="1"/>
      <c r="SMI221" s="1"/>
      <c r="SMJ221" s="1"/>
      <c r="SMK221" s="1"/>
      <c r="SML221" s="1"/>
      <c r="SMM221" s="1"/>
      <c r="SMN221" s="1"/>
      <c r="SMO221" s="1"/>
      <c r="SMP221" s="1"/>
      <c r="SMQ221" s="1"/>
      <c r="SMR221" s="1"/>
      <c r="SMS221" s="1"/>
      <c r="SMT221" s="1"/>
      <c r="SMU221" s="1"/>
      <c r="SMV221" s="1"/>
      <c r="SMW221" s="1"/>
      <c r="SMX221" s="1"/>
      <c r="SMY221" s="1"/>
      <c r="SMZ221" s="1"/>
      <c r="SNA221" s="1"/>
      <c r="SNB221" s="1"/>
      <c r="SNC221" s="1"/>
      <c r="SND221" s="1"/>
      <c r="SNE221" s="1"/>
      <c r="SNF221" s="1"/>
      <c r="SNG221" s="1"/>
      <c r="SNH221" s="1"/>
      <c r="SNI221" s="1"/>
      <c r="SNJ221" s="1"/>
      <c r="SNK221" s="1"/>
      <c r="SNL221" s="1"/>
      <c r="SNM221" s="1"/>
      <c r="SNN221" s="1"/>
      <c r="SNO221" s="1"/>
      <c r="SNP221" s="1"/>
      <c r="SNQ221" s="1"/>
      <c r="SNR221" s="1"/>
      <c r="SNS221" s="1"/>
      <c r="SNT221" s="1"/>
      <c r="SNU221" s="1"/>
      <c r="SNV221" s="1"/>
      <c r="SNW221" s="1"/>
      <c r="SNX221" s="1"/>
      <c r="SNY221" s="1"/>
      <c r="SNZ221" s="1"/>
      <c r="SOA221" s="1"/>
      <c r="SOB221" s="1"/>
      <c r="SOC221" s="1"/>
      <c r="SOD221" s="1"/>
      <c r="SOE221" s="1"/>
      <c r="SOF221" s="1"/>
      <c r="SOG221" s="1"/>
      <c r="SOH221" s="1"/>
      <c r="SOI221" s="1"/>
      <c r="SOJ221" s="1"/>
      <c r="SOK221" s="1"/>
      <c r="SOL221" s="1"/>
      <c r="SOM221" s="1"/>
      <c r="SON221" s="1"/>
      <c r="SOO221" s="1"/>
      <c r="SOP221" s="1"/>
      <c r="SOQ221" s="1"/>
      <c r="SOR221" s="1"/>
      <c r="SOS221" s="1"/>
      <c r="SOT221" s="1"/>
      <c r="SOU221" s="1"/>
      <c r="SOV221" s="1"/>
      <c r="SOW221" s="1"/>
      <c r="SOX221" s="1"/>
      <c r="SOY221" s="1"/>
      <c r="SOZ221" s="1"/>
      <c r="SPA221" s="1"/>
      <c r="SPB221" s="1"/>
      <c r="SPC221" s="1"/>
      <c r="SPD221" s="1"/>
      <c r="SPE221" s="1"/>
      <c r="SPF221" s="1"/>
      <c r="SPG221" s="1"/>
      <c r="SPH221" s="1"/>
      <c r="SPI221" s="1"/>
      <c r="SPJ221" s="1"/>
      <c r="SPK221" s="1"/>
      <c r="SPL221" s="1"/>
      <c r="SPM221" s="1"/>
      <c r="SPN221" s="1"/>
      <c r="SPO221" s="1"/>
      <c r="SPP221" s="1"/>
      <c r="SPQ221" s="1"/>
      <c r="SPR221" s="1"/>
      <c r="SPS221" s="1"/>
      <c r="SPT221" s="1"/>
      <c r="SPU221" s="1"/>
      <c r="SPV221" s="1"/>
      <c r="SPW221" s="1"/>
      <c r="SPX221" s="1"/>
      <c r="SPY221" s="1"/>
      <c r="SPZ221" s="1"/>
      <c r="SQA221" s="1"/>
      <c r="SQB221" s="1"/>
      <c r="SQC221" s="1"/>
      <c r="SQD221" s="1"/>
      <c r="SQE221" s="1"/>
      <c r="SQF221" s="1"/>
      <c r="SQG221" s="1"/>
      <c r="SQH221" s="1"/>
      <c r="SQI221" s="1"/>
      <c r="SQJ221" s="1"/>
      <c r="SQK221" s="1"/>
      <c r="SQL221" s="1"/>
      <c r="SQM221" s="1"/>
      <c r="SQN221" s="1"/>
      <c r="SQO221" s="1"/>
      <c r="SQP221" s="1"/>
      <c r="SQQ221" s="1"/>
      <c r="SQR221" s="1"/>
      <c r="SQS221" s="1"/>
      <c r="SQT221" s="1"/>
      <c r="SQU221" s="1"/>
      <c r="SQV221" s="1"/>
      <c r="SQW221" s="1"/>
      <c r="SQX221" s="1"/>
      <c r="SQY221" s="1"/>
      <c r="SQZ221" s="1"/>
      <c r="SRA221" s="1"/>
      <c r="SRB221" s="1"/>
      <c r="SRC221" s="1"/>
      <c r="SRD221" s="1"/>
      <c r="SRE221" s="1"/>
      <c r="SRF221" s="1"/>
      <c r="SRG221" s="1"/>
      <c r="SRH221" s="1"/>
      <c r="SRI221" s="1"/>
      <c r="SRJ221" s="1"/>
      <c r="SRK221" s="1"/>
      <c r="SRL221" s="1"/>
      <c r="SRM221" s="1"/>
      <c r="SRN221" s="1"/>
      <c r="SRO221" s="1"/>
      <c r="SRP221" s="1"/>
      <c r="SRQ221" s="1"/>
      <c r="SRR221" s="1"/>
      <c r="SRS221" s="1"/>
      <c r="SRT221" s="1"/>
      <c r="SRU221" s="1"/>
      <c r="SRV221" s="1"/>
      <c r="SRW221" s="1"/>
      <c r="SRX221" s="1"/>
      <c r="SRY221" s="1"/>
      <c r="SRZ221" s="1"/>
      <c r="SSA221" s="1"/>
      <c r="SSB221" s="1"/>
      <c r="SSC221" s="1"/>
      <c r="SSD221" s="1"/>
      <c r="SSE221" s="1"/>
      <c r="SSF221" s="1"/>
      <c r="SSG221" s="1"/>
      <c r="SSH221" s="1"/>
      <c r="SSI221" s="1"/>
      <c r="SSJ221" s="1"/>
      <c r="SSK221" s="1"/>
      <c r="SSL221" s="1"/>
      <c r="SSM221" s="1"/>
      <c r="SSN221" s="1"/>
      <c r="SSO221" s="1"/>
      <c r="SSP221" s="1"/>
      <c r="SSQ221" s="1"/>
      <c r="SSR221" s="1"/>
      <c r="SSS221" s="1"/>
      <c r="SST221" s="1"/>
      <c r="SSU221" s="1"/>
      <c r="SSV221" s="1"/>
      <c r="SSW221" s="1"/>
      <c r="SSX221" s="1"/>
      <c r="SSY221" s="1"/>
      <c r="SSZ221" s="1"/>
      <c r="STA221" s="1"/>
      <c r="STB221" s="1"/>
      <c r="STC221" s="1"/>
      <c r="STD221" s="1"/>
      <c r="STE221" s="1"/>
      <c r="STF221" s="1"/>
      <c r="STG221" s="1"/>
      <c r="STH221" s="1"/>
      <c r="STI221" s="1"/>
      <c r="STJ221" s="1"/>
      <c r="STK221" s="1"/>
      <c r="STL221" s="1"/>
      <c r="STM221" s="1"/>
      <c r="STN221" s="1"/>
      <c r="STO221" s="1"/>
      <c r="STP221" s="1"/>
      <c r="STQ221" s="1"/>
      <c r="STR221" s="1"/>
      <c r="STS221" s="1"/>
      <c r="STT221" s="1"/>
      <c r="STU221" s="1"/>
      <c r="STV221" s="1"/>
      <c r="STW221" s="1"/>
      <c r="STX221" s="1"/>
      <c r="STY221" s="1"/>
      <c r="STZ221" s="1"/>
      <c r="SUA221" s="1"/>
      <c r="SUB221" s="1"/>
      <c r="SUC221" s="1"/>
      <c r="SUD221" s="1"/>
      <c r="SUE221" s="1"/>
      <c r="SUF221" s="1"/>
      <c r="SUG221" s="1"/>
      <c r="SUH221" s="1"/>
      <c r="SUI221" s="1"/>
      <c r="SUJ221" s="1"/>
      <c r="SUK221" s="1"/>
      <c r="SUL221" s="1"/>
      <c r="SUM221" s="1"/>
      <c r="SUN221" s="1"/>
      <c r="SUO221" s="1"/>
      <c r="SUP221" s="1"/>
      <c r="SUQ221" s="1"/>
      <c r="SUR221" s="1"/>
      <c r="SUS221" s="1"/>
      <c r="SUT221" s="1"/>
      <c r="SUU221" s="1"/>
      <c r="SUV221" s="1"/>
      <c r="SUW221" s="1"/>
      <c r="SUX221" s="1"/>
      <c r="SUY221" s="1"/>
      <c r="SUZ221" s="1"/>
      <c r="SVA221" s="1"/>
      <c r="SVB221" s="1"/>
      <c r="SVC221" s="1"/>
      <c r="SVD221" s="1"/>
      <c r="SVE221" s="1"/>
      <c r="SVF221" s="1"/>
      <c r="SVG221" s="1"/>
      <c r="SVH221" s="1"/>
      <c r="SVI221" s="1"/>
      <c r="SVJ221" s="1"/>
      <c r="SVK221" s="1"/>
      <c r="SVL221" s="1"/>
      <c r="SVM221" s="1"/>
      <c r="SVN221" s="1"/>
      <c r="SVO221" s="1"/>
      <c r="SVP221" s="1"/>
      <c r="SVQ221" s="1"/>
      <c r="SVR221" s="1"/>
      <c r="SVS221" s="1"/>
      <c r="SVT221" s="1"/>
      <c r="SVU221" s="1"/>
      <c r="SVV221" s="1"/>
      <c r="SVW221" s="1"/>
      <c r="SVX221" s="1"/>
      <c r="SVY221" s="1"/>
      <c r="SVZ221" s="1"/>
      <c r="SWA221" s="1"/>
      <c r="SWB221" s="1"/>
      <c r="SWC221" s="1"/>
      <c r="SWD221" s="1"/>
      <c r="SWE221" s="1"/>
      <c r="SWF221" s="1"/>
      <c r="SWG221" s="1"/>
      <c r="SWH221" s="1"/>
      <c r="SWI221" s="1"/>
      <c r="SWJ221" s="1"/>
      <c r="SWK221" s="1"/>
      <c r="SWL221" s="1"/>
      <c r="SWM221" s="1"/>
      <c r="SWN221" s="1"/>
      <c r="SWO221" s="1"/>
      <c r="SWP221" s="1"/>
      <c r="SWQ221" s="1"/>
      <c r="SWR221" s="1"/>
      <c r="SWS221" s="1"/>
      <c r="SWT221" s="1"/>
      <c r="SWU221" s="1"/>
      <c r="SWV221" s="1"/>
      <c r="SWW221" s="1"/>
      <c r="SWX221" s="1"/>
      <c r="SWY221" s="1"/>
      <c r="SWZ221" s="1"/>
      <c r="SXA221" s="1"/>
      <c r="SXB221" s="1"/>
      <c r="SXC221" s="1"/>
      <c r="SXD221" s="1"/>
      <c r="SXE221" s="1"/>
      <c r="SXF221" s="1"/>
      <c r="SXG221" s="1"/>
      <c r="SXH221" s="1"/>
      <c r="SXI221" s="1"/>
      <c r="SXJ221" s="1"/>
      <c r="SXK221" s="1"/>
      <c r="SXL221" s="1"/>
      <c r="SXM221" s="1"/>
      <c r="SXN221" s="1"/>
      <c r="SXO221" s="1"/>
      <c r="SXP221" s="1"/>
      <c r="SXQ221" s="1"/>
      <c r="SXR221" s="1"/>
      <c r="SXS221" s="1"/>
      <c r="SXT221" s="1"/>
      <c r="SXU221" s="1"/>
      <c r="SXV221" s="1"/>
      <c r="SXW221" s="1"/>
      <c r="SXX221" s="1"/>
      <c r="SXY221" s="1"/>
      <c r="SXZ221" s="1"/>
      <c r="SYA221" s="1"/>
      <c r="SYB221" s="1"/>
      <c r="SYC221" s="1"/>
      <c r="SYD221" s="1"/>
      <c r="SYE221" s="1"/>
      <c r="SYF221" s="1"/>
      <c r="SYG221" s="1"/>
      <c r="SYH221" s="1"/>
      <c r="SYI221" s="1"/>
      <c r="SYJ221" s="1"/>
      <c r="SYK221" s="1"/>
      <c r="SYL221" s="1"/>
      <c r="SYM221" s="1"/>
      <c r="SYN221" s="1"/>
      <c r="SYO221" s="1"/>
      <c r="SYP221" s="1"/>
      <c r="SYQ221" s="1"/>
      <c r="SYR221" s="1"/>
      <c r="SYS221" s="1"/>
      <c r="SYT221" s="1"/>
      <c r="SYU221" s="1"/>
      <c r="SYV221" s="1"/>
      <c r="SYW221" s="1"/>
      <c r="SYX221" s="1"/>
      <c r="SYY221" s="1"/>
      <c r="SYZ221" s="1"/>
      <c r="SZA221" s="1"/>
      <c r="SZB221" s="1"/>
      <c r="SZC221" s="1"/>
      <c r="SZD221" s="1"/>
      <c r="SZE221" s="1"/>
      <c r="SZF221" s="1"/>
      <c r="SZG221" s="1"/>
      <c r="SZH221" s="1"/>
      <c r="SZI221" s="1"/>
      <c r="SZJ221" s="1"/>
      <c r="SZK221" s="1"/>
      <c r="SZL221" s="1"/>
      <c r="SZM221" s="1"/>
      <c r="SZN221" s="1"/>
      <c r="SZO221" s="1"/>
      <c r="SZP221" s="1"/>
      <c r="SZQ221" s="1"/>
      <c r="SZR221" s="1"/>
      <c r="SZS221" s="1"/>
      <c r="SZT221" s="1"/>
      <c r="SZU221" s="1"/>
      <c r="SZV221" s="1"/>
      <c r="SZW221" s="1"/>
      <c r="SZX221" s="1"/>
      <c r="SZY221" s="1"/>
      <c r="SZZ221" s="1"/>
      <c r="TAA221" s="1"/>
      <c r="TAB221" s="1"/>
      <c r="TAC221" s="1"/>
      <c r="TAD221" s="1"/>
      <c r="TAE221" s="1"/>
      <c r="TAF221" s="1"/>
      <c r="TAG221" s="1"/>
      <c r="TAH221" s="1"/>
      <c r="TAI221" s="1"/>
      <c r="TAJ221" s="1"/>
      <c r="TAK221" s="1"/>
      <c r="TAL221" s="1"/>
      <c r="TAM221" s="1"/>
      <c r="TAN221" s="1"/>
      <c r="TAO221" s="1"/>
      <c r="TAP221" s="1"/>
      <c r="TAQ221" s="1"/>
      <c r="TAR221" s="1"/>
      <c r="TAS221" s="1"/>
      <c r="TAT221" s="1"/>
      <c r="TAU221" s="1"/>
      <c r="TAV221" s="1"/>
      <c r="TAW221" s="1"/>
      <c r="TAX221" s="1"/>
      <c r="TAY221" s="1"/>
      <c r="TAZ221" s="1"/>
      <c r="TBA221" s="1"/>
      <c r="TBB221" s="1"/>
      <c r="TBC221" s="1"/>
      <c r="TBD221" s="1"/>
      <c r="TBE221" s="1"/>
      <c r="TBF221" s="1"/>
      <c r="TBG221" s="1"/>
      <c r="TBH221" s="1"/>
      <c r="TBI221" s="1"/>
      <c r="TBJ221" s="1"/>
      <c r="TBK221" s="1"/>
      <c r="TBL221" s="1"/>
      <c r="TBM221" s="1"/>
      <c r="TBN221" s="1"/>
      <c r="TBO221" s="1"/>
      <c r="TBP221" s="1"/>
      <c r="TBQ221" s="1"/>
      <c r="TBR221" s="1"/>
      <c r="TBS221" s="1"/>
      <c r="TBT221" s="1"/>
      <c r="TBU221" s="1"/>
      <c r="TBV221" s="1"/>
      <c r="TBW221" s="1"/>
      <c r="TBX221" s="1"/>
      <c r="TBY221" s="1"/>
      <c r="TBZ221" s="1"/>
      <c r="TCA221" s="1"/>
      <c r="TCB221" s="1"/>
      <c r="TCC221" s="1"/>
      <c r="TCD221" s="1"/>
      <c r="TCE221" s="1"/>
      <c r="TCF221" s="1"/>
      <c r="TCG221" s="1"/>
      <c r="TCH221" s="1"/>
      <c r="TCI221" s="1"/>
      <c r="TCJ221" s="1"/>
      <c r="TCK221" s="1"/>
      <c r="TCL221" s="1"/>
      <c r="TCM221" s="1"/>
      <c r="TCN221" s="1"/>
      <c r="TCO221" s="1"/>
      <c r="TCP221" s="1"/>
      <c r="TCQ221" s="1"/>
      <c r="TCR221" s="1"/>
      <c r="TCS221" s="1"/>
      <c r="TCT221" s="1"/>
      <c r="TCU221" s="1"/>
      <c r="TCV221" s="1"/>
      <c r="TCW221" s="1"/>
      <c r="TCX221" s="1"/>
      <c r="TCY221" s="1"/>
      <c r="TCZ221" s="1"/>
      <c r="TDA221" s="1"/>
      <c r="TDB221" s="1"/>
      <c r="TDC221" s="1"/>
      <c r="TDD221" s="1"/>
      <c r="TDE221" s="1"/>
      <c r="TDF221" s="1"/>
      <c r="TDG221" s="1"/>
      <c r="TDH221" s="1"/>
      <c r="TDI221" s="1"/>
      <c r="TDJ221" s="1"/>
      <c r="TDK221" s="1"/>
      <c r="TDL221" s="1"/>
      <c r="TDM221" s="1"/>
      <c r="TDN221" s="1"/>
      <c r="TDO221" s="1"/>
      <c r="TDP221" s="1"/>
      <c r="TDQ221" s="1"/>
      <c r="TDR221" s="1"/>
      <c r="TDS221" s="1"/>
      <c r="TDT221" s="1"/>
      <c r="TDU221" s="1"/>
      <c r="TDV221" s="1"/>
      <c r="TDW221" s="1"/>
      <c r="TDX221" s="1"/>
      <c r="TDY221" s="1"/>
      <c r="TDZ221" s="1"/>
      <c r="TEA221" s="1"/>
      <c r="TEB221" s="1"/>
      <c r="TEC221" s="1"/>
      <c r="TED221" s="1"/>
      <c r="TEE221" s="1"/>
      <c r="TEF221" s="1"/>
      <c r="TEG221" s="1"/>
      <c r="TEH221" s="1"/>
      <c r="TEI221" s="1"/>
      <c r="TEJ221" s="1"/>
      <c r="TEK221" s="1"/>
      <c r="TEL221" s="1"/>
      <c r="TEM221" s="1"/>
      <c r="TEN221" s="1"/>
      <c r="TEO221" s="1"/>
      <c r="TEP221" s="1"/>
      <c r="TEQ221" s="1"/>
      <c r="TER221" s="1"/>
      <c r="TES221" s="1"/>
      <c r="TET221" s="1"/>
      <c r="TEU221" s="1"/>
      <c r="TEV221" s="1"/>
      <c r="TEW221" s="1"/>
      <c r="TEX221" s="1"/>
      <c r="TEY221" s="1"/>
      <c r="TEZ221" s="1"/>
      <c r="TFA221" s="1"/>
      <c r="TFB221" s="1"/>
      <c r="TFC221" s="1"/>
      <c r="TFD221" s="1"/>
      <c r="TFE221" s="1"/>
      <c r="TFF221" s="1"/>
      <c r="TFG221" s="1"/>
      <c r="TFH221" s="1"/>
      <c r="TFI221" s="1"/>
      <c r="TFJ221" s="1"/>
      <c r="TFK221" s="1"/>
      <c r="TFL221" s="1"/>
      <c r="TFM221" s="1"/>
      <c r="TFN221" s="1"/>
      <c r="TFO221" s="1"/>
      <c r="TFP221" s="1"/>
      <c r="TFQ221" s="1"/>
      <c r="TFR221" s="1"/>
      <c r="TFS221" s="1"/>
      <c r="TFT221" s="1"/>
      <c r="TFU221" s="1"/>
      <c r="TFV221" s="1"/>
      <c r="TFW221" s="1"/>
      <c r="TFX221" s="1"/>
      <c r="TFY221" s="1"/>
      <c r="TFZ221" s="1"/>
      <c r="TGA221" s="1"/>
      <c r="TGB221" s="1"/>
      <c r="TGC221" s="1"/>
      <c r="TGD221" s="1"/>
      <c r="TGE221" s="1"/>
      <c r="TGF221" s="1"/>
      <c r="TGG221" s="1"/>
      <c r="TGH221" s="1"/>
      <c r="TGI221" s="1"/>
      <c r="TGJ221" s="1"/>
      <c r="TGK221" s="1"/>
      <c r="TGL221" s="1"/>
      <c r="TGM221" s="1"/>
      <c r="TGN221" s="1"/>
      <c r="TGO221" s="1"/>
      <c r="TGP221" s="1"/>
      <c r="TGQ221" s="1"/>
      <c r="TGR221" s="1"/>
      <c r="TGS221" s="1"/>
      <c r="TGT221" s="1"/>
      <c r="TGU221" s="1"/>
      <c r="TGV221" s="1"/>
      <c r="TGW221" s="1"/>
      <c r="TGX221" s="1"/>
      <c r="TGY221" s="1"/>
      <c r="TGZ221" s="1"/>
      <c r="THA221" s="1"/>
      <c r="THB221" s="1"/>
      <c r="THC221" s="1"/>
      <c r="THD221" s="1"/>
      <c r="THE221" s="1"/>
      <c r="THF221" s="1"/>
      <c r="THG221" s="1"/>
      <c r="THH221" s="1"/>
      <c r="THI221" s="1"/>
      <c r="THJ221" s="1"/>
      <c r="THK221" s="1"/>
      <c r="THL221" s="1"/>
      <c r="THM221" s="1"/>
      <c r="THN221" s="1"/>
      <c r="THO221" s="1"/>
      <c r="THP221" s="1"/>
      <c r="THQ221" s="1"/>
      <c r="THR221" s="1"/>
      <c r="THS221" s="1"/>
      <c r="THT221" s="1"/>
      <c r="THU221" s="1"/>
      <c r="THV221" s="1"/>
      <c r="THW221" s="1"/>
      <c r="THX221" s="1"/>
      <c r="THY221" s="1"/>
      <c r="THZ221" s="1"/>
      <c r="TIA221" s="1"/>
      <c r="TIB221" s="1"/>
      <c r="TIC221" s="1"/>
      <c r="TID221" s="1"/>
      <c r="TIE221" s="1"/>
      <c r="TIF221" s="1"/>
      <c r="TIG221" s="1"/>
      <c r="TIH221" s="1"/>
      <c r="TII221" s="1"/>
      <c r="TIJ221" s="1"/>
      <c r="TIK221" s="1"/>
      <c r="TIL221" s="1"/>
      <c r="TIM221" s="1"/>
      <c r="TIN221" s="1"/>
      <c r="TIO221" s="1"/>
      <c r="TIP221" s="1"/>
      <c r="TIQ221" s="1"/>
      <c r="TIR221" s="1"/>
      <c r="TIS221" s="1"/>
      <c r="TIT221" s="1"/>
      <c r="TIU221" s="1"/>
      <c r="TIV221" s="1"/>
      <c r="TIW221" s="1"/>
      <c r="TIX221" s="1"/>
      <c r="TIY221" s="1"/>
      <c r="TIZ221" s="1"/>
      <c r="TJA221" s="1"/>
      <c r="TJB221" s="1"/>
      <c r="TJC221" s="1"/>
      <c r="TJD221" s="1"/>
      <c r="TJE221" s="1"/>
      <c r="TJF221" s="1"/>
      <c r="TJG221" s="1"/>
      <c r="TJH221" s="1"/>
      <c r="TJI221" s="1"/>
      <c r="TJJ221" s="1"/>
      <c r="TJK221" s="1"/>
      <c r="TJL221" s="1"/>
      <c r="TJM221" s="1"/>
      <c r="TJN221" s="1"/>
      <c r="TJO221" s="1"/>
      <c r="TJP221" s="1"/>
      <c r="TJQ221" s="1"/>
      <c r="TJR221" s="1"/>
      <c r="TJS221" s="1"/>
      <c r="TJT221" s="1"/>
      <c r="TJU221" s="1"/>
      <c r="TJV221" s="1"/>
      <c r="TJW221" s="1"/>
      <c r="TJX221" s="1"/>
      <c r="TJY221" s="1"/>
      <c r="TJZ221" s="1"/>
      <c r="TKA221" s="1"/>
      <c r="TKB221" s="1"/>
      <c r="TKC221" s="1"/>
      <c r="TKD221" s="1"/>
      <c r="TKE221" s="1"/>
      <c r="TKF221" s="1"/>
      <c r="TKG221" s="1"/>
      <c r="TKH221" s="1"/>
      <c r="TKI221" s="1"/>
      <c r="TKJ221" s="1"/>
      <c r="TKK221" s="1"/>
      <c r="TKL221" s="1"/>
      <c r="TKM221" s="1"/>
      <c r="TKN221" s="1"/>
      <c r="TKO221" s="1"/>
      <c r="TKP221" s="1"/>
      <c r="TKQ221" s="1"/>
      <c r="TKR221" s="1"/>
      <c r="TKS221" s="1"/>
      <c r="TKT221" s="1"/>
      <c r="TKU221" s="1"/>
      <c r="TKV221" s="1"/>
      <c r="TKW221" s="1"/>
      <c r="TKX221" s="1"/>
      <c r="TKY221" s="1"/>
      <c r="TKZ221" s="1"/>
      <c r="TLA221" s="1"/>
      <c r="TLB221" s="1"/>
      <c r="TLC221" s="1"/>
      <c r="TLD221" s="1"/>
      <c r="TLE221" s="1"/>
      <c r="TLF221" s="1"/>
      <c r="TLG221" s="1"/>
      <c r="TLH221" s="1"/>
      <c r="TLI221" s="1"/>
      <c r="TLJ221" s="1"/>
      <c r="TLK221" s="1"/>
      <c r="TLL221" s="1"/>
      <c r="TLM221" s="1"/>
      <c r="TLN221" s="1"/>
      <c r="TLO221" s="1"/>
      <c r="TLP221" s="1"/>
      <c r="TLQ221" s="1"/>
      <c r="TLR221" s="1"/>
      <c r="TLS221" s="1"/>
      <c r="TLT221" s="1"/>
      <c r="TLU221" s="1"/>
      <c r="TLV221" s="1"/>
      <c r="TLW221" s="1"/>
      <c r="TLX221" s="1"/>
      <c r="TLY221" s="1"/>
      <c r="TLZ221" s="1"/>
      <c r="TMA221" s="1"/>
      <c r="TMB221" s="1"/>
      <c r="TMC221" s="1"/>
      <c r="TMD221" s="1"/>
      <c r="TME221" s="1"/>
      <c r="TMF221" s="1"/>
      <c r="TMG221" s="1"/>
      <c r="TMH221" s="1"/>
      <c r="TMI221" s="1"/>
      <c r="TMJ221" s="1"/>
      <c r="TMK221" s="1"/>
      <c r="TML221" s="1"/>
      <c r="TMM221" s="1"/>
      <c r="TMN221" s="1"/>
      <c r="TMO221" s="1"/>
      <c r="TMP221" s="1"/>
      <c r="TMQ221" s="1"/>
      <c r="TMR221" s="1"/>
      <c r="TMS221" s="1"/>
      <c r="TMT221" s="1"/>
      <c r="TMU221" s="1"/>
      <c r="TMV221" s="1"/>
      <c r="TMW221" s="1"/>
      <c r="TMX221" s="1"/>
      <c r="TMY221" s="1"/>
      <c r="TMZ221" s="1"/>
      <c r="TNA221" s="1"/>
      <c r="TNB221" s="1"/>
      <c r="TNC221" s="1"/>
      <c r="TND221" s="1"/>
      <c r="TNE221" s="1"/>
      <c r="TNF221" s="1"/>
      <c r="TNG221" s="1"/>
      <c r="TNH221" s="1"/>
      <c r="TNI221" s="1"/>
      <c r="TNJ221" s="1"/>
      <c r="TNK221" s="1"/>
      <c r="TNL221" s="1"/>
      <c r="TNM221" s="1"/>
      <c r="TNN221" s="1"/>
      <c r="TNO221" s="1"/>
      <c r="TNP221" s="1"/>
      <c r="TNQ221" s="1"/>
      <c r="TNR221" s="1"/>
      <c r="TNS221" s="1"/>
      <c r="TNT221" s="1"/>
      <c r="TNU221" s="1"/>
      <c r="TNV221" s="1"/>
      <c r="TNW221" s="1"/>
      <c r="TNX221" s="1"/>
      <c r="TNY221" s="1"/>
      <c r="TNZ221" s="1"/>
      <c r="TOA221" s="1"/>
      <c r="TOB221" s="1"/>
      <c r="TOC221" s="1"/>
      <c r="TOD221" s="1"/>
      <c r="TOE221" s="1"/>
      <c r="TOF221" s="1"/>
      <c r="TOG221" s="1"/>
      <c r="TOH221" s="1"/>
      <c r="TOI221" s="1"/>
      <c r="TOJ221" s="1"/>
      <c r="TOK221" s="1"/>
      <c r="TOL221" s="1"/>
      <c r="TOM221" s="1"/>
      <c r="TON221" s="1"/>
      <c r="TOO221" s="1"/>
      <c r="TOP221" s="1"/>
      <c r="TOQ221" s="1"/>
      <c r="TOR221" s="1"/>
      <c r="TOS221" s="1"/>
      <c r="TOT221" s="1"/>
      <c r="TOU221" s="1"/>
      <c r="TOV221" s="1"/>
      <c r="TOW221" s="1"/>
      <c r="TOX221" s="1"/>
      <c r="TOY221" s="1"/>
      <c r="TOZ221" s="1"/>
      <c r="TPA221" s="1"/>
      <c r="TPB221" s="1"/>
      <c r="TPC221" s="1"/>
      <c r="TPD221" s="1"/>
      <c r="TPE221" s="1"/>
      <c r="TPF221" s="1"/>
      <c r="TPG221" s="1"/>
      <c r="TPH221" s="1"/>
      <c r="TPI221" s="1"/>
      <c r="TPJ221" s="1"/>
      <c r="TPK221" s="1"/>
      <c r="TPL221" s="1"/>
      <c r="TPM221" s="1"/>
      <c r="TPN221" s="1"/>
      <c r="TPO221" s="1"/>
      <c r="TPP221" s="1"/>
      <c r="TPQ221" s="1"/>
      <c r="TPR221" s="1"/>
      <c r="TPS221" s="1"/>
      <c r="TPT221" s="1"/>
      <c r="TPU221" s="1"/>
      <c r="TPV221" s="1"/>
      <c r="TPW221" s="1"/>
      <c r="TPX221" s="1"/>
      <c r="TPY221" s="1"/>
      <c r="TPZ221" s="1"/>
      <c r="TQA221" s="1"/>
      <c r="TQB221" s="1"/>
      <c r="TQC221" s="1"/>
      <c r="TQD221" s="1"/>
      <c r="TQE221" s="1"/>
      <c r="TQF221" s="1"/>
      <c r="TQG221" s="1"/>
      <c r="TQH221" s="1"/>
      <c r="TQI221" s="1"/>
      <c r="TQJ221" s="1"/>
      <c r="TQK221" s="1"/>
      <c r="TQL221" s="1"/>
      <c r="TQM221" s="1"/>
      <c r="TQN221" s="1"/>
      <c r="TQO221" s="1"/>
      <c r="TQP221" s="1"/>
      <c r="TQQ221" s="1"/>
      <c r="TQR221" s="1"/>
      <c r="TQS221" s="1"/>
      <c r="TQT221" s="1"/>
      <c r="TQU221" s="1"/>
      <c r="TQV221" s="1"/>
      <c r="TQW221" s="1"/>
      <c r="TQX221" s="1"/>
      <c r="TQY221" s="1"/>
      <c r="TQZ221" s="1"/>
      <c r="TRA221" s="1"/>
      <c r="TRB221" s="1"/>
      <c r="TRC221" s="1"/>
      <c r="TRD221" s="1"/>
      <c r="TRE221" s="1"/>
      <c r="TRF221" s="1"/>
      <c r="TRG221" s="1"/>
      <c r="TRH221" s="1"/>
      <c r="TRI221" s="1"/>
      <c r="TRJ221" s="1"/>
      <c r="TRK221" s="1"/>
      <c r="TRL221" s="1"/>
      <c r="TRM221" s="1"/>
      <c r="TRN221" s="1"/>
      <c r="TRO221" s="1"/>
      <c r="TRP221" s="1"/>
      <c r="TRQ221" s="1"/>
      <c r="TRR221" s="1"/>
      <c r="TRS221" s="1"/>
      <c r="TRT221" s="1"/>
      <c r="TRU221" s="1"/>
      <c r="TRV221" s="1"/>
      <c r="TRW221" s="1"/>
      <c r="TRX221" s="1"/>
      <c r="TRY221" s="1"/>
      <c r="TRZ221" s="1"/>
      <c r="TSA221" s="1"/>
      <c r="TSB221" s="1"/>
      <c r="TSC221" s="1"/>
      <c r="TSD221" s="1"/>
      <c r="TSE221" s="1"/>
      <c r="TSF221" s="1"/>
      <c r="TSG221" s="1"/>
      <c r="TSH221" s="1"/>
      <c r="TSI221" s="1"/>
      <c r="TSJ221" s="1"/>
      <c r="TSK221" s="1"/>
      <c r="TSL221" s="1"/>
      <c r="TSM221" s="1"/>
      <c r="TSN221" s="1"/>
      <c r="TSO221" s="1"/>
      <c r="TSP221" s="1"/>
      <c r="TSQ221" s="1"/>
      <c r="TSR221" s="1"/>
      <c r="TSS221" s="1"/>
      <c r="TST221" s="1"/>
      <c r="TSU221" s="1"/>
      <c r="TSV221" s="1"/>
      <c r="TSW221" s="1"/>
      <c r="TSX221" s="1"/>
      <c r="TSY221" s="1"/>
      <c r="TSZ221" s="1"/>
      <c r="TTA221" s="1"/>
      <c r="TTB221" s="1"/>
      <c r="TTC221" s="1"/>
      <c r="TTD221" s="1"/>
      <c r="TTE221" s="1"/>
      <c r="TTF221" s="1"/>
      <c r="TTG221" s="1"/>
      <c r="TTH221" s="1"/>
      <c r="TTI221" s="1"/>
      <c r="TTJ221" s="1"/>
      <c r="TTK221" s="1"/>
      <c r="TTL221" s="1"/>
      <c r="TTM221" s="1"/>
      <c r="TTN221" s="1"/>
      <c r="TTO221" s="1"/>
      <c r="TTP221" s="1"/>
      <c r="TTQ221" s="1"/>
      <c r="TTR221" s="1"/>
      <c r="TTS221" s="1"/>
      <c r="TTT221" s="1"/>
      <c r="TTU221" s="1"/>
      <c r="TTV221" s="1"/>
      <c r="TTW221" s="1"/>
      <c r="TTX221" s="1"/>
      <c r="TTY221" s="1"/>
      <c r="TTZ221" s="1"/>
      <c r="TUA221" s="1"/>
      <c r="TUB221" s="1"/>
      <c r="TUC221" s="1"/>
      <c r="TUD221" s="1"/>
      <c r="TUE221" s="1"/>
      <c r="TUF221" s="1"/>
      <c r="TUG221" s="1"/>
      <c r="TUH221" s="1"/>
      <c r="TUI221" s="1"/>
      <c r="TUJ221" s="1"/>
      <c r="TUK221" s="1"/>
      <c r="TUL221" s="1"/>
      <c r="TUM221" s="1"/>
      <c r="TUN221" s="1"/>
      <c r="TUO221" s="1"/>
      <c r="TUP221" s="1"/>
      <c r="TUQ221" s="1"/>
      <c r="TUR221" s="1"/>
      <c r="TUS221" s="1"/>
      <c r="TUT221" s="1"/>
      <c r="TUU221" s="1"/>
      <c r="TUV221" s="1"/>
      <c r="TUW221" s="1"/>
      <c r="TUX221" s="1"/>
      <c r="TUY221" s="1"/>
      <c r="TUZ221" s="1"/>
      <c r="TVA221" s="1"/>
      <c r="TVB221" s="1"/>
      <c r="TVC221" s="1"/>
      <c r="TVD221" s="1"/>
      <c r="TVE221" s="1"/>
      <c r="TVF221" s="1"/>
      <c r="TVG221" s="1"/>
      <c r="TVH221" s="1"/>
      <c r="TVI221" s="1"/>
      <c r="TVJ221" s="1"/>
      <c r="TVK221" s="1"/>
      <c r="TVL221" s="1"/>
      <c r="TVM221" s="1"/>
      <c r="TVN221" s="1"/>
      <c r="TVO221" s="1"/>
      <c r="TVP221" s="1"/>
      <c r="TVQ221" s="1"/>
      <c r="TVR221" s="1"/>
      <c r="TVS221" s="1"/>
      <c r="TVT221" s="1"/>
      <c r="TVU221" s="1"/>
      <c r="TVV221" s="1"/>
      <c r="TVW221" s="1"/>
      <c r="TVX221" s="1"/>
      <c r="TVY221" s="1"/>
      <c r="TVZ221" s="1"/>
      <c r="TWA221" s="1"/>
      <c r="TWB221" s="1"/>
      <c r="TWC221" s="1"/>
      <c r="TWD221" s="1"/>
      <c r="TWE221" s="1"/>
      <c r="TWF221" s="1"/>
      <c r="TWG221" s="1"/>
      <c r="TWH221" s="1"/>
      <c r="TWI221" s="1"/>
      <c r="TWJ221" s="1"/>
      <c r="TWK221" s="1"/>
      <c r="TWL221" s="1"/>
      <c r="TWM221" s="1"/>
      <c r="TWN221" s="1"/>
      <c r="TWO221" s="1"/>
      <c r="TWP221" s="1"/>
      <c r="TWQ221" s="1"/>
      <c r="TWR221" s="1"/>
      <c r="TWS221" s="1"/>
      <c r="TWT221" s="1"/>
      <c r="TWU221" s="1"/>
      <c r="TWV221" s="1"/>
      <c r="TWW221" s="1"/>
      <c r="TWX221" s="1"/>
      <c r="TWY221" s="1"/>
      <c r="TWZ221" s="1"/>
      <c r="TXA221" s="1"/>
      <c r="TXB221" s="1"/>
      <c r="TXC221" s="1"/>
      <c r="TXD221" s="1"/>
      <c r="TXE221" s="1"/>
      <c r="TXF221" s="1"/>
      <c r="TXG221" s="1"/>
      <c r="TXH221" s="1"/>
      <c r="TXI221" s="1"/>
      <c r="TXJ221" s="1"/>
      <c r="TXK221" s="1"/>
      <c r="TXL221" s="1"/>
      <c r="TXM221" s="1"/>
      <c r="TXN221" s="1"/>
      <c r="TXO221" s="1"/>
      <c r="TXP221" s="1"/>
      <c r="TXQ221" s="1"/>
      <c r="TXR221" s="1"/>
      <c r="TXS221" s="1"/>
      <c r="TXT221" s="1"/>
      <c r="TXU221" s="1"/>
      <c r="TXV221" s="1"/>
      <c r="TXW221" s="1"/>
      <c r="TXX221" s="1"/>
      <c r="TXY221" s="1"/>
      <c r="TXZ221" s="1"/>
      <c r="TYA221" s="1"/>
      <c r="TYB221" s="1"/>
      <c r="TYC221" s="1"/>
      <c r="TYD221" s="1"/>
      <c r="TYE221" s="1"/>
      <c r="TYF221" s="1"/>
      <c r="TYG221" s="1"/>
      <c r="TYH221" s="1"/>
      <c r="TYI221" s="1"/>
      <c r="TYJ221" s="1"/>
      <c r="TYK221" s="1"/>
      <c r="TYL221" s="1"/>
      <c r="TYM221" s="1"/>
      <c r="TYN221" s="1"/>
      <c r="TYO221" s="1"/>
      <c r="TYP221" s="1"/>
      <c r="TYQ221" s="1"/>
      <c r="TYR221" s="1"/>
      <c r="TYS221" s="1"/>
      <c r="TYT221" s="1"/>
      <c r="TYU221" s="1"/>
      <c r="TYV221" s="1"/>
      <c r="TYW221" s="1"/>
      <c r="TYX221" s="1"/>
      <c r="TYY221" s="1"/>
      <c r="TYZ221" s="1"/>
      <c r="TZA221" s="1"/>
      <c r="TZB221" s="1"/>
      <c r="TZC221" s="1"/>
      <c r="TZD221" s="1"/>
      <c r="TZE221" s="1"/>
      <c r="TZF221" s="1"/>
      <c r="TZG221" s="1"/>
      <c r="TZH221" s="1"/>
      <c r="TZI221" s="1"/>
      <c r="TZJ221" s="1"/>
      <c r="TZK221" s="1"/>
      <c r="TZL221" s="1"/>
      <c r="TZM221" s="1"/>
      <c r="TZN221" s="1"/>
      <c r="TZO221" s="1"/>
      <c r="TZP221" s="1"/>
      <c r="TZQ221" s="1"/>
      <c r="TZR221" s="1"/>
      <c r="TZS221" s="1"/>
      <c r="TZT221" s="1"/>
      <c r="TZU221" s="1"/>
      <c r="TZV221" s="1"/>
      <c r="TZW221" s="1"/>
      <c r="TZX221" s="1"/>
      <c r="TZY221" s="1"/>
      <c r="TZZ221" s="1"/>
      <c r="UAA221" s="1"/>
      <c r="UAB221" s="1"/>
      <c r="UAC221" s="1"/>
      <c r="UAD221" s="1"/>
      <c r="UAE221" s="1"/>
      <c r="UAF221" s="1"/>
      <c r="UAG221" s="1"/>
      <c r="UAH221" s="1"/>
      <c r="UAI221" s="1"/>
      <c r="UAJ221" s="1"/>
      <c r="UAK221" s="1"/>
      <c r="UAL221" s="1"/>
      <c r="UAM221" s="1"/>
      <c r="UAN221" s="1"/>
      <c r="UAO221" s="1"/>
      <c r="UAP221" s="1"/>
      <c r="UAQ221" s="1"/>
      <c r="UAR221" s="1"/>
      <c r="UAS221" s="1"/>
      <c r="UAT221" s="1"/>
      <c r="UAU221" s="1"/>
      <c r="UAV221" s="1"/>
      <c r="UAW221" s="1"/>
      <c r="UAX221" s="1"/>
      <c r="UAY221" s="1"/>
      <c r="UAZ221" s="1"/>
      <c r="UBA221" s="1"/>
      <c r="UBB221" s="1"/>
      <c r="UBC221" s="1"/>
      <c r="UBD221" s="1"/>
      <c r="UBE221" s="1"/>
      <c r="UBF221" s="1"/>
      <c r="UBG221" s="1"/>
      <c r="UBH221" s="1"/>
      <c r="UBI221" s="1"/>
      <c r="UBJ221" s="1"/>
      <c r="UBK221" s="1"/>
      <c r="UBL221" s="1"/>
      <c r="UBM221" s="1"/>
      <c r="UBN221" s="1"/>
      <c r="UBO221" s="1"/>
      <c r="UBP221" s="1"/>
      <c r="UBQ221" s="1"/>
      <c r="UBR221" s="1"/>
      <c r="UBS221" s="1"/>
      <c r="UBT221" s="1"/>
      <c r="UBU221" s="1"/>
      <c r="UBV221" s="1"/>
      <c r="UBW221" s="1"/>
      <c r="UBX221" s="1"/>
      <c r="UBY221" s="1"/>
      <c r="UBZ221" s="1"/>
      <c r="UCA221" s="1"/>
      <c r="UCB221" s="1"/>
      <c r="UCC221" s="1"/>
      <c r="UCD221" s="1"/>
      <c r="UCE221" s="1"/>
      <c r="UCF221" s="1"/>
      <c r="UCG221" s="1"/>
      <c r="UCH221" s="1"/>
      <c r="UCI221" s="1"/>
      <c r="UCJ221" s="1"/>
      <c r="UCK221" s="1"/>
      <c r="UCL221" s="1"/>
      <c r="UCM221" s="1"/>
      <c r="UCN221" s="1"/>
      <c r="UCO221" s="1"/>
      <c r="UCP221" s="1"/>
      <c r="UCQ221" s="1"/>
      <c r="UCR221" s="1"/>
      <c r="UCS221" s="1"/>
      <c r="UCT221" s="1"/>
      <c r="UCU221" s="1"/>
      <c r="UCV221" s="1"/>
      <c r="UCW221" s="1"/>
      <c r="UCX221" s="1"/>
      <c r="UCY221" s="1"/>
      <c r="UCZ221" s="1"/>
      <c r="UDA221" s="1"/>
      <c r="UDB221" s="1"/>
      <c r="UDC221" s="1"/>
      <c r="UDD221" s="1"/>
      <c r="UDE221" s="1"/>
      <c r="UDF221" s="1"/>
      <c r="UDG221" s="1"/>
      <c r="UDH221" s="1"/>
      <c r="UDI221" s="1"/>
      <c r="UDJ221" s="1"/>
      <c r="UDK221" s="1"/>
      <c r="UDL221" s="1"/>
      <c r="UDM221" s="1"/>
      <c r="UDN221" s="1"/>
      <c r="UDO221" s="1"/>
      <c r="UDP221" s="1"/>
      <c r="UDQ221" s="1"/>
      <c r="UDR221" s="1"/>
      <c r="UDS221" s="1"/>
      <c r="UDT221" s="1"/>
      <c r="UDU221" s="1"/>
      <c r="UDV221" s="1"/>
      <c r="UDW221" s="1"/>
      <c r="UDX221" s="1"/>
      <c r="UDY221" s="1"/>
      <c r="UDZ221" s="1"/>
      <c r="UEA221" s="1"/>
      <c r="UEB221" s="1"/>
      <c r="UEC221" s="1"/>
      <c r="UED221" s="1"/>
      <c r="UEE221" s="1"/>
      <c r="UEF221" s="1"/>
      <c r="UEG221" s="1"/>
      <c r="UEH221" s="1"/>
      <c r="UEI221" s="1"/>
      <c r="UEJ221" s="1"/>
      <c r="UEK221" s="1"/>
      <c r="UEL221" s="1"/>
      <c r="UEM221" s="1"/>
      <c r="UEN221" s="1"/>
      <c r="UEO221" s="1"/>
      <c r="UEP221" s="1"/>
      <c r="UEQ221" s="1"/>
      <c r="UER221" s="1"/>
      <c r="UES221" s="1"/>
      <c r="UET221" s="1"/>
      <c r="UEU221" s="1"/>
      <c r="UEV221" s="1"/>
      <c r="UEW221" s="1"/>
      <c r="UEX221" s="1"/>
      <c r="UEY221" s="1"/>
      <c r="UEZ221" s="1"/>
      <c r="UFA221" s="1"/>
      <c r="UFB221" s="1"/>
      <c r="UFC221" s="1"/>
      <c r="UFD221" s="1"/>
      <c r="UFE221" s="1"/>
      <c r="UFF221" s="1"/>
      <c r="UFG221" s="1"/>
      <c r="UFH221" s="1"/>
      <c r="UFI221" s="1"/>
      <c r="UFJ221" s="1"/>
      <c r="UFK221" s="1"/>
      <c r="UFL221" s="1"/>
      <c r="UFM221" s="1"/>
      <c r="UFN221" s="1"/>
      <c r="UFO221" s="1"/>
      <c r="UFP221" s="1"/>
      <c r="UFQ221" s="1"/>
      <c r="UFR221" s="1"/>
      <c r="UFS221" s="1"/>
      <c r="UFT221" s="1"/>
      <c r="UFU221" s="1"/>
      <c r="UFV221" s="1"/>
      <c r="UFW221" s="1"/>
      <c r="UFX221" s="1"/>
      <c r="UFY221" s="1"/>
      <c r="UFZ221" s="1"/>
      <c r="UGA221" s="1"/>
      <c r="UGB221" s="1"/>
      <c r="UGC221" s="1"/>
      <c r="UGD221" s="1"/>
      <c r="UGE221" s="1"/>
      <c r="UGF221" s="1"/>
      <c r="UGG221" s="1"/>
      <c r="UGH221" s="1"/>
      <c r="UGI221" s="1"/>
      <c r="UGJ221" s="1"/>
      <c r="UGK221" s="1"/>
      <c r="UGL221" s="1"/>
      <c r="UGM221" s="1"/>
      <c r="UGN221" s="1"/>
      <c r="UGO221" s="1"/>
      <c r="UGP221" s="1"/>
      <c r="UGQ221" s="1"/>
      <c r="UGR221" s="1"/>
      <c r="UGS221" s="1"/>
      <c r="UGT221" s="1"/>
      <c r="UGU221" s="1"/>
      <c r="UGV221" s="1"/>
      <c r="UGW221" s="1"/>
      <c r="UGX221" s="1"/>
      <c r="UGY221" s="1"/>
      <c r="UGZ221" s="1"/>
      <c r="UHA221" s="1"/>
      <c r="UHB221" s="1"/>
      <c r="UHC221" s="1"/>
      <c r="UHD221" s="1"/>
      <c r="UHE221" s="1"/>
      <c r="UHF221" s="1"/>
      <c r="UHG221" s="1"/>
      <c r="UHH221" s="1"/>
      <c r="UHI221" s="1"/>
      <c r="UHJ221" s="1"/>
      <c r="UHK221" s="1"/>
      <c r="UHL221" s="1"/>
      <c r="UHM221" s="1"/>
      <c r="UHN221" s="1"/>
      <c r="UHO221" s="1"/>
      <c r="UHP221" s="1"/>
      <c r="UHQ221" s="1"/>
      <c r="UHR221" s="1"/>
      <c r="UHS221" s="1"/>
      <c r="UHT221" s="1"/>
      <c r="UHU221" s="1"/>
      <c r="UHV221" s="1"/>
      <c r="UHW221" s="1"/>
      <c r="UHX221" s="1"/>
      <c r="UHY221" s="1"/>
      <c r="UHZ221" s="1"/>
      <c r="UIA221" s="1"/>
      <c r="UIB221" s="1"/>
      <c r="UIC221" s="1"/>
      <c r="UID221" s="1"/>
      <c r="UIE221" s="1"/>
      <c r="UIF221" s="1"/>
      <c r="UIG221" s="1"/>
      <c r="UIH221" s="1"/>
      <c r="UII221" s="1"/>
      <c r="UIJ221" s="1"/>
      <c r="UIK221" s="1"/>
      <c r="UIL221" s="1"/>
      <c r="UIM221" s="1"/>
      <c r="UIN221" s="1"/>
      <c r="UIO221" s="1"/>
      <c r="UIP221" s="1"/>
      <c r="UIQ221" s="1"/>
      <c r="UIR221" s="1"/>
      <c r="UIS221" s="1"/>
      <c r="UIT221" s="1"/>
      <c r="UIU221" s="1"/>
      <c r="UIV221" s="1"/>
      <c r="UIW221" s="1"/>
      <c r="UIX221" s="1"/>
      <c r="UIY221" s="1"/>
      <c r="UIZ221" s="1"/>
      <c r="UJA221" s="1"/>
      <c r="UJB221" s="1"/>
      <c r="UJC221" s="1"/>
      <c r="UJD221" s="1"/>
      <c r="UJE221" s="1"/>
      <c r="UJF221" s="1"/>
      <c r="UJG221" s="1"/>
      <c r="UJH221" s="1"/>
      <c r="UJI221" s="1"/>
      <c r="UJJ221" s="1"/>
      <c r="UJK221" s="1"/>
      <c r="UJL221" s="1"/>
      <c r="UJM221" s="1"/>
      <c r="UJN221" s="1"/>
      <c r="UJO221" s="1"/>
      <c r="UJP221" s="1"/>
      <c r="UJQ221" s="1"/>
      <c r="UJR221" s="1"/>
      <c r="UJS221" s="1"/>
      <c r="UJT221" s="1"/>
      <c r="UJU221" s="1"/>
      <c r="UJV221" s="1"/>
      <c r="UJW221" s="1"/>
      <c r="UJX221" s="1"/>
      <c r="UJY221" s="1"/>
      <c r="UJZ221" s="1"/>
      <c r="UKA221" s="1"/>
      <c r="UKB221" s="1"/>
      <c r="UKC221" s="1"/>
      <c r="UKD221" s="1"/>
      <c r="UKE221" s="1"/>
      <c r="UKF221" s="1"/>
      <c r="UKG221" s="1"/>
      <c r="UKH221" s="1"/>
      <c r="UKI221" s="1"/>
      <c r="UKJ221" s="1"/>
      <c r="UKK221" s="1"/>
      <c r="UKL221" s="1"/>
      <c r="UKM221" s="1"/>
      <c r="UKN221" s="1"/>
      <c r="UKO221" s="1"/>
      <c r="UKP221" s="1"/>
      <c r="UKQ221" s="1"/>
      <c r="UKR221" s="1"/>
      <c r="UKS221" s="1"/>
      <c r="UKT221" s="1"/>
      <c r="UKU221" s="1"/>
      <c r="UKV221" s="1"/>
      <c r="UKW221" s="1"/>
      <c r="UKX221" s="1"/>
      <c r="UKY221" s="1"/>
      <c r="UKZ221" s="1"/>
      <c r="ULA221" s="1"/>
      <c r="ULB221" s="1"/>
      <c r="ULC221" s="1"/>
      <c r="ULD221" s="1"/>
      <c r="ULE221" s="1"/>
      <c r="ULF221" s="1"/>
      <c r="ULG221" s="1"/>
      <c r="ULH221" s="1"/>
      <c r="ULI221" s="1"/>
      <c r="ULJ221" s="1"/>
      <c r="ULK221" s="1"/>
      <c r="ULL221" s="1"/>
      <c r="ULM221" s="1"/>
      <c r="ULN221" s="1"/>
      <c r="ULO221" s="1"/>
      <c r="ULP221" s="1"/>
      <c r="ULQ221" s="1"/>
      <c r="ULR221" s="1"/>
      <c r="ULS221" s="1"/>
      <c r="ULT221" s="1"/>
      <c r="ULU221" s="1"/>
      <c r="ULV221" s="1"/>
      <c r="ULW221" s="1"/>
      <c r="ULX221" s="1"/>
      <c r="ULY221" s="1"/>
      <c r="ULZ221" s="1"/>
      <c r="UMA221" s="1"/>
      <c r="UMB221" s="1"/>
      <c r="UMC221" s="1"/>
      <c r="UMD221" s="1"/>
      <c r="UME221" s="1"/>
      <c r="UMF221" s="1"/>
      <c r="UMG221" s="1"/>
      <c r="UMH221" s="1"/>
      <c r="UMI221" s="1"/>
      <c r="UMJ221" s="1"/>
      <c r="UMK221" s="1"/>
      <c r="UML221" s="1"/>
      <c r="UMM221" s="1"/>
      <c r="UMN221" s="1"/>
      <c r="UMO221" s="1"/>
      <c r="UMP221" s="1"/>
      <c r="UMQ221" s="1"/>
      <c r="UMR221" s="1"/>
      <c r="UMS221" s="1"/>
      <c r="UMT221" s="1"/>
      <c r="UMU221" s="1"/>
      <c r="UMV221" s="1"/>
      <c r="UMW221" s="1"/>
      <c r="UMX221" s="1"/>
      <c r="UMY221" s="1"/>
      <c r="UMZ221" s="1"/>
      <c r="UNA221" s="1"/>
      <c r="UNB221" s="1"/>
      <c r="UNC221" s="1"/>
      <c r="UND221" s="1"/>
      <c r="UNE221" s="1"/>
      <c r="UNF221" s="1"/>
      <c r="UNG221" s="1"/>
      <c r="UNH221" s="1"/>
      <c r="UNI221" s="1"/>
      <c r="UNJ221" s="1"/>
      <c r="UNK221" s="1"/>
      <c r="UNL221" s="1"/>
      <c r="UNM221" s="1"/>
      <c r="UNN221" s="1"/>
      <c r="UNO221" s="1"/>
      <c r="UNP221" s="1"/>
      <c r="UNQ221" s="1"/>
      <c r="UNR221" s="1"/>
      <c r="UNS221" s="1"/>
      <c r="UNT221" s="1"/>
      <c r="UNU221" s="1"/>
      <c r="UNV221" s="1"/>
      <c r="UNW221" s="1"/>
      <c r="UNX221" s="1"/>
      <c r="UNY221" s="1"/>
      <c r="UNZ221" s="1"/>
      <c r="UOA221" s="1"/>
      <c r="UOB221" s="1"/>
      <c r="UOC221" s="1"/>
      <c r="UOD221" s="1"/>
      <c r="UOE221" s="1"/>
      <c r="UOF221" s="1"/>
      <c r="UOG221" s="1"/>
      <c r="UOH221" s="1"/>
      <c r="UOI221" s="1"/>
      <c r="UOJ221" s="1"/>
      <c r="UOK221" s="1"/>
      <c r="UOL221" s="1"/>
      <c r="UOM221" s="1"/>
      <c r="UON221" s="1"/>
      <c r="UOO221" s="1"/>
      <c r="UOP221" s="1"/>
      <c r="UOQ221" s="1"/>
      <c r="UOR221" s="1"/>
      <c r="UOS221" s="1"/>
      <c r="UOT221" s="1"/>
      <c r="UOU221" s="1"/>
      <c r="UOV221" s="1"/>
      <c r="UOW221" s="1"/>
      <c r="UOX221" s="1"/>
      <c r="UOY221" s="1"/>
      <c r="UOZ221" s="1"/>
      <c r="UPA221" s="1"/>
      <c r="UPB221" s="1"/>
      <c r="UPC221" s="1"/>
      <c r="UPD221" s="1"/>
      <c r="UPE221" s="1"/>
      <c r="UPF221" s="1"/>
      <c r="UPG221" s="1"/>
      <c r="UPH221" s="1"/>
      <c r="UPI221" s="1"/>
      <c r="UPJ221" s="1"/>
      <c r="UPK221" s="1"/>
      <c r="UPL221" s="1"/>
      <c r="UPM221" s="1"/>
      <c r="UPN221" s="1"/>
      <c r="UPO221" s="1"/>
      <c r="UPP221" s="1"/>
      <c r="UPQ221" s="1"/>
      <c r="UPR221" s="1"/>
      <c r="UPS221" s="1"/>
      <c r="UPT221" s="1"/>
      <c r="UPU221" s="1"/>
      <c r="UPV221" s="1"/>
      <c r="UPW221" s="1"/>
      <c r="UPX221" s="1"/>
      <c r="UPY221" s="1"/>
      <c r="UPZ221" s="1"/>
      <c r="UQA221" s="1"/>
      <c r="UQB221" s="1"/>
      <c r="UQC221" s="1"/>
      <c r="UQD221" s="1"/>
      <c r="UQE221" s="1"/>
      <c r="UQF221" s="1"/>
      <c r="UQG221" s="1"/>
      <c r="UQH221" s="1"/>
      <c r="UQI221" s="1"/>
      <c r="UQJ221" s="1"/>
      <c r="UQK221" s="1"/>
      <c r="UQL221" s="1"/>
      <c r="UQM221" s="1"/>
      <c r="UQN221" s="1"/>
      <c r="UQO221" s="1"/>
      <c r="UQP221" s="1"/>
      <c r="UQQ221" s="1"/>
      <c r="UQR221" s="1"/>
      <c r="UQS221" s="1"/>
      <c r="UQT221" s="1"/>
      <c r="UQU221" s="1"/>
      <c r="UQV221" s="1"/>
      <c r="UQW221" s="1"/>
      <c r="UQX221" s="1"/>
      <c r="UQY221" s="1"/>
      <c r="UQZ221" s="1"/>
      <c r="URA221" s="1"/>
      <c r="URB221" s="1"/>
      <c r="URC221" s="1"/>
      <c r="URD221" s="1"/>
      <c r="URE221" s="1"/>
      <c r="URF221" s="1"/>
      <c r="URG221" s="1"/>
      <c r="URH221" s="1"/>
      <c r="URI221" s="1"/>
      <c r="URJ221" s="1"/>
      <c r="URK221" s="1"/>
      <c r="URL221" s="1"/>
      <c r="URM221" s="1"/>
      <c r="URN221" s="1"/>
      <c r="URO221" s="1"/>
      <c r="URP221" s="1"/>
      <c r="URQ221" s="1"/>
      <c r="URR221" s="1"/>
      <c r="URS221" s="1"/>
      <c r="URT221" s="1"/>
      <c r="URU221" s="1"/>
      <c r="URV221" s="1"/>
      <c r="URW221" s="1"/>
      <c r="URX221" s="1"/>
      <c r="URY221" s="1"/>
      <c r="URZ221" s="1"/>
      <c r="USA221" s="1"/>
      <c r="USB221" s="1"/>
      <c r="USC221" s="1"/>
      <c r="USD221" s="1"/>
      <c r="USE221" s="1"/>
      <c r="USF221" s="1"/>
      <c r="USG221" s="1"/>
      <c r="USH221" s="1"/>
      <c r="USI221" s="1"/>
      <c r="USJ221" s="1"/>
      <c r="USK221" s="1"/>
      <c r="USL221" s="1"/>
      <c r="USM221" s="1"/>
      <c r="USN221" s="1"/>
      <c r="USO221" s="1"/>
      <c r="USP221" s="1"/>
      <c r="USQ221" s="1"/>
      <c r="USR221" s="1"/>
      <c r="USS221" s="1"/>
      <c r="UST221" s="1"/>
      <c r="USU221" s="1"/>
      <c r="USV221" s="1"/>
      <c r="USW221" s="1"/>
      <c r="USX221" s="1"/>
      <c r="USY221" s="1"/>
      <c r="USZ221" s="1"/>
      <c r="UTA221" s="1"/>
      <c r="UTB221" s="1"/>
      <c r="UTC221" s="1"/>
      <c r="UTD221" s="1"/>
      <c r="UTE221" s="1"/>
      <c r="UTF221" s="1"/>
      <c r="UTG221" s="1"/>
      <c r="UTH221" s="1"/>
      <c r="UTI221" s="1"/>
      <c r="UTJ221" s="1"/>
      <c r="UTK221" s="1"/>
      <c r="UTL221" s="1"/>
      <c r="UTM221" s="1"/>
      <c r="UTN221" s="1"/>
      <c r="UTO221" s="1"/>
      <c r="UTP221" s="1"/>
      <c r="UTQ221" s="1"/>
      <c r="UTR221" s="1"/>
      <c r="UTS221" s="1"/>
      <c r="UTT221" s="1"/>
      <c r="UTU221" s="1"/>
      <c r="UTV221" s="1"/>
      <c r="UTW221" s="1"/>
      <c r="UTX221" s="1"/>
      <c r="UTY221" s="1"/>
      <c r="UTZ221" s="1"/>
      <c r="UUA221" s="1"/>
      <c r="UUB221" s="1"/>
      <c r="UUC221" s="1"/>
      <c r="UUD221" s="1"/>
      <c r="UUE221" s="1"/>
      <c r="UUF221" s="1"/>
      <c r="UUG221" s="1"/>
      <c r="UUH221" s="1"/>
      <c r="UUI221" s="1"/>
      <c r="UUJ221" s="1"/>
      <c r="UUK221" s="1"/>
      <c r="UUL221" s="1"/>
      <c r="UUM221" s="1"/>
      <c r="UUN221" s="1"/>
      <c r="UUO221" s="1"/>
      <c r="UUP221" s="1"/>
      <c r="UUQ221" s="1"/>
      <c r="UUR221" s="1"/>
      <c r="UUS221" s="1"/>
      <c r="UUT221" s="1"/>
      <c r="UUU221" s="1"/>
      <c r="UUV221" s="1"/>
      <c r="UUW221" s="1"/>
      <c r="UUX221" s="1"/>
      <c r="UUY221" s="1"/>
      <c r="UUZ221" s="1"/>
      <c r="UVA221" s="1"/>
      <c r="UVB221" s="1"/>
      <c r="UVC221" s="1"/>
      <c r="UVD221" s="1"/>
      <c r="UVE221" s="1"/>
      <c r="UVF221" s="1"/>
      <c r="UVG221" s="1"/>
      <c r="UVH221" s="1"/>
      <c r="UVI221" s="1"/>
      <c r="UVJ221" s="1"/>
      <c r="UVK221" s="1"/>
      <c r="UVL221" s="1"/>
      <c r="UVM221" s="1"/>
      <c r="UVN221" s="1"/>
      <c r="UVO221" s="1"/>
      <c r="UVP221" s="1"/>
      <c r="UVQ221" s="1"/>
      <c r="UVR221" s="1"/>
      <c r="UVS221" s="1"/>
      <c r="UVT221" s="1"/>
      <c r="UVU221" s="1"/>
      <c r="UVV221" s="1"/>
      <c r="UVW221" s="1"/>
      <c r="UVX221" s="1"/>
      <c r="UVY221" s="1"/>
      <c r="UVZ221" s="1"/>
      <c r="UWA221" s="1"/>
      <c r="UWB221" s="1"/>
      <c r="UWC221" s="1"/>
      <c r="UWD221" s="1"/>
      <c r="UWE221" s="1"/>
      <c r="UWF221" s="1"/>
      <c r="UWG221" s="1"/>
      <c r="UWH221" s="1"/>
      <c r="UWI221" s="1"/>
      <c r="UWJ221" s="1"/>
      <c r="UWK221" s="1"/>
      <c r="UWL221" s="1"/>
      <c r="UWM221" s="1"/>
      <c r="UWN221" s="1"/>
      <c r="UWO221" s="1"/>
      <c r="UWP221" s="1"/>
      <c r="UWQ221" s="1"/>
      <c r="UWR221" s="1"/>
      <c r="UWS221" s="1"/>
      <c r="UWT221" s="1"/>
      <c r="UWU221" s="1"/>
      <c r="UWV221" s="1"/>
      <c r="UWW221" s="1"/>
      <c r="UWX221" s="1"/>
      <c r="UWY221" s="1"/>
      <c r="UWZ221" s="1"/>
      <c r="UXA221" s="1"/>
      <c r="UXB221" s="1"/>
      <c r="UXC221" s="1"/>
      <c r="UXD221" s="1"/>
      <c r="UXE221" s="1"/>
      <c r="UXF221" s="1"/>
      <c r="UXG221" s="1"/>
      <c r="UXH221" s="1"/>
      <c r="UXI221" s="1"/>
      <c r="UXJ221" s="1"/>
      <c r="UXK221" s="1"/>
      <c r="UXL221" s="1"/>
      <c r="UXM221" s="1"/>
      <c r="UXN221" s="1"/>
      <c r="UXO221" s="1"/>
      <c r="UXP221" s="1"/>
      <c r="UXQ221" s="1"/>
      <c r="UXR221" s="1"/>
      <c r="UXS221" s="1"/>
      <c r="UXT221" s="1"/>
      <c r="UXU221" s="1"/>
      <c r="UXV221" s="1"/>
      <c r="UXW221" s="1"/>
      <c r="UXX221" s="1"/>
      <c r="UXY221" s="1"/>
      <c r="UXZ221" s="1"/>
      <c r="UYA221" s="1"/>
      <c r="UYB221" s="1"/>
      <c r="UYC221" s="1"/>
      <c r="UYD221" s="1"/>
      <c r="UYE221" s="1"/>
      <c r="UYF221" s="1"/>
      <c r="UYG221" s="1"/>
      <c r="UYH221" s="1"/>
      <c r="UYI221" s="1"/>
      <c r="UYJ221" s="1"/>
      <c r="UYK221" s="1"/>
      <c r="UYL221" s="1"/>
      <c r="UYM221" s="1"/>
      <c r="UYN221" s="1"/>
      <c r="UYO221" s="1"/>
      <c r="UYP221" s="1"/>
      <c r="UYQ221" s="1"/>
      <c r="UYR221" s="1"/>
      <c r="UYS221" s="1"/>
      <c r="UYT221" s="1"/>
      <c r="UYU221" s="1"/>
      <c r="UYV221" s="1"/>
      <c r="UYW221" s="1"/>
      <c r="UYX221" s="1"/>
      <c r="UYY221" s="1"/>
      <c r="UYZ221" s="1"/>
      <c r="UZA221" s="1"/>
      <c r="UZB221" s="1"/>
      <c r="UZC221" s="1"/>
      <c r="UZD221" s="1"/>
      <c r="UZE221" s="1"/>
      <c r="UZF221" s="1"/>
      <c r="UZG221" s="1"/>
      <c r="UZH221" s="1"/>
      <c r="UZI221" s="1"/>
      <c r="UZJ221" s="1"/>
      <c r="UZK221" s="1"/>
      <c r="UZL221" s="1"/>
      <c r="UZM221" s="1"/>
      <c r="UZN221" s="1"/>
      <c r="UZO221" s="1"/>
      <c r="UZP221" s="1"/>
      <c r="UZQ221" s="1"/>
      <c r="UZR221" s="1"/>
      <c r="UZS221" s="1"/>
      <c r="UZT221" s="1"/>
      <c r="UZU221" s="1"/>
      <c r="UZV221" s="1"/>
      <c r="UZW221" s="1"/>
      <c r="UZX221" s="1"/>
      <c r="UZY221" s="1"/>
      <c r="UZZ221" s="1"/>
      <c r="VAA221" s="1"/>
      <c r="VAB221" s="1"/>
      <c r="VAC221" s="1"/>
      <c r="VAD221" s="1"/>
      <c r="VAE221" s="1"/>
      <c r="VAF221" s="1"/>
      <c r="VAG221" s="1"/>
      <c r="VAH221" s="1"/>
      <c r="VAI221" s="1"/>
      <c r="VAJ221" s="1"/>
      <c r="VAK221" s="1"/>
      <c r="VAL221" s="1"/>
      <c r="VAM221" s="1"/>
      <c r="VAN221" s="1"/>
      <c r="VAO221" s="1"/>
      <c r="VAP221" s="1"/>
      <c r="VAQ221" s="1"/>
      <c r="VAR221" s="1"/>
      <c r="VAS221" s="1"/>
      <c r="VAT221" s="1"/>
      <c r="VAU221" s="1"/>
      <c r="VAV221" s="1"/>
      <c r="VAW221" s="1"/>
      <c r="VAX221" s="1"/>
      <c r="VAY221" s="1"/>
      <c r="VAZ221" s="1"/>
      <c r="VBA221" s="1"/>
      <c r="VBB221" s="1"/>
      <c r="VBC221" s="1"/>
      <c r="VBD221" s="1"/>
      <c r="VBE221" s="1"/>
      <c r="VBF221" s="1"/>
      <c r="VBG221" s="1"/>
      <c r="VBH221" s="1"/>
      <c r="VBI221" s="1"/>
      <c r="VBJ221" s="1"/>
      <c r="VBK221" s="1"/>
      <c r="VBL221" s="1"/>
      <c r="VBM221" s="1"/>
      <c r="VBN221" s="1"/>
      <c r="VBO221" s="1"/>
      <c r="VBP221" s="1"/>
      <c r="VBQ221" s="1"/>
      <c r="VBR221" s="1"/>
      <c r="VBS221" s="1"/>
      <c r="VBT221" s="1"/>
      <c r="VBU221" s="1"/>
      <c r="VBV221" s="1"/>
      <c r="VBW221" s="1"/>
      <c r="VBX221" s="1"/>
      <c r="VBY221" s="1"/>
      <c r="VBZ221" s="1"/>
      <c r="VCA221" s="1"/>
      <c r="VCB221" s="1"/>
      <c r="VCC221" s="1"/>
      <c r="VCD221" s="1"/>
      <c r="VCE221" s="1"/>
      <c r="VCF221" s="1"/>
      <c r="VCG221" s="1"/>
      <c r="VCH221" s="1"/>
      <c r="VCI221" s="1"/>
      <c r="VCJ221" s="1"/>
      <c r="VCK221" s="1"/>
      <c r="VCL221" s="1"/>
      <c r="VCM221" s="1"/>
      <c r="VCN221" s="1"/>
      <c r="VCO221" s="1"/>
      <c r="VCP221" s="1"/>
      <c r="VCQ221" s="1"/>
      <c r="VCR221" s="1"/>
      <c r="VCS221" s="1"/>
      <c r="VCT221" s="1"/>
      <c r="VCU221" s="1"/>
      <c r="VCV221" s="1"/>
    </row>
    <row r="222" spans="5:14972" s="2" customFormat="1" x14ac:dyDescent="0.3">
      <c r="E222" s="1"/>
      <c r="F222" s="1"/>
      <c r="G222" s="1"/>
      <c r="H222" s="1"/>
      <c r="I222" s="1"/>
      <c r="J222" s="1"/>
      <c r="K222" s="1"/>
      <c r="L222" s="1"/>
      <c r="M222" s="1"/>
      <c r="N222" s="1"/>
      <c r="O222" s="1"/>
      <c r="P222" s="1"/>
      <c r="Q222" s="1"/>
      <c r="R222" s="1"/>
      <c r="S222" s="1"/>
      <c r="T222" s="1"/>
      <c r="U222" s="1"/>
      <c r="V222" s="1"/>
      <c r="W222" s="1"/>
      <c r="X222" s="1"/>
      <c r="Y222" s="1"/>
      <c r="Z222" s="1"/>
      <c r="AA222" s="1"/>
      <c r="AB222" s="1"/>
      <c r="AC222" s="1"/>
      <c r="AD222" s="1"/>
      <c r="AE222" s="1"/>
      <c r="AF222" s="1"/>
      <c r="AG222" s="1"/>
      <c r="AH222" s="1"/>
      <c r="AI222" s="1"/>
      <c r="AJ222" s="1"/>
      <c r="AK222" s="1"/>
      <c r="AL222" s="1"/>
      <c r="AM222" s="5"/>
      <c r="AN222" s="5"/>
      <c r="AO222" s="1"/>
      <c r="AP222" s="1"/>
      <c r="AQ222" s="1"/>
      <c r="AS222" s="3"/>
      <c r="CA222" s="1"/>
      <c r="CB222" s="1"/>
      <c r="CC222" s="1"/>
      <c r="CD222" s="1"/>
      <c r="CE222" s="1"/>
      <c r="CF222" s="1"/>
      <c r="CG222" s="1"/>
      <c r="CH222" s="1"/>
      <c r="CI222" s="1"/>
      <c r="CJ222" s="1"/>
      <c r="CK222" s="1"/>
      <c r="CL222" s="1"/>
      <c r="CM222" s="1"/>
      <c r="CN222" s="1"/>
      <c r="CO222" s="1"/>
      <c r="CP222" s="1"/>
      <c r="CQ222" s="1"/>
      <c r="CR222" s="1"/>
      <c r="CS222" s="1"/>
      <c r="CT222" s="1"/>
      <c r="CU222" s="1"/>
      <c r="CV222" s="1"/>
      <c r="CW222" s="1"/>
      <c r="CX222" s="1"/>
      <c r="CY222" s="1"/>
      <c r="CZ222" s="1"/>
      <c r="DA222" s="1"/>
      <c r="DB222"/>
      <c r="DC222" s="1"/>
      <c r="DD222" s="1"/>
      <c r="DE222" s="1"/>
      <c r="DF222" s="1"/>
      <c r="DG222" s="1"/>
      <c r="DH222" s="1"/>
      <c r="DI222" s="1"/>
      <c r="DJ222" s="1"/>
      <c r="DK222" s="1"/>
      <c r="DL222" s="1"/>
      <c r="DM222" s="1"/>
      <c r="DN222" s="1"/>
      <c r="DO222" s="1"/>
      <c r="DP222" s="1"/>
      <c r="DQ222" s="1"/>
      <c r="DR222" s="1"/>
      <c r="DS222" s="1"/>
      <c r="DT222" s="1"/>
      <c r="DU222" s="1"/>
      <c r="DV222" s="1"/>
      <c r="DW222" s="1"/>
      <c r="DX222" s="1"/>
      <c r="DY222" s="1"/>
      <c r="DZ222" s="1"/>
      <c r="EA222" s="1"/>
      <c r="EB222" s="1"/>
      <c r="EC222" s="1"/>
      <c r="ED222" s="1"/>
      <c r="EE222" s="1"/>
      <c r="EF222" s="1"/>
      <c r="EG222" s="1"/>
      <c r="EH222" s="1"/>
      <c r="EI222" s="1"/>
      <c r="EJ222" s="1"/>
      <c r="EK222" s="1"/>
      <c r="EL222" s="1"/>
      <c r="EM222" s="1"/>
      <c r="EN222" s="1"/>
      <c r="EO222" s="1"/>
      <c r="EP222" s="1"/>
      <c r="EQ222" s="1"/>
      <c r="ER222" s="1"/>
      <c r="ES222" s="1"/>
      <c r="ET222" s="1"/>
      <c r="EU222" s="1"/>
      <c r="EV222" s="1"/>
      <c r="EW222" s="1"/>
      <c r="EX222" s="1"/>
      <c r="EY222" s="1"/>
      <c r="EZ222" s="1"/>
      <c r="FA222" s="1"/>
      <c r="FB222" s="1"/>
      <c r="FC222" s="1"/>
      <c r="FD222" s="1"/>
      <c r="FE222" s="1"/>
      <c r="FF222" s="1"/>
      <c r="FG222" s="1"/>
      <c r="FH222" s="1"/>
      <c r="FI222" s="1"/>
      <c r="FJ222" s="1"/>
      <c r="FK222" s="1"/>
      <c r="FL222" s="1"/>
      <c r="FM222" s="1"/>
      <c r="FN222" s="1"/>
      <c r="FO222" s="1"/>
      <c r="FP222" s="1"/>
      <c r="FQ222" s="1"/>
      <c r="FR222" s="1"/>
      <c r="FS222" s="1"/>
      <c r="FT222" s="1"/>
      <c r="FU222" s="1"/>
      <c r="FV222" s="1"/>
      <c r="FW222" s="1"/>
      <c r="FX222" s="1"/>
      <c r="FY222" s="1"/>
      <c r="FZ222" s="1"/>
      <c r="GA222" s="1"/>
      <c r="GB222" s="1"/>
      <c r="GC222" s="1"/>
      <c r="GD222" s="1"/>
      <c r="GE222" s="1"/>
      <c r="GF222" s="1"/>
      <c r="GG222" s="1"/>
      <c r="GH222" s="1"/>
      <c r="GI222" s="1"/>
      <c r="GJ222" s="1"/>
      <c r="GK222" s="1"/>
      <c r="GL222" s="1"/>
      <c r="GM222" s="1"/>
      <c r="GN222" s="1"/>
      <c r="GO222" s="1"/>
      <c r="GP222" s="1"/>
      <c r="GQ222" s="1"/>
      <c r="GR222" s="1"/>
      <c r="GS222" s="1"/>
      <c r="GT222" s="1"/>
      <c r="GU222" s="1"/>
      <c r="GV222" s="1"/>
      <c r="GW222" s="1"/>
      <c r="GX222" s="1"/>
      <c r="GY222" s="1"/>
      <c r="GZ222" s="1"/>
      <c r="HA222" s="1"/>
      <c r="HB222" s="1"/>
      <c r="HC222" s="1"/>
      <c r="HD222" s="1"/>
      <c r="HE222" s="1"/>
      <c r="HF222" s="1"/>
      <c r="HG222" s="1"/>
      <c r="HH222" s="1"/>
      <c r="HI222" s="1"/>
      <c r="HJ222" s="1"/>
      <c r="HK222" s="1"/>
      <c r="HL222" s="1"/>
      <c r="HM222" s="1"/>
      <c r="HN222" s="1"/>
      <c r="HO222" s="1"/>
      <c r="HP222" s="1"/>
      <c r="HQ222" s="1"/>
      <c r="HR222" s="1"/>
      <c r="HS222" s="1"/>
      <c r="HT222" s="1"/>
      <c r="HU222" s="1"/>
      <c r="HV222" s="1"/>
      <c r="HW222" s="1"/>
      <c r="HX222" s="1"/>
      <c r="HY222" s="1"/>
      <c r="HZ222" s="1"/>
      <c r="IA222" s="1"/>
      <c r="IB222" s="1"/>
      <c r="IC222" s="1"/>
      <c r="ID222" s="1"/>
      <c r="IE222" s="1"/>
      <c r="IF222" s="1"/>
      <c r="IG222" s="1"/>
      <c r="IH222" s="1"/>
      <c r="II222" s="1"/>
      <c r="IJ222" s="1"/>
      <c r="IK222" s="1"/>
      <c r="IL222" s="1"/>
      <c r="IM222" s="1"/>
      <c r="IN222" s="1"/>
      <c r="IO222" s="1"/>
      <c r="IP222" s="1"/>
      <c r="IQ222" s="1"/>
      <c r="IR222" s="1"/>
      <c r="IS222" s="1"/>
      <c r="IT222" s="1"/>
      <c r="IU222" s="1"/>
      <c r="IV222" s="1"/>
      <c r="IW222" s="1"/>
      <c r="IX222" s="1"/>
      <c r="IY222" s="1"/>
      <c r="IZ222" s="1"/>
      <c r="JA222" s="1"/>
      <c r="JB222" s="1"/>
      <c r="JC222" s="1"/>
      <c r="JD222" s="1"/>
      <c r="JE222" s="1"/>
      <c r="JF222" s="1"/>
      <c r="JG222" s="1"/>
      <c r="JH222" s="1"/>
      <c r="JI222" s="1"/>
      <c r="JJ222" s="1"/>
      <c r="JK222" s="1"/>
      <c r="JL222" s="1"/>
      <c r="JM222" s="1"/>
      <c r="JN222" s="1"/>
      <c r="JO222" s="1"/>
      <c r="JP222" s="1"/>
      <c r="JQ222" s="1"/>
      <c r="JR222" s="1"/>
      <c r="JS222" s="1"/>
      <c r="JT222" s="1"/>
      <c r="JU222" s="1"/>
      <c r="JV222" s="1"/>
      <c r="JW222" s="1"/>
      <c r="JX222" s="1"/>
      <c r="JY222" s="1"/>
      <c r="JZ222" s="1"/>
      <c r="KA222" s="1"/>
      <c r="KB222" s="1"/>
      <c r="KC222" s="1"/>
      <c r="KD222" s="1"/>
      <c r="KE222" s="1"/>
      <c r="KF222" s="1"/>
      <c r="KG222" s="1"/>
      <c r="KH222" s="1"/>
      <c r="KI222" s="1"/>
      <c r="KJ222" s="1"/>
      <c r="KK222" s="1"/>
      <c r="KL222" s="1"/>
      <c r="KM222" s="1"/>
      <c r="KN222" s="1"/>
      <c r="KO222" s="1"/>
      <c r="KP222" s="1"/>
      <c r="KQ222" s="1"/>
      <c r="KR222" s="1"/>
      <c r="KS222" s="1"/>
      <c r="KT222" s="1"/>
      <c r="KU222" s="1"/>
      <c r="KV222" s="1"/>
      <c r="KW222" s="1"/>
      <c r="KX222" s="1"/>
      <c r="KY222" s="1"/>
      <c r="KZ222" s="1"/>
      <c r="LA222" s="1"/>
      <c r="LB222" s="1"/>
      <c r="LC222" s="1"/>
      <c r="LD222" s="1"/>
      <c r="LE222" s="1"/>
      <c r="LF222" s="1"/>
      <c r="LG222" s="1"/>
      <c r="LH222" s="1"/>
      <c r="LI222" s="1"/>
      <c r="LJ222" s="1"/>
      <c r="LK222" s="1"/>
      <c r="LL222" s="1"/>
      <c r="LM222" s="1"/>
      <c r="LN222" s="1"/>
      <c r="LO222" s="1"/>
      <c r="LP222" s="1"/>
      <c r="LQ222" s="1"/>
      <c r="LR222" s="1"/>
      <c r="LS222" s="1"/>
      <c r="LT222" s="1"/>
      <c r="LU222" s="1"/>
      <c r="LV222" s="1"/>
      <c r="LW222" s="1"/>
      <c r="LX222" s="1"/>
      <c r="LY222" s="1"/>
      <c r="LZ222" s="1"/>
      <c r="MA222" s="1"/>
      <c r="MB222" s="1"/>
      <c r="MC222" s="1"/>
      <c r="MD222" s="1"/>
      <c r="ME222" s="1"/>
      <c r="MF222" s="1"/>
      <c r="MG222" s="1"/>
      <c r="MH222" s="1"/>
      <c r="MI222" s="1"/>
      <c r="MJ222" s="1"/>
      <c r="MK222" s="1"/>
      <c r="ML222" s="1"/>
      <c r="MM222" s="1"/>
      <c r="MN222" s="1"/>
      <c r="MO222" s="1"/>
      <c r="MP222" s="1"/>
      <c r="MQ222" s="1"/>
      <c r="MR222" s="1"/>
      <c r="MS222" s="1"/>
      <c r="MT222" s="1"/>
      <c r="MU222" s="1"/>
      <c r="MV222" s="1"/>
      <c r="MW222" s="1"/>
      <c r="MX222" s="1"/>
      <c r="MY222" s="1"/>
      <c r="MZ222" s="1"/>
      <c r="NA222" s="1"/>
      <c r="NB222" s="1"/>
      <c r="NC222" s="1"/>
      <c r="ND222" s="1"/>
      <c r="NE222" s="1"/>
      <c r="NF222" s="1"/>
      <c r="NG222" s="1"/>
      <c r="NH222" s="1"/>
      <c r="NI222" s="1"/>
      <c r="NJ222" s="1"/>
      <c r="NK222" s="1"/>
      <c r="NL222" s="1"/>
      <c r="NM222" s="1"/>
      <c r="NN222" s="1"/>
      <c r="NO222" s="1"/>
      <c r="NP222" s="1"/>
      <c r="NQ222" s="1"/>
      <c r="NR222" s="1"/>
      <c r="NS222" s="1"/>
      <c r="NT222" s="1"/>
      <c r="NU222" s="1"/>
      <c r="NV222" s="1"/>
      <c r="NW222" s="1"/>
      <c r="NX222" s="1"/>
      <c r="NY222" s="1"/>
      <c r="NZ222" s="1"/>
      <c r="OA222" s="1"/>
      <c r="OB222" s="1"/>
      <c r="OC222" s="1"/>
      <c r="OD222" s="1"/>
      <c r="OE222" s="1"/>
      <c r="OF222" s="1"/>
      <c r="OG222" s="1"/>
      <c r="OH222" s="1"/>
      <c r="OI222" s="1"/>
      <c r="OJ222" s="1"/>
      <c r="OK222" s="1"/>
      <c r="OL222" s="1"/>
      <c r="OM222" s="1"/>
      <c r="ON222" s="1"/>
      <c r="OO222" s="1"/>
      <c r="OP222" s="1"/>
      <c r="OQ222" s="1"/>
      <c r="OR222" s="1"/>
      <c r="OS222" s="1"/>
      <c r="OT222" s="1"/>
      <c r="OU222" s="1"/>
      <c r="OV222" s="1"/>
      <c r="OW222" s="1"/>
      <c r="OX222" s="1"/>
      <c r="OY222" s="1"/>
      <c r="OZ222" s="1"/>
      <c r="PA222" s="1"/>
      <c r="PB222" s="1"/>
      <c r="PC222" s="1"/>
      <c r="PD222" s="1"/>
      <c r="PE222" s="1"/>
      <c r="PF222" s="1"/>
      <c r="PG222" s="1"/>
      <c r="PH222" s="1"/>
      <c r="PI222" s="1"/>
      <c r="PJ222" s="1"/>
      <c r="PK222" s="1"/>
      <c r="PL222" s="1"/>
      <c r="PM222" s="1"/>
      <c r="PN222" s="1"/>
      <c r="PO222" s="1"/>
      <c r="PP222" s="1"/>
      <c r="PQ222" s="1"/>
      <c r="PR222" s="1"/>
      <c r="PS222" s="1"/>
      <c r="PT222" s="1"/>
      <c r="PU222" s="1"/>
      <c r="PV222" s="1"/>
      <c r="PW222" s="1"/>
      <c r="PX222" s="1"/>
      <c r="PY222" s="1"/>
      <c r="PZ222" s="1"/>
      <c r="QA222" s="1"/>
      <c r="QB222" s="1"/>
      <c r="QC222" s="1"/>
      <c r="QD222" s="1"/>
      <c r="QE222" s="1"/>
      <c r="QF222" s="1"/>
      <c r="QG222" s="1"/>
      <c r="QH222" s="1"/>
      <c r="QI222" s="1"/>
      <c r="QJ222" s="1"/>
      <c r="QK222" s="1"/>
      <c r="QL222" s="1"/>
      <c r="QM222" s="1"/>
      <c r="QN222" s="1"/>
      <c r="QO222" s="1"/>
      <c r="QP222" s="1"/>
      <c r="QQ222" s="1"/>
      <c r="QR222" s="1"/>
      <c r="QS222" s="1"/>
      <c r="QT222" s="1"/>
      <c r="QU222" s="1"/>
      <c r="QV222" s="1"/>
      <c r="QW222" s="1"/>
      <c r="QX222" s="1"/>
      <c r="QY222" s="1"/>
      <c r="QZ222" s="1"/>
      <c r="RA222" s="1"/>
      <c r="RB222" s="1"/>
      <c r="RC222" s="1"/>
      <c r="RD222" s="1"/>
      <c r="RE222" s="1"/>
      <c r="RF222" s="1"/>
      <c r="RG222" s="1"/>
      <c r="RH222" s="1"/>
      <c r="RI222" s="1"/>
      <c r="RJ222" s="1"/>
      <c r="RK222" s="1"/>
      <c r="RL222" s="1"/>
      <c r="RM222" s="1"/>
      <c r="RN222" s="1"/>
      <c r="RO222" s="1"/>
      <c r="RP222" s="1"/>
      <c r="RQ222" s="1"/>
      <c r="RR222" s="1"/>
      <c r="RS222" s="1"/>
      <c r="RT222" s="1"/>
      <c r="RU222" s="1"/>
      <c r="RV222" s="1"/>
      <c r="RW222" s="1"/>
      <c r="RX222" s="1"/>
      <c r="RY222" s="1"/>
      <c r="RZ222" s="1"/>
      <c r="SA222" s="1"/>
      <c r="SB222" s="1"/>
      <c r="SC222" s="1"/>
      <c r="SD222" s="1"/>
      <c r="SE222" s="1"/>
      <c r="SF222" s="1"/>
      <c r="SG222" s="1"/>
      <c r="SH222" s="1"/>
      <c r="SI222" s="1"/>
      <c r="SJ222" s="1"/>
      <c r="SK222" s="1"/>
      <c r="SL222" s="1"/>
      <c r="SM222" s="1"/>
      <c r="SN222" s="1"/>
      <c r="SO222" s="1"/>
      <c r="SP222" s="1"/>
      <c r="SQ222" s="1"/>
      <c r="SR222" s="1"/>
      <c r="SS222" s="1"/>
      <c r="ST222" s="1"/>
      <c r="SU222" s="1"/>
      <c r="SV222" s="1"/>
      <c r="SW222" s="1"/>
      <c r="SX222" s="1"/>
      <c r="SY222" s="1"/>
      <c r="SZ222" s="1"/>
      <c r="TA222" s="1"/>
      <c r="TB222" s="1"/>
      <c r="TC222" s="1"/>
      <c r="TD222" s="1"/>
      <c r="TE222" s="1"/>
      <c r="TF222" s="1"/>
      <c r="TG222" s="1"/>
      <c r="TH222" s="1"/>
      <c r="TI222" s="1"/>
      <c r="TJ222" s="1"/>
      <c r="TK222" s="1"/>
      <c r="TL222" s="1"/>
      <c r="TM222" s="1"/>
      <c r="TN222" s="1"/>
      <c r="TO222" s="1"/>
      <c r="TP222" s="1"/>
      <c r="TQ222" s="1"/>
      <c r="TR222" s="1"/>
      <c r="TS222" s="1"/>
      <c r="TT222" s="1"/>
      <c r="TU222" s="1"/>
      <c r="TV222" s="1"/>
      <c r="TW222" s="1"/>
      <c r="TX222" s="1"/>
      <c r="TY222" s="1"/>
      <c r="TZ222" s="1"/>
      <c r="UA222" s="1"/>
      <c r="UB222" s="1"/>
      <c r="UC222" s="1"/>
      <c r="UD222" s="1"/>
      <c r="UE222" s="1"/>
      <c r="UF222" s="1"/>
      <c r="UG222" s="1"/>
      <c r="UH222" s="1"/>
      <c r="UI222" s="1"/>
      <c r="UJ222" s="1"/>
      <c r="UK222" s="1"/>
      <c r="UL222" s="1"/>
      <c r="UM222" s="1"/>
      <c r="UN222" s="1"/>
      <c r="UO222" s="1"/>
      <c r="UP222" s="1"/>
      <c r="UQ222" s="1"/>
      <c r="UR222" s="1"/>
      <c r="US222" s="1"/>
      <c r="UT222" s="1"/>
      <c r="UU222" s="1"/>
      <c r="UV222" s="1"/>
      <c r="UW222" s="1"/>
      <c r="UX222" s="1"/>
      <c r="UY222" s="1"/>
      <c r="UZ222" s="1"/>
      <c r="VA222" s="1"/>
      <c r="VB222" s="1"/>
      <c r="VC222" s="1"/>
      <c r="VD222" s="1"/>
      <c r="VE222" s="1"/>
      <c r="VF222" s="1"/>
      <c r="VG222" s="1"/>
      <c r="VH222" s="1"/>
      <c r="VI222" s="1"/>
      <c r="VJ222" s="1"/>
      <c r="VK222" s="1"/>
      <c r="VL222" s="1"/>
      <c r="VM222" s="1"/>
      <c r="VN222" s="1"/>
      <c r="VO222" s="1"/>
      <c r="VP222" s="1"/>
      <c r="VQ222" s="1"/>
      <c r="VR222" s="1"/>
      <c r="VS222" s="1"/>
      <c r="VT222" s="1"/>
      <c r="VU222" s="1"/>
      <c r="VV222" s="1"/>
      <c r="VW222" s="1"/>
      <c r="VX222" s="1"/>
      <c r="VY222" s="1"/>
      <c r="VZ222" s="1"/>
      <c r="WA222" s="1"/>
      <c r="WB222" s="1"/>
      <c r="WC222" s="1"/>
      <c r="WD222" s="1"/>
      <c r="WE222" s="1"/>
      <c r="WF222" s="1"/>
      <c r="WG222" s="1"/>
      <c r="WH222" s="1"/>
      <c r="WI222" s="1"/>
      <c r="WJ222" s="1"/>
      <c r="WK222" s="1"/>
      <c r="WL222" s="1"/>
      <c r="WM222" s="1"/>
      <c r="WN222" s="1"/>
      <c r="WO222" s="1"/>
      <c r="WP222" s="1"/>
      <c r="WQ222" s="1"/>
      <c r="WR222" s="1"/>
      <c r="WS222" s="1"/>
      <c r="WT222" s="1"/>
      <c r="WU222" s="1"/>
      <c r="WV222" s="1"/>
      <c r="WW222" s="1"/>
      <c r="WX222" s="1"/>
      <c r="WY222" s="1"/>
      <c r="WZ222" s="1"/>
      <c r="XA222" s="1"/>
      <c r="XB222" s="1"/>
      <c r="XC222" s="1"/>
      <c r="XD222" s="1"/>
      <c r="XE222" s="1"/>
      <c r="XF222" s="1"/>
      <c r="XG222" s="1"/>
      <c r="XH222" s="1"/>
      <c r="XI222" s="1"/>
      <c r="XJ222" s="1"/>
      <c r="XK222" s="1"/>
      <c r="XL222" s="1"/>
      <c r="XM222" s="1"/>
      <c r="XN222" s="1"/>
      <c r="XO222" s="1"/>
      <c r="XP222" s="1"/>
      <c r="XQ222" s="1"/>
      <c r="XR222" s="1"/>
      <c r="XS222" s="1"/>
      <c r="XT222" s="1"/>
      <c r="XU222" s="1"/>
      <c r="XV222" s="1"/>
      <c r="XW222" s="1"/>
      <c r="XX222" s="1"/>
      <c r="XY222" s="1"/>
      <c r="XZ222" s="1"/>
      <c r="YA222" s="1"/>
      <c r="YB222" s="1"/>
      <c r="YC222" s="1"/>
      <c r="YD222" s="1"/>
      <c r="YE222" s="1"/>
      <c r="YF222" s="1"/>
      <c r="YG222" s="1"/>
      <c r="YH222" s="1"/>
      <c r="YI222" s="1"/>
      <c r="YJ222" s="1"/>
      <c r="YK222" s="1"/>
      <c r="YL222" s="1"/>
      <c r="YM222" s="1"/>
      <c r="YN222" s="1"/>
      <c r="YO222" s="1"/>
      <c r="YP222" s="1"/>
      <c r="YQ222" s="1"/>
      <c r="YR222" s="1"/>
      <c r="YS222" s="1"/>
      <c r="YT222" s="1"/>
      <c r="YU222" s="1"/>
      <c r="YV222" s="1"/>
      <c r="YW222" s="1"/>
      <c r="YX222" s="1"/>
      <c r="YY222" s="1"/>
      <c r="YZ222" s="1"/>
      <c r="ZA222" s="1"/>
      <c r="ZB222" s="1"/>
      <c r="ZC222" s="1"/>
      <c r="ZD222" s="1"/>
      <c r="ZE222" s="1"/>
      <c r="ZF222" s="1"/>
      <c r="ZG222" s="1"/>
      <c r="ZH222" s="1"/>
      <c r="ZI222" s="1"/>
      <c r="ZJ222" s="1"/>
      <c r="ZK222" s="1"/>
      <c r="ZL222" s="1"/>
      <c r="ZM222" s="1"/>
      <c r="ZN222" s="1"/>
      <c r="ZO222" s="1"/>
      <c r="ZP222" s="1"/>
      <c r="ZQ222" s="1"/>
      <c r="ZR222" s="1"/>
      <c r="ZS222" s="1"/>
      <c r="ZT222" s="1"/>
      <c r="ZU222" s="1"/>
      <c r="ZV222" s="1"/>
      <c r="ZW222" s="1"/>
      <c r="ZX222" s="1"/>
      <c r="ZY222" s="1"/>
      <c r="ZZ222" s="1"/>
      <c r="AAA222" s="1"/>
      <c r="AAB222" s="1"/>
      <c r="AAC222" s="1"/>
      <c r="AAD222" s="1"/>
      <c r="AAE222" s="1"/>
      <c r="AAF222" s="1"/>
      <c r="AAG222" s="1"/>
      <c r="AAH222" s="1"/>
      <c r="AAI222" s="1"/>
      <c r="AAJ222" s="1"/>
      <c r="AAK222" s="1"/>
      <c r="AAL222" s="1"/>
      <c r="AAM222" s="1"/>
      <c r="AAN222" s="1"/>
      <c r="AAO222" s="1"/>
      <c r="AAP222" s="1"/>
      <c r="AAQ222" s="1"/>
      <c r="AAR222" s="1"/>
      <c r="AAS222" s="1"/>
      <c r="AAT222" s="1"/>
      <c r="AAU222" s="1"/>
      <c r="AAV222" s="1"/>
      <c r="AAW222" s="1"/>
      <c r="AAX222" s="1"/>
      <c r="AAY222" s="1"/>
      <c r="AAZ222" s="1"/>
      <c r="ABA222" s="1"/>
      <c r="ABB222" s="1"/>
      <c r="ABC222" s="1"/>
      <c r="ABD222" s="1"/>
      <c r="ABE222" s="1"/>
      <c r="ABF222" s="1"/>
      <c r="ABG222" s="1"/>
      <c r="ABH222" s="1"/>
      <c r="ABI222" s="1"/>
      <c r="ABJ222" s="1"/>
      <c r="ABK222" s="1"/>
      <c r="ABL222" s="1"/>
      <c r="ABM222" s="1"/>
      <c r="ABN222" s="1"/>
      <c r="ABO222" s="1"/>
      <c r="ABP222" s="1"/>
      <c r="ABQ222" s="1"/>
      <c r="ABR222" s="1"/>
      <c r="ABS222" s="1"/>
      <c r="ABT222" s="1"/>
      <c r="ABU222" s="1"/>
      <c r="ABV222" s="1"/>
      <c r="ABW222" s="1"/>
      <c r="ABX222" s="1"/>
      <c r="ABY222" s="1"/>
      <c r="ABZ222" s="1"/>
      <c r="ACA222" s="1"/>
      <c r="ACB222" s="1"/>
      <c r="ACC222" s="1"/>
      <c r="ACD222" s="1"/>
      <c r="ACE222" s="1"/>
      <c r="ACF222" s="1"/>
      <c r="ACG222" s="1"/>
      <c r="ACH222" s="1"/>
      <c r="ACI222" s="1"/>
      <c r="ACJ222" s="1"/>
      <c r="ACK222" s="1"/>
      <c r="ACL222" s="1"/>
      <c r="ACM222" s="1"/>
      <c r="ACN222" s="1"/>
      <c r="ACO222" s="1"/>
      <c r="ACP222" s="1"/>
      <c r="ACQ222" s="1"/>
      <c r="ACR222" s="1"/>
      <c r="ACS222" s="1"/>
      <c r="ACT222" s="1"/>
      <c r="ACU222" s="1"/>
      <c r="ACV222" s="1"/>
      <c r="ACW222" s="1"/>
      <c r="ACX222" s="1"/>
      <c r="ACY222" s="1"/>
      <c r="ACZ222" s="1"/>
      <c r="ADA222" s="1"/>
      <c r="ADB222" s="1"/>
      <c r="ADC222" s="1"/>
      <c r="ADD222" s="1"/>
      <c r="ADE222" s="1"/>
      <c r="ADF222" s="1"/>
      <c r="ADG222" s="1"/>
      <c r="ADH222" s="1"/>
      <c r="ADI222" s="1"/>
      <c r="ADJ222" s="1"/>
      <c r="ADK222" s="1"/>
      <c r="ADL222" s="1"/>
      <c r="ADM222" s="1"/>
      <c r="ADN222" s="1"/>
      <c r="ADO222" s="1"/>
      <c r="ADP222" s="1"/>
      <c r="ADQ222" s="1"/>
      <c r="ADR222" s="1"/>
      <c r="ADS222" s="1"/>
      <c r="ADT222" s="1"/>
      <c r="ADU222" s="1"/>
      <c r="ADV222" s="1"/>
      <c r="ADW222" s="1"/>
      <c r="ADX222" s="1"/>
      <c r="ADY222" s="1"/>
      <c r="ADZ222" s="1"/>
      <c r="AEA222" s="1"/>
      <c r="AEB222" s="1"/>
      <c r="AEC222" s="1"/>
      <c r="AED222" s="1"/>
      <c r="AEE222" s="1"/>
      <c r="AEF222" s="1"/>
      <c r="AEG222" s="1"/>
      <c r="AEH222" s="1"/>
      <c r="AEI222" s="1"/>
      <c r="AEJ222" s="1"/>
      <c r="AEK222" s="1"/>
      <c r="AEL222" s="1"/>
      <c r="AEM222" s="1"/>
      <c r="AEN222" s="1"/>
      <c r="AEO222" s="1"/>
      <c r="AEP222" s="1"/>
      <c r="AEQ222" s="1"/>
      <c r="AER222" s="1"/>
      <c r="AES222" s="1"/>
      <c r="AET222" s="1"/>
      <c r="AEU222" s="1"/>
      <c r="AEV222" s="1"/>
      <c r="AEW222" s="1"/>
      <c r="AEX222" s="1"/>
      <c r="AEY222" s="1"/>
      <c r="AEZ222" s="1"/>
      <c r="AFA222" s="1"/>
      <c r="AFB222" s="1"/>
      <c r="AFC222" s="1"/>
      <c r="AFD222" s="1"/>
      <c r="AFE222" s="1"/>
      <c r="AFF222" s="1"/>
      <c r="AFG222" s="1"/>
      <c r="AFH222" s="1"/>
      <c r="AFI222" s="1"/>
      <c r="AFJ222" s="1"/>
      <c r="AFK222" s="1"/>
      <c r="AFL222" s="1"/>
      <c r="AFM222" s="1"/>
      <c r="AFN222" s="1"/>
      <c r="AFO222" s="1"/>
      <c r="AFP222" s="1"/>
      <c r="AFQ222" s="1"/>
      <c r="AFR222" s="1"/>
      <c r="AFS222" s="1"/>
      <c r="AFT222" s="1"/>
      <c r="AFU222" s="1"/>
      <c r="AFV222" s="1"/>
      <c r="AFW222" s="1"/>
      <c r="AFX222" s="1"/>
      <c r="AFY222" s="1"/>
      <c r="AFZ222" s="1"/>
      <c r="AGA222" s="1"/>
      <c r="AGB222" s="1"/>
      <c r="AGC222" s="1"/>
      <c r="AGD222" s="1"/>
      <c r="AGE222" s="1"/>
      <c r="AGF222" s="1"/>
      <c r="AGG222" s="1"/>
      <c r="AGH222" s="1"/>
      <c r="AGI222" s="1"/>
      <c r="AGJ222" s="1"/>
      <c r="AGK222" s="1"/>
      <c r="AGL222" s="1"/>
      <c r="AGM222" s="1"/>
      <c r="AGN222" s="1"/>
      <c r="AGO222" s="1"/>
      <c r="AGP222" s="1"/>
      <c r="AGQ222" s="1"/>
      <c r="AGR222" s="1"/>
      <c r="AGS222" s="1"/>
      <c r="AGT222" s="1"/>
      <c r="AGU222" s="1"/>
      <c r="AGV222" s="1"/>
      <c r="AGW222" s="1"/>
      <c r="AGX222" s="1"/>
      <c r="AGY222" s="1"/>
      <c r="AGZ222" s="1"/>
      <c r="AHA222" s="1"/>
      <c r="AHB222" s="1"/>
      <c r="AHC222" s="1"/>
      <c r="AHD222" s="1"/>
      <c r="AHE222" s="1"/>
      <c r="AHF222" s="1"/>
      <c r="AHG222" s="1"/>
      <c r="AHH222" s="1"/>
      <c r="AHI222" s="1"/>
      <c r="AHJ222" s="1"/>
      <c r="AHK222" s="1"/>
      <c r="AHL222" s="1"/>
      <c r="AHM222" s="1"/>
      <c r="AHN222" s="1"/>
      <c r="AHO222" s="1"/>
      <c r="AHP222" s="1"/>
      <c r="AHQ222" s="1"/>
      <c r="AHR222" s="1"/>
      <c r="AHS222" s="1"/>
      <c r="AHT222" s="1"/>
      <c r="AHU222" s="1"/>
      <c r="AHV222" s="1"/>
      <c r="AHW222" s="1"/>
      <c r="AHX222" s="1"/>
      <c r="AHY222" s="1"/>
      <c r="AHZ222" s="1"/>
      <c r="AIA222" s="1"/>
      <c r="AIB222" s="1"/>
      <c r="AIC222" s="1"/>
      <c r="AID222" s="1"/>
      <c r="AIE222" s="1"/>
      <c r="AIF222" s="1"/>
      <c r="AIG222" s="1"/>
      <c r="AIH222" s="1"/>
      <c r="AII222" s="1"/>
      <c r="AIJ222" s="1"/>
      <c r="AIK222" s="1"/>
      <c r="AIL222" s="1"/>
      <c r="AIM222" s="1"/>
      <c r="AIN222" s="1"/>
      <c r="AIO222" s="1"/>
      <c r="AIP222" s="1"/>
      <c r="AIQ222" s="1"/>
      <c r="AIR222" s="1"/>
      <c r="AIS222" s="1"/>
      <c r="AIT222" s="1"/>
      <c r="AIU222" s="1"/>
      <c r="AIV222" s="1"/>
      <c r="AIW222" s="1"/>
      <c r="AIX222" s="1"/>
      <c r="AIY222" s="1"/>
      <c r="AIZ222" s="1"/>
      <c r="AJA222" s="1"/>
      <c r="AJB222" s="1"/>
      <c r="AJC222" s="1"/>
      <c r="AJD222" s="1"/>
      <c r="AJE222" s="1"/>
      <c r="AJF222" s="1"/>
      <c r="AJG222" s="1"/>
      <c r="AJH222" s="1"/>
      <c r="AJI222" s="1"/>
      <c r="AJJ222" s="1"/>
      <c r="AJK222" s="1"/>
      <c r="AJL222" s="1"/>
      <c r="AJM222" s="1"/>
      <c r="AJN222" s="1"/>
      <c r="AJO222" s="1"/>
      <c r="AJP222" s="1"/>
      <c r="AJQ222" s="1"/>
      <c r="AJR222" s="1"/>
      <c r="AJS222" s="1"/>
      <c r="AJT222" s="1"/>
      <c r="AJU222" s="1"/>
      <c r="AJV222" s="1"/>
      <c r="AJW222" s="1"/>
      <c r="AJX222" s="1"/>
      <c r="AJY222" s="1"/>
      <c r="AJZ222" s="1"/>
      <c r="AKA222" s="1"/>
      <c r="AKB222" s="1"/>
      <c r="AKC222" s="1"/>
      <c r="AKD222" s="1"/>
      <c r="AKE222" s="1"/>
      <c r="AKF222" s="1"/>
      <c r="AKG222" s="1"/>
      <c r="AKH222" s="1"/>
      <c r="AKI222" s="1"/>
      <c r="AKJ222" s="1"/>
      <c r="AKK222" s="1"/>
      <c r="AKL222" s="1"/>
      <c r="AKM222" s="1"/>
      <c r="AKN222" s="1"/>
      <c r="AKO222" s="1"/>
      <c r="AKP222" s="1"/>
      <c r="AKQ222" s="1"/>
      <c r="AKR222" s="1"/>
      <c r="AKS222" s="1"/>
      <c r="AKT222" s="1"/>
      <c r="AKU222" s="1"/>
      <c r="AKV222" s="1"/>
      <c r="AKW222" s="1"/>
      <c r="AKX222" s="1"/>
      <c r="AKY222" s="1"/>
      <c r="AKZ222" s="1"/>
      <c r="ALA222" s="1"/>
      <c r="ALB222" s="1"/>
      <c r="ALC222" s="1"/>
      <c r="ALD222" s="1"/>
      <c r="ALE222" s="1"/>
      <c r="ALF222" s="1"/>
      <c r="ALG222" s="1"/>
      <c r="ALH222" s="1"/>
      <c r="ALI222" s="1"/>
      <c r="ALJ222" s="1"/>
      <c r="ALK222" s="1"/>
      <c r="ALL222" s="1"/>
      <c r="ALM222" s="1"/>
      <c r="ALN222" s="1"/>
      <c r="ALO222" s="1"/>
      <c r="ALP222" s="1"/>
      <c r="ALQ222" s="1"/>
      <c r="ALR222" s="1"/>
      <c r="ALS222" s="1"/>
      <c r="ALT222" s="1"/>
      <c r="ALU222" s="1"/>
      <c r="ALV222" s="1"/>
      <c r="ALW222" s="1"/>
      <c r="ALX222" s="1"/>
      <c r="ALY222" s="1"/>
      <c r="ALZ222" s="1"/>
      <c r="AMA222" s="1"/>
      <c r="AMB222" s="1"/>
      <c r="AMC222" s="1"/>
      <c r="AMD222" s="1"/>
      <c r="AME222" s="1"/>
      <c r="AMF222" s="1"/>
      <c r="AMG222" s="1"/>
      <c r="AMH222" s="1"/>
      <c r="AMI222" s="1"/>
      <c r="AMJ222" s="1"/>
      <c r="AMK222" s="1"/>
      <c r="AML222" s="1"/>
      <c r="AMM222" s="1"/>
      <c r="AMN222" s="1"/>
      <c r="AMO222" s="1"/>
      <c r="AMP222" s="1"/>
      <c r="AMQ222" s="1"/>
      <c r="AMR222" s="1"/>
      <c r="AMS222" s="1"/>
      <c r="AMT222" s="1"/>
      <c r="AMU222" s="1"/>
      <c r="AMV222" s="1"/>
      <c r="AMW222" s="1"/>
      <c r="AMX222" s="1"/>
      <c r="AMY222" s="1"/>
      <c r="AMZ222" s="1"/>
      <c r="ANA222" s="1"/>
      <c r="ANB222" s="1"/>
      <c r="ANC222" s="1"/>
      <c r="AND222" s="1"/>
      <c r="ANE222" s="1"/>
      <c r="ANF222" s="1"/>
      <c r="ANG222" s="1"/>
      <c r="ANH222" s="1"/>
      <c r="ANI222" s="1"/>
      <c r="ANJ222" s="1"/>
      <c r="ANK222" s="1"/>
      <c r="ANL222" s="1"/>
      <c r="ANM222" s="1"/>
      <c r="ANN222" s="1"/>
      <c r="ANO222" s="1"/>
      <c r="ANP222" s="1"/>
      <c r="ANQ222" s="1"/>
      <c r="ANR222" s="1"/>
      <c r="ANS222" s="1"/>
      <c r="ANT222" s="1"/>
      <c r="ANU222" s="1"/>
      <c r="ANV222" s="1"/>
      <c r="ANW222" s="1"/>
      <c r="ANX222" s="1"/>
      <c r="ANY222" s="1"/>
      <c r="ANZ222" s="1"/>
      <c r="AOA222" s="1"/>
      <c r="AOB222" s="1"/>
      <c r="AOC222" s="1"/>
      <c r="AOD222" s="1"/>
      <c r="AOE222" s="1"/>
      <c r="AOF222" s="1"/>
      <c r="AOG222" s="1"/>
      <c r="AOH222" s="1"/>
      <c r="AOI222" s="1"/>
      <c r="AOJ222" s="1"/>
      <c r="AOK222" s="1"/>
      <c r="AOL222" s="1"/>
      <c r="AOM222" s="1"/>
      <c r="AON222" s="1"/>
      <c r="AOO222" s="1"/>
      <c r="AOP222" s="1"/>
      <c r="AOQ222" s="1"/>
      <c r="AOR222" s="1"/>
      <c r="AOS222" s="1"/>
      <c r="AOT222" s="1"/>
      <c r="AOU222" s="1"/>
      <c r="AOV222" s="1"/>
      <c r="AOW222" s="1"/>
      <c r="AOX222" s="1"/>
      <c r="AOY222" s="1"/>
      <c r="AOZ222" s="1"/>
      <c r="APA222" s="1"/>
      <c r="APB222" s="1"/>
      <c r="APC222" s="1"/>
      <c r="APD222" s="1"/>
      <c r="APE222" s="1"/>
      <c r="APF222" s="1"/>
      <c r="APG222" s="1"/>
      <c r="APH222" s="1"/>
      <c r="API222" s="1"/>
      <c r="APJ222" s="1"/>
      <c r="APK222" s="1"/>
      <c r="APL222" s="1"/>
      <c r="APM222" s="1"/>
      <c r="APN222" s="1"/>
      <c r="APO222" s="1"/>
      <c r="APP222" s="1"/>
      <c r="APQ222" s="1"/>
      <c r="APR222" s="1"/>
      <c r="APS222" s="1"/>
      <c r="APT222" s="1"/>
      <c r="APU222" s="1"/>
      <c r="APV222" s="1"/>
      <c r="APW222" s="1"/>
      <c r="APX222" s="1"/>
      <c r="APY222" s="1"/>
      <c r="APZ222" s="1"/>
      <c r="AQA222" s="1"/>
      <c r="AQB222" s="1"/>
      <c r="AQC222" s="1"/>
      <c r="AQD222" s="1"/>
      <c r="AQE222" s="1"/>
      <c r="AQF222" s="1"/>
      <c r="AQG222" s="1"/>
      <c r="AQH222" s="1"/>
      <c r="AQI222" s="1"/>
      <c r="AQJ222" s="1"/>
      <c r="AQK222" s="1"/>
      <c r="AQL222" s="1"/>
      <c r="AQM222" s="1"/>
      <c r="AQN222" s="1"/>
      <c r="AQO222" s="1"/>
      <c r="AQP222" s="1"/>
      <c r="AQQ222" s="1"/>
      <c r="AQR222" s="1"/>
      <c r="AQS222" s="1"/>
      <c r="AQT222" s="1"/>
      <c r="AQU222" s="1"/>
      <c r="AQV222" s="1"/>
      <c r="AQW222" s="1"/>
      <c r="AQX222" s="1"/>
      <c r="AQY222" s="1"/>
      <c r="AQZ222" s="1"/>
      <c r="ARA222" s="1"/>
      <c r="ARB222" s="1"/>
      <c r="ARC222" s="1"/>
      <c r="ARD222" s="1"/>
      <c r="ARE222" s="1"/>
      <c r="ARF222" s="1"/>
      <c r="ARG222" s="1"/>
      <c r="ARH222" s="1"/>
      <c r="ARI222" s="1"/>
      <c r="ARJ222" s="1"/>
      <c r="ARK222" s="1"/>
      <c r="ARL222" s="1"/>
      <c r="ARM222" s="1"/>
      <c r="ARN222" s="1"/>
      <c r="ARO222" s="1"/>
      <c r="ARP222" s="1"/>
      <c r="ARQ222" s="1"/>
      <c r="ARR222" s="1"/>
      <c r="ARS222" s="1"/>
      <c r="ART222" s="1"/>
      <c r="ARU222" s="1"/>
      <c r="ARV222" s="1"/>
      <c r="ARW222" s="1"/>
      <c r="ARX222" s="1"/>
      <c r="ARY222" s="1"/>
      <c r="ARZ222" s="1"/>
      <c r="ASA222" s="1"/>
      <c r="ASB222" s="1"/>
      <c r="ASC222" s="1"/>
      <c r="ASD222" s="1"/>
      <c r="ASE222" s="1"/>
      <c r="ASF222" s="1"/>
      <c r="ASG222" s="1"/>
      <c r="ASH222" s="1"/>
      <c r="ASI222" s="1"/>
      <c r="ASJ222" s="1"/>
      <c r="ASK222" s="1"/>
      <c r="ASL222" s="1"/>
      <c r="ASM222" s="1"/>
      <c r="ASN222" s="1"/>
      <c r="ASO222" s="1"/>
      <c r="ASP222" s="1"/>
      <c r="ASQ222" s="1"/>
      <c r="ASR222" s="1"/>
      <c r="ASS222" s="1"/>
      <c r="AST222" s="1"/>
      <c r="ASU222" s="1"/>
      <c r="ASV222" s="1"/>
      <c r="ASW222" s="1"/>
      <c r="ASX222" s="1"/>
      <c r="ASY222" s="1"/>
      <c r="ASZ222" s="1"/>
      <c r="ATA222" s="1"/>
      <c r="ATB222" s="1"/>
      <c r="ATC222" s="1"/>
      <c r="ATD222" s="1"/>
      <c r="ATE222" s="1"/>
      <c r="ATF222" s="1"/>
      <c r="ATG222" s="1"/>
      <c r="ATH222" s="1"/>
      <c r="ATI222" s="1"/>
      <c r="ATJ222" s="1"/>
      <c r="ATK222" s="1"/>
      <c r="ATL222" s="1"/>
      <c r="ATM222" s="1"/>
      <c r="ATN222" s="1"/>
      <c r="ATO222" s="1"/>
      <c r="ATP222" s="1"/>
      <c r="ATQ222" s="1"/>
      <c r="ATR222" s="1"/>
      <c r="ATS222" s="1"/>
      <c r="ATT222" s="1"/>
      <c r="ATU222" s="1"/>
      <c r="ATV222" s="1"/>
      <c r="ATW222" s="1"/>
      <c r="ATX222" s="1"/>
      <c r="ATY222" s="1"/>
      <c r="ATZ222" s="1"/>
      <c r="AUA222" s="1"/>
      <c r="AUB222" s="1"/>
      <c r="AUC222" s="1"/>
      <c r="AUD222" s="1"/>
      <c r="AUE222" s="1"/>
      <c r="AUF222" s="1"/>
      <c r="AUG222" s="1"/>
      <c r="AUH222" s="1"/>
      <c r="AUI222" s="1"/>
      <c r="AUJ222" s="1"/>
      <c r="AUK222" s="1"/>
      <c r="AUL222" s="1"/>
      <c r="AUM222" s="1"/>
      <c r="AUN222" s="1"/>
      <c r="AUO222" s="1"/>
      <c r="AUP222" s="1"/>
      <c r="AUQ222" s="1"/>
      <c r="AUR222" s="1"/>
      <c r="AUS222" s="1"/>
      <c r="AUT222" s="1"/>
      <c r="AUU222" s="1"/>
      <c r="AUV222" s="1"/>
      <c r="AUW222" s="1"/>
      <c r="AUX222" s="1"/>
      <c r="AUY222" s="1"/>
      <c r="AUZ222" s="1"/>
      <c r="AVA222" s="1"/>
      <c r="AVB222" s="1"/>
      <c r="AVC222" s="1"/>
      <c r="AVD222" s="1"/>
      <c r="AVE222" s="1"/>
      <c r="AVF222" s="1"/>
      <c r="AVG222" s="1"/>
      <c r="AVH222" s="1"/>
      <c r="AVI222" s="1"/>
      <c r="AVJ222" s="1"/>
      <c r="AVK222" s="1"/>
      <c r="AVL222" s="1"/>
      <c r="AVM222" s="1"/>
      <c r="AVN222" s="1"/>
      <c r="AVO222" s="1"/>
      <c r="AVP222" s="1"/>
      <c r="AVQ222" s="1"/>
      <c r="AVR222" s="1"/>
      <c r="AVS222" s="1"/>
      <c r="AVT222" s="1"/>
      <c r="AVU222" s="1"/>
      <c r="AVV222" s="1"/>
      <c r="AVW222" s="1"/>
      <c r="AVX222" s="1"/>
      <c r="AVY222" s="1"/>
      <c r="AVZ222" s="1"/>
      <c r="AWA222" s="1"/>
      <c r="AWB222" s="1"/>
      <c r="AWC222" s="1"/>
      <c r="AWD222" s="1"/>
      <c r="AWE222" s="1"/>
      <c r="AWF222" s="1"/>
      <c r="AWG222" s="1"/>
      <c r="AWH222" s="1"/>
      <c r="AWI222" s="1"/>
      <c r="AWJ222" s="1"/>
      <c r="AWK222" s="1"/>
      <c r="AWL222" s="1"/>
      <c r="AWM222" s="1"/>
      <c r="AWN222" s="1"/>
      <c r="AWO222" s="1"/>
      <c r="AWP222" s="1"/>
      <c r="AWQ222" s="1"/>
      <c r="AWR222" s="1"/>
      <c r="AWS222" s="1"/>
      <c r="AWT222" s="1"/>
      <c r="AWU222" s="1"/>
      <c r="AWV222" s="1"/>
      <c r="AWW222" s="1"/>
      <c r="AWX222" s="1"/>
      <c r="AWY222" s="1"/>
      <c r="AWZ222" s="1"/>
      <c r="AXA222" s="1"/>
      <c r="AXB222" s="1"/>
      <c r="AXC222" s="1"/>
      <c r="AXD222" s="1"/>
      <c r="AXE222" s="1"/>
      <c r="AXF222" s="1"/>
      <c r="AXG222" s="1"/>
      <c r="AXH222" s="1"/>
      <c r="AXI222" s="1"/>
      <c r="AXJ222" s="1"/>
      <c r="AXK222" s="1"/>
      <c r="AXL222" s="1"/>
      <c r="AXM222" s="1"/>
      <c r="AXN222" s="1"/>
      <c r="AXO222" s="1"/>
      <c r="AXP222" s="1"/>
      <c r="AXQ222" s="1"/>
      <c r="AXR222" s="1"/>
      <c r="AXS222" s="1"/>
      <c r="AXT222" s="1"/>
      <c r="AXU222" s="1"/>
      <c r="AXV222" s="1"/>
      <c r="AXW222" s="1"/>
      <c r="AXX222" s="1"/>
      <c r="AXY222" s="1"/>
      <c r="AXZ222" s="1"/>
      <c r="AYA222" s="1"/>
      <c r="AYB222" s="1"/>
      <c r="AYC222" s="1"/>
      <c r="AYD222" s="1"/>
      <c r="AYE222" s="1"/>
      <c r="AYF222" s="1"/>
      <c r="AYG222" s="1"/>
      <c r="AYH222" s="1"/>
      <c r="AYI222" s="1"/>
      <c r="AYJ222" s="1"/>
      <c r="AYK222" s="1"/>
      <c r="AYL222" s="1"/>
      <c r="AYM222" s="1"/>
      <c r="AYN222" s="1"/>
      <c r="AYO222" s="1"/>
      <c r="AYP222" s="1"/>
      <c r="AYQ222" s="1"/>
      <c r="AYR222" s="1"/>
      <c r="AYS222" s="1"/>
      <c r="AYT222" s="1"/>
      <c r="AYU222" s="1"/>
      <c r="AYV222" s="1"/>
      <c r="AYW222" s="1"/>
      <c r="AYX222" s="1"/>
      <c r="AYY222" s="1"/>
      <c r="AYZ222" s="1"/>
      <c r="AZA222" s="1"/>
      <c r="AZB222" s="1"/>
      <c r="AZC222" s="1"/>
      <c r="AZD222" s="1"/>
      <c r="AZE222" s="1"/>
      <c r="AZF222" s="1"/>
      <c r="AZG222" s="1"/>
      <c r="AZH222" s="1"/>
      <c r="AZI222" s="1"/>
      <c r="AZJ222" s="1"/>
      <c r="AZK222" s="1"/>
      <c r="AZL222" s="1"/>
      <c r="AZM222" s="1"/>
      <c r="AZN222" s="1"/>
      <c r="AZO222" s="1"/>
      <c r="AZP222" s="1"/>
      <c r="AZQ222" s="1"/>
      <c r="AZR222" s="1"/>
      <c r="AZS222" s="1"/>
      <c r="AZT222" s="1"/>
      <c r="AZU222" s="1"/>
      <c r="AZV222" s="1"/>
      <c r="AZW222" s="1"/>
      <c r="AZX222" s="1"/>
      <c r="AZY222" s="1"/>
      <c r="AZZ222" s="1"/>
      <c r="BAA222" s="1"/>
      <c r="BAB222" s="1"/>
      <c r="BAC222" s="1"/>
      <c r="BAD222" s="1"/>
      <c r="BAE222" s="1"/>
      <c r="BAF222" s="1"/>
      <c r="BAG222" s="1"/>
      <c r="BAH222" s="1"/>
      <c r="BAI222" s="1"/>
      <c r="BAJ222" s="1"/>
      <c r="BAK222" s="1"/>
      <c r="BAL222" s="1"/>
      <c r="BAM222" s="1"/>
      <c r="BAN222" s="1"/>
      <c r="BAO222" s="1"/>
      <c r="BAP222" s="1"/>
      <c r="BAQ222" s="1"/>
      <c r="BAR222" s="1"/>
      <c r="BAS222" s="1"/>
      <c r="BAT222" s="1"/>
      <c r="BAU222" s="1"/>
      <c r="BAV222" s="1"/>
      <c r="BAW222" s="1"/>
      <c r="BAX222" s="1"/>
      <c r="BAY222" s="1"/>
      <c r="BAZ222" s="1"/>
      <c r="BBA222" s="1"/>
      <c r="BBB222" s="1"/>
      <c r="BBC222" s="1"/>
      <c r="BBD222" s="1"/>
      <c r="BBE222" s="1"/>
      <c r="BBF222" s="1"/>
      <c r="BBG222" s="1"/>
      <c r="BBH222" s="1"/>
      <c r="BBI222" s="1"/>
      <c r="BBJ222" s="1"/>
      <c r="BBK222" s="1"/>
      <c r="BBL222" s="1"/>
      <c r="BBM222" s="1"/>
      <c r="BBN222" s="1"/>
      <c r="BBO222" s="1"/>
      <c r="BBP222" s="1"/>
      <c r="BBQ222" s="1"/>
      <c r="BBR222" s="1"/>
      <c r="BBS222" s="1"/>
      <c r="BBT222" s="1"/>
      <c r="BBU222" s="1"/>
      <c r="BBV222" s="1"/>
      <c r="BBW222" s="1"/>
      <c r="BBX222" s="1"/>
      <c r="BBY222" s="1"/>
      <c r="BBZ222" s="1"/>
      <c r="BCA222" s="1"/>
      <c r="BCB222" s="1"/>
      <c r="BCC222" s="1"/>
      <c r="BCD222" s="1"/>
      <c r="BCE222" s="1"/>
      <c r="BCF222" s="1"/>
      <c r="BCG222" s="1"/>
      <c r="BCH222" s="1"/>
      <c r="BCI222" s="1"/>
      <c r="BCJ222" s="1"/>
      <c r="BCK222" s="1"/>
      <c r="BCL222" s="1"/>
      <c r="BCM222" s="1"/>
      <c r="BCN222" s="1"/>
      <c r="BCO222" s="1"/>
      <c r="BCP222" s="1"/>
      <c r="BCQ222" s="1"/>
      <c r="BCR222" s="1"/>
      <c r="BCS222" s="1"/>
      <c r="BCT222" s="1"/>
      <c r="BCU222" s="1"/>
      <c r="BCV222" s="1"/>
      <c r="BCW222" s="1"/>
      <c r="BCX222" s="1"/>
      <c r="BCY222" s="1"/>
      <c r="BCZ222" s="1"/>
      <c r="BDA222" s="1"/>
      <c r="BDB222" s="1"/>
      <c r="BDC222" s="1"/>
      <c r="BDD222" s="1"/>
      <c r="BDE222" s="1"/>
      <c r="BDF222" s="1"/>
      <c r="BDG222" s="1"/>
      <c r="BDH222" s="1"/>
      <c r="BDI222" s="1"/>
      <c r="BDJ222" s="1"/>
      <c r="BDK222" s="1"/>
      <c r="BDL222" s="1"/>
      <c r="BDM222" s="1"/>
      <c r="BDN222" s="1"/>
      <c r="BDO222" s="1"/>
      <c r="BDP222" s="1"/>
      <c r="BDQ222" s="1"/>
      <c r="BDR222" s="1"/>
      <c r="BDS222" s="1"/>
      <c r="BDT222" s="1"/>
      <c r="BDU222" s="1"/>
      <c r="BDV222" s="1"/>
      <c r="BDW222" s="1"/>
      <c r="BDX222" s="1"/>
      <c r="BDY222" s="1"/>
      <c r="BDZ222" s="1"/>
      <c r="BEA222" s="1"/>
      <c r="BEB222" s="1"/>
      <c r="BEC222" s="1"/>
      <c r="BED222" s="1"/>
      <c r="BEE222" s="1"/>
      <c r="BEF222" s="1"/>
      <c r="BEG222" s="1"/>
      <c r="BEH222" s="1"/>
      <c r="BEI222" s="1"/>
      <c r="BEJ222" s="1"/>
      <c r="BEK222" s="1"/>
      <c r="BEL222" s="1"/>
      <c r="BEM222" s="1"/>
      <c r="BEN222" s="1"/>
      <c r="BEO222" s="1"/>
      <c r="BEP222" s="1"/>
      <c r="BEQ222" s="1"/>
      <c r="BER222" s="1"/>
      <c r="BES222" s="1"/>
      <c r="BET222" s="1"/>
      <c r="BEU222" s="1"/>
      <c r="BEV222" s="1"/>
      <c r="BEW222" s="1"/>
      <c r="BEX222" s="1"/>
      <c r="BEY222" s="1"/>
      <c r="BEZ222" s="1"/>
      <c r="BFA222" s="1"/>
      <c r="BFB222" s="1"/>
      <c r="BFC222" s="1"/>
      <c r="BFD222" s="1"/>
      <c r="BFE222" s="1"/>
      <c r="BFF222" s="1"/>
      <c r="BFG222" s="1"/>
      <c r="BFH222" s="1"/>
      <c r="BFI222" s="1"/>
      <c r="BFJ222" s="1"/>
      <c r="BFK222" s="1"/>
      <c r="BFL222" s="1"/>
      <c r="BFM222" s="1"/>
      <c r="BFN222" s="1"/>
      <c r="BFO222" s="1"/>
      <c r="BFP222" s="1"/>
      <c r="BFQ222" s="1"/>
      <c r="BFR222" s="1"/>
      <c r="BFS222" s="1"/>
      <c r="BFT222" s="1"/>
      <c r="BFU222" s="1"/>
      <c r="BFV222" s="1"/>
      <c r="BFW222" s="1"/>
      <c r="BFX222" s="1"/>
      <c r="BFY222" s="1"/>
      <c r="BFZ222" s="1"/>
      <c r="BGA222" s="1"/>
      <c r="BGB222" s="1"/>
      <c r="BGC222" s="1"/>
      <c r="BGD222" s="1"/>
      <c r="BGE222" s="1"/>
      <c r="BGF222" s="1"/>
      <c r="BGG222" s="1"/>
      <c r="BGH222" s="1"/>
      <c r="BGI222" s="1"/>
      <c r="BGJ222" s="1"/>
      <c r="BGK222" s="1"/>
      <c r="BGL222" s="1"/>
      <c r="BGM222" s="1"/>
      <c r="BGN222" s="1"/>
      <c r="BGO222" s="1"/>
      <c r="BGP222" s="1"/>
      <c r="BGQ222" s="1"/>
      <c r="BGR222" s="1"/>
      <c r="BGS222" s="1"/>
      <c r="BGT222" s="1"/>
      <c r="BGU222" s="1"/>
      <c r="BGV222" s="1"/>
      <c r="BGW222" s="1"/>
      <c r="BGX222" s="1"/>
      <c r="BGY222" s="1"/>
      <c r="BGZ222" s="1"/>
      <c r="BHA222" s="1"/>
      <c r="BHB222" s="1"/>
      <c r="BHC222" s="1"/>
      <c r="BHD222" s="1"/>
      <c r="BHE222" s="1"/>
      <c r="BHF222" s="1"/>
      <c r="BHG222" s="1"/>
      <c r="BHH222" s="1"/>
      <c r="BHI222" s="1"/>
      <c r="BHJ222" s="1"/>
      <c r="BHK222" s="1"/>
      <c r="BHL222" s="1"/>
      <c r="BHM222" s="1"/>
      <c r="BHN222" s="1"/>
      <c r="BHO222" s="1"/>
      <c r="BHP222" s="1"/>
      <c r="BHQ222" s="1"/>
      <c r="BHR222" s="1"/>
      <c r="BHS222" s="1"/>
      <c r="BHT222" s="1"/>
      <c r="BHU222" s="1"/>
      <c r="BHV222" s="1"/>
      <c r="BHW222" s="1"/>
      <c r="BHX222" s="1"/>
      <c r="BHY222" s="1"/>
      <c r="BHZ222" s="1"/>
      <c r="BIA222" s="1"/>
      <c r="BIB222" s="1"/>
      <c r="BIC222" s="1"/>
      <c r="BID222" s="1"/>
      <c r="BIE222" s="1"/>
      <c r="BIF222" s="1"/>
      <c r="BIG222" s="1"/>
      <c r="BIH222" s="1"/>
      <c r="BII222" s="1"/>
      <c r="BIJ222" s="1"/>
      <c r="BIK222" s="1"/>
      <c r="BIL222" s="1"/>
      <c r="BIM222" s="1"/>
      <c r="BIN222" s="1"/>
      <c r="BIO222" s="1"/>
      <c r="BIP222" s="1"/>
      <c r="BIQ222" s="1"/>
      <c r="BIR222" s="1"/>
      <c r="BIS222" s="1"/>
      <c r="BIT222" s="1"/>
      <c r="BIU222" s="1"/>
      <c r="BIV222" s="1"/>
      <c r="BIW222" s="1"/>
      <c r="BIX222" s="1"/>
      <c r="BIY222" s="1"/>
      <c r="BIZ222" s="1"/>
      <c r="BJA222" s="1"/>
      <c r="BJB222" s="1"/>
      <c r="BJC222" s="1"/>
      <c r="BJD222" s="1"/>
      <c r="BJE222" s="1"/>
      <c r="BJF222" s="1"/>
      <c r="BJG222" s="1"/>
      <c r="BJH222" s="1"/>
      <c r="BJI222" s="1"/>
      <c r="BJJ222" s="1"/>
      <c r="BJK222" s="1"/>
      <c r="BJL222" s="1"/>
      <c r="BJM222" s="1"/>
      <c r="BJN222" s="1"/>
      <c r="BJO222" s="1"/>
      <c r="BJP222" s="1"/>
      <c r="BJQ222" s="1"/>
      <c r="BJR222" s="1"/>
      <c r="BJS222" s="1"/>
      <c r="BJT222" s="1"/>
      <c r="BJU222" s="1"/>
      <c r="BJV222" s="1"/>
      <c r="BJW222" s="1"/>
      <c r="BJX222" s="1"/>
      <c r="BJY222" s="1"/>
      <c r="BJZ222" s="1"/>
      <c r="BKA222" s="1"/>
      <c r="BKB222" s="1"/>
      <c r="BKC222" s="1"/>
      <c r="BKD222" s="1"/>
      <c r="BKE222" s="1"/>
      <c r="BKF222" s="1"/>
      <c r="BKG222" s="1"/>
      <c r="BKH222" s="1"/>
      <c r="BKI222" s="1"/>
      <c r="BKJ222" s="1"/>
      <c r="BKK222" s="1"/>
      <c r="BKL222" s="1"/>
      <c r="BKM222" s="1"/>
      <c r="BKN222" s="1"/>
      <c r="BKO222" s="1"/>
      <c r="BKP222" s="1"/>
      <c r="BKQ222" s="1"/>
      <c r="BKR222" s="1"/>
      <c r="BKS222" s="1"/>
      <c r="BKT222" s="1"/>
      <c r="BKU222" s="1"/>
      <c r="BKV222" s="1"/>
      <c r="BKW222" s="1"/>
      <c r="BKX222" s="1"/>
      <c r="BKY222" s="1"/>
      <c r="BKZ222" s="1"/>
      <c r="BLA222" s="1"/>
      <c r="BLB222" s="1"/>
      <c r="BLC222" s="1"/>
      <c r="BLD222" s="1"/>
      <c r="BLE222" s="1"/>
      <c r="BLF222" s="1"/>
      <c r="BLG222" s="1"/>
      <c r="BLH222" s="1"/>
      <c r="BLI222" s="1"/>
      <c r="BLJ222" s="1"/>
      <c r="BLK222" s="1"/>
      <c r="BLL222" s="1"/>
      <c r="BLM222" s="1"/>
      <c r="BLN222" s="1"/>
      <c r="BLO222" s="1"/>
      <c r="BLP222" s="1"/>
      <c r="BLQ222" s="1"/>
      <c r="BLR222" s="1"/>
      <c r="BLS222" s="1"/>
      <c r="BLT222" s="1"/>
      <c r="BLU222" s="1"/>
      <c r="BLV222" s="1"/>
      <c r="BLW222" s="1"/>
      <c r="BLX222" s="1"/>
      <c r="BLY222" s="1"/>
      <c r="BLZ222" s="1"/>
      <c r="BMA222" s="1"/>
      <c r="BMB222" s="1"/>
      <c r="BMC222" s="1"/>
      <c r="BMD222" s="1"/>
      <c r="BME222" s="1"/>
      <c r="BMF222" s="1"/>
      <c r="BMG222" s="1"/>
      <c r="BMH222" s="1"/>
      <c r="BMI222" s="1"/>
      <c r="BMJ222" s="1"/>
      <c r="BMK222" s="1"/>
      <c r="BML222" s="1"/>
      <c r="BMM222" s="1"/>
      <c r="BMN222" s="1"/>
      <c r="BMO222" s="1"/>
      <c r="BMP222" s="1"/>
      <c r="BMQ222" s="1"/>
      <c r="BMR222" s="1"/>
      <c r="BMS222" s="1"/>
      <c r="BMT222" s="1"/>
      <c r="BMU222" s="1"/>
      <c r="BMV222" s="1"/>
      <c r="BMW222" s="1"/>
      <c r="BMX222" s="1"/>
      <c r="BMY222" s="1"/>
      <c r="BMZ222" s="1"/>
      <c r="BNA222" s="1"/>
      <c r="BNB222" s="1"/>
      <c r="BNC222" s="1"/>
      <c r="BND222" s="1"/>
      <c r="BNE222" s="1"/>
      <c r="BNF222" s="1"/>
      <c r="BNG222" s="1"/>
      <c r="BNH222" s="1"/>
      <c r="BNI222" s="1"/>
      <c r="BNJ222" s="1"/>
      <c r="BNK222" s="1"/>
      <c r="BNL222" s="1"/>
      <c r="BNM222" s="1"/>
      <c r="BNN222" s="1"/>
      <c r="BNO222" s="1"/>
      <c r="BNP222" s="1"/>
      <c r="BNQ222" s="1"/>
      <c r="BNR222" s="1"/>
      <c r="BNS222" s="1"/>
      <c r="BNT222" s="1"/>
      <c r="BNU222" s="1"/>
      <c r="BNV222" s="1"/>
      <c r="BNW222" s="1"/>
      <c r="BNX222" s="1"/>
      <c r="BNY222" s="1"/>
      <c r="BNZ222" s="1"/>
      <c r="BOA222" s="1"/>
      <c r="BOB222" s="1"/>
      <c r="BOC222" s="1"/>
      <c r="BOD222" s="1"/>
      <c r="BOE222" s="1"/>
      <c r="BOF222" s="1"/>
      <c r="BOG222" s="1"/>
      <c r="BOH222" s="1"/>
      <c r="BOI222" s="1"/>
      <c r="BOJ222" s="1"/>
      <c r="BOK222" s="1"/>
      <c r="BOL222" s="1"/>
      <c r="BOM222" s="1"/>
      <c r="BON222" s="1"/>
      <c r="BOO222" s="1"/>
      <c r="BOP222" s="1"/>
      <c r="BOQ222" s="1"/>
      <c r="BOR222" s="1"/>
      <c r="BOS222" s="1"/>
      <c r="BOT222" s="1"/>
      <c r="BOU222" s="1"/>
      <c r="BOV222" s="1"/>
      <c r="BOW222" s="1"/>
      <c r="BOX222" s="1"/>
      <c r="BOY222" s="1"/>
      <c r="BOZ222" s="1"/>
      <c r="BPA222" s="1"/>
      <c r="BPB222" s="1"/>
      <c r="BPC222" s="1"/>
      <c r="BPD222" s="1"/>
      <c r="BPE222" s="1"/>
      <c r="BPF222" s="1"/>
      <c r="BPG222" s="1"/>
      <c r="BPH222" s="1"/>
      <c r="BPI222" s="1"/>
      <c r="BPJ222" s="1"/>
      <c r="BPK222" s="1"/>
      <c r="BPL222" s="1"/>
      <c r="BPM222" s="1"/>
      <c r="BPN222" s="1"/>
      <c r="BPO222" s="1"/>
      <c r="BPP222" s="1"/>
      <c r="BPQ222" s="1"/>
      <c r="BPR222" s="1"/>
      <c r="BPS222" s="1"/>
      <c r="BPT222" s="1"/>
      <c r="BPU222" s="1"/>
      <c r="BPV222" s="1"/>
      <c r="BPW222" s="1"/>
      <c r="BPX222" s="1"/>
      <c r="BPY222" s="1"/>
      <c r="BPZ222" s="1"/>
      <c r="BQA222" s="1"/>
      <c r="BQB222" s="1"/>
      <c r="BQC222" s="1"/>
      <c r="BQD222" s="1"/>
      <c r="BQE222" s="1"/>
      <c r="BQF222" s="1"/>
      <c r="BQG222" s="1"/>
      <c r="BQH222" s="1"/>
      <c r="BQI222" s="1"/>
      <c r="BQJ222" s="1"/>
      <c r="BQK222" s="1"/>
      <c r="BQL222" s="1"/>
      <c r="BQM222" s="1"/>
      <c r="BQN222" s="1"/>
      <c r="BQO222" s="1"/>
      <c r="BQP222" s="1"/>
      <c r="BQQ222" s="1"/>
      <c r="BQR222" s="1"/>
      <c r="BQS222" s="1"/>
      <c r="BQT222" s="1"/>
      <c r="BQU222" s="1"/>
      <c r="BQV222" s="1"/>
      <c r="BQW222" s="1"/>
      <c r="BQX222" s="1"/>
      <c r="BQY222" s="1"/>
      <c r="BQZ222" s="1"/>
      <c r="BRA222" s="1"/>
      <c r="BRB222" s="1"/>
      <c r="BRC222" s="1"/>
      <c r="BRD222" s="1"/>
      <c r="BRE222" s="1"/>
      <c r="BRF222" s="1"/>
      <c r="BRG222" s="1"/>
      <c r="BRH222" s="1"/>
      <c r="BRI222" s="1"/>
      <c r="BRJ222" s="1"/>
      <c r="BRK222" s="1"/>
      <c r="BRL222" s="1"/>
      <c r="BRM222" s="1"/>
      <c r="BRN222" s="1"/>
      <c r="BRO222" s="1"/>
      <c r="BRP222" s="1"/>
      <c r="BRQ222" s="1"/>
      <c r="BRR222" s="1"/>
      <c r="BRS222" s="1"/>
      <c r="BRT222" s="1"/>
      <c r="BRU222" s="1"/>
      <c r="BRV222" s="1"/>
      <c r="BRW222" s="1"/>
      <c r="BRX222" s="1"/>
      <c r="BRY222" s="1"/>
      <c r="BRZ222" s="1"/>
      <c r="BSA222" s="1"/>
      <c r="BSB222" s="1"/>
      <c r="BSC222" s="1"/>
      <c r="BSD222" s="1"/>
      <c r="BSE222" s="1"/>
      <c r="BSF222" s="1"/>
      <c r="BSG222" s="1"/>
      <c r="BSH222" s="1"/>
      <c r="BSI222" s="1"/>
      <c r="BSJ222" s="1"/>
      <c r="BSK222" s="1"/>
      <c r="BSL222" s="1"/>
      <c r="BSM222" s="1"/>
      <c r="BSN222" s="1"/>
      <c r="BSO222" s="1"/>
      <c r="BSP222" s="1"/>
      <c r="BSQ222" s="1"/>
      <c r="BSR222" s="1"/>
      <c r="BSS222" s="1"/>
      <c r="BST222" s="1"/>
      <c r="BSU222" s="1"/>
      <c r="BSV222" s="1"/>
      <c r="BSW222" s="1"/>
      <c r="BSX222" s="1"/>
      <c r="BSY222" s="1"/>
      <c r="BSZ222" s="1"/>
      <c r="BTA222" s="1"/>
      <c r="BTB222" s="1"/>
      <c r="BTC222" s="1"/>
      <c r="BTD222" s="1"/>
      <c r="BTE222" s="1"/>
      <c r="BTF222" s="1"/>
      <c r="BTG222" s="1"/>
      <c r="BTH222" s="1"/>
      <c r="BTI222" s="1"/>
      <c r="BTJ222" s="1"/>
      <c r="BTK222" s="1"/>
      <c r="BTL222" s="1"/>
      <c r="BTM222" s="1"/>
      <c r="BTN222" s="1"/>
      <c r="BTO222" s="1"/>
      <c r="BTP222" s="1"/>
      <c r="BTQ222" s="1"/>
      <c r="BTR222" s="1"/>
      <c r="BTS222" s="1"/>
      <c r="BTT222" s="1"/>
      <c r="BTU222" s="1"/>
      <c r="BTV222" s="1"/>
      <c r="BTW222" s="1"/>
      <c r="BTX222" s="1"/>
      <c r="BTY222" s="1"/>
      <c r="BTZ222" s="1"/>
      <c r="BUA222" s="1"/>
      <c r="BUB222" s="1"/>
      <c r="BUC222" s="1"/>
      <c r="BUD222" s="1"/>
      <c r="BUE222" s="1"/>
      <c r="BUF222" s="1"/>
      <c r="BUG222" s="1"/>
      <c r="BUH222" s="1"/>
      <c r="BUI222" s="1"/>
      <c r="BUJ222" s="1"/>
      <c r="BUK222" s="1"/>
      <c r="BUL222" s="1"/>
      <c r="BUM222" s="1"/>
      <c r="BUN222" s="1"/>
      <c r="BUO222" s="1"/>
      <c r="BUP222" s="1"/>
      <c r="BUQ222" s="1"/>
      <c r="BUR222" s="1"/>
      <c r="BUS222" s="1"/>
      <c r="BUT222" s="1"/>
      <c r="BUU222" s="1"/>
      <c r="BUV222" s="1"/>
      <c r="BUW222" s="1"/>
      <c r="BUX222" s="1"/>
      <c r="BUY222" s="1"/>
      <c r="BUZ222" s="1"/>
      <c r="BVA222" s="1"/>
      <c r="BVB222" s="1"/>
      <c r="BVC222" s="1"/>
      <c r="BVD222" s="1"/>
      <c r="BVE222" s="1"/>
      <c r="BVF222" s="1"/>
      <c r="BVG222" s="1"/>
      <c r="BVH222" s="1"/>
      <c r="BVI222" s="1"/>
      <c r="BVJ222" s="1"/>
      <c r="BVK222" s="1"/>
      <c r="BVL222" s="1"/>
      <c r="BVM222" s="1"/>
      <c r="BVN222" s="1"/>
      <c r="BVO222" s="1"/>
      <c r="BVP222" s="1"/>
      <c r="BVQ222" s="1"/>
      <c r="BVR222" s="1"/>
      <c r="BVS222" s="1"/>
      <c r="BVT222" s="1"/>
      <c r="BVU222" s="1"/>
      <c r="BVV222" s="1"/>
      <c r="BVW222" s="1"/>
      <c r="BVX222" s="1"/>
      <c r="BVY222" s="1"/>
      <c r="BVZ222" s="1"/>
      <c r="BWA222" s="1"/>
      <c r="BWB222" s="1"/>
      <c r="BWC222" s="1"/>
      <c r="BWD222" s="1"/>
      <c r="BWE222" s="1"/>
      <c r="BWF222" s="1"/>
      <c r="BWG222" s="1"/>
      <c r="BWH222" s="1"/>
      <c r="BWI222" s="1"/>
      <c r="BWJ222" s="1"/>
      <c r="BWK222" s="1"/>
      <c r="BWL222" s="1"/>
      <c r="BWM222" s="1"/>
      <c r="BWN222" s="1"/>
      <c r="BWO222" s="1"/>
      <c r="BWP222" s="1"/>
      <c r="BWQ222" s="1"/>
      <c r="BWR222" s="1"/>
      <c r="BWS222" s="1"/>
      <c r="BWT222" s="1"/>
      <c r="BWU222" s="1"/>
      <c r="BWV222" s="1"/>
      <c r="BWW222" s="1"/>
      <c r="BWX222" s="1"/>
      <c r="BWY222" s="1"/>
      <c r="BWZ222" s="1"/>
      <c r="BXA222" s="1"/>
      <c r="BXB222" s="1"/>
      <c r="BXC222" s="1"/>
      <c r="BXD222" s="1"/>
      <c r="BXE222" s="1"/>
      <c r="BXF222" s="1"/>
      <c r="BXG222" s="1"/>
      <c r="BXH222" s="1"/>
      <c r="BXI222" s="1"/>
      <c r="BXJ222" s="1"/>
      <c r="BXK222" s="1"/>
      <c r="BXL222" s="1"/>
      <c r="BXM222" s="1"/>
      <c r="BXN222" s="1"/>
      <c r="BXO222" s="1"/>
      <c r="BXP222" s="1"/>
      <c r="BXQ222" s="1"/>
      <c r="BXR222" s="1"/>
      <c r="BXS222" s="1"/>
      <c r="BXT222" s="1"/>
      <c r="BXU222" s="1"/>
      <c r="BXV222" s="1"/>
      <c r="BXW222" s="1"/>
      <c r="BXX222" s="1"/>
      <c r="BXY222" s="1"/>
      <c r="BXZ222" s="1"/>
      <c r="BYA222" s="1"/>
      <c r="BYB222" s="1"/>
      <c r="BYC222" s="1"/>
      <c r="BYD222" s="1"/>
      <c r="BYE222" s="1"/>
      <c r="BYF222" s="1"/>
      <c r="BYG222" s="1"/>
      <c r="BYH222" s="1"/>
      <c r="BYI222" s="1"/>
      <c r="BYJ222" s="1"/>
      <c r="BYK222" s="1"/>
      <c r="BYL222" s="1"/>
      <c r="BYM222" s="1"/>
      <c r="BYN222" s="1"/>
      <c r="BYO222" s="1"/>
      <c r="BYP222" s="1"/>
      <c r="BYQ222" s="1"/>
      <c r="BYR222" s="1"/>
      <c r="BYS222" s="1"/>
      <c r="BYT222" s="1"/>
      <c r="BYU222" s="1"/>
      <c r="BYV222" s="1"/>
      <c r="BYW222" s="1"/>
      <c r="BYX222" s="1"/>
      <c r="BYY222" s="1"/>
      <c r="BYZ222" s="1"/>
      <c r="BZA222" s="1"/>
      <c r="BZB222" s="1"/>
      <c r="BZC222" s="1"/>
      <c r="BZD222" s="1"/>
      <c r="BZE222" s="1"/>
      <c r="BZF222" s="1"/>
      <c r="BZG222" s="1"/>
      <c r="BZH222" s="1"/>
      <c r="BZI222" s="1"/>
      <c r="BZJ222" s="1"/>
      <c r="BZK222" s="1"/>
      <c r="BZL222" s="1"/>
      <c r="BZM222" s="1"/>
      <c r="BZN222" s="1"/>
      <c r="BZO222" s="1"/>
      <c r="BZP222" s="1"/>
      <c r="BZQ222" s="1"/>
      <c r="BZR222" s="1"/>
      <c r="BZS222" s="1"/>
      <c r="BZT222" s="1"/>
      <c r="BZU222" s="1"/>
      <c r="BZV222" s="1"/>
      <c r="BZW222" s="1"/>
      <c r="BZX222" s="1"/>
      <c r="BZY222" s="1"/>
      <c r="BZZ222" s="1"/>
      <c r="CAA222" s="1"/>
      <c r="CAB222" s="1"/>
      <c r="CAC222" s="1"/>
      <c r="CAD222" s="1"/>
      <c r="CAE222" s="1"/>
      <c r="CAF222" s="1"/>
      <c r="CAG222" s="1"/>
      <c r="CAH222" s="1"/>
      <c r="CAI222" s="1"/>
      <c r="CAJ222" s="1"/>
      <c r="CAK222" s="1"/>
      <c r="CAL222" s="1"/>
      <c r="CAM222" s="1"/>
      <c r="CAN222" s="1"/>
      <c r="CAO222" s="1"/>
      <c r="CAP222" s="1"/>
      <c r="CAQ222" s="1"/>
      <c r="CAR222" s="1"/>
      <c r="CAS222" s="1"/>
      <c r="CAT222" s="1"/>
      <c r="CAU222" s="1"/>
      <c r="CAV222" s="1"/>
      <c r="CAW222" s="1"/>
      <c r="CAX222" s="1"/>
      <c r="CAY222" s="1"/>
      <c r="CAZ222" s="1"/>
      <c r="CBA222" s="1"/>
      <c r="CBB222" s="1"/>
      <c r="CBC222" s="1"/>
      <c r="CBD222" s="1"/>
      <c r="CBE222" s="1"/>
      <c r="CBF222" s="1"/>
      <c r="CBG222" s="1"/>
      <c r="CBH222" s="1"/>
      <c r="CBI222" s="1"/>
      <c r="CBJ222" s="1"/>
      <c r="CBK222" s="1"/>
      <c r="CBL222" s="1"/>
      <c r="CBM222" s="1"/>
      <c r="CBN222" s="1"/>
      <c r="CBO222" s="1"/>
      <c r="CBP222" s="1"/>
      <c r="CBQ222" s="1"/>
      <c r="CBR222" s="1"/>
      <c r="CBS222" s="1"/>
      <c r="CBT222" s="1"/>
      <c r="CBU222" s="1"/>
      <c r="CBV222" s="1"/>
      <c r="CBW222" s="1"/>
      <c r="CBX222" s="1"/>
      <c r="CBY222" s="1"/>
      <c r="CBZ222" s="1"/>
      <c r="CCA222" s="1"/>
      <c r="CCB222" s="1"/>
      <c r="CCC222" s="1"/>
      <c r="CCD222" s="1"/>
      <c r="CCE222" s="1"/>
      <c r="CCF222" s="1"/>
      <c r="CCG222" s="1"/>
      <c r="CCH222" s="1"/>
      <c r="CCI222" s="1"/>
      <c r="CCJ222" s="1"/>
      <c r="CCK222" s="1"/>
      <c r="CCL222" s="1"/>
      <c r="CCM222" s="1"/>
      <c r="CCN222" s="1"/>
      <c r="CCO222" s="1"/>
      <c r="CCP222" s="1"/>
      <c r="CCQ222" s="1"/>
      <c r="CCR222" s="1"/>
      <c r="CCS222" s="1"/>
      <c r="CCT222" s="1"/>
      <c r="CCU222" s="1"/>
      <c r="CCV222" s="1"/>
      <c r="CCW222" s="1"/>
      <c r="CCX222" s="1"/>
      <c r="CCY222" s="1"/>
      <c r="CCZ222" s="1"/>
      <c r="CDA222" s="1"/>
      <c r="CDB222" s="1"/>
      <c r="CDC222" s="1"/>
      <c r="CDD222" s="1"/>
      <c r="CDE222" s="1"/>
      <c r="CDF222" s="1"/>
      <c r="CDG222" s="1"/>
      <c r="CDH222" s="1"/>
      <c r="CDI222" s="1"/>
      <c r="CDJ222" s="1"/>
      <c r="CDK222" s="1"/>
      <c r="CDL222" s="1"/>
      <c r="CDM222" s="1"/>
      <c r="CDN222" s="1"/>
      <c r="CDO222" s="1"/>
      <c r="CDP222" s="1"/>
      <c r="CDQ222" s="1"/>
      <c r="CDR222" s="1"/>
      <c r="CDS222" s="1"/>
      <c r="CDT222" s="1"/>
      <c r="CDU222" s="1"/>
      <c r="CDV222" s="1"/>
      <c r="CDW222" s="1"/>
      <c r="CDX222" s="1"/>
      <c r="CDY222" s="1"/>
      <c r="CDZ222" s="1"/>
      <c r="CEA222" s="1"/>
      <c r="CEB222" s="1"/>
      <c r="CEC222" s="1"/>
      <c r="CED222" s="1"/>
      <c r="CEE222" s="1"/>
      <c r="CEF222" s="1"/>
      <c r="CEG222" s="1"/>
      <c r="CEH222" s="1"/>
      <c r="CEI222" s="1"/>
      <c r="CEJ222" s="1"/>
      <c r="CEK222" s="1"/>
      <c r="CEL222" s="1"/>
      <c r="CEM222" s="1"/>
      <c r="CEN222" s="1"/>
      <c r="CEO222" s="1"/>
      <c r="CEP222" s="1"/>
      <c r="CEQ222" s="1"/>
      <c r="CER222" s="1"/>
      <c r="CES222" s="1"/>
      <c r="CET222" s="1"/>
      <c r="CEU222" s="1"/>
      <c r="CEV222" s="1"/>
      <c r="CEW222" s="1"/>
      <c r="CEX222" s="1"/>
      <c r="CEY222" s="1"/>
      <c r="CEZ222" s="1"/>
      <c r="CFA222" s="1"/>
      <c r="CFB222" s="1"/>
      <c r="CFC222" s="1"/>
      <c r="CFD222" s="1"/>
      <c r="CFE222" s="1"/>
      <c r="CFF222" s="1"/>
      <c r="CFG222" s="1"/>
      <c r="CFH222" s="1"/>
      <c r="CFI222" s="1"/>
      <c r="CFJ222" s="1"/>
      <c r="CFK222" s="1"/>
      <c r="CFL222" s="1"/>
      <c r="CFM222" s="1"/>
      <c r="CFN222" s="1"/>
      <c r="CFO222" s="1"/>
      <c r="CFP222" s="1"/>
      <c r="CFQ222" s="1"/>
      <c r="CFR222" s="1"/>
      <c r="CFS222" s="1"/>
      <c r="CFT222" s="1"/>
      <c r="CFU222" s="1"/>
      <c r="CFV222" s="1"/>
      <c r="CFW222" s="1"/>
      <c r="CFX222" s="1"/>
      <c r="CFY222" s="1"/>
      <c r="CFZ222" s="1"/>
      <c r="CGA222" s="1"/>
      <c r="CGB222" s="1"/>
      <c r="CGC222" s="1"/>
      <c r="CGD222" s="1"/>
      <c r="CGE222" s="1"/>
      <c r="CGF222" s="1"/>
      <c r="CGG222" s="1"/>
      <c r="CGH222" s="1"/>
      <c r="CGI222" s="1"/>
      <c r="CGJ222" s="1"/>
      <c r="CGK222" s="1"/>
      <c r="CGL222" s="1"/>
      <c r="CGM222" s="1"/>
      <c r="CGN222" s="1"/>
      <c r="CGO222" s="1"/>
      <c r="CGP222" s="1"/>
      <c r="CGQ222" s="1"/>
      <c r="CGR222" s="1"/>
      <c r="CGS222" s="1"/>
      <c r="CGT222" s="1"/>
      <c r="CGU222" s="1"/>
      <c r="CGV222" s="1"/>
      <c r="CGW222" s="1"/>
      <c r="CGX222" s="1"/>
      <c r="CGY222" s="1"/>
      <c r="CGZ222" s="1"/>
      <c r="CHA222" s="1"/>
      <c r="CHB222" s="1"/>
      <c r="CHC222" s="1"/>
      <c r="CHD222" s="1"/>
      <c r="CHE222" s="1"/>
      <c r="CHF222" s="1"/>
      <c r="CHG222" s="1"/>
      <c r="CHH222" s="1"/>
      <c r="CHI222" s="1"/>
      <c r="CHJ222" s="1"/>
      <c r="CHK222" s="1"/>
      <c r="CHL222" s="1"/>
      <c r="CHM222" s="1"/>
      <c r="CHN222" s="1"/>
      <c r="CHO222" s="1"/>
      <c r="CHP222" s="1"/>
      <c r="CHQ222" s="1"/>
      <c r="CHR222" s="1"/>
      <c r="CHS222" s="1"/>
      <c r="CHT222" s="1"/>
      <c r="CHU222" s="1"/>
      <c r="CHV222" s="1"/>
      <c r="CHW222" s="1"/>
      <c r="CHX222" s="1"/>
      <c r="CHY222" s="1"/>
      <c r="CHZ222" s="1"/>
      <c r="CIA222" s="1"/>
      <c r="CIB222" s="1"/>
      <c r="CIC222" s="1"/>
      <c r="CID222" s="1"/>
      <c r="CIE222" s="1"/>
      <c r="CIF222" s="1"/>
      <c r="CIG222" s="1"/>
      <c r="CIH222" s="1"/>
      <c r="CII222" s="1"/>
      <c r="CIJ222" s="1"/>
      <c r="CIK222" s="1"/>
      <c r="CIL222" s="1"/>
      <c r="CIM222" s="1"/>
      <c r="CIN222" s="1"/>
      <c r="CIO222" s="1"/>
      <c r="CIP222" s="1"/>
      <c r="CIQ222" s="1"/>
      <c r="CIR222" s="1"/>
      <c r="CIS222" s="1"/>
      <c r="CIT222" s="1"/>
      <c r="CIU222" s="1"/>
      <c r="CIV222" s="1"/>
      <c r="CIW222" s="1"/>
      <c r="CIX222" s="1"/>
      <c r="CIY222" s="1"/>
      <c r="CIZ222" s="1"/>
      <c r="CJA222" s="1"/>
      <c r="CJB222" s="1"/>
      <c r="CJC222" s="1"/>
      <c r="CJD222" s="1"/>
      <c r="CJE222" s="1"/>
      <c r="CJF222" s="1"/>
      <c r="CJG222" s="1"/>
      <c r="CJH222" s="1"/>
      <c r="CJI222" s="1"/>
      <c r="CJJ222" s="1"/>
      <c r="CJK222" s="1"/>
      <c r="CJL222" s="1"/>
      <c r="CJM222" s="1"/>
      <c r="CJN222" s="1"/>
      <c r="CJO222" s="1"/>
      <c r="CJP222" s="1"/>
      <c r="CJQ222" s="1"/>
      <c r="CJR222" s="1"/>
      <c r="CJS222" s="1"/>
      <c r="CJT222" s="1"/>
      <c r="CJU222" s="1"/>
      <c r="CJV222" s="1"/>
      <c r="CJW222" s="1"/>
      <c r="CJX222" s="1"/>
      <c r="CJY222" s="1"/>
      <c r="CJZ222" s="1"/>
      <c r="CKA222" s="1"/>
      <c r="CKB222" s="1"/>
      <c r="CKC222" s="1"/>
      <c r="CKD222" s="1"/>
      <c r="CKE222" s="1"/>
      <c r="CKF222" s="1"/>
      <c r="CKG222" s="1"/>
      <c r="CKH222" s="1"/>
      <c r="CKI222" s="1"/>
      <c r="CKJ222" s="1"/>
      <c r="CKK222" s="1"/>
      <c r="CKL222" s="1"/>
      <c r="CKM222" s="1"/>
      <c r="CKN222" s="1"/>
      <c r="CKO222" s="1"/>
      <c r="CKP222" s="1"/>
      <c r="CKQ222" s="1"/>
      <c r="CKR222" s="1"/>
      <c r="CKS222" s="1"/>
      <c r="CKT222" s="1"/>
      <c r="CKU222" s="1"/>
      <c r="CKV222" s="1"/>
      <c r="CKW222" s="1"/>
      <c r="CKX222" s="1"/>
      <c r="CKY222" s="1"/>
      <c r="CKZ222" s="1"/>
      <c r="CLA222" s="1"/>
      <c r="CLB222" s="1"/>
      <c r="CLC222" s="1"/>
      <c r="CLD222" s="1"/>
      <c r="CLE222" s="1"/>
      <c r="CLF222" s="1"/>
      <c r="CLG222" s="1"/>
      <c r="CLH222" s="1"/>
      <c r="CLI222" s="1"/>
      <c r="CLJ222" s="1"/>
      <c r="CLK222" s="1"/>
      <c r="CLL222" s="1"/>
      <c r="CLM222" s="1"/>
      <c r="CLN222" s="1"/>
      <c r="CLO222" s="1"/>
      <c r="CLP222" s="1"/>
      <c r="CLQ222" s="1"/>
      <c r="CLR222" s="1"/>
      <c r="CLS222" s="1"/>
      <c r="CLT222" s="1"/>
      <c r="CLU222" s="1"/>
      <c r="CLV222" s="1"/>
      <c r="CLW222" s="1"/>
      <c r="CLX222" s="1"/>
      <c r="CLY222" s="1"/>
      <c r="CLZ222" s="1"/>
      <c r="CMA222" s="1"/>
      <c r="CMB222" s="1"/>
      <c r="CMC222" s="1"/>
      <c r="CMD222" s="1"/>
      <c r="CME222" s="1"/>
      <c r="CMF222" s="1"/>
      <c r="CMG222" s="1"/>
      <c r="CMH222" s="1"/>
      <c r="CMI222" s="1"/>
      <c r="CMJ222" s="1"/>
      <c r="CMK222" s="1"/>
      <c r="CML222" s="1"/>
      <c r="CMM222" s="1"/>
      <c r="CMN222" s="1"/>
      <c r="CMO222" s="1"/>
      <c r="CMP222" s="1"/>
      <c r="CMQ222" s="1"/>
      <c r="CMR222" s="1"/>
      <c r="CMS222" s="1"/>
      <c r="CMT222" s="1"/>
      <c r="CMU222" s="1"/>
      <c r="CMV222" s="1"/>
      <c r="CMW222" s="1"/>
      <c r="CMX222" s="1"/>
      <c r="CMY222" s="1"/>
      <c r="CMZ222" s="1"/>
      <c r="CNA222" s="1"/>
      <c r="CNB222" s="1"/>
      <c r="CNC222" s="1"/>
      <c r="CND222" s="1"/>
      <c r="CNE222" s="1"/>
      <c r="CNF222" s="1"/>
      <c r="CNG222" s="1"/>
      <c r="CNH222" s="1"/>
      <c r="CNI222" s="1"/>
      <c r="CNJ222" s="1"/>
      <c r="CNK222" s="1"/>
      <c r="CNL222" s="1"/>
      <c r="CNM222" s="1"/>
      <c r="CNN222" s="1"/>
      <c r="CNO222" s="1"/>
      <c r="CNP222" s="1"/>
      <c r="CNQ222" s="1"/>
      <c r="CNR222" s="1"/>
      <c r="CNS222" s="1"/>
      <c r="CNT222" s="1"/>
      <c r="CNU222" s="1"/>
      <c r="CNV222" s="1"/>
      <c r="CNW222" s="1"/>
      <c r="CNX222" s="1"/>
      <c r="CNY222" s="1"/>
      <c r="CNZ222" s="1"/>
      <c r="COA222" s="1"/>
      <c r="COB222" s="1"/>
      <c r="COC222" s="1"/>
      <c r="COD222" s="1"/>
      <c r="COE222" s="1"/>
      <c r="COF222" s="1"/>
      <c r="COG222" s="1"/>
      <c r="COH222" s="1"/>
      <c r="COI222" s="1"/>
      <c r="COJ222" s="1"/>
      <c r="COK222" s="1"/>
      <c r="COL222" s="1"/>
      <c r="COM222" s="1"/>
      <c r="CON222" s="1"/>
      <c r="COO222" s="1"/>
      <c r="COP222" s="1"/>
      <c r="COQ222" s="1"/>
      <c r="COR222" s="1"/>
      <c r="COS222" s="1"/>
      <c r="COT222" s="1"/>
      <c r="COU222" s="1"/>
      <c r="COV222" s="1"/>
      <c r="COW222" s="1"/>
      <c r="COX222" s="1"/>
      <c r="COY222" s="1"/>
      <c r="COZ222" s="1"/>
      <c r="CPA222" s="1"/>
      <c r="CPB222" s="1"/>
      <c r="CPC222" s="1"/>
      <c r="CPD222" s="1"/>
      <c r="CPE222" s="1"/>
      <c r="CPF222" s="1"/>
      <c r="CPG222" s="1"/>
      <c r="CPH222" s="1"/>
      <c r="CPI222" s="1"/>
      <c r="CPJ222" s="1"/>
      <c r="CPK222" s="1"/>
      <c r="CPL222" s="1"/>
      <c r="CPM222" s="1"/>
      <c r="CPN222" s="1"/>
      <c r="CPO222" s="1"/>
      <c r="CPP222" s="1"/>
      <c r="CPQ222" s="1"/>
      <c r="CPR222" s="1"/>
      <c r="CPS222" s="1"/>
      <c r="CPT222" s="1"/>
      <c r="CPU222" s="1"/>
      <c r="CPV222" s="1"/>
      <c r="CPW222" s="1"/>
      <c r="CPX222" s="1"/>
      <c r="CPY222" s="1"/>
      <c r="CPZ222" s="1"/>
      <c r="CQA222" s="1"/>
      <c r="CQB222" s="1"/>
      <c r="CQC222" s="1"/>
      <c r="CQD222" s="1"/>
      <c r="CQE222" s="1"/>
      <c r="CQF222" s="1"/>
      <c r="CQG222" s="1"/>
      <c r="CQH222" s="1"/>
      <c r="CQI222" s="1"/>
      <c r="CQJ222" s="1"/>
      <c r="CQK222" s="1"/>
      <c r="CQL222" s="1"/>
      <c r="CQM222" s="1"/>
      <c r="CQN222" s="1"/>
      <c r="CQO222" s="1"/>
      <c r="CQP222" s="1"/>
      <c r="CQQ222" s="1"/>
      <c r="CQR222" s="1"/>
      <c r="CQS222" s="1"/>
      <c r="CQT222" s="1"/>
      <c r="CQU222" s="1"/>
      <c r="CQV222" s="1"/>
      <c r="CQW222" s="1"/>
      <c r="CQX222" s="1"/>
      <c r="CQY222" s="1"/>
      <c r="CQZ222" s="1"/>
      <c r="CRA222" s="1"/>
      <c r="CRB222" s="1"/>
      <c r="CRC222" s="1"/>
      <c r="CRD222" s="1"/>
      <c r="CRE222" s="1"/>
      <c r="CRF222" s="1"/>
      <c r="CRG222" s="1"/>
      <c r="CRH222" s="1"/>
      <c r="CRI222" s="1"/>
      <c r="CRJ222" s="1"/>
      <c r="CRK222" s="1"/>
      <c r="CRL222" s="1"/>
      <c r="CRM222" s="1"/>
      <c r="CRN222" s="1"/>
      <c r="CRO222" s="1"/>
      <c r="CRP222" s="1"/>
      <c r="CRQ222" s="1"/>
      <c r="CRR222" s="1"/>
      <c r="CRS222" s="1"/>
      <c r="CRT222" s="1"/>
      <c r="CRU222" s="1"/>
      <c r="CRV222" s="1"/>
      <c r="CRW222" s="1"/>
      <c r="CRX222" s="1"/>
      <c r="CRY222" s="1"/>
      <c r="CRZ222" s="1"/>
      <c r="CSA222" s="1"/>
      <c r="CSB222" s="1"/>
      <c r="CSC222" s="1"/>
      <c r="CSD222" s="1"/>
      <c r="CSE222" s="1"/>
      <c r="CSF222" s="1"/>
      <c r="CSG222" s="1"/>
      <c r="CSH222" s="1"/>
      <c r="CSI222" s="1"/>
      <c r="CSJ222" s="1"/>
      <c r="CSK222" s="1"/>
      <c r="CSL222" s="1"/>
      <c r="CSM222" s="1"/>
      <c r="CSN222" s="1"/>
      <c r="CSO222" s="1"/>
      <c r="CSP222" s="1"/>
      <c r="CSQ222" s="1"/>
      <c r="CSR222" s="1"/>
      <c r="CSS222" s="1"/>
      <c r="CST222" s="1"/>
      <c r="CSU222" s="1"/>
      <c r="CSV222" s="1"/>
      <c r="CSW222" s="1"/>
      <c r="CSX222" s="1"/>
      <c r="CSY222" s="1"/>
      <c r="CSZ222" s="1"/>
      <c r="CTA222" s="1"/>
      <c r="CTB222" s="1"/>
      <c r="CTC222" s="1"/>
      <c r="CTD222" s="1"/>
      <c r="CTE222" s="1"/>
      <c r="CTF222" s="1"/>
      <c r="CTG222" s="1"/>
      <c r="CTH222" s="1"/>
      <c r="CTI222" s="1"/>
      <c r="CTJ222" s="1"/>
      <c r="CTK222" s="1"/>
      <c r="CTL222" s="1"/>
      <c r="CTM222" s="1"/>
      <c r="CTN222" s="1"/>
      <c r="CTO222" s="1"/>
      <c r="CTP222" s="1"/>
      <c r="CTQ222" s="1"/>
      <c r="CTR222" s="1"/>
      <c r="CTS222" s="1"/>
      <c r="CTT222" s="1"/>
      <c r="CTU222" s="1"/>
      <c r="CTV222" s="1"/>
      <c r="CTW222" s="1"/>
      <c r="CTX222" s="1"/>
      <c r="CTY222" s="1"/>
      <c r="CTZ222" s="1"/>
      <c r="CUA222" s="1"/>
      <c r="CUB222" s="1"/>
      <c r="CUC222" s="1"/>
      <c r="CUD222" s="1"/>
      <c r="CUE222" s="1"/>
      <c r="CUF222" s="1"/>
      <c r="CUG222" s="1"/>
      <c r="CUH222" s="1"/>
      <c r="CUI222" s="1"/>
      <c r="CUJ222" s="1"/>
      <c r="CUK222" s="1"/>
      <c r="CUL222" s="1"/>
      <c r="CUM222" s="1"/>
      <c r="CUN222" s="1"/>
      <c r="CUO222" s="1"/>
      <c r="CUP222" s="1"/>
      <c r="CUQ222" s="1"/>
      <c r="CUR222" s="1"/>
      <c r="CUS222" s="1"/>
      <c r="CUT222" s="1"/>
      <c r="CUU222" s="1"/>
      <c r="CUV222" s="1"/>
      <c r="CUW222" s="1"/>
      <c r="CUX222" s="1"/>
      <c r="CUY222" s="1"/>
      <c r="CUZ222" s="1"/>
      <c r="CVA222" s="1"/>
      <c r="CVB222" s="1"/>
      <c r="CVC222" s="1"/>
      <c r="CVD222" s="1"/>
      <c r="CVE222" s="1"/>
      <c r="CVF222" s="1"/>
      <c r="CVG222" s="1"/>
      <c r="CVH222" s="1"/>
      <c r="CVI222" s="1"/>
      <c r="CVJ222" s="1"/>
      <c r="CVK222" s="1"/>
      <c r="CVL222" s="1"/>
      <c r="CVM222" s="1"/>
      <c r="CVN222" s="1"/>
      <c r="CVO222" s="1"/>
      <c r="CVP222" s="1"/>
      <c r="CVQ222" s="1"/>
      <c r="CVR222" s="1"/>
      <c r="CVS222" s="1"/>
      <c r="CVT222" s="1"/>
      <c r="CVU222" s="1"/>
      <c r="CVV222" s="1"/>
      <c r="CVW222" s="1"/>
      <c r="CVX222" s="1"/>
      <c r="CVY222" s="1"/>
      <c r="CVZ222" s="1"/>
      <c r="CWA222" s="1"/>
      <c r="CWB222" s="1"/>
      <c r="CWC222" s="1"/>
      <c r="CWD222" s="1"/>
      <c r="CWE222" s="1"/>
      <c r="CWF222" s="1"/>
      <c r="CWG222" s="1"/>
      <c r="CWH222" s="1"/>
      <c r="CWI222" s="1"/>
      <c r="CWJ222" s="1"/>
      <c r="CWK222" s="1"/>
      <c r="CWL222" s="1"/>
      <c r="CWM222" s="1"/>
      <c r="CWN222" s="1"/>
      <c r="CWO222" s="1"/>
      <c r="CWP222" s="1"/>
      <c r="CWQ222" s="1"/>
      <c r="CWR222" s="1"/>
      <c r="CWS222" s="1"/>
      <c r="CWT222" s="1"/>
      <c r="CWU222" s="1"/>
      <c r="CWV222" s="1"/>
      <c r="CWW222" s="1"/>
      <c r="CWX222" s="1"/>
      <c r="CWY222" s="1"/>
      <c r="CWZ222" s="1"/>
      <c r="CXA222" s="1"/>
      <c r="CXB222" s="1"/>
      <c r="CXC222" s="1"/>
      <c r="CXD222" s="1"/>
      <c r="CXE222" s="1"/>
      <c r="CXF222" s="1"/>
      <c r="CXG222" s="1"/>
      <c r="CXH222" s="1"/>
      <c r="CXI222" s="1"/>
      <c r="CXJ222" s="1"/>
      <c r="CXK222" s="1"/>
      <c r="CXL222" s="1"/>
      <c r="CXM222" s="1"/>
      <c r="CXN222" s="1"/>
      <c r="CXO222" s="1"/>
      <c r="CXP222" s="1"/>
      <c r="CXQ222" s="1"/>
      <c r="CXR222" s="1"/>
      <c r="CXS222" s="1"/>
      <c r="CXT222" s="1"/>
      <c r="CXU222" s="1"/>
      <c r="CXV222" s="1"/>
      <c r="CXW222" s="1"/>
      <c r="CXX222" s="1"/>
      <c r="CXY222" s="1"/>
      <c r="CXZ222" s="1"/>
      <c r="CYA222" s="1"/>
      <c r="CYB222" s="1"/>
      <c r="CYC222" s="1"/>
      <c r="CYD222" s="1"/>
      <c r="CYE222" s="1"/>
      <c r="CYF222" s="1"/>
      <c r="CYG222" s="1"/>
      <c r="CYH222" s="1"/>
      <c r="CYI222" s="1"/>
      <c r="CYJ222" s="1"/>
      <c r="CYK222" s="1"/>
      <c r="CYL222" s="1"/>
      <c r="CYM222" s="1"/>
      <c r="CYN222" s="1"/>
      <c r="CYO222" s="1"/>
      <c r="CYP222" s="1"/>
      <c r="CYQ222" s="1"/>
      <c r="CYR222" s="1"/>
      <c r="CYS222" s="1"/>
      <c r="CYT222" s="1"/>
      <c r="CYU222" s="1"/>
      <c r="CYV222" s="1"/>
      <c r="CYW222" s="1"/>
      <c r="CYX222" s="1"/>
      <c r="CYY222" s="1"/>
      <c r="CYZ222" s="1"/>
      <c r="CZA222" s="1"/>
      <c r="CZB222" s="1"/>
      <c r="CZC222" s="1"/>
      <c r="CZD222" s="1"/>
      <c r="CZE222" s="1"/>
      <c r="CZF222" s="1"/>
      <c r="CZG222" s="1"/>
      <c r="CZH222" s="1"/>
      <c r="CZI222" s="1"/>
      <c r="CZJ222" s="1"/>
      <c r="CZK222" s="1"/>
      <c r="CZL222" s="1"/>
      <c r="CZM222" s="1"/>
      <c r="CZN222" s="1"/>
      <c r="CZO222" s="1"/>
      <c r="CZP222" s="1"/>
      <c r="CZQ222" s="1"/>
      <c r="CZR222" s="1"/>
      <c r="CZS222" s="1"/>
      <c r="CZT222" s="1"/>
      <c r="CZU222" s="1"/>
      <c r="CZV222" s="1"/>
      <c r="CZW222" s="1"/>
      <c r="CZX222" s="1"/>
      <c r="CZY222" s="1"/>
      <c r="CZZ222" s="1"/>
      <c r="DAA222" s="1"/>
      <c r="DAB222" s="1"/>
      <c r="DAC222" s="1"/>
      <c r="DAD222" s="1"/>
      <c r="DAE222" s="1"/>
      <c r="DAF222" s="1"/>
      <c r="DAG222" s="1"/>
      <c r="DAH222" s="1"/>
      <c r="DAI222" s="1"/>
      <c r="DAJ222" s="1"/>
      <c r="DAK222" s="1"/>
      <c r="DAL222" s="1"/>
      <c r="DAM222" s="1"/>
      <c r="DAN222" s="1"/>
      <c r="DAO222" s="1"/>
      <c r="DAP222" s="1"/>
      <c r="DAQ222" s="1"/>
      <c r="DAR222" s="1"/>
      <c r="DAS222" s="1"/>
      <c r="DAT222" s="1"/>
      <c r="DAU222" s="1"/>
      <c r="DAV222" s="1"/>
      <c r="DAW222" s="1"/>
      <c r="DAX222" s="1"/>
      <c r="DAY222" s="1"/>
      <c r="DAZ222" s="1"/>
      <c r="DBA222" s="1"/>
      <c r="DBB222" s="1"/>
      <c r="DBC222" s="1"/>
      <c r="DBD222" s="1"/>
      <c r="DBE222" s="1"/>
      <c r="DBF222" s="1"/>
      <c r="DBG222" s="1"/>
      <c r="DBH222" s="1"/>
      <c r="DBI222" s="1"/>
      <c r="DBJ222" s="1"/>
      <c r="DBK222" s="1"/>
      <c r="DBL222" s="1"/>
      <c r="DBM222" s="1"/>
      <c r="DBN222" s="1"/>
      <c r="DBO222" s="1"/>
      <c r="DBP222" s="1"/>
      <c r="DBQ222" s="1"/>
      <c r="DBR222" s="1"/>
      <c r="DBS222" s="1"/>
      <c r="DBT222" s="1"/>
      <c r="DBU222" s="1"/>
      <c r="DBV222" s="1"/>
      <c r="DBW222" s="1"/>
      <c r="DBX222" s="1"/>
      <c r="DBY222" s="1"/>
      <c r="DBZ222" s="1"/>
      <c r="DCA222" s="1"/>
      <c r="DCB222" s="1"/>
      <c r="DCC222" s="1"/>
      <c r="DCD222" s="1"/>
      <c r="DCE222" s="1"/>
      <c r="DCF222" s="1"/>
      <c r="DCG222" s="1"/>
      <c r="DCH222" s="1"/>
      <c r="DCI222" s="1"/>
      <c r="DCJ222" s="1"/>
      <c r="DCK222" s="1"/>
      <c r="DCL222" s="1"/>
      <c r="DCM222" s="1"/>
      <c r="DCN222" s="1"/>
      <c r="DCO222" s="1"/>
      <c r="DCP222" s="1"/>
      <c r="DCQ222" s="1"/>
      <c r="DCR222" s="1"/>
      <c r="DCS222" s="1"/>
      <c r="DCT222" s="1"/>
      <c r="DCU222" s="1"/>
      <c r="DCV222" s="1"/>
      <c r="DCW222" s="1"/>
      <c r="DCX222" s="1"/>
      <c r="DCY222" s="1"/>
      <c r="DCZ222" s="1"/>
      <c r="DDA222" s="1"/>
      <c r="DDB222" s="1"/>
      <c r="DDC222" s="1"/>
      <c r="DDD222" s="1"/>
      <c r="DDE222" s="1"/>
      <c r="DDF222" s="1"/>
      <c r="DDG222" s="1"/>
      <c r="DDH222" s="1"/>
      <c r="DDI222" s="1"/>
      <c r="DDJ222" s="1"/>
      <c r="DDK222" s="1"/>
      <c r="DDL222" s="1"/>
      <c r="DDM222" s="1"/>
      <c r="DDN222" s="1"/>
      <c r="DDO222" s="1"/>
      <c r="DDP222" s="1"/>
      <c r="DDQ222" s="1"/>
      <c r="DDR222" s="1"/>
      <c r="DDS222" s="1"/>
      <c r="DDT222" s="1"/>
      <c r="DDU222" s="1"/>
      <c r="DDV222" s="1"/>
      <c r="DDW222" s="1"/>
      <c r="DDX222" s="1"/>
      <c r="DDY222" s="1"/>
      <c r="DDZ222" s="1"/>
      <c r="DEA222" s="1"/>
      <c r="DEB222" s="1"/>
      <c r="DEC222" s="1"/>
      <c r="DED222" s="1"/>
      <c r="DEE222" s="1"/>
      <c r="DEF222" s="1"/>
      <c r="DEG222" s="1"/>
      <c r="DEH222" s="1"/>
      <c r="DEI222" s="1"/>
      <c r="DEJ222" s="1"/>
      <c r="DEK222" s="1"/>
      <c r="DEL222" s="1"/>
      <c r="DEM222" s="1"/>
      <c r="DEN222" s="1"/>
      <c r="DEO222" s="1"/>
      <c r="DEP222" s="1"/>
      <c r="DEQ222" s="1"/>
      <c r="DER222" s="1"/>
      <c r="DES222" s="1"/>
      <c r="DET222" s="1"/>
      <c r="DEU222" s="1"/>
      <c r="DEV222" s="1"/>
      <c r="DEW222" s="1"/>
      <c r="DEX222" s="1"/>
      <c r="DEY222" s="1"/>
      <c r="DEZ222" s="1"/>
      <c r="DFA222" s="1"/>
      <c r="DFB222" s="1"/>
      <c r="DFC222" s="1"/>
      <c r="DFD222" s="1"/>
      <c r="DFE222" s="1"/>
      <c r="DFF222" s="1"/>
      <c r="DFG222" s="1"/>
      <c r="DFH222" s="1"/>
      <c r="DFI222" s="1"/>
      <c r="DFJ222" s="1"/>
      <c r="DFK222" s="1"/>
      <c r="DFL222" s="1"/>
      <c r="DFM222" s="1"/>
      <c r="DFN222" s="1"/>
      <c r="DFO222" s="1"/>
      <c r="DFP222" s="1"/>
      <c r="DFQ222" s="1"/>
      <c r="DFR222" s="1"/>
      <c r="DFS222" s="1"/>
      <c r="DFT222" s="1"/>
      <c r="DFU222" s="1"/>
      <c r="DFV222" s="1"/>
      <c r="DFW222" s="1"/>
      <c r="DFX222" s="1"/>
      <c r="DFY222" s="1"/>
      <c r="DFZ222" s="1"/>
      <c r="DGA222" s="1"/>
      <c r="DGB222" s="1"/>
      <c r="DGC222" s="1"/>
      <c r="DGD222" s="1"/>
      <c r="DGE222" s="1"/>
      <c r="DGF222" s="1"/>
      <c r="DGG222" s="1"/>
      <c r="DGH222" s="1"/>
      <c r="DGI222" s="1"/>
      <c r="DGJ222" s="1"/>
      <c r="DGK222" s="1"/>
      <c r="DGL222" s="1"/>
      <c r="DGM222" s="1"/>
      <c r="DGN222" s="1"/>
      <c r="DGO222" s="1"/>
      <c r="DGP222" s="1"/>
      <c r="DGQ222" s="1"/>
      <c r="DGR222" s="1"/>
      <c r="DGS222" s="1"/>
      <c r="DGT222" s="1"/>
      <c r="DGU222" s="1"/>
      <c r="DGV222" s="1"/>
      <c r="DGW222" s="1"/>
      <c r="DGX222" s="1"/>
      <c r="DGY222" s="1"/>
      <c r="DGZ222" s="1"/>
      <c r="DHA222" s="1"/>
      <c r="DHB222" s="1"/>
      <c r="DHC222" s="1"/>
      <c r="DHD222" s="1"/>
      <c r="DHE222" s="1"/>
      <c r="DHF222" s="1"/>
      <c r="DHG222" s="1"/>
      <c r="DHH222" s="1"/>
      <c r="DHI222" s="1"/>
      <c r="DHJ222" s="1"/>
      <c r="DHK222" s="1"/>
      <c r="DHL222" s="1"/>
      <c r="DHM222" s="1"/>
      <c r="DHN222" s="1"/>
      <c r="DHO222" s="1"/>
      <c r="DHP222" s="1"/>
      <c r="DHQ222" s="1"/>
      <c r="DHR222" s="1"/>
      <c r="DHS222" s="1"/>
      <c r="DHT222" s="1"/>
      <c r="DHU222" s="1"/>
      <c r="DHV222" s="1"/>
      <c r="DHW222" s="1"/>
      <c r="DHX222" s="1"/>
      <c r="DHY222" s="1"/>
      <c r="DHZ222" s="1"/>
      <c r="DIA222" s="1"/>
      <c r="DIB222" s="1"/>
      <c r="DIC222" s="1"/>
      <c r="DID222" s="1"/>
      <c r="DIE222" s="1"/>
      <c r="DIF222" s="1"/>
      <c r="DIG222" s="1"/>
      <c r="DIH222" s="1"/>
      <c r="DII222" s="1"/>
      <c r="DIJ222" s="1"/>
      <c r="DIK222" s="1"/>
      <c r="DIL222" s="1"/>
      <c r="DIM222" s="1"/>
      <c r="DIN222" s="1"/>
      <c r="DIO222" s="1"/>
      <c r="DIP222" s="1"/>
      <c r="DIQ222" s="1"/>
      <c r="DIR222" s="1"/>
      <c r="DIS222" s="1"/>
      <c r="DIT222" s="1"/>
      <c r="DIU222" s="1"/>
      <c r="DIV222" s="1"/>
      <c r="DIW222" s="1"/>
      <c r="DIX222" s="1"/>
      <c r="DIY222" s="1"/>
      <c r="DIZ222" s="1"/>
      <c r="DJA222" s="1"/>
      <c r="DJB222" s="1"/>
      <c r="DJC222" s="1"/>
      <c r="DJD222" s="1"/>
      <c r="DJE222" s="1"/>
      <c r="DJF222" s="1"/>
      <c r="DJG222" s="1"/>
      <c r="DJH222" s="1"/>
      <c r="DJI222" s="1"/>
      <c r="DJJ222" s="1"/>
      <c r="DJK222" s="1"/>
      <c r="DJL222" s="1"/>
      <c r="DJM222" s="1"/>
      <c r="DJN222" s="1"/>
      <c r="DJO222" s="1"/>
      <c r="DJP222" s="1"/>
      <c r="DJQ222" s="1"/>
      <c r="DJR222" s="1"/>
      <c r="DJS222" s="1"/>
      <c r="DJT222" s="1"/>
      <c r="DJU222" s="1"/>
      <c r="DJV222" s="1"/>
      <c r="DJW222" s="1"/>
      <c r="DJX222" s="1"/>
      <c r="DJY222" s="1"/>
      <c r="DJZ222" s="1"/>
      <c r="DKA222" s="1"/>
      <c r="DKB222" s="1"/>
      <c r="DKC222" s="1"/>
      <c r="DKD222" s="1"/>
      <c r="DKE222" s="1"/>
      <c r="DKF222" s="1"/>
      <c r="DKG222" s="1"/>
      <c r="DKH222" s="1"/>
      <c r="DKI222" s="1"/>
      <c r="DKJ222" s="1"/>
      <c r="DKK222" s="1"/>
      <c r="DKL222" s="1"/>
      <c r="DKM222" s="1"/>
      <c r="DKN222" s="1"/>
      <c r="DKO222" s="1"/>
      <c r="DKP222" s="1"/>
      <c r="DKQ222" s="1"/>
      <c r="DKR222" s="1"/>
      <c r="DKS222" s="1"/>
      <c r="DKT222" s="1"/>
      <c r="DKU222" s="1"/>
      <c r="DKV222" s="1"/>
      <c r="DKW222" s="1"/>
      <c r="DKX222" s="1"/>
      <c r="DKY222" s="1"/>
      <c r="DKZ222" s="1"/>
      <c r="DLA222" s="1"/>
      <c r="DLB222" s="1"/>
      <c r="DLC222" s="1"/>
      <c r="DLD222" s="1"/>
      <c r="DLE222" s="1"/>
      <c r="DLF222" s="1"/>
      <c r="DLG222" s="1"/>
      <c r="DLH222" s="1"/>
      <c r="DLI222" s="1"/>
      <c r="DLJ222" s="1"/>
      <c r="DLK222" s="1"/>
      <c r="DLL222" s="1"/>
      <c r="DLM222" s="1"/>
      <c r="DLN222" s="1"/>
      <c r="DLO222" s="1"/>
      <c r="DLP222" s="1"/>
      <c r="DLQ222" s="1"/>
      <c r="DLR222" s="1"/>
      <c r="DLS222" s="1"/>
      <c r="DLT222" s="1"/>
      <c r="DLU222" s="1"/>
      <c r="DLV222" s="1"/>
      <c r="DLW222" s="1"/>
      <c r="DLX222" s="1"/>
      <c r="DLY222" s="1"/>
      <c r="DLZ222" s="1"/>
      <c r="DMA222" s="1"/>
      <c r="DMB222" s="1"/>
      <c r="DMC222" s="1"/>
      <c r="DMD222" s="1"/>
      <c r="DME222" s="1"/>
      <c r="DMF222" s="1"/>
      <c r="DMG222" s="1"/>
      <c r="DMH222" s="1"/>
      <c r="DMI222" s="1"/>
      <c r="DMJ222" s="1"/>
      <c r="DMK222" s="1"/>
      <c r="DML222" s="1"/>
      <c r="DMM222" s="1"/>
      <c r="DMN222" s="1"/>
      <c r="DMO222" s="1"/>
      <c r="DMP222" s="1"/>
      <c r="DMQ222" s="1"/>
      <c r="DMR222" s="1"/>
      <c r="DMS222" s="1"/>
      <c r="DMT222" s="1"/>
      <c r="DMU222" s="1"/>
      <c r="DMV222" s="1"/>
      <c r="DMW222" s="1"/>
      <c r="DMX222" s="1"/>
      <c r="DMY222" s="1"/>
      <c r="DMZ222" s="1"/>
      <c r="DNA222" s="1"/>
      <c r="DNB222" s="1"/>
      <c r="DNC222" s="1"/>
      <c r="DND222" s="1"/>
      <c r="DNE222" s="1"/>
      <c r="DNF222" s="1"/>
      <c r="DNG222" s="1"/>
      <c r="DNH222" s="1"/>
      <c r="DNI222" s="1"/>
      <c r="DNJ222" s="1"/>
      <c r="DNK222" s="1"/>
      <c r="DNL222" s="1"/>
      <c r="DNM222" s="1"/>
      <c r="DNN222" s="1"/>
      <c r="DNO222" s="1"/>
      <c r="DNP222" s="1"/>
      <c r="DNQ222" s="1"/>
      <c r="DNR222" s="1"/>
      <c r="DNS222" s="1"/>
      <c r="DNT222" s="1"/>
      <c r="DNU222" s="1"/>
      <c r="DNV222" s="1"/>
      <c r="DNW222" s="1"/>
      <c r="DNX222" s="1"/>
      <c r="DNY222" s="1"/>
      <c r="DNZ222" s="1"/>
      <c r="DOA222" s="1"/>
      <c r="DOB222" s="1"/>
      <c r="DOC222" s="1"/>
      <c r="DOD222" s="1"/>
      <c r="DOE222" s="1"/>
      <c r="DOF222" s="1"/>
      <c r="DOG222" s="1"/>
      <c r="DOH222" s="1"/>
      <c r="DOI222" s="1"/>
      <c r="DOJ222" s="1"/>
      <c r="DOK222" s="1"/>
      <c r="DOL222" s="1"/>
      <c r="DOM222" s="1"/>
      <c r="DON222" s="1"/>
      <c r="DOO222" s="1"/>
      <c r="DOP222" s="1"/>
      <c r="DOQ222" s="1"/>
      <c r="DOR222" s="1"/>
      <c r="DOS222" s="1"/>
      <c r="DOT222" s="1"/>
      <c r="DOU222" s="1"/>
      <c r="DOV222" s="1"/>
      <c r="DOW222" s="1"/>
      <c r="DOX222" s="1"/>
      <c r="DOY222" s="1"/>
      <c r="DOZ222" s="1"/>
      <c r="DPA222" s="1"/>
      <c r="DPB222" s="1"/>
      <c r="DPC222" s="1"/>
      <c r="DPD222" s="1"/>
      <c r="DPE222" s="1"/>
      <c r="DPF222" s="1"/>
      <c r="DPG222" s="1"/>
      <c r="DPH222" s="1"/>
      <c r="DPI222" s="1"/>
      <c r="DPJ222" s="1"/>
      <c r="DPK222" s="1"/>
      <c r="DPL222" s="1"/>
      <c r="DPM222" s="1"/>
      <c r="DPN222" s="1"/>
      <c r="DPO222" s="1"/>
      <c r="DPP222" s="1"/>
      <c r="DPQ222" s="1"/>
      <c r="DPR222" s="1"/>
      <c r="DPS222" s="1"/>
      <c r="DPT222" s="1"/>
      <c r="DPU222" s="1"/>
      <c r="DPV222" s="1"/>
      <c r="DPW222" s="1"/>
      <c r="DPX222" s="1"/>
      <c r="DPY222" s="1"/>
      <c r="DPZ222" s="1"/>
      <c r="DQA222" s="1"/>
      <c r="DQB222" s="1"/>
      <c r="DQC222" s="1"/>
      <c r="DQD222" s="1"/>
      <c r="DQE222" s="1"/>
      <c r="DQF222" s="1"/>
      <c r="DQG222" s="1"/>
      <c r="DQH222" s="1"/>
      <c r="DQI222" s="1"/>
      <c r="DQJ222" s="1"/>
      <c r="DQK222" s="1"/>
      <c r="DQL222" s="1"/>
      <c r="DQM222" s="1"/>
      <c r="DQN222" s="1"/>
      <c r="DQO222" s="1"/>
      <c r="DQP222" s="1"/>
      <c r="DQQ222" s="1"/>
      <c r="DQR222" s="1"/>
      <c r="DQS222" s="1"/>
      <c r="DQT222" s="1"/>
      <c r="DQU222" s="1"/>
      <c r="DQV222" s="1"/>
      <c r="DQW222" s="1"/>
      <c r="DQX222" s="1"/>
      <c r="DQY222" s="1"/>
      <c r="DQZ222" s="1"/>
      <c r="DRA222" s="1"/>
      <c r="DRB222" s="1"/>
      <c r="DRC222" s="1"/>
      <c r="DRD222" s="1"/>
      <c r="DRE222" s="1"/>
      <c r="DRF222" s="1"/>
      <c r="DRG222" s="1"/>
      <c r="DRH222" s="1"/>
      <c r="DRI222" s="1"/>
      <c r="DRJ222" s="1"/>
      <c r="DRK222" s="1"/>
      <c r="DRL222" s="1"/>
      <c r="DRM222" s="1"/>
      <c r="DRN222" s="1"/>
      <c r="DRO222" s="1"/>
      <c r="DRP222" s="1"/>
      <c r="DRQ222" s="1"/>
      <c r="DRR222" s="1"/>
      <c r="DRS222" s="1"/>
      <c r="DRT222" s="1"/>
      <c r="DRU222" s="1"/>
      <c r="DRV222" s="1"/>
      <c r="DRW222" s="1"/>
      <c r="DRX222" s="1"/>
      <c r="DRY222" s="1"/>
      <c r="DRZ222" s="1"/>
      <c r="DSA222" s="1"/>
      <c r="DSB222" s="1"/>
      <c r="DSC222" s="1"/>
      <c r="DSD222" s="1"/>
      <c r="DSE222" s="1"/>
      <c r="DSF222" s="1"/>
      <c r="DSG222" s="1"/>
      <c r="DSH222" s="1"/>
      <c r="DSI222" s="1"/>
      <c r="DSJ222" s="1"/>
      <c r="DSK222" s="1"/>
      <c r="DSL222" s="1"/>
      <c r="DSM222" s="1"/>
      <c r="DSN222" s="1"/>
      <c r="DSO222" s="1"/>
      <c r="DSP222" s="1"/>
      <c r="DSQ222" s="1"/>
      <c r="DSR222" s="1"/>
      <c r="DSS222" s="1"/>
      <c r="DST222" s="1"/>
      <c r="DSU222" s="1"/>
      <c r="DSV222" s="1"/>
      <c r="DSW222" s="1"/>
      <c r="DSX222" s="1"/>
      <c r="DSY222" s="1"/>
      <c r="DSZ222" s="1"/>
      <c r="DTA222" s="1"/>
      <c r="DTB222" s="1"/>
      <c r="DTC222" s="1"/>
      <c r="DTD222" s="1"/>
      <c r="DTE222" s="1"/>
      <c r="DTF222" s="1"/>
      <c r="DTG222" s="1"/>
      <c r="DTH222" s="1"/>
      <c r="DTI222" s="1"/>
      <c r="DTJ222" s="1"/>
      <c r="DTK222" s="1"/>
      <c r="DTL222" s="1"/>
      <c r="DTM222" s="1"/>
      <c r="DTN222" s="1"/>
      <c r="DTO222" s="1"/>
      <c r="DTP222" s="1"/>
      <c r="DTQ222" s="1"/>
      <c r="DTR222" s="1"/>
      <c r="DTS222" s="1"/>
      <c r="DTT222" s="1"/>
      <c r="DTU222" s="1"/>
      <c r="DTV222" s="1"/>
      <c r="DTW222" s="1"/>
      <c r="DTX222" s="1"/>
      <c r="DTY222" s="1"/>
      <c r="DTZ222" s="1"/>
      <c r="DUA222" s="1"/>
      <c r="DUB222" s="1"/>
      <c r="DUC222" s="1"/>
      <c r="DUD222" s="1"/>
      <c r="DUE222" s="1"/>
      <c r="DUF222" s="1"/>
      <c r="DUG222" s="1"/>
      <c r="DUH222" s="1"/>
      <c r="DUI222" s="1"/>
      <c r="DUJ222" s="1"/>
      <c r="DUK222" s="1"/>
      <c r="DUL222" s="1"/>
      <c r="DUM222" s="1"/>
      <c r="DUN222" s="1"/>
      <c r="DUO222" s="1"/>
      <c r="DUP222" s="1"/>
      <c r="DUQ222" s="1"/>
      <c r="DUR222" s="1"/>
      <c r="DUS222" s="1"/>
      <c r="DUT222" s="1"/>
      <c r="DUU222" s="1"/>
      <c r="DUV222" s="1"/>
      <c r="DUW222" s="1"/>
      <c r="DUX222" s="1"/>
      <c r="DUY222" s="1"/>
      <c r="DUZ222" s="1"/>
      <c r="DVA222" s="1"/>
      <c r="DVB222" s="1"/>
      <c r="DVC222" s="1"/>
      <c r="DVD222" s="1"/>
      <c r="DVE222" s="1"/>
      <c r="DVF222" s="1"/>
      <c r="DVG222" s="1"/>
      <c r="DVH222" s="1"/>
      <c r="DVI222" s="1"/>
      <c r="DVJ222" s="1"/>
      <c r="DVK222" s="1"/>
      <c r="DVL222" s="1"/>
      <c r="DVM222" s="1"/>
      <c r="DVN222" s="1"/>
      <c r="DVO222" s="1"/>
      <c r="DVP222" s="1"/>
      <c r="DVQ222" s="1"/>
      <c r="DVR222" s="1"/>
      <c r="DVS222" s="1"/>
      <c r="DVT222" s="1"/>
      <c r="DVU222" s="1"/>
      <c r="DVV222" s="1"/>
      <c r="DVW222" s="1"/>
      <c r="DVX222" s="1"/>
      <c r="DVY222" s="1"/>
      <c r="DVZ222" s="1"/>
      <c r="DWA222" s="1"/>
      <c r="DWB222" s="1"/>
      <c r="DWC222" s="1"/>
      <c r="DWD222" s="1"/>
      <c r="DWE222" s="1"/>
      <c r="DWF222" s="1"/>
      <c r="DWG222" s="1"/>
      <c r="DWH222" s="1"/>
      <c r="DWI222" s="1"/>
      <c r="DWJ222" s="1"/>
      <c r="DWK222" s="1"/>
      <c r="DWL222" s="1"/>
      <c r="DWM222" s="1"/>
      <c r="DWN222" s="1"/>
      <c r="DWO222" s="1"/>
      <c r="DWP222" s="1"/>
      <c r="DWQ222" s="1"/>
      <c r="DWR222" s="1"/>
      <c r="DWS222" s="1"/>
      <c r="DWT222" s="1"/>
      <c r="DWU222" s="1"/>
      <c r="DWV222" s="1"/>
      <c r="DWW222" s="1"/>
      <c r="DWX222" s="1"/>
      <c r="DWY222" s="1"/>
      <c r="DWZ222" s="1"/>
      <c r="DXA222" s="1"/>
      <c r="DXB222" s="1"/>
      <c r="DXC222" s="1"/>
      <c r="DXD222" s="1"/>
      <c r="DXE222" s="1"/>
      <c r="DXF222" s="1"/>
      <c r="DXG222" s="1"/>
      <c r="DXH222" s="1"/>
      <c r="DXI222" s="1"/>
      <c r="DXJ222" s="1"/>
      <c r="DXK222" s="1"/>
      <c r="DXL222" s="1"/>
      <c r="DXM222" s="1"/>
      <c r="DXN222" s="1"/>
      <c r="DXO222" s="1"/>
      <c r="DXP222" s="1"/>
      <c r="DXQ222" s="1"/>
      <c r="DXR222" s="1"/>
      <c r="DXS222" s="1"/>
      <c r="DXT222" s="1"/>
      <c r="DXU222" s="1"/>
      <c r="DXV222" s="1"/>
      <c r="DXW222" s="1"/>
      <c r="DXX222" s="1"/>
      <c r="DXY222" s="1"/>
      <c r="DXZ222" s="1"/>
      <c r="DYA222" s="1"/>
      <c r="DYB222" s="1"/>
      <c r="DYC222" s="1"/>
      <c r="DYD222" s="1"/>
      <c r="DYE222" s="1"/>
      <c r="DYF222" s="1"/>
      <c r="DYG222" s="1"/>
      <c r="DYH222" s="1"/>
      <c r="DYI222" s="1"/>
      <c r="DYJ222" s="1"/>
      <c r="DYK222" s="1"/>
      <c r="DYL222" s="1"/>
      <c r="DYM222" s="1"/>
      <c r="DYN222" s="1"/>
      <c r="DYO222" s="1"/>
      <c r="DYP222" s="1"/>
      <c r="DYQ222" s="1"/>
      <c r="DYR222" s="1"/>
      <c r="DYS222" s="1"/>
      <c r="DYT222" s="1"/>
      <c r="DYU222" s="1"/>
      <c r="DYV222" s="1"/>
      <c r="DYW222" s="1"/>
      <c r="DYX222" s="1"/>
      <c r="DYY222" s="1"/>
      <c r="DYZ222" s="1"/>
      <c r="DZA222" s="1"/>
      <c r="DZB222" s="1"/>
      <c r="DZC222" s="1"/>
      <c r="DZD222" s="1"/>
      <c r="DZE222" s="1"/>
      <c r="DZF222" s="1"/>
      <c r="DZG222" s="1"/>
      <c r="DZH222" s="1"/>
      <c r="DZI222" s="1"/>
      <c r="DZJ222" s="1"/>
      <c r="DZK222" s="1"/>
      <c r="DZL222" s="1"/>
      <c r="DZM222" s="1"/>
      <c r="DZN222" s="1"/>
      <c r="DZO222" s="1"/>
      <c r="DZP222" s="1"/>
      <c r="DZQ222" s="1"/>
      <c r="DZR222" s="1"/>
      <c r="DZS222" s="1"/>
      <c r="DZT222" s="1"/>
      <c r="DZU222" s="1"/>
      <c r="DZV222" s="1"/>
      <c r="DZW222" s="1"/>
      <c r="DZX222" s="1"/>
      <c r="DZY222" s="1"/>
      <c r="DZZ222" s="1"/>
      <c r="EAA222" s="1"/>
      <c r="EAB222" s="1"/>
      <c r="EAC222" s="1"/>
      <c r="EAD222" s="1"/>
      <c r="EAE222" s="1"/>
      <c r="EAF222" s="1"/>
      <c r="EAG222" s="1"/>
      <c r="EAH222" s="1"/>
      <c r="EAI222" s="1"/>
      <c r="EAJ222" s="1"/>
      <c r="EAK222" s="1"/>
      <c r="EAL222" s="1"/>
      <c r="EAM222" s="1"/>
      <c r="EAN222" s="1"/>
      <c r="EAO222" s="1"/>
      <c r="EAP222" s="1"/>
      <c r="EAQ222" s="1"/>
      <c r="EAR222" s="1"/>
      <c r="EAS222" s="1"/>
      <c r="EAT222" s="1"/>
      <c r="EAU222" s="1"/>
      <c r="EAV222" s="1"/>
      <c r="EAW222" s="1"/>
      <c r="EAX222" s="1"/>
      <c r="EAY222" s="1"/>
      <c r="EAZ222" s="1"/>
      <c r="EBA222" s="1"/>
      <c r="EBB222" s="1"/>
      <c r="EBC222" s="1"/>
      <c r="EBD222" s="1"/>
      <c r="EBE222" s="1"/>
      <c r="EBF222" s="1"/>
      <c r="EBG222" s="1"/>
      <c r="EBH222" s="1"/>
      <c r="EBI222" s="1"/>
      <c r="EBJ222" s="1"/>
      <c r="EBK222" s="1"/>
      <c r="EBL222" s="1"/>
      <c r="EBM222" s="1"/>
      <c r="EBN222" s="1"/>
      <c r="EBO222" s="1"/>
      <c r="EBP222" s="1"/>
      <c r="EBQ222" s="1"/>
      <c r="EBR222" s="1"/>
      <c r="EBS222" s="1"/>
      <c r="EBT222" s="1"/>
      <c r="EBU222" s="1"/>
      <c r="EBV222" s="1"/>
      <c r="EBW222" s="1"/>
      <c r="EBX222" s="1"/>
      <c r="EBY222" s="1"/>
      <c r="EBZ222" s="1"/>
      <c r="ECA222" s="1"/>
      <c r="ECB222" s="1"/>
      <c r="ECC222" s="1"/>
      <c r="ECD222" s="1"/>
      <c r="ECE222" s="1"/>
      <c r="ECF222" s="1"/>
      <c r="ECG222" s="1"/>
      <c r="ECH222" s="1"/>
      <c r="ECI222" s="1"/>
      <c r="ECJ222" s="1"/>
      <c r="ECK222" s="1"/>
      <c r="ECL222" s="1"/>
      <c r="ECM222" s="1"/>
      <c r="ECN222" s="1"/>
      <c r="ECO222" s="1"/>
      <c r="ECP222" s="1"/>
      <c r="ECQ222" s="1"/>
      <c r="ECR222" s="1"/>
      <c r="ECS222" s="1"/>
      <c r="ECT222" s="1"/>
      <c r="ECU222" s="1"/>
      <c r="ECV222" s="1"/>
      <c r="ECW222" s="1"/>
      <c r="ECX222" s="1"/>
      <c r="ECY222" s="1"/>
      <c r="ECZ222" s="1"/>
      <c r="EDA222" s="1"/>
      <c r="EDB222" s="1"/>
      <c r="EDC222" s="1"/>
      <c r="EDD222" s="1"/>
      <c r="EDE222" s="1"/>
      <c r="EDF222" s="1"/>
      <c r="EDG222" s="1"/>
      <c r="EDH222" s="1"/>
      <c r="EDI222" s="1"/>
      <c r="EDJ222" s="1"/>
      <c r="EDK222" s="1"/>
      <c r="EDL222" s="1"/>
      <c r="EDM222" s="1"/>
      <c r="EDN222" s="1"/>
      <c r="EDO222" s="1"/>
      <c r="EDP222" s="1"/>
      <c r="EDQ222" s="1"/>
      <c r="EDR222" s="1"/>
      <c r="EDS222" s="1"/>
      <c r="EDT222" s="1"/>
      <c r="EDU222" s="1"/>
      <c r="EDV222" s="1"/>
      <c r="EDW222" s="1"/>
      <c r="EDX222" s="1"/>
      <c r="EDY222" s="1"/>
      <c r="EDZ222" s="1"/>
      <c r="EEA222" s="1"/>
      <c r="EEB222" s="1"/>
      <c r="EEC222" s="1"/>
      <c r="EED222" s="1"/>
      <c r="EEE222" s="1"/>
      <c r="EEF222" s="1"/>
      <c r="EEG222" s="1"/>
      <c r="EEH222" s="1"/>
      <c r="EEI222" s="1"/>
      <c r="EEJ222" s="1"/>
      <c r="EEK222" s="1"/>
      <c r="EEL222" s="1"/>
      <c r="EEM222" s="1"/>
      <c r="EEN222" s="1"/>
      <c r="EEO222" s="1"/>
      <c r="EEP222" s="1"/>
      <c r="EEQ222" s="1"/>
      <c r="EER222" s="1"/>
      <c r="EES222" s="1"/>
      <c r="EET222" s="1"/>
      <c r="EEU222" s="1"/>
      <c r="EEV222" s="1"/>
      <c r="EEW222" s="1"/>
      <c r="EEX222" s="1"/>
      <c r="EEY222" s="1"/>
      <c r="EEZ222" s="1"/>
      <c r="EFA222" s="1"/>
      <c r="EFB222" s="1"/>
      <c r="EFC222" s="1"/>
      <c r="EFD222" s="1"/>
      <c r="EFE222" s="1"/>
      <c r="EFF222" s="1"/>
      <c r="EFG222" s="1"/>
      <c r="EFH222" s="1"/>
      <c r="EFI222" s="1"/>
      <c r="EFJ222" s="1"/>
      <c r="EFK222" s="1"/>
      <c r="EFL222" s="1"/>
      <c r="EFM222" s="1"/>
      <c r="EFN222" s="1"/>
      <c r="EFO222" s="1"/>
      <c r="EFP222" s="1"/>
      <c r="EFQ222" s="1"/>
      <c r="EFR222" s="1"/>
      <c r="EFS222" s="1"/>
      <c r="EFT222" s="1"/>
      <c r="EFU222" s="1"/>
      <c r="EFV222" s="1"/>
      <c r="EFW222" s="1"/>
      <c r="EFX222" s="1"/>
      <c r="EFY222" s="1"/>
      <c r="EFZ222" s="1"/>
      <c r="EGA222" s="1"/>
      <c r="EGB222" s="1"/>
      <c r="EGC222" s="1"/>
      <c r="EGD222" s="1"/>
      <c r="EGE222" s="1"/>
      <c r="EGF222" s="1"/>
      <c r="EGG222" s="1"/>
      <c r="EGH222" s="1"/>
      <c r="EGI222" s="1"/>
      <c r="EGJ222" s="1"/>
      <c r="EGK222" s="1"/>
      <c r="EGL222" s="1"/>
      <c r="EGM222" s="1"/>
      <c r="EGN222" s="1"/>
      <c r="EGO222" s="1"/>
      <c r="EGP222" s="1"/>
      <c r="EGQ222" s="1"/>
      <c r="EGR222" s="1"/>
      <c r="EGS222" s="1"/>
      <c r="EGT222" s="1"/>
      <c r="EGU222" s="1"/>
      <c r="EGV222" s="1"/>
      <c r="EGW222" s="1"/>
      <c r="EGX222" s="1"/>
      <c r="EGY222" s="1"/>
      <c r="EGZ222" s="1"/>
      <c r="EHA222" s="1"/>
      <c r="EHB222" s="1"/>
      <c r="EHC222" s="1"/>
      <c r="EHD222" s="1"/>
      <c r="EHE222" s="1"/>
      <c r="EHF222" s="1"/>
      <c r="EHG222" s="1"/>
      <c r="EHH222" s="1"/>
      <c r="EHI222" s="1"/>
      <c r="EHJ222" s="1"/>
      <c r="EHK222" s="1"/>
      <c r="EHL222" s="1"/>
      <c r="EHM222" s="1"/>
      <c r="EHN222" s="1"/>
      <c r="EHO222" s="1"/>
      <c r="EHP222" s="1"/>
      <c r="EHQ222" s="1"/>
      <c r="EHR222" s="1"/>
      <c r="EHS222" s="1"/>
      <c r="EHT222" s="1"/>
      <c r="EHU222" s="1"/>
      <c r="EHV222" s="1"/>
      <c r="EHW222" s="1"/>
      <c r="EHX222" s="1"/>
      <c r="EHY222" s="1"/>
      <c r="EHZ222" s="1"/>
      <c r="EIA222" s="1"/>
      <c r="EIB222" s="1"/>
      <c r="EIC222" s="1"/>
      <c r="EID222" s="1"/>
      <c r="EIE222" s="1"/>
      <c r="EIF222" s="1"/>
      <c r="EIG222" s="1"/>
      <c r="EIH222" s="1"/>
      <c r="EII222" s="1"/>
      <c r="EIJ222" s="1"/>
      <c r="EIK222" s="1"/>
      <c r="EIL222" s="1"/>
      <c r="EIM222" s="1"/>
      <c r="EIN222" s="1"/>
      <c r="EIO222" s="1"/>
      <c r="EIP222" s="1"/>
      <c r="EIQ222" s="1"/>
      <c r="EIR222" s="1"/>
      <c r="EIS222" s="1"/>
      <c r="EIT222" s="1"/>
      <c r="EIU222" s="1"/>
      <c r="EIV222" s="1"/>
      <c r="EIW222" s="1"/>
      <c r="EIX222" s="1"/>
      <c r="EIY222" s="1"/>
      <c r="EIZ222" s="1"/>
      <c r="EJA222" s="1"/>
      <c r="EJB222" s="1"/>
      <c r="EJC222" s="1"/>
      <c r="EJD222" s="1"/>
      <c r="EJE222" s="1"/>
      <c r="EJF222" s="1"/>
      <c r="EJG222" s="1"/>
      <c r="EJH222" s="1"/>
      <c r="EJI222" s="1"/>
      <c r="EJJ222" s="1"/>
      <c r="EJK222" s="1"/>
      <c r="EJL222" s="1"/>
      <c r="EJM222" s="1"/>
      <c r="EJN222" s="1"/>
      <c r="EJO222" s="1"/>
      <c r="EJP222" s="1"/>
      <c r="EJQ222" s="1"/>
      <c r="EJR222" s="1"/>
      <c r="EJS222" s="1"/>
      <c r="EJT222" s="1"/>
      <c r="EJU222" s="1"/>
      <c r="EJV222" s="1"/>
      <c r="EJW222" s="1"/>
      <c r="EJX222" s="1"/>
      <c r="EJY222" s="1"/>
      <c r="EJZ222" s="1"/>
      <c r="EKA222" s="1"/>
      <c r="EKB222" s="1"/>
      <c r="EKC222" s="1"/>
      <c r="EKD222" s="1"/>
      <c r="EKE222" s="1"/>
      <c r="EKF222" s="1"/>
      <c r="EKG222" s="1"/>
      <c r="EKH222" s="1"/>
      <c r="EKI222" s="1"/>
      <c r="EKJ222" s="1"/>
      <c r="EKK222" s="1"/>
      <c r="EKL222" s="1"/>
      <c r="EKM222" s="1"/>
      <c r="EKN222" s="1"/>
      <c r="EKO222" s="1"/>
      <c r="EKP222" s="1"/>
      <c r="EKQ222" s="1"/>
      <c r="EKR222" s="1"/>
      <c r="EKS222" s="1"/>
      <c r="EKT222" s="1"/>
      <c r="EKU222" s="1"/>
      <c r="EKV222" s="1"/>
      <c r="EKW222" s="1"/>
      <c r="EKX222" s="1"/>
      <c r="EKY222" s="1"/>
      <c r="EKZ222" s="1"/>
      <c r="ELA222" s="1"/>
      <c r="ELB222" s="1"/>
      <c r="ELC222" s="1"/>
      <c r="ELD222" s="1"/>
      <c r="ELE222" s="1"/>
      <c r="ELF222" s="1"/>
      <c r="ELG222" s="1"/>
      <c r="ELH222" s="1"/>
      <c r="ELI222" s="1"/>
      <c r="ELJ222" s="1"/>
      <c r="ELK222" s="1"/>
      <c r="ELL222" s="1"/>
      <c r="ELM222" s="1"/>
      <c r="ELN222" s="1"/>
      <c r="ELO222" s="1"/>
      <c r="ELP222" s="1"/>
      <c r="ELQ222" s="1"/>
      <c r="ELR222" s="1"/>
      <c r="ELS222" s="1"/>
      <c r="ELT222" s="1"/>
      <c r="ELU222" s="1"/>
      <c r="ELV222" s="1"/>
      <c r="ELW222" s="1"/>
      <c r="ELX222" s="1"/>
      <c r="ELY222" s="1"/>
      <c r="ELZ222" s="1"/>
      <c r="EMA222" s="1"/>
      <c r="EMB222" s="1"/>
      <c r="EMC222" s="1"/>
      <c r="EMD222" s="1"/>
      <c r="EME222" s="1"/>
      <c r="EMF222" s="1"/>
      <c r="EMG222" s="1"/>
      <c r="EMH222" s="1"/>
      <c r="EMI222" s="1"/>
      <c r="EMJ222" s="1"/>
      <c r="EMK222" s="1"/>
      <c r="EML222" s="1"/>
      <c r="EMM222" s="1"/>
      <c r="EMN222" s="1"/>
      <c r="EMO222" s="1"/>
      <c r="EMP222" s="1"/>
      <c r="EMQ222" s="1"/>
      <c r="EMR222" s="1"/>
      <c r="EMS222" s="1"/>
      <c r="EMT222" s="1"/>
      <c r="EMU222" s="1"/>
      <c r="EMV222" s="1"/>
      <c r="EMW222" s="1"/>
      <c r="EMX222" s="1"/>
      <c r="EMY222" s="1"/>
      <c r="EMZ222" s="1"/>
      <c r="ENA222" s="1"/>
      <c r="ENB222" s="1"/>
      <c r="ENC222" s="1"/>
      <c r="END222" s="1"/>
      <c r="ENE222" s="1"/>
      <c r="ENF222" s="1"/>
      <c r="ENG222" s="1"/>
      <c r="ENH222" s="1"/>
      <c r="ENI222" s="1"/>
      <c r="ENJ222" s="1"/>
      <c r="ENK222" s="1"/>
      <c r="ENL222" s="1"/>
      <c r="ENM222" s="1"/>
      <c r="ENN222" s="1"/>
      <c r="ENO222" s="1"/>
      <c r="ENP222" s="1"/>
      <c r="ENQ222" s="1"/>
      <c r="ENR222" s="1"/>
      <c r="ENS222" s="1"/>
      <c r="ENT222" s="1"/>
      <c r="ENU222" s="1"/>
      <c r="ENV222" s="1"/>
      <c r="ENW222" s="1"/>
      <c r="ENX222" s="1"/>
      <c r="ENY222" s="1"/>
      <c r="ENZ222" s="1"/>
      <c r="EOA222" s="1"/>
      <c r="EOB222" s="1"/>
      <c r="EOC222" s="1"/>
      <c r="EOD222" s="1"/>
      <c r="EOE222" s="1"/>
      <c r="EOF222" s="1"/>
      <c r="EOG222" s="1"/>
      <c r="EOH222" s="1"/>
      <c r="EOI222" s="1"/>
      <c r="EOJ222" s="1"/>
      <c r="EOK222" s="1"/>
      <c r="EOL222" s="1"/>
      <c r="EOM222" s="1"/>
      <c r="EON222" s="1"/>
      <c r="EOO222" s="1"/>
      <c r="EOP222" s="1"/>
      <c r="EOQ222" s="1"/>
      <c r="EOR222" s="1"/>
      <c r="EOS222" s="1"/>
      <c r="EOT222" s="1"/>
      <c r="EOU222" s="1"/>
      <c r="EOV222" s="1"/>
      <c r="EOW222" s="1"/>
      <c r="EOX222" s="1"/>
      <c r="EOY222" s="1"/>
      <c r="EOZ222" s="1"/>
      <c r="EPA222" s="1"/>
      <c r="EPB222" s="1"/>
      <c r="EPC222" s="1"/>
      <c r="EPD222" s="1"/>
      <c r="EPE222" s="1"/>
      <c r="EPF222" s="1"/>
      <c r="EPG222" s="1"/>
      <c r="EPH222" s="1"/>
      <c r="EPI222" s="1"/>
      <c r="EPJ222" s="1"/>
      <c r="EPK222" s="1"/>
      <c r="EPL222" s="1"/>
      <c r="EPM222" s="1"/>
      <c r="EPN222" s="1"/>
      <c r="EPO222" s="1"/>
      <c r="EPP222" s="1"/>
      <c r="EPQ222" s="1"/>
      <c r="EPR222" s="1"/>
      <c r="EPS222" s="1"/>
      <c r="EPT222" s="1"/>
      <c r="EPU222" s="1"/>
      <c r="EPV222" s="1"/>
      <c r="EPW222" s="1"/>
      <c r="EPX222" s="1"/>
      <c r="EPY222" s="1"/>
      <c r="EPZ222" s="1"/>
      <c r="EQA222" s="1"/>
      <c r="EQB222" s="1"/>
      <c r="EQC222" s="1"/>
      <c r="EQD222" s="1"/>
      <c r="EQE222" s="1"/>
      <c r="EQF222" s="1"/>
      <c r="EQG222" s="1"/>
      <c r="EQH222" s="1"/>
      <c r="EQI222" s="1"/>
      <c r="EQJ222" s="1"/>
      <c r="EQK222" s="1"/>
      <c r="EQL222" s="1"/>
      <c r="EQM222" s="1"/>
      <c r="EQN222" s="1"/>
      <c r="EQO222" s="1"/>
      <c r="EQP222" s="1"/>
      <c r="EQQ222" s="1"/>
      <c r="EQR222" s="1"/>
      <c r="EQS222" s="1"/>
      <c r="EQT222" s="1"/>
      <c r="EQU222" s="1"/>
      <c r="EQV222" s="1"/>
      <c r="EQW222" s="1"/>
      <c r="EQX222" s="1"/>
      <c r="EQY222" s="1"/>
      <c r="EQZ222" s="1"/>
      <c r="ERA222" s="1"/>
      <c r="ERB222" s="1"/>
      <c r="ERC222" s="1"/>
      <c r="ERD222" s="1"/>
      <c r="ERE222" s="1"/>
      <c r="ERF222" s="1"/>
      <c r="ERG222" s="1"/>
      <c r="ERH222" s="1"/>
      <c r="ERI222" s="1"/>
      <c r="ERJ222" s="1"/>
      <c r="ERK222" s="1"/>
      <c r="ERL222" s="1"/>
      <c r="ERM222" s="1"/>
      <c r="ERN222" s="1"/>
      <c r="ERO222" s="1"/>
      <c r="ERP222" s="1"/>
      <c r="ERQ222" s="1"/>
      <c r="ERR222" s="1"/>
      <c r="ERS222" s="1"/>
      <c r="ERT222" s="1"/>
      <c r="ERU222" s="1"/>
      <c r="ERV222" s="1"/>
      <c r="ERW222" s="1"/>
      <c r="ERX222" s="1"/>
      <c r="ERY222" s="1"/>
      <c r="ERZ222" s="1"/>
      <c r="ESA222" s="1"/>
      <c r="ESB222" s="1"/>
      <c r="ESC222" s="1"/>
      <c r="ESD222" s="1"/>
      <c r="ESE222" s="1"/>
      <c r="ESF222" s="1"/>
      <c r="ESG222" s="1"/>
      <c r="ESH222" s="1"/>
      <c r="ESI222" s="1"/>
      <c r="ESJ222" s="1"/>
      <c r="ESK222" s="1"/>
      <c r="ESL222" s="1"/>
      <c r="ESM222" s="1"/>
      <c r="ESN222" s="1"/>
      <c r="ESO222" s="1"/>
      <c r="ESP222" s="1"/>
      <c r="ESQ222" s="1"/>
      <c r="ESR222" s="1"/>
      <c r="ESS222" s="1"/>
      <c r="EST222" s="1"/>
      <c r="ESU222" s="1"/>
      <c r="ESV222" s="1"/>
      <c r="ESW222" s="1"/>
      <c r="ESX222" s="1"/>
      <c r="ESY222" s="1"/>
      <c r="ESZ222" s="1"/>
      <c r="ETA222" s="1"/>
      <c r="ETB222" s="1"/>
      <c r="ETC222" s="1"/>
      <c r="ETD222" s="1"/>
      <c r="ETE222" s="1"/>
      <c r="ETF222" s="1"/>
      <c r="ETG222" s="1"/>
      <c r="ETH222" s="1"/>
      <c r="ETI222" s="1"/>
      <c r="ETJ222" s="1"/>
      <c r="ETK222" s="1"/>
      <c r="ETL222" s="1"/>
      <c r="ETM222" s="1"/>
      <c r="ETN222" s="1"/>
      <c r="ETO222" s="1"/>
      <c r="ETP222" s="1"/>
      <c r="ETQ222" s="1"/>
      <c r="ETR222" s="1"/>
      <c r="ETS222" s="1"/>
      <c r="ETT222" s="1"/>
      <c r="ETU222" s="1"/>
      <c r="ETV222" s="1"/>
      <c r="ETW222" s="1"/>
      <c r="ETX222" s="1"/>
      <c r="ETY222" s="1"/>
      <c r="ETZ222" s="1"/>
      <c r="EUA222" s="1"/>
      <c r="EUB222" s="1"/>
      <c r="EUC222" s="1"/>
      <c r="EUD222" s="1"/>
      <c r="EUE222" s="1"/>
      <c r="EUF222" s="1"/>
      <c r="EUG222" s="1"/>
      <c r="EUH222" s="1"/>
      <c r="EUI222" s="1"/>
      <c r="EUJ222" s="1"/>
      <c r="EUK222" s="1"/>
      <c r="EUL222" s="1"/>
      <c r="EUM222" s="1"/>
      <c r="EUN222" s="1"/>
      <c r="EUO222" s="1"/>
      <c r="EUP222" s="1"/>
      <c r="EUQ222" s="1"/>
      <c r="EUR222" s="1"/>
      <c r="EUS222" s="1"/>
      <c r="EUT222" s="1"/>
      <c r="EUU222" s="1"/>
      <c r="EUV222" s="1"/>
      <c r="EUW222" s="1"/>
      <c r="EUX222" s="1"/>
      <c r="EUY222" s="1"/>
      <c r="EUZ222" s="1"/>
      <c r="EVA222" s="1"/>
      <c r="EVB222" s="1"/>
      <c r="EVC222" s="1"/>
      <c r="EVD222" s="1"/>
      <c r="EVE222" s="1"/>
      <c r="EVF222" s="1"/>
      <c r="EVG222" s="1"/>
      <c r="EVH222" s="1"/>
      <c r="EVI222" s="1"/>
      <c r="EVJ222" s="1"/>
      <c r="EVK222" s="1"/>
      <c r="EVL222" s="1"/>
      <c r="EVM222" s="1"/>
      <c r="EVN222" s="1"/>
      <c r="EVO222" s="1"/>
      <c r="EVP222" s="1"/>
      <c r="EVQ222" s="1"/>
      <c r="EVR222" s="1"/>
      <c r="EVS222" s="1"/>
      <c r="EVT222" s="1"/>
      <c r="EVU222" s="1"/>
      <c r="EVV222" s="1"/>
      <c r="EVW222" s="1"/>
      <c r="EVX222" s="1"/>
      <c r="EVY222" s="1"/>
      <c r="EVZ222" s="1"/>
      <c r="EWA222" s="1"/>
      <c r="EWB222" s="1"/>
      <c r="EWC222" s="1"/>
      <c r="EWD222" s="1"/>
      <c r="EWE222" s="1"/>
      <c r="EWF222" s="1"/>
      <c r="EWG222" s="1"/>
      <c r="EWH222" s="1"/>
      <c r="EWI222" s="1"/>
      <c r="EWJ222" s="1"/>
      <c r="EWK222" s="1"/>
      <c r="EWL222" s="1"/>
      <c r="EWM222" s="1"/>
      <c r="EWN222" s="1"/>
      <c r="EWO222" s="1"/>
      <c r="EWP222" s="1"/>
      <c r="EWQ222" s="1"/>
      <c r="EWR222" s="1"/>
      <c r="EWS222" s="1"/>
      <c r="EWT222" s="1"/>
      <c r="EWU222" s="1"/>
      <c r="EWV222" s="1"/>
      <c r="EWW222" s="1"/>
      <c r="EWX222" s="1"/>
      <c r="EWY222" s="1"/>
      <c r="EWZ222" s="1"/>
      <c r="EXA222" s="1"/>
      <c r="EXB222" s="1"/>
      <c r="EXC222" s="1"/>
      <c r="EXD222" s="1"/>
      <c r="EXE222" s="1"/>
      <c r="EXF222" s="1"/>
      <c r="EXG222" s="1"/>
      <c r="EXH222" s="1"/>
      <c r="EXI222" s="1"/>
      <c r="EXJ222" s="1"/>
      <c r="EXK222" s="1"/>
      <c r="EXL222" s="1"/>
      <c r="EXM222" s="1"/>
      <c r="EXN222" s="1"/>
      <c r="EXO222" s="1"/>
      <c r="EXP222" s="1"/>
      <c r="EXQ222" s="1"/>
      <c r="EXR222" s="1"/>
      <c r="EXS222" s="1"/>
      <c r="EXT222" s="1"/>
      <c r="EXU222" s="1"/>
      <c r="EXV222" s="1"/>
      <c r="EXW222" s="1"/>
      <c r="EXX222" s="1"/>
      <c r="EXY222" s="1"/>
      <c r="EXZ222" s="1"/>
      <c r="EYA222" s="1"/>
      <c r="EYB222" s="1"/>
      <c r="EYC222" s="1"/>
      <c r="EYD222" s="1"/>
      <c r="EYE222" s="1"/>
      <c r="EYF222" s="1"/>
      <c r="EYG222" s="1"/>
      <c r="EYH222" s="1"/>
      <c r="EYI222" s="1"/>
      <c r="EYJ222" s="1"/>
      <c r="EYK222" s="1"/>
      <c r="EYL222" s="1"/>
      <c r="EYM222" s="1"/>
      <c r="EYN222" s="1"/>
      <c r="EYO222" s="1"/>
      <c r="EYP222" s="1"/>
      <c r="EYQ222" s="1"/>
      <c r="EYR222" s="1"/>
      <c r="EYS222" s="1"/>
      <c r="EYT222" s="1"/>
      <c r="EYU222" s="1"/>
      <c r="EYV222" s="1"/>
      <c r="EYW222" s="1"/>
      <c r="EYX222" s="1"/>
      <c r="EYY222" s="1"/>
      <c r="EYZ222" s="1"/>
      <c r="EZA222" s="1"/>
      <c r="EZB222" s="1"/>
      <c r="EZC222" s="1"/>
      <c r="EZD222" s="1"/>
      <c r="EZE222" s="1"/>
      <c r="EZF222" s="1"/>
      <c r="EZG222" s="1"/>
      <c r="EZH222" s="1"/>
      <c r="EZI222" s="1"/>
      <c r="EZJ222" s="1"/>
      <c r="EZK222" s="1"/>
      <c r="EZL222" s="1"/>
      <c r="EZM222" s="1"/>
      <c r="EZN222" s="1"/>
      <c r="EZO222" s="1"/>
      <c r="EZP222" s="1"/>
      <c r="EZQ222" s="1"/>
      <c r="EZR222" s="1"/>
      <c r="EZS222" s="1"/>
      <c r="EZT222" s="1"/>
      <c r="EZU222" s="1"/>
      <c r="EZV222" s="1"/>
      <c r="EZW222" s="1"/>
      <c r="EZX222" s="1"/>
      <c r="EZY222" s="1"/>
      <c r="EZZ222" s="1"/>
      <c r="FAA222" s="1"/>
      <c r="FAB222" s="1"/>
      <c r="FAC222" s="1"/>
      <c r="FAD222" s="1"/>
      <c r="FAE222" s="1"/>
      <c r="FAF222" s="1"/>
      <c r="FAG222" s="1"/>
      <c r="FAH222" s="1"/>
      <c r="FAI222" s="1"/>
      <c r="FAJ222" s="1"/>
      <c r="FAK222" s="1"/>
      <c r="FAL222" s="1"/>
      <c r="FAM222" s="1"/>
      <c r="FAN222" s="1"/>
      <c r="FAO222" s="1"/>
      <c r="FAP222" s="1"/>
      <c r="FAQ222" s="1"/>
      <c r="FAR222" s="1"/>
      <c r="FAS222" s="1"/>
      <c r="FAT222" s="1"/>
      <c r="FAU222" s="1"/>
      <c r="FAV222" s="1"/>
      <c r="FAW222" s="1"/>
      <c r="FAX222" s="1"/>
      <c r="FAY222" s="1"/>
      <c r="FAZ222" s="1"/>
      <c r="FBA222" s="1"/>
      <c r="FBB222" s="1"/>
      <c r="FBC222" s="1"/>
      <c r="FBD222" s="1"/>
      <c r="FBE222" s="1"/>
      <c r="FBF222" s="1"/>
      <c r="FBG222" s="1"/>
      <c r="FBH222" s="1"/>
      <c r="FBI222" s="1"/>
      <c r="FBJ222" s="1"/>
      <c r="FBK222" s="1"/>
      <c r="FBL222" s="1"/>
      <c r="FBM222" s="1"/>
      <c r="FBN222" s="1"/>
      <c r="FBO222" s="1"/>
      <c r="FBP222" s="1"/>
      <c r="FBQ222" s="1"/>
      <c r="FBR222" s="1"/>
      <c r="FBS222" s="1"/>
      <c r="FBT222" s="1"/>
      <c r="FBU222" s="1"/>
      <c r="FBV222" s="1"/>
      <c r="FBW222" s="1"/>
      <c r="FBX222" s="1"/>
      <c r="FBY222" s="1"/>
      <c r="FBZ222" s="1"/>
      <c r="FCA222" s="1"/>
      <c r="FCB222" s="1"/>
      <c r="FCC222" s="1"/>
      <c r="FCD222" s="1"/>
      <c r="FCE222" s="1"/>
      <c r="FCF222" s="1"/>
      <c r="FCG222" s="1"/>
      <c r="FCH222" s="1"/>
      <c r="FCI222" s="1"/>
      <c r="FCJ222" s="1"/>
      <c r="FCK222" s="1"/>
      <c r="FCL222" s="1"/>
      <c r="FCM222" s="1"/>
      <c r="FCN222" s="1"/>
      <c r="FCO222" s="1"/>
      <c r="FCP222" s="1"/>
      <c r="FCQ222" s="1"/>
      <c r="FCR222" s="1"/>
      <c r="FCS222" s="1"/>
      <c r="FCT222" s="1"/>
      <c r="FCU222" s="1"/>
      <c r="FCV222" s="1"/>
      <c r="FCW222" s="1"/>
      <c r="FCX222" s="1"/>
      <c r="FCY222" s="1"/>
      <c r="FCZ222" s="1"/>
      <c r="FDA222" s="1"/>
      <c r="FDB222" s="1"/>
      <c r="FDC222" s="1"/>
      <c r="FDD222" s="1"/>
      <c r="FDE222" s="1"/>
      <c r="FDF222" s="1"/>
      <c r="FDG222" s="1"/>
      <c r="FDH222" s="1"/>
      <c r="FDI222" s="1"/>
      <c r="FDJ222" s="1"/>
      <c r="FDK222" s="1"/>
      <c r="FDL222" s="1"/>
      <c r="FDM222" s="1"/>
      <c r="FDN222" s="1"/>
      <c r="FDO222" s="1"/>
      <c r="FDP222" s="1"/>
      <c r="FDQ222" s="1"/>
      <c r="FDR222" s="1"/>
      <c r="FDS222" s="1"/>
      <c r="FDT222" s="1"/>
      <c r="FDU222" s="1"/>
      <c r="FDV222" s="1"/>
      <c r="FDW222" s="1"/>
      <c r="FDX222" s="1"/>
      <c r="FDY222" s="1"/>
      <c r="FDZ222" s="1"/>
      <c r="FEA222" s="1"/>
      <c r="FEB222" s="1"/>
      <c r="FEC222" s="1"/>
      <c r="FED222" s="1"/>
      <c r="FEE222" s="1"/>
      <c r="FEF222" s="1"/>
      <c r="FEG222" s="1"/>
      <c r="FEH222" s="1"/>
      <c r="FEI222" s="1"/>
      <c r="FEJ222" s="1"/>
      <c r="FEK222" s="1"/>
      <c r="FEL222" s="1"/>
      <c r="FEM222" s="1"/>
      <c r="FEN222" s="1"/>
      <c r="FEO222" s="1"/>
      <c r="FEP222" s="1"/>
      <c r="FEQ222" s="1"/>
      <c r="FER222" s="1"/>
      <c r="FES222" s="1"/>
      <c r="FET222" s="1"/>
      <c r="FEU222" s="1"/>
      <c r="FEV222" s="1"/>
      <c r="FEW222" s="1"/>
      <c r="FEX222" s="1"/>
      <c r="FEY222" s="1"/>
      <c r="FEZ222" s="1"/>
      <c r="FFA222" s="1"/>
      <c r="FFB222" s="1"/>
      <c r="FFC222" s="1"/>
      <c r="FFD222" s="1"/>
      <c r="FFE222" s="1"/>
      <c r="FFF222" s="1"/>
      <c r="FFG222" s="1"/>
      <c r="FFH222" s="1"/>
      <c r="FFI222" s="1"/>
      <c r="FFJ222" s="1"/>
      <c r="FFK222" s="1"/>
      <c r="FFL222" s="1"/>
      <c r="FFM222" s="1"/>
      <c r="FFN222" s="1"/>
      <c r="FFO222" s="1"/>
      <c r="FFP222" s="1"/>
      <c r="FFQ222" s="1"/>
      <c r="FFR222" s="1"/>
      <c r="FFS222" s="1"/>
      <c r="FFT222" s="1"/>
      <c r="FFU222" s="1"/>
      <c r="FFV222" s="1"/>
      <c r="FFW222" s="1"/>
      <c r="FFX222" s="1"/>
      <c r="FFY222" s="1"/>
      <c r="FFZ222" s="1"/>
      <c r="FGA222" s="1"/>
      <c r="FGB222" s="1"/>
      <c r="FGC222" s="1"/>
      <c r="FGD222" s="1"/>
      <c r="FGE222" s="1"/>
      <c r="FGF222" s="1"/>
      <c r="FGG222" s="1"/>
      <c r="FGH222" s="1"/>
      <c r="FGI222" s="1"/>
      <c r="FGJ222" s="1"/>
      <c r="FGK222" s="1"/>
      <c r="FGL222" s="1"/>
      <c r="FGM222" s="1"/>
      <c r="FGN222" s="1"/>
      <c r="FGO222" s="1"/>
      <c r="FGP222" s="1"/>
      <c r="FGQ222" s="1"/>
      <c r="FGR222" s="1"/>
      <c r="FGS222" s="1"/>
      <c r="FGT222" s="1"/>
      <c r="FGU222" s="1"/>
      <c r="FGV222" s="1"/>
      <c r="FGW222" s="1"/>
      <c r="FGX222" s="1"/>
      <c r="FGY222" s="1"/>
      <c r="FGZ222" s="1"/>
      <c r="FHA222" s="1"/>
      <c r="FHB222" s="1"/>
      <c r="FHC222" s="1"/>
      <c r="FHD222" s="1"/>
      <c r="FHE222" s="1"/>
      <c r="FHF222" s="1"/>
      <c r="FHG222" s="1"/>
      <c r="FHH222" s="1"/>
      <c r="FHI222" s="1"/>
      <c r="FHJ222" s="1"/>
      <c r="FHK222" s="1"/>
      <c r="FHL222" s="1"/>
      <c r="FHM222" s="1"/>
      <c r="FHN222" s="1"/>
      <c r="FHO222" s="1"/>
      <c r="FHP222" s="1"/>
      <c r="FHQ222" s="1"/>
      <c r="FHR222" s="1"/>
      <c r="FHS222" s="1"/>
      <c r="FHT222" s="1"/>
      <c r="FHU222" s="1"/>
      <c r="FHV222" s="1"/>
      <c r="FHW222" s="1"/>
      <c r="FHX222" s="1"/>
      <c r="FHY222" s="1"/>
      <c r="FHZ222" s="1"/>
      <c r="FIA222" s="1"/>
      <c r="FIB222" s="1"/>
      <c r="FIC222" s="1"/>
      <c r="FID222" s="1"/>
      <c r="FIE222" s="1"/>
      <c r="FIF222" s="1"/>
      <c r="FIG222" s="1"/>
      <c r="FIH222" s="1"/>
      <c r="FII222" s="1"/>
      <c r="FIJ222" s="1"/>
      <c r="FIK222" s="1"/>
      <c r="FIL222" s="1"/>
      <c r="FIM222" s="1"/>
      <c r="FIN222" s="1"/>
      <c r="FIO222" s="1"/>
      <c r="FIP222" s="1"/>
      <c r="FIQ222" s="1"/>
      <c r="FIR222" s="1"/>
      <c r="FIS222" s="1"/>
      <c r="FIT222" s="1"/>
      <c r="FIU222" s="1"/>
      <c r="FIV222" s="1"/>
      <c r="FIW222" s="1"/>
      <c r="FIX222" s="1"/>
      <c r="FIY222" s="1"/>
      <c r="FIZ222" s="1"/>
      <c r="FJA222" s="1"/>
      <c r="FJB222" s="1"/>
      <c r="FJC222" s="1"/>
      <c r="FJD222" s="1"/>
      <c r="FJE222" s="1"/>
      <c r="FJF222" s="1"/>
      <c r="FJG222" s="1"/>
      <c r="FJH222" s="1"/>
      <c r="FJI222" s="1"/>
      <c r="FJJ222" s="1"/>
      <c r="FJK222" s="1"/>
      <c r="FJL222" s="1"/>
      <c r="FJM222" s="1"/>
      <c r="FJN222" s="1"/>
      <c r="FJO222" s="1"/>
      <c r="FJP222" s="1"/>
      <c r="FJQ222" s="1"/>
      <c r="FJR222" s="1"/>
      <c r="FJS222" s="1"/>
      <c r="FJT222" s="1"/>
      <c r="FJU222" s="1"/>
      <c r="FJV222" s="1"/>
      <c r="FJW222" s="1"/>
      <c r="FJX222" s="1"/>
      <c r="FJY222" s="1"/>
      <c r="FJZ222" s="1"/>
      <c r="FKA222" s="1"/>
      <c r="FKB222" s="1"/>
      <c r="FKC222" s="1"/>
      <c r="FKD222" s="1"/>
      <c r="FKE222" s="1"/>
      <c r="FKF222" s="1"/>
      <c r="FKG222" s="1"/>
      <c r="FKH222" s="1"/>
      <c r="FKI222" s="1"/>
      <c r="FKJ222" s="1"/>
      <c r="FKK222" s="1"/>
      <c r="FKL222" s="1"/>
      <c r="FKM222" s="1"/>
      <c r="FKN222" s="1"/>
      <c r="FKO222" s="1"/>
      <c r="FKP222" s="1"/>
      <c r="FKQ222" s="1"/>
      <c r="FKR222" s="1"/>
      <c r="FKS222" s="1"/>
      <c r="FKT222" s="1"/>
      <c r="FKU222" s="1"/>
      <c r="FKV222" s="1"/>
      <c r="FKW222" s="1"/>
      <c r="FKX222" s="1"/>
      <c r="FKY222" s="1"/>
      <c r="FKZ222" s="1"/>
      <c r="FLA222" s="1"/>
      <c r="FLB222" s="1"/>
      <c r="FLC222" s="1"/>
      <c r="FLD222" s="1"/>
      <c r="FLE222" s="1"/>
      <c r="FLF222" s="1"/>
      <c r="FLG222" s="1"/>
      <c r="FLH222" s="1"/>
      <c r="FLI222" s="1"/>
      <c r="FLJ222" s="1"/>
      <c r="FLK222" s="1"/>
      <c r="FLL222" s="1"/>
      <c r="FLM222" s="1"/>
      <c r="FLN222" s="1"/>
      <c r="FLO222" s="1"/>
      <c r="FLP222" s="1"/>
      <c r="FLQ222" s="1"/>
      <c r="FLR222" s="1"/>
      <c r="FLS222" s="1"/>
      <c r="FLT222" s="1"/>
      <c r="FLU222" s="1"/>
      <c r="FLV222" s="1"/>
      <c r="FLW222" s="1"/>
      <c r="FLX222" s="1"/>
      <c r="FLY222" s="1"/>
      <c r="FLZ222" s="1"/>
      <c r="FMA222" s="1"/>
      <c r="FMB222" s="1"/>
      <c r="FMC222" s="1"/>
      <c r="FMD222" s="1"/>
      <c r="FME222" s="1"/>
      <c r="FMF222" s="1"/>
      <c r="FMG222" s="1"/>
      <c r="FMH222" s="1"/>
      <c r="FMI222" s="1"/>
      <c r="FMJ222" s="1"/>
      <c r="FMK222" s="1"/>
      <c r="FML222" s="1"/>
      <c r="FMM222" s="1"/>
      <c r="FMN222" s="1"/>
      <c r="FMO222" s="1"/>
      <c r="FMP222" s="1"/>
      <c r="FMQ222" s="1"/>
      <c r="FMR222" s="1"/>
      <c r="FMS222" s="1"/>
      <c r="FMT222" s="1"/>
      <c r="FMU222" s="1"/>
      <c r="FMV222" s="1"/>
      <c r="FMW222" s="1"/>
      <c r="FMX222" s="1"/>
      <c r="FMY222" s="1"/>
      <c r="FMZ222" s="1"/>
      <c r="FNA222" s="1"/>
      <c r="FNB222" s="1"/>
      <c r="FNC222" s="1"/>
      <c r="FND222" s="1"/>
      <c r="FNE222" s="1"/>
      <c r="FNF222" s="1"/>
      <c r="FNG222" s="1"/>
      <c r="FNH222" s="1"/>
      <c r="FNI222" s="1"/>
      <c r="FNJ222" s="1"/>
      <c r="FNK222" s="1"/>
      <c r="FNL222" s="1"/>
      <c r="FNM222" s="1"/>
      <c r="FNN222" s="1"/>
      <c r="FNO222" s="1"/>
      <c r="FNP222" s="1"/>
      <c r="FNQ222" s="1"/>
      <c r="FNR222" s="1"/>
      <c r="FNS222" s="1"/>
      <c r="FNT222" s="1"/>
      <c r="FNU222" s="1"/>
      <c r="FNV222" s="1"/>
      <c r="FNW222" s="1"/>
      <c r="FNX222" s="1"/>
      <c r="FNY222" s="1"/>
      <c r="FNZ222" s="1"/>
      <c r="FOA222" s="1"/>
      <c r="FOB222" s="1"/>
      <c r="FOC222" s="1"/>
      <c r="FOD222" s="1"/>
      <c r="FOE222" s="1"/>
      <c r="FOF222" s="1"/>
      <c r="FOG222" s="1"/>
      <c r="FOH222" s="1"/>
      <c r="FOI222" s="1"/>
      <c r="FOJ222" s="1"/>
      <c r="FOK222" s="1"/>
      <c r="FOL222" s="1"/>
      <c r="FOM222" s="1"/>
      <c r="FON222" s="1"/>
      <c r="FOO222" s="1"/>
      <c r="FOP222" s="1"/>
      <c r="FOQ222" s="1"/>
      <c r="FOR222" s="1"/>
      <c r="FOS222" s="1"/>
      <c r="FOT222" s="1"/>
      <c r="FOU222" s="1"/>
      <c r="FOV222" s="1"/>
      <c r="FOW222" s="1"/>
      <c r="FOX222" s="1"/>
      <c r="FOY222" s="1"/>
      <c r="FOZ222" s="1"/>
      <c r="FPA222" s="1"/>
      <c r="FPB222" s="1"/>
      <c r="FPC222" s="1"/>
      <c r="FPD222" s="1"/>
      <c r="FPE222" s="1"/>
      <c r="FPF222" s="1"/>
      <c r="FPG222" s="1"/>
      <c r="FPH222" s="1"/>
      <c r="FPI222" s="1"/>
      <c r="FPJ222" s="1"/>
      <c r="FPK222" s="1"/>
      <c r="FPL222" s="1"/>
      <c r="FPM222" s="1"/>
      <c r="FPN222" s="1"/>
      <c r="FPO222" s="1"/>
      <c r="FPP222" s="1"/>
      <c r="FPQ222" s="1"/>
      <c r="FPR222" s="1"/>
      <c r="FPS222" s="1"/>
      <c r="FPT222" s="1"/>
      <c r="FPU222" s="1"/>
      <c r="FPV222" s="1"/>
      <c r="FPW222" s="1"/>
      <c r="FPX222" s="1"/>
      <c r="FPY222" s="1"/>
      <c r="FPZ222" s="1"/>
      <c r="FQA222" s="1"/>
      <c r="FQB222" s="1"/>
      <c r="FQC222" s="1"/>
      <c r="FQD222" s="1"/>
      <c r="FQE222" s="1"/>
      <c r="FQF222" s="1"/>
      <c r="FQG222" s="1"/>
      <c r="FQH222" s="1"/>
      <c r="FQI222" s="1"/>
      <c r="FQJ222" s="1"/>
      <c r="FQK222" s="1"/>
      <c r="FQL222" s="1"/>
      <c r="FQM222" s="1"/>
      <c r="FQN222" s="1"/>
      <c r="FQO222" s="1"/>
      <c r="FQP222" s="1"/>
      <c r="FQQ222" s="1"/>
      <c r="FQR222" s="1"/>
      <c r="FQS222" s="1"/>
      <c r="FQT222" s="1"/>
      <c r="FQU222" s="1"/>
      <c r="FQV222" s="1"/>
      <c r="FQW222" s="1"/>
      <c r="FQX222" s="1"/>
      <c r="FQY222" s="1"/>
      <c r="FQZ222" s="1"/>
      <c r="FRA222" s="1"/>
      <c r="FRB222" s="1"/>
      <c r="FRC222" s="1"/>
      <c r="FRD222" s="1"/>
      <c r="FRE222" s="1"/>
      <c r="FRF222" s="1"/>
      <c r="FRG222" s="1"/>
      <c r="FRH222" s="1"/>
      <c r="FRI222" s="1"/>
      <c r="FRJ222" s="1"/>
      <c r="FRK222" s="1"/>
      <c r="FRL222" s="1"/>
      <c r="FRM222" s="1"/>
      <c r="FRN222" s="1"/>
      <c r="FRO222" s="1"/>
      <c r="FRP222" s="1"/>
      <c r="FRQ222" s="1"/>
      <c r="FRR222" s="1"/>
      <c r="FRS222" s="1"/>
      <c r="FRT222" s="1"/>
      <c r="FRU222" s="1"/>
      <c r="FRV222" s="1"/>
      <c r="FRW222" s="1"/>
      <c r="FRX222" s="1"/>
      <c r="FRY222" s="1"/>
      <c r="FRZ222" s="1"/>
      <c r="FSA222" s="1"/>
      <c r="FSB222" s="1"/>
      <c r="FSC222" s="1"/>
      <c r="FSD222" s="1"/>
      <c r="FSE222" s="1"/>
      <c r="FSF222" s="1"/>
      <c r="FSG222" s="1"/>
      <c r="FSH222" s="1"/>
      <c r="FSI222" s="1"/>
      <c r="FSJ222" s="1"/>
      <c r="FSK222" s="1"/>
      <c r="FSL222" s="1"/>
      <c r="FSM222" s="1"/>
      <c r="FSN222" s="1"/>
      <c r="FSO222" s="1"/>
      <c r="FSP222" s="1"/>
      <c r="FSQ222" s="1"/>
      <c r="FSR222" s="1"/>
      <c r="FSS222" s="1"/>
      <c r="FST222" s="1"/>
      <c r="FSU222" s="1"/>
      <c r="FSV222" s="1"/>
      <c r="FSW222" s="1"/>
      <c r="FSX222" s="1"/>
      <c r="FSY222" s="1"/>
      <c r="FSZ222" s="1"/>
      <c r="FTA222" s="1"/>
      <c r="FTB222" s="1"/>
      <c r="FTC222" s="1"/>
      <c r="FTD222" s="1"/>
      <c r="FTE222" s="1"/>
      <c r="FTF222" s="1"/>
      <c r="FTG222" s="1"/>
      <c r="FTH222" s="1"/>
      <c r="FTI222" s="1"/>
      <c r="FTJ222" s="1"/>
      <c r="FTK222" s="1"/>
      <c r="FTL222" s="1"/>
      <c r="FTM222" s="1"/>
      <c r="FTN222" s="1"/>
      <c r="FTO222" s="1"/>
      <c r="FTP222" s="1"/>
      <c r="FTQ222" s="1"/>
      <c r="FTR222" s="1"/>
      <c r="FTS222" s="1"/>
      <c r="FTT222" s="1"/>
      <c r="FTU222" s="1"/>
      <c r="FTV222" s="1"/>
      <c r="FTW222" s="1"/>
      <c r="FTX222" s="1"/>
      <c r="FTY222" s="1"/>
      <c r="FTZ222" s="1"/>
      <c r="FUA222" s="1"/>
      <c r="FUB222" s="1"/>
      <c r="FUC222" s="1"/>
      <c r="FUD222" s="1"/>
      <c r="FUE222" s="1"/>
      <c r="FUF222" s="1"/>
      <c r="FUG222" s="1"/>
      <c r="FUH222" s="1"/>
      <c r="FUI222" s="1"/>
      <c r="FUJ222" s="1"/>
      <c r="FUK222" s="1"/>
      <c r="FUL222" s="1"/>
      <c r="FUM222" s="1"/>
      <c r="FUN222" s="1"/>
      <c r="FUO222" s="1"/>
      <c r="FUP222" s="1"/>
      <c r="FUQ222" s="1"/>
      <c r="FUR222" s="1"/>
      <c r="FUS222" s="1"/>
      <c r="FUT222" s="1"/>
      <c r="FUU222" s="1"/>
      <c r="FUV222" s="1"/>
      <c r="FUW222" s="1"/>
      <c r="FUX222" s="1"/>
      <c r="FUY222" s="1"/>
      <c r="FUZ222" s="1"/>
      <c r="FVA222" s="1"/>
      <c r="FVB222" s="1"/>
      <c r="FVC222" s="1"/>
      <c r="FVD222" s="1"/>
      <c r="FVE222" s="1"/>
      <c r="FVF222" s="1"/>
      <c r="FVG222" s="1"/>
      <c r="FVH222" s="1"/>
      <c r="FVI222" s="1"/>
      <c r="FVJ222" s="1"/>
      <c r="FVK222" s="1"/>
      <c r="FVL222" s="1"/>
      <c r="FVM222" s="1"/>
      <c r="FVN222" s="1"/>
      <c r="FVO222" s="1"/>
      <c r="FVP222" s="1"/>
      <c r="FVQ222" s="1"/>
      <c r="FVR222" s="1"/>
      <c r="FVS222" s="1"/>
      <c r="FVT222" s="1"/>
      <c r="FVU222" s="1"/>
      <c r="FVV222" s="1"/>
      <c r="FVW222" s="1"/>
      <c r="FVX222" s="1"/>
      <c r="FVY222" s="1"/>
      <c r="FVZ222" s="1"/>
      <c r="FWA222" s="1"/>
      <c r="FWB222" s="1"/>
      <c r="FWC222" s="1"/>
      <c r="FWD222" s="1"/>
      <c r="FWE222" s="1"/>
      <c r="FWF222" s="1"/>
      <c r="FWG222" s="1"/>
      <c r="FWH222" s="1"/>
      <c r="FWI222" s="1"/>
      <c r="FWJ222" s="1"/>
      <c r="FWK222" s="1"/>
      <c r="FWL222" s="1"/>
      <c r="FWM222" s="1"/>
      <c r="FWN222" s="1"/>
      <c r="FWO222" s="1"/>
      <c r="FWP222" s="1"/>
      <c r="FWQ222" s="1"/>
      <c r="FWR222" s="1"/>
      <c r="FWS222" s="1"/>
      <c r="FWT222" s="1"/>
      <c r="FWU222" s="1"/>
      <c r="FWV222" s="1"/>
      <c r="FWW222" s="1"/>
      <c r="FWX222" s="1"/>
      <c r="FWY222" s="1"/>
      <c r="FWZ222" s="1"/>
      <c r="FXA222" s="1"/>
      <c r="FXB222" s="1"/>
      <c r="FXC222" s="1"/>
      <c r="FXD222" s="1"/>
      <c r="FXE222" s="1"/>
      <c r="FXF222" s="1"/>
      <c r="FXG222" s="1"/>
      <c r="FXH222" s="1"/>
      <c r="FXI222" s="1"/>
      <c r="FXJ222" s="1"/>
      <c r="FXK222" s="1"/>
      <c r="FXL222" s="1"/>
      <c r="FXM222" s="1"/>
      <c r="FXN222" s="1"/>
      <c r="FXO222" s="1"/>
      <c r="FXP222" s="1"/>
      <c r="FXQ222" s="1"/>
      <c r="FXR222" s="1"/>
      <c r="FXS222" s="1"/>
      <c r="FXT222" s="1"/>
      <c r="FXU222" s="1"/>
      <c r="FXV222" s="1"/>
      <c r="FXW222" s="1"/>
      <c r="FXX222" s="1"/>
      <c r="FXY222" s="1"/>
      <c r="FXZ222" s="1"/>
      <c r="FYA222" s="1"/>
      <c r="FYB222" s="1"/>
      <c r="FYC222" s="1"/>
      <c r="FYD222" s="1"/>
      <c r="FYE222" s="1"/>
      <c r="FYF222" s="1"/>
      <c r="FYG222" s="1"/>
      <c r="FYH222" s="1"/>
      <c r="FYI222" s="1"/>
      <c r="FYJ222" s="1"/>
      <c r="FYK222" s="1"/>
      <c r="FYL222" s="1"/>
      <c r="FYM222" s="1"/>
      <c r="FYN222" s="1"/>
      <c r="FYO222" s="1"/>
      <c r="FYP222" s="1"/>
      <c r="FYQ222" s="1"/>
      <c r="FYR222" s="1"/>
      <c r="FYS222" s="1"/>
      <c r="FYT222" s="1"/>
      <c r="FYU222" s="1"/>
      <c r="FYV222" s="1"/>
      <c r="FYW222" s="1"/>
      <c r="FYX222" s="1"/>
      <c r="FYY222" s="1"/>
      <c r="FYZ222" s="1"/>
      <c r="FZA222" s="1"/>
      <c r="FZB222" s="1"/>
      <c r="FZC222" s="1"/>
      <c r="FZD222" s="1"/>
      <c r="FZE222" s="1"/>
      <c r="FZF222" s="1"/>
      <c r="FZG222" s="1"/>
      <c r="FZH222" s="1"/>
      <c r="FZI222" s="1"/>
      <c r="FZJ222" s="1"/>
      <c r="FZK222" s="1"/>
      <c r="FZL222" s="1"/>
      <c r="FZM222" s="1"/>
      <c r="FZN222" s="1"/>
      <c r="FZO222" s="1"/>
      <c r="FZP222" s="1"/>
      <c r="FZQ222" s="1"/>
      <c r="FZR222" s="1"/>
      <c r="FZS222" s="1"/>
      <c r="FZT222" s="1"/>
      <c r="FZU222" s="1"/>
      <c r="FZV222" s="1"/>
      <c r="FZW222" s="1"/>
      <c r="FZX222" s="1"/>
      <c r="FZY222" s="1"/>
      <c r="FZZ222" s="1"/>
      <c r="GAA222" s="1"/>
      <c r="GAB222" s="1"/>
      <c r="GAC222" s="1"/>
      <c r="GAD222" s="1"/>
      <c r="GAE222" s="1"/>
      <c r="GAF222" s="1"/>
      <c r="GAG222" s="1"/>
      <c r="GAH222" s="1"/>
      <c r="GAI222" s="1"/>
      <c r="GAJ222" s="1"/>
      <c r="GAK222" s="1"/>
      <c r="GAL222" s="1"/>
      <c r="GAM222" s="1"/>
      <c r="GAN222" s="1"/>
      <c r="GAO222" s="1"/>
      <c r="GAP222" s="1"/>
      <c r="GAQ222" s="1"/>
      <c r="GAR222" s="1"/>
      <c r="GAS222" s="1"/>
      <c r="GAT222" s="1"/>
      <c r="GAU222" s="1"/>
      <c r="GAV222" s="1"/>
      <c r="GAW222" s="1"/>
      <c r="GAX222" s="1"/>
      <c r="GAY222" s="1"/>
      <c r="GAZ222" s="1"/>
      <c r="GBA222" s="1"/>
      <c r="GBB222" s="1"/>
      <c r="GBC222" s="1"/>
      <c r="GBD222" s="1"/>
      <c r="GBE222" s="1"/>
      <c r="GBF222" s="1"/>
      <c r="GBG222" s="1"/>
      <c r="GBH222" s="1"/>
      <c r="GBI222" s="1"/>
      <c r="GBJ222" s="1"/>
      <c r="GBK222" s="1"/>
      <c r="GBL222" s="1"/>
      <c r="GBM222" s="1"/>
      <c r="GBN222" s="1"/>
      <c r="GBO222" s="1"/>
      <c r="GBP222" s="1"/>
      <c r="GBQ222" s="1"/>
      <c r="GBR222" s="1"/>
      <c r="GBS222" s="1"/>
      <c r="GBT222" s="1"/>
      <c r="GBU222" s="1"/>
      <c r="GBV222" s="1"/>
      <c r="GBW222" s="1"/>
      <c r="GBX222" s="1"/>
      <c r="GBY222" s="1"/>
      <c r="GBZ222" s="1"/>
      <c r="GCA222" s="1"/>
      <c r="GCB222" s="1"/>
      <c r="GCC222" s="1"/>
      <c r="GCD222" s="1"/>
      <c r="GCE222" s="1"/>
      <c r="GCF222" s="1"/>
      <c r="GCG222" s="1"/>
      <c r="GCH222" s="1"/>
      <c r="GCI222" s="1"/>
      <c r="GCJ222" s="1"/>
      <c r="GCK222" s="1"/>
      <c r="GCL222" s="1"/>
      <c r="GCM222" s="1"/>
      <c r="GCN222" s="1"/>
      <c r="GCO222" s="1"/>
      <c r="GCP222" s="1"/>
      <c r="GCQ222" s="1"/>
      <c r="GCR222" s="1"/>
      <c r="GCS222" s="1"/>
      <c r="GCT222" s="1"/>
      <c r="GCU222" s="1"/>
      <c r="GCV222" s="1"/>
      <c r="GCW222" s="1"/>
      <c r="GCX222" s="1"/>
      <c r="GCY222" s="1"/>
      <c r="GCZ222" s="1"/>
      <c r="GDA222" s="1"/>
      <c r="GDB222" s="1"/>
      <c r="GDC222" s="1"/>
      <c r="GDD222" s="1"/>
      <c r="GDE222" s="1"/>
      <c r="GDF222" s="1"/>
      <c r="GDG222" s="1"/>
      <c r="GDH222" s="1"/>
      <c r="GDI222" s="1"/>
      <c r="GDJ222" s="1"/>
      <c r="GDK222" s="1"/>
      <c r="GDL222" s="1"/>
      <c r="GDM222" s="1"/>
      <c r="GDN222" s="1"/>
      <c r="GDO222" s="1"/>
      <c r="GDP222" s="1"/>
      <c r="GDQ222" s="1"/>
      <c r="GDR222" s="1"/>
      <c r="GDS222" s="1"/>
      <c r="GDT222" s="1"/>
      <c r="GDU222" s="1"/>
      <c r="GDV222" s="1"/>
      <c r="GDW222" s="1"/>
      <c r="GDX222" s="1"/>
      <c r="GDY222" s="1"/>
      <c r="GDZ222" s="1"/>
      <c r="GEA222" s="1"/>
      <c r="GEB222" s="1"/>
      <c r="GEC222" s="1"/>
      <c r="GED222" s="1"/>
      <c r="GEE222" s="1"/>
      <c r="GEF222" s="1"/>
      <c r="GEG222" s="1"/>
      <c r="GEH222" s="1"/>
      <c r="GEI222" s="1"/>
      <c r="GEJ222" s="1"/>
      <c r="GEK222" s="1"/>
      <c r="GEL222" s="1"/>
      <c r="GEM222" s="1"/>
      <c r="GEN222" s="1"/>
      <c r="GEO222" s="1"/>
      <c r="GEP222" s="1"/>
      <c r="GEQ222" s="1"/>
      <c r="GER222" s="1"/>
      <c r="GES222" s="1"/>
      <c r="GET222" s="1"/>
      <c r="GEU222" s="1"/>
      <c r="GEV222" s="1"/>
      <c r="GEW222" s="1"/>
      <c r="GEX222" s="1"/>
      <c r="GEY222" s="1"/>
      <c r="GEZ222" s="1"/>
      <c r="GFA222" s="1"/>
      <c r="GFB222" s="1"/>
      <c r="GFC222" s="1"/>
      <c r="GFD222" s="1"/>
      <c r="GFE222" s="1"/>
      <c r="GFF222" s="1"/>
      <c r="GFG222" s="1"/>
      <c r="GFH222" s="1"/>
      <c r="GFI222" s="1"/>
      <c r="GFJ222" s="1"/>
      <c r="GFK222" s="1"/>
      <c r="GFL222" s="1"/>
      <c r="GFM222" s="1"/>
      <c r="GFN222" s="1"/>
      <c r="GFO222" s="1"/>
      <c r="GFP222" s="1"/>
      <c r="GFQ222" s="1"/>
      <c r="GFR222" s="1"/>
      <c r="GFS222" s="1"/>
      <c r="GFT222" s="1"/>
      <c r="GFU222" s="1"/>
      <c r="GFV222" s="1"/>
      <c r="GFW222" s="1"/>
      <c r="GFX222" s="1"/>
      <c r="GFY222" s="1"/>
      <c r="GFZ222" s="1"/>
      <c r="GGA222" s="1"/>
      <c r="GGB222" s="1"/>
      <c r="GGC222" s="1"/>
      <c r="GGD222" s="1"/>
      <c r="GGE222" s="1"/>
      <c r="GGF222" s="1"/>
      <c r="GGG222" s="1"/>
      <c r="GGH222" s="1"/>
      <c r="GGI222" s="1"/>
      <c r="GGJ222" s="1"/>
      <c r="GGK222" s="1"/>
      <c r="GGL222" s="1"/>
      <c r="GGM222" s="1"/>
      <c r="GGN222" s="1"/>
      <c r="GGO222" s="1"/>
      <c r="GGP222" s="1"/>
      <c r="GGQ222" s="1"/>
      <c r="GGR222" s="1"/>
      <c r="GGS222" s="1"/>
      <c r="GGT222" s="1"/>
      <c r="GGU222" s="1"/>
      <c r="GGV222" s="1"/>
      <c r="GGW222" s="1"/>
      <c r="GGX222" s="1"/>
      <c r="GGY222" s="1"/>
      <c r="GGZ222" s="1"/>
      <c r="GHA222" s="1"/>
      <c r="GHB222" s="1"/>
      <c r="GHC222" s="1"/>
      <c r="GHD222" s="1"/>
      <c r="GHE222" s="1"/>
      <c r="GHF222" s="1"/>
      <c r="GHG222" s="1"/>
      <c r="GHH222" s="1"/>
      <c r="GHI222" s="1"/>
      <c r="GHJ222" s="1"/>
      <c r="GHK222" s="1"/>
      <c r="GHL222" s="1"/>
      <c r="GHM222" s="1"/>
      <c r="GHN222" s="1"/>
      <c r="GHO222" s="1"/>
      <c r="GHP222" s="1"/>
      <c r="GHQ222" s="1"/>
      <c r="GHR222" s="1"/>
      <c r="GHS222" s="1"/>
      <c r="GHT222" s="1"/>
      <c r="GHU222" s="1"/>
      <c r="GHV222" s="1"/>
      <c r="GHW222" s="1"/>
      <c r="GHX222" s="1"/>
      <c r="GHY222" s="1"/>
      <c r="GHZ222" s="1"/>
      <c r="GIA222" s="1"/>
      <c r="GIB222" s="1"/>
      <c r="GIC222" s="1"/>
      <c r="GID222" s="1"/>
      <c r="GIE222" s="1"/>
      <c r="GIF222" s="1"/>
      <c r="GIG222" s="1"/>
      <c r="GIH222" s="1"/>
      <c r="GII222" s="1"/>
      <c r="GIJ222" s="1"/>
      <c r="GIK222" s="1"/>
      <c r="GIL222" s="1"/>
      <c r="GIM222" s="1"/>
      <c r="GIN222" s="1"/>
      <c r="GIO222" s="1"/>
      <c r="GIP222" s="1"/>
      <c r="GIQ222" s="1"/>
      <c r="GIR222" s="1"/>
      <c r="GIS222" s="1"/>
      <c r="GIT222" s="1"/>
      <c r="GIU222" s="1"/>
      <c r="GIV222" s="1"/>
      <c r="GIW222" s="1"/>
      <c r="GIX222" s="1"/>
      <c r="GIY222" s="1"/>
      <c r="GIZ222" s="1"/>
      <c r="GJA222" s="1"/>
      <c r="GJB222" s="1"/>
      <c r="GJC222" s="1"/>
      <c r="GJD222" s="1"/>
      <c r="GJE222" s="1"/>
      <c r="GJF222" s="1"/>
      <c r="GJG222" s="1"/>
      <c r="GJH222" s="1"/>
      <c r="GJI222" s="1"/>
      <c r="GJJ222" s="1"/>
      <c r="GJK222" s="1"/>
      <c r="GJL222" s="1"/>
      <c r="GJM222" s="1"/>
      <c r="GJN222" s="1"/>
      <c r="GJO222" s="1"/>
      <c r="GJP222" s="1"/>
      <c r="GJQ222" s="1"/>
      <c r="GJR222" s="1"/>
      <c r="GJS222" s="1"/>
      <c r="GJT222" s="1"/>
      <c r="GJU222" s="1"/>
      <c r="GJV222" s="1"/>
      <c r="GJW222" s="1"/>
      <c r="GJX222" s="1"/>
      <c r="GJY222" s="1"/>
      <c r="GJZ222" s="1"/>
      <c r="GKA222" s="1"/>
      <c r="GKB222" s="1"/>
      <c r="GKC222" s="1"/>
      <c r="GKD222" s="1"/>
      <c r="GKE222" s="1"/>
      <c r="GKF222" s="1"/>
      <c r="GKG222" s="1"/>
      <c r="GKH222" s="1"/>
      <c r="GKI222" s="1"/>
      <c r="GKJ222" s="1"/>
      <c r="GKK222" s="1"/>
      <c r="GKL222" s="1"/>
      <c r="GKM222" s="1"/>
      <c r="GKN222" s="1"/>
      <c r="GKO222" s="1"/>
      <c r="GKP222" s="1"/>
      <c r="GKQ222" s="1"/>
      <c r="GKR222" s="1"/>
      <c r="GKS222" s="1"/>
      <c r="GKT222" s="1"/>
      <c r="GKU222" s="1"/>
      <c r="GKV222" s="1"/>
      <c r="GKW222" s="1"/>
      <c r="GKX222" s="1"/>
      <c r="GKY222" s="1"/>
      <c r="GKZ222" s="1"/>
      <c r="GLA222" s="1"/>
      <c r="GLB222" s="1"/>
      <c r="GLC222" s="1"/>
      <c r="GLD222" s="1"/>
      <c r="GLE222" s="1"/>
      <c r="GLF222" s="1"/>
      <c r="GLG222" s="1"/>
      <c r="GLH222" s="1"/>
      <c r="GLI222" s="1"/>
      <c r="GLJ222" s="1"/>
      <c r="GLK222" s="1"/>
      <c r="GLL222" s="1"/>
      <c r="GLM222" s="1"/>
      <c r="GLN222" s="1"/>
      <c r="GLO222" s="1"/>
      <c r="GLP222" s="1"/>
      <c r="GLQ222" s="1"/>
      <c r="GLR222" s="1"/>
      <c r="GLS222" s="1"/>
      <c r="GLT222" s="1"/>
      <c r="GLU222" s="1"/>
      <c r="GLV222" s="1"/>
      <c r="GLW222" s="1"/>
      <c r="GLX222" s="1"/>
      <c r="GLY222" s="1"/>
      <c r="GLZ222" s="1"/>
      <c r="GMA222" s="1"/>
      <c r="GMB222" s="1"/>
      <c r="GMC222" s="1"/>
      <c r="GMD222" s="1"/>
      <c r="GME222" s="1"/>
      <c r="GMF222" s="1"/>
      <c r="GMG222" s="1"/>
      <c r="GMH222" s="1"/>
      <c r="GMI222" s="1"/>
      <c r="GMJ222" s="1"/>
      <c r="GMK222" s="1"/>
      <c r="GML222" s="1"/>
      <c r="GMM222" s="1"/>
      <c r="GMN222" s="1"/>
      <c r="GMO222" s="1"/>
      <c r="GMP222" s="1"/>
      <c r="GMQ222" s="1"/>
      <c r="GMR222" s="1"/>
      <c r="GMS222" s="1"/>
      <c r="GMT222" s="1"/>
      <c r="GMU222" s="1"/>
      <c r="GMV222" s="1"/>
      <c r="GMW222" s="1"/>
      <c r="GMX222" s="1"/>
      <c r="GMY222" s="1"/>
      <c r="GMZ222" s="1"/>
      <c r="GNA222" s="1"/>
      <c r="GNB222" s="1"/>
      <c r="GNC222" s="1"/>
      <c r="GND222" s="1"/>
      <c r="GNE222" s="1"/>
      <c r="GNF222" s="1"/>
      <c r="GNG222" s="1"/>
      <c r="GNH222" s="1"/>
      <c r="GNI222" s="1"/>
      <c r="GNJ222" s="1"/>
      <c r="GNK222" s="1"/>
      <c r="GNL222" s="1"/>
      <c r="GNM222" s="1"/>
      <c r="GNN222" s="1"/>
      <c r="GNO222" s="1"/>
      <c r="GNP222" s="1"/>
      <c r="GNQ222" s="1"/>
      <c r="GNR222" s="1"/>
      <c r="GNS222" s="1"/>
      <c r="GNT222" s="1"/>
      <c r="GNU222" s="1"/>
      <c r="GNV222" s="1"/>
      <c r="GNW222" s="1"/>
      <c r="GNX222" s="1"/>
      <c r="GNY222" s="1"/>
      <c r="GNZ222" s="1"/>
      <c r="GOA222" s="1"/>
      <c r="GOB222" s="1"/>
      <c r="GOC222" s="1"/>
      <c r="GOD222" s="1"/>
      <c r="GOE222" s="1"/>
      <c r="GOF222" s="1"/>
      <c r="GOG222" s="1"/>
      <c r="GOH222" s="1"/>
      <c r="GOI222" s="1"/>
      <c r="GOJ222" s="1"/>
      <c r="GOK222" s="1"/>
      <c r="GOL222" s="1"/>
      <c r="GOM222" s="1"/>
      <c r="GON222" s="1"/>
      <c r="GOO222" s="1"/>
      <c r="GOP222" s="1"/>
      <c r="GOQ222" s="1"/>
      <c r="GOR222" s="1"/>
      <c r="GOS222" s="1"/>
      <c r="GOT222" s="1"/>
      <c r="GOU222" s="1"/>
      <c r="GOV222" s="1"/>
      <c r="GOW222" s="1"/>
      <c r="GOX222" s="1"/>
      <c r="GOY222" s="1"/>
      <c r="GOZ222" s="1"/>
      <c r="GPA222" s="1"/>
      <c r="GPB222" s="1"/>
      <c r="GPC222" s="1"/>
      <c r="GPD222" s="1"/>
      <c r="GPE222" s="1"/>
      <c r="GPF222" s="1"/>
      <c r="GPG222" s="1"/>
      <c r="GPH222" s="1"/>
      <c r="GPI222" s="1"/>
      <c r="GPJ222" s="1"/>
      <c r="GPK222" s="1"/>
      <c r="GPL222" s="1"/>
      <c r="GPM222" s="1"/>
      <c r="GPN222" s="1"/>
      <c r="GPO222" s="1"/>
      <c r="GPP222" s="1"/>
      <c r="GPQ222" s="1"/>
      <c r="GPR222" s="1"/>
      <c r="GPS222" s="1"/>
      <c r="GPT222" s="1"/>
      <c r="GPU222" s="1"/>
      <c r="GPV222" s="1"/>
      <c r="GPW222" s="1"/>
      <c r="GPX222" s="1"/>
      <c r="GPY222" s="1"/>
      <c r="GPZ222" s="1"/>
      <c r="GQA222" s="1"/>
      <c r="GQB222" s="1"/>
      <c r="GQC222" s="1"/>
      <c r="GQD222" s="1"/>
      <c r="GQE222" s="1"/>
      <c r="GQF222" s="1"/>
      <c r="GQG222" s="1"/>
      <c r="GQH222" s="1"/>
      <c r="GQI222" s="1"/>
      <c r="GQJ222" s="1"/>
      <c r="GQK222" s="1"/>
      <c r="GQL222" s="1"/>
      <c r="GQM222" s="1"/>
      <c r="GQN222" s="1"/>
      <c r="GQO222" s="1"/>
      <c r="GQP222" s="1"/>
      <c r="GQQ222" s="1"/>
      <c r="GQR222" s="1"/>
      <c r="GQS222" s="1"/>
      <c r="GQT222" s="1"/>
      <c r="GQU222" s="1"/>
      <c r="GQV222" s="1"/>
      <c r="GQW222" s="1"/>
      <c r="GQX222" s="1"/>
      <c r="GQY222" s="1"/>
      <c r="GQZ222" s="1"/>
      <c r="GRA222" s="1"/>
      <c r="GRB222" s="1"/>
      <c r="GRC222" s="1"/>
      <c r="GRD222" s="1"/>
      <c r="GRE222" s="1"/>
      <c r="GRF222" s="1"/>
      <c r="GRG222" s="1"/>
      <c r="GRH222" s="1"/>
      <c r="GRI222" s="1"/>
      <c r="GRJ222" s="1"/>
      <c r="GRK222" s="1"/>
      <c r="GRL222" s="1"/>
      <c r="GRM222" s="1"/>
      <c r="GRN222" s="1"/>
      <c r="GRO222" s="1"/>
      <c r="GRP222" s="1"/>
      <c r="GRQ222" s="1"/>
      <c r="GRR222" s="1"/>
      <c r="GRS222" s="1"/>
      <c r="GRT222" s="1"/>
      <c r="GRU222" s="1"/>
      <c r="GRV222" s="1"/>
      <c r="GRW222" s="1"/>
      <c r="GRX222" s="1"/>
      <c r="GRY222" s="1"/>
      <c r="GRZ222" s="1"/>
      <c r="GSA222" s="1"/>
      <c r="GSB222" s="1"/>
      <c r="GSC222" s="1"/>
      <c r="GSD222" s="1"/>
      <c r="GSE222" s="1"/>
      <c r="GSF222" s="1"/>
      <c r="GSG222" s="1"/>
      <c r="GSH222" s="1"/>
      <c r="GSI222" s="1"/>
      <c r="GSJ222" s="1"/>
      <c r="GSK222" s="1"/>
      <c r="GSL222" s="1"/>
      <c r="GSM222" s="1"/>
      <c r="GSN222" s="1"/>
      <c r="GSO222" s="1"/>
      <c r="GSP222" s="1"/>
      <c r="GSQ222" s="1"/>
      <c r="GSR222" s="1"/>
      <c r="GSS222" s="1"/>
      <c r="GST222" s="1"/>
      <c r="GSU222" s="1"/>
      <c r="GSV222" s="1"/>
      <c r="GSW222" s="1"/>
      <c r="GSX222" s="1"/>
      <c r="GSY222" s="1"/>
      <c r="GSZ222" s="1"/>
      <c r="GTA222" s="1"/>
      <c r="GTB222" s="1"/>
      <c r="GTC222" s="1"/>
      <c r="GTD222" s="1"/>
      <c r="GTE222" s="1"/>
      <c r="GTF222" s="1"/>
      <c r="GTG222" s="1"/>
      <c r="GTH222" s="1"/>
      <c r="GTI222" s="1"/>
      <c r="GTJ222" s="1"/>
      <c r="GTK222" s="1"/>
      <c r="GTL222" s="1"/>
      <c r="GTM222" s="1"/>
      <c r="GTN222" s="1"/>
      <c r="GTO222" s="1"/>
      <c r="GTP222" s="1"/>
      <c r="GTQ222" s="1"/>
      <c r="GTR222" s="1"/>
      <c r="GTS222" s="1"/>
      <c r="GTT222" s="1"/>
      <c r="GTU222" s="1"/>
      <c r="GTV222" s="1"/>
      <c r="GTW222" s="1"/>
      <c r="GTX222" s="1"/>
      <c r="GTY222" s="1"/>
      <c r="GTZ222" s="1"/>
      <c r="GUA222" s="1"/>
      <c r="GUB222" s="1"/>
      <c r="GUC222" s="1"/>
      <c r="GUD222" s="1"/>
      <c r="GUE222" s="1"/>
      <c r="GUF222" s="1"/>
      <c r="GUG222" s="1"/>
      <c r="GUH222" s="1"/>
      <c r="GUI222" s="1"/>
      <c r="GUJ222" s="1"/>
      <c r="GUK222" s="1"/>
      <c r="GUL222" s="1"/>
      <c r="GUM222" s="1"/>
      <c r="GUN222" s="1"/>
      <c r="GUO222" s="1"/>
      <c r="GUP222" s="1"/>
      <c r="GUQ222" s="1"/>
      <c r="GUR222" s="1"/>
      <c r="GUS222" s="1"/>
      <c r="GUT222" s="1"/>
      <c r="GUU222" s="1"/>
      <c r="GUV222" s="1"/>
      <c r="GUW222" s="1"/>
      <c r="GUX222" s="1"/>
      <c r="GUY222" s="1"/>
      <c r="GUZ222" s="1"/>
      <c r="GVA222" s="1"/>
      <c r="GVB222" s="1"/>
      <c r="GVC222" s="1"/>
      <c r="GVD222" s="1"/>
      <c r="GVE222" s="1"/>
      <c r="GVF222" s="1"/>
      <c r="GVG222" s="1"/>
      <c r="GVH222" s="1"/>
      <c r="GVI222" s="1"/>
      <c r="GVJ222" s="1"/>
      <c r="GVK222" s="1"/>
      <c r="GVL222" s="1"/>
      <c r="GVM222" s="1"/>
      <c r="GVN222" s="1"/>
      <c r="GVO222" s="1"/>
      <c r="GVP222" s="1"/>
      <c r="GVQ222" s="1"/>
      <c r="GVR222" s="1"/>
      <c r="GVS222" s="1"/>
      <c r="GVT222" s="1"/>
      <c r="GVU222" s="1"/>
      <c r="GVV222" s="1"/>
      <c r="GVW222" s="1"/>
      <c r="GVX222" s="1"/>
      <c r="GVY222" s="1"/>
      <c r="GVZ222" s="1"/>
      <c r="GWA222" s="1"/>
      <c r="GWB222" s="1"/>
      <c r="GWC222" s="1"/>
      <c r="GWD222" s="1"/>
      <c r="GWE222" s="1"/>
      <c r="GWF222" s="1"/>
      <c r="GWG222" s="1"/>
      <c r="GWH222" s="1"/>
      <c r="GWI222" s="1"/>
      <c r="GWJ222" s="1"/>
      <c r="GWK222" s="1"/>
      <c r="GWL222" s="1"/>
      <c r="GWM222" s="1"/>
      <c r="GWN222" s="1"/>
      <c r="GWO222" s="1"/>
      <c r="GWP222" s="1"/>
      <c r="GWQ222" s="1"/>
      <c r="GWR222" s="1"/>
      <c r="GWS222" s="1"/>
      <c r="GWT222" s="1"/>
      <c r="GWU222" s="1"/>
      <c r="GWV222" s="1"/>
      <c r="GWW222" s="1"/>
      <c r="GWX222" s="1"/>
      <c r="GWY222" s="1"/>
      <c r="GWZ222" s="1"/>
      <c r="GXA222" s="1"/>
      <c r="GXB222" s="1"/>
      <c r="GXC222" s="1"/>
      <c r="GXD222" s="1"/>
      <c r="GXE222" s="1"/>
      <c r="GXF222" s="1"/>
      <c r="GXG222" s="1"/>
      <c r="GXH222" s="1"/>
      <c r="GXI222" s="1"/>
      <c r="GXJ222" s="1"/>
      <c r="GXK222" s="1"/>
      <c r="GXL222" s="1"/>
      <c r="GXM222" s="1"/>
      <c r="GXN222" s="1"/>
      <c r="GXO222" s="1"/>
      <c r="GXP222" s="1"/>
      <c r="GXQ222" s="1"/>
      <c r="GXR222" s="1"/>
      <c r="GXS222" s="1"/>
      <c r="GXT222" s="1"/>
      <c r="GXU222" s="1"/>
      <c r="GXV222" s="1"/>
      <c r="GXW222" s="1"/>
      <c r="GXX222" s="1"/>
      <c r="GXY222" s="1"/>
      <c r="GXZ222" s="1"/>
      <c r="GYA222" s="1"/>
      <c r="GYB222" s="1"/>
      <c r="GYC222" s="1"/>
      <c r="GYD222" s="1"/>
      <c r="GYE222" s="1"/>
      <c r="GYF222" s="1"/>
      <c r="GYG222" s="1"/>
      <c r="GYH222" s="1"/>
      <c r="GYI222" s="1"/>
      <c r="GYJ222" s="1"/>
      <c r="GYK222" s="1"/>
      <c r="GYL222" s="1"/>
      <c r="GYM222" s="1"/>
      <c r="GYN222" s="1"/>
      <c r="GYO222" s="1"/>
      <c r="GYP222" s="1"/>
      <c r="GYQ222" s="1"/>
      <c r="GYR222" s="1"/>
      <c r="GYS222" s="1"/>
      <c r="GYT222" s="1"/>
      <c r="GYU222" s="1"/>
      <c r="GYV222" s="1"/>
      <c r="GYW222" s="1"/>
      <c r="GYX222" s="1"/>
      <c r="GYY222" s="1"/>
      <c r="GYZ222" s="1"/>
      <c r="GZA222" s="1"/>
      <c r="GZB222" s="1"/>
      <c r="GZC222" s="1"/>
      <c r="GZD222" s="1"/>
      <c r="GZE222" s="1"/>
      <c r="GZF222" s="1"/>
      <c r="GZG222" s="1"/>
      <c r="GZH222" s="1"/>
      <c r="GZI222" s="1"/>
      <c r="GZJ222" s="1"/>
      <c r="GZK222" s="1"/>
      <c r="GZL222" s="1"/>
      <c r="GZM222" s="1"/>
      <c r="GZN222" s="1"/>
      <c r="GZO222" s="1"/>
      <c r="GZP222" s="1"/>
      <c r="GZQ222" s="1"/>
      <c r="GZR222" s="1"/>
      <c r="GZS222" s="1"/>
      <c r="GZT222" s="1"/>
      <c r="GZU222" s="1"/>
      <c r="GZV222" s="1"/>
      <c r="GZW222" s="1"/>
      <c r="GZX222" s="1"/>
      <c r="GZY222" s="1"/>
      <c r="GZZ222" s="1"/>
      <c r="HAA222" s="1"/>
      <c r="HAB222" s="1"/>
      <c r="HAC222" s="1"/>
      <c r="HAD222" s="1"/>
      <c r="HAE222" s="1"/>
      <c r="HAF222" s="1"/>
      <c r="HAG222" s="1"/>
      <c r="HAH222" s="1"/>
      <c r="HAI222" s="1"/>
      <c r="HAJ222" s="1"/>
      <c r="HAK222" s="1"/>
      <c r="HAL222" s="1"/>
      <c r="HAM222" s="1"/>
      <c r="HAN222" s="1"/>
      <c r="HAO222" s="1"/>
      <c r="HAP222" s="1"/>
      <c r="HAQ222" s="1"/>
      <c r="HAR222" s="1"/>
      <c r="HAS222" s="1"/>
      <c r="HAT222" s="1"/>
      <c r="HAU222" s="1"/>
      <c r="HAV222" s="1"/>
      <c r="HAW222" s="1"/>
      <c r="HAX222" s="1"/>
      <c r="HAY222" s="1"/>
      <c r="HAZ222" s="1"/>
      <c r="HBA222" s="1"/>
      <c r="HBB222" s="1"/>
      <c r="HBC222" s="1"/>
      <c r="HBD222" s="1"/>
      <c r="HBE222" s="1"/>
      <c r="HBF222" s="1"/>
      <c r="HBG222" s="1"/>
      <c r="HBH222" s="1"/>
      <c r="HBI222" s="1"/>
      <c r="HBJ222" s="1"/>
      <c r="HBK222" s="1"/>
      <c r="HBL222" s="1"/>
      <c r="HBM222" s="1"/>
      <c r="HBN222" s="1"/>
      <c r="HBO222" s="1"/>
      <c r="HBP222" s="1"/>
      <c r="HBQ222" s="1"/>
      <c r="HBR222" s="1"/>
      <c r="HBS222" s="1"/>
      <c r="HBT222" s="1"/>
      <c r="HBU222" s="1"/>
      <c r="HBV222" s="1"/>
      <c r="HBW222" s="1"/>
      <c r="HBX222" s="1"/>
      <c r="HBY222" s="1"/>
      <c r="HBZ222" s="1"/>
      <c r="HCA222" s="1"/>
      <c r="HCB222" s="1"/>
      <c r="HCC222" s="1"/>
      <c r="HCD222" s="1"/>
      <c r="HCE222" s="1"/>
      <c r="HCF222" s="1"/>
      <c r="HCG222" s="1"/>
      <c r="HCH222" s="1"/>
      <c r="HCI222" s="1"/>
      <c r="HCJ222" s="1"/>
      <c r="HCK222" s="1"/>
      <c r="HCL222" s="1"/>
      <c r="HCM222" s="1"/>
      <c r="HCN222" s="1"/>
      <c r="HCO222" s="1"/>
      <c r="HCP222" s="1"/>
      <c r="HCQ222" s="1"/>
      <c r="HCR222" s="1"/>
      <c r="HCS222" s="1"/>
      <c r="HCT222" s="1"/>
      <c r="HCU222" s="1"/>
      <c r="HCV222" s="1"/>
      <c r="HCW222" s="1"/>
      <c r="HCX222" s="1"/>
      <c r="HCY222" s="1"/>
      <c r="HCZ222" s="1"/>
      <c r="HDA222" s="1"/>
      <c r="HDB222" s="1"/>
      <c r="HDC222" s="1"/>
      <c r="HDD222" s="1"/>
      <c r="HDE222" s="1"/>
      <c r="HDF222" s="1"/>
      <c r="HDG222" s="1"/>
      <c r="HDH222" s="1"/>
      <c r="HDI222" s="1"/>
      <c r="HDJ222" s="1"/>
      <c r="HDK222" s="1"/>
      <c r="HDL222" s="1"/>
      <c r="HDM222" s="1"/>
      <c r="HDN222" s="1"/>
      <c r="HDO222" s="1"/>
      <c r="HDP222" s="1"/>
      <c r="HDQ222" s="1"/>
      <c r="HDR222" s="1"/>
      <c r="HDS222" s="1"/>
      <c r="HDT222" s="1"/>
      <c r="HDU222" s="1"/>
      <c r="HDV222" s="1"/>
      <c r="HDW222" s="1"/>
      <c r="HDX222" s="1"/>
      <c r="HDY222" s="1"/>
      <c r="HDZ222" s="1"/>
      <c r="HEA222" s="1"/>
      <c r="HEB222" s="1"/>
      <c r="HEC222" s="1"/>
      <c r="HED222" s="1"/>
      <c r="HEE222" s="1"/>
      <c r="HEF222" s="1"/>
      <c r="HEG222" s="1"/>
      <c r="HEH222" s="1"/>
      <c r="HEI222" s="1"/>
      <c r="HEJ222" s="1"/>
      <c r="HEK222" s="1"/>
      <c r="HEL222" s="1"/>
      <c r="HEM222" s="1"/>
      <c r="HEN222" s="1"/>
      <c r="HEO222" s="1"/>
      <c r="HEP222" s="1"/>
      <c r="HEQ222" s="1"/>
      <c r="HER222" s="1"/>
      <c r="HES222" s="1"/>
      <c r="HET222" s="1"/>
      <c r="HEU222" s="1"/>
      <c r="HEV222" s="1"/>
      <c r="HEW222" s="1"/>
      <c r="HEX222" s="1"/>
      <c r="HEY222" s="1"/>
      <c r="HEZ222" s="1"/>
      <c r="HFA222" s="1"/>
      <c r="HFB222" s="1"/>
      <c r="HFC222" s="1"/>
      <c r="HFD222" s="1"/>
      <c r="HFE222" s="1"/>
      <c r="HFF222" s="1"/>
      <c r="HFG222" s="1"/>
      <c r="HFH222" s="1"/>
      <c r="HFI222" s="1"/>
      <c r="HFJ222" s="1"/>
      <c r="HFK222" s="1"/>
      <c r="HFL222" s="1"/>
      <c r="HFM222" s="1"/>
      <c r="HFN222" s="1"/>
      <c r="HFO222" s="1"/>
      <c r="HFP222" s="1"/>
      <c r="HFQ222" s="1"/>
      <c r="HFR222" s="1"/>
      <c r="HFS222" s="1"/>
      <c r="HFT222" s="1"/>
      <c r="HFU222" s="1"/>
      <c r="HFV222" s="1"/>
      <c r="HFW222" s="1"/>
      <c r="HFX222" s="1"/>
      <c r="HFY222" s="1"/>
      <c r="HFZ222" s="1"/>
      <c r="HGA222" s="1"/>
      <c r="HGB222" s="1"/>
      <c r="HGC222" s="1"/>
      <c r="HGD222" s="1"/>
      <c r="HGE222" s="1"/>
      <c r="HGF222" s="1"/>
      <c r="HGG222" s="1"/>
      <c r="HGH222" s="1"/>
      <c r="HGI222" s="1"/>
      <c r="HGJ222" s="1"/>
      <c r="HGK222" s="1"/>
      <c r="HGL222" s="1"/>
      <c r="HGM222" s="1"/>
      <c r="HGN222" s="1"/>
      <c r="HGO222" s="1"/>
      <c r="HGP222" s="1"/>
      <c r="HGQ222" s="1"/>
      <c r="HGR222" s="1"/>
      <c r="HGS222" s="1"/>
      <c r="HGT222" s="1"/>
      <c r="HGU222" s="1"/>
      <c r="HGV222" s="1"/>
      <c r="HGW222" s="1"/>
      <c r="HGX222" s="1"/>
      <c r="HGY222" s="1"/>
      <c r="HGZ222" s="1"/>
      <c r="HHA222" s="1"/>
      <c r="HHB222" s="1"/>
      <c r="HHC222" s="1"/>
      <c r="HHD222" s="1"/>
      <c r="HHE222" s="1"/>
      <c r="HHF222" s="1"/>
      <c r="HHG222" s="1"/>
      <c r="HHH222" s="1"/>
      <c r="HHI222" s="1"/>
      <c r="HHJ222" s="1"/>
      <c r="HHK222" s="1"/>
      <c r="HHL222" s="1"/>
      <c r="HHM222" s="1"/>
      <c r="HHN222" s="1"/>
      <c r="HHO222" s="1"/>
      <c r="HHP222" s="1"/>
      <c r="HHQ222" s="1"/>
      <c r="HHR222" s="1"/>
      <c r="HHS222" s="1"/>
      <c r="HHT222" s="1"/>
      <c r="HHU222" s="1"/>
      <c r="HHV222" s="1"/>
      <c r="HHW222" s="1"/>
      <c r="HHX222" s="1"/>
      <c r="HHY222" s="1"/>
      <c r="HHZ222" s="1"/>
      <c r="HIA222" s="1"/>
      <c r="HIB222" s="1"/>
      <c r="HIC222" s="1"/>
      <c r="HID222" s="1"/>
      <c r="HIE222" s="1"/>
      <c r="HIF222" s="1"/>
      <c r="HIG222" s="1"/>
      <c r="HIH222" s="1"/>
      <c r="HII222" s="1"/>
      <c r="HIJ222" s="1"/>
      <c r="HIK222" s="1"/>
      <c r="HIL222" s="1"/>
      <c r="HIM222" s="1"/>
      <c r="HIN222" s="1"/>
      <c r="HIO222" s="1"/>
      <c r="HIP222" s="1"/>
      <c r="HIQ222" s="1"/>
      <c r="HIR222" s="1"/>
      <c r="HIS222" s="1"/>
      <c r="HIT222" s="1"/>
      <c r="HIU222" s="1"/>
      <c r="HIV222" s="1"/>
      <c r="HIW222" s="1"/>
      <c r="HIX222" s="1"/>
      <c r="HIY222" s="1"/>
      <c r="HIZ222" s="1"/>
      <c r="HJA222" s="1"/>
      <c r="HJB222" s="1"/>
      <c r="HJC222" s="1"/>
      <c r="HJD222" s="1"/>
      <c r="HJE222" s="1"/>
      <c r="HJF222" s="1"/>
      <c r="HJG222" s="1"/>
      <c r="HJH222" s="1"/>
      <c r="HJI222" s="1"/>
      <c r="HJJ222" s="1"/>
      <c r="HJK222" s="1"/>
      <c r="HJL222" s="1"/>
      <c r="HJM222" s="1"/>
      <c r="HJN222" s="1"/>
      <c r="HJO222" s="1"/>
      <c r="HJP222" s="1"/>
      <c r="HJQ222" s="1"/>
      <c r="HJR222" s="1"/>
      <c r="HJS222" s="1"/>
      <c r="HJT222" s="1"/>
      <c r="HJU222" s="1"/>
      <c r="HJV222" s="1"/>
      <c r="HJW222" s="1"/>
      <c r="HJX222" s="1"/>
      <c r="HJY222" s="1"/>
      <c r="HJZ222" s="1"/>
      <c r="HKA222" s="1"/>
      <c r="HKB222" s="1"/>
      <c r="HKC222" s="1"/>
      <c r="HKD222" s="1"/>
      <c r="HKE222" s="1"/>
      <c r="HKF222" s="1"/>
      <c r="HKG222" s="1"/>
      <c r="HKH222" s="1"/>
      <c r="HKI222" s="1"/>
      <c r="HKJ222" s="1"/>
      <c r="HKK222" s="1"/>
      <c r="HKL222" s="1"/>
      <c r="HKM222" s="1"/>
      <c r="HKN222" s="1"/>
      <c r="HKO222" s="1"/>
      <c r="HKP222" s="1"/>
      <c r="HKQ222" s="1"/>
      <c r="HKR222" s="1"/>
      <c r="HKS222" s="1"/>
      <c r="HKT222" s="1"/>
      <c r="HKU222" s="1"/>
      <c r="HKV222" s="1"/>
      <c r="HKW222" s="1"/>
      <c r="HKX222" s="1"/>
      <c r="HKY222" s="1"/>
      <c r="HKZ222" s="1"/>
      <c r="HLA222" s="1"/>
      <c r="HLB222" s="1"/>
      <c r="HLC222" s="1"/>
      <c r="HLD222" s="1"/>
      <c r="HLE222" s="1"/>
      <c r="HLF222" s="1"/>
      <c r="HLG222" s="1"/>
      <c r="HLH222" s="1"/>
      <c r="HLI222" s="1"/>
      <c r="HLJ222" s="1"/>
      <c r="HLK222" s="1"/>
      <c r="HLL222" s="1"/>
      <c r="HLM222" s="1"/>
      <c r="HLN222" s="1"/>
      <c r="HLO222" s="1"/>
      <c r="HLP222" s="1"/>
      <c r="HLQ222" s="1"/>
      <c r="HLR222" s="1"/>
      <c r="HLS222" s="1"/>
      <c r="HLT222" s="1"/>
      <c r="HLU222" s="1"/>
      <c r="HLV222" s="1"/>
      <c r="HLW222" s="1"/>
      <c r="HLX222" s="1"/>
      <c r="HLY222" s="1"/>
      <c r="HLZ222" s="1"/>
      <c r="HMA222" s="1"/>
      <c r="HMB222" s="1"/>
      <c r="HMC222" s="1"/>
      <c r="HMD222" s="1"/>
      <c r="HME222" s="1"/>
      <c r="HMF222" s="1"/>
      <c r="HMG222" s="1"/>
      <c r="HMH222" s="1"/>
      <c r="HMI222" s="1"/>
      <c r="HMJ222" s="1"/>
      <c r="HMK222" s="1"/>
      <c r="HML222" s="1"/>
      <c r="HMM222" s="1"/>
      <c r="HMN222" s="1"/>
      <c r="HMO222" s="1"/>
      <c r="HMP222" s="1"/>
      <c r="HMQ222" s="1"/>
      <c r="HMR222" s="1"/>
      <c r="HMS222" s="1"/>
      <c r="HMT222" s="1"/>
      <c r="HMU222" s="1"/>
      <c r="HMV222" s="1"/>
      <c r="HMW222" s="1"/>
      <c r="HMX222" s="1"/>
      <c r="HMY222" s="1"/>
      <c r="HMZ222" s="1"/>
      <c r="HNA222" s="1"/>
      <c r="HNB222" s="1"/>
      <c r="HNC222" s="1"/>
      <c r="HND222" s="1"/>
      <c r="HNE222" s="1"/>
      <c r="HNF222" s="1"/>
      <c r="HNG222" s="1"/>
      <c r="HNH222" s="1"/>
      <c r="HNI222" s="1"/>
      <c r="HNJ222" s="1"/>
      <c r="HNK222" s="1"/>
      <c r="HNL222" s="1"/>
      <c r="HNM222" s="1"/>
      <c r="HNN222" s="1"/>
      <c r="HNO222" s="1"/>
      <c r="HNP222" s="1"/>
      <c r="HNQ222" s="1"/>
      <c r="HNR222" s="1"/>
      <c r="HNS222" s="1"/>
      <c r="HNT222" s="1"/>
      <c r="HNU222" s="1"/>
      <c r="HNV222" s="1"/>
      <c r="HNW222" s="1"/>
      <c r="HNX222" s="1"/>
      <c r="HNY222" s="1"/>
      <c r="HNZ222" s="1"/>
      <c r="HOA222" s="1"/>
      <c r="HOB222" s="1"/>
      <c r="HOC222" s="1"/>
      <c r="HOD222" s="1"/>
      <c r="HOE222" s="1"/>
      <c r="HOF222" s="1"/>
      <c r="HOG222" s="1"/>
      <c r="HOH222" s="1"/>
      <c r="HOI222" s="1"/>
      <c r="HOJ222" s="1"/>
      <c r="HOK222" s="1"/>
      <c r="HOL222" s="1"/>
      <c r="HOM222" s="1"/>
      <c r="HON222" s="1"/>
      <c r="HOO222" s="1"/>
      <c r="HOP222" s="1"/>
      <c r="HOQ222" s="1"/>
      <c r="HOR222" s="1"/>
      <c r="HOS222" s="1"/>
      <c r="HOT222" s="1"/>
      <c r="HOU222" s="1"/>
      <c r="HOV222" s="1"/>
      <c r="HOW222" s="1"/>
      <c r="HOX222" s="1"/>
      <c r="HOY222" s="1"/>
      <c r="HOZ222" s="1"/>
      <c r="HPA222" s="1"/>
      <c r="HPB222" s="1"/>
      <c r="HPC222" s="1"/>
      <c r="HPD222" s="1"/>
      <c r="HPE222" s="1"/>
      <c r="HPF222" s="1"/>
      <c r="HPG222" s="1"/>
      <c r="HPH222" s="1"/>
      <c r="HPI222" s="1"/>
      <c r="HPJ222" s="1"/>
      <c r="HPK222" s="1"/>
      <c r="HPL222" s="1"/>
      <c r="HPM222" s="1"/>
      <c r="HPN222" s="1"/>
      <c r="HPO222" s="1"/>
      <c r="HPP222" s="1"/>
      <c r="HPQ222" s="1"/>
      <c r="HPR222" s="1"/>
      <c r="HPS222" s="1"/>
      <c r="HPT222" s="1"/>
      <c r="HPU222" s="1"/>
      <c r="HPV222" s="1"/>
      <c r="HPW222" s="1"/>
      <c r="HPX222" s="1"/>
      <c r="HPY222" s="1"/>
      <c r="HPZ222" s="1"/>
      <c r="HQA222" s="1"/>
      <c r="HQB222" s="1"/>
      <c r="HQC222" s="1"/>
      <c r="HQD222" s="1"/>
      <c r="HQE222" s="1"/>
      <c r="HQF222" s="1"/>
      <c r="HQG222" s="1"/>
      <c r="HQH222" s="1"/>
      <c r="HQI222" s="1"/>
      <c r="HQJ222" s="1"/>
      <c r="HQK222" s="1"/>
      <c r="HQL222" s="1"/>
      <c r="HQM222" s="1"/>
      <c r="HQN222" s="1"/>
      <c r="HQO222" s="1"/>
      <c r="HQP222" s="1"/>
      <c r="HQQ222" s="1"/>
      <c r="HQR222" s="1"/>
      <c r="HQS222" s="1"/>
      <c r="HQT222" s="1"/>
      <c r="HQU222" s="1"/>
      <c r="HQV222" s="1"/>
      <c r="HQW222" s="1"/>
      <c r="HQX222" s="1"/>
      <c r="HQY222" s="1"/>
      <c r="HQZ222" s="1"/>
      <c r="HRA222" s="1"/>
      <c r="HRB222" s="1"/>
      <c r="HRC222" s="1"/>
      <c r="HRD222" s="1"/>
      <c r="HRE222" s="1"/>
      <c r="HRF222" s="1"/>
      <c r="HRG222" s="1"/>
      <c r="HRH222" s="1"/>
      <c r="HRI222" s="1"/>
      <c r="HRJ222" s="1"/>
      <c r="HRK222" s="1"/>
      <c r="HRL222" s="1"/>
      <c r="HRM222" s="1"/>
      <c r="HRN222" s="1"/>
      <c r="HRO222" s="1"/>
      <c r="HRP222" s="1"/>
      <c r="HRQ222" s="1"/>
      <c r="HRR222" s="1"/>
      <c r="HRS222" s="1"/>
      <c r="HRT222" s="1"/>
      <c r="HRU222" s="1"/>
      <c r="HRV222" s="1"/>
      <c r="HRW222" s="1"/>
      <c r="HRX222" s="1"/>
      <c r="HRY222" s="1"/>
      <c r="HRZ222" s="1"/>
      <c r="HSA222" s="1"/>
      <c r="HSB222" s="1"/>
      <c r="HSC222" s="1"/>
      <c r="HSD222" s="1"/>
      <c r="HSE222" s="1"/>
      <c r="HSF222" s="1"/>
      <c r="HSG222" s="1"/>
      <c r="HSH222" s="1"/>
      <c r="HSI222" s="1"/>
      <c r="HSJ222" s="1"/>
      <c r="HSK222" s="1"/>
      <c r="HSL222" s="1"/>
      <c r="HSM222" s="1"/>
      <c r="HSN222" s="1"/>
      <c r="HSO222" s="1"/>
      <c r="HSP222" s="1"/>
      <c r="HSQ222" s="1"/>
      <c r="HSR222" s="1"/>
      <c r="HSS222" s="1"/>
      <c r="HST222" s="1"/>
      <c r="HSU222" s="1"/>
      <c r="HSV222" s="1"/>
      <c r="HSW222" s="1"/>
      <c r="HSX222" s="1"/>
      <c r="HSY222" s="1"/>
      <c r="HSZ222" s="1"/>
      <c r="HTA222" s="1"/>
      <c r="HTB222" s="1"/>
      <c r="HTC222" s="1"/>
      <c r="HTD222" s="1"/>
      <c r="HTE222" s="1"/>
      <c r="HTF222" s="1"/>
      <c r="HTG222" s="1"/>
      <c r="HTH222" s="1"/>
      <c r="HTI222" s="1"/>
      <c r="HTJ222" s="1"/>
      <c r="HTK222" s="1"/>
      <c r="HTL222" s="1"/>
      <c r="HTM222" s="1"/>
      <c r="HTN222" s="1"/>
      <c r="HTO222" s="1"/>
      <c r="HTP222" s="1"/>
      <c r="HTQ222" s="1"/>
      <c r="HTR222" s="1"/>
      <c r="HTS222" s="1"/>
      <c r="HTT222" s="1"/>
      <c r="HTU222" s="1"/>
      <c r="HTV222" s="1"/>
      <c r="HTW222" s="1"/>
      <c r="HTX222" s="1"/>
      <c r="HTY222" s="1"/>
      <c r="HTZ222" s="1"/>
      <c r="HUA222" s="1"/>
      <c r="HUB222" s="1"/>
      <c r="HUC222" s="1"/>
      <c r="HUD222" s="1"/>
      <c r="HUE222" s="1"/>
      <c r="HUF222" s="1"/>
      <c r="HUG222" s="1"/>
      <c r="HUH222" s="1"/>
      <c r="HUI222" s="1"/>
      <c r="HUJ222" s="1"/>
      <c r="HUK222" s="1"/>
      <c r="HUL222" s="1"/>
      <c r="HUM222" s="1"/>
      <c r="HUN222" s="1"/>
      <c r="HUO222" s="1"/>
      <c r="HUP222" s="1"/>
      <c r="HUQ222" s="1"/>
      <c r="HUR222" s="1"/>
      <c r="HUS222" s="1"/>
      <c r="HUT222" s="1"/>
      <c r="HUU222" s="1"/>
      <c r="HUV222" s="1"/>
      <c r="HUW222" s="1"/>
      <c r="HUX222" s="1"/>
      <c r="HUY222" s="1"/>
      <c r="HUZ222" s="1"/>
      <c r="HVA222" s="1"/>
      <c r="HVB222" s="1"/>
      <c r="HVC222" s="1"/>
      <c r="HVD222" s="1"/>
      <c r="HVE222" s="1"/>
      <c r="HVF222" s="1"/>
      <c r="HVG222" s="1"/>
      <c r="HVH222" s="1"/>
      <c r="HVI222" s="1"/>
      <c r="HVJ222" s="1"/>
      <c r="HVK222" s="1"/>
      <c r="HVL222" s="1"/>
      <c r="HVM222" s="1"/>
      <c r="HVN222" s="1"/>
      <c r="HVO222" s="1"/>
      <c r="HVP222" s="1"/>
      <c r="HVQ222" s="1"/>
      <c r="HVR222" s="1"/>
      <c r="HVS222" s="1"/>
      <c r="HVT222" s="1"/>
      <c r="HVU222" s="1"/>
      <c r="HVV222" s="1"/>
      <c r="HVW222" s="1"/>
      <c r="HVX222" s="1"/>
      <c r="HVY222" s="1"/>
      <c r="HVZ222" s="1"/>
      <c r="HWA222" s="1"/>
      <c r="HWB222" s="1"/>
      <c r="HWC222" s="1"/>
      <c r="HWD222" s="1"/>
      <c r="HWE222" s="1"/>
      <c r="HWF222" s="1"/>
      <c r="HWG222" s="1"/>
      <c r="HWH222" s="1"/>
      <c r="HWI222" s="1"/>
      <c r="HWJ222" s="1"/>
      <c r="HWK222" s="1"/>
      <c r="HWL222" s="1"/>
      <c r="HWM222" s="1"/>
      <c r="HWN222" s="1"/>
      <c r="HWO222" s="1"/>
      <c r="HWP222" s="1"/>
      <c r="HWQ222" s="1"/>
      <c r="HWR222" s="1"/>
      <c r="HWS222" s="1"/>
      <c r="HWT222" s="1"/>
      <c r="HWU222" s="1"/>
      <c r="HWV222" s="1"/>
      <c r="HWW222" s="1"/>
      <c r="HWX222" s="1"/>
      <c r="HWY222" s="1"/>
      <c r="HWZ222" s="1"/>
      <c r="HXA222" s="1"/>
      <c r="HXB222" s="1"/>
      <c r="HXC222" s="1"/>
      <c r="HXD222" s="1"/>
      <c r="HXE222" s="1"/>
      <c r="HXF222" s="1"/>
      <c r="HXG222" s="1"/>
      <c r="HXH222" s="1"/>
      <c r="HXI222" s="1"/>
      <c r="HXJ222" s="1"/>
      <c r="HXK222" s="1"/>
      <c r="HXL222" s="1"/>
      <c r="HXM222" s="1"/>
      <c r="HXN222" s="1"/>
      <c r="HXO222" s="1"/>
      <c r="HXP222" s="1"/>
      <c r="HXQ222" s="1"/>
      <c r="HXR222" s="1"/>
      <c r="HXS222" s="1"/>
      <c r="HXT222" s="1"/>
      <c r="HXU222" s="1"/>
      <c r="HXV222" s="1"/>
      <c r="HXW222" s="1"/>
      <c r="HXX222" s="1"/>
      <c r="HXY222" s="1"/>
      <c r="HXZ222" s="1"/>
      <c r="HYA222" s="1"/>
      <c r="HYB222" s="1"/>
      <c r="HYC222" s="1"/>
      <c r="HYD222" s="1"/>
      <c r="HYE222" s="1"/>
      <c r="HYF222" s="1"/>
      <c r="HYG222" s="1"/>
      <c r="HYH222" s="1"/>
      <c r="HYI222" s="1"/>
      <c r="HYJ222" s="1"/>
      <c r="HYK222" s="1"/>
      <c r="HYL222" s="1"/>
      <c r="HYM222" s="1"/>
      <c r="HYN222" s="1"/>
      <c r="HYO222" s="1"/>
      <c r="HYP222" s="1"/>
      <c r="HYQ222" s="1"/>
      <c r="HYR222" s="1"/>
      <c r="HYS222" s="1"/>
      <c r="HYT222" s="1"/>
      <c r="HYU222" s="1"/>
      <c r="HYV222" s="1"/>
      <c r="HYW222" s="1"/>
      <c r="HYX222" s="1"/>
      <c r="HYY222" s="1"/>
      <c r="HYZ222" s="1"/>
      <c r="HZA222" s="1"/>
      <c r="HZB222" s="1"/>
      <c r="HZC222" s="1"/>
      <c r="HZD222" s="1"/>
      <c r="HZE222" s="1"/>
      <c r="HZF222" s="1"/>
      <c r="HZG222" s="1"/>
      <c r="HZH222" s="1"/>
      <c r="HZI222" s="1"/>
      <c r="HZJ222" s="1"/>
      <c r="HZK222" s="1"/>
      <c r="HZL222" s="1"/>
      <c r="HZM222" s="1"/>
      <c r="HZN222" s="1"/>
      <c r="HZO222" s="1"/>
      <c r="HZP222" s="1"/>
      <c r="HZQ222" s="1"/>
      <c r="HZR222" s="1"/>
      <c r="HZS222" s="1"/>
      <c r="HZT222" s="1"/>
      <c r="HZU222" s="1"/>
      <c r="HZV222" s="1"/>
      <c r="HZW222" s="1"/>
      <c r="HZX222" s="1"/>
      <c r="HZY222" s="1"/>
      <c r="HZZ222" s="1"/>
      <c r="IAA222" s="1"/>
      <c r="IAB222" s="1"/>
      <c r="IAC222" s="1"/>
      <c r="IAD222" s="1"/>
      <c r="IAE222" s="1"/>
      <c r="IAF222" s="1"/>
      <c r="IAG222" s="1"/>
      <c r="IAH222" s="1"/>
      <c r="IAI222" s="1"/>
      <c r="IAJ222" s="1"/>
      <c r="IAK222" s="1"/>
      <c r="IAL222" s="1"/>
      <c r="IAM222" s="1"/>
      <c r="IAN222" s="1"/>
      <c r="IAO222" s="1"/>
      <c r="IAP222" s="1"/>
      <c r="IAQ222" s="1"/>
      <c r="IAR222" s="1"/>
      <c r="IAS222" s="1"/>
      <c r="IAT222" s="1"/>
      <c r="IAU222" s="1"/>
      <c r="IAV222" s="1"/>
      <c r="IAW222" s="1"/>
      <c r="IAX222" s="1"/>
      <c r="IAY222" s="1"/>
      <c r="IAZ222" s="1"/>
      <c r="IBA222" s="1"/>
      <c r="IBB222" s="1"/>
      <c r="IBC222" s="1"/>
      <c r="IBD222" s="1"/>
      <c r="IBE222" s="1"/>
      <c r="IBF222" s="1"/>
      <c r="IBG222" s="1"/>
      <c r="IBH222" s="1"/>
      <c r="IBI222" s="1"/>
      <c r="IBJ222" s="1"/>
      <c r="IBK222" s="1"/>
      <c r="IBL222" s="1"/>
      <c r="IBM222" s="1"/>
      <c r="IBN222" s="1"/>
      <c r="IBO222" s="1"/>
      <c r="IBP222" s="1"/>
      <c r="IBQ222" s="1"/>
      <c r="IBR222" s="1"/>
      <c r="IBS222" s="1"/>
      <c r="IBT222" s="1"/>
      <c r="IBU222" s="1"/>
      <c r="IBV222" s="1"/>
      <c r="IBW222" s="1"/>
      <c r="IBX222" s="1"/>
      <c r="IBY222" s="1"/>
      <c r="IBZ222" s="1"/>
      <c r="ICA222" s="1"/>
      <c r="ICB222" s="1"/>
      <c r="ICC222" s="1"/>
      <c r="ICD222" s="1"/>
      <c r="ICE222" s="1"/>
      <c r="ICF222" s="1"/>
      <c r="ICG222" s="1"/>
      <c r="ICH222" s="1"/>
      <c r="ICI222" s="1"/>
      <c r="ICJ222" s="1"/>
      <c r="ICK222" s="1"/>
      <c r="ICL222" s="1"/>
      <c r="ICM222" s="1"/>
      <c r="ICN222" s="1"/>
      <c r="ICO222" s="1"/>
      <c r="ICP222" s="1"/>
      <c r="ICQ222" s="1"/>
      <c r="ICR222" s="1"/>
      <c r="ICS222" s="1"/>
      <c r="ICT222" s="1"/>
      <c r="ICU222" s="1"/>
      <c r="ICV222" s="1"/>
      <c r="ICW222" s="1"/>
      <c r="ICX222" s="1"/>
      <c r="ICY222" s="1"/>
      <c r="ICZ222" s="1"/>
      <c r="IDA222" s="1"/>
      <c r="IDB222" s="1"/>
      <c r="IDC222" s="1"/>
      <c r="IDD222" s="1"/>
      <c r="IDE222" s="1"/>
      <c r="IDF222" s="1"/>
      <c r="IDG222" s="1"/>
      <c r="IDH222" s="1"/>
      <c r="IDI222" s="1"/>
      <c r="IDJ222" s="1"/>
      <c r="IDK222" s="1"/>
      <c r="IDL222" s="1"/>
      <c r="IDM222" s="1"/>
      <c r="IDN222" s="1"/>
      <c r="IDO222" s="1"/>
      <c r="IDP222" s="1"/>
      <c r="IDQ222" s="1"/>
      <c r="IDR222" s="1"/>
      <c r="IDS222" s="1"/>
      <c r="IDT222" s="1"/>
      <c r="IDU222" s="1"/>
      <c r="IDV222" s="1"/>
      <c r="IDW222" s="1"/>
      <c r="IDX222" s="1"/>
      <c r="IDY222" s="1"/>
      <c r="IDZ222" s="1"/>
      <c r="IEA222" s="1"/>
      <c r="IEB222" s="1"/>
      <c r="IEC222" s="1"/>
      <c r="IED222" s="1"/>
      <c r="IEE222" s="1"/>
      <c r="IEF222" s="1"/>
      <c r="IEG222" s="1"/>
      <c r="IEH222" s="1"/>
      <c r="IEI222" s="1"/>
      <c r="IEJ222" s="1"/>
      <c r="IEK222" s="1"/>
      <c r="IEL222" s="1"/>
      <c r="IEM222" s="1"/>
      <c r="IEN222" s="1"/>
      <c r="IEO222" s="1"/>
      <c r="IEP222" s="1"/>
      <c r="IEQ222" s="1"/>
      <c r="IER222" s="1"/>
      <c r="IES222" s="1"/>
      <c r="IET222" s="1"/>
      <c r="IEU222" s="1"/>
      <c r="IEV222" s="1"/>
      <c r="IEW222" s="1"/>
      <c r="IEX222" s="1"/>
      <c r="IEY222" s="1"/>
      <c r="IEZ222" s="1"/>
      <c r="IFA222" s="1"/>
      <c r="IFB222" s="1"/>
      <c r="IFC222" s="1"/>
      <c r="IFD222" s="1"/>
      <c r="IFE222" s="1"/>
      <c r="IFF222" s="1"/>
      <c r="IFG222" s="1"/>
      <c r="IFH222" s="1"/>
      <c r="IFI222" s="1"/>
      <c r="IFJ222" s="1"/>
      <c r="IFK222" s="1"/>
      <c r="IFL222" s="1"/>
      <c r="IFM222" s="1"/>
      <c r="IFN222" s="1"/>
      <c r="IFO222" s="1"/>
      <c r="IFP222" s="1"/>
      <c r="IFQ222" s="1"/>
      <c r="IFR222" s="1"/>
      <c r="IFS222" s="1"/>
      <c r="IFT222" s="1"/>
      <c r="IFU222" s="1"/>
      <c r="IFV222" s="1"/>
      <c r="IFW222" s="1"/>
      <c r="IFX222" s="1"/>
      <c r="IFY222" s="1"/>
      <c r="IFZ222" s="1"/>
      <c r="IGA222" s="1"/>
      <c r="IGB222" s="1"/>
      <c r="IGC222" s="1"/>
      <c r="IGD222" s="1"/>
      <c r="IGE222" s="1"/>
      <c r="IGF222" s="1"/>
      <c r="IGG222" s="1"/>
      <c r="IGH222" s="1"/>
      <c r="IGI222" s="1"/>
      <c r="IGJ222" s="1"/>
      <c r="IGK222" s="1"/>
      <c r="IGL222" s="1"/>
      <c r="IGM222" s="1"/>
      <c r="IGN222" s="1"/>
      <c r="IGO222" s="1"/>
      <c r="IGP222" s="1"/>
      <c r="IGQ222" s="1"/>
      <c r="IGR222" s="1"/>
      <c r="IGS222" s="1"/>
      <c r="IGT222" s="1"/>
      <c r="IGU222" s="1"/>
      <c r="IGV222" s="1"/>
      <c r="IGW222" s="1"/>
      <c r="IGX222" s="1"/>
      <c r="IGY222" s="1"/>
      <c r="IGZ222" s="1"/>
      <c r="IHA222" s="1"/>
      <c r="IHB222" s="1"/>
      <c r="IHC222" s="1"/>
      <c r="IHD222" s="1"/>
      <c r="IHE222" s="1"/>
      <c r="IHF222" s="1"/>
      <c r="IHG222" s="1"/>
      <c r="IHH222" s="1"/>
      <c r="IHI222" s="1"/>
      <c r="IHJ222" s="1"/>
      <c r="IHK222" s="1"/>
      <c r="IHL222" s="1"/>
      <c r="IHM222" s="1"/>
      <c r="IHN222" s="1"/>
      <c r="IHO222" s="1"/>
      <c r="IHP222" s="1"/>
      <c r="IHQ222" s="1"/>
      <c r="IHR222" s="1"/>
      <c r="IHS222" s="1"/>
      <c r="IHT222" s="1"/>
      <c r="IHU222" s="1"/>
      <c r="IHV222" s="1"/>
      <c r="IHW222" s="1"/>
      <c r="IHX222" s="1"/>
      <c r="IHY222" s="1"/>
      <c r="IHZ222" s="1"/>
      <c r="IIA222" s="1"/>
      <c r="IIB222" s="1"/>
      <c r="IIC222" s="1"/>
      <c r="IID222" s="1"/>
      <c r="IIE222" s="1"/>
      <c r="IIF222" s="1"/>
      <c r="IIG222" s="1"/>
      <c r="IIH222" s="1"/>
      <c r="III222" s="1"/>
      <c r="IIJ222" s="1"/>
      <c r="IIK222" s="1"/>
      <c r="IIL222" s="1"/>
      <c r="IIM222" s="1"/>
      <c r="IIN222" s="1"/>
      <c r="IIO222" s="1"/>
      <c r="IIP222" s="1"/>
      <c r="IIQ222" s="1"/>
      <c r="IIR222" s="1"/>
      <c r="IIS222" s="1"/>
      <c r="IIT222" s="1"/>
      <c r="IIU222" s="1"/>
      <c r="IIV222" s="1"/>
      <c r="IIW222" s="1"/>
      <c r="IIX222" s="1"/>
      <c r="IIY222" s="1"/>
      <c r="IIZ222" s="1"/>
      <c r="IJA222" s="1"/>
      <c r="IJB222" s="1"/>
      <c r="IJC222" s="1"/>
      <c r="IJD222" s="1"/>
      <c r="IJE222" s="1"/>
      <c r="IJF222" s="1"/>
      <c r="IJG222" s="1"/>
      <c r="IJH222" s="1"/>
      <c r="IJI222" s="1"/>
      <c r="IJJ222" s="1"/>
      <c r="IJK222" s="1"/>
      <c r="IJL222" s="1"/>
      <c r="IJM222" s="1"/>
      <c r="IJN222" s="1"/>
      <c r="IJO222" s="1"/>
      <c r="IJP222" s="1"/>
      <c r="IJQ222" s="1"/>
      <c r="IJR222" s="1"/>
      <c r="IJS222" s="1"/>
      <c r="IJT222" s="1"/>
      <c r="IJU222" s="1"/>
      <c r="IJV222" s="1"/>
      <c r="IJW222" s="1"/>
      <c r="IJX222" s="1"/>
      <c r="IJY222" s="1"/>
      <c r="IJZ222" s="1"/>
      <c r="IKA222" s="1"/>
      <c r="IKB222" s="1"/>
      <c r="IKC222" s="1"/>
      <c r="IKD222" s="1"/>
      <c r="IKE222" s="1"/>
      <c r="IKF222" s="1"/>
      <c r="IKG222" s="1"/>
      <c r="IKH222" s="1"/>
      <c r="IKI222" s="1"/>
      <c r="IKJ222" s="1"/>
      <c r="IKK222" s="1"/>
      <c r="IKL222" s="1"/>
      <c r="IKM222" s="1"/>
      <c r="IKN222" s="1"/>
      <c r="IKO222" s="1"/>
      <c r="IKP222" s="1"/>
      <c r="IKQ222" s="1"/>
      <c r="IKR222" s="1"/>
      <c r="IKS222" s="1"/>
      <c r="IKT222" s="1"/>
      <c r="IKU222" s="1"/>
      <c r="IKV222" s="1"/>
      <c r="IKW222" s="1"/>
      <c r="IKX222" s="1"/>
      <c r="IKY222" s="1"/>
      <c r="IKZ222" s="1"/>
      <c r="ILA222" s="1"/>
      <c r="ILB222" s="1"/>
      <c r="ILC222" s="1"/>
      <c r="ILD222" s="1"/>
      <c r="ILE222" s="1"/>
      <c r="ILF222" s="1"/>
      <c r="ILG222" s="1"/>
      <c r="ILH222" s="1"/>
      <c r="ILI222" s="1"/>
      <c r="ILJ222" s="1"/>
      <c r="ILK222" s="1"/>
      <c r="ILL222" s="1"/>
      <c r="ILM222" s="1"/>
      <c r="ILN222" s="1"/>
      <c r="ILO222" s="1"/>
      <c r="ILP222" s="1"/>
      <c r="ILQ222" s="1"/>
      <c r="ILR222" s="1"/>
      <c r="ILS222" s="1"/>
      <c r="ILT222" s="1"/>
      <c r="ILU222" s="1"/>
      <c r="ILV222" s="1"/>
      <c r="ILW222" s="1"/>
      <c r="ILX222" s="1"/>
      <c r="ILY222" s="1"/>
      <c r="ILZ222" s="1"/>
      <c r="IMA222" s="1"/>
      <c r="IMB222" s="1"/>
      <c r="IMC222" s="1"/>
      <c r="IMD222" s="1"/>
      <c r="IME222" s="1"/>
      <c r="IMF222" s="1"/>
      <c r="IMG222" s="1"/>
      <c r="IMH222" s="1"/>
      <c r="IMI222" s="1"/>
      <c r="IMJ222" s="1"/>
      <c r="IMK222" s="1"/>
      <c r="IML222" s="1"/>
      <c r="IMM222" s="1"/>
      <c r="IMN222" s="1"/>
      <c r="IMO222" s="1"/>
      <c r="IMP222" s="1"/>
      <c r="IMQ222" s="1"/>
      <c r="IMR222" s="1"/>
      <c r="IMS222" s="1"/>
      <c r="IMT222" s="1"/>
      <c r="IMU222" s="1"/>
      <c r="IMV222" s="1"/>
      <c r="IMW222" s="1"/>
      <c r="IMX222" s="1"/>
      <c r="IMY222" s="1"/>
      <c r="IMZ222" s="1"/>
      <c r="INA222" s="1"/>
      <c r="INB222" s="1"/>
      <c r="INC222" s="1"/>
      <c r="IND222" s="1"/>
      <c r="INE222" s="1"/>
      <c r="INF222" s="1"/>
      <c r="ING222" s="1"/>
      <c r="INH222" s="1"/>
      <c r="INI222" s="1"/>
      <c r="INJ222" s="1"/>
      <c r="INK222" s="1"/>
      <c r="INL222" s="1"/>
      <c r="INM222" s="1"/>
      <c r="INN222" s="1"/>
      <c r="INO222" s="1"/>
      <c r="INP222" s="1"/>
      <c r="INQ222" s="1"/>
      <c r="INR222" s="1"/>
      <c r="INS222" s="1"/>
      <c r="INT222" s="1"/>
      <c r="INU222" s="1"/>
      <c r="INV222" s="1"/>
      <c r="INW222" s="1"/>
      <c r="INX222" s="1"/>
      <c r="INY222" s="1"/>
      <c r="INZ222" s="1"/>
      <c r="IOA222" s="1"/>
      <c r="IOB222" s="1"/>
      <c r="IOC222" s="1"/>
      <c r="IOD222" s="1"/>
      <c r="IOE222" s="1"/>
      <c r="IOF222" s="1"/>
      <c r="IOG222" s="1"/>
      <c r="IOH222" s="1"/>
      <c r="IOI222" s="1"/>
      <c r="IOJ222" s="1"/>
      <c r="IOK222" s="1"/>
      <c r="IOL222" s="1"/>
      <c r="IOM222" s="1"/>
      <c r="ION222" s="1"/>
      <c r="IOO222" s="1"/>
      <c r="IOP222" s="1"/>
      <c r="IOQ222" s="1"/>
      <c r="IOR222" s="1"/>
      <c r="IOS222" s="1"/>
      <c r="IOT222" s="1"/>
      <c r="IOU222" s="1"/>
      <c r="IOV222" s="1"/>
      <c r="IOW222" s="1"/>
      <c r="IOX222" s="1"/>
      <c r="IOY222" s="1"/>
      <c r="IOZ222" s="1"/>
      <c r="IPA222" s="1"/>
      <c r="IPB222" s="1"/>
      <c r="IPC222" s="1"/>
      <c r="IPD222" s="1"/>
      <c r="IPE222" s="1"/>
      <c r="IPF222" s="1"/>
      <c r="IPG222" s="1"/>
      <c r="IPH222" s="1"/>
      <c r="IPI222" s="1"/>
      <c r="IPJ222" s="1"/>
      <c r="IPK222" s="1"/>
      <c r="IPL222" s="1"/>
      <c r="IPM222" s="1"/>
      <c r="IPN222" s="1"/>
      <c r="IPO222" s="1"/>
      <c r="IPP222" s="1"/>
      <c r="IPQ222" s="1"/>
      <c r="IPR222" s="1"/>
      <c r="IPS222" s="1"/>
      <c r="IPT222" s="1"/>
      <c r="IPU222" s="1"/>
      <c r="IPV222" s="1"/>
      <c r="IPW222" s="1"/>
      <c r="IPX222" s="1"/>
      <c r="IPY222" s="1"/>
      <c r="IPZ222" s="1"/>
      <c r="IQA222" s="1"/>
      <c r="IQB222" s="1"/>
      <c r="IQC222" s="1"/>
      <c r="IQD222" s="1"/>
      <c r="IQE222" s="1"/>
      <c r="IQF222" s="1"/>
      <c r="IQG222" s="1"/>
      <c r="IQH222" s="1"/>
      <c r="IQI222" s="1"/>
      <c r="IQJ222" s="1"/>
      <c r="IQK222" s="1"/>
      <c r="IQL222" s="1"/>
      <c r="IQM222" s="1"/>
      <c r="IQN222" s="1"/>
      <c r="IQO222" s="1"/>
      <c r="IQP222" s="1"/>
      <c r="IQQ222" s="1"/>
      <c r="IQR222" s="1"/>
      <c r="IQS222" s="1"/>
      <c r="IQT222" s="1"/>
      <c r="IQU222" s="1"/>
      <c r="IQV222" s="1"/>
      <c r="IQW222" s="1"/>
      <c r="IQX222" s="1"/>
      <c r="IQY222" s="1"/>
      <c r="IQZ222" s="1"/>
      <c r="IRA222" s="1"/>
      <c r="IRB222" s="1"/>
      <c r="IRC222" s="1"/>
      <c r="IRD222" s="1"/>
      <c r="IRE222" s="1"/>
      <c r="IRF222" s="1"/>
      <c r="IRG222" s="1"/>
      <c r="IRH222" s="1"/>
      <c r="IRI222" s="1"/>
      <c r="IRJ222" s="1"/>
      <c r="IRK222" s="1"/>
      <c r="IRL222" s="1"/>
      <c r="IRM222" s="1"/>
      <c r="IRN222" s="1"/>
      <c r="IRO222" s="1"/>
      <c r="IRP222" s="1"/>
      <c r="IRQ222" s="1"/>
      <c r="IRR222" s="1"/>
      <c r="IRS222" s="1"/>
      <c r="IRT222" s="1"/>
      <c r="IRU222" s="1"/>
      <c r="IRV222" s="1"/>
      <c r="IRW222" s="1"/>
      <c r="IRX222" s="1"/>
      <c r="IRY222" s="1"/>
      <c r="IRZ222" s="1"/>
      <c r="ISA222" s="1"/>
      <c r="ISB222" s="1"/>
      <c r="ISC222" s="1"/>
      <c r="ISD222" s="1"/>
      <c r="ISE222" s="1"/>
      <c r="ISF222" s="1"/>
      <c r="ISG222" s="1"/>
      <c r="ISH222" s="1"/>
      <c r="ISI222" s="1"/>
      <c r="ISJ222" s="1"/>
      <c r="ISK222" s="1"/>
      <c r="ISL222" s="1"/>
      <c r="ISM222" s="1"/>
      <c r="ISN222" s="1"/>
      <c r="ISO222" s="1"/>
      <c r="ISP222" s="1"/>
      <c r="ISQ222" s="1"/>
      <c r="ISR222" s="1"/>
      <c r="ISS222" s="1"/>
      <c r="IST222" s="1"/>
      <c r="ISU222" s="1"/>
      <c r="ISV222" s="1"/>
      <c r="ISW222" s="1"/>
      <c r="ISX222" s="1"/>
      <c r="ISY222" s="1"/>
      <c r="ISZ222" s="1"/>
      <c r="ITA222" s="1"/>
      <c r="ITB222" s="1"/>
      <c r="ITC222" s="1"/>
      <c r="ITD222" s="1"/>
      <c r="ITE222" s="1"/>
      <c r="ITF222" s="1"/>
      <c r="ITG222" s="1"/>
      <c r="ITH222" s="1"/>
      <c r="ITI222" s="1"/>
      <c r="ITJ222" s="1"/>
      <c r="ITK222" s="1"/>
      <c r="ITL222" s="1"/>
      <c r="ITM222" s="1"/>
      <c r="ITN222" s="1"/>
      <c r="ITO222" s="1"/>
      <c r="ITP222" s="1"/>
      <c r="ITQ222" s="1"/>
      <c r="ITR222" s="1"/>
      <c r="ITS222" s="1"/>
      <c r="ITT222" s="1"/>
      <c r="ITU222" s="1"/>
      <c r="ITV222" s="1"/>
      <c r="ITW222" s="1"/>
      <c r="ITX222" s="1"/>
      <c r="ITY222" s="1"/>
      <c r="ITZ222" s="1"/>
      <c r="IUA222" s="1"/>
      <c r="IUB222" s="1"/>
      <c r="IUC222" s="1"/>
      <c r="IUD222" s="1"/>
      <c r="IUE222" s="1"/>
      <c r="IUF222" s="1"/>
      <c r="IUG222" s="1"/>
      <c r="IUH222" s="1"/>
      <c r="IUI222" s="1"/>
      <c r="IUJ222" s="1"/>
      <c r="IUK222" s="1"/>
      <c r="IUL222" s="1"/>
      <c r="IUM222" s="1"/>
      <c r="IUN222" s="1"/>
      <c r="IUO222" s="1"/>
      <c r="IUP222" s="1"/>
      <c r="IUQ222" s="1"/>
      <c r="IUR222" s="1"/>
      <c r="IUS222" s="1"/>
      <c r="IUT222" s="1"/>
      <c r="IUU222" s="1"/>
      <c r="IUV222" s="1"/>
      <c r="IUW222" s="1"/>
      <c r="IUX222" s="1"/>
      <c r="IUY222" s="1"/>
      <c r="IUZ222" s="1"/>
      <c r="IVA222" s="1"/>
      <c r="IVB222" s="1"/>
      <c r="IVC222" s="1"/>
      <c r="IVD222" s="1"/>
      <c r="IVE222" s="1"/>
      <c r="IVF222" s="1"/>
      <c r="IVG222" s="1"/>
      <c r="IVH222" s="1"/>
      <c r="IVI222" s="1"/>
      <c r="IVJ222" s="1"/>
      <c r="IVK222" s="1"/>
      <c r="IVL222" s="1"/>
      <c r="IVM222" s="1"/>
      <c r="IVN222" s="1"/>
      <c r="IVO222" s="1"/>
      <c r="IVP222" s="1"/>
      <c r="IVQ222" s="1"/>
      <c r="IVR222" s="1"/>
      <c r="IVS222" s="1"/>
      <c r="IVT222" s="1"/>
      <c r="IVU222" s="1"/>
      <c r="IVV222" s="1"/>
      <c r="IVW222" s="1"/>
      <c r="IVX222" s="1"/>
      <c r="IVY222" s="1"/>
      <c r="IVZ222" s="1"/>
      <c r="IWA222" s="1"/>
      <c r="IWB222" s="1"/>
      <c r="IWC222" s="1"/>
      <c r="IWD222" s="1"/>
      <c r="IWE222" s="1"/>
      <c r="IWF222" s="1"/>
      <c r="IWG222" s="1"/>
      <c r="IWH222" s="1"/>
      <c r="IWI222" s="1"/>
      <c r="IWJ222" s="1"/>
      <c r="IWK222" s="1"/>
      <c r="IWL222" s="1"/>
      <c r="IWM222" s="1"/>
      <c r="IWN222" s="1"/>
      <c r="IWO222" s="1"/>
      <c r="IWP222" s="1"/>
      <c r="IWQ222" s="1"/>
      <c r="IWR222" s="1"/>
      <c r="IWS222" s="1"/>
      <c r="IWT222" s="1"/>
      <c r="IWU222" s="1"/>
      <c r="IWV222" s="1"/>
      <c r="IWW222" s="1"/>
      <c r="IWX222" s="1"/>
      <c r="IWY222" s="1"/>
      <c r="IWZ222" s="1"/>
      <c r="IXA222" s="1"/>
      <c r="IXB222" s="1"/>
      <c r="IXC222" s="1"/>
      <c r="IXD222" s="1"/>
      <c r="IXE222" s="1"/>
      <c r="IXF222" s="1"/>
      <c r="IXG222" s="1"/>
      <c r="IXH222" s="1"/>
      <c r="IXI222" s="1"/>
      <c r="IXJ222" s="1"/>
      <c r="IXK222" s="1"/>
      <c r="IXL222" s="1"/>
      <c r="IXM222" s="1"/>
      <c r="IXN222" s="1"/>
      <c r="IXO222" s="1"/>
      <c r="IXP222" s="1"/>
      <c r="IXQ222" s="1"/>
      <c r="IXR222" s="1"/>
      <c r="IXS222" s="1"/>
      <c r="IXT222" s="1"/>
      <c r="IXU222" s="1"/>
      <c r="IXV222" s="1"/>
      <c r="IXW222" s="1"/>
      <c r="IXX222" s="1"/>
      <c r="IXY222" s="1"/>
      <c r="IXZ222" s="1"/>
      <c r="IYA222" s="1"/>
      <c r="IYB222" s="1"/>
      <c r="IYC222" s="1"/>
      <c r="IYD222" s="1"/>
      <c r="IYE222" s="1"/>
      <c r="IYF222" s="1"/>
      <c r="IYG222" s="1"/>
      <c r="IYH222" s="1"/>
      <c r="IYI222" s="1"/>
      <c r="IYJ222" s="1"/>
      <c r="IYK222" s="1"/>
      <c r="IYL222" s="1"/>
      <c r="IYM222" s="1"/>
      <c r="IYN222" s="1"/>
      <c r="IYO222" s="1"/>
      <c r="IYP222" s="1"/>
      <c r="IYQ222" s="1"/>
      <c r="IYR222" s="1"/>
      <c r="IYS222" s="1"/>
      <c r="IYT222" s="1"/>
      <c r="IYU222" s="1"/>
      <c r="IYV222" s="1"/>
      <c r="IYW222" s="1"/>
      <c r="IYX222" s="1"/>
      <c r="IYY222" s="1"/>
      <c r="IYZ222" s="1"/>
      <c r="IZA222" s="1"/>
      <c r="IZB222" s="1"/>
      <c r="IZC222" s="1"/>
      <c r="IZD222" s="1"/>
      <c r="IZE222" s="1"/>
      <c r="IZF222" s="1"/>
      <c r="IZG222" s="1"/>
      <c r="IZH222" s="1"/>
      <c r="IZI222" s="1"/>
      <c r="IZJ222" s="1"/>
      <c r="IZK222" s="1"/>
      <c r="IZL222" s="1"/>
      <c r="IZM222" s="1"/>
      <c r="IZN222" s="1"/>
      <c r="IZO222" s="1"/>
      <c r="IZP222" s="1"/>
      <c r="IZQ222" s="1"/>
      <c r="IZR222" s="1"/>
      <c r="IZS222" s="1"/>
      <c r="IZT222" s="1"/>
      <c r="IZU222" s="1"/>
      <c r="IZV222" s="1"/>
      <c r="IZW222" s="1"/>
      <c r="IZX222" s="1"/>
      <c r="IZY222" s="1"/>
      <c r="IZZ222" s="1"/>
      <c r="JAA222" s="1"/>
      <c r="JAB222" s="1"/>
      <c r="JAC222" s="1"/>
      <c r="JAD222" s="1"/>
      <c r="JAE222" s="1"/>
      <c r="JAF222" s="1"/>
      <c r="JAG222" s="1"/>
      <c r="JAH222" s="1"/>
      <c r="JAI222" s="1"/>
      <c r="JAJ222" s="1"/>
      <c r="JAK222" s="1"/>
      <c r="JAL222" s="1"/>
      <c r="JAM222" s="1"/>
      <c r="JAN222" s="1"/>
      <c r="JAO222" s="1"/>
      <c r="JAP222" s="1"/>
      <c r="JAQ222" s="1"/>
      <c r="JAR222" s="1"/>
      <c r="JAS222" s="1"/>
      <c r="JAT222" s="1"/>
      <c r="JAU222" s="1"/>
      <c r="JAV222" s="1"/>
      <c r="JAW222" s="1"/>
      <c r="JAX222" s="1"/>
      <c r="JAY222" s="1"/>
      <c r="JAZ222" s="1"/>
      <c r="JBA222" s="1"/>
      <c r="JBB222" s="1"/>
      <c r="JBC222" s="1"/>
      <c r="JBD222" s="1"/>
      <c r="JBE222" s="1"/>
      <c r="JBF222" s="1"/>
      <c r="JBG222" s="1"/>
      <c r="JBH222" s="1"/>
      <c r="JBI222" s="1"/>
      <c r="JBJ222" s="1"/>
      <c r="JBK222" s="1"/>
      <c r="JBL222" s="1"/>
      <c r="JBM222" s="1"/>
      <c r="JBN222" s="1"/>
      <c r="JBO222" s="1"/>
      <c r="JBP222" s="1"/>
      <c r="JBQ222" s="1"/>
      <c r="JBR222" s="1"/>
      <c r="JBS222" s="1"/>
      <c r="JBT222" s="1"/>
      <c r="JBU222" s="1"/>
      <c r="JBV222" s="1"/>
      <c r="JBW222" s="1"/>
      <c r="JBX222" s="1"/>
      <c r="JBY222" s="1"/>
      <c r="JBZ222" s="1"/>
      <c r="JCA222" s="1"/>
      <c r="JCB222" s="1"/>
      <c r="JCC222" s="1"/>
      <c r="JCD222" s="1"/>
      <c r="JCE222" s="1"/>
      <c r="JCF222" s="1"/>
      <c r="JCG222" s="1"/>
      <c r="JCH222" s="1"/>
      <c r="JCI222" s="1"/>
      <c r="JCJ222" s="1"/>
      <c r="JCK222" s="1"/>
      <c r="JCL222" s="1"/>
      <c r="JCM222" s="1"/>
      <c r="JCN222" s="1"/>
      <c r="JCO222" s="1"/>
      <c r="JCP222" s="1"/>
      <c r="JCQ222" s="1"/>
      <c r="JCR222" s="1"/>
      <c r="JCS222" s="1"/>
      <c r="JCT222" s="1"/>
      <c r="JCU222" s="1"/>
      <c r="JCV222" s="1"/>
      <c r="JCW222" s="1"/>
      <c r="JCX222" s="1"/>
      <c r="JCY222" s="1"/>
      <c r="JCZ222" s="1"/>
      <c r="JDA222" s="1"/>
      <c r="JDB222" s="1"/>
      <c r="JDC222" s="1"/>
      <c r="JDD222" s="1"/>
      <c r="JDE222" s="1"/>
      <c r="JDF222" s="1"/>
      <c r="JDG222" s="1"/>
      <c r="JDH222" s="1"/>
      <c r="JDI222" s="1"/>
      <c r="JDJ222" s="1"/>
      <c r="JDK222" s="1"/>
      <c r="JDL222" s="1"/>
      <c r="JDM222" s="1"/>
      <c r="JDN222" s="1"/>
      <c r="JDO222" s="1"/>
      <c r="JDP222" s="1"/>
      <c r="JDQ222" s="1"/>
      <c r="JDR222" s="1"/>
      <c r="JDS222" s="1"/>
      <c r="JDT222" s="1"/>
      <c r="JDU222" s="1"/>
      <c r="JDV222" s="1"/>
      <c r="JDW222" s="1"/>
      <c r="JDX222" s="1"/>
      <c r="JDY222" s="1"/>
      <c r="JDZ222" s="1"/>
      <c r="JEA222" s="1"/>
      <c r="JEB222" s="1"/>
      <c r="JEC222" s="1"/>
      <c r="JED222" s="1"/>
      <c r="JEE222" s="1"/>
      <c r="JEF222" s="1"/>
      <c r="JEG222" s="1"/>
      <c r="JEH222" s="1"/>
      <c r="JEI222" s="1"/>
      <c r="JEJ222" s="1"/>
      <c r="JEK222" s="1"/>
      <c r="JEL222" s="1"/>
      <c r="JEM222" s="1"/>
      <c r="JEN222" s="1"/>
      <c r="JEO222" s="1"/>
      <c r="JEP222" s="1"/>
      <c r="JEQ222" s="1"/>
      <c r="JER222" s="1"/>
      <c r="JES222" s="1"/>
      <c r="JET222" s="1"/>
      <c r="JEU222" s="1"/>
      <c r="JEV222" s="1"/>
      <c r="JEW222" s="1"/>
      <c r="JEX222" s="1"/>
      <c r="JEY222" s="1"/>
      <c r="JEZ222" s="1"/>
      <c r="JFA222" s="1"/>
      <c r="JFB222" s="1"/>
      <c r="JFC222" s="1"/>
      <c r="JFD222" s="1"/>
      <c r="JFE222" s="1"/>
      <c r="JFF222" s="1"/>
      <c r="JFG222" s="1"/>
      <c r="JFH222" s="1"/>
      <c r="JFI222" s="1"/>
      <c r="JFJ222" s="1"/>
      <c r="JFK222" s="1"/>
      <c r="JFL222" s="1"/>
      <c r="JFM222" s="1"/>
      <c r="JFN222" s="1"/>
      <c r="JFO222" s="1"/>
      <c r="JFP222" s="1"/>
      <c r="JFQ222" s="1"/>
      <c r="JFR222" s="1"/>
      <c r="JFS222" s="1"/>
      <c r="JFT222" s="1"/>
      <c r="JFU222" s="1"/>
      <c r="JFV222" s="1"/>
      <c r="JFW222" s="1"/>
      <c r="JFX222" s="1"/>
      <c r="JFY222" s="1"/>
      <c r="JFZ222" s="1"/>
      <c r="JGA222" s="1"/>
      <c r="JGB222" s="1"/>
      <c r="JGC222" s="1"/>
      <c r="JGD222" s="1"/>
      <c r="JGE222" s="1"/>
      <c r="JGF222" s="1"/>
      <c r="JGG222" s="1"/>
      <c r="JGH222" s="1"/>
      <c r="JGI222" s="1"/>
      <c r="JGJ222" s="1"/>
      <c r="JGK222" s="1"/>
      <c r="JGL222" s="1"/>
      <c r="JGM222" s="1"/>
      <c r="JGN222" s="1"/>
      <c r="JGO222" s="1"/>
      <c r="JGP222" s="1"/>
      <c r="JGQ222" s="1"/>
      <c r="JGR222" s="1"/>
      <c r="JGS222" s="1"/>
      <c r="JGT222" s="1"/>
      <c r="JGU222" s="1"/>
      <c r="JGV222" s="1"/>
      <c r="JGW222" s="1"/>
      <c r="JGX222" s="1"/>
      <c r="JGY222" s="1"/>
      <c r="JGZ222" s="1"/>
      <c r="JHA222" s="1"/>
      <c r="JHB222" s="1"/>
      <c r="JHC222" s="1"/>
      <c r="JHD222" s="1"/>
      <c r="JHE222" s="1"/>
      <c r="JHF222" s="1"/>
      <c r="JHG222" s="1"/>
      <c r="JHH222" s="1"/>
      <c r="JHI222" s="1"/>
      <c r="JHJ222" s="1"/>
      <c r="JHK222" s="1"/>
      <c r="JHL222" s="1"/>
      <c r="JHM222" s="1"/>
      <c r="JHN222" s="1"/>
      <c r="JHO222" s="1"/>
      <c r="JHP222" s="1"/>
      <c r="JHQ222" s="1"/>
      <c r="JHR222" s="1"/>
      <c r="JHS222" s="1"/>
      <c r="JHT222" s="1"/>
      <c r="JHU222" s="1"/>
      <c r="JHV222" s="1"/>
      <c r="JHW222" s="1"/>
      <c r="JHX222" s="1"/>
      <c r="JHY222" s="1"/>
      <c r="JHZ222" s="1"/>
      <c r="JIA222" s="1"/>
      <c r="JIB222" s="1"/>
      <c r="JIC222" s="1"/>
      <c r="JID222" s="1"/>
      <c r="JIE222" s="1"/>
      <c r="JIF222" s="1"/>
      <c r="JIG222" s="1"/>
      <c r="JIH222" s="1"/>
      <c r="JII222" s="1"/>
      <c r="JIJ222" s="1"/>
      <c r="JIK222" s="1"/>
      <c r="JIL222" s="1"/>
      <c r="JIM222" s="1"/>
      <c r="JIN222" s="1"/>
      <c r="JIO222" s="1"/>
      <c r="JIP222" s="1"/>
      <c r="JIQ222" s="1"/>
      <c r="JIR222" s="1"/>
      <c r="JIS222" s="1"/>
      <c r="JIT222" s="1"/>
      <c r="JIU222" s="1"/>
      <c r="JIV222" s="1"/>
      <c r="JIW222" s="1"/>
      <c r="JIX222" s="1"/>
      <c r="JIY222" s="1"/>
      <c r="JIZ222" s="1"/>
      <c r="JJA222" s="1"/>
      <c r="JJB222" s="1"/>
      <c r="JJC222" s="1"/>
      <c r="JJD222" s="1"/>
      <c r="JJE222" s="1"/>
      <c r="JJF222" s="1"/>
      <c r="JJG222" s="1"/>
      <c r="JJH222" s="1"/>
      <c r="JJI222" s="1"/>
      <c r="JJJ222" s="1"/>
      <c r="JJK222" s="1"/>
      <c r="JJL222" s="1"/>
      <c r="JJM222" s="1"/>
      <c r="JJN222" s="1"/>
      <c r="JJO222" s="1"/>
      <c r="JJP222" s="1"/>
      <c r="JJQ222" s="1"/>
      <c r="JJR222" s="1"/>
      <c r="JJS222" s="1"/>
      <c r="JJT222" s="1"/>
      <c r="JJU222" s="1"/>
      <c r="JJV222" s="1"/>
      <c r="JJW222" s="1"/>
      <c r="JJX222" s="1"/>
      <c r="JJY222" s="1"/>
      <c r="JJZ222" s="1"/>
      <c r="JKA222" s="1"/>
      <c r="JKB222" s="1"/>
      <c r="JKC222" s="1"/>
      <c r="JKD222" s="1"/>
      <c r="JKE222" s="1"/>
      <c r="JKF222" s="1"/>
      <c r="JKG222" s="1"/>
      <c r="JKH222" s="1"/>
      <c r="JKI222" s="1"/>
      <c r="JKJ222" s="1"/>
      <c r="JKK222" s="1"/>
      <c r="JKL222" s="1"/>
      <c r="JKM222" s="1"/>
      <c r="JKN222" s="1"/>
      <c r="JKO222" s="1"/>
      <c r="JKP222" s="1"/>
      <c r="JKQ222" s="1"/>
      <c r="JKR222" s="1"/>
      <c r="JKS222" s="1"/>
      <c r="JKT222" s="1"/>
      <c r="JKU222" s="1"/>
      <c r="JKV222" s="1"/>
      <c r="JKW222" s="1"/>
      <c r="JKX222" s="1"/>
      <c r="JKY222" s="1"/>
      <c r="JKZ222" s="1"/>
      <c r="JLA222" s="1"/>
      <c r="JLB222" s="1"/>
      <c r="JLC222" s="1"/>
      <c r="JLD222" s="1"/>
      <c r="JLE222" s="1"/>
      <c r="JLF222" s="1"/>
      <c r="JLG222" s="1"/>
      <c r="JLH222" s="1"/>
      <c r="JLI222" s="1"/>
      <c r="JLJ222" s="1"/>
      <c r="JLK222" s="1"/>
      <c r="JLL222" s="1"/>
      <c r="JLM222" s="1"/>
      <c r="JLN222" s="1"/>
      <c r="JLO222" s="1"/>
      <c r="JLP222" s="1"/>
      <c r="JLQ222" s="1"/>
      <c r="JLR222" s="1"/>
      <c r="JLS222" s="1"/>
      <c r="JLT222" s="1"/>
      <c r="JLU222" s="1"/>
      <c r="JLV222" s="1"/>
      <c r="JLW222" s="1"/>
      <c r="JLX222" s="1"/>
      <c r="JLY222" s="1"/>
      <c r="JLZ222" s="1"/>
      <c r="JMA222" s="1"/>
      <c r="JMB222" s="1"/>
      <c r="JMC222" s="1"/>
      <c r="JMD222" s="1"/>
      <c r="JME222" s="1"/>
      <c r="JMF222" s="1"/>
      <c r="JMG222" s="1"/>
      <c r="JMH222" s="1"/>
      <c r="JMI222" s="1"/>
      <c r="JMJ222" s="1"/>
      <c r="JMK222" s="1"/>
      <c r="JML222" s="1"/>
      <c r="JMM222" s="1"/>
      <c r="JMN222" s="1"/>
      <c r="JMO222" s="1"/>
      <c r="JMP222" s="1"/>
      <c r="JMQ222" s="1"/>
      <c r="JMR222" s="1"/>
      <c r="JMS222" s="1"/>
      <c r="JMT222" s="1"/>
      <c r="JMU222" s="1"/>
      <c r="JMV222" s="1"/>
      <c r="JMW222" s="1"/>
      <c r="JMX222" s="1"/>
      <c r="JMY222" s="1"/>
      <c r="JMZ222" s="1"/>
      <c r="JNA222" s="1"/>
      <c r="JNB222" s="1"/>
      <c r="JNC222" s="1"/>
      <c r="JND222" s="1"/>
      <c r="JNE222" s="1"/>
      <c r="JNF222" s="1"/>
      <c r="JNG222" s="1"/>
      <c r="JNH222" s="1"/>
      <c r="JNI222" s="1"/>
      <c r="JNJ222" s="1"/>
      <c r="JNK222" s="1"/>
      <c r="JNL222" s="1"/>
      <c r="JNM222" s="1"/>
      <c r="JNN222" s="1"/>
      <c r="JNO222" s="1"/>
      <c r="JNP222" s="1"/>
      <c r="JNQ222" s="1"/>
      <c r="JNR222" s="1"/>
      <c r="JNS222" s="1"/>
      <c r="JNT222" s="1"/>
      <c r="JNU222" s="1"/>
      <c r="JNV222" s="1"/>
      <c r="JNW222" s="1"/>
      <c r="JNX222" s="1"/>
      <c r="JNY222" s="1"/>
      <c r="JNZ222" s="1"/>
      <c r="JOA222" s="1"/>
      <c r="JOB222" s="1"/>
      <c r="JOC222" s="1"/>
      <c r="JOD222" s="1"/>
      <c r="JOE222" s="1"/>
      <c r="JOF222" s="1"/>
      <c r="JOG222" s="1"/>
      <c r="JOH222" s="1"/>
      <c r="JOI222" s="1"/>
      <c r="JOJ222" s="1"/>
      <c r="JOK222" s="1"/>
      <c r="JOL222" s="1"/>
      <c r="JOM222" s="1"/>
      <c r="JON222" s="1"/>
      <c r="JOO222" s="1"/>
      <c r="JOP222" s="1"/>
      <c r="JOQ222" s="1"/>
      <c r="JOR222" s="1"/>
      <c r="JOS222" s="1"/>
      <c r="JOT222" s="1"/>
      <c r="JOU222" s="1"/>
      <c r="JOV222" s="1"/>
      <c r="JOW222" s="1"/>
      <c r="JOX222" s="1"/>
      <c r="JOY222" s="1"/>
      <c r="JOZ222" s="1"/>
      <c r="JPA222" s="1"/>
      <c r="JPB222" s="1"/>
      <c r="JPC222" s="1"/>
      <c r="JPD222" s="1"/>
      <c r="JPE222" s="1"/>
      <c r="JPF222" s="1"/>
      <c r="JPG222" s="1"/>
      <c r="JPH222" s="1"/>
      <c r="JPI222" s="1"/>
      <c r="JPJ222" s="1"/>
      <c r="JPK222" s="1"/>
      <c r="JPL222" s="1"/>
      <c r="JPM222" s="1"/>
      <c r="JPN222" s="1"/>
      <c r="JPO222" s="1"/>
      <c r="JPP222" s="1"/>
      <c r="JPQ222" s="1"/>
      <c r="JPR222" s="1"/>
      <c r="JPS222" s="1"/>
      <c r="JPT222" s="1"/>
      <c r="JPU222" s="1"/>
      <c r="JPV222" s="1"/>
      <c r="JPW222" s="1"/>
      <c r="JPX222" s="1"/>
      <c r="JPY222" s="1"/>
      <c r="JPZ222" s="1"/>
      <c r="JQA222" s="1"/>
      <c r="JQB222" s="1"/>
      <c r="JQC222" s="1"/>
      <c r="JQD222" s="1"/>
      <c r="JQE222" s="1"/>
      <c r="JQF222" s="1"/>
      <c r="JQG222" s="1"/>
      <c r="JQH222" s="1"/>
      <c r="JQI222" s="1"/>
      <c r="JQJ222" s="1"/>
      <c r="JQK222" s="1"/>
      <c r="JQL222" s="1"/>
      <c r="JQM222" s="1"/>
      <c r="JQN222" s="1"/>
      <c r="JQO222" s="1"/>
      <c r="JQP222" s="1"/>
      <c r="JQQ222" s="1"/>
      <c r="JQR222" s="1"/>
      <c r="JQS222" s="1"/>
      <c r="JQT222" s="1"/>
      <c r="JQU222" s="1"/>
      <c r="JQV222" s="1"/>
      <c r="JQW222" s="1"/>
      <c r="JQX222" s="1"/>
      <c r="JQY222" s="1"/>
      <c r="JQZ222" s="1"/>
      <c r="JRA222" s="1"/>
      <c r="JRB222" s="1"/>
      <c r="JRC222" s="1"/>
      <c r="JRD222" s="1"/>
      <c r="JRE222" s="1"/>
      <c r="JRF222" s="1"/>
      <c r="JRG222" s="1"/>
      <c r="JRH222" s="1"/>
      <c r="JRI222" s="1"/>
      <c r="JRJ222" s="1"/>
      <c r="JRK222" s="1"/>
      <c r="JRL222" s="1"/>
      <c r="JRM222" s="1"/>
      <c r="JRN222" s="1"/>
      <c r="JRO222" s="1"/>
      <c r="JRP222" s="1"/>
      <c r="JRQ222" s="1"/>
      <c r="JRR222" s="1"/>
      <c r="JRS222" s="1"/>
      <c r="JRT222" s="1"/>
      <c r="JRU222" s="1"/>
      <c r="JRV222" s="1"/>
      <c r="JRW222" s="1"/>
      <c r="JRX222" s="1"/>
      <c r="JRY222" s="1"/>
      <c r="JRZ222" s="1"/>
      <c r="JSA222" s="1"/>
      <c r="JSB222" s="1"/>
      <c r="JSC222" s="1"/>
      <c r="JSD222" s="1"/>
      <c r="JSE222" s="1"/>
      <c r="JSF222" s="1"/>
      <c r="JSG222" s="1"/>
      <c r="JSH222" s="1"/>
      <c r="JSI222" s="1"/>
      <c r="JSJ222" s="1"/>
      <c r="JSK222" s="1"/>
      <c r="JSL222" s="1"/>
      <c r="JSM222" s="1"/>
      <c r="JSN222" s="1"/>
      <c r="JSO222" s="1"/>
      <c r="JSP222" s="1"/>
      <c r="JSQ222" s="1"/>
      <c r="JSR222" s="1"/>
      <c r="JSS222" s="1"/>
      <c r="JST222" s="1"/>
      <c r="JSU222" s="1"/>
      <c r="JSV222" s="1"/>
      <c r="JSW222" s="1"/>
      <c r="JSX222" s="1"/>
      <c r="JSY222" s="1"/>
      <c r="JSZ222" s="1"/>
      <c r="JTA222" s="1"/>
      <c r="JTB222" s="1"/>
      <c r="JTC222" s="1"/>
      <c r="JTD222" s="1"/>
      <c r="JTE222" s="1"/>
      <c r="JTF222" s="1"/>
      <c r="JTG222" s="1"/>
      <c r="JTH222" s="1"/>
      <c r="JTI222" s="1"/>
      <c r="JTJ222" s="1"/>
      <c r="JTK222" s="1"/>
      <c r="JTL222" s="1"/>
      <c r="JTM222" s="1"/>
      <c r="JTN222" s="1"/>
      <c r="JTO222" s="1"/>
      <c r="JTP222" s="1"/>
      <c r="JTQ222" s="1"/>
      <c r="JTR222" s="1"/>
      <c r="JTS222" s="1"/>
      <c r="JTT222" s="1"/>
      <c r="JTU222" s="1"/>
      <c r="JTV222" s="1"/>
      <c r="JTW222" s="1"/>
      <c r="JTX222" s="1"/>
      <c r="JTY222" s="1"/>
      <c r="JTZ222" s="1"/>
      <c r="JUA222" s="1"/>
      <c r="JUB222" s="1"/>
      <c r="JUC222" s="1"/>
      <c r="JUD222" s="1"/>
      <c r="JUE222" s="1"/>
      <c r="JUF222" s="1"/>
      <c r="JUG222" s="1"/>
      <c r="JUH222" s="1"/>
      <c r="JUI222" s="1"/>
      <c r="JUJ222" s="1"/>
      <c r="JUK222" s="1"/>
      <c r="JUL222" s="1"/>
      <c r="JUM222" s="1"/>
      <c r="JUN222" s="1"/>
      <c r="JUO222" s="1"/>
      <c r="JUP222" s="1"/>
      <c r="JUQ222" s="1"/>
      <c r="JUR222" s="1"/>
      <c r="JUS222" s="1"/>
      <c r="JUT222" s="1"/>
      <c r="JUU222" s="1"/>
      <c r="JUV222" s="1"/>
      <c r="JUW222" s="1"/>
      <c r="JUX222" s="1"/>
      <c r="JUY222" s="1"/>
      <c r="JUZ222" s="1"/>
      <c r="JVA222" s="1"/>
      <c r="JVB222" s="1"/>
      <c r="JVC222" s="1"/>
      <c r="JVD222" s="1"/>
      <c r="JVE222" s="1"/>
      <c r="JVF222" s="1"/>
      <c r="JVG222" s="1"/>
      <c r="JVH222" s="1"/>
      <c r="JVI222" s="1"/>
      <c r="JVJ222" s="1"/>
      <c r="JVK222" s="1"/>
      <c r="JVL222" s="1"/>
      <c r="JVM222" s="1"/>
      <c r="JVN222" s="1"/>
      <c r="JVO222" s="1"/>
      <c r="JVP222" s="1"/>
      <c r="JVQ222" s="1"/>
      <c r="JVR222" s="1"/>
      <c r="JVS222" s="1"/>
      <c r="JVT222" s="1"/>
      <c r="JVU222" s="1"/>
      <c r="JVV222" s="1"/>
      <c r="JVW222" s="1"/>
      <c r="JVX222" s="1"/>
      <c r="JVY222" s="1"/>
      <c r="JVZ222" s="1"/>
      <c r="JWA222" s="1"/>
      <c r="JWB222" s="1"/>
      <c r="JWC222" s="1"/>
      <c r="JWD222" s="1"/>
      <c r="JWE222" s="1"/>
      <c r="JWF222" s="1"/>
      <c r="JWG222" s="1"/>
      <c r="JWH222" s="1"/>
      <c r="JWI222" s="1"/>
      <c r="JWJ222" s="1"/>
      <c r="JWK222" s="1"/>
      <c r="JWL222" s="1"/>
      <c r="JWM222" s="1"/>
      <c r="JWN222" s="1"/>
      <c r="JWO222" s="1"/>
      <c r="JWP222" s="1"/>
      <c r="JWQ222" s="1"/>
      <c r="JWR222" s="1"/>
      <c r="JWS222" s="1"/>
      <c r="JWT222" s="1"/>
      <c r="JWU222" s="1"/>
      <c r="JWV222" s="1"/>
      <c r="JWW222" s="1"/>
      <c r="JWX222" s="1"/>
      <c r="JWY222" s="1"/>
      <c r="JWZ222" s="1"/>
      <c r="JXA222" s="1"/>
      <c r="JXB222" s="1"/>
      <c r="JXC222" s="1"/>
      <c r="JXD222" s="1"/>
      <c r="JXE222" s="1"/>
      <c r="JXF222" s="1"/>
      <c r="JXG222" s="1"/>
      <c r="JXH222" s="1"/>
      <c r="JXI222" s="1"/>
      <c r="JXJ222" s="1"/>
      <c r="JXK222" s="1"/>
      <c r="JXL222" s="1"/>
      <c r="JXM222" s="1"/>
      <c r="JXN222" s="1"/>
      <c r="JXO222" s="1"/>
      <c r="JXP222" s="1"/>
      <c r="JXQ222" s="1"/>
      <c r="JXR222" s="1"/>
      <c r="JXS222" s="1"/>
      <c r="JXT222" s="1"/>
      <c r="JXU222" s="1"/>
      <c r="JXV222" s="1"/>
      <c r="JXW222" s="1"/>
      <c r="JXX222" s="1"/>
      <c r="JXY222" s="1"/>
      <c r="JXZ222" s="1"/>
      <c r="JYA222" s="1"/>
      <c r="JYB222" s="1"/>
      <c r="JYC222" s="1"/>
      <c r="JYD222" s="1"/>
      <c r="JYE222" s="1"/>
      <c r="JYF222" s="1"/>
      <c r="JYG222" s="1"/>
      <c r="JYH222" s="1"/>
      <c r="JYI222" s="1"/>
      <c r="JYJ222" s="1"/>
      <c r="JYK222" s="1"/>
      <c r="JYL222" s="1"/>
      <c r="JYM222" s="1"/>
      <c r="JYN222" s="1"/>
      <c r="JYO222" s="1"/>
      <c r="JYP222" s="1"/>
      <c r="JYQ222" s="1"/>
      <c r="JYR222" s="1"/>
      <c r="JYS222" s="1"/>
      <c r="JYT222" s="1"/>
      <c r="JYU222" s="1"/>
      <c r="JYV222" s="1"/>
      <c r="JYW222" s="1"/>
      <c r="JYX222" s="1"/>
      <c r="JYY222" s="1"/>
      <c r="JYZ222" s="1"/>
      <c r="JZA222" s="1"/>
      <c r="JZB222" s="1"/>
      <c r="JZC222" s="1"/>
      <c r="JZD222" s="1"/>
      <c r="JZE222" s="1"/>
      <c r="JZF222" s="1"/>
      <c r="JZG222" s="1"/>
      <c r="JZH222" s="1"/>
      <c r="JZI222" s="1"/>
      <c r="JZJ222" s="1"/>
      <c r="JZK222" s="1"/>
      <c r="JZL222" s="1"/>
      <c r="JZM222" s="1"/>
      <c r="JZN222" s="1"/>
      <c r="JZO222" s="1"/>
      <c r="JZP222" s="1"/>
      <c r="JZQ222" s="1"/>
      <c r="JZR222" s="1"/>
      <c r="JZS222" s="1"/>
      <c r="JZT222" s="1"/>
      <c r="JZU222" s="1"/>
      <c r="JZV222" s="1"/>
      <c r="JZW222" s="1"/>
      <c r="JZX222" s="1"/>
      <c r="JZY222" s="1"/>
      <c r="JZZ222" s="1"/>
      <c r="KAA222" s="1"/>
      <c r="KAB222" s="1"/>
      <c r="KAC222" s="1"/>
      <c r="KAD222" s="1"/>
      <c r="KAE222" s="1"/>
      <c r="KAF222" s="1"/>
      <c r="KAG222" s="1"/>
      <c r="KAH222" s="1"/>
      <c r="KAI222" s="1"/>
      <c r="KAJ222" s="1"/>
      <c r="KAK222" s="1"/>
      <c r="KAL222" s="1"/>
      <c r="KAM222" s="1"/>
      <c r="KAN222" s="1"/>
      <c r="KAO222" s="1"/>
      <c r="KAP222" s="1"/>
      <c r="KAQ222" s="1"/>
      <c r="KAR222" s="1"/>
      <c r="KAS222" s="1"/>
      <c r="KAT222" s="1"/>
      <c r="KAU222" s="1"/>
      <c r="KAV222" s="1"/>
      <c r="KAW222" s="1"/>
      <c r="KAX222" s="1"/>
      <c r="KAY222" s="1"/>
      <c r="KAZ222" s="1"/>
      <c r="KBA222" s="1"/>
      <c r="KBB222" s="1"/>
      <c r="KBC222" s="1"/>
      <c r="KBD222" s="1"/>
      <c r="KBE222" s="1"/>
      <c r="KBF222" s="1"/>
      <c r="KBG222" s="1"/>
      <c r="KBH222" s="1"/>
      <c r="KBI222" s="1"/>
      <c r="KBJ222" s="1"/>
      <c r="KBK222" s="1"/>
      <c r="KBL222" s="1"/>
      <c r="KBM222" s="1"/>
      <c r="KBN222" s="1"/>
      <c r="KBO222" s="1"/>
      <c r="KBP222" s="1"/>
      <c r="KBQ222" s="1"/>
      <c r="KBR222" s="1"/>
      <c r="KBS222" s="1"/>
      <c r="KBT222" s="1"/>
      <c r="KBU222" s="1"/>
      <c r="KBV222" s="1"/>
      <c r="KBW222" s="1"/>
      <c r="KBX222" s="1"/>
      <c r="KBY222" s="1"/>
      <c r="KBZ222" s="1"/>
      <c r="KCA222" s="1"/>
      <c r="KCB222" s="1"/>
      <c r="KCC222" s="1"/>
      <c r="KCD222" s="1"/>
      <c r="KCE222" s="1"/>
      <c r="KCF222" s="1"/>
      <c r="KCG222" s="1"/>
      <c r="KCH222" s="1"/>
      <c r="KCI222" s="1"/>
      <c r="KCJ222" s="1"/>
      <c r="KCK222" s="1"/>
      <c r="KCL222" s="1"/>
      <c r="KCM222" s="1"/>
      <c r="KCN222" s="1"/>
      <c r="KCO222" s="1"/>
      <c r="KCP222" s="1"/>
      <c r="KCQ222" s="1"/>
      <c r="KCR222" s="1"/>
      <c r="KCS222" s="1"/>
      <c r="KCT222" s="1"/>
      <c r="KCU222" s="1"/>
      <c r="KCV222" s="1"/>
      <c r="KCW222" s="1"/>
      <c r="KCX222" s="1"/>
      <c r="KCY222" s="1"/>
      <c r="KCZ222" s="1"/>
      <c r="KDA222" s="1"/>
      <c r="KDB222" s="1"/>
      <c r="KDC222" s="1"/>
      <c r="KDD222" s="1"/>
      <c r="KDE222" s="1"/>
      <c r="KDF222" s="1"/>
      <c r="KDG222" s="1"/>
      <c r="KDH222" s="1"/>
      <c r="KDI222" s="1"/>
      <c r="KDJ222" s="1"/>
      <c r="KDK222" s="1"/>
      <c r="KDL222" s="1"/>
      <c r="KDM222" s="1"/>
      <c r="KDN222" s="1"/>
      <c r="KDO222" s="1"/>
      <c r="KDP222" s="1"/>
      <c r="KDQ222" s="1"/>
      <c r="KDR222" s="1"/>
      <c r="KDS222" s="1"/>
      <c r="KDT222" s="1"/>
      <c r="KDU222" s="1"/>
      <c r="KDV222" s="1"/>
      <c r="KDW222" s="1"/>
      <c r="KDX222" s="1"/>
      <c r="KDY222" s="1"/>
      <c r="KDZ222" s="1"/>
      <c r="KEA222" s="1"/>
      <c r="KEB222" s="1"/>
      <c r="KEC222" s="1"/>
      <c r="KED222" s="1"/>
      <c r="KEE222" s="1"/>
      <c r="KEF222" s="1"/>
      <c r="KEG222" s="1"/>
      <c r="KEH222" s="1"/>
      <c r="KEI222" s="1"/>
      <c r="KEJ222" s="1"/>
      <c r="KEK222" s="1"/>
      <c r="KEL222" s="1"/>
      <c r="KEM222" s="1"/>
      <c r="KEN222" s="1"/>
      <c r="KEO222" s="1"/>
      <c r="KEP222" s="1"/>
      <c r="KEQ222" s="1"/>
      <c r="KER222" s="1"/>
      <c r="KES222" s="1"/>
      <c r="KET222" s="1"/>
      <c r="KEU222" s="1"/>
      <c r="KEV222" s="1"/>
      <c r="KEW222" s="1"/>
      <c r="KEX222" s="1"/>
      <c r="KEY222" s="1"/>
      <c r="KEZ222" s="1"/>
      <c r="KFA222" s="1"/>
      <c r="KFB222" s="1"/>
      <c r="KFC222" s="1"/>
      <c r="KFD222" s="1"/>
      <c r="KFE222" s="1"/>
      <c r="KFF222" s="1"/>
      <c r="KFG222" s="1"/>
      <c r="KFH222" s="1"/>
      <c r="KFI222" s="1"/>
      <c r="KFJ222" s="1"/>
      <c r="KFK222" s="1"/>
      <c r="KFL222" s="1"/>
      <c r="KFM222" s="1"/>
      <c r="KFN222" s="1"/>
      <c r="KFO222" s="1"/>
      <c r="KFP222" s="1"/>
      <c r="KFQ222" s="1"/>
      <c r="KFR222" s="1"/>
      <c r="KFS222" s="1"/>
      <c r="KFT222" s="1"/>
      <c r="KFU222" s="1"/>
      <c r="KFV222" s="1"/>
      <c r="KFW222" s="1"/>
      <c r="KFX222" s="1"/>
      <c r="KFY222" s="1"/>
      <c r="KFZ222" s="1"/>
      <c r="KGA222" s="1"/>
      <c r="KGB222" s="1"/>
      <c r="KGC222" s="1"/>
      <c r="KGD222" s="1"/>
      <c r="KGE222" s="1"/>
      <c r="KGF222" s="1"/>
      <c r="KGG222" s="1"/>
      <c r="KGH222" s="1"/>
      <c r="KGI222" s="1"/>
      <c r="KGJ222" s="1"/>
      <c r="KGK222" s="1"/>
      <c r="KGL222" s="1"/>
      <c r="KGM222" s="1"/>
      <c r="KGN222" s="1"/>
      <c r="KGO222" s="1"/>
      <c r="KGP222" s="1"/>
      <c r="KGQ222" s="1"/>
      <c r="KGR222" s="1"/>
      <c r="KGS222" s="1"/>
      <c r="KGT222" s="1"/>
      <c r="KGU222" s="1"/>
      <c r="KGV222" s="1"/>
      <c r="KGW222" s="1"/>
      <c r="KGX222" s="1"/>
      <c r="KGY222" s="1"/>
      <c r="KGZ222" s="1"/>
      <c r="KHA222" s="1"/>
      <c r="KHB222" s="1"/>
      <c r="KHC222" s="1"/>
      <c r="KHD222" s="1"/>
      <c r="KHE222" s="1"/>
      <c r="KHF222" s="1"/>
      <c r="KHG222" s="1"/>
      <c r="KHH222" s="1"/>
      <c r="KHI222" s="1"/>
      <c r="KHJ222" s="1"/>
      <c r="KHK222" s="1"/>
      <c r="KHL222" s="1"/>
      <c r="KHM222" s="1"/>
      <c r="KHN222" s="1"/>
      <c r="KHO222" s="1"/>
      <c r="KHP222" s="1"/>
      <c r="KHQ222" s="1"/>
      <c r="KHR222" s="1"/>
      <c r="KHS222" s="1"/>
      <c r="KHT222" s="1"/>
      <c r="KHU222" s="1"/>
      <c r="KHV222" s="1"/>
      <c r="KHW222" s="1"/>
      <c r="KHX222" s="1"/>
      <c r="KHY222" s="1"/>
      <c r="KHZ222" s="1"/>
      <c r="KIA222" s="1"/>
      <c r="KIB222" s="1"/>
      <c r="KIC222" s="1"/>
      <c r="KID222" s="1"/>
      <c r="KIE222" s="1"/>
      <c r="KIF222" s="1"/>
      <c r="KIG222" s="1"/>
      <c r="KIH222" s="1"/>
      <c r="KII222" s="1"/>
      <c r="KIJ222" s="1"/>
      <c r="KIK222" s="1"/>
      <c r="KIL222" s="1"/>
      <c r="KIM222" s="1"/>
      <c r="KIN222" s="1"/>
      <c r="KIO222" s="1"/>
      <c r="KIP222" s="1"/>
      <c r="KIQ222" s="1"/>
      <c r="KIR222" s="1"/>
      <c r="KIS222" s="1"/>
      <c r="KIT222" s="1"/>
      <c r="KIU222" s="1"/>
      <c r="KIV222" s="1"/>
      <c r="KIW222" s="1"/>
      <c r="KIX222" s="1"/>
      <c r="KIY222" s="1"/>
      <c r="KIZ222" s="1"/>
      <c r="KJA222" s="1"/>
      <c r="KJB222" s="1"/>
      <c r="KJC222" s="1"/>
      <c r="KJD222" s="1"/>
      <c r="KJE222" s="1"/>
      <c r="KJF222" s="1"/>
      <c r="KJG222" s="1"/>
      <c r="KJH222" s="1"/>
      <c r="KJI222" s="1"/>
      <c r="KJJ222" s="1"/>
      <c r="KJK222" s="1"/>
      <c r="KJL222" s="1"/>
      <c r="KJM222" s="1"/>
      <c r="KJN222" s="1"/>
      <c r="KJO222" s="1"/>
      <c r="KJP222" s="1"/>
      <c r="KJQ222" s="1"/>
      <c r="KJR222" s="1"/>
      <c r="KJS222" s="1"/>
      <c r="KJT222" s="1"/>
      <c r="KJU222" s="1"/>
      <c r="KJV222" s="1"/>
      <c r="KJW222" s="1"/>
      <c r="KJX222" s="1"/>
      <c r="KJY222" s="1"/>
      <c r="KJZ222" s="1"/>
      <c r="KKA222" s="1"/>
      <c r="KKB222" s="1"/>
      <c r="KKC222" s="1"/>
      <c r="KKD222" s="1"/>
      <c r="KKE222" s="1"/>
      <c r="KKF222" s="1"/>
      <c r="KKG222" s="1"/>
      <c r="KKH222" s="1"/>
      <c r="KKI222" s="1"/>
      <c r="KKJ222" s="1"/>
      <c r="KKK222" s="1"/>
      <c r="KKL222" s="1"/>
      <c r="KKM222" s="1"/>
      <c r="KKN222" s="1"/>
      <c r="KKO222" s="1"/>
      <c r="KKP222" s="1"/>
      <c r="KKQ222" s="1"/>
      <c r="KKR222" s="1"/>
      <c r="KKS222" s="1"/>
      <c r="KKT222" s="1"/>
      <c r="KKU222" s="1"/>
      <c r="KKV222" s="1"/>
      <c r="KKW222" s="1"/>
      <c r="KKX222" s="1"/>
      <c r="KKY222" s="1"/>
      <c r="KKZ222" s="1"/>
      <c r="KLA222" s="1"/>
      <c r="KLB222" s="1"/>
      <c r="KLC222" s="1"/>
      <c r="KLD222" s="1"/>
      <c r="KLE222" s="1"/>
      <c r="KLF222" s="1"/>
      <c r="KLG222" s="1"/>
      <c r="KLH222" s="1"/>
      <c r="KLI222" s="1"/>
      <c r="KLJ222" s="1"/>
      <c r="KLK222" s="1"/>
      <c r="KLL222" s="1"/>
      <c r="KLM222" s="1"/>
      <c r="KLN222" s="1"/>
      <c r="KLO222" s="1"/>
      <c r="KLP222" s="1"/>
      <c r="KLQ222" s="1"/>
      <c r="KLR222" s="1"/>
      <c r="KLS222" s="1"/>
      <c r="KLT222" s="1"/>
      <c r="KLU222" s="1"/>
      <c r="KLV222" s="1"/>
      <c r="KLW222" s="1"/>
      <c r="KLX222" s="1"/>
      <c r="KLY222" s="1"/>
      <c r="KLZ222" s="1"/>
      <c r="KMA222" s="1"/>
      <c r="KMB222" s="1"/>
      <c r="KMC222" s="1"/>
      <c r="KMD222" s="1"/>
      <c r="KME222" s="1"/>
      <c r="KMF222" s="1"/>
      <c r="KMG222" s="1"/>
      <c r="KMH222" s="1"/>
      <c r="KMI222" s="1"/>
      <c r="KMJ222" s="1"/>
      <c r="KMK222" s="1"/>
      <c r="KML222" s="1"/>
      <c r="KMM222" s="1"/>
      <c r="KMN222" s="1"/>
      <c r="KMO222" s="1"/>
      <c r="KMP222" s="1"/>
      <c r="KMQ222" s="1"/>
      <c r="KMR222" s="1"/>
      <c r="KMS222" s="1"/>
      <c r="KMT222" s="1"/>
      <c r="KMU222" s="1"/>
      <c r="KMV222" s="1"/>
      <c r="KMW222" s="1"/>
      <c r="KMX222" s="1"/>
      <c r="KMY222" s="1"/>
      <c r="KMZ222" s="1"/>
      <c r="KNA222" s="1"/>
      <c r="KNB222" s="1"/>
      <c r="KNC222" s="1"/>
      <c r="KND222" s="1"/>
      <c r="KNE222" s="1"/>
      <c r="KNF222" s="1"/>
      <c r="KNG222" s="1"/>
      <c r="KNH222" s="1"/>
      <c r="KNI222" s="1"/>
      <c r="KNJ222" s="1"/>
      <c r="KNK222" s="1"/>
      <c r="KNL222" s="1"/>
      <c r="KNM222" s="1"/>
      <c r="KNN222" s="1"/>
      <c r="KNO222" s="1"/>
      <c r="KNP222" s="1"/>
      <c r="KNQ222" s="1"/>
      <c r="KNR222" s="1"/>
      <c r="KNS222" s="1"/>
      <c r="KNT222" s="1"/>
      <c r="KNU222" s="1"/>
      <c r="KNV222" s="1"/>
      <c r="KNW222" s="1"/>
      <c r="KNX222" s="1"/>
      <c r="KNY222" s="1"/>
      <c r="KNZ222" s="1"/>
      <c r="KOA222" s="1"/>
      <c r="KOB222" s="1"/>
      <c r="KOC222" s="1"/>
      <c r="KOD222" s="1"/>
      <c r="KOE222" s="1"/>
      <c r="KOF222" s="1"/>
      <c r="KOG222" s="1"/>
      <c r="KOH222" s="1"/>
      <c r="KOI222" s="1"/>
      <c r="KOJ222" s="1"/>
      <c r="KOK222" s="1"/>
      <c r="KOL222" s="1"/>
      <c r="KOM222" s="1"/>
      <c r="KON222" s="1"/>
      <c r="KOO222" s="1"/>
      <c r="KOP222" s="1"/>
      <c r="KOQ222" s="1"/>
      <c r="KOR222" s="1"/>
      <c r="KOS222" s="1"/>
      <c r="KOT222" s="1"/>
      <c r="KOU222" s="1"/>
      <c r="KOV222" s="1"/>
      <c r="KOW222" s="1"/>
      <c r="KOX222" s="1"/>
      <c r="KOY222" s="1"/>
      <c r="KOZ222" s="1"/>
      <c r="KPA222" s="1"/>
      <c r="KPB222" s="1"/>
      <c r="KPC222" s="1"/>
      <c r="KPD222" s="1"/>
      <c r="KPE222" s="1"/>
      <c r="KPF222" s="1"/>
      <c r="KPG222" s="1"/>
      <c r="KPH222" s="1"/>
      <c r="KPI222" s="1"/>
      <c r="KPJ222" s="1"/>
      <c r="KPK222" s="1"/>
      <c r="KPL222" s="1"/>
      <c r="KPM222" s="1"/>
      <c r="KPN222" s="1"/>
      <c r="KPO222" s="1"/>
      <c r="KPP222" s="1"/>
      <c r="KPQ222" s="1"/>
      <c r="KPR222" s="1"/>
      <c r="KPS222" s="1"/>
      <c r="KPT222" s="1"/>
      <c r="KPU222" s="1"/>
      <c r="KPV222" s="1"/>
      <c r="KPW222" s="1"/>
      <c r="KPX222" s="1"/>
      <c r="KPY222" s="1"/>
      <c r="KPZ222" s="1"/>
      <c r="KQA222" s="1"/>
      <c r="KQB222" s="1"/>
      <c r="KQC222" s="1"/>
      <c r="KQD222" s="1"/>
      <c r="KQE222" s="1"/>
      <c r="KQF222" s="1"/>
      <c r="KQG222" s="1"/>
      <c r="KQH222" s="1"/>
      <c r="KQI222" s="1"/>
      <c r="KQJ222" s="1"/>
      <c r="KQK222" s="1"/>
      <c r="KQL222" s="1"/>
      <c r="KQM222" s="1"/>
      <c r="KQN222" s="1"/>
      <c r="KQO222" s="1"/>
      <c r="KQP222" s="1"/>
      <c r="KQQ222" s="1"/>
      <c r="KQR222" s="1"/>
      <c r="KQS222" s="1"/>
      <c r="KQT222" s="1"/>
      <c r="KQU222" s="1"/>
      <c r="KQV222" s="1"/>
      <c r="KQW222" s="1"/>
      <c r="KQX222" s="1"/>
      <c r="KQY222" s="1"/>
      <c r="KQZ222" s="1"/>
      <c r="KRA222" s="1"/>
      <c r="KRB222" s="1"/>
      <c r="KRC222" s="1"/>
      <c r="KRD222" s="1"/>
      <c r="KRE222" s="1"/>
      <c r="KRF222" s="1"/>
      <c r="KRG222" s="1"/>
      <c r="KRH222" s="1"/>
      <c r="KRI222" s="1"/>
      <c r="KRJ222" s="1"/>
      <c r="KRK222" s="1"/>
      <c r="KRL222" s="1"/>
      <c r="KRM222" s="1"/>
      <c r="KRN222" s="1"/>
      <c r="KRO222" s="1"/>
      <c r="KRP222" s="1"/>
      <c r="KRQ222" s="1"/>
      <c r="KRR222" s="1"/>
      <c r="KRS222" s="1"/>
      <c r="KRT222" s="1"/>
      <c r="KRU222" s="1"/>
      <c r="KRV222" s="1"/>
      <c r="KRW222" s="1"/>
      <c r="KRX222" s="1"/>
      <c r="KRY222" s="1"/>
      <c r="KRZ222" s="1"/>
      <c r="KSA222" s="1"/>
      <c r="KSB222" s="1"/>
      <c r="KSC222" s="1"/>
      <c r="KSD222" s="1"/>
      <c r="KSE222" s="1"/>
      <c r="KSF222" s="1"/>
      <c r="KSG222" s="1"/>
      <c r="KSH222" s="1"/>
      <c r="KSI222" s="1"/>
      <c r="KSJ222" s="1"/>
      <c r="KSK222" s="1"/>
      <c r="KSL222" s="1"/>
      <c r="KSM222" s="1"/>
      <c r="KSN222" s="1"/>
      <c r="KSO222" s="1"/>
      <c r="KSP222" s="1"/>
      <c r="KSQ222" s="1"/>
      <c r="KSR222" s="1"/>
      <c r="KSS222" s="1"/>
      <c r="KST222" s="1"/>
      <c r="KSU222" s="1"/>
      <c r="KSV222" s="1"/>
      <c r="KSW222" s="1"/>
      <c r="KSX222" s="1"/>
      <c r="KSY222" s="1"/>
      <c r="KSZ222" s="1"/>
      <c r="KTA222" s="1"/>
      <c r="KTB222" s="1"/>
      <c r="KTC222" s="1"/>
      <c r="KTD222" s="1"/>
      <c r="KTE222" s="1"/>
      <c r="KTF222" s="1"/>
      <c r="KTG222" s="1"/>
      <c r="KTH222" s="1"/>
      <c r="KTI222" s="1"/>
      <c r="KTJ222" s="1"/>
      <c r="KTK222" s="1"/>
      <c r="KTL222" s="1"/>
      <c r="KTM222" s="1"/>
      <c r="KTN222" s="1"/>
      <c r="KTO222" s="1"/>
      <c r="KTP222" s="1"/>
      <c r="KTQ222" s="1"/>
      <c r="KTR222" s="1"/>
      <c r="KTS222" s="1"/>
      <c r="KTT222" s="1"/>
      <c r="KTU222" s="1"/>
      <c r="KTV222" s="1"/>
      <c r="KTW222" s="1"/>
      <c r="KTX222" s="1"/>
      <c r="KTY222" s="1"/>
      <c r="KTZ222" s="1"/>
      <c r="KUA222" s="1"/>
      <c r="KUB222" s="1"/>
      <c r="KUC222" s="1"/>
      <c r="KUD222" s="1"/>
      <c r="KUE222" s="1"/>
      <c r="KUF222" s="1"/>
      <c r="KUG222" s="1"/>
      <c r="KUH222" s="1"/>
      <c r="KUI222" s="1"/>
      <c r="KUJ222" s="1"/>
      <c r="KUK222" s="1"/>
      <c r="KUL222" s="1"/>
      <c r="KUM222" s="1"/>
      <c r="KUN222" s="1"/>
      <c r="KUO222" s="1"/>
      <c r="KUP222" s="1"/>
      <c r="KUQ222" s="1"/>
      <c r="KUR222" s="1"/>
      <c r="KUS222" s="1"/>
      <c r="KUT222" s="1"/>
      <c r="KUU222" s="1"/>
      <c r="KUV222" s="1"/>
      <c r="KUW222" s="1"/>
      <c r="KUX222" s="1"/>
      <c r="KUY222" s="1"/>
      <c r="KUZ222" s="1"/>
      <c r="KVA222" s="1"/>
      <c r="KVB222" s="1"/>
      <c r="KVC222" s="1"/>
      <c r="KVD222" s="1"/>
      <c r="KVE222" s="1"/>
      <c r="KVF222" s="1"/>
      <c r="KVG222" s="1"/>
      <c r="KVH222" s="1"/>
      <c r="KVI222" s="1"/>
      <c r="KVJ222" s="1"/>
      <c r="KVK222" s="1"/>
      <c r="KVL222" s="1"/>
      <c r="KVM222" s="1"/>
      <c r="KVN222" s="1"/>
      <c r="KVO222" s="1"/>
      <c r="KVP222" s="1"/>
      <c r="KVQ222" s="1"/>
      <c r="KVR222" s="1"/>
      <c r="KVS222" s="1"/>
      <c r="KVT222" s="1"/>
      <c r="KVU222" s="1"/>
      <c r="KVV222" s="1"/>
      <c r="KVW222" s="1"/>
      <c r="KVX222" s="1"/>
      <c r="KVY222" s="1"/>
      <c r="KVZ222" s="1"/>
      <c r="KWA222" s="1"/>
      <c r="KWB222" s="1"/>
      <c r="KWC222" s="1"/>
      <c r="KWD222" s="1"/>
      <c r="KWE222" s="1"/>
      <c r="KWF222" s="1"/>
      <c r="KWG222" s="1"/>
      <c r="KWH222" s="1"/>
      <c r="KWI222" s="1"/>
      <c r="KWJ222" s="1"/>
      <c r="KWK222" s="1"/>
      <c r="KWL222" s="1"/>
      <c r="KWM222" s="1"/>
      <c r="KWN222" s="1"/>
      <c r="KWO222" s="1"/>
      <c r="KWP222" s="1"/>
      <c r="KWQ222" s="1"/>
      <c r="KWR222" s="1"/>
      <c r="KWS222" s="1"/>
      <c r="KWT222" s="1"/>
      <c r="KWU222" s="1"/>
      <c r="KWV222" s="1"/>
      <c r="KWW222" s="1"/>
      <c r="KWX222" s="1"/>
      <c r="KWY222" s="1"/>
      <c r="KWZ222" s="1"/>
      <c r="KXA222" s="1"/>
      <c r="KXB222" s="1"/>
      <c r="KXC222" s="1"/>
      <c r="KXD222" s="1"/>
      <c r="KXE222" s="1"/>
      <c r="KXF222" s="1"/>
      <c r="KXG222" s="1"/>
      <c r="KXH222" s="1"/>
      <c r="KXI222" s="1"/>
      <c r="KXJ222" s="1"/>
      <c r="KXK222" s="1"/>
      <c r="KXL222" s="1"/>
      <c r="KXM222" s="1"/>
      <c r="KXN222" s="1"/>
      <c r="KXO222" s="1"/>
      <c r="KXP222" s="1"/>
      <c r="KXQ222" s="1"/>
      <c r="KXR222" s="1"/>
      <c r="KXS222" s="1"/>
      <c r="KXT222" s="1"/>
      <c r="KXU222" s="1"/>
      <c r="KXV222" s="1"/>
      <c r="KXW222" s="1"/>
      <c r="KXX222" s="1"/>
      <c r="KXY222" s="1"/>
      <c r="KXZ222" s="1"/>
      <c r="KYA222" s="1"/>
      <c r="KYB222" s="1"/>
      <c r="KYC222" s="1"/>
      <c r="KYD222" s="1"/>
      <c r="KYE222" s="1"/>
      <c r="KYF222" s="1"/>
      <c r="KYG222" s="1"/>
      <c r="KYH222" s="1"/>
      <c r="KYI222" s="1"/>
      <c r="KYJ222" s="1"/>
      <c r="KYK222" s="1"/>
      <c r="KYL222" s="1"/>
      <c r="KYM222" s="1"/>
      <c r="KYN222" s="1"/>
      <c r="KYO222" s="1"/>
      <c r="KYP222" s="1"/>
      <c r="KYQ222" s="1"/>
      <c r="KYR222" s="1"/>
      <c r="KYS222" s="1"/>
      <c r="KYT222" s="1"/>
      <c r="KYU222" s="1"/>
      <c r="KYV222" s="1"/>
      <c r="KYW222" s="1"/>
      <c r="KYX222" s="1"/>
      <c r="KYY222" s="1"/>
      <c r="KYZ222" s="1"/>
      <c r="KZA222" s="1"/>
      <c r="KZB222" s="1"/>
      <c r="KZC222" s="1"/>
      <c r="KZD222" s="1"/>
      <c r="KZE222" s="1"/>
      <c r="KZF222" s="1"/>
      <c r="KZG222" s="1"/>
      <c r="KZH222" s="1"/>
      <c r="KZI222" s="1"/>
      <c r="KZJ222" s="1"/>
      <c r="KZK222" s="1"/>
      <c r="KZL222" s="1"/>
      <c r="KZM222" s="1"/>
      <c r="KZN222" s="1"/>
      <c r="KZO222" s="1"/>
      <c r="KZP222" s="1"/>
      <c r="KZQ222" s="1"/>
      <c r="KZR222" s="1"/>
      <c r="KZS222" s="1"/>
      <c r="KZT222" s="1"/>
      <c r="KZU222" s="1"/>
      <c r="KZV222" s="1"/>
      <c r="KZW222" s="1"/>
      <c r="KZX222" s="1"/>
      <c r="KZY222" s="1"/>
      <c r="KZZ222" s="1"/>
      <c r="LAA222" s="1"/>
      <c r="LAB222" s="1"/>
      <c r="LAC222" s="1"/>
      <c r="LAD222" s="1"/>
      <c r="LAE222" s="1"/>
      <c r="LAF222" s="1"/>
      <c r="LAG222" s="1"/>
      <c r="LAH222" s="1"/>
      <c r="LAI222" s="1"/>
      <c r="LAJ222" s="1"/>
      <c r="LAK222" s="1"/>
      <c r="LAL222" s="1"/>
      <c r="LAM222" s="1"/>
      <c r="LAN222" s="1"/>
      <c r="LAO222" s="1"/>
      <c r="LAP222" s="1"/>
      <c r="LAQ222" s="1"/>
      <c r="LAR222" s="1"/>
      <c r="LAS222" s="1"/>
      <c r="LAT222" s="1"/>
      <c r="LAU222" s="1"/>
      <c r="LAV222" s="1"/>
      <c r="LAW222" s="1"/>
      <c r="LAX222" s="1"/>
      <c r="LAY222" s="1"/>
      <c r="LAZ222" s="1"/>
      <c r="LBA222" s="1"/>
      <c r="LBB222" s="1"/>
      <c r="LBC222" s="1"/>
      <c r="LBD222" s="1"/>
      <c r="LBE222" s="1"/>
      <c r="LBF222" s="1"/>
      <c r="LBG222" s="1"/>
      <c r="LBH222" s="1"/>
      <c r="LBI222" s="1"/>
      <c r="LBJ222" s="1"/>
      <c r="LBK222" s="1"/>
      <c r="LBL222" s="1"/>
      <c r="LBM222" s="1"/>
      <c r="LBN222" s="1"/>
      <c r="LBO222" s="1"/>
      <c r="LBP222" s="1"/>
      <c r="LBQ222" s="1"/>
      <c r="LBR222" s="1"/>
      <c r="LBS222" s="1"/>
      <c r="LBT222" s="1"/>
      <c r="LBU222" s="1"/>
      <c r="LBV222" s="1"/>
      <c r="LBW222" s="1"/>
      <c r="LBX222" s="1"/>
      <c r="LBY222" s="1"/>
      <c r="LBZ222" s="1"/>
      <c r="LCA222" s="1"/>
      <c r="LCB222" s="1"/>
      <c r="LCC222" s="1"/>
      <c r="LCD222" s="1"/>
      <c r="LCE222" s="1"/>
      <c r="LCF222" s="1"/>
      <c r="LCG222" s="1"/>
      <c r="LCH222" s="1"/>
      <c r="LCI222" s="1"/>
      <c r="LCJ222" s="1"/>
      <c r="LCK222" s="1"/>
      <c r="LCL222" s="1"/>
      <c r="LCM222" s="1"/>
      <c r="LCN222" s="1"/>
      <c r="LCO222" s="1"/>
      <c r="LCP222" s="1"/>
      <c r="LCQ222" s="1"/>
      <c r="LCR222" s="1"/>
      <c r="LCS222" s="1"/>
      <c r="LCT222" s="1"/>
      <c r="LCU222" s="1"/>
      <c r="LCV222" s="1"/>
      <c r="LCW222" s="1"/>
      <c r="LCX222" s="1"/>
      <c r="LCY222" s="1"/>
      <c r="LCZ222" s="1"/>
      <c r="LDA222" s="1"/>
      <c r="LDB222" s="1"/>
      <c r="LDC222" s="1"/>
      <c r="LDD222" s="1"/>
      <c r="LDE222" s="1"/>
      <c r="LDF222" s="1"/>
      <c r="LDG222" s="1"/>
      <c r="LDH222" s="1"/>
      <c r="LDI222" s="1"/>
      <c r="LDJ222" s="1"/>
      <c r="LDK222" s="1"/>
      <c r="LDL222" s="1"/>
      <c r="LDM222" s="1"/>
      <c r="LDN222" s="1"/>
      <c r="LDO222" s="1"/>
      <c r="LDP222" s="1"/>
      <c r="LDQ222" s="1"/>
      <c r="LDR222" s="1"/>
      <c r="LDS222" s="1"/>
      <c r="LDT222" s="1"/>
      <c r="LDU222" s="1"/>
      <c r="LDV222" s="1"/>
      <c r="LDW222" s="1"/>
      <c r="LDX222" s="1"/>
      <c r="LDY222" s="1"/>
      <c r="LDZ222" s="1"/>
      <c r="LEA222" s="1"/>
      <c r="LEB222" s="1"/>
      <c r="LEC222" s="1"/>
      <c r="LED222" s="1"/>
      <c r="LEE222" s="1"/>
      <c r="LEF222" s="1"/>
      <c r="LEG222" s="1"/>
      <c r="LEH222" s="1"/>
      <c r="LEI222" s="1"/>
      <c r="LEJ222" s="1"/>
      <c r="LEK222" s="1"/>
      <c r="LEL222" s="1"/>
      <c r="LEM222" s="1"/>
      <c r="LEN222" s="1"/>
      <c r="LEO222" s="1"/>
      <c r="LEP222" s="1"/>
      <c r="LEQ222" s="1"/>
      <c r="LER222" s="1"/>
      <c r="LES222" s="1"/>
      <c r="LET222" s="1"/>
      <c r="LEU222" s="1"/>
      <c r="LEV222" s="1"/>
      <c r="LEW222" s="1"/>
      <c r="LEX222" s="1"/>
      <c r="LEY222" s="1"/>
      <c r="LEZ222" s="1"/>
      <c r="LFA222" s="1"/>
      <c r="LFB222" s="1"/>
      <c r="LFC222" s="1"/>
      <c r="LFD222" s="1"/>
      <c r="LFE222" s="1"/>
      <c r="LFF222" s="1"/>
      <c r="LFG222" s="1"/>
      <c r="LFH222" s="1"/>
      <c r="LFI222" s="1"/>
      <c r="LFJ222" s="1"/>
      <c r="LFK222" s="1"/>
      <c r="LFL222" s="1"/>
      <c r="LFM222" s="1"/>
      <c r="LFN222" s="1"/>
      <c r="LFO222" s="1"/>
      <c r="LFP222" s="1"/>
      <c r="LFQ222" s="1"/>
      <c r="LFR222" s="1"/>
      <c r="LFS222" s="1"/>
      <c r="LFT222" s="1"/>
      <c r="LFU222" s="1"/>
      <c r="LFV222" s="1"/>
      <c r="LFW222" s="1"/>
      <c r="LFX222" s="1"/>
      <c r="LFY222" s="1"/>
      <c r="LFZ222" s="1"/>
      <c r="LGA222" s="1"/>
      <c r="LGB222" s="1"/>
      <c r="LGC222" s="1"/>
      <c r="LGD222" s="1"/>
      <c r="LGE222" s="1"/>
      <c r="LGF222" s="1"/>
      <c r="LGG222" s="1"/>
      <c r="LGH222" s="1"/>
      <c r="LGI222" s="1"/>
      <c r="LGJ222" s="1"/>
      <c r="LGK222" s="1"/>
      <c r="LGL222" s="1"/>
      <c r="LGM222" s="1"/>
      <c r="LGN222" s="1"/>
      <c r="LGO222" s="1"/>
      <c r="LGP222" s="1"/>
      <c r="LGQ222" s="1"/>
      <c r="LGR222" s="1"/>
      <c r="LGS222" s="1"/>
      <c r="LGT222" s="1"/>
      <c r="LGU222" s="1"/>
      <c r="LGV222" s="1"/>
      <c r="LGW222" s="1"/>
      <c r="LGX222" s="1"/>
      <c r="LGY222" s="1"/>
      <c r="LGZ222" s="1"/>
      <c r="LHA222" s="1"/>
      <c r="LHB222" s="1"/>
      <c r="LHC222" s="1"/>
      <c r="LHD222" s="1"/>
      <c r="LHE222" s="1"/>
      <c r="LHF222" s="1"/>
      <c r="LHG222" s="1"/>
      <c r="LHH222" s="1"/>
      <c r="LHI222" s="1"/>
      <c r="LHJ222" s="1"/>
      <c r="LHK222" s="1"/>
      <c r="LHL222" s="1"/>
      <c r="LHM222" s="1"/>
      <c r="LHN222" s="1"/>
      <c r="LHO222" s="1"/>
      <c r="LHP222" s="1"/>
      <c r="LHQ222" s="1"/>
      <c r="LHR222" s="1"/>
      <c r="LHS222" s="1"/>
      <c r="LHT222" s="1"/>
      <c r="LHU222" s="1"/>
      <c r="LHV222" s="1"/>
      <c r="LHW222" s="1"/>
      <c r="LHX222" s="1"/>
      <c r="LHY222" s="1"/>
      <c r="LHZ222" s="1"/>
      <c r="LIA222" s="1"/>
      <c r="LIB222" s="1"/>
      <c r="LIC222" s="1"/>
      <c r="LID222" s="1"/>
      <c r="LIE222" s="1"/>
      <c r="LIF222" s="1"/>
      <c r="LIG222" s="1"/>
      <c r="LIH222" s="1"/>
      <c r="LII222" s="1"/>
      <c r="LIJ222" s="1"/>
      <c r="LIK222" s="1"/>
      <c r="LIL222" s="1"/>
      <c r="LIM222" s="1"/>
      <c r="LIN222" s="1"/>
      <c r="LIO222" s="1"/>
      <c r="LIP222" s="1"/>
      <c r="LIQ222" s="1"/>
      <c r="LIR222" s="1"/>
      <c r="LIS222" s="1"/>
      <c r="LIT222" s="1"/>
      <c r="LIU222" s="1"/>
      <c r="LIV222" s="1"/>
      <c r="LIW222" s="1"/>
      <c r="LIX222" s="1"/>
      <c r="LIY222" s="1"/>
      <c r="LIZ222" s="1"/>
      <c r="LJA222" s="1"/>
      <c r="LJB222" s="1"/>
      <c r="LJC222" s="1"/>
      <c r="LJD222" s="1"/>
      <c r="LJE222" s="1"/>
      <c r="LJF222" s="1"/>
      <c r="LJG222" s="1"/>
      <c r="LJH222" s="1"/>
      <c r="LJI222" s="1"/>
      <c r="LJJ222" s="1"/>
      <c r="LJK222" s="1"/>
      <c r="LJL222" s="1"/>
      <c r="LJM222" s="1"/>
      <c r="LJN222" s="1"/>
      <c r="LJO222" s="1"/>
      <c r="LJP222" s="1"/>
      <c r="LJQ222" s="1"/>
      <c r="LJR222" s="1"/>
      <c r="LJS222" s="1"/>
      <c r="LJT222" s="1"/>
      <c r="LJU222" s="1"/>
      <c r="LJV222" s="1"/>
      <c r="LJW222" s="1"/>
      <c r="LJX222" s="1"/>
      <c r="LJY222" s="1"/>
      <c r="LJZ222" s="1"/>
      <c r="LKA222" s="1"/>
      <c r="LKB222" s="1"/>
      <c r="LKC222" s="1"/>
      <c r="LKD222" s="1"/>
      <c r="LKE222" s="1"/>
      <c r="LKF222" s="1"/>
      <c r="LKG222" s="1"/>
      <c r="LKH222" s="1"/>
      <c r="LKI222" s="1"/>
      <c r="LKJ222" s="1"/>
      <c r="LKK222" s="1"/>
      <c r="LKL222" s="1"/>
      <c r="LKM222" s="1"/>
      <c r="LKN222" s="1"/>
      <c r="LKO222" s="1"/>
      <c r="LKP222" s="1"/>
      <c r="LKQ222" s="1"/>
      <c r="LKR222" s="1"/>
      <c r="LKS222" s="1"/>
      <c r="LKT222" s="1"/>
      <c r="LKU222" s="1"/>
      <c r="LKV222" s="1"/>
      <c r="LKW222" s="1"/>
      <c r="LKX222" s="1"/>
      <c r="LKY222" s="1"/>
      <c r="LKZ222" s="1"/>
      <c r="LLA222" s="1"/>
      <c r="LLB222" s="1"/>
      <c r="LLC222" s="1"/>
      <c r="LLD222" s="1"/>
      <c r="LLE222" s="1"/>
      <c r="LLF222" s="1"/>
      <c r="LLG222" s="1"/>
      <c r="LLH222" s="1"/>
      <c r="LLI222" s="1"/>
      <c r="LLJ222" s="1"/>
      <c r="LLK222" s="1"/>
      <c r="LLL222" s="1"/>
      <c r="LLM222" s="1"/>
      <c r="LLN222" s="1"/>
      <c r="LLO222" s="1"/>
      <c r="LLP222" s="1"/>
      <c r="LLQ222" s="1"/>
      <c r="LLR222" s="1"/>
      <c r="LLS222" s="1"/>
      <c r="LLT222" s="1"/>
      <c r="LLU222" s="1"/>
      <c r="LLV222" s="1"/>
      <c r="LLW222" s="1"/>
      <c r="LLX222" s="1"/>
      <c r="LLY222" s="1"/>
      <c r="LLZ222" s="1"/>
      <c r="LMA222" s="1"/>
      <c r="LMB222" s="1"/>
      <c r="LMC222" s="1"/>
      <c r="LMD222" s="1"/>
      <c r="LME222" s="1"/>
      <c r="LMF222" s="1"/>
      <c r="LMG222" s="1"/>
      <c r="LMH222" s="1"/>
      <c r="LMI222" s="1"/>
      <c r="LMJ222" s="1"/>
      <c r="LMK222" s="1"/>
      <c r="LML222" s="1"/>
      <c r="LMM222" s="1"/>
      <c r="LMN222" s="1"/>
      <c r="LMO222" s="1"/>
      <c r="LMP222" s="1"/>
      <c r="LMQ222" s="1"/>
      <c r="LMR222" s="1"/>
      <c r="LMS222" s="1"/>
      <c r="LMT222" s="1"/>
      <c r="LMU222" s="1"/>
      <c r="LMV222" s="1"/>
      <c r="LMW222" s="1"/>
      <c r="LMX222" s="1"/>
      <c r="LMY222" s="1"/>
      <c r="LMZ222" s="1"/>
      <c r="LNA222" s="1"/>
      <c r="LNB222" s="1"/>
      <c r="LNC222" s="1"/>
      <c r="LND222" s="1"/>
      <c r="LNE222" s="1"/>
      <c r="LNF222" s="1"/>
      <c r="LNG222" s="1"/>
      <c r="LNH222" s="1"/>
      <c r="LNI222" s="1"/>
      <c r="LNJ222" s="1"/>
      <c r="LNK222" s="1"/>
      <c r="LNL222" s="1"/>
      <c r="LNM222" s="1"/>
      <c r="LNN222" s="1"/>
      <c r="LNO222" s="1"/>
      <c r="LNP222" s="1"/>
      <c r="LNQ222" s="1"/>
      <c r="LNR222" s="1"/>
      <c r="LNS222" s="1"/>
      <c r="LNT222" s="1"/>
      <c r="LNU222" s="1"/>
      <c r="LNV222" s="1"/>
      <c r="LNW222" s="1"/>
      <c r="LNX222" s="1"/>
      <c r="LNY222" s="1"/>
      <c r="LNZ222" s="1"/>
      <c r="LOA222" s="1"/>
      <c r="LOB222" s="1"/>
      <c r="LOC222" s="1"/>
      <c r="LOD222" s="1"/>
      <c r="LOE222" s="1"/>
      <c r="LOF222" s="1"/>
      <c r="LOG222" s="1"/>
      <c r="LOH222" s="1"/>
      <c r="LOI222" s="1"/>
      <c r="LOJ222" s="1"/>
      <c r="LOK222" s="1"/>
      <c r="LOL222" s="1"/>
      <c r="LOM222" s="1"/>
      <c r="LON222" s="1"/>
      <c r="LOO222" s="1"/>
      <c r="LOP222" s="1"/>
      <c r="LOQ222" s="1"/>
      <c r="LOR222" s="1"/>
      <c r="LOS222" s="1"/>
      <c r="LOT222" s="1"/>
      <c r="LOU222" s="1"/>
      <c r="LOV222" s="1"/>
      <c r="LOW222" s="1"/>
      <c r="LOX222" s="1"/>
      <c r="LOY222" s="1"/>
      <c r="LOZ222" s="1"/>
      <c r="LPA222" s="1"/>
      <c r="LPB222" s="1"/>
      <c r="LPC222" s="1"/>
      <c r="LPD222" s="1"/>
      <c r="LPE222" s="1"/>
      <c r="LPF222" s="1"/>
      <c r="LPG222" s="1"/>
      <c r="LPH222" s="1"/>
      <c r="LPI222" s="1"/>
      <c r="LPJ222" s="1"/>
      <c r="LPK222" s="1"/>
      <c r="LPL222" s="1"/>
      <c r="LPM222" s="1"/>
      <c r="LPN222" s="1"/>
      <c r="LPO222" s="1"/>
      <c r="LPP222" s="1"/>
      <c r="LPQ222" s="1"/>
      <c r="LPR222" s="1"/>
      <c r="LPS222" s="1"/>
      <c r="LPT222" s="1"/>
      <c r="LPU222" s="1"/>
      <c r="LPV222" s="1"/>
      <c r="LPW222" s="1"/>
      <c r="LPX222" s="1"/>
      <c r="LPY222" s="1"/>
      <c r="LPZ222" s="1"/>
      <c r="LQA222" s="1"/>
      <c r="LQB222" s="1"/>
      <c r="LQC222" s="1"/>
      <c r="LQD222" s="1"/>
      <c r="LQE222" s="1"/>
      <c r="LQF222" s="1"/>
      <c r="LQG222" s="1"/>
      <c r="LQH222" s="1"/>
      <c r="LQI222" s="1"/>
      <c r="LQJ222" s="1"/>
      <c r="LQK222" s="1"/>
      <c r="LQL222" s="1"/>
      <c r="LQM222" s="1"/>
      <c r="LQN222" s="1"/>
      <c r="LQO222" s="1"/>
      <c r="LQP222" s="1"/>
      <c r="LQQ222" s="1"/>
      <c r="LQR222" s="1"/>
      <c r="LQS222" s="1"/>
      <c r="LQT222" s="1"/>
      <c r="LQU222" s="1"/>
      <c r="LQV222" s="1"/>
      <c r="LQW222" s="1"/>
      <c r="LQX222" s="1"/>
      <c r="LQY222" s="1"/>
      <c r="LQZ222" s="1"/>
      <c r="LRA222" s="1"/>
      <c r="LRB222" s="1"/>
      <c r="LRC222" s="1"/>
      <c r="LRD222" s="1"/>
      <c r="LRE222" s="1"/>
      <c r="LRF222" s="1"/>
      <c r="LRG222" s="1"/>
      <c r="LRH222" s="1"/>
      <c r="LRI222" s="1"/>
      <c r="LRJ222" s="1"/>
      <c r="LRK222" s="1"/>
      <c r="LRL222" s="1"/>
      <c r="LRM222" s="1"/>
      <c r="LRN222" s="1"/>
      <c r="LRO222" s="1"/>
      <c r="LRP222" s="1"/>
      <c r="LRQ222" s="1"/>
      <c r="LRR222" s="1"/>
      <c r="LRS222" s="1"/>
      <c r="LRT222" s="1"/>
      <c r="LRU222" s="1"/>
      <c r="LRV222" s="1"/>
      <c r="LRW222" s="1"/>
      <c r="LRX222" s="1"/>
      <c r="LRY222" s="1"/>
      <c r="LRZ222" s="1"/>
      <c r="LSA222" s="1"/>
      <c r="LSB222" s="1"/>
      <c r="LSC222" s="1"/>
      <c r="LSD222" s="1"/>
      <c r="LSE222" s="1"/>
      <c r="LSF222" s="1"/>
      <c r="LSG222" s="1"/>
      <c r="LSH222" s="1"/>
      <c r="LSI222" s="1"/>
      <c r="LSJ222" s="1"/>
      <c r="LSK222" s="1"/>
      <c r="LSL222" s="1"/>
      <c r="LSM222" s="1"/>
      <c r="LSN222" s="1"/>
      <c r="LSO222" s="1"/>
      <c r="LSP222" s="1"/>
      <c r="LSQ222" s="1"/>
      <c r="LSR222" s="1"/>
      <c r="LSS222" s="1"/>
      <c r="LST222" s="1"/>
      <c r="LSU222" s="1"/>
      <c r="LSV222" s="1"/>
      <c r="LSW222" s="1"/>
      <c r="LSX222" s="1"/>
      <c r="LSY222" s="1"/>
      <c r="LSZ222" s="1"/>
      <c r="LTA222" s="1"/>
      <c r="LTB222" s="1"/>
      <c r="LTC222" s="1"/>
      <c r="LTD222" s="1"/>
      <c r="LTE222" s="1"/>
      <c r="LTF222" s="1"/>
      <c r="LTG222" s="1"/>
      <c r="LTH222" s="1"/>
      <c r="LTI222" s="1"/>
      <c r="LTJ222" s="1"/>
      <c r="LTK222" s="1"/>
      <c r="LTL222" s="1"/>
      <c r="LTM222" s="1"/>
      <c r="LTN222" s="1"/>
      <c r="LTO222" s="1"/>
      <c r="LTP222" s="1"/>
      <c r="LTQ222" s="1"/>
      <c r="LTR222" s="1"/>
      <c r="LTS222" s="1"/>
      <c r="LTT222" s="1"/>
      <c r="LTU222" s="1"/>
      <c r="LTV222" s="1"/>
      <c r="LTW222" s="1"/>
      <c r="LTX222" s="1"/>
      <c r="LTY222" s="1"/>
      <c r="LTZ222" s="1"/>
      <c r="LUA222" s="1"/>
      <c r="LUB222" s="1"/>
      <c r="LUC222" s="1"/>
      <c r="LUD222" s="1"/>
      <c r="LUE222" s="1"/>
      <c r="LUF222" s="1"/>
      <c r="LUG222" s="1"/>
      <c r="LUH222" s="1"/>
      <c r="LUI222" s="1"/>
      <c r="LUJ222" s="1"/>
      <c r="LUK222" s="1"/>
      <c r="LUL222" s="1"/>
      <c r="LUM222" s="1"/>
      <c r="LUN222" s="1"/>
      <c r="LUO222" s="1"/>
      <c r="LUP222" s="1"/>
      <c r="LUQ222" s="1"/>
      <c r="LUR222" s="1"/>
      <c r="LUS222" s="1"/>
      <c r="LUT222" s="1"/>
      <c r="LUU222" s="1"/>
      <c r="LUV222" s="1"/>
      <c r="LUW222" s="1"/>
      <c r="LUX222" s="1"/>
      <c r="LUY222" s="1"/>
      <c r="LUZ222" s="1"/>
      <c r="LVA222" s="1"/>
      <c r="LVB222" s="1"/>
      <c r="LVC222" s="1"/>
      <c r="LVD222" s="1"/>
      <c r="LVE222" s="1"/>
      <c r="LVF222" s="1"/>
      <c r="LVG222" s="1"/>
      <c r="LVH222" s="1"/>
      <c r="LVI222" s="1"/>
      <c r="LVJ222" s="1"/>
      <c r="LVK222" s="1"/>
      <c r="LVL222" s="1"/>
      <c r="LVM222" s="1"/>
      <c r="LVN222" s="1"/>
      <c r="LVO222" s="1"/>
      <c r="LVP222" s="1"/>
      <c r="LVQ222" s="1"/>
      <c r="LVR222" s="1"/>
      <c r="LVS222" s="1"/>
      <c r="LVT222" s="1"/>
      <c r="LVU222" s="1"/>
      <c r="LVV222" s="1"/>
      <c r="LVW222" s="1"/>
      <c r="LVX222" s="1"/>
      <c r="LVY222" s="1"/>
      <c r="LVZ222" s="1"/>
      <c r="LWA222" s="1"/>
      <c r="LWB222" s="1"/>
      <c r="LWC222" s="1"/>
      <c r="LWD222" s="1"/>
      <c r="LWE222" s="1"/>
      <c r="LWF222" s="1"/>
      <c r="LWG222" s="1"/>
      <c r="LWH222" s="1"/>
      <c r="LWI222" s="1"/>
      <c r="LWJ222" s="1"/>
      <c r="LWK222" s="1"/>
      <c r="LWL222" s="1"/>
      <c r="LWM222" s="1"/>
      <c r="LWN222" s="1"/>
      <c r="LWO222" s="1"/>
      <c r="LWP222" s="1"/>
      <c r="LWQ222" s="1"/>
      <c r="LWR222" s="1"/>
      <c r="LWS222" s="1"/>
      <c r="LWT222" s="1"/>
      <c r="LWU222" s="1"/>
      <c r="LWV222" s="1"/>
      <c r="LWW222" s="1"/>
      <c r="LWX222" s="1"/>
      <c r="LWY222" s="1"/>
      <c r="LWZ222" s="1"/>
      <c r="LXA222" s="1"/>
      <c r="LXB222" s="1"/>
      <c r="LXC222" s="1"/>
      <c r="LXD222" s="1"/>
      <c r="LXE222" s="1"/>
      <c r="LXF222" s="1"/>
      <c r="LXG222" s="1"/>
      <c r="LXH222" s="1"/>
      <c r="LXI222" s="1"/>
      <c r="LXJ222" s="1"/>
      <c r="LXK222" s="1"/>
      <c r="LXL222" s="1"/>
      <c r="LXM222" s="1"/>
      <c r="LXN222" s="1"/>
      <c r="LXO222" s="1"/>
      <c r="LXP222" s="1"/>
      <c r="LXQ222" s="1"/>
      <c r="LXR222" s="1"/>
      <c r="LXS222" s="1"/>
      <c r="LXT222" s="1"/>
      <c r="LXU222" s="1"/>
      <c r="LXV222" s="1"/>
      <c r="LXW222" s="1"/>
      <c r="LXX222" s="1"/>
      <c r="LXY222" s="1"/>
      <c r="LXZ222" s="1"/>
      <c r="LYA222" s="1"/>
      <c r="LYB222" s="1"/>
      <c r="LYC222" s="1"/>
      <c r="LYD222" s="1"/>
      <c r="LYE222" s="1"/>
      <c r="LYF222" s="1"/>
      <c r="LYG222" s="1"/>
      <c r="LYH222" s="1"/>
      <c r="LYI222" s="1"/>
      <c r="LYJ222" s="1"/>
      <c r="LYK222" s="1"/>
      <c r="LYL222" s="1"/>
      <c r="LYM222" s="1"/>
      <c r="LYN222" s="1"/>
      <c r="LYO222" s="1"/>
      <c r="LYP222" s="1"/>
      <c r="LYQ222" s="1"/>
      <c r="LYR222" s="1"/>
      <c r="LYS222" s="1"/>
      <c r="LYT222" s="1"/>
      <c r="LYU222" s="1"/>
      <c r="LYV222" s="1"/>
      <c r="LYW222" s="1"/>
      <c r="LYX222" s="1"/>
      <c r="LYY222" s="1"/>
      <c r="LYZ222" s="1"/>
      <c r="LZA222" s="1"/>
      <c r="LZB222" s="1"/>
      <c r="LZC222" s="1"/>
      <c r="LZD222" s="1"/>
      <c r="LZE222" s="1"/>
      <c r="LZF222" s="1"/>
      <c r="LZG222" s="1"/>
      <c r="LZH222" s="1"/>
      <c r="LZI222" s="1"/>
      <c r="LZJ222" s="1"/>
      <c r="LZK222" s="1"/>
      <c r="LZL222" s="1"/>
      <c r="LZM222" s="1"/>
      <c r="LZN222" s="1"/>
      <c r="LZO222" s="1"/>
      <c r="LZP222" s="1"/>
      <c r="LZQ222" s="1"/>
      <c r="LZR222" s="1"/>
      <c r="LZS222" s="1"/>
      <c r="LZT222" s="1"/>
      <c r="LZU222" s="1"/>
      <c r="LZV222" s="1"/>
      <c r="LZW222" s="1"/>
      <c r="LZX222" s="1"/>
      <c r="LZY222" s="1"/>
      <c r="LZZ222" s="1"/>
      <c r="MAA222" s="1"/>
      <c r="MAB222" s="1"/>
      <c r="MAC222" s="1"/>
      <c r="MAD222" s="1"/>
      <c r="MAE222" s="1"/>
      <c r="MAF222" s="1"/>
      <c r="MAG222" s="1"/>
      <c r="MAH222" s="1"/>
      <c r="MAI222" s="1"/>
      <c r="MAJ222" s="1"/>
      <c r="MAK222" s="1"/>
      <c r="MAL222" s="1"/>
      <c r="MAM222" s="1"/>
      <c r="MAN222" s="1"/>
      <c r="MAO222" s="1"/>
      <c r="MAP222" s="1"/>
      <c r="MAQ222" s="1"/>
      <c r="MAR222" s="1"/>
      <c r="MAS222" s="1"/>
      <c r="MAT222" s="1"/>
      <c r="MAU222" s="1"/>
      <c r="MAV222" s="1"/>
      <c r="MAW222" s="1"/>
      <c r="MAX222" s="1"/>
      <c r="MAY222" s="1"/>
      <c r="MAZ222" s="1"/>
      <c r="MBA222" s="1"/>
      <c r="MBB222" s="1"/>
      <c r="MBC222" s="1"/>
      <c r="MBD222" s="1"/>
      <c r="MBE222" s="1"/>
      <c r="MBF222" s="1"/>
      <c r="MBG222" s="1"/>
      <c r="MBH222" s="1"/>
      <c r="MBI222" s="1"/>
      <c r="MBJ222" s="1"/>
      <c r="MBK222" s="1"/>
      <c r="MBL222" s="1"/>
      <c r="MBM222" s="1"/>
      <c r="MBN222" s="1"/>
      <c r="MBO222" s="1"/>
      <c r="MBP222" s="1"/>
      <c r="MBQ222" s="1"/>
      <c r="MBR222" s="1"/>
      <c r="MBS222" s="1"/>
      <c r="MBT222" s="1"/>
      <c r="MBU222" s="1"/>
      <c r="MBV222" s="1"/>
      <c r="MBW222" s="1"/>
      <c r="MBX222" s="1"/>
      <c r="MBY222" s="1"/>
      <c r="MBZ222" s="1"/>
      <c r="MCA222" s="1"/>
      <c r="MCB222" s="1"/>
      <c r="MCC222" s="1"/>
      <c r="MCD222" s="1"/>
      <c r="MCE222" s="1"/>
      <c r="MCF222" s="1"/>
      <c r="MCG222" s="1"/>
      <c r="MCH222" s="1"/>
      <c r="MCI222" s="1"/>
      <c r="MCJ222" s="1"/>
      <c r="MCK222" s="1"/>
      <c r="MCL222" s="1"/>
      <c r="MCM222" s="1"/>
      <c r="MCN222" s="1"/>
      <c r="MCO222" s="1"/>
      <c r="MCP222" s="1"/>
      <c r="MCQ222" s="1"/>
      <c r="MCR222" s="1"/>
      <c r="MCS222" s="1"/>
      <c r="MCT222" s="1"/>
      <c r="MCU222" s="1"/>
      <c r="MCV222" s="1"/>
      <c r="MCW222" s="1"/>
      <c r="MCX222" s="1"/>
      <c r="MCY222" s="1"/>
      <c r="MCZ222" s="1"/>
      <c r="MDA222" s="1"/>
      <c r="MDB222" s="1"/>
      <c r="MDC222" s="1"/>
      <c r="MDD222" s="1"/>
      <c r="MDE222" s="1"/>
      <c r="MDF222" s="1"/>
      <c r="MDG222" s="1"/>
      <c r="MDH222" s="1"/>
      <c r="MDI222" s="1"/>
      <c r="MDJ222" s="1"/>
      <c r="MDK222" s="1"/>
      <c r="MDL222" s="1"/>
      <c r="MDM222" s="1"/>
      <c r="MDN222" s="1"/>
      <c r="MDO222" s="1"/>
      <c r="MDP222" s="1"/>
      <c r="MDQ222" s="1"/>
      <c r="MDR222" s="1"/>
      <c r="MDS222" s="1"/>
      <c r="MDT222" s="1"/>
      <c r="MDU222" s="1"/>
      <c r="MDV222" s="1"/>
      <c r="MDW222" s="1"/>
      <c r="MDX222" s="1"/>
      <c r="MDY222" s="1"/>
      <c r="MDZ222" s="1"/>
      <c r="MEA222" s="1"/>
      <c r="MEB222" s="1"/>
      <c r="MEC222" s="1"/>
      <c r="MED222" s="1"/>
      <c r="MEE222" s="1"/>
      <c r="MEF222" s="1"/>
      <c r="MEG222" s="1"/>
      <c r="MEH222" s="1"/>
      <c r="MEI222" s="1"/>
      <c r="MEJ222" s="1"/>
      <c r="MEK222" s="1"/>
      <c r="MEL222" s="1"/>
      <c r="MEM222" s="1"/>
      <c r="MEN222" s="1"/>
      <c r="MEO222" s="1"/>
      <c r="MEP222" s="1"/>
      <c r="MEQ222" s="1"/>
      <c r="MER222" s="1"/>
      <c r="MES222" s="1"/>
      <c r="MET222" s="1"/>
      <c r="MEU222" s="1"/>
      <c r="MEV222" s="1"/>
      <c r="MEW222" s="1"/>
      <c r="MEX222" s="1"/>
      <c r="MEY222" s="1"/>
      <c r="MEZ222" s="1"/>
      <c r="MFA222" s="1"/>
      <c r="MFB222" s="1"/>
      <c r="MFC222" s="1"/>
      <c r="MFD222" s="1"/>
      <c r="MFE222" s="1"/>
      <c r="MFF222" s="1"/>
      <c r="MFG222" s="1"/>
      <c r="MFH222" s="1"/>
      <c r="MFI222" s="1"/>
      <c r="MFJ222" s="1"/>
      <c r="MFK222" s="1"/>
      <c r="MFL222" s="1"/>
      <c r="MFM222" s="1"/>
      <c r="MFN222" s="1"/>
      <c r="MFO222" s="1"/>
      <c r="MFP222" s="1"/>
      <c r="MFQ222" s="1"/>
      <c r="MFR222" s="1"/>
      <c r="MFS222" s="1"/>
      <c r="MFT222" s="1"/>
      <c r="MFU222" s="1"/>
      <c r="MFV222" s="1"/>
      <c r="MFW222" s="1"/>
      <c r="MFX222" s="1"/>
      <c r="MFY222" s="1"/>
      <c r="MFZ222" s="1"/>
      <c r="MGA222" s="1"/>
      <c r="MGB222" s="1"/>
      <c r="MGC222" s="1"/>
      <c r="MGD222" s="1"/>
      <c r="MGE222" s="1"/>
      <c r="MGF222" s="1"/>
      <c r="MGG222" s="1"/>
      <c r="MGH222" s="1"/>
      <c r="MGI222" s="1"/>
      <c r="MGJ222" s="1"/>
      <c r="MGK222" s="1"/>
      <c r="MGL222" s="1"/>
      <c r="MGM222" s="1"/>
      <c r="MGN222" s="1"/>
      <c r="MGO222" s="1"/>
      <c r="MGP222" s="1"/>
      <c r="MGQ222" s="1"/>
      <c r="MGR222" s="1"/>
      <c r="MGS222" s="1"/>
      <c r="MGT222" s="1"/>
      <c r="MGU222" s="1"/>
      <c r="MGV222" s="1"/>
      <c r="MGW222" s="1"/>
      <c r="MGX222" s="1"/>
      <c r="MGY222" s="1"/>
      <c r="MGZ222" s="1"/>
      <c r="MHA222" s="1"/>
      <c r="MHB222" s="1"/>
      <c r="MHC222" s="1"/>
      <c r="MHD222" s="1"/>
      <c r="MHE222" s="1"/>
      <c r="MHF222" s="1"/>
      <c r="MHG222" s="1"/>
      <c r="MHH222" s="1"/>
      <c r="MHI222" s="1"/>
      <c r="MHJ222" s="1"/>
      <c r="MHK222" s="1"/>
      <c r="MHL222" s="1"/>
      <c r="MHM222" s="1"/>
      <c r="MHN222" s="1"/>
      <c r="MHO222" s="1"/>
      <c r="MHP222" s="1"/>
      <c r="MHQ222" s="1"/>
      <c r="MHR222" s="1"/>
      <c r="MHS222" s="1"/>
      <c r="MHT222" s="1"/>
      <c r="MHU222" s="1"/>
      <c r="MHV222" s="1"/>
      <c r="MHW222" s="1"/>
      <c r="MHX222" s="1"/>
      <c r="MHY222" s="1"/>
      <c r="MHZ222" s="1"/>
      <c r="MIA222" s="1"/>
      <c r="MIB222" s="1"/>
      <c r="MIC222" s="1"/>
      <c r="MID222" s="1"/>
      <c r="MIE222" s="1"/>
      <c r="MIF222" s="1"/>
      <c r="MIG222" s="1"/>
      <c r="MIH222" s="1"/>
      <c r="MII222" s="1"/>
      <c r="MIJ222" s="1"/>
      <c r="MIK222" s="1"/>
      <c r="MIL222" s="1"/>
      <c r="MIM222" s="1"/>
      <c r="MIN222" s="1"/>
      <c r="MIO222" s="1"/>
      <c r="MIP222" s="1"/>
      <c r="MIQ222" s="1"/>
      <c r="MIR222" s="1"/>
      <c r="MIS222" s="1"/>
      <c r="MIT222" s="1"/>
      <c r="MIU222" s="1"/>
      <c r="MIV222" s="1"/>
      <c r="MIW222" s="1"/>
      <c r="MIX222" s="1"/>
      <c r="MIY222" s="1"/>
      <c r="MIZ222" s="1"/>
      <c r="MJA222" s="1"/>
      <c r="MJB222" s="1"/>
      <c r="MJC222" s="1"/>
      <c r="MJD222" s="1"/>
      <c r="MJE222" s="1"/>
      <c r="MJF222" s="1"/>
      <c r="MJG222" s="1"/>
      <c r="MJH222" s="1"/>
      <c r="MJI222" s="1"/>
      <c r="MJJ222" s="1"/>
      <c r="MJK222" s="1"/>
      <c r="MJL222" s="1"/>
      <c r="MJM222" s="1"/>
      <c r="MJN222" s="1"/>
      <c r="MJO222" s="1"/>
      <c r="MJP222" s="1"/>
      <c r="MJQ222" s="1"/>
      <c r="MJR222" s="1"/>
      <c r="MJS222" s="1"/>
      <c r="MJT222" s="1"/>
      <c r="MJU222" s="1"/>
      <c r="MJV222" s="1"/>
      <c r="MJW222" s="1"/>
      <c r="MJX222" s="1"/>
      <c r="MJY222" s="1"/>
      <c r="MJZ222" s="1"/>
      <c r="MKA222" s="1"/>
      <c r="MKB222" s="1"/>
      <c r="MKC222" s="1"/>
      <c r="MKD222" s="1"/>
      <c r="MKE222" s="1"/>
      <c r="MKF222" s="1"/>
      <c r="MKG222" s="1"/>
      <c r="MKH222" s="1"/>
      <c r="MKI222" s="1"/>
      <c r="MKJ222" s="1"/>
      <c r="MKK222" s="1"/>
      <c r="MKL222" s="1"/>
      <c r="MKM222" s="1"/>
      <c r="MKN222" s="1"/>
      <c r="MKO222" s="1"/>
      <c r="MKP222" s="1"/>
      <c r="MKQ222" s="1"/>
      <c r="MKR222" s="1"/>
      <c r="MKS222" s="1"/>
      <c r="MKT222" s="1"/>
      <c r="MKU222" s="1"/>
      <c r="MKV222" s="1"/>
      <c r="MKW222" s="1"/>
      <c r="MKX222" s="1"/>
      <c r="MKY222" s="1"/>
      <c r="MKZ222" s="1"/>
      <c r="MLA222" s="1"/>
      <c r="MLB222" s="1"/>
      <c r="MLC222" s="1"/>
      <c r="MLD222" s="1"/>
      <c r="MLE222" s="1"/>
      <c r="MLF222" s="1"/>
      <c r="MLG222" s="1"/>
      <c r="MLH222" s="1"/>
      <c r="MLI222" s="1"/>
      <c r="MLJ222" s="1"/>
      <c r="MLK222" s="1"/>
      <c r="MLL222" s="1"/>
      <c r="MLM222" s="1"/>
      <c r="MLN222" s="1"/>
      <c r="MLO222" s="1"/>
      <c r="MLP222" s="1"/>
      <c r="MLQ222" s="1"/>
      <c r="MLR222" s="1"/>
      <c r="MLS222" s="1"/>
      <c r="MLT222" s="1"/>
      <c r="MLU222" s="1"/>
      <c r="MLV222" s="1"/>
      <c r="MLW222" s="1"/>
      <c r="MLX222" s="1"/>
      <c r="MLY222" s="1"/>
      <c r="MLZ222" s="1"/>
      <c r="MMA222" s="1"/>
      <c r="MMB222" s="1"/>
      <c r="MMC222" s="1"/>
      <c r="MMD222" s="1"/>
      <c r="MME222" s="1"/>
      <c r="MMF222" s="1"/>
      <c r="MMG222" s="1"/>
      <c r="MMH222" s="1"/>
      <c r="MMI222" s="1"/>
      <c r="MMJ222" s="1"/>
      <c r="MMK222" s="1"/>
      <c r="MML222" s="1"/>
      <c r="MMM222" s="1"/>
      <c r="MMN222" s="1"/>
      <c r="MMO222" s="1"/>
      <c r="MMP222" s="1"/>
      <c r="MMQ222" s="1"/>
      <c r="MMR222" s="1"/>
      <c r="MMS222" s="1"/>
      <c r="MMT222" s="1"/>
      <c r="MMU222" s="1"/>
      <c r="MMV222" s="1"/>
      <c r="MMW222" s="1"/>
      <c r="MMX222" s="1"/>
      <c r="MMY222" s="1"/>
      <c r="MMZ222" s="1"/>
      <c r="MNA222" s="1"/>
      <c r="MNB222" s="1"/>
      <c r="MNC222" s="1"/>
      <c r="MND222" s="1"/>
      <c r="MNE222" s="1"/>
      <c r="MNF222" s="1"/>
      <c r="MNG222" s="1"/>
      <c r="MNH222" s="1"/>
      <c r="MNI222" s="1"/>
      <c r="MNJ222" s="1"/>
      <c r="MNK222" s="1"/>
      <c r="MNL222" s="1"/>
      <c r="MNM222" s="1"/>
      <c r="MNN222" s="1"/>
      <c r="MNO222" s="1"/>
      <c r="MNP222" s="1"/>
      <c r="MNQ222" s="1"/>
      <c r="MNR222" s="1"/>
      <c r="MNS222" s="1"/>
      <c r="MNT222" s="1"/>
      <c r="MNU222" s="1"/>
      <c r="MNV222" s="1"/>
      <c r="MNW222" s="1"/>
      <c r="MNX222" s="1"/>
      <c r="MNY222" s="1"/>
      <c r="MNZ222" s="1"/>
      <c r="MOA222" s="1"/>
      <c r="MOB222" s="1"/>
      <c r="MOC222" s="1"/>
      <c r="MOD222" s="1"/>
      <c r="MOE222" s="1"/>
      <c r="MOF222" s="1"/>
      <c r="MOG222" s="1"/>
      <c r="MOH222" s="1"/>
      <c r="MOI222" s="1"/>
      <c r="MOJ222" s="1"/>
      <c r="MOK222" s="1"/>
      <c r="MOL222" s="1"/>
      <c r="MOM222" s="1"/>
      <c r="MON222" s="1"/>
      <c r="MOO222" s="1"/>
      <c r="MOP222" s="1"/>
      <c r="MOQ222" s="1"/>
      <c r="MOR222" s="1"/>
      <c r="MOS222" s="1"/>
      <c r="MOT222" s="1"/>
      <c r="MOU222" s="1"/>
      <c r="MOV222" s="1"/>
      <c r="MOW222" s="1"/>
      <c r="MOX222" s="1"/>
      <c r="MOY222" s="1"/>
      <c r="MOZ222" s="1"/>
      <c r="MPA222" s="1"/>
      <c r="MPB222" s="1"/>
      <c r="MPC222" s="1"/>
      <c r="MPD222" s="1"/>
      <c r="MPE222" s="1"/>
      <c r="MPF222" s="1"/>
      <c r="MPG222" s="1"/>
      <c r="MPH222" s="1"/>
      <c r="MPI222" s="1"/>
      <c r="MPJ222" s="1"/>
      <c r="MPK222" s="1"/>
      <c r="MPL222" s="1"/>
      <c r="MPM222" s="1"/>
      <c r="MPN222" s="1"/>
      <c r="MPO222" s="1"/>
      <c r="MPP222" s="1"/>
      <c r="MPQ222" s="1"/>
      <c r="MPR222" s="1"/>
      <c r="MPS222" s="1"/>
      <c r="MPT222" s="1"/>
      <c r="MPU222" s="1"/>
      <c r="MPV222" s="1"/>
      <c r="MPW222" s="1"/>
      <c r="MPX222" s="1"/>
      <c r="MPY222" s="1"/>
      <c r="MPZ222" s="1"/>
      <c r="MQA222" s="1"/>
      <c r="MQB222" s="1"/>
      <c r="MQC222" s="1"/>
      <c r="MQD222" s="1"/>
      <c r="MQE222" s="1"/>
      <c r="MQF222" s="1"/>
      <c r="MQG222" s="1"/>
      <c r="MQH222" s="1"/>
      <c r="MQI222" s="1"/>
      <c r="MQJ222" s="1"/>
      <c r="MQK222" s="1"/>
      <c r="MQL222" s="1"/>
      <c r="MQM222" s="1"/>
      <c r="MQN222" s="1"/>
      <c r="MQO222" s="1"/>
      <c r="MQP222" s="1"/>
      <c r="MQQ222" s="1"/>
      <c r="MQR222" s="1"/>
      <c r="MQS222" s="1"/>
      <c r="MQT222" s="1"/>
      <c r="MQU222" s="1"/>
      <c r="MQV222" s="1"/>
      <c r="MQW222" s="1"/>
      <c r="MQX222" s="1"/>
      <c r="MQY222" s="1"/>
      <c r="MQZ222" s="1"/>
      <c r="MRA222" s="1"/>
      <c r="MRB222" s="1"/>
      <c r="MRC222" s="1"/>
      <c r="MRD222" s="1"/>
      <c r="MRE222" s="1"/>
      <c r="MRF222" s="1"/>
      <c r="MRG222" s="1"/>
      <c r="MRH222" s="1"/>
      <c r="MRI222" s="1"/>
      <c r="MRJ222" s="1"/>
      <c r="MRK222" s="1"/>
      <c r="MRL222" s="1"/>
      <c r="MRM222" s="1"/>
      <c r="MRN222" s="1"/>
      <c r="MRO222" s="1"/>
      <c r="MRP222" s="1"/>
      <c r="MRQ222" s="1"/>
      <c r="MRR222" s="1"/>
      <c r="MRS222" s="1"/>
      <c r="MRT222" s="1"/>
      <c r="MRU222" s="1"/>
      <c r="MRV222" s="1"/>
      <c r="MRW222" s="1"/>
      <c r="MRX222" s="1"/>
      <c r="MRY222" s="1"/>
      <c r="MRZ222" s="1"/>
      <c r="MSA222" s="1"/>
      <c r="MSB222" s="1"/>
      <c r="MSC222" s="1"/>
      <c r="MSD222" s="1"/>
      <c r="MSE222" s="1"/>
      <c r="MSF222" s="1"/>
      <c r="MSG222" s="1"/>
      <c r="MSH222" s="1"/>
      <c r="MSI222" s="1"/>
      <c r="MSJ222" s="1"/>
      <c r="MSK222" s="1"/>
      <c r="MSL222" s="1"/>
      <c r="MSM222" s="1"/>
      <c r="MSN222" s="1"/>
      <c r="MSO222" s="1"/>
      <c r="MSP222" s="1"/>
      <c r="MSQ222" s="1"/>
      <c r="MSR222" s="1"/>
      <c r="MSS222" s="1"/>
      <c r="MST222" s="1"/>
      <c r="MSU222" s="1"/>
      <c r="MSV222" s="1"/>
      <c r="MSW222" s="1"/>
      <c r="MSX222" s="1"/>
      <c r="MSY222" s="1"/>
      <c r="MSZ222" s="1"/>
      <c r="MTA222" s="1"/>
      <c r="MTB222" s="1"/>
      <c r="MTC222" s="1"/>
      <c r="MTD222" s="1"/>
      <c r="MTE222" s="1"/>
      <c r="MTF222" s="1"/>
      <c r="MTG222" s="1"/>
      <c r="MTH222" s="1"/>
      <c r="MTI222" s="1"/>
      <c r="MTJ222" s="1"/>
      <c r="MTK222" s="1"/>
      <c r="MTL222" s="1"/>
      <c r="MTM222" s="1"/>
      <c r="MTN222" s="1"/>
      <c r="MTO222" s="1"/>
      <c r="MTP222" s="1"/>
      <c r="MTQ222" s="1"/>
      <c r="MTR222" s="1"/>
      <c r="MTS222" s="1"/>
      <c r="MTT222" s="1"/>
      <c r="MTU222" s="1"/>
      <c r="MTV222" s="1"/>
      <c r="MTW222" s="1"/>
      <c r="MTX222" s="1"/>
      <c r="MTY222" s="1"/>
      <c r="MTZ222" s="1"/>
      <c r="MUA222" s="1"/>
      <c r="MUB222" s="1"/>
      <c r="MUC222" s="1"/>
      <c r="MUD222" s="1"/>
      <c r="MUE222" s="1"/>
      <c r="MUF222" s="1"/>
      <c r="MUG222" s="1"/>
      <c r="MUH222" s="1"/>
      <c r="MUI222" s="1"/>
      <c r="MUJ222" s="1"/>
      <c r="MUK222" s="1"/>
      <c r="MUL222" s="1"/>
      <c r="MUM222" s="1"/>
      <c r="MUN222" s="1"/>
      <c r="MUO222" s="1"/>
      <c r="MUP222" s="1"/>
      <c r="MUQ222" s="1"/>
      <c r="MUR222" s="1"/>
      <c r="MUS222" s="1"/>
      <c r="MUT222" s="1"/>
      <c r="MUU222" s="1"/>
      <c r="MUV222" s="1"/>
      <c r="MUW222" s="1"/>
      <c r="MUX222" s="1"/>
      <c r="MUY222" s="1"/>
      <c r="MUZ222" s="1"/>
      <c r="MVA222" s="1"/>
      <c r="MVB222" s="1"/>
      <c r="MVC222" s="1"/>
      <c r="MVD222" s="1"/>
      <c r="MVE222" s="1"/>
      <c r="MVF222" s="1"/>
      <c r="MVG222" s="1"/>
      <c r="MVH222" s="1"/>
      <c r="MVI222" s="1"/>
      <c r="MVJ222" s="1"/>
      <c r="MVK222" s="1"/>
      <c r="MVL222" s="1"/>
      <c r="MVM222" s="1"/>
      <c r="MVN222" s="1"/>
      <c r="MVO222" s="1"/>
      <c r="MVP222" s="1"/>
      <c r="MVQ222" s="1"/>
      <c r="MVR222" s="1"/>
      <c r="MVS222" s="1"/>
      <c r="MVT222" s="1"/>
      <c r="MVU222" s="1"/>
      <c r="MVV222" s="1"/>
      <c r="MVW222" s="1"/>
      <c r="MVX222" s="1"/>
      <c r="MVY222" s="1"/>
      <c r="MVZ222" s="1"/>
      <c r="MWA222" s="1"/>
      <c r="MWB222" s="1"/>
      <c r="MWC222" s="1"/>
      <c r="MWD222" s="1"/>
      <c r="MWE222" s="1"/>
      <c r="MWF222" s="1"/>
      <c r="MWG222" s="1"/>
      <c r="MWH222" s="1"/>
      <c r="MWI222" s="1"/>
      <c r="MWJ222" s="1"/>
      <c r="MWK222" s="1"/>
      <c r="MWL222" s="1"/>
      <c r="MWM222" s="1"/>
      <c r="MWN222" s="1"/>
      <c r="MWO222" s="1"/>
      <c r="MWP222" s="1"/>
      <c r="MWQ222" s="1"/>
      <c r="MWR222" s="1"/>
      <c r="MWS222" s="1"/>
      <c r="MWT222" s="1"/>
      <c r="MWU222" s="1"/>
      <c r="MWV222" s="1"/>
      <c r="MWW222" s="1"/>
      <c r="MWX222" s="1"/>
      <c r="MWY222" s="1"/>
      <c r="MWZ222" s="1"/>
      <c r="MXA222" s="1"/>
      <c r="MXB222" s="1"/>
      <c r="MXC222" s="1"/>
      <c r="MXD222" s="1"/>
      <c r="MXE222" s="1"/>
      <c r="MXF222" s="1"/>
      <c r="MXG222" s="1"/>
      <c r="MXH222" s="1"/>
      <c r="MXI222" s="1"/>
      <c r="MXJ222" s="1"/>
      <c r="MXK222" s="1"/>
      <c r="MXL222" s="1"/>
      <c r="MXM222" s="1"/>
      <c r="MXN222" s="1"/>
      <c r="MXO222" s="1"/>
      <c r="MXP222" s="1"/>
      <c r="MXQ222" s="1"/>
      <c r="MXR222" s="1"/>
      <c r="MXS222" s="1"/>
      <c r="MXT222" s="1"/>
      <c r="MXU222" s="1"/>
      <c r="MXV222" s="1"/>
      <c r="MXW222" s="1"/>
      <c r="MXX222" s="1"/>
      <c r="MXY222" s="1"/>
      <c r="MXZ222" s="1"/>
      <c r="MYA222" s="1"/>
      <c r="MYB222" s="1"/>
      <c r="MYC222" s="1"/>
      <c r="MYD222" s="1"/>
      <c r="MYE222" s="1"/>
      <c r="MYF222" s="1"/>
      <c r="MYG222" s="1"/>
      <c r="MYH222" s="1"/>
      <c r="MYI222" s="1"/>
      <c r="MYJ222" s="1"/>
      <c r="MYK222" s="1"/>
      <c r="MYL222" s="1"/>
      <c r="MYM222" s="1"/>
      <c r="MYN222" s="1"/>
      <c r="MYO222" s="1"/>
      <c r="MYP222" s="1"/>
      <c r="MYQ222" s="1"/>
      <c r="MYR222" s="1"/>
      <c r="MYS222" s="1"/>
      <c r="MYT222" s="1"/>
      <c r="MYU222" s="1"/>
      <c r="MYV222" s="1"/>
      <c r="MYW222" s="1"/>
      <c r="MYX222" s="1"/>
      <c r="MYY222" s="1"/>
      <c r="MYZ222" s="1"/>
      <c r="MZA222" s="1"/>
      <c r="MZB222" s="1"/>
      <c r="MZC222" s="1"/>
      <c r="MZD222" s="1"/>
      <c r="MZE222" s="1"/>
      <c r="MZF222" s="1"/>
      <c r="MZG222" s="1"/>
      <c r="MZH222" s="1"/>
      <c r="MZI222" s="1"/>
      <c r="MZJ222" s="1"/>
      <c r="MZK222" s="1"/>
      <c r="MZL222" s="1"/>
      <c r="MZM222" s="1"/>
      <c r="MZN222" s="1"/>
      <c r="MZO222" s="1"/>
      <c r="MZP222" s="1"/>
      <c r="MZQ222" s="1"/>
      <c r="MZR222" s="1"/>
      <c r="MZS222" s="1"/>
      <c r="MZT222" s="1"/>
      <c r="MZU222" s="1"/>
      <c r="MZV222" s="1"/>
      <c r="MZW222" s="1"/>
      <c r="MZX222" s="1"/>
      <c r="MZY222" s="1"/>
      <c r="MZZ222" s="1"/>
      <c r="NAA222" s="1"/>
      <c r="NAB222" s="1"/>
      <c r="NAC222" s="1"/>
      <c r="NAD222" s="1"/>
      <c r="NAE222" s="1"/>
      <c r="NAF222" s="1"/>
      <c r="NAG222" s="1"/>
      <c r="NAH222" s="1"/>
      <c r="NAI222" s="1"/>
      <c r="NAJ222" s="1"/>
      <c r="NAK222" s="1"/>
      <c r="NAL222" s="1"/>
      <c r="NAM222" s="1"/>
      <c r="NAN222" s="1"/>
      <c r="NAO222" s="1"/>
      <c r="NAP222" s="1"/>
      <c r="NAQ222" s="1"/>
      <c r="NAR222" s="1"/>
      <c r="NAS222" s="1"/>
      <c r="NAT222" s="1"/>
      <c r="NAU222" s="1"/>
      <c r="NAV222" s="1"/>
      <c r="NAW222" s="1"/>
      <c r="NAX222" s="1"/>
      <c r="NAY222" s="1"/>
      <c r="NAZ222" s="1"/>
      <c r="NBA222" s="1"/>
      <c r="NBB222" s="1"/>
      <c r="NBC222" s="1"/>
      <c r="NBD222" s="1"/>
      <c r="NBE222" s="1"/>
      <c r="NBF222" s="1"/>
      <c r="NBG222" s="1"/>
      <c r="NBH222" s="1"/>
      <c r="NBI222" s="1"/>
      <c r="NBJ222" s="1"/>
      <c r="NBK222" s="1"/>
      <c r="NBL222" s="1"/>
      <c r="NBM222" s="1"/>
      <c r="NBN222" s="1"/>
      <c r="NBO222" s="1"/>
      <c r="NBP222" s="1"/>
      <c r="NBQ222" s="1"/>
      <c r="NBR222" s="1"/>
      <c r="NBS222" s="1"/>
      <c r="NBT222" s="1"/>
      <c r="NBU222" s="1"/>
      <c r="NBV222" s="1"/>
      <c r="NBW222" s="1"/>
      <c r="NBX222" s="1"/>
      <c r="NBY222" s="1"/>
      <c r="NBZ222" s="1"/>
      <c r="NCA222" s="1"/>
      <c r="NCB222" s="1"/>
      <c r="NCC222" s="1"/>
      <c r="NCD222" s="1"/>
      <c r="NCE222" s="1"/>
      <c r="NCF222" s="1"/>
      <c r="NCG222" s="1"/>
      <c r="NCH222" s="1"/>
      <c r="NCI222" s="1"/>
      <c r="NCJ222" s="1"/>
      <c r="NCK222" s="1"/>
      <c r="NCL222" s="1"/>
      <c r="NCM222" s="1"/>
      <c r="NCN222" s="1"/>
      <c r="NCO222" s="1"/>
      <c r="NCP222" s="1"/>
      <c r="NCQ222" s="1"/>
      <c r="NCR222" s="1"/>
      <c r="NCS222" s="1"/>
      <c r="NCT222" s="1"/>
      <c r="NCU222" s="1"/>
      <c r="NCV222" s="1"/>
      <c r="NCW222" s="1"/>
      <c r="NCX222" s="1"/>
      <c r="NCY222" s="1"/>
      <c r="NCZ222" s="1"/>
      <c r="NDA222" s="1"/>
      <c r="NDB222" s="1"/>
      <c r="NDC222" s="1"/>
      <c r="NDD222" s="1"/>
      <c r="NDE222" s="1"/>
      <c r="NDF222" s="1"/>
      <c r="NDG222" s="1"/>
      <c r="NDH222" s="1"/>
      <c r="NDI222" s="1"/>
      <c r="NDJ222" s="1"/>
      <c r="NDK222" s="1"/>
      <c r="NDL222" s="1"/>
      <c r="NDM222" s="1"/>
      <c r="NDN222" s="1"/>
      <c r="NDO222" s="1"/>
      <c r="NDP222" s="1"/>
      <c r="NDQ222" s="1"/>
      <c r="NDR222" s="1"/>
      <c r="NDS222" s="1"/>
      <c r="NDT222" s="1"/>
      <c r="NDU222" s="1"/>
      <c r="NDV222" s="1"/>
      <c r="NDW222" s="1"/>
      <c r="NDX222" s="1"/>
      <c r="NDY222" s="1"/>
      <c r="NDZ222" s="1"/>
      <c r="NEA222" s="1"/>
      <c r="NEB222" s="1"/>
      <c r="NEC222" s="1"/>
      <c r="NED222" s="1"/>
      <c r="NEE222" s="1"/>
      <c r="NEF222" s="1"/>
      <c r="NEG222" s="1"/>
      <c r="NEH222" s="1"/>
      <c r="NEI222" s="1"/>
      <c r="NEJ222" s="1"/>
      <c r="NEK222" s="1"/>
      <c r="NEL222" s="1"/>
      <c r="NEM222" s="1"/>
      <c r="NEN222" s="1"/>
      <c r="NEO222" s="1"/>
      <c r="NEP222" s="1"/>
      <c r="NEQ222" s="1"/>
      <c r="NER222" s="1"/>
      <c r="NES222" s="1"/>
      <c r="NET222" s="1"/>
      <c r="NEU222" s="1"/>
      <c r="NEV222" s="1"/>
      <c r="NEW222" s="1"/>
      <c r="NEX222" s="1"/>
      <c r="NEY222" s="1"/>
      <c r="NEZ222" s="1"/>
      <c r="NFA222" s="1"/>
      <c r="NFB222" s="1"/>
      <c r="NFC222" s="1"/>
      <c r="NFD222" s="1"/>
      <c r="NFE222" s="1"/>
      <c r="NFF222" s="1"/>
      <c r="NFG222" s="1"/>
      <c r="NFH222" s="1"/>
      <c r="NFI222" s="1"/>
      <c r="NFJ222" s="1"/>
      <c r="NFK222" s="1"/>
      <c r="NFL222" s="1"/>
      <c r="NFM222" s="1"/>
      <c r="NFN222" s="1"/>
      <c r="NFO222" s="1"/>
      <c r="NFP222" s="1"/>
      <c r="NFQ222" s="1"/>
      <c r="NFR222" s="1"/>
      <c r="NFS222" s="1"/>
      <c r="NFT222" s="1"/>
      <c r="NFU222" s="1"/>
      <c r="NFV222" s="1"/>
      <c r="NFW222" s="1"/>
      <c r="NFX222" s="1"/>
      <c r="NFY222" s="1"/>
      <c r="NFZ222" s="1"/>
      <c r="NGA222" s="1"/>
      <c r="NGB222" s="1"/>
      <c r="NGC222" s="1"/>
      <c r="NGD222" s="1"/>
      <c r="NGE222" s="1"/>
      <c r="NGF222" s="1"/>
      <c r="NGG222" s="1"/>
      <c r="NGH222" s="1"/>
      <c r="NGI222" s="1"/>
      <c r="NGJ222" s="1"/>
      <c r="NGK222" s="1"/>
      <c r="NGL222" s="1"/>
      <c r="NGM222" s="1"/>
      <c r="NGN222" s="1"/>
      <c r="NGO222" s="1"/>
      <c r="NGP222" s="1"/>
      <c r="NGQ222" s="1"/>
      <c r="NGR222" s="1"/>
      <c r="NGS222" s="1"/>
      <c r="NGT222" s="1"/>
      <c r="NGU222" s="1"/>
      <c r="NGV222" s="1"/>
      <c r="NGW222" s="1"/>
      <c r="NGX222" s="1"/>
      <c r="NGY222" s="1"/>
      <c r="NGZ222" s="1"/>
      <c r="NHA222" s="1"/>
      <c r="NHB222" s="1"/>
      <c r="NHC222" s="1"/>
      <c r="NHD222" s="1"/>
      <c r="NHE222" s="1"/>
      <c r="NHF222" s="1"/>
      <c r="NHG222" s="1"/>
      <c r="NHH222" s="1"/>
      <c r="NHI222" s="1"/>
      <c r="NHJ222" s="1"/>
      <c r="NHK222" s="1"/>
      <c r="NHL222" s="1"/>
      <c r="NHM222" s="1"/>
      <c r="NHN222" s="1"/>
      <c r="NHO222" s="1"/>
      <c r="NHP222" s="1"/>
      <c r="NHQ222" s="1"/>
      <c r="NHR222" s="1"/>
      <c r="NHS222" s="1"/>
      <c r="NHT222" s="1"/>
      <c r="NHU222" s="1"/>
      <c r="NHV222" s="1"/>
      <c r="NHW222" s="1"/>
      <c r="NHX222" s="1"/>
      <c r="NHY222" s="1"/>
      <c r="NHZ222" s="1"/>
      <c r="NIA222" s="1"/>
      <c r="NIB222" s="1"/>
      <c r="NIC222" s="1"/>
      <c r="NID222" s="1"/>
      <c r="NIE222" s="1"/>
      <c r="NIF222" s="1"/>
      <c r="NIG222" s="1"/>
      <c r="NIH222" s="1"/>
      <c r="NII222" s="1"/>
      <c r="NIJ222" s="1"/>
      <c r="NIK222" s="1"/>
      <c r="NIL222" s="1"/>
      <c r="NIM222" s="1"/>
      <c r="NIN222" s="1"/>
      <c r="NIO222" s="1"/>
      <c r="NIP222" s="1"/>
      <c r="NIQ222" s="1"/>
      <c r="NIR222" s="1"/>
      <c r="NIS222" s="1"/>
      <c r="NIT222" s="1"/>
      <c r="NIU222" s="1"/>
      <c r="NIV222" s="1"/>
      <c r="NIW222" s="1"/>
      <c r="NIX222" s="1"/>
      <c r="NIY222" s="1"/>
      <c r="NIZ222" s="1"/>
      <c r="NJA222" s="1"/>
      <c r="NJB222" s="1"/>
      <c r="NJC222" s="1"/>
      <c r="NJD222" s="1"/>
      <c r="NJE222" s="1"/>
      <c r="NJF222" s="1"/>
      <c r="NJG222" s="1"/>
      <c r="NJH222" s="1"/>
      <c r="NJI222" s="1"/>
      <c r="NJJ222" s="1"/>
      <c r="NJK222" s="1"/>
      <c r="NJL222" s="1"/>
      <c r="NJM222" s="1"/>
      <c r="NJN222" s="1"/>
      <c r="NJO222" s="1"/>
      <c r="NJP222" s="1"/>
      <c r="NJQ222" s="1"/>
      <c r="NJR222" s="1"/>
      <c r="NJS222" s="1"/>
      <c r="NJT222" s="1"/>
      <c r="NJU222" s="1"/>
      <c r="NJV222" s="1"/>
      <c r="NJW222" s="1"/>
      <c r="NJX222" s="1"/>
      <c r="NJY222" s="1"/>
      <c r="NJZ222" s="1"/>
      <c r="NKA222" s="1"/>
      <c r="NKB222" s="1"/>
      <c r="NKC222" s="1"/>
      <c r="NKD222" s="1"/>
      <c r="NKE222" s="1"/>
      <c r="NKF222" s="1"/>
      <c r="NKG222" s="1"/>
      <c r="NKH222" s="1"/>
      <c r="NKI222" s="1"/>
      <c r="NKJ222" s="1"/>
      <c r="NKK222" s="1"/>
      <c r="NKL222" s="1"/>
      <c r="NKM222" s="1"/>
      <c r="NKN222" s="1"/>
      <c r="NKO222" s="1"/>
      <c r="NKP222" s="1"/>
      <c r="NKQ222" s="1"/>
      <c r="NKR222" s="1"/>
      <c r="NKS222" s="1"/>
      <c r="NKT222" s="1"/>
      <c r="NKU222" s="1"/>
      <c r="NKV222" s="1"/>
      <c r="NKW222" s="1"/>
      <c r="NKX222" s="1"/>
      <c r="NKY222" s="1"/>
      <c r="NKZ222" s="1"/>
      <c r="NLA222" s="1"/>
      <c r="NLB222" s="1"/>
      <c r="NLC222" s="1"/>
      <c r="NLD222" s="1"/>
      <c r="NLE222" s="1"/>
      <c r="NLF222" s="1"/>
      <c r="NLG222" s="1"/>
      <c r="NLH222" s="1"/>
      <c r="NLI222" s="1"/>
      <c r="NLJ222" s="1"/>
      <c r="NLK222" s="1"/>
      <c r="NLL222" s="1"/>
      <c r="NLM222" s="1"/>
      <c r="NLN222" s="1"/>
      <c r="NLO222" s="1"/>
      <c r="NLP222" s="1"/>
      <c r="NLQ222" s="1"/>
      <c r="NLR222" s="1"/>
      <c r="NLS222" s="1"/>
      <c r="NLT222" s="1"/>
      <c r="NLU222" s="1"/>
      <c r="NLV222" s="1"/>
      <c r="NLW222" s="1"/>
      <c r="NLX222" s="1"/>
      <c r="NLY222" s="1"/>
      <c r="NLZ222" s="1"/>
      <c r="NMA222" s="1"/>
      <c r="NMB222" s="1"/>
      <c r="NMC222" s="1"/>
      <c r="NMD222" s="1"/>
      <c r="NME222" s="1"/>
      <c r="NMF222" s="1"/>
      <c r="NMG222" s="1"/>
      <c r="NMH222" s="1"/>
      <c r="NMI222" s="1"/>
      <c r="NMJ222" s="1"/>
      <c r="NMK222" s="1"/>
      <c r="NML222" s="1"/>
      <c r="NMM222" s="1"/>
      <c r="NMN222" s="1"/>
      <c r="NMO222" s="1"/>
      <c r="NMP222" s="1"/>
      <c r="NMQ222" s="1"/>
      <c r="NMR222" s="1"/>
      <c r="NMS222" s="1"/>
      <c r="NMT222" s="1"/>
      <c r="NMU222" s="1"/>
      <c r="NMV222" s="1"/>
      <c r="NMW222" s="1"/>
      <c r="NMX222" s="1"/>
      <c r="NMY222" s="1"/>
      <c r="NMZ222" s="1"/>
      <c r="NNA222" s="1"/>
      <c r="NNB222" s="1"/>
      <c r="NNC222" s="1"/>
      <c r="NND222" s="1"/>
      <c r="NNE222" s="1"/>
      <c r="NNF222" s="1"/>
      <c r="NNG222" s="1"/>
      <c r="NNH222" s="1"/>
      <c r="NNI222" s="1"/>
      <c r="NNJ222" s="1"/>
      <c r="NNK222" s="1"/>
      <c r="NNL222" s="1"/>
      <c r="NNM222" s="1"/>
      <c r="NNN222" s="1"/>
      <c r="NNO222" s="1"/>
      <c r="NNP222" s="1"/>
      <c r="NNQ222" s="1"/>
      <c r="NNR222" s="1"/>
      <c r="NNS222" s="1"/>
      <c r="NNT222" s="1"/>
      <c r="NNU222" s="1"/>
      <c r="NNV222" s="1"/>
      <c r="NNW222" s="1"/>
      <c r="NNX222" s="1"/>
      <c r="NNY222" s="1"/>
      <c r="NNZ222" s="1"/>
      <c r="NOA222" s="1"/>
      <c r="NOB222" s="1"/>
      <c r="NOC222" s="1"/>
      <c r="NOD222" s="1"/>
      <c r="NOE222" s="1"/>
      <c r="NOF222" s="1"/>
      <c r="NOG222" s="1"/>
      <c r="NOH222" s="1"/>
      <c r="NOI222" s="1"/>
      <c r="NOJ222" s="1"/>
      <c r="NOK222" s="1"/>
      <c r="NOL222" s="1"/>
      <c r="NOM222" s="1"/>
      <c r="NON222" s="1"/>
      <c r="NOO222" s="1"/>
      <c r="NOP222" s="1"/>
      <c r="NOQ222" s="1"/>
      <c r="NOR222" s="1"/>
      <c r="NOS222" s="1"/>
      <c r="NOT222" s="1"/>
      <c r="NOU222" s="1"/>
      <c r="NOV222" s="1"/>
      <c r="NOW222" s="1"/>
      <c r="NOX222" s="1"/>
      <c r="NOY222" s="1"/>
      <c r="NOZ222" s="1"/>
      <c r="NPA222" s="1"/>
      <c r="NPB222" s="1"/>
      <c r="NPC222" s="1"/>
      <c r="NPD222" s="1"/>
      <c r="NPE222" s="1"/>
      <c r="NPF222" s="1"/>
      <c r="NPG222" s="1"/>
      <c r="NPH222" s="1"/>
      <c r="NPI222" s="1"/>
      <c r="NPJ222" s="1"/>
      <c r="NPK222" s="1"/>
      <c r="NPL222" s="1"/>
      <c r="NPM222" s="1"/>
      <c r="NPN222" s="1"/>
      <c r="NPO222" s="1"/>
      <c r="NPP222" s="1"/>
      <c r="NPQ222" s="1"/>
      <c r="NPR222" s="1"/>
      <c r="NPS222" s="1"/>
      <c r="NPT222" s="1"/>
      <c r="NPU222" s="1"/>
      <c r="NPV222" s="1"/>
      <c r="NPW222" s="1"/>
      <c r="NPX222" s="1"/>
      <c r="NPY222" s="1"/>
      <c r="NPZ222" s="1"/>
      <c r="NQA222" s="1"/>
      <c r="NQB222" s="1"/>
      <c r="NQC222" s="1"/>
      <c r="NQD222" s="1"/>
      <c r="NQE222" s="1"/>
      <c r="NQF222" s="1"/>
      <c r="NQG222" s="1"/>
      <c r="NQH222" s="1"/>
      <c r="NQI222" s="1"/>
      <c r="NQJ222" s="1"/>
      <c r="NQK222" s="1"/>
      <c r="NQL222" s="1"/>
      <c r="NQM222" s="1"/>
      <c r="NQN222" s="1"/>
      <c r="NQO222" s="1"/>
      <c r="NQP222" s="1"/>
      <c r="NQQ222" s="1"/>
      <c r="NQR222" s="1"/>
      <c r="NQS222" s="1"/>
      <c r="NQT222" s="1"/>
      <c r="NQU222" s="1"/>
      <c r="NQV222" s="1"/>
      <c r="NQW222" s="1"/>
      <c r="NQX222" s="1"/>
      <c r="NQY222" s="1"/>
      <c r="NQZ222" s="1"/>
      <c r="NRA222" s="1"/>
      <c r="NRB222" s="1"/>
      <c r="NRC222" s="1"/>
      <c r="NRD222" s="1"/>
      <c r="NRE222" s="1"/>
      <c r="NRF222" s="1"/>
      <c r="NRG222" s="1"/>
      <c r="NRH222" s="1"/>
      <c r="NRI222" s="1"/>
      <c r="NRJ222" s="1"/>
      <c r="NRK222" s="1"/>
      <c r="NRL222" s="1"/>
      <c r="NRM222" s="1"/>
      <c r="NRN222" s="1"/>
      <c r="NRO222" s="1"/>
      <c r="NRP222" s="1"/>
      <c r="NRQ222" s="1"/>
      <c r="NRR222" s="1"/>
      <c r="NRS222" s="1"/>
      <c r="NRT222" s="1"/>
      <c r="NRU222" s="1"/>
      <c r="NRV222" s="1"/>
      <c r="NRW222" s="1"/>
      <c r="NRX222" s="1"/>
      <c r="NRY222" s="1"/>
      <c r="NRZ222" s="1"/>
      <c r="NSA222" s="1"/>
      <c r="NSB222" s="1"/>
      <c r="NSC222" s="1"/>
      <c r="NSD222" s="1"/>
      <c r="NSE222" s="1"/>
      <c r="NSF222" s="1"/>
      <c r="NSG222" s="1"/>
      <c r="NSH222" s="1"/>
      <c r="NSI222" s="1"/>
      <c r="NSJ222" s="1"/>
      <c r="NSK222" s="1"/>
      <c r="NSL222" s="1"/>
      <c r="NSM222" s="1"/>
      <c r="NSN222" s="1"/>
      <c r="NSO222" s="1"/>
      <c r="NSP222" s="1"/>
      <c r="NSQ222" s="1"/>
      <c r="NSR222" s="1"/>
      <c r="NSS222" s="1"/>
      <c r="NST222" s="1"/>
      <c r="NSU222" s="1"/>
      <c r="NSV222" s="1"/>
      <c r="NSW222" s="1"/>
      <c r="NSX222" s="1"/>
      <c r="NSY222" s="1"/>
      <c r="NSZ222" s="1"/>
      <c r="NTA222" s="1"/>
      <c r="NTB222" s="1"/>
      <c r="NTC222" s="1"/>
      <c r="NTD222" s="1"/>
      <c r="NTE222" s="1"/>
      <c r="NTF222" s="1"/>
      <c r="NTG222" s="1"/>
      <c r="NTH222" s="1"/>
      <c r="NTI222" s="1"/>
      <c r="NTJ222" s="1"/>
      <c r="NTK222" s="1"/>
      <c r="NTL222" s="1"/>
      <c r="NTM222" s="1"/>
      <c r="NTN222" s="1"/>
      <c r="NTO222" s="1"/>
      <c r="NTP222" s="1"/>
      <c r="NTQ222" s="1"/>
      <c r="NTR222" s="1"/>
      <c r="NTS222" s="1"/>
      <c r="NTT222" s="1"/>
      <c r="NTU222" s="1"/>
      <c r="NTV222" s="1"/>
      <c r="NTW222" s="1"/>
      <c r="NTX222" s="1"/>
      <c r="NTY222" s="1"/>
      <c r="NTZ222" s="1"/>
      <c r="NUA222" s="1"/>
      <c r="NUB222" s="1"/>
      <c r="NUC222" s="1"/>
      <c r="NUD222" s="1"/>
      <c r="NUE222" s="1"/>
      <c r="NUF222" s="1"/>
      <c r="NUG222" s="1"/>
      <c r="NUH222" s="1"/>
      <c r="NUI222" s="1"/>
      <c r="NUJ222" s="1"/>
      <c r="NUK222" s="1"/>
      <c r="NUL222" s="1"/>
      <c r="NUM222" s="1"/>
      <c r="NUN222" s="1"/>
      <c r="NUO222" s="1"/>
      <c r="NUP222" s="1"/>
      <c r="NUQ222" s="1"/>
      <c r="NUR222" s="1"/>
      <c r="NUS222" s="1"/>
      <c r="NUT222" s="1"/>
      <c r="NUU222" s="1"/>
      <c r="NUV222" s="1"/>
      <c r="NUW222" s="1"/>
      <c r="NUX222" s="1"/>
      <c r="NUY222" s="1"/>
      <c r="NUZ222" s="1"/>
      <c r="NVA222" s="1"/>
      <c r="NVB222" s="1"/>
      <c r="NVC222" s="1"/>
      <c r="NVD222" s="1"/>
      <c r="NVE222" s="1"/>
      <c r="NVF222" s="1"/>
      <c r="NVG222" s="1"/>
      <c r="NVH222" s="1"/>
      <c r="NVI222" s="1"/>
      <c r="NVJ222" s="1"/>
      <c r="NVK222" s="1"/>
      <c r="NVL222" s="1"/>
      <c r="NVM222" s="1"/>
      <c r="NVN222" s="1"/>
      <c r="NVO222" s="1"/>
      <c r="NVP222" s="1"/>
      <c r="NVQ222" s="1"/>
      <c r="NVR222" s="1"/>
      <c r="NVS222" s="1"/>
      <c r="NVT222" s="1"/>
      <c r="NVU222" s="1"/>
      <c r="NVV222" s="1"/>
      <c r="NVW222" s="1"/>
      <c r="NVX222" s="1"/>
      <c r="NVY222" s="1"/>
      <c r="NVZ222" s="1"/>
      <c r="NWA222" s="1"/>
      <c r="NWB222" s="1"/>
      <c r="NWC222" s="1"/>
      <c r="NWD222" s="1"/>
      <c r="NWE222" s="1"/>
      <c r="NWF222" s="1"/>
      <c r="NWG222" s="1"/>
      <c r="NWH222" s="1"/>
      <c r="NWI222" s="1"/>
      <c r="NWJ222" s="1"/>
      <c r="NWK222" s="1"/>
      <c r="NWL222" s="1"/>
      <c r="NWM222" s="1"/>
      <c r="NWN222" s="1"/>
      <c r="NWO222" s="1"/>
      <c r="NWP222" s="1"/>
      <c r="NWQ222" s="1"/>
      <c r="NWR222" s="1"/>
      <c r="NWS222" s="1"/>
      <c r="NWT222" s="1"/>
      <c r="NWU222" s="1"/>
      <c r="NWV222" s="1"/>
      <c r="NWW222" s="1"/>
      <c r="NWX222" s="1"/>
      <c r="NWY222" s="1"/>
      <c r="NWZ222" s="1"/>
      <c r="NXA222" s="1"/>
      <c r="NXB222" s="1"/>
      <c r="NXC222" s="1"/>
      <c r="NXD222" s="1"/>
      <c r="NXE222" s="1"/>
      <c r="NXF222" s="1"/>
      <c r="NXG222" s="1"/>
      <c r="NXH222" s="1"/>
      <c r="NXI222" s="1"/>
      <c r="NXJ222" s="1"/>
      <c r="NXK222" s="1"/>
      <c r="NXL222" s="1"/>
      <c r="NXM222" s="1"/>
      <c r="NXN222" s="1"/>
      <c r="NXO222" s="1"/>
      <c r="NXP222" s="1"/>
      <c r="NXQ222" s="1"/>
      <c r="NXR222" s="1"/>
      <c r="NXS222" s="1"/>
      <c r="NXT222" s="1"/>
      <c r="NXU222" s="1"/>
      <c r="NXV222" s="1"/>
      <c r="NXW222" s="1"/>
      <c r="NXX222" s="1"/>
      <c r="NXY222" s="1"/>
      <c r="NXZ222" s="1"/>
      <c r="NYA222" s="1"/>
      <c r="NYB222" s="1"/>
      <c r="NYC222" s="1"/>
      <c r="NYD222" s="1"/>
      <c r="NYE222" s="1"/>
      <c r="NYF222" s="1"/>
      <c r="NYG222" s="1"/>
      <c r="NYH222" s="1"/>
      <c r="NYI222" s="1"/>
      <c r="NYJ222" s="1"/>
      <c r="NYK222" s="1"/>
      <c r="NYL222" s="1"/>
      <c r="NYM222" s="1"/>
      <c r="NYN222" s="1"/>
      <c r="NYO222" s="1"/>
      <c r="NYP222" s="1"/>
      <c r="NYQ222" s="1"/>
      <c r="NYR222" s="1"/>
      <c r="NYS222" s="1"/>
      <c r="NYT222" s="1"/>
      <c r="NYU222" s="1"/>
      <c r="NYV222" s="1"/>
      <c r="NYW222" s="1"/>
      <c r="NYX222" s="1"/>
      <c r="NYY222" s="1"/>
      <c r="NYZ222" s="1"/>
      <c r="NZA222" s="1"/>
      <c r="NZB222" s="1"/>
      <c r="NZC222" s="1"/>
      <c r="NZD222" s="1"/>
      <c r="NZE222" s="1"/>
      <c r="NZF222" s="1"/>
      <c r="NZG222" s="1"/>
      <c r="NZH222" s="1"/>
      <c r="NZI222" s="1"/>
      <c r="NZJ222" s="1"/>
      <c r="NZK222" s="1"/>
      <c r="NZL222" s="1"/>
      <c r="NZM222" s="1"/>
      <c r="NZN222" s="1"/>
      <c r="NZO222" s="1"/>
      <c r="NZP222" s="1"/>
      <c r="NZQ222" s="1"/>
      <c r="NZR222" s="1"/>
      <c r="NZS222" s="1"/>
      <c r="NZT222" s="1"/>
      <c r="NZU222" s="1"/>
      <c r="NZV222" s="1"/>
      <c r="NZW222" s="1"/>
      <c r="NZX222" s="1"/>
      <c r="NZY222" s="1"/>
      <c r="NZZ222" s="1"/>
      <c r="OAA222" s="1"/>
      <c r="OAB222" s="1"/>
      <c r="OAC222" s="1"/>
      <c r="OAD222" s="1"/>
      <c r="OAE222" s="1"/>
      <c r="OAF222" s="1"/>
      <c r="OAG222" s="1"/>
      <c r="OAH222" s="1"/>
      <c r="OAI222" s="1"/>
      <c r="OAJ222" s="1"/>
      <c r="OAK222" s="1"/>
      <c r="OAL222" s="1"/>
      <c r="OAM222" s="1"/>
      <c r="OAN222" s="1"/>
      <c r="OAO222" s="1"/>
      <c r="OAP222" s="1"/>
      <c r="OAQ222" s="1"/>
      <c r="OAR222" s="1"/>
      <c r="OAS222" s="1"/>
      <c r="OAT222" s="1"/>
      <c r="OAU222" s="1"/>
      <c r="OAV222" s="1"/>
      <c r="OAW222" s="1"/>
      <c r="OAX222" s="1"/>
      <c r="OAY222" s="1"/>
      <c r="OAZ222" s="1"/>
      <c r="OBA222" s="1"/>
      <c r="OBB222" s="1"/>
      <c r="OBC222" s="1"/>
      <c r="OBD222" s="1"/>
      <c r="OBE222" s="1"/>
      <c r="OBF222" s="1"/>
      <c r="OBG222" s="1"/>
      <c r="OBH222" s="1"/>
      <c r="OBI222" s="1"/>
      <c r="OBJ222" s="1"/>
      <c r="OBK222" s="1"/>
      <c r="OBL222" s="1"/>
      <c r="OBM222" s="1"/>
      <c r="OBN222" s="1"/>
      <c r="OBO222" s="1"/>
      <c r="OBP222" s="1"/>
      <c r="OBQ222" s="1"/>
      <c r="OBR222" s="1"/>
      <c r="OBS222" s="1"/>
      <c r="OBT222" s="1"/>
      <c r="OBU222" s="1"/>
      <c r="OBV222" s="1"/>
      <c r="OBW222" s="1"/>
      <c r="OBX222" s="1"/>
      <c r="OBY222" s="1"/>
      <c r="OBZ222" s="1"/>
      <c r="OCA222" s="1"/>
      <c r="OCB222" s="1"/>
      <c r="OCC222" s="1"/>
      <c r="OCD222" s="1"/>
      <c r="OCE222" s="1"/>
      <c r="OCF222" s="1"/>
      <c r="OCG222" s="1"/>
      <c r="OCH222" s="1"/>
      <c r="OCI222" s="1"/>
      <c r="OCJ222" s="1"/>
      <c r="OCK222" s="1"/>
      <c r="OCL222" s="1"/>
      <c r="OCM222" s="1"/>
      <c r="OCN222" s="1"/>
      <c r="OCO222" s="1"/>
      <c r="OCP222" s="1"/>
      <c r="OCQ222" s="1"/>
      <c r="OCR222" s="1"/>
      <c r="OCS222" s="1"/>
      <c r="OCT222" s="1"/>
      <c r="OCU222" s="1"/>
      <c r="OCV222" s="1"/>
      <c r="OCW222" s="1"/>
      <c r="OCX222" s="1"/>
      <c r="OCY222" s="1"/>
      <c r="OCZ222" s="1"/>
      <c r="ODA222" s="1"/>
      <c r="ODB222" s="1"/>
      <c r="ODC222" s="1"/>
      <c r="ODD222" s="1"/>
      <c r="ODE222" s="1"/>
      <c r="ODF222" s="1"/>
      <c r="ODG222" s="1"/>
      <c r="ODH222" s="1"/>
      <c r="ODI222" s="1"/>
      <c r="ODJ222" s="1"/>
      <c r="ODK222" s="1"/>
      <c r="ODL222" s="1"/>
      <c r="ODM222" s="1"/>
      <c r="ODN222" s="1"/>
      <c r="ODO222" s="1"/>
      <c r="ODP222" s="1"/>
      <c r="ODQ222" s="1"/>
      <c r="ODR222" s="1"/>
      <c r="ODS222" s="1"/>
      <c r="ODT222" s="1"/>
      <c r="ODU222" s="1"/>
      <c r="ODV222" s="1"/>
      <c r="ODW222" s="1"/>
      <c r="ODX222" s="1"/>
      <c r="ODY222" s="1"/>
      <c r="ODZ222" s="1"/>
      <c r="OEA222" s="1"/>
      <c r="OEB222" s="1"/>
      <c r="OEC222" s="1"/>
      <c r="OED222" s="1"/>
      <c r="OEE222" s="1"/>
      <c r="OEF222" s="1"/>
      <c r="OEG222" s="1"/>
      <c r="OEH222" s="1"/>
      <c r="OEI222" s="1"/>
      <c r="OEJ222" s="1"/>
      <c r="OEK222" s="1"/>
      <c r="OEL222" s="1"/>
      <c r="OEM222" s="1"/>
      <c r="OEN222" s="1"/>
      <c r="OEO222" s="1"/>
      <c r="OEP222" s="1"/>
      <c r="OEQ222" s="1"/>
      <c r="OER222" s="1"/>
      <c r="OES222" s="1"/>
      <c r="OET222" s="1"/>
      <c r="OEU222" s="1"/>
      <c r="OEV222" s="1"/>
      <c r="OEW222" s="1"/>
      <c r="OEX222" s="1"/>
      <c r="OEY222" s="1"/>
      <c r="OEZ222" s="1"/>
      <c r="OFA222" s="1"/>
      <c r="OFB222" s="1"/>
      <c r="OFC222" s="1"/>
      <c r="OFD222" s="1"/>
      <c r="OFE222" s="1"/>
      <c r="OFF222" s="1"/>
      <c r="OFG222" s="1"/>
      <c r="OFH222" s="1"/>
      <c r="OFI222" s="1"/>
      <c r="OFJ222" s="1"/>
      <c r="OFK222" s="1"/>
      <c r="OFL222" s="1"/>
      <c r="OFM222" s="1"/>
      <c r="OFN222" s="1"/>
      <c r="OFO222" s="1"/>
      <c r="OFP222" s="1"/>
      <c r="OFQ222" s="1"/>
      <c r="OFR222" s="1"/>
      <c r="OFS222" s="1"/>
      <c r="OFT222" s="1"/>
      <c r="OFU222" s="1"/>
      <c r="OFV222" s="1"/>
      <c r="OFW222" s="1"/>
      <c r="OFX222" s="1"/>
      <c r="OFY222" s="1"/>
      <c r="OFZ222" s="1"/>
      <c r="OGA222" s="1"/>
      <c r="OGB222" s="1"/>
      <c r="OGC222" s="1"/>
      <c r="OGD222" s="1"/>
      <c r="OGE222" s="1"/>
      <c r="OGF222" s="1"/>
      <c r="OGG222" s="1"/>
      <c r="OGH222" s="1"/>
      <c r="OGI222" s="1"/>
      <c r="OGJ222" s="1"/>
      <c r="OGK222" s="1"/>
      <c r="OGL222" s="1"/>
      <c r="OGM222" s="1"/>
      <c r="OGN222" s="1"/>
      <c r="OGO222" s="1"/>
      <c r="OGP222" s="1"/>
      <c r="OGQ222" s="1"/>
      <c r="OGR222" s="1"/>
      <c r="OGS222" s="1"/>
      <c r="OGT222" s="1"/>
      <c r="OGU222" s="1"/>
      <c r="OGV222" s="1"/>
      <c r="OGW222" s="1"/>
      <c r="OGX222" s="1"/>
      <c r="OGY222" s="1"/>
      <c r="OGZ222" s="1"/>
      <c r="OHA222" s="1"/>
      <c r="OHB222" s="1"/>
      <c r="OHC222" s="1"/>
      <c r="OHD222" s="1"/>
      <c r="OHE222" s="1"/>
      <c r="OHF222" s="1"/>
      <c r="OHG222" s="1"/>
      <c r="OHH222" s="1"/>
      <c r="OHI222" s="1"/>
      <c r="OHJ222" s="1"/>
      <c r="OHK222" s="1"/>
      <c r="OHL222" s="1"/>
      <c r="OHM222" s="1"/>
      <c r="OHN222" s="1"/>
      <c r="OHO222" s="1"/>
      <c r="OHP222" s="1"/>
      <c r="OHQ222" s="1"/>
      <c r="OHR222" s="1"/>
      <c r="OHS222" s="1"/>
      <c r="OHT222" s="1"/>
      <c r="OHU222" s="1"/>
      <c r="OHV222" s="1"/>
      <c r="OHW222" s="1"/>
      <c r="OHX222" s="1"/>
      <c r="OHY222" s="1"/>
      <c r="OHZ222" s="1"/>
      <c r="OIA222" s="1"/>
      <c r="OIB222" s="1"/>
      <c r="OIC222" s="1"/>
      <c r="OID222" s="1"/>
      <c r="OIE222" s="1"/>
      <c r="OIF222" s="1"/>
      <c r="OIG222" s="1"/>
      <c r="OIH222" s="1"/>
      <c r="OII222" s="1"/>
      <c r="OIJ222" s="1"/>
      <c r="OIK222" s="1"/>
      <c r="OIL222" s="1"/>
      <c r="OIM222" s="1"/>
      <c r="OIN222" s="1"/>
      <c r="OIO222" s="1"/>
      <c r="OIP222" s="1"/>
      <c r="OIQ222" s="1"/>
      <c r="OIR222" s="1"/>
      <c r="OIS222" s="1"/>
      <c r="OIT222" s="1"/>
      <c r="OIU222" s="1"/>
      <c r="OIV222" s="1"/>
      <c r="OIW222" s="1"/>
      <c r="OIX222" s="1"/>
      <c r="OIY222" s="1"/>
      <c r="OIZ222" s="1"/>
      <c r="OJA222" s="1"/>
      <c r="OJB222" s="1"/>
      <c r="OJC222" s="1"/>
      <c r="OJD222" s="1"/>
      <c r="OJE222" s="1"/>
      <c r="OJF222" s="1"/>
      <c r="OJG222" s="1"/>
      <c r="OJH222" s="1"/>
      <c r="OJI222" s="1"/>
      <c r="OJJ222" s="1"/>
      <c r="OJK222" s="1"/>
      <c r="OJL222" s="1"/>
      <c r="OJM222" s="1"/>
      <c r="OJN222" s="1"/>
      <c r="OJO222" s="1"/>
      <c r="OJP222" s="1"/>
      <c r="OJQ222" s="1"/>
      <c r="OJR222" s="1"/>
      <c r="OJS222" s="1"/>
      <c r="OJT222" s="1"/>
      <c r="OJU222" s="1"/>
      <c r="OJV222" s="1"/>
      <c r="OJW222" s="1"/>
      <c r="OJX222" s="1"/>
      <c r="OJY222" s="1"/>
      <c r="OJZ222" s="1"/>
      <c r="OKA222" s="1"/>
      <c r="OKB222" s="1"/>
      <c r="OKC222" s="1"/>
      <c r="OKD222" s="1"/>
      <c r="OKE222" s="1"/>
      <c r="OKF222" s="1"/>
      <c r="OKG222" s="1"/>
      <c r="OKH222" s="1"/>
      <c r="OKI222" s="1"/>
      <c r="OKJ222" s="1"/>
      <c r="OKK222" s="1"/>
      <c r="OKL222" s="1"/>
      <c r="OKM222" s="1"/>
      <c r="OKN222" s="1"/>
      <c r="OKO222" s="1"/>
      <c r="OKP222" s="1"/>
      <c r="OKQ222" s="1"/>
      <c r="OKR222" s="1"/>
      <c r="OKS222" s="1"/>
      <c r="OKT222" s="1"/>
      <c r="OKU222" s="1"/>
      <c r="OKV222" s="1"/>
      <c r="OKW222" s="1"/>
      <c r="OKX222" s="1"/>
      <c r="OKY222" s="1"/>
      <c r="OKZ222" s="1"/>
      <c r="OLA222" s="1"/>
      <c r="OLB222" s="1"/>
      <c r="OLC222" s="1"/>
      <c r="OLD222" s="1"/>
      <c r="OLE222" s="1"/>
      <c r="OLF222" s="1"/>
      <c r="OLG222" s="1"/>
      <c r="OLH222" s="1"/>
      <c r="OLI222" s="1"/>
      <c r="OLJ222" s="1"/>
      <c r="OLK222" s="1"/>
      <c r="OLL222" s="1"/>
      <c r="OLM222" s="1"/>
      <c r="OLN222" s="1"/>
      <c r="OLO222" s="1"/>
      <c r="OLP222" s="1"/>
      <c r="OLQ222" s="1"/>
      <c r="OLR222" s="1"/>
      <c r="OLS222" s="1"/>
      <c r="OLT222" s="1"/>
      <c r="OLU222" s="1"/>
      <c r="OLV222" s="1"/>
      <c r="OLW222" s="1"/>
      <c r="OLX222" s="1"/>
      <c r="OLY222" s="1"/>
      <c r="OLZ222" s="1"/>
      <c r="OMA222" s="1"/>
      <c r="OMB222" s="1"/>
      <c r="OMC222" s="1"/>
      <c r="OMD222" s="1"/>
      <c r="OME222" s="1"/>
      <c r="OMF222" s="1"/>
      <c r="OMG222" s="1"/>
      <c r="OMH222" s="1"/>
      <c r="OMI222" s="1"/>
      <c r="OMJ222" s="1"/>
      <c r="OMK222" s="1"/>
      <c r="OML222" s="1"/>
      <c r="OMM222" s="1"/>
      <c r="OMN222" s="1"/>
      <c r="OMO222" s="1"/>
      <c r="OMP222" s="1"/>
      <c r="OMQ222" s="1"/>
      <c r="OMR222" s="1"/>
      <c r="OMS222" s="1"/>
      <c r="OMT222" s="1"/>
      <c r="OMU222" s="1"/>
      <c r="OMV222" s="1"/>
      <c r="OMW222" s="1"/>
      <c r="OMX222" s="1"/>
      <c r="OMY222" s="1"/>
      <c r="OMZ222" s="1"/>
      <c r="ONA222" s="1"/>
      <c r="ONB222" s="1"/>
      <c r="ONC222" s="1"/>
      <c r="OND222" s="1"/>
      <c r="ONE222" s="1"/>
      <c r="ONF222" s="1"/>
      <c r="ONG222" s="1"/>
      <c r="ONH222" s="1"/>
      <c r="ONI222" s="1"/>
      <c r="ONJ222" s="1"/>
      <c r="ONK222" s="1"/>
      <c r="ONL222" s="1"/>
      <c r="ONM222" s="1"/>
      <c r="ONN222" s="1"/>
      <c r="ONO222" s="1"/>
      <c r="ONP222" s="1"/>
      <c r="ONQ222" s="1"/>
      <c r="ONR222" s="1"/>
      <c r="ONS222" s="1"/>
      <c r="ONT222" s="1"/>
      <c r="ONU222" s="1"/>
      <c r="ONV222" s="1"/>
      <c r="ONW222" s="1"/>
      <c r="ONX222" s="1"/>
      <c r="ONY222" s="1"/>
      <c r="ONZ222" s="1"/>
      <c r="OOA222" s="1"/>
      <c r="OOB222" s="1"/>
      <c r="OOC222" s="1"/>
      <c r="OOD222" s="1"/>
      <c r="OOE222" s="1"/>
      <c r="OOF222" s="1"/>
      <c r="OOG222" s="1"/>
      <c r="OOH222" s="1"/>
      <c r="OOI222" s="1"/>
      <c r="OOJ222" s="1"/>
      <c r="OOK222" s="1"/>
      <c r="OOL222" s="1"/>
      <c r="OOM222" s="1"/>
      <c r="OON222" s="1"/>
      <c r="OOO222" s="1"/>
      <c r="OOP222" s="1"/>
      <c r="OOQ222" s="1"/>
      <c r="OOR222" s="1"/>
      <c r="OOS222" s="1"/>
      <c r="OOT222" s="1"/>
      <c r="OOU222" s="1"/>
      <c r="OOV222" s="1"/>
      <c r="OOW222" s="1"/>
      <c r="OOX222" s="1"/>
      <c r="OOY222" s="1"/>
      <c r="OOZ222" s="1"/>
      <c r="OPA222" s="1"/>
      <c r="OPB222" s="1"/>
      <c r="OPC222" s="1"/>
      <c r="OPD222" s="1"/>
      <c r="OPE222" s="1"/>
      <c r="OPF222" s="1"/>
      <c r="OPG222" s="1"/>
      <c r="OPH222" s="1"/>
      <c r="OPI222" s="1"/>
      <c r="OPJ222" s="1"/>
      <c r="OPK222" s="1"/>
      <c r="OPL222" s="1"/>
      <c r="OPM222" s="1"/>
      <c r="OPN222" s="1"/>
      <c r="OPO222" s="1"/>
      <c r="OPP222" s="1"/>
      <c r="OPQ222" s="1"/>
      <c r="OPR222" s="1"/>
      <c r="OPS222" s="1"/>
      <c r="OPT222" s="1"/>
      <c r="OPU222" s="1"/>
      <c r="OPV222" s="1"/>
      <c r="OPW222" s="1"/>
      <c r="OPX222" s="1"/>
      <c r="OPY222" s="1"/>
      <c r="OPZ222" s="1"/>
      <c r="OQA222" s="1"/>
      <c r="OQB222" s="1"/>
      <c r="OQC222" s="1"/>
      <c r="OQD222" s="1"/>
      <c r="OQE222" s="1"/>
      <c r="OQF222" s="1"/>
      <c r="OQG222" s="1"/>
      <c r="OQH222" s="1"/>
      <c r="OQI222" s="1"/>
      <c r="OQJ222" s="1"/>
      <c r="OQK222" s="1"/>
      <c r="OQL222" s="1"/>
      <c r="OQM222" s="1"/>
      <c r="OQN222" s="1"/>
      <c r="OQO222" s="1"/>
      <c r="OQP222" s="1"/>
      <c r="OQQ222" s="1"/>
      <c r="OQR222" s="1"/>
      <c r="OQS222" s="1"/>
      <c r="OQT222" s="1"/>
      <c r="OQU222" s="1"/>
      <c r="OQV222" s="1"/>
      <c r="OQW222" s="1"/>
      <c r="OQX222" s="1"/>
      <c r="OQY222" s="1"/>
      <c r="OQZ222" s="1"/>
      <c r="ORA222" s="1"/>
      <c r="ORB222" s="1"/>
      <c r="ORC222" s="1"/>
      <c r="ORD222" s="1"/>
      <c r="ORE222" s="1"/>
      <c r="ORF222" s="1"/>
      <c r="ORG222" s="1"/>
      <c r="ORH222" s="1"/>
      <c r="ORI222" s="1"/>
      <c r="ORJ222" s="1"/>
      <c r="ORK222" s="1"/>
      <c r="ORL222" s="1"/>
      <c r="ORM222" s="1"/>
      <c r="ORN222" s="1"/>
      <c r="ORO222" s="1"/>
      <c r="ORP222" s="1"/>
      <c r="ORQ222" s="1"/>
      <c r="ORR222" s="1"/>
      <c r="ORS222" s="1"/>
      <c r="ORT222" s="1"/>
      <c r="ORU222" s="1"/>
      <c r="ORV222" s="1"/>
      <c r="ORW222" s="1"/>
      <c r="ORX222" s="1"/>
      <c r="ORY222" s="1"/>
      <c r="ORZ222" s="1"/>
      <c r="OSA222" s="1"/>
      <c r="OSB222" s="1"/>
      <c r="OSC222" s="1"/>
      <c r="OSD222" s="1"/>
      <c r="OSE222" s="1"/>
      <c r="OSF222" s="1"/>
      <c r="OSG222" s="1"/>
      <c r="OSH222" s="1"/>
      <c r="OSI222" s="1"/>
      <c r="OSJ222" s="1"/>
      <c r="OSK222" s="1"/>
      <c r="OSL222" s="1"/>
      <c r="OSM222" s="1"/>
      <c r="OSN222" s="1"/>
      <c r="OSO222" s="1"/>
      <c r="OSP222" s="1"/>
      <c r="OSQ222" s="1"/>
      <c r="OSR222" s="1"/>
      <c r="OSS222" s="1"/>
      <c r="OST222" s="1"/>
      <c r="OSU222" s="1"/>
      <c r="OSV222" s="1"/>
      <c r="OSW222" s="1"/>
      <c r="OSX222" s="1"/>
      <c r="OSY222" s="1"/>
      <c r="OSZ222" s="1"/>
      <c r="OTA222" s="1"/>
      <c r="OTB222" s="1"/>
      <c r="OTC222" s="1"/>
      <c r="OTD222" s="1"/>
      <c r="OTE222" s="1"/>
      <c r="OTF222" s="1"/>
      <c r="OTG222" s="1"/>
      <c r="OTH222" s="1"/>
      <c r="OTI222" s="1"/>
      <c r="OTJ222" s="1"/>
      <c r="OTK222" s="1"/>
      <c r="OTL222" s="1"/>
      <c r="OTM222" s="1"/>
      <c r="OTN222" s="1"/>
      <c r="OTO222" s="1"/>
      <c r="OTP222" s="1"/>
      <c r="OTQ222" s="1"/>
      <c r="OTR222" s="1"/>
      <c r="OTS222" s="1"/>
      <c r="OTT222" s="1"/>
      <c r="OTU222" s="1"/>
      <c r="OTV222" s="1"/>
      <c r="OTW222" s="1"/>
      <c r="OTX222" s="1"/>
      <c r="OTY222" s="1"/>
      <c r="OTZ222" s="1"/>
      <c r="OUA222" s="1"/>
      <c r="OUB222" s="1"/>
      <c r="OUC222" s="1"/>
      <c r="OUD222" s="1"/>
      <c r="OUE222" s="1"/>
      <c r="OUF222" s="1"/>
      <c r="OUG222" s="1"/>
      <c r="OUH222" s="1"/>
      <c r="OUI222" s="1"/>
      <c r="OUJ222" s="1"/>
      <c r="OUK222" s="1"/>
      <c r="OUL222" s="1"/>
      <c r="OUM222" s="1"/>
      <c r="OUN222" s="1"/>
      <c r="OUO222" s="1"/>
      <c r="OUP222" s="1"/>
      <c r="OUQ222" s="1"/>
      <c r="OUR222" s="1"/>
      <c r="OUS222" s="1"/>
      <c r="OUT222" s="1"/>
      <c r="OUU222" s="1"/>
      <c r="OUV222" s="1"/>
      <c r="OUW222" s="1"/>
      <c r="OUX222" s="1"/>
      <c r="OUY222" s="1"/>
      <c r="OUZ222" s="1"/>
      <c r="OVA222" s="1"/>
      <c r="OVB222" s="1"/>
      <c r="OVC222" s="1"/>
      <c r="OVD222" s="1"/>
      <c r="OVE222" s="1"/>
      <c r="OVF222" s="1"/>
      <c r="OVG222" s="1"/>
      <c r="OVH222" s="1"/>
      <c r="OVI222" s="1"/>
      <c r="OVJ222" s="1"/>
      <c r="OVK222" s="1"/>
      <c r="OVL222" s="1"/>
      <c r="OVM222" s="1"/>
      <c r="OVN222" s="1"/>
      <c r="OVO222" s="1"/>
      <c r="OVP222" s="1"/>
      <c r="OVQ222" s="1"/>
      <c r="OVR222" s="1"/>
      <c r="OVS222" s="1"/>
      <c r="OVT222" s="1"/>
      <c r="OVU222" s="1"/>
      <c r="OVV222" s="1"/>
      <c r="OVW222" s="1"/>
      <c r="OVX222" s="1"/>
      <c r="OVY222" s="1"/>
      <c r="OVZ222" s="1"/>
      <c r="OWA222" s="1"/>
      <c r="OWB222" s="1"/>
      <c r="OWC222" s="1"/>
      <c r="OWD222" s="1"/>
      <c r="OWE222" s="1"/>
      <c r="OWF222" s="1"/>
      <c r="OWG222" s="1"/>
      <c r="OWH222" s="1"/>
      <c r="OWI222" s="1"/>
      <c r="OWJ222" s="1"/>
      <c r="OWK222" s="1"/>
      <c r="OWL222" s="1"/>
      <c r="OWM222" s="1"/>
      <c r="OWN222" s="1"/>
      <c r="OWO222" s="1"/>
      <c r="OWP222" s="1"/>
      <c r="OWQ222" s="1"/>
      <c r="OWR222" s="1"/>
      <c r="OWS222" s="1"/>
      <c r="OWT222" s="1"/>
      <c r="OWU222" s="1"/>
      <c r="OWV222" s="1"/>
      <c r="OWW222" s="1"/>
      <c r="OWX222" s="1"/>
      <c r="OWY222" s="1"/>
      <c r="OWZ222" s="1"/>
      <c r="OXA222" s="1"/>
      <c r="OXB222" s="1"/>
      <c r="OXC222" s="1"/>
      <c r="OXD222" s="1"/>
      <c r="OXE222" s="1"/>
      <c r="OXF222" s="1"/>
      <c r="OXG222" s="1"/>
      <c r="OXH222" s="1"/>
      <c r="OXI222" s="1"/>
      <c r="OXJ222" s="1"/>
      <c r="OXK222" s="1"/>
      <c r="OXL222" s="1"/>
      <c r="OXM222" s="1"/>
      <c r="OXN222" s="1"/>
      <c r="OXO222" s="1"/>
      <c r="OXP222" s="1"/>
      <c r="OXQ222" s="1"/>
      <c r="OXR222" s="1"/>
      <c r="OXS222" s="1"/>
      <c r="OXT222" s="1"/>
      <c r="OXU222" s="1"/>
      <c r="OXV222" s="1"/>
      <c r="OXW222" s="1"/>
      <c r="OXX222" s="1"/>
      <c r="OXY222" s="1"/>
      <c r="OXZ222" s="1"/>
      <c r="OYA222" s="1"/>
      <c r="OYB222" s="1"/>
      <c r="OYC222" s="1"/>
      <c r="OYD222" s="1"/>
      <c r="OYE222" s="1"/>
      <c r="OYF222" s="1"/>
      <c r="OYG222" s="1"/>
      <c r="OYH222" s="1"/>
      <c r="OYI222" s="1"/>
      <c r="OYJ222" s="1"/>
      <c r="OYK222" s="1"/>
      <c r="OYL222" s="1"/>
      <c r="OYM222" s="1"/>
      <c r="OYN222" s="1"/>
      <c r="OYO222" s="1"/>
      <c r="OYP222" s="1"/>
      <c r="OYQ222" s="1"/>
      <c r="OYR222" s="1"/>
      <c r="OYS222" s="1"/>
      <c r="OYT222" s="1"/>
      <c r="OYU222" s="1"/>
      <c r="OYV222" s="1"/>
      <c r="OYW222" s="1"/>
      <c r="OYX222" s="1"/>
      <c r="OYY222" s="1"/>
      <c r="OYZ222" s="1"/>
      <c r="OZA222" s="1"/>
      <c r="OZB222" s="1"/>
      <c r="OZC222" s="1"/>
      <c r="OZD222" s="1"/>
      <c r="OZE222" s="1"/>
      <c r="OZF222" s="1"/>
      <c r="OZG222" s="1"/>
      <c r="OZH222" s="1"/>
      <c r="OZI222" s="1"/>
      <c r="OZJ222" s="1"/>
      <c r="OZK222" s="1"/>
      <c r="OZL222" s="1"/>
      <c r="OZM222" s="1"/>
      <c r="OZN222" s="1"/>
      <c r="OZO222" s="1"/>
      <c r="OZP222" s="1"/>
      <c r="OZQ222" s="1"/>
      <c r="OZR222" s="1"/>
      <c r="OZS222" s="1"/>
      <c r="OZT222" s="1"/>
      <c r="OZU222" s="1"/>
      <c r="OZV222" s="1"/>
      <c r="OZW222" s="1"/>
      <c r="OZX222" s="1"/>
      <c r="OZY222" s="1"/>
      <c r="OZZ222" s="1"/>
      <c r="PAA222" s="1"/>
      <c r="PAB222" s="1"/>
      <c r="PAC222" s="1"/>
      <c r="PAD222" s="1"/>
      <c r="PAE222" s="1"/>
      <c r="PAF222" s="1"/>
      <c r="PAG222" s="1"/>
      <c r="PAH222" s="1"/>
      <c r="PAI222" s="1"/>
      <c r="PAJ222" s="1"/>
      <c r="PAK222" s="1"/>
      <c r="PAL222" s="1"/>
      <c r="PAM222" s="1"/>
      <c r="PAN222" s="1"/>
      <c r="PAO222" s="1"/>
      <c r="PAP222" s="1"/>
      <c r="PAQ222" s="1"/>
      <c r="PAR222" s="1"/>
      <c r="PAS222" s="1"/>
      <c r="PAT222" s="1"/>
      <c r="PAU222" s="1"/>
      <c r="PAV222" s="1"/>
      <c r="PAW222" s="1"/>
      <c r="PAX222" s="1"/>
      <c r="PAY222" s="1"/>
      <c r="PAZ222" s="1"/>
      <c r="PBA222" s="1"/>
      <c r="PBB222" s="1"/>
      <c r="PBC222" s="1"/>
      <c r="PBD222" s="1"/>
      <c r="PBE222" s="1"/>
      <c r="PBF222" s="1"/>
      <c r="PBG222" s="1"/>
      <c r="PBH222" s="1"/>
      <c r="PBI222" s="1"/>
      <c r="PBJ222" s="1"/>
      <c r="PBK222" s="1"/>
      <c r="PBL222" s="1"/>
      <c r="PBM222" s="1"/>
      <c r="PBN222" s="1"/>
      <c r="PBO222" s="1"/>
      <c r="PBP222" s="1"/>
      <c r="PBQ222" s="1"/>
      <c r="PBR222" s="1"/>
      <c r="PBS222" s="1"/>
      <c r="PBT222" s="1"/>
      <c r="PBU222" s="1"/>
      <c r="PBV222" s="1"/>
      <c r="PBW222" s="1"/>
      <c r="PBX222" s="1"/>
      <c r="PBY222" s="1"/>
      <c r="PBZ222" s="1"/>
      <c r="PCA222" s="1"/>
      <c r="PCB222" s="1"/>
      <c r="PCC222" s="1"/>
      <c r="PCD222" s="1"/>
      <c r="PCE222" s="1"/>
      <c r="PCF222" s="1"/>
      <c r="PCG222" s="1"/>
      <c r="PCH222" s="1"/>
      <c r="PCI222" s="1"/>
      <c r="PCJ222" s="1"/>
      <c r="PCK222" s="1"/>
      <c r="PCL222" s="1"/>
      <c r="PCM222" s="1"/>
      <c r="PCN222" s="1"/>
      <c r="PCO222" s="1"/>
      <c r="PCP222" s="1"/>
      <c r="PCQ222" s="1"/>
      <c r="PCR222" s="1"/>
      <c r="PCS222" s="1"/>
      <c r="PCT222" s="1"/>
      <c r="PCU222" s="1"/>
      <c r="PCV222" s="1"/>
      <c r="PCW222" s="1"/>
      <c r="PCX222" s="1"/>
      <c r="PCY222" s="1"/>
      <c r="PCZ222" s="1"/>
      <c r="PDA222" s="1"/>
      <c r="PDB222" s="1"/>
      <c r="PDC222" s="1"/>
      <c r="PDD222" s="1"/>
      <c r="PDE222" s="1"/>
      <c r="PDF222" s="1"/>
      <c r="PDG222" s="1"/>
      <c r="PDH222" s="1"/>
      <c r="PDI222" s="1"/>
      <c r="PDJ222" s="1"/>
      <c r="PDK222" s="1"/>
      <c r="PDL222" s="1"/>
      <c r="PDM222" s="1"/>
      <c r="PDN222" s="1"/>
      <c r="PDO222" s="1"/>
      <c r="PDP222" s="1"/>
      <c r="PDQ222" s="1"/>
      <c r="PDR222" s="1"/>
      <c r="PDS222" s="1"/>
      <c r="PDT222" s="1"/>
      <c r="PDU222" s="1"/>
      <c r="PDV222" s="1"/>
      <c r="PDW222" s="1"/>
      <c r="PDX222" s="1"/>
      <c r="PDY222" s="1"/>
      <c r="PDZ222" s="1"/>
      <c r="PEA222" s="1"/>
      <c r="PEB222" s="1"/>
      <c r="PEC222" s="1"/>
      <c r="PED222" s="1"/>
      <c r="PEE222" s="1"/>
      <c r="PEF222" s="1"/>
      <c r="PEG222" s="1"/>
      <c r="PEH222" s="1"/>
      <c r="PEI222" s="1"/>
      <c r="PEJ222" s="1"/>
      <c r="PEK222" s="1"/>
      <c r="PEL222" s="1"/>
      <c r="PEM222" s="1"/>
      <c r="PEN222" s="1"/>
      <c r="PEO222" s="1"/>
      <c r="PEP222" s="1"/>
      <c r="PEQ222" s="1"/>
      <c r="PER222" s="1"/>
      <c r="PES222" s="1"/>
      <c r="PET222" s="1"/>
      <c r="PEU222" s="1"/>
      <c r="PEV222" s="1"/>
      <c r="PEW222" s="1"/>
      <c r="PEX222" s="1"/>
      <c r="PEY222" s="1"/>
      <c r="PEZ222" s="1"/>
      <c r="PFA222" s="1"/>
      <c r="PFB222" s="1"/>
      <c r="PFC222" s="1"/>
      <c r="PFD222" s="1"/>
      <c r="PFE222" s="1"/>
      <c r="PFF222" s="1"/>
      <c r="PFG222" s="1"/>
      <c r="PFH222" s="1"/>
      <c r="PFI222" s="1"/>
      <c r="PFJ222" s="1"/>
      <c r="PFK222" s="1"/>
      <c r="PFL222" s="1"/>
      <c r="PFM222" s="1"/>
      <c r="PFN222" s="1"/>
      <c r="PFO222" s="1"/>
      <c r="PFP222" s="1"/>
      <c r="PFQ222" s="1"/>
      <c r="PFR222" s="1"/>
      <c r="PFS222" s="1"/>
      <c r="PFT222" s="1"/>
      <c r="PFU222" s="1"/>
      <c r="PFV222" s="1"/>
      <c r="PFW222" s="1"/>
      <c r="PFX222" s="1"/>
      <c r="PFY222" s="1"/>
      <c r="PFZ222" s="1"/>
      <c r="PGA222" s="1"/>
      <c r="PGB222" s="1"/>
      <c r="PGC222" s="1"/>
      <c r="PGD222" s="1"/>
      <c r="PGE222" s="1"/>
      <c r="PGF222" s="1"/>
      <c r="PGG222" s="1"/>
      <c r="PGH222" s="1"/>
      <c r="PGI222" s="1"/>
      <c r="PGJ222" s="1"/>
      <c r="PGK222" s="1"/>
      <c r="PGL222" s="1"/>
      <c r="PGM222" s="1"/>
      <c r="PGN222" s="1"/>
      <c r="PGO222" s="1"/>
      <c r="PGP222" s="1"/>
      <c r="PGQ222" s="1"/>
      <c r="PGR222" s="1"/>
      <c r="PGS222" s="1"/>
      <c r="PGT222" s="1"/>
      <c r="PGU222" s="1"/>
      <c r="PGV222" s="1"/>
      <c r="PGW222" s="1"/>
      <c r="PGX222" s="1"/>
      <c r="PGY222" s="1"/>
      <c r="PGZ222" s="1"/>
      <c r="PHA222" s="1"/>
      <c r="PHB222" s="1"/>
      <c r="PHC222" s="1"/>
      <c r="PHD222" s="1"/>
      <c r="PHE222" s="1"/>
      <c r="PHF222" s="1"/>
      <c r="PHG222" s="1"/>
      <c r="PHH222" s="1"/>
      <c r="PHI222" s="1"/>
      <c r="PHJ222" s="1"/>
      <c r="PHK222" s="1"/>
      <c r="PHL222" s="1"/>
      <c r="PHM222" s="1"/>
      <c r="PHN222" s="1"/>
      <c r="PHO222" s="1"/>
      <c r="PHP222" s="1"/>
      <c r="PHQ222" s="1"/>
      <c r="PHR222" s="1"/>
      <c r="PHS222" s="1"/>
      <c r="PHT222" s="1"/>
      <c r="PHU222" s="1"/>
      <c r="PHV222" s="1"/>
      <c r="PHW222" s="1"/>
      <c r="PHX222" s="1"/>
      <c r="PHY222" s="1"/>
      <c r="PHZ222" s="1"/>
      <c r="PIA222" s="1"/>
      <c r="PIB222" s="1"/>
      <c r="PIC222" s="1"/>
      <c r="PID222" s="1"/>
      <c r="PIE222" s="1"/>
      <c r="PIF222" s="1"/>
      <c r="PIG222" s="1"/>
      <c r="PIH222" s="1"/>
      <c r="PII222" s="1"/>
      <c r="PIJ222" s="1"/>
      <c r="PIK222" s="1"/>
      <c r="PIL222" s="1"/>
      <c r="PIM222" s="1"/>
      <c r="PIN222" s="1"/>
      <c r="PIO222" s="1"/>
      <c r="PIP222" s="1"/>
      <c r="PIQ222" s="1"/>
      <c r="PIR222" s="1"/>
      <c r="PIS222" s="1"/>
      <c r="PIT222" s="1"/>
      <c r="PIU222" s="1"/>
      <c r="PIV222" s="1"/>
      <c r="PIW222" s="1"/>
      <c r="PIX222" s="1"/>
      <c r="PIY222" s="1"/>
      <c r="PIZ222" s="1"/>
      <c r="PJA222" s="1"/>
      <c r="PJB222" s="1"/>
      <c r="PJC222" s="1"/>
      <c r="PJD222" s="1"/>
      <c r="PJE222" s="1"/>
      <c r="PJF222" s="1"/>
      <c r="PJG222" s="1"/>
      <c r="PJH222" s="1"/>
      <c r="PJI222" s="1"/>
      <c r="PJJ222" s="1"/>
      <c r="PJK222" s="1"/>
      <c r="PJL222" s="1"/>
      <c r="PJM222" s="1"/>
      <c r="PJN222" s="1"/>
      <c r="PJO222" s="1"/>
      <c r="PJP222" s="1"/>
      <c r="PJQ222" s="1"/>
      <c r="PJR222" s="1"/>
      <c r="PJS222" s="1"/>
      <c r="PJT222" s="1"/>
      <c r="PJU222" s="1"/>
      <c r="PJV222" s="1"/>
      <c r="PJW222" s="1"/>
      <c r="PJX222" s="1"/>
      <c r="PJY222" s="1"/>
      <c r="PJZ222" s="1"/>
      <c r="PKA222" s="1"/>
      <c r="PKB222" s="1"/>
      <c r="PKC222" s="1"/>
      <c r="PKD222" s="1"/>
      <c r="PKE222" s="1"/>
      <c r="PKF222" s="1"/>
      <c r="PKG222" s="1"/>
      <c r="PKH222" s="1"/>
      <c r="PKI222" s="1"/>
      <c r="PKJ222" s="1"/>
      <c r="PKK222" s="1"/>
      <c r="PKL222" s="1"/>
      <c r="PKM222" s="1"/>
      <c r="PKN222" s="1"/>
      <c r="PKO222" s="1"/>
      <c r="PKP222" s="1"/>
      <c r="PKQ222" s="1"/>
      <c r="PKR222" s="1"/>
      <c r="PKS222" s="1"/>
      <c r="PKT222" s="1"/>
      <c r="PKU222" s="1"/>
      <c r="PKV222" s="1"/>
      <c r="PKW222" s="1"/>
      <c r="PKX222" s="1"/>
      <c r="PKY222" s="1"/>
      <c r="PKZ222" s="1"/>
      <c r="PLA222" s="1"/>
      <c r="PLB222" s="1"/>
      <c r="PLC222" s="1"/>
      <c r="PLD222" s="1"/>
      <c r="PLE222" s="1"/>
      <c r="PLF222" s="1"/>
      <c r="PLG222" s="1"/>
      <c r="PLH222" s="1"/>
      <c r="PLI222" s="1"/>
      <c r="PLJ222" s="1"/>
      <c r="PLK222" s="1"/>
      <c r="PLL222" s="1"/>
      <c r="PLM222" s="1"/>
      <c r="PLN222" s="1"/>
      <c r="PLO222" s="1"/>
      <c r="PLP222" s="1"/>
      <c r="PLQ222" s="1"/>
      <c r="PLR222" s="1"/>
      <c r="PLS222" s="1"/>
      <c r="PLT222" s="1"/>
      <c r="PLU222" s="1"/>
      <c r="PLV222" s="1"/>
      <c r="PLW222" s="1"/>
      <c r="PLX222" s="1"/>
      <c r="PLY222" s="1"/>
      <c r="PLZ222" s="1"/>
      <c r="PMA222" s="1"/>
      <c r="PMB222" s="1"/>
      <c r="PMC222" s="1"/>
      <c r="PMD222" s="1"/>
      <c r="PME222" s="1"/>
      <c r="PMF222" s="1"/>
      <c r="PMG222" s="1"/>
      <c r="PMH222" s="1"/>
      <c r="PMI222" s="1"/>
      <c r="PMJ222" s="1"/>
      <c r="PMK222" s="1"/>
      <c r="PML222" s="1"/>
      <c r="PMM222" s="1"/>
      <c r="PMN222" s="1"/>
      <c r="PMO222" s="1"/>
      <c r="PMP222" s="1"/>
      <c r="PMQ222" s="1"/>
      <c r="PMR222" s="1"/>
      <c r="PMS222" s="1"/>
      <c r="PMT222" s="1"/>
      <c r="PMU222" s="1"/>
      <c r="PMV222" s="1"/>
      <c r="PMW222" s="1"/>
      <c r="PMX222" s="1"/>
      <c r="PMY222" s="1"/>
      <c r="PMZ222" s="1"/>
      <c r="PNA222" s="1"/>
      <c r="PNB222" s="1"/>
      <c r="PNC222" s="1"/>
      <c r="PND222" s="1"/>
      <c r="PNE222" s="1"/>
      <c r="PNF222" s="1"/>
      <c r="PNG222" s="1"/>
      <c r="PNH222" s="1"/>
      <c r="PNI222" s="1"/>
      <c r="PNJ222" s="1"/>
      <c r="PNK222" s="1"/>
      <c r="PNL222" s="1"/>
      <c r="PNM222" s="1"/>
      <c r="PNN222" s="1"/>
      <c r="PNO222" s="1"/>
      <c r="PNP222" s="1"/>
      <c r="PNQ222" s="1"/>
      <c r="PNR222" s="1"/>
      <c r="PNS222" s="1"/>
      <c r="PNT222" s="1"/>
      <c r="PNU222" s="1"/>
      <c r="PNV222" s="1"/>
      <c r="PNW222" s="1"/>
      <c r="PNX222" s="1"/>
      <c r="PNY222" s="1"/>
      <c r="PNZ222" s="1"/>
      <c r="POA222" s="1"/>
      <c r="POB222" s="1"/>
      <c r="POC222" s="1"/>
      <c r="POD222" s="1"/>
      <c r="POE222" s="1"/>
      <c r="POF222" s="1"/>
      <c r="POG222" s="1"/>
      <c r="POH222" s="1"/>
      <c r="POI222" s="1"/>
      <c r="POJ222" s="1"/>
      <c r="POK222" s="1"/>
      <c r="POL222" s="1"/>
      <c r="POM222" s="1"/>
      <c r="PON222" s="1"/>
      <c r="POO222" s="1"/>
      <c r="POP222" s="1"/>
      <c r="POQ222" s="1"/>
      <c r="POR222" s="1"/>
      <c r="POS222" s="1"/>
      <c r="POT222" s="1"/>
      <c r="POU222" s="1"/>
      <c r="POV222" s="1"/>
      <c r="POW222" s="1"/>
      <c r="POX222" s="1"/>
      <c r="POY222" s="1"/>
      <c r="POZ222" s="1"/>
      <c r="PPA222" s="1"/>
      <c r="PPB222" s="1"/>
      <c r="PPC222" s="1"/>
      <c r="PPD222" s="1"/>
      <c r="PPE222" s="1"/>
      <c r="PPF222" s="1"/>
      <c r="PPG222" s="1"/>
      <c r="PPH222" s="1"/>
      <c r="PPI222" s="1"/>
      <c r="PPJ222" s="1"/>
      <c r="PPK222" s="1"/>
      <c r="PPL222" s="1"/>
      <c r="PPM222" s="1"/>
      <c r="PPN222" s="1"/>
      <c r="PPO222" s="1"/>
      <c r="PPP222" s="1"/>
      <c r="PPQ222" s="1"/>
      <c r="PPR222" s="1"/>
      <c r="PPS222" s="1"/>
      <c r="PPT222" s="1"/>
      <c r="PPU222" s="1"/>
      <c r="PPV222" s="1"/>
      <c r="PPW222" s="1"/>
      <c r="PPX222" s="1"/>
      <c r="PPY222" s="1"/>
      <c r="PPZ222" s="1"/>
      <c r="PQA222" s="1"/>
      <c r="PQB222" s="1"/>
      <c r="PQC222" s="1"/>
      <c r="PQD222" s="1"/>
      <c r="PQE222" s="1"/>
      <c r="PQF222" s="1"/>
      <c r="PQG222" s="1"/>
      <c r="PQH222" s="1"/>
      <c r="PQI222" s="1"/>
      <c r="PQJ222" s="1"/>
      <c r="PQK222" s="1"/>
      <c r="PQL222" s="1"/>
      <c r="PQM222" s="1"/>
      <c r="PQN222" s="1"/>
      <c r="PQO222" s="1"/>
      <c r="PQP222" s="1"/>
      <c r="PQQ222" s="1"/>
      <c r="PQR222" s="1"/>
      <c r="PQS222" s="1"/>
      <c r="PQT222" s="1"/>
      <c r="PQU222" s="1"/>
      <c r="PQV222" s="1"/>
      <c r="PQW222" s="1"/>
      <c r="PQX222" s="1"/>
      <c r="PQY222" s="1"/>
      <c r="PQZ222" s="1"/>
      <c r="PRA222" s="1"/>
      <c r="PRB222" s="1"/>
      <c r="PRC222" s="1"/>
      <c r="PRD222" s="1"/>
      <c r="PRE222" s="1"/>
      <c r="PRF222" s="1"/>
      <c r="PRG222" s="1"/>
      <c r="PRH222" s="1"/>
      <c r="PRI222" s="1"/>
      <c r="PRJ222" s="1"/>
      <c r="PRK222" s="1"/>
      <c r="PRL222" s="1"/>
      <c r="PRM222" s="1"/>
      <c r="PRN222" s="1"/>
      <c r="PRO222" s="1"/>
      <c r="PRP222" s="1"/>
      <c r="PRQ222" s="1"/>
      <c r="PRR222" s="1"/>
      <c r="PRS222" s="1"/>
      <c r="PRT222" s="1"/>
      <c r="PRU222" s="1"/>
      <c r="PRV222" s="1"/>
      <c r="PRW222" s="1"/>
      <c r="PRX222" s="1"/>
      <c r="PRY222" s="1"/>
      <c r="PRZ222" s="1"/>
      <c r="PSA222" s="1"/>
      <c r="PSB222" s="1"/>
      <c r="PSC222" s="1"/>
      <c r="PSD222" s="1"/>
      <c r="PSE222" s="1"/>
      <c r="PSF222" s="1"/>
      <c r="PSG222" s="1"/>
      <c r="PSH222" s="1"/>
      <c r="PSI222" s="1"/>
      <c r="PSJ222" s="1"/>
      <c r="PSK222" s="1"/>
      <c r="PSL222" s="1"/>
      <c r="PSM222" s="1"/>
      <c r="PSN222" s="1"/>
      <c r="PSO222" s="1"/>
      <c r="PSP222" s="1"/>
      <c r="PSQ222" s="1"/>
      <c r="PSR222" s="1"/>
      <c r="PSS222" s="1"/>
      <c r="PST222" s="1"/>
      <c r="PSU222" s="1"/>
      <c r="PSV222" s="1"/>
      <c r="PSW222" s="1"/>
      <c r="PSX222" s="1"/>
      <c r="PSY222" s="1"/>
      <c r="PSZ222" s="1"/>
      <c r="PTA222" s="1"/>
      <c r="PTB222" s="1"/>
      <c r="PTC222" s="1"/>
      <c r="PTD222" s="1"/>
      <c r="PTE222" s="1"/>
      <c r="PTF222" s="1"/>
      <c r="PTG222" s="1"/>
      <c r="PTH222" s="1"/>
      <c r="PTI222" s="1"/>
      <c r="PTJ222" s="1"/>
      <c r="PTK222" s="1"/>
      <c r="PTL222" s="1"/>
      <c r="PTM222" s="1"/>
      <c r="PTN222" s="1"/>
      <c r="PTO222" s="1"/>
      <c r="PTP222" s="1"/>
      <c r="PTQ222" s="1"/>
      <c r="PTR222" s="1"/>
      <c r="PTS222" s="1"/>
      <c r="PTT222" s="1"/>
      <c r="PTU222" s="1"/>
      <c r="PTV222" s="1"/>
      <c r="PTW222" s="1"/>
      <c r="PTX222" s="1"/>
      <c r="PTY222" s="1"/>
      <c r="PTZ222" s="1"/>
      <c r="PUA222" s="1"/>
      <c r="PUB222" s="1"/>
      <c r="PUC222" s="1"/>
      <c r="PUD222" s="1"/>
      <c r="PUE222" s="1"/>
      <c r="PUF222" s="1"/>
      <c r="PUG222" s="1"/>
      <c r="PUH222" s="1"/>
      <c r="PUI222" s="1"/>
      <c r="PUJ222" s="1"/>
      <c r="PUK222" s="1"/>
      <c r="PUL222" s="1"/>
      <c r="PUM222" s="1"/>
      <c r="PUN222" s="1"/>
      <c r="PUO222" s="1"/>
      <c r="PUP222" s="1"/>
      <c r="PUQ222" s="1"/>
      <c r="PUR222" s="1"/>
      <c r="PUS222" s="1"/>
      <c r="PUT222" s="1"/>
      <c r="PUU222" s="1"/>
      <c r="PUV222" s="1"/>
      <c r="PUW222" s="1"/>
      <c r="PUX222" s="1"/>
      <c r="PUY222" s="1"/>
      <c r="PUZ222" s="1"/>
      <c r="PVA222" s="1"/>
      <c r="PVB222" s="1"/>
      <c r="PVC222" s="1"/>
      <c r="PVD222" s="1"/>
      <c r="PVE222" s="1"/>
      <c r="PVF222" s="1"/>
      <c r="PVG222" s="1"/>
      <c r="PVH222" s="1"/>
      <c r="PVI222" s="1"/>
      <c r="PVJ222" s="1"/>
      <c r="PVK222" s="1"/>
      <c r="PVL222" s="1"/>
      <c r="PVM222" s="1"/>
      <c r="PVN222" s="1"/>
      <c r="PVO222" s="1"/>
      <c r="PVP222" s="1"/>
      <c r="PVQ222" s="1"/>
      <c r="PVR222" s="1"/>
      <c r="PVS222" s="1"/>
      <c r="PVT222" s="1"/>
      <c r="PVU222" s="1"/>
      <c r="PVV222" s="1"/>
      <c r="PVW222" s="1"/>
      <c r="PVX222" s="1"/>
      <c r="PVY222" s="1"/>
      <c r="PVZ222" s="1"/>
      <c r="PWA222" s="1"/>
      <c r="PWB222" s="1"/>
      <c r="PWC222" s="1"/>
      <c r="PWD222" s="1"/>
      <c r="PWE222" s="1"/>
      <c r="PWF222" s="1"/>
      <c r="PWG222" s="1"/>
      <c r="PWH222" s="1"/>
      <c r="PWI222" s="1"/>
      <c r="PWJ222" s="1"/>
      <c r="PWK222" s="1"/>
      <c r="PWL222" s="1"/>
      <c r="PWM222" s="1"/>
      <c r="PWN222" s="1"/>
      <c r="PWO222" s="1"/>
      <c r="PWP222" s="1"/>
      <c r="PWQ222" s="1"/>
      <c r="PWR222" s="1"/>
      <c r="PWS222" s="1"/>
      <c r="PWT222" s="1"/>
      <c r="PWU222" s="1"/>
      <c r="PWV222" s="1"/>
      <c r="PWW222" s="1"/>
      <c r="PWX222" s="1"/>
      <c r="PWY222" s="1"/>
      <c r="PWZ222" s="1"/>
      <c r="PXA222" s="1"/>
      <c r="PXB222" s="1"/>
      <c r="PXC222" s="1"/>
      <c r="PXD222" s="1"/>
      <c r="PXE222" s="1"/>
      <c r="PXF222" s="1"/>
      <c r="PXG222" s="1"/>
      <c r="PXH222" s="1"/>
      <c r="PXI222" s="1"/>
      <c r="PXJ222" s="1"/>
      <c r="PXK222" s="1"/>
      <c r="PXL222" s="1"/>
      <c r="PXM222" s="1"/>
      <c r="PXN222" s="1"/>
      <c r="PXO222" s="1"/>
      <c r="PXP222" s="1"/>
      <c r="PXQ222" s="1"/>
      <c r="PXR222" s="1"/>
      <c r="PXS222" s="1"/>
      <c r="PXT222" s="1"/>
      <c r="PXU222" s="1"/>
      <c r="PXV222" s="1"/>
      <c r="PXW222" s="1"/>
      <c r="PXX222" s="1"/>
      <c r="PXY222" s="1"/>
      <c r="PXZ222" s="1"/>
      <c r="PYA222" s="1"/>
      <c r="PYB222" s="1"/>
      <c r="PYC222" s="1"/>
      <c r="PYD222" s="1"/>
      <c r="PYE222" s="1"/>
      <c r="PYF222" s="1"/>
      <c r="PYG222" s="1"/>
      <c r="PYH222" s="1"/>
      <c r="PYI222" s="1"/>
      <c r="PYJ222" s="1"/>
      <c r="PYK222" s="1"/>
      <c r="PYL222" s="1"/>
      <c r="PYM222" s="1"/>
      <c r="PYN222" s="1"/>
      <c r="PYO222" s="1"/>
      <c r="PYP222" s="1"/>
      <c r="PYQ222" s="1"/>
      <c r="PYR222" s="1"/>
      <c r="PYS222" s="1"/>
      <c r="PYT222" s="1"/>
      <c r="PYU222" s="1"/>
      <c r="PYV222" s="1"/>
      <c r="PYW222" s="1"/>
      <c r="PYX222" s="1"/>
      <c r="PYY222" s="1"/>
      <c r="PYZ222" s="1"/>
      <c r="PZA222" s="1"/>
      <c r="PZB222" s="1"/>
      <c r="PZC222" s="1"/>
      <c r="PZD222" s="1"/>
      <c r="PZE222" s="1"/>
      <c r="PZF222" s="1"/>
      <c r="PZG222" s="1"/>
      <c r="PZH222" s="1"/>
      <c r="PZI222" s="1"/>
      <c r="PZJ222" s="1"/>
      <c r="PZK222" s="1"/>
      <c r="PZL222" s="1"/>
      <c r="PZM222" s="1"/>
      <c r="PZN222" s="1"/>
      <c r="PZO222" s="1"/>
      <c r="PZP222" s="1"/>
      <c r="PZQ222" s="1"/>
      <c r="PZR222" s="1"/>
      <c r="PZS222" s="1"/>
      <c r="PZT222" s="1"/>
      <c r="PZU222" s="1"/>
      <c r="PZV222" s="1"/>
      <c r="PZW222" s="1"/>
      <c r="PZX222" s="1"/>
      <c r="PZY222" s="1"/>
      <c r="PZZ222" s="1"/>
      <c r="QAA222" s="1"/>
      <c r="QAB222" s="1"/>
      <c r="QAC222" s="1"/>
      <c r="QAD222" s="1"/>
      <c r="QAE222" s="1"/>
      <c r="QAF222" s="1"/>
      <c r="QAG222" s="1"/>
      <c r="QAH222" s="1"/>
      <c r="QAI222" s="1"/>
      <c r="QAJ222" s="1"/>
      <c r="QAK222" s="1"/>
      <c r="QAL222" s="1"/>
      <c r="QAM222" s="1"/>
      <c r="QAN222" s="1"/>
      <c r="QAO222" s="1"/>
      <c r="QAP222" s="1"/>
      <c r="QAQ222" s="1"/>
      <c r="QAR222" s="1"/>
      <c r="QAS222" s="1"/>
      <c r="QAT222" s="1"/>
      <c r="QAU222" s="1"/>
      <c r="QAV222" s="1"/>
      <c r="QAW222" s="1"/>
      <c r="QAX222" s="1"/>
      <c r="QAY222" s="1"/>
      <c r="QAZ222" s="1"/>
      <c r="QBA222" s="1"/>
      <c r="QBB222" s="1"/>
      <c r="QBC222" s="1"/>
      <c r="QBD222" s="1"/>
      <c r="QBE222" s="1"/>
      <c r="QBF222" s="1"/>
      <c r="QBG222" s="1"/>
      <c r="QBH222" s="1"/>
      <c r="QBI222" s="1"/>
      <c r="QBJ222" s="1"/>
      <c r="QBK222" s="1"/>
      <c r="QBL222" s="1"/>
      <c r="QBM222" s="1"/>
      <c r="QBN222" s="1"/>
      <c r="QBO222" s="1"/>
      <c r="QBP222" s="1"/>
      <c r="QBQ222" s="1"/>
      <c r="QBR222" s="1"/>
      <c r="QBS222" s="1"/>
      <c r="QBT222" s="1"/>
      <c r="QBU222" s="1"/>
      <c r="QBV222" s="1"/>
      <c r="QBW222" s="1"/>
      <c r="QBX222" s="1"/>
      <c r="QBY222" s="1"/>
      <c r="QBZ222" s="1"/>
      <c r="QCA222" s="1"/>
      <c r="QCB222" s="1"/>
      <c r="QCC222" s="1"/>
      <c r="QCD222" s="1"/>
      <c r="QCE222" s="1"/>
      <c r="QCF222" s="1"/>
      <c r="QCG222" s="1"/>
      <c r="QCH222" s="1"/>
      <c r="QCI222" s="1"/>
      <c r="QCJ222" s="1"/>
      <c r="QCK222" s="1"/>
      <c r="QCL222" s="1"/>
      <c r="QCM222" s="1"/>
      <c r="QCN222" s="1"/>
      <c r="QCO222" s="1"/>
      <c r="QCP222" s="1"/>
      <c r="QCQ222" s="1"/>
      <c r="QCR222" s="1"/>
      <c r="QCS222" s="1"/>
      <c r="QCT222" s="1"/>
      <c r="QCU222" s="1"/>
      <c r="QCV222" s="1"/>
      <c r="QCW222" s="1"/>
      <c r="QCX222" s="1"/>
      <c r="QCY222" s="1"/>
      <c r="QCZ222" s="1"/>
      <c r="QDA222" s="1"/>
      <c r="QDB222" s="1"/>
      <c r="QDC222" s="1"/>
      <c r="QDD222" s="1"/>
      <c r="QDE222" s="1"/>
      <c r="QDF222" s="1"/>
      <c r="QDG222" s="1"/>
      <c r="QDH222" s="1"/>
      <c r="QDI222" s="1"/>
      <c r="QDJ222" s="1"/>
      <c r="QDK222" s="1"/>
      <c r="QDL222" s="1"/>
      <c r="QDM222" s="1"/>
      <c r="QDN222" s="1"/>
      <c r="QDO222" s="1"/>
      <c r="QDP222" s="1"/>
      <c r="QDQ222" s="1"/>
      <c r="QDR222" s="1"/>
      <c r="QDS222" s="1"/>
      <c r="QDT222" s="1"/>
      <c r="QDU222" s="1"/>
      <c r="QDV222" s="1"/>
      <c r="QDW222" s="1"/>
      <c r="QDX222" s="1"/>
      <c r="QDY222" s="1"/>
      <c r="QDZ222" s="1"/>
      <c r="QEA222" s="1"/>
      <c r="QEB222" s="1"/>
      <c r="QEC222" s="1"/>
      <c r="QED222" s="1"/>
      <c r="QEE222" s="1"/>
      <c r="QEF222" s="1"/>
      <c r="QEG222" s="1"/>
      <c r="QEH222" s="1"/>
      <c r="QEI222" s="1"/>
      <c r="QEJ222" s="1"/>
      <c r="QEK222" s="1"/>
      <c r="QEL222" s="1"/>
      <c r="QEM222" s="1"/>
      <c r="QEN222" s="1"/>
      <c r="QEO222" s="1"/>
      <c r="QEP222" s="1"/>
      <c r="QEQ222" s="1"/>
      <c r="QER222" s="1"/>
      <c r="QES222" s="1"/>
      <c r="QET222" s="1"/>
      <c r="QEU222" s="1"/>
      <c r="QEV222" s="1"/>
      <c r="QEW222" s="1"/>
      <c r="QEX222" s="1"/>
      <c r="QEY222" s="1"/>
      <c r="QEZ222" s="1"/>
      <c r="QFA222" s="1"/>
      <c r="QFB222" s="1"/>
      <c r="QFC222" s="1"/>
      <c r="QFD222" s="1"/>
      <c r="QFE222" s="1"/>
      <c r="QFF222" s="1"/>
      <c r="QFG222" s="1"/>
      <c r="QFH222" s="1"/>
      <c r="QFI222" s="1"/>
      <c r="QFJ222" s="1"/>
      <c r="QFK222" s="1"/>
      <c r="QFL222" s="1"/>
      <c r="QFM222" s="1"/>
      <c r="QFN222" s="1"/>
      <c r="QFO222" s="1"/>
      <c r="QFP222" s="1"/>
      <c r="QFQ222" s="1"/>
      <c r="QFR222" s="1"/>
      <c r="QFS222" s="1"/>
      <c r="QFT222" s="1"/>
      <c r="QFU222" s="1"/>
      <c r="QFV222" s="1"/>
      <c r="QFW222" s="1"/>
      <c r="QFX222" s="1"/>
      <c r="QFY222" s="1"/>
      <c r="QFZ222" s="1"/>
      <c r="QGA222" s="1"/>
      <c r="QGB222" s="1"/>
      <c r="QGC222" s="1"/>
      <c r="QGD222" s="1"/>
      <c r="QGE222" s="1"/>
      <c r="QGF222" s="1"/>
      <c r="QGG222" s="1"/>
      <c r="QGH222" s="1"/>
      <c r="QGI222" s="1"/>
      <c r="QGJ222" s="1"/>
      <c r="QGK222" s="1"/>
      <c r="QGL222" s="1"/>
      <c r="QGM222" s="1"/>
      <c r="QGN222" s="1"/>
      <c r="QGO222" s="1"/>
      <c r="QGP222" s="1"/>
      <c r="QGQ222" s="1"/>
      <c r="QGR222" s="1"/>
      <c r="QGS222" s="1"/>
      <c r="QGT222" s="1"/>
      <c r="QGU222" s="1"/>
      <c r="QGV222" s="1"/>
      <c r="QGW222" s="1"/>
      <c r="QGX222" s="1"/>
      <c r="QGY222" s="1"/>
      <c r="QGZ222" s="1"/>
      <c r="QHA222" s="1"/>
      <c r="QHB222" s="1"/>
      <c r="QHC222" s="1"/>
      <c r="QHD222" s="1"/>
      <c r="QHE222" s="1"/>
      <c r="QHF222" s="1"/>
      <c r="QHG222" s="1"/>
      <c r="QHH222" s="1"/>
      <c r="QHI222" s="1"/>
      <c r="QHJ222" s="1"/>
      <c r="QHK222" s="1"/>
      <c r="QHL222" s="1"/>
      <c r="QHM222" s="1"/>
      <c r="QHN222" s="1"/>
      <c r="QHO222" s="1"/>
      <c r="QHP222" s="1"/>
      <c r="QHQ222" s="1"/>
      <c r="QHR222" s="1"/>
      <c r="QHS222" s="1"/>
      <c r="QHT222" s="1"/>
      <c r="QHU222" s="1"/>
      <c r="QHV222" s="1"/>
      <c r="QHW222" s="1"/>
      <c r="QHX222" s="1"/>
      <c r="QHY222" s="1"/>
      <c r="QHZ222" s="1"/>
      <c r="QIA222" s="1"/>
      <c r="QIB222" s="1"/>
      <c r="QIC222" s="1"/>
      <c r="QID222" s="1"/>
      <c r="QIE222" s="1"/>
      <c r="QIF222" s="1"/>
      <c r="QIG222" s="1"/>
      <c r="QIH222" s="1"/>
      <c r="QII222" s="1"/>
      <c r="QIJ222" s="1"/>
      <c r="QIK222" s="1"/>
      <c r="QIL222" s="1"/>
      <c r="QIM222" s="1"/>
      <c r="QIN222" s="1"/>
      <c r="QIO222" s="1"/>
      <c r="QIP222" s="1"/>
      <c r="QIQ222" s="1"/>
      <c r="QIR222" s="1"/>
      <c r="QIS222" s="1"/>
      <c r="QIT222" s="1"/>
      <c r="QIU222" s="1"/>
      <c r="QIV222" s="1"/>
      <c r="QIW222" s="1"/>
      <c r="QIX222" s="1"/>
      <c r="QIY222" s="1"/>
      <c r="QIZ222" s="1"/>
      <c r="QJA222" s="1"/>
      <c r="QJB222" s="1"/>
      <c r="QJC222" s="1"/>
      <c r="QJD222" s="1"/>
      <c r="QJE222" s="1"/>
      <c r="QJF222" s="1"/>
      <c r="QJG222" s="1"/>
      <c r="QJH222" s="1"/>
      <c r="QJI222" s="1"/>
      <c r="QJJ222" s="1"/>
      <c r="QJK222" s="1"/>
      <c r="QJL222" s="1"/>
      <c r="QJM222" s="1"/>
      <c r="QJN222" s="1"/>
      <c r="QJO222" s="1"/>
      <c r="QJP222" s="1"/>
      <c r="QJQ222" s="1"/>
      <c r="QJR222" s="1"/>
      <c r="QJS222" s="1"/>
      <c r="QJT222" s="1"/>
      <c r="QJU222" s="1"/>
      <c r="QJV222" s="1"/>
      <c r="QJW222" s="1"/>
      <c r="QJX222" s="1"/>
      <c r="QJY222" s="1"/>
      <c r="QJZ222" s="1"/>
      <c r="QKA222" s="1"/>
      <c r="QKB222" s="1"/>
      <c r="QKC222" s="1"/>
      <c r="QKD222" s="1"/>
      <c r="QKE222" s="1"/>
      <c r="QKF222" s="1"/>
      <c r="QKG222" s="1"/>
      <c r="QKH222" s="1"/>
      <c r="QKI222" s="1"/>
      <c r="QKJ222" s="1"/>
      <c r="QKK222" s="1"/>
      <c r="QKL222" s="1"/>
      <c r="QKM222" s="1"/>
      <c r="QKN222" s="1"/>
      <c r="QKO222" s="1"/>
      <c r="QKP222" s="1"/>
      <c r="QKQ222" s="1"/>
      <c r="QKR222" s="1"/>
      <c r="QKS222" s="1"/>
      <c r="QKT222" s="1"/>
      <c r="QKU222" s="1"/>
      <c r="QKV222" s="1"/>
      <c r="QKW222" s="1"/>
      <c r="QKX222" s="1"/>
      <c r="QKY222" s="1"/>
      <c r="QKZ222" s="1"/>
      <c r="QLA222" s="1"/>
      <c r="QLB222" s="1"/>
      <c r="QLC222" s="1"/>
      <c r="QLD222" s="1"/>
      <c r="QLE222" s="1"/>
      <c r="QLF222" s="1"/>
      <c r="QLG222" s="1"/>
      <c r="QLH222" s="1"/>
      <c r="QLI222" s="1"/>
      <c r="QLJ222" s="1"/>
      <c r="QLK222" s="1"/>
      <c r="QLL222" s="1"/>
      <c r="QLM222" s="1"/>
      <c r="QLN222" s="1"/>
      <c r="QLO222" s="1"/>
      <c r="QLP222" s="1"/>
      <c r="QLQ222" s="1"/>
      <c r="QLR222" s="1"/>
      <c r="QLS222" s="1"/>
      <c r="QLT222" s="1"/>
      <c r="QLU222" s="1"/>
      <c r="QLV222" s="1"/>
      <c r="QLW222" s="1"/>
      <c r="QLX222" s="1"/>
      <c r="QLY222" s="1"/>
      <c r="QLZ222" s="1"/>
      <c r="QMA222" s="1"/>
      <c r="QMB222" s="1"/>
      <c r="QMC222" s="1"/>
      <c r="QMD222" s="1"/>
      <c r="QME222" s="1"/>
      <c r="QMF222" s="1"/>
      <c r="QMG222" s="1"/>
      <c r="QMH222" s="1"/>
      <c r="QMI222" s="1"/>
      <c r="QMJ222" s="1"/>
      <c r="QMK222" s="1"/>
      <c r="QML222" s="1"/>
      <c r="QMM222" s="1"/>
      <c r="QMN222" s="1"/>
      <c r="QMO222" s="1"/>
      <c r="QMP222" s="1"/>
      <c r="QMQ222" s="1"/>
      <c r="QMR222" s="1"/>
      <c r="QMS222" s="1"/>
      <c r="QMT222" s="1"/>
      <c r="QMU222" s="1"/>
      <c r="QMV222" s="1"/>
      <c r="QMW222" s="1"/>
      <c r="QMX222" s="1"/>
      <c r="QMY222" s="1"/>
      <c r="QMZ222" s="1"/>
      <c r="QNA222" s="1"/>
      <c r="QNB222" s="1"/>
      <c r="QNC222" s="1"/>
      <c r="QND222" s="1"/>
      <c r="QNE222" s="1"/>
      <c r="QNF222" s="1"/>
      <c r="QNG222" s="1"/>
      <c r="QNH222" s="1"/>
      <c r="QNI222" s="1"/>
      <c r="QNJ222" s="1"/>
      <c r="QNK222" s="1"/>
      <c r="QNL222" s="1"/>
      <c r="QNM222" s="1"/>
      <c r="QNN222" s="1"/>
      <c r="QNO222" s="1"/>
      <c r="QNP222" s="1"/>
      <c r="QNQ222" s="1"/>
      <c r="QNR222" s="1"/>
      <c r="QNS222" s="1"/>
      <c r="QNT222" s="1"/>
      <c r="QNU222" s="1"/>
      <c r="QNV222" s="1"/>
      <c r="QNW222" s="1"/>
      <c r="QNX222" s="1"/>
      <c r="QNY222" s="1"/>
      <c r="QNZ222" s="1"/>
      <c r="QOA222" s="1"/>
      <c r="QOB222" s="1"/>
      <c r="QOC222" s="1"/>
      <c r="QOD222" s="1"/>
      <c r="QOE222" s="1"/>
      <c r="QOF222" s="1"/>
      <c r="QOG222" s="1"/>
      <c r="QOH222" s="1"/>
      <c r="QOI222" s="1"/>
      <c r="QOJ222" s="1"/>
      <c r="QOK222" s="1"/>
      <c r="QOL222" s="1"/>
      <c r="QOM222" s="1"/>
      <c r="QON222" s="1"/>
      <c r="QOO222" s="1"/>
      <c r="QOP222" s="1"/>
      <c r="QOQ222" s="1"/>
      <c r="QOR222" s="1"/>
      <c r="QOS222" s="1"/>
      <c r="QOT222" s="1"/>
      <c r="QOU222" s="1"/>
      <c r="QOV222" s="1"/>
      <c r="QOW222" s="1"/>
      <c r="QOX222" s="1"/>
      <c r="QOY222" s="1"/>
      <c r="QOZ222" s="1"/>
      <c r="QPA222" s="1"/>
      <c r="QPB222" s="1"/>
      <c r="QPC222" s="1"/>
      <c r="QPD222" s="1"/>
      <c r="QPE222" s="1"/>
      <c r="QPF222" s="1"/>
      <c r="QPG222" s="1"/>
      <c r="QPH222" s="1"/>
      <c r="QPI222" s="1"/>
      <c r="QPJ222" s="1"/>
      <c r="QPK222" s="1"/>
      <c r="QPL222" s="1"/>
      <c r="QPM222" s="1"/>
      <c r="QPN222" s="1"/>
      <c r="QPO222" s="1"/>
      <c r="QPP222" s="1"/>
      <c r="QPQ222" s="1"/>
      <c r="QPR222" s="1"/>
      <c r="QPS222" s="1"/>
      <c r="QPT222" s="1"/>
      <c r="QPU222" s="1"/>
      <c r="QPV222" s="1"/>
      <c r="QPW222" s="1"/>
      <c r="QPX222" s="1"/>
      <c r="QPY222" s="1"/>
      <c r="QPZ222" s="1"/>
      <c r="QQA222" s="1"/>
      <c r="QQB222" s="1"/>
      <c r="QQC222" s="1"/>
      <c r="QQD222" s="1"/>
      <c r="QQE222" s="1"/>
      <c r="QQF222" s="1"/>
      <c r="QQG222" s="1"/>
      <c r="QQH222" s="1"/>
      <c r="QQI222" s="1"/>
      <c r="QQJ222" s="1"/>
      <c r="QQK222" s="1"/>
      <c r="QQL222" s="1"/>
      <c r="QQM222" s="1"/>
      <c r="QQN222" s="1"/>
      <c r="QQO222" s="1"/>
      <c r="QQP222" s="1"/>
      <c r="QQQ222" s="1"/>
      <c r="QQR222" s="1"/>
      <c r="QQS222" s="1"/>
      <c r="QQT222" s="1"/>
      <c r="QQU222" s="1"/>
      <c r="QQV222" s="1"/>
      <c r="QQW222" s="1"/>
      <c r="QQX222" s="1"/>
      <c r="QQY222" s="1"/>
      <c r="QQZ222" s="1"/>
      <c r="QRA222" s="1"/>
      <c r="QRB222" s="1"/>
      <c r="QRC222" s="1"/>
      <c r="QRD222" s="1"/>
      <c r="QRE222" s="1"/>
      <c r="QRF222" s="1"/>
      <c r="QRG222" s="1"/>
      <c r="QRH222" s="1"/>
      <c r="QRI222" s="1"/>
      <c r="QRJ222" s="1"/>
      <c r="QRK222" s="1"/>
      <c r="QRL222" s="1"/>
      <c r="QRM222" s="1"/>
      <c r="QRN222" s="1"/>
      <c r="QRO222" s="1"/>
      <c r="QRP222" s="1"/>
      <c r="QRQ222" s="1"/>
      <c r="QRR222" s="1"/>
      <c r="QRS222" s="1"/>
      <c r="QRT222" s="1"/>
      <c r="QRU222" s="1"/>
      <c r="QRV222" s="1"/>
      <c r="QRW222" s="1"/>
      <c r="QRX222" s="1"/>
      <c r="QRY222" s="1"/>
      <c r="QRZ222" s="1"/>
      <c r="QSA222" s="1"/>
      <c r="QSB222" s="1"/>
      <c r="QSC222" s="1"/>
      <c r="QSD222" s="1"/>
      <c r="QSE222" s="1"/>
      <c r="QSF222" s="1"/>
      <c r="QSG222" s="1"/>
      <c r="QSH222" s="1"/>
      <c r="QSI222" s="1"/>
      <c r="QSJ222" s="1"/>
      <c r="QSK222" s="1"/>
      <c r="QSL222" s="1"/>
      <c r="QSM222" s="1"/>
      <c r="QSN222" s="1"/>
      <c r="QSO222" s="1"/>
      <c r="QSP222" s="1"/>
      <c r="QSQ222" s="1"/>
      <c r="QSR222" s="1"/>
      <c r="QSS222" s="1"/>
      <c r="QST222" s="1"/>
      <c r="QSU222" s="1"/>
      <c r="QSV222" s="1"/>
      <c r="QSW222" s="1"/>
      <c r="QSX222" s="1"/>
      <c r="QSY222" s="1"/>
      <c r="QSZ222" s="1"/>
      <c r="QTA222" s="1"/>
      <c r="QTB222" s="1"/>
      <c r="QTC222" s="1"/>
      <c r="QTD222" s="1"/>
      <c r="QTE222" s="1"/>
      <c r="QTF222" s="1"/>
      <c r="QTG222" s="1"/>
      <c r="QTH222" s="1"/>
      <c r="QTI222" s="1"/>
      <c r="QTJ222" s="1"/>
      <c r="QTK222" s="1"/>
      <c r="QTL222" s="1"/>
      <c r="QTM222" s="1"/>
      <c r="QTN222" s="1"/>
      <c r="QTO222" s="1"/>
      <c r="QTP222" s="1"/>
      <c r="QTQ222" s="1"/>
      <c r="QTR222" s="1"/>
      <c r="QTS222" s="1"/>
      <c r="QTT222" s="1"/>
      <c r="QTU222" s="1"/>
      <c r="QTV222" s="1"/>
      <c r="QTW222" s="1"/>
      <c r="QTX222" s="1"/>
      <c r="QTY222" s="1"/>
      <c r="QTZ222" s="1"/>
      <c r="QUA222" s="1"/>
      <c r="QUB222" s="1"/>
      <c r="QUC222" s="1"/>
      <c r="QUD222" s="1"/>
      <c r="QUE222" s="1"/>
      <c r="QUF222" s="1"/>
      <c r="QUG222" s="1"/>
      <c r="QUH222" s="1"/>
      <c r="QUI222" s="1"/>
      <c r="QUJ222" s="1"/>
      <c r="QUK222" s="1"/>
      <c r="QUL222" s="1"/>
      <c r="QUM222" s="1"/>
      <c r="QUN222" s="1"/>
      <c r="QUO222" s="1"/>
      <c r="QUP222" s="1"/>
      <c r="QUQ222" s="1"/>
      <c r="QUR222" s="1"/>
      <c r="QUS222" s="1"/>
      <c r="QUT222" s="1"/>
      <c r="QUU222" s="1"/>
      <c r="QUV222" s="1"/>
      <c r="QUW222" s="1"/>
      <c r="QUX222" s="1"/>
      <c r="QUY222" s="1"/>
      <c r="QUZ222" s="1"/>
      <c r="QVA222" s="1"/>
      <c r="QVB222" s="1"/>
      <c r="QVC222" s="1"/>
      <c r="QVD222" s="1"/>
      <c r="QVE222" s="1"/>
      <c r="QVF222" s="1"/>
      <c r="QVG222" s="1"/>
      <c r="QVH222" s="1"/>
      <c r="QVI222" s="1"/>
      <c r="QVJ222" s="1"/>
      <c r="QVK222" s="1"/>
      <c r="QVL222" s="1"/>
      <c r="QVM222" s="1"/>
      <c r="QVN222" s="1"/>
      <c r="QVO222" s="1"/>
      <c r="QVP222" s="1"/>
      <c r="QVQ222" s="1"/>
      <c r="QVR222" s="1"/>
      <c r="QVS222" s="1"/>
      <c r="QVT222" s="1"/>
      <c r="QVU222" s="1"/>
      <c r="QVV222" s="1"/>
      <c r="QVW222" s="1"/>
      <c r="QVX222" s="1"/>
      <c r="QVY222" s="1"/>
      <c r="QVZ222" s="1"/>
      <c r="QWA222" s="1"/>
      <c r="QWB222" s="1"/>
      <c r="QWC222" s="1"/>
      <c r="QWD222" s="1"/>
      <c r="QWE222" s="1"/>
      <c r="QWF222" s="1"/>
      <c r="QWG222" s="1"/>
      <c r="QWH222" s="1"/>
      <c r="QWI222" s="1"/>
      <c r="QWJ222" s="1"/>
      <c r="QWK222" s="1"/>
      <c r="QWL222" s="1"/>
      <c r="QWM222" s="1"/>
      <c r="QWN222" s="1"/>
      <c r="QWO222" s="1"/>
      <c r="QWP222" s="1"/>
      <c r="QWQ222" s="1"/>
      <c r="QWR222" s="1"/>
      <c r="QWS222" s="1"/>
      <c r="QWT222" s="1"/>
      <c r="QWU222" s="1"/>
      <c r="QWV222" s="1"/>
      <c r="QWW222" s="1"/>
      <c r="QWX222" s="1"/>
      <c r="QWY222" s="1"/>
      <c r="QWZ222" s="1"/>
      <c r="QXA222" s="1"/>
      <c r="QXB222" s="1"/>
      <c r="QXC222" s="1"/>
      <c r="QXD222" s="1"/>
      <c r="QXE222" s="1"/>
      <c r="QXF222" s="1"/>
      <c r="QXG222" s="1"/>
      <c r="QXH222" s="1"/>
      <c r="QXI222" s="1"/>
      <c r="QXJ222" s="1"/>
      <c r="QXK222" s="1"/>
      <c r="QXL222" s="1"/>
      <c r="QXM222" s="1"/>
      <c r="QXN222" s="1"/>
      <c r="QXO222" s="1"/>
      <c r="QXP222" s="1"/>
      <c r="QXQ222" s="1"/>
      <c r="QXR222" s="1"/>
      <c r="QXS222" s="1"/>
      <c r="QXT222" s="1"/>
      <c r="QXU222" s="1"/>
      <c r="QXV222" s="1"/>
      <c r="QXW222" s="1"/>
      <c r="QXX222" s="1"/>
      <c r="QXY222" s="1"/>
      <c r="QXZ222" s="1"/>
      <c r="QYA222" s="1"/>
      <c r="QYB222" s="1"/>
      <c r="QYC222" s="1"/>
      <c r="QYD222" s="1"/>
      <c r="QYE222" s="1"/>
      <c r="QYF222" s="1"/>
      <c r="QYG222" s="1"/>
      <c r="QYH222" s="1"/>
      <c r="QYI222" s="1"/>
      <c r="QYJ222" s="1"/>
      <c r="QYK222" s="1"/>
      <c r="QYL222" s="1"/>
      <c r="QYM222" s="1"/>
      <c r="QYN222" s="1"/>
      <c r="QYO222" s="1"/>
      <c r="QYP222" s="1"/>
      <c r="QYQ222" s="1"/>
      <c r="QYR222" s="1"/>
      <c r="QYS222" s="1"/>
      <c r="QYT222" s="1"/>
      <c r="QYU222" s="1"/>
      <c r="QYV222" s="1"/>
      <c r="QYW222" s="1"/>
      <c r="QYX222" s="1"/>
      <c r="QYY222" s="1"/>
      <c r="QYZ222" s="1"/>
      <c r="QZA222" s="1"/>
      <c r="QZB222" s="1"/>
      <c r="QZC222" s="1"/>
      <c r="QZD222" s="1"/>
      <c r="QZE222" s="1"/>
      <c r="QZF222" s="1"/>
      <c r="QZG222" s="1"/>
      <c r="QZH222" s="1"/>
      <c r="QZI222" s="1"/>
      <c r="QZJ222" s="1"/>
      <c r="QZK222" s="1"/>
      <c r="QZL222" s="1"/>
      <c r="QZM222" s="1"/>
      <c r="QZN222" s="1"/>
      <c r="QZO222" s="1"/>
      <c r="QZP222" s="1"/>
      <c r="QZQ222" s="1"/>
      <c r="QZR222" s="1"/>
      <c r="QZS222" s="1"/>
      <c r="QZT222" s="1"/>
      <c r="QZU222" s="1"/>
      <c r="QZV222" s="1"/>
      <c r="QZW222" s="1"/>
      <c r="QZX222" s="1"/>
      <c r="QZY222" s="1"/>
      <c r="QZZ222" s="1"/>
      <c r="RAA222" s="1"/>
      <c r="RAB222" s="1"/>
      <c r="RAC222" s="1"/>
      <c r="RAD222" s="1"/>
      <c r="RAE222" s="1"/>
      <c r="RAF222" s="1"/>
      <c r="RAG222" s="1"/>
      <c r="RAH222" s="1"/>
      <c r="RAI222" s="1"/>
      <c r="RAJ222" s="1"/>
      <c r="RAK222" s="1"/>
      <c r="RAL222" s="1"/>
      <c r="RAM222" s="1"/>
      <c r="RAN222" s="1"/>
      <c r="RAO222" s="1"/>
      <c r="RAP222" s="1"/>
      <c r="RAQ222" s="1"/>
      <c r="RAR222" s="1"/>
      <c r="RAS222" s="1"/>
      <c r="RAT222" s="1"/>
      <c r="RAU222" s="1"/>
      <c r="RAV222" s="1"/>
      <c r="RAW222" s="1"/>
      <c r="RAX222" s="1"/>
      <c r="RAY222" s="1"/>
      <c r="RAZ222" s="1"/>
      <c r="RBA222" s="1"/>
      <c r="RBB222" s="1"/>
      <c r="RBC222" s="1"/>
      <c r="RBD222" s="1"/>
      <c r="RBE222" s="1"/>
      <c r="RBF222" s="1"/>
      <c r="RBG222" s="1"/>
      <c r="RBH222" s="1"/>
      <c r="RBI222" s="1"/>
      <c r="RBJ222" s="1"/>
      <c r="RBK222" s="1"/>
      <c r="RBL222" s="1"/>
      <c r="RBM222" s="1"/>
      <c r="RBN222" s="1"/>
      <c r="RBO222" s="1"/>
      <c r="RBP222" s="1"/>
      <c r="RBQ222" s="1"/>
      <c r="RBR222" s="1"/>
      <c r="RBS222" s="1"/>
      <c r="RBT222" s="1"/>
      <c r="RBU222" s="1"/>
      <c r="RBV222" s="1"/>
      <c r="RBW222" s="1"/>
      <c r="RBX222" s="1"/>
      <c r="RBY222" s="1"/>
      <c r="RBZ222" s="1"/>
      <c r="RCA222" s="1"/>
      <c r="RCB222" s="1"/>
      <c r="RCC222" s="1"/>
      <c r="RCD222" s="1"/>
      <c r="RCE222" s="1"/>
      <c r="RCF222" s="1"/>
      <c r="RCG222" s="1"/>
      <c r="RCH222" s="1"/>
      <c r="RCI222" s="1"/>
      <c r="RCJ222" s="1"/>
      <c r="RCK222" s="1"/>
      <c r="RCL222" s="1"/>
      <c r="RCM222" s="1"/>
      <c r="RCN222" s="1"/>
      <c r="RCO222" s="1"/>
      <c r="RCP222" s="1"/>
      <c r="RCQ222" s="1"/>
      <c r="RCR222" s="1"/>
      <c r="RCS222" s="1"/>
      <c r="RCT222" s="1"/>
      <c r="RCU222" s="1"/>
      <c r="RCV222" s="1"/>
      <c r="RCW222" s="1"/>
      <c r="RCX222" s="1"/>
      <c r="RCY222" s="1"/>
      <c r="RCZ222" s="1"/>
      <c r="RDA222" s="1"/>
      <c r="RDB222" s="1"/>
      <c r="RDC222" s="1"/>
      <c r="RDD222" s="1"/>
      <c r="RDE222" s="1"/>
      <c r="RDF222" s="1"/>
      <c r="RDG222" s="1"/>
      <c r="RDH222" s="1"/>
      <c r="RDI222" s="1"/>
      <c r="RDJ222" s="1"/>
      <c r="RDK222" s="1"/>
      <c r="RDL222" s="1"/>
      <c r="RDM222" s="1"/>
      <c r="RDN222" s="1"/>
      <c r="RDO222" s="1"/>
      <c r="RDP222" s="1"/>
      <c r="RDQ222" s="1"/>
      <c r="RDR222" s="1"/>
      <c r="RDS222" s="1"/>
      <c r="RDT222" s="1"/>
      <c r="RDU222" s="1"/>
      <c r="RDV222" s="1"/>
      <c r="RDW222" s="1"/>
      <c r="RDX222" s="1"/>
      <c r="RDY222" s="1"/>
      <c r="RDZ222" s="1"/>
      <c r="REA222" s="1"/>
      <c r="REB222" s="1"/>
      <c r="REC222" s="1"/>
      <c r="RED222" s="1"/>
      <c r="REE222" s="1"/>
      <c r="REF222" s="1"/>
      <c r="REG222" s="1"/>
      <c r="REH222" s="1"/>
      <c r="REI222" s="1"/>
      <c r="REJ222" s="1"/>
      <c r="REK222" s="1"/>
      <c r="REL222" s="1"/>
      <c r="REM222" s="1"/>
      <c r="REN222" s="1"/>
      <c r="REO222" s="1"/>
      <c r="REP222" s="1"/>
      <c r="REQ222" s="1"/>
      <c r="RER222" s="1"/>
      <c r="RES222" s="1"/>
      <c r="RET222" s="1"/>
      <c r="REU222" s="1"/>
      <c r="REV222" s="1"/>
      <c r="REW222" s="1"/>
      <c r="REX222" s="1"/>
      <c r="REY222" s="1"/>
      <c r="REZ222" s="1"/>
      <c r="RFA222" s="1"/>
      <c r="RFB222" s="1"/>
      <c r="RFC222" s="1"/>
      <c r="RFD222" s="1"/>
      <c r="RFE222" s="1"/>
      <c r="RFF222" s="1"/>
      <c r="RFG222" s="1"/>
      <c r="RFH222" s="1"/>
      <c r="RFI222" s="1"/>
      <c r="RFJ222" s="1"/>
      <c r="RFK222" s="1"/>
      <c r="RFL222" s="1"/>
      <c r="RFM222" s="1"/>
      <c r="RFN222" s="1"/>
      <c r="RFO222" s="1"/>
      <c r="RFP222" s="1"/>
      <c r="RFQ222" s="1"/>
      <c r="RFR222" s="1"/>
      <c r="RFS222" s="1"/>
      <c r="RFT222" s="1"/>
      <c r="RFU222" s="1"/>
      <c r="RFV222" s="1"/>
      <c r="RFW222" s="1"/>
      <c r="RFX222" s="1"/>
      <c r="RFY222" s="1"/>
      <c r="RFZ222" s="1"/>
      <c r="RGA222" s="1"/>
      <c r="RGB222" s="1"/>
      <c r="RGC222" s="1"/>
      <c r="RGD222" s="1"/>
      <c r="RGE222" s="1"/>
      <c r="RGF222" s="1"/>
      <c r="RGG222" s="1"/>
      <c r="RGH222" s="1"/>
      <c r="RGI222" s="1"/>
      <c r="RGJ222" s="1"/>
      <c r="RGK222" s="1"/>
      <c r="RGL222" s="1"/>
      <c r="RGM222" s="1"/>
      <c r="RGN222" s="1"/>
      <c r="RGO222" s="1"/>
      <c r="RGP222" s="1"/>
      <c r="RGQ222" s="1"/>
      <c r="RGR222" s="1"/>
      <c r="RGS222" s="1"/>
      <c r="RGT222" s="1"/>
      <c r="RGU222" s="1"/>
      <c r="RGV222" s="1"/>
      <c r="RGW222" s="1"/>
      <c r="RGX222" s="1"/>
      <c r="RGY222" s="1"/>
      <c r="RGZ222" s="1"/>
      <c r="RHA222" s="1"/>
      <c r="RHB222" s="1"/>
      <c r="RHC222" s="1"/>
      <c r="RHD222" s="1"/>
      <c r="RHE222" s="1"/>
      <c r="RHF222" s="1"/>
      <c r="RHG222" s="1"/>
      <c r="RHH222" s="1"/>
      <c r="RHI222" s="1"/>
      <c r="RHJ222" s="1"/>
      <c r="RHK222" s="1"/>
      <c r="RHL222" s="1"/>
      <c r="RHM222" s="1"/>
      <c r="RHN222" s="1"/>
      <c r="RHO222" s="1"/>
      <c r="RHP222" s="1"/>
      <c r="RHQ222" s="1"/>
      <c r="RHR222" s="1"/>
      <c r="RHS222" s="1"/>
      <c r="RHT222" s="1"/>
      <c r="RHU222" s="1"/>
      <c r="RHV222" s="1"/>
      <c r="RHW222" s="1"/>
      <c r="RHX222" s="1"/>
      <c r="RHY222" s="1"/>
      <c r="RHZ222" s="1"/>
      <c r="RIA222" s="1"/>
      <c r="RIB222" s="1"/>
      <c r="RIC222" s="1"/>
      <c r="RID222" s="1"/>
      <c r="RIE222" s="1"/>
      <c r="RIF222" s="1"/>
      <c r="RIG222" s="1"/>
      <c r="RIH222" s="1"/>
      <c r="RII222" s="1"/>
      <c r="RIJ222" s="1"/>
      <c r="RIK222" s="1"/>
      <c r="RIL222" s="1"/>
      <c r="RIM222" s="1"/>
      <c r="RIN222" s="1"/>
      <c r="RIO222" s="1"/>
      <c r="RIP222" s="1"/>
      <c r="RIQ222" s="1"/>
      <c r="RIR222" s="1"/>
      <c r="RIS222" s="1"/>
      <c r="RIT222" s="1"/>
      <c r="RIU222" s="1"/>
      <c r="RIV222" s="1"/>
      <c r="RIW222" s="1"/>
      <c r="RIX222" s="1"/>
      <c r="RIY222" s="1"/>
      <c r="RIZ222" s="1"/>
      <c r="RJA222" s="1"/>
      <c r="RJB222" s="1"/>
      <c r="RJC222" s="1"/>
      <c r="RJD222" s="1"/>
      <c r="RJE222" s="1"/>
      <c r="RJF222" s="1"/>
      <c r="RJG222" s="1"/>
      <c r="RJH222" s="1"/>
      <c r="RJI222" s="1"/>
      <c r="RJJ222" s="1"/>
      <c r="RJK222" s="1"/>
      <c r="RJL222" s="1"/>
      <c r="RJM222" s="1"/>
      <c r="RJN222" s="1"/>
      <c r="RJO222" s="1"/>
      <c r="RJP222" s="1"/>
      <c r="RJQ222" s="1"/>
      <c r="RJR222" s="1"/>
      <c r="RJS222" s="1"/>
      <c r="RJT222" s="1"/>
      <c r="RJU222" s="1"/>
      <c r="RJV222" s="1"/>
      <c r="RJW222" s="1"/>
      <c r="RJX222" s="1"/>
      <c r="RJY222" s="1"/>
      <c r="RJZ222" s="1"/>
      <c r="RKA222" s="1"/>
      <c r="RKB222" s="1"/>
      <c r="RKC222" s="1"/>
      <c r="RKD222" s="1"/>
      <c r="RKE222" s="1"/>
      <c r="RKF222" s="1"/>
      <c r="RKG222" s="1"/>
      <c r="RKH222" s="1"/>
      <c r="RKI222" s="1"/>
      <c r="RKJ222" s="1"/>
      <c r="RKK222" s="1"/>
      <c r="RKL222" s="1"/>
      <c r="RKM222" s="1"/>
      <c r="RKN222" s="1"/>
      <c r="RKO222" s="1"/>
      <c r="RKP222" s="1"/>
      <c r="RKQ222" s="1"/>
      <c r="RKR222" s="1"/>
      <c r="RKS222" s="1"/>
      <c r="RKT222" s="1"/>
      <c r="RKU222" s="1"/>
      <c r="RKV222" s="1"/>
      <c r="RKW222" s="1"/>
      <c r="RKX222" s="1"/>
      <c r="RKY222" s="1"/>
      <c r="RKZ222" s="1"/>
      <c r="RLA222" s="1"/>
      <c r="RLB222" s="1"/>
      <c r="RLC222" s="1"/>
      <c r="RLD222" s="1"/>
      <c r="RLE222" s="1"/>
      <c r="RLF222" s="1"/>
      <c r="RLG222" s="1"/>
      <c r="RLH222" s="1"/>
      <c r="RLI222" s="1"/>
      <c r="RLJ222" s="1"/>
      <c r="RLK222" s="1"/>
      <c r="RLL222" s="1"/>
      <c r="RLM222" s="1"/>
      <c r="RLN222" s="1"/>
      <c r="RLO222" s="1"/>
      <c r="RLP222" s="1"/>
      <c r="RLQ222" s="1"/>
      <c r="RLR222" s="1"/>
      <c r="RLS222" s="1"/>
      <c r="RLT222" s="1"/>
      <c r="RLU222" s="1"/>
      <c r="RLV222" s="1"/>
      <c r="RLW222" s="1"/>
      <c r="RLX222" s="1"/>
      <c r="RLY222" s="1"/>
      <c r="RLZ222" s="1"/>
      <c r="RMA222" s="1"/>
      <c r="RMB222" s="1"/>
      <c r="RMC222" s="1"/>
      <c r="RMD222" s="1"/>
      <c r="RME222" s="1"/>
      <c r="RMF222" s="1"/>
      <c r="RMG222" s="1"/>
      <c r="RMH222" s="1"/>
      <c r="RMI222" s="1"/>
      <c r="RMJ222" s="1"/>
      <c r="RMK222" s="1"/>
      <c r="RML222" s="1"/>
      <c r="RMM222" s="1"/>
      <c r="RMN222" s="1"/>
      <c r="RMO222" s="1"/>
      <c r="RMP222" s="1"/>
      <c r="RMQ222" s="1"/>
      <c r="RMR222" s="1"/>
      <c r="RMS222" s="1"/>
      <c r="RMT222" s="1"/>
      <c r="RMU222" s="1"/>
      <c r="RMV222" s="1"/>
      <c r="RMW222" s="1"/>
      <c r="RMX222" s="1"/>
      <c r="RMY222" s="1"/>
      <c r="RMZ222" s="1"/>
      <c r="RNA222" s="1"/>
      <c r="RNB222" s="1"/>
      <c r="RNC222" s="1"/>
      <c r="RND222" s="1"/>
      <c r="RNE222" s="1"/>
      <c r="RNF222" s="1"/>
      <c r="RNG222" s="1"/>
      <c r="RNH222" s="1"/>
      <c r="RNI222" s="1"/>
      <c r="RNJ222" s="1"/>
      <c r="RNK222" s="1"/>
      <c r="RNL222" s="1"/>
      <c r="RNM222" s="1"/>
      <c r="RNN222" s="1"/>
      <c r="RNO222" s="1"/>
      <c r="RNP222" s="1"/>
      <c r="RNQ222" s="1"/>
      <c r="RNR222" s="1"/>
      <c r="RNS222" s="1"/>
      <c r="RNT222" s="1"/>
      <c r="RNU222" s="1"/>
      <c r="RNV222" s="1"/>
      <c r="RNW222" s="1"/>
      <c r="RNX222" s="1"/>
      <c r="RNY222" s="1"/>
      <c r="RNZ222" s="1"/>
      <c r="ROA222" s="1"/>
      <c r="ROB222" s="1"/>
      <c r="ROC222" s="1"/>
      <c r="ROD222" s="1"/>
      <c r="ROE222" s="1"/>
      <c r="ROF222" s="1"/>
      <c r="ROG222" s="1"/>
      <c r="ROH222" s="1"/>
      <c r="ROI222" s="1"/>
      <c r="ROJ222" s="1"/>
      <c r="ROK222" s="1"/>
      <c r="ROL222" s="1"/>
      <c r="ROM222" s="1"/>
      <c r="RON222" s="1"/>
      <c r="ROO222" s="1"/>
      <c r="ROP222" s="1"/>
      <c r="ROQ222" s="1"/>
      <c r="ROR222" s="1"/>
      <c r="ROS222" s="1"/>
      <c r="ROT222" s="1"/>
      <c r="ROU222" s="1"/>
      <c r="ROV222" s="1"/>
      <c r="ROW222" s="1"/>
      <c r="ROX222" s="1"/>
      <c r="ROY222" s="1"/>
      <c r="ROZ222" s="1"/>
      <c r="RPA222" s="1"/>
      <c r="RPB222" s="1"/>
      <c r="RPC222" s="1"/>
      <c r="RPD222" s="1"/>
      <c r="RPE222" s="1"/>
      <c r="RPF222" s="1"/>
      <c r="RPG222" s="1"/>
      <c r="RPH222" s="1"/>
      <c r="RPI222" s="1"/>
      <c r="RPJ222" s="1"/>
      <c r="RPK222" s="1"/>
      <c r="RPL222" s="1"/>
      <c r="RPM222" s="1"/>
      <c r="RPN222" s="1"/>
      <c r="RPO222" s="1"/>
      <c r="RPP222" s="1"/>
      <c r="RPQ222" s="1"/>
      <c r="RPR222" s="1"/>
      <c r="RPS222" s="1"/>
      <c r="RPT222" s="1"/>
      <c r="RPU222" s="1"/>
      <c r="RPV222" s="1"/>
      <c r="RPW222" s="1"/>
      <c r="RPX222" s="1"/>
      <c r="RPY222" s="1"/>
      <c r="RPZ222" s="1"/>
      <c r="RQA222" s="1"/>
      <c r="RQB222" s="1"/>
      <c r="RQC222" s="1"/>
      <c r="RQD222" s="1"/>
      <c r="RQE222" s="1"/>
      <c r="RQF222" s="1"/>
      <c r="RQG222" s="1"/>
      <c r="RQH222" s="1"/>
      <c r="RQI222" s="1"/>
      <c r="RQJ222" s="1"/>
      <c r="RQK222" s="1"/>
      <c r="RQL222" s="1"/>
      <c r="RQM222" s="1"/>
      <c r="RQN222" s="1"/>
      <c r="RQO222" s="1"/>
      <c r="RQP222" s="1"/>
      <c r="RQQ222" s="1"/>
      <c r="RQR222" s="1"/>
      <c r="RQS222" s="1"/>
      <c r="RQT222" s="1"/>
      <c r="RQU222" s="1"/>
      <c r="RQV222" s="1"/>
      <c r="RQW222" s="1"/>
      <c r="RQX222" s="1"/>
      <c r="RQY222" s="1"/>
      <c r="RQZ222" s="1"/>
      <c r="RRA222" s="1"/>
      <c r="RRB222" s="1"/>
      <c r="RRC222" s="1"/>
      <c r="RRD222" s="1"/>
      <c r="RRE222" s="1"/>
      <c r="RRF222" s="1"/>
      <c r="RRG222" s="1"/>
      <c r="RRH222" s="1"/>
      <c r="RRI222" s="1"/>
      <c r="RRJ222" s="1"/>
      <c r="RRK222" s="1"/>
      <c r="RRL222" s="1"/>
      <c r="RRM222" s="1"/>
      <c r="RRN222" s="1"/>
      <c r="RRO222" s="1"/>
      <c r="RRP222" s="1"/>
      <c r="RRQ222" s="1"/>
      <c r="RRR222" s="1"/>
      <c r="RRS222" s="1"/>
      <c r="RRT222" s="1"/>
      <c r="RRU222" s="1"/>
      <c r="RRV222" s="1"/>
      <c r="RRW222" s="1"/>
      <c r="RRX222" s="1"/>
      <c r="RRY222" s="1"/>
      <c r="RRZ222" s="1"/>
      <c r="RSA222" s="1"/>
      <c r="RSB222" s="1"/>
      <c r="RSC222" s="1"/>
      <c r="RSD222" s="1"/>
      <c r="RSE222" s="1"/>
      <c r="RSF222" s="1"/>
      <c r="RSG222" s="1"/>
      <c r="RSH222" s="1"/>
      <c r="RSI222" s="1"/>
      <c r="RSJ222" s="1"/>
      <c r="RSK222" s="1"/>
      <c r="RSL222" s="1"/>
      <c r="RSM222" s="1"/>
      <c r="RSN222" s="1"/>
      <c r="RSO222" s="1"/>
      <c r="RSP222" s="1"/>
      <c r="RSQ222" s="1"/>
      <c r="RSR222" s="1"/>
      <c r="RSS222" s="1"/>
      <c r="RST222" s="1"/>
      <c r="RSU222" s="1"/>
      <c r="RSV222" s="1"/>
      <c r="RSW222" s="1"/>
      <c r="RSX222" s="1"/>
      <c r="RSY222" s="1"/>
      <c r="RSZ222" s="1"/>
      <c r="RTA222" s="1"/>
      <c r="RTB222" s="1"/>
      <c r="RTC222" s="1"/>
      <c r="RTD222" s="1"/>
      <c r="RTE222" s="1"/>
      <c r="RTF222" s="1"/>
      <c r="RTG222" s="1"/>
      <c r="RTH222" s="1"/>
      <c r="RTI222" s="1"/>
      <c r="RTJ222" s="1"/>
      <c r="RTK222" s="1"/>
      <c r="RTL222" s="1"/>
      <c r="RTM222" s="1"/>
      <c r="RTN222" s="1"/>
      <c r="RTO222" s="1"/>
      <c r="RTP222" s="1"/>
      <c r="RTQ222" s="1"/>
      <c r="RTR222" s="1"/>
      <c r="RTS222" s="1"/>
      <c r="RTT222" s="1"/>
      <c r="RTU222" s="1"/>
      <c r="RTV222" s="1"/>
      <c r="RTW222" s="1"/>
      <c r="RTX222" s="1"/>
      <c r="RTY222" s="1"/>
      <c r="RTZ222" s="1"/>
      <c r="RUA222" s="1"/>
      <c r="RUB222" s="1"/>
      <c r="RUC222" s="1"/>
      <c r="RUD222" s="1"/>
      <c r="RUE222" s="1"/>
      <c r="RUF222" s="1"/>
      <c r="RUG222" s="1"/>
      <c r="RUH222" s="1"/>
      <c r="RUI222" s="1"/>
      <c r="RUJ222" s="1"/>
      <c r="RUK222" s="1"/>
      <c r="RUL222" s="1"/>
      <c r="RUM222" s="1"/>
      <c r="RUN222" s="1"/>
      <c r="RUO222" s="1"/>
      <c r="RUP222" s="1"/>
      <c r="RUQ222" s="1"/>
      <c r="RUR222" s="1"/>
      <c r="RUS222" s="1"/>
      <c r="RUT222" s="1"/>
      <c r="RUU222" s="1"/>
      <c r="RUV222" s="1"/>
      <c r="RUW222" s="1"/>
      <c r="RUX222" s="1"/>
      <c r="RUY222" s="1"/>
      <c r="RUZ222" s="1"/>
      <c r="RVA222" s="1"/>
      <c r="RVB222" s="1"/>
      <c r="RVC222" s="1"/>
      <c r="RVD222" s="1"/>
      <c r="RVE222" s="1"/>
      <c r="RVF222" s="1"/>
      <c r="RVG222" s="1"/>
      <c r="RVH222" s="1"/>
      <c r="RVI222" s="1"/>
      <c r="RVJ222" s="1"/>
      <c r="RVK222" s="1"/>
      <c r="RVL222" s="1"/>
      <c r="RVM222" s="1"/>
      <c r="RVN222" s="1"/>
      <c r="RVO222" s="1"/>
      <c r="RVP222" s="1"/>
      <c r="RVQ222" s="1"/>
      <c r="RVR222" s="1"/>
      <c r="RVS222" s="1"/>
      <c r="RVT222" s="1"/>
      <c r="RVU222" s="1"/>
      <c r="RVV222" s="1"/>
      <c r="RVW222" s="1"/>
      <c r="RVX222" s="1"/>
      <c r="RVY222" s="1"/>
      <c r="RVZ222" s="1"/>
      <c r="RWA222" s="1"/>
      <c r="RWB222" s="1"/>
      <c r="RWC222" s="1"/>
      <c r="RWD222" s="1"/>
      <c r="RWE222" s="1"/>
      <c r="RWF222" s="1"/>
      <c r="RWG222" s="1"/>
      <c r="RWH222" s="1"/>
      <c r="RWI222" s="1"/>
      <c r="RWJ222" s="1"/>
      <c r="RWK222" s="1"/>
      <c r="RWL222" s="1"/>
      <c r="RWM222" s="1"/>
      <c r="RWN222" s="1"/>
      <c r="RWO222" s="1"/>
      <c r="RWP222" s="1"/>
      <c r="RWQ222" s="1"/>
      <c r="RWR222" s="1"/>
      <c r="RWS222" s="1"/>
      <c r="RWT222" s="1"/>
      <c r="RWU222" s="1"/>
      <c r="RWV222" s="1"/>
      <c r="RWW222" s="1"/>
      <c r="RWX222" s="1"/>
      <c r="RWY222" s="1"/>
      <c r="RWZ222" s="1"/>
      <c r="RXA222" s="1"/>
      <c r="RXB222" s="1"/>
      <c r="RXC222" s="1"/>
      <c r="RXD222" s="1"/>
      <c r="RXE222" s="1"/>
      <c r="RXF222" s="1"/>
      <c r="RXG222" s="1"/>
      <c r="RXH222" s="1"/>
      <c r="RXI222" s="1"/>
      <c r="RXJ222" s="1"/>
      <c r="RXK222" s="1"/>
      <c r="RXL222" s="1"/>
      <c r="RXM222" s="1"/>
      <c r="RXN222" s="1"/>
      <c r="RXO222" s="1"/>
      <c r="RXP222" s="1"/>
      <c r="RXQ222" s="1"/>
      <c r="RXR222" s="1"/>
      <c r="RXS222" s="1"/>
      <c r="RXT222" s="1"/>
      <c r="RXU222" s="1"/>
      <c r="RXV222" s="1"/>
      <c r="RXW222" s="1"/>
      <c r="RXX222" s="1"/>
      <c r="RXY222" s="1"/>
      <c r="RXZ222" s="1"/>
      <c r="RYA222" s="1"/>
      <c r="RYB222" s="1"/>
      <c r="RYC222" s="1"/>
      <c r="RYD222" s="1"/>
      <c r="RYE222" s="1"/>
      <c r="RYF222" s="1"/>
      <c r="RYG222" s="1"/>
      <c r="RYH222" s="1"/>
      <c r="RYI222" s="1"/>
      <c r="RYJ222" s="1"/>
      <c r="RYK222" s="1"/>
      <c r="RYL222" s="1"/>
      <c r="RYM222" s="1"/>
      <c r="RYN222" s="1"/>
      <c r="RYO222" s="1"/>
      <c r="RYP222" s="1"/>
      <c r="RYQ222" s="1"/>
      <c r="RYR222" s="1"/>
      <c r="RYS222" s="1"/>
      <c r="RYT222" s="1"/>
      <c r="RYU222" s="1"/>
      <c r="RYV222" s="1"/>
      <c r="RYW222" s="1"/>
      <c r="RYX222" s="1"/>
      <c r="RYY222" s="1"/>
      <c r="RYZ222" s="1"/>
      <c r="RZA222" s="1"/>
      <c r="RZB222" s="1"/>
      <c r="RZC222" s="1"/>
      <c r="RZD222" s="1"/>
      <c r="RZE222" s="1"/>
      <c r="RZF222" s="1"/>
      <c r="RZG222" s="1"/>
      <c r="RZH222" s="1"/>
      <c r="RZI222" s="1"/>
      <c r="RZJ222" s="1"/>
      <c r="RZK222" s="1"/>
      <c r="RZL222" s="1"/>
      <c r="RZM222" s="1"/>
      <c r="RZN222" s="1"/>
      <c r="RZO222" s="1"/>
      <c r="RZP222" s="1"/>
      <c r="RZQ222" s="1"/>
      <c r="RZR222" s="1"/>
      <c r="RZS222" s="1"/>
      <c r="RZT222" s="1"/>
      <c r="RZU222" s="1"/>
      <c r="RZV222" s="1"/>
      <c r="RZW222" s="1"/>
      <c r="RZX222" s="1"/>
      <c r="RZY222" s="1"/>
      <c r="RZZ222" s="1"/>
      <c r="SAA222" s="1"/>
      <c r="SAB222" s="1"/>
      <c r="SAC222" s="1"/>
      <c r="SAD222" s="1"/>
      <c r="SAE222" s="1"/>
      <c r="SAF222" s="1"/>
      <c r="SAG222" s="1"/>
      <c r="SAH222" s="1"/>
      <c r="SAI222" s="1"/>
      <c r="SAJ222" s="1"/>
      <c r="SAK222" s="1"/>
      <c r="SAL222" s="1"/>
      <c r="SAM222" s="1"/>
      <c r="SAN222" s="1"/>
      <c r="SAO222" s="1"/>
      <c r="SAP222" s="1"/>
      <c r="SAQ222" s="1"/>
      <c r="SAR222" s="1"/>
      <c r="SAS222" s="1"/>
      <c r="SAT222" s="1"/>
      <c r="SAU222" s="1"/>
      <c r="SAV222" s="1"/>
      <c r="SAW222" s="1"/>
      <c r="SAX222" s="1"/>
      <c r="SAY222" s="1"/>
      <c r="SAZ222" s="1"/>
      <c r="SBA222" s="1"/>
      <c r="SBB222" s="1"/>
      <c r="SBC222" s="1"/>
      <c r="SBD222" s="1"/>
      <c r="SBE222" s="1"/>
      <c r="SBF222" s="1"/>
      <c r="SBG222" s="1"/>
      <c r="SBH222" s="1"/>
      <c r="SBI222" s="1"/>
      <c r="SBJ222" s="1"/>
      <c r="SBK222" s="1"/>
      <c r="SBL222" s="1"/>
      <c r="SBM222" s="1"/>
      <c r="SBN222" s="1"/>
      <c r="SBO222" s="1"/>
      <c r="SBP222" s="1"/>
      <c r="SBQ222" s="1"/>
      <c r="SBR222" s="1"/>
      <c r="SBS222" s="1"/>
      <c r="SBT222" s="1"/>
      <c r="SBU222" s="1"/>
      <c r="SBV222" s="1"/>
      <c r="SBW222" s="1"/>
      <c r="SBX222" s="1"/>
      <c r="SBY222" s="1"/>
      <c r="SBZ222" s="1"/>
      <c r="SCA222" s="1"/>
      <c r="SCB222" s="1"/>
      <c r="SCC222" s="1"/>
      <c r="SCD222" s="1"/>
      <c r="SCE222" s="1"/>
      <c r="SCF222" s="1"/>
      <c r="SCG222" s="1"/>
      <c r="SCH222" s="1"/>
      <c r="SCI222" s="1"/>
      <c r="SCJ222" s="1"/>
      <c r="SCK222" s="1"/>
      <c r="SCL222" s="1"/>
      <c r="SCM222" s="1"/>
      <c r="SCN222" s="1"/>
      <c r="SCO222" s="1"/>
      <c r="SCP222" s="1"/>
      <c r="SCQ222" s="1"/>
      <c r="SCR222" s="1"/>
      <c r="SCS222" s="1"/>
      <c r="SCT222" s="1"/>
      <c r="SCU222" s="1"/>
      <c r="SCV222" s="1"/>
      <c r="SCW222" s="1"/>
      <c r="SCX222" s="1"/>
      <c r="SCY222" s="1"/>
      <c r="SCZ222" s="1"/>
      <c r="SDA222" s="1"/>
      <c r="SDB222" s="1"/>
      <c r="SDC222" s="1"/>
      <c r="SDD222" s="1"/>
      <c r="SDE222" s="1"/>
      <c r="SDF222" s="1"/>
      <c r="SDG222" s="1"/>
      <c r="SDH222" s="1"/>
      <c r="SDI222" s="1"/>
      <c r="SDJ222" s="1"/>
      <c r="SDK222" s="1"/>
      <c r="SDL222" s="1"/>
      <c r="SDM222" s="1"/>
      <c r="SDN222" s="1"/>
      <c r="SDO222" s="1"/>
      <c r="SDP222" s="1"/>
      <c r="SDQ222" s="1"/>
      <c r="SDR222" s="1"/>
      <c r="SDS222" s="1"/>
      <c r="SDT222" s="1"/>
      <c r="SDU222" s="1"/>
      <c r="SDV222" s="1"/>
      <c r="SDW222" s="1"/>
      <c r="SDX222" s="1"/>
      <c r="SDY222" s="1"/>
      <c r="SDZ222" s="1"/>
      <c r="SEA222" s="1"/>
      <c r="SEB222" s="1"/>
      <c r="SEC222" s="1"/>
      <c r="SED222" s="1"/>
      <c r="SEE222" s="1"/>
      <c r="SEF222" s="1"/>
      <c r="SEG222" s="1"/>
      <c r="SEH222" s="1"/>
      <c r="SEI222" s="1"/>
      <c r="SEJ222" s="1"/>
      <c r="SEK222" s="1"/>
      <c r="SEL222" s="1"/>
      <c r="SEM222" s="1"/>
      <c r="SEN222" s="1"/>
      <c r="SEO222" s="1"/>
      <c r="SEP222" s="1"/>
      <c r="SEQ222" s="1"/>
      <c r="SER222" s="1"/>
      <c r="SES222" s="1"/>
      <c r="SET222" s="1"/>
      <c r="SEU222" s="1"/>
      <c r="SEV222" s="1"/>
      <c r="SEW222" s="1"/>
      <c r="SEX222" s="1"/>
      <c r="SEY222" s="1"/>
      <c r="SEZ222" s="1"/>
      <c r="SFA222" s="1"/>
      <c r="SFB222" s="1"/>
      <c r="SFC222" s="1"/>
      <c r="SFD222" s="1"/>
      <c r="SFE222" s="1"/>
      <c r="SFF222" s="1"/>
      <c r="SFG222" s="1"/>
      <c r="SFH222" s="1"/>
      <c r="SFI222" s="1"/>
      <c r="SFJ222" s="1"/>
      <c r="SFK222" s="1"/>
      <c r="SFL222" s="1"/>
      <c r="SFM222" s="1"/>
      <c r="SFN222" s="1"/>
      <c r="SFO222" s="1"/>
      <c r="SFP222" s="1"/>
      <c r="SFQ222" s="1"/>
      <c r="SFR222" s="1"/>
      <c r="SFS222" s="1"/>
      <c r="SFT222" s="1"/>
      <c r="SFU222" s="1"/>
      <c r="SFV222" s="1"/>
      <c r="SFW222" s="1"/>
      <c r="SFX222" s="1"/>
      <c r="SFY222" s="1"/>
      <c r="SFZ222" s="1"/>
      <c r="SGA222" s="1"/>
      <c r="SGB222" s="1"/>
      <c r="SGC222" s="1"/>
      <c r="SGD222" s="1"/>
      <c r="SGE222" s="1"/>
      <c r="SGF222" s="1"/>
      <c r="SGG222" s="1"/>
      <c r="SGH222" s="1"/>
      <c r="SGI222" s="1"/>
      <c r="SGJ222" s="1"/>
      <c r="SGK222" s="1"/>
      <c r="SGL222" s="1"/>
      <c r="SGM222" s="1"/>
      <c r="SGN222" s="1"/>
      <c r="SGO222" s="1"/>
      <c r="SGP222" s="1"/>
      <c r="SGQ222" s="1"/>
      <c r="SGR222" s="1"/>
      <c r="SGS222" s="1"/>
      <c r="SGT222" s="1"/>
      <c r="SGU222" s="1"/>
      <c r="SGV222" s="1"/>
      <c r="SGW222" s="1"/>
      <c r="SGX222" s="1"/>
      <c r="SGY222" s="1"/>
      <c r="SGZ222" s="1"/>
      <c r="SHA222" s="1"/>
      <c r="SHB222" s="1"/>
      <c r="SHC222" s="1"/>
      <c r="SHD222" s="1"/>
      <c r="SHE222" s="1"/>
      <c r="SHF222" s="1"/>
      <c r="SHG222" s="1"/>
      <c r="SHH222" s="1"/>
      <c r="SHI222" s="1"/>
      <c r="SHJ222" s="1"/>
      <c r="SHK222" s="1"/>
      <c r="SHL222" s="1"/>
      <c r="SHM222" s="1"/>
      <c r="SHN222" s="1"/>
      <c r="SHO222" s="1"/>
      <c r="SHP222" s="1"/>
      <c r="SHQ222" s="1"/>
      <c r="SHR222" s="1"/>
      <c r="SHS222" s="1"/>
      <c r="SHT222" s="1"/>
      <c r="SHU222" s="1"/>
      <c r="SHV222" s="1"/>
      <c r="SHW222" s="1"/>
      <c r="SHX222" s="1"/>
      <c r="SHY222" s="1"/>
      <c r="SHZ222" s="1"/>
      <c r="SIA222" s="1"/>
      <c r="SIB222" s="1"/>
      <c r="SIC222" s="1"/>
      <c r="SID222" s="1"/>
      <c r="SIE222" s="1"/>
      <c r="SIF222" s="1"/>
      <c r="SIG222" s="1"/>
      <c r="SIH222" s="1"/>
      <c r="SII222" s="1"/>
      <c r="SIJ222" s="1"/>
      <c r="SIK222" s="1"/>
      <c r="SIL222" s="1"/>
      <c r="SIM222" s="1"/>
      <c r="SIN222" s="1"/>
      <c r="SIO222" s="1"/>
      <c r="SIP222" s="1"/>
      <c r="SIQ222" s="1"/>
      <c r="SIR222" s="1"/>
      <c r="SIS222" s="1"/>
      <c r="SIT222" s="1"/>
      <c r="SIU222" s="1"/>
      <c r="SIV222" s="1"/>
      <c r="SIW222" s="1"/>
      <c r="SIX222" s="1"/>
      <c r="SIY222" s="1"/>
      <c r="SIZ222" s="1"/>
      <c r="SJA222" s="1"/>
      <c r="SJB222" s="1"/>
      <c r="SJC222" s="1"/>
      <c r="SJD222" s="1"/>
      <c r="SJE222" s="1"/>
      <c r="SJF222" s="1"/>
      <c r="SJG222" s="1"/>
      <c r="SJH222" s="1"/>
      <c r="SJI222" s="1"/>
      <c r="SJJ222" s="1"/>
      <c r="SJK222" s="1"/>
      <c r="SJL222" s="1"/>
      <c r="SJM222" s="1"/>
      <c r="SJN222" s="1"/>
      <c r="SJO222" s="1"/>
      <c r="SJP222" s="1"/>
      <c r="SJQ222" s="1"/>
      <c r="SJR222" s="1"/>
      <c r="SJS222" s="1"/>
      <c r="SJT222" s="1"/>
      <c r="SJU222" s="1"/>
      <c r="SJV222" s="1"/>
      <c r="SJW222" s="1"/>
      <c r="SJX222" s="1"/>
      <c r="SJY222" s="1"/>
      <c r="SJZ222" s="1"/>
      <c r="SKA222" s="1"/>
      <c r="SKB222" s="1"/>
      <c r="SKC222" s="1"/>
      <c r="SKD222" s="1"/>
      <c r="SKE222" s="1"/>
      <c r="SKF222" s="1"/>
      <c r="SKG222" s="1"/>
      <c r="SKH222" s="1"/>
      <c r="SKI222" s="1"/>
      <c r="SKJ222" s="1"/>
      <c r="SKK222" s="1"/>
      <c r="SKL222" s="1"/>
      <c r="SKM222" s="1"/>
      <c r="SKN222" s="1"/>
      <c r="SKO222" s="1"/>
      <c r="SKP222" s="1"/>
      <c r="SKQ222" s="1"/>
      <c r="SKR222" s="1"/>
      <c r="SKS222" s="1"/>
      <c r="SKT222" s="1"/>
      <c r="SKU222" s="1"/>
      <c r="SKV222" s="1"/>
      <c r="SKW222" s="1"/>
      <c r="SKX222" s="1"/>
      <c r="SKY222" s="1"/>
      <c r="SKZ222" s="1"/>
      <c r="SLA222" s="1"/>
      <c r="SLB222" s="1"/>
      <c r="SLC222" s="1"/>
      <c r="SLD222" s="1"/>
      <c r="SLE222" s="1"/>
      <c r="SLF222" s="1"/>
      <c r="SLG222" s="1"/>
      <c r="SLH222" s="1"/>
      <c r="SLI222" s="1"/>
      <c r="SLJ222" s="1"/>
      <c r="SLK222" s="1"/>
      <c r="SLL222" s="1"/>
      <c r="SLM222" s="1"/>
      <c r="SLN222" s="1"/>
      <c r="SLO222" s="1"/>
      <c r="SLP222" s="1"/>
      <c r="SLQ222" s="1"/>
      <c r="SLR222" s="1"/>
      <c r="SLS222" s="1"/>
      <c r="SLT222" s="1"/>
      <c r="SLU222" s="1"/>
      <c r="SLV222" s="1"/>
      <c r="SLW222" s="1"/>
      <c r="SLX222" s="1"/>
      <c r="SLY222" s="1"/>
      <c r="SLZ222" s="1"/>
      <c r="SMA222" s="1"/>
      <c r="SMB222" s="1"/>
      <c r="SMC222" s="1"/>
      <c r="SMD222" s="1"/>
      <c r="SME222" s="1"/>
      <c r="SMF222" s="1"/>
      <c r="SMG222" s="1"/>
      <c r="SMH222" s="1"/>
      <c r="SMI222" s="1"/>
      <c r="SMJ222" s="1"/>
      <c r="SMK222" s="1"/>
      <c r="SML222" s="1"/>
      <c r="SMM222" s="1"/>
      <c r="SMN222" s="1"/>
      <c r="SMO222" s="1"/>
      <c r="SMP222" s="1"/>
      <c r="SMQ222" s="1"/>
      <c r="SMR222" s="1"/>
      <c r="SMS222" s="1"/>
      <c r="SMT222" s="1"/>
      <c r="SMU222" s="1"/>
      <c r="SMV222" s="1"/>
      <c r="SMW222" s="1"/>
      <c r="SMX222" s="1"/>
      <c r="SMY222" s="1"/>
      <c r="SMZ222" s="1"/>
      <c r="SNA222" s="1"/>
      <c r="SNB222" s="1"/>
      <c r="SNC222" s="1"/>
      <c r="SND222" s="1"/>
      <c r="SNE222" s="1"/>
      <c r="SNF222" s="1"/>
      <c r="SNG222" s="1"/>
      <c r="SNH222" s="1"/>
      <c r="SNI222" s="1"/>
      <c r="SNJ222" s="1"/>
      <c r="SNK222" s="1"/>
      <c r="SNL222" s="1"/>
      <c r="SNM222" s="1"/>
      <c r="SNN222" s="1"/>
      <c r="SNO222" s="1"/>
      <c r="SNP222" s="1"/>
      <c r="SNQ222" s="1"/>
      <c r="SNR222" s="1"/>
      <c r="SNS222" s="1"/>
      <c r="SNT222" s="1"/>
      <c r="SNU222" s="1"/>
      <c r="SNV222" s="1"/>
      <c r="SNW222" s="1"/>
      <c r="SNX222" s="1"/>
      <c r="SNY222" s="1"/>
      <c r="SNZ222" s="1"/>
      <c r="SOA222" s="1"/>
      <c r="SOB222" s="1"/>
      <c r="SOC222" s="1"/>
      <c r="SOD222" s="1"/>
      <c r="SOE222" s="1"/>
      <c r="SOF222" s="1"/>
      <c r="SOG222" s="1"/>
      <c r="SOH222" s="1"/>
      <c r="SOI222" s="1"/>
      <c r="SOJ222" s="1"/>
      <c r="SOK222" s="1"/>
      <c r="SOL222" s="1"/>
      <c r="SOM222" s="1"/>
      <c r="SON222" s="1"/>
      <c r="SOO222" s="1"/>
      <c r="SOP222" s="1"/>
      <c r="SOQ222" s="1"/>
      <c r="SOR222" s="1"/>
      <c r="SOS222" s="1"/>
      <c r="SOT222" s="1"/>
      <c r="SOU222" s="1"/>
      <c r="SOV222" s="1"/>
      <c r="SOW222" s="1"/>
      <c r="SOX222" s="1"/>
      <c r="SOY222" s="1"/>
      <c r="SOZ222" s="1"/>
      <c r="SPA222" s="1"/>
      <c r="SPB222" s="1"/>
      <c r="SPC222" s="1"/>
      <c r="SPD222" s="1"/>
      <c r="SPE222" s="1"/>
      <c r="SPF222" s="1"/>
      <c r="SPG222" s="1"/>
      <c r="SPH222" s="1"/>
      <c r="SPI222" s="1"/>
      <c r="SPJ222" s="1"/>
      <c r="SPK222" s="1"/>
      <c r="SPL222" s="1"/>
      <c r="SPM222" s="1"/>
      <c r="SPN222" s="1"/>
      <c r="SPO222" s="1"/>
      <c r="SPP222" s="1"/>
      <c r="SPQ222" s="1"/>
      <c r="SPR222" s="1"/>
      <c r="SPS222" s="1"/>
      <c r="SPT222" s="1"/>
      <c r="SPU222" s="1"/>
      <c r="SPV222" s="1"/>
      <c r="SPW222" s="1"/>
      <c r="SPX222" s="1"/>
      <c r="SPY222" s="1"/>
      <c r="SPZ222" s="1"/>
      <c r="SQA222" s="1"/>
      <c r="SQB222" s="1"/>
      <c r="SQC222" s="1"/>
      <c r="SQD222" s="1"/>
      <c r="SQE222" s="1"/>
      <c r="SQF222" s="1"/>
      <c r="SQG222" s="1"/>
      <c r="SQH222" s="1"/>
      <c r="SQI222" s="1"/>
      <c r="SQJ222" s="1"/>
      <c r="SQK222" s="1"/>
      <c r="SQL222" s="1"/>
      <c r="SQM222" s="1"/>
      <c r="SQN222" s="1"/>
      <c r="SQO222" s="1"/>
      <c r="SQP222" s="1"/>
      <c r="SQQ222" s="1"/>
      <c r="SQR222" s="1"/>
      <c r="SQS222" s="1"/>
      <c r="SQT222" s="1"/>
      <c r="SQU222" s="1"/>
      <c r="SQV222" s="1"/>
      <c r="SQW222" s="1"/>
      <c r="SQX222" s="1"/>
      <c r="SQY222" s="1"/>
      <c r="SQZ222" s="1"/>
      <c r="SRA222" s="1"/>
      <c r="SRB222" s="1"/>
      <c r="SRC222" s="1"/>
      <c r="SRD222" s="1"/>
      <c r="SRE222" s="1"/>
      <c r="SRF222" s="1"/>
      <c r="SRG222" s="1"/>
      <c r="SRH222" s="1"/>
      <c r="SRI222" s="1"/>
      <c r="SRJ222" s="1"/>
      <c r="SRK222" s="1"/>
      <c r="SRL222" s="1"/>
      <c r="SRM222" s="1"/>
      <c r="SRN222" s="1"/>
      <c r="SRO222" s="1"/>
      <c r="SRP222" s="1"/>
      <c r="SRQ222" s="1"/>
      <c r="SRR222" s="1"/>
      <c r="SRS222" s="1"/>
      <c r="SRT222" s="1"/>
      <c r="SRU222" s="1"/>
      <c r="SRV222" s="1"/>
      <c r="SRW222" s="1"/>
      <c r="SRX222" s="1"/>
      <c r="SRY222" s="1"/>
      <c r="SRZ222" s="1"/>
      <c r="SSA222" s="1"/>
      <c r="SSB222" s="1"/>
      <c r="SSC222" s="1"/>
      <c r="SSD222" s="1"/>
      <c r="SSE222" s="1"/>
      <c r="SSF222" s="1"/>
      <c r="SSG222" s="1"/>
      <c r="SSH222" s="1"/>
      <c r="SSI222" s="1"/>
      <c r="SSJ222" s="1"/>
      <c r="SSK222" s="1"/>
      <c r="SSL222" s="1"/>
      <c r="SSM222" s="1"/>
      <c r="SSN222" s="1"/>
      <c r="SSO222" s="1"/>
      <c r="SSP222" s="1"/>
      <c r="SSQ222" s="1"/>
      <c r="SSR222" s="1"/>
      <c r="SSS222" s="1"/>
      <c r="SST222" s="1"/>
      <c r="SSU222" s="1"/>
      <c r="SSV222" s="1"/>
      <c r="SSW222" s="1"/>
      <c r="SSX222" s="1"/>
      <c r="SSY222" s="1"/>
      <c r="SSZ222" s="1"/>
      <c r="STA222" s="1"/>
      <c r="STB222" s="1"/>
      <c r="STC222" s="1"/>
      <c r="STD222" s="1"/>
      <c r="STE222" s="1"/>
      <c r="STF222" s="1"/>
      <c r="STG222" s="1"/>
      <c r="STH222" s="1"/>
      <c r="STI222" s="1"/>
      <c r="STJ222" s="1"/>
      <c r="STK222" s="1"/>
      <c r="STL222" s="1"/>
      <c r="STM222" s="1"/>
      <c r="STN222" s="1"/>
      <c r="STO222" s="1"/>
      <c r="STP222" s="1"/>
      <c r="STQ222" s="1"/>
      <c r="STR222" s="1"/>
      <c r="STS222" s="1"/>
      <c r="STT222" s="1"/>
      <c r="STU222" s="1"/>
      <c r="STV222" s="1"/>
      <c r="STW222" s="1"/>
      <c r="STX222" s="1"/>
      <c r="STY222" s="1"/>
      <c r="STZ222" s="1"/>
      <c r="SUA222" s="1"/>
      <c r="SUB222" s="1"/>
      <c r="SUC222" s="1"/>
      <c r="SUD222" s="1"/>
      <c r="SUE222" s="1"/>
      <c r="SUF222" s="1"/>
      <c r="SUG222" s="1"/>
      <c r="SUH222" s="1"/>
      <c r="SUI222" s="1"/>
      <c r="SUJ222" s="1"/>
      <c r="SUK222" s="1"/>
      <c r="SUL222" s="1"/>
      <c r="SUM222" s="1"/>
      <c r="SUN222" s="1"/>
      <c r="SUO222" s="1"/>
      <c r="SUP222" s="1"/>
      <c r="SUQ222" s="1"/>
      <c r="SUR222" s="1"/>
      <c r="SUS222" s="1"/>
      <c r="SUT222" s="1"/>
      <c r="SUU222" s="1"/>
      <c r="SUV222" s="1"/>
      <c r="SUW222" s="1"/>
      <c r="SUX222" s="1"/>
      <c r="SUY222" s="1"/>
      <c r="SUZ222" s="1"/>
      <c r="SVA222" s="1"/>
      <c r="SVB222" s="1"/>
      <c r="SVC222" s="1"/>
      <c r="SVD222" s="1"/>
      <c r="SVE222" s="1"/>
      <c r="SVF222" s="1"/>
      <c r="SVG222" s="1"/>
      <c r="SVH222" s="1"/>
      <c r="SVI222" s="1"/>
      <c r="SVJ222" s="1"/>
      <c r="SVK222" s="1"/>
      <c r="SVL222" s="1"/>
      <c r="SVM222" s="1"/>
      <c r="SVN222" s="1"/>
      <c r="SVO222" s="1"/>
      <c r="SVP222" s="1"/>
      <c r="SVQ222" s="1"/>
      <c r="SVR222" s="1"/>
      <c r="SVS222" s="1"/>
      <c r="SVT222" s="1"/>
      <c r="SVU222" s="1"/>
      <c r="SVV222" s="1"/>
      <c r="SVW222" s="1"/>
      <c r="SVX222" s="1"/>
      <c r="SVY222" s="1"/>
      <c r="SVZ222" s="1"/>
      <c r="SWA222" s="1"/>
      <c r="SWB222" s="1"/>
      <c r="SWC222" s="1"/>
      <c r="SWD222" s="1"/>
      <c r="SWE222" s="1"/>
      <c r="SWF222" s="1"/>
      <c r="SWG222" s="1"/>
      <c r="SWH222" s="1"/>
      <c r="SWI222" s="1"/>
      <c r="SWJ222" s="1"/>
      <c r="SWK222" s="1"/>
      <c r="SWL222" s="1"/>
      <c r="SWM222" s="1"/>
      <c r="SWN222" s="1"/>
      <c r="SWO222" s="1"/>
      <c r="SWP222" s="1"/>
      <c r="SWQ222" s="1"/>
      <c r="SWR222" s="1"/>
      <c r="SWS222" s="1"/>
      <c r="SWT222" s="1"/>
      <c r="SWU222" s="1"/>
      <c r="SWV222" s="1"/>
      <c r="SWW222" s="1"/>
      <c r="SWX222" s="1"/>
      <c r="SWY222" s="1"/>
      <c r="SWZ222" s="1"/>
      <c r="SXA222" s="1"/>
      <c r="SXB222" s="1"/>
      <c r="SXC222" s="1"/>
      <c r="SXD222" s="1"/>
      <c r="SXE222" s="1"/>
      <c r="SXF222" s="1"/>
      <c r="SXG222" s="1"/>
      <c r="SXH222" s="1"/>
      <c r="SXI222" s="1"/>
      <c r="SXJ222" s="1"/>
      <c r="SXK222" s="1"/>
      <c r="SXL222" s="1"/>
      <c r="SXM222" s="1"/>
      <c r="SXN222" s="1"/>
      <c r="SXO222" s="1"/>
      <c r="SXP222" s="1"/>
      <c r="SXQ222" s="1"/>
      <c r="SXR222" s="1"/>
      <c r="SXS222" s="1"/>
      <c r="SXT222" s="1"/>
      <c r="SXU222" s="1"/>
      <c r="SXV222" s="1"/>
      <c r="SXW222" s="1"/>
      <c r="SXX222" s="1"/>
      <c r="SXY222" s="1"/>
      <c r="SXZ222" s="1"/>
      <c r="SYA222" s="1"/>
      <c r="SYB222" s="1"/>
      <c r="SYC222" s="1"/>
      <c r="SYD222" s="1"/>
      <c r="SYE222" s="1"/>
      <c r="SYF222" s="1"/>
      <c r="SYG222" s="1"/>
      <c r="SYH222" s="1"/>
      <c r="SYI222" s="1"/>
      <c r="SYJ222" s="1"/>
      <c r="SYK222" s="1"/>
      <c r="SYL222" s="1"/>
      <c r="SYM222" s="1"/>
      <c r="SYN222" s="1"/>
      <c r="SYO222" s="1"/>
      <c r="SYP222" s="1"/>
      <c r="SYQ222" s="1"/>
      <c r="SYR222" s="1"/>
      <c r="SYS222" s="1"/>
      <c r="SYT222" s="1"/>
      <c r="SYU222" s="1"/>
      <c r="SYV222" s="1"/>
      <c r="SYW222" s="1"/>
      <c r="SYX222" s="1"/>
      <c r="SYY222" s="1"/>
      <c r="SYZ222" s="1"/>
      <c r="SZA222" s="1"/>
      <c r="SZB222" s="1"/>
      <c r="SZC222" s="1"/>
      <c r="SZD222" s="1"/>
      <c r="SZE222" s="1"/>
      <c r="SZF222" s="1"/>
      <c r="SZG222" s="1"/>
      <c r="SZH222" s="1"/>
      <c r="SZI222" s="1"/>
      <c r="SZJ222" s="1"/>
      <c r="SZK222" s="1"/>
      <c r="SZL222" s="1"/>
      <c r="SZM222" s="1"/>
      <c r="SZN222" s="1"/>
      <c r="SZO222" s="1"/>
      <c r="SZP222" s="1"/>
      <c r="SZQ222" s="1"/>
      <c r="SZR222" s="1"/>
      <c r="SZS222" s="1"/>
      <c r="SZT222" s="1"/>
      <c r="SZU222" s="1"/>
      <c r="SZV222" s="1"/>
      <c r="SZW222" s="1"/>
      <c r="SZX222" s="1"/>
      <c r="SZY222" s="1"/>
      <c r="SZZ222" s="1"/>
      <c r="TAA222" s="1"/>
      <c r="TAB222" s="1"/>
      <c r="TAC222" s="1"/>
      <c r="TAD222" s="1"/>
      <c r="TAE222" s="1"/>
      <c r="TAF222" s="1"/>
      <c r="TAG222" s="1"/>
      <c r="TAH222" s="1"/>
      <c r="TAI222" s="1"/>
      <c r="TAJ222" s="1"/>
      <c r="TAK222" s="1"/>
      <c r="TAL222" s="1"/>
      <c r="TAM222" s="1"/>
      <c r="TAN222" s="1"/>
      <c r="TAO222" s="1"/>
      <c r="TAP222" s="1"/>
      <c r="TAQ222" s="1"/>
      <c r="TAR222" s="1"/>
      <c r="TAS222" s="1"/>
      <c r="TAT222" s="1"/>
      <c r="TAU222" s="1"/>
      <c r="TAV222" s="1"/>
      <c r="TAW222" s="1"/>
      <c r="TAX222" s="1"/>
      <c r="TAY222" s="1"/>
      <c r="TAZ222" s="1"/>
      <c r="TBA222" s="1"/>
      <c r="TBB222" s="1"/>
      <c r="TBC222" s="1"/>
      <c r="TBD222" s="1"/>
      <c r="TBE222" s="1"/>
      <c r="TBF222" s="1"/>
      <c r="TBG222" s="1"/>
      <c r="TBH222" s="1"/>
      <c r="TBI222" s="1"/>
      <c r="TBJ222" s="1"/>
      <c r="TBK222" s="1"/>
      <c r="TBL222" s="1"/>
      <c r="TBM222" s="1"/>
      <c r="TBN222" s="1"/>
      <c r="TBO222" s="1"/>
      <c r="TBP222" s="1"/>
      <c r="TBQ222" s="1"/>
      <c r="TBR222" s="1"/>
      <c r="TBS222" s="1"/>
      <c r="TBT222" s="1"/>
      <c r="TBU222" s="1"/>
      <c r="TBV222" s="1"/>
      <c r="TBW222" s="1"/>
      <c r="TBX222" s="1"/>
      <c r="TBY222" s="1"/>
      <c r="TBZ222" s="1"/>
      <c r="TCA222" s="1"/>
      <c r="TCB222" s="1"/>
      <c r="TCC222" s="1"/>
      <c r="TCD222" s="1"/>
      <c r="TCE222" s="1"/>
      <c r="TCF222" s="1"/>
      <c r="TCG222" s="1"/>
      <c r="TCH222" s="1"/>
      <c r="TCI222" s="1"/>
      <c r="TCJ222" s="1"/>
      <c r="TCK222" s="1"/>
      <c r="TCL222" s="1"/>
      <c r="TCM222" s="1"/>
      <c r="TCN222" s="1"/>
      <c r="TCO222" s="1"/>
      <c r="TCP222" s="1"/>
      <c r="TCQ222" s="1"/>
      <c r="TCR222" s="1"/>
      <c r="TCS222" s="1"/>
      <c r="TCT222" s="1"/>
      <c r="TCU222" s="1"/>
      <c r="TCV222" s="1"/>
      <c r="TCW222" s="1"/>
      <c r="TCX222" s="1"/>
      <c r="TCY222" s="1"/>
      <c r="TCZ222" s="1"/>
      <c r="TDA222" s="1"/>
      <c r="TDB222" s="1"/>
      <c r="TDC222" s="1"/>
      <c r="TDD222" s="1"/>
      <c r="TDE222" s="1"/>
      <c r="TDF222" s="1"/>
      <c r="TDG222" s="1"/>
      <c r="TDH222" s="1"/>
      <c r="TDI222" s="1"/>
      <c r="TDJ222" s="1"/>
      <c r="TDK222" s="1"/>
      <c r="TDL222" s="1"/>
      <c r="TDM222" s="1"/>
      <c r="TDN222" s="1"/>
      <c r="TDO222" s="1"/>
      <c r="TDP222" s="1"/>
      <c r="TDQ222" s="1"/>
      <c r="TDR222" s="1"/>
      <c r="TDS222" s="1"/>
      <c r="TDT222" s="1"/>
      <c r="TDU222" s="1"/>
      <c r="TDV222" s="1"/>
      <c r="TDW222" s="1"/>
      <c r="TDX222" s="1"/>
      <c r="TDY222" s="1"/>
      <c r="TDZ222" s="1"/>
      <c r="TEA222" s="1"/>
      <c r="TEB222" s="1"/>
      <c r="TEC222" s="1"/>
      <c r="TED222" s="1"/>
      <c r="TEE222" s="1"/>
      <c r="TEF222" s="1"/>
      <c r="TEG222" s="1"/>
      <c r="TEH222" s="1"/>
      <c r="TEI222" s="1"/>
      <c r="TEJ222" s="1"/>
      <c r="TEK222" s="1"/>
      <c r="TEL222" s="1"/>
      <c r="TEM222" s="1"/>
      <c r="TEN222" s="1"/>
      <c r="TEO222" s="1"/>
      <c r="TEP222" s="1"/>
      <c r="TEQ222" s="1"/>
      <c r="TER222" s="1"/>
      <c r="TES222" s="1"/>
      <c r="TET222" s="1"/>
      <c r="TEU222" s="1"/>
      <c r="TEV222" s="1"/>
      <c r="TEW222" s="1"/>
      <c r="TEX222" s="1"/>
      <c r="TEY222" s="1"/>
      <c r="TEZ222" s="1"/>
      <c r="TFA222" s="1"/>
      <c r="TFB222" s="1"/>
      <c r="TFC222" s="1"/>
      <c r="TFD222" s="1"/>
      <c r="TFE222" s="1"/>
      <c r="TFF222" s="1"/>
      <c r="TFG222" s="1"/>
      <c r="TFH222" s="1"/>
      <c r="TFI222" s="1"/>
      <c r="TFJ222" s="1"/>
      <c r="TFK222" s="1"/>
      <c r="TFL222" s="1"/>
      <c r="TFM222" s="1"/>
      <c r="TFN222" s="1"/>
      <c r="TFO222" s="1"/>
      <c r="TFP222" s="1"/>
      <c r="TFQ222" s="1"/>
      <c r="TFR222" s="1"/>
      <c r="TFS222" s="1"/>
      <c r="TFT222" s="1"/>
      <c r="TFU222" s="1"/>
      <c r="TFV222" s="1"/>
      <c r="TFW222" s="1"/>
      <c r="TFX222" s="1"/>
      <c r="TFY222" s="1"/>
      <c r="TFZ222" s="1"/>
      <c r="TGA222" s="1"/>
      <c r="TGB222" s="1"/>
      <c r="TGC222" s="1"/>
      <c r="TGD222" s="1"/>
      <c r="TGE222" s="1"/>
      <c r="TGF222" s="1"/>
      <c r="TGG222" s="1"/>
      <c r="TGH222" s="1"/>
      <c r="TGI222" s="1"/>
      <c r="TGJ222" s="1"/>
      <c r="TGK222" s="1"/>
      <c r="TGL222" s="1"/>
      <c r="TGM222" s="1"/>
      <c r="TGN222" s="1"/>
      <c r="TGO222" s="1"/>
      <c r="TGP222" s="1"/>
      <c r="TGQ222" s="1"/>
      <c r="TGR222" s="1"/>
      <c r="TGS222" s="1"/>
      <c r="TGT222" s="1"/>
      <c r="TGU222" s="1"/>
      <c r="TGV222" s="1"/>
      <c r="TGW222" s="1"/>
      <c r="TGX222" s="1"/>
      <c r="TGY222" s="1"/>
      <c r="TGZ222" s="1"/>
      <c r="THA222" s="1"/>
      <c r="THB222" s="1"/>
      <c r="THC222" s="1"/>
      <c r="THD222" s="1"/>
      <c r="THE222" s="1"/>
      <c r="THF222" s="1"/>
      <c r="THG222" s="1"/>
      <c r="THH222" s="1"/>
      <c r="THI222" s="1"/>
      <c r="THJ222" s="1"/>
      <c r="THK222" s="1"/>
      <c r="THL222" s="1"/>
      <c r="THM222" s="1"/>
      <c r="THN222" s="1"/>
      <c r="THO222" s="1"/>
      <c r="THP222" s="1"/>
      <c r="THQ222" s="1"/>
      <c r="THR222" s="1"/>
      <c r="THS222" s="1"/>
      <c r="THT222" s="1"/>
      <c r="THU222" s="1"/>
      <c r="THV222" s="1"/>
      <c r="THW222" s="1"/>
      <c r="THX222" s="1"/>
      <c r="THY222" s="1"/>
      <c r="THZ222" s="1"/>
      <c r="TIA222" s="1"/>
      <c r="TIB222" s="1"/>
      <c r="TIC222" s="1"/>
      <c r="TID222" s="1"/>
      <c r="TIE222" s="1"/>
      <c r="TIF222" s="1"/>
      <c r="TIG222" s="1"/>
      <c r="TIH222" s="1"/>
      <c r="TII222" s="1"/>
      <c r="TIJ222" s="1"/>
      <c r="TIK222" s="1"/>
      <c r="TIL222" s="1"/>
      <c r="TIM222" s="1"/>
      <c r="TIN222" s="1"/>
      <c r="TIO222" s="1"/>
      <c r="TIP222" s="1"/>
      <c r="TIQ222" s="1"/>
      <c r="TIR222" s="1"/>
      <c r="TIS222" s="1"/>
      <c r="TIT222" s="1"/>
      <c r="TIU222" s="1"/>
      <c r="TIV222" s="1"/>
      <c r="TIW222" s="1"/>
      <c r="TIX222" s="1"/>
      <c r="TIY222" s="1"/>
      <c r="TIZ222" s="1"/>
      <c r="TJA222" s="1"/>
      <c r="TJB222" s="1"/>
      <c r="TJC222" s="1"/>
      <c r="TJD222" s="1"/>
      <c r="TJE222" s="1"/>
      <c r="TJF222" s="1"/>
      <c r="TJG222" s="1"/>
      <c r="TJH222" s="1"/>
      <c r="TJI222" s="1"/>
      <c r="TJJ222" s="1"/>
      <c r="TJK222" s="1"/>
      <c r="TJL222" s="1"/>
      <c r="TJM222" s="1"/>
      <c r="TJN222" s="1"/>
      <c r="TJO222" s="1"/>
      <c r="TJP222" s="1"/>
      <c r="TJQ222" s="1"/>
      <c r="TJR222" s="1"/>
      <c r="TJS222" s="1"/>
      <c r="TJT222" s="1"/>
      <c r="TJU222" s="1"/>
      <c r="TJV222" s="1"/>
      <c r="TJW222" s="1"/>
      <c r="TJX222" s="1"/>
      <c r="TJY222" s="1"/>
      <c r="TJZ222" s="1"/>
      <c r="TKA222" s="1"/>
      <c r="TKB222" s="1"/>
      <c r="TKC222" s="1"/>
      <c r="TKD222" s="1"/>
      <c r="TKE222" s="1"/>
      <c r="TKF222" s="1"/>
      <c r="TKG222" s="1"/>
      <c r="TKH222" s="1"/>
      <c r="TKI222" s="1"/>
      <c r="TKJ222" s="1"/>
      <c r="TKK222" s="1"/>
      <c r="TKL222" s="1"/>
      <c r="TKM222" s="1"/>
      <c r="TKN222" s="1"/>
      <c r="TKO222" s="1"/>
      <c r="TKP222" s="1"/>
      <c r="TKQ222" s="1"/>
      <c r="TKR222" s="1"/>
      <c r="TKS222" s="1"/>
      <c r="TKT222" s="1"/>
      <c r="TKU222" s="1"/>
      <c r="TKV222" s="1"/>
      <c r="TKW222" s="1"/>
      <c r="TKX222" s="1"/>
      <c r="TKY222" s="1"/>
      <c r="TKZ222" s="1"/>
      <c r="TLA222" s="1"/>
      <c r="TLB222" s="1"/>
      <c r="TLC222" s="1"/>
      <c r="TLD222" s="1"/>
      <c r="TLE222" s="1"/>
      <c r="TLF222" s="1"/>
      <c r="TLG222" s="1"/>
      <c r="TLH222" s="1"/>
      <c r="TLI222" s="1"/>
      <c r="TLJ222" s="1"/>
      <c r="TLK222" s="1"/>
      <c r="TLL222" s="1"/>
      <c r="TLM222" s="1"/>
      <c r="TLN222" s="1"/>
      <c r="TLO222" s="1"/>
      <c r="TLP222" s="1"/>
      <c r="TLQ222" s="1"/>
      <c r="TLR222" s="1"/>
      <c r="TLS222" s="1"/>
      <c r="TLT222" s="1"/>
      <c r="TLU222" s="1"/>
      <c r="TLV222" s="1"/>
      <c r="TLW222" s="1"/>
      <c r="TLX222" s="1"/>
      <c r="TLY222" s="1"/>
      <c r="TLZ222" s="1"/>
      <c r="TMA222" s="1"/>
      <c r="TMB222" s="1"/>
      <c r="TMC222" s="1"/>
      <c r="TMD222" s="1"/>
      <c r="TME222" s="1"/>
      <c r="TMF222" s="1"/>
      <c r="TMG222" s="1"/>
      <c r="TMH222" s="1"/>
      <c r="TMI222" s="1"/>
      <c r="TMJ222" s="1"/>
      <c r="TMK222" s="1"/>
      <c r="TML222" s="1"/>
      <c r="TMM222" s="1"/>
      <c r="TMN222" s="1"/>
      <c r="TMO222" s="1"/>
      <c r="TMP222" s="1"/>
      <c r="TMQ222" s="1"/>
      <c r="TMR222" s="1"/>
      <c r="TMS222" s="1"/>
      <c r="TMT222" s="1"/>
      <c r="TMU222" s="1"/>
      <c r="TMV222" s="1"/>
      <c r="TMW222" s="1"/>
      <c r="TMX222" s="1"/>
      <c r="TMY222" s="1"/>
      <c r="TMZ222" s="1"/>
      <c r="TNA222" s="1"/>
      <c r="TNB222" s="1"/>
      <c r="TNC222" s="1"/>
      <c r="TND222" s="1"/>
      <c r="TNE222" s="1"/>
      <c r="TNF222" s="1"/>
      <c r="TNG222" s="1"/>
      <c r="TNH222" s="1"/>
      <c r="TNI222" s="1"/>
      <c r="TNJ222" s="1"/>
      <c r="TNK222" s="1"/>
      <c r="TNL222" s="1"/>
      <c r="TNM222" s="1"/>
      <c r="TNN222" s="1"/>
      <c r="TNO222" s="1"/>
      <c r="TNP222" s="1"/>
      <c r="TNQ222" s="1"/>
      <c r="TNR222" s="1"/>
      <c r="TNS222" s="1"/>
      <c r="TNT222" s="1"/>
      <c r="TNU222" s="1"/>
      <c r="TNV222" s="1"/>
      <c r="TNW222" s="1"/>
      <c r="TNX222" s="1"/>
      <c r="TNY222" s="1"/>
      <c r="TNZ222" s="1"/>
      <c r="TOA222" s="1"/>
      <c r="TOB222" s="1"/>
      <c r="TOC222" s="1"/>
      <c r="TOD222" s="1"/>
      <c r="TOE222" s="1"/>
      <c r="TOF222" s="1"/>
      <c r="TOG222" s="1"/>
      <c r="TOH222" s="1"/>
      <c r="TOI222" s="1"/>
      <c r="TOJ222" s="1"/>
      <c r="TOK222" s="1"/>
      <c r="TOL222" s="1"/>
      <c r="TOM222" s="1"/>
      <c r="TON222" s="1"/>
      <c r="TOO222" s="1"/>
      <c r="TOP222" s="1"/>
      <c r="TOQ222" s="1"/>
      <c r="TOR222" s="1"/>
      <c r="TOS222" s="1"/>
      <c r="TOT222" s="1"/>
      <c r="TOU222" s="1"/>
      <c r="TOV222" s="1"/>
      <c r="TOW222" s="1"/>
      <c r="TOX222" s="1"/>
      <c r="TOY222" s="1"/>
      <c r="TOZ222" s="1"/>
      <c r="TPA222" s="1"/>
      <c r="TPB222" s="1"/>
      <c r="TPC222" s="1"/>
      <c r="TPD222" s="1"/>
      <c r="TPE222" s="1"/>
      <c r="TPF222" s="1"/>
      <c r="TPG222" s="1"/>
      <c r="TPH222" s="1"/>
      <c r="TPI222" s="1"/>
      <c r="TPJ222" s="1"/>
      <c r="TPK222" s="1"/>
      <c r="TPL222" s="1"/>
      <c r="TPM222" s="1"/>
      <c r="TPN222" s="1"/>
      <c r="TPO222" s="1"/>
      <c r="TPP222" s="1"/>
      <c r="TPQ222" s="1"/>
      <c r="TPR222" s="1"/>
      <c r="TPS222" s="1"/>
      <c r="TPT222" s="1"/>
      <c r="TPU222" s="1"/>
      <c r="TPV222" s="1"/>
      <c r="TPW222" s="1"/>
      <c r="TPX222" s="1"/>
      <c r="TPY222" s="1"/>
      <c r="TPZ222" s="1"/>
      <c r="TQA222" s="1"/>
      <c r="TQB222" s="1"/>
      <c r="TQC222" s="1"/>
      <c r="TQD222" s="1"/>
      <c r="TQE222" s="1"/>
      <c r="TQF222" s="1"/>
      <c r="TQG222" s="1"/>
      <c r="TQH222" s="1"/>
      <c r="TQI222" s="1"/>
      <c r="TQJ222" s="1"/>
      <c r="TQK222" s="1"/>
      <c r="TQL222" s="1"/>
      <c r="TQM222" s="1"/>
      <c r="TQN222" s="1"/>
      <c r="TQO222" s="1"/>
      <c r="TQP222" s="1"/>
      <c r="TQQ222" s="1"/>
      <c r="TQR222" s="1"/>
      <c r="TQS222" s="1"/>
      <c r="TQT222" s="1"/>
      <c r="TQU222" s="1"/>
      <c r="TQV222" s="1"/>
      <c r="TQW222" s="1"/>
      <c r="TQX222" s="1"/>
      <c r="TQY222" s="1"/>
      <c r="TQZ222" s="1"/>
      <c r="TRA222" s="1"/>
      <c r="TRB222" s="1"/>
      <c r="TRC222" s="1"/>
      <c r="TRD222" s="1"/>
      <c r="TRE222" s="1"/>
      <c r="TRF222" s="1"/>
      <c r="TRG222" s="1"/>
      <c r="TRH222" s="1"/>
      <c r="TRI222" s="1"/>
      <c r="TRJ222" s="1"/>
      <c r="TRK222" s="1"/>
      <c r="TRL222" s="1"/>
      <c r="TRM222" s="1"/>
      <c r="TRN222" s="1"/>
      <c r="TRO222" s="1"/>
      <c r="TRP222" s="1"/>
      <c r="TRQ222" s="1"/>
      <c r="TRR222" s="1"/>
      <c r="TRS222" s="1"/>
      <c r="TRT222" s="1"/>
      <c r="TRU222" s="1"/>
      <c r="TRV222" s="1"/>
      <c r="TRW222" s="1"/>
      <c r="TRX222" s="1"/>
      <c r="TRY222" s="1"/>
      <c r="TRZ222" s="1"/>
      <c r="TSA222" s="1"/>
      <c r="TSB222" s="1"/>
      <c r="TSC222" s="1"/>
      <c r="TSD222" s="1"/>
      <c r="TSE222" s="1"/>
      <c r="TSF222" s="1"/>
      <c r="TSG222" s="1"/>
      <c r="TSH222" s="1"/>
      <c r="TSI222" s="1"/>
      <c r="TSJ222" s="1"/>
      <c r="TSK222" s="1"/>
      <c r="TSL222" s="1"/>
      <c r="TSM222" s="1"/>
      <c r="TSN222" s="1"/>
      <c r="TSO222" s="1"/>
      <c r="TSP222" s="1"/>
      <c r="TSQ222" s="1"/>
      <c r="TSR222" s="1"/>
      <c r="TSS222" s="1"/>
      <c r="TST222" s="1"/>
      <c r="TSU222" s="1"/>
      <c r="TSV222" s="1"/>
      <c r="TSW222" s="1"/>
      <c r="TSX222" s="1"/>
      <c r="TSY222" s="1"/>
      <c r="TSZ222" s="1"/>
      <c r="TTA222" s="1"/>
      <c r="TTB222" s="1"/>
      <c r="TTC222" s="1"/>
      <c r="TTD222" s="1"/>
      <c r="TTE222" s="1"/>
      <c r="TTF222" s="1"/>
      <c r="TTG222" s="1"/>
      <c r="TTH222" s="1"/>
      <c r="TTI222" s="1"/>
      <c r="TTJ222" s="1"/>
      <c r="TTK222" s="1"/>
      <c r="TTL222" s="1"/>
      <c r="TTM222" s="1"/>
      <c r="TTN222" s="1"/>
      <c r="TTO222" s="1"/>
      <c r="TTP222" s="1"/>
      <c r="TTQ222" s="1"/>
      <c r="TTR222" s="1"/>
      <c r="TTS222" s="1"/>
      <c r="TTT222" s="1"/>
      <c r="TTU222" s="1"/>
      <c r="TTV222" s="1"/>
      <c r="TTW222" s="1"/>
      <c r="TTX222" s="1"/>
      <c r="TTY222" s="1"/>
      <c r="TTZ222" s="1"/>
      <c r="TUA222" s="1"/>
      <c r="TUB222" s="1"/>
      <c r="TUC222" s="1"/>
      <c r="TUD222" s="1"/>
      <c r="TUE222" s="1"/>
      <c r="TUF222" s="1"/>
      <c r="TUG222" s="1"/>
      <c r="TUH222" s="1"/>
      <c r="TUI222" s="1"/>
      <c r="TUJ222" s="1"/>
      <c r="TUK222" s="1"/>
      <c r="TUL222" s="1"/>
      <c r="TUM222" s="1"/>
      <c r="TUN222" s="1"/>
      <c r="TUO222" s="1"/>
      <c r="TUP222" s="1"/>
      <c r="TUQ222" s="1"/>
      <c r="TUR222" s="1"/>
      <c r="TUS222" s="1"/>
      <c r="TUT222" s="1"/>
      <c r="TUU222" s="1"/>
      <c r="TUV222" s="1"/>
      <c r="TUW222" s="1"/>
      <c r="TUX222" s="1"/>
      <c r="TUY222" s="1"/>
      <c r="TUZ222" s="1"/>
      <c r="TVA222" s="1"/>
      <c r="TVB222" s="1"/>
      <c r="TVC222" s="1"/>
      <c r="TVD222" s="1"/>
      <c r="TVE222" s="1"/>
      <c r="TVF222" s="1"/>
      <c r="TVG222" s="1"/>
      <c r="TVH222" s="1"/>
      <c r="TVI222" s="1"/>
      <c r="TVJ222" s="1"/>
      <c r="TVK222" s="1"/>
      <c r="TVL222" s="1"/>
      <c r="TVM222" s="1"/>
      <c r="TVN222" s="1"/>
      <c r="TVO222" s="1"/>
      <c r="TVP222" s="1"/>
      <c r="TVQ222" s="1"/>
      <c r="TVR222" s="1"/>
      <c r="TVS222" s="1"/>
      <c r="TVT222" s="1"/>
      <c r="TVU222" s="1"/>
      <c r="TVV222" s="1"/>
      <c r="TVW222" s="1"/>
      <c r="TVX222" s="1"/>
      <c r="TVY222" s="1"/>
      <c r="TVZ222" s="1"/>
      <c r="TWA222" s="1"/>
      <c r="TWB222" s="1"/>
      <c r="TWC222" s="1"/>
      <c r="TWD222" s="1"/>
      <c r="TWE222" s="1"/>
      <c r="TWF222" s="1"/>
      <c r="TWG222" s="1"/>
      <c r="TWH222" s="1"/>
      <c r="TWI222" s="1"/>
      <c r="TWJ222" s="1"/>
      <c r="TWK222" s="1"/>
      <c r="TWL222" s="1"/>
      <c r="TWM222" s="1"/>
      <c r="TWN222" s="1"/>
      <c r="TWO222" s="1"/>
      <c r="TWP222" s="1"/>
      <c r="TWQ222" s="1"/>
      <c r="TWR222" s="1"/>
      <c r="TWS222" s="1"/>
      <c r="TWT222" s="1"/>
      <c r="TWU222" s="1"/>
      <c r="TWV222" s="1"/>
      <c r="TWW222" s="1"/>
      <c r="TWX222" s="1"/>
      <c r="TWY222" s="1"/>
      <c r="TWZ222" s="1"/>
      <c r="TXA222" s="1"/>
      <c r="TXB222" s="1"/>
      <c r="TXC222" s="1"/>
      <c r="TXD222" s="1"/>
      <c r="TXE222" s="1"/>
      <c r="TXF222" s="1"/>
      <c r="TXG222" s="1"/>
      <c r="TXH222" s="1"/>
      <c r="TXI222" s="1"/>
      <c r="TXJ222" s="1"/>
      <c r="TXK222" s="1"/>
      <c r="TXL222" s="1"/>
      <c r="TXM222" s="1"/>
      <c r="TXN222" s="1"/>
      <c r="TXO222" s="1"/>
      <c r="TXP222" s="1"/>
      <c r="TXQ222" s="1"/>
      <c r="TXR222" s="1"/>
      <c r="TXS222" s="1"/>
      <c r="TXT222" s="1"/>
      <c r="TXU222" s="1"/>
      <c r="TXV222" s="1"/>
      <c r="TXW222" s="1"/>
      <c r="TXX222" s="1"/>
      <c r="TXY222" s="1"/>
      <c r="TXZ222" s="1"/>
      <c r="TYA222" s="1"/>
      <c r="TYB222" s="1"/>
      <c r="TYC222" s="1"/>
      <c r="TYD222" s="1"/>
      <c r="TYE222" s="1"/>
      <c r="TYF222" s="1"/>
      <c r="TYG222" s="1"/>
      <c r="TYH222" s="1"/>
      <c r="TYI222" s="1"/>
      <c r="TYJ222" s="1"/>
      <c r="TYK222" s="1"/>
      <c r="TYL222" s="1"/>
      <c r="TYM222" s="1"/>
      <c r="TYN222" s="1"/>
      <c r="TYO222" s="1"/>
      <c r="TYP222" s="1"/>
      <c r="TYQ222" s="1"/>
      <c r="TYR222" s="1"/>
      <c r="TYS222" s="1"/>
      <c r="TYT222" s="1"/>
      <c r="TYU222" s="1"/>
      <c r="TYV222" s="1"/>
      <c r="TYW222" s="1"/>
      <c r="TYX222" s="1"/>
      <c r="TYY222" s="1"/>
      <c r="TYZ222" s="1"/>
      <c r="TZA222" s="1"/>
      <c r="TZB222" s="1"/>
      <c r="TZC222" s="1"/>
      <c r="TZD222" s="1"/>
      <c r="TZE222" s="1"/>
      <c r="TZF222" s="1"/>
      <c r="TZG222" s="1"/>
      <c r="TZH222" s="1"/>
      <c r="TZI222" s="1"/>
      <c r="TZJ222" s="1"/>
      <c r="TZK222" s="1"/>
      <c r="TZL222" s="1"/>
      <c r="TZM222" s="1"/>
      <c r="TZN222" s="1"/>
      <c r="TZO222" s="1"/>
      <c r="TZP222" s="1"/>
      <c r="TZQ222" s="1"/>
      <c r="TZR222" s="1"/>
      <c r="TZS222" s="1"/>
      <c r="TZT222" s="1"/>
      <c r="TZU222" s="1"/>
      <c r="TZV222" s="1"/>
      <c r="TZW222" s="1"/>
      <c r="TZX222" s="1"/>
      <c r="TZY222" s="1"/>
      <c r="TZZ222" s="1"/>
      <c r="UAA222" s="1"/>
      <c r="UAB222" s="1"/>
      <c r="UAC222" s="1"/>
      <c r="UAD222" s="1"/>
      <c r="UAE222" s="1"/>
      <c r="UAF222" s="1"/>
      <c r="UAG222" s="1"/>
      <c r="UAH222" s="1"/>
      <c r="UAI222" s="1"/>
      <c r="UAJ222" s="1"/>
      <c r="UAK222" s="1"/>
      <c r="UAL222" s="1"/>
      <c r="UAM222" s="1"/>
      <c r="UAN222" s="1"/>
      <c r="UAO222" s="1"/>
      <c r="UAP222" s="1"/>
      <c r="UAQ222" s="1"/>
      <c r="UAR222" s="1"/>
      <c r="UAS222" s="1"/>
      <c r="UAT222" s="1"/>
      <c r="UAU222" s="1"/>
      <c r="UAV222" s="1"/>
      <c r="UAW222" s="1"/>
      <c r="UAX222" s="1"/>
      <c r="UAY222" s="1"/>
      <c r="UAZ222" s="1"/>
      <c r="UBA222" s="1"/>
      <c r="UBB222" s="1"/>
      <c r="UBC222" s="1"/>
      <c r="UBD222" s="1"/>
      <c r="UBE222" s="1"/>
      <c r="UBF222" s="1"/>
      <c r="UBG222" s="1"/>
      <c r="UBH222" s="1"/>
      <c r="UBI222" s="1"/>
      <c r="UBJ222" s="1"/>
      <c r="UBK222" s="1"/>
      <c r="UBL222" s="1"/>
      <c r="UBM222" s="1"/>
      <c r="UBN222" s="1"/>
      <c r="UBO222" s="1"/>
      <c r="UBP222" s="1"/>
      <c r="UBQ222" s="1"/>
      <c r="UBR222" s="1"/>
      <c r="UBS222" s="1"/>
      <c r="UBT222" s="1"/>
      <c r="UBU222" s="1"/>
      <c r="UBV222" s="1"/>
      <c r="UBW222" s="1"/>
      <c r="UBX222" s="1"/>
      <c r="UBY222" s="1"/>
      <c r="UBZ222" s="1"/>
      <c r="UCA222" s="1"/>
      <c r="UCB222" s="1"/>
      <c r="UCC222" s="1"/>
      <c r="UCD222" s="1"/>
      <c r="UCE222" s="1"/>
      <c r="UCF222" s="1"/>
      <c r="UCG222" s="1"/>
      <c r="UCH222" s="1"/>
      <c r="UCI222" s="1"/>
      <c r="UCJ222" s="1"/>
      <c r="UCK222" s="1"/>
      <c r="UCL222" s="1"/>
      <c r="UCM222" s="1"/>
      <c r="UCN222" s="1"/>
      <c r="UCO222" s="1"/>
      <c r="UCP222" s="1"/>
      <c r="UCQ222" s="1"/>
      <c r="UCR222" s="1"/>
      <c r="UCS222" s="1"/>
      <c r="UCT222" s="1"/>
      <c r="UCU222" s="1"/>
      <c r="UCV222" s="1"/>
      <c r="UCW222" s="1"/>
      <c r="UCX222" s="1"/>
      <c r="UCY222" s="1"/>
      <c r="UCZ222" s="1"/>
      <c r="UDA222" s="1"/>
      <c r="UDB222" s="1"/>
      <c r="UDC222" s="1"/>
      <c r="UDD222" s="1"/>
      <c r="UDE222" s="1"/>
      <c r="UDF222" s="1"/>
      <c r="UDG222" s="1"/>
      <c r="UDH222" s="1"/>
      <c r="UDI222" s="1"/>
      <c r="UDJ222" s="1"/>
      <c r="UDK222" s="1"/>
      <c r="UDL222" s="1"/>
      <c r="UDM222" s="1"/>
      <c r="UDN222" s="1"/>
      <c r="UDO222" s="1"/>
      <c r="UDP222" s="1"/>
      <c r="UDQ222" s="1"/>
      <c r="UDR222" s="1"/>
      <c r="UDS222" s="1"/>
      <c r="UDT222" s="1"/>
      <c r="UDU222" s="1"/>
      <c r="UDV222" s="1"/>
      <c r="UDW222" s="1"/>
      <c r="UDX222" s="1"/>
      <c r="UDY222" s="1"/>
      <c r="UDZ222" s="1"/>
      <c r="UEA222" s="1"/>
      <c r="UEB222" s="1"/>
      <c r="UEC222" s="1"/>
      <c r="UED222" s="1"/>
      <c r="UEE222" s="1"/>
      <c r="UEF222" s="1"/>
      <c r="UEG222" s="1"/>
      <c r="UEH222" s="1"/>
      <c r="UEI222" s="1"/>
      <c r="UEJ222" s="1"/>
      <c r="UEK222" s="1"/>
      <c r="UEL222" s="1"/>
      <c r="UEM222" s="1"/>
      <c r="UEN222" s="1"/>
      <c r="UEO222" s="1"/>
      <c r="UEP222" s="1"/>
      <c r="UEQ222" s="1"/>
      <c r="UER222" s="1"/>
      <c r="UES222" s="1"/>
      <c r="UET222" s="1"/>
      <c r="UEU222" s="1"/>
      <c r="UEV222" s="1"/>
      <c r="UEW222" s="1"/>
      <c r="UEX222" s="1"/>
      <c r="UEY222" s="1"/>
      <c r="UEZ222" s="1"/>
      <c r="UFA222" s="1"/>
      <c r="UFB222" s="1"/>
      <c r="UFC222" s="1"/>
      <c r="UFD222" s="1"/>
      <c r="UFE222" s="1"/>
      <c r="UFF222" s="1"/>
      <c r="UFG222" s="1"/>
      <c r="UFH222" s="1"/>
      <c r="UFI222" s="1"/>
      <c r="UFJ222" s="1"/>
      <c r="UFK222" s="1"/>
      <c r="UFL222" s="1"/>
      <c r="UFM222" s="1"/>
      <c r="UFN222" s="1"/>
      <c r="UFO222" s="1"/>
      <c r="UFP222" s="1"/>
      <c r="UFQ222" s="1"/>
      <c r="UFR222" s="1"/>
      <c r="UFS222" s="1"/>
      <c r="UFT222" s="1"/>
      <c r="UFU222" s="1"/>
      <c r="UFV222" s="1"/>
      <c r="UFW222" s="1"/>
      <c r="UFX222" s="1"/>
      <c r="UFY222" s="1"/>
      <c r="UFZ222" s="1"/>
      <c r="UGA222" s="1"/>
      <c r="UGB222" s="1"/>
      <c r="UGC222" s="1"/>
      <c r="UGD222" s="1"/>
      <c r="UGE222" s="1"/>
      <c r="UGF222" s="1"/>
      <c r="UGG222" s="1"/>
      <c r="UGH222" s="1"/>
      <c r="UGI222" s="1"/>
      <c r="UGJ222" s="1"/>
      <c r="UGK222" s="1"/>
      <c r="UGL222" s="1"/>
      <c r="UGM222" s="1"/>
      <c r="UGN222" s="1"/>
      <c r="UGO222" s="1"/>
      <c r="UGP222" s="1"/>
      <c r="UGQ222" s="1"/>
      <c r="UGR222" s="1"/>
      <c r="UGS222" s="1"/>
      <c r="UGT222" s="1"/>
      <c r="UGU222" s="1"/>
      <c r="UGV222" s="1"/>
      <c r="UGW222" s="1"/>
      <c r="UGX222" s="1"/>
      <c r="UGY222" s="1"/>
      <c r="UGZ222" s="1"/>
      <c r="UHA222" s="1"/>
      <c r="UHB222" s="1"/>
      <c r="UHC222" s="1"/>
      <c r="UHD222" s="1"/>
      <c r="UHE222" s="1"/>
      <c r="UHF222" s="1"/>
      <c r="UHG222" s="1"/>
      <c r="UHH222" s="1"/>
      <c r="UHI222" s="1"/>
      <c r="UHJ222" s="1"/>
      <c r="UHK222" s="1"/>
      <c r="UHL222" s="1"/>
      <c r="UHM222" s="1"/>
      <c r="UHN222" s="1"/>
      <c r="UHO222" s="1"/>
      <c r="UHP222" s="1"/>
      <c r="UHQ222" s="1"/>
      <c r="UHR222" s="1"/>
      <c r="UHS222" s="1"/>
      <c r="UHT222" s="1"/>
      <c r="UHU222" s="1"/>
      <c r="UHV222" s="1"/>
      <c r="UHW222" s="1"/>
      <c r="UHX222" s="1"/>
      <c r="UHY222" s="1"/>
      <c r="UHZ222" s="1"/>
      <c r="UIA222" s="1"/>
      <c r="UIB222" s="1"/>
      <c r="UIC222" s="1"/>
      <c r="UID222" s="1"/>
      <c r="UIE222" s="1"/>
      <c r="UIF222" s="1"/>
      <c r="UIG222" s="1"/>
      <c r="UIH222" s="1"/>
      <c r="UII222" s="1"/>
      <c r="UIJ222" s="1"/>
      <c r="UIK222" s="1"/>
      <c r="UIL222" s="1"/>
      <c r="UIM222" s="1"/>
      <c r="UIN222" s="1"/>
      <c r="UIO222" s="1"/>
      <c r="UIP222" s="1"/>
      <c r="UIQ222" s="1"/>
      <c r="UIR222" s="1"/>
      <c r="UIS222" s="1"/>
      <c r="UIT222" s="1"/>
      <c r="UIU222" s="1"/>
      <c r="UIV222" s="1"/>
      <c r="UIW222" s="1"/>
      <c r="UIX222" s="1"/>
      <c r="UIY222" s="1"/>
      <c r="UIZ222" s="1"/>
      <c r="UJA222" s="1"/>
      <c r="UJB222" s="1"/>
      <c r="UJC222" s="1"/>
      <c r="UJD222" s="1"/>
      <c r="UJE222" s="1"/>
      <c r="UJF222" s="1"/>
      <c r="UJG222" s="1"/>
      <c r="UJH222" s="1"/>
      <c r="UJI222" s="1"/>
      <c r="UJJ222" s="1"/>
      <c r="UJK222" s="1"/>
      <c r="UJL222" s="1"/>
      <c r="UJM222" s="1"/>
      <c r="UJN222" s="1"/>
      <c r="UJO222" s="1"/>
      <c r="UJP222" s="1"/>
      <c r="UJQ222" s="1"/>
      <c r="UJR222" s="1"/>
      <c r="UJS222" s="1"/>
      <c r="UJT222" s="1"/>
      <c r="UJU222" s="1"/>
      <c r="UJV222" s="1"/>
      <c r="UJW222" s="1"/>
      <c r="UJX222" s="1"/>
      <c r="UJY222" s="1"/>
      <c r="UJZ222" s="1"/>
      <c r="UKA222" s="1"/>
      <c r="UKB222" s="1"/>
      <c r="UKC222" s="1"/>
      <c r="UKD222" s="1"/>
      <c r="UKE222" s="1"/>
      <c r="UKF222" s="1"/>
      <c r="UKG222" s="1"/>
      <c r="UKH222" s="1"/>
      <c r="UKI222" s="1"/>
      <c r="UKJ222" s="1"/>
      <c r="UKK222" s="1"/>
      <c r="UKL222" s="1"/>
      <c r="UKM222" s="1"/>
      <c r="UKN222" s="1"/>
      <c r="UKO222" s="1"/>
      <c r="UKP222" s="1"/>
      <c r="UKQ222" s="1"/>
      <c r="UKR222" s="1"/>
      <c r="UKS222" s="1"/>
      <c r="UKT222" s="1"/>
      <c r="UKU222" s="1"/>
      <c r="UKV222" s="1"/>
      <c r="UKW222" s="1"/>
      <c r="UKX222" s="1"/>
      <c r="UKY222" s="1"/>
      <c r="UKZ222" s="1"/>
      <c r="ULA222" s="1"/>
      <c r="ULB222" s="1"/>
      <c r="ULC222" s="1"/>
      <c r="ULD222" s="1"/>
      <c r="ULE222" s="1"/>
      <c r="ULF222" s="1"/>
      <c r="ULG222" s="1"/>
      <c r="ULH222" s="1"/>
      <c r="ULI222" s="1"/>
      <c r="ULJ222" s="1"/>
      <c r="ULK222" s="1"/>
      <c r="ULL222" s="1"/>
      <c r="ULM222" s="1"/>
      <c r="ULN222" s="1"/>
      <c r="ULO222" s="1"/>
      <c r="ULP222" s="1"/>
      <c r="ULQ222" s="1"/>
      <c r="ULR222" s="1"/>
      <c r="ULS222" s="1"/>
      <c r="ULT222" s="1"/>
      <c r="ULU222" s="1"/>
      <c r="ULV222" s="1"/>
      <c r="ULW222" s="1"/>
      <c r="ULX222" s="1"/>
      <c r="ULY222" s="1"/>
      <c r="ULZ222" s="1"/>
      <c r="UMA222" s="1"/>
      <c r="UMB222" s="1"/>
      <c r="UMC222" s="1"/>
      <c r="UMD222" s="1"/>
      <c r="UME222" s="1"/>
      <c r="UMF222" s="1"/>
      <c r="UMG222" s="1"/>
      <c r="UMH222" s="1"/>
      <c r="UMI222" s="1"/>
      <c r="UMJ222" s="1"/>
      <c r="UMK222" s="1"/>
      <c r="UML222" s="1"/>
      <c r="UMM222" s="1"/>
      <c r="UMN222" s="1"/>
      <c r="UMO222" s="1"/>
      <c r="UMP222" s="1"/>
      <c r="UMQ222" s="1"/>
      <c r="UMR222" s="1"/>
      <c r="UMS222" s="1"/>
      <c r="UMT222" s="1"/>
      <c r="UMU222" s="1"/>
      <c r="UMV222" s="1"/>
      <c r="UMW222" s="1"/>
      <c r="UMX222" s="1"/>
      <c r="UMY222" s="1"/>
      <c r="UMZ222" s="1"/>
      <c r="UNA222" s="1"/>
      <c r="UNB222" s="1"/>
      <c r="UNC222" s="1"/>
      <c r="UND222" s="1"/>
      <c r="UNE222" s="1"/>
      <c r="UNF222" s="1"/>
      <c r="UNG222" s="1"/>
      <c r="UNH222" s="1"/>
      <c r="UNI222" s="1"/>
      <c r="UNJ222" s="1"/>
      <c r="UNK222" s="1"/>
      <c r="UNL222" s="1"/>
      <c r="UNM222" s="1"/>
      <c r="UNN222" s="1"/>
      <c r="UNO222" s="1"/>
      <c r="UNP222" s="1"/>
      <c r="UNQ222" s="1"/>
      <c r="UNR222" s="1"/>
      <c r="UNS222" s="1"/>
      <c r="UNT222" s="1"/>
      <c r="UNU222" s="1"/>
      <c r="UNV222" s="1"/>
      <c r="UNW222" s="1"/>
      <c r="UNX222" s="1"/>
      <c r="UNY222" s="1"/>
      <c r="UNZ222" s="1"/>
      <c r="UOA222" s="1"/>
      <c r="UOB222" s="1"/>
      <c r="UOC222" s="1"/>
      <c r="UOD222" s="1"/>
      <c r="UOE222" s="1"/>
      <c r="UOF222" s="1"/>
      <c r="UOG222" s="1"/>
      <c r="UOH222" s="1"/>
      <c r="UOI222" s="1"/>
      <c r="UOJ222" s="1"/>
      <c r="UOK222" s="1"/>
      <c r="UOL222" s="1"/>
      <c r="UOM222" s="1"/>
      <c r="UON222" s="1"/>
      <c r="UOO222" s="1"/>
      <c r="UOP222" s="1"/>
      <c r="UOQ222" s="1"/>
      <c r="UOR222" s="1"/>
      <c r="UOS222" s="1"/>
      <c r="UOT222" s="1"/>
      <c r="UOU222" s="1"/>
      <c r="UOV222" s="1"/>
      <c r="UOW222" s="1"/>
      <c r="UOX222" s="1"/>
      <c r="UOY222" s="1"/>
      <c r="UOZ222" s="1"/>
      <c r="UPA222" s="1"/>
      <c r="UPB222" s="1"/>
      <c r="UPC222" s="1"/>
      <c r="UPD222" s="1"/>
      <c r="UPE222" s="1"/>
      <c r="UPF222" s="1"/>
      <c r="UPG222" s="1"/>
      <c r="UPH222" s="1"/>
      <c r="UPI222" s="1"/>
      <c r="UPJ222" s="1"/>
      <c r="UPK222" s="1"/>
      <c r="UPL222" s="1"/>
      <c r="UPM222" s="1"/>
      <c r="UPN222" s="1"/>
      <c r="UPO222" s="1"/>
      <c r="UPP222" s="1"/>
      <c r="UPQ222" s="1"/>
      <c r="UPR222" s="1"/>
      <c r="UPS222" s="1"/>
      <c r="UPT222" s="1"/>
      <c r="UPU222" s="1"/>
      <c r="UPV222" s="1"/>
      <c r="UPW222" s="1"/>
      <c r="UPX222" s="1"/>
      <c r="UPY222" s="1"/>
      <c r="UPZ222" s="1"/>
      <c r="UQA222" s="1"/>
      <c r="UQB222" s="1"/>
      <c r="UQC222" s="1"/>
      <c r="UQD222" s="1"/>
      <c r="UQE222" s="1"/>
      <c r="UQF222" s="1"/>
      <c r="UQG222" s="1"/>
      <c r="UQH222" s="1"/>
      <c r="UQI222" s="1"/>
      <c r="UQJ222" s="1"/>
      <c r="UQK222" s="1"/>
      <c r="UQL222" s="1"/>
      <c r="UQM222" s="1"/>
      <c r="UQN222" s="1"/>
      <c r="UQO222" s="1"/>
      <c r="UQP222" s="1"/>
      <c r="UQQ222" s="1"/>
      <c r="UQR222" s="1"/>
      <c r="UQS222" s="1"/>
      <c r="UQT222" s="1"/>
      <c r="UQU222" s="1"/>
      <c r="UQV222" s="1"/>
      <c r="UQW222" s="1"/>
      <c r="UQX222" s="1"/>
      <c r="UQY222" s="1"/>
      <c r="UQZ222" s="1"/>
      <c r="URA222" s="1"/>
      <c r="URB222" s="1"/>
      <c r="URC222" s="1"/>
      <c r="URD222" s="1"/>
      <c r="URE222" s="1"/>
      <c r="URF222" s="1"/>
      <c r="URG222" s="1"/>
      <c r="URH222" s="1"/>
      <c r="URI222" s="1"/>
      <c r="URJ222" s="1"/>
      <c r="URK222" s="1"/>
      <c r="URL222" s="1"/>
      <c r="URM222" s="1"/>
      <c r="URN222" s="1"/>
      <c r="URO222" s="1"/>
      <c r="URP222" s="1"/>
      <c r="URQ222" s="1"/>
      <c r="URR222" s="1"/>
      <c r="URS222" s="1"/>
      <c r="URT222" s="1"/>
      <c r="URU222" s="1"/>
      <c r="URV222" s="1"/>
      <c r="URW222" s="1"/>
      <c r="URX222" s="1"/>
      <c r="URY222" s="1"/>
      <c r="URZ222" s="1"/>
      <c r="USA222" s="1"/>
      <c r="USB222" s="1"/>
      <c r="USC222" s="1"/>
      <c r="USD222" s="1"/>
      <c r="USE222" s="1"/>
      <c r="USF222" s="1"/>
      <c r="USG222" s="1"/>
      <c r="USH222" s="1"/>
      <c r="USI222" s="1"/>
      <c r="USJ222" s="1"/>
      <c r="USK222" s="1"/>
      <c r="USL222" s="1"/>
      <c r="USM222" s="1"/>
      <c r="USN222" s="1"/>
      <c r="USO222" s="1"/>
      <c r="USP222" s="1"/>
      <c r="USQ222" s="1"/>
      <c r="USR222" s="1"/>
      <c r="USS222" s="1"/>
      <c r="UST222" s="1"/>
      <c r="USU222" s="1"/>
      <c r="USV222" s="1"/>
      <c r="USW222" s="1"/>
      <c r="USX222" s="1"/>
      <c r="USY222" s="1"/>
      <c r="USZ222" s="1"/>
      <c r="UTA222" s="1"/>
      <c r="UTB222" s="1"/>
      <c r="UTC222" s="1"/>
      <c r="UTD222" s="1"/>
      <c r="UTE222" s="1"/>
      <c r="UTF222" s="1"/>
      <c r="UTG222" s="1"/>
      <c r="UTH222" s="1"/>
      <c r="UTI222" s="1"/>
      <c r="UTJ222" s="1"/>
      <c r="UTK222" s="1"/>
      <c r="UTL222" s="1"/>
      <c r="UTM222" s="1"/>
      <c r="UTN222" s="1"/>
      <c r="UTO222" s="1"/>
      <c r="UTP222" s="1"/>
      <c r="UTQ222" s="1"/>
      <c r="UTR222" s="1"/>
      <c r="UTS222" s="1"/>
      <c r="UTT222" s="1"/>
      <c r="UTU222" s="1"/>
      <c r="UTV222" s="1"/>
      <c r="UTW222" s="1"/>
      <c r="UTX222" s="1"/>
      <c r="UTY222" s="1"/>
      <c r="UTZ222" s="1"/>
      <c r="UUA222" s="1"/>
      <c r="UUB222" s="1"/>
      <c r="UUC222" s="1"/>
      <c r="UUD222" s="1"/>
      <c r="UUE222" s="1"/>
      <c r="UUF222" s="1"/>
      <c r="UUG222" s="1"/>
      <c r="UUH222" s="1"/>
      <c r="UUI222" s="1"/>
      <c r="UUJ222" s="1"/>
      <c r="UUK222" s="1"/>
      <c r="UUL222" s="1"/>
      <c r="UUM222" s="1"/>
      <c r="UUN222" s="1"/>
      <c r="UUO222" s="1"/>
      <c r="UUP222" s="1"/>
      <c r="UUQ222" s="1"/>
      <c r="UUR222" s="1"/>
      <c r="UUS222" s="1"/>
      <c r="UUT222" s="1"/>
      <c r="UUU222" s="1"/>
      <c r="UUV222" s="1"/>
      <c r="UUW222" s="1"/>
      <c r="UUX222" s="1"/>
      <c r="UUY222" s="1"/>
      <c r="UUZ222" s="1"/>
      <c r="UVA222" s="1"/>
      <c r="UVB222" s="1"/>
      <c r="UVC222" s="1"/>
      <c r="UVD222" s="1"/>
      <c r="UVE222" s="1"/>
      <c r="UVF222" s="1"/>
      <c r="UVG222" s="1"/>
      <c r="UVH222" s="1"/>
      <c r="UVI222" s="1"/>
      <c r="UVJ222" s="1"/>
      <c r="UVK222" s="1"/>
      <c r="UVL222" s="1"/>
      <c r="UVM222" s="1"/>
      <c r="UVN222" s="1"/>
      <c r="UVO222" s="1"/>
      <c r="UVP222" s="1"/>
      <c r="UVQ222" s="1"/>
      <c r="UVR222" s="1"/>
      <c r="UVS222" s="1"/>
      <c r="UVT222" s="1"/>
      <c r="UVU222" s="1"/>
      <c r="UVV222" s="1"/>
      <c r="UVW222" s="1"/>
      <c r="UVX222" s="1"/>
      <c r="UVY222" s="1"/>
      <c r="UVZ222" s="1"/>
      <c r="UWA222" s="1"/>
      <c r="UWB222" s="1"/>
      <c r="UWC222" s="1"/>
      <c r="UWD222" s="1"/>
      <c r="UWE222" s="1"/>
      <c r="UWF222" s="1"/>
      <c r="UWG222" s="1"/>
      <c r="UWH222" s="1"/>
      <c r="UWI222" s="1"/>
      <c r="UWJ222" s="1"/>
      <c r="UWK222" s="1"/>
      <c r="UWL222" s="1"/>
      <c r="UWM222" s="1"/>
      <c r="UWN222" s="1"/>
      <c r="UWO222" s="1"/>
      <c r="UWP222" s="1"/>
      <c r="UWQ222" s="1"/>
      <c r="UWR222" s="1"/>
      <c r="UWS222" s="1"/>
      <c r="UWT222" s="1"/>
      <c r="UWU222" s="1"/>
      <c r="UWV222" s="1"/>
      <c r="UWW222" s="1"/>
      <c r="UWX222" s="1"/>
      <c r="UWY222" s="1"/>
      <c r="UWZ222" s="1"/>
      <c r="UXA222" s="1"/>
      <c r="UXB222" s="1"/>
      <c r="UXC222" s="1"/>
      <c r="UXD222" s="1"/>
      <c r="UXE222" s="1"/>
      <c r="UXF222" s="1"/>
      <c r="UXG222" s="1"/>
      <c r="UXH222" s="1"/>
      <c r="UXI222" s="1"/>
      <c r="UXJ222" s="1"/>
      <c r="UXK222" s="1"/>
      <c r="UXL222" s="1"/>
      <c r="UXM222" s="1"/>
      <c r="UXN222" s="1"/>
      <c r="UXO222" s="1"/>
      <c r="UXP222" s="1"/>
      <c r="UXQ222" s="1"/>
      <c r="UXR222" s="1"/>
      <c r="UXS222" s="1"/>
      <c r="UXT222" s="1"/>
      <c r="UXU222" s="1"/>
      <c r="UXV222" s="1"/>
      <c r="UXW222" s="1"/>
      <c r="UXX222" s="1"/>
      <c r="UXY222" s="1"/>
      <c r="UXZ222" s="1"/>
      <c r="UYA222" s="1"/>
      <c r="UYB222" s="1"/>
      <c r="UYC222" s="1"/>
      <c r="UYD222" s="1"/>
      <c r="UYE222" s="1"/>
      <c r="UYF222" s="1"/>
      <c r="UYG222" s="1"/>
      <c r="UYH222" s="1"/>
      <c r="UYI222" s="1"/>
      <c r="UYJ222" s="1"/>
      <c r="UYK222" s="1"/>
      <c r="UYL222" s="1"/>
      <c r="UYM222" s="1"/>
      <c r="UYN222" s="1"/>
      <c r="UYO222" s="1"/>
      <c r="UYP222" s="1"/>
      <c r="UYQ222" s="1"/>
      <c r="UYR222" s="1"/>
      <c r="UYS222" s="1"/>
      <c r="UYT222" s="1"/>
      <c r="UYU222" s="1"/>
      <c r="UYV222" s="1"/>
      <c r="UYW222" s="1"/>
      <c r="UYX222" s="1"/>
      <c r="UYY222" s="1"/>
      <c r="UYZ222" s="1"/>
      <c r="UZA222" s="1"/>
      <c r="UZB222" s="1"/>
      <c r="UZC222" s="1"/>
      <c r="UZD222" s="1"/>
      <c r="UZE222" s="1"/>
      <c r="UZF222" s="1"/>
      <c r="UZG222" s="1"/>
      <c r="UZH222" s="1"/>
      <c r="UZI222" s="1"/>
      <c r="UZJ222" s="1"/>
      <c r="UZK222" s="1"/>
      <c r="UZL222" s="1"/>
      <c r="UZM222" s="1"/>
      <c r="UZN222" s="1"/>
      <c r="UZO222" s="1"/>
      <c r="UZP222" s="1"/>
      <c r="UZQ222" s="1"/>
      <c r="UZR222" s="1"/>
      <c r="UZS222" s="1"/>
      <c r="UZT222" s="1"/>
      <c r="UZU222" s="1"/>
      <c r="UZV222" s="1"/>
      <c r="UZW222" s="1"/>
      <c r="UZX222" s="1"/>
      <c r="UZY222" s="1"/>
      <c r="UZZ222" s="1"/>
      <c r="VAA222" s="1"/>
      <c r="VAB222" s="1"/>
      <c r="VAC222" s="1"/>
      <c r="VAD222" s="1"/>
      <c r="VAE222" s="1"/>
      <c r="VAF222" s="1"/>
      <c r="VAG222" s="1"/>
      <c r="VAH222" s="1"/>
      <c r="VAI222" s="1"/>
      <c r="VAJ222" s="1"/>
      <c r="VAK222" s="1"/>
      <c r="VAL222" s="1"/>
      <c r="VAM222" s="1"/>
      <c r="VAN222" s="1"/>
      <c r="VAO222" s="1"/>
      <c r="VAP222" s="1"/>
      <c r="VAQ222" s="1"/>
      <c r="VAR222" s="1"/>
      <c r="VAS222" s="1"/>
      <c r="VAT222" s="1"/>
      <c r="VAU222" s="1"/>
      <c r="VAV222" s="1"/>
      <c r="VAW222" s="1"/>
      <c r="VAX222" s="1"/>
      <c r="VAY222" s="1"/>
      <c r="VAZ222" s="1"/>
      <c r="VBA222" s="1"/>
      <c r="VBB222" s="1"/>
      <c r="VBC222" s="1"/>
      <c r="VBD222" s="1"/>
      <c r="VBE222" s="1"/>
      <c r="VBF222" s="1"/>
      <c r="VBG222" s="1"/>
      <c r="VBH222" s="1"/>
      <c r="VBI222" s="1"/>
      <c r="VBJ222" s="1"/>
      <c r="VBK222" s="1"/>
      <c r="VBL222" s="1"/>
      <c r="VBM222" s="1"/>
      <c r="VBN222" s="1"/>
      <c r="VBO222" s="1"/>
      <c r="VBP222" s="1"/>
      <c r="VBQ222" s="1"/>
      <c r="VBR222" s="1"/>
      <c r="VBS222" s="1"/>
      <c r="VBT222" s="1"/>
      <c r="VBU222" s="1"/>
      <c r="VBV222" s="1"/>
      <c r="VBW222" s="1"/>
      <c r="VBX222" s="1"/>
      <c r="VBY222" s="1"/>
      <c r="VBZ222" s="1"/>
      <c r="VCA222" s="1"/>
      <c r="VCB222" s="1"/>
      <c r="VCC222" s="1"/>
      <c r="VCD222" s="1"/>
      <c r="VCE222" s="1"/>
      <c r="VCF222" s="1"/>
      <c r="VCG222" s="1"/>
      <c r="VCH222" s="1"/>
      <c r="VCI222" s="1"/>
      <c r="VCJ222" s="1"/>
      <c r="VCK222" s="1"/>
      <c r="VCL222" s="1"/>
      <c r="VCM222" s="1"/>
      <c r="VCN222" s="1"/>
      <c r="VCO222" s="1"/>
      <c r="VCP222" s="1"/>
      <c r="VCQ222" s="1"/>
      <c r="VCR222" s="1"/>
      <c r="VCS222" s="1"/>
      <c r="VCT222" s="1"/>
      <c r="VCU222" s="1"/>
      <c r="VCV222" s="1"/>
    </row>
    <row r="223" spans="5:14972" s="2" customFormat="1" x14ac:dyDescent="0.3">
      <c r="E223" s="1"/>
      <c r="F223" s="1"/>
      <c r="G223" s="1"/>
      <c r="H223" s="1"/>
      <c r="I223" s="1"/>
      <c r="J223" s="1"/>
      <c r="K223" s="1"/>
      <c r="L223" s="1"/>
      <c r="M223" s="1"/>
      <c r="N223" s="1"/>
      <c r="O223" s="1"/>
      <c r="P223" s="1"/>
      <c r="Q223" s="1"/>
      <c r="R223" s="1"/>
      <c r="S223" s="1"/>
      <c r="T223" s="1"/>
      <c r="U223" s="1"/>
      <c r="V223" s="1"/>
      <c r="W223" s="1"/>
      <c r="X223" s="1"/>
      <c r="Y223" s="1"/>
      <c r="Z223" s="1"/>
      <c r="AA223" s="1"/>
      <c r="AB223" s="1"/>
      <c r="AC223" s="1"/>
      <c r="AD223" s="1"/>
      <c r="AE223" s="1"/>
      <c r="AF223" s="1"/>
      <c r="AG223" s="1"/>
      <c r="AH223" s="1"/>
      <c r="AI223" s="1"/>
      <c r="AJ223" s="1"/>
      <c r="AK223" s="1"/>
      <c r="AL223" s="1"/>
      <c r="AM223" s="5"/>
      <c r="AN223" s="5"/>
      <c r="AO223" s="1"/>
      <c r="AP223" s="1"/>
      <c r="AQ223" s="1"/>
      <c r="AS223" s="3"/>
      <c r="CA223" s="1"/>
      <c r="CB223" s="1"/>
      <c r="CC223" s="1"/>
      <c r="CD223" s="1"/>
      <c r="CE223" s="1"/>
      <c r="CF223" s="1"/>
      <c r="CG223" s="1"/>
      <c r="CH223" s="1"/>
      <c r="CI223" s="1"/>
      <c r="CJ223" s="1"/>
      <c r="CK223" s="1"/>
      <c r="CL223" s="1"/>
      <c r="CM223" s="1"/>
      <c r="CN223" s="1"/>
      <c r="CO223" s="1"/>
      <c r="CP223" s="1"/>
      <c r="CQ223" s="1"/>
      <c r="CR223" s="1"/>
      <c r="CS223" s="1"/>
      <c r="CT223" s="1"/>
      <c r="CU223" s="1"/>
      <c r="CV223" s="1"/>
      <c r="CW223" s="1"/>
      <c r="CX223" s="1"/>
      <c r="CY223" s="1"/>
      <c r="CZ223" s="1"/>
      <c r="DA223" s="1"/>
      <c r="DB223"/>
      <c r="DC223" s="1"/>
      <c r="DD223" s="1"/>
      <c r="DE223" s="1"/>
      <c r="DF223" s="1"/>
      <c r="DG223" s="1"/>
      <c r="DH223" s="1"/>
      <c r="DI223" s="1"/>
      <c r="DJ223" s="1"/>
      <c r="DK223" s="1"/>
      <c r="DL223" s="1"/>
      <c r="DM223" s="1"/>
      <c r="DN223" s="1"/>
      <c r="DO223" s="1"/>
      <c r="DP223" s="1"/>
      <c r="DQ223" s="1"/>
      <c r="DR223" s="1"/>
      <c r="DS223" s="1"/>
      <c r="DT223" s="1"/>
      <c r="DU223" s="1"/>
      <c r="DV223" s="1"/>
      <c r="DW223" s="1"/>
      <c r="DX223" s="1"/>
      <c r="DY223" s="1"/>
      <c r="DZ223" s="1"/>
      <c r="EA223" s="1"/>
      <c r="EB223" s="1"/>
      <c r="EC223" s="1"/>
      <c r="ED223" s="1"/>
      <c r="EE223" s="1"/>
      <c r="EF223" s="1"/>
      <c r="EG223" s="1"/>
      <c r="EH223" s="1"/>
      <c r="EI223" s="1"/>
      <c r="EJ223" s="1"/>
      <c r="EK223" s="1"/>
      <c r="EL223" s="1"/>
      <c r="EM223" s="1"/>
      <c r="EN223" s="1"/>
      <c r="EO223" s="1"/>
      <c r="EP223" s="1"/>
      <c r="EQ223" s="1"/>
      <c r="ER223" s="1"/>
      <c r="ES223" s="1"/>
      <c r="ET223" s="1"/>
      <c r="EU223" s="1"/>
      <c r="EV223" s="1"/>
      <c r="EW223" s="1"/>
      <c r="EX223" s="1"/>
      <c r="EY223" s="1"/>
      <c r="EZ223" s="1"/>
      <c r="FA223" s="1"/>
      <c r="FB223" s="1"/>
      <c r="FC223" s="1"/>
      <c r="FD223" s="1"/>
      <c r="FE223" s="1"/>
      <c r="FF223" s="1"/>
      <c r="FG223" s="1"/>
      <c r="FH223" s="1"/>
      <c r="FI223" s="1"/>
      <c r="FJ223" s="1"/>
      <c r="FK223" s="1"/>
      <c r="FL223" s="1"/>
      <c r="FM223" s="1"/>
      <c r="FN223" s="1"/>
      <c r="FO223" s="1"/>
      <c r="FP223" s="1"/>
      <c r="FQ223" s="1"/>
      <c r="FR223" s="1"/>
      <c r="FS223" s="1"/>
      <c r="FT223" s="1"/>
      <c r="FU223" s="1"/>
      <c r="FV223" s="1"/>
      <c r="FW223" s="1"/>
      <c r="FX223" s="1"/>
      <c r="FY223" s="1"/>
      <c r="FZ223" s="1"/>
      <c r="GA223" s="1"/>
      <c r="GB223" s="1"/>
      <c r="GC223" s="1"/>
      <c r="GD223" s="1"/>
      <c r="GE223" s="1"/>
      <c r="GF223" s="1"/>
      <c r="GG223" s="1"/>
      <c r="GH223" s="1"/>
      <c r="GI223" s="1"/>
      <c r="GJ223" s="1"/>
      <c r="GK223" s="1"/>
      <c r="GL223" s="1"/>
      <c r="GM223" s="1"/>
      <c r="GN223" s="1"/>
      <c r="GO223" s="1"/>
      <c r="GP223" s="1"/>
      <c r="GQ223" s="1"/>
      <c r="GR223" s="1"/>
      <c r="GS223" s="1"/>
      <c r="GT223" s="1"/>
      <c r="GU223" s="1"/>
      <c r="GV223" s="1"/>
      <c r="GW223" s="1"/>
      <c r="GX223" s="1"/>
      <c r="GY223" s="1"/>
      <c r="GZ223" s="1"/>
      <c r="HA223" s="1"/>
      <c r="HB223" s="1"/>
      <c r="HC223" s="1"/>
      <c r="HD223" s="1"/>
      <c r="HE223" s="1"/>
      <c r="HF223" s="1"/>
      <c r="HG223" s="1"/>
      <c r="HH223" s="1"/>
      <c r="HI223" s="1"/>
      <c r="HJ223" s="1"/>
      <c r="HK223" s="1"/>
      <c r="HL223" s="1"/>
      <c r="HM223" s="1"/>
      <c r="HN223" s="1"/>
      <c r="HO223" s="1"/>
      <c r="HP223" s="1"/>
      <c r="HQ223" s="1"/>
      <c r="HR223" s="1"/>
      <c r="HS223" s="1"/>
      <c r="HT223" s="1"/>
      <c r="HU223" s="1"/>
      <c r="HV223" s="1"/>
      <c r="HW223" s="1"/>
      <c r="HX223" s="1"/>
      <c r="HY223" s="1"/>
      <c r="HZ223" s="1"/>
      <c r="IA223" s="1"/>
      <c r="IB223" s="1"/>
      <c r="IC223" s="1"/>
      <c r="ID223" s="1"/>
      <c r="IE223" s="1"/>
      <c r="IF223" s="1"/>
      <c r="IG223" s="1"/>
      <c r="IH223" s="1"/>
      <c r="II223" s="1"/>
      <c r="IJ223" s="1"/>
      <c r="IK223" s="1"/>
      <c r="IL223" s="1"/>
      <c r="IM223" s="1"/>
      <c r="IN223" s="1"/>
      <c r="IO223" s="1"/>
      <c r="IP223" s="1"/>
      <c r="IQ223" s="1"/>
      <c r="IR223" s="1"/>
      <c r="IS223" s="1"/>
      <c r="IT223" s="1"/>
      <c r="IU223" s="1"/>
      <c r="IV223" s="1"/>
      <c r="IW223" s="1"/>
      <c r="IX223" s="1"/>
      <c r="IY223" s="1"/>
      <c r="IZ223" s="1"/>
      <c r="JA223" s="1"/>
      <c r="JB223" s="1"/>
      <c r="JC223" s="1"/>
      <c r="JD223" s="1"/>
      <c r="JE223" s="1"/>
      <c r="JF223" s="1"/>
      <c r="JG223" s="1"/>
      <c r="JH223" s="1"/>
      <c r="JI223" s="1"/>
      <c r="JJ223" s="1"/>
      <c r="JK223" s="1"/>
      <c r="JL223" s="1"/>
      <c r="JM223" s="1"/>
      <c r="JN223" s="1"/>
      <c r="JO223" s="1"/>
      <c r="JP223" s="1"/>
      <c r="JQ223" s="1"/>
      <c r="JR223" s="1"/>
      <c r="JS223" s="1"/>
      <c r="JT223" s="1"/>
      <c r="JU223" s="1"/>
      <c r="JV223" s="1"/>
      <c r="JW223" s="1"/>
      <c r="JX223" s="1"/>
      <c r="JY223" s="1"/>
      <c r="JZ223" s="1"/>
      <c r="KA223" s="1"/>
      <c r="KB223" s="1"/>
      <c r="KC223" s="1"/>
      <c r="KD223" s="1"/>
      <c r="KE223" s="1"/>
      <c r="KF223" s="1"/>
      <c r="KG223" s="1"/>
      <c r="KH223" s="1"/>
      <c r="KI223" s="1"/>
      <c r="KJ223" s="1"/>
      <c r="KK223" s="1"/>
      <c r="KL223" s="1"/>
      <c r="KM223" s="1"/>
      <c r="KN223" s="1"/>
      <c r="KO223" s="1"/>
      <c r="KP223" s="1"/>
      <c r="KQ223" s="1"/>
      <c r="KR223" s="1"/>
      <c r="KS223" s="1"/>
      <c r="KT223" s="1"/>
      <c r="KU223" s="1"/>
      <c r="KV223" s="1"/>
      <c r="KW223" s="1"/>
      <c r="KX223" s="1"/>
      <c r="KY223" s="1"/>
      <c r="KZ223" s="1"/>
      <c r="LA223" s="1"/>
      <c r="LB223" s="1"/>
      <c r="LC223" s="1"/>
      <c r="LD223" s="1"/>
      <c r="LE223" s="1"/>
      <c r="LF223" s="1"/>
      <c r="LG223" s="1"/>
      <c r="LH223" s="1"/>
      <c r="LI223" s="1"/>
      <c r="LJ223" s="1"/>
      <c r="LK223" s="1"/>
      <c r="LL223" s="1"/>
      <c r="LM223" s="1"/>
      <c r="LN223" s="1"/>
      <c r="LO223" s="1"/>
      <c r="LP223" s="1"/>
      <c r="LQ223" s="1"/>
      <c r="LR223" s="1"/>
      <c r="LS223" s="1"/>
      <c r="LT223" s="1"/>
      <c r="LU223" s="1"/>
      <c r="LV223" s="1"/>
      <c r="LW223" s="1"/>
      <c r="LX223" s="1"/>
      <c r="LY223" s="1"/>
      <c r="LZ223" s="1"/>
      <c r="MA223" s="1"/>
      <c r="MB223" s="1"/>
      <c r="MC223" s="1"/>
      <c r="MD223" s="1"/>
      <c r="ME223" s="1"/>
      <c r="MF223" s="1"/>
      <c r="MG223" s="1"/>
      <c r="MH223" s="1"/>
      <c r="MI223" s="1"/>
      <c r="MJ223" s="1"/>
      <c r="MK223" s="1"/>
      <c r="ML223" s="1"/>
      <c r="MM223" s="1"/>
      <c r="MN223" s="1"/>
      <c r="MO223" s="1"/>
      <c r="MP223" s="1"/>
      <c r="MQ223" s="1"/>
      <c r="MR223" s="1"/>
      <c r="MS223" s="1"/>
      <c r="MT223" s="1"/>
      <c r="MU223" s="1"/>
      <c r="MV223" s="1"/>
      <c r="MW223" s="1"/>
      <c r="MX223" s="1"/>
      <c r="MY223" s="1"/>
      <c r="MZ223" s="1"/>
      <c r="NA223" s="1"/>
      <c r="NB223" s="1"/>
      <c r="NC223" s="1"/>
      <c r="ND223" s="1"/>
      <c r="NE223" s="1"/>
      <c r="NF223" s="1"/>
      <c r="NG223" s="1"/>
      <c r="NH223" s="1"/>
      <c r="NI223" s="1"/>
      <c r="NJ223" s="1"/>
      <c r="NK223" s="1"/>
      <c r="NL223" s="1"/>
      <c r="NM223" s="1"/>
      <c r="NN223" s="1"/>
      <c r="NO223" s="1"/>
      <c r="NP223" s="1"/>
      <c r="NQ223" s="1"/>
      <c r="NR223" s="1"/>
      <c r="NS223" s="1"/>
      <c r="NT223" s="1"/>
      <c r="NU223" s="1"/>
      <c r="NV223" s="1"/>
      <c r="NW223" s="1"/>
      <c r="NX223" s="1"/>
      <c r="NY223" s="1"/>
      <c r="NZ223" s="1"/>
      <c r="OA223" s="1"/>
      <c r="OB223" s="1"/>
      <c r="OC223" s="1"/>
      <c r="OD223" s="1"/>
      <c r="OE223" s="1"/>
      <c r="OF223" s="1"/>
      <c r="OG223" s="1"/>
      <c r="OH223" s="1"/>
      <c r="OI223" s="1"/>
      <c r="OJ223" s="1"/>
      <c r="OK223" s="1"/>
      <c r="OL223" s="1"/>
      <c r="OM223" s="1"/>
      <c r="ON223" s="1"/>
      <c r="OO223" s="1"/>
      <c r="OP223" s="1"/>
      <c r="OQ223" s="1"/>
      <c r="OR223" s="1"/>
      <c r="OS223" s="1"/>
      <c r="OT223" s="1"/>
      <c r="OU223" s="1"/>
      <c r="OV223" s="1"/>
      <c r="OW223" s="1"/>
      <c r="OX223" s="1"/>
      <c r="OY223" s="1"/>
      <c r="OZ223" s="1"/>
      <c r="PA223" s="1"/>
      <c r="PB223" s="1"/>
      <c r="PC223" s="1"/>
      <c r="PD223" s="1"/>
      <c r="PE223" s="1"/>
      <c r="PF223" s="1"/>
      <c r="PG223" s="1"/>
      <c r="PH223" s="1"/>
      <c r="PI223" s="1"/>
      <c r="PJ223" s="1"/>
      <c r="PK223" s="1"/>
      <c r="PL223" s="1"/>
      <c r="PM223" s="1"/>
      <c r="PN223" s="1"/>
      <c r="PO223" s="1"/>
      <c r="PP223" s="1"/>
      <c r="PQ223" s="1"/>
      <c r="PR223" s="1"/>
      <c r="PS223" s="1"/>
      <c r="PT223" s="1"/>
      <c r="PU223" s="1"/>
      <c r="PV223" s="1"/>
      <c r="PW223" s="1"/>
      <c r="PX223" s="1"/>
      <c r="PY223" s="1"/>
      <c r="PZ223" s="1"/>
      <c r="QA223" s="1"/>
      <c r="QB223" s="1"/>
      <c r="QC223" s="1"/>
      <c r="QD223" s="1"/>
      <c r="QE223" s="1"/>
      <c r="QF223" s="1"/>
      <c r="QG223" s="1"/>
      <c r="QH223" s="1"/>
      <c r="QI223" s="1"/>
      <c r="QJ223" s="1"/>
      <c r="QK223" s="1"/>
      <c r="QL223" s="1"/>
      <c r="QM223" s="1"/>
      <c r="QN223" s="1"/>
      <c r="QO223" s="1"/>
      <c r="QP223" s="1"/>
      <c r="QQ223" s="1"/>
      <c r="QR223" s="1"/>
      <c r="QS223" s="1"/>
      <c r="QT223" s="1"/>
      <c r="QU223" s="1"/>
      <c r="QV223" s="1"/>
      <c r="QW223" s="1"/>
      <c r="QX223" s="1"/>
      <c r="QY223" s="1"/>
      <c r="QZ223" s="1"/>
      <c r="RA223" s="1"/>
      <c r="RB223" s="1"/>
      <c r="RC223" s="1"/>
      <c r="RD223" s="1"/>
      <c r="RE223" s="1"/>
      <c r="RF223" s="1"/>
      <c r="RG223" s="1"/>
      <c r="RH223" s="1"/>
      <c r="RI223" s="1"/>
      <c r="RJ223" s="1"/>
      <c r="RK223" s="1"/>
      <c r="RL223" s="1"/>
      <c r="RM223" s="1"/>
      <c r="RN223" s="1"/>
      <c r="RO223" s="1"/>
      <c r="RP223" s="1"/>
      <c r="RQ223" s="1"/>
      <c r="RR223" s="1"/>
      <c r="RS223" s="1"/>
      <c r="RT223" s="1"/>
      <c r="RU223" s="1"/>
      <c r="RV223" s="1"/>
      <c r="RW223" s="1"/>
      <c r="RX223" s="1"/>
      <c r="RY223" s="1"/>
      <c r="RZ223" s="1"/>
      <c r="SA223" s="1"/>
      <c r="SB223" s="1"/>
      <c r="SC223" s="1"/>
      <c r="SD223" s="1"/>
      <c r="SE223" s="1"/>
      <c r="SF223" s="1"/>
      <c r="SG223" s="1"/>
      <c r="SH223" s="1"/>
      <c r="SI223" s="1"/>
      <c r="SJ223" s="1"/>
      <c r="SK223" s="1"/>
      <c r="SL223" s="1"/>
      <c r="SM223" s="1"/>
      <c r="SN223" s="1"/>
      <c r="SO223" s="1"/>
      <c r="SP223" s="1"/>
      <c r="SQ223" s="1"/>
      <c r="SR223" s="1"/>
      <c r="SS223" s="1"/>
      <c r="ST223" s="1"/>
      <c r="SU223" s="1"/>
      <c r="SV223" s="1"/>
      <c r="SW223" s="1"/>
      <c r="SX223" s="1"/>
      <c r="SY223" s="1"/>
      <c r="SZ223" s="1"/>
      <c r="TA223" s="1"/>
      <c r="TB223" s="1"/>
      <c r="TC223" s="1"/>
      <c r="TD223" s="1"/>
      <c r="TE223" s="1"/>
      <c r="TF223" s="1"/>
      <c r="TG223" s="1"/>
      <c r="TH223" s="1"/>
      <c r="TI223" s="1"/>
      <c r="TJ223" s="1"/>
      <c r="TK223" s="1"/>
      <c r="TL223" s="1"/>
      <c r="TM223" s="1"/>
      <c r="TN223" s="1"/>
      <c r="TO223" s="1"/>
      <c r="TP223" s="1"/>
      <c r="TQ223" s="1"/>
      <c r="TR223" s="1"/>
      <c r="TS223" s="1"/>
      <c r="TT223" s="1"/>
      <c r="TU223" s="1"/>
      <c r="TV223" s="1"/>
      <c r="TW223" s="1"/>
      <c r="TX223" s="1"/>
      <c r="TY223" s="1"/>
      <c r="TZ223" s="1"/>
      <c r="UA223" s="1"/>
      <c r="UB223" s="1"/>
      <c r="UC223" s="1"/>
      <c r="UD223" s="1"/>
      <c r="UE223" s="1"/>
      <c r="UF223" s="1"/>
      <c r="UG223" s="1"/>
      <c r="UH223" s="1"/>
      <c r="UI223" s="1"/>
      <c r="UJ223" s="1"/>
      <c r="UK223" s="1"/>
      <c r="UL223" s="1"/>
      <c r="UM223" s="1"/>
      <c r="UN223" s="1"/>
      <c r="UO223" s="1"/>
      <c r="UP223" s="1"/>
      <c r="UQ223" s="1"/>
      <c r="UR223" s="1"/>
      <c r="US223" s="1"/>
      <c r="UT223" s="1"/>
      <c r="UU223" s="1"/>
      <c r="UV223" s="1"/>
      <c r="UW223" s="1"/>
      <c r="UX223" s="1"/>
      <c r="UY223" s="1"/>
      <c r="UZ223" s="1"/>
      <c r="VA223" s="1"/>
      <c r="VB223" s="1"/>
      <c r="VC223" s="1"/>
      <c r="VD223" s="1"/>
      <c r="VE223" s="1"/>
      <c r="VF223" s="1"/>
      <c r="VG223" s="1"/>
      <c r="VH223" s="1"/>
      <c r="VI223" s="1"/>
      <c r="VJ223" s="1"/>
      <c r="VK223" s="1"/>
      <c r="VL223" s="1"/>
      <c r="VM223" s="1"/>
      <c r="VN223" s="1"/>
      <c r="VO223" s="1"/>
      <c r="VP223" s="1"/>
      <c r="VQ223" s="1"/>
      <c r="VR223" s="1"/>
      <c r="VS223" s="1"/>
      <c r="VT223" s="1"/>
      <c r="VU223" s="1"/>
      <c r="VV223" s="1"/>
      <c r="VW223" s="1"/>
      <c r="VX223" s="1"/>
      <c r="VY223" s="1"/>
      <c r="VZ223" s="1"/>
      <c r="WA223" s="1"/>
      <c r="WB223" s="1"/>
      <c r="WC223" s="1"/>
      <c r="WD223" s="1"/>
      <c r="WE223" s="1"/>
      <c r="WF223" s="1"/>
      <c r="WG223" s="1"/>
      <c r="WH223" s="1"/>
      <c r="WI223" s="1"/>
      <c r="WJ223" s="1"/>
      <c r="WK223" s="1"/>
      <c r="WL223" s="1"/>
      <c r="WM223" s="1"/>
      <c r="WN223" s="1"/>
      <c r="WO223" s="1"/>
      <c r="WP223" s="1"/>
      <c r="WQ223" s="1"/>
      <c r="WR223" s="1"/>
      <c r="WS223" s="1"/>
      <c r="WT223" s="1"/>
      <c r="WU223" s="1"/>
      <c r="WV223" s="1"/>
      <c r="WW223" s="1"/>
      <c r="WX223" s="1"/>
      <c r="WY223" s="1"/>
      <c r="WZ223" s="1"/>
      <c r="XA223" s="1"/>
      <c r="XB223" s="1"/>
      <c r="XC223" s="1"/>
      <c r="XD223" s="1"/>
      <c r="XE223" s="1"/>
      <c r="XF223" s="1"/>
      <c r="XG223" s="1"/>
      <c r="XH223" s="1"/>
      <c r="XI223" s="1"/>
      <c r="XJ223" s="1"/>
      <c r="XK223" s="1"/>
      <c r="XL223" s="1"/>
      <c r="XM223" s="1"/>
      <c r="XN223" s="1"/>
      <c r="XO223" s="1"/>
      <c r="XP223" s="1"/>
      <c r="XQ223" s="1"/>
      <c r="XR223" s="1"/>
      <c r="XS223" s="1"/>
      <c r="XT223" s="1"/>
      <c r="XU223" s="1"/>
      <c r="XV223" s="1"/>
      <c r="XW223" s="1"/>
      <c r="XX223" s="1"/>
      <c r="XY223" s="1"/>
      <c r="XZ223" s="1"/>
      <c r="YA223" s="1"/>
      <c r="YB223" s="1"/>
      <c r="YC223" s="1"/>
      <c r="YD223" s="1"/>
      <c r="YE223" s="1"/>
      <c r="YF223" s="1"/>
      <c r="YG223" s="1"/>
      <c r="YH223" s="1"/>
      <c r="YI223" s="1"/>
      <c r="YJ223" s="1"/>
      <c r="YK223" s="1"/>
      <c r="YL223" s="1"/>
      <c r="YM223" s="1"/>
      <c r="YN223" s="1"/>
      <c r="YO223" s="1"/>
      <c r="YP223" s="1"/>
      <c r="YQ223" s="1"/>
      <c r="YR223" s="1"/>
      <c r="YS223" s="1"/>
      <c r="YT223" s="1"/>
      <c r="YU223" s="1"/>
      <c r="YV223" s="1"/>
      <c r="YW223" s="1"/>
      <c r="YX223" s="1"/>
      <c r="YY223" s="1"/>
      <c r="YZ223" s="1"/>
      <c r="ZA223" s="1"/>
      <c r="ZB223" s="1"/>
      <c r="ZC223" s="1"/>
      <c r="ZD223" s="1"/>
      <c r="ZE223" s="1"/>
      <c r="ZF223" s="1"/>
      <c r="ZG223" s="1"/>
      <c r="ZH223" s="1"/>
      <c r="ZI223" s="1"/>
      <c r="ZJ223" s="1"/>
      <c r="ZK223" s="1"/>
      <c r="ZL223" s="1"/>
      <c r="ZM223" s="1"/>
      <c r="ZN223" s="1"/>
      <c r="ZO223" s="1"/>
      <c r="ZP223" s="1"/>
      <c r="ZQ223" s="1"/>
      <c r="ZR223" s="1"/>
      <c r="ZS223" s="1"/>
      <c r="ZT223" s="1"/>
      <c r="ZU223" s="1"/>
      <c r="ZV223" s="1"/>
      <c r="ZW223" s="1"/>
      <c r="ZX223" s="1"/>
      <c r="ZY223" s="1"/>
      <c r="ZZ223" s="1"/>
      <c r="AAA223" s="1"/>
      <c r="AAB223" s="1"/>
      <c r="AAC223" s="1"/>
      <c r="AAD223" s="1"/>
      <c r="AAE223" s="1"/>
      <c r="AAF223" s="1"/>
      <c r="AAG223" s="1"/>
      <c r="AAH223" s="1"/>
      <c r="AAI223" s="1"/>
      <c r="AAJ223" s="1"/>
      <c r="AAK223" s="1"/>
      <c r="AAL223" s="1"/>
      <c r="AAM223" s="1"/>
      <c r="AAN223" s="1"/>
      <c r="AAO223" s="1"/>
      <c r="AAP223" s="1"/>
      <c r="AAQ223" s="1"/>
      <c r="AAR223" s="1"/>
      <c r="AAS223" s="1"/>
      <c r="AAT223" s="1"/>
      <c r="AAU223" s="1"/>
      <c r="AAV223" s="1"/>
      <c r="AAW223" s="1"/>
      <c r="AAX223" s="1"/>
      <c r="AAY223" s="1"/>
      <c r="AAZ223" s="1"/>
      <c r="ABA223" s="1"/>
      <c r="ABB223" s="1"/>
      <c r="ABC223" s="1"/>
      <c r="ABD223" s="1"/>
      <c r="ABE223" s="1"/>
      <c r="ABF223" s="1"/>
      <c r="ABG223" s="1"/>
      <c r="ABH223" s="1"/>
      <c r="ABI223" s="1"/>
      <c r="ABJ223" s="1"/>
      <c r="ABK223" s="1"/>
      <c r="ABL223" s="1"/>
      <c r="ABM223" s="1"/>
      <c r="ABN223" s="1"/>
      <c r="ABO223" s="1"/>
      <c r="ABP223" s="1"/>
      <c r="ABQ223" s="1"/>
      <c r="ABR223" s="1"/>
      <c r="ABS223" s="1"/>
      <c r="ABT223" s="1"/>
      <c r="ABU223" s="1"/>
      <c r="ABV223" s="1"/>
      <c r="ABW223" s="1"/>
      <c r="ABX223" s="1"/>
      <c r="ABY223" s="1"/>
      <c r="ABZ223" s="1"/>
      <c r="ACA223" s="1"/>
      <c r="ACB223" s="1"/>
      <c r="ACC223" s="1"/>
      <c r="ACD223" s="1"/>
      <c r="ACE223" s="1"/>
      <c r="ACF223" s="1"/>
      <c r="ACG223" s="1"/>
      <c r="ACH223" s="1"/>
      <c r="ACI223" s="1"/>
      <c r="ACJ223" s="1"/>
      <c r="ACK223" s="1"/>
      <c r="ACL223" s="1"/>
      <c r="ACM223" s="1"/>
      <c r="ACN223" s="1"/>
      <c r="ACO223" s="1"/>
      <c r="ACP223" s="1"/>
      <c r="ACQ223" s="1"/>
      <c r="ACR223" s="1"/>
      <c r="ACS223" s="1"/>
      <c r="ACT223" s="1"/>
      <c r="ACU223" s="1"/>
      <c r="ACV223" s="1"/>
      <c r="ACW223" s="1"/>
      <c r="ACX223" s="1"/>
      <c r="ACY223" s="1"/>
      <c r="ACZ223" s="1"/>
      <c r="ADA223" s="1"/>
      <c r="ADB223" s="1"/>
      <c r="ADC223" s="1"/>
      <c r="ADD223" s="1"/>
      <c r="ADE223" s="1"/>
      <c r="ADF223" s="1"/>
      <c r="ADG223" s="1"/>
      <c r="ADH223" s="1"/>
      <c r="ADI223" s="1"/>
      <c r="ADJ223" s="1"/>
      <c r="ADK223" s="1"/>
      <c r="ADL223" s="1"/>
      <c r="ADM223" s="1"/>
      <c r="ADN223" s="1"/>
      <c r="ADO223" s="1"/>
      <c r="ADP223" s="1"/>
      <c r="ADQ223" s="1"/>
      <c r="ADR223" s="1"/>
      <c r="ADS223" s="1"/>
      <c r="ADT223" s="1"/>
      <c r="ADU223" s="1"/>
      <c r="ADV223" s="1"/>
      <c r="ADW223" s="1"/>
      <c r="ADX223" s="1"/>
      <c r="ADY223" s="1"/>
      <c r="ADZ223" s="1"/>
      <c r="AEA223" s="1"/>
      <c r="AEB223" s="1"/>
      <c r="AEC223" s="1"/>
      <c r="AED223" s="1"/>
      <c r="AEE223" s="1"/>
      <c r="AEF223" s="1"/>
      <c r="AEG223" s="1"/>
      <c r="AEH223" s="1"/>
      <c r="AEI223" s="1"/>
      <c r="AEJ223" s="1"/>
      <c r="AEK223" s="1"/>
      <c r="AEL223" s="1"/>
      <c r="AEM223" s="1"/>
      <c r="AEN223" s="1"/>
      <c r="AEO223" s="1"/>
      <c r="AEP223" s="1"/>
      <c r="AEQ223" s="1"/>
      <c r="AER223" s="1"/>
      <c r="AES223" s="1"/>
      <c r="AET223" s="1"/>
      <c r="AEU223" s="1"/>
      <c r="AEV223" s="1"/>
      <c r="AEW223" s="1"/>
      <c r="AEX223" s="1"/>
      <c r="AEY223" s="1"/>
      <c r="AEZ223" s="1"/>
      <c r="AFA223" s="1"/>
      <c r="AFB223" s="1"/>
      <c r="AFC223" s="1"/>
      <c r="AFD223" s="1"/>
      <c r="AFE223" s="1"/>
      <c r="AFF223" s="1"/>
      <c r="AFG223" s="1"/>
      <c r="AFH223" s="1"/>
      <c r="AFI223" s="1"/>
      <c r="AFJ223" s="1"/>
      <c r="AFK223" s="1"/>
      <c r="AFL223" s="1"/>
      <c r="AFM223" s="1"/>
      <c r="AFN223" s="1"/>
      <c r="AFO223" s="1"/>
      <c r="AFP223" s="1"/>
      <c r="AFQ223" s="1"/>
      <c r="AFR223" s="1"/>
      <c r="AFS223" s="1"/>
      <c r="AFT223" s="1"/>
      <c r="AFU223" s="1"/>
      <c r="AFV223" s="1"/>
      <c r="AFW223" s="1"/>
      <c r="AFX223" s="1"/>
      <c r="AFY223" s="1"/>
      <c r="AFZ223" s="1"/>
      <c r="AGA223" s="1"/>
      <c r="AGB223" s="1"/>
      <c r="AGC223" s="1"/>
      <c r="AGD223" s="1"/>
      <c r="AGE223" s="1"/>
      <c r="AGF223" s="1"/>
      <c r="AGG223" s="1"/>
      <c r="AGH223" s="1"/>
      <c r="AGI223" s="1"/>
      <c r="AGJ223" s="1"/>
      <c r="AGK223" s="1"/>
      <c r="AGL223" s="1"/>
      <c r="AGM223" s="1"/>
      <c r="AGN223" s="1"/>
      <c r="AGO223" s="1"/>
      <c r="AGP223" s="1"/>
      <c r="AGQ223" s="1"/>
      <c r="AGR223" s="1"/>
      <c r="AGS223" s="1"/>
      <c r="AGT223" s="1"/>
      <c r="AGU223" s="1"/>
      <c r="AGV223" s="1"/>
      <c r="AGW223" s="1"/>
      <c r="AGX223" s="1"/>
      <c r="AGY223" s="1"/>
      <c r="AGZ223" s="1"/>
      <c r="AHA223" s="1"/>
      <c r="AHB223" s="1"/>
      <c r="AHC223" s="1"/>
      <c r="AHD223" s="1"/>
      <c r="AHE223" s="1"/>
      <c r="AHF223" s="1"/>
      <c r="AHG223" s="1"/>
      <c r="AHH223" s="1"/>
      <c r="AHI223" s="1"/>
      <c r="AHJ223" s="1"/>
      <c r="AHK223" s="1"/>
      <c r="AHL223" s="1"/>
      <c r="AHM223" s="1"/>
      <c r="AHN223" s="1"/>
      <c r="AHO223" s="1"/>
      <c r="AHP223" s="1"/>
      <c r="AHQ223" s="1"/>
      <c r="AHR223" s="1"/>
      <c r="AHS223" s="1"/>
      <c r="AHT223" s="1"/>
      <c r="AHU223" s="1"/>
      <c r="AHV223" s="1"/>
      <c r="AHW223" s="1"/>
      <c r="AHX223" s="1"/>
      <c r="AHY223" s="1"/>
      <c r="AHZ223" s="1"/>
      <c r="AIA223" s="1"/>
      <c r="AIB223" s="1"/>
      <c r="AIC223" s="1"/>
      <c r="AID223" s="1"/>
      <c r="AIE223" s="1"/>
      <c r="AIF223" s="1"/>
      <c r="AIG223" s="1"/>
      <c r="AIH223" s="1"/>
      <c r="AII223" s="1"/>
      <c r="AIJ223" s="1"/>
      <c r="AIK223" s="1"/>
      <c r="AIL223" s="1"/>
      <c r="AIM223" s="1"/>
      <c r="AIN223" s="1"/>
      <c r="AIO223" s="1"/>
      <c r="AIP223" s="1"/>
      <c r="AIQ223" s="1"/>
      <c r="AIR223" s="1"/>
      <c r="AIS223" s="1"/>
      <c r="AIT223" s="1"/>
      <c r="AIU223" s="1"/>
      <c r="AIV223" s="1"/>
      <c r="AIW223" s="1"/>
      <c r="AIX223" s="1"/>
      <c r="AIY223" s="1"/>
      <c r="AIZ223" s="1"/>
      <c r="AJA223" s="1"/>
      <c r="AJB223" s="1"/>
      <c r="AJC223" s="1"/>
      <c r="AJD223" s="1"/>
      <c r="AJE223" s="1"/>
      <c r="AJF223" s="1"/>
      <c r="AJG223" s="1"/>
      <c r="AJH223" s="1"/>
      <c r="AJI223" s="1"/>
      <c r="AJJ223" s="1"/>
      <c r="AJK223" s="1"/>
      <c r="AJL223" s="1"/>
      <c r="AJM223" s="1"/>
      <c r="AJN223" s="1"/>
      <c r="AJO223" s="1"/>
      <c r="AJP223" s="1"/>
      <c r="AJQ223" s="1"/>
      <c r="AJR223" s="1"/>
      <c r="AJS223" s="1"/>
      <c r="AJT223" s="1"/>
      <c r="AJU223" s="1"/>
      <c r="AJV223" s="1"/>
      <c r="AJW223" s="1"/>
      <c r="AJX223" s="1"/>
      <c r="AJY223" s="1"/>
      <c r="AJZ223" s="1"/>
      <c r="AKA223" s="1"/>
      <c r="AKB223" s="1"/>
      <c r="AKC223" s="1"/>
      <c r="AKD223" s="1"/>
      <c r="AKE223" s="1"/>
      <c r="AKF223" s="1"/>
      <c r="AKG223" s="1"/>
      <c r="AKH223" s="1"/>
      <c r="AKI223" s="1"/>
      <c r="AKJ223" s="1"/>
      <c r="AKK223" s="1"/>
      <c r="AKL223" s="1"/>
      <c r="AKM223" s="1"/>
      <c r="AKN223" s="1"/>
      <c r="AKO223" s="1"/>
      <c r="AKP223" s="1"/>
      <c r="AKQ223" s="1"/>
      <c r="AKR223" s="1"/>
      <c r="AKS223" s="1"/>
      <c r="AKT223" s="1"/>
      <c r="AKU223" s="1"/>
      <c r="AKV223" s="1"/>
      <c r="AKW223" s="1"/>
      <c r="AKX223" s="1"/>
      <c r="AKY223" s="1"/>
      <c r="AKZ223" s="1"/>
      <c r="ALA223" s="1"/>
      <c r="ALB223" s="1"/>
      <c r="ALC223" s="1"/>
      <c r="ALD223" s="1"/>
      <c r="ALE223" s="1"/>
      <c r="ALF223" s="1"/>
      <c r="ALG223" s="1"/>
      <c r="ALH223" s="1"/>
      <c r="ALI223" s="1"/>
      <c r="ALJ223" s="1"/>
      <c r="ALK223" s="1"/>
      <c r="ALL223" s="1"/>
      <c r="ALM223" s="1"/>
      <c r="ALN223" s="1"/>
      <c r="ALO223" s="1"/>
      <c r="ALP223" s="1"/>
      <c r="ALQ223" s="1"/>
      <c r="ALR223" s="1"/>
      <c r="ALS223" s="1"/>
      <c r="ALT223" s="1"/>
      <c r="ALU223" s="1"/>
      <c r="ALV223" s="1"/>
      <c r="ALW223" s="1"/>
      <c r="ALX223" s="1"/>
      <c r="ALY223" s="1"/>
      <c r="ALZ223" s="1"/>
      <c r="AMA223" s="1"/>
      <c r="AMB223" s="1"/>
      <c r="AMC223" s="1"/>
      <c r="AMD223" s="1"/>
      <c r="AME223" s="1"/>
      <c r="AMF223" s="1"/>
      <c r="AMG223" s="1"/>
      <c r="AMH223" s="1"/>
      <c r="AMI223" s="1"/>
      <c r="AMJ223" s="1"/>
      <c r="AMK223" s="1"/>
      <c r="AML223" s="1"/>
      <c r="AMM223" s="1"/>
      <c r="AMN223" s="1"/>
      <c r="AMO223" s="1"/>
      <c r="AMP223" s="1"/>
      <c r="AMQ223" s="1"/>
      <c r="AMR223" s="1"/>
      <c r="AMS223" s="1"/>
      <c r="AMT223" s="1"/>
      <c r="AMU223" s="1"/>
      <c r="AMV223" s="1"/>
      <c r="AMW223" s="1"/>
      <c r="AMX223" s="1"/>
      <c r="AMY223" s="1"/>
      <c r="AMZ223" s="1"/>
      <c r="ANA223" s="1"/>
      <c r="ANB223" s="1"/>
      <c r="ANC223" s="1"/>
      <c r="AND223" s="1"/>
      <c r="ANE223" s="1"/>
      <c r="ANF223" s="1"/>
      <c r="ANG223" s="1"/>
      <c r="ANH223" s="1"/>
      <c r="ANI223" s="1"/>
      <c r="ANJ223" s="1"/>
      <c r="ANK223" s="1"/>
      <c r="ANL223" s="1"/>
      <c r="ANM223" s="1"/>
      <c r="ANN223" s="1"/>
      <c r="ANO223" s="1"/>
      <c r="ANP223" s="1"/>
      <c r="ANQ223" s="1"/>
      <c r="ANR223" s="1"/>
      <c r="ANS223" s="1"/>
      <c r="ANT223" s="1"/>
      <c r="ANU223" s="1"/>
      <c r="ANV223" s="1"/>
      <c r="ANW223" s="1"/>
      <c r="ANX223" s="1"/>
      <c r="ANY223" s="1"/>
      <c r="ANZ223" s="1"/>
      <c r="AOA223" s="1"/>
      <c r="AOB223" s="1"/>
      <c r="AOC223" s="1"/>
      <c r="AOD223" s="1"/>
      <c r="AOE223" s="1"/>
      <c r="AOF223" s="1"/>
      <c r="AOG223" s="1"/>
      <c r="AOH223" s="1"/>
      <c r="AOI223" s="1"/>
      <c r="AOJ223" s="1"/>
      <c r="AOK223" s="1"/>
      <c r="AOL223" s="1"/>
      <c r="AOM223" s="1"/>
      <c r="AON223" s="1"/>
      <c r="AOO223" s="1"/>
      <c r="AOP223" s="1"/>
      <c r="AOQ223" s="1"/>
      <c r="AOR223" s="1"/>
      <c r="AOS223" s="1"/>
      <c r="AOT223" s="1"/>
      <c r="AOU223" s="1"/>
      <c r="AOV223" s="1"/>
      <c r="AOW223" s="1"/>
      <c r="AOX223" s="1"/>
      <c r="AOY223" s="1"/>
      <c r="AOZ223" s="1"/>
      <c r="APA223" s="1"/>
      <c r="APB223" s="1"/>
      <c r="APC223" s="1"/>
      <c r="APD223" s="1"/>
      <c r="APE223" s="1"/>
      <c r="APF223" s="1"/>
      <c r="APG223" s="1"/>
      <c r="APH223" s="1"/>
      <c r="API223" s="1"/>
      <c r="APJ223" s="1"/>
      <c r="APK223" s="1"/>
      <c r="APL223" s="1"/>
      <c r="APM223" s="1"/>
      <c r="APN223" s="1"/>
      <c r="APO223" s="1"/>
      <c r="APP223" s="1"/>
      <c r="APQ223" s="1"/>
      <c r="APR223" s="1"/>
      <c r="APS223" s="1"/>
      <c r="APT223" s="1"/>
      <c r="APU223" s="1"/>
      <c r="APV223" s="1"/>
      <c r="APW223" s="1"/>
      <c r="APX223" s="1"/>
      <c r="APY223" s="1"/>
      <c r="APZ223" s="1"/>
      <c r="AQA223" s="1"/>
      <c r="AQB223" s="1"/>
      <c r="AQC223" s="1"/>
      <c r="AQD223" s="1"/>
      <c r="AQE223" s="1"/>
      <c r="AQF223" s="1"/>
      <c r="AQG223" s="1"/>
      <c r="AQH223" s="1"/>
      <c r="AQI223" s="1"/>
      <c r="AQJ223" s="1"/>
      <c r="AQK223" s="1"/>
      <c r="AQL223" s="1"/>
      <c r="AQM223" s="1"/>
      <c r="AQN223" s="1"/>
      <c r="AQO223" s="1"/>
      <c r="AQP223" s="1"/>
      <c r="AQQ223" s="1"/>
      <c r="AQR223" s="1"/>
      <c r="AQS223" s="1"/>
      <c r="AQT223" s="1"/>
      <c r="AQU223" s="1"/>
      <c r="AQV223" s="1"/>
      <c r="AQW223" s="1"/>
      <c r="AQX223" s="1"/>
      <c r="AQY223" s="1"/>
      <c r="AQZ223" s="1"/>
      <c r="ARA223" s="1"/>
      <c r="ARB223" s="1"/>
      <c r="ARC223" s="1"/>
      <c r="ARD223" s="1"/>
      <c r="ARE223" s="1"/>
      <c r="ARF223" s="1"/>
      <c r="ARG223" s="1"/>
      <c r="ARH223" s="1"/>
      <c r="ARI223" s="1"/>
      <c r="ARJ223" s="1"/>
      <c r="ARK223" s="1"/>
      <c r="ARL223" s="1"/>
      <c r="ARM223" s="1"/>
      <c r="ARN223" s="1"/>
      <c r="ARO223" s="1"/>
      <c r="ARP223" s="1"/>
      <c r="ARQ223" s="1"/>
      <c r="ARR223" s="1"/>
      <c r="ARS223" s="1"/>
      <c r="ART223" s="1"/>
      <c r="ARU223" s="1"/>
      <c r="ARV223" s="1"/>
      <c r="ARW223" s="1"/>
      <c r="ARX223" s="1"/>
      <c r="ARY223" s="1"/>
      <c r="ARZ223" s="1"/>
      <c r="ASA223" s="1"/>
      <c r="ASB223" s="1"/>
      <c r="ASC223" s="1"/>
      <c r="ASD223" s="1"/>
      <c r="ASE223" s="1"/>
      <c r="ASF223" s="1"/>
      <c r="ASG223" s="1"/>
      <c r="ASH223" s="1"/>
      <c r="ASI223" s="1"/>
      <c r="ASJ223" s="1"/>
      <c r="ASK223" s="1"/>
      <c r="ASL223" s="1"/>
      <c r="ASM223" s="1"/>
      <c r="ASN223" s="1"/>
      <c r="ASO223" s="1"/>
      <c r="ASP223" s="1"/>
      <c r="ASQ223" s="1"/>
      <c r="ASR223" s="1"/>
      <c r="ASS223" s="1"/>
      <c r="AST223" s="1"/>
      <c r="ASU223" s="1"/>
      <c r="ASV223" s="1"/>
      <c r="ASW223" s="1"/>
      <c r="ASX223" s="1"/>
      <c r="ASY223" s="1"/>
      <c r="ASZ223" s="1"/>
      <c r="ATA223" s="1"/>
      <c r="ATB223" s="1"/>
      <c r="ATC223" s="1"/>
      <c r="ATD223" s="1"/>
      <c r="ATE223" s="1"/>
      <c r="ATF223" s="1"/>
      <c r="ATG223" s="1"/>
      <c r="ATH223" s="1"/>
      <c r="ATI223" s="1"/>
      <c r="ATJ223" s="1"/>
      <c r="ATK223" s="1"/>
      <c r="ATL223" s="1"/>
      <c r="ATM223" s="1"/>
      <c r="ATN223" s="1"/>
      <c r="ATO223" s="1"/>
      <c r="ATP223" s="1"/>
      <c r="ATQ223" s="1"/>
      <c r="ATR223" s="1"/>
      <c r="ATS223" s="1"/>
      <c r="ATT223" s="1"/>
      <c r="ATU223" s="1"/>
      <c r="ATV223" s="1"/>
      <c r="ATW223" s="1"/>
      <c r="ATX223" s="1"/>
      <c r="ATY223" s="1"/>
      <c r="ATZ223" s="1"/>
      <c r="AUA223" s="1"/>
      <c r="AUB223" s="1"/>
      <c r="AUC223" s="1"/>
      <c r="AUD223" s="1"/>
      <c r="AUE223" s="1"/>
      <c r="AUF223" s="1"/>
      <c r="AUG223" s="1"/>
      <c r="AUH223" s="1"/>
      <c r="AUI223" s="1"/>
      <c r="AUJ223" s="1"/>
      <c r="AUK223" s="1"/>
      <c r="AUL223" s="1"/>
      <c r="AUM223" s="1"/>
      <c r="AUN223" s="1"/>
      <c r="AUO223" s="1"/>
      <c r="AUP223" s="1"/>
      <c r="AUQ223" s="1"/>
      <c r="AUR223" s="1"/>
      <c r="AUS223" s="1"/>
      <c r="AUT223" s="1"/>
      <c r="AUU223" s="1"/>
      <c r="AUV223" s="1"/>
      <c r="AUW223" s="1"/>
      <c r="AUX223" s="1"/>
      <c r="AUY223" s="1"/>
      <c r="AUZ223" s="1"/>
      <c r="AVA223" s="1"/>
      <c r="AVB223" s="1"/>
      <c r="AVC223" s="1"/>
      <c r="AVD223" s="1"/>
      <c r="AVE223" s="1"/>
      <c r="AVF223" s="1"/>
      <c r="AVG223" s="1"/>
      <c r="AVH223" s="1"/>
      <c r="AVI223" s="1"/>
      <c r="AVJ223" s="1"/>
      <c r="AVK223" s="1"/>
      <c r="AVL223" s="1"/>
      <c r="AVM223" s="1"/>
      <c r="AVN223" s="1"/>
      <c r="AVO223" s="1"/>
      <c r="AVP223" s="1"/>
      <c r="AVQ223" s="1"/>
      <c r="AVR223" s="1"/>
      <c r="AVS223" s="1"/>
      <c r="AVT223" s="1"/>
      <c r="AVU223" s="1"/>
      <c r="AVV223" s="1"/>
      <c r="AVW223" s="1"/>
      <c r="AVX223" s="1"/>
      <c r="AVY223" s="1"/>
      <c r="AVZ223" s="1"/>
      <c r="AWA223" s="1"/>
      <c r="AWB223" s="1"/>
      <c r="AWC223" s="1"/>
      <c r="AWD223" s="1"/>
      <c r="AWE223" s="1"/>
      <c r="AWF223" s="1"/>
      <c r="AWG223" s="1"/>
      <c r="AWH223" s="1"/>
      <c r="AWI223" s="1"/>
      <c r="AWJ223" s="1"/>
      <c r="AWK223" s="1"/>
      <c r="AWL223" s="1"/>
      <c r="AWM223" s="1"/>
      <c r="AWN223" s="1"/>
      <c r="AWO223" s="1"/>
      <c r="AWP223" s="1"/>
      <c r="AWQ223" s="1"/>
      <c r="AWR223" s="1"/>
      <c r="AWS223" s="1"/>
      <c r="AWT223" s="1"/>
      <c r="AWU223" s="1"/>
      <c r="AWV223" s="1"/>
      <c r="AWW223" s="1"/>
      <c r="AWX223" s="1"/>
      <c r="AWY223" s="1"/>
      <c r="AWZ223" s="1"/>
      <c r="AXA223" s="1"/>
      <c r="AXB223" s="1"/>
      <c r="AXC223" s="1"/>
      <c r="AXD223" s="1"/>
      <c r="AXE223" s="1"/>
      <c r="AXF223" s="1"/>
      <c r="AXG223" s="1"/>
      <c r="AXH223" s="1"/>
      <c r="AXI223" s="1"/>
      <c r="AXJ223" s="1"/>
      <c r="AXK223" s="1"/>
      <c r="AXL223" s="1"/>
      <c r="AXM223" s="1"/>
      <c r="AXN223" s="1"/>
      <c r="AXO223" s="1"/>
      <c r="AXP223" s="1"/>
      <c r="AXQ223" s="1"/>
      <c r="AXR223" s="1"/>
      <c r="AXS223" s="1"/>
      <c r="AXT223" s="1"/>
      <c r="AXU223" s="1"/>
      <c r="AXV223" s="1"/>
      <c r="AXW223" s="1"/>
      <c r="AXX223" s="1"/>
      <c r="AXY223" s="1"/>
      <c r="AXZ223" s="1"/>
      <c r="AYA223" s="1"/>
      <c r="AYB223" s="1"/>
      <c r="AYC223" s="1"/>
      <c r="AYD223" s="1"/>
      <c r="AYE223" s="1"/>
      <c r="AYF223" s="1"/>
      <c r="AYG223" s="1"/>
      <c r="AYH223" s="1"/>
      <c r="AYI223" s="1"/>
      <c r="AYJ223" s="1"/>
      <c r="AYK223" s="1"/>
      <c r="AYL223" s="1"/>
      <c r="AYM223" s="1"/>
      <c r="AYN223" s="1"/>
      <c r="AYO223" s="1"/>
      <c r="AYP223" s="1"/>
      <c r="AYQ223" s="1"/>
      <c r="AYR223" s="1"/>
      <c r="AYS223" s="1"/>
      <c r="AYT223" s="1"/>
      <c r="AYU223" s="1"/>
      <c r="AYV223" s="1"/>
      <c r="AYW223" s="1"/>
      <c r="AYX223" s="1"/>
      <c r="AYY223" s="1"/>
      <c r="AYZ223" s="1"/>
      <c r="AZA223" s="1"/>
      <c r="AZB223" s="1"/>
      <c r="AZC223" s="1"/>
      <c r="AZD223" s="1"/>
      <c r="AZE223" s="1"/>
      <c r="AZF223" s="1"/>
      <c r="AZG223" s="1"/>
      <c r="AZH223" s="1"/>
      <c r="AZI223" s="1"/>
      <c r="AZJ223" s="1"/>
      <c r="AZK223" s="1"/>
      <c r="AZL223" s="1"/>
      <c r="AZM223" s="1"/>
      <c r="AZN223" s="1"/>
      <c r="AZO223" s="1"/>
      <c r="AZP223" s="1"/>
      <c r="AZQ223" s="1"/>
      <c r="AZR223" s="1"/>
      <c r="AZS223" s="1"/>
      <c r="AZT223" s="1"/>
      <c r="AZU223" s="1"/>
      <c r="AZV223" s="1"/>
      <c r="AZW223" s="1"/>
      <c r="AZX223" s="1"/>
      <c r="AZY223" s="1"/>
      <c r="AZZ223" s="1"/>
      <c r="BAA223" s="1"/>
      <c r="BAB223" s="1"/>
      <c r="BAC223" s="1"/>
      <c r="BAD223" s="1"/>
      <c r="BAE223" s="1"/>
      <c r="BAF223" s="1"/>
      <c r="BAG223" s="1"/>
      <c r="BAH223" s="1"/>
      <c r="BAI223" s="1"/>
      <c r="BAJ223" s="1"/>
      <c r="BAK223" s="1"/>
      <c r="BAL223" s="1"/>
      <c r="BAM223" s="1"/>
      <c r="BAN223" s="1"/>
      <c r="BAO223" s="1"/>
      <c r="BAP223" s="1"/>
      <c r="BAQ223" s="1"/>
      <c r="BAR223" s="1"/>
      <c r="BAS223" s="1"/>
      <c r="BAT223" s="1"/>
      <c r="BAU223" s="1"/>
      <c r="BAV223" s="1"/>
      <c r="BAW223" s="1"/>
      <c r="BAX223" s="1"/>
      <c r="BAY223" s="1"/>
      <c r="BAZ223" s="1"/>
      <c r="BBA223" s="1"/>
      <c r="BBB223" s="1"/>
      <c r="BBC223" s="1"/>
      <c r="BBD223" s="1"/>
      <c r="BBE223" s="1"/>
      <c r="BBF223" s="1"/>
      <c r="BBG223" s="1"/>
      <c r="BBH223" s="1"/>
      <c r="BBI223" s="1"/>
      <c r="BBJ223" s="1"/>
      <c r="BBK223" s="1"/>
      <c r="BBL223" s="1"/>
      <c r="BBM223" s="1"/>
      <c r="BBN223" s="1"/>
      <c r="BBO223" s="1"/>
      <c r="BBP223" s="1"/>
      <c r="BBQ223" s="1"/>
      <c r="BBR223" s="1"/>
      <c r="BBS223" s="1"/>
      <c r="BBT223" s="1"/>
      <c r="BBU223" s="1"/>
      <c r="BBV223" s="1"/>
      <c r="BBW223" s="1"/>
      <c r="BBX223" s="1"/>
      <c r="BBY223" s="1"/>
      <c r="BBZ223" s="1"/>
      <c r="BCA223" s="1"/>
      <c r="BCB223" s="1"/>
      <c r="BCC223" s="1"/>
      <c r="BCD223" s="1"/>
      <c r="BCE223" s="1"/>
      <c r="BCF223" s="1"/>
      <c r="BCG223" s="1"/>
      <c r="BCH223" s="1"/>
      <c r="BCI223" s="1"/>
      <c r="BCJ223" s="1"/>
      <c r="BCK223" s="1"/>
      <c r="BCL223" s="1"/>
      <c r="BCM223" s="1"/>
      <c r="BCN223" s="1"/>
      <c r="BCO223" s="1"/>
      <c r="BCP223" s="1"/>
      <c r="BCQ223" s="1"/>
      <c r="BCR223" s="1"/>
      <c r="BCS223" s="1"/>
      <c r="BCT223" s="1"/>
      <c r="BCU223" s="1"/>
      <c r="BCV223" s="1"/>
      <c r="BCW223" s="1"/>
      <c r="BCX223" s="1"/>
      <c r="BCY223" s="1"/>
      <c r="BCZ223" s="1"/>
      <c r="BDA223" s="1"/>
      <c r="BDB223" s="1"/>
      <c r="BDC223" s="1"/>
      <c r="BDD223" s="1"/>
      <c r="BDE223" s="1"/>
      <c r="BDF223" s="1"/>
      <c r="BDG223" s="1"/>
      <c r="BDH223" s="1"/>
      <c r="BDI223" s="1"/>
      <c r="BDJ223" s="1"/>
      <c r="BDK223" s="1"/>
      <c r="BDL223" s="1"/>
      <c r="BDM223" s="1"/>
      <c r="BDN223" s="1"/>
      <c r="BDO223" s="1"/>
      <c r="BDP223" s="1"/>
      <c r="BDQ223" s="1"/>
      <c r="BDR223" s="1"/>
      <c r="BDS223" s="1"/>
      <c r="BDT223" s="1"/>
      <c r="BDU223" s="1"/>
      <c r="BDV223" s="1"/>
      <c r="BDW223" s="1"/>
      <c r="BDX223" s="1"/>
      <c r="BDY223" s="1"/>
      <c r="BDZ223" s="1"/>
      <c r="BEA223" s="1"/>
      <c r="BEB223" s="1"/>
      <c r="BEC223" s="1"/>
      <c r="BED223" s="1"/>
      <c r="BEE223" s="1"/>
      <c r="BEF223" s="1"/>
      <c r="BEG223" s="1"/>
      <c r="BEH223" s="1"/>
      <c r="BEI223" s="1"/>
      <c r="BEJ223" s="1"/>
      <c r="BEK223" s="1"/>
      <c r="BEL223" s="1"/>
      <c r="BEM223" s="1"/>
      <c r="BEN223" s="1"/>
      <c r="BEO223" s="1"/>
      <c r="BEP223" s="1"/>
      <c r="BEQ223" s="1"/>
      <c r="BER223" s="1"/>
      <c r="BES223" s="1"/>
      <c r="BET223" s="1"/>
      <c r="BEU223" s="1"/>
      <c r="BEV223" s="1"/>
      <c r="BEW223" s="1"/>
      <c r="BEX223" s="1"/>
      <c r="BEY223" s="1"/>
      <c r="BEZ223" s="1"/>
      <c r="BFA223" s="1"/>
      <c r="BFB223" s="1"/>
      <c r="BFC223" s="1"/>
      <c r="BFD223" s="1"/>
      <c r="BFE223" s="1"/>
      <c r="BFF223" s="1"/>
      <c r="BFG223" s="1"/>
      <c r="BFH223" s="1"/>
      <c r="BFI223" s="1"/>
      <c r="BFJ223" s="1"/>
      <c r="BFK223" s="1"/>
      <c r="BFL223" s="1"/>
      <c r="BFM223" s="1"/>
      <c r="BFN223" s="1"/>
      <c r="BFO223" s="1"/>
      <c r="BFP223" s="1"/>
      <c r="BFQ223" s="1"/>
      <c r="BFR223" s="1"/>
      <c r="BFS223" s="1"/>
      <c r="BFT223" s="1"/>
      <c r="BFU223" s="1"/>
      <c r="BFV223" s="1"/>
      <c r="BFW223" s="1"/>
      <c r="BFX223" s="1"/>
      <c r="BFY223" s="1"/>
      <c r="BFZ223" s="1"/>
      <c r="BGA223" s="1"/>
      <c r="BGB223" s="1"/>
      <c r="BGC223" s="1"/>
      <c r="BGD223" s="1"/>
      <c r="BGE223" s="1"/>
      <c r="BGF223" s="1"/>
      <c r="BGG223" s="1"/>
      <c r="BGH223" s="1"/>
      <c r="BGI223" s="1"/>
      <c r="BGJ223" s="1"/>
      <c r="BGK223" s="1"/>
      <c r="BGL223" s="1"/>
      <c r="BGM223" s="1"/>
      <c r="BGN223" s="1"/>
      <c r="BGO223" s="1"/>
      <c r="BGP223" s="1"/>
      <c r="BGQ223" s="1"/>
      <c r="BGR223" s="1"/>
      <c r="BGS223" s="1"/>
      <c r="BGT223" s="1"/>
      <c r="BGU223" s="1"/>
      <c r="BGV223" s="1"/>
      <c r="BGW223" s="1"/>
      <c r="BGX223" s="1"/>
      <c r="BGY223" s="1"/>
      <c r="BGZ223" s="1"/>
      <c r="BHA223" s="1"/>
      <c r="BHB223" s="1"/>
      <c r="BHC223" s="1"/>
      <c r="BHD223" s="1"/>
      <c r="BHE223" s="1"/>
      <c r="BHF223" s="1"/>
      <c r="BHG223" s="1"/>
      <c r="BHH223" s="1"/>
      <c r="BHI223" s="1"/>
      <c r="BHJ223" s="1"/>
      <c r="BHK223" s="1"/>
      <c r="BHL223" s="1"/>
      <c r="BHM223" s="1"/>
      <c r="BHN223" s="1"/>
      <c r="BHO223" s="1"/>
      <c r="BHP223" s="1"/>
      <c r="BHQ223" s="1"/>
      <c r="BHR223" s="1"/>
      <c r="BHS223" s="1"/>
      <c r="BHT223" s="1"/>
      <c r="BHU223" s="1"/>
      <c r="BHV223" s="1"/>
      <c r="BHW223" s="1"/>
      <c r="BHX223" s="1"/>
      <c r="BHY223" s="1"/>
      <c r="BHZ223" s="1"/>
      <c r="BIA223" s="1"/>
      <c r="BIB223" s="1"/>
      <c r="BIC223" s="1"/>
      <c r="BID223" s="1"/>
      <c r="BIE223" s="1"/>
      <c r="BIF223" s="1"/>
      <c r="BIG223" s="1"/>
      <c r="BIH223" s="1"/>
      <c r="BII223" s="1"/>
      <c r="BIJ223" s="1"/>
      <c r="BIK223" s="1"/>
      <c r="BIL223" s="1"/>
      <c r="BIM223" s="1"/>
      <c r="BIN223" s="1"/>
      <c r="BIO223" s="1"/>
      <c r="BIP223" s="1"/>
      <c r="BIQ223" s="1"/>
      <c r="BIR223" s="1"/>
      <c r="BIS223" s="1"/>
      <c r="BIT223" s="1"/>
      <c r="BIU223" s="1"/>
      <c r="BIV223" s="1"/>
      <c r="BIW223" s="1"/>
      <c r="BIX223" s="1"/>
      <c r="BIY223" s="1"/>
      <c r="BIZ223" s="1"/>
      <c r="BJA223" s="1"/>
      <c r="BJB223" s="1"/>
      <c r="BJC223" s="1"/>
      <c r="BJD223" s="1"/>
      <c r="BJE223" s="1"/>
      <c r="BJF223" s="1"/>
      <c r="BJG223" s="1"/>
      <c r="BJH223" s="1"/>
      <c r="BJI223" s="1"/>
      <c r="BJJ223" s="1"/>
      <c r="BJK223" s="1"/>
      <c r="BJL223" s="1"/>
      <c r="BJM223" s="1"/>
      <c r="BJN223" s="1"/>
      <c r="BJO223" s="1"/>
      <c r="BJP223" s="1"/>
      <c r="BJQ223" s="1"/>
      <c r="BJR223" s="1"/>
      <c r="BJS223" s="1"/>
      <c r="BJT223" s="1"/>
      <c r="BJU223" s="1"/>
      <c r="BJV223" s="1"/>
      <c r="BJW223" s="1"/>
      <c r="BJX223" s="1"/>
      <c r="BJY223" s="1"/>
      <c r="BJZ223" s="1"/>
      <c r="BKA223" s="1"/>
      <c r="BKB223" s="1"/>
      <c r="BKC223" s="1"/>
      <c r="BKD223" s="1"/>
      <c r="BKE223" s="1"/>
      <c r="BKF223" s="1"/>
      <c r="BKG223" s="1"/>
      <c r="BKH223" s="1"/>
      <c r="BKI223" s="1"/>
      <c r="BKJ223" s="1"/>
      <c r="BKK223" s="1"/>
      <c r="BKL223" s="1"/>
      <c r="BKM223" s="1"/>
      <c r="BKN223" s="1"/>
      <c r="BKO223" s="1"/>
      <c r="BKP223" s="1"/>
      <c r="BKQ223" s="1"/>
      <c r="BKR223" s="1"/>
      <c r="BKS223" s="1"/>
      <c r="BKT223" s="1"/>
      <c r="BKU223" s="1"/>
      <c r="BKV223" s="1"/>
      <c r="BKW223" s="1"/>
      <c r="BKX223" s="1"/>
      <c r="BKY223" s="1"/>
      <c r="BKZ223" s="1"/>
      <c r="BLA223" s="1"/>
      <c r="BLB223" s="1"/>
      <c r="BLC223" s="1"/>
      <c r="BLD223" s="1"/>
      <c r="BLE223" s="1"/>
      <c r="BLF223" s="1"/>
      <c r="BLG223" s="1"/>
      <c r="BLH223" s="1"/>
      <c r="BLI223" s="1"/>
      <c r="BLJ223" s="1"/>
      <c r="BLK223" s="1"/>
      <c r="BLL223" s="1"/>
      <c r="BLM223" s="1"/>
      <c r="BLN223" s="1"/>
      <c r="BLO223" s="1"/>
      <c r="BLP223" s="1"/>
      <c r="BLQ223" s="1"/>
      <c r="BLR223" s="1"/>
      <c r="BLS223" s="1"/>
      <c r="BLT223" s="1"/>
      <c r="BLU223" s="1"/>
      <c r="BLV223" s="1"/>
      <c r="BLW223" s="1"/>
      <c r="BLX223" s="1"/>
      <c r="BLY223" s="1"/>
      <c r="BLZ223" s="1"/>
      <c r="BMA223" s="1"/>
      <c r="BMB223" s="1"/>
      <c r="BMC223" s="1"/>
      <c r="BMD223" s="1"/>
      <c r="BME223" s="1"/>
      <c r="BMF223" s="1"/>
      <c r="BMG223" s="1"/>
      <c r="BMH223" s="1"/>
      <c r="BMI223" s="1"/>
      <c r="BMJ223" s="1"/>
      <c r="BMK223" s="1"/>
      <c r="BML223" s="1"/>
      <c r="BMM223" s="1"/>
      <c r="BMN223" s="1"/>
      <c r="BMO223" s="1"/>
      <c r="BMP223" s="1"/>
      <c r="BMQ223" s="1"/>
      <c r="BMR223" s="1"/>
      <c r="BMS223" s="1"/>
      <c r="BMT223" s="1"/>
      <c r="BMU223" s="1"/>
      <c r="BMV223" s="1"/>
      <c r="BMW223" s="1"/>
      <c r="BMX223" s="1"/>
      <c r="BMY223" s="1"/>
      <c r="BMZ223" s="1"/>
      <c r="BNA223" s="1"/>
      <c r="BNB223" s="1"/>
      <c r="BNC223" s="1"/>
      <c r="BND223" s="1"/>
      <c r="BNE223" s="1"/>
      <c r="BNF223" s="1"/>
      <c r="BNG223" s="1"/>
      <c r="BNH223" s="1"/>
      <c r="BNI223" s="1"/>
      <c r="BNJ223" s="1"/>
      <c r="BNK223" s="1"/>
      <c r="BNL223" s="1"/>
      <c r="BNM223" s="1"/>
      <c r="BNN223" s="1"/>
      <c r="BNO223" s="1"/>
      <c r="BNP223" s="1"/>
      <c r="BNQ223" s="1"/>
      <c r="BNR223" s="1"/>
      <c r="BNS223" s="1"/>
      <c r="BNT223" s="1"/>
      <c r="BNU223" s="1"/>
      <c r="BNV223" s="1"/>
      <c r="BNW223" s="1"/>
      <c r="BNX223" s="1"/>
      <c r="BNY223" s="1"/>
      <c r="BNZ223" s="1"/>
      <c r="BOA223" s="1"/>
      <c r="BOB223" s="1"/>
      <c r="BOC223" s="1"/>
      <c r="BOD223" s="1"/>
      <c r="BOE223" s="1"/>
      <c r="BOF223" s="1"/>
      <c r="BOG223" s="1"/>
      <c r="BOH223" s="1"/>
      <c r="BOI223" s="1"/>
      <c r="BOJ223" s="1"/>
      <c r="BOK223" s="1"/>
      <c r="BOL223" s="1"/>
      <c r="BOM223" s="1"/>
      <c r="BON223" s="1"/>
      <c r="BOO223" s="1"/>
      <c r="BOP223" s="1"/>
      <c r="BOQ223" s="1"/>
      <c r="BOR223" s="1"/>
      <c r="BOS223" s="1"/>
      <c r="BOT223" s="1"/>
      <c r="BOU223" s="1"/>
      <c r="BOV223" s="1"/>
      <c r="BOW223" s="1"/>
      <c r="BOX223" s="1"/>
      <c r="BOY223" s="1"/>
      <c r="BOZ223" s="1"/>
      <c r="BPA223" s="1"/>
      <c r="BPB223" s="1"/>
      <c r="BPC223" s="1"/>
      <c r="BPD223" s="1"/>
      <c r="BPE223" s="1"/>
      <c r="BPF223" s="1"/>
      <c r="BPG223" s="1"/>
      <c r="BPH223" s="1"/>
      <c r="BPI223" s="1"/>
      <c r="BPJ223" s="1"/>
      <c r="BPK223" s="1"/>
      <c r="BPL223" s="1"/>
      <c r="BPM223" s="1"/>
      <c r="BPN223" s="1"/>
      <c r="BPO223" s="1"/>
      <c r="BPP223" s="1"/>
      <c r="BPQ223" s="1"/>
      <c r="BPR223" s="1"/>
      <c r="BPS223" s="1"/>
      <c r="BPT223" s="1"/>
      <c r="BPU223" s="1"/>
      <c r="BPV223" s="1"/>
      <c r="BPW223" s="1"/>
      <c r="BPX223" s="1"/>
      <c r="BPY223" s="1"/>
      <c r="BPZ223" s="1"/>
      <c r="BQA223" s="1"/>
      <c r="BQB223" s="1"/>
      <c r="BQC223" s="1"/>
      <c r="BQD223" s="1"/>
      <c r="BQE223" s="1"/>
      <c r="BQF223" s="1"/>
      <c r="BQG223" s="1"/>
      <c r="BQH223" s="1"/>
      <c r="BQI223" s="1"/>
      <c r="BQJ223" s="1"/>
      <c r="BQK223" s="1"/>
      <c r="BQL223" s="1"/>
      <c r="BQM223" s="1"/>
      <c r="BQN223" s="1"/>
      <c r="BQO223" s="1"/>
      <c r="BQP223" s="1"/>
      <c r="BQQ223" s="1"/>
      <c r="BQR223" s="1"/>
      <c r="BQS223" s="1"/>
      <c r="BQT223" s="1"/>
      <c r="BQU223" s="1"/>
      <c r="BQV223" s="1"/>
      <c r="BQW223" s="1"/>
      <c r="BQX223" s="1"/>
      <c r="BQY223" s="1"/>
      <c r="BQZ223" s="1"/>
      <c r="BRA223" s="1"/>
      <c r="BRB223" s="1"/>
      <c r="BRC223" s="1"/>
      <c r="BRD223" s="1"/>
      <c r="BRE223" s="1"/>
      <c r="BRF223" s="1"/>
      <c r="BRG223" s="1"/>
      <c r="BRH223" s="1"/>
      <c r="BRI223" s="1"/>
      <c r="BRJ223" s="1"/>
      <c r="BRK223" s="1"/>
      <c r="BRL223" s="1"/>
      <c r="BRM223" s="1"/>
      <c r="BRN223" s="1"/>
      <c r="BRO223" s="1"/>
      <c r="BRP223" s="1"/>
      <c r="BRQ223" s="1"/>
      <c r="BRR223" s="1"/>
      <c r="BRS223" s="1"/>
      <c r="BRT223" s="1"/>
      <c r="BRU223" s="1"/>
      <c r="BRV223" s="1"/>
      <c r="BRW223" s="1"/>
      <c r="BRX223" s="1"/>
      <c r="BRY223" s="1"/>
      <c r="BRZ223" s="1"/>
      <c r="BSA223" s="1"/>
      <c r="BSB223" s="1"/>
      <c r="BSC223" s="1"/>
      <c r="BSD223" s="1"/>
      <c r="BSE223" s="1"/>
      <c r="BSF223" s="1"/>
      <c r="BSG223" s="1"/>
      <c r="BSH223" s="1"/>
      <c r="BSI223" s="1"/>
      <c r="BSJ223" s="1"/>
      <c r="BSK223" s="1"/>
      <c r="BSL223" s="1"/>
      <c r="BSM223" s="1"/>
      <c r="BSN223" s="1"/>
      <c r="BSO223" s="1"/>
      <c r="BSP223" s="1"/>
      <c r="BSQ223" s="1"/>
      <c r="BSR223" s="1"/>
      <c r="BSS223" s="1"/>
      <c r="BST223" s="1"/>
      <c r="BSU223" s="1"/>
      <c r="BSV223" s="1"/>
      <c r="BSW223" s="1"/>
      <c r="BSX223" s="1"/>
      <c r="BSY223" s="1"/>
      <c r="BSZ223" s="1"/>
      <c r="BTA223" s="1"/>
      <c r="BTB223" s="1"/>
      <c r="BTC223" s="1"/>
      <c r="BTD223" s="1"/>
      <c r="BTE223" s="1"/>
      <c r="BTF223" s="1"/>
      <c r="BTG223" s="1"/>
      <c r="BTH223" s="1"/>
      <c r="BTI223" s="1"/>
      <c r="BTJ223" s="1"/>
      <c r="BTK223" s="1"/>
      <c r="BTL223" s="1"/>
      <c r="BTM223" s="1"/>
      <c r="BTN223" s="1"/>
      <c r="BTO223" s="1"/>
      <c r="BTP223" s="1"/>
      <c r="BTQ223" s="1"/>
      <c r="BTR223" s="1"/>
      <c r="BTS223" s="1"/>
      <c r="BTT223" s="1"/>
      <c r="BTU223" s="1"/>
      <c r="BTV223" s="1"/>
      <c r="BTW223" s="1"/>
      <c r="BTX223" s="1"/>
      <c r="BTY223" s="1"/>
      <c r="BTZ223" s="1"/>
      <c r="BUA223" s="1"/>
      <c r="BUB223" s="1"/>
      <c r="BUC223" s="1"/>
      <c r="BUD223" s="1"/>
      <c r="BUE223" s="1"/>
      <c r="BUF223" s="1"/>
      <c r="BUG223" s="1"/>
      <c r="BUH223" s="1"/>
      <c r="BUI223" s="1"/>
      <c r="BUJ223" s="1"/>
      <c r="BUK223" s="1"/>
      <c r="BUL223" s="1"/>
      <c r="BUM223" s="1"/>
      <c r="BUN223" s="1"/>
      <c r="BUO223" s="1"/>
      <c r="BUP223" s="1"/>
      <c r="BUQ223" s="1"/>
      <c r="BUR223" s="1"/>
      <c r="BUS223" s="1"/>
      <c r="BUT223" s="1"/>
      <c r="BUU223" s="1"/>
      <c r="BUV223" s="1"/>
      <c r="BUW223" s="1"/>
      <c r="BUX223" s="1"/>
      <c r="BUY223" s="1"/>
      <c r="BUZ223" s="1"/>
      <c r="BVA223" s="1"/>
      <c r="BVB223" s="1"/>
      <c r="BVC223" s="1"/>
      <c r="BVD223" s="1"/>
      <c r="BVE223" s="1"/>
      <c r="BVF223" s="1"/>
      <c r="BVG223" s="1"/>
      <c r="BVH223" s="1"/>
      <c r="BVI223" s="1"/>
      <c r="BVJ223" s="1"/>
      <c r="BVK223" s="1"/>
      <c r="BVL223" s="1"/>
      <c r="BVM223" s="1"/>
      <c r="BVN223" s="1"/>
      <c r="BVO223" s="1"/>
      <c r="BVP223" s="1"/>
      <c r="BVQ223" s="1"/>
      <c r="BVR223" s="1"/>
      <c r="BVS223" s="1"/>
      <c r="BVT223" s="1"/>
      <c r="BVU223" s="1"/>
      <c r="BVV223" s="1"/>
      <c r="BVW223" s="1"/>
      <c r="BVX223" s="1"/>
      <c r="BVY223" s="1"/>
      <c r="BVZ223" s="1"/>
      <c r="BWA223" s="1"/>
      <c r="BWB223" s="1"/>
      <c r="BWC223" s="1"/>
      <c r="BWD223" s="1"/>
      <c r="BWE223" s="1"/>
      <c r="BWF223" s="1"/>
      <c r="BWG223" s="1"/>
      <c r="BWH223" s="1"/>
      <c r="BWI223" s="1"/>
      <c r="BWJ223" s="1"/>
      <c r="BWK223" s="1"/>
      <c r="BWL223" s="1"/>
      <c r="BWM223" s="1"/>
      <c r="BWN223" s="1"/>
      <c r="BWO223" s="1"/>
      <c r="BWP223" s="1"/>
      <c r="BWQ223" s="1"/>
      <c r="BWR223" s="1"/>
      <c r="BWS223" s="1"/>
      <c r="BWT223" s="1"/>
      <c r="BWU223" s="1"/>
      <c r="BWV223" s="1"/>
      <c r="BWW223" s="1"/>
      <c r="BWX223" s="1"/>
      <c r="BWY223" s="1"/>
      <c r="BWZ223" s="1"/>
      <c r="BXA223" s="1"/>
      <c r="BXB223" s="1"/>
      <c r="BXC223" s="1"/>
      <c r="BXD223" s="1"/>
      <c r="BXE223" s="1"/>
      <c r="BXF223" s="1"/>
      <c r="BXG223" s="1"/>
      <c r="BXH223" s="1"/>
      <c r="BXI223" s="1"/>
      <c r="BXJ223" s="1"/>
      <c r="BXK223" s="1"/>
      <c r="BXL223" s="1"/>
      <c r="BXM223" s="1"/>
      <c r="BXN223" s="1"/>
      <c r="BXO223" s="1"/>
      <c r="BXP223" s="1"/>
      <c r="BXQ223" s="1"/>
      <c r="BXR223" s="1"/>
      <c r="BXS223" s="1"/>
      <c r="BXT223" s="1"/>
      <c r="BXU223" s="1"/>
      <c r="BXV223" s="1"/>
      <c r="BXW223" s="1"/>
      <c r="BXX223" s="1"/>
      <c r="BXY223" s="1"/>
      <c r="BXZ223" s="1"/>
      <c r="BYA223" s="1"/>
      <c r="BYB223" s="1"/>
      <c r="BYC223" s="1"/>
      <c r="BYD223" s="1"/>
      <c r="BYE223" s="1"/>
      <c r="BYF223" s="1"/>
      <c r="BYG223" s="1"/>
      <c r="BYH223" s="1"/>
      <c r="BYI223" s="1"/>
      <c r="BYJ223" s="1"/>
      <c r="BYK223" s="1"/>
      <c r="BYL223" s="1"/>
      <c r="BYM223" s="1"/>
      <c r="BYN223" s="1"/>
      <c r="BYO223" s="1"/>
      <c r="BYP223" s="1"/>
      <c r="BYQ223" s="1"/>
      <c r="BYR223" s="1"/>
      <c r="BYS223" s="1"/>
      <c r="BYT223" s="1"/>
      <c r="BYU223" s="1"/>
      <c r="BYV223" s="1"/>
      <c r="BYW223" s="1"/>
      <c r="BYX223" s="1"/>
      <c r="BYY223" s="1"/>
      <c r="BYZ223" s="1"/>
      <c r="BZA223" s="1"/>
      <c r="BZB223" s="1"/>
      <c r="BZC223" s="1"/>
      <c r="BZD223" s="1"/>
      <c r="BZE223" s="1"/>
      <c r="BZF223" s="1"/>
      <c r="BZG223" s="1"/>
      <c r="BZH223" s="1"/>
      <c r="BZI223" s="1"/>
      <c r="BZJ223" s="1"/>
      <c r="BZK223" s="1"/>
      <c r="BZL223" s="1"/>
      <c r="BZM223" s="1"/>
      <c r="BZN223" s="1"/>
      <c r="BZO223" s="1"/>
      <c r="BZP223" s="1"/>
      <c r="BZQ223" s="1"/>
      <c r="BZR223" s="1"/>
      <c r="BZS223" s="1"/>
      <c r="BZT223" s="1"/>
      <c r="BZU223" s="1"/>
      <c r="BZV223" s="1"/>
      <c r="BZW223" s="1"/>
      <c r="BZX223" s="1"/>
      <c r="BZY223" s="1"/>
      <c r="BZZ223" s="1"/>
      <c r="CAA223" s="1"/>
      <c r="CAB223" s="1"/>
      <c r="CAC223" s="1"/>
      <c r="CAD223" s="1"/>
      <c r="CAE223" s="1"/>
      <c r="CAF223" s="1"/>
      <c r="CAG223" s="1"/>
      <c r="CAH223" s="1"/>
      <c r="CAI223" s="1"/>
      <c r="CAJ223" s="1"/>
      <c r="CAK223" s="1"/>
      <c r="CAL223" s="1"/>
      <c r="CAM223" s="1"/>
      <c r="CAN223" s="1"/>
      <c r="CAO223" s="1"/>
      <c r="CAP223" s="1"/>
      <c r="CAQ223" s="1"/>
      <c r="CAR223" s="1"/>
      <c r="CAS223" s="1"/>
      <c r="CAT223" s="1"/>
      <c r="CAU223" s="1"/>
      <c r="CAV223" s="1"/>
      <c r="CAW223" s="1"/>
      <c r="CAX223" s="1"/>
      <c r="CAY223" s="1"/>
      <c r="CAZ223" s="1"/>
      <c r="CBA223" s="1"/>
      <c r="CBB223" s="1"/>
      <c r="CBC223" s="1"/>
      <c r="CBD223" s="1"/>
      <c r="CBE223" s="1"/>
      <c r="CBF223" s="1"/>
      <c r="CBG223" s="1"/>
      <c r="CBH223" s="1"/>
      <c r="CBI223" s="1"/>
      <c r="CBJ223" s="1"/>
      <c r="CBK223" s="1"/>
      <c r="CBL223" s="1"/>
      <c r="CBM223" s="1"/>
      <c r="CBN223" s="1"/>
      <c r="CBO223" s="1"/>
      <c r="CBP223" s="1"/>
      <c r="CBQ223" s="1"/>
      <c r="CBR223" s="1"/>
      <c r="CBS223" s="1"/>
      <c r="CBT223" s="1"/>
      <c r="CBU223" s="1"/>
      <c r="CBV223" s="1"/>
      <c r="CBW223" s="1"/>
      <c r="CBX223" s="1"/>
      <c r="CBY223" s="1"/>
      <c r="CBZ223" s="1"/>
      <c r="CCA223" s="1"/>
      <c r="CCB223" s="1"/>
      <c r="CCC223" s="1"/>
      <c r="CCD223" s="1"/>
      <c r="CCE223" s="1"/>
      <c r="CCF223" s="1"/>
      <c r="CCG223" s="1"/>
      <c r="CCH223" s="1"/>
      <c r="CCI223" s="1"/>
      <c r="CCJ223" s="1"/>
      <c r="CCK223" s="1"/>
      <c r="CCL223" s="1"/>
      <c r="CCM223" s="1"/>
      <c r="CCN223" s="1"/>
      <c r="CCO223" s="1"/>
      <c r="CCP223" s="1"/>
      <c r="CCQ223" s="1"/>
      <c r="CCR223" s="1"/>
      <c r="CCS223" s="1"/>
      <c r="CCT223" s="1"/>
      <c r="CCU223" s="1"/>
      <c r="CCV223" s="1"/>
      <c r="CCW223" s="1"/>
      <c r="CCX223" s="1"/>
      <c r="CCY223" s="1"/>
      <c r="CCZ223" s="1"/>
      <c r="CDA223" s="1"/>
      <c r="CDB223" s="1"/>
      <c r="CDC223" s="1"/>
      <c r="CDD223" s="1"/>
      <c r="CDE223" s="1"/>
      <c r="CDF223" s="1"/>
      <c r="CDG223" s="1"/>
      <c r="CDH223" s="1"/>
      <c r="CDI223" s="1"/>
      <c r="CDJ223" s="1"/>
      <c r="CDK223" s="1"/>
      <c r="CDL223" s="1"/>
      <c r="CDM223" s="1"/>
      <c r="CDN223" s="1"/>
      <c r="CDO223" s="1"/>
      <c r="CDP223" s="1"/>
      <c r="CDQ223" s="1"/>
      <c r="CDR223" s="1"/>
      <c r="CDS223" s="1"/>
      <c r="CDT223" s="1"/>
      <c r="CDU223" s="1"/>
      <c r="CDV223" s="1"/>
      <c r="CDW223" s="1"/>
      <c r="CDX223" s="1"/>
      <c r="CDY223" s="1"/>
      <c r="CDZ223" s="1"/>
      <c r="CEA223" s="1"/>
      <c r="CEB223" s="1"/>
      <c r="CEC223" s="1"/>
      <c r="CED223" s="1"/>
      <c r="CEE223" s="1"/>
      <c r="CEF223" s="1"/>
      <c r="CEG223" s="1"/>
      <c r="CEH223" s="1"/>
      <c r="CEI223" s="1"/>
      <c r="CEJ223" s="1"/>
      <c r="CEK223" s="1"/>
      <c r="CEL223" s="1"/>
      <c r="CEM223" s="1"/>
      <c r="CEN223" s="1"/>
      <c r="CEO223" s="1"/>
      <c r="CEP223" s="1"/>
      <c r="CEQ223" s="1"/>
      <c r="CER223" s="1"/>
      <c r="CES223" s="1"/>
      <c r="CET223" s="1"/>
      <c r="CEU223" s="1"/>
      <c r="CEV223" s="1"/>
      <c r="CEW223" s="1"/>
      <c r="CEX223" s="1"/>
      <c r="CEY223" s="1"/>
      <c r="CEZ223" s="1"/>
      <c r="CFA223" s="1"/>
      <c r="CFB223" s="1"/>
      <c r="CFC223" s="1"/>
      <c r="CFD223" s="1"/>
      <c r="CFE223" s="1"/>
      <c r="CFF223" s="1"/>
      <c r="CFG223" s="1"/>
      <c r="CFH223" s="1"/>
      <c r="CFI223" s="1"/>
      <c r="CFJ223" s="1"/>
      <c r="CFK223" s="1"/>
      <c r="CFL223" s="1"/>
      <c r="CFM223" s="1"/>
      <c r="CFN223" s="1"/>
      <c r="CFO223" s="1"/>
      <c r="CFP223" s="1"/>
      <c r="CFQ223" s="1"/>
      <c r="CFR223" s="1"/>
      <c r="CFS223" s="1"/>
      <c r="CFT223" s="1"/>
      <c r="CFU223" s="1"/>
      <c r="CFV223" s="1"/>
      <c r="CFW223" s="1"/>
      <c r="CFX223" s="1"/>
      <c r="CFY223" s="1"/>
      <c r="CFZ223" s="1"/>
      <c r="CGA223" s="1"/>
      <c r="CGB223" s="1"/>
      <c r="CGC223" s="1"/>
      <c r="CGD223" s="1"/>
      <c r="CGE223" s="1"/>
      <c r="CGF223" s="1"/>
      <c r="CGG223" s="1"/>
      <c r="CGH223" s="1"/>
      <c r="CGI223" s="1"/>
      <c r="CGJ223" s="1"/>
      <c r="CGK223" s="1"/>
      <c r="CGL223" s="1"/>
      <c r="CGM223" s="1"/>
      <c r="CGN223" s="1"/>
      <c r="CGO223" s="1"/>
      <c r="CGP223" s="1"/>
      <c r="CGQ223" s="1"/>
      <c r="CGR223" s="1"/>
      <c r="CGS223" s="1"/>
      <c r="CGT223" s="1"/>
      <c r="CGU223" s="1"/>
      <c r="CGV223" s="1"/>
      <c r="CGW223" s="1"/>
      <c r="CGX223" s="1"/>
      <c r="CGY223" s="1"/>
      <c r="CGZ223" s="1"/>
      <c r="CHA223" s="1"/>
      <c r="CHB223" s="1"/>
      <c r="CHC223" s="1"/>
      <c r="CHD223" s="1"/>
      <c r="CHE223" s="1"/>
      <c r="CHF223" s="1"/>
      <c r="CHG223" s="1"/>
      <c r="CHH223" s="1"/>
      <c r="CHI223" s="1"/>
      <c r="CHJ223" s="1"/>
      <c r="CHK223" s="1"/>
      <c r="CHL223" s="1"/>
      <c r="CHM223" s="1"/>
      <c r="CHN223" s="1"/>
      <c r="CHO223" s="1"/>
      <c r="CHP223" s="1"/>
      <c r="CHQ223" s="1"/>
      <c r="CHR223" s="1"/>
      <c r="CHS223" s="1"/>
      <c r="CHT223" s="1"/>
      <c r="CHU223" s="1"/>
      <c r="CHV223" s="1"/>
      <c r="CHW223" s="1"/>
      <c r="CHX223" s="1"/>
      <c r="CHY223" s="1"/>
      <c r="CHZ223" s="1"/>
      <c r="CIA223" s="1"/>
      <c r="CIB223" s="1"/>
      <c r="CIC223" s="1"/>
      <c r="CID223" s="1"/>
      <c r="CIE223" s="1"/>
      <c r="CIF223" s="1"/>
      <c r="CIG223" s="1"/>
      <c r="CIH223" s="1"/>
      <c r="CII223" s="1"/>
      <c r="CIJ223" s="1"/>
      <c r="CIK223" s="1"/>
      <c r="CIL223" s="1"/>
      <c r="CIM223" s="1"/>
      <c r="CIN223" s="1"/>
      <c r="CIO223" s="1"/>
      <c r="CIP223" s="1"/>
      <c r="CIQ223" s="1"/>
      <c r="CIR223" s="1"/>
      <c r="CIS223" s="1"/>
      <c r="CIT223" s="1"/>
      <c r="CIU223" s="1"/>
      <c r="CIV223" s="1"/>
      <c r="CIW223" s="1"/>
      <c r="CIX223" s="1"/>
      <c r="CIY223" s="1"/>
      <c r="CIZ223" s="1"/>
      <c r="CJA223" s="1"/>
      <c r="CJB223" s="1"/>
      <c r="CJC223" s="1"/>
      <c r="CJD223" s="1"/>
      <c r="CJE223" s="1"/>
      <c r="CJF223" s="1"/>
      <c r="CJG223" s="1"/>
      <c r="CJH223" s="1"/>
      <c r="CJI223" s="1"/>
      <c r="CJJ223" s="1"/>
      <c r="CJK223" s="1"/>
      <c r="CJL223" s="1"/>
      <c r="CJM223" s="1"/>
      <c r="CJN223" s="1"/>
      <c r="CJO223" s="1"/>
      <c r="CJP223" s="1"/>
      <c r="CJQ223" s="1"/>
      <c r="CJR223" s="1"/>
      <c r="CJS223" s="1"/>
      <c r="CJT223" s="1"/>
      <c r="CJU223" s="1"/>
      <c r="CJV223" s="1"/>
      <c r="CJW223" s="1"/>
      <c r="CJX223" s="1"/>
      <c r="CJY223" s="1"/>
      <c r="CJZ223" s="1"/>
      <c r="CKA223" s="1"/>
      <c r="CKB223" s="1"/>
      <c r="CKC223" s="1"/>
      <c r="CKD223" s="1"/>
      <c r="CKE223" s="1"/>
      <c r="CKF223" s="1"/>
      <c r="CKG223" s="1"/>
      <c r="CKH223" s="1"/>
      <c r="CKI223" s="1"/>
      <c r="CKJ223" s="1"/>
      <c r="CKK223" s="1"/>
      <c r="CKL223" s="1"/>
      <c r="CKM223" s="1"/>
      <c r="CKN223" s="1"/>
      <c r="CKO223" s="1"/>
      <c r="CKP223" s="1"/>
      <c r="CKQ223" s="1"/>
      <c r="CKR223" s="1"/>
      <c r="CKS223" s="1"/>
      <c r="CKT223" s="1"/>
      <c r="CKU223" s="1"/>
      <c r="CKV223" s="1"/>
      <c r="CKW223" s="1"/>
      <c r="CKX223" s="1"/>
      <c r="CKY223" s="1"/>
      <c r="CKZ223" s="1"/>
      <c r="CLA223" s="1"/>
      <c r="CLB223" s="1"/>
      <c r="CLC223" s="1"/>
      <c r="CLD223" s="1"/>
      <c r="CLE223" s="1"/>
      <c r="CLF223" s="1"/>
      <c r="CLG223" s="1"/>
      <c r="CLH223" s="1"/>
      <c r="CLI223" s="1"/>
      <c r="CLJ223" s="1"/>
      <c r="CLK223" s="1"/>
      <c r="CLL223" s="1"/>
      <c r="CLM223" s="1"/>
      <c r="CLN223" s="1"/>
      <c r="CLO223" s="1"/>
      <c r="CLP223" s="1"/>
      <c r="CLQ223" s="1"/>
      <c r="CLR223" s="1"/>
      <c r="CLS223" s="1"/>
      <c r="CLT223" s="1"/>
      <c r="CLU223" s="1"/>
      <c r="CLV223" s="1"/>
      <c r="CLW223" s="1"/>
      <c r="CLX223" s="1"/>
      <c r="CLY223" s="1"/>
      <c r="CLZ223" s="1"/>
      <c r="CMA223" s="1"/>
      <c r="CMB223" s="1"/>
      <c r="CMC223" s="1"/>
      <c r="CMD223" s="1"/>
      <c r="CME223" s="1"/>
      <c r="CMF223" s="1"/>
      <c r="CMG223" s="1"/>
      <c r="CMH223" s="1"/>
      <c r="CMI223" s="1"/>
      <c r="CMJ223" s="1"/>
      <c r="CMK223" s="1"/>
      <c r="CML223" s="1"/>
      <c r="CMM223" s="1"/>
      <c r="CMN223" s="1"/>
      <c r="CMO223" s="1"/>
      <c r="CMP223" s="1"/>
      <c r="CMQ223" s="1"/>
      <c r="CMR223" s="1"/>
      <c r="CMS223" s="1"/>
      <c r="CMT223" s="1"/>
      <c r="CMU223" s="1"/>
      <c r="CMV223" s="1"/>
      <c r="CMW223" s="1"/>
      <c r="CMX223" s="1"/>
      <c r="CMY223" s="1"/>
      <c r="CMZ223" s="1"/>
      <c r="CNA223" s="1"/>
      <c r="CNB223" s="1"/>
      <c r="CNC223" s="1"/>
      <c r="CND223" s="1"/>
      <c r="CNE223" s="1"/>
      <c r="CNF223" s="1"/>
      <c r="CNG223" s="1"/>
      <c r="CNH223" s="1"/>
      <c r="CNI223" s="1"/>
      <c r="CNJ223" s="1"/>
      <c r="CNK223" s="1"/>
      <c r="CNL223" s="1"/>
      <c r="CNM223" s="1"/>
      <c r="CNN223" s="1"/>
      <c r="CNO223" s="1"/>
      <c r="CNP223" s="1"/>
      <c r="CNQ223" s="1"/>
      <c r="CNR223" s="1"/>
      <c r="CNS223" s="1"/>
      <c r="CNT223" s="1"/>
      <c r="CNU223" s="1"/>
      <c r="CNV223" s="1"/>
      <c r="CNW223" s="1"/>
      <c r="CNX223" s="1"/>
      <c r="CNY223" s="1"/>
      <c r="CNZ223" s="1"/>
      <c r="COA223" s="1"/>
      <c r="COB223" s="1"/>
      <c r="COC223" s="1"/>
      <c r="COD223" s="1"/>
      <c r="COE223" s="1"/>
      <c r="COF223" s="1"/>
      <c r="COG223" s="1"/>
      <c r="COH223" s="1"/>
      <c r="COI223" s="1"/>
      <c r="COJ223" s="1"/>
      <c r="COK223" s="1"/>
      <c r="COL223" s="1"/>
      <c r="COM223" s="1"/>
      <c r="CON223" s="1"/>
      <c r="COO223" s="1"/>
      <c r="COP223" s="1"/>
      <c r="COQ223" s="1"/>
      <c r="COR223" s="1"/>
      <c r="COS223" s="1"/>
      <c r="COT223" s="1"/>
      <c r="COU223" s="1"/>
      <c r="COV223" s="1"/>
      <c r="COW223" s="1"/>
      <c r="COX223" s="1"/>
      <c r="COY223" s="1"/>
      <c r="COZ223" s="1"/>
      <c r="CPA223" s="1"/>
      <c r="CPB223" s="1"/>
      <c r="CPC223" s="1"/>
      <c r="CPD223" s="1"/>
      <c r="CPE223" s="1"/>
      <c r="CPF223" s="1"/>
      <c r="CPG223" s="1"/>
      <c r="CPH223" s="1"/>
      <c r="CPI223" s="1"/>
      <c r="CPJ223" s="1"/>
      <c r="CPK223" s="1"/>
      <c r="CPL223" s="1"/>
      <c r="CPM223" s="1"/>
      <c r="CPN223" s="1"/>
      <c r="CPO223" s="1"/>
      <c r="CPP223" s="1"/>
      <c r="CPQ223" s="1"/>
      <c r="CPR223" s="1"/>
      <c r="CPS223" s="1"/>
      <c r="CPT223" s="1"/>
      <c r="CPU223" s="1"/>
      <c r="CPV223" s="1"/>
      <c r="CPW223" s="1"/>
      <c r="CPX223" s="1"/>
      <c r="CPY223" s="1"/>
      <c r="CPZ223" s="1"/>
      <c r="CQA223" s="1"/>
      <c r="CQB223" s="1"/>
      <c r="CQC223" s="1"/>
      <c r="CQD223" s="1"/>
      <c r="CQE223" s="1"/>
      <c r="CQF223" s="1"/>
      <c r="CQG223" s="1"/>
      <c r="CQH223" s="1"/>
      <c r="CQI223" s="1"/>
      <c r="CQJ223" s="1"/>
      <c r="CQK223" s="1"/>
      <c r="CQL223" s="1"/>
      <c r="CQM223" s="1"/>
      <c r="CQN223" s="1"/>
      <c r="CQO223" s="1"/>
      <c r="CQP223" s="1"/>
      <c r="CQQ223" s="1"/>
      <c r="CQR223" s="1"/>
      <c r="CQS223" s="1"/>
      <c r="CQT223" s="1"/>
      <c r="CQU223" s="1"/>
      <c r="CQV223" s="1"/>
      <c r="CQW223" s="1"/>
      <c r="CQX223" s="1"/>
      <c r="CQY223" s="1"/>
      <c r="CQZ223" s="1"/>
      <c r="CRA223" s="1"/>
      <c r="CRB223" s="1"/>
      <c r="CRC223" s="1"/>
      <c r="CRD223" s="1"/>
      <c r="CRE223" s="1"/>
      <c r="CRF223" s="1"/>
      <c r="CRG223" s="1"/>
      <c r="CRH223" s="1"/>
      <c r="CRI223" s="1"/>
      <c r="CRJ223" s="1"/>
      <c r="CRK223" s="1"/>
      <c r="CRL223" s="1"/>
      <c r="CRM223" s="1"/>
      <c r="CRN223" s="1"/>
      <c r="CRO223" s="1"/>
      <c r="CRP223" s="1"/>
      <c r="CRQ223" s="1"/>
      <c r="CRR223" s="1"/>
      <c r="CRS223" s="1"/>
      <c r="CRT223" s="1"/>
      <c r="CRU223" s="1"/>
      <c r="CRV223" s="1"/>
      <c r="CRW223" s="1"/>
      <c r="CRX223" s="1"/>
      <c r="CRY223" s="1"/>
      <c r="CRZ223" s="1"/>
      <c r="CSA223" s="1"/>
      <c r="CSB223" s="1"/>
      <c r="CSC223" s="1"/>
      <c r="CSD223" s="1"/>
      <c r="CSE223" s="1"/>
      <c r="CSF223" s="1"/>
      <c r="CSG223" s="1"/>
      <c r="CSH223" s="1"/>
      <c r="CSI223" s="1"/>
      <c r="CSJ223" s="1"/>
      <c r="CSK223" s="1"/>
      <c r="CSL223" s="1"/>
      <c r="CSM223" s="1"/>
      <c r="CSN223" s="1"/>
      <c r="CSO223" s="1"/>
      <c r="CSP223" s="1"/>
      <c r="CSQ223" s="1"/>
      <c r="CSR223" s="1"/>
      <c r="CSS223" s="1"/>
      <c r="CST223" s="1"/>
      <c r="CSU223" s="1"/>
      <c r="CSV223" s="1"/>
      <c r="CSW223" s="1"/>
      <c r="CSX223" s="1"/>
      <c r="CSY223" s="1"/>
      <c r="CSZ223" s="1"/>
      <c r="CTA223" s="1"/>
      <c r="CTB223" s="1"/>
      <c r="CTC223" s="1"/>
      <c r="CTD223" s="1"/>
      <c r="CTE223" s="1"/>
      <c r="CTF223" s="1"/>
      <c r="CTG223" s="1"/>
      <c r="CTH223" s="1"/>
      <c r="CTI223" s="1"/>
      <c r="CTJ223" s="1"/>
      <c r="CTK223" s="1"/>
      <c r="CTL223" s="1"/>
      <c r="CTM223" s="1"/>
      <c r="CTN223" s="1"/>
      <c r="CTO223" s="1"/>
      <c r="CTP223" s="1"/>
      <c r="CTQ223" s="1"/>
      <c r="CTR223" s="1"/>
      <c r="CTS223" s="1"/>
      <c r="CTT223" s="1"/>
      <c r="CTU223" s="1"/>
      <c r="CTV223" s="1"/>
      <c r="CTW223" s="1"/>
      <c r="CTX223" s="1"/>
      <c r="CTY223" s="1"/>
      <c r="CTZ223" s="1"/>
      <c r="CUA223" s="1"/>
      <c r="CUB223" s="1"/>
      <c r="CUC223" s="1"/>
      <c r="CUD223" s="1"/>
      <c r="CUE223" s="1"/>
      <c r="CUF223" s="1"/>
      <c r="CUG223" s="1"/>
      <c r="CUH223" s="1"/>
      <c r="CUI223" s="1"/>
      <c r="CUJ223" s="1"/>
      <c r="CUK223" s="1"/>
      <c r="CUL223" s="1"/>
      <c r="CUM223" s="1"/>
      <c r="CUN223" s="1"/>
      <c r="CUO223" s="1"/>
      <c r="CUP223" s="1"/>
      <c r="CUQ223" s="1"/>
      <c r="CUR223" s="1"/>
      <c r="CUS223" s="1"/>
      <c r="CUT223" s="1"/>
      <c r="CUU223" s="1"/>
      <c r="CUV223" s="1"/>
      <c r="CUW223" s="1"/>
      <c r="CUX223" s="1"/>
      <c r="CUY223" s="1"/>
      <c r="CUZ223" s="1"/>
      <c r="CVA223" s="1"/>
      <c r="CVB223" s="1"/>
      <c r="CVC223" s="1"/>
      <c r="CVD223" s="1"/>
      <c r="CVE223" s="1"/>
      <c r="CVF223" s="1"/>
      <c r="CVG223" s="1"/>
      <c r="CVH223" s="1"/>
      <c r="CVI223" s="1"/>
      <c r="CVJ223" s="1"/>
      <c r="CVK223" s="1"/>
      <c r="CVL223" s="1"/>
      <c r="CVM223" s="1"/>
      <c r="CVN223" s="1"/>
      <c r="CVO223" s="1"/>
      <c r="CVP223" s="1"/>
      <c r="CVQ223" s="1"/>
      <c r="CVR223" s="1"/>
      <c r="CVS223" s="1"/>
      <c r="CVT223" s="1"/>
      <c r="CVU223" s="1"/>
      <c r="CVV223" s="1"/>
      <c r="CVW223" s="1"/>
      <c r="CVX223" s="1"/>
      <c r="CVY223" s="1"/>
      <c r="CVZ223" s="1"/>
      <c r="CWA223" s="1"/>
      <c r="CWB223" s="1"/>
      <c r="CWC223" s="1"/>
      <c r="CWD223" s="1"/>
      <c r="CWE223" s="1"/>
      <c r="CWF223" s="1"/>
      <c r="CWG223" s="1"/>
      <c r="CWH223" s="1"/>
      <c r="CWI223" s="1"/>
      <c r="CWJ223" s="1"/>
      <c r="CWK223" s="1"/>
      <c r="CWL223" s="1"/>
      <c r="CWM223" s="1"/>
      <c r="CWN223" s="1"/>
      <c r="CWO223" s="1"/>
      <c r="CWP223" s="1"/>
      <c r="CWQ223" s="1"/>
      <c r="CWR223" s="1"/>
      <c r="CWS223" s="1"/>
      <c r="CWT223" s="1"/>
      <c r="CWU223" s="1"/>
      <c r="CWV223" s="1"/>
      <c r="CWW223" s="1"/>
      <c r="CWX223" s="1"/>
      <c r="CWY223" s="1"/>
      <c r="CWZ223" s="1"/>
      <c r="CXA223" s="1"/>
      <c r="CXB223" s="1"/>
      <c r="CXC223" s="1"/>
      <c r="CXD223" s="1"/>
      <c r="CXE223" s="1"/>
      <c r="CXF223" s="1"/>
      <c r="CXG223" s="1"/>
      <c r="CXH223" s="1"/>
      <c r="CXI223" s="1"/>
      <c r="CXJ223" s="1"/>
      <c r="CXK223" s="1"/>
      <c r="CXL223" s="1"/>
      <c r="CXM223" s="1"/>
      <c r="CXN223" s="1"/>
      <c r="CXO223" s="1"/>
      <c r="CXP223" s="1"/>
      <c r="CXQ223" s="1"/>
      <c r="CXR223" s="1"/>
      <c r="CXS223" s="1"/>
      <c r="CXT223" s="1"/>
      <c r="CXU223" s="1"/>
      <c r="CXV223" s="1"/>
      <c r="CXW223" s="1"/>
      <c r="CXX223" s="1"/>
      <c r="CXY223" s="1"/>
      <c r="CXZ223" s="1"/>
      <c r="CYA223" s="1"/>
      <c r="CYB223" s="1"/>
      <c r="CYC223" s="1"/>
      <c r="CYD223" s="1"/>
      <c r="CYE223" s="1"/>
      <c r="CYF223" s="1"/>
      <c r="CYG223" s="1"/>
      <c r="CYH223" s="1"/>
      <c r="CYI223" s="1"/>
      <c r="CYJ223" s="1"/>
      <c r="CYK223" s="1"/>
      <c r="CYL223" s="1"/>
      <c r="CYM223" s="1"/>
      <c r="CYN223" s="1"/>
      <c r="CYO223" s="1"/>
      <c r="CYP223" s="1"/>
      <c r="CYQ223" s="1"/>
      <c r="CYR223" s="1"/>
      <c r="CYS223" s="1"/>
      <c r="CYT223" s="1"/>
      <c r="CYU223" s="1"/>
      <c r="CYV223" s="1"/>
      <c r="CYW223" s="1"/>
      <c r="CYX223" s="1"/>
      <c r="CYY223" s="1"/>
      <c r="CYZ223" s="1"/>
      <c r="CZA223" s="1"/>
      <c r="CZB223" s="1"/>
      <c r="CZC223" s="1"/>
      <c r="CZD223" s="1"/>
      <c r="CZE223" s="1"/>
      <c r="CZF223" s="1"/>
      <c r="CZG223" s="1"/>
      <c r="CZH223" s="1"/>
      <c r="CZI223" s="1"/>
      <c r="CZJ223" s="1"/>
      <c r="CZK223" s="1"/>
      <c r="CZL223" s="1"/>
      <c r="CZM223" s="1"/>
      <c r="CZN223" s="1"/>
      <c r="CZO223" s="1"/>
      <c r="CZP223" s="1"/>
      <c r="CZQ223" s="1"/>
      <c r="CZR223" s="1"/>
      <c r="CZS223" s="1"/>
      <c r="CZT223" s="1"/>
      <c r="CZU223" s="1"/>
      <c r="CZV223" s="1"/>
      <c r="CZW223" s="1"/>
      <c r="CZX223" s="1"/>
      <c r="CZY223" s="1"/>
      <c r="CZZ223" s="1"/>
      <c r="DAA223" s="1"/>
      <c r="DAB223" s="1"/>
      <c r="DAC223" s="1"/>
      <c r="DAD223" s="1"/>
      <c r="DAE223" s="1"/>
      <c r="DAF223" s="1"/>
      <c r="DAG223" s="1"/>
      <c r="DAH223" s="1"/>
      <c r="DAI223" s="1"/>
      <c r="DAJ223" s="1"/>
      <c r="DAK223" s="1"/>
      <c r="DAL223" s="1"/>
      <c r="DAM223" s="1"/>
      <c r="DAN223" s="1"/>
      <c r="DAO223" s="1"/>
      <c r="DAP223" s="1"/>
      <c r="DAQ223" s="1"/>
      <c r="DAR223" s="1"/>
      <c r="DAS223" s="1"/>
      <c r="DAT223" s="1"/>
      <c r="DAU223" s="1"/>
      <c r="DAV223" s="1"/>
      <c r="DAW223" s="1"/>
      <c r="DAX223" s="1"/>
      <c r="DAY223" s="1"/>
      <c r="DAZ223" s="1"/>
      <c r="DBA223" s="1"/>
      <c r="DBB223" s="1"/>
      <c r="DBC223" s="1"/>
      <c r="DBD223" s="1"/>
      <c r="DBE223" s="1"/>
      <c r="DBF223" s="1"/>
      <c r="DBG223" s="1"/>
      <c r="DBH223" s="1"/>
      <c r="DBI223" s="1"/>
      <c r="DBJ223" s="1"/>
      <c r="DBK223" s="1"/>
      <c r="DBL223" s="1"/>
      <c r="DBM223" s="1"/>
      <c r="DBN223" s="1"/>
      <c r="DBO223" s="1"/>
      <c r="DBP223" s="1"/>
      <c r="DBQ223" s="1"/>
      <c r="DBR223" s="1"/>
      <c r="DBS223" s="1"/>
      <c r="DBT223" s="1"/>
      <c r="DBU223" s="1"/>
      <c r="DBV223" s="1"/>
      <c r="DBW223" s="1"/>
      <c r="DBX223" s="1"/>
      <c r="DBY223" s="1"/>
      <c r="DBZ223" s="1"/>
      <c r="DCA223" s="1"/>
      <c r="DCB223" s="1"/>
      <c r="DCC223" s="1"/>
      <c r="DCD223" s="1"/>
      <c r="DCE223" s="1"/>
      <c r="DCF223" s="1"/>
      <c r="DCG223" s="1"/>
      <c r="DCH223" s="1"/>
      <c r="DCI223" s="1"/>
      <c r="DCJ223" s="1"/>
      <c r="DCK223" s="1"/>
      <c r="DCL223" s="1"/>
      <c r="DCM223" s="1"/>
      <c r="DCN223" s="1"/>
      <c r="DCO223" s="1"/>
      <c r="DCP223" s="1"/>
      <c r="DCQ223" s="1"/>
      <c r="DCR223" s="1"/>
      <c r="DCS223" s="1"/>
      <c r="DCT223" s="1"/>
      <c r="DCU223" s="1"/>
      <c r="DCV223" s="1"/>
      <c r="DCW223" s="1"/>
      <c r="DCX223" s="1"/>
      <c r="DCY223" s="1"/>
      <c r="DCZ223" s="1"/>
      <c r="DDA223" s="1"/>
      <c r="DDB223" s="1"/>
      <c r="DDC223" s="1"/>
      <c r="DDD223" s="1"/>
      <c r="DDE223" s="1"/>
      <c r="DDF223" s="1"/>
      <c r="DDG223" s="1"/>
      <c r="DDH223" s="1"/>
      <c r="DDI223" s="1"/>
      <c r="DDJ223" s="1"/>
      <c r="DDK223" s="1"/>
      <c r="DDL223" s="1"/>
      <c r="DDM223" s="1"/>
      <c r="DDN223" s="1"/>
      <c r="DDO223" s="1"/>
      <c r="DDP223" s="1"/>
      <c r="DDQ223" s="1"/>
      <c r="DDR223" s="1"/>
      <c r="DDS223" s="1"/>
      <c r="DDT223" s="1"/>
      <c r="DDU223" s="1"/>
      <c r="DDV223" s="1"/>
      <c r="DDW223" s="1"/>
      <c r="DDX223" s="1"/>
      <c r="DDY223" s="1"/>
      <c r="DDZ223" s="1"/>
      <c r="DEA223" s="1"/>
      <c r="DEB223" s="1"/>
      <c r="DEC223" s="1"/>
      <c r="DED223" s="1"/>
      <c r="DEE223" s="1"/>
      <c r="DEF223" s="1"/>
      <c r="DEG223" s="1"/>
      <c r="DEH223" s="1"/>
      <c r="DEI223" s="1"/>
      <c r="DEJ223" s="1"/>
      <c r="DEK223" s="1"/>
      <c r="DEL223" s="1"/>
      <c r="DEM223" s="1"/>
      <c r="DEN223" s="1"/>
      <c r="DEO223" s="1"/>
      <c r="DEP223" s="1"/>
      <c r="DEQ223" s="1"/>
      <c r="DER223" s="1"/>
      <c r="DES223" s="1"/>
      <c r="DET223" s="1"/>
      <c r="DEU223" s="1"/>
      <c r="DEV223" s="1"/>
      <c r="DEW223" s="1"/>
      <c r="DEX223" s="1"/>
      <c r="DEY223" s="1"/>
      <c r="DEZ223" s="1"/>
      <c r="DFA223" s="1"/>
      <c r="DFB223" s="1"/>
      <c r="DFC223" s="1"/>
      <c r="DFD223" s="1"/>
      <c r="DFE223" s="1"/>
      <c r="DFF223" s="1"/>
      <c r="DFG223" s="1"/>
      <c r="DFH223" s="1"/>
      <c r="DFI223" s="1"/>
      <c r="DFJ223" s="1"/>
      <c r="DFK223" s="1"/>
      <c r="DFL223" s="1"/>
      <c r="DFM223" s="1"/>
      <c r="DFN223" s="1"/>
      <c r="DFO223" s="1"/>
      <c r="DFP223" s="1"/>
      <c r="DFQ223" s="1"/>
      <c r="DFR223" s="1"/>
      <c r="DFS223" s="1"/>
      <c r="DFT223" s="1"/>
      <c r="DFU223" s="1"/>
      <c r="DFV223" s="1"/>
      <c r="DFW223" s="1"/>
      <c r="DFX223" s="1"/>
      <c r="DFY223" s="1"/>
      <c r="DFZ223" s="1"/>
      <c r="DGA223" s="1"/>
      <c r="DGB223" s="1"/>
      <c r="DGC223" s="1"/>
      <c r="DGD223" s="1"/>
      <c r="DGE223" s="1"/>
      <c r="DGF223" s="1"/>
      <c r="DGG223" s="1"/>
      <c r="DGH223" s="1"/>
      <c r="DGI223" s="1"/>
      <c r="DGJ223" s="1"/>
      <c r="DGK223" s="1"/>
      <c r="DGL223" s="1"/>
      <c r="DGM223" s="1"/>
      <c r="DGN223" s="1"/>
      <c r="DGO223" s="1"/>
      <c r="DGP223" s="1"/>
      <c r="DGQ223" s="1"/>
      <c r="DGR223" s="1"/>
      <c r="DGS223" s="1"/>
      <c r="DGT223" s="1"/>
      <c r="DGU223" s="1"/>
      <c r="DGV223" s="1"/>
      <c r="DGW223" s="1"/>
      <c r="DGX223" s="1"/>
      <c r="DGY223" s="1"/>
      <c r="DGZ223" s="1"/>
      <c r="DHA223" s="1"/>
      <c r="DHB223" s="1"/>
      <c r="DHC223" s="1"/>
      <c r="DHD223" s="1"/>
      <c r="DHE223" s="1"/>
      <c r="DHF223" s="1"/>
      <c r="DHG223" s="1"/>
      <c r="DHH223" s="1"/>
      <c r="DHI223" s="1"/>
      <c r="DHJ223" s="1"/>
      <c r="DHK223" s="1"/>
      <c r="DHL223" s="1"/>
      <c r="DHM223" s="1"/>
      <c r="DHN223" s="1"/>
      <c r="DHO223" s="1"/>
      <c r="DHP223" s="1"/>
      <c r="DHQ223" s="1"/>
      <c r="DHR223" s="1"/>
      <c r="DHS223" s="1"/>
      <c r="DHT223" s="1"/>
      <c r="DHU223" s="1"/>
      <c r="DHV223" s="1"/>
      <c r="DHW223" s="1"/>
      <c r="DHX223" s="1"/>
      <c r="DHY223" s="1"/>
      <c r="DHZ223" s="1"/>
      <c r="DIA223" s="1"/>
      <c r="DIB223" s="1"/>
      <c r="DIC223" s="1"/>
      <c r="DID223" s="1"/>
      <c r="DIE223" s="1"/>
      <c r="DIF223" s="1"/>
      <c r="DIG223" s="1"/>
      <c r="DIH223" s="1"/>
      <c r="DII223" s="1"/>
      <c r="DIJ223" s="1"/>
      <c r="DIK223" s="1"/>
      <c r="DIL223" s="1"/>
      <c r="DIM223" s="1"/>
      <c r="DIN223" s="1"/>
      <c r="DIO223" s="1"/>
      <c r="DIP223" s="1"/>
      <c r="DIQ223" s="1"/>
      <c r="DIR223" s="1"/>
      <c r="DIS223" s="1"/>
      <c r="DIT223" s="1"/>
      <c r="DIU223" s="1"/>
      <c r="DIV223" s="1"/>
      <c r="DIW223" s="1"/>
      <c r="DIX223" s="1"/>
      <c r="DIY223" s="1"/>
      <c r="DIZ223" s="1"/>
      <c r="DJA223" s="1"/>
      <c r="DJB223" s="1"/>
      <c r="DJC223" s="1"/>
      <c r="DJD223" s="1"/>
      <c r="DJE223" s="1"/>
      <c r="DJF223" s="1"/>
      <c r="DJG223" s="1"/>
      <c r="DJH223" s="1"/>
      <c r="DJI223" s="1"/>
      <c r="DJJ223" s="1"/>
      <c r="DJK223" s="1"/>
      <c r="DJL223" s="1"/>
      <c r="DJM223" s="1"/>
      <c r="DJN223" s="1"/>
      <c r="DJO223" s="1"/>
      <c r="DJP223" s="1"/>
      <c r="DJQ223" s="1"/>
      <c r="DJR223" s="1"/>
      <c r="DJS223" s="1"/>
      <c r="DJT223" s="1"/>
      <c r="DJU223" s="1"/>
      <c r="DJV223" s="1"/>
      <c r="DJW223" s="1"/>
      <c r="DJX223" s="1"/>
      <c r="DJY223" s="1"/>
      <c r="DJZ223" s="1"/>
      <c r="DKA223" s="1"/>
      <c r="DKB223" s="1"/>
      <c r="DKC223" s="1"/>
      <c r="DKD223" s="1"/>
      <c r="DKE223" s="1"/>
      <c r="DKF223" s="1"/>
      <c r="DKG223" s="1"/>
      <c r="DKH223" s="1"/>
      <c r="DKI223" s="1"/>
      <c r="DKJ223" s="1"/>
      <c r="DKK223" s="1"/>
      <c r="DKL223" s="1"/>
      <c r="DKM223" s="1"/>
      <c r="DKN223" s="1"/>
      <c r="DKO223" s="1"/>
      <c r="DKP223" s="1"/>
      <c r="DKQ223" s="1"/>
      <c r="DKR223" s="1"/>
      <c r="DKS223" s="1"/>
      <c r="DKT223" s="1"/>
      <c r="DKU223" s="1"/>
      <c r="DKV223" s="1"/>
      <c r="DKW223" s="1"/>
      <c r="DKX223" s="1"/>
      <c r="DKY223" s="1"/>
      <c r="DKZ223" s="1"/>
      <c r="DLA223" s="1"/>
      <c r="DLB223" s="1"/>
      <c r="DLC223" s="1"/>
      <c r="DLD223" s="1"/>
      <c r="DLE223" s="1"/>
      <c r="DLF223" s="1"/>
      <c r="DLG223" s="1"/>
      <c r="DLH223" s="1"/>
      <c r="DLI223" s="1"/>
      <c r="DLJ223" s="1"/>
      <c r="DLK223" s="1"/>
      <c r="DLL223" s="1"/>
      <c r="DLM223" s="1"/>
      <c r="DLN223" s="1"/>
      <c r="DLO223" s="1"/>
      <c r="DLP223" s="1"/>
      <c r="DLQ223" s="1"/>
      <c r="DLR223" s="1"/>
      <c r="DLS223" s="1"/>
      <c r="DLT223" s="1"/>
      <c r="DLU223" s="1"/>
      <c r="DLV223" s="1"/>
      <c r="DLW223" s="1"/>
      <c r="DLX223" s="1"/>
      <c r="DLY223" s="1"/>
      <c r="DLZ223" s="1"/>
      <c r="DMA223" s="1"/>
      <c r="DMB223" s="1"/>
      <c r="DMC223" s="1"/>
      <c r="DMD223" s="1"/>
      <c r="DME223" s="1"/>
      <c r="DMF223" s="1"/>
      <c r="DMG223" s="1"/>
      <c r="DMH223" s="1"/>
      <c r="DMI223" s="1"/>
      <c r="DMJ223" s="1"/>
      <c r="DMK223" s="1"/>
      <c r="DML223" s="1"/>
      <c r="DMM223" s="1"/>
      <c r="DMN223" s="1"/>
      <c r="DMO223" s="1"/>
      <c r="DMP223" s="1"/>
      <c r="DMQ223" s="1"/>
      <c r="DMR223" s="1"/>
      <c r="DMS223" s="1"/>
      <c r="DMT223" s="1"/>
      <c r="DMU223" s="1"/>
      <c r="DMV223" s="1"/>
      <c r="DMW223" s="1"/>
      <c r="DMX223" s="1"/>
      <c r="DMY223" s="1"/>
      <c r="DMZ223" s="1"/>
      <c r="DNA223" s="1"/>
      <c r="DNB223" s="1"/>
      <c r="DNC223" s="1"/>
      <c r="DND223" s="1"/>
      <c r="DNE223" s="1"/>
      <c r="DNF223" s="1"/>
      <c r="DNG223" s="1"/>
      <c r="DNH223" s="1"/>
      <c r="DNI223" s="1"/>
      <c r="DNJ223" s="1"/>
      <c r="DNK223" s="1"/>
      <c r="DNL223" s="1"/>
      <c r="DNM223" s="1"/>
      <c r="DNN223" s="1"/>
      <c r="DNO223" s="1"/>
      <c r="DNP223" s="1"/>
      <c r="DNQ223" s="1"/>
      <c r="DNR223" s="1"/>
      <c r="DNS223" s="1"/>
      <c r="DNT223" s="1"/>
      <c r="DNU223" s="1"/>
      <c r="DNV223" s="1"/>
      <c r="DNW223" s="1"/>
      <c r="DNX223" s="1"/>
      <c r="DNY223" s="1"/>
      <c r="DNZ223" s="1"/>
      <c r="DOA223" s="1"/>
      <c r="DOB223" s="1"/>
      <c r="DOC223" s="1"/>
      <c r="DOD223" s="1"/>
      <c r="DOE223" s="1"/>
      <c r="DOF223" s="1"/>
      <c r="DOG223" s="1"/>
      <c r="DOH223" s="1"/>
      <c r="DOI223" s="1"/>
      <c r="DOJ223" s="1"/>
      <c r="DOK223" s="1"/>
      <c r="DOL223" s="1"/>
      <c r="DOM223" s="1"/>
      <c r="DON223" s="1"/>
      <c r="DOO223" s="1"/>
      <c r="DOP223" s="1"/>
      <c r="DOQ223" s="1"/>
      <c r="DOR223" s="1"/>
      <c r="DOS223" s="1"/>
      <c r="DOT223" s="1"/>
      <c r="DOU223" s="1"/>
      <c r="DOV223" s="1"/>
      <c r="DOW223" s="1"/>
      <c r="DOX223" s="1"/>
      <c r="DOY223" s="1"/>
      <c r="DOZ223" s="1"/>
      <c r="DPA223" s="1"/>
      <c r="DPB223" s="1"/>
      <c r="DPC223" s="1"/>
      <c r="DPD223" s="1"/>
      <c r="DPE223" s="1"/>
      <c r="DPF223" s="1"/>
      <c r="DPG223" s="1"/>
      <c r="DPH223" s="1"/>
      <c r="DPI223" s="1"/>
      <c r="DPJ223" s="1"/>
      <c r="DPK223" s="1"/>
      <c r="DPL223" s="1"/>
      <c r="DPM223" s="1"/>
      <c r="DPN223" s="1"/>
      <c r="DPO223" s="1"/>
      <c r="DPP223" s="1"/>
      <c r="DPQ223" s="1"/>
      <c r="DPR223" s="1"/>
      <c r="DPS223" s="1"/>
      <c r="DPT223" s="1"/>
      <c r="DPU223" s="1"/>
      <c r="DPV223" s="1"/>
      <c r="DPW223" s="1"/>
      <c r="DPX223" s="1"/>
      <c r="DPY223" s="1"/>
      <c r="DPZ223" s="1"/>
      <c r="DQA223" s="1"/>
      <c r="DQB223" s="1"/>
      <c r="DQC223" s="1"/>
      <c r="DQD223" s="1"/>
      <c r="DQE223" s="1"/>
      <c r="DQF223" s="1"/>
      <c r="DQG223" s="1"/>
      <c r="DQH223" s="1"/>
      <c r="DQI223" s="1"/>
      <c r="DQJ223" s="1"/>
      <c r="DQK223" s="1"/>
      <c r="DQL223" s="1"/>
      <c r="DQM223" s="1"/>
      <c r="DQN223" s="1"/>
      <c r="DQO223" s="1"/>
      <c r="DQP223" s="1"/>
      <c r="DQQ223" s="1"/>
      <c r="DQR223" s="1"/>
      <c r="DQS223" s="1"/>
      <c r="DQT223" s="1"/>
      <c r="DQU223" s="1"/>
      <c r="DQV223" s="1"/>
      <c r="DQW223" s="1"/>
      <c r="DQX223" s="1"/>
      <c r="DQY223" s="1"/>
      <c r="DQZ223" s="1"/>
      <c r="DRA223" s="1"/>
      <c r="DRB223" s="1"/>
      <c r="DRC223" s="1"/>
      <c r="DRD223" s="1"/>
      <c r="DRE223" s="1"/>
      <c r="DRF223" s="1"/>
      <c r="DRG223" s="1"/>
      <c r="DRH223" s="1"/>
      <c r="DRI223" s="1"/>
      <c r="DRJ223" s="1"/>
      <c r="DRK223" s="1"/>
      <c r="DRL223" s="1"/>
      <c r="DRM223" s="1"/>
      <c r="DRN223" s="1"/>
      <c r="DRO223" s="1"/>
      <c r="DRP223" s="1"/>
      <c r="DRQ223" s="1"/>
      <c r="DRR223" s="1"/>
      <c r="DRS223" s="1"/>
      <c r="DRT223" s="1"/>
      <c r="DRU223" s="1"/>
      <c r="DRV223" s="1"/>
      <c r="DRW223" s="1"/>
      <c r="DRX223" s="1"/>
      <c r="DRY223" s="1"/>
      <c r="DRZ223" s="1"/>
      <c r="DSA223" s="1"/>
      <c r="DSB223" s="1"/>
      <c r="DSC223" s="1"/>
      <c r="DSD223" s="1"/>
      <c r="DSE223" s="1"/>
      <c r="DSF223" s="1"/>
      <c r="DSG223" s="1"/>
      <c r="DSH223" s="1"/>
      <c r="DSI223" s="1"/>
      <c r="DSJ223" s="1"/>
      <c r="DSK223" s="1"/>
      <c r="DSL223" s="1"/>
      <c r="DSM223" s="1"/>
      <c r="DSN223" s="1"/>
      <c r="DSO223" s="1"/>
      <c r="DSP223" s="1"/>
      <c r="DSQ223" s="1"/>
      <c r="DSR223" s="1"/>
      <c r="DSS223" s="1"/>
      <c r="DST223" s="1"/>
      <c r="DSU223" s="1"/>
      <c r="DSV223" s="1"/>
      <c r="DSW223" s="1"/>
      <c r="DSX223" s="1"/>
      <c r="DSY223" s="1"/>
      <c r="DSZ223" s="1"/>
      <c r="DTA223" s="1"/>
      <c r="DTB223" s="1"/>
      <c r="DTC223" s="1"/>
      <c r="DTD223" s="1"/>
      <c r="DTE223" s="1"/>
      <c r="DTF223" s="1"/>
      <c r="DTG223" s="1"/>
      <c r="DTH223" s="1"/>
      <c r="DTI223" s="1"/>
      <c r="DTJ223" s="1"/>
      <c r="DTK223" s="1"/>
      <c r="DTL223" s="1"/>
      <c r="DTM223" s="1"/>
      <c r="DTN223" s="1"/>
      <c r="DTO223" s="1"/>
      <c r="DTP223" s="1"/>
      <c r="DTQ223" s="1"/>
      <c r="DTR223" s="1"/>
      <c r="DTS223" s="1"/>
      <c r="DTT223" s="1"/>
      <c r="DTU223" s="1"/>
      <c r="DTV223" s="1"/>
      <c r="DTW223" s="1"/>
      <c r="DTX223" s="1"/>
      <c r="DTY223" s="1"/>
      <c r="DTZ223" s="1"/>
      <c r="DUA223" s="1"/>
      <c r="DUB223" s="1"/>
      <c r="DUC223" s="1"/>
      <c r="DUD223" s="1"/>
      <c r="DUE223" s="1"/>
      <c r="DUF223" s="1"/>
      <c r="DUG223" s="1"/>
      <c r="DUH223" s="1"/>
      <c r="DUI223" s="1"/>
      <c r="DUJ223" s="1"/>
      <c r="DUK223" s="1"/>
      <c r="DUL223" s="1"/>
      <c r="DUM223" s="1"/>
      <c r="DUN223" s="1"/>
      <c r="DUO223" s="1"/>
      <c r="DUP223" s="1"/>
      <c r="DUQ223" s="1"/>
      <c r="DUR223" s="1"/>
      <c r="DUS223" s="1"/>
      <c r="DUT223" s="1"/>
      <c r="DUU223" s="1"/>
      <c r="DUV223" s="1"/>
      <c r="DUW223" s="1"/>
      <c r="DUX223" s="1"/>
      <c r="DUY223" s="1"/>
      <c r="DUZ223" s="1"/>
      <c r="DVA223" s="1"/>
      <c r="DVB223" s="1"/>
      <c r="DVC223" s="1"/>
      <c r="DVD223" s="1"/>
      <c r="DVE223" s="1"/>
      <c r="DVF223" s="1"/>
      <c r="DVG223" s="1"/>
      <c r="DVH223" s="1"/>
      <c r="DVI223" s="1"/>
      <c r="DVJ223" s="1"/>
      <c r="DVK223" s="1"/>
      <c r="DVL223" s="1"/>
      <c r="DVM223" s="1"/>
      <c r="DVN223" s="1"/>
      <c r="DVO223" s="1"/>
      <c r="DVP223" s="1"/>
      <c r="DVQ223" s="1"/>
      <c r="DVR223" s="1"/>
      <c r="DVS223" s="1"/>
      <c r="DVT223" s="1"/>
      <c r="DVU223" s="1"/>
      <c r="DVV223" s="1"/>
      <c r="DVW223" s="1"/>
      <c r="DVX223" s="1"/>
      <c r="DVY223" s="1"/>
      <c r="DVZ223" s="1"/>
      <c r="DWA223" s="1"/>
      <c r="DWB223" s="1"/>
      <c r="DWC223" s="1"/>
      <c r="DWD223" s="1"/>
      <c r="DWE223" s="1"/>
      <c r="DWF223" s="1"/>
      <c r="DWG223" s="1"/>
      <c r="DWH223" s="1"/>
      <c r="DWI223" s="1"/>
      <c r="DWJ223" s="1"/>
      <c r="DWK223" s="1"/>
      <c r="DWL223" s="1"/>
      <c r="DWM223" s="1"/>
      <c r="DWN223" s="1"/>
      <c r="DWO223" s="1"/>
      <c r="DWP223" s="1"/>
      <c r="DWQ223" s="1"/>
      <c r="DWR223" s="1"/>
      <c r="DWS223" s="1"/>
      <c r="DWT223" s="1"/>
      <c r="DWU223" s="1"/>
      <c r="DWV223" s="1"/>
      <c r="DWW223" s="1"/>
      <c r="DWX223" s="1"/>
      <c r="DWY223" s="1"/>
      <c r="DWZ223" s="1"/>
      <c r="DXA223" s="1"/>
      <c r="DXB223" s="1"/>
      <c r="DXC223" s="1"/>
      <c r="DXD223" s="1"/>
      <c r="DXE223" s="1"/>
      <c r="DXF223" s="1"/>
      <c r="DXG223" s="1"/>
      <c r="DXH223" s="1"/>
      <c r="DXI223" s="1"/>
      <c r="DXJ223" s="1"/>
      <c r="DXK223" s="1"/>
      <c r="DXL223" s="1"/>
      <c r="DXM223" s="1"/>
      <c r="DXN223" s="1"/>
      <c r="DXO223" s="1"/>
      <c r="DXP223" s="1"/>
      <c r="DXQ223" s="1"/>
      <c r="DXR223" s="1"/>
      <c r="DXS223" s="1"/>
      <c r="DXT223" s="1"/>
      <c r="DXU223" s="1"/>
      <c r="DXV223" s="1"/>
      <c r="DXW223" s="1"/>
      <c r="DXX223" s="1"/>
      <c r="DXY223" s="1"/>
      <c r="DXZ223" s="1"/>
      <c r="DYA223" s="1"/>
      <c r="DYB223" s="1"/>
      <c r="DYC223" s="1"/>
      <c r="DYD223" s="1"/>
      <c r="DYE223" s="1"/>
      <c r="DYF223" s="1"/>
      <c r="DYG223" s="1"/>
      <c r="DYH223" s="1"/>
      <c r="DYI223" s="1"/>
      <c r="DYJ223" s="1"/>
      <c r="DYK223" s="1"/>
      <c r="DYL223" s="1"/>
      <c r="DYM223" s="1"/>
      <c r="DYN223" s="1"/>
      <c r="DYO223" s="1"/>
      <c r="DYP223" s="1"/>
      <c r="DYQ223" s="1"/>
      <c r="DYR223" s="1"/>
      <c r="DYS223" s="1"/>
      <c r="DYT223" s="1"/>
      <c r="DYU223" s="1"/>
      <c r="DYV223" s="1"/>
      <c r="DYW223" s="1"/>
      <c r="DYX223" s="1"/>
      <c r="DYY223" s="1"/>
      <c r="DYZ223" s="1"/>
      <c r="DZA223" s="1"/>
      <c r="DZB223" s="1"/>
      <c r="DZC223" s="1"/>
      <c r="DZD223" s="1"/>
      <c r="DZE223" s="1"/>
      <c r="DZF223" s="1"/>
      <c r="DZG223" s="1"/>
      <c r="DZH223" s="1"/>
      <c r="DZI223" s="1"/>
      <c r="DZJ223" s="1"/>
      <c r="DZK223" s="1"/>
      <c r="DZL223" s="1"/>
      <c r="DZM223" s="1"/>
      <c r="DZN223" s="1"/>
      <c r="DZO223" s="1"/>
      <c r="DZP223" s="1"/>
      <c r="DZQ223" s="1"/>
      <c r="DZR223" s="1"/>
      <c r="DZS223" s="1"/>
      <c r="DZT223" s="1"/>
      <c r="DZU223" s="1"/>
      <c r="DZV223" s="1"/>
      <c r="DZW223" s="1"/>
      <c r="DZX223" s="1"/>
      <c r="DZY223" s="1"/>
      <c r="DZZ223" s="1"/>
      <c r="EAA223" s="1"/>
      <c r="EAB223" s="1"/>
      <c r="EAC223" s="1"/>
      <c r="EAD223" s="1"/>
      <c r="EAE223" s="1"/>
      <c r="EAF223" s="1"/>
      <c r="EAG223" s="1"/>
      <c r="EAH223" s="1"/>
      <c r="EAI223" s="1"/>
      <c r="EAJ223" s="1"/>
      <c r="EAK223" s="1"/>
      <c r="EAL223" s="1"/>
      <c r="EAM223" s="1"/>
      <c r="EAN223" s="1"/>
      <c r="EAO223" s="1"/>
      <c r="EAP223" s="1"/>
      <c r="EAQ223" s="1"/>
      <c r="EAR223" s="1"/>
      <c r="EAS223" s="1"/>
      <c r="EAT223" s="1"/>
      <c r="EAU223" s="1"/>
      <c r="EAV223" s="1"/>
      <c r="EAW223" s="1"/>
      <c r="EAX223" s="1"/>
      <c r="EAY223" s="1"/>
      <c r="EAZ223" s="1"/>
      <c r="EBA223" s="1"/>
      <c r="EBB223" s="1"/>
      <c r="EBC223" s="1"/>
      <c r="EBD223" s="1"/>
      <c r="EBE223" s="1"/>
      <c r="EBF223" s="1"/>
      <c r="EBG223" s="1"/>
      <c r="EBH223" s="1"/>
      <c r="EBI223" s="1"/>
      <c r="EBJ223" s="1"/>
      <c r="EBK223" s="1"/>
      <c r="EBL223" s="1"/>
      <c r="EBM223" s="1"/>
      <c r="EBN223" s="1"/>
      <c r="EBO223" s="1"/>
      <c r="EBP223" s="1"/>
      <c r="EBQ223" s="1"/>
      <c r="EBR223" s="1"/>
      <c r="EBS223" s="1"/>
      <c r="EBT223" s="1"/>
      <c r="EBU223" s="1"/>
      <c r="EBV223" s="1"/>
      <c r="EBW223" s="1"/>
      <c r="EBX223" s="1"/>
      <c r="EBY223" s="1"/>
      <c r="EBZ223" s="1"/>
      <c r="ECA223" s="1"/>
      <c r="ECB223" s="1"/>
      <c r="ECC223" s="1"/>
      <c r="ECD223" s="1"/>
      <c r="ECE223" s="1"/>
      <c r="ECF223" s="1"/>
      <c r="ECG223" s="1"/>
      <c r="ECH223" s="1"/>
      <c r="ECI223" s="1"/>
      <c r="ECJ223" s="1"/>
      <c r="ECK223" s="1"/>
      <c r="ECL223" s="1"/>
      <c r="ECM223" s="1"/>
      <c r="ECN223" s="1"/>
      <c r="ECO223" s="1"/>
      <c r="ECP223" s="1"/>
      <c r="ECQ223" s="1"/>
      <c r="ECR223" s="1"/>
      <c r="ECS223" s="1"/>
      <c r="ECT223" s="1"/>
      <c r="ECU223" s="1"/>
      <c r="ECV223" s="1"/>
      <c r="ECW223" s="1"/>
      <c r="ECX223" s="1"/>
      <c r="ECY223" s="1"/>
      <c r="ECZ223" s="1"/>
      <c r="EDA223" s="1"/>
      <c r="EDB223" s="1"/>
      <c r="EDC223" s="1"/>
      <c r="EDD223" s="1"/>
      <c r="EDE223" s="1"/>
      <c r="EDF223" s="1"/>
      <c r="EDG223" s="1"/>
      <c r="EDH223" s="1"/>
      <c r="EDI223" s="1"/>
      <c r="EDJ223" s="1"/>
      <c r="EDK223" s="1"/>
      <c r="EDL223" s="1"/>
      <c r="EDM223" s="1"/>
      <c r="EDN223" s="1"/>
      <c r="EDO223" s="1"/>
      <c r="EDP223" s="1"/>
      <c r="EDQ223" s="1"/>
      <c r="EDR223" s="1"/>
      <c r="EDS223" s="1"/>
      <c r="EDT223" s="1"/>
      <c r="EDU223" s="1"/>
      <c r="EDV223" s="1"/>
      <c r="EDW223" s="1"/>
      <c r="EDX223" s="1"/>
      <c r="EDY223" s="1"/>
      <c r="EDZ223" s="1"/>
      <c r="EEA223" s="1"/>
      <c r="EEB223" s="1"/>
      <c r="EEC223" s="1"/>
      <c r="EED223" s="1"/>
      <c r="EEE223" s="1"/>
      <c r="EEF223" s="1"/>
      <c r="EEG223" s="1"/>
      <c r="EEH223" s="1"/>
      <c r="EEI223" s="1"/>
      <c r="EEJ223" s="1"/>
      <c r="EEK223" s="1"/>
      <c r="EEL223" s="1"/>
      <c r="EEM223" s="1"/>
      <c r="EEN223" s="1"/>
      <c r="EEO223" s="1"/>
      <c r="EEP223" s="1"/>
      <c r="EEQ223" s="1"/>
      <c r="EER223" s="1"/>
      <c r="EES223" s="1"/>
      <c r="EET223" s="1"/>
      <c r="EEU223" s="1"/>
      <c r="EEV223" s="1"/>
      <c r="EEW223" s="1"/>
      <c r="EEX223" s="1"/>
      <c r="EEY223" s="1"/>
      <c r="EEZ223" s="1"/>
      <c r="EFA223" s="1"/>
      <c r="EFB223" s="1"/>
      <c r="EFC223" s="1"/>
      <c r="EFD223" s="1"/>
      <c r="EFE223" s="1"/>
      <c r="EFF223" s="1"/>
      <c r="EFG223" s="1"/>
      <c r="EFH223" s="1"/>
      <c r="EFI223" s="1"/>
      <c r="EFJ223" s="1"/>
      <c r="EFK223" s="1"/>
      <c r="EFL223" s="1"/>
      <c r="EFM223" s="1"/>
      <c r="EFN223" s="1"/>
      <c r="EFO223" s="1"/>
      <c r="EFP223" s="1"/>
      <c r="EFQ223" s="1"/>
      <c r="EFR223" s="1"/>
      <c r="EFS223" s="1"/>
      <c r="EFT223" s="1"/>
      <c r="EFU223" s="1"/>
      <c r="EFV223" s="1"/>
      <c r="EFW223" s="1"/>
      <c r="EFX223" s="1"/>
      <c r="EFY223" s="1"/>
      <c r="EFZ223" s="1"/>
      <c r="EGA223" s="1"/>
      <c r="EGB223" s="1"/>
      <c r="EGC223" s="1"/>
      <c r="EGD223" s="1"/>
      <c r="EGE223" s="1"/>
      <c r="EGF223" s="1"/>
      <c r="EGG223" s="1"/>
      <c r="EGH223" s="1"/>
      <c r="EGI223" s="1"/>
      <c r="EGJ223" s="1"/>
      <c r="EGK223" s="1"/>
      <c r="EGL223" s="1"/>
      <c r="EGM223" s="1"/>
      <c r="EGN223" s="1"/>
      <c r="EGO223" s="1"/>
      <c r="EGP223" s="1"/>
      <c r="EGQ223" s="1"/>
      <c r="EGR223" s="1"/>
      <c r="EGS223" s="1"/>
      <c r="EGT223" s="1"/>
      <c r="EGU223" s="1"/>
      <c r="EGV223" s="1"/>
      <c r="EGW223" s="1"/>
      <c r="EGX223" s="1"/>
      <c r="EGY223" s="1"/>
      <c r="EGZ223" s="1"/>
      <c r="EHA223" s="1"/>
      <c r="EHB223" s="1"/>
      <c r="EHC223" s="1"/>
      <c r="EHD223" s="1"/>
      <c r="EHE223" s="1"/>
      <c r="EHF223" s="1"/>
      <c r="EHG223" s="1"/>
      <c r="EHH223" s="1"/>
      <c r="EHI223" s="1"/>
      <c r="EHJ223" s="1"/>
      <c r="EHK223" s="1"/>
      <c r="EHL223" s="1"/>
      <c r="EHM223" s="1"/>
      <c r="EHN223" s="1"/>
      <c r="EHO223" s="1"/>
      <c r="EHP223" s="1"/>
      <c r="EHQ223" s="1"/>
      <c r="EHR223" s="1"/>
      <c r="EHS223" s="1"/>
      <c r="EHT223" s="1"/>
      <c r="EHU223" s="1"/>
      <c r="EHV223" s="1"/>
      <c r="EHW223" s="1"/>
      <c r="EHX223" s="1"/>
      <c r="EHY223" s="1"/>
      <c r="EHZ223" s="1"/>
      <c r="EIA223" s="1"/>
      <c r="EIB223" s="1"/>
      <c r="EIC223" s="1"/>
      <c r="EID223" s="1"/>
      <c r="EIE223" s="1"/>
      <c r="EIF223" s="1"/>
      <c r="EIG223" s="1"/>
      <c r="EIH223" s="1"/>
      <c r="EII223" s="1"/>
      <c r="EIJ223" s="1"/>
      <c r="EIK223" s="1"/>
      <c r="EIL223" s="1"/>
      <c r="EIM223" s="1"/>
      <c r="EIN223" s="1"/>
      <c r="EIO223" s="1"/>
      <c r="EIP223" s="1"/>
      <c r="EIQ223" s="1"/>
      <c r="EIR223" s="1"/>
      <c r="EIS223" s="1"/>
      <c r="EIT223" s="1"/>
      <c r="EIU223" s="1"/>
      <c r="EIV223" s="1"/>
      <c r="EIW223" s="1"/>
      <c r="EIX223" s="1"/>
      <c r="EIY223" s="1"/>
      <c r="EIZ223" s="1"/>
      <c r="EJA223" s="1"/>
      <c r="EJB223" s="1"/>
      <c r="EJC223" s="1"/>
      <c r="EJD223" s="1"/>
      <c r="EJE223" s="1"/>
      <c r="EJF223" s="1"/>
      <c r="EJG223" s="1"/>
      <c r="EJH223" s="1"/>
      <c r="EJI223" s="1"/>
      <c r="EJJ223" s="1"/>
      <c r="EJK223" s="1"/>
      <c r="EJL223" s="1"/>
      <c r="EJM223" s="1"/>
      <c r="EJN223" s="1"/>
      <c r="EJO223" s="1"/>
      <c r="EJP223" s="1"/>
      <c r="EJQ223" s="1"/>
      <c r="EJR223" s="1"/>
      <c r="EJS223" s="1"/>
      <c r="EJT223" s="1"/>
      <c r="EJU223" s="1"/>
      <c r="EJV223" s="1"/>
      <c r="EJW223" s="1"/>
      <c r="EJX223" s="1"/>
      <c r="EJY223" s="1"/>
      <c r="EJZ223" s="1"/>
      <c r="EKA223" s="1"/>
      <c r="EKB223" s="1"/>
      <c r="EKC223" s="1"/>
      <c r="EKD223" s="1"/>
      <c r="EKE223" s="1"/>
      <c r="EKF223" s="1"/>
      <c r="EKG223" s="1"/>
      <c r="EKH223" s="1"/>
      <c r="EKI223" s="1"/>
      <c r="EKJ223" s="1"/>
      <c r="EKK223" s="1"/>
      <c r="EKL223" s="1"/>
      <c r="EKM223" s="1"/>
      <c r="EKN223" s="1"/>
      <c r="EKO223" s="1"/>
      <c r="EKP223" s="1"/>
      <c r="EKQ223" s="1"/>
      <c r="EKR223" s="1"/>
      <c r="EKS223" s="1"/>
      <c r="EKT223" s="1"/>
      <c r="EKU223" s="1"/>
      <c r="EKV223" s="1"/>
      <c r="EKW223" s="1"/>
      <c r="EKX223" s="1"/>
      <c r="EKY223" s="1"/>
      <c r="EKZ223" s="1"/>
      <c r="ELA223" s="1"/>
      <c r="ELB223" s="1"/>
      <c r="ELC223" s="1"/>
      <c r="ELD223" s="1"/>
      <c r="ELE223" s="1"/>
      <c r="ELF223" s="1"/>
      <c r="ELG223" s="1"/>
      <c r="ELH223" s="1"/>
      <c r="ELI223" s="1"/>
      <c r="ELJ223" s="1"/>
      <c r="ELK223" s="1"/>
      <c r="ELL223" s="1"/>
      <c r="ELM223" s="1"/>
      <c r="ELN223" s="1"/>
      <c r="ELO223" s="1"/>
      <c r="ELP223" s="1"/>
      <c r="ELQ223" s="1"/>
      <c r="ELR223" s="1"/>
      <c r="ELS223" s="1"/>
      <c r="ELT223" s="1"/>
      <c r="ELU223" s="1"/>
      <c r="ELV223" s="1"/>
      <c r="ELW223" s="1"/>
      <c r="ELX223" s="1"/>
      <c r="ELY223" s="1"/>
      <c r="ELZ223" s="1"/>
      <c r="EMA223" s="1"/>
      <c r="EMB223" s="1"/>
      <c r="EMC223" s="1"/>
      <c r="EMD223" s="1"/>
      <c r="EME223" s="1"/>
      <c r="EMF223" s="1"/>
      <c r="EMG223" s="1"/>
      <c r="EMH223" s="1"/>
      <c r="EMI223" s="1"/>
      <c r="EMJ223" s="1"/>
      <c r="EMK223" s="1"/>
      <c r="EML223" s="1"/>
      <c r="EMM223" s="1"/>
      <c r="EMN223" s="1"/>
      <c r="EMO223" s="1"/>
      <c r="EMP223" s="1"/>
      <c r="EMQ223" s="1"/>
      <c r="EMR223" s="1"/>
      <c r="EMS223" s="1"/>
      <c r="EMT223" s="1"/>
      <c r="EMU223" s="1"/>
      <c r="EMV223" s="1"/>
      <c r="EMW223" s="1"/>
      <c r="EMX223" s="1"/>
      <c r="EMY223" s="1"/>
      <c r="EMZ223" s="1"/>
      <c r="ENA223" s="1"/>
      <c r="ENB223" s="1"/>
      <c r="ENC223" s="1"/>
      <c r="END223" s="1"/>
      <c r="ENE223" s="1"/>
      <c r="ENF223" s="1"/>
      <c r="ENG223" s="1"/>
      <c r="ENH223" s="1"/>
      <c r="ENI223" s="1"/>
      <c r="ENJ223" s="1"/>
      <c r="ENK223" s="1"/>
      <c r="ENL223" s="1"/>
      <c r="ENM223" s="1"/>
      <c r="ENN223" s="1"/>
      <c r="ENO223" s="1"/>
      <c r="ENP223" s="1"/>
      <c r="ENQ223" s="1"/>
      <c r="ENR223" s="1"/>
      <c r="ENS223" s="1"/>
      <c r="ENT223" s="1"/>
      <c r="ENU223" s="1"/>
      <c r="ENV223" s="1"/>
      <c r="ENW223" s="1"/>
      <c r="ENX223" s="1"/>
      <c r="ENY223" s="1"/>
      <c r="ENZ223" s="1"/>
      <c r="EOA223" s="1"/>
      <c r="EOB223" s="1"/>
      <c r="EOC223" s="1"/>
      <c r="EOD223" s="1"/>
      <c r="EOE223" s="1"/>
      <c r="EOF223" s="1"/>
      <c r="EOG223" s="1"/>
      <c r="EOH223" s="1"/>
      <c r="EOI223" s="1"/>
      <c r="EOJ223" s="1"/>
      <c r="EOK223" s="1"/>
      <c r="EOL223" s="1"/>
      <c r="EOM223" s="1"/>
      <c r="EON223" s="1"/>
      <c r="EOO223" s="1"/>
      <c r="EOP223" s="1"/>
      <c r="EOQ223" s="1"/>
      <c r="EOR223" s="1"/>
      <c r="EOS223" s="1"/>
      <c r="EOT223" s="1"/>
      <c r="EOU223" s="1"/>
      <c r="EOV223" s="1"/>
      <c r="EOW223" s="1"/>
      <c r="EOX223" s="1"/>
      <c r="EOY223" s="1"/>
      <c r="EOZ223" s="1"/>
      <c r="EPA223" s="1"/>
      <c r="EPB223" s="1"/>
      <c r="EPC223" s="1"/>
      <c r="EPD223" s="1"/>
      <c r="EPE223" s="1"/>
      <c r="EPF223" s="1"/>
      <c r="EPG223" s="1"/>
      <c r="EPH223" s="1"/>
      <c r="EPI223" s="1"/>
      <c r="EPJ223" s="1"/>
      <c r="EPK223" s="1"/>
      <c r="EPL223" s="1"/>
      <c r="EPM223" s="1"/>
      <c r="EPN223" s="1"/>
      <c r="EPO223" s="1"/>
      <c r="EPP223" s="1"/>
      <c r="EPQ223" s="1"/>
      <c r="EPR223" s="1"/>
      <c r="EPS223" s="1"/>
      <c r="EPT223" s="1"/>
      <c r="EPU223" s="1"/>
      <c r="EPV223" s="1"/>
      <c r="EPW223" s="1"/>
      <c r="EPX223" s="1"/>
      <c r="EPY223" s="1"/>
      <c r="EPZ223" s="1"/>
      <c r="EQA223" s="1"/>
      <c r="EQB223" s="1"/>
      <c r="EQC223" s="1"/>
      <c r="EQD223" s="1"/>
      <c r="EQE223" s="1"/>
      <c r="EQF223" s="1"/>
      <c r="EQG223" s="1"/>
      <c r="EQH223" s="1"/>
      <c r="EQI223" s="1"/>
      <c r="EQJ223" s="1"/>
      <c r="EQK223" s="1"/>
      <c r="EQL223" s="1"/>
      <c r="EQM223" s="1"/>
      <c r="EQN223" s="1"/>
      <c r="EQO223" s="1"/>
      <c r="EQP223" s="1"/>
      <c r="EQQ223" s="1"/>
      <c r="EQR223" s="1"/>
      <c r="EQS223" s="1"/>
      <c r="EQT223" s="1"/>
      <c r="EQU223" s="1"/>
      <c r="EQV223" s="1"/>
      <c r="EQW223" s="1"/>
      <c r="EQX223" s="1"/>
      <c r="EQY223" s="1"/>
      <c r="EQZ223" s="1"/>
      <c r="ERA223" s="1"/>
      <c r="ERB223" s="1"/>
      <c r="ERC223" s="1"/>
      <c r="ERD223" s="1"/>
      <c r="ERE223" s="1"/>
      <c r="ERF223" s="1"/>
      <c r="ERG223" s="1"/>
      <c r="ERH223" s="1"/>
      <c r="ERI223" s="1"/>
      <c r="ERJ223" s="1"/>
      <c r="ERK223" s="1"/>
      <c r="ERL223" s="1"/>
      <c r="ERM223" s="1"/>
      <c r="ERN223" s="1"/>
      <c r="ERO223" s="1"/>
      <c r="ERP223" s="1"/>
      <c r="ERQ223" s="1"/>
      <c r="ERR223" s="1"/>
      <c r="ERS223" s="1"/>
      <c r="ERT223" s="1"/>
      <c r="ERU223" s="1"/>
      <c r="ERV223" s="1"/>
      <c r="ERW223" s="1"/>
      <c r="ERX223" s="1"/>
      <c r="ERY223" s="1"/>
      <c r="ERZ223" s="1"/>
      <c r="ESA223" s="1"/>
      <c r="ESB223" s="1"/>
      <c r="ESC223" s="1"/>
      <c r="ESD223" s="1"/>
      <c r="ESE223" s="1"/>
      <c r="ESF223" s="1"/>
      <c r="ESG223" s="1"/>
      <c r="ESH223" s="1"/>
      <c r="ESI223" s="1"/>
      <c r="ESJ223" s="1"/>
      <c r="ESK223" s="1"/>
      <c r="ESL223" s="1"/>
      <c r="ESM223" s="1"/>
      <c r="ESN223" s="1"/>
      <c r="ESO223" s="1"/>
      <c r="ESP223" s="1"/>
      <c r="ESQ223" s="1"/>
      <c r="ESR223" s="1"/>
      <c r="ESS223" s="1"/>
      <c r="EST223" s="1"/>
      <c r="ESU223" s="1"/>
      <c r="ESV223" s="1"/>
      <c r="ESW223" s="1"/>
      <c r="ESX223" s="1"/>
      <c r="ESY223" s="1"/>
      <c r="ESZ223" s="1"/>
      <c r="ETA223" s="1"/>
      <c r="ETB223" s="1"/>
      <c r="ETC223" s="1"/>
      <c r="ETD223" s="1"/>
      <c r="ETE223" s="1"/>
      <c r="ETF223" s="1"/>
      <c r="ETG223" s="1"/>
      <c r="ETH223" s="1"/>
      <c r="ETI223" s="1"/>
      <c r="ETJ223" s="1"/>
      <c r="ETK223" s="1"/>
      <c r="ETL223" s="1"/>
      <c r="ETM223" s="1"/>
      <c r="ETN223" s="1"/>
      <c r="ETO223" s="1"/>
      <c r="ETP223" s="1"/>
      <c r="ETQ223" s="1"/>
      <c r="ETR223" s="1"/>
      <c r="ETS223" s="1"/>
      <c r="ETT223" s="1"/>
      <c r="ETU223" s="1"/>
      <c r="ETV223" s="1"/>
      <c r="ETW223" s="1"/>
      <c r="ETX223" s="1"/>
      <c r="ETY223" s="1"/>
      <c r="ETZ223" s="1"/>
      <c r="EUA223" s="1"/>
      <c r="EUB223" s="1"/>
      <c r="EUC223" s="1"/>
      <c r="EUD223" s="1"/>
      <c r="EUE223" s="1"/>
      <c r="EUF223" s="1"/>
      <c r="EUG223" s="1"/>
      <c r="EUH223" s="1"/>
      <c r="EUI223" s="1"/>
      <c r="EUJ223" s="1"/>
      <c r="EUK223" s="1"/>
      <c r="EUL223" s="1"/>
      <c r="EUM223" s="1"/>
      <c r="EUN223" s="1"/>
      <c r="EUO223" s="1"/>
      <c r="EUP223" s="1"/>
      <c r="EUQ223" s="1"/>
      <c r="EUR223" s="1"/>
      <c r="EUS223" s="1"/>
      <c r="EUT223" s="1"/>
      <c r="EUU223" s="1"/>
      <c r="EUV223" s="1"/>
      <c r="EUW223" s="1"/>
      <c r="EUX223" s="1"/>
      <c r="EUY223" s="1"/>
      <c r="EUZ223" s="1"/>
      <c r="EVA223" s="1"/>
      <c r="EVB223" s="1"/>
      <c r="EVC223" s="1"/>
      <c r="EVD223" s="1"/>
      <c r="EVE223" s="1"/>
      <c r="EVF223" s="1"/>
      <c r="EVG223" s="1"/>
      <c r="EVH223" s="1"/>
      <c r="EVI223" s="1"/>
      <c r="EVJ223" s="1"/>
      <c r="EVK223" s="1"/>
      <c r="EVL223" s="1"/>
      <c r="EVM223" s="1"/>
      <c r="EVN223" s="1"/>
      <c r="EVO223" s="1"/>
      <c r="EVP223" s="1"/>
      <c r="EVQ223" s="1"/>
      <c r="EVR223" s="1"/>
      <c r="EVS223" s="1"/>
      <c r="EVT223" s="1"/>
      <c r="EVU223" s="1"/>
      <c r="EVV223" s="1"/>
      <c r="EVW223" s="1"/>
      <c r="EVX223" s="1"/>
      <c r="EVY223" s="1"/>
      <c r="EVZ223" s="1"/>
      <c r="EWA223" s="1"/>
      <c r="EWB223" s="1"/>
      <c r="EWC223" s="1"/>
      <c r="EWD223" s="1"/>
      <c r="EWE223" s="1"/>
      <c r="EWF223" s="1"/>
      <c r="EWG223" s="1"/>
      <c r="EWH223" s="1"/>
      <c r="EWI223" s="1"/>
      <c r="EWJ223" s="1"/>
      <c r="EWK223" s="1"/>
      <c r="EWL223" s="1"/>
      <c r="EWM223" s="1"/>
      <c r="EWN223" s="1"/>
      <c r="EWO223" s="1"/>
      <c r="EWP223" s="1"/>
      <c r="EWQ223" s="1"/>
      <c r="EWR223" s="1"/>
      <c r="EWS223" s="1"/>
      <c r="EWT223" s="1"/>
      <c r="EWU223" s="1"/>
      <c r="EWV223" s="1"/>
      <c r="EWW223" s="1"/>
      <c r="EWX223" s="1"/>
      <c r="EWY223" s="1"/>
      <c r="EWZ223" s="1"/>
      <c r="EXA223" s="1"/>
      <c r="EXB223" s="1"/>
      <c r="EXC223" s="1"/>
      <c r="EXD223" s="1"/>
      <c r="EXE223" s="1"/>
      <c r="EXF223" s="1"/>
      <c r="EXG223" s="1"/>
      <c r="EXH223" s="1"/>
      <c r="EXI223" s="1"/>
      <c r="EXJ223" s="1"/>
      <c r="EXK223" s="1"/>
      <c r="EXL223" s="1"/>
      <c r="EXM223" s="1"/>
      <c r="EXN223" s="1"/>
      <c r="EXO223" s="1"/>
      <c r="EXP223" s="1"/>
      <c r="EXQ223" s="1"/>
      <c r="EXR223" s="1"/>
      <c r="EXS223" s="1"/>
      <c r="EXT223" s="1"/>
      <c r="EXU223" s="1"/>
      <c r="EXV223" s="1"/>
      <c r="EXW223" s="1"/>
      <c r="EXX223" s="1"/>
      <c r="EXY223" s="1"/>
      <c r="EXZ223" s="1"/>
      <c r="EYA223" s="1"/>
      <c r="EYB223" s="1"/>
      <c r="EYC223" s="1"/>
      <c r="EYD223" s="1"/>
      <c r="EYE223" s="1"/>
      <c r="EYF223" s="1"/>
      <c r="EYG223" s="1"/>
      <c r="EYH223" s="1"/>
      <c r="EYI223" s="1"/>
      <c r="EYJ223" s="1"/>
      <c r="EYK223" s="1"/>
      <c r="EYL223" s="1"/>
      <c r="EYM223" s="1"/>
      <c r="EYN223" s="1"/>
      <c r="EYO223" s="1"/>
      <c r="EYP223" s="1"/>
      <c r="EYQ223" s="1"/>
      <c r="EYR223" s="1"/>
      <c r="EYS223" s="1"/>
      <c r="EYT223" s="1"/>
      <c r="EYU223" s="1"/>
      <c r="EYV223" s="1"/>
      <c r="EYW223" s="1"/>
      <c r="EYX223" s="1"/>
      <c r="EYY223" s="1"/>
      <c r="EYZ223" s="1"/>
      <c r="EZA223" s="1"/>
      <c r="EZB223" s="1"/>
      <c r="EZC223" s="1"/>
      <c r="EZD223" s="1"/>
      <c r="EZE223" s="1"/>
      <c r="EZF223" s="1"/>
      <c r="EZG223" s="1"/>
      <c r="EZH223" s="1"/>
      <c r="EZI223" s="1"/>
      <c r="EZJ223" s="1"/>
      <c r="EZK223" s="1"/>
      <c r="EZL223" s="1"/>
      <c r="EZM223" s="1"/>
      <c r="EZN223" s="1"/>
      <c r="EZO223" s="1"/>
      <c r="EZP223" s="1"/>
      <c r="EZQ223" s="1"/>
      <c r="EZR223" s="1"/>
      <c r="EZS223" s="1"/>
      <c r="EZT223" s="1"/>
      <c r="EZU223" s="1"/>
      <c r="EZV223" s="1"/>
      <c r="EZW223" s="1"/>
      <c r="EZX223" s="1"/>
      <c r="EZY223" s="1"/>
      <c r="EZZ223" s="1"/>
      <c r="FAA223" s="1"/>
      <c r="FAB223" s="1"/>
      <c r="FAC223" s="1"/>
      <c r="FAD223" s="1"/>
      <c r="FAE223" s="1"/>
      <c r="FAF223" s="1"/>
      <c r="FAG223" s="1"/>
      <c r="FAH223" s="1"/>
      <c r="FAI223" s="1"/>
      <c r="FAJ223" s="1"/>
      <c r="FAK223" s="1"/>
      <c r="FAL223" s="1"/>
      <c r="FAM223" s="1"/>
      <c r="FAN223" s="1"/>
      <c r="FAO223" s="1"/>
      <c r="FAP223" s="1"/>
      <c r="FAQ223" s="1"/>
      <c r="FAR223" s="1"/>
      <c r="FAS223" s="1"/>
      <c r="FAT223" s="1"/>
      <c r="FAU223" s="1"/>
      <c r="FAV223" s="1"/>
      <c r="FAW223" s="1"/>
      <c r="FAX223" s="1"/>
      <c r="FAY223" s="1"/>
      <c r="FAZ223" s="1"/>
      <c r="FBA223" s="1"/>
      <c r="FBB223" s="1"/>
      <c r="FBC223" s="1"/>
      <c r="FBD223" s="1"/>
      <c r="FBE223" s="1"/>
      <c r="FBF223" s="1"/>
      <c r="FBG223" s="1"/>
      <c r="FBH223" s="1"/>
      <c r="FBI223" s="1"/>
      <c r="FBJ223" s="1"/>
      <c r="FBK223" s="1"/>
      <c r="FBL223" s="1"/>
      <c r="FBM223" s="1"/>
      <c r="FBN223" s="1"/>
      <c r="FBO223" s="1"/>
      <c r="FBP223" s="1"/>
      <c r="FBQ223" s="1"/>
      <c r="FBR223" s="1"/>
      <c r="FBS223" s="1"/>
      <c r="FBT223" s="1"/>
      <c r="FBU223" s="1"/>
      <c r="FBV223" s="1"/>
      <c r="FBW223" s="1"/>
      <c r="FBX223" s="1"/>
      <c r="FBY223" s="1"/>
      <c r="FBZ223" s="1"/>
      <c r="FCA223" s="1"/>
      <c r="FCB223" s="1"/>
      <c r="FCC223" s="1"/>
      <c r="FCD223" s="1"/>
      <c r="FCE223" s="1"/>
      <c r="FCF223" s="1"/>
      <c r="FCG223" s="1"/>
      <c r="FCH223" s="1"/>
      <c r="FCI223" s="1"/>
      <c r="FCJ223" s="1"/>
      <c r="FCK223" s="1"/>
      <c r="FCL223" s="1"/>
      <c r="FCM223" s="1"/>
      <c r="FCN223" s="1"/>
      <c r="FCO223" s="1"/>
      <c r="FCP223" s="1"/>
      <c r="FCQ223" s="1"/>
      <c r="FCR223" s="1"/>
      <c r="FCS223" s="1"/>
      <c r="FCT223" s="1"/>
      <c r="FCU223" s="1"/>
      <c r="FCV223" s="1"/>
      <c r="FCW223" s="1"/>
      <c r="FCX223" s="1"/>
      <c r="FCY223" s="1"/>
      <c r="FCZ223" s="1"/>
      <c r="FDA223" s="1"/>
      <c r="FDB223" s="1"/>
      <c r="FDC223" s="1"/>
      <c r="FDD223" s="1"/>
      <c r="FDE223" s="1"/>
      <c r="FDF223" s="1"/>
      <c r="FDG223" s="1"/>
      <c r="FDH223" s="1"/>
      <c r="FDI223" s="1"/>
      <c r="FDJ223" s="1"/>
      <c r="FDK223" s="1"/>
      <c r="FDL223" s="1"/>
      <c r="FDM223" s="1"/>
      <c r="FDN223" s="1"/>
      <c r="FDO223" s="1"/>
      <c r="FDP223" s="1"/>
      <c r="FDQ223" s="1"/>
      <c r="FDR223" s="1"/>
      <c r="FDS223" s="1"/>
      <c r="FDT223" s="1"/>
      <c r="FDU223" s="1"/>
      <c r="FDV223" s="1"/>
      <c r="FDW223" s="1"/>
      <c r="FDX223" s="1"/>
      <c r="FDY223" s="1"/>
      <c r="FDZ223" s="1"/>
      <c r="FEA223" s="1"/>
      <c r="FEB223" s="1"/>
      <c r="FEC223" s="1"/>
      <c r="FED223" s="1"/>
      <c r="FEE223" s="1"/>
      <c r="FEF223" s="1"/>
      <c r="FEG223" s="1"/>
      <c r="FEH223" s="1"/>
      <c r="FEI223" s="1"/>
      <c r="FEJ223" s="1"/>
      <c r="FEK223" s="1"/>
      <c r="FEL223" s="1"/>
      <c r="FEM223" s="1"/>
      <c r="FEN223" s="1"/>
      <c r="FEO223" s="1"/>
      <c r="FEP223" s="1"/>
      <c r="FEQ223" s="1"/>
      <c r="FER223" s="1"/>
      <c r="FES223" s="1"/>
      <c r="FET223" s="1"/>
      <c r="FEU223" s="1"/>
      <c r="FEV223" s="1"/>
      <c r="FEW223" s="1"/>
      <c r="FEX223" s="1"/>
      <c r="FEY223" s="1"/>
      <c r="FEZ223" s="1"/>
      <c r="FFA223" s="1"/>
      <c r="FFB223" s="1"/>
      <c r="FFC223" s="1"/>
      <c r="FFD223" s="1"/>
      <c r="FFE223" s="1"/>
      <c r="FFF223" s="1"/>
      <c r="FFG223" s="1"/>
      <c r="FFH223" s="1"/>
      <c r="FFI223" s="1"/>
      <c r="FFJ223" s="1"/>
      <c r="FFK223" s="1"/>
      <c r="FFL223" s="1"/>
      <c r="FFM223" s="1"/>
      <c r="FFN223" s="1"/>
      <c r="FFO223" s="1"/>
      <c r="FFP223" s="1"/>
      <c r="FFQ223" s="1"/>
      <c r="FFR223" s="1"/>
      <c r="FFS223" s="1"/>
      <c r="FFT223" s="1"/>
      <c r="FFU223" s="1"/>
      <c r="FFV223" s="1"/>
      <c r="FFW223" s="1"/>
      <c r="FFX223" s="1"/>
      <c r="FFY223" s="1"/>
      <c r="FFZ223" s="1"/>
      <c r="FGA223" s="1"/>
      <c r="FGB223" s="1"/>
      <c r="FGC223" s="1"/>
      <c r="FGD223" s="1"/>
      <c r="FGE223" s="1"/>
      <c r="FGF223" s="1"/>
      <c r="FGG223" s="1"/>
      <c r="FGH223" s="1"/>
      <c r="FGI223" s="1"/>
      <c r="FGJ223" s="1"/>
      <c r="FGK223" s="1"/>
      <c r="FGL223" s="1"/>
      <c r="FGM223" s="1"/>
      <c r="FGN223" s="1"/>
      <c r="FGO223" s="1"/>
      <c r="FGP223" s="1"/>
      <c r="FGQ223" s="1"/>
      <c r="FGR223" s="1"/>
      <c r="FGS223" s="1"/>
      <c r="FGT223" s="1"/>
      <c r="FGU223" s="1"/>
      <c r="FGV223" s="1"/>
      <c r="FGW223" s="1"/>
      <c r="FGX223" s="1"/>
      <c r="FGY223" s="1"/>
      <c r="FGZ223" s="1"/>
      <c r="FHA223" s="1"/>
      <c r="FHB223" s="1"/>
      <c r="FHC223" s="1"/>
      <c r="FHD223" s="1"/>
      <c r="FHE223" s="1"/>
      <c r="FHF223" s="1"/>
      <c r="FHG223" s="1"/>
      <c r="FHH223" s="1"/>
      <c r="FHI223" s="1"/>
      <c r="FHJ223" s="1"/>
      <c r="FHK223" s="1"/>
      <c r="FHL223" s="1"/>
      <c r="FHM223" s="1"/>
      <c r="FHN223" s="1"/>
      <c r="FHO223" s="1"/>
      <c r="FHP223" s="1"/>
      <c r="FHQ223" s="1"/>
      <c r="FHR223" s="1"/>
      <c r="FHS223" s="1"/>
      <c r="FHT223" s="1"/>
      <c r="FHU223" s="1"/>
      <c r="FHV223" s="1"/>
      <c r="FHW223" s="1"/>
      <c r="FHX223" s="1"/>
      <c r="FHY223" s="1"/>
      <c r="FHZ223" s="1"/>
      <c r="FIA223" s="1"/>
      <c r="FIB223" s="1"/>
      <c r="FIC223" s="1"/>
      <c r="FID223" s="1"/>
      <c r="FIE223" s="1"/>
      <c r="FIF223" s="1"/>
      <c r="FIG223" s="1"/>
      <c r="FIH223" s="1"/>
      <c r="FII223" s="1"/>
      <c r="FIJ223" s="1"/>
      <c r="FIK223" s="1"/>
      <c r="FIL223" s="1"/>
      <c r="FIM223" s="1"/>
      <c r="FIN223" s="1"/>
      <c r="FIO223" s="1"/>
      <c r="FIP223" s="1"/>
      <c r="FIQ223" s="1"/>
      <c r="FIR223" s="1"/>
      <c r="FIS223" s="1"/>
      <c r="FIT223" s="1"/>
      <c r="FIU223" s="1"/>
      <c r="FIV223" s="1"/>
      <c r="FIW223" s="1"/>
      <c r="FIX223" s="1"/>
      <c r="FIY223" s="1"/>
      <c r="FIZ223" s="1"/>
      <c r="FJA223" s="1"/>
      <c r="FJB223" s="1"/>
      <c r="FJC223" s="1"/>
      <c r="FJD223" s="1"/>
      <c r="FJE223" s="1"/>
      <c r="FJF223" s="1"/>
      <c r="FJG223" s="1"/>
      <c r="FJH223" s="1"/>
      <c r="FJI223" s="1"/>
      <c r="FJJ223" s="1"/>
      <c r="FJK223" s="1"/>
      <c r="FJL223" s="1"/>
      <c r="FJM223" s="1"/>
      <c r="FJN223" s="1"/>
      <c r="FJO223" s="1"/>
      <c r="FJP223" s="1"/>
      <c r="FJQ223" s="1"/>
      <c r="FJR223" s="1"/>
      <c r="FJS223" s="1"/>
      <c r="FJT223" s="1"/>
      <c r="FJU223" s="1"/>
      <c r="FJV223" s="1"/>
      <c r="FJW223" s="1"/>
      <c r="FJX223" s="1"/>
      <c r="FJY223" s="1"/>
      <c r="FJZ223" s="1"/>
      <c r="FKA223" s="1"/>
      <c r="FKB223" s="1"/>
      <c r="FKC223" s="1"/>
      <c r="FKD223" s="1"/>
      <c r="FKE223" s="1"/>
      <c r="FKF223" s="1"/>
      <c r="FKG223" s="1"/>
      <c r="FKH223" s="1"/>
      <c r="FKI223" s="1"/>
      <c r="FKJ223" s="1"/>
      <c r="FKK223" s="1"/>
      <c r="FKL223" s="1"/>
      <c r="FKM223" s="1"/>
      <c r="FKN223" s="1"/>
      <c r="FKO223" s="1"/>
      <c r="FKP223" s="1"/>
      <c r="FKQ223" s="1"/>
      <c r="FKR223" s="1"/>
      <c r="FKS223" s="1"/>
      <c r="FKT223" s="1"/>
      <c r="FKU223" s="1"/>
      <c r="FKV223" s="1"/>
      <c r="FKW223" s="1"/>
      <c r="FKX223" s="1"/>
      <c r="FKY223" s="1"/>
      <c r="FKZ223" s="1"/>
      <c r="FLA223" s="1"/>
      <c r="FLB223" s="1"/>
      <c r="FLC223" s="1"/>
      <c r="FLD223" s="1"/>
      <c r="FLE223" s="1"/>
      <c r="FLF223" s="1"/>
      <c r="FLG223" s="1"/>
      <c r="FLH223" s="1"/>
      <c r="FLI223" s="1"/>
      <c r="FLJ223" s="1"/>
      <c r="FLK223" s="1"/>
      <c r="FLL223" s="1"/>
      <c r="FLM223" s="1"/>
      <c r="FLN223" s="1"/>
      <c r="FLO223" s="1"/>
      <c r="FLP223" s="1"/>
      <c r="FLQ223" s="1"/>
      <c r="FLR223" s="1"/>
      <c r="FLS223" s="1"/>
      <c r="FLT223" s="1"/>
      <c r="FLU223" s="1"/>
      <c r="FLV223" s="1"/>
      <c r="FLW223" s="1"/>
      <c r="FLX223" s="1"/>
      <c r="FLY223" s="1"/>
      <c r="FLZ223" s="1"/>
      <c r="FMA223" s="1"/>
      <c r="FMB223" s="1"/>
      <c r="FMC223" s="1"/>
      <c r="FMD223" s="1"/>
      <c r="FME223" s="1"/>
      <c r="FMF223" s="1"/>
      <c r="FMG223" s="1"/>
      <c r="FMH223" s="1"/>
      <c r="FMI223" s="1"/>
      <c r="FMJ223" s="1"/>
      <c r="FMK223" s="1"/>
      <c r="FML223" s="1"/>
      <c r="FMM223" s="1"/>
      <c r="FMN223" s="1"/>
      <c r="FMO223" s="1"/>
      <c r="FMP223" s="1"/>
      <c r="FMQ223" s="1"/>
      <c r="FMR223" s="1"/>
      <c r="FMS223" s="1"/>
      <c r="FMT223" s="1"/>
      <c r="FMU223" s="1"/>
      <c r="FMV223" s="1"/>
      <c r="FMW223" s="1"/>
      <c r="FMX223" s="1"/>
      <c r="FMY223" s="1"/>
      <c r="FMZ223" s="1"/>
      <c r="FNA223" s="1"/>
      <c r="FNB223" s="1"/>
      <c r="FNC223" s="1"/>
      <c r="FND223" s="1"/>
      <c r="FNE223" s="1"/>
      <c r="FNF223" s="1"/>
      <c r="FNG223" s="1"/>
      <c r="FNH223" s="1"/>
      <c r="FNI223" s="1"/>
      <c r="FNJ223" s="1"/>
      <c r="FNK223" s="1"/>
      <c r="FNL223" s="1"/>
      <c r="FNM223" s="1"/>
      <c r="FNN223" s="1"/>
      <c r="FNO223" s="1"/>
      <c r="FNP223" s="1"/>
      <c r="FNQ223" s="1"/>
      <c r="FNR223" s="1"/>
      <c r="FNS223" s="1"/>
      <c r="FNT223" s="1"/>
      <c r="FNU223" s="1"/>
      <c r="FNV223" s="1"/>
      <c r="FNW223" s="1"/>
      <c r="FNX223" s="1"/>
      <c r="FNY223" s="1"/>
      <c r="FNZ223" s="1"/>
      <c r="FOA223" s="1"/>
      <c r="FOB223" s="1"/>
      <c r="FOC223" s="1"/>
      <c r="FOD223" s="1"/>
      <c r="FOE223" s="1"/>
      <c r="FOF223" s="1"/>
      <c r="FOG223" s="1"/>
      <c r="FOH223" s="1"/>
      <c r="FOI223" s="1"/>
      <c r="FOJ223" s="1"/>
      <c r="FOK223" s="1"/>
      <c r="FOL223" s="1"/>
      <c r="FOM223" s="1"/>
      <c r="FON223" s="1"/>
      <c r="FOO223" s="1"/>
      <c r="FOP223" s="1"/>
      <c r="FOQ223" s="1"/>
      <c r="FOR223" s="1"/>
      <c r="FOS223" s="1"/>
      <c r="FOT223" s="1"/>
      <c r="FOU223" s="1"/>
      <c r="FOV223" s="1"/>
      <c r="FOW223" s="1"/>
      <c r="FOX223" s="1"/>
      <c r="FOY223" s="1"/>
      <c r="FOZ223" s="1"/>
      <c r="FPA223" s="1"/>
      <c r="FPB223" s="1"/>
      <c r="FPC223" s="1"/>
      <c r="FPD223" s="1"/>
      <c r="FPE223" s="1"/>
      <c r="FPF223" s="1"/>
      <c r="FPG223" s="1"/>
      <c r="FPH223" s="1"/>
      <c r="FPI223" s="1"/>
      <c r="FPJ223" s="1"/>
      <c r="FPK223" s="1"/>
      <c r="FPL223" s="1"/>
      <c r="FPM223" s="1"/>
      <c r="FPN223" s="1"/>
      <c r="FPO223" s="1"/>
      <c r="FPP223" s="1"/>
      <c r="FPQ223" s="1"/>
      <c r="FPR223" s="1"/>
      <c r="FPS223" s="1"/>
      <c r="FPT223" s="1"/>
      <c r="FPU223" s="1"/>
      <c r="FPV223" s="1"/>
      <c r="FPW223" s="1"/>
      <c r="FPX223" s="1"/>
      <c r="FPY223" s="1"/>
      <c r="FPZ223" s="1"/>
      <c r="FQA223" s="1"/>
      <c r="FQB223" s="1"/>
      <c r="FQC223" s="1"/>
      <c r="FQD223" s="1"/>
      <c r="FQE223" s="1"/>
      <c r="FQF223" s="1"/>
      <c r="FQG223" s="1"/>
      <c r="FQH223" s="1"/>
      <c r="FQI223" s="1"/>
      <c r="FQJ223" s="1"/>
      <c r="FQK223" s="1"/>
      <c r="FQL223" s="1"/>
      <c r="FQM223" s="1"/>
      <c r="FQN223" s="1"/>
      <c r="FQO223" s="1"/>
      <c r="FQP223" s="1"/>
      <c r="FQQ223" s="1"/>
      <c r="FQR223" s="1"/>
      <c r="FQS223" s="1"/>
      <c r="FQT223" s="1"/>
      <c r="FQU223" s="1"/>
      <c r="FQV223" s="1"/>
      <c r="FQW223" s="1"/>
      <c r="FQX223" s="1"/>
      <c r="FQY223" s="1"/>
      <c r="FQZ223" s="1"/>
      <c r="FRA223" s="1"/>
      <c r="FRB223" s="1"/>
      <c r="FRC223" s="1"/>
      <c r="FRD223" s="1"/>
      <c r="FRE223" s="1"/>
      <c r="FRF223" s="1"/>
      <c r="FRG223" s="1"/>
      <c r="FRH223" s="1"/>
      <c r="FRI223" s="1"/>
      <c r="FRJ223" s="1"/>
      <c r="FRK223" s="1"/>
      <c r="FRL223" s="1"/>
      <c r="FRM223" s="1"/>
      <c r="FRN223" s="1"/>
      <c r="FRO223" s="1"/>
      <c r="FRP223" s="1"/>
      <c r="FRQ223" s="1"/>
      <c r="FRR223" s="1"/>
      <c r="FRS223" s="1"/>
      <c r="FRT223" s="1"/>
      <c r="FRU223" s="1"/>
      <c r="FRV223" s="1"/>
      <c r="FRW223" s="1"/>
      <c r="FRX223" s="1"/>
      <c r="FRY223" s="1"/>
      <c r="FRZ223" s="1"/>
      <c r="FSA223" s="1"/>
      <c r="FSB223" s="1"/>
      <c r="FSC223" s="1"/>
      <c r="FSD223" s="1"/>
      <c r="FSE223" s="1"/>
      <c r="FSF223" s="1"/>
      <c r="FSG223" s="1"/>
      <c r="FSH223" s="1"/>
      <c r="FSI223" s="1"/>
      <c r="FSJ223" s="1"/>
      <c r="FSK223" s="1"/>
      <c r="FSL223" s="1"/>
      <c r="FSM223" s="1"/>
      <c r="FSN223" s="1"/>
      <c r="FSO223" s="1"/>
      <c r="FSP223" s="1"/>
      <c r="FSQ223" s="1"/>
      <c r="FSR223" s="1"/>
      <c r="FSS223" s="1"/>
      <c r="FST223" s="1"/>
      <c r="FSU223" s="1"/>
      <c r="FSV223" s="1"/>
      <c r="FSW223" s="1"/>
      <c r="FSX223" s="1"/>
      <c r="FSY223" s="1"/>
      <c r="FSZ223" s="1"/>
      <c r="FTA223" s="1"/>
      <c r="FTB223" s="1"/>
      <c r="FTC223" s="1"/>
      <c r="FTD223" s="1"/>
      <c r="FTE223" s="1"/>
      <c r="FTF223" s="1"/>
      <c r="FTG223" s="1"/>
      <c r="FTH223" s="1"/>
      <c r="FTI223" s="1"/>
      <c r="FTJ223" s="1"/>
      <c r="FTK223" s="1"/>
      <c r="FTL223" s="1"/>
      <c r="FTM223" s="1"/>
      <c r="FTN223" s="1"/>
      <c r="FTO223" s="1"/>
      <c r="FTP223" s="1"/>
      <c r="FTQ223" s="1"/>
      <c r="FTR223" s="1"/>
      <c r="FTS223" s="1"/>
      <c r="FTT223" s="1"/>
      <c r="FTU223" s="1"/>
      <c r="FTV223" s="1"/>
      <c r="FTW223" s="1"/>
      <c r="FTX223" s="1"/>
      <c r="FTY223" s="1"/>
      <c r="FTZ223" s="1"/>
      <c r="FUA223" s="1"/>
      <c r="FUB223" s="1"/>
      <c r="FUC223" s="1"/>
      <c r="FUD223" s="1"/>
      <c r="FUE223" s="1"/>
      <c r="FUF223" s="1"/>
      <c r="FUG223" s="1"/>
      <c r="FUH223" s="1"/>
      <c r="FUI223" s="1"/>
      <c r="FUJ223" s="1"/>
      <c r="FUK223" s="1"/>
      <c r="FUL223" s="1"/>
      <c r="FUM223" s="1"/>
      <c r="FUN223" s="1"/>
      <c r="FUO223" s="1"/>
      <c r="FUP223" s="1"/>
      <c r="FUQ223" s="1"/>
      <c r="FUR223" s="1"/>
      <c r="FUS223" s="1"/>
      <c r="FUT223" s="1"/>
      <c r="FUU223" s="1"/>
      <c r="FUV223" s="1"/>
      <c r="FUW223" s="1"/>
      <c r="FUX223" s="1"/>
      <c r="FUY223" s="1"/>
      <c r="FUZ223" s="1"/>
      <c r="FVA223" s="1"/>
      <c r="FVB223" s="1"/>
      <c r="FVC223" s="1"/>
      <c r="FVD223" s="1"/>
      <c r="FVE223" s="1"/>
      <c r="FVF223" s="1"/>
      <c r="FVG223" s="1"/>
      <c r="FVH223" s="1"/>
      <c r="FVI223" s="1"/>
      <c r="FVJ223" s="1"/>
      <c r="FVK223" s="1"/>
      <c r="FVL223" s="1"/>
      <c r="FVM223" s="1"/>
      <c r="FVN223" s="1"/>
      <c r="FVO223" s="1"/>
      <c r="FVP223" s="1"/>
      <c r="FVQ223" s="1"/>
      <c r="FVR223" s="1"/>
      <c r="FVS223" s="1"/>
      <c r="FVT223" s="1"/>
      <c r="FVU223" s="1"/>
      <c r="FVV223" s="1"/>
      <c r="FVW223" s="1"/>
      <c r="FVX223" s="1"/>
      <c r="FVY223" s="1"/>
      <c r="FVZ223" s="1"/>
      <c r="FWA223" s="1"/>
      <c r="FWB223" s="1"/>
      <c r="FWC223" s="1"/>
      <c r="FWD223" s="1"/>
      <c r="FWE223" s="1"/>
      <c r="FWF223" s="1"/>
      <c r="FWG223" s="1"/>
      <c r="FWH223" s="1"/>
      <c r="FWI223" s="1"/>
      <c r="FWJ223" s="1"/>
      <c r="FWK223" s="1"/>
      <c r="FWL223" s="1"/>
      <c r="FWM223" s="1"/>
      <c r="FWN223" s="1"/>
      <c r="FWO223" s="1"/>
      <c r="FWP223" s="1"/>
      <c r="FWQ223" s="1"/>
      <c r="FWR223" s="1"/>
      <c r="FWS223" s="1"/>
      <c r="FWT223" s="1"/>
      <c r="FWU223" s="1"/>
      <c r="FWV223" s="1"/>
      <c r="FWW223" s="1"/>
      <c r="FWX223" s="1"/>
      <c r="FWY223" s="1"/>
      <c r="FWZ223" s="1"/>
      <c r="FXA223" s="1"/>
      <c r="FXB223" s="1"/>
      <c r="FXC223" s="1"/>
      <c r="FXD223" s="1"/>
      <c r="FXE223" s="1"/>
      <c r="FXF223" s="1"/>
      <c r="FXG223" s="1"/>
      <c r="FXH223" s="1"/>
      <c r="FXI223" s="1"/>
      <c r="FXJ223" s="1"/>
      <c r="FXK223" s="1"/>
      <c r="FXL223" s="1"/>
      <c r="FXM223" s="1"/>
      <c r="FXN223" s="1"/>
      <c r="FXO223" s="1"/>
      <c r="FXP223" s="1"/>
      <c r="FXQ223" s="1"/>
      <c r="FXR223" s="1"/>
      <c r="FXS223" s="1"/>
      <c r="FXT223" s="1"/>
      <c r="FXU223" s="1"/>
      <c r="FXV223" s="1"/>
      <c r="FXW223" s="1"/>
      <c r="FXX223" s="1"/>
      <c r="FXY223" s="1"/>
      <c r="FXZ223" s="1"/>
      <c r="FYA223" s="1"/>
      <c r="FYB223" s="1"/>
      <c r="FYC223" s="1"/>
      <c r="FYD223" s="1"/>
      <c r="FYE223" s="1"/>
      <c r="FYF223" s="1"/>
      <c r="FYG223" s="1"/>
      <c r="FYH223" s="1"/>
      <c r="FYI223" s="1"/>
      <c r="FYJ223" s="1"/>
      <c r="FYK223" s="1"/>
      <c r="FYL223" s="1"/>
      <c r="FYM223" s="1"/>
      <c r="FYN223" s="1"/>
      <c r="FYO223" s="1"/>
      <c r="FYP223" s="1"/>
      <c r="FYQ223" s="1"/>
      <c r="FYR223" s="1"/>
      <c r="FYS223" s="1"/>
      <c r="FYT223" s="1"/>
      <c r="FYU223" s="1"/>
      <c r="FYV223" s="1"/>
      <c r="FYW223" s="1"/>
      <c r="FYX223" s="1"/>
      <c r="FYY223" s="1"/>
      <c r="FYZ223" s="1"/>
      <c r="FZA223" s="1"/>
      <c r="FZB223" s="1"/>
      <c r="FZC223" s="1"/>
      <c r="FZD223" s="1"/>
      <c r="FZE223" s="1"/>
      <c r="FZF223" s="1"/>
      <c r="FZG223" s="1"/>
      <c r="FZH223" s="1"/>
      <c r="FZI223" s="1"/>
      <c r="FZJ223" s="1"/>
      <c r="FZK223" s="1"/>
      <c r="FZL223" s="1"/>
      <c r="FZM223" s="1"/>
      <c r="FZN223" s="1"/>
      <c r="FZO223" s="1"/>
      <c r="FZP223" s="1"/>
      <c r="FZQ223" s="1"/>
      <c r="FZR223" s="1"/>
      <c r="FZS223" s="1"/>
      <c r="FZT223" s="1"/>
      <c r="FZU223" s="1"/>
      <c r="FZV223" s="1"/>
      <c r="FZW223" s="1"/>
      <c r="FZX223" s="1"/>
      <c r="FZY223" s="1"/>
      <c r="FZZ223" s="1"/>
      <c r="GAA223" s="1"/>
      <c r="GAB223" s="1"/>
      <c r="GAC223" s="1"/>
      <c r="GAD223" s="1"/>
      <c r="GAE223" s="1"/>
      <c r="GAF223" s="1"/>
      <c r="GAG223" s="1"/>
      <c r="GAH223" s="1"/>
      <c r="GAI223" s="1"/>
      <c r="GAJ223" s="1"/>
      <c r="GAK223" s="1"/>
      <c r="GAL223" s="1"/>
      <c r="GAM223" s="1"/>
      <c r="GAN223" s="1"/>
      <c r="GAO223" s="1"/>
      <c r="GAP223" s="1"/>
      <c r="GAQ223" s="1"/>
      <c r="GAR223" s="1"/>
      <c r="GAS223" s="1"/>
      <c r="GAT223" s="1"/>
      <c r="GAU223" s="1"/>
      <c r="GAV223" s="1"/>
      <c r="GAW223" s="1"/>
      <c r="GAX223" s="1"/>
      <c r="GAY223" s="1"/>
      <c r="GAZ223" s="1"/>
      <c r="GBA223" s="1"/>
      <c r="GBB223" s="1"/>
      <c r="GBC223" s="1"/>
      <c r="GBD223" s="1"/>
      <c r="GBE223" s="1"/>
      <c r="GBF223" s="1"/>
      <c r="GBG223" s="1"/>
      <c r="GBH223" s="1"/>
      <c r="GBI223" s="1"/>
      <c r="GBJ223" s="1"/>
      <c r="GBK223" s="1"/>
      <c r="GBL223" s="1"/>
      <c r="GBM223" s="1"/>
      <c r="GBN223" s="1"/>
      <c r="GBO223" s="1"/>
      <c r="GBP223" s="1"/>
      <c r="GBQ223" s="1"/>
      <c r="GBR223" s="1"/>
      <c r="GBS223" s="1"/>
      <c r="GBT223" s="1"/>
      <c r="GBU223" s="1"/>
      <c r="GBV223" s="1"/>
      <c r="GBW223" s="1"/>
      <c r="GBX223" s="1"/>
      <c r="GBY223" s="1"/>
      <c r="GBZ223" s="1"/>
      <c r="GCA223" s="1"/>
      <c r="GCB223" s="1"/>
      <c r="GCC223" s="1"/>
      <c r="GCD223" s="1"/>
      <c r="GCE223" s="1"/>
      <c r="GCF223" s="1"/>
      <c r="GCG223" s="1"/>
      <c r="GCH223" s="1"/>
      <c r="GCI223" s="1"/>
      <c r="GCJ223" s="1"/>
      <c r="GCK223" s="1"/>
      <c r="GCL223" s="1"/>
      <c r="GCM223" s="1"/>
      <c r="GCN223" s="1"/>
      <c r="GCO223" s="1"/>
      <c r="GCP223" s="1"/>
      <c r="GCQ223" s="1"/>
      <c r="GCR223" s="1"/>
      <c r="GCS223" s="1"/>
      <c r="GCT223" s="1"/>
      <c r="GCU223" s="1"/>
      <c r="GCV223" s="1"/>
      <c r="GCW223" s="1"/>
      <c r="GCX223" s="1"/>
      <c r="GCY223" s="1"/>
      <c r="GCZ223" s="1"/>
      <c r="GDA223" s="1"/>
      <c r="GDB223" s="1"/>
      <c r="GDC223" s="1"/>
      <c r="GDD223" s="1"/>
      <c r="GDE223" s="1"/>
      <c r="GDF223" s="1"/>
      <c r="GDG223" s="1"/>
      <c r="GDH223" s="1"/>
      <c r="GDI223" s="1"/>
      <c r="GDJ223" s="1"/>
      <c r="GDK223" s="1"/>
      <c r="GDL223" s="1"/>
      <c r="GDM223" s="1"/>
      <c r="GDN223" s="1"/>
      <c r="GDO223" s="1"/>
      <c r="GDP223" s="1"/>
      <c r="GDQ223" s="1"/>
      <c r="GDR223" s="1"/>
      <c r="GDS223" s="1"/>
      <c r="GDT223" s="1"/>
      <c r="GDU223" s="1"/>
      <c r="GDV223" s="1"/>
      <c r="GDW223" s="1"/>
      <c r="GDX223" s="1"/>
      <c r="GDY223" s="1"/>
      <c r="GDZ223" s="1"/>
      <c r="GEA223" s="1"/>
      <c r="GEB223" s="1"/>
      <c r="GEC223" s="1"/>
      <c r="GED223" s="1"/>
      <c r="GEE223" s="1"/>
      <c r="GEF223" s="1"/>
      <c r="GEG223" s="1"/>
      <c r="GEH223" s="1"/>
      <c r="GEI223" s="1"/>
      <c r="GEJ223" s="1"/>
      <c r="GEK223" s="1"/>
      <c r="GEL223" s="1"/>
      <c r="GEM223" s="1"/>
      <c r="GEN223" s="1"/>
      <c r="GEO223" s="1"/>
      <c r="GEP223" s="1"/>
      <c r="GEQ223" s="1"/>
      <c r="GER223" s="1"/>
      <c r="GES223" s="1"/>
      <c r="GET223" s="1"/>
      <c r="GEU223" s="1"/>
      <c r="GEV223" s="1"/>
      <c r="GEW223" s="1"/>
      <c r="GEX223" s="1"/>
      <c r="GEY223" s="1"/>
      <c r="GEZ223" s="1"/>
      <c r="GFA223" s="1"/>
      <c r="GFB223" s="1"/>
      <c r="GFC223" s="1"/>
      <c r="GFD223" s="1"/>
      <c r="GFE223" s="1"/>
      <c r="GFF223" s="1"/>
      <c r="GFG223" s="1"/>
      <c r="GFH223" s="1"/>
      <c r="GFI223" s="1"/>
      <c r="GFJ223" s="1"/>
      <c r="GFK223" s="1"/>
      <c r="GFL223" s="1"/>
      <c r="GFM223" s="1"/>
      <c r="GFN223" s="1"/>
      <c r="GFO223" s="1"/>
      <c r="GFP223" s="1"/>
      <c r="GFQ223" s="1"/>
      <c r="GFR223" s="1"/>
      <c r="GFS223" s="1"/>
      <c r="GFT223" s="1"/>
      <c r="GFU223" s="1"/>
      <c r="GFV223" s="1"/>
      <c r="GFW223" s="1"/>
      <c r="GFX223" s="1"/>
      <c r="GFY223" s="1"/>
      <c r="GFZ223" s="1"/>
      <c r="GGA223" s="1"/>
      <c r="GGB223" s="1"/>
      <c r="GGC223" s="1"/>
      <c r="GGD223" s="1"/>
      <c r="GGE223" s="1"/>
      <c r="GGF223" s="1"/>
      <c r="GGG223" s="1"/>
      <c r="GGH223" s="1"/>
      <c r="GGI223" s="1"/>
      <c r="GGJ223" s="1"/>
      <c r="GGK223" s="1"/>
      <c r="GGL223" s="1"/>
      <c r="GGM223" s="1"/>
      <c r="GGN223" s="1"/>
      <c r="GGO223" s="1"/>
      <c r="GGP223" s="1"/>
      <c r="GGQ223" s="1"/>
      <c r="GGR223" s="1"/>
      <c r="GGS223" s="1"/>
      <c r="GGT223" s="1"/>
      <c r="GGU223" s="1"/>
      <c r="GGV223" s="1"/>
      <c r="GGW223" s="1"/>
      <c r="GGX223" s="1"/>
      <c r="GGY223" s="1"/>
      <c r="GGZ223" s="1"/>
      <c r="GHA223" s="1"/>
      <c r="GHB223" s="1"/>
      <c r="GHC223" s="1"/>
      <c r="GHD223" s="1"/>
      <c r="GHE223" s="1"/>
      <c r="GHF223" s="1"/>
      <c r="GHG223" s="1"/>
      <c r="GHH223" s="1"/>
      <c r="GHI223" s="1"/>
      <c r="GHJ223" s="1"/>
      <c r="GHK223" s="1"/>
      <c r="GHL223" s="1"/>
      <c r="GHM223" s="1"/>
      <c r="GHN223" s="1"/>
      <c r="GHO223" s="1"/>
      <c r="GHP223" s="1"/>
      <c r="GHQ223" s="1"/>
      <c r="GHR223" s="1"/>
      <c r="GHS223" s="1"/>
      <c r="GHT223" s="1"/>
      <c r="GHU223" s="1"/>
      <c r="GHV223" s="1"/>
      <c r="GHW223" s="1"/>
      <c r="GHX223" s="1"/>
      <c r="GHY223" s="1"/>
      <c r="GHZ223" s="1"/>
      <c r="GIA223" s="1"/>
      <c r="GIB223" s="1"/>
      <c r="GIC223" s="1"/>
      <c r="GID223" s="1"/>
      <c r="GIE223" s="1"/>
      <c r="GIF223" s="1"/>
      <c r="GIG223" s="1"/>
      <c r="GIH223" s="1"/>
      <c r="GII223" s="1"/>
      <c r="GIJ223" s="1"/>
      <c r="GIK223" s="1"/>
      <c r="GIL223" s="1"/>
      <c r="GIM223" s="1"/>
      <c r="GIN223" s="1"/>
      <c r="GIO223" s="1"/>
      <c r="GIP223" s="1"/>
      <c r="GIQ223" s="1"/>
      <c r="GIR223" s="1"/>
      <c r="GIS223" s="1"/>
      <c r="GIT223" s="1"/>
      <c r="GIU223" s="1"/>
      <c r="GIV223" s="1"/>
      <c r="GIW223" s="1"/>
      <c r="GIX223" s="1"/>
      <c r="GIY223" s="1"/>
      <c r="GIZ223" s="1"/>
      <c r="GJA223" s="1"/>
      <c r="GJB223" s="1"/>
      <c r="GJC223" s="1"/>
      <c r="GJD223" s="1"/>
      <c r="GJE223" s="1"/>
      <c r="GJF223" s="1"/>
      <c r="GJG223" s="1"/>
      <c r="GJH223" s="1"/>
      <c r="GJI223" s="1"/>
      <c r="GJJ223" s="1"/>
      <c r="GJK223" s="1"/>
      <c r="GJL223" s="1"/>
      <c r="GJM223" s="1"/>
      <c r="GJN223" s="1"/>
      <c r="GJO223" s="1"/>
      <c r="GJP223" s="1"/>
      <c r="GJQ223" s="1"/>
      <c r="GJR223" s="1"/>
      <c r="GJS223" s="1"/>
      <c r="GJT223" s="1"/>
      <c r="GJU223" s="1"/>
      <c r="GJV223" s="1"/>
      <c r="GJW223" s="1"/>
      <c r="GJX223" s="1"/>
      <c r="GJY223" s="1"/>
      <c r="GJZ223" s="1"/>
      <c r="GKA223" s="1"/>
      <c r="GKB223" s="1"/>
      <c r="GKC223" s="1"/>
      <c r="GKD223" s="1"/>
      <c r="GKE223" s="1"/>
      <c r="GKF223" s="1"/>
      <c r="GKG223" s="1"/>
      <c r="GKH223" s="1"/>
      <c r="GKI223" s="1"/>
      <c r="GKJ223" s="1"/>
      <c r="GKK223" s="1"/>
      <c r="GKL223" s="1"/>
      <c r="GKM223" s="1"/>
      <c r="GKN223" s="1"/>
      <c r="GKO223" s="1"/>
      <c r="GKP223" s="1"/>
      <c r="GKQ223" s="1"/>
      <c r="GKR223" s="1"/>
      <c r="GKS223" s="1"/>
      <c r="GKT223" s="1"/>
      <c r="GKU223" s="1"/>
      <c r="GKV223" s="1"/>
      <c r="GKW223" s="1"/>
      <c r="GKX223" s="1"/>
      <c r="GKY223" s="1"/>
      <c r="GKZ223" s="1"/>
      <c r="GLA223" s="1"/>
      <c r="GLB223" s="1"/>
      <c r="GLC223" s="1"/>
      <c r="GLD223" s="1"/>
      <c r="GLE223" s="1"/>
      <c r="GLF223" s="1"/>
      <c r="GLG223" s="1"/>
      <c r="GLH223" s="1"/>
      <c r="GLI223" s="1"/>
      <c r="GLJ223" s="1"/>
      <c r="GLK223" s="1"/>
      <c r="GLL223" s="1"/>
      <c r="GLM223" s="1"/>
      <c r="GLN223" s="1"/>
      <c r="GLO223" s="1"/>
      <c r="GLP223" s="1"/>
      <c r="GLQ223" s="1"/>
      <c r="GLR223" s="1"/>
      <c r="GLS223" s="1"/>
      <c r="GLT223" s="1"/>
      <c r="GLU223" s="1"/>
      <c r="GLV223" s="1"/>
      <c r="GLW223" s="1"/>
      <c r="GLX223" s="1"/>
      <c r="GLY223" s="1"/>
      <c r="GLZ223" s="1"/>
      <c r="GMA223" s="1"/>
      <c r="GMB223" s="1"/>
      <c r="GMC223" s="1"/>
      <c r="GMD223" s="1"/>
      <c r="GME223" s="1"/>
      <c r="GMF223" s="1"/>
      <c r="GMG223" s="1"/>
      <c r="GMH223" s="1"/>
      <c r="GMI223" s="1"/>
      <c r="GMJ223" s="1"/>
      <c r="GMK223" s="1"/>
      <c r="GML223" s="1"/>
      <c r="GMM223" s="1"/>
      <c r="GMN223" s="1"/>
      <c r="GMO223" s="1"/>
      <c r="GMP223" s="1"/>
      <c r="GMQ223" s="1"/>
      <c r="GMR223" s="1"/>
      <c r="GMS223" s="1"/>
      <c r="GMT223" s="1"/>
      <c r="GMU223" s="1"/>
      <c r="GMV223" s="1"/>
      <c r="GMW223" s="1"/>
      <c r="GMX223" s="1"/>
      <c r="GMY223" s="1"/>
      <c r="GMZ223" s="1"/>
      <c r="GNA223" s="1"/>
      <c r="GNB223" s="1"/>
      <c r="GNC223" s="1"/>
      <c r="GND223" s="1"/>
      <c r="GNE223" s="1"/>
      <c r="GNF223" s="1"/>
      <c r="GNG223" s="1"/>
      <c r="GNH223" s="1"/>
      <c r="GNI223" s="1"/>
      <c r="GNJ223" s="1"/>
      <c r="GNK223" s="1"/>
      <c r="GNL223" s="1"/>
      <c r="GNM223" s="1"/>
      <c r="GNN223" s="1"/>
      <c r="GNO223" s="1"/>
      <c r="GNP223" s="1"/>
      <c r="GNQ223" s="1"/>
      <c r="GNR223" s="1"/>
      <c r="GNS223" s="1"/>
      <c r="GNT223" s="1"/>
      <c r="GNU223" s="1"/>
      <c r="GNV223" s="1"/>
      <c r="GNW223" s="1"/>
      <c r="GNX223" s="1"/>
      <c r="GNY223" s="1"/>
      <c r="GNZ223" s="1"/>
      <c r="GOA223" s="1"/>
      <c r="GOB223" s="1"/>
      <c r="GOC223" s="1"/>
      <c r="GOD223" s="1"/>
      <c r="GOE223" s="1"/>
      <c r="GOF223" s="1"/>
      <c r="GOG223" s="1"/>
      <c r="GOH223" s="1"/>
      <c r="GOI223" s="1"/>
      <c r="GOJ223" s="1"/>
      <c r="GOK223" s="1"/>
      <c r="GOL223" s="1"/>
      <c r="GOM223" s="1"/>
      <c r="GON223" s="1"/>
      <c r="GOO223" s="1"/>
      <c r="GOP223" s="1"/>
      <c r="GOQ223" s="1"/>
      <c r="GOR223" s="1"/>
      <c r="GOS223" s="1"/>
      <c r="GOT223" s="1"/>
      <c r="GOU223" s="1"/>
      <c r="GOV223" s="1"/>
      <c r="GOW223" s="1"/>
      <c r="GOX223" s="1"/>
      <c r="GOY223" s="1"/>
      <c r="GOZ223" s="1"/>
      <c r="GPA223" s="1"/>
      <c r="GPB223" s="1"/>
      <c r="GPC223" s="1"/>
      <c r="GPD223" s="1"/>
      <c r="GPE223" s="1"/>
      <c r="GPF223" s="1"/>
      <c r="GPG223" s="1"/>
      <c r="GPH223" s="1"/>
      <c r="GPI223" s="1"/>
      <c r="GPJ223" s="1"/>
      <c r="GPK223" s="1"/>
      <c r="GPL223" s="1"/>
      <c r="GPM223" s="1"/>
      <c r="GPN223" s="1"/>
      <c r="GPO223" s="1"/>
      <c r="GPP223" s="1"/>
      <c r="GPQ223" s="1"/>
      <c r="GPR223" s="1"/>
      <c r="GPS223" s="1"/>
      <c r="GPT223" s="1"/>
      <c r="GPU223" s="1"/>
      <c r="GPV223" s="1"/>
      <c r="GPW223" s="1"/>
      <c r="GPX223" s="1"/>
      <c r="GPY223" s="1"/>
      <c r="GPZ223" s="1"/>
      <c r="GQA223" s="1"/>
      <c r="GQB223" s="1"/>
      <c r="GQC223" s="1"/>
      <c r="GQD223" s="1"/>
      <c r="GQE223" s="1"/>
      <c r="GQF223" s="1"/>
      <c r="GQG223" s="1"/>
      <c r="GQH223" s="1"/>
      <c r="GQI223" s="1"/>
      <c r="GQJ223" s="1"/>
      <c r="GQK223" s="1"/>
      <c r="GQL223" s="1"/>
      <c r="GQM223" s="1"/>
      <c r="GQN223" s="1"/>
      <c r="GQO223" s="1"/>
      <c r="GQP223" s="1"/>
      <c r="GQQ223" s="1"/>
      <c r="GQR223" s="1"/>
      <c r="GQS223" s="1"/>
      <c r="GQT223" s="1"/>
      <c r="GQU223" s="1"/>
      <c r="GQV223" s="1"/>
      <c r="GQW223" s="1"/>
      <c r="GQX223" s="1"/>
      <c r="GQY223" s="1"/>
      <c r="GQZ223" s="1"/>
      <c r="GRA223" s="1"/>
      <c r="GRB223" s="1"/>
      <c r="GRC223" s="1"/>
      <c r="GRD223" s="1"/>
      <c r="GRE223" s="1"/>
      <c r="GRF223" s="1"/>
      <c r="GRG223" s="1"/>
      <c r="GRH223" s="1"/>
      <c r="GRI223" s="1"/>
      <c r="GRJ223" s="1"/>
      <c r="GRK223" s="1"/>
      <c r="GRL223" s="1"/>
      <c r="GRM223" s="1"/>
      <c r="GRN223" s="1"/>
      <c r="GRO223" s="1"/>
      <c r="GRP223" s="1"/>
      <c r="GRQ223" s="1"/>
      <c r="GRR223" s="1"/>
      <c r="GRS223" s="1"/>
      <c r="GRT223" s="1"/>
      <c r="GRU223" s="1"/>
      <c r="GRV223" s="1"/>
      <c r="GRW223" s="1"/>
      <c r="GRX223" s="1"/>
      <c r="GRY223" s="1"/>
      <c r="GRZ223" s="1"/>
      <c r="GSA223" s="1"/>
      <c r="GSB223" s="1"/>
      <c r="GSC223" s="1"/>
      <c r="GSD223" s="1"/>
      <c r="GSE223" s="1"/>
      <c r="GSF223" s="1"/>
      <c r="GSG223" s="1"/>
      <c r="GSH223" s="1"/>
      <c r="GSI223" s="1"/>
      <c r="GSJ223" s="1"/>
      <c r="GSK223" s="1"/>
      <c r="GSL223" s="1"/>
      <c r="GSM223" s="1"/>
      <c r="GSN223" s="1"/>
      <c r="GSO223" s="1"/>
      <c r="GSP223" s="1"/>
      <c r="GSQ223" s="1"/>
      <c r="GSR223" s="1"/>
      <c r="GSS223" s="1"/>
      <c r="GST223" s="1"/>
      <c r="GSU223" s="1"/>
      <c r="GSV223" s="1"/>
      <c r="GSW223" s="1"/>
      <c r="GSX223" s="1"/>
      <c r="GSY223" s="1"/>
      <c r="GSZ223" s="1"/>
      <c r="GTA223" s="1"/>
      <c r="GTB223" s="1"/>
      <c r="GTC223" s="1"/>
      <c r="GTD223" s="1"/>
      <c r="GTE223" s="1"/>
      <c r="GTF223" s="1"/>
      <c r="GTG223" s="1"/>
      <c r="GTH223" s="1"/>
      <c r="GTI223" s="1"/>
      <c r="GTJ223" s="1"/>
      <c r="GTK223" s="1"/>
      <c r="GTL223" s="1"/>
      <c r="GTM223" s="1"/>
      <c r="GTN223" s="1"/>
      <c r="GTO223" s="1"/>
      <c r="GTP223" s="1"/>
      <c r="GTQ223" s="1"/>
      <c r="GTR223" s="1"/>
      <c r="GTS223" s="1"/>
      <c r="GTT223" s="1"/>
      <c r="GTU223" s="1"/>
      <c r="GTV223" s="1"/>
      <c r="GTW223" s="1"/>
      <c r="GTX223" s="1"/>
      <c r="GTY223" s="1"/>
      <c r="GTZ223" s="1"/>
      <c r="GUA223" s="1"/>
      <c r="GUB223" s="1"/>
      <c r="GUC223" s="1"/>
      <c r="GUD223" s="1"/>
      <c r="GUE223" s="1"/>
      <c r="GUF223" s="1"/>
      <c r="GUG223" s="1"/>
      <c r="GUH223" s="1"/>
      <c r="GUI223" s="1"/>
      <c r="GUJ223" s="1"/>
      <c r="GUK223" s="1"/>
      <c r="GUL223" s="1"/>
      <c r="GUM223" s="1"/>
      <c r="GUN223" s="1"/>
      <c r="GUO223" s="1"/>
      <c r="GUP223" s="1"/>
      <c r="GUQ223" s="1"/>
      <c r="GUR223" s="1"/>
      <c r="GUS223" s="1"/>
      <c r="GUT223" s="1"/>
      <c r="GUU223" s="1"/>
      <c r="GUV223" s="1"/>
      <c r="GUW223" s="1"/>
      <c r="GUX223" s="1"/>
      <c r="GUY223" s="1"/>
      <c r="GUZ223" s="1"/>
      <c r="GVA223" s="1"/>
      <c r="GVB223" s="1"/>
      <c r="GVC223" s="1"/>
      <c r="GVD223" s="1"/>
      <c r="GVE223" s="1"/>
      <c r="GVF223" s="1"/>
      <c r="GVG223" s="1"/>
      <c r="GVH223" s="1"/>
      <c r="GVI223" s="1"/>
      <c r="GVJ223" s="1"/>
      <c r="GVK223" s="1"/>
      <c r="GVL223" s="1"/>
      <c r="GVM223" s="1"/>
      <c r="GVN223" s="1"/>
      <c r="GVO223" s="1"/>
      <c r="GVP223" s="1"/>
      <c r="GVQ223" s="1"/>
      <c r="GVR223" s="1"/>
      <c r="GVS223" s="1"/>
      <c r="GVT223" s="1"/>
      <c r="GVU223" s="1"/>
      <c r="GVV223" s="1"/>
      <c r="GVW223" s="1"/>
      <c r="GVX223" s="1"/>
      <c r="GVY223" s="1"/>
      <c r="GVZ223" s="1"/>
      <c r="GWA223" s="1"/>
      <c r="GWB223" s="1"/>
      <c r="GWC223" s="1"/>
      <c r="GWD223" s="1"/>
      <c r="GWE223" s="1"/>
      <c r="GWF223" s="1"/>
      <c r="GWG223" s="1"/>
      <c r="GWH223" s="1"/>
      <c r="GWI223" s="1"/>
      <c r="GWJ223" s="1"/>
      <c r="GWK223" s="1"/>
      <c r="GWL223" s="1"/>
      <c r="GWM223" s="1"/>
      <c r="GWN223" s="1"/>
      <c r="GWO223" s="1"/>
      <c r="GWP223" s="1"/>
      <c r="GWQ223" s="1"/>
      <c r="GWR223" s="1"/>
      <c r="GWS223" s="1"/>
      <c r="GWT223" s="1"/>
      <c r="GWU223" s="1"/>
      <c r="GWV223" s="1"/>
      <c r="GWW223" s="1"/>
      <c r="GWX223" s="1"/>
      <c r="GWY223" s="1"/>
      <c r="GWZ223" s="1"/>
      <c r="GXA223" s="1"/>
      <c r="GXB223" s="1"/>
      <c r="GXC223" s="1"/>
      <c r="GXD223" s="1"/>
      <c r="GXE223" s="1"/>
      <c r="GXF223" s="1"/>
      <c r="GXG223" s="1"/>
      <c r="GXH223" s="1"/>
      <c r="GXI223" s="1"/>
      <c r="GXJ223" s="1"/>
      <c r="GXK223" s="1"/>
      <c r="GXL223" s="1"/>
      <c r="GXM223" s="1"/>
      <c r="GXN223" s="1"/>
      <c r="GXO223" s="1"/>
      <c r="GXP223" s="1"/>
      <c r="GXQ223" s="1"/>
      <c r="GXR223" s="1"/>
      <c r="GXS223" s="1"/>
      <c r="GXT223" s="1"/>
      <c r="GXU223" s="1"/>
      <c r="GXV223" s="1"/>
      <c r="GXW223" s="1"/>
      <c r="GXX223" s="1"/>
      <c r="GXY223" s="1"/>
      <c r="GXZ223" s="1"/>
      <c r="GYA223" s="1"/>
      <c r="GYB223" s="1"/>
      <c r="GYC223" s="1"/>
      <c r="GYD223" s="1"/>
      <c r="GYE223" s="1"/>
      <c r="GYF223" s="1"/>
      <c r="GYG223" s="1"/>
      <c r="GYH223" s="1"/>
      <c r="GYI223" s="1"/>
      <c r="GYJ223" s="1"/>
      <c r="GYK223" s="1"/>
      <c r="GYL223" s="1"/>
      <c r="GYM223" s="1"/>
      <c r="GYN223" s="1"/>
      <c r="GYO223" s="1"/>
      <c r="GYP223" s="1"/>
      <c r="GYQ223" s="1"/>
      <c r="GYR223" s="1"/>
      <c r="GYS223" s="1"/>
      <c r="GYT223" s="1"/>
      <c r="GYU223" s="1"/>
      <c r="GYV223" s="1"/>
      <c r="GYW223" s="1"/>
      <c r="GYX223" s="1"/>
      <c r="GYY223" s="1"/>
      <c r="GYZ223" s="1"/>
      <c r="GZA223" s="1"/>
      <c r="GZB223" s="1"/>
      <c r="GZC223" s="1"/>
      <c r="GZD223" s="1"/>
      <c r="GZE223" s="1"/>
      <c r="GZF223" s="1"/>
      <c r="GZG223" s="1"/>
      <c r="GZH223" s="1"/>
      <c r="GZI223" s="1"/>
      <c r="GZJ223" s="1"/>
      <c r="GZK223" s="1"/>
      <c r="GZL223" s="1"/>
      <c r="GZM223" s="1"/>
      <c r="GZN223" s="1"/>
      <c r="GZO223" s="1"/>
      <c r="GZP223" s="1"/>
      <c r="GZQ223" s="1"/>
      <c r="GZR223" s="1"/>
      <c r="GZS223" s="1"/>
      <c r="GZT223" s="1"/>
      <c r="GZU223" s="1"/>
      <c r="GZV223" s="1"/>
      <c r="GZW223" s="1"/>
      <c r="GZX223" s="1"/>
      <c r="GZY223" s="1"/>
      <c r="GZZ223" s="1"/>
      <c r="HAA223" s="1"/>
      <c r="HAB223" s="1"/>
      <c r="HAC223" s="1"/>
      <c r="HAD223" s="1"/>
      <c r="HAE223" s="1"/>
      <c r="HAF223" s="1"/>
      <c r="HAG223" s="1"/>
      <c r="HAH223" s="1"/>
      <c r="HAI223" s="1"/>
      <c r="HAJ223" s="1"/>
      <c r="HAK223" s="1"/>
      <c r="HAL223" s="1"/>
      <c r="HAM223" s="1"/>
      <c r="HAN223" s="1"/>
      <c r="HAO223" s="1"/>
      <c r="HAP223" s="1"/>
      <c r="HAQ223" s="1"/>
      <c r="HAR223" s="1"/>
      <c r="HAS223" s="1"/>
      <c r="HAT223" s="1"/>
      <c r="HAU223" s="1"/>
      <c r="HAV223" s="1"/>
      <c r="HAW223" s="1"/>
      <c r="HAX223" s="1"/>
      <c r="HAY223" s="1"/>
      <c r="HAZ223" s="1"/>
      <c r="HBA223" s="1"/>
      <c r="HBB223" s="1"/>
      <c r="HBC223" s="1"/>
      <c r="HBD223" s="1"/>
      <c r="HBE223" s="1"/>
      <c r="HBF223" s="1"/>
      <c r="HBG223" s="1"/>
      <c r="HBH223" s="1"/>
      <c r="HBI223" s="1"/>
      <c r="HBJ223" s="1"/>
      <c r="HBK223" s="1"/>
      <c r="HBL223" s="1"/>
      <c r="HBM223" s="1"/>
      <c r="HBN223" s="1"/>
      <c r="HBO223" s="1"/>
      <c r="HBP223" s="1"/>
      <c r="HBQ223" s="1"/>
      <c r="HBR223" s="1"/>
      <c r="HBS223" s="1"/>
      <c r="HBT223" s="1"/>
      <c r="HBU223" s="1"/>
      <c r="HBV223" s="1"/>
      <c r="HBW223" s="1"/>
      <c r="HBX223" s="1"/>
      <c r="HBY223" s="1"/>
      <c r="HBZ223" s="1"/>
      <c r="HCA223" s="1"/>
      <c r="HCB223" s="1"/>
      <c r="HCC223" s="1"/>
      <c r="HCD223" s="1"/>
      <c r="HCE223" s="1"/>
      <c r="HCF223" s="1"/>
      <c r="HCG223" s="1"/>
      <c r="HCH223" s="1"/>
      <c r="HCI223" s="1"/>
      <c r="HCJ223" s="1"/>
      <c r="HCK223" s="1"/>
      <c r="HCL223" s="1"/>
      <c r="HCM223" s="1"/>
      <c r="HCN223" s="1"/>
      <c r="HCO223" s="1"/>
      <c r="HCP223" s="1"/>
      <c r="HCQ223" s="1"/>
      <c r="HCR223" s="1"/>
      <c r="HCS223" s="1"/>
      <c r="HCT223" s="1"/>
      <c r="HCU223" s="1"/>
      <c r="HCV223" s="1"/>
      <c r="HCW223" s="1"/>
      <c r="HCX223" s="1"/>
      <c r="HCY223" s="1"/>
      <c r="HCZ223" s="1"/>
      <c r="HDA223" s="1"/>
      <c r="HDB223" s="1"/>
      <c r="HDC223" s="1"/>
      <c r="HDD223" s="1"/>
      <c r="HDE223" s="1"/>
      <c r="HDF223" s="1"/>
      <c r="HDG223" s="1"/>
      <c r="HDH223" s="1"/>
      <c r="HDI223" s="1"/>
      <c r="HDJ223" s="1"/>
      <c r="HDK223" s="1"/>
      <c r="HDL223" s="1"/>
      <c r="HDM223" s="1"/>
      <c r="HDN223" s="1"/>
      <c r="HDO223" s="1"/>
      <c r="HDP223" s="1"/>
      <c r="HDQ223" s="1"/>
      <c r="HDR223" s="1"/>
      <c r="HDS223" s="1"/>
      <c r="HDT223" s="1"/>
      <c r="HDU223" s="1"/>
      <c r="HDV223" s="1"/>
      <c r="HDW223" s="1"/>
      <c r="HDX223" s="1"/>
      <c r="HDY223" s="1"/>
      <c r="HDZ223" s="1"/>
      <c r="HEA223" s="1"/>
      <c r="HEB223" s="1"/>
      <c r="HEC223" s="1"/>
      <c r="HED223" s="1"/>
      <c r="HEE223" s="1"/>
      <c r="HEF223" s="1"/>
      <c r="HEG223" s="1"/>
      <c r="HEH223" s="1"/>
      <c r="HEI223" s="1"/>
      <c r="HEJ223" s="1"/>
      <c r="HEK223" s="1"/>
      <c r="HEL223" s="1"/>
      <c r="HEM223" s="1"/>
      <c r="HEN223" s="1"/>
      <c r="HEO223" s="1"/>
      <c r="HEP223" s="1"/>
      <c r="HEQ223" s="1"/>
      <c r="HER223" s="1"/>
      <c r="HES223" s="1"/>
      <c r="HET223" s="1"/>
      <c r="HEU223" s="1"/>
      <c r="HEV223" s="1"/>
      <c r="HEW223" s="1"/>
      <c r="HEX223" s="1"/>
      <c r="HEY223" s="1"/>
      <c r="HEZ223" s="1"/>
      <c r="HFA223" s="1"/>
      <c r="HFB223" s="1"/>
      <c r="HFC223" s="1"/>
      <c r="HFD223" s="1"/>
      <c r="HFE223" s="1"/>
      <c r="HFF223" s="1"/>
      <c r="HFG223" s="1"/>
      <c r="HFH223" s="1"/>
      <c r="HFI223" s="1"/>
      <c r="HFJ223" s="1"/>
      <c r="HFK223" s="1"/>
      <c r="HFL223" s="1"/>
      <c r="HFM223" s="1"/>
      <c r="HFN223" s="1"/>
      <c r="HFO223" s="1"/>
      <c r="HFP223" s="1"/>
      <c r="HFQ223" s="1"/>
      <c r="HFR223" s="1"/>
      <c r="HFS223" s="1"/>
      <c r="HFT223" s="1"/>
      <c r="HFU223" s="1"/>
      <c r="HFV223" s="1"/>
      <c r="HFW223" s="1"/>
      <c r="HFX223" s="1"/>
      <c r="HFY223" s="1"/>
      <c r="HFZ223" s="1"/>
      <c r="HGA223" s="1"/>
      <c r="HGB223" s="1"/>
      <c r="HGC223" s="1"/>
      <c r="HGD223" s="1"/>
      <c r="HGE223" s="1"/>
      <c r="HGF223" s="1"/>
      <c r="HGG223" s="1"/>
      <c r="HGH223" s="1"/>
      <c r="HGI223" s="1"/>
      <c r="HGJ223" s="1"/>
      <c r="HGK223" s="1"/>
      <c r="HGL223" s="1"/>
      <c r="HGM223" s="1"/>
      <c r="HGN223" s="1"/>
      <c r="HGO223" s="1"/>
      <c r="HGP223" s="1"/>
      <c r="HGQ223" s="1"/>
      <c r="HGR223" s="1"/>
      <c r="HGS223" s="1"/>
      <c r="HGT223" s="1"/>
      <c r="HGU223" s="1"/>
      <c r="HGV223" s="1"/>
      <c r="HGW223" s="1"/>
      <c r="HGX223" s="1"/>
      <c r="HGY223" s="1"/>
      <c r="HGZ223" s="1"/>
      <c r="HHA223" s="1"/>
      <c r="HHB223" s="1"/>
      <c r="HHC223" s="1"/>
      <c r="HHD223" s="1"/>
      <c r="HHE223" s="1"/>
      <c r="HHF223" s="1"/>
      <c r="HHG223" s="1"/>
      <c r="HHH223" s="1"/>
      <c r="HHI223" s="1"/>
      <c r="HHJ223" s="1"/>
      <c r="HHK223" s="1"/>
      <c r="HHL223" s="1"/>
      <c r="HHM223" s="1"/>
      <c r="HHN223" s="1"/>
      <c r="HHO223" s="1"/>
      <c r="HHP223" s="1"/>
      <c r="HHQ223" s="1"/>
      <c r="HHR223" s="1"/>
      <c r="HHS223" s="1"/>
      <c r="HHT223" s="1"/>
      <c r="HHU223" s="1"/>
      <c r="HHV223" s="1"/>
      <c r="HHW223" s="1"/>
      <c r="HHX223" s="1"/>
      <c r="HHY223" s="1"/>
      <c r="HHZ223" s="1"/>
      <c r="HIA223" s="1"/>
      <c r="HIB223" s="1"/>
      <c r="HIC223" s="1"/>
      <c r="HID223" s="1"/>
      <c r="HIE223" s="1"/>
      <c r="HIF223" s="1"/>
      <c r="HIG223" s="1"/>
      <c r="HIH223" s="1"/>
      <c r="HII223" s="1"/>
      <c r="HIJ223" s="1"/>
      <c r="HIK223" s="1"/>
      <c r="HIL223" s="1"/>
      <c r="HIM223" s="1"/>
      <c r="HIN223" s="1"/>
      <c r="HIO223" s="1"/>
      <c r="HIP223" s="1"/>
      <c r="HIQ223" s="1"/>
      <c r="HIR223" s="1"/>
      <c r="HIS223" s="1"/>
      <c r="HIT223" s="1"/>
      <c r="HIU223" s="1"/>
      <c r="HIV223" s="1"/>
      <c r="HIW223" s="1"/>
      <c r="HIX223" s="1"/>
      <c r="HIY223" s="1"/>
      <c r="HIZ223" s="1"/>
      <c r="HJA223" s="1"/>
      <c r="HJB223" s="1"/>
      <c r="HJC223" s="1"/>
      <c r="HJD223" s="1"/>
      <c r="HJE223" s="1"/>
      <c r="HJF223" s="1"/>
      <c r="HJG223" s="1"/>
      <c r="HJH223" s="1"/>
      <c r="HJI223" s="1"/>
      <c r="HJJ223" s="1"/>
      <c r="HJK223" s="1"/>
      <c r="HJL223" s="1"/>
      <c r="HJM223" s="1"/>
      <c r="HJN223" s="1"/>
      <c r="HJO223" s="1"/>
      <c r="HJP223" s="1"/>
      <c r="HJQ223" s="1"/>
      <c r="HJR223" s="1"/>
      <c r="HJS223" s="1"/>
      <c r="HJT223" s="1"/>
      <c r="HJU223" s="1"/>
      <c r="HJV223" s="1"/>
      <c r="HJW223" s="1"/>
      <c r="HJX223" s="1"/>
      <c r="HJY223" s="1"/>
      <c r="HJZ223" s="1"/>
      <c r="HKA223" s="1"/>
      <c r="HKB223" s="1"/>
      <c r="HKC223" s="1"/>
      <c r="HKD223" s="1"/>
      <c r="HKE223" s="1"/>
      <c r="HKF223" s="1"/>
      <c r="HKG223" s="1"/>
      <c r="HKH223" s="1"/>
      <c r="HKI223" s="1"/>
      <c r="HKJ223" s="1"/>
      <c r="HKK223" s="1"/>
      <c r="HKL223" s="1"/>
      <c r="HKM223" s="1"/>
      <c r="HKN223" s="1"/>
      <c r="HKO223" s="1"/>
      <c r="HKP223" s="1"/>
      <c r="HKQ223" s="1"/>
      <c r="HKR223" s="1"/>
      <c r="HKS223" s="1"/>
      <c r="HKT223" s="1"/>
      <c r="HKU223" s="1"/>
      <c r="HKV223" s="1"/>
      <c r="HKW223" s="1"/>
      <c r="HKX223" s="1"/>
      <c r="HKY223" s="1"/>
      <c r="HKZ223" s="1"/>
      <c r="HLA223" s="1"/>
      <c r="HLB223" s="1"/>
      <c r="HLC223" s="1"/>
      <c r="HLD223" s="1"/>
      <c r="HLE223" s="1"/>
      <c r="HLF223" s="1"/>
      <c r="HLG223" s="1"/>
      <c r="HLH223" s="1"/>
      <c r="HLI223" s="1"/>
      <c r="HLJ223" s="1"/>
      <c r="HLK223" s="1"/>
      <c r="HLL223" s="1"/>
      <c r="HLM223" s="1"/>
      <c r="HLN223" s="1"/>
      <c r="HLO223" s="1"/>
      <c r="HLP223" s="1"/>
      <c r="HLQ223" s="1"/>
      <c r="HLR223" s="1"/>
      <c r="HLS223" s="1"/>
      <c r="HLT223" s="1"/>
      <c r="HLU223" s="1"/>
      <c r="HLV223" s="1"/>
      <c r="HLW223" s="1"/>
      <c r="HLX223" s="1"/>
      <c r="HLY223" s="1"/>
      <c r="HLZ223" s="1"/>
      <c r="HMA223" s="1"/>
      <c r="HMB223" s="1"/>
      <c r="HMC223" s="1"/>
      <c r="HMD223" s="1"/>
      <c r="HME223" s="1"/>
      <c r="HMF223" s="1"/>
      <c r="HMG223" s="1"/>
      <c r="HMH223" s="1"/>
      <c r="HMI223" s="1"/>
      <c r="HMJ223" s="1"/>
      <c r="HMK223" s="1"/>
      <c r="HML223" s="1"/>
      <c r="HMM223" s="1"/>
      <c r="HMN223" s="1"/>
      <c r="HMO223" s="1"/>
      <c r="HMP223" s="1"/>
      <c r="HMQ223" s="1"/>
      <c r="HMR223" s="1"/>
      <c r="HMS223" s="1"/>
      <c r="HMT223" s="1"/>
      <c r="HMU223" s="1"/>
      <c r="HMV223" s="1"/>
      <c r="HMW223" s="1"/>
      <c r="HMX223" s="1"/>
      <c r="HMY223" s="1"/>
      <c r="HMZ223" s="1"/>
      <c r="HNA223" s="1"/>
      <c r="HNB223" s="1"/>
      <c r="HNC223" s="1"/>
      <c r="HND223" s="1"/>
      <c r="HNE223" s="1"/>
      <c r="HNF223" s="1"/>
      <c r="HNG223" s="1"/>
      <c r="HNH223" s="1"/>
      <c r="HNI223" s="1"/>
      <c r="HNJ223" s="1"/>
      <c r="HNK223" s="1"/>
      <c r="HNL223" s="1"/>
      <c r="HNM223" s="1"/>
      <c r="HNN223" s="1"/>
      <c r="HNO223" s="1"/>
      <c r="HNP223" s="1"/>
      <c r="HNQ223" s="1"/>
      <c r="HNR223" s="1"/>
      <c r="HNS223" s="1"/>
      <c r="HNT223" s="1"/>
      <c r="HNU223" s="1"/>
      <c r="HNV223" s="1"/>
      <c r="HNW223" s="1"/>
      <c r="HNX223" s="1"/>
      <c r="HNY223" s="1"/>
      <c r="HNZ223" s="1"/>
      <c r="HOA223" s="1"/>
      <c r="HOB223" s="1"/>
      <c r="HOC223" s="1"/>
      <c r="HOD223" s="1"/>
      <c r="HOE223" s="1"/>
      <c r="HOF223" s="1"/>
      <c r="HOG223" s="1"/>
      <c r="HOH223" s="1"/>
      <c r="HOI223" s="1"/>
      <c r="HOJ223" s="1"/>
      <c r="HOK223" s="1"/>
      <c r="HOL223" s="1"/>
      <c r="HOM223" s="1"/>
      <c r="HON223" s="1"/>
      <c r="HOO223" s="1"/>
      <c r="HOP223" s="1"/>
      <c r="HOQ223" s="1"/>
      <c r="HOR223" s="1"/>
      <c r="HOS223" s="1"/>
      <c r="HOT223" s="1"/>
      <c r="HOU223" s="1"/>
      <c r="HOV223" s="1"/>
      <c r="HOW223" s="1"/>
      <c r="HOX223" s="1"/>
      <c r="HOY223" s="1"/>
      <c r="HOZ223" s="1"/>
      <c r="HPA223" s="1"/>
      <c r="HPB223" s="1"/>
      <c r="HPC223" s="1"/>
      <c r="HPD223" s="1"/>
      <c r="HPE223" s="1"/>
      <c r="HPF223" s="1"/>
      <c r="HPG223" s="1"/>
      <c r="HPH223" s="1"/>
      <c r="HPI223" s="1"/>
      <c r="HPJ223" s="1"/>
      <c r="HPK223" s="1"/>
      <c r="HPL223" s="1"/>
      <c r="HPM223" s="1"/>
      <c r="HPN223" s="1"/>
      <c r="HPO223" s="1"/>
      <c r="HPP223" s="1"/>
      <c r="HPQ223" s="1"/>
      <c r="HPR223" s="1"/>
      <c r="HPS223" s="1"/>
      <c r="HPT223" s="1"/>
      <c r="HPU223" s="1"/>
      <c r="HPV223" s="1"/>
      <c r="HPW223" s="1"/>
      <c r="HPX223" s="1"/>
      <c r="HPY223" s="1"/>
      <c r="HPZ223" s="1"/>
      <c r="HQA223" s="1"/>
      <c r="HQB223" s="1"/>
      <c r="HQC223" s="1"/>
      <c r="HQD223" s="1"/>
      <c r="HQE223" s="1"/>
      <c r="HQF223" s="1"/>
      <c r="HQG223" s="1"/>
      <c r="HQH223" s="1"/>
      <c r="HQI223" s="1"/>
      <c r="HQJ223" s="1"/>
      <c r="HQK223" s="1"/>
      <c r="HQL223" s="1"/>
      <c r="HQM223" s="1"/>
      <c r="HQN223" s="1"/>
      <c r="HQO223" s="1"/>
      <c r="HQP223" s="1"/>
      <c r="HQQ223" s="1"/>
      <c r="HQR223" s="1"/>
      <c r="HQS223" s="1"/>
      <c r="HQT223" s="1"/>
      <c r="HQU223" s="1"/>
      <c r="HQV223" s="1"/>
      <c r="HQW223" s="1"/>
      <c r="HQX223" s="1"/>
      <c r="HQY223" s="1"/>
      <c r="HQZ223" s="1"/>
      <c r="HRA223" s="1"/>
      <c r="HRB223" s="1"/>
      <c r="HRC223" s="1"/>
      <c r="HRD223" s="1"/>
      <c r="HRE223" s="1"/>
      <c r="HRF223" s="1"/>
      <c r="HRG223" s="1"/>
      <c r="HRH223" s="1"/>
      <c r="HRI223" s="1"/>
      <c r="HRJ223" s="1"/>
      <c r="HRK223" s="1"/>
      <c r="HRL223" s="1"/>
      <c r="HRM223" s="1"/>
      <c r="HRN223" s="1"/>
      <c r="HRO223" s="1"/>
      <c r="HRP223" s="1"/>
      <c r="HRQ223" s="1"/>
      <c r="HRR223" s="1"/>
      <c r="HRS223" s="1"/>
      <c r="HRT223" s="1"/>
      <c r="HRU223" s="1"/>
      <c r="HRV223" s="1"/>
      <c r="HRW223" s="1"/>
      <c r="HRX223" s="1"/>
      <c r="HRY223" s="1"/>
      <c r="HRZ223" s="1"/>
      <c r="HSA223" s="1"/>
      <c r="HSB223" s="1"/>
      <c r="HSC223" s="1"/>
      <c r="HSD223" s="1"/>
      <c r="HSE223" s="1"/>
      <c r="HSF223" s="1"/>
      <c r="HSG223" s="1"/>
      <c r="HSH223" s="1"/>
      <c r="HSI223" s="1"/>
      <c r="HSJ223" s="1"/>
      <c r="HSK223" s="1"/>
      <c r="HSL223" s="1"/>
      <c r="HSM223" s="1"/>
      <c r="HSN223" s="1"/>
      <c r="HSO223" s="1"/>
      <c r="HSP223" s="1"/>
      <c r="HSQ223" s="1"/>
      <c r="HSR223" s="1"/>
      <c r="HSS223" s="1"/>
      <c r="HST223" s="1"/>
      <c r="HSU223" s="1"/>
      <c r="HSV223" s="1"/>
      <c r="HSW223" s="1"/>
      <c r="HSX223" s="1"/>
      <c r="HSY223" s="1"/>
      <c r="HSZ223" s="1"/>
      <c r="HTA223" s="1"/>
      <c r="HTB223" s="1"/>
      <c r="HTC223" s="1"/>
      <c r="HTD223" s="1"/>
      <c r="HTE223" s="1"/>
      <c r="HTF223" s="1"/>
      <c r="HTG223" s="1"/>
      <c r="HTH223" s="1"/>
      <c r="HTI223" s="1"/>
      <c r="HTJ223" s="1"/>
      <c r="HTK223" s="1"/>
      <c r="HTL223" s="1"/>
      <c r="HTM223" s="1"/>
      <c r="HTN223" s="1"/>
      <c r="HTO223" s="1"/>
      <c r="HTP223" s="1"/>
      <c r="HTQ223" s="1"/>
      <c r="HTR223" s="1"/>
      <c r="HTS223" s="1"/>
      <c r="HTT223" s="1"/>
      <c r="HTU223" s="1"/>
      <c r="HTV223" s="1"/>
      <c r="HTW223" s="1"/>
      <c r="HTX223" s="1"/>
      <c r="HTY223" s="1"/>
      <c r="HTZ223" s="1"/>
      <c r="HUA223" s="1"/>
      <c r="HUB223" s="1"/>
      <c r="HUC223" s="1"/>
      <c r="HUD223" s="1"/>
      <c r="HUE223" s="1"/>
      <c r="HUF223" s="1"/>
      <c r="HUG223" s="1"/>
      <c r="HUH223" s="1"/>
      <c r="HUI223" s="1"/>
      <c r="HUJ223" s="1"/>
      <c r="HUK223" s="1"/>
      <c r="HUL223" s="1"/>
      <c r="HUM223" s="1"/>
      <c r="HUN223" s="1"/>
      <c r="HUO223" s="1"/>
      <c r="HUP223" s="1"/>
      <c r="HUQ223" s="1"/>
      <c r="HUR223" s="1"/>
      <c r="HUS223" s="1"/>
      <c r="HUT223" s="1"/>
      <c r="HUU223" s="1"/>
      <c r="HUV223" s="1"/>
      <c r="HUW223" s="1"/>
      <c r="HUX223" s="1"/>
      <c r="HUY223" s="1"/>
      <c r="HUZ223" s="1"/>
      <c r="HVA223" s="1"/>
      <c r="HVB223" s="1"/>
      <c r="HVC223" s="1"/>
      <c r="HVD223" s="1"/>
      <c r="HVE223" s="1"/>
      <c r="HVF223" s="1"/>
      <c r="HVG223" s="1"/>
      <c r="HVH223" s="1"/>
      <c r="HVI223" s="1"/>
      <c r="HVJ223" s="1"/>
      <c r="HVK223" s="1"/>
      <c r="HVL223" s="1"/>
      <c r="HVM223" s="1"/>
      <c r="HVN223" s="1"/>
      <c r="HVO223" s="1"/>
      <c r="HVP223" s="1"/>
      <c r="HVQ223" s="1"/>
      <c r="HVR223" s="1"/>
      <c r="HVS223" s="1"/>
      <c r="HVT223" s="1"/>
      <c r="HVU223" s="1"/>
      <c r="HVV223" s="1"/>
      <c r="HVW223" s="1"/>
      <c r="HVX223" s="1"/>
      <c r="HVY223" s="1"/>
      <c r="HVZ223" s="1"/>
      <c r="HWA223" s="1"/>
      <c r="HWB223" s="1"/>
      <c r="HWC223" s="1"/>
      <c r="HWD223" s="1"/>
      <c r="HWE223" s="1"/>
      <c r="HWF223" s="1"/>
      <c r="HWG223" s="1"/>
      <c r="HWH223" s="1"/>
      <c r="HWI223" s="1"/>
      <c r="HWJ223" s="1"/>
      <c r="HWK223" s="1"/>
      <c r="HWL223" s="1"/>
      <c r="HWM223" s="1"/>
      <c r="HWN223" s="1"/>
      <c r="HWO223" s="1"/>
      <c r="HWP223" s="1"/>
      <c r="HWQ223" s="1"/>
      <c r="HWR223" s="1"/>
      <c r="HWS223" s="1"/>
      <c r="HWT223" s="1"/>
      <c r="HWU223" s="1"/>
      <c r="HWV223" s="1"/>
      <c r="HWW223" s="1"/>
      <c r="HWX223" s="1"/>
      <c r="HWY223" s="1"/>
      <c r="HWZ223" s="1"/>
      <c r="HXA223" s="1"/>
      <c r="HXB223" s="1"/>
      <c r="HXC223" s="1"/>
      <c r="HXD223" s="1"/>
      <c r="HXE223" s="1"/>
      <c r="HXF223" s="1"/>
      <c r="HXG223" s="1"/>
      <c r="HXH223" s="1"/>
      <c r="HXI223" s="1"/>
      <c r="HXJ223" s="1"/>
      <c r="HXK223" s="1"/>
      <c r="HXL223" s="1"/>
      <c r="HXM223" s="1"/>
      <c r="HXN223" s="1"/>
      <c r="HXO223" s="1"/>
      <c r="HXP223" s="1"/>
      <c r="HXQ223" s="1"/>
      <c r="HXR223" s="1"/>
      <c r="HXS223" s="1"/>
      <c r="HXT223" s="1"/>
      <c r="HXU223" s="1"/>
      <c r="HXV223" s="1"/>
      <c r="HXW223" s="1"/>
      <c r="HXX223" s="1"/>
      <c r="HXY223" s="1"/>
      <c r="HXZ223" s="1"/>
      <c r="HYA223" s="1"/>
      <c r="HYB223" s="1"/>
      <c r="HYC223" s="1"/>
      <c r="HYD223" s="1"/>
      <c r="HYE223" s="1"/>
      <c r="HYF223" s="1"/>
      <c r="HYG223" s="1"/>
      <c r="HYH223" s="1"/>
      <c r="HYI223" s="1"/>
      <c r="HYJ223" s="1"/>
      <c r="HYK223" s="1"/>
      <c r="HYL223" s="1"/>
      <c r="HYM223" s="1"/>
      <c r="HYN223" s="1"/>
      <c r="HYO223" s="1"/>
      <c r="HYP223" s="1"/>
      <c r="HYQ223" s="1"/>
      <c r="HYR223" s="1"/>
      <c r="HYS223" s="1"/>
      <c r="HYT223" s="1"/>
      <c r="HYU223" s="1"/>
      <c r="HYV223" s="1"/>
      <c r="HYW223" s="1"/>
      <c r="HYX223" s="1"/>
      <c r="HYY223" s="1"/>
      <c r="HYZ223" s="1"/>
      <c r="HZA223" s="1"/>
      <c r="HZB223" s="1"/>
      <c r="HZC223" s="1"/>
      <c r="HZD223" s="1"/>
      <c r="HZE223" s="1"/>
      <c r="HZF223" s="1"/>
      <c r="HZG223" s="1"/>
      <c r="HZH223" s="1"/>
      <c r="HZI223" s="1"/>
      <c r="HZJ223" s="1"/>
      <c r="HZK223" s="1"/>
      <c r="HZL223" s="1"/>
      <c r="HZM223" s="1"/>
      <c r="HZN223" s="1"/>
      <c r="HZO223" s="1"/>
      <c r="HZP223" s="1"/>
      <c r="HZQ223" s="1"/>
      <c r="HZR223" s="1"/>
      <c r="HZS223" s="1"/>
      <c r="HZT223" s="1"/>
      <c r="HZU223" s="1"/>
      <c r="HZV223" s="1"/>
      <c r="HZW223" s="1"/>
      <c r="HZX223" s="1"/>
      <c r="HZY223" s="1"/>
      <c r="HZZ223" s="1"/>
      <c r="IAA223" s="1"/>
      <c r="IAB223" s="1"/>
      <c r="IAC223" s="1"/>
      <c r="IAD223" s="1"/>
      <c r="IAE223" s="1"/>
      <c r="IAF223" s="1"/>
      <c r="IAG223" s="1"/>
      <c r="IAH223" s="1"/>
      <c r="IAI223" s="1"/>
      <c r="IAJ223" s="1"/>
      <c r="IAK223" s="1"/>
      <c r="IAL223" s="1"/>
      <c r="IAM223" s="1"/>
      <c r="IAN223" s="1"/>
      <c r="IAO223" s="1"/>
      <c r="IAP223" s="1"/>
      <c r="IAQ223" s="1"/>
      <c r="IAR223" s="1"/>
      <c r="IAS223" s="1"/>
      <c r="IAT223" s="1"/>
      <c r="IAU223" s="1"/>
      <c r="IAV223" s="1"/>
      <c r="IAW223" s="1"/>
      <c r="IAX223" s="1"/>
      <c r="IAY223" s="1"/>
      <c r="IAZ223" s="1"/>
      <c r="IBA223" s="1"/>
      <c r="IBB223" s="1"/>
      <c r="IBC223" s="1"/>
      <c r="IBD223" s="1"/>
      <c r="IBE223" s="1"/>
      <c r="IBF223" s="1"/>
      <c r="IBG223" s="1"/>
      <c r="IBH223" s="1"/>
      <c r="IBI223" s="1"/>
      <c r="IBJ223" s="1"/>
      <c r="IBK223" s="1"/>
      <c r="IBL223" s="1"/>
      <c r="IBM223" s="1"/>
      <c r="IBN223" s="1"/>
      <c r="IBO223" s="1"/>
      <c r="IBP223" s="1"/>
      <c r="IBQ223" s="1"/>
      <c r="IBR223" s="1"/>
      <c r="IBS223" s="1"/>
      <c r="IBT223" s="1"/>
      <c r="IBU223" s="1"/>
      <c r="IBV223" s="1"/>
      <c r="IBW223" s="1"/>
      <c r="IBX223" s="1"/>
      <c r="IBY223" s="1"/>
      <c r="IBZ223" s="1"/>
      <c r="ICA223" s="1"/>
      <c r="ICB223" s="1"/>
      <c r="ICC223" s="1"/>
      <c r="ICD223" s="1"/>
      <c r="ICE223" s="1"/>
      <c r="ICF223" s="1"/>
      <c r="ICG223" s="1"/>
      <c r="ICH223" s="1"/>
      <c r="ICI223" s="1"/>
      <c r="ICJ223" s="1"/>
      <c r="ICK223" s="1"/>
      <c r="ICL223" s="1"/>
      <c r="ICM223" s="1"/>
      <c r="ICN223" s="1"/>
      <c r="ICO223" s="1"/>
      <c r="ICP223" s="1"/>
      <c r="ICQ223" s="1"/>
      <c r="ICR223" s="1"/>
      <c r="ICS223" s="1"/>
      <c r="ICT223" s="1"/>
      <c r="ICU223" s="1"/>
      <c r="ICV223" s="1"/>
      <c r="ICW223" s="1"/>
      <c r="ICX223" s="1"/>
      <c r="ICY223" s="1"/>
      <c r="ICZ223" s="1"/>
      <c r="IDA223" s="1"/>
      <c r="IDB223" s="1"/>
      <c r="IDC223" s="1"/>
      <c r="IDD223" s="1"/>
      <c r="IDE223" s="1"/>
      <c r="IDF223" s="1"/>
      <c r="IDG223" s="1"/>
      <c r="IDH223" s="1"/>
      <c r="IDI223" s="1"/>
      <c r="IDJ223" s="1"/>
      <c r="IDK223" s="1"/>
      <c r="IDL223" s="1"/>
      <c r="IDM223" s="1"/>
      <c r="IDN223" s="1"/>
      <c r="IDO223" s="1"/>
      <c r="IDP223" s="1"/>
      <c r="IDQ223" s="1"/>
      <c r="IDR223" s="1"/>
      <c r="IDS223" s="1"/>
      <c r="IDT223" s="1"/>
      <c r="IDU223" s="1"/>
      <c r="IDV223" s="1"/>
      <c r="IDW223" s="1"/>
      <c r="IDX223" s="1"/>
      <c r="IDY223" s="1"/>
      <c r="IDZ223" s="1"/>
      <c r="IEA223" s="1"/>
      <c r="IEB223" s="1"/>
      <c r="IEC223" s="1"/>
      <c r="IED223" s="1"/>
      <c r="IEE223" s="1"/>
      <c r="IEF223" s="1"/>
      <c r="IEG223" s="1"/>
      <c r="IEH223" s="1"/>
      <c r="IEI223" s="1"/>
      <c r="IEJ223" s="1"/>
      <c r="IEK223" s="1"/>
      <c r="IEL223" s="1"/>
      <c r="IEM223" s="1"/>
      <c r="IEN223" s="1"/>
      <c r="IEO223" s="1"/>
      <c r="IEP223" s="1"/>
      <c r="IEQ223" s="1"/>
      <c r="IER223" s="1"/>
      <c r="IES223" s="1"/>
      <c r="IET223" s="1"/>
      <c r="IEU223" s="1"/>
      <c r="IEV223" s="1"/>
      <c r="IEW223" s="1"/>
      <c r="IEX223" s="1"/>
      <c r="IEY223" s="1"/>
      <c r="IEZ223" s="1"/>
      <c r="IFA223" s="1"/>
      <c r="IFB223" s="1"/>
      <c r="IFC223" s="1"/>
      <c r="IFD223" s="1"/>
      <c r="IFE223" s="1"/>
      <c r="IFF223" s="1"/>
      <c r="IFG223" s="1"/>
      <c r="IFH223" s="1"/>
      <c r="IFI223" s="1"/>
      <c r="IFJ223" s="1"/>
      <c r="IFK223" s="1"/>
      <c r="IFL223" s="1"/>
      <c r="IFM223" s="1"/>
      <c r="IFN223" s="1"/>
      <c r="IFO223" s="1"/>
      <c r="IFP223" s="1"/>
      <c r="IFQ223" s="1"/>
      <c r="IFR223" s="1"/>
      <c r="IFS223" s="1"/>
      <c r="IFT223" s="1"/>
      <c r="IFU223" s="1"/>
      <c r="IFV223" s="1"/>
      <c r="IFW223" s="1"/>
      <c r="IFX223" s="1"/>
      <c r="IFY223" s="1"/>
      <c r="IFZ223" s="1"/>
      <c r="IGA223" s="1"/>
      <c r="IGB223" s="1"/>
      <c r="IGC223" s="1"/>
      <c r="IGD223" s="1"/>
      <c r="IGE223" s="1"/>
      <c r="IGF223" s="1"/>
      <c r="IGG223" s="1"/>
      <c r="IGH223" s="1"/>
      <c r="IGI223" s="1"/>
      <c r="IGJ223" s="1"/>
      <c r="IGK223" s="1"/>
      <c r="IGL223" s="1"/>
      <c r="IGM223" s="1"/>
      <c r="IGN223" s="1"/>
      <c r="IGO223" s="1"/>
      <c r="IGP223" s="1"/>
      <c r="IGQ223" s="1"/>
      <c r="IGR223" s="1"/>
      <c r="IGS223" s="1"/>
      <c r="IGT223" s="1"/>
      <c r="IGU223" s="1"/>
      <c r="IGV223" s="1"/>
      <c r="IGW223" s="1"/>
      <c r="IGX223" s="1"/>
      <c r="IGY223" s="1"/>
      <c r="IGZ223" s="1"/>
      <c r="IHA223" s="1"/>
      <c r="IHB223" s="1"/>
      <c r="IHC223" s="1"/>
      <c r="IHD223" s="1"/>
      <c r="IHE223" s="1"/>
      <c r="IHF223" s="1"/>
      <c r="IHG223" s="1"/>
      <c r="IHH223" s="1"/>
      <c r="IHI223" s="1"/>
      <c r="IHJ223" s="1"/>
      <c r="IHK223" s="1"/>
      <c r="IHL223" s="1"/>
      <c r="IHM223" s="1"/>
      <c r="IHN223" s="1"/>
      <c r="IHO223" s="1"/>
      <c r="IHP223" s="1"/>
      <c r="IHQ223" s="1"/>
      <c r="IHR223" s="1"/>
      <c r="IHS223" s="1"/>
      <c r="IHT223" s="1"/>
      <c r="IHU223" s="1"/>
      <c r="IHV223" s="1"/>
      <c r="IHW223" s="1"/>
      <c r="IHX223" s="1"/>
      <c r="IHY223" s="1"/>
      <c r="IHZ223" s="1"/>
      <c r="IIA223" s="1"/>
      <c r="IIB223" s="1"/>
      <c r="IIC223" s="1"/>
      <c r="IID223" s="1"/>
      <c r="IIE223" s="1"/>
      <c r="IIF223" s="1"/>
      <c r="IIG223" s="1"/>
      <c r="IIH223" s="1"/>
      <c r="III223" s="1"/>
      <c r="IIJ223" s="1"/>
      <c r="IIK223" s="1"/>
      <c r="IIL223" s="1"/>
      <c r="IIM223" s="1"/>
      <c r="IIN223" s="1"/>
      <c r="IIO223" s="1"/>
      <c r="IIP223" s="1"/>
      <c r="IIQ223" s="1"/>
      <c r="IIR223" s="1"/>
      <c r="IIS223" s="1"/>
      <c r="IIT223" s="1"/>
      <c r="IIU223" s="1"/>
      <c r="IIV223" s="1"/>
      <c r="IIW223" s="1"/>
      <c r="IIX223" s="1"/>
      <c r="IIY223" s="1"/>
      <c r="IIZ223" s="1"/>
      <c r="IJA223" s="1"/>
      <c r="IJB223" s="1"/>
      <c r="IJC223" s="1"/>
      <c r="IJD223" s="1"/>
      <c r="IJE223" s="1"/>
      <c r="IJF223" s="1"/>
      <c r="IJG223" s="1"/>
      <c r="IJH223" s="1"/>
      <c r="IJI223" s="1"/>
      <c r="IJJ223" s="1"/>
      <c r="IJK223" s="1"/>
      <c r="IJL223" s="1"/>
      <c r="IJM223" s="1"/>
      <c r="IJN223" s="1"/>
      <c r="IJO223" s="1"/>
      <c r="IJP223" s="1"/>
      <c r="IJQ223" s="1"/>
      <c r="IJR223" s="1"/>
      <c r="IJS223" s="1"/>
      <c r="IJT223" s="1"/>
      <c r="IJU223" s="1"/>
      <c r="IJV223" s="1"/>
      <c r="IJW223" s="1"/>
      <c r="IJX223" s="1"/>
      <c r="IJY223" s="1"/>
      <c r="IJZ223" s="1"/>
      <c r="IKA223" s="1"/>
      <c r="IKB223" s="1"/>
      <c r="IKC223" s="1"/>
      <c r="IKD223" s="1"/>
      <c r="IKE223" s="1"/>
      <c r="IKF223" s="1"/>
      <c r="IKG223" s="1"/>
      <c r="IKH223" s="1"/>
      <c r="IKI223" s="1"/>
      <c r="IKJ223" s="1"/>
      <c r="IKK223" s="1"/>
      <c r="IKL223" s="1"/>
      <c r="IKM223" s="1"/>
      <c r="IKN223" s="1"/>
      <c r="IKO223" s="1"/>
      <c r="IKP223" s="1"/>
      <c r="IKQ223" s="1"/>
      <c r="IKR223" s="1"/>
      <c r="IKS223" s="1"/>
      <c r="IKT223" s="1"/>
      <c r="IKU223" s="1"/>
      <c r="IKV223" s="1"/>
      <c r="IKW223" s="1"/>
      <c r="IKX223" s="1"/>
      <c r="IKY223" s="1"/>
      <c r="IKZ223" s="1"/>
      <c r="ILA223" s="1"/>
      <c r="ILB223" s="1"/>
      <c r="ILC223" s="1"/>
      <c r="ILD223" s="1"/>
      <c r="ILE223" s="1"/>
      <c r="ILF223" s="1"/>
      <c r="ILG223" s="1"/>
      <c r="ILH223" s="1"/>
      <c r="ILI223" s="1"/>
      <c r="ILJ223" s="1"/>
      <c r="ILK223" s="1"/>
      <c r="ILL223" s="1"/>
      <c r="ILM223" s="1"/>
      <c r="ILN223" s="1"/>
      <c r="ILO223" s="1"/>
      <c r="ILP223" s="1"/>
      <c r="ILQ223" s="1"/>
      <c r="ILR223" s="1"/>
      <c r="ILS223" s="1"/>
      <c r="ILT223" s="1"/>
      <c r="ILU223" s="1"/>
      <c r="ILV223" s="1"/>
      <c r="ILW223" s="1"/>
      <c r="ILX223" s="1"/>
      <c r="ILY223" s="1"/>
      <c r="ILZ223" s="1"/>
      <c r="IMA223" s="1"/>
      <c r="IMB223" s="1"/>
      <c r="IMC223" s="1"/>
      <c r="IMD223" s="1"/>
      <c r="IME223" s="1"/>
      <c r="IMF223" s="1"/>
      <c r="IMG223" s="1"/>
      <c r="IMH223" s="1"/>
      <c r="IMI223" s="1"/>
      <c r="IMJ223" s="1"/>
      <c r="IMK223" s="1"/>
      <c r="IML223" s="1"/>
      <c r="IMM223" s="1"/>
      <c r="IMN223" s="1"/>
      <c r="IMO223" s="1"/>
      <c r="IMP223" s="1"/>
      <c r="IMQ223" s="1"/>
      <c r="IMR223" s="1"/>
      <c r="IMS223" s="1"/>
      <c r="IMT223" s="1"/>
      <c r="IMU223" s="1"/>
      <c r="IMV223" s="1"/>
      <c r="IMW223" s="1"/>
      <c r="IMX223" s="1"/>
      <c r="IMY223" s="1"/>
      <c r="IMZ223" s="1"/>
      <c r="INA223" s="1"/>
      <c r="INB223" s="1"/>
      <c r="INC223" s="1"/>
      <c r="IND223" s="1"/>
      <c r="INE223" s="1"/>
      <c r="INF223" s="1"/>
      <c r="ING223" s="1"/>
      <c r="INH223" s="1"/>
      <c r="INI223" s="1"/>
      <c r="INJ223" s="1"/>
      <c r="INK223" s="1"/>
      <c r="INL223" s="1"/>
      <c r="INM223" s="1"/>
      <c r="INN223" s="1"/>
      <c r="INO223" s="1"/>
      <c r="INP223" s="1"/>
      <c r="INQ223" s="1"/>
      <c r="INR223" s="1"/>
      <c r="INS223" s="1"/>
      <c r="INT223" s="1"/>
      <c r="INU223" s="1"/>
      <c r="INV223" s="1"/>
      <c r="INW223" s="1"/>
      <c r="INX223" s="1"/>
      <c r="INY223" s="1"/>
      <c r="INZ223" s="1"/>
      <c r="IOA223" s="1"/>
      <c r="IOB223" s="1"/>
      <c r="IOC223" s="1"/>
      <c r="IOD223" s="1"/>
      <c r="IOE223" s="1"/>
      <c r="IOF223" s="1"/>
      <c r="IOG223" s="1"/>
      <c r="IOH223" s="1"/>
      <c r="IOI223" s="1"/>
      <c r="IOJ223" s="1"/>
      <c r="IOK223" s="1"/>
      <c r="IOL223" s="1"/>
      <c r="IOM223" s="1"/>
      <c r="ION223" s="1"/>
      <c r="IOO223" s="1"/>
      <c r="IOP223" s="1"/>
      <c r="IOQ223" s="1"/>
      <c r="IOR223" s="1"/>
      <c r="IOS223" s="1"/>
      <c r="IOT223" s="1"/>
      <c r="IOU223" s="1"/>
      <c r="IOV223" s="1"/>
      <c r="IOW223" s="1"/>
      <c r="IOX223" s="1"/>
      <c r="IOY223" s="1"/>
      <c r="IOZ223" s="1"/>
      <c r="IPA223" s="1"/>
      <c r="IPB223" s="1"/>
      <c r="IPC223" s="1"/>
      <c r="IPD223" s="1"/>
      <c r="IPE223" s="1"/>
      <c r="IPF223" s="1"/>
      <c r="IPG223" s="1"/>
      <c r="IPH223" s="1"/>
      <c r="IPI223" s="1"/>
      <c r="IPJ223" s="1"/>
      <c r="IPK223" s="1"/>
      <c r="IPL223" s="1"/>
      <c r="IPM223" s="1"/>
      <c r="IPN223" s="1"/>
      <c r="IPO223" s="1"/>
      <c r="IPP223" s="1"/>
      <c r="IPQ223" s="1"/>
      <c r="IPR223" s="1"/>
      <c r="IPS223" s="1"/>
      <c r="IPT223" s="1"/>
      <c r="IPU223" s="1"/>
      <c r="IPV223" s="1"/>
      <c r="IPW223" s="1"/>
      <c r="IPX223" s="1"/>
      <c r="IPY223" s="1"/>
      <c r="IPZ223" s="1"/>
      <c r="IQA223" s="1"/>
      <c r="IQB223" s="1"/>
      <c r="IQC223" s="1"/>
      <c r="IQD223" s="1"/>
      <c r="IQE223" s="1"/>
      <c r="IQF223" s="1"/>
      <c r="IQG223" s="1"/>
      <c r="IQH223" s="1"/>
      <c r="IQI223" s="1"/>
      <c r="IQJ223" s="1"/>
      <c r="IQK223" s="1"/>
      <c r="IQL223" s="1"/>
      <c r="IQM223" s="1"/>
      <c r="IQN223" s="1"/>
      <c r="IQO223" s="1"/>
      <c r="IQP223" s="1"/>
      <c r="IQQ223" s="1"/>
      <c r="IQR223" s="1"/>
      <c r="IQS223" s="1"/>
      <c r="IQT223" s="1"/>
      <c r="IQU223" s="1"/>
      <c r="IQV223" s="1"/>
      <c r="IQW223" s="1"/>
      <c r="IQX223" s="1"/>
      <c r="IQY223" s="1"/>
      <c r="IQZ223" s="1"/>
      <c r="IRA223" s="1"/>
      <c r="IRB223" s="1"/>
      <c r="IRC223" s="1"/>
      <c r="IRD223" s="1"/>
      <c r="IRE223" s="1"/>
      <c r="IRF223" s="1"/>
      <c r="IRG223" s="1"/>
      <c r="IRH223" s="1"/>
      <c r="IRI223" s="1"/>
      <c r="IRJ223" s="1"/>
      <c r="IRK223" s="1"/>
      <c r="IRL223" s="1"/>
      <c r="IRM223" s="1"/>
      <c r="IRN223" s="1"/>
      <c r="IRO223" s="1"/>
      <c r="IRP223" s="1"/>
      <c r="IRQ223" s="1"/>
      <c r="IRR223" s="1"/>
      <c r="IRS223" s="1"/>
      <c r="IRT223" s="1"/>
      <c r="IRU223" s="1"/>
      <c r="IRV223" s="1"/>
      <c r="IRW223" s="1"/>
      <c r="IRX223" s="1"/>
      <c r="IRY223" s="1"/>
      <c r="IRZ223" s="1"/>
      <c r="ISA223" s="1"/>
      <c r="ISB223" s="1"/>
      <c r="ISC223" s="1"/>
      <c r="ISD223" s="1"/>
      <c r="ISE223" s="1"/>
      <c r="ISF223" s="1"/>
      <c r="ISG223" s="1"/>
      <c r="ISH223" s="1"/>
      <c r="ISI223" s="1"/>
      <c r="ISJ223" s="1"/>
      <c r="ISK223" s="1"/>
      <c r="ISL223" s="1"/>
      <c r="ISM223" s="1"/>
      <c r="ISN223" s="1"/>
      <c r="ISO223" s="1"/>
      <c r="ISP223" s="1"/>
      <c r="ISQ223" s="1"/>
      <c r="ISR223" s="1"/>
      <c r="ISS223" s="1"/>
      <c r="IST223" s="1"/>
      <c r="ISU223" s="1"/>
      <c r="ISV223" s="1"/>
      <c r="ISW223" s="1"/>
      <c r="ISX223" s="1"/>
      <c r="ISY223" s="1"/>
      <c r="ISZ223" s="1"/>
      <c r="ITA223" s="1"/>
      <c r="ITB223" s="1"/>
      <c r="ITC223" s="1"/>
      <c r="ITD223" s="1"/>
      <c r="ITE223" s="1"/>
      <c r="ITF223" s="1"/>
      <c r="ITG223" s="1"/>
      <c r="ITH223" s="1"/>
      <c r="ITI223" s="1"/>
      <c r="ITJ223" s="1"/>
      <c r="ITK223" s="1"/>
      <c r="ITL223" s="1"/>
      <c r="ITM223" s="1"/>
      <c r="ITN223" s="1"/>
      <c r="ITO223" s="1"/>
      <c r="ITP223" s="1"/>
      <c r="ITQ223" s="1"/>
      <c r="ITR223" s="1"/>
      <c r="ITS223" s="1"/>
      <c r="ITT223" s="1"/>
      <c r="ITU223" s="1"/>
      <c r="ITV223" s="1"/>
      <c r="ITW223" s="1"/>
      <c r="ITX223" s="1"/>
      <c r="ITY223" s="1"/>
      <c r="ITZ223" s="1"/>
      <c r="IUA223" s="1"/>
      <c r="IUB223" s="1"/>
      <c r="IUC223" s="1"/>
      <c r="IUD223" s="1"/>
      <c r="IUE223" s="1"/>
      <c r="IUF223" s="1"/>
      <c r="IUG223" s="1"/>
      <c r="IUH223" s="1"/>
      <c r="IUI223" s="1"/>
      <c r="IUJ223" s="1"/>
      <c r="IUK223" s="1"/>
      <c r="IUL223" s="1"/>
      <c r="IUM223" s="1"/>
      <c r="IUN223" s="1"/>
      <c r="IUO223" s="1"/>
      <c r="IUP223" s="1"/>
      <c r="IUQ223" s="1"/>
      <c r="IUR223" s="1"/>
      <c r="IUS223" s="1"/>
      <c r="IUT223" s="1"/>
      <c r="IUU223" s="1"/>
      <c r="IUV223" s="1"/>
      <c r="IUW223" s="1"/>
      <c r="IUX223" s="1"/>
      <c r="IUY223" s="1"/>
      <c r="IUZ223" s="1"/>
      <c r="IVA223" s="1"/>
      <c r="IVB223" s="1"/>
      <c r="IVC223" s="1"/>
      <c r="IVD223" s="1"/>
      <c r="IVE223" s="1"/>
      <c r="IVF223" s="1"/>
      <c r="IVG223" s="1"/>
      <c r="IVH223" s="1"/>
      <c r="IVI223" s="1"/>
      <c r="IVJ223" s="1"/>
      <c r="IVK223" s="1"/>
      <c r="IVL223" s="1"/>
      <c r="IVM223" s="1"/>
      <c r="IVN223" s="1"/>
      <c r="IVO223" s="1"/>
      <c r="IVP223" s="1"/>
      <c r="IVQ223" s="1"/>
      <c r="IVR223" s="1"/>
      <c r="IVS223" s="1"/>
      <c r="IVT223" s="1"/>
      <c r="IVU223" s="1"/>
      <c r="IVV223" s="1"/>
      <c r="IVW223" s="1"/>
      <c r="IVX223" s="1"/>
      <c r="IVY223" s="1"/>
      <c r="IVZ223" s="1"/>
      <c r="IWA223" s="1"/>
      <c r="IWB223" s="1"/>
      <c r="IWC223" s="1"/>
      <c r="IWD223" s="1"/>
      <c r="IWE223" s="1"/>
      <c r="IWF223" s="1"/>
      <c r="IWG223" s="1"/>
      <c r="IWH223" s="1"/>
      <c r="IWI223" s="1"/>
      <c r="IWJ223" s="1"/>
      <c r="IWK223" s="1"/>
      <c r="IWL223" s="1"/>
      <c r="IWM223" s="1"/>
      <c r="IWN223" s="1"/>
      <c r="IWO223" s="1"/>
      <c r="IWP223" s="1"/>
      <c r="IWQ223" s="1"/>
      <c r="IWR223" s="1"/>
      <c r="IWS223" s="1"/>
      <c r="IWT223" s="1"/>
      <c r="IWU223" s="1"/>
      <c r="IWV223" s="1"/>
      <c r="IWW223" s="1"/>
      <c r="IWX223" s="1"/>
      <c r="IWY223" s="1"/>
      <c r="IWZ223" s="1"/>
      <c r="IXA223" s="1"/>
      <c r="IXB223" s="1"/>
      <c r="IXC223" s="1"/>
      <c r="IXD223" s="1"/>
      <c r="IXE223" s="1"/>
      <c r="IXF223" s="1"/>
      <c r="IXG223" s="1"/>
      <c r="IXH223" s="1"/>
      <c r="IXI223" s="1"/>
      <c r="IXJ223" s="1"/>
      <c r="IXK223" s="1"/>
      <c r="IXL223" s="1"/>
      <c r="IXM223" s="1"/>
      <c r="IXN223" s="1"/>
      <c r="IXO223" s="1"/>
      <c r="IXP223" s="1"/>
      <c r="IXQ223" s="1"/>
      <c r="IXR223" s="1"/>
      <c r="IXS223" s="1"/>
      <c r="IXT223" s="1"/>
      <c r="IXU223" s="1"/>
      <c r="IXV223" s="1"/>
      <c r="IXW223" s="1"/>
      <c r="IXX223" s="1"/>
      <c r="IXY223" s="1"/>
      <c r="IXZ223" s="1"/>
      <c r="IYA223" s="1"/>
      <c r="IYB223" s="1"/>
      <c r="IYC223" s="1"/>
      <c r="IYD223" s="1"/>
      <c r="IYE223" s="1"/>
      <c r="IYF223" s="1"/>
      <c r="IYG223" s="1"/>
      <c r="IYH223" s="1"/>
      <c r="IYI223" s="1"/>
      <c r="IYJ223" s="1"/>
      <c r="IYK223" s="1"/>
      <c r="IYL223" s="1"/>
      <c r="IYM223" s="1"/>
      <c r="IYN223" s="1"/>
      <c r="IYO223" s="1"/>
      <c r="IYP223" s="1"/>
      <c r="IYQ223" s="1"/>
      <c r="IYR223" s="1"/>
      <c r="IYS223" s="1"/>
      <c r="IYT223" s="1"/>
      <c r="IYU223" s="1"/>
      <c r="IYV223" s="1"/>
      <c r="IYW223" s="1"/>
      <c r="IYX223" s="1"/>
      <c r="IYY223" s="1"/>
      <c r="IYZ223" s="1"/>
      <c r="IZA223" s="1"/>
      <c r="IZB223" s="1"/>
      <c r="IZC223" s="1"/>
      <c r="IZD223" s="1"/>
      <c r="IZE223" s="1"/>
      <c r="IZF223" s="1"/>
      <c r="IZG223" s="1"/>
      <c r="IZH223" s="1"/>
      <c r="IZI223" s="1"/>
      <c r="IZJ223" s="1"/>
      <c r="IZK223" s="1"/>
      <c r="IZL223" s="1"/>
      <c r="IZM223" s="1"/>
      <c r="IZN223" s="1"/>
      <c r="IZO223" s="1"/>
      <c r="IZP223" s="1"/>
      <c r="IZQ223" s="1"/>
      <c r="IZR223" s="1"/>
      <c r="IZS223" s="1"/>
      <c r="IZT223" s="1"/>
      <c r="IZU223" s="1"/>
      <c r="IZV223" s="1"/>
      <c r="IZW223" s="1"/>
      <c r="IZX223" s="1"/>
      <c r="IZY223" s="1"/>
      <c r="IZZ223" s="1"/>
      <c r="JAA223" s="1"/>
      <c r="JAB223" s="1"/>
      <c r="JAC223" s="1"/>
      <c r="JAD223" s="1"/>
      <c r="JAE223" s="1"/>
      <c r="JAF223" s="1"/>
      <c r="JAG223" s="1"/>
      <c r="JAH223" s="1"/>
      <c r="JAI223" s="1"/>
      <c r="JAJ223" s="1"/>
      <c r="JAK223" s="1"/>
      <c r="JAL223" s="1"/>
      <c r="JAM223" s="1"/>
      <c r="JAN223" s="1"/>
      <c r="JAO223" s="1"/>
      <c r="JAP223" s="1"/>
      <c r="JAQ223" s="1"/>
      <c r="JAR223" s="1"/>
      <c r="JAS223" s="1"/>
      <c r="JAT223" s="1"/>
      <c r="JAU223" s="1"/>
      <c r="JAV223" s="1"/>
      <c r="JAW223" s="1"/>
      <c r="JAX223" s="1"/>
      <c r="JAY223" s="1"/>
      <c r="JAZ223" s="1"/>
      <c r="JBA223" s="1"/>
      <c r="JBB223" s="1"/>
      <c r="JBC223" s="1"/>
      <c r="JBD223" s="1"/>
      <c r="JBE223" s="1"/>
      <c r="JBF223" s="1"/>
      <c r="JBG223" s="1"/>
      <c r="JBH223" s="1"/>
      <c r="JBI223" s="1"/>
      <c r="JBJ223" s="1"/>
      <c r="JBK223" s="1"/>
      <c r="JBL223" s="1"/>
      <c r="JBM223" s="1"/>
      <c r="JBN223" s="1"/>
      <c r="JBO223" s="1"/>
      <c r="JBP223" s="1"/>
      <c r="JBQ223" s="1"/>
      <c r="JBR223" s="1"/>
      <c r="JBS223" s="1"/>
      <c r="JBT223" s="1"/>
      <c r="JBU223" s="1"/>
      <c r="JBV223" s="1"/>
      <c r="JBW223" s="1"/>
      <c r="JBX223" s="1"/>
      <c r="JBY223" s="1"/>
      <c r="JBZ223" s="1"/>
      <c r="JCA223" s="1"/>
      <c r="JCB223" s="1"/>
      <c r="JCC223" s="1"/>
      <c r="JCD223" s="1"/>
      <c r="JCE223" s="1"/>
      <c r="JCF223" s="1"/>
      <c r="JCG223" s="1"/>
      <c r="JCH223" s="1"/>
      <c r="JCI223" s="1"/>
      <c r="JCJ223" s="1"/>
      <c r="JCK223" s="1"/>
      <c r="JCL223" s="1"/>
      <c r="JCM223" s="1"/>
      <c r="JCN223" s="1"/>
      <c r="JCO223" s="1"/>
      <c r="JCP223" s="1"/>
      <c r="JCQ223" s="1"/>
      <c r="JCR223" s="1"/>
      <c r="JCS223" s="1"/>
      <c r="JCT223" s="1"/>
      <c r="JCU223" s="1"/>
      <c r="JCV223" s="1"/>
      <c r="JCW223" s="1"/>
      <c r="JCX223" s="1"/>
      <c r="JCY223" s="1"/>
      <c r="JCZ223" s="1"/>
      <c r="JDA223" s="1"/>
      <c r="JDB223" s="1"/>
      <c r="JDC223" s="1"/>
      <c r="JDD223" s="1"/>
      <c r="JDE223" s="1"/>
      <c r="JDF223" s="1"/>
      <c r="JDG223" s="1"/>
      <c r="JDH223" s="1"/>
      <c r="JDI223" s="1"/>
      <c r="JDJ223" s="1"/>
      <c r="JDK223" s="1"/>
      <c r="JDL223" s="1"/>
      <c r="JDM223" s="1"/>
      <c r="JDN223" s="1"/>
      <c r="JDO223" s="1"/>
      <c r="JDP223" s="1"/>
      <c r="JDQ223" s="1"/>
      <c r="JDR223" s="1"/>
      <c r="JDS223" s="1"/>
      <c r="JDT223" s="1"/>
      <c r="JDU223" s="1"/>
      <c r="JDV223" s="1"/>
      <c r="JDW223" s="1"/>
      <c r="JDX223" s="1"/>
      <c r="JDY223" s="1"/>
      <c r="JDZ223" s="1"/>
      <c r="JEA223" s="1"/>
      <c r="JEB223" s="1"/>
      <c r="JEC223" s="1"/>
      <c r="JED223" s="1"/>
      <c r="JEE223" s="1"/>
      <c r="JEF223" s="1"/>
      <c r="JEG223" s="1"/>
      <c r="JEH223" s="1"/>
      <c r="JEI223" s="1"/>
      <c r="JEJ223" s="1"/>
      <c r="JEK223" s="1"/>
      <c r="JEL223" s="1"/>
      <c r="JEM223" s="1"/>
      <c r="JEN223" s="1"/>
      <c r="JEO223" s="1"/>
      <c r="JEP223" s="1"/>
      <c r="JEQ223" s="1"/>
      <c r="JER223" s="1"/>
      <c r="JES223" s="1"/>
      <c r="JET223" s="1"/>
      <c r="JEU223" s="1"/>
      <c r="JEV223" s="1"/>
      <c r="JEW223" s="1"/>
      <c r="JEX223" s="1"/>
      <c r="JEY223" s="1"/>
      <c r="JEZ223" s="1"/>
      <c r="JFA223" s="1"/>
      <c r="JFB223" s="1"/>
      <c r="JFC223" s="1"/>
      <c r="JFD223" s="1"/>
      <c r="JFE223" s="1"/>
      <c r="JFF223" s="1"/>
      <c r="JFG223" s="1"/>
      <c r="JFH223" s="1"/>
      <c r="JFI223" s="1"/>
      <c r="JFJ223" s="1"/>
      <c r="JFK223" s="1"/>
      <c r="JFL223" s="1"/>
      <c r="JFM223" s="1"/>
      <c r="JFN223" s="1"/>
      <c r="JFO223" s="1"/>
      <c r="JFP223" s="1"/>
      <c r="JFQ223" s="1"/>
      <c r="JFR223" s="1"/>
      <c r="JFS223" s="1"/>
      <c r="JFT223" s="1"/>
      <c r="JFU223" s="1"/>
      <c r="JFV223" s="1"/>
      <c r="JFW223" s="1"/>
      <c r="JFX223" s="1"/>
      <c r="JFY223" s="1"/>
      <c r="JFZ223" s="1"/>
      <c r="JGA223" s="1"/>
      <c r="JGB223" s="1"/>
      <c r="JGC223" s="1"/>
      <c r="JGD223" s="1"/>
      <c r="JGE223" s="1"/>
      <c r="JGF223" s="1"/>
      <c r="JGG223" s="1"/>
      <c r="JGH223" s="1"/>
      <c r="JGI223" s="1"/>
      <c r="JGJ223" s="1"/>
      <c r="JGK223" s="1"/>
      <c r="JGL223" s="1"/>
      <c r="JGM223" s="1"/>
      <c r="JGN223" s="1"/>
      <c r="JGO223" s="1"/>
      <c r="JGP223" s="1"/>
      <c r="JGQ223" s="1"/>
      <c r="JGR223" s="1"/>
      <c r="JGS223" s="1"/>
      <c r="JGT223" s="1"/>
      <c r="JGU223" s="1"/>
      <c r="JGV223" s="1"/>
      <c r="JGW223" s="1"/>
      <c r="JGX223" s="1"/>
      <c r="JGY223" s="1"/>
      <c r="JGZ223" s="1"/>
      <c r="JHA223" s="1"/>
      <c r="JHB223" s="1"/>
      <c r="JHC223" s="1"/>
      <c r="JHD223" s="1"/>
      <c r="JHE223" s="1"/>
      <c r="JHF223" s="1"/>
      <c r="JHG223" s="1"/>
      <c r="JHH223" s="1"/>
      <c r="JHI223" s="1"/>
      <c r="JHJ223" s="1"/>
      <c r="JHK223" s="1"/>
      <c r="JHL223" s="1"/>
      <c r="JHM223" s="1"/>
      <c r="JHN223" s="1"/>
      <c r="JHO223" s="1"/>
      <c r="JHP223" s="1"/>
      <c r="JHQ223" s="1"/>
      <c r="JHR223" s="1"/>
      <c r="JHS223" s="1"/>
      <c r="JHT223" s="1"/>
      <c r="JHU223" s="1"/>
      <c r="JHV223" s="1"/>
      <c r="JHW223" s="1"/>
      <c r="JHX223" s="1"/>
      <c r="JHY223" s="1"/>
      <c r="JHZ223" s="1"/>
      <c r="JIA223" s="1"/>
      <c r="JIB223" s="1"/>
      <c r="JIC223" s="1"/>
      <c r="JID223" s="1"/>
      <c r="JIE223" s="1"/>
      <c r="JIF223" s="1"/>
      <c r="JIG223" s="1"/>
      <c r="JIH223" s="1"/>
      <c r="JII223" s="1"/>
      <c r="JIJ223" s="1"/>
      <c r="JIK223" s="1"/>
      <c r="JIL223" s="1"/>
      <c r="JIM223" s="1"/>
      <c r="JIN223" s="1"/>
      <c r="JIO223" s="1"/>
      <c r="JIP223" s="1"/>
      <c r="JIQ223" s="1"/>
      <c r="JIR223" s="1"/>
      <c r="JIS223" s="1"/>
      <c r="JIT223" s="1"/>
      <c r="JIU223" s="1"/>
      <c r="JIV223" s="1"/>
      <c r="JIW223" s="1"/>
      <c r="JIX223" s="1"/>
      <c r="JIY223" s="1"/>
      <c r="JIZ223" s="1"/>
      <c r="JJA223" s="1"/>
      <c r="JJB223" s="1"/>
      <c r="JJC223" s="1"/>
      <c r="JJD223" s="1"/>
      <c r="JJE223" s="1"/>
      <c r="JJF223" s="1"/>
      <c r="JJG223" s="1"/>
      <c r="JJH223" s="1"/>
      <c r="JJI223" s="1"/>
      <c r="JJJ223" s="1"/>
      <c r="JJK223" s="1"/>
      <c r="JJL223" s="1"/>
      <c r="JJM223" s="1"/>
      <c r="JJN223" s="1"/>
      <c r="JJO223" s="1"/>
      <c r="JJP223" s="1"/>
      <c r="JJQ223" s="1"/>
      <c r="JJR223" s="1"/>
      <c r="JJS223" s="1"/>
      <c r="JJT223" s="1"/>
      <c r="JJU223" s="1"/>
      <c r="JJV223" s="1"/>
      <c r="JJW223" s="1"/>
      <c r="JJX223" s="1"/>
      <c r="JJY223" s="1"/>
      <c r="JJZ223" s="1"/>
      <c r="JKA223" s="1"/>
      <c r="JKB223" s="1"/>
      <c r="JKC223" s="1"/>
      <c r="JKD223" s="1"/>
      <c r="JKE223" s="1"/>
      <c r="JKF223" s="1"/>
      <c r="JKG223" s="1"/>
      <c r="JKH223" s="1"/>
      <c r="JKI223" s="1"/>
      <c r="JKJ223" s="1"/>
      <c r="JKK223" s="1"/>
      <c r="JKL223" s="1"/>
      <c r="JKM223" s="1"/>
      <c r="JKN223" s="1"/>
      <c r="JKO223" s="1"/>
      <c r="JKP223" s="1"/>
      <c r="JKQ223" s="1"/>
      <c r="JKR223" s="1"/>
      <c r="JKS223" s="1"/>
      <c r="JKT223" s="1"/>
      <c r="JKU223" s="1"/>
      <c r="JKV223" s="1"/>
      <c r="JKW223" s="1"/>
      <c r="JKX223" s="1"/>
      <c r="JKY223" s="1"/>
      <c r="JKZ223" s="1"/>
      <c r="JLA223" s="1"/>
      <c r="JLB223" s="1"/>
      <c r="JLC223" s="1"/>
      <c r="JLD223" s="1"/>
      <c r="JLE223" s="1"/>
      <c r="JLF223" s="1"/>
      <c r="JLG223" s="1"/>
      <c r="JLH223" s="1"/>
      <c r="JLI223" s="1"/>
      <c r="JLJ223" s="1"/>
      <c r="JLK223" s="1"/>
      <c r="JLL223" s="1"/>
      <c r="JLM223" s="1"/>
      <c r="JLN223" s="1"/>
      <c r="JLO223" s="1"/>
      <c r="JLP223" s="1"/>
      <c r="JLQ223" s="1"/>
      <c r="JLR223" s="1"/>
      <c r="JLS223" s="1"/>
      <c r="JLT223" s="1"/>
      <c r="JLU223" s="1"/>
      <c r="JLV223" s="1"/>
      <c r="JLW223" s="1"/>
      <c r="JLX223" s="1"/>
      <c r="JLY223" s="1"/>
      <c r="JLZ223" s="1"/>
      <c r="JMA223" s="1"/>
      <c r="JMB223" s="1"/>
      <c r="JMC223" s="1"/>
      <c r="JMD223" s="1"/>
      <c r="JME223" s="1"/>
      <c r="JMF223" s="1"/>
      <c r="JMG223" s="1"/>
      <c r="JMH223" s="1"/>
      <c r="JMI223" s="1"/>
      <c r="JMJ223" s="1"/>
      <c r="JMK223" s="1"/>
      <c r="JML223" s="1"/>
      <c r="JMM223" s="1"/>
      <c r="JMN223" s="1"/>
      <c r="JMO223" s="1"/>
      <c r="JMP223" s="1"/>
      <c r="JMQ223" s="1"/>
      <c r="JMR223" s="1"/>
      <c r="JMS223" s="1"/>
      <c r="JMT223" s="1"/>
      <c r="JMU223" s="1"/>
      <c r="JMV223" s="1"/>
      <c r="JMW223" s="1"/>
      <c r="JMX223" s="1"/>
      <c r="JMY223" s="1"/>
      <c r="JMZ223" s="1"/>
      <c r="JNA223" s="1"/>
      <c r="JNB223" s="1"/>
      <c r="JNC223" s="1"/>
      <c r="JND223" s="1"/>
      <c r="JNE223" s="1"/>
      <c r="JNF223" s="1"/>
      <c r="JNG223" s="1"/>
      <c r="JNH223" s="1"/>
      <c r="JNI223" s="1"/>
      <c r="JNJ223" s="1"/>
      <c r="JNK223" s="1"/>
      <c r="JNL223" s="1"/>
      <c r="JNM223" s="1"/>
      <c r="JNN223" s="1"/>
      <c r="JNO223" s="1"/>
      <c r="JNP223" s="1"/>
      <c r="JNQ223" s="1"/>
      <c r="JNR223" s="1"/>
      <c r="JNS223" s="1"/>
      <c r="JNT223" s="1"/>
      <c r="JNU223" s="1"/>
      <c r="JNV223" s="1"/>
      <c r="JNW223" s="1"/>
      <c r="JNX223" s="1"/>
      <c r="JNY223" s="1"/>
      <c r="JNZ223" s="1"/>
      <c r="JOA223" s="1"/>
      <c r="JOB223" s="1"/>
      <c r="JOC223" s="1"/>
      <c r="JOD223" s="1"/>
      <c r="JOE223" s="1"/>
      <c r="JOF223" s="1"/>
      <c r="JOG223" s="1"/>
      <c r="JOH223" s="1"/>
      <c r="JOI223" s="1"/>
      <c r="JOJ223" s="1"/>
      <c r="JOK223" s="1"/>
      <c r="JOL223" s="1"/>
      <c r="JOM223" s="1"/>
      <c r="JON223" s="1"/>
      <c r="JOO223" s="1"/>
      <c r="JOP223" s="1"/>
      <c r="JOQ223" s="1"/>
      <c r="JOR223" s="1"/>
      <c r="JOS223" s="1"/>
      <c r="JOT223" s="1"/>
      <c r="JOU223" s="1"/>
      <c r="JOV223" s="1"/>
      <c r="JOW223" s="1"/>
      <c r="JOX223" s="1"/>
      <c r="JOY223" s="1"/>
      <c r="JOZ223" s="1"/>
      <c r="JPA223" s="1"/>
      <c r="JPB223" s="1"/>
      <c r="JPC223" s="1"/>
      <c r="JPD223" s="1"/>
      <c r="JPE223" s="1"/>
      <c r="JPF223" s="1"/>
      <c r="JPG223" s="1"/>
      <c r="JPH223" s="1"/>
      <c r="JPI223" s="1"/>
      <c r="JPJ223" s="1"/>
      <c r="JPK223" s="1"/>
      <c r="JPL223" s="1"/>
      <c r="JPM223" s="1"/>
      <c r="JPN223" s="1"/>
      <c r="JPO223" s="1"/>
      <c r="JPP223" s="1"/>
      <c r="JPQ223" s="1"/>
      <c r="JPR223" s="1"/>
      <c r="JPS223" s="1"/>
      <c r="JPT223" s="1"/>
      <c r="JPU223" s="1"/>
      <c r="JPV223" s="1"/>
      <c r="JPW223" s="1"/>
      <c r="JPX223" s="1"/>
      <c r="JPY223" s="1"/>
      <c r="JPZ223" s="1"/>
      <c r="JQA223" s="1"/>
      <c r="JQB223" s="1"/>
      <c r="JQC223" s="1"/>
      <c r="JQD223" s="1"/>
      <c r="JQE223" s="1"/>
      <c r="JQF223" s="1"/>
      <c r="JQG223" s="1"/>
      <c r="JQH223" s="1"/>
      <c r="JQI223" s="1"/>
      <c r="JQJ223" s="1"/>
      <c r="JQK223" s="1"/>
      <c r="JQL223" s="1"/>
      <c r="JQM223" s="1"/>
      <c r="JQN223" s="1"/>
      <c r="JQO223" s="1"/>
      <c r="JQP223" s="1"/>
      <c r="JQQ223" s="1"/>
      <c r="JQR223" s="1"/>
      <c r="JQS223" s="1"/>
      <c r="JQT223" s="1"/>
      <c r="JQU223" s="1"/>
      <c r="JQV223" s="1"/>
      <c r="JQW223" s="1"/>
      <c r="JQX223" s="1"/>
      <c r="JQY223" s="1"/>
      <c r="JQZ223" s="1"/>
      <c r="JRA223" s="1"/>
      <c r="JRB223" s="1"/>
      <c r="JRC223" s="1"/>
      <c r="JRD223" s="1"/>
      <c r="JRE223" s="1"/>
      <c r="JRF223" s="1"/>
      <c r="JRG223" s="1"/>
      <c r="JRH223" s="1"/>
      <c r="JRI223" s="1"/>
      <c r="JRJ223" s="1"/>
      <c r="JRK223" s="1"/>
      <c r="JRL223" s="1"/>
      <c r="JRM223" s="1"/>
      <c r="JRN223" s="1"/>
      <c r="JRO223" s="1"/>
      <c r="JRP223" s="1"/>
      <c r="JRQ223" s="1"/>
      <c r="JRR223" s="1"/>
      <c r="JRS223" s="1"/>
      <c r="JRT223" s="1"/>
      <c r="JRU223" s="1"/>
      <c r="JRV223" s="1"/>
      <c r="JRW223" s="1"/>
      <c r="JRX223" s="1"/>
      <c r="JRY223" s="1"/>
      <c r="JRZ223" s="1"/>
      <c r="JSA223" s="1"/>
      <c r="JSB223" s="1"/>
      <c r="JSC223" s="1"/>
      <c r="JSD223" s="1"/>
      <c r="JSE223" s="1"/>
      <c r="JSF223" s="1"/>
      <c r="JSG223" s="1"/>
      <c r="JSH223" s="1"/>
      <c r="JSI223" s="1"/>
      <c r="JSJ223" s="1"/>
      <c r="JSK223" s="1"/>
      <c r="JSL223" s="1"/>
      <c r="JSM223" s="1"/>
      <c r="JSN223" s="1"/>
      <c r="JSO223" s="1"/>
      <c r="JSP223" s="1"/>
      <c r="JSQ223" s="1"/>
      <c r="JSR223" s="1"/>
      <c r="JSS223" s="1"/>
      <c r="JST223" s="1"/>
      <c r="JSU223" s="1"/>
      <c r="JSV223" s="1"/>
      <c r="JSW223" s="1"/>
      <c r="JSX223" s="1"/>
      <c r="JSY223" s="1"/>
      <c r="JSZ223" s="1"/>
      <c r="JTA223" s="1"/>
      <c r="JTB223" s="1"/>
      <c r="JTC223" s="1"/>
      <c r="JTD223" s="1"/>
      <c r="JTE223" s="1"/>
      <c r="JTF223" s="1"/>
      <c r="JTG223" s="1"/>
      <c r="JTH223" s="1"/>
      <c r="JTI223" s="1"/>
      <c r="JTJ223" s="1"/>
      <c r="JTK223" s="1"/>
      <c r="JTL223" s="1"/>
      <c r="JTM223" s="1"/>
      <c r="JTN223" s="1"/>
      <c r="JTO223" s="1"/>
      <c r="JTP223" s="1"/>
      <c r="JTQ223" s="1"/>
      <c r="JTR223" s="1"/>
      <c r="JTS223" s="1"/>
      <c r="JTT223" s="1"/>
      <c r="JTU223" s="1"/>
      <c r="JTV223" s="1"/>
      <c r="JTW223" s="1"/>
      <c r="JTX223" s="1"/>
      <c r="JTY223" s="1"/>
      <c r="JTZ223" s="1"/>
      <c r="JUA223" s="1"/>
      <c r="JUB223" s="1"/>
      <c r="JUC223" s="1"/>
      <c r="JUD223" s="1"/>
      <c r="JUE223" s="1"/>
      <c r="JUF223" s="1"/>
      <c r="JUG223" s="1"/>
      <c r="JUH223" s="1"/>
      <c r="JUI223" s="1"/>
      <c r="JUJ223" s="1"/>
      <c r="JUK223" s="1"/>
      <c r="JUL223" s="1"/>
      <c r="JUM223" s="1"/>
      <c r="JUN223" s="1"/>
      <c r="JUO223" s="1"/>
      <c r="JUP223" s="1"/>
      <c r="JUQ223" s="1"/>
      <c r="JUR223" s="1"/>
      <c r="JUS223" s="1"/>
      <c r="JUT223" s="1"/>
      <c r="JUU223" s="1"/>
      <c r="JUV223" s="1"/>
      <c r="JUW223" s="1"/>
      <c r="JUX223" s="1"/>
      <c r="JUY223" s="1"/>
      <c r="JUZ223" s="1"/>
      <c r="JVA223" s="1"/>
      <c r="JVB223" s="1"/>
      <c r="JVC223" s="1"/>
      <c r="JVD223" s="1"/>
      <c r="JVE223" s="1"/>
      <c r="JVF223" s="1"/>
      <c r="JVG223" s="1"/>
      <c r="JVH223" s="1"/>
      <c r="JVI223" s="1"/>
      <c r="JVJ223" s="1"/>
      <c r="JVK223" s="1"/>
      <c r="JVL223" s="1"/>
      <c r="JVM223" s="1"/>
      <c r="JVN223" s="1"/>
      <c r="JVO223" s="1"/>
      <c r="JVP223" s="1"/>
      <c r="JVQ223" s="1"/>
      <c r="JVR223" s="1"/>
      <c r="JVS223" s="1"/>
      <c r="JVT223" s="1"/>
      <c r="JVU223" s="1"/>
      <c r="JVV223" s="1"/>
      <c r="JVW223" s="1"/>
      <c r="JVX223" s="1"/>
      <c r="JVY223" s="1"/>
      <c r="JVZ223" s="1"/>
      <c r="JWA223" s="1"/>
      <c r="JWB223" s="1"/>
      <c r="JWC223" s="1"/>
      <c r="JWD223" s="1"/>
      <c r="JWE223" s="1"/>
      <c r="JWF223" s="1"/>
      <c r="JWG223" s="1"/>
      <c r="JWH223" s="1"/>
      <c r="JWI223" s="1"/>
      <c r="JWJ223" s="1"/>
      <c r="JWK223" s="1"/>
      <c r="JWL223" s="1"/>
      <c r="JWM223" s="1"/>
      <c r="JWN223" s="1"/>
      <c r="JWO223" s="1"/>
      <c r="JWP223" s="1"/>
      <c r="JWQ223" s="1"/>
      <c r="JWR223" s="1"/>
      <c r="JWS223" s="1"/>
      <c r="JWT223" s="1"/>
      <c r="JWU223" s="1"/>
      <c r="JWV223" s="1"/>
      <c r="JWW223" s="1"/>
      <c r="JWX223" s="1"/>
      <c r="JWY223" s="1"/>
      <c r="JWZ223" s="1"/>
      <c r="JXA223" s="1"/>
      <c r="JXB223" s="1"/>
      <c r="JXC223" s="1"/>
      <c r="JXD223" s="1"/>
      <c r="JXE223" s="1"/>
      <c r="JXF223" s="1"/>
      <c r="JXG223" s="1"/>
      <c r="JXH223" s="1"/>
      <c r="JXI223" s="1"/>
      <c r="JXJ223" s="1"/>
      <c r="JXK223" s="1"/>
      <c r="JXL223" s="1"/>
      <c r="JXM223" s="1"/>
      <c r="JXN223" s="1"/>
      <c r="JXO223" s="1"/>
      <c r="JXP223" s="1"/>
      <c r="JXQ223" s="1"/>
      <c r="JXR223" s="1"/>
      <c r="JXS223" s="1"/>
      <c r="JXT223" s="1"/>
      <c r="JXU223" s="1"/>
      <c r="JXV223" s="1"/>
      <c r="JXW223" s="1"/>
      <c r="JXX223" s="1"/>
      <c r="JXY223" s="1"/>
      <c r="JXZ223" s="1"/>
      <c r="JYA223" s="1"/>
      <c r="JYB223" s="1"/>
      <c r="JYC223" s="1"/>
      <c r="JYD223" s="1"/>
      <c r="JYE223" s="1"/>
      <c r="JYF223" s="1"/>
      <c r="JYG223" s="1"/>
      <c r="JYH223" s="1"/>
      <c r="JYI223" s="1"/>
      <c r="JYJ223" s="1"/>
      <c r="JYK223" s="1"/>
      <c r="JYL223" s="1"/>
      <c r="JYM223" s="1"/>
      <c r="JYN223" s="1"/>
      <c r="JYO223" s="1"/>
      <c r="JYP223" s="1"/>
      <c r="JYQ223" s="1"/>
      <c r="JYR223" s="1"/>
      <c r="JYS223" s="1"/>
      <c r="JYT223" s="1"/>
      <c r="JYU223" s="1"/>
      <c r="JYV223" s="1"/>
      <c r="JYW223" s="1"/>
      <c r="JYX223" s="1"/>
      <c r="JYY223" s="1"/>
      <c r="JYZ223" s="1"/>
      <c r="JZA223" s="1"/>
      <c r="JZB223" s="1"/>
      <c r="JZC223" s="1"/>
      <c r="JZD223" s="1"/>
      <c r="JZE223" s="1"/>
      <c r="JZF223" s="1"/>
      <c r="JZG223" s="1"/>
      <c r="JZH223" s="1"/>
      <c r="JZI223" s="1"/>
      <c r="JZJ223" s="1"/>
      <c r="JZK223" s="1"/>
      <c r="JZL223" s="1"/>
      <c r="JZM223" s="1"/>
      <c r="JZN223" s="1"/>
      <c r="JZO223" s="1"/>
      <c r="JZP223" s="1"/>
      <c r="JZQ223" s="1"/>
      <c r="JZR223" s="1"/>
      <c r="JZS223" s="1"/>
      <c r="JZT223" s="1"/>
      <c r="JZU223" s="1"/>
      <c r="JZV223" s="1"/>
      <c r="JZW223" s="1"/>
      <c r="JZX223" s="1"/>
      <c r="JZY223" s="1"/>
      <c r="JZZ223" s="1"/>
      <c r="KAA223" s="1"/>
      <c r="KAB223" s="1"/>
      <c r="KAC223" s="1"/>
      <c r="KAD223" s="1"/>
      <c r="KAE223" s="1"/>
      <c r="KAF223" s="1"/>
      <c r="KAG223" s="1"/>
      <c r="KAH223" s="1"/>
      <c r="KAI223" s="1"/>
      <c r="KAJ223" s="1"/>
      <c r="KAK223" s="1"/>
      <c r="KAL223" s="1"/>
      <c r="KAM223" s="1"/>
      <c r="KAN223" s="1"/>
      <c r="KAO223" s="1"/>
      <c r="KAP223" s="1"/>
      <c r="KAQ223" s="1"/>
      <c r="KAR223" s="1"/>
      <c r="KAS223" s="1"/>
      <c r="KAT223" s="1"/>
      <c r="KAU223" s="1"/>
      <c r="KAV223" s="1"/>
      <c r="KAW223" s="1"/>
      <c r="KAX223" s="1"/>
      <c r="KAY223" s="1"/>
      <c r="KAZ223" s="1"/>
      <c r="KBA223" s="1"/>
      <c r="KBB223" s="1"/>
      <c r="KBC223" s="1"/>
      <c r="KBD223" s="1"/>
      <c r="KBE223" s="1"/>
      <c r="KBF223" s="1"/>
      <c r="KBG223" s="1"/>
      <c r="KBH223" s="1"/>
      <c r="KBI223" s="1"/>
      <c r="KBJ223" s="1"/>
      <c r="KBK223" s="1"/>
      <c r="KBL223" s="1"/>
      <c r="KBM223" s="1"/>
      <c r="KBN223" s="1"/>
      <c r="KBO223" s="1"/>
      <c r="KBP223" s="1"/>
      <c r="KBQ223" s="1"/>
      <c r="KBR223" s="1"/>
      <c r="KBS223" s="1"/>
      <c r="KBT223" s="1"/>
      <c r="KBU223" s="1"/>
      <c r="KBV223" s="1"/>
      <c r="KBW223" s="1"/>
      <c r="KBX223" s="1"/>
      <c r="KBY223" s="1"/>
      <c r="KBZ223" s="1"/>
      <c r="KCA223" s="1"/>
      <c r="KCB223" s="1"/>
      <c r="KCC223" s="1"/>
      <c r="KCD223" s="1"/>
      <c r="KCE223" s="1"/>
      <c r="KCF223" s="1"/>
      <c r="KCG223" s="1"/>
      <c r="KCH223" s="1"/>
      <c r="KCI223" s="1"/>
      <c r="KCJ223" s="1"/>
      <c r="KCK223" s="1"/>
      <c r="KCL223" s="1"/>
      <c r="KCM223" s="1"/>
      <c r="KCN223" s="1"/>
      <c r="KCO223" s="1"/>
      <c r="KCP223" s="1"/>
      <c r="KCQ223" s="1"/>
      <c r="KCR223" s="1"/>
      <c r="KCS223" s="1"/>
      <c r="KCT223" s="1"/>
      <c r="KCU223" s="1"/>
      <c r="KCV223" s="1"/>
      <c r="KCW223" s="1"/>
      <c r="KCX223" s="1"/>
      <c r="KCY223" s="1"/>
      <c r="KCZ223" s="1"/>
      <c r="KDA223" s="1"/>
      <c r="KDB223" s="1"/>
      <c r="KDC223" s="1"/>
      <c r="KDD223" s="1"/>
      <c r="KDE223" s="1"/>
      <c r="KDF223" s="1"/>
      <c r="KDG223" s="1"/>
      <c r="KDH223" s="1"/>
      <c r="KDI223" s="1"/>
      <c r="KDJ223" s="1"/>
      <c r="KDK223" s="1"/>
      <c r="KDL223" s="1"/>
      <c r="KDM223" s="1"/>
      <c r="KDN223" s="1"/>
      <c r="KDO223" s="1"/>
      <c r="KDP223" s="1"/>
      <c r="KDQ223" s="1"/>
      <c r="KDR223" s="1"/>
      <c r="KDS223" s="1"/>
      <c r="KDT223" s="1"/>
      <c r="KDU223" s="1"/>
      <c r="KDV223" s="1"/>
      <c r="KDW223" s="1"/>
      <c r="KDX223" s="1"/>
      <c r="KDY223" s="1"/>
      <c r="KDZ223" s="1"/>
      <c r="KEA223" s="1"/>
      <c r="KEB223" s="1"/>
      <c r="KEC223" s="1"/>
      <c r="KED223" s="1"/>
      <c r="KEE223" s="1"/>
      <c r="KEF223" s="1"/>
      <c r="KEG223" s="1"/>
      <c r="KEH223" s="1"/>
      <c r="KEI223" s="1"/>
      <c r="KEJ223" s="1"/>
      <c r="KEK223" s="1"/>
      <c r="KEL223" s="1"/>
      <c r="KEM223" s="1"/>
      <c r="KEN223" s="1"/>
      <c r="KEO223" s="1"/>
      <c r="KEP223" s="1"/>
      <c r="KEQ223" s="1"/>
      <c r="KER223" s="1"/>
      <c r="KES223" s="1"/>
      <c r="KET223" s="1"/>
      <c r="KEU223" s="1"/>
      <c r="KEV223" s="1"/>
      <c r="KEW223" s="1"/>
      <c r="KEX223" s="1"/>
      <c r="KEY223" s="1"/>
      <c r="KEZ223" s="1"/>
      <c r="KFA223" s="1"/>
      <c r="KFB223" s="1"/>
      <c r="KFC223" s="1"/>
      <c r="KFD223" s="1"/>
      <c r="KFE223" s="1"/>
      <c r="KFF223" s="1"/>
      <c r="KFG223" s="1"/>
      <c r="KFH223" s="1"/>
      <c r="KFI223" s="1"/>
      <c r="KFJ223" s="1"/>
      <c r="KFK223" s="1"/>
      <c r="KFL223" s="1"/>
      <c r="KFM223" s="1"/>
      <c r="KFN223" s="1"/>
      <c r="KFO223" s="1"/>
      <c r="KFP223" s="1"/>
      <c r="KFQ223" s="1"/>
      <c r="KFR223" s="1"/>
      <c r="KFS223" s="1"/>
      <c r="KFT223" s="1"/>
      <c r="KFU223" s="1"/>
      <c r="KFV223" s="1"/>
      <c r="KFW223" s="1"/>
      <c r="KFX223" s="1"/>
      <c r="KFY223" s="1"/>
      <c r="KFZ223" s="1"/>
      <c r="KGA223" s="1"/>
      <c r="KGB223" s="1"/>
      <c r="KGC223" s="1"/>
      <c r="KGD223" s="1"/>
      <c r="KGE223" s="1"/>
      <c r="KGF223" s="1"/>
      <c r="KGG223" s="1"/>
      <c r="KGH223" s="1"/>
      <c r="KGI223" s="1"/>
      <c r="KGJ223" s="1"/>
      <c r="KGK223" s="1"/>
      <c r="KGL223" s="1"/>
      <c r="KGM223" s="1"/>
      <c r="KGN223" s="1"/>
      <c r="KGO223" s="1"/>
      <c r="KGP223" s="1"/>
      <c r="KGQ223" s="1"/>
      <c r="KGR223" s="1"/>
      <c r="KGS223" s="1"/>
      <c r="KGT223" s="1"/>
      <c r="KGU223" s="1"/>
      <c r="KGV223" s="1"/>
      <c r="KGW223" s="1"/>
      <c r="KGX223" s="1"/>
      <c r="KGY223" s="1"/>
      <c r="KGZ223" s="1"/>
      <c r="KHA223" s="1"/>
      <c r="KHB223" s="1"/>
      <c r="KHC223" s="1"/>
      <c r="KHD223" s="1"/>
      <c r="KHE223" s="1"/>
      <c r="KHF223" s="1"/>
      <c r="KHG223" s="1"/>
      <c r="KHH223" s="1"/>
      <c r="KHI223" s="1"/>
      <c r="KHJ223" s="1"/>
      <c r="KHK223" s="1"/>
      <c r="KHL223" s="1"/>
      <c r="KHM223" s="1"/>
      <c r="KHN223" s="1"/>
      <c r="KHO223" s="1"/>
      <c r="KHP223" s="1"/>
      <c r="KHQ223" s="1"/>
      <c r="KHR223" s="1"/>
      <c r="KHS223" s="1"/>
      <c r="KHT223" s="1"/>
      <c r="KHU223" s="1"/>
      <c r="KHV223" s="1"/>
      <c r="KHW223" s="1"/>
      <c r="KHX223" s="1"/>
      <c r="KHY223" s="1"/>
      <c r="KHZ223" s="1"/>
      <c r="KIA223" s="1"/>
      <c r="KIB223" s="1"/>
      <c r="KIC223" s="1"/>
      <c r="KID223" s="1"/>
      <c r="KIE223" s="1"/>
      <c r="KIF223" s="1"/>
      <c r="KIG223" s="1"/>
      <c r="KIH223" s="1"/>
      <c r="KII223" s="1"/>
      <c r="KIJ223" s="1"/>
      <c r="KIK223" s="1"/>
      <c r="KIL223" s="1"/>
      <c r="KIM223" s="1"/>
      <c r="KIN223" s="1"/>
      <c r="KIO223" s="1"/>
      <c r="KIP223" s="1"/>
      <c r="KIQ223" s="1"/>
      <c r="KIR223" s="1"/>
      <c r="KIS223" s="1"/>
      <c r="KIT223" s="1"/>
      <c r="KIU223" s="1"/>
      <c r="KIV223" s="1"/>
      <c r="KIW223" s="1"/>
      <c r="KIX223" s="1"/>
      <c r="KIY223" s="1"/>
      <c r="KIZ223" s="1"/>
      <c r="KJA223" s="1"/>
      <c r="KJB223" s="1"/>
      <c r="KJC223" s="1"/>
      <c r="KJD223" s="1"/>
      <c r="KJE223" s="1"/>
      <c r="KJF223" s="1"/>
      <c r="KJG223" s="1"/>
      <c r="KJH223" s="1"/>
      <c r="KJI223" s="1"/>
      <c r="KJJ223" s="1"/>
      <c r="KJK223" s="1"/>
      <c r="KJL223" s="1"/>
      <c r="KJM223" s="1"/>
      <c r="KJN223" s="1"/>
      <c r="KJO223" s="1"/>
      <c r="KJP223" s="1"/>
      <c r="KJQ223" s="1"/>
      <c r="KJR223" s="1"/>
      <c r="KJS223" s="1"/>
      <c r="KJT223" s="1"/>
      <c r="KJU223" s="1"/>
      <c r="KJV223" s="1"/>
      <c r="KJW223" s="1"/>
      <c r="KJX223" s="1"/>
      <c r="KJY223" s="1"/>
      <c r="KJZ223" s="1"/>
      <c r="KKA223" s="1"/>
      <c r="KKB223" s="1"/>
      <c r="KKC223" s="1"/>
      <c r="KKD223" s="1"/>
      <c r="KKE223" s="1"/>
      <c r="KKF223" s="1"/>
      <c r="KKG223" s="1"/>
      <c r="KKH223" s="1"/>
      <c r="KKI223" s="1"/>
      <c r="KKJ223" s="1"/>
      <c r="KKK223" s="1"/>
      <c r="KKL223" s="1"/>
      <c r="KKM223" s="1"/>
      <c r="KKN223" s="1"/>
      <c r="KKO223" s="1"/>
      <c r="KKP223" s="1"/>
      <c r="KKQ223" s="1"/>
      <c r="KKR223" s="1"/>
      <c r="KKS223" s="1"/>
      <c r="KKT223" s="1"/>
      <c r="KKU223" s="1"/>
      <c r="KKV223" s="1"/>
      <c r="KKW223" s="1"/>
      <c r="KKX223" s="1"/>
      <c r="KKY223" s="1"/>
      <c r="KKZ223" s="1"/>
      <c r="KLA223" s="1"/>
      <c r="KLB223" s="1"/>
      <c r="KLC223" s="1"/>
      <c r="KLD223" s="1"/>
      <c r="KLE223" s="1"/>
      <c r="KLF223" s="1"/>
      <c r="KLG223" s="1"/>
      <c r="KLH223" s="1"/>
      <c r="KLI223" s="1"/>
      <c r="KLJ223" s="1"/>
      <c r="KLK223" s="1"/>
      <c r="KLL223" s="1"/>
      <c r="KLM223" s="1"/>
      <c r="KLN223" s="1"/>
      <c r="KLO223" s="1"/>
      <c r="KLP223" s="1"/>
      <c r="KLQ223" s="1"/>
      <c r="KLR223" s="1"/>
      <c r="KLS223" s="1"/>
      <c r="KLT223" s="1"/>
      <c r="KLU223" s="1"/>
      <c r="KLV223" s="1"/>
      <c r="KLW223" s="1"/>
      <c r="KLX223" s="1"/>
      <c r="KLY223" s="1"/>
      <c r="KLZ223" s="1"/>
      <c r="KMA223" s="1"/>
      <c r="KMB223" s="1"/>
      <c r="KMC223" s="1"/>
      <c r="KMD223" s="1"/>
      <c r="KME223" s="1"/>
      <c r="KMF223" s="1"/>
      <c r="KMG223" s="1"/>
      <c r="KMH223" s="1"/>
      <c r="KMI223" s="1"/>
      <c r="KMJ223" s="1"/>
      <c r="KMK223" s="1"/>
      <c r="KML223" s="1"/>
      <c r="KMM223" s="1"/>
      <c r="KMN223" s="1"/>
      <c r="KMO223" s="1"/>
      <c r="KMP223" s="1"/>
      <c r="KMQ223" s="1"/>
      <c r="KMR223" s="1"/>
      <c r="KMS223" s="1"/>
      <c r="KMT223" s="1"/>
      <c r="KMU223" s="1"/>
      <c r="KMV223" s="1"/>
      <c r="KMW223" s="1"/>
      <c r="KMX223" s="1"/>
      <c r="KMY223" s="1"/>
      <c r="KMZ223" s="1"/>
      <c r="KNA223" s="1"/>
      <c r="KNB223" s="1"/>
      <c r="KNC223" s="1"/>
      <c r="KND223" s="1"/>
      <c r="KNE223" s="1"/>
      <c r="KNF223" s="1"/>
      <c r="KNG223" s="1"/>
      <c r="KNH223" s="1"/>
      <c r="KNI223" s="1"/>
      <c r="KNJ223" s="1"/>
      <c r="KNK223" s="1"/>
      <c r="KNL223" s="1"/>
      <c r="KNM223" s="1"/>
      <c r="KNN223" s="1"/>
      <c r="KNO223" s="1"/>
      <c r="KNP223" s="1"/>
      <c r="KNQ223" s="1"/>
      <c r="KNR223" s="1"/>
      <c r="KNS223" s="1"/>
      <c r="KNT223" s="1"/>
      <c r="KNU223" s="1"/>
      <c r="KNV223" s="1"/>
      <c r="KNW223" s="1"/>
      <c r="KNX223" s="1"/>
      <c r="KNY223" s="1"/>
      <c r="KNZ223" s="1"/>
      <c r="KOA223" s="1"/>
      <c r="KOB223" s="1"/>
      <c r="KOC223" s="1"/>
      <c r="KOD223" s="1"/>
      <c r="KOE223" s="1"/>
      <c r="KOF223" s="1"/>
      <c r="KOG223" s="1"/>
      <c r="KOH223" s="1"/>
      <c r="KOI223" s="1"/>
      <c r="KOJ223" s="1"/>
      <c r="KOK223" s="1"/>
      <c r="KOL223" s="1"/>
      <c r="KOM223" s="1"/>
      <c r="KON223" s="1"/>
      <c r="KOO223" s="1"/>
      <c r="KOP223" s="1"/>
      <c r="KOQ223" s="1"/>
      <c r="KOR223" s="1"/>
      <c r="KOS223" s="1"/>
      <c r="KOT223" s="1"/>
      <c r="KOU223" s="1"/>
      <c r="KOV223" s="1"/>
      <c r="KOW223" s="1"/>
      <c r="KOX223" s="1"/>
      <c r="KOY223" s="1"/>
      <c r="KOZ223" s="1"/>
      <c r="KPA223" s="1"/>
      <c r="KPB223" s="1"/>
      <c r="KPC223" s="1"/>
      <c r="KPD223" s="1"/>
      <c r="KPE223" s="1"/>
      <c r="KPF223" s="1"/>
      <c r="KPG223" s="1"/>
      <c r="KPH223" s="1"/>
      <c r="KPI223" s="1"/>
      <c r="KPJ223" s="1"/>
      <c r="KPK223" s="1"/>
      <c r="KPL223" s="1"/>
      <c r="KPM223" s="1"/>
      <c r="KPN223" s="1"/>
      <c r="KPO223" s="1"/>
      <c r="KPP223" s="1"/>
      <c r="KPQ223" s="1"/>
      <c r="KPR223" s="1"/>
      <c r="KPS223" s="1"/>
      <c r="KPT223" s="1"/>
      <c r="KPU223" s="1"/>
      <c r="KPV223" s="1"/>
      <c r="KPW223" s="1"/>
      <c r="KPX223" s="1"/>
      <c r="KPY223" s="1"/>
      <c r="KPZ223" s="1"/>
      <c r="KQA223" s="1"/>
      <c r="KQB223" s="1"/>
      <c r="KQC223" s="1"/>
      <c r="KQD223" s="1"/>
      <c r="KQE223" s="1"/>
      <c r="KQF223" s="1"/>
      <c r="KQG223" s="1"/>
      <c r="KQH223" s="1"/>
      <c r="KQI223" s="1"/>
      <c r="KQJ223" s="1"/>
      <c r="KQK223" s="1"/>
      <c r="KQL223" s="1"/>
      <c r="KQM223" s="1"/>
      <c r="KQN223" s="1"/>
      <c r="KQO223" s="1"/>
      <c r="KQP223" s="1"/>
      <c r="KQQ223" s="1"/>
      <c r="KQR223" s="1"/>
      <c r="KQS223" s="1"/>
      <c r="KQT223" s="1"/>
      <c r="KQU223" s="1"/>
      <c r="KQV223" s="1"/>
      <c r="KQW223" s="1"/>
      <c r="KQX223" s="1"/>
      <c r="KQY223" s="1"/>
      <c r="KQZ223" s="1"/>
      <c r="KRA223" s="1"/>
      <c r="KRB223" s="1"/>
      <c r="KRC223" s="1"/>
      <c r="KRD223" s="1"/>
      <c r="KRE223" s="1"/>
      <c r="KRF223" s="1"/>
      <c r="KRG223" s="1"/>
      <c r="KRH223" s="1"/>
      <c r="KRI223" s="1"/>
      <c r="KRJ223" s="1"/>
      <c r="KRK223" s="1"/>
      <c r="KRL223" s="1"/>
      <c r="KRM223" s="1"/>
      <c r="KRN223" s="1"/>
      <c r="KRO223" s="1"/>
      <c r="KRP223" s="1"/>
      <c r="KRQ223" s="1"/>
      <c r="KRR223" s="1"/>
      <c r="KRS223" s="1"/>
      <c r="KRT223" s="1"/>
      <c r="KRU223" s="1"/>
      <c r="KRV223" s="1"/>
      <c r="KRW223" s="1"/>
      <c r="KRX223" s="1"/>
      <c r="KRY223" s="1"/>
      <c r="KRZ223" s="1"/>
      <c r="KSA223" s="1"/>
      <c r="KSB223" s="1"/>
      <c r="KSC223" s="1"/>
      <c r="KSD223" s="1"/>
      <c r="KSE223" s="1"/>
      <c r="KSF223" s="1"/>
      <c r="KSG223" s="1"/>
      <c r="KSH223" s="1"/>
      <c r="KSI223" s="1"/>
      <c r="KSJ223" s="1"/>
      <c r="KSK223" s="1"/>
      <c r="KSL223" s="1"/>
      <c r="KSM223" s="1"/>
      <c r="KSN223" s="1"/>
      <c r="KSO223" s="1"/>
      <c r="KSP223" s="1"/>
      <c r="KSQ223" s="1"/>
      <c r="KSR223" s="1"/>
      <c r="KSS223" s="1"/>
      <c r="KST223" s="1"/>
      <c r="KSU223" s="1"/>
      <c r="KSV223" s="1"/>
      <c r="KSW223" s="1"/>
      <c r="KSX223" s="1"/>
      <c r="KSY223" s="1"/>
      <c r="KSZ223" s="1"/>
      <c r="KTA223" s="1"/>
      <c r="KTB223" s="1"/>
      <c r="KTC223" s="1"/>
      <c r="KTD223" s="1"/>
      <c r="KTE223" s="1"/>
      <c r="KTF223" s="1"/>
      <c r="KTG223" s="1"/>
      <c r="KTH223" s="1"/>
      <c r="KTI223" s="1"/>
      <c r="KTJ223" s="1"/>
      <c r="KTK223" s="1"/>
      <c r="KTL223" s="1"/>
      <c r="KTM223" s="1"/>
      <c r="KTN223" s="1"/>
      <c r="KTO223" s="1"/>
      <c r="KTP223" s="1"/>
      <c r="KTQ223" s="1"/>
      <c r="KTR223" s="1"/>
      <c r="KTS223" s="1"/>
      <c r="KTT223" s="1"/>
      <c r="KTU223" s="1"/>
      <c r="KTV223" s="1"/>
      <c r="KTW223" s="1"/>
      <c r="KTX223" s="1"/>
      <c r="KTY223" s="1"/>
      <c r="KTZ223" s="1"/>
      <c r="KUA223" s="1"/>
      <c r="KUB223" s="1"/>
      <c r="KUC223" s="1"/>
      <c r="KUD223" s="1"/>
      <c r="KUE223" s="1"/>
      <c r="KUF223" s="1"/>
      <c r="KUG223" s="1"/>
      <c r="KUH223" s="1"/>
      <c r="KUI223" s="1"/>
      <c r="KUJ223" s="1"/>
      <c r="KUK223" s="1"/>
      <c r="KUL223" s="1"/>
      <c r="KUM223" s="1"/>
      <c r="KUN223" s="1"/>
      <c r="KUO223" s="1"/>
      <c r="KUP223" s="1"/>
      <c r="KUQ223" s="1"/>
      <c r="KUR223" s="1"/>
      <c r="KUS223" s="1"/>
      <c r="KUT223" s="1"/>
      <c r="KUU223" s="1"/>
      <c r="KUV223" s="1"/>
      <c r="KUW223" s="1"/>
      <c r="KUX223" s="1"/>
      <c r="KUY223" s="1"/>
      <c r="KUZ223" s="1"/>
      <c r="KVA223" s="1"/>
      <c r="KVB223" s="1"/>
      <c r="KVC223" s="1"/>
      <c r="KVD223" s="1"/>
      <c r="KVE223" s="1"/>
      <c r="KVF223" s="1"/>
      <c r="KVG223" s="1"/>
      <c r="KVH223" s="1"/>
      <c r="KVI223" s="1"/>
      <c r="KVJ223" s="1"/>
      <c r="KVK223" s="1"/>
      <c r="KVL223" s="1"/>
      <c r="KVM223" s="1"/>
      <c r="KVN223" s="1"/>
      <c r="KVO223" s="1"/>
      <c r="KVP223" s="1"/>
      <c r="KVQ223" s="1"/>
      <c r="KVR223" s="1"/>
      <c r="KVS223" s="1"/>
      <c r="KVT223" s="1"/>
      <c r="KVU223" s="1"/>
      <c r="KVV223" s="1"/>
      <c r="KVW223" s="1"/>
      <c r="KVX223" s="1"/>
      <c r="KVY223" s="1"/>
      <c r="KVZ223" s="1"/>
      <c r="KWA223" s="1"/>
      <c r="KWB223" s="1"/>
      <c r="KWC223" s="1"/>
      <c r="KWD223" s="1"/>
      <c r="KWE223" s="1"/>
      <c r="KWF223" s="1"/>
      <c r="KWG223" s="1"/>
      <c r="KWH223" s="1"/>
      <c r="KWI223" s="1"/>
      <c r="KWJ223" s="1"/>
      <c r="KWK223" s="1"/>
      <c r="KWL223" s="1"/>
      <c r="KWM223" s="1"/>
      <c r="KWN223" s="1"/>
      <c r="KWO223" s="1"/>
      <c r="KWP223" s="1"/>
      <c r="KWQ223" s="1"/>
      <c r="KWR223" s="1"/>
      <c r="KWS223" s="1"/>
      <c r="KWT223" s="1"/>
      <c r="KWU223" s="1"/>
      <c r="KWV223" s="1"/>
      <c r="KWW223" s="1"/>
      <c r="KWX223" s="1"/>
      <c r="KWY223" s="1"/>
      <c r="KWZ223" s="1"/>
      <c r="KXA223" s="1"/>
      <c r="KXB223" s="1"/>
      <c r="KXC223" s="1"/>
      <c r="KXD223" s="1"/>
      <c r="KXE223" s="1"/>
      <c r="KXF223" s="1"/>
      <c r="KXG223" s="1"/>
      <c r="KXH223" s="1"/>
      <c r="KXI223" s="1"/>
      <c r="KXJ223" s="1"/>
      <c r="KXK223" s="1"/>
      <c r="KXL223" s="1"/>
      <c r="KXM223" s="1"/>
      <c r="KXN223" s="1"/>
      <c r="KXO223" s="1"/>
      <c r="KXP223" s="1"/>
      <c r="KXQ223" s="1"/>
      <c r="KXR223" s="1"/>
      <c r="KXS223" s="1"/>
      <c r="KXT223" s="1"/>
      <c r="KXU223" s="1"/>
      <c r="KXV223" s="1"/>
      <c r="KXW223" s="1"/>
      <c r="KXX223" s="1"/>
      <c r="KXY223" s="1"/>
      <c r="KXZ223" s="1"/>
      <c r="KYA223" s="1"/>
      <c r="KYB223" s="1"/>
      <c r="KYC223" s="1"/>
      <c r="KYD223" s="1"/>
      <c r="KYE223" s="1"/>
      <c r="KYF223" s="1"/>
      <c r="KYG223" s="1"/>
      <c r="KYH223" s="1"/>
      <c r="KYI223" s="1"/>
      <c r="KYJ223" s="1"/>
      <c r="KYK223" s="1"/>
      <c r="KYL223" s="1"/>
      <c r="KYM223" s="1"/>
      <c r="KYN223" s="1"/>
      <c r="KYO223" s="1"/>
      <c r="KYP223" s="1"/>
      <c r="KYQ223" s="1"/>
      <c r="KYR223" s="1"/>
      <c r="KYS223" s="1"/>
      <c r="KYT223" s="1"/>
      <c r="KYU223" s="1"/>
      <c r="KYV223" s="1"/>
      <c r="KYW223" s="1"/>
      <c r="KYX223" s="1"/>
      <c r="KYY223" s="1"/>
      <c r="KYZ223" s="1"/>
      <c r="KZA223" s="1"/>
      <c r="KZB223" s="1"/>
      <c r="KZC223" s="1"/>
      <c r="KZD223" s="1"/>
      <c r="KZE223" s="1"/>
      <c r="KZF223" s="1"/>
      <c r="KZG223" s="1"/>
      <c r="KZH223" s="1"/>
      <c r="KZI223" s="1"/>
      <c r="KZJ223" s="1"/>
      <c r="KZK223" s="1"/>
      <c r="KZL223" s="1"/>
      <c r="KZM223" s="1"/>
      <c r="KZN223" s="1"/>
      <c r="KZO223" s="1"/>
      <c r="KZP223" s="1"/>
      <c r="KZQ223" s="1"/>
      <c r="KZR223" s="1"/>
      <c r="KZS223" s="1"/>
      <c r="KZT223" s="1"/>
      <c r="KZU223" s="1"/>
      <c r="KZV223" s="1"/>
      <c r="KZW223" s="1"/>
      <c r="KZX223" s="1"/>
      <c r="KZY223" s="1"/>
      <c r="KZZ223" s="1"/>
      <c r="LAA223" s="1"/>
      <c r="LAB223" s="1"/>
      <c r="LAC223" s="1"/>
      <c r="LAD223" s="1"/>
      <c r="LAE223" s="1"/>
      <c r="LAF223" s="1"/>
      <c r="LAG223" s="1"/>
      <c r="LAH223" s="1"/>
      <c r="LAI223" s="1"/>
      <c r="LAJ223" s="1"/>
      <c r="LAK223" s="1"/>
      <c r="LAL223" s="1"/>
      <c r="LAM223" s="1"/>
      <c r="LAN223" s="1"/>
      <c r="LAO223" s="1"/>
      <c r="LAP223" s="1"/>
      <c r="LAQ223" s="1"/>
      <c r="LAR223" s="1"/>
      <c r="LAS223" s="1"/>
      <c r="LAT223" s="1"/>
      <c r="LAU223" s="1"/>
      <c r="LAV223" s="1"/>
      <c r="LAW223" s="1"/>
      <c r="LAX223" s="1"/>
      <c r="LAY223" s="1"/>
      <c r="LAZ223" s="1"/>
      <c r="LBA223" s="1"/>
      <c r="LBB223" s="1"/>
      <c r="LBC223" s="1"/>
      <c r="LBD223" s="1"/>
      <c r="LBE223" s="1"/>
      <c r="LBF223" s="1"/>
      <c r="LBG223" s="1"/>
      <c r="LBH223" s="1"/>
      <c r="LBI223" s="1"/>
      <c r="LBJ223" s="1"/>
      <c r="LBK223" s="1"/>
      <c r="LBL223" s="1"/>
      <c r="LBM223" s="1"/>
      <c r="LBN223" s="1"/>
      <c r="LBO223" s="1"/>
      <c r="LBP223" s="1"/>
      <c r="LBQ223" s="1"/>
      <c r="LBR223" s="1"/>
      <c r="LBS223" s="1"/>
      <c r="LBT223" s="1"/>
      <c r="LBU223" s="1"/>
      <c r="LBV223" s="1"/>
      <c r="LBW223" s="1"/>
      <c r="LBX223" s="1"/>
      <c r="LBY223" s="1"/>
      <c r="LBZ223" s="1"/>
      <c r="LCA223" s="1"/>
      <c r="LCB223" s="1"/>
      <c r="LCC223" s="1"/>
      <c r="LCD223" s="1"/>
      <c r="LCE223" s="1"/>
      <c r="LCF223" s="1"/>
      <c r="LCG223" s="1"/>
      <c r="LCH223" s="1"/>
      <c r="LCI223" s="1"/>
      <c r="LCJ223" s="1"/>
      <c r="LCK223" s="1"/>
      <c r="LCL223" s="1"/>
      <c r="LCM223" s="1"/>
      <c r="LCN223" s="1"/>
      <c r="LCO223" s="1"/>
      <c r="LCP223" s="1"/>
      <c r="LCQ223" s="1"/>
      <c r="LCR223" s="1"/>
      <c r="LCS223" s="1"/>
      <c r="LCT223" s="1"/>
      <c r="LCU223" s="1"/>
      <c r="LCV223" s="1"/>
      <c r="LCW223" s="1"/>
      <c r="LCX223" s="1"/>
      <c r="LCY223" s="1"/>
      <c r="LCZ223" s="1"/>
      <c r="LDA223" s="1"/>
      <c r="LDB223" s="1"/>
      <c r="LDC223" s="1"/>
      <c r="LDD223" s="1"/>
      <c r="LDE223" s="1"/>
      <c r="LDF223" s="1"/>
      <c r="LDG223" s="1"/>
      <c r="LDH223" s="1"/>
      <c r="LDI223" s="1"/>
      <c r="LDJ223" s="1"/>
      <c r="LDK223" s="1"/>
      <c r="LDL223" s="1"/>
      <c r="LDM223" s="1"/>
      <c r="LDN223" s="1"/>
      <c r="LDO223" s="1"/>
      <c r="LDP223" s="1"/>
      <c r="LDQ223" s="1"/>
      <c r="LDR223" s="1"/>
      <c r="LDS223" s="1"/>
      <c r="LDT223" s="1"/>
      <c r="LDU223" s="1"/>
      <c r="LDV223" s="1"/>
      <c r="LDW223" s="1"/>
      <c r="LDX223" s="1"/>
      <c r="LDY223" s="1"/>
      <c r="LDZ223" s="1"/>
      <c r="LEA223" s="1"/>
      <c r="LEB223" s="1"/>
      <c r="LEC223" s="1"/>
      <c r="LED223" s="1"/>
      <c r="LEE223" s="1"/>
      <c r="LEF223" s="1"/>
      <c r="LEG223" s="1"/>
      <c r="LEH223" s="1"/>
      <c r="LEI223" s="1"/>
      <c r="LEJ223" s="1"/>
      <c r="LEK223" s="1"/>
      <c r="LEL223" s="1"/>
      <c r="LEM223" s="1"/>
      <c r="LEN223" s="1"/>
      <c r="LEO223" s="1"/>
      <c r="LEP223" s="1"/>
      <c r="LEQ223" s="1"/>
      <c r="LER223" s="1"/>
      <c r="LES223" s="1"/>
      <c r="LET223" s="1"/>
      <c r="LEU223" s="1"/>
      <c r="LEV223" s="1"/>
      <c r="LEW223" s="1"/>
      <c r="LEX223" s="1"/>
      <c r="LEY223" s="1"/>
      <c r="LEZ223" s="1"/>
      <c r="LFA223" s="1"/>
      <c r="LFB223" s="1"/>
      <c r="LFC223" s="1"/>
      <c r="LFD223" s="1"/>
      <c r="LFE223" s="1"/>
      <c r="LFF223" s="1"/>
      <c r="LFG223" s="1"/>
      <c r="LFH223" s="1"/>
      <c r="LFI223" s="1"/>
      <c r="LFJ223" s="1"/>
      <c r="LFK223" s="1"/>
      <c r="LFL223" s="1"/>
      <c r="LFM223" s="1"/>
      <c r="LFN223" s="1"/>
      <c r="LFO223" s="1"/>
      <c r="LFP223" s="1"/>
      <c r="LFQ223" s="1"/>
      <c r="LFR223" s="1"/>
      <c r="LFS223" s="1"/>
      <c r="LFT223" s="1"/>
      <c r="LFU223" s="1"/>
      <c r="LFV223" s="1"/>
      <c r="LFW223" s="1"/>
      <c r="LFX223" s="1"/>
      <c r="LFY223" s="1"/>
      <c r="LFZ223" s="1"/>
      <c r="LGA223" s="1"/>
      <c r="LGB223" s="1"/>
      <c r="LGC223" s="1"/>
      <c r="LGD223" s="1"/>
      <c r="LGE223" s="1"/>
      <c r="LGF223" s="1"/>
      <c r="LGG223" s="1"/>
      <c r="LGH223" s="1"/>
      <c r="LGI223" s="1"/>
      <c r="LGJ223" s="1"/>
      <c r="LGK223" s="1"/>
      <c r="LGL223" s="1"/>
      <c r="LGM223" s="1"/>
      <c r="LGN223" s="1"/>
      <c r="LGO223" s="1"/>
      <c r="LGP223" s="1"/>
      <c r="LGQ223" s="1"/>
      <c r="LGR223" s="1"/>
      <c r="LGS223" s="1"/>
      <c r="LGT223" s="1"/>
      <c r="LGU223" s="1"/>
      <c r="LGV223" s="1"/>
      <c r="LGW223" s="1"/>
      <c r="LGX223" s="1"/>
      <c r="LGY223" s="1"/>
      <c r="LGZ223" s="1"/>
      <c r="LHA223" s="1"/>
      <c r="LHB223" s="1"/>
      <c r="LHC223" s="1"/>
      <c r="LHD223" s="1"/>
      <c r="LHE223" s="1"/>
      <c r="LHF223" s="1"/>
      <c r="LHG223" s="1"/>
      <c r="LHH223" s="1"/>
      <c r="LHI223" s="1"/>
      <c r="LHJ223" s="1"/>
      <c r="LHK223" s="1"/>
      <c r="LHL223" s="1"/>
      <c r="LHM223" s="1"/>
      <c r="LHN223" s="1"/>
      <c r="LHO223" s="1"/>
      <c r="LHP223" s="1"/>
      <c r="LHQ223" s="1"/>
      <c r="LHR223" s="1"/>
      <c r="LHS223" s="1"/>
      <c r="LHT223" s="1"/>
      <c r="LHU223" s="1"/>
      <c r="LHV223" s="1"/>
      <c r="LHW223" s="1"/>
      <c r="LHX223" s="1"/>
      <c r="LHY223" s="1"/>
      <c r="LHZ223" s="1"/>
      <c r="LIA223" s="1"/>
      <c r="LIB223" s="1"/>
      <c r="LIC223" s="1"/>
      <c r="LID223" s="1"/>
      <c r="LIE223" s="1"/>
      <c r="LIF223" s="1"/>
      <c r="LIG223" s="1"/>
      <c r="LIH223" s="1"/>
      <c r="LII223" s="1"/>
      <c r="LIJ223" s="1"/>
      <c r="LIK223" s="1"/>
      <c r="LIL223" s="1"/>
      <c r="LIM223" s="1"/>
      <c r="LIN223" s="1"/>
      <c r="LIO223" s="1"/>
      <c r="LIP223" s="1"/>
      <c r="LIQ223" s="1"/>
      <c r="LIR223" s="1"/>
      <c r="LIS223" s="1"/>
      <c r="LIT223" s="1"/>
      <c r="LIU223" s="1"/>
      <c r="LIV223" s="1"/>
      <c r="LIW223" s="1"/>
      <c r="LIX223" s="1"/>
      <c r="LIY223" s="1"/>
      <c r="LIZ223" s="1"/>
      <c r="LJA223" s="1"/>
      <c r="LJB223" s="1"/>
      <c r="LJC223" s="1"/>
      <c r="LJD223" s="1"/>
      <c r="LJE223" s="1"/>
      <c r="LJF223" s="1"/>
      <c r="LJG223" s="1"/>
      <c r="LJH223" s="1"/>
      <c r="LJI223" s="1"/>
      <c r="LJJ223" s="1"/>
      <c r="LJK223" s="1"/>
      <c r="LJL223" s="1"/>
      <c r="LJM223" s="1"/>
      <c r="LJN223" s="1"/>
      <c r="LJO223" s="1"/>
      <c r="LJP223" s="1"/>
      <c r="LJQ223" s="1"/>
      <c r="LJR223" s="1"/>
      <c r="LJS223" s="1"/>
      <c r="LJT223" s="1"/>
      <c r="LJU223" s="1"/>
      <c r="LJV223" s="1"/>
      <c r="LJW223" s="1"/>
      <c r="LJX223" s="1"/>
      <c r="LJY223" s="1"/>
      <c r="LJZ223" s="1"/>
      <c r="LKA223" s="1"/>
      <c r="LKB223" s="1"/>
      <c r="LKC223" s="1"/>
      <c r="LKD223" s="1"/>
      <c r="LKE223" s="1"/>
      <c r="LKF223" s="1"/>
      <c r="LKG223" s="1"/>
      <c r="LKH223" s="1"/>
      <c r="LKI223" s="1"/>
      <c r="LKJ223" s="1"/>
      <c r="LKK223" s="1"/>
      <c r="LKL223" s="1"/>
      <c r="LKM223" s="1"/>
      <c r="LKN223" s="1"/>
      <c r="LKO223" s="1"/>
      <c r="LKP223" s="1"/>
      <c r="LKQ223" s="1"/>
      <c r="LKR223" s="1"/>
      <c r="LKS223" s="1"/>
      <c r="LKT223" s="1"/>
      <c r="LKU223" s="1"/>
      <c r="LKV223" s="1"/>
      <c r="LKW223" s="1"/>
      <c r="LKX223" s="1"/>
      <c r="LKY223" s="1"/>
      <c r="LKZ223" s="1"/>
      <c r="LLA223" s="1"/>
      <c r="LLB223" s="1"/>
      <c r="LLC223" s="1"/>
      <c r="LLD223" s="1"/>
      <c r="LLE223" s="1"/>
      <c r="LLF223" s="1"/>
      <c r="LLG223" s="1"/>
      <c r="LLH223" s="1"/>
      <c r="LLI223" s="1"/>
      <c r="LLJ223" s="1"/>
      <c r="LLK223" s="1"/>
      <c r="LLL223" s="1"/>
      <c r="LLM223" s="1"/>
      <c r="LLN223" s="1"/>
      <c r="LLO223" s="1"/>
      <c r="LLP223" s="1"/>
      <c r="LLQ223" s="1"/>
      <c r="LLR223" s="1"/>
      <c r="LLS223" s="1"/>
      <c r="LLT223" s="1"/>
      <c r="LLU223" s="1"/>
      <c r="LLV223" s="1"/>
      <c r="LLW223" s="1"/>
      <c r="LLX223" s="1"/>
      <c r="LLY223" s="1"/>
      <c r="LLZ223" s="1"/>
      <c r="LMA223" s="1"/>
      <c r="LMB223" s="1"/>
      <c r="LMC223" s="1"/>
      <c r="LMD223" s="1"/>
      <c r="LME223" s="1"/>
      <c r="LMF223" s="1"/>
      <c r="LMG223" s="1"/>
      <c r="LMH223" s="1"/>
      <c r="LMI223" s="1"/>
      <c r="LMJ223" s="1"/>
      <c r="LMK223" s="1"/>
      <c r="LML223" s="1"/>
      <c r="LMM223" s="1"/>
      <c r="LMN223" s="1"/>
      <c r="LMO223" s="1"/>
      <c r="LMP223" s="1"/>
      <c r="LMQ223" s="1"/>
      <c r="LMR223" s="1"/>
      <c r="LMS223" s="1"/>
      <c r="LMT223" s="1"/>
      <c r="LMU223" s="1"/>
      <c r="LMV223" s="1"/>
      <c r="LMW223" s="1"/>
      <c r="LMX223" s="1"/>
      <c r="LMY223" s="1"/>
      <c r="LMZ223" s="1"/>
      <c r="LNA223" s="1"/>
      <c r="LNB223" s="1"/>
      <c r="LNC223" s="1"/>
      <c r="LND223" s="1"/>
      <c r="LNE223" s="1"/>
      <c r="LNF223" s="1"/>
      <c r="LNG223" s="1"/>
      <c r="LNH223" s="1"/>
      <c r="LNI223" s="1"/>
      <c r="LNJ223" s="1"/>
      <c r="LNK223" s="1"/>
      <c r="LNL223" s="1"/>
      <c r="LNM223" s="1"/>
      <c r="LNN223" s="1"/>
      <c r="LNO223" s="1"/>
      <c r="LNP223" s="1"/>
      <c r="LNQ223" s="1"/>
      <c r="LNR223" s="1"/>
      <c r="LNS223" s="1"/>
      <c r="LNT223" s="1"/>
      <c r="LNU223" s="1"/>
      <c r="LNV223" s="1"/>
      <c r="LNW223" s="1"/>
      <c r="LNX223" s="1"/>
      <c r="LNY223" s="1"/>
      <c r="LNZ223" s="1"/>
      <c r="LOA223" s="1"/>
      <c r="LOB223" s="1"/>
      <c r="LOC223" s="1"/>
      <c r="LOD223" s="1"/>
      <c r="LOE223" s="1"/>
      <c r="LOF223" s="1"/>
      <c r="LOG223" s="1"/>
      <c r="LOH223" s="1"/>
      <c r="LOI223" s="1"/>
      <c r="LOJ223" s="1"/>
      <c r="LOK223" s="1"/>
      <c r="LOL223" s="1"/>
      <c r="LOM223" s="1"/>
      <c r="LON223" s="1"/>
      <c r="LOO223" s="1"/>
      <c r="LOP223" s="1"/>
      <c r="LOQ223" s="1"/>
      <c r="LOR223" s="1"/>
      <c r="LOS223" s="1"/>
      <c r="LOT223" s="1"/>
      <c r="LOU223" s="1"/>
      <c r="LOV223" s="1"/>
      <c r="LOW223" s="1"/>
      <c r="LOX223" s="1"/>
      <c r="LOY223" s="1"/>
      <c r="LOZ223" s="1"/>
      <c r="LPA223" s="1"/>
      <c r="LPB223" s="1"/>
      <c r="LPC223" s="1"/>
      <c r="LPD223" s="1"/>
      <c r="LPE223" s="1"/>
      <c r="LPF223" s="1"/>
      <c r="LPG223" s="1"/>
      <c r="LPH223" s="1"/>
      <c r="LPI223" s="1"/>
      <c r="LPJ223" s="1"/>
      <c r="LPK223" s="1"/>
      <c r="LPL223" s="1"/>
      <c r="LPM223" s="1"/>
      <c r="LPN223" s="1"/>
      <c r="LPO223" s="1"/>
      <c r="LPP223" s="1"/>
      <c r="LPQ223" s="1"/>
      <c r="LPR223" s="1"/>
      <c r="LPS223" s="1"/>
      <c r="LPT223" s="1"/>
      <c r="LPU223" s="1"/>
      <c r="LPV223" s="1"/>
      <c r="LPW223" s="1"/>
      <c r="LPX223" s="1"/>
      <c r="LPY223" s="1"/>
      <c r="LPZ223" s="1"/>
      <c r="LQA223" s="1"/>
      <c r="LQB223" s="1"/>
      <c r="LQC223" s="1"/>
      <c r="LQD223" s="1"/>
      <c r="LQE223" s="1"/>
      <c r="LQF223" s="1"/>
      <c r="LQG223" s="1"/>
      <c r="LQH223" s="1"/>
      <c r="LQI223" s="1"/>
      <c r="LQJ223" s="1"/>
      <c r="LQK223" s="1"/>
      <c r="LQL223" s="1"/>
      <c r="LQM223" s="1"/>
      <c r="LQN223" s="1"/>
      <c r="LQO223" s="1"/>
      <c r="LQP223" s="1"/>
      <c r="LQQ223" s="1"/>
      <c r="LQR223" s="1"/>
      <c r="LQS223" s="1"/>
      <c r="LQT223" s="1"/>
      <c r="LQU223" s="1"/>
      <c r="LQV223" s="1"/>
      <c r="LQW223" s="1"/>
      <c r="LQX223" s="1"/>
      <c r="LQY223" s="1"/>
      <c r="LQZ223" s="1"/>
      <c r="LRA223" s="1"/>
      <c r="LRB223" s="1"/>
      <c r="LRC223" s="1"/>
      <c r="LRD223" s="1"/>
      <c r="LRE223" s="1"/>
      <c r="LRF223" s="1"/>
      <c r="LRG223" s="1"/>
      <c r="LRH223" s="1"/>
      <c r="LRI223" s="1"/>
      <c r="LRJ223" s="1"/>
      <c r="LRK223" s="1"/>
      <c r="LRL223" s="1"/>
      <c r="LRM223" s="1"/>
      <c r="LRN223" s="1"/>
      <c r="LRO223" s="1"/>
      <c r="LRP223" s="1"/>
      <c r="LRQ223" s="1"/>
      <c r="LRR223" s="1"/>
      <c r="LRS223" s="1"/>
      <c r="LRT223" s="1"/>
      <c r="LRU223" s="1"/>
      <c r="LRV223" s="1"/>
      <c r="LRW223" s="1"/>
      <c r="LRX223" s="1"/>
      <c r="LRY223" s="1"/>
      <c r="LRZ223" s="1"/>
      <c r="LSA223" s="1"/>
      <c r="LSB223" s="1"/>
      <c r="LSC223" s="1"/>
      <c r="LSD223" s="1"/>
      <c r="LSE223" s="1"/>
      <c r="LSF223" s="1"/>
      <c r="LSG223" s="1"/>
      <c r="LSH223" s="1"/>
      <c r="LSI223" s="1"/>
      <c r="LSJ223" s="1"/>
      <c r="LSK223" s="1"/>
      <c r="LSL223" s="1"/>
      <c r="LSM223" s="1"/>
      <c r="LSN223" s="1"/>
      <c r="LSO223" s="1"/>
      <c r="LSP223" s="1"/>
      <c r="LSQ223" s="1"/>
      <c r="LSR223" s="1"/>
      <c r="LSS223" s="1"/>
      <c r="LST223" s="1"/>
      <c r="LSU223" s="1"/>
      <c r="LSV223" s="1"/>
      <c r="LSW223" s="1"/>
      <c r="LSX223" s="1"/>
      <c r="LSY223" s="1"/>
      <c r="LSZ223" s="1"/>
      <c r="LTA223" s="1"/>
      <c r="LTB223" s="1"/>
      <c r="LTC223" s="1"/>
      <c r="LTD223" s="1"/>
      <c r="LTE223" s="1"/>
      <c r="LTF223" s="1"/>
      <c r="LTG223" s="1"/>
      <c r="LTH223" s="1"/>
      <c r="LTI223" s="1"/>
      <c r="LTJ223" s="1"/>
      <c r="LTK223" s="1"/>
      <c r="LTL223" s="1"/>
      <c r="LTM223" s="1"/>
      <c r="LTN223" s="1"/>
      <c r="LTO223" s="1"/>
      <c r="LTP223" s="1"/>
      <c r="LTQ223" s="1"/>
      <c r="LTR223" s="1"/>
      <c r="LTS223" s="1"/>
      <c r="LTT223" s="1"/>
      <c r="LTU223" s="1"/>
      <c r="LTV223" s="1"/>
      <c r="LTW223" s="1"/>
      <c r="LTX223" s="1"/>
      <c r="LTY223" s="1"/>
      <c r="LTZ223" s="1"/>
      <c r="LUA223" s="1"/>
      <c r="LUB223" s="1"/>
      <c r="LUC223" s="1"/>
      <c r="LUD223" s="1"/>
      <c r="LUE223" s="1"/>
      <c r="LUF223" s="1"/>
      <c r="LUG223" s="1"/>
      <c r="LUH223" s="1"/>
      <c r="LUI223" s="1"/>
      <c r="LUJ223" s="1"/>
      <c r="LUK223" s="1"/>
      <c r="LUL223" s="1"/>
      <c r="LUM223" s="1"/>
      <c r="LUN223" s="1"/>
      <c r="LUO223" s="1"/>
      <c r="LUP223" s="1"/>
      <c r="LUQ223" s="1"/>
      <c r="LUR223" s="1"/>
      <c r="LUS223" s="1"/>
      <c r="LUT223" s="1"/>
      <c r="LUU223" s="1"/>
      <c r="LUV223" s="1"/>
      <c r="LUW223" s="1"/>
      <c r="LUX223" s="1"/>
      <c r="LUY223" s="1"/>
      <c r="LUZ223" s="1"/>
      <c r="LVA223" s="1"/>
      <c r="LVB223" s="1"/>
      <c r="LVC223" s="1"/>
      <c r="LVD223" s="1"/>
      <c r="LVE223" s="1"/>
      <c r="LVF223" s="1"/>
      <c r="LVG223" s="1"/>
      <c r="LVH223" s="1"/>
      <c r="LVI223" s="1"/>
      <c r="LVJ223" s="1"/>
      <c r="LVK223" s="1"/>
      <c r="LVL223" s="1"/>
      <c r="LVM223" s="1"/>
      <c r="LVN223" s="1"/>
      <c r="LVO223" s="1"/>
      <c r="LVP223" s="1"/>
      <c r="LVQ223" s="1"/>
      <c r="LVR223" s="1"/>
      <c r="LVS223" s="1"/>
      <c r="LVT223" s="1"/>
      <c r="LVU223" s="1"/>
      <c r="LVV223" s="1"/>
      <c r="LVW223" s="1"/>
      <c r="LVX223" s="1"/>
      <c r="LVY223" s="1"/>
      <c r="LVZ223" s="1"/>
      <c r="LWA223" s="1"/>
      <c r="LWB223" s="1"/>
      <c r="LWC223" s="1"/>
      <c r="LWD223" s="1"/>
      <c r="LWE223" s="1"/>
      <c r="LWF223" s="1"/>
      <c r="LWG223" s="1"/>
      <c r="LWH223" s="1"/>
      <c r="LWI223" s="1"/>
      <c r="LWJ223" s="1"/>
      <c r="LWK223" s="1"/>
      <c r="LWL223" s="1"/>
      <c r="LWM223" s="1"/>
      <c r="LWN223" s="1"/>
      <c r="LWO223" s="1"/>
      <c r="LWP223" s="1"/>
      <c r="LWQ223" s="1"/>
      <c r="LWR223" s="1"/>
      <c r="LWS223" s="1"/>
      <c r="LWT223" s="1"/>
      <c r="LWU223" s="1"/>
      <c r="LWV223" s="1"/>
      <c r="LWW223" s="1"/>
      <c r="LWX223" s="1"/>
      <c r="LWY223" s="1"/>
      <c r="LWZ223" s="1"/>
      <c r="LXA223" s="1"/>
      <c r="LXB223" s="1"/>
      <c r="LXC223" s="1"/>
      <c r="LXD223" s="1"/>
      <c r="LXE223" s="1"/>
      <c r="LXF223" s="1"/>
      <c r="LXG223" s="1"/>
      <c r="LXH223" s="1"/>
      <c r="LXI223" s="1"/>
      <c r="LXJ223" s="1"/>
      <c r="LXK223" s="1"/>
      <c r="LXL223" s="1"/>
      <c r="LXM223" s="1"/>
      <c r="LXN223" s="1"/>
      <c r="LXO223" s="1"/>
      <c r="LXP223" s="1"/>
      <c r="LXQ223" s="1"/>
      <c r="LXR223" s="1"/>
      <c r="LXS223" s="1"/>
      <c r="LXT223" s="1"/>
      <c r="LXU223" s="1"/>
      <c r="LXV223" s="1"/>
      <c r="LXW223" s="1"/>
      <c r="LXX223" s="1"/>
      <c r="LXY223" s="1"/>
      <c r="LXZ223" s="1"/>
      <c r="LYA223" s="1"/>
      <c r="LYB223" s="1"/>
      <c r="LYC223" s="1"/>
      <c r="LYD223" s="1"/>
      <c r="LYE223" s="1"/>
      <c r="LYF223" s="1"/>
      <c r="LYG223" s="1"/>
      <c r="LYH223" s="1"/>
      <c r="LYI223" s="1"/>
      <c r="LYJ223" s="1"/>
      <c r="LYK223" s="1"/>
      <c r="LYL223" s="1"/>
      <c r="LYM223" s="1"/>
      <c r="LYN223" s="1"/>
      <c r="LYO223" s="1"/>
      <c r="LYP223" s="1"/>
      <c r="LYQ223" s="1"/>
      <c r="LYR223" s="1"/>
      <c r="LYS223" s="1"/>
      <c r="LYT223" s="1"/>
      <c r="LYU223" s="1"/>
      <c r="LYV223" s="1"/>
      <c r="LYW223" s="1"/>
      <c r="LYX223" s="1"/>
      <c r="LYY223" s="1"/>
      <c r="LYZ223" s="1"/>
      <c r="LZA223" s="1"/>
      <c r="LZB223" s="1"/>
      <c r="LZC223" s="1"/>
      <c r="LZD223" s="1"/>
      <c r="LZE223" s="1"/>
      <c r="LZF223" s="1"/>
      <c r="LZG223" s="1"/>
      <c r="LZH223" s="1"/>
      <c r="LZI223" s="1"/>
      <c r="LZJ223" s="1"/>
      <c r="LZK223" s="1"/>
      <c r="LZL223" s="1"/>
      <c r="LZM223" s="1"/>
      <c r="LZN223" s="1"/>
      <c r="LZO223" s="1"/>
      <c r="LZP223" s="1"/>
      <c r="LZQ223" s="1"/>
      <c r="LZR223" s="1"/>
      <c r="LZS223" s="1"/>
      <c r="LZT223" s="1"/>
      <c r="LZU223" s="1"/>
      <c r="LZV223" s="1"/>
      <c r="LZW223" s="1"/>
      <c r="LZX223" s="1"/>
      <c r="LZY223" s="1"/>
      <c r="LZZ223" s="1"/>
      <c r="MAA223" s="1"/>
      <c r="MAB223" s="1"/>
      <c r="MAC223" s="1"/>
      <c r="MAD223" s="1"/>
      <c r="MAE223" s="1"/>
      <c r="MAF223" s="1"/>
      <c r="MAG223" s="1"/>
      <c r="MAH223" s="1"/>
      <c r="MAI223" s="1"/>
      <c r="MAJ223" s="1"/>
      <c r="MAK223" s="1"/>
      <c r="MAL223" s="1"/>
      <c r="MAM223" s="1"/>
      <c r="MAN223" s="1"/>
      <c r="MAO223" s="1"/>
      <c r="MAP223" s="1"/>
      <c r="MAQ223" s="1"/>
      <c r="MAR223" s="1"/>
      <c r="MAS223" s="1"/>
      <c r="MAT223" s="1"/>
      <c r="MAU223" s="1"/>
      <c r="MAV223" s="1"/>
      <c r="MAW223" s="1"/>
      <c r="MAX223" s="1"/>
      <c r="MAY223" s="1"/>
      <c r="MAZ223" s="1"/>
      <c r="MBA223" s="1"/>
      <c r="MBB223" s="1"/>
      <c r="MBC223" s="1"/>
      <c r="MBD223" s="1"/>
      <c r="MBE223" s="1"/>
      <c r="MBF223" s="1"/>
      <c r="MBG223" s="1"/>
      <c r="MBH223" s="1"/>
      <c r="MBI223" s="1"/>
      <c r="MBJ223" s="1"/>
      <c r="MBK223" s="1"/>
      <c r="MBL223" s="1"/>
      <c r="MBM223" s="1"/>
      <c r="MBN223" s="1"/>
      <c r="MBO223" s="1"/>
      <c r="MBP223" s="1"/>
      <c r="MBQ223" s="1"/>
      <c r="MBR223" s="1"/>
      <c r="MBS223" s="1"/>
      <c r="MBT223" s="1"/>
      <c r="MBU223" s="1"/>
      <c r="MBV223" s="1"/>
      <c r="MBW223" s="1"/>
      <c r="MBX223" s="1"/>
      <c r="MBY223" s="1"/>
      <c r="MBZ223" s="1"/>
      <c r="MCA223" s="1"/>
      <c r="MCB223" s="1"/>
      <c r="MCC223" s="1"/>
      <c r="MCD223" s="1"/>
      <c r="MCE223" s="1"/>
      <c r="MCF223" s="1"/>
      <c r="MCG223" s="1"/>
      <c r="MCH223" s="1"/>
      <c r="MCI223" s="1"/>
      <c r="MCJ223" s="1"/>
      <c r="MCK223" s="1"/>
      <c r="MCL223" s="1"/>
      <c r="MCM223" s="1"/>
      <c r="MCN223" s="1"/>
      <c r="MCO223" s="1"/>
      <c r="MCP223" s="1"/>
      <c r="MCQ223" s="1"/>
      <c r="MCR223" s="1"/>
      <c r="MCS223" s="1"/>
      <c r="MCT223" s="1"/>
      <c r="MCU223" s="1"/>
      <c r="MCV223" s="1"/>
      <c r="MCW223" s="1"/>
      <c r="MCX223" s="1"/>
      <c r="MCY223" s="1"/>
      <c r="MCZ223" s="1"/>
      <c r="MDA223" s="1"/>
      <c r="MDB223" s="1"/>
      <c r="MDC223" s="1"/>
      <c r="MDD223" s="1"/>
      <c r="MDE223" s="1"/>
      <c r="MDF223" s="1"/>
      <c r="MDG223" s="1"/>
      <c r="MDH223" s="1"/>
      <c r="MDI223" s="1"/>
      <c r="MDJ223" s="1"/>
      <c r="MDK223" s="1"/>
      <c r="MDL223" s="1"/>
      <c r="MDM223" s="1"/>
      <c r="MDN223" s="1"/>
      <c r="MDO223" s="1"/>
      <c r="MDP223" s="1"/>
      <c r="MDQ223" s="1"/>
      <c r="MDR223" s="1"/>
      <c r="MDS223" s="1"/>
      <c r="MDT223" s="1"/>
      <c r="MDU223" s="1"/>
      <c r="MDV223" s="1"/>
      <c r="MDW223" s="1"/>
      <c r="MDX223" s="1"/>
      <c r="MDY223" s="1"/>
      <c r="MDZ223" s="1"/>
      <c r="MEA223" s="1"/>
      <c r="MEB223" s="1"/>
      <c r="MEC223" s="1"/>
      <c r="MED223" s="1"/>
      <c r="MEE223" s="1"/>
      <c r="MEF223" s="1"/>
      <c r="MEG223" s="1"/>
      <c r="MEH223" s="1"/>
      <c r="MEI223" s="1"/>
      <c r="MEJ223" s="1"/>
      <c r="MEK223" s="1"/>
      <c r="MEL223" s="1"/>
      <c r="MEM223" s="1"/>
      <c r="MEN223" s="1"/>
      <c r="MEO223" s="1"/>
      <c r="MEP223" s="1"/>
      <c r="MEQ223" s="1"/>
      <c r="MER223" s="1"/>
      <c r="MES223" s="1"/>
      <c r="MET223" s="1"/>
      <c r="MEU223" s="1"/>
      <c r="MEV223" s="1"/>
      <c r="MEW223" s="1"/>
      <c r="MEX223" s="1"/>
      <c r="MEY223" s="1"/>
      <c r="MEZ223" s="1"/>
      <c r="MFA223" s="1"/>
      <c r="MFB223" s="1"/>
      <c r="MFC223" s="1"/>
      <c r="MFD223" s="1"/>
      <c r="MFE223" s="1"/>
      <c r="MFF223" s="1"/>
      <c r="MFG223" s="1"/>
      <c r="MFH223" s="1"/>
      <c r="MFI223" s="1"/>
      <c r="MFJ223" s="1"/>
      <c r="MFK223" s="1"/>
      <c r="MFL223" s="1"/>
      <c r="MFM223" s="1"/>
      <c r="MFN223" s="1"/>
      <c r="MFO223" s="1"/>
      <c r="MFP223" s="1"/>
      <c r="MFQ223" s="1"/>
      <c r="MFR223" s="1"/>
      <c r="MFS223" s="1"/>
      <c r="MFT223" s="1"/>
      <c r="MFU223" s="1"/>
      <c r="MFV223" s="1"/>
      <c r="MFW223" s="1"/>
      <c r="MFX223" s="1"/>
      <c r="MFY223" s="1"/>
      <c r="MFZ223" s="1"/>
      <c r="MGA223" s="1"/>
      <c r="MGB223" s="1"/>
      <c r="MGC223" s="1"/>
      <c r="MGD223" s="1"/>
      <c r="MGE223" s="1"/>
      <c r="MGF223" s="1"/>
      <c r="MGG223" s="1"/>
      <c r="MGH223" s="1"/>
      <c r="MGI223" s="1"/>
      <c r="MGJ223" s="1"/>
      <c r="MGK223" s="1"/>
      <c r="MGL223" s="1"/>
      <c r="MGM223" s="1"/>
      <c r="MGN223" s="1"/>
      <c r="MGO223" s="1"/>
      <c r="MGP223" s="1"/>
      <c r="MGQ223" s="1"/>
      <c r="MGR223" s="1"/>
      <c r="MGS223" s="1"/>
      <c r="MGT223" s="1"/>
      <c r="MGU223" s="1"/>
      <c r="MGV223" s="1"/>
      <c r="MGW223" s="1"/>
      <c r="MGX223" s="1"/>
      <c r="MGY223" s="1"/>
      <c r="MGZ223" s="1"/>
      <c r="MHA223" s="1"/>
      <c r="MHB223" s="1"/>
      <c r="MHC223" s="1"/>
      <c r="MHD223" s="1"/>
      <c r="MHE223" s="1"/>
      <c r="MHF223" s="1"/>
      <c r="MHG223" s="1"/>
      <c r="MHH223" s="1"/>
      <c r="MHI223" s="1"/>
      <c r="MHJ223" s="1"/>
      <c r="MHK223" s="1"/>
      <c r="MHL223" s="1"/>
      <c r="MHM223" s="1"/>
      <c r="MHN223" s="1"/>
      <c r="MHO223" s="1"/>
      <c r="MHP223" s="1"/>
      <c r="MHQ223" s="1"/>
      <c r="MHR223" s="1"/>
      <c r="MHS223" s="1"/>
      <c r="MHT223" s="1"/>
      <c r="MHU223" s="1"/>
      <c r="MHV223" s="1"/>
      <c r="MHW223" s="1"/>
      <c r="MHX223" s="1"/>
      <c r="MHY223" s="1"/>
      <c r="MHZ223" s="1"/>
      <c r="MIA223" s="1"/>
      <c r="MIB223" s="1"/>
      <c r="MIC223" s="1"/>
      <c r="MID223" s="1"/>
      <c r="MIE223" s="1"/>
      <c r="MIF223" s="1"/>
      <c r="MIG223" s="1"/>
      <c r="MIH223" s="1"/>
      <c r="MII223" s="1"/>
      <c r="MIJ223" s="1"/>
      <c r="MIK223" s="1"/>
      <c r="MIL223" s="1"/>
      <c r="MIM223" s="1"/>
      <c r="MIN223" s="1"/>
      <c r="MIO223" s="1"/>
      <c r="MIP223" s="1"/>
      <c r="MIQ223" s="1"/>
      <c r="MIR223" s="1"/>
      <c r="MIS223" s="1"/>
      <c r="MIT223" s="1"/>
      <c r="MIU223" s="1"/>
      <c r="MIV223" s="1"/>
      <c r="MIW223" s="1"/>
      <c r="MIX223" s="1"/>
      <c r="MIY223" s="1"/>
      <c r="MIZ223" s="1"/>
      <c r="MJA223" s="1"/>
      <c r="MJB223" s="1"/>
      <c r="MJC223" s="1"/>
      <c r="MJD223" s="1"/>
      <c r="MJE223" s="1"/>
      <c r="MJF223" s="1"/>
      <c r="MJG223" s="1"/>
      <c r="MJH223" s="1"/>
      <c r="MJI223" s="1"/>
      <c r="MJJ223" s="1"/>
      <c r="MJK223" s="1"/>
      <c r="MJL223" s="1"/>
      <c r="MJM223" s="1"/>
      <c r="MJN223" s="1"/>
      <c r="MJO223" s="1"/>
      <c r="MJP223" s="1"/>
      <c r="MJQ223" s="1"/>
      <c r="MJR223" s="1"/>
      <c r="MJS223" s="1"/>
      <c r="MJT223" s="1"/>
      <c r="MJU223" s="1"/>
      <c r="MJV223" s="1"/>
      <c r="MJW223" s="1"/>
      <c r="MJX223" s="1"/>
      <c r="MJY223" s="1"/>
      <c r="MJZ223" s="1"/>
      <c r="MKA223" s="1"/>
      <c r="MKB223" s="1"/>
      <c r="MKC223" s="1"/>
      <c r="MKD223" s="1"/>
      <c r="MKE223" s="1"/>
      <c r="MKF223" s="1"/>
      <c r="MKG223" s="1"/>
      <c r="MKH223" s="1"/>
      <c r="MKI223" s="1"/>
      <c r="MKJ223" s="1"/>
      <c r="MKK223" s="1"/>
      <c r="MKL223" s="1"/>
      <c r="MKM223" s="1"/>
      <c r="MKN223" s="1"/>
      <c r="MKO223" s="1"/>
      <c r="MKP223" s="1"/>
      <c r="MKQ223" s="1"/>
      <c r="MKR223" s="1"/>
      <c r="MKS223" s="1"/>
      <c r="MKT223" s="1"/>
      <c r="MKU223" s="1"/>
      <c r="MKV223" s="1"/>
      <c r="MKW223" s="1"/>
      <c r="MKX223" s="1"/>
      <c r="MKY223" s="1"/>
      <c r="MKZ223" s="1"/>
      <c r="MLA223" s="1"/>
      <c r="MLB223" s="1"/>
      <c r="MLC223" s="1"/>
      <c r="MLD223" s="1"/>
      <c r="MLE223" s="1"/>
      <c r="MLF223" s="1"/>
      <c r="MLG223" s="1"/>
      <c r="MLH223" s="1"/>
      <c r="MLI223" s="1"/>
      <c r="MLJ223" s="1"/>
      <c r="MLK223" s="1"/>
      <c r="MLL223" s="1"/>
      <c r="MLM223" s="1"/>
      <c r="MLN223" s="1"/>
      <c r="MLO223" s="1"/>
      <c r="MLP223" s="1"/>
      <c r="MLQ223" s="1"/>
      <c r="MLR223" s="1"/>
      <c r="MLS223" s="1"/>
      <c r="MLT223" s="1"/>
      <c r="MLU223" s="1"/>
      <c r="MLV223" s="1"/>
      <c r="MLW223" s="1"/>
      <c r="MLX223" s="1"/>
      <c r="MLY223" s="1"/>
      <c r="MLZ223" s="1"/>
      <c r="MMA223" s="1"/>
      <c r="MMB223" s="1"/>
      <c r="MMC223" s="1"/>
      <c r="MMD223" s="1"/>
      <c r="MME223" s="1"/>
      <c r="MMF223" s="1"/>
      <c r="MMG223" s="1"/>
      <c r="MMH223" s="1"/>
      <c r="MMI223" s="1"/>
      <c r="MMJ223" s="1"/>
      <c r="MMK223" s="1"/>
      <c r="MML223" s="1"/>
      <c r="MMM223" s="1"/>
      <c r="MMN223" s="1"/>
      <c r="MMO223" s="1"/>
      <c r="MMP223" s="1"/>
      <c r="MMQ223" s="1"/>
      <c r="MMR223" s="1"/>
      <c r="MMS223" s="1"/>
      <c r="MMT223" s="1"/>
      <c r="MMU223" s="1"/>
      <c r="MMV223" s="1"/>
      <c r="MMW223" s="1"/>
      <c r="MMX223" s="1"/>
      <c r="MMY223" s="1"/>
      <c r="MMZ223" s="1"/>
      <c r="MNA223" s="1"/>
      <c r="MNB223" s="1"/>
      <c r="MNC223" s="1"/>
      <c r="MND223" s="1"/>
      <c r="MNE223" s="1"/>
      <c r="MNF223" s="1"/>
      <c r="MNG223" s="1"/>
      <c r="MNH223" s="1"/>
      <c r="MNI223" s="1"/>
      <c r="MNJ223" s="1"/>
      <c r="MNK223" s="1"/>
      <c r="MNL223" s="1"/>
      <c r="MNM223" s="1"/>
      <c r="MNN223" s="1"/>
      <c r="MNO223" s="1"/>
      <c r="MNP223" s="1"/>
      <c r="MNQ223" s="1"/>
      <c r="MNR223" s="1"/>
      <c r="MNS223" s="1"/>
      <c r="MNT223" s="1"/>
      <c r="MNU223" s="1"/>
      <c r="MNV223" s="1"/>
      <c r="MNW223" s="1"/>
      <c r="MNX223" s="1"/>
      <c r="MNY223" s="1"/>
      <c r="MNZ223" s="1"/>
      <c r="MOA223" s="1"/>
      <c r="MOB223" s="1"/>
      <c r="MOC223" s="1"/>
      <c r="MOD223" s="1"/>
      <c r="MOE223" s="1"/>
      <c r="MOF223" s="1"/>
      <c r="MOG223" s="1"/>
      <c r="MOH223" s="1"/>
      <c r="MOI223" s="1"/>
      <c r="MOJ223" s="1"/>
      <c r="MOK223" s="1"/>
      <c r="MOL223" s="1"/>
      <c r="MOM223" s="1"/>
      <c r="MON223" s="1"/>
      <c r="MOO223" s="1"/>
      <c r="MOP223" s="1"/>
      <c r="MOQ223" s="1"/>
      <c r="MOR223" s="1"/>
      <c r="MOS223" s="1"/>
      <c r="MOT223" s="1"/>
      <c r="MOU223" s="1"/>
      <c r="MOV223" s="1"/>
      <c r="MOW223" s="1"/>
      <c r="MOX223" s="1"/>
      <c r="MOY223" s="1"/>
      <c r="MOZ223" s="1"/>
      <c r="MPA223" s="1"/>
      <c r="MPB223" s="1"/>
      <c r="MPC223" s="1"/>
      <c r="MPD223" s="1"/>
      <c r="MPE223" s="1"/>
      <c r="MPF223" s="1"/>
      <c r="MPG223" s="1"/>
      <c r="MPH223" s="1"/>
      <c r="MPI223" s="1"/>
      <c r="MPJ223" s="1"/>
      <c r="MPK223" s="1"/>
      <c r="MPL223" s="1"/>
      <c r="MPM223" s="1"/>
      <c r="MPN223" s="1"/>
      <c r="MPO223" s="1"/>
      <c r="MPP223" s="1"/>
      <c r="MPQ223" s="1"/>
      <c r="MPR223" s="1"/>
      <c r="MPS223" s="1"/>
      <c r="MPT223" s="1"/>
      <c r="MPU223" s="1"/>
      <c r="MPV223" s="1"/>
      <c r="MPW223" s="1"/>
      <c r="MPX223" s="1"/>
      <c r="MPY223" s="1"/>
      <c r="MPZ223" s="1"/>
      <c r="MQA223" s="1"/>
      <c r="MQB223" s="1"/>
      <c r="MQC223" s="1"/>
      <c r="MQD223" s="1"/>
      <c r="MQE223" s="1"/>
      <c r="MQF223" s="1"/>
      <c r="MQG223" s="1"/>
      <c r="MQH223" s="1"/>
      <c r="MQI223" s="1"/>
      <c r="MQJ223" s="1"/>
      <c r="MQK223" s="1"/>
      <c r="MQL223" s="1"/>
      <c r="MQM223" s="1"/>
      <c r="MQN223" s="1"/>
      <c r="MQO223" s="1"/>
      <c r="MQP223" s="1"/>
      <c r="MQQ223" s="1"/>
      <c r="MQR223" s="1"/>
      <c r="MQS223" s="1"/>
      <c r="MQT223" s="1"/>
      <c r="MQU223" s="1"/>
      <c r="MQV223" s="1"/>
      <c r="MQW223" s="1"/>
      <c r="MQX223" s="1"/>
      <c r="MQY223" s="1"/>
      <c r="MQZ223" s="1"/>
      <c r="MRA223" s="1"/>
      <c r="MRB223" s="1"/>
      <c r="MRC223" s="1"/>
      <c r="MRD223" s="1"/>
      <c r="MRE223" s="1"/>
      <c r="MRF223" s="1"/>
      <c r="MRG223" s="1"/>
      <c r="MRH223" s="1"/>
      <c r="MRI223" s="1"/>
      <c r="MRJ223" s="1"/>
      <c r="MRK223" s="1"/>
      <c r="MRL223" s="1"/>
      <c r="MRM223" s="1"/>
      <c r="MRN223" s="1"/>
      <c r="MRO223" s="1"/>
      <c r="MRP223" s="1"/>
      <c r="MRQ223" s="1"/>
      <c r="MRR223" s="1"/>
      <c r="MRS223" s="1"/>
      <c r="MRT223" s="1"/>
      <c r="MRU223" s="1"/>
      <c r="MRV223" s="1"/>
      <c r="MRW223" s="1"/>
      <c r="MRX223" s="1"/>
      <c r="MRY223" s="1"/>
      <c r="MRZ223" s="1"/>
      <c r="MSA223" s="1"/>
      <c r="MSB223" s="1"/>
      <c r="MSC223" s="1"/>
      <c r="MSD223" s="1"/>
      <c r="MSE223" s="1"/>
      <c r="MSF223" s="1"/>
      <c r="MSG223" s="1"/>
      <c r="MSH223" s="1"/>
      <c r="MSI223" s="1"/>
      <c r="MSJ223" s="1"/>
      <c r="MSK223" s="1"/>
      <c r="MSL223" s="1"/>
      <c r="MSM223" s="1"/>
      <c r="MSN223" s="1"/>
      <c r="MSO223" s="1"/>
      <c r="MSP223" s="1"/>
      <c r="MSQ223" s="1"/>
      <c r="MSR223" s="1"/>
      <c r="MSS223" s="1"/>
      <c r="MST223" s="1"/>
      <c r="MSU223" s="1"/>
      <c r="MSV223" s="1"/>
      <c r="MSW223" s="1"/>
      <c r="MSX223" s="1"/>
      <c r="MSY223" s="1"/>
      <c r="MSZ223" s="1"/>
      <c r="MTA223" s="1"/>
      <c r="MTB223" s="1"/>
      <c r="MTC223" s="1"/>
      <c r="MTD223" s="1"/>
      <c r="MTE223" s="1"/>
      <c r="MTF223" s="1"/>
      <c r="MTG223" s="1"/>
      <c r="MTH223" s="1"/>
      <c r="MTI223" s="1"/>
      <c r="MTJ223" s="1"/>
      <c r="MTK223" s="1"/>
      <c r="MTL223" s="1"/>
      <c r="MTM223" s="1"/>
      <c r="MTN223" s="1"/>
      <c r="MTO223" s="1"/>
      <c r="MTP223" s="1"/>
      <c r="MTQ223" s="1"/>
      <c r="MTR223" s="1"/>
      <c r="MTS223" s="1"/>
      <c r="MTT223" s="1"/>
      <c r="MTU223" s="1"/>
      <c r="MTV223" s="1"/>
      <c r="MTW223" s="1"/>
      <c r="MTX223" s="1"/>
      <c r="MTY223" s="1"/>
      <c r="MTZ223" s="1"/>
      <c r="MUA223" s="1"/>
      <c r="MUB223" s="1"/>
      <c r="MUC223" s="1"/>
      <c r="MUD223" s="1"/>
      <c r="MUE223" s="1"/>
      <c r="MUF223" s="1"/>
      <c r="MUG223" s="1"/>
      <c r="MUH223" s="1"/>
      <c r="MUI223" s="1"/>
      <c r="MUJ223" s="1"/>
      <c r="MUK223" s="1"/>
      <c r="MUL223" s="1"/>
      <c r="MUM223" s="1"/>
      <c r="MUN223" s="1"/>
      <c r="MUO223" s="1"/>
      <c r="MUP223" s="1"/>
      <c r="MUQ223" s="1"/>
      <c r="MUR223" s="1"/>
      <c r="MUS223" s="1"/>
      <c r="MUT223" s="1"/>
      <c r="MUU223" s="1"/>
      <c r="MUV223" s="1"/>
      <c r="MUW223" s="1"/>
      <c r="MUX223" s="1"/>
      <c r="MUY223" s="1"/>
      <c r="MUZ223" s="1"/>
      <c r="MVA223" s="1"/>
      <c r="MVB223" s="1"/>
      <c r="MVC223" s="1"/>
      <c r="MVD223" s="1"/>
      <c r="MVE223" s="1"/>
      <c r="MVF223" s="1"/>
      <c r="MVG223" s="1"/>
      <c r="MVH223" s="1"/>
      <c r="MVI223" s="1"/>
      <c r="MVJ223" s="1"/>
      <c r="MVK223" s="1"/>
      <c r="MVL223" s="1"/>
      <c r="MVM223" s="1"/>
      <c r="MVN223" s="1"/>
      <c r="MVO223" s="1"/>
      <c r="MVP223" s="1"/>
      <c r="MVQ223" s="1"/>
      <c r="MVR223" s="1"/>
      <c r="MVS223" s="1"/>
      <c r="MVT223" s="1"/>
      <c r="MVU223" s="1"/>
      <c r="MVV223" s="1"/>
      <c r="MVW223" s="1"/>
      <c r="MVX223" s="1"/>
      <c r="MVY223" s="1"/>
      <c r="MVZ223" s="1"/>
      <c r="MWA223" s="1"/>
      <c r="MWB223" s="1"/>
      <c r="MWC223" s="1"/>
      <c r="MWD223" s="1"/>
      <c r="MWE223" s="1"/>
      <c r="MWF223" s="1"/>
      <c r="MWG223" s="1"/>
      <c r="MWH223" s="1"/>
      <c r="MWI223" s="1"/>
      <c r="MWJ223" s="1"/>
      <c r="MWK223" s="1"/>
      <c r="MWL223" s="1"/>
      <c r="MWM223" s="1"/>
      <c r="MWN223" s="1"/>
      <c r="MWO223" s="1"/>
      <c r="MWP223" s="1"/>
      <c r="MWQ223" s="1"/>
      <c r="MWR223" s="1"/>
      <c r="MWS223" s="1"/>
      <c r="MWT223" s="1"/>
      <c r="MWU223" s="1"/>
      <c r="MWV223" s="1"/>
      <c r="MWW223" s="1"/>
      <c r="MWX223" s="1"/>
      <c r="MWY223" s="1"/>
      <c r="MWZ223" s="1"/>
      <c r="MXA223" s="1"/>
      <c r="MXB223" s="1"/>
      <c r="MXC223" s="1"/>
      <c r="MXD223" s="1"/>
      <c r="MXE223" s="1"/>
      <c r="MXF223" s="1"/>
      <c r="MXG223" s="1"/>
      <c r="MXH223" s="1"/>
      <c r="MXI223" s="1"/>
      <c r="MXJ223" s="1"/>
      <c r="MXK223" s="1"/>
      <c r="MXL223" s="1"/>
      <c r="MXM223" s="1"/>
      <c r="MXN223" s="1"/>
      <c r="MXO223" s="1"/>
      <c r="MXP223" s="1"/>
      <c r="MXQ223" s="1"/>
      <c r="MXR223" s="1"/>
      <c r="MXS223" s="1"/>
      <c r="MXT223" s="1"/>
      <c r="MXU223" s="1"/>
      <c r="MXV223" s="1"/>
      <c r="MXW223" s="1"/>
      <c r="MXX223" s="1"/>
      <c r="MXY223" s="1"/>
      <c r="MXZ223" s="1"/>
      <c r="MYA223" s="1"/>
      <c r="MYB223" s="1"/>
      <c r="MYC223" s="1"/>
      <c r="MYD223" s="1"/>
      <c r="MYE223" s="1"/>
      <c r="MYF223" s="1"/>
      <c r="MYG223" s="1"/>
      <c r="MYH223" s="1"/>
      <c r="MYI223" s="1"/>
      <c r="MYJ223" s="1"/>
      <c r="MYK223" s="1"/>
      <c r="MYL223" s="1"/>
      <c r="MYM223" s="1"/>
      <c r="MYN223" s="1"/>
      <c r="MYO223" s="1"/>
      <c r="MYP223" s="1"/>
      <c r="MYQ223" s="1"/>
      <c r="MYR223" s="1"/>
      <c r="MYS223" s="1"/>
      <c r="MYT223" s="1"/>
      <c r="MYU223" s="1"/>
      <c r="MYV223" s="1"/>
      <c r="MYW223" s="1"/>
      <c r="MYX223" s="1"/>
      <c r="MYY223" s="1"/>
      <c r="MYZ223" s="1"/>
      <c r="MZA223" s="1"/>
      <c r="MZB223" s="1"/>
      <c r="MZC223" s="1"/>
      <c r="MZD223" s="1"/>
      <c r="MZE223" s="1"/>
      <c r="MZF223" s="1"/>
      <c r="MZG223" s="1"/>
      <c r="MZH223" s="1"/>
      <c r="MZI223" s="1"/>
      <c r="MZJ223" s="1"/>
      <c r="MZK223" s="1"/>
      <c r="MZL223" s="1"/>
      <c r="MZM223" s="1"/>
      <c r="MZN223" s="1"/>
      <c r="MZO223" s="1"/>
      <c r="MZP223" s="1"/>
      <c r="MZQ223" s="1"/>
      <c r="MZR223" s="1"/>
      <c r="MZS223" s="1"/>
      <c r="MZT223" s="1"/>
      <c r="MZU223" s="1"/>
      <c r="MZV223" s="1"/>
      <c r="MZW223" s="1"/>
      <c r="MZX223" s="1"/>
      <c r="MZY223" s="1"/>
      <c r="MZZ223" s="1"/>
      <c r="NAA223" s="1"/>
      <c r="NAB223" s="1"/>
      <c r="NAC223" s="1"/>
      <c r="NAD223" s="1"/>
      <c r="NAE223" s="1"/>
      <c r="NAF223" s="1"/>
      <c r="NAG223" s="1"/>
      <c r="NAH223" s="1"/>
      <c r="NAI223" s="1"/>
      <c r="NAJ223" s="1"/>
      <c r="NAK223" s="1"/>
      <c r="NAL223" s="1"/>
      <c r="NAM223" s="1"/>
      <c r="NAN223" s="1"/>
      <c r="NAO223" s="1"/>
      <c r="NAP223" s="1"/>
      <c r="NAQ223" s="1"/>
      <c r="NAR223" s="1"/>
      <c r="NAS223" s="1"/>
      <c r="NAT223" s="1"/>
      <c r="NAU223" s="1"/>
      <c r="NAV223" s="1"/>
      <c r="NAW223" s="1"/>
      <c r="NAX223" s="1"/>
      <c r="NAY223" s="1"/>
      <c r="NAZ223" s="1"/>
      <c r="NBA223" s="1"/>
      <c r="NBB223" s="1"/>
      <c r="NBC223" s="1"/>
      <c r="NBD223" s="1"/>
      <c r="NBE223" s="1"/>
      <c r="NBF223" s="1"/>
      <c r="NBG223" s="1"/>
      <c r="NBH223" s="1"/>
      <c r="NBI223" s="1"/>
      <c r="NBJ223" s="1"/>
      <c r="NBK223" s="1"/>
      <c r="NBL223" s="1"/>
      <c r="NBM223" s="1"/>
      <c r="NBN223" s="1"/>
      <c r="NBO223" s="1"/>
      <c r="NBP223" s="1"/>
      <c r="NBQ223" s="1"/>
      <c r="NBR223" s="1"/>
      <c r="NBS223" s="1"/>
      <c r="NBT223" s="1"/>
      <c r="NBU223" s="1"/>
      <c r="NBV223" s="1"/>
      <c r="NBW223" s="1"/>
      <c r="NBX223" s="1"/>
      <c r="NBY223" s="1"/>
      <c r="NBZ223" s="1"/>
      <c r="NCA223" s="1"/>
      <c r="NCB223" s="1"/>
      <c r="NCC223" s="1"/>
      <c r="NCD223" s="1"/>
      <c r="NCE223" s="1"/>
      <c r="NCF223" s="1"/>
      <c r="NCG223" s="1"/>
      <c r="NCH223" s="1"/>
      <c r="NCI223" s="1"/>
      <c r="NCJ223" s="1"/>
      <c r="NCK223" s="1"/>
      <c r="NCL223" s="1"/>
      <c r="NCM223" s="1"/>
      <c r="NCN223" s="1"/>
      <c r="NCO223" s="1"/>
      <c r="NCP223" s="1"/>
      <c r="NCQ223" s="1"/>
      <c r="NCR223" s="1"/>
      <c r="NCS223" s="1"/>
      <c r="NCT223" s="1"/>
      <c r="NCU223" s="1"/>
      <c r="NCV223" s="1"/>
      <c r="NCW223" s="1"/>
      <c r="NCX223" s="1"/>
      <c r="NCY223" s="1"/>
      <c r="NCZ223" s="1"/>
      <c r="NDA223" s="1"/>
      <c r="NDB223" s="1"/>
      <c r="NDC223" s="1"/>
      <c r="NDD223" s="1"/>
      <c r="NDE223" s="1"/>
      <c r="NDF223" s="1"/>
      <c r="NDG223" s="1"/>
      <c r="NDH223" s="1"/>
      <c r="NDI223" s="1"/>
      <c r="NDJ223" s="1"/>
      <c r="NDK223" s="1"/>
      <c r="NDL223" s="1"/>
      <c r="NDM223" s="1"/>
      <c r="NDN223" s="1"/>
      <c r="NDO223" s="1"/>
      <c r="NDP223" s="1"/>
      <c r="NDQ223" s="1"/>
      <c r="NDR223" s="1"/>
      <c r="NDS223" s="1"/>
      <c r="NDT223" s="1"/>
      <c r="NDU223" s="1"/>
      <c r="NDV223" s="1"/>
      <c r="NDW223" s="1"/>
      <c r="NDX223" s="1"/>
      <c r="NDY223" s="1"/>
      <c r="NDZ223" s="1"/>
      <c r="NEA223" s="1"/>
      <c r="NEB223" s="1"/>
      <c r="NEC223" s="1"/>
      <c r="NED223" s="1"/>
      <c r="NEE223" s="1"/>
      <c r="NEF223" s="1"/>
      <c r="NEG223" s="1"/>
      <c r="NEH223" s="1"/>
      <c r="NEI223" s="1"/>
      <c r="NEJ223" s="1"/>
      <c r="NEK223" s="1"/>
      <c r="NEL223" s="1"/>
      <c r="NEM223" s="1"/>
      <c r="NEN223" s="1"/>
      <c r="NEO223" s="1"/>
      <c r="NEP223" s="1"/>
      <c r="NEQ223" s="1"/>
      <c r="NER223" s="1"/>
      <c r="NES223" s="1"/>
      <c r="NET223" s="1"/>
      <c r="NEU223" s="1"/>
      <c r="NEV223" s="1"/>
      <c r="NEW223" s="1"/>
      <c r="NEX223" s="1"/>
      <c r="NEY223" s="1"/>
      <c r="NEZ223" s="1"/>
      <c r="NFA223" s="1"/>
      <c r="NFB223" s="1"/>
      <c r="NFC223" s="1"/>
      <c r="NFD223" s="1"/>
      <c r="NFE223" s="1"/>
      <c r="NFF223" s="1"/>
      <c r="NFG223" s="1"/>
      <c r="NFH223" s="1"/>
      <c r="NFI223" s="1"/>
      <c r="NFJ223" s="1"/>
      <c r="NFK223" s="1"/>
      <c r="NFL223" s="1"/>
      <c r="NFM223" s="1"/>
      <c r="NFN223" s="1"/>
      <c r="NFO223" s="1"/>
      <c r="NFP223" s="1"/>
      <c r="NFQ223" s="1"/>
      <c r="NFR223" s="1"/>
      <c r="NFS223" s="1"/>
      <c r="NFT223" s="1"/>
      <c r="NFU223" s="1"/>
      <c r="NFV223" s="1"/>
      <c r="NFW223" s="1"/>
      <c r="NFX223" s="1"/>
      <c r="NFY223" s="1"/>
      <c r="NFZ223" s="1"/>
      <c r="NGA223" s="1"/>
      <c r="NGB223" s="1"/>
      <c r="NGC223" s="1"/>
      <c r="NGD223" s="1"/>
      <c r="NGE223" s="1"/>
      <c r="NGF223" s="1"/>
      <c r="NGG223" s="1"/>
      <c r="NGH223" s="1"/>
      <c r="NGI223" s="1"/>
      <c r="NGJ223" s="1"/>
      <c r="NGK223" s="1"/>
      <c r="NGL223" s="1"/>
      <c r="NGM223" s="1"/>
      <c r="NGN223" s="1"/>
      <c r="NGO223" s="1"/>
      <c r="NGP223" s="1"/>
      <c r="NGQ223" s="1"/>
      <c r="NGR223" s="1"/>
      <c r="NGS223" s="1"/>
      <c r="NGT223" s="1"/>
      <c r="NGU223" s="1"/>
      <c r="NGV223" s="1"/>
      <c r="NGW223" s="1"/>
      <c r="NGX223" s="1"/>
      <c r="NGY223" s="1"/>
      <c r="NGZ223" s="1"/>
      <c r="NHA223" s="1"/>
      <c r="NHB223" s="1"/>
      <c r="NHC223" s="1"/>
      <c r="NHD223" s="1"/>
      <c r="NHE223" s="1"/>
      <c r="NHF223" s="1"/>
      <c r="NHG223" s="1"/>
      <c r="NHH223" s="1"/>
      <c r="NHI223" s="1"/>
      <c r="NHJ223" s="1"/>
      <c r="NHK223" s="1"/>
      <c r="NHL223" s="1"/>
      <c r="NHM223" s="1"/>
      <c r="NHN223" s="1"/>
      <c r="NHO223" s="1"/>
      <c r="NHP223" s="1"/>
      <c r="NHQ223" s="1"/>
      <c r="NHR223" s="1"/>
      <c r="NHS223" s="1"/>
      <c r="NHT223" s="1"/>
      <c r="NHU223" s="1"/>
      <c r="NHV223" s="1"/>
      <c r="NHW223" s="1"/>
      <c r="NHX223" s="1"/>
      <c r="NHY223" s="1"/>
      <c r="NHZ223" s="1"/>
      <c r="NIA223" s="1"/>
      <c r="NIB223" s="1"/>
      <c r="NIC223" s="1"/>
      <c r="NID223" s="1"/>
      <c r="NIE223" s="1"/>
      <c r="NIF223" s="1"/>
      <c r="NIG223" s="1"/>
      <c r="NIH223" s="1"/>
      <c r="NII223" s="1"/>
      <c r="NIJ223" s="1"/>
      <c r="NIK223" s="1"/>
      <c r="NIL223" s="1"/>
      <c r="NIM223" s="1"/>
      <c r="NIN223" s="1"/>
      <c r="NIO223" s="1"/>
      <c r="NIP223" s="1"/>
      <c r="NIQ223" s="1"/>
      <c r="NIR223" s="1"/>
      <c r="NIS223" s="1"/>
      <c r="NIT223" s="1"/>
      <c r="NIU223" s="1"/>
      <c r="NIV223" s="1"/>
      <c r="NIW223" s="1"/>
      <c r="NIX223" s="1"/>
      <c r="NIY223" s="1"/>
      <c r="NIZ223" s="1"/>
      <c r="NJA223" s="1"/>
      <c r="NJB223" s="1"/>
      <c r="NJC223" s="1"/>
      <c r="NJD223" s="1"/>
      <c r="NJE223" s="1"/>
      <c r="NJF223" s="1"/>
      <c r="NJG223" s="1"/>
      <c r="NJH223" s="1"/>
      <c r="NJI223" s="1"/>
      <c r="NJJ223" s="1"/>
      <c r="NJK223" s="1"/>
      <c r="NJL223" s="1"/>
      <c r="NJM223" s="1"/>
      <c r="NJN223" s="1"/>
      <c r="NJO223" s="1"/>
      <c r="NJP223" s="1"/>
      <c r="NJQ223" s="1"/>
      <c r="NJR223" s="1"/>
      <c r="NJS223" s="1"/>
      <c r="NJT223" s="1"/>
      <c r="NJU223" s="1"/>
      <c r="NJV223" s="1"/>
      <c r="NJW223" s="1"/>
      <c r="NJX223" s="1"/>
      <c r="NJY223" s="1"/>
      <c r="NJZ223" s="1"/>
      <c r="NKA223" s="1"/>
      <c r="NKB223" s="1"/>
      <c r="NKC223" s="1"/>
      <c r="NKD223" s="1"/>
      <c r="NKE223" s="1"/>
      <c r="NKF223" s="1"/>
      <c r="NKG223" s="1"/>
      <c r="NKH223" s="1"/>
      <c r="NKI223" s="1"/>
      <c r="NKJ223" s="1"/>
      <c r="NKK223" s="1"/>
      <c r="NKL223" s="1"/>
      <c r="NKM223" s="1"/>
      <c r="NKN223" s="1"/>
      <c r="NKO223" s="1"/>
      <c r="NKP223" s="1"/>
      <c r="NKQ223" s="1"/>
      <c r="NKR223" s="1"/>
      <c r="NKS223" s="1"/>
      <c r="NKT223" s="1"/>
      <c r="NKU223" s="1"/>
      <c r="NKV223" s="1"/>
      <c r="NKW223" s="1"/>
      <c r="NKX223" s="1"/>
      <c r="NKY223" s="1"/>
      <c r="NKZ223" s="1"/>
      <c r="NLA223" s="1"/>
      <c r="NLB223" s="1"/>
      <c r="NLC223" s="1"/>
      <c r="NLD223" s="1"/>
      <c r="NLE223" s="1"/>
      <c r="NLF223" s="1"/>
      <c r="NLG223" s="1"/>
      <c r="NLH223" s="1"/>
      <c r="NLI223" s="1"/>
      <c r="NLJ223" s="1"/>
      <c r="NLK223" s="1"/>
      <c r="NLL223" s="1"/>
      <c r="NLM223" s="1"/>
      <c r="NLN223" s="1"/>
      <c r="NLO223" s="1"/>
      <c r="NLP223" s="1"/>
      <c r="NLQ223" s="1"/>
      <c r="NLR223" s="1"/>
      <c r="NLS223" s="1"/>
      <c r="NLT223" s="1"/>
      <c r="NLU223" s="1"/>
      <c r="NLV223" s="1"/>
      <c r="NLW223" s="1"/>
      <c r="NLX223" s="1"/>
      <c r="NLY223" s="1"/>
      <c r="NLZ223" s="1"/>
      <c r="NMA223" s="1"/>
      <c r="NMB223" s="1"/>
      <c r="NMC223" s="1"/>
      <c r="NMD223" s="1"/>
      <c r="NME223" s="1"/>
      <c r="NMF223" s="1"/>
      <c r="NMG223" s="1"/>
      <c r="NMH223" s="1"/>
      <c r="NMI223" s="1"/>
      <c r="NMJ223" s="1"/>
      <c r="NMK223" s="1"/>
      <c r="NML223" s="1"/>
      <c r="NMM223" s="1"/>
      <c r="NMN223" s="1"/>
      <c r="NMO223" s="1"/>
      <c r="NMP223" s="1"/>
      <c r="NMQ223" s="1"/>
      <c r="NMR223" s="1"/>
      <c r="NMS223" s="1"/>
      <c r="NMT223" s="1"/>
      <c r="NMU223" s="1"/>
      <c r="NMV223" s="1"/>
      <c r="NMW223" s="1"/>
      <c r="NMX223" s="1"/>
      <c r="NMY223" s="1"/>
      <c r="NMZ223" s="1"/>
      <c r="NNA223" s="1"/>
      <c r="NNB223" s="1"/>
      <c r="NNC223" s="1"/>
      <c r="NND223" s="1"/>
      <c r="NNE223" s="1"/>
      <c r="NNF223" s="1"/>
      <c r="NNG223" s="1"/>
      <c r="NNH223" s="1"/>
      <c r="NNI223" s="1"/>
      <c r="NNJ223" s="1"/>
      <c r="NNK223" s="1"/>
      <c r="NNL223" s="1"/>
      <c r="NNM223" s="1"/>
      <c r="NNN223" s="1"/>
      <c r="NNO223" s="1"/>
      <c r="NNP223" s="1"/>
      <c r="NNQ223" s="1"/>
      <c r="NNR223" s="1"/>
      <c r="NNS223" s="1"/>
      <c r="NNT223" s="1"/>
      <c r="NNU223" s="1"/>
      <c r="NNV223" s="1"/>
      <c r="NNW223" s="1"/>
      <c r="NNX223" s="1"/>
      <c r="NNY223" s="1"/>
      <c r="NNZ223" s="1"/>
      <c r="NOA223" s="1"/>
      <c r="NOB223" s="1"/>
      <c r="NOC223" s="1"/>
      <c r="NOD223" s="1"/>
      <c r="NOE223" s="1"/>
      <c r="NOF223" s="1"/>
      <c r="NOG223" s="1"/>
      <c r="NOH223" s="1"/>
      <c r="NOI223" s="1"/>
      <c r="NOJ223" s="1"/>
      <c r="NOK223" s="1"/>
      <c r="NOL223" s="1"/>
      <c r="NOM223" s="1"/>
      <c r="NON223" s="1"/>
      <c r="NOO223" s="1"/>
      <c r="NOP223" s="1"/>
      <c r="NOQ223" s="1"/>
      <c r="NOR223" s="1"/>
      <c r="NOS223" s="1"/>
      <c r="NOT223" s="1"/>
      <c r="NOU223" s="1"/>
      <c r="NOV223" s="1"/>
      <c r="NOW223" s="1"/>
      <c r="NOX223" s="1"/>
      <c r="NOY223" s="1"/>
      <c r="NOZ223" s="1"/>
      <c r="NPA223" s="1"/>
      <c r="NPB223" s="1"/>
      <c r="NPC223" s="1"/>
      <c r="NPD223" s="1"/>
      <c r="NPE223" s="1"/>
      <c r="NPF223" s="1"/>
      <c r="NPG223" s="1"/>
      <c r="NPH223" s="1"/>
      <c r="NPI223" s="1"/>
      <c r="NPJ223" s="1"/>
      <c r="NPK223" s="1"/>
      <c r="NPL223" s="1"/>
      <c r="NPM223" s="1"/>
      <c r="NPN223" s="1"/>
      <c r="NPO223" s="1"/>
      <c r="NPP223" s="1"/>
      <c r="NPQ223" s="1"/>
      <c r="NPR223" s="1"/>
      <c r="NPS223" s="1"/>
      <c r="NPT223" s="1"/>
      <c r="NPU223" s="1"/>
      <c r="NPV223" s="1"/>
      <c r="NPW223" s="1"/>
      <c r="NPX223" s="1"/>
      <c r="NPY223" s="1"/>
      <c r="NPZ223" s="1"/>
      <c r="NQA223" s="1"/>
      <c r="NQB223" s="1"/>
      <c r="NQC223" s="1"/>
      <c r="NQD223" s="1"/>
      <c r="NQE223" s="1"/>
      <c r="NQF223" s="1"/>
      <c r="NQG223" s="1"/>
      <c r="NQH223" s="1"/>
      <c r="NQI223" s="1"/>
      <c r="NQJ223" s="1"/>
      <c r="NQK223" s="1"/>
      <c r="NQL223" s="1"/>
      <c r="NQM223" s="1"/>
      <c r="NQN223" s="1"/>
      <c r="NQO223" s="1"/>
      <c r="NQP223" s="1"/>
      <c r="NQQ223" s="1"/>
      <c r="NQR223" s="1"/>
      <c r="NQS223" s="1"/>
      <c r="NQT223" s="1"/>
      <c r="NQU223" s="1"/>
      <c r="NQV223" s="1"/>
      <c r="NQW223" s="1"/>
      <c r="NQX223" s="1"/>
      <c r="NQY223" s="1"/>
      <c r="NQZ223" s="1"/>
      <c r="NRA223" s="1"/>
      <c r="NRB223" s="1"/>
      <c r="NRC223" s="1"/>
      <c r="NRD223" s="1"/>
      <c r="NRE223" s="1"/>
      <c r="NRF223" s="1"/>
      <c r="NRG223" s="1"/>
      <c r="NRH223" s="1"/>
      <c r="NRI223" s="1"/>
      <c r="NRJ223" s="1"/>
      <c r="NRK223" s="1"/>
      <c r="NRL223" s="1"/>
      <c r="NRM223" s="1"/>
      <c r="NRN223" s="1"/>
      <c r="NRO223" s="1"/>
      <c r="NRP223" s="1"/>
      <c r="NRQ223" s="1"/>
      <c r="NRR223" s="1"/>
      <c r="NRS223" s="1"/>
      <c r="NRT223" s="1"/>
      <c r="NRU223" s="1"/>
      <c r="NRV223" s="1"/>
      <c r="NRW223" s="1"/>
      <c r="NRX223" s="1"/>
      <c r="NRY223" s="1"/>
      <c r="NRZ223" s="1"/>
      <c r="NSA223" s="1"/>
      <c r="NSB223" s="1"/>
      <c r="NSC223" s="1"/>
      <c r="NSD223" s="1"/>
      <c r="NSE223" s="1"/>
      <c r="NSF223" s="1"/>
      <c r="NSG223" s="1"/>
      <c r="NSH223" s="1"/>
      <c r="NSI223" s="1"/>
      <c r="NSJ223" s="1"/>
      <c r="NSK223" s="1"/>
      <c r="NSL223" s="1"/>
      <c r="NSM223" s="1"/>
      <c r="NSN223" s="1"/>
      <c r="NSO223" s="1"/>
      <c r="NSP223" s="1"/>
      <c r="NSQ223" s="1"/>
      <c r="NSR223" s="1"/>
      <c r="NSS223" s="1"/>
      <c r="NST223" s="1"/>
      <c r="NSU223" s="1"/>
      <c r="NSV223" s="1"/>
      <c r="NSW223" s="1"/>
      <c r="NSX223" s="1"/>
      <c r="NSY223" s="1"/>
      <c r="NSZ223" s="1"/>
      <c r="NTA223" s="1"/>
      <c r="NTB223" s="1"/>
      <c r="NTC223" s="1"/>
      <c r="NTD223" s="1"/>
      <c r="NTE223" s="1"/>
      <c r="NTF223" s="1"/>
      <c r="NTG223" s="1"/>
      <c r="NTH223" s="1"/>
      <c r="NTI223" s="1"/>
      <c r="NTJ223" s="1"/>
      <c r="NTK223" s="1"/>
      <c r="NTL223" s="1"/>
      <c r="NTM223" s="1"/>
      <c r="NTN223" s="1"/>
      <c r="NTO223" s="1"/>
      <c r="NTP223" s="1"/>
      <c r="NTQ223" s="1"/>
      <c r="NTR223" s="1"/>
      <c r="NTS223" s="1"/>
      <c r="NTT223" s="1"/>
      <c r="NTU223" s="1"/>
      <c r="NTV223" s="1"/>
      <c r="NTW223" s="1"/>
      <c r="NTX223" s="1"/>
      <c r="NTY223" s="1"/>
      <c r="NTZ223" s="1"/>
      <c r="NUA223" s="1"/>
      <c r="NUB223" s="1"/>
      <c r="NUC223" s="1"/>
      <c r="NUD223" s="1"/>
      <c r="NUE223" s="1"/>
      <c r="NUF223" s="1"/>
      <c r="NUG223" s="1"/>
      <c r="NUH223" s="1"/>
      <c r="NUI223" s="1"/>
      <c r="NUJ223" s="1"/>
      <c r="NUK223" s="1"/>
      <c r="NUL223" s="1"/>
      <c r="NUM223" s="1"/>
      <c r="NUN223" s="1"/>
      <c r="NUO223" s="1"/>
      <c r="NUP223" s="1"/>
      <c r="NUQ223" s="1"/>
      <c r="NUR223" s="1"/>
      <c r="NUS223" s="1"/>
      <c r="NUT223" s="1"/>
      <c r="NUU223" s="1"/>
      <c r="NUV223" s="1"/>
      <c r="NUW223" s="1"/>
      <c r="NUX223" s="1"/>
      <c r="NUY223" s="1"/>
      <c r="NUZ223" s="1"/>
      <c r="NVA223" s="1"/>
      <c r="NVB223" s="1"/>
      <c r="NVC223" s="1"/>
      <c r="NVD223" s="1"/>
      <c r="NVE223" s="1"/>
      <c r="NVF223" s="1"/>
      <c r="NVG223" s="1"/>
      <c r="NVH223" s="1"/>
      <c r="NVI223" s="1"/>
      <c r="NVJ223" s="1"/>
      <c r="NVK223" s="1"/>
      <c r="NVL223" s="1"/>
      <c r="NVM223" s="1"/>
      <c r="NVN223" s="1"/>
      <c r="NVO223" s="1"/>
      <c r="NVP223" s="1"/>
      <c r="NVQ223" s="1"/>
      <c r="NVR223" s="1"/>
      <c r="NVS223" s="1"/>
      <c r="NVT223" s="1"/>
      <c r="NVU223" s="1"/>
      <c r="NVV223" s="1"/>
      <c r="NVW223" s="1"/>
      <c r="NVX223" s="1"/>
      <c r="NVY223" s="1"/>
      <c r="NVZ223" s="1"/>
      <c r="NWA223" s="1"/>
      <c r="NWB223" s="1"/>
      <c r="NWC223" s="1"/>
      <c r="NWD223" s="1"/>
      <c r="NWE223" s="1"/>
      <c r="NWF223" s="1"/>
      <c r="NWG223" s="1"/>
      <c r="NWH223" s="1"/>
      <c r="NWI223" s="1"/>
      <c r="NWJ223" s="1"/>
      <c r="NWK223" s="1"/>
      <c r="NWL223" s="1"/>
      <c r="NWM223" s="1"/>
      <c r="NWN223" s="1"/>
      <c r="NWO223" s="1"/>
      <c r="NWP223" s="1"/>
      <c r="NWQ223" s="1"/>
      <c r="NWR223" s="1"/>
      <c r="NWS223" s="1"/>
      <c r="NWT223" s="1"/>
      <c r="NWU223" s="1"/>
      <c r="NWV223" s="1"/>
      <c r="NWW223" s="1"/>
      <c r="NWX223" s="1"/>
      <c r="NWY223" s="1"/>
      <c r="NWZ223" s="1"/>
      <c r="NXA223" s="1"/>
      <c r="NXB223" s="1"/>
      <c r="NXC223" s="1"/>
      <c r="NXD223" s="1"/>
      <c r="NXE223" s="1"/>
      <c r="NXF223" s="1"/>
      <c r="NXG223" s="1"/>
      <c r="NXH223" s="1"/>
      <c r="NXI223" s="1"/>
      <c r="NXJ223" s="1"/>
      <c r="NXK223" s="1"/>
      <c r="NXL223" s="1"/>
      <c r="NXM223" s="1"/>
      <c r="NXN223" s="1"/>
      <c r="NXO223" s="1"/>
      <c r="NXP223" s="1"/>
      <c r="NXQ223" s="1"/>
      <c r="NXR223" s="1"/>
      <c r="NXS223" s="1"/>
      <c r="NXT223" s="1"/>
      <c r="NXU223" s="1"/>
      <c r="NXV223" s="1"/>
      <c r="NXW223" s="1"/>
      <c r="NXX223" s="1"/>
      <c r="NXY223" s="1"/>
      <c r="NXZ223" s="1"/>
      <c r="NYA223" s="1"/>
      <c r="NYB223" s="1"/>
      <c r="NYC223" s="1"/>
      <c r="NYD223" s="1"/>
      <c r="NYE223" s="1"/>
      <c r="NYF223" s="1"/>
      <c r="NYG223" s="1"/>
      <c r="NYH223" s="1"/>
      <c r="NYI223" s="1"/>
      <c r="NYJ223" s="1"/>
      <c r="NYK223" s="1"/>
      <c r="NYL223" s="1"/>
      <c r="NYM223" s="1"/>
      <c r="NYN223" s="1"/>
      <c r="NYO223" s="1"/>
      <c r="NYP223" s="1"/>
      <c r="NYQ223" s="1"/>
      <c r="NYR223" s="1"/>
      <c r="NYS223" s="1"/>
      <c r="NYT223" s="1"/>
      <c r="NYU223" s="1"/>
      <c r="NYV223" s="1"/>
      <c r="NYW223" s="1"/>
      <c r="NYX223" s="1"/>
      <c r="NYY223" s="1"/>
      <c r="NYZ223" s="1"/>
      <c r="NZA223" s="1"/>
      <c r="NZB223" s="1"/>
      <c r="NZC223" s="1"/>
      <c r="NZD223" s="1"/>
      <c r="NZE223" s="1"/>
      <c r="NZF223" s="1"/>
      <c r="NZG223" s="1"/>
      <c r="NZH223" s="1"/>
      <c r="NZI223" s="1"/>
      <c r="NZJ223" s="1"/>
      <c r="NZK223" s="1"/>
      <c r="NZL223" s="1"/>
      <c r="NZM223" s="1"/>
      <c r="NZN223" s="1"/>
      <c r="NZO223" s="1"/>
      <c r="NZP223" s="1"/>
      <c r="NZQ223" s="1"/>
      <c r="NZR223" s="1"/>
      <c r="NZS223" s="1"/>
      <c r="NZT223" s="1"/>
      <c r="NZU223" s="1"/>
      <c r="NZV223" s="1"/>
      <c r="NZW223" s="1"/>
      <c r="NZX223" s="1"/>
      <c r="NZY223" s="1"/>
      <c r="NZZ223" s="1"/>
      <c r="OAA223" s="1"/>
      <c r="OAB223" s="1"/>
      <c r="OAC223" s="1"/>
      <c r="OAD223" s="1"/>
      <c r="OAE223" s="1"/>
      <c r="OAF223" s="1"/>
      <c r="OAG223" s="1"/>
      <c r="OAH223" s="1"/>
      <c r="OAI223" s="1"/>
      <c r="OAJ223" s="1"/>
      <c r="OAK223" s="1"/>
      <c r="OAL223" s="1"/>
      <c r="OAM223" s="1"/>
      <c r="OAN223" s="1"/>
      <c r="OAO223" s="1"/>
      <c r="OAP223" s="1"/>
      <c r="OAQ223" s="1"/>
      <c r="OAR223" s="1"/>
      <c r="OAS223" s="1"/>
      <c r="OAT223" s="1"/>
      <c r="OAU223" s="1"/>
      <c r="OAV223" s="1"/>
      <c r="OAW223" s="1"/>
      <c r="OAX223" s="1"/>
      <c r="OAY223" s="1"/>
      <c r="OAZ223" s="1"/>
      <c r="OBA223" s="1"/>
      <c r="OBB223" s="1"/>
      <c r="OBC223" s="1"/>
      <c r="OBD223" s="1"/>
      <c r="OBE223" s="1"/>
      <c r="OBF223" s="1"/>
      <c r="OBG223" s="1"/>
      <c r="OBH223" s="1"/>
      <c r="OBI223" s="1"/>
      <c r="OBJ223" s="1"/>
      <c r="OBK223" s="1"/>
      <c r="OBL223" s="1"/>
      <c r="OBM223" s="1"/>
      <c r="OBN223" s="1"/>
      <c r="OBO223" s="1"/>
      <c r="OBP223" s="1"/>
      <c r="OBQ223" s="1"/>
      <c r="OBR223" s="1"/>
      <c r="OBS223" s="1"/>
      <c r="OBT223" s="1"/>
      <c r="OBU223" s="1"/>
      <c r="OBV223" s="1"/>
      <c r="OBW223" s="1"/>
      <c r="OBX223" s="1"/>
      <c r="OBY223" s="1"/>
      <c r="OBZ223" s="1"/>
      <c r="OCA223" s="1"/>
      <c r="OCB223" s="1"/>
      <c r="OCC223" s="1"/>
      <c r="OCD223" s="1"/>
      <c r="OCE223" s="1"/>
      <c r="OCF223" s="1"/>
      <c r="OCG223" s="1"/>
      <c r="OCH223" s="1"/>
      <c r="OCI223" s="1"/>
      <c r="OCJ223" s="1"/>
      <c r="OCK223" s="1"/>
      <c r="OCL223" s="1"/>
      <c r="OCM223" s="1"/>
      <c r="OCN223" s="1"/>
      <c r="OCO223" s="1"/>
      <c r="OCP223" s="1"/>
      <c r="OCQ223" s="1"/>
      <c r="OCR223" s="1"/>
      <c r="OCS223" s="1"/>
      <c r="OCT223" s="1"/>
      <c r="OCU223" s="1"/>
      <c r="OCV223" s="1"/>
      <c r="OCW223" s="1"/>
      <c r="OCX223" s="1"/>
      <c r="OCY223" s="1"/>
      <c r="OCZ223" s="1"/>
      <c r="ODA223" s="1"/>
      <c r="ODB223" s="1"/>
      <c r="ODC223" s="1"/>
      <c r="ODD223" s="1"/>
      <c r="ODE223" s="1"/>
      <c r="ODF223" s="1"/>
      <c r="ODG223" s="1"/>
      <c r="ODH223" s="1"/>
      <c r="ODI223" s="1"/>
      <c r="ODJ223" s="1"/>
      <c r="ODK223" s="1"/>
      <c r="ODL223" s="1"/>
      <c r="ODM223" s="1"/>
      <c r="ODN223" s="1"/>
      <c r="ODO223" s="1"/>
      <c r="ODP223" s="1"/>
      <c r="ODQ223" s="1"/>
      <c r="ODR223" s="1"/>
      <c r="ODS223" s="1"/>
      <c r="ODT223" s="1"/>
      <c r="ODU223" s="1"/>
      <c r="ODV223" s="1"/>
      <c r="ODW223" s="1"/>
      <c r="ODX223" s="1"/>
      <c r="ODY223" s="1"/>
      <c r="ODZ223" s="1"/>
      <c r="OEA223" s="1"/>
      <c r="OEB223" s="1"/>
      <c r="OEC223" s="1"/>
      <c r="OED223" s="1"/>
      <c r="OEE223" s="1"/>
      <c r="OEF223" s="1"/>
      <c r="OEG223" s="1"/>
      <c r="OEH223" s="1"/>
      <c r="OEI223" s="1"/>
      <c r="OEJ223" s="1"/>
      <c r="OEK223" s="1"/>
      <c r="OEL223" s="1"/>
      <c r="OEM223" s="1"/>
      <c r="OEN223" s="1"/>
      <c r="OEO223" s="1"/>
      <c r="OEP223" s="1"/>
      <c r="OEQ223" s="1"/>
      <c r="OER223" s="1"/>
      <c r="OES223" s="1"/>
      <c r="OET223" s="1"/>
      <c r="OEU223" s="1"/>
      <c r="OEV223" s="1"/>
      <c r="OEW223" s="1"/>
      <c r="OEX223" s="1"/>
      <c r="OEY223" s="1"/>
      <c r="OEZ223" s="1"/>
      <c r="OFA223" s="1"/>
      <c r="OFB223" s="1"/>
      <c r="OFC223" s="1"/>
      <c r="OFD223" s="1"/>
      <c r="OFE223" s="1"/>
      <c r="OFF223" s="1"/>
      <c r="OFG223" s="1"/>
      <c r="OFH223" s="1"/>
      <c r="OFI223" s="1"/>
      <c r="OFJ223" s="1"/>
      <c r="OFK223" s="1"/>
      <c r="OFL223" s="1"/>
      <c r="OFM223" s="1"/>
      <c r="OFN223" s="1"/>
      <c r="OFO223" s="1"/>
      <c r="OFP223" s="1"/>
      <c r="OFQ223" s="1"/>
      <c r="OFR223" s="1"/>
      <c r="OFS223" s="1"/>
      <c r="OFT223" s="1"/>
      <c r="OFU223" s="1"/>
      <c r="OFV223" s="1"/>
      <c r="OFW223" s="1"/>
      <c r="OFX223" s="1"/>
      <c r="OFY223" s="1"/>
      <c r="OFZ223" s="1"/>
      <c r="OGA223" s="1"/>
      <c r="OGB223" s="1"/>
      <c r="OGC223" s="1"/>
      <c r="OGD223" s="1"/>
      <c r="OGE223" s="1"/>
      <c r="OGF223" s="1"/>
      <c r="OGG223" s="1"/>
      <c r="OGH223" s="1"/>
      <c r="OGI223" s="1"/>
      <c r="OGJ223" s="1"/>
      <c r="OGK223" s="1"/>
      <c r="OGL223" s="1"/>
      <c r="OGM223" s="1"/>
      <c r="OGN223" s="1"/>
      <c r="OGO223" s="1"/>
      <c r="OGP223" s="1"/>
      <c r="OGQ223" s="1"/>
      <c r="OGR223" s="1"/>
      <c r="OGS223" s="1"/>
      <c r="OGT223" s="1"/>
      <c r="OGU223" s="1"/>
      <c r="OGV223" s="1"/>
      <c r="OGW223" s="1"/>
      <c r="OGX223" s="1"/>
      <c r="OGY223" s="1"/>
      <c r="OGZ223" s="1"/>
      <c r="OHA223" s="1"/>
      <c r="OHB223" s="1"/>
      <c r="OHC223" s="1"/>
      <c r="OHD223" s="1"/>
      <c r="OHE223" s="1"/>
      <c r="OHF223" s="1"/>
      <c r="OHG223" s="1"/>
      <c r="OHH223" s="1"/>
      <c r="OHI223" s="1"/>
      <c r="OHJ223" s="1"/>
      <c r="OHK223" s="1"/>
      <c r="OHL223" s="1"/>
      <c r="OHM223" s="1"/>
      <c r="OHN223" s="1"/>
      <c r="OHO223" s="1"/>
      <c r="OHP223" s="1"/>
      <c r="OHQ223" s="1"/>
      <c r="OHR223" s="1"/>
      <c r="OHS223" s="1"/>
      <c r="OHT223" s="1"/>
      <c r="OHU223" s="1"/>
      <c r="OHV223" s="1"/>
      <c r="OHW223" s="1"/>
      <c r="OHX223" s="1"/>
      <c r="OHY223" s="1"/>
      <c r="OHZ223" s="1"/>
      <c r="OIA223" s="1"/>
      <c r="OIB223" s="1"/>
      <c r="OIC223" s="1"/>
      <c r="OID223" s="1"/>
      <c r="OIE223" s="1"/>
      <c r="OIF223" s="1"/>
      <c r="OIG223" s="1"/>
      <c r="OIH223" s="1"/>
      <c r="OII223" s="1"/>
      <c r="OIJ223" s="1"/>
      <c r="OIK223" s="1"/>
      <c r="OIL223" s="1"/>
      <c r="OIM223" s="1"/>
      <c r="OIN223" s="1"/>
      <c r="OIO223" s="1"/>
      <c r="OIP223" s="1"/>
      <c r="OIQ223" s="1"/>
      <c r="OIR223" s="1"/>
      <c r="OIS223" s="1"/>
      <c r="OIT223" s="1"/>
      <c r="OIU223" s="1"/>
      <c r="OIV223" s="1"/>
      <c r="OIW223" s="1"/>
      <c r="OIX223" s="1"/>
      <c r="OIY223" s="1"/>
      <c r="OIZ223" s="1"/>
      <c r="OJA223" s="1"/>
      <c r="OJB223" s="1"/>
      <c r="OJC223" s="1"/>
      <c r="OJD223" s="1"/>
      <c r="OJE223" s="1"/>
      <c r="OJF223" s="1"/>
      <c r="OJG223" s="1"/>
      <c r="OJH223" s="1"/>
      <c r="OJI223" s="1"/>
      <c r="OJJ223" s="1"/>
      <c r="OJK223" s="1"/>
      <c r="OJL223" s="1"/>
      <c r="OJM223" s="1"/>
      <c r="OJN223" s="1"/>
      <c r="OJO223" s="1"/>
      <c r="OJP223" s="1"/>
      <c r="OJQ223" s="1"/>
      <c r="OJR223" s="1"/>
      <c r="OJS223" s="1"/>
      <c r="OJT223" s="1"/>
      <c r="OJU223" s="1"/>
      <c r="OJV223" s="1"/>
      <c r="OJW223" s="1"/>
      <c r="OJX223" s="1"/>
      <c r="OJY223" s="1"/>
      <c r="OJZ223" s="1"/>
      <c r="OKA223" s="1"/>
      <c r="OKB223" s="1"/>
      <c r="OKC223" s="1"/>
      <c r="OKD223" s="1"/>
      <c r="OKE223" s="1"/>
      <c r="OKF223" s="1"/>
      <c r="OKG223" s="1"/>
      <c r="OKH223" s="1"/>
      <c r="OKI223" s="1"/>
      <c r="OKJ223" s="1"/>
      <c r="OKK223" s="1"/>
      <c r="OKL223" s="1"/>
      <c r="OKM223" s="1"/>
      <c r="OKN223" s="1"/>
      <c r="OKO223" s="1"/>
      <c r="OKP223" s="1"/>
      <c r="OKQ223" s="1"/>
      <c r="OKR223" s="1"/>
      <c r="OKS223" s="1"/>
      <c r="OKT223" s="1"/>
      <c r="OKU223" s="1"/>
      <c r="OKV223" s="1"/>
      <c r="OKW223" s="1"/>
      <c r="OKX223" s="1"/>
      <c r="OKY223" s="1"/>
      <c r="OKZ223" s="1"/>
      <c r="OLA223" s="1"/>
      <c r="OLB223" s="1"/>
      <c r="OLC223" s="1"/>
      <c r="OLD223" s="1"/>
      <c r="OLE223" s="1"/>
      <c r="OLF223" s="1"/>
      <c r="OLG223" s="1"/>
      <c r="OLH223" s="1"/>
      <c r="OLI223" s="1"/>
      <c r="OLJ223" s="1"/>
      <c r="OLK223" s="1"/>
      <c r="OLL223" s="1"/>
      <c r="OLM223" s="1"/>
      <c r="OLN223" s="1"/>
      <c r="OLO223" s="1"/>
      <c r="OLP223" s="1"/>
      <c r="OLQ223" s="1"/>
      <c r="OLR223" s="1"/>
      <c r="OLS223" s="1"/>
      <c r="OLT223" s="1"/>
      <c r="OLU223" s="1"/>
      <c r="OLV223" s="1"/>
      <c r="OLW223" s="1"/>
      <c r="OLX223" s="1"/>
      <c r="OLY223" s="1"/>
      <c r="OLZ223" s="1"/>
      <c r="OMA223" s="1"/>
      <c r="OMB223" s="1"/>
      <c r="OMC223" s="1"/>
      <c r="OMD223" s="1"/>
      <c r="OME223" s="1"/>
      <c r="OMF223" s="1"/>
      <c r="OMG223" s="1"/>
      <c r="OMH223" s="1"/>
      <c r="OMI223" s="1"/>
      <c r="OMJ223" s="1"/>
      <c r="OMK223" s="1"/>
      <c r="OML223" s="1"/>
      <c r="OMM223" s="1"/>
      <c r="OMN223" s="1"/>
      <c r="OMO223" s="1"/>
      <c r="OMP223" s="1"/>
      <c r="OMQ223" s="1"/>
      <c r="OMR223" s="1"/>
      <c r="OMS223" s="1"/>
      <c r="OMT223" s="1"/>
      <c r="OMU223" s="1"/>
      <c r="OMV223" s="1"/>
      <c r="OMW223" s="1"/>
      <c r="OMX223" s="1"/>
      <c r="OMY223" s="1"/>
      <c r="OMZ223" s="1"/>
      <c r="ONA223" s="1"/>
      <c r="ONB223" s="1"/>
      <c r="ONC223" s="1"/>
      <c r="OND223" s="1"/>
      <c r="ONE223" s="1"/>
      <c r="ONF223" s="1"/>
      <c r="ONG223" s="1"/>
      <c r="ONH223" s="1"/>
      <c r="ONI223" s="1"/>
      <c r="ONJ223" s="1"/>
      <c r="ONK223" s="1"/>
      <c r="ONL223" s="1"/>
      <c r="ONM223" s="1"/>
      <c r="ONN223" s="1"/>
      <c r="ONO223" s="1"/>
      <c r="ONP223" s="1"/>
      <c r="ONQ223" s="1"/>
      <c r="ONR223" s="1"/>
      <c r="ONS223" s="1"/>
      <c r="ONT223" s="1"/>
      <c r="ONU223" s="1"/>
      <c r="ONV223" s="1"/>
      <c r="ONW223" s="1"/>
      <c r="ONX223" s="1"/>
      <c r="ONY223" s="1"/>
      <c r="ONZ223" s="1"/>
      <c r="OOA223" s="1"/>
      <c r="OOB223" s="1"/>
      <c r="OOC223" s="1"/>
      <c r="OOD223" s="1"/>
      <c r="OOE223" s="1"/>
      <c r="OOF223" s="1"/>
      <c r="OOG223" s="1"/>
      <c r="OOH223" s="1"/>
      <c r="OOI223" s="1"/>
      <c r="OOJ223" s="1"/>
      <c r="OOK223" s="1"/>
      <c r="OOL223" s="1"/>
      <c r="OOM223" s="1"/>
      <c r="OON223" s="1"/>
      <c r="OOO223" s="1"/>
      <c r="OOP223" s="1"/>
      <c r="OOQ223" s="1"/>
      <c r="OOR223" s="1"/>
      <c r="OOS223" s="1"/>
      <c r="OOT223" s="1"/>
      <c r="OOU223" s="1"/>
      <c r="OOV223" s="1"/>
      <c r="OOW223" s="1"/>
      <c r="OOX223" s="1"/>
      <c r="OOY223" s="1"/>
      <c r="OOZ223" s="1"/>
      <c r="OPA223" s="1"/>
      <c r="OPB223" s="1"/>
      <c r="OPC223" s="1"/>
      <c r="OPD223" s="1"/>
      <c r="OPE223" s="1"/>
      <c r="OPF223" s="1"/>
      <c r="OPG223" s="1"/>
      <c r="OPH223" s="1"/>
      <c r="OPI223" s="1"/>
      <c r="OPJ223" s="1"/>
      <c r="OPK223" s="1"/>
      <c r="OPL223" s="1"/>
      <c r="OPM223" s="1"/>
      <c r="OPN223" s="1"/>
      <c r="OPO223" s="1"/>
      <c r="OPP223" s="1"/>
      <c r="OPQ223" s="1"/>
      <c r="OPR223" s="1"/>
      <c r="OPS223" s="1"/>
      <c r="OPT223" s="1"/>
      <c r="OPU223" s="1"/>
      <c r="OPV223" s="1"/>
      <c r="OPW223" s="1"/>
      <c r="OPX223" s="1"/>
      <c r="OPY223" s="1"/>
      <c r="OPZ223" s="1"/>
      <c r="OQA223" s="1"/>
      <c r="OQB223" s="1"/>
      <c r="OQC223" s="1"/>
      <c r="OQD223" s="1"/>
      <c r="OQE223" s="1"/>
      <c r="OQF223" s="1"/>
      <c r="OQG223" s="1"/>
      <c r="OQH223" s="1"/>
      <c r="OQI223" s="1"/>
      <c r="OQJ223" s="1"/>
      <c r="OQK223" s="1"/>
      <c r="OQL223" s="1"/>
      <c r="OQM223" s="1"/>
      <c r="OQN223" s="1"/>
      <c r="OQO223" s="1"/>
      <c r="OQP223" s="1"/>
      <c r="OQQ223" s="1"/>
      <c r="OQR223" s="1"/>
      <c r="OQS223" s="1"/>
      <c r="OQT223" s="1"/>
      <c r="OQU223" s="1"/>
      <c r="OQV223" s="1"/>
      <c r="OQW223" s="1"/>
      <c r="OQX223" s="1"/>
      <c r="OQY223" s="1"/>
      <c r="OQZ223" s="1"/>
      <c r="ORA223" s="1"/>
      <c r="ORB223" s="1"/>
      <c r="ORC223" s="1"/>
      <c r="ORD223" s="1"/>
      <c r="ORE223" s="1"/>
      <c r="ORF223" s="1"/>
      <c r="ORG223" s="1"/>
      <c r="ORH223" s="1"/>
      <c r="ORI223" s="1"/>
      <c r="ORJ223" s="1"/>
      <c r="ORK223" s="1"/>
      <c r="ORL223" s="1"/>
      <c r="ORM223" s="1"/>
      <c r="ORN223" s="1"/>
      <c r="ORO223" s="1"/>
      <c r="ORP223" s="1"/>
      <c r="ORQ223" s="1"/>
      <c r="ORR223" s="1"/>
      <c r="ORS223" s="1"/>
      <c r="ORT223" s="1"/>
      <c r="ORU223" s="1"/>
      <c r="ORV223" s="1"/>
      <c r="ORW223" s="1"/>
      <c r="ORX223" s="1"/>
      <c r="ORY223" s="1"/>
      <c r="ORZ223" s="1"/>
      <c r="OSA223" s="1"/>
      <c r="OSB223" s="1"/>
      <c r="OSC223" s="1"/>
      <c r="OSD223" s="1"/>
      <c r="OSE223" s="1"/>
      <c r="OSF223" s="1"/>
      <c r="OSG223" s="1"/>
      <c r="OSH223" s="1"/>
      <c r="OSI223" s="1"/>
      <c r="OSJ223" s="1"/>
      <c r="OSK223" s="1"/>
      <c r="OSL223" s="1"/>
      <c r="OSM223" s="1"/>
      <c r="OSN223" s="1"/>
      <c r="OSO223" s="1"/>
      <c r="OSP223" s="1"/>
      <c r="OSQ223" s="1"/>
      <c r="OSR223" s="1"/>
      <c r="OSS223" s="1"/>
      <c r="OST223" s="1"/>
      <c r="OSU223" s="1"/>
      <c r="OSV223" s="1"/>
      <c r="OSW223" s="1"/>
      <c r="OSX223" s="1"/>
      <c r="OSY223" s="1"/>
      <c r="OSZ223" s="1"/>
      <c r="OTA223" s="1"/>
      <c r="OTB223" s="1"/>
      <c r="OTC223" s="1"/>
      <c r="OTD223" s="1"/>
      <c r="OTE223" s="1"/>
      <c r="OTF223" s="1"/>
      <c r="OTG223" s="1"/>
      <c r="OTH223" s="1"/>
      <c r="OTI223" s="1"/>
      <c r="OTJ223" s="1"/>
      <c r="OTK223" s="1"/>
      <c r="OTL223" s="1"/>
      <c r="OTM223" s="1"/>
      <c r="OTN223" s="1"/>
      <c r="OTO223" s="1"/>
      <c r="OTP223" s="1"/>
      <c r="OTQ223" s="1"/>
      <c r="OTR223" s="1"/>
      <c r="OTS223" s="1"/>
      <c r="OTT223" s="1"/>
      <c r="OTU223" s="1"/>
      <c r="OTV223" s="1"/>
      <c r="OTW223" s="1"/>
      <c r="OTX223" s="1"/>
      <c r="OTY223" s="1"/>
      <c r="OTZ223" s="1"/>
      <c r="OUA223" s="1"/>
      <c r="OUB223" s="1"/>
      <c r="OUC223" s="1"/>
      <c r="OUD223" s="1"/>
      <c r="OUE223" s="1"/>
      <c r="OUF223" s="1"/>
      <c r="OUG223" s="1"/>
      <c r="OUH223" s="1"/>
      <c r="OUI223" s="1"/>
      <c r="OUJ223" s="1"/>
      <c r="OUK223" s="1"/>
      <c r="OUL223" s="1"/>
      <c r="OUM223" s="1"/>
      <c r="OUN223" s="1"/>
      <c r="OUO223" s="1"/>
      <c r="OUP223" s="1"/>
      <c r="OUQ223" s="1"/>
      <c r="OUR223" s="1"/>
      <c r="OUS223" s="1"/>
      <c r="OUT223" s="1"/>
      <c r="OUU223" s="1"/>
      <c r="OUV223" s="1"/>
      <c r="OUW223" s="1"/>
      <c r="OUX223" s="1"/>
      <c r="OUY223" s="1"/>
      <c r="OUZ223" s="1"/>
      <c r="OVA223" s="1"/>
      <c r="OVB223" s="1"/>
      <c r="OVC223" s="1"/>
      <c r="OVD223" s="1"/>
      <c r="OVE223" s="1"/>
      <c r="OVF223" s="1"/>
      <c r="OVG223" s="1"/>
      <c r="OVH223" s="1"/>
      <c r="OVI223" s="1"/>
      <c r="OVJ223" s="1"/>
      <c r="OVK223" s="1"/>
      <c r="OVL223" s="1"/>
      <c r="OVM223" s="1"/>
      <c r="OVN223" s="1"/>
      <c r="OVO223" s="1"/>
      <c r="OVP223" s="1"/>
      <c r="OVQ223" s="1"/>
      <c r="OVR223" s="1"/>
      <c r="OVS223" s="1"/>
      <c r="OVT223" s="1"/>
      <c r="OVU223" s="1"/>
      <c r="OVV223" s="1"/>
      <c r="OVW223" s="1"/>
      <c r="OVX223" s="1"/>
      <c r="OVY223" s="1"/>
      <c r="OVZ223" s="1"/>
      <c r="OWA223" s="1"/>
      <c r="OWB223" s="1"/>
      <c r="OWC223" s="1"/>
      <c r="OWD223" s="1"/>
      <c r="OWE223" s="1"/>
      <c r="OWF223" s="1"/>
      <c r="OWG223" s="1"/>
      <c r="OWH223" s="1"/>
      <c r="OWI223" s="1"/>
      <c r="OWJ223" s="1"/>
      <c r="OWK223" s="1"/>
      <c r="OWL223" s="1"/>
      <c r="OWM223" s="1"/>
      <c r="OWN223" s="1"/>
      <c r="OWO223" s="1"/>
      <c r="OWP223" s="1"/>
      <c r="OWQ223" s="1"/>
      <c r="OWR223" s="1"/>
      <c r="OWS223" s="1"/>
      <c r="OWT223" s="1"/>
      <c r="OWU223" s="1"/>
      <c r="OWV223" s="1"/>
      <c r="OWW223" s="1"/>
      <c r="OWX223" s="1"/>
      <c r="OWY223" s="1"/>
      <c r="OWZ223" s="1"/>
      <c r="OXA223" s="1"/>
      <c r="OXB223" s="1"/>
      <c r="OXC223" s="1"/>
      <c r="OXD223" s="1"/>
      <c r="OXE223" s="1"/>
      <c r="OXF223" s="1"/>
      <c r="OXG223" s="1"/>
      <c r="OXH223" s="1"/>
      <c r="OXI223" s="1"/>
      <c r="OXJ223" s="1"/>
      <c r="OXK223" s="1"/>
      <c r="OXL223" s="1"/>
      <c r="OXM223" s="1"/>
      <c r="OXN223" s="1"/>
      <c r="OXO223" s="1"/>
      <c r="OXP223" s="1"/>
      <c r="OXQ223" s="1"/>
      <c r="OXR223" s="1"/>
      <c r="OXS223" s="1"/>
      <c r="OXT223" s="1"/>
      <c r="OXU223" s="1"/>
      <c r="OXV223" s="1"/>
      <c r="OXW223" s="1"/>
      <c r="OXX223" s="1"/>
      <c r="OXY223" s="1"/>
      <c r="OXZ223" s="1"/>
      <c r="OYA223" s="1"/>
      <c r="OYB223" s="1"/>
      <c r="OYC223" s="1"/>
      <c r="OYD223" s="1"/>
      <c r="OYE223" s="1"/>
      <c r="OYF223" s="1"/>
      <c r="OYG223" s="1"/>
      <c r="OYH223" s="1"/>
      <c r="OYI223" s="1"/>
      <c r="OYJ223" s="1"/>
      <c r="OYK223" s="1"/>
      <c r="OYL223" s="1"/>
      <c r="OYM223" s="1"/>
      <c r="OYN223" s="1"/>
      <c r="OYO223" s="1"/>
      <c r="OYP223" s="1"/>
      <c r="OYQ223" s="1"/>
      <c r="OYR223" s="1"/>
      <c r="OYS223" s="1"/>
      <c r="OYT223" s="1"/>
      <c r="OYU223" s="1"/>
      <c r="OYV223" s="1"/>
      <c r="OYW223" s="1"/>
      <c r="OYX223" s="1"/>
      <c r="OYY223" s="1"/>
      <c r="OYZ223" s="1"/>
      <c r="OZA223" s="1"/>
      <c r="OZB223" s="1"/>
      <c r="OZC223" s="1"/>
      <c r="OZD223" s="1"/>
      <c r="OZE223" s="1"/>
      <c r="OZF223" s="1"/>
      <c r="OZG223" s="1"/>
      <c r="OZH223" s="1"/>
      <c r="OZI223" s="1"/>
      <c r="OZJ223" s="1"/>
      <c r="OZK223" s="1"/>
      <c r="OZL223" s="1"/>
      <c r="OZM223" s="1"/>
      <c r="OZN223" s="1"/>
      <c r="OZO223" s="1"/>
      <c r="OZP223" s="1"/>
      <c r="OZQ223" s="1"/>
      <c r="OZR223" s="1"/>
      <c r="OZS223" s="1"/>
      <c r="OZT223" s="1"/>
      <c r="OZU223" s="1"/>
      <c r="OZV223" s="1"/>
      <c r="OZW223" s="1"/>
      <c r="OZX223" s="1"/>
      <c r="OZY223" s="1"/>
      <c r="OZZ223" s="1"/>
      <c r="PAA223" s="1"/>
      <c r="PAB223" s="1"/>
      <c r="PAC223" s="1"/>
      <c r="PAD223" s="1"/>
      <c r="PAE223" s="1"/>
      <c r="PAF223" s="1"/>
      <c r="PAG223" s="1"/>
      <c r="PAH223" s="1"/>
      <c r="PAI223" s="1"/>
      <c r="PAJ223" s="1"/>
      <c r="PAK223" s="1"/>
      <c r="PAL223" s="1"/>
      <c r="PAM223" s="1"/>
      <c r="PAN223" s="1"/>
      <c r="PAO223" s="1"/>
      <c r="PAP223" s="1"/>
      <c r="PAQ223" s="1"/>
      <c r="PAR223" s="1"/>
      <c r="PAS223" s="1"/>
      <c r="PAT223" s="1"/>
      <c r="PAU223" s="1"/>
      <c r="PAV223" s="1"/>
      <c r="PAW223" s="1"/>
      <c r="PAX223" s="1"/>
      <c r="PAY223" s="1"/>
      <c r="PAZ223" s="1"/>
      <c r="PBA223" s="1"/>
      <c r="PBB223" s="1"/>
      <c r="PBC223" s="1"/>
      <c r="PBD223" s="1"/>
      <c r="PBE223" s="1"/>
      <c r="PBF223" s="1"/>
      <c r="PBG223" s="1"/>
      <c r="PBH223" s="1"/>
      <c r="PBI223" s="1"/>
      <c r="PBJ223" s="1"/>
      <c r="PBK223" s="1"/>
      <c r="PBL223" s="1"/>
      <c r="PBM223" s="1"/>
      <c r="PBN223" s="1"/>
      <c r="PBO223" s="1"/>
      <c r="PBP223" s="1"/>
      <c r="PBQ223" s="1"/>
      <c r="PBR223" s="1"/>
      <c r="PBS223" s="1"/>
      <c r="PBT223" s="1"/>
      <c r="PBU223" s="1"/>
      <c r="PBV223" s="1"/>
      <c r="PBW223" s="1"/>
      <c r="PBX223" s="1"/>
      <c r="PBY223" s="1"/>
      <c r="PBZ223" s="1"/>
      <c r="PCA223" s="1"/>
      <c r="PCB223" s="1"/>
      <c r="PCC223" s="1"/>
      <c r="PCD223" s="1"/>
      <c r="PCE223" s="1"/>
      <c r="PCF223" s="1"/>
      <c r="PCG223" s="1"/>
      <c r="PCH223" s="1"/>
      <c r="PCI223" s="1"/>
      <c r="PCJ223" s="1"/>
      <c r="PCK223" s="1"/>
      <c r="PCL223" s="1"/>
      <c r="PCM223" s="1"/>
      <c r="PCN223" s="1"/>
      <c r="PCO223" s="1"/>
      <c r="PCP223" s="1"/>
      <c r="PCQ223" s="1"/>
      <c r="PCR223" s="1"/>
      <c r="PCS223" s="1"/>
      <c r="PCT223" s="1"/>
      <c r="PCU223" s="1"/>
      <c r="PCV223" s="1"/>
      <c r="PCW223" s="1"/>
      <c r="PCX223" s="1"/>
      <c r="PCY223" s="1"/>
      <c r="PCZ223" s="1"/>
      <c r="PDA223" s="1"/>
      <c r="PDB223" s="1"/>
      <c r="PDC223" s="1"/>
      <c r="PDD223" s="1"/>
      <c r="PDE223" s="1"/>
      <c r="PDF223" s="1"/>
      <c r="PDG223" s="1"/>
      <c r="PDH223" s="1"/>
      <c r="PDI223" s="1"/>
      <c r="PDJ223" s="1"/>
      <c r="PDK223" s="1"/>
      <c r="PDL223" s="1"/>
      <c r="PDM223" s="1"/>
      <c r="PDN223" s="1"/>
      <c r="PDO223" s="1"/>
      <c r="PDP223" s="1"/>
      <c r="PDQ223" s="1"/>
      <c r="PDR223" s="1"/>
      <c r="PDS223" s="1"/>
      <c r="PDT223" s="1"/>
      <c r="PDU223" s="1"/>
      <c r="PDV223" s="1"/>
      <c r="PDW223" s="1"/>
      <c r="PDX223" s="1"/>
      <c r="PDY223" s="1"/>
      <c r="PDZ223" s="1"/>
      <c r="PEA223" s="1"/>
      <c r="PEB223" s="1"/>
      <c r="PEC223" s="1"/>
      <c r="PED223" s="1"/>
      <c r="PEE223" s="1"/>
      <c r="PEF223" s="1"/>
      <c r="PEG223" s="1"/>
      <c r="PEH223" s="1"/>
      <c r="PEI223" s="1"/>
      <c r="PEJ223" s="1"/>
      <c r="PEK223" s="1"/>
      <c r="PEL223" s="1"/>
      <c r="PEM223" s="1"/>
      <c r="PEN223" s="1"/>
      <c r="PEO223" s="1"/>
      <c r="PEP223" s="1"/>
      <c r="PEQ223" s="1"/>
      <c r="PER223" s="1"/>
      <c r="PES223" s="1"/>
      <c r="PET223" s="1"/>
      <c r="PEU223" s="1"/>
      <c r="PEV223" s="1"/>
      <c r="PEW223" s="1"/>
      <c r="PEX223" s="1"/>
      <c r="PEY223" s="1"/>
      <c r="PEZ223" s="1"/>
      <c r="PFA223" s="1"/>
      <c r="PFB223" s="1"/>
      <c r="PFC223" s="1"/>
      <c r="PFD223" s="1"/>
      <c r="PFE223" s="1"/>
      <c r="PFF223" s="1"/>
      <c r="PFG223" s="1"/>
      <c r="PFH223" s="1"/>
      <c r="PFI223" s="1"/>
      <c r="PFJ223" s="1"/>
      <c r="PFK223" s="1"/>
      <c r="PFL223" s="1"/>
      <c r="PFM223" s="1"/>
      <c r="PFN223" s="1"/>
      <c r="PFO223" s="1"/>
      <c r="PFP223" s="1"/>
      <c r="PFQ223" s="1"/>
      <c r="PFR223" s="1"/>
      <c r="PFS223" s="1"/>
      <c r="PFT223" s="1"/>
      <c r="PFU223" s="1"/>
      <c r="PFV223" s="1"/>
      <c r="PFW223" s="1"/>
      <c r="PFX223" s="1"/>
      <c r="PFY223" s="1"/>
      <c r="PFZ223" s="1"/>
      <c r="PGA223" s="1"/>
      <c r="PGB223" s="1"/>
      <c r="PGC223" s="1"/>
      <c r="PGD223" s="1"/>
      <c r="PGE223" s="1"/>
      <c r="PGF223" s="1"/>
      <c r="PGG223" s="1"/>
      <c r="PGH223" s="1"/>
      <c r="PGI223" s="1"/>
      <c r="PGJ223" s="1"/>
      <c r="PGK223" s="1"/>
      <c r="PGL223" s="1"/>
      <c r="PGM223" s="1"/>
      <c r="PGN223" s="1"/>
      <c r="PGO223" s="1"/>
      <c r="PGP223" s="1"/>
      <c r="PGQ223" s="1"/>
      <c r="PGR223" s="1"/>
      <c r="PGS223" s="1"/>
      <c r="PGT223" s="1"/>
      <c r="PGU223" s="1"/>
      <c r="PGV223" s="1"/>
      <c r="PGW223" s="1"/>
      <c r="PGX223" s="1"/>
      <c r="PGY223" s="1"/>
      <c r="PGZ223" s="1"/>
      <c r="PHA223" s="1"/>
      <c r="PHB223" s="1"/>
      <c r="PHC223" s="1"/>
      <c r="PHD223" s="1"/>
      <c r="PHE223" s="1"/>
      <c r="PHF223" s="1"/>
      <c r="PHG223" s="1"/>
      <c r="PHH223" s="1"/>
      <c r="PHI223" s="1"/>
      <c r="PHJ223" s="1"/>
      <c r="PHK223" s="1"/>
      <c r="PHL223" s="1"/>
      <c r="PHM223" s="1"/>
      <c r="PHN223" s="1"/>
      <c r="PHO223" s="1"/>
      <c r="PHP223" s="1"/>
      <c r="PHQ223" s="1"/>
      <c r="PHR223" s="1"/>
      <c r="PHS223" s="1"/>
      <c r="PHT223" s="1"/>
      <c r="PHU223" s="1"/>
      <c r="PHV223" s="1"/>
      <c r="PHW223" s="1"/>
      <c r="PHX223" s="1"/>
      <c r="PHY223" s="1"/>
      <c r="PHZ223" s="1"/>
      <c r="PIA223" s="1"/>
      <c r="PIB223" s="1"/>
      <c r="PIC223" s="1"/>
      <c r="PID223" s="1"/>
      <c r="PIE223" s="1"/>
      <c r="PIF223" s="1"/>
      <c r="PIG223" s="1"/>
      <c r="PIH223" s="1"/>
      <c r="PII223" s="1"/>
      <c r="PIJ223" s="1"/>
      <c r="PIK223" s="1"/>
      <c r="PIL223" s="1"/>
      <c r="PIM223" s="1"/>
      <c r="PIN223" s="1"/>
      <c r="PIO223" s="1"/>
      <c r="PIP223" s="1"/>
      <c r="PIQ223" s="1"/>
      <c r="PIR223" s="1"/>
      <c r="PIS223" s="1"/>
      <c r="PIT223" s="1"/>
      <c r="PIU223" s="1"/>
      <c r="PIV223" s="1"/>
      <c r="PIW223" s="1"/>
      <c r="PIX223" s="1"/>
      <c r="PIY223" s="1"/>
      <c r="PIZ223" s="1"/>
      <c r="PJA223" s="1"/>
      <c r="PJB223" s="1"/>
      <c r="PJC223" s="1"/>
      <c r="PJD223" s="1"/>
      <c r="PJE223" s="1"/>
      <c r="PJF223" s="1"/>
      <c r="PJG223" s="1"/>
      <c r="PJH223" s="1"/>
      <c r="PJI223" s="1"/>
      <c r="PJJ223" s="1"/>
      <c r="PJK223" s="1"/>
      <c r="PJL223" s="1"/>
      <c r="PJM223" s="1"/>
      <c r="PJN223" s="1"/>
      <c r="PJO223" s="1"/>
      <c r="PJP223" s="1"/>
      <c r="PJQ223" s="1"/>
      <c r="PJR223" s="1"/>
      <c r="PJS223" s="1"/>
      <c r="PJT223" s="1"/>
      <c r="PJU223" s="1"/>
      <c r="PJV223" s="1"/>
      <c r="PJW223" s="1"/>
      <c r="PJX223" s="1"/>
      <c r="PJY223" s="1"/>
      <c r="PJZ223" s="1"/>
      <c r="PKA223" s="1"/>
      <c r="PKB223" s="1"/>
      <c r="PKC223" s="1"/>
      <c r="PKD223" s="1"/>
      <c r="PKE223" s="1"/>
      <c r="PKF223" s="1"/>
      <c r="PKG223" s="1"/>
      <c r="PKH223" s="1"/>
      <c r="PKI223" s="1"/>
      <c r="PKJ223" s="1"/>
      <c r="PKK223" s="1"/>
      <c r="PKL223" s="1"/>
      <c r="PKM223" s="1"/>
      <c r="PKN223" s="1"/>
      <c r="PKO223" s="1"/>
      <c r="PKP223" s="1"/>
      <c r="PKQ223" s="1"/>
      <c r="PKR223" s="1"/>
      <c r="PKS223" s="1"/>
      <c r="PKT223" s="1"/>
      <c r="PKU223" s="1"/>
      <c r="PKV223" s="1"/>
      <c r="PKW223" s="1"/>
      <c r="PKX223" s="1"/>
      <c r="PKY223" s="1"/>
      <c r="PKZ223" s="1"/>
      <c r="PLA223" s="1"/>
      <c r="PLB223" s="1"/>
      <c r="PLC223" s="1"/>
      <c r="PLD223" s="1"/>
      <c r="PLE223" s="1"/>
      <c r="PLF223" s="1"/>
      <c r="PLG223" s="1"/>
      <c r="PLH223" s="1"/>
      <c r="PLI223" s="1"/>
      <c r="PLJ223" s="1"/>
      <c r="PLK223" s="1"/>
      <c r="PLL223" s="1"/>
      <c r="PLM223" s="1"/>
      <c r="PLN223" s="1"/>
      <c r="PLO223" s="1"/>
      <c r="PLP223" s="1"/>
      <c r="PLQ223" s="1"/>
      <c r="PLR223" s="1"/>
      <c r="PLS223" s="1"/>
      <c r="PLT223" s="1"/>
      <c r="PLU223" s="1"/>
      <c r="PLV223" s="1"/>
      <c r="PLW223" s="1"/>
      <c r="PLX223" s="1"/>
      <c r="PLY223" s="1"/>
      <c r="PLZ223" s="1"/>
      <c r="PMA223" s="1"/>
      <c r="PMB223" s="1"/>
      <c r="PMC223" s="1"/>
      <c r="PMD223" s="1"/>
      <c r="PME223" s="1"/>
      <c r="PMF223" s="1"/>
      <c r="PMG223" s="1"/>
      <c r="PMH223" s="1"/>
      <c r="PMI223" s="1"/>
      <c r="PMJ223" s="1"/>
      <c r="PMK223" s="1"/>
      <c r="PML223" s="1"/>
      <c r="PMM223" s="1"/>
      <c r="PMN223" s="1"/>
      <c r="PMO223" s="1"/>
      <c r="PMP223" s="1"/>
      <c r="PMQ223" s="1"/>
      <c r="PMR223" s="1"/>
      <c r="PMS223" s="1"/>
      <c r="PMT223" s="1"/>
      <c r="PMU223" s="1"/>
      <c r="PMV223" s="1"/>
      <c r="PMW223" s="1"/>
      <c r="PMX223" s="1"/>
      <c r="PMY223" s="1"/>
      <c r="PMZ223" s="1"/>
      <c r="PNA223" s="1"/>
      <c r="PNB223" s="1"/>
      <c r="PNC223" s="1"/>
      <c r="PND223" s="1"/>
      <c r="PNE223" s="1"/>
      <c r="PNF223" s="1"/>
      <c r="PNG223" s="1"/>
      <c r="PNH223" s="1"/>
      <c r="PNI223" s="1"/>
      <c r="PNJ223" s="1"/>
      <c r="PNK223" s="1"/>
      <c r="PNL223" s="1"/>
      <c r="PNM223" s="1"/>
      <c r="PNN223" s="1"/>
      <c r="PNO223" s="1"/>
      <c r="PNP223" s="1"/>
      <c r="PNQ223" s="1"/>
      <c r="PNR223" s="1"/>
      <c r="PNS223" s="1"/>
      <c r="PNT223" s="1"/>
      <c r="PNU223" s="1"/>
      <c r="PNV223" s="1"/>
      <c r="PNW223" s="1"/>
      <c r="PNX223" s="1"/>
      <c r="PNY223" s="1"/>
      <c r="PNZ223" s="1"/>
      <c r="POA223" s="1"/>
      <c r="POB223" s="1"/>
      <c r="POC223" s="1"/>
      <c r="POD223" s="1"/>
      <c r="POE223" s="1"/>
      <c r="POF223" s="1"/>
      <c r="POG223" s="1"/>
      <c r="POH223" s="1"/>
      <c r="POI223" s="1"/>
      <c r="POJ223" s="1"/>
      <c r="POK223" s="1"/>
      <c r="POL223" s="1"/>
      <c r="POM223" s="1"/>
      <c r="PON223" s="1"/>
      <c r="POO223" s="1"/>
      <c r="POP223" s="1"/>
      <c r="POQ223" s="1"/>
      <c r="POR223" s="1"/>
      <c r="POS223" s="1"/>
      <c r="POT223" s="1"/>
      <c r="POU223" s="1"/>
      <c r="POV223" s="1"/>
      <c r="POW223" s="1"/>
      <c r="POX223" s="1"/>
      <c r="POY223" s="1"/>
      <c r="POZ223" s="1"/>
      <c r="PPA223" s="1"/>
      <c r="PPB223" s="1"/>
      <c r="PPC223" s="1"/>
      <c r="PPD223" s="1"/>
      <c r="PPE223" s="1"/>
      <c r="PPF223" s="1"/>
      <c r="PPG223" s="1"/>
      <c r="PPH223" s="1"/>
      <c r="PPI223" s="1"/>
      <c r="PPJ223" s="1"/>
      <c r="PPK223" s="1"/>
      <c r="PPL223" s="1"/>
      <c r="PPM223" s="1"/>
      <c r="PPN223" s="1"/>
      <c r="PPO223" s="1"/>
      <c r="PPP223" s="1"/>
      <c r="PPQ223" s="1"/>
      <c r="PPR223" s="1"/>
      <c r="PPS223" s="1"/>
      <c r="PPT223" s="1"/>
      <c r="PPU223" s="1"/>
      <c r="PPV223" s="1"/>
      <c r="PPW223" s="1"/>
      <c r="PPX223" s="1"/>
      <c r="PPY223" s="1"/>
      <c r="PPZ223" s="1"/>
      <c r="PQA223" s="1"/>
      <c r="PQB223" s="1"/>
      <c r="PQC223" s="1"/>
      <c r="PQD223" s="1"/>
      <c r="PQE223" s="1"/>
      <c r="PQF223" s="1"/>
      <c r="PQG223" s="1"/>
      <c r="PQH223" s="1"/>
      <c r="PQI223" s="1"/>
      <c r="PQJ223" s="1"/>
      <c r="PQK223" s="1"/>
      <c r="PQL223" s="1"/>
      <c r="PQM223" s="1"/>
      <c r="PQN223" s="1"/>
      <c r="PQO223" s="1"/>
      <c r="PQP223" s="1"/>
      <c r="PQQ223" s="1"/>
      <c r="PQR223" s="1"/>
      <c r="PQS223" s="1"/>
      <c r="PQT223" s="1"/>
      <c r="PQU223" s="1"/>
      <c r="PQV223" s="1"/>
      <c r="PQW223" s="1"/>
      <c r="PQX223" s="1"/>
      <c r="PQY223" s="1"/>
      <c r="PQZ223" s="1"/>
      <c r="PRA223" s="1"/>
      <c r="PRB223" s="1"/>
      <c r="PRC223" s="1"/>
      <c r="PRD223" s="1"/>
      <c r="PRE223" s="1"/>
      <c r="PRF223" s="1"/>
      <c r="PRG223" s="1"/>
      <c r="PRH223" s="1"/>
      <c r="PRI223" s="1"/>
      <c r="PRJ223" s="1"/>
      <c r="PRK223" s="1"/>
      <c r="PRL223" s="1"/>
      <c r="PRM223" s="1"/>
      <c r="PRN223" s="1"/>
      <c r="PRO223" s="1"/>
      <c r="PRP223" s="1"/>
      <c r="PRQ223" s="1"/>
      <c r="PRR223" s="1"/>
      <c r="PRS223" s="1"/>
      <c r="PRT223" s="1"/>
      <c r="PRU223" s="1"/>
      <c r="PRV223" s="1"/>
      <c r="PRW223" s="1"/>
      <c r="PRX223" s="1"/>
      <c r="PRY223" s="1"/>
      <c r="PRZ223" s="1"/>
      <c r="PSA223" s="1"/>
      <c r="PSB223" s="1"/>
      <c r="PSC223" s="1"/>
      <c r="PSD223" s="1"/>
      <c r="PSE223" s="1"/>
      <c r="PSF223" s="1"/>
      <c r="PSG223" s="1"/>
      <c r="PSH223" s="1"/>
      <c r="PSI223" s="1"/>
      <c r="PSJ223" s="1"/>
      <c r="PSK223" s="1"/>
      <c r="PSL223" s="1"/>
      <c r="PSM223" s="1"/>
      <c r="PSN223" s="1"/>
      <c r="PSO223" s="1"/>
      <c r="PSP223" s="1"/>
      <c r="PSQ223" s="1"/>
      <c r="PSR223" s="1"/>
      <c r="PSS223" s="1"/>
      <c r="PST223" s="1"/>
      <c r="PSU223" s="1"/>
      <c r="PSV223" s="1"/>
      <c r="PSW223" s="1"/>
      <c r="PSX223" s="1"/>
      <c r="PSY223" s="1"/>
      <c r="PSZ223" s="1"/>
      <c r="PTA223" s="1"/>
      <c r="PTB223" s="1"/>
      <c r="PTC223" s="1"/>
      <c r="PTD223" s="1"/>
      <c r="PTE223" s="1"/>
      <c r="PTF223" s="1"/>
      <c r="PTG223" s="1"/>
      <c r="PTH223" s="1"/>
      <c r="PTI223" s="1"/>
      <c r="PTJ223" s="1"/>
      <c r="PTK223" s="1"/>
      <c r="PTL223" s="1"/>
      <c r="PTM223" s="1"/>
      <c r="PTN223" s="1"/>
      <c r="PTO223" s="1"/>
      <c r="PTP223" s="1"/>
      <c r="PTQ223" s="1"/>
      <c r="PTR223" s="1"/>
      <c r="PTS223" s="1"/>
      <c r="PTT223" s="1"/>
      <c r="PTU223" s="1"/>
      <c r="PTV223" s="1"/>
      <c r="PTW223" s="1"/>
      <c r="PTX223" s="1"/>
      <c r="PTY223" s="1"/>
      <c r="PTZ223" s="1"/>
      <c r="PUA223" s="1"/>
      <c r="PUB223" s="1"/>
      <c r="PUC223" s="1"/>
      <c r="PUD223" s="1"/>
      <c r="PUE223" s="1"/>
      <c r="PUF223" s="1"/>
      <c r="PUG223" s="1"/>
      <c r="PUH223" s="1"/>
      <c r="PUI223" s="1"/>
      <c r="PUJ223" s="1"/>
      <c r="PUK223" s="1"/>
      <c r="PUL223" s="1"/>
      <c r="PUM223" s="1"/>
      <c r="PUN223" s="1"/>
      <c r="PUO223" s="1"/>
      <c r="PUP223" s="1"/>
      <c r="PUQ223" s="1"/>
      <c r="PUR223" s="1"/>
      <c r="PUS223" s="1"/>
      <c r="PUT223" s="1"/>
      <c r="PUU223" s="1"/>
      <c r="PUV223" s="1"/>
      <c r="PUW223" s="1"/>
      <c r="PUX223" s="1"/>
      <c r="PUY223" s="1"/>
      <c r="PUZ223" s="1"/>
      <c r="PVA223" s="1"/>
      <c r="PVB223" s="1"/>
      <c r="PVC223" s="1"/>
      <c r="PVD223" s="1"/>
      <c r="PVE223" s="1"/>
      <c r="PVF223" s="1"/>
      <c r="PVG223" s="1"/>
      <c r="PVH223" s="1"/>
      <c r="PVI223" s="1"/>
      <c r="PVJ223" s="1"/>
      <c r="PVK223" s="1"/>
      <c r="PVL223" s="1"/>
      <c r="PVM223" s="1"/>
      <c r="PVN223" s="1"/>
      <c r="PVO223" s="1"/>
      <c r="PVP223" s="1"/>
      <c r="PVQ223" s="1"/>
      <c r="PVR223" s="1"/>
      <c r="PVS223" s="1"/>
      <c r="PVT223" s="1"/>
      <c r="PVU223" s="1"/>
      <c r="PVV223" s="1"/>
      <c r="PVW223" s="1"/>
      <c r="PVX223" s="1"/>
      <c r="PVY223" s="1"/>
      <c r="PVZ223" s="1"/>
      <c r="PWA223" s="1"/>
      <c r="PWB223" s="1"/>
      <c r="PWC223" s="1"/>
      <c r="PWD223" s="1"/>
      <c r="PWE223" s="1"/>
      <c r="PWF223" s="1"/>
      <c r="PWG223" s="1"/>
      <c r="PWH223" s="1"/>
      <c r="PWI223" s="1"/>
      <c r="PWJ223" s="1"/>
      <c r="PWK223" s="1"/>
      <c r="PWL223" s="1"/>
      <c r="PWM223" s="1"/>
      <c r="PWN223" s="1"/>
      <c r="PWO223" s="1"/>
      <c r="PWP223" s="1"/>
      <c r="PWQ223" s="1"/>
      <c r="PWR223" s="1"/>
      <c r="PWS223" s="1"/>
      <c r="PWT223" s="1"/>
      <c r="PWU223" s="1"/>
      <c r="PWV223" s="1"/>
      <c r="PWW223" s="1"/>
      <c r="PWX223" s="1"/>
      <c r="PWY223" s="1"/>
      <c r="PWZ223" s="1"/>
      <c r="PXA223" s="1"/>
      <c r="PXB223" s="1"/>
      <c r="PXC223" s="1"/>
      <c r="PXD223" s="1"/>
      <c r="PXE223" s="1"/>
      <c r="PXF223" s="1"/>
      <c r="PXG223" s="1"/>
      <c r="PXH223" s="1"/>
      <c r="PXI223" s="1"/>
      <c r="PXJ223" s="1"/>
      <c r="PXK223" s="1"/>
      <c r="PXL223" s="1"/>
      <c r="PXM223" s="1"/>
      <c r="PXN223" s="1"/>
      <c r="PXO223" s="1"/>
      <c r="PXP223" s="1"/>
      <c r="PXQ223" s="1"/>
      <c r="PXR223" s="1"/>
      <c r="PXS223" s="1"/>
      <c r="PXT223" s="1"/>
      <c r="PXU223" s="1"/>
      <c r="PXV223" s="1"/>
      <c r="PXW223" s="1"/>
      <c r="PXX223" s="1"/>
      <c r="PXY223" s="1"/>
      <c r="PXZ223" s="1"/>
      <c r="PYA223" s="1"/>
      <c r="PYB223" s="1"/>
      <c r="PYC223" s="1"/>
      <c r="PYD223" s="1"/>
      <c r="PYE223" s="1"/>
      <c r="PYF223" s="1"/>
      <c r="PYG223" s="1"/>
      <c r="PYH223" s="1"/>
      <c r="PYI223" s="1"/>
      <c r="PYJ223" s="1"/>
      <c r="PYK223" s="1"/>
      <c r="PYL223" s="1"/>
      <c r="PYM223" s="1"/>
      <c r="PYN223" s="1"/>
      <c r="PYO223" s="1"/>
      <c r="PYP223" s="1"/>
      <c r="PYQ223" s="1"/>
      <c r="PYR223" s="1"/>
      <c r="PYS223" s="1"/>
      <c r="PYT223" s="1"/>
      <c r="PYU223" s="1"/>
      <c r="PYV223" s="1"/>
      <c r="PYW223" s="1"/>
      <c r="PYX223" s="1"/>
      <c r="PYY223" s="1"/>
      <c r="PYZ223" s="1"/>
      <c r="PZA223" s="1"/>
      <c r="PZB223" s="1"/>
      <c r="PZC223" s="1"/>
      <c r="PZD223" s="1"/>
      <c r="PZE223" s="1"/>
      <c r="PZF223" s="1"/>
      <c r="PZG223" s="1"/>
      <c r="PZH223" s="1"/>
      <c r="PZI223" s="1"/>
      <c r="PZJ223" s="1"/>
      <c r="PZK223" s="1"/>
      <c r="PZL223" s="1"/>
      <c r="PZM223" s="1"/>
      <c r="PZN223" s="1"/>
      <c r="PZO223" s="1"/>
      <c r="PZP223" s="1"/>
      <c r="PZQ223" s="1"/>
      <c r="PZR223" s="1"/>
      <c r="PZS223" s="1"/>
      <c r="PZT223" s="1"/>
      <c r="PZU223" s="1"/>
      <c r="PZV223" s="1"/>
      <c r="PZW223" s="1"/>
      <c r="PZX223" s="1"/>
      <c r="PZY223" s="1"/>
      <c r="PZZ223" s="1"/>
      <c r="QAA223" s="1"/>
      <c r="QAB223" s="1"/>
      <c r="QAC223" s="1"/>
      <c r="QAD223" s="1"/>
      <c r="QAE223" s="1"/>
      <c r="QAF223" s="1"/>
      <c r="QAG223" s="1"/>
      <c r="QAH223" s="1"/>
      <c r="QAI223" s="1"/>
      <c r="QAJ223" s="1"/>
      <c r="QAK223" s="1"/>
      <c r="QAL223" s="1"/>
      <c r="QAM223" s="1"/>
      <c r="QAN223" s="1"/>
      <c r="QAO223" s="1"/>
      <c r="QAP223" s="1"/>
      <c r="QAQ223" s="1"/>
      <c r="QAR223" s="1"/>
      <c r="QAS223" s="1"/>
      <c r="QAT223" s="1"/>
      <c r="QAU223" s="1"/>
      <c r="QAV223" s="1"/>
      <c r="QAW223" s="1"/>
      <c r="QAX223" s="1"/>
      <c r="QAY223" s="1"/>
      <c r="QAZ223" s="1"/>
      <c r="QBA223" s="1"/>
      <c r="QBB223" s="1"/>
      <c r="QBC223" s="1"/>
      <c r="QBD223" s="1"/>
      <c r="QBE223" s="1"/>
      <c r="QBF223" s="1"/>
      <c r="QBG223" s="1"/>
      <c r="QBH223" s="1"/>
      <c r="QBI223" s="1"/>
      <c r="QBJ223" s="1"/>
      <c r="QBK223" s="1"/>
      <c r="QBL223" s="1"/>
      <c r="QBM223" s="1"/>
      <c r="QBN223" s="1"/>
      <c r="QBO223" s="1"/>
      <c r="QBP223" s="1"/>
      <c r="QBQ223" s="1"/>
      <c r="QBR223" s="1"/>
      <c r="QBS223" s="1"/>
      <c r="QBT223" s="1"/>
      <c r="QBU223" s="1"/>
      <c r="QBV223" s="1"/>
      <c r="QBW223" s="1"/>
      <c r="QBX223" s="1"/>
      <c r="QBY223" s="1"/>
      <c r="QBZ223" s="1"/>
      <c r="QCA223" s="1"/>
      <c r="QCB223" s="1"/>
      <c r="QCC223" s="1"/>
      <c r="QCD223" s="1"/>
      <c r="QCE223" s="1"/>
      <c r="QCF223" s="1"/>
      <c r="QCG223" s="1"/>
      <c r="QCH223" s="1"/>
      <c r="QCI223" s="1"/>
      <c r="QCJ223" s="1"/>
      <c r="QCK223" s="1"/>
      <c r="QCL223" s="1"/>
      <c r="QCM223" s="1"/>
      <c r="QCN223" s="1"/>
      <c r="QCO223" s="1"/>
      <c r="QCP223" s="1"/>
      <c r="QCQ223" s="1"/>
      <c r="QCR223" s="1"/>
      <c r="QCS223" s="1"/>
      <c r="QCT223" s="1"/>
      <c r="QCU223" s="1"/>
      <c r="QCV223" s="1"/>
      <c r="QCW223" s="1"/>
      <c r="QCX223" s="1"/>
      <c r="QCY223" s="1"/>
      <c r="QCZ223" s="1"/>
      <c r="QDA223" s="1"/>
      <c r="QDB223" s="1"/>
      <c r="QDC223" s="1"/>
      <c r="QDD223" s="1"/>
      <c r="QDE223" s="1"/>
      <c r="QDF223" s="1"/>
      <c r="QDG223" s="1"/>
      <c r="QDH223" s="1"/>
      <c r="QDI223" s="1"/>
      <c r="QDJ223" s="1"/>
      <c r="QDK223" s="1"/>
      <c r="QDL223" s="1"/>
      <c r="QDM223" s="1"/>
      <c r="QDN223" s="1"/>
      <c r="QDO223" s="1"/>
      <c r="QDP223" s="1"/>
      <c r="QDQ223" s="1"/>
      <c r="QDR223" s="1"/>
      <c r="QDS223" s="1"/>
      <c r="QDT223" s="1"/>
      <c r="QDU223" s="1"/>
      <c r="QDV223" s="1"/>
      <c r="QDW223" s="1"/>
      <c r="QDX223" s="1"/>
      <c r="QDY223" s="1"/>
      <c r="QDZ223" s="1"/>
      <c r="QEA223" s="1"/>
      <c r="QEB223" s="1"/>
      <c r="QEC223" s="1"/>
      <c r="QED223" s="1"/>
      <c r="QEE223" s="1"/>
      <c r="QEF223" s="1"/>
      <c r="QEG223" s="1"/>
      <c r="QEH223" s="1"/>
      <c r="QEI223" s="1"/>
      <c r="QEJ223" s="1"/>
      <c r="QEK223" s="1"/>
      <c r="QEL223" s="1"/>
      <c r="QEM223" s="1"/>
      <c r="QEN223" s="1"/>
      <c r="QEO223" s="1"/>
      <c r="QEP223" s="1"/>
      <c r="QEQ223" s="1"/>
      <c r="QER223" s="1"/>
      <c r="QES223" s="1"/>
      <c r="QET223" s="1"/>
      <c r="QEU223" s="1"/>
      <c r="QEV223" s="1"/>
      <c r="QEW223" s="1"/>
      <c r="QEX223" s="1"/>
      <c r="QEY223" s="1"/>
      <c r="QEZ223" s="1"/>
      <c r="QFA223" s="1"/>
      <c r="QFB223" s="1"/>
      <c r="QFC223" s="1"/>
      <c r="QFD223" s="1"/>
      <c r="QFE223" s="1"/>
      <c r="QFF223" s="1"/>
      <c r="QFG223" s="1"/>
      <c r="QFH223" s="1"/>
      <c r="QFI223" s="1"/>
      <c r="QFJ223" s="1"/>
      <c r="QFK223" s="1"/>
      <c r="QFL223" s="1"/>
      <c r="QFM223" s="1"/>
      <c r="QFN223" s="1"/>
      <c r="QFO223" s="1"/>
      <c r="QFP223" s="1"/>
      <c r="QFQ223" s="1"/>
      <c r="QFR223" s="1"/>
      <c r="QFS223" s="1"/>
      <c r="QFT223" s="1"/>
      <c r="QFU223" s="1"/>
      <c r="QFV223" s="1"/>
      <c r="QFW223" s="1"/>
      <c r="QFX223" s="1"/>
      <c r="QFY223" s="1"/>
      <c r="QFZ223" s="1"/>
      <c r="QGA223" s="1"/>
      <c r="QGB223" s="1"/>
      <c r="QGC223" s="1"/>
      <c r="QGD223" s="1"/>
      <c r="QGE223" s="1"/>
      <c r="QGF223" s="1"/>
      <c r="QGG223" s="1"/>
      <c r="QGH223" s="1"/>
      <c r="QGI223" s="1"/>
      <c r="QGJ223" s="1"/>
      <c r="QGK223" s="1"/>
      <c r="QGL223" s="1"/>
      <c r="QGM223" s="1"/>
      <c r="QGN223" s="1"/>
      <c r="QGO223" s="1"/>
      <c r="QGP223" s="1"/>
      <c r="QGQ223" s="1"/>
      <c r="QGR223" s="1"/>
      <c r="QGS223" s="1"/>
      <c r="QGT223" s="1"/>
      <c r="QGU223" s="1"/>
      <c r="QGV223" s="1"/>
      <c r="QGW223" s="1"/>
      <c r="QGX223" s="1"/>
      <c r="QGY223" s="1"/>
      <c r="QGZ223" s="1"/>
      <c r="QHA223" s="1"/>
      <c r="QHB223" s="1"/>
      <c r="QHC223" s="1"/>
      <c r="QHD223" s="1"/>
      <c r="QHE223" s="1"/>
      <c r="QHF223" s="1"/>
      <c r="QHG223" s="1"/>
      <c r="QHH223" s="1"/>
      <c r="QHI223" s="1"/>
      <c r="QHJ223" s="1"/>
      <c r="QHK223" s="1"/>
      <c r="QHL223" s="1"/>
      <c r="QHM223" s="1"/>
      <c r="QHN223" s="1"/>
      <c r="QHO223" s="1"/>
      <c r="QHP223" s="1"/>
      <c r="QHQ223" s="1"/>
      <c r="QHR223" s="1"/>
      <c r="QHS223" s="1"/>
      <c r="QHT223" s="1"/>
      <c r="QHU223" s="1"/>
      <c r="QHV223" s="1"/>
      <c r="QHW223" s="1"/>
      <c r="QHX223" s="1"/>
      <c r="QHY223" s="1"/>
      <c r="QHZ223" s="1"/>
      <c r="QIA223" s="1"/>
      <c r="QIB223" s="1"/>
      <c r="QIC223" s="1"/>
      <c r="QID223" s="1"/>
      <c r="QIE223" s="1"/>
      <c r="QIF223" s="1"/>
      <c r="QIG223" s="1"/>
      <c r="QIH223" s="1"/>
      <c r="QII223" s="1"/>
      <c r="QIJ223" s="1"/>
      <c r="QIK223" s="1"/>
      <c r="QIL223" s="1"/>
      <c r="QIM223" s="1"/>
      <c r="QIN223" s="1"/>
      <c r="QIO223" s="1"/>
      <c r="QIP223" s="1"/>
      <c r="QIQ223" s="1"/>
      <c r="QIR223" s="1"/>
      <c r="QIS223" s="1"/>
      <c r="QIT223" s="1"/>
      <c r="QIU223" s="1"/>
      <c r="QIV223" s="1"/>
      <c r="QIW223" s="1"/>
      <c r="QIX223" s="1"/>
      <c r="QIY223" s="1"/>
      <c r="QIZ223" s="1"/>
      <c r="QJA223" s="1"/>
      <c r="QJB223" s="1"/>
      <c r="QJC223" s="1"/>
      <c r="QJD223" s="1"/>
      <c r="QJE223" s="1"/>
      <c r="QJF223" s="1"/>
      <c r="QJG223" s="1"/>
      <c r="QJH223" s="1"/>
      <c r="QJI223" s="1"/>
      <c r="QJJ223" s="1"/>
      <c r="QJK223" s="1"/>
      <c r="QJL223" s="1"/>
      <c r="QJM223" s="1"/>
      <c r="QJN223" s="1"/>
      <c r="QJO223" s="1"/>
      <c r="QJP223" s="1"/>
      <c r="QJQ223" s="1"/>
      <c r="QJR223" s="1"/>
      <c r="QJS223" s="1"/>
      <c r="QJT223" s="1"/>
      <c r="QJU223" s="1"/>
      <c r="QJV223" s="1"/>
      <c r="QJW223" s="1"/>
      <c r="QJX223" s="1"/>
      <c r="QJY223" s="1"/>
      <c r="QJZ223" s="1"/>
      <c r="QKA223" s="1"/>
      <c r="QKB223" s="1"/>
      <c r="QKC223" s="1"/>
      <c r="QKD223" s="1"/>
      <c r="QKE223" s="1"/>
      <c r="QKF223" s="1"/>
      <c r="QKG223" s="1"/>
      <c r="QKH223" s="1"/>
      <c r="QKI223" s="1"/>
      <c r="QKJ223" s="1"/>
      <c r="QKK223" s="1"/>
      <c r="QKL223" s="1"/>
      <c r="QKM223" s="1"/>
      <c r="QKN223" s="1"/>
      <c r="QKO223" s="1"/>
      <c r="QKP223" s="1"/>
      <c r="QKQ223" s="1"/>
      <c r="QKR223" s="1"/>
      <c r="QKS223" s="1"/>
      <c r="QKT223" s="1"/>
      <c r="QKU223" s="1"/>
      <c r="QKV223" s="1"/>
      <c r="QKW223" s="1"/>
      <c r="QKX223" s="1"/>
      <c r="QKY223" s="1"/>
      <c r="QKZ223" s="1"/>
      <c r="QLA223" s="1"/>
      <c r="QLB223" s="1"/>
      <c r="QLC223" s="1"/>
      <c r="QLD223" s="1"/>
      <c r="QLE223" s="1"/>
      <c r="QLF223" s="1"/>
      <c r="QLG223" s="1"/>
      <c r="QLH223" s="1"/>
      <c r="QLI223" s="1"/>
      <c r="QLJ223" s="1"/>
      <c r="QLK223" s="1"/>
      <c r="QLL223" s="1"/>
      <c r="QLM223" s="1"/>
      <c r="QLN223" s="1"/>
      <c r="QLO223" s="1"/>
      <c r="QLP223" s="1"/>
      <c r="QLQ223" s="1"/>
      <c r="QLR223" s="1"/>
      <c r="QLS223" s="1"/>
      <c r="QLT223" s="1"/>
      <c r="QLU223" s="1"/>
      <c r="QLV223" s="1"/>
      <c r="QLW223" s="1"/>
      <c r="QLX223" s="1"/>
      <c r="QLY223" s="1"/>
      <c r="QLZ223" s="1"/>
      <c r="QMA223" s="1"/>
      <c r="QMB223" s="1"/>
      <c r="QMC223" s="1"/>
      <c r="QMD223" s="1"/>
      <c r="QME223" s="1"/>
      <c r="QMF223" s="1"/>
      <c r="QMG223" s="1"/>
      <c r="QMH223" s="1"/>
      <c r="QMI223" s="1"/>
      <c r="QMJ223" s="1"/>
      <c r="QMK223" s="1"/>
      <c r="QML223" s="1"/>
      <c r="QMM223" s="1"/>
      <c r="QMN223" s="1"/>
      <c r="QMO223" s="1"/>
      <c r="QMP223" s="1"/>
      <c r="QMQ223" s="1"/>
      <c r="QMR223" s="1"/>
      <c r="QMS223" s="1"/>
      <c r="QMT223" s="1"/>
      <c r="QMU223" s="1"/>
      <c r="QMV223" s="1"/>
      <c r="QMW223" s="1"/>
      <c r="QMX223" s="1"/>
      <c r="QMY223" s="1"/>
      <c r="QMZ223" s="1"/>
      <c r="QNA223" s="1"/>
      <c r="QNB223" s="1"/>
      <c r="QNC223" s="1"/>
      <c r="QND223" s="1"/>
      <c r="QNE223" s="1"/>
      <c r="QNF223" s="1"/>
      <c r="QNG223" s="1"/>
      <c r="QNH223" s="1"/>
      <c r="QNI223" s="1"/>
      <c r="QNJ223" s="1"/>
      <c r="QNK223" s="1"/>
      <c r="QNL223" s="1"/>
      <c r="QNM223" s="1"/>
      <c r="QNN223" s="1"/>
      <c r="QNO223" s="1"/>
      <c r="QNP223" s="1"/>
      <c r="QNQ223" s="1"/>
      <c r="QNR223" s="1"/>
      <c r="QNS223" s="1"/>
      <c r="QNT223" s="1"/>
      <c r="QNU223" s="1"/>
      <c r="QNV223" s="1"/>
      <c r="QNW223" s="1"/>
      <c r="QNX223" s="1"/>
      <c r="QNY223" s="1"/>
      <c r="QNZ223" s="1"/>
      <c r="QOA223" s="1"/>
      <c r="QOB223" s="1"/>
      <c r="QOC223" s="1"/>
      <c r="QOD223" s="1"/>
      <c r="QOE223" s="1"/>
      <c r="QOF223" s="1"/>
      <c r="QOG223" s="1"/>
      <c r="QOH223" s="1"/>
      <c r="QOI223" s="1"/>
      <c r="QOJ223" s="1"/>
      <c r="QOK223" s="1"/>
      <c r="QOL223" s="1"/>
      <c r="QOM223" s="1"/>
      <c r="QON223" s="1"/>
      <c r="QOO223" s="1"/>
      <c r="QOP223" s="1"/>
      <c r="QOQ223" s="1"/>
      <c r="QOR223" s="1"/>
      <c r="QOS223" s="1"/>
      <c r="QOT223" s="1"/>
      <c r="QOU223" s="1"/>
      <c r="QOV223" s="1"/>
      <c r="QOW223" s="1"/>
      <c r="QOX223" s="1"/>
      <c r="QOY223" s="1"/>
      <c r="QOZ223" s="1"/>
      <c r="QPA223" s="1"/>
      <c r="QPB223" s="1"/>
      <c r="QPC223" s="1"/>
      <c r="QPD223" s="1"/>
      <c r="QPE223" s="1"/>
      <c r="QPF223" s="1"/>
      <c r="QPG223" s="1"/>
      <c r="QPH223" s="1"/>
      <c r="QPI223" s="1"/>
      <c r="QPJ223" s="1"/>
      <c r="QPK223" s="1"/>
      <c r="QPL223" s="1"/>
      <c r="QPM223" s="1"/>
      <c r="QPN223" s="1"/>
      <c r="QPO223" s="1"/>
      <c r="QPP223" s="1"/>
      <c r="QPQ223" s="1"/>
      <c r="QPR223" s="1"/>
      <c r="QPS223" s="1"/>
      <c r="QPT223" s="1"/>
      <c r="QPU223" s="1"/>
      <c r="QPV223" s="1"/>
      <c r="QPW223" s="1"/>
      <c r="QPX223" s="1"/>
      <c r="QPY223" s="1"/>
      <c r="QPZ223" s="1"/>
      <c r="QQA223" s="1"/>
      <c r="QQB223" s="1"/>
      <c r="QQC223" s="1"/>
      <c r="QQD223" s="1"/>
      <c r="QQE223" s="1"/>
      <c r="QQF223" s="1"/>
      <c r="QQG223" s="1"/>
      <c r="QQH223" s="1"/>
      <c r="QQI223" s="1"/>
      <c r="QQJ223" s="1"/>
      <c r="QQK223" s="1"/>
      <c r="QQL223" s="1"/>
      <c r="QQM223" s="1"/>
      <c r="QQN223" s="1"/>
      <c r="QQO223" s="1"/>
      <c r="QQP223" s="1"/>
      <c r="QQQ223" s="1"/>
      <c r="QQR223" s="1"/>
      <c r="QQS223" s="1"/>
      <c r="QQT223" s="1"/>
      <c r="QQU223" s="1"/>
      <c r="QQV223" s="1"/>
      <c r="QQW223" s="1"/>
      <c r="QQX223" s="1"/>
      <c r="QQY223" s="1"/>
      <c r="QQZ223" s="1"/>
      <c r="QRA223" s="1"/>
      <c r="QRB223" s="1"/>
      <c r="QRC223" s="1"/>
      <c r="QRD223" s="1"/>
      <c r="QRE223" s="1"/>
      <c r="QRF223" s="1"/>
      <c r="QRG223" s="1"/>
      <c r="QRH223" s="1"/>
      <c r="QRI223" s="1"/>
      <c r="QRJ223" s="1"/>
      <c r="QRK223" s="1"/>
      <c r="QRL223" s="1"/>
      <c r="QRM223" s="1"/>
      <c r="QRN223" s="1"/>
      <c r="QRO223" s="1"/>
      <c r="QRP223" s="1"/>
      <c r="QRQ223" s="1"/>
      <c r="QRR223" s="1"/>
      <c r="QRS223" s="1"/>
      <c r="QRT223" s="1"/>
      <c r="QRU223" s="1"/>
      <c r="QRV223" s="1"/>
      <c r="QRW223" s="1"/>
      <c r="QRX223" s="1"/>
      <c r="QRY223" s="1"/>
      <c r="QRZ223" s="1"/>
      <c r="QSA223" s="1"/>
      <c r="QSB223" s="1"/>
      <c r="QSC223" s="1"/>
      <c r="QSD223" s="1"/>
      <c r="QSE223" s="1"/>
      <c r="QSF223" s="1"/>
      <c r="QSG223" s="1"/>
      <c r="QSH223" s="1"/>
      <c r="QSI223" s="1"/>
      <c r="QSJ223" s="1"/>
      <c r="QSK223" s="1"/>
      <c r="QSL223" s="1"/>
      <c r="QSM223" s="1"/>
      <c r="QSN223" s="1"/>
      <c r="QSO223" s="1"/>
      <c r="QSP223" s="1"/>
      <c r="QSQ223" s="1"/>
      <c r="QSR223" s="1"/>
      <c r="QSS223" s="1"/>
      <c r="QST223" s="1"/>
      <c r="QSU223" s="1"/>
      <c r="QSV223" s="1"/>
      <c r="QSW223" s="1"/>
      <c r="QSX223" s="1"/>
      <c r="QSY223" s="1"/>
      <c r="QSZ223" s="1"/>
      <c r="QTA223" s="1"/>
      <c r="QTB223" s="1"/>
      <c r="QTC223" s="1"/>
      <c r="QTD223" s="1"/>
      <c r="QTE223" s="1"/>
      <c r="QTF223" s="1"/>
      <c r="QTG223" s="1"/>
      <c r="QTH223" s="1"/>
      <c r="QTI223" s="1"/>
      <c r="QTJ223" s="1"/>
      <c r="QTK223" s="1"/>
      <c r="QTL223" s="1"/>
      <c r="QTM223" s="1"/>
      <c r="QTN223" s="1"/>
      <c r="QTO223" s="1"/>
      <c r="QTP223" s="1"/>
      <c r="QTQ223" s="1"/>
      <c r="QTR223" s="1"/>
      <c r="QTS223" s="1"/>
      <c r="QTT223" s="1"/>
      <c r="QTU223" s="1"/>
      <c r="QTV223" s="1"/>
      <c r="QTW223" s="1"/>
      <c r="QTX223" s="1"/>
      <c r="QTY223" s="1"/>
      <c r="QTZ223" s="1"/>
      <c r="QUA223" s="1"/>
      <c r="QUB223" s="1"/>
      <c r="QUC223" s="1"/>
      <c r="QUD223" s="1"/>
      <c r="QUE223" s="1"/>
      <c r="QUF223" s="1"/>
      <c r="QUG223" s="1"/>
      <c r="QUH223" s="1"/>
      <c r="QUI223" s="1"/>
      <c r="QUJ223" s="1"/>
      <c r="QUK223" s="1"/>
      <c r="QUL223" s="1"/>
      <c r="QUM223" s="1"/>
      <c r="QUN223" s="1"/>
      <c r="QUO223" s="1"/>
      <c r="QUP223" s="1"/>
      <c r="QUQ223" s="1"/>
      <c r="QUR223" s="1"/>
      <c r="QUS223" s="1"/>
      <c r="QUT223" s="1"/>
      <c r="QUU223" s="1"/>
      <c r="QUV223" s="1"/>
      <c r="QUW223" s="1"/>
      <c r="QUX223" s="1"/>
      <c r="QUY223" s="1"/>
      <c r="QUZ223" s="1"/>
      <c r="QVA223" s="1"/>
      <c r="QVB223" s="1"/>
      <c r="QVC223" s="1"/>
      <c r="QVD223" s="1"/>
      <c r="QVE223" s="1"/>
      <c r="QVF223" s="1"/>
      <c r="QVG223" s="1"/>
      <c r="QVH223" s="1"/>
      <c r="QVI223" s="1"/>
      <c r="QVJ223" s="1"/>
      <c r="QVK223" s="1"/>
      <c r="QVL223" s="1"/>
      <c r="QVM223" s="1"/>
      <c r="QVN223" s="1"/>
      <c r="QVO223" s="1"/>
      <c r="QVP223" s="1"/>
      <c r="QVQ223" s="1"/>
      <c r="QVR223" s="1"/>
      <c r="QVS223" s="1"/>
      <c r="QVT223" s="1"/>
      <c r="QVU223" s="1"/>
      <c r="QVV223" s="1"/>
      <c r="QVW223" s="1"/>
      <c r="QVX223" s="1"/>
      <c r="QVY223" s="1"/>
      <c r="QVZ223" s="1"/>
      <c r="QWA223" s="1"/>
      <c r="QWB223" s="1"/>
      <c r="QWC223" s="1"/>
      <c r="QWD223" s="1"/>
      <c r="QWE223" s="1"/>
      <c r="QWF223" s="1"/>
      <c r="QWG223" s="1"/>
      <c r="QWH223" s="1"/>
      <c r="QWI223" s="1"/>
      <c r="QWJ223" s="1"/>
      <c r="QWK223" s="1"/>
      <c r="QWL223" s="1"/>
      <c r="QWM223" s="1"/>
      <c r="QWN223" s="1"/>
      <c r="QWO223" s="1"/>
      <c r="QWP223" s="1"/>
      <c r="QWQ223" s="1"/>
      <c r="QWR223" s="1"/>
      <c r="QWS223" s="1"/>
      <c r="QWT223" s="1"/>
      <c r="QWU223" s="1"/>
      <c r="QWV223" s="1"/>
      <c r="QWW223" s="1"/>
      <c r="QWX223" s="1"/>
      <c r="QWY223" s="1"/>
      <c r="QWZ223" s="1"/>
      <c r="QXA223" s="1"/>
      <c r="QXB223" s="1"/>
      <c r="QXC223" s="1"/>
      <c r="QXD223" s="1"/>
      <c r="QXE223" s="1"/>
      <c r="QXF223" s="1"/>
      <c r="QXG223" s="1"/>
      <c r="QXH223" s="1"/>
      <c r="QXI223" s="1"/>
      <c r="QXJ223" s="1"/>
      <c r="QXK223" s="1"/>
      <c r="QXL223" s="1"/>
      <c r="QXM223" s="1"/>
      <c r="QXN223" s="1"/>
      <c r="QXO223" s="1"/>
      <c r="QXP223" s="1"/>
      <c r="QXQ223" s="1"/>
      <c r="QXR223" s="1"/>
      <c r="QXS223" s="1"/>
      <c r="QXT223" s="1"/>
      <c r="QXU223" s="1"/>
      <c r="QXV223" s="1"/>
      <c r="QXW223" s="1"/>
      <c r="QXX223" s="1"/>
      <c r="QXY223" s="1"/>
      <c r="QXZ223" s="1"/>
      <c r="QYA223" s="1"/>
      <c r="QYB223" s="1"/>
      <c r="QYC223" s="1"/>
      <c r="QYD223" s="1"/>
      <c r="QYE223" s="1"/>
      <c r="QYF223" s="1"/>
      <c r="QYG223" s="1"/>
      <c r="QYH223" s="1"/>
      <c r="QYI223" s="1"/>
      <c r="QYJ223" s="1"/>
      <c r="QYK223" s="1"/>
      <c r="QYL223" s="1"/>
      <c r="QYM223" s="1"/>
      <c r="QYN223" s="1"/>
      <c r="QYO223" s="1"/>
      <c r="QYP223" s="1"/>
      <c r="QYQ223" s="1"/>
      <c r="QYR223" s="1"/>
      <c r="QYS223" s="1"/>
      <c r="QYT223" s="1"/>
      <c r="QYU223" s="1"/>
      <c r="QYV223" s="1"/>
      <c r="QYW223" s="1"/>
      <c r="QYX223" s="1"/>
      <c r="QYY223" s="1"/>
      <c r="QYZ223" s="1"/>
      <c r="QZA223" s="1"/>
      <c r="QZB223" s="1"/>
      <c r="QZC223" s="1"/>
      <c r="QZD223" s="1"/>
      <c r="QZE223" s="1"/>
      <c r="QZF223" s="1"/>
      <c r="QZG223" s="1"/>
      <c r="QZH223" s="1"/>
      <c r="QZI223" s="1"/>
      <c r="QZJ223" s="1"/>
      <c r="QZK223" s="1"/>
      <c r="QZL223" s="1"/>
      <c r="QZM223" s="1"/>
      <c r="QZN223" s="1"/>
      <c r="QZO223" s="1"/>
      <c r="QZP223" s="1"/>
      <c r="QZQ223" s="1"/>
      <c r="QZR223" s="1"/>
      <c r="QZS223" s="1"/>
      <c r="QZT223" s="1"/>
      <c r="QZU223" s="1"/>
      <c r="QZV223" s="1"/>
      <c r="QZW223" s="1"/>
      <c r="QZX223" s="1"/>
      <c r="QZY223" s="1"/>
      <c r="QZZ223" s="1"/>
      <c r="RAA223" s="1"/>
      <c r="RAB223" s="1"/>
      <c r="RAC223" s="1"/>
      <c r="RAD223" s="1"/>
      <c r="RAE223" s="1"/>
      <c r="RAF223" s="1"/>
      <c r="RAG223" s="1"/>
      <c r="RAH223" s="1"/>
      <c r="RAI223" s="1"/>
      <c r="RAJ223" s="1"/>
      <c r="RAK223" s="1"/>
      <c r="RAL223" s="1"/>
      <c r="RAM223" s="1"/>
      <c r="RAN223" s="1"/>
      <c r="RAO223" s="1"/>
      <c r="RAP223" s="1"/>
      <c r="RAQ223" s="1"/>
      <c r="RAR223" s="1"/>
      <c r="RAS223" s="1"/>
      <c r="RAT223" s="1"/>
      <c r="RAU223" s="1"/>
      <c r="RAV223" s="1"/>
      <c r="RAW223" s="1"/>
      <c r="RAX223" s="1"/>
      <c r="RAY223" s="1"/>
      <c r="RAZ223" s="1"/>
      <c r="RBA223" s="1"/>
      <c r="RBB223" s="1"/>
      <c r="RBC223" s="1"/>
      <c r="RBD223" s="1"/>
      <c r="RBE223" s="1"/>
      <c r="RBF223" s="1"/>
      <c r="RBG223" s="1"/>
      <c r="RBH223" s="1"/>
      <c r="RBI223" s="1"/>
      <c r="RBJ223" s="1"/>
      <c r="RBK223" s="1"/>
      <c r="RBL223" s="1"/>
      <c r="RBM223" s="1"/>
      <c r="RBN223" s="1"/>
      <c r="RBO223" s="1"/>
      <c r="RBP223" s="1"/>
      <c r="RBQ223" s="1"/>
      <c r="RBR223" s="1"/>
      <c r="RBS223" s="1"/>
      <c r="RBT223" s="1"/>
      <c r="RBU223" s="1"/>
      <c r="RBV223" s="1"/>
      <c r="RBW223" s="1"/>
      <c r="RBX223" s="1"/>
      <c r="RBY223" s="1"/>
      <c r="RBZ223" s="1"/>
      <c r="RCA223" s="1"/>
      <c r="RCB223" s="1"/>
      <c r="RCC223" s="1"/>
      <c r="RCD223" s="1"/>
      <c r="RCE223" s="1"/>
      <c r="RCF223" s="1"/>
      <c r="RCG223" s="1"/>
      <c r="RCH223" s="1"/>
      <c r="RCI223" s="1"/>
      <c r="RCJ223" s="1"/>
      <c r="RCK223" s="1"/>
      <c r="RCL223" s="1"/>
      <c r="RCM223" s="1"/>
      <c r="RCN223" s="1"/>
      <c r="RCO223" s="1"/>
      <c r="RCP223" s="1"/>
      <c r="RCQ223" s="1"/>
      <c r="RCR223" s="1"/>
      <c r="RCS223" s="1"/>
      <c r="RCT223" s="1"/>
      <c r="RCU223" s="1"/>
      <c r="RCV223" s="1"/>
      <c r="RCW223" s="1"/>
      <c r="RCX223" s="1"/>
      <c r="RCY223" s="1"/>
      <c r="RCZ223" s="1"/>
      <c r="RDA223" s="1"/>
      <c r="RDB223" s="1"/>
      <c r="RDC223" s="1"/>
      <c r="RDD223" s="1"/>
      <c r="RDE223" s="1"/>
      <c r="RDF223" s="1"/>
      <c r="RDG223" s="1"/>
      <c r="RDH223" s="1"/>
      <c r="RDI223" s="1"/>
      <c r="RDJ223" s="1"/>
      <c r="RDK223" s="1"/>
      <c r="RDL223" s="1"/>
      <c r="RDM223" s="1"/>
      <c r="RDN223" s="1"/>
      <c r="RDO223" s="1"/>
      <c r="RDP223" s="1"/>
      <c r="RDQ223" s="1"/>
      <c r="RDR223" s="1"/>
      <c r="RDS223" s="1"/>
      <c r="RDT223" s="1"/>
      <c r="RDU223" s="1"/>
      <c r="RDV223" s="1"/>
      <c r="RDW223" s="1"/>
      <c r="RDX223" s="1"/>
      <c r="RDY223" s="1"/>
      <c r="RDZ223" s="1"/>
      <c r="REA223" s="1"/>
      <c r="REB223" s="1"/>
      <c r="REC223" s="1"/>
      <c r="RED223" s="1"/>
      <c r="REE223" s="1"/>
      <c r="REF223" s="1"/>
      <c r="REG223" s="1"/>
      <c r="REH223" s="1"/>
      <c r="REI223" s="1"/>
      <c r="REJ223" s="1"/>
      <c r="REK223" s="1"/>
      <c r="REL223" s="1"/>
      <c r="REM223" s="1"/>
      <c r="REN223" s="1"/>
      <c r="REO223" s="1"/>
      <c r="REP223" s="1"/>
      <c r="REQ223" s="1"/>
      <c r="RER223" s="1"/>
      <c r="RES223" s="1"/>
      <c r="RET223" s="1"/>
      <c r="REU223" s="1"/>
      <c r="REV223" s="1"/>
      <c r="REW223" s="1"/>
      <c r="REX223" s="1"/>
      <c r="REY223" s="1"/>
      <c r="REZ223" s="1"/>
      <c r="RFA223" s="1"/>
      <c r="RFB223" s="1"/>
      <c r="RFC223" s="1"/>
      <c r="RFD223" s="1"/>
      <c r="RFE223" s="1"/>
      <c r="RFF223" s="1"/>
      <c r="RFG223" s="1"/>
      <c r="RFH223" s="1"/>
      <c r="RFI223" s="1"/>
      <c r="RFJ223" s="1"/>
      <c r="RFK223" s="1"/>
      <c r="RFL223" s="1"/>
      <c r="RFM223" s="1"/>
      <c r="RFN223" s="1"/>
      <c r="RFO223" s="1"/>
      <c r="RFP223" s="1"/>
      <c r="RFQ223" s="1"/>
      <c r="RFR223" s="1"/>
      <c r="RFS223" s="1"/>
      <c r="RFT223" s="1"/>
      <c r="RFU223" s="1"/>
      <c r="RFV223" s="1"/>
      <c r="RFW223" s="1"/>
      <c r="RFX223" s="1"/>
      <c r="RFY223" s="1"/>
      <c r="RFZ223" s="1"/>
      <c r="RGA223" s="1"/>
      <c r="RGB223" s="1"/>
      <c r="RGC223" s="1"/>
      <c r="RGD223" s="1"/>
      <c r="RGE223" s="1"/>
      <c r="RGF223" s="1"/>
      <c r="RGG223" s="1"/>
      <c r="RGH223" s="1"/>
      <c r="RGI223" s="1"/>
      <c r="RGJ223" s="1"/>
      <c r="RGK223" s="1"/>
      <c r="RGL223" s="1"/>
      <c r="RGM223" s="1"/>
      <c r="RGN223" s="1"/>
      <c r="RGO223" s="1"/>
      <c r="RGP223" s="1"/>
      <c r="RGQ223" s="1"/>
      <c r="RGR223" s="1"/>
      <c r="RGS223" s="1"/>
      <c r="RGT223" s="1"/>
      <c r="RGU223" s="1"/>
      <c r="RGV223" s="1"/>
      <c r="RGW223" s="1"/>
      <c r="RGX223" s="1"/>
      <c r="RGY223" s="1"/>
      <c r="RGZ223" s="1"/>
      <c r="RHA223" s="1"/>
      <c r="RHB223" s="1"/>
      <c r="RHC223" s="1"/>
      <c r="RHD223" s="1"/>
      <c r="RHE223" s="1"/>
      <c r="RHF223" s="1"/>
      <c r="RHG223" s="1"/>
      <c r="RHH223" s="1"/>
      <c r="RHI223" s="1"/>
      <c r="RHJ223" s="1"/>
      <c r="RHK223" s="1"/>
      <c r="RHL223" s="1"/>
      <c r="RHM223" s="1"/>
      <c r="RHN223" s="1"/>
      <c r="RHO223" s="1"/>
      <c r="RHP223" s="1"/>
      <c r="RHQ223" s="1"/>
      <c r="RHR223" s="1"/>
      <c r="RHS223" s="1"/>
      <c r="RHT223" s="1"/>
      <c r="RHU223" s="1"/>
      <c r="RHV223" s="1"/>
      <c r="RHW223" s="1"/>
      <c r="RHX223" s="1"/>
      <c r="RHY223" s="1"/>
      <c r="RHZ223" s="1"/>
      <c r="RIA223" s="1"/>
      <c r="RIB223" s="1"/>
      <c r="RIC223" s="1"/>
      <c r="RID223" s="1"/>
      <c r="RIE223" s="1"/>
      <c r="RIF223" s="1"/>
      <c r="RIG223" s="1"/>
      <c r="RIH223" s="1"/>
      <c r="RII223" s="1"/>
      <c r="RIJ223" s="1"/>
      <c r="RIK223" s="1"/>
      <c r="RIL223" s="1"/>
      <c r="RIM223" s="1"/>
      <c r="RIN223" s="1"/>
      <c r="RIO223" s="1"/>
      <c r="RIP223" s="1"/>
      <c r="RIQ223" s="1"/>
      <c r="RIR223" s="1"/>
      <c r="RIS223" s="1"/>
      <c r="RIT223" s="1"/>
      <c r="RIU223" s="1"/>
      <c r="RIV223" s="1"/>
      <c r="RIW223" s="1"/>
      <c r="RIX223" s="1"/>
      <c r="RIY223" s="1"/>
      <c r="RIZ223" s="1"/>
      <c r="RJA223" s="1"/>
      <c r="RJB223" s="1"/>
      <c r="RJC223" s="1"/>
      <c r="RJD223" s="1"/>
      <c r="RJE223" s="1"/>
      <c r="RJF223" s="1"/>
      <c r="RJG223" s="1"/>
      <c r="RJH223" s="1"/>
      <c r="RJI223" s="1"/>
      <c r="RJJ223" s="1"/>
      <c r="RJK223" s="1"/>
      <c r="RJL223" s="1"/>
      <c r="RJM223" s="1"/>
      <c r="RJN223" s="1"/>
      <c r="RJO223" s="1"/>
      <c r="RJP223" s="1"/>
      <c r="RJQ223" s="1"/>
      <c r="RJR223" s="1"/>
      <c r="RJS223" s="1"/>
      <c r="RJT223" s="1"/>
      <c r="RJU223" s="1"/>
      <c r="RJV223" s="1"/>
      <c r="RJW223" s="1"/>
      <c r="RJX223" s="1"/>
      <c r="RJY223" s="1"/>
      <c r="RJZ223" s="1"/>
      <c r="RKA223" s="1"/>
      <c r="RKB223" s="1"/>
      <c r="RKC223" s="1"/>
      <c r="RKD223" s="1"/>
      <c r="RKE223" s="1"/>
      <c r="RKF223" s="1"/>
      <c r="RKG223" s="1"/>
      <c r="RKH223" s="1"/>
      <c r="RKI223" s="1"/>
      <c r="RKJ223" s="1"/>
      <c r="RKK223" s="1"/>
      <c r="RKL223" s="1"/>
      <c r="RKM223" s="1"/>
      <c r="RKN223" s="1"/>
      <c r="RKO223" s="1"/>
      <c r="RKP223" s="1"/>
      <c r="RKQ223" s="1"/>
      <c r="RKR223" s="1"/>
      <c r="RKS223" s="1"/>
      <c r="RKT223" s="1"/>
      <c r="RKU223" s="1"/>
      <c r="RKV223" s="1"/>
      <c r="RKW223" s="1"/>
      <c r="RKX223" s="1"/>
      <c r="RKY223" s="1"/>
      <c r="RKZ223" s="1"/>
      <c r="RLA223" s="1"/>
      <c r="RLB223" s="1"/>
      <c r="RLC223" s="1"/>
      <c r="RLD223" s="1"/>
      <c r="RLE223" s="1"/>
      <c r="RLF223" s="1"/>
      <c r="RLG223" s="1"/>
      <c r="RLH223" s="1"/>
      <c r="RLI223" s="1"/>
      <c r="RLJ223" s="1"/>
      <c r="RLK223" s="1"/>
      <c r="RLL223" s="1"/>
      <c r="RLM223" s="1"/>
      <c r="RLN223" s="1"/>
      <c r="RLO223" s="1"/>
      <c r="RLP223" s="1"/>
      <c r="RLQ223" s="1"/>
      <c r="RLR223" s="1"/>
      <c r="RLS223" s="1"/>
      <c r="RLT223" s="1"/>
      <c r="RLU223" s="1"/>
      <c r="RLV223" s="1"/>
      <c r="RLW223" s="1"/>
      <c r="RLX223" s="1"/>
      <c r="RLY223" s="1"/>
      <c r="RLZ223" s="1"/>
      <c r="RMA223" s="1"/>
      <c r="RMB223" s="1"/>
      <c r="RMC223" s="1"/>
      <c r="RMD223" s="1"/>
      <c r="RME223" s="1"/>
      <c r="RMF223" s="1"/>
      <c r="RMG223" s="1"/>
      <c r="RMH223" s="1"/>
      <c r="RMI223" s="1"/>
      <c r="RMJ223" s="1"/>
      <c r="RMK223" s="1"/>
      <c r="RML223" s="1"/>
      <c r="RMM223" s="1"/>
      <c r="RMN223" s="1"/>
      <c r="RMO223" s="1"/>
      <c r="RMP223" s="1"/>
      <c r="RMQ223" s="1"/>
      <c r="RMR223" s="1"/>
      <c r="RMS223" s="1"/>
      <c r="RMT223" s="1"/>
      <c r="RMU223" s="1"/>
      <c r="RMV223" s="1"/>
      <c r="RMW223" s="1"/>
      <c r="RMX223" s="1"/>
      <c r="RMY223" s="1"/>
      <c r="RMZ223" s="1"/>
      <c r="RNA223" s="1"/>
      <c r="RNB223" s="1"/>
      <c r="RNC223" s="1"/>
      <c r="RND223" s="1"/>
      <c r="RNE223" s="1"/>
      <c r="RNF223" s="1"/>
      <c r="RNG223" s="1"/>
      <c r="RNH223" s="1"/>
      <c r="RNI223" s="1"/>
      <c r="RNJ223" s="1"/>
      <c r="RNK223" s="1"/>
      <c r="RNL223" s="1"/>
      <c r="RNM223" s="1"/>
      <c r="RNN223" s="1"/>
      <c r="RNO223" s="1"/>
      <c r="RNP223" s="1"/>
      <c r="RNQ223" s="1"/>
      <c r="RNR223" s="1"/>
      <c r="RNS223" s="1"/>
      <c r="RNT223" s="1"/>
      <c r="RNU223" s="1"/>
      <c r="RNV223" s="1"/>
      <c r="RNW223" s="1"/>
      <c r="RNX223" s="1"/>
      <c r="RNY223" s="1"/>
      <c r="RNZ223" s="1"/>
      <c r="ROA223" s="1"/>
      <c r="ROB223" s="1"/>
      <c r="ROC223" s="1"/>
      <c r="ROD223" s="1"/>
      <c r="ROE223" s="1"/>
      <c r="ROF223" s="1"/>
      <c r="ROG223" s="1"/>
      <c r="ROH223" s="1"/>
      <c r="ROI223" s="1"/>
      <c r="ROJ223" s="1"/>
      <c r="ROK223" s="1"/>
      <c r="ROL223" s="1"/>
      <c r="ROM223" s="1"/>
      <c r="RON223" s="1"/>
      <c r="ROO223" s="1"/>
      <c r="ROP223" s="1"/>
      <c r="ROQ223" s="1"/>
      <c r="ROR223" s="1"/>
      <c r="ROS223" s="1"/>
      <c r="ROT223" s="1"/>
      <c r="ROU223" s="1"/>
      <c r="ROV223" s="1"/>
      <c r="ROW223" s="1"/>
      <c r="ROX223" s="1"/>
      <c r="ROY223" s="1"/>
      <c r="ROZ223" s="1"/>
      <c r="RPA223" s="1"/>
      <c r="RPB223" s="1"/>
      <c r="RPC223" s="1"/>
      <c r="RPD223" s="1"/>
      <c r="RPE223" s="1"/>
      <c r="RPF223" s="1"/>
      <c r="RPG223" s="1"/>
      <c r="RPH223" s="1"/>
      <c r="RPI223" s="1"/>
      <c r="RPJ223" s="1"/>
      <c r="RPK223" s="1"/>
      <c r="RPL223" s="1"/>
      <c r="RPM223" s="1"/>
      <c r="RPN223" s="1"/>
      <c r="RPO223" s="1"/>
      <c r="RPP223" s="1"/>
      <c r="RPQ223" s="1"/>
      <c r="RPR223" s="1"/>
      <c r="RPS223" s="1"/>
      <c r="RPT223" s="1"/>
      <c r="RPU223" s="1"/>
      <c r="RPV223" s="1"/>
      <c r="RPW223" s="1"/>
      <c r="RPX223" s="1"/>
      <c r="RPY223" s="1"/>
      <c r="RPZ223" s="1"/>
      <c r="RQA223" s="1"/>
      <c r="RQB223" s="1"/>
      <c r="RQC223" s="1"/>
      <c r="RQD223" s="1"/>
      <c r="RQE223" s="1"/>
      <c r="RQF223" s="1"/>
      <c r="RQG223" s="1"/>
      <c r="RQH223" s="1"/>
      <c r="RQI223" s="1"/>
      <c r="RQJ223" s="1"/>
      <c r="RQK223" s="1"/>
      <c r="RQL223" s="1"/>
      <c r="RQM223" s="1"/>
      <c r="RQN223" s="1"/>
      <c r="RQO223" s="1"/>
      <c r="RQP223" s="1"/>
      <c r="RQQ223" s="1"/>
      <c r="RQR223" s="1"/>
      <c r="RQS223" s="1"/>
      <c r="RQT223" s="1"/>
      <c r="RQU223" s="1"/>
      <c r="RQV223" s="1"/>
      <c r="RQW223" s="1"/>
      <c r="RQX223" s="1"/>
      <c r="RQY223" s="1"/>
      <c r="RQZ223" s="1"/>
      <c r="RRA223" s="1"/>
      <c r="RRB223" s="1"/>
      <c r="RRC223" s="1"/>
      <c r="RRD223" s="1"/>
      <c r="RRE223" s="1"/>
      <c r="RRF223" s="1"/>
      <c r="RRG223" s="1"/>
      <c r="RRH223" s="1"/>
      <c r="RRI223" s="1"/>
      <c r="RRJ223" s="1"/>
      <c r="RRK223" s="1"/>
      <c r="RRL223" s="1"/>
      <c r="RRM223" s="1"/>
      <c r="RRN223" s="1"/>
      <c r="RRO223" s="1"/>
      <c r="RRP223" s="1"/>
      <c r="RRQ223" s="1"/>
      <c r="RRR223" s="1"/>
      <c r="RRS223" s="1"/>
      <c r="RRT223" s="1"/>
      <c r="RRU223" s="1"/>
      <c r="RRV223" s="1"/>
      <c r="RRW223" s="1"/>
      <c r="RRX223" s="1"/>
      <c r="RRY223" s="1"/>
      <c r="RRZ223" s="1"/>
      <c r="RSA223" s="1"/>
      <c r="RSB223" s="1"/>
      <c r="RSC223" s="1"/>
      <c r="RSD223" s="1"/>
      <c r="RSE223" s="1"/>
      <c r="RSF223" s="1"/>
      <c r="RSG223" s="1"/>
      <c r="RSH223" s="1"/>
      <c r="RSI223" s="1"/>
      <c r="RSJ223" s="1"/>
      <c r="RSK223" s="1"/>
      <c r="RSL223" s="1"/>
      <c r="RSM223" s="1"/>
      <c r="RSN223" s="1"/>
      <c r="RSO223" s="1"/>
      <c r="RSP223" s="1"/>
      <c r="RSQ223" s="1"/>
      <c r="RSR223" s="1"/>
      <c r="RSS223" s="1"/>
      <c r="RST223" s="1"/>
      <c r="RSU223" s="1"/>
      <c r="RSV223" s="1"/>
      <c r="RSW223" s="1"/>
      <c r="RSX223" s="1"/>
      <c r="RSY223" s="1"/>
      <c r="RSZ223" s="1"/>
      <c r="RTA223" s="1"/>
      <c r="RTB223" s="1"/>
      <c r="RTC223" s="1"/>
      <c r="RTD223" s="1"/>
      <c r="RTE223" s="1"/>
      <c r="RTF223" s="1"/>
      <c r="RTG223" s="1"/>
      <c r="RTH223" s="1"/>
      <c r="RTI223" s="1"/>
      <c r="RTJ223" s="1"/>
      <c r="RTK223" s="1"/>
      <c r="RTL223" s="1"/>
      <c r="RTM223" s="1"/>
      <c r="RTN223" s="1"/>
      <c r="RTO223" s="1"/>
      <c r="RTP223" s="1"/>
      <c r="RTQ223" s="1"/>
      <c r="RTR223" s="1"/>
      <c r="RTS223" s="1"/>
      <c r="RTT223" s="1"/>
      <c r="RTU223" s="1"/>
      <c r="RTV223" s="1"/>
      <c r="RTW223" s="1"/>
      <c r="RTX223" s="1"/>
      <c r="RTY223" s="1"/>
      <c r="RTZ223" s="1"/>
      <c r="RUA223" s="1"/>
      <c r="RUB223" s="1"/>
      <c r="RUC223" s="1"/>
      <c r="RUD223" s="1"/>
      <c r="RUE223" s="1"/>
      <c r="RUF223" s="1"/>
      <c r="RUG223" s="1"/>
      <c r="RUH223" s="1"/>
      <c r="RUI223" s="1"/>
      <c r="RUJ223" s="1"/>
      <c r="RUK223" s="1"/>
      <c r="RUL223" s="1"/>
      <c r="RUM223" s="1"/>
      <c r="RUN223" s="1"/>
      <c r="RUO223" s="1"/>
      <c r="RUP223" s="1"/>
      <c r="RUQ223" s="1"/>
      <c r="RUR223" s="1"/>
      <c r="RUS223" s="1"/>
      <c r="RUT223" s="1"/>
      <c r="RUU223" s="1"/>
      <c r="RUV223" s="1"/>
      <c r="RUW223" s="1"/>
      <c r="RUX223" s="1"/>
      <c r="RUY223" s="1"/>
      <c r="RUZ223" s="1"/>
      <c r="RVA223" s="1"/>
      <c r="RVB223" s="1"/>
      <c r="RVC223" s="1"/>
      <c r="RVD223" s="1"/>
      <c r="RVE223" s="1"/>
      <c r="RVF223" s="1"/>
      <c r="RVG223" s="1"/>
      <c r="RVH223" s="1"/>
      <c r="RVI223" s="1"/>
      <c r="RVJ223" s="1"/>
      <c r="RVK223" s="1"/>
      <c r="RVL223" s="1"/>
      <c r="RVM223" s="1"/>
      <c r="RVN223" s="1"/>
      <c r="RVO223" s="1"/>
      <c r="RVP223" s="1"/>
      <c r="RVQ223" s="1"/>
      <c r="RVR223" s="1"/>
      <c r="RVS223" s="1"/>
      <c r="RVT223" s="1"/>
      <c r="RVU223" s="1"/>
      <c r="RVV223" s="1"/>
      <c r="RVW223" s="1"/>
      <c r="RVX223" s="1"/>
      <c r="RVY223" s="1"/>
      <c r="RVZ223" s="1"/>
      <c r="RWA223" s="1"/>
      <c r="RWB223" s="1"/>
      <c r="RWC223" s="1"/>
      <c r="RWD223" s="1"/>
      <c r="RWE223" s="1"/>
      <c r="RWF223" s="1"/>
      <c r="RWG223" s="1"/>
      <c r="RWH223" s="1"/>
      <c r="RWI223" s="1"/>
      <c r="RWJ223" s="1"/>
      <c r="RWK223" s="1"/>
      <c r="RWL223" s="1"/>
      <c r="RWM223" s="1"/>
      <c r="RWN223" s="1"/>
      <c r="RWO223" s="1"/>
      <c r="RWP223" s="1"/>
      <c r="RWQ223" s="1"/>
      <c r="RWR223" s="1"/>
      <c r="RWS223" s="1"/>
      <c r="RWT223" s="1"/>
      <c r="RWU223" s="1"/>
      <c r="RWV223" s="1"/>
      <c r="RWW223" s="1"/>
      <c r="RWX223" s="1"/>
      <c r="RWY223" s="1"/>
      <c r="RWZ223" s="1"/>
      <c r="RXA223" s="1"/>
      <c r="RXB223" s="1"/>
      <c r="RXC223" s="1"/>
      <c r="RXD223" s="1"/>
      <c r="RXE223" s="1"/>
      <c r="RXF223" s="1"/>
      <c r="RXG223" s="1"/>
      <c r="RXH223" s="1"/>
      <c r="RXI223" s="1"/>
      <c r="RXJ223" s="1"/>
      <c r="RXK223" s="1"/>
      <c r="RXL223" s="1"/>
      <c r="RXM223" s="1"/>
      <c r="RXN223" s="1"/>
      <c r="RXO223" s="1"/>
      <c r="RXP223" s="1"/>
      <c r="RXQ223" s="1"/>
      <c r="RXR223" s="1"/>
      <c r="RXS223" s="1"/>
      <c r="RXT223" s="1"/>
      <c r="RXU223" s="1"/>
      <c r="RXV223" s="1"/>
      <c r="RXW223" s="1"/>
      <c r="RXX223" s="1"/>
      <c r="RXY223" s="1"/>
      <c r="RXZ223" s="1"/>
      <c r="RYA223" s="1"/>
      <c r="RYB223" s="1"/>
      <c r="RYC223" s="1"/>
      <c r="RYD223" s="1"/>
      <c r="RYE223" s="1"/>
      <c r="RYF223" s="1"/>
      <c r="RYG223" s="1"/>
      <c r="RYH223" s="1"/>
      <c r="RYI223" s="1"/>
      <c r="RYJ223" s="1"/>
      <c r="RYK223" s="1"/>
      <c r="RYL223" s="1"/>
      <c r="RYM223" s="1"/>
      <c r="RYN223" s="1"/>
      <c r="RYO223" s="1"/>
      <c r="RYP223" s="1"/>
      <c r="RYQ223" s="1"/>
      <c r="RYR223" s="1"/>
      <c r="RYS223" s="1"/>
      <c r="RYT223" s="1"/>
      <c r="RYU223" s="1"/>
      <c r="RYV223" s="1"/>
      <c r="RYW223" s="1"/>
      <c r="RYX223" s="1"/>
      <c r="RYY223" s="1"/>
      <c r="RYZ223" s="1"/>
      <c r="RZA223" s="1"/>
      <c r="RZB223" s="1"/>
      <c r="RZC223" s="1"/>
      <c r="RZD223" s="1"/>
      <c r="RZE223" s="1"/>
      <c r="RZF223" s="1"/>
      <c r="RZG223" s="1"/>
      <c r="RZH223" s="1"/>
      <c r="RZI223" s="1"/>
      <c r="RZJ223" s="1"/>
      <c r="RZK223" s="1"/>
      <c r="RZL223" s="1"/>
      <c r="RZM223" s="1"/>
      <c r="RZN223" s="1"/>
      <c r="RZO223" s="1"/>
      <c r="RZP223" s="1"/>
      <c r="RZQ223" s="1"/>
      <c r="RZR223" s="1"/>
      <c r="RZS223" s="1"/>
      <c r="RZT223" s="1"/>
      <c r="RZU223" s="1"/>
      <c r="RZV223" s="1"/>
      <c r="RZW223" s="1"/>
      <c r="RZX223" s="1"/>
      <c r="RZY223" s="1"/>
      <c r="RZZ223" s="1"/>
      <c r="SAA223" s="1"/>
      <c r="SAB223" s="1"/>
      <c r="SAC223" s="1"/>
      <c r="SAD223" s="1"/>
      <c r="SAE223" s="1"/>
      <c r="SAF223" s="1"/>
      <c r="SAG223" s="1"/>
      <c r="SAH223" s="1"/>
      <c r="SAI223" s="1"/>
      <c r="SAJ223" s="1"/>
      <c r="SAK223" s="1"/>
      <c r="SAL223" s="1"/>
      <c r="SAM223" s="1"/>
      <c r="SAN223" s="1"/>
      <c r="SAO223" s="1"/>
      <c r="SAP223" s="1"/>
      <c r="SAQ223" s="1"/>
      <c r="SAR223" s="1"/>
      <c r="SAS223" s="1"/>
      <c r="SAT223" s="1"/>
      <c r="SAU223" s="1"/>
      <c r="SAV223" s="1"/>
      <c r="SAW223" s="1"/>
      <c r="SAX223" s="1"/>
      <c r="SAY223" s="1"/>
      <c r="SAZ223" s="1"/>
      <c r="SBA223" s="1"/>
      <c r="SBB223" s="1"/>
      <c r="SBC223" s="1"/>
      <c r="SBD223" s="1"/>
      <c r="SBE223" s="1"/>
      <c r="SBF223" s="1"/>
      <c r="SBG223" s="1"/>
      <c r="SBH223" s="1"/>
      <c r="SBI223" s="1"/>
      <c r="SBJ223" s="1"/>
      <c r="SBK223" s="1"/>
      <c r="SBL223" s="1"/>
      <c r="SBM223" s="1"/>
      <c r="SBN223" s="1"/>
      <c r="SBO223" s="1"/>
      <c r="SBP223" s="1"/>
      <c r="SBQ223" s="1"/>
      <c r="SBR223" s="1"/>
      <c r="SBS223" s="1"/>
      <c r="SBT223" s="1"/>
      <c r="SBU223" s="1"/>
      <c r="SBV223" s="1"/>
      <c r="SBW223" s="1"/>
      <c r="SBX223" s="1"/>
      <c r="SBY223" s="1"/>
      <c r="SBZ223" s="1"/>
      <c r="SCA223" s="1"/>
      <c r="SCB223" s="1"/>
      <c r="SCC223" s="1"/>
      <c r="SCD223" s="1"/>
      <c r="SCE223" s="1"/>
      <c r="SCF223" s="1"/>
      <c r="SCG223" s="1"/>
      <c r="SCH223" s="1"/>
      <c r="SCI223" s="1"/>
      <c r="SCJ223" s="1"/>
      <c r="SCK223" s="1"/>
      <c r="SCL223" s="1"/>
      <c r="SCM223" s="1"/>
      <c r="SCN223" s="1"/>
      <c r="SCO223" s="1"/>
      <c r="SCP223" s="1"/>
      <c r="SCQ223" s="1"/>
      <c r="SCR223" s="1"/>
      <c r="SCS223" s="1"/>
      <c r="SCT223" s="1"/>
      <c r="SCU223" s="1"/>
      <c r="SCV223" s="1"/>
      <c r="SCW223" s="1"/>
      <c r="SCX223" s="1"/>
      <c r="SCY223" s="1"/>
      <c r="SCZ223" s="1"/>
      <c r="SDA223" s="1"/>
      <c r="SDB223" s="1"/>
      <c r="SDC223" s="1"/>
      <c r="SDD223" s="1"/>
      <c r="SDE223" s="1"/>
      <c r="SDF223" s="1"/>
      <c r="SDG223" s="1"/>
      <c r="SDH223" s="1"/>
      <c r="SDI223" s="1"/>
      <c r="SDJ223" s="1"/>
      <c r="SDK223" s="1"/>
      <c r="SDL223" s="1"/>
      <c r="SDM223" s="1"/>
      <c r="SDN223" s="1"/>
      <c r="SDO223" s="1"/>
      <c r="SDP223" s="1"/>
      <c r="SDQ223" s="1"/>
      <c r="SDR223" s="1"/>
      <c r="SDS223" s="1"/>
      <c r="SDT223" s="1"/>
      <c r="SDU223" s="1"/>
      <c r="SDV223" s="1"/>
      <c r="SDW223" s="1"/>
      <c r="SDX223" s="1"/>
      <c r="SDY223" s="1"/>
      <c r="SDZ223" s="1"/>
      <c r="SEA223" s="1"/>
      <c r="SEB223" s="1"/>
      <c r="SEC223" s="1"/>
      <c r="SED223" s="1"/>
      <c r="SEE223" s="1"/>
      <c r="SEF223" s="1"/>
      <c r="SEG223" s="1"/>
      <c r="SEH223" s="1"/>
      <c r="SEI223" s="1"/>
      <c r="SEJ223" s="1"/>
      <c r="SEK223" s="1"/>
      <c r="SEL223" s="1"/>
      <c r="SEM223" s="1"/>
      <c r="SEN223" s="1"/>
      <c r="SEO223" s="1"/>
      <c r="SEP223" s="1"/>
      <c r="SEQ223" s="1"/>
      <c r="SER223" s="1"/>
      <c r="SES223" s="1"/>
      <c r="SET223" s="1"/>
      <c r="SEU223" s="1"/>
      <c r="SEV223" s="1"/>
      <c r="SEW223" s="1"/>
      <c r="SEX223" s="1"/>
      <c r="SEY223" s="1"/>
      <c r="SEZ223" s="1"/>
      <c r="SFA223" s="1"/>
      <c r="SFB223" s="1"/>
      <c r="SFC223" s="1"/>
      <c r="SFD223" s="1"/>
      <c r="SFE223" s="1"/>
      <c r="SFF223" s="1"/>
      <c r="SFG223" s="1"/>
      <c r="SFH223" s="1"/>
      <c r="SFI223" s="1"/>
      <c r="SFJ223" s="1"/>
      <c r="SFK223" s="1"/>
      <c r="SFL223" s="1"/>
      <c r="SFM223" s="1"/>
      <c r="SFN223" s="1"/>
      <c r="SFO223" s="1"/>
      <c r="SFP223" s="1"/>
      <c r="SFQ223" s="1"/>
      <c r="SFR223" s="1"/>
      <c r="SFS223" s="1"/>
      <c r="SFT223" s="1"/>
      <c r="SFU223" s="1"/>
      <c r="SFV223" s="1"/>
      <c r="SFW223" s="1"/>
      <c r="SFX223" s="1"/>
      <c r="SFY223" s="1"/>
      <c r="SFZ223" s="1"/>
      <c r="SGA223" s="1"/>
      <c r="SGB223" s="1"/>
      <c r="SGC223" s="1"/>
      <c r="SGD223" s="1"/>
      <c r="SGE223" s="1"/>
      <c r="SGF223" s="1"/>
      <c r="SGG223" s="1"/>
      <c r="SGH223" s="1"/>
      <c r="SGI223" s="1"/>
      <c r="SGJ223" s="1"/>
      <c r="SGK223" s="1"/>
      <c r="SGL223" s="1"/>
      <c r="SGM223" s="1"/>
      <c r="SGN223" s="1"/>
      <c r="SGO223" s="1"/>
      <c r="SGP223" s="1"/>
      <c r="SGQ223" s="1"/>
      <c r="SGR223" s="1"/>
      <c r="SGS223" s="1"/>
      <c r="SGT223" s="1"/>
      <c r="SGU223" s="1"/>
      <c r="SGV223" s="1"/>
      <c r="SGW223" s="1"/>
      <c r="SGX223" s="1"/>
      <c r="SGY223" s="1"/>
      <c r="SGZ223" s="1"/>
      <c r="SHA223" s="1"/>
      <c r="SHB223" s="1"/>
      <c r="SHC223" s="1"/>
      <c r="SHD223" s="1"/>
      <c r="SHE223" s="1"/>
      <c r="SHF223" s="1"/>
      <c r="SHG223" s="1"/>
      <c r="SHH223" s="1"/>
      <c r="SHI223" s="1"/>
      <c r="SHJ223" s="1"/>
      <c r="SHK223" s="1"/>
      <c r="SHL223" s="1"/>
      <c r="SHM223" s="1"/>
      <c r="SHN223" s="1"/>
      <c r="SHO223" s="1"/>
      <c r="SHP223" s="1"/>
      <c r="SHQ223" s="1"/>
      <c r="SHR223" s="1"/>
      <c r="SHS223" s="1"/>
      <c r="SHT223" s="1"/>
      <c r="SHU223" s="1"/>
      <c r="SHV223" s="1"/>
      <c r="SHW223" s="1"/>
      <c r="SHX223" s="1"/>
      <c r="SHY223" s="1"/>
      <c r="SHZ223" s="1"/>
      <c r="SIA223" s="1"/>
      <c r="SIB223" s="1"/>
      <c r="SIC223" s="1"/>
      <c r="SID223" s="1"/>
      <c r="SIE223" s="1"/>
      <c r="SIF223" s="1"/>
      <c r="SIG223" s="1"/>
      <c r="SIH223" s="1"/>
      <c r="SII223" s="1"/>
      <c r="SIJ223" s="1"/>
      <c r="SIK223" s="1"/>
      <c r="SIL223" s="1"/>
      <c r="SIM223" s="1"/>
      <c r="SIN223" s="1"/>
      <c r="SIO223" s="1"/>
      <c r="SIP223" s="1"/>
      <c r="SIQ223" s="1"/>
      <c r="SIR223" s="1"/>
      <c r="SIS223" s="1"/>
      <c r="SIT223" s="1"/>
      <c r="SIU223" s="1"/>
      <c r="SIV223" s="1"/>
      <c r="SIW223" s="1"/>
      <c r="SIX223" s="1"/>
      <c r="SIY223" s="1"/>
      <c r="SIZ223" s="1"/>
      <c r="SJA223" s="1"/>
      <c r="SJB223" s="1"/>
      <c r="SJC223" s="1"/>
      <c r="SJD223" s="1"/>
      <c r="SJE223" s="1"/>
      <c r="SJF223" s="1"/>
      <c r="SJG223" s="1"/>
      <c r="SJH223" s="1"/>
      <c r="SJI223" s="1"/>
      <c r="SJJ223" s="1"/>
      <c r="SJK223" s="1"/>
      <c r="SJL223" s="1"/>
      <c r="SJM223" s="1"/>
      <c r="SJN223" s="1"/>
      <c r="SJO223" s="1"/>
      <c r="SJP223" s="1"/>
      <c r="SJQ223" s="1"/>
      <c r="SJR223" s="1"/>
      <c r="SJS223" s="1"/>
      <c r="SJT223" s="1"/>
      <c r="SJU223" s="1"/>
      <c r="SJV223" s="1"/>
      <c r="SJW223" s="1"/>
      <c r="SJX223" s="1"/>
      <c r="SJY223" s="1"/>
      <c r="SJZ223" s="1"/>
      <c r="SKA223" s="1"/>
      <c r="SKB223" s="1"/>
      <c r="SKC223" s="1"/>
      <c r="SKD223" s="1"/>
      <c r="SKE223" s="1"/>
      <c r="SKF223" s="1"/>
      <c r="SKG223" s="1"/>
      <c r="SKH223" s="1"/>
      <c r="SKI223" s="1"/>
      <c r="SKJ223" s="1"/>
      <c r="SKK223" s="1"/>
      <c r="SKL223" s="1"/>
      <c r="SKM223" s="1"/>
      <c r="SKN223" s="1"/>
      <c r="SKO223" s="1"/>
      <c r="SKP223" s="1"/>
      <c r="SKQ223" s="1"/>
      <c r="SKR223" s="1"/>
      <c r="SKS223" s="1"/>
      <c r="SKT223" s="1"/>
      <c r="SKU223" s="1"/>
      <c r="SKV223" s="1"/>
      <c r="SKW223" s="1"/>
      <c r="SKX223" s="1"/>
      <c r="SKY223" s="1"/>
      <c r="SKZ223" s="1"/>
      <c r="SLA223" s="1"/>
      <c r="SLB223" s="1"/>
      <c r="SLC223" s="1"/>
      <c r="SLD223" s="1"/>
      <c r="SLE223" s="1"/>
      <c r="SLF223" s="1"/>
      <c r="SLG223" s="1"/>
      <c r="SLH223" s="1"/>
      <c r="SLI223" s="1"/>
      <c r="SLJ223" s="1"/>
      <c r="SLK223" s="1"/>
      <c r="SLL223" s="1"/>
      <c r="SLM223" s="1"/>
      <c r="SLN223" s="1"/>
      <c r="SLO223" s="1"/>
      <c r="SLP223" s="1"/>
      <c r="SLQ223" s="1"/>
      <c r="SLR223" s="1"/>
      <c r="SLS223" s="1"/>
      <c r="SLT223" s="1"/>
      <c r="SLU223" s="1"/>
      <c r="SLV223" s="1"/>
      <c r="SLW223" s="1"/>
      <c r="SLX223" s="1"/>
      <c r="SLY223" s="1"/>
      <c r="SLZ223" s="1"/>
      <c r="SMA223" s="1"/>
      <c r="SMB223" s="1"/>
      <c r="SMC223" s="1"/>
      <c r="SMD223" s="1"/>
      <c r="SME223" s="1"/>
      <c r="SMF223" s="1"/>
      <c r="SMG223" s="1"/>
      <c r="SMH223" s="1"/>
      <c r="SMI223" s="1"/>
      <c r="SMJ223" s="1"/>
      <c r="SMK223" s="1"/>
      <c r="SML223" s="1"/>
      <c r="SMM223" s="1"/>
      <c r="SMN223" s="1"/>
      <c r="SMO223" s="1"/>
      <c r="SMP223" s="1"/>
      <c r="SMQ223" s="1"/>
      <c r="SMR223" s="1"/>
      <c r="SMS223" s="1"/>
      <c r="SMT223" s="1"/>
      <c r="SMU223" s="1"/>
      <c r="SMV223" s="1"/>
      <c r="SMW223" s="1"/>
      <c r="SMX223" s="1"/>
      <c r="SMY223" s="1"/>
      <c r="SMZ223" s="1"/>
      <c r="SNA223" s="1"/>
      <c r="SNB223" s="1"/>
      <c r="SNC223" s="1"/>
      <c r="SND223" s="1"/>
      <c r="SNE223" s="1"/>
      <c r="SNF223" s="1"/>
      <c r="SNG223" s="1"/>
      <c r="SNH223" s="1"/>
      <c r="SNI223" s="1"/>
      <c r="SNJ223" s="1"/>
      <c r="SNK223" s="1"/>
      <c r="SNL223" s="1"/>
      <c r="SNM223" s="1"/>
      <c r="SNN223" s="1"/>
      <c r="SNO223" s="1"/>
      <c r="SNP223" s="1"/>
      <c r="SNQ223" s="1"/>
      <c r="SNR223" s="1"/>
      <c r="SNS223" s="1"/>
      <c r="SNT223" s="1"/>
      <c r="SNU223" s="1"/>
      <c r="SNV223" s="1"/>
      <c r="SNW223" s="1"/>
      <c r="SNX223" s="1"/>
      <c r="SNY223" s="1"/>
      <c r="SNZ223" s="1"/>
      <c r="SOA223" s="1"/>
      <c r="SOB223" s="1"/>
      <c r="SOC223" s="1"/>
      <c r="SOD223" s="1"/>
      <c r="SOE223" s="1"/>
      <c r="SOF223" s="1"/>
      <c r="SOG223" s="1"/>
      <c r="SOH223" s="1"/>
      <c r="SOI223" s="1"/>
      <c r="SOJ223" s="1"/>
      <c r="SOK223" s="1"/>
      <c r="SOL223" s="1"/>
      <c r="SOM223" s="1"/>
      <c r="SON223" s="1"/>
      <c r="SOO223" s="1"/>
      <c r="SOP223" s="1"/>
      <c r="SOQ223" s="1"/>
      <c r="SOR223" s="1"/>
      <c r="SOS223" s="1"/>
      <c r="SOT223" s="1"/>
      <c r="SOU223" s="1"/>
      <c r="SOV223" s="1"/>
      <c r="SOW223" s="1"/>
      <c r="SOX223" s="1"/>
      <c r="SOY223" s="1"/>
      <c r="SOZ223" s="1"/>
      <c r="SPA223" s="1"/>
      <c r="SPB223" s="1"/>
      <c r="SPC223" s="1"/>
      <c r="SPD223" s="1"/>
      <c r="SPE223" s="1"/>
      <c r="SPF223" s="1"/>
      <c r="SPG223" s="1"/>
      <c r="SPH223" s="1"/>
      <c r="SPI223" s="1"/>
      <c r="SPJ223" s="1"/>
      <c r="SPK223" s="1"/>
      <c r="SPL223" s="1"/>
      <c r="SPM223" s="1"/>
      <c r="SPN223" s="1"/>
      <c r="SPO223" s="1"/>
      <c r="SPP223" s="1"/>
      <c r="SPQ223" s="1"/>
      <c r="SPR223" s="1"/>
      <c r="SPS223" s="1"/>
      <c r="SPT223" s="1"/>
      <c r="SPU223" s="1"/>
      <c r="SPV223" s="1"/>
      <c r="SPW223" s="1"/>
      <c r="SPX223" s="1"/>
      <c r="SPY223" s="1"/>
      <c r="SPZ223" s="1"/>
      <c r="SQA223" s="1"/>
      <c r="SQB223" s="1"/>
      <c r="SQC223" s="1"/>
      <c r="SQD223" s="1"/>
      <c r="SQE223" s="1"/>
      <c r="SQF223" s="1"/>
      <c r="SQG223" s="1"/>
      <c r="SQH223" s="1"/>
      <c r="SQI223" s="1"/>
      <c r="SQJ223" s="1"/>
      <c r="SQK223" s="1"/>
      <c r="SQL223" s="1"/>
      <c r="SQM223" s="1"/>
      <c r="SQN223" s="1"/>
      <c r="SQO223" s="1"/>
      <c r="SQP223" s="1"/>
      <c r="SQQ223" s="1"/>
      <c r="SQR223" s="1"/>
      <c r="SQS223" s="1"/>
      <c r="SQT223" s="1"/>
      <c r="SQU223" s="1"/>
      <c r="SQV223" s="1"/>
      <c r="SQW223" s="1"/>
      <c r="SQX223" s="1"/>
      <c r="SQY223" s="1"/>
      <c r="SQZ223" s="1"/>
      <c r="SRA223" s="1"/>
      <c r="SRB223" s="1"/>
      <c r="SRC223" s="1"/>
      <c r="SRD223" s="1"/>
      <c r="SRE223" s="1"/>
      <c r="SRF223" s="1"/>
      <c r="SRG223" s="1"/>
      <c r="SRH223" s="1"/>
      <c r="SRI223" s="1"/>
      <c r="SRJ223" s="1"/>
      <c r="SRK223" s="1"/>
      <c r="SRL223" s="1"/>
      <c r="SRM223" s="1"/>
      <c r="SRN223" s="1"/>
      <c r="SRO223" s="1"/>
      <c r="SRP223" s="1"/>
      <c r="SRQ223" s="1"/>
      <c r="SRR223" s="1"/>
      <c r="SRS223" s="1"/>
      <c r="SRT223" s="1"/>
      <c r="SRU223" s="1"/>
      <c r="SRV223" s="1"/>
      <c r="SRW223" s="1"/>
      <c r="SRX223" s="1"/>
      <c r="SRY223" s="1"/>
      <c r="SRZ223" s="1"/>
      <c r="SSA223" s="1"/>
      <c r="SSB223" s="1"/>
      <c r="SSC223" s="1"/>
      <c r="SSD223" s="1"/>
      <c r="SSE223" s="1"/>
      <c r="SSF223" s="1"/>
      <c r="SSG223" s="1"/>
      <c r="SSH223" s="1"/>
      <c r="SSI223" s="1"/>
      <c r="SSJ223" s="1"/>
      <c r="SSK223" s="1"/>
      <c r="SSL223" s="1"/>
      <c r="SSM223" s="1"/>
      <c r="SSN223" s="1"/>
      <c r="SSO223" s="1"/>
      <c r="SSP223" s="1"/>
      <c r="SSQ223" s="1"/>
      <c r="SSR223" s="1"/>
      <c r="SSS223" s="1"/>
      <c r="SST223" s="1"/>
      <c r="SSU223" s="1"/>
      <c r="SSV223" s="1"/>
      <c r="SSW223" s="1"/>
      <c r="SSX223" s="1"/>
      <c r="SSY223" s="1"/>
      <c r="SSZ223" s="1"/>
      <c r="STA223" s="1"/>
      <c r="STB223" s="1"/>
      <c r="STC223" s="1"/>
      <c r="STD223" s="1"/>
      <c r="STE223" s="1"/>
      <c r="STF223" s="1"/>
      <c r="STG223" s="1"/>
      <c r="STH223" s="1"/>
      <c r="STI223" s="1"/>
      <c r="STJ223" s="1"/>
      <c r="STK223" s="1"/>
      <c r="STL223" s="1"/>
      <c r="STM223" s="1"/>
      <c r="STN223" s="1"/>
      <c r="STO223" s="1"/>
      <c r="STP223" s="1"/>
      <c r="STQ223" s="1"/>
      <c r="STR223" s="1"/>
      <c r="STS223" s="1"/>
      <c r="STT223" s="1"/>
      <c r="STU223" s="1"/>
      <c r="STV223" s="1"/>
      <c r="STW223" s="1"/>
      <c r="STX223" s="1"/>
      <c r="STY223" s="1"/>
      <c r="STZ223" s="1"/>
      <c r="SUA223" s="1"/>
      <c r="SUB223" s="1"/>
      <c r="SUC223" s="1"/>
      <c r="SUD223" s="1"/>
      <c r="SUE223" s="1"/>
      <c r="SUF223" s="1"/>
      <c r="SUG223" s="1"/>
      <c r="SUH223" s="1"/>
      <c r="SUI223" s="1"/>
      <c r="SUJ223" s="1"/>
      <c r="SUK223" s="1"/>
      <c r="SUL223" s="1"/>
      <c r="SUM223" s="1"/>
      <c r="SUN223" s="1"/>
      <c r="SUO223" s="1"/>
      <c r="SUP223" s="1"/>
      <c r="SUQ223" s="1"/>
      <c r="SUR223" s="1"/>
      <c r="SUS223" s="1"/>
      <c r="SUT223" s="1"/>
      <c r="SUU223" s="1"/>
      <c r="SUV223" s="1"/>
      <c r="SUW223" s="1"/>
      <c r="SUX223" s="1"/>
      <c r="SUY223" s="1"/>
      <c r="SUZ223" s="1"/>
      <c r="SVA223" s="1"/>
      <c r="SVB223" s="1"/>
      <c r="SVC223" s="1"/>
      <c r="SVD223" s="1"/>
      <c r="SVE223" s="1"/>
      <c r="SVF223" s="1"/>
      <c r="SVG223" s="1"/>
      <c r="SVH223" s="1"/>
      <c r="SVI223" s="1"/>
      <c r="SVJ223" s="1"/>
      <c r="SVK223" s="1"/>
      <c r="SVL223" s="1"/>
      <c r="SVM223" s="1"/>
      <c r="SVN223" s="1"/>
      <c r="SVO223" s="1"/>
      <c r="SVP223" s="1"/>
      <c r="SVQ223" s="1"/>
      <c r="SVR223" s="1"/>
      <c r="SVS223" s="1"/>
      <c r="SVT223" s="1"/>
      <c r="SVU223" s="1"/>
      <c r="SVV223" s="1"/>
      <c r="SVW223" s="1"/>
      <c r="SVX223" s="1"/>
      <c r="SVY223" s="1"/>
      <c r="SVZ223" s="1"/>
      <c r="SWA223" s="1"/>
      <c r="SWB223" s="1"/>
      <c r="SWC223" s="1"/>
      <c r="SWD223" s="1"/>
      <c r="SWE223" s="1"/>
      <c r="SWF223" s="1"/>
      <c r="SWG223" s="1"/>
      <c r="SWH223" s="1"/>
      <c r="SWI223" s="1"/>
      <c r="SWJ223" s="1"/>
      <c r="SWK223" s="1"/>
      <c r="SWL223" s="1"/>
      <c r="SWM223" s="1"/>
      <c r="SWN223" s="1"/>
      <c r="SWO223" s="1"/>
      <c r="SWP223" s="1"/>
      <c r="SWQ223" s="1"/>
      <c r="SWR223" s="1"/>
      <c r="SWS223" s="1"/>
      <c r="SWT223" s="1"/>
      <c r="SWU223" s="1"/>
      <c r="SWV223" s="1"/>
      <c r="SWW223" s="1"/>
      <c r="SWX223" s="1"/>
      <c r="SWY223" s="1"/>
      <c r="SWZ223" s="1"/>
      <c r="SXA223" s="1"/>
      <c r="SXB223" s="1"/>
      <c r="SXC223" s="1"/>
      <c r="SXD223" s="1"/>
      <c r="SXE223" s="1"/>
      <c r="SXF223" s="1"/>
      <c r="SXG223" s="1"/>
      <c r="SXH223" s="1"/>
      <c r="SXI223" s="1"/>
      <c r="SXJ223" s="1"/>
      <c r="SXK223" s="1"/>
      <c r="SXL223" s="1"/>
      <c r="SXM223" s="1"/>
      <c r="SXN223" s="1"/>
      <c r="SXO223" s="1"/>
      <c r="SXP223" s="1"/>
      <c r="SXQ223" s="1"/>
      <c r="SXR223" s="1"/>
      <c r="SXS223" s="1"/>
      <c r="SXT223" s="1"/>
      <c r="SXU223" s="1"/>
      <c r="SXV223" s="1"/>
      <c r="SXW223" s="1"/>
      <c r="SXX223" s="1"/>
      <c r="SXY223" s="1"/>
      <c r="SXZ223" s="1"/>
      <c r="SYA223" s="1"/>
      <c r="SYB223" s="1"/>
      <c r="SYC223" s="1"/>
      <c r="SYD223" s="1"/>
      <c r="SYE223" s="1"/>
      <c r="SYF223" s="1"/>
      <c r="SYG223" s="1"/>
      <c r="SYH223" s="1"/>
      <c r="SYI223" s="1"/>
      <c r="SYJ223" s="1"/>
      <c r="SYK223" s="1"/>
      <c r="SYL223" s="1"/>
      <c r="SYM223" s="1"/>
      <c r="SYN223" s="1"/>
      <c r="SYO223" s="1"/>
      <c r="SYP223" s="1"/>
      <c r="SYQ223" s="1"/>
      <c r="SYR223" s="1"/>
      <c r="SYS223" s="1"/>
      <c r="SYT223" s="1"/>
      <c r="SYU223" s="1"/>
      <c r="SYV223" s="1"/>
      <c r="SYW223" s="1"/>
      <c r="SYX223" s="1"/>
      <c r="SYY223" s="1"/>
      <c r="SYZ223" s="1"/>
      <c r="SZA223" s="1"/>
      <c r="SZB223" s="1"/>
      <c r="SZC223" s="1"/>
      <c r="SZD223" s="1"/>
      <c r="SZE223" s="1"/>
      <c r="SZF223" s="1"/>
      <c r="SZG223" s="1"/>
      <c r="SZH223" s="1"/>
      <c r="SZI223" s="1"/>
      <c r="SZJ223" s="1"/>
      <c r="SZK223" s="1"/>
      <c r="SZL223" s="1"/>
      <c r="SZM223" s="1"/>
      <c r="SZN223" s="1"/>
      <c r="SZO223" s="1"/>
      <c r="SZP223" s="1"/>
      <c r="SZQ223" s="1"/>
      <c r="SZR223" s="1"/>
      <c r="SZS223" s="1"/>
      <c r="SZT223" s="1"/>
      <c r="SZU223" s="1"/>
      <c r="SZV223" s="1"/>
      <c r="SZW223" s="1"/>
      <c r="SZX223" s="1"/>
      <c r="SZY223" s="1"/>
      <c r="SZZ223" s="1"/>
      <c r="TAA223" s="1"/>
      <c r="TAB223" s="1"/>
      <c r="TAC223" s="1"/>
      <c r="TAD223" s="1"/>
      <c r="TAE223" s="1"/>
      <c r="TAF223" s="1"/>
      <c r="TAG223" s="1"/>
      <c r="TAH223" s="1"/>
      <c r="TAI223" s="1"/>
      <c r="TAJ223" s="1"/>
      <c r="TAK223" s="1"/>
      <c r="TAL223" s="1"/>
      <c r="TAM223" s="1"/>
      <c r="TAN223" s="1"/>
      <c r="TAO223" s="1"/>
      <c r="TAP223" s="1"/>
      <c r="TAQ223" s="1"/>
      <c r="TAR223" s="1"/>
      <c r="TAS223" s="1"/>
      <c r="TAT223" s="1"/>
      <c r="TAU223" s="1"/>
      <c r="TAV223" s="1"/>
      <c r="TAW223" s="1"/>
      <c r="TAX223" s="1"/>
      <c r="TAY223" s="1"/>
      <c r="TAZ223" s="1"/>
      <c r="TBA223" s="1"/>
      <c r="TBB223" s="1"/>
      <c r="TBC223" s="1"/>
      <c r="TBD223" s="1"/>
      <c r="TBE223" s="1"/>
      <c r="TBF223" s="1"/>
      <c r="TBG223" s="1"/>
      <c r="TBH223" s="1"/>
      <c r="TBI223" s="1"/>
      <c r="TBJ223" s="1"/>
      <c r="TBK223" s="1"/>
      <c r="TBL223" s="1"/>
      <c r="TBM223" s="1"/>
      <c r="TBN223" s="1"/>
      <c r="TBO223" s="1"/>
      <c r="TBP223" s="1"/>
      <c r="TBQ223" s="1"/>
      <c r="TBR223" s="1"/>
      <c r="TBS223" s="1"/>
      <c r="TBT223" s="1"/>
      <c r="TBU223" s="1"/>
      <c r="TBV223" s="1"/>
      <c r="TBW223" s="1"/>
      <c r="TBX223" s="1"/>
      <c r="TBY223" s="1"/>
      <c r="TBZ223" s="1"/>
      <c r="TCA223" s="1"/>
      <c r="TCB223" s="1"/>
      <c r="TCC223" s="1"/>
      <c r="TCD223" s="1"/>
      <c r="TCE223" s="1"/>
      <c r="TCF223" s="1"/>
      <c r="TCG223" s="1"/>
      <c r="TCH223" s="1"/>
      <c r="TCI223" s="1"/>
      <c r="TCJ223" s="1"/>
      <c r="TCK223" s="1"/>
      <c r="TCL223" s="1"/>
      <c r="TCM223" s="1"/>
      <c r="TCN223" s="1"/>
      <c r="TCO223" s="1"/>
      <c r="TCP223" s="1"/>
      <c r="TCQ223" s="1"/>
      <c r="TCR223" s="1"/>
      <c r="TCS223" s="1"/>
      <c r="TCT223" s="1"/>
      <c r="TCU223" s="1"/>
      <c r="TCV223" s="1"/>
      <c r="TCW223" s="1"/>
      <c r="TCX223" s="1"/>
      <c r="TCY223" s="1"/>
      <c r="TCZ223" s="1"/>
      <c r="TDA223" s="1"/>
      <c r="TDB223" s="1"/>
      <c r="TDC223" s="1"/>
      <c r="TDD223" s="1"/>
      <c r="TDE223" s="1"/>
      <c r="TDF223" s="1"/>
      <c r="TDG223" s="1"/>
      <c r="TDH223" s="1"/>
      <c r="TDI223" s="1"/>
      <c r="TDJ223" s="1"/>
      <c r="TDK223" s="1"/>
      <c r="TDL223" s="1"/>
      <c r="TDM223" s="1"/>
      <c r="TDN223" s="1"/>
      <c r="TDO223" s="1"/>
      <c r="TDP223" s="1"/>
      <c r="TDQ223" s="1"/>
      <c r="TDR223" s="1"/>
      <c r="TDS223" s="1"/>
      <c r="TDT223" s="1"/>
      <c r="TDU223" s="1"/>
      <c r="TDV223" s="1"/>
      <c r="TDW223" s="1"/>
      <c r="TDX223" s="1"/>
      <c r="TDY223" s="1"/>
      <c r="TDZ223" s="1"/>
      <c r="TEA223" s="1"/>
      <c r="TEB223" s="1"/>
      <c r="TEC223" s="1"/>
      <c r="TED223" s="1"/>
      <c r="TEE223" s="1"/>
      <c r="TEF223" s="1"/>
      <c r="TEG223" s="1"/>
      <c r="TEH223" s="1"/>
      <c r="TEI223" s="1"/>
      <c r="TEJ223" s="1"/>
      <c r="TEK223" s="1"/>
      <c r="TEL223" s="1"/>
      <c r="TEM223" s="1"/>
      <c r="TEN223" s="1"/>
      <c r="TEO223" s="1"/>
      <c r="TEP223" s="1"/>
      <c r="TEQ223" s="1"/>
      <c r="TER223" s="1"/>
      <c r="TES223" s="1"/>
      <c r="TET223" s="1"/>
      <c r="TEU223" s="1"/>
      <c r="TEV223" s="1"/>
      <c r="TEW223" s="1"/>
      <c r="TEX223" s="1"/>
      <c r="TEY223" s="1"/>
      <c r="TEZ223" s="1"/>
      <c r="TFA223" s="1"/>
      <c r="TFB223" s="1"/>
      <c r="TFC223" s="1"/>
      <c r="TFD223" s="1"/>
      <c r="TFE223" s="1"/>
      <c r="TFF223" s="1"/>
      <c r="TFG223" s="1"/>
      <c r="TFH223" s="1"/>
      <c r="TFI223" s="1"/>
      <c r="TFJ223" s="1"/>
      <c r="TFK223" s="1"/>
      <c r="TFL223" s="1"/>
      <c r="TFM223" s="1"/>
      <c r="TFN223" s="1"/>
      <c r="TFO223" s="1"/>
      <c r="TFP223" s="1"/>
      <c r="TFQ223" s="1"/>
      <c r="TFR223" s="1"/>
      <c r="TFS223" s="1"/>
      <c r="TFT223" s="1"/>
      <c r="TFU223" s="1"/>
      <c r="TFV223" s="1"/>
      <c r="TFW223" s="1"/>
      <c r="TFX223" s="1"/>
      <c r="TFY223" s="1"/>
      <c r="TFZ223" s="1"/>
      <c r="TGA223" s="1"/>
      <c r="TGB223" s="1"/>
      <c r="TGC223" s="1"/>
      <c r="TGD223" s="1"/>
      <c r="TGE223" s="1"/>
      <c r="TGF223" s="1"/>
      <c r="TGG223" s="1"/>
      <c r="TGH223" s="1"/>
      <c r="TGI223" s="1"/>
      <c r="TGJ223" s="1"/>
      <c r="TGK223" s="1"/>
      <c r="TGL223" s="1"/>
      <c r="TGM223" s="1"/>
      <c r="TGN223" s="1"/>
      <c r="TGO223" s="1"/>
      <c r="TGP223" s="1"/>
      <c r="TGQ223" s="1"/>
      <c r="TGR223" s="1"/>
      <c r="TGS223" s="1"/>
      <c r="TGT223" s="1"/>
      <c r="TGU223" s="1"/>
      <c r="TGV223" s="1"/>
      <c r="TGW223" s="1"/>
      <c r="TGX223" s="1"/>
      <c r="TGY223" s="1"/>
      <c r="TGZ223" s="1"/>
      <c r="THA223" s="1"/>
      <c r="THB223" s="1"/>
      <c r="THC223" s="1"/>
      <c r="THD223" s="1"/>
      <c r="THE223" s="1"/>
      <c r="THF223" s="1"/>
      <c r="THG223" s="1"/>
      <c r="THH223" s="1"/>
      <c r="THI223" s="1"/>
      <c r="THJ223" s="1"/>
      <c r="THK223" s="1"/>
      <c r="THL223" s="1"/>
      <c r="THM223" s="1"/>
      <c r="THN223" s="1"/>
      <c r="THO223" s="1"/>
      <c r="THP223" s="1"/>
      <c r="THQ223" s="1"/>
      <c r="THR223" s="1"/>
      <c r="THS223" s="1"/>
      <c r="THT223" s="1"/>
      <c r="THU223" s="1"/>
      <c r="THV223" s="1"/>
      <c r="THW223" s="1"/>
      <c r="THX223" s="1"/>
      <c r="THY223" s="1"/>
      <c r="THZ223" s="1"/>
      <c r="TIA223" s="1"/>
      <c r="TIB223" s="1"/>
      <c r="TIC223" s="1"/>
      <c r="TID223" s="1"/>
      <c r="TIE223" s="1"/>
      <c r="TIF223" s="1"/>
      <c r="TIG223" s="1"/>
      <c r="TIH223" s="1"/>
      <c r="TII223" s="1"/>
      <c r="TIJ223" s="1"/>
      <c r="TIK223" s="1"/>
      <c r="TIL223" s="1"/>
      <c r="TIM223" s="1"/>
      <c r="TIN223" s="1"/>
      <c r="TIO223" s="1"/>
      <c r="TIP223" s="1"/>
      <c r="TIQ223" s="1"/>
      <c r="TIR223" s="1"/>
      <c r="TIS223" s="1"/>
      <c r="TIT223" s="1"/>
      <c r="TIU223" s="1"/>
      <c r="TIV223" s="1"/>
      <c r="TIW223" s="1"/>
      <c r="TIX223" s="1"/>
      <c r="TIY223" s="1"/>
      <c r="TIZ223" s="1"/>
      <c r="TJA223" s="1"/>
      <c r="TJB223" s="1"/>
      <c r="TJC223" s="1"/>
      <c r="TJD223" s="1"/>
      <c r="TJE223" s="1"/>
      <c r="TJF223" s="1"/>
      <c r="TJG223" s="1"/>
      <c r="TJH223" s="1"/>
      <c r="TJI223" s="1"/>
      <c r="TJJ223" s="1"/>
      <c r="TJK223" s="1"/>
      <c r="TJL223" s="1"/>
      <c r="TJM223" s="1"/>
      <c r="TJN223" s="1"/>
      <c r="TJO223" s="1"/>
      <c r="TJP223" s="1"/>
      <c r="TJQ223" s="1"/>
      <c r="TJR223" s="1"/>
      <c r="TJS223" s="1"/>
      <c r="TJT223" s="1"/>
      <c r="TJU223" s="1"/>
      <c r="TJV223" s="1"/>
      <c r="TJW223" s="1"/>
      <c r="TJX223" s="1"/>
      <c r="TJY223" s="1"/>
      <c r="TJZ223" s="1"/>
      <c r="TKA223" s="1"/>
      <c r="TKB223" s="1"/>
      <c r="TKC223" s="1"/>
      <c r="TKD223" s="1"/>
      <c r="TKE223" s="1"/>
      <c r="TKF223" s="1"/>
      <c r="TKG223" s="1"/>
      <c r="TKH223" s="1"/>
      <c r="TKI223" s="1"/>
      <c r="TKJ223" s="1"/>
      <c r="TKK223" s="1"/>
      <c r="TKL223" s="1"/>
      <c r="TKM223" s="1"/>
      <c r="TKN223" s="1"/>
      <c r="TKO223" s="1"/>
      <c r="TKP223" s="1"/>
      <c r="TKQ223" s="1"/>
      <c r="TKR223" s="1"/>
      <c r="TKS223" s="1"/>
      <c r="TKT223" s="1"/>
      <c r="TKU223" s="1"/>
      <c r="TKV223" s="1"/>
      <c r="TKW223" s="1"/>
      <c r="TKX223" s="1"/>
      <c r="TKY223" s="1"/>
      <c r="TKZ223" s="1"/>
      <c r="TLA223" s="1"/>
      <c r="TLB223" s="1"/>
      <c r="TLC223" s="1"/>
      <c r="TLD223" s="1"/>
      <c r="TLE223" s="1"/>
      <c r="TLF223" s="1"/>
      <c r="TLG223" s="1"/>
      <c r="TLH223" s="1"/>
      <c r="TLI223" s="1"/>
      <c r="TLJ223" s="1"/>
      <c r="TLK223" s="1"/>
      <c r="TLL223" s="1"/>
      <c r="TLM223" s="1"/>
      <c r="TLN223" s="1"/>
      <c r="TLO223" s="1"/>
      <c r="TLP223" s="1"/>
      <c r="TLQ223" s="1"/>
      <c r="TLR223" s="1"/>
      <c r="TLS223" s="1"/>
      <c r="TLT223" s="1"/>
      <c r="TLU223" s="1"/>
      <c r="TLV223" s="1"/>
      <c r="TLW223" s="1"/>
      <c r="TLX223" s="1"/>
      <c r="TLY223" s="1"/>
      <c r="TLZ223" s="1"/>
      <c r="TMA223" s="1"/>
      <c r="TMB223" s="1"/>
      <c r="TMC223" s="1"/>
      <c r="TMD223" s="1"/>
      <c r="TME223" s="1"/>
      <c r="TMF223" s="1"/>
      <c r="TMG223" s="1"/>
      <c r="TMH223" s="1"/>
      <c r="TMI223" s="1"/>
      <c r="TMJ223" s="1"/>
      <c r="TMK223" s="1"/>
      <c r="TML223" s="1"/>
      <c r="TMM223" s="1"/>
      <c r="TMN223" s="1"/>
      <c r="TMO223" s="1"/>
      <c r="TMP223" s="1"/>
      <c r="TMQ223" s="1"/>
      <c r="TMR223" s="1"/>
      <c r="TMS223" s="1"/>
      <c r="TMT223" s="1"/>
      <c r="TMU223" s="1"/>
      <c r="TMV223" s="1"/>
      <c r="TMW223" s="1"/>
      <c r="TMX223" s="1"/>
      <c r="TMY223" s="1"/>
      <c r="TMZ223" s="1"/>
      <c r="TNA223" s="1"/>
      <c r="TNB223" s="1"/>
      <c r="TNC223" s="1"/>
      <c r="TND223" s="1"/>
      <c r="TNE223" s="1"/>
      <c r="TNF223" s="1"/>
      <c r="TNG223" s="1"/>
      <c r="TNH223" s="1"/>
      <c r="TNI223" s="1"/>
      <c r="TNJ223" s="1"/>
      <c r="TNK223" s="1"/>
      <c r="TNL223" s="1"/>
      <c r="TNM223" s="1"/>
      <c r="TNN223" s="1"/>
      <c r="TNO223" s="1"/>
      <c r="TNP223" s="1"/>
      <c r="TNQ223" s="1"/>
      <c r="TNR223" s="1"/>
      <c r="TNS223" s="1"/>
      <c r="TNT223" s="1"/>
      <c r="TNU223" s="1"/>
      <c r="TNV223" s="1"/>
      <c r="TNW223" s="1"/>
      <c r="TNX223" s="1"/>
      <c r="TNY223" s="1"/>
      <c r="TNZ223" s="1"/>
      <c r="TOA223" s="1"/>
      <c r="TOB223" s="1"/>
      <c r="TOC223" s="1"/>
      <c r="TOD223" s="1"/>
      <c r="TOE223" s="1"/>
      <c r="TOF223" s="1"/>
      <c r="TOG223" s="1"/>
      <c r="TOH223" s="1"/>
      <c r="TOI223" s="1"/>
      <c r="TOJ223" s="1"/>
      <c r="TOK223" s="1"/>
      <c r="TOL223" s="1"/>
      <c r="TOM223" s="1"/>
      <c r="TON223" s="1"/>
      <c r="TOO223" s="1"/>
      <c r="TOP223" s="1"/>
      <c r="TOQ223" s="1"/>
      <c r="TOR223" s="1"/>
      <c r="TOS223" s="1"/>
      <c r="TOT223" s="1"/>
      <c r="TOU223" s="1"/>
      <c r="TOV223" s="1"/>
      <c r="TOW223" s="1"/>
      <c r="TOX223" s="1"/>
      <c r="TOY223" s="1"/>
      <c r="TOZ223" s="1"/>
      <c r="TPA223" s="1"/>
      <c r="TPB223" s="1"/>
      <c r="TPC223" s="1"/>
      <c r="TPD223" s="1"/>
      <c r="TPE223" s="1"/>
      <c r="TPF223" s="1"/>
      <c r="TPG223" s="1"/>
      <c r="TPH223" s="1"/>
      <c r="TPI223" s="1"/>
      <c r="TPJ223" s="1"/>
      <c r="TPK223" s="1"/>
      <c r="TPL223" s="1"/>
      <c r="TPM223" s="1"/>
      <c r="TPN223" s="1"/>
      <c r="TPO223" s="1"/>
      <c r="TPP223" s="1"/>
      <c r="TPQ223" s="1"/>
      <c r="TPR223" s="1"/>
      <c r="TPS223" s="1"/>
      <c r="TPT223" s="1"/>
      <c r="TPU223" s="1"/>
      <c r="TPV223" s="1"/>
      <c r="TPW223" s="1"/>
      <c r="TPX223" s="1"/>
      <c r="TPY223" s="1"/>
      <c r="TPZ223" s="1"/>
      <c r="TQA223" s="1"/>
      <c r="TQB223" s="1"/>
      <c r="TQC223" s="1"/>
      <c r="TQD223" s="1"/>
      <c r="TQE223" s="1"/>
      <c r="TQF223" s="1"/>
      <c r="TQG223" s="1"/>
      <c r="TQH223" s="1"/>
      <c r="TQI223" s="1"/>
      <c r="TQJ223" s="1"/>
      <c r="TQK223" s="1"/>
      <c r="TQL223" s="1"/>
      <c r="TQM223" s="1"/>
      <c r="TQN223" s="1"/>
      <c r="TQO223" s="1"/>
      <c r="TQP223" s="1"/>
      <c r="TQQ223" s="1"/>
      <c r="TQR223" s="1"/>
      <c r="TQS223" s="1"/>
      <c r="TQT223" s="1"/>
      <c r="TQU223" s="1"/>
      <c r="TQV223" s="1"/>
      <c r="TQW223" s="1"/>
      <c r="TQX223" s="1"/>
      <c r="TQY223" s="1"/>
      <c r="TQZ223" s="1"/>
      <c r="TRA223" s="1"/>
      <c r="TRB223" s="1"/>
      <c r="TRC223" s="1"/>
      <c r="TRD223" s="1"/>
      <c r="TRE223" s="1"/>
      <c r="TRF223" s="1"/>
      <c r="TRG223" s="1"/>
      <c r="TRH223" s="1"/>
      <c r="TRI223" s="1"/>
      <c r="TRJ223" s="1"/>
      <c r="TRK223" s="1"/>
      <c r="TRL223" s="1"/>
      <c r="TRM223" s="1"/>
      <c r="TRN223" s="1"/>
      <c r="TRO223" s="1"/>
      <c r="TRP223" s="1"/>
      <c r="TRQ223" s="1"/>
      <c r="TRR223" s="1"/>
      <c r="TRS223" s="1"/>
      <c r="TRT223" s="1"/>
      <c r="TRU223" s="1"/>
      <c r="TRV223" s="1"/>
      <c r="TRW223" s="1"/>
      <c r="TRX223" s="1"/>
      <c r="TRY223" s="1"/>
      <c r="TRZ223" s="1"/>
      <c r="TSA223" s="1"/>
      <c r="TSB223" s="1"/>
      <c r="TSC223" s="1"/>
      <c r="TSD223" s="1"/>
      <c r="TSE223" s="1"/>
      <c r="TSF223" s="1"/>
      <c r="TSG223" s="1"/>
      <c r="TSH223" s="1"/>
      <c r="TSI223" s="1"/>
      <c r="TSJ223" s="1"/>
      <c r="TSK223" s="1"/>
      <c r="TSL223" s="1"/>
      <c r="TSM223" s="1"/>
      <c r="TSN223" s="1"/>
      <c r="TSO223" s="1"/>
      <c r="TSP223" s="1"/>
      <c r="TSQ223" s="1"/>
      <c r="TSR223" s="1"/>
      <c r="TSS223" s="1"/>
      <c r="TST223" s="1"/>
      <c r="TSU223" s="1"/>
      <c r="TSV223" s="1"/>
      <c r="TSW223" s="1"/>
      <c r="TSX223" s="1"/>
      <c r="TSY223" s="1"/>
      <c r="TSZ223" s="1"/>
      <c r="TTA223" s="1"/>
      <c r="TTB223" s="1"/>
      <c r="TTC223" s="1"/>
      <c r="TTD223" s="1"/>
      <c r="TTE223" s="1"/>
      <c r="TTF223" s="1"/>
      <c r="TTG223" s="1"/>
      <c r="TTH223" s="1"/>
      <c r="TTI223" s="1"/>
      <c r="TTJ223" s="1"/>
      <c r="TTK223" s="1"/>
      <c r="TTL223" s="1"/>
      <c r="TTM223" s="1"/>
      <c r="TTN223" s="1"/>
      <c r="TTO223" s="1"/>
      <c r="TTP223" s="1"/>
      <c r="TTQ223" s="1"/>
      <c r="TTR223" s="1"/>
      <c r="TTS223" s="1"/>
      <c r="TTT223" s="1"/>
      <c r="TTU223" s="1"/>
      <c r="TTV223" s="1"/>
      <c r="TTW223" s="1"/>
      <c r="TTX223" s="1"/>
      <c r="TTY223" s="1"/>
      <c r="TTZ223" s="1"/>
      <c r="TUA223" s="1"/>
      <c r="TUB223" s="1"/>
      <c r="TUC223" s="1"/>
      <c r="TUD223" s="1"/>
      <c r="TUE223" s="1"/>
      <c r="TUF223" s="1"/>
      <c r="TUG223" s="1"/>
      <c r="TUH223" s="1"/>
      <c r="TUI223" s="1"/>
      <c r="TUJ223" s="1"/>
      <c r="TUK223" s="1"/>
      <c r="TUL223" s="1"/>
      <c r="TUM223" s="1"/>
      <c r="TUN223" s="1"/>
      <c r="TUO223" s="1"/>
      <c r="TUP223" s="1"/>
      <c r="TUQ223" s="1"/>
      <c r="TUR223" s="1"/>
      <c r="TUS223" s="1"/>
      <c r="TUT223" s="1"/>
      <c r="TUU223" s="1"/>
      <c r="TUV223" s="1"/>
      <c r="TUW223" s="1"/>
      <c r="TUX223" s="1"/>
      <c r="TUY223" s="1"/>
      <c r="TUZ223" s="1"/>
      <c r="TVA223" s="1"/>
      <c r="TVB223" s="1"/>
      <c r="TVC223" s="1"/>
      <c r="TVD223" s="1"/>
      <c r="TVE223" s="1"/>
      <c r="TVF223" s="1"/>
      <c r="TVG223" s="1"/>
      <c r="TVH223" s="1"/>
      <c r="TVI223" s="1"/>
      <c r="TVJ223" s="1"/>
      <c r="TVK223" s="1"/>
      <c r="TVL223" s="1"/>
      <c r="TVM223" s="1"/>
      <c r="TVN223" s="1"/>
      <c r="TVO223" s="1"/>
      <c r="TVP223" s="1"/>
      <c r="TVQ223" s="1"/>
      <c r="TVR223" s="1"/>
      <c r="TVS223" s="1"/>
      <c r="TVT223" s="1"/>
      <c r="TVU223" s="1"/>
      <c r="TVV223" s="1"/>
      <c r="TVW223" s="1"/>
      <c r="TVX223" s="1"/>
      <c r="TVY223" s="1"/>
      <c r="TVZ223" s="1"/>
      <c r="TWA223" s="1"/>
      <c r="TWB223" s="1"/>
      <c r="TWC223" s="1"/>
      <c r="TWD223" s="1"/>
      <c r="TWE223" s="1"/>
      <c r="TWF223" s="1"/>
      <c r="TWG223" s="1"/>
      <c r="TWH223" s="1"/>
      <c r="TWI223" s="1"/>
      <c r="TWJ223" s="1"/>
      <c r="TWK223" s="1"/>
      <c r="TWL223" s="1"/>
      <c r="TWM223" s="1"/>
      <c r="TWN223" s="1"/>
      <c r="TWO223" s="1"/>
      <c r="TWP223" s="1"/>
      <c r="TWQ223" s="1"/>
      <c r="TWR223" s="1"/>
      <c r="TWS223" s="1"/>
      <c r="TWT223" s="1"/>
      <c r="TWU223" s="1"/>
      <c r="TWV223" s="1"/>
      <c r="TWW223" s="1"/>
      <c r="TWX223" s="1"/>
      <c r="TWY223" s="1"/>
      <c r="TWZ223" s="1"/>
      <c r="TXA223" s="1"/>
      <c r="TXB223" s="1"/>
      <c r="TXC223" s="1"/>
      <c r="TXD223" s="1"/>
      <c r="TXE223" s="1"/>
      <c r="TXF223" s="1"/>
      <c r="TXG223" s="1"/>
      <c r="TXH223" s="1"/>
      <c r="TXI223" s="1"/>
      <c r="TXJ223" s="1"/>
      <c r="TXK223" s="1"/>
      <c r="TXL223" s="1"/>
      <c r="TXM223" s="1"/>
      <c r="TXN223" s="1"/>
      <c r="TXO223" s="1"/>
      <c r="TXP223" s="1"/>
      <c r="TXQ223" s="1"/>
      <c r="TXR223" s="1"/>
      <c r="TXS223" s="1"/>
      <c r="TXT223" s="1"/>
      <c r="TXU223" s="1"/>
      <c r="TXV223" s="1"/>
      <c r="TXW223" s="1"/>
      <c r="TXX223" s="1"/>
      <c r="TXY223" s="1"/>
      <c r="TXZ223" s="1"/>
      <c r="TYA223" s="1"/>
      <c r="TYB223" s="1"/>
      <c r="TYC223" s="1"/>
      <c r="TYD223" s="1"/>
      <c r="TYE223" s="1"/>
      <c r="TYF223" s="1"/>
      <c r="TYG223" s="1"/>
      <c r="TYH223" s="1"/>
      <c r="TYI223" s="1"/>
      <c r="TYJ223" s="1"/>
      <c r="TYK223" s="1"/>
      <c r="TYL223" s="1"/>
      <c r="TYM223" s="1"/>
      <c r="TYN223" s="1"/>
      <c r="TYO223" s="1"/>
      <c r="TYP223" s="1"/>
      <c r="TYQ223" s="1"/>
      <c r="TYR223" s="1"/>
      <c r="TYS223" s="1"/>
      <c r="TYT223" s="1"/>
      <c r="TYU223" s="1"/>
      <c r="TYV223" s="1"/>
      <c r="TYW223" s="1"/>
      <c r="TYX223" s="1"/>
      <c r="TYY223" s="1"/>
      <c r="TYZ223" s="1"/>
      <c r="TZA223" s="1"/>
      <c r="TZB223" s="1"/>
      <c r="TZC223" s="1"/>
      <c r="TZD223" s="1"/>
      <c r="TZE223" s="1"/>
      <c r="TZF223" s="1"/>
      <c r="TZG223" s="1"/>
      <c r="TZH223" s="1"/>
      <c r="TZI223" s="1"/>
      <c r="TZJ223" s="1"/>
      <c r="TZK223" s="1"/>
      <c r="TZL223" s="1"/>
      <c r="TZM223" s="1"/>
      <c r="TZN223" s="1"/>
      <c r="TZO223" s="1"/>
      <c r="TZP223" s="1"/>
      <c r="TZQ223" s="1"/>
      <c r="TZR223" s="1"/>
      <c r="TZS223" s="1"/>
      <c r="TZT223" s="1"/>
      <c r="TZU223" s="1"/>
      <c r="TZV223" s="1"/>
      <c r="TZW223" s="1"/>
      <c r="TZX223" s="1"/>
      <c r="TZY223" s="1"/>
      <c r="TZZ223" s="1"/>
      <c r="UAA223" s="1"/>
      <c r="UAB223" s="1"/>
      <c r="UAC223" s="1"/>
      <c r="UAD223" s="1"/>
      <c r="UAE223" s="1"/>
      <c r="UAF223" s="1"/>
      <c r="UAG223" s="1"/>
      <c r="UAH223" s="1"/>
      <c r="UAI223" s="1"/>
      <c r="UAJ223" s="1"/>
      <c r="UAK223" s="1"/>
      <c r="UAL223" s="1"/>
      <c r="UAM223" s="1"/>
      <c r="UAN223" s="1"/>
      <c r="UAO223" s="1"/>
      <c r="UAP223" s="1"/>
      <c r="UAQ223" s="1"/>
      <c r="UAR223" s="1"/>
      <c r="UAS223" s="1"/>
      <c r="UAT223" s="1"/>
      <c r="UAU223" s="1"/>
      <c r="UAV223" s="1"/>
      <c r="UAW223" s="1"/>
      <c r="UAX223" s="1"/>
      <c r="UAY223" s="1"/>
      <c r="UAZ223" s="1"/>
      <c r="UBA223" s="1"/>
      <c r="UBB223" s="1"/>
      <c r="UBC223" s="1"/>
      <c r="UBD223" s="1"/>
      <c r="UBE223" s="1"/>
      <c r="UBF223" s="1"/>
      <c r="UBG223" s="1"/>
      <c r="UBH223" s="1"/>
      <c r="UBI223" s="1"/>
      <c r="UBJ223" s="1"/>
      <c r="UBK223" s="1"/>
      <c r="UBL223" s="1"/>
      <c r="UBM223" s="1"/>
      <c r="UBN223" s="1"/>
      <c r="UBO223" s="1"/>
      <c r="UBP223" s="1"/>
      <c r="UBQ223" s="1"/>
      <c r="UBR223" s="1"/>
      <c r="UBS223" s="1"/>
      <c r="UBT223" s="1"/>
      <c r="UBU223" s="1"/>
      <c r="UBV223" s="1"/>
      <c r="UBW223" s="1"/>
      <c r="UBX223" s="1"/>
      <c r="UBY223" s="1"/>
      <c r="UBZ223" s="1"/>
      <c r="UCA223" s="1"/>
      <c r="UCB223" s="1"/>
      <c r="UCC223" s="1"/>
      <c r="UCD223" s="1"/>
      <c r="UCE223" s="1"/>
      <c r="UCF223" s="1"/>
      <c r="UCG223" s="1"/>
      <c r="UCH223" s="1"/>
      <c r="UCI223" s="1"/>
      <c r="UCJ223" s="1"/>
      <c r="UCK223" s="1"/>
      <c r="UCL223" s="1"/>
      <c r="UCM223" s="1"/>
      <c r="UCN223" s="1"/>
      <c r="UCO223" s="1"/>
      <c r="UCP223" s="1"/>
      <c r="UCQ223" s="1"/>
      <c r="UCR223" s="1"/>
      <c r="UCS223" s="1"/>
      <c r="UCT223" s="1"/>
      <c r="UCU223" s="1"/>
      <c r="UCV223" s="1"/>
      <c r="UCW223" s="1"/>
      <c r="UCX223" s="1"/>
      <c r="UCY223" s="1"/>
      <c r="UCZ223" s="1"/>
      <c r="UDA223" s="1"/>
      <c r="UDB223" s="1"/>
      <c r="UDC223" s="1"/>
      <c r="UDD223" s="1"/>
      <c r="UDE223" s="1"/>
      <c r="UDF223" s="1"/>
      <c r="UDG223" s="1"/>
      <c r="UDH223" s="1"/>
      <c r="UDI223" s="1"/>
      <c r="UDJ223" s="1"/>
      <c r="UDK223" s="1"/>
      <c r="UDL223" s="1"/>
      <c r="UDM223" s="1"/>
      <c r="UDN223" s="1"/>
      <c r="UDO223" s="1"/>
      <c r="UDP223" s="1"/>
      <c r="UDQ223" s="1"/>
      <c r="UDR223" s="1"/>
      <c r="UDS223" s="1"/>
      <c r="UDT223" s="1"/>
      <c r="UDU223" s="1"/>
      <c r="UDV223" s="1"/>
      <c r="UDW223" s="1"/>
      <c r="UDX223" s="1"/>
      <c r="UDY223" s="1"/>
      <c r="UDZ223" s="1"/>
      <c r="UEA223" s="1"/>
      <c r="UEB223" s="1"/>
      <c r="UEC223" s="1"/>
      <c r="UED223" s="1"/>
      <c r="UEE223" s="1"/>
      <c r="UEF223" s="1"/>
      <c r="UEG223" s="1"/>
      <c r="UEH223" s="1"/>
      <c r="UEI223" s="1"/>
      <c r="UEJ223" s="1"/>
      <c r="UEK223" s="1"/>
      <c r="UEL223" s="1"/>
      <c r="UEM223" s="1"/>
      <c r="UEN223" s="1"/>
      <c r="UEO223" s="1"/>
      <c r="UEP223" s="1"/>
      <c r="UEQ223" s="1"/>
      <c r="UER223" s="1"/>
      <c r="UES223" s="1"/>
      <c r="UET223" s="1"/>
      <c r="UEU223" s="1"/>
      <c r="UEV223" s="1"/>
      <c r="UEW223" s="1"/>
      <c r="UEX223" s="1"/>
      <c r="UEY223" s="1"/>
      <c r="UEZ223" s="1"/>
      <c r="UFA223" s="1"/>
      <c r="UFB223" s="1"/>
      <c r="UFC223" s="1"/>
      <c r="UFD223" s="1"/>
      <c r="UFE223" s="1"/>
      <c r="UFF223" s="1"/>
      <c r="UFG223" s="1"/>
      <c r="UFH223" s="1"/>
      <c r="UFI223" s="1"/>
      <c r="UFJ223" s="1"/>
      <c r="UFK223" s="1"/>
      <c r="UFL223" s="1"/>
      <c r="UFM223" s="1"/>
      <c r="UFN223" s="1"/>
      <c r="UFO223" s="1"/>
      <c r="UFP223" s="1"/>
      <c r="UFQ223" s="1"/>
      <c r="UFR223" s="1"/>
      <c r="UFS223" s="1"/>
      <c r="UFT223" s="1"/>
      <c r="UFU223" s="1"/>
      <c r="UFV223" s="1"/>
      <c r="UFW223" s="1"/>
      <c r="UFX223" s="1"/>
      <c r="UFY223" s="1"/>
      <c r="UFZ223" s="1"/>
      <c r="UGA223" s="1"/>
      <c r="UGB223" s="1"/>
      <c r="UGC223" s="1"/>
      <c r="UGD223" s="1"/>
      <c r="UGE223" s="1"/>
      <c r="UGF223" s="1"/>
      <c r="UGG223" s="1"/>
      <c r="UGH223" s="1"/>
      <c r="UGI223" s="1"/>
      <c r="UGJ223" s="1"/>
      <c r="UGK223" s="1"/>
      <c r="UGL223" s="1"/>
      <c r="UGM223" s="1"/>
      <c r="UGN223" s="1"/>
      <c r="UGO223" s="1"/>
      <c r="UGP223" s="1"/>
      <c r="UGQ223" s="1"/>
      <c r="UGR223" s="1"/>
      <c r="UGS223" s="1"/>
      <c r="UGT223" s="1"/>
      <c r="UGU223" s="1"/>
      <c r="UGV223" s="1"/>
      <c r="UGW223" s="1"/>
      <c r="UGX223" s="1"/>
      <c r="UGY223" s="1"/>
      <c r="UGZ223" s="1"/>
      <c r="UHA223" s="1"/>
      <c r="UHB223" s="1"/>
      <c r="UHC223" s="1"/>
      <c r="UHD223" s="1"/>
      <c r="UHE223" s="1"/>
      <c r="UHF223" s="1"/>
      <c r="UHG223" s="1"/>
      <c r="UHH223" s="1"/>
      <c r="UHI223" s="1"/>
      <c r="UHJ223" s="1"/>
      <c r="UHK223" s="1"/>
      <c r="UHL223" s="1"/>
      <c r="UHM223" s="1"/>
      <c r="UHN223" s="1"/>
      <c r="UHO223" s="1"/>
      <c r="UHP223" s="1"/>
      <c r="UHQ223" s="1"/>
      <c r="UHR223" s="1"/>
      <c r="UHS223" s="1"/>
      <c r="UHT223" s="1"/>
      <c r="UHU223" s="1"/>
      <c r="UHV223" s="1"/>
      <c r="UHW223" s="1"/>
      <c r="UHX223" s="1"/>
      <c r="UHY223" s="1"/>
      <c r="UHZ223" s="1"/>
      <c r="UIA223" s="1"/>
      <c r="UIB223" s="1"/>
      <c r="UIC223" s="1"/>
      <c r="UID223" s="1"/>
      <c r="UIE223" s="1"/>
      <c r="UIF223" s="1"/>
      <c r="UIG223" s="1"/>
      <c r="UIH223" s="1"/>
      <c r="UII223" s="1"/>
      <c r="UIJ223" s="1"/>
      <c r="UIK223" s="1"/>
      <c r="UIL223" s="1"/>
      <c r="UIM223" s="1"/>
      <c r="UIN223" s="1"/>
      <c r="UIO223" s="1"/>
      <c r="UIP223" s="1"/>
      <c r="UIQ223" s="1"/>
      <c r="UIR223" s="1"/>
      <c r="UIS223" s="1"/>
      <c r="UIT223" s="1"/>
      <c r="UIU223" s="1"/>
      <c r="UIV223" s="1"/>
      <c r="UIW223" s="1"/>
      <c r="UIX223" s="1"/>
      <c r="UIY223" s="1"/>
      <c r="UIZ223" s="1"/>
      <c r="UJA223" s="1"/>
      <c r="UJB223" s="1"/>
      <c r="UJC223" s="1"/>
      <c r="UJD223" s="1"/>
      <c r="UJE223" s="1"/>
      <c r="UJF223" s="1"/>
      <c r="UJG223" s="1"/>
      <c r="UJH223" s="1"/>
      <c r="UJI223" s="1"/>
      <c r="UJJ223" s="1"/>
      <c r="UJK223" s="1"/>
      <c r="UJL223" s="1"/>
      <c r="UJM223" s="1"/>
      <c r="UJN223" s="1"/>
      <c r="UJO223" s="1"/>
      <c r="UJP223" s="1"/>
      <c r="UJQ223" s="1"/>
      <c r="UJR223" s="1"/>
      <c r="UJS223" s="1"/>
      <c r="UJT223" s="1"/>
      <c r="UJU223" s="1"/>
      <c r="UJV223" s="1"/>
      <c r="UJW223" s="1"/>
      <c r="UJX223" s="1"/>
      <c r="UJY223" s="1"/>
      <c r="UJZ223" s="1"/>
      <c r="UKA223" s="1"/>
      <c r="UKB223" s="1"/>
      <c r="UKC223" s="1"/>
      <c r="UKD223" s="1"/>
      <c r="UKE223" s="1"/>
      <c r="UKF223" s="1"/>
      <c r="UKG223" s="1"/>
      <c r="UKH223" s="1"/>
      <c r="UKI223" s="1"/>
      <c r="UKJ223" s="1"/>
      <c r="UKK223" s="1"/>
      <c r="UKL223" s="1"/>
      <c r="UKM223" s="1"/>
      <c r="UKN223" s="1"/>
      <c r="UKO223" s="1"/>
      <c r="UKP223" s="1"/>
      <c r="UKQ223" s="1"/>
      <c r="UKR223" s="1"/>
      <c r="UKS223" s="1"/>
      <c r="UKT223" s="1"/>
      <c r="UKU223" s="1"/>
      <c r="UKV223" s="1"/>
      <c r="UKW223" s="1"/>
      <c r="UKX223" s="1"/>
      <c r="UKY223" s="1"/>
      <c r="UKZ223" s="1"/>
      <c r="ULA223" s="1"/>
      <c r="ULB223" s="1"/>
      <c r="ULC223" s="1"/>
      <c r="ULD223" s="1"/>
      <c r="ULE223" s="1"/>
      <c r="ULF223" s="1"/>
      <c r="ULG223" s="1"/>
      <c r="ULH223" s="1"/>
      <c r="ULI223" s="1"/>
      <c r="ULJ223" s="1"/>
      <c r="ULK223" s="1"/>
      <c r="ULL223" s="1"/>
      <c r="ULM223" s="1"/>
      <c r="ULN223" s="1"/>
      <c r="ULO223" s="1"/>
      <c r="ULP223" s="1"/>
      <c r="ULQ223" s="1"/>
      <c r="ULR223" s="1"/>
      <c r="ULS223" s="1"/>
      <c r="ULT223" s="1"/>
      <c r="ULU223" s="1"/>
      <c r="ULV223" s="1"/>
      <c r="ULW223" s="1"/>
      <c r="ULX223" s="1"/>
      <c r="ULY223" s="1"/>
      <c r="ULZ223" s="1"/>
      <c r="UMA223" s="1"/>
      <c r="UMB223" s="1"/>
      <c r="UMC223" s="1"/>
      <c r="UMD223" s="1"/>
      <c r="UME223" s="1"/>
      <c r="UMF223" s="1"/>
      <c r="UMG223" s="1"/>
      <c r="UMH223" s="1"/>
      <c r="UMI223" s="1"/>
      <c r="UMJ223" s="1"/>
      <c r="UMK223" s="1"/>
      <c r="UML223" s="1"/>
      <c r="UMM223" s="1"/>
      <c r="UMN223" s="1"/>
      <c r="UMO223" s="1"/>
      <c r="UMP223" s="1"/>
      <c r="UMQ223" s="1"/>
      <c r="UMR223" s="1"/>
      <c r="UMS223" s="1"/>
      <c r="UMT223" s="1"/>
      <c r="UMU223" s="1"/>
      <c r="UMV223" s="1"/>
      <c r="UMW223" s="1"/>
      <c r="UMX223" s="1"/>
      <c r="UMY223" s="1"/>
      <c r="UMZ223" s="1"/>
      <c r="UNA223" s="1"/>
      <c r="UNB223" s="1"/>
      <c r="UNC223" s="1"/>
      <c r="UND223" s="1"/>
      <c r="UNE223" s="1"/>
      <c r="UNF223" s="1"/>
      <c r="UNG223" s="1"/>
      <c r="UNH223" s="1"/>
      <c r="UNI223" s="1"/>
      <c r="UNJ223" s="1"/>
      <c r="UNK223" s="1"/>
      <c r="UNL223" s="1"/>
      <c r="UNM223" s="1"/>
      <c r="UNN223" s="1"/>
      <c r="UNO223" s="1"/>
      <c r="UNP223" s="1"/>
      <c r="UNQ223" s="1"/>
      <c r="UNR223" s="1"/>
      <c r="UNS223" s="1"/>
      <c r="UNT223" s="1"/>
      <c r="UNU223" s="1"/>
      <c r="UNV223" s="1"/>
      <c r="UNW223" s="1"/>
      <c r="UNX223" s="1"/>
      <c r="UNY223" s="1"/>
      <c r="UNZ223" s="1"/>
      <c r="UOA223" s="1"/>
      <c r="UOB223" s="1"/>
      <c r="UOC223" s="1"/>
      <c r="UOD223" s="1"/>
      <c r="UOE223" s="1"/>
      <c r="UOF223" s="1"/>
      <c r="UOG223" s="1"/>
      <c r="UOH223" s="1"/>
      <c r="UOI223" s="1"/>
      <c r="UOJ223" s="1"/>
      <c r="UOK223" s="1"/>
      <c r="UOL223" s="1"/>
      <c r="UOM223" s="1"/>
      <c r="UON223" s="1"/>
      <c r="UOO223" s="1"/>
      <c r="UOP223" s="1"/>
      <c r="UOQ223" s="1"/>
      <c r="UOR223" s="1"/>
      <c r="UOS223" s="1"/>
      <c r="UOT223" s="1"/>
      <c r="UOU223" s="1"/>
      <c r="UOV223" s="1"/>
      <c r="UOW223" s="1"/>
      <c r="UOX223" s="1"/>
      <c r="UOY223" s="1"/>
      <c r="UOZ223" s="1"/>
      <c r="UPA223" s="1"/>
      <c r="UPB223" s="1"/>
      <c r="UPC223" s="1"/>
      <c r="UPD223" s="1"/>
      <c r="UPE223" s="1"/>
      <c r="UPF223" s="1"/>
      <c r="UPG223" s="1"/>
      <c r="UPH223" s="1"/>
      <c r="UPI223" s="1"/>
      <c r="UPJ223" s="1"/>
      <c r="UPK223" s="1"/>
      <c r="UPL223" s="1"/>
      <c r="UPM223" s="1"/>
      <c r="UPN223" s="1"/>
      <c r="UPO223" s="1"/>
      <c r="UPP223" s="1"/>
      <c r="UPQ223" s="1"/>
      <c r="UPR223" s="1"/>
      <c r="UPS223" s="1"/>
      <c r="UPT223" s="1"/>
      <c r="UPU223" s="1"/>
      <c r="UPV223" s="1"/>
      <c r="UPW223" s="1"/>
      <c r="UPX223" s="1"/>
      <c r="UPY223" s="1"/>
      <c r="UPZ223" s="1"/>
      <c r="UQA223" s="1"/>
      <c r="UQB223" s="1"/>
      <c r="UQC223" s="1"/>
      <c r="UQD223" s="1"/>
      <c r="UQE223" s="1"/>
      <c r="UQF223" s="1"/>
      <c r="UQG223" s="1"/>
      <c r="UQH223" s="1"/>
      <c r="UQI223" s="1"/>
      <c r="UQJ223" s="1"/>
      <c r="UQK223" s="1"/>
      <c r="UQL223" s="1"/>
      <c r="UQM223" s="1"/>
      <c r="UQN223" s="1"/>
      <c r="UQO223" s="1"/>
      <c r="UQP223" s="1"/>
      <c r="UQQ223" s="1"/>
      <c r="UQR223" s="1"/>
      <c r="UQS223" s="1"/>
      <c r="UQT223" s="1"/>
      <c r="UQU223" s="1"/>
      <c r="UQV223" s="1"/>
      <c r="UQW223" s="1"/>
      <c r="UQX223" s="1"/>
      <c r="UQY223" s="1"/>
      <c r="UQZ223" s="1"/>
      <c r="URA223" s="1"/>
      <c r="URB223" s="1"/>
      <c r="URC223" s="1"/>
      <c r="URD223" s="1"/>
      <c r="URE223" s="1"/>
      <c r="URF223" s="1"/>
      <c r="URG223" s="1"/>
      <c r="URH223" s="1"/>
      <c r="URI223" s="1"/>
      <c r="URJ223" s="1"/>
      <c r="URK223" s="1"/>
      <c r="URL223" s="1"/>
      <c r="URM223" s="1"/>
      <c r="URN223" s="1"/>
      <c r="URO223" s="1"/>
      <c r="URP223" s="1"/>
      <c r="URQ223" s="1"/>
      <c r="URR223" s="1"/>
      <c r="URS223" s="1"/>
      <c r="URT223" s="1"/>
      <c r="URU223" s="1"/>
      <c r="URV223" s="1"/>
      <c r="URW223" s="1"/>
      <c r="URX223" s="1"/>
      <c r="URY223" s="1"/>
      <c r="URZ223" s="1"/>
      <c r="USA223" s="1"/>
      <c r="USB223" s="1"/>
      <c r="USC223" s="1"/>
      <c r="USD223" s="1"/>
      <c r="USE223" s="1"/>
      <c r="USF223" s="1"/>
      <c r="USG223" s="1"/>
      <c r="USH223" s="1"/>
      <c r="USI223" s="1"/>
      <c r="USJ223" s="1"/>
      <c r="USK223" s="1"/>
      <c r="USL223" s="1"/>
      <c r="USM223" s="1"/>
      <c r="USN223" s="1"/>
      <c r="USO223" s="1"/>
      <c r="USP223" s="1"/>
      <c r="USQ223" s="1"/>
      <c r="USR223" s="1"/>
      <c r="USS223" s="1"/>
      <c r="UST223" s="1"/>
      <c r="USU223" s="1"/>
      <c r="USV223" s="1"/>
      <c r="USW223" s="1"/>
      <c r="USX223" s="1"/>
      <c r="USY223" s="1"/>
      <c r="USZ223" s="1"/>
      <c r="UTA223" s="1"/>
      <c r="UTB223" s="1"/>
      <c r="UTC223" s="1"/>
      <c r="UTD223" s="1"/>
      <c r="UTE223" s="1"/>
      <c r="UTF223" s="1"/>
      <c r="UTG223" s="1"/>
      <c r="UTH223" s="1"/>
      <c r="UTI223" s="1"/>
      <c r="UTJ223" s="1"/>
      <c r="UTK223" s="1"/>
      <c r="UTL223" s="1"/>
      <c r="UTM223" s="1"/>
      <c r="UTN223" s="1"/>
      <c r="UTO223" s="1"/>
      <c r="UTP223" s="1"/>
      <c r="UTQ223" s="1"/>
      <c r="UTR223" s="1"/>
      <c r="UTS223" s="1"/>
      <c r="UTT223" s="1"/>
      <c r="UTU223" s="1"/>
      <c r="UTV223" s="1"/>
      <c r="UTW223" s="1"/>
      <c r="UTX223" s="1"/>
      <c r="UTY223" s="1"/>
      <c r="UTZ223" s="1"/>
      <c r="UUA223" s="1"/>
      <c r="UUB223" s="1"/>
      <c r="UUC223" s="1"/>
      <c r="UUD223" s="1"/>
      <c r="UUE223" s="1"/>
      <c r="UUF223" s="1"/>
      <c r="UUG223" s="1"/>
      <c r="UUH223" s="1"/>
      <c r="UUI223" s="1"/>
      <c r="UUJ223" s="1"/>
      <c r="UUK223" s="1"/>
      <c r="UUL223" s="1"/>
      <c r="UUM223" s="1"/>
      <c r="UUN223" s="1"/>
      <c r="UUO223" s="1"/>
      <c r="UUP223" s="1"/>
      <c r="UUQ223" s="1"/>
      <c r="UUR223" s="1"/>
      <c r="UUS223" s="1"/>
      <c r="UUT223" s="1"/>
      <c r="UUU223" s="1"/>
      <c r="UUV223" s="1"/>
      <c r="UUW223" s="1"/>
      <c r="UUX223" s="1"/>
      <c r="UUY223" s="1"/>
      <c r="UUZ223" s="1"/>
      <c r="UVA223" s="1"/>
      <c r="UVB223" s="1"/>
      <c r="UVC223" s="1"/>
      <c r="UVD223" s="1"/>
      <c r="UVE223" s="1"/>
      <c r="UVF223" s="1"/>
      <c r="UVG223" s="1"/>
      <c r="UVH223" s="1"/>
      <c r="UVI223" s="1"/>
      <c r="UVJ223" s="1"/>
      <c r="UVK223" s="1"/>
      <c r="UVL223" s="1"/>
      <c r="UVM223" s="1"/>
      <c r="UVN223" s="1"/>
      <c r="UVO223" s="1"/>
      <c r="UVP223" s="1"/>
      <c r="UVQ223" s="1"/>
      <c r="UVR223" s="1"/>
      <c r="UVS223" s="1"/>
      <c r="UVT223" s="1"/>
      <c r="UVU223" s="1"/>
      <c r="UVV223" s="1"/>
      <c r="UVW223" s="1"/>
      <c r="UVX223" s="1"/>
      <c r="UVY223" s="1"/>
      <c r="UVZ223" s="1"/>
      <c r="UWA223" s="1"/>
      <c r="UWB223" s="1"/>
      <c r="UWC223" s="1"/>
      <c r="UWD223" s="1"/>
      <c r="UWE223" s="1"/>
      <c r="UWF223" s="1"/>
      <c r="UWG223" s="1"/>
      <c r="UWH223" s="1"/>
      <c r="UWI223" s="1"/>
      <c r="UWJ223" s="1"/>
      <c r="UWK223" s="1"/>
      <c r="UWL223" s="1"/>
      <c r="UWM223" s="1"/>
      <c r="UWN223" s="1"/>
      <c r="UWO223" s="1"/>
      <c r="UWP223" s="1"/>
      <c r="UWQ223" s="1"/>
      <c r="UWR223" s="1"/>
      <c r="UWS223" s="1"/>
      <c r="UWT223" s="1"/>
      <c r="UWU223" s="1"/>
      <c r="UWV223" s="1"/>
      <c r="UWW223" s="1"/>
      <c r="UWX223" s="1"/>
      <c r="UWY223" s="1"/>
      <c r="UWZ223" s="1"/>
      <c r="UXA223" s="1"/>
      <c r="UXB223" s="1"/>
      <c r="UXC223" s="1"/>
      <c r="UXD223" s="1"/>
      <c r="UXE223" s="1"/>
      <c r="UXF223" s="1"/>
      <c r="UXG223" s="1"/>
      <c r="UXH223" s="1"/>
      <c r="UXI223" s="1"/>
      <c r="UXJ223" s="1"/>
      <c r="UXK223" s="1"/>
      <c r="UXL223" s="1"/>
      <c r="UXM223" s="1"/>
      <c r="UXN223" s="1"/>
      <c r="UXO223" s="1"/>
      <c r="UXP223" s="1"/>
      <c r="UXQ223" s="1"/>
      <c r="UXR223" s="1"/>
      <c r="UXS223" s="1"/>
      <c r="UXT223" s="1"/>
      <c r="UXU223" s="1"/>
      <c r="UXV223" s="1"/>
      <c r="UXW223" s="1"/>
      <c r="UXX223" s="1"/>
      <c r="UXY223" s="1"/>
      <c r="UXZ223" s="1"/>
      <c r="UYA223" s="1"/>
      <c r="UYB223" s="1"/>
      <c r="UYC223" s="1"/>
      <c r="UYD223" s="1"/>
      <c r="UYE223" s="1"/>
      <c r="UYF223" s="1"/>
      <c r="UYG223" s="1"/>
      <c r="UYH223" s="1"/>
      <c r="UYI223" s="1"/>
      <c r="UYJ223" s="1"/>
      <c r="UYK223" s="1"/>
      <c r="UYL223" s="1"/>
      <c r="UYM223" s="1"/>
      <c r="UYN223" s="1"/>
      <c r="UYO223" s="1"/>
      <c r="UYP223" s="1"/>
      <c r="UYQ223" s="1"/>
      <c r="UYR223" s="1"/>
      <c r="UYS223" s="1"/>
      <c r="UYT223" s="1"/>
      <c r="UYU223" s="1"/>
      <c r="UYV223" s="1"/>
      <c r="UYW223" s="1"/>
      <c r="UYX223" s="1"/>
      <c r="UYY223" s="1"/>
      <c r="UYZ223" s="1"/>
      <c r="UZA223" s="1"/>
      <c r="UZB223" s="1"/>
      <c r="UZC223" s="1"/>
      <c r="UZD223" s="1"/>
      <c r="UZE223" s="1"/>
      <c r="UZF223" s="1"/>
      <c r="UZG223" s="1"/>
      <c r="UZH223" s="1"/>
      <c r="UZI223" s="1"/>
      <c r="UZJ223" s="1"/>
      <c r="UZK223" s="1"/>
      <c r="UZL223" s="1"/>
      <c r="UZM223" s="1"/>
      <c r="UZN223" s="1"/>
      <c r="UZO223" s="1"/>
      <c r="UZP223" s="1"/>
      <c r="UZQ223" s="1"/>
      <c r="UZR223" s="1"/>
      <c r="UZS223" s="1"/>
      <c r="UZT223" s="1"/>
      <c r="UZU223" s="1"/>
      <c r="UZV223" s="1"/>
      <c r="UZW223" s="1"/>
      <c r="UZX223" s="1"/>
      <c r="UZY223" s="1"/>
      <c r="UZZ223" s="1"/>
      <c r="VAA223" s="1"/>
      <c r="VAB223" s="1"/>
      <c r="VAC223" s="1"/>
      <c r="VAD223" s="1"/>
      <c r="VAE223" s="1"/>
      <c r="VAF223" s="1"/>
      <c r="VAG223" s="1"/>
      <c r="VAH223" s="1"/>
      <c r="VAI223" s="1"/>
      <c r="VAJ223" s="1"/>
      <c r="VAK223" s="1"/>
      <c r="VAL223" s="1"/>
      <c r="VAM223" s="1"/>
      <c r="VAN223" s="1"/>
      <c r="VAO223" s="1"/>
      <c r="VAP223" s="1"/>
      <c r="VAQ223" s="1"/>
      <c r="VAR223" s="1"/>
      <c r="VAS223" s="1"/>
      <c r="VAT223" s="1"/>
      <c r="VAU223" s="1"/>
      <c r="VAV223" s="1"/>
      <c r="VAW223" s="1"/>
      <c r="VAX223" s="1"/>
      <c r="VAY223" s="1"/>
      <c r="VAZ223" s="1"/>
      <c r="VBA223" s="1"/>
      <c r="VBB223" s="1"/>
      <c r="VBC223" s="1"/>
      <c r="VBD223" s="1"/>
      <c r="VBE223" s="1"/>
      <c r="VBF223" s="1"/>
      <c r="VBG223" s="1"/>
      <c r="VBH223" s="1"/>
      <c r="VBI223" s="1"/>
      <c r="VBJ223" s="1"/>
      <c r="VBK223" s="1"/>
      <c r="VBL223" s="1"/>
      <c r="VBM223" s="1"/>
      <c r="VBN223" s="1"/>
      <c r="VBO223" s="1"/>
      <c r="VBP223" s="1"/>
      <c r="VBQ223" s="1"/>
      <c r="VBR223" s="1"/>
      <c r="VBS223" s="1"/>
      <c r="VBT223" s="1"/>
      <c r="VBU223" s="1"/>
      <c r="VBV223" s="1"/>
      <c r="VBW223" s="1"/>
      <c r="VBX223" s="1"/>
      <c r="VBY223" s="1"/>
      <c r="VBZ223" s="1"/>
      <c r="VCA223" s="1"/>
      <c r="VCB223" s="1"/>
      <c r="VCC223" s="1"/>
      <c r="VCD223" s="1"/>
      <c r="VCE223" s="1"/>
      <c r="VCF223" s="1"/>
      <c r="VCG223" s="1"/>
      <c r="VCH223" s="1"/>
      <c r="VCI223" s="1"/>
      <c r="VCJ223" s="1"/>
      <c r="VCK223" s="1"/>
      <c r="VCL223" s="1"/>
      <c r="VCM223" s="1"/>
      <c r="VCN223" s="1"/>
      <c r="VCO223" s="1"/>
      <c r="VCP223" s="1"/>
      <c r="VCQ223" s="1"/>
      <c r="VCR223" s="1"/>
      <c r="VCS223" s="1"/>
      <c r="VCT223" s="1"/>
      <c r="VCU223" s="1"/>
      <c r="VCV223" s="1"/>
    </row>
    <row r="224" spans="5:14972" s="2" customFormat="1" x14ac:dyDescent="0.3">
      <c r="E224" s="1"/>
      <c r="F224" s="1"/>
      <c r="G224" s="1"/>
      <c r="H224" s="1"/>
      <c r="I224" s="1"/>
      <c r="J224" s="1"/>
      <c r="K224" s="1"/>
      <c r="L224" s="1"/>
      <c r="M224" s="1"/>
      <c r="N224" s="1"/>
      <c r="O224" s="1"/>
      <c r="P224" s="1"/>
      <c r="Q224" s="1"/>
      <c r="R224" s="1"/>
      <c r="S224" s="1"/>
      <c r="T224" s="1"/>
      <c r="U224" s="1"/>
      <c r="V224" s="1"/>
      <c r="W224" s="1"/>
      <c r="X224" s="1"/>
      <c r="Y224" s="1"/>
      <c r="Z224" s="1"/>
      <c r="AA224" s="1"/>
      <c r="AB224" s="1"/>
      <c r="AC224" s="1"/>
      <c r="AD224" s="1"/>
      <c r="AE224" s="1"/>
      <c r="AF224" s="1"/>
      <c r="AG224" s="1"/>
      <c r="AH224" s="1"/>
      <c r="AI224" s="1"/>
      <c r="AJ224" s="1"/>
      <c r="AK224" s="1"/>
      <c r="AL224" s="1"/>
      <c r="AM224" s="4"/>
      <c r="AN224" s="1"/>
      <c r="AO224" s="1"/>
      <c r="AP224" s="1"/>
      <c r="AQ224" s="1"/>
      <c r="AS224" s="3"/>
      <c r="CA224" s="1"/>
      <c r="CB224" s="1"/>
      <c r="CC224" s="1"/>
      <c r="CD224" s="1"/>
      <c r="CE224" s="1"/>
      <c r="CF224" s="1"/>
      <c r="CG224" s="1"/>
      <c r="CH224" s="1"/>
      <c r="CI224" s="1"/>
      <c r="CJ224" s="1"/>
      <c r="CK224" s="1"/>
      <c r="CL224" s="1"/>
      <c r="CM224" s="1"/>
      <c r="CN224" s="1"/>
      <c r="CO224" s="1"/>
      <c r="CP224" s="1"/>
      <c r="CQ224" s="1"/>
      <c r="CR224" s="1"/>
      <c r="CS224" s="1"/>
      <c r="CT224" s="1"/>
      <c r="CU224" s="1"/>
      <c r="CV224" s="1"/>
      <c r="CW224" s="1"/>
      <c r="CX224" s="1"/>
      <c r="CY224" s="1"/>
      <c r="CZ224" s="1"/>
      <c r="DA224" s="1"/>
      <c r="DB224"/>
      <c r="DC224" s="1"/>
      <c r="DD224" s="1"/>
      <c r="DE224" s="1"/>
      <c r="DF224" s="1"/>
      <c r="DG224" s="1"/>
      <c r="DH224" s="1"/>
      <c r="DI224" s="1"/>
      <c r="DJ224" s="1"/>
      <c r="DK224" s="1"/>
      <c r="DL224" s="1"/>
      <c r="DM224" s="1"/>
      <c r="DN224" s="1"/>
      <c r="DO224" s="1"/>
      <c r="DP224" s="1"/>
      <c r="DQ224" s="1"/>
      <c r="DR224" s="1"/>
      <c r="DS224" s="1"/>
      <c r="DT224" s="1"/>
      <c r="DU224" s="1"/>
      <c r="DV224" s="1"/>
      <c r="DW224" s="1"/>
      <c r="DX224" s="1"/>
      <c r="DY224" s="1"/>
      <c r="DZ224" s="1"/>
      <c r="EA224" s="1"/>
      <c r="EB224" s="1"/>
      <c r="EC224" s="1"/>
      <c r="ED224" s="1"/>
      <c r="EE224" s="1"/>
      <c r="EF224" s="1"/>
      <c r="EG224" s="1"/>
      <c r="EH224" s="1"/>
      <c r="EI224" s="1"/>
      <c r="EJ224" s="1"/>
      <c r="EK224" s="1"/>
      <c r="EL224" s="1"/>
      <c r="EM224" s="1"/>
      <c r="EN224" s="1"/>
      <c r="EO224" s="1"/>
      <c r="EP224" s="1"/>
      <c r="EQ224" s="1"/>
      <c r="ER224" s="1"/>
      <c r="ES224" s="1"/>
      <c r="ET224" s="1"/>
      <c r="EU224" s="1"/>
      <c r="EV224" s="1"/>
      <c r="EW224" s="1"/>
      <c r="EX224" s="1"/>
      <c r="EY224" s="1"/>
      <c r="EZ224" s="1"/>
      <c r="FA224" s="1"/>
      <c r="FB224" s="1"/>
      <c r="FC224" s="1"/>
      <c r="FD224" s="1"/>
      <c r="FE224" s="1"/>
      <c r="FF224" s="1"/>
      <c r="FG224" s="1"/>
      <c r="FH224" s="1"/>
      <c r="FI224" s="1"/>
      <c r="FJ224" s="1"/>
      <c r="FK224" s="1"/>
      <c r="FL224" s="1"/>
      <c r="FM224" s="1"/>
      <c r="FN224" s="1"/>
      <c r="FO224" s="1"/>
      <c r="FP224" s="1"/>
      <c r="FQ224" s="1"/>
      <c r="FR224" s="1"/>
      <c r="FS224" s="1"/>
      <c r="FT224" s="1"/>
      <c r="FU224" s="1"/>
      <c r="FV224" s="1"/>
      <c r="FW224" s="1"/>
      <c r="FX224" s="1"/>
      <c r="FY224" s="1"/>
      <c r="FZ224" s="1"/>
      <c r="GA224" s="1"/>
      <c r="GB224" s="1"/>
      <c r="GC224" s="1"/>
      <c r="GD224" s="1"/>
      <c r="GE224" s="1"/>
      <c r="GF224" s="1"/>
      <c r="GG224" s="1"/>
      <c r="GH224" s="1"/>
      <c r="GI224" s="1"/>
      <c r="GJ224" s="1"/>
      <c r="GK224" s="1"/>
      <c r="GL224" s="1"/>
      <c r="GM224" s="1"/>
      <c r="GN224" s="1"/>
      <c r="GO224" s="1"/>
      <c r="GP224" s="1"/>
      <c r="GQ224" s="1"/>
      <c r="GR224" s="1"/>
      <c r="GS224" s="1"/>
      <c r="GT224" s="1"/>
      <c r="GU224" s="1"/>
      <c r="GV224" s="1"/>
      <c r="GW224" s="1"/>
      <c r="GX224" s="1"/>
      <c r="GY224" s="1"/>
      <c r="GZ224" s="1"/>
      <c r="HA224" s="1"/>
      <c r="HB224" s="1"/>
      <c r="HC224" s="1"/>
      <c r="HD224" s="1"/>
      <c r="HE224" s="1"/>
      <c r="HF224" s="1"/>
      <c r="HG224" s="1"/>
      <c r="HH224" s="1"/>
      <c r="HI224" s="1"/>
      <c r="HJ224" s="1"/>
      <c r="HK224" s="1"/>
      <c r="HL224" s="1"/>
      <c r="HM224" s="1"/>
      <c r="HN224" s="1"/>
      <c r="HO224" s="1"/>
      <c r="HP224" s="1"/>
      <c r="HQ224" s="1"/>
      <c r="HR224" s="1"/>
      <c r="HS224" s="1"/>
      <c r="HT224" s="1"/>
      <c r="HU224" s="1"/>
      <c r="HV224" s="1"/>
      <c r="HW224" s="1"/>
      <c r="HX224" s="1"/>
      <c r="HY224" s="1"/>
      <c r="HZ224" s="1"/>
      <c r="IA224" s="1"/>
      <c r="IB224" s="1"/>
      <c r="IC224" s="1"/>
      <c r="ID224" s="1"/>
      <c r="IE224" s="1"/>
      <c r="IF224" s="1"/>
      <c r="IG224" s="1"/>
      <c r="IH224" s="1"/>
      <c r="II224" s="1"/>
      <c r="IJ224" s="1"/>
      <c r="IK224" s="1"/>
      <c r="IL224" s="1"/>
      <c r="IM224" s="1"/>
      <c r="IN224" s="1"/>
      <c r="IO224" s="1"/>
      <c r="IP224" s="1"/>
      <c r="IQ224" s="1"/>
      <c r="IR224" s="1"/>
      <c r="IS224" s="1"/>
      <c r="IT224" s="1"/>
      <c r="IU224" s="1"/>
      <c r="IV224" s="1"/>
      <c r="IW224" s="1"/>
      <c r="IX224" s="1"/>
      <c r="IY224" s="1"/>
      <c r="IZ224" s="1"/>
      <c r="JA224" s="1"/>
      <c r="JB224" s="1"/>
      <c r="JC224" s="1"/>
      <c r="JD224" s="1"/>
      <c r="JE224" s="1"/>
      <c r="JF224" s="1"/>
      <c r="JG224" s="1"/>
      <c r="JH224" s="1"/>
      <c r="JI224" s="1"/>
      <c r="JJ224" s="1"/>
      <c r="JK224" s="1"/>
      <c r="JL224" s="1"/>
      <c r="JM224" s="1"/>
      <c r="JN224" s="1"/>
      <c r="JO224" s="1"/>
      <c r="JP224" s="1"/>
      <c r="JQ224" s="1"/>
      <c r="JR224" s="1"/>
      <c r="JS224" s="1"/>
      <c r="JT224" s="1"/>
      <c r="JU224" s="1"/>
      <c r="JV224" s="1"/>
      <c r="JW224" s="1"/>
      <c r="JX224" s="1"/>
      <c r="JY224" s="1"/>
      <c r="JZ224" s="1"/>
      <c r="KA224" s="1"/>
      <c r="KB224" s="1"/>
      <c r="KC224" s="1"/>
      <c r="KD224" s="1"/>
      <c r="KE224" s="1"/>
      <c r="KF224" s="1"/>
      <c r="KG224" s="1"/>
      <c r="KH224" s="1"/>
      <c r="KI224" s="1"/>
      <c r="KJ224" s="1"/>
      <c r="KK224" s="1"/>
      <c r="KL224" s="1"/>
      <c r="KM224" s="1"/>
      <c r="KN224" s="1"/>
      <c r="KO224" s="1"/>
      <c r="KP224" s="1"/>
      <c r="KQ224" s="1"/>
      <c r="KR224" s="1"/>
      <c r="KS224" s="1"/>
      <c r="KT224" s="1"/>
      <c r="KU224" s="1"/>
      <c r="KV224" s="1"/>
      <c r="KW224" s="1"/>
      <c r="KX224" s="1"/>
      <c r="KY224" s="1"/>
      <c r="KZ224" s="1"/>
      <c r="LA224" s="1"/>
      <c r="LB224" s="1"/>
      <c r="LC224" s="1"/>
      <c r="LD224" s="1"/>
      <c r="LE224" s="1"/>
      <c r="LF224" s="1"/>
      <c r="LG224" s="1"/>
      <c r="LH224" s="1"/>
      <c r="LI224" s="1"/>
      <c r="LJ224" s="1"/>
      <c r="LK224" s="1"/>
      <c r="LL224" s="1"/>
      <c r="LM224" s="1"/>
      <c r="LN224" s="1"/>
      <c r="LO224" s="1"/>
      <c r="LP224" s="1"/>
      <c r="LQ224" s="1"/>
      <c r="LR224" s="1"/>
      <c r="LS224" s="1"/>
      <c r="LT224" s="1"/>
      <c r="LU224" s="1"/>
      <c r="LV224" s="1"/>
      <c r="LW224" s="1"/>
      <c r="LX224" s="1"/>
      <c r="LY224" s="1"/>
      <c r="LZ224" s="1"/>
      <c r="MA224" s="1"/>
      <c r="MB224" s="1"/>
      <c r="MC224" s="1"/>
      <c r="MD224" s="1"/>
      <c r="ME224" s="1"/>
      <c r="MF224" s="1"/>
      <c r="MG224" s="1"/>
      <c r="MH224" s="1"/>
      <c r="MI224" s="1"/>
      <c r="MJ224" s="1"/>
      <c r="MK224" s="1"/>
      <c r="ML224" s="1"/>
      <c r="MM224" s="1"/>
      <c r="MN224" s="1"/>
      <c r="MO224" s="1"/>
      <c r="MP224" s="1"/>
      <c r="MQ224" s="1"/>
      <c r="MR224" s="1"/>
      <c r="MS224" s="1"/>
      <c r="MT224" s="1"/>
      <c r="MU224" s="1"/>
      <c r="MV224" s="1"/>
      <c r="MW224" s="1"/>
      <c r="MX224" s="1"/>
      <c r="MY224" s="1"/>
      <c r="MZ224" s="1"/>
      <c r="NA224" s="1"/>
      <c r="NB224" s="1"/>
      <c r="NC224" s="1"/>
      <c r="ND224" s="1"/>
      <c r="NE224" s="1"/>
      <c r="NF224" s="1"/>
      <c r="NG224" s="1"/>
      <c r="NH224" s="1"/>
      <c r="NI224" s="1"/>
      <c r="NJ224" s="1"/>
      <c r="NK224" s="1"/>
      <c r="NL224" s="1"/>
      <c r="NM224" s="1"/>
      <c r="NN224" s="1"/>
      <c r="NO224" s="1"/>
      <c r="NP224" s="1"/>
      <c r="NQ224" s="1"/>
      <c r="NR224" s="1"/>
      <c r="NS224" s="1"/>
      <c r="NT224" s="1"/>
      <c r="NU224" s="1"/>
      <c r="NV224" s="1"/>
      <c r="NW224" s="1"/>
      <c r="NX224" s="1"/>
      <c r="NY224" s="1"/>
      <c r="NZ224" s="1"/>
      <c r="OA224" s="1"/>
      <c r="OB224" s="1"/>
      <c r="OC224" s="1"/>
      <c r="OD224" s="1"/>
      <c r="OE224" s="1"/>
      <c r="OF224" s="1"/>
      <c r="OG224" s="1"/>
      <c r="OH224" s="1"/>
      <c r="OI224" s="1"/>
      <c r="OJ224" s="1"/>
      <c r="OK224" s="1"/>
      <c r="OL224" s="1"/>
      <c r="OM224" s="1"/>
      <c r="ON224" s="1"/>
      <c r="OO224" s="1"/>
      <c r="OP224" s="1"/>
      <c r="OQ224" s="1"/>
      <c r="OR224" s="1"/>
      <c r="OS224" s="1"/>
      <c r="OT224" s="1"/>
      <c r="OU224" s="1"/>
      <c r="OV224" s="1"/>
      <c r="OW224" s="1"/>
      <c r="OX224" s="1"/>
      <c r="OY224" s="1"/>
      <c r="OZ224" s="1"/>
      <c r="PA224" s="1"/>
      <c r="PB224" s="1"/>
      <c r="PC224" s="1"/>
      <c r="PD224" s="1"/>
      <c r="PE224" s="1"/>
      <c r="PF224" s="1"/>
      <c r="PG224" s="1"/>
      <c r="PH224" s="1"/>
      <c r="PI224" s="1"/>
      <c r="PJ224" s="1"/>
      <c r="PK224" s="1"/>
      <c r="PL224" s="1"/>
      <c r="PM224" s="1"/>
      <c r="PN224" s="1"/>
      <c r="PO224" s="1"/>
      <c r="PP224" s="1"/>
      <c r="PQ224" s="1"/>
      <c r="PR224" s="1"/>
      <c r="PS224" s="1"/>
      <c r="PT224" s="1"/>
      <c r="PU224" s="1"/>
      <c r="PV224" s="1"/>
      <c r="PW224" s="1"/>
      <c r="PX224" s="1"/>
      <c r="PY224" s="1"/>
      <c r="PZ224" s="1"/>
      <c r="QA224" s="1"/>
      <c r="QB224" s="1"/>
      <c r="QC224" s="1"/>
      <c r="QD224" s="1"/>
      <c r="QE224" s="1"/>
      <c r="QF224" s="1"/>
      <c r="QG224" s="1"/>
      <c r="QH224" s="1"/>
      <c r="QI224" s="1"/>
      <c r="QJ224" s="1"/>
      <c r="QK224" s="1"/>
      <c r="QL224" s="1"/>
      <c r="QM224" s="1"/>
      <c r="QN224" s="1"/>
      <c r="QO224" s="1"/>
      <c r="QP224" s="1"/>
      <c r="QQ224" s="1"/>
      <c r="QR224" s="1"/>
      <c r="QS224" s="1"/>
      <c r="QT224" s="1"/>
      <c r="QU224" s="1"/>
      <c r="QV224" s="1"/>
      <c r="QW224" s="1"/>
      <c r="QX224" s="1"/>
      <c r="QY224" s="1"/>
      <c r="QZ224" s="1"/>
      <c r="RA224" s="1"/>
      <c r="RB224" s="1"/>
      <c r="RC224" s="1"/>
      <c r="RD224" s="1"/>
      <c r="RE224" s="1"/>
      <c r="RF224" s="1"/>
      <c r="RG224" s="1"/>
      <c r="RH224" s="1"/>
      <c r="RI224" s="1"/>
      <c r="RJ224" s="1"/>
      <c r="RK224" s="1"/>
      <c r="RL224" s="1"/>
      <c r="RM224" s="1"/>
      <c r="RN224" s="1"/>
      <c r="RO224" s="1"/>
      <c r="RP224" s="1"/>
      <c r="RQ224" s="1"/>
      <c r="RR224" s="1"/>
      <c r="RS224" s="1"/>
      <c r="RT224" s="1"/>
      <c r="RU224" s="1"/>
      <c r="RV224" s="1"/>
      <c r="RW224" s="1"/>
      <c r="RX224" s="1"/>
      <c r="RY224" s="1"/>
      <c r="RZ224" s="1"/>
      <c r="SA224" s="1"/>
      <c r="SB224" s="1"/>
      <c r="SC224" s="1"/>
      <c r="SD224" s="1"/>
      <c r="SE224" s="1"/>
      <c r="SF224" s="1"/>
      <c r="SG224" s="1"/>
      <c r="SH224" s="1"/>
      <c r="SI224" s="1"/>
      <c r="SJ224" s="1"/>
      <c r="SK224" s="1"/>
      <c r="SL224" s="1"/>
      <c r="SM224" s="1"/>
      <c r="SN224" s="1"/>
      <c r="SO224" s="1"/>
      <c r="SP224" s="1"/>
      <c r="SQ224" s="1"/>
      <c r="SR224" s="1"/>
      <c r="SS224" s="1"/>
      <c r="ST224" s="1"/>
      <c r="SU224" s="1"/>
      <c r="SV224" s="1"/>
      <c r="SW224" s="1"/>
      <c r="SX224" s="1"/>
      <c r="SY224" s="1"/>
      <c r="SZ224" s="1"/>
      <c r="TA224" s="1"/>
      <c r="TB224" s="1"/>
      <c r="TC224" s="1"/>
      <c r="TD224" s="1"/>
      <c r="TE224" s="1"/>
      <c r="TF224" s="1"/>
      <c r="TG224" s="1"/>
      <c r="TH224" s="1"/>
      <c r="TI224" s="1"/>
      <c r="TJ224" s="1"/>
      <c r="TK224" s="1"/>
      <c r="TL224" s="1"/>
      <c r="TM224" s="1"/>
      <c r="TN224" s="1"/>
      <c r="TO224" s="1"/>
      <c r="TP224" s="1"/>
      <c r="TQ224" s="1"/>
      <c r="TR224" s="1"/>
      <c r="TS224" s="1"/>
      <c r="TT224" s="1"/>
      <c r="TU224" s="1"/>
      <c r="TV224" s="1"/>
      <c r="TW224" s="1"/>
      <c r="TX224" s="1"/>
      <c r="TY224" s="1"/>
      <c r="TZ224" s="1"/>
      <c r="UA224" s="1"/>
      <c r="UB224" s="1"/>
      <c r="UC224" s="1"/>
      <c r="UD224" s="1"/>
      <c r="UE224" s="1"/>
      <c r="UF224" s="1"/>
      <c r="UG224" s="1"/>
      <c r="UH224" s="1"/>
      <c r="UI224" s="1"/>
      <c r="UJ224" s="1"/>
      <c r="UK224" s="1"/>
      <c r="UL224" s="1"/>
      <c r="UM224" s="1"/>
      <c r="UN224" s="1"/>
      <c r="UO224" s="1"/>
      <c r="UP224" s="1"/>
      <c r="UQ224" s="1"/>
      <c r="UR224" s="1"/>
      <c r="US224" s="1"/>
      <c r="UT224" s="1"/>
      <c r="UU224" s="1"/>
      <c r="UV224" s="1"/>
      <c r="UW224" s="1"/>
      <c r="UX224" s="1"/>
      <c r="UY224" s="1"/>
      <c r="UZ224" s="1"/>
      <c r="VA224" s="1"/>
      <c r="VB224" s="1"/>
      <c r="VC224" s="1"/>
      <c r="VD224" s="1"/>
      <c r="VE224" s="1"/>
      <c r="VF224" s="1"/>
      <c r="VG224" s="1"/>
      <c r="VH224" s="1"/>
      <c r="VI224" s="1"/>
      <c r="VJ224" s="1"/>
      <c r="VK224" s="1"/>
      <c r="VL224" s="1"/>
      <c r="VM224" s="1"/>
      <c r="VN224" s="1"/>
      <c r="VO224" s="1"/>
      <c r="VP224" s="1"/>
      <c r="VQ224" s="1"/>
      <c r="VR224" s="1"/>
      <c r="VS224" s="1"/>
      <c r="VT224" s="1"/>
      <c r="VU224" s="1"/>
      <c r="VV224" s="1"/>
      <c r="VW224" s="1"/>
      <c r="VX224" s="1"/>
      <c r="VY224" s="1"/>
      <c r="VZ224" s="1"/>
      <c r="WA224" s="1"/>
      <c r="WB224" s="1"/>
      <c r="WC224" s="1"/>
      <c r="WD224" s="1"/>
      <c r="WE224" s="1"/>
      <c r="WF224" s="1"/>
      <c r="WG224" s="1"/>
      <c r="WH224" s="1"/>
      <c r="WI224" s="1"/>
      <c r="WJ224" s="1"/>
      <c r="WK224" s="1"/>
      <c r="WL224" s="1"/>
      <c r="WM224" s="1"/>
      <c r="WN224" s="1"/>
      <c r="WO224" s="1"/>
      <c r="WP224" s="1"/>
      <c r="WQ224" s="1"/>
      <c r="WR224" s="1"/>
      <c r="WS224" s="1"/>
      <c r="WT224" s="1"/>
      <c r="WU224" s="1"/>
      <c r="WV224" s="1"/>
      <c r="WW224" s="1"/>
      <c r="WX224" s="1"/>
      <c r="WY224" s="1"/>
      <c r="WZ224" s="1"/>
      <c r="XA224" s="1"/>
      <c r="XB224" s="1"/>
      <c r="XC224" s="1"/>
      <c r="XD224" s="1"/>
      <c r="XE224" s="1"/>
      <c r="XF224" s="1"/>
      <c r="XG224" s="1"/>
      <c r="XH224" s="1"/>
      <c r="XI224" s="1"/>
      <c r="XJ224" s="1"/>
      <c r="XK224" s="1"/>
      <c r="XL224" s="1"/>
      <c r="XM224" s="1"/>
      <c r="XN224" s="1"/>
      <c r="XO224" s="1"/>
      <c r="XP224" s="1"/>
      <c r="XQ224" s="1"/>
      <c r="XR224" s="1"/>
      <c r="XS224" s="1"/>
      <c r="XT224" s="1"/>
      <c r="XU224" s="1"/>
      <c r="XV224" s="1"/>
      <c r="XW224" s="1"/>
      <c r="XX224" s="1"/>
      <c r="XY224" s="1"/>
      <c r="XZ224" s="1"/>
      <c r="YA224" s="1"/>
      <c r="YB224" s="1"/>
      <c r="YC224" s="1"/>
      <c r="YD224" s="1"/>
      <c r="YE224" s="1"/>
      <c r="YF224" s="1"/>
      <c r="YG224" s="1"/>
      <c r="YH224" s="1"/>
      <c r="YI224" s="1"/>
      <c r="YJ224" s="1"/>
      <c r="YK224" s="1"/>
      <c r="YL224" s="1"/>
      <c r="YM224" s="1"/>
      <c r="YN224" s="1"/>
      <c r="YO224" s="1"/>
      <c r="YP224" s="1"/>
      <c r="YQ224" s="1"/>
      <c r="YR224" s="1"/>
      <c r="YS224" s="1"/>
      <c r="YT224" s="1"/>
      <c r="YU224" s="1"/>
      <c r="YV224" s="1"/>
      <c r="YW224" s="1"/>
      <c r="YX224" s="1"/>
      <c r="YY224" s="1"/>
      <c r="YZ224" s="1"/>
      <c r="ZA224" s="1"/>
      <c r="ZB224" s="1"/>
      <c r="ZC224" s="1"/>
      <c r="ZD224" s="1"/>
      <c r="ZE224" s="1"/>
      <c r="ZF224" s="1"/>
      <c r="ZG224" s="1"/>
      <c r="ZH224" s="1"/>
      <c r="ZI224" s="1"/>
      <c r="ZJ224" s="1"/>
      <c r="ZK224" s="1"/>
      <c r="ZL224" s="1"/>
      <c r="ZM224" s="1"/>
      <c r="ZN224" s="1"/>
      <c r="ZO224" s="1"/>
      <c r="ZP224" s="1"/>
      <c r="ZQ224" s="1"/>
      <c r="ZR224" s="1"/>
      <c r="ZS224" s="1"/>
      <c r="ZT224" s="1"/>
      <c r="ZU224" s="1"/>
      <c r="ZV224" s="1"/>
      <c r="ZW224" s="1"/>
      <c r="ZX224" s="1"/>
      <c r="ZY224" s="1"/>
      <c r="ZZ224" s="1"/>
      <c r="AAA224" s="1"/>
      <c r="AAB224" s="1"/>
      <c r="AAC224" s="1"/>
      <c r="AAD224" s="1"/>
      <c r="AAE224" s="1"/>
      <c r="AAF224" s="1"/>
      <c r="AAG224" s="1"/>
      <c r="AAH224" s="1"/>
      <c r="AAI224" s="1"/>
      <c r="AAJ224" s="1"/>
      <c r="AAK224" s="1"/>
      <c r="AAL224" s="1"/>
      <c r="AAM224" s="1"/>
      <c r="AAN224" s="1"/>
      <c r="AAO224" s="1"/>
      <c r="AAP224" s="1"/>
      <c r="AAQ224" s="1"/>
      <c r="AAR224" s="1"/>
      <c r="AAS224" s="1"/>
      <c r="AAT224" s="1"/>
      <c r="AAU224" s="1"/>
      <c r="AAV224" s="1"/>
      <c r="AAW224" s="1"/>
      <c r="AAX224" s="1"/>
      <c r="AAY224" s="1"/>
      <c r="AAZ224" s="1"/>
      <c r="ABA224" s="1"/>
      <c r="ABB224" s="1"/>
      <c r="ABC224" s="1"/>
      <c r="ABD224" s="1"/>
      <c r="ABE224" s="1"/>
      <c r="ABF224" s="1"/>
      <c r="ABG224" s="1"/>
      <c r="ABH224" s="1"/>
      <c r="ABI224" s="1"/>
      <c r="ABJ224" s="1"/>
      <c r="ABK224" s="1"/>
      <c r="ABL224" s="1"/>
      <c r="ABM224" s="1"/>
      <c r="ABN224" s="1"/>
      <c r="ABO224" s="1"/>
      <c r="ABP224" s="1"/>
      <c r="ABQ224" s="1"/>
      <c r="ABR224" s="1"/>
      <c r="ABS224" s="1"/>
      <c r="ABT224" s="1"/>
      <c r="ABU224" s="1"/>
      <c r="ABV224" s="1"/>
      <c r="ABW224" s="1"/>
      <c r="ABX224" s="1"/>
      <c r="ABY224" s="1"/>
      <c r="ABZ224" s="1"/>
      <c r="ACA224" s="1"/>
      <c r="ACB224" s="1"/>
      <c r="ACC224" s="1"/>
      <c r="ACD224" s="1"/>
      <c r="ACE224" s="1"/>
      <c r="ACF224" s="1"/>
      <c r="ACG224" s="1"/>
      <c r="ACH224" s="1"/>
      <c r="ACI224" s="1"/>
      <c r="ACJ224" s="1"/>
      <c r="ACK224" s="1"/>
      <c r="ACL224" s="1"/>
      <c r="ACM224" s="1"/>
      <c r="ACN224" s="1"/>
      <c r="ACO224" s="1"/>
      <c r="ACP224" s="1"/>
      <c r="ACQ224" s="1"/>
      <c r="ACR224" s="1"/>
      <c r="ACS224" s="1"/>
      <c r="ACT224" s="1"/>
      <c r="ACU224" s="1"/>
      <c r="ACV224" s="1"/>
      <c r="ACW224" s="1"/>
      <c r="ACX224" s="1"/>
      <c r="ACY224" s="1"/>
      <c r="ACZ224" s="1"/>
      <c r="ADA224" s="1"/>
      <c r="ADB224" s="1"/>
      <c r="ADC224" s="1"/>
      <c r="ADD224" s="1"/>
      <c r="ADE224" s="1"/>
      <c r="ADF224" s="1"/>
      <c r="ADG224" s="1"/>
      <c r="ADH224" s="1"/>
      <c r="ADI224" s="1"/>
      <c r="ADJ224" s="1"/>
      <c r="ADK224" s="1"/>
      <c r="ADL224" s="1"/>
      <c r="ADM224" s="1"/>
      <c r="ADN224" s="1"/>
      <c r="ADO224" s="1"/>
      <c r="ADP224" s="1"/>
      <c r="ADQ224" s="1"/>
      <c r="ADR224" s="1"/>
      <c r="ADS224" s="1"/>
      <c r="ADT224" s="1"/>
      <c r="ADU224" s="1"/>
      <c r="ADV224" s="1"/>
      <c r="ADW224" s="1"/>
      <c r="ADX224" s="1"/>
      <c r="ADY224" s="1"/>
      <c r="ADZ224" s="1"/>
      <c r="AEA224" s="1"/>
      <c r="AEB224" s="1"/>
      <c r="AEC224" s="1"/>
      <c r="AED224" s="1"/>
      <c r="AEE224" s="1"/>
      <c r="AEF224" s="1"/>
      <c r="AEG224" s="1"/>
      <c r="AEH224" s="1"/>
      <c r="AEI224" s="1"/>
      <c r="AEJ224" s="1"/>
      <c r="AEK224" s="1"/>
      <c r="AEL224" s="1"/>
      <c r="AEM224" s="1"/>
      <c r="AEN224" s="1"/>
      <c r="AEO224" s="1"/>
      <c r="AEP224" s="1"/>
      <c r="AEQ224" s="1"/>
      <c r="AER224" s="1"/>
      <c r="AES224" s="1"/>
      <c r="AET224" s="1"/>
      <c r="AEU224" s="1"/>
      <c r="AEV224" s="1"/>
      <c r="AEW224" s="1"/>
      <c r="AEX224" s="1"/>
      <c r="AEY224" s="1"/>
      <c r="AEZ224" s="1"/>
      <c r="AFA224" s="1"/>
      <c r="AFB224" s="1"/>
      <c r="AFC224" s="1"/>
      <c r="AFD224" s="1"/>
      <c r="AFE224" s="1"/>
      <c r="AFF224" s="1"/>
      <c r="AFG224" s="1"/>
      <c r="AFH224" s="1"/>
      <c r="AFI224" s="1"/>
      <c r="AFJ224" s="1"/>
      <c r="AFK224" s="1"/>
      <c r="AFL224" s="1"/>
      <c r="AFM224" s="1"/>
      <c r="AFN224" s="1"/>
      <c r="AFO224" s="1"/>
      <c r="AFP224" s="1"/>
      <c r="AFQ224" s="1"/>
      <c r="AFR224" s="1"/>
      <c r="AFS224" s="1"/>
      <c r="AFT224" s="1"/>
      <c r="AFU224" s="1"/>
      <c r="AFV224" s="1"/>
      <c r="AFW224" s="1"/>
      <c r="AFX224" s="1"/>
      <c r="AFY224" s="1"/>
      <c r="AFZ224" s="1"/>
      <c r="AGA224" s="1"/>
      <c r="AGB224" s="1"/>
      <c r="AGC224" s="1"/>
      <c r="AGD224" s="1"/>
      <c r="AGE224" s="1"/>
      <c r="AGF224" s="1"/>
      <c r="AGG224" s="1"/>
      <c r="AGH224" s="1"/>
      <c r="AGI224" s="1"/>
      <c r="AGJ224" s="1"/>
      <c r="AGK224" s="1"/>
      <c r="AGL224" s="1"/>
      <c r="AGM224" s="1"/>
      <c r="AGN224" s="1"/>
      <c r="AGO224" s="1"/>
      <c r="AGP224" s="1"/>
      <c r="AGQ224" s="1"/>
      <c r="AGR224" s="1"/>
      <c r="AGS224" s="1"/>
      <c r="AGT224" s="1"/>
      <c r="AGU224" s="1"/>
      <c r="AGV224" s="1"/>
      <c r="AGW224" s="1"/>
      <c r="AGX224" s="1"/>
      <c r="AGY224" s="1"/>
      <c r="AGZ224" s="1"/>
      <c r="AHA224" s="1"/>
      <c r="AHB224" s="1"/>
      <c r="AHC224" s="1"/>
      <c r="AHD224" s="1"/>
      <c r="AHE224" s="1"/>
      <c r="AHF224" s="1"/>
      <c r="AHG224" s="1"/>
      <c r="AHH224" s="1"/>
      <c r="AHI224" s="1"/>
      <c r="AHJ224" s="1"/>
      <c r="AHK224" s="1"/>
      <c r="AHL224" s="1"/>
      <c r="AHM224" s="1"/>
      <c r="AHN224" s="1"/>
      <c r="AHO224" s="1"/>
      <c r="AHP224" s="1"/>
      <c r="AHQ224" s="1"/>
      <c r="AHR224" s="1"/>
      <c r="AHS224" s="1"/>
      <c r="AHT224" s="1"/>
      <c r="AHU224" s="1"/>
      <c r="AHV224" s="1"/>
      <c r="AHW224" s="1"/>
      <c r="AHX224" s="1"/>
      <c r="AHY224" s="1"/>
      <c r="AHZ224" s="1"/>
      <c r="AIA224" s="1"/>
      <c r="AIB224" s="1"/>
      <c r="AIC224" s="1"/>
      <c r="AID224" s="1"/>
      <c r="AIE224" s="1"/>
      <c r="AIF224" s="1"/>
      <c r="AIG224" s="1"/>
      <c r="AIH224" s="1"/>
      <c r="AII224" s="1"/>
      <c r="AIJ224" s="1"/>
      <c r="AIK224" s="1"/>
      <c r="AIL224" s="1"/>
      <c r="AIM224" s="1"/>
      <c r="AIN224" s="1"/>
      <c r="AIO224" s="1"/>
      <c r="AIP224" s="1"/>
      <c r="AIQ224" s="1"/>
      <c r="AIR224" s="1"/>
      <c r="AIS224" s="1"/>
      <c r="AIT224" s="1"/>
      <c r="AIU224" s="1"/>
      <c r="AIV224" s="1"/>
      <c r="AIW224" s="1"/>
      <c r="AIX224" s="1"/>
      <c r="AIY224" s="1"/>
      <c r="AIZ224" s="1"/>
      <c r="AJA224" s="1"/>
      <c r="AJB224" s="1"/>
      <c r="AJC224" s="1"/>
      <c r="AJD224" s="1"/>
      <c r="AJE224" s="1"/>
      <c r="AJF224" s="1"/>
      <c r="AJG224" s="1"/>
      <c r="AJH224" s="1"/>
      <c r="AJI224" s="1"/>
      <c r="AJJ224" s="1"/>
      <c r="AJK224" s="1"/>
      <c r="AJL224" s="1"/>
      <c r="AJM224" s="1"/>
      <c r="AJN224" s="1"/>
      <c r="AJO224" s="1"/>
      <c r="AJP224" s="1"/>
      <c r="AJQ224" s="1"/>
      <c r="AJR224" s="1"/>
      <c r="AJS224" s="1"/>
      <c r="AJT224" s="1"/>
      <c r="AJU224" s="1"/>
      <c r="AJV224" s="1"/>
      <c r="AJW224" s="1"/>
      <c r="AJX224" s="1"/>
      <c r="AJY224" s="1"/>
      <c r="AJZ224" s="1"/>
      <c r="AKA224" s="1"/>
      <c r="AKB224" s="1"/>
      <c r="AKC224" s="1"/>
      <c r="AKD224" s="1"/>
      <c r="AKE224" s="1"/>
      <c r="AKF224" s="1"/>
      <c r="AKG224" s="1"/>
      <c r="AKH224" s="1"/>
      <c r="AKI224" s="1"/>
      <c r="AKJ224" s="1"/>
      <c r="AKK224" s="1"/>
      <c r="AKL224" s="1"/>
      <c r="AKM224" s="1"/>
      <c r="AKN224" s="1"/>
      <c r="AKO224" s="1"/>
      <c r="AKP224" s="1"/>
      <c r="AKQ224" s="1"/>
      <c r="AKR224" s="1"/>
      <c r="AKS224" s="1"/>
      <c r="AKT224" s="1"/>
      <c r="AKU224" s="1"/>
      <c r="AKV224" s="1"/>
      <c r="AKW224" s="1"/>
      <c r="AKX224" s="1"/>
      <c r="AKY224" s="1"/>
      <c r="AKZ224" s="1"/>
      <c r="ALA224" s="1"/>
      <c r="ALB224" s="1"/>
      <c r="ALC224" s="1"/>
      <c r="ALD224" s="1"/>
      <c r="ALE224" s="1"/>
      <c r="ALF224" s="1"/>
      <c r="ALG224" s="1"/>
      <c r="ALH224" s="1"/>
      <c r="ALI224" s="1"/>
      <c r="ALJ224" s="1"/>
      <c r="ALK224" s="1"/>
      <c r="ALL224" s="1"/>
      <c r="ALM224" s="1"/>
      <c r="ALN224" s="1"/>
      <c r="ALO224" s="1"/>
      <c r="ALP224" s="1"/>
      <c r="ALQ224" s="1"/>
      <c r="ALR224" s="1"/>
      <c r="ALS224" s="1"/>
      <c r="ALT224" s="1"/>
      <c r="ALU224" s="1"/>
      <c r="ALV224" s="1"/>
      <c r="ALW224" s="1"/>
      <c r="ALX224" s="1"/>
      <c r="ALY224" s="1"/>
      <c r="ALZ224" s="1"/>
      <c r="AMA224" s="1"/>
      <c r="AMB224" s="1"/>
      <c r="AMC224" s="1"/>
      <c r="AMD224" s="1"/>
      <c r="AME224" s="1"/>
      <c r="AMF224" s="1"/>
      <c r="AMG224" s="1"/>
      <c r="AMH224" s="1"/>
      <c r="AMI224" s="1"/>
      <c r="AMJ224" s="1"/>
      <c r="AMK224" s="1"/>
      <c r="AML224" s="1"/>
      <c r="AMM224" s="1"/>
      <c r="AMN224" s="1"/>
      <c r="AMO224" s="1"/>
      <c r="AMP224" s="1"/>
      <c r="AMQ224" s="1"/>
      <c r="AMR224" s="1"/>
      <c r="AMS224" s="1"/>
      <c r="AMT224" s="1"/>
      <c r="AMU224" s="1"/>
      <c r="AMV224" s="1"/>
      <c r="AMW224" s="1"/>
      <c r="AMX224" s="1"/>
      <c r="AMY224" s="1"/>
      <c r="AMZ224" s="1"/>
      <c r="ANA224" s="1"/>
      <c r="ANB224" s="1"/>
      <c r="ANC224" s="1"/>
      <c r="AND224" s="1"/>
      <c r="ANE224" s="1"/>
      <c r="ANF224" s="1"/>
      <c r="ANG224" s="1"/>
      <c r="ANH224" s="1"/>
      <c r="ANI224" s="1"/>
      <c r="ANJ224" s="1"/>
      <c r="ANK224" s="1"/>
      <c r="ANL224" s="1"/>
      <c r="ANM224" s="1"/>
      <c r="ANN224" s="1"/>
      <c r="ANO224" s="1"/>
      <c r="ANP224" s="1"/>
      <c r="ANQ224" s="1"/>
      <c r="ANR224" s="1"/>
      <c r="ANS224" s="1"/>
      <c r="ANT224" s="1"/>
      <c r="ANU224" s="1"/>
      <c r="ANV224" s="1"/>
      <c r="ANW224" s="1"/>
      <c r="ANX224" s="1"/>
      <c r="ANY224" s="1"/>
      <c r="ANZ224" s="1"/>
      <c r="AOA224" s="1"/>
      <c r="AOB224" s="1"/>
      <c r="AOC224" s="1"/>
      <c r="AOD224" s="1"/>
      <c r="AOE224" s="1"/>
      <c r="AOF224" s="1"/>
      <c r="AOG224" s="1"/>
      <c r="AOH224" s="1"/>
      <c r="AOI224" s="1"/>
      <c r="AOJ224" s="1"/>
      <c r="AOK224" s="1"/>
      <c r="AOL224" s="1"/>
      <c r="AOM224" s="1"/>
      <c r="AON224" s="1"/>
      <c r="AOO224" s="1"/>
      <c r="AOP224" s="1"/>
      <c r="AOQ224" s="1"/>
      <c r="AOR224" s="1"/>
      <c r="AOS224" s="1"/>
      <c r="AOT224" s="1"/>
      <c r="AOU224" s="1"/>
      <c r="AOV224" s="1"/>
      <c r="AOW224" s="1"/>
      <c r="AOX224" s="1"/>
      <c r="AOY224" s="1"/>
      <c r="AOZ224" s="1"/>
      <c r="APA224" s="1"/>
      <c r="APB224" s="1"/>
      <c r="APC224" s="1"/>
      <c r="APD224" s="1"/>
      <c r="APE224" s="1"/>
      <c r="APF224" s="1"/>
      <c r="APG224" s="1"/>
      <c r="APH224" s="1"/>
      <c r="API224" s="1"/>
      <c r="APJ224" s="1"/>
      <c r="APK224" s="1"/>
      <c r="APL224" s="1"/>
      <c r="APM224" s="1"/>
      <c r="APN224" s="1"/>
      <c r="APO224" s="1"/>
      <c r="APP224" s="1"/>
      <c r="APQ224" s="1"/>
      <c r="APR224" s="1"/>
      <c r="APS224" s="1"/>
      <c r="APT224" s="1"/>
      <c r="APU224" s="1"/>
      <c r="APV224" s="1"/>
      <c r="APW224" s="1"/>
      <c r="APX224" s="1"/>
      <c r="APY224" s="1"/>
      <c r="APZ224" s="1"/>
      <c r="AQA224" s="1"/>
      <c r="AQB224" s="1"/>
      <c r="AQC224" s="1"/>
      <c r="AQD224" s="1"/>
      <c r="AQE224" s="1"/>
      <c r="AQF224" s="1"/>
      <c r="AQG224" s="1"/>
      <c r="AQH224" s="1"/>
      <c r="AQI224" s="1"/>
      <c r="AQJ224" s="1"/>
      <c r="AQK224" s="1"/>
      <c r="AQL224" s="1"/>
      <c r="AQM224" s="1"/>
      <c r="AQN224" s="1"/>
      <c r="AQO224" s="1"/>
      <c r="AQP224" s="1"/>
      <c r="AQQ224" s="1"/>
      <c r="AQR224" s="1"/>
      <c r="AQS224" s="1"/>
      <c r="AQT224" s="1"/>
      <c r="AQU224" s="1"/>
      <c r="AQV224" s="1"/>
      <c r="AQW224" s="1"/>
      <c r="AQX224" s="1"/>
      <c r="AQY224" s="1"/>
      <c r="AQZ224" s="1"/>
      <c r="ARA224" s="1"/>
      <c r="ARB224" s="1"/>
      <c r="ARC224" s="1"/>
      <c r="ARD224" s="1"/>
      <c r="ARE224" s="1"/>
      <c r="ARF224" s="1"/>
      <c r="ARG224" s="1"/>
      <c r="ARH224" s="1"/>
      <c r="ARI224" s="1"/>
      <c r="ARJ224" s="1"/>
      <c r="ARK224" s="1"/>
      <c r="ARL224" s="1"/>
      <c r="ARM224" s="1"/>
      <c r="ARN224" s="1"/>
      <c r="ARO224" s="1"/>
      <c r="ARP224" s="1"/>
      <c r="ARQ224" s="1"/>
      <c r="ARR224" s="1"/>
      <c r="ARS224" s="1"/>
      <c r="ART224" s="1"/>
      <c r="ARU224" s="1"/>
      <c r="ARV224" s="1"/>
      <c r="ARW224" s="1"/>
      <c r="ARX224" s="1"/>
      <c r="ARY224" s="1"/>
      <c r="ARZ224" s="1"/>
      <c r="ASA224" s="1"/>
      <c r="ASB224" s="1"/>
      <c r="ASC224" s="1"/>
      <c r="ASD224" s="1"/>
      <c r="ASE224" s="1"/>
      <c r="ASF224" s="1"/>
      <c r="ASG224" s="1"/>
      <c r="ASH224" s="1"/>
      <c r="ASI224" s="1"/>
      <c r="ASJ224" s="1"/>
      <c r="ASK224" s="1"/>
      <c r="ASL224" s="1"/>
      <c r="ASM224" s="1"/>
      <c r="ASN224" s="1"/>
      <c r="ASO224" s="1"/>
      <c r="ASP224" s="1"/>
      <c r="ASQ224" s="1"/>
      <c r="ASR224" s="1"/>
      <c r="ASS224" s="1"/>
      <c r="AST224" s="1"/>
      <c r="ASU224" s="1"/>
      <c r="ASV224" s="1"/>
      <c r="ASW224" s="1"/>
      <c r="ASX224" s="1"/>
      <c r="ASY224" s="1"/>
      <c r="ASZ224" s="1"/>
      <c r="ATA224" s="1"/>
      <c r="ATB224" s="1"/>
      <c r="ATC224" s="1"/>
      <c r="ATD224" s="1"/>
      <c r="ATE224" s="1"/>
      <c r="ATF224" s="1"/>
      <c r="ATG224" s="1"/>
      <c r="ATH224" s="1"/>
      <c r="ATI224" s="1"/>
      <c r="ATJ224" s="1"/>
      <c r="ATK224" s="1"/>
      <c r="ATL224" s="1"/>
      <c r="ATM224" s="1"/>
      <c r="ATN224" s="1"/>
      <c r="ATO224" s="1"/>
      <c r="ATP224" s="1"/>
      <c r="ATQ224" s="1"/>
      <c r="ATR224" s="1"/>
      <c r="ATS224" s="1"/>
      <c r="ATT224" s="1"/>
      <c r="ATU224" s="1"/>
      <c r="ATV224" s="1"/>
      <c r="ATW224" s="1"/>
      <c r="ATX224" s="1"/>
      <c r="ATY224" s="1"/>
      <c r="ATZ224" s="1"/>
      <c r="AUA224" s="1"/>
      <c r="AUB224" s="1"/>
      <c r="AUC224" s="1"/>
      <c r="AUD224" s="1"/>
      <c r="AUE224" s="1"/>
      <c r="AUF224" s="1"/>
      <c r="AUG224" s="1"/>
      <c r="AUH224" s="1"/>
      <c r="AUI224" s="1"/>
      <c r="AUJ224" s="1"/>
      <c r="AUK224" s="1"/>
      <c r="AUL224" s="1"/>
      <c r="AUM224" s="1"/>
      <c r="AUN224" s="1"/>
      <c r="AUO224" s="1"/>
      <c r="AUP224" s="1"/>
      <c r="AUQ224" s="1"/>
      <c r="AUR224" s="1"/>
      <c r="AUS224" s="1"/>
      <c r="AUT224" s="1"/>
      <c r="AUU224" s="1"/>
      <c r="AUV224" s="1"/>
      <c r="AUW224" s="1"/>
      <c r="AUX224" s="1"/>
      <c r="AUY224" s="1"/>
      <c r="AUZ224" s="1"/>
      <c r="AVA224" s="1"/>
      <c r="AVB224" s="1"/>
      <c r="AVC224" s="1"/>
      <c r="AVD224" s="1"/>
      <c r="AVE224" s="1"/>
      <c r="AVF224" s="1"/>
      <c r="AVG224" s="1"/>
      <c r="AVH224" s="1"/>
      <c r="AVI224" s="1"/>
      <c r="AVJ224" s="1"/>
      <c r="AVK224" s="1"/>
      <c r="AVL224" s="1"/>
      <c r="AVM224" s="1"/>
      <c r="AVN224" s="1"/>
      <c r="AVO224" s="1"/>
      <c r="AVP224" s="1"/>
      <c r="AVQ224" s="1"/>
      <c r="AVR224" s="1"/>
      <c r="AVS224" s="1"/>
      <c r="AVT224" s="1"/>
      <c r="AVU224" s="1"/>
      <c r="AVV224" s="1"/>
      <c r="AVW224" s="1"/>
      <c r="AVX224" s="1"/>
      <c r="AVY224" s="1"/>
      <c r="AVZ224" s="1"/>
      <c r="AWA224" s="1"/>
      <c r="AWB224" s="1"/>
      <c r="AWC224" s="1"/>
      <c r="AWD224" s="1"/>
      <c r="AWE224" s="1"/>
      <c r="AWF224" s="1"/>
      <c r="AWG224" s="1"/>
      <c r="AWH224" s="1"/>
      <c r="AWI224" s="1"/>
      <c r="AWJ224" s="1"/>
      <c r="AWK224" s="1"/>
      <c r="AWL224" s="1"/>
      <c r="AWM224" s="1"/>
      <c r="AWN224" s="1"/>
      <c r="AWO224" s="1"/>
      <c r="AWP224" s="1"/>
      <c r="AWQ224" s="1"/>
      <c r="AWR224" s="1"/>
      <c r="AWS224" s="1"/>
      <c r="AWT224" s="1"/>
      <c r="AWU224" s="1"/>
      <c r="AWV224" s="1"/>
      <c r="AWW224" s="1"/>
      <c r="AWX224" s="1"/>
      <c r="AWY224" s="1"/>
      <c r="AWZ224" s="1"/>
      <c r="AXA224" s="1"/>
      <c r="AXB224" s="1"/>
      <c r="AXC224" s="1"/>
      <c r="AXD224" s="1"/>
      <c r="AXE224" s="1"/>
      <c r="AXF224" s="1"/>
      <c r="AXG224" s="1"/>
      <c r="AXH224" s="1"/>
      <c r="AXI224" s="1"/>
      <c r="AXJ224" s="1"/>
      <c r="AXK224" s="1"/>
      <c r="AXL224" s="1"/>
      <c r="AXM224" s="1"/>
      <c r="AXN224" s="1"/>
      <c r="AXO224" s="1"/>
      <c r="AXP224" s="1"/>
      <c r="AXQ224" s="1"/>
      <c r="AXR224" s="1"/>
      <c r="AXS224" s="1"/>
      <c r="AXT224" s="1"/>
      <c r="AXU224" s="1"/>
      <c r="AXV224" s="1"/>
      <c r="AXW224" s="1"/>
      <c r="AXX224" s="1"/>
      <c r="AXY224" s="1"/>
      <c r="AXZ224" s="1"/>
      <c r="AYA224" s="1"/>
      <c r="AYB224" s="1"/>
      <c r="AYC224" s="1"/>
      <c r="AYD224" s="1"/>
      <c r="AYE224" s="1"/>
      <c r="AYF224" s="1"/>
      <c r="AYG224" s="1"/>
      <c r="AYH224" s="1"/>
      <c r="AYI224" s="1"/>
      <c r="AYJ224" s="1"/>
      <c r="AYK224" s="1"/>
      <c r="AYL224" s="1"/>
      <c r="AYM224" s="1"/>
      <c r="AYN224" s="1"/>
      <c r="AYO224" s="1"/>
      <c r="AYP224" s="1"/>
      <c r="AYQ224" s="1"/>
      <c r="AYR224" s="1"/>
      <c r="AYS224" s="1"/>
      <c r="AYT224" s="1"/>
      <c r="AYU224" s="1"/>
      <c r="AYV224" s="1"/>
      <c r="AYW224" s="1"/>
      <c r="AYX224" s="1"/>
      <c r="AYY224" s="1"/>
      <c r="AYZ224" s="1"/>
      <c r="AZA224" s="1"/>
      <c r="AZB224" s="1"/>
      <c r="AZC224" s="1"/>
      <c r="AZD224" s="1"/>
      <c r="AZE224" s="1"/>
      <c r="AZF224" s="1"/>
      <c r="AZG224" s="1"/>
      <c r="AZH224" s="1"/>
      <c r="AZI224" s="1"/>
      <c r="AZJ224" s="1"/>
      <c r="AZK224" s="1"/>
      <c r="AZL224" s="1"/>
      <c r="AZM224" s="1"/>
      <c r="AZN224" s="1"/>
      <c r="AZO224" s="1"/>
      <c r="AZP224" s="1"/>
      <c r="AZQ224" s="1"/>
      <c r="AZR224" s="1"/>
      <c r="AZS224" s="1"/>
      <c r="AZT224" s="1"/>
      <c r="AZU224" s="1"/>
      <c r="AZV224" s="1"/>
      <c r="AZW224" s="1"/>
      <c r="AZX224" s="1"/>
      <c r="AZY224" s="1"/>
      <c r="AZZ224" s="1"/>
      <c r="BAA224" s="1"/>
      <c r="BAB224" s="1"/>
      <c r="BAC224" s="1"/>
      <c r="BAD224" s="1"/>
      <c r="BAE224" s="1"/>
      <c r="BAF224" s="1"/>
      <c r="BAG224" s="1"/>
      <c r="BAH224" s="1"/>
      <c r="BAI224" s="1"/>
      <c r="BAJ224" s="1"/>
      <c r="BAK224" s="1"/>
      <c r="BAL224" s="1"/>
      <c r="BAM224" s="1"/>
      <c r="BAN224" s="1"/>
      <c r="BAO224" s="1"/>
      <c r="BAP224" s="1"/>
      <c r="BAQ224" s="1"/>
      <c r="BAR224" s="1"/>
      <c r="BAS224" s="1"/>
      <c r="BAT224" s="1"/>
      <c r="BAU224" s="1"/>
      <c r="BAV224" s="1"/>
      <c r="BAW224" s="1"/>
      <c r="BAX224" s="1"/>
      <c r="BAY224" s="1"/>
      <c r="BAZ224" s="1"/>
      <c r="BBA224" s="1"/>
      <c r="BBB224" s="1"/>
      <c r="BBC224" s="1"/>
      <c r="BBD224" s="1"/>
      <c r="BBE224" s="1"/>
      <c r="BBF224" s="1"/>
      <c r="BBG224" s="1"/>
      <c r="BBH224" s="1"/>
      <c r="BBI224" s="1"/>
      <c r="BBJ224" s="1"/>
      <c r="BBK224" s="1"/>
      <c r="BBL224" s="1"/>
      <c r="BBM224" s="1"/>
      <c r="BBN224" s="1"/>
      <c r="BBO224" s="1"/>
      <c r="BBP224" s="1"/>
      <c r="BBQ224" s="1"/>
      <c r="BBR224" s="1"/>
      <c r="BBS224" s="1"/>
      <c r="BBT224" s="1"/>
      <c r="BBU224" s="1"/>
      <c r="BBV224" s="1"/>
      <c r="BBW224" s="1"/>
      <c r="BBX224" s="1"/>
      <c r="BBY224" s="1"/>
      <c r="BBZ224" s="1"/>
      <c r="BCA224" s="1"/>
      <c r="BCB224" s="1"/>
      <c r="BCC224" s="1"/>
      <c r="BCD224" s="1"/>
      <c r="BCE224" s="1"/>
      <c r="BCF224" s="1"/>
      <c r="BCG224" s="1"/>
      <c r="BCH224" s="1"/>
      <c r="BCI224" s="1"/>
      <c r="BCJ224" s="1"/>
      <c r="BCK224" s="1"/>
      <c r="BCL224" s="1"/>
      <c r="BCM224" s="1"/>
      <c r="BCN224" s="1"/>
      <c r="BCO224" s="1"/>
      <c r="BCP224" s="1"/>
      <c r="BCQ224" s="1"/>
      <c r="BCR224" s="1"/>
      <c r="BCS224" s="1"/>
      <c r="BCT224" s="1"/>
      <c r="BCU224" s="1"/>
      <c r="BCV224" s="1"/>
      <c r="BCW224" s="1"/>
      <c r="BCX224" s="1"/>
      <c r="BCY224" s="1"/>
      <c r="BCZ224" s="1"/>
      <c r="BDA224" s="1"/>
      <c r="BDB224" s="1"/>
      <c r="BDC224" s="1"/>
      <c r="BDD224" s="1"/>
      <c r="BDE224" s="1"/>
      <c r="BDF224" s="1"/>
      <c r="BDG224" s="1"/>
      <c r="BDH224" s="1"/>
      <c r="BDI224" s="1"/>
      <c r="BDJ224" s="1"/>
      <c r="BDK224" s="1"/>
      <c r="BDL224" s="1"/>
      <c r="BDM224" s="1"/>
      <c r="BDN224" s="1"/>
      <c r="BDO224" s="1"/>
      <c r="BDP224" s="1"/>
      <c r="BDQ224" s="1"/>
      <c r="BDR224" s="1"/>
      <c r="BDS224" s="1"/>
      <c r="BDT224" s="1"/>
      <c r="BDU224" s="1"/>
      <c r="BDV224" s="1"/>
      <c r="BDW224" s="1"/>
      <c r="BDX224" s="1"/>
      <c r="BDY224" s="1"/>
      <c r="BDZ224" s="1"/>
      <c r="BEA224" s="1"/>
      <c r="BEB224" s="1"/>
      <c r="BEC224" s="1"/>
      <c r="BED224" s="1"/>
      <c r="BEE224" s="1"/>
      <c r="BEF224" s="1"/>
      <c r="BEG224" s="1"/>
      <c r="BEH224" s="1"/>
      <c r="BEI224" s="1"/>
      <c r="BEJ224" s="1"/>
      <c r="BEK224" s="1"/>
      <c r="BEL224" s="1"/>
      <c r="BEM224" s="1"/>
      <c r="BEN224" s="1"/>
      <c r="BEO224" s="1"/>
      <c r="BEP224" s="1"/>
      <c r="BEQ224" s="1"/>
      <c r="BER224" s="1"/>
      <c r="BES224" s="1"/>
      <c r="BET224" s="1"/>
      <c r="BEU224" s="1"/>
      <c r="BEV224" s="1"/>
      <c r="BEW224" s="1"/>
      <c r="BEX224" s="1"/>
      <c r="BEY224" s="1"/>
      <c r="BEZ224" s="1"/>
      <c r="BFA224" s="1"/>
      <c r="BFB224" s="1"/>
      <c r="BFC224" s="1"/>
      <c r="BFD224" s="1"/>
      <c r="BFE224" s="1"/>
      <c r="BFF224" s="1"/>
      <c r="BFG224" s="1"/>
      <c r="BFH224" s="1"/>
      <c r="BFI224" s="1"/>
      <c r="BFJ224" s="1"/>
      <c r="BFK224" s="1"/>
      <c r="BFL224" s="1"/>
      <c r="BFM224" s="1"/>
      <c r="BFN224" s="1"/>
      <c r="BFO224" s="1"/>
      <c r="BFP224" s="1"/>
      <c r="BFQ224" s="1"/>
      <c r="BFR224" s="1"/>
      <c r="BFS224" s="1"/>
      <c r="BFT224" s="1"/>
      <c r="BFU224" s="1"/>
      <c r="BFV224" s="1"/>
      <c r="BFW224" s="1"/>
      <c r="BFX224" s="1"/>
      <c r="BFY224" s="1"/>
      <c r="BFZ224" s="1"/>
      <c r="BGA224" s="1"/>
      <c r="BGB224" s="1"/>
      <c r="BGC224" s="1"/>
      <c r="BGD224" s="1"/>
      <c r="BGE224" s="1"/>
      <c r="BGF224" s="1"/>
      <c r="BGG224" s="1"/>
      <c r="BGH224" s="1"/>
      <c r="BGI224" s="1"/>
      <c r="BGJ224" s="1"/>
      <c r="BGK224" s="1"/>
      <c r="BGL224" s="1"/>
      <c r="BGM224" s="1"/>
      <c r="BGN224" s="1"/>
      <c r="BGO224" s="1"/>
      <c r="BGP224" s="1"/>
      <c r="BGQ224" s="1"/>
      <c r="BGR224" s="1"/>
      <c r="BGS224" s="1"/>
      <c r="BGT224" s="1"/>
      <c r="BGU224" s="1"/>
      <c r="BGV224" s="1"/>
      <c r="BGW224" s="1"/>
      <c r="BGX224" s="1"/>
      <c r="BGY224" s="1"/>
      <c r="BGZ224" s="1"/>
      <c r="BHA224" s="1"/>
      <c r="BHB224" s="1"/>
      <c r="BHC224" s="1"/>
      <c r="BHD224" s="1"/>
      <c r="BHE224" s="1"/>
      <c r="BHF224" s="1"/>
      <c r="BHG224" s="1"/>
      <c r="BHH224" s="1"/>
      <c r="BHI224" s="1"/>
      <c r="BHJ224" s="1"/>
      <c r="BHK224" s="1"/>
      <c r="BHL224" s="1"/>
      <c r="BHM224" s="1"/>
      <c r="BHN224" s="1"/>
      <c r="BHO224" s="1"/>
      <c r="BHP224" s="1"/>
      <c r="BHQ224" s="1"/>
      <c r="BHR224" s="1"/>
      <c r="BHS224" s="1"/>
      <c r="BHT224" s="1"/>
      <c r="BHU224" s="1"/>
      <c r="BHV224" s="1"/>
      <c r="BHW224" s="1"/>
      <c r="BHX224" s="1"/>
      <c r="BHY224" s="1"/>
      <c r="BHZ224" s="1"/>
      <c r="BIA224" s="1"/>
      <c r="BIB224" s="1"/>
      <c r="BIC224" s="1"/>
      <c r="BID224" s="1"/>
      <c r="BIE224" s="1"/>
      <c r="BIF224" s="1"/>
      <c r="BIG224" s="1"/>
      <c r="BIH224" s="1"/>
      <c r="BII224" s="1"/>
      <c r="BIJ224" s="1"/>
      <c r="BIK224" s="1"/>
      <c r="BIL224" s="1"/>
      <c r="BIM224" s="1"/>
      <c r="BIN224" s="1"/>
      <c r="BIO224" s="1"/>
      <c r="BIP224" s="1"/>
      <c r="BIQ224" s="1"/>
      <c r="BIR224" s="1"/>
      <c r="BIS224" s="1"/>
      <c r="BIT224" s="1"/>
      <c r="BIU224" s="1"/>
      <c r="BIV224" s="1"/>
      <c r="BIW224" s="1"/>
      <c r="BIX224" s="1"/>
      <c r="BIY224" s="1"/>
      <c r="BIZ224" s="1"/>
      <c r="BJA224" s="1"/>
      <c r="BJB224" s="1"/>
      <c r="BJC224" s="1"/>
      <c r="BJD224" s="1"/>
      <c r="BJE224" s="1"/>
      <c r="BJF224" s="1"/>
      <c r="BJG224" s="1"/>
      <c r="BJH224" s="1"/>
      <c r="BJI224" s="1"/>
      <c r="BJJ224" s="1"/>
      <c r="BJK224" s="1"/>
      <c r="BJL224" s="1"/>
      <c r="BJM224" s="1"/>
      <c r="BJN224" s="1"/>
      <c r="BJO224" s="1"/>
      <c r="BJP224" s="1"/>
      <c r="BJQ224" s="1"/>
      <c r="BJR224" s="1"/>
      <c r="BJS224" s="1"/>
      <c r="BJT224" s="1"/>
      <c r="BJU224" s="1"/>
      <c r="BJV224" s="1"/>
      <c r="BJW224" s="1"/>
      <c r="BJX224" s="1"/>
      <c r="BJY224" s="1"/>
      <c r="BJZ224" s="1"/>
      <c r="BKA224" s="1"/>
      <c r="BKB224" s="1"/>
      <c r="BKC224" s="1"/>
      <c r="BKD224" s="1"/>
      <c r="BKE224" s="1"/>
      <c r="BKF224" s="1"/>
      <c r="BKG224" s="1"/>
      <c r="BKH224" s="1"/>
      <c r="BKI224" s="1"/>
      <c r="BKJ224" s="1"/>
      <c r="BKK224" s="1"/>
      <c r="BKL224" s="1"/>
      <c r="BKM224" s="1"/>
      <c r="BKN224" s="1"/>
      <c r="BKO224" s="1"/>
      <c r="BKP224" s="1"/>
      <c r="BKQ224" s="1"/>
      <c r="BKR224" s="1"/>
      <c r="BKS224" s="1"/>
      <c r="BKT224" s="1"/>
      <c r="BKU224" s="1"/>
      <c r="BKV224" s="1"/>
      <c r="BKW224" s="1"/>
      <c r="BKX224" s="1"/>
      <c r="BKY224" s="1"/>
      <c r="BKZ224" s="1"/>
      <c r="BLA224" s="1"/>
      <c r="BLB224" s="1"/>
      <c r="BLC224" s="1"/>
      <c r="BLD224" s="1"/>
      <c r="BLE224" s="1"/>
      <c r="BLF224" s="1"/>
      <c r="BLG224" s="1"/>
      <c r="BLH224" s="1"/>
      <c r="BLI224" s="1"/>
      <c r="BLJ224" s="1"/>
      <c r="BLK224" s="1"/>
      <c r="BLL224" s="1"/>
      <c r="BLM224" s="1"/>
      <c r="BLN224" s="1"/>
      <c r="BLO224" s="1"/>
      <c r="BLP224" s="1"/>
      <c r="BLQ224" s="1"/>
      <c r="BLR224" s="1"/>
      <c r="BLS224" s="1"/>
      <c r="BLT224" s="1"/>
      <c r="BLU224" s="1"/>
      <c r="BLV224" s="1"/>
      <c r="BLW224" s="1"/>
      <c r="BLX224" s="1"/>
      <c r="BLY224" s="1"/>
      <c r="BLZ224" s="1"/>
      <c r="BMA224" s="1"/>
      <c r="BMB224" s="1"/>
      <c r="BMC224" s="1"/>
      <c r="BMD224" s="1"/>
      <c r="BME224" s="1"/>
      <c r="BMF224" s="1"/>
      <c r="BMG224" s="1"/>
      <c r="BMH224" s="1"/>
      <c r="BMI224" s="1"/>
      <c r="BMJ224" s="1"/>
      <c r="BMK224" s="1"/>
      <c r="BML224" s="1"/>
      <c r="BMM224" s="1"/>
      <c r="BMN224" s="1"/>
      <c r="BMO224" s="1"/>
      <c r="BMP224" s="1"/>
      <c r="BMQ224" s="1"/>
      <c r="BMR224" s="1"/>
      <c r="BMS224" s="1"/>
      <c r="BMT224" s="1"/>
      <c r="BMU224" s="1"/>
      <c r="BMV224" s="1"/>
      <c r="BMW224" s="1"/>
      <c r="BMX224" s="1"/>
      <c r="BMY224" s="1"/>
      <c r="BMZ224" s="1"/>
      <c r="BNA224" s="1"/>
      <c r="BNB224" s="1"/>
      <c r="BNC224" s="1"/>
      <c r="BND224" s="1"/>
      <c r="BNE224" s="1"/>
      <c r="BNF224" s="1"/>
      <c r="BNG224" s="1"/>
      <c r="BNH224" s="1"/>
      <c r="BNI224" s="1"/>
      <c r="BNJ224" s="1"/>
      <c r="BNK224" s="1"/>
      <c r="BNL224" s="1"/>
      <c r="BNM224" s="1"/>
      <c r="BNN224" s="1"/>
      <c r="BNO224" s="1"/>
      <c r="BNP224" s="1"/>
      <c r="BNQ224" s="1"/>
      <c r="BNR224" s="1"/>
      <c r="BNS224" s="1"/>
      <c r="BNT224" s="1"/>
      <c r="BNU224" s="1"/>
      <c r="BNV224" s="1"/>
      <c r="BNW224" s="1"/>
      <c r="BNX224" s="1"/>
      <c r="BNY224" s="1"/>
      <c r="BNZ224" s="1"/>
      <c r="BOA224" s="1"/>
      <c r="BOB224" s="1"/>
      <c r="BOC224" s="1"/>
      <c r="BOD224" s="1"/>
      <c r="BOE224" s="1"/>
      <c r="BOF224" s="1"/>
      <c r="BOG224" s="1"/>
      <c r="BOH224" s="1"/>
      <c r="BOI224" s="1"/>
      <c r="BOJ224" s="1"/>
      <c r="BOK224" s="1"/>
      <c r="BOL224" s="1"/>
      <c r="BOM224" s="1"/>
      <c r="BON224" s="1"/>
      <c r="BOO224" s="1"/>
      <c r="BOP224" s="1"/>
      <c r="BOQ224" s="1"/>
      <c r="BOR224" s="1"/>
      <c r="BOS224" s="1"/>
      <c r="BOT224" s="1"/>
      <c r="BOU224" s="1"/>
      <c r="BOV224" s="1"/>
      <c r="BOW224" s="1"/>
      <c r="BOX224" s="1"/>
      <c r="BOY224" s="1"/>
      <c r="BOZ224" s="1"/>
      <c r="BPA224" s="1"/>
      <c r="BPB224" s="1"/>
      <c r="BPC224" s="1"/>
      <c r="BPD224" s="1"/>
      <c r="BPE224" s="1"/>
      <c r="BPF224" s="1"/>
      <c r="BPG224" s="1"/>
      <c r="BPH224" s="1"/>
      <c r="BPI224" s="1"/>
      <c r="BPJ224" s="1"/>
      <c r="BPK224" s="1"/>
      <c r="BPL224" s="1"/>
      <c r="BPM224" s="1"/>
      <c r="BPN224" s="1"/>
      <c r="BPO224" s="1"/>
      <c r="BPP224" s="1"/>
      <c r="BPQ224" s="1"/>
      <c r="BPR224" s="1"/>
      <c r="BPS224" s="1"/>
      <c r="BPT224" s="1"/>
      <c r="BPU224" s="1"/>
      <c r="BPV224" s="1"/>
      <c r="BPW224" s="1"/>
      <c r="BPX224" s="1"/>
      <c r="BPY224" s="1"/>
      <c r="BPZ224" s="1"/>
      <c r="BQA224" s="1"/>
      <c r="BQB224" s="1"/>
      <c r="BQC224" s="1"/>
      <c r="BQD224" s="1"/>
      <c r="BQE224" s="1"/>
      <c r="BQF224" s="1"/>
      <c r="BQG224" s="1"/>
      <c r="BQH224" s="1"/>
      <c r="BQI224" s="1"/>
      <c r="BQJ224" s="1"/>
      <c r="BQK224" s="1"/>
      <c r="BQL224" s="1"/>
      <c r="BQM224" s="1"/>
      <c r="BQN224" s="1"/>
      <c r="BQO224" s="1"/>
      <c r="BQP224" s="1"/>
      <c r="BQQ224" s="1"/>
      <c r="BQR224" s="1"/>
      <c r="BQS224" s="1"/>
      <c r="BQT224" s="1"/>
      <c r="BQU224" s="1"/>
      <c r="BQV224" s="1"/>
      <c r="BQW224" s="1"/>
      <c r="BQX224" s="1"/>
      <c r="BQY224" s="1"/>
      <c r="BQZ224" s="1"/>
      <c r="BRA224" s="1"/>
      <c r="BRB224" s="1"/>
      <c r="BRC224" s="1"/>
      <c r="BRD224" s="1"/>
      <c r="BRE224" s="1"/>
      <c r="BRF224" s="1"/>
      <c r="BRG224" s="1"/>
      <c r="BRH224" s="1"/>
      <c r="BRI224" s="1"/>
      <c r="BRJ224" s="1"/>
      <c r="BRK224" s="1"/>
      <c r="BRL224" s="1"/>
      <c r="BRM224" s="1"/>
      <c r="BRN224" s="1"/>
      <c r="BRO224" s="1"/>
      <c r="BRP224" s="1"/>
      <c r="BRQ224" s="1"/>
      <c r="BRR224" s="1"/>
      <c r="BRS224" s="1"/>
      <c r="BRT224" s="1"/>
      <c r="BRU224" s="1"/>
      <c r="BRV224" s="1"/>
      <c r="BRW224" s="1"/>
      <c r="BRX224" s="1"/>
      <c r="BRY224" s="1"/>
      <c r="BRZ224" s="1"/>
      <c r="BSA224" s="1"/>
      <c r="BSB224" s="1"/>
      <c r="BSC224" s="1"/>
      <c r="BSD224" s="1"/>
      <c r="BSE224" s="1"/>
      <c r="BSF224" s="1"/>
      <c r="BSG224" s="1"/>
      <c r="BSH224" s="1"/>
      <c r="BSI224" s="1"/>
      <c r="BSJ224" s="1"/>
      <c r="BSK224" s="1"/>
      <c r="BSL224" s="1"/>
      <c r="BSM224" s="1"/>
      <c r="BSN224" s="1"/>
      <c r="BSO224" s="1"/>
      <c r="BSP224" s="1"/>
      <c r="BSQ224" s="1"/>
      <c r="BSR224" s="1"/>
      <c r="BSS224" s="1"/>
      <c r="BST224" s="1"/>
      <c r="BSU224" s="1"/>
      <c r="BSV224" s="1"/>
      <c r="BSW224" s="1"/>
      <c r="BSX224" s="1"/>
      <c r="BSY224" s="1"/>
      <c r="BSZ224" s="1"/>
      <c r="BTA224" s="1"/>
      <c r="BTB224" s="1"/>
      <c r="BTC224" s="1"/>
      <c r="BTD224" s="1"/>
      <c r="BTE224" s="1"/>
      <c r="BTF224" s="1"/>
      <c r="BTG224" s="1"/>
      <c r="BTH224" s="1"/>
      <c r="BTI224" s="1"/>
      <c r="BTJ224" s="1"/>
      <c r="BTK224" s="1"/>
      <c r="BTL224" s="1"/>
      <c r="BTM224" s="1"/>
      <c r="BTN224" s="1"/>
      <c r="BTO224" s="1"/>
      <c r="BTP224" s="1"/>
      <c r="BTQ224" s="1"/>
      <c r="BTR224" s="1"/>
      <c r="BTS224" s="1"/>
      <c r="BTT224" s="1"/>
      <c r="BTU224" s="1"/>
      <c r="BTV224" s="1"/>
      <c r="BTW224" s="1"/>
      <c r="BTX224" s="1"/>
      <c r="BTY224" s="1"/>
      <c r="BTZ224" s="1"/>
      <c r="BUA224" s="1"/>
      <c r="BUB224" s="1"/>
      <c r="BUC224" s="1"/>
      <c r="BUD224" s="1"/>
      <c r="BUE224" s="1"/>
      <c r="BUF224" s="1"/>
      <c r="BUG224" s="1"/>
      <c r="BUH224" s="1"/>
      <c r="BUI224" s="1"/>
      <c r="BUJ224" s="1"/>
      <c r="BUK224" s="1"/>
      <c r="BUL224" s="1"/>
      <c r="BUM224" s="1"/>
      <c r="BUN224" s="1"/>
      <c r="BUO224" s="1"/>
      <c r="BUP224" s="1"/>
      <c r="BUQ224" s="1"/>
      <c r="BUR224" s="1"/>
      <c r="BUS224" s="1"/>
      <c r="BUT224" s="1"/>
      <c r="BUU224" s="1"/>
      <c r="BUV224" s="1"/>
      <c r="BUW224" s="1"/>
      <c r="BUX224" s="1"/>
      <c r="BUY224" s="1"/>
      <c r="BUZ224" s="1"/>
      <c r="BVA224" s="1"/>
      <c r="BVB224" s="1"/>
      <c r="BVC224" s="1"/>
      <c r="BVD224" s="1"/>
      <c r="BVE224" s="1"/>
      <c r="BVF224" s="1"/>
      <c r="BVG224" s="1"/>
      <c r="BVH224" s="1"/>
      <c r="BVI224" s="1"/>
      <c r="BVJ224" s="1"/>
      <c r="BVK224" s="1"/>
      <c r="BVL224" s="1"/>
      <c r="BVM224" s="1"/>
      <c r="BVN224" s="1"/>
      <c r="BVO224" s="1"/>
      <c r="BVP224" s="1"/>
      <c r="BVQ224" s="1"/>
      <c r="BVR224" s="1"/>
      <c r="BVS224" s="1"/>
      <c r="BVT224" s="1"/>
      <c r="BVU224" s="1"/>
      <c r="BVV224" s="1"/>
      <c r="BVW224" s="1"/>
      <c r="BVX224" s="1"/>
      <c r="BVY224" s="1"/>
      <c r="BVZ224" s="1"/>
      <c r="BWA224" s="1"/>
      <c r="BWB224" s="1"/>
      <c r="BWC224" s="1"/>
      <c r="BWD224" s="1"/>
      <c r="BWE224" s="1"/>
      <c r="BWF224" s="1"/>
      <c r="BWG224" s="1"/>
      <c r="BWH224" s="1"/>
      <c r="BWI224" s="1"/>
      <c r="BWJ224" s="1"/>
      <c r="BWK224" s="1"/>
      <c r="BWL224" s="1"/>
      <c r="BWM224" s="1"/>
      <c r="BWN224" s="1"/>
      <c r="BWO224" s="1"/>
      <c r="BWP224" s="1"/>
      <c r="BWQ224" s="1"/>
      <c r="BWR224" s="1"/>
      <c r="BWS224" s="1"/>
      <c r="BWT224" s="1"/>
      <c r="BWU224" s="1"/>
      <c r="BWV224" s="1"/>
      <c r="BWW224" s="1"/>
      <c r="BWX224" s="1"/>
      <c r="BWY224" s="1"/>
      <c r="BWZ224" s="1"/>
      <c r="BXA224" s="1"/>
      <c r="BXB224" s="1"/>
      <c r="BXC224" s="1"/>
      <c r="BXD224" s="1"/>
      <c r="BXE224" s="1"/>
      <c r="BXF224" s="1"/>
      <c r="BXG224" s="1"/>
      <c r="BXH224" s="1"/>
      <c r="BXI224" s="1"/>
      <c r="BXJ224" s="1"/>
      <c r="BXK224" s="1"/>
      <c r="BXL224" s="1"/>
      <c r="BXM224" s="1"/>
      <c r="BXN224" s="1"/>
      <c r="BXO224" s="1"/>
      <c r="BXP224" s="1"/>
      <c r="BXQ224" s="1"/>
      <c r="BXR224" s="1"/>
      <c r="BXS224" s="1"/>
      <c r="BXT224" s="1"/>
      <c r="BXU224" s="1"/>
      <c r="BXV224" s="1"/>
      <c r="BXW224" s="1"/>
      <c r="BXX224" s="1"/>
      <c r="BXY224" s="1"/>
      <c r="BXZ224" s="1"/>
      <c r="BYA224" s="1"/>
      <c r="BYB224" s="1"/>
      <c r="BYC224" s="1"/>
      <c r="BYD224" s="1"/>
      <c r="BYE224" s="1"/>
      <c r="BYF224" s="1"/>
      <c r="BYG224" s="1"/>
      <c r="BYH224" s="1"/>
      <c r="BYI224" s="1"/>
      <c r="BYJ224" s="1"/>
      <c r="BYK224" s="1"/>
      <c r="BYL224" s="1"/>
      <c r="BYM224" s="1"/>
      <c r="BYN224" s="1"/>
      <c r="BYO224" s="1"/>
      <c r="BYP224" s="1"/>
      <c r="BYQ224" s="1"/>
      <c r="BYR224" s="1"/>
      <c r="BYS224" s="1"/>
      <c r="BYT224" s="1"/>
      <c r="BYU224" s="1"/>
      <c r="BYV224" s="1"/>
      <c r="BYW224" s="1"/>
      <c r="BYX224" s="1"/>
      <c r="BYY224" s="1"/>
      <c r="BYZ224" s="1"/>
      <c r="BZA224" s="1"/>
      <c r="BZB224" s="1"/>
      <c r="BZC224" s="1"/>
      <c r="BZD224" s="1"/>
      <c r="BZE224" s="1"/>
      <c r="BZF224" s="1"/>
      <c r="BZG224" s="1"/>
      <c r="BZH224" s="1"/>
      <c r="BZI224" s="1"/>
      <c r="BZJ224" s="1"/>
      <c r="BZK224" s="1"/>
      <c r="BZL224" s="1"/>
      <c r="BZM224" s="1"/>
      <c r="BZN224" s="1"/>
      <c r="BZO224" s="1"/>
      <c r="BZP224" s="1"/>
      <c r="BZQ224" s="1"/>
      <c r="BZR224" s="1"/>
      <c r="BZS224" s="1"/>
      <c r="BZT224" s="1"/>
      <c r="BZU224" s="1"/>
      <c r="BZV224" s="1"/>
      <c r="BZW224" s="1"/>
      <c r="BZX224" s="1"/>
      <c r="BZY224" s="1"/>
      <c r="BZZ224" s="1"/>
      <c r="CAA224" s="1"/>
      <c r="CAB224" s="1"/>
      <c r="CAC224" s="1"/>
      <c r="CAD224" s="1"/>
      <c r="CAE224" s="1"/>
      <c r="CAF224" s="1"/>
      <c r="CAG224" s="1"/>
      <c r="CAH224" s="1"/>
      <c r="CAI224" s="1"/>
      <c r="CAJ224" s="1"/>
      <c r="CAK224" s="1"/>
      <c r="CAL224" s="1"/>
      <c r="CAM224" s="1"/>
      <c r="CAN224" s="1"/>
      <c r="CAO224" s="1"/>
      <c r="CAP224" s="1"/>
      <c r="CAQ224" s="1"/>
      <c r="CAR224" s="1"/>
      <c r="CAS224" s="1"/>
      <c r="CAT224" s="1"/>
      <c r="CAU224" s="1"/>
      <c r="CAV224" s="1"/>
      <c r="CAW224" s="1"/>
      <c r="CAX224" s="1"/>
      <c r="CAY224" s="1"/>
      <c r="CAZ224" s="1"/>
      <c r="CBA224" s="1"/>
      <c r="CBB224" s="1"/>
      <c r="CBC224" s="1"/>
      <c r="CBD224" s="1"/>
      <c r="CBE224" s="1"/>
      <c r="CBF224" s="1"/>
      <c r="CBG224" s="1"/>
      <c r="CBH224" s="1"/>
      <c r="CBI224" s="1"/>
      <c r="CBJ224" s="1"/>
      <c r="CBK224" s="1"/>
      <c r="CBL224" s="1"/>
      <c r="CBM224" s="1"/>
      <c r="CBN224" s="1"/>
      <c r="CBO224" s="1"/>
      <c r="CBP224" s="1"/>
      <c r="CBQ224" s="1"/>
      <c r="CBR224" s="1"/>
      <c r="CBS224" s="1"/>
      <c r="CBT224" s="1"/>
      <c r="CBU224" s="1"/>
      <c r="CBV224" s="1"/>
      <c r="CBW224" s="1"/>
      <c r="CBX224" s="1"/>
      <c r="CBY224" s="1"/>
      <c r="CBZ224" s="1"/>
      <c r="CCA224" s="1"/>
      <c r="CCB224" s="1"/>
      <c r="CCC224" s="1"/>
      <c r="CCD224" s="1"/>
      <c r="CCE224" s="1"/>
      <c r="CCF224" s="1"/>
      <c r="CCG224" s="1"/>
      <c r="CCH224" s="1"/>
      <c r="CCI224" s="1"/>
      <c r="CCJ224" s="1"/>
      <c r="CCK224" s="1"/>
      <c r="CCL224" s="1"/>
      <c r="CCM224" s="1"/>
      <c r="CCN224" s="1"/>
      <c r="CCO224" s="1"/>
      <c r="CCP224" s="1"/>
      <c r="CCQ224" s="1"/>
      <c r="CCR224" s="1"/>
      <c r="CCS224" s="1"/>
      <c r="CCT224" s="1"/>
      <c r="CCU224" s="1"/>
      <c r="CCV224" s="1"/>
      <c r="CCW224" s="1"/>
      <c r="CCX224" s="1"/>
      <c r="CCY224" s="1"/>
      <c r="CCZ224" s="1"/>
      <c r="CDA224" s="1"/>
      <c r="CDB224" s="1"/>
      <c r="CDC224" s="1"/>
      <c r="CDD224" s="1"/>
      <c r="CDE224" s="1"/>
      <c r="CDF224" s="1"/>
      <c r="CDG224" s="1"/>
      <c r="CDH224" s="1"/>
      <c r="CDI224" s="1"/>
      <c r="CDJ224" s="1"/>
      <c r="CDK224" s="1"/>
      <c r="CDL224" s="1"/>
      <c r="CDM224" s="1"/>
      <c r="CDN224" s="1"/>
      <c r="CDO224" s="1"/>
      <c r="CDP224" s="1"/>
      <c r="CDQ224" s="1"/>
      <c r="CDR224" s="1"/>
      <c r="CDS224" s="1"/>
      <c r="CDT224" s="1"/>
      <c r="CDU224" s="1"/>
      <c r="CDV224" s="1"/>
      <c r="CDW224" s="1"/>
      <c r="CDX224" s="1"/>
      <c r="CDY224" s="1"/>
      <c r="CDZ224" s="1"/>
      <c r="CEA224" s="1"/>
      <c r="CEB224" s="1"/>
      <c r="CEC224" s="1"/>
      <c r="CED224" s="1"/>
      <c r="CEE224" s="1"/>
      <c r="CEF224" s="1"/>
      <c r="CEG224" s="1"/>
      <c r="CEH224" s="1"/>
      <c r="CEI224" s="1"/>
      <c r="CEJ224" s="1"/>
      <c r="CEK224" s="1"/>
      <c r="CEL224" s="1"/>
      <c r="CEM224" s="1"/>
      <c r="CEN224" s="1"/>
      <c r="CEO224" s="1"/>
      <c r="CEP224" s="1"/>
      <c r="CEQ224" s="1"/>
      <c r="CER224" s="1"/>
      <c r="CES224" s="1"/>
      <c r="CET224" s="1"/>
      <c r="CEU224" s="1"/>
      <c r="CEV224" s="1"/>
      <c r="CEW224" s="1"/>
      <c r="CEX224" s="1"/>
      <c r="CEY224" s="1"/>
      <c r="CEZ224" s="1"/>
      <c r="CFA224" s="1"/>
      <c r="CFB224" s="1"/>
      <c r="CFC224" s="1"/>
      <c r="CFD224" s="1"/>
      <c r="CFE224" s="1"/>
      <c r="CFF224" s="1"/>
      <c r="CFG224" s="1"/>
      <c r="CFH224" s="1"/>
      <c r="CFI224" s="1"/>
      <c r="CFJ224" s="1"/>
      <c r="CFK224" s="1"/>
      <c r="CFL224" s="1"/>
      <c r="CFM224" s="1"/>
      <c r="CFN224" s="1"/>
      <c r="CFO224" s="1"/>
      <c r="CFP224" s="1"/>
      <c r="CFQ224" s="1"/>
      <c r="CFR224" s="1"/>
      <c r="CFS224" s="1"/>
      <c r="CFT224" s="1"/>
      <c r="CFU224" s="1"/>
      <c r="CFV224" s="1"/>
      <c r="CFW224" s="1"/>
      <c r="CFX224" s="1"/>
      <c r="CFY224" s="1"/>
      <c r="CFZ224" s="1"/>
      <c r="CGA224" s="1"/>
      <c r="CGB224" s="1"/>
      <c r="CGC224" s="1"/>
      <c r="CGD224" s="1"/>
      <c r="CGE224" s="1"/>
      <c r="CGF224" s="1"/>
      <c r="CGG224" s="1"/>
      <c r="CGH224" s="1"/>
      <c r="CGI224" s="1"/>
      <c r="CGJ224" s="1"/>
      <c r="CGK224" s="1"/>
      <c r="CGL224" s="1"/>
      <c r="CGM224" s="1"/>
      <c r="CGN224" s="1"/>
      <c r="CGO224" s="1"/>
      <c r="CGP224" s="1"/>
      <c r="CGQ224" s="1"/>
      <c r="CGR224" s="1"/>
      <c r="CGS224" s="1"/>
      <c r="CGT224" s="1"/>
      <c r="CGU224" s="1"/>
      <c r="CGV224" s="1"/>
      <c r="CGW224" s="1"/>
      <c r="CGX224" s="1"/>
      <c r="CGY224" s="1"/>
      <c r="CGZ224" s="1"/>
      <c r="CHA224" s="1"/>
      <c r="CHB224" s="1"/>
      <c r="CHC224" s="1"/>
      <c r="CHD224" s="1"/>
      <c r="CHE224" s="1"/>
      <c r="CHF224" s="1"/>
      <c r="CHG224" s="1"/>
      <c r="CHH224" s="1"/>
      <c r="CHI224" s="1"/>
      <c r="CHJ224" s="1"/>
      <c r="CHK224" s="1"/>
      <c r="CHL224" s="1"/>
      <c r="CHM224" s="1"/>
      <c r="CHN224" s="1"/>
      <c r="CHO224" s="1"/>
      <c r="CHP224" s="1"/>
      <c r="CHQ224" s="1"/>
      <c r="CHR224" s="1"/>
      <c r="CHS224" s="1"/>
      <c r="CHT224" s="1"/>
      <c r="CHU224" s="1"/>
      <c r="CHV224" s="1"/>
      <c r="CHW224" s="1"/>
      <c r="CHX224" s="1"/>
      <c r="CHY224" s="1"/>
      <c r="CHZ224" s="1"/>
      <c r="CIA224" s="1"/>
      <c r="CIB224" s="1"/>
      <c r="CIC224" s="1"/>
      <c r="CID224" s="1"/>
      <c r="CIE224" s="1"/>
      <c r="CIF224" s="1"/>
      <c r="CIG224" s="1"/>
      <c r="CIH224" s="1"/>
      <c r="CII224" s="1"/>
      <c r="CIJ224" s="1"/>
      <c r="CIK224" s="1"/>
      <c r="CIL224" s="1"/>
      <c r="CIM224" s="1"/>
      <c r="CIN224" s="1"/>
      <c r="CIO224" s="1"/>
      <c r="CIP224" s="1"/>
      <c r="CIQ224" s="1"/>
      <c r="CIR224" s="1"/>
      <c r="CIS224" s="1"/>
      <c r="CIT224" s="1"/>
      <c r="CIU224" s="1"/>
      <c r="CIV224" s="1"/>
      <c r="CIW224" s="1"/>
      <c r="CIX224" s="1"/>
      <c r="CIY224" s="1"/>
      <c r="CIZ224" s="1"/>
      <c r="CJA224" s="1"/>
      <c r="CJB224" s="1"/>
      <c r="CJC224" s="1"/>
      <c r="CJD224" s="1"/>
      <c r="CJE224" s="1"/>
      <c r="CJF224" s="1"/>
      <c r="CJG224" s="1"/>
      <c r="CJH224" s="1"/>
      <c r="CJI224" s="1"/>
      <c r="CJJ224" s="1"/>
      <c r="CJK224" s="1"/>
      <c r="CJL224" s="1"/>
      <c r="CJM224" s="1"/>
      <c r="CJN224" s="1"/>
      <c r="CJO224" s="1"/>
      <c r="CJP224" s="1"/>
      <c r="CJQ224" s="1"/>
      <c r="CJR224" s="1"/>
      <c r="CJS224" s="1"/>
      <c r="CJT224" s="1"/>
      <c r="CJU224" s="1"/>
      <c r="CJV224" s="1"/>
      <c r="CJW224" s="1"/>
      <c r="CJX224" s="1"/>
      <c r="CJY224" s="1"/>
      <c r="CJZ224" s="1"/>
      <c r="CKA224" s="1"/>
      <c r="CKB224" s="1"/>
      <c r="CKC224" s="1"/>
      <c r="CKD224" s="1"/>
      <c r="CKE224" s="1"/>
      <c r="CKF224" s="1"/>
      <c r="CKG224" s="1"/>
      <c r="CKH224" s="1"/>
      <c r="CKI224" s="1"/>
      <c r="CKJ224" s="1"/>
      <c r="CKK224" s="1"/>
      <c r="CKL224" s="1"/>
      <c r="CKM224" s="1"/>
      <c r="CKN224" s="1"/>
      <c r="CKO224" s="1"/>
      <c r="CKP224" s="1"/>
      <c r="CKQ224" s="1"/>
      <c r="CKR224" s="1"/>
      <c r="CKS224" s="1"/>
      <c r="CKT224" s="1"/>
      <c r="CKU224" s="1"/>
      <c r="CKV224" s="1"/>
      <c r="CKW224" s="1"/>
      <c r="CKX224" s="1"/>
      <c r="CKY224" s="1"/>
      <c r="CKZ224" s="1"/>
      <c r="CLA224" s="1"/>
      <c r="CLB224" s="1"/>
      <c r="CLC224" s="1"/>
      <c r="CLD224" s="1"/>
      <c r="CLE224" s="1"/>
      <c r="CLF224" s="1"/>
      <c r="CLG224" s="1"/>
      <c r="CLH224" s="1"/>
      <c r="CLI224" s="1"/>
      <c r="CLJ224" s="1"/>
      <c r="CLK224" s="1"/>
      <c r="CLL224" s="1"/>
      <c r="CLM224" s="1"/>
      <c r="CLN224" s="1"/>
      <c r="CLO224" s="1"/>
      <c r="CLP224" s="1"/>
      <c r="CLQ224" s="1"/>
      <c r="CLR224" s="1"/>
      <c r="CLS224" s="1"/>
      <c r="CLT224" s="1"/>
      <c r="CLU224" s="1"/>
      <c r="CLV224" s="1"/>
      <c r="CLW224" s="1"/>
      <c r="CLX224" s="1"/>
      <c r="CLY224" s="1"/>
      <c r="CLZ224" s="1"/>
      <c r="CMA224" s="1"/>
      <c r="CMB224" s="1"/>
      <c r="CMC224" s="1"/>
      <c r="CMD224" s="1"/>
      <c r="CME224" s="1"/>
      <c r="CMF224" s="1"/>
      <c r="CMG224" s="1"/>
      <c r="CMH224" s="1"/>
      <c r="CMI224" s="1"/>
      <c r="CMJ224" s="1"/>
      <c r="CMK224" s="1"/>
      <c r="CML224" s="1"/>
      <c r="CMM224" s="1"/>
      <c r="CMN224" s="1"/>
      <c r="CMO224" s="1"/>
      <c r="CMP224" s="1"/>
      <c r="CMQ224" s="1"/>
      <c r="CMR224" s="1"/>
      <c r="CMS224" s="1"/>
      <c r="CMT224" s="1"/>
      <c r="CMU224" s="1"/>
      <c r="CMV224" s="1"/>
      <c r="CMW224" s="1"/>
      <c r="CMX224" s="1"/>
      <c r="CMY224" s="1"/>
      <c r="CMZ224" s="1"/>
      <c r="CNA224" s="1"/>
      <c r="CNB224" s="1"/>
      <c r="CNC224" s="1"/>
      <c r="CND224" s="1"/>
      <c r="CNE224" s="1"/>
      <c r="CNF224" s="1"/>
      <c r="CNG224" s="1"/>
      <c r="CNH224" s="1"/>
      <c r="CNI224" s="1"/>
      <c r="CNJ224" s="1"/>
      <c r="CNK224" s="1"/>
      <c r="CNL224" s="1"/>
      <c r="CNM224" s="1"/>
      <c r="CNN224" s="1"/>
      <c r="CNO224" s="1"/>
      <c r="CNP224" s="1"/>
      <c r="CNQ224" s="1"/>
      <c r="CNR224" s="1"/>
      <c r="CNS224" s="1"/>
      <c r="CNT224" s="1"/>
      <c r="CNU224" s="1"/>
      <c r="CNV224" s="1"/>
      <c r="CNW224" s="1"/>
      <c r="CNX224" s="1"/>
      <c r="CNY224" s="1"/>
      <c r="CNZ224" s="1"/>
      <c r="COA224" s="1"/>
      <c r="COB224" s="1"/>
      <c r="COC224" s="1"/>
      <c r="COD224" s="1"/>
      <c r="COE224" s="1"/>
      <c r="COF224" s="1"/>
      <c r="COG224" s="1"/>
      <c r="COH224" s="1"/>
      <c r="COI224" s="1"/>
      <c r="COJ224" s="1"/>
      <c r="COK224" s="1"/>
      <c r="COL224" s="1"/>
      <c r="COM224" s="1"/>
      <c r="CON224" s="1"/>
      <c r="COO224" s="1"/>
      <c r="COP224" s="1"/>
      <c r="COQ224" s="1"/>
      <c r="COR224" s="1"/>
      <c r="COS224" s="1"/>
      <c r="COT224" s="1"/>
      <c r="COU224" s="1"/>
      <c r="COV224" s="1"/>
      <c r="COW224" s="1"/>
      <c r="COX224" s="1"/>
      <c r="COY224" s="1"/>
      <c r="COZ224" s="1"/>
      <c r="CPA224" s="1"/>
      <c r="CPB224" s="1"/>
      <c r="CPC224" s="1"/>
      <c r="CPD224" s="1"/>
      <c r="CPE224" s="1"/>
      <c r="CPF224" s="1"/>
      <c r="CPG224" s="1"/>
      <c r="CPH224" s="1"/>
      <c r="CPI224" s="1"/>
      <c r="CPJ224" s="1"/>
      <c r="CPK224" s="1"/>
      <c r="CPL224" s="1"/>
      <c r="CPM224" s="1"/>
      <c r="CPN224" s="1"/>
      <c r="CPO224" s="1"/>
      <c r="CPP224" s="1"/>
      <c r="CPQ224" s="1"/>
      <c r="CPR224" s="1"/>
      <c r="CPS224" s="1"/>
      <c r="CPT224" s="1"/>
      <c r="CPU224" s="1"/>
      <c r="CPV224" s="1"/>
      <c r="CPW224" s="1"/>
      <c r="CPX224" s="1"/>
      <c r="CPY224" s="1"/>
      <c r="CPZ224" s="1"/>
      <c r="CQA224" s="1"/>
      <c r="CQB224" s="1"/>
      <c r="CQC224" s="1"/>
      <c r="CQD224" s="1"/>
      <c r="CQE224" s="1"/>
      <c r="CQF224" s="1"/>
      <c r="CQG224" s="1"/>
      <c r="CQH224" s="1"/>
      <c r="CQI224" s="1"/>
      <c r="CQJ224" s="1"/>
      <c r="CQK224" s="1"/>
      <c r="CQL224" s="1"/>
      <c r="CQM224" s="1"/>
      <c r="CQN224" s="1"/>
      <c r="CQO224" s="1"/>
      <c r="CQP224" s="1"/>
      <c r="CQQ224" s="1"/>
      <c r="CQR224" s="1"/>
      <c r="CQS224" s="1"/>
      <c r="CQT224" s="1"/>
      <c r="CQU224" s="1"/>
      <c r="CQV224" s="1"/>
      <c r="CQW224" s="1"/>
      <c r="CQX224" s="1"/>
      <c r="CQY224" s="1"/>
      <c r="CQZ224" s="1"/>
      <c r="CRA224" s="1"/>
      <c r="CRB224" s="1"/>
      <c r="CRC224" s="1"/>
      <c r="CRD224" s="1"/>
      <c r="CRE224" s="1"/>
      <c r="CRF224" s="1"/>
      <c r="CRG224" s="1"/>
      <c r="CRH224" s="1"/>
      <c r="CRI224" s="1"/>
      <c r="CRJ224" s="1"/>
      <c r="CRK224" s="1"/>
      <c r="CRL224" s="1"/>
      <c r="CRM224" s="1"/>
      <c r="CRN224" s="1"/>
      <c r="CRO224" s="1"/>
      <c r="CRP224" s="1"/>
      <c r="CRQ224" s="1"/>
      <c r="CRR224" s="1"/>
      <c r="CRS224" s="1"/>
      <c r="CRT224" s="1"/>
      <c r="CRU224" s="1"/>
      <c r="CRV224" s="1"/>
      <c r="CRW224" s="1"/>
      <c r="CRX224" s="1"/>
      <c r="CRY224" s="1"/>
      <c r="CRZ224" s="1"/>
      <c r="CSA224" s="1"/>
      <c r="CSB224" s="1"/>
      <c r="CSC224" s="1"/>
      <c r="CSD224" s="1"/>
      <c r="CSE224" s="1"/>
      <c r="CSF224" s="1"/>
      <c r="CSG224" s="1"/>
      <c r="CSH224" s="1"/>
      <c r="CSI224" s="1"/>
      <c r="CSJ224" s="1"/>
      <c r="CSK224" s="1"/>
      <c r="CSL224" s="1"/>
      <c r="CSM224" s="1"/>
      <c r="CSN224" s="1"/>
      <c r="CSO224" s="1"/>
      <c r="CSP224" s="1"/>
      <c r="CSQ224" s="1"/>
      <c r="CSR224" s="1"/>
      <c r="CSS224" s="1"/>
      <c r="CST224" s="1"/>
      <c r="CSU224" s="1"/>
      <c r="CSV224" s="1"/>
      <c r="CSW224" s="1"/>
      <c r="CSX224" s="1"/>
      <c r="CSY224" s="1"/>
      <c r="CSZ224" s="1"/>
      <c r="CTA224" s="1"/>
      <c r="CTB224" s="1"/>
      <c r="CTC224" s="1"/>
      <c r="CTD224" s="1"/>
      <c r="CTE224" s="1"/>
      <c r="CTF224" s="1"/>
      <c r="CTG224" s="1"/>
      <c r="CTH224" s="1"/>
      <c r="CTI224" s="1"/>
      <c r="CTJ224" s="1"/>
      <c r="CTK224" s="1"/>
      <c r="CTL224" s="1"/>
      <c r="CTM224" s="1"/>
      <c r="CTN224" s="1"/>
      <c r="CTO224" s="1"/>
      <c r="CTP224" s="1"/>
      <c r="CTQ224" s="1"/>
      <c r="CTR224" s="1"/>
      <c r="CTS224" s="1"/>
      <c r="CTT224" s="1"/>
      <c r="CTU224" s="1"/>
      <c r="CTV224" s="1"/>
      <c r="CTW224" s="1"/>
      <c r="CTX224" s="1"/>
      <c r="CTY224" s="1"/>
      <c r="CTZ224" s="1"/>
      <c r="CUA224" s="1"/>
      <c r="CUB224" s="1"/>
      <c r="CUC224" s="1"/>
      <c r="CUD224" s="1"/>
      <c r="CUE224" s="1"/>
      <c r="CUF224" s="1"/>
      <c r="CUG224" s="1"/>
      <c r="CUH224" s="1"/>
      <c r="CUI224" s="1"/>
      <c r="CUJ224" s="1"/>
      <c r="CUK224" s="1"/>
      <c r="CUL224" s="1"/>
      <c r="CUM224" s="1"/>
      <c r="CUN224" s="1"/>
      <c r="CUO224" s="1"/>
      <c r="CUP224" s="1"/>
      <c r="CUQ224" s="1"/>
      <c r="CUR224" s="1"/>
      <c r="CUS224" s="1"/>
      <c r="CUT224" s="1"/>
      <c r="CUU224" s="1"/>
      <c r="CUV224" s="1"/>
      <c r="CUW224" s="1"/>
      <c r="CUX224" s="1"/>
      <c r="CUY224" s="1"/>
      <c r="CUZ224" s="1"/>
      <c r="CVA224" s="1"/>
      <c r="CVB224" s="1"/>
      <c r="CVC224" s="1"/>
      <c r="CVD224" s="1"/>
      <c r="CVE224" s="1"/>
      <c r="CVF224" s="1"/>
      <c r="CVG224" s="1"/>
      <c r="CVH224" s="1"/>
      <c r="CVI224" s="1"/>
      <c r="CVJ224" s="1"/>
      <c r="CVK224" s="1"/>
      <c r="CVL224" s="1"/>
      <c r="CVM224" s="1"/>
      <c r="CVN224" s="1"/>
      <c r="CVO224" s="1"/>
      <c r="CVP224" s="1"/>
      <c r="CVQ224" s="1"/>
      <c r="CVR224" s="1"/>
      <c r="CVS224" s="1"/>
      <c r="CVT224" s="1"/>
      <c r="CVU224" s="1"/>
      <c r="CVV224" s="1"/>
      <c r="CVW224" s="1"/>
      <c r="CVX224" s="1"/>
      <c r="CVY224" s="1"/>
      <c r="CVZ224" s="1"/>
      <c r="CWA224" s="1"/>
      <c r="CWB224" s="1"/>
      <c r="CWC224" s="1"/>
      <c r="CWD224" s="1"/>
      <c r="CWE224" s="1"/>
      <c r="CWF224" s="1"/>
      <c r="CWG224" s="1"/>
      <c r="CWH224" s="1"/>
      <c r="CWI224" s="1"/>
      <c r="CWJ224" s="1"/>
      <c r="CWK224" s="1"/>
      <c r="CWL224" s="1"/>
      <c r="CWM224" s="1"/>
      <c r="CWN224" s="1"/>
      <c r="CWO224" s="1"/>
      <c r="CWP224" s="1"/>
      <c r="CWQ224" s="1"/>
      <c r="CWR224" s="1"/>
      <c r="CWS224" s="1"/>
      <c r="CWT224" s="1"/>
      <c r="CWU224" s="1"/>
      <c r="CWV224" s="1"/>
      <c r="CWW224" s="1"/>
      <c r="CWX224" s="1"/>
      <c r="CWY224" s="1"/>
      <c r="CWZ224" s="1"/>
      <c r="CXA224" s="1"/>
      <c r="CXB224" s="1"/>
      <c r="CXC224" s="1"/>
      <c r="CXD224" s="1"/>
      <c r="CXE224" s="1"/>
      <c r="CXF224" s="1"/>
      <c r="CXG224" s="1"/>
      <c r="CXH224" s="1"/>
      <c r="CXI224" s="1"/>
      <c r="CXJ224" s="1"/>
      <c r="CXK224" s="1"/>
      <c r="CXL224" s="1"/>
      <c r="CXM224" s="1"/>
      <c r="CXN224" s="1"/>
      <c r="CXO224" s="1"/>
      <c r="CXP224" s="1"/>
      <c r="CXQ224" s="1"/>
      <c r="CXR224" s="1"/>
      <c r="CXS224" s="1"/>
      <c r="CXT224" s="1"/>
      <c r="CXU224" s="1"/>
      <c r="CXV224" s="1"/>
      <c r="CXW224" s="1"/>
      <c r="CXX224" s="1"/>
      <c r="CXY224" s="1"/>
      <c r="CXZ224" s="1"/>
      <c r="CYA224" s="1"/>
      <c r="CYB224" s="1"/>
      <c r="CYC224" s="1"/>
      <c r="CYD224" s="1"/>
      <c r="CYE224" s="1"/>
      <c r="CYF224" s="1"/>
      <c r="CYG224" s="1"/>
      <c r="CYH224" s="1"/>
      <c r="CYI224" s="1"/>
      <c r="CYJ224" s="1"/>
      <c r="CYK224" s="1"/>
      <c r="CYL224" s="1"/>
      <c r="CYM224" s="1"/>
      <c r="CYN224" s="1"/>
      <c r="CYO224" s="1"/>
      <c r="CYP224" s="1"/>
      <c r="CYQ224" s="1"/>
      <c r="CYR224" s="1"/>
      <c r="CYS224" s="1"/>
      <c r="CYT224" s="1"/>
      <c r="CYU224" s="1"/>
      <c r="CYV224" s="1"/>
      <c r="CYW224" s="1"/>
      <c r="CYX224" s="1"/>
      <c r="CYY224" s="1"/>
      <c r="CYZ224" s="1"/>
      <c r="CZA224" s="1"/>
      <c r="CZB224" s="1"/>
      <c r="CZC224" s="1"/>
      <c r="CZD224" s="1"/>
      <c r="CZE224" s="1"/>
      <c r="CZF224" s="1"/>
      <c r="CZG224" s="1"/>
      <c r="CZH224" s="1"/>
      <c r="CZI224" s="1"/>
      <c r="CZJ224" s="1"/>
      <c r="CZK224" s="1"/>
      <c r="CZL224" s="1"/>
      <c r="CZM224" s="1"/>
      <c r="CZN224" s="1"/>
      <c r="CZO224" s="1"/>
      <c r="CZP224" s="1"/>
      <c r="CZQ224" s="1"/>
      <c r="CZR224" s="1"/>
      <c r="CZS224" s="1"/>
      <c r="CZT224" s="1"/>
      <c r="CZU224" s="1"/>
      <c r="CZV224" s="1"/>
      <c r="CZW224" s="1"/>
      <c r="CZX224" s="1"/>
      <c r="CZY224" s="1"/>
      <c r="CZZ224" s="1"/>
      <c r="DAA224" s="1"/>
      <c r="DAB224" s="1"/>
      <c r="DAC224" s="1"/>
      <c r="DAD224" s="1"/>
      <c r="DAE224" s="1"/>
      <c r="DAF224" s="1"/>
      <c r="DAG224" s="1"/>
      <c r="DAH224" s="1"/>
      <c r="DAI224" s="1"/>
      <c r="DAJ224" s="1"/>
      <c r="DAK224" s="1"/>
      <c r="DAL224" s="1"/>
      <c r="DAM224" s="1"/>
      <c r="DAN224" s="1"/>
      <c r="DAO224" s="1"/>
      <c r="DAP224" s="1"/>
      <c r="DAQ224" s="1"/>
      <c r="DAR224" s="1"/>
      <c r="DAS224" s="1"/>
      <c r="DAT224" s="1"/>
      <c r="DAU224" s="1"/>
      <c r="DAV224" s="1"/>
      <c r="DAW224" s="1"/>
      <c r="DAX224" s="1"/>
      <c r="DAY224" s="1"/>
      <c r="DAZ224" s="1"/>
      <c r="DBA224" s="1"/>
      <c r="DBB224" s="1"/>
      <c r="DBC224" s="1"/>
      <c r="DBD224" s="1"/>
      <c r="DBE224" s="1"/>
      <c r="DBF224" s="1"/>
      <c r="DBG224" s="1"/>
      <c r="DBH224" s="1"/>
      <c r="DBI224" s="1"/>
      <c r="DBJ224" s="1"/>
      <c r="DBK224" s="1"/>
      <c r="DBL224" s="1"/>
      <c r="DBM224" s="1"/>
      <c r="DBN224" s="1"/>
      <c r="DBO224" s="1"/>
      <c r="DBP224" s="1"/>
      <c r="DBQ224" s="1"/>
      <c r="DBR224" s="1"/>
      <c r="DBS224" s="1"/>
      <c r="DBT224" s="1"/>
      <c r="DBU224" s="1"/>
      <c r="DBV224" s="1"/>
      <c r="DBW224" s="1"/>
      <c r="DBX224" s="1"/>
      <c r="DBY224" s="1"/>
      <c r="DBZ224" s="1"/>
      <c r="DCA224" s="1"/>
      <c r="DCB224" s="1"/>
      <c r="DCC224" s="1"/>
      <c r="DCD224" s="1"/>
      <c r="DCE224" s="1"/>
      <c r="DCF224" s="1"/>
      <c r="DCG224" s="1"/>
      <c r="DCH224" s="1"/>
      <c r="DCI224" s="1"/>
      <c r="DCJ224" s="1"/>
      <c r="DCK224" s="1"/>
      <c r="DCL224" s="1"/>
      <c r="DCM224" s="1"/>
      <c r="DCN224" s="1"/>
      <c r="DCO224" s="1"/>
      <c r="DCP224" s="1"/>
      <c r="DCQ224" s="1"/>
      <c r="DCR224" s="1"/>
      <c r="DCS224" s="1"/>
      <c r="DCT224" s="1"/>
      <c r="DCU224" s="1"/>
      <c r="DCV224" s="1"/>
      <c r="DCW224" s="1"/>
      <c r="DCX224" s="1"/>
      <c r="DCY224" s="1"/>
      <c r="DCZ224" s="1"/>
      <c r="DDA224" s="1"/>
      <c r="DDB224" s="1"/>
      <c r="DDC224" s="1"/>
      <c r="DDD224" s="1"/>
      <c r="DDE224" s="1"/>
      <c r="DDF224" s="1"/>
      <c r="DDG224" s="1"/>
      <c r="DDH224" s="1"/>
      <c r="DDI224" s="1"/>
      <c r="DDJ224" s="1"/>
      <c r="DDK224" s="1"/>
      <c r="DDL224" s="1"/>
      <c r="DDM224" s="1"/>
      <c r="DDN224" s="1"/>
      <c r="DDO224" s="1"/>
      <c r="DDP224" s="1"/>
      <c r="DDQ224" s="1"/>
      <c r="DDR224" s="1"/>
      <c r="DDS224" s="1"/>
      <c r="DDT224" s="1"/>
      <c r="DDU224" s="1"/>
      <c r="DDV224" s="1"/>
      <c r="DDW224" s="1"/>
      <c r="DDX224" s="1"/>
      <c r="DDY224" s="1"/>
      <c r="DDZ224" s="1"/>
      <c r="DEA224" s="1"/>
      <c r="DEB224" s="1"/>
      <c r="DEC224" s="1"/>
      <c r="DED224" s="1"/>
      <c r="DEE224" s="1"/>
      <c r="DEF224" s="1"/>
      <c r="DEG224" s="1"/>
      <c r="DEH224" s="1"/>
      <c r="DEI224" s="1"/>
      <c r="DEJ224" s="1"/>
      <c r="DEK224" s="1"/>
      <c r="DEL224" s="1"/>
      <c r="DEM224" s="1"/>
      <c r="DEN224" s="1"/>
      <c r="DEO224" s="1"/>
      <c r="DEP224" s="1"/>
      <c r="DEQ224" s="1"/>
      <c r="DER224" s="1"/>
      <c r="DES224" s="1"/>
      <c r="DET224" s="1"/>
      <c r="DEU224" s="1"/>
      <c r="DEV224" s="1"/>
      <c r="DEW224" s="1"/>
      <c r="DEX224" s="1"/>
      <c r="DEY224" s="1"/>
      <c r="DEZ224" s="1"/>
      <c r="DFA224" s="1"/>
      <c r="DFB224" s="1"/>
      <c r="DFC224" s="1"/>
      <c r="DFD224" s="1"/>
      <c r="DFE224" s="1"/>
      <c r="DFF224" s="1"/>
      <c r="DFG224" s="1"/>
      <c r="DFH224" s="1"/>
      <c r="DFI224" s="1"/>
      <c r="DFJ224" s="1"/>
      <c r="DFK224" s="1"/>
      <c r="DFL224" s="1"/>
      <c r="DFM224" s="1"/>
      <c r="DFN224" s="1"/>
      <c r="DFO224" s="1"/>
      <c r="DFP224" s="1"/>
      <c r="DFQ224" s="1"/>
      <c r="DFR224" s="1"/>
      <c r="DFS224" s="1"/>
      <c r="DFT224" s="1"/>
      <c r="DFU224" s="1"/>
      <c r="DFV224" s="1"/>
      <c r="DFW224" s="1"/>
      <c r="DFX224" s="1"/>
      <c r="DFY224" s="1"/>
      <c r="DFZ224" s="1"/>
      <c r="DGA224" s="1"/>
      <c r="DGB224" s="1"/>
      <c r="DGC224" s="1"/>
      <c r="DGD224" s="1"/>
      <c r="DGE224" s="1"/>
      <c r="DGF224" s="1"/>
      <c r="DGG224" s="1"/>
      <c r="DGH224" s="1"/>
      <c r="DGI224" s="1"/>
      <c r="DGJ224" s="1"/>
      <c r="DGK224" s="1"/>
      <c r="DGL224" s="1"/>
      <c r="DGM224" s="1"/>
      <c r="DGN224" s="1"/>
      <c r="DGO224" s="1"/>
      <c r="DGP224" s="1"/>
      <c r="DGQ224" s="1"/>
      <c r="DGR224" s="1"/>
      <c r="DGS224" s="1"/>
      <c r="DGT224" s="1"/>
      <c r="DGU224" s="1"/>
      <c r="DGV224" s="1"/>
      <c r="DGW224" s="1"/>
      <c r="DGX224" s="1"/>
      <c r="DGY224" s="1"/>
      <c r="DGZ224" s="1"/>
      <c r="DHA224" s="1"/>
      <c r="DHB224" s="1"/>
      <c r="DHC224" s="1"/>
      <c r="DHD224" s="1"/>
      <c r="DHE224" s="1"/>
      <c r="DHF224" s="1"/>
      <c r="DHG224" s="1"/>
      <c r="DHH224" s="1"/>
      <c r="DHI224" s="1"/>
      <c r="DHJ224" s="1"/>
      <c r="DHK224" s="1"/>
      <c r="DHL224" s="1"/>
      <c r="DHM224" s="1"/>
      <c r="DHN224" s="1"/>
      <c r="DHO224" s="1"/>
      <c r="DHP224" s="1"/>
      <c r="DHQ224" s="1"/>
      <c r="DHR224" s="1"/>
      <c r="DHS224" s="1"/>
      <c r="DHT224" s="1"/>
      <c r="DHU224" s="1"/>
      <c r="DHV224" s="1"/>
      <c r="DHW224" s="1"/>
      <c r="DHX224" s="1"/>
      <c r="DHY224" s="1"/>
      <c r="DHZ224" s="1"/>
      <c r="DIA224" s="1"/>
      <c r="DIB224" s="1"/>
      <c r="DIC224" s="1"/>
      <c r="DID224" s="1"/>
      <c r="DIE224" s="1"/>
      <c r="DIF224" s="1"/>
      <c r="DIG224" s="1"/>
      <c r="DIH224" s="1"/>
      <c r="DII224" s="1"/>
      <c r="DIJ224" s="1"/>
      <c r="DIK224" s="1"/>
      <c r="DIL224" s="1"/>
      <c r="DIM224" s="1"/>
      <c r="DIN224" s="1"/>
      <c r="DIO224" s="1"/>
      <c r="DIP224" s="1"/>
      <c r="DIQ224" s="1"/>
      <c r="DIR224" s="1"/>
      <c r="DIS224" s="1"/>
      <c r="DIT224" s="1"/>
      <c r="DIU224" s="1"/>
      <c r="DIV224" s="1"/>
      <c r="DIW224" s="1"/>
      <c r="DIX224" s="1"/>
      <c r="DIY224" s="1"/>
      <c r="DIZ224" s="1"/>
      <c r="DJA224" s="1"/>
      <c r="DJB224" s="1"/>
      <c r="DJC224" s="1"/>
      <c r="DJD224" s="1"/>
      <c r="DJE224" s="1"/>
      <c r="DJF224" s="1"/>
      <c r="DJG224" s="1"/>
      <c r="DJH224" s="1"/>
      <c r="DJI224" s="1"/>
      <c r="DJJ224" s="1"/>
      <c r="DJK224" s="1"/>
      <c r="DJL224" s="1"/>
      <c r="DJM224" s="1"/>
      <c r="DJN224" s="1"/>
      <c r="DJO224" s="1"/>
      <c r="DJP224" s="1"/>
      <c r="DJQ224" s="1"/>
      <c r="DJR224" s="1"/>
      <c r="DJS224" s="1"/>
      <c r="DJT224" s="1"/>
      <c r="DJU224" s="1"/>
      <c r="DJV224" s="1"/>
      <c r="DJW224" s="1"/>
      <c r="DJX224" s="1"/>
      <c r="DJY224" s="1"/>
      <c r="DJZ224" s="1"/>
      <c r="DKA224" s="1"/>
      <c r="DKB224" s="1"/>
      <c r="DKC224" s="1"/>
      <c r="DKD224" s="1"/>
      <c r="DKE224" s="1"/>
      <c r="DKF224" s="1"/>
      <c r="DKG224" s="1"/>
      <c r="DKH224" s="1"/>
      <c r="DKI224" s="1"/>
      <c r="DKJ224" s="1"/>
      <c r="DKK224" s="1"/>
      <c r="DKL224" s="1"/>
      <c r="DKM224" s="1"/>
      <c r="DKN224" s="1"/>
      <c r="DKO224" s="1"/>
      <c r="DKP224" s="1"/>
      <c r="DKQ224" s="1"/>
      <c r="DKR224" s="1"/>
      <c r="DKS224" s="1"/>
      <c r="DKT224" s="1"/>
      <c r="DKU224" s="1"/>
      <c r="DKV224" s="1"/>
      <c r="DKW224" s="1"/>
      <c r="DKX224" s="1"/>
      <c r="DKY224" s="1"/>
      <c r="DKZ224" s="1"/>
      <c r="DLA224" s="1"/>
      <c r="DLB224" s="1"/>
      <c r="DLC224" s="1"/>
      <c r="DLD224" s="1"/>
      <c r="DLE224" s="1"/>
      <c r="DLF224" s="1"/>
      <c r="DLG224" s="1"/>
      <c r="DLH224" s="1"/>
      <c r="DLI224" s="1"/>
      <c r="DLJ224" s="1"/>
      <c r="DLK224" s="1"/>
      <c r="DLL224" s="1"/>
      <c r="DLM224" s="1"/>
      <c r="DLN224" s="1"/>
      <c r="DLO224" s="1"/>
      <c r="DLP224" s="1"/>
      <c r="DLQ224" s="1"/>
      <c r="DLR224" s="1"/>
      <c r="DLS224" s="1"/>
      <c r="DLT224" s="1"/>
      <c r="DLU224" s="1"/>
      <c r="DLV224" s="1"/>
      <c r="DLW224" s="1"/>
      <c r="DLX224" s="1"/>
      <c r="DLY224" s="1"/>
      <c r="DLZ224" s="1"/>
      <c r="DMA224" s="1"/>
      <c r="DMB224" s="1"/>
      <c r="DMC224" s="1"/>
      <c r="DMD224" s="1"/>
      <c r="DME224" s="1"/>
      <c r="DMF224" s="1"/>
      <c r="DMG224" s="1"/>
      <c r="DMH224" s="1"/>
      <c r="DMI224" s="1"/>
      <c r="DMJ224" s="1"/>
      <c r="DMK224" s="1"/>
      <c r="DML224" s="1"/>
      <c r="DMM224" s="1"/>
      <c r="DMN224" s="1"/>
      <c r="DMO224" s="1"/>
      <c r="DMP224" s="1"/>
      <c r="DMQ224" s="1"/>
      <c r="DMR224" s="1"/>
      <c r="DMS224" s="1"/>
      <c r="DMT224" s="1"/>
      <c r="DMU224" s="1"/>
      <c r="DMV224" s="1"/>
      <c r="DMW224" s="1"/>
      <c r="DMX224" s="1"/>
      <c r="DMY224" s="1"/>
      <c r="DMZ224" s="1"/>
      <c r="DNA224" s="1"/>
      <c r="DNB224" s="1"/>
      <c r="DNC224" s="1"/>
      <c r="DND224" s="1"/>
      <c r="DNE224" s="1"/>
      <c r="DNF224" s="1"/>
      <c r="DNG224" s="1"/>
      <c r="DNH224" s="1"/>
      <c r="DNI224" s="1"/>
      <c r="DNJ224" s="1"/>
      <c r="DNK224" s="1"/>
      <c r="DNL224" s="1"/>
      <c r="DNM224" s="1"/>
      <c r="DNN224" s="1"/>
      <c r="DNO224" s="1"/>
      <c r="DNP224" s="1"/>
      <c r="DNQ224" s="1"/>
      <c r="DNR224" s="1"/>
      <c r="DNS224" s="1"/>
      <c r="DNT224" s="1"/>
      <c r="DNU224" s="1"/>
      <c r="DNV224" s="1"/>
      <c r="DNW224" s="1"/>
      <c r="DNX224" s="1"/>
      <c r="DNY224" s="1"/>
      <c r="DNZ224" s="1"/>
      <c r="DOA224" s="1"/>
      <c r="DOB224" s="1"/>
      <c r="DOC224" s="1"/>
      <c r="DOD224" s="1"/>
      <c r="DOE224" s="1"/>
      <c r="DOF224" s="1"/>
      <c r="DOG224" s="1"/>
      <c r="DOH224" s="1"/>
      <c r="DOI224" s="1"/>
      <c r="DOJ224" s="1"/>
      <c r="DOK224" s="1"/>
      <c r="DOL224" s="1"/>
      <c r="DOM224" s="1"/>
      <c r="DON224" s="1"/>
      <c r="DOO224" s="1"/>
      <c r="DOP224" s="1"/>
      <c r="DOQ224" s="1"/>
      <c r="DOR224" s="1"/>
      <c r="DOS224" s="1"/>
      <c r="DOT224" s="1"/>
      <c r="DOU224" s="1"/>
      <c r="DOV224" s="1"/>
      <c r="DOW224" s="1"/>
      <c r="DOX224" s="1"/>
      <c r="DOY224" s="1"/>
      <c r="DOZ224" s="1"/>
      <c r="DPA224" s="1"/>
      <c r="DPB224" s="1"/>
      <c r="DPC224" s="1"/>
      <c r="DPD224" s="1"/>
      <c r="DPE224" s="1"/>
      <c r="DPF224" s="1"/>
      <c r="DPG224" s="1"/>
      <c r="DPH224" s="1"/>
      <c r="DPI224" s="1"/>
      <c r="DPJ224" s="1"/>
      <c r="DPK224" s="1"/>
      <c r="DPL224" s="1"/>
      <c r="DPM224" s="1"/>
      <c r="DPN224" s="1"/>
      <c r="DPO224" s="1"/>
      <c r="DPP224" s="1"/>
      <c r="DPQ224" s="1"/>
      <c r="DPR224" s="1"/>
      <c r="DPS224" s="1"/>
      <c r="DPT224" s="1"/>
      <c r="DPU224" s="1"/>
      <c r="DPV224" s="1"/>
      <c r="DPW224" s="1"/>
      <c r="DPX224" s="1"/>
      <c r="DPY224" s="1"/>
      <c r="DPZ224" s="1"/>
      <c r="DQA224" s="1"/>
      <c r="DQB224" s="1"/>
      <c r="DQC224" s="1"/>
      <c r="DQD224" s="1"/>
      <c r="DQE224" s="1"/>
      <c r="DQF224" s="1"/>
      <c r="DQG224" s="1"/>
      <c r="DQH224" s="1"/>
      <c r="DQI224" s="1"/>
      <c r="DQJ224" s="1"/>
      <c r="DQK224" s="1"/>
      <c r="DQL224" s="1"/>
      <c r="DQM224" s="1"/>
      <c r="DQN224" s="1"/>
      <c r="DQO224" s="1"/>
      <c r="DQP224" s="1"/>
      <c r="DQQ224" s="1"/>
      <c r="DQR224" s="1"/>
      <c r="DQS224" s="1"/>
      <c r="DQT224" s="1"/>
      <c r="DQU224" s="1"/>
      <c r="DQV224" s="1"/>
      <c r="DQW224" s="1"/>
      <c r="DQX224" s="1"/>
      <c r="DQY224" s="1"/>
      <c r="DQZ224" s="1"/>
      <c r="DRA224" s="1"/>
      <c r="DRB224" s="1"/>
      <c r="DRC224" s="1"/>
      <c r="DRD224" s="1"/>
      <c r="DRE224" s="1"/>
      <c r="DRF224" s="1"/>
      <c r="DRG224" s="1"/>
      <c r="DRH224" s="1"/>
      <c r="DRI224" s="1"/>
      <c r="DRJ224" s="1"/>
      <c r="DRK224" s="1"/>
      <c r="DRL224" s="1"/>
      <c r="DRM224" s="1"/>
      <c r="DRN224" s="1"/>
      <c r="DRO224" s="1"/>
      <c r="DRP224" s="1"/>
      <c r="DRQ224" s="1"/>
      <c r="DRR224" s="1"/>
      <c r="DRS224" s="1"/>
      <c r="DRT224" s="1"/>
      <c r="DRU224" s="1"/>
      <c r="DRV224" s="1"/>
      <c r="DRW224" s="1"/>
      <c r="DRX224" s="1"/>
      <c r="DRY224" s="1"/>
      <c r="DRZ224" s="1"/>
      <c r="DSA224" s="1"/>
      <c r="DSB224" s="1"/>
      <c r="DSC224" s="1"/>
      <c r="DSD224" s="1"/>
      <c r="DSE224" s="1"/>
      <c r="DSF224" s="1"/>
      <c r="DSG224" s="1"/>
      <c r="DSH224" s="1"/>
      <c r="DSI224" s="1"/>
      <c r="DSJ224" s="1"/>
      <c r="DSK224" s="1"/>
      <c r="DSL224" s="1"/>
      <c r="DSM224" s="1"/>
      <c r="DSN224" s="1"/>
      <c r="DSO224" s="1"/>
      <c r="DSP224" s="1"/>
      <c r="DSQ224" s="1"/>
      <c r="DSR224" s="1"/>
      <c r="DSS224" s="1"/>
      <c r="DST224" s="1"/>
      <c r="DSU224" s="1"/>
      <c r="DSV224" s="1"/>
      <c r="DSW224" s="1"/>
      <c r="DSX224" s="1"/>
      <c r="DSY224" s="1"/>
      <c r="DSZ224" s="1"/>
      <c r="DTA224" s="1"/>
      <c r="DTB224" s="1"/>
      <c r="DTC224" s="1"/>
      <c r="DTD224" s="1"/>
      <c r="DTE224" s="1"/>
      <c r="DTF224" s="1"/>
      <c r="DTG224" s="1"/>
      <c r="DTH224" s="1"/>
      <c r="DTI224" s="1"/>
      <c r="DTJ224" s="1"/>
      <c r="DTK224" s="1"/>
      <c r="DTL224" s="1"/>
      <c r="DTM224" s="1"/>
      <c r="DTN224" s="1"/>
      <c r="DTO224" s="1"/>
      <c r="DTP224" s="1"/>
      <c r="DTQ224" s="1"/>
      <c r="DTR224" s="1"/>
      <c r="DTS224" s="1"/>
      <c r="DTT224" s="1"/>
      <c r="DTU224" s="1"/>
      <c r="DTV224" s="1"/>
      <c r="DTW224" s="1"/>
      <c r="DTX224" s="1"/>
      <c r="DTY224" s="1"/>
      <c r="DTZ224" s="1"/>
      <c r="DUA224" s="1"/>
      <c r="DUB224" s="1"/>
      <c r="DUC224" s="1"/>
      <c r="DUD224" s="1"/>
      <c r="DUE224" s="1"/>
      <c r="DUF224" s="1"/>
      <c r="DUG224" s="1"/>
      <c r="DUH224" s="1"/>
      <c r="DUI224" s="1"/>
      <c r="DUJ224" s="1"/>
      <c r="DUK224" s="1"/>
      <c r="DUL224" s="1"/>
      <c r="DUM224" s="1"/>
      <c r="DUN224" s="1"/>
      <c r="DUO224" s="1"/>
      <c r="DUP224" s="1"/>
      <c r="DUQ224" s="1"/>
      <c r="DUR224" s="1"/>
      <c r="DUS224" s="1"/>
      <c r="DUT224" s="1"/>
      <c r="DUU224" s="1"/>
      <c r="DUV224" s="1"/>
      <c r="DUW224" s="1"/>
      <c r="DUX224" s="1"/>
      <c r="DUY224" s="1"/>
      <c r="DUZ224" s="1"/>
      <c r="DVA224" s="1"/>
      <c r="DVB224" s="1"/>
      <c r="DVC224" s="1"/>
      <c r="DVD224" s="1"/>
      <c r="DVE224" s="1"/>
      <c r="DVF224" s="1"/>
      <c r="DVG224" s="1"/>
      <c r="DVH224" s="1"/>
      <c r="DVI224" s="1"/>
      <c r="DVJ224" s="1"/>
      <c r="DVK224" s="1"/>
      <c r="DVL224" s="1"/>
      <c r="DVM224" s="1"/>
      <c r="DVN224" s="1"/>
      <c r="DVO224" s="1"/>
      <c r="DVP224" s="1"/>
      <c r="DVQ224" s="1"/>
      <c r="DVR224" s="1"/>
      <c r="DVS224" s="1"/>
      <c r="DVT224" s="1"/>
      <c r="DVU224" s="1"/>
      <c r="DVV224" s="1"/>
      <c r="DVW224" s="1"/>
      <c r="DVX224" s="1"/>
      <c r="DVY224" s="1"/>
      <c r="DVZ224" s="1"/>
      <c r="DWA224" s="1"/>
      <c r="DWB224" s="1"/>
      <c r="DWC224" s="1"/>
      <c r="DWD224" s="1"/>
      <c r="DWE224" s="1"/>
      <c r="DWF224" s="1"/>
      <c r="DWG224" s="1"/>
      <c r="DWH224" s="1"/>
      <c r="DWI224" s="1"/>
      <c r="DWJ224" s="1"/>
      <c r="DWK224" s="1"/>
      <c r="DWL224" s="1"/>
      <c r="DWM224" s="1"/>
      <c r="DWN224" s="1"/>
      <c r="DWO224" s="1"/>
      <c r="DWP224" s="1"/>
      <c r="DWQ224" s="1"/>
      <c r="DWR224" s="1"/>
      <c r="DWS224" s="1"/>
      <c r="DWT224" s="1"/>
      <c r="DWU224" s="1"/>
      <c r="DWV224" s="1"/>
      <c r="DWW224" s="1"/>
      <c r="DWX224" s="1"/>
      <c r="DWY224" s="1"/>
      <c r="DWZ224" s="1"/>
      <c r="DXA224" s="1"/>
      <c r="DXB224" s="1"/>
      <c r="DXC224" s="1"/>
      <c r="DXD224" s="1"/>
      <c r="DXE224" s="1"/>
      <c r="DXF224" s="1"/>
      <c r="DXG224" s="1"/>
      <c r="DXH224" s="1"/>
      <c r="DXI224" s="1"/>
      <c r="DXJ224" s="1"/>
      <c r="DXK224" s="1"/>
      <c r="DXL224" s="1"/>
      <c r="DXM224" s="1"/>
      <c r="DXN224" s="1"/>
      <c r="DXO224" s="1"/>
      <c r="DXP224" s="1"/>
      <c r="DXQ224" s="1"/>
      <c r="DXR224" s="1"/>
      <c r="DXS224" s="1"/>
      <c r="DXT224" s="1"/>
      <c r="DXU224" s="1"/>
      <c r="DXV224" s="1"/>
      <c r="DXW224" s="1"/>
      <c r="DXX224" s="1"/>
      <c r="DXY224" s="1"/>
      <c r="DXZ224" s="1"/>
      <c r="DYA224" s="1"/>
      <c r="DYB224" s="1"/>
      <c r="DYC224" s="1"/>
      <c r="DYD224" s="1"/>
      <c r="DYE224" s="1"/>
      <c r="DYF224" s="1"/>
      <c r="DYG224" s="1"/>
      <c r="DYH224" s="1"/>
      <c r="DYI224" s="1"/>
      <c r="DYJ224" s="1"/>
      <c r="DYK224" s="1"/>
      <c r="DYL224" s="1"/>
      <c r="DYM224" s="1"/>
      <c r="DYN224" s="1"/>
      <c r="DYO224" s="1"/>
      <c r="DYP224" s="1"/>
      <c r="DYQ224" s="1"/>
      <c r="DYR224" s="1"/>
      <c r="DYS224" s="1"/>
      <c r="DYT224" s="1"/>
      <c r="DYU224" s="1"/>
      <c r="DYV224" s="1"/>
      <c r="DYW224" s="1"/>
      <c r="DYX224" s="1"/>
      <c r="DYY224" s="1"/>
      <c r="DYZ224" s="1"/>
      <c r="DZA224" s="1"/>
      <c r="DZB224" s="1"/>
      <c r="DZC224" s="1"/>
      <c r="DZD224" s="1"/>
      <c r="DZE224" s="1"/>
      <c r="DZF224" s="1"/>
      <c r="DZG224" s="1"/>
      <c r="DZH224" s="1"/>
      <c r="DZI224" s="1"/>
      <c r="DZJ224" s="1"/>
      <c r="DZK224" s="1"/>
      <c r="DZL224" s="1"/>
      <c r="DZM224" s="1"/>
      <c r="DZN224" s="1"/>
      <c r="DZO224" s="1"/>
      <c r="DZP224" s="1"/>
      <c r="DZQ224" s="1"/>
      <c r="DZR224" s="1"/>
      <c r="DZS224" s="1"/>
      <c r="DZT224" s="1"/>
      <c r="DZU224" s="1"/>
      <c r="DZV224" s="1"/>
      <c r="DZW224" s="1"/>
      <c r="DZX224" s="1"/>
      <c r="DZY224" s="1"/>
      <c r="DZZ224" s="1"/>
      <c r="EAA224" s="1"/>
      <c r="EAB224" s="1"/>
      <c r="EAC224" s="1"/>
      <c r="EAD224" s="1"/>
      <c r="EAE224" s="1"/>
      <c r="EAF224" s="1"/>
      <c r="EAG224" s="1"/>
      <c r="EAH224" s="1"/>
      <c r="EAI224" s="1"/>
      <c r="EAJ224" s="1"/>
      <c r="EAK224" s="1"/>
      <c r="EAL224" s="1"/>
      <c r="EAM224" s="1"/>
      <c r="EAN224" s="1"/>
      <c r="EAO224" s="1"/>
      <c r="EAP224" s="1"/>
      <c r="EAQ224" s="1"/>
      <c r="EAR224" s="1"/>
      <c r="EAS224" s="1"/>
      <c r="EAT224" s="1"/>
      <c r="EAU224" s="1"/>
      <c r="EAV224" s="1"/>
      <c r="EAW224" s="1"/>
      <c r="EAX224" s="1"/>
      <c r="EAY224" s="1"/>
      <c r="EAZ224" s="1"/>
      <c r="EBA224" s="1"/>
      <c r="EBB224" s="1"/>
      <c r="EBC224" s="1"/>
      <c r="EBD224" s="1"/>
      <c r="EBE224" s="1"/>
      <c r="EBF224" s="1"/>
      <c r="EBG224" s="1"/>
      <c r="EBH224" s="1"/>
      <c r="EBI224" s="1"/>
      <c r="EBJ224" s="1"/>
      <c r="EBK224" s="1"/>
      <c r="EBL224" s="1"/>
      <c r="EBM224" s="1"/>
      <c r="EBN224" s="1"/>
      <c r="EBO224" s="1"/>
      <c r="EBP224" s="1"/>
      <c r="EBQ224" s="1"/>
      <c r="EBR224" s="1"/>
      <c r="EBS224" s="1"/>
      <c r="EBT224" s="1"/>
      <c r="EBU224" s="1"/>
      <c r="EBV224" s="1"/>
      <c r="EBW224" s="1"/>
      <c r="EBX224" s="1"/>
      <c r="EBY224" s="1"/>
      <c r="EBZ224" s="1"/>
      <c r="ECA224" s="1"/>
      <c r="ECB224" s="1"/>
      <c r="ECC224" s="1"/>
      <c r="ECD224" s="1"/>
      <c r="ECE224" s="1"/>
      <c r="ECF224" s="1"/>
      <c r="ECG224" s="1"/>
      <c r="ECH224" s="1"/>
      <c r="ECI224" s="1"/>
      <c r="ECJ224" s="1"/>
      <c r="ECK224" s="1"/>
      <c r="ECL224" s="1"/>
      <c r="ECM224" s="1"/>
      <c r="ECN224" s="1"/>
      <c r="ECO224" s="1"/>
      <c r="ECP224" s="1"/>
      <c r="ECQ224" s="1"/>
      <c r="ECR224" s="1"/>
      <c r="ECS224" s="1"/>
      <c r="ECT224" s="1"/>
      <c r="ECU224" s="1"/>
      <c r="ECV224" s="1"/>
      <c r="ECW224" s="1"/>
      <c r="ECX224" s="1"/>
      <c r="ECY224" s="1"/>
      <c r="ECZ224" s="1"/>
      <c r="EDA224" s="1"/>
      <c r="EDB224" s="1"/>
      <c r="EDC224" s="1"/>
      <c r="EDD224" s="1"/>
      <c r="EDE224" s="1"/>
      <c r="EDF224" s="1"/>
      <c r="EDG224" s="1"/>
      <c r="EDH224" s="1"/>
      <c r="EDI224" s="1"/>
      <c r="EDJ224" s="1"/>
      <c r="EDK224" s="1"/>
      <c r="EDL224" s="1"/>
      <c r="EDM224" s="1"/>
      <c r="EDN224" s="1"/>
      <c r="EDO224" s="1"/>
      <c r="EDP224" s="1"/>
      <c r="EDQ224" s="1"/>
      <c r="EDR224" s="1"/>
      <c r="EDS224" s="1"/>
      <c r="EDT224" s="1"/>
      <c r="EDU224" s="1"/>
      <c r="EDV224" s="1"/>
      <c r="EDW224" s="1"/>
      <c r="EDX224" s="1"/>
      <c r="EDY224" s="1"/>
      <c r="EDZ224" s="1"/>
      <c r="EEA224" s="1"/>
      <c r="EEB224" s="1"/>
      <c r="EEC224" s="1"/>
      <c r="EED224" s="1"/>
      <c r="EEE224" s="1"/>
      <c r="EEF224" s="1"/>
      <c r="EEG224" s="1"/>
      <c r="EEH224" s="1"/>
      <c r="EEI224" s="1"/>
      <c r="EEJ224" s="1"/>
      <c r="EEK224" s="1"/>
      <c r="EEL224" s="1"/>
      <c r="EEM224" s="1"/>
      <c r="EEN224" s="1"/>
      <c r="EEO224" s="1"/>
      <c r="EEP224" s="1"/>
      <c r="EEQ224" s="1"/>
      <c r="EER224" s="1"/>
      <c r="EES224" s="1"/>
      <c r="EET224" s="1"/>
      <c r="EEU224" s="1"/>
      <c r="EEV224" s="1"/>
      <c r="EEW224" s="1"/>
      <c r="EEX224" s="1"/>
      <c r="EEY224" s="1"/>
      <c r="EEZ224" s="1"/>
      <c r="EFA224" s="1"/>
      <c r="EFB224" s="1"/>
      <c r="EFC224" s="1"/>
      <c r="EFD224" s="1"/>
      <c r="EFE224" s="1"/>
      <c r="EFF224" s="1"/>
      <c r="EFG224" s="1"/>
      <c r="EFH224" s="1"/>
      <c r="EFI224" s="1"/>
      <c r="EFJ224" s="1"/>
      <c r="EFK224" s="1"/>
      <c r="EFL224" s="1"/>
      <c r="EFM224" s="1"/>
      <c r="EFN224" s="1"/>
      <c r="EFO224" s="1"/>
      <c r="EFP224" s="1"/>
      <c r="EFQ224" s="1"/>
      <c r="EFR224" s="1"/>
      <c r="EFS224" s="1"/>
      <c r="EFT224" s="1"/>
      <c r="EFU224" s="1"/>
      <c r="EFV224" s="1"/>
      <c r="EFW224" s="1"/>
      <c r="EFX224" s="1"/>
      <c r="EFY224" s="1"/>
      <c r="EFZ224" s="1"/>
      <c r="EGA224" s="1"/>
      <c r="EGB224" s="1"/>
      <c r="EGC224" s="1"/>
      <c r="EGD224" s="1"/>
      <c r="EGE224" s="1"/>
      <c r="EGF224" s="1"/>
      <c r="EGG224" s="1"/>
      <c r="EGH224" s="1"/>
      <c r="EGI224" s="1"/>
      <c r="EGJ224" s="1"/>
      <c r="EGK224" s="1"/>
      <c r="EGL224" s="1"/>
      <c r="EGM224" s="1"/>
      <c r="EGN224" s="1"/>
      <c r="EGO224" s="1"/>
      <c r="EGP224" s="1"/>
      <c r="EGQ224" s="1"/>
      <c r="EGR224" s="1"/>
      <c r="EGS224" s="1"/>
      <c r="EGT224" s="1"/>
      <c r="EGU224" s="1"/>
      <c r="EGV224" s="1"/>
      <c r="EGW224" s="1"/>
      <c r="EGX224" s="1"/>
      <c r="EGY224" s="1"/>
      <c r="EGZ224" s="1"/>
      <c r="EHA224" s="1"/>
      <c r="EHB224" s="1"/>
      <c r="EHC224" s="1"/>
      <c r="EHD224" s="1"/>
      <c r="EHE224" s="1"/>
      <c r="EHF224" s="1"/>
      <c r="EHG224" s="1"/>
      <c r="EHH224" s="1"/>
      <c r="EHI224" s="1"/>
      <c r="EHJ224" s="1"/>
      <c r="EHK224" s="1"/>
      <c r="EHL224" s="1"/>
      <c r="EHM224" s="1"/>
      <c r="EHN224" s="1"/>
      <c r="EHO224" s="1"/>
      <c r="EHP224" s="1"/>
      <c r="EHQ224" s="1"/>
      <c r="EHR224" s="1"/>
      <c r="EHS224" s="1"/>
      <c r="EHT224" s="1"/>
      <c r="EHU224" s="1"/>
      <c r="EHV224" s="1"/>
      <c r="EHW224" s="1"/>
      <c r="EHX224" s="1"/>
      <c r="EHY224" s="1"/>
      <c r="EHZ224" s="1"/>
      <c r="EIA224" s="1"/>
      <c r="EIB224" s="1"/>
      <c r="EIC224" s="1"/>
      <c r="EID224" s="1"/>
      <c r="EIE224" s="1"/>
      <c r="EIF224" s="1"/>
      <c r="EIG224" s="1"/>
      <c r="EIH224" s="1"/>
      <c r="EII224" s="1"/>
      <c r="EIJ224" s="1"/>
      <c r="EIK224" s="1"/>
      <c r="EIL224" s="1"/>
      <c r="EIM224" s="1"/>
      <c r="EIN224" s="1"/>
      <c r="EIO224" s="1"/>
      <c r="EIP224" s="1"/>
      <c r="EIQ224" s="1"/>
      <c r="EIR224" s="1"/>
      <c r="EIS224" s="1"/>
      <c r="EIT224" s="1"/>
      <c r="EIU224" s="1"/>
      <c r="EIV224" s="1"/>
      <c r="EIW224" s="1"/>
      <c r="EIX224" s="1"/>
      <c r="EIY224" s="1"/>
      <c r="EIZ224" s="1"/>
      <c r="EJA224" s="1"/>
      <c r="EJB224" s="1"/>
      <c r="EJC224" s="1"/>
      <c r="EJD224" s="1"/>
      <c r="EJE224" s="1"/>
      <c r="EJF224" s="1"/>
      <c r="EJG224" s="1"/>
      <c r="EJH224" s="1"/>
      <c r="EJI224" s="1"/>
      <c r="EJJ224" s="1"/>
      <c r="EJK224" s="1"/>
      <c r="EJL224" s="1"/>
      <c r="EJM224" s="1"/>
      <c r="EJN224" s="1"/>
      <c r="EJO224" s="1"/>
      <c r="EJP224" s="1"/>
      <c r="EJQ224" s="1"/>
      <c r="EJR224" s="1"/>
      <c r="EJS224" s="1"/>
      <c r="EJT224" s="1"/>
      <c r="EJU224" s="1"/>
      <c r="EJV224" s="1"/>
      <c r="EJW224" s="1"/>
      <c r="EJX224" s="1"/>
      <c r="EJY224" s="1"/>
      <c r="EJZ224" s="1"/>
      <c r="EKA224" s="1"/>
      <c r="EKB224" s="1"/>
      <c r="EKC224" s="1"/>
      <c r="EKD224" s="1"/>
      <c r="EKE224" s="1"/>
      <c r="EKF224" s="1"/>
      <c r="EKG224" s="1"/>
      <c r="EKH224" s="1"/>
      <c r="EKI224" s="1"/>
      <c r="EKJ224" s="1"/>
      <c r="EKK224" s="1"/>
      <c r="EKL224" s="1"/>
      <c r="EKM224" s="1"/>
      <c r="EKN224" s="1"/>
      <c r="EKO224" s="1"/>
      <c r="EKP224" s="1"/>
      <c r="EKQ224" s="1"/>
      <c r="EKR224" s="1"/>
      <c r="EKS224" s="1"/>
      <c r="EKT224" s="1"/>
      <c r="EKU224" s="1"/>
      <c r="EKV224" s="1"/>
      <c r="EKW224" s="1"/>
      <c r="EKX224" s="1"/>
      <c r="EKY224" s="1"/>
      <c r="EKZ224" s="1"/>
      <c r="ELA224" s="1"/>
      <c r="ELB224" s="1"/>
      <c r="ELC224" s="1"/>
      <c r="ELD224" s="1"/>
      <c r="ELE224" s="1"/>
      <c r="ELF224" s="1"/>
      <c r="ELG224" s="1"/>
      <c r="ELH224" s="1"/>
      <c r="ELI224" s="1"/>
      <c r="ELJ224" s="1"/>
      <c r="ELK224" s="1"/>
      <c r="ELL224" s="1"/>
      <c r="ELM224" s="1"/>
      <c r="ELN224" s="1"/>
      <c r="ELO224" s="1"/>
      <c r="ELP224" s="1"/>
      <c r="ELQ224" s="1"/>
      <c r="ELR224" s="1"/>
      <c r="ELS224" s="1"/>
      <c r="ELT224" s="1"/>
      <c r="ELU224" s="1"/>
      <c r="ELV224" s="1"/>
      <c r="ELW224" s="1"/>
      <c r="ELX224" s="1"/>
      <c r="ELY224" s="1"/>
      <c r="ELZ224" s="1"/>
      <c r="EMA224" s="1"/>
      <c r="EMB224" s="1"/>
      <c r="EMC224" s="1"/>
      <c r="EMD224" s="1"/>
      <c r="EME224" s="1"/>
      <c r="EMF224" s="1"/>
      <c r="EMG224" s="1"/>
      <c r="EMH224" s="1"/>
      <c r="EMI224" s="1"/>
      <c r="EMJ224" s="1"/>
      <c r="EMK224" s="1"/>
      <c r="EML224" s="1"/>
      <c r="EMM224" s="1"/>
      <c r="EMN224" s="1"/>
      <c r="EMO224" s="1"/>
      <c r="EMP224" s="1"/>
      <c r="EMQ224" s="1"/>
      <c r="EMR224" s="1"/>
      <c r="EMS224" s="1"/>
      <c r="EMT224" s="1"/>
      <c r="EMU224" s="1"/>
      <c r="EMV224" s="1"/>
      <c r="EMW224" s="1"/>
      <c r="EMX224" s="1"/>
      <c r="EMY224" s="1"/>
      <c r="EMZ224" s="1"/>
      <c r="ENA224" s="1"/>
      <c r="ENB224" s="1"/>
      <c r="ENC224" s="1"/>
      <c r="END224" s="1"/>
      <c r="ENE224" s="1"/>
      <c r="ENF224" s="1"/>
      <c r="ENG224" s="1"/>
      <c r="ENH224" s="1"/>
      <c r="ENI224" s="1"/>
      <c r="ENJ224" s="1"/>
      <c r="ENK224" s="1"/>
      <c r="ENL224" s="1"/>
      <c r="ENM224" s="1"/>
      <c r="ENN224" s="1"/>
      <c r="ENO224" s="1"/>
      <c r="ENP224" s="1"/>
      <c r="ENQ224" s="1"/>
      <c r="ENR224" s="1"/>
      <c r="ENS224" s="1"/>
      <c r="ENT224" s="1"/>
      <c r="ENU224" s="1"/>
      <c r="ENV224" s="1"/>
      <c r="ENW224" s="1"/>
      <c r="ENX224" s="1"/>
      <c r="ENY224" s="1"/>
      <c r="ENZ224" s="1"/>
      <c r="EOA224" s="1"/>
      <c r="EOB224" s="1"/>
      <c r="EOC224" s="1"/>
      <c r="EOD224" s="1"/>
      <c r="EOE224" s="1"/>
      <c r="EOF224" s="1"/>
      <c r="EOG224" s="1"/>
      <c r="EOH224" s="1"/>
      <c r="EOI224" s="1"/>
      <c r="EOJ224" s="1"/>
      <c r="EOK224" s="1"/>
      <c r="EOL224" s="1"/>
      <c r="EOM224" s="1"/>
      <c r="EON224" s="1"/>
      <c r="EOO224" s="1"/>
      <c r="EOP224" s="1"/>
      <c r="EOQ224" s="1"/>
      <c r="EOR224" s="1"/>
      <c r="EOS224" s="1"/>
      <c r="EOT224" s="1"/>
      <c r="EOU224" s="1"/>
      <c r="EOV224" s="1"/>
      <c r="EOW224" s="1"/>
      <c r="EOX224" s="1"/>
      <c r="EOY224" s="1"/>
      <c r="EOZ224" s="1"/>
      <c r="EPA224" s="1"/>
      <c r="EPB224" s="1"/>
      <c r="EPC224" s="1"/>
      <c r="EPD224" s="1"/>
      <c r="EPE224" s="1"/>
      <c r="EPF224" s="1"/>
      <c r="EPG224" s="1"/>
      <c r="EPH224" s="1"/>
      <c r="EPI224" s="1"/>
      <c r="EPJ224" s="1"/>
      <c r="EPK224" s="1"/>
      <c r="EPL224" s="1"/>
      <c r="EPM224" s="1"/>
      <c r="EPN224" s="1"/>
      <c r="EPO224" s="1"/>
      <c r="EPP224" s="1"/>
      <c r="EPQ224" s="1"/>
      <c r="EPR224" s="1"/>
      <c r="EPS224" s="1"/>
      <c r="EPT224" s="1"/>
      <c r="EPU224" s="1"/>
      <c r="EPV224" s="1"/>
      <c r="EPW224" s="1"/>
      <c r="EPX224" s="1"/>
      <c r="EPY224" s="1"/>
      <c r="EPZ224" s="1"/>
      <c r="EQA224" s="1"/>
      <c r="EQB224" s="1"/>
      <c r="EQC224" s="1"/>
      <c r="EQD224" s="1"/>
      <c r="EQE224" s="1"/>
      <c r="EQF224" s="1"/>
      <c r="EQG224" s="1"/>
      <c r="EQH224" s="1"/>
      <c r="EQI224" s="1"/>
      <c r="EQJ224" s="1"/>
      <c r="EQK224" s="1"/>
      <c r="EQL224" s="1"/>
      <c r="EQM224" s="1"/>
      <c r="EQN224" s="1"/>
      <c r="EQO224" s="1"/>
      <c r="EQP224" s="1"/>
      <c r="EQQ224" s="1"/>
      <c r="EQR224" s="1"/>
      <c r="EQS224" s="1"/>
      <c r="EQT224" s="1"/>
      <c r="EQU224" s="1"/>
      <c r="EQV224" s="1"/>
      <c r="EQW224" s="1"/>
      <c r="EQX224" s="1"/>
      <c r="EQY224" s="1"/>
      <c r="EQZ224" s="1"/>
      <c r="ERA224" s="1"/>
      <c r="ERB224" s="1"/>
      <c r="ERC224" s="1"/>
      <c r="ERD224" s="1"/>
      <c r="ERE224" s="1"/>
      <c r="ERF224" s="1"/>
      <c r="ERG224" s="1"/>
      <c r="ERH224" s="1"/>
      <c r="ERI224" s="1"/>
      <c r="ERJ224" s="1"/>
      <c r="ERK224" s="1"/>
      <c r="ERL224" s="1"/>
      <c r="ERM224" s="1"/>
      <c r="ERN224" s="1"/>
      <c r="ERO224" s="1"/>
      <c r="ERP224" s="1"/>
      <c r="ERQ224" s="1"/>
      <c r="ERR224" s="1"/>
      <c r="ERS224" s="1"/>
      <c r="ERT224" s="1"/>
      <c r="ERU224" s="1"/>
      <c r="ERV224" s="1"/>
      <c r="ERW224" s="1"/>
      <c r="ERX224" s="1"/>
      <c r="ERY224" s="1"/>
      <c r="ERZ224" s="1"/>
      <c r="ESA224" s="1"/>
      <c r="ESB224" s="1"/>
      <c r="ESC224" s="1"/>
      <c r="ESD224" s="1"/>
      <c r="ESE224" s="1"/>
      <c r="ESF224" s="1"/>
      <c r="ESG224" s="1"/>
      <c r="ESH224" s="1"/>
      <c r="ESI224" s="1"/>
      <c r="ESJ224" s="1"/>
      <c r="ESK224" s="1"/>
      <c r="ESL224" s="1"/>
      <c r="ESM224" s="1"/>
      <c r="ESN224" s="1"/>
      <c r="ESO224" s="1"/>
      <c r="ESP224" s="1"/>
      <c r="ESQ224" s="1"/>
      <c r="ESR224" s="1"/>
      <c r="ESS224" s="1"/>
      <c r="EST224" s="1"/>
      <c r="ESU224" s="1"/>
      <c r="ESV224" s="1"/>
      <c r="ESW224" s="1"/>
      <c r="ESX224" s="1"/>
      <c r="ESY224" s="1"/>
      <c r="ESZ224" s="1"/>
      <c r="ETA224" s="1"/>
      <c r="ETB224" s="1"/>
      <c r="ETC224" s="1"/>
      <c r="ETD224" s="1"/>
      <c r="ETE224" s="1"/>
      <c r="ETF224" s="1"/>
      <c r="ETG224" s="1"/>
      <c r="ETH224" s="1"/>
      <c r="ETI224" s="1"/>
      <c r="ETJ224" s="1"/>
      <c r="ETK224" s="1"/>
      <c r="ETL224" s="1"/>
      <c r="ETM224" s="1"/>
      <c r="ETN224" s="1"/>
      <c r="ETO224" s="1"/>
      <c r="ETP224" s="1"/>
      <c r="ETQ224" s="1"/>
      <c r="ETR224" s="1"/>
      <c r="ETS224" s="1"/>
      <c r="ETT224" s="1"/>
      <c r="ETU224" s="1"/>
      <c r="ETV224" s="1"/>
      <c r="ETW224" s="1"/>
      <c r="ETX224" s="1"/>
      <c r="ETY224" s="1"/>
      <c r="ETZ224" s="1"/>
      <c r="EUA224" s="1"/>
      <c r="EUB224" s="1"/>
      <c r="EUC224" s="1"/>
      <c r="EUD224" s="1"/>
      <c r="EUE224" s="1"/>
      <c r="EUF224" s="1"/>
      <c r="EUG224" s="1"/>
      <c r="EUH224" s="1"/>
      <c r="EUI224" s="1"/>
      <c r="EUJ224" s="1"/>
      <c r="EUK224" s="1"/>
      <c r="EUL224" s="1"/>
      <c r="EUM224" s="1"/>
      <c r="EUN224" s="1"/>
      <c r="EUO224" s="1"/>
      <c r="EUP224" s="1"/>
      <c r="EUQ224" s="1"/>
      <c r="EUR224" s="1"/>
      <c r="EUS224" s="1"/>
      <c r="EUT224" s="1"/>
      <c r="EUU224" s="1"/>
      <c r="EUV224" s="1"/>
      <c r="EUW224" s="1"/>
      <c r="EUX224" s="1"/>
      <c r="EUY224" s="1"/>
      <c r="EUZ224" s="1"/>
      <c r="EVA224" s="1"/>
      <c r="EVB224" s="1"/>
      <c r="EVC224" s="1"/>
      <c r="EVD224" s="1"/>
      <c r="EVE224" s="1"/>
      <c r="EVF224" s="1"/>
      <c r="EVG224" s="1"/>
      <c r="EVH224" s="1"/>
      <c r="EVI224" s="1"/>
      <c r="EVJ224" s="1"/>
      <c r="EVK224" s="1"/>
      <c r="EVL224" s="1"/>
      <c r="EVM224" s="1"/>
      <c r="EVN224" s="1"/>
      <c r="EVO224" s="1"/>
      <c r="EVP224" s="1"/>
      <c r="EVQ224" s="1"/>
      <c r="EVR224" s="1"/>
      <c r="EVS224" s="1"/>
      <c r="EVT224" s="1"/>
      <c r="EVU224" s="1"/>
      <c r="EVV224" s="1"/>
      <c r="EVW224" s="1"/>
      <c r="EVX224" s="1"/>
      <c r="EVY224" s="1"/>
      <c r="EVZ224" s="1"/>
      <c r="EWA224" s="1"/>
      <c r="EWB224" s="1"/>
      <c r="EWC224" s="1"/>
      <c r="EWD224" s="1"/>
      <c r="EWE224" s="1"/>
      <c r="EWF224" s="1"/>
      <c r="EWG224" s="1"/>
      <c r="EWH224" s="1"/>
      <c r="EWI224" s="1"/>
      <c r="EWJ224" s="1"/>
      <c r="EWK224" s="1"/>
      <c r="EWL224" s="1"/>
      <c r="EWM224" s="1"/>
      <c r="EWN224" s="1"/>
      <c r="EWO224" s="1"/>
      <c r="EWP224" s="1"/>
      <c r="EWQ224" s="1"/>
      <c r="EWR224" s="1"/>
      <c r="EWS224" s="1"/>
      <c r="EWT224" s="1"/>
      <c r="EWU224" s="1"/>
      <c r="EWV224" s="1"/>
      <c r="EWW224" s="1"/>
      <c r="EWX224" s="1"/>
      <c r="EWY224" s="1"/>
      <c r="EWZ224" s="1"/>
      <c r="EXA224" s="1"/>
      <c r="EXB224" s="1"/>
      <c r="EXC224" s="1"/>
      <c r="EXD224" s="1"/>
      <c r="EXE224" s="1"/>
      <c r="EXF224" s="1"/>
      <c r="EXG224" s="1"/>
      <c r="EXH224" s="1"/>
      <c r="EXI224" s="1"/>
      <c r="EXJ224" s="1"/>
      <c r="EXK224" s="1"/>
      <c r="EXL224" s="1"/>
      <c r="EXM224" s="1"/>
      <c r="EXN224" s="1"/>
      <c r="EXO224" s="1"/>
      <c r="EXP224" s="1"/>
      <c r="EXQ224" s="1"/>
      <c r="EXR224" s="1"/>
      <c r="EXS224" s="1"/>
      <c r="EXT224" s="1"/>
      <c r="EXU224" s="1"/>
      <c r="EXV224" s="1"/>
      <c r="EXW224" s="1"/>
      <c r="EXX224" s="1"/>
      <c r="EXY224" s="1"/>
      <c r="EXZ224" s="1"/>
      <c r="EYA224" s="1"/>
      <c r="EYB224" s="1"/>
      <c r="EYC224" s="1"/>
      <c r="EYD224" s="1"/>
      <c r="EYE224" s="1"/>
      <c r="EYF224" s="1"/>
      <c r="EYG224" s="1"/>
      <c r="EYH224" s="1"/>
      <c r="EYI224" s="1"/>
      <c r="EYJ224" s="1"/>
      <c r="EYK224" s="1"/>
      <c r="EYL224" s="1"/>
      <c r="EYM224" s="1"/>
      <c r="EYN224" s="1"/>
      <c r="EYO224" s="1"/>
      <c r="EYP224" s="1"/>
      <c r="EYQ224" s="1"/>
      <c r="EYR224" s="1"/>
      <c r="EYS224" s="1"/>
      <c r="EYT224" s="1"/>
      <c r="EYU224" s="1"/>
      <c r="EYV224" s="1"/>
      <c r="EYW224" s="1"/>
      <c r="EYX224" s="1"/>
      <c r="EYY224" s="1"/>
      <c r="EYZ224" s="1"/>
      <c r="EZA224" s="1"/>
      <c r="EZB224" s="1"/>
      <c r="EZC224" s="1"/>
      <c r="EZD224" s="1"/>
      <c r="EZE224" s="1"/>
      <c r="EZF224" s="1"/>
      <c r="EZG224" s="1"/>
      <c r="EZH224" s="1"/>
      <c r="EZI224" s="1"/>
      <c r="EZJ224" s="1"/>
      <c r="EZK224" s="1"/>
      <c r="EZL224" s="1"/>
      <c r="EZM224" s="1"/>
      <c r="EZN224" s="1"/>
      <c r="EZO224" s="1"/>
      <c r="EZP224" s="1"/>
      <c r="EZQ224" s="1"/>
      <c r="EZR224" s="1"/>
      <c r="EZS224" s="1"/>
      <c r="EZT224" s="1"/>
      <c r="EZU224" s="1"/>
      <c r="EZV224" s="1"/>
      <c r="EZW224" s="1"/>
      <c r="EZX224" s="1"/>
      <c r="EZY224" s="1"/>
      <c r="EZZ224" s="1"/>
      <c r="FAA224" s="1"/>
      <c r="FAB224" s="1"/>
      <c r="FAC224" s="1"/>
      <c r="FAD224" s="1"/>
      <c r="FAE224" s="1"/>
      <c r="FAF224" s="1"/>
      <c r="FAG224" s="1"/>
      <c r="FAH224" s="1"/>
      <c r="FAI224" s="1"/>
      <c r="FAJ224" s="1"/>
      <c r="FAK224" s="1"/>
      <c r="FAL224" s="1"/>
      <c r="FAM224" s="1"/>
      <c r="FAN224" s="1"/>
      <c r="FAO224" s="1"/>
      <c r="FAP224" s="1"/>
      <c r="FAQ224" s="1"/>
      <c r="FAR224" s="1"/>
      <c r="FAS224" s="1"/>
      <c r="FAT224" s="1"/>
      <c r="FAU224" s="1"/>
      <c r="FAV224" s="1"/>
      <c r="FAW224" s="1"/>
      <c r="FAX224" s="1"/>
      <c r="FAY224" s="1"/>
      <c r="FAZ224" s="1"/>
      <c r="FBA224" s="1"/>
      <c r="FBB224" s="1"/>
      <c r="FBC224" s="1"/>
      <c r="FBD224" s="1"/>
      <c r="FBE224" s="1"/>
      <c r="FBF224" s="1"/>
      <c r="FBG224" s="1"/>
      <c r="FBH224" s="1"/>
      <c r="FBI224" s="1"/>
      <c r="FBJ224" s="1"/>
      <c r="FBK224" s="1"/>
      <c r="FBL224" s="1"/>
      <c r="FBM224" s="1"/>
      <c r="FBN224" s="1"/>
      <c r="FBO224" s="1"/>
      <c r="FBP224" s="1"/>
      <c r="FBQ224" s="1"/>
      <c r="FBR224" s="1"/>
      <c r="FBS224" s="1"/>
      <c r="FBT224" s="1"/>
      <c r="FBU224" s="1"/>
      <c r="FBV224" s="1"/>
      <c r="FBW224" s="1"/>
      <c r="FBX224" s="1"/>
      <c r="FBY224" s="1"/>
      <c r="FBZ224" s="1"/>
      <c r="FCA224" s="1"/>
      <c r="FCB224" s="1"/>
      <c r="FCC224" s="1"/>
      <c r="FCD224" s="1"/>
      <c r="FCE224" s="1"/>
      <c r="FCF224" s="1"/>
      <c r="FCG224" s="1"/>
      <c r="FCH224" s="1"/>
      <c r="FCI224" s="1"/>
      <c r="FCJ224" s="1"/>
      <c r="FCK224" s="1"/>
      <c r="FCL224" s="1"/>
      <c r="FCM224" s="1"/>
      <c r="FCN224" s="1"/>
      <c r="FCO224" s="1"/>
      <c r="FCP224" s="1"/>
      <c r="FCQ224" s="1"/>
      <c r="FCR224" s="1"/>
      <c r="FCS224" s="1"/>
      <c r="FCT224" s="1"/>
      <c r="FCU224" s="1"/>
      <c r="FCV224" s="1"/>
      <c r="FCW224" s="1"/>
      <c r="FCX224" s="1"/>
      <c r="FCY224" s="1"/>
      <c r="FCZ224" s="1"/>
      <c r="FDA224" s="1"/>
      <c r="FDB224" s="1"/>
      <c r="FDC224" s="1"/>
      <c r="FDD224" s="1"/>
      <c r="FDE224" s="1"/>
      <c r="FDF224" s="1"/>
      <c r="FDG224" s="1"/>
      <c r="FDH224" s="1"/>
      <c r="FDI224" s="1"/>
      <c r="FDJ224" s="1"/>
      <c r="FDK224" s="1"/>
      <c r="FDL224" s="1"/>
      <c r="FDM224" s="1"/>
      <c r="FDN224" s="1"/>
      <c r="FDO224" s="1"/>
      <c r="FDP224" s="1"/>
      <c r="FDQ224" s="1"/>
      <c r="FDR224" s="1"/>
      <c r="FDS224" s="1"/>
      <c r="FDT224" s="1"/>
      <c r="FDU224" s="1"/>
      <c r="FDV224" s="1"/>
      <c r="FDW224" s="1"/>
      <c r="FDX224" s="1"/>
      <c r="FDY224" s="1"/>
      <c r="FDZ224" s="1"/>
      <c r="FEA224" s="1"/>
      <c r="FEB224" s="1"/>
      <c r="FEC224" s="1"/>
      <c r="FED224" s="1"/>
      <c r="FEE224" s="1"/>
      <c r="FEF224" s="1"/>
      <c r="FEG224" s="1"/>
      <c r="FEH224" s="1"/>
      <c r="FEI224" s="1"/>
      <c r="FEJ224" s="1"/>
      <c r="FEK224" s="1"/>
      <c r="FEL224" s="1"/>
      <c r="FEM224" s="1"/>
      <c r="FEN224" s="1"/>
      <c r="FEO224" s="1"/>
      <c r="FEP224" s="1"/>
      <c r="FEQ224" s="1"/>
      <c r="FER224" s="1"/>
      <c r="FES224" s="1"/>
      <c r="FET224" s="1"/>
      <c r="FEU224" s="1"/>
      <c r="FEV224" s="1"/>
      <c r="FEW224" s="1"/>
      <c r="FEX224" s="1"/>
      <c r="FEY224" s="1"/>
      <c r="FEZ224" s="1"/>
      <c r="FFA224" s="1"/>
      <c r="FFB224" s="1"/>
      <c r="FFC224" s="1"/>
      <c r="FFD224" s="1"/>
      <c r="FFE224" s="1"/>
      <c r="FFF224" s="1"/>
      <c r="FFG224" s="1"/>
      <c r="FFH224" s="1"/>
      <c r="FFI224" s="1"/>
      <c r="FFJ224" s="1"/>
      <c r="FFK224" s="1"/>
      <c r="FFL224" s="1"/>
      <c r="FFM224" s="1"/>
      <c r="FFN224" s="1"/>
      <c r="FFO224" s="1"/>
      <c r="FFP224" s="1"/>
      <c r="FFQ224" s="1"/>
      <c r="FFR224" s="1"/>
      <c r="FFS224" s="1"/>
      <c r="FFT224" s="1"/>
      <c r="FFU224" s="1"/>
      <c r="FFV224" s="1"/>
      <c r="FFW224" s="1"/>
      <c r="FFX224" s="1"/>
      <c r="FFY224" s="1"/>
      <c r="FFZ224" s="1"/>
      <c r="FGA224" s="1"/>
      <c r="FGB224" s="1"/>
      <c r="FGC224" s="1"/>
      <c r="FGD224" s="1"/>
      <c r="FGE224" s="1"/>
      <c r="FGF224" s="1"/>
      <c r="FGG224" s="1"/>
      <c r="FGH224" s="1"/>
      <c r="FGI224" s="1"/>
      <c r="FGJ224" s="1"/>
      <c r="FGK224" s="1"/>
      <c r="FGL224" s="1"/>
      <c r="FGM224" s="1"/>
      <c r="FGN224" s="1"/>
      <c r="FGO224" s="1"/>
      <c r="FGP224" s="1"/>
      <c r="FGQ224" s="1"/>
      <c r="FGR224" s="1"/>
      <c r="FGS224" s="1"/>
      <c r="FGT224" s="1"/>
      <c r="FGU224" s="1"/>
      <c r="FGV224" s="1"/>
      <c r="FGW224" s="1"/>
      <c r="FGX224" s="1"/>
      <c r="FGY224" s="1"/>
      <c r="FGZ224" s="1"/>
      <c r="FHA224" s="1"/>
      <c r="FHB224" s="1"/>
      <c r="FHC224" s="1"/>
      <c r="FHD224" s="1"/>
      <c r="FHE224" s="1"/>
      <c r="FHF224" s="1"/>
      <c r="FHG224" s="1"/>
      <c r="FHH224" s="1"/>
      <c r="FHI224" s="1"/>
      <c r="FHJ224" s="1"/>
      <c r="FHK224" s="1"/>
      <c r="FHL224" s="1"/>
      <c r="FHM224" s="1"/>
      <c r="FHN224" s="1"/>
      <c r="FHO224" s="1"/>
      <c r="FHP224" s="1"/>
      <c r="FHQ224" s="1"/>
      <c r="FHR224" s="1"/>
      <c r="FHS224" s="1"/>
      <c r="FHT224" s="1"/>
      <c r="FHU224" s="1"/>
      <c r="FHV224" s="1"/>
      <c r="FHW224" s="1"/>
      <c r="FHX224" s="1"/>
      <c r="FHY224" s="1"/>
      <c r="FHZ224" s="1"/>
      <c r="FIA224" s="1"/>
      <c r="FIB224" s="1"/>
      <c r="FIC224" s="1"/>
      <c r="FID224" s="1"/>
      <c r="FIE224" s="1"/>
      <c r="FIF224" s="1"/>
      <c r="FIG224" s="1"/>
      <c r="FIH224" s="1"/>
      <c r="FII224" s="1"/>
      <c r="FIJ224" s="1"/>
      <c r="FIK224" s="1"/>
      <c r="FIL224" s="1"/>
      <c r="FIM224" s="1"/>
      <c r="FIN224" s="1"/>
      <c r="FIO224" s="1"/>
      <c r="FIP224" s="1"/>
      <c r="FIQ224" s="1"/>
      <c r="FIR224" s="1"/>
      <c r="FIS224" s="1"/>
      <c r="FIT224" s="1"/>
      <c r="FIU224" s="1"/>
      <c r="FIV224" s="1"/>
      <c r="FIW224" s="1"/>
      <c r="FIX224" s="1"/>
      <c r="FIY224" s="1"/>
      <c r="FIZ224" s="1"/>
      <c r="FJA224" s="1"/>
      <c r="FJB224" s="1"/>
      <c r="FJC224" s="1"/>
      <c r="FJD224" s="1"/>
      <c r="FJE224" s="1"/>
      <c r="FJF224" s="1"/>
      <c r="FJG224" s="1"/>
      <c r="FJH224" s="1"/>
      <c r="FJI224" s="1"/>
      <c r="FJJ224" s="1"/>
      <c r="FJK224" s="1"/>
      <c r="FJL224" s="1"/>
      <c r="FJM224" s="1"/>
      <c r="FJN224" s="1"/>
      <c r="FJO224" s="1"/>
      <c r="FJP224" s="1"/>
      <c r="FJQ224" s="1"/>
      <c r="FJR224" s="1"/>
      <c r="FJS224" s="1"/>
      <c r="FJT224" s="1"/>
      <c r="FJU224" s="1"/>
      <c r="FJV224" s="1"/>
      <c r="FJW224" s="1"/>
      <c r="FJX224" s="1"/>
      <c r="FJY224" s="1"/>
      <c r="FJZ224" s="1"/>
      <c r="FKA224" s="1"/>
      <c r="FKB224" s="1"/>
      <c r="FKC224" s="1"/>
      <c r="FKD224" s="1"/>
      <c r="FKE224" s="1"/>
      <c r="FKF224" s="1"/>
      <c r="FKG224" s="1"/>
      <c r="FKH224" s="1"/>
      <c r="FKI224" s="1"/>
      <c r="FKJ224" s="1"/>
      <c r="FKK224" s="1"/>
      <c r="FKL224" s="1"/>
      <c r="FKM224" s="1"/>
      <c r="FKN224" s="1"/>
      <c r="FKO224" s="1"/>
      <c r="FKP224" s="1"/>
      <c r="FKQ224" s="1"/>
      <c r="FKR224" s="1"/>
      <c r="FKS224" s="1"/>
      <c r="FKT224" s="1"/>
      <c r="FKU224" s="1"/>
      <c r="FKV224" s="1"/>
      <c r="FKW224" s="1"/>
      <c r="FKX224" s="1"/>
      <c r="FKY224" s="1"/>
      <c r="FKZ224" s="1"/>
      <c r="FLA224" s="1"/>
      <c r="FLB224" s="1"/>
      <c r="FLC224" s="1"/>
      <c r="FLD224" s="1"/>
      <c r="FLE224" s="1"/>
      <c r="FLF224" s="1"/>
      <c r="FLG224" s="1"/>
      <c r="FLH224" s="1"/>
      <c r="FLI224" s="1"/>
      <c r="FLJ224" s="1"/>
      <c r="FLK224" s="1"/>
      <c r="FLL224" s="1"/>
      <c r="FLM224" s="1"/>
      <c r="FLN224" s="1"/>
      <c r="FLO224" s="1"/>
      <c r="FLP224" s="1"/>
      <c r="FLQ224" s="1"/>
      <c r="FLR224" s="1"/>
      <c r="FLS224" s="1"/>
      <c r="FLT224" s="1"/>
      <c r="FLU224" s="1"/>
      <c r="FLV224" s="1"/>
      <c r="FLW224" s="1"/>
      <c r="FLX224" s="1"/>
      <c r="FLY224" s="1"/>
      <c r="FLZ224" s="1"/>
      <c r="FMA224" s="1"/>
      <c r="FMB224" s="1"/>
      <c r="FMC224" s="1"/>
      <c r="FMD224" s="1"/>
      <c r="FME224" s="1"/>
      <c r="FMF224" s="1"/>
      <c r="FMG224" s="1"/>
      <c r="FMH224" s="1"/>
      <c r="FMI224" s="1"/>
      <c r="FMJ224" s="1"/>
      <c r="FMK224" s="1"/>
      <c r="FML224" s="1"/>
      <c r="FMM224" s="1"/>
      <c r="FMN224" s="1"/>
      <c r="FMO224" s="1"/>
      <c r="FMP224" s="1"/>
      <c r="FMQ224" s="1"/>
      <c r="FMR224" s="1"/>
      <c r="FMS224" s="1"/>
      <c r="FMT224" s="1"/>
      <c r="FMU224" s="1"/>
      <c r="FMV224" s="1"/>
      <c r="FMW224" s="1"/>
      <c r="FMX224" s="1"/>
      <c r="FMY224" s="1"/>
      <c r="FMZ224" s="1"/>
      <c r="FNA224" s="1"/>
      <c r="FNB224" s="1"/>
      <c r="FNC224" s="1"/>
      <c r="FND224" s="1"/>
      <c r="FNE224" s="1"/>
      <c r="FNF224" s="1"/>
      <c r="FNG224" s="1"/>
      <c r="FNH224" s="1"/>
      <c r="FNI224" s="1"/>
      <c r="FNJ224" s="1"/>
      <c r="FNK224" s="1"/>
      <c r="FNL224" s="1"/>
      <c r="FNM224" s="1"/>
      <c r="FNN224" s="1"/>
      <c r="FNO224" s="1"/>
      <c r="FNP224" s="1"/>
      <c r="FNQ224" s="1"/>
      <c r="FNR224" s="1"/>
      <c r="FNS224" s="1"/>
      <c r="FNT224" s="1"/>
      <c r="FNU224" s="1"/>
      <c r="FNV224" s="1"/>
      <c r="FNW224" s="1"/>
      <c r="FNX224" s="1"/>
      <c r="FNY224" s="1"/>
      <c r="FNZ224" s="1"/>
      <c r="FOA224" s="1"/>
      <c r="FOB224" s="1"/>
      <c r="FOC224" s="1"/>
      <c r="FOD224" s="1"/>
      <c r="FOE224" s="1"/>
      <c r="FOF224" s="1"/>
      <c r="FOG224" s="1"/>
      <c r="FOH224" s="1"/>
      <c r="FOI224" s="1"/>
      <c r="FOJ224" s="1"/>
      <c r="FOK224" s="1"/>
      <c r="FOL224" s="1"/>
      <c r="FOM224" s="1"/>
      <c r="FON224" s="1"/>
      <c r="FOO224" s="1"/>
      <c r="FOP224" s="1"/>
      <c r="FOQ224" s="1"/>
      <c r="FOR224" s="1"/>
      <c r="FOS224" s="1"/>
      <c r="FOT224" s="1"/>
      <c r="FOU224" s="1"/>
      <c r="FOV224" s="1"/>
      <c r="FOW224" s="1"/>
      <c r="FOX224" s="1"/>
      <c r="FOY224" s="1"/>
      <c r="FOZ224" s="1"/>
      <c r="FPA224" s="1"/>
      <c r="FPB224" s="1"/>
      <c r="FPC224" s="1"/>
      <c r="FPD224" s="1"/>
      <c r="FPE224" s="1"/>
      <c r="FPF224" s="1"/>
      <c r="FPG224" s="1"/>
      <c r="FPH224" s="1"/>
      <c r="FPI224" s="1"/>
      <c r="FPJ224" s="1"/>
      <c r="FPK224" s="1"/>
      <c r="FPL224" s="1"/>
      <c r="FPM224" s="1"/>
      <c r="FPN224" s="1"/>
      <c r="FPO224" s="1"/>
      <c r="FPP224" s="1"/>
      <c r="FPQ224" s="1"/>
      <c r="FPR224" s="1"/>
      <c r="FPS224" s="1"/>
      <c r="FPT224" s="1"/>
      <c r="FPU224" s="1"/>
      <c r="FPV224" s="1"/>
      <c r="FPW224" s="1"/>
      <c r="FPX224" s="1"/>
      <c r="FPY224" s="1"/>
      <c r="FPZ224" s="1"/>
      <c r="FQA224" s="1"/>
      <c r="FQB224" s="1"/>
      <c r="FQC224" s="1"/>
      <c r="FQD224" s="1"/>
      <c r="FQE224" s="1"/>
      <c r="FQF224" s="1"/>
      <c r="FQG224" s="1"/>
      <c r="FQH224" s="1"/>
      <c r="FQI224" s="1"/>
      <c r="FQJ224" s="1"/>
      <c r="FQK224" s="1"/>
      <c r="FQL224" s="1"/>
      <c r="FQM224" s="1"/>
      <c r="FQN224" s="1"/>
      <c r="FQO224" s="1"/>
      <c r="FQP224" s="1"/>
      <c r="FQQ224" s="1"/>
      <c r="FQR224" s="1"/>
      <c r="FQS224" s="1"/>
      <c r="FQT224" s="1"/>
      <c r="FQU224" s="1"/>
      <c r="FQV224" s="1"/>
      <c r="FQW224" s="1"/>
      <c r="FQX224" s="1"/>
      <c r="FQY224" s="1"/>
      <c r="FQZ224" s="1"/>
      <c r="FRA224" s="1"/>
      <c r="FRB224" s="1"/>
      <c r="FRC224" s="1"/>
      <c r="FRD224" s="1"/>
      <c r="FRE224" s="1"/>
      <c r="FRF224" s="1"/>
      <c r="FRG224" s="1"/>
      <c r="FRH224" s="1"/>
      <c r="FRI224" s="1"/>
      <c r="FRJ224" s="1"/>
      <c r="FRK224" s="1"/>
      <c r="FRL224" s="1"/>
      <c r="FRM224" s="1"/>
      <c r="FRN224" s="1"/>
      <c r="FRO224" s="1"/>
      <c r="FRP224" s="1"/>
      <c r="FRQ224" s="1"/>
      <c r="FRR224" s="1"/>
      <c r="FRS224" s="1"/>
      <c r="FRT224" s="1"/>
      <c r="FRU224" s="1"/>
      <c r="FRV224" s="1"/>
      <c r="FRW224" s="1"/>
      <c r="FRX224" s="1"/>
      <c r="FRY224" s="1"/>
      <c r="FRZ224" s="1"/>
      <c r="FSA224" s="1"/>
      <c r="FSB224" s="1"/>
      <c r="FSC224" s="1"/>
      <c r="FSD224" s="1"/>
      <c r="FSE224" s="1"/>
      <c r="FSF224" s="1"/>
      <c r="FSG224" s="1"/>
      <c r="FSH224" s="1"/>
      <c r="FSI224" s="1"/>
      <c r="FSJ224" s="1"/>
      <c r="FSK224" s="1"/>
      <c r="FSL224" s="1"/>
      <c r="FSM224" s="1"/>
      <c r="FSN224" s="1"/>
      <c r="FSO224" s="1"/>
      <c r="FSP224" s="1"/>
      <c r="FSQ224" s="1"/>
      <c r="FSR224" s="1"/>
      <c r="FSS224" s="1"/>
      <c r="FST224" s="1"/>
      <c r="FSU224" s="1"/>
      <c r="FSV224" s="1"/>
      <c r="FSW224" s="1"/>
      <c r="FSX224" s="1"/>
      <c r="FSY224" s="1"/>
      <c r="FSZ224" s="1"/>
      <c r="FTA224" s="1"/>
      <c r="FTB224" s="1"/>
      <c r="FTC224" s="1"/>
      <c r="FTD224" s="1"/>
      <c r="FTE224" s="1"/>
      <c r="FTF224" s="1"/>
      <c r="FTG224" s="1"/>
      <c r="FTH224" s="1"/>
      <c r="FTI224" s="1"/>
      <c r="FTJ224" s="1"/>
      <c r="FTK224" s="1"/>
      <c r="FTL224" s="1"/>
      <c r="FTM224" s="1"/>
      <c r="FTN224" s="1"/>
      <c r="FTO224" s="1"/>
      <c r="FTP224" s="1"/>
      <c r="FTQ224" s="1"/>
      <c r="FTR224" s="1"/>
      <c r="FTS224" s="1"/>
      <c r="FTT224" s="1"/>
      <c r="FTU224" s="1"/>
      <c r="FTV224" s="1"/>
      <c r="FTW224" s="1"/>
      <c r="FTX224" s="1"/>
      <c r="FTY224" s="1"/>
      <c r="FTZ224" s="1"/>
      <c r="FUA224" s="1"/>
      <c r="FUB224" s="1"/>
      <c r="FUC224" s="1"/>
      <c r="FUD224" s="1"/>
      <c r="FUE224" s="1"/>
      <c r="FUF224" s="1"/>
      <c r="FUG224" s="1"/>
      <c r="FUH224" s="1"/>
      <c r="FUI224" s="1"/>
      <c r="FUJ224" s="1"/>
      <c r="FUK224" s="1"/>
      <c r="FUL224" s="1"/>
      <c r="FUM224" s="1"/>
      <c r="FUN224" s="1"/>
      <c r="FUO224" s="1"/>
      <c r="FUP224" s="1"/>
      <c r="FUQ224" s="1"/>
      <c r="FUR224" s="1"/>
      <c r="FUS224" s="1"/>
      <c r="FUT224" s="1"/>
      <c r="FUU224" s="1"/>
      <c r="FUV224" s="1"/>
      <c r="FUW224" s="1"/>
      <c r="FUX224" s="1"/>
      <c r="FUY224" s="1"/>
      <c r="FUZ224" s="1"/>
      <c r="FVA224" s="1"/>
      <c r="FVB224" s="1"/>
      <c r="FVC224" s="1"/>
      <c r="FVD224" s="1"/>
      <c r="FVE224" s="1"/>
      <c r="FVF224" s="1"/>
      <c r="FVG224" s="1"/>
      <c r="FVH224" s="1"/>
      <c r="FVI224" s="1"/>
      <c r="FVJ224" s="1"/>
      <c r="FVK224" s="1"/>
      <c r="FVL224" s="1"/>
      <c r="FVM224" s="1"/>
      <c r="FVN224" s="1"/>
      <c r="FVO224" s="1"/>
      <c r="FVP224" s="1"/>
      <c r="FVQ224" s="1"/>
      <c r="FVR224" s="1"/>
      <c r="FVS224" s="1"/>
      <c r="FVT224" s="1"/>
      <c r="FVU224" s="1"/>
      <c r="FVV224" s="1"/>
      <c r="FVW224" s="1"/>
      <c r="FVX224" s="1"/>
      <c r="FVY224" s="1"/>
      <c r="FVZ224" s="1"/>
      <c r="FWA224" s="1"/>
      <c r="FWB224" s="1"/>
      <c r="FWC224" s="1"/>
      <c r="FWD224" s="1"/>
      <c r="FWE224" s="1"/>
      <c r="FWF224" s="1"/>
      <c r="FWG224" s="1"/>
      <c r="FWH224" s="1"/>
      <c r="FWI224" s="1"/>
      <c r="FWJ224" s="1"/>
      <c r="FWK224" s="1"/>
      <c r="FWL224" s="1"/>
      <c r="FWM224" s="1"/>
      <c r="FWN224" s="1"/>
      <c r="FWO224" s="1"/>
      <c r="FWP224" s="1"/>
      <c r="FWQ224" s="1"/>
      <c r="FWR224" s="1"/>
      <c r="FWS224" s="1"/>
      <c r="FWT224" s="1"/>
      <c r="FWU224" s="1"/>
      <c r="FWV224" s="1"/>
      <c r="FWW224" s="1"/>
      <c r="FWX224" s="1"/>
      <c r="FWY224" s="1"/>
      <c r="FWZ224" s="1"/>
      <c r="FXA224" s="1"/>
      <c r="FXB224" s="1"/>
      <c r="FXC224" s="1"/>
      <c r="FXD224" s="1"/>
      <c r="FXE224" s="1"/>
      <c r="FXF224" s="1"/>
      <c r="FXG224" s="1"/>
      <c r="FXH224" s="1"/>
      <c r="FXI224" s="1"/>
      <c r="FXJ224" s="1"/>
      <c r="FXK224" s="1"/>
      <c r="FXL224" s="1"/>
      <c r="FXM224" s="1"/>
      <c r="FXN224" s="1"/>
      <c r="FXO224" s="1"/>
      <c r="FXP224" s="1"/>
      <c r="FXQ224" s="1"/>
      <c r="FXR224" s="1"/>
      <c r="FXS224" s="1"/>
      <c r="FXT224" s="1"/>
      <c r="FXU224" s="1"/>
      <c r="FXV224" s="1"/>
      <c r="FXW224" s="1"/>
      <c r="FXX224" s="1"/>
      <c r="FXY224" s="1"/>
      <c r="FXZ224" s="1"/>
      <c r="FYA224" s="1"/>
      <c r="FYB224" s="1"/>
      <c r="FYC224" s="1"/>
      <c r="FYD224" s="1"/>
      <c r="FYE224" s="1"/>
      <c r="FYF224" s="1"/>
      <c r="FYG224" s="1"/>
      <c r="FYH224" s="1"/>
      <c r="FYI224" s="1"/>
      <c r="FYJ224" s="1"/>
      <c r="FYK224" s="1"/>
      <c r="FYL224" s="1"/>
      <c r="FYM224" s="1"/>
      <c r="FYN224" s="1"/>
      <c r="FYO224" s="1"/>
      <c r="FYP224" s="1"/>
      <c r="FYQ224" s="1"/>
      <c r="FYR224" s="1"/>
      <c r="FYS224" s="1"/>
      <c r="FYT224" s="1"/>
      <c r="FYU224" s="1"/>
      <c r="FYV224" s="1"/>
      <c r="FYW224" s="1"/>
      <c r="FYX224" s="1"/>
      <c r="FYY224" s="1"/>
      <c r="FYZ224" s="1"/>
      <c r="FZA224" s="1"/>
      <c r="FZB224" s="1"/>
      <c r="FZC224" s="1"/>
      <c r="FZD224" s="1"/>
      <c r="FZE224" s="1"/>
      <c r="FZF224" s="1"/>
      <c r="FZG224" s="1"/>
      <c r="FZH224" s="1"/>
      <c r="FZI224" s="1"/>
      <c r="FZJ224" s="1"/>
      <c r="FZK224" s="1"/>
      <c r="FZL224" s="1"/>
      <c r="FZM224" s="1"/>
      <c r="FZN224" s="1"/>
      <c r="FZO224" s="1"/>
      <c r="FZP224" s="1"/>
      <c r="FZQ224" s="1"/>
      <c r="FZR224" s="1"/>
      <c r="FZS224" s="1"/>
      <c r="FZT224" s="1"/>
      <c r="FZU224" s="1"/>
      <c r="FZV224" s="1"/>
      <c r="FZW224" s="1"/>
      <c r="FZX224" s="1"/>
      <c r="FZY224" s="1"/>
      <c r="FZZ224" s="1"/>
      <c r="GAA224" s="1"/>
      <c r="GAB224" s="1"/>
      <c r="GAC224" s="1"/>
      <c r="GAD224" s="1"/>
      <c r="GAE224" s="1"/>
      <c r="GAF224" s="1"/>
      <c r="GAG224" s="1"/>
      <c r="GAH224" s="1"/>
      <c r="GAI224" s="1"/>
      <c r="GAJ224" s="1"/>
      <c r="GAK224" s="1"/>
      <c r="GAL224" s="1"/>
      <c r="GAM224" s="1"/>
      <c r="GAN224" s="1"/>
      <c r="GAO224" s="1"/>
      <c r="GAP224" s="1"/>
      <c r="GAQ224" s="1"/>
      <c r="GAR224" s="1"/>
      <c r="GAS224" s="1"/>
      <c r="GAT224" s="1"/>
      <c r="GAU224" s="1"/>
      <c r="GAV224" s="1"/>
      <c r="GAW224" s="1"/>
      <c r="GAX224" s="1"/>
      <c r="GAY224" s="1"/>
      <c r="GAZ224" s="1"/>
      <c r="GBA224" s="1"/>
      <c r="GBB224" s="1"/>
      <c r="GBC224" s="1"/>
      <c r="GBD224" s="1"/>
      <c r="GBE224" s="1"/>
      <c r="GBF224" s="1"/>
      <c r="GBG224" s="1"/>
      <c r="GBH224" s="1"/>
      <c r="GBI224" s="1"/>
      <c r="GBJ224" s="1"/>
      <c r="GBK224" s="1"/>
      <c r="GBL224" s="1"/>
      <c r="GBM224" s="1"/>
      <c r="GBN224" s="1"/>
      <c r="GBO224" s="1"/>
      <c r="GBP224" s="1"/>
      <c r="GBQ224" s="1"/>
      <c r="GBR224" s="1"/>
      <c r="GBS224" s="1"/>
      <c r="GBT224" s="1"/>
      <c r="GBU224" s="1"/>
      <c r="GBV224" s="1"/>
      <c r="GBW224" s="1"/>
      <c r="GBX224" s="1"/>
      <c r="GBY224" s="1"/>
      <c r="GBZ224" s="1"/>
      <c r="GCA224" s="1"/>
      <c r="GCB224" s="1"/>
      <c r="GCC224" s="1"/>
      <c r="GCD224" s="1"/>
      <c r="GCE224" s="1"/>
      <c r="GCF224" s="1"/>
      <c r="GCG224" s="1"/>
      <c r="GCH224" s="1"/>
      <c r="GCI224" s="1"/>
      <c r="GCJ224" s="1"/>
      <c r="GCK224" s="1"/>
      <c r="GCL224" s="1"/>
      <c r="GCM224" s="1"/>
      <c r="GCN224" s="1"/>
      <c r="GCO224" s="1"/>
      <c r="GCP224" s="1"/>
      <c r="GCQ224" s="1"/>
      <c r="GCR224" s="1"/>
      <c r="GCS224" s="1"/>
      <c r="GCT224" s="1"/>
      <c r="GCU224" s="1"/>
      <c r="GCV224" s="1"/>
      <c r="GCW224" s="1"/>
      <c r="GCX224" s="1"/>
      <c r="GCY224" s="1"/>
      <c r="GCZ224" s="1"/>
      <c r="GDA224" s="1"/>
      <c r="GDB224" s="1"/>
      <c r="GDC224" s="1"/>
      <c r="GDD224" s="1"/>
      <c r="GDE224" s="1"/>
      <c r="GDF224" s="1"/>
      <c r="GDG224" s="1"/>
      <c r="GDH224" s="1"/>
      <c r="GDI224" s="1"/>
      <c r="GDJ224" s="1"/>
      <c r="GDK224" s="1"/>
      <c r="GDL224" s="1"/>
      <c r="GDM224" s="1"/>
      <c r="GDN224" s="1"/>
      <c r="GDO224" s="1"/>
      <c r="GDP224" s="1"/>
      <c r="GDQ224" s="1"/>
      <c r="GDR224" s="1"/>
      <c r="GDS224" s="1"/>
      <c r="GDT224" s="1"/>
      <c r="GDU224" s="1"/>
      <c r="GDV224" s="1"/>
      <c r="GDW224" s="1"/>
      <c r="GDX224" s="1"/>
      <c r="GDY224" s="1"/>
      <c r="GDZ224" s="1"/>
      <c r="GEA224" s="1"/>
      <c r="GEB224" s="1"/>
      <c r="GEC224" s="1"/>
      <c r="GED224" s="1"/>
      <c r="GEE224" s="1"/>
      <c r="GEF224" s="1"/>
      <c r="GEG224" s="1"/>
      <c r="GEH224" s="1"/>
      <c r="GEI224" s="1"/>
      <c r="GEJ224" s="1"/>
      <c r="GEK224" s="1"/>
      <c r="GEL224" s="1"/>
      <c r="GEM224" s="1"/>
      <c r="GEN224" s="1"/>
      <c r="GEO224" s="1"/>
      <c r="GEP224" s="1"/>
      <c r="GEQ224" s="1"/>
      <c r="GER224" s="1"/>
      <c r="GES224" s="1"/>
      <c r="GET224" s="1"/>
      <c r="GEU224" s="1"/>
      <c r="GEV224" s="1"/>
      <c r="GEW224" s="1"/>
      <c r="GEX224" s="1"/>
      <c r="GEY224" s="1"/>
      <c r="GEZ224" s="1"/>
      <c r="GFA224" s="1"/>
      <c r="GFB224" s="1"/>
      <c r="GFC224" s="1"/>
      <c r="GFD224" s="1"/>
      <c r="GFE224" s="1"/>
      <c r="GFF224" s="1"/>
      <c r="GFG224" s="1"/>
      <c r="GFH224" s="1"/>
      <c r="GFI224" s="1"/>
      <c r="GFJ224" s="1"/>
      <c r="GFK224" s="1"/>
      <c r="GFL224" s="1"/>
      <c r="GFM224" s="1"/>
      <c r="GFN224" s="1"/>
      <c r="GFO224" s="1"/>
      <c r="GFP224" s="1"/>
      <c r="GFQ224" s="1"/>
      <c r="GFR224" s="1"/>
      <c r="GFS224" s="1"/>
      <c r="GFT224" s="1"/>
      <c r="GFU224" s="1"/>
      <c r="GFV224" s="1"/>
      <c r="GFW224" s="1"/>
      <c r="GFX224" s="1"/>
      <c r="GFY224" s="1"/>
      <c r="GFZ224" s="1"/>
      <c r="GGA224" s="1"/>
      <c r="GGB224" s="1"/>
      <c r="GGC224" s="1"/>
      <c r="GGD224" s="1"/>
      <c r="GGE224" s="1"/>
      <c r="GGF224" s="1"/>
      <c r="GGG224" s="1"/>
      <c r="GGH224" s="1"/>
      <c r="GGI224" s="1"/>
      <c r="GGJ224" s="1"/>
      <c r="GGK224" s="1"/>
      <c r="GGL224" s="1"/>
      <c r="GGM224" s="1"/>
      <c r="GGN224" s="1"/>
      <c r="GGO224" s="1"/>
      <c r="GGP224" s="1"/>
      <c r="GGQ224" s="1"/>
      <c r="GGR224" s="1"/>
      <c r="GGS224" s="1"/>
      <c r="GGT224" s="1"/>
      <c r="GGU224" s="1"/>
      <c r="GGV224" s="1"/>
      <c r="GGW224" s="1"/>
      <c r="GGX224" s="1"/>
      <c r="GGY224" s="1"/>
      <c r="GGZ224" s="1"/>
      <c r="GHA224" s="1"/>
      <c r="GHB224" s="1"/>
      <c r="GHC224" s="1"/>
      <c r="GHD224" s="1"/>
      <c r="GHE224" s="1"/>
      <c r="GHF224" s="1"/>
      <c r="GHG224" s="1"/>
      <c r="GHH224" s="1"/>
      <c r="GHI224" s="1"/>
      <c r="GHJ224" s="1"/>
      <c r="GHK224" s="1"/>
      <c r="GHL224" s="1"/>
      <c r="GHM224" s="1"/>
      <c r="GHN224" s="1"/>
      <c r="GHO224" s="1"/>
      <c r="GHP224" s="1"/>
      <c r="GHQ224" s="1"/>
      <c r="GHR224" s="1"/>
      <c r="GHS224" s="1"/>
      <c r="GHT224" s="1"/>
      <c r="GHU224" s="1"/>
      <c r="GHV224" s="1"/>
      <c r="GHW224" s="1"/>
      <c r="GHX224" s="1"/>
      <c r="GHY224" s="1"/>
      <c r="GHZ224" s="1"/>
      <c r="GIA224" s="1"/>
      <c r="GIB224" s="1"/>
      <c r="GIC224" s="1"/>
      <c r="GID224" s="1"/>
      <c r="GIE224" s="1"/>
      <c r="GIF224" s="1"/>
      <c r="GIG224" s="1"/>
      <c r="GIH224" s="1"/>
      <c r="GII224" s="1"/>
      <c r="GIJ224" s="1"/>
      <c r="GIK224" s="1"/>
      <c r="GIL224" s="1"/>
      <c r="GIM224" s="1"/>
      <c r="GIN224" s="1"/>
      <c r="GIO224" s="1"/>
      <c r="GIP224" s="1"/>
      <c r="GIQ224" s="1"/>
      <c r="GIR224" s="1"/>
      <c r="GIS224" s="1"/>
      <c r="GIT224" s="1"/>
      <c r="GIU224" s="1"/>
      <c r="GIV224" s="1"/>
      <c r="GIW224" s="1"/>
      <c r="GIX224" s="1"/>
      <c r="GIY224" s="1"/>
      <c r="GIZ224" s="1"/>
      <c r="GJA224" s="1"/>
      <c r="GJB224" s="1"/>
      <c r="GJC224" s="1"/>
      <c r="GJD224" s="1"/>
      <c r="GJE224" s="1"/>
      <c r="GJF224" s="1"/>
      <c r="GJG224" s="1"/>
      <c r="GJH224" s="1"/>
      <c r="GJI224" s="1"/>
      <c r="GJJ224" s="1"/>
      <c r="GJK224" s="1"/>
      <c r="GJL224" s="1"/>
      <c r="GJM224" s="1"/>
      <c r="GJN224" s="1"/>
      <c r="GJO224" s="1"/>
      <c r="GJP224" s="1"/>
      <c r="GJQ224" s="1"/>
      <c r="GJR224" s="1"/>
      <c r="GJS224" s="1"/>
      <c r="GJT224" s="1"/>
      <c r="GJU224" s="1"/>
      <c r="GJV224" s="1"/>
      <c r="GJW224" s="1"/>
      <c r="GJX224" s="1"/>
      <c r="GJY224" s="1"/>
      <c r="GJZ224" s="1"/>
      <c r="GKA224" s="1"/>
      <c r="GKB224" s="1"/>
      <c r="GKC224" s="1"/>
      <c r="GKD224" s="1"/>
      <c r="GKE224" s="1"/>
      <c r="GKF224" s="1"/>
      <c r="GKG224" s="1"/>
      <c r="GKH224" s="1"/>
      <c r="GKI224" s="1"/>
      <c r="GKJ224" s="1"/>
      <c r="GKK224" s="1"/>
      <c r="GKL224" s="1"/>
      <c r="GKM224" s="1"/>
      <c r="GKN224" s="1"/>
      <c r="GKO224" s="1"/>
      <c r="GKP224" s="1"/>
      <c r="GKQ224" s="1"/>
      <c r="GKR224" s="1"/>
      <c r="GKS224" s="1"/>
      <c r="GKT224" s="1"/>
      <c r="GKU224" s="1"/>
      <c r="GKV224" s="1"/>
      <c r="GKW224" s="1"/>
      <c r="GKX224" s="1"/>
      <c r="GKY224" s="1"/>
      <c r="GKZ224" s="1"/>
      <c r="GLA224" s="1"/>
      <c r="GLB224" s="1"/>
      <c r="GLC224" s="1"/>
      <c r="GLD224" s="1"/>
      <c r="GLE224" s="1"/>
      <c r="GLF224" s="1"/>
      <c r="GLG224" s="1"/>
      <c r="GLH224" s="1"/>
      <c r="GLI224" s="1"/>
      <c r="GLJ224" s="1"/>
      <c r="GLK224" s="1"/>
      <c r="GLL224" s="1"/>
      <c r="GLM224" s="1"/>
      <c r="GLN224" s="1"/>
      <c r="GLO224" s="1"/>
      <c r="GLP224" s="1"/>
      <c r="GLQ224" s="1"/>
      <c r="GLR224" s="1"/>
      <c r="GLS224" s="1"/>
      <c r="GLT224" s="1"/>
      <c r="GLU224" s="1"/>
      <c r="GLV224" s="1"/>
      <c r="GLW224" s="1"/>
      <c r="GLX224" s="1"/>
      <c r="GLY224" s="1"/>
      <c r="GLZ224" s="1"/>
      <c r="GMA224" s="1"/>
      <c r="GMB224" s="1"/>
      <c r="GMC224" s="1"/>
      <c r="GMD224" s="1"/>
      <c r="GME224" s="1"/>
      <c r="GMF224" s="1"/>
      <c r="GMG224" s="1"/>
      <c r="GMH224" s="1"/>
      <c r="GMI224" s="1"/>
      <c r="GMJ224" s="1"/>
      <c r="GMK224" s="1"/>
      <c r="GML224" s="1"/>
      <c r="GMM224" s="1"/>
      <c r="GMN224" s="1"/>
      <c r="GMO224" s="1"/>
      <c r="GMP224" s="1"/>
      <c r="GMQ224" s="1"/>
      <c r="GMR224" s="1"/>
      <c r="GMS224" s="1"/>
      <c r="GMT224" s="1"/>
      <c r="GMU224" s="1"/>
      <c r="GMV224" s="1"/>
      <c r="GMW224" s="1"/>
      <c r="GMX224" s="1"/>
      <c r="GMY224" s="1"/>
      <c r="GMZ224" s="1"/>
      <c r="GNA224" s="1"/>
      <c r="GNB224" s="1"/>
      <c r="GNC224" s="1"/>
      <c r="GND224" s="1"/>
      <c r="GNE224" s="1"/>
      <c r="GNF224" s="1"/>
      <c r="GNG224" s="1"/>
      <c r="GNH224" s="1"/>
      <c r="GNI224" s="1"/>
      <c r="GNJ224" s="1"/>
      <c r="GNK224" s="1"/>
      <c r="GNL224" s="1"/>
      <c r="GNM224" s="1"/>
      <c r="GNN224" s="1"/>
      <c r="GNO224" s="1"/>
      <c r="GNP224" s="1"/>
      <c r="GNQ224" s="1"/>
      <c r="GNR224" s="1"/>
      <c r="GNS224" s="1"/>
      <c r="GNT224" s="1"/>
      <c r="GNU224" s="1"/>
      <c r="GNV224" s="1"/>
      <c r="GNW224" s="1"/>
      <c r="GNX224" s="1"/>
      <c r="GNY224" s="1"/>
      <c r="GNZ224" s="1"/>
      <c r="GOA224" s="1"/>
      <c r="GOB224" s="1"/>
      <c r="GOC224" s="1"/>
      <c r="GOD224" s="1"/>
      <c r="GOE224" s="1"/>
      <c r="GOF224" s="1"/>
      <c r="GOG224" s="1"/>
      <c r="GOH224" s="1"/>
      <c r="GOI224" s="1"/>
      <c r="GOJ224" s="1"/>
      <c r="GOK224" s="1"/>
      <c r="GOL224" s="1"/>
      <c r="GOM224" s="1"/>
      <c r="GON224" s="1"/>
      <c r="GOO224" s="1"/>
      <c r="GOP224" s="1"/>
      <c r="GOQ224" s="1"/>
      <c r="GOR224" s="1"/>
      <c r="GOS224" s="1"/>
      <c r="GOT224" s="1"/>
      <c r="GOU224" s="1"/>
      <c r="GOV224" s="1"/>
      <c r="GOW224" s="1"/>
      <c r="GOX224" s="1"/>
      <c r="GOY224" s="1"/>
      <c r="GOZ224" s="1"/>
      <c r="GPA224" s="1"/>
      <c r="GPB224" s="1"/>
      <c r="GPC224" s="1"/>
      <c r="GPD224" s="1"/>
      <c r="GPE224" s="1"/>
      <c r="GPF224" s="1"/>
      <c r="GPG224" s="1"/>
      <c r="GPH224" s="1"/>
      <c r="GPI224" s="1"/>
      <c r="GPJ224" s="1"/>
      <c r="GPK224" s="1"/>
      <c r="GPL224" s="1"/>
      <c r="GPM224" s="1"/>
      <c r="GPN224" s="1"/>
      <c r="GPO224" s="1"/>
      <c r="GPP224" s="1"/>
      <c r="GPQ224" s="1"/>
      <c r="GPR224" s="1"/>
      <c r="GPS224" s="1"/>
      <c r="GPT224" s="1"/>
      <c r="GPU224" s="1"/>
      <c r="GPV224" s="1"/>
      <c r="GPW224" s="1"/>
      <c r="GPX224" s="1"/>
      <c r="GPY224" s="1"/>
      <c r="GPZ224" s="1"/>
      <c r="GQA224" s="1"/>
      <c r="GQB224" s="1"/>
      <c r="GQC224" s="1"/>
      <c r="GQD224" s="1"/>
      <c r="GQE224" s="1"/>
      <c r="GQF224" s="1"/>
      <c r="GQG224" s="1"/>
      <c r="GQH224" s="1"/>
      <c r="GQI224" s="1"/>
      <c r="GQJ224" s="1"/>
      <c r="GQK224" s="1"/>
      <c r="GQL224" s="1"/>
      <c r="GQM224" s="1"/>
      <c r="GQN224" s="1"/>
      <c r="GQO224" s="1"/>
      <c r="GQP224" s="1"/>
      <c r="GQQ224" s="1"/>
      <c r="GQR224" s="1"/>
      <c r="GQS224" s="1"/>
      <c r="GQT224" s="1"/>
      <c r="GQU224" s="1"/>
      <c r="GQV224" s="1"/>
      <c r="GQW224" s="1"/>
      <c r="GQX224" s="1"/>
      <c r="GQY224" s="1"/>
      <c r="GQZ224" s="1"/>
      <c r="GRA224" s="1"/>
      <c r="GRB224" s="1"/>
      <c r="GRC224" s="1"/>
      <c r="GRD224" s="1"/>
      <c r="GRE224" s="1"/>
      <c r="GRF224" s="1"/>
      <c r="GRG224" s="1"/>
      <c r="GRH224" s="1"/>
      <c r="GRI224" s="1"/>
      <c r="GRJ224" s="1"/>
      <c r="GRK224" s="1"/>
      <c r="GRL224" s="1"/>
      <c r="GRM224" s="1"/>
      <c r="GRN224" s="1"/>
      <c r="GRO224" s="1"/>
      <c r="GRP224" s="1"/>
      <c r="GRQ224" s="1"/>
      <c r="GRR224" s="1"/>
      <c r="GRS224" s="1"/>
      <c r="GRT224" s="1"/>
      <c r="GRU224" s="1"/>
      <c r="GRV224" s="1"/>
      <c r="GRW224" s="1"/>
      <c r="GRX224" s="1"/>
      <c r="GRY224" s="1"/>
      <c r="GRZ224" s="1"/>
      <c r="GSA224" s="1"/>
      <c r="GSB224" s="1"/>
      <c r="GSC224" s="1"/>
      <c r="GSD224" s="1"/>
      <c r="GSE224" s="1"/>
      <c r="GSF224" s="1"/>
      <c r="GSG224" s="1"/>
      <c r="GSH224" s="1"/>
      <c r="GSI224" s="1"/>
      <c r="GSJ224" s="1"/>
      <c r="GSK224" s="1"/>
      <c r="GSL224" s="1"/>
      <c r="GSM224" s="1"/>
      <c r="GSN224" s="1"/>
      <c r="GSO224" s="1"/>
      <c r="GSP224" s="1"/>
      <c r="GSQ224" s="1"/>
      <c r="GSR224" s="1"/>
      <c r="GSS224" s="1"/>
      <c r="GST224" s="1"/>
      <c r="GSU224" s="1"/>
      <c r="GSV224" s="1"/>
      <c r="GSW224" s="1"/>
      <c r="GSX224" s="1"/>
      <c r="GSY224" s="1"/>
      <c r="GSZ224" s="1"/>
      <c r="GTA224" s="1"/>
      <c r="GTB224" s="1"/>
      <c r="GTC224" s="1"/>
      <c r="GTD224" s="1"/>
      <c r="GTE224" s="1"/>
      <c r="GTF224" s="1"/>
      <c r="GTG224" s="1"/>
      <c r="GTH224" s="1"/>
      <c r="GTI224" s="1"/>
      <c r="GTJ224" s="1"/>
      <c r="GTK224" s="1"/>
      <c r="GTL224" s="1"/>
      <c r="GTM224" s="1"/>
      <c r="GTN224" s="1"/>
      <c r="GTO224" s="1"/>
      <c r="GTP224" s="1"/>
      <c r="GTQ224" s="1"/>
      <c r="GTR224" s="1"/>
      <c r="GTS224" s="1"/>
      <c r="GTT224" s="1"/>
      <c r="GTU224" s="1"/>
      <c r="GTV224" s="1"/>
      <c r="GTW224" s="1"/>
      <c r="GTX224" s="1"/>
      <c r="GTY224" s="1"/>
      <c r="GTZ224" s="1"/>
      <c r="GUA224" s="1"/>
      <c r="GUB224" s="1"/>
      <c r="GUC224" s="1"/>
      <c r="GUD224" s="1"/>
      <c r="GUE224" s="1"/>
      <c r="GUF224" s="1"/>
      <c r="GUG224" s="1"/>
      <c r="GUH224" s="1"/>
      <c r="GUI224" s="1"/>
      <c r="GUJ224" s="1"/>
      <c r="GUK224" s="1"/>
      <c r="GUL224" s="1"/>
      <c r="GUM224" s="1"/>
      <c r="GUN224" s="1"/>
      <c r="GUO224" s="1"/>
      <c r="GUP224" s="1"/>
      <c r="GUQ224" s="1"/>
      <c r="GUR224" s="1"/>
      <c r="GUS224" s="1"/>
      <c r="GUT224" s="1"/>
      <c r="GUU224" s="1"/>
      <c r="GUV224" s="1"/>
      <c r="GUW224" s="1"/>
      <c r="GUX224" s="1"/>
      <c r="GUY224" s="1"/>
      <c r="GUZ224" s="1"/>
      <c r="GVA224" s="1"/>
      <c r="GVB224" s="1"/>
      <c r="GVC224" s="1"/>
      <c r="GVD224" s="1"/>
      <c r="GVE224" s="1"/>
      <c r="GVF224" s="1"/>
      <c r="GVG224" s="1"/>
      <c r="GVH224" s="1"/>
      <c r="GVI224" s="1"/>
      <c r="GVJ224" s="1"/>
      <c r="GVK224" s="1"/>
      <c r="GVL224" s="1"/>
      <c r="GVM224" s="1"/>
      <c r="GVN224" s="1"/>
      <c r="GVO224" s="1"/>
      <c r="GVP224" s="1"/>
      <c r="GVQ224" s="1"/>
      <c r="GVR224" s="1"/>
      <c r="GVS224" s="1"/>
      <c r="GVT224" s="1"/>
      <c r="GVU224" s="1"/>
      <c r="GVV224" s="1"/>
      <c r="GVW224" s="1"/>
      <c r="GVX224" s="1"/>
      <c r="GVY224" s="1"/>
      <c r="GVZ224" s="1"/>
      <c r="GWA224" s="1"/>
      <c r="GWB224" s="1"/>
      <c r="GWC224" s="1"/>
      <c r="GWD224" s="1"/>
      <c r="GWE224" s="1"/>
      <c r="GWF224" s="1"/>
      <c r="GWG224" s="1"/>
      <c r="GWH224" s="1"/>
      <c r="GWI224" s="1"/>
      <c r="GWJ224" s="1"/>
      <c r="GWK224" s="1"/>
      <c r="GWL224" s="1"/>
      <c r="GWM224" s="1"/>
      <c r="GWN224" s="1"/>
      <c r="GWO224" s="1"/>
      <c r="GWP224" s="1"/>
      <c r="GWQ224" s="1"/>
      <c r="GWR224" s="1"/>
      <c r="GWS224" s="1"/>
      <c r="GWT224" s="1"/>
      <c r="GWU224" s="1"/>
      <c r="GWV224" s="1"/>
      <c r="GWW224" s="1"/>
      <c r="GWX224" s="1"/>
      <c r="GWY224" s="1"/>
      <c r="GWZ224" s="1"/>
      <c r="GXA224" s="1"/>
      <c r="GXB224" s="1"/>
      <c r="GXC224" s="1"/>
      <c r="GXD224" s="1"/>
      <c r="GXE224" s="1"/>
      <c r="GXF224" s="1"/>
      <c r="GXG224" s="1"/>
      <c r="GXH224" s="1"/>
      <c r="GXI224" s="1"/>
      <c r="GXJ224" s="1"/>
      <c r="GXK224" s="1"/>
      <c r="GXL224" s="1"/>
      <c r="GXM224" s="1"/>
      <c r="GXN224" s="1"/>
      <c r="GXO224" s="1"/>
      <c r="GXP224" s="1"/>
      <c r="GXQ224" s="1"/>
      <c r="GXR224" s="1"/>
      <c r="GXS224" s="1"/>
      <c r="GXT224" s="1"/>
      <c r="GXU224" s="1"/>
      <c r="GXV224" s="1"/>
      <c r="GXW224" s="1"/>
      <c r="GXX224" s="1"/>
      <c r="GXY224" s="1"/>
      <c r="GXZ224" s="1"/>
      <c r="GYA224" s="1"/>
      <c r="GYB224" s="1"/>
      <c r="GYC224" s="1"/>
      <c r="GYD224" s="1"/>
      <c r="GYE224" s="1"/>
      <c r="GYF224" s="1"/>
      <c r="GYG224" s="1"/>
      <c r="GYH224" s="1"/>
      <c r="GYI224" s="1"/>
      <c r="GYJ224" s="1"/>
      <c r="GYK224" s="1"/>
      <c r="GYL224" s="1"/>
      <c r="GYM224" s="1"/>
      <c r="GYN224" s="1"/>
      <c r="GYO224" s="1"/>
      <c r="GYP224" s="1"/>
      <c r="GYQ224" s="1"/>
      <c r="GYR224" s="1"/>
      <c r="GYS224" s="1"/>
      <c r="GYT224" s="1"/>
      <c r="GYU224" s="1"/>
      <c r="GYV224" s="1"/>
      <c r="GYW224" s="1"/>
      <c r="GYX224" s="1"/>
      <c r="GYY224" s="1"/>
      <c r="GYZ224" s="1"/>
      <c r="GZA224" s="1"/>
      <c r="GZB224" s="1"/>
      <c r="GZC224" s="1"/>
      <c r="GZD224" s="1"/>
      <c r="GZE224" s="1"/>
      <c r="GZF224" s="1"/>
      <c r="GZG224" s="1"/>
      <c r="GZH224" s="1"/>
      <c r="GZI224" s="1"/>
      <c r="GZJ224" s="1"/>
      <c r="GZK224" s="1"/>
      <c r="GZL224" s="1"/>
      <c r="GZM224" s="1"/>
      <c r="GZN224" s="1"/>
      <c r="GZO224" s="1"/>
      <c r="GZP224" s="1"/>
      <c r="GZQ224" s="1"/>
      <c r="GZR224" s="1"/>
      <c r="GZS224" s="1"/>
      <c r="GZT224" s="1"/>
      <c r="GZU224" s="1"/>
      <c r="GZV224" s="1"/>
      <c r="GZW224" s="1"/>
      <c r="GZX224" s="1"/>
      <c r="GZY224" s="1"/>
      <c r="GZZ224" s="1"/>
      <c r="HAA224" s="1"/>
      <c r="HAB224" s="1"/>
      <c r="HAC224" s="1"/>
      <c r="HAD224" s="1"/>
      <c r="HAE224" s="1"/>
      <c r="HAF224" s="1"/>
      <c r="HAG224" s="1"/>
      <c r="HAH224" s="1"/>
      <c r="HAI224" s="1"/>
      <c r="HAJ224" s="1"/>
      <c r="HAK224" s="1"/>
      <c r="HAL224" s="1"/>
      <c r="HAM224" s="1"/>
      <c r="HAN224" s="1"/>
      <c r="HAO224" s="1"/>
      <c r="HAP224" s="1"/>
      <c r="HAQ224" s="1"/>
      <c r="HAR224" s="1"/>
      <c r="HAS224" s="1"/>
      <c r="HAT224" s="1"/>
      <c r="HAU224" s="1"/>
      <c r="HAV224" s="1"/>
      <c r="HAW224" s="1"/>
      <c r="HAX224" s="1"/>
      <c r="HAY224" s="1"/>
      <c r="HAZ224" s="1"/>
      <c r="HBA224" s="1"/>
      <c r="HBB224" s="1"/>
      <c r="HBC224" s="1"/>
      <c r="HBD224" s="1"/>
      <c r="HBE224" s="1"/>
      <c r="HBF224" s="1"/>
      <c r="HBG224" s="1"/>
      <c r="HBH224" s="1"/>
      <c r="HBI224" s="1"/>
      <c r="HBJ224" s="1"/>
      <c r="HBK224" s="1"/>
      <c r="HBL224" s="1"/>
      <c r="HBM224" s="1"/>
      <c r="HBN224" s="1"/>
      <c r="HBO224" s="1"/>
      <c r="HBP224" s="1"/>
      <c r="HBQ224" s="1"/>
      <c r="HBR224" s="1"/>
      <c r="HBS224" s="1"/>
      <c r="HBT224" s="1"/>
      <c r="HBU224" s="1"/>
      <c r="HBV224" s="1"/>
      <c r="HBW224" s="1"/>
      <c r="HBX224" s="1"/>
      <c r="HBY224" s="1"/>
      <c r="HBZ224" s="1"/>
      <c r="HCA224" s="1"/>
      <c r="HCB224" s="1"/>
      <c r="HCC224" s="1"/>
      <c r="HCD224" s="1"/>
      <c r="HCE224" s="1"/>
      <c r="HCF224" s="1"/>
      <c r="HCG224" s="1"/>
      <c r="HCH224" s="1"/>
      <c r="HCI224" s="1"/>
      <c r="HCJ224" s="1"/>
      <c r="HCK224" s="1"/>
      <c r="HCL224" s="1"/>
      <c r="HCM224" s="1"/>
      <c r="HCN224" s="1"/>
      <c r="HCO224" s="1"/>
      <c r="HCP224" s="1"/>
      <c r="HCQ224" s="1"/>
      <c r="HCR224" s="1"/>
      <c r="HCS224" s="1"/>
      <c r="HCT224" s="1"/>
      <c r="HCU224" s="1"/>
      <c r="HCV224" s="1"/>
      <c r="HCW224" s="1"/>
      <c r="HCX224" s="1"/>
      <c r="HCY224" s="1"/>
      <c r="HCZ224" s="1"/>
      <c r="HDA224" s="1"/>
      <c r="HDB224" s="1"/>
      <c r="HDC224" s="1"/>
      <c r="HDD224" s="1"/>
      <c r="HDE224" s="1"/>
      <c r="HDF224" s="1"/>
      <c r="HDG224" s="1"/>
      <c r="HDH224" s="1"/>
      <c r="HDI224" s="1"/>
      <c r="HDJ224" s="1"/>
      <c r="HDK224" s="1"/>
      <c r="HDL224" s="1"/>
      <c r="HDM224" s="1"/>
      <c r="HDN224" s="1"/>
      <c r="HDO224" s="1"/>
      <c r="HDP224" s="1"/>
      <c r="HDQ224" s="1"/>
      <c r="HDR224" s="1"/>
      <c r="HDS224" s="1"/>
      <c r="HDT224" s="1"/>
      <c r="HDU224" s="1"/>
      <c r="HDV224" s="1"/>
      <c r="HDW224" s="1"/>
      <c r="HDX224" s="1"/>
      <c r="HDY224" s="1"/>
      <c r="HDZ224" s="1"/>
      <c r="HEA224" s="1"/>
      <c r="HEB224" s="1"/>
      <c r="HEC224" s="1"/>
      <c r="HED224" s="1"/>
      <c r="HEE224" s="1"/>
      <c r="HEF224" s="1"/>
      <c r="HEG224" s="1"/>
      <c r="HEH224" s="1"/>
      <c r="HEI224" s="1"/>
      <c r="HEJ224" s="1"/>
      <c r="HEK224" s="1"/>
      <c r="HEL224" s="1"/>
      <c r="HEM224" s="1"/>
      <c r="HEN224" s="1"/>
      <c r="HEO224" s="1"/>
      <c r="HEP224" s="1"/>
      <c r="HEQ224" s="1"/>
      <c r="HER224" s="1"/>
      <c r="HES224" s="1"/>
      <c r="HET224" s="1"/>
      <c r="HEU224" s="1"/>
      <c r="HEV224" s="1"/>
      <c r="HEW224" s="1"/>
      <c r="HEX224" s="1"/>
      <c r="HEY224" s="1"/>
      <c r="HEZ224" s="1"/>
      <c r="HFA224" s="1"/>
      <c r="HFB224" s="1"/>
      <c r="HFC224" s="1"/>
      <c r="HFD224" s="1"/>
      <c r="HFE224" s="1"/>
      <c r="HFF224" s="1"/>
      <c r="HFG224" s="1"/>
      <c r="HFH224" s="1"/>
      <c r="HFI224" s="1"/>
      <c r="HFJ224" s="1"/>
      <c r="HFK224" s="1"/>
      <c r="HFL224" s="1"/>
      <c r="HFM224" s="1"/>
      <c r="HFN224" s="1"/>
      <c r="HFO224" s="1"/>
      <c r="HFP224" s="1"/>
      <c r="HFQ224" s="1"/>
      <c r="HFR224" s="1"/>
      <c r="HFS224" s="1"/>
      <c r="HFT224" s="1"/>
      <c r="HFU224" s="1"/>
      <c r="HFV224" s="1"/>
      <c r="HFW224" s="1"/>
      <c r="HFX224" s="1"/>
      <c r="HFY224" s="1"/>
      <c r="HFZ224" s="1"/>
      <c r="HGA224" s="1"/>
      <c r="HGB224" s="1"/>
      <c r="HGC224" s="1"/>
      <c r="HGD224" s="1"/>
      <c r="HGE224" s="1"/>
      <c r="HGF224" s="1"/>
      <c r="HGG224" s="1"/>
      <c r="HGH224" s="1"/>
      <c r="HGI224" s="1"/>
      <c r="HGJ224" s="1"/>
      <c r="HGK224" s="1"/>
      <c r="HGL224" s="1"/>
      <c r="HGM224" s="1"/>
      <c r="HGN224" s="1"/>
      <c r="HGO224" s="1"/>
      <c r="HGP224" s="1"/>
      <c r="HGQ224" s="1"/>
      <c r="HGR224" s="1"/>
      <c r="HGS224" s="1"/>
      <c r="HGT224" s="1"/>
      <c r="HGU224" s="1"/>
      <c r="HGV224" s="1"/>
      <c r="HGW224" s="1"/>
      <c r="HGX224" s="1"/>
      <c r="HGY224" s="1"/>
      <c r="HGZ224" s="1"/>
      <c r="HHA224" s="1"/>
      <c r="HHB224" s="1"/>
      <c r="HHC224" s="1"/>
      <c r="HHD224" s="1"/>
      <c r="HHE224" s="1"/>
      <c r="HHF224" s="1"/>
      <c r="HHG224" s="1"/>
      <c r="HHH224" s="1"/>
      <c r="HHI224" s="1"/>
      <c r="HHJ224" s="1"/>
      <c r="HHK224" s="1"/>
      <c r="HHL224" s="1"/>
      <c r="HHM224" s="1"/>
      <c r="HHN224" s="1"/>
      <c r="HHO224" s="1"/>
      <c r="HHP224" s="1"/>
      <c r="HHQ224" s="1"/>
      <c r="HHR224" s="1"/>
      <c r="HHS224" s="1"/>
      <c r="HHT224" s="1"/>
      <c r="HHU224" s="1"/>
      <c r="HHV224" s="1"/>
      <c r="HHW224" s="1"/>
      <c r="HHX224" s="1"/>
      <c r="HHY224" s="1"/>
      <c r="HHZ224" s="1"/>
      <c r="HIA224" s="1"/>
      <c r="HIB224" s="1"/>
      <c r="HIC224" s="1"/>
      <c r="HID224" s="1"/>
      <c r="HIE224" s="1"/>
      <c r="HIF224" s="1"/>
      <c r="HIG224" s="1"/>
      <c r="HIH224" s="1"/>
      <c r="HII224" s="1"/>
      <c r="HIJ224" s="1"/>
      <c r="HIK224" s="1"/>
      <c r="HIL224" s="1"/>
      <c r="HIM224" s="1"/>
      <c r="HIN224" s="1"/>
      <c r="HIO224" s="1"/>
      <c r="HIP224" s="1"/>
      <c r="HIQ224" s="1"/>
      <c r="HIR224" s="1"/>
      <c r="HIS224" s="1"/>
      <c r="HIT224" s="1"/>
      <c r="HIU224" s="1"/>
      <c r="HIV224" s="1"/>
      <c r="HIW224" s="1"/>
      <c r="HIX224" s="1"/>
      <c r="HIY224" s="1"/>
      <c r="HIZ224" s="1"/>
      <c r="HJA224" s="1"/>
      <c r="HJB224" s="1"/>
      <c r="HJC224" s="1"/>
      <c r="HJD224" s="1"/>
      <c r="HJE224" s="1"/>
      <c r="HJF224" s="1"/>
      <c r="HJG224" s="1"/>
      <c r="HJH224" s="1"/>
      <c r="HJI224" s="1"/>
      <c r="HJJ224" s="1"/>
      <c r="HJK224" s="1"/>
      <c r="HJL224" s="1"/>
      <c r="HJM224" s="1"/>
      <c r="HJN224" s="1"/>
      <c r="HJO224" s="1"/>
      <c r="HJP224" s="1"/>
      <c r="HJQ224" s="1"/>
      <c r="HJR224" s="1"/>
      <c r="HJS224" s="1"/>
      <c r="HJT224" s="1"/>
      <c r="HJU224" s="1"/>
      <c r="HJV224" s="1"/>
      <c r="HJW224" s="1"/>
      <c r="HJX224" s="1"/>
      <c r="HJY224" s="1"/>
      <c r="HJZ224" s="1"/>
      <c r="HKA224" s="1"/>
      <c r="HKB224" s="1"/>
      <c r="HKC224" s="1"/>
      <c r="HKD224" s="1"/>
      <c r="HKE224" s="1"/>
      <c r="HKF224" s="1"/>
      <c r="HKG224" s="1"/>
      <c r="HKH224" s="1"/>
      <c r="HKI224" s="1"/>
      <c r="HKJ224" s="1"/>
      <c r="HKK224" s="1"/>
      <c r="HKL224" s="1"/>
      <c r="HKM224" s="1"/>
      <c r="HKN224" s="1"/>
      <c r="HKO224" s="1"/>
      <c r="HKP224" s="1"/>
      <c r="HKQ224" s="1"/>
      <c r="HKR224" s="1"/>
      <c r="HKS224" s="1"/>
      <c r="HKT224" s="1"/>
      <c r="HKU224" s="1"/>
      <c r="HKV224" s="1"/>
      <c r="HKW224" s="1"/>
      <c r="HKX224" s="1"/>
      <c r="HKY224" s="1"/>
      <c r="HKZ224" s="1"/>
      <c r="HLA224" s="1"/>
      <c r="HLB224" s="1"/>
      <c r="HLC224" s="1"/>
      <c r="HLD224" s="1"/>
      <c r="HLE224" s="1"/>
      <c r="HLF224" s="1"/>
      <c r="HLG224" s="1"/>
      <c r="HLH224" s="1"/>
      <c r="HLI224" s="1"/>
      <c r="HLJ224" s="1"/>
      <c r="HLK224" s="1"/>
      <c r="HLL224" s="1"/>
      <c r="HLM224" s="1"/>
      <c r="HLN224" s="1"/>
      <c r="HLO224" s="1"/>
      <c r="HLP224" s="1"/>
      <c r="HLQ224" s="1"/>
      <c r="HLR224" s="1"/>
      <c r="HLS224" s="1"/>
      <c r="HLT224" s="1"/>
      <c r="HLU224" s="1"/>
      <c r="HLV224" s="1"/>
      <c r="HLW224" s="1"/>
      <c r="HLX224" s="1"/>
      <c r="HLY224" s="1"/>
      <c r="HLZ224" s="1"/>
      <c r="HMA224" s="1"/>
      <c r="HMB224" s="1"/>
      <c r="HMC224" s="1"/>
      <c r="HMD224" s="1"/>
      <c r="HME224" s="1"/>
      <c r="HMF224" s="1"/>
      <c r="HMG224" s="1"/>
      <c r="HMH224" s="1"/>
      <c r="HMI224" s="1"/>
      <c r="HMJ224" s="1"/>
      <c r="HMK224" s="1"/>
      <c r="HML224" s="1"/>
      <c r="HMM224" s="1"/>
      <c r="HMN224" s="1"/>
      <c r="HMO224" s="1"/>
      <c r="HMP224" s="1"/>
      <c r="HMQ224" s="1"/>
      <c r="HMR224" s="1"/>
      <c r="HMS224" s="1"/>
      <c r="HMT224" s="1"/>
      <c r="HMU224" s="1"/>
      <c r="HMV224" s="1"/>
      <c r="HMW224" s="1"/>
      <c r="HMX224" s="1"/>
      <c r="HMY224" s="1"/>
      <c r="HMZ224" s="1"/>
      <c r="HNA224" s="1"/>
      <c r="HNB224" s="1"/>
      <c r="HNC224" s="1"/>
      <c r="HND224" s="1"/>
      <c r="HNE224" s="1"/>
      <c r="HNF224" s="1"/>
      <c r="HNG224" s="1"/>
      <c r="HNH224" s="1"/>
      <c r="HNI224" s="1"/>
      <c r="HNJ224" s="1"/>
      <c r="HNK224" s="1"/>
      <c r="HNL224" s="1"/>
      <c r="HNM224" s="1"/>
      <c r="HNN224" s="1"/>
      <c r="HNO224" s="1"/>
      <c r="HNP224" s="1"/>
      <c r="HNQ224" s="1"/>
      <c r="HNR224" s="1"/>
      <c r="HNS224" s="1"/>
      <c r="HNT224" s="1"/>
      <c r="HNU224" s="1"/>
      <c r="HNV224" s="1"/>
      <c r="HNW224" s="1"/>
      <c r="HNX224" s="1"/>
      <c r="HNY224" s="1"/>
      <c r="HNZ224" s="1"/>
      <c r="HOA224" s="1"/>
      <c r="HOB224" s="1"/>
      <c r="HOC224" s="1"/>
      <c r="HOD224" s="1"/>
      <c r="HOE224" s="1"/>
      <c r="HOF224" s="1"/>
      <c r="HOG224" s="1"/>
      <c r="HOH224" s="1"/>
      <c r="HOI224" s="1"/>
      <c r="HOJ224" s="1"/>
      <c r="HOK224" s="1"/>
      <c r="HOL224" s="1"/>
      <c r="HOM224" s="1"/>
      <c r="HON224" s="1"/>
      <c r="HOO224" s="1"/>
      <c r="HOP224" s="1"/>
      <c r="HOQ224" s="1"/>
      <c r="HOR224" s="1"/>
      <c r="HOS224" s="1"/>
      <c r="HOT224" s="1"/>
      <c r="HOU224" s="1"/>
      <c r="HOV224" s="1"/>
      <c r="HOW224" s="1"/>
      <c r="HOX224" s="1"/>
      <c r="HOY224" s="1"/>
      <c r="HOZ224" s="1"/>
      <c r="HPA224" s="1"/>
      <c r="HPB224" s="1"/>
      <c r="HPC224" s="1"/>
      <c r="HPD224" s="1"/>
      <c r="HPE224" s="1"/>
      <c r="HPF224" s="1"/>
      <c r="HPG224" s="1"/>
      <c r="HPH224" s="1"/>
      <c r="HPI224" s="1"/>
      <c r="HPJ224" s="1"/>
      <c r="HPK224" s="1"/>
      <c r="HPL224" s="1"/>
      <c r="HPM224" s="1"/>
      <c r="HPN224" s="1"/>
      <c r="HPO224" s="1"/>
      <c r="HPP224" s="1"/>
      <c r="HPQ224" s="1"/>
      <c r="HPR224" s="1"/>
      <c r="HPS224" s="1"/>
      <c r="HPT224" s="1"/>
      <c r="HPU224" s="1"/>
      <c r="HPV224" s="1"/>
      <c r="HPW224" s="1"/>
      <c r="HPX224" s="1"/>
      <c r="HPY224" s="1"/>
      <c r="HPZ224" s="1"/>
      <c r="HQA224" s="1"/>
      <c r="HQB224" s="1"/>
      <c r="HQC224" s="1"/>
      <c r="HQD224" s="1"/>
      <c r="HQE224" s="1"/>
      <c r="HQF224" s="1"/>
      <c r="HQG224" s="1"/>
      <c r="HQH224" s="1"/>
      <c r="HQI224" s="1"/>
      <c r="HQJ224" s="1"/>
      <c r="HQK224" s="1"/>
      <c r="HQL224" s="1"/>
      <c r="HQM224" s="1"/>
      <c r="HQN224" s="1"/>
      <c r="HQO224" s="1"/>
      <c r="HQP224" s="1"/>
      <c r="HQQ224" s="1"/>
      <c r="HQR224" s="1"/>
      <c r="HQS224" s="1"/>
      <c r="HQT224" s="1"/>
      <c r="HQU224" s="1"/>
      <c r="HQV224" s="1"/>
      <c r="HQW224" s="1"/>
      <c r="HQX224" s="1"/>
      <c r="HQY224" s="1"/>
      <c r="HQZ224" s="1"/>
      <c r="HRA224" s="1"/>
      <c r="HRB224" s="1"/>
      <c r="HRC224" s="1"/>
      <c r="HRD224" s="1"/>
      <c r="HRE224" s="1"/>
      <c r="HRF224" s="1"/>
      <c r="HRG224" s="1"/>
      <c r="HRH224" s="1"/>
      <c r="HRI224" s="1"/>
      <c r="HRJ224" s="1"/>
      <c r="HRK224" s="1"/>
      <c r="HRL224" s="1"/>
      <c r="HRM224" s="1"/>
      <c r="HRN224" s="1"/>
      <c r="HRO224" s="1"/>
      <c r="HRP224" s="1"/>
      <c r="HRQ224" s="1"/>
      <c r="HRR224" s="1"/>
      <c r="HRS224" s="1"/>
      <c r="HRT224" s="1"/>
      <c r="HRU224" s="1"/>
      <c r="HRV224" s="1"/>
      <c r="HRW224" s="1"/>
      <c r="HRX224" s="1"/>
      <c r="HRY224" s="1"/>
      <c r="HRZ224" s="1"/>
      <c r="HSA224" s="1"/>
      <c r="HSB224" s="1"/>
      <c r="HSC224" s="1"/>
      <c r="HSD224" s="1"/>
      <c r="HSE224" s="1"/>
      <c r="HSF224" s="1"/>
      <c r="HSG224" s="1"/>
      <c r="HSH224" s="1"/>
      <c r="HSI224" s="1"/>
      <c r="HSJ224" s="1"/>
      <c r="HSK224" s="1"/>
      <c r="HSL224" s="1"/>
      <c r="HSM224" s="1"/>
      <c r="HSN224" s="1"/>
      <c r="HSO224" s="1"/>
      <c r="HSP224" s="1"/>
      <c r="HSQ224" s="1"/>
      <c r="HSR224" s="1"/>
      <c r="HSS224" s="1"/>
      <c r="HST224" s="1"/>
      <c r="HSU224" s="1"/>
      <c r="HSV224" s="1"/>
      <c r="HSW224" s="1"/>
      <c r="HSX224" s="1"/>
      <c r="HSY224" s="1"/>
      <c r="HSZ224" s="1"/>
      <c r="HTA224" s="1"/>
      <c r="HTB224" s="1"/>
      <c r="HTC224" s="1"/>
      <c r="HTD224" s="1"/>
      <c r="HTE224" s="1"/>
      <c r="HTF224" s="1"/>
      <c r="HTG224" s="1"/>
      <c r="HTH224" s="1"/>
      <c r="HTI224" s="1"/>
      <c r="HTJ224" s="1"/>
      <c r="HTK224" s="1"/>
      <c r="HTL224" s="1"/>
      <c r="HTM224" s="1"/>
      <c r="HTN224" s="1"/>
      <c r="HTO224" s="1"/>
      <c r="HTP224" s="1"/>
      <c r="HTQ224" s="1"/>
      <c r="HTR224" s="1"/>
      <c r="HTS224" s="1"/>
      <c r="HTT224" s="1"/>
      <c r="HTU224" s="1"/>
      <c r="HTV224" s="1"/>
      <c r="HTW224" s="1"/>
      <c r="HTX224" s="1"/>
      <c r="HTY224" s="1"/>
      <c r="HTZ224" s="1"/>
      <c r="HUA224" s="1"/>
      <c r="HUB224" s="1"/>
      <c r="HUC224" s="1"/>
      <c r="HUD224" s="1"/>
      <c r="HUE224" s="1"/>
      <c r="HUF224" s="1"/>
      <c r="HUG224" s="1"/>
      <c r="HUH224" s="1"/>
      <c r="HUI224" s="1"/>
      <c r="HUJ224" s="1"/>
      <c r="HUK224" s="1"/>
      <c r="HUL224" s="1"/>
      <c r="HUM224" s="1"/>
      <c r="HUN224" s="1"/>
      <c r="HUO224" s="1"/>
      <c r="HUP224" s="1"/>
      <c r="HUQ224" s="1"/>
      <c r="HUR224" s="1"/>
      <c r="HUS224" s="1"/>
      <c r="HUT224" s="1"/>
      <c r="HUU224" s="1"/>
      <c r="HUV224" s="1"/>
      <c r="HUW224" s="1"/>
      <c r="HUX224" s="1"/>
      <c r="HUY224" s="1"/>
      <c r="HUZ224" s="1"/>
      <c r="HVA224" s="1"/>
      <c r="HVB224" s="1"/>
      <c r="HVC224" s="1"/>
      <c r="HVD224" s="1"/>
      <c r="HVE224" s="1"/>
      <c r="HVF224" s="1"/>
      <c r="HVG224" s="1"/>
      <c r="HVH224" s="1"/>
      <c r="HVI224" s="1"/>
      <c r="HVJ224" s="1"/>
      <c r="HVK224" s="1"/>
      <c r="HVL224" s="1"/>
      <c r="HVM224" s="1"/>
      <c r="HVN224" s="1"/>
      <c r="HVO224" s="1"/>
      <c r="HVP224" s="1"/>
      <c r="HVQ224" s="1"/>
      <c r="HVR224" s="1"/>
      <c r="HVS224" s="1"/>
      <c r="HVT224" s="1"/>
      <c r="HVU224" s="1"/>
      <c r="HVV224" s="1"/>
      <c r="HVW224" s="1"/>
      <c r="HVX224" s="1"/>
      <c r="HVY224" s="1"/>
      <c r="HVZ224" s="1"/>
      <c r="HWA224" s="1"/>
      <c r="HWB224" s="1"/>
      <c r="HWC224" s="1"/>
      <c r="HWD224" s="1"/>
      <c r="HWE224" s="1"/>
      <c r="HWF224" s="1"/>
      <c r="HWG224" s="1"/>
      <c r="HWH224" s="1"/>
      <c r="HWI224" s="1"/>
      <c r="HWJ224" s="1"/>
      <c r="HWK224" s="1"/>
      <c r="HWL224" s="1"/>
      <c r="HWM224" s="1"/>
      <c r="HWN224" s="1"/>
      <c r="HWO224" s="1"/>
      <c r="HWP224" s="1"/>
      <c r="HWQ224" s="1"/>
      <c r="HWR224" s="1"/>
      <c r="HWS224" s="1"/>
      <c r="HWT224" s="1"/>
      <c r="HWU224" s="1"/>
      <c r="HWV224" s="1"/>
      <c r="HWW224" s="1"/>
      <c r="HWX224" s="1"/>
      <c r="HWY224" s="1"/>
      <c r="HWZ224" s="1"/>
      <c r="HXA224" s="1"/>
      <c r="HXB224" s="1"/>
      <c r="HXC224" s="1"/>
      <c r="HXD224" s="1"/>
      <c r="HXE224" s="1"/>
      <c r="HXF224" s="1"/>
      <c r="HXG224" s="1"/>
      <c r="HXH224" s="1"/>
      <c r="HXI224" s="1"/>
      <c r="HXJ224" s="1"/>
      <c r="HXK224" s="1"/>
      <c r="HXL224" s="1"/>
      <c r="HXM224" s="1"/>
      <c r="HXN224" s="1"/>
      <c r="HXO224" s="1"/>
      <c r="HXP224" s="1"/>
      <c r="HXQ224" s="1"/>
      <c r="HXR224" s="1"/>
      <c r="HXS224" s="1"/>
      <c r="HXT224" s="1"/>
      <c r="HXU224" s="1"/>
      <c r="HXV224" s="1"/>
      <c r="HXW224" s="1"/>
      <c r="HXX224" s="1"/>
      <c r="HXY224" s="1"/>
      <c r="HXZ224" s="1"/>
      <c r="HYA224" s="1"/>
      <c r="HYB224" s="1"/>
      <c r="HYC224" s="1"/>
      <c r="HYD224" s="1"/>
      <c r="HYE224" s="1"/>
      <c r="HYF224" s="1"/>
      <c r="HYG224" s="1"/>
      <c r="HYH224" s="1"/>
      <c r="HYI224" s="1"/>
      <c r="HYJ224" s="1"/>
      <c r="HYK224" s="1"/>
      <c r="HYL224" s="1"/>
      <c r="HYM224" s="1"/>
      <c r="HYN224" s="1"/>
      <c r="HYO224" s="1"/>
      <c r="HYP224" s="1"/>
      <c r="HYQ224" s="1"/>
      <c r="HYR224" s="1"/>
      <c r="HYS224" s="1"/>
      <c r="HYT224" s="1"/>
      <c r="HYU224" s="1"/>
      <c r="HYV224" s="1"/>
      <c r="HYW224" s="1"/>
      <c r="HYX224" s="1"/>
      <c r="HYY224" s="1"/>
      <c r="HYZ224" s="1"/>
      <c r="HZA224" s="1"/>
      <c r="HZB224" s="1"/>
      <c r="HZC224" s="1"/>
      <c r="HZD224" s="1"/>
      <c r="HZE224" s="1"/>
      <c r="HZF224" s="1"/>
      <c r="HZG224" s="1"/>
      <c r="HZH224" s="1"/>
      <c r="HZI224" s="1"/>
      <c r="HZJ224" s="1"/>
      <c r="HZK224" s="1"/>
      <c r="HZL224" s="1"/>
      <c r="HZM224" s="1"/>
      <c r="HZN224" s="1"/>
      <c r="HZO224" s="1"/>
      <c r="HZP224" s="1"/>
      <c r="HZQ224" s="1"/>
      <c r="HZR224" s="1"/>
      <c r="HZS224" s="1"/>
      <c r="HZT224" s="1"/>
      <c r="HZU224" s="1"/>
      <c r="HZV224" s="1"/>
      <c r="HZW224" s="1"/>
      <c r="HZX224" s="1"/>
      <c r="HZY224" s="1"/>
      <c r="HZZ224" s="1"/>
      <c r="IAA224" s="1"/>
      <c r="IAB224" s="1"/>
      <c r="IAC224" s="1"/>
      <c r="IAD224" s="1"/>
      <c r="IAE224" s="1"/>
      <c r="IAF224" s="1"/>
      <c r="IAG224" s="1"/>
      <c r="IAH224" s="1"/>
      <c r="IAI224" s="1"/>
      <c r="IAJ224" s="1"/>
      <c r="IAK224" s="1"/>
      <c r="IAL224" s="1"/>
      <c r="IAM224" s="1"/>
      <c r="IAN224" s="1"/>
      <c r="IAO224" s="1"/>
      <c r="IAP224" s="1"/>
      <c r="IAQ224" s="1"/>
      <c r="IAR224" s="1"/>
      <c r="IAS224" s="1"/>
      <c r="IAT224" s="1"/>
      <c r="IAU224" s="1"/>
      <c r="IAV224" s="1"/>
      <c r="IAW224" s="1"/>
      <c r="IAX224" s="1"/>
      <c r="IAY224" s="1"/>
      <c r="IAZ224" s="1"/>
      <c r="IBA224" s="1"/>
      <c r="IBB224" s="1"/>
      <c r="IBC224" s="1"/>
      <c r="IBD224" s="1"/>
      <c r="IBE224" s="1"/>
      <c r="IBF224" s="1"/>
      <c r="IBG224" s="1"/>
      <c r="IBH224" s="1"/>
      <c r="IBI224" s="1"/>
      <c r="IBJ224" s="1"/>
      <c r="IBK224" s="1"/>
      <c r="IBL224" s="1"/>
      <c r="IBM224" s="1"/>
      <c r="IBN224" s="1"/>
      <c r="IBO224" s="1"/>
      <c r="IBP224" s="1"/>
      <c r="IBQ224" s="1"/>
      <c r="IBR224" s="1"/>
      <c r="IBS224" s="1"/>
      <c r="IBT224" s="1"/>
      <c r="IBU224" s="1"/>
      <c r="IBV224" s="1"/>
      <c r="IBW224" s="1"/>
      <c r="IBX224" s="1"/>
      <c r="IBY224" s="1"/>
      <c r="IBZ224" s="1"/>
      <c r="ICA224" s="1"/>
      <c r="ICB224" s="1"/>
      <c r="ICC224" s="1"/>
      <c r="ICD224" s="1"/>
      <c r="ICE224" s="1"/>
      <c r="ICF224" s="1"/>
      <c r="ICG224" s="1"/>
      <c r="ICH224" s="1"/>
      <c r="ICI224" s="1"/>
      <c r="ICJ224" s="1"/>
      <c r="ICK224" s="1"/>
      <c r="ICL224" s="1"/>
      <c r="ICM224" s="1"/>
      <c r="ICN224" s="1"/>
      <c r="ICO224" s="1"/>
      <c r="ICP224" s="1"/>
      <c r="ICQ224" s="1"/>
      <c r="ICR224" s="1"/>
      <c r="ICS224" s="1"/>
      <c r="ICT224" s="1"/>
      <c r="ICU224" s="1"/>
      <c r="ICV224" s="1"/>
      <c r="ICW224" s="1"/>
      <c r="ICX224" s="1"/>
      <c r="ICY224" s="1"/>
      <c r="ICZ224" s="1"/>
      <c r="IDA224" s="1"/>
      <c r="IDB224" s="1"/>
      <c r="IDC224" s="1"/>
      <c r="IDD224" s="1"/>
      <c r="IDE224" s="1"/>
      <c r="IDF224" s="1"/>
      <c r="IDG224" s="1"/>
      <c r="IDH224" s="1"/>
      <c r="IDI224" s="1"/>
      <c r="IDJ224" s="1"/>
      <c r="IDK224" s="1"/>
      <c r="IDL224" s="1"/>
      <c r="IDM224" s="1"/>
      <c r="IDN224" s="1"/>
      <c r="IDO224" s="1"/>
      <c r="IDP224" s="1"/>
      <c r="IDQ224" s="1"/>
      <c r="IDR224" s="1"/>
      <c r="IDS224" s="1"/>
      <c r="IDT224" s="1"/>
      <c r="IDU224" s="1"/>
      <c r="IDV224" s="1"/>
      <c r="IDW224" s="1"/>
      <c r="IDX224" s="1"/>
      <c r="IDY224" s="1"/>
      <c r="IDZ224" s="1"/>
      <c r="IEA224" s="1"/>
      <c r="IEB224" s="1"/>
      <c r="IEC224" s="1"/>
      <c r="IED224" s="1"/>
      <c r="IEE224" s="1"/>
      <c r="IEF224" s="1"/>
      <c r="IEG224" s="1"/>
      <c r="IEH224" s="1"/>
      <c r="IEI224" s="1"/>
      <c r="IEJ224" s="1"/>
      <c r="IEK224" s="1"/>
      <c r="IEL224" s="1"/>
      <c r="IEM224" s="1"/>
      <c r="IEN224" s="1"/>
      <c r="IEO224" s="1"/>
      <c r="IEP224" s="1"/>
      <c r="IEQ224" s="1"/>
      <c r="IER224" s="1"/>
      <c r="IES224" s="1"/>
      <c r="IET224" s="1"/>
      <c r="IEU224" s="1"/>
      <c r="IEV224" s="1"/>
      <c r="IEW224" s="1"/>
      <c r="IEX224" s="1"/>
      <c r="IEY224" s="1"/>
      <c r="IEZ224" s="1"/>
      <c r="IFA224" s="1"/>
      <c r="IFB224" s="1"/>
      <c r="IFC224" s="1"/>
      <c r="IFD224" s="1"/>
      <c r="IFE224" s="1"/>
      <c r="IFF224" s="1"/>
      <c r="IFG224" s="1"/>
      <c r="IFH224" s="1"/>
      <c r="IFI224" s="1"/>
      <c r="IFJ224" s="1"/>
      <c r="IFK224" s="1"/>
      <c r="IFL224" s="1"/>
      <c r="IFM224" s="1"/>
      <c r="IFN224" s="1"/>
      <c r="IFO224" s="1"/>
      <c r="IFP224" s="1"/>
      <c r="IFQ224" s="1"/>
      <c r="IFR224" s="1"/>
      <c r="IFS224" s="1"/>
      <c r="IFT224" s="1"/>
      <c r="IFU224" s="1"/>
      <c r="IFV224" s="1"/>
      <c r="IFW224" s="1"/>
      <c r="IFX224" s="1"/>
      <c r="IFY224" s="1"/>
      <c r="IFZ224" s="1"/>
      <c r="IGA224" s="1"/>
      <c r="IGB224" s="1"/>
      <c r="IGC224" s="1"/>
      <c r="IGD224" s="1"/>
      <c r="IGE224" s="1"/>
      <c r="IGF224" s="1"/>
      <c r="IGG224" s="1"/>
      <c r="IGH224" s="1"/>
      <c r="IGI224" s="1"/>
      <c r="IGJ224" s="1"/>
      <c r="IGK224" s="1"/>
      <c r="IGL224" s="1"/>
      <c r="IGM224" s="1"/>
      <c r="IGN224" s="1"/>
      <c r="IGO224" s="1"/>
      <c r="IGP224" s="1"/>
      <c r="IGQ224" s="1"/>
      <c r="IGR224" s="1"/>
      <c r="IGS224" s="1"/>
      <c r="IGT224" s="1"/>
      <c r="IGU224" s="1"/>
      <c r="IGV224" s="1"/>
      <c r="IGW224" s="1"/>
      <c r="IGX224" s="1"/>
      <c r="IGY224" s="1"/>
      <c r="IGZ224" s="1"/>
      <c r="IHA224" s="1"/>
      <c r="IHB224" s="1"/>
      <c r="IHC224" s="1"/>
      <c r="IHD224" s="1"/>
      <c r="IHE224" s="1"/>
      <c r="IHF224" s="1"/>
      <c r="IHG224" s="1"/>
      <c r="IHH224" s="1"/>
      <c r="IHI224" s="1"/>
      <c r="IHJ224" s="1"/>
      <c r="IHK224" s="1"/>
      <c r="IHL224" s="1"/>
      <c r="IHM224" s="1"/>
      <c r="IHN224" s="1"/>
      <c r="IHO224" s="1"/>
      <c r="IHP224" s="1"/>
      <c r="IHQ224" s="1"/>
      <c r="IHR224" s="1"/>
      <c r="IHS224" s="1"/>
      <c r="IHT224" s="1"/>
      <c r="IHU224" s="1"/>
      <c r="IHV224" s="1"/>
      <c r="IHW224" s="1"/>
      <c r="IHX224" s="1"/>
      <c r="IHY224" s="1"/>
      <c r="IHZ224" s="1"/>
      <c r="IIA224" s="1"/>
      <c r="IIB224" s="1"/>
      <c r="IIC224" s="1"/>
      <c r="IID224" s="1"/>
      <c r="IIE224" s="1"/>
      <c r="IIF224" s="1"/>
      <c r="IIG224" s="1"/>
      <c r="IIH224" s="1"/>
      <c r="III224" s="1"/>
      <c r="IIJ224" s="1"/>
      <c r="IIK224" s="1"/>
      <c r="IIL224" s="1"/>
      <c r="IIM224" s="1"/>
      <c r="IIN224" s="1"/>
      <c r="IIO224" s="1"/>
      <c r="IIP224" s="1"/>
      <c r="IIQ224" s="1"/>
      <c r="IIR224" s="1"/>
      <c r="IIS224" s="1"/>
      <c r="IIT224" s="1"/>
      <c r="IIU224" s="1"/>
      <c r="IIV224" s="1"/>
      <c r="IIW224" s="1"/>
      <c r="IIX224" s="1"/>
      <c r="IIY224" s="1"/>
      <c r="IIZ224" s="1"/>
      <c r="IJA224" s="1"/>
      <c r="IJB224" s="1"/>
      <c r="IJC224" s="1"/>
      <c r="IJD224" s="1"/>
      <c r="IJE224" s="1"/>
      <c r="IJF224" s="1"/>
      <c r="IJG224" s="1"/>
      <c r="IJH224" s="1"/>
      <c r="IJI224" s="1"/>
      <c r="IJJ224" s="1"/>
      <c r="IJK224" s="1"/>
      <c r="IJL224" s="1"/>
      <c r="IJM224" s="1"/>
      <c r="IJN224" s="1"/>
      <c r="IJO224" s="1"/>
      <c r="IJP224" s="1"/>
      <c r="IJQ224" s="1"/>
      <c r="IJR224" s="1"/>
      <c r="IJS224" s="1"/>
      <c r="IJT224" s="1"/>
      <c r="IJU224" s="1"/>
      <c r="IJV224" s="1"/>
      <c r="IJW224" s="1"/>
      <c r="IJX224" s="1"/>
      <c r="IJY224" s="1"/>
      <c r="IJZ224" s="1"/>
      <c r="IKA224" s="1"/>
      <c r="IKB224" s="1"/>
      <c r="IKC224" s="1"/>
      <c r="IKD224" s="1"/>
      <c r="IKE224" s="1"/>
      <c r="IKF224" s="1"/>
      <c r="IKG224" s="1"/>
      <c r="IKH224" s="1"/>
      <c r="IKI224" s="1"/>
      <c r="IKJ224" s="1"/>
      <c r="IKK224" s="1"/>
      <c r="IKL224" s="1"/>
      <c r="IKM224" s="1"/>
      <c r="IKN224" s="1"/>
      <c r="IKO224" s="1"/>
      <c r="IKP224" s="1"/>
      <c r="IKQ224" s="1"/>
      <c r="IKR224" s="1"/>
      <c r="IKS224" s="1"/>
      <c r="IKT224" s="1"/>
      <c r="IKU224" s="1"/>
      <c r="IKV224" s="1"/>
      <c r="IKW224" s="1"/>
      <c r="IKX224" s="1"/>
      <c r="IKY224" s="1"/>
      <c r="IKZ224" s="1"/>
      <c r="ILA224" s="1"/>
      <c r="ILB224" s="1"/>
      <c r="ILC224" s="1"/>
      <c r="ILD224" s="1"/>
      <c r="ILE224" s="1"/>
      <c r="ILF224" s="1"/>
      <c r="ILG224" s="1"/>
      <c r="ILH224" s="1"/>
      <c r="ILI224" s="1"/>
      <c r="ILJ224" s="1"/>
      <c r="ILK224" s="1"/>
      <c r="ILL224" s="1"/>
      <c r="ILM224" s="1"/>
      <c r="ILN224" s="1"/>
      <c r="ILO224" s="1"/>
      <c r="ILP224" s="1"/>
      <c r="ILQ224" s="1"/>
      <c r="ILR224" s="1"/>
      <c r="ILS224" s="1"/>
      <c r="ILT224" s="1"/>
      <c r="ILU224" s="1"/>
      <c r="ILV224" s="1"/>
      <c r="ILW224" s="1"/>
      <c r="ILX224" s="1"/>
      <c r="ILY224" s="1"/>
      <c r="ILZ224" s="1"/>
      <c r="IMA224" s="1"/>
      <c r="IMB224" s="1"/>
      <c r="IMC224" s="1"/>
      <c r="IMD224" s="1"/>
      <c r="IME224" s="1"/>
      <c r="IMF224" s="1"/>
      <c r="IMG224" s="1"/>
      <c r="IMH224" s="1"/>
      <c r="IMI224" s="1"/>
      <c r="IMJ224" s="1"/>
      <c r="IMK224" s="1"/>
      <c r="IML224" s="1"/>
      <c r="IMM224" s="1"/>
      <c r="IMN224" s="1"/>
      <c r="IMO224" s="1"/>
      <c r="IMP224" s="1"/>
      <c r="IMQ224" s="1"/>
      <c r="IMR224" s="1"/>
      <c r="IMS224" s="1"/>
      <c r="IMT224" s="1"/>
      <c r="IMU224" s="1"/>
      <c r="IMV224" s="1"/>
      <c r="IMW224" s="1"/>
      <c r="IMX224" s="1"/>
      <c r="IMY224" s="1"/>
      <c r="IMZ224" s="1"/>
      <c r="INA224" s="1"/>
      <c r="INB224" s="1"/>
      <c r="INC224" s="1"/>
      <c r="IND224" s="1"/>
      <c r="INE224" s="1"/>
      <c r="INF224" s="1"/>
      <c r="ING224" s="1"/>
      <c r="INH224" s="1"/>
      <c r="INI224" s="1"/>
      <c r="INJ224" s="1"/>
      <c r="INK224" s="1"/>
      <c r="INL224" s="1"/>
      <c r="INM224" s="1"/>
      <c r="INN224" s="1"/>
      <c r="INO224" s="1"/>
      <c r="INP224" s="1"/>
      <c r="INQ224" s="1"/>
      <c r="INR224" s="1"/>
      <c r="INS224" s="1"/>
      <c r="INT224" s="1"/>
      <c r="INU224" s="1"/>
      <c r="INV224" s="1"/>
      <c r="INW224" s="1"/>
      <c r="INX224" s="1"/>
      <c r="INY224" s="1"/>
      <c r="INZ224" s="1"/>
      <c r="IOA224" s="1"/>
      <c r="IOB224" s="1"/>
      <c r="IOC224" s="1"/>
      <c r="IOD224" s="1"/>
      <c r="IOE224" s="1"/>
      <c r="IOF224" s="1"/>
      <c r="IOG224" s="1"/>
      <c r="IOH224" s="1"/>
      <c r="IOI224" s="1"/>
      <c r="IOJ224" s="1"/>
      <c r="IOK224" s="1"/>
      <c r="IOL224" s="1"/>
      <c r="IOM224" s="1"/>
      <c r="ION224" s="1"/>
      <c r="IOO224" s="1"/>
      <c r="IOP224" s="1"/>
      <c r="IOQ224" s="1"/>
      <c r="IOR224" s="1"/>
      <c r="IOS224" s="1"/>
      <c r="IOT224" s="1"/>
      <c r="IOU224" s="1"/>
      <c r="IOV224" s="1"/>
      <c r="IOW224" s="1"/>
      <c r="IOX224" s="1"/>
      <c r="IOY224" s="1"/>
      <c r="IOZ224" s="1"/>
      <c r="IPA224" s="1"/>
      <c r="IPB224" s="1"/>
      <c r="IPC224" s="1"/>
      <c r="IPD224" s="1"/>
      <c r="IPE224" s="1"/>
      <c r="IPF224" s="1"/>
      <c r="IPG224" s="1"/>
      <c r="IPH224" s="1"/>
      <c r="IPI224" s="1"/>
      <c r="IPJ224" s="1"/>
      <c r="IPK224" s="1"/>
      <c r="IPL224" s="1"/>
      <c r="IPM224" s="1"/>
      <c r="IPN224" s="1"/>
      <c r="IPO224" s="1"/>
      <c r="IPP224" s="1"/>
      <c r="IPQ224" s="1"/>
      <c r="IPR224" s="1"/>
      <c r="IPS224" s="1"/>
      <c r="IPT224" s="1"/>
      <c r="IPU224" s="1"/>
      <c r="IPV224" s="1"/>
      <c r="IPW224" s="1"/>
      <c r="IPX224" s="1"/>
      <c r="IPY224" s="1"/>
      <c r="IPZ224" s="1"/>
      <c r="IQA224" s="1"/>
      <c r="IQB224" s="1"/>
      <c r="IQC224" s="1"/>
      <c r="IQD224" s="1"/>
      <c r="IQE224" s="1"/>
      <c r="IQF224" s="1"/>
      <c r="IQG224" s="1"/>
      <c r="IQH224" s="1"/>
      <c r="IQI224" s="1"/>
      <c r="IQJ224" s="1"/>
      <c r="IQK224" s="1"/>
      <c r="IQL224" s="1"/>
      <c r="IQM224" s="1"/>
      <c r="IQN224" s="1"/>
      <c r="IQO224" s="1"/>
      <c r="IQP224" s="1"/>
      <c r="IQQ224" s="1"/>
      <c r="IQR224" s="1"/>
      <c r="IQS224" s="1"/>
      <c r="IQT224" s="1"/>
      <c r="IQU224" s="1"/>
      <c r="IQV224" s="1"/>
      <c r="IQW224" s="1"/>
      <c r="IQX224" s="1"/>
      <c r="IQY224" s="1"/>
      <c r="IQZ224" s="1"/>
      <c r="IRA224" s="1"/>
      <c r="IRB224" s="1"/>
      <c r="IRC224" s="1"/>
      <c r="IRD224" s="1"/>
      <c r="IRE224" s="1"/>
      <c r="IRF224" s="1"/>
      <c r="IRG224" s="1"/>
      <c r="IRH224" s="1"/>
      <c r="IRI224" s="1"/>
      <c r="IRJ224" s="1"/>
      <c r="IRK224" s="1"/>
      <c r="IRL224" s="1"/>
      <c r="IRM224" s="1"/>
      <c r="IRN224" s="1"/>
      <c r="IRO224" s="1"/>
      <c r="IRP224" s="1"/>
      <c r="IRQ224" s="1"/>
      <c r="IRR224" s="1"/>
      <c r="IRS224" s="1"/>
      <c r="IRT224" s="1"/>
      <c r="IRU224" s="1"/>
      <c r="IRV224" s="1"/>
      <c r="IRW224" s="1"/>
      <c r="IRX224" s="1"/>
      <c r="IRY224" s="1"/>
      <c r="IRZ224" s="1"/>
      <c r="ISA224" s="1"/>
      <c r="ISB224" s="1"/>
      <c r="ISC224" s="1"/>
      <c r="ISD224" s="1"/>
      <c r="ISE224" s="1"/>
      <c r="ISF224" s="1"/>
      <c r="ISG224" s="1"/>
      <c r="ISH224" s="1"/>
      <c r="ISI224" s="1"/>
      <c r="ISJ224" s="1"/>
      <c r="ISK224" s="1"/>
      <c r="ISL224" s="1"/>
      <c r="ISM224" s="1"/>
      <c r="ISN224" s="1"/>
      <c r="ISO224" s="1"/>
      <c r="ISP224" s="1"/>
      <c r="ISQ224" s="1"/>
      <c r="ISR224" s="1"/>
      <c r="ISS224" s="1"/>
      <c r="IST224" s="1"/>
      <c r="ISU224" s="1"/>
      <c r="ISV224" s="1"/>
      <c r="ISW224" s="1"/>
      <c r="ISX224" s="1"/>
      <c r="ISY224" s="1"/>
      <c r="ISZ224" s="1"/>
      <c r="ITA224" s="1"/>
      <c r="ITB224" s="1"/>
      <c r="ITC224" s="1"/>
      <c r="ITD224" s="1"/>
      <c r="ITE224" s="1"/>
      <c r="ITF224" s="1"/>
      <c r="ITG224" s="1"/>
      <c r="ITH224" s="1"/>
      <c r="ITI224" s="1"/>
      <c r="ITJ224" s="1"/>
      <c r="ITK224" s="1"/>
      <c r="ITL224" s="1"/>
      <c r="ITM224" s="1"/>
      <c r="ITN224" s="1"/>
      <c r="ITO224" s="1"/>
      <c r="ITP224" s="1"/>
      <c r="ITQ224" s="1"/>
      <c r="ITR224" s="1"/>
      <c r="ITS224" s="1"/>
      <c r="ITT224" s="1"/>
      <c r="ITU224" s="1"/>
      <c r="ITV224" s="1"/>
      <c r="ITW224" s="1"/>
      <c r="ITX224" s="1"/>
      <c r="ITY224" s="1"/>
      <c r="ITZ224" s="1"/>
      <c r="IUA224" s="1"/>
      <c r="IUB224" s="1"/>
      <c r="IUC224" s="1"/>
      <c r="IUD224" s="1"/>
      <c r="IUE224" s="1"/>
      <c r="IUF224" s="1"/>
      <c r="IUG224" s="1"/>
      <c r="IUH224" s="1"/>
      <c r="IUI224" s="1"/>
      <c r="IUJ224" s="1"/>
      <c r="IUK224" s="1"/>
      <c r="IUL224" s="1"/>
      <c r="IUM224" s="1"/>
      <c r="IUN224" s="1"/>
      <c r="IUO224" s="1"/>
      <c r="IUP224" s="1"/>
      <c r="IUQ224" s="1"/>
      <c r="IUR224" s="1"/>
      <c r="IUS224" s="1"/>
      <c r="IUT224" s="1"/>
      <c r="IUU224" s="1"/>
      <c r="IUV224" s="1"/>
      <c r="IUW224" s="1"/>
      <c r="IUX224" s="1"/>
      <c r="IUY224" s="1"/>
      <c r="IUZ224" s="1"/>
      <c r="IVA224" s="1"/>
      <c r="IVB224" s="1"/>
      <c r="IVC224" s="1"/>
      <c r="IVD224" s="1"/>
      <c r="IVE224" s="1"/>
      <c r="IVF224" s="1"/>
      <c r="IVG224" s="1"/>
      <c r="IVH224" s="1"/>
      <c r="IVI224" s="1"/>
      <c r="IVJ224" s="1"/>
      <c r="IVK224" s="1"/>
      <c r="IVL224" s="1"/>
      <c r="IVM224" s="1"/>
      <c r="IVN224" s="1"/>
      <c r="IVO224" s="1"/>
      <c r="IVP224" s="1"/>
      <c r="IVQ224" s="1"/>
      <c r="IVR224" s="1"/>
      <c r="IVS224" s="1"/>
      <c r="IVT224" s="1"/>
      <c r="IVU224" s="1"/>
      <c r="IVV224" s="1"/>
      <c r="IVW224" s="1"/>
      <c r="IVX224" s="1"/>
      <c r="IVY224" s="1"/>
      <c r="IVZ224" s="1"/>
      <c r="IWA224" s="1"/>
      <c r="IWB224" s="1"/>
      <c r="IWC224" s="1"/>
      <c r="IWD224" s="1"/>
      <c r="IWE224" s="1"/>
      <c r="IWF224" s="1"/>
      <c r="IWG224" s="1"/>
      <c r="IWH224" s="1"/>
      <c r="IWI224" s="1"/>
      <c r="IWJ224" s="1"/>
      <c r="IWK224" s="1"/>
      <c r="IWL224" s="1"/>
      <c r="IWM224" s="1"/>
      <c r="IWN224" s="1"/>
      <c r="IWO224" s="1"/>
      <c r="IWP224" s="1"/>
      <c r="IWQ224" s="1"/>
      <c r="IWR224" s="1"/>
      <c r="IWS224" s="1"/>
      <c r="IWT224" s="1"/>
      <c r="IWU224" s="1"/>
      <c r="IWV224" s="1"/>
      <c r="IWW224" s="1"/>
      <c r="IWX224" s="1"/>
      <c r="IWY224" s="1"/>
      <c r="IWZ224" s="1"/>
      <c r="IXA224" s="1"/>
      <c r="IXB224" s="1"/>
      <c r="IXC224" s="1"/>
      <c r="IXD224" s="1"/>
      <c r="IXE224" s="1"/>
      <c r="IXF224" s="1"/>
      <c r="IXG224" s="1"/>
      <c r="IXH224" s="1"/>
      <c r="IXI224" s="1"/>
      <c r="IXJ224" s="1"/>
      <c r="IXK224" s="1"/>
      <c r="IXL224" s="1"/>
      <c r="IXM224" s="1"/>
      <c r="IXN224" s="1"/>
      <c r="IXO224" s="1"/>
      <c r="IXP224" s="1"/>
      <c r="IXQ224" s="1"/>
      <c r="IXR224" s="1"/>
      <c r="IXS224" s="1"/>
      <c r="IXT224" s="1"/>
      <c r="IXU224" s="1"/>
      <c r="IXV224" s="1"/>
      <c r="IXW224" s="1"/>
      <c r="IXX224" s="1"/>
      <c r="IXY224" s="1"/>
      <c r="IXZ224" s="1"/>
      <c r="IYA224" s="1"/>
      <c r="IYB224" s="1"/>
      <c r="IYC224" s="1"/>
      <c r="IYD224" s="1"/>
      <c r="IYE224" s="1"/>
      <c r="IYF224" s="1"/>
      <c r="IYG224" s="1"/>
      <c r="IYH224" s="1"/>
      <c r="IYI224" s="1"/>
      <c r="IYJ224" s="1"/>
      <c r="IYK224" s="1"/>
      <c r="IYL224" s="1"/>
      <c r="IYM224" s="1"/>
      <c r="IYN224" s="1"/>
      <c r="IYO224" s="1"/>
      <c r="IYP224" s="1"/>
      <c r="IYQ224" s="1"/>
      <c r="IYR224" s="1"/>
      <c r="IYS224" s="1"/>
      <c r="IYT224" s="1"/>
      <c r="IYU224" s="1"/>
      <c r="IYV224" s="1"/>
      <c r="IYW224" s="1"/>
      <c r="IYX224" s="1"/>
      <c r="IYY224" s="1"/>
      <c r="IYZ224" s="1"/>
      <c r="IZA224" s="1"/>
      <c r="IZB224" s="1"/>
      <c r="IZC224" s="1"/>
      <c r="IZD224" s="1"/>
      <c r="IZE224" s="1"/>
      <c r="IZF224" s="1"/>
      <c r="IZG224" s="1"/>
      <c r="IZH224" s="1"/>
      <c r="IZI224" s="1"/>
      <c r="IZJ224" s="1"/>
      <c r="IZK224" s="1"/>
      <c r="IZL224" s="1"/>
      <c r="IZM224" s="1"/>
      <c r="IZN224" s="1"/>
      <c r="IZO224" s="1"/>
      <c r="IZP224" s="1"/>
      <c r="IZQ224" s="1"/>
      <c r="IZR224" s="1"/>
      <c r="IZS224" s="1"/>
      <c r="IZT224" s="1"/>
      <c r="IZU224" s="1"/>
      <c r="IZV224" s="1"/>
      <c r="IZW224" s="1"/>
      <c r="IZX224" s="1"/>
      <c r="IZY224" s="1"/>
      <c r="IZZ224" s="1"/>
      <c r="JAA224" s="1"/>
      <c r="JAB224" s="1"/>
      <c r="JAC224" s="1"/>
      <c r="JAD224" s="1"/>
      <c r="JAE224" s="1"/>
      <c r="JAF224" s="1"/>
      <c r="JAG224" s="1"/>
      <c r="JAH224" s="1"/>
      <c r="JAI224" s="1"/>
      <c r="JAJ224" s="1"/>
      <c r="JAK224" s="1"/>
      <c r="JAL224" s="1"/>
      <c r="JAM224" s="1"/>
      <c r="JAN224" s="1"/>
      <c r="JAO224" s="1"/>
      <c r="JAP224" s="1"/>
      <c r="JAQ224" s="1"/>
      <c r="JAR224" s="1"/>
      <c r="JAS224" s="1"/>
      <c r="JAT224" s="1"/>
      <c r="JAU224" s="1"/>
      <c r="JAV224" s="1"/>
      <c r="JAW224" s="1"/>
      <c r="JAX224" s="1"/>
      <c r="JAY224" s="1"/>
      <c r="JAZ224" s="1"/>
      <c r="JBA224" s="1"/>
      <c r="JBB224" s="1"/>
      <c r="JBC224" s="1"/>
      <c r="JBD224" s="1"/>
      <c r="JBE224" s="1"/>
      <c r="JBF224" s="1"/>
      <c r="JBG224" s="1"/>
      <c r="JBH224" s="1"/>
      <c r="JBI224" s="1"/>
      <c r="JBJ224" s="1"/>
      <c r="JBK224" s="1"/>
      <c r="JBL224" s="1"/>
      <c r="JBM224" s="1"/>
      <c r="JBN224" s="1"/>
      <c r="JBO224" s="1"/>
      <c r="JBP224" s="1"/>
      <c r="JBQ224" s="1"/>
      <c r="JBR224" s="1"/>
      <c r="JBS224" s="1"/>
      <c r="JBT224" s="1"/>
      <c r="JBU224" s="1"/>
      <c r="JBV224" s="1"/>
      <c r="JBW224" s="1"/>
      <c r="JBX224" s="1"/>
      <c r="JBY224" s="1"/>
      <c r="JBZ224" s="1"/>
      <c r="JCA224" s="1"/>
      <c r="JCB224" s="1"/>
      <c r="JCC224" s="1"/>
      <c r="JCD224" s="1"/>
      <c r="JCE224" s="1"/>
      <c r="JCF224" s="1"/>
      <c r="JCG224" s="1"/>
      <c r="JCH224" s="1"/>
      <c r="JCI224" s="1"/>
      <c r="JCJ224" s="1"/>
      <c r="JCK224" s="1"/>
      <c r="JCL224" s="1"/>
      <c r="JCM224" s="1"/>
      <c r="JCN224" s="1"/>
      <c r="JCO224" s="1"/>
      <c r="JCP224" s="1"/>
      <c r="JCQ224" s="1"/>
      <c r="JCR224" s="1"/>
      <c r="JCS224" s="1"/>
      <c r="JCT224" s="1"/>
      <c r="JCU224" s="1"/>
      <c r="JCV224" s="1"/>
      <c r="JCW224" s="1"/>
      <c r="JCX224" s="1"/>
      <c r="JCY224" s="1"/>
      <c r="JCZ224" s="1"/>
      <c r="JDA224" s="1"/>
      <c r="JDB224" s="1"/>
      <c r="JDC224" s="1"/>
      <c r="JDD224" s="1"/>
      <c r="JDE224" s="1"/>
      <c r="JDF224" s="1"/>
      <c r="JDG224" s="1"/>
      <c r="JDH224" s="1"/>
      <c r="JDI224" s="1"/>
      <c r="JDJ224" s="1"/>
      <c r="JDK224" s="1"/>
      <c r="JDL224" s="1"/>
      <c r="JDM224" s="1"/>
      <c r="JDN224" s="1"/>
      <c r="JDO224" s="1"/>
      <c r="JDP224" s="1"/>
      <c r="JDQ224" s="1"/>
      <c r="JDR224" s="1"/>
      <c r="JDS224" s="1"/>
      <c r="JDT224" s="1"/>
      <c r="JDU224" s="1"/>
      <c r="JDV224" s="1"/>
      <c r="JDW224" s="1"/>
      <c r="JDX224" s="1"/>
      <c r="JDY224" s="1"/>
      <c r="JDZ224" s="1"/>
      <c r="JEA224" s="1"/>
      <c r="JEB224" s="1"/>
      <c r="JEC224" s="1"/>
      <c r="JED224" s="1"/>
      <c r="JEE224" s="1"/>
      <c r="JEF224" s="1"/>
      <c r="JEG224" s="1"/>
      <c r="JEH224" s="1"/>
      <c r="JEI224" s="1"/>
      <c r="JEJ224" s="1"/>
      <c r="JEK224" s="1"/>
      <c r="JEL224" s="1"/>
      <c r="JEM224" s="1"/>
      <c r="JEN224" s="1"/>
      <c r="JEO224" s="1"/>
      <c r="JEP224" s="1"/>
      <c r="JEQ224" s="1"/>
      <c r="JER224" s="1"/>
      <c r="JES224" s="1"/>
      <c r="JET224" s="1"/>
      <c r="JEU224" s="1"/>
      <c r="JEV224" s="1"/>
      <c r="JEW224" s="1"/>
      <c r="JEX224" s="1"/>
      <c r="JEY224" s="1"/>
      <c r="JEZ224" s="1"/>
      <c r="JFA224" s="1"/>
      <c r="JFB224" s="1"/>
      <c r="JFC224" s="1"/>
      <c r="JFD224" s="1"/>
      <c r="JFE224" s="1"/>
      <c r="JFF224" s="1"/>
      <c r="JFG224" s="1"/>
      <c r="JFH224" s="1"/>
      <c r="JFI224" s="1"/>
      <c r="JFJ224" s="1"/>
      <c r="JFK224" s="1"/>
      <c r="JFL224" s="1"/>
      <c r="JFM224" s="1"/>
      <c r="JFN224" s="1"/>
      <c r="JFO224" s="1"/>
      <c r="JFP224" s="1"/>
      <c r="JFQ224" s="1"/>
      <c r="JFR224" s="1"/>
      <c r="JFS224" s="1"/>
      <c r="JFT224" s="1"/>
      <c r="JFU224" s="1"/>
      <c r="JFV224" s="1"/>
      <c r="JFW224" s="1"/>
      <c r="JFX224" s="1"/>
      <c r="JFY224" s="1"/>
      <c r="JFZ224" s="1"/>
      <c r="JGA224" s="1"/>
      <c r="JGB224" s="1"/>
      <c r="JGC224" s="1"/>
      <c r="JGD224" s="1"/>
      <c r="JGE224" s="1"/>
      <c r="JGF224" s="1"/>
      <c r="JGG224" s="1"/>
      <c r="JGH224" s="1"/>
      <c r="JGI224" s="1"/>
      <c r="JGJ224" s="1"/>
      <c r="JGK224" s="1"/>
      <c r="JGL224" s="1"/>
      <c r="JGM224" s="1"/>
      <c r="JGN224" s="1"/>
      <c r="JGO224" s="1"/>
      <c r="JGP224" s="1"/>
      <c r="JGQ224" s="1"/>
      <c r="JGR224" s="1"/>
      <c r="JGS224" s="1"/>
      <c r="JGT224" s="1"/>
      <c r="JGU224" s="1"/>
      <c r="JGV224" s="1"/>
      <c r="JGW224" s="1"/>
      <c r="JGX224" s="1"/>
      <c r="JGY224" s="1"/>
      <c r="JGZ224" s="1"/>
      <c r="JHA224" s="1"/>
      <c r="JHB224" s="1"/>
      <c r="JHC224" s="1"/>
      <c r="JHD224" s="1"/>
      <c r="JHE224" s="1"/>
      <c r="JHF224" s="1"/>
      <c r="JHG224" s="1"/>
      <c r="JHH224" s="1"/>
      <c r="JHI224" s="1"/>
      <c r="JHJ224" s="1"/>
      <c r="JHK224" s="1"/>
      <c r="JHL224" s="1"/>
      <c r="JHM224" s="1"/>
      <c r="JHN224" s="1"/>
      <c r="JHO224" s="1"/>
      <c r="JHP224" s="1"/>
      <c r="JHQ224" s="1"/>
      <c r="JHR224" s="1"/>
      <c r="JHS224" s="1"/>
      <c r="JHT224" s="1"/>
      <c r="JHU224" s="1"/>
      <c r="JHV224" s="1"/>
      <c r="JHW224" s="1"/>
      <c r="JHX224" s="1"/>
      <c r="JHY224" s="1"/>
      <c r="JHZ224" s="1"/>
      <c r="JIA224" s="1"/>
      <c r="JIB224" s="1"/>
      <c r="JIC224" s="1"/>
      <c r="JID224" s="1"/>
      <c r="JIE224" s="1"/>
      <c r="JIF224" s="1"/>
      <c r="JIG224" s="1"/>
      <c r="JIH224" s="1"/>
      <c r="JII224" s="1"/>
      <c r="JIJ224" s="1"/>
      <c r="JIK224" s="1"/>
      <c r="JIL224" s="1"/>
      <c r="JIM224" s="1"/>
      <c r="JIN224" s="1"/>
      <c r="JIO224" s="1"/>
      <c r="JIP224" s="1"/>
      <c r="JIQ224" s="1"/>
      <c r="JIR224" s="1"/>
      <c r="JIS224" s="1"/>
      <c r="JIT224" s="1"/>
      <c r="JIU224" s="1"/>
      <c r="JIV224" s="1"/>
      <c r="JIW224" s="1"/>
      <c r="JIX224" s="1"/>
      <c r="JIY224" s="1"/>
      <c r="JIZ224" s="1"/>
      <c r="JJA224" s="1"/>
      <c r="JJB224" s="1"/>
      <c r="JJC224" s="1"/>
      <c r="JJD224" s="1"/>
      <c r="JJE224" s="1"/>
      <c r="JJF224" s="1"/>
      <c r="JJG224" s="1"/>
      <c r="JJH224" s="1"/>
      <c r="JJI224" s="1"/>
      <c r="JJJ224" s="1"/>
      <c r="JJK224" s="1"/>
      <c r="JJL224" s="1"/>
      <c r="JJM224" s="1"/>
      <c r="JJN224" s="1"/>
      <c r="JJO224" s="1"/>
      <c r="JJP224" s="1"/>
      <c r="JJQ224" s="1"/>
      <c r="JJR224" s="1"/>
      <c r="JJS224" s="1"/>
      <c r="JJT224" s="1"/>
      <c r="JJU224" s="1"/>
      <c r="JJV224" s="1"/>
      <c r="JJW224" s="1"/>
      <c r="JJX224" s="1"/>
      <c r="JJY224" s="1"/>
      <c r="JJZ224" s="1"/>
      <c r="JKA224" s="1"/>
      <c r="JKB224" s="1"/>
      <c r="JKC224" s="1"/>
      <c r="JKD224" s="1"/>
      <c r="JKE224" s="1"/>
      <c r="JKF224" s="1"/>
      <c r="JKG224" s="1"/>
      <c r="JKH224" s="1"/>
      <c r="JKI224" s="1"/>
      <c r="JKJ224" s="1"/>
      <c r="JKK224" s="1"/>
      <c r="JKL224" s="1"/>
      <c r="JKM224" s="1"/>
      <c r="JKN224" s="1"/>
      <c r="JKO224" s="1"/>
      <c r="JKP224" s="1"/>
      <c r="JKQ224" s="1"/>
      <c r="JKR224" s="1"/>
      <c r="JKS224" s="1"/>
      <c r="JKT224" s="1"/>
      <c r="JKU224" s="1"/>
      <c r="JKV224" s="1"/>
      <c r="JKW224" s="1"/>
      <c r="JKX224" s="1"/>
      <c r="JKY224" s="1"/>
      <c r="JKZ224" s="1"/>
      <c r="JLA224" s="1"/>
      <c r="JLB224" s="1"/>
      <c r="JLC224" s="1"/>
      <c r="JLD224" s="1"/>
      <c r="JLE224" s="1"/>
      <c r="JLF224" s="1"/>
      <c r="JLG224" s="1"/>
      <c r="JLH224" s="1"/>
      <c r="JLI224" s="1"/>
      <c r="JLJ224" s="1"/>
      <c r="JLK224" s="1"/>
      <c r="JLL224" s="1"/>
      <c r="JLM224" s="1"/>
      <c r="JLN224" s="1"/>
      <c r="JLO224" s="1"/>
      <c r="JLP224" s="1"/>
      <c r="JLQ224" s="1"/>
      <c r="JLR224" s="1"/>
      <c r="JLS224" s="1"/>
      <c r="JLT224" s="1"/>
      <c r="JLU224" s="1"/>
      <c r="JLV224" s="1"/>
      <c r="JLW224" s="1"/>
      <c r="JLX224" s="1"/>
      <c r="JLY224" s="1"/>
      <c r="JLZ224" s="1"/>
      <c r="JMA224" s="1"/>
      <c r="JMB224" s="1"/>
      <c r="JMC224" s="1"/>
      <c r="JMD224" s="1"/>
      <c r="JME224" s="1"/>
      <c r="JMF224" s="1"/>
      <c r="JMG224" s="1"/>
      <c r="JMH224" s="1"/>
      <c r="JMI224" s="1"/>
      <c r="JMJ224" s="1"/>
      <c r="JMK224" s="1"/>
      <c r="JML224" s="1"/>
      <c r="JMM224" s="1"/>
      <c r="JMN224" s="1"/>
      <c r="JMO224" s="1"/>
      <c r="JMP224" s="1"/>
      <c r="JMQ224" s="1"/>
      <c r="JMR224" s="1"/>
      <c r="JMS224" s="1"/>
      <c r="JMT224" s="1"/>
      <c r="JMU224" s="1"/>
      <c r="JMV224" s="1"/>
      <c r="JMW224" s="1"/>
      <c r="JMX224" s="1"/>
      <c r="JMY224" s="1"/>
      <c r="JMZ224" s="1"/>
      <c r="JNA224" s="1"/>
      <c r="JNB224" s="1"/>
      <c r="JNC224" s="1"/>
      <c r="JND224" s="1"/>
      <c r="JNE224" s="1"/>
      <c r="JNF224" s="1"/>
      <c r="JNG224" s="1"/>
      <c r="JNH224" s="1"/>
      <c r="JNI224" s="1"/>
      <c r="JNJ224" s="1"/>
      <c r="JNK224" s="1"/>
      <c r="JNL224" s="1"/>
      <c r="JNM224" s="1"/>
      <c r="JNN224" s="1"/>
      <c r="JNO224" s="1"/>
      <c r="JNP224" s="1"/>
      <c r="JNQ224" s="1"/>
      <c r="JNR224" s="1"/>
      <c r="JNS224" s="1"/>
      <c r="JNT224" s="1"/>
      <c r="JNU224" s="1"/>
      <c r="JNV224" s="1"/>
      <c r="JNW224" s="1"/>
      <c r="JNX224" s="1"/>
      <c r="JNY224" s="1"/>
      <c r="JNZ224" s="1"/>
      <c r="JOA224" s="1"/>
      <c r="JOB224" s="1"/>
      <c r="JOC224" s="1"/>
      <c r="JOD224" s="1"/>
      <c r="JOE224" s="1"/>
      <c r="JOF224" s="1"/>
      <c r="JOG224" s="1"/>
      <c r="JOH224" s="1"/>
      <c r="JOI224" s="1"/>
      <c r="JOJ224" s="1"/>
      <c r="JOK224" s="1"/>
      <c r="JOL224" s="1"/>
      <c r="JOM224" s="1"/>
      <c r="JON224" s="1"/>
      <c r="JOO224" s="1"/>
      <c r="JOP224" s="1"/>
      <c r="JOQ224" s="1"/>
      <c r="JOR224" s="1"/>
      <c r="JOS224" s="1"/>
      <c r="JOT224" s="1"/>
      <c r="JOU224" s="1"/>
      <c r="JOV224" s="1"/>
      <c r="JOW224" s="1"/>
      <c r="JOX224" s="1"/>
      <c r="JOY224" s="1"/>
      <c r="JOZ224" s="1"/>
      <c r="JPA224" s="1"/>
      <c r="JPB224" s="1"/>
      <c r="JPC224" s="1"/>
      <c r="JPD224" s="1"/>
      <c r="JPE224" s="1"/>
      <c r="JPF224" s="1"/>
      <c r="JPG224" s="1"/>
      <c r="JPH224" s="1"/>
      <c r="JPI224" s="1"/>
      <c r="JPJ224" s="1"/>
      <c r="JPK224" s="1"/>
      <c r="JPL224" s="1"/>
      <c r="JPM224" s="1"/>
      <c r="JPN224" s="1"/>
      <c r="JPO224" s="1"/>
      <c r="JPP224" s="1"/>
      <c r="JPQ224" s="1"/>
      <c r="JPR224" s="1"/>
      <c r="JPS224" s="1"/>
      <c r="JPT224" s="1"/>
      <c r="JPU224" s="1"/>
      <c r="JPV224" s="1"/>
      <c r="JPW224" s="1"/>
      <c r="JPX224" s="1"/>
      <c r="JPY224" s="1"/>
      <c r="JPZ224" s="1"/>
      <c r="JQA224" s="1"/>
      <c r="JQB224" s="1"/>
      <c r="JQC224" s="1"/>
      <c r="JQD224" s="1"/>
      <c r="JQE224" s="1"/>
      <c r="JQF224" s="1"/>
      <c r="JQG224" s="1"/>
      <c r="JQH224" s="1"/>
      <c r="JQI224" s="1"/>
      <c r="JQJ224" s="1"/>
      <c r="JQK224" s="1"/>
      <c r="JQL224" s="1"/>
      <c r="JQM224" s="1"/>
      <c r="JQN224" s="1"/>
      <c r="JQO224" s="1"/>
      <c r="JQP224" s="1"/>
      <c r="JQQ224" s="1"/>
      <c r="JQR224" s="1"/>
      <c r="JQS224" s="1"/>
      <c r="JQT224" s="1"/>
      <c r="JQU224" s="1"/>
      <c r="JQV224" s="1"/>
      <c r="JQW224" s="1"/>
      <c r="JQX224" s="1"/>
      <c r="JQY224" s="1"/>
      <c r="JQZ224" s="1"/>
      <c r="JRA224" s="1"/>
      <c r="JRB224" s="1"/>
      <c r="JRC224" s="1"/>
      <c r="JRD224" s="1"/>
      <c r="JRE224" s="1"/>
      <c r="JRF224" s="1"/>
      <c r="JRG224" s="1"/>
      <c r="JRH224" s="1"/>
      <c r="JRI224" s="1"/>
      <c r="JRJ224" s="1"/>
      <c r="JRK224" s="1"/>
      <c r="JRL224" s="1"/>
      <c r="JRM224" s="1"/>
      <c r="JRN224" s="1"/>
      <c r="JRO224" s="1"/>
      <c r="JRP224" s="1"/>
      <c r="JRQ224" s="1"/>
      <c r="JRR224" s="1"/>
      <c r="JRS224" s="1"/>
      <c r="JRT224" s="1"/>
      <c r="JRU224" s="1"/>
      <c r="JRV224" s="1"/>
      <c r="JRW224" s="1"/>
      <c r="JRX224" s="1"/>
      <c r="JRY224" s="1"/>
      <c r="JRZ224" s="1"/>
      <c r="JSA224" s="1"/>
      <c r="JSB224" s="1"/>
      <c r="JSC224" s="1"/>
      <c r="JSD224" s="1"/>
      <c r="JSE224" s="1"/>
      <c r="JSF224" s="1"/>
      <c r="JSG224" s="1"/>
      <c r="JSH224" s="1"/>
      <c r="JSI224" s="1"/>
      <c r="JSJ224" s="1"/>
      <c r="JSK224" s="1"/>
      <c r="JSL224" s="1"/>
      <c r="JSM224" s="1"/>
      <c r="JSN224" s="1"/>
      <c r="JSO224" s="1"/>
      <c r="JSP224" s="1"/>
      <c r="JSQ224" s="1"/>
      <c r="JSR224" s="1"/>
      <c r="JSS224" s="1"/>
      <c r="JST224" s="1"/>
      <c r="JSU224" s="1"/>
      <c r="JSV224" s="1"/>
      <c r="JSW224" s="1"/>
      <c r="JSX224" s="1"/>
      <c r="JSY224" s="1"/>
      <c r="JSZ224" s="1"/>
      <c r="JTA224" s="1"/>
      <c r="JTB224" s="1"/>
      <c r="JTC224" s="1"/>
      <c r="JTD224" s="1"/>
      <c r="JTE224" s="1"/>
      <c r="JTF224" s="1"/>
      <c r="JTG224" s="1"/>
      <c r="JTH224" s="1"/>
      <c r="JTI224" s="1"/>
      <c r="JTJ224" s="1"/>
      <c r="JTK224" s="1"/>
      <c r="JTL224" s="1"/>
      <c r="JTM224" s="1"/>
      <c r="JTN224" s="1"/>
      <c r="JTO224" s="1"/>
      <c r="JTP224" s="1"/>
      <c r="JTQ224" s="1"/>
      <c r="JTR224" s="1"/>
      <c r="JTS224" s="1"/>
      <c r="JTT224" s="1"/>
      <c r="JTU224" s="1"/>
      <c r="JTV224" s="1"/>
      <c r="JTW224" s="1"/>
      <c r="JTX224" s="1"/>
      <c r="JTY224" s="1"/>
      <c r="JTZ224" s="1"/>
      <c r="JUA224" s="1"/>
      <c r="JUB224" s="1"/>
      <c r="JUC224" s="1"/>
      <c r="JUD224" s="1"/>
      <c r="JUE224" s="1"/>
      <c r="JUF224" s="1"/>
      <c r="JUG224" s="1"/>
      <c r="JUH224" s="1"/>
      <c r="JUI224" s="1"/>
      <c r="JUJ224" s="1"/>
      <c r="JUK224" s="1"/>
      <c r="JUL224" s="1"/>
      <c r="JUM224" s="1"/>
      <c r="JUN224" s="1"/>
      <c r="JUO224" s="1"/>
      <c r="JUP224" s="1"/>
      <c r="JUQ224" s="1"/>
      <c r="JUR224" s="1"/>
      <c r="JUS224" s="1"/>
      <c r="JUT224" s="1"/>
      <c r="JUU224" s="1"/>
      <c r="JUV224" s="1"/>
      <c r="JUW224" s="1"/>
      <c r="JUX224" s="1"/>
      <c r="JUY224" s="1"/>
      <c r="JUZ224" s="1"/>
      <c r="JVA224" s="1"/>
      <c r="JVB224" s="1"/>
      <c r="JVC224" s="1"/>
      <c r="JVD224" s="1"/>
      <c r="JVE224" s="1"/>
      <c r="JVF224" s="1"/>
      <c r="JVG224" s="1"/>
      <c r="JVH224" s="1"/>
      <c r="JVI224" s="1"/>
      <c r="JVJ224" s="1"/>
      <c r="JVK224" s="1"/>
      <c r="JVL224" s="1"/>
      <c r="JVM224" s="1"/>
      <c r="JVN224" s="1"/>
      <c r="JVO224" s="1"/>
      <c r="JVP224" s="1"/>
      <c r="JVQ224" s="1"/>
      <c r="JVR224" s="1"/>
      <c r="JVS224" s="1"/>
      <c r="JVT224" s="1"/>
      <c r="JVU224" s="1"/>
      <c r="JVV224" s="1"/>
      <c r="JVW224" s="1"/>
      <c r="JVX224" s="1"/>
      <c r="JVY224" s="1"/>
      <c r="JVZ224" s="1"/>
      <c r="JWA224" s="1"/>
      <c r="JWB224" s="1"/>
      <c r="JWC224" s="1"/>
      <c r="JWD224" s="1"/>
      <c r="JWE224" s="1"/>
      <c r="JWF224" s="1"/>
      <c r="JWG224" s="1"/>
      <c r="JWH224" s="1"/>
      <c r="JWI224" s="1"/>
      <c r="JWJ224" s="1"/>
      <c r="JWK224" s="1"/>
      <c r="JWL224" s="1"/>
      <c r="JWM224" s="1"/>
      <c r="JWN224" s="1"/>
      <c r="JWO224" s="1"/>
      <c r="JWP224" s="1"/>
      <c r="JWQ224" s="1"/>
      <c r="JWR224" s="1"/>
      <c r="JWS224" s="1"/>
      <c r="JWT224" s="1"/>
      <c r="JWU224" s="1"/>
      <c r="JWV224" s="1"/>
      <c r="JWW224" s="1"/>
      <c r="JWX224" s="1"/>
      <c r="JWY224" s="1"/>
      <c r="JWZ224" s="1"/>
      <c r="JXA224" s="1"/>
      <c r="JXB224" s="1"/>
      <c r="JXC224" s="1"/>
      <c r="JXD224" s="1"/>
      <c r="JXE224" s="1"/>
      <c r="JXF224" s="1"/>
      <c r="JXG224" s="1"/>
      <c r="JXH224" s="1"/>
      <c r="JXI224" s="1"/>
      <c r="JXJ224" s="1"/>
      <c r="JXK224" s="1"/>
      <c r="JXL224" s="1"/>
      <c r="JXM224" s="1"/>
      <c r="JXN224" s="1"/>
      <c r="JXO224" s="1"/>
      <c r="JXP224" s="1"/>
      <c r="JXQ224" s="1"/>
      <c r="JXR224" s="1"/>
      <c r="JXS224" s="1"/>
      <c r="JXT224" s="1"/>
      <c r="JXU224" s="1"/>
      <c r="JXV224" s="1"/>
      <c r="JXW224" s="1"/>
      <c r="JXX224" s="1"/>
      <c r="JXY224" s="1"/>
      <c r="JXZ224" s="1"/>
      <c r="JYA224" s="1"/>
      <c r="JYB224" s="1"/>
      <c r="JYC224" s="1"/>
      <c r="JYD224" s="1"/>
      <c r="JYE224" s="1"/>
      <c r="JYF224" s="1"/>
      <c r="JYG224" s="1"/>
      <c r="JYH224" s="1"/>
      <c r="JYI224" s="1"/>
      <c r="JYJ224" s="1"/>
      <c r="JYK224" s="1"/>
      <c r="JYL224" s="1"/>
      <c r="JYM224" s="1"/>
      <c r="JYN224" s="1"/>
      <c r="JYO224" s="1"/>
      <c r="JYP224" s="1"/>
      <c r="JYQ224" s="1"/>
      <c r="JYR224" s="1"/>
      <c r="JYS224" s="1"/>
      <c r="JYT224" s="1"/>
      <c r="JYU224" s="1"/>
      <c r="JYV224" s="1"/>
      <c r="JYW224" s="1"/>
      <c r="JYX224" s="1"/>
      <c r="JYY224" s="1"/>
      <c r="JYZ224" s="1"/>
      <c r="JZA224" s="1"/>
      <c r="JZB224" s="1"/>
      <c r="JZC224" s="1"/>
      <c r="JZD224" s="1"/>
      <c r="JZE224" s="1"/>
      <c r="JZF224" s="1"/>
      <c r="JZG224" s="1"/>
      <c r="JZH224" s="1"/>
      <c r="JZI224" s="1"/>
      <c r="JZJ224" s="1"/>
      <c r="JZK224" s="1"/>
      <c r="JZL224" s="1"/>
      <c r="JZM224" s="1"/>
      <c r="JZN224" s="1"/>
      <c r="JZO224" s="1"/>
      <c r="JZP224" s="1"/>
      <c r="JZQ224" s="1"/>
      <c r="JZR224" s="1"/>
      <c r="JZS224" s="1"/>
      <c r="JZT224" s="1"/>
      <c r="JZU224" s="1"/>
      <c r="JZV224" s="1"/>
      <c r="JZW224" s="1"/>
      <c r="JZX224" s="1"/>
      <c r="JZY224" s="1"/>
      <c r="JZZ224" s="1"/>
      <c r="KAA224" s="1"/>
      <c r="KAB224" s="1"/>
      <c r="KAC224" s="1"/>
      <c r="KAD224" s="1"/>
      <c r="KAE224" s="1"/>
      <c r="KAF224" s="1"/>
      <c r="KAG224" s="1"/>
      <c r="KAH224" s="1"/>
      <c r="KAI224" s="1"/>
      <c r="KAJ224" s="1"/>
      <c r="KAK224" s="1"/>
      <c r="KAL224" s="1"/>
      <c r="KAM224" s="1"/>
      <c r="KAN224" s="1"/>
      <c r="KAO224" s="1"/>
      <c r="KAP224" s="1"/>
      <c r="KAQ224" s="1"/>
      <c r="KAR224" s="1"/>
      <c r="KAS224" s="1"/>
      <c r="KAT224" s="1"/>
      <c r="KAU224" s="1"/>
      <c r="KAV224" s="1"/>
      <c r="KAW224" s="1"/>
      <c r="KAX224" s="1"/>
      <c r="KAY224" s="1"/>
      <c r="KAZ224" s="1"/>
      <c r="KBA224" s="1"/>
      <c r="KBB224" s="1"/>
      <c r="KBC224" s="1"/>
      <c r="KBD224" s="1"/>
      <c r="KBE224" s="1"/>
      <c r="KBF224" s="1"/>
      <c r="KBG224" s="1"/>
      <c r="KBH224" s="1"/>
      <c r="KBI224" s="1"/>
      <c r="KBJ224" s="1"/>
      <c r="KBK224" s="1"/>
      <c r="KBL224" s="1"/>
      <c r="KBM224" s="1"/>
      <c r="KBN224" s="1"/>
      <c r="KBO224" s="1"/>
      <c r="KBP224" s="1"/>
      <c r="KBQ224" s="1"/>
      <c r="KBR224" s="1"/>
      <c r="KBS224" s="1"/>
      <c r="KBT224" s="1"/>
      <c r="KBU224" s="1"/>
      <c r="KBV224" s="1"/>
      <c r="KBW224" s="1"/>
      <c r="KBX224" s="1"/>
      <c r="KBY224" s="1"/>
      <c r="KBZ224" s="1"/>
      <c r="KCA224" s="1"/>
      <c r="KCB224" s="1"/>
      <c r="KCC224" s="1"/>
      <c r="KCD224" s="1"/>
      <c r="KCE224" s="1"/>
      <c r="KCF224" s="1"/>
      <c r="KCG224" s="1"/>
      <c r="KCH224" s="1"/>
      <c r="KCI224" s="1"/>
      <c r="KCJ224" s="1"/>
      <c r="KCK224" s="1"/>
      <c r="KCL224" s="1"/>
      <c r="KCM224" s="1"/>
      <c r="KCN224" s="1"/>
      <c r="KCO224" s="1"/>
      <c r="KCP224" s="1"/>
      <c r="KCQ224" s="1"/>
      <c r="KCR224" s="1"/>
      <c r="KCS224" s="1"/>
      <c r="KCT224" s="1"/>
      <c r="KCU224" s="1"/>
      <c r="KCV224" s="1"/>
      <c r="KCW224" s="1"/>
      <c r="KCX224" s="1"/>
      <c r="KCY224" s="1"/>
      <c r="KCZ224" s="1"/>
      <c r="KDA224" s="1"/>
      <c r="KDB224" s="1"/>
      <c r="KDC224" s="1"/>
      <c r="KDD224" s="1"/>
      <c r="KDE224" s="1"/>
      <c r="KDF224" s="1"/>
      <c r="KDG224" s="1"/>
      <c r="KDH224" s="1"/>
      <c r="KDI224" s="1"/>
      <c r="KDJ224" s="1"/>
      <c r="KDK224" s="1"/>
      <c r="KDL224" s="1"/>
      <c r="KDM224" s="1"/>
      <c r="KDN224" s="1"/>
      <c r="KDO224" s="1"/>
      <c r="KDP224" s="1"/>
      <c r="KDQ224" s="1"/>
      <c r="KDR224" s="1"/>
      <c r="KDS224" s="1"/>
      <c r="KDT224" s="1"/>
      <c r="KDU224" s="1"/>
      <c r="KDV224" s="1"/>
      <c r="KDW224" s="1"/>
      <c r="KDX224" s="1"/>
      <c r="KDY224" s="1"/>
      <c r="KDZ224" s="1"/>
      <c r="KEA224" s="1"/>
      <c r="KEB224" s="1"/>
      <c r="KEC224" s="1"/>
      <c r="KED224" s="1"/>
      <c r="KEE224" s="1"/>
      <c r="KEF224" s="1"/>
      <c r="KEG224" s="1"/>
      <c r="KEH224" s="1"/>
      <c r="KEI224" s="1"/>
      <c r="KEJ224" s="1"/>
      <c r="KEK224" s="1"/>
      <c r="KEL224" s="1"/>
      <c r="KEM224" s="1"/>
      <c r="KEN224" s="1"/>
      <c r="KEO224" s="1"/>
      <c r="KEP224" s="1"/>
      <c r="KEQ224" s="1"/>
      <c r="KER224" s="1"/>
      <c r="KES224" s="1"/>
      <c r="KET224" s="1"/>
      <c r="KEU224" s="1"/>
      <c r="KEV224" s="1"/>
      <c r="KEW224" s="1"/>
      <c r="KEX224" s="1"/>
      <c r="KEY224" s="1"/>
      <c r="KEZ224" s="1"/>
      <c r="KFA224" s="1"/>
      <c r="KFB224" s="1"/>
      <c r="KFC224" s="1"/>
      <c r="KFD224" s="1"/>
      <c r="KFE224" s="1"/>
      <c r="KFF224" s="1"/>
      <c r="KFG224" s="1"/>
      <c r="KFH224" s="1"/>
      <c r="KFI224" s="1"/>
      <c r="KFJ224" s="1"/>
      <c r="KFK224" s="1"/>
      <c r="KFL224" s="1"/>
      <c r="KFM224" s="1"/>
      <c r="KFN224" s="1"/>
      <c r="KFO224" s="1"/>
      <c r="KFP224" s="1"/>
      <c r="KFQ224" s="1"/>
      <c r="KFR224" s="1"/>
      <c r="KFS224" s="1"/>
      <c r="KFT224" s="1"/>
      <c r="KFU224" s="1"/>
      <c r="KFV224" s="1"/>
      <c r="KFW224" s="1"/>
      <c r="KFX224" s="1"/>
      <c r="KFY224" s="1"/>
      <c r="KFZ224" s="1"/>
      <c r="KGA224" s="1"/>
      <c r="KGB224" s="1"/>
      <c r="KGC224" s="1"/>
      <c r="KGD224" s="1"/>
      <c r="KGE224" s="1"/>
      <c r="KGF224" s="1"/>
      <c r="KGG224" s="1"/>
      <c r="KGH224" s="1"/>
      <c r="KGI224" s="1"/>
      <c r="KGJ224" s="1"/>
      <c r="KGK224" s="1"/>
      <c r="KGL224" s="1"/>
      <c r="KGM224" s="1"/>
      <c r="KGN224" s="1"/>
      <c r="KGO224" s="1"/>
      <c r="KGP224" s="1"/>
      <c r="KGQ224" s="1"/>
      <c r="KGR224" s="1"/>
      <c r="KGS224" s="1"/>
      <c r="KGT224" s="1"/>
      <c r="KGU224" s="1"/>
      <c r="KGV224" s="1"/>
      <c r="KGW224" s="1"/>
      <c r="KGX224" s="1"/>
      <c r="KGY224" s="1"/>
      <c r="KGZ224" s="1"/>
      <c r="KHA224" s="1"/>
      <c r="KHB224" s="1"/>
      <c r="KHC224" s="1"/>
      <c r="KHD224" s="1"/>
      <c r="KHE224" s="1"/>
      <c r="KHF224" s="1"/>
      <c r="KHG224" s="1"/>
      <c r="KHH224" s="1"/>
      <c r="KHI224" s="1"/>
      <c r="KHJ224" s="1"/>
      <c r="KHK224" s="1"/>
      <c r="KHL224" s="1"/>
      <c r="KHM224" s="1"/>
      <c r="KHN224" s="1"/>
      <c r="KHO224" s="1"/>
      <c r="KHP224" s="1"/>
      <c r="KHQ224" s="1"/>
      <c r="KHR224" s="1"/>
      <c r="KHS224" s="1"/>
      <c r="KHT224" s="1"/>
      <c r="KHU224" s="1"/>
      <c r="KHV224" s="1"/>
      <c r="KHW224" s="1"/>
      <c r="KHX224" s="1"/>
      <c r="KHY224" s="1"/>
      <c r="KHZ224" s="1"/>
      <c r="KIA224" s="1"/>
      <c r="KIB224" s="1"/>
      <c r="KIC224" s="1"/>
      <c r="KID224" s="1"/>
      <c r="KIE224" s="1"/>
      <c r="KIF224" s="1"/>
      <c r="KIG224" s="1"/>
      <c r="KIH224" s="1"/>
      <c r="KII224" s="1"/>
      <c r="KIJ224" s="1"/>
      <c r="KIK224" s="1"/>
      <c r="KIL224" s="1"/>
      <c r="KIM224" s="1"/>
      <c r="KIN224" s="1"/>
      <c r="KIO224" s="1"/>
      <c r="KIP224" s="1"/>
      <c r="KIQ224" s="1"/>
      <c r="KIR224" s="1"/>
      <c r="KIS224" s="1"/>
      <c r="KIT224" s="1"/>
      <c r="KIU224" s="1"/>
      <c r="KIV224" s="1"/>
      <c r="KIW224" s="1"/>
      <c r="KIX224" s="1"/>
      <c r="KIY224" s="1"/>
      <c r="KIZ224" s="1"/>
      <c r="KJA224" s="1"/>
      <c r="KJB224" s="1"/>
      <c r="KJC224" s="1"/>
      <c r="KJD224" s="1"/>
      <c r="KJE224" s="1"/>
      <c r="KJF224" s="1"/>
      <c r="KJG224" s="1"/>
      <c r="KJH224" s="1"/>
      <c r="KJI224" s="1"/>
      <c r="KJJ224" s="1"/>
      <c r="KJK224" s="1"/>
      <c r="KJL224" s="1"/>
      <c r="KJM224" s="1"/>
      <c r="KJN224" s="1"/>
      <c r="KJO224" s="1"/>
      <c r="KJP224" s="1"/>
      <c r="KJQ224" s="1"/>
      <c r="KJR224" s="1"/>
      <c r="KJS224" s="1"/>
      <c r="KJT224" s="1"/>
      <c r="KJU224" s="1"/>
      <c r="KJV224" s="1"/>
      <c r="KJW224" s="1"/>
      <c r="KJX224" s="1"/>
      <c r="KJY224" s="1"/>
      <c r="KJZ224" s="1"/>
      <c r="KKA224" s="1"/>
      <c r="KKB224" s="1"/>
      <c r="KKC224" s="1"/>
      <c r="KKD224" s="1"/>
      <c r="KKE224" s="1"/>
      <c r="KKF224" s="1"/>
      <c r="KKG224" s="1"/>
      <c r="KKH224" s="1"/>
      <c r="KKI224" s="1"/>
      <c r="KKJ224" s="1"/>
      <c r="KKK224" s="1"/>
      <c r="KKL224" s="1"/>
      <c r="KKM224" s="1"/>
      <c r="KKN224" s="1"/>
      <c r="KKO224" s="1"/>
      <c r="KKP224" s="1"/>
      <c r="KKQ224" s="1"/>
      <c r="KKR224" s="1"/>
      <c r="KKS224" s="1"/>
      <c r="KKT224" s="1"/>
      <c r="KKU224" s="1"/>
      <c r="KKV224" s="1"/>
      <c r="KKW224" s="1"/>
      <c r="KKX224" s="1"/>
      <c r="KKY224" s="1"/>
      <c r="KKZ224" s="1"/>
      <c r="KLA224" s="1"/>
      <c r="KLB224" s="1"/>
      <c r="KLC224" s="1"/>
      <c r="KLD224" s="1"/>
      <c r="KLE224" s="1"/>
      <c r="KLF224" s="1"/>
      <c r="KLG224" s="1"/>
      <c r="KLH224" s="1"/>
      <c r="KLI224" s="1"/>
      <c r="KLJ224" s="1"/>
      <c r="KLK224" s="1"/>
      <c r="KLL224" s="1"/>
      <c r="KLM224" s="1"/>
      <c r="KLN224" s="1"/>
      <c r="KLO224" s="1"/>
      <c r="KLP224" s="1"/>
      <c r="KLQ224" s="1"/>
      <c r="KLR224" s="1"/>
      <c r="KLS224" s="1"/>
      <c r="KLT224" s="1"/>
      <c r="KLU224" s="1"/>
      <c r="KLV224" s="1"/>
      <c r="KLW224" s="1"/>
      <c r="KLX224" s="1"/>
      <c r="KLY224" s="1"/>
      <c r="KLZ224" s="1"/>
      <c r="KMA224" s="1"/>
      <c r="KMB224" s="1"/>
      <c r="KMC224" s="1"/>
      <c r="KMD224" s="1"/>
      <c r="KME224" s="1"/>
      <c r="KMF224" s="1"/>
      <c r="KMG224" s="1"/>
      <c r="KMH224" s="1"/>
      <c r="KMI224" s="1"/>
      <c r="KMJ224" s="1"/>
      <c r="KMK224" s="1"/>
      <c r="KML224" s="1"/>
      <c r="KMM224" s="1"/>
      <c r="KMN224" s="1"/>
      <c r="KMO224" s="1"/>
      <c r="KMP224" s="1"/>
      <c r="KMQ224" s="1"/>
      <c r="KMR224" s="1"/>
      <c r="KMS224" s="1"/>
      <c r="KMT224" s="1"/>
      <c r="KMU224" s="1"/>
      <c r="KMV224" s="1"/>
      <c r="KMW224" s="1"/>
      <c r="KMX224" s="1"/>
      <c r="KMY224" s="1"/>
      <c r="KMZ224" s="1"/>
      <c r="KNA224" s="1"/>
      <c r="KNB224" s="1"/>
      <c r="KNC224" s="1"/>
      <c r="KND224" s="1"/>
      <c r="KNE224" s="1"/>
      <c r="KNF224" s="1"/>
      <c r="KNG224" s="1"/>
      <c r="KNH224" s="1"/>
      <c r="KNI224" s="1"/>
      <c r="KNJ224" s="1"/>
      <c r="KNK224" s="1"/>
      <c r="KNL224" s="1"/>
      <c r="KNM224" s="1"/>
      <c r="KNN224" s="1"/>
      <c r="KNO224" s="1"/>
      <c r="KNP224" s="1"/>
      <c r="KNQ224" s="1"/>
      <c r="KNR224" s="1"/>
      <c r="KNS224" s="1"/>
      <c r="KNT224" s="1"/>
      <c r="KNU224" s="1"/>
      <c r="KNV224" s="1"/>
      <c r="KNW224" s="1"/>
      <c r="KNX224" s="1"/>
      <c r="KNY224" s="1"/>
      <c r="KNZ224" s="1"/>
      <c r="KOA224" s="1"/>
      <c r="KOB224" s="1"/>
      <c r="KOC224" s="1"/>
      <c r="KOD224" s="1"/>
      <c r="KOE224" s="1"/>
      <c r="KOF224" s="1"/>
      <c r="KOG224" s="1"/>
      <c r="KOH224" s="1"/>
      <c r="KOI224" s="1"/>
      <c r="KOJ224" s="1"/>
      <c r="KOK224" s="1"/>
      <c r="KOL224" s="1"/>
      <c r="KOM224" s="1"/>
      <c r="KON224" s="1"/>
      <c r="KOO224" s="1"/>
      <c r="KOP224" s="1"/>
      <c r="KOQ224" s="1"/>
      <c r="KOR224" s="1"/>
      <c r="KOS224" s="1"/>
      <c r="KOT224" s="1"/>
      <c r="KOU224" s="1"/>
      <c r="KOV224" s="1"/>
      <c r="KOW224" s="1"/>
      <c r="KOX224" s="1"/>
      <c r="KOY224" s="1"/>
      <c r="KOZ224" s="1"/>
      <c r="KPA224" s="1"/>
      <c r="KPB224" s="1"/>
      <c r="KPC224" s="1"/>
      <c r="KPD224" s="1"/>
      <c r="KPE224" s="1"/>
      <c r="KPF224" s="1"/>
      <c r="KPG224" s="1"/>
      <c r="KPH224" s="1"/>
      <c r="KPI224" s="1"/>
      <c r="KPJ224" s="1"/>
      <c r="KPK224" s="1"/>
      <c r="KPL224" s="1"/>
      <c r="KPM224" s="1"/>
      <c r="KPN224" s="1"/>
      <c r="KPO224" s="1"/>
      <c r="KPP224" s="1"/>
      <c r="KPQ224" s="1"/>
      <c r="KPR224" s="1"/>
      <c r="KPS224" s="1"/>
      <c r="KPT224" s="1"/>
      <c r="KPU224" s="1"/>
      <c r="KPV224" s="1"/>
      <c r="KPW224" s="1"/>
      <c r="KPX224" s="1"/>
      <c r="KPY224" s="1"/>
      <c r="KPZ224" s="1"/>
      <c r="KQA224" s="1"/>
      <c r="KQB224" s="1"/>
      <c r="KQC224" s="1"/>
      <c r="KQD224" s="1"/>
      <c r="KQE224" s="1"/>
      <c r="KQF224" s="1"/>
      <c r="KQG224" s="1"/>
      <c r="KQH224" s="1"/>
      <c r="KQI224" s="1"/>
      <c r="KQJ224" s="1"/>
      <c r="KQK224" s="1"/>
      <c r="KQL224" s="1"/>
      <c r="KQM224" s="1"/>
      <c r="KQN224" s="1"/>
      <c r="KQO224" s="1"/>
      <c r="KQP224" s="1"/>
      <c r="KQQ224" s="1"/>
      <c r="KQR224" s="1"/>
      <c r="KQS224" s="1"/>
      <c r="KQT224" s="1"/>
      <c r="KQU224" s="1"/>
      <c r="KQV224" s="1"/>
      <c r="KQW224" s="1"/>
      <c r="KQX224" s="1"/>
      <c r="KQY224" s="1"/>
      <c r="KQZ224" s="1"/>
      <c r="KRA224" s="1"/>
      <c r="KRB224" s="1"/>
      <c r="KRC224" s="1"/>
      <c r="KRD224" s="1"/>
      <c r="KRE224" s="1"/>
      <c r="KRF224" s="1"/>
      <c r="KRG224" s="1"/>
      <c r="KRH224" s="1"/>
      <c r="KRI224" s="1"/>
      <c r="KRJ224" s="1"/>
      <c r="KRK224" s="1"/>
      <c r="KRL224" s="1"/>
      <c r="KRM224" s="1"/>
      <c r="KRN224" s="1"/>
      <c r="KRO224" s="1"/>
      <c r="KRP224" s="1"/>
      <c r="KRQ224" s="1"/>
      <c r="KRR224" s="1"/>
      <c r="KRS224" s="1"/>
      <c r="KRT224" s="1"/>
      <c r="KRU224" s="1"/>
      <c r="KRV224" s="1"/>
      <c r="KRW224" s="1"/>
      <c r="KRX224" s="1"/>
      <c r="KRY224" s="1"/>
      <c r="KRZ224" s="1"/>
      <c r="KSA224" s="1"/>
      <c r="KSB224" s="1"/>
      <c r="KSC224" s="1"/>
      <c r="KSD224" s="1"/>
      <c r="KSE224" s="1"/>
      <c r="KSF224" s="1"/>
      <c r="KSG224" s="1"/>
      <c r="KSH224" s="1"/>
      <c r="KSI224" s="1"/>
      <c r="KSJ224" s="1"/>
      <c r="KSK224" s="1"/>
      <c r="KSL224" s="1"/>
      <c r="KSM224" s="1"/>
      <c r="KSN224" s="1"/>
      <c r="KSO224" s="1"/>
      <c r="KSP224" s="1"/>
      <c r="KSQ224" s="1"/>
      <c r="KSR224" s="1"/>
      <c r="KSS224" s="1"/>
      <c r="KST224" s="1"/>
      <c r="KSU224" s="1"/>
      <c r="KSV224" s="1"/>
      <c r="KSW224" s="1"/>
      <c r="KSX224" s="1"/>
      <c r="KSY224" s="1"/>
      <c r="KSZ224" s="1"/>
      <c r="KTA224" s="1"/>
      <c r="KTB224" s="1"/>
      <c r="KTC224" s="1"/>
      <c r="KTD224" s="1"/>
      <c r="KTE224" s="1"/>
      <c r="KTF224" s="1"/>
      <c r="KTG224" s="1"/>
      <c r="KTH224" s="1"/>
      <c r="KTI224" s="1"/>
      <c r="KTJ224" s="1"/>
      <c r="KTK224" s="1"/>
      <c r="KTL224" s="1"/>
      <c r="KTM224" s="1"/>
      <c r="KTN224" s="1"/>
      <c r="KTO224" s="1"/>
      <c r="KTP224" s="1"/>
      <c r="KTQ224" s="1"/>
      <c r="KTR224" s="1"/>
      <c r="KTS224" s="1"/>
      <c r="KTT224" s="1"/>
      <c r="KTU224" s="1"/>
      <c r="KTV224" s="1"/>
      <c r="KTW224" s="1"/>
      <c r="KTX224" s="1"/>
      <c r="KTY224" s="1"/>
      <c r="KTZ224" s="1"/>
      <c r="KUA224" s="1"/>
      <c r="KUB224" s="1"/>
      <c r="KUC224" s="1"/>
      <c r="KUD224" s="1"/>
      <c r="KUE224" s="1"/>
      <c r="KUF224" s="1"/>
      <c r="KUG224" s="1"/>
      <c r="KUH224" s="1"/>
      <c r="KUI224" s="1"/>
      <c r="KUJ224" s="1"/>
      <c r="KUK224" s="1"/>
      <c r="KUL224" s="1"/>
      <c r="KUM224" s="1"/>
      <c r="KUN224" s="1"/>
      <c r="KUO224" s="1"/>
      <c r="KUP224" s="1"/>
      <c r="KUQ224" s="1"/>
      <c r="KUR224" s="1"/>
      <c r="KUS224" s="1"/>
      <c r="KUT224" s="1"/>
      <c r="KUU224" s="1"/>
      <c r="KUV224" s="1"/>
      <c r="KUW224" s="1"/>
      <c r="KUX224" s="1"/>
      <c r="KUY224" s="1"/>
      <c r="KUZ224" s="1"/>
      <c r="KVA224" s="1"/>
      <c r="KVB224" s="1"/>
      <c r="KVC224" s="1"/>
      <c r="KVD224" s="1"/>
      <c r="KVE224" s="1"/>
      <c r="KVF224" s="1"/>
      <c r="KVG224" s="1"/>
      <c r="KVH224" s="1"/>
      <c r="KVI224" s="1"/>
      <c r="KVJ224" s="1"/>
      <c r="KVK224" s="1"/>
      <c r="KVL224" s="1"/>
      <c r="KVM224" s="1"/>
      <c r="KVN224" s="1"/>
      <c r="KVO224" s="1"/>
      <c r="KVP224" s="1"/>
      <c r="KVQ224" s="1"/>
      <c r="KVR224" s="1"/>
      <c r="KVS224" s="1"/>
      <c r="KVT224" s="1"/>
      <c r="KVU224" s="1"/>
      <c r="KVV224" s="1"/>
      <c r="KVW224" s="1"/>
      <c r="KVX224" s="1"/>
      <c r="KVY224" s="1"/>
      <c r="KVZ224" s="1"/>
      <c r="KWA224" s="1"/>
      <c r="KWB224" s="1"/>
      <c r="KWC224" s="1"/>
      <c r="KWD224" s="1"/>
      <c r="KWE224" s="1"/>
      <c r="KWF224" s="1"/>
      <c r="KWG224" s="1"/>
      <c r="KWH224" s="1"/>
      <c r="KWI224" s="1"/>
      <c r="KWJ224" s="1"/>
      <c r="KWK224" s="1"/>
      <c r="KWL224" s="1"/>
      <c r="KWM224" s="1"/>
      <c r="KWN224" s="1"/>
      <c r="KWO224" s="1"/>
      <c r="KWP224" s="1"/>
      <c r="KWQ224" s="1"/>
      <c r="KWR224" s="1"/>
      <c r="KWS224" s="1"/>
      <c r="KWT224" s="1"/>
      <c r="KWU224" s="1"/>
      <c r="KWV224" s="1"/>
      <c r="KWW224" s="1"/>
      <c r="KWX224" s="1"/>
      <c r="KWY224" s="1"/>
      <c r="KWZ224" s="1"/>
      <c r="KXA224" s="1"/>
      <c r="KXB224" s="1"/>
      <c r="KXC224" s="1"/>
      <c r="KXD224" s="1"/>
      <c r="KXE224" s="1"/>
      <c r="KXF224" s="1"/>
      <c r="KXG224" s="1"/>
      <c r="KXH224" s="1"/>
      <c r="KXI224" s="1"/>
      <c r="KXJ224" s="1"/>
      <c r="KXK224" s="1"/>
      <c r="KXL224" s="1"/>
      <c r="KXM224" s="1"/>
      <c r="KXN224" s="1"/>
      <c r="KXO224" s="1"/>
      <c r="KXP224" s="1"/>
      <c r="KXQ224" s="1"/>
      <c r="KXR224" s="1"/>
      <c r="KXS224" s="1"/>
      <c r="KXT224" s="1"/>
      <c r="KXU224" s="1"/>
      <c r="KXV224" s="1"/>
      <c r="KXW224" s="1"/>
      <c r="KXX224" s="1"/>
      <c r="KXY224" s="1"/>
      <c r="KXZ224" s="1"/>
      <c r="KYA224" s="1"/>
      <c r="KYB224" s="1"/>
      <c r="KYC224" s="1"/>
      <c r="KYD224" s="1"/>
      <c r="KYE224" s="1"/>
      <c r="KYF224" s="1"/>
      <c r="KYG224" s="1"/>
      <c r="KYH224" s="1"/>
      <c r="KYI224" s="1"/>
      <c r="KYJ224" s="1"/>
      <c r="KYK224" s="1"/>
      <c r="KYL224" s="1"/>
      <c r="KYM224" s="1"/>
      <c r="KYN224" s="1"/>
      <c r="KYO224" s="1"/>
      <c r="KYP224" s="1"/>
      <c r="KYQ224" s="1"/>
      <c r="KYR224" s="1"/>
      <c r="KYS224" s="1"/>
      <c r="KYT224" s="1"/>
      <c r="KYU224" s="1"/>
      <c r="KYV224" s="1"/>
      <c r="KYW224" s="1"/>
      <c r="KYX224" s="1"/>
      <c r="KYY224" s="1"/>
      <c r="KYZ224" s="1"/>
      <c r="KZA224" s="1"/>
      <c r="KZB224" s="1"/>
      <c r="KZC224" s="1"/>
      <c r="KZD224" s="1"/>
      <c r="KZE224" s="1"/>
      <c r="KZF224" s="1"/>
      <c r="KZG224" s="1"/>
      <c r="KZH224" s="1"/>
      <c r="KZI224" s="1"/>
      <c r="KZJ224" s="1"/>
      <c r="KZK224" s="1"/>
      <c r="KZL224" s="1"/>
      <c r="KZM224" s="1"/>
      <c r="KZN224" s="1"/>
      <c r="KZO224" s="1"/>
      <c r="KZP224" s="1"/>
      <c r="KZQ224" s="1"/>
      <c r="KZR224" s="1"/>
      <c r="KZS224" s="1"/>
      <c r="KZT224" s="1"/>
      <c r="KZU224" s="1"/>
      <c r="KZV224" s="1"/>
      <c r="KZW224" s="1"/>
      <c r="KZX224" s="1"/>
      <c r="KZY224" s="1"/>
      <c r="KZZ224" s="1"/>
      <c r="LAA224" s="1"/>
      <c r="LAB224" s="1"/>
      <c r="LAC224" s="1"/>
      <c r="LAD224" s="1"/>
      <c r="LAE224" s="1"/>
      <c r="LAF224" s="1"/>
      <c r="LAG224" s="1"/>
      <c r="LAH224" s="1"/>
      <c r="LAI224" s="1"/>
      <c r="LAJ224" s="1"/>
      <c r="LAK224" s="1"/>
      <c r="LAL224" s="1"/>
      <c r="LAM224" s="1"/>
      <c r="LAN224" s="1"/>
      <c r="LAO224" s="1"/>
      <c r="LAP224" s="1"/>
      <c r="LAQ224" s="1"/>
      <c r="LAR224" s="1"/>
      <c r="LAS224" s="1"/>
      <c r="LAT224" s="1"/>
      <c r="LAU224" s="1"/>
      <c r="LAV224" s="1"/>
      <c r="LAW224" s="1"/>
      <c r="LAX224" s="1"/>
      <c r="LAY224" s="1"/>
      <c r="LAZ224" s="1"/>
      <c r="LBA224" s="1"/>
      <c r="LBB224" s="1"/>
      <c r="LBC224" s="1"/>
      <c r="LBD224" s="1"/>
      <c r="LBE224" s="1"/>
      <c r="LBF224" s="1"/>
      <c r="LBG224" s="1"/>
      <c r="LBH224" s="1"/>
      <c r="LBI224" s="1"/>
      <c r="LBJ224" s="1"/>
      <c r="LBK224" s="1"/>
      <c r="LBL224" s="1"/>
      <c r="LBM224" s="1"/>
      <c r="LBN224" s="1"/>
      <c r="LBO224" s="1"/>
      <c r="LBP224" s="1"/>
      <c r="LBQ224" s="1"/>
      <c r="LBR224" s="1"/>
      <c r="LBS224" s="1"/>
      <c r="LBT224" s="1"/>
      <c r="LBU224" s="1"/>
      <c r="LBV224" s="1"/>
      <c r="LBW224" s="1"/>
      <c r="LBX224" s="1"/>
      <c r="LBY224" s="1"/>
      <c r="LBZ224" s="1"/>
      <c r="LCA224" s="1"/>
      <c r="LCB224" s="1"/>
      <c r="LCC224" s="1"/>
      <c r="LCD224" s="1"/>
      <c r="LCE224" s="1"/>
      <c r="LCF224" s="1"/>
      <c r="LCG224" s="1"/>
      <c r="LCH224" s="1"/>
      <c r="LCI224" s="1"/>
      <c r="LCJ224" s="1"/>
      <c r="LCK224" s="1"/>
      <c r="LCL224" s="1"/>
      <c r="LCM224" s="1"/>
      <c r="LCN224" s="1"/>
      <c r="LCO224" s="1"/>
      <c r="LCP224" s="1"/>
      <c r="LCQ224" s="1"/>
      <c r="LCR224" s="1"/>
      <c r="LCS224" s="1"/>
      <c r="LCT224" s="1"/>
      <c r="LCU224" s="1"/>
      <c r="LCV224" s="1"/>
      <c r="LCW224" s="1"/>
      <c r="LCX224" s="1"/>
      <c r="LCY224" s="1"/>
      <c r="LCZ224" s="1"/>
      <c r="LDA224" s="1"/>
      <c r="LDB224" s="1"/>
      <c r="LDC224" s="1"/>
      <c r="LDD224" s="1"/>
      <c r="LDE224" s="1"/>
      <c r="LDF224" s="1"/>
      <c r="LDG224" s="1"/>
      <c r="LDH224" s="1"/>
      <c r="LDI224" s="1"/>
      <c r="LDJ224" s="1"/>
      <c r="LDK224" s="1"/>
      <c r="LDL224" s="1"/>
      <c r="LDM224" s="1"/>
      <c r="LDN224" s="1"/>
      <c r="LDO224" s="1"/>
      <c r="LDP224" s="1"/>
      <c r="LDQ224" s="1"/>
      <c r="LDR224" s="1"/>
      <c r="LDS224" s="1"/>
      <c r="LDT224" s="1"/>
      <c r="LDU224" s="1"/>
      <c r="LDV224" s="1"/>
      <c r="LDW224" s="1"/>
      <c r="LDX224" s="1"/>
      <c r="LDY224" s="1"/>
      <c r="LDZ224" s="1"/>
      <c r="LEA224" s="1"/>
      <c r="LEB224" s="1"/>
      <c r="LEC224" s="1"/>
      <c r="LED224" s="1"/>
      <c r="LEE224" s="1"/>
      <c r="LEF224" s="1"/>
      <c r="LEG224" s="1"/>
      <c r="LEH224" s="1"/>
      <c r="LEI224" s="1"/>
      <c r="LEJ224" s="1"/>
      <c r="LEK224" s="1"/>
      <c r="LEL224" s="1"/>
      <c r="LEM224" s="1"/>
      <c r="LEN224" s="1"/>
      <c r="LEO224" s="1"/>
      <c r="LEP224" s="1"/>
      <c r="LEQ224" s="1"/>
      <c r="LER224" s="1"/>
      <c r="LES224" s="1"/>
      <c r="LET224" s="1"/>
      <c r="LEU224" s="1"/>
      <c r="LEV224" s="1"/>
      <c r="LEW224" s="1"/>
      <c r="LEX224" s="1"/>
      <c r="LEY224" s="1"/>
      <c r="LEZ224" s="1"/>
      <c r="LFA224" s="1"/>
      <c r="LFB224" s="1"/>
      <c r="LFC224" s="1"/>
      <c r="LFD224" s="1"/>
      <c r="LFE224" s="1"/>
      <c r="LFF224" s="1"/>
      <c r="LFG224" s="1"/>
      <c r="LFH224" s="1"/>
      <c r="LFI224" s="1"/>
      <c r="LFJ224" s="1"/>
      <c r="LFK224" s="1"/>
      <c r="LFL224" s="1"/>
      <c r="LFM224" s="1"/>
      <c r="LFN224" s="1"/>
      <c r="LFO224" s="1"/>
      <c r="LFP224" s="1"/>
      <c r="LFQ224" s="1"/>
      <c r="LFR224" s="1"/>
      <c r="LFS224" s="1"/>
      <c r="LFT224" s="1"/>
      <c r="LFU224" s="1"/>
      <c r="LFV224" s="1"/>
      <c r="LFW224" s="1"/>
      <c r="LFX224" s="1"/>
      <c r="LFY224" s="1"/>
      <c r="LFZ224" s="1"/>
      <c r="LGA224" s="1"/>
      <c r="LGB224" s="1"/>
      <c r="LGC224" s="1"/>
      <c r="LGD224" s="1"/>
      <c r="LGE224" s="1"/>
      <c r="LGF224" s="1"/>
      <c r="LGG224" s="1"/>
      <c r="LGH224" s="1"/>
      <c r="LGI224" s="1"/>
      <c r="LGJ224" s="1"/>
      <c r="LGK224" s="1"/>
      <c r="LGL224" s="1"/>
      <c r="LGM224" s="1"/>
      <c r="LGN224" s="1"/>
      <c r="LGO224" s="1"/>
      <c r="LGP224" s="1"/>
      <c r="LGQ224" s="1"/>
      <c r="LGR224" s="1"/>
      <c r="LGS224" s="1"/>
      <c r="LGT224" s="1"/>
      <c r="LGU224" s="1"/>
      <c r="LGV224" s="1"/>
      <c r="LGW224" s="1"/>
      <c r="LGX224" s="1"/>
      <c r="LGY224" s="1"/>
      <c r="LGZ224" s="1"/>
      <c r="LHA224" s="1"/>
      <c r="LHB224" s="1"/>
      <c r="LHC224" s="1"/>
      <c r="LHD224" s="1"/>
      <c r="LHE224" s="1"/>
      <c r="LHF224" s="1"/>
      <c r="LHG224" s="1"/>
      <c r="LHH224" s="1"/>
      <c r="LHI224" s="1"/>
      <c r="LHJ224" s="1"/>
      <c r="LHK224" s="1"/>
      <c r="LHL224" s="1"/>
      <c r="LHM224" s="1"/>
      <c r="LHN224" s="1"/>
      <c r="LHO224" s="1"/>
      <c r="LHP224" s="1"/>
      <c r="LHQ224" s="1"/>
      <c r="LHR224" s="1"/>
      <c r="LHS224" s="1"/>
      <c r="LHT224" s="1"/>
      <c r="LHU224" s="1"/>
      <c r="LHV224" s="1"/>
      <c r="LHW224" s="1"/>
      <c r="LHX224" s="1"/>
      <c r="LHY224" s="1"/>
      <c r="LHZ224" s="1"/>
      <c r="LIA224" s="1"/>
      <c r="LIB224" s="1"/>
      <c r="LIC224" s="1"/>
      <c r="LID224" s="1"/>
      <c r="LIE224" s="1"/>
      <c r="LIF224" s="1"/>
      <c r="LIG224" s="1"/>
      <c r="LIH224" s="1"/>
      <c r="LII224" s="1"/>
      <c r="LIJ224" s="1"/>
      <c r="LIK224" s="1"/>
      <c r="LIL224" s="1"/>
      <c r="LIM224" s="1"/>
      <c r="LIN224" s="1"/>
      <c r="LIO224" s="1"/>
      <c r="LIP224" s="1"/>
      <c r="LIQ224" s="1"/>
      <c r="LIR224" s="1"/>
      <c r="LIS224" s="1"/>
      <c r="LIT224" s="1"/>
      <c r="LIU224" s="1"/>
      <c r="LIV224" s="1"/>
      <c r="LIW224" s="1"/>
      <c r="LIX224" s="1"/>
      <c r="LIY224" s="1"/>
      <c r="LIZ224" s="1"/>
      <c r="LJA224" s="1"/>
      <c r="LJB224" s="1"/>
      <c r="LJC224" s="1"/>
      <c r="LJD224" s="1"/>
      <c r="LJE224" s="1"/>
      <c r="LJF224" s="1"/>
      <c r="LJG224" s="1"/>
      <c r="LJH224" s="1"/>
      <c r="LJI224" s="1"/>
      <c r="LJJ224" s="1"/>
      <c r="LJK224" s="1"/>
      <c r="LJL224" s="1"/>
      <c r="LJM224" s="1"/>
      <c r="LJN224" s="1"/>
      <c r="LJO224" s="1"/>
      <c r="LJP224" s="1"/>
      <c r="LJQ224" s="1"/>
      <c r="LJR224" s="1"/>
      <c r="LJS224" s="1"/>
      <c r="LJT224" s="1"/>
      <c r="LJU224" s="1"/>
      <c r="LJV224" s="1"/>
      <c r="LJW224" s="1"/>
      <c r="LJX224" s="1"/>
      <c r="LJY224" s="1"/>
      <c r="LJZ224" s="1"/>
      <c r="LKA224" s="1"/>
      <c r="LKB224" s="1"/>
      <c r="LKC224" s="1"/>
      <c r="LKD224" s="1"/>
      <c r="LKE224" s="1"/>
      <c r="LKF224" s="1"/>
      <c r="LKG224" s="1"/>
      <c r="LKH224" s="1"/>
      <c r="LKI224" s="1"/>
      <c r="LKJ224" s="1"/>
      <c r="LKK224" s="1"/>
      <c r="LKL224" s="1"/>
      <c r="LKM224" s="1"/>
      <c r="LKN224" s="1"/>
      <c r="LKO224" s="1"/>
      <c r="LKP224" s="1"/>
      <c r="LKQ224" s="1"/>
      <c r="LKR224" s="1"/>
      <c r="LKS224" s="1"/>
      <c r="LKT224" s="1"/>
      <c r="LKU224" s="1"/>
      <c r="LKV224" s="1"/>
      <c r="LKW224" s="1"/>
      <c r="LKX224" s="1"/>
      <c r="LKY224" s="1"/>
      <c r="LKZ224" s="1"/>
      <c r="LLA224" s="1"/>
      <c r="LLB224" s="1"/>
      <c r="LLC224" s="1"/>
      <c r="LLD224" s="1"/>
      <c r="LLE224" s="1"/>
      <c r="LLF224" s="1"/>
      <c r="LLG224" s="1"/>
      <c r="LLH224" s="1"/>
      <c r="LLI224" s="1"/>
      <c r="LLJ224" s="1"/>
      <c r="LLK224" s="1"/>
      <c r="LLL224" s="1"/>
      <c r="LLM224" s="1"/>
      <c r="LLN224" s="1"/>
      <c r="LLO224" s="1"/>
      <c r="LLP224" s="1"/>
      <c r="LLQ224" s="1"/>
      <c r="LLR224" s="1"/>
      <c r="LLS224" s="1"/>
      <c r="LLT224" s="1"/>
      <c r="LLU224" s="1"/>
      <c r="LLV224" s="1"/>
      <c r="LLW224" s="1"/>
      <c r="LLX224" s="1"/>
      <c r="LLY224" s="1"/>
      <c r="LLZ224" s="1"/>
      <c r="LMA224" s="1"/>
      <c r="LMB224" s="1"/>
      <c r="LMC224" s="1"/>
      <c r="LMD224" s="1"/>
      <c r="LME224" s="1"/>
      <c r="LMF224" s="1"/>
      <c r="LMG224" s="1"/>
      <c r="LMH224" s="1"/>
      <c r="LMI224" s="1"/>
      <c r="LMJ224" s="1"/>
      <c r="LMK224" s="1"/>
      <c r="LML224" s="1"/>
      <c r="LMM224" s="1"/>
      <c r="LMN224" s="1"/>
      <c r="LMO224" s="1"/>
      <c r="LMP224" s="1"/>
      <c r="LMQ224" s="1"/>
      <c r="LMR224" s="1"/>
      <c r="LMS224" s="1"/>
      <c r="LMT224" s="1"/>
      <c r="LMU224" s="1"/>
      <c r="LMV224" s="1"/>
      <c r="LMW224" s="1"/>
      <c r="LMX224" s="1"/>
      <c r="LMY224" s="1"/>
      <c r="LMZ224" s="1"/>
      <c r="LNA224" s="1"/>
      <c r="LNB224" s="1"/>
      <c r="LNC224" s="1"/>
      <c r="LND224" s="1"/>
      <c r="LNE224" s="1"/>
      <c r="LNF224" s="1"/>
      <c r="LNG224" s="1"/>
      <c r="LNH224" s="1"/>
      <c r="LNI224" s="1"/>
      <c r="LNJ224" s="1"/>
      <c r="LNK224" s="1"/>
      <c r="LNL224" s="1"/>
      <c r="LNM224" s="1"/>
      <c r="LNN224" s="1"/>
      <c r="LNO224" s="1"/>
      <c r="LNP224" s="1"/>
      <c r="LNQ224" s="1"/>
      <c r="LNR224" s="1"/>
      <c r="LNS224" s="1"/>
      <c r="LNT224" s="1"/>
      <c r="LNU224" s="1"/>
      <c r="LNV224" s="1"/>
      <c r="LNW224" s="1"/>
      <c r="LNX224" s="1"/>
      <c r="LNY224" s="1"/>
      <c r="LNZ224" s="1"/>
      <c r="LOA224" s="1"/>
      <c r="LOB224" s="1"/>
      <c r="LOC224" s="1"/>
      <c r="LOD224" s="1"/>
      <c r="LOE224" s="1"/>
      <c r="LOF224" s="1"/>
      <c r="LOG224" s="1"/>
      <c r="LOH224" s="1"/>
      <c r="LOI224" s="1"/>
      <c r="LOJ224" s="1"/>
      <c r="LOK224" s="1"/>
      <c r="LOL224" s="1"/>
      <c r="LOM224" s="1"/>
      <c r="LON224" s="1"/>
      <c r="LOO224" s="1"/>
      <c r="LOP224" s="1"/>
      <c r="LOQ224" s="1"/>
      <c r="LOR224" s="1"/>
      <c r="LOS224" s="1"/>
      <c r="LOT224" s="1"/>
      <c r="LOU224" s="1"/>
      <c r="LOV224" s="1"/>
      <c r="LOW224" s="1"/>
      <c r="LOX224" s="1"/>
      <c r="LOY224" s="1"/>
      <c r="LOZ224" s="1"/>
      <c r="LPA224" s="1"/>
      <c r="LPB224" s="1"/>
      <c r="LPC224" s="1"/>
      <c r="LPD224" s="1"/>
      <c r="LPE224" s="1"/>
      <c r="LPF224" s="1"/>
      <c r="LPG224" s="1"/>
      <c r="LPH224" s="1"/>
      <c r="LPI224" s="1"/>
      <c r="LPJ224" s="1"/>
      <c r="LPK224" s="1"/>
      <c r="LPL224" s="1"/>
      <c r="LPM224" s="1"/>
      <c r="LPN224" s="1"/>
      <c r="LPO224" s="1"/>
      <c r="LPP224" s="1"/>
      <c r="LPQ224" s="1"/>
      <c r="LPR224" s="1"/>
      <c r="LPS224" s="1"/>
      <c r="LPT224" s="1"/>
      <c r="LPU224" s="1"/>
      <c r="LPV224" s="1"/>
      <c r="LPW224" s="1"/>
      <c r="LPX224" s="1"/>
      <c r="LPY224" s="1"/>
      <c r="LPZ224" s="1"/>
      <c r="LQA224" s="1"/>
      <c r="LQB224" s="1"/>
      <c r="LQC224" s="1"/>
      <c r="LQD224" s="1"/>
      <c r="LQE224" s="1"/>
      <c r="LQF224" s="1"/>
      <c r="LQG224" s="1"/>
      <c r="LQH224" s="1"/>
      <c r="LQI224" s="1"/>
      <c r="LQJ224" s="1"/>
      <c r="LQK224" s="1"/>
      <c r="LQL224" s="1"/>
      <c r="LQM224" s="1"/>
      <c r="LQN224" s="1"/>
      <c r="LQO224" s="1"/>
      <c r="LQP224" s="1"/>
      <c r="LQQ224" s="1"/>
      <c r="LQR224" s="1"/>
      <c r="LQS224" s="1"/>
      <c r="LQT224" s="1"/>
      <c r="LQU224" s="1"/>
      <c r="LQV224" s="1"/>
      <c r="LQW224" s="1"/>
      <c r="LQX224" s="1"/>
      <c r="LQY224" s="1"/>
      <c r="LQZ224" s="1"/>
      <c r="LRA224" s="1"/>
      <c r="LRB224" s="1"/>
      <c r="LRC224" s="1"/>
      <c r="LRD224" s="1"/>
      <c r="LRE224" s="1"/>
      <c r="LRF224" s="1"/>
      <c r="LRG224" s="1"/>
      <c r="LRH224" s="1"/>
      <c r="LRI224" s="1"/>
      <c r="LRJ224" s="1"/>
      <c r="LRK224" s="1"/>
      <c r="LRL224" s="1"/>
      <c r="LRM224" s="1"/>
      <c r="LRN224" s="1"/>
      <c r="LRO224" s="1"/>
      <c r="LRP224" s="1"/>
      <c r="LRQ224" s="1"/>
      <c r="LRR224" s="1"/>
      <c r="LRS224" s="1"/>
      <c r="LRT224" s="1"/>
      <c r="LRU224" s="1"/>
      <c r="LRV224" s="1"/>
      <c r="LRW224" s="1"/>
      <c r="LRX224" s="1"/>
      <c r="LRY224" s="1"/>
      <c r="LRZ224" s="1"/>
      <c r="LSA224" s="1"/>
      <c r="LSB224" s="1"/>
      <c r="LSC224" s="1"/>
      <c r="LSD224" s="1"/>
      <c r="LSE224" s="1"/>
      <c r="LSF224" s="1"/>
      <c r="LSG224" s="1"/>
      <c r="LSH224" s="1"/>
      <c r="LSI224" s="1"/>
      <c r="LSJ224" s="1"/>
      <c r="LSK224" s="1"/>
      <c r="LSL224" s="1"/>
      <c r="LSM224" s="1"/>
      <c r="LSN224" s="1"/>
      <c r="LSO224" s="1"/>
      <c r="LSP224" s="1"/>
      <c r="LSQ224" s="1"/>
      <c r="LSR224" s="1"/>
      <c r="LSS224" s="1"/>
      <c r="LST224" s="1"/>
      <c r="LSU224" s="1"/>
      <c r="LSV224" s="1"/>
      <c r="LSW224" s="1"/>
      <c r="LSX224" s="1"/>
      <c r="LSY224" s="1"/>
      <c r="LSZ224" s="1"/>
      <c r="LTA224" s="1"/>
      <c r="LTB224" s="1"/>
      <c r="LTC224" s="1"/>
      <c r="LTD224" s="1"/>
      <c r="LTE224" s="1"/>
      <c r="LTF224" s="1"/>
      <c r="LTG224" s="1"/>
      <c r="LTH224" s="1"/>
      <c r="LTI224" s="1"/>
      <c r="LTJ224" s="1"/>
      <c r="LTK224" s="1"/>
      <c r="LTL224" s="1"/>
      <c r="LTM224" s="1"/>
      <c r="LTN224" s="1"/>
      <c r="LTO224" s="1"/>
      <c r="LTP224" s="1"/>
      <c r="LTQ224" s="1"/>
      <c r="LTR224" s="1"/>
      <c r="LTS224" s="1"/>
      <c r="LTT224" s="1"/>
      <c r="LTU224" s="1"/>
      <c r="LTV224" s="1"/>
      <c r="LTW224" s="1"/>
      <c r="LTX224" s="1"/>
      <c r="LTY224" s="1"/>
      <c r="LTZ224" s="1"/>
      <c r="LUA224" s="1"/>
      <c r="LUB224" s="1"/>
      <c r="LUC224" s="1"/>
      <c r="LUD224" s="1"/>
      <c r="LUE224" s="1"/>
      <c r="LUF224" s="1"/>
      <c r="LUG224" s="1"/>
      <c r="LUH224" s="1"/>
      <c r="LUI224" s="1"/>
      <c r="LUJ224" s="1"/>
      <c r="LUK224" s="1"/>
      <c r="LUL224" s="1"/>
      <c r="LUM224" s="1"/>
      <c r="LUN224" s="1"/>
      <c r="LUO224" s="1"/>
      <c r="LUP224" s="1"/>
      <c r="LUQ224" s="1"/>
      <c r="LUR224" s="1"/>
      <c r="LUS224" s="1"/>
      <c r="LUT224" s="1"/>
      <c r="LUU224" s="1"/>
      <c r="LUV224" s="1"/>
      <c r="LUW224" s="1"/>
      <c r="LUX224" s="1"/>
      <c r="LUY224" s="1"/>
      <c r="LUZ224" s="1"/>
      <c r="LVA224" s="1"/>
      <c r="LVB224" s="1"/>
      <c r="LVC224" s="1"/>
      <c r="LVD224" s="1"/>
      <c r="LVE224" s="1"/>
      <c r="LVF224" s="1"/>
      <c r="LVG224" s="1"/>
      <c r="LVH224" s="1"/>
      <c r="LVI224" s="1"/>
      <c r="LVJ224" s="1"/>
      <c r="LVK224" s="1"/>
      <c r="LVL224" s="1"/>
      <c r="LVM224" s="1"/>
      <c r="LVN224" s="1"/>
      <c r="LVO224" s="1"/>
      <c r="LVP224" s="1"/>
      <c r="LVQ224" s="1"/>
      <c r="LVR224" s="1"/>
      <c r="LVS224" s="1"/>
      <c r="LVT224" s="1"/>
      <c r="LVU224" s="1"/>
      <c r="LVV224" s="1"/>
      <c r="LVW224" s="1"/>
      <c r="LVX224" s="1"/>
      <c r="LVY224" s="1"/>
      <c r="LVZ224" s="1"/>
      <c r="LWA224" s="1"/>
      <c r="LWB224" s="1"/>
      <c r="LWC224" s="1"/>
      <c r="LWD224" s="1"/>
      <c r="LWE224" s="1"/>
      <c r="LWF224" s="1"/>
      <c r="LWG224" s="1"/>
      <c r="LWH224" s="1"/>
      <c r="LWI224" s="1"/>
      <c r="LWJ224" s="1"/>
      <c r="LWK224" s="1"/>
      <c r="LWL224" s="1"/>
      <c r="LWM224" s="1"/>
      <c r="LWN224" s="1"/>
      <c r="LWO224" s="1"/>
      <c r="LWP224" s="1"/>
      <c r="LWQ224" s="1"/>
      <c r="LWR224" s="1"/>
      <c r="LWS224" s="1"/>
      <c r="LWT224" s="1"/>
      <c r="LWU224" s="1"/>
      <c r="LWV224" s="1"/>
      <c r="LWW224" s="1"/>
      <c r="LWX224" s="1"/>
      <c r="LWY224" s="1"/>
      <c r="LWZ224" s="1"/>
      <c r="LXA224" s="1"/>
      <c r="LXB224" s="1"/>
      <c r="LXC224" s="1"/>
      <c r="LXD224" s="1"/>
      <c r="LXE224" s="1"/>
      <c r="LXF224" s="1"/>
      <c r="LXG224" s="1"/>
      <c r="LXH224" s="1"/>
      <c r="LXI224" s="1"/>
      <c r="LXJ224" s="1"/>
      <c r="LXK224" s="1"/>
      <c r="LXL224" s="1"/>
      <c r="LXM224" s="1"/>
      <c r="LXN224" s="1"/>
      <c r="LXO224" s="1"/>
      <c r="LXP224" s="1"/>
      <c r="LXQ224" s="1"/>
      <c r="LXR224" s="1"/>
      <c r="LXS224" s="1"/>
      <c r="LXT224" s="1"/>
      <c r="LXU224" s="1"/>
      <c r="LXV224" s="1"/>
      <c r="LXW224" s="1"/>
      <c r="LXX224" s="1"/>
      <c r="LXY224" s="1"/>
      <c r="LXZ224" s="1"/>
      <c r="LYA224" s="1"/>
      <c r="LYB224" s="1"/>
      <c r="LYC224" s="1"/>
      <c r="LYD224" s="1"/>
      <c r="LYE224" s="1"/>
      <c r="LYF224" s="1"/>
      <c r="LYG224" s="1"/>
      <c r="LYH224" s="1"/>
      <c r="LYI224" s="1"/>
      <c r="LYJ224" s="1"/>
      <c r="LYK224" s="1"/>
      <c r="LYL224" s="1"/>
      <c r="LYM224" s="1"/>
      <c r="LYN224" s="1"/>
      <c r="LYO224" s="1"/>
      <c r="LYP224" s="1"/>
      <c r="LYQ224" s="1"/>
      <c r="LYR224" s="1"/>
      <c r="LYS224" s="1"/>
      <c r="LYT224" s="1"/>
      <c r="LYU224" s="1"/>
      <c r="LYV224" s="1"/>
      <c r="LYW224" s="1"/>
      <c r="LYX224" s="1"/>
      <c r="LYY224" s="1"/>
      <c r="LYZ224" s="1"/>
      <c r="LZA224" s="1"/>
      <c r="LZB224" s="1"/>
      <c r="LZC224" s="1"/>
      <c r="LZD224" s="1"/>
      <c r="LZE224" s="1"/>
      <c r="LZF224" s="1"/>
      <c r="LZG224" s="1"/>
      <c r="LZH224" s="1"/>
      <c r="LZI224" s="1"/>
      <c r="LZJ224" s="1"/>
      <c r="LZK224" s="1"/>
      <c r="LZL224" s="1"/>
      <c r="LZM224" s="1"/>
      <c r="LZN224" s="1"/>
      <c r="LZO224" s="1"/>
      <c r="LZP224" s="1"/>
      <c r="LZQ224" s="1"/>
      <c r="LZR224" s="1"/>
      <c r="LZS224" s="1"/>
      <c r="LZT224" s="1"/>
      <c r="LZU224" s="1"/>
      <c r="LZV224" s="1"/>
      <c r="LZW224" s="1"/>
      <c r="LZX224" s="1"/>
      <c r="LZY224" s="1"/>
      <c r="LZZ224" s="1"/>
      <c r="MAA224" s="1"/>
      <c r="MAB224" s="1"/>
      <c r="MAC224" s="1"/>
      <c r="MAD224" s="1"/>
      <c r="MAE224" s="1"/>
      <c r="MAF224" s="1"/>
      <c r="MAG224" s="1"/>
      <c r="MAH224" s="1"/>
      <c r="MAI224" s="1"/>
      <c r="MAJ224" s="1"/>
      <c r="MAK224" s="1"/>
      <c r="MAL224" s="1"/>
      <c r="MAM224" s="1"/>
      <c r="MAN224" s="1"/>
      <c r="MAO224" s="1"/>
      <c r="MAP224" s="1"/>
      <c r="MAQ224" s="1"/>
      <c r="MAR224" s="1"/>
      <c r="MAS224" s="1"/>
      <c r="MAT224" s="1"/>
      <c r="MAU224" s="1"/>
      <c r="MAV224" s="1"/>
      <c r="MAW224" s="1"/>
      <c r="MAX224" s="1"/>
      <c r="MAY224" s="1"/>
      <c r="MAZ224" s="1"/>
      <c r="MBA224" s="1"/>
      <c r="MBB224" s="1"/>
      <c r="MBC224" s="1"/>
      <c r="MBD224" s="1"/>
      <c r="MBE224" s="1"/>
      <c r="MBF224" s="1"/>
      <c r="MBG224" s="1"/>
      <c r="MBH224" s="1"/>
      <c r="MBI224" s="1"/>
      <c r="MBJ224" s="1"/>
      <c r="MBK224" s="1"/>
      <c r="MBL224" s="1"/>
      <c r="MBM224" s="1"/>
      <c r="MBN224" s="1"/>
      <c r="MBO224" s="1"/>
      <c r="MBP224" s="1"/>
      <c r="MBQ224" s="1"/>
      <c r="MBR224" s="1"/>
      <c r="MBS224" s="1"/>
      <c r="MBT224" s="1"/>
      <c r="MBU224" s="1"/>
      <c r="MBV224" s="1"/>
      <c r="MBW224" s="1"/>
      <c r="MBX224" s="1"/>
      <c r="MBY224" s="1"/>
      <c r="MBZ224" s="1"/>
      <c r="MCA224" s="1"/>
      <c r="MCB224" s="1"/>
      <c r="MCC224" s="1"/>
      <c r="MCD224" s="1"/>
      <c r="MCE224" s="1"/>
      <c r="MCF224" s="1"/>
      <c r="MCG224" s="1"/>
      <c r="MCH224" s="1"/>
      <c r="MCI224" s="1"/>
      <c r="MCJ224" s="1"/>
      <c r="MCK224" s="1"/>
      <c r="MCL224" s="1"/>
      <c r="MCM224" s="1"/>
      <c r="MCN224" s="1"/>
      <c r="MCO224" s="1"/>
      <c r="MCP224" s="1"/>
      <c r="MCQ224" s="1"/>
      <c r="MCR224" s="1"/>
      <c r="MCS224" s="1"/>
      <c r="MCT224" s="1"/>
      <c r="MCU224" s="1"/>
      <c r="MCV224" s="1"/>
      <c r="MCW224" s="1"/>
      <c r="MCX224" s="1"/>
      <c r="MCY224" s="1"/>
      <c r="MCZ224" s="1"/>
      <c r="MDA224" s="1"/>
      <c r="MDB224" s="1"/>
      <c r="MDC224" s="1"/>
      <c r="MDD224" s="1"/>
      <c r="MDE224" s="1"/>
      <c r="MDF224" s="1"/>
      <c r="MDG224" s="1"/>
      <c r="MDH224" s="1"/>
      <c r="MDI224" s="1"/>
      <c r="MDJ224" s="1"/>
      <c r="MDK224" s="1"/>
      <c r="MDL224" s="1"/>
      <c r="MDM224" s="1"/>
      <c r="MDN224" s="1"/>
      <c r="MDO224" s="1"/>
      <c r="MDP224" s="1"/>
      <c r="MDQ224" s="1"/>
      <c r="MDR224" s="1"/>
      <c r="MDS224" s="1"/>
      <c r="MDT224" s="1"/>
      <c r="MDU224" s="1"/>
      <c r="MDV224" s="1"/>
      <c r="MDW224" s="1"/>
      <c r="MDX224" s="1"/>
      <c r="MDY224" s="1"/>
      <c r="MDZ224" s="1"/>
      <c r="MEA224" s="1"/>
      <c r="MEB224" s="1"/>
      <c r="MEC224" s="1"/>
      <c r="MED224" s="1"/>
      <c r="MEE224" s="1"/>
      <c r="MEF224" s="1"/>
      <c r="MEG224" s="1"/>
      <c r="MEH224" s="1"/>
      <c r="MEI224" s="1"/>
      <c r="MEJ224" s="1"/>
      <c r="MEK224" s="1"/>
      <c r="MEL224" s="1"/>
      <c r="MEM224" s="1"/>
      <c r="MEN224" s="1"/>
      <c r="MEO224" s="1"/>
      <c r="MEP224" s="1"/>
      <c r="MEQ224" s="1"/>
      <c r="MER224" s="1"/>
      <c r="MES224" s="1"/>
      <c r="MET224" s="1"/>
      <c r="MEU224" s="1"/>
      <c r="MEV224" s="1"/>
      <c r="MEW224" s="1"/>
      <c r="MEX224" s="1"/>
      <c r="MEY224" s="1"/>
      <c r="MEZ224" s="1"/>
      <c r="MFA224" s="1"/>
      <c r="MFB224" s="1"/>
      <c r="MFC224" s="1"/>
      <c r="MFD224" s="1"/>
      <c r="MFE224" s="1"/>
      <c r="MFF224" s="1"/>
      <c r="MFG224" s="1"/>
      <c r="MFH224" s="1"/>
      <c r="MFI224" s="1"/>
      <c r="MFJ224" s="1"/>
      <c r="MFK224" s="1"/>
      <c r="MFL224" s="1"/>
      <c r="MFM224" s="1"/>
      <c r="MFN224" s="1"/>
      <c r="MFO224" s="1"/>
      <c r="MFP224" s="1"/>
      <c r="MFQ224" s="1"/>
      <c r="MFR224" s="1"/>
      <c r="MFS224" s="1"/>
      <c r="MFT224" s="1"/>
      <c r="MFU224" s="1"/>
      <c r="MFV224" s="1"/>
      <c r="MFW224" s="1"/>
      <c r="MFX224" s="1"/>
      <c r="MFY224" s="1"/>
      <c r="MFZ224" s="1"/>
      <c r="MGA224" s="1"/>
      <c r="MGB224" s="1"/>
      <c r="MGC224" s="1"/>
      <c r="MGD224" s="1"/>
      <c r="MGE224" s="1"/>
      <c r="MGF224" s="1"/>
      <c r="MGG224" s="1"/>
      <c r="MGH224" s="1"/>
      <c r="MGI224" s="1"/>
      <c r="MGJ224" s="1"/>
      <c r="MGK224" s="1"/>
      <c r="MGL224" s="1"/>
      <c r="MGM224" s="1"/>
      <c r="MGN224" s="1"/>
      <c r="MGO224" s="1"/>
      <c r="MGP224" s="1"/>
      <c r="MGQ224" s="1"/>
      <c r="MGR224" s="1"/>
      <c r="MGS224" s="1"/>
      <c r="MGT224" s="1"/>
      <c r="MGU224" s="1"/>
      <c r="MGV224" s="1"/>
      <c r="MGW224" s="1"/>
      <c r="MGX224" s="1"/>
      <c r="MGY224" s="1"/>
      <c r="MGZ224" s="1"/>
      <c r="MHA224" s="1"/>
      <c r="MHB224" s="1"/>
      <c r="MHC224" s="1"/>
      <c r="MHD224" s="1"/>
      <c r="MHE224" s="1"/>
      <c r="MHF224" s="1"/>
      <c r="MHG224" s="1"/>
      <c r="MHH224" s="1"/>
      <c r="MHI224" s="1"/>
      <c r="MHJ224" s="1"/>
      <c r="MHK224" s="1"/>
      <c r="MHL224" s="1"/>
      <c r="MHM224" s="1"/>
      <c r="MHN224" s="1"/>
      <c r="MHO224" s="1"/>
      <c r="MHP224" s="1"/>
      <c r="MHQ224" s="1"/>
      <c r="MHR224" s="1"/>
      <c r="MHS224" s="1"/>
      <c r="MHT224" s="1"/>
      <c r="MHU224" s="1"/>
      <c r="MHV224" s="1"/>
      <c r="MHW224" s="1"/>
      <c r="MHX224" s="1"/>
      <c r="MHY224" s="1"/>
      <c r="MHZ224" s="1"/>
      <c r="MIA224" s="1"/>
      <c r="MIB224" s="1"/>
      <c r="MIC224" s="1"/>
      <c r="MID224" s="1"/>
      <c r="MIE224" s="1"/>
      <c r="MIF224" s="1"/>
      <c r="MIG224" s="1"/>
      <c r="MIH224" s="1"/>
      <c r="MII224" s="1"/>
      <c r="MIJ224" s="1"/>
      <c r="MIK224" s="1"/>
      <c r="MIL224" s="1"/>
      <c r="MIM224" s="1"/>
      <c r="MIN224" s="1"/>
      <c r="MIO224" s="1"/>
      <c r="MIP224" s="1"/>
      <c r="MIQ224" s="1"/>
      <c r="MIR224" s="1"/>
      <c r="MIS224" s="1"/>
      <c r="MIT224" s="1"/>
      <c r="MIU224" s="1"/>
      <c r="MIV224" s="1"/>
      <c r="MIW224" s="1"/>
      <c r="MIX224" s="1"/>
      <c r="MIY224" s="1"/>
      <c r="MIZ224" s="1"/>
      <c r="MJA224" s="1"/>
      <c r="MJB224" s="1"/>
      <c r="MJC224" s="1"/>
      <c r="MJD224" s="1"/>
      <c r="MJE224" s="1"/>
      <c r="MJF224" s="1"/>
      <c r="MJG224" s="1"/>
      <c r="MJH224" s="1"/>
      <c r="MJI224" s="1"/>
      <c r="MJJ224" s="1"/>
      <c r="MJK224" s="1"/>
      <c r="MJL224" s="1"/>
      <c r="MJM224" s="1"/>
      <c r="MJN224" s="1"/>
      <c r="MJO224" s="1"/>
      <c r="MJP224" s="1"/>
      <c r="MJQ224" s="1"/>
      <c r="MJR224" s="1"/>
      <c r="MJS224" s="1"/>
      <c r="MJT224" s="1"/>
      <c r="MJU224" s="1"/>
      <c r="MJV224" s="1"/>
      <c r="MJW224" s="1"/>
      <c r="MJX224" s="1"/>
      <c r="MJY224" s="1"/>
      <c r="MJZ224" s="1"/>
      <c r="MKA224" s="1"/>
      <c r="MKB224" s="1"/>
      <c r="MKC224" s="1"/>
      <c r="MKD224" s="1"/>
      <c r="MKE224" s="1"/>
      <c r="MKF224" s="1"/>
      <c r="MKG224" s="1"/>
      <c r="MKH224" s="1"/>
      <c r="MKI224" s="1"/>
      <c r="MKJ224" s="1"/>
      <c r="MKK224" s="1"/>
      <c r="MKL224" s="1"/>
      <c r="MKM224" s="1"/>
      <c r="MKN224" s="1"/>
      <c r="MKO224" s="1"/>
      <c r="MKP224" s="1"/>
      <c r="MKQ224" s="1"/>
      <c r="MKR224" s="1"/>
      <c r="MKS224" s="1"/>
      <c r="MKT224" s="1"/>
      <c r="MKU224" s="1"/>
      <c r="MKV224" s="1"/>
      <c r="MKW224" s="1"/>
      <c r="MKX224" s="1"/>
      <c r="MKY224" s="1"/>
      <c r="MKZ224" s="1"/>
      <c r="MLA224" s="1"/>
      <c r="MLB224" s="1"/>
      <c r="MLC224" s="1"/>
      <c r="MLD224" s="1"/>
      <c r="MLE224" s="1"/>
      <c r="MLF224" s="1"/>
      <c r="MLG224" s="1"/>
      <c r="MLH224" s="1"/>
      <c r="MLI224" s="1"/>
      <c r="MLJ224" s="1"/>
      <c r="MLK224" s="1"/>
      <c r="MLL224" s="1"/>
      <c r="MLM224" s="1"/>
      <c r="MLN224" s="1"/>
      <c r="MLO224" s="1"/>
      <c r="MLP224" s="1"/>
      <c r="MLQ224" s="1"/>
      <c r="MLR224" s="1"/>
      <c r="MLS224" s="1"/>
      <c r="MLT224" s="1"/>
      <c r="MLU224" s="1"/>
      <c r="MLV224" s="1"/>
      <c r="MLW224" s="1"/>
      <c r="MLX224" s="1"/>
      <c r="MLY224" s="1"/>
      <c r="MLZ224" s="1"/>
      <c r="MMA224" s="1"/>
      <c r="MMB224" s="1"/>
      <c r="MMC224" s="1"/>
      <c r="MMD224" s="1"/>
      <c r="MME224" s="1"/>
      <c r="MMF224" s="1"/>
      <c r="MMG224" s="1"/>
      <c r="MMH224" s="1"/>
      <c r="MMI224" s="1"/>
      <c r="MMJ224" s="1"/>
      <c r="MMK224" s="1"/>
      <c r="MML224" s="1"/>
      <c r="MMM224" s="1"/>
      <c r="MMN224" s="1"/>
      <c r="MMO224" s="1"/>
      <c r="MMP224" s="1"/>
      <c r="MMQ224" s="1"/>
      <c r="MMR224" s="1"/>
      <c r="MMS224" s="1"/>
      <c r="MMT224" s="1"/>
      <c r="MMU224" s="1"/>
      <c r="MMV224" s="1"/>
      <c r="MMW224" s="1"/>
      <c r="MMX224" s="1"/>
      <c r="MMY224" s="1"/>
      <c r="MMZ224" s="1"/>
      <c r="MNA224" s="1"/>
      <c r="MNB224" s="1"/>
      <c r="MNC224" s="1"/>
      <c r="MND224" s="1"/>
      <c r="MNE224" s="1"/>
      <c r="MNF224" s="1"/>
      <c r="MNG224" s="1"/>
      <c r="MNH224" s="1"/>
      <c r="MNI224" s="1"/>
      <c r="MNJ224" s="1"/>
      <c r="MNK224" s="1"/>
      <c r="MNL224" s="1"/>
      <c r="MNM224" s="1"/>
      <c r="MNN224" s="1"/>
      <c r="MNO224" s="1"/>
      <c r="MNP224" s="1"/>
      <c r="MNQ224" s="1"/>
      <c r="MNR224" s="1"/>
      <c r="MNS224" s="1"/>
      <c r="MNT224" s="1"/>
      <c r="MNU224" s="1"/>
      <c r="MNV224" s="1"/>
      <c r="MNW224" s="1"/>
      <c r="MNX224" s="1"/>
      <c r="MNY224" s="1"/>
      <c r="MNZ224" s="1"/>
      <c r="MOA224" s="1"/>
      <c r="MOB224" s="1"/>
      <c r="MOC224" s="1"/>
      <c r="MOD224" s="1"/>
      <c r="MOE224" s="1"/>
      <c r="MOF224" s="1"/>
      <c r="MOG224" s="1"/>
      <c r="MOH224" s="1"/>
      <c r="MOI224" s="1"/>
      <c r="MOJ224" s="1"/>
      <c r="MOK224" s="1"/>
      <c r="MOL224" s="1"/>
      <c r="MOM224" s="1"/>
      <c r="MON224" s="1"/>
      <c r="MOO224" s="1"/>
      <c r="MOP224" s="1"/>
      <c r="MOQ224" s="1"/>
      <c r="MOR224" s="1"/>
      <c r="MOS224" s="1"/>
      <c r="MOT224" s="1"/>
      <c r="MOU224" s="1"/>
      <c r="MOV224" s="1"/>
      <c r="MOW224" s="1"/>
      <c r="MOX224" s="1"/>
      <c r="MOY224" s="1"/>
      <c r="MOZ224" s="1"/>
      <c r="MPA224" s="1"/>
      <c r="MPB224" s="1"/>
      <c r="MPC224" s="1"/>
      <c r="MPD224" s="1"/>
      <c r="MPE224" s="1"/>
      <c r="MPF224" s="1"/>
      <c r="MPG224" s="1"/>
      <c r="MPH224" s="1"/>
      <c r="MPI224" s="1"/>
      <c r="MPJ224" s="1"/>
      <c r="MPK224" s="1"/>
      <c r="MPL224" s="1"/>
      <c r="MPM224" s="1"/>
      <c r="MPN224" s="1"/>
      <c r="MPO224" s="1"/>
      <c r="MPP224" s="1"/>
      <c r="MPQ224" s="1"/>
      <c r="MPR224" s="1"/>
      <c r="MPS224" s="1"/>
      <c r="MPT224" s="1"/>
      <c r="MPU224" s="1"/>
      <c r="MPV224" s="1"/>
      <c r="MPW224" s="1"/>
      <c r="MPX224" s="1"/>
      <c r="MPY224" s="1"/>
      <c r="MPZ224" s="1"/>
      <c r="MQA224" s="1"/>
      <c r="MQB224" s="1"/>
      <c r="MQC224" s="1"/>
      <c r="MQD224" s="1"/>
      <c r="MQE224" s="1"/>
      <c r="MQF224" s="1"/>
      <c r="MQG224" s="1"/>
      <c r="MQH224" s="1"/>
      <c r="MQI224" s="1"/>
      <c r="MQJ224" s="1"/>
      <c r="MQK224" s="1"/>
      <c r="MQL224" s="1"/>
      <c r="MQM224" s="1"/>
      <c r="MQN224" s="1"/>
      <c r="MQO224" s="1"/>
      <c r="MQP224" s="1"/>
      <c r="MQQ224" s="1"/>
      <c r="MQR224" s="1"/>
      <c r="MQS224" s="1"/>
      <c r="MQT224" s="1"/>
      <c r="MQU224" s="1"/>
      <c r="MQV224" s="1"/>
      <c r="MQW224" s="1"/>
      <c r="MQX224" s="1"/>
      <c r="MQY224" s="1"/>
      <c r="MQZ224" s="1"/>
      <c r="MRA224" s="1"/>
      <c r="MRB224" s="1"/>
      <c r="MRC224" s="1"/>
      <c r="MRD224" s="1"/>
      <c r="MRE224" s="1"/>
      <c r="MRF224" s="1"/>
      <c r="MRG224" s="1"/>
      <c r="MRH224" s="1"/>
      <c r="MRI224" s="1"/>
      <c r="MRJ224" s="1"/>
      <c r="MRK224" s="1"/>
      <c r="MRL224" s="1"/>
      <c r="MRM224" s="1"/>
      <c r="MRN224" s="1"/>
      <c r="MRO224" s="1"/>
      <c r="MRP224" s="1"/>
      <c r="MRQ224" s="1"/>
      <c r="MRR224" s="1"/>
      <c r="MRS224" s="1"/>
      <c r="MRT224" s="1"/>
      <c r="MRU224" s="1"/>
      <c r="MRV224" s="1"/>
      <c r="MRW224" s="1"/>
      <c r="MRX224" s="1"/>
      <c r="MRY224" s="1"/>
      <c r="MRZ224" s="1"/>
      <c r="MSA224" s="1"/>
      <c r="MSB224" s="1"/>
      <c r="MSC224" s="1"/>
      <c r="MSD224" s="1"/>
      <c r="MSE224" s="1"/>
      <c r="MSF224" s="1"/>
      <c r="MSG224" s="1"/>
      <c r="MSH224" s="1"/>
      <c r="MSI224" s="1"/>
      <c r="MSJ224" s="1"/>
      <c r="MSK224" s="1"/>
      <c r="MSL224" s="1"/>
      <c r="MSM224" s="1"/>
      <c r="MSN224" s="1"/>
      <c r="MSO224" s="1"/>
      <c r="MSP224" s="1"/>
      <c r="MSQ224" s="1"/>
      <c r="MSR224" s="1"/>
      <c r="MSS224" s="1"/>
      <c r="MST224" s="1"/>
      <c r="MSU224" s="1"/>
      <c r="MSV224" s="1"/>
      <c r="MSW224" s="1"/>
      <c r="MSX224" s="1"/>
      <c r="MSY224" s="1"/>
      <c r="MSZ224" s="1"/>
      <c r="MTA224" s="1"/>
      <c r="MTB224" s="1"/>
      <c r="MTC224" s="1"/>
      <c r="MTD224" s="1"/>
      <c r="MTE224" s="1"/>
      <c r="MTF224" s="1"/>
      <c r="MTG224" s="1"/>
      <c r="MTH224" s="1"/>
      <c r="MTI224" s="1"/>
      <c r="MTJ224" s="1"/>
      <c r="MTK224" s="1"/>
      <c r="MTL224" s="1"/>
      <c r="MTM224" s="1"/>
      <c r="MTN224" s="1"/>
      <c r="MTO224" s="1"/>
      <c r="MTP224" s="1"/>
      <c r="MTQ224" s="1"/>
      <c r="MTR224" s="1"/>
      <c r="MTS224" s="1"/>
      <c r="MTT224" s="1"/>
      <c r="MTU224" s="1"/>
      <c r="MTV224" s="1"/>
      <c r="MTW224" s="1"/>
      <c r="MTX224" s="1"/>
      <c r="MTY224" s="1"/>
      <c r="MTZ224" s="1"/>
      <c r="MUA224" s="1"/>
      <c r="MUB224" s="1"/>
      <c r="MUC224" s="1"/>
      <c r="MUD224" s="1"/>
      <c r="MUE224" s="1"/>
      <c r="MUF224" s="1"/>
      <c r="MUG224" s="1"/>
      <c r="MUH224" s="1"/>
      <c r="MUI224" s="1"/>
      <c r="MUJ224" s="1"/>
      <c r="MUK224" s="1"/>
      <c r="MUL224" s="1"/>
      <c r="MUM224" s="1"/>
      <c r="MUN224" s="1"/>
      <c r="MUO224" s="1"/>
      <c r="MUP224" s="1"/>
      <c r="MUQ224" s="1"/>
      <c r="MUR224" s="1"/>
      <c r="MUS224" s="1"/>
      <c r="MUT224" s="1"/>
      <c r="MUU224" s="1"/>
      <c r="MUV224" s="1"/>
      <c r="MUW224" s="1"/>
      <c r="MUX224" s="1"/>
      <c r="MUY224" s="1"/>
      <c r="MUZ224" s="1"/>
      <c r="MVA224" s="1"/>
      <c r="MVB224" s="1"/>
      <c r="MVC224" s="1"/>
      <c r="MVD224" s="1"/>
      <c r="MVE224" s="1"/>
      <c r="MVF224" s="1"/>
      <c r="MVG224" s="1"/>
      <c r="MVH224" s="1"/>
      <c r="MVI224" s="1"/>
      <c r="MVJ224" s="1"/>
      <c r="MVK224" s="1"/>
      <c r="MVL224" s="1"/>
      <c r="MVM224" s="1"/>
      <c r="MVN224" s="1"/>
      <c r="MVO224" s="1"/>
      <c r="MVP224" s="1"/>
      <c r="MVQ224" s="1"/>
      <c r="MVR224" s="1"/>
      <c r="MVS224" s="1"/>
      <c r="MVT224" s="1"/>
      <c r="MVU224" s="1"/>
      <c r="MVV224" s="1"/>
      <c r="MVW224" s="1"/>
      <c r="MVX224" s="1"/>
      <c r="MVY224" s="1"/>
      <c r="MVZ224" s="1"/>
      <c r="MWA224" s="1"/>
      <c r="MWB224" s="1"/>
      <c r="MWC224" s="1"/>
      <c r="MWD224" s="1"/>
      <c r="MWE224" s="1"/>
      <c r="MWF224" s="1"/>
      <c r="MWG224" s="1"/>
      <c r="MWH224" s="1"/>
      <c r="MWI224" s="1"/>
      <c r="MWJ224" s="1"/>
      <c r="MWK224" s="1"/>
      <c r="MWL224" s="1"/>
      <c r="MWM224" s="1"/>
      <c r="MWN224" s="1"/>
      <c r="MWO224" s="1"/>
      <c r="MWP224" s="1"/>
      <c r="MWQ224" s="1"/>
      <c r="MWR224" s="1"/>
      <c r="MWS224" s="1"/>
      <c r="MWT224" s="1"/>
      <c r="MWU224" s="1"/>
      <c r="MWV224" s="1"/>
      <c r="MWW224" s="1"/>
      <c r="MWX224" s="1"/>
      <c r="MWY224" s="1"/>
      <c r="MWZ224" s="1"/>
      <c r="MXA224" s="1"/>
      <c r="MXB224" s="1"/>
      <c r="MXC224" s="1"/>
      <c r="MXD224" s="1"/>
      <c r="MXE224" s="1"/>
      <c r="MXF224" s="1"/>
      <c r="MXG224" s="1"/>
      <c r="MXH224" s="1"/>
      <c r="MXI224" s="1"/>
      <c r="MXJ224" s="1"/>
      <c r="MXK224" s="1"/>
      <c r="MXL224" s="1"/>
      <c r="MXM224" s="1"/>
      <c r="MXN224" s="1"/>
      <c r="MXO224" s="1"/>
      <c r="MXP224" s="1"/>
      <c r="MXQ224" s="1"/>
      <c r="MXR224" s="1"/>
      <c r="MXS224" s="1"/>
      <c r="MXT224" s="1"/>
      <c r="MXU224" s="1"/>
      <c r="MXV224" s="1"/>
      <c r="MXW224" s="1"/>
      <c r="MXX224" s="1"/>
      <c r="MXY224" s="1"/>
      <c r="MXZ224" s="1"/>
      <c r="MYA224" s="1"/>
      <c r="MYB224" s="1"/>
      <c r="MYC224" s="1"/>
      <c r="MYD224" s="1"/>
      <c r="MYE224" s="1"/>
      <c r="MYF224" s="1"/>
      <c r="MYG224" s="1"/>
      <c r="MYH224" s="1"/>
      <c r="MYI224" s="1"/>
      <c r="MYJ224" s="1"/>
      <c r="MYK224" s="1"/>
      <c r="MYL224" s="1"/>
      <c r="MYM224" s="1"/>
      <c r="MYN224" s="1"/>
      <c r="MYO224" s="1"/>
      <c r="MYP224" s="1"/>
      <c r="MYQ224" s="1"/>
      <c r="MYR224" s="1"/>
      <c r="MYS224" s="1"/>
      <c r="MYT224" s="1"/>
      <c r="MYU224" s="1"/>
      <c r="MYV224" s="1"/>
      <c r="MYW224" s="1"/>
      <c r="MYX224" s="1"/>
      <c r="MYY224" s="1"/>
      <c r="MYZ224" s="1"/>
      <c r="MZA224" s="1"/>
      <c r="MZB224" s="1"/>
      <c r="MZC224" s="1"/>
      <c r="MZD224" s="1"/>
      <c r="MZE224" s="1"/>
      <c r="MZF224" s="1"/>
      <c r="MZG224" s="1"/>
      <c r="MZH224" s="1"/>
      <c r="MZI224" s="1"/>
      <c r="MZJ224" s="1"/>
      <c r="MZK224" s="1"/>
      <c r="MZL224" s="1"/>
      <c r="MZM224" s="1"/>
      <c r="MZN224" s="1"/>
      <c r="MZO224" s="1"/>
      <c r="MZP224" s="1"/>
      <c r="MZQ224" s="1"/>
      <c r="MZR224" s="1"/>
      <c r="MZS224" s="1"/>
      <c r="MZT224" s="1"/>
      <c r="MZU224" s="1"/>
      <c r="MZV224" s="1"/>
      <c r="MZW224" s="1"/>
      <c r="MZX224" s="1"/>
      <c r="MZY224" s="1"/>
      <c r="MZZ224" s="1"/>
      <c r="NAA224" s="1"/>
      <c r="NAB224" s="1"/>
      <c r="NAC224" s="1"/>
      <c r="NAD224" s="1"/>
      <c r="NAE224" s="1"/>
      <c r="NAF224" s="1"/>
      <c r="NAG224" s="1"/>
      <c r="NAH224" s="1"/>
      <c r="NAI224" s="1"/>
      <c r="NAJ224" s="1"/>
      <c r="NAK224" s="1"/>
      <c r="NAL224" s="1"/>
      <c r="NAM224" s="1"/>
      <c r="NAN224" s="1"/>
      <c r="NAO224" s="1"/>
      <c r="NAP224" s="1"/>
      <c r="NAQ224" s="1"/>
      <c r="NAR224" s="1"/>
      <c r="NAS224" s="1"/>
      <c r="NAT224" s="1"/>
      <c r="NAU224" s="1"/>
      <c r="NAV224" s="1"/>
      <c r="NAW224" s="1"/>
      <c r="NAX224" s="1"/>
      <c r="NAY224" s="1"/>
      <c r="NAZ224" s="1"/>
      <c r="NBA224" s="1"/>
      <c r="NBB224" s="1"/>
      <c r="NBC224" s="1"/>
      <c r="NBD224" s="1"/>
      <c r="NBE224" s="1"/>
      <c r="NBF224" s="1"/>
      <c r="NBG224" s="1"/>
      <c r="NBH224" s="1"/>
      <c r="NBI224" s="1"/>
      <c r="NBJ224" s="1"/>
      <c r="NBK224" s="1"/>
      <c r="NBL224" s="1"/>
      <c r="NBM224" s="1"/>
      <c r="NBN224" s="1"/>
      <c r="NBO224" s="1"/>
      <c r="NBP224" s="1"/>
      <c r="NBQ224" s="1"/>
      <c r="NBR224" s="1"/>
      <c r="NBS224" s="1"/>
      <c r="NBT224" s="1"/>
      <c r="NBU224" s="1"/>
      <c r="NBV224" s="1"/>
      <c r="NBW224" s="1"/>
      <c r="NBX224" s="1"/>
      <c r="NBY224" s="1"/>
      <c r="NBZ224" s="1"/>
      <c r="NCA224" s="1"/>
      <c r="NCB224" s="1"/>
      <c r="NCC224" s="1"/>
      <c r="NCD224" s="1"/>
      <c r="NCE224" s="1"/>
      <c r="NCF224" s="1"/>
      <c r="NCG224" s="1"/>
      <c r="NCH224" s="1"/>
      <c r="NCI224" s="1"/>
      <c r="NCJ224" s="1"/>
      <c r="NCK224" s="1"/>
      <c r="NCL224" s="1"/>
      <c r="NCM224" s="1"/>
      <c r="NCN224" s="1"/>
      <c r="NCO224" s="1"/>
      <c r="NCP224" s="1"/>
      <c r="NCQ224" s="1"/>
      <c r="NCR224" s="1"/>
      <c r="NCS224" s="1"/>
      <c r="NCT224" s="1"/>
      <c r="NCU224" s="1"/>
      <c r="NCV224" s="1"/>
      <c r="NCW224" s="1"/>
      <c r="NCX224" s="1"/>
      <c r="NCY224" s="1"/>
      <c r="NCZ224" s="1"/>
      <c r="NDA224" s="1"/>
      <c r="NDB224" s="1"/>
      <c r="NDC224" s="1"/>
      <c r="NDD224" s="1"/>
      <c r="NDE224" s="1"/>
      <c r="NDF224" s="1"/>
      <c r="NDG224" s="1"/>
      <c r="NDH224" s="1"/>
      <c r="NDI224" s="1"/>
      <c r="NDJ224" s="1"/>
      <c r="NDK224" s="1"/>
      <c r="NDL224" s="1"/>
      <c r="NDM224" s="1"/>
      <c r="NDN224" s="1"/>
      <c r="NDO224" s="1"/>
      <c r="NDP224" s="1"/>
      <c r="NDQ224" s="1"/>
      <c r="NDR224" s="1"/>
      <c r="NDS224" s="1"/>
      <c r="NDT224" s="1"/>
      <c r="NDU224" s="1"/>
      <c r="NDV224" s="1"/>
      <c r="NDW224" s="1"/>
      <c r="NDX224" s="1"/>
      <c r="NDY224" s="1"/>
      <c r="NDZ224" s="1"/>
      <c r="NEA224" s="1"/>
      <c r="NEB224" s="1"/>
      <c r="NEC224" s="1"/>
      <c r="NED224" s="1"/>
      <c r="NEE224" s="1"/>
      <c r="NEF224" s="1"/>
      <c r="NEG224" s="1"/>
      <c r="NEH224" s="1"/>
      <c r="NEI224" s="1"/>
      <c r="NEJ224" s="1"/>
      <c r="NEK224" s="1"/>
      <c r="NEL224" s="1"/>
      <c r="NEM224" s="1"/>
      <c r="NEN224" s="1"/>
      <c r="NEO224" s="1"/>
      <c r="NEP224" s="1"/>
      <c r="NEQ224" s="1"/>
      <c r="NER224" s="1"/>
      <c r="NES224" s="1"/>
      <c r="NET224" s="1"/>
      <c r="NEU224" s="1"/>
      <c r="NEV224" s="1"/>
      <c r="NEW224" s="1"/>
      <c r="NEX224" s="1"/>
      <c r="NEY224" s="1"/>
      <c r="NEZ224" s="1"/>
      <c r="NFA224" s="1"/>
      <c r="NFB224" s="1"/>
      <c r="NFC224" s="1"/>
      <c r="NFD224" s="1"/>
      <c r="NFE224" s="1"/>
      <c r="NFF224" s="1"/>
      <c r="NFG224" s="1"/>
      <c r="NFH224" s="1"/>
      <c r="NFI224" s="1"/>
      <c r="NFJ224" s="1"/>
      <c r="NFK224" s="1"/>
      <c r="NFL224" s="1"/>
      <c r="NFM224" s="1"/>
      <c r="NFN224" s="1"/>
      <c r="NFO224" s="1"/>
      <c r="NFP224" s="1"/>
      <c r="NFQ224" s="1"/>
      <c r="NFR224" s="1"/>
      <c r="NFS224" s="1"/>
      <c r="NFT224" s="1"/>
      <c r="NFU224" s="1"/>
      <c r="NFV224" s="1"/>
      <c r="NFW224" s="1"/>
      <c r="NFX224" s="1"/>
      <c r="NFY224" s="1"/>
      <c r="NFZ224" s="1"/>
      <c r="NGA224" s="1"/>
      <c r="NGB224" s="1"/>
      <c r="NGC224" s="1"/>
      <c r="NGD224" s="1"/>
      <c r="NGE224" s="1"/>
      <c r="NGF224" s="1"/>
      <c r="NGG224" s="1"/>
      <c r="NGH224" s="1"/>
      <c r="NGI224" s="1"/>
      <c r="NGJ224" s="1"/>
      <c r="NGK224" s="1"/>
      <c r="NGL224" s="1"/>
      <c r="NGM224" s="1"/>
      <c r="NGN224" s="1"/>
      <c r="NGO224" s="1"/>
      <c r="NGP224" s="1"/>
      <c r="NGQ224" s="1"/>
      <c r="NGR224" s="1"/>
      <c r="NGS224" s="1"/>
      <c r="NGT224" s="1"/>
      <c r="NGU224" s="1"/>
      <c r="NGV224" s="1"/>
      <c r="NGW224" s="1"/>
      <c r="NGX224" s="1"/>
      <c r="NGY224" s="1"/>
      <c r="NGZ224" s="1"/>
      <c r="NHA224" s="1"/>
      <c r="NHB224" s="1"/>
      <c r="NHC224" s="1"/>
      <c r="NHD224" s="1"/>
      <c r="NHE224" s="1"/>
      <c r="NHF224" s="1"/>
      <c r="NHG224" s="1"/>
      <c r="NHH224" s="1"/>
      <c r="NHI224" s="1"/>
      <c r="NHJ224" s="1"/>
      <c r="NHK224" s="1"/>
      <c r="NHL224" s="1"/>
      <c r="NHM224" s="1"/>
      <c r="NHN224" s="1"/>
      <c r="NHO224" s="1"/>
      <c r="NHP224" s="1"/>
      <c r="NHQ224" s="1"/>
      <c r="NHR224" s="1"/>
      <c r="NHS224" s="1"/>
      <c r="NHT224" s="1"/>
      <c r="NHU224" s="1"/>
      <c r="NHV224" s="1"/>
      <c r="NHW224" s="1"/>
      <c r="NHX224" s="1"/>
      <c r="NHY224" s="1"/>
      <c r="NHZ224" s="1"/>
      <c r="NIA224" s="1"/>
      <c r="NIB224" s="1"/>
      <c r="NIC224" s="1"/>
      <c r="NID224" s="1"/>
      <c r="NIE224" s="1"/>
      <c r="NIF224" s="1"/>
      <c r="NIG224" s="1"/>
      <c r="NIH224" s="1"/>
      <c r="NII224" s="1"/>
      <c r="NIJ224" s="1"/>
      <c r="NIK224" s="1"/>
      <c r="NIL224" s="1"/>
      <c r="NIM224" s="1"/>
      <c r="NIN224" s="1"/>
      <c r="NIO224" s="1"/>
      <c r="NIP224" s="1"/>
      <c r="NIQ224" s="1"/>
      <c r="NIR224" s="1"/>
      <c r="NIS224" s="1"/>
      <c r="NIT224" s="1"/>
      <c r="NIU224" s="1"/>
      <c r="NIV224" s="1"/>
      <c r="NIW224" s="1"/>
      <c r="NIX224" s="1"/>
      <c r="NIY224" s="1"/>
      <c r="NIZ224" s="1"/>
      <c r="NJA224" s="1"/>
      <c r="NJB224" s="1"/>
      <c r="NJC224" s="1"/>
      <c r="NJD224" s="1"/>
      <c r="NJE224" s="1"/>
      <c r="NJF224" s="1"/>
      <c r="NJG224" s="1"/>
      <c r="NJH224" s="1"/>
      <c r="NJI224" s="1"/>
      <c r="NJJ224" s="1"/>
      <c r="NJK224" s="1"/>
      <c r="NJL224" s="1"/>
      <c r="NJM224" s="1"/>
      <c r="NJN224" s="1"/>
      <c r="NJO224" s="1"/>
      <c r="NJP224" s="1"/>
      <c r="NJQ224" s="1"/>
      <c r="NJR224" s="1"/>
      <c r="NJS224" s="1"/>
      <c r="NJT224" s="1"/>
      <c r="NJU224" s="1"/>
      <c r="NJV224" s="1"/>
      <c r="NJW224" s="1"/>
      <c r="NJX224" s="1"/>
      <c r="NJY224" s="1"/>
      <c r="NJZ224" s="1"/>
      <c r="NKA224" s="1"/>
      <c r="NKB224" s="1"/>
      <c r="NKC224" s="1"/>
      <c r="NKD224" s="1"/>
      <c r="NKE224" s="1"/>
      <c r="NKF224" s="1"/>
      <c r="NKG224" s="1"/>
      <c r="NKH224" s="1"/>
      <c r="NKI224" s="1"/>
      <c r="NKJ224" s="1"/>
      <c r="NKK224" s="1"/>
      <c r="NKL224" s="1"/>
      <c r="NKM224" s="1"/>
      <c r="NKN224" s="1"/>
      <c r="NKO224" s="1"/>
      <c r="NKP224" s="1"/>
      <c r="NKQ224" s="1"/>
      <c r="NKR224" s="1"/>
      <c r="NKS224" s="1"/>
      <c r="NKT224" s="1"/>
      <c r="NKU224" s="1"/>
      <c r="NKV224" s="1"/>
      <c r="NKW224" s="1"/>
      <c r="NKX224" s="1"/>
      <c r="NKY224" s="1"/>
      <c r="NKZ224" s="1"/>
      <c r="NLA224" s="1"/>
      <c r="NLB224" s="1"/>
      <c r="NLC224" s="1"/>
      <c r="NLD224" s="1"/>
      <c r="NLE224" s="1"/>
      <c r="NLF224" s="1"/>
      <c r="NLG224" s="1"/>
      <c r="NLH224" s="1"/>
      <c r="NLI224" s="1"/>
      <c r="NLJ224" s="1"/>
      <c r="NLK224" s="1"/>
      <c r="NLL224" s="1"/>
      <c r="NLM224" s="1"/>
      <c r="NLN224" s="1"/>
      <c r="NLO224" s="1"/>
      <c r="NLP224" s="1"/>
      <c r="NLQ224" s="1"/>
      <c r="NLR224" s="1"/>
      <c r="NLS224" s="1"/>
      <c r="NLT224" s="1"/>
      <c r="NLU224" s="1"/>
      <c r="NLV224" s="1"/>
      <c r="NLW224" s="1"/>
      <c r="NLX224" s="1"/>
      <c r="NLY224" s="1"/>
      <c r="NLZ224" s="1"/>
      <c r="NMA224" s="1"/>
      <c r="NMB224" s="1"/>
      <c r="NMC224" s="1"/>
      <c r="NMD224" s="1"/>
      <c r="NME224" s="1"/>
      <c r="NMF224" s="1"/>
      <c r="NMG224" s="1"/>
      <c r="NMH224" s="1"/>
      <c r="NMI224" s="1"/>
      <c r="NMJ224" s="1"/>
      <c r="NMK224" s="1"/>
      <c r="NML224" s="1"/>
      <c r="NMM224" s="1"/>
      <c r="NMN224" s="1"/>
      <c r="NMO224" s="1"/>
      <c r="NMP224" s="1"/>
      <c r="NMQ224" s="1"/>
      <c r="NMR224" s="1"/>
      <c r="NMS224" s="1"/>
      <c r="NMT224" s="1"/>
      <c r="NMU224" s="1"/>
      <c r="NMV224" s="1"/>
      <c r="NMW224" s="1"/>
      <c r="NMX224" s="1"/>
      <c r="NMY224" s="1"/>
      <c r="NMZ224" s="1"/>
      <c r="NNA224" s="1"/>
      <c r="NNB224" s="1"/>
      <c r="NNC224" s="1"/>
      <c r="NND224" s="1"/>
      <c r="NNE224" s="1"/>
      <c r="NNF224" s="1"/>
      <c r="NNG224" s="1"/>
      <c r="NNH224" s="1"/>
      <c r="NNI224" s="1"/>
      <c r="NNJ224" s="1"/>
      <c r="NNK224" s="1"/>
      <c r="NNL224" s="1"/>
      <c r="NNM224" s="1"/>
      <c r="NNN224" s="1"/>
      <c r="NNO224" s="1"/>
      <c r="NNP224" s="1"/>
      <c r="NNQ224" s="1"/>
      <c r="NNR224" s="1"/>
      <c r="NNS224" s="1"/>
      <c r="NNT224" s="1"/>
      <c r="NNU224" s="1"/>
      <c r="NNV224" s="1"/>
      <c r="NNW224" s="1"/>
      <c r="NNX224" s="1"/>
      <c r="NNY224" s="1"/>
      <c r="NNZ224" s="1"/>
      <c r="NOA224" s="1"/>
      <c r="NOB224" s="1"/>
      <c r="NOC224" s="1"/>
      <c r="NOD224" s="1"/>
      <c r="NOE224" s="1"/>
      <c r="NOF224" s="1"/>
      <c r="NOG224" s="1"/>
      <c r="NOH224" s="1"/>
      <c r="NOI224" s="1"/>
      <c r="NOJ224" s="1"/>
      <c r="NOK224" s="1"/>
      <c r="NOL224" s="1"/>
      <c r="NOM224" s="1"/>
      <c r="NON224" s="1"/>
      <c r="NOO224" s="1"/>
      <c r="NOP224" s="1"/>
      <c r="NOQ224" s="1"/>
      <c r="NOR224" s="1"/>
      <c r="NOS224" s="1"/>
      <c r="NOT224" s="1"/>
      <c r="NOU224" s="1"/>
      <c r="NOV224" s="1"/>
      <c r="NOW224" s="1"/>
      <c r="NOX224" s="1"/>
      <c r="NOY224" s="1"/>
      <c r="NOZ224" s="1"/>
      <c r="NPA224" s="1"/>
      <c r="NPB224" s="1"/>
      <c r="NPC224" s="1"/>
      <c r="NPD224" s="1"/>
      <c r="NPE224" s="1"/>
      <c r="NPF224" s="1"/>
      <c r="NPG224" s="1"/>
      <c r="NPH224" s="1"/>
      <c r="NPI224" s="1"/>
      <c r="NPJ224" s="1"/>
      <c r="NPK224" s="1"/>
      <c r="NPL224" s="1"/>
      <c r="NPM224" s="1"/>
      <c r="NPN224" s="1"/>
      <c r="NPO224" s="1"/>
      <c r="NPP224" s="1"/>
      <c r="NPQ224" s="1"/>
      <c r="NPR224" s="1"/>
      <c r="NPS224" s="1"/>
      <c r="NPT224" s="1"/>
      <c r="NPU224" s="1"/>
      <c r="NPV224" s="1"/>
      <c r="NPW224" s="1"/>
      <c r="NPX224" s="1"/>
      <c r="NPY224" s="1"/>
      <c r="NPZ224" s="1"/>
      <c r="NQA224" s="1"/>
      <c r="NQB224" s="1"/>
      <c r="NQC224" s="1"/>
      <c r="NQD224" s="1"/>
      <c r="NQE224" s="1"/>
      <c r="NQF224" s="1"/>
      <c r="NQG224" s="1"/>
      <c r="NQH224" s="1"/>
      <c r="NQI224" s="1"/>
      <c r="NQJ224" s="1"/>
      <c r="NQK224" s="1"/>
      <c r="NQL224" s="1"/>
      <c r="NQM224" s="1"/>
      <c r="NQN224" s="1"/>
      <c r="NQO224" s="1"/>
      <c r="NQP224" s="1"/>
      <c r="NQQ224" s="1"/>
      <c r="NQR224" s="1"/>
      <c r="NQS224" s="1"/>
      <c r="NQT224" s="1"/>
      <c r="NQU224" s="1"/>
      <c r="NQV224" s="1"/>
      <c r="NQW224" s="1"/>
      <c r="NQX224" s="1"/>
      <c r="NQY224" s="1"/>
      <c r="NQZ224" s="1"/>
      <c r="NRA224" s="1"/>
      <c r="NRB224" s="1"/>
      <c r="NRC224" s="1"/>
      <c r="NRD224" s="1"/>
      <c r="NRE224" s="1"/>
      <c r="NRF224" s="1"/>
      <c r="NRG224" s="1"/>
      <c r="NRH224" s="1"/>
      <c r="NRI224" s="1"/>
      <c r="NRJ224" s="1"/>
      <c r="NRK224" s="1"/>
      <c r="NRL224" s="1"/>
      <c r="NRM224" s="1"/>
      <c r="NRN224" s="1"/>
      <c r="NRO224" s="1"/>
      <c r="NRP224" s="1"/>
      <c r="NRQ224" s="1"/>
      <c r="NRR224" s="1"/>
      <c r="NRS224" s="1"/>
      <c r="NRT224" s="1"/>
      <c r="NRU224" s="1"/>
      <c r="NRV224" s="1"/>
      <c r="NRW224" s="1"/>
      <c r="NRX224" s="1"/>
      <c r="NRY224" s="1"/>
      <c r="NRZ224" s="1"/>
      <c r="NSA224" s="1"/>
      <c r="NSB224" s="1"/>
      <c r="NSC224" s="1"/>
      <c r="NSD224" s="1"/>
      <c r="NSE224" s="1"/>
      <c r="NSF224" s="1"/>
      <c r="NSG224" s="1"/>
      <c r="NSH224" s="1"/>
      <c r="NSI224" s="1"/>
      <c r="NSJ224" s="1"/>
      <c r="NSK224" s="1"/>
      <c r="NSL224" s="1"/>
      <c r="NSM224" s="1"/>
      <c r="NSN224" s="1"/>
      <c r="NSO224" s="1"/>
      <c r="NSP224" s="1"/>
      <c r="NSQ224" s="1"/>
      <c r="NSR224" s="1"/>
      <c r="NSS224" s="1"/>
      <c r="NST224" s="1"/>
      <c r="NSU224" s="1"/>
      <c r="NSV224" s="1"/>
      <c r="NSW224" s="1"/>
      <c r="NSX224" s="1"/>
      <c r="NSY224" s="1"/>
      <c r="NSZ224" s="1"/>
      <c r="NTA224" s="1"/>
      <c r="NTB224" s="1"/>
      <c r="NTC224" s="1"/>
      <c r="NTD224" s="1"/>
      <c r="NTE224" s="1"/>
      <c r="NTF224" s="1"/>
      <c r="NTG224" s="1"/>
      <c r="NTH224" s="1"/>
      <c r="NTI224" s="1"/>
      <c r="NTJ224" s="1"/>
      <c r="NTK224" s="1"/>
      <c r="NTL224" s="1"/>
      <c r="NTM224" s="1"/>
      <c r="NTN224" s="1"/>
      <c r="NTO224" s="1"/>
      <c r="NTP224" s="1"/>
      <c r="NTQ224" s="1"/>
      <c r="NTR224" s="1"/>
      <c r="NTS224" s="1"/>
      <c r="NTT224" s="1"/>
      <c r="NTU224" s="1"/>
      <c r="NTV224" s="1"/>
      <c r="NTW224" s="1"/>
      <c r="NTX224" s="1"/>
      <c r="NTY224" s="1"/>
      <c r="NTZ224" s="1"/>
      <c r="NUA224" s="1"/>
      <c r="NUB224" s="1"/>
      <c r="NUC224" s="1"/>
      <c r="NUD224" s="1"/>
      <c r="NUE224" s="1"/>
      <c r="NUF224" s="1"/>
      <c r="NUG224" s="1"/>
      <c r="NUH224" s="1"/>
      <c r="NUI224" s="1"/>
      <c r="NUJ224" s="1"/>
      <c r="NUK224" s="1"/>
      <c r="NUL224" s="1"/>
      <c r="NUM224" s="1"/>
      <c r="NUN224" s="1"/>
      <c r="NUO224" s="1"/>
      <c r="NUP224" s="1"/>
      <c r="NUQ224" s="1"/>
      <c r="NUR224" s="1"/>
      <c r="NUS224" s="1"/>
      <c r="NUT224" s="1"/>
      <c r="NUU224" s="1"/>
      <c r="NUV224" s="1"/>
      <c r="NUW224" s="1"/>
      <c r="NUX224" s="1"/>
      <c r="NUY224" s="1"/>
      <c r="NUZ224" s="1"/>
      <c r="NVA224" s="1"/>
      <c r="NVB224" s="1"/>
      <c r="NVC224" s="1"/>
      <c r="NVD224" s="1"/>
      <c r="NVE224" s="1"/>
      <c r="NVF224" s="1"/>
      <c r="NVG224" s="1"/>
      <c r="NVH224" s="1"/>
      <c r="NVI224" s="1"/>
      <c r="NVJ224" s="1"/>
      <c r="NVK224" s="1"/>
      <c r="NVL224" s="1"/>
      <c r="NVM224" s="1"/>
      <c r="NVN224" s="1"/>
      <c r="NVO224" s="1"/>
      <c r="NVP224" s="1"/>
      <c r="NVQ224" s="1"/>
      <c r="NVR224" s="1"/>
      <c r="NVS224" s="1"/>
      <c r="NVT224" s="1"/>
      <c r="NVU224" s="1"/>
      <c r="NVV224" s="1"/>
      <c r="NVW224" s="1"/>
      <c r="NVX224" s="1"/>
      <c r="NVY224" s="1"/>
      <c r="NVZ224" s="1"/>
      <c r="NWA224" s="1"/>
      <c r="NWB224" s="1"/>
      <c r="NWC224" s="1"/>
      <c r="NWD224" s="1"/>
      <c r="NWE224" s="1"/>
      <c r="NWF224" s="1"/>
      <c r="NWG224" s="1"/>
      <c r="NWH224" s="1"/>
      <c r="NWI224" s="1"/>
      <c r="NWJ224" s="1"/>
      <c r="NWK224" s="1"/>
      <c r="NWL224" s="1"/>
      <c r="NWM224" s="1"/>
      <c r="NWN224" s="1"/>
      <c r="NWO224" s="1"/>
      <c r="NWP224" s="1"/>
      <c r="NWQ224" s="1"/>
      <c r="NWR224" s="1"/>
      <c r="NWS224" s="1"/>
      <c r="NWT224" s="1"/>
      <c r="NWU224" s="1"/>
      <c r="NWV224" s="1"/>
      <c r="NWW224" s="1"/>
      <c r="NWX224" s="1"/>
      <c r="NWY224" s="1"/>
      <c r="NWZ224" s="1"/>
      <c r="NXA224" s="1"/>
      <c r="NXB224" s="1"/>
      <c r="NXC224" s="1"/>
      <c r="NXD224" s="1"/>
      <c r="NXE224" s="1"/>
      <c r="NXF224" s="1"/>
      <c r="NXG224" s="1"/>
      <c r="NXH224" s="1"/>
      <c r="NXI224" s="1"/>
      <c r="NXJ224" s="1"/>
      <c r="NXK224" s="1"/>
      <c r="NXL224" s="1"/>
      <c r="NXM224" s="1"/>
      <c r="NXN224" s="1"/>
      <c r="NXO224" s="1"/>
      <c r="NXP224" s="1"/>
      <c r="NXQ224" s="1"/>
      <c r="NXR224" s="1"/>
      <c r="NXS224" s="1"/>
      <c r="NXT224" s="1"/>
      <c r="NXU224" s="1"/>
      <c r="NXV224" s="1"/>
      <c r="NXW224" s="1"/>
      <c r="NXX224" s="1"/>
      <c r="NXY224" s="1"/>
      <c r="NXZ224" s="1"/>
      <c r="NYA224" s="1"/>
      <c r="NYB224" s="1"/>
      <c r="NYC224" s="1"/>
      <c r="NYD224" s="1"/>
      <c r="NYE224" s="1"/>
      <c r="NYF224" s="1"/>
      <c r="NYG224" s="1"/>
      <c r="NYH224" s="1"/>
      <c r="NYI224" s="1"/>
      <c r="NYJ224" s="1"/>
      <c r="NYK224" s="1"/>
      <c r="NYL224" s="1"/>
      <c r="NYM224" s="1"/>
      <c r="NYN224" s="1"/>
      <c r="NYO224" s="1"/>
      <c r="NYP224" s="1"/>
      <c r="NYQ224" s="1"/>
      <c r="NYR224" s="1"/>
      <c r="NYS224" s="1"/>
      <c r="NYT224" s="1"/>
      <c r="NYU224" s="1"/>
      <c r="NYV224" s="1"/>
      <c r="NYW224" s="1"/>
      <c r="NYX224" s="1"/>
      <c r="NYY224" s="1"/>
      <c r="NYZ224" s="1"/>
      <c r="NZA224" s="1"/>
      <c r="NZB224" s="1"/>
      <c r="NZC224" s="1"/>
      <c r="NZD224" s="1"/>
      <c r="NZE224" s="1"/>
      <c r="NZF224" s="1"/>
      <c r="NZG224" s="1"/>
      <c r="NZH224" s="1"/>
      <c r="NZI224" s="1"/>
      <c r="NZJ224" s="1"/>
      <c r="NZK224" s="1"/>
      <c r="NZL224" s="1"/>
      <c r="NZM224" s="1"/>
      <c r="NZN224" s="1"/>
      <c r="NZO224" s="1"/>
      <c r="NZP224" s="1"/>
      <c r="NZQ224" s="1"/>
      <c r="NZR224" s="1"/>
      <c r="NZS224" s="1"/>
      <c r="NZT224" s="1"/>
      <c r="NZU224" s="1"/>
      <c r="NZV224" s="1"/>
      <c r="NZW224" s="1"/>
      <c r="NZX224" s="1"/>
      <c r="NZY224" s="1"/>
      <c r="NZZ224" s="1"/>
      <c r="OAA224" s="1"/>
      <c r="OAB224" s="1"/>
      <c r="OAC224" s="1"/>
      <c r="OAD224" s="1"/>
      <c r="OAE224" s="1"/>
      <c r="OAF224" s="1"/>
      <c r="OAG224" s="1"/>
      <c r="OAH224" s="1"/>
      <c r="OAI224" s="1"/>
      <c r="OAJ224" s="1"/>
      <c r="OAK224" s="1"/>
      <c r="OAL224" s="1"/>
      <c r="OAM224" s="1"/>
      <c r="OAN224" s="1"/>
      <c r="OAO224" s="1"/>
      <c r="OAP224" s="1"/>
      <c r="OAQ224" s="1"/>
      <c r="OAR224" s="1"/>
      <c r="OAS224" s="1"/>
      <c r="OAT224" s="1"/>
      <c r="OAU224" s="1"/>
      <c r="OAV224" s="1"/>
      <c r="OAW224" s="1"/>
      <c r="OAX224" s="1"/>
      <c r="OAY224" s="1"/>
      <c r="OAZ224" s="1"/>
      <c r="OBA224" s="1"/>
      <c r="OBB224" s="1"/>
      <c r="OBC224" s="1"/>
      <c r="OBD224" s="1"/>
      <c r="OBE224" s="1"/>
      <c r="OBF224" s="1"/>
      <c r="OBG224" s="1"/>
      <c r="OBH224" s="1"/>
      <c r="OBI224" s="1"/>
      <c r="OBJ224" s="1"/>
      <c r="OBK224" s="1"/>
      <c r="OBL224" s="1"/>
      <c r="OBM224" s="1"/>
      <c r="OBN224" s="1"/>
      <c r="OBO224" s="1"/>
      <c r="OBP224" s="1"/>
      <c r="OBQ224" s="1"/>
      <c r="OBR224" s="1"/>
      <c r="OBS224" s="1"/>
      <c r="OBT224" s="1"/>
      <c r="OBU224" s="1"/>
      <c r="OBV224" s="1"/>
      <c r="OBW224" s="1"/>
      <c r="OBX224" s="1"/>
      <c r="OBY224" s="1"/>
      <c r="OBZ224" s="1"/>
      <c r="OCA224" s="1"/>
      <c r="OCB224" s="1"/>
      <c r="OCC224" s="1"/>
      <c r="OCD224" s="1"/>
      <c r="OCE224" s="1"/>
      <c r="OCF224" s="1"/>
      <c r="OCG224" s="1"/>
      <c r="OCH224" s="1"/>
      <c r="OCI224" s="1"/>
      <c r="OCJ224" s="1"/>
      <c r="OCK224" s="1"/>
      <c r="OCL224" s="1"/>
      <c r="OCM224" s="1"/>
      <c r="OCN224" s="1"/>
      <c r="OCO224" s="1"/>
      <c r="OCP224" s="1"/>
      <c r="OCQ224" s="1"/>
      <c r="OCR224" s="1"/>
      <c r="OCS224" s="1"/>
      <c r="OCT224" s="1"/>
      <c r="OCU224" s="1"/>
      <c r="OCV224" s="1"/>
      <c r="OCW224" s="1"/>
      <c r="OCX224" s="1"/>
      <c r="OCY224" s="1"/>
      <c r="OCZ224" s="1"/>
      <c r="ODA224" s="1"/>
      <c r="ODB224" s="1"/>
      <c r="ODC224" s="1"/>
      <c r="ODD224" s="1"/>
      <c r="ODE224" s="1"/>
      <c r="ODF224" s="1"/>
      <c r="ODG224" s="1"/>
      <c r="ODH224" s="1"/>
      <c r="ODI224" s="1"/>
      <c r="ODJ224" s="1"/>
      <c r="ODK224" s="1"/>
      <c r="ODL224" s="1"/>
      <c r="ODM224" s="1"/>
      <c r="ODN224" s="1"/>
      <c r="ODO224" s="1"/>
      <c r="ODP224" s="1"/>
      <c r="ODQ224" s="1"/>
      <c r="ODR224" s="1"/>
      <c r="ODS224" s="1"/>
      <c r="ODT224" s="1"/>
      <c r="ODU224" s="1"/>
      <c r="ODV224" s="1"/>
      <c r="ODW224" s="1"/>
      <c r="ODX224" s="1"/>
      <c r="ODY224" s="1"/>
      <c r="ODZ224" s="1"/>
      <c r="OEA224" s="1"/>
      <c r="OEB224" s="1"/>
      <c r="OEC224" s="1"/>
      <c r="OED224" s="1"/>
      <c r="OEE224" s="1"/>
      <c r="OEF224" s="1"/>
      <c r="OEG224" s="1"/>
      <c r="OEH224" s="1"/>
      <c r="OEI224" s="1"/>
      <c r="OEJ224" s="1"/>
      <c r="OEK224" s="1"/>
      <c r="OEL224" s="1"/>
      <c r="OEM224" s="1"/>
      <c r="OEN224" s="1"/>
      <c r="OEO224" s="1"/>
      <c r="OEP224" s="1"/>
      <c r="OEQ224" s="1"/>
      <c r="OER224" s="1"/>
      <c r="OES224" s="1"/>
      <c r="OET224" s="1"/>
      <c r="OEU224" s="1"/>
      <c r="OEV224" s="1"/>
      <c r="OEW224" s="1"/>
      <c r="OEX224" s="1"/>
      <c r="OEY224" s="1"/>
      <c r="OEZ224" s="1"/>
      <c r="OFA224" s="1"/>
      <c r="OFB224" s="1"/>
      <c r="OFC224" s="1"/>
      <c r="OFD224" s="1"/>
      <c r="OFE224" s="1"/>
      <c r="OFF224" s="1"/>
      <c r="OFG224" s="1"/>
      <c r="OFH224" s="1"/>
      <c r="OFI224" s="1"/>
      <c r="OFJ224" s="1"/>
      <c r="OFK224" s="1"/>
      <c r="OFL224" s="1"/>
      <c r="OFM224" s="1"/>
      <c r="OFN224" s="1"/>
      <c r="OFO224" s="1"/>
      <c r="OFP224" s="1"/>
      <c r="OFQ224" s="1"/>
      <c r="OFR224" s="1"/>
      <c r="OFS224" s="1"/>
      <c r="OFT224" s="1"/>
      <c r="OFU224" s="1"/>
      <c r="OFV224" s="1"/>
      <c r="OFW224" s="1"/>
      <c r="OFX224" s="1"/>
      <c r="OFY224" s="1"/>
      <c r="OFZ224" s="1"/>
      <c r="OGA224" s="1"/>
      <c r="OGB224" s="1"/>
      <c r="OGC224" s="1"/>
      <c r="OGD224" s="1"/>
      <c r="OGE224" s="1"/>
      <c r="OGF224" s="1"/>
      <c r="OGG224" s="1"/>
      <c r="OGH224" s="1"/>
      <c r="OGI224" s="1"/>
      <c r="OGJ224" s="1"/>
      <c r="OGK224" s="1"/>
      <c r="OGL224" s="1"/>
      <c r="OGM224" s="1"/>
      <c r="OGN224" s="1"/>
      <c r="OGO224" s="1"/>
      <c r="OGP224" s="1"/>
      <c r="OGQ224" s="1"/>
      <c r="OGR224" s="1"/>
      <c r="OGS224" s="1"/>
      <c r="OGT224" s="1"/>
      <c r="OGU224" s="1"/>
      <c r="OGV224" s="1"/>
      <c r="OGW224" s="1"/>
      <c r="OGX224" s="1"/>
      <c r="OGY224" s="1"/>
      <c r="OGZ224" s="1"/>
      <c r="OHA224" s="1"/>
      <c r="OHB224" s="1"/>
      <c r="OHC224" s="1"/>
      <c r="OHD224" s="1"/>
      <c r="OHE224" s="1"/>
      <c r="OHF224" s="1"/>
      <c r="OHG224" s="1"/>
      <c r="OHH224" s="1"/>
      <c r="OHI224" s="1"/>
      <c r="OHJ224" s="1"/>
      <c r="OHK224" s="1"/>
      <c r="OHL224" s="1"/>
      <c r="OHM224" s="1"/>
      <c r="OHN224" s="1"/>
      <c r="OHO224" s="1"/>
      <c r="OHP224" s="1"/>
      <c r="OHQ224" s="1"/>
      <c r="OHR224" s="1"/>
      <c r="OHS224" s="1"/>
      <c r="OHT224" s="1"/>
      <c r="OHU224" s="1"/>
      <c r="OHV224" s="1"/>
      <c r="OHW224" s="1"/>
      <c r="OHX224" s="1"/>
      <c r="OHY224" s="1"/>
      <c r="OHZ224" s="1"/>
      <c r="OIA224" s="1"/>
      <c r="OIB224" s="1"/>
      <c r="OIC224" s="1"/>
      <c r="OID224" s="1"/>
      <c r="OIE224" s="1"/>
      <c r="OIF224" s="1"/>
      <c r="OIG224" s="1"/>
      <c r="OIH224" s="1"/>
      <c r="OII224" s="1"/>
      <c r="OIJ224" s="1"/>
      <c r="OIK224" s="1"/>
      <c r="OIL224" s="1"/>
      <c r="OIM224" s="1"/>
      <c r="OIN224" s="1"/>
      <c r="OIO224" s="1"/>
      <c r="OIP224" s="1"/>
      <c r="OIQ224" s="1"/>
      <c r="OIR224" s="1"/>
      <c r="OIS224" s="1"/>
      <c r="OIT224" s="1"/>
      <c r="OIU224" s="1"/>
      <c r="OIV224" s="1"/>
      <c r="OIW224" s="1"/>
      <c r="OIX224" s="1"/>
      <c r="OIY224" s="1"/>
      <c r="OIZ224" s="1"/>
      <c r="OJA224" s="1"/>
      <c r="OJB224" s="1"/>
      <c r="OJC224" s="1"/>
      <c r="OJD224" s="1"/>
      <c r="OJE224" s="1"/>
      <c r="OJF224" s="1"/>
      <c r="OJG224" s="1"/>
      <c r="OJH224" s="1"/>
      <c r="OJI224" s="1"/>
      <c r="OJJ224" s="1"/>
      <c r="OJK224" s="1"/>
      <c r="OJL224" s="1"/>
      <c r="OJM224" s="1"/>
      <c r="OJN224" s="1"/>
      <c r="OJO224" s="1"/>
      <c r="OJP224" s="1"/>
      <c r="OJQ224" s="1"/>
      <c r="OJR224" s="1"/>
      <c r="OJS224" s="1"/>
      <c r="OJT224" s="1"/>
      <c r="OJU224" s="1"/>
      <c r="OJV224" s="1"/>
      <c r="OJW224" s="1"/>
      <c r="OJX224" s="1"/>
      <c r="OJY224" s="1"/>
      <c r="OJZ224" s="1"/>
      <c r="OKA224" s="1"/>
      <c r="OKB224" s="1"/>
      <c r="OKC224" s="1"/>
      <c r="OKD224" s="1"/>
      <c r="OKE224" s="1"/>
      <c r="OKF224" s="1"/>
      <c r="OKG224" s="1"/>
      <c r="OKH224" s="1"/>
      <c r="OKI224" s="1"/>
      <c r="OKJ224" s="1"/>
      <c r="OKK224" s="1"/>
      <c r="OKL224" s="1"/>
      <c r="OKM224" s="1"/>
      <c r="OKN224" s="1"/>
      <c r="OKO224" s="1"/>
      <c r="OKP224" s="1"/>
      <c r="OKQ224" s="1"/>
      <c r="OKR224" s="1"/>
      <c r="OKS224" s="1"/>
      <c r="OKT224" s="1"/>
      <c r="OKU224" s="1"/>
      <c r="OKV224" s="1"/>
      <c r="OKW224" s="1"/>
      <c r="OKX224" s="1"/>
      <c r="OKY224" s="1"/>
      <c r="OKZ224" s="1"/>
      <c r="OLA224" s="1"/>
      <c r="OLB224" s="1"/>
      <c r="OLC224" s="1"/>
      <c r="OLD224" s="1"/>
      <c r="OLE224" s="1"/>
      <c r="OLF224" s="1"/>
      <c r="OLG224" s="1"/>
      <c r="OLH224" s="1"/>
      <c r="OLI224" s="1"/>
      <c r="OLJ224" s="1"/>
      <c r="OLK224" s="1"/>
      <c r="OLL224" s="1"/>
      <c r="OLM224" s="1"/>
      <c r="OLN224" s="1"/>
      <c r="OLO224" s="1"/>
      <c r="OLP224" s="1"/>
      <c r="OLQ224" s="1"/>
      <c r="OLR224" s="1"/>
      <c r="OLS224" s="1"/>
      <c r="OLT224" s="1"/>
      <c r="OLU224" s="1"/>
      <c r="OLV224" s="1"/>
      <c r="OLW224" s="1"/>
      <c r="OLX224" s="1"/>
      <c r="OLY224" s="1"/>
      <c r="OLZ224" s="1"/>
      <c r="OMA224" s="1"/>
      <c r="OMB224" s="1"/>
      <c r="OMC224" s="1"/>
      <c r="OMD224" s="1"/>
      <c r="OME224" s="1"/>
      <c r="OMF224" s="1"/>
      <c r="OMG224" s="1"/>
      <c r="OMH224" s="1"/>
      <c r="OMI224" s="1"/>
      <c r="OMJ224" s="1"/>
      <c r="OMK224" s="1"/>
      <c r="OML224" s="1"/>
      <c r="OMM224" s="1"/>
      <c r="OMN224" s="1"/>
      <c r="OMO224" s="1"/>
      <c r="OMP224" s="1"/>
      <c r="OMQ224" s="1"/>
      <c r="OMR224" s="1"/>
      <c r="OMS224" s="1"/>
      <c r="OMT224" s="1"/>
      <c r="OMU224" s="1"/>
      <c r="OMV224" s="1"/>
      <c r="OMW224" s="1"/>
      <c r="OMX224" s="1"/>
      <c r="OMY224" s="1"/>
      <c r="OMZ224" s="1"/>
      <c r="ONA224" s="1"/>
      <c r="ONB224" s="1"/>
      <c r="ONC224" s="1"/>
      <c r="OND224" s="1"/>
      <c r="ONE224" s="1"/>
      <c r="ONF224" s="1"/>
      <c r="ONG224" s="1"/>
      <c r="ONH224" s="1"/>
      <c r="ONI224" s="1"/>
      <c r="ONJ224" s="1"/>
      <c r="ONK224" s="1"/>
      <c r="ONL224" s="1"/>
      <c r="ONM224" s="1"/>
      <c r="ONN224" s="1"/>
      <c r="ONO224" s="1"/>
      <c r="ONP224" s="1"/>
      <c r="ONQ224" s="1"/>
      <c r="ONR224" s="1"/>
      <c r="ONS224" s="1"/>
      <c r="ONT224" s="1"/>
      <c r="ONU224" s="1"/>
      <c r="ONV224" s="1"/>
      <c r="ONW224" s="1"/>
      <c r="ONX224" s="1"/>
      <c r="ONY224" s="1"/>
      <c r="ONZ224" s="1"/>
      <c r="OOA224" s="1"/>
      <c r="OOB224" s="1"/>
      <c r="OOC224" s="1"/>
      <c r="OOD224" s="1"/>
      <c r="OOE224" s="1"/>
      <c r="OOF224" s="1"/>
      <c r="OOG224" s="1"/>
      <c r="OOH224" s="1"/>
      <c r="OOI224" s="1"/>
      <c r="OOJ224" s="1"/>
      <c r="OOK224" s="1"/>
      <c r="OOL224" s="1"/>
      <c r="OOM224" s="1"/>
      <c r="OON224" s="1"/>
      <c r="OOO224" s="1"/>
      <c r="OOP224" s="1"/>
      <c r="OOQ224" s="1"/>
      <c r="OOR224" s="1"/>
      <c r="OOS224" s="1"/>
      <c r="OOT224" s="1"/>
      <c r="OOU224" s="1"/>
      <c r="OOV224" s="1"/>
      <c r="OOW224" s="1"/>
      <c r="OOX224" s="1"/>
      <c r="OOY224" s="1"/>
      <c r="OOZ224" s="1"/>
      <c r="OPA224" s="1"/>
      <c r="OPB224" s="1"/>
      <c r="OPC224" s="1"/>
      <c r="OPD224" s="1"/>
      <c r="OPE224" s="1"/>
      <c r="OPF224" s="1"/>
      <c r="OPG224" s="1"/>
      <c r="OPH224" s="1"/>
      <c r="OPI224" s="1"/>
      <c r="OPJ224" s="1"/>
      <c r="OPK224" s="1"/>
      <c r="OPL224" s="1"/>
      <c r="OPM224" s="1"/>
      <c r="OPN224" s="1"/>
      <c r="OPO224" s="1"/>
      <c r="OPP224" s="1"/>
      <c r="OPQ224" s="1"/>
      <c r="OPR224" s="1"/>
      <c r="OPS224" s="1"/>
      <c r="OPT224" s="1"/>
      <c r="OPU224" s="1"/>
      <c r="OPV224" s="1"/>
      <c r="OPW224" s="1"/>
      <c r="OPX224" s="1"/>
      <c r="OPY224" s="1"/>
      <c r="OPZ224" s="1"/>
      <c r="OQA224" s="1"/>
      <c r="OQB224" s="1"/>
      <c r="OQC224" s="1"/>
      <c r="OQD224" s="1"/>
      <c r="OQE224" s="1"/>
      <c r="OQF224" s="1"/>
      <c r="OQG224" s="1"/>
      <c r="OQH224" s="1"/>
      <c r="OQI224" s="1"/>
      <c r="OQJ224" s="1"/>
      <c r="OQK224" s="1"/>
      <c r="OQL224" s="1"/>
      <c r="OQM224" s="1"/>
      <c r="OQN224" s="1"/>
      <c r="OQO224" s="1"/>
      <c r="OQP224" s="1"/>
      <c r="OQQ224" s="1"/>
      <c r="OQR224" s="1"/>
      <c r="OQS224" s="1"/>
      <c r="OQT224" s="1"/>
      <c r="OQU224" s="1"/>
      <c r="OQV224" s="1"/>
      <c r="OQW224" s="1"/>
      <c r="OQX224" s="1"/>
      <c r="OQY224" s="1"/>
      <c r="OQZ224" s="1"/>
      <c r="ORA224" s="1"/>
      <c r="ORB224" s="1"/>
      <c r="ORC224" s="1"/>
      <c r="ORD224" s="1"/>
      <c r="ORE224" s="1"/>
      <c r="ORF224" s="1"/>
      <c r="ORG224" s="1"/>
      <c r="ORH224" s="1"/>
      <c r="ORI224" s="1"/>
      <c r="ORJ224" s="1"/>
      <c r="ORK224" s="1"/>
      <c r="ORL224" s="1"/>
      <c r="ORM224" s="1"/>
      <c r="ORN224" s="1"/>
      <c r="ORO224" s="1"/>
      <c r="ORP224" s="1"/>
      <c r="ORQ224" s="1"/>
      <c r="ORR224" s="1"/>
      <c r="ORS224" s="1"/>
      <c r="ORT224" s="1"/>
      <c r="ORU224" s="1"/>
      <c r="ORV224" s="1"/>
      <c r="ORW224" s="1"/>
      <c r="ORX224" s="1"/>
      <c r="ORY224" s="1"/>
      <c r="ORZ224" s="1"/>
      <c r="OSA224" s="1"/>
      <c r="OSB224" s="1"/>
      <c r="OSC224" s="1"/>
      <c r="OSD224" s="1"/>
      <c r="OSE224" s="1"/>
      <c r="OSF224" s="1"/>
      <c r="OSG224" s="1"/>
      <c r="OSH224" s="1"/>
      <c r="OSI224" s="1"/>
      <c r="OSJ224" s="1"/>
      <c r="OSK224" s="1"/>
      <c r="OSL224" s="1"/>
      <c r="OSM224" s="1"/>
      <c r="OSN224" s="1"/>
      <c r="OSO224" s="1"/>
      <c r="OSP224" s="1"/>
      <c r="OSQ224" s="1"/>
      <c r="OSR224" s="1"/>
      <c r="OSS224" s="1"/>
      <c r="OST224" s="1"/>
      <c r="OSU224" s="1"/>
      <c r="OSV224" s="1"/>
      <c r="OSW224" s="1"/>
      <c r="OSX224" s="1"/>
      <c r="OSY224" s="1"/>
      <c r="OSZ224" s="1"/>
      <c r="OTA224" s="1"/>
      <c r="OTB224" s="1"/>
      <c r="OTC224" s="1"/>
      <c r="OTD224" s="1"/>
      <c r="OTE224" s="1"/>
      <c r="OTF224" s="1"/>
      <c r="OTG224" s="1"/>
      <c r="OTH224" s="1"/>
      <c r="OTI224" s="1"/>
      <c r="OTJ224" s="1"/>
      <c r="OTK224" s="1"/>
      <c r="OTL224" s="1"/>
      <c r="OTM224" s="1"/>
      <c r="OTN224" s="1"/>
      <c r="OTO224" s="1"/>
      <c r="OTP224" s="1"/>
      <c r="OTQ224" s="1"/>
      <c r="OTR224" s="1"/>
      <c r="OTS224" s="1"/>
      <c r="OTT224" s="1"/>
      <c r="OTU224" s="1"/>
      <c r="OTV224" s="1"/>
      <c r="OTW224" s="1"/>
      <c r="OTX224" s="1"/>
      <c r="OTY224" s="1"/>
      <c r="OTZ224" s="1"/>
      <c r="OUA224" s="1"/>
      <c r="OUB224" s="1"/>
      <c r="OUC224" s="1"/>
      <c r="OUD224" s="1"/>
      <c r="OUE224" s="1"/>
      <c r="OUF224" s="1"/>
      <c r="OUG224" s="1"/>
      <c r="OUH224" s="1"/>
      <c r="OUI224" s="1"/>
      <c r="OUJ224" s="1"/>
      <c r="OUK224" s="1"/>
      <c r="OUL224" s="1"/>
      <c r="OUM224" s="1"/>
      <c r="OUN224" s="1"/>
      <c r="OUO224" s="1"/>
      <c r="OUP224" s="1"/>
      <c r="OUQ224" s="1"/>
      <c r="OUR224" s="1"/>
      <c r="OUS224" s="1"/>
      <c r="OUT224" s="1"/>
      <c r="OUU224" s="1"/>
      <c r="OUV224" s="1"/>
      <c r="OUW224" s="1"/>
      <c r="OUX224" s="1"/>
      <c r="OUY224" s="1"/>
      <c r="OUZ224" s="1"/>
      <c r="OVA224" s="1"/>
      <c r="OVB224" s="1"/>
      <c r="OVC224" s="1"/>
      <c r="OVD224" s="1"/>
      <c r="OVE224" s="1"/>
      <c r="OVF224" s="1"/>
      <c r="OVG224" s="1"/>
      <c r="OVH224" s="1"/>
      <c r="OVI224" s="1"/>
      <c r="OVJ224" s="1"/>
      <c r="OVK224" s="1"/>
      <c r="OVL224" s="1"/>
      <c r="OVM224" s="1"/>
      <c r="OVN224" s="1"/>
      <c r="OVO224" s="1"/>
      <c r="OVP224" s="1"/>
      <c r="OVQ224" s="1"/>
      <c r="OVR224" s="1"/>
      <c r="OVS224" s="1"/>
      <c r="OVT224" s="1"/>
      <c r="OVU224" s="1"/>
      <c r="OVV224" s="1"/>
      <c r="OVW224" s="1"/>
      <c r="OVX224" s="1"/>
      <c r="OVY224" s="1"/>
      <c r="OVZ224" s="1"/>
      <c r="OWA224" s="1"/>
      <c r="OWB224" s="1"/>
      <c r="OWC224" s="1"/>
      <c r="OWD224" s="1"/>
      <c r="OWE224" s="1"/>
      <c r="OWF224" s="1"/>
      <c r="OWG224" s="1"/>
      <c r="OWH224" s="1"/>
      <c r="OWI224" s="1"/>
      <c r="OWJ224" s="1"/>
      <c r="OWK224" s="1"/>
      <c r="OWL224" s="1"/>
      <c r="OWM224" s="1"/>
      <c r="OWN224" s="1"/>
      <c r="OWO224" s="1"/>
      <c r="OWP224" s="1"/>
      <c r="OWQ224" s="1"/>
      <c r="OWR224" s="1"/>
      <c r="OWS224" s="1"/>
      <c r="OWT224" s="1"/>
      <c r="OWU224" s="1"/>
      <c r="OWV224" s="1"/>
      <c r="OWW224" s="1"/>
      <c r="OWX224" s="1"/>
      <c r="OWY224" s="1"/>
      <c r="OWZ224" s="1"/>
      <c r="OXA224" s="1"/>
      <c r="OXB224" s="1"/>
      <c r="OXC224" s="1"/>
      <c r="OXD224" s="1"/>
      <c r="OXE224" s="1"/>
      <c r="OXF224" s="1"/>
      <c r="OXG224" s="1"/>
      <c r="OXH224" s="1"/>
      <c r="OXI224" s="1"/>
      <c r="OXJ224" s="1"/>
      <c r="OXK224" s="1"/>
      <c r="OXL224" s="1"/>
      <c r="OXM224" s="1"/>
      <c r="OXN224" s="1"/>
      <c r="OXO224" s="1"/>
      <c r="OXP224" s="1"/>
      <c r="OXQ224" s="1"/>
      <c r="OXR224" s="1"/>
      <c r="OXS224" s="1"/>
      <c r="OXT224" s="1"/>
      <c r="OXU224" s="1"/>
      <c r="OXV224" s="1"/>
      <c r="OXW224" s="1"/>
      <c r="OXX224" s="1"/>
      <c r="OXY224" s="1"/>
      <c r="OXZ224" s="1"/>
      <c r="OYA224" s="1"/>
      <c r="OYB224" s="1"/>
      <c r="OYC224" s="1"/>
      <c r="OYD224" s="1"/>
      <c r="OYE224" s="1"/>
      <c r="OYF224" s="1"/>
      <c r="OYG224" s="1"/>
      <c r="OYH224" s="1"/>
      <c r="OYI224" s="1"/>
      <c r="OYJ224" s="1"/>
      <c r="OYK224" s="1"/>
      <c r="OYL224" s="1"/>
      <c r="OYM224" s="1"/>
      <c r="OYN224" s="1"/>
      <c r="OYO224" s="1"/>
      <c r="OYP224" s="1"/>
      <c r="OYQ224" s="1"/>
      <c r="OYR224" s="1"/>
      <c r="OYS224" s="1"/>
      <c r="OYT224" s="1"/>
      <c r="OYU224" s="1"/>
      <c r="OYV224" s="1"/>
      <c r="OYW224" s="1"/>
      <c r="OYX224" s="1"/>
      <c r="OYY224" s="1"/>
      <c r="OYZ224" s="1"/>
      <c r="OZA224" s="1"/>
      <c r="OZB224" s="1"/>
      <c r="OZC224" s="1"/>
      <c r="OZD224" s="1"/>
      <c r="OZE224" s="1"/>
      <c r="OZF224" s="1"/>
      <c r="OZG224" s="1"/>
      <c r="OZH224" s="1"/>
      <c r="OZI224" s="1"/>
      <c r="OZJ224" s="1"/>
      <c r="OZK224" s="1"/>
      <c r="OZL224" s="1"/>
      <c r="OZM224" s="1"/>
      <c r="OZN224" s="1"/>
      <c r="OZO224" s="1"/>
      <c r="OZP224" s="1"/>
      <c r="OZQ224" s="1"/>
      <c r="OZR224" s="1"/>
      <c r="OZS224" s="1"/>
      <c r="OZT224" s="1"/>
      <c r="OZU224" s="1"/>
      <c r="OZV224" s="1"/>
      <c r="OZW224" s="1"/>
      <c r="OZX224" s="1"/>
      <c r="OZY224" s="1"/>
      <c r="OZZ224" s="1"/>
      <c r="PAA224" s="1"/>
      <c r="PAB224" s="1"/>
      <c r="PAC224" s="1"/>
      <c r="PAD224" s="1"/>
      <c r="PAE224" s="1"/>
      <c r="PAF224" s="1"/>
      <c r="PAG224" s="1"/>
      <c r="PAH224" s="1"/>
      <c r="PAI224" s="1"/>
      <c r="PAJ224" s="1"/>
      <c r="PAK224" s="1"/>
      <c r="PAL224" s="1"/>
      <c r="PAM224" s="1"/>
      <c r="PAN224" s="1"/>
      <c r="PAO224" s="1"/>
      <c r="PAP224" s="1"/>
      <c r="PAQ224" s="1"/>
      <c r="PAR224" s="1"/>
      <c r="PAS224" s="1"/>
      <c r="PAT224" s="1"/>
      <c r="PAU224" s="1"/>
      <c r="PAV224" s="1"/>
      <c r="PAW224" s="1"/>
      <c r="PAX224" s="1"/>
      <c r="PAY224" s="1"/>
      <c r="PAZ224" s="1"/>
      <c r="PBA224" s="1"/>
      <c r="PBB224" s="1"/>
      <c r="PBC224" s="1"/>
      <c r="PBD224" s="1"/>
      <c r="PBE224" s="1"/>
      <c r="PBF224" s="1"/>
      <c r="PBG224" s="1"/>
      <c r="PBH224" s="1"/>
      <c r="PBI224" s="1"/>
      <c r="PBJ224" s="1"/>
      <c r="PBK224" s="1"/>
      <c r="PBL224" s="1"/>
      <c r="PBM224" s="1"/>
      <c r="PBN224" s="1"/>
      <c r="PBO224" s="1"/>
      <c r="PBP224" s="1"/>
      <c r="PBQ224" s="1"/>
      <c r="PBR224" s="1"/>
      <c r="PBS224" s="1"/>
      <c r="PBT224" s="1"/>
      <c r="PBU224" s="1"/>
      <c r="PBV224" s="1"/>
      <c r="PBW224" s="1"/>
      <c r="PBX224" s="1"/>
      <c r="PBY224" s="1"/>
      <c r="PBZ224" s="1"/>
      <c r="PCA224" s="1"/>
      <c r="PCB224" s="1"/>
      <c r="PCC224" s="1"/>
      <c r="PCD224" s="1"/>
      <c r="PCE224" s="1"/>
      <c r="PCF224" s="1"/>
      <c r="PCG224" s="1"/>
      <c r="PCH224" s="1"/>
      <c r="PCI224" s="1"/>
      <c r="PCJ224" s="1"/>
      <c r="PCK224" s="1"/>
      <c r="PCL224" s="1"/>
      <c r="PCM224" s="1"/>
      <c r="PCN224" s="1"/>
      <c r="PCO224" s="1"/>
      <c r="PCP224" s="1"/>
      <c r="PCQ224" s="1"/>
      <c r="PCR224" s="1"/>
      <c r="PCS224" s="1"/>
      <c r="PCT224" s="1"/>
      <c r="PCU224" s="1"/>
      <c r="PCV224" s="1"/>
      <c r="PCW224" s="1"/>
      <c r="PCX224" s="1"/>
      <c r="PCY224" s="1"/>
      <c r="PCZ224" s="1"/>
      <c r="PDA224" s="1"/>
      <c r="PDB224" s="1"/>
      <c r="PDC224" s="1"/>
      <c r="PDD224" s="1"/>
      <c r="PDE224" s="1"/>
      <c r="PDF224" s="1"/>
      <c r="PDG224" s="1"/>
      <c r="PDH224" s="1"/>
      <c r="PDI224" s="1"/>
      <c r="PDJ224" s="1"/>
      <c r="PDK224" s="1"/>
      <c r="PDL224" s="1"/>
      <c r="PDM224" s="1"/>
      <c r="PDN224" s="1"/>
      <c r="PDO224" s="1"/>
      <c r="PDP224" s="1"/>
      <c r="PDQ224" s="1"/>
      <c r="PDR224" s="1"/>
      <c r="PDS224" s="1"/>
      <c r="PDT224" s="1"/>
      <c r="PDU224" s="1"/>
      <c r="PDV224" s="1"/>
      <c r="PDW224" s="1"/>
      <c r="PDX224" s="1"/>
      <c r="PDY224" s="1"/>
      <c r="PDZ224" s="1"/>
      <c r="PEA224" s="1"/>
      <c r="PEB224" s="1"/>
      <c r="PEC224" s="1"/>
      <c r="PED224" s="1"/>
      <c r="PEE224" s="1"/>
      <c r="PEF224" s="1"/>
      <c r="PEG224" s="1"/>
      <c r="PEH224" s="1"/>
      <c r="PEI224" s="1"/>
      <c r="PEJ224" s="1"/>
      <c r="PEK224" s="1"/>
      <c r="PEL224" s="1"/>
      <c r="PEM224" s="1"/>
      <c r="PEN224" s="1"/>
      <c r="PEO224" s="1"/>
      <c r="PEP224" s="1"/>
      <c r="PEQ224" s="1"/>
      <c r="PER224" s="1"/>
      <c r="PES224" s="1"/>
      <c r="PET224" s="1"/>
      <c r="PEU224" s="1"/>
      <c r="PEV224" s="1"/>
      <c r="PEW224" s="1"/>
      <c r="PEX224" s="1"/>
      <c r="PEY224" s="1"/>
      <c r="PEZ224" s="1"/>
      <c r="PFA224" s="1"/>
      <c r="PFB224" s="1"/>
      <c r="PFC224" s="1"/>
      <c r="PFD224" s="1"/>
      <c r="PFE224" s="1"/>
      <c r="PFF224" s="1"/>
      <c r="PFG224" s="1"/>
      <c r="PFH224" s="1"/>
      <c r="PFI224" s="1"/>
      <c r="PFJ224" s="1"/>
      <c r="PFK224" s="1"/>
      <c r="PFL224" s="1"/>
      <c r="PFM224" s="1"/>
      <c r="PFN224" s="1"/>
      <c r="PFO224" s="1"/>
      <c r="PFP224" s="1"/>
      <c r="PFQ224" s="1"/>
      <c r="PFR224" s="1"/>
      <c r="PFS224" s="1"/>
      <c r="PFT224" s="1"/>
      <c r="PFU224" s="1"/>
      <c r="PFV224" s="1"/>
      <c r="PFW224" s="1"/>
      <c r="PFX224" s="1"/>
      <c r="PFY224" s="1"/>
      <c r="PFZ224" s="1"/>
      <c r="PGA224" s="1"/>
      <c r="PGB224" s="1"/>
      <c r="PGC224" s="1"/>
      <c r="PGD224" s="1"/>
      <c r="PGE224" s="1"/>
      <c r="PGF224" s="1"/>
      <c r="PGG224" s="1"/>
      <c r="PGH224" s="1"/>
      <c r="PGI224" s="1"/>
      <c r="PGJ224" s="1"/>
      <c r="PGK224" s="1"/>
      <c r="PGL224" s="1"/>
      <c r="PGM224" s="1"/>
      <c r="PGN224" s="1"/>
      <c r="PGO224" s="1"/>
      <c r="PGP224" s="1"/>
      <c r="PGQ224" s="1"/>
      <c r="PGR224" s="1"/>
      <c r="PGS224" s="1"/>
      <c r="PGT224" s="1"/>
      <c r="PGU224" s="1"/>
      <c r="PGV224" s="1"/>
      <c r="PGW224" s="1"/>
      <c r="PGX224" s="1"/>
      <c r="PGY224" s="1"/>
      <c r="PGZ224" s="1"/>
      <c r="PHA224" s="1"/>
      <c r="PHB224" s="1"/>
      <c r="PHC224" s="1"/>
      <c r="PHD224" s="1"/>
      <c r="PHE224" s="1"/>
      <c r="PHF224" s="1"/>
      <c r="PHG224" s="1"/>
      <c r="PHH224" s="1"/>
      <c r="PHI224" s="1"/>
      <c r="PHJ224" s="1"/>
      <c r="PHK224" s="1"/>
      <c r="PHL224" s="1"/>
      <c r="PHM224" s="1"/>
      <c r="PHN224" s="1"/>
      <c r="PHO224" s="1"/>
      <c r="PHP224" s="1"/>
      <c r="PHQ224" s="1"/>
      <c r="PHR224" s="1"/>
      <c r="PHS224" s="1"/>
      <c r="PHT224" s="1"/>
      <c r="PHU224" s="1"/>
      <c r="PHV224" s="1"/>
      <c r="PHW224" s="1"/>
      <c r="PHX224" s="1"/>
      <c r="PHY224" s="1"/>
      <c r="PHZ224" s="1"/>
      <c r="PIA224" s="1"/>
      <c r="PIB224" s="1"/>
      <c r="PIC224" s="1"/>
      <c r="PID224" s="1"/>
      <c r="PIE224" s="1"/>
      <c r="PIF224" s="1"/>
      <c r="PIG224" s="1"/>
      <c r="PIH224" s="1"/>
      <c r="PII224" s="1"/>
      <c r="PIJ224" s="1"/>
      <c r="PIK224" s="1"/>
      <c r="PIL224" s="1"/>
      <c r="PIM224" s="1"/>
      <c r="PIN224" s="1"/>
      <c r="PIO224" s="1"/>
      <c r="PIP224" s="1"/>
      <c r="PIQ224" s="1"/>
      <c r="PIR224" s="1"/>
      <c r="PIS224" s="1"/>
      <c r="PIT224" s="1"/>
      <c r="PIU224" s="1"/>
      <c r="PIV224" s="1"/>
      <c r="PIW224" s="1"/>
      <c r="PIX224" s="1"/>
      <c r="PIY224" s="1"/>
      <c r="PIZ224" s="1"/>
      <c r="PJA224" s="1"/>
      <c r="PJB224" s="1"/>
      <c r="PJC224" s="1"/>
      <c r="PJD224" s="1"/>
      <c r="PJE224" s="1"/>
      <c r="PJF224" s="1"/>
      <c r="PJG224" s="1"/>
      <c r="PJH224" s="1"/>
      <c r="PJI224" s="1"/>
      <c r="PJJ224" s="1"/>
      <c r="PJK224" s="1"/>
      <c r="PJL224" s="1"/>
      <c r="PJM224" s="1"/>
      <c r="PJN224" s="1"/>
      <c r="PJO224" s="1"/>
      <c r="PJP224" s="1"/>
      <c r="PJQ224" s="1"/>
      <c r="PJR224" s="1"/>
      <c r="PJS224" s="1"/>
      <c r="PJT224" s="1"/>
      <c r="PJU224" s="1"/>
      <c r="PJV224" s="1"/>
      <c r="PJW224" s="1"/>
      <c r="PJX224" s="1"/>
      <c r="PJY224" s="1"/>
      <c r="PJZ224" s="1"/>
      <c r="PKA224" s="1"/>
      <c r="PKB224" s="1"/>
      <c r="PKC224" s="1"/>
      <c r="PKD224" s="1"/>
      <c r="PKE224" s="1"/>
      <c r="PKF224" s="1"/>
      <c r="PKG224" s="1"/>
      <c r="PKH224" s="1"/>
      <c r="PKI224" s="1"/>
      <c r="PKJ224" s="1"/>
      <c r="PKK224" s="1"/>
      <c r="PKL224" s="1"/>
      <c r="PKM224" s="1"/>
      <c r="PKN224" s="1"/>
      <c r="PKO224" s="1"/>
      <c r="PKP224" s="1"/>
      <c r="PKQ224" s="1"/>
      <c r="PKR224" s="1"/>
      <c r="PKS224" s="1"/>
      <c r="PKT224" s="1"/>
      <c r="PKU224" s="1"/>
      <c r="PKV224" s="1"/>
      <c r="PKW224" s="1"/>
      <c r="PKX224" s="1"/>
      <c r="PKY224" s="1"/>
      <c r="PKZ224" s="1"/>
      <c r="PLA224" s="1"/>
      <c r="PLB224" s="1"/>
      <c r="PLC224" s="1"/>
      <c r="PLD224" s="1"/>
      <c r="PLE224" s="1"/>
      <c r="PLF224" s="1"/>
      <c r="PLG224" s="1"/>
      <c r="PLH224" s="1"/>
      <c r="PLI224" s="1"/>
      <c r="PLJ224" s="1"/>
      <c r="PLK224" s="1"/>
      <c r="PLL224" s="1"/>
      <c r="PLM224" s="1"/>
      <c r="PLN224" s="1"/>
      <c r="PLO224" s="1"/>
      <c r="PLP224" s="1"/>
      <c r="PLQ224" s="1"/>
      <c r="PLR224" s="1"/>
      <c r="PLS224" s="1"/>
      <c r="PLT224" s="1"/>
      <c r="PLU224" s="1"/>
      <c r="PLV224" s="1"/>
      <c r="PLW224" s="1"/>
      <c r="PLX224" s="1"/>
      <c r="PLY224" s="1"/>
      <c r="PLZ224" s="1"/>
      <c r="PMA224" s="1"/>
      <c r="PMB224" s="1"/>
      <c r="PMC224" s="1"/>
      <c r="PMD224" s="1"/>
      <c r="PME224" s="1"/>
      <c r="PMF224" s="1"/>
      <c r="PMG224" s="1"/>
      <c r="PMH224" s="1"/>
      <c r="PMI224" s="1"/>
      <c r="PMJ224" s="1"/>
      <c r="PMK224" s="1"/>
      <c r="PML224" s="1"/>
      <c r="PMM224" s="1"/>
      <c r="PMN224" s="1"/>
      <c r="PMO224" s="1"/>
      <c r="PMP224" s="1"/>
      <c r="PMQ224" s="1"/>
      <c r="PMR224" s="1"/>
      <c r="PMS224" s="1"/>
      <c r="PMT224" s="1"/>
      <c r="PMU224" s="1"/>
      <c r="PMV224" s="1"/>
      <c r="PMW224" s="1"/>
      <c r="PMX224" s="1"/>
      <c r="PMY224" s="1"/>
      <c r="PMZ224" s="1"/>
      <c r="PNA224" s="1"/>
      <c r="PNB224" s="1"/>
      <c r="PNC224" s="1"/>
      <c r="PND224" s="1"/>
      <c r="PNE224" s="1"/>
      <c r="PNF224" s="1"/>
      <c r="PNG224" s="1"/>
      <c r="PNH224" s="1"/>
      <c r="PNI224" s="1"/>
      <c r="PNJ224" s="1"/>
      <c r="PNK224" s="1"/>
      <c r="PNL224" s="1"/>
      <c r="PNM224" s="1"/>
      <c r="PNN224" s="1"/>
      <c r="PNO224" s="1"/>
      <c r="PNP224" s="1"/>
      <c r="PNQ224" s="1"/>
      <c r="PNR224" s="1"/>
      <c r="PNS224" s="1"/>
      <c r="PNT224" s="1"/>
      <c r="PNU224" s="1"/>
      <c r="PNV224" s="1"/>
      <c r="PNW224" s="1"/>
      <c r="PNX224" s="1"/>
      <c r="PNY224" s="1"/>
      <c r="PNZ224" s="1"/>
      <c r="POA224" s="1"/>
      <c r="POB224" s="1"/>
      <c r="POC224" s="1"/>
      <c r="POD224" s="1"/>
      <c r="POE224" s="1"/>
      <c r="POF224" s="1"/>
      <c r="POG224" s="1"/>
      <c r="POH224" s="1"/>
      <c r="POI224" s="1"/>
      <c r="POJ224" s="1"/>
      <c r="POK224" s="1"/>
      <c r="POL224" s="1"/>
      <c r="POM224" s="1"/>
      <c r="PON224" s="1"/>
      <c r="POO224" s="1"/>
      <c r="POP224" s="1"/>
      <c r="POQ224" s="1"/>
      <c r="POR224" s="1"/>
      <c r="POS224" s="1"/>
      <c r="POT224" s="1"/>
      <c r="POU224" s="1"/>
      <c r="POV224" s="1"/>
      <c r="POW224" s="1"/>
      <c r="POX224" s="1"/>
      <c r="POY224" s="1"/>
      <c r="POZ224" s="1"/>
      <c r="PPA224" s="1"/>
      <c r="PPB224" s="1"/>
      <c r="PPC224" s="1"/>
      <c r="PPD224" s="1"/>
      <c r="PPE224" s="1"/>
      <c r="PPF224" s="1"/>
      <c r="PPG224" s="1"/>
      <c r="PPH224" s="1"/>
      <c r="PPI224" s="1"/>
      <c r="PPJ224" s="1"/>
      <c r="PPK224" s="1"/>
      <c r="PPL224" s="1"/>
      <c r="PPM224" s="1"/>
      <c r="PPN224" s="1"/>
      <c r="PPO224" s="1"/>
      <c r="PPP224" s="1"/>
      <c r="PPQ224" s="1"/>
      <c r="PPR224" s="1"/>
      <c r="PPS224" s="1"/>
      <c r="PPT224" s="1"/>
      <c r="PPU224" s="1"/>
      <c r="PPV224" s="1"/>
      <c r="PPW224" s="1"/>
      <c r="PPX224" s="1"/>
      <c r="PPY224" s="1"/>
      <c r="PPZ224" s="1"/>
      <c r="PQA224" s="1"/>
      <c r="PQB224" s="1"/>
      <c r="PQC224" s="1"/>
      <c r="PQD224" s="1"/>
      <c r="PQE224" s="1"/>
      <c r="PQF224" s="1"/>
      <c r="PQG224" s="1"/>
      <c r="PQH224" s="1"/>
      <c r="PQI224" s="1"/>
      <c r="PQJ224" s="1"/>
      <c r="PQK224" s="1"/>
      <c r="PQL224" s="1"/>
      <c r="PQM224" s="1"/>
      <c r="PQN224" s="1"/>
      <c r="PQO224" s="1"/>
      <c r="PQP224" s="1"/>
      <c r="PQQ224" s="1"/>
      <c r="PQR224" s="1"/>
      <c r="PQS224" s="1"/>
      <c r="PQT224" s="1"/>
      <c r="PQU224" s="1"/>
      <c r="PQV224" s="1"/>
      <c r="PQW224" s="1"/>
      <c r="PQX224" s="1"/>
      <c r="PQY224" s="1"/>
      <c r="PQZ224" s="1"/>
      <c r="PRA224" s="1"/>
      <c r="PRB224" s="1"/>
      <c r="PRC224" s="1"/>
      <c r="PRD224" s="1"/>
      <c r="PRE224" s="1"/>
      <c r="PRF224" s="1"/>
      <c r="PRG224" s="1"/>
      <c r="PRH224" s="1"/>
      <c r="PRI224" s="1"/>
      <c r="PRJ224" s="1"/>
      <c r="PRK224" s="1"/>
      <c r="PRL224" s="1"/>
      <c r="PRM224" s="1"/>
      <c r="PRN224" s="1"/>
      <c r="PRO224" s="1"/>
      <c r="PRP224" s="1"/>
      <c r="PRQ224" s="1"/>
      <c r="PRR224" s="1"/>
      <c r="PRS224" s="1"/>
      <c r="PRT224" s="1"/>
      <c r="PRU224" s="1"/>
      <c r="PRV224" s="1"/>
      <c r="PRW224" s="1"/>
      <c r="PRX224" s="1"/>
      <c r="PRY224" s="1"/>
      <c r="PRZ224" s="1"/>
      <c r="PSA224" s="1"/>
      <c r="PSB224" s="1"/>
      <c r="PSC224" s="1"/>
      <c r="PSD224" s="1"/>
      <c r="PSE224" s="1"/>
      <c r="PSF224" s="1"/>
      <c r="PSG224" s="1"/>
      <c r="PSH224" s="1"/>
      <c r="PSI224" s="1"/>
      <c r="PSJ224" s="1"/>
      <c r="PSK224" s="1"/>
      <c r="PSL224" s="1"/>
      <c r="PSM224" s="1"/>
      <c r="PSN224" s="1"/>
      <c r="PSO224" s="1"/>
      <c r="PSP224" s="1"/>
      <c r="PSQ224" s="1"/>
      <c r="PSR224" s="1"/>
      <c r="PSS224" s="1"/>
      <c r="PST224" s="1"/>
      <c r="PSU224" s="1"/>
      <c r="PSV224" s="1"/>
      <c r="PSW224" s="1"/>
      <c r="PSX224" s="1"/>
      <c r="PSY224" s="1"/>
      <c r="PSZ224" s="1"/>
      <c r="PTA224" s="1"/>
      <c r="PTB224" s="1"/>
      <c r="PTC224" s="1"/>
      <c r="PTD224" s="1"/>
      <c r="PTE224" s="1"/>
      <c r="PTF224" s="1"/>
      <c r="PTG224" s="1"/>
      <c r="PTH224" s="1"/>
      <c r="PTI224" s="1"/>
      <c r="PTJ224" s="1"/>
      <c r="PTK224" s="1"/>
      <c r="PTL224" s="1"/>
      <c r="PTM224" s="1"/>
      <c r="PTN224" s="1"/>
      <c r="PTO224" s="1"/>
      <c r="PTP224" s="1"/>
      <c r="PTQ224" s="1"/>
      <c r="PTR224" s="1"/>
      <c r="PTS224" s="1"/>
      <c r="PTT224" s="1"/>
      <c r="PTU224" s="1"/>
      <c r="PTV224" s="1"/>
      <c r="PTW224" s="1"/>
      <c r="PTX224" s="1"/>
      <c r="PTY224" s="1"/>
      <c r="PTZ224" s="1"/>
      <c r="PUA224" s="1"/>
      <c r="PUB224" s="1"/>
      <c r="PUC224" s="1"/>
      <c r="PUD224" s="1"/>
      <c r="PUE224" s="1"/>
      <c r="PUF224" s="1"/>
      <c r="PUG224" s="1"/>
      <c r="PUH224" s="1"/>
      <c r="PUI224" s="1"/>
      <c r="PUJ224" s="1"/>
      <c r="PUK224" s="1"/>
      <c r="PUL224" s="1"/>
      <c r="PUM224" s="1"/>
      <c r="PUN224" s="1"/>
      <c r="PUO224" s="1"/>
      <c r="PUP224" s="1"/>
      <c r="PUQ224" s="1"/>
      <c r="PUR224" s="1"/>
      <c r="PUS224" s="1"/>
      <c r="PUT224" s="1"/>
      <c r="PUU224" s="1"/>
      <c r="PUV224" s="1"/>
      <c r="PUW224" s="1"/>
      <c r="PUX224" s="1"/>
      <c r="PUY224" s="1"/>
      <c r="PUZ224" s="1"/>
      <c r="PVA224" s="1"/>
      <c r="PVB224" s="1"/>
      <c r="PVC224" s="1"/>
      <c r="PVD224" s="1"/>
      <c r="PVE224" s="1"/>
      <c r="PVF224" s="1"/>
      <c r="PVG224" s="1"/>
      <c r="PVH224" s="1"/>
      <c r="PVI224" s="1"/>
      <c r="PVJ224" s="1"/>
      <c r="PVK224" s="1"/>
      <c r="PVL224" s="1"/>
      <c r="PVM224" s="1"/>
      <c r="PVN224" s="1"/>
      <c r="PVO224" s="1"/>
      <c r="PVP224" s="1"/>
      <c r="PVQ224" s="1"/>
      <c r="PVR224" s="1"/>
      <c r="PVS224" s="1"/>
      <c r="PVT224" s="1"/>
      <c r="PVU224" s="1"/>
      <c r="PVV224" s="1"/>
      <c r="PVW224" s="1"/>
      <c r="PVX224" s="1"/>
      <c r="PVY224" s="1"/>
      <c r="PVZ224" s="1"/>
      <c r="PWA224" s="1"/>
      <c r="PWB224" s="1"/>
      <c r="PWC224" s="1"/>
      <c r="PWD224" s="1"/>
      <c r="PWE224" s="1"/>
      <c r="PWF224" s="1"/>
      <c r="PWG224" s="1"/>
      <c r="PWH224" s="1"/>
      <c r="PWI224" s="1"/>
      <c r="PWJ224" s="1"/>
      <c r="PWK224" s="1"/>
      <c r="PWL224" s="1"/>
      <c r="PWM224" s="1"/>
      <c r="PWN224" s="1"/>
      <c r="PWO224" s="1"/>
      <c r="PWP224" s="1"/>
      <c r="PWQ224" s="1"/>
      <c r="PWR224" s="1"/>
      <c r="PWS224" s="1"/>
      <c r="PWT224" s="1"/>
      <c r="PWU224" s="1"/>
      <c r="PWV224" s="1"/>
      <c r="PWW224" s="1"/>
      <c r="PWX224" s="1"/>
      <c r="PWY224" s="1"/>
      <c r="PWZ224" s="1"/>
      <c r="PXA224" s="1"/>
      <c r="PXB224" s="1"/>
      <c r="PXC224" s="1"/>
      <c r="PXD224" s="1"/>
      <c r="PXE224" s="1"/>
      <c r="PXF224" s="1"/>
      <c r="PXG224" s="1"/>
      <c r="PXH224" s="1"/>
      <c r="PXI224" s="1"/>
      <c r="PXJ224" s="1"/>
      <c r="PXK224" s="1"/>
      <c r="PXL224" s="1"/>
      <c r="PXM224" s="1"/>
      <c r="PXN224" s="1"/>
      <c r="PXO224" s="1"/>
      <c r="PXP224" s="1"/>
      <c r="PXQ224" s="1"/>
      <c r="PXR224" s="1"/>
      <c r="PXS224" s="1"/>
      <c r="PXT224" s="1"/>
      <c r="PXU224" s="1"/>
      <c r="PXV224" s="1"/>
      <c r="PXW224" s="1"/>
      <c r="PXX224" s="1"/>
      <c r="PXY224" s="1"/>
      <c r="PXZ224" s="1"/>
      <c r="PYA224" s="1"/>
      <c r="PYB224" s="1"/>
      <c r="PYC224" s="1"/>
      <c r="PYD224" s="1"/>
      <c r="PYE224" s="1"/>
      <c r="PYF224" s="1"/>
      <c r="PYG224" s="1"/>
      <c r="PYH224" s="1"/>
      <c r="PYI224" s="1"/>
      <c r="PYJ224" s="1"/>
      <c r="PYK224" s="1"/>
      <c r="PYL224" s="1"/>
      <c r="PYM224" s="1"/>
      <c r="PYN224" s="1"/>
      <c r="PYO224" s="1"/>
      <c r="PYP224" s="1"/>
      <c r="PYQ224" s="1"/>
      <c r="PYR224" s="1"/>
      <c r="PYS224" s="1"/>
      <c r="PYT224" s="1"/>
      <c r="PYU224" s="1"/>
      <c r="PYV224" s="1"/>
      <c r="PYW224" s="1"/>
      <c r="PYX224" s="1"/>
      <c r="PYY224" s="1"/>
      <c r="PYZ224" s="1"/>
      <c r="PZA224" s="1"/>
      <c r="PZB224" s="1"/>
      <c r="PZC224" s="1"/>
      <c r="PZD224" s="1"/>
      <c r="PZE224" s="1"/>
      <c r="PZF224" s="1"/>
      <c r="PZG224" s="1"/>
      <c r="PZH224" s="1"/>
      <c r="PZI224" s="1"/>
      <c r="PZJ224" s="1"/>
      <c r="PZK224" s="1"/>
      <c r="PZL224" s="1"/>
      <c r="PZM224" s="1"/>
      <c r="PZN224" s="1"/>
      <c r="PZO224" s="1"/>
      <c r="PZP224" s="1"/>
      <c r="PZQ224" s="1"/>
      <c r="PZR224" s="1"/>
      <c r="PZS224" s="1"/>
      <c r="PZT224" s="1"/>
      <c r="PZU224" s="1"/>
      <c r="PZV224" s="1"/>
      <c r="PZW224" s="1"/>
      <c r="PZX224" s="1"/>
      <c r="PZY224" s="1"/>
      <c r="PZZ224" s="1"/>
      <c r="QAA224" s="1"/>
      <c r="QAB224" s="1"/>
      <c r="QAC224" s="1"/>
      <c r="QAD224" s="1"/>
      <c r="QAE224" s="1"/>
      <c r="QAF224" s="1"/>
      <c r="QAG224" s="1"/>
      <c r="QAH224" s="1"/>
      <c r="QAI224" s="1"/>
      <c r="QAJ224" s="1"/>
      <c r="QAK224" s="1"/>
      <c r="QAL224" s="1"/>
      <c r="QAM224" s="1"/>
      <c r="QAN224" s="1"/>
      <c r="QAO224" s="1"/>
      <c r="QAP224" s="1"/>
      <c r="QAQ224" s="1"/>
      <c r="QAR224" s="1"/>
      <c r="QAS224" s="1"/>
      <c r="QAT224" s="1"/>
      <c r="QAU224" s="1"/>
      <c r="QAV224" s="1"/>
      <c r="QAW224" s="1"/>
      <c r="QAX224" s="1"/>
      <c r="QAY224" s="1"/>
      <c r="QAZ224" s="1"/>
      <c r="QBA224" s="1"/>
      <c r="QBB224" s="1"/>
      <c r="QBC224" s="1"/>
      <c r="QBD224" s="1"/>
      <c r="QBE224" s="1"/>
      <c r="QBF224" s="1"/>
      <c r="QBG224" s="1"/>
      <c r="QBH224" s="1"/>
      <c r="QBI224" s="1"/>
      <c r="QBJ224" s="1"/>
      <c r="QBK224" s="1"/>
      <c r="QBL224" s="1"/>
      <c r="QBM224" s="1"/>
      <c r="QBN224" s="1"/>
      <c r="QBO224" s="1"/>
      <c r="QBP224" s="1"/>
      <c r="QBQ224" s="1"/>
      <c r="QBR224" s="1"/>
      <c r="QBS224" s="1"/>
      <c r="QBT224" s="1"/>
      <c r="QBU224" s="1"/>
      <c r="QBV224" s="1"/>
      <c r="QBW224" s="1"/>
      <c r="QBX224" s="1"/>
      <c r="QBY224" s="1"/>
      <c r="QBZ224" s="1"/>
      <c r="QCA224" s="1"/>
      <c r="QCB224" s="1"/>
      <c r="QCC224" s="1"/>
      <c r="QCD224" s="1"/>
      <c r="QCE224" s="1"/>
      <c r="QCF224" s="1"/>
      <c r="QCG224" s="1"/>
      <c r="QCH224" s="1"/>
      <c r="QCI224" s="1"/>
      <c r="QCJ224" s="1"/>
      <c r="QCK224" s="1"/>
      <c r="QCL224" s="1"/>
      <c r="QCM224" s="1"/>
      <c r="QCN224" s="1"/>
      <c r="QCO224" s="1"/>
      <c r="QCP224" s="1"/>
      <c r="QCQ224" s="1"/>
      <c r="QCR224" s="1"/>
      <c r="QCS224" s="1"/>
      <c r="QCT224" s="1"/>
      <c r="QCU224" s="1"/>
      <c r="QCV224" s="1"/>
      <c r="QCW224" s="1"/>
      <c r="QCX224" s="1"/>
      <c r="QCY224" s="1"/>
      <c r="QCZ224" s="1"/>
      <c r="QDA224" s="1"/>
      <c r="QDB224" s="1"/>
      <c r="QDC224" s="1"/>
      <c r="QDD224" s="1"/>
      <c r="QDE224" s="1"/>
      <c r="QDF224" s="1"/>
      <c r="QDG224" s="1"/>
      <c r="QDH224" s="1"/>
      <c r="QDI224" s="1"/>
      <c r="QDJ224" s="1"/>
      <c r="QDK224" s="1"/>
      <c r="QDL224" s="1"/>
      <c r="QDM224" s="1"/>
      <c r="QDN224" s="1"/>
      <c r="QDO224" s="1"/>
      <c r="QDP224" s="1"/>
      <c r="QDQ224" s="1"/>
      <c r="QDR224" s="1"/>
      <c r="QDS224" s="1"/>
      <c r="QDT224" s="1"/>
      <c r="QDU224" s="1"/>
      <c r="QDV224" s="1"/>
      <c r="QDW224" s="1"/>
      <c r="QDX224" s="1"/>
      <c r="QDY224" s="1"/>
      <c r="QDZ224" s="1"/>
      <c r="QEA224" s="1"/>
      <c r="QEB224" s="1"/>
      <c r="QEC224" s="1"/>
      <c r="QED224" s="1"/>
      <c r="QEE224" s="1"/>
      <c r="QEF224" s="1"/>
      <c r="QEG224" s="1"/>
      <c r="QEH224" s="1"/>
      <c r="QEI224" s="1"/>
      <c r="QEJ224" s="1"/>
      <c r="QEK224" s="1"/>
      <c r="QEL224" s="1"/>
      <c r="QEM224" s="1"/>
      <c r="QEN224" s="1"/>
      <c r="QEO224" s="1"/>
      <c r="QEP224" s="1"/>
      <c r="QEQ224" s="1"/>
      <c r="QER224" s="1"/>
      <c r="QES224" s="1"/>
      <c r="QET224" s="1"/>
      <c r="QEU224" s="1"/>
      <c r="QEV224" s="1"/>
      <c r="QEW224" s="1"/>
      <c r="QEX224" s="1"/>
      <c r="QEY224" s="1"/>
      <c r="QEZ224" s="1"/>
      <c r="QFA224" s="1"/>
      <c r="QFB224" s="1"/>
      <c r="QFC224" s="1"/>
      <c r="QFD224" s="1"/>
      <c r="QFE224" s="1"/>
      <c r="QFF224" s="1"/>
      <c r="QFG224" s="1"/>
      <c r="QFH224" s="1"/>
      <c r="QFI224" s="1"/>
      <c r="QFJ224" s="1"/>
      <c r="QFK224" s="1"/>
      <c r="QFL224" s="1"/>
      <c r="QFM224" s="1"/>
      <c r="QFN224" s="1"/>
      <c r="QFO224" s="1"/>
      <c r="QFP224" s="1"/>
      <c r="QFQ224" s="1"/>
      <c r="QFR224" s="1"/>
      <c r="QFS224" s="1"/>
      <c r="QFT224" s="1"/>
      <c r="QFU224" s="1"/>
      <c r="QFV224" s="1"/>
      <c r="QFW224" s="1"/>
      <c r="QFX224" s="1"/>
      <c r="QFY224" s="1"/>
      <c r="QFZ224" s="1"/>
      <c r="QGA224" s="1"/>
      <c r="QGB224" s="1"/>
      <c r="QGC224" s="1"/>
      <c r="QGD224" s="1"/>
      <c r="QGE224" s="1"/>
      <c r="QGF224" s="1"/>
      <c r="QGG224" s="1"/>
      <c r="QGH224" s="1"/>
      <c r="QGI224" s="1"/>
      <c r="QGJ224" s="1"/>
      <c r="QGK224" s="1"/>
      <c r="QGL224" s="1"/>
      <c r="QGM224" s="1"/>
      <c r="QGN224" s="1"/>
      <c r="QGO224" s="1"/>
      <c r="QGP224" s="1"/>
      <c r="QGQ224" s="1"/>
      <c r="QGR224" s="1"/>
      <c r="QGS224" s="1"/>
      <c r="QGT224" s="1"/>
      <c r="QGU224" s="1"/>
      <c r="QGV224" s="1"/>
      <c r="QGW224" s="1"/>
      <c r="QGX224" s="1"/>
      <c r="QGY224" s="1"/>
      <c r="QGZ224" s="1"/>
      <c r="QHA224" s="1"/>
      <c r="QHB224" s="1"/>
      <c r="QHC224" s="1"/>
      <c r="QHD224" s="1"/>
      <c r="QHE224" s="1"/>
      <c r="QHF224" s="1"/>
      <c r="QHG224" s="1"/>
      <c r="QHH224" s="1"/>
      <c r="QHI224" s="1"/>
      <c r="QHJ224" s="1"/>
      <c r="QHK224" s="1"/>
      <c r="QHL224" s="1"/>
      <c r="QHM224" s="1"/>
      <c r="QHN224" s="1"/>
      <c r="QHO224" s="1"/>
      <c r="QHP224" s="1"/>
      <c r="QHQ224" s="1"/>
      <c r="QHR224" s="1"/>
      <c r="QHS224" s="1"/>
      <c r="QHT224" s="1"/>
      <c r="QHU224" s="1"/>
      <c r="QHV224" s="1"/>
      <c r="QHW224" s="1"/>
      <c r="QHX224" s="1"/>
      <c r="QHY224" s="1"/>
      <c r="QHZ224" s="1"/>
      <c r="QIA224" s="1"/>
      <c r="QIB224" s="1"/>
      <c r="QIC224" s="1"/>
      <c r="QID224" s="1"/>
      <c r="QIE224" s="1"/>
      <c r="QIF224" s="1"/>
      <c r="QIG224" s="1"/>
      <c r="QIH224" s="1"/>
      <c r="QII224" s="1"/>
      <c r="QIJ224" s="1"/>
      <c r="QIK224" s="1"/>
      <c r="QIL224" s="1"/>
      <c r="QIM224" s="1"/>
      <c r="QIN224" s="1"/>
      <c r="QIO224" s="1"/>
      <c r="QIP224" s="1"/>
      <c r="QIQ224" s="1"/>
      <c r="QIR224" s="1"/>
      <c r="QIS224" s="1"/>
      <c r="QIT224" s="1"/>
      <c r="QIU224" s="1"/>
      <c r="QIV224" s="1"/>
      <c r="QIW224" s="1"/>
      <c r="QIX224" s="1"/>
      <c r="QIY224" s="1"/>
      <c r="QIZ224" s="1"/>
      <c r="QJA224" s="1"/>
      <c r="QJB224" s="1"/>
      <c r="QJC224" s="1"/>
      <c r="QJD224" s="1"/>
      <c r="QJE224" s="1"/>
      <c r="QJF224" s="1"/>
      <c r="QJG224" s="1"/>
      <c r="QJH224" s="1"/>
      <c r="QJI224" s="1"/>
      <c r="QJJ224" s="1"/>
      <c r="QJK224" s="1"/>
      <c r="QJL224" s="1"/>
      <c r="QJM224" s="1"/>
      <c r="QJN224" s="1"/>
      <c r="QJO224" s="1"/>
      <c r="QJP224" s="1"/>
      <c r="QJQ224" s="1"/>
      <c r="QJR224" s="1"/>
      <c r="QJS224" s="1"/>
      <c r="QJT224" s="1"/>
      <c r="QJU224" s="1"/>
      <c r="QJV224" s="1"/>
      <c r="QJW224" s="1"/>
      <c r="QJX224" s="1"/>
      <c r="QJY224" s="1"/>
      <c r="QJZ224" s="1"/>
      <c r="QKA224" s="1"/>
      <c r="QKB224" s="1"/>
      <c r="QKC224" s="1"/>
      <c r="QKD224" s="1"/>
      <c r="QKE224" s="1"/>
      <c r="QKF224" s="1"/>
      <c r="QKG224" s="1"/>
      <c r="QKH224" s="1"/>
      <c r="QKI224" s="1"/>
      <c r="QKJ224" s="1"/>
      <c r="QKK224" s="1"/>
      <c r="QKL224" s="1"/>
      <c r="QKM224" s="1"/>
      <c r="QKN224" s="1"/>
      <c r="QKO224" s="1"/>
      <c r="QKP224" s="1"/>
      <c r="QKQ224" s="1"/>
      <c r="QKR224" s="1"/>
      <c r="QKS224" s="1"/>
      <c r="QKT224" s="1"/>
      <c r="QKU224" s="1"/>
      <c r="QKV224" s="1"/>
      <c r="QKW224" s="1"/>
      <c r="QKX224" s="1"/>
      <c r="QKY224" s="1"/>
      <c r="QKZ224" s="1"/>
      <c r="QLA224" s="1"/>
      <c r="QLB224" s="1"/>
      <c r="QLC224" s="1"/>
      <c r="QLD224" s="1"/>
      <c r="QLE224" s="1"/>
      <c r="QLF224" s="1"/>
      <c r="QLG224" s="1"/>
      <c r="QLH224" s="1"/>
      <c r="QLI224" s="1"/>
      <c r="QLJ224" s="1"/>
      <c r="QLK224" s="1"/>
      <c r="QLL224" s="1"/>
      <c r="QLM224" s="1"/>
      <c r="QLN224" s="1"/>
      <c r="QLO224" s="1"/>
      <c r="QLP224" s="1"/>
      <c r="QLQ224" s="1"/>
      <c r="QLR224" s="1"/>
      <c r="QLS224" s="1"/>
      <c r="QLT224" s="1"/>
      <c r="QLU224" s="1"/>
      <c r="QLV224" s="1"/>
      <c r="QLW224" s="1"/>
      <c r="QLX224" s="1"/>
      <c r="QLY224" s="1"/>
      <c r="QLZ224" s="1"/>
      <c r="QMA224" s="1"/>
      <c r="QMB224" s="1"/>
      <c r="QMC224" s="1"/>
      <c r="QMD224" s="1"/>
      <c r="QME224" s="1"/>
      <c r="QMF224" s="1"/>
      <c r="QMG224" s="1"/>
      <c r="QMH224" s="1"/>
      <c r="QMI224" s="1"/>
      <c r="QMJ224" s="1"/>
      <c r="QMK224" s="1"/>
      <c r="QML224" s="1"/>
      <c r="QMM224" s="1"/>
      <c r="QMN224" s="1"/>
      <c r="QMO224" s="1"/>
      <c r="QMP224" s="1"/>
      <c r="QMQ224" s="1"/>
      <c r="QMR224" s="1"/>
      <c r="QMS224" s="1"/>
      <c r="QMT224" s="1"/>
      <c r="QMU224" s="1"/>
      <c r="QMV224" s="1"/>
      <c r="QMW224" s="1"/>
      <c r="QMX224" s="1"/>
      <c r="QMY224" s="1"/>
      <c r="QMZ224" s="1"/>
      <c r="QNA224" s="1"/>
      <c r="QNB224" s="1"/>
      <c r="QNC224" s="1"/>
      <c r="QND224" s="1"/>
      <c r="QNE224" s="1"/>
      <c r="QNF224" s="1"/>
      <c r="QNG224" s="1"/>
      <c r="QNH224" s="1"/>
      <c r="QNI224" s="1"/>
      <c r="QNJ224" s="1"/>
      <c r="QNK224" s="1"/>
      <c r="QNL224" s="1"/>
      <c r="QNM224" s="1"/>
      <c r="QNN224" s="1"/>
      <c r="QNO224" s="1"/>
      <c r="QNP224" s="1"/>
      <c r="QNQ224" s="1"/>
      <c r="QNR224" s="1"/>
      <c r="QNS224" s="1"/>
      <c r="QNT224" s="1"/>
      <c r="QNU224" s="1"/>
      <c r="QNV224" s="1"/>
      <c r="QNW224" s="1"/>
      <c r="QNX224" s="1"/>
      <c r="QNY224" s="1"/>
      <c r="QNZ224" s="1"/>
      <c r="QOA224" s="1"/>
      <c r="QOB224" s="1"/>
      <c r="QOC224" s="1"/>
      <c r="QOD224" s="1"/>
      <c r="QOE224" s="1"/>
      <c r="QOF224" s="1"/>
      <c r="QOG224" s="1"/>
      <c r="QOH224" s="1"/>
      <c r="QOI224" s="1"/>
      <c r="QOJ224" s="1"/>
      <c r="QOK224" s="1"/>
      <c r="QOL224" s="1"/>
      <c r="QOM224" s="1"/>
      <c r="QON224" s="1"/>
      <c r="QOO224" s="1"/>
      <c r="QOP224" s="1"/>
      <c r="QOQ224" s="1"/>
      <c r="QOR224" s="1"/>
      <c r="QOS224" s="1"/>
      <c r="QOT224" s="1"/>
      <c r="QOU224" s="1"/>
      <c r="QOV224" s="1"/>
      <c r="QOW224" s="1"/>
      <c r="QOX224" s="1"/>
      <c r="QOY224" s="1"/>
      <c r="QOZ224" s="1"/>
      <c r="QPA224" s="1"/>
      <c r="QPB224" s="1"/>
      <c r="QPC224" s="1"/>
      <c r="QPD224" s="1"/>
      <c r="QPE224" s="1"/>
      <c r="QPF224" s="1"/>
      <c r="QPG224" s="1"/>
      <c r="QPH224" s="1"/>
      <c r="QPI224" s="1"/>
      <c r="QPJ224" s="1"/>
      <c r="QPK224" s="1"/>
      <c r="QPL224" s="1"/>
      <c r="QPM224" s="1"/>
      <c r="QPN224" s="1"/>
      <c r="QPO224" s="1"/>
      <c r="QPP224" s="1"/>
      <c r="QPQ224" s="1"/>
      <c r="QPR224" s="1"/>
      <c r="QPS224" s="1"/>
      <c r="QPT224" s="1"/>
      <c r="QPU224" s="1"/>
      <c r="QPV224" s="1"/>
      <c r="QPW224" s="1"/>
      <c r="QPX224" s="1"/>
      <c r="QPY224" s="1"/>
      <c r="QPZ224" s="1"/>
      <c r="QQA224" s="1"/>
      <c r="QQB224" s="1"/>
      <c r="QQC224" s="1"/>
      <c r="QQD224" s="1"/>
      <c r="QQE224" s="1"/>
      <c r="QQF224" s="1"/>
      <c r="QQG224" s="1"/>
      <c r="QQH224" s="1"/>
      <c r="QQI224" s="1"/>
      <c r="QQJ224" s="1"/>
      <c r="QQK224" s="1"/>
      <c r="QQL224" s="1"/>
      <c r="QQM224" s="1"/>
      <c r="QQN224" s="1"/>
      <c r="QQO224" s="1"/>
      <c r="QQP224" s="1"/>
      <c r="QQQ224" s="1"/>
      <c r="QQR224" s="1"/>
      <c r="QQS224" s="1"/>
      <c r="QQT224" s="1"/>
      <c r="QQU224" s="1"/>
      <c r="QQV224" s="1"/>
      <c r="QQW224" s="1"/>
      <c r="QQX224" s="1"/>
      <c r="QQY224" s="1"/>
      <c r="QQZ224" s="1"/>
      <c r="QRA224" s="1"/>
      <c r="QRB224" s="1"/>
      <c r="QRC224" s="1"/>
      <c r="QRD224" s="1"/>
      <c r="QRE224" s="1"/>
      <c r="QRF224" s="1"/>
      <c r="QRG224" s="1"/>
      <c r="QRH224" s="1"/>
      <c r="QRI224" s="1"/>
      <c r="QRJ224" s="1"/>
      <c r="QRK224" s="1"/>
      <c r="QRL224" s="1"/>
      <c r="QRM224" s="1"/>
      <c r="QRN224" s="1"/>
      <c r="QRO224" s="1"/>
      <c r="QRP224" s="1"/>
      <c r="QRQ224" s="1"/>
      <c r="QRR224" s="1"/>
      <c r="QRS224" s="1"/>
      <c r="QRT224" s="1"/>
      <c r="QRU224" s="1"/>
      <c r="QRV224" s="1"/>
      <c r="QRW224" s="1"/>
      <c r="QRX224" s="1"/>
      <c r="QRY224" s="1"/>
      <c r="QRZ224" s="1"/>
      <c r="QSA224" s="1"/>
      <c r="QSB224" s="1"/>
      <c r="QSC224" s="1"/>
      <c r="QSD224" s="1"/>
      <c r="QSE224" s="1"/>
      <c r="QSF224" s="1"/>
      <c r="QSG224" s="1"/>
      <c r="QSH224" s="1"/>
      <c r="QSI224" s="1"/>
      <c r="QSJ224" s="1"/>
      <c r="QSK224" s="1"/>
      <c r="QSL224" s="1"/>
      <c r="QSM224" s="1"/>
      <c r="QSN224" s="1"/>
      <c r="QSO224" s="1"/>
      <c r="QSP224" s="1"/>
      <c r="QSQ224" s="1"/>
      <c r="QSR224" s="1"/>
      <c r="QSS224" s="1"/>
      <c r="QST224" s="1"/>
      <c r="QSU224" s="1"/>
      <c r="QSV224" s="1"/>
      <c r="QSW224" s="1"/>
      <c r="QSX224" s="1"/>
      <c r="QSY224" s="1"/>
      <c r="QSZ224" s="1"/>
      <c r="QTA224" s="1"/>
      <c r="QTB224" s="1"/>
      <c r="QTC224" s="1"/>
      <c r="QTD224" s="1"/>
      <c r="QTE224" s="1"/>
      <c r="QTF224" s="1"/>
      <c r="QTG224" s="1"/>
      <c r="QTH224" s="1"/>
      <c r="QTI224" s="1"/>
      <c r="QTJ224" s="1"/>
      <c r="QTK224" s="1"/>
      <c r="QTL224" s="1"/>
      <c r="QTM224" s="1"/>
      <c r="QTN224" s="1"/>
      <c r="QTO224" s="1"/>
      <c r="QTP224" s="1"/>
      <c r="QTQ224" s="1"/>
      <c r="QTR224" s="1"/>
      <c r="QTS224" s="1"/>
      <c r="QTT224" s="1"/>
      <c r="QTU224" s="1"/>
      <c r="QTV224" s="1"/>
      <c r="QTW224" s="1"/>
      <c r="QTX224" s="1"/>
      <c r="QTY224" s="1"/>
      <c r="QTZ224" s="1"/>
      <c r="QUA224" s="1"/>
      <c r="QUB224" s="1"/>
      <c r="QUC224" s="1"/>
      <c r="QUD224" s="1"/>
      <c r="QUE224" s="1"/>
      <c r="QUF224" s="1"/>
      <c r="QUG224" s="1"/>
      <c r="QUH224" s="1"/>
      <c r="QUI224" s="1"/>
      <c r="QUJ224" s="1"/>
      <c r="QUK224" s="1"/>
      <c r="QUL224" s="1"/>
      <c r="QUM224" s="1"/>
      <c r="QUN224" s="1"/>
      <c r="QUO224" s="1"/>
      <c r="QUP224" s="1"/>
      <c r="QUQ224" s="1"/>
      <c r="QUR224" s="1"/>
      <c r="QUS224" s="1"/>
      <c r="QUT224" s="1"/>
      <c r="QUU224" s="1"/>
      <c r="QUV224" s="1"/>
      <c r="QUW224" s="1"/>
      <c r="QUX224" s="1"/>
      <c r="QUY224" s="1"/>
      <c r="QUZ224" s="1"/>
      <c r="QVA224" s="1"/>
      <c r="QVB224" s="1"/>
      <c r="QVC224" s="1"/>
      <c r="QVD224" s="1"/>
      <c r="QVE224" s="1"/>
      <c r="QVF224" s="1"/>
      <c r="QVG224" s="1"/>
      <c r="QVH224" s="1"/>
      <c r="QVI224" s="1"/>
      <c r="QVJ224" s="1"/>
      <c r="QVK224" s="1"/>
      <c r="QVL224" s="1"/>
      <c r="QVM224" s="1"/>
      <c r="QVN224" s="1"/>
      <c r="QVO224" s="1"/>
      <c r="QVP224" s="1"/>
      <c r="QVQ224" s="1"/>
      <c r="QVR224" s="1"/>
      <c r="QVS224" s="1"/>
      <c r="QVT224" s="1"/>
      <c r="QVU224" s="1"/>
      <c r="QVV224" s="1"/>
      <c r="QVW224" s="1"/>
      <c r="QVX224" s="1"/>
      <c r="QVY224" s="1"/>
      <c r="QVZ224" s="1"/>
      <c r="QWA224" s="1"/>
      <c r="QWB224" s="1"/>
      <c r="QWC224" s="1"/>
      <c r="QWD224" s="1"/>
      <c r="QWE224" s="1"/>
      <c r="QWF224" s="1"/>
      <c r="QWG224" s="1"/>
      <c r="QWH224" s="1"/>
      <c r="QWI224" s="1"/>
      <c r="QWJ224" s="1"/>
      <c r="QWK224" s="1"/>
      <c r="QWL224" s="1"/>
      <c r="QWM224" s="1"/>
      <c r="QWN224" s="1"/>
      <c r="QWO224" s="1"/>
      <c r="QWP224" s="1"/>
      <c r="QWQ224" s="1"/>
      <c r="QWR224" s="1"/>
      <c r="QWS224" s="1"/>
      <c r="QWT224" s="1"/>
      <c r="QWU224" s="1"/>
      <c r="QWV224" s="1"/>
      <c r="QWW224" s="1"/>
      <c r="QWX224" s="1"/>
      <c r="QWY224" s="1"/>
      <c r="QWZ224" s="1"/>
      <c r="QXA224" s="1"/>
      <c r="QXB224" s="1"/>
      <c r="QXC224" s="1"/>
      <c r="QXD224" s="1"/>
      <c r="QXE224" s="1"/>
      <c r="QXF224" s="1"/>
      <c r="QXG224" s="1"/>
      <c r="QXH224" s="1"/>
      <c r="QXI224" s="1"/>
      <c r="QXJ224" s="1"/>
      <c r="QXK224" s="1"/>
      <c r="QXL224" s="1"/>
      <c r="QXM224" s="1"/>
      <c r="QXN224" s="1"/>
      <c r="QXO224" s="1"/>
      <c r="QXP224" s="1"/>
      <c r="QXQ224" s="1"/>
      <c r="QXR224" s="1"/>
      <c r="QXS224" s="1"/>
      <c r="QXT224" s="1"/>
      <c r="QXU224" s="1"/>
      <c r="QXV224" s="1"/>
      <c r="QXW224" s="1"/>
      <c r="QXX224" s="1"/>
      <c r="QXY224" s="1"/>
      <c r="QXZ224" s="1"/>
      <c r="QYA224" s="1"/>
      <c r="QYB224" s="1"/>
      <c r="QYC224" s="1"/>
      <c r="QYD224" s="1"/>
      <c r="QYE224" s="1"/>
      <c r="QYF224" s="1"/>
      <c r="QYG224" s="1"/>
      <c r="QYH224" s="1"/>
      <c r="QYI224" s="1"/>
      <c r="QYJ224" s="1"/>
      <c r="QYK224" s="1"/>
      <c r="QYL224" s="1"/>
      <c r="QYM224" s="1"/>
      <c r="QYN224" s="1"/>
      <c r="QYO224" s="1"/>
      <c r="QYP224" s="1"/>
      <c r="QYQ224" s="1"/>
      <c r="QYR224" s="1"/>
      <c r="QYS224" s="1"/>
      <c r="QYT224" s="1"/>
      <c r="QYU224" s="1"/>
      <c r="QYV224" s="1"/>
      <c r="QYW224" s="1"/>
      <c r="QYX224" s="1"/>
      <c r="QYY224" s="1"/>
      <c r="QYZ224" s="1"/>
      <c r="QZA224" s="1"/>
      <c r="QZB224" s="1"/>
      <c r="QZC224" s="1"/>
      <c r="QZD224" s="1"/>
      <c r="QZE224" s="1"/>
      <c r="QZF224" s="1"/>
      <c r="QZG224" s="1"/>
      <c r="QZH224" s="1"/>
      <c r="QZI224" s="1"/>
      <c r="QZJ224" s="1"/>
      <c r="QZK224" s="1"/>
      <c r="QZL224" s="1"/>
      <c r="QZM224" s="1"/>
      <c r="QZN224" s="1"/>
      <c r="QZO224" s="1"/>
      <c r="QZP224" s="1"/>
      <c r="QZQ224" s="1"/>
      <c r="QZR224" s="1"/>
      <c r="QZS224" s="1"/>
      <c r="QZT224" s="1"/>
      <c r="QZU224" s="1"/>
      <c r="QZV224" s="1"/>
      <c r="QZW224" s="1"/>
      <c r="QZX224" s="1"/>
      <c r="QZY224" s="1"/>
      <c r="QZZ224" s="1"/>
      <c r="RAA224" s="1"/>
      <c r="RAB224" s="1"/>
      <c r="RAC224" s="1"/>
      <c r="RAD224" s="1"/>
      <c r="RAE224" s="1"/>
      <c r="RAF224" s="1"/>
      <c r="RAG224" s="1"/>
      <c r="RAH224" s="1"/>
      <c r="RAI224" s="1"/>
      <c r="RAJ224" s="1"/>
      <c r="RAK224" s="1"/>
      <c r="RAL224" s="1"/>
      <c r="RAM224" s="1"/>
      <c r="RAN224" s="1"/>
      <c r="RAO224" s="1"/>
      <c r="RAP224" s="1"/>
      <c r="RAQ224" s="1"/>
      <c r="RAR224" s="1"/>
      <c r="RAS224" s="1"/>
      <c r="RAT224" s="1"/>
      <c r="RAU224" s="1"/>
      <c r="RAV224" s="1"/>
      <c r="RAW224" s="1"/>
      <c r="RAX224" s="1"/>
      <c r="RAY224" s="1"/>
      <c r="RAZ224" s="1"/>
      <c r="RBA224" s="1"/>
      <c r="RBB224" s="1"/>
      <c r="RBC224" s="1"/>
      <c r="RBD224" s="1"/>
      <c r="RBE224" s="1"/>
      <c r="RBF224" s="1"/>
      <c r="RBG224" s="1"/>
      <c r="RBH224" s="1"/>
      <c r="RBI224" s="1"/>
      <c r="RBJ224" s="1"/>
      <c r="RBK224" s="1"/>
      <c r="RBL224" s="1"/>
      <c r="RBM224" s="1"/>
      <c r="RBN224" s="1"/>
      <c r="RBO224" s="1"/>
      <c r="RBP224" s="1"/>
      <c r="RBQ224" s="1"/>
      <c r="RBR224" s="1"/>
      <c r="RBS224" s="1"/>
      <c r="RBT224" s="1"/>
      <c r="RBU224" s="1"/>
      <c r="RBV224" s="1"/>
      <c r="RBW224" s="1"/>
      <c r="RBX224" s="1"/>
      <c r="RBY224" s="1"/>
      <c r="RBZ224" s="1"/>
      <c r="RCA224" s="1"/>
      <c r="RCB224" s="1"/>
      <c r="RCC224" s="1"/>
      <c r="RCD224" s="1"/>
      <c r="RCE224" s="1"/>
      <c r="RCF224" s="1"/>
      <c r="RCG224" s="1"/>
      <c r="RCH224" s="1"/>
      <c r="RCI224" s="1"/>
      <c r="RCJ224" s="1"/>
      <c r="RCK224" s="1"/>
      <c r="RCL224" s="1"/>
      <c r="RCM224" s="1"/>
      <c r="RCN224" s="1"/>
      <c r="RCO224" s="1"/>
      <c r="RCP224" s="1"/>
      <c r="RCQ224" s="1"/>
      <c r="RCR224" s="1"/>
      <c r="RCS224" s="1"/>
      <c r="RCT224" s="1"/>
      <c r="RCU224" s="1"/>
      <c r="RCV224" s="1"/>
      <c r="RCW224" s="1"/>
      <c r="RCX224" s="1"/>
      <c r="RCY224" s="1"/>
      <c r="RCZ224" s="1"/>
      <c r="RDA224" s="1"/>
      <c r="RDB224" s="1"/>
      <c r="RDC224" s="1"/>
      <c r="RDD224" s="1"/>
      <c r="RDE224" s="1"/>
      <c r="RDF224" s="1"/>
      <c r="RDG224" s="1"/>
      <c r="RDH224" s="1"/>
      <c r="RDI224" s="1"/>
      <c r="RDJ224" s="1"/>
      <c r="RDK224" s="1"/>
      <c r="RDL224" s="1"/>
      <c r="RDM224" s="1"/>
      <c r="RDN224" s="1"/>
      <c r="RDO224" s="1"/>
      <c r="RDP224" s="1"/>
      <c r="RDQ224" s="1"/>
      <c r="RDR224" s="1"/>
      <c r="RDS224" s="1"/>
      <c r="RDT224" s="1"/>
      <c r="RDU224" s="1"/>
      <c r="RDV224" s="1"/>
      <c r="RDW224" s="1"/>
      <c r="RDX224" s="1"/>
      <c r="RDY224" s="1"/>
      <c r="RDZ224" s="1"/>
      <c r="REA224" s="1"/>
      <c r="REB224" s="1"/>
      <c r="REC224" s="1"/>
      <c r="RED224" s="1"/>
      <c r="REE224" s="1"/>
      <c r="REF224" s="1"/>
      <c r="REG224" s="1"/>
      <c r="REH224" s="1"/>
      <c r="REI224" s="1"/>
      <c r="REJ224" s="1"/>
      <c r="REK224" s="1"/>
      <c r="REL224" s="1"/>
      <c r="REM224" s="1"/>
      <c r="REN224" s="1"/>
      <c r="REO224" s="1"/>
      <c r="REP224" s="1"/>
      <c r="REQ224" s="1"/>
      <c r="RER224" s="1"/>
      <c r="RES224" s="1"/>
      <c r="RET224" s="1"/>
      <c r="REU224" s="1"/>
      <c r="REV224" s="1"/>
      <c r="REW224" s="1"/>
      <c r="REX224" s="1"/>
      <c r="REY224" s="1"/>
      <c r="REZ224" s="1"/>
      <c r="RFA224" s="1"/>
      <c r="RFB224" s="1"/>
      <c r="RFC224" s="1"/>
      <c r="RFD224" s="1"/>
      <c r="RFE224" s="1"/>
      <c r="RFF224" s="1"/>
      <c r="RFG224" s="1"/>
      <c r="RFH224" s="1"/>
      <c r="RFI224" s="1"/>
      <c r="RFJ224" s="1"/>
      <c r="RFK224" s="1"/>
      <c r="RFL224" s="1"/>
      <c r="RFM224" s="1"/>
      <c r="RFN224" s="1"/>
      <c r="RFO224" s="1"/>
      <c r="RFP224" s="1"/>
      <c r="RFQ224" s="1"/>
      <c r="RFR224" s="1"/>
      <c r="RFS224" s="1"/>
      <c r="RFT224" s="1"/>
      <c r="RFU224" s="1"/>
      <c r="RFV224" s="1"/>
      <c r="RFW224" s="1"/>
      <c r="RFX224" s="1"/>
      <c r="RFY224" s="1"/>
      <c r="RFZ224" s="1"/>
      <c r="RGA224" s="1"/>
      <c r="RGB224" s="1"/>
      <c r="RGC224" s="1"/>
      <c r="RGD224" s="1"/>
      <c r="RGE224" s="1"/>
      <c r="RGF224" s="1"/>
      <c r="RGG224" s="1"/>
      <c r="RGH224" s="1"/>
      <c r="RGI224" s="1"/>
      <c r="RGJ224" s="1"/>
      <c r="RGK224" s="1"/>
      <c r="RGL224" s="1"/>
      <c r="RGM224" s="1"/>
      <c r="RGN224" s="1"/>
      <c r="RGO224" s="1"/>
      <c r="RGP224" s="1"/>
      <c r="RGQ224" s="1"/>
      <c r="RGR224" s="1"/>
      <c r="RGS224" s="1"/>
      <c r="RGT224" s="1"/>
      <c r="RGU224" s="1"/>
      <c r="RGV224" s="1"/>
      <c r="RGW224" s="1"/>
      <c r="RGX224" s="1"/>
      <c r="RGY224" s="1"/>
      <c r="RGZ224" s="1"/>
      <c r="RHA224" s="1"/>
      <c r="RHB224" s="1"/>
      <c r="RHC224" s="1"/>
      <c r="RHD224" s="1"/>
      <c r="RHE224" s="1"/>
      <c r="RHF224" s="1"/>
      <c r="RHG224" s="1"/>
      <c r="RHH224" s="1"/>
      <c r="RHI224" s="1"/>
      <c r="RHJ224" s="1"/>
      <c r="RHK224" s="1"/>
      <c r="RHL224" s="1"/>
      <c r="RHM224" s="1"/>
      <c r="RHN224" s="1"/>
      <c r="RHO224" s="1"/>
      <c r="RHP224" s="1"/>
      <c r="RHQ224" s="1"/>
      <c r="RHR224" s="1"/>
      <c r="RHS224" s="1"/>
      <c r="RHT224" s="1"/>
      <c r="RHU224" s="1"/>
      <c r="RHV224" s="1"/>
      <c r="RHW224" s="1"/>
      <c r="RHX224" s="1"/>
      <c r="RHY224" s="1"/>
      <c r="RHZ224" s="1"/>
      <c r="RIA224" s="1"/>
      <c r="RIB224" s="1"/>
      <c r="RIC224" s="1"/>
      <c r="RID224" s="1"/>
      <c r="RIE224" s="1"/>
      <c r="RIF224" s="1"/>
      <c r="RIG224" s="1"/>
      <c r="RIH224" s="1"/>
      <c r="RII224" s="1"/>
      <c r="RIJ224" s="1"/>
      <c r="RIK224" s="1"/>
      <c r="RIL224" s="1"/>
      <c r="RIM224" s="1"/>
      <c r="RIN224" s="1"/>
      <c r="RIO224" s="1"/>
      <c r="RIP224" s="1"/>
      <c r="RIQ224" s="1"/>
      <c r="RIR224" s="1"/>
      <c r="RIS224" s="1"/>
      <c r="RIT224" s="1"/>
      <c r="RIU224" s="1"/>
      <c r="RIV224" s="1"/>
      <c r="RIW224" s="1"/>
      <c r="RIX224" s="1"/>
      <c r="RIY224" s="1"/>
      <c r="RIZ224" s="1"/>
      <c r="RJA224" s="1"/>
      <c r="RJB224" s="1"/>
      <c r="RJC224" s="1"/>
      <c r="RJD224" s="1"/>
      <c r="RJE224" s="1"/>
      <c r="RJF224" s="1"/>
      <c r="RJG224" s="1"/>
      <c r="RJH224" s="1"/>
      <c r="RJI224" s="1"/>
      <c r="RJJ224" s="1"/>
      <c r="RJK224" s="1"/>
      <c r="RJL224" s="1"/>
      <c r="RJM224" s="1"/>
      <c r="RJN224" s="1"/>
      <c r="RJO224" s="1"/>
      <c r="RJP224" s="1"/>
      <c r="RJQ224" s="1"/>
      <c r="RJR224" s="1"/>
      <c r="RJS224" s="1"/>
      <c r="RJT224" s="1"/>
      <c r="RJU224" s="1"/>
      <c r="RJV224" s="1"/>
      <c r="RJW224" s="1"/>
      <c r="RJX224" s="1"/>
      <c r="RJY224" s="1"/>
      <c r="RJZ224" s="1"/>
      <c r="RKA224" s="1"/>
      <c r="RKB224" s="1"/>
      <c r="RKC224" s="1"/>
      <c r="RKD224" s="1"/>
      <c r="RKE224" s="1"/>
      <c r="RKF224" s="1"/>
      <c r="RKG224" s="1"/>
      <c r="RKH224" s="1"/>
      <c r="RKI224" s="1"/>
      <c r="RKJ224" s="1"/>
      <c r="RKK224" s="1"/>
      <c r="RKL224" s="1"/>
      <c r="RKM224" s="1"/>
      <c r="RKN224" s="1"/>
      <c r="RKO224" s="1"/>
      <c r="RKP224" s="1"/>
      <c r="RKQ224" s="1"/>
      <c r="RKR224" s="1"/>
      <c r="RKS224" s="1"/>
      <c r="RKT224" s="1"/>
      <c r="RKU224" s="1"/>
      <c r="RKV224" s="1"/>
      <c r="RKW224" s="1"/>
      <c r="RKX224" s="1"/>
      <c r="RKY224" s="1"/>
      <c r="RKZ224" s="1"/>
      <c r="RLA224" s="1"/>
      <c r="RLB224" s="1"/>
      <c r="RLC224" s="1"/>
      <c r="RLD224" s="1"/>
      <c r="RLE224" s="1"/>
      <c r="RLF224" s="1"/>
      <c r="RLG224" s="1"/>
      <c r="RLH224" s="1"/>
      <c r="RLI224" s="1"/>
      <c r="RLJ224" s="1"/>
      <c r="RLK224" s="1"/>
      <c r="RLL224" s="1"/>
      <c r="RLM224" s="1"/>
      <c r="RLN224" s="1"/>
      <c r="RLO224" s="1"/>
      <c r="RLP224" s="1"/>
      <c r="RLQ224" s="1"/>
      <c r="RLR224" s="1"/>
      <c r="RLS224" s="1"/>
      <c r="RLT224" s="1"/>
      <c r="RLU224" s="1"/>
      <c r="RLV224" s="1"/>
      <c r="RLW224" s="1"/>
      <c r="RLX224" s="1"/>
      <c r="RLY224" s="1"/>
      <c r="RLZ224" s="1"/>
      <c r="RMA224" s="1"/>
      <c r="RMB224" s="1"/>
      <c r="RMC224" s="1"/>
      <c r="RMD224" s="1"/>
      <c r="RME224" s="1"/>
      <c r="RMF224" s="1"/>
      <c r="RMG224" s="1"/>
      <c r="RMH224" s="1"/>
      <c r="RMI224" s="1"/>
      <c r="RMJ224" s="1"/>
      <c r="RMK224" s="1"/>
      <c r="RML224" s="1"/>
      <c r="RMM224" s="1"/>
      <c r="RMN224" s="1"/>
      <c r="RMO224" s="1"/>
      <c r="RMP224" s="1"/>
      <c r="RMQ224" s="1"/>
      <c r="RMR224" s="1"/>
      <c r="RMS224" s="1"/>
      <c r="RMT224" s="1"/>
      <c r="RMU224" s="1"/>
      <c r="RMV224" s="1"/>
      <c r="RMW224" s="1"/>
      <c r="RMX224" s="1"/>
      <c r="RMY224" s="1"/>
      <c r="RMZ224" s="1"/>
      <c r="RNA224" s="1"/>
      <c r="RNB224" s="1"/>
      <c r="RNC224" s="1"/>
      <c r="RND224" s="1"/>
      <c r="RNE224" s="1"/>
      <c r="RNF224" s="1"/>
      <c r="RNG224" s="1"/>
      <c r="RNH224" s="1"/>
      <c r="RNI224" s="1"/>
      <c r="RNJ224" s="1"/>
      <c r="RNK224" s="1"/>
      <c r="RNL224" s="1"/>
      <c r="RNM224" s="1"/>
      <c r="RNN224" s="1"/>
      <c r="RNO224" s="1"/>
      <c r="RNP224" s="1"/>
      <c r="RNQ224" s="1"/>
      <c r="RNR224" s="1"/>
      <c r="RNS224" s="1"/>
      <c r="RNT224" s="1"/>
      <c r="RNU224" s="1"/>
      <c r="RNV224" s="1"/>
      <c r="RNW224" s="1"/>
      <c r="RNX224" s="1"/>
      <c r="RNY224" s="1"/>
      <c r="RNZ224" s="1"/>
      <c r="ROA224" s="1"/>
      <c r="ROB224" s="1"/>
      <c r="ROC224" s="1"/>
      <c r="ROD224" s="1"/>
      <c r="ROE224" s="1"/>
      <c r="ROF224" s="1"/>
      <c r="ROG224" s="1"/>
      <c r="ROH224" s="1"/>
      <c r="ROI224" s="1"/>
      <c r="ROJ224" s="1"/>
      <c r="ROK224" s="1"/>
      <c r="ROL224" s="1"/>
      <c r="ROM224" s="1"/>
      <c r="RON224" s="1"/>
      <c r="ROO224" s="1"/>
      <c r="ROP224" s="1"/>
      <c r="ROQ224" s="1"/>
      <c r="ROR224" s="1"/>
      <c r="ROS224" s="1"/>
      <c r="ROT224" s="1"/>
      <c r="ROU224" s="1"/>
      <c r="ROV224" s="1"/>
      <c r="ROW224" s="1"/>
      <c r="ROX224" s="1"/>
      <c r="ROY224" s="1"/>
      <c r="ROZ224" s="1"/>
      <c r="RPA224" s="1"/>
      <c r="RPB224" s="1"/>
      <c r="RPC224" s="1"/>
      <c r="RPD224" s="1"/>
      <c r="RPE224" s="1"/>
      <c r="RPF224" s="1"/>
      <c r="RPG224" s="1"/>
      <c r="RPH224" s="1"/>
      <c r="RPI224" s="1"/>
      <c r="RPJ224" s="1"/>
      <c r="RPK224" s="1"/>
      <c r="RPL224" s="1"/>
      <c r="RPM224" s="1"/>
      <c r="RPN224" s="1"/>
      <c r="RPO224" s="1"/>
      <c r="RPP224" s="1"/>
      <c r="RPQ224" s="1"/>
      <c r="RPR224" s="1"/>
      <c r="RPS224" s="1"/>
      <c r="RPT224" s="1"/>
      <c r="RPU224" s="1"/>
      <c r="RPV224" s="1"/>
      <c r="RPW224" s="1"/>
      <c r="RPX224" s="1"/>
      <c r="RPY224" s="1"/>
      <c r="RPZ224" s="1"/>
      <c r="RQA224" s="1"/>
      <c r="RQB224" s="1"/>
      <c r="RQC224" s="1"/>
      <c r="RQD224" s="1"/>
      <c r="RQE224" s="1"/>
      <c r="RQF224" s="1"/>
      <c r="RQG224" s="1"/>
      <c r="RQH224" s="1"/>
      <c r="RQI224" s="1"/>
      <c r="RQJ224" s="1"/>
      <c r="RQK224" s="1"/>
      <c r="RQL224" s="1"/>
      <c r="RQM224" s="1"/>
      <c r="RQN224" s="1"/>
      <c r="RQO224" s="1"/>
      <c r="RQP224" s="1"/>
      <c r="RQQ224" s="1"/>
      <c r="RQR224" s="1"/>
      <c r="RQS224" s="1"/>
      <c r="RQT224" s="1"/>
      <c r="RQU224" s="1"/>
      <c r="RQV224" s="1"/>
      <c r="RQW224" s="1"/>
      <c r="RQX224" s="1"/>
      <c r="RQY224" s="1"/>
      <c r="RQZ224" s="1"/>
      <c r="RRA224" s="1"/>
      <c r="RRB224" s="1"/>
      <c r="RRC224" s="1"/>
      <c r="RRD224" s="1"/>
      <c r="RRE224" s="1"/>
      <c r="RRF224" s="1"/>
      <c r="RRG224" s="1"/>
      <c r="RRH224" s="1"/>
      <c r="RRI224" s="1"/>
      <c r="RRJ224" s="1"/>
      <c r="RRK224" s="1"/>
      <c r="RRL224" s="1"/>
      <c r="RRM224" s="1"/>
      <c r="RRN224" s="1"/>
      <c r="RRO224" s="1"/>
      <c r="RRP224" s="1"/>
      <c r="RRQ224" s="1"/>
      <c r="RRR224" s="1"/>
      <c r="RRS224" s="1"/>
      <c r="RRT224" s="1"/>
      <c r="RRU224" s="1"/>
      <c r="RRV224" s="1"/>
      <c r="RRW224" s="1"/>
      <c r="RRX224" s="1"/>
      <c r="RRY224" s="1"/>
      <c r="RRZ224" s="1"/>
      <c r="RSA224" s="1"/>
      <c r="RSB224" s="1"/>
      <c r="RSC224" s="1"/>
      <c r="RSD224" s="1"/>
      <c r="RSE224" s="1"/>
      <c r="RSF224" s="1"/>
      <c r="RSG224" s="1"/>
      <c r="RSH224" s="1"/>
      <c r="RSI224" s="1"/>
      <c r="RSJ224" s="1"/>
      <c r="RSK224" s="1"/>
      <c r="RSL224" s="1"/>
      <c r="RSM224" s="1"/>
      <c r="RSN224" s="1"/>
      <c r="RSO224" s="1"/>
      <c r="RSP224" s="1"/>
      <c r="RSQ224" s="1"/>
      <c r="RSR224" s="1"/>
      <c r="RSS224" s="1"/>
      <c r="RST224" s="1"/>
      <c r="RSU224" s="1"/>
      <c r="RSV224" s="1"/>
      <c r="RSW224" s="1"/>
      <c r="RSX224" s="1"/>
      <c r="RSY224" s="1"/>
      <c r="RSZ224" s="1"/>
      <c r="RTA224" s="1"/>
      <c r="RTB224" s="1"/>
      <c r="RTC224" s="1"/>
      <c r="RTD224" s="1"/>
      <c r="RTE224" s="1"/>
      <c r="RTF224" s="1"/>
      <c r="RTG224" s="1"/>
      <c r="RTH224" s="1"/>
      <c r="RTI224" s="1"/>
      <c r="RTJ224" s="1"/>
      <c r="RTK224" s="1"/>
      <c r="RTL224" s="1"/>
      <c r="RTM224" s="1"/>
      <c r="RTN224" s="1"/>
      <c r="RTO224" s="1"/>
      <c r="RTP224" s="1"/>
      <c r="RTQ224" s="1"/>
      <c r="RTR224" s="1"/>
      <c r="RTS224" s="1"/>
      <c r="RTT224" s="1"/>
      <c r="RTU224" s="1"/>
      <c r="RTV224" s="1"/>
      <c r="RTW224" s="1"/>
      <c r="RTX224" s="1"/>
      <c r="RTY224" s="1"/>
      <c r="RTZ224" s="1"/>
      <c r="RUA224" s="1"/>
      <c r="RUB224" s="1"/>
      <c r="RUC224" s="1"/>
      <c r="RUD224" s="1"/>
      <c r="RUE224" s="1"/>
      <c r="RUF224" s="1"/>
      <c r="RUG224" s="1"/>
      <c r="RUH224" s="1"/>
      <c r="RUI224" s="1"/>
      <c r="RUJ224" s="1"/>
      <c r="RUK224" s="1"/>
      <c r="RUL224" s="1"/>
      <c r="RUM224" s="1"/>
      <c r="RUN224" s="1"/>
      <c r="RUO224" s="1"/>
      <c r="RUP224" s="1"/>
      <c r="RUQ224" s="1"/>
      <c r="RUR224" s="1"/>
      <c r="RUS224" s="1"/>
      <c r="RUT224" s="1"/>
      <c r="RUU224" s="1"/>
      <c r="RUV224" s="1"/>
      <c r="RUW224" s="1"/>
      <c r="RUX224" s="1"/>
      <c r="RUY224" s="1"/>
      <c r="RUZ224" s="1"/>
      <c r="RVA224" s="1"/>
      <c r="RVB224" s="1"/>
      <c r="RVC224" s="1"/>
      <c r="RVD224" s="1"/>
      <c r="RVE224" s="1"/>
      <c r="RVF224" s="1"/>
      <c r="RVG224" s="1"/>
      <c r="RVH224" s="1"/>
      <c r="RVI224" s="1"/>
      <c r="RVJ224" s="1"/>
      <c r="RVK224" s="1"/>
      <c r="RVL224" s="1"/>
      <c r="RVM224" s="1"/>
      <c r="RVN224" s="1"/>
      <c r="RVO224" s="1"/>
      <c r="RVP224" s="1"/>
      <c r="RVQ224" s="1"/>
      <c r="RVR224" s="1"/>
      <c r="RVS224" s="1"/>
      <c r="RVT224" s="1"/>
      <c r="RVU224" s="1"/>
      <c r="RVV224" s="1"/>
      <c r="RVW224" s="1"/>
      <c r="RVX224" s="1"/>
      <c r="RVY224" s="1"/>
      <c r="RVZ224" s="1"/>
      <c r="RWA224" s="1"/>
      <c r="RWB224" s="1"/>
      <c r="RWC224" s="1"/>
      <c r="RWD224" s="1"/>
      <c r="RWE224" s="1"/>
      <c r="RWF224" s="1"/>
      <c r="RWG224" s="1"/>
      <c r="RWH224" s="1"/>
      <c r="RWI224" s="1"/>
      <c r="RWJ224" s="1"/>
      <c r="RWK224" s="1"/>
      <c r="RWL224" s="1"/>
      <c r="RWM224" s="1"/>
      <c r="RWN224" s="1"/>
      <c r="RWO224" s="1"/>
      <c r="RWP224" s="1"/>
      <c r="RWQ224" s="1"/>
      <c r="RWR224" s="1"/>
      <c r="RWS224" s="1"/>
      <c r="RWT224" s="1"/>
      <c r="RWU224" s="1"/>
      <c r="RWV224" s="1"/>
      <c r="RWW224" s="1"/>
      <c r="RWX224" s="1"/>
      <c r="RWY224" s="1"/>
      <c r="RWZ224" s="1"/>
      <c r="RXA224" s="1"/>
      <c r="RXB224" s="1"/>
      <c r="RXC224" s="1"/>
      <c r="RXD224" s="1"/>
      <c r="RXE224" s="1"/>
      <c r="RXF224" s="1"/>
      <c r="RXG224" s="1"/>
      <c r="RXH224" s="1"/>
      <c r="RXI224" s="1"/>
      <c r="RXJ224" s="1"/>
      <c r="RXK224" s="1"/>
      <c r="RXL224" s="1"/>
      <c r="RXM224" s="1"/>
      <c r="RXN224" s="1"/>
      <c r="RXO224" s="1"/>
      <c r="RXP224" s="1"/>
      <c r="RXQ224" s="1"/>
      <c r="RXR224" s="1"/>
      <c r="RXS224" s="1"/>
      <c r="RXT224" s="1"/>
      <c r="RXU224" s="1"/>
      <c r="RXV224" s="1"/>
      <c r="RXW224" s="1"/>
      <c r="RXX224" s="1"/>
      <c r="RXY224" s="1"/>
      <c r="RXZ224" s="1"/>
      <c r="RYA224" s="1"/>
      <c r="RYB224" s="1"/>
      <c r="RYC224" s="1"/>
      <c r="RYD224" s="1"/>
      <c r="RYE224" s="1"/>
      <c r="RYF224" s="1"/>
      <c r="RYG224" s="1"/>
      <c r="RYH224" s="1"/>
      <c r="RYI224" s="1"/>
      <c r="RYJ224" s="1"/>
      <c r="RYK224" s="1"/>
      <c r="RYL224" s="1"/>
      <c r="RYM224" s="1"/>
      <c r="RYN224" s="1"/>
      <c r="RYO224" s="1"/>
      <c r="RYP224" s="1"/>
      <c r="RYQ224" s="1"/>
      <c r="RYR224" s="1"/>
      <c r="RYS224" s="1"/>
      <c r="RYT224" s="1"/>
      <c r="RYU224" s="1"/>
      <c r="RYV224" s="1"/>
      <c r="RYW224" s="1"/>
      <c r="RYX224" s="1"/>
      <c r="RYY224" s="1"/>
      <c r="RYZ224" s="1"/>
      <c r="RZA224" s="1"/>
      <c r="RZB224" s="1"/>
      <c r="RZC224" s="1"/>
      <c r="RZD224" s="1"/>
      <c r="RZE224" s="1"/>
      <c r="RZF224" s="1"/>
      <c r="RZG224" s="1"/>
      <c r="RZH224" s="1"/>
      <c r="RZI224" s="1"/>
      <c r="RZJ224" s="1"/>
      <c r="RZK224" s="1"/>
      <c r="RZL224" s="1"/>
      <c r="RZM224" s="1"/>
      <c r="RZN224" s="1"/>
      <c r="RZO224" s="1"/>
      <c r="RZP224" s="1"/>
      <c r="RZQ224" s="1"/>
      <c r="RZR224" s="1"/>
      <c r="RZS224" s="1"/>
      <c r="RZT224" s="1"/>
      <c r="RZU224" s="1"/>
      <c r="RZV224" s="1"/>
      <c r="RZW224" s="1"/>
      <c r="RZX224" s="1"/>
      <c r="RZY224" s="1"/>
      <c r="RZZ224" s="1"/>
      <c r="SAA224" s="1"/>
      <c r="SAB224" s="1"/>
      <c r="SAC224" s="1"/>
      <c r="SAD224" s="1"/>
      <c r="SAE224" s="1"/>
      <c r="SAF224" s="1"/>
      <c r="SAG224" s="1"/>
      <c r="SAH224" s="1"/>
      <c r="SAI224" s="1"/>
      <c r="SAJ224" s="1"/>
      <c r="SAK224" s="1"/>
      <c r="SAL224" s="1"/>
      <c r="SAM224" s="1"/>
      <c r="SAN224" s="1"/>
      <c r="SAO224" s="1"/>
      <c r="SAP224" s="1"/>
      <c r="SAQ224" s="1"/>
      <c r="SAR224" s="1"/>
      <c r="SAS224" s="1"/>
      <c r="SAT224" s="1"/>
      <c r="SAU224" s="1"/>
      <c r="SAV224" s="1"/>
      <c r="SAW224" s="1"/>
      <c r="SAX224" s="1"/>
      <c r="SAY224" s="1"/>
      <c r="SAZ224" s="1"/>
      <c r="SBA224" s="1"/>
      <c r="SBB224" s="1"/>
      <c r="SBC224" s="1"/>
      <c r="SBD224" s="1"/>
      <c r="SBE224" s="1"/>
      <c r="SBF224" s="1"/>
      <c r="SBG224" s="1"/>
      <c r="SBH224" s="1"/>
      <c r="SBI224" s="1"/>
      <c r="SBJ224" s="1"/>
      <c r="SBK224" s="1"/>
      <c r="SBL224" s="1"/>
      <c r="SBM224" s="1"/>
      <c r="SBN224" s="1"/>
      <c r="SBO224" s="1"/>
      <c r="SBP224" s="1"/>
      <c r="SBQ224" s="1"/>
      <c r="SBR224" s="1"/>
      <c r="SBS224" s="1"/>
      <c r="SBT224" s="1"/>
      <c r="SBU224" s="1"/>
      <c r="SBV224" s="1"/>
      <c r="SBW224" s="1"/>
      <c r="SBX224" s="1"/>
      <c r="SBY224" s="1"/>
      <c r="SBZ224" s="1"/>
      <c r="SCA224" s="1"/>
      <c r="SCB224" s="1"/>
      <c r="SCC224" s="1"/>
      <c r="SCD224" s="1"/>
      <c r="SCE224" s="1"/>
      <c r="SCF224" s="1"/>
      <c r="SCG224" s="1"/>
      <c r="SCH224" s="1"/>
      <c r="SCI224" s="1"/>
      <c r="SCJ224" s="1"/>
      <c r="SCK224" s="1"/>
      <c r="SCL224" s="1"/>
      <c r="SCM224" s="1"/>
      <c r="SCN224" s="1"/>
      <c r="SCO224" s="1"/>
      <c r="SCP224" s="1"/>
      <c r="SCQ224" s="1"/>
      <c r="SCR224" s="1"/>
      <c r="SCS224" s="1"/>
      <c r="SCT224" s="1"/>
      <c r="SCU224" s="1"/>
      <c r="SCV224" s="1"/>
      <c r="SCW224" s="1"/>
      <c r="SCX224" s="1"/>
      <c r="SCY224" s="1"/>
      <c r="SCZ224" s="1"/>
      <c r="SDA224" s="1"/>
      <c r="SDB224" s="1"/>
      <c r="SDC224" s="1"/>
      <c r="SDD224" s="1"/>
      <c r="SDE224" s="1"/>
      <c r="SDF224" s="1"/>
      <c r="SDG224" s="1"/>
      <c r="SDH224" s="1"/>
      <c r="SDI224" s="1"/>
      <c r="SDJ224" s="1"/>
      <c r="SDK224" s="1"/>
      <c r="SDL224" s="1"/>
      <c r="SDM224" s="1"/>
      <c r="SDN224" s="1"/>
      <c r="SDO224" s="1"/>
      <c r="SDP224" s="1"/>
      <c r="SDQ224" s="1"/>
      <c r="SDR224" s="1"/>
      <c r="SDS224" s="1"/>
      <c r="SDT224" s="1"/>
      <c r="SDU224" s="1"/>
      <c r="SDV224" s="1"/>
      <c r="SDW224" s="1"/>
      <c r="SDX224" s="1"/>
      <c r="SDY224" s="1"/>
      <c r="SDZ224" s="1"/>
      <c r="SEA224" s="1"/>
      <c r="SEB224" s="1"/>
      <c r="SEC224" s="1"/>
      <c r="SED224" s="1"/>
      <c r="SEE224" s="1"/>
      <c r="SEF224" s="1"/>
      <c r="SEG224" s="1"/>
      <c r="SEH224" s="1"/>
      <c r="SEI224" s="1"/>
      <c r="SEJ224" s="1"/>
      <c r="SEK224" s="1"/>
      <c r="SEL224" s="1"/>
      <c r="SEM224" s="1"/>
      <c r="SEN224" s="1"/>
      <c r="SEO224" s="1"/>
      <c r="SEP224" s="1"/>
      <c r="SEQ224" s="1"/>
      <c r="SER224" s="1"/>
      <c r="SES224" s="1"/>
      <c r="SET224" s="1"/>
      <c r="SEU224" s="1"/>
      <c r="SEV224" s="1"/>
      <c r="SEW224" s="1"/>
      <c r="SEX224" s="1"/>
      <c r="SEY224" s="1"/>
      <c r="SEZ224" s="1"/>
      <c r="SFA224" s="1"/>
      <c r="SFB224" s="1"/>
      <c r="SFC224" s="1"/>
      <c r="SFD224" s="1"/>
      <c r="SFE224" s="1"/>
      <c r="SFF224" s="1"/>
      <c r="SFG224" s="1"/>
      <c r="SFH224" s="1"/>
      <c r="SFI224" s="1"/>
      <c r="SFJ224" s="1"/>
      <c r="SFK224" s="1"/>
      <c r="SFL224" s="1"/>
      <c r="SFM224" s="1"/>
      <c r="SFN224" s="1"/>
      <c r="SFO224" s="1"/>
      <c r="SFP224" s="1"/>
      <c r="SFQ224" s="1"/>
      <c r="SFR224" s="1"/>
      <c r="SFS224" s="1"/>
      <c r="SFT224" s="1"/>
      <c r="SFU224" s="1"/>
      <c r="SFV224" s="1"/>
      <c r="SFW224" s="1"/>
      <c r="SFX224" s="1"/>
      <c r="SFY224" s="1"/>
      <c r="SFZ224" s="1"/>
      <c r="SGA224" s="1"/>
      <c r="SGB224" s="1"/>
      <c r="SGC224" s="1"/>
      <c r="SGD224" s="1"/>
      <c r="SGE224" s="1"/>
      <c r="SGF224" s="1"/>
      <c r="SGG224" s="1"/>
      <c r="SGH224" s="1"/>
      <c r="SGI224" s="1"/>
      <c r="SGJ224" s="1"/>
      <c r="SGK224" s="1"/>
      <c r="SGL224" s="1"/>
      <c r="SGM224" s="1"/>
      <c r="SGN224" s="1"/>
      <c r="SGO224" s="1"/>
      <c r="SGP224" s="1"/>
      <c r="SGQ224" s="1"/>
      <c r="SGR224" s="1"/>
      <c r="SGS224" s="1"/>
      <c r="SGT224" s="1"/>
      <c r="SGU224" s="1"/>
      <c r="SGV224" s="1"/>
      <c r="SGW224" s="1"/>
      <c r="SGX224" s="1"/>
      <c r="SGY224" s="1"/>
      <c r="SGZ224" s="1"/>
      <c r="SHA224" s="1"/>
      <c r="SHB224" s="1"/>
      <c r="SHC224" s="1"/>
      <c r="SHD224" s="1"/>
      <c r="SHE224" s="1"/>
      <c r="SHF224" s="1"/>
      <c r="SHG224" s="1"/>
      <c r="SHH224" s="1"/>
      <c r="SHI224" s="1"/>
      <c r="SHJ224" s="1"/>
      <c r="SHK224" s="1"/>
      <c r="SHL224" s="1"/>
      <c r="SHM224" s="1"/>
      <c r="SHN224" s="1"/>
      <c r="SHO224" s="1"/>
      <c r="SHP224" s="1"/>
      <c r="SHQ224" s="1"/>
      <c r="SHR224" s="1"/>
      <c r="SHS224" s="1"/>
      <c r="SHT224" s="1"/>
      <c r="SHU224" s="1"/>
      <c r="SHV224" s="1"/>
      <c r="SHW224" s="1"/>
      <c r="SHX224" s="1"/>
      <c r="SHY224" s="1"/>
      <c r="SHZ224" s="1"/>
      <c r="SIA224" s="1"/>
      <c r="SIB224" s="1"/>
      <c r="SIC224" s="1"/>
      <c r="SID224" s="1"/>
      <c r="SIE224" s="1"/>
      <c r="SIF224" s="1"/>
      <c r="SIG224" s="1"/>
      <c r="SIH224" s="1"/>
      <c r="SII224" s="1"/>
      <c r="SIJ224" s="1"/>
      <c r="SIK224" s="1"/>
      <c r="SIL224" s="1"/>
      <c r="SIM224" s="1"/>
      <c r="SIN224" s="1"/>
      <c r="SIO224" s="1"/>
      <c r="SIP224" s="1"/>
      <c r="SIQ224" s="1"/>
      <c r="SIR224" s="1"/>
      <c r="SIS224" s="1"/>
      <c r="SIT224" s="1"/>
      <c r="SIU224" s="1"/>
      <c r="SIV224" s="1"/>
      <c r="SIW224" s="1"/>
      <c r="SIX224" s="1"/>
      <c r="SIY224" s="1"/>
      <c r="SIZ224" s="1"/>
      <c r="SJA224" s="1"/>
      <c r="SJB224" s="1"/>
      <c r="SJC224" s="1"/>
      <c r="SJD224" s="1"/>
      <c r="SJE224" s="1"/>
      <c r="SJF224" s="1"/>
      <c r="SJG224" s="1"/>
      <c r="SJH224" s="1"/>
      <c r="SJI224" s="1"/>
      <c r="SJJ224" s="1"/>
      <c r="SJK224" s="1"/>
      <c r="SJL224" s="1"/>
      <c r="SJM224" s="1"/>
      <c r="SJN224" s="1"/>
      <c r="SJO224" s="1"/>
      <c r="SJP224" s="1"/>
      <c r="SJQ224" s="1"/>
      <c r="SJR224" s="1"/>
      <c r="SJS224" s="1"/>
      <c r="SJT224" s="1"/>
      <c r="SJU224" s="1"/>
      <c r="SJV224" s="1"/>
      <c r="SJW224" s="1"/>
      <c r="SJX224" s="1"/>
      <c r="SJY224" s="1"/>
      <c r="SJZ224" s="1"/>
      <c r="SKA224" s="1"/>
      <c r="SKB224" s="1"/>
      <c r="SKC224" s="1"/>
      <c r="SKD224" s="1"/>
      <c r="SKE224" s="1"/>
      <c r="SKF224" s="1"/>
      <c r="SKG224" s="1"/>
      <c r="SKH224" s="1"/>
      <c r="SKI224" s="1"/>
      <c r="SKJ224" s="1"/>
      <c r="SKK224" s="1"/>
      <c r="SKL224" s="1"/>
      <c r="SKM224" s="1"/>
      <c r="SKN224" s="1"/>
      <c r="SKO224" s="1"/>
      <c r="SKP224" s="1"/>
      <c r="SKQ224" s="1"/>
      <c r="SKR224" s="1"/>
      <c r="SKS224" s="1"/>
      <c r="SKT224" s="1"/>
      <c r="SKU224" s="1"/>
      <c r="SKV224" s="1"/>
      <c r="SKW224" s="1"/>
      <c r="SKX224" s="1"/>
      <c r="SKY224" s="1"/>
      <c r="SKZ224" s="1"/>
      <c r="SLA224" s="1"/>
      <c r="SLB224" s="1"/>
      <c r="SLC224" s="1"/>
      <c r="SLD224" s="1"/>
      <c r="SLE224" s="1"/>
      <c r="SLF224" s="1"/>
      <c r="SLG224" s="1"/>
      <c r="SLH224" s="1"/>
      <c r="SLI224" s="1"/>
      <c r="SLJ224" s="1"/>
      <c r="SLK224" s="1"/>
      <c r="SLL224" s="1"/>
      <c r="SLM224" s="1"/>
      <c r="SLN224" s="1"/>
      <c r="SLO224" s="1"/>
      <c r="SLP224" s="1"/>
      <c r="SLQ224" s="1"/>
      <c r="SLR224" s="1"/>
      <c r="SLS224" s="1"/>
      <c r="SLT224" s="1"/>
      <c r="SLU224" s="1"/>
      <c r="SLV224" s="1"/>
      <c r="SLW224" s="1"/>
      <c r="SLX224" s="1"/>
      <c r="SLY224" s="1"/>
      <c r="SLZ224" s="1"/>
      <c r="SMA224" s="1"/>
      <c r="SMB224" s="1"/>
      <c r="SMC224" s="1"/>
      <c r="SMD224" s="1"/>
      <c r="SME224" s="1"/>
      <c r="SMF224" s="1"/>
      <c r="SMG224" s="1"/>
      <c r="SMH224" s="1"/>
      <c r="SMI224" s="1"/>
      <c r="SMJ224" s="1"/>
      <c r="SMK224" s="1"/>
      <c r="SML224" s="1"/>
      <c r="SMM224" s="1"/>
      <c r="SMN224" s="1"/>
      <c r="SMO224" s="1"/>
      <c r="SMP224" s="1"/>
      <c r="SMQ224" s="1"/>
      <c r="SMR224" s="1"/>
      <c r="SMS224" s="1"/>
      <c r="SMT224" s="1"/>
      <c r="SMU224" s="1"/>
      <c r="SMV224" s="1"/>
      <c r="SMW224" s="1"/>
      <c r="SMX224" s="1"/>
      <c r="SMY224" s="1"/>
      <c r="SMZ224" s="1"/>
      <c r="SNA224" s="1"/>
      <c r="SNB224" s="1"/>
      <c r="SNC224" s="1"/>
      <c r="SND224" s="1"/>
      <c r="SNE224" s="1"/>
      <c r="SNF224" s="1"/>
      <c r="SNG224" s="1"/>
      <c r="SNH224" s="1"/>
      <c r="SNI224" s="1"/>
      <c r="SNJ224" s="1"/>
      <c r="SNK224" s="1"/>
      <c r="SNL224" s="1"/>
      <c r="SNM224" s="1"/>
      <c r="SNN224" s="1"/>
      <c r="SNO224" s="1"/>
      <c r="SNP224" s="1"/>
      <c r="SNQ224" s="1"/>
      <c r="SNR224" s="1"/>
      <c r="SNS224" s="1"/>
      <c r="SNT224" s="1"/>
      <c r="SNU224" s="1"/>
      <c r="SNV224" s="1"/>
      <c r="SNW224" s="1"/>
      <c r="SNX224" s="1"/>
      <c r="SNY224" s="1"/>
      <c r="SNZ224" s="1"/>
      <c r="SOA224" s="1"/>
      <c r="SOB224" s="1"/>
      <c r="SOC224" s="1"/>
      <c r="SOD224" s="1"/>
      <c r="SOE224" s="1"/>
      <c r="SOF224" s="1"/>
      <c r="SOG224" s="1"/>
      <c r="SOH224" s="1"/>
      <c r="SOI224" s="1"/>
      <c r="SOJ224" s="1"/>
      <c r="SOK224" s="1"/>
      <c r="SOL224" s="1"/>
      <c r="SOM224" s="1"/>
      <c r="SON224" s="1"/>
      <c r="SOO224" s="1"/>
      <c r="SOP224" s="1"/>
      <c r="SOQ224" s="1"/>
      <c r="SOR224" s="1"/>
      <c r="SOS224" s="1"/>
      <c r="SOT224" s="1"/>
      <c r="SOU224" s="1"/>
      <c r="SOV224" s="1"/>
      <c r="SOW224" s="1"/>
      <c r="SOX224" s="1"/>
      <c r="SOY224" s="1"/>
      <c r="SOZ224" s="1"/>
      <c r="SPA224" s="1"/>
      <c r="SPB224" s="1"/>
      <c r="SPC224" s="1"/>
      <c r="SPD224" s="1"/>
      <c r="SPE224" s="1"/>
      <c r="SPF224" s="1"/>
      <c r="SPG224" s="1"/>
      <c r="SPH224" s="1"/>
      <c r="SPI224" s="1"/>
      <c r="SPJ224" s="1"/>
      <c r="SPK224" s="1"/>
      <c r="SPL224" s="1"/>
      <c r="SPM224" s="1"/>
      <c r="SPN224" s="1"/>
      <c r="SPO224" s="1"/>
      <c r="SPP224" s="1"/>
      <c r="SPQ224" s="1"/>
      <c r="SPR224" s="1"/>
      <c r="SPS224" s="1"/>
      <c r="SPT224" s="1"/>
      <c r="SPU224" s="1"/>
      <c r="SPV224" s="1"/>
      <c r="SPW224" s="1"/>
      <c r="SPX224" s="1"/>
      <c r="SPY224" s="1"/>
      <c r="SPZ224" s="1"/>
      <c r="SQA224" s="1"/>
      <c r="SQB224" s="1"/>
      <c r="SQC224" s="1"/>
      <c r="SQD224" s="1"/>
      <c r="SQE224" s="1"/>
      <c r="SQF224" s="1"/>
      <c r="SQG224" s="1"/>
      <c r="SQH224" s="1"/>
      <c r="SQI224" s="1"/>
      <c r="SQJ224" s="1"/>
      <c r="SQK224" s="1"/>
      <c r="SQL224" s="1"/>
      <c r="SQM224" s="1"/>
      <c r="SQN224" s="1"/>
      <c r="SQO224" s="1"/>
      <c r="SQP224" s="1"/>
      <c r="SQQ224" s="1"/>
      <c r="SQR224" s="1"/>
      <c r="SQS224" s="1"/>
      <c r="SQT224" s="1"/>
      <c r="SQU224" s="1"/>
      <c r="SQV224" s="1"/>
      <c r="SQW224" s="1"/>
      <c r="SQX224" s="1"/>
      <c r="SQY224" s="1"/>
      <c r="SQZ224" s="1"/>
      <c r="SRA224" s="1"/>
      <c r="SRB224" s="1"/>
      <c r="SRC224" s="1"/>
      <c r="SRD224" s="1"/>
      <c r="SRE224" s="1"/>
      <c r="SRF224" s="1"/>
      <c r="SRG224" s="1"/>
      <c r="SRH224" s="1"/>
      <c r="SRI224" s="1"/>
      <c r="SRJ224" s="1"/>
      <c r="SRK224" s="1"/>
      <c r="SRL224" s="1"/>
      <c r="SRM224" s="1"/>
      <c r="SRN224" s="1"/>
      <c r="SRO224" s="1"/>
      <c r="SRP224" s="1"/>
      <c r="SRQ224" s="1"/>
      <c r="SRR224" s="1"/>
      <c r="SRS224" s="1"/>
      <c r="SRT224" s="1"/>
      <c r="SRU224" s="1"/>
      <c r="SRV224" s="1"/>
      <c r="SRW224" s="1"/>
      <c r="SRX224" s="1"/>
      <c r="SRY224" s="1"/>
      <c r="SRZ224" s="1"/>
      <c r="SSA224" s="1"/>
      <c r="SSB224" s="1"/>
      <c r="SSC224" s="1"/>
      <c r="SSD224" s="1"/>
      <c r="SSE224" s="1"/>
      <c r="SSF224" s="1"/>
      <c r="SSG224" s="1"/>
      <c r="SSH224" s="1"/>
      <c r="SSI224" s="1"/>
      <c r="SSJ224" s="1"/>
      <c r="SSK224" s="1"/>
      <c r="SSL224" s="1"/>
      <c r="SSM224" s="1"/>
      <c r="SSN224" s="1"/>
      <c r="SSO224" s="1"/>
      <c r="SSP224" s="1"/>
      <c r="SSQ224" s="1"/>
      <c r="SSR224" s="1"/>
      <c r="SSS224" s="1"/>
      <c r="SST224" s="1"/>
      <c r="SSU224" s="1"/>
      <c r="SSV224" s="1"/>
      <c r="SSW224" s="1"/>
      <c r="SSX224" s="1"/>
      <c r="SSY224" s="1"/>
      <c r="SSZ224" s="1"/>
      <c r="STA224" s="1"/>
      <c r="STB224" s="1"/>
      <c r="STC224" s="1"/>
      <c r="STD224" s="1"/>
      <c r="STE224" s="1"/>
      <c r="STF224" s="1"/>
      <c r="STG224" s="1"/>
      <c r="STH224" s="1"/>
      <c r="STI224" s="1"/>
      <c r="STJ224" s="1"/>
      <c r="STK224" s="1"/>
      <c r="STL224" s="1"/>
      <c r="STM224" s="1"/>
      <c r="STN224" s="1"/>
      <c r="STO224" s="1"/>
      <c r="STP224" s="1"/>
      <c r="STQ224" s="1"/>
      <c r="STR224" s="1"/>
      <c r="STS224" s="1"/>
      <c r="STT224" s="1"/>
      <c r="STU224" s="1"/>
      <c r="STV224" s="1"/>
      <c r="STW224" s="1"/>
      <c r="STX224" s="1"/>
      <c r="STY224" s="1"/>
      <c r="STZ224" s="1"/>
      <c r="SUA224" s="1"/>
      <c r="SUB224" s="1"/>
      <c r="SUC224" s="1"/>
      <c r="SUD224" s="1"/>
      <c r="SUE224" s="1"/>
      <c r="SUF224" s="1"/>
      <c r="SUG224" s="1"/>
      <c r="SUH224" s="1"/>
      <c r="SUI224" s="1"/>
      <c r="SUJ224" s="1"/>
      <c r="SUK224" s="1"/>
      <c r="SUL224" s="1"/>
      <c r="SUM224" s="1"/>
      <c r="SUN224" s="1"/>
      <c r="SUO224" s="1"/>
      <c r="SUP224" s="1"/>
      <c r="SUQ224" s="1"/>
      <c r="SUR224" s="1"/>
      <c r="SUS224" s="1"/>
      <c r="SUT224" s="1"/>
      <c r="SUU224" s="1"/>
      <c r="SUV224" s="1"/>
      <c r="SUW224" s="1"/>
      <c r="SUX224" s="1"/>
      <c r="SUY224" s="1"/>
      <c r="SUZ224" s="1"/>
      <c r="SVA224" s="1"/>
      <c r="SVB224" s="1"/>
      <c r="SVC224" s="1"/>
      <c r="SVD224" s="1"/>
      <c r="SVE224" s="1"/>
      <c r="SVF224" s="1"/>
      <c r="SVG224" s="1"/>
      <c r="SVH224" s="1"/>
      <c r="SVI224" s="1"/>
      <c r="SVJ224" s="1"/>
      <c r="SVK224" s="1"/>
      <c r="SVL224" s="1"/>
      <c r="SVM224" s="1"/>
      <c r="SVN224" s="1"/>
      <c r="SVO224" s="1"/>
      <c r="SVP224" s="1"/>
      <c r="SVQ224" s="1"/>
      <c r="SVR224" s="1"/>
      <c r="SVS224" s="1"/>
      <c r="SVT224" s="1"/>
      <c r="SVU224" s="1"/>
      <c r="SVV224" s="1"/>
      <c r="SVW224" s="1"/>
      <c r="SVX224" s="1"/>
      <c r="SVY224" s="1"/>
      <c r="SVZ224" s="1"/>
      <c r="SWA224" s="1"/>
      <c r="SWB224" s="1"/>
      <c r="SWC224" s="1"/>
      <c r="SWD224" s="1"/>
      <c r="SWE224" s="1"/>
      <c r="SWF224" s="1"/>
      <c r="SWG224" s="1"/>
      <c r="SWH224" s="1"/>
      <c r="SWI224" s="1"/>
      <c r="SWJ224" s="1"/>
      <c r="SWK224" s="1"/>
      <c r="SWL224" s="1"/>
      <c r="SWM224" s="1"/>
      <c r="SWN224" s="1"/>
      <c r="SWO224" s="1"/>
      <c r="SWP224" s="1"/>
      <c r="SWQ224" s="1"/>
      <c r="SWR224" s="1"/>
      <c r="SWS224" s="1"/>
      <c r="SWT224" s="1"/>
      <c r="SWU224" s="1"/>
      <c r="SWV224" s="1"/>
      <c r="SWW224" s="1"/>
      <c r="SWX224" s="1"/>
      <c r="SWY224" s="1"/>
      <c r="SWZ224" s="1"/>
      <c r="SXA224" s="1"/>
      <c r="SXB224" s="1"/>
      <c r="SXC224" s="1"/>
      <c r="SXD224" s="1"/>
      <c r="SXE224" s="1"/>
      <c r="SXF224" s="1"/>
      <c r="SXG224" s="1"/>
      <c r="SXH224" s="1"/>
      <c r="SXI224" s="1"/>
      <c r="SXJ224" s="1"/>
      <c r="SXK224" s="1"/>
      <c r="SXL224" s="1"/>
      <c r="SXM224" s="1"/>
      <c r="SXN224" s="1"/>
      <c r="SXO224" s="1"/>
      <c r="SXP224" s="1"/>
      <c r="SXQ224" s="1"/>
      <c r="SXR224" s="1"/>
      <c r="SXS224" s="1"/>
      <c r="SXT224" s="1"/>
      <c r="SXU224" s="1"/>
      <c r="SXV224" s="1"/>
      <c r="SXW224" s="1"/>
      <c r="SXX224" s="1"/>
      <c r="SXY224" s="1"/>
      <c r="SXZ224" s="1"/>
      <c r="SYA224" s="1"/>
      <c r="SYB224" s="1"/>
      <c r="SYC224" s="1"/>
      <c r="SYD224" s="1"/>
      <c r="SYE224" s="1"/>
      <c r="SYF224" s="1"/>
      <c r="SYG224" s="1"/>
      <c r="SYH224" s="1"/>
      <c r="SYI224" s="1"/>
      <c r="SYJ224" s="1"/>
      <c r="SYK224" s="1"/>
      <c r="SYL224" s="1"/>
      <c r="SYM224" s="1"/>
      <c r="SYN224" s="1"/>
      <c r="SYO224" s="1"/>
      <c r="SYP224" s="1"/>
      <c r="SYQ224" s="1"/>
      <c r="SYR224" s="1"/>
      <c r="SYS224" s="1"/>
      <c r="SYT224" s="1"/>
      <c r="SYU224" s="1"/>
      <c r="SYV224" s="1"/>
      <c r="SYW224" s="1"/>
      <c r="SYX224" s="1"/>
      <c r="SYY224" s="1"/>
      <c r="SYZ224" s="1"/>
      <c r="SZA224" s="1"/>
      <c r="SZB224" s="1"/>
      <c r="SZC224" s="1"/>
      <c r="SZD224" s="1"/>
      <c r="SZE224" s="1"/>
      <c r="SZF224" s="1"/>
      <c r="SZG224" s="1"/>
      <c r="SZH224" s="1"/>
      <c r="SZI224" s="1"/>
      <c r="SZJ224" s="1"/>
      <c r="SZK224" s="1"/>
      <c r="SZL224" s="1"/>
      <c r="SZM224" s="1"/>
      <c r="SZN224" s="1"/>
      <c r="SZO224" s="1"/>
      <c r="SZP224" s="1"/>
      <c r="SZQ224" s="1"/>
      <c r="SZR224" s="1"/>
      <c r="SZS224" s="1"/>
      <c r="SZT224" s="1"/>
      <c r="SZU224" s="1"/>
      <c r="SZV224" s="1"/>
      <c r="SZW224" s="1"/>
      <c r="SZX224" s="1"/>
      <c r="SZY224" s="1"/>
      <c r="SZZ224" s="1"/>
      <c r="TAA224" s="1"/>
      <c r="TAB224" s="1"/>
      <c r="TAC224" s="1"/>
      <c r="TAD224" s="1"/>
      <c r="TAE224" s="1"/>
      <c r="TAF224" s="1"/>
      <c r="TAG224" s="1"/>
      <c r="TAH224" s="1"/>
      <c r="TAI224" s="1"/>
      <c r="TAJ224" s="1"/>
      <c r="TAK224" s="1"/>
      <c r="TAL224" s="1"/>
      <c r="TAM224" s="1"/>
      <c r="TAN224" s="1"/>
      <c r="TAO224" s="1"/>
      <c r="TAP224" s="1"/>
      <c r="TAQ224" s="1"/>
      <c r="TAR224" s="1"/>
      <c r="TAS224" s="1"/>
      <c r="TAT224" s="1"/>
      <c r="TAU224" s="1"/>
      <c r="TAV224" s="1"/>
      <c r="TAW224" s="1"/>
      <c r="TAX224" s="1"/>
      <c r="TAY224" s="1"/>
      <c r="TAZ224" s="1"/>
      <c r="TBA224" s="1"/>
      <c r="TBB224" s="1"/>
      <c r="TBC224" s="1"/>
      <c r="TBD224" s="1"/>
      <c r="TBE224" s="1"/>
      <c r="TBF224" s="1"/>
      <c r="TBG224" s="1"/>
      <c r="TBH224" s="1"/>
      <c r="TBI224" s="1"/>
      <c r="TBJ224" s="1"/>
      <c r="TBK224" s="1"/>
      <c r="TBL224" s="1"/>
      <c r="TBM224" s="1"/>
      <c r="TBN224" s="1"/>
      <c r="TBO224" s="1"/>
      <c r="TBP224" s="1"/>
      <c r="TBQ224" s="1"/>
      <c r="TBR224" s="1"/>
      <c r="TBS224" s="1"/>
      <c r="TBT224" s="1"/>
      <c r="TBU224" s="1"/>
      <c r="TBV224" s="1"/>
      <c r="TBW224" s="1"/>
      <c r="TBX224" s="1"/>
      <c r="TBY224" s="1"/>
      <c r="TBZ224" s="1"/>
      <c r="TCA224" s="1"/>
      <c r="TCB224" s="1"/>
      <c r="TCC224" s="1"/>
      <c r="TCD224" s="1"/>
      <c r="TCE224" s="1"/>
      <c r="TCF224" s="1"/>
      <c r="TCG224" s="1"/>
      <c r="TCH224" s="1"/>
      <c r="TCI224" s="1"/>
      <c r="TCJ224" s="1"/>
      <c r="TCK224" s="1"/>
      <c r="TCL224" s="1"/>
      <c r="TCM224" s="1"/>
      <c r="TCN224" s="1"/>
      <c r="TCO224" s="1"/>
      <c r="TCP224" s="1"/>
      <c r="TCQ224" s="1"/>
      <c r="TCR224" s="1"/>
      <c r="TCS224" s="1"/>
      <c r="TCT224" s="1"/>
      <c r="TCU224" s="1"/>
      <c r="TCV224" s="1"/>
      <c r="TCW224" s="1"/>
      <c r="TCX224" s="1"/>
      <c r="TCY224" s="1"/>
      <c r="TCZ224" s="1"/>
      <c r="TDA224" s="1"/>
      <c r="TDB224" s="1"/>
      <c r="TDC224" s="1"/>
      <c r="TDD224" s="1"/>
      <c r="TDE224" s="1"/>
      <c r="TDF224" s="1"/>
      <c r="TDG224" s="1"/>
      <c r="TDH224" s="1"/>
      <c r="TDI224" s="1"/>
      <c r="TDJ224" s="1"/>
      <c r="TDK224" s="1"/>
      <c r="TDL224" s="1"/>
      <c r="TDM224" s="1"/>
      <c r="TDN224" s="1"/>
      <c r="TDO224" s="1"/>
      <c r="TDP224" s="1"/>
      <c r="TDQ224" s="1"/>
      <c r="TDR224" s="1"/>
      <c r="TDS224" s="1"/>
      <c r="TDT224" s="1"/>
      <c r="TDU224" s="1"/>
      <c r="TDV224" s="1"/>
      <c r="TDW224" s="1"/>
      <c r="TDX224" s="1"/>
      <c r="TDY224" s="1"/>
      <c r="TDZ224" s="1"/>
      <c r="TEA224" s="1"/>
      <c r="TEB224" s="1"/>
      <c r="TEC224" s="1"/>
      <c r="TED224" s="1"/>
      <c r="TEE224" s="1"/>
      <c r="TEF224" s="1"/>
      <c r="TEG224" s="1"/>
      <c r="TEH224" s="1"/>
      <c r="TEI224" s="1"/>
      <c r="TEJ224" s="1"/>
      <c r="TEK224" s="1"/>
      <c r="TEL224" s="1"/>
      <c r="TEM224" s="1"/>
      <c r="TEN224" s="1"/>
      <c r="TEO224" s="1"/>
      <c r="TEP224" s="1"/>
      <c r="TEQ224" s="1"/>
      <c r="TER224" s="1"/>
      <c r="TES224" s="1"/>
      <c r="TET224" s="1"/>
      <c r="TEU224" s="1"/>
      <c r="TEV224" s="1"/>
      <c r="TEW224" s="1"/>
      <c r="TEX224" s="1"/>
      <c r="TEY224" s="1"/>
      <c r="TEZ224" s="1"/>
      <c r="TFA224" s="1"/>
      <c r="TFB224" s="1"/>
      <c r="TFC224" s="1"/>
      <c r="TFD224" s="1"/>
      <c r="TFE224" s="1"/>
      <c r="TFF224" s="1"/>
      <c r="TFG224" s="1"/>
      <c r="TFH224" s="1"/>
      <c r="TFI224" s="1"/>
      <c r="TFJ224" s="1"/>
      <c r="TFK224" s="1"/>
      <c r="TFL224" s="1"/>
      <c r="TFM224" s="1"/>
      <c r="TFN224" s="1"/>
      <c r="TFO224" s="1"/>
      <c r="TFP224" s="1"/>
      <c r="TFQ224" s="1"/>
      <c r="TFR224" s="1"/>
      <c r="TFS224" s="1"/>
      <c r="TFT224" s="1"/>
      <c r="TFU224" s="1"/>
      <c r="TFV224" s="1"/>
      <c r="TFW224" s="1"/>
      <c r="TFX224" s="1"/>
      <c r="TFY224" s="1"/>
      <c r="TFZ224" s="1"/>
      <c r="TGA224" s="1"/>
      <c r="TGB224" s="1"/>
      <c r="TGC224" s="1"/>
      <c r="TGD224" s="1"/>
      <c r="TGE224" s="1"/>
      <c r="TGF224" s="1"/>
      <c r="TGG224" s="1"/>
      <c r="TGH224" s="1"/>
      <c r="TGI224" s="1"/>
      <c r="TGJ224" s="1"/>
      <c r="TGK224" s="1"/>
      <c r="TGL224" s="1"/>
      <c r="TGM224" s="1"/>
      <c r="TGN224" s="1"/>
      <c r="TGO224" s="1"/>
      <c r="TGP224" s="1"/>
      <c r="TGQ224" s="1"/>
      <c r="TGR224" s="1"/>
      <c r="TGS224" s="1"/>
      <c r="TGT224" s="1"/>
      <c r="TGU224" s="1"/>
      <c r="TGV224" s="1"/>
      <c r="TGW224" s="1"/>
      <c r="TGX224" s="1"/>
      <c r="TGY224" s="1"/>
      <c r="TGZ224" s="1"/>
      <c r="THA224" s="1"/>
      <c r="THB224" s="1"/>
      <c r="THC224" s="1"/>
      <c r="THD224" s="1"/>
      <c r="THE224" s="1"/>
      <c r="THF224" s="1"/>
      <c r="THG224" s="1"/>
      <c r="THH224" s="1"/>
      <c r="THI224" s="1"/>
      <c r="THJ224" s="1"/>
      <c r="THK224" s="1"/>
      <c r="THL224" s="1"/>
      <c r="THM224" s="1"/>
      <c r="THN224" s="1"/>
      <c r="THO224" s="1"/>
      <c r="THP224" s="1"/>
      <c r="THQ224" s="1"/>
      <c r="THR224" s="1"/>
      <c r="THS224" s="1"/>
      <c r="THT224" s="1"/>
      <c r="THU224" s="1"/>
      <c r="THV224" s="1"/>
      <c r="THW224" s="1"/>
      <c r="THX224" s="1"/>
      <c r="THY224" s="1"/>
      <c r="THZ224" s="1"/>
      <c r="TIA224" s="1"/>
      <c r="TIB224" s="1"/>
      <c r="TIC224" s="1"/>
      <c r="TID224" s="1"/>
      <c r="TIE224" s="1"/>
      <c r="TIF224" s="1"/>
      <c r="TIG224" s="1"/>
      <c r="TIH224" s="1"/>
      <c r="TII224" s="1"/>
      <c r="TIJ224" s="1"/>
      <c r="TIK224" s="1"/>
      <c r="TIL224" s="1"/>
      <c r="TIM224" s="1"/>
      <c r="TIN224" s="1"/>
      <c r="TIO224" s="1"/>
      <c r="TIP224" s="1"/>
      <c r="TIQ224" s="1"/>
      <c r="TIR224" s="1"/>
      <c r="TIS224" s="1"/>
      <c r="TIT224" s="1"/>
      <c r="TIU224" s="1"/>
      <c r="TIV224" s="1"/>
      <c r="TIW224" s="1"/>
      <c r="TIX224" s="1"/>
      <c r="TIY224" s="1"/>
      <c r="TIZ224" s="1"/>
      <c r="TJA224" s="1"/>
      <c r="TJB224" s="1"/>
      <c r="TJC224" s="1"/>
      <c r="TJD224" s="1"/>
      <c r="TJE224" s="1"/>
      <c r="TJF224" s="1"/>
      <c r="TJG224" s="1"/>
      <c r="TJH224" s="1"/>
      <c r="TJI224" s="1"/>
      <c r="TJJ224" s="1"/>
      <c r="TJK224" s="1"/>
      <c r="TJL224" s="1"/>
      <c r="TJM224" s="1"/>
      <c r="TJN224" s="1"/>
      <c r="TJO224" s="1"/>
      <c r="TJP224" s="1"/>
      <c r="TJQ224" s="1"/>
      <c r="TJR224" s="1"/>
      <c r="TJS224" s="1"/>
      <c r="TJT224" s="1"/>
      <c r="TJU224" s="1"/>
      <c r="TJV224" s="1"/>
      <c r="TJW224" s="1"/>
      <c r="TJX224" s="1"/>
      <c r="TJY224" s="1"/>
      <c r="TJZ224" s="1"/>
      <c r="TKA224" s="1"/>
      <c r="TKB224" s="1"/>
      <c r="TKC224" s="1"/>
      <c r="TKD224" s="1"/>
      <c r="TKE224" s="1"/>
      <c r="TKF224" s="1"/>
      <c r="TKG224" s="1"/>
      <c r="TKH224" s="1"/>
      <c r="TKI224" s="1"/>
      <c r="TKJ224" s="1"/>
      <c r="TKK224" s="1"/>
      <c r="TKL224" s="1"/>
      <c r="TKM224" s="1"/>
      <c r="TKN224" s="1"/>
      <c r="TKO224" s="1"/>
      <c r="TKP224" s="1"/>
      <c r="TKQ224" s="1"/>
      <c r="TKR224" s="1"/>
      <c r="TKS224" s="1"/>
      <c r="TKT224" s="1"/>
      <c r="TKU224" s="1"/>
      <c r="TKV224" s="1"/>
      <c r="TKW224" s="1"/>
      <c r="TKX224" s="1"/>
      <c r="TKY224" s="1"/>
      <c r="TKZ224" s="1"/>
      <c r="TLA224" s="1"/>
      <c r="TLB224" s="1"/>
      <c r="TLC224" s="1"/>
      <c r="TLD224" s="1"/>
      <c r="TLE224" s="1"/>
      <c r="TLF224" s="1"/>
      <c r="TLG224" s="1"/>
      <c r="TLH224" s="1"/>
      <c r="TLI224" s="1"/>
      <c r="TLJ224" s="1"/>
      <c r="TLK224" s="1"/>
      <c r="TLL224" s="1"/>
      <c r="TLM224" s="1"/>
      <c r="TLN224" s="1"/>
      <c r="TLO224" s="1"/>
      <c r="TLP224" s="1"/>
      <c r="TLQ224" s="1"/>
      <c r="TLR224" s="1"/>
      <c r="TLS224" s="1"/>
      <c r="TLT224" s="1"/>
      <c r="TLU224" s="1"/>
      <c r="TLV224" s="1"/>
      <c r="TLW224" s="1"/>
      <c r="TLX224" s="1"/>
      <c r="TLY224" s="1"/>
      <c r="TLZ224" s="1"/>
      <c r="TMA224" s="1"/>
      <c r="TMB224" s="1"/>
      <c r="TMC224" s="1"/>
      <c r="TMD224" s="1"/>
      <c r="TME224" s="1"/>
      <c r="TMF224" s="1"/>
      <c r="TMG224" s="1"/>
      <c r="TMH224" s="1"/>
      <c r="TMI224" s="1"/>
      <c r="TMJ224" s="1"/>
      <c r="TMK224" s="1"/>
      <c r="TML224" s="1"/>
      <c r="TMM224" s="1"/>
      <c r="TMN224" s="1"/>
      <c r="TMO224" s="1"/>
      <c r="TMP224" s="1"/>
      <c r="TMQ224" s="1"/>
      <c r="TMR224" s="1"/>
      <c r="TMS224" s="1"/>
      <c r="TMT224" s="1"/>
      <c r="TMU224" s="1"/>
      <c r="TMV224" s="1"/>
      <c r="TMW224" s="1"/>
      <c r="TMX224" s="1"/>
      <c r="TMY224" s="1"/>
      <c r="TMZ224" s="1"/>
      <c r="TNA224" s="1"/>
      <c r="TNB224" s="1"/>
      <c r="TNC224" s="1"/>
      <c r="TND224" s="1"/>
      <c r="TNE224" s="1"/>
      <c r="TNF224" s="1"/>
      <c r="TNG224" s="1"/>
      <c r="TNH224" s="1"/>
      <c r="TNI224" s="1"/>
      <c r="TNJ224" s="1"/>
      <c r="TNK224" s="1"/>
      <c r="TNL224" s="1"/>
      <c r="TNM224" s="1"/>
      <c r="TNN224" s="1"/>
      <c r="TNO224" s="1"/>
      <c r="TNP224" s="1"/>
      <c r="TNQ224" s="1"/>
      <c r="TNR224" s="1"/>
      <c r="TNS224" s="1"/>
      <c r="TNT224" s="1"/>
      <c r="TNU224" s="1"/>
      <c r="TNV224" s="1"/>
      <c r="TNW224" s="1"/>
      <c r="TNX224" s="1"/>
      <c r="TNY224" s="1"/>
      <c r="TNZ224" s="1"/>
      <c r="TOA224" s="1"/>
      <c r="TOB224" s="1"/>
      <c r="TOC224" s="1"/>
      <c r="TOD224" s="1"/>
      <c r="TOE224" s="1"/>
      <c r="TOF224" s="1"/>
      <c r="TOG224" s="1"/>
      <c r="TOH224" s="1"/>
      <c r="TOI224" s="1"/>
      <c r="TOJ224" s="1"/>
      <c r="TOK224" s="1"/>
      <c r="TOL224" s="1"/>
      <c r="TOM224" s="1"/>
      <c r="TON224" s="1"/>
      <c r="TOO224" s="1"/>
      <c r="TOP224" s="1"/>
      <c r="TOQ224" s="1"/>
      <c r="TOR224" s="1"/>
      <c r="TOS224" s="1"/>
      <c r="TOT224" s="1"/>
      <c r="TOU224" s="1"/>
      <c r="TOV224" s="1"/>
      <c r="TOW224" s="1"/>
      <c r="TOX224" s="1"/>
      <c r="TOY224" s="1"/>
      <c r="TOZ224" s="1"/>
      <c r="TPA224" s="1"/>
      <c r="TPB224" s="1"/>
      <c r="TPC224" s="1"/>
      <c r="TPD224" s="1"/>
      <c r="TPE224" s="1"/>
      <c r="TPF224" s="1"/>
      <c r="TPG224" s="1"/>
      <c r="TPH224" s="1"/>
      <c r="TPI224" s="1"/>
      <c r="TPJ224" s="1"/>
      <c r="TPK224" s="1"/>
      <c r="TPL224" s="1"/>
      <c r="TPM224" s="1"/>
      <c r="TPN224" s="1"/>
      <c r="TPO224" s="1"/>
      <c r="TPP224" s="1"/>
      <c r="TPQ224" s="1"/>
      <c r="TPR224" s="1"/>
      <c r="TPS224" s="1"/>
      <c r="TPT224" s="1"/>
      <c r="TPU224" s="1"/>
      <c r="TPV224" s="1"/>
      <c r="TPW224" s="1"/>
      <c r="TPX224" s="1"/>
      <c r="TPY224" s="1"/>
      <c r="TPZ224" s="1"/>
      <c r="TQA224" s="1"/>
      <c r="TQB224" s="1"/>
      <c r="TQC224" s="1"/>
      <c r="TQD224" s="1"/>
      <c r="TQE224" s="1"/>
      <c r="TQF224" s="1"/>
      <c r="TQG224" s="1"/>
      <c r="TQH224" s="1"/>
      <c r="TQI224" s="1"/>
      <c r="TQJ224" s="1"/>
      <c r="TQK224" s="1"/>
      <c r="TQL224" s="1"/>
      <c r="TQM224" s="1"/>
      <c r="TQN224" s="1"/>
      <c r="TQO224" s="1"/>
      <c r="TQP224" s="1"/>
      <c r="TQQ224" s="1"/>
      <c r="TQR224" s="1"/>
      <c r="TQS224" s="1"/>
      <c r="TQT224" s="1"/>
      <c r="TQU224" s="1"/>
      <c r="TQV224" s="1"/>
      <c r="TQW224" s="1"/>
      <c r="TQX224" s="1"/>
      <c r="TQY224" s="1"/>
      <c r="TQZ224" s="1"/>
      <c r="TRA224" s="1"/>
      <c r="TRB224" s="1"/>
      <c r="TRC224" s="1"/>
      <c r="TRD224" s="1"/>
      <c r="TRE224" s="1"/>
      <c r="TRF224" s="1"/>
      <c r="TRG224" s="1"/>
      <c r="TRH224" s="1"/>
      <c r="TRI224" s="1"/>
      <c r="TRJ224" s="1"/>
      <c r="TRK224" s="1"/>
      <c r="TRL224" s="1"/>
      <c r="TRM224" s="1"/>
      <c r="TRN224" s="1"/>
      <c r="TRO224" s="1"/>
      <c r="TRP224" s="1"/>
      <c r="TRQ224" s="1"/>
      <c r="TRR224" s="1"/>
      <c r="TRS224" s="1"/>
      <c r="TRT224" s="1"/>
      <c r="TRU224" s="1"/>
      <c r="TRV224" s="1"/>
      <c r="TRW224" s="1"/>
      <c r="TRX224" s="1"/>
      <c r="TRY224" s="1"/>
      <c r="TRZ224" s="1"/>
      <c r="TSA224" s="1"/>
      <c r="TSB224" s="1"/>
      <c r="TSC224" s="1"/>
      <c r="TSD224" s="1"/>
      <c r="TSE224" s="1"/>
      <c r="TSF224" s="1"/>
      <c r="TSG224" s="1"/>
      <c r="TSH224" s="1"/>
      <c r="TSI224" s="1"/>
      <c r="TSJ224" s="1"/>
      <c r="TSK224" s="1"/>
      <c r="TSL224" s="1"/>
      <c r="TSM224" s="1"/>
      <c r="TSN224" s="1"/>
      <c r="TSO224" s="1"/>
      <c r="TSP224" s="1"/>
      <c r="TSQ224" s="1"/>
      <c r="TSR224" s="1"/>
      <c r="TSS224" s="1"/>
      <c r="TST224" s="1"/>
      <c r="TSU224" s="1"/>
      <c r="TSV224" s="1"/>
      <c r="TSW224" s="1"/>
      <c r="TSX224" s="1"/>
      <c r="TSY224" s="1"/>
      <c r="TSZ224" s="1"/>
      <c r="TTA224" s="1"/>
      <c r="TTB224" s="1"/>
      <c r="TTC224" s="1"/>
      <c r="TTD224" s="1"/>
      <c r="TTE224" s="1"/>
      <c r="TTF224" s="1"/>
      <c r="TTG224" s="1"/>
      <c r="TTH224" s="1"/>
      <c r="TTI224" s="1"/>
      <c r="TTJ224" s="1"/>
      <c r="TTK224" s="1"/>
      <c r="TTL224" s="1"/>
      <c r="TTM224" s="1"/>
      <c r="TTN224" s="1"/>
      <c r="TTO224" s="1"/>
      <c r="TTP224" s="1"/>
      <c r="TTQ224" s="1"/>
      <c r="TTR224" s="1"/>
      <c r="TTS224" s="1"/>
      <c r="TTT224" s="1"/>
      <c r="TTU224" s="1"/>
      <c r="TTV224" s="1"/>
      <c r="TTW224" s="1"/>
      <c r="TTX224" s="1"/>
      <c r="TTY224" s="1"/>
      <c r="TTZ224" s="1"/>
      <c r="TUA224" s="1"/>
      <c r="TUB224" s="1"/>
      <c r="TUC224" s="1"/>
      <c r="TUD224" s="1"/>
      <c r="TUE224" s="1"/>
      <c r="TUF224" s="1"/>
      <c r="TUG224" s="1"/>
      <c r="TUH224" s="1"/>
      <c r="TUI224" s="1"/>
      <c r="TUJ224" s="1"/>
      <c r="TUK224" s="1"/>
      <c r="TUL224" s="1"/>
      <c r="TUM224" s="1"/>
      <c r="TUN224" s="1"/>
      <c r="TUO224" s="1"/>
      <c r="TUP224" s="1"/>
      <c r="TUQ224" s="1"/>
      <c r="TUR224" s="1"/>
      <c r="TUS224" s="1"/>
      <c r="TUT224" s="1"/>
      <c r="TUU224" s="1"/>
      <c r="TUV224" s="1"/>
      <c r="TUW224" s="1"/>
      <c r="TUX224" s="1"/>
      <c r="TUY224" s="1"/>
      <c r="TUZ224" s="1"/>
      <c r="TVA224" s="1"/>
      <c r="TVB224" s="1"/>
      <c r="TVC224" s="1"/>
      <c r="TVD224" s="1"/>
      <c r="TVE224" s="1"/>
      <c r="TVF224" s="1"/>
      <c r="TVG224" s="1"/>
      <c r="TVH224" s="1"/>
      <c r="TVI224" s="1"/>
      <c r="TVJ224" s="1"/>
      <c r="TVK224" s="1"/>
      <c r="TVL224" s="1"/>
      <c r="TVM224" s="1"/>
      <c r="TVN224" s="1"/>
      <c r="TVO224" s="1"/>
      <c r="TVP224" s="1"/>
      <c r="TVQ224" s="1"/>
      <c r="TVR224" s="1"/>
      <c r="TVS224" s="1"/>
      <c r="TVT224" s="1"/>
      <c r="TVU224" s="1"/>
      <c r="TVV224" s="1"/>
      <c r="TVW224" s="1"/>
      <c r="TVX224" s="1"/>
      <c r="TVY224" s="1"/>
      <c r="TVZ224" s="1"/>
      <c r="TWA224" s="1"/>
      <c r="TWB224" s="1"/>
      <c r="TWC224" s="1"/>
      <c r="TWD224" s="1"/>
      <c r="TWE224" s="1"/>
      <c r="TWF224" s="1"/>
      <c r="TWG224" s="1"/>
      <c r="TWH224" s="1"/>
      <c r="TWI224" s="1"/>
      <c r="TWJ224" s="1"/>
      <c r="TWK224" s="1"/>
      <c r="TWL224" s="1"/>
      <c r="TWM224" s="1"/>
      <c r="TWN224" s="1"/>
      <c r="TWO224" s="1"/>
      <c r="TWP224" s="1"/>
      <c r="TWQ224" s="1"/>
      <c r="TWR224" s="1"/>
      <c r="TWS224" s="1"/>
      <c r="TWT224" s="1"/>
      <c r="TWU224" s="1"/>
      <c r="TWV224" s="1"/>
      <c r="TWW224" s="1"/>
      <c r="TWX224" s="1"/>
      <c r="TWY224" s="1"/>
      <c r="TWZ224" s="1"/>
      <c r="TXA224" s="1"/>
      <c r="TXB224" s="1"/>
      <c r="TXC224" s="1"/>
      <c r="TXD224" s="1"/>
      <c r="TXE224" s="1"/>
      <c r="TXF224" s="1"/>
      <c r="TXG224" s="1"/>
      <c r="TXH224" s="1"/>
      <c r="TXI224" s="1"/>
      <c r="TXJ224" s="1"/>
      <c r="TXK224" s="1"/>
      <c r="TXL224" s="1"/>
      <c r="TXM224" s="1"/>
      <c r="TXN224" s="1"/>
      <c r="TXO224" s="1"/>
      <c r="TXP224" s="1"/>
      <c r="TXQ224" s="1"/>
      <c r="TXR224" s="1"/>
      <c r="TXS224" s="1"/>
      <c r="TXT224" s="1"/>
      <c r="TXU224" s="1"/>
      <c r="TXV224" s="1"/>
      <c r="TXW224" s="1"/>
      <c r="TXX224" s="1"/>
      <c r="TXY224" s="1"/>
      <c r="TXZ224" s="1"/>
      <c r="TYA224" s="1"/>
      <c r="TYB224" s="1"/>
      <c r="TYC224" s="1"/>
      <c r="TYD224" s="1"/>
      <c r="TYE224" s="1"/>
      <c r="TYF224" s="1"/>
      <c r="TYG224" s="1"/>
      <c r="TYH224" s="1"/>
      <c r="TYI224" s="1"/>
      <c r="TYJ224" s="1"/>
      <c r="TYK224" s="1"/>
      <c r="TYL224" s="1"/>
      <c r="TYM224" s="1"/>
      <c r="TYN224" s="1"/>
      <c r="TYO224" s="1"/>
      <c r="TYP224" s="1"/>
      <c r="TYQ224" s="1"/>
      <c r="TYR224" s="1"/>
      <c r="TYS224" s="1"/>
      <c r="TYT224" s="1"/>
      <c r="TYU224" s="1"/>
      <c r="TYV224" s="1"/>
      <c r="TYW224" s="1"/>
      <c r="TYX224" s="1"/>
      <c r="TYY224" s="1"/>
      <c r="TYZ224" s="1"/>
      <c r="TZA224" s="1"/>
      <c r="TZB224" s="1"/>
      <c r="TZC224" s="1"/>
      <c r="TZD224" s="1"/>
      <c r="TZE224" s="1"/>
      <c r="TZF224" s="1"/>
      <c r="TZG224" s="1"/>
      <c r="TZH224" s="1"/>
      <c r="TZI224" s="1"/>
      <c r="TZJ224" s="1"/>
      <c r="TZK224" s="1"/>
      <c r="TZL224" s="1"/>
      <c r="TZM224" s="1"/>
      <c r="TZN224" s="1"/>
      <c r="TZO224" s="1"/>
      <c r="TZP224" s="1"/>
      <c r="TZQ224" s="1"/>
      <c r="TZR224" s="1"/>
      <c r="TZS224" s="1"/>
      <c r="TZT224" s="1"/>
      <c r="TZU224" s="1"/>
      <c r="TZV224" s="1"/>
      <c r="TZW224" s="1"/>
      <c r="TZX224" s="1"/>
      <c r="TZY224" s="1"/>
      <c r="TZZ224" s="1"/>
      <c r="UAA224" s="1"/>
      <c r="UAB224" s="1"/>
      <c r="UAC224" s="1"/>
      <c r="UAD224" s="1"/>
      <c r="UAE224" s="1"/>
      <c r="UAF224" s="1"/>
      <c r="UAG224" s="1"/>
      <c r="UAH224" s="1"/>
      <c r="UAI224" s="1"/>
      <c r="UAJ224" s="1"/>
      <c r="UAK224" s="1"/>
      <c r="UAL224" s="1"/>
      <c r="UAM224" s="1"/>
      <c r="UAN224" s="1"/>
      <c r="UAO224" s="1"/>
      <c r="UAP224" s="1"/>
      <c r="UAQ224" s="1"/>
      <c r="UAR224" s="1"/>
      <c r="UAS224" s="1"/>
      <c r="UAT224" s="1"/>
      <c r="UAU224" s="1"/>
      <c r="UAV224" s="1"/>
      <c r="UAW224" s="1"/>
      <c r="UAX224" s="1"/>
      <c r="UAY224" s="1"/>
      <c r="UAZ224" s="1"/>
      <c r="UBA224" s="1"/>
      <c r="UBB224" s="1"/>
      <c r="UBC224" s="1"/>
      <c r="UBD224" s="1"/>
      <c r="UBE224" s="1"/>
      <c r="UBF224" s="1"/>
      <c r="UBG224" s="1"/>
      <c r="UBH224" s="1"/>
      <c r="UBI224" s="1"/>
      <c r="UBJ224" s="1"/>
      <c r="UBK224" s="1"/>
      <c r="UBL224" s="1"/>
      <c r="UBM224" s="1"/>
      <c r="UBN224" s="1"/>
      <c r="UBO224" s="1"/>
      <c r="UBP224" s="1"/>
      <c r="UBQ224" s="1"/>
      <c r="UBR224" s="1"/>
      <c r="UBS224" s="1"/>
      <c r="UBT224" s="1"/>
      <c r="UBU224" s="1"/>
      <c r="UBV224" s="1"/>
      <c r="UBW224" s="1"/>
      <c r="UBX224" s="1"/>
      <c r="UBY224" s="1"/>
      <c r="UBZ224" s="1"/>
      <c r="UCA224" s="1"/>
      <c r="UCB224" s="1"/>
      <c r="UCC224" s="1"/>
      <c r="UCD224" s="1"/>
      <c r="UCE224" s="1"/>
      <c r="UCF224" s="1"/>
      <c r="UCG224" s="1"/>
      <c r="UCH224" s="1"/>
      <c r="UCI224" s="1"/>
      <c r="UCJ224" s="1"/>
      <c r="UCK224" s="1"/>
      <c r="UCL224" s="1"/>
      <c r="UCM224" s="1"/>
      <c r="UCN224" s="1"/>
      <c r="UCO224" s="1"/>
      <c r="UCP224" s="1"/>
      <c r="UCQ224" s="1"/>
      <c r="UCR224" s="1"/>
      <c r="UCS224" s="1"/>
      <c r="UCT224" s="1"/>
      <c r="UCU224" s="1"/>
      <c r="UCV224" s="1"/>
      <c r="UCW224" s="1"/>
      <c r="UCX224" s="1"/>
      <c r="UCY224" s="1"/>
      <c r="UCZ224" s="1"/>
      <c r="UDA224" s="1"/>
      <c r="UDB224" s="1"/>
      <c r="UDC224" s="1"/>
      <c r="UDD224" s="1"/>
      <c r="UDE224" s="1"/>
      <c r="UDF224" s="1"/>
      <c r="UDG224" s="1"/>
      <c r="UDH224" s="1"/>
      <c r="UDI224" s="1"/>
      <c r="UDJ224" s="1"/>
      <c r="UDK224" s="1"/>
      <c r="UDL224" s="1"/>
      <c r="UDM224" s="1"/>
      <c r="UDN224" s="1"/>
      <c r="UDO224" s="1"/>
      <c r="UDP224" s="1"/>
      <c r="UDQ224" s="1"/>
      <c r="UDR224" s="1"/>
      <c r="UDS224" s="1"/>
      <c r="UDT224" s="1"/>
      <c r="UDU224" s="1"/>
      <c r="UDV224" s="1"/>
      <c r="UDW224" s="1"/>
      <c r="UDX224" s="1"/>
      <c r="UDY224" s="1"/>
      <c r="UDZ224" s="1"/>
      <c r="UEA224" s="1"/>
      <c r="UEB224" s="1"/>
      <c r="UEC224" s="1"/>
      <c r="UED224" s="1"/>
      <c r="UEE224" s="1"/>
      <c r="UEF224" s="1"/>
      <c r="UEG224" s="1"/>
      <c r="UEH224" s="1"/>
      <c r="UEI224" s="1"/>
      <c r="UEJ224" s="1"/>
      <c r="UEK224" s="1"/>
      <c r="UEL224" s="1"/>
      <c r="UEM224" s="1"/>
      <c r="UEN224" s="1"/>
      <c r="UEO224" s="1"/>
      <c r="UEP224" s="1"/>
      <c r="UEQ224" s="1"/>
      <c r="UER224" s="1"/>
      <c r="UES224" s="1"/>
      <c r="UET224" s="1"/>
      <c r="UEU224" s="1"/>
      <c r="UEV224" s="1"/>
      <c r="UEW224" s="1"/>
      <c r="UEX224" s="1"/>
      <c r="UEY224" s="1"/>
      <c r="UEZ224" s="1"/>
      <c r="UFA224" s="1"/>
      <c r="UFB224" s="1"/>
      <c r="UFC224" s="1"/>
      <c r="UFD224" s="1"/>
      <c r="UFE224" s="1"/>
      <c r="UFF224" s="1"/>
      <c r="UFG224" s="1"/>
      <c r="UFH224" s="1"/>
      <c r="UFI224" s="1"/>
      <c r="UFJ224" s="1"/>
      <c r="UFK224" s="1"/>
      <c r="UFL224" s="1"/>
      <c r="UFM224" s="1"/>
      <c r="UFN224" s="1"/>
      <c r="UFO224" s="1"/>
      <c r="UFP224" s="1"/>
      <c r="UFQ224" s="1"/>
      <c r="UFR224" s="1"/>
      <c r="UFS224" s="1"/>
      <c r="UFT224" s="1"/>
      <c r="UFU224" s="1"/>
      <c r="UFV224" s="1"/>
      <c r="UFW224" s="1"/>
      <c r="UFX224" s="1"/>
      <c r="UFY224" s="1"/>
      <c r="UFZ224" s="1"/>
      <c r="UGA224" s="1"/>
      <c r="UGB224" s="1"/>
      <c r="UGC224" s="1"/>
      <c r="UGD224" s="1"/>
      <c r="UGE224" s="1"/>
      <c r="UGF224" s="1"/>
      <c r="UGG224" s="1"/>
      <c r="UGH224" s="1"/>
      <c r="UGI224" s="1"/>
      <c r="UGJ224" s="1"/>
      <c r="UGK224" s="1"/>
      <c r="UGL224" s="1"/>
      <c r="UGM224" s="1"/>
      <c r="UGN224" s="1"/>
      <c r="UGO224" s="1"/>
      <c r="UGP224" s="1"/>
      <c r="UGQ224" s="1"/>
      <c r="UGR224" s="1"/>
      <c r="UGS224" s="1"/>
      <c r="UGT224" s="1"/>
      <c r="UGU224" s="1"/>
      <c r="UGV224" s="1"/>
      <c r="UGW224" s="1"/>
      <c r="UGX224" s="1"/>
      <c r="UGY224" s="1"/>
      <c r="UGZ224" s="1"/>
      <c r="UHA224" s="1"/>
      <c r="UHB224" s="1"/>
      <c r="UHC224" s="1"/>
      <c r="UHD224" s="1"/>
      <c r="UHE224" s="1"/>
      <c r="UHF224" s="1"/>
      <c r="UHG224" s="1"/>
      <c r="UHH224" s="1"/>
      <c r="UHI224" s="1"/>
      <c r="UHJ224" s="1"/>
      <c r="UHK224" s="1"/>
      <c r="UHL224" s="1"/>
      <c r="UHM224" s="1"/>
      <c r="UHN224" s="1"/>
      <c r="UHO224" s="1"/>
      <c r="UHP224" s="1"/>
      <c r="UHQ224" s="1"/>
      <c r="UHR224" s="1"/>
      <c r="UHS224" s="1"/>
      <c r="UHT224" s="1"/>
      <c r="UHU224" s="1"/>
      <c r="UHV224" s="1"/>
      <c r="UHW224" s="1"/>
      <c r="UHX224" s="1"/>
      <c r="UHY224" s="1"/>
      <c r="UHZ224" s="1"/>
      <c r="UIA224" s="1"/>
      <c r="UIB224" s="1"/>
      <c r="UIC224" s="1"/>
      <c r="UID224" s="1"/>
      <c r="UIE224" s="1"/>
      <c r="UIF224" s="1"/>
      <c r="UIG224" s="1"/>
      <c r="UIH224" s="1"/>
      <c r="UII224" s="1"/>
      <c r="UIJ224" s="1"/>
      <c r="UIK224" s="1"/>
      <c r="UIL224" s="1"/>
      <c r="UIM224" s="1"/>
      <c r="UIN224" s="1"/>
      <c r="UIO224" s="1"/>
      <c r="UIP224" s="1"/>
      <c r="UIQ224" s="1"/>
      <c r="UIR224" s="1"/>
      <c r="UIS224" s="1"/>
      <c r="UIT224" s="1"/>
      <c r="UIU224" s="1"/>
      <c r="UIV224" s="1"/>
      <c r="UIW224" s="1"/>
      <c r="UIX224" s="1"/>
      <c r="UIY224" s="1"/>
      <c r="UIZ224" s="1"/>
      <c r="UJA224" s="1"/>
      <c r="UJB224" s="1"/>
      <c r="UJC224" s="1"/>
      <c r="UJD224" s="1"/>
      <c r="UJE224" s="1"/>
      <c r="UJF224" s="1"/>
      <c r="UJG224" s="1"/>
      <c r="UJH224" s="1"/>
      <c r="UJI224" s="1"/>
      <c r="UJJ224" s="1"/>
      <c r="UJK224" s="1"/>
      <c r="UJL224" s="1"/>
      <c r="UJM224" s="1"/>
      <c r="UJN224" s="1"/>
      <c r="UJO224" s="1"/>
      <c r="UJP224" s="1"/>
      <c r="UJQ224" s="1"/>
      <c r="UJR224" s="1"/>
      <c r="UJS224" s="1"/>
      <c r="UJT224" s="1"/>
      <c r="UJU224" s="1"/>
      <c r="UJV224" s="1"/>
      <c r="UJW224" s="1"/>
      <c r="UJX224" s="1"/>
      <c r="UJY224" s="1"/>
      <c r="UJZ224" s="1"/>
      <c r="UKA224" s="1"/>
      <c r="UKB224" s="1"/>
      <c r="UKC224" s="1"/>
      <c r="UKD224" s="1"/>
      <c r="UKE224" s="1"/>
      <c r="UKF224" s="1"/>
      <c r="UKG224" s="1"/>
      <c r="UKH224" s="1"/>
      <c r="UKI224" s="1"/>
      <c r="UKJ224" s="1"/>
      <c r="UKK224" s="1"/>
      <c r="UKL224" s="1"/>
      <c r="UKM224" s="1"/>
      <c r="UKN224" s="1"/>
      <c r="UKO224" s="1"/>
      <c r="UKP224" s="1"/>
      <c r="UKQ224" s="1"/>
      <c r="UKR224" s="1"/>
      <c r="UKS224" s="1"/>
      <c r="UKT224" s="1"/>
      <c r="UKU224" s="1"/>
      <c r="UKV224" s="1"/>
      <c r="UKW224" s="1"/>
      <c r="UKX224" s="1"/>
      <c r="UKY224" s="1"/>
      <c r="UKZ224" s="1"/>
      <c r="ULA224" s="1"/>
      <c r="ULB224" s="1"/>
      <c r="ULC224" s="1"/>
      <c r="ULD224" s="1"/>
      <c r="ULE224" s="1"/>
      <c r="ULF224" s="1"/>
      <c r="ULG224" s="1"/>
      <c r="ULH224" s="1"/>
      <c r="ULI224" s="1"/>
      <c r="ULJ224" s="1"/>
      <c r="ULK224" s="1"/>
      <c r="ULL224" s="1"/>
      <c r="ULM224" s="1"/>
      <c r="ULN224" s="1"/>
      <c r="ULO224" s="1"/>
      <c r="ULP224" s="1"/>
      <c r="ULQ224" s="1"/>
      <c r="ULR224" s="1"/>
      <c r="ULS224" s="1"/>
      <c r="ULT224" s="1"/>
      <c r="ULU224" s="1"/>
      <c r="ULV224" s="1"/>
      <c r="ULW224" s="1"/>
      <c r="ULX224" s="1"/>
      <c r="ULY224" s="1"/>
      <c r="ULZ224" s="1"/>
      <c r="UMA224" s="1"/>
      <c r="UMB224" s="1"/>
      <c r="UMC224" s="1"/>
      <c r="UMD224" s="1"/>
      <c r="UME224" s="1"/>
      <c r="UMF224" s="1"/>
      <c r="UMG224" s="1"/>
      <c r="UMH224" s="1"/>
      <c r="UMI224" s="1"/>
      <c r="UMJ224" s="1"/>
      <c r="UMK224" s="1"/>
      <c r="UML224" s="1"/>
      <c r="UMM224" s="1"/>
      <c r="UMN224" s="1"/>
      <c r="UMO224" s="1"/>
      <c r="UMP224" s="1"/>
      <c r="UMQ224" s="1"/>
      <c r="UMR224" s="1"/>
      <c r="UMS224" s="1"/>
      <c r="UMT224" s="1"/>
      <c r="UMU224" s="1"/>
      <c r="UMV224" s="1"/>
      <c r="UMW224" s="1"/>
      <c r="UMX224" s="1"/>
      <c r="UMY224" s="1"/>
      <c r="UMZ224" s="1"/>
      <c r="UNA224" s="1"/>
      <c r="UNB224" s="1"/>
      <c r="UNC224" s="1"/>
      <c r="UND224" s="1"/>
      <c r="UNE224" s="1"/>
      <c r="UNF224" s="1"/>
      <c r="UNG224" s="1"/>
      <c r="UNH224" s="1"/>
      <c r="UNI224" s="1"/>
      <c r="UNJ224" s="1"/>
      <c r="UNK224" s="1"/>
      <c r="UNL224" s="1"/>
      <c r="UNM224" s="1"/>
      <c r="UNN224" s="1"/>
      <c r="UNO224" s="1"/>
      <c r="UNP224" s="1"/>
      <c r="UNQ224" s="1"/>
      <c r="UNR224" s="1"/>
      <c r="UNS224" s="1"/>
      <c r="UNT224" s="1"/>
      <c r="UNU224" s="1"/>
      <c r="UNV224" s="1"/>
      <c r="UNW224" s="1"/>
      <c r="UNX224" s="1"/>
      <c r="UNY224" s="1"/>
      <c r="UNZ224" s="1"/>
      <c r="UOA224" s="1"/>
      <c r="UOB224" s="1"/>
      <c r="UOC224" s="1"/>
      <c r="UOD224" s="1"/>
      <c r="UOE224" s="1"/>
      <c r="UOF224" s="1"/>
      <c r="UOG224" s="1"/>
      <c r="UOH224" s="1"/>
      <c r="UOI224" s="1"/>
      <c r="UOJ224" s="1"/>
      <c r="UOK224" s="1"/>
      <c r="UOL224" s="1"/>
      <c r="UOM224" s="1"/>
      <c r="UON224" s="1"/>
      <c r="UOO224" s="1"/>
      <c r="UOP224" s="1"/>
      <c r="UOQ224" s="1"/>
      <c r="UOR224" s="1"/>
      <c r="UOS224" s="1"/>
      <c r="UOT224" s="1"/>
      <c r="UOU224" s="1"/>
      <c r="UOV224" s="1"/>
      <c r="UOW224" s="1"/>
      <c r="UOX224" s="1"/>
      <c r="UOY224" s="1"/>
      <c r="UOZ224" s="1"/>
      <c r="UPA224" s="1"/>
      <c r="UPB224" s="1"/>
      <c r="UPC224" s="1"/>
      <c r="UPD224" s="1"/>
      <c r="UPE224" s="1"/>
      <c r="UPF224" s="1"/>
      <c r="UPG224" s="1"/>
      <c r="UPH224" s="1"/>
      <c r="UPI224" s="1"/>
      <c r="UPJ224" s="1"/>
      <c r="UPK224" s="1"/>
      <c r="UPL224" s="1"/>
      <c r="UPM224" s="1"/>
      <c r="UPN224" s="1"/>
      <c r="UPO224" s="1"/>
      <c r="UPP224" s="1"/>
      <c r="UPQ224" s="1"/>
      <c r="UPR224" s="1"/>
      <c r="UPS224" s="1"/>
      <c r="UPT224" s="1"/>
      <c r="UPU224" s="1"/>
      <c r="UPV224" s="1"/>
      <c r="UPW224" s="1"/>
      <c r="UPX224" s="1"/>
      <c r="UPY224" s="1"/>
      <c r="UPZ224" s="1"/>
      <c r="UQA224" s="1"/>
      <c r="UQB224" s="1"/>
      <c r="UQC224" s="1"/>
      <c r="UQD224" s="1"/>
      <c r="UQE224" s="1"/>
      <c r="UQF224" s="1"/>
      <c r="UQG224" s="1"/>
      <c r="UQH224" s="1"/>
      <c r="UQI224" s="1"/>
      <c r="UQJ224" s="1"/>
      <c r="UQK224" s="1"/>
      <c r="UQL224" s="1"/>
      <c r="UQM224" s="1"/>
      <c r="UQN224" s="1"/>
      <c r="UQO224" s="1"/>
      <c r="UQP224" s="1"/>
      <c r="UQQ224" s="1"/>
      <c r="UQR224" s="1"/>
      <c r="UQS224" s="1"/>
      <c r="UQT224" s="1"/>
      <c r="UQU224" s="1"/>
      <c r="UQV224" s="1"/>
      <c r="UQW224" s="1"/>
      <c r="UQX224" s="1"/>
      <c r="UQY224" s="1"/>
      <c r="UQZ224" s="1"/>
      <c r="URA224" s="1"/>
      <c r="URB224" s="1"/>
      <c r="URC224" s="1"/>
      <c r="URD224" s="1"/>
      <c r="URE224" s="1"/>
      <c r="URF224" s="1"/>
      <c r="URG224" s="1"/>
      <c r="URH224" s="1"/>
      <c r="URI224" s="1"/>
      <c r="URJ224" s="1"/>
      <c r="URK224" s="1"/>
      <c r="URL224" s="1"/>
      <c r="URM224" s="1"/>
      <c r="URN224" s="1"/>
      <c r="URO224" s="1"/>
      <c r="URP224" s="1"/>
      <c r="URQ224" s="1"/>
      <c r="URR224" s="1"/>
      <c r="URS224" s="1"/>
      <c r="URT224" s="1"/>
      <c r="URU224" s="1"/>
      <c r="URV224" s="1"/>
      <c r="URW224" s="1"/>
      <c r="URX224" s="1"/>
      <c r="URY224" s="1"/>
      <c r="URZ224" s="1"/>
      <c r="USA224" s="1"/>
      <c r="USB224" s="1"/>
      <c r="USC224" s="1"/>
      <c r="USD224" s="1"/>
      <c r="USE224" s="1"/>
      <c r="USF224" s="1"/>
      <c r="USG224" s="1"/>
      <c r="USH224" s="1"/>
      <c r="USI224" s="1"/>
      <c r="USJ224" s="1"/>
      <c r="USK224" s="1"/>
      <c r="USL224" s="1"/>
      <c r="USM224" s="1"/>
      <c r="USN224" s="1"/>
      <c r="USO224" s="1"/>
      <c r="USP224" s="1"/>
      <c r="USQ224" s="1"/>
      <c r="USR224" s="1"/>
      <c r="USS224" s="1"/>
      <c r="UST224" s="1"/>
      <c r="USU224" s="1"/>
      <c r="USV224" s="1"/>
      <c r="USW224" s="1"/>
      <c r="USX224" s="1"/>
      <c r="USY224" s="1"/>
      <c r="USZ224" s="1"/>
      <c r="UTA224" s="1"/>
      <c r="UTB224" s="1"/>
      <c r="UTC224" s="1"/>
      <c r="UTD224" s="1"/>
      <c r="UTE224" s="1"/>
      <c r="UTF224" s="1"/>
      <c r="UTG224" s="1"/>
      <c r="UTH224" s="1"/>
      <c r="UTI224" s="1"/>
      <c r="UTJ224" s="1"/>
      <c r="UTK224" s="1"/>
      <c r="UTL224" s="1"/>
      <c r="UTM224" s="1"/>
      <c r="UTN224" s="1"/>
      <c r="UTO224" s="1"/>
      <c r="UTP224" s="1"/>
      <c r="UTQ224" s="1"/>
      <c r="UTR224" s="1"/>
      <c r="UTS224" s="1"/>
      <c r="UTT224" s="1"/>
      <c r="UTU224" s="1"/>
      <c r="UTV224" s="1"/>
      <c r="UTW224" s="1"/>
      <c r="UTX224" s="1"/>
      <c r="UTY224" s="1"/>
      <c r="UTZ224" s="1"/>
      <c r="UUA224" s="1"/>
      <c r="UUB224" s="1"/>
      <c r="UUC224" s="1"/>
      <c r="UUD224" s="1"/>
      <c r="UUE224" s="1"/>
      <c r="UUF224" s="1"/>
      <c r="UUG224" s="1"/>
      <c r="UUH224" s="1"/>
      <c r="UUI224" s="1"/>
      <c r="UUJ224" s="1"/>
      <c r="UUK224" s="1"/>
      <c r="UUL224" s="1"/>
      <c r="UUM224" s="1"/>
      <c r="UUN224" s="1"/>
      <c r="UUO224" s="1"/>
      <c r="UUP224" s="1"/>
      <c r="UUQ224" s="1"/>
      <c r="UUR224" s="1"/>
      <c r="UUS224" s="1"/>
      <c r="UUT224" s="1"/>
      <c r="UUU224" s="1"/>
      <c r="UUV224" s="1"/>
      <c r="UUW224" s="1"/>
      <c r="UUX224" s="1"/>
      <c r="UUY224" s="1"/>
      <c r="UUZ224" s="1"/>
      <c r="UVA224" s="1"/>
      <c r="UVB224" s="1"/>
      <c r="UVC224" s="1"/>
      <c r="UVD224" s="1"/>
      <c r="UVE224" s="1"/>
      <c r="UVF224" s="1"/>
      <c r="UVG224" s="1"/>
      <c r="UVH224" s="1"/>
      <c r="UVI224" s="1"/>
      <c r="UVJ224" s="1"/>
      <c r="UVK224" s="1"/>
      <c r="UVL224" s="1"/>
      <c r="UVM224" s="1"/>
      <c r="UVN224" s="1"/>
      <c r="UVO224" s="1"/>
      <c r="UVP224" s="1"/>
      <c r="UVQ224" s="1"/>
      <c r="UVR224" s="1"/>
      <c r="UVS224" s="1"/>
      <c r="UVT224" s="1"/>
      <c r="UVU224" s="1"/>
      <c r="UVV224" s="1"/>
      <c r="UVW224" s="1"/>
      <c r="UVX224" s="1"/>
      <c r="UVY224" s="1"/>
      <c r="UVZ224" s="1"/>
      <c r="UWA224" s="1"/>
      <c r="UWB224" s="1"/>
      <c r="UWC224" s="1"/>
      <c r="UWD224" s="1"/>
      <c r="UWE224" s="1"/>
      <c r="UWF224" s="1"/>
      <c r="UWG224" s="1"/>
      <c r="UWH224" s="1"/>
      <c r="UWI224" s="1"/>
      <c r="UWJ224" s="1"/>
      <c r="UWK224" s="1"/>
      <c r="UWL224" s="1"/>
      <c r="UWM224" s="1"/>
      <c r="UWN224" s="1"/>
      <c r="UWO224" s="1"/>
      <c r="UWP224" s="1"/>
      <c r="UWQ224" s="1"/>
      <c r="UWR224" s="1"/>
      <c r="UWS224" s="1"/>
      <c r="UWT224" s="1"/>
      <c r="UWU224" s="1"/>
      <c r="UWV224" s="1"/>
      <c r="UWW224" s="1"/>
      <c r="UWX224" s="1"/>
      <c r="UWY224" s="1"/>
      <c r="UWZ224" s="1"/>
      <c r="UXA224" s="1"/>
      <c r="UXB224" s="1"/>
      <c r="UXC224" s="1"/>
      <c r="UXD224" s="1"/>
      <c r="UXE224" s="1"/>
      <c r="UXF224" s="1"/>
      <c r="UXG224" s="1"/>
      <c r="UXH224" s="1"/>
      <c r="UXI224" s="1"/>
      <c r="UXJ224" s="1"/>
      <c r="UXK224" s="1"/>
      <c r="UXL224" s="1"/>
      <c r="UXM224" s="1"/>
      <c r="UXN224" s="1"/>
      <c r="UXO224" s="1"/>
      <c r="UXP224" s="1"/>
      <c r="UXQ224" s="1"/>
      <c r="UXR224" s="1"/>
      <c r="UXS224" s="1"/>
      <c r="UXT224" s="1"/>
      <c r="UXU224" s="1"/>
      <c r="UXV224" s="1"/>
      <c r="UXW224" s="1"/>
      <c r="UXX224" s="1"/>
      <c r="UXY224" s="1"/>
      <c r="UXZ224" s="1"/>
      <c r="UYA224" s="1"/>
      <c r="UYB224" s="1"/>
      <c r="UYC224" s="1"/>
      <c r="UYD224" s="1"/>
      <c r="UYE224" s="1"/>
      <c r="UYF224" s="1"/>
      <c r="UYG224" s="1"/>
      <c r="UYH224" s="1"/>
      <c r="UYI224" s="1"/>
      <c r="UYJ224" s="1"/>
      <c r="UYK224" s="1"/>
      <c r="UYL224" s="1"/>
      <c r="UYM224" s="1"/>
      <c r="UYN224" s="1"/>
      <c r="UYO224" s="1"/>
      <c r="UYP224" s="1"/>
      <c r="UYQ224" s="1"/>
      <c r="UYR224" s="1"/>
      <c r="UYS224" s="1"/>
      <c r="UYT224" s="1"/>
      <c r="UYU224" s="1"/>
      <c r="UYV224" s="1"/>
      <c r="UYW224" s="1"/>
      <c r="UYX224" s="1"/>
      <c r="UYY224" s="1"/>
      <c r="UYZ224" s="1"/>
      <c r="UZA224" s="1"/>
      <c r="UZB224" s="1"/>
      <c r="UZC224" s="1"/>
      <c r="UZD224" s="1"/>
      <c r="UZE224" s="1"/>
      <c r="UZF224" s="1"/>
      <c r="UZG224" s="1"/>
      <c r="UZH224" s="1"/>
      <c r="UZI224" s="1"/>
      <c r="UZJ224" s="1"/>
      <c r="UZK224" s="1"/>
      <c r="UZL224" s="1"/>
      <c r="UZM224" s="1"/>
      <c r="UZN224" s="1"/>
      <c r="UZO224" s="1"/>
      <c r="UZP224" s="1"/>
      <c r="UZQ224" s="1"/>
      <c r="UZR224" s="1"/>
      <c r="UZS224" s="1"/>
      <c r="UZT224" s="1"/>
      <c r="UZU224" s="1"/>
      <c r="UZV224" s="1"/>
      <c r="UZW224" s="1"/>
      <c r="UZX224" s="1"/>
      <c r="UZY224" s="1"/>
      <c r="UZZ224" s="1"/>
      <c r="VAA224" s="1"/>
      <c r="VAB224" s="1"/>
      <c r="VAC224" s="1"/>
      <c r="VAD224" s="1"/>
      <c r="VAE224" s="1"/>
      <c r="VAF224" s="1"/>
      <c r="VAG224" s="1"/>
      <c r="VAH224" s="1"/>
      <c r="VAI224" s="1"/>
      <c r="VAJ224" s="1"/>
      <c r="VAK224" s="1"/>
      <c r="VAL224" s="1"/>
      <c r="VAM224" s="1"/>
      <c r="VAN224" s="1"/>
      <c r="VAO224" s="1"/>
      <c r="VAP224" s="1"/>
      <c r="VAQ224" s="1"/>
      <c r="VAR224" s="1"/>
      <c r="VAS224" s="1"/>
      <c r="VAT224" s="1"/>
      <c r="VAU224" s="1"/>
      <c r="VAV224" s="1"/>
      <c r="VAW224" s="1"/>
      <c r="VAX224" s="1"/>
      <c r="VAY224" s="1"/>
      <c r="VAZ224" s="1"/>
      <c r="VBA224" s="1"/>
      <c r="VBB224" s="1"/>
      <c r="VBC224" s="1"/>
      <c r="VBD224" s="1"/>
      <c r="VBE224" s="1"/>
      <c r="VBF224" s="1"/>
      <c r="VBG224" s="1"/>
      <c r="VBH224" s="1"/>
      <c r="VBI224" s="1"/>
      <c r="VBJ224" s="1"/>
      <c r="VBK224" s="1"/>
      <c r="VBL224" s="1"/>
      <c r="VBM224" s="1"/>
      <c r="VBN224" s="1"/>
      <c r="VBO224" s="1"/>
      <c r="VBP224" s="1"/>
      <c r="VBQ224" s="1"/>
      <c r="VBR224" s="1"/>
      <c r="VBS224" s="1"/>
      <c r="VBT224" s="1"/>
      <c r="VBU224" s="1"/>
      <c r="VBV224" s="1"/>
      <c r="VBW224" s="1"/>
      <c r="VBX224" s="1"/>
      <c r="VBY224" s="1"/>
      <c r="VBZ224" s="1"/>
      <c r="VCA224" s="1"/>
      <c r="VCB224" s="1"/>
      <c r="VCC224" s="1"/>
      <c r="VCD224" s="1"/>
      <c r="VCE224" s="1"/>
      <c r="VCF224" s="1"/>
      <c r="VCG224" s="1"/>
      <c r="VCH224" s="1"/>
      <c r="VCI224" s="1"/>
      <c r="VCJ224" s="1"/>
      <c r="VCK224" s="1"/>
      <c r="VCL224" s="1"/>
      <c r="VCM224" s="1"/>
      <c r="VCN224" s="1"/>
      <c r="VCO224" s="1"/>
      <c r="VCP224" s="1"/>
      <c r="VCQ224" s="1"/>
      <c r="VCR224" s="1"/>
      <c r="VCS224" s="1"/>
      <c r="VCT224" s="1"/>
      <c r="VCU224" s="1"/>
      <c r="VCV224" s="1"/>
    </row>
    <row r="225" spans="5:14972" s="2" customFormat="1" x14ac:dyDescent="0.3">
      <c r="E225" s="1"/>
      <c r="F225" s="1"/>
      <c r="G225" s="1"/>
      <c r="H225" s="1"/>
      <c r="I225" s="1"/>
      <c r="J225" s="1"/>
      <c r="K225" s="1"/>
      <c r="L225" s="1"/>
      <c r="M225" s="1"/>
      <c r="N225" s="1"/>
      <c r="O225" s="1"/>
      <c r="P225" s="1"/>
      <c r="Q225" s="1"/>
      <c r="R225" s="1"/>
      <c r="S225" s="1"/>
      <c r="T225" s="1"/>
      <c r="U225" s="1"/>
      <c r="V225" s="1"/>
      <c r="W225" s="1"/>
      <c r="X225" s="1"/>
      <c r="Y225" s="1"/>
      <c r="Z225" s="1"/>
      <c r="AA225" s="1"/>
      <c r="AB225" s="1"/>
      <c r="AC225" s="1"/>
      <c r="AD225" s="1"/>
      <c r="AE225" s="1"/>
      <c r="AF225" s="1"/>
      <c r="AG225" s="1"/>
      <c r="AH225" s="1"/>
      <c r="AI225" s="1"/>
      <c r="AJ225" s="1"/>
      <c r="AK225" s="1"/>
      <c r="AL225" s="1"/>
      <c r="AM225" s="4"/>
      <c r="AN225" s="1"/>
      <c r="AO225" s="1"/>
      <c r="AP225" s="1"/>
      <c r="AQ225" s="1"/>
      <c r="AS225" s="3"/>
      <c r="CA225" s="1"/>
      <c r="CB225" s="1"/>
      <c r="CC225" s="1"/>
      <c r="CD225" s="1"/>
      <c r="CE225" s="1"/>
      <c r="CF225" s="1"/>
      <c r="CG225" s="1"/>
      <c r="CH225" s="1"/>
      <c r="CI225" s="1"/>
      <c r="CJ225" s="1"/>
      <c r="CK225" s="1"/>
      <c r="CL225" s="1"/>
      <c r="CM225" s="1"/>
      <c r="CN225" s="1"/>
      <c r="CO225" s="1"/>
      <c r="CP225" s="1"/>
      <c r="CQ225" s="1"/>
      <c r="CR225" s="1"/>
      <c r="CS225" s="1"/>
      <c r="CT225" s="1"/>
      <c r="CU225" s="1"/>
      <c r="CV225" s="1"/>
      <c r="CW225" s="1"/>
      <c r="CX225" s="1"/>
      <c r="CY225" s="1"/>
      <c r="CZ225" s="1"/>
      <c r="DA225" s="1"/>
      <c r="DB225"/>
      <c r="DC225" s="1"/>
      <c r="DD225" s="1"/>
      <c r="DE225" s="1"/>
      <c r="DF225" s="1"/>
      <c r="DG225" s="1"/>
      <c r="DH225" s="1"/>
      <c r="DI225" s="1"/>
      <c r="DJ225" s="1"/>
      <c r="DK225" s="1"/>
      <c r="DL225" s="1"/>
      <c r="DM225" s="1"/>
      <c r="DN225" s="1"/>
      <c r="DO225" s="1"/>
      <c r="DP225" s="1"/>
      <c r="DQ225" s="1"/>
      <c r="DR225" s="1"/>
      <c r="DS225" s="1"/>
      <c r="DT225" s="1"/>
      <c r="DU225" s="1"/>
      <c r="DV225" s="1"/>
      <c r="DW225" s="1"/>
      <c r="DX225" s="1"/>
      <c r="DY225" s="1"/>
      <c r="DZ225" s="1"/>
      <c r="EA225" s="1"/>
      <c r="EB225" s="1"/>
      <c r="EC225" s="1"/>
      <c r="ED225" s="1"/>
      <c r="EE225" s="1"/>
      <c r="EF225" s="1"/>
      <c r="EG225" s="1"/>
      <c r="EH225" s="1"/>
      <c r="EI225" s="1"/>
      <c r="EJ225" s="1"/>
      <c r="EK225" s="1"/>
      <c r="EL225" s="1"/>
      <c r="EM225" s="1"/>
      <c r="EN225" s="1"/>
      <c r="EO225" s="1"/>
      <c r="EP225" s="1"/>
      <c r="EQ225" s="1"/>
      <c r="ER225" s="1"/>
      <c r="ES225" s="1"/>
      <c r="ET225" s="1"/>
      <c r="EU225" s="1"/>
      <c r="EV225" s="1"/>
      <c r="EW225" s="1"/>
      <c r="EX225" s="1"/>
      <c r="EY225" s="1"/>
      <c r="EZ225" s="1"/>
      <c r="FA225" s="1"/>
      <c r="FB225" s="1"/>
      <c r="FC225" s="1"/>
      <c r="FD225" s="1"/>
      <c r="FE225" s="1"/>
      <c r="FF225" s="1"/>
      <c r="FG225" s="1"/>
      <c r="FH225" s="1"/>
      <c r="FI225" s="1"/>
      <c r="FJ225" s="1"/>
      <c r="FK225" s="1"/>
      <c r="FL225" s="1"/>
      <c r="FM225" s="1"/>
      <c r="FN225" s="1"/>
      <c r="FO225" s="1"/>
      <c r="FP225" s="1"/>
      <c r="FQ225" s="1"/>
      <c r="FR225" s="1"/>
      <c r="FS225" s="1"/>
      <c r="FT225" s="1"/>
      <c r="FU225" s="1"/>
      <c r="FV225" s="1"/>
      <c r="FW225" s="1"/>
      <c r="FX225" s="1"/>
      <c r="FY225" s="1"/>
      <c r="FZ225" s="1"/>
      <c r="GA225" s="1"/>
      <c r="GB225" s="1"/>
      <c r="GC225" s="1"/>
      <c r="GD225" s="1"/>
      <c r="GE225" s="1"/>
      <c r="GF225" s="1"/>
      <c r="GG225" s="1"/>
      <c r="GH225" s="1"/>
      <c r="GI225" s="1"/>
      <c r="GJ225" s="1"/>
      <c r="GK225" s="1"/>
      <c r="GL225" s="1"/>
      <c r="GM225" s="1"/>
      <c r="GN225" s="1"/>
      <c r="GO225" s="1"/>
      <c r="GP225" s="1"/>
      <c r="GQ225" s="1"/>
      <c r="GR225" s="1"/>
      <c r="GS225" s="1"/>
      <c r="GT225" s="1"/>
      <c r="GU225" s="1"/>
      <c r="GV225" s="1"/>
      <c r="GW225" s="1"/>
      <c r="GX225" s="1"/>
      <c r="GY225" s="1"/>
      <c r="GZ225" s="1"/>
      <c r="HA225" s="1"/>
      <c r="HB225" s="1"/>
      <c r="HC225" s="1"/>
      <c r="HD225" s="1"/>
      <c r="HE225" s="1"/>
      <c r="HF225" s="1"/>
      <c r="HG225" s="1"/>
      <c r="HH225" s="1"/>
      <c r="HI225" s="1"/>
      <c r="HJ225" s="1"/>
      <c r="HK225" s="1"/>
      <c r="HL225" s="1"/>
      <c r="HM225" s="1"/>
      <c r="HN225" s="1"/>
      <c r="HO225" s="1"/>
      <c r="HP225" s="1"/>
      <c r="HQ225" s="1"/>
      <c r="HR225" s="1"/>
      <c r="HS225" s="1"/>
      <c r="HT225" s="1"/>
      <c r="HU225" s="1"/>
      <c r="HV225" s="1"/>
      <c r="HW225" s="1"/>
      <c r="HX225" s="1"/>
      <c r="HY225" s="1"/>
      <c r="HZ225" s="1"/>
      <c r="IA225" s="1"/>
      <c r="IB225" s="1"/>
      <c r="IC225" s="1"/>
      <c r="ID225" s="1"/>
      <c r="IE225" s="1"/>
      <c r="IF225" s="1"/>
      <c r="IG225" s="1"/>
      <c r="IH225" s="1"/>
      <c r="II225" s="1"/>
      <c r="IJ225" s="1"/>
      <c r="IK225" s="1"/>
      <c r="IL225" s="1"/>
      <c r="IM225" s="1"/>
      <c r="IN225" s="1"/>
      <c r="IO225" s="1"/>
      <c r="IP225" s="1"/>
      <c r="IQ225" s="1"/>
      <c r="IR225" s="1"/>
      <c r="IS225" s="1"/>
      <c r="IT225" s="1"/>
      <c r="IU225" s="1"/>
      <c r="IV225" s="1"/>
      <c r="IW225" s="1"/>
      <c r="IX225" s="1"/>
      <c r="IY225" s="1"/>
      <c r="IZ225" s="1"/>
      <c r="JA225" s="1"/>
      <c r="JB225" s="1"/>
      <c r="JC225" s="1"/>
      <c r="JD225" s="1"/>
      <c r="JE225" s="1"/>
      <c r="JF225" s="1"/>
      <c r="JG225" s="1"/>
      <c r="JH225" s="1"/>
      <c r="JI225" s="1"/>
      <c r="JJ225" s="1"/>
      <c r="JK225" s="1"/>
      <c r="JL225" s="1"/>
      <c r="JM225" s="1"/>
      <c r="JN225" s="1"/>
      <c r="JO225" s="1"/>
      <c r="JP225" s="1"/>
      <c r="JQ225" s="1"/>
      <c r="JR225" s="1"/>
      <c r="JS225" s="1"/>
      <c r="JT225" s="1"/>
      <c r="JU225" s="1"/>
      <c r="JV225" s="1"/>
      <c r="JW225" s="1"/>
      <c r="JX225" s="1"/>
      <c r="JY225" s="1"/>
      <c r="JZ225" s="1"/>
      <c r="KA225" s="1"/>
      <c r="KB225" s="1"/>
      <c r="KC225" s="1"/>
      <c r="KD225" s="1"/>
      <c r="KE225" s="1"/>
      <c r="KF225" s="1"/>
      <c r="KG225" s="1"/>
      <c r="KH225" s="1"/>
      <c r="KI225" s="1"/>
      <c r="KJ225" s="1"/>
      <c r="KK225" s="1"/>
      <c r="KL225" s="1"/>
      <c r="KM225" s="1"/>
      <c r="KN225" s="1"/>
      <c r="KO225" s="1"/>
      <c r="KP225" s="1"/>
      <c r="KQ225" s="1"/>
      <c r="KR225" s="1"/>
      <c r="KS225" s="1"/>
      <c r="KT225" s="1"/>
      <c r="KU225" s="1"/>
      <c r="KV225" s="1"/>
      <c r="KW225" s="1"/>
      <c r="KX225" s="1"/>
      <c r="KY225" s="1"/>
      <c r="KZ225" s="1"/>
      <c r="LA225" s="1"/>
      <c r="LB225" s="1"/>
      <c r="LC225" s="1"/>
      <c r="LD225" s="1"/>
      <c r="LE225" s="1"/>
      <c r="LF225" s="1"/>
      <c r="LG225" s="1"/>
      <c r="LH225" s="1"/>
      <c r="LI225" s="1"/>
      <c r="LJ225" s="1"/>
      <c r="LK225" s="1"/>
      <c r="LL225" s="1"/>
      <c r="LM225" s="1"/>
      <c r="LN225" s="1"/>
      <c r="LO225" s="1"/>
      <c r="LP225" s="1"/>
      <c r="LQ225" s="1"/>
      <c r="LR225" s="1"/>
      <c r="LS225" s="1"/>
      <c r="LT225" s="1"/>
      <c r="LU225" s="1"/>
      <c r="LV225" s="1"/>
      <c r="LW225" s="1"/>
      <c r="LX225" s="1"/>
      <c r="LY225" s="1"/>
      <c r="LZ225" s="1"/>
      <c r="MA225" s="1"/>
      <c r="MB225" s="1"/>
      <c r="MC225" s="1"/>
      <c r="MD225" s="1"/>
      <c r="ME225" s="1"/>
      <c r="MF225" s="1"/>
      <c r="MG225" s="1"/>
      <c r="MH225" s="1"/>
      <c r="MI225" s="1"/>
      <c r="MJ225" s="1"/>
      <c r="MK225" s="1"/>
      <c r="ML225" s="1"/>
      <c r="MM225" s="1"/>
      <c r="MN225" s="1"/>
      <c r="MO225" s="1"/>
      <c r="MP225" s="1"/>
      <c r="MQ225" s="1"/>
      <c r="MR225" s="1"/>
      <c r="MS225" s="1"/>
      <c r="MT225" s="1"/>
      <c r="MU225" s="1"/>
      <c r="MV225" s="1"/>
      <c r="MW225" s="1"/>
      <c r="MX225" s="1"/>
      <c r="MY225" s="1"/>
      <c r="MZ225" s="1"/>
      <c r="NA225" s="1"/>
      <c r="NB225" s="1"/>
      <c r="NC225" s="1"/>
      <c r="ND225" s="1"/>
      <c r="NE225" s="1"/>
      <c r="NF225" s="1"/>
      <c r="NG225" s="1"/>
      <c r="NH225" s="1"/>
      <c r="NI225" s="1"/>
      <c r="NJ225" s="1"/>
      <c r="NK225" s="1"/>
      <c r="NL225" s="1"/>
      <c r="NM225" s="1"/>
      <c r="NN225" s="1"/>
      <c r="NO225" s="1"/>
      <c r="NP225" s="1"/>
      <c r="NQ225" s="1"/>
      <c r="NR225" s="1"/>
      <c r="NS225" s="1"/>
      <c r="NT225" s="1"/>
      <c r="NU225" s="1"/>
      <c r="NV225" s="1"/>
      <c r="NW225" s="1"/>
      <c r="NX225" s="1"/>
      <c r="NY225" s="1"/>
      <c r="NZ225" s="1"/>
      <c r="OA225" s="1"/>
      <c r="OB225" s="1"/>
      <c r="OC225" s="1"/>
      <c r="OD225" s="1"/>
      <c r="OE225" s="1"/>
      <c r="OF225" s="1"/>
      <c r="OG225" s="1"/>
      <c r="OH225" s="1"/>
      <c r="OI225" s="1"/>
      <c r="OJ225" s="1"/>
      <c r="OK225" s="1"/>
      <c r="OL225" s="1"/>
      <c r="OM225" s="1"/>
      <c r="ON225" s="1"/>
      <c r="OO225" s="1"/>
      <c r="OP225" s="1"/>
      <c r="OQ225" s="1"/>
      <c r="OR225" s="1"/>
      <c r="OS225" s="1"/>
      <c r="OT225" s="1"/>
      <c r="OU225" s="1"/>
      <c r="OV225" s="1"/>
      <c r="OW225" s="1"/>
      <c r="OX225" s="1"/>
      <c r="OY225" s="1"/>
      <c r="OZ225" s="1"/>
      <c r="PA225" s="1"/>
      <c r="PB225" s="1"/>
      <c r="PC225" s="1"/>
      <c r="PD225" s="1"/>
      <c r="PE225" s="1"/>
      <c r="PF225" s="1"/>
      <c r="PG225" s="1"/>
      <c r="PH225" s="1"/>
      <c r="PI225" s="1"/>
      <c r="PJ225" s="1"/>
      <c r="PK225" s="1"/>
      <c r="PL225" s="1"/>
      <c r="PM225" s="1"/>
      <c r="PN225" s="1"/>
      <c r="PO225" s="1"/>
      <c r="PP225" s="1"/>
      <c r="PQ225" s="1"/>
      <c r="PR225" s="1"/>
      <c r="PS225" s="1"/>
      <c r="PT225" s="1"/>
      <c r="PU225" s="1"/>
      <c r="PV225" s="1"/>
      <c r="PW225" s="1"/>
      <c r="PX225" s="1"/>
      <c r="PY225" s="1"/>
      <c r="PZ225" s="1"/>
      <c r="QA225" s="1"/>
      <c r="QB225" s="1"/>
      <c r="QC225" s="1"/>
      <c r="QD225" s="1"/>
      <c r="QE225" s="1"/>
      <c r="QF225" s="1"/>
      <c r="QG225" s="1"/>
      <c r="QH225" s="1"/>
      <c r="QI225" s="1"/>
      <c r="QJ225" s="1"/>
      <c r="QK225" s="1"/>
      <c r="QL225" s="1"/>
      <c r="QM225" s="1"/>
      <c r="QN225" s="1"/>
      <c r="QO225" s="1"/>
      <c r="QP225" s="1"/>
      <c r="QQ225" s="1"/>
      <c r="QR225" s="1"/>
      <c r="QS225" s="1"/>
      <c r="QT225" s="1"/>
      <c r="QU225" s="1"/>
      <c r="QV225" s="1"/>
      <c r="QW225" s="1"/>
      <c r="QX225" s="1"/>
      <c r="QY225" s="1"/>
      <c r="QZ225" s="1"/>
      <c r="RA225" s="1"/>
      <c r="RB225" s="1"/>
      <c r="RC225" s="1"/>
      <c r="RD225" s="1"/>
      <c r="RE225" s="1"/>
      <c r="RF225" s="1"/>
      <c r="RG225" s="1"/>
      <c r="RH225" s="1"/>
      <c r="RI225" s="1"/>
      <c r="RJ225" s="1"/>
      <c r="RK225" s="1"/>
      <c r="RL225" s="1"/>
      <c r="RM225" s="1"/>
      <c r="RN225" s="1"/>
      <c r="RO225" s="1"/>
      <c r="RP225" s="1"/>
      <c r="RQ225" s="1"/>
      <c r="RR225" s="1"/>
      <c r="RS225" s="1"/>
      <c r="RT225" s="1"/>
      <c r="RU225" s="1"/>
      <c r="RV225" s="1"/>
      <c r="RW225" s="1"/>
      <c r="RX225" s="1"/>
      <c r="RY225" s="1"/>
      <c r="RZ225" s="1"/>
      <c r="SA225" s="1"/>
      <c r="SB225" s="1"/>
      <c r="SC225" s="1"/>
      <c r="SD225" s="1"/>
      <c r="SE225" s="1"/>
      <c r="SF225" s="1"/>
      <c r="SG225" s="1"/>
      <c r="SH225" s="1"/>
      <c r="SI225" s="1"/>
      <c r="SJ225" s="1"/>
      <c r="SK225" s="1"/>
      <c r="SL225" s="1"/>
      <c r="SM225" s="1"/>
      <c r="SN225" s="1"/>
      <c r="SO225" s="1"/>
      <c r="SP225" s="1"/>
      <c r="SQ225" s="1"/>
      <c r="SR225" s="1"/>
      <c r="SS225" s="1"/>
      <c r="ST225" s="1"/>
      <c r="SU225" s="1"/>
      <c r="SV225" s="1"/>
      <c r="SW225" s="1"/>
      <c r="SX225" s="1"/>
      <c r="SY225" s="1"/>
      <c r="SZ225" s="1"/>
      <c r="TA225" s="1"/>
      <c r="TB225" s="1"/>
      <c r="TC225" s="1"/>
      <c r="TD225" s="1"/>
      <c r="TE225" s="1"/>
      <c r="TF225" s="1"/>
      <c r="TG225" s="1"/>
      <c r="TH225" s="1"/>
      <c r="TI225" s="1"/>
      <c r="TJ225" s="1"/>
      <c r="TK225" s="1"/>
      <c r="TL225" s="1"/>
      <c r="TM225" s="1"/>
      <c r="TN225" s="1"/>
      <c r="TO225" s="1"/>
      <c r="TP225" s="1"/>
      <c r="TQ225" s="1"/>
      <c r="TR225" s="1"/>
      <c r="TS225" s="1"/>
      <c r="TT225" s="1"/>
      <c r="TU225" s="1"/>
      <c r="TV225" s="1"/>
      <c r="TW225" s="1"/>
      <c r="TX225" s="1"/>
      <c r="TY225" s="1"/>
      <c r="TZ225" s="1"/>
      <c r="UA225" s="1"/>
      <c r="UB225" s="1"/>
      <c r="UC225" s="1"/>
      <c r="UD225" s="1"/>
      <c r="UE225" s="1"/>
      <c r="UF225" s="1"/>
      <c r="UG225" s="1"/>
      <c r="UH225" s="1"/>
      <c r="UI225" s="1"/>
      <c r="UJ225" s="1"/>
      <c r="UK225" s="1"/>
      <c r="UL225" s="1"/>
      <c r="UM225" s="1"/>
      <c r="UN225" s="1"/>
      <c r="UO225" s="1"/>
      <c r="UP225" s="1"/>
      <c r="UQ225" s="1"/>
      <c r="UR225" s="1"/>
      <c r="US225" s="1"/>
      <c r="UT225" s="1"/>
      <c r="UU225" s="1"/>
      <c r="UV225" s="1"/>
      <c r="UW225" s="1"/>
      <c r="UX225" s="1"/>
      <c r="UY225" s="1"/>
      <c r="UZ225" s="1"/>
      <c r="VA225" s="1"/>
      <c r="VB225" s="1"/>
      <c r="VC225" s="1"/>
      <c r="VD225" s="1"/>
      <c r="VE225" s="1"/>
      <c r="VF225" s="1"/>
      <c r="VG225" s="1"/>
      <c r="VH225" s="1"/>
      <c r="VI225" s="1"/>
      <c r="VJ225" s="1"/>
      <c r="VK225" s="1"/>
      <c r="VL225" s="1"/>
      <c r="VM225" s="1"/>
      <c r="VN225" s="1"/>
      <c r="VO225" s="1"/>
      <c r="VP225" s="1"/>
      <c r="VQ225" s="1"/>
      <c r="VR225" s="1"/>
      <c r="VS225" s="1"/>
      <c r="VT225" s="1"/>
      <c r="VU225" s="1"/>
      <c r="VV225" s="1"/>
      <c r="VW225" s="1"/>
      <c r="VX225" s="1"/>
      <c r="VY225" s="1"/>
      <c r="VZ225" s="1"/>
      <c r="WA225" s="1"/>
      <c r="WB225" s="1"/>
      <c r="WC225" s="1"/>
      <c r="WD225" s="1"/>
      <c r="WE225" s="1"/>
      <c r="WF225" s="1"/>
      <c r="WG225" s="1"/>
      <c r="WH225" s="1"/>
      <c r="WI225" s="1"/>
      <c r="WJ225" s="1"/>
      <c r="WK225" s="1"/>
      <c r="WL225" s="1"/>
      <c r="WM225" s="1"/>
      <c r="WN225" s="1"/>
      <c r="WO225" s="1"/>
      <c r="WP225" s="1"/>
      <c r="WQ225" s="1"/>
      <c r="WR225" s="1"/>
      <c r="WS225" s="1"/>
      <c r="WT225" s="1"/>
      <c r="WU225" s="1"/>
      <c r="WV225" s="1"/>
      <c r="WW225" s="1"/>
      <c r="WX225" s="1"/>
      <c r="WY225" s="1"/>
      <c r="WZ225" s="1"/>
      <c r="XA225" s="1"/>
      <c r="XB225" s="1"/>
      <c r="XC225" s="1"/>
      <c r="XD225" s="1"/>
      <c r="XE225" s="1"/>
      <c r="XF225" s="1"/>
      <c r="XG225" s="1"/>
      <c r="XH225" s="1"/>
      <c r="XI225" s="1"/>
      <c r="XJ225" s="1"/>
      <c r="XK225" s="1"/>
      <c r="XL225" s="1"/>
      <c r="XM225" s="1"/>
      <c r="XN225" s="1"/>
      <c r="XO225" s="1"/>
      <c r="XP225" s="1"/>
      <c r="XQ225" s="1"/>
      <c r="XR225" s="1"/>
      <c r="XS225" s="1"/>
      <c r="XT225" s="1"/>
      <c r="XU225" s="1"/>
      <c r="XV225" s="1"/>
      <c r="XW225" s="1"/>
      <c r="XX225" s="1"/>
      <c r="XY225" s="1"/>
      <c r="XZ225" s="1"/>
      <c r="YA225" s="1"/>
      <c r="YB225" s="1"/>
      <c r="YC225" s="1"/>
      <c r="YD225" s="1"/>
      <c r="YE225" s="1"/>
      <c r="YF225" s="1"/>
      <c r="YG225" s="1"/>
      <c r="YH225" s="1"/>
      <c r="YI225" s="1"/>
      <c r="YJ225" s="1"/>
      <c r="YK225" s="1"/>
      <c r="YL225" s="1"/>
      <c r="YM225" s="1"/>
      <c r="YN225" s="1"/>
      <c r="YO225" s="1"/>
      <c r="YP225" s="1"/>
      <c r="YQ225" s="1"/>
      <c r="YR225" s="1"/>
      <c r="YS225" s="1"/>
      <c r="YT225" s="1"/>
      <c r="YU225" s="1"/>
      <c r="YV225" s="1"/>
      <c r="YW225" s="1"/>
      <c r="YX225" s="1"/>
      <c r="YY225" s="1"/>
      <c r="YZ225" s="1"/>
      <c r="ZA225" s="1"/>
      <c r="ZB225" s="1"/>
      <c r="ZC225" s="1"/>
      <c r="ZD225" s="1"/>
      <c r="ZE225" s="1"/>
      <c r="ZF225" s="1"/>
      <c r="ZG225" s="1"/>
      <c r="ZH225" s="1"/>
      <c r="ZI225" s="1"/>
      <c r="ZJ225" s="1"/>
      <c r="ZK225" s="1"/>
      <c r="ZL225" s="1"/>
      <c r="ZM225" s="1"/>
      <c r="ZN225" s="1"/>
      <c r="ZO225" s="1"/>
      <c r="ZP225" s="1"/>
      <c r="ZQ225" s="1"/>
      <c r="ZR225" s="1"/>
      <c r="ZS225" s="1"/>
      <c r="ZT225" s="1"/>
      <c r="ZU225" s="1"/>
      <c r="ZV225" s="1"/>
      <c r="ZW225" s="1"/>
      <c r="ZX225" s="1"/>
      <c r="ZY225" s="1"/>
      <c r="ZZ225" s="1"/>
      <c r="AAA225" s="1"/>
      <c r="AAB225" s="1"/>
      <c r="AAC225" s="1"/>
      <c r="AAD225" s="1"/>
      <c r="AAE225" s="1"/>
      <c r="AAF225" s="1"/>
      <c r="AAG225" s="1"/>
      <c r="AAH225" s="1"/>
      <c r="AAI225" s="1"/>
      <c r="AAJ225" s="1"/>
      <c r="AAK225" s="1"/>
      <c r="AAL225" s="1"/>
      <c r="AAM225" s="1"/>
      <c r="AAN225" s="1"/>
      <c r="AAO225" s="1"/>
      <c r="AAP225" s="1"/>
      <c r="AAQ225" s="1"/>
      <c r="AAR225" s="1"/>
      <c r="AAS225" s="1"/>
      <c r="AAT225" s="1"/>
      <c r="AAU225" s="1"/>
      <c r="AAV225" s="1"/>
      <c r="AAW225" s="1"/>
      <c r="AAX225" s="1"/>
      <c r="AAY225" s="1"/>
      <c r="AAZ225" s="1"/>
      <c r="ABA225" s="1"/>
      <c r="ABB225" s="1"/>
      <c r="ABC225" s="1"/>
      <c r="ABD225" s="1"/>
      <c r="ABE225" s="1"/>
      <c r="ABF225" s="1"/>
      <c r="ABG225" s="1"/>
      <c r="ABH225" s="1"/>
      <c r="ABI225" s="1"/>
      <c r="ABJ225" s="1"/>
      <c r="ABK225" s="1"/>
      <c r="ABL225" s="1"/>
      <c r="ABM225" s="1"/>
      <c r="ABN225" s="1"/>
      <c r="ABO225" s="1"/>
      <c r="ABP225" s="1"/>
      <c r="ABQ225" s="1"/>
      <c r="ABR225" s="1"/>
      <c r="ABS225" s="1"/>
      <c r="ABT225" s="1"/>
      <c r="ABU225" s="1"/>
      <c r="ABV225" s="1"/>
      <c r="ABW225" s="1"/>
      <c r="ABX225" s="1"/>
      <c r="ABY225" s="1"/>
      <c r="ABZ225" s="1"/>
      <c r="ACA225" s="1"/>
      <c r="ACB225" s="1"/>
      <c r="ACC225" s="1"/>
      <c r="ACD225" s="1"/>
      <c r="ACE225" s="1"/>
      <c r="ACF225" s="1"/>
      <c r="ACG225" s="1"/>
      <c r="ACH225" s="1"/>
      <c r="ACI225" s="1"/>
      <c r="ACJ225" s="1"/>
      <c r="ACK225" s="1"/>
      <c r="ACL225" s="1"/>
      <c r="ACM225" s="1"/>
      <c r="ACN225" s="1"/>
      <c r="ACO225" s="1"/>
      <c r="ACP225" s="1"/>
      <c r="ACQ225" s="1"/>
      <c r="ACR225" s="1"/>
      <c r="ACS225" s="1"/>
      <c r="ACT225" s="1"/>
      <c r="ACU225" s="1"/>
      <c r="ACV225" s="1"/>
      <c r="ACW225" s="1"/>
      <c r="ACX225" s="1"/>
      <c r="ACY225" s="1"/>
      <c r="ACZ225" s="1"/>
      <c r="ADA225" s="1"/>
      <c r="ADB225" s="1"/>
      <c r="ADC225" s="1"/>
      <c r="ADD225" s="1"/>
      <c r="ADE225" s="1"/>
      <c r="ADF225" s="1"/>
      <c r="ADG225" s="1"/>
      <c r="ADH225" s="1"/>
      <c r="ADI225" s="1"/>
      <c r="ADJ225" s="1"/>
      <c r="ADK225" s="1"/>
      <c r="ADL225" s="1"/>
      <c r="ADM225" s="1"/>
      <c r="ADN225" s="1"/>
      <c r="ADO225" s="1"/>
      <c r="ADP225" s="1"/>
      <c r="ADQ225" s="1"/>
      <c r="ADR225" s="1"/>
      <c r="ADS225" s="1"/>
      <c r="ADT225" s="1"/>
      <c r="ADU225" s="1"/>
      <c r="ADV225" s="1"/>
      <c r="ADW225" s="1"/>
      <c r="ADX225" s="1"/>
      <c r="ADY225" s="1"/>
      <c r="ADZ225" s="1"/>
      <c r="AEA225" s="1"/>
      <c r="AEB225" s="1"/>
      <c r="AEC225" s="1"/>
      <c r="AED225" s="1"/>
      <c r="AEE225" s="1"/>
      <c r="AEF225" s="1"/>
      <c r="AEG225" s="1"/>
      <c r="AEH225" s="1"/>
      <c r="AEI225" s="1"/>
      <c r="AEJ225" s="1"/>
      <c r="AEK225" s="1"/>
      <c r="AEL225" s="1"/>
      <c r="AEM225" s="1"/>
      <c r="AEN225" s="1"/>
      <c r="AEO225" s="1"/>
      <c r="AEP225" s="1"/>
      <c r="AEQ225" s="1"/>
      <c r="AER225" s="1"/>
      <c r="AES225" s="1"/>
      <c r="AET225" s="1"/>
      <c r="AEU225" s="1"/>
      <c r="AEV225" s="1"/>
      <c r="AEW225" s="1"/>
      <c r="AEX225" s="1"/>
      <c r="AEY225" s="1"/>
      <c r="AEZ225" s="1"/>
      <c r="AFA225" s="1"/>
      <c r="AFB225" s="1"/>
      <c r="AFC225" s="1"/>
      <c r="AFD225" s="1"/>
      <c r="AFE225" s="1"/>
      <c r="AFF225" s="1"/>
      <c r="AFG225" s="1"/>
      <c r="AFH225" s="1"/>
      <c r="AFI225" s="1"/>
      <c r="AFJ225" s="1"/>
      <c r="AFK225" s="1"/>
      <c r="AFL225" s="1"/>
      <c r="AFM225" s="1"/>
      <c r="AFN225" s="1"/>
      <c r="AFO225" s="1"/>
      <c r="AFP225" s="1"/>
      <c r="AFQ225" s="1"/>
      <c r="AFR225" s="1"/>
      <c r="AFS225" s="1"/>
      <c r="AFT225" s="1"/>
      <c r="AFU225" s="1"/>
      <c r="AFV225" s="1"/>
      <c r="AFW225" s="1"/>
      <c r="AFX225" s="1"/>
      <c r="AFY225" s="1"/>
      <c r="AFZ225" s="1"/>
      <c r="AGA225" s="1"/>
      <c r="AGB225" s="1"/>
      <c r="AGC225" s="1"/>
      <c r="AGD225" s="1"/>
      <c r="AGE225" s="1"/>
      <c r="AGF225" s="1"/>
      <c r="AGG225" s="1"/>
      <c r="AGH225" s="1"/>
      <c r="AGI225" s="1"/>
      <c r="AGJ225" s="1"/>
      <c r="AGK225" s="1"/>
      <c r="AGL225" s="1"/>
      <c r="AGM225" s="1"/>
      <c r="AGN225" s="1"/>
      <c r="AGO225" s="1"/>
      <c r="AGP225" s="1"/>
      <c r="AGQ225" s="1"/>
      <c r="AGR225" s="1"/>
      <c r="AGS225" s="1"/>
      <c r="AGT225" s="1"/>
      <c r="AGU225" s="1"/>
      <c r="AGV225" s="1"/>
      <c r="AGW225" s="1"/>
      <c r="AGX225" s="1"/>
      <c r="AGY225" s="1"/>
      <c r="AGZ225" s="1"/>
      <c r="AHA225" s="1"/>
      <c r="AHB225" s="1"/>
      <c r="AHC225" s="1"/>
      <c r="AHD225" s="1"/>
      <c r="AHE225" s="1"/>
      <c r="AHF225" s="1"/>
      <c r="AHG225" s="1"/>
      <c r="AHH225" s="1"/>
      <c r="AHI225" s="1"/>
      <c r="AHJ225" s="1"/>
      <c r="AHK225" s="1"/>
      <c r="AHL225" s="1"/>
      <c r="AHM225" s="1"/>
      <c r="AHN225" s="1"/>
      <c r="AHO225" s="1"/>
      <c r="AHP225" s="1"/>
      <c r="AHQ225" s="1"/>
      <c r="AHR225" s="1"/>
      <c r="AHS225" s="1"/>
      <c r="AHT225" s="1"/>
      <c r="AHU225" s="1"/>
      <c r="AHV225" s="1"/>
      <c r="AHW225" s="1"/>
      <c r="AHX225" s="1"/>
      <c r="AHY225" s="1"/>
      <c r="AHZ225" s="1"/>
      <c r="AIA225" s="1"/>
      <c r="AIB225" s="1"/>
      <c r="AIC225" s="1"/>
      <c r="AID225" s="1"/>
      <c r="AIE225" s="1"/>
      <c r="AIF225" s="1"/>
      <c r="AIG225" s="1"/>
      <c r="AIH225" s="1"/>
      <c r="AII225" s="1"/>
      <c r="AIJ225" s="1"/>
      <c r="AIK225" s="1"/>
      <c r="AIL225" s="1"/>
      <c r="AIM225" s="1"/>
      <c r="AIN225" s="1"/>
      <c r="AIO225" s="1"/>
      <c r="AIP225" s="1"/>
      <c r="AIQ225" s="1"/>
      <c r="AIR225" s="1"/>
      <c r="AIS225" s="1"/>
      <c r="AIT225" s="1"/>
      <c r="AIU225" s="1"/>
      <c r="AIV225" s="1"/>
      <c r="AIW225" s="1"/>
      <c r="AIX225" s="1"/>
      <c r="AIY225" s="1"/>
      <c r="AIZ225" s="1"/>
      <c r="AJA225" s="1"/>
      <c r="AJB225" s="1"/>
      <c r="AJC225" s="1"/>
      <c r="AJD225" s="1"/>
      <c r="AJE225" s="1"/>
      <c r="AJF225" s="1"/>
      <c r="AJG225" s="1"/>
      <c r="AJH225" s="1"/>
      <c r="AJI225" s="1"/>
      <c r="AJJ225" s="1"/>
      <c r="AJK225" s="1"/>
      <c r="AJL225" s="1"/>
      <c r="AJM225" s="1"/>
      <c r="AJN225" s="1"/>
      <c r="AJO225" s="1"/>
      <c r="AJP225" s="1"/>
      <c r="AJQ225" s="1"/>
      <c r="AJR225" s="1"/>
      <c r="AJS225" s="1"/>
      <c r="AJT225" s="1"/>
      <c r="AJU225" s="1"/>
      <c r="AJV225" s="1"/>
      <c r="AJW225" s="1"/>
      <c r="AJX225" s="1"/>
      <c r="AJY225" s="1"/>
      <c r="AJZ225" s="1"/>
      <c r="AKA225" s="1"/>
      <c r="AKB225" s="1"/>
      <c r="AKC225" s="1"/>
      <c r="AKD225" s="1"/>
      <c r="AKE225" s="1"/>
      <c r="AKF225" s="1"/>
      <c r="AKG225" s="1"/>
      <c r="AKH225" s="1"/>
      <c r="AKI225" s="1"/>
      <c r="AKJ225" s="1"/>
      <c r="AKK225" s="1"/>
      <c r="AKL225" s="1"/>
      <c r="AKM225" s="1"/>
      <c r="AKN225" s="1"/>
      <c r="AKO225" s="1"/>
      <c r="AKP225" s="1"/>
      <c r="AKQ225" s="1"/>
      <c r="AKR225" s="1"/>
      <c r="AKS225" s="1"/>
      <c r="AKT225" s="1"/>
      <c r="AKU225" s="1"/>
      <c r="AKV225" s="1"/>
      <c r="AKW225" s="1"/>
      <c r="AKX225" s="1"/>
      <c r="AKY225" s="1"/>
      <c r="AKZ225" s="1"/>
      <c r="ALA225" s="1"/>
      <c r="ALB225" s="1"/>
      <c r="ALC225" s="1"/>
      <c r="ALD225" s="1"/>
      <c r="ALE225" s="1"/>
      <c r="ALF225" s="1"/>
      <c r="ALG225" s="1"/>
      <c r="ALH225" s="1"/>
      <c r="ALI225" s="1"/>
      <c r="ALJ225" s="1"/>
      <c r="ALK225" s="1"/>
      <c r="ALL225" s="1"/>
      <c r="ALM225" s="1"/>
      <c r="ALN225" s="1"/>
      <c r="ALO225" s="1"/>
      <c r="ALP225" s="1"/>
      <c r="ALQ225" s="1"/>
      <c r="ALR225" s="1"/>
      <c r="ALS225" s="1"/>
      <c r="ALT225" s="1"/>
      <c r="ALU225" s="1"/>
      <c r="ALV225" s="1"/>
      <c r="ALW225" s="1"/>
      <c r="ALX225" s="1"/>
      <c r="ALY225" s="1"/>
      <c r="ALZ225" s="1"/>
      <c r="AMA225" s="1"/>
      <c r="AMB225" s="1"/>
      <c r="AMC225" s="1"/>
      <c r="AMD225" s="1"/>
      <c r="AME225" s="1"/>
      <c r="AMF225" s="1"/>
      <c r="AMG225" s="1"/>
      <c r="AMH225" s="1"/>
      <c r="AMI225" s="1"/>
      <c r="AMJ225" s="1"/>
      <c r="AMK225" s="1"/>
      <c r="AML225" s="1"/>
      <c r="AMM225" s="1"/>
      <c r="AMN225" s="1"/>
      <c r="AMO225" s="1"/>
      <c r="AMP225" s="1"/>
      <c r="AMQ225" s="1"/>
      <c r="AMR225" s="1"/>
      <c r="AMS225" s="1"/>
      <c r="AMT225" s="1"/>
      <c r="AMU225" s="1"/>
      <c r="AMV225" s="1"/>
      <c r="AMW225" s="1"/>
      <c r="AMX225" s="1"/>
      <c r="AMY225" s="1"/>
      <c r="AMZ225" s="1"/>
      <c r="ANA225" s="1"/>
      <c r="ANB225" s="1"/>
      <c r="ANC225" s="1"/>
      <c r="AND225" s="1"/>
      <c r="ANE225" s="1"/>
      <c r="ANF225" s="1"/>
      <c r="ANG225" s="1"/>
      <c r="ANH225" s="1"/>
      <c r="ANI225" s="1"/>
      <c r="ANJ225" s="1"/>
      <c r="ANK225" s="1"/>
      <c r="ANL225" s="1"/>
      <c r="ANM225" s="1"/>
      <c r="ANN225" s="1"/>
      <c r="ANO225" s="1"/>
      <c r="ANP225" s="1"/>
      <c r="ANQ225" s="1"/>
      <c r="ANR225" s="1"/>
      <c r="ANS225" s="1"/>
      <c r="ANT225" s="1"/>
      <c r="ANU225" s="1"/>
      <c r="ANV225" s="1"/>
      <c r="ANW225" s="1"/>
      <c r="ANX225" s="1"/>
      <c r="ANY225" s="1"/>
      <c r="ANZ225" s="1"/>
      <c r="AOA225" s="1"/>
      <c r="AOB225" s="1"/>
      <c r="AOC225" s="1"/>
      <c r="AOD225" s="1"/>
      <c r="AOE225" s="1"/>
      <c r="AOF225" s="1"/>
      <c r="AOG225" s="1"/>
      <c r="AOH225" s="1"/>
      <c r="AOI225" s="1"/>
      <c r="AOJ225" s="1"/>
      <c r="AOK225" s="1"/>
      <c r="AOL225" s="1"/>
      <c r="AOM225" s="1"/>
      <c r="AON225" s="1"/>
      <c r="AOO225" s="1"/>
      <c r="AOP225" s="1"/>
      <c r="AOQ225" s="1"/>
      <c r="AOR225" s="1"/>
      <c r="AOS225" s="1"/>
      <c r="AOT225" s="1"/>
      <c r="AOU225" s="1"/>
      <c r="AOV225" s="1"/>
      <c r="AOW225" s="1"/>
      <c r="AOX225" s="1"/>
      <c r="AOY225" s="1"/>
      <c r="AOZ225" s="1"/>
      <c r="APA225" s="1"/>
      <c r="APB225" s="1"/>
      <c r="APC225" s="1"/>
      <c r="APD225" s="1"/>
      <c r="APE225" s="1"/>
      <c r="APF225" s="1"/>
      <c r="APG225" s="1"/>
      <c r="APH225" s="1"/>
      <c r="API225" s="1"/>
      <c r="APJ225" s="1"/>
      <c r="APK225" s="1"/>
      <c r="APL225" s="1"/>
      <c r="APM225" s="1"/>
      <c r="APN225" s="1"/>
      <c r="APO225" s="1"/>
      <c r="APP225" s="1"/>
      <c r="APQ225" s="1"/>
      <c r="APR225" s="1"/>
      <c r="APS225" s="1"/>
      <c r="APT225" s="1"/>
      <c r="APU225" s="1"/>
      <c r="APV225" s="1"/>
      <c r="APW225" s="1"/>
      <c r="APX225" s="1"/>
      <c r="APY225" s="1"/>
      <c r="APZ225" s="1"/>
      <c r="AQA225" s="1"/>
      <c r="AQB225" s="1"/>
      <c r="AQC225" s="1"/>
      <c r="AQD225" s="1"/>
      <c r="AQE225" s="1"/>
      <c r="AQF225" s="1"/>
      <c r="AQG225" s="1"/>
      <c r="AQH225" s="1"/>
      <c r="AQI225" s="1"/>
      <c r="AQJ225" s="1"/>
      <c r="AQK225" s="1"/>
      <c r="AQL225" s="1"/>
      <c r="AQM225" s="1"/>
      <c r="AQN225" s="1"/>
      <c r="AQO225" s="1"/>
      <c r="AQP225" s="1"/>
      <c r="AQQ225" s="1"/>
      <c r="AQR225" s="1"/>
      <c r="AQS225" s="1"/>
      <c r="AQT225" s="1"/>
      <c r="AQU225" s="1"/>
      <c r="AQV225" s="1"/>
      <c r="AQW225" s="1"/>
      <c r="AQX225" s="1"/>
      <c r="AQY225" s="1"/>
      <c r="AQZ225" s="1"/>
      <c r="ARA225" s="1"/>
      <c r="ARB225" s="1"/>
      <c r="ARC225" s="1"/>
      <c r="ARD225" s="1"/>
      <c r="ARE225" s="1"/>
      <c r="ARF225" s="1"/>
      <c r="ARG225" s="1"/>
      <c r="ARH225" s="1"/>
      <c r="ARI225" s="1"/>
      <c r="ARJ225" s="1"/>
      <c r="ARK225" s="1"/>
      <c r="ARL225" s="1"/>
      <c r="ARM225" s="1"/>
      <c r="ARN225" s="1"/>
      <c r="ARO225" s="1"/>
      <c r="ARP225" s="1"/>
      <c r="ARQ225" s="1"/>
      <c r="ARR225" s="1"/>
      <c r="ARS225" s="1"/>
      <c r="ART225" s="1"/>
      <c r="ARU225" s="1"/>
      <c r="ARV225" s="1"/>
      <c r="ARW225" s="1"/>
      <c r="ARX225" s="1"/>
      <c r="ARY225" s="1"/>
      <c r="ARZ225" s="1"/>
      <c r="ASA225" s="1"/>
      <c r="ASB225" s="1"/>
      <c r="ASC225" s="1"/>
      <c r="ASD225" s="1"/>
      <c r="ASE225" s="1"/>
      <c r="ASF225" s="1"/>
      <c r="ASG225" s="1"/>
      <c r="ASH225" s="1"/>
      <c r="ASI225" s="1"/>
      <c r="ASJ225" s="1"/>
      <c r="ASK225" s="1"/>
      <c r="ASL225" s="1"/>
      <c r="ASM225" s="1"/>
      <c r="ASN225" s="1"/>
      <c r="ASO225" s="1"/>
      <c r="ASP225" s="1"/>
      <c r="ASQ225" s="1"/>
      <c r="ASR225" s="1"/>
      <c r="ASS225" s="1"/>
      <c r="AST225" s="1"/>
      <c r="ASU225" s="1"/>
      <c r="ASV225" s="1"/>
      <c r="ASW225" s="1"/>
      <c r="ASX225" s="1"/>
      <c r="ASY225" s="1"/>
      <c r="ASZ225" s="1"/>
      <c r="ATA225" s="1"/>
      <c r="ATB225" s="1"/>
      <c r="ATC225" s="1"/>
      <c r="ATD225" s="1"/>
      <c r="ATE225" s="1"/>
      <c r="ATF225" s="1"/>
      <c r="ATG225" s="1"/>
      <c r="ATH225" s="1"/>
      <c r="ATI225" s="1"/>
      <c r="ATJ225" s="1"/>
      <c r="ATK225" s="1"/>
      <c r="ATL225" s="1"/>
      <c r="ATM225" s="1"/>
      <c r="ATN225" s="1"/>
      <c r="ATO225" s="1"/>
      <c r="ATP225" s="1"/>
      <c r="ATQ225" s="1"/>
      <c r="ATR225" s="1"/>
      <c r="ATS225" s="1"/>
      <c r="ATT225" s="1"/>
      <c r="ATU225" s="1"/>
      <c r="ATV225" s="1"/>
      <c r="ATW225" s="1"/>
      <c r="ATX225" s="1"/>
      <c r="ATY225" s="1"/>
      <c r="ATZ225" s="1"/>
      <c r="AUA225" s="1"/>
      <c r="AUB225" s="1"/>
      <c r="AUC225" s="1"/>
      <c r="AUD225" s="1"/>
      <c r="AUE225" s="1"/>
      <c r="AUF225" s="1"/>
      <c r="AUG225" s="1"/>
      <c r="AUH225" s="1"/>
      <c r="AUI225" s="1"/>
      <c r="AUJ225" s="1"/>
      <c r="AUK225" s="1"/>
      <c r="AUL225" s="1"/>
      <c r="AUM225" s="1"/>
      <c r="AUN225" s="1"/>
      <c r="AUO225" s="1"/>
      <c r="AUP225" s="1"/>
      <c r="AUQ225" s="1"/>
      <c r="AUR225" s="1"/>
      <c r="AUS225" s="1"/>
      <c r="AUT225" s="1"/>
      <c r="AUU225" s="1"/>
      <c r="AUV225" s="1"/>
      <c r="AUW225" s="1"/>
      <c r="AUX225" s="1"/>
      <c r="AUY225" s="1"/>
      <c r="AUZ225" s="1"/>
      <c r="AVA225" s="1"/>
      <c r="AVB225" s="1"/>
      <c r="AVC225" s="1"/>
      <c r="AVD225" s="1"/>
      <c r="AVE225" s="1"/>
      <c r="AVF225" s="1"/>
      <c r="AVG225" s="1"/>
      <c r="AVH225" s="1"/>
      <c r="AVI225" s="1"/>
      <c r="AVJ225" s="1"/>
      <c r="AVK225" s="1"/>
      <c r="AVL225" s="1"/>
      <c r="AVM225" s="1"/>
      <c r="AVN225" s="1"/>
      <c r="AVO225" s="1"/>
      <c r="AVP225" s="1"/>
      <c r="AVQ225" s="1"/>
      <c r="AVR225" s="1"/>
      <c r="AVS225" s="1"/>
      <c r="AVT225" s="1"/>
      <c r="AVU225" s="1"/>
      <c r="AVV225" s="1"/>
      <c r="AVW225" s="1"/>
      <c r="AVX225" s="1"/>
      <c r="AVY225" s="1"/>
      <c r="AVZ225" s="1"/>
      <c r="AWA225" s="1"/>
      <c r="AWB225" s="1"/>
      <c r="AWC225" s="1"/>
      <c r="AWD225" s="1"/>
      <c r="AWE225" s="1"/>
      <c r="AWF225" s="1"/>
      <c r="AWG225" s="1"/>
      <c r="AWH225" s="1"/>
      <c r="AWI225" s="1"/>
      <c r="AWJ225" s="1"/>
      <c r="AWK225" s="1"/>
      <c r="AWL225" s="1"/>
      <c r="AWM225" s="1"/>
      <c r="AWN225" s="1"/>
      <c r="AWO225" s="1"/>
      <c r="AWP225" s="1"/>
      <c r="AWQ225" s="1"/>
      <c r="AWR225" s="1"/>
      <c r="AWS225" s="1"/>
      <c r="AWT225" s="1"/>
      <c r="AWU225" s="1"/>
      <c r="AWV225" s="1"/>
      <c r="AWW225" s="1"/>
      <c r="AWX225" s="1"/>
      <c r="AWY225" s="1"/>
      <c r="AWZ225" s="1"/>
      <c r="AXA225" s="1"/>
      <c r="AXB225" s="1"/>
      <c r="AXC225" s="1"/>
      <c r="AXD225" s="1"/>
      <c r="AXE225" s="1"/>
      <c r="AXF225" s="1"/>
      <c r="AXG225" s="1"/>
      <c r="AXH225" s="1"/>
      <c r="AXI225" s="1"/>
      <c r="AXJ225" s="1"/>
      <c r="AXK225" s="1"/>
      <c r="AXL225" s="1"/>
      <c r="AXM225" s="1"/>
      <c r="AXN225" s="1"/>
      <c r="AXO225" s="1"/>
      <c r="AXP225" s="1"/>
      <c r="AXQ225" s="1"/>
      <c r="AXR225" s="1"/>
      <c r="AXS225" s="1"/>
      <c r="AXT225" s="1"/>
      <c r="AXU225" s="1"/>
      <c r="AXV225" s="1"/>
      <c r="AXW225" s="1"/>
      <c r="AXX225" s="1"/>
      <c r="AXY225" s="1"/>
      <c r="AXZ225" s="1"/>
      <c r="AYA225" s="1"/>
      <c r="AYB225" s="1"/>
      <c r="AYC225" s="1"/>
      <c r="AYD225" s="1"/>
      <c r="AYE225" s="1"/>
      <c r="AYF225" s="1"/>
      <c r="AYG225" s="1"/>
      <c r="AYH225" s="1"/>
      <c r="AYI225" s="1"/>
      <c r="AYJ225" s="1"/>
      <c r="AYK225" s="1"/>
      <c r="AYL225" s="1"/>
      <c r="AYM225" s="1"/>
      <c r="AYN225" s="1"/>
      <c r="AYO225" s="1"/>
      <c r="AYP225" s="1"/>
      <c r="AYQ225" s="1"/>
      <c r="AYR225" s="1"/>
      <c r="AYS225" s="1"/>
      <c r="AYT225" s="1"/>
      <c r="AYU225" s="1"/>
      <c r="AYV225" s="1"/>
      <c r="AYW225" s="1"/>
      <c r="AYX225" s="1"/>
      <c r="AYY225" s="1"/>
      <c r="AYZ225" s="1"/>
      <c r="AZA225" s="1"/>
      <c r="AZB225" s="1"/>
      <c r="AZC225" s="1"/>
      <c r="AZD225" s="1"/>
      <c r="AZE225" s="1"/>
      <c r="AZF225" s="1"/>
      <c r="AZG225" s="1"/>
      <c r="AZH225" s="1"/>
      <c r="AZI225" s="1"/>
      <c r="AZJ225" s="1"/>
      <c r="AZK225" s="1"/>
      <c r="AZL225" s="1"/>
      <c r="AZM225" s="1"/>
      <c r="AZN225" s="1"/>
      <c r="AZO225" s="1"/>
      <c r="AZP225" s="1"/>
      <c r="AZQ225" s="1"/>
      <c r="AZR225" s="1"/>
      <c r="AZS225" s="1"/>
      <c r="AZT225" s="1"/>
      <c r="AZU225" s="1"/>
      <c r="AZV225" s="1"/>
      <c r="AZW225" s="1"/>
      <c r="AZX225" s="1"/>
      <c r="AZY225" s="1"/>
      <c r="AZZ225" s="1"/>
      <c r="BAA225" s="1"/>
      <c r="BAB225" s="1"/>
      <c r="BAC225" s="1"/>
      <c r="BAD225" s="1"/>
      <c r="BAE225" s="1"/>
      <c r="BAF225" s="1"/>
      <c r="BAG225" s="1"/>
      <c r="BAH225" s="1"/>
      <c r="BAI225" s="1"/>
      <c r="BAJ225" s="1"/>
      <c r="BAK225" s="1"/>
      <c r="BAL225" s="1"/>
      <c r="BAM225" s="1"/>
      <c r="BAN225" s="1"/>
      <c r="BAO225" s="1"/>
      <c r="BAP225" s="1"/>
      <c r="BAQ225" s="1"/>
      <c r="BAR225" s="1"/>
      <c r="BAS225" s="1"/>
      <c r="BAT225" s="1"/>
      <c r="BAU225" s="1"/>
      <c r="BAV225" s="1"/>
      <c r="BAW225" s="1"/>
      <c r="BAX225" s="1"/>
      <c r="BAY225" s="1"/>
      <c r="BAZ225" s="1"/>
      <c r="BBA225" s="1"/>
      <c r="BBB225" s="1"/>
      <c r="BBC225" s="1"/>
      <c r="BBD225" s="1"/>
      <c r="BBE225" s="1"/>
      <c r="BBF225" s="1"/>
      <c r="BBG225" s="1"/>
      <c r="BBH225" s="1"/>
      <c r="BBI225" s="1"/>
      <c r="BBJ225" s="1"/>
      <c r="BBK225" s="1"/>
      <c r="BBL225" s="1"/>
      <c r="BBM225" s="1"/>
      <c r="BBN225" s="1"/>
      <c r="BBO225" s="1"/>
      <c r="BBP225" s="1"/>
      <c r="BBQ225" s="1"/>
      <c r="BBR225" s="1"/>
      <c r="BBS225" s="1"/>
      <c r="BBT225" s="1"/>
      <c r="BBU225" s="1"/>
      <c r="BBV225" s="1"/>
      <c r="BBW225" s="1"/>
      <c r="BBX225" s="1"/>
      <c r="BBY225" s="1"/>
      <c r="BBZ225" s="1"/>
      <c r="BCA225" s="1"/>
      <c r="BCB225" s="1"/>
      <c r="BCC225" s="1"/>
      <c r="BCD225" s="1"/>
      <c r="BCE225" s="1"/>
      <c r="BCF225" s="1"/>
      <c r="BCG225" s="1"/>
      <c r="BCH225" s="1"/>
      <c r="BCI225" s="1"/>
      <c r="BCJ225" s="1"/>
      <c r="BCK225" s="1"/>
      <c r="BCL225" s="1"/>
      <c r="BCM225" s="1"/>
      <c r="BCN225" s="1"/>
      <c r="BCO225" s="1"/>
      <c r="BCP225" s="1"/>
      <c r="BCQ225" s="1"/>
      <c r="BCR225" s="1"/>
      <c r="BCS225" s="1"/>
      <c r="BCT225" s="1"/>
      <c r="BCU225" s="1"/>
      <c r="BCV225" s="1"/>
      <c r="BCW225" s="1"/>
      <c r="BCX225" s="1"/>
      <c r="BCY225" s="1"/>
      <c r="BCZ225" s="1"/>
      <c r="BDA225" s="1"/>
      <c r="BDB225" s="1"/>
      <c r="BDC225" s="1"/>
      <c r="BDD225" s="1"/>
      <c r="BDE225" s="1"/>
      <c r="BDF225" s="1"/>
      <c r="BDG225" s="1"/>
      <c r="BDH225" s="1"/>
      <c r="BDI225" s="1"/>
      <c r="BDJ225" s="1"/>
      <c r="BDK225" s="1"/>
      <c r="BDL225" s="1"/>
      <c r="BDM225" s="1"/>
      <c r="BDN225" s="1"/>
      <c r="BDO225" s="1"/>
      <c r="BDP225" s="1"/>
      <c r="BDQ225" s="1"/>
      <c r="BDR225" s="1"/>
      <c r="BDS225" s="1"/>
      <c r="BDT225" s="1"/>
      <c r="BDU225" s="1"/>
      <c r="BDV225" s="1"/>
      <c r="BDW225" s="1"/>
      <c r="BDX225" s="1"/>
      <c r="BDY225" s="1"/>
      <c r="BDZ225" s="1"/>
      <c r="BEA225" s="1"/>
      <c r="BEB225" s="1"/>
      <c r="BEC225" s="1"/>
      <c r="BED225" s="1"/>
      <c r="BEE225" s="1"/>
      <c r="BEF225" s="1"/>
      <c r="BEG225" s="1"/>
      <c r="BEH225" s="1"/>
      <c r="BEI225" s="1"/>
      <c r="BEJ225" s="1"/>
      <c r="BEK225" s="1"/>
      <c r="BEL225" s="1"/>
      <c r="BEM225" s="1"/>
      <c r="BEN225" s="1"/>
      <c r="BEO225" s="1"/>
      <c r="BEP225" s="1"/>
      <c r="BEQ225" s="1"/>
      <c r="BER225" s="1"/>
      <c r="BES225" s="1"/>
      <c r="BET225" s="1"/>
      <c r="BEU225" s="1"/>
      <c r="BEV225" s="1"/>
      <c r="BEW225" s="1"/>
      <c r="BEX225" s="1"/>
      <c r="BEY225" s="1"/>
      <c r="BEZ225" s="1"/>
      <c r="BFA225" s="1"/>
      <c r="BFB225" s="1"/>
      <c r="BFC225" s="1"/>
      <c r="BFD225" s="1"/>
      <c r="BFE225" s="1"/>
      <c r="BFF225" s="1"/>
      <c r="BFG225" s="1"/>
      <c r="BFH225" s="1"/>
      <c r="BFI225" s="1"/>
      <c r="BFJ225" s="1"/>
      <c r="BFK225" s="1"/>
      <c r="BFL225" s="1"/>
      <c r="BFM225" s="1"/>
      <c r="BFN225" s="1"/>
      <c r="BFO225" s="1"/>
      <c r="BFP225" s="1"/>
      <c r="BFQ225" s="1"/>
      <c r="BFR225" s="1"/>
      <c r="BFS225" s="1"/>
      <c r="BFT225" s="1"/>
      <c r="BFU225" s="1"/>
      <c r="BFV225" s="1"/>
      <c r="BFW225" s="1"/>
      <c r="BFX225" s="1"/>
      <c r="BFY225" s="1"/>
      <c r="BFZ225" s="1"/>
      <c r="BGA225" s="1"/>
      <c r="BGB225" s="1"/>
      <c r="BGC225" s="1"/>
      <c r="BGD225" s="1"/>
      <c r="BGE225" s="1"/>
      <c r="BGF225" s="1"/>
      <c r="BGG225" s="1"/>
      <c r="BGH225" s="1"/>
      <c r="BGI225" s="1"/>
      <c r="BGJ225" s="1"/>
      <c r="BGK225" s="1"/>
      <c r="BGL225" s="1"/>
      <c r="BGM225" s="1"/>
      <c r="BGN225" s="1"/>
      <c r="BGO225" s="1"/>
      <c r="BGP225" s="1"/>
      <c r="BGQ225" s="1"/>
      <c r="BGR225" s="1"/>
      <c r="BGS225" s="1"/>
      <c r="BGT225" s="1"/>
      <c r="BGU225" s="1"/>
      <c r="BGV225" s="1"/>
      <c r="BGW225" s="1"/>
      <c r="BGX225" s="1"/>
      <c r="BGY225" s="1"/>
      <c r="BGZ225" s="1"/>
      <c r="BHA225" s="1"/>
      <c r="BHB225" s="1"/>
      <c r="BHC225" s="1"/>
      <c r="BHD225" s="1"/>
      <c r="BHE225" s="1"/>
      <c r="BHF225" s="1"/>
      <c r="BHG225" s="1"/>
      <c r="BHH225" s="1"/>
      <c r="BHI225" s="1"/>
      <c r="BHJ225" s="1"/>
      <c r="BHK225" s="1"/>
      <c r="BHL225" s="1"/>
      <c r="BHM225" s="1"/>
      <c r="BHN225" s="1"/>
      <c r="BHO225" s="1"/>
      <c r="BHP225" s="1"/>
      <c r="BHQ225" s="1"/>
      <c r="BHR225" s="1"/>
      <c r="BHS225" s="1"/>
      <c r="BHT225" s="1"/>
      <c r="BHU225" s="1"/>
      <c r="BHV225" s="1"/>
      <c r="BHW225" s="1"/>
      <c r="BHX225" s="1"/>
      <c r="BHY225" s="1"/>
      <c r="BHZ225" s="1"/>
      <c r="BIA225" s="1"/>
      <c r="BIB225" s="1"/>
      <c r="BIC225" s="1"/>
      <c r="BID225" s="1"/>
      <c r="BIE225" s="1"/>
      <c r="BIF225" s="1"/>
      <c r="BIG225" s="1"/>
      <c r="BIH225" s="1"/>
      <c r="BII225" s="1"/>
      <c r="BIJ225" s="1"/>
      <c r="BIK225" s="1"/>
      <c r="BIL225" s="1"/>
      <c r="BIM225" s="1"/>
      <c r="BIN225" s="1"/>
      <c r="BIO225" s="1"/>
      <c r="BIP225" s="1"/>
      <c r="BIQ225" s="1"/>
      <c r="BIR225" s="1"/>
      <c r="BIS225" s="1"/>
      <c r="BIT225" s="1"/>
      <c r="BIU225" s="1"/>
      <c r="BIV225" s="1"/>
      <c r="BIW225" s="1"/>
      <c r="BIX225" s="1"/>
      <c r="BIY225" s="1"/>
      <c r="BIZ225" s="1"/>
      <c r="BJA225" s="1"/>
      <c r="BJB225" s="1"/>
      <c r="BJC225" s="1"/>
      <c r="BJD225" s="1"/>
      <c r="BJE225" s="1"/>
      <c r="BJF225" s="1"/>
      <c r="BJG225" s="1"/>
      <c r="BJH225" s="1"/>
      <c r="BJI225" s="1"/>
      <c r="BJJ225" s="1"/>
      <c r="BJK225" s="1"/>
      <c r="BJL225" s="1"/>
      <c r="BJM225" s="1"/>
      <c r="BJN225" s="1"/>
      <c r="BJO225" s="1"/>
      <c r="BJP225" s="1"/>
      <c r="BJQ225" s="1"/>
      <c r="BJR225" s="1"/>
      <c r="BJS225" s="1"/>
      <c r="BJT225" s="1"/>
      <c r="BJU225" s="1"/>
      <c r="BJV225" s="1"/>
      <c r="BJW225" s="1"/>
      <c r="BJX225" s="1"/>
      <c r="BJY225" s="1"/>
      <c r="BJZ225" s="1"/>
      <c r="BKA225" s="1"/>
      <c r="BKB225" s="1"/>
      <c r="BKC225" s="1"/>
      <c r="BKD225" s="1"/>
      <c r="BKE225" s="1"/>
      <c r="BKF225" s="1"/>
      <c r="BKG225" s="1"/>
      <c r="BKH225" s="1"/>
      <c r="BKI225" s="1"/>
      <c r="BKJ225" s="1"/>
      <c r="BKK225" s="1"/>
      <c r="BKL225" s="1"/>
      <c r="BKM225" s="1"/>
      <c r="BKN225" s="1"/>
      <c r="BKO225" s="1"/>
      <c r="BKP225" s="1"/>
      <c r="BKQ225" s="1"/>
      <c r="BKR225" s="1"/>
      <c r="BKS225" s="1"/>
      <c r="BKT225" s="1"/>
      <c r="BKU225" s="1"/>
      <c r="BKV225" s="1"/>
      <c r="BKW225" s="1"/>
      <c r="BKX225" s="1"/>
      <c r="BKY225" s="1"/>
      <c r="BKZ225" s="1"/>
      <c r="BLA225" s="1"/>
      <c r="BLB225" s="1"/>
      <c r="BLC225" s="1"/>
      <c r="BLD225" s="1"/>
      <c r="BLE225" s="1"/>
      <c r="BLF225" s="1"/>
      <c r="BLG225" s="1"/>
      <c r="BLH225" s="1"/>
      <c r="BLI225" s="1"/>
      <c r="BLJ225" s="1"/>
      <c r="BLK225" s="1"/>
      <c r="BLL225" s="1"/>
      <c r="BLM225" s="1"/>
      <c r="BLN225" s="1"/>
      <c r="BLO225" s="1"/>
      <c r="BLP225" s="1"/>
      <c r="BLQ225" s="1"/>
      <c r="BLR225" s="1"/>
      <c r="BLS225" s="1"/>
      <c r="BLT225" s="1"/>
      <c r="BLU225" s="1"/>
      <c r="BLV225" s="1"/>
      <c r="BLW225" s="1"/>
      <c r="BLX225" s="1"/>
      <c r="BLY225" s="1"/>
      <c r="BLZ225" s="1"/>
      <c r="BMA225" s="1"/>
      <c r="BMB225" s="1"/>
      <c r="BMC225" s="1"/>
      <c r="BMD225" s="1"/>
      <c r="BME225" s="1"/>
      <c r="BMF225" s="1"/>
      <c r="BMG225" s="1"/>
      <c r="BMH225" s="1"/>
      <c r="BMI225" s="1"/>
      <c r="BMJ225" s="1"/>
      <c r="BMK225" s="1"/>
      <c r="BML225" s="1"/>
      <c r="BMM225" s="1"/>
      <c r="BMN225" s="1"/>
      <c r="BMO225" s="1"/>
      <c r="BMP225" s="1"/>
      <c r="BMQ225" s="1"/>
      <c r="BMR225" s="1"/>
      <c r="BMS225" s="1"/>
      <c r="BMT225" s="1"/>
      <c r="BMU225" s="1"/>
      <c r="BMV225" s="1"/>
      <c r="BMW225" s="1"/>
      <c r="BMX225" s="1"/>
      <c r="BMY225" s="1"/>
      <c r="BMZ225" s="1"/>
      <c r="BNA225" s="1"/>
      <c r="BNB225" s="1"/>
      <c r="BNC225" s="1"/>
      <c r="BND225" s="1"/>
      <c r="BNE225" s="1"/>
      <c r="BNF225" s="1"/>
      <c r="BNG225" s="1"/>
      <c r="BNH225" s="1"/>
      <c r="BNI225" s="1"/>
      <c r="BNJ225" s="1"/>
      <c r="BNK225" s="1"/>
      <c r="BNL225" s="1"/>
      <c r="BNM225" s="1"/>
      <c r="BNN225" s="1"/>
      <c r="BNO225" s="1"/>
      <c r="BNP225" s="1"/>
      <c r="BNQ225" s="1"/>
      <c r="BNR225" s="1"/>
      <c r="BNS225" s="1"/>
      <c r="BNT225" s="1"/>
      <c r="BNU225" s="1"/>
      <c r="BNV225" s="1"/>
      <c r="BNW225" s="1"/>
      <c r="BNX225" s="1"/>
      <c r="BNY225" s="1"/>
      <c r="BNZ225" s="1"/>
      <c r="BOA225" s="1"/>
      <c r="BOB225" s="1"/>
      <c r="BOC225" s="1"/>
      <c r="BOD225" s="1"/>
      <c r="BOE225" s="1"/>
      <c r="BOF225" s="1"/>
      <c r="BOG225" s="1"/>
      <c r="BOH225" s="1"/>
      <c r="BOI225" s="1"/>
      <c r="BOJ225" s="1"/>
      <c r="BOK225" s="1"/>
      <c r="BOL225" s="1"/>
      <c r="BOM225" s="1"/>
      <c r="BON225" s="1"/>
      <c r="BOO225" s="1"/>
      <c r="BOP225" s="1"/>
      <c r="BOQ225" s="1"/>
      <c r="BOR225" s="1"/>
      <c r="BOS225" s="1"/>
      <c r="BOT225" s="1"/>
      <c r="BOU225" s="1"/>
      <c r="BOV225" s="1"/>
      <c r="BOW225" s="1"/>
      <c r="BOX225" s="1"/>
      <c r="BOY225" s="1"/>
      <c r="BOZ225" s="1"/>
      <c r="BPA225" s="1"/>
      <c r="BPB225" s="1"/>
      <c r="BPC225" s="1"/>
      <c r="BPD225" s="1"/>
      <c r="BPE225" s="1"/>
      <c r="BPF225" s="1"/>
      <c r="BPG225" s="1"/>
      <c r="BPH225" s="1"/>
      <c r="BPI225" s="1"/>
      <c r="BPJ225" s="1"/>
      <c r="BPK225" s="1"/>
      <c r="BPL225" s="1"/>
      <c r="BPM225" s="1"/>
      <c r="BPN225" s="1"/>
      <c r="BPO225" s="1"/>
      <c r="BPP225" s="1"/>
      <c r="BPQ225" s="1"/>
      <c r="BPR225" s="1"/>
      <c r="BPS225" s="1"/>
      <c r="BPT225" s="1"/>
      <c r="BPU225" s="1"/>
      <c r="BPV225" s="1"/>
      <c r="BPW225" s="1"/>
      <c r="BPX225" s="1"/>
      <c r="BPY225" s="1"/>
      <c r="BPZ225" s="1"/>
      <c r="BQA225" s="1"/>
      <c r="BQB225" s="1"/>
      <c r="BQC225" s="1"/>
      <c r="BQD225" s="1"/>
      <c r="BQE225" s="1"/>
      <c r="BQF225" s="1"/>
      <c r="BQG225" s="1"/>
      <c r="BQH225" s="1"/>
      <c r="BQI225" s="1"/>
      <c r="BQJ225" s="1"/>
      <c r="BQK225" s="1"/>
      <c r="BQL225" s="1"/>
      <c r="BQM225" s="1"/>
      <c r="BQN225" s="1"/>
      <c r="BQO225" s="1"/>
      <c r="BQP225" s="1"/>
      <c r="BQQ225" s="1"/>
      <c r="BQR225" s="1"/>
      <c r="BQS225" s="1"/>
      <c r="BQT225" s="1"/>
      <c r="BQU225" s="1"/>
      <c r="BQV225" s="1"/>
      <c r="BQW225" s="1"/>
      <c r="BQX225" s="1"/>
      <c r="BQY225" s="1"/>
      <c r="BQZ225" s="1"/>
      <c r="BRA225" s="1"/>
      <c r="BRB225" s="1"/>
      <c r="BRC225" s="1"/>
      <c r="BRD225" s="1"/>
      <c r="BRE225" s="1"/>
      <c r="BRF225" s="1"/>
      <c r="BRG225" s="1"/>
      <c r="BRH225" s="1"/>
      <c r="BRI225" s="1"/>
      <c r="BRJ225" s="1"/>
      <c r="BRK225" s="1"/>
      <c r="BRL225" s="1"/>
      <c r="BRM225" s="1"/>
      <c r="BRN225" s="1"/>
      <c r="BRO225" s="1"/>
      <c r="BRP225" s="1"/>
      <c r="BRQ225" s="1"/>
      <c r="BRR225" s="1"/>
      <c r="BRS225" s="1"/>
      <c r="BRT225" s="1"/>
      <c r="BRU225" s="1"/>
      <c r="BRV225" s="1"/>
      <c r="BRW225" s="1"/>
      <c r="BRX225" s="1"/>
      <c r="BRY225" s="1"/>
      <c r="BRZ225" s="1"/>
      <c r="BSA225" s="1"/>
      <c r="BSB225" s="1"/>
      <c r="BSC225" s="1"/>
      <c r="BSD225" s="1"/>
      <c r="BSE225" s="1"/>
      <c r="BSF225" s="1"/>
      <c r="BSG225" s="1"/>
      <c r="BSH225" s="1"/>
      <c r="BSI225" s="1"/>
      <c r="BSJ225" s="1"/>
      <c r="BSK225" s="1"/>
      <c r="BSL225" s="1"/>
      <c r="BSM225" s="1"/>
      <c r="BSN225" s="1"/>
      <c r="BSO225" s="1"/>
      <c r="BSP225" s="1"/>
      <c r="BSQ225" s="1"/>
      <c r="BSR225" s="1"/>
      <c r="BSS225" s="1"/>
      <c r="BST225" s="1"/>
      <c r="BSU225" s="1"/>
      <c r="BSV225" s="1"/>
      <c r="BSW225" s="1"/>
      <c r="BSX225" s="1"/>
      <c r="BSY225" s="1"/>
      <c r="BSZ225" s="1"/>
      <c r="BTA225" s="1"/>
      <c r="BTB225" s="1"/>
      <c r="BTC225" s="1"/>
      <c r="BTD225" s="1"/>
      <c r="BTE225" s="1"/>
      <c r="BTF225" s="1"/>
      <c r="BTG225" s="1"/>
      <c r="BTH225" s="1"/>
      <c r="BTI225" s="1"/>
      <c r="BTJ225" s="1"/>
      <c r="BTK225" s="1"/>
      <c r="BTL225" s="1"/>
      <c r="BTM225" s="1"/>
      <c r="BTN225" s="1"/>
      <c r="BTO225" s="1"/>
      <c r="BTP225" s="1"/>
      <c r="BTQ225" s="1"/>
      <c r="BTR225" s="1"/>
      <c r="BTS225" s="1"/>
      <c r="BTT225" s="1"/>
      <c r="BTU225" s="1"/>
      <c r="BTV225" s="1"/>
      <c r="BTW225" s="1"/>
      <c r="BTX225" s="1"/>
      <c r="BTY225" s="1"/>
      <c r="BTZ225" s="1"/>
      <c r="BUA225" s="1"/>
      <c r="BUB225" s="1"/>
      <c r="BUC225" s="1"/>
      <c r="BUD225" s="1"/>
      <c r="BUE225" s="1"/>
      <c r="BUF225" s="1"/>
      <c r="BUG225" s="1"/>
      <c r="BUH225" s="1"/>
      <c r="BUI225" s="1"/>
      <c r="BUJ225" s="1"/>
      <c r="BUK225" s="1"/>
      <c r="BUL225" s="1"/>
      <c r="BUM225" s="1"/>
      <c r="BUN225" s="1"/>
      <c r="BUO225" s="1"/>
      <c r="BUP225" s="1"/>
      <c r="BUQ225" s="1"/>
      <c r="BUR225" s="1"/>
      <c r="BUS225" s="1"/>
      <c r="BUT225" s="1"/>
      <c r="BUU225" s="1"/>
      <c r="BUV225" s="1"/>
      <c r="BUW225" s="1"/>
      <c r="BUX225" s="1"/>
      <c r="BUY225" s="1"/>
      <c r="BUZ225" s="1"/>
      <c r="BVA225" s="1"/>
      <c r="BVB225" s="1"/>
      <c r="BVC225" s="1"/>
      <c r="BVD225" s="1"/>
      <c r="BVE225" s="1"/>
      <c r="BVF225" s="1"/>
      <c r="BVG225" s="1"/>
      <c r="BVH225" s="1"/>
      <c r="BVI225" s="1"/>
      <c r="BVJ225" s="1"/>
      <c r="BVK225" s="1"/>
      <c r="BVL225" s="1"/>
      <c r="BVM225" s="1"/>
      <c r="BVN225" s="1"/>
      <c r="BVO225" s="1"/>
      <c r="BVP225" s="1"/>
      <c r="BVQ225" s="1"/>
      <c r="BVR225" s="1"/>
      <c r="BVS225" s="1"/>
      <c r="BVT225" s="1"/>
      <c r="BVU225" s="1"/>
      <c r="BVV225" s="1"/>
      <c r="BVW225" s="1"/>
      <c r="BVX225" s="1"/>
      <c r="BVY225" s="1"/>
      <c r="BVZ225" s="1"/>
      <c r="BWA225" s="1"/>
      <c r="BWB225" s="1"/>
      <c r="BWC225" s="1"/>
      <c r="BWD225" s="1"/>
      <c r="BWE225" s="1"/>
      <c r="BWF225" s="1"/>
      <c r="BWG225" s="1"/>
      <c r="BWH225" s="1"/>
      <c r="BWI225" s="1"/>
      <c r="BWJ225" s="1"/>
      <c r="BWK225" s="1"/>
      <c r="BWL225" s="1"/>
      <c r="BWM225" s="1"/>
      <c r="BWN225" s="1"/>
      <c r="BWO225" s="1"/>
      <c r="BWP225" s="1"/>
      <c r="BWQ225" s="1"/>
      <c r="BWR225" s="1"/>
      <c r="BWS225" s="1"/>
      <c r="BWT225" s="1"/>
      <c r="BWU225" s="1"/>
      <c r="BWV225" s="1"/>
      <c r="BWW225" s="1"/>
      <c r="BWX225" s="1"/>
      <c r="BWY225" s="1"/>
      <c r="BWZ225" s="1"/>
      <c r="BXA225" s="1"/>
      <c r="BXB225" s="1"/>
      <c r="BXC225" s="1"/>
      <c r="BXD225" s="1"/>
      <c r="BXE225" s="1"/>
      <c r="BXF225" s="1"/>
      <c r="BXG225" s="1"/>
      <c r="BXH225" s="1"/>
      <c r="BXI225" s="1"/>
      <c r="BXJ225" s="1"/>
      <c r="BXK225" s="1"/>
      <c r="BXL225" s="1"/>
      <c r="BXM225" s="1"/>
      <c r="BXN225" s="1"/>
      <c r="BXO225" s="1"/>
      <c r="BXP225" s="1"/>
      <c r="BXQ225" s="1"/>
      <c r="BXR225" s="1"/>
      <c r="BXS225" s="1"/>
      <c r="BXT225" s="1"/>
      <c r="BXU225" s="1"/>
      <c r="BXV225" s="1"/>
      <c r="BXW225" s="1"/>
      <c r="BXX225" s="1"/>
      <c r="BXY225" s="1"/>
      <c r="BXZ225" s="1"/>
      <c r="BYA225" s="1"/>
      <c r="BYB225" s="1"/>
      <c r="BYC225" s="1"/>
      <c r="BYD225" s="1"/>
      <c r="BYE225" s="1"/>
      <c r="BYF225" s="1"/>
      <c r="BYG225" s="1"/>
      <c r="BYH225" s="1"/>
      <c r="BYI225" s="1"/>
      <c r="BYJ225" s="1"/>
      <c r="BYK225" s="1"/>
      <c r="BYL225" s="1"/>
      <c r="BYM225" s="1"/>
      <c r="BYN225" s="1"/>
      <c r="BYO225" s="1"/>
      <c r="BYP225" s="1"/>
      <c r="BYQ225" s="1"/>
      <c r="BYR225" s="1"/>
      <c r="BYS225" s="1"/>
      <c r="BYT225" s="1"/>
      <c r="BYU225" s="1"/>
      <c r="BYV225" s="1"/>
      <c r="BYW225" s="1"/>
      <c r="BYX225" s="1"/>
      <c r="BYY225" s="1"/>
      <c r="BYZ225" s="1"/>
      <c r="BZA225" s="1"/>
      <c r="BZB225" s="1"/>
      <c r="BZC225" s="1"/>
      <c r="BZD225" s="1"/>
      <c r="BZE225" s="1"/>
      <c r="BZF225" s="1"/>
      <c r="BZG225" s="1"/>
      <c r="BZH225" s="1"/>
      <c r="BZI225" s="1"/>
      <c r="BZJ225" s="1"/>
      <c r="BZK225" s="1"/>
      <c r="BZL225" s="1"/>
      <c r="BZM225" s="1"/>
      <c r="BZN225" s="1"/>
      <c r="BZO225" s="1"/>
      <c r="BZP225" s="1"/>
      <c r="BZQ225" s="1"/>
      <c r="BZR225" s="1"/>
      <c r="BZS225" s="1"/>
      <c r="BZT225" s="1"/>
      <c r="BZU225" s="1"/>
      <c r="BZV225" s="1"/>
      <c r="BZW225" s="1"/>
      <c r="BZX225" s="1"/>
      <c r="BZY225" s="1"/>
      <c r="BZZ225" s="1"/>
      <c r="CAA225" s="1"/>
      <c r="CAB225" s="1"/>
      <c r="CAC225" s="1"/>
      <c r="CAD225" s="1"/>
      <c r="CAE225" s="1"/>
      <c r="CAF225" s="1"/>
      <c r="CAG225" s="1"/>
      <c r="CAH225" s="1"/>
      <c r="CAI225" s="1"/>
      <c r="CAJ225" s="1"/>
      <c r="CAK225" s="1"/>
      <c r="CAL225" s="1"/>
      <c r="CAM225" s="1"/>
      <c r="CAN225" s="1"/>
      <c r="CAO225" s="1"/>
      <c r="CAP225" s="1"/>
      <c r="CAQ225" s="1"/>
      <c r="CAR225" s="1"/>
      <c r="CAS225" s="1"/>
      <c r="CAT225" s="1"/>
      <c r="CAU225" s="1"/>
      <c r="CAV225" s="1"/>
      <c r="CAW225" s="1"/>
      <c r="CAX225" s="1"/>
      <c r="CAY225" s="1"/>
      <c r="CAZ225" s="1"/>
      <c r="CBA225" s="1"/>
      <c r="CBB225" s="1"/>
      <c r="CBC225" s="1"/>
      <c r="CBD225" s="1"/>
      <c r="CBE225" s="1"/>
      <c r="CBF225" s="1"/>
      <c r="CBG225" s="1"/>
      <c r="CBH225" s="1"/>
      <c r="CBI225" s="1"/>
      <c r="CBJ225" s="1"/>
      <c r="CBK225" s="1"/>
      <c r="CBL225" s="1"/>
      <c r="CBM225" s="1"/>
      <c r="CBN225" s="1"/>
      <c r="CBO225" s="1"/>
      <c r="CBP225" s="1"/>
      <c r="CBQ225" s="1"/>
      <c r="CBR225" s="1"/>
      <c r="CBS225" s="1"/>
      <c r="CBT225" s="1"/>
      <c r="CBU225" s="1"/>
      <c r="CBV225" s="1"/>
      <c r="CBW225" s="1"/>
      <c r="CBX225" s="1"/>
      <c r="CBY225" s="1"/>
      <c r="CBZ225" s="1"/>
      <c r="CCA225" s="1"/>
      <c r="CCB225" s="1"/>
      <c r="CCC225" s="1"/>
      <c r="CCD225" s="1"/>
      <c r="CCE225" s="1"/>
      <c r="CCF225" s="1"/>
      <c r="CCG225" s="1"/>
      <c r="CCH225" s="1"/>
      <c r="CCI225" s="1"/>
      <c r="CCJ225" s="1"/>
      <c r="CCK225" s="1"/>
      <c r="CCL225" s="1"/>
      <c r="CCM225" s="1"/>
      <c r="CCN225" s="1"/>
      <c r="CCO225" s="1"/>
      <c r="CCP225" s="1"/>
      <c r="CCQ225" s="1"/>
      <c r="CCR225" s="1"/>
      <c r="CCS225" s="1"/>
      <c r="CCT225" s="1"/>
      <c r="CCU225" s="1"/>
      <c r="CCV225" s="1"/>
      <c r="CCW225" s="1"/>
      <c r="CCX225" s="1"/>
      <c r="CCY225" s="1"/>
      <c r="CCZ225" s="1"/>
      <c r="CDA225" s="1"/>
      <c r="CDB225" s="1"/>
      <c r="CDC225" s="1"/>
      <c r="CDD225" s="1"/>
      <c r="CDE225" s="1"/>
      <c r="CDF225" s="1"/>
      <c r="CDG225" s="1"/>
      <c r="CDH225" s="1"/>
      <c r="CDI225" s="1"/>
      <c r="CDJ225" s="1"/>
      <c r="CDK225" s="1"/>
      <c r="CDL225" s="1"/>
      <c r="CDM225" s="1"/>
      <c r="CDN225" s="1"/>
      <c r="CDO225" s="1"/>
      <c r="CDP225" s="1"/>
      <c r="CDQ225" s="1"/>
      <c r="CDR225" s="1"/>
      <c r="CDS225" s="1"/>
      <c r="CDT225" s="1"/>
      <c r="CDU225" s="1"/>
      <c r="CDV225" s="1"/>
      <c r="CDW225" s="1"/>
      <c r="CDX225" s="1"/>
      <c r="CDY225" s="1"/>
      <c r="CDZ225" s="1"/>
      <c r="CEA225" s="1"/>
      <c r="CEB225" s="1"/>
      <c r="CEC225" s="1"/>
      <c r="CED225" s="1"/>
      <c r="CEE225" s="1"/>
      <c r="CEF225" s="1"/>
      <c r="CEG225" s="1"/>
      <c r="CEH225" s="1"/>
      <c r="CEI225" s="1"/>
      <c r="CEJ225" s="1"/>
      <c r="CEK225" s="1"/>
      <c r="CEL225" s="1"/>
      <c r="CEM225" s="1"/>
      <c r="CEN225" s="1"/>
      <c r="CEO225" s="1"/>
      <c r="CEP225" s="1"/>
      <c r="CEQ225" s="1"/>
      <c r="CER225" s="1"/>
      <c r="CES225" s="1"/>
      <c r="CET225" s="1"/>
      <c r="CEU225" s="1"/>
      <c r="CEV225" s="1"/>
      <c r="CEW225" s="1"/>
      <c r="CEX225" s="1"/>
      <c r="CEY225" s="1"/>
      <c r="CEZ225" s="1"/>
      <c r="CFA225" s="1"/>
      <c r="CFB225" s="1"/>
      <c r="CFC225" s="1"/>
      <c r="CFD225" s="1"/>
      <c r="CFE225" s="1"/>
      <c r="CFF225" s="1"/>
      <c r="CFG225" s="1"/>
      <c r="CFH225" s="1"/>
      <c r="CFI225" s="1"/>
      <c r="CFJ225" s="1"/>
      <c r="CFK225" s="1"/>
      <c r="CFL225" s="1"/>
      <c r="CFM225" s="1"/>
      <c r="CFN225" s="1"/>
      <c r="CFO225" s="1"/>
      <c r="CFP225" s="1"/>
      <c r="CFQ225" s="1"/>
      <c r="CFR225" s="1"/>
      <c r="CFS225" s="1"/>
      <c r="CFT225" s="1"/>
      <c r="CFU225" s="1"/>
      <c r="CFV225" s="1"/>
      <c r="CFW225" s="1"/>
      <c r="CFX225" s="1"/>
      <c r="CFY225" s="1"/>
      <c r="CFZ225" s="1"/>
      <c r="CGA225" s="1"/>
      <c r="CGB225" s="1"/>
      <c r="CGC225" s="1"/>
      <c r="CGD225" s="1"/>
      <c r="CGE225" s="1"/>
      <c r="CGF225" s="1"/>
      <c r="CGG225" s="1"/>
      <c r="CGH225" s="1"/>
      <c r="CGI225" s="1"/>
      <c r="CGJ225" s="1"/>
      <c r="CGK225" s="1"/>
      <c r="CGL225" s="1"/>
      <c r="CGM225" s="1"/>
      <c r="CGN225" s="1"/>
      <c r="CGO225" s="1"/>
      <c r="CGP225" s="1"/>
      <c r="CGQ225" s="1"/>
      <c r="CGR225" s="1"/>
      <c r="CGS225" s="1"/>
      <c r="CGT225" s="1"/>
      <c r="CGU225" s="1"/>
      <c r="CGV225" s="1"/>
      <c r="CGW225" s="1"/>
      <c r="CGX225" s="1"/>
      <c r="CGY225" s="1"/>
      <c r="CGZ225" s="1"/>
      <c r="CHA225" s="1"/>
      <c r="CHB225" s="1"/>
      <c r="CHC225" s="1"/>
      <c r="CHD225" s="1"/>
      <c r="CHE225" s="1"/>
      <c r="CHF225" s="1"/>
      <c r="CHG225" s="1"/>
      <c r="CHH225" s="1"/>
      <c r="CHI225" s="1"/>
      <c r="CHJ225" s="1"/>
      <c r="CHK225" s="1"/>
      <c r="CHL225" s="1"/>
      <c r="CHM225" s="1"/>
      <c r="CHN225" s="1"/>
      <c r="CHO225" s="1"/>
      <c r="CHP225" s="1"/>
      <c r="CHQ225" s="1"/>
      <c r="CHR225" s="1"/>
      <c r="CHS225" s="1"/>
      <c r="CHT225" s="1"/>
      <c r="CHU225" s="1"/>
      <c r="CHV225" s="1"/>
      <c r="CHW225" s="1"/>
      <c r="CHX225" s="1"/>
      <c r="CHY225" s="1"/>
      <c r="CHZ225" s="1"/>
      <c r="CIA225" s="1"/>
      <c r="CIB225" s="1"/>
      <c r="CIC225" s="1"/>
      <c r="CID225" s="1"/>
      <c r="CIE225" s="1"/>
      <c r="CIF225" s="1"/>
      <c r="CIG225" s="1"/>
      <c r="CIH225" s="1"/>
      <c r="CII225" s="1"/>
      <c r="CIJ225" s="1"/>
      <c r="CIK225" s="1"/>
      <c r="CIL225" s="1"/>
      <c r="CIM225" s="1"/>
      <c r="CIN225" s="1"/>
      <c r="CIO225" s="1"/>
      <c r="CIP225" s="1"/>
      <c r="CIQ225" s="1"/>
      <c r="CIR225" s="1"/>
      <c r="CIS225" s="1"/>
      <c r="CIT225" s="1"/>
      <c r="CIU225" s="1"/>
      <c r="CIV225" s="1"/>
      <c r="CIW225" s="1"/>
      <c r="CIX225" s="1"/>
      <c r="CIY225" s="1"/>
      <c r="CIZ225" s="1"/>
      <c r="CJA225" s="1"/>
      <c r="CJB225" s="1"/>
      <c r="CJC225" s="1"/>
      <c r="CJD225" s="1"/>
      <c r="CJE225" s="1"/>
      <c r="CJF225" s="1"/>
      <c r="CJG225" s="1"/>
      <c r="CJH225" s="1"/>
      <c r="CJI225" s="1"/>
      <c r="CJJ225" s="1"/>
      <c r="CJK225" s="1"/>
      <c r="CJL225" s="1"/>
      <c r="CJM225" s="1"/>
      <c r="CJN225" s="1"/>
      <c r="CJO225" s="1"/>
      <c r="CJP225" s="1"/>
      <c r="CJQ225" s="1"/>
      <c r="CJR225" s="1"/>
      <c r="CJS225" s="1"/>
      <c r="CJT225" s="1"/>
      <c r="CJU225" s="1"/>
      <c r="CJV225" s="1"/>
      <c r="CJW225" s="1"/>
      <c r="CJX225" s="1"/>
      <c r="CJY225" s="1"/>
      <c r="CJZ225" s="1"/>
      <c r="CKA225" s="1"/>
      <c r="CKB225" s="1"/>
      <c r="CKC225" s="1"/>
      <c r="CKD225" s="1"/>
      <c r="CKE225" s="1"/>
      <c r="CKF225" s="1"/>
      <c r="CKG225" s="1"/>
      <c r="CKH225" s="1"/>
      <c r="CKI225" s="1"/>
      <c r="CKJ225" s="1"/>
      <c r="CKK225" s="1"/>
      <c r="CKL225" s="1"/>
      <c r="CKM225" s="1"/>
      <c r="CKN225" s="1"/>
      <c r="CKO225" s="1"/>
      <c r="CKP225" s="1"/>
      <c r="CKQ225" s="1"/>
      <c r="CKR225" s="1"/>
      <c r="CKS225" s="1"/>
      <c r="CKT225" s="1"/>
      <c r="CKU225" s="1"/>
      <c r="CKV225" s="1"/>
      <c r="CKW225" s="1"/>
      <c r="CKX225" s="1"/>
      <c r="CKY225" s="1"/>
      <c r="CKZ225" s="1"/>
      <c r="CLA225" s="1"/>
      <c r="CLB225" s="1"/>
      <c r="CLC225" s="1"/>
      <c r="CLD225" s="1"/>
      <c r="CLE225" s="1"/>
      <c r="CLF225" s="1"/>
      <c r="CLG225" s="1"/>
      <c r="CLH225" s="1"/>
      <c r="CLI225" s="1"/>
      <c r="CLJ225" s="1"/>
      <c r="CLK225" s="1"/>
      <c r="CLL225" s="1"/>
      <c r="CLM225" s="1"/>
      <c r="CLN225" s="1"/>
      <c r="CLO225" s="1"/>
      <c r="CLP225" s="1"/>
      <c r="CLQ225" s="1"/>
      <c r="CLR225" s="1"/>
      <c r="CLS225" s="1"/>
      <c r="CLT225" s="1"/>
      <c r="CLU225" s="1"/>
      <c r="CLV225" s="1"/>
      <c r="CLW225" s="1"/>
      <c r="CLX225" s="1"/>
      <c r="CLY225" s="1"/>
      <c r="CLZ225" s="1"/>
      <c r="CMA225" s="1"/>
      <c r="CMB225" s="1"/>
      <c r="CMC225" s="1"/>
      <c r="CMD225" s="1"/>
      <c r="CME225" s="1"/>
      <c r="CMF225" s="1"/>
      <c r="CMG225" s="1"/>
      <c r="CMH225" s="1"/>
      <c r="CMI225" s="1"/>
      <c r="CMJ225" s="1"/>
      <c r="CMK225" s="1"/>
      <c r="CML225" s="1"/>
      <c r="CMM225" s="1"/>
      <c r="CMN225" s="1"/>
      <c r="CMO225" s="1"/>
      <c r="CMP225" s="1"/>
      <c r="CMQ225" s="1"/>
      <c r="CMR225" s="1"/>
      <c r="CMS225" s="1"/>
      <c r="CMT225" s="1"/>
      <c r="CMU225" s="1"/>
      <c r="CMV225" s="1"/>
      <c r="CMW225" s="1"/>
      <c r="CMX225" s="1"/>
      <c r="CMY225" s="1"/>
      <c r="CMZ225" s="1"/>
      <c r="CNA225" s="1"/>
      <c r="CNB225" s="1"/>
      <c r="CNC225" s="1"/>
      <c r="CND225" s="1"/>
      <c r="CNE225" s="1"/>
      <c r="CNF225" s="1"/>
      <c r="CNG225" s="1"/>
      <c r="CNH225" s="1"/>
      <c r="CNI225" s="1"/>
      <c r="CNJ225" s="1"/>
      <c r="CNK225" s="1"/>
      <c r="CNL225" s="1"/>
      <c r="CNM225" s="1"/>
      <c r="CNN225" s="1"/>
      <c r="CNO225" s="1"/>
      <c r="CNP225" s="1"/>
      <c r="CNQ225" s="1"/>
      <c r="CNR225" s="1"/>
      <c r="CNS225" s="1"/>
      <c r="CNT225" s="1"/>
      <c r="CNU225" s="1"/>
      <c r="CNV225" s="1"/>
      <c r="CNW225" s="1"/>
      <c r="CNX225" s="1"/>
      <c r="CNY225" s="1"/>
      <c r="CNZ225" s="1"/>
      <c r="COA225" s="1"/>
      <c r="COB225" s="1"/>
      <c r="COC225" s="1"/>
      <c r="COD225" s="1"/>
      <c r="COE225" s="1"/>
      <c r="COF225" s="1"/>
      <c r="COG225" s="1"/>
      <c r="COH225" s="1"/>
      <c r="COI225" s="1"/>
      <c r="COJ225" s="1"/>
      <c r="COK225" s="1"/>
      <c r="COL225" s="1"/>
      <c r="COM225" s="1"/>
      <c r="CON225" s="1"/>
      <c r="COO225" s="1"/>
      <c r="COP225" s="1"/>
      <c r="COQ225" s="1"/>
      <c r="COR225" s="1"/>
      <c r="COS225" s="1"/>
      <c r="COT225" s="1"/>
      <c r="COU225" s="1"/>
      <c r="COV225" s="1"/>
      <c r="COW225" s="1"/>
      <c r="COX225" s="1"/>
      <c r="COY225" s="1"/>
      <c r="COZ225" s="1"/>
      <c r="CPA225" s="1"/>
      <c r="CPB225" s="1"/>
      <c r="CPC225" s="1"/>
      <c r="CPD225" s="1"/>
      <c r="CPE225" s="1"/>
      <c r="CPF225" s="1"/>
      <c r="CPG225" s="1"/>
      <c r="CPH225" s="1"/>
      <c r="CPI225" s="1"/>
      <c r="CPJ225" s="1"/>
      <c r="CPK225" s="1"/>
      <c r="CPL225" s="1"/>
      <c r="CPM225" s="1"/>
      <c r="CPN225" s="1"/>
      <c r="CPO225" s="1"/>
      <c r="CPP225" s="1"/>
      <c r="CPQ225" s="1"/>
      <c r="CPR225" s="1"/>
      <c r="CPS225" s="1"/>
      <c r="CPT225" s="1"/>
      <c r="CPU225" s="1"/>
      <c r="CPV225" s="1"/>
      <c r="CPW225" s="1"/>
      <c r="CPX225" s="1"/>
      <c r="CPY225" s="1"/>
      <c r="CPZ225" s="1"/>
      <c r="CQA225" s="1"/>
      <c r="CQB225" s="1"/>
      <c r="CQC225" s="1"/>
      <c r="CQD225" s="1"/>
      <c r="CQE225" s="1"/>
      <c r="CQF225" s="1"/>
      <c r="CQG225" s="1"/>
      <c r="CQH225" s="1"/>
      <c r="CQI225" s="1"/>
      <c r="CQJ225" s="1"/>
      <c r="CQK225" s="1"/>
      <c r="CQL225" s="1"/>
      <c r="CQM225" s="1"/>
      <c r="CQN225" s="1"/>
      <c r="CQO225" s="1"/>
      <c r="CQP225" s="1"/>
      <c r="CQQ225" s="1"/>
      <c r="CQR225" s="1"/>
      <c r="CQS225" s="1"/>
      <c r="CQT225" s="1"/>
      <c r="CQU225" s="1"/>
      <c r="CQV225" s="1"/>
      <c r="CQW225" s="1"/>
      <c r="CQX225" s="1"/>
      <c r="CQY225" s="1"/>
      <c r="CQZ225" s="1"/>
      <c r="CRA225" s="1"/>
      <c r="CRB225" s="1"/>
      <c r="CRC225" s="1"/>
      <c r="CRD225" s="1"/>
      <c r="CRE225" s="1"/>
      <c r="CRF225" s="1"/>
      <c r="CRG225" s="1"/>
      <c r="CRH225" s="1"/>
      <c r="CRI225" s="1"/>
      <c r="CRJ225" s="1"/>
      <c r="CRK225" s="1"/>
      <c r="CRL225" s="1"/>
      <c r="CRM225" s="1"/>
      <c r="CRN225" s="1"/>
      <c r="CRO225" s="1"/>
      <c r="CRP225" s="1"/>
      <c r="CRQ225" s="1"/>
      <c r="CRR225" s="1"/>
      <c r="CRS225" s="1"/>
      <c r="CRT225" s="1"/>
      <c r="CRU225" s="1"/>
      <c r="CRV225" s="1"/>
      <c r="CRW225" s="1"/>
      <c r="CRX225" s="1"/>
      <c r="CRY225" s="1"/>
      <c r="CRZ225" s="1"/>
      <c r="CSA225" s="1"/>
      <c r="CSB225" s="1"/>
      <c r="CSC225" s="1"/>
      <c r="CSD225" s="1"/>
      <c r="CSE225" s="1"/>
      <c r="CSF225" s="1"/>
      <c r="CSG225" s="1"/>
      <c r="CSH225" s="1"/>
      <c r="CSI225" s="1"/>
      <c r="CSJ225" s="1"/>
      <c r="CSK225" s="1"/>
      <c r="CSL225" s="1"/>
      <c r="CSM225" s="1"/>
      <c r="CSN225" s="1"/>
      <c r="CSO225" s="1"/>
      <c r="CSP225" s="1"/>
      <c r="CSQ225" s="1"/>
      <c r="CSR225" s="1"/>
      <c r="CSS225" s="1"/>
      <c r="CST225" s="1"/>
      <c r="CSU225" s="1"/>
      <c r="CSV225" s="1"/>
      <c r="CSW225" s="1"/>
      <c r="CSX225" s="1"/>
      <c r="CSY225" s="1"/>
      <c r="CSZ225" s="1"/>
      <c r="CTA225" s="1"/>
      <c r="CTB225" s="1"/>
      <c r="CTC225" s="1"/>
      <c r="CTD225" s="1"/>
      <c r="CTE225" s="1"/>
      <c r="CTF225" s="1"/>
      <c r="CTG225" s="1"/>
      <c r="CTH225" s="1"/>
      <c r="CTI225" s="1"/>
      <c r="CTJ225" s="1"/>
      <c r="CTK225" s="1"/>
      <c r="CTL225" s="1"/>
      <c r="CTM225" s="1"/>
      <c r="CTN225" s="1"/>
      <c r="CTO225" s="1"/>
      <c r="CTP225" s="1"/>
      <c r="CTQ225" s="1"/>
      <c r="CTR225" s="1"/>
      <c r="CTS225" s="1"/>
      <c r="CTT225" s="1"/>
      <c r="CTU225" s="1"/>
      <c r="CTV225" s="1"/>
      <c r="CTW225" s="1"/>
      <c r="CTX225" s="1"/>
      <c r="CTY225" s="1"/>
      <c r="CTZ225" s="1"/>
      <c r="CUA225" s="1"/>
      <c r="CUB225" s="1"/>
      <c r="CUC225" s="1"/>
      <c r="CUD225" s="1"/>
      <c r="CUE225" s="1"/>
      <c r="CUF225" s="1"/>
      <c r="CUG225" s="1"/>
      <c r="CUH225" s="1"/>
      <c r="CUI225" s="1"/>
      <c r="CUJ225" s="1"/>
      <c r="CUK225" s="1"/>
      <c r="CUL225" s="1"/>
      <c r="CUM225" s="1"/>
      <c r="CUN225" s="1"/>
      <c r="CUO225" s="1"/>
      <c r="CUP225" s="1"/>
      <c r="CUQ225" s="1"/>
      <c r="CUR225" s="1"/>
      <c r="CUS225" s="1"/>
      <c r="CUT225" s="1"/>
      <c r="CUU225" s="1"/>
      <c r="CUV225" s="1"/>
      <c r="CUW225" s="1"/>
      <c r="CUX225" s="1"/>
      <c r="CUY225" s="1"/>
      <c r="CUZ225" s="1"/>
      <c r="CVA225" s="1"/>
      <c r="CVB225" s="1"/>
      <c r="CVC225" s="1"/>
      <c r="CVD225" s="1"/>
      <c r="CVE225" s="1"/>
      <c r="CVF225" s="1"/>
      <c r="CVG225" s="1"/>
      <c r="CVH225" s="1"/>
      <c r="CVI225" s="1"/>
      <c r="CVJ225" s="1"/>
      <c r="CVK225" s="1"/>
      <c r="CVL225" s="1"/>
      <c r="CVM225" s="1"/>
      <c r="CVN225" s="1"/>
      <c r="CVO225" s="1"/>
      <c r="CVP225" s="1"/>
      <c r="CVQ225" s="1"/>
      <c r="CVR225" s="1"/>
      <c r="CVS225" s="1"/>
      <c r="CVT225" s="1"/>
      <c r="CVU225" s="1"/>
      <c r="CVV225" s="1"/>
      <c r="CVW225" s="1"/>
      <c r="CVX225" s="1"/>
      <c r="CVY225" s="1"/>
      <c r="CVZ225" s="1"/>
      <c r="CWA225" s="1"/>
      <c r="CWB225" s="1"/>
      <c r="CWC225" s="1"/>
      <c r="CWD225" s="1"/>
      <c r="CWE225" s="1"/>
      <c r="CWF225" s="1"/>
      <c r="CWG225" s="1"/>
      <c r="CWH225" s="1"/>
      <c r="CWI225" s="1"/>
      <c r="CWJ225" s="1"/>
      <c r="CWK225" s="1"/>
      <c r="CWL225" s="1"/>
      <c r="CWM225" s="1"/>
      <c r="CWN225" s="1"/>
      <c r="CWO225" s="1"/>
      <c r="CWP225" s="1"/>
      <c r="CWQ225" s="1"/>
      <c r="CWR225" s="1"/>
      <c r="CWS225" s="1"/>
      <c r="CWT225" s="1"/>
      <c r="CWU225" s="1"/>
      <c r="CWV225" s="1"/>
      <c r="CWW225" s="1"/>
      <c r="CWX225" s="1"/>
      <c r="CWY225" s="1"/>
      <c r="CWZ225" s="1"/>
      <c r="CXA225" s="1"/>
      <c r="CXB225" s="1"/>
      <c r="CXC225" s="1"/>
      <c r="CXD225" s="1"/>
      <c r="CXE225" s="1"/>
      <c r="CXF225" s="1"/>
      <c r="CXG225" s="1"/>
      <c r="CXH225" s="1"/>
      <c r="CXI225" s="1"/>
      <c r="CXJ225" s="1"/>
      <c r="CXK225" s="1"/>
      <c r="CXL225" s="1"/>
      <c r="CXM225" s="1"/>
      <c r="CXN225" s="1"/>
      <c r="CXO225" s="1"/>
      <c r="CXP225" s="1"/>
      <c r="CXQ225" s="1"/>
      <c r="CXR225" s="1"/>
      <c r="CXS225" s="1"/>
      <c r="CXT225" s="1"/>
      <c r="CXU225" s="1"/>
      <c r="CXV225" s="1"/>
      <c r="CXW225" s="1"/>
      <c r="CXX225" s="1"/>
      <c r="CXY225" s="1"/>
      <c r="CXZ225" s="1"/>
      <c r="CYA225" s="1"/>
      <c r="CYB225" s="1"/>
      <c r="CYC225" s="1"/>
      <c r="CYD225" s="1"/>
      <c r="CYE225" s="1"/>
      <c r="CYF225" s="1"/>
      <c r="CYG225" s="1"/>
      <c r="CYH225" s="1"/>
      <c r="CYI225" s="1"/>
      <c r="CYJ225" s="1"/>
      <c r="CYK225" s="1"/>
      <c r="CYL225" s="1"/>
      <c r="CYM225" s="1"/>
      <c r="CYN225" s="1"/>
      <c r="CYO225" s="1"/>
      <c r="CYP225" s="1"/>
      <c r="CYQ225" s="1"/>
      <c r="CYR225" s="1"/>
      <c r="CYS225" s="1"/>
      <c r="CYT225" s="1"/>
      <c r="CYU225" s="1"/>
      <c r="CYV225" s="1"/>
      <c r="CYW225" s="1"/>
      <c r="CYX225" s="1"/>
      <c r="CYY225" s="1"/>
      <c r="CYZ225" s="1"/>
      <c r="CZA225" s="1"/>
      <c r="CZB225" s="1"/>
      <c r="CZC225" s="1"/>
      <c r="CZD225" s="1"/>
      <c r="CZE225" s="1"/>
      <c r="CZF225" s="1"/>
      <c r="CZG225" s="1"/>
      <c r="CZH225" s="1"/>
      <c r="CZI225" s="1"/>
      <c r="CZJ225" s="1"/>
      <c r="CZK225" s="1"/>
      <c r="CZL225" s="1"/>
      <c r="CZM225" s="1"/>
      <c r="CZN225" s="1"/>
      <c r="CZO225" s="1"/>
      <c r="CZP225" s="1"/>
      <c r="CZQ225" s="1"/>
      <c r="CZR225" s="1"/>
      <c r="CZS225" s="1"/>
      <c r="CZT225" s="1"/>
      <c r="CZU225" s="1"/>
      <c r="CZV225" s="1"/>
      <c r="CZW225" s="1"/>
      <c r="CZX225" s="1"/>
      <c r="CZY225" s="1"/>
      <c r="CZZ225" s="1"/>
      <c r="DAA225" s="1"/>
      <c r="DAB225" s="1"/>
      <c r="DAC225" s="1"/>
      <c r="DAD225" s="1"/>
      <c r="DAE225" s="1"/>
      <c r="DAF225" s="1"/>
      <c r="DAG225" s="1"/>
      <c r="DAH225" s="1"/>
      <c r="DAI225" s="1"/>
      <c r="DAJ225" s="1"/>
      <c r="DAK225" s="1"/>
      <c r="DAL225" s="1"/>
      <c r="DAM225" s="1"/>
      <c r="DAN225" s="1"/>
      <c r="DAO225" s="1"/>
      <c r="DAP225" s="1"/>
      <c r="DAQ225" s="1"/>
      <c r="DAR225" s="1"/>
      <c r="DAS225" s="1"/>
      <c r="DAT225" s="1"/>
      <c r="DAU225" s="1"/>
      <c r="DAV225" s="1"/>
      <c r="DAW225" s="1"/>
      <c r="DAX225" s="1"/>
      <c r="DAY225" s="1"/>
      <c r="DAZ225" s="1"/>
      <c r="DBA225" s="1"/>
      <c r="DBB225" s="1"/>
      <c r="DBC225" s="1"/>
      <c r="DBD225" s="1"/>
      <c r="DBE225" s="1"/>
      <c r="DBF225" s="1"/>
      <c r="DBG225" s="1"/>
      <c r="DBH225" s="1"/>
      <c r="DBI225" s="1"/>
      <c r="DBJ225" s="1"/>
      <c r="DBK225" s="1"/>
      <c r="DBL225" s="1"/>
      <c r="DBM225" s="1"/>
      <c r="DBN225" s="1"/>
      <c r="DBO225" s="1"/>
      <c r="DBP225" s="1"/>
      <c r="DBQ225" s="1"/>
      <c r="DBR225" s="1"/>
      <c r="DBS225" s="1"/>
      <c r="DBT225" s="1"/>
      <c r="DBU225" s="1"/>
      <c r="DBV225" s="1"/>
      <c r="DBW225" s="1"/>
      <c r="DBX225" s="1"/>
      <c r="DBY225" s="1"/>
      <c r="DBZ225" s="1"/>
      <c r="DCA225" s="1"/>
      <c r="DCB225" s="1"/>
      <c r="DCC225" s="1"/>
      <c r="DCD225" s="1"/>
      <c r="DCE225" s="1"/>
      <c r="DCF225" s="1"/>
      <c r="DCG225" s="1"/>
      <c r="DCH225" s="1"/>
      <c r="DCI225" s="1"/>
      <c r="DCJ225" s="1"/>
      <c r="DCK225" s="1"/>
      <c r="DCL225" s="1"/>
      <c r="DCM225" s="1"/>
      <c r="DCN225" s="1"/>
      <c r="DCO225" s="1"/>
      <c r="DCP225" s="1"/>
      <c r="DCQ225" s="1"/>
      <c r="DCR225" s="1"/>
      <c r="DCS225" s="1"/>
      <c r="DCT225" s="1"/>
      <c r="DCU225" s="1"/>
      <c r="DCV225" s="1"/>
      <c r="DCW225" s="1"/>
      <c r="DCX225" s="1"/>
      <c r="DCY225" s="1"/>
      <c r="DCZ225" s="1"/>
      <c r="DDA225" s="1"/>
      <c r="DDB225" s="1"/>
      <c r="DDC225" s="1"/>
      <c r="DDD225" s="1"/>
      <c r="DDE225" s="1"/>
      <c r="DDF225" s="1"/>
      <c r="DDG225" s="1"/>
      <c r="DDH225" s="1"/>
      <c r="DDI225" s="1"/>
      <c r="DDJ225" s="1"/>
      <c r="DDK225" s="1"/>
      <c r="DDL225" s="1"/>
      <c r="DDM225" s="1"/>
      <c r="DDN225" s="1"/>
      <c r="DDO225" s="1"/>
      <c r="DDP225" s="1"/>
      <c r="DDQ225" s="1"/>
      <c r="DDR225" s="1"/>
      <c r="DDS225" s="1"/>
      <c r="DDT225" s="1"/>
      <c r="DDU225" s="1"/>
      <c r="DDV225" s="1"/>
      <c r="DDW225" s="1"/>
      <c r="DDX225" s="1"/>
      <c r="DDY225" s="1"/>
      <c r="DDZ225" s="1"/>
      <c r="DEA225" s="1"/>
      <c r="DEB225" s="1"/>
      <c r="DEC225" s="1"/>
      <c r="DED225" s="1"/>
      <c r="DEE225" s="1"/>
      <c r="DEF225" s="1"/>
      <c r="DEG225" s="1"/>
      <c r="DEH225" s="1"/>
      <c r="DEI225" s="1"/>
      <c r="DEJ225" s="1"/>
      <c r="DEK225" s="1"/>
      <c r="DEL225" s="1"/>
      <c r="DEM225" s="1"/>
      <c r="DEN225" s="1"/>
      <c r="DEO225" s="1"/>
      <c r="DEP225" s="1"/>
      <c r="DEQ225" s="1"/>
      <c r="DER225" s="1"/>
      <c r="DES225" s="1"/>
      <c r="DET225" s="1"/>
      <c r="DEU225" s="1"/>
      <c r="DEV225" s="1"/>
      <c r="DEW225" s="1"/>
      <c r="DEX225" s="1"/>
      <c r="DEY225" s="1"/>
      <c r="DEZ225" s="1"/>
      <c r="DFA225" s="1"/>
      <c r="DFB225" s="1"/>
      <c r="DFC225" s="1"/>
      <c r="DFD225" s="1"/>
      <c r="DFE225" s="1"/>
      <c r="DFF225" s="1"/>
      <c r="DFG225" s="1"/>
      <c r="DFH225" s="1"/>
      <c r="DFI225" s="1"/>
      <c r="DFJ225" s="1"/>
      <c r="DFK225" s="1"/>
      <c r="DFL225" s="1"/>
      <c r="DFM225" s="1"/>
      <c r="DFN225" s="1"/>
      <c r="DFO225" s="1"/>
      <c r="DFP225" s="1"/>
      <c r="DFQ225" s="1"/>
      <c r="DFR225" s="1"/>
      <c r="DFS225" s="1"/>
      <c r="DFT225" s="1"/>
      <c r="DFU225" s="1"/>
      <c r="DFV225" s="1"/>
      <c r="DFW225" s="1"/>
      <c r="DFX225" s="1"/>
      <c r="DFY225" s="1"/>
      <c r="DFZ225" s="1"/>
      <c r="DGA225" s="1"/>
      <c r="DGB225" s="1"/>
      <c r="DGC225" s="1"/>
      <c r="DGD225" s="1"/>
      <c r="DGE225" s="1"/>
      <c r="DGF225" s="1"/>
      <c r="DGG225" s="1"/>
      <c r="DGH225" s="1"/>
      <c r="DGI225" s="1"/>
      <c r="DGJ225" s="1"/>
      <c r="DGK225" s="1"/>
      <c r="DGL225" s="1"/>
      <c r="DGM225" s="1"/>
      <c r="DGN225" s="1"/>
      <c r="DGO225" s="1"/>
      <c r="DGP225" s="1"/>
      <c r="DGQ225" s="1"/>
      <c r="DGR225" s="1"/>
      <c r="DGS225" s="1"/>
      <c r="DGT225" s="1"/>
      <c r="DGU225" s="1"/>
      <c r="DGV225" s="1"/>
      <c r="DGW225" s="1"/>
      <c r="DGX225" s="1"/>
      <c r="DGY225" s="1"/>
      <c r="DGZ225" s="1"/>
      <c r="DHA225" s="1"/>
      <c r="DHB225" s="1"/>
      <c r="DHC225" s="1"/>
      <c r="DHD225" s="1"/>
      <c r="DHE225" s="1"/>
      <c r="DHF225" s="1"/>
      <c r="DHG225" s="1"/>
      <c r="DHH225" s="1"/>
      <c r="DHI225" s="1"/>
      <c r="DHJ225" s="1"/>
      <c r="DHK225" s="1"/>
      <c r="DHL225" s="1"/>
      <c r="DHM225" s="1"/>
      <c r="DHN225" s="1"/>
      <c r="DHO225" s="1"/>
      <c r="DHP225" s="1"/>
      <c r="DHQ225" s="1"/>
      <c r="DHR225" s="1"/>
      <c r="DHS225" s="1"/>
      <c r="DHT225" s="1"/>
      <c r="DHU225" s="1"/>
      <c r="DHV225" s="1"/>
      <c r="DHW225" s="1"/>
      <c r="DHX225" s="1"/>
      <c r="DHY225" s="1"/>
      <c r="DHZ225" s="1"/>
      <c r="DIA225" s="1"/>
      <c r="DIB225" s="1"/>
      <c r="DIC225" s="1"/>
      <c r="DID225" s="1"/>
      <c r="DIE225" s="1"/>
      <c r="DIF225" s="1"/>
      <c r="DIG225" s="1"/>
      <c r="DIH225" s="1"/>
      <c r="DII225" s="1"/>
      <c r="DIJ225" s="1"/>
      <c r="DIK225" s="1"/>
      <c r="DIL225" s="1"/>
      <c r="DIM225" s="1"/>
      <c r="DIN225" s="1"/>
      <c r="DIO225" s="1"/>
      <c r="DIP225" s="1"/>
      <c r="DIQ225" s="1"/>
      <c r="DIR225" s="1"/>
      <c r="DIS225" s="1"/>
      <c r="DIT225" s="1"/>
      <c r="DIU225" s="1"/>
      <c r="DIV225" s="1"/>
      <c r="DIW225" s="1"/>
      <c r="DIX225" s="1"/>
      <c r="DIY225" s="1"/>
      <c r="DIZ225" s="1"/>
      <c r="DJA225" s="1"/>
      <c r="DJB225" s="1"/>
      <c r="DJC225" s="1"/>
      <c r="DJD225" s="1"/>
      <c r="DJE225" s="1"/>
      <c r="DJF225" s="1"/>
      <c r="DJG225" s="1"/>
      <c r="DJH225" s="1"/>
      <c r="DJI225" s="1"/>
      <c r="DJJ225" s="1"/>
      <c r="DJK225" s="1"/>
      <c r="DJL225" s="1"/>
      <c r="DJM225" s="1"/>
      <c r="DJN225" s="1"/>
      <c r="DJO225" s="1"/>
      <c r="DJP225" s="1"/>
      <c r="DJQ225" s="1"/>
      <c r="DJR225" s="1"/>
      <c r="DJS225" s="1"/>
      <c r="DJT225" s="1"/>
      <c r="DJU225" s="1"/>
      <c r="DJV225" s="1"/>
      <c r="DJW225" s="1"/>
      <c r="DJX225" s="1"/>
      <c r="DJY225" s="1"/>
      <c r="DJZ225" s="1"/>
      <c r="DKA225" s="1"/>
      <c r="DKB225" s="1"/>
      <c r="DKC225" s="1"/>
      <c r="DKD225" s="1"/>
      <c r="DKE225" s="1"/>
      <c r="DKF225" s="1"/>
      <c r="DKG225" s="1"/>
      <c r="DKH225" s="1"/>
      <c r="DKI225" s="1"/>
      <c r="DKJ225" s="1"/>
      <c r="DKK225" s="1"/>
      <c r="DKL225" s="1"/>
      <c r="DKM225" s="1"/>
      <c r="DKN225" s="1"/>
      <c r="DKO225" s="1"/>
      <c r="DKP225" s="1"/>
      <c r="DKQ225" s="1"/>
      <c r="DKR225" s="1"/>
      <c r="DKS225" s="1"/>
      <c r="DKT225" s="1"/>
      <c r="DKU225" s="1"/>
      <c r="DKV225" s="1"/>
      <c r="DKW225" s="1"/>
      <c r="DKX225" s="1"/>
      <c r="DKY225" s="1"/>
      <c r="DKZ225" s="1"/>
      <c r="DLA225" s="1"/>
      <c r="DLB225" s="1"/>
      <c r="DLC225" s="1"/>
      <c r="DLD225" s="1"/>
      <c r="DLE225" s="1"/>
      <c r="DLF225" s="1"/>
      <c r="DLG225" s="1"/>
      <c r="DLH225" s="1"/>
      <c r="DLI225" s="1"/>
      <c r="DLJ225" s="1"/>
      <c r="DLK225" s="1"/>
      <c r="DLL225" s="1"/>
      <c r="DLM225" s="1"/>
      <c r="DLN225" s="1"/>
      <c r="DLO225" s="1"/>
      <c r="DLP225" s="1"/>
      <c r="DLQ225" s="1"/>
      <c r="DLR225" s="1"/>
      <c r="DLS225" s="1"/>
      <c r="DLT225" s="1"/>
      <c r="DLU225" s="1"/>
      <c r="DLV225" s="1"/>
      <c r="DLW225" s="1"/>
      <c r="DLX225" s="1"/>
      <c r="DLY225" s="1"/>
      <c r="DLZ225" s="1"/>
      <c r="DMA225" s="1"/>
      <c r="DMB225" s="1"/>
      <c r="DMC225" s="1"/>
      <c r="DMD225" s="1"/>
      <c r="DME225" s="1"/>
      <c r="DMF225" s="1"/>
      <c r="DMG225" s="1"/>
      <c r="DMH225" s="1"/>
      <c r="DMI225" s="1"/>
      <c r="DMJ225" s="1"/>
      <c r="DMK225" s="1"/>
      <c r="DML225" s="1"/>
      <c r="DMM225" s="1"/>
      <c r="DMN225" s="1"/>
      <c r="DMO225" s="1"/>
      <c r="DMP225" s="1"/>
      <c r="DMQ225" s="1"/>
      <c r="DMR225" s="1"/>
      <c r="DMS225" s="1"/>
      <c r="DMT225" s="1"/>
      <c r="DMU225" s="1"/>
      <c r="DMV225" s="1"/>
      <c r="DMW225" s="1"/>
      <c r="DMX225" s="1"/>
      <c r="DMY225" s="1"/>
      <c r="DMZ225" s="1"/>
      <c r="DNA225" s="1"/>
      <c r="DNB225" s="1"/>
      <c r="DNC225" s="1"/>
      <c r="DND225" s="1"/>
      <c r="DNE225" s="1"/>
      <c r="DNF225" s="1"/>
      <c r="DNG225" s="1"/>
      <c r="DNH225" s="1"/>
      <c r="DNI225" s="1"/>
      <c r="DNJ225" s="1"/>
      <c r="DNK225" s="1"/>
      <c r="DNL225" s="1"/>
      <c r="DNM225" s="1"/>
      <c r="DNN225" s="1"/>
      <c r="DNO225" s="1"/>
      <c r="DNP225" s="1"/>
      <c r="DNQ225" s="1"/>
      <c r="DNR225" s="1"/>
      <c r="DNS225" s="1"/>
      <c r="DNT225" s="1"/>
      <c r="DNU225" s="1"/>
      <c r="DNV225" s="1"/>
      <c r="DNW225" s="1"/>
      <c r="DNX225" s="1"/>
      <c r="DNY225" s="1"/>
      <c r="DNZ225" s="1"/>
      <c r="DOA225" s="1"/>
      <c r="DOB225" s="1"/>
      <c r="DOC225" s="1"/>
      <c r="DOD225" s="1"/>
      <c r="DOE225" s="1"/>
      <c r="DOF225" s="1"/>
      <c r="DOG225" s="1"/>
      <c r="DOH225" s="1"/>
      <c r="DOI225" s="1"/>
      <c r="DOJ225" s="1"/>
      <c r="DOK225" s="1"/>
      <c r="DOL225" s="1"/>
      <c r="DOM225" s="1"/>
      <c r="DON225" s="1"/>
      <c r="DOO225" s="1"/>
      <c r="DOP225" s="1"/>
      <c r="DOQ225" s="1"/>
      <c r="DOR225" s="1"/>
      <c r="DOS225" s="1"/>
      <c r="DOT225" s="1"/>
      <c r="DOU225" s="1"/>
      <c r="DOV225" s="1"/>
      <c r="DOW225" s="1"/>
      <c r="DOX225" s="1"/>
      <c r="DOY225" s="1"/>
      <c r="DOZ225" s="1"/>
      <c r="DPA225" s="1"/>
      <c r="DPB225" s="1"/>
      <c r="DPC225" s="1"/>
      <c r="DPD225" s="1"/>
      <c r="DPE225" s="1"/>
      <c r="DPF225" s="1"/>
      <c r="DPG225" s="1"/>
      <c r="DPH225" s="1"/>
      <c r="DPI225" s="1"/>
      <c r="DPJ225" s="1"/>
      <c r="DPK225" s="1"/>
      <c r="DPL225" s="1"/>
      <c r="DPM225" s="1"/>
      <c r="DPN225" s="1"/>
      <c r="DPO225" s="1"/>
      <c r="DPP225" s="1"/>
      <c r="DPQ225" s="1"/>
      <c r="DPR225" s="1"/>
      <c r="DPS225" s="1"/>
      <c r="DPT225" s="1"/>
      <c r="DPU225" s="1"/>
      <c r="DPV225" s="1"/>
      <c r="DPW225" s="1"/>
      <c r="DPX225" s="1"/>
      <c r="DPY225" s="1"/>
      <c r="DPZ225" s="1"/>
      <c r="DQA225" s="1"/>
      <c r="DQB225" s="1"/>
      <c r="DQC225" s="1"/>
      <c r="DQD225" s="1"/>
      <c r="DQE225" s="1"/>
      <c r="DQF225" s="1"/>
      <c r="DQG225" s="1"/>
      <c r="DQH225" s="1"/>
      <c r="DQI225" s="1"/>
      <c r="DQJ225" s="1"/>
      <c r="DQK225" s="1"/>
      <c r="DQL225" s="1"/>
      <c r="DQM225" s="1"/>
      <c r="DQN225" s="1"/>
      <c r="DQO225" s="1"/>
      <c r="DQP225" s="1"/>
      <c r="DQQ225" s="1"/>
      <c r="DQR225" s="1"/>
      <c r="DQS225" s="1"/>
      <c r="DQT225" s="1"/>
      <c r="DQU225" s="1"/>
      <c r="DQV225" s="1"/>
      <c r="DQW225" s="1"/>
      <c r="DQX225" s="1"/>
      <c r="DQY225" s="1"/>
      <c r="DQZ225" s="1"/>
      <c r="DRA225" s="1"/>
      <c r="DRB225" s="1"/>
      <c r="DRC225" s="1"/>
      <c r="DRD225" s="1"/>
      <c r="DRE225" s="1"/>
      <c r="DRF225" s="1"/>
      <c r="DRG225" s="1"/>
      <c r="DRH225" s="1"/>
      <c r="DRI225" s="1"/>
      <c r="DRJ225" s="1"/>
      <c r="DRK225" s="1"/>
      <c r="DRL225" s="1"/>
      <c r="DRM225" s="1"/>
      <c r="DRN225" s="1"/>
      <c r="DRO225" s="1"/>
      <c r="DRP225" s="1"/>
      <c r="DRQ225" s="1"/>
      <c r="DRR225" s="1"/>
      <c r="DRS225" s="1"/>
      <c r="DRT225" s="1"/>
      <c r="DRU225" s="1"/>
      <c r="DRV225" s="1"/>
      <c r="DRW225" s="1"/>
      <c r="DRX225" s="1"/>
      <c r="DRY225" s="1"/>
      <c r="DRZ225" s="1"/>
      <c r="DSA225" s="1"/>
      <c r="DSB225" s="1"/>
      <c r="DSC225" s="1"/>
      <c r="DSD225" s="1"/>
      <c r="DSE225" s="1"/>
      <c r="DSF225" s="1"/>
      <c r="DSG225" s="1"/>
      <c r="DSH225" s="1"/>
      <c r="DSI225" s="1"/>
      <c r="DSJ225" s="1"/>
      <c r="DSK225" s="1"/>
      <c r="DSL225" s="1"/>
      <c r="DSM225" s="1"/>
      <c r="DSN225" s="1"/>
      <c r="DSO225" s="1"/>
      <c r="DSP225" s="1"/>
      <c r="DSQ225" s="1"/>
      <c r="DSR225" s="1"/>
      <c r="DSS225" s="1"/>
      <c r="DST225" s="1"/>
      <c r="DSU225" s="1"/>
      <c r="DSV225" s="1"/>
      <c r="DSW225" s="1"/>
      <c r="DSX225" s="1"/>
      <c r="DSY225" s="1"/>
      <c r="DSZ225" s="1"/>
      <c r="DTA225" s="1"/>
      <c r="DTB225" s="1"/>
      <c r="DTC225" s="1"/>
      <c r="DTD225" s="1"/>
      <c r="DTE225" s="1"/>
      <c r="DTF225" s="1"/>
      <c r="DTG225" s="1"/>
      <c r="DTH225" s="1"/>
      <c r="DTI225" s="1"/>
      <c r="DTJ225" s="1"/>
      <c r="DTK225" s="1"/>
      <c r="DTL225" s="1"/>
      <c r="DTM225" s="1"/>
      <c r="DTN225" s="1"/>
      <c r="DTO225" s="1"/>
      <c r="DTP225" s="1"/>
      <c r="DTQ225" s="1"/>
      <c r="DTR225" s="1"/>
      <c r="DTS225" s="1"/>
      <c r="DTT225" s="1"/>
      <c r="DTU225" s="1"/>
      <c r="DTV225" s="1"/>
      <c r="DTW225" s="1"/>
      <c r="DTX225" s="1"/>
      <c r="DTY225" s="1"/>
      <c r="DTZ225" s="1"/>
      <c r="DUA225" s="1"/>
      <c r="DUB225" s="1"/>
      <c r="DUC225" s="1"/>
      <c r="DUD225" s="1"/>
      <c r="DUE225" s="1"/>
      <c r="DUF225" s="1"/>
      <c r="DUG225" s="1"/>
      <c r="DUH225" s="1"/>
      <c r="DUI225" s="1"/>
      <c r="DUJ225" s="1"/>
      <c r="DUK225" s="1"/>
      <c r="DUL225" s="1"/>
      <c r="DUM225" s="1"/>
      <c r="DUN225" s="1"/>
      <c r="DUO225" s="1"/>
      <c r="DUP225" s="1"/>
      <c r="DUQ225" s="1"/>
      <c r="DUR225" s="1"/>
      <c r="DUS225" s="1"/>
      <c r="DUT225" s="1"/>
      <c r="DUU225" s="1"/>
      <c r="DUV225" s="1"/>
      <c r="DUW225" s="1"/>
      <c r="DUX225" s="1"/>
      <c r="DUY225" s="1"/>
      <c r="DUZ225" s="1"/>
      <c r="DVA225" s="1"/>
      <c r="DVB225" s="1"/>
      <c r="DVC225" s="1"/>
      <c r="DVD225" s="1"/>
      <c r="DVE225" s="1"/>
      <c r="DVF225" s="1"/>
      <c r="DVG225" s="1"/>
      <c r="DVH225" s="1"/>
      <c r="DVI225" s="1"/>
      <c r="DVJ225" s="1"/>
      <c r="DVK225" s="1"/>
      <c r="DVL225" s="1"/>
      <c r="DVM225" s="1"/>
      <c r="DVN225" s="1"/>
      <c r="DVO225" s="1"/>
      <c r="DVP225" s="1"/>
      <c r="DVQ225" s="1"/>
      <c r="DVR225" s="1"/>
      <c r="DVS225" s="1"/>
      <c r="DVT225" s="1"/>
      <c r="DVU225" s="1"/>
      <c r="DVV225" s="1"/>
      <c r="DVW225" s="1"/>
      <c r="DVX225" s="1"/>
      <c r="DVY225" s="1"/>
      <c r="DVZ225" s="1"/>
      <c r="DWA225" s="1"/>
      <c r="DWB225" s="1"/>
      <c r="DWC225" s="1"/>
      <c r="DWD225" s="1"/>
      <c r="DWE225" s="1"/>
      <c r="DWF225" s="1"/>
      <c r="DWG225" s="1"/>
      <c r="DWH225" s="1"/>
      <c r="DWI225" s="1"/>
      <c r="DWJ225" s="1"/>
      <c r="DWK225" s="1"/>
      <c r="DWL225" s="1"/>
      <c r="DWM225" s="1"/>
      <c r="DWN225" s="1"/>
      <c r="DWO225" s="1"/>
      <c r="DWP225" s="1"/>
      <c r="DWQ225" s="1"/>
      <c r="DWR225" s="1"/>
      <c r="DWS225" s="1"/>
      <c r="DWT225" s="1"/>
      <c r="DWU225" s="1"/>
      <c r="DWV225" s="1"/>
      <c r="DWW225" s="1"/>
      <c r="DWX225" s="1"/>
      <c r="DWY225" s="1"/>
      <c r="DWZ225" s="1"/>
      <c r="DXA225" s="1"/>
      <c r="DXB225" s="1"/>
      <c r="DXC225" s="1"/>
      <c r="DXD225" s="1"/>
      <c r="DXE225" s="1"/>
      <c r="DXF225" s="1"/>
      <c r="DXG225" s="1"/>
      <c r="DXH225" s="1"/>
      <c r="DXI225" s="1"/>
      <c r="DXJ225" s="1"/>
      <c r="DXK225" s="1"/>
      <c r="DXL225" s="1"/>
      <c r="DXM225" s="1"/>
      <c r="DXN225" s="1"/>
      <c r="DXO225" s="1"/>
      <c r="DXP225" s="1"/>
      <c r="DXQ225" s="1"/>
      <c r="DXR225" s="1"/>
      <c r="DXS225" s="1"/>
      <c r="DXT225" s="1"/>
      <c r="DXU225" s="1"/>
      <c r="DXV225" s="1"/>
      <c r="DXW225" s="1"/>
      <c r="DXX225" s="1"/>
      <c r="DXY225" s="1"/>
      <c r="DXZ225" s="1"/>
      <c r="DYA225" s="1"/>
      <c r="DYB225" s="1"/>
      <c r="DYC225" s="1"/>
      <c r="DYD225" s="1"/>
      <c r="DYE225" s="1"/>
      <c r="DYF225" s="1"/>
      <c r="DYG225" s="1"/>
      <c r="DYH225" s="1"/>
      <c r="DYI225" s="1"/>
      <c r="DYJ225" s="1"/>
      <c r="DYK225" s="1"/>
      <c r="DYL225" s="1"/>
      <c r="DYM225" s="1"/>
      <c r="DYN225" s="1"/>
      <c r="DYO225" s="1"/>
      <c r="DYP225" s="1"/>
      <c r="DYQ225" s="1"/>
      <c r="DYR225" s="1"/>
      <c r="DYS225" s="1"/>
      <c r="DYT225" s="1"/>
      <c r="DYU225" s="1"/>
      <c r="DYV225" s="1"/>
      <c r="DYW225" s="1"/>
      <c r="DYX225" s="1"/>
      <c r="DYY225" s="1"/>
      <c r="DYZ225" s="1"/>
      <c r="DZA225" s="1"/>
      <c r="DZB225" s="1"/>
      <c r="DZC225" s="1"/>
      <c r="DZD225" s="1"/>
      <c r="DZE225" s="1"/>
      <c r="DZF225" s="1"/>
      <c r="DZG225" s="1"/>
      <c r="DZH225" s="1"/>
      <c r="DZI225" s="1"/>
      <c r="DZJ225" s="1"/>
      <c r="DZK225" s="1"/>
      <c r="DZL225" s="1"/>
      <c r="DZM225" s="1"/>
      <c r="DZN225" s="1"/>
      <c r="DZO225" s="1"/>
      <c r="DZP225" s="1"/>
      <c r="DZQ225" s="1"/>
      <c r="DZR225" s="1"/>
      <c r="DZS225" s="1"/>
      <c r="DZT225" s="1"/>
      <c r="DZU225" s="1"/>
      <c r="DZV225" s="1"/>
      <c r="DZW225" s="1"/>
      <c r="DZX225" s="1"/>
      <c r="DZY225" s="1"/>
      <c r="DZZ225" s="1"/>
      <c r="EAA225" s="1"/>
      <c r="EAB225" s="1"/>
      <c r="EAC225" s="1"/>
      <c r="EAD225" s="1"/>
      <c r="EAE225" s="1"/>
      <c r="EAF225" s="1"/>
      <c r="EAG225" s="1"/>
      <c r="EAH225" s="1"/>
      <c r="EAI225" s="1"/>
      <c r="EAJ225" s="1"/>
      <c r="EAK225" s="1"/>
      <c r="EAL225" s="1"/>
      <c r="EAM225" s="1"/>
      <c r="EAN225" s="1"/>
      <c r="EAO225" s="1"/>
      <c r="EAP225" s="1"/>
      <c r="EAQ225" s="1"/>
      <c r="EAR225" s="1"/>
      <c r="EAS225" s="1"/>
      <c r="EAT225" s="1"/>
      <c r="EAU225" s="1"/>
      <c r="EAV225" s="1"/>
      <c r="EAW225" s="1"/>
      <c r="EAX225" s="1"/>
      <c r="EAY225" s="1"/>
      <c r="EAZ225" s="1"/>
      <c r="EBA225" s="1"/>
      <c r="EBB225" s="1"/>
      <c r="EBC225" s="1"/>
      <c r="EBD225" s="1"/>
      <c r="EBE225" s="1"/>
      <c r="EBF225" s="1"/>
      <c r="EBG225" s="1"/>
      <c r="EBH225" s="1"/>
      <c r="EBI225" s="1"/>
      <c r="EBJ225" s="1"/>
      <c r="EBK225" s="1"/>
      <c r="EBL225" s="1"/>
      <c r="EBM225" s="1"/>
      <c r="EBN225" s="1"/>
      <c r="EBO225" s="1"/>
      <c r="EBP225" s="1"/>
      <c r="EBQ225" s="1"/>
      <c r="EBR225" s="1"/>
      <c r="EBS225" s="1"/>
      <c r="EBT225" s="1"/>
      <c r="EBU225" s="1"/>
      <c r="EBV225" s="1"/>
      <c r="EBW225" s="1"/>
      <c r="EBX225" s="1"/>
      <c r="EBY225" s="1"/>
      <c r="EBZ225" s="1"/>
      <c r="ECA225" s="1"/>
      <c r="ECB225" s="1"/>
      <c r="ECC225" s="1"/>
      <c r="ECD225" s="1"/>
      <c r="ECE225" s="1"/>
      <c r="ECF225" s="1"/>
      <c r="ECG225" s="1"/>
      <c r="ECH225" s="1"/>
      <c r="ECI225" s="1"/>
      <c r="ECJ225" s="1"/>
      <c r="ECK225" s="1"/>
      <c r="ECL225" s="1"/>
      <c r="ECM225" s="1"/>
      <c r="ECN225" s="1"/>
      <c r="ECO225" s="1"/>
      <c r="ECP225" s="1"/>
      <c r="ECQ225" s="1"/>
      <c r="ECR225" s="1"/>
      <c r="ECS225" s="1"/>
      <c r="ECT225" s="1"/>
      <c r="ECU225" s="1"/>
      <c r="ECV225" s="1"/>
      <c r="ECW225" s="1"/>
      <c r="ECX225" s="1"/>
      <c r="ECY225" s="1"/>
      <c r="ECZ225" s="1"/>
      <c r="EDA225" s="1"/>
      <c r="EDB225" s="1"/>
      <c r="EDC225" s="1"/>
      <c r="EDD225" s="1"/>
      <c r="EDE225" s="1"/>
      <c r="EDF225" s="1"/>
      <c r="EDG225" s="1"/>
      <c r="EDH225" s="1"/>
      <c r="EDI225" s="1"/>
      <c r="EDJ225" s="1"/>
      <c r="EDK225" s="1"/>
      <c r="EDL225" s="1"/>
      <c r="EDM225" s="1"/>
      <c r="EDN225" s="1"/>
      <c r="EDO225" s="1"/>
      <c r="EDP225" s="1"/>
      <c r="EDQ225" s="1"/>
      <c r="EDR225" s="1"/>
      <c r="EDS225" s="1"/>
      <c r="EDT225" s="1"/>
      <c r="EDU225" s="1"/>
      <c r="EDV225" s="1"/>
      <c r="EDW225" s="1"/>
      <c r="EDX225" s="1"/>
      <c r="EDY225" s="1"/>
      <c r="EDZ225" s="1"/>
      <c r="EEA225" s="1"/>
      <c r="EEB225" s="1"/>
      <c r="EEC225" s="1"/>
      <c r="EED225" s="1"/>
      <c r="EEE225" s="1"/>
      <c r="EEF225" s="1"/>
      <c r="EEG225" s="1"/>
      <c r="EEH225" s="1"/>
      <c r="EEI225" s="1"/>
      <c r="EEJ225" s="1"/>
      <c r="EEK225" s="1"/>
      <c r="EEL225" s="1"/>
      <c r="EEM225" s="1"/>
      <c r="EEN225" s="1"/>
      <c r="EEO225" s="1"/>
      <c r="EEP225" s="1"/>
      <c r="EEQ225" s="1"/>
      <c r="EER225" s="1"/>
      <c r="EES225" s="1"/>
      <c r="EET225" s="1"/>
      <c r="EEU225" s="1"/>
      <c r="EEV225" s="1"/>
      <c r="EEW225" s="1"/>
      <c r="EEX225" s="1"/>
      <c r="EEY225" s="1"/>
      <c r="EEZ225" s="1"/>
      <c r="EFA225" s="1"/>
      <c r="EFB225" s="1"/>
      <c r="EFC225" s="1"/>
      <c r="EFD225" s="1"/>
      <c r="EFE225" s="1"/>
      <c r="EFF225" s="1"/>
      <c r="EFG225" s="1"/>
      <c r="EFH225" s="1"/>
      <c r="EFI225" s="1"/>
      <c r="EFJ225" s="1"/>
      <c r="EFK225" s="1"/>
      <c r="EFL225" s="1"/>
      <c r="EFM225" s="1"/>
      <c r="EFN225" s="1"/>
      <c r="EFO225" s="1"/>
      <c r="EFP225" s="1"/>
      <c r="EFQ225" s="1"/>
      <c r="EFR225" s="1"/>
      <c r="EFS225" s="1"/>
      <c r="EFT225" s="1"/>
      <c r="EFU225" s="1"/>
      <c r="EFV225" s="1"/>
      <c r="EFW225" s="1"/>
      <c r="EFX225" s="1"/>
      <c r="EFY225" s="1"/>
      <c r="EFZ225" s="1"/>
      <c r="EGA225" s="1"/>
      <c r="EGB225" s="1"/>
      <c r="EGC225" s="1"/>
      <c r="EGD225" s="1"/>
      <c r="EGE225" s="1"/>
      <c r="EGF225" s="1"/>
      <c r="EGG225" s="1"/>
      <c r="EGH225" s="1"/>
      <c r="EGI225" s="1"/>
      <c r="EGJ225" s="1"/>
      <c r="EGK225" s="1"/>
      <c r="EGL225" s="1"/>
      <c r="EGM225" s="1"/>
      <c r="EGN225" s="1"/>
      <c r="EGO225" s="1"/>
      <c r="EGP225" s="1"/>
      <c r="EGQ225" s="1"/>
      <c r="EGR225" s="1"/>
      <c r="EGS225" s="1"/>
      <c r="EGT225" s="1"/>
      <c r="EGU225" s="1"/>
      <c r="EGV225" s="1"/>
      <c r="EGW225" s="1"/>
      <c r="EGX225" s="1"/>
      <c r="EGY225" s="1"/>
      <c r="EGZ225" s="1"/>
      <c r="EHA225" s="1"/>
      <c r="EHB225" s="1"/>
      <c r="EHC225" s="1"/>
      <c r="EHD225" s="1"/>
      <c r="EHE225" s="1"/>
      <c r="EHF225" s="1"/>
      <c r="EHG225" s="1"/>
      <c r="EHH225" s="1"/>
      <c r="EHI225" s="1"/>
      <c r="EHJ225" s="1"/>
      <c r="EHK225" s="1"/>
      <c r="EHL225" s="1"/>
      <c r="EHM225" s="1"/>
      <c r="EHN225" s="1"/>
      <c r="EHO225" s="1"/>
      <c r="EHP225" s="1"/>
      <c r="EHQ225" s="1"/>
      <c r="EHR225" s="1"/>
      <c r="EHS225" s="1"/>
      <c r="EHT225" s="1"/>
      <c r="EHU225" s="1"/>
      <c r="EHV225" s="1"/>
      <c r="EHW225" s="1"/>
      <c r="EHX225" s="1"/>
      <c r="EHY225" s="1"/>
      <c r="EHZ225" s="1"/>
      <c r="EIA225" s="1"/>
      <c r="EIB225" s="1"/>
      <c r="EIC225" s="1"/>
      <c r="EID225" s="1"/>
      <c r="EIE225" s="1"/>
      <c r="EIF225" s="1"/>
      <c r="EIG225" s="1"/>
      <c r="EIH225" s="1"/>
      <c r="EII225" s="1"/>
      <c r="EIJ225" s="1"/>
      <c r="EIK225" s="1"/>
      <c r="EIL225" s="1"/>
      <c r="EIM225" s="1"/>
      <c r="EIN225" s="1"/>
      <c r="EIO225" s="1"/>
      <c r="EIP225" s="1"/>
      <c r="EIQ225" s="1"/>
      <c r="EIR225" s="1"/>
      <c r="EIS225" s="1"/>
      <c r="EIT225" s="1"/>
      <c r="EIU225" s="1"/>
      <c r="EIV225" s="1"/>
      <c r="EIW225" s="1"/>
      <c r="EIX225" s="1"/>
      <c r="EIY225" s="1"/>
      <c r="EIZ225" s="1"/>
      <c r="EJA225" s="1"/>
      <c r="EJB225" s="1"/>
      <c r="EJC225" s="1"/>
      <c r="EJD225" s="1"/>
      <c r="EJE225" s="1"/>
      <c r="EJF225" s="1"/>
      <c r="EJG225" s="1"/>
      <c r="EJH225" s="1"/>
      <c r="EJI225" s="1"/>
      <c r="EJJ225" s="1"/>
      <c r="EJK225" s="1"/>
      <c r="EJL225" s="1"/>
      <c r="EJM225" s="1"/>
      <c r="EJN225" s="1"/>
      <c r="EJO225" s="1"/>
      <c r="EJP225" s="1"/>
      <c r="EJQ225" s="1"/>
      <c r="EJR225" s="1"/>
      <c r="EJS225" s="1"/>
      <c r="EJT225" s="1"/>
      <c r="EJU225" s="1"/>
      <c r="EJV225" s="1"/>
      <c r="EJW225" s="1"/>
      <c r="EJX225" s="1"/>
      <c r="EJY225" s="1"/>
      <c r="EJZ225" s="1"/>
      <c r="EKA225" s="1"/>
      <c r="EKB225" s="1"/>
      <c r="EKC225" s="1"/>
      <c r="EKD225" s="1"/>
      <c r="EKE225" s="1"/>
      <c r="EKF225" s="1"/>
      <c r="EKG225" s="1"/>
      <c r="EKH225" s="1"/>
      <c r="EKI225" s="1"/>
      <c r="EKJ225" s="1"/>
      <c r="EKK225" s="1"/>
      <c r="EKL225" s="1"/>
      <c r="EKM225" s="1"/>
      <c r="EKN225" s="1"/>
      <c r="EKO225" s="1"/>
      <c r="EKP225" s="1"/>
      <c r="EKQ225" s="1"/>
      <c r="EKR225" s="1"/>
      <c r="EKS225" s="1"/>
      <c r="EKT225" s="1"/>
      <c r="EKU225" s="1"/>
      <c r="EKV225" s="1"/>
      <c r="EKW225" s="1"/>
      <c r="EKX225" s="1"/>
      <c r="EKY225" s="1"/>
      <c r="EKZ225" s="1"/>
      <c r="ELA225" s="1"/>
      <c r="ELB225" s="1"/>
      <c r="ELC225" s="1"/>
      <c r="ELD225" s="1"/>
      <c r="ELE225" s="1"/>
      <c r="ELF225" s="1"/>
      <c r="ELG225" s="1"/>
      <c r="ELH225" s="1"/>
      <c r="ELI225" s="1"/>
      <c r="ELJ225" s="1"/>
      <c r="ELK225" s="1"/>
      <c r="ELL225" s="1"/>
      <c r="ELM225" s="1"/>
      <c r="ELN225" s="1"/>
      <c r="ELO225" s="1"/>
      <c r="ELP225" s="1"/>
      <c r="ELQ225" s="1"/>
      <c r="ELR225" s="1"/>
      <c r="ELS225" s="1"/>
      <c r="ELT225" s="1"/>
      <c r="ELU225" s="1"/>
      <c r="ELV225" s="1"/>
      <c r="ELW225" s="1"/>
      <c r="ELX225" s="1"/>
      <c r="ELY225" s="1"/>
      <c r="ELZ225" s="1"/>
      <c r="EMA225" s="1"/>
      <c r="EMB225" s="1"/>
      <c r="EMC225" s="1"/>
      <c r="EMD225" s="1"/>
      <c r="EME225" s="1"/>
      <c r="EMF225" s="1"/>
      <c r="EMG225" s="1"/>
      <c r="EMH225" s="1"/>
      <c r="EMI225" s="1"/>
      <c r="EMJ225" s="1"/>
      <c r="EMK225" s="1"/>
      <c r="EML225" s="1"/>
      <c r="EMM225" s="1"/>
      <c r="EMN225" s="1"/>
      <c r="EMO225" s="1"/>
      <c r="EMP225" s="1"/>
      <c r="EMQ225" s="1"/>
      <c r="EMR225" s="1"/>
      <c r="EMS225" s="1"/>
      <c r="EMT225" s="1"/>
      <c r="EMU225" s="1"/>
      <c r="EMV225" s="1"/>
      <c r="EMW225" s="1"/>
      <c r="EMX225" s="1"/>
      <c r="EMY225" s="1"/>
      <c r="EMZ225" s="1"/>
      <c r="ENA225" s="1"/>
      <c r="ENB225" s="1"/>
      <c r="ENC225" s="1"/>
      <c r="END225" s="1"/>
      <c r="ENE225" s="1"/>
      <c r="ENF225" s="1"/>
      <c r="ENG225" s="1"/>
      <c r="ENH225" s="1"/>
      <c r="ENI225" s="1"/>
      <c r="ENJ225" s="1"/>
      <c r="ENK225" s="1"/>
      <c r="ENL225" s="1"/>
      <c r="ENM225" s="1"/>
      <c r="ENN225" s="1"/>
      <c r="ENO225" s="1"/>
      <c r="ENP225" s="1"/>
      <c r="ENQ225" s="1"/>
      <c r="ENR225" s="1"/>
      <c r="ENS225" s="1"/>
      <c r="ENT225" s="1"/>
      <c r="ENU225" s="1"/>
      <c r="ENV225" s="1"/>
      <c r="ENW225" s="1"/>
      <c r="ENX225" s="1"/>
      <c r="ENY225" s="1"/>
      <c r="ENZ225" s="1"/>
      <c r="EOA225" s="1"/>
      <c r="EOB225" s="1"/>
      <c r="EOC225" s="1"/>
      <c r="EOD225" s="1"/>
      <c r="EOE225" s="1"/>
      <c r="EOF225" s="1"/>
      <c r="EOG225" s="1"/>
      <c r="EOH225" s="1"/>
      <c r="EOI225" s="1"/>
      <c r="EOJ225" s="1"/>
      <c r="EOK225" s="1"/>
      <c r="EOL225" s="1"/>
      <c r="EOM225" s="1"/>
      <c r="EON225" s="1"/>
      <c r="EOO225" s="1"/>
      <c r="EOP225" s="1"/>
      <c r="EOQ225" s="1"/>
      <c r="EOR225" s="1"/>
      <c r="EOS225" s="1"/>
      <c r="EOT225" s="1"/>
      <c r="EOU225" s="1"/>
      <c r="EOV225" s="1"/>
      <c r="EOW225" s="1"/>
      <c r="EOX225" s="1"/>
      <c r="EOY225" s="1"/>
      <c r="EOZ225" s="1"/>
      <c r="EPA225" s="1"/>
      <c r="EPB225" s="1"/>
      <c r="EPC225" s="1"/>
      <c r="EPD225" s="1"/>
      <c r="EPE225" s="1"/>
      <c r="EPF225" s="1"/>
      <c r="EPG225" s="1"/>
      <c r="EPH225" s="1"/>
      <c r="EPI225" s="1"/>
      <c r="EPJ225" s="1"/>
      <c r="EPK225" s="1"/>
      <c r="EPL225" s="1"/>
      <c r="EPM225" s="1"/>
      <c r="EPN225" s="1"/>
      <c r="EPO225" s="1"/>
      <c r="EPP225" s="1"/>
      <c r="EPQ225" s="1"/>
      <c r="EPR225" s="1"/>
      <c r="EPS225" s="1"/>
      <c r="EPT225" s="1"/>
      <c r="EPU225" s="1"/>
      <c r="EPV225" s="1"/>
      <c r="EPW225" s="1"/>
      <c r="EPX225" s="1"/>
      <c r="EPY225" s="1"/>
      <c r="EPZ225" s="1"/>
      <c r="EQA225" s="1"/>
      <c r="EQB225" s="1"/>
      <c r="EQC225" s="1"/>
      <c r="EQD225" s="1"/>
      <c r="EQE225" s="1"/>
      <c r="EQF225" s="1"/>
      <c r="EQG225" s="1"/>
      <c r="EQH225" s="1"/>
      <c r="EQI225" s="1"/>
      <c r="EQJ225" s="1"/>
      <c r="EQK225" s="1"/>
      <c r="EQL225" s="1"/>
      <c r="EQM225" s="1"/>
      <c r="EQN225" s="1"/>
      <c r="EQO225" s="1"/>
      <c r="EQP225" s="1"/>
      <c r="EQQ225" s="1"/>
      <c r="EQR225" s="1"/>
      <c r="EQS225" s="1"/>
      <c r="EQT225" s="1"/>
      <c r="EQU225" s="1"/>
      <c r="EQV225" s="1"/>
      <c r="EQW225" s="1"/>
      <c r="EQX225" s="1"/>
      <c r="EQY225" s="1"/>
      <c r="EQZ225" s="1"/>
      <c r="ERA225" s="1"/>
      <c r="ERB225" s="1"/>
      <c r="ERC225" s="1"/>
      <c r="ERD225" s="1"/>
      <c r="ERE225" s="1"/>
      <c r="ERF225" s="1"/>
      <c r="ERG225" s="1"/>
      <c r="ERH225" s="1"/>
      <c r="ERI225" s="1"/>
      <c r="ERJ225" s="1"/>
      <c r="ERK225" s="1"/>
      <c r="ERL225" s="1"/>
      <c r="ERM225" s="1"/>
      <c r="ERN225" s="1"/>
      <c r="ERO225" s="1"/>
      <c r="ERP225" s="1"/>
      <c r="ERQ225" s="1"/>
      <c r="ERR225" s="1"/>
      <c r="ERS225" s="1"/>
      <c r="ERT225" s="1"/>
      <c r="ERU225" s="1"/>
      <c r="ERV225" s="1"/>
      <c r="ERW225" s="1"/>
      <c r="ERX225" s="1"/>
      <c r="ERY225" s="1"/>
      <c r="ERZ225" s="1"/>
      <c r="ESA225" s="1"/>
      <c r="ESB225" s="1"/>
      <c r="ESC225" s="1"/>
      <c r="ESD225" s="1"/>
      <c r="ESE225" s="1"/>
      <c r="ESF225" s="1"/>
      <c r="ESG225" s="1"/>
      <c r="ESH225" s="1"/>
      <c r="ESI225" s="1"/>
      <c r="ESJ225" s="1"/>
      <c r="ESK225" s="1"/>
      <c r="ESL225" s="1"/>
      <c r="ESM225" s="1"/>
      <c r="ESN225" s="1"/>
      <c r="ESO225" s="1"/>
      <c r="ESP225" s="1"/>
      <c r="ESQ225" s="1"/>
      <c r="ESR225" s="1"/>
      <c r="ESS225" s="1"/>
      <c r="EST225" s="1"/>
      <c r="ESU225" s="1"/>
      <c r="ESV225" s="1"/>
      <c r="ESW225" s="1"/>
      <c r="ESX225" s="1"/>
      <c r="ESY225" s="1"/>
      <c r="ESZ225" s="1"/>
      <c r="ETA225" s="1"/>
      <c r="ETB225" s="1"/>
      <c r="ETC225" s="1"/>
      <c r="ETD225" s="1"/>
      <c r="ETE225" s="1"/>
      <c r="ETF225" s="1"/>
      <c r="ETG225" s="1"/>
      <c r="ETH225" s="1"/>
      <c r="ETI225" s="1"/>
      <c r="ETJ225" s="1"/>
      <c r="ETK225" s="1"/>
      <c r="ETL225" s="1"/>
      <c r="ETM225" s="1"/>
      <c r="ETN225" s="1"/>
      <c r="ETO225" s="1"/>
      <c r="ETP225" s="1"/>
      <c r="ETQ225" s="1"/>
      <c r="ETR225" s="1"/>
      <c r="ETS225" s="1"/>
      <c r="ETT225" s="1"/>
      <c r="ETU225" s="1"/>
      <c r="ETV225" s="1"/>
      <c r="ETW225" s="1"/>
      <c r="ETX225" s="1"/>
      <c r="ETY225" s="1"/>
      <c r="ETZ225" s="1"/>
      <c r="EUA225" s="1"/>
      <c r="EUB225" s="1"/>
      <c r="EUC225" s="1"/>
      <c r="EUD225" s="1"/>
      <c r="EUE225" s="1"/>
      <c r="EUF225" s="1"/>
      <c r="EUG225" s="1"/>
      <c r="EUH225" s="1"/>
      <c r="EUI225" s="1"/>
      <c r="EUJ225" s="1"/>
      <c r="EUK225" s="1"/>
      <c r="EUL225" s="1"/>
      <c r="EUM225" s="1"/>
      <c r="EUN225" s="1"/>
      <c r="EUO225" s="1"/>
      <c r="EUP225" s="1"/>
      <c r="EUQ225" s="1"/>
      <c r="EUR225" s="1"/>
      <c r="EUS225" s="1"/>
      <c r="EUT225" s="1"/>
      <c r="EUU225" s="1"/>
      <c r="EUV225" s="1"/>
      <c r="EUW225" s="1"/>
      <c r="EUX225" s="1"/>
      <c r="EUY225" s="1"/>
      <c r="EUZ225" s="1"/>
      <c r="EVA225" s="1"/>
      <c r="EVB225" s="1"/>
      <c r="EVC225" s="1"/>
      <c r="EVD225" s="1"/>
      <c r="EVE225" s="1"/>
      <c r="EVF225" s="1"/>
      <c r="EVG225" s="1"/>
      <c r="EVH225" s="1"/>
      <c r="EVI225" s="1"/>
      <c r="EVJ225" s="1"/>
      <c r="EVK225" s="1"/>
      <c r="EVL225" s="1"/>
      <c r="EVM225" s="1"/>
      <c r="EVN225" s="1"/>
      <c r="EVO225" s="1"/>
      <c r="EVP225" s="1"/>
      <c r="EVQ225" s="1"/>
      <c r="EVR225" s="1"/>
      <c r="EVS225" s="1"/>
      <c r="EVT225" s="1"/>
      <c r="EVU225" s="1"/>
      <c r="EVV225" s="1"/>
      <c r="EVW225" s="1"/>
      <c r="EVX225" s="1"/>
      <c r="EVY225" s="1"/>
      <c r="EVZ225" s="1"/>
      <c r="EWA225" s="1"/>
      <c r="EWB225" s="1"/>
      <c r="EWC225" s="1"/>
      <c r="EWD225" s="1"/>
      <c r="EWE225" s="1"/>
      <c r="EWF225" s="1"/>
      <c r="EWG225" s="1"/>
      <c r="EWH225" s="1"/>
      <c r="EWI225" s="1"/>
      <c r="EWJ225" s="1"/>
      <c r="EWK225" s="1"/>
      <c r="EWL225" s="1"/>
      <c r="EWM225" s="1"/>
      <c r="EWN225" s="1"/>
      <c r="EWO225" s="1"/>
      <c r="EWP225" s="1"/>
      <c r="EWQ225" s="1"/>
      <c r="EWR225" s="1"/>
      <c r="EWS225" s="1"/>
      <c r="EWT225" s="1"/>
      <c r="EWU225" s="1"/>
      <c r="EWV225" s="1"/>
      <c r="EWW225" s="1"/>
      <c r="EWX225" s="1"/>
      <c r="EWY225" s="1"/>
      <c r="EWZ225" s="1"/>
      <c r="EXA225" s="1"/>
      <c r="EXB225" s="1"/>
      <c r="EXC225" s="1"/>
      <c r="EXD225" s="1"/>
      <c r="EXE225" s="1"/>
      <c r="EXF225" s="1"/>
      <c r="EXG225" s="1"/>
      <c r="EXH225" s="1"/>
      <c r="EXI225" s="1"/>
      <c r="EXJ225" s="1"/>
      <c r="EXK225" s="1"/>
      <c r="EXL225" s="1"/>
      <c r="EXM225" s="1"/>
      <c r="EXN225" s="1"/>
      <c r="EXO225" s="1"/>
      <c r="EXP225" s="1"/>
      <c r="EXQ225" s="1"/>
      <c r="EXR225" s="1"/>
      <c r="EXS225" s="1"/>
      <c r="EXT225" s="1"/>
      <c r="EXU225" s="1"/>
      <c r="EXV225" s="1"/>
      <c r="EXW225" s="1"/>
      <c r="EXX225" s="1"/>
      <c r="EXY225" s="1"/>
      <c r="EXZ225" s="1"/>
      <c r="EYA225" s="1"/>
      <c r="EYB225" s="1"/>
      <c r="EYC225" s="1"/>
      <c r="EYD225" s="1"/>
      <c r="EYE225" s="1"/>
      <c r="EYF225" s="1"/>
      <c r="EYG225" s="1"/>
      <c r="EYH225" s="1"/>
      <c r="EYI225" s="1"/>
      <c r="EYJ225" s="1"/>
      <c r="EYK225" s="1"/>
      <c r="EYL225" s="1"/>
      <c r="EYM225" s="1"/>
      <c r="EYN225" s="1"/>
      <c r="EYO225" s="1"/>
      <c r="EYP225" s="1"/>
      <c r="EYQ225" s="1"/>
      <c r="EYR225" s="1"/>
      <c r="EYS225" s="1"/>
      <c r="EYT225" s="1"/>
      <c r="EYU225" s="1"/>
      <c r="EYV225" s="1"/>
      <c r="EYW225" s="1"/>
      <c r="EYX225" s="1"/>
      <c r="EYY225" s="1"/>
      <c r="EYZ225" s="1"/>
      <c r="EZA225" s="1"/>
      <c r="EZB225" s="1"/>
      <c r="EZC225" s="1"/>
      <c r="EZD225" s="1"/>
      <c r="EZE225" s="1"/>
      <c r="EZF225" s="1"/>
      <c r="EZG225" s="1"/>
      <c r="EZH225" s="1"/>
      <c r="EZI225" s="1"/>
      <c r="EZJ225" s="1"/>
      <c r="EZK225" s="1"/>
      <c r="EZL225" s="1"/>
      <c r="EZM225" s="1"/>
      <c r="EZN225" s="1"/>
      <c r="EZO225" s="1"/>
      <c r="EZP225" s="1"/>
      <c r="EZQ225" s="1"/>
      <c r="EZR225" s="1"/>
      <c r="EZS225" s="1"/>
      <c r="EZT225" s="1"/>
      <c r="EZU225" s="1"/>
      <c r="EZV225" s="1"/>
      <c r="EZW225" s="1"/>
      <c r="EZX225" s="1"/>
      <c r="EZY225" s="1"/>
      <c r="EZZ225" s="1"/>
      <c r="FAA225" s="1"/>
      <c r="FAB225" s="1"/>
      <c r="FAC225" s="1"/>
      <c r="FAD225" s="1"/>
      <c r="FAE225" s="1"/>
      <c r="FAF225" s="1"/>
      <c r="FAG225" s="1"/>
      <c r="FAH225" s="1"/>
      <c r="FAI225" s="1"/>
      <c r="FAJ225" s="1"/>
      <c r="FAK225" s="1"/>
      <c r="FAL225" s="1"/>
      <c r="FAM225" s="1"/>
      <c r="FAN225" s="1"/>
      <c r="FAO225" s="1"/>
      <c r="FAP225" s="1"/>
      <c r="FAQ225" s="1"/>
      <c r="FAR225" s="1"/>
      <c r="FAS225" s="1"/>
      <c r="FAT225" s="1"/>
      <c r="FAU225" s="1"/>
      <c r="FAV225" s="1"/>
      <c r="FAW225" s="1"/>
      <c r="FAX225" s="1"/>
      <c r="FAY225" s="1"/>
      <c r="FAZ225" s="1"/>
      <c r="FBA225" s="1"/>
      <c r="FBB225" s="1"/>
      <c r="FBC225" s="1"/>
      <c r="FBD225" s="1"/>
      <c r="FBE225" s="1"/>
      <c r="FBF225" s="1"/>
      <c r="FBG225" s="1"/>
      <c r="FBH225" s="1"/>
      <c r="FBI225" s="1"/>
      <c r="FBJ225" s="1"/>
      <c r="FBK225" s="1"/>
      <c r="FBL225" s="1"/>
      <c r="FBM225" s="1"/>
      <c r="FBN225" s="1"/>
      <c r="FBO225" s="1"/>
      <c r="FBP225" s="1"/>
      <c r="FBQ225" s="1"/>
      <c r="FBR225" s="1"/>
      <c r="FBS225" s="1"/>
      <c r="FBT225" s="1"/>
      <c r="FBU225" s="1"/>
      <c r="FBV225" s="1"/>
      <c r="FBW225" s="1"/>
      <c r="FBX225" s="1"/>
      <c r="FBY225" s="1"/>
      <c r="FBZ225" s="1"/>
      <c r="FCA225" s="1"/>
      <c r="FCB225" s="1"/>
      <c r="FCC225" s="1"/>
      <c r="FCD225" s="1"/>
      <c r="FCE225" s="1"/>
      <c r="FCF225" s="1"/>
      <c r="FCG225" s="1"/>
      <c r="FCH225" s="1"/>
      <c r="FCI225" s="1"/>
      <c r="FCJ225" s="1"/>
      <c r="FCK225" s="1"/>
      <c r="FCL225" s="1"/>
      <c r="FCM225" s="1"/>
      <c r="FCN225" s="1"/>
      <c r="FCO225" s="1"/>
      <c r="FCP225" s="1"/>
      <c r="FCQ225" s="1"/>
      <c r="FCR225" s="1"/>
      <c r="FCS225" s="1"/>
      <c r="FCT225" s="1"/>
      <c r="FCU225" s="1"/>
      <c r="FCV225" s="1"/>
      <c r="FCW225" s="1"/>
      <c r="FCX225" s="1"/>
      <c r="FCY225" s="1"/>
      <c r="FCZ225" s="1"/>
      <c r="FDA225" s="1"/>
      <c r="FDB225" s="1"/>
      <c r="FDC225" s="1"/>
      <c r="FDD225" s="1"/>
      <c r="FDE225" s="1"/>
      <c r="FDF225" s="1"/>
      <c r="FDG225" s="1"/>
      <c r="FDH225" s="1"/>
      <c r="FDI225" s="1"/>
      <c r="FDJ225" s="1"/>
      <c r="FDK225" s="1"/>
      <c r="FDL225" s="1"/>
      <c r="FDM225" s="1"/>
      <c r="FDN225" s="1"/>
      <c r="FDO225" s="1"/>
      <c r="FDP225" s="1"/>
      <c r="FDQ225" s="1"/>
      <c r="FDR225" s="1"/>
      <c r="FDS225" s="1"/>
      <c r="FDT225" s="1"/>
      <c r="FDU225" s="1"/>
      <c r="FDV225" s="1"/>
      <c r="FDW225" s="1"/>
      <c r="FDX225" s="1"/>
      <c r="FDY225" s="1"/>
      <c r="FDZ225" s="1"/>
      <c r="FEA225" s="1"/>
      <c r="FEB225" s="1"/>
      <c r="FEC225" s="1"/>
      <c r="FED225" s="1"/>
      <c r="FEE225" s="1"/>
      <c r="FEF225" s="1"/>
      <c r="FEG225" s="1"/>
      <c r="FEH225" s="1"/>
      <c r="FEI225" s="1"/>
      <c r="FEJ225" s="1"/>
      <c r="FEK225" s="1"/>
      <c r="FEL225" s="1"/>
      <c r="FEM225" s="1"/>
      <c r="FEN225" s="1"/>
      <c r="FEO225" s="1"/>
      <c r="FEP225" s="1"/>
      <c r="FEQ225" s="1"/>
      <c r="FER225" s="1"/>
      <c r="FES225" s="1"/>
      <c r="FET225" s="1"/>
      <c r="FEU225" s="1"/>
      <c r="FEV225" s="1"/>
      <c r="FEW225" s="1"/>
      <c r="FEX225" s="1"/>
      <c r="FEY225" s="1"/>
      <c r="FEZ225" s="1"/>
      <c r="FFA225" s="1"/>
      <c r="FFB225" s="1"/>
      <c r="FFC225" s="1"/>
      <c r="FFD225" s="1"/>
      <c r="FFE225" s="1"/>
      <c r="FFF225" s="1"/>
      <c r="FFG225" s="1"/>
      <c r="FFH225" s="1"/>
      <c r="FFI225" s="1"/>
      <c r="FFJ225" s="1"/>
      <c r="FFK225" s="1"/>
      <c r="FFL225" s="1"/>
      <c r="FFM225" s="1"/>
      <c r="FFN225" s="1"/>
      <c r="FFO225" s="1"/>
      <c r="FFP225" s="1"/>
      <c r="FFQ225" s="1"/>
      <c r="FFR225" s="1"/>
      <c r="FFS225" s="1"/>
      <c r="FFT225" s="1"/>
      <c r="FFU225" s="1"/>
      <c r="FFV225" s="1"/>
      <c r="FFW225" s="1"/>
      <c r="FFX225" s="1"/>
      <c r="FFY225" s="1"/>
      <c r="FFZ225" s="1"/>
      <c r="FGA225" s="1"/>
      <c r="FGB225" s="1"/>
      <c r="FGC225" s="1"/>
      <c r="FGD225" s="1"/>
      <c r="FGE225" s="1"/>
      <c r="FGF225" s="1"/>
      <c r="FGG225" s="1"/>
      <c r="FGH225" s="1"/>
      <c r="FGI225" s="1"/>
      <c r="FGJ225" s="1"/>
      <c r="FGK225" s="1"/>
      <c r="FGL225" s="1"/>
      <c r="FGM225" s="1"/>
      <c r="FGN225" s="1"/>
      <c r="FGO225" s="1"/>
      <c r="FGP225" s="1"/>
      <c r="FGQ225" s="1"/>
      <c r="FGR225" s="1"/>
      <c r="FGS225" s="1"/>
      <c r="FGT225" s="1"/>
      <c r="FGU225" s="1"/>
      <c r="FGV225" s="1"/>
      <c r="FGW225" s="1"/>
      <c r="FGX225" s="1"/>
      <c r="FGY225" s="1"/>
      <c r="FGZ225" s="1"/>
      <c r="FHA225" s="1"/>
      <c r="FHB225" s="1"/>
      <c r="FHC225" s="1"/>
      <c r="FHD225" s="1"/>
      <c r="FHE225" s="1"/>
      <c r="FHF225" s="1"/>
      <c r="FHG225" s="1"/>
      <c r="FHH225" s="1"/>
      <c r="FHI225" s="1"/>
      <c r="FHJ225" s="1"/>
      <c r="FHK225" s="1"/>
      <c r="FHL225" s="1"/>
      <c r="FHM225" s="1"/>
      <c r="FHN225" s="1"/>
      <c r="FHO225" s="1"/>
      <c r="FHP225" s="1"/>
      <c r="FHQ225" s="1"/>
      <c r="FHR225" s="1"/>
      <c r="FHS225" s="1"/>
      <c r="FHT225" s="1"/>
      <c r="FHU225" s="1"/>
      <c r="FHV225" s="1"/>
      <c r="FHW225" s="1"/>
      <c r="FHX225" s="1"/>
      <c r="FHY225" s="1"/>
      <c r="FHZ225" s="1"/>
      <c r="FIA225" s="1"/>
      <c r="FIB225" s="1"/>
      <c r="FIC225" s="1"/>
      <c r="FID225" s="1"/>
      <c r="FIE225" s="1"/>
      <c r="FIF225" s="1"/>
      <c r="FIG225" s="1"/>
      <c r="FIH225" s="1"/>
      <c r="FII225" s="1"/>
      <c r="FIJ225" s="1"/>
      <c r="FIK225" s="1"/>
      <c r="FIL225" s="1"/>
      <c r="FIM225" s="1"/>
      <c r="FIN225" s="1"/>
      <c r="FIO225" s="1"/>
      <c r="FIP225" s="1"/>
      <c r="FIQ225" s="1"/>
      <c r="FIR225" s="1"/>
      <c r="FIS225" s="1"/>
      <c r="FIT225" s="1"/>
      <c r="FIU225" s="1"/>
      <c r="FIV225" s="1"/>
      <c r="FIW225" s="1"/>
      <c r="FIX225" s="1"/>
      <c r="FIY225" s="1"/>
      <c r="FIZ225" s="1"/>
      <c r="FJA225" s="1"/>
      <c r="FJB225" s="1"/>
      <c r="FJC225" s="1"/>
      <c r="FJD225" s="1"/>
      <c r="FJE225" s="1"/>
      <c r="FJF225" s="1"/>
      <c r="FJG225" s="1"/>
      <c r="FJH225" s="1"/>
      <c r="FJI225" s="1"/>
      <c r="FJJ225" s="1"/>
      <c r="FJK225" s="1"/>
      <c r="FJL225" s="1"/>
      <c r="FJM225" s="1"/>
      <c r="FJN225" s="1"/>
      <c r="FJO225" s="1"/>
      <c r="FJP225" s="1"/>
      <c r="FJQ225" s="1"/>
      <c r="FJR225" s="1"/>
      <c r="FJS225" s="1"/>
      <c r="FJT225" s="1"/>
      <c r="FJU225" s="1"/>
      <c r="FJV225" s="1"/>
      <c r="FJW225" s="1"/>
      <c r="FJX225" s="1"/>
      <c r="FJY225" s="1"/>
      <c r="FJZ225" s="1"/>
      <c r="FKA225" s="1"/>
      <c r="FKB225" s="1"/>
      <c r="FKC225" s="1"/>
      <c r="FKD225" s="1"/>
      <c r="FKE225" s="1"/>
      <c r="FKF225" s="1"/>
      <c r="FKG225" s="1"/>
      <c r="FKH225" s="1"/>
      <c r="FKI225" s="1"/>
      <c r="FKJ225" s="1"/>
      <c r="FKK225" s="1"/>
      <c r="FKL225" s="1"/>
      <c r="FKM225" s="1"/>
      <c r="FKN225" s="1"/>
      <c r="FKO225" s="1"/>
      <c r="FKP225" s="1"/>
      <c r="FKQ225" s="1"/>
      <c r="FKR225" s="1"/>
      <c r="FKS225" s="1"/>
      <c r="FKT225" s="1"/>
      <c r="FKU225" s="1"/>
      <c r="FKV225" s="1"/>
      <c r="FKW225" s="1"/>
      <c r="FKX225" s="1"/>
      <c r="FKY225" s="1"/>
      <c r="FKZ225" s="1"/>
      <c r="FLA225" s="1"/>
      <c r="FLB225" s="1"/>
      <c r="FLC225" s="1"/>
      <c r="FLD225" s="1"/>
      <c r="FLE225" s="1"/>
      <c r="FLF225" s="1"/>
      <c r="FLG225" s="1"/>
      <c r="FLH225" s="1"/>
      <c r="FLI225" s="1"/>
      <c r="FLJ225" s="1"/>
      <c r="FLK225" s="1"/>
      <c r="FLL225" s="1"/>
      <c r="FLM225" s="1"/>
      <c r="FLN225" s="1"/>
      <c r="FLO225" s="1"/>
      <c r="FLP225" s="1"/>
      <c r="FLQ225" s="1"/>
      <c r="FLR225" s="1"/>
      <c r="FLS225" s="1"/>
      <c r="FLT225" s="1"/>
      <c r="FLU225" s="1"/>
      <c r="FLV225" s="1"/>
      <c r="FLW225" s="1"/>
      <c r="FLX225" s="1"/>
      <c r="FLY225" s="1"/>
      <c r="FLZ225" s="1"/>
      <c r="FMA225" s="1"/>
      <c r="FMB225" s="1"/>
      <c r="FMC225" s="1"/>
      <c r="FMD225" s="1"/>
      <c r="FME225" s="1"/>
      <c r="FMF225" s="1"/>
      <c r="FMG225" s="1"/>
      <c r="FMH225" s="1"/>
      <c r="FMI225" s="1"/>
      <c r="FMJ225" s="1"/>
      <c r="FMK225" s="1"/>
      <c r="FML225" s="1"/>
      <c r="FMM225" s="1"/>
      <c r="FMN225" s="1"/>
      <c r="FMO225" s="1"/>
      <c r="FMP225" s="1"/>
      <c r="FMQ225" s="1"/>
      <c r="FMR225" s="1"/>
      <c r="FMS225" s="1"/>
      <c r="FMT225" s="1"/>
      <c r="FMU225" s="1"/>
      <c r="FMV225" s="1"/>
      <c r="FMW225" s="1"/>
      <c r="FMX225" s="1"/>
      <c r="FMY225" s="1"/>
      <c r="FMZ225" s="1"/>
      <c r="FNA225" s="1"/>
      <c r="FNB225" s="1"/>
      <c r="FNC225" s="1"/>
      <c r="FND225" s="1"/>
      <c r="FNE225" s="1"/>
      <c r="FNF225" s="1"/>
      <c r="FNG225" s="1"/>
      <c r="FNH225" s="1"/>
      <c r="FNI225" s="1"/>
      <c r="FNJ225" s="1"/>
      <c r="FNK225" s="1"/>
      <c r="FNL225" s="1"/>
      <c r="FNM225" s="1"/>
      <c r="FNN225" s="1"/>
      <c r="FNO225" s="1"/>
      <c r="FNP225" s="1"/>
      <c r="FNQ225" s="1"/>
      <c r="FNR225" s="1"/>
      <c r="FNS225" s="1"/>
      <c r="FNT225" s="1"/>
      <c r="FNU225" s="1"/>
      <c r="FNV225" s="1"/>
      <c r="FNW225" s="1"/>
      <c r="FNX225" s="1"/>
      <c r="FNY225" s="1"/>
      <c r="FNZ225" s="1"/>
      <c r="FOA225" s="1"/>
      <c r="FOB225" s="1"/>
      <c r="FOC225" s="1"/>
      <c r="FOD225" s="1"/>
      <c r="FOE225" s="1"/>
      <c r="FOF225" s="1"/>
      <c r="FOG225" s="1"/>
      <c r="FOH225" s="1"/>
      <c r="FOI225" s="1"/>
      <c r="FOJ225" s="1"/>
      <c r="FOK225" s="1"/>
      <c r="FOL225" s="1"/>
      <c r="FOM225" s="1"/>
      <c r="FON225" s="1"/>
      <c r="FOO225" s="1"/>
      <c r="FOP225" s="1"/>
      <c r="FOQ225" s="1"/>
      <c r="FOR225" s="1"/>
      <c r="FOS225" s="1"/>
      <c r="FOT225" s="1"/>
      <c r="FOU225" s="1"/>
      <c r="FOV225" s="1"/>
      <c r="FOW225" s="1"/>
      <c r="FOX225" s="1"/>
      <c r="FOY225" s="1"/>
      <c r="FOZ225" s="1"/>
      <c r="FPA225" s="1"/>
      <c r="FPB225" s="1"/>
      <c r="FPC225" s="1"/>
      <c r="FPD225" s="1"/>
      <c r="FPE225" s="1"/>
      <c r="FPF225" s="1"/>
      <c r="FPG225" s="1"/>
      <c r="FPH225" s="1"/>
      <c r="FPI225" s="1"/>
      <c r="FPJ225" s="1"/>
      <c r="FPK225" s="1"/>
      <c r="FPL225" s="1"/>
      <c r="FPM225" s="1"/>
      <c r="FPN225" s="1"/>
      <c r="FPO225" s="1"/>
      <c r="FPP225" s="1"/>
      <c r="FPQ225" s="1"/>
      <c r="FPR225" s="1"/>
      <c r="FPS225" s="1"/>
      <c r="FPT225" s="1"/>
      <c r="FPU225" s="1"/>
      <c r="FPV225" s="1"/>
      <c r="FPW225" s="1"/>
      <c r="FPX225" s="1"/>
      <c r="FPY225" s="1"/>
      <c r="FPZ225" s="1"/>
      <c r="FQA225" s="1"/>
      <c r="FQB225" s="1"/>
      <c r="FQC225" s="1"/>
      <c r="FQD225" s="1"/>
      <c r="FQE225" s="1"/>
      <c r="FQF225" s="1"/>
      <c r="FQG225" s="1"/>
      <c r="FQH225" s="1"/>
      <c r="FQI225" s="1"/>
      <c r="FQJ225" s="1"/>
      <c r="FQK225" s="1"/>
      <c r="FQL225" s="1"/>
      <c r="FQM225" s="1"/>
      <c r="FQN225" s="1"/>
      <c r="FQO225" s="1"/>
      <c r="FQP225" s="1"/>
      <c r="FQQ225" s="1"/>
      <c r="FQR225" s="1"/>
      <c r="FQS225" s="1"/>
      <c r="FQT225" s="1"/>
      <c r="FQU225" s="1"/>
      <c r="FQV225" s="1"/>
      <c r="FQW225" s="1"/>
      <c r="FQX225" s="1"/>
      <c r="FQY225" s="1"/>
      <c r="FQZ225" s="1"/>
      <c r="FRA225" s="1"/>
      <c r="FRB225" s="1"/>
      <c r="FRC225" s="1"/>
      <c r="FRD225" s="1"/>
      <c r="FRE225" s="1"/>
      <c r="FRF225" s="1"/>
      <c r="FRG225" s="1"/>
      <c r="FRH225" s="1"/>
      <c r="FRI225" s="1"/>
      <c r="FRJ225" s="1"/>
      <c r="FRK225" s="1"/>
      <c r="FRL225" s="1"/>
      <c r="FRM225" s="1"/>
      <c r="FRN225" s="1"/>
      <c r="FRO225" s="1"/>
      <c r="FRP225" s="1"/>
      <c r="FRQ225" s="1"/>
      <c r="FRR225" s="1"/>
      <c r="FRS225" s="1"/>
      <c r="FRT225" s="1"/>
      <c r="FRU225" s="1"/>
      <c r="FRV225" s="1"/>
      <c r="FRW225" s="1"/>
      <c r="FRX225" s="1"/>
      <c r="FRY225" s="1"/>
      <c r="FRZ225" s="1"/>
      <c r="FSA225" s="1"/>
      <c r="FSB225" s="1"/>
      <c r="FSC225" s="1"/>
      <c r="FSD225" s="1"/>
      <c r="FSE225" s="1"/>
      <c r="FSF225" s="1"/>
      <c r="FSG225" s="1"/>
      <c r="FSH225" s="1"/>
      <c r="FSI225" s="1"/>
      <c r="FSJ225" s="1"/>
      <c r="FSK225" s="1"/>
      <c r="FSL225" s="1"/>
      <c r="FSM225" s="1"/>
      <c r="FSN225" s="1"/>
      <c r="FSO225" s="1"/>
      <c r="FSP225" s="1"/>
      <c r="FSQ225" s="1"/>
      <c r="FSR225" s="1"/>
      <c r="FSS225" s="1"/>
      <c r="FST225" s="1"/>
      <c r="FSU225" s="1"/>
      <c r="FSV225" s="1"/>
      <c r="FSW225" s="1"/>
      <c r="FSX225" s="1"/>
      <c r="FSY225" s="1"/>
      <c r="FSZ225" s="1"/>
      <c r="FTA225" s="1"/>
      <c r="FTB225" s="1"/>
      <c r="FTC225" s="1"/>
      <c r="FTD225" s="1"/>
      <c r="FTE225" s="1"/>
      <c r="FTF225" s="1"/>
      <c r="FTG225" s="1"/>
      <c r="FTH225" s="1"/>
      <c r="FTI225" s="1"/>
      <c r="FTJ225" s="1"/>
      <c r="FTK225" s="1"/>
      <c r="FTL225" s="1"/>
      <c r="FTM225" s="1"/>
      <c r="FTN225" s="1"/>
      <c r="FTO225" s="1"/>
      <c r="FTP225" s="1"/>
      <c r="FTQ225" s="1"/>
      <c r="FTR225" s="1"/>
      <c r="FTS225" s="1"/>
      <c r="FTT225" s="1"/>
      <c r="FTU225" s="1"/>
      <c r="FTV225" s="1"/>
      <c r="FTW225" s="1"/>
      <c r="FTX225" s="1"/>
      <c r="FTY225" s="1"/>
      <c r="FTZ225" s="1"/>
      <c r="FUA225" s="1"/>
      <c r="FUB225" s="1"/>
      <c r="FUC225" s="1"/>
      <c r="FUD225" s="1"/>
      <c r="FUE225" s="1"/>
      <c r="FUF225" s="1"/>
      <c r="FUG225" s="1"/>
      <c r="FUH225" s="1"/>
      <c r="FUI225" s="1"/>
      <c r="FUJ225" s="1"/>
      <c r="FUK225" s="1"/>
      <c r="FUL225" s="1"/>
      <c r="FUM225" s="1"/>
      <c r="FUN225" s="1"/>
      <c r="FUO225" s="1"/>
      <c r="FUP225" s="1"/>
      <c r="FUQ225" s="1"/>
      <c r="FUR225" s="1"/>
      <c r="FUS225" s="1"/>
      <c r="FUT225" s="1"/>
      <c r="FUU225" s="1"/>
      <c r="FUV225" s="1"/>
      <c r="FUW225" s="1"/>
      <c r="FUX225" s="1"/>
      <c r="FUY225" s="1"/>
      <c r="FUZ225" s="1"/>
      <c r="FVA225" s="1"/>
      <c r="FVB225" s="1"/>
      <c r="FVC225" s="1"/>
      <c r="FVD225" s="1"/>
      <c r="FVE225" s="1"/>
      <c r="FVF225" s="1"/>
      <c r="FVG225" s="1"/>
      <c r="FVH225" s="1"/>
      <c r="FVI225" s="1"/>
      <c r="FVJ225" s="1"/>
      <c r="FVK225" s="1"/>
      <c r="FVL225" s="1"/>
      <c r="FVM225" s="1"/>
      <c r="FVN225" s="1"/>
      <c r="FVO225" s="1"/>
      <c r="FVP225" s="1"/>
      <c r="FVQ225" s="1"/>
      <c r="FVR225" s="1"/>
      <c r="FVS225" s="1"/>
      <c r="FVT225" s="1"/>
      <c r="FVU225" s="1"/>
      <c r="FVV225" s="1"/>
      <c r="FVW225" s="1"/>
      <c r="FVX225" s="1"/>
      <c r="FVY225" s="1"/>
      <c r="FVZ225" s="1"/>
      <c r="FWA225" s="1"/>
      <c r="FWB225" s="1"/>
      <c r="FWC225" s="1"/>
      <c r="FWD225" s="1"/>
      <c r="FWE225" s="1"/>
      <c r="FWF225" s="1"/>
      <c r="FWG225" s="1"/>
      <c r="FWH225" s="1"/>
      <c r="FWI225" s="1"/>
      <c r="FWJ225" s="1"/>
      <c r="FWK225" s="1"/>
      <c r="FWL225" s="1"/>
      <c r="FWM225" s="1"/>
      <c r="FWN225" s="1"/>
      <c r="FWO225" s="1"/>
      <c r="FWP225" s="1"/>
      <c r="FWQ225" s="1"/>
      <c r="FWR225" s="1"/>
      <c r="FWS225" s="1"/>
      <c r="FWT225" s="1"/>
      <c r="FWU225" s="1"/>
      <c r="FWV225" s="1"/>
      <c r="FWW225" s="1"/>
      <c r="FWX225" s="1"/>
      <c r="FWY225" s="1"/>
      <c r="FWZ225" s="1"/>
      <c r="FXA225" s="1"/>
      <c r="FXB225" s="1"/>
      <c r="FXC225" s="1"/>
      <c r="FXD225" s="1"/>
      <c r="FXE225" s="1"/>
      <c r="FXF225" s="1"/>
      <c r="FXG225" s="1"/>
      <c r="FXH225" s="1"/>
      <c r="FXI225" s="1"/>
      <c r="FXJ225" s="1"/>
      <c r="FXK225" s="1"/>
      <c r="FXL225" s="1"/>
      <c r="FXM225" s="1"/>
      <c r="FXN225" s="1"/>
      <c r="FXO225" s="1"/>
      <c r="FXP225" s="1"/>
      <c r="FXQ225" s="1"/>
      <c r="FXR225" s="1"/>
      <c r="FXS225" s="1"/>
      <c r="FXT225" s="1"/>
      <c r="FXU225" s="1"/>
      <c r="FXV225" s="1"/>
      <c r="FXW225" s="1"/>
      <c r="FXX225" s="1"/>
      <c r="FXY225" s="1"/>
      <c r="FXZ225" s="1"/>
      <c r="FYA225" s="1"/>
      <c r="FYB225" s="1"/>
      <c r="FYC225" s="1"/>
      <c r="FYD225" s="1"/>
      <c r="FYE225" s="1"/>
      <c r="FYF225" s="1"/>
      <c r="FYG225" s="1"/>
      <c r="FYH225" s="1"/>
      <c r="FYI225" s="1"/>
      <c r="FYJ225" s="1"/>
      <c r="FYK225" s="1"/>
      <c r="FYL225" s="1"/>
      <c r="FYM225" s="1"/>
      <c r="FYN225" s="1"/>
      <c r="FYO225" s="1"/>
      <c r="FYP225" s="1"/>
      <c r="FYQ225" s="1"/>
      <c r="FYR225" s="1"/>
      <c r="FYS225" s="1"/>
      <c r="FYT225" s="1"/>
      <c r="FYU225" s="1"/>
      <c r="FYV225" s="1"/>
      <c r="FYW225" s="1"/>
      <c r="FYX225" s="1"/>
      <c r="FYY225" s="1"/>
      <c r="FYZ225" s="1"/>
      <c r="FZA225" s="1"/>
      <c r="FZB225" s="1"/>
      <c r="FZC225" s="1"/>
      <c r="FZD225" s="1"/>
      <c r="FZE225" s="1"/>
      <c r="FZF225" s="1"/>
      <c r="FZG225" s="1"/>
      <c r="FZH225" s="1"/>
      <c r="FZI225" s="1"/>
      <c r="FZJ225" s="1"/>
      <c r="FZK225" s="1"/>
      <c r="FZL225" s="1"/>
      <c r="FZM225" s="1"/>
      <c r="FZN225" s="1"/>
      <c r="FZO225" s="1"/>
      <c r="FZP225" s="1"/>
      <c r="FZQ225" s="1"/>
      <c r="FZR225" s="1"/>
      <c r="FZS225" s="1"/>
      <c r="FZT225" s="1"/>
      <c r="FZU225" s="1"/>
      <c r="FZV225" s="1"/>
      <c r="FZW225" s="1"/>
      <c r="FZX225" s="1"/>
      <c r="FZY225" s="1"/>
      <c r="FZZ225" s="1"/>
      <c r="GAA225" s="1"/>
      <c r="GAB225" s="1"/>
      <c r="GAC225" s="1"/>
      <c r="GAD225" s="1"/>
      <c r="GAE225" s="1"/>
      <c r="GAF225" s="1"/>
      <c r="GAG225" s="1"/>
      <c r="GAH225" s="1"/>
      <c r="GAI225" s="1"/>
      <c r="GAJ225" s="1"/>
      <c r="GAK225" s="1"/>
      <c r="GAL225" s="1"/>
      <c r="GAM225" s="1"/>
      <c r="GAN225" s="1"/>
      <c r="GAO225" s="1"/>
      <c r="GAP225" s="1"/>
      <c r="GAQ225" s="1"/>
      <c r="GAR225" s="1"/>
      <c r="GAS225" s="1"/>
      <c r="GAT225" s="1"/>
      <c r="GAU225" s="1"/>
      <c r="GAV225" s="1"/>
      <c r="GAW225" s="1"/>
      <c r="GAX225" s="1"/>
      <c r="GAY225" s="1"/>
      <c r="GAZ225" s="1"/>
      <c r="GBA225" s="1"/>
      <c r="GBB225" s="1"/>
      <c r="GBC225" s="1"/>
      <c r="GBD225" s="1"/>
      <c r="GBE225" s="1"/>
      <c r="GBF225" s="1"/>
      <c r="GBG225" s="1"/>
      <c r="GBH225" s="1"/>
      <c r="GBI225" s="1"/>
      <c r="GBJ225" s="1"/>
      <c r="GBK225" s="1"/>
      <c r="GBL225" s="1"/>
      <c r="GBM225" s="1"/>
      <c r="GBN225" s="1"/>
      <c r="GBO225" s="1"/>
      <c r="GBP225" s="1"/>
      <c r="GBQ225" s="1"/>
      <c r="GBR225" s="1"/>
      <c r="GBS225" s="1"/>
      <c r="GBT225" s="1"/>
      <c r="GBU225" s="1"/>
      <c r="GBV225" s="1"/>
      <c r="GBW225" s="1"/>
      <c r="GBX225" s="1"/>
      <c r="GBY225" s="1"/>
      <c r="GBZ225" s="1"/>
      <c r="GCA225" s="1"/>
      <c r="GCB225" s="1"/>
      <c r="GCC225" s="1"/>
      <c r="GCD225" s="1"/>
      <c r="GCE225" s="1"/>
      <c r="GCF225" s="1"/>
      <c r="GCG225" s="1"/>
      <c r="GCH225" s="1"/>
      <c r="GCI225" s="1"/>
      <c r="GCJ225" s="1"/>
      <c r="GCK225" s="1"/>
      <c r="GCL225" s="1"/>
      <c r="GCM225" s="1"/>
      <c r="GCN225" s="1"/>
      <c r="GCO225" s="1"/>
      <c r="GCP225" s="1"/>
      <c r="GCQ225" s="1"/>
      <c r="GCR225" s="1"/>
      <c r="GCS225" s="1"/>
      <c r="GCT225" s="1"/>
      <c r="GCU225" s="1"/>
      <c r="GCV225" s="1"/>
      <c r="GCW225" s="1"/>
      <c r="GCX225" s="1"/>
      <c r="GCY225" s="1"/>
      <c r="GCZ225" s="1"/>
      <c r="GDA225" s="1"/>
      <c r="GDB225" s="1"/>
      <c r="GDC225" s="1"/>
      <c r="GDD225" s="1"/>
      <c r="GDE225" s="1"/>
      <c r="GDF225" s="1"/>
      <c r="GDG225" s="1"/>
      <c r="GDH225" s="1"/>
      <c r="GDI225" s="1"/>
      <c r="GDJ225" s="1"/>
      <c r="GDK225" s="1"/>
      <c r="GDL225" s="1"/>
      <c r="GDM225" s="1"/>
      <c r="GDN225" s="1"/>
      <c r="GDO225" s="1"/>
      <c r="GDP225" s="1"/>
      <c r="GDQ225" s="1"/>
      <c r="GDR225" s="1"/>
      <c r="GDS225" s="1"/>
      <c r="GDT225" s="1"/>
      <c r="GDU225" s="1"/>
      <c r="GDV225" s="1"/>
      <c r="GDW225" s="1"/>
      <c r="GDX225" s="1"/>
      <c r="GDY225" s="1"/>
      <c r="GDZ225" s="1"/>
      <c r="GEA225" s="1"/>
      <c r="GEB225" s="1"/>
      <c r="GEC225" s="1"/>
      <c r="GED225" s="1"/>
      <c r="GEE225" s="1"/>
      <c r="GEF225" s="1"/>
      <c r="GEG225" s="1"/>
      <c r="GEH225" s="1"/>
      <c r="GEI225" s="1"/>
      <c r="GEJ225" s="1"/>
      <c r="GEK225" s="1"/>
      <c r="GEL225" s="1"/>
      <c r="GEM225" s="1"/>
      <c r="GEN225" s="1"/>
      <c r="GEO225" s="1"/>
      <c r="GEP225" s="1"/>
      <c r="GEQ225" s="1"/>
      <c r="GER225" s="1"/>
      <c r="GES225" s="1"/>
      <c r="GET225" s="1"/>
      <c r="GEU225" s="1"/>
      <c r="GEV225" s="1"/>
      <c r="GEW225" s="1"/>
      <c r="GEX225" s="1"/>
      <c r="GEY225" s="1"/>
      <c r="GEZ225" s="1"/>
      <c r="GFA225" s="1"/>
      <c r="GFB225" s="1"/>
      <c r="GFC225" s="1"/>
      <c r="GFD225" s="1"/>
      <c r="GFE225" s="1"/>
      <c r="GFF225" s="1"/>
      <c r="GFG225" s="1"/>
      <c r="GFH225" s="1"/>
      <c r="GFI225" s="1"/>
      <c r="GFJ225" s="1"/>
      <c r="GFK225" s="1"/>
      <c r="GFL225" s="1"/>
      <c r="GFM225" s="1"/>
      <c r="GFN225" s="1"/>
      <c r="GFO225" s="1"/>
      <c r="GFP225" s="1"/>
      <c r="GFQ225" s="1"/>
      <c r="GFR225" s="1"/>
      <c r="GFS225" s="1"/>
      <c r="GFT225" s="1"/>
      <c r="GFU225" s="1"/>
      <c r="GFV225" s="1"/>
      <c r="GFW225" s="1"/>
      <c r="GFX225" s="1"/>
      <c r="GFY225" s="1"/>
      <c r="GFZ225" s="1"/>
      <c r="GGA225" s="1"/>
      <c r="GGB225" s="1"/>
      <c r="GGC225" s="1"/>
      <c r="GGD225" s="1"/>
      <c r="GGE225" s="1"/>
      <c r="GGF225" s="1"/>
      <c r="GGG225" s="1"/>
      <c r="GGH225" s="1"/>
      <c r="GGI225" s="1"/>
      <c r="GGJ225" s="1"/>
      <c r="GGK225" s="1"/>
      <c r="GGL225" s="1"/>
      <c r="GGM225" s="1"/>
      <c r="GGN225" s="1"/>
      <c r="GGO225" s="1"/>
      <c r="GGP225" s="1"/>
      <c r="GGQ225" s="1"/>
      <c r="GGR225" s="1"/>
      <c r="GGS225" s="1"/>
      <c r="GGT225" s="1"/>
      <c r="GGU225" s="1"/>
      <c r="GGV225" s="1"/>
      <c r="GGW225" s="1"/>
      <c r="GGX225" s="1"/>
      <c r="GGY225" s="1"/>
      <c r="GGZ225" s="1"/>
      <c r="GHA225" s="1"/>
      <c r="GHB225" s="1"/>
      <c r="GHC225" s="1"/>
      <c r="GHD225" s="1"/>
      <c r="GHE225" s="1"/>
      <c r="GHF225" s="1"/>
      <c r="GHG225" s="1"/>
      <c r="GHH225" s="1"/>
      <c r="GHI225" s="1"/>
      <c r="GHJ225" s="1"/>
      <c r="GHK225" s="1"/>
      <c r="GHL225" s="1"/>
      <c r="GHM225" s="1"/>
      <c r="GHN225" s="1"/>
      <c r="GHO225" s="1"/>
      <c r="GHP225" s="1"/>
      <c r="GHQ225" s="1"/>
      <c r="GHR225" s="1"/>
      <c r="GHS225" s="1"/>
      <c r="GHT225" s="1"/>
      <c r="GHU225" s="1"/>
      <c r="GHV225" s="1"/>
      <c r="GHW225" s="1"/>
      <c r="GHX225" s="1"/>
      <c r="GHY225" s="1"/>
      <c r="GHZ225" s="1"/>
      <c r="GIA225" s="1"/>
      <c r="GIB225" s="1"/>
      <c r="GIC225" s="1"/>
      <c r="GID225" s="1"/>
      <c r="GIE225" s="1"/>
      <c r="GIF225" s="1"/>
      <c r="GIG225" s="1"/>
      <c r="GIH225" s="1"/>
      <c r="GII225" s="1"/>
      <c r="GIJ225" s="1"/>
      <c r="GIK225" s="1"/>
      <c r="GIL225" s="1"/>
      <c r="GIM225" s="1"/>
      <c r="GIN225" s="1"/>
      <c r="GIO225" s="1"/>
      <c r="GIP225" s="1"/>
      <c r="GIQ225" s="1"/>
      <c r="GIR225" s="1"/>
      <c r="GIS225" s="1"/>
      <c r="GIT225" s="1"/>
      <c r="GIU225" s="1"/>
      <c r="GIV225" s="1"/>
      <c r="GIW225" s="1"/>
      <c r="GIX225" s="1"/>
      <c r="GIY225" s="1"/>
      <c r="GIZ225" s="1"/>
      <c r="GJA225" s="1"/>
      <c r="GJB225" s="1"/>
      <c r="GJC225" s="1"/>
      <c r="GJD225" s="1"/>
      <c r="GJE225" s="1"/>
      <c r="GJF225" s="1"/>
      <c r="GJG225" s="1"/>
      <c r="GJH225" s="1"/>
      <c r="GJI225" s="1"/>
      <c r="GJJ225" s="1"/>
      <c r="GJK225" s="1"/>
      <c r="GJL225" s="1"/>
      <c r="GJM225" s="1"/>
      <c r="GJN225" s="1"/>
      <c r="GJO225" s="1"/>
      <c r="GJP225" s="1"/>
      <c r="GJQ225" s="1"/>
      <c r="GJR225" s="1"/>
      <c r="GJS225" s="1"/>
      <c r="GJT225" s="1"/>
      <c r="GJU225" s="1"/>
      <c r="GJV225" s="1"/>
      <c r="GJW225" s="1"/>
      <c r="GJX225" s="1"/>
      <c r="GJY225" s="1"/>
      <c r="GJZ225" s="1"/>
      <c r="GKA225" s="1"/>
      <c r="GKB225" s="1"/>
      <c r="GKC225" s="1"/>
      <c r="GKD225" s="1"/>
      <c r="GKE225" s="1"/>
      <c r="GKF225" s="1"/>
      <c r="GKG225" s="1"/>
      <c r="GKH225" s="1"/>
      <c r="GKI225" s="1"/>
      <c r="GKJ225" s="1"/>
      <c r="GKK225" s="1"/>
      <c r="GKL225" s="1"/>
      <c r="GKM225" s="1"/>
      <c r="GKN225" s="1"/>
      <c r="GKO225" s="1"/>
      <c r="GKP225" s="1"/>
      <c r="GKQ225" s="1"/>
      <c r="GKR225" s="1"/>
      <c r="GKS225" s="1"/>
      <c r="GKT225" s="1"/>
      <c r="GKU225" s="1"/>
      <c r="GKV225" s="1"/>
      <c r="GKW225" s="1"/>
      <c r="GKX225" s="1"/>
      <c r="GKY225" s="1"/>
      <c r="GKZ225" s="1"/>
      <c r="GLA225" s="1"/>
      <c r="GLB225" s="1"/>
      <c r="GLC225" s="1"/>
      <c r="GLD225" s="1"/>
      <c r="GLE225" s="1"/>
      <c r="GLF225" s="1"/>
      <c r="GLG225" s="1"/>
      <c r="GLH225" s="1"/>
      <c r="GLI225" s="1"/>
      <c r="GLJ225" s="1"/>
      <c r="GLK225" s="1"/>
      <c r="GLL225" s="1"/>
      <c r="GLM225" s="1"/>
      <c r="GLN225" s="1"/>
      <c r="GLO225" s="1"/>
      <c r="GLP225" s="1"/>
      <c r="GLQ225" s="1"/>
      <c r="GLR225" s="1"/>
      <c r="GLS225" s="1"/>
      <c r="GLT225" s="1"/>
      <c r="GLU225" s="1"/>
      <c r="GLV225" s="1"/>
      <c r="GLW225" s="1"/>
      <c r="GLX225" s="1"/>
      <c r="GLY225" s="1"/>
      <c r="GLZ225" s="1"/>
      <c r="GMA225" s="1"/>
      <c r="GMB225" s="1"/>
      <c r="GMC225" s="1"/>
      <c r="GMD225" s="1"/>
      <c r="GME225" s="1"/>
      <c r="GMF225" s="1"/>
      <c r="GMG225" s="1"/>
      <c r="GMH225" s="1"/>
      <c r="GMI225" s="1"/>
      <c r="GMJ225" s="1"/>
      <c r="GMK225" s="1"/>
      <c r="GML225" s="1"/>
      <c r="GMM225" s="1"/>
      <c r="GMN225" s="1"/>
      <c r="GMO225" s="1"/>
      <c r="GMP225" s="1"/>
      <c r="GMQ225" s="1"/>
      <c r="GMR225" s="1"/>
      <c r="GMS225" s="1"/>
      <c r="GMT225" s="1"/>
      <c r="GMU225" s="1"/>
      <c r="GMV225" s="1"/>
      <c r="GMW225" s="1"/>
      <c r="GMX225" s="1"/>
      <c r="GMY225" s="1"/>
      <c r="GMZ225" s="1"/>
      <c r="GNA225" s="1"/>
      <c r="GNB225" s="1"/>
      <c r="GNC225" s="1"/>
      <c r="GND225" s="1"/>
      <c r="GNE225" s="1"/>
      <c r="GNF225" s="1"/>
      <c r="GNG225" s="1"/>
      <c r="GNH225" s="1"/>
      <c r="GNI225" s="1"/>
      <c r="GNJ225" s="1"/>
      <c r="GNK225" s="1"/>
      <c r="GNL225" s="1"/>
      <c r="GNM225" s="1"/>
      <c r="GNN225" s="1"/>
      <c r="GNO225" s="1"/>
      <c r="GNP225" s="1"/>
      <c r="GNQ225" s="1"/>
      <c r="GNR225" s="1"/>
      <c r="GNS225" s="1"/>
      <c r="GNT225" s="1"/>
      <c r="GNU225" s="1"/>
      <c r="GNV225" s="1"/>
      <c r="GNW225" s="1"/>
      <c r="GNX225" s="1"/>
      <c r="GNY225" s="1"/>
      <c r="GNZ225" s="1"/>
      <c r="GOA225" s="1"/>
      <c r="GOB225" s="1"/>
      <c r="GOC225" s="1"/>
      <c r="GOD225" s="1"/>
      <c r="GOE225" s="1"/>
      <c r="GOF225" s="1"/>
      <c r="GOG225" s="1"/>
      <c r="GOH225" s="1"/>
      <c r="GOI225" s="1"/>
      <c r="GOJ225" s="1"/>
      <c r="GOK225" s="1"/>
      <c r="GOL225" s="1"/>
      <c r="GOM225" s="1"/>
      <c r="GON225" s="1"/>
      <c r="GOO225" s="1"/>
      <c r="GOP225" s="1"/>
      <c r="GOQ225" s="1"/>
      <c r="GOR225" s="1"/>
      <c r="GOS225" s="1"/>
      <c r="GOT225" s="1"/>
      <c r="GOU225" s="1"/>
      <c r="GOV225" s="1"/>
      <c r="GOW225" s="1"/>
      <c r="GOX225" s="1"/>
      <c r="GOY225" s="1"/>
      <c r="GOZ225" s="1"/>
      <c r="GPA225" s="1"/>
      <c r="GPB225" s="1"/>
      <c r="GPC225" s="1"/>
      <c r="GPD225" s="1"/>
      <c r="GPE225" s="1"/>
      <c r="GPF225" s="1"/>
      <c r="GPG225" s="1"/>
      <c r="GPH225" s="1"/>
      <c r="GPI225" s="1"/>
      <c r="GPJ225" s="1"/>
      <c r="GPK225" s="1"/>
      <c r="GPL225" s="1"/>
      <c r="GPM225" s="1"/>
      <c r="GPN225" s="1"/>
      <c r="GPO225" s="1"/>
      <c r="GPP225" s="1"/>
      <c r="GPQ225" s="1"/>
      <c r="GPR225" s="1"/>
      <c r="GPS225" s="1"/>
      <c r="GPT225" s="1"/>
      <c r="GPU225" s="1"/>
      <c r="GPV225" s="1"/>
      <c r="GPW225" s="1"/>
      <c r="GPX225" s="1"/>
      <c r="GPY225" s="1"/>
      <c r="GPZ225" s="1"/>
      <c r="GQA225" s="1"/>
      <c r="GQB225" s="1"/>
      <c r="GQC225" s="1"/>
      <c r="GQD225" s="1"/>
      <c r="GQE225" s="1"/>
      <c r="GQF225" s="1"/>
      <c r="GQG225" s="1"/>
      <c r="GQH225" s="1"/>
      <c r="GQI225" s="1"/>
      <c r="GQJ225" s="1"/>
      <c r="GQK225" s="1"/>
      <c r="GQL225" s="1"/>
      <c r="GQM225" s="1"/>
      <c r="GQN225" s="1"/>
      <c r="GQO225" s="1"/>
      <c r="GQP225" s="1"/>
      <c r="GQQ225" s="1"/>
      <c r="GQR225" s="1"/>
      <c r="GQS225" s="1"/>
      <c r="GQT225" s="1"/>
      <c r="GQU225" s="1"/>
      <c r="GQV225" s="1"/>
      <c r="GQW225" s="1"/>
      <c r="GQX225" s="1"/>
      <c r="GQY225" s="1"/>
      <c r="GQZ225" s="1"/>
      <c r="GRA225" s="1"/>
      <c r="GRB225" s="1"/>
      <c r="GRC225" s="1"/>
      <c r="GRD225" s="1"/>
      <c r="GRE225" s="1"/>
      <c r="GRF225" s="1"/>
      <c r="GRG225" s="1"/>
      <c r="GRH225" s="1"/>
      <c r="GRI225" s="1"/>
      <c r="GRJ225" s="1"/>
      <c r="GRK225" s="1"/>
      <c r="GRL225" s="1"/>
      <c r="GRM225" s="1"/>
      <c r="GRN225" s="1"/>
      <c r="GRO225" s="1"/>
      <c r="GRP225" s="1"/>
      <c r="GRQ225" s="1"/>
      <c r="GRR225" s="1"/>
      <c r="GRS225" s="1"/>
      <c r="GRT225" s="1"/>
      <c r="GRU225" s="1"/>
      <c r="GRV225" s="1"/>
      <c r="GRW225" s="1"/>
      <c r="GRX225" s="1"/>
      <c r="GRY225" s="1"/>
      <c r="GRZ225" s="1"/>
      <c r="GSA225" s="1"/>
      <c r="GSB225" s="1"/>
      <c r="GSC225" s="1"/>
      <c r="GSD225" s="1"/>
      <c r="GSE225" s="1"/>
      <c r="GSF225" s="1"/>
      <c r="GSG225" s="1"/>
      <c r="GSH225" s="1"/>
      <c r="GSI225" s="1"/>
      <c r="GSJ225" s="1"/>
      <c r="GSK225" s="1"/>
      <c r="GSL225" s="1"/>
      <c r="GSM225" s="1"/>
      <c r="GSN225" s="1"/>
      <c r="GSO225" s="1"/>
      <c r="GSP225" s="1"/>
      <c r="GSQ225" s="1"/>
      <c r="GSR225" s="1"/>
      <c r="GSS225" s="1"/>
      <c r="GST225" s="1"/>
      <c r="GSU225" s="1"/>
      <c r="GSV225" s="1"/>
      <c r="GSW225" s="1"/>
      <c r="GSX225" s="1"/>
      <c r="GSY225" s="1"/>
      <c r="GSZ225" s="1"/>
      <c r="GTA225" s="1"/>
      <c r="GTB225" s="1"/>
      <c r="GTC225" s="1"/>
      <c r="GTD225" s="1"/>
      <c r="GTE225" s="1"/>
      <c r="GTF225" s="1"/>
      <c r="GTG225" s="1"/>
      <c r="GTH225" s="1"/>
      <c r="GTI225" s="1"/>
      <c r="GTJ225" s="1"/>
      <c r="GTK225" s="1"/>
      <c r="GTL225" s="1"/>
      <c r="GTM225" s="1"/>
      <c r="GTN225" s="1"/>
      <c r="GTO225" s="1"/>
      <c r="GTP225" s="1"/>
      <c r="GTQ225" s="1"/>
      <c r="GTR225" s="1"/>
      <c r="GTS225" s="1"/>
      <c r="GTT225" s="1"/>
      <c r="GTU225" s="1"/>
      <c r="GTV225" s="1"/>
      <c r="GTW225" s="1"/>
      <c r="GTX225" s="1"/>
      <c r="GTY225" s="1"/>
      <c r="GTZ225" s="1"/>
      <c r="GUA225" s="1"/>
      <c r="GUB225" s="1"/>
      <c r="GUC225" s="1"/>
      <c r="GUD225" s="1"/>
      <c r="GUE225" s="1"/>
      <c r="GUF225" s="1"/>
      <c r="GUG225" s="1"/>
      <c r="GUH225" s="1"/>
      <c r="GUI225" s="1"/>
      <c r="GUJ225" s="1"/>
      <c r="GUK225" s="1"/>
      <c r="GUL225" s="1"/>
      <c r="GUM225" s="1"/>
      <c r="GUN225" s="1"/>
      <c r="GUO225" s="1"/>
      <c r="GUP225" s="1"/>
      <c r="GUQ225" s="1"/>
      <c r="GUR225" s="1"/>
      <c r="GUS225" s="1"/>
      <c r="GUT225" s="1"/>
      <c r="GUU225" s="1"/>
      <c r="GUV225" s="1"/>
      <c r="GUW225" s="1"/>
      <c r="GUX225" s="1"/>
      <c r="GUY225" s="1"/>
      <c r="GUZ225" s="1"/>
      <c r="GVA225" s="1"/>
      <c r="GVB225" s="1"/>
      <c r="GVC225" s="1"/>
      <c r="GVD225" s="1"/>
      <c r="GVE225" s="1"/>
      <c r="GVF225" s="1"/>
      <c r="GVG225" s="1"/>
      <c r="GVH225" s="1"/>
      <c r="GVI225" s="1"/>
      <c r="GVJ225" s="1"/>
      <c r="GVK225" s="1"/>
      <c r="GVL225" s="1"/>
      <c r="GVM225" s="1"/>
      <c r="GVN225" s="1"/>
      <c r="GVO225" s="1"/>
      <c r="GVP225" s="1"/>
      <c r="GVQ225" s="1"/>
      <c r="GVR225" s="1"/>
      <c r="GVS225" s="1"/>
      <c r="GVT225" s="1"/>
      <c r="GVU225" s="1"/>
      <c r="GVV225" s="1"/>
      <c r="GVW225" s="1"/>
      <c r="GVX225" s="1"/>
      <c r="GVY225" s="1"/>
      <c r="GVZ225" s="1"/>
      <c r="GWA225" s="1"/>
      <c r="GWB225" s="1"/>
      <c r="GWC225" s="1"/>
      <c r="GWD225" s="1"/>
      <c r="GWE225" s="1"/>
      <c r="GWF225" s="1"/>
      <c r="GWG225" s="1"/>
      <c r="GWH225" s="1"/>
      <c r="GWI225" s="1"/>
      <c r="GWJ225" s="1"/>
      <c r="GWK225" s="1"/>
      <c r="GWL225" s="1"/>
      <c r="GWM225" s="1"/>
      <c r="GWN225" s="1"/>
      <c r="GWO225" s="1"/>
      <c r="GWP225" s="1"/>
      <c r="GWQ225" s="1"/>
      <c r="GWR225" s="1"/>
      <c r="GWS225" s="1"/>
      <c r="GWT225" s="1"/>
      <c r="GWU225" s="1"/>
      <c r="GWV225" s="1"/>
      <c r="GWW225" s="1"/>
      <c r="GWX225" s="1"/>
      <c r="GWY225" s="1"/>
      <c r="GWZ225" s="1"/>
      <c r="GXA225" s="1"/>
      <c r="GXB225" s="1"/>
      <c r="GXC225" s="1"/>
      <c r="GXD225" s="1"/>
      <c r="GXE225" s="1"/>
      <c r="GXF225" s="1"/>
      <c r="GXG225" s="1"/>
      <c r="GXH225" s="1"/>
      <c r="GXI225" s="1"/>
      <c r="GXJ225" s="1"/>
      <c r="GXK225" s="1"/>
      <c r="GXL225" s="1"/>
      <c r="GXM225" s="1"/>
      <c r="GXN225" s="1"/>
      <c r="GXO225" s="1"/>
      <c r="GXP225" s="1"/>
      <c r="GXQ225" s="1"/>
      <c r="GXR225" s="1"/>
      <c r="GXS225" s="1"/>
      <c r="GXT225" s="1"/>
      <c r="GXU225" s="1"/>
      <c r="GXV225" s="1"/>
      <c r="GXW225" s="1"/>
      <c r="GXX225" s="1"/>
      <c r="GXY225" s="1"/>
      <c r="GXZ225" s="1"/>
      <c r="GYA225" s="1"/>
      <c r="GYB225" s="1"/>
      <c r="GYC225" s="1"/>
      <c r="GYD225" s="1"/>
      <c r="GYE225" s="1"/>
      <c r="GYF225" s="1"/>
      <c r="GYG225" s="1"/>
      <c r="GYH225" s="1"/>
      <c r="GYI225" s="1"/>
      <c r="GYJ225" s="1"/>
      <c r="GYK225" s="1"/>
      <c r="GYL225" s="1"/>
      <c r="GYM225" s="1"/>
      <c r="GYN225" s="1"/>
      <c r="GYO225" s="1"/>
      <c r="GYP225" s="1"/>
      <c r="GYQ225" s="1"/>
      <c r="GYR225" s="1"/>
      <c r="GYS225" s="1"/>
      <c r="GYT225" s="1"/>
      <c r="GYU225" s="1"/>
      <c r="GYV225" s="1"/>
      <c r="GYW225" s="1"/>
      <c r="GYX225" s="1"/>
      <c r="GYY225" s="1"/>
      <c r="GYZ225" s="1"/>
      <c r="GZA225" s="1"/>
      <c r="GZB225" s="1"/>
      <c r="GZC225" s="1"/>
      <c r="GZD225" s="1"/>
      <c r="GZE225" s="1"/>
      <c r="GZF225" s="1"/>
      <c r="GZG225" s="1"/>
      <c r="GZH225" s="1"/>
      <c r="GZI225" s="1"/>
      <c r="GZJ225" s="1"/>
      <c r="GZK225" s="1"/>
      <c r="GZL225" s="1"/>
      <c r="GZM225" s="1"/>
      <c r="GZN225" s="1"/>
      <c r="GZO225" s="1"/>
      <c r="GZP225" s="1"/>
      <c r="GZQ225" s="1"/>
      <c r="GZR225" s="1"/>
      <c r="GZS225" s="1"/>
      <c r="GZT225" s="1"/>
      <c r="GZU225" s="1"/>
      <c r="GZV225" s="1"/>
      <c r="GZW225" s="1"/>
      <c r="GZX225" s="1"/>
      <c r="GZY225" s="1"/>
      <c r="GZZ225" s="1"/>
      <c r="HAA225" s="1"/>
      <c r="HAB225" s="1"/>
      <c r="HAC225" s="1"/>
      <c r="HAD225" s="1"/>
      <c r="HAE225" s="1"/>
      <c r="HAF225" s="1"/>
      <c r="HAG225" s="1"/>
      <c r="HAH225" s="1"/>
      <c r="HAI225" s="1"/>
      <c r="HAJ225" s="1"/>
      <c r="HAK225" s="1"/>
      <c r="HAL225" s="1"/>
      <c r="HAM225" s="1"/>
      <c r="HAN225" s="1"/>
      <c r="HAO225" s="1"/>
      <c r="HAP225" s="1"/>
      <c r="HAQ225" s="1"/>
      <c r="HAR225" s="1"/>
      <c r="HAS225" s="1"/>
      <c r="HAT225" s="1"/>
      <c r="HAU225" s="1"/>
      <c r="HAV225" s="1"/>
      <c r="HAW225" s="1"/>
      <c r="HAX225" s="1"/>
      <c r="HAY225" s="1"/>
      <c r="HAZ225" s="1"/>
      <c r="HBA225" s="1"/>
      <c r="HBB225" s="1"/>
      <c r="HBC225" s="1"/>
      <c r="HBD225" s="1"/>
      <c r="HBE225" s="1"/>
      <c r="HBF225" s="1"/>
      <c r="HBG225" s="1"/>
      <c r="HBH225" s="1"/>
      <c r="HBI225" s="1"/>
      <c r="HBJ225" s="1"/>
      <c r="HBK225" s="1"/>
      <c r="HBL225" s="1"/>
      <c r="HBM225" s="1"/>
      <c r="HBN225" s="1"/>
      <c r="HBO225" s="1"/>
      <c r="HBP225" s="1"/>
      <c r="HBQ225" s="1"/>
      <c r="HBR225" s="1"/>
      <c r="HBS225" s="1"/>
      <c r="HBT225" s="1"/>
      <c r="HBU225" s="1"/>
      <c r="HBV225" s="1"/>
      <c r="HBW225" s="1"/>
      <c r="HBX225" s="1"/>
      <c r="HBY225" s="1"/>
      <c r="HBZ225" s="1"/>
      <c r="HCA225" s="1"/>
      <c r="HCB225" s="1"/>
      <c r="HCC225" s="1"/>
      <c r="HCD225" s="1"/>
      <c r="HCE225" s="1"/>
      <c r="HCF225" s="1"/>
      <c r="HCG225" s="1"/>
      <c r="HCH225" s="1"/>
      <c r="HCI225" s="1"/>
      <c r="HCJ225" s="1"/>
      <c r="HCK225" s="1"/>
      <c r="HCL225" s="1"/>
      <c r="HCM225" s="1"/>
      <c r="HCN225" s="1"/>
      <c r="HCO225" s="1"/>
      <c r="HCP225" s="1"/>
      <c r="HCQ225" s="1"/>
      <c r="HCR225" s="1"/>
      <c r="HCS225" s="1"/>
      <c r="HCT225" s="1"/>
      <c r="HCU225" s="1"/>
      <c r="HCV225" s="1"/>
      <c r="HCW225" s="1"/>
      <c r="HCX225" s="1"/>
      <c r="HCY225" s="1"/>
      <c r="HCZ225" s="1"/>
      <c r="HDA225" s="1"/>
      <c r="HDB225" s="1"/>
      <c r="HDC225" s="1"/>
      <c r="HDD225" s="1"/>
      <c r="HDE225" s="1"/>
      <c r="HDF225" s="1"/>
      <c r="HDG225" s="1"/>
      <c r="HDH225" s="1"/>
      <c r="HDI225" s="1"/>
      <c r="HDJ225" s="1"/>
      <c r="HDK225" s="1"/>
      <c r="HDL225" s="1"/>
      <c r="HDM225" s="1"/>
      <c r="HDN225" s="1"/>
      <c r="HDO225" s="1"/>
      <c r="HDP225" s="1"/>
      <c r="HDQ225" s="1"/>
      <c r="HDR225" s="1"/>
      <c r="HDS225" s="1"/>
      <c r="HDT225" s="1"/>
      <c r="HDU225" s="1"/>
      <c r="HDV225" s="1"/>
      <c r="HDW225" s="1"/>
      <c r="HDX225" s="1"/>
      <c r="HDY225" s="1"/>
      <c r="HDZ225" s="1"/>
      <c r="HEA225" s="1"/>
      <c r="HEB225" s="1"/>
      <c r="HEC225" s="1"/>
      <c r="HED225" s="1"/>
      <c r="HEE225" s="1"/>
      <c r="HEF225" s="1"/>
      <c r="HEG225" s="1"/>
      <c r="HEH225" s="1"/>
      <c r="HEI225" s="1"/>
      <c r="HEJ225" s="1"/>
      <c r="HEK225" s="1"/>
      <c r="HEL225" s="1"/>
      <c r="HEM225" s="1"/>
      <c r="HEN225" s="1"/>
      <c r="HEO225" s="1"/>
      <c r="HEP225" s="1"/>
      <c r="HEQ225" s="1"/>
      <c r="HER225" s="1"/>
      <c r="HES225" s="1"/>
      <c r="HET225" s="1"/>
      <c r="HEU225" s="1"/>
      <c r="HEV225" s="1"/>
      <c r="HEW225" s="1"/>
      <c r="HEX225" s="1"/>
      <c r="HEY225" s="1"/>
      <c r="HEZ225" s="1"/>
      <c r="HFA225" s="1"/>
      <c r="HFB225" s="1"/>
      <c r="HFC225" s="1"/>
      <c r="HFD225" s="1"/>
      <c r="HFE225" s="1"/>
      <c r="HFF225" s="1"/>
      <c r="HFG225" s="1"/>
      <c r="HFH225" s="1"/>
      <c r="HFI225" s="1"/>
      <c r="HFJ225" s="1"/>
      <c r="HFK225" s="1"/>
      <c r="HFL225" s="1"/>
      <c r="HFM225" s="1"/>
      <c r="HFN225" s="1"/>
      <c r="HFO225" s="1"/>
      <c r="HFP225" s="1"/>
      <c r="HFQ225" s="1"/>
      <c r="HFR225" s="1"/>
      <c r="HFS225" s="1"/>
      <c r="HFT225" s="1"/>
      <c r="HFU225" s="1"/>
      <c r="HFV225" s="1"/>
      <c r="HFW225" s="1"/>
      <c r="HFX225" s="1"/>
      <c r="HFY225" s="1"/>
      <c r="HFZ225" s="1"/>
      <c r="HGA225" s="1"/>
      <c r="HGB225" s="1"/>
      <c r="HGC225" s="1"/>
      <c r="HGD225" s="1"/>
      <c r="HGE225" s="1"/>
      <c r="HGF225" s="1"/>
      <c r="HGG225" s="1"/>
      <c r="HGH225" s="1"/>
      <c r="HGI225" s="1"/>
      <c r="HGJ225" s="1"/>
      <c r="HGK225" s="1"/>
      <c r="HGL225" s="1"/>
      <c r="HGM225" s="1"/>
      <c r="HGN225" s="1"/>
      <c r="HGO225" s="1"/>
      <c r="HGP225" s="1"/>
      <c r="HGQ225" s="1"/>
      <c r="HGR225" s="1"/>
      <c r="HGS225" s="1"/>
      <c r="HGT225" s="1"/>
      <c r="HGU225" s="1"/>
      <c r="HGV225" s="1"/>
      <c r="HGW225" s="1"/>
      <c r="HGX225" s="1"/>
      <c r="HGY225" s="1"/>
      <c r="HGZ225" s="1"/>
      <c r="HHA225" s="1"/>
      <c r="HHB225" s="1"/>
      <c r="HHC225" s="1"/>
      <c r="HHD225" s="1"/>
      <c r="HHE225" s="1"/>
      <c r="HHF225" s="1"/>
      <c r="HHG225" s="1"/>
      <c r="HHH225" s="1"/>
      <c r="HHI225" s="1"/>
      <c r="HHJ225" s="1"/>
      <c r="HHK225" s="1"/>
      <c r="HHL225" s="1"/>
      <c r="HHM225" s="1"/>
      <c r="HHN225" s="1"/>
      <c r="HHO225" s="1"/>
      <c r="HHP225" s="1"/>
      <c r="HHQ225" s="1"/>
      <c r="HHR225" s="1"/>
      <c r="HHS225" s="1"/>
      <c r="HHT225" s="1"/>
      <c r="HHU225" s="1"/>
      <c r="HHV225" s="1"/>
      <c r="HHW225" s="1"/>
      <c r="HHX225" s="1"/>
      <c r="HHY225" s="1"/>
      <c r="HHZ225" s="1"/>
      <c r="HIA225" s="1"/>
      <c r="HIB225" s="1"/>
      <c r="HIC225" s="1"/>
      <c r="HID225" s="1"/>
      <c r="HIE225" s="1"/>
      <c r="HIF225" s="1"/>
      <c r="HIG225" s="1"/>
      <c r="HIH225" s="1"/>
      <c r="HII225" s="1"/>
      <c r="HIJ225" s="1"/>
      <c r="HIK225" s="1"/>
      <c r="HIL225" s="1"/>
      <c r="HIM225" s="1"/>
      <c r="HIN225" s="1"/>
      <c r="HIO225" s="1"/>
      <c r="HIP225" s="1"/>
      <c r="HIQ225" s="1"/>
      <c r="HIR225" s="1"/>
      <c r="HIS225" s="1"/>
      <c r="HIT225" s="1"/>
      <c r="HIU225" s="1"/>
      <c r="HIV225" s="1"/>
      <c r="HIW225" s="1"/>
      <c r="HIX225" s="1"/>
      <c r="HIY225" s="1"/>
      <c r="HIZ225" s="1"/>
      <c r="HJA225" s="1"/>
      <c r="HJB225" s="1"/>
      <c r="HJC225" s="1"/>
      <c r="HJD225" s="1"/>
      <c r="HJE225" s="1"/>
      <c r="HJF225" s="1"/>
      <c r="HJG225" s="1"/>
      <c r="HJH225" s="1"/>
      <c r="HJI225" s="1"/>
      <c r="HJJ225" s="1"/>
      <c r="HJK225" s="1"/>
      <c r="HJL225" s="1"/>
      <c r="HJM225" s="1"/>
      <c r="HJN225" s="1"/>
      <c r="HJO225" s="1"/>
      <c r="HJP225" s="1"/>
      <c r="HJQ225" s="1"/>
      <c r="HJR225" s="1"/>
      <c r="HJS225" s="1"/>
      <c r="HJT225" s="1"/>
      <c r="HJU225" s="1"/>
      <c r="HJV225" s="1"/>
      <c r="HJW225" s="1"/>
      <c r="HJX225" s="1"/>
      <c r="HJY225" s="1"/>
      <c r="HJZ225" s="1"/>
      <c r="HKA225" s="1"/>
      <c r="HKB225" s="1"/>
      <c r="HKC225" s="1"/>
      <c r="HKD225" s="1"/>
      <c r="HKE225" s="1"/>
      <c r="HKF225" s="1"/>
      <c r="HKG225" s="1"/>
      <c r="HKH225" s="1"/>
      <c r="HKI225" s="1"/>
      <c r="HKJ225" s="1"/>
      <c r="HKK225" s="1"/>
      <c r="HKL225" s="1"/>
      <c r="HKM225" s="1"/>
      <c r="HKN225" s="1"/>
      <c r="HKO225" s="1"/>
      <c r="HKP225" s="1"/>
      <c r="HKQ225" s="1"/>
      <c r="HKR225" s="1"/>
      <c r="HKS225" s="1"/>
      <c r="HKT225" s="1"/>
      <c r="HKU225" s="1"/>
      <c r="HKV225" s="1"/>
      <c r="HKW225" s="1"/>
      <c r="HKX225" s="1"/>
      <c r="HKY225" s="1"/>
      <c r="HKZ225" s="1"/>
      <c r="HLA225" s="1"/>
      <c r="HLB225" s="1"/>
      <c r="HLC225" s="1"/>
      <c r="HLD225" s="1"/>
      <c r="HLE225" s="1"/>
      <c r="HLF225" s="1"/>
      <c r="HLG225" s="1"/>
      <c r="HLH225" s="1"/>
      <c r="HLI225" s="1"/>
      <c r="HLJ225" s="1"/>
      <c r="HLK225" s="1"/>
      <c r="HLL225" s="1"/>
      <c r="HLM225" s="1"/>
      <c r="HLN225" s="1"/>
      <c r="HLO225" s="1"/>
      <c r="HLP225" s="1"/>
      <c r="HLQ225" s="1"/>
      <c r="HLR225" s="1"/>
      <c r="HLS225" s="1"/>
      <c r="HLT225" s="1"/>
      <c r="HLU225" s="1"/>
      <c r="HLV225" s="1"/>
      <c r="HLW225" s="1"/>
      <c r="HLX225" s="1"/>
      <c r="HLY225" s="1"/>
      <c r="HLZ225" s="1"/>
      <c r="HMA225" s="1"/>
      <c r="HMB225" s="1"/>
      <c r="HMC225" s="1"/>
      <c r="HMD225" s="1"/>
      <c r="HME225" s="1"/>
      <c r="HMF225" s="1"/>
      <c r="HMG225" s="1"/>
      <c r="HMH225" s="1"/>
      <c r="HMI225" s="1"/>
      <c r="HMJ225" s="1"/>
      <c r="HMK225" s="1"/>
      <c r="HML225" s="1"/>
      <c r="HMM225" s="1"/>
      <c r="HMN225" s="1"/>
      <c r="HMO225" s="1"/>
      <c r="HMP225" s="1"/>
      <c r="HMQ225" s="1"/>
      <c r="HMR225" s="1"/>
      <c r="HMS225" s="1"/>
      <c r="HMT225" s="1"/>
      <c r="HMU225" s="1"/>
      <c r="HMV225" s="1"/>
      <c r="HMW225" s="1"/>
      <c r="HMX225" s="1"/>
      <c r="HMY225" s="1"/>
      <c r="HMZ225" s="1"/>
      <c r="HNA225" s="1"/>
      <c r="HNB225" s="1"/>
      <c r="HNC225" s="1"/>
      <c r="HND225" s="1"/>
      <c r="HNE225" s="1"/>
      <c r="HNF225" s="1"/>
      <c r="HNG225" s="1"/>
      <c r="HNH225" s="1"/>
      <c r="HNI225" s="1"/>
      <c r="HNJ225" s="1"/>
      <c r="HNK225" s="1"/>
      <c r="HNL225" s="1"/>
      <c r="HNM225" s="1"/>
      <c r="HNN225" s="1"/>
      <c r="HNO225" s="1"/>
      <c r="HNP225" s="1"/>
      <c r="HNQ225" s="1"/>
      <c r="HNR225" s="1"/>
      <c r="HNS225" s="1"/>
      <c r="HNT225" s="1"/>
      <c r="HNU225" s="1"/>
      <c r="HNV225" s="1"/>
      <c r="HNW225" s="1"/>
      <c r="HNX225" s="1"/>
      <c r="HNY225" s="1"/>
      <c r="HNZ225" s="1"/>
      <c r="HOA225" s="1"/>
      <c r="HOB225" s="1"/>
      <c r="HOC225" s="1"/>
      <c r="HOD225" s="1"/>
      <c r="HOE225" s="1"/>
      <c r="HOF225" s="1"/>
      <c r="HOG225" s="1"/>
      <c r="HOH225" s="1"/>
      <c r="HOI225" s="1"/>
      <c r="HOJ225" s="1"/>
      <c r="HOK225" s="1"/>
      <c r="HOL225" s="1"/>
      <c r="HOM225" s="1"/>
      <c r="HON225" s="1"/>
      <c r="HOO225" s="1"/>
      <c r="HOP225" s="1"/>
      <c r="HOQ225" s="1"/>
      <c r="HOR225" s="1"/>
      <c r="HOS225" s="1"/>
      <c r="HOT225" s="1"/>
      <c r="HOU225" s="1"/>
      <c r="HOV225" s="1"/>
      <c r="HOW225" s="1"/>
      <c r="HOX225" s="1"/>
      <c r="HOY225" s="1"/>
      <c r="HOZ225" s="1"/>
      <c r="HPA225" s="1"/>
      <c r="HPB225" s="1"/>
      <c r="HPC225" s="1"/>
      <c r="HPD225" s="1"/>
      <c r="HPE225" s="1"/>
      <c r="HPF225" s="1"/>
      <c r="HPG225" s="1"/>
      <c r="HPH225" s="1"/>
      <c r="HPI225" s="1"/>
      <c r="HPJ225" s="1"/>
      <c r="HPK225" s="1"/>
      <c r="HPL225" s="1"/>
      <c r="HPM225" s="1"/>
      <c r="HPN225" s="1"/>
      <c r="HPO225" s="1"/>
      <c r="HPP225" s="1"/>
      <c r="HPQ225" s="1"/>
      <c r="HPR225" s="1"/>
      <c r="HPS225" s="1"/>
      <c r="HPT225" s="1"/>
      <c r="HPU225" s="1"/>
      <c r="HPV225" s="1"/>
      <c r="HPW225" s="1"/>
      <c r="HPX225" s="1"/>
      <c r="HPY225" s="1"/>
      <c r="HPZ225" s="1"/>
      <c r="HQA225" s="1"/>
      <c r="HQB225" s="1"/>
      <c r="HQC225" s="1"/>
      <c r="HQD225" s="1"/>
      <c r="HQE225" s="1"/>
      <c r="HQF225" s="1"/>
      <c r="HQG225" s="1"/>
      <c r="HQH225" s="1"/>
      <c r="HQI225" s="1"/>
      <c r="HQJ225" s="1"/>
      <c r="HQK225" s="1"/>
      <c r="HQL225" s="1"/>
      <c r="HQM225" s="1"/>
      <c r="HQN225" s="1"/>
      <c r="HQO225" s="1"/>
      <c r="HQP225" s="1"/>
      <c r="HQQ225" s="1"/>
      <c r="HQR225" s="1"/>
      <c r="HQS225" s="1"/>
      <c r="HQT225" s="1"/>
      <c r="HQU225" s="1"/>
      <c r="HQV225" s="1"/>
      <c r="HQW225" s="1"/>
      <c r="HQX225" s="1"/>
      <c r="HQY225" s="1"/>
      <c r="HQZ225" s="1"/>
      <c r="HRA225" s="1"/>
      <c r="HRB225" s="1"/>
      <c r="HRC225" s="1"/>
      <c r="HRD225" s="1"/>
      <c r="HRE225" s="1"/>
      <c r="HRF225" s="1"/>
      <c r="HRG225" s="1"/>
      <c r="HRH225" s="1"/>
      <c r="HRI225" s="1"/>
      <c r="HRJ225" s="1"/>
      <c r="HRK225" s="1"/>
      <c r="HRL225" s="1"/>
      <c r="HRM225" s="1"/>
      <c r="HRN225" s="1"/>
      <c r="HRO225" s="1"/>
      <c r="HRP225" s="1"/>
      <c r="HRQ225" s="1"/>
      <c r="HRR225" s="1"/>
      <c r="HRS225" s="1"/>
      <c r="HRT225" s="1"/>
      <c r="HRU225" s="1"/>
      <c r="HRV225" s="1"/>
      <c r="HRW225" s="1"/>
      <c r="HRX225" s="1"/>
      <c r="HRY225" s="1"/>
      <c r="HRZ225" s="1"/>
      <c r="HSA225" s="1"/>
      <c r="HSB225" s="1"/>
      <c r="HSC225" s="1"/>
      <c r="HSD225" s="1"/>
      <c r="HSE225" s="1"/>
      <c r="HSF225" s="1"/>
      <c r="HSG225" s="1"/>
      <c r="HSH225" s="1"/>
      <c r="HSI225" s="1"/>
      <c r="HSJ225" s="1"/>
      <c r="HSK225" s="1"/>
      <c r="HSL225" s="1"/>
      <c r="HSM225" s="1"/>
      <c r="HSN225" s="1"/>
      <c r="HSO225" s="1"/>
      <c r="HSP225" s="1"/>
      <c r="HSQ225" s="1"/>
      <c r="HSR225" s="1"/>
      <c r="HSS225" s="1"/>
      <c r="HST225" s="1"/>
      <c r="HSU225" s="1"/>
      <c r="HSV225" s="1"/>
      <c r="HSW225" s="1"/>
      <c r="HSX225" s="1"/>
      <c r="HSY225" s="1"/>
      <c r="HSZ225" s="1"/>
      <c r="HTA225" s="1"/>
      <c r="HTB225" s="1"/>
      <c r="HTC225" s="1"/>
      <c r="HTD225" s="1"/>
      <c r="HTE225" s="1"/>
      <c r="HTF225" s="1"/>
      <c r="HTG225" s="1"/>
      <c r="HTH225" s="1"/>
      <c r="HTI225" s="1"/>
      <c r="HTJ225" s="1"/>
      <c r="HTK225" s="1"/>
      <c r="HTL225" s="1"/>
      <c r="HTM225" s="1"/>
      <c r="HTN225" s="1"/>
      <c r="HTO225" s="1"/>
      <c r="HTP225" s="1"/>
      <c r="HTQ225" s="1"/>
      <c r="HTR225" s="1"/>
      <c r="HTS225" s="1"/>
      <c r="HTT225" s="1"/>
      <c r="HTU225" s="1"/>
      <c r="HTV225" s="1"/>
      <c r="HTW225" s="1"/>
      <c r="HTX225" s="1"/>
      <c r="HTY225" s="1"/>
      <c r="HTZ225" s="1"/>
      <c r="HUA225" s="1"/>
      <c r="HUB225" s="1"/>
      <c r="HUC225" s="1"/>
      <c r="HUD225" s="1"/>
      <c r="HUE225" s="1"/>
      <c r="HUF225" s="1"/>
      <c r="HUG225" s="1"/>
      <c r="HUH225" s="1"/>
      <c r="HUI225" s="1"/>
      <c r="HUJ225" s="1"/>
      <c r="HUK225" s="1"/>
      <c r="HUL225" s="1"/>
      <c r="HUM225" s="1"/>
      <c r="HUN225" s="1"/>
      <c r="HUO225" s="1"/>
      <c r="HUP225" s="1"/>
      <c r="HUQ225" s="1"/>
      <c r="HUR225" s="1"/>
      <c r="HUS225" s="1"/>
      <c r="HUT225" s="1"/>
      <c r="HUU225" s="1"/>
      <c r="HUV225" s="1"/>
      <c r="HUW225" s="1"/>
      <c r="HUX225" s="1"/>
      <c r="HUY225" s="1"/>
      <c r="HUZ225" s="1"/>
      <c r="HVA225" s="1"/>
      <c r="HVB225" s="1"/>
      <c r="HVC225" s="1"/>
      <c r="HVD225" s="1"/>
      <c r="HVE225" s="1"/>
      <c r="HVF225" s="1"/>
      <c r="HVG225" s="1"/>
      <c r="HVH225" s="1"/>
      <c r="HVI225" s="1"/>
      <c r="HVJ225" s="1"/>
      <c r="HVK225" s="1"/>
      <c r="HVL225" s="1"/>
      <c r="HVM225" s="1"/>
      <c r="HVN225" s="1"/>
      <c r="HVO225" s="1"/>
      <c r="HVP225" s="1"/>
      <c r="HVQ225" s="1"/>
      <c r="HVR225" s="1"/>
      <c r="HVS225" s="1"/>
      <c r="HVT225" s="1"/>
      <c r="HVU225" s="1"/>
      <c r="HVV225" s="1"/>
      <c r="HVW225" s="1"/>
      <c r="HVX225" s="1"/>
      <c r="HVY225" s="1"/>
      <c r="HVZ225" s="1"/>
      <c r="HWA225" s="1"/>
      <c r="HWB225" s="1"/>
      <c r="HWC225" s="1"/>
      <c r="HWD225" s="1"/>
      <c r="HWE225" s="1"/>
      <c r="HWF225" s="1"/>
      <c r="HWG225" s="1"/>
      <c r="HWH225" s="1"/>
      <c r="HWI225" s="1"/>
      <c r="HWJ225" s="1"/>
      <c r="HWK225" s="1"/>
      <c r="HWL225" s="1"/>
      <c r="HWM225" s="1"/>
      <c r="HWN225" s="1"/>
      <c r="HWO225" s="1"/>
      <c r="HWP225" s="1"/>
      <c r="HWQ225" s="1"/>
      <c r="HWR225" s="1"/>
      <c r="HWS225" s="1"/>
      <c r="HWT225" s="1"/>
      <c r="HWU225" s="1"/>
      <c r="HWV225" s="1"/>
      <c r="HWW225" s="1"/>
      <c r="HWX225" s="1"/>
      <c r="HWY225" s="1"/>
      <c r="HWZ225" s="1"/>
      <c r="HXA225" s="1"/>
      <c r="HXB225" s="1"/>
      <c r="HXC225" s="1"/>
      <c r="HXD225" s="1"/>
      <c r="HXE225" s="1"/>
      <c r="HXF225" s="1"/>
      <c r="HXG225" s="1"/>
      <c r="HXH225" s="1"/>
      <c r="HXI225" s="1"/>
      <c r="HXJ225" s="1"/>
      <c r="HXK225" s="1"/>
      <c r="HXL225" s="1"/>
      <c r="HXM225" s="1"/>
      <c r="HXN225" s="1"/>
      <c r="HXO225" s="1"/>
      <c r="HXP225" s="1"/>
      <c r="HXQ225" s="1"/>
      <c r="HXR225" s="1"/>
      <c r="HXS225" s="1"/>
      <c r="HXT225" s="1"/>
      <c r="HXU225" s="1"/>
      <c r="HXV225" s="1"/>
      <c r="HXW225" s="1"/>
      <c r="HXX225" s="1"/>
      <c r="HXY225" s="1"/>
      <c r="HXZ225" s="1"/>
      <c r="HYA225" s="1"/>
      <c r="HYB225" s="1"/>
      <c r="HYC225" s="1"/>
      <c r="HYD225" s="1"/>
      <c r="HYE225" s="1"/>
      <c r="HYF225" s="1"/>
      <c r="HYG225" s="1"/>
      <c r="HYH225" s="1"/>
      <c r="HYI225" s="1"/>
      <c r="HYJ225" s="1"/>
      <c r="HYK225" s="1"/>
      <c r="HYL225" s="1"/>
      <c r="HYM225" s="1"/>
      <c r="HYN225" s="1"/>
      <c r="HYO225" s="1"/>
      <c r="HYP225" s="1"/>
      <c r="HYQ225" s="1"/>
      <c r="HYR225" s="1"/>
      <c r="HYS225" s="1"/>
      <c r="HYT225" s="1"/>
      <c r="HYU225" s="1"/>
      <c r="HYV225" s="1"/>
      <c r="HYW225" s="1"/>
      <c r="HYX225" s="1"/>
      <c r="HYY225" s="1"/>
      <c r="HYZ225" s="1"/>
      <c r="HZA225" s="1"/>
      <c r="HZB225" s="1"/>
      <c r="HZC225" s="1"/>
      <c r="HZD225" s="1"/>
      <c r="HZE225" s="1"/>
      <c r="HZF225" s="1"/>
      <c r="HZG225" s="1"/>
      <c r="HZH225" s="1"/>
      <c r="HZI225" s="1"/>
      <c r="HZJ225" s="1"/>
      <c r="HZK225" s="1"/>
      <c r="HZL225" s="1"/>
      <c r="HZM225" s="1"/>
      <c r="HZN225" s="1"/>
      <c r="HZO225" s="1"/>
      <c r="HZP225" s="1"/>
      <c r="HZQ225" s="1"/>
      <c r="HZR225" s="1"/>
      <c r="HZS225" s="1"/>
      <c r="HZT225" s="1"/>
      <c r="HZU225" s="1"/>
      <c r="HZV225" s="1"/>
      <c r="HZW225" s="1"/>
      <c r="HZX225" s="1"/>
      <c r="HZY225" s="1"/>
      <c r="HZZ225" s="1"/>
      <c r="IAA225" s="1"/>
      <c r="IAB225" s="1"/>
      <c r="IAC225" s="1"/>
      <c r="IAD225" s="1"/>
      <c r="IAE225" s="1"/>
      <c r="IAF225" s="1"/>
      <c r="IAG225" s="1"/>
      <c r="IAH225" s="1"/>
      <c r="IAI225" s="1"/>
      <c r="IAJ225" s="1"/>
      <c r="IAK225" s="1"/>
      <c r="IAL225" s="1"/>
      <c r="IAM225" s="1"/>
      <c r="IAN225" s="1"/>
      <c r="IAO225" s="1"/>
      <c r="IAP225" s="1"/>
      <c r="IAQ225" s="1"/>
      <c r="IAR225" s="1"/>
      <c r="IAS225" s="1"/>
      <c r="IAT225" s="1"/>
      <c r="IAU225" s="1"/>
      <c r="IAV225" s="1"/>
      <c r="IAW225" s="1"/>
      <c r="IAX225" s="1"/>
      <c r="IAY225" s="1"/>
      <c r="IAZ225" s="1"/>
      <c r="IBA225" s="1"/>
      <c r="IBB225" s="1"/>
      <c r="IBC225" s="1"/>
      <c r="IBD225" s="1"/>
      <c r="IBE225" s="1"/>
      <c r="IBF225" s="1"/>
      <c r="IBG225" s="1"/>
      <c r="IBH225" s="1"/>
      <c r="IBI225" s="1"/>
      <c r="IBJ225" s="1"/>
      <c r="IBK225" s="1"/>
      <c r="IBL225" s="1"/>
      <c r="IBM225" s="1"/>
      <c r="IBN225" s="1"/>
      <c r="IBO225" s="1"/>
      <c r="IBP225" s="1"/>
      <c r="IBQ225" s="1"/>
      <c r="IBR225" s="1"/>
      <c r="IBS225" s="1"/>
      <c r="IBT225" s="1"/>
      <c r="IBU225" s="1"/>
      <c r="IBV225" s="1"/>
      <c r="IBW225" s="1"/>
      <c r="IBX225" s="1"/>
      <c r="IBY225" s="1"/>
      <c r="IBZ225" s="1"/>
      <c r="ICA225" s="1"/>
      <c r="ICB225" s="1"/>
      <c r="ICC225" s="1"/>
      <c r="ICD225" s="1"/>
      <c r="ICE225" s="1"/>
      <c r="ICF225" s="1"/>
      <c r="ICG225" s="1"/>
      <c r="ICH225" s="1"/>
      <c r="ICI225" s="1"/>
      <c r="ICJ225" s="1"/>
      <c r="ICK225" s="1"/>
      <c r="ICL225" s="1"/>
      <c r="ICM225" s="1"/>
      <c r="ICN225" s="1"/>
      <c r="ICO225" s="1"/>
      <c r="ICP225" s="1"/>
      <c r="ICQ225" s="1"/>
      <c r="ICR225" s="1"/>
      <c r="ICS225" s="1"/>
      <c r="ICT225" s="1"/>
      <c r="ICU225" s="1"/>
      <c r="ICV225" s="1"/>
      <c r="ICW225" s="1"/>
      <c r="ICX225" s="1"/>
      <c r="ICY225" s="1"/>
      <c r="ICZ225" s="1"/>
      <c r="IDA225" s="1"/>
      <c r="IDB225" s="1"/>
      <c r="IDC225" s="1"/>
      <c r="IDD225" s="1"/>
      <c r="IDE225" s="1"/>
      <c r="IDF225" s="1"/>
      <c r="IDG225" s="1"/>
      <c r="IDH225" s="1"/>
      <c r="IDI225" s="1"/>
      <c r="IDJ225" s="1"/>
      <c r="IDK225" s="1"/>
      <c r="IDL225" s="1"/>
      <c r="IDM225" s="1"/>
      <c r="IDN225" s="1"/>
      <c r="IDO225" s="1"/>
      <c r="IDP225" s="1"/>
      <c r="IDQ225" s="1"/>
      <c r="IDR225" s="1"/>
      <c r="IDS225" s="1"/>
      <c r="IDT225" s="1"/>
      <c r="IDU225" s="1"/>
      <c r="IDV225" s="1"/>
      <c r="IDW225" s="1"/>
      <c r="IDX225" s="1"/>
      <c r="IDY225" s="1"/>
      <c r="IDZ225" s="1"/>
      <c r="IEA225" s="1"/>
      <c r="IEB225" s="1"/>
      <c r="IEC225" s="1"/>
      <c r="IED225" s="1"/>
      <c r="IEE225" s="1"/>
      <c r="IEF225" s="1"/>
      <c r="IEG225" s="1"/>
      <c r="IEH225" s="1"/>
      <c r="IEI225" s="1"/>
      <c r="IEJ225" s="1"/>
      <c r="IEK225" s="1"/>
      <c r="IEL225" s="1"/>
      <c r="IEM225" s="1"/>
      <c r="IEN225" s="1"/>
      <c r="IEO225" s="1"/>
      <c r="IEP225" s="1"/>
      <c r="IEQ225" s="1"/>
      <c r="IER225" s="1"/>
      <c r="IES225" s="1"/>
      <c r="IET225" s="1"/>
      <c r="IEU225" s="1"/>
      <c r="IEV225" s="1"/>
      <c r="IEW225" s="1"/>
      <c r="IEX225" s="1"/>
      <c r="IEY225" s="1"/>
      <c r="IEZ225" s="1"/>
      <c r="IFA225" s="1"/>
      <c r="IFB225" s="1"/>
      <c r="IFC225" s="1"/>
      <c r="IFD225" s="1"/>
      <c r="IFE225" s="1"/>
      <c r="IFF225" s="1"/>
      <c r="IFG225" s="1"/>
      <c r="IFH225" s="1"/>
      <c r="IFI225" s="1"/>
      <c r="IFJ225" s="1"/>
      <c r="IFK225" s="1"/>
      <c r="IFL225" s="1"/>
      <c r="IFM225" s="1"/>
      <c r="IFN225" s="1"/>
      <c r="IFO225" s="1"/>
      <c r="IFP225" s="1"/>
      <c r="IFQ225" s="1"/>
      <c r="IFR225" s="1"/>
      <c r="IFS225" s="1"/>
      <c r="IFT225" s="1"/>
      <c r="IFU225" s="1"/>
      <c r="IFV225" s="1"/>
      <c r="IFW225" s="1"/>
      <c r="IFX225" s="1"/>
      <c r="IFY225" s="1"/>
      <c r="IFZ225" s="1"/>
      <c r="IGA225" s="1"/>
      <c r="IGB225" s="1"/>
      <c r="IGC225" s="1"/>
      <c r="IGD225" s="1"/>
      <c r="IGE225" s="1"/>
      <c r="IGF225" s="1"/>
      <c r="IGG225" s="1"/>
      <c r="IGH225" s="1"/>
      <c r="IGI225" s="1"/>
      <c r="IGJ225" s="1"/>
      <c r="IGK225" s="1"/>
      <c r="IGL225" s="1"/>
      <c r="IGM225" s="1"/>
      <c r="IGN225" s="1"/>
      <c r="IGO225" s="1"/>
      <c r="IGP225" s="1"/>
      <c r="IGQ225" s="1"/>
      <c r="IGR225" s="1"/>
      <c r="IGS225" s="1"/>
      <c r="IGT225" s="1"/>
      <c r="IGU225" s="1"/>
      <c r="IGV225" s="1"/>
      <c r="IGW225" s="1"/>
      <c r="IGX225" s="1"/>
      <c r="IGY225" s="1"/>
      <c r="IGZ225" s="1"/>
      <c r="IHA225" s="1"/>
      <c r="IHB225" s="1"/>
      <c r="IHC225" s="1"/>
      <c r="IHD225" s="1"/>
      <c r="IHE225" s="1"/>
      <c r="IHF225" s="1"/>
      <c r="IHG225" s="1"/>
      <c r="IHH225" s="1"/>
      <c r="IHI225" s="1"/>
      <c r="IHJ225" s="1"/>
      <c r="IHK225" s="1"/>
      <c r="IHL225" s="1"/>
      <c r="IHM225" s="1"/>
      <c r="IHN225" s="1"/>
      <c r="IHO225" s="1"/>
      <c r="IHP225" s="1"/>
      <c r="IHQ225" s="1"/>
      <c r="IHR225" s="1"/>
      <c r="IHS225" s="1"/>
      <c r="IHT225" s="1"/>
      <c r="IHU225" s="1"/>
      <c r="IHV225" s="1"/>
      <c r="IHW225" s="1"/>
      <c r="IHX225" s="1"/>
      <c r="IHY225" s="1"/>
      <c r="IHZ225" s="1"/>
      <c r="IIA225" s="1"/>
      <c r="IIB225" s="1"/>
      <c r="IIC225" s="1"/>
      <c r="IID225" s="1"/>
      <c r="IIE225" s="1"/>
      <c r="IIF225" s="1"/>
      <c r="IIG225" s="1"/>
      <c r="IIH225" s="1"/>
      <c r="III225" s="1"/>
      <c r="IIJ225" s="1"/>
      <c r="IIK225" s="1"/>
      <c r="IIL225" s="1"/>
      <c r="IIM225" s="1"/>
      <c r="IIN225" s="1"/>
      <c r="IIO225" s="1"/>
      <c r="IIP225" s="1"/>
      <c r="IIQ225" s="1"/>
      <c r="IIR225" s="1"/>
      <c r="IIS225" s="1"/>
      <c r="IIT225" s="1"/>
      <c r="IIU225" s="1"/>
      <c r="IIV225" s="1"/>
      <c r="IIW225" s="1"/>
      <c r="IIX225" s="1"/>
      <c r="IIY225" s="1"/>
      <c r="IIZ225" s="1"/>
      <c r="IJA225" s="1"/>
      <c r="IJB225" s="1"/>
      <c r="IJC225" s="1"/>
      <c r="IJD225" s="1"/>
      <c r="IJE225" s="1"/>
      <c r="IJF225" s="1"/>
      <c r="IJG225" s="1"/>
      <c r="IJH225" s="1"/>
      <c r="IJI225" s="1"/>
      <c r="IJJ225" s="1"/>
      <c r="IJK225" s="1"/>
      <c r="IJL225" s="1"/>
      <c r="IJM225" s="1"/>
      <c r="IJN225" s="1"/>
      <c r="IJO225" s="1"/>
      <c r="IJP225" s="1"/>
      <c r="IJQ225" s="1"/>
      <c r="IJR225" s="1"/>
      <c r="IJS225" s="1"/>
      <c r="IJT225" s="1"/>
      <c r="IJU225" s="1"/>
      <c r="IJV225" s="1"/>
      <c r="IJW225" s="1"/>
      <c r="IJX225" s="1"/>
      <c r="IJY225" s="1"/>
      <c r="IJZ225" s="1"/>
      <c r="IKA225" s="1"/>
      <c r="IKB225" s="1"/>
      <c r="IKC225" s="1"/>
      <c r="IKD225" s="1"/>
      <c r="IKE225" s="1"/>
      <c r="IKF225" s="1"/>
      <c r="IKG225" s="1"/>
      <c r="IKH225" s="1"/>
      <c r="IKI225" s="1"/>
      <c r="IKJ225" s="1"/>
      <c r="IKK225" s="1"/>
      <c r="IKL225" s="1"/>
      <c r="IKM225" s="1"/>
      <c r="IKN225" s="1"/>
      <c r="IKO225" s="1"/>
      <c r="IKP225" s="1"/>
      <c r="IKQ225" s="1"/>
      <c r="IKR225" s="1"/>
      <c r="IKS225" s="1"/>
      <c r="IKT225" s="1"/>
      <c r="IKU225" s="1"/>
      <c r="IKV225" s="1"/>
      <c r="IKW225" s="1"/>
      <c r="IKX225" s="1"/>
      <c r="IKY225" s="1"/>
      <c r="IKZ225" s="1"/>
      <c r="ILA225" s="1"/>
      <c r="ILB225" s="1"/>
      <c r="ILC225" s="1"/>
      <c r="ILD225" s="1"/>
      <c r="ILE225" s="1"/>
      <c r="ILF225" s="1"/>
      <c r="ILG225" s="1"/>
      <c r="ILH225" s="1"/>
      <c r="ILI225" s="1"/>
      <c r="ILJ225" s="1"/>
      <c r="ILK225" s="1"/>
      <c r="ILL225" s="1"/>
      <c r="ILM225" s="1"/>
      <c r="ILN225" s="1"/>
      <c r="ILO225" s="1"/>
      <c r="ILP225" s="1"/>
      <c r="ILQ225" s="1"/>
      <c r="ILR225" s="1"/>
      <c r="ILS225" s="1"/>
      <c r="ILT225" s="1"/>
      <c r="ILU225" s="1"/>
      <c r="ILV225" s="1"/>
      <c r="ILW225" s="1"/>
      <c r="ILX225" s="1"/>
      <c r="ILY225" s="1"/>
      <c r="ILZ225" s="1"/>
      <c r="IMA225" s="1"/>
      <c r="IMB225" s="1"/>
      <c r="IMC225" s="1"/>
      <c r="IMD225" s="1"/>
      <c r="IME225" s="1"/>
      <c r="IMF225" s="1"/>
      <c r="IMG225" s="1"/>
      <c r="IMH225" s="1"/>
      <c r="IMI225" s="1"/>
      <c r="IMJ225" s="1"/>
      <c r="IMK225" s="1"/>
      <c r="IML225" s="1"/>
      <c r="IMM225" s="1"/>
      <c r="IMN225" s="1"/>
      <c r="IMO225" s="1"/>
      <c r="IMP225" s="1"/>
      <c r="IMQ225" s="1"/>
      <c r="IMR225" s="1"/>
      <c r="IMS225" s="1"/>
      <c r="IMT225" s="1"/>
      <c r="IMU225" s="1"/>
      <c r="IMV225" s="1"/>
      <c r="IMW225" s="1"/>
      <c r="IMX225" s="1"/>
      <c r="IMY225" s="1"/>
      <c r="IMZ225" s="1"/>
      <c r="INA225" s="1"/>
      <c r="INB225" s="1"/>
      <c r="INC225" s="1"/>
      <c r="IND225" s="1"/>
      <c r="INE225" s="1"/>
      <c r="INF225" s="1"/>
      <c r="ING225" s="1"/>
      <c r="INH225" s="1"/>
      <c r="INI225" s="1"/>
      <c r="INJ225" s="1"/>
      <c r="INK225" s="1"/>
      <c r="INL225" s="1"/>
      <c r="INM225" s="1"/>
      <c r="INN225" s="1"/>
      <c r="INO225" s="1"/>
      <c r="INP225" s="1"/>
      <c r="INQ225" s="1"/>
      <c r="INR225" s="1"/>
      <c r="INS225" s="1"/>
      <c r="INT225" s="1"/>
      <c r="INU225" s="1"/>
      <c r="INV225" s="1"/>
      <c r="INW225" s="1"/>
      <c r="INX225" s="1"/>
      <c r="INY225" s="1"/>
      <c r="INZ225" s="1"/>
      <c r="IOA225" s="1"/>
      <c r="IOB225" s="1"/>
      <c r="IOC225" s="1"/>
      <c r="IOD225" s="1"/>
      <c r="IOE225" s="1"/>
      <c r="IOF225" s="1"/>
      <c r="IOG225" s="1"/>
      <c r="IOH225" s="1"/>
      <c r="IOI225" s="1"/>
      <c r="IOJ225" s="1"/>
      <c r="IOK225" s="1"/>
      <c r="IOL225" s="1"/>
      <c r="IOM225" s="1"/>
      <c r="ION225" s="1"/>
      <c r="IOO225" s="1"/>
      <c r="IOP225" s="1"/>
      <c r="IOQ225" s="1"/>
      <c r="IOR225" s="1"/>
      <c r="IOS225" s="1"/>
      <c r="IOT225" s="1"/>
      <c r="IOU225" s="1"/>
      <c r="IOV225" s="1"/>
      <c r="IOW225" s="1"/>
      <c r="IOX225" s="1"/>
      <c r="IOY225" s="1"/>
      <c r="IOZ225" s="1"/>
      <c r="IPA225" s="1"/>
      <c r="IPB225" s="1"/>
      <c r="IPC225" s="1"/>
      <c r="IPD225" s="1"/>
      <c r="IPE225" s="1"/>
      <c r="IPF225" s="1"/>
      <c r="IPG225" s="1"/>
      <c r="IPH225" s="1"/>
      <c r="IPI225" s="1"/>
      <c r="IPJ225" s="1"/>
      <c r="IPK225" s="1"/>
      <c r="IPL225" s="1"/>
      <c r="IPM225" s="1"/>
      <c r="IPN225" s="1"/>
      <c r="IPO225" s="1"/>
      <c r="IPP225" s="1"/>
      <c r="IPQ225" s="1"/>
      <c r="IPR225" s="1"/>
      <c r="IPS225" s="1"/>
      <c r="IPT225" s="1"/>
      <c r="IPU225" s="1"/>
      <c r="IPV225" s="1"/>
      <c r="IPW225" s="1"/>
      <c r="IPX225" s="1"/>
      <c r="IPY225" s="1"/>
      <c r="IPZ225" s="1"/>
      <c r="IQA225" s="1"/>
      <c r="IQB225" s="1"/>
      <c r="IQC225" s="1"/>
      <c r="IQD225" s="1"/>
      <c r="IQE225" s="1"/>
      <c r="IQF225" s="1"/>
      <c r="IQG225" s="1"/>
      <c r="IQH225" s="1"/>
      <c r="IQI225" s="1"/>
      <c r="IQJ225" s="1"/>
      <c r="IQK225" s="1"/>
      <c r="IQL225" s="1"/>
      <c r="IQM225" s="1"/>
      <c r="IQN225" s="1"/>
      <c r="IQO225" s="1"/>
      <c r="IQP225" s="1"/>
      <c r="IQQ225" s="1"/>
      <c r="IQR225" s="1"/>
      <c r="IQS225" s="1"/>
      <c r="IQT225" s="1"/>
      <c r="IQU225" s="1"/>
      <c r="IQV225" s="1"/>
      <c r="IQW225" s="1"/>
      <c r="IQX225" s="1"/>
      <c r="IQY225" s="1"/>
      <c r="IQZ225" s="1"/>
      <c r="IRA225" s="1"/>
      <c r="IRB225" s="1"/>
      <c r="IRC225" s="1"/>
      <c r="IRD225" s="1"/>
      <c r="IRE225" s="1"/>
      <c r="IRF225" s="1"/>
      <c r="IRG225" s="1"/>
      <c r="IRH225" s="1"/>
      <c r="IRI225" s="1"/>
      <c r="IRJ225" s="1"/>
      <c r="IRK225" s="1"/>
      <c r="IRL225" s="1"/>
      <c r="IRM225" s="1"/>
      <c r="IRN225" s="1"/>
      <c r="IRO225" s="1"/>
      <c r="IRP225" s="1"/>
      <c r="IRQ225" s="1"/>
      <c r="IRR225" s="1"/>
      <c r="IRS225" s="1"/>
      <c r="IRT225" s="1"/>
      <c r="IRU225" s="1"/>
      <c r="IRV225" s="1"/>
      <c r="IRW225" s="1"/>
      <c r="IRX225" s="1"/>
      <c r="IRY225" s="1"/>
      <c r="IRZ225" s="1"/>
      <c r="ISA225" s="1"/>
      <c r="ISB225" s="1"/>
      <c r="ISC225" s="1"/>
      <c r="ISD225" s="1"/>
      <c r="ISE225" s="1"/>
      <c r="ISF225" s="1"/>
      <c r="ISG225" s="1"/>
      <c r="ISH225" s="1"/>
      <c r="ISI225" s="1"/>
      <c r="ISJ225" s="1"/>
      <c r="ISK225" s="1"/>
      <c r="ISL225" s="1"/>
      <c r="ISM225" s="1"/>
      <c r="ISN225" s="1"/>
      <c r="ISO225" s="1"/>
      <c r="ISP225" s="1"/>
      <c r="ISQ225" s="1"/>
      <c r="ISR225" s="1"/>
      <c r="ISS225" s="1"/>
      <c r="IST225" s="1"/>
      <c r="ISU225" s="1"/>
      <c r="ISV225" s="1"/>
      <c r="ISW225" s="1"/>
      <c r="ISX225" s="1"/>
      <c r="ISY225" s="1"/>
      <c r="ISZ225" s="1"/>
      <c r="ITA225" s="1"/>
      <c r="ITB225" s="1"/>
      <c r="ITC225" s="1"/>
      <c r="ITD225" s="1"/>
      <c r="ITE225" s="1"/>
      <c r="ITF225" s="1"/>
      <c r="ITG225" s="1"/>
      <c r="ITH225" s="1"/>
      <c r="ITI225" s="1"/>
      <c r="ITJ225" s="1"/>
      <c r="ITK225" s="1"/>
      <c r="ITL225" s="1"/>
      <c r="ITM225" s="1"/>
      <c r="ITN225" s="1"/>
      <c r="ITO225" s="1"/>
      <c r="ITP225" s="1"/>
      <c r="ITQ225" s="1"/>
      <c r="ITR225" s="1"/>
      <c r="ITS225" s="1"/>
      <c r="ITT225" s="1"/>
      <c r="ITU225" s="1"/>
      <c r="ITV225" s="1"/>
      <c r="ITW225" s="1"/>
      <c r="ITX225" s="1"/>
      <c r="ITY225" s="1"/>
      <c r="ITZ225" s="1"/>
      <c r="IUA225" s="1"/>
      <c r="IUB225" s="1"/>
      <c r="IUC225" s="1"/>
      <c r="IUD225" s="1"/>
      <c r="IUE225" s="1"/>
      <c r="IUF225" s="1"/>
      <c r="IUG225" s="1"/>
      <c r="IUH225" s="1"/>
      <c r="IUI225" s="1"/>
      <c r="IUJ225" s="1"/>
      <c r="IUK225" s="1"/>
      <c r="IUL225" s="1"/>
      <c r="IUM225" s="1"/>
      <c r="IUN225" s="1"/>
      <c r="IUO225" s="1"/>
      <c r="IUP225" s="1"/>
      <c r="IUQ225" s="1"/>
      <c r="IUR225" s="1"/>
      <c r="IUS225" s="1"/>
      <c r="IUT225" s="1"/>
      <c r="IUU225" s="1"/>
      <c r="IUV225" s="1"/>
      <c r="IUW225" s="1"/>
      <c r="IUX225" s="1"/>
      <c r="IUY225" s="1"/>
      <c r="IUZ225" s="1"/>
      <c r="IVA225" s="1"/>
      <c r="IVB225" s="1"/>
      <c r="IVC225" s="1"/>
      <c r="IVD225" s="1"/>
      <c r="IVE225" s="1"/>
      <c r="IVF225" s="1"/>
      <c r="IVG225" s="1"/>
      <c r="IVH225" s="1"/>
      <c r="IVI225" s="1"/>
      <c r="IVJ225" s="1"/>
      <c r="IVK225" s="1"/>
      <c r="IVL225" s="1"/>
      <c r="IVM225" s="1"/>
      <c r="IVN225" s="1"/>
      <c r="IVO225" s="1"/>
      <c r="IVP225" s="1"/>
      <c r="IVQ225" s="1"/>
      <c r="IVR225" s="1"/>
      <c r="IVS225" s="1"/>
      <c r="IVT225" s="1"/>
      <c r="IVU225" s="1"/>
      <c r="IVV225" s="1"/>
      <c r="IVW225" s="1"/>
      <c r="IVX225" s="1"/>
      <c r="IVY225" s="1"/>
      <c r="IVZ225" s="1"/>
      <c r="IWA225" s="1"/>
      <c r="IWB225" s="1"/>
      <c r="IWC225" s="1"/>
      <c r="IWD225" s="1"/>
      <c r="IWE225" s="1"/>
      <c r="IWF225" s="1"/>
      <c r="IWG225" s="1"/>
      <c r="IWH225" s="1"/>
      <c r="IWI225" s="1"/>
      <c r="IWJ225" s="1"/>
      <c r="IWK225" s="1"/>
      <c r="IWL225" s="1"/>
      <c r="IWM225" s="1"/>
      <c r="IWN225" s="1"/>
      <c r="IWO225" s="1"/>
      <c r="IWP225" s="1"/>
      <c r="IWQ225" s="1"/>
      <c r="IWR225" s="1"/>
      <c r="IWS225" s="1"/>
      <c r="IWT225" s="1"/>
      <c r="IWU225" s="1"/>
      <c r="IWV225" s="1"/>
      <c r="IWW225" s="1"/>
      <c r="IWX225" s="1"/>
      <c r="IWY225" s="1"/>
      <c r="IWZ225" s="1"/>
      <c r="IXA225" s="1"/>
      <c r="IXB225" s="1"/>
      <c r="IXC225" s="1"/>
      <c r="IXD225" s="1"/>
      <c r="IXE225" s="1"/>
      <c r="IXF225" s="1"/>
      <c r="IXG225" s="1"/>
      <c r="IXH225" s="1"/>
      <c r="IXI225" s="1"/>
      <c r="IXJ225" s="1"/>
      <c r="IXK225" s="1"/>
      <c r="IXL225" s="1"/>
      <c r="IXM225" s="1"/>
      <c r="IXN225" s="1"/>
      <c r="IXO225" s="1"/>
      <c r="IXP225" s="1"/>
      <c r="IXQ225" s="1"/>
      <c r="IXR225" s="1"/>
      <c r="IXS225" s="1"/>
      <c r="IXT225" s="1"/>
      <c r="IXU225" s="1"/>
      <c r="IXV225" s="1"/>
      <c r="IXW225" s="1"/>
      <c r="IXX225" s="1"/>
      <c r="IXY225" s="1"/>
      <c r="IXZ225" s="1"/>
      <c r="IYA225" s="1"/>
      <c r="IYB225" s="1"/>
      <c r="IYC225" s="1"/>
      <c r="IYD225" s="1"/>
      <c r="IYE225" s="1"/>
      <c r="IYF225" s="1"/>
      <c r="IYG225" s="1"/>
      <c r="IYH225" s="1"/>
      <c r="IYI225" s="1"/>
      <c r="IYJ225" s="1"/>
      <c r="IYK225" s="1"/>
      <c r="IYL225" s="1"/>
      <c r="IYM225" s="1"/>
      <c r="IYN225" s="1"/>
      <c r="IYO225" s="1"/>
      <c r="IYP225" s="1"/>
      <c r="IYQ225" s="1"/>
      <c r="IYR225" s="1"/>
      <c r="IYS225" s="1"/>
      <c r="IYT225" s="1"/>
      <c r="IYU225" s="1"/>
      <c r="IYV225" s="1"/>
      <c r="IYW225" s="1"/>
      <c r="IYX225" s="1"/>
      <c r="IYY225" s="1"/>
      <c r="IYZ225" s="1"/>
      <c r="IZA225" s="1"/>
      <c r="IZB225" s="1"/>
      <c r="IZC225" s="1"/>
      <c r="IZD225" s="1"/>
      <c r="IZE225" s="1"/>
      <c r="IZF225" s="1"/>
      <c r="IZG225" s="1"/>
      <c r="IZH225" s="1"/>
      <c r="IZI225" s="1"/>
      <c r="IZJ225" s="1"/>
      <c r="IZK225" s="1"/>
      <c r="IZL225" s="1"/>
      <c r="IZM225" s="1"/>
      <c r="IZN225" s="1"/>
      <c r="IZO225" s="1"/>
      <c r="IZP225" s="1"/>
      <c r="IZQ225" s="1"/>
      <c r="IZR225" s="1"/>
      <c r="IZS225" s="1"/>
      <c r="IZT225" s="1"/>
      <c r="IZU225" s="1"/>
      <c r="IZV225" s="1"/>
      <c r="IZW225" s="1"/>
      <c r="IZX225" s="1"/>
      <c r="IZY225" s="1"/>
      <c r="IZZ225" s="1"/>
      <c r="JAA225" s="1"/>
      <c r="JAB225" s="1"/>
      <c r="JAC225" s="1"/>
      <c r="JAD225" s="1"/>
      <c r="JAE225" s="1"/>
      <c r="JAF225" s="1"/>
      <c r="JAG225" s="1"/>
      <c r="JAH225" s="1"/>
      <c r="JAI225" s="1"/>
      <c r="JAJ225" s="1"/>
      <c r="JAK225" s="1"/>
      <c r="JAL225" s="1"/>
      <c r="JAM225" s="1"/>
      <c r="JAN225" s="1"/>
      <c r="JAO225" s="1"/>
      <c r="JAP225" s="1"/>
      <c r="JAQ225" s="1"/>
      <c r="JAR225" s="1"/>
      <c r="JAS225" s="1"/>
      <c r="JAT225" s="1"/>
      <c r="JAU225" s="1"/>
      <c r="JAV225" s="1"/>
      <c r="JAW225" s="1"/>
      <c r="JAX225" s="1"/>
      <c r="JAY225" s="1"/>
      <c r="JAZ225" s="1"/>
      <c r="JBA225" s="1"/>
      <c r="JBB225" s="1"/>
      <c r="JBC225" s="1"/>
      <c r="JBD225" s="1"/>
      <c r="JBE225" s="1"/>
      <c r="JBF225" s="1"/>
      <c r="JBG225" s="1"/>
      <c r="JBH225" s="1"/>
      <c r="JBI225" s="1"/>
      <c r="JBJ225" s="1"/>
      <c r="JBK225" s="1"/>
      <c r="JBL225" s="1"/>
      <c r="JBM225" s="1"/>
      <c r="JBN225" s="1"/>
      <c r="JBO225" s="1"/>
      <c r="JBP225" s="1"/>
      <c r="JBQ225" s="1"/>
      <c r="JBR225" s="1"/>
      <c r="JBS225" s="1"/>
      <c r="JBT225" s="1"/>
      <c r="JBU225" s="1"/>
      <c r="JBV225" s="1"/>
      <c r="JBW225" s="1"/>
      <c r="JBX225" s="1"/>
      <c r="JBY225" s="1"/>
      <c r="JBZ225" s="1"/>
      <c r="JCA225" s="1"/>
      <c r="JCB225" s="1"/>
      <c r="JCC225" s="1"/>
      <c r="JCD225" s="1"/>
      <c r="JCE225" s="1"/>
      <c r="JCF225" s="1"/>
      <c r="JCG225" s="1"/>
      <c r="JCH225" s="1"/>
      <c r="JCI225" s="1"/>
      <c r="JCJ225" s="1"/>
      <c r="JCK225" s="1"/>
      <c r="JCL225" s="1"/>
      <c r="JCM225" s="1"/>
      <c r="JCN225" s="1"/>
      <c r="JCO225" s="1"/>
      <c r="JCP225" s="1"/>
      <c r="JCQ225" s="1"/>
      <c r="JCR225" s="1"/>
      <c r="JCS225" s="1"/>
      <c r="JCT225" s="1"/>
      <c r="JCU225" s="1"/>
      <c r="JCV225" s="1"/>
      <c r="JCW225" s="1"/>
      <c r="JCX225" s="1"/>
      <c r="JCY225" s="1"/>
      <c r="JCZ225" s="1"/>
      <c r="JDA225" s="1"/>
      <c r="JDB225" s="1"/>
      <c r="JDC225" s="1"/>
      <c r="JDD225" s="1"/>
      <c r="JDE225" s="1"/>
      <c r="JDF225" s="1"/>
      <c r="JDG225" s="1"/>
      <c r="JDH225" s="1"/>
      <c r="JDI225" s="1"/>
      <c r="JDJ225" s="1"/>
      <c r="JDK225" s="1"/>
      <c r="JDL225" s="1"/>
      <c r="JDM225" s="1"/>
      <c r="JDN225" s="1"/>
      <c r="JDO225" s="1"/>
      <c r="JDP225" s="1"/>
      <c r="JDQ225" s="1"/>
      <c r="JDR225" s="1"/>
      <c r="JDS225" s="1"/>
      <c r="JDT225" s="1"/>
      <c r="JDU225" s="1"/>
      <c r="JDV225" s="1"/>
      <c r="JDW225" s="1"/>
      <c r="JDX225" s="1"/>
      <c r="JDY225" s="1"/>
      <c r="JDZ225" s="1"/>
      <c r="JEA225" s="1"/>
      <c r="JEB225" s="1"/>
      <c r="JEC225" s="1"/>
      <c r="JED225" s="1"/>
      <c r="JEE225" s="1"/>
      <c r="JEF225" s="1"/>
      <c r="JEG225" s="1"/>
      <c r="JEH225" s="1"/>
      <c r="JEI225" s="1"/>
      <c r="JEJ225" s="1"/>
      <c r="JEK225" s="1"/>
      <c r="JEL225" s="1"/>
      <c r="JEM225" s="1"/>
      <c r="JEN225" s="1"/>
      <c r="JEO225" s="1"/>
      <c r="JEP225" s="1"/>
      <c r="JEQ225" s="1"/>
      <c r="JER225" s="1"/>
      <c r="JES225" s="1"/>
      <c r="JET225" s="1"/>
      <c r="JEU225" s="1"/>
      <c r="JEV225" s="1"/>
      <c r="JEW225" s="1"/>
      <c r="JEX225" s="1"/>
      <c r="JEY225" s="1"/>
      <c r="JEZ225" s="1"/>
      <c r="JFA225" s="1"/>
      <c r="JFB225" s="1"/>
      <c r="JFC225" s="1"/>
      <c r="JFD225" s="1"/>
      <c r="JFE225" s="1"/>
      <c r="JFF225" s="1"/>
      <c r="JFG225" s="1"/>
      <c r="JFH225" s="1"/>
      <c r="JFI225" s="1"/>
      <c r="JFJ225" s="1"/>
      <c r="JFK225" s="1"/>
      <c r="JFL225" s="1"/>
      <c r="JFM225" s="1"/>
      <c r="JFN225" s="1"/>
      <c r="JFO225" s="1"/>
      <c r="JFP225" s="1"/>
      <c r="JFQ225" s="1"/>
      <c r="JFR225" s="1"/>
      <c r="JFS225" s="1"/>
      <c r="JFT225" s="1"/>
      <c r="JFU225" s="1"/>
      <c r="JFV225" s="1"/>
      <c r="JFW225" s="1"/>
      <c r="JFX225" s="1"/>
      <c r="JFY225" s="1"/>
      <c r="JFZ225" s="1"/>
      <c r="JGA225" s="1"/>
      <c r="JGB225" s="1"/>
      <c r="JGC225" s="1"/>
      <c r="JGD225" s="1"/>
      <c r="JGE225" s="1"/>
      <c r="JGF225" s="1"/>
      <c r="JGG225" s="1"/>
      <c r="JGH225" s="1"/>
      <c r="JGI225" s="1"/>
      <c r="JGJ225" s="1"/>
      <c r="JGK225" s="1"/>
      <c r="JGL225" s="1"/>
      <c r="JGM225" s="1"/>
      <c r="JGN225" s="1"/>
      <c r="JGO225" s="1"/>
      <c r="JGP225" s="1"/>
      <c r="JGQ225" s="1"/>
      <c r="JGR225" s="1"/>
      <c r="JGS225" s="1"/>
      <c r="JGT225" s="1"/>
      <c r="JGU225" s="1"/>
      <c r="JGV225" s="1"/>
      <c r="JGW225" s="1"/>
      <c r="JGX225" s="1"/>
      <c r="JGY225" s="1"/>
      <c r="JGZ225" s="1"/>
      <c r="JHA225" s="1"/>
      <c r="JHB225" s="1"/>
      <c r="JHC225" s="1"/>
      <c r="JHD225" s="1"/>
      <c r="JHE225" s="1"/>
      <c r="JHF225" s="1"/>
      <c r="JHG225" s="1"/>
      <c r="JHH225" s="1"/>
      <c r="JHI225" s="1"/>
      <c r="JHJ225" s="1"/>
      <c r="JHK225" s="1"/>
      <c r="JHL225" s="1"/>
      <c r="JHM225" s="1"/>
      <c r="JHN225" s="1"/>
      <c r="JHO225" s="1"/>
      <c r="JHP225" s="1"/>
      <c r="JHQ225" s="1"/>
      <c r="JHR225" s="1"/>
      <c r="JHS225" s="1"/>
      <c r="JHT225" s="1"/>
      <c r="JHU225" s="1"/>
      <c r="JHV225" s="1"/>
      <c r="JHW225" s="1"/>
      <c r="JHX225" s="1"/>
      <c r="JHY225" s="1"/>
      <c r="JHZ225" s="1"/>
      <c r="JIA225" s="1"/>
      <c r="JIB225" s="1"/>
      <c r="JIC225" s="1"/>
      <c r="JID225" s="1"/>
      <c r="JIE225" s="1"/>
      <c r="JIF225" s="1"/>
      <c r="JIG225" s="1"/>
      <c r="JIH225" s="1"/>
      <c r="JII225" s="1"/>
      <c r="JIJ225" s="1"/>
      <c r="JIK225" s="1"/>
      <c r="JIL225" s="1"/>
      <c r="JIM225" s="1"/>
      <c r="JIN225" s="1"/>
      <c r="JIO225" s="1"/>
      <c r="JIP225" s="1"/>
      <c r="JIQ225" s="1"/>
      <c r="JIR225" s="1"/>
      <c r="JIS225" s="1"/>
      <c r="JIT225" s="1"/>
      <c r="JIU225" s="1"/>
      <c r="JIV225" s="1"/>
      <c r="JIW225" s="1"/>
      <c r="JIX225" s="1"/>
      <c r="JIY225" s="1"/>
      <c r="JIZ225" s="1"/>
      <c r="JJA225" s="1"/>
      <c r="JJB225" s="1"/>
      <c r="JJC225" s="1"/>
      <c r="JJD225" s="1"/>
      <c r="JJE225" s="1"/>
      <c r="JJF225" s="1"/>
      <c r="JJG225" s="1"/>
      <c r="JJH225" s="1"/>
      <c r="JJI225" s="1"/>
      <c r="JJJ225" s="1"/>
      <c r="JJK225" s="1"/>
      <c r="JJL225" s="1"/>
      <c r="JJM225" s="1"/>
      <c r="JJN225" s="1"/>
      <c r="JJO225" s="1"/>
      <c r="JJP225" s="1"/>
      <c r="JJQ225" s="1"/>
      <c r="JJR225" s="1"/>
      <c r="JJS225" s="1"/>
      <c r="JJT225" s="1"/>
      <c r="JJU225" s="1"/>
      <c r="JJV225" s="1"/>
      <c r="JJW225" s="1"/>
      <c r="JJX225" s="1"/>
      <c r="JJY225" s="1"/>
      <c r="JJZ225" s="1"/>
      <c r="JKA225" s="1"/>
      <c r="JKB225" s="1"/>
      <c r="JKC225" s="1"/>
      <c r="JKD225" s="1"/>
      <c r="JKE225" s="1"/>
      <c r="JKF225" s="1"/>
      <c r="JKG225" s="1"/>
      <c r="JKH225" s="1"/>
      <c r="JKI225" s="1"/>
      <c r="JKJ225" s="1"/>
      <c r="JKK225" s="1"/>
      <c r="JKL225" s="1"/>
      <c r="JKM225" s="1"/>
      <c r="JKN225" s="1"/>
      <c r="JKO225" s="1"/>
      <c r="JKP225" s="1"/>
      <c r="JKQ225" s="1"/>
      <c r="JKR225" s="1"/>
      <c r="JKS225" s="1"/>
      <c r="JKT225" s="1"/>
      <c r="JKU225" s="1"/>
      <c r="JKV225" s="1"/>
      <c r="JKW225" s="1"/>
      <c r="JKX225" s="1"/>
      <c r="JKY225" s="1"/>
      <c r="JKZ225" s="1"/>
      <c r="JLA225" s="1"/>
      <c r="JLB225" s="1"/>
      <c r="JLC225" s="1"/>
      <c r="JLD225" s="1"/>
      <c r="JLE225" s="1"/>
      <c r="JLF225" s="1"/>
      <c r="JLG225" s="1"/>
      <c r="JLH225" s="1"/>
      <c r="JLI225" s="1"/>
      <c r="JLJ225" s="1"/>
      <c r="JLK225" s="1"/>
      <c r="JLL225" s="1"/>
      <c r="JLM225" s="1"/>
      <c r="JLN225" s="1"/>
      <c r="JLO225" s="1"/>
      <c r="JLP225" s="1"/>
      <c r="JLQ225" s="1"/>
      <c r="JLR225" s="1"/>
      <c r="JLS225" s="1"/>
      <c r="JLT225" s="1"/>
      <c r="JLU225" s="1"/>
      <c r="JLV225" s="1"/>
      <c r="JLW225" s="1"/>
      <c r="JLX225" s="1"/>
      <c r="JLY225" s="1"/>
      <c r="JLZ225" s="1"/>
      <c r="JMA225" s="1"/>
      <c r="JMB225" s="1"/>
      <c r="JMC225" s="1"/>
      <c r="JMD225" s="1"/>
      <c r="JME225" s="1"/>
      <c r="JMF225" s="1"/>
      <c r="JMG225" s="1"/>
      <c r="JMH225" s="1"/>
      <c r="JMI225" s="1"/>
      <c r="JMJ225" s="1"/>
      <c r="JMK225" s="1"/>
      <c r="JML225" s="1"/>
      <c r="JMM225" s="1"/>
      <c r="JMN225" s="1"/>
      <c r="JMO225" s="1"/>
      <c r="JMP225" s="1"/>
      <c r="JMQ225" s="1"/>
      <c r="JMR225" s="1"/>
      <c r="JMS225" s="1"/>
      <c r="JMT225" s="1"/>
      <c r="JMU225" s="1"/>
      <c r="JMV225" s="1"/>
      <c r="JMW225" s="1"/>
      <c r="JMX225" s="1"/>
      <c r="JMY225" s="1"/>
      <c r="JMZ225" s="1"/>
      <c r="JNA225" s="1"/>
      <c r="JNB225" s="1"/>
      <c r="JNC225" s="1"/>
      <c r="JND225" s="1"/>
      <c r="JNE225" s="1"/>
      <c r="JNF225" s="1"/>
      <c r="JNG225" s="1"/>
      <c r="JNH225" s="1"/>
      <c r="JNI225" s="1"/>
      <c r="JNJ225" s="1"/>
      <c r="JNK225" s="1"/>
      <c r="JNL225" s="1"/>
      <c r="JNM225" s="1"/>
      <c r="JNN225" s="1"/>
      <c r="JNO225" s="1"/>
      <c r="JNP225" s="1"/>
      <c r="JNQ225" s="1"/>
      <c r="JNR225" s="1"/>
      <c r="JNS225" s="1"/>
      <c r="JNT225" s="1"/>
      <c r="JNU225" s="1"/>
      <c r="JNV225" s="1"/>
      <c r="JNW225" s="1"/>
      <c r="JNX225" s="1"/>
      <c r="JNY225" s="1"/>
      <c r="JNZ225" s="1"/>
      <c r="JOA225" s="1"/>
      <c r="JOB225" s="1"/>
      <c r="JOC225" s="1"/>
      <c r="JOD225" s="1"/>
      <c r="JOE225" s="1"/>
      <c r="JOF225" s="1"/>
      <c r="JOG225" s="1"/>
      <c r="JOH225" s="1"/>
      <c r="JOI225" s="1"/>
      <c r="JOJ225" s="1"/>
      <c r="JOK225" s="1"/>
      <c r="JOL225" s="1"/>
      <c r="JOM225" s="1"/>
      <c r="JON225" s="1"/>
      <c r="JOO225" s="1"/>
      <c r="JOP225" s="1"/>
      <c r="JOQ225" s="1"/>
      <c r="JOR225" s="1"/>
      <c r="JOS225" s="1"/>
      <c r="JOT225" s="1"/>
      <c r="JOU225" s="1"/>
      <c r="JOV225" s="1"/>
      <c r="JOW225" s="1"/>
      <c r="JOX225" s="1"/>
      <c r="JOY225" s="1"/>
      <c r="JOZ225" s="1"/>
      <c r="JPA225" s="1"/>
      <c r="JPB225" s="1"/>
      <c r="JPC225" s="1"/>
      <c r="JPD225" s="1"/>
      <c r="JPE225" s="1"/>
      <c r="JPF225" s="1"/>
      <c r="JPG225" s="1"/>
      <c r="JPH225" s="1"/>
      <c r="JPI225" s="1"/>
      <c r="JPJ225" s="1"/>
      <c r="JPK225" s="1"/>
      <c r="JPL225" s="1"/>
      <c r="JPM225" s="1"/>
      <c r="JPN225" s="1"/>
      <c r="JPO225" s="1"/>
      <c r="JPP225" s="1"/>
      <c r="JPQ225" s="1"/>
      <c r="JPR225" s="1"/>
      <c r="JPS225" s="1"/>
      <c r="JPT225" s="1"/>
      <c r="JPU225" s="1"/>
      <c r="JPV225" s="1"/>
      <c r="JPW225" s="1"/>
      <c r="JPX225" s="1"/>
      <c r="JPY225" s="1"/>
      <c r="JPZ225" s="1"/>
      <c r="JQA225" s="1"/>
      <c r="JQB225" s="1"/>
      <c r="JQC225" s="1"/>
      <c r="JQD225" s="1"/>
      <c r="JQE225" s="1"/>
      <c r="JQF225" s="1"/>
      <c r="JQG225" s="1"/>
      <c r="JQH225" s="1"/>
      <c r="JQI225" s="1"/>
      <c r="JQJ225" s="1"/>
      <c r="JQK225" s="1"/>
      <c r="JQL225" s="1"/>
      <c r="JQM225" s="1"/>
      <c r="JQN225" s="1"/>
      <c r="JQO225" s="1"/>
      <c r="JQP225" s="1"/>
      <c r="JQQ225" s="1"/>
      <c r="JQR225" s="1"/>
      <c r="JQS225" s="1"/>
      <c r="JQT225" s="1"/>
      <c r="JQU225" s="1"/>
      <c r="JQV225" s="1"/>
      <c r="JQW225" s="1"/>
      <c r="JQX225" s="1"/>
      <c r="JQY225" s="1"/>
      <c r="JQZ225" s="1"/>
      <c r="JRA225" s="1"/>
      <c r="JRB225" s="1"/>
      <c r="JRC225" s="1"/>
      <c r="JRD225" s="1"/>
      <c r="JRE225" s="1"/>
      <c r="JRF225" s="1"/>
      <c r="JRG225" s="1"/>
      <c r="JRH225" s="1"/>
      <c r="JRI225" s="1"/>
      <c r="JRJ225" s="1"/>
      <c r="JRK225" s="1"/>
      <c r="JRL225" s="1"/>
      <c r="JRM225" s="1"/>
      <c r="JRN225" s="1"/>
      <c r="JRO225" s="1"/>
      <c r="JRP225" s="1"/>
      <c r="JRQ225" s="1"/>
      <c r="JRR225" s="1"/>
      <c r="JRS225" s="1"/>
      <c r="JRT225" s="1"/>
      <c r="JRU225" s="1"/>
      <c r="JRV225" s="1"/>
      <c r="JRW225" s="1"/>
      <c r="JRX225" s="1"/>
      <c r="JRY225" s="1"/>
      <c r="JRZ225" s="1"/>
      <c r="JSA225" s="1"/>
      <c r="JSB225" s="1"/>
      <c r="JSC225" s="1"/>
      <c r="JSD225" s="1"/>
      <c r="JSE225" s="1"/>
      <c r="JSF225" s="1"/>
      <c r="JSG225" s="1"/>
      <c r="JSH225" s="1"/>
      <c r="JSI225" s="1"/>
      <c r="JSJ225" s="1"/>
      <c r="JSK225" s="1"/>
      <c r="JSL225" s="1"/>
      <c r="JSM225" s="1"/>
      <c r="JSN225" s="1"/>
      <c r="JSO225" s="1"/>
      <c r="JSP225" s="1"/>
      <c r="JSQ225" s="1"/>
      <c r="JSR225" s="1"/>
      <c r="JSS225" s="1"/>
      <c r="JST225" s="1"/>
      <c r="JSU225" s="1"/>
      <c r="JSV225" s="1"/>
      <c r="JSW225" s="1"/>
      <c r="JSX225" s="1"/>
      <c r="JSY225" s="1"/>
      <c r="JSZ225" s="1"/>
      <c r="JTA225" s="1"/>
      <c r="JTB225" s="1"/>
      <c r="JTC225" s="1"/>
      <c r="JTD225" s="1"/>
      <c r="JTE225" s="1"/>
      <c r="JTF225" s="1"/>
      <c r="JTG225" s="1"/>
      <c r="JTH225" s="1"/>
      <c r="JTI225" s="1"/>
      <c r="JTJ225" s="1"/>
      <c r="JTK225" s="1"/>
      <c r="JTL225" s="1"/>
      <c r="JTM225" s="1"/>
      <c r="JTN225" s="1"/>
      <c r="JTO225" s="1"/>
      <c r="JTP225" s="1"/>
      <c r="JTQ225" s="1"/>
      <c r="JTR225" s="1"/>
      <c r="JTS225" s="1"/>
      <c r="JTT225" s="1"/>
      <c r="JTU225" s="1"/>
      <c r="JTV225" s="1"/>
      <c r="JTW225" s="1"/>
      <c r="JTX225" s="1"/>
      <c r="JTY225" s="1"/>
      <c r="JTZ225" s="1"/>
      <c r="JUA225" s="1"/>
      <c r="JUB225" s="1"/>
      <c r="JUC225" s="1"/>
      <c r="JUD225" s="1"/>
      <c r="JUE225" s="1"/>
      <c r="JUF225" s="1"/>
      <c r="JUG225" s="1"/>
      <c r="JUH225" s="1"/>
      <c r="JUI225" s="1"/>
      <c r="JUJ225" s="1"/>
      <c r="JUK225" s="1"/>
      <c r="JUL225" s="1"/>
      <c r="JUM225" s="1"/>
      <c r="JUN225" s="1"/>
      <c r="JUO225" s="1"/>
      <c r="JUP225" s="1"/>
      <c r="JUQ225" s="1"/>
      <c r="JUR225" s="1"/>
      <c r="JUS225" s="1"/>
      <c r="JUT225" s="1"/>
      <c r="JUU225" s="1"/>
      <c r="JUV225" s="1"/>
      <c r="JUW225" s="1"/>
      <c r="JUX225" s="1"/>
      <c r="JUY225" s="1"/>
      <c r="JUZ225" s="1"/>
      <c r="JVA225" s="1"/>
      <c r="JVB225" s="1"/>
      <c r="JVC225" s="1"/>
      <c r="JVD225" s="1"/>
      <c r="JVE225" s="1"/>
      <c r="JVF225" s="1"/>
      <c r="JVG225" s="1"/>
      <c r="JVH225" s="1"/>
      <c r="JVI225" s="1"/>
      <c r="JVJ225" s="1"/>
      <c r="JVK225" s="1"/>
      <c r="JVL225" s="1"/>
      <c r="JVM225" s="1"/>
      <c r="JVN225" s="1"/>
      <c r="JVO225" s="1"/>
      <c r="JVP225" s="1"/>
      <c r="JVQ225" s="1"/>
      <c r="JVR225" s="1"/>
      <c r="JVS225" s="1"/>
      <c r="JVT225" s="1"/>
      <c r="JVU225" s="1"/>
      <c r="JVV225" s="1"/>
      <c r="JVW225" s="1"/>
      <c r="JVX225" s="1"/>
      <c r="JVY225" s="1"/>
      <c r="JVZ225" s="1"/>
      <c r="JWA225" s="1"/>
      <c r="JWB225" s="1"/>
      <c r="JWC225" s="1"/>
      <c r="JWD225" s="1"/>
      <c r="JWE225" s="1"/>
      <c r="JWF225" s="1"/>
      <c r="JWG225" s="1"/>
      <c r="JWH225" s="1"/>
      <c r="JWI225" s="1"/>
      <c r="JWJ225" s="1"/>
      <c r="JWK225" s="1"/>
      <c r="JWL225" s="1"/>
      <c r="JWM225" s="1"/>
      <c r="JWN225" s="1"/>
      <c r="JWO225" s="1"/>
      <c r="JWP225" s="1"/>
      <c r="JWQ225" s="1"/>
      <c r="JWR225" s="1"/>
      <c r="JWS225" s="1"/>
      <c r="JWT225" s="1"/>
      <c r="JWU225" s="1"/>
      <c r="JWV225" s="1"/>
      <c r="JWW225" s="1"/>
      <c r="JWX225" s="1"/>
      <c r="JWY225" s="1"/>
      <c r="JWZ225" s="1"/>
      <c r="JXA225" s="1"/>
      <c r="JXB225" s="1"/>
      <c r="JXC225" s="1"/>
      <c r="JXD225" s="1"/>
      <c r="JXE225" s="1"/>
      <c r="JXF225" s="1"/>
      <c r="JXG225" s="1"/>
      <c r="JXH225" s="1"/>
      <c r="JXI225" s="1"/>
      <c r="JXJ225" s="1"/>
      <c r="JXK225" s="1"/>
      <c r="JXL225" s="1"/>
      <c r="JXM225" s="1"/>
      <c r="JXN225" s="1"/>
      <c r="JXO225" s="1"/>
      <c r="JXP225" s="1"/>
      <c r="JXQ225" s="1"/>
      <c r="JXR225" s="1"/>
      <c r="JXS225" s="1"/>
      <c r="JXT225" s="1"/>
      <c r="JXU225" s="1"/>
      <c r="JXV225" s="1"/>
      <c r="JXW225" s="1"/>
      <c r="JXX225" s="1"/>
      <c r="JXY225" s="1"/>
      <c r="JXZ225" s="1"/>
      <c r="JYA225" s="1"/>
      <c r="JYB225" s="1"/>
      <c r="JYC225" s="1"/>
      <c r="JYD225" s="1"/>
      <c r="JYE225" s="1"/>
      <c r="JYF225" s="1"/>
      <c r="JYG225" s="1"/>
      <c r="JYH225" s="1"/>
      <c r="JYI225" s="1"/>
      <c r="JYJ225" s="1"/>
      <c r="JYK225" s="1"/>
      <c r="JYL225" s="1"/>
      <c r="JYM225" s="1"/>
      <c r="JYN225" s="1"/>
      <c r="JYO225" s="1"/>
      <c r="JYP225" s="1"/>
      <c r="JYQ225" s="1"/>
      <c r="JYR225" s="1"/>
      <c r="JYS225" s="1"/>
      <c r="JYT225" s="1"/>
      <c r="JYU225" s="1"/>
      <c r="JYV225" s="1"/>
      <c r="JYW225" s="1"/>
      <c r="JYX225" s="1"/>
      <c r="JYY225" s="1"/>
      <c r="JYZ225" s="1"/>
      <c r="JZA225" s="1"/>
      <c r="JZB225" s="1"/>
      <c r="JZC225" s="1"/>
      <c r="JZD225" s="1"/>
      <c r="JZE225" s="1"/>
      <c r="JZF225" s="1"/>
      <c r="JZG225" s="1"/>
      <c r="JZH225" s="1"/>
      <c r="JZI225" s="1"/>
      <c r="JZJ225" s="1"/>
      <c r="JZK225" s="1"/>
      <c r="JZL225" s="1"/>
      <c r="JZM225" s="1"/>
      <c r="JZN225" s="1"/>
      <c r="JZO225" s="1"/>
      <c r="JZP225" s="1"/>
      <c r="JZQ225" s="1"/>
      <c r="JZR225" s="1"/>
      <c r="JZS225" s="1"/>
      <c r="JZT225" s="1"/>
      <c r="JZU225" s="1"/>
      <c r="JZV225" s="1"/>
      <c r="JZW225" s="1"/>
      <c r="JZX225" s="1"/>
      <c r="JZY225" s="1"/>
      <c r="JZZ225" s="1"/>
      <c r="KAA225" s="1"/>
      <c r="KAB225" s="1"/>
      <c r="KAC225" s="1"/>
      <c r="KAD225" s="1"/>
      <c r="KAE225" s="1"/>
      <c r="KAF225" s="1"/>
      <c r="KAG225" s="1"/>
      <c r="KAH225" s="1"/>
      <c r="KAI225" s="1"/>
      <c r="KAJ225" s="1"/>
      <c r="KAK225" s="1"/>
      <c r="KAL225" s="1"/>
      <c r="KAM225" s="1"/>
      <c r="KAN225" s="1"/>
      <c r="KAO225" s="1"/>
      <c r="KAP225" s="1"/>
      <c r="KAQ225" s="1"/>
      <c r="KAR225" s="1"/>
      <c r="KAS225" s="1"/>
      <c r="KAT225" s="1"/>
      <c r="KAU225" s="1"/>
      <c r="KAV225" s="1"/>
      <c r="KAW225" s="1"/>
      <c r="KAX225" s="1"/>
      <c r="KAY225" s="1"/>
      <c r="KAZ225" s="1"/>
      <c r="KBA225" s="1"/>
      <c r="KBB225" s="1"/>
      <c r="KBC225" s="1"/>
      <c r="KBD225" s="1"/>
      <c r="KBE225" s="1"/>
      <c r="KBF225" s="1"/>
      <c r="KBG225" s="1"/>
      <c r="KBH225" s="1"/>
      <c r="KBI225" s="1"/>
      <c r="KBJ225" s="1"/>
      <c r="KBK225" s="1"/>
      <c r="KBL225" s="1"/>
      <c r="KBM225" s="1"/>
      <c r="KBN225" s="1"/>
      <c r="KBO225" s="1"/>
      <c r="KBP225" s="1"/>
      <c r="KBQ225" s="1"/>
      <c r="KBR225" s="1"/>
      <c r="KBS225" s="1"/>
      <c r="KBT225" s="1"/>
      <c r="KBU225" s="1"/>
      <c r="KBV225" s="1"/>
      <c r="KBW225" s="1"/>
      <c r="KBX225" s="1"/>
      <c r="KBY225" s="1"/>
      <c r="KBZ225" s="1"/>
      <c r="KCA225" s="1"/>
      <c r="KCB225" s="1"/>
      <c r="KCC225" s="1"/>
      <c r="KCD225" s="1"/>
      <c r="KCE225" s="1"/>
      <c r="KCF225" s="1"/>
      <c r="KCG225" s="1"/>
      <c r="KCH225" s="1"/>
      <c r="KCI225" s="1"/>
      <c r="KCJ225" s="1"/>
      <c r="KCK225" s="1"/>
      <c r="KCL225" s="1"/>
      <c r="KCM225" s="1"/>
      <c r="KCN225" s="1"/>
      <c r="KCO225" s="1"/>
      <c r="KCP225" s="1"/>
      <c r="KCQ225" s="1"/>
      <c r="KCR225" s="1"/>
      <c r="KCS225" s="1"/>
      <c r="KCT225" s="1"/>
      <c r="KCU225" s="1"/>
      <c r="KCV225" s="1"/>
      <c r="KCW225" s="1"/>
      <c r="KCX225" s="1"/>
      <c r="KCY225" s="1"/>
      <c r="KCZ225" s="1"/>
      <c r="KDA225" s="1"/>
      <c r="KDB225" s="1"/>
      <c r="KDC225" s="1"/>
      <c r="KDD225" s="1"/>
      <c r="KDE225" s="1"/>
      <c r="KDF225" s="1"/>
      <c r="KDG225" s="1"/>
      <c r="KDH225" s="1"/>
      <c r="KDI225" s="1"/>
      <c r="KDJ225" s="1"/>
      <c r="KDK225" s="1"/>
      <c r="KDL225" s="1"/>
      <c r="KDM225" s="1"/>
      <c r="KDN225" s="1"/>
      <c r="KDO225" s="1"/>
      <c r="KDP225" s="1"/>
      <c r="KDQ225" s="1"/>
      <c r="KDR225" s="1"/>
      <c r="KDS225" s="1"/>
      <c r="KDT225" s="1"/>
      <c r="KDU225" s="1"/>
      <c r="KDV225" s="1"/>
      <c r="KDW225" s="1"/>
      <c r="KDX225" s="1"/>
      <c r="KDY225" s="1"/>
      <c r="KDZ225" s="1"/>
      <c r="KEA225" s="1"/>
      <c r="KEB225" s="1"/>
      <c r="KEC225" s="1"/>
      <c r="KED225" s="1"/>
      <c r="KEE225" s="1"/>
      <c r="KEF225" s="1"/>
      <c r="KEG225" s="1"/>
      <c r="KEH225" s="1"/>
      <c r="KEI225" s="1"/>
      <c r="KEJ225" s="1"/>
      <c r="KEK225" s="1"/>
      <c r="KEL225" s="1"/>
      <c r="KEM225" s="1"/>
      <c r="KEN225" s="1"/>
      <c r="KEO225" s="1"/>
      <c r="KEP225" s="1"/>
      <c r="KEQ225" s="1"/>
      <c r="KER225" s="1"/>
      <c r="KES225" s="1"/>
      <c r="KET225" s="1"/>
      <c r="KEU225" s="1"/>
      <c r="KEV225" s="1"/>
      <c r="KEW225" s="1"/>
      <c r="KEX225" s="1"/>
      <c r="KEY225" s="1"/>
      <c r="KEZ225" s="1"/>
      <c r="KFA225" s="1"/>
      <c r="KFB225" s="1"/>
      <c r="KFC225" s="1"/>
      <c r="KFD225" s="1"/>
      <c r="KFE225" s="1"/>
      <c r="KFF225" s="1"/>
      <c r="KFG225" s="1"/>
      <c r="KFH225" s="1"/>
      <c r="KFI225" s="1"/>
      <c r="KFJ225" s="1"/>
      <c r="KFK225" s="1"/>
      <c r="KFL225" s="1"/>
      <c r="KFM225" s="1"/>
      <c r="KFN225" s="1"/>
      <c r="KFO225" s="1"/>
      <c r="KFP225" s="1"/>
      <c r="KFQ225" s="1"/>
      <c r="KFR225" s="1"/>
      <c r="KFS225" s="1"/>
      <c r="KFT225" s="1"/>
      <c r="KFU225" s="1"/>
      <c r="KFV225" s="1"/>
      <c r="KFW225" s="1"/>
      <c r="KFX225" s="1"/>
      <c r="KFY225" s="1"/>
      <c r="KFZ225" s="1"/>
      <c r="KGA225" s="1"/>
      <c r="KGB225" s="1"/>
      <c r="KGC225" s="1"/>
      <c r="KGD225" s="1"/>
      <c r="KGE225" s="1"/>
      <c r="KGF225" s="1"/>
      <c r="KGG225" s="1"/>
      <c r="KGH225" s="1"/>
      <c r="KGI225" s="1"/>
      <c r="KGJ225" s="1"/>
      <c r="KGK225" s="1"/>
      <c r="KGL225" s="1"/>
      <c r="KGM225" s="1"/>
      <c r="KGN225" s="1"/>
      <c r="KGO225" s="1"/>
      <c r="KGP225" s="1"/>
      <c r="KGQ225" s="1"/>
      <c r="KGR225" s="1"/>
      <c r="KGS225" s="1"/>
      <c r="KGT225" s="1"/>
      <c r="KGU225" s="1"/>
      <c r="KGV225" s="1"/>
      <c r="KGW225" s="1"/>
      <c r="KGX225" s="1"/>
      <c r="KGY225" s="1"/>
      <c r="KGZ225" s="1"/>
      <c r="KHA225" s="1"/>
      <c r="KHB225" s="1"/>
      <c r="KHC225" s="1"/>
      <c r="KHD225" s="1"/>
      <c r="KHE225" s="1"/>
      <c r="KHF225" s="1"/>
      <c r="KHG225" s="1"/>
      <c r="KHH225" s="1"/>
      <c r="KHI225" s="1"/>
      <c r="KHJ225" s="1"/>
      <c r="KHK225" s="1"/>
      <c r="KHL225" s="1"/>
      <c r="KHM225" s="1"/>
      <c r="KHN225" s="1"/>
      <c r="KHO225" s="1"/>
      <c r="KHP225" s="1"/>
      <c r="KHQ225" s="1"/>
      <c r="KHR225" s="1"/>
      <c r="KHS225" s="1"/>
      <c r="KHT225" s="1"/>
      <c r="KHU225" s="1"/>
      <c r="KHV225" s="1"/>
      <c r="KHW225" s="1"/>
      <c r="KHX225" s="1"/>
      <c r="KHY225" s="1"/>
      <c r="KHZ225" s="1"/>
      <c r="KIA225" s="1"/>
      <c r="KIB225" s="1"/>
      <c r="KIC225" s="1"/>
      <c r="KID225" s="1"/>
      <c r="KIE225" s="1"/>
      <c r="KIF225" s="1"/>
      <c r="KIG225" s="1"/>
      <c r="KIH225" s="1"/>
      <c r="KII225" s="1"/>
      <c r="KIJ225" s="1"/>
      <c r="KIK225" s="1"/>
      <c r="KIL225" s="1"/>
      <c r="KIM225" s="1"/>
      <c r="KIN225" s="1"/>
      <c r="KIO225" s="1"/>
      <c r="KIP225" s="1"/>
      <c r="KIQ225" s="1"/>
      <c r="KIR225" s="1"/>
      <c r="KIS225" s="1"/>
      <c r="KIT225" s="1"/>
      <c r="KIU225" s="1"/>
      <c r="KIV225" s="1"/>
      <c r="KIW225" s="1"/>
      <c r="KIX225" s="1"/>
      <c r="KIY225" s="1"/>
      <c r="KIZ225" s="1"/>
      <c r="KJA225" s="1"/>
      <c r="KJB225" s="1"/>
      <c r="KJC225" s="1"/>
      <c r="KJD225" s="1"/>
      <c r="KJE225" s="1"/>
      <c r="KJF225" s="1"/>
      <c r="KJG225" s="1"/>
      <c r="KJH225" s="1"/>
      <c r="KJI225" s="1"/>
      <c r="KJJ225" s="1"/>
      <c r="KJK225" s="1"/>
      <c r="KJL225" s="1"/>
      <c r="KJM225" s="1"/>
      <c r="KJN225" s="1"/>
      <c r="KJO225" s="1"/>
      <c r="KJP225" s="1"/>
      <c r="KJQ225" s="1"/>
      <c r="KJR225" s="1"/>
      <c r="KJS225" s="1"/>
      <c r="KJT225" s="1"/>
      <c r="KJU225" s="1"/>
      <c r="KJV225" s="1"/>
      <c r="KJW225" s="1"/>
      <c r="KJX225" s="1"/>
      <c r="KJY225" s="1"/>
      <c r="KJZ225" s="1"/>
      <c r="KKA225" s="1"/>
      <c r="KKB225" s="1"/>
      <c r="KKC225" s="1"/>
      <c r="KKD225" s="1"/>
      <c r="KKE225" s="1"/>
      <c r="KKF225" s="1"/>
      <c r="KKG225" s="1"/>
      <c r="KKH225" s="1"/>
      <c r="KKI225" s="1"/>
      <c r="KKJ225" s="1"/>
      <c r="KKK225" s="1"/>
      <c r="KKL225" s="1"/>
      <c r="KKM225" s="1"/>
      <c r="KKN225" s="1"/>
      <c r="KKO225" s="1"/>
      <c r="KKP225" s="1"/>
      <c r="KKQ225" s="1"/>
      <c r="KKR225" s="1"/>
      <c r="KKS225" s="1"/>
      <c r="KKT225" s="1"/>
      <c r="KKU225" s="1"/>
      <c r="KKV225" s="1"/>
      <c r="KKW225" s="1"/>
      <c r="KKX225" s="1"/>
      <c r="KKY225" s="1"/>
      <c r="KKZ225" s="1"/>
      <c r="KLA225" s="1"/>
      <c r="KLB225" s="1"/>
      <c r="KLC225" s="1"/>
      <c r="KLD225" s="1"/>
      <c r="KLE225" s="1"/>
      <c r="KLF225" s="1"/>
      <c r="KLG225" s="1"/>
      <c r="KLH225" s="1"/>
      <c r="KLI225" s="1"/>
      <c r="KLJ225" s="1"/>
      <c r="KLK225" s="1"/>
      <c r="KLL225" s="1"/>
      <c r="KLM225" s="1"/>
      <c r="KLN225" s="1"/>
      <c r="KLO225" s="1"/>
      <c r="KLP225" s="1"/>
      <c r="KLQ225" s="1"/>
      <c r="KLR225" s="1"/>
      <c r="KLS225" s="1"/>
      <c r="KLT225" s="1"/>
      <c r="KLU225" s="1"/>
      <c r="KLV225" s="1"/>
      <c r="KLW225" s="1"/>
      <c r="KLX225" s="1"/>
      <c r="KLY225" s="1"/>
      <c r="KLZ225" s="1"/>
      <c r="KMA225" s="1"/>
      <c r="KMB225" s="1"/>
      <c r="KMC225" s="1"/>
      <c r="KMD225" s="1"/>
      <c r="KME225" s="1"/>
      <c r="KMF225" s="1"/>
      <c r="KMG225" s="1"/>
      <c r="KMH225" s="1"/>
      <c r="KMI225" s="1"/>
      <c r="KMJ225" s="1"/>
      <c r="KMK225" s="1"/>
      <c r="KML225" s="1"/>
      <c r="KMM225" s="1"/>
      <c r="KMN225" s="1"/>
      <c r="KMO225" s="1"/>
      <c r="KMP225" s="1"/>
      <c r="KMQ225" s="1"/>
      <c r="KMR225" s="1"/>
      <c r="KMS225" s="1"/>
      <c r="KMT225" s="1"/>
      <c r="KMU225" s="1"/>
      <c r="KMV225" s="1"/>
      <c r="KMW225" s="1"/>
      <c r="KMX225" s="1"/>
      <c r="KMY225" s="1"/>
      <c r="KMZ225" s="1"/>
      <c r="KNA225" s="1"/>
      <c r="KNB225" s="1"/>
      <c r="KNC225" s="1"/>
      <c r="KND225" s="1"/>
      <c r="KNE225" s="1"/>
      <c r="KNF225" s="1"/>
      <c r="KNG225" s="1"/>
      <c r="KNH225" s="1"/>
      <c r="KNI225" s="1"/>
      <c r="KNJ225" s="1"/>
      <c r="KNK225" s="1"/>
      <c r="KNL225" s="1"/>
      <c r="KNM225" s="1"/>
      <c r="KNN225" s="1"/>
      <c r="KNO225" s="1"/>
      <c r="KNP225" s="1"/>
      <c r="KNQ225" s="1"/>
      <c r="KNR225" s="1"/>
      <c r="KNS225" s="1"/>
      <c r="KNT225" s="1"/>
      <c r="KNU225" s="1"/>
      <c r="KNV225" s="1"/>
      <c r="KNW225" s="1"/>
      <c r="KNX225" s="1"/>
      <c r="KNY225" s="1"/>
      <c r="KNZ225" s="1"/>
      <c r="KOA225" s="1"/>
      <c r="KOB225" s="1"/>
      <c r="KOC225" s="1"/>
      <c r="KOD225" s="1"/>
      <c r="KOE225" s="1"/>
      <c r="KOF225" s="1"/>
      <c r="KOG225" s="1"/>
      <c r="KOH225" s="1"/>
      <c r="KOI225" s="1"/>
      <c r="KOJ225" s="1"/>
      <c r="KOK225" s="1"/>
      <c r="KOL225" s="1"/>
      <c r="KOM225" s="1"/>
      <c r="KON225" s="1"/>
      <c r="KOO225" s="1"/>
      <c r="KOP225" s="1"/>
      <c r="KOQ225" s="1"/>
      <c r="KOR225" s="1"/>
      <c r="KOS225" s="1"/>
      <c r="KOT225" s="1"/>
      <c r="KOU225" s="1"/>
      <c r="KOV225" s="1"/>
      <c r="KOW225" s="1"/>
      <c r="KOX225" s="1"/>
      <c r="KOY225" s="1"/>
      <c r="KOZ225" s="1"/>
      <c r="KPA225" s="1"/>
      <c r="KPB225" s="1"/>
      <c r="KPC225" s="1"/>
      <c r="KPD225" s="1"/>
      <c r="KPE225" s="1"/>
      <c r="KPF225" s="1"/>
      <c r="KPG225" s="1"/>
      <c r="KPH225" s="1"/>
      <c r="KPI225" s="1"/>
      <c r="KPJ225" s="1"/>
      <c r="KPK225" s="1"/>
      <c r="KPL225" s="1"/>
      <c r="KPM225" s="1"/>
      <c r="KPN225" s="1"/>
      <c r="KPO225" s="1"/>
      <c r="KPP225" s="1"/>
      <c r="KPQ225" s="1"/>
      <c r="KPR225" s="1"/>
      <c r="KPS225" s="1"/>
      <c r="KPT225" s="1"/>
      <c r="KPU225" s="1"/>
      <c r="KPV225" s="1"/>
      <c r="KPW225" s="1"/>
      <c r="KPX225" s="1"/>
      <c r="KPY225" s="1"/>
      <c r="KPZ225" s="1"/>
      <c r="KQA225" s="1"/>
      <c r="KQB225" s="1"/>
      <c r="KQC225" s="1"/>
      <c r="KQD225" s="1"/>
      <c r="KQE225" s="1"/>
      <c r="KQF225" s="1"/>
      <c r="KQG225" s="1"/>
      <c r="KQH225" s="1"/>
      <c r="KQI225" s="1"/>
      <c r="KQJ225" s="1"/>
      <c r="KQK225" s="1"/>
      <c r="KQL225" s="1"/>
      <c r="KQM225" s="1"/>
      <c r="KQN225" s="1"/>
      <c r="KQO225" s="1"/>
      <c r="KQP225" s="1"/>
      <c r="KQQ225" s="1"/>
      <c r="KQR225" s="1"/>
      <c r="KQS225" s="1"/>
      <c r="KQT225" s="1"/>
      <c r="KQU225" s="1"/>
      <c r="KQV225" s="1"/>
      <c r="KQW225" s="1"/>
      <c r="KQX225" s="1"/>
      <c r="KQY225" s="1"/>
      <c r="KQZ225" s="1"/>
      <c r="KRA225" s="1"/>
      <c r="KRB225" s="1"/>
      <c r="KRC225" s="1"/>
      <c r="KRD225" s="1"/>
      <c r="KRE225" s="1"/>
      <c r="KRF225" s="1"/>
      <c r="KRG225" s="1"/>
      <c r="KRH225" s="1"/>
      <c r="KRI225" s="1"/>
      <c r="KRJ225" s="1"/>
      <c r="KRK225" s="1"/>
      <c r="KRL225" s="1"/>
      <c r="KRM225" s="1"/>
      <c r="KRN225" s="1"/>
      <c r="KRO225" s="1"/>
      <c r="KRP225" s="1"/>
      <c r="KRQ225" s="1"/>
      <c r="KRR225" s="1"/>
      <c r="KRS225" s="1"/>
      <c r="KRT225" s="1"/>
      <c r="KRU225" s="1"/>
      <c r="KRV225" s="1"/>
      <c r="KRW225" s="1"/>
      <c r="KRX225" s="1"/>
      <c r="KRY225" s="1"/>
      <c r="KRZ225" s="1"/>
      <c r="KSA225" s="1"/>
      <c r="KSB225" s="1"/>
      <c r="KSC225" s="1"/>
      <c r="KSD225" s="1"/>
      <c r="KSE225" s="1"/>
      <c r="KSF225" s="1"/>
      <c r="KSG225" s="1"/>
      <c r="KSH225" s="1"/>
      <c r="KSI225" s="1"/>
      <c r="KSJ225" s="1"/>
      <c r="KSK225" s="1"/>
      <c r="KSL225" s="1"/>
      <c r="KSM225" s="1"/>
      <c r="KSN225" s="1"/>
      <c r="KSO225" s="1"/>
      <c r="KSP225" s="1"/>
      <c r="KSQ225" s="1"/>
      <c r="KSR225" s="1"/>
      <c r="KSS225" s="1"/>
      <c r="KST225" s="1"/>
      <c r="KSU225" s="1"/>
      <c r="KSV225" s="1"/>
      <c r="KSW225" s="1"/>
      <c r="KSX225" s="1"/>
      <c r="KSY225" s="1"/>
      <c r="KSZ225" s="1"/>
      <c r="KTA225" s="1"/>
      <c r="KTB225" s="1"/>
      <c r="KTC225" s="1"/>
      <c r="KTD225" s="1"/>
      <c r="KTE225" s="1"/>
      <c r="KTF225" s="1"/>
      <c r="KTG225" s="1"/>
      <c r="KTH225" s="1"/>
      <c r="KTI225" s="1"/>
      <c r="KTJ225" s="1"/>
      <c r="KTK225" s="1"/>
      <c r="KTL225" s="1"/>
      <c r="KTM225" s="1"/>
      <c r="KTN225" s="1"/>
      <c r="KTO225" s="1"/>
      <c r="KTP225" s="1"/>
      <c r="KTQ225" s="1"/>
      <c r="KTR225" s="1"/>
      <c r="KTS225" s="1"/>
      <c r="KTT225" s="1"/>
      <c r="KTU225" s="1"/>
      <c r="KTV225" s="1"/>
      <c r="KTW225" s="1"/>
      <c r="KTX225" s="1"/>
      <c r="KTY225" s="1"/>
      <c r="KTZ225" s="1"/>
      <c r="KUA225" s="1"/>
      <c r="KUB225" s="1"/>
      <c r="KUC225" s="1"/>
      <c r="KUD225" s="1"/>
      <c r="KUE225" s="1"/>
      <c r="KUF225" s="1"/>
      <c r="KUG225" s="1"/>
      <c r="KUH225" s="1"/>
      <c r="KUI225" s="1"/>
      <c r="KUJ225" s="1"/>
      <c r="KUK225" s="1"/>
      <c r="KUL225" s="1"/>
      <c r="KUM225" s="1"/>
      <c r="KUN225" s="1"/>
      <c r="KUO225" s="1"/>
      <c r="KUP225" s="1"/>
      <c r="KUQ225" s="1"/>
      <c r="KUR225" s="1"/>
      <c r="KUS225" s="1"/>
      <c r="KUT225" s="1"/>
      <c r="KUU225" s="1"/>
      <c r="KUV225" s="1"/>
      <c r="KUW225" s="1"/>
      <c r="KUX225" s="1"/>
      <c r="KUY225" s="1"/>
      <c r="KUZ225" s="1"/>
      <c r="KVA225" s="1"/>
      <c r="KVB225" s="1"/>
      <c r="KVC225" s="1"/>
      <c r="KVD225" s="1"/>
      <c r="KVE225" s="1"/>
      <c r="KVF225" s="1"/>
      <c r="KVG225" s="1"/>
      <c r="KVH225" s="1"/>
      <c r="KVI225" s="1"/>
      <c r="KVJ225" s="1"/>
      <c r="KVK225" s="1"/>
      <c r="KVL225" s="1"/>
      <c r="KVM225" s="1"/>
      <c r="KVN225" s="1"/>
      <c r="KVO225" s="1"/>
      <c r="KVP225" s="1"/>
      <c r="KVQ225" s="1"/>
      <c r="KVR225" s="1"/>
      <c r="KVS225" s="1"/>
      <c r="KVT225" s="1"/>
      <c r="KVU225" s="1"/>
      <c r="KVV225" s="1"/>
      <c r="KVW225" s="1"/>
      <c r="KVX225" s="1"/>
      <c r="KVY225" s="1"/>
      <c r="KVZ225" s="1"/>
      <c r="KWA225" s="1"/>
      <c r="KWB225" s="1"/>
      <c r="KWC225" s="1"/>
      <c r="KWD225" s="1"/>
      <c r="KWE225" s="1"/>
      <c r="KWF225" s="1"/>
      <c r="KWG225" s="1"/>
      <c r="KWH225" s="1"/>
      <c r="KWI225" s="1"/>
      <c r="KWJ225" s="1"/>
      <c r="KWK225" s="1"/>
      <c r="KWL225" s="1"/>
      <c r="KWM225" s="1"/>
      <c r="KWN225" s="1"/>
      <c r="KWO225" s="1"/>
      <c r="KWP225" s="1"/>
      <c r="KWQ225" s="1"/>
      <c r="KWR225" s="1"/>
      <c r="KWS225" s="1"/>
      <c r="KWT225" s="1"/>
      <c r="KWU225" s="1"/>
      <c r="KWV225" s="1"/>
      <c r="KWW225" s="1"/>
      <c r="KWX225" s="1"/>
      <c r="KWY225" s="1"/>
      <c r="KWZ225" s="1"/>
      <c r="KXA225" s="1"/>
      <c r="KXB225" s="1"/>
      <c r="KXC225" s="1"/>
      <c r="KXD225" s="1"/>
      <c r="KXE225" s="1"/>
      <c r="KXF225" s="1"/>
      <c r="KXG225" s="1"/>
      <c r="KXH225" s="1"/>
      <c r="KXI225" s="1"/>
      <c r="KXJ225" s="1"/>
      <c r="KXK225" s="1"/>
      <c r="KXL225" s="1"/>
      <c r="KXM225" s="1"/>
      <c r="KXN225" s="1"/>
      <c r="KXO225" s="1"/>
      <c r="KXP225" s="1"/>
      <c r="KXQ225" s="1"/>
      <c r="KXR225" s="1"/>
      <c r="KXS225" s="1"/>
      <c r="KXT225" s="1"/>
      <c r="KXU225" s="1"/>
      <c r="KXV225" s="1"/>
      <c r="KXW225" s="1"/>
      <c r="KXX225" s="1"/>
      <c r="KXY225" s="1"/>
      <c r="KXZ225" s="1"/>
      <c r="KYA225" s="1"/>
      <c r="KYB225" s="1"/>
      <c r="KYC225" s="1"/>
      <c r="KYD225" s="1"/>
      <c r="KYE225" s="1"/>
      <c r="KYF225" s="1"/>
      <c r="KYG225" s="1"/>
      <c r="KYH225" s="1"/>
      <c r="KYI225" s="1"/>
      <c r="KYJ225" s="1"/>
      <c r="KYK225" s="1"/>
      <c r="KYL225" s="1"/>
      <c r="KYM225" s="1"/>
      <c r="KYN225" s="1"/>
      <c r="KYO225" s="1"/>
      <c r="KYP225" s="1"/>
      <c r="KYQ225" s="1"/>
      <c r="KYR225" s="1"/>
      <c r="KYS225" s="1"/>
      <c r="KYT225" s="1"/>
      <c r="KYU225" s="1"/>
      <c r="KYV225" s="1"/>
      <c r="KYW225" s="1"/>
      <c r="KYX225" s="1"/>
      <c r="KYY225" s="1"/>
      <c r="KYZ225" s="1"/>
      <c r="KZA225" s="1"/>
      <c r="KZB225" s="1"/>
      <c r="KZC225" s="1"/>
      <c r="KZD225" s="1"/>
      <c r="KZE225" s="1"/>
      <c r="KZF225" s="1"/>
      <c r="KZG225" s="1"/>
      <c r="KZH225" s="1"/>
      <c r="KZI225" s="1"/>
      <c r="KZJ225" s="1"/>
      <c r="KZK225" s="1"/>
      <c r="KZL225" s="1"/>
      <c r="KZM225" s="1"/>
      <c r="KZN225" s="1"/>
      <c r="KZO225" s="1"/>
      <c r="KZP225" s="1"/>
      <c r="KZQ225" s="1"/>
      <c r="KZR225" s="1"/>
      <c r="KZS225" s="1"/>
      <c r="KZT225" s="1"/>
      <c r="KZU225" s="1"/>
      <c r="KZV225" s="1"/>
      <c r="KZW225" s="1"/>
      <c r="KZX225" s="1"/>
      <c r="KZY225" s="1"/>
      <c r="KZZ225" s="1"/>
      <c r="LAA225" s="1"/>
      <c r="LAB225" s="1"/>
      <c r="LAC225" s="1"/>
      <c r="LAD225" s="1"/>
      <c r="LAE225" s="1"/>
      <c r="LAF225" s="1"/>
      <c r="LAG225" s="1"/>
      <c r="LAH225" s="1"/>
      <c r="LAI225" s="1"/>
      <c r="LAJ225" s="1"/>
      <c r="LAK225" s="1"/>
      <c r="LAL225" s="1"/>
      <c r="LAM225" s="1"/>
      <c r="LAN225" s="1"/>
      <c r="LAO225" s="1"/>
      <c r="LAP225" s="1"/>
      <c r="LAQ225" s="1"/>
      <c r="LAR225" s="1"/>
      <c r="LAS225" s="1"/>
      <c r="LAT225" s="1"/>
      <c r="LAU225" s="1"/>
      <c r="LAV225" s="1"/>
      <c r="LAW225" s="1"/>
      <c r="LAX225" s="1"/>
      <c r="LAY225" s="1"/>
      <c r="LAZ225" s="1"/>
      <c r="LBA225" s="1"/>
      <c r="LBB225" s="1"/>
      <c r="LBC225" s="1"/>
      <c r="LBD225" s="1"/>
      <c r="LBE225" s="1"/>
      <c r="LBF225" s="1"/>
      <c r="LBG225" s="1"/>
      <c r="LBH225" s="1"/>
      <c r="LBI225" s="1"/>
      <c r="LBJ225" s="1"/>
      <c r="LBK225" s="1"/>
      <c r="LBL225" s="1"/>
      <c r="LBM225" s="1"/>
      <c r="LBN225" s="1"/>
      <c r="LBO225" s="1"/>
      <c r="LBP225" s="1"/>
      <c r="LBQ225" s="1"/>
      <c r="LBR225" s="1"/>
      <c r="LBS225" s="1"/>
      <c r="LBT225" s="1"/>
      <c r="LBU225" s="1"/>
      <c r="LBV225" s="1"/>
      <c r="LBW225" s="1"/>
      <c r="LBX225" s="1"/>
      <c r="LBY225" s="1"/>
      <c r="LBZ225" s="1"/>
      <c r="LCA225" s="1"/>
      <c r="LCB225" s="1"/>
      <c r="LCC225" s="1"/>
      <c r="LCD225" s="1"/>
      <c r="LCE225" s="1"/>
      <c r="LCF225" s="1"/>
      <c r="LCG225" s="1"/>
      <c r="LCH225" s="1"/>
      <c r="LCI225" s="1"/>
      <c r="LCJ225" s="1"/>
      <c r="LCK225" s="1"/>
      <c r="LCL225" s="1"/>
      <c r="LCM225" s="1"/>
      <c r="LCN225" s="1"/>
      <c r="LCO225" s="1"/>
      <c r="LCP225" s="1"/>
      <c r="LCQ225" s="1"/>
      <c r="LCR225" s="1"/>
      <c r="LCS225" s="1"/>
      <c r="LCT225" s="1"/>
      <c r="LCU225" s="1"/>
      <c r="LCV225" s="1"/>
      <c r="LCW225" s="1"/>
      <c r="LCX225" s="1"/>
      <c r="LCY225" s="1"/>
      <c r="LCZ225" s="1"/>
      <c r="LDA225" s="1"/>
      <c r="LDB225" s="1"/>
      <c r="LDC225" s="1"/>
      <c r="LDD225" s="1"/>
      <c r="LDE225" s="1"/>
      <c r="LDF225" s="1"/>
      <c r="LDG225" s="1"/>
      <c r="LDH225" s="1"/>
      <c r="LDI225" s="1"/>
      <c r="LDJ225" s="1"/>
      <c r="LDK225" s="1"/>
      <c r="LDL225" s="1"/>
      <c r="LDM225" s="1"/>
      <c r="LDN225" s="1"/>
      <c r="LDO225" s="1"/>
      <c r="LDP225" s="1"/>
      <c r="LDQ225" s="1"/>
      <c r="LDR225" s="1"/>
      <c r="LDS225" s="1"/>
      <c r="LDT225" s="1"/>
      <c r="LDU225" s="1"/>
      <c r="LDV225" s="1"/>
      <c r="LDW225" s="1"/>
      <c r="LDX225" s="1"/>
      <c r="LDY225" s="1"/>
      <c r="LDZ225" s="1"/>
      <c r="LEA225" s="1"/>
      <c r="LEB225" s="1"/>
      <c r="LEC225" s="1"/>
      <c r="LED225" s="1"/>
      <c r="LEE225" s="1"/>
      <c r="LEF225" s="1"/>
      <c r="LEG225" s="1"/>
      <c r="LEH225" s="1"/>
      <c r="LEI225" s="1"/>
      <c r="LEJ225" s="1"/>
      <c r="LEK225" s="1"/>
      <c r="LEL225" s="1"/>
      <c r="LEM225" s="1"/>
      <c r="LEN225" s="1"/>
      <c r="LEO225" s="1"/>
      <c r="LEP225" s="1"/>
      <c r="LEQ225" s="1"/>
      <c r="LER225" s="1"/>
      <c r="LES225" s="1"/>
      <c r="LET225" s="1"/>
      <c r="LEU225" s="1"/>
      <c r="LEV225" s="1"/>
      <c r="LEW225" s="1"/>
      <c r="LEX225" s="1"/>
      <c r="LEY225" s="1"/>
      <c r="LEZ225" s="1"/>
      <c r="LFA225" s="1"/>
      <c r="LFB225" s="1"/>
      <c r="LFC225" s="1"/>
      <c r="LFD225" s="1"/>
      <c r="LFE225" s="1"/>
      <c r="LFF225" s="1"/>
      <c r="LFG225" s="1"/>
      <c r="LFH225" s="1"/>
      <c r="LFI225" s="1"/>
      <c r="LFJ225" s="1"/>
      <c r="LFK225" s="1"/>
      <c r="LFL225" s="1"/>
      <c r="LFM225" s="1"/>
      <c r="LFN225" s="1"/>
      <c r="LFO225" s="1"/>
      <c r="LFP225" s="1"/>
      <c r="LFQ225" s="1"/>
      <c r="LFR225" s="1"/>
      <c r="LFS225" s="1"/>
      <c r="LFT225" s="1"/>
      <c r="LFU225" s="1"/>
      <c r="LFV225" s="1"/>
      <c r="LFW225" s="1"/>
      <c r="LFX225" s="1"/>
      <c r="LFY225" s="1"/>
      <c r="LFZ225" s="1"/>
      <c r="LGA225" s="1"/>
      <c r="LGB225" s="1"/>
      <c r="LGC225" s="1"/>
      <c r="LGD225" s="1"/>
      <c r="LGE225" s="1"/>
      <c r="LGF225" s="1"/>
      <c r="LGG225" s="1"/>
      <c r="LGH225" s="1"/>
      <c r="LGI225" s="1"/>
      <c r="LGJ225" s="1"/>
      <c r="LGK225" s="1"/>
      <c r="LGL225" s="1"/>
      <c r="LGM225" s="1"/>
      <c r="LGN225" s="1"/>
      <c r="LGO225" s="1"/>
      <c r="LGP225" s="1"/>
      <c r="LGQ225" s="1"/>
      <c r="LGR225" s="1"/>
      <c r="LGS225" s="1"/>
      <c r="LGT225" s="1"/>
      <c r="LGU225" s="1"/>
      <c r="LGV225" s="1"/>
      <c r="LGW225" s="1"/>
      <c r="LGX225" s="1"/>
      <c r="LGY225" s="1"/>
      <c r="LGZ225" s="1"/>
      <c r="LHA225" s="1"/>
      <c r="LHB225" s="1"/>
      <c r="LHC225" s="1"/>
      <c r="LHD225" s="1"/>
      <c r="LHE225" s="1"/>
      <c r="LHF225" s="1"/>
      <c r="LHG225" s="1"/>
      <c r="LHH225" s="1"/>
      <c r="LHI225" s="1"/>
      <c r="LHJ225" s="1"/>
      <c r="LHK225" s="1"/>
      <c r="LHL225" s="1"/>
      <c r="LHM225" s="1"/>
      <c r="LHN225" s="1"/>
      <c r="LHO225" s="1"/>
      <c r="LHP225" s="1"/>
      <c r="LHQ225" s="1"/>
      <c r="LHR225" s="1"/>
      <c r="LHS225" s="1"/>
      <c r="LHT225" s="1"/>
      <c r="LHU225" s="1"/>
      <c r="LHV225" s="1"/>
      <c r="LHW225" s="1"/>
      <c r="LHX225" s="1"/>
      <c r="LHY225" s="1"/>
      <c r="LHZ225" s="1"/>
      <c r="LIA225" s="1"/>
      <c r="LIB225" s="1"/>
      <c r="LIC225" s="1"/>
      <c r="LID225" s="1"/>
      <c r="LIE225" s="1"/>
      <c r="LIF225" s="1"/>
      <c r="LIG225" s="1"/>
      <c r="LIH225" s="1"/>
      <c r="LII225" s="1"/>
      <c r="LIJ225" s="1"/>
      <c r="LIK225" s="1"/>
      <c r="LIL225" s="1"/>
      <c r="LIM225" s="1"/>
      <c r="LIN225" s="1"/>
      <c r="LIO225" s="1"/>
      <c r="LIP225" s="1"/>
      <c r="LIQ225" s="1"/>
      <c r="LIR225" s="1"/>
      <c r="LIS225" s="1"/>
      <c r="LIT225" s="1"/>
      <c r="LIU225" s="1"/>
      <c r="LIV225" s="1"/>
      <c r="LIW225" s="1"/>
      <c r="LIX225" s="1"/>
      <c r="LIY225" s="1"/>
      <c r="LIZ225" s="1"/>
      <c r="LJA225" s="1"/>
      <c r="LJB225" s="1"/>
      <c r="LJC225" s="1"/>
      <c r="LJD225" s="1"/>
      <c r="LJE225" s="1"/>
      <c r="LJF225" s="1"/>
      <c r="LJG225" s="1"/>
      <c r="LJH225" s="1"/>
      <c r="LJI225" s="1"/>
      <c r="LJJ225" s="1"/>
      <c r="LJK225" s="1"/>
      <c r="LJL225" s="1"/>
      <c r="LJM225" s="1"/>
      <c r="LJN225" s="1"/>
      <c r="LJO225" s="1"/>
      <c r="LJP225" s="1"/>
      <c r="LJQ225" s="1"/>
      <c r="LJR225" s="1"/>
      <c r="LJS225" s="1"/>
      <c r="LJT225" s="1"/>
      <c r="LJU225" s="1"/>
      <c r="LJV225" s="1"/>
      <c r="LJW225" s="1"/>
      <c r="LJX225" s="1"/>
      <c r="LJY225" s="1"/>
      <c r="LJZ225" s="1"/>
      <c r="LKA225" s="1"/>
      <c r="LKB225" s="1"/>
      <c r="LKC225" s="1"/>
      <c r="LKD225" s="1"/>
      <c r="LKE225" s="1"/>
      <c r="LKF225" s="1"/>
      <c r="LKG225" s="1"/>
      <c r="LKH225" s="1"/>
      <c r="LKI225" s="1"/>
      <c r="LKJ225" s="1"/>
      <c r="LKK225" s="1"/>
      <c r="LKL225" s="1"/>
      <c r="LKM225" s="1"/>
      <c r="LKN225" s="1"/>
      <c r="LKO225" s="1"/>
      <c r="LKP225" s="1"/>
      <c r="LKQ225" s="1"/>
      <c r="LKR225" s="1"/>
      <c r="LKS225" s="1"/>
      <c r="LKT225" s="1"/>
      <c r="LKU225" s="1"/>
      <c r="LKV225" s="1"/>
      <c r="LKW225" s="1"/>
      <c r="LKX225" s="1"/>
      <c r="LKY225" s="1"/>
      <c r="LKZ225" s="1"/>
      <c r="LLA225" s="1"/>
      <c r="LLB225" s="1"/>
      <c r="LLC225" s="1"/>
      <c r="LLD225" s="1"/>
      <c r="LLE225" s="1"/>
      <c r="LLF225" s="1"/>
      <c r="LLG225" s="1"/>
      <c r="LLH225" s="1"/>
      <c r="LLI225" s="1"/>
      <c r="LLJ225" s="1"/>
      <c r="LLK225" s="1"/>
      <c r="LLL225" s="1"/>
      <c r="LLM225" s="1"/>
      <c r="LLN225" s="1"/>
      <c r="LLO225" s="1"/>
      <c r="LLP225" s="1"/>
      <c r="LLQ225" s="1"/>
      <c r="LLR225" s="1"/>
      <c r="LLS225" s="1"/>
      <c r="LLT225" s="1"/>
      <c r="LLU225" s="1"/>
      <c r="LLV225" s="1"/>
      <c r="LLW225" s="1"/>
      <c r="LLX225" s="1"/>
      <c r="LLY225" s="1"/>
      <c r="LLZ225" s="1"/>
      <c r="LMA225" s="1"/>
      <c r="LMB225" s="1"/>
      <c r="LMC225" s="1"/>
      <c r="LMD225" s="1"/>
      <c r="LME225" s="1"/>
      <c r="LMF225" s="1"/>
      <c r="LMG225" s="1"/>
      <c r="LMH225" s="1"/>
      <c r="LMI225" s="1"/>
      <c r="LMJ225" s="1"/>
      <c r="LMK225" s="1"/>
      <c r="LML225" s="1"/>
      <c r="LMM225" s="1"/>
      <c r="LMN225" s="1"/>
      <c r="LMO225" s="1"/>
      <c r="LMP225" s="1"/>
      <c r="LMQ225" s="1"/>
      <c r="LMR225" s="1"/>
      <c r="LMS225" s="1"/>
      <c r="LMT225" s="1"/>
      <c r="LMU225" s="1"/>
      <c r="LMV225" s="1"/>
      <c r="LMW225" s="1"/>
      <c r="LMX225" s="1"/>
      <c r="LMY225" s="1"/>
      <c r="LMZ225" s="1"/>
      <c r="LNA225" s="1"/>
      <c r="LNB225" s="1"/>
      <c r="LNC225" s="1"/>
      <c r="LND225" s="1"/>
      <c r="LNE225" s="1"/>
      <c r="LNF225" s="1"/>
      <c r="LNG225" s="1"/>
      <c r="LNH225" s="1"/>
      <c r="LNI225" s="1"/>
      <c r="LNJ225" s="1"/>
      <c r="LNK225" s="1"/>
      <c r="LNL225" s="1"/>
      <c r="LNM225" s="1"/>
      <c r="LNN225" s="1"/>
      <c r="LNO225" s="1"/>
      <c r="LNP225" s="1"/>
      <c r="LNQ225" s="1"/>
      <c r="LNR225" s="1"/>
      <c r="LNS225" s="1"/>
      <c r="LNT225" s="1"/>
      <c r="LNU225" s="1"/>
      <c r="LNV225" s="1"/>
      <c r="LNW225" s="1"/>
      <c r="LNX225" s="1"/>
      <c r="LNY225" s="1"/>
      <c r="LNZ225" s="1"/>
      <c r="LOA225" s="1"/>
      <c r="LOB225" s="1"/>
      <c r="LOC225" s="1"/>
      <c r="LOD225" s="1"/>
      <c r="LOE225" s="1"/>
      <c r="LOF225" s="1"/>
      <c r="LOG225" s="1"/>
      <c r="LOH225" s="1"/>
      <c r="LOI225" s="1"/>
      <c r="LOJ225" s="1"/>
      <c r="LOK225" s="1"/>
      <c r="LOL225" s="1"/>
      <c r="LOM225" s="1"/>
      <c r="LON225" s="1"/>
      <c r="LOO225" s="1"/>
      <c r="LOP225" s="1"/>
      <c r="LOQ225" s="1"/>
      <c r="LOR225" s="1"/>
      <c r="LOS225" s="1"/>
      <c r="LOT225" s="1"/>
      <c r="LOU225" s="1"/>
      <c r="LOV225" s="1"/>
      <c r="LOW225" s="1"/>
      <c r="LOX225" s="1"/>
      <c r="LOY225" s="1"/>
      <c r="LOZ225" s="1"/>
      <c r="LPA225" s="1"/>
      <c r="LPB225" s="1"/>
      <c r="LPC225" s="1"/>
      <c r="LPD225" s="1"/>
      <c r="LPE225" s="1"/>
      <c r="LPF225" s="1"/>
      <c r="LPG225" s="1"/>
      <c r="LPH225" s="1"/>
      <c r="LPI225" s="1"/>
      <c r="LPJ225" s="1"/>
      <c r="LPK225" s="1"/>
      <c r="LPL225" s="1"/>
      <c r="LPM225" s="1"/>
      <c r="LPN225" s="1"/>
      <c r="LPO225" s="1"/>
      <c r="LPP225" s="1"/>
      <c r="LPQ225" s="1"/>
      <c r="LPR225" s="1"/>
      <c r="LPS225" s="1"/>
      <c r="LPT225" s="1"/>
      <c r="LPU225" s="1"/>
      <c r="LPV225" s="1"/>
      <c r="LPW225" s="1"/>
      <c r="LPX225" s="1"/>
      <c r="LPY225" s="1"/>
      <c r="LPZ225" s="1"/>
      <c r="LQA225" s="1"/>
      <c r="LQB225" s="1"/>
      <c r="LQC225" s="1"/>
      <c r="LQD225" s="1"/>
      <c r="LQE225" s="1"/>
      <c r="LQF225" s="1"/>
      <c r="LQG225" s="1"/>
      <c r="LQH225" s="1"/>
      <c r="LQI225" s="1"/>
      <c r="LQJ225" s="1"/>
      <c r="LQK225" s="1"/>
      <c r="LQL225" s="1"/>
      <c r="LQM225" s="1"/>
      <c r="LQN225" s="1"/>
      <c r="LQO225" s="1"/>
      <c r="LQP225" s="1"/>
      <c r="LQQ225" s="1"/>
      <c r="LQR225" s="1"/>
      <c r="LQS225" s="1"/>
      <c r="LQT225" s="1"/>
      <c r="LQU225" s="1"/>
      <c r="LQV225" s="1"/>
      <c r="LQW225" s="1"/>
      <c r="LQX225" s="1"/>
      <c r="LQY225" s="1"/>
      <c r="LQZ225" s="1"/>
      <c r="LRA225" s="1"/>
      <c r="LRB225" s="1"/>
      <c r="LRC225" s="1"/>
      <c r="LRD225" s="1"/>
      <c r="LRE225" s="1"/>
      <c r="LRF225" s="1"/>
      <c r="LRG225" s="1"/>
      <c r="LRH225" s="1"/>
      <c r="LRI225" s="1"/>
      <c r="LRJ225" s="1"/>
      <c r="LRK225" s="1"/>
      <c r="LRL225" s="1"/>
      <c r="LRM225" s="1"/>
      <c r="LRN225" s="1"/>
      <c r="LRO225" s="1"/>
      <c r="LRP225" s="1"/>
      <c r="LRQ225" s="1"/>
      <c r="LRR225" s="1"/>
      <c r="LRS225" s="1"/>
      <c r="LRT225" s="1"/>
      <c r="LRU225" s="1"/>
      <c r="LRV225" s="1"/>
      <c r="LRW225" s="1"/>
      <c r="LRX225" s="1"/>
      <c r="LRY225" s="1"/>
      <c r="LRZ225" s="1"/>
      <c r="LSA225" s="1"/>
      <c r="LSB225" s="1"/>
      <c r="LSC225" s="1"/>
      <c r="LSD225" s="1"/>
      <c r="LSE225" s="1"/>
      <c r="LSF225" s="1"/>
      <c r="LSG225" s="1"/>
      <c r="LSH225" s="1"/>
      <c r="LSI225" s="1"/>
      <c r="LSJ225" s="1"/>
      <c r="LSK225" s="1"/>
      <c r="LSL225" s="1"/>
      <c r="LSM225" s="1"/>
      <c r="LSN225" s="1"/>
      <c r="LSO225" s="1"/>
      <c r="LSP225" s="1"/>
      <c r="LSQ225" s="1"/>
      <c r="LSR225" s="1"/>
      <c r="LSS225" s="1"/>
      <c r="LST225" s="1"/>
      <c r="LSU225" s="1"/>
      <c r="LSV225" s="1"/>
      <c r="LSW225" s="1"/>
      <c r="LSX225" s="1"/>
      <c r="LSY225" s="1"/>
      <c r="LSZ225" s="1"/>
      <c r="LTA225" s="1"/>
      <c r="LTB225" s="1"/>
      <c r="LTC225" s="1"/>
      <c r="LTD225" s="1"/>
      <c r="LTE225" s="1"/>
      <c r="LTF225" s="1"/>
      <c r="LTG225" s="1"/>
      <c r="LTH225" s="1"/>
      <c r="LTI225" s="1"/>
      <c r="LTJ225" s="1"/>
      <c r="LTK225" s="1"/>
      <c r="LTL225" s="1"/>
      <c r="LTM225" s="1"/>
      <c r="LTN225" s="1"/>
      <c r="LTO225" s="1"/>
      <c r="LTP225" s="1"/>
      <c r="LTQ225" s="1"/>
      <c r="LTR225" s="1"/>
      <c r="LTS225" s="1"/>
      <c r="LTT225" s="1"/>
      <c r="LTU225" s="1"/>
      <c r="LTV225" s="1"/>
      <c r="LTW225" s="1"/>
      <c r="LTX225" s="1"/>
      <c r="LTY225" s="1"/>
      <c r="LTZ225" s="1"/>
      <c r="LUA225" s="1"/>
      <c r="LUB225" s="1"/>
      <c r="LUC225" s="1"/>
      <c r="LUD225" s="1"/>
      <c r="LUE225" s="1"/>
      <c r="LUF225" s="1"/>
      <c r="LUG225" s="1"/>
      <c r="LUH225" s="1"/>
      <c r="LUI225" s="1"/>
      <c r="LUJ225" s="1"/>
      <c r="LUK225" s="1"/>
      <c r="LUL225" s="1"/>
      <c r="LUM225" s="1"/>
      <c r="LUN225" s="1"/>
      <c r="LUO225" s="1"/>
      <c r="LUP225" s="1"/>
      <c r="LUQ225" s="1"/>
      <c r="LUR225" s="1"/>
      <c r="LUS225" s="1"/>
      <c r="LUT225" s="1"/>
      <c r="LUU225" s="1"/>
      <c r="LUV225" s="1"/>
      <c r="LUW225" s="1"/>
      <c r="LUX225" s="1"/>
      <c r="LUY225" s="1"/>
      <c r="LUZ225" s="1"/>
      <c r="LVA225" s="1"/>
      <c r="LVB225" s="1"/>
      <c r="LVC225" s="1"/>
      <c r="LVD225" s="1"/>
      <c r="LVE225" s="1"/>
      <c r="LVF225" s="1"/>
      <c r="LVG225" s="1"/>
      <c r="LVH225" s="1"/>
      <c r="LVI225" s="1"/>
      <c r="LVJ225" s="1"/>
      <c r="LVK225" s="1"/>
      <c r="LVL225" s="1"/>
      <c r="LVM225" s="1"/>
      <c r="LVN225" s="1"/>
      <c r="LVO225" s="1"/>
      <c r="LVP225" s="1"/>
      <c r="LVQ225" s="1"/>
      <c r="LVR225" s="1"/>
      <c r="LVS225" s="1"/>
      <c r="LVT225" s="1"/>
      <c r="LVU225" s="1"/>
      <c r="LVV225" s="1"/>
      <c r="LVW225" s="1"/>
      <c r="LVX225" s="1"/>
      <c r="LVY225" s="1"/>
      <c r="LVZ225" s="1"/>
      <c r="LWA225" s="1"/>
      <c r="LWB225" s="1"/>
      <c r="LWC225" s="1"/>
      <c r="LWD225" s="1"/>
      <c r="LWE225" s="1"/>
      <c r="LWF225" s="1"/>
      <c r="LWG225" s="1"/>
      <c r="LWH225" s="1"/>
      <c r="LWI225" s="1"/>
      <c r="LWJ225" s="1"/>
      <c r="LWK225" s="1"/>
      <c r="LWL225" s="1"/>
      <c r="LWM225" s="1"/>
      <c r="LWN225" s="1"/>
      <c r="LWO225" s="1"/>
      <c r="LWP225" s="1"/>
      <c r="LWQ225" s="1"/>
      <c r="LWR225" s="1"/>
      <c r="LWS225" s="1"/>
      <c r="LWT225" s="1"/>
      <c r="LWU225" s="1"/>
      <c r="LWV225" s="1"/>
      <c r="LWW225" s="1"/>
      <c r="LWX225" s="1"/>
      <c r="LWY225" s="1"/>
      <c r="LWZ225" s="1"/>
      <c r="LXA225" s="1"/>
      <c r="LXB225" s="1"/>
      <c r="LXC225" s="1"/>
      <c r="LXD225" s="1"/>
      <c r="LXE225" s="1"/>
      <c r="LXF225" s="1"/>
      <c r="LXG225" s="1"/>
      <c r="LXH225" s="1"/>
      <c r="LXI225" s="1"/>
      <c r="LXJ225" s="1"/>
      <c r="LXK225" s="1"/>
      <c r="LXL225" s="1"/>
      <c r="LXM225" s="1"/>
      <c r="LXN225" s="1"/>
      <c r="LXO225" s="1"/>
      <c r="LXP225" s="1"/>
      <c r="LXQ225" s="1"/>
      <c r="LXR225" s="1"/>
      <c r="LXS225" s="1"/>
      <c r="LXT225" s="1"/>
      <c r="LXU225" s="1"/>
      <c r="LXV225" s="1"/>
      <c r="LXW225" s="1"/>
      <c r="LXX225" s="1"/>
      <c r="LXY225" s="1"/>
      <c r="LXZ225" s="1"/>
      <c r="LYA225" s="1"/>
      <c r="LYB225" s="1"/>
      <c r="LYC225" s="1"/>
      <c r="LYD225" s="1"/>
      <c r="LYE225" s="1"/>
      <c r="LYF225" s="1"/>
      <c r="LYG225" s="1"/>
      <c r="LYH225" s="1"/>
      <c r="LYI225" s="1"/>
      <c r="LYJ225" s="1"/>
      <c r="LYK225" s="1"/>
      <c r="LYL225" s="1"/>
      <c r="LYM225" s="1"/>
      <c r="LYN225" s="1"/>
      <c r="LYO225" s="1"/>
      <c r="LYP225" s="1"/>
      <c r="LYQ225" s="1"/>
      <c r="LYR225" s="1"/>
      <c r="LYS225" s="1"/>
      <c r="LYT225" s="1"/>
      <c r="LYU225" s="1"/>
      <c r="LYV225" s="1"/>
      <c r="LYW225" s="1"/>
      <c r="LYX225" s="1"/>
      <c r="LYY225" s="1"/>
      <c r="LYZ225" s="1"/>
      <c r="LZA225" s="1"/>
      <c r="LZB225" s="1"/>
      <c r="LZC225" s="1"/>
      <c r="LZD225" s="1"/>
      <c r="LZE225" s="1"/>
      <c r="LZF225" s="1"/>
      <c r="LZG225" s="1"/>
      <c r="LZH225" s="1"/>
      <c r="LZI225" s="1"/>
      <c r="LZJ225" s="1"/>
      <c r="LZK225" s="1"/>
      <c r="LZL225" s="1"/>
      <c r="LZM225" s="1"/>
      <c r="LZN225" s="1"/>
      <c r="LZO225" s="1"/>
      <c r="LZP225" s="1"/>
      <c r="LZQ225" s="1"/>
      <c r="LZR225" s="1"/>
      <c r="LZS225" s="1"/>
      <c r="LZT225" s="1"/>
      <c r="LZU225" s="1"/>
      <c r="LZV225" s="1"/>
      <c r="LZW225" s="1"/>
      <c r="LZX225" s="1"/>
      <c r="LZY225" s="1"/>
      <c r="LZZ225" s="1"/>
      <c r="MAA225" s="1"/>
      <c r="MAB225" s="1"/>
      <c r="MAC225" s="1"/>
      <c r="MAD225" s="1"/>
      <c r="MAE225" s="1"/>
      <c r="MAF225" s="1"/>
      <c r="MAG225" s="1"/>
      <c r="MAH225" s="1"/>
      <c r="MAI225" s="1"/>
      <c r="MAJ225" s="1"/>
      <c r="MAK225" s="1"/>
      <c r="MAL225" s="1"/>
      <c r="MAM225" s="1"/>
      <c r="MAN225" s="1"/>
      <c r="MAO225" s="1"/>
      <c r="MAP225" s="1"/>
      <c r="MAQ225" s="1"/>
      <c r="MAR225" s="1"/>
      <c r="MAS225" s="1"/>
      <c r="MAT225" s="1"/>
      <c r="MAU225" s="1"/>
      <c r="MAV225" s="1"/>
      <c r="MAW225" s="1"/>
      <c r="MAX225" s="1"/>
      <c r="MAY225" s="1"/>
      <c r="MAZ225" s="1"/>
      <c r="MBA225" s="1"/>
      <c r="MBB225" s="1"/>
      <c r="MBC225" s="1"/>
      <c r="MBD225" s="1"/>
      <c r="MBE225" s="1"/>
      <c r="MBF225" s="1"/>
      <c r="MBG225" s="1"/>
      <c r="MBH225" s="1"/>
      <c r="MBI225" s="1"/>
      <c r="MBJ225" s="1"/>
      <c r="MBK225" s="1"/>
      <c r="MBL225" s="1"/>
      <c r="MBM225" s="1"/>
      <c r="MBN225" s="1"/>
      <c r="MBO225" s="1"/>
      <c r="MBP225" s="1"/>
      <c r="MBQ225" s="1"/>
      <c r="MBR225" s="1"/>
      <c r="MBS225" s="1"/>
      <c r="MBT225" s="1"/>
      <c r="MBU225" s="1"/>
      <c r="MBV225" s="1"/>
      <c r="MBW225" s="1"/>
      <c r="MBX225" s="1"/>
      <c r="MBY225" s="1"/>
      <c r="MBZ225" s="1"/>
      <c r="MCA225" s="1"/>
      <c r="MCB225" s="1"/>
      <c r="MCC225" s="1"/>
      <c r="MCD225" s="1"/>
      <c r="MCE225" s="1"/>
      <c r="MCF225" s="1"/>
      <c r="MCG225" s="1"/>
      <c r="MCH225" s="1"/>
      <c r="MCI225" s="1"/>
      <c r="MCJ225" s="1"/>
      <c r="MCK225" s="1"/>
      <c r="MCL225" s="1"/>
      <c r="MCM225" s="1"/>
      <c r="MCN225" s="1"/>
      <c r="MCO225" s="1"/>
      <c r="MCP225" s="1"/>
      <c r="MCQ225" s="1"/>
      <c r="MCR225" s="1"/>
      <c r="MCS225" s="1"/>
      <c r="MCT225" s="1"/>
      <c r="MCU225" s="1"/>
      <c r="MCV225" s="1"/>
      <c r="MCW225" s="1"/>
      <c r="MCX225" s="1"/>
      <c r="MCY225" s="1"/>
      <c r="MCZ225" s="1"/>
      <c r="MDA225" s="1"/>
      <c r="MDB225" s="1"/>
      <c r="MDC225" s="1"/>
      <c r="MDD225" s="1"/>
      <c r="MDE225" s="1"/>
      <c r="MDF225" s="1"/>
      <c r="MDG225" s="1"/>
      <c r="MDH225" s="1"/>
      <c r="MDI225" s="1"/>
      <c r="MDJ225" s="1"/>
      <c r="MDK225" s="1"/>
      <c r="MDL225" s="1"/>
      <c r="MDM225" s="1"/>
      <c r="MDN225" s="1"/>
      <c r="MDO225" s="1"/>
      <c r="MDP225" s="1"/>
      <c r="MDQ225" s="1"/>
      <c r="MDR225" s="1"/>
      <c r="MDS225" s="1"/>
      <c r="MDT225" s="1"/>
      <c r="MDU225" s="1"/>
      <c r="MDV225" s="1"/>
      <c r="MDW225" s="1"/>
      <c r="MDX225" s="1"/>
      <c r="MDY225" s="1"/>
      <c r="MDZ225" s="1"/>
      <c r="MEA225" s="1"/>
      <c r="MEB225" s="1"/>
      <c r="MEC225" s="1"/>
      <c r="MED225" s="1"/>
      <c r="MEE225" s="1"/>
      <c r="MEF225" s="1"/>
      <c r="MEG225" s="1"/>
      <c r="MEH225" s="1"/>
      <c r="MEI225" s="1"/>
      <c r="MEJ225" s="1"/>
      <c r="MEK225" s="1"/>
      <c r="MEL225" s="1"/>
      <c r="MEM225" s="1"/>
      <c r="MEN225" s="1"/>
      <c r="MEO225" s="1"/>
      <c r="MEP225" s="1"/>
      <c r="MEQ225" s="1"/>
      <c r="MER225" s="1"/>
      <c r="MES225" s="1"/>
      <c r="MET225" s="1"/>
      <c r="MEU225" s="1"/>
      <c r="MEV225" s="1"/>
      <c r="MEW225" s="1"/>
      <c r="MEX225" s="1"/>
      <c r="MEY225" s="1"/>
      <c r="MEZ225" s="1"/>
      <c r="MFA225" s="1"/>
      <c r="MFB225" s="1"/>
      <c r="MFC225" s="1"/>
      <c r="MFD225" s="1"/>
      <c r="MFE225" s="1"/>
      <c r="MFF225" s="1"/>
      <c r="MFG225" s="1"/>
      <c r="MFH225" s="1"/>
      <c r="MFI225" s="1"/>
      <c r="MFJ225" s="1"/>
      <c r="MFK225" s="1"/>
      <c r="MFL225" s="1"/>
      <c r="MFM225" s="1"/>
      <c r="MFN225" s="1"/>
      <c r="MFO225" s="1"/>
      <c r="MFP225" s="1"/>
      <c r="MFQ225" s="1"/>
      <c r="MFR225" s="1"/>
      <c r="MFS225" s="1"/>
      <c r="MFT225" s="1"/>
      <c r="MFU225" s="1"/>
      <c r="MFV225" s="1"/>
      <c r="MFW225" s="1"/>
      <c r="MFX225" s="1"/>
      <c r="MFY225" s="1"/>
      <c r="MFZ225" s="1"/>
      <c r="MGA225" s="1"/>
      <c r="MGB225" s="1"/>
      <c r="MGC225" s="1"/>
      <c r="MGD225" s="1"/>
      <c r="MGE225" s="1"/>
      <c r="MGF225" s="1"/>
      <c r="MGG225" s="1"/>
      <c r="MGH225" s="1"/>
      <c r="MGI225" s="1"/>
      <c r="MGJ225" s="1"/>
      <c r="MGK225" s="1"/>
      <c r="MGL225" s="1"/>
      <c r="MGM225" s="1"/>
      <c r="MGN225" s="1"/>
      <c r="MGO225" s="1"/>
      <c r="MGP225" s="1"/>
      <c r="MGQ225" s="1"/>
      <c r="MGR225" s="1"/>
      <c r="MGS225" s="1"/>
      <c r="MGT225" s="1"/>
      <c r="MGU225" s="1"/>
      <c r="MGV225" s="1"/>
      <c r="MGW225" s="1"/>
      <c r="MGX225" s="1"/>
      <c r="MGY225" s="1"/>
      <c r="MGZ225" s="1"/>
      <c r="MHA225" s="1"/>
      <c r="MHB225" s="1"/>
      <c r="MHC225" s="1"/>
      <c r="MHD225" s="1"/>
      <c r="MHE225" s="1"/>
      <c r="MHF225" s="1"/>
      <c r="MHG225" s="1"/>
      <c r="MHH225" s="1"/>
      <c r="MHI225" s="1"/>
      <c r="MHJ225" s="1"/>
      <c r="MHK225" s="1"/>
      <c r="MHL225" s="1"/>
      <c r="MHM225" s="1"/>
      <c r="MHN225" s="1"/>
      <c r="MHO225" s="1"/>
      <c r="MHP225" s="1"/>
      <c r="MHQ225" s="1"/>
      <c r="MHR225" s="1"/>
      <c r="MHS225" s="1"/>
      <c r="MHT225" s="1"/>
      <c r="MHU225" s="1"/>
      <c r="MHV225" s="1"/>
      <c r="MHW225" s="1"/>
      <c r="MHX225" s="1"/>
      <c r="MHY225" s="1"/>
      <c r="MHZ225" s="1"/>
      <c r="MIA225" s="1"/>
      <c r="MIB225" s="1"/>
      <c r="MIC225" s="1"/>
      <c r="MID225" s="1"/>
      <c r="MIE225" s="1"/>
      <c r="MIF225" s="1"/>
      <c r="MIG225" s="1"/>
      <c r="MIH225" s="1"/>
      <c r="MII225" s="1"/>
      <c r="MIJ225" s="1"/>
      <c r="MIK225" s="1"/>
      <c r="MIL225" s="1"/>
      <c r="MIM225" s="1"/>
      <c r="MIN225" s="1"/>
      <c r="MIO225" s="1"/>
      <c r="MIP225" s="1"/>
      <c r="MIQ225" s="1"/>
      <c r="MIR225" s="1"/>
      <c r="MIS225" s="1"/>
      <c r="MIT225" s="1"/>
      <c r="MIU225" s="1"/>
      <c r="MIV225" s="1"/>
      <c r="MIW225" s="1"/>
      <c r="MIX225" s="1"/>
      <c r="MIY225" s="1"/>
      <c r="MIZ225" s="1"/>
      <c r="MJA225" s="1"/>
      <c r="MJB225" s="1"/>
      <c r="MJC225" s="1"/>
      <c r="MJD225" s="1"/>
      <c r="MJE225" s="1"/>
      <c r="MJF225" s="1"/>
      <c r="MJG225" s="1"/>
      <c r="MJH225" s="1"/>
      <c r="MJI225" s="1"/>
      <c r="MJJ225" s="1"/>
      <c r="MJK225" s="1"/>
      <c r="MJL225" s="1"/>
      <c r="MJM225" s="1"/>
      <c r="MJN225" s="1"/>
      <c r="MJO225" s="1"/>
      <c r="MJP225" s="1"/>
      <c r="MJQ225" s="1"/>
      <c r="MJR225" s="1"/>
      <c r="MJS225" s="1"/>
      <c r="MJT225" s="1"/>
      <c r="MJU225" s="1"/>
      <c r="MJV225" s="1"/>
      <c r="MJW225" s="1"/>
      <c r="MJX225" s="1"/>
      <c r="MJY225" s="1"/>
      <c r="MJZ225" s="1"/>
      <c r="MKA225" s="1"/>
      <c r="MKB225" s="1"/>
      <c r="MKC225" s="1"/>
      <c r="MKD225" s="1"/>
      <c r="MKE225" s="1"/>
      <c r="MKF225" s="1"/>
      <c r="MKG225" s="1"/>
      <c r="MKH225" s="1"/>
      <c r="MKI225" s="1"/>
      <c r="MKJ225" s="1"/>
      <c r="MKK225" s="1"/>
      <c r="MKL225" s="1"/>
      <c r="MKM225" s="1"/>
      <c r="MKN225" s="1"/>
      <c r="MKO225" s="1"/>
      <c r="MKP225" s="1"/>
      <c r="MKQ225" s="1"/>
      <c r="MKR225" s="1"/>
      <c r="MKS225" s="1"/>
      <c r="MKT225" s="1"/>
      <c r="MKU225" s="1"/>
      <c r="MKV225" s="1"/>
      <c r="MKW225" s="1"/>
      <c r="MKX225" s="1"/>
      <c r="MKY225" s="1"/>
      <c r="MKZ225" s="1"/>
      <c r="MLA225" s="1"/>
      <c r="MLB225" s="1"/>
      <c r="MLC225" s="1"/>
      <c r="MLD225" s="1"/>
      <c r="MLE225" s="1"/>
      <c r="MLF225" s="1"/>
      <c r="MLG225" s="1"/>
      <c r="MLH225" s="1"/>
      <c r="MLI225" s="1"/>
      <c r="MLJ225" s="1"/>
      <c r="MLK225" s="1"/>
      <c r="MLL225" s="1"/>
      <c r="MLM225" s="1"/>
      <c r="MLN225" s="1"/>
      <c r="MLO225" s="1"/>
      <c r="MLP225" s="1"/>
      <c r="MLQ225" s="1"/>
      <c r="MLR225" s="1"/>
      <c r="MLS225" s="1"/>
      <c r="MLT225" s="1"/>
      <c r="MLU225" s="1"/>
      <c r="MLV225" s="1"/>
      <c r="MLW225" s="1"/>
      <c r="MLX225" s="1"/>
      <c r="MLY225" s="1"/>
      <c r="MLZ225" s="1"/>
      <c r="MMA225" s="1"/>
      <c r="MMB225" s="1"/>
      <c r="MMC225" s="1"/>
      <c r="MMD225" s="1"/>
      <c r="MME225" s="1"/>
      <c r="MMF225" s="1"/>
      <c r="MMG225" s="1"/>
      <c r="MMH225" s="1"/>
      <c r="MMI225" s="1"/>
      <c r="MMJ225" s="1"/>
      <c r="MMK225" s="1"/>
      <c r="MML225" s="1"/>
      <c r="MMM225" s="1"/>
      <c r="MMN225" s="1"/>
      <c r="MMO225" s="1"/>
      <c r="MMP225" s="1"/>
      <c r="MMQ225" s="1"/>
      <c r="MMR225" s="1"/>
      <c r="MMS225" s="1"/>
      <c r="MMT225" s="1"/>
      <c r="MMU225" s="1"/>
      <c r="MMV225" s="1"/>
      <c r="MMW225" s="1"/>
      <c r="MMX225" s="1"/>
      <c r="MMY225" s="1"/>
      <c r="MMZ225" s="1"/>
      <c r="MNA225" s="1"/>
      <c r="MNB225" s="1"/>
      <c r="MNC225" s="1"/>
      <c r="MND225" s="1"/>
      <c r="MNE225" s="1"/>
      <c r="MNF225" s="1"/>
      <c r="MNG225" s="1"/>
      <c r="MNH225" s="1"/>
      <c r="MNI225" s="1"/>
      <c r="MNJ225" s="1"/>
      <c r="MNK225" s="1"/>
      <c r="MNL225" s="1"/>
      <c r="MNM225" s="1"/>
      <c r="MNN225" s="1"/>
      <c r="MNO225" s="1"/>
      <c r="MNP225" s="1"/>
      <c r="MNQ225" s="1"/>
      <c r="MNR225" s="1"/>
      <c r="MNS225" s="1"/>
      <c r="MNT225" s="1"/>
      <c r="MNU225" s="1"/>
      <c r="MNV225" s="1"/>
      <c r="MNW225" s="1"/>
      <c r="MNX225" s="1"/>
      <c r="MNY225" s="1"/>
      <c r="MNZ225" s="1"/>
      <c r="MOA225" s="1"/>
      <c r="MOB225" s="1"/>
      <c r="MOC225" s="1"/>
      <c r="MOD225" s="1"/>
      <c r="MOE225" s="1"/>
      <c r="MOF225" s="1"/>
      <c r="MOG225" s="1"/>
      <c r="MOH225" s="1"/>
      <c r="MOI225" s="1"/>
      <c r="MOJ225" s="1"/>
      <c r="MOK225" s="1"/>
      <c r="MOL225" s="1"/>
      <c r="MOM225" s="1"/>
      <c r="MON225" s="1"/>
      <c r="MOO225" s="1"/>
      <c r="MOP225" s="1"/>
      <c r="MOQ225" s="1"/>
      <c r="MOR225" s="1"/>
      <c r="MOS225" s="1"/>
      <c r="MOT225" s="1"/>
      <c r="MOU225" s="1"/>
      <c r="MOV225" s="1"/>
      <c r="MOW225" s="1"/>
      <c r="MOX225" s="1"/>
      <c r="MOY225" s="1"/>
      <c r="MOZ225" s="1"/>
      <c r="MPA225" s="1"/>
      <c r="MPB225" s="1"/>
      <c r="MPC225" s="1"/>
      <c r="MPD225" s="1"/>
      <c r="MPE225" s="1"/>
      <c r="MPF225" s="1"/>
      <c r="MPG225" s="1"/>
      <c r="MPH225" s="1"/>
      <c r="MPI225" s="1"/>
      <c r="MPJ225" s="1"/>
      <c r="MPK225" s="1"/>
      <c r="MPL225" s="1"/>
      <c r="MPM225" s="1"/>
      <c r="MPN225" s="1"/>
      <c r="MPO225" s="1"/>
      <c r="MPP225" s="1"/>
      <c r="MPQ225" s="1"/>
      <c r="MPR225" s="1"/>
      <c r="MPS225" s="1"/>
      <c r="MPT225" s="1"/>
      <c r="MPU225" s="1"/>
      <c r="MPV225" s="1"/>
      <c r="MPW225" s="1"/>
      <c r="MPX225" s="1"/>
      <c r="MPY225" s="1"/>
      <c r="MPZ225" s="1"/>
      <c r="MQA225" s="1"/>
      <c r="MQB225" s="1"/>
      <c r="MQC225" s="1"/>
      <c r="MQD225" s="1"/>
      <c r="MQE225" s="1"/>
      <c r="MQF225" s="1"/>
      <c r="MQG225" s="1"/>
      <c r="MQH225" s="1"/>
      <c r="MQI225" s="1"/>
      <c r="MQJ225" s="1"/>
      <c r="MQK225" s="1"/>
      <c r="MQL225" s="1"/>
      <c r="MQM225" s="1"/>
      <c r="MQN225" s="1"/>
      <c r="MQO225" s="1"/>
      <c r="MQP225" s="1"/>
      <c r="MQQ225" s="1"/>
      <c r="MQR225" s="1"/>
      <c r="MQS225" s="1"/>
      <c r="MQT225" s="1"/>
      <c r="MQU225" s="1"/>
      <c r="MQV225" s="1"/>
      <c r="MQW225" s="1"/>
      <c r="MQX225" s="1"/>
      <c r="MQY225" s="1"/>
      <c r="MQZ225" s="1"/>
      <c r="MRA225" s="1"/>
      <c r="MRB225" s="1"/>
      <c r="MRC225" s="1"/>
      <c r="MRD225" s="1"/>
      <c r="MRE225" s="1"/>
      <c r="MRF225" s="1"/>
      <c r="MRG225" s="1"/>
      <c r="MRH225" s="1"/>
      <c r="MRI225" s="1"/>
      <c r="MRJ225" s="1"/>
      <c r="MRK225" s="1"/>
      <c r="MRL225" s="1"/>
      <c r="MRM225" s="1"/>
      <c r="MRN225" s="1"/>
      <c r="MRO225" s="1"/>
      <c r="MRP225" s="1"/>
      <c r="MRQ225" s="1"/>
      <c r="MRR225" s="1"/>
      <c r="MRS225" s="1"/>
      <c r="MRT225" s="1"/>
      <c r="MRU225" s="1"/>
      <c r="MRV225" s="1"/>
      <c r="MRW225" s="1"/>
      <c r="MRX225" s="1"/>
      <c r="MRY225" s="1"/>
      <c r="MRZ225" s="1"/>
      <c r="MSA225" s="1"/>
      <c r="MSB225" s="1"/>
      <c r="MSC225" s="1"/>
      <c r="MSD225" s="1"/>
      <c r="MSE225" s="1"/>
      <c r="MSF225" s="1"/>
      <c r="MSG225" s="1"/>
      <c r="MSH225" s="1"/>
      <c r="MSI225" s="1"/>
      <c r="MSJ225" s="1"/>
      <c r="MSK225" s="1"/>
      <c r="MSL225" s="1"/>
      <c r="MSM225" s="1"/>
      <c r="MSN225" s="1"/>
      <c r="MSO225" s="1"/>
      <c r="MSP225" s="1"/>
      <c r="MSQ225" s="1"/>
      <c r="MSR225" s="1"/>
      <c r="MSS225" s="1"/>
      <c r="MST225" s="1"/>
      <c r="MSU225" s="1"/>
      <c r="MSV225" s="1"/>
      <c r="MSW225" s="1"/>
      <c r="MSX225" s="1"/>
      <c r="MSY225" s="1"/>
      <c r="MSZ225" s="1"/>
      <c r="MTA225" s="1"/>
      <c r="MTB225" s="1"/>
      <c r="MTC225" s="1"/>
      <c r="MTD225" s="1"/>
      <c r="MTE225" s="1"/>
      <c r="MTF225" s="1"/>
      <c r="MTG225" s="1"/>
      <c r="MTH225" s="1"/>
      <c r="MTI225" s="1"/>
      <c r="MTJ225" s="1"/>
      <c r="MTK225" s="1"/>
      <c r="MTL225" s="1"/>
      <c r="MTM225" s="1"/>
      <c r="MTN225" s="1"/>
      <c r="MTO225" s="1"/>
      <c r="MTP225" s="1"/>
      <c r="MTQ225" s="1"/>
      <c r="MTR225" s="1"/>
      <c r="MTS225" s="1"/>
      <c r="MTT225" s="1"/>
      <c r="MTU225" s="1"/>
      <c r="MTV225" s="1"/>
      <c r="MTW225" s="1"/>
      <c r="MTX225" s="1"/>
      <c r="MTY225" s="1"/>
      <c r="MTZ225" s="1"/>
      <c r="MUA225" s="1"/>
      <c r="MUB225" s="1"/>
      <c r="MUC225" s="1"/>
      <c r="MUD225" s="1"/>
      <c r="MUE225" s="1"/>
      <c r="MUF225" s="1"/>
      <c r="MUG225" s="1"/>
      <c r="MUH225" s="1"/>
      <c r="MUI225" s="1"/>
      <c r="MUJ225" s="1"/>
      <c r="MUK225" s="1"/>
      <c r="MUL225" s="1"/>
      <c r="MUM225" s="1"/>
      <c r="MUN225" s="1"/>
      <c r="MUO225" s="1"/>
      <c r="MUP225" s="1"/>
      <c r="MUQ225" s="1"/>
      <c r="MUR225" s="1"/>
      <c r="MUS225" s="1"/>
      <c r="MUT225" s="1"/>
      <c r="MUU225" s="1"/>
      <c r="MUV225" s="1"/>
      <c r="MUW225" s="1"/>
      <c r="MUX225" s="1"/>
      <c r="MUY225" s="1"/>
      <c r="MUZ225" s="1"/>
      <c r="MVA225" s="1"/>
      <c r="MVB225" s="1"/>
      <c r="MVC225" s="1"/>
      <c r="MVD225" s="1"/>
      <c r="MVE225" s="1"/>
      <c r="MVF225" s="1"/>
      <c r="MVG225" s="1"/>
      <c r="MVH225" s="1"/>
      <c r="MVI225" s="1"/>
      <c r="MVJ225" s="1"/>
      <c r="MVK225" s="1"/>
      <c r="MVL225" s="1"/>
      <c r="MVM225" s="1"/>
      <c r="MVN225" s="1"/>
      <c r="MVO225" s="1"/>
      <c r="MVP225" s="1"/>
      <c r="MVQ225" s="1"/>
      <c r="MVR225" s="1"/>
      <c r="MVS225" s="1"/>
      <c r="MVT225" s="1"/>
      <c r="MVU225" s="1"/>
      <c r="MVV225" s="1"/>
      <c r="MVW225" s="1"/>
      <c r="MVX225" s="1"/>
      <c r="MVY225" s="1"/>
      <c r="MVZ225" s="1"/>
      <c r="MWA225" s="1"/>
      <c r="MWB225" s="1"/>
      <c r="MWC225" s="1"/>
      <c r="MWD225" s="1"/>
      <c r="MWE225" s="1"/>
      <c r="MWF225" s="1"/>
      <c r="MWG225" s="1"/>
      <c r="MWH225" s="1"/>
      <c r="MWI225" s="1"/>
      <c r="MWJ225" s="1"/>
      <c r="MWK225" s="1"/>
      <c r="MWL225" s="1"/>
      <c r="MWM225" s="1"/>
      <c r="MWN225" s="1"/>
      <c r="MWO225" s="1"/>
      <c r="MWP225" s="1"/>
      <c r="MWQ225" s="1"/>
      <c r="MWR225" s="1"/>
      <c r="MWS225" s="1"/>
      <c r="MWT225" s="1"/>
      <c r="MWU225" s="1"/>
      <c r="MWV225" s="1"/>
      <c r="MWW225" s="1"/>
      <c r="MWX225" s="1"/>
      <c r="MWY225" s="1"/>
      <c r="MWZ225" s="1"/>
      <c r="MXA225" s="1"/>
      <c r="MXB225" s="1"/>
      <c r="MXC225" s="1"/>
      <c r="MXD225" s="1"/>
      <c r="MXE225" s="1"/>
      <c r="MXF225" s="1"/>
      <c r="MXG225" s="1"/>
      <c r="MXH225" s="1"/>
      <c r="MXI225" s="1"/>
      <c r="MXJ225" s="1"/>
      <c r="MXK225" s="1"/>
      <c r="MXL225" s="1"/>
      <c r="MXM225" s="1"/>
      <c r="MXN225" s="1"/>
      <c r="MXO225" s="1"/>
      <c r="MXP225" s="1"/>
      <c r="MXQ225" s="1"/>
      <c r="MXR225" s="1"/>
      <c r="MXS225" s="1"/>
      <c r="MXT225" s="1"/>
      <c r="MXU225" s="1"/>
      <c r="MXV225" s="1"/>
      <c r="MXW225" s="1"/>
      <c r="MXX225" s="1"/>
      <c r="MXY225" s="1"/>
      <c r="MXZ225" s="1"/>
      <c r="MYA225" s="1"/>
      <c r="MYB225" s="1"/>
      <c r="MYC225" s="1"/>
      <c r="MYD225" s="1"/>
      <c r="MYE225" s="1"/>
      <c r="MYF225" s="1"/>
      <c r="MYG225" s="1"/>
      <c r="MYH225" s="1"/>
      <c r="MYI225" s="1"/>
      <c r="MYJ225" s="1"/>
      <c r="MYK225" s="1"/>
      <c r="MYL225" s="1"/>
      <c r="MYM225" s="1"/>
      <c r="MYN225" s="1"/>
      <c r="MYO225" s="1"/>
      <c r="MYP225" s="1"/>
      <c r="MYQ225" s="1"/>
      <c r="MYR225" s="1"/>
      <c r="MYS225" s="1"/>
      <c r="MYT225" s="1"/>
      <c r="MYU225" s="1"/>
      <c r="MYV225" s="1"/>
      <c r="MYW225" s="1"/>
      <c r="MYX225" s="1"/>
      <c r="MYY225" s="1"/>
      <c r="MYZ225" s="1"/>
      <c r="MZA225" s="1"/>
      <c r="MZB225" s="1"/>
      <c r="MZC225" s="1"/>
      <c r="MZD225" s="1"/>
      <c r="MZE225" s="1"/>
      <c r="MZF225" s="1"/>
      <c r="MZG225" s="1"/>
      <c r="MZH225" s="1"/>
      <c r="MZI225" s="1"/>
      <c r="MZJ225" s="1"/>
      <c r="MZK225" s="1"/>
      <c r="MZL225" s="1"/>
      <c r="MZM225" s="1"/>
      <c r="MZN225" s="1"/>
      <c r="MZO225" s="1"/>
      <c r="MZP225" s="1"/>
      <c r="MZQ225" s="1"/>
      <c r="MZR225" s="1"/>
      <c r="MZS225" s="1"/>
      <c r="MZT225" s="1"/>
      <c r="MZU225" s="1"/>
      <c r="MZV225" s="1"/>
      <c r="MZW225" s="1"/>
      <c r="MZX225" s="1"/>
      <c r="MZY225" s="1"/>
      <c r="MZZ225" s="1"/>
      <c r="NAA225" s="1"/>
      <c r="NAB225" s="1"/>
      <c r="NAC225" s="1"/>
      <c r="NAD225" s="1"/>
      <c r="NAE225" s="1"/>
      <c r="NAF225" s="1"/>
      <c r="NAG225" s="1"/>
      <c r="NAH225" s="1"/>
      <c r="NAI225" s="1"/>
      <c r="NAJ225" s="1"/>
      <c r="NAK225" s="1"/>
      <c r="NAL225" s="1"/>
      <c r="NAM225" s="1"/>
      <c r="NAN225" s="1"/>
      <c r="NAO225" s="1"/>
      <c r="NAP225" s="1"/>
      <c r="NAQ225" s="1"/>
      <c r="NAR225" s="1"/>
      <c r="NAS225" s="1"/>
      <c r="NAT225" s="1"/>
      <c r="NAU225" s="1"/>
      <c r="NAV225" s="1"/>
      <c r="NAW225" s="1"/>
      <c r="NAX225" s="1"/>
      <c r="NAY225" s="1"/>
      <c r="NAZ225" s="1"/>
      <c r="NBA225" s="1"/>
      <c r="NBB225" s="1"/>
      <c r="NBC225" s="1"/>
      <c r="NBD225" s="1"/>
      <c r="NBE225" s="1"/>
      <c r="NBF225" s="1"/>
      <c r="NBG225" s="1"/>
      <c r="NBH225" s="1"/>
      <c r="NBI225" s="1"/>
      <c r="NBJ225" s="1"/>
      <c r="NBK225" s="1"/>
      <c r="NBL225" s="1"/>
      <c r="NBM225" s="1"/>
      <c r="NBN225" s="1"/>
      <c r="NBO225" s="1"/>
      <c r="NBP225" s="1"/>
      <c r="NBQ225" s="1"/>
      <c r="NBR225" s="1"/>
      <c r="NBS225" s="1"/>
      <c r="NBT225" s="1"/>
      <c r="NBU225" s="1"/>
      <c r="NBV225" s="1"/>
      <c r="NBW225" s="1"/>
      <c r="NBX225" s="1"/>
      <c r="NBY225" s="1"/>
      <c r="NBZ225" s="1"/>
      <c r="NCA225" s="1"/>
      <c r="NCB225" s="1"/>
      <c r="NCC225" s="1"/>
      <c r="NCD225" s="1"/>
      <c r="NCE225" s="1"/>
      <c r="NCF225" s="1"/>
      <c r="NCG225" s="1"/>
      <c r="NCH225" s="1"/>
      <c r="NCI225" s="1"/>
      <c r="NCJ225" s="1"/>
      <c r="NCK225" s="1"/>
      <c r="NCL225" s="1"/>
      <c r="NCM225" s="1"/>
      <c r="NCN225" s="1"/>
      <c r="NCO225" s="1"/>
      <c r="NCP225" s="1"/>
      <c r="NCQ225" s="1"/>
      <c r="NCR225" s="1"/>
      <c r="NCS225" s="1"/>
      <c r="NCT225" s="1"/>
      <c r="NCU225" s="1"/>
      <c r="NCV225" s="1"/>
      <c r="NCW225" s="1"/>
      <c r="NCX225" s="1"/>
      <c r="NCY225" s="1"/>
      <c r="NCZ225" s="1"/>
      <c r="NDA225" s="1"/>
      <c r="NDB225" s="1"/>
      <c r="NDC225" s="1"/>
      <c r="NDD225" s="1"/>
      <c r="NDE225" s="1"/>
      <c r="NDF225" s="1"/>
      <c r="NDG225" s="1"/>
      <c r="NDH225" s="1"/>
      <c r="NDI225" s="1"/>
      <c r="NDJ225" s="1"/>
      <c r="NDK225" s="1"/>
      <c r="NDL225" s="1"/>
      <c r="NDM225" s="1"/>
      <c r="NDN225" s="1"/>
      <c r="NDO225" s="1"/>
      <c r="NDP225" s="1"/>
      <c r="NDQ225" s="1"/>
      <c r="NDR225" s="1"/>
      <c r="NDS225" s="1"/>
      <c r="NDT225" s="1"/>
      <c r="NDU225" s="1"/>
      <c r="NDV225" s="1"/>
      <c r="NDW225" s="1"/>
      <c r="NDX225" s="1"/>
      <c r="NDY225" s="1"/>
      <c r="NDZ225" s="1"/>
      <c r="NEA225" s="1"/>
      <c r="NEB225" s="1"/>
      <c r="NEC225" s="1"/>
      <c r="NED225" s="1"/>
      <c r="NEE225" s="1"/>
      <c r="NEF225" s="1"/>
      <c r="NEG225" s="1"/>
      <c r="NEH225" s="1"/>
      <c r="NEI225" s="1"/>
      <c r="NEJ225" s="1"/>
      <c r="NEK225" s="1"/>
      <c r="NEL225" s="1"/>
      <c r="NEM225" s="1"/>
      <c r="NEN225" s="1"/>
      <c r="NEO225" s="1"/>
      <c r="NEP225" s="1"/>
      <c r="NEQ225" s="1"/>
      <c r="NER225" s="1"/>
      <c r="NES225" s="1"/>
      <c r="NET225" s="1"/>
      <c r="NEU225" s="1"/>
      <c r="NEV225" s="1"/>
      <c r="NEW225" s="1"/>
      <c r="NEX225" s="1"/>
      <c r="NEY225" s="1"/>
      <c r="NEZ225" s="1"/>
      <c r="NFA225" s="1"/>
      <c r="NFB225" s="1"/>
      <c r="NFC225" s="1"/>
      <c r="NFD225" s="1"/>
      <c r="NFE225" s="1"/>
      <c r="NFF225" s="1"/>
      <c r="NFG225" s="1"/>
      <c r="NFH225" s="1"/>
      <c r="NFI225" s="1"/>
      <c r="NFJ225" s="1"/>
      <c r="NFK225" s="1"/>
      <c r="NFL225" s="1"/>
      <c r="NFM225" s="1"/>
      <c r="NFN225" s="1"/>
      <c r="NFO225" s="1"/>
      <c r="NFP225" s="1"/>
      <c r="NFQ225" s="1"/>
      <c r="NFR225" s="1"/>
      <c r="NFS225" s="1"/>
      <c r="NFT225" s="1"/>
      <c r="NFU225" s="1"/>
      <c r="NFV225" s="1"/>
      <c r="NFW225" s="1"/>
      <c r="NFX225" s="1"/>
      <c r="NFY225" s="1"/>
      <c r="NFZ225" s="1"/>
      <c r="NGA225" s="1"/>
      <c r="NGB225" s="1"/>
      <c r="NGC225" s="1"/>
      <c r="NGD225" s="1"/>
      <c r="NGE225" s="1"/>
      <c r="NGF225" s="1"/>
      <c r="NGG225" s="1"/>
      <c r="NGH225" s="1"/>
      <c r="NGI225" s="1"/>
      <c r="NGJ225" s="1"/>
      <c r="NGK225" s="1"/>
      <c r="NGL225" s="1"/>
      <c r="NGM225" s="1"/>
      <c r="NGN225" s="1"/>
      <c r="NGO225" s="1"/>
      <c r="NGP225" s="1"/>
      <c r="NGQ225" s="1"/>
      <c r="NGR225" s="1"/>
      <c r="NGS225" s="1"/>
      <c r="NGT225" s="1"/>
      <c r="NGU225" s="1"/>
      <c r="NGV225" s="1"/>
      <c r="NGW225" s="1"/>
      <c r="NGX225" s="1"/>
      <c r="NGY225" s="1"/>
      <c r="NGZ225" s="1"/>
      <c r="NHA225" s="1"/>
      <c r="NHB225" s="1"/>
      <c r="NHC225" s="1"/>
      <c r="NHD225" s="1"/>
      <c r="NHE225" s="1"/>
      <c r="NHF225" s="1"/>
      <c r="NHG225" s="1"/>
      <c r="NHH225" s="1"/>
      <c r="NHI225" s="1"/>
      <c r="NHJ225" s="1"/>
      <c r="NHK225" s="1"/>
      <c r="NHL225" s="1"/>
      <c r="NHM225" s="1"/>
      <c r="NHN225" s="1"/>
      <c r="NHO225" s="1"/>
      <c r="NHP225" s="1"/>
      <c r="NHQ225" s="1"/>
      <c r="NHR225" s="1"/>
      <c r="NHS225" s="1"/>
      <c r="NHT225" s="1"/>
      <c r="NHU225" s="1"/>
      <c r="NHV225" s="1"/>
      <c r="NHW225" s="1"/>
      <c r="NHX225" s="1"/>
      <c r="NHY225" s="1"/>
      <c r="NHZ225" s="1"/>
      <c r="NIA225" s="1"/>
      <c r="NIB225" s="1"/>
      <c r="NIC225" s="1"/>
      <c r="NID225" s="1"/>
      <c r="NIE225" s="1"/>
      <c r="NIF225" s="1"/>
      <c r="NIG225" s="1"/>
      <c r="NIH225" s="1"/>
      <c r="NII225" s="1"/>
      <c r="NIJ225" s="1"/>
      <c r="NIK225" s="1"/>
      <c r="NIL225" s="1"/>
      <c r="NIM225" s="1"/>
      <c r="NIN225" s="1"/>
      <c r="NIO225" s="1"/>
      <c r="NIP225" s="1"/>
      <c r="NIQ225" s="1"/>
      <c r="NIR225" s="1"/>
      <c r="NIS225" s="1"/>
      <c r="NIT225" s="1"/>
      <c r="NIU225" s="1"/>
      <c r="NIV225" s="1"/>
      <c r="NIW225" s="1"/>
      <c r="NIX225" s="1"/>
      <c r="NIY225" s="1"/>
      <c r="NIZ225" s="1"/>
      <c r="NJA225" s="1"/>
      <c r="NJB225" s="1"/>
      <c r="NJC225" s="1"/>
      <c r="NJD225" s="1"/>
      <c r="NJE225" s="1"/>
      <c r="NJF225" s="1"/>
      <c r="NJG225" s="1"/>
      <c r="NJH225" s="1"/>
      <c r="NJI225" s="1"/>
      <c r="NJJ225" s="1"/>
      <c r="NJK225" s="1"/>
      <c r="NJL225" s="1"/>
      <c r="NJM225" s="1"/>
      <c r="NJN225" s="1"/>
      <c r="NJO225" s="1"/>
      <c r="NJP225" s="1"/>
      <c r="NJQ225" s="1"/>
      <c r="NJR225" s="1"/>
      <c r="NJS225" s="1"/>
      <c r="NJT225" s="1"/>
      <c r="NJU225" s="1"/>
      <c r="NJV225" s="1"/>
      <c r="NJW225" s="1"/>
      <c r="NJX225" s="1"/>
      <c r="NJY225" s="1"/>
      <c r="NJZ225" s="1"/>
      <c r="NKA225" s="1"/>
      <c r="NKB225" s="1"/>
      <c r="NKC225" s="1"/>
      <c r="NKD225" s="1"/>
      <c r="NKE225" s="1"/>
      <c r="NKF225" s="1"/>
      <c r="NKG225" s="1"/>
      <c r="NKH225" s="1"/>
      <c r="NKI225" s="1"/>
      <c r="NKJ225" s="1"/>
      <c r="NKK225" s="1"/>
      <c r="NKL225" s="1"/>
      <c r="NKM225" s="1"/>
      <c r="NKN225" s="1"/>
      <c r="NKO225" s="1"/>
      <c r="NKP225" s="1"/>
      <c r="NKQ225" s="1"/>
      <c r="NKR225" s="1"/>
      <c r="NKS225" s="1"/>
      <c r="NKT225" s="1"/>
      <c r="NKU225" s="1"/>
      <c r="NKV225" s="1"/>
      <c r="NKW225" s="1"/>
      <c r="NKX225" s="1"/>
      <c r="NKY225" s="1"/>
      <c r="NKZ225" s="1"/>
      <c r="NLA225" s="1"/>
      <c r="NLB225" s="1"/>
      <c r="NLC225" s="1"/>
      <c r="NLD225" s="1"/>
      <c r="NLE225" s="1"/>
      <c r="NLF225" s="1"/>
      <c r="NLG225" s="1"/>
      <c r="NLH225" s="1"/>
      <c r="NLI225" s="1"/>
      <c r="NLJ225" s="1"/>
      <c r="NLK225" s="1"/>
      <c r="NLL225" s="1"/>
      <c r="NLM225" s="1"/>
      <c r="NLN225" s="1"/>
      <c r="NLO225" s="1"/>
      <c r="NLP225" s="1"/>
      <c r="NLQ225" s="1"/>
      <c r="NLR225" s="1"/>
      <c r="NLS225" s="1"/>
      <c r="NLT225" s="1"/>
      <c r="NLU225" s="1"/>
      <c r="NLV225" s="1"/>
      <c r="NLW225" s="1"/>
      <c r="NLX225" s="1"/>
      <c r="NLY225" s="1"/>
      <c r="NLZ225" s="1"/>
      <c r="NMA225" s="1"/>
      <c r="NMB225" s="1"/>
      <c r="NMC225" s="1"/>
      <c r="NMD225" s="1"/>
      <c r="NME225" s="1"/>
      <c r="NMF225" s="1"/>
      <c r="NMG225" s="1"/>
      <c r="NMH225" s="1"/>
      <c r="NMI225" s="1"/>
      <c r="NMJ225" s="1"/>
      <c r="NMK225" s="1"/>
      <c r="NML225" s="1"/>
      <c r="NMM225" s="1"/>
      <c r="NMN225" s="1"/>
      <c r="NMO225" s="1"/>
      <c r="NMP225" s="1"/>
      <c r="NMQ225" s="1"/>
      <c r="NMR225" s="1"/>
      <c r="NMS225" s="1"/>
      <c r="NMT225" s="1"/>
      <c r="NMU225" s="1"/>
      <c r="NMV225" s="1"/>
      <c r="NMW225" s="1"/>
      <c r="NMX225" s="1"/>
      <c r="NMY225" s="1"/>
      <c r="NMZ225" s="1"/>
      <c r="NNA225" s="1"/>
      <c r="NNB225" s="1"/>
      <c r="NNC225" s="1"/>
      <c r="NND225" s="1"/>
      <c r="NNE225" s="1"/>
      <c r="NNF225" s="1"/>
      <c r="NNG225" s="1"/>
      <c r="NNH225" s="1"/>
      <c r="NNI225" s="1"/>
      <c r="NNJ225" s="1"/>
      <c r="NNK225" s="1"/>
      <c r="NNL225" s="1"/>
      <c r="NNM225" s="1"/>
      <c r="NNN225" s="1"/>
      <c r="NNO225" s="1"/>
      <c r="NNP225" s="1"/>
      <c r="NNQ225" s="1"/>
      <c r="NNR225" s="1"/>
      <c r="NNS225" s="1"/>
      <c r="NNT225" s="1"/>
      <c r="NNU225" s="1"/>
      <c r="NNV225" s="1"/>
      <c r="NNW225" s="1"/>
      <c r="NNX225" s="1"/>
      <c r="NNY225" s="1"/>
      <c r="NNZ225" s="1"/>
      <c r="NOA225" s="1"/>
      <c r="NOB225" s="1"/>
      <c r="NOC225" s="1"/>
      <c r="NOD225" s="1"/>
      <c r="NOE225" s="1"/>
      <c r="NOF225" s="1"/>
      <c r="NOG225" s="1"/>
      <c r="NOH225" s="1"/>
      <c r="NOI225" s="1"/>
      <c r="NOJ225" s="1"/>
      <c r="NOK225" s="1"/>
      <c r="NOL225" s="1"/>
      <c r="NOM225" s="1"/>
      <c r="NON225" s="1"/>
      <c r="NOO225" s="1"/>
      <c r="NOP225" s="1"/>
      <c r="NOQ225" s="1"/>
      <c r="NOR225" s="1"/>
      <c r="NOS225" s="1"/>
      <c r="NOT225" s="1"/>
      <c r="NOU225" s="1"/>
      <c r="NOV225" s="1"/>
      <c r="NOW225" s="1"/>
      <c r="NOX225" s="1"/>
      <c r="NOY225" s="1"/>
      <c r="NOZ225" s="1"/>
      <c r="NPA225" s="1"/>
      <c r="NPB225" s="1"/>
      <c r="NPC225" s="1"/>
      <c r="NPD225" s="1"/>
      <c r="NPE225" s="1"/>
      <c r="NPF225" s="1"/>
      <c r="NPG225" s="1"/>
      <c r="NPH225" s="1"/>
      <c r="NPI225" s="1"/>
      <c r="NPJ225" s="1"/>
      <c r="NPK225" s="1"/>
      <c r="NPL225" s="1"/>
      <c r="NPM225" s="1"/>
      <c r="NPN225" s="1"/>
      <c r="NPO225" s="1"/>
      <c r="NPP225" s="1"/>
      <c r="NPQ225" s="1"/>
      <c r="NPR225" s="1"/>
      <c r="NPS225" s="1"/>
      <c r="NPT225" s="1"/>
      <c r="NPU225" s="1"/>
      <c r="NPV225" s="1"/>
      <c r="NPW225" s="1"/>
      <c r="NPX225" s="1"/>
      <c r="NPY225" s="1"/>
      <c r="NPZ225" s="1"/>
      <c r="NQA225" s="1"/>
      <c r="NQB225" s="1"/>
      <c r="NQC225" s="1"/>
      <c r="NQD225" s="1"/>
      <c r="NQE225" s="1"/>
      <c r="NQF225" s="1"/>
      <c r="NQG225" s="1"/>
      <c r="NQH225" s="1"/>
      <c r="NQI225" s="1"/>
      <c r="NQJ225" s="1"/>
      <c r="NQK225" s="1"/>
      <c r="NQL225" s="1"/>
      <c r="NQM225" s="1"/>
      <c r="NQN225" s="1"/>
      <c r="NQO225" s="1"/>
      <c r="NQP225" s="1"/>
      <c r="NQQ225" s="1"/>
      <c r="NQR225" s="1"/>
      <c r="NQS225" s="1"/>
      <c r="NQT225" s="1"/>
      <c r="NQU225" s="1"/>
      <c r="NQV225" s="1"/>
      <c r="NQW225" s="1"/>
      <c r="NQX225" s="1"/>
      <c r="NQY225" s="1"/>
      <c r="NQZ225" s="1"/>
      <c r="NRA225" s="1"/>
      <c r="NRB225" s="1"/>
      <c r="NRC225" s="1"/>
      <c r="NRD225" s="1"/>
      <c r="NRE225" s="1"/>
      <c r="NRF225" s="1"/>
      <c r="NRG225" s="1"/>
      <c r="NRH225" s="1"/>
      <c r="NRI225" s="1"/>
      <c r="NRJ225" s="1"/>
      <c r="NRK225" s="1"/>
      <c r="NRL225" s="1"/>
      <c r="NRM225" s="1"/>
      <c r="NRN225" s="1"/>
      <c r="NRO225" s="1"/>
      <c r="NRP225" s="1"/>
      <c r="NRQ225" s="1"/>
      <c r="NRR225" s="1"/>
      <c r="NRS225" s="1"/>
      <c r="NRT225" s="1"/>
      <c r="NRU225" s="1"/>
      <c r="NRV225" s="1"/>
      <c r="NRW225" s="1"/>
      <c r="NRX225" s="1"/>
      <c r="NRY225" s="1"/>
      <c r="NRZ225" s="1"/>
      <c r="NSA225" s="1"/>
      <c r="NSB225" s="1"/>
      <c r="NSC225" s="1"/>
      <c r="NSD225" s="1"/>
      <c r="NSE225" s="1"/>
      <c r="NSF225" s="1"/>
      <c r="NSG225" s="1"/>
      <c r="NSH225" s="1"/>
      <c r="NSI225" s="1"/>
      <c r="NSJ225" s="1"/>
      <c r="NSK225" s="1"/>
      <c r="NSL225" s="1"/>
      <c r="NSM225" s="1"/>
      <c r="NSN225" s="1"/>
      <c r="NSO225" s="1"/>
      <c r="NSP225" s="1"/>
      <c r="NSQ225" s="1"/>
      <c r="NSR225" s="1"/>
      <c r="NSS225" s="1"/>
      <c r="NST225" s="1"/>
      <c r="NSU225" s="1"/>
      <c r="NSV225" s="1"/>
      <c r="NSW225" s="1"/>
      <c r="NSX225" s="1"/>
      <c r="NSY225" s="1"/>
      <c r="NSZ225" s="1"/>
      <c r="NTA225" s="1"/>
      <c r="NTB225" s="1"/>
      <c r="NTC225" s="1"/>
      <c r="NTD225" s="1"/>
      <c r="NTE225" s="1"/>
      <c r="NTF225" s="1"/>
      <c r="NTG225" s="1"/>
      <c r="NTH225" s="1"/>
      <c r="NTI225" s="1"/>
      <c r="NTJ225" s="1"/>
      <c r="NTK225" s="1"/>
      <c r="NTL225" s="1"/>
      <c r="NTM225" s="1"/>
      <c r="NTN225" s="1"/>
      <c r="NTO225" s="1"/>
      <c r="NTP225" s="1"/>
      <c r="NTQ225" s="1"/>
      <c r="NTR225" s="1"/>
      <c r="NTS225" s="1"/>
      <c r="NTT225" s="1"/>
      <c r="NTU225" s="1"/>
      <c r="NTV225" s="1"/>
      <c r="NTW225" s="1"/>
      <c r="NTX225" s="1"/>
      <c r="NTY225" s="1"/>
      <c r="NTZ225" s="1"/>
      <c r="NUA225" s="1"/>
      <c r="NUB225" s="1"/>
      <c r="NUC225" s="1"/>
      <c r="NUD225" s="1"/>
      <c r="NUE225" s="1"/>
      <c r="NUF225" s="1"/>
      <c r="NUG225" s="1"/>
      <c r="NUH225" s="1"/>
      <c r="NUI225" s="1"/>
      <c r="NUJ225" s="1"/>
      <c r="NUK225" s="1"/>
      <c r="NUL225" s="1"/>
      <c r="NUM225" s="1"/>
      <c r="NUN225" s="1"/>
      <c r="NUO225" s="1"/>
      <c r="NUP225" s="1"/>
      <c r="NUQ225" s="1"/>
      <c r="NUR225" s="1"/>
      <c r="NUS225" s="1"/>
      <c r="NUT225" s="1"/>
      <c r="NUU225" s="1"/>
      <c r="NUV225" s="1"/>
      <c r="NUW225" s="1"/>
      <c r="NUX225" s="1"/>
      <c r="NUY225" s="1"/>
      <c r="NUZ225" s="1"/>
      <c r="NVA225" s="1"/>
      <c r="NVB225" s="1"/>
      <c r="NVC225" s="1"/>
      <c r="NVD225" s="1"/>
      <c r="NVE225" s="1"/>
      <c r="NVF225" s="1"/>
      <c r="NVG225" s="1"/>
      <c r="NVH225" s="1"/>
      <c r="NVI225" s="1"/>
      <c r="NVJ225" s="1"/>
      <c r="NVK225" s="1"/>
      <c r="NVL225" s="1"/>
      <c r="NVM225" s="1"/>
      <c r="NVN225" s="1"/>
      <c r="NVO225" s="1"/>
      <c r="NVP225" s="1"/>
      <c r="NVQ225" s="1"/>
      <c r="NVR225" s="1"/>
      <c r="NVS225" s="1"/>
      <c r="NVT225" s="1"/>
      <c r="NVU225" s="1"/>
      <c r="NVV225" s="1"/>
      <c r="NVW225" s="1"/>
      <c r="NVX225" s="1"/>
      <c r="NVY225" s="1"/>
      <c r="NVZ225" s="1"/>
      <c r="NWA225" s="1"/>
      <c r="NWB225" s="1"/>
      <c r="NWC225" s="1"/>
      <c r="NWD225" s="1"/>
      <c r="NWE225" s="1"/>
      <c r="NWF225" s="1"/>
      <c r="NWG225" s="1"/>
      <c r="NWH225" s="1"/>
      <c r="NWI225" s="1"/>
      <c r="NWJ225" s="1"/>
      <c r="NWK225" s="1"/>
      <c r="NWL225" s="1"/>
      <c r="NWM225" s="1"/>
      <c r="NWN225" s="1"/>
      <c r="NWO225" s="1"/>
      <c r="NWP225" s="1"/>
      <c r="NWQ225" s="1"/>
      <c r="NWR225" s="1"/>
      <c r="NWS225" s="1"/>
      <c r="NWT225" s="1"/>
      <c r="NWU225" s="1"/>
      <c r="NWV225" s="1"/>
      <c r="NWW225" s="1"/>
      <c r="NWX225" s="1"/>
      <c r="NWY225" s="1"/>
      <c r="NWZ225" s="1"/>
      <c r="NXA225" s="1"/>
      <c r="NXB225" s="1"/>
      <c r="NXC225" s="1"/>
      <c r="NXD225" s="1"/>
      <c r="NXE225" s="1"/>
      <c r="NXF225" s="1"/>
      <c r="NXG225" s="1"/>
      <c r="NXH225" s="1"/>
      <c r="NXI225" s="1"/>
      <c r="NXJ225" s="1"/>
      <c r="NXK225" s="1"/>
      <c r="NXL225" s="1"/>
      <c r="NXM225" s="1"/>
      <c r="NXN225" s="1"/>
      <c r="NXO225" s="1"/>
      <c r="NXP225" s="1"/>
      <c r="NXQ225" s="1"/>
      <c r="NXR225" s="1"/>
      <c r="NXS225" s="1"/>
      <c r="NXT225" s="1"/>
      <c r="NXU225" s="1"/>
      <c r="NXV225" s="1"/>
      <c r="NXW225" s="1"/>
      <c r="NXX225" s="1"/>
      <c r="NXY225" s="1"/>
      <c r="NXZ225" s="1"/>
      <c r="NYA225" s="1"/>
      <c r="NYB225" s="1"/>
      <c r="NYC225" s="1"/>
      <c r="NYD225" s="1"/>
      <c r="NYE225" s="1"/>
      <c r="NYF225" s="1"/>
      <c r="NYG225" s="1"/>
      <c r="NYH225" s="1"/>
      <c r="NYI225" s="1"/>
      <c r="NYJ225" s="1"/>
      <c r="NYK225" s="1"/>
      <c r="NYL225" s="1"/>
      <c r="NYM225" s="1"/>
      <c r="NYN225" s="1"/>
      <c r="NYO225" s="1"/>
      <c r="NYP225" s="1"/>
      <c r="NYQ225" s="1"/>
      <c r="NYR225" s="1"/>
      <c r="NYS225" s="1"/>
      <c r="NYT225" s="1"/>
      <c r="NYU225" s="1"/>
      <c r="NYV225" s="1"/>
      <c r="NYW225" s="1"/>
      <c r="NYX225" s="1"/>
      <c r="NYY225" s="1"/>
      <c r="NYZ225" s="1"/>
      <c r="NZA225" s="1"/>
      <c r="NZB225" s="1"/>
      <c r="NZC225" s="1"/>
      <c r="NZD225" s="1"/>
      <c r="NZE225" s="1"/>
      <c r="NZF225" s="1"/>
      <c r="NZG225" s="1"/>
      <c r="NZH225" s="1"/>
      <c r="NZI225" s="1"/>
      <c r="NZJ225" s="1"/>
      <c r="NZK225" s="1"/>
      <c r="NZL225" s="1"/>
      <c r="NZM225" s="1"/>
      <c r="NZN225" s="1"/>
      <c r="NZO225" s="1"/>
      <c r="NZP225" s="1"/>
      <c r="NZQ225" s="1"/>
      <c r="NZR225" s="1"/>
      <c r="NZS225" s="1"/>
      <c r="NZT225" s="1"/>
      <c r="NZU225" s="1"/>
      <c r="NZV225" s="1"/>
      <c r="NZW225" s="1"/>
      <c r="NZX225" s="1"/>
      <c r="NZY225" s="1"/>
      <c r="NZZ225" s="1"/>
      <c r="OAA225" s="1"/>
      <c r="OAB225" s="1"/>
      <c r="OAC225" s="1"/>
      <c r="OAD225" s="1"/>
      <c r="OAE225" s="1"/>
      <c r="OAF225" s="1"/>
      <c r="OAG225" s="1"/>
      <c r="OAH225" s="1"/>
      <c r="OAI225" s="1"/>
      <c r="OAJ225" s="1"/>
      <c r="OAK225" s="1"/>
      <c r="OAL225" s="1"/>
      <c r="OAM225" s="1"/>
      <c r="OAN225" s="1"/>
      <c r="OAO225" s="1"/>
      <c r="OAP225" s="1"/>
      <c r="OAQ225" s="1"/>
      <c r="OAR225" s="1"/>
      <c r="OAS225" s="1"/>
      <c r="OAT225" s="1"/>
      <c r="OAU225" s="1"/>
      <c r="OAV225" s="1"/>
      <c r="OAW225" s="1"/>
      <c r="OAX225" s="1"/>
      <c r="OAY225" s="1"/>
      <c r="OAZ225" s="1"/>
      <c r="OBA225" s="1"/>
      <c r="OBB225" s="1"/>
      <c r="OBC225" s="1"/>
      <c r="OBD225" s="1"/>
      <c r="OBE225" s="1"/>
      <c r="OBF225" s="1"/>
      <c r="OBG225" s="1"/>
      <c r="OBH225" s="1"/>
      <c r="OBI225" s="1"/>
      <c r="OBJ225" s="1"/>
      <c r="OBK225" s="1"/>
      <c r="OBL225" s="1"/>
      <c r="OBM225" s="1"/>
      <c r="OBN225" s="1"/>
      <c r="OBO225" s="1"/>
      <c r="OBP225" s="1"/>
      <c r="OBQ225" s="1"/>
      <c r="OBR225" s="1"/>
      <c r="OBS225" s="1"/>
      <c r="OBT225" s="1"/>
      <c r="OBU225" s="1"/>
      <c r="OBV225" s="1"/>
      <c r="OBW225" s="1"/>
      <c r="OBX225" s="1"/>
      <c r="OBY225" s="1"/>
      <c r="OBZ225" s="1"/>
      <c r="OCA225" s="1"/>
      <c r="OCB225" s="1"/>
      <c r="OCC225" s="1"/>
      <c r="OCD225" s="1"/>
      <c r="OCE225" s="1"/>
      <c r="OCF225" s="1"/>
      <c r="OCG225" s="1"/>
      <c r="OCH225" s="1"/>
      <c r="OCI225" s="1"/>
      <c r="OCJ225" s="1"/>
      <c r="OCK225" s="1"/>
      <c r="OCL225" s="1"/>
      <c r="OCM225" s="1"/>
      <c r="OCN225" s="1"/>
      <c r="OCO225" s="1"/>
      <c r="OCP225" s="1"/>
      <c r="OCQ225" s="1"/>
      <c r="OCR225" s="1"/>
      <c r="OCS225" s="1"/>
      <c r="OCT225" s="1"/>
      <c r="OCU225" s="1"/>
      <c r="OCV225" s="1"/>
      <c r="OCW225" s="1"/>
      <c r="OCX225" s="1"/>
      <c r="OCY225" s="1"/>
      <c r="OCZ225" s="1"/>
      <c r="ODA225" s="1"/>
      <c r="ODB225" s="1"/>
      <c r="ODC225" s="1"/>
      <c r="ODD225" s="1"/>
      <c r="ODE225" s="1"/>
      <c r="ODF225" s="1"/>
      <c r="ODG225" s="1"/>
      <c r="ODH225" s="1"/>
      <c r="ODI225" s="1"/>
      <c r="ODJ225" s="1"/>
      <c r="ODK225" s="1"/>
      <c r="ODL225" s="1"/>
      <c r="ODM225" s="1"/>
      <c r="ODN225" s="1"/>
      <c r="ODO225" s="1"/>
      <c r="ODP225" s="1"/>
      <c r="ODQ225" s="1"/>
      <c r="ODR225" s="1"/>
      <c r="ODS225" s="1"/>
      <c r="ODT225" s="1"/>
      <c r="ODU225" s="1"/>
      <c r="ODV225" s="1"/>
      <c r="ODW225" s="1"/>
      <c r="ODX225" s="1"/>
      <c r="ODY225" s="1"/>
      <c r="ODZ225" s="1"/>
      <c r="OEA225" s="1"/>
      <c r="OEB225" s="1"/>
      <c r="OEC225" s="1"/>
      <c r="OED225" s="1"/>
      <c r="OEE225" s="1"/>
      <c r="OEF225" s="1"/>
      <c r="OEG225" s="1"/>
      <c r="OEH225" s="1"/>
      <c r="OEI225" s="1"/>
      <c r="OEJ225" s="1"/>
      <c r="OEK225" s="1"/>
      <c r="OEL225" s="1"/>
      <c r="OEM225" s="1"/>
      <c r="OEN225" s="1"/>
      <c r="OEO225" s="1"/>
      <c r="OEP225" s="1"/>
      <c r="OEQ225" s="1"/>
      <c r="OER225" s="1"/>
      <c r="OES225" s="1"/>
      <c r="OET225" s="1"/>
      <c r="OEU225" s="1"/>
      <c r="OEV225" s="1"/>
      <c r="OEW225" s="1"/>
      <c r="OEX225" s="1"/>
      <c r="OEY225" s="1"/>
      <c r="OEZ225" s="1"/>
      <c r="OFA225" s="1"/>
      <c r="OFB225" s="1"/>
      <c r="OFC225" s="1"/>
      <c r="OFD225" s="1"/>
      <c r="OFE225" s="1"/>
      <c r="OFF225" s="1"/>
      <c r="OFG225" s="1"/>
      <c r="OFH225" s="1"/>
      <c r="OFI225" s="1"/>
      <c r="OFJ225" s="1"/>
      <c r="OFK225" s="1"/>
      <c r="OFL225" s="1"/>
      <c r="OFM225" s="1"/>
      <c r="OFN225" s="1"/>
      <c r="OFO225" s="1"/>
      <c r="OFP225" s="1"/>
      <c r="OFQ225" s="1"/>
      <c r="OFR225" s="1"/>
      <c r="OFS225" s="1"/>
      <c r="OFT225" s="1"/>
      <c r="OFU225" s="1"/>
      <c r="OFV225" s="1"/>
      <c r="OFW225" s="1"/>
      <c r="OFX225" s="1"/>
      <c r="OFY225" s="1"/>
      <c r="OFZ225" s="1"/>
      <c r="OGA225" s="1"/>
      <c r="OGB225" s="1"/>
      <c r="OGC225" s="1"/>
      <c r="OGD225" s="1"/>
      <c r="OGE225" s="1"/>
      <c r="OGF225" s="1"/>
      <c r="OGG225" s="1"/>
      <c r="OGH225" s="1"/>
      <c r="OGI225" s="1"/>
      <c r="OGJ225" s="1"/>
      <c r="OGK225" s="1"/>
      <c r="OGL225" s="1"/>
      <c r="OGM225" s="1"/>
      <c r="OGN225" s="1"/>
      <c r="OGO225" s="1"/>
      <c r="OGP225" s="1"/>
      <c r="OGQ225" s="1"/>
      <c r="OGR225" s="1"/>
      <c r="OGS225" s="1"/>
      <c r="OGT225" s="1"/>
      <c r="OGU225" s="1"/>
      <c r="OGV225" s="1"/>
      <c r="OGW225" s="1"/>
      <c r="OGX225" s="1"/>
      <c r="OGY225" s="1"/>
      <c r="OGZ225" s="1"/>
      <c r="OHA225" s="1"/>
      <c r="OHB225" s="1"/>
      <c r="OHC225" s="1"/>
      <c r="OHD225" s="1"/>
      <c r="OHE225" s="1"/>
      <c r="OHF225" s="1"/>
      <c r="OHG225" s="1"/>
      <c r="OHH225" s="1"/>
      <c r="OHI225" s="1"/>
      <c r="OHJ225" s="1"/>
      <c r="OHK225" s="1"/>
      <c r="OHL225" s="1"/>
      <c r="OHM225" s="1"/>
      <c r="OHN225" s="1"/>
      <c r="OHO225" s="1"/>
      <c r="OHP225" s="1"/>
      <c r="OHQ225" s="1"/>
      <c r="OHR225" s="1"/>
      <c r="OHS225" s="1"/>
      <c r="OHT225" s="1"/>
      <c r="OHU225" s="1"/>
      <c r="OHV225" s="1"/>
      <c r="OHW225" s="1"/>
      <c r="OHX225" s="1"/>
      <c r="OHY225" s="1"/>
      <c r="OHZ225" s="1"/>
      <c r="OIA225" s="1"/>
      <c r="OIB225" s="1"/>
      <c r="OIC225" s="1"/>
      <c r="OID225" s="1"/>
      <c r="OIE225" s="1"/>
      <c r="OIF225" s="1"/>
      <c r="OIG225" s="1"/>
      <c r="OIH225" s="1"/>
      <c r="OII225" s="1"/>
      <c r="OIJ225" s="1"/>
      <c r="OIK225" s="1"/>
      <c r="OIL225" s="1"/>
      <c r="OIM225" s="1"/>
      <c r="OIN225" s="1"/>
      <c r="OIO225" s="1"/>
      <c r="OIP225" s="1"/>
      <c r="OIQ225" s="1"/>
      <c r="OIR225" s="1"/>
      <c r="OIS225" s="1"/>
      <c r="OIT225" s="1"/>
      <c r="OIU225" s="1"/>
      <c r="OIV225" s="1"/>
      <c r="OIW225" s="1"/>
      <c r="OIX225" s="1"/>
      <c r="OIY225" s="1"/>
      <c r="OIZ225" s="1"/>
      <c r="OJA225" s="1"/>
      <c r="OJB225" s="1"/>
      <c r="OJC225" s="1"/>
      <c r="OJD225" s="1"/>
      <c r="OJE225" s="1"/>
      <c r="OJF225" s="1"/>
      <c r="OJG225" s="1"/>
      <c r="OJH225" s="1"/>
      <c r="OJI225" s="1"/>
      <c r="OJJ225" s="1"/>
      <c r="OJK225" s="1"/>
      <c r="OJL225" s="1"/>
      <c r="OJM225" s="1"/>
      <c r="OJN225" s="1"/>
      <c r="OJO225" s="1"/>
      <c r="OJP225" s="1"/>
      <c r="OJQ225" s="1"/>
      <c r="OJR225" s="1"/>
      <c r="OJS225" s="1"/>
      <c r="OJT225" s="1"/>
      <c r="OJU225" s="1"/>
      <c r="OJV225" s="1"/>
      <c r="OJW225" s="1"/>
      <c r="OJX225" s="1"/>
      <c r="OJY225" s="1"/>
      <c r="OJZ225" s="1"/>
      <c r="OKA225" s="1"/>
      <c r="OKB225" s="1"/>
      <c r="OKC225" s="1"/>
      <c r="OKD225" s="1"/>
      <c r="OKE225" s="1"/>
      <c r="OKF225" s="1"/>
      <c r="OKG225" s="1"/>
      <c r="OKH225" s="1"/>
      <c r="OKI225" s="1"/>
      <c r="OKJ225" s="1"/>
      <c r="OKK225" s="1"/>
      <c r="OKL225" s="1"/>
      <c r="OKM225" s="1"/>
      <c r="OKN225" s="1"/>
      <c r="OKO225" s="1"/>
      <c r="OKP225" s="1"/>
      <c r="OKQ225" s="1"/>
      <c r="OKR225" s="1"/>
      <c r="OKS225" s="1"/>
      <c r="OKT225" s="1"/>
      <c r="OKU225" s="1"/>
      <c r="OKV225" s="1"/>
      <c r="OKW225" s="1"/>
      <c r="OKX225" s="1"/>
      <c r="OKY225" s="1"/>
      <c r="OKZ225" s="1"/>
      <c r="OLA225" s="1"/>
      <c r="OLB225" s="1"/>
      <c r="OLC225" s="1"/>
      <c r="OLD225" s="1"/>
      <c r="OLE225" s="1"/>
      <c r="OLF225" s="1"/>
      <c r="OLG225" s="1"/>
      <c r="OLH225" s="1"/>
      <c r="OLI225" s="1"/>
      <c r="OLJ225" s="1"/>
      <c r="OLK225" s="1"/>
      <c r="OLL225" s="1"/>
      <c r="OLM225" s="1"/>
      <c r="OLN225" s="1"/>
      <c r="OLO225" s="1"/>
      <c r="OLP225" s="1"/>
      <c r="OLQ225" s="1"/>
      <c r="OLR225" s="1"/>
      <c r="OLS225" s="1"/>
      <c r="OLT225" s="1"/>
      <c r="OLU225" s="1"/>
      <c r="OLV225" s="1"/>
      <c r="OLW225" s="1"/>
      <c r="OLX225" s="1"/>
      <c r="OLY225" s="1"/>
      <c r="OLZ225" s="1"/>
      <c r="OMA225" s="1"/>
      <c r="OMB225" s="1"/>
      <c r="OMC225" s="1"/>
      <c r="OMD225" s="1"/>
      <c r="OME225" s="1"/>
      <c r="OMF225" s="1"/>
      <c r="OMG225" s="1"/>
      <c r="OMH225" s="1"/>
      <c r="OMI225" s="1"/>
      <c r="OMJ225" s="1"/>
      <c r="OMK225" s="1"/>
      <c r="OML225" s="1"/>
      <c r="OMM225" s="1"/>
      <c r="OMN225" s="1"/>
      <c r="OMO225" s="1"/>
      <c r="OMP225" s="1"/>
      <c r="OMQ225" s="1"/>
      <c r="OMR225" s="1"/>
      <c r="OMS225" s="1"/>
      <c r="OMT225" s="1"/>
      <c r="OMU225" s="1"/>
      <c r="OMV225" s="1"/>
      <c r="OMW225" s="1"/>
      <c r="OMX225" s="1"/>
      <c r="OMY225" s="1"/>
      <c r="OMZ225" s="1"/>
      <c r="ONA225" s="1"/>
      <c r="ONB225" s="1"/>
      <c r="ONC225" s="1"/>
      <c r="OND225" s="1"/>
      <c r="ONE225" s="1"/>
      <c r="ONF225" s="1"/>
      <c r="ONG225" s="1"/>
      <c r="ONH225" s="1"/>
      <c r="ONI225" s="1"/>
      <c r="ONJ225" s="1"/>
      <c r="ONK225" s="1"/>
      <c r="ONL225" s="1"/>
      <c r="ONM225" s="1"/>
      <c r="ONN225" s="1"/>
      <c r="ONO225" s="1"/>
      <c r="ONP225" s="1"/>
      <c r="ONQ225" s="1"/>
      <c r="ONR225" s="1"/>
      <c r="ONS225" s="1"/>
      <c r="ONT225" s="1"/>
      <c r="ONU225" s="1"/>
      <c r="ONV225" s="1"/>
      <c r="ONW225" s="1"/>
      <c r="ONX225" s="1"/>
      <c r="ONY225" s="1"/>
      <c r="ONZ225" s="1"/>
      <c r="OOA225" s="1"/>
      <c r="OOB225" s="1"/>
      <c r="OOC225" s="1"/>
      <c r="OOD225" s="1"/>
      <c r="OOE225" s="1"/>
      <c r="OOF225" s="1"/>
      <c r="OOG225" s="1"/>
      <c r="OOH225" s="1"/>
      <c r="OOI225" s="1"/>
      <c r="OOJ225" s="1"/>
      <c r="OOK225" s="1"/>
      <c r="OOL225" s="1"/>
      <c r="OOM225" s="1"/>
      <c r="OON225" s="1"/>
      <c r="OOO225" s="1"/>
      <c r="OOP225" s="1"/>
      <c r="OOQ225" s="1"/>
      <c r="OOR225" s="1"/>
      <c r="OOS225" s="1"/>
      <c r="OOT225" s="1"/>
      <c r="OOU225" s="1"/>
      <c r="OOV225" s="1"/>
      <c r="OOW225" s="1"/>
      <c r="OOX225" s="1"/>
      <c r="OOY225" s="1"/>
      <c r="OOZ225" s="1"/>
      <c r="OPA225" s="1"/>
      <c r="OPB225" s="1"/>
      <c r="OPC225" s="1"/>
      <c r="OPD225" s="1"/>
      <c r="OPE225" s="1"/>
      <c r="OPF225" s="1"/>
      <c r="OPG225" s="1"/>
      <c r="OPH225" s="1"/>
      <c r="OPI225" s="1"/>
      <c r="OPJ225" s="1"/>
      <c r="OPK225" s="1"/>
      <c r="OPL225" s="1"/>
      <c r="OPM225" s="1"/>
      <c r="OPN225" s="1"/>
      <c r="OPO225" s="1"/>
      <c r="OPP225" s="1"/>
      <c r="OPQ225" s="1"/>
      <c r="OPR225" s="1"/>
      <c r="OPS225" s="1"/>
      <c r="OPT225" s="1"/>
      <c r="OPU225" s="1"/>
      <c r="OPV225" s="1"/>
      <c r="OPW225" s="1"/>
      <c r="OPX225" s="1"/>
      <c r="OPY225" s="1"/>
      <c r="OPZ225" s="1"/>
      <c r="OQA225" s="1"/>
      <c r="OQB225" s="1"/>
      <c r="OQC225" s="1"/>
      <c r="OQD225" s="1"/>
      <c r="OQE225" s="1"/>
      <c r="OQF225" s="1"/>
      <c r="OQG225" s="1"/>
      <c r="OQH225" s="1"/>
      <c r="OQI225" s="1"/>
      <c r="OQJ225" s="1"/>
      <c r="OQK225" s="1"/>
      <c r="OQL225" s="1"/>
      <c r="OQM225" s="1"/>
      <c r="OQN225" s="1"/>
      <c r="OQO225" s="1"/>
      <c r="OQP225" s="1"/>
      <c r="OQQ225" s="1"/>
      <c r="OQR225" s="1"/>
      <c r="OQS225" s="1"/>
      <c r="OQT225" s="1"/>
      <c r="OQU225" s="1"/>
      <c r="OQV225" s="1"/>
      <c r="OQW225" s="1"/>
      <c r="OQX225" s="1"/>
      <c r="OQY225" s="1"/>
      <c r="OQZ225" s="1"/>
      <c r="ORA225" s="1"/>
      <c r="ORB225" s="1"/>
      <c r="ORC225" s="1"/>
      <c r="ORD225" s="1"/>
      <c r="ORE225" s="1"/>
      <c r="ORF225" s="1"/>
      <c r="ORG225" s="1"/>
      <c r="ORH225" s="1"/>
      <c r="ORI225" s="1"/>
      <c r="ORJ225" s="1"/>
      <c r="ORK225" s="1"/>
      <c r="ORL225" s="1"/>
      <c r="ORM225" s="1"/>
      <c r="ORN225" s="1"/>
      <c r="ORO225" s="1"/>
      <c r="ORP225" s="1"/>
      <c r="ORQ225" s="1"/>
      <c r="ORR225" s="1"/>
      <c r="ORS225" s="1"/>
      <c r="ORT225" s="1"/>
      <c r="ORU225" s="1"/>
      <c r="ORV225" s="1"/>
      <c r="ORW225" s="1"/>
      <c r="ORX225" s="1"/>
      <c r="ORY225" s="1"/>
      <c r="ORZ225" s="1"/>
      <c r="OSA225" s="1"/>
      <c r="OSB225" s="1"/>
      <c r="OSC225" s="1"/>
      <c r="OSD225" s="1"/>
      <c r="OSE225" s="1"/>
      <c r="OSF225" s="1"/>
      <c r="OSG225" s="1"/>
      <c r="OSH225" s="1"/>
      <c r="OSI225" s="1"/>
      <c r="OSJ225" s="1"/>
      <c r="OSK225" s="1"/>
      <c r="OSL225" s="1"/>
      <c r="OSM225" s="1"/>
      <c r="OSN225" s="1"/>
      <c r="OSO225" s="1"/>
      <c r="OSP225" s="1"/>
      <c r="OSQ225" s="1"/>
      <c r="OSR225" s="1"/>
      <c r="OSS225" s="1"/>
      <c r="OST225" s="1"/>
      <c r="OSU225" s="1"/>
      <c r="OSV225" s="1"/>
      <c r="OSW225" s="1"/>
      <c r="OSX225" s="1"/>
      <c r="OSY225" s="1"/>
      <c r="OSZ225" s="1"/>
      <c r="OTA225" s="1"/>
      <c r="OTB225" s="1"/>
      <c r="OTC225" s="1"/>
      <c r="OTD225" s="1"/>
      <c r="OTE225" s="1"/>
      <c r="OTF225" s="1"/>
      <c r="OTG225" s="1"/>
      <c r="OTH225" s="1"/>
      <c r="OTI225" s="1"/>
      <c r="OTJ225" s="1"/>
      <c r="OTK225" s="1"/>
      <c r="OTL225" s="1"/>
      <c r="OTM225" s="1"/>
      <c r="OTN225" s="1"/>
      <c r="OTO225" s="1"/>
      <c r="OTP225" s="1"/>
      <c r="OTQ225" s="1"/>
      <c r="OTR225" s="1"/>
      <c r="OTS225" s="1"/>
      <c r="OTT225" s="1"/>
      <c r="OTU225" s="1"/>
      <c r="OTV225" s="1"/>
      <c r="OTW225" s="1"/>
      <c r="OTX225" s="1"/>
      <c r="OTY225" s="1"/>
      <c r="OTZ225" s="1"/>
      <c r="OUA225" s="1"/>
      <c r="OUB225" s="1"/>
      <c r="OUC225" s="1"/>
      <c r="OUD225" s="1"/>
      <c r="OUE225" s="1"/>
      <c r="OUF225" s="1"/>
      <c r="OUG225" s="1"/>
      <c r="OUH225" s="1"/>
      <c r="OUI225" s="1"/>
      <c r="OUJ225" s="1"/>
      <c r="OUK225" s="1"/>
      <c r="OUL225" s="1"/>
      <c r="OUM225" s="1"/>
      <c r="OUN225" s="1"/>
      <c r="OUO225" s="1"/>
      <c r="OUP225" s="1"/>
      <c r="OUQ225" s="1"/>
      <c r="OUR225" s="1"/>
      <c r="OUS225" s="1"/>
      <c r="OUT225" s="1"/>
      <c r="OUU225" s="1"/>
      <c r="OUV225" s="1"/>
      <c r="OUW225" s="1"/>
      <c r="OUX225" s="1"/>
      <c r="OUY225" s="1"/>
      <c r="OUZ225" s="1"/>
      <c r="OVA225" s="1"/>
      <c r="OVB225" s="1"/>
      <c r="OVC225" s="1"/>
      <c r="OVD225" s="1"/>
      <c r="OVE225" s="1"/>
      <c r="OVF225" s="1"/>
      <c r="OVG225" s="1"/>
      <c r="OVH225" s="1"/>
      <c r="OVI225" s="1"/>
      <c r="OVJ225" s="1"/>
      <c r="OVK225" s="1"/>
      <c r="OVL225" s="1"/>
      <c r="OVM225" s="1"/>
      <c r="OVN225" s="1"/>
      <c r="OVO225" s="1"/>
      <c r="OVP225" s="1"/>
      <c r="OVQ225" s="1"/>
      <c r="OVR225" s="1"/>
      <c r="OVS225" s="1"/>
      <c r="OVT225" s="1"/>
      <c r="OVU225" s="1"/>
      <c r="OVV225" s="1"/>
      <c r="OVW225" s="1"/>
      <c r="OVX225" s="1"/>
      <c r="OVY225" s="1"/>
      <c r="OVZ225" s="1"/>
      <c r="OWA225" s="1"/>
      <c r="OWB225" s="1"/>
      <c r="OWC225" s="1"/>
      <c r="OWD225" s="1"/>
      <c r="OWE225" s="1"/>
      <c r="OWF225" s="1"/>
      <c r="OWG225" s="1"/>
      <c r="OWH225" s="1"/>
      <c r="OWI225" s="1"/>
      <c r="OWJ225" s="1"/>
      <c r="OWK225" s="1"/>
      <c r="OWL225" s="1"/>
      <c r="OWM225" s="1"/>
      <c r="OWN225" s="1"/>
      <c r="OWO225" s="1"/>
      <c r="OWP225" s="1"/>
      <c r="OWQ225" s="1"/>
      <c r="OWR225" s="1"/>
      <c r="OWS225" s="1"/>
      <c r="OWT225" s="1"/>
      <c r="OWU225" s="1"/>
      <c r="OWV225" s="1"/>
      <c r="OWW225" s="1"/>
      <c r="OWX225" s="1"/>
      <c r="OWY225" s="1"/>
      <c r="OWZ225" s="1"/>
      <c r="OXA225" s="1"/>
      <c r="OXB225" s="1"/>
      <c r="OXC225" s="1"/>
      <c r="OXD225" s="1"/>
      <c r="OXE225" s="1"/>
      <c r="OXF225" s="1"/>
      <c r="OXG225" s="1"/>
      <c r="OXH225" s="1"/>
      <c r="OXI225" s="1"/>
      <c r="OXJ225" s="1"/>
      <c r="OXK225" s="1"/>
      <c r="OXL225" s="1"/>
      <c r="OXM225" s="1"/>
      <c r="OXN225" s="1"/>
      <c r="OXO225" s="1"/>
      <c r="OXP225" s="1"/>
      <c r="OXQ225" s="1"/>
      <c r="OXR225" s="1"/>
      <c r="OXS225" s="1"/>
      <c r="OXT225" s="1"/>
      <c r="OXU225" s="1"/>
      <c r="OXV225" s="1"/>
      <c r="OXW225" s="1"/>
      <c r="OXX225" s="1"/>
      <c r="OXY225" s="1"/>
      <c r="OXZ225" s="1"/>
      <c r="OYA225" s="1"/>
      <c r="OYB225" s="1"/>
      <c r="OYC225" s="1"/>
      <c r="OYD225" s="1"/>
      <c r="OYE225" s="1"/>
      <c r="OYF225" s="1"/>
      <c r="OYG225" s="1"/>
      <c r="OYH225" s="1"/>
      <c r="OYI225" s="1"/>
      <c r="OYJ225" s="1"/>
      <c r="OYK225" s="1"/>
      <c r="OYL225" s="1"/>
      <c r="OYM225" s="1"/>
      <c r="OYN225" s="1"/>
      <c r="OYO225" s="1"/>
      <c r="OYP225" s="1"/>
      <c r="OYQ225" s="1"/>
      <c r="OYR225" s="1"/>
      <c r="OYS225" s="1"/>
      <c r="OYT225" s="1"/>
      <c r="OYU225" s="1"/>
      <c r="OYV225" s="1"/>
      <c r="OYW225" s="1"/>
      <c r="OYX225" s="1"/>
      <c r="OYY225" s="1"/>
      <c r="OYZ225" s="1"/>
      <c r="OZA225" s="1"/>
      <c r="OZB225" s="1"/>
      <c r="OZC225" s="1"/>
      <c r="OZD225" s="1"/>
      <c r="OZE225" s="1"/>
      <c r="OZF225" s="1"/>
      <c r="OZG225" s="1"/>
      <c r="OZH225" s="1"/>
      <c r="OZI225" s="1"/>
      <c r="OZJ225" s="1"/>
      <c r="OZK225" s="1"/>
      <c r="OZL225" s="1"/>
      <c r="OZM225" s="1"/>
      <c r="OZN225" s="1"/>
      <c r="OZO225" s="1"/>
      <c r="OZP225" s="1"/>
      <c r="OZQ225" s="1"/>
      <c r="OZR225" s="1"/>
      <c r="OZS225" s="1"/>
      <c r="OZT225" s="1"/>
      <c r="OZU225" s="1"/>
      <c r="OZV225" s="1"/>
      <c r="OZW225" s="1"/>
      <c r="OZX225" s="1"/>
      <c r="OZY225" s="1"/>
      <c r="OZZ225" s="1"/>
      <c r="PAA225" s="1"/>
      <c r="PAB225" s="1"/>
      <c r="PAC225" s="1"/>
      <c r="PAD225" s="1"/>
      <c r="PAE225" s="1"/>
      <c r="PAF225" s="1"/>
      <c r="PAG225" s="1"/>
      <c r="PAH225" s="1"/>
      <c r="PAI225" s="1"/>
      <c r="PAJ225" s="1"/>
      <c r="PAK225" s="1"/>
      <c r="PAL225" s="1"/>
      <c r="PAM225" s="1"/>
      <c r="PAN225" s="1"/>
      <c r="PAO225" s="1"/>
      <c r="PAP225" s="1"/>
      <c r="PAQ225" s="1"/>
      <c r="PAR225" s="1"/>
      <c r="PAS225" s="1"/>
      <c r="PAT225" s="1"/>
      <c r="PAU225" s="1"/>
      <c r="PAV225" s="1"/>
      <c r="PAW225" s="1"/>
      <c r="PAX225" s="1"/>
      <c r="PAY225" s="1"/>
      <c r="PAZ225" s="1"/>
      <c r="PBA225" s="1"/>
      <c r="PBB225" s="1"/>
      <c r="PBC225" s="1"/>
      <c r="PBD225" s="1"/>
      <c r="PBE225" s="1"/>
      <c r="PBF225" s="1"/>
      <c r="PBG225" s="1"/>
      <c r="PBH225" s="1"/>
      <c r="PBI225" s="1"/>
      <c r="PBJ225" s="1"/>
      <c r="PBK225" s="1"/>
      <c r="PBL225" s="1"/>
      <c r="PBM225" s="1"/>
      <c r="PBN225" s="1"/>
      <c r="PBO225" s="1"/>
      <c r="PBP225" s="1"/>
      <c r="PBQ225" s="1"/>
      <c r="PBR225" s="1"/>
      <c r="PBS225" s="1"/>
      <c r="PBT225" s="1"/>
      <c r="PBU225" s="1"/>
      <c r="PBV225" s="1"/>
      <c r="PBW225" s="1"/>
      <c r="PBX225" s="1"/>
      <c r="PBY225" s="1"/>
      <c r="PBZ225" s="1"/>
      <c r="PCA225" s="1"/>
      <c r="PCB225" s="1"/>
      <c r="PCC225" s="1"/>
      <c r="PCD225" s="1"/>
      <c r="PCE225" s="1"/>
      <c r="PCF225" s="1"/>
      <c r="PCG225" s="1"/>
      <c r="PCH225" s="1"/>
      <c r="PCI225" s="1"/>
      <c r="PCJ225" s="1"/>
      <c r="PCK225" s="1"/>
      <c r="PCL225" s="1"/>
      <c r="PCM225" s="1"/>
      <c r="PCN225" s="1"/>
      <c r="PCO225" s="1"/>
      <c r="PCP225" s="1"/>
      <c r="PCQ225" s="1"/>
      <c r="PCR225" s="1"/>
      <c r="PCS225" s="1"/>
      <c r="PCT225" s="1"/>
      <c r="PCU225" s="1"/>
      <c r="PCV225" s="1"/>
      <c r="PCW225" s="1"/>
      <c r="PCX225" s="1"/>
      <c r="PCY225" s="1"/>
      <c r="PCZ225" s="1"/>
      <c r="PDA225" s="1"/>
      <c r="PDB225" s="1"/>
      <c r="PDC225" s="1"/>
      <c r="PDD225" s="1"/>
      <c r="PDE225" s="1"/>
      <c r="PDF225" s="1"/>
      <c r="PDG225" s="1"/>
      <c r="PDH225" s="1"/>
      <c r="PDI225" s="1"/>
      <c r="PDJ225" s="1"/>
      <c r="PDK225" s="1"/>
      <c r="PDL225" s="1"/>
      <c r="PDM225" s="1"/>
      <c r="PDN225" s="1"/>
      <c r="PDO225" s="1"/>
      <c r="PDP225" s="1"/>
      <c r="PDQ225" s="1"/>
      <c r="PDR225" s="1"/>
      <c r="PDS225" s="1"/>
      <c r="PDT225" s="1"/>
      <c r="PDU225" s="1"/>
      <c r="PDV225" s="1"/>
      <c r="PDW225" s="1"/>
      <c r="PDX225" s="1"/>
      <c r="PDY225" s="1"/>
      <c r="PDZ225" s="1"/>
      <c r="PEA225" s="1"/>
      <c r="PEB225" s="1"/>
      <c r="PEC225" s="1"/>
      <c r="PED225" s="1"/>
      <c r="PEE225" s="1"/>
      <c r="PEF225" s="1"/>
      <c r="PEG225" s="1"/>
      <c r="PEH225" s="1"/>
      <c r="PEI225" s="1"/>
      <c r="PEJ225" s="1"/>
      <c r="PEK225" s="1"/>
      <c r="PEL225" s="1"/>
      <c r="PEM225" s="1"/>
      <c r="PEN225" s="1"/>
      <c r="PEO225" s="1"/>
      <c r="PEP225" s="1"/>
      <c r="PEQ225" s="1"/>
      <c r="PER225" s="1"/>
      <c r="PES225" s="1"/>
      <c r="PET225" s="1"/>
      <c r="PEU225" s="1"/>
      <c r="PEV225" s="1"/>
      <c r="PEW225" s="1"/>
      <c r="PEX225" s="1"/>
      <c r="PEY225" s="1"/>
      <c r="PEZ225" s="1"/>
      <c r="PFA225" s="1"/>
      <c r="PFB225" s="1"/>
      <c r="PFC225" s="1"/>
      <c r="PFD225" s="1"/>
      <c r="PFE225" s="1"/>
      <c r="PFF225" s="1"/>
      <c r="PFG225" s="1"/>
      <c r="PFH225" s="1"/>
      <c r="PFI225" s="1"/>
      <c r="PFJ225" s="1"/>
      <c r="PFK225" s="1"/>
      <c r="PFL225" s="1"/>
      <c r="PFM225" s="1"/>
      <c r="PFN225" s="1"/>
      <c r="PFO225" s="1"/>
      <c r="PFP225" s="1"/>
      <c r="PFQ225" s="1"/>
      <c r="PFR225" s="1"/>
      <c r="PFS225" s="1"/>
      <c r="PFT225" s="1"/>
      <c r="PFU225" s="1"/>
      <c r="PFV225" s="1"/>
      <c r="PFW225" s="1"/>
      <c r="PFX225" s="1"/>
      <c r="PFY225" s="1"/>
      <c r="PFZ225" s="1"/>
      <c r="PGA225" s="1"/>
      <c r="PGB225" s="1"/>
      <c r="PGC225" s="1"/>
      <c r="PGD225" s="1"/>
      <c r="PGE225" s="1"/>
      <c r="PGF225" s="1"/>
      <c r="PGG225" s="1"/>
      <c r="PGH225" s="1"/>
      <c r="PGI225" s="1"/>
      <c r="PGJ225" s="1"/>
      <c r="PGK225" s="1"/>
      <c r="PGL225" s="1"/>
      <c r="PGM225" s="1"/>
      <c r="PGN225" s="1"/>
      <c r="PGO225" s="1"/>
      <c r="PGP225" s="1"/>
      <c r="PGQ225" s="1"/>
      <c r="PGR225" s="1"/>
      <c r="PGS225" s="1"/>
      <c r="PGT225" s="1"/>
      <c r="PGU225" s="1"/>
      <c r="PGV225" s="1"/>
      <c r="PGW225" s="1"/>
      <c r="PGX225" s="1"/>
      <c r="PGY225" s="1"/>
      <c r="PGZ225" s="1"/>
      <c r="PHA225" s="1"/>
      <c r="PHB225" s="1"/>
      <c r="PHC225" s="1"/>
      <c r="PHD225" s="1"/>
      <c r="PHE225" s="1"/>
      <c r="PHF225" s="1"/>
      <c r="PHG225" s="1"/>
      <c r="PHH225" s="1"/>
      <c r="PHI225" s="1"/>
      <c r="PHJ225" s="1"/>
      <c r="PHK225" s="1"/>
      <c r="PHL225" s="1"/>
      <c r="PHM225" s="1"/>
      <c r="PHN225" s="1"/>
      <c r="PHO225" s="1"/>
      <c r="PHP225" s="1"/>
      <c r="PHQ225" s="1"/>
      <c r="PHR225" s="1"/>
      <c r="PHS225" s="1"/>
      <c r="PHT225" s="1"/>
      <c r="PHU225" s="1"/>
      <c r="PHV225" s="1"/>
      <c r="PHW225" s="1"/>
      <c r="PHX225" s="1"/>
      <c r="PHY225" s="1"/>
      <c r="PHZ225" s="1"/>
      <c r="PIA225" s="1"/>
      <c r="PIB225" s="1"/>
      <c r="PIC225" s="1"/>
      <c r="PID225" s="1"/>
      <c r="PIE225" s="1"/>
      <c r="PIF225" s="1"/>
      <c r="PIG225" s="1"/>
      <c r="PIH225" s="1"/>
      <c r="PII225" s="1"/>
      <c r="PIJ225" s="1"/>
      <c r="PIK225" s="1"/>
      <c r="PIL225" s="1"/>
      <c r="PIM225" s="1"/>
      <c r="PIN225" s="1"/>
      <c r="PIO225" s="1"/>
      <c r="PIP225" s="1"/>
      <c r="PIQ225" s="1"/>
      <c r="PIR225" s="1"/>
      <c r="PIS225" s="1"/>
      <c r="PIT225" s="1"/>
      <c r="PIU225" s="1"/>
      <c r="PIV225" s="1"/>
      <c r="PIW225" s="1"/>
      <c r="PIX225" s="1"/>
      <c r="PIY225" s="1"/>
      <c r="PIZ225" s="1"/>
      <c r="PJA225" s="1"/>
      <c r="PJB225" s="1"/>
      <c r="PJC225" s="1"/>
      <c r="PJD225" s="1"/>
      <c r="PJE225" s="1"/>
      <c r="PJF225" s="1"/>
      <c r="PJG225" s="1"/>
      <c r="PJH225" s="1"/>
      <c r="PJI225" s="1"/>
      <c r="PJJ225" s="1"/>
      <c r="PJK225" s="1"/>
      <c r="PJL225" s="1"/>
      <c r="PJM225" s="1"/>
      <c r="PJN225" s="1"/>
      <c r="PJO225" s="1"/>
      <c r="PJP225" s="1"/>
      <c r="PJQ225" s="1"/>
      <c r="PJR225" s="1"/>
      <c r="PJS225" s="1"/>
      <c r="PJT225" s="1"/>
      <c r="PJU225" s="1"/>
      <c r="PJV225" s="1"/>
      <c r="PJW225" s="1"/>
      <c r="PJX225" s="1"/>
      <c r="PJY225" s="1"/>
      <c r="PJZ225" s="1"/>
      <c r="PKA225" s="1"/>
      <c r="PKB225" s="1"/>
      <c r="PKC225" s="1"/>
      <c r="PKD225" s="1"/>
      <c r="PKE225" s="1"/>
      <c r="PKF225" s="1"/>
      <c r="PKG225" s="1"/>
      <c r="PKH225" s="1"/>
      <c r="PKI225" s="1"/>
      <c r="PKJ225" s="1"/>
      <c r="PKK225" s="1"/>
      <c r="PKL225" s="1"/>
      <c r="PKM225" s="1"/>
      <c r="PKN225" s="1"/>
      <c r="PKO225" s="1"/>
      <c r="PKP225" s="1"/>
      <c r="PKQ225" s="1"/>
      <c r="PKR225" s="1"/>
      <c r="PKS225" s="1"/>
      <c r="PKT225" s="1"/>
      <c r="PKU225" s="1"/>
      <c r="PKV225" s="1"/>
      <c r="PKW225" s="1"/>
      <c r="PKX225" s="1"/>
      <c r="PKY225" s="1"/>
      <c r="PKZ225" s="1"/>
      <c r="PLA225" s="1"/>
      <c r="PLB225" s="1"/>
      <c r="PLC225" s="1"/>
      <c r="PLD225" s="1"/>
      <c r="PLE225" s="1"/>
      <c r="PLF225" s="1"/>
      <c r="PLG225" s="1"/>
      <c r="PLH225" s="1"/>
      <c r="PLI225" s="1"/>
      <c r="PLJ225" s="1"/>
      <c r="PLK225" s="1"/>
      <c r="PLL225" s="1"/>
      <c r="PLM225" s="1"/>
      <c r="PLN225" s="1"/>
      <c r="PLO225" s="1"/>
      <c r="PLP225" s="1"/>
      <c r="PLQ225" s="1"/>
      <c r="PLR225" s="1"/>
      <c r="PLS225" s="1"/>
      <c r="PLT225" s="1"/>
      <c r="PLU225" s="1"/>
      <c r="PLV225" s="1"/>
      <c r="PLW225" s="1"/>
      <c r="PLX225" s="1"/>
      <c r="PLY225" s="1"/>
      <c r="PLZ225" s="1"/>
      <c r="PMA225" s="1"/>
      <c r="PMB225" s="1"/>
      <c r="PMC225" s="1"/>
      <c r="PMD225" s="1"/>
      <c r="PME225" s="1"/>
      <c r="PMF225" s="1"/>
      <c r="PMG225" s="1"/>
      <c r="PMH225" s="1"/>
      <c r="PMI225" s="1"/>
      <c r="PMJ225" s="1"/>
      <c r="PMK225" s="1"/>
      <c r="PML225" s="1"/>
      <c r="PMM225" s="1"/>
      <c r="PMN225" s="1"/>
      <c r="PMO225" s="1"/>
      <c r="PMP225" s="1"/>
      <c r="PMQ225" s="1"/>
      <c r="PMR225" s="1"/>
      <c r="PMS225" s="1"/>
      <c r="PMT225" s="1"/>
      <c r="PMU225" s="1"/>
      <c r="PMV225" s="1"/>
      <c r="PMW225" s="1"/>
      <c r="PMX225" s="1"/>
      <c r="PMY225" s="1"/>
      <c r="PMZ225" s="1"/>
      <c r="PNA225" s="1"/>
      <c r="PNB225" s="1"/>
      <c r="PNC225" s="1"/>
      <c r="PND225" s="1"/>
      <c r="PNE225" s="1"/>
      <c r="PNF225" s="1"/>
      <c r="PNG225" s="1"/>
      <c r="PNH225" s="1"/>
      <c r="PNI225" s="1"/>
      <c r="PNJ225" s="1"/>
      <c r="PNK225" s="1"/>
      <c r="PNL225" s="1"/>
      <c r="PNM225" s="1"/>
      <c r="PNN225" s="1"/>
      <c r="PNO225" s="1"/>
      <c r="PNP225" s="1"/>
      <c r="PNQ225" s="1"/>
      <c r="PNR225" s="1"/>
      <c r="PNS225" s="1"/>
      <c r="PNT225" s="1"/>
      <c r="PNU225" s="1"/>
      <c r="PNV225" s="1"/>
      <c r="PNW225" s="1"/>
      <c r="PNX225" s="1"/>
      <c r="PNY225" s="1"/>
      <c r="PNZ225" s="1"/>
      <c r="POA225" s="1"/>
      <c r="POB225" s="1"/>
      <c r="POC225" s="1"/>
      <c r="POD225" s="1"/>
      <c r="POE225" s="1"/>
      <c r="POF225" s="1"/>
      <c r="POG225" s="1"/>
      <c r="POH225" s="1"/>
      <c r="POI225" s="1"/>
      <c r="POJ225" s="1"/>
      <c r="POK225" s="1"/>
      <c r="POL225" s="1"/>
      <c r="POM225" s="1"/>
      <c r="PON225" s="1"/>
      <c r="POO225" s="1"/>
      <c r="POP225" s="1"/>
      <c r="POQ225" s="1"/>
      <c r="POR225" s="1"/>
      <c r="POS225" s="1"/>
      <c r="POT225" s="1"/>
      <c r="POU225" s="1"/>
      <c r="POV225" s="1"/>
      <c r="POW225" s="1"/>
      <c r="POX225" s="1"/>
      <c r="POY225" s="1"/>
      <c r="POZ225" s="1"/>
      <c r="PPA225" s="1"/>
      <c r="PPB225" s="1"/>
      <c r="PPC225" s="1"/>
      <c r="PPD225" s="1"/>
      <c r="PPE225" s="1"/>
      <c r="PPF225" s="1"/>
      <c r="PPG225" s="1"/>
      <c r="PPH225" s="1"/>
      <c r="PPI225" s="1"/>
      <c r="PPJ225" s="1"/>
      <c r="PPK225" s="1"/>
      <c r="PPL225" s="1"/>
      <c r="PPM225" s="1"/>
      <c r="PPN225" s="1"/>
      <c r="PPO225" s="1"/>
      <c r="PPP225" s="1"/>
      <c r="PPQ225" s="1"/>
      <c r="PPR225" s="1"/>
      <c r="PPS225" s="1"/>
      <c r="PPT225" s="1"/>
      <c r="PPU225" s="1"/>
      <c r="PPV225" s="1"/>
      <c r="PPW225" s="1"/>
      <c r="PPX225" s="1"/>
      <c r="PPY225" s="1"/>
      <c r="PPZ225" s="1"/>
      <c r="PQA225" s="1"/>
      <c r="PQB225" s="1"/>
      <c r="PQC225" s="1"/>
      <c r="PQD225" s="1"/>
      <c r="PQE225" s="1"/>
      <c r="PQF225" s="1"/>
      <c r="PQG225" s="1"/>
      <c r="PQH225" s="1"/>
      <c r="PQI225" s="1"/>
      <c r="PQJ225" s="1"/>
      <c r="PQK225" s="1"/>
      <c r="PQL225" s="1"/>
      <c r="PQM225" s="1"/>
      <c r="PQN225" s="1"/>
      <c r="PQO225" s="1"/>
      <c r="PQP225" s="1"/>
      <c r="PQQ225" s="1"/>
      <c r="PQR225" s="1"/>
      <c r="PQS225" s="1"/>
      <c r="PQT225" s="1"/>
      <c r="PQU225" s="1"/>
      <c r="PQV225" s="1"/>
      <c r="PQW225" s="1"/>
      <c r="PQX225" s="1"/>
      <c r="PQY225" s="1"/>
      <c r="PQZ225" s="1"/>
      <c r="PRA225" s="1"/>
      <c r="PRB225" s="1"/>
      <c r="PRC225" s="1"/>
      <c r="PRD225" s="1"/>
      <c r="PRE225" s="1"/>
      <c r="PRF225" s="1"/>
      <c r="PRG225" s="1"/>
      <c r="PRH225" s="1"/>
      <c r="PRI225" s="1"/>
      <c r="PRJ225" s="1"/>
      <c r="PRK225" s="1"/>
      <c r="PRL225" s="1"/>
      <c r="PRM225" s="1"/>
      <c r="PRN225" s="1"/>
      <c r="PRO225" s="1"/>
      <c r="PRP225" s="1"/>
      <c r="PRQ225" s="1"/>
      <c r="PRR225" s="1"/>
      <c r="PRS225" s="1"/>
      <c r="PRT225" s="1"/>
      <c r="PRU225" s="1"/>
      <c r="PRV225" s="1"/>
      <c r="PRW225" s="1"/>
      <c r="PRX225" s="1"/>
      <c r="PRY225" s="1"/>
      <c r="PRZ225" s="1"/>
      <c r="PSA225" s="1"/>
      <c r="PSB225" s="1"/>
      <c r="PSC225" s="1"/>
      <c r="PSD225" s="1"/>
      <c r="PSE225" s="1"/>
      <c r="PSF225" s="1"/>
      <c r="PSG225" s="1"/>
      <c r="PSH225" s="1"/>
      <c r="PSI225" s="1"/>
      <c r="PSJ225" s="1"/>
      <c r="PSK225" s="1"/>
      <c r="PSL225" s="1"/>
      <c r="PSM225" s="1"/>
      <c r="PSN225" s="1"/>
      <c r="PSO225" s="1"/>
      <c r="PSP225" s="1"/>
      <c r="PSQ225" s="1"/>
      <c r="PSR225" s="1"/>
      <c r="PSS225" s="1"/>
      <c r="PST225" s="1"/>
      <c r="PSU225" s="1"/>
      <c r="PSV225" s="1"/>
      <c r="PSW225" s="1"/>
      <c r="PSX225" s="1"/>
      <c r="PSY225" s="1"/>
      <c r="PSZ225" s="1"/>
      <c r="PTA225" s="1"/>
      <c r="PTB225" s="1"/>
      <c r="PTC225" s="1"/>
      <c r="PTD225" s="1"/>
      <c r="PTE225" s="1"/>
      <c r="PTF225" s="1"/>
      <c r="PTG225" s="1"/>
      <c r="PTH225" s="1"/>
      <c r="PTI225" s="1"/>
      <c r="PTJ225" s="1"/>
      <c r="PTK225" s="1"/>
      <c r="PTL225" s="1"/>
      <c r="PTM225" s="1"/>
      <c r="PTN225" s="1"/>
      <c r="PTO225" s="1"/>
      <c r="PTP225" s="1"/>
      <c r="PTQ225" s="1"/>
      <c r="PTR225" s="1"/>
      <c r="PTS225" s="1"/>
      <c r="PTT225" s="1"/>
      <c r="PTU225" s="1"/>
      <c r="PTV225" s="1"/>
      <c r="PTW225" s="1"/>
      <c r="PTX225" s="1"/>
      <c r="PTY225" s="1"/>
      <c r="PTZ225" s="1"/>
      <c r="PUA225" s="1"/>
      <c r="PUB225" s="1"/>
      <c r="PUC225" s="1"/>
      <c r="PUD225" s="1"/>
      <c r="PUE225" s="1"/>
      <c r="PUF225" s="1"/>
      <c r="PUG225" s="1"/>
      <c r="PUH225" s="1"/>
      <c r="PUI225" s="1"/>
      <c r="PUJ225" s="1"/>
      <c r="PUK225" s="1"/>
      <c r="PUL225" s="1"/>
      <c r="PUM225" s="1"/>
      <c r="PUN225" s="1"/>
      <c r="PUO225" s="1"/>
      <c r="PUP225" s="1"/>
      <c r="PUQ225" s="1"/>
      <c r="PUR225" s="1"/>
      <c r="PUS225" s="1"/>
      <c r="PUT225" s="1"/>
      <c r="PUU225" s="1"/>
      <c r="PUV225" s="1"/>
      <c r="PUW225" s="1"/>
      <c r="PUX225" s="1"/>
      <c r="PUY225" s="1"/>
      <c r="PUZ225" s="1"/>
      <c r="PVA225" s="1"/>
      <c r="PVB225" s="1"/>
      <c r="PVC225" s="1"/>
      <c r="PVD225" s="1"/>
      <c r="PVE225" s="1"/>
      <c r="PVF225" s="1"/>
      <c r="PVG225" s="1"/>
      <c r="PVH225" s="1"/>
      <c r="PVI225" s="1"/>
      <c r="PVJ225" s="1"/>
      <c r="PVK225" s="1"/>
      <c r="PVL225" s="1"/>
      <c r="PVM225" s="1"/>
      <c r="PVN225" s="1"/>
      <c r="PVO225" s="1"/>
      <c r="PVP225" s="1"/>
      <c r="PVQ225" s="1"/>
      <c r="PVR225" s="1"/>
      <c r="PVS225" s="1"/>
      <c r="PVT225" s="1"/>
      <c r="PVU225" s="1"/>
      <c r="PVV225" s="1"/>
      <c r="PVW225" s="1"/>
      <c r="PVX225" s="1"/>
      <c r="PVY225" s="1"/>
      <c r="PVZ225" s="1"/>
      <c r="PWA225" s="1"/>
      <c r="PWB225" s="1"/>
      <c r="PWC225" s="1"/>
      <c r="PWD225" s="1"/>
      <c r="PWE225" s="1"/>
      <c r="PWF225" s="1"/>
      <c r="PWG225" s="1"/>
      <c r="PWH225" s="1"/>
      <c r="PWI225" s="1"/>
      <c r="PWJ225" s="1"/>
      <c r="PWK225" s="1"/>
      <c r="PWL225" s="1"/>
      <c r="PWM225" s="1"/>
      <c r="PWN225" s="1"/>
      <c r="PWO225" s="1"/>
      <c r="PWP225" s="1"/>
      <c r="PWQ225" s="1"/>
      <c r="PWR225" s="1"/>
      <c r="PWS225" s="1"/>
      <c r="PWT225" s="1"/>
      <c r="PWU225" s="1"/>
      <c r="PWV225" s="1"/>
      <c r="PWW225" s="1"/>
      <c r="PWX225" s="1"/>
      <c r="PWY225" s="1"/>
      <c r="PWZ225" s="1"/>
      <c r="PXA225" s="1"/>
      <c r="PXB225" s="1"/>
      <c r="PXC225" s="1"/>
      <c r="PXD225" s="1"/>
      <c r="PXE225" s="1"/>
      <c r="PXF225" s="1"/>
      <c r="PXG225" s="1"/>
      <c r="PXH225" s="1"/>
      <c r="PXI225" s="1"/>
      <c r="PXJ225" s="1"/>
      <c r="PXK225" s="1"/>
      <c r="PXL225" s="1"/>
      <c r="PXM225" s="1"/>
      <c r="PXN225" s="1"/>
      <c r="PXO225" s="1"/>
      <c r="PXP225" s="1"/>
      <c r="PXQ225" s="1"/>
      <c r="PXR225" s="1"/>
      <c r="PXS225" s="1"/>
      <c r="PXT225" s="1"/>
      <c r="PXU225" s="1"/>
      <c r="PXV225" s="1"/>
      <c r="PXW225" s="1"/>
      <c r="PXX225" s="1"/>
      <c r="PXY225" s="1"/>
      <c r="PXZ225" s="1"/>
      <c r="PYA225" s="1"/>
      <c r="PYB225" s="1"/>
      <c r="PYC225" s="1"/>
      <c r="PYD225" s="1"/>
      <c r="PYE225" s="1"/>
      <c r="PYF225" s="1"/>
      <c r="PYG225" s="1"/>
      <c r="PYH225" s="1"/>
      <c r="PYI225" s="1"/>
      <c r="PYJ225" s="1"/>
      <c r="PYK225" s="1"/>
      <c r="PYL225" s="1"/>
      <c r="PYM225" s="1"/>
      <c r="PYN225" s="1"/>
      <c r="PYO225" s="1"/>
      <c r="PYP225" s="1"/>
      <c r="PYQ225" s="1"/>
      <c r="PYR225" s="1"/>
      <c r="PYS225" s="1"/>
      <c r="PYT225" s="1"/>
      <c r="PYU225" s="1"/>
      <c r="PYV225" s="1"/>
      <c r="PYW225" s="1"/>
      <c r="PYX225" s="1"/>
      <c r="PYY225" s="1"/>
      <c r="PYZ225" s="1"/>
      <c r="PZA225" s="1"/>
      <c r="PZB225" s="1"/>
      <c r="PZC225" s="1"/>
      <c r="PZD225" s="1"/>
      <c r="PZE225" s="1"/>
      <c r="PZF225" s="1"/>
      <c r="PZG225" s="1"/>
      <c r="PZH225" s="1"/>
      <c r="PZI225" s="1"/>
      <c r="PZJ225" s="1"/>
      <c r="PZK225" s="1"/>
      <c r="PZL225" s="1"/>
      <c r="PZM225" s="1"/>
      <c r="PZN225" s="1"/>
      <c r="PZO225" s="1"/>
      <c r="PZP225" s="1"/>
      <c r="PZQ225" s="1"/>
      <c r="PZR225" s="1"/>
      <c r="PZS225" s="1"/>
      <c r="PZT225" s="1"/>
      <c r="PZU225" s="1"/>
      <c r="PZV225" s="1"/>
      <c r="PZW225" s="1"/>
      <c r="PZX225" s="1"/>
      <c r="PZY225" s="1"/>
      <c r="PZZ225" s="1"/>
      <c r="QAA225" s="1"/>
      <c r="QAB225" s="1"/>
      <c r="QAC225" s="1"/>
      <c r="QAD225" s="1"/>
      <c r="QAE225" s="1"/>
      <c r="QAF225" s="1"/>
      <c r="QAG225" s="1"/>
      <c r="QAH225" s="1"/>
      <c r="QAI225" s="1"/>
      <c r="QAJ225" s="1"/>
      <c r="QAK225" s="1"/>
      <c r="QAL225" s="1"/>
      <c r="QAM225" s="1"/>
      <c r="QAN225" s="1"/>
      <c r="QAO225" s="1"/>
      <c r="QAP225" s="1"/>
      <c r="QAQ225" s="1"/>
      <c r="QAR225" s="1"/>
      <c r="QAS225" s="1"/>
      <c r="QAT225" s="1"/>
      <c r="QAU225" s="1"/>
      <c r="QAV225" s="1"/>
      <c r="QAW225" s="1"/>
      <c r="QAX225" s="1"/>
      <c r="QAY225" s="1"/>
      <c r="QAZ225" s="1"/>
      <c r="QBA225" s="1"/>
      <c r="QBB225" s="1"/>
      <c r="QBC225" s="1"/>
      <c r="QBD225" s="1"/>
      <c r="QBE225" s="1"/>
      <c r="QBF225" s="1"/>
      <c r="QBG225" s="1"/>
      <c r="QBH225" s="1"/>
      <c r="QBI225" s="1"/>
      <c r="QBJ225" s="1"/>
      <c r="QBK225" s="1"/>
      <c r="QBL225" s="1"/>
      <c r="QBM225" s="1"/>
      <c r="QBN225" s="1"/>
      <c r="QBO225" s="1"/>
      <c r="QBP225" s="1"/>
      <c r="QBQ225" s="1"/>
      <c r="QBR225" s="1"/>
      <c r="QBS225" s="1"/>
      <c r="QBT225" s="1"/>
      <c r="QBU225" s="1"/>
      <c r="QBV225" s="1"/>
      <c r="QBW225" s="1"/>
      <c r="QBX225" s="1"/>
      <c r="QBY225" s="1"/>
      <c r="QBZ225" s="1"/>
      <c r="QCA225" s="1"/>
      <c r="QCB225" s="1"/>
      <c r="QCC225" s="1"/>
      <c r="QCD225" s="1"/>
      <c r="QCE225" s="1"/>
      <c r="QCF225" s="1"/>
      <c r="QCG225" s="1"/>
      <c r="QCH225" s="1"/>
      <c r="QCI225" s="1"/>
      <c r="QCJ225" s="1"/>
      <c r="QCK225" s="1"/>
      <c r="QCL225" s="1"/>
      <c r="QCM225" s="1"/>
      <c r="QCN225" s="1"/>
      <c r="QCO225" s="1"/>
      <c r="QCP225" s="1"/>
      <c r="QCQ225" s="1"/>
      <c r="QCR225" s="1"/>
      <c r="QCS225" s="1"/>
      <c r="QCT225" s="1"/>
      <c r="QCU225" s="1"/>
      <c r="QCV225" s="1"/>
      <c r="QCW225" s="1"/>
      <c r="QCX225" s="1"/>
      <c r="QCY225" s="1"/>
      <c r="QCZ225" s="1"/>
      <c r="QDA225" s="1"/>
      <c r="QDB225" s="1"/>
      <c r="QDC225" s="1"/>
      <c r="QDD225" s="1"/>
      <c r="QDE225" s="1"/>
      <c r="QDF225" s="1"/>
      <c r="QDG225" s="1"/>
      <c r="QDH225" s="1"/>
      <c r="QDI225" s="1"/>
      <c r="QDJ225" s="1"/>
      <c r="QDK225" s="1"/>
      <c r="QDL225" s="1"/>
      <c r="QDM225" s="1"/>
      <c r="QDN225" s="1"/>
      <c r="QDO225" s="1"/>
      <c r="QDP225" s="1"/>
      <c r="QDQ225" s="1"/>
      <c r="QDR225" s="1"/>
      <c r="QDS225" s="1"/>
      <c r="QDT225" s="1"/>
      <c r="QDU225" s="1"/>
      <c r="QDV225" s="1"/>
      <c r="QDW225" s="1"/>
      <c r="QDX225" s="1"/>
      <c r="QDY225" s="1"/>
      <c r="QDZ225" s="1"/>
      <c r="QEA225" s="1"/>
      <c r="QEB225" s="1"/>
      <c r="QEC225" s="1"/>
      <c r="QED225" s="1"/>
      <c r="QEE225" s="1"/>
      <c r="QEF225" s="1"/>
      <c r="QEG225" s="1"/>
      <c r="QEH225" s="1"/>
      <c r="QEI225" s="1"/>
      <c r="QEJ225" s="1"/>
      <c r="QEK225" s="1"/>
      <c r="QEL225" s="1"/>
      <c r="QEM225" s="1"/>
      <c r="QEN225" s="1"/>
      <c r="QEO225" s="1"/>
      <c r="QEP225" s="1"/>
      <c r="QEQ225" s="1"/>
      <c r="QER225" s="1"/>
      <c r="QES225" s="1"/>
      <c r="QET225" s="1"/>
      <c r="QEU225" s="1"/>
      <c r="QEV225" s="1"/>
      <c r="QEW225" s="1"/>
      <c r="QEX225" s="1"/>
      <c r="QEY225" s="1"/>
      <c r="QEZ225" s="1"/>
      <c r="QFA225" s="1"/>
      <c r="QFB225" s="1"/>
      <c r="QFC225" s="1"/>
      <c r="QFD225" s="1"/>
      <c r="QFE225" s="1"/>
      <c r="QFF225" s="1"/>
      <c r="QFG225" s="1"/>
      <c r="QFH225" s="1"/>
      <c r="QFI225" s="1"/>
      <c r="QFJ225" s="1"/>
      <c r="QFK225" s="1"/>
      <c r="QFL225" s="1"/>
      <c r="QFM225" s="1"/>
      <c r="QFN225" s="1"/>
      <c r="QFO225" s="1"/>
      <c r="QFP225" s="1"/>
      <c r="QFQ225" s="1"/>
      <c r="QFR225" s="1"/>
      <c r="QFS225" s="1"/>
      <c r="QFT225" s="1"/>
      <c r="QFU225" s="1"/>
      <c r="QFV225" s="1"/>
      <c r="QFW225" s="1"/>
      <c r="QFX225" s="1"/>
      <c r="QFY225" s="1"/>
      <c r="QFZ225" s="1"/>
      <c r="QGA225" s="1"/>
      <c r="QGB225" s="1"/>
      <c r="QGC225" s="1"/>
      <c r="QGD225" s="1"/>
      <c r="QGE225" s="1"/>
      <c r="QGF225" s="1"/>
      <c r="QGG225" s="1"/>
      <c r="QGH225" s="1"/>
      <c r="QGI225" s="1"/>
      <c r="QGJ225" s="1"/>
      <c r="QGK225" s="1"/>
      <c r="QGL225" s="1"/>
      <c r="QGM225" s="1"/>
      <c r="QGN225" s="1"/>
      <c r="QGO225" s="1"/>
      <c r="QGP225" s="1"/>
      <c r="QGQ225" s="1"/>
      <c r="QGR225" s="1"/>
      <c r="QGS225" s="1"/>
      <c r="QGT225" s="1"/>
      <c r="QGU225" s="1"/>
      <c r="QGV225" s="1"/>
      <c r="QGW225" s="1"/>
      <c r="QGX225" s="1"/>
      <c r="QGY225" s="1"/>
      <c r="QGZ225" s="1"/>
      <c r="QHA225" s="1"/>
      <c r="QHB225" s="1"/>
      <c r="QHC225" s="1"/>
      <c r="QHD225" s="1"/>
      <c r="QHE225" s="1"/>
      <c r="QHF225" s="1"/>
      <c r="QHG225" s="1"/>
      <c r="QHH225" s="1"/>
      <c r="QHI225" s="1"/>
      <c r="QHJ225" s="1"/>
      <c r="QHK225" s="1"/>
      <c r="QHL225" s="1"/>
      <c r="QHM225" s="1"/>
      <c r="QHN225" s="1"/>
      <c r="QHO225" s="1"/>
      <c r="QHP225" s="1"/>
      <c r="QHQ225" s="1"/>
      <c r="QHR225" s="1"/>
      <c r="QHS225" s="1"/>
      <c r="QHT225" s="1"/>
      <c r="QHU225" s="1"/>
      <c r="QHV225" s="1"/>
      <c r="QHW225" s="1"/>
      <c r="QHX225" s="1"/>
      <c r="QHY225" s="1"/>
      <c r="QHZ225" s="1"/>
      <c r="QIA225" s="1"/>
      <c r="QIB225" s="1"/>
      <c r="QIC225" s="1"/>
      <c r="QID225" s="1"/>
      <c r="QIE225" s="1"/>
      <c r="QIF225" s="1"/>
      <c r="QIG225" s="1"/>
      <c r="QIH225" s="1"/>
      <c r="QII225" s="1"/>
      <c r="QIJ225" s="1"/>
      <c r="QIK225" s="1"/>
      <c r="QIL225" s="1"/>
      <c r="QIM225" s="1"/>
      <c r="QIN225" s="1"/>
      <c r="QIO225" s="1"/>
      <c r="QIP225" s="1"/>
      <c r="QIQ225" s="1"/>
      <c r="QIR225" s="1"/>
      <c r="QIS225" s="1"/>
      <c r="QIT225" s="1"/>
      <c r="QIU225" s="1"/>
      <c r="QIV225" s="1"/>
      <c r="QIW225" s="1"/>
      <c r="QIX225" s="1"/>
      <c r="QIY225" s="1"/>
      <c r="QIZ225" s="1"/>
      <c r="QJA225" s="1"/>
      <c r="QJB225" s="1"/>
      <c r="QJC225" s="1"/>
      <c r="QJD225" s="1"/>
      <c r="QJE225" s="1"/>
      <c r="QJF225" s="1"/>
      <c r="QJG225" s="1"/>
      <c r="QJH225" s="1"/>
      <c r="QJI225" s="1"/>
      <c r="QJJ225" s="1"/>
      <c r="QJK225" s="1"/>
      <c r="QJL225" s="1"/>
      <c r="QJM225" s="1"/>
      <c r="QJN225" s="1"/>
      <c r="QJO225" s="1"/>
      <c r="QJP225" s="1"/>
      <c r="QJQ225" s="1"/>
      <c r="QJR225" s="1"/>
      <c r="QJS225" s="1"/>
      <c r="QJT225" s="1"/>
      <c r="QJU225" s="1"/>
      <c r="QJV225" s="1"/>
      <c r="QJW225" s="1"/>
      <c r="QJX225" s="1"/>
      <c r="QJY225" s="1"/>
      <c r="QJZ225" s="1"/>
      <c r="QKA225" s="1"/>
      <c r="QKB225" s="1"/>
      <c r="QKC225" s="1"/>
      <c r="QKD225" s="1"/>
      <c r="QKE225" s="1"/>
      <c r="QKF225" s="1"/>
      <c r="QKG225" s="1"/>
      <c r="QKH225" s="1"/>
      <c r="QKI225" s="1"/>
      <c r="QKJ225" s="1"/>
      <c r="QKK225" s="1"/>
      <c r="QKL225" s="1"/>
      <c r="QKM225" s="1"/>
      <c r="QKN225" s="1"/>
      <c r="QKO225" s="1"/>
      <c r="QKP225" s="1"/>
      <c r="QKQ225" s="1"/>
      <c r="QKR225" s="1"/>
      <c r="QKS225" s="1"/>
      <c r="QKT225" s="1"/>
      <c r="QKU225" s="1"/>
      <c r="QKV225" s="1"/>
      <c r="QKW225" s="1"/>
      <c r="QKX225" s="1"/>
      <c r="QKY225" s="1"/>
      <c r="QKZ225" s="1"/>
      <c r="QLA225" s="1"/>
      <c r="QLB225" s="1"/>
      <c r="QLC225" s="1"/>
      <c r="QLD225" s="1"/>
      <c r="QLE225" s="1"/>
      <c r="QLF225" s="1"/>
      <c r="QLG225" s="1"/>
      <c r="QLH225" s="1"/>
      <c r="QLI225" s="1"/>
      <c r="QLJ225" s="1"/>
      <c r="QLK225" s="1"/>
      <c r="QLL225" s="1"/>
      <c r="QLM225" s="1"/>
      <c r="QLN225" s="1"/>
      <c r="QLO225" s="1"/>
      <c r="QLP225" s="1"/>
      <c r="QLQ225" s="1"/>
      <c r="QLR225" s="1"/>
      <c r="QLS225" s="1"/>
      <c r="QLT225" s="1"/>
      <c r="QLU225" s="1"/>
      <c r="QLV225" s="1"/>
      <c r="QLW225" s="1"/>
      <c r="QLX225" s="1"/>
      <c r="QLY225" s="1"/>
      <c r="QLZ225" s="1"/>
      <c r="QMA225" s="1"/>
      <c r="QMB225" s="1"/>
      <c r="QMC225" s="1"/>
      <c r="QMD225" s="1"/>
      <c r="QME225" s="1"/>
      <c r="QMF225" s="1"/>
      <c r="QMG225" s="1"/>
      <c r="QMH225" s="1"/>
      <c r="QMI225" s="1"/>
      <c r="QMJ225" s="1"/>
      <c r="QMK225" s="1"/>
      <c r="QML225" s="1"/>
      <c r="QMM225" s="1"/>
      <c r="QMN225" s="1"/>
      <c r="QMO225" s="1"/>
      <c r="QMP225" s="1"/>
      <c r="QMQ225" s="1"/>
      <c r="QMR225" s="1"/>
      <c r="QMS225" s="1"/>
      <c r="QMT225" s="1"/>
      <c r="QMU225" s="1"/>
      <c r="QMV225" s="1"/>
      <c r="QMW225" s="1"/>
      <c r="QMX225" s="1"/>
      <c r="QMY225" s="1"/>
      <c r="QMZ225" s="1"/>
      <c r="QNA225" s="1"/>
      <c r="QNB225" s="1"/>
      <c r="QNC225" s="1"/>
      <c r="QND225" s="1"/>
      <c r="QNE225" s="1"/>
      <c r="QNF225" s="1"/>
      <c r="QNG225" s="1"/>
      <c r="QNH225" s="1"/>
      <c r="QNI225" s="1"/>
      <c r="QNJ225" s="1"/>
      <c r="QNK225" s="1"/>
      <c r="QNL225" s="1"/>
      <c r="QNM225" s="1"/>
      <c r="QNN225" s="1"/>
      <c r="QNO225" s="1"/>
      <c r="QNP225" s="1"/>
      <c r="QNQ225" s="1"/>
      <c r="QNR225" s="1"/>
      <c r="QNS225" s="1"/>
      <c r="QNT225" s="1"/>
      <c r="QNU225" s="1"/>
      <c r="QNV225" s="1"/>
      <c r="QNW225" s="1"/>
      <c r="QNX225" s="1"/>
      <c r="QNY225" s="1"/>
      <c r="QNZ225" s="1"/>
      <c r="QOA225" s="1"/>
      <c r="QOB225" s="1"/>
      <c r="QOC225" s="1"/>
      <c r="QOD225" s="1"/>
      <c r="QOE225" s="1"/>
      <c r="QOF225" s="1"/>
      <c r="QOG225" s="1"/>
      <c r="QOH225" s="1"/>
      <c r="QOI225" s="1"/>
      <c r="QOJ225" s="1"/>
      <c r="QOK225" s="1"/>
      <c r="QOL225" s="1"/>
      <c r="QOM225" s="1"/>
      <c r="QON225" s="1"/>
      <c r="QOO225" s="1"/>
      <c r="QOP225" s="1"/>
      <c r="QOQ225" s="1"/>
      <c r="QOR225" s="1"/>
      <c r="QOS225" s="1"/>
      <c r="QOT225" s="1"/>
      <c r="QOU225" s="1"/>
      <c r="QOV225" s="1"/>
      <c r="QOW225" s="1"/>
      <c r="QOX225" s="1"/>
      <c r="QOY225" s="1"/>
      <c r="QOZ225" s="1"/>
      <c r="QPA225" s="1"/>
      <c r="QPB225" s="1"/>
      <c r="QPC225" s="1"/>
      <c r="QPD225" s="1"/>
      <c r="QPE225" s="1"/>
      <c r="QPF225" s="1"/>
      <c r="QPG225" s="1"/>
      <c r="QPH225" s="1"/>
      <c r="QPI225" s="1"/>
      <c r="QPJ225" s="1"/>
      <c r="QPK225" s="1"/>
      <c r="QPL225" s="1"/>
      <c r="QPM225" s="1"/>
      <c r="QPN225" s="1"/>
      <c r="QPO225" s="1"/>
      <c r="QPP225" s="1"/>
      <c r="QPQ225" s="1"/>
      <c r="QPR225" s="1"/>
      <c r="QPS225" s="1"/>
      <c r="QPT225" s="1"/>
      <c r="QPU225" s="1"/>
      <c r="QPV225" s="1"/>
      <c r="QPW225" s="1"/>
      <c r="QPX225" s="1"/>
      <c r="QPY225" s="1"/>
      <c r="QPZ225" s="1"/>
      <c r="QQA225" s="1"/>
      <c r="QQB225" s="1"/>
      <c r="QQC225" s="1"/>
      <c r="QQD225" s="1"/>
      <c r="QQE225" s="1"/>
      <c r="QQF225" s="1"/>
      <c r="QQG225" s="1"/>
      <c r="QQH225" s="1"/>
      <c r="QQI225" s="1"/>
      <c r="QQJ225" s="1"/>
      <c r="QQK225" s="1"/>
      <c r="QQL225" s="1"/>
      <c r="QQM225" s="1"/>
      <c r="QQN225" s="1"/>
      <c r="QQO225" s="1"/>
      <c r="QQP225" s="1"/>
      <c r="QQQ225" s="1"/>
      <c r="QQR225" s="1"/>
      <c r="QQS225" s="1"/>
      <c r="QQT225" s="1"/>
      <c r="QQU225" s="1"/>
      <c r="QQV225" s="1"/>
      <c r="QQW225" s="1"/>
      <c r="QQX225" s="1"/>
      <c r="QQY225" s="1"/>
      <c r="QQZ225" s="1"/>
      <c r="QRA225" s="1"/>
      <c r="QRB225" s="1"/>
      <c r="QRC225" s="1"/>
      <c r="QRD225" s="1"/>
      <c r="QRE225" s="1"/>
      <c r="QRF225" s="1"/>
      <c r="QRG225" s="1"/>
      <c r="QRH225" s="1"/>
      <c r="QRI225" s="1"/>
      <c r="QRJ225" s="1"/>
      <c r="QRK225" s="1"/>
      <c r="QRL225" s="1"/>
      <c r="QRM225" s="1"/>
      <c r="QRN225" s="1"/>
      <c r="QRO225" s="1"/>
      <c r="QRP225" s="1"/>
      <c r="QRQ225" s="1"/>
      <c r="QRR225" s="1"/>
      <c r="QRS225" s="1"/>
      <c r="QRT225" s="1"/>
      <c r="QRU225" s="1"/>
      <c r="QRV225" s="1"/>
      <c r="QRW225" s="1"/>
      <c r="QRX225" s="1"/>
      <c r="QRY225" s="1"/>
      <c r="QRZ225" s="1"/>
      <c r="QSA225" s="1"/>
      <c r="QSB225" s="1"/>
      <c r="QSC225" s="1"/>
      <c r="QSD225" s="1"/>
      <c r="QSE225" s="1"/>
      <c r="QSF225" s="1"/>
      <c r="QSG225" s="1"/>
      <c r="QSH225" s="1"/>
      <c r="QSI225" s="1"/>
      <c r="QSJ225" s="1"/>
      <c r="QSK225" s="1"/>
      <c r="QSL225" s="1"/>
      <c r="QSM225" s="1"/>
      <c r="QSN225" s="1"/>
      <c r="QSO225" s="1"/>
      <c r="QSP225" s="1"/>
      <c r="QSQ225" s="1"/>
      <c r="QSR225" s="1"/>
      <c r="QSS225" s="1"/>
      <c r="QST225" s="1"/>
      <c r="QSU225" s="1"/>
      <c r="QSV225" s="1"/>
      <c r="QSW225" s="1"/>
      <c r="QSX225" s="1"/>
      <c r="QSY225" s="1"/>
      <c r="QSZ225" s="1"/>
      <c r="QTA225" s="1"/>
      <c r="QTB225" s="1"/>
      <c r="QTC225" s="1"/>
      <c r="QTD225" s="1"/>
      <c r="QTE225" s="1"/>
      <c r="QTF225" s="1"/>
      <c r="QTG225" s="1"/>
      <c r="QTH225" s="1"/>
      <c r="QTI225" s="1"/>
      <c r="QTJ225" s="1"/>
      <c r="QTK225" s="1"/>
      <c r="QTL225" s="1"/>
      <c r="QTM225" s="1"/>
      <c r="QTN225" s="1"/>
      <c r="QTO225" s="1"/>
      <c r="QTP225" s="1"/>
      <c r="QTQ225" s="1"/>
      <c r="QTR225" s="1"/>
      <c r="QTS225" s="1"/>
      <c r="QTT225" s="1"/>
      <c r="QTU225" s="1"/>
      <c r="QTV225" s="1"/>
      <c r="QTW225" s="1"/>
      <c r="QTX225" s="1"/>
      <c r="QTY225" s="1"/>
      <c r="QTZ225" s="1"/>
      <c r="QUA225" s="1"/>
      <c r="QUB225" s="1"/>
      <c r="QUC225" s="1"/>
      <c r="QUD225" s="1"/>
      <c r="QUE225" s="1"/>
      <c r="QUF225" s="1"/>
      <c r="QUG225" s="1"/>
      <c r="QUH225" s="1"/>
      <c r="QUI225" s="1"/>
      <c r="QUJ225" s="1"/>
      <c r="QUK225" s="1"/>
      <c r="QUL225" s="1"/>
      <c r="QUM225" s="1"/>
      <c r="QUN225" s="1"/>
      <c r="QUO225" s="1"/>
      <c r="QUP225" s="1"/>
      <c r="QUQ225" s="1"/>
      <c r="QUR225" s="1"/>
      <c r="QUS225" s="1"/>
      <c r="QUT225" s="1"/>
      <c r="QUU225" s="1"/>
      <c r="QUV225" s="1"/>
      <c r="QUW225" s="1"/>
      <c r="QUX225" s="1"/>
      <c r="QUY225" s="1"/>
      <c r="QUZ225" s="1"/>
      <c r="QVA225" s="1"/>
      <c r="QVB225" s="1"/>
      <c r="QVC225" s="1"/>
      <c r="QVD225" s="1"/>
      <c r="QVE225" s="1"/>
      <c r="QVF225" s="1"/>
      <c r="QVG225" s="1"/>
      <c r="QVH225" s="1"/>
      <c r="QVI225" s="1"/>
      <c r="QVJ225" s="1"/>
      <c r="QVK225" s="1"/>
      <c r="QVL225" s="1"/>
      <c r="QVM225" s="1"/>
      <c r="QVN225" s="1"/>
      <c r="QVO225" s="1"/>
      <c r="QVP225" s="1"/>
      <c r="QVQ225" s="1"/>
      <c r="QVR225" s="1"/>
      <c r="QVS225" s="1"/>
      <c r="QVT225" s="1"/>
      <c r="QVU225" s="1"/>
      <c r="QVV225" s="1"/>
      <c r="QVW225" s="1"/>
      <c r="QVX225" s="1"/>
      <c r="QVY225" s="1"/>
      <c r="QVZ225" s="1"/>
      <c r="QWA225" s="1"/>
      <c r="QWB225" s="1"/>
      <c r="QWC225" s="1"/>
      <c r="QWD225" s="1"/>
      <c r="QWE225" s="1"/>
      <c r="QWF225" s="1"/>
      <c r="QWG225" s="1"/>
      <c r="QWH225" s="1"/>
      <c r="QWI225" s="1"/>
      <c r="QWJ225" s="1"/>
      <c r="QWK225" s="1"/>
      <c r="QWL225" s="1"/>
      <c r="QWM225" s="1"/>
      <c r="QWN225" s="1"/>
      <c r="QWO225" s="1"/>
      <c r="QWP225" s="1"/>
      <c r="QWQ225" s="1"/>
      <c r="QWR225" s="1"/>
      <c r="QWS225" s="1"/>
      <c r="QWT225" s="1"/>
      <c r="QWU225" s="1"/>
      <c r="QWV225" s="1"/>
      <c r="QWW225" s="1"/>
      <c r="QWX225" s="1"/>
      <c r="QWY225" s="1"/>
      <c r="QWZ225" s="1"/>
      <c r="QXA225" s="1"/>
      <c r="QXB225" s="1"/>
      <c r="QXC225" s="1"/>
      <c r="QXD225" s="1"/>
      <c r="QXE225" s="1"/>
      <c r="QXF225" s="1"/>
      <c r="QXG225" s="1"/>
      <c r="QXH225" s="1"/>
      <c r="QXI225" s="1"/>
      <c r="QXJ225" s="1"/>
      <c r="QXK225" s="1"/>
      <c r="QXL225" s="1"/>
      <c r="QXM225" s="1"/>
      <c r="QXN225" s="1"/>
      <c r="QXO225" s="1"/>
      <c r="QXP225" s="1"/>
      <c r="QXQ225" s="1"/>
      <c r="QXR225" s="1"/>
      <c r="QXS225" s="1"/>
      <c r="QXT225" s="1"/>
      <c r="QXU225" s="1"/>
      <c r="QXV225" s="1"/>
      <c r="QXW225" s="1"/>
      <c r="QXX225" s="1"/>
      <c r="QXY225" s="1"/>
      <c r="QXZ225" s="1"/>
      <c r="QYA225" s="1"/>
      <c r="QYB225" s="1"/>
      <c r="QYC225" s="1"/>
      <c r="QYD225" s="1"/>
      <c r="QYE225" s="1"/>
      <c r="QYF225" s="1"/>
      <c r="QYG225" s="1"/>
      <c r="QYH225" s="1"/>
      <c r="QYI225" s="1"/>
      <c r="QYJ225" s="1"/>
      <c r="QYK225" s="1"/>
      <c r="QYL225" s="1"/>
      <c r="QYM225" s="1"/>
      <c r="QYN225" s="1"/>
      <c r="QYO225" s="1"/>
      <c r="QYP225" s="1"/>
      <c r="QYQ225" s="1"/>
      <c r="QYR225" s="1"/>
      <c r="QYS225" s="1"/>
      <c r="QYT225" s="1"/>
      <c r="QYU225" s="1"/>
      <c r="QYV225" s="1"/>
      <c r="QYW225" s="1"/>
      <c r="QYX225" s="1"/>
      <c r="QYY225" s="1"/>
      <c r="QYZ225" s="1"/>
      <c r="QZA225" s="1"/>
      <c r="QZB225" s="1"/>
      <c r="QZC225" s="1"/>
      <c r="QZD225" s="1"/>
      <c r="QZE225" s="1"/>
      <c r="QZF225" s="1"/>
      <c r="QZG225" s="1"/>
      <c r="QZH225" s="1"/>
      <c r="QZI225" s="1"/>
      <c r="QZJ225" s="1"/>
      <c r="QZK225" s="1"/>
      <c r="QZL225" s="1"/>
      <c r="QZM225" s="1"/>
      <c r="QZN225" s="1"/>
      <c r="QZO225" s="1"/>
      <c r="QZP225" s="1"/>
      <c r="QZQ225" s="1"/>
      <c r="QZR225" s="1"/>
      <c r="QZS225" s="1"/>
      <c r="QZT225" s="1"/>
      <c r="QZU225" s="1"/>
      <c r="QZV225" s="1"/>
      <c r="QZW225" s="1"/>
      <c r="QZX225" s="1"/>
      <c r="QZY225" s="1"/>
      <c r="QZZ225" s="1"/>
      <c r="RAA225" s="1"/>
      <c r="RAB225" s="1"/>
      <c r="RAC225" s="1"/>
      <c r="RAD225" s="1"/>
      <c r="RAE225" s="1"/>
      <c r="RAF225" s="1"/>
      <c r="RAG225" s="1"/>
      <c r="RAH225" s="1"/>
      <c r="RAI225" s="1"/>
      <c r="RAJ225" s="1"/>
      <c r="RAK225" s="1"/>
      <c r="RAL225" s="1"/>
      <c r="RAM225" s="1"/>
      <c r="RAN225" s="1"/>
      <c r="RAO225" s="1"/>
      <c r="RAP225" s="1"/>
      <c r="RAQ225" s="1"/>
      <c r="RAR225" s="1"/>
      <c r="RAS225" s="1"/>
      <c r="RAT225" s="1"/>
      <c r="RAU225" s="1"/>
      <c r="RAV225" s="1"/>
      <c r="RAW225" s="1"/>
      <c r="RAX225" s="1"/>
      <c r="RAY225" s="1"/>
      <c r="RAZ225" s="1"/>
      <c r="RBA225" s="1"/>
      <c r="RBB225" s="1"/>
      <c r="RBC225" s="1"/>
      <c r="RBD225" s="1"/>
      <c r="RBE225" s="1"/>
      <c r="RBF225" s="1"/>
      <c r="RBG225" s="1"/>
      <c r="RBH225" s="1"/>
      <c r="RBI225" s="1"/>
      <c r="RBJ225" s="1"/>
      <c r="RBK225" s="1"/>
      <c r="RBL225" s="1"/>
      <c r="RBM225" s="1"/>
      <c r="RBN225" s="1"/>
      <c r="RBO225" s="1"/>
      <c r="RBP225" s="1"/>
      <c r="RBQ225" s="1"/>
      <c r="RBR225" s="1"/>
      <c r="RBS225" s="1"/>
      <c r="RBT225" s="1"/>
      <c r="RBU225" s="1"/>
      <c r="RBV225" s="1"/>
      <c r="RBW225" s="1"/>
      <c r="RBX225" s="1"/>
      <c r="RBY225" s="1"/>
      <c r="RBZ225" s="1"/>
      <c r="RCA225" s="1"/>
      <c r="RCB225" s="1"/>
      <c r="RCC225" s="1"/>
      <c r="RCD225" s="1"/>
      <c r="RCE225" s="1"/>
      <c r="RCF225" s="1"/>
      <c r="RCG225" s="1"/>
      <c r="RCH225" s="1"/>
      <c r="RCI225" s="1"/>
      <c r="RCJ225" s="1"/>
      <c r="RCK225" s="1"/>
      <c r="RCL225" s="1"/>
      <c r="RCM225" s="1"/>
      <c r="RCN225" s="1"/>
      <c r="RCO225" s="1"/>
      <c r="RCP225" s="1"/>
      <c r="RCQ225" s="1"/>
      <c r="RCR225" s="1"/>
      <c r="RCS225" s="1"/>
      <c r="RCT225" s="1"/>
      <c r="RCU225" s="1"/>
      <c r="RCV225" s="1"/>
      <c r="RCW225" s="1"/>
      <c r="RCX225" s="1"/>
      <c r="RCY225" s="1"/>
      <c r="RCZ225" s="1"/>
      <c r="RDA225" s="1"/>
      <c r="RDB225" s="1"/>
      <c r="RDC225" s="1"/>
      <c r="RDD225" s="1"/>
      <c r="RDE225" s="1"/>
      <c r="RDF225" s="1"/>
      <c r="RDG225" s="1"/>
      <c r="RDH225" s="1"/>
      <c r="RDI225" s="1"/>
      <c r="RDJ225" s="1"/>
      <c r="RDK225" s="1"/>
      <c r="RDL225" s="1"/>
      <c r="RDM225" s="1"/>
      <c r="RDN225" s="1"/>
      <c r="RDO225" s="1"/>
      <c r="RDP225" s="1"/>
      <c r="RDQ225" s="1"/>
      <c r="RDR225" s="1"/>
      <c r="RDS225" s="1"/>
      <c r="RDT225" s="1"/>
      <c r="RDU225" s="1"/>
      <c r="RDV225" s="1"/>
      <c r="RDW225" s="1"/>
      <c r="RDX225" s="1"/>
      <c r="RDY225" s="1"/>
      <c r="RDZ225" s="1"/>
      <c r="REA225" s="1"/>
      <c r="REB225" s="1"/>
      <c r="REC225" s="1"/>
      <c r="RED225" s="1"/>
      <c r="REE225" s="1"/>
      <c r="REF225" s="1"/>
      <c r="REG225" s="1"/>
      <c r="REH225" s="1"/>
      <c r="REI225" s="1"/>
      <c r="REJ225" s="1"/>
      <c r="REK225" s="1"/>
      <c r="REL225" s="1"/>
      <c r="REM225" s="1"/>
      <c r="REN225" s="1"/>
      <c r="REO225" s="1"/>
      <c r="REP225" s="1"/>
      <c r="REQ225" s="1"/>
      <c r="RER225" s="1"/>
      <c r="RES225" s="1"/>
      <c r="RET225" s="1"/>
      <c r="REU225" s="1"/>
      <c r="REV225" s="1"/>
      <c r="REW225" s="1"/>
      <c r="REX225" s="1"/>
      <c r="REY225" s="1"/>
      <c r="REZ225" s="1"/>
      <c r="RFA225" s="1"/>
      <c r="RFB225" s="1"/>
      <c r="RFC225" s="1"/>
      <c r="RFD225" s="1"/>
      <c r="RFE225" s="1"/>
      <c r="RFF225" s="1"/>
      <c r="RFG225" s="1"/>
      <c r="RFH225" s="1"/>
      <c r="RFI225" s="1"/>
      <c r="RFJ225" s="1"/>
      <c r="RFK225" s="1"/>
      <c r="RFL225" s="1"/>
      <c r="RFM225" s="1"/>
      <c r="RFN225" s="1"/>
      <c r="RFO225" s="1"/>
      <c r="RFP225" s="1"/>
      <c r="RFQ225" s="1"/>
      <c r="RFR225" s="1"/>
      <c r="RFS225" s="1"/>
      <c r="RFT225" s="1"/>
      <c r="RFU225" s="1"/>
      <c r="RFV225" s="1"/>
      <c r="RFW225" s="1"/>
      <c r="RFX225" s="1"/>
      <c r="RFY225" s="1"/>
      <c r="RFZ225" s="1"/>
      <c r="RGA225" s="1"/>
      <c r="RGB225" s="1"/>
      <c r="RGC225" s="1"/>
      <c r="RGD225" s="1"/>
      <c r="RGE225" s="1"/>
      <c r="RGF225" s="1"/>
      <c r="RGG225" s="1"/>
      <c r="RGH225" s="1"/>
      <c r="RGI225" s="1"/>
      <c r="RGJ225" s="1"/>
      <c r="RGK225" s="1"/>
      <c r="RGL225" s="1"/>
      <c r="RGM225" s="1"/>
      <c r="RGN225" s="1"/>
      <c r="RGO225" s="1"/>
      <c r="RGP225" s="1"/>
      <c r="RGQ225" s="1"/>
      <c r="RGR225" s="1"/>
      <c r="RGS225" s="1"/>
      <c r="RGT225" s="1"/>
      <c r="RGU225" s="1"/>
      <c r="RGV225" s="1"/>
      <c r="RGW225" s="1"/>
      <c r="RGX225" s="1"/>
      <c r="RGY225" s="1"/>
      <c r="RGZ225" s="1"/>
      <c r="RHA225" s="1"/>
      <c r="RHB225" s="1"/>
      <c r="RHC225" s="1"/>
      <c r="RHD225" s="1"/>
      <c r="RHE225" s="1"/>
      <c r="RHF225" s="1"/>
      <c r="RHG225" s="1"/>
      <c r="RHH225" s="1"/>
      <c r="RHI225" s="1"/>
      <c r="RHJ225" s="1"/>
      <c r="RHK225" s="1"/>
      <c r="RHL225" s="1"/>
      <c r="RHM225" s="1"/>
      <c r="RHN225" s="1"/>
      <c r="RHO225" s="1"/>
      <c r="RHP225" s="1"/>
      <c r="RHQ225" s="1"/>
      <c r="RHR225" s="1"/>
      <c r="RHS225" s="1"/>
      <c r="RHT225" s="1"/>
      <c r="RHU225" s="1"/>
      <c r="RHV225" s="1"/>
      <c r="RHW225" s="1"/>
      <c r="RHX225" s="1"/>
      <c r="RHY225" s="1"/>
      <c r="RHZ225" s="1"/>
      <c r="RIA225" s="1"/>
      <c r="RIB225" s="1"/>
      <c r="RIC225" s="1"/>
      <c r="RID225" s="1"/>
      <c r="RIE225" s="1"/>
      <c r="RIF225" s="1"/>
      <c r="RIG225" s="1"/>
      <c r="RIH225" s="1"/>
      <c r="RII225" s="1"/>
      <c r="RIJ225" s="1"/>
      <c r="RIK225" s="1"/>
      <c r="RIL225" s="1"/>
      <c r="RIM225" s="1"/>
      <c r="RIN225" s="1"/>
      <c r="RIO225" s="1"/>
      <c r="RIP225" s="1"/>
      <c r="RIQ225" s="1"/>
      <c r="RIR225" s="1"/>
      <c r="RIS225" s="1"/>
      <c r="RIT225" s="1"/>
      <c r="RIU225" s="1"/>
      <c r="RIV225" s="1"/>
      <c r="RIW225" s="1"/>
      <c r="RIX225" s="1"/>
      <c r="RIY225" s="1"/>
      <c r="RIZ225" s="1"/>
      <c r="RJA225" s="1"/>
      <c r="RJB225" s="1"/>
      <c r="RJC225" s="1"/>
      <c r="RJD225" s="1"/>
      <c r="RJE225" s="1"/>
      <c r="RJF225" s="1"/>
      <c r="RJG225" s="1"/>
      <c r="RJH225" s="1"/>
      <c r="RJI225" s="1"/>
      <c r="RJJ225" s="1"/>
      <c r="RJK225" s="1"/>
      <c r="RJL225" s="1"/>
      <c r="RJM225" s="1"/>
      <c r="RJN225" s="1"/>
      <c r="RJO225" s="1"/>
      <c r="RJP225" s="1"/>
      <c r="RJQ225" s="1"/>
      <c r="RJR225" s="1"/>
      <c r="RJS225" s="1"/>
      <c r="RJT225" s="1"/>
      <c r="RJU225" s="1"/>
      <c r="RJV225" s="1"/>
      <c r="RJW225" s="1"/>
      <c r="RJX225" s="1"/>
      <c r="RJY225" s="1"/>
      <c r="RJZ225" s="1"/>
      <c r="RKA225" s="1"/>
      <c r="RKB225" s="1"/>
      <c r="RKC225" s="1"/>
      <c r="RKD225" s="1"/>
      <c r="RKE225" s="1"/>
      <c r="RKF225" s="1"/>
      <c r="RKG225" s="1"/>
      <c r="RKH225" s="1"/>
      <c r="RKI225" s="1"/>
      <c r="RKJ225" s="1"/>
      <c r="RKK225" s="1"/>
      <c r="RKL225" s="1"/>
      <c r="RKM225" s="1"/>
      <c r="RKN225" s="1"/>
      <c r="RKO225" s="1"/>
      <c r="RKP225" s="1"/>
      <c r="RKQ225" s="1"/>
      <c r="RKR225" s="1"/>
      <c r="RKS225" s="1"/>
      <c r="RKT225" s="1"/>
      <c r="RKU225" s="1"/>
      <c r="RKV225" s="1"/>
      <c r="RKW225" s="1"/>
      <c r="RKX225" s="1"/>
      <c r="RKY225" s="1"/>
      <c r="RKZ225" s="1"/>
      <c r="RLA225" s="1"/>
      <c r="RLB225" s="1"/>
      <c r="RLC225" s="1"/>
      <c r="RLD225" s="1"/>
      <c r="RLE225" s="1"/>
      <c r="RLF225" s="1"/>
      <c r="RLG225" s="1"/>
      <c r="RLH225" s="1"/>
      <c r="RLI225" s="1"/>
      <c r="RLJ225" s="1"/>
      <c r="RLK225" s="1"/>
      <c r="RLL225" s="1"/>
      <c r="RLM225" s="1"/>
      <c r="RLN225" s="1"/>
      <c r="RLO225" s="1"/>
      <c r="RLP225" s="1"/>
      <c r="RLQ225" s="1"/>
      <c r="RLR225" s="1"/>
      <c r="RLS225" s="1"/>
      <c r="RLT225" s="1"/>
      <c r="RLU225" s="1"/>
      <c r="RLV225" s="1"/>
      <c r="RLW225" s="1"/>
      <c r="RLX225" s="1"/>
      <c r="RLY225" s="1"/>
      <c r="RLZ225" s="1"/>
      <c r="RMA225" s="1"/>
      <c r="RMB225" s="1"/>
      <c r="RMC225" s="1"/>
      <c r="RMD225" s="1"/>
      <c r="RME225" s="1"/>
      <c r="RMF225" s="1"/>
      <c r="RMG225" s="1"/>
      <c r="RMH225" s="1"/>
      <c r="RMI225" s="1"/>
      <c r="RMJ225" s="1"/>
      <c r="RMK225" s="1"/>
      <c r="RML225" s="1"/>
      <c r="RMM225" s="1"/>
      <c r="RMN225" s="1"/>
      <c r="RMO225" s="1"/>
      <c r="RMP225" s="1"/>
      <c r="RMQ225" s="1"/>
      <c r="RMR225" s="1"/>
      <c r="RMS225" s="1"/>
      <c r="RMT225" s="1"/>
      <c r="RMU225" s="1"/>
      <c r="RMV225" s="1"/>
      <c r="RMW225" s="1"/>
      <c r="RMX225" s="1"/>
      <c r="RMY225" s="1"/>
      <c r="RMZ225" s="1"/>
      <c r="RNA225" s="1"/>
      <c r="RNB225" s="1"/>
      <c r="RNC225" s="1"/>
      <c r="RND225" s="1"/>
      <c r="RNE225" s="1"/>
      <c r="RNF225" s="1"/>
      <c r="RNG225" s="1"/>
      <c r="RNH225" s="1"/>
      <c r="RNI225" s="1"/>
      <c r="RNJ225" s="1"/>
      <c r="RNK225" s="1"/>
      <c r="RNL225" s="1"/>
      <c r="RNM225" s="1"/>
      <c r="RNN225" s="1"/>
      <c r="RNO225" s="1"/>
      <c r="RNP225" s="1"/>
      <c r="RNQ225" s="1"/>
      <c r="RNR225" s="1"/>
      <c r="RNS225" s="1"/>
      <c r="RNT225" s="1"/>
      <c r="RNU225" s="1"/>
      <c r="RNV225" s="1"/>
      <c r="RNW225" s="1"/>
      <c r="RNX225" s="1"/>
      <c r="RNY225" s="1"/>
      <c r="RNZ225" s="1"/>
      <c r="ROA225" s="1"/>
      <c r="ROB225" s="1"/>
      <c r="ROC225" s="1"/>
      <c r="ROD225" s="1"/>
      <c r="ROE225" s="1"/>
      <c r="ROF225" s="1"/>
      <c r="ROG225" s="1"/>
      <c r="ROH225" s="1"/>
      <c r="ROI225" s="1"/>
      <c r="ROJ225" s="1"/>
      <c r="ROK225" s="1"/>
      <c r="ROL225" s="1"/>
      <c r="ROM225" s="1"/>
      <c r="RON225" s="1"/>
      <c r="ROO225" s="1"/>
      <c r="ROP225" s="1"/>
      <c r="ROQ225" s="1"/>
      <c r="ROR225" s="1"/>
      <c r="ROS225" s="1"/>
      <c r="ROT225" s="1"/>
      <c r="ROU225" s="1"/>
      <c r="ROV225" s="1"/>
      <c r="ROW225" s="1"/>
      <c r="ROX225" s="1"/>
      <c r="ROY225" s="1"/>
      <c r="ROZ225" s="1"/>
      <c r="RPA225" s="1"/>
      <c r="RPB225" s="1"/>
      <c r="RPC225" s="1"/>
      <c r="RPD225" s="1"/>
      <c r="RPE225" s="1"/>
      <c r="RPF225" s="1"/>
      <c r="RPG225" s="1"/>
      <c r="RPH225" s="1"/>
      <c r="RPI225" s="1"/>
      <c r="RPJ225" s="1"/>
      <c r="RPK225" s="1"/>
      <c r="RPL225" s="1"/>
      <c r="RPM225" s="1"/>
      <c r="RPN225" s="1"/>
      <c r="RPO225" s="1"/>
      <c r="RPP225" s="1"/>
      <c r="RPQ225" s="1"/>
      <c r="RPR225" s="1"/>
      <c r="RPS225" s="1"/>
      <c r="RPT225" s="1"/>
      <c r="RPU225" s="1"/>
      <c r="RPV225" s="1"/>
      <c r="RPW225" s="1"/>
      <c r="RPX225" s="1"/>
      <c r="RPY225" s="1"/>
      <c r="RPZ225" s="1"/>
      <c r="RQA225" s="1"/>
      <c r="RQB225" s="1"/>
      <c r="RQC225" s="1"/>
      <c r="RQD225" s="1"/>
      <c r="RQE225" s="1"/>
      <c r="RQF225" s="1"/>
      <c r="RQG225" s="1"/>
      <c r="RQH225" s="1"/>
      <c r="RQI225" s="1"/>
      <c r="RQJ225" s="1"/>
      <c r="RQK225" s="1"/>
      <c r="RQL225" s="1"/>
      <c r="RQM225" s="1"/>
      <c r="RQN225" s="1"/>
      <c r="RQO225" s="1"/>
      <c r="RQP225" s="1"/>
      <c r="RQQ225" s="1"/>
      <c r="RQR225" s="1"/>
      <c r="RQS225" s="1"/>
      <c r="RQT225" s="1"/>
      <c r="RQU225" s="1"/>
      <c r="RQV225" s="1"/>
      <c r="RQW225" s="1"/>
      <c r="RQX225" s="1"/>
      <c r="RQY225" s="1"/>
      <c r="RQZ225" s="1"/>
      <c r="RRA225" s="1"/>
      <c r="RRB225" s="1"/>
      <c r="RRC225" s="1"/>
      <c r="RRD225" s="1"/>
      <c r="RRE225" s="1"/>
      <c r="RRF225" s="1"/>
      <c r="RRG225" s="1"/>
      <c r="RRH225" s="1"/>
      <c r="RRI225" s="1"/>
      <c r="RRJ225" s="1"/>
      <c r="RRK225" s="1"/>
      <c r="RRL225" s="1"/>
      <c r="RRM225" s="1"/>
      <c r="RRN225" s="1"/>
      <c r="RRO225" s="1"/>
      <c r="RRP225" s="1"/>
      <c r="RRQ225" s="1"/>
      <c r="RRR225" s="1"/>
      <c r="RRS225" s="1"/>
      <c r="RRT225" s="1"/>
      <c r="RRU225" s="1"/>
      <c r="RRV225" s="1"/>
      <c r="RRW225" s="1"/>
      <c r="RRX225" s="1"/>
      <c r="RRY225" s="1"/>
      <c r="RRZ225" s="1"/>
      <c r="RSA225" s="1"/>
      <c r="RSB225" s="1"/>
      <c r="RSC225" s="1"/>
      <c r="RSD225" s="1"/>
      <c r="RSE225" s="1"/>
      <c r="RSF225" s="1"/>
      <c r="RSG225" s="1"/>
      <c r="RSH225" s="1"/>
      <c r="RSI225" s="1"/>
      <c r="RSJ225" s="1"/>
      <c r="RSK225" s="1"/>
      <c r="RSL225" s="1"/>
      <c r="RSM225" s="1"/>
      <c r="RSN225" s="1"/>
      <c r="RSO225" s="1"/>
      <c r="RSP225" s="1"/>
      <c r="RSQ225" s="1"/>
      <c r="RSR225" s="1"/>
      <c r="RSS225" s="1"/>
      <c r="RST225" s="1"/>
      <c r="RSU225" s="1"/>
      <c r="RSV225" s="1"/>
      <c r="RSW225" s="1"/>
      <c r="RSX225" s="1"/>
      <c r="RSY225" s="1"/>
      <c r="RSZ225" s="1"/>
      <c r="RTA225" s="1"/>
      <c r="RTB225" s="1"/>
      <c r="RTC225" s="1"/>
      <c r="RTD225" s="1"/>
      <c r="RTE225" s="1"/>
      <c r="RTF225" s="1"/>
      <c r="RTG225" s="1"/>
      <c r="RTH225" s="1"/>
      <c r="RTI225" s="1"/>
      <c r="RTJ225" s="1"/>
      <c r="RTK225" s="1"/>
      <c r="RTL225" s="1"/>
      <c r="RTM225" s="1"/>
      <c r="RTN225" s="1"/>
      <c r="RTO225" s="1"/>
      <c r="RTP225" s="1"/>
      <c r="RTQ225" s="1"/>
      <c r="RTR225" s="1"/>
      <c r="RTS225" s="1"/>
      <c r="RTT225" s="1"/>
      <c r="RTU225" s="1"/>
      <c r="RTV225" s="1"/>
      <c r="RTW225" s="1"/>
      <c r="RTX225" s="1"/>
      <c r="RTY225" s="1"/>
      <c r="RTZ225" s="1"/>
      <c r="RUA225" s="1"/>
      <c r="RUB225" s="1"/>
      <c r="RUC225" s="1"/>
      <c r="RUD225" s="1"/>
      <c r="RUE225" s="1"/>
      <c r="RUF225" s="1"/>
      <c r="RUG225" s="1"/>
      <c r="RUH225" s="1"/>
      <c r="RUI225" s="1"/>
      <c r="RUJ225" s="1"/>
      <c r="RUK225" s="1"/>
      <c r="RUL225" s="1"/>
      <c r="RUM225" s="1"/>
      <c r="RUN225" s="1"/>
      <c r="RUO225" s="1"/>
      <c r="RUP225" s="1"/>
      <c r="RUQ225" s="1"/>
      <c r="RUR225" s="1"/>
      <c r="RUS225" s="1"/>
      <c r="RUT225" s="1"/>
      <c r="RUU225" s="1"/>
      <c r="RUV225" s="1"/>
      <c r="RUW225" s="1"/>
      <c r="RUX225" s="1"/>
      <c r="RUY225" s="1"/>
      <c r="RUZ225" s="1"/>
      <c r="RVA225" s="1"/>
      <c r="RVB225" s="1"/>
      <c r="RVC225" s="1"/>
      <c r="RVD225" s="1"/>
      <c r="RVE225" s="1"/>
      <c r="RVF225" s="1"/>
      <c r="RVG225" s="1"/>
      <c r="RVH225" s="1"/>
      <c r="RVI225" s="1"/>
      <c r="RVJ225" s="1"/>
      <c r="RVK225" s="1"/>
      <c r="RVL225" s="1"/>
      <c r="RVM225" s="1"/>
      <c r="RVN225" s="1"/>
      <c r="RVO225" s="1"/>
      <c r="RVP225" s="1"/>
      <c r="RVQ225" s="1"/>
      <c r="RVR225" s="1"/>
      <c r="RVS225" s="1"/>
      <c r="RVT225" s="1"/>
      <c r="RVU225" s="1"/>
      <c r="RVV225" s="1"/>
      <c r="RVW225" s="1"/>
      <c r="RVX225" s="1"/>
      <c r="RVY225" s="1"/>
      <c r="RVZ225" s="1"/>
      <c r="RWA225" s="1"/>
      <c r="RWB225" s="1"/>
      <c r="RWC225" s="1"/>
      <c r="RWD225" s="1"/>
      <c r="RWE225" s="1"/>
      <c r="RWF225" s="1"/>
      <c r="RWG225" s="1"/>
      <c r="RWH225" s="1"/>
      <c r="RWI225" s="1"/>
      <c r="RWJ225" s="1"/>
      <c r="RWK225" s="1"/>
      <c r="RWL225" s="1"/>
      <c r="RWM225" s="1"/>
      <c r="RWN225" s="1"/>
      <c r="RWO225" s="1"/>
      <c r="RWP225" s="1"/>
      <c r="RWQ225" s="1"/>
      <c r="RWR225" s="1"/>
      <c r="RWS225" s="1"/>
      <c r="RWT225" s="1"/>
      <c r="RWU225" s="1"/>
      <c r="RWV225" s="1"/>
      <c r="RWW225" s="1"/>
      <c r="RWX225" s="1"/>
      <c r="RWY225" s="1"/>
      <c r="RWZ225" s="1"/>
      <c r="RXA225" s="1"/>
      <c r="RXB225" s="1"/>
      <c r="RXC225" s="1"/>
      <c r="RXD225" s="1"/>
      <c r="RXE225" s="1"/>
      <c r="RXF225" s="1"/>
      <c r="RXG225" s="1"/>
      <c r="RXH225" s="1"/>
      <c r="RXI225" s="1"/>
      <c r="RXJ225" s="1"/>
      <c r="RXK225" s="1"/>
      <c r="RXL225" s="1"/>
      <c r="RXM225" s="1"/>
      <c r="RXN225" s="1"/>
      <c r="RXO225" s="1"/>
      <c r="RXP225" s="1"/>
      <c r="RXQ225" s="1"/>
      <c r="RXR225" s="1"/>
      <c r="RXS225" s="1"/>
      <c r="RXT225" s="1"/>
      <c r="RXU225" s="1"/>
      <c r="RXV225" s="1"/>
      <c r="RXW225" s="1"/>
      <c r="RXX225" s="1"/>
      <c r="RXY225" s="1"/>
      <c r="RXZ225" s="1"/>
      <c r="RYA225" s="1"/>
      <c r="RYB225" s="1"/>
      <c r="RYC225" s="1"/>
      <c r="RYD225" s="1"/>
      <c r="RYE225" s="1"/>
      <c r="RYF225" s="1"/>
      <c r="RYG225" s="1"/>
      <c r="RYH225" s="1"/>
      <c r="RYI225" s="1"/>
      <c r="RYJ225" s="1"/>
      <c r="RYK225" s="1"/>
      <c r="RYL225" s="1"/>
      <c r="RYM225" s="1"/>
      <c r="RYN225" s="1"/>
      <c r="RYO225" s="1"/>
      <c r="RYP225" s="1"/>
      <c r="RYQ225" s="1"/>
      <c r="RYR225" s="1"/>
      <c r="RYS225" s="1"/>
      <c r="RYT225" s="1"/>
      <c r="RYU225" s="1"/>
      <c r="RYV225" s="1"/>
      <c r="RYW225" s="1"/>
      <c r="RYX225" s="1"/>
      <c r="RYY225" s="1"/>
      <c r="RYZ225" s="1"/>
      <c r="RZA225" s="1"/>
      <c r="RZB225" s="1"/>
      <c r="RZC225" s="1"/>
      <c r="RZD225" s="1"/>
      <c r="RZE225" s="1"/>
      <c r="RZF225" s="1"/>
      <c r="RZG225" s="1"/>
      <c r="RZH225" s="1"/>
      <c r="RZI225" s="1"/>
      <c r="RZJ225" s="1"/>
      <c r="RZK225" s="1"/>
      <c r="RZL225" s="1"/>
      <c r="RZM225" s="1"/>
      <c r="RZN225" s="1"/>
      <c r="RZO225" s="1"/>
      <c r="RZP225" s="1"/>
      <c r="RZQ225" s="1"/>
      <c r="RZR225" s="1"/>
      <c r="RZS225" s="1"/>
      <c r="RZT225" s="1"/>
      <c r="RZU225" s="1"/>
      <c r="RZV225" s="1"/>
      <c r="RZW225" s="1"/>
      <c r="RZX225" s="1"/>
      <c r="RZY225" s="1"/>
      <c r="RZZ225" s="1"/>
      <c r="SAA225" s="1"/>
      <c r="SAB225" s="1"/>
      <c r="SAC225" s="1"/>
      <c r="SAD225" s="1"/>
      <c r="SAE225" s="1"/>
      <c r="SAF225" s="1"/>
      <c r="SAG225" s="1"/>
      <c r="SAH225" s="1"/>
      <c r="SAI225" s="1"/>
      <c r="SAJ225" s="1"/>
      <c r="SAK225" s="1"/>
      <c r="SAL225" s="1"/>
      <c r="SAM225" s="1"/>
      <c r="SAN225" s="1"/>
      <c r="SAO225" s="1"/>
      <c r="SAP225" s="1"/>
      <c r="SAQ225" s="1"/>
      <c r="SAR225" s="1"/>
      <c r="SAS225" s="1"/>
      <c r="SAT225" s="1"/>
      <c r="SAU225" s="1"/>
      <c r="SAV225" s="1"/>
      <c r="SAW225" s="1"/>
      <c r="SAX225" s="1"/>
      <c r="SAY225" s="1"/>
      <c r="SAZ225" s="1"/>
      <c r="SBA225" s="1"/>
      <c r="SBB225" s="1"/>
      <c r="SBC225" s="1"/>
      <c r="SBD225" s="1"/>
      <c r="SBE225" s="1"/>
      <c r="SBF225" s="1"/>
      <c r="SBG225" s="1"/>
      <c r="SBH225" s="1"/>
      <c r="SBI225" s="1"/>
      <c r="SBJ225" s="1"/>
      <c r="SBK225" s="1"/>
      <c r="SBL225" s="1"/>
      <c r="SBM225" s="1"/>
      <c r="SBN225" s="1"/>
      <c r="SBO225" s="1"/>
      <c r="SBP225" s="1"/>
      <c r="SBQ225" s="1"/>
      <c r="SBR225" s="1"/>
      <c r="SBS225" s="1"/>
      <c r="SBT225" s="1"/>
      <c r="SBU225" s="1"/>
      <c r="SBV225" s="1"/>
      <c r="SBW225" s="1"/>
      <c r="SBX225" s="1"/>
      <c r="SBY225" s="1"/>
      <c r="SBZ225" s="1"/>
      <c r="SCA225" s="1"/>
      <c r="SCB225" s="1"/>
      <c r="SCC225" s="1"/>
      <c r="SCD225" s="1"/>
      <c r="SCE225" s="1"/>
      <c r="SCF225" s="1"/>
      <c r="SCG225" s="1"/>
      <c r="SCH225" s="1"/>
      <c r="SCI225" s="1"/>
      <c r="SCJ225" s="1"/>
      <c r="SCK225" s="1"/>
      <c r="SCL225" s="1"/>
      <c r="SCM225" s="1"/>
      <c r="SCN225" s="1"/>
      <c r="SCO225" s="1"/>
      <c r="SCP225" s="1"/>
      <c r="SCQ225" s="1"/>
      <c r="SCR225" s="1"/>
      <c r="SCS225" s="1"/>
      <c r="SCT225" s="1"/>
      <c r="SCU225" s="1"/>
      <c r="SCV225" s="1"/>
      <c r="SCW225" s="1"/>
      <c r="SCX225" s="1"/>
      <c r="SCY225" s="1"/>
      <c r="SCZ225" s="1"/>
      <c r="SDA225" s="1"/>
      <c r="SDB225" s="1"/>
      <c r="SDC225" s="1"/>
      <c r="SDD225" s="1"/>
      <c r="SDE225" s="1"/>
      <c r="SDF225" s="1"/>
      <c r="SDG225" s="1"/>
      <c r="SDH225" s="1"/>
      <c r="SDI225" s="1"/>
      <c r="SDJ225" s="1"/>
      <c r="SDK225" s="1"/>
      <c r="SDL225" s="1"/>
      <c r="SDM225" s="1"/>
      <c r="SDN225" s="1"/>
      <c r="SDO225" s="1"/>
      <c r="SDP225" s="1"/>
      <c r="SDQ225" s="1"/>
      <c r="SDR225" s="1"/>
      <c r="SDS225" s="1"/>
      <c r="SDT225" s="1"/>
      <c r="SDU225" s="1"/>
      <c r="SDV225" s="1"/>
      <c r="SDW225" s="1"/>
      <c r="SDX225" s="1"/>
      <c r="SDY225" s="1"/>
      <c r="SDZ225" s="1"/>
      <c r="SEA225" s="1"/>
      <c r="SEB225" s="1"/>
      <c r="SEC225" s="1"/>
      <c r="SED225" s="1"/>
      <c r="SEE225" s="1"/>
      <c r="SEF225" s="1"/>
      <c r="SEG225" s="1"/>
      <c r="SEH225" s="1"/>
      <c r="SEI225" s="1"/>
      <c r="SEJ225" s="1"/>
      <c r="SEK225" s="1"/>
      <c r="SEL225" s="1"/>
      <c r="SEM225" s="1"/>
      <c r="SEN225" s="1"/>
      <c r="SEO225" s="1"/>
      <c r="SEP225" s="1"/>
      <c r="SEQ225" s="1"/>
      <c r="SER225" s="1"/>
      <c r="SES225" s="1"/>
      <c r="SET225" s="1"/>
      <c r="SEU225" s="1"/>
      <c r="SEV225" s="1"/>
      <c r="SEW225" s="1"/>
      <c r="SEX225" s="1"/>
      <c r="SEY225" s="1"/>
      <c r="SEZ225" s="1"/>
      <c r="SFA225" s="1"/>
      <c r="SFB225" s="1"/>
      <c r="SFC225" s="1"/>
      <c r="SFD225" s="1"/>
      <c r="SFE225" s="1"/>
      <c r="SFF225" s="1"/>
      <c r="SFG225" s="1"/>
      <c r="SFH225" s="1"/>
      <c r="SFI225" s="1"/>
      <c r="SFJ225" s="1"/>
      <c r="SFK225" s="1"/>
      <c r="SFL225" s="1"/>
      <c r="SFM225" s="1"/>
      <c r="SFN225" s="1"/>
      <c r="SFO225" s="1"/>
      <c r="SFP225" s="1"/>
      <c r="SFQ225" s="1"/>
      <c r="SFR225" s="1"/>
      <c r="SFS225" s="1"/>
      <c r="SFT225" s="1"/>
      <c r="SFU225" s="1"/>
      <c r="SFV225" s="1"/>
      <c r="SFW225" s="1"/>
      <c r="SFX225" s="1"/>
      <c r="SFY225" s="1"/>
      <c r="SFZ225" s="1"/>
      <c r="SGA225" s="1"/>
      <c r="SGB225" s="1"/>
      <c r="SGC225" s="1"/>
      <c r="SGD225" s="1"/>
      <c r="SGE225" s="1"/>
      <c r="SGF225" s="1"/>
      <c r="SGG225" s="1"/>
      <c r="SGH225" s="1"/>
      <c r="SGI225" s="1"/>
      <c r="SGJ225" s="1"/>
      <c r="SGK225" s="1"/>
      <c r="SGL225" s="1"/>
      <c r="SGM225" s="1"/>
      <c r="SGN225" s="1"/>
      <c r="SGO225" s="1"/>
      <c r="SGP225" s="1"/>
      <c r="SGQ225" s="1"/>
      <c r="SGR225" s="1"/>
      <c r="SGS225" s="1"/>
      <c r="SGT225" s="1"/>
      <c r="SGU225" s="1"/>
      <c r="SGV225" s="1"/>
      <c r="SGW225" s="1"/>
      <c r="SGX225" s="1"/>
      <c r="SGY225" s="1"/>
      <c r="SGZ225" s="1"/>
      <c r="SHA225" s="1"/>
      <c r="SHB225" s="1"/>
      <c r="SHC225" s="1"/>
      <c r="SHD225" s="1"/>
      <c r="SHE225" s="1"/>
      <c r="SHF225" s="1"/>
      <c r="SHG225" s="1"/>
      <c r="SHH225" s="1"/>
      <c r="SHI225" s="1"/>
      <c r="SHJ225" s="1"/>
      <c r="SHK225" s="1"/>
      <c r="SHL225" s="1"/>
      <c r="SHM225" s="1"/>
      <c r="SHN225" s="1"/>
      <c r="SHO225" s="1"/>
      <c r="SHP225" s="1"/>
      <c r="SHQ225" s="1"/>
      <c r="SHR225" s="1"/>
      <c r="SHS225" s="1"/>
      <c r="SHT225" s="1"/>
      <c r="SHU225" s="1"/>
      <c r="SHV225" s="1"/>
      <c r="SHW225" s="1"/>
      <c r="SHX225" s="1"/>
      <c r="SHY225" s="1"/>
      <c r="SHZ225" s="1"/>
      <c r="SIA225" s="1"/>
      <c r="SIB225" s="1"/>
      <c r="SIC225" s="1"/>
      <c r="SID225" s="1"/>
      <c r="SIE225" s="1"/>
      <c r="SIF225" s="1"/>
      <c r="SIG225" s="1"/>
      <c r="SIH225" s="1"/>
      <c r="SII225" s="1"/>
      <c r="SIJ225" s="1"/>
      <c r="SIK225" s="1"/>
      <c r="SIL225" s="1"/>
      <c r="SIM225" s="1"/>
      <c r="SIN225" s="1"/>
      <c r="SIO225" s="1"/>
      <c r="SIP225" s="1"/>
      <c r="SIQ225" s="1"/>
      <c r="SIR225" s="1"/>
      <c r="SIS225" s="1"/>
      <c r="SIT225" s="1"/>
      <c r="SIU225" s="1"/>
      <c r="SIV225" s="1"/>
      <c r="SIW225" s="1"/>
      <c r="SIX225" s="1"/>
      <c r="SIY225" s="1"/>
      <c r="SIZ225" s="1"/>
      <c r="SJA225" s="1"/>
      <c r="SJB225" s="1"/>
      <c r="SJC225" s="1"/>
      <c r="SJD225" s="1"/>
      <c r="SJE225" s="1"/>
      <c r="SJF225" s="1"/>
      <c r="SJG225" s="1"/>
      <c r="SJH225" s="1"/>
      <c r="SJI225" s="1"/>
      <c r="SJJ225" s="1"/>
      <c r="SJK225" s="1"/>
      <c r="SJL225" s="1"/>
      <c r="SJM225" s="1"/>
      <c r="SJN225" s="1"/>
      <c r="SJO225" s="1"/>
      <c r="SJP225" s="1"/>
      <c r="SJQ225" s="1"/>
      <c r="SJR225" s="1"/>
      <c r="SJS225" s="1"/>
      <c r="SJT225" s="1"/>
      <c r="SJU225" s="1"/>
      <c r="SJV225" s="1"/>
      <c r="SJW225" s="1"/>
      <c r="SJX225" s="1"/>
      <c r="SJY225" s="1"/>
      <c r="SJZ225" s="1"/>
      <c r="SKA225" s="1"/>
      <c r="SKB225" s="1"/>
      <c r="SKC225" s="1"/>
      <c r="SKD225" s="1"/>
      <c r="SKE225" s="1"/>
      <c r="SKF225" s="1"/>
      <c r="SKG225" s="1"/>
      <c r="SKH225" s="1"/>
      <c r="SKI225" s="1"/>
      <c r="SKJ225" s="1"/>
      <c r="SKK225" s="1"/>
      <c r="SKL225" s="1"/>
      <c r="SKM225" s="1"/>
      <c r="SKN225" s="1"/>
      <c r="SKO225" s="1"/>
      <c r="SKP225" s="1"/>
      <c r="SKQ225" s="1"/>
      <c r="SKR225" s="1"/>
      <c r="SKS225" s="1"/>
      <c r="SKT225" s="1"/>
      <c r="SKU225" s="1"/>
      <c r="SKV225" s="1"/>
      <c r="SKW225" s="1"/>
      <c r="SKX225" s="1"/>
      <c r="SKY225" s="1"/>
      <c r="SKZ225" s="1"/>
      <c r="SLA225" s="1"/>
      <c r="SLB225" s="1"/>
      <c r="SLC225" s="1"/>
      <c r="SLD225" s="1"/>
      <c r="SLE225" s="1"/>
      <c r="SLF225" s="1"/>
      <c r="SLG225" s="1"/>
      <c r="SLH225" s="1"/>
      <c r="SLI225" s="1"/>
      <c r="SLJ225" s="1"/>
      <c r="SLK225" s="1"/>
      <c r="SLL225" s="1"/>
      <c r="SLM225" s="1"/>
      <c r="SLN225" s="1"/>
      <c r="SLO225" s="1"/>
      <c r="SLP225" s="1"/>
      <c r="SLQ225" s="1"/>
      <c r="SLR225" s="1"/>
      <c r="SLS225" s="1"/>
      <c r="SLT225" s="1"/>
      <c r="SLU225" s="1"/>
      <c r="SLV225" s="1"/>
      <c r="SLW225" s="1"/>
      <c r="SLX225" s="1"/>
      <c r="SLY225" s="1"/>
      <c r="SLZ225" s="1"/>
      <c r="SMA225" s="1"/>
      <c r="SMB225" s="1"/>
      <c r="SMC225" s="1"/>
      <c r="SMD225" s="1"/>
      <c r="SME225" s="1"/>
      <c r="SMF225" s="1"/>
      <c r="SMG225" s="1"/>
      <c r="SMH225" s="1"/>
      <c r="SMI225" s="1"/>
      <c r="SMJ225" s="1"/>
      <c r="SMK225" s="1"/>
      <c r="SML225" s="1"/>
      <c r="SMM225" s="1"/>
      <c r="SMN225" s="1"/>
      <c r="SMO225" s="1"/>
      <c r="SMP225" s="1"/>
      <c r="SMQ225" s="1"/>
      <c r="SMR225" s="1"/>
      <c r="SMS225" s="1"/>
      <c r="SMT225" s="1"/>
      <c r="SMU225" s="1"/>
      <c r="SMV225" s="1"/>
      <c r="SMW225" s="1"/>
      <c r="SMX225" s="1"/>
      <c r="SMY225" s="1"/>
      <c r="SMZ225" s="1"/>
      <c r="SNA225" s="1"/>
      <c r="SNB225" s="1"/>
      <c r="SNC225" s="1"/>
      <c r="SND225" s="1"/>
      <c r="SNE225" s="1"/>
      <c r="SNF225" s="1"/>
      <c r="SNG225" s="1"/>
      <c r="SNH225" s="1"/>
      <c r="SNI225" s="1"/>
      <c r="SNJ225" s="1"/>
      <c r="SNK225" s="1"/>
      <c r="SNL225" s="1"/>
      <c r="SNM225" s="1"/>
      <c r="SNN225" s="1"/>
      <c r="SNO225" s="1"/>
      <c r="SNP225" s="1"/>
      <c r="SNQ225" s="1"/>
      <c r="SNR225" s="1"/>
      <c r="SNS225" s="1"/>
      <c r="SNT225" s="1"/>
      <c r="SNU225" s="1"/>
      <c r="SNV225" s="1"/>
      <c r="SNW225" s="1"/>
      <c r="SNX225" s="1"/>
      <c r="SNY225" s="1"/>
      <c r="SNZ225" s="1"/>
      <c r="SOA225" s="1"/>
      <c r="SOB225" s="1"/>
      <c r="SOC225" s="1"/>
      <c r="SOD225" s="1"/>
      <c r="SOE225" s="1"/>
      <c r="SOF225" s="1"/>
      <c r="SOG225" s="1"/>
      <c r="SOH225" s="1"/>
      <c r="SOI225" s="1"/>
      <c r="SOJ225" s="1"/>
      <c r="SOK225" s="1"/>
      <c r="SOL225" s="1"/>
      <c r="SOM225" s="1"/>
      <c r="SON225" s="1"/>
      <c r="SOO225" s="1"/>
      <c r="SOP225" s="1"/>
      <c r="SOQ225" s="1"/>
      <c r="SOR225" s="1"/>
      <c r="SOS225" s="1"/>
      <c r="SOT225" s="1"/>
      <c r="SOU225" s="1"/>
      <c r="SOV225" s="1"/>
      <c r="SOW225" s="1"/>
      <c r="SOX225" s="1"/>
      <c r="SOY225" s="1"/>
      <c r="SOZ225" s="1"/>
      <c r="SPA225" s="1"/>
      <c r="SPB225" s="1"/>
      <c r="SPC225" s="1"/>
      <c r="SPD225" s="1"/>
      <c r="SPE225" s="1"/>
      <c r="SPF225" s="1"/>
      <c r="SPG225" s="1"/>
      <c r="SPH225" s="1"/>
      <c r="SPI225" s="1"/>
      <c r="SPJ225" s="1"/>
      <c r="SPK225" s="1"/>
      <c r="SPL225" s="1"/>
      <c r="SPM225" s="1"/>
      <c r="SPN225" s="1"/>
      <c r="SPO225" s="1"/>
      <c r="SPP225" s="1"/>
      <c r="SPQ225" s="1"/>
      <c r="SPR225" s="1"/>
      <c r="SPS225" s="1"/>
      <c r="SPT225" s="1"/>
      <c r="SPU225" s="1"/>
      <c r="SPV225" s="1"/>
      <c r="SPW225" s="1"/>
      <c r="SPX225" s="1"/>
      <c r="SPY225" s="1"/>
      <c r="SPZ225" s="1"/>
      <c r="SQA225" s="1"/>
      <c r="SQB225" s="1"/>
      <c r="SQC225" s="1"/>
      <c r="SQD225" s="1"/>
      <c r="SQE225" s="1"/>
      <c r="SQF225" s="1"/>
      <c r="SQG225" s="1"/>
      <c r="SQH225" s="1"/>
      <c r="SQI225" s="1"/>
      <c r="SQJ225" s="1"/>
      <c r="SQK225" s="1"/>
      <c r="SQL225" s="1"/>
      <c r="SQM225" s="1"/>
      <c r="SQN225" s="1"/>
      <c r="SQO225" s="1"/>
      <c r="SQP225" s="1"/>
      <c r="SQQ225" s="1"/>
      <c r="SQR225" s="1"/>
      <c r="SQS225" s="1"/>
      <c r="SQT225" s="1"/>
      <c r="SQU225" s="1"/>
      <c r="SQV225" s="1"/>
      <c r="SQW225" s="1"/>
      <c r="SQX225" s="1"/>
      <c r="SQY225" s="1"/>
      <c r="SQZ225" s="1"/>
      <c r="SRA225" s="1"/>
      <c r="SRB225" s="1"/>
      <c r="SRC225" s="1"/>
      <c r="SRD225" s="1"/>
      <c r="SRE225" s="1"/>
      <c r="SRF225" s="1"/>
      <c r="SRG225" s="1"/>
      <c r="SRH225" s="1"/>
      <c r="SRI225" s="1"/>
      <c r="SRJ225" s="1"/>
      <c r="SRK225" s="1"/>
      <c r="SRL225" s="1"/>
      <c r="SRM225" s="1"/>
      <c r="SRN225" s="1"/>
      <c r="SRO225" s="1"/>
      <c r="SRP225" s="1"/>
      <c r="SRQ225" s="1"/>
      <c r="SRR225" s="1"/>
      <c r="SRS225" s="1"/>
      <c r="SRT225" s="1"/>
      <c r="SRU225" s="1"/>
      <c r="SRV225" s="1"/>
      <c r="SRW225" s="1"/>
      <c r="SRX225" s="1"/>
      <c r="SRY225" s="1"/>
      <c r="SRZ225" s="1"/>
      <c r="SSA225" s="1"/>
      <c r="SSB225" s="1"/>
      <c r="SSC225" s="1"/>
      <c r="SSD225" s="1"/>
      <c r="SSE225" s="1"/>
      <c r="SSF225" s="1"/>
      <c r="SSG225" s="1"/>
      <c r="SSH225" s="1"/>
      <c r="SSI225" s="1"/>
      <c r="SSJ225" s="1"/>
      <c r="SSK225" s="1"/>
      <c r="SSL225" s="1"/>
      <c r="SSM225" s="1"/>
      <c r="SSN225" s="1"/>
      <c r="SSO225" s="1"/>
      <c r="SSP225" s="1"/>
      <c r="SSQ225" s="1"/>
      <c r="SSR225" s="1"/>
      <c r="SSS225" s="1"/>
      <c r="SST225" s="1"/>
      <c r="SSU225" s="1"/>
      <c r="SSV225" s="1"/>
      <c r="SSW225" s="1"/>
      <c r="SSX225" s="1"/>
      <c r="SSY225" s="1"/>
      <c r="SSZ225" s="1"/>
      <c r="STA225" s="1"/>
      <c r="STB225" s="1"/>
      <c r="STC225" s="1"/>
      <c r="STD225" s="1"/>
      <c r="STE225" s="1"/>
      <c r="STF225" s="1"/>
      <c r="STG225" s="1"/>
      <c r="STH225" s="1"/>
      <c r="STI225" s="1"/>
      <c r="STJ225" s="1"/>
      <c r="STK225" s="1"/>
      <c r="STL225" s="1"/>
      <c r="STM225" s="1"/>
      <c r="STN225" s="1"/>
      <c r="STO225" s="1"/>
      <c r="STP225" s="1"/>
      <c r="STQ225" s="1"/>
      <c r="STR225" s="1"/>
      <c r="STS225" s="1"/>
      <c r="STT225" s="1"/>
      <c r="STU225" s="1"/>
      <c r="STV225" s="1"/>
      <c r="STW225" s="1"/>
      <c r="STX225" s="1"/>
      <c r="STY225" s="1"/>
      <c r="STZ225" s="1"/>
      <c r="SUA225" s="1"/>
      <c r="SUB225" s="1"/>
      <c r="SUC225" s="1"/>
      <c r="SUD225" s="1"/>
      <c r="SUE225" s="1"/>
      <c r="SUF225" s="1"/>
      <c r="SUG225" s="1"/>
      <c r="SUH225" s="1"/>
      <c r="SUI225" s="1"/>
      <c r="SUJ225" s="1"/>
      <c r="SUK225" s="1"/>
      <c r="SUL225" s="1"/>
      <c r="SUM225" s="1"/>
      <c r="SUN225" s="1"/>
      <c r="SUO225" s="1"/>
      <c r="SUP225" s="1"/>
      <c r="SUQ225" s="1"/>
      <c r="SUR225" s="1"/>
      <c r="SUS225" s="1"/>
      <c r="SUT225" s="1"/>
      <c r="SUU225" s="1"/>
      <c r="SUV225" s="1"/>
      <c r="SUW225" s="1"/>
      <c r="SUX225" s="1"/>
      <c r="SUY225" s="1"/>
      <c r="SUZ225" s="1"/>
      <c r="SVA225" s="1"/>
      <c r="SVB225" s="1"/>
      <c r="SVC225" s="1"/>
      <c r="SVD225" s="1"/>
      <c r="SVE225" s="1"/>
      <c r="SVF225" s="1"/>
      <c r="SVG225" s="1"/>
      <c r="SVH225" s="1"/>
      <c r="SVI225" s="1"/>
      <c r="SVJ225" s="1"/>
      <c r="SVK225" s="1"/>
      <c r="SVL225" s="1"/>
      <c r="SVM225" s="1"/>
      <c r="SVN225" s="1"/>
      <c r="SVO225" s="1"/>
      <c r="SVP225" s="1"/>
      <c r="SVQ225" s="1"/>
      <c r="SVR225" s="1"/>
      <c r="SVS225" s="1"/>
      <c r="SVT225" s="1"/>
      <c r="SVU225" s="1"/>
      <c r="SVV225" s="1"/>
      <c r="SVW225" s="1"/>
      <c r="SVX225" s="1"/>
      <c r="SVY225" s="1"/>
      <c r="SVZ225" s="1"/>
      <c r="SWA225" s="1"/>
      <c r="SWB225" s="1"/>
      <c r="SWC225" s="1"/>
      <c r="SWD225" s="1"/>
      <c r="SWE225" s="1"/>
      <c r="SWF225" s="1"/>
      <c r="SWG225" s="1"/>
      <c r="SWH225" s="1"/>
      <c r="SWI225" s="1"/>
      <c r="SWJ225" s="1"/>
      <c r="SWK225" s="1"/>
      <c r="SWL225" s="1"/>
      <c r="SWM225" s="1"/>
      <c r="SWN225" s="1"/>
      <c r="SWO225" s="1"/>
      <c r="SWP225" s="1"/>
      <c r="SWQ225" s="1"/>
      <c r="SWR225" s="1"/>
      <c r="SWS225" s="1"/>
      <c r="SWT225" s="1"/>
      <c r="SWU225" s="1"/>
      <c r="SWV225" s="1"/>
      <c r="SWW225" s="1"/>
      <c r="SWX225" s="1"/>
      <c r="SWY225" s="1"/>
      <c r="SWZ225" s="1"/>
      <c r="SXA225" s="1"/>
      <c r="SXB225" s="1"/>
      <c r="SXC225" s="1"/>
      <c r="SXD225" s="1"/>
      <c r="SXE225" s="1"/>
      <c r="SXF225" s="1"/>
      <c r="SXG225" s="1"/>
      <c r="SXH225" s="1"/>
      <c r="SXI225" s="1"/>
      <c r="SXJ225" s="1"/>
      <c r="SXK225" s="1"/>
      <c r="SXL225" s="1"/>
      <c r="SXM225" s="1"/>
      <c r="SXN225" s="1"/>
      <c r="SXO225" s="1"/>
      <c r="SXP225" s="1"/>
      <c r="SXQ225" s="1"/>
      <c r="SXR225" s="1"/>
      <c r="SXS225" s="1"/>
      <c r="SXT225" s="1"/>
      <c r="SXU225" s="1"/>
      <c r="SXV225" s="1"/>
      <c r="SXW225" s="1"/>
      <c r="SXX225" s="1"/>
      <c r="SXY225" s="1"/>
      <c r="SXZ225" s="1"/>
      <c r="SYA225" s="1"/>
      <c r="SYB225" s="1"/>
      <c r="SYC225" s="1"/>
      <c r="SYD225" s="1"/>
      <c r="SYE225" s="1"/>
      <c r="SYF225" s="1"/>
      <c r="SYG225" s="1"/>
      <c r="SYH225" s="1"/>
      <c r="SYI225" s="1"/>
      <c r="SYJ225" s="1"/>
      <c r="SYK225" s="1"/>
      <c r="SYL225" s="1"/>
      <c r="SYM225" s="1"/>
      <c r="SYN225" s="1"/>
      <c r="SYO225" s="1"/>
      <c r="SYP225" s="1"/>
      <c r="SYQ225" s="1"/>
      <c r="SYR225" s="1"/>
      <c r="SYS225" s="1"/>
      <c r="SYT225" s="1"/>
      <c r="SYU225" s="1"/>
      <c r="SYV225" s="1"/>
      <c r="SYW225" s="1"/>
      <c r="SYX225" s="1"/>
      <c r="SYY225" s="1"/>
      <c r="SYZ225" s="1"/>
      <c r="SZA225" s="1"/>
      <c r="SZB225" s="1"/>
      <c r="SZC225" s="1"/>
      <c r="SZD225" s="1"/>
      <c r="SZE225" s="1"/>
      <c r="SZF225" s="1"/>
      <c r="SZG225" s="1"/>
      <c r="SZH225" s="1"/>
      <c r="SZI225" s="1"/>
      <c r="SZJ225" s="1"/>
      <c r="SZK225" s="1"/>
      <c r="SZL225" s="1"/>
      <c r="SZM225" s="1"/>
      <c r="SZN225" s="1"/>
      <c r="SZO225" s="1"/>
      <c r="SZP225" s="1"/>
      <c r="SZQ225" s="1"/>
      <c r="SZR225" s="1"/>
      <c r="SZS225" s="1"/>
      <c r="SZT225" s="1"/>
      <c r="SZU225" s="1"/>
      <c r="SZV225" s="1"/>
      <c r="SZW225" s="1"/>
      <c r="SZX225" s="1"/>
      <c r="SZY225" s="1"/>
      <c r="SZZ225" s="1"/>
      <c r="TAA225" s="1"/>
      <c r="TAB225" s="1"/>
      <c r="TAC225" s="1"/>
      <c r="TAD225" s="1"/>
      <c r="TAE225" s="1"/>
      <c r="TAF225" s="1"/>
      <c r="TAG225" s="1"/>
      <c r="TAH225" s="1"/>
      <c r="TAI225" s="1"/>
      <c r="TAJ225" s="1"/>
      <c r="TAK225" s="1"/>
      <c r="TAL225" s="1"/>
      <c r="TAM225" s="1"/>
      <c r="TAN225" s="1"/>
      <c r="TAO225" s="1"/>
      <c r="TAP225" s="1"/>
      <c r="TAQ225" s="1"/>
      <c r="TAR225" s="1"/>
      <c r="TAS225" s="1"/>
      <c r="TAT225" s="1"/>
      <c r="TAU225" s="1"/>
      <c r="TAV225" s="1"/>
      <c r="TAW225" s="1"/>
      <c r="TAX225" s="1"/>
      <c r="TAY225" s="1"/>
      <c r="TAZ225" s="1"/>
      <c r="TBA225" s="1"/>
      <c r="TBB225" s="1"/>
      <c r="TBC225" s="1"/>
      <c r="TBD225" s="1"/>
      <c r="TBE225" s="1"/>
      <c r="TBF225" s="1"/>
      <c r="TBG225" s="1"/>
      <c r="TBH225" s="1"/>
      <c r="TBI225" s="1"/>
      <c r="TBJ225" s="1"/>
      <c r="TBK225" s="1"/>
      <c r="TBL225" s="1"/>
      <c r="TBM225" s="1"/>
      <c r="TBN225" s="1"/>
      <c r="TBO225" s="1"/>
      <c r="TBP225" s="1"/>
      <c r="TBQ225" s="1"/>
      <c r="TBR225" s="1"/>
      <c r="TBS225" s="1"/>
      <c r="TBT225" s="1"/>
      <c r="TBU225" s="1"/>
      <c r="TBV225" s="1"/>
      <c r="TBW225" s="1"/>
      <c r="TBX225" s="1"/>
      <c r="TBY225" s="1"/>
      <c r="TBZ225" s="1"/>
      <c r="TCA225" s="1"/>
      <c r="TCB225" s="1"/>
      <c r="TCC225" s="1"/>
      <c r="TCD225" s="1"/>
      <c r="TCE225" s="1"/>
      <c r="TCF225" s="1"/>
      <c r="TCG225" s="1"/>
      <c r="TCH225" s="1"/>
      <c r="TCI225" s="1"/>
      <c r="TCJ225" s="1"/>
      <c r="TCK225" s="1"/>
      <c r="TCL225" s="1"/>
      <c r="TCM225" s="1"/>
      <c r="TCN225" s="1"/>
      <c r="TCO225" s="1"/>
      <c r="TCP225" s="1"/>
      <c r="TCQ225" s="1"/>
      <c r="TCR225" s="1"/>
      <c r="TCS225" s="1"/>
      <c r="TCT225" s="1"/>
      <c r="TCU225" s="1"/>
      <c r="TCV225" s="1"/>
      <c r="TCW225" s="1"/>
      <c r="TCX225" s="1"/>
      <c r="TCY225" s="1"/>
      <c r="TCZ225" s="1"/>
      <c r="TDA225" s="1"/>
      <c r="TDB225" s="1"/>
      <c r="TDC225" s="1"/>
      <c r="TDD225" s="1"/>
      <c r="TDE225" s="1"/>
      <c r="TDF225" s="1"/>
      <c r="TDG225" s="1"/>
      <c r="TDH225" s="1"/>
      <c r="TDI225" s="1"/>
      <c r="TDJ225" s="1"/>
      <c r="TDK225" s="1"/>
      <c r="TDL225" s="1"/>
      <c r="TDM225" s="1"/>
      <c r="TDN225" s="1"/>
      <c r="TDO225" s="1"/>
      <c r="TDP225" s="1"/>
      <c r="TDQ225" s="1"/>
      <c r="TDR225" s="1"/>
      <c r="TDS225" s="1"/>
      <c r="TDT225" s="1"/>
      <c r="TDU225" s="1"/>
      <c r="TDV225" s="1"/>
      <c r="TDW225" s="1"/>
      <c r="TDX225" s="1"/>
      <c r="TDY225" s="1"/>
      <c r="TDZ225" s="1"/>
      <c r="TEA225" s="1"/>
      <c r="TEB225" s="1"/>
      <c r="TEC225" s="1"/>
      <c r="TED225" s="1"/>
      <c r="TEE225" s="1"/>
      <c r="TEF225" s="1"/>
      <c r="TEG225" s="1"/>
      <c r="TEH225" s="1"/>
      <c r="TEI225" s="1"/>
      <c r="TEJ225" s="1"/>
      <c r="TEK225" s="1"/>
      <c r="TEL225" s="1"/>
      <c r="TEM225" s="1"/>
      <c r="TEN225" s="1"/>
      <c r="TEO225" s="1"/>
      <c r="TEP225" s="1"/>
      <c r="TEQ225" s="1"/>
      <c r="TER225" s="1"/>
      <c r="TES225" s="1"/>
      <c r="TET225" s="1"/>
      <c r="TEU225" s="1"/>
      <c r="TEV225" s="1"/>
      <c r="TEW225" s="1"/>
      <c r="TEX225" s="1"/>
      <c r="TEY225" s="1"/>
      <c r="TEZ225" s="1"/>
      <c r="TFA225" s="1"/>
      <c r="TFB225" s="1"/>
      <c r="TFC225" s="1"/>
      <c r="TFD225" s="1"/>
      <c r="TFE225" s="1"/>
      <c r="TFF225" s="1"/>
      <c r="TFG225" s="1"/>
      <c r="TFH225" s="1"/>
      <c r="TFI225" s="1"/>
      <c r="TFJ225" s="1"/>
      <c r="TFK225" s="1"/>
      <c r="TFL225" s="1"/>
      <c r="TFM225" s="1"/>
      <c r="TFN225" s="1"/>
      <c r="TFO225" s="1"/>
      <c r="TFP225" s="1"/>
      <c r="TFQ225" s="1"/>
      <c r="TFR225" s="1"/>
      <c r="TFS225" s="1"/>
      <c r="TFT225" s="1"/>
      <c r="TFU225" s="1"/>
      <c r="TFV225" s="1"/>
      <c r="TFW225" s="1"/>
      <c r="TFX225" s="1"/>
      <c r="TFY225" s="1"/>
      <c r="TFZ225" s="1"/>
      <c r="TGA225" s="1"/>
      <c r="TGB225" s="1"/>
      <c r="TGC225" s="1"/>
      <c r="TGD225" s="1"/>
      <c r="TGE225" s="1"/>
      <c r="TGF225" s="1"/>
      <c r="TGG225" s="1"/>
      <c r="TGH225" s="1"/>
      <c r="TGI225" s="1"/>
      <c r="TGJ225" s="1"/>
      <c r="TGK225" s="1"/>
      <c r="TGL225" s="1"/>
      <c r="TGM225" s="1"/>
      <c r="TGN225" s="1"/>
      <c r="TGO225" s="1"/>
      <c r="TGP225" s="1"/>
      <c r="TGQ225" s="1"/>
      <c r="TGR225" s="1"/>
      <c r="TGS225" s="1"/>
      <c r="TGT225" s="1"/>
      <c r="TGU225" s="1"/>
      <c r="TGV225" s="1"/>
      <c r="TGW225" s="1"/>
      <c r="TGX225" s="1"/>
      <c r="TGY225" s="1"/>
      <c r="TGZ225" s="1"/>
      <c r="THA225" s="1"/>
      <c r="THB225" s="1"/>
      <c r="THC225" s="1"/>
      <c r="THD225" s="1"/>
      <c r="THE225" s="1"/>
      <c r="THF225" s="1"/>
      <c r="THG225" s="1"/>
      <c r="THH225" s="1"/>
      <c r="THI225" s="1"/>
      <c r="THJ225" s="1"/>
      <c r="THK225" s="1"/>
      <c r="THL225" s="1"/>
      <c r="THM225" s="1"/>
      <c r="THN225" s="1"/>
      <c r="THO225" s="1"/>
      <c r="THP225" s="1"/>
      <c r="THQ225" s="1"/>
      <c r="THR225" s="1"/>
      <c r="THS225" s="1"/>
      <c r="THT225" s="1"/>
      <c r="THU225" s="1"/>
      <c r="THV225" s="1"/>
      <c r="THW225" s="1"/>
      <c r="THX225" s="1"/>
      <c r="THY225" s="1"/>
      <c r="THZ225" s="1"/>
      <c r="TIA225" s="1"/>
      <c r="TIB225" s="1"/>
      <c r="TIC225" s="1"/>
      <c r="TID225" s="1"/>
      <c r="TIE225" s="1"/>
      <c r="TIF225" s="1"/>
      <c r="TIG225" s="1"/>
      <c r="TIH225" s="1"/>
      <c r="TII225" s="1"/>
      <c r="TIJ225" s="1"/>
      <c r="TIK225" s="1"/>
      <c r="TIL225" s="1"/>
      <c r="TIM225" s="1"/>
      <c r="TIN225" s="1"/>
      <c r="TIO225" s="1"/>
      <c r="TIP225" s="1"/>
      <c r="TIQ225" s="1"/>
      <c r="TIR225" s="1"/>
      <c r="TIS225" s="1"/>
      <c r="TIT225" s="1"/>
      <c r="TIU225" s="1"/>
      <c r="TIV225" s="1"/>
      <c r="TIW225" s="1"/>
      <c r="TIX225" s="1"/>
      <c r="TIY225" s="1"/>
      <c r="TIZ225" s="1"/>
      <c r="TJA225" s="1"/>
      <c r="TJB225" s="1"/>
      <c r="TJC225" s="1"/>
      <c r="TJD225" s="1"/>
      <c r="TJE225" s="1"/>
      <c r="TJF225" s="1"/>
      <c r="TJG225" s="1"/>
      <c r="TJH225" s="1"/>
      <c r="TJI225" s="1"/>
      <c r="TJJ225" s="1"/>
      <c r="TJK225" s="1"/>
      <c r="TJL225" s="1"/>
      <c r="TJM225" s="1"/>
      <c r="TJN225" s="1"/>
      <c r="TJO225" s="1"/>
      <c r="TJP225" s="1"/>
      <c r="TJQ225" s="1"/>
      <c r="TJR225" s="1"/>
      <c r="TJS225" s="1"/>
      <c r="TJT225" s="1"/>
      <c r="TJU225" s="1"/>
      <c r="TJV225" s="1"/>
      <c r="TJW225" s="1"/>
      <c r="TJX225" s="1"/>
      <c r="TJY225" s="1"/>
      <c r="TJZ225" s="1"/>
      <c r="TKA225" s="1"/>
      <c r="TKB225" s="1"/>
      <c r="TKC225" s="1"/>
      <c r="TKD225" s="1"/>
      <c r="TKE225" s="1"/>
      <c r="TKF225" s="1"/>
      <c r="TKG225" s="1"/>
      <c r="TKH225" s="1"/>
      <c r="TKI225" s="1"/>
      <c r="TKJ225" s="1"/>
      <c r="TKK225" s="1"/>
      <c r="TKL225" s="1"/>
      <c r="TKM225" s="1"/>
      <c r="TKN225" s="1"/>
      <c r="TKO225" s="1"/>
      <c r="TKP225" s="1"/>
      <c r="TKQ225" s="1"/>
      <c r="TKR225" s="1"/>
      <c r="TKS225" s="1"/>
      <c r="TKT225" s="1"/>
      <c r="TKU225" s="1"/>
      <c r="TKV225" s="1"/>
      <c r="TKW225" s="1"/>
      <c r="TKX225" s="1"/>
      <c r="TKY225" s="1"/>
      <c r="TKZ225" s="1"/>
      <c r="TLA225" s="1"/>
      <c r="TLB225" s="1"/>
      <c r="TLC225" s="1"/>
      <c r="TLD225" s="1"/>
      <c r="TLE225" s="1"/>
      <c r="TLF225" s="1"/>
      <c r="TLG225" s="1"/>
      <c r="TLH225" s="1"/>
      <c r="TLI225" s="1"/>
      <c r="TLJ225" s="1"/>
      <c r="TLK225" s="1"/>
      <c r="TLL225" s="1"/>
      <c r="TLM225" s="1"/>
      <c r="TLN225" s="1"/>
      <c r="TLO225" s="1"/>
      <c r="TLP225" s="1"/>
      <c r="TLQ225" s="1"/>
      <c r="TLR225" s="1"/>
      <c r="TLS225" s="1"/>
      <c r="TLT225" s="1"/>
      <c r="TLU225" s="1"/>
      <c r="TLV225" s="1"/>
      <c r="TLW225" s="1"/>
      <c r="TLX225" s="1"/>
      <c r="TLY225" s="1"/>
      <c r="TLZ225" s="1"/>
      <c r="TMA225" s="1"/>
      <c r="TMB225" s="1"/>
      <c r="TMC225" s="1"/>
      <c r="TMD225" s="1"/>
      <c r="TME225" s="1"/>
      <c r="TMF225" s="1"/>
      <c r="TMG225" s="1"/>
      <c r="TMH225" s="1"/>
      <c r="TMI225" s="1"/>
      <c r="TMJ225" s="1"/>
      <c r="TMK225" s="1"/>
      <c r="TML225" s="1"/>
      <c r="TMM225" s="1"/>
      <c r="TMN225" s="1"/>
      <c r="TMO225" s="1"/>
      <c r="TMP225" s="1"/>
      <c r="TMQ225" s="1"/>
      <c r="TMR225" s="1"/>
      <c r="TMS225" s="1"/>
      <c r="TMT225" s="1"/>
      <c r="TMU225" s="1"/>
      <c r="TMV225" s="1"/>
      <c r="TMW225" s="1"/>
      <c r="TMX225" s="1"/>
      <c r="TMY225" s="1"/>
      <c r="TMZ225" s="1"/>
      <c r="TNA225" s="1"/>
      <c r="TNB225" s="1"/>
      <c r="TNC225" s="1"/>
      <c r="TND225" s="1"/>
      <c r="TNE225" s="1"/>
      <c r="TNF225" s="1"/>
      <c r="TNG225" s="1"/>
      <c r="TNH225" s="1"/>
      <c r="TNI225" s="1"/>
      <c r="TNJ225" s="1"/>
      <c r="TNK225" s="1"/>
      <c r="TNL225" s="1"/>
      <c r="TNM225" s="1"/>
      <c r="TNN225" s="1"/>
      <c r="TNO225" s="1"/>
      <c r="TNP225" s="1"/>
      <c r="TNQ225" s="1"/>
      <c r="TNR225" s="1"/>
      <c r="TNS225" s="1"/>
      <c r="TNT225" s="1"/>
      <c r="TNU225" s="1"/>
      <c r="TNV225" s="1"/>
      <c r="TNW225" s="1"/>
      <c r="TNX225" s="1"/>
      <c r="TNY225" s="1"/>
      <c r="TNZ225" s="1"/>
      <c r="TOA225" s="1"/>
      <c r="TOB225" s="1"/>
      <c r="TOC225" s="1"/>
      <c r="TOD225" s="1"/>
      <c r="TOE225" s="1"/>
      <c r="TOF225" s="1"/>
      <c r="TOG225" s="1"/>
      <c r="TOH225" s="1"/>
      <c r="TOI225" s="1"/>
      <c r="TOJ225" s="1"/>
      <c r="TOK225" s="1"/>
      <c r="TOL225" s="1"/>
      <c r="TOM225" s="1"/>
      <c r="TON225" s="1"/>
      <c r="TOO225" s="1"/>
      <c r="TOP225" s="1"/>
      <c r="TOQ225" s="1"/>
      <c r="TOR225" s="1"/>
      <c r="TOS225" s="1"/>
      <c r="TOT225" s="1"/>
      <c r="TOU225" s="1"/>
      <c r="TOV225" s="1"/>
      <c r="TOW225" s="1"/>
      <c r="TOX225" s="1"/>
      <c r="TOY225" s="1"/>
      <c r="TOZ225" s="1"/>
      <c r="TPA225" s="1"/>
      <c r="TPB225" s="1"/>
      <c r="TPC225" s="1"/>
      <c r="TPD225" s="1"/>
      <c r="TPE225" s="1"/>
      <c r="TPF225" s="1"/>
      <c r="TPG225" s="1"/>
      <c r="TPH225" s="1"/>
      <c r="TPI225" s="1"/>
      <c r="TPJ225" s="1"/>
      <c r="TPK225" s="1"/>
      <c r="TPL225" s="1"/>
      <c r="TPM225" s="1"/>
      <c r="TPN225" s="1"/>
      <c r="TPO225" s="1"/>
      <c r="TPP225" s="1"/>
      <c r="TPQ225" s="1"/>
      <c r="TPR225" s="1"/>
      <c r="TPS225" s="1"/>
      <c r="TPT225" s="1"/>
      <c r="TPU225" s="1"/>
      <c r="TPV225" s="1"/>
      <c r="TPW225" s="1"/>
      <c r="TPX225" s="1"/>
      <c r="TPY225" s="1"/>
      <c r="TPZ225" s="1"/>
      <c r="TQA225" s="1"/>
      <c r="TQB225" s="1"/>
      <c r="TQC225" s="1"/>
      <c r="TQD225" s="1"/>
      <c r="TQE225" s="1"/>
      <c r="TQF225" s="1"/>
      <c r="TQG225" s="1"/>
      <c r="TQH225" s="1"/>
      <c r="TQI225" s="1"/>
      <c r="TQJ225" s="1"/>
      <c r="TQK225" s="1"/>
      <c r="TQL225" s="1"/>
      <c r="TQM225" s="1"/>
      <c r="TQN225" s="1"/>
      <c r="TQO225" s="1"/>
      <c r="TQP225" s="1"/>
      <c r="TQQ225" s="1"/>
      <c r="TQR225" s="1"/>
      <c r="TQS225" s="1"/>
      <c r="TQT225" s="1"/>
      <c r="TQU225" s="1"/>
      <c r="TQV225" s="1"/>
      <c r="TQW225" s="1"/>
      <c r="TQX225" s="1"/>
      <c r="TQY225" s="1"/>
      <c r="TQZ225" s="1"/>
      <c r="TRA225" s="1"/>
      <c r="TRB225" s="1"/>
      <c r="TRC225" s="1"/>
      <c r="TRD225" s="1"/>
      <c r="TRE225" s="1"/>
      <c r="TRF225" s="1"/>
      <c r="TRG225" s="1"/>
      <c r="TRH225" s="1"/>
      <c r="TRI225" s="1"/>
      <c r="TRJ225" s="1"/>
      <c r="TRK225" s="1"/>
      <c r="TRL225" s="1"/>
      <c r="TRM225" s="1"/>
      <c r="TRN225" s="1"/>
      <c r="TRO225" s="1"/>
      <c r="TRP225" s="1"/>
      <c r="TRQ225" s="1"/>
      <c r="TRR225" s="1"/>
      <c r="TRS225" s="1"/>
      <c r="TRT225" s="1"/>
      <c r="TRU225" s="1"/>
      <c r="TRV225" s="1"/>
      <c r="TRW225" s="1"/>
      <c r="TRX225" s="1"/>
      <c r="TRY225" s="1"/>
      <c r="TRZ225" s="1"/>
      <c r="TSA225" s="1"/>
      <c r="TSB225" s="1"/>
      <c r="TSC225" s="1"/>
      <c r="TSD225" s="1"/>
      <c r="TSE225" s="1"/>
      <c r="TSF225" s="1"/>
      <c r="TSG225" s="1"/>
      <c r="TSH225" s="1"/>
      <c r="TSI225" s="1"/>
      <c r="TSJ225" s="1"/>
      <c r="TSK225" s="1"/>
      <c r="TSL225" s="1"/>
      <c r="TSM225" s="1"/>
      <c r="TSN225" s="1"/>
      <c r="TSO225" s="1"/>
      <c r="TSP225" s="1"/>
      <c r="TSQ225" s="1"/>
      <c r="TSR225" s="1"/>
      <c r="TSS225" s="1"/>
      <c r="TST225" s="1"/>
      <c r="TSU225" s="1"/>
      <c r="TSV225" s="1"/>
      <c r="TSW225" s="1"/>
      <c r="TSX225" s="1"/>
      <c r="TSY225" s="1"/>
      <c r="TSZ225" s="1"/>
      <c r="TTA225" s="1"/>
      <c r="TTB225" s="1"/>
      <c r="TTC225" s="1"/>
      <c r="TTD225" s="1"/>
      <c r="TTE225" s="1"/>
      <c r="TTF225" s="1"/>
      <c r="TTG225" s="1"/>
      <c r="TTH225" s="1"/>
      <c r="TTI225" s="1"/>
      <c r="TTJ225" s="1"/>
      <c r="TTK225" s="1"/>
      <c r="TTL225" s="1"/>
      <c r="TTM225" s="1"/>
      <c r="TTN225" s="1"/>
      <c r="TTO225" s="1"/>
      <c r="TTP225" s="1"/>
      <c r="TTQ225" s="1"/>
      <c r="TTR225" s="1"/>
      <c r="TTS225" s="1"/>
      <c r="TTT225" s="1"/>
      <c r="TTU225" s="1"/>
      <c r="TTV225" s="1"/>
      <c r="TTW225" s="1"/>
      <c r="TTX225" s="1"/>
      <c r="TTY225" s="1"/>
      <c r="TTZ225" s="1"/>
      <c r="TUA225" s="1"/>
      <c r="TUB225" s="1"/>
      <c r="TUC225" s="1"/>
      <c r="TUD225" s="1"/>
      <c r="TUE225" s="1"/>
      <c r="TUF225" s="1"/>
      <c r="TUG225" s="1"/>
      <c r="TUH225" s="1"/>
      <c r="TUI225" s="1"/>
      <c r="TUJ225" s="1"/>
      <c r="TUK225" s="1"/>
      <c r="TUL225" s="1"/>
      <c r="TUM225" s="1"/>
      <c r="TUN225" s="1"/>
      <c r="TUO225" s="1"/>
      <c r="TUP225" s="1"/>
      <c r="TUQ225" s="1"/>
      <c r="TUR225" s="1"/>
      <c r="TUS225" s="1"/>
      <c r="TUT225" s="1"/>
      <c r="TUU225" s="1"/>
      <c r="TUV225" s="1"/>
      <c r="TUW225" s="1"/>
      <c r="TUX225" s="1"/>
      <c r="TUY225" s="1"/>
      <c r="TUZ225" s="1"/>
      <c r="TVA225" s="1"/>
      <c r="TVB225" s="1"/>
      <c r="TVC225" s="1"/>
      <c r="TVD225" s="1"/>
      <c r="TVE225" s="1"/>
      <c r="TVF225" s="1"/>
      <c r="TVG225" s="1"/>
      <c r="TVH225" s="1"/>
      <c r="TVI225" s="1"/>
      <c r="TVJ225" s="1"/>
      <c r="TVK225" s="1"/>
      <c r="TVL225" s="1"/>
      <c r="TVM225" s="1"/>
      <c r="TVN225" s="1"/>
      <c r="TVO225" s="1"/>
      <c r="TVP225" s="1"/>
      <c r="TVQ225" s="1"/>
      <c r="TVR225" s="1"/>
      <c r="TVS225" s="1"/>
      <c r="TVT225" s="1"/>
      <c r="TVU225" s="1"/>
      <c r="TVV225" s="1"/>
      <c r="TVW225" s="1"/>
      <c r="TVX225" s="1"/>
      <c r="TVY225" s="1"/>
      <c r="TVZ225" s="1"/>
      <c r="TWA225" s="1"/>
      <c r="TWB225" s="1"/>
      <c r="TWC225" s="1"/>
      <c r="TWD225" s="1"/>
      <c r="TWE225" s="1"/>
      <c r="TWF225" s="1"/>
      <c r="TWG225" s="1"/>
      <c r="TWH225" s="1"/>
      <c r="TWI225" s="1"/>
      <c r="TWJ225" s="1"/>
      <c r="TWK225" s="1"/>
      <c r="TWL225" s="1"/>
      <c r="TWM225" s="1"/>
      <c r="TWN225" s="1"/>
      <c r="TWO225" s="1"/>
      <c r="TWP225" s="1"/>
      <c r="TWQ225" s="1"/>
      <c r="TWR225" s="1"/>
      <c r="TWS225" s="1"/>
      <c r="TWT225" s="1"/>
      <c r="TWU225" s="1"/>
      <c r="TWV225" s="1"/>
      <c r="TWW225" s="1"/>
      <c r="TWX225" s="1"/>
      <c r="TWY225" s="1"/>
      <c r="TWZ225" s="1"/>
      <c r="TXA225" s="1"/>
      <c r="TXB225" s="1"/>
      <c r="TXC225" s="1"/>
      <c r="TXD225" s="1"/>
      <c r="TXE225" s="1"/>
      <c r="TXF225" s="1"/>
      <c r="TXG225" s="1"/>
      <c r="TXH225" s="1"/>
      <c r="TXI225" s="1"/>
      <c r="TXJ225" s="1"/>
      <c r="TXK225" s="1"/>
      <c r="TXL225" s="1"/>
      <c r="TXM225" s="1"/>
      <c r="TXN225" s="1"/>
      <c r="TXO225" s="1"/>
      <c r="TXP225" s="1"/>
      <c r="TXQ225" s="1"/>
      <c r="TXR225" s="1"/>
      <c r="TXS225" s="1"/>
      <c r="TXT225" s="1"/>
      <c r="TXU225" s="1"/>
      <c r="TXV225" s="1"/>
      <c r="TXW225" s="1"/>
      <c r="TXX225" s="1"/>
      <c r="TXY225" s="1"/>
      <c r="TXZ225" s="1"/>
      <c r="TYA225" s="1"/>
      <c r="TYB225" s="1"/>
      <c r="TYC225" s="1"/>
      <c r="TYD225" s="1"/>
      <c r="TYE225" s="1"/>
      <c r="TYF225" s="1"/>
      <c r="TYG225" s="1"/>
      <c r="TYH225" s="1"/>
      <c r="TYI225" s="1"/>
      <c r="TYJ225" s="1"/>
      <c r="TYK225" s="1"/>
      <c r="TYL225" s="1"/>
      <c r="TYM225" s="1"/>
      <c r="TYN225" s="1"/>
      <c r="TYO225" s="1"/>
      <c r="TYP225" s="1"/>
      <c r="TYQ225" s="1"/>
      <c r="TYR225" s="1"/>
      <c r="TYS225" s="1"/>
      <c r="TYT225" s="1"/>
      <c r="TYU225" s="1"/>
      <c r="TYV225" s="1"/>
      <c r="TYW225" s="1"/>
      <c r="TYX225" s="1"/>
      <c r="TYY225" s="1"/>
      <c r="TYZ225" s="1"/>
      <c r="TZA225" s="1"/>
      <c r="TZB225" s="1"/>
      <c r="TZC225" s="1"/>
      <c r="TZD225" s="1"/>
      <c r="TZE225" s="1"/>
      <c r="TZF225" s="1"/>
      <c r="TZG225" s="1"/>
      <c r="TZH225" s="1"/>
      <c r="TZI225" s="1"/>
      <c r="TZJ225" s="1"/>
      <c r="TZK225" s="1"/>
      <c r="TZL225" s="1"/>
      <c r="TZM225" s="1"/>
      <c r="TZN225" s="1"/>
      <c r="TZO225" s="1"/>
      <c r="TZP225" s="1"/>
      <c r="TZQ225" s="1"/>
      <c r="TZR225" s="1"/>
      <c r="TZS225" s="1"/>
      <c r="TZT225" s="1"/>
      <c r="TZU225" s="1"/>
      <c r="TZV225" s="1"/>
      <c r="TZW225" s="1"/>
      <c r="TZX225" s="1"/>
      <c r="TZY225" s="1"/>
      <c r="TZZ225" s="1"/>
      <c r="UAA225" s="1"/>
      <c r="UAB225" s="1"/>
      <c r="UAC225" s="1"/>
      <c r="UAD225" s="1"/>
      <c r="UAE225" s="1"/>
      <c r="UAF225" s="1"/>
      <c r="UAG225" s="1"/>
      <c r="UAH225" s="1"/>
      <c r="UAI225" s="1"/>
      <c r="UAJ225" s="1"/>
      <c r="UAK225" s="1"/>
      <c r="UAL225" s="1"/>
      <c r="UAM225" s="1"/>
      <c r="UAN225" s="1"/>
      <c r="UAO225" s="1"/>
      <c r="UAP225" s="1"/>
      <c r="UAQ225" s="1"/>
      <c r="UAR225" s="1"/>
      <c r="UAS225" s="1"/>
      <c r="UAT225" s="1"/>
      <c r="UAU225" s="1"/>
      <c r="UAV225" s="1"/>
      <c r="UAW225" s="1"/>
      <c r="UAX225" s="1"/>
      <c r="UAY225" s="1"/>
      <c r="UAZ225" s="1"/>
      <c r="UBA225" s="1"/>
      <c r="UBB225" s="1"/>
      <c r="UBC225" s="1"/>
      <c r="UBD225" s="1"/>
      <c r="UBE225" s="1"/>
      <c r="UBF225" s="1"/>
      <c r="UBG225" s="1"/>
      <c r="UBH225" s="1"/>
      <c r="UBI225" s="1"/>
      <c r="UBJ225" s="1"/>
      <c r="UBK225" s="1"/>
      <c r="UBL225" s="1"/>
      <c r="UBM225" s="1"/>
      <c r="UBN225" s="1"/>
      <c r="UBO225" s="1"/>
      <c r="UBP225" s="1"/>
      <c r="UBQ225" s="1"/>
      <c r="UBR225" s="1"/>
      <c r="UBS225" s="1"/>
      <c r="UBT225" s="1"/>
      <c r="UBU225" s="1"/>
      <c r="UBV225" s="1"/>
      <c r="UBW225" s="1"/>
      <c r="UBX225" s="1"/>
      <c r="UBY225" s="1"/>
      <c r="UBZ225" s="1"/>
      <c r="UCA225" s="1"/>
      <c r="UCB225" s="1"/>
      <c r="UCC225" s="1"/>
      <c r="UCD225" s="1"/>
      <c r="UCE225" s="1"/>
      <c r="UCF225" s="1"/>
      <c r="UCG225" s="1"/>
      <c r="UCH225" s="1"/>
      <c r="UCI225" s="1"/>
      <c r="UCJ225" s="1"/>
      <c r="UCK225" s="1"/>
      <c r="UCL225" s="1"/>
      <c r="UCM225" s="1"/>
      <c r="UCN225" s="1"/>
      <c r="UCO225" s="1"/>
      <c r="UCP225" s="1"/>
      <c r="UCQ225" s="1"/>
      <c r="UCR225" s="1"/>
      <c r="UCS225" s="1"/>
      <c r="UCT225" s="1"/>
      <c r="UCU225" s="1"/>
      <c r="UCV225" s="1"/>
      <c r="UCW225" s="1"/>
      <c r="UCX225" s="1"/>
      <c r="UCY225" s="1"/>
      <c r="UCZ225" s="1"/>
      <c r="UDA225" s="1"/>
      <c r="UDB225" s="1"/>
      <c r="UDC225" s="1"/>
      <c r="UDD225" s="1"/>
      <c r="UDE225" s="1"/>
      <c r="UDF225" s="1"/>
      <c r="UDG225" s="1"/>
      <c r="UDH225" s="1"/>
      <c r="UDI225" s="1"/>
      <c r="UDJ225" s="1"/>
      <c r="UDK225" s="1"/>
      <c r="UDL225" s="1"/>
      <c r="UDM225" s="1"/>
      <c r="UDN225" s="1"/>
      <c r="UDO225" s="1"/>
      <c r="UDP225" s="1"/>
      <c r="UDQ225" s="1"/>
      <c r="UDR225" s="1"/>
      <c r="UDS225" s="1"/>
      <c r="UDT225" s="1"/>
      <c r="UDU225" s="1"/>
      <c r="UDV225" s="1"/>
      <c r="UDW225" s="1"/>
      <c r="UDX225" s="1"/>
      <c r="UDY225" s="1"/>
      <c r="UDZ225" s="1"/>
      <c r="UEA225" s="1"/>
      <c r="UEB225" s="1"/>
      <c r="UEC225" s="1"/>
      <c r="UED225" s="1"/>
      <c r="UEE225" s="1"/>
      <c r="UEF225" s="1"/>
      <c r="UEG225" s="1"/>
      <c r="UEH225" s="1"/>
      <c r="UEI225" s="1"/>
      <c r="UEJ225" s="1"/>
      <c r="UEK225" s="1"/>
      <c r="UEL225" s="1"/>
      <c r="UEM225" s="1"/>
      <c r="UEN225" s="1"/>
      <c r="UEO225" s="1"/>
      <c r="UEP225" s="1"/>
      <c r="UEQ225" s="1"/>
      <c r="UER225" s="1"/>
      <c r="UES225" s="1"/>
      <c r="UET225" s="1"/>
      <c r="UEU225" s="1"/>
      <c r="UEV225" s="1"/>
      <c r="UEW225" s="1"/>
      <c r="UEX225" s="1"/>
      <c r="UEY225" s="1"/>
      <c r="UEZ225" s="1"/>
      <c r="UFA225" s="1"/>
      <c r="UFB225" s="1"/>
      <c r="UFC225" s="1"/>
      <c r="UFD225" s="1"/>
      <c r="UFE225" s="1"/>
      <c r="UFF225" s="1"/>
      <c r="UFG225" s="1"/>
      <c r="UFH225" s="1"/>
      <c r="UFI225" s="1"/>
      <c r="UFJ225" s="1"/>
      <c r="UFK225" s="1"/>
      <c r="UFL225" s="1"/>
      <c r="UFM225" s="1"/>
      <c r="UFN225" s="1"/>
      <c r="UFO225" s="1"/>
      <c r="UFP225" s="1"/>
      <c r="UFQ225" s="1"/>
      <c r="UFR225" s="1"/>
      <c r="UFS225" s="1"/>
      <c r="UFT225" s="1"/>
      <c r="UFU225" s="1"/>
      <c r="UFV225" s="1"/>
      <c r="UFW225" s="1"/>
      <c r="UFX225" s="1"/>
      <c r="UFY225" s="1"/>
      <c r="UFZ225" s="1"/>
      <c r="UGA225" s="1"/>
      <c r="UGB225" s="1"/>
      <c r="UGC225" s="1"/>
      <c r="UGD225" s="1"/>
      <c r="UGE225" s="1"/>
      <c r="UGF225" s="1"/>
      <c r="UGG225" s="1"/>
      <c r="UGH225" s="1"/>
      <c r="UGI225" s="1"/>
      <c r="UGJ225" s="1"/>
      <c r="UGK225" s="1"/>
      <c r="UGL225" s="1"/>
      <c r="UGM225" s="1"/>
      <c r="UGN225" s="1"/>
      <c r="UGO225" s="1"/>
      <c r="UGP225" s="1"/>
      <c r="UGQ225" s="1"/>
      <c r="UGR225" s="1"/>
      <c r="UGS225" s="1"/>
      <c r="UGT225" s="1"/>
      <c r="UGU225" s="1"/>
      <c r="UGV225" s="1"/>
      <c r="UGW225" s="1"/>
      <c r="UGX225" s="1"/>
      <c r="UGY225" s="1"/>
      <c r="UGZ225" s="1"/>
      <c r="UHA225" s="1"/>
      <c r="UHB225" s="1"/>
      <c r="UHC225" s="1"/>
      <c r="UHD225" s="1"/>
      <c r="UHE225" s="1"/>
      <c r="UHF225" s="1"/>
      <c r="UHG225" s="1"/>
      <c r="UHH225" s="1"/>
      <c r="UHI225" s="1"/>
      <c r="UHJ225" s="1"/>
      <c r="UHK225" s="1"/>
      <c r="UHL225" s="1"/>
      <c r="UHM225" s="1"/>
      <c r="UHN225" s="1"/>
      <c r="UHO225" s="1"/>
      <c r="UHP225" s="1"/>
      <c r="UHQ225" s="1"/>
      <c r="UHR225" s="1"/>
      <c r="UHS225" s="1"/>
      <c r="UHT225" s="1"/>
      <c r="UHU225" s="1"/>
      <c r="UHV225" s="1"/>
      <c r="UHW225" s="1"/>
      <c r="UHX225" s="1"/>
      <c r="UHY225" s="1"/>
      <c r="UHZ225" s="1"/>
      <c r="UIA225" s="1"/>
      <c r="UIB225" s="1"/>
      <c r="UIC225" s="1"/>
      <c r="UID225" s="1"/>
      <c r="UIE225" s="1"/>
      <c r="UIF225" s="1"/>
      <c r="UIG225" s="1"/>
      <c r="UIH225" s="1"/>
      <c r="UII225" s="1"/>
      <c r="UIJ225" s="1"/>
      <c r="UIK225" s="1"/>
      <c r="UIL225" s="1"/>
      <c r="UIM225" s="1"/>
      <c r="UIN225" s="1"/>
      <c r="UIO225" s="1"/>
      <c r="UIP225" s="1"/>
      <c r="UIQ225" s="1"/>
      <c r="UIR225" s="1"/>
      <c r="UIS225" s="1"/>
      <c r="UIT225" s="1"/>
      <c r="UIU225" s="1"/>
      <c r="UIV225" s="1"/>
      <c r="UIW225" s="1"/>
      <c r="UIX225" s="1"/>
      <c r="UIY225" s="1"/>
      <c r="UIZ225" s="1"/>
      <c r="UJA225" s="1"/>
      <c r="UJB225" s="1"/>
      <c r="UJC225" s="1"/>
      <c r="UJD225" s="1"/>
      <c r="UJE225" s="1"/>
      <c r="UJF225" s="1"/>
      <c r="UJG225" s="1"/>
      <c r="UJH225" s="1"/>
      <c r="UJI225" s="1"/>
      <c r="UJJ225" s="1"/>
      <c r="UJK225" s="1"/>
      <c r="UJL225" s="1"/>
      <c r="UJM225" s="1"/>
      <c r="UJN225" s="1"/>
      <c r="UJO225" s="1"/>
      <c r="UJP225" s="1"/>
      <c r="UJQ225" s="1"/>
      <c r="UJR225" s="1"/>
      <c r="UJS225" s="1"/>
      <c r="UJT225" s="1"/>
      <c r="UJU225" s="1"/>
      <c r="UJV225" s="1"/>
      <c r="UJW225" s="1"/>
      <c r="UJX225" s="1"/>
      <c r="UJY225" s="1"/>
      <c r="UJZ225" s="1"/>
      <c r="UKA225" s="1"/>
      <c r="UKB225" s="1"/>
      <c r="UKC225" s="1"/>
      <c r="UKD225" s="1"/>
      <c r="UKE225" s="1"/>
      <c r="UKF225" s="1"/>
      <c r="UKG225" s="1"/>
      <c r="UKH225" s="1"/>
      <c r="UKI225" s="1"/>
      <c r="UKJ225" s="1"/>
      <c r="UKK225" s="1"/>
      <c r="UKL225" s="1"/>
      <c r="UKM225" s="1"/>
      <c r="UKN225" s="1"/>
      <c r="UKO225" s="1"/>
      <c r="UKP225" s="1"/>
      <c r="UKQ225" s="1"/>
      <c r="UKR225" s="1"/>
      <c r="UKS225" s="1"/>
      <c r="UKT225" s="1"/>
      <c r="UKU225" s="1"/>
      <c r="UKV225" s="1"/>
      <c r="UKW225" s="1"/>
      <c r="UKX225" s="1"/>
      <c r="UKY225" s="1"/>
      <c r="UKZ225" s="1"/>
      <c r="ULA225" s="1"/>
      <c r="ULB225" s="1"/>
      <c r="ULC225" s="1"/>
      <c r="ULD225" s="1"/>
      <c r="ULE225" s="1"/>
      <c r="ULF225" s="1"/>
      <c r="ULG225" s="1"/>
      <c r="ULH225" s="1"/>
      <c r="ULI225" s="1"/>
      <c r="ULJ225" s="1"/>
      <c r="ULK225" s="1"/>
      <c r="ULL225" s="1"/>
      <c r="ULM225" s="1"/>
      <c r="ULN225" s="1"/>
      <c r="ULO225" s="1"/>
      <c r="ULP225" s="1"/>
      <c r="ULQ225" s="1"/>
      <c r="ULR225" s="1"/>
      <c r="ULS225" s="1"/>
      <c r="ULT225" s="1"/>
      <c r="ULU225" s="1"/>
      <c r="ULV225" s="1"/>
      <c r="ULW225" s="1"/>
      <c r="ULX225" s="1"/>
      <c r="ULY225" s="1"/>
      <c r="ULZ225" s="1"/>
      <c r="UMA225" s="1"/>
      <c r="UMB225" s="1"/>
      <c r="UMC225" s="1"/>
      <c r="UMD225" s="1"/>
      <c r="UME225" s="1"/>
      <c r="UMF225" s="1"/>
      <c r="UMG225" s="1"/>
      <c r="UMH225" s="1"/>
      <c r="UMI225" s="1"/>
      <c r="UMJ225" s="1"/>
      <c r="UMK225" s="1"/>
      <c r="UML225" s="1"/>
      <c r="UMM225" s="1"/>
      <c r="UMN225" s="1"/>
      <c r="UMO225" s="1"/>
      <c r="UMP225" s="1"/>
      <c r="UMQ225" s="1"/>
      <c r="UMR225" s="1"/>
      <c r="UMS225" s="1"/>
      <c r="UMT225" s="1"/>
      <c r="UMU225" s="1"/>
      <c r="UMV225" s="1"/>
      <c r="UMW225" s="1"/>
      <c r="UMX225" s="1"/>
      <c r="UMY225" s="1"/>
      <c r="UMZ225" s="1"/>
      <c r="UNA225" s="1"/>
      <c r="UNB225" s="1"/>
      <c r="UNC225" s="1"/>
      <c r="UND225" s="1"/>
      <c r="UNE225" s="1"/>
      <c r="UNF225" s="1"/>
      <c r="UNG225" s="1"/>
      <c r="UNH225" s="1"/>
      <c r="UNI225" s="1"/>
      <c r="UNJ225" s="1"/>
      <c r="UNK225" s="1"/>
      <c r="UNL225" s="1"/>
      <c r="UNM225" s="1"/>
      <c r="UNN225" s="1"/>
      <c r="UNO225" s="1"/>
      <c r="UNP225" s="1"/>
      <c r="UNQ225" s="1"/>
      <c r="UNR225" s="1"/>
      <c r="UNS225" s="1"/>
      <c r="UNT225" s="1"/>
      <c r="UNU225" s="1"/>
      <c r="UNV225" s="1"/>
      <c r="UNW225" s="1"/>
      <c r="UNX225" s="1"/>
      <c r="UNY225" s="1"/>
      <c r="UNZ225" s="1"/>
      <c r="UOA225" s="1"/>
      <c r="UOB225" s="1"/>
      <c r="UOC225" s="1"/>
      <c r="UOD225" s="1"/>
      <c r="UOE225" s="1"/>
      <c r="UOF225" s="1"/>
      <c r="UOG225" s="1"/>
      <c r="UOH225" s="1"/>
      <c r="UOI225" s="1"/>
      <c r="UOJ225" s="1"/>
      <c r="UOK225" s="1"/>
      <c r="UOL225" s="1"/>
      <c r="UOM225" s="1"/>
      <c r="UON225" s="1"/>
      <c r="UOO225" s="1"/>
      <c r="UOP225" s="1"/>
      <c r="UOQ225" s="1"/>
      <c r="UOR225" s="1"/>
      <c r="UOS225" s="1"/>
      <c r="UOT225" s="1"/>
      <c r="UOU225" s="1"/>
      <c r="UOV225" s="1"/>
      <c r="UOW225" s="1"/>
      <c r="UOX225" s="1"/>
      <c r="UOY225" s="1"/>
      <c r="UOZ225" s="1"/>
      <c r="UPA225" s="1"/>
      <c r="UPB225" s="1"/>
      <c r="UPC225" s="1"/>
      <c r="UPD225" s="1"/>
      <c r="UPE225" s="1"/>
      <c r="UPF225" s="1"/>
      <c r="UPG225" s="1"/>
      <c r="UPH225" s="1"/>
      <c r="UPI225" s="1"/>
      <c r="UPJ225" s="1"/>
      <c r="UPK225" s="1"/>
      <c r="UPL225" s="1"/>
      <c r="UPM225" s="1"/>
      <c r="UPN225" s="1"/>
      <c r="UPO225" s="1"/>
      <c r="UPP225" s="1"/>
      <c r="UPQ225" s="1"/>
      <c r="UPR225" s="1"/>
      <c r="UPS225" s="1"/>
      <c r="UPT225" s="1"/>
      <c r="UPU225" s="1"/>
      <c r="UPV225" s="1"/>
      <c r="UPW225" s="1"/>
      <c r="UPX225" s="1"/>
      <c r="UPY225" s="1"/>
      <c r="UPZ225" s="1"/>
      <c r="UQA225" s="1"/>
      <c r="UQB225" s="1"/>
      <c r="UQC225" s="1"/>
      <c r="UQD225" s="1"/>
      <c r="UQE225" s="1"/>
      <c r="UQF225" s="1"/>
      <c r="UQG225" s="1"/>
      <c r="UQH225" s="1"/>
      <c r="UQI225" s="1"/>
      <c r="UQJ225" s="1"/>
      <c r="UQK225" s="1"/>
      <c r="UQL225" s="1"/>
      <c r="UQM225" s="1"/>
      <c r="UQN225" s="1"/>
      <c r="UQO225" s="1"/>
      <c r="UQP225" s="1"/>
      <c r="UQQ225" s="1"/>
      <c r="UQR225" s="1"/>
      <c r="UQS225" s="1"/>
      <c r="UQT225" s="1"/>
      <c r="UQU225" s="1"/>
      <c r="UQV225" s="1"/>
      <c r="UQW225" s="1"/>
      <c r="UQX225" s="1"/>
      <c r="UQY225" s="1"/>
      <c r="UQZ225" s="1"/>
      <c r="URA225" s="1"/>
      <c r="URB225" s="1"/>
      <c r="URC225" s="1"/>
      <c r="URD225" s="1"/>
      <c r="URE225" s="1"/>
      <c r="URF225" s="1"/>
      <c r="URG225" s="1"/>
      <c r="URH225" s="1"/>
      <c r="URI225" s="1"/>
      <c r="URJ225" s="1"/>
      <c r="URK225" s="1"/>
      <c r="URL225" s="1"/>
      <c r="URM225" s="1"/>
      <c r="URN225" s="1"/>
      <c r="URO225" s="1"/>
      <c r="URP225" s="1"/>
      <c r="URQ225" s="1"/>
      <c r="URR225" s="1"/>
      <c r="URS225" s="1"/>
      <c r="URT225" s="1"/>
      <c r="URU225" s="1"/>
      <c r="URV225" s="1"/>
      <c r="URW225" s="1"/>
      <c r="URX225" s="1"/>
      <c r="URY225" s="1"/>
      <c r="URZ225" s="1"/>
      <c r="USA225" s="1"/>
      <c r="USB225" s="1"/>
      <c r="USC225" s="1"/>
      <c r="USD225" s="1"/>
      <c r="USE225" s="1"/>
      <c r="USF225" s="1"/>
      <c r="USG225" s="1"/>
      <c r="USH225" s="1"/>
      <c r="USI225" s="1"/>
      <c r="USJ225" s="1"/>
      <c r="USK225" s="1"/>
      <c r="USL225" s="1"/>
      <c r="USM225" s="1"/>
      <c r="USN225" s="1"/>
      <c r="USO225" s="1"/>
      <c r="USP225" s="1"/>
      <c r="USQ225" s="1"/>
      <c r="USR225" s="1"/>
      <c r="USS225" s="1"/>
      <c r="UST225" s="1"/>
      <c r="USU225" s="1"/>
      <c r="USV225" s="1"/>
      <c r="USW225" s="1"/>
      <c r="USX225" s="1"/>
      <c r="USY225" s="1"/>
      <c r="USZ225" s="1"/>
      <c r="UTA225" s="1"/>
      <c r="UTB225" s="1"/>
      <c r="UTC225" s="1"/>
      <c r="UTD225" s="1"/>
      <c r="UTE225" s="1"/>
      <c r="UTF225" s="1"/>
      <c r="UTG225" s="1"/>
      <c r="UTH225" s="1"/>
      <c r="UTI225" s="1"/>
      <c r="UTJ225" s="1"/>
      <c r="UTK225" s="1"/>
      <c r="UTL225" s="1"/>
      <c r="UTM225" s="1"/>
      <c r="UTN225" s="1"/>
      <c r="UTO225" s="1"/>
      <c r="UTP225" s="1"/>
      <c r="UTQ225" s="1"/>
      <c r="UTR225" s="1"/>
      <c r="UTS225" s="1"/>
      <c r="UTT225" s="1"/>
      <c r="UTU225" s="1"/>
      <c r="UTV225" s="1"/>
      <c r="UTW225" s="1"/>
      <c r="UTX225" s="1"/>
      <c r="UTY225" s="1"/>
      <c r="UTZ225" s="1"/>
      <c r="UUA225" s="1"/>
      <c r="UUB225" s="1"/>
      <c r="UUC225" s="1"/>
      <c r="UUD225" s="1"/>
      <c r="UUE225" s="1"/>
      <c r="UUF225" s="1"/>
      <c r="UUG225" s="1"/>
      <c r="UUH225" s="1"/>
      <c r="UUI225" s="1"/>
      <c r="UUJ225" s="1"/>
      <c r="UUK225" s="1"/>
      <c r="UUL225" s="1"/>
      <c r="UUM225" s="1"/>
      <c r="UUN225" s="1"/>
      <c r="UUO225" s="1"/>
      <c r="UUP225" s="1"/>
      <c r="UUQ225" s="1"/>
      <c r="UUR225" s="1"/>
      <c r="UUS225" s="1"/>
      <c r="UUT225" s="1"/>
      <c r="UUU225" s="1"/>
      <c r="UUV225" s="1"/>
      <c r="UUW225" s="1"/>
      <c r="UUX225" s="1"/>
      <c r="UUY225" s="1"/>
      <c r="UUZ225" s="1"/>
      <c r="UVA225" s="1"/>
      <c r="UVB225" s="1"/>
      <c r="UVC225" s="1"/>
      <c r="UVD225" s="1"/>
      <c r="UVE225" s="1"/>
      <c r="UVF225" s="1"/>
      <c r="UVG225" s="1"/>
      <c r="UVH225" s="1"/>
      <c r="UVI225" s="1"/>
      <c r="UVJ225" s="1"/>
      <c r="UVK225" s="1"/>
      <c r="UVL225" s="1"/>
      <c r="UVM225" s="1"/>
      <c r="UVN225" s="1"/>
      <c r="UVO225" s="1"/>
      <c r="UVP225" s="1"/>
      <c r="UVQ225" s="1"/>
      <c r="UVR225" s="1"/>
      <c r="UVS225" s="1"/>
      <c r="UVT225" s="1"/>
      <c r="UVU225" s="1"/>
      <c r="UVV225" s="1"/>
      <c r="UVW225" s="1"/>
      <c r="UVX225" s="1"/>
      <c r="UVY225" s="1"/>
      <c r="UVZ225" s="1"/>
      <c r="UWA225" s="1"/>
      <c r="UWB225" s="1"/>
      <c r="UWC225" s="1"/>
      <c r="UWD225" s="1"/>
      <c r="UWE225" s="1"/>
      <c r="UWF225" s="1"/>
      <c r="UWG225" s="1"/>
      <c r="UWH225" s="1"/>
      <c r="UWI225" s="1"/>
      <c r="UWJ225" s="1"/>
      <c r="UWK225" s="1"/>
      <c r="UWL225" s="1"/>
      <c r="UWM225" s="1"/>
      <c r="UWN225" s="1"/>
      <c r="UWO225" s="1"/>
      <c r="UWP225" s="1"/>
      <c r="UWQ225" s="1"/>
      <c r="UWR225" s="1"/>
      <c r="UWS225" s="1"/>
      <c r="UWT225" s="1"/>
      <c r="UWU225" s="1"/>
      <c r="UWV225" s="1"/>
      <c r="UWW225" s="1"/>
      <c r="UWX225" s="1"/>
      <c r="UWY225" s="1"/>
      <c r="UWZ225" s="1"/>
      <c r="UXA225" s="1"/>
      <c r="UXB225" s="1"/>
      <c r="UXC225" s="1"/>
      <c r="UXD225" s="1"/>
      <c r="UXE225" s="1"/>
      <c r="UXF225" s="1"/>
      <c r="UXG225" s="1"/>
      <c r="UXH225" s="1"/>
      <c r="UXI225" s="1"/>
      <c r="UXJ225" s="1"/>
      <c r="UXK225" s="1"/>
      <c r="UXL225" s="1"/>
      <c r="UXM225" s="1"/>
      <c r="UXN225" s="1"/>
      <c r="UXO225" s="1"/>
      <c r="UXP225" s="1"/>
      <c r="UXQ225" s="1"/>
      <c r="UXR225" s="1"/>
      <c r="UXS225" s="1"/>
      <c r="UXT225" s="1"/>
      <c r="UXU225" s="1"/>
      <c r="UXV225" s="1"/>
      <c r="UXW225" s="1"/>
      <c r="UXX225" s="1"/>
      <c r="UXY225" s="1"/>
      <c r="UXZ225" s="1"/>
      <c r="UYA225" s="1"/>
      <c r="UYB225" s="1"/>
      <c r="UYC225" s="1"/>
      <c r="UYD225" s="1"/>
      <c r="UYE225" s="1"/>
      <c r="UYF225" s="1"/>
      <c r="UYG225" s="1"/>
      <c r="UYH225" s="1"/>
      <c r="UYI225" s="1"/>
      <c r="UYJ225" s="1"/>
      <c r="UYK225" s="1"/>
      <c r="UYL225" s="1"/>
      <c r="UYM225" s="1"/>
      <c r="UYN225" s="1"/>
      <c r="UYO225" s="1"/>
      <c r="UYP225" s="1"/>
      <c r="UYQ225" s="1"/>
      <c r="UYR225" s="1"/>
      <c r="UYS225" s="1"/>
      <c r="UYT225" s="1"/>
      <c r="UYU225" s="1"/>
      <c r="UYV225" s="1"/>
      <c r="UYW225" s="1"/>
      <c r="UYX225" s="1"/>
      <c r="UYY225" s="1"/>
      <c r="UYZ225" s="1"/>
      <c r="UZA225" s="1"/>
      <c r="UZB225" s="1"/>
      <c r="UZC225" s="1"/>
      <c r="UZD225" s="1"/>
      <c r="UZE225" s="1"/>
      <c r="UZF225" s="1"/>
      <c r="UZG225" s="1"/>
      <c r="UZH225" s="1"/>
      <c r="UZI225" s="1"/>
      <c r="UZJ225" s="1"/>
      <c r="UZK225" s="1"/>
      <c r="UZL225" s="1"/>
      <c r="UZM225" s="1"/>
      <c r="UZN225" s="1"/>
      <c r="UZO225" s="1"/>
      <c r="UZP225" s="1"/>
      <c r="UZQ225" s="1"/>
      <c r="UZR225" s="1"/>
      <c r="UZS225" s="1"/>
      <c r="UZT225" s="1"/>
      <c r="UZU225" s="1"/>
      <c r="UZV225" s="1"/>
      <c r="UZW225" s="1"/>
      <c r="UZX225" s="1"/>
      <c r="UZY225" s="1"/>
      <c r="UZZ225" s="1"/>
      <c r="VAA225" s="1"/>
      <c r="VAB225" s="1"/>
      <c r="VAC225" s="1"/>
      <c r="VAD225" s="1"/>
      <c r="VAE225" s="1"/>
      <c r="VAF225" s="1"/>
      <c r="VAG225" s="1"/>
      <c r="VAH225" s="1"/>
      <c r="VAI225" s="1"/>
      <c r="VAJ225" s="1"/>
      <c r="VAK225" s="1"/>
      <c r="VAL225" s="1"/>
      <c r="VAM225" s="1"/>
      <c r="VAN225" s="1"/>
      <c r="VAO225" s="1"/>
      <c r="VAP225" s="1"/>
      <c r="VAQ225" s="1"/>
      <c r="VAR225" s="1"/>
      <c r="VAS225" s="1"/>
      <c r="VAT225" s="1"/>
      <c r="VAU225" s="1"/>
      <c r="VAV225" s="1"/>
      <c r="VAW225" s="1"/>
      <c r="VAX225" s="1"/>
      <c r="VAY225" s="1"/>
      <c r="VAZ225" s="1"/>
      <c r="VBA225" s="1"/>
      <c r="VBB225" s="1"/>
      <c r="VBC225" s="1"/>
      <c r="VBD225" s="1"/>
      <c r="VBE225" s="1"/>
      <c r="VBF225" s="1"/>
      <c r="VBG225" s="1"/>
      <c r="VBH225" s="1"/>
      <c r="VBI225" s="1"/>
      <c r="VBJ225" s="1"/>
      <c r="VBK225" s="1"/>
      <c r="VBL225" s="1"/>
      <c r="VBM225" s="1"/>
      <c r="VBN225" s="1"/>
      <c r="VBO225" s="1"/>
      <c r="VBP225" s="1"/>
      <c r="VBQ225" s="1"/>
      <c r="VBR225" s="1"/>
      <c r="VBS225" s="1"/>
      <c r="VBT225" s="1"/>
      <c r="VBU225" s="1"/>
      <c r="VBV225" s="1"/>
      <c r="VBW225" s="1"/>
      <c r="VBX225" s="1"/>
      <c r="VBY225" s="1"/>
      <c r="VBZ225" s="1"/>
      <c r="VCA225" s="1"/>
      <c r="VCB225" s="1"/>
      <c r="VCC225" s="1"/>
      <c r="VCD225" s="1"/>
      <c r="VCE225" s="1"/>
      <c r="VCF225" s="1"/>
      <c r="VCG225" s="1"/>
      <c r="VCH225" s="1"/>
      <c r="VCI225" s="1"/>
      <c r="VCJ225" s="1"/>
      <c r="VCK225" s="1"/>
      <c r="VCL225" s="1"/>
      <c r="VCM225" s="1"/>
      <c r="VCN225" s="1"/>
      <c r="VCO225" s="1"/>
      <c r="VCP225" s="1"/>
      <c r="VCQ225" s="1"/>
      <c r="VCR225" s="1"/>
      <c r="VCS225" s="1"/>
      <c r="VCT225" s="1"/>
      <c r="VCU225" s="1"/>
      <c r="VCV225" s="1"/>
    </row>
  </sheetData>
  <mergeCells count="6">
    <mergeCell ref="F1:AO1"/>
    <mergeCell ref="F3:F4"/>
    <mergeCell ref="G3:G4"/>
    <mergeCell ref="H3:H4"/>
    <mergeCell ref="I3:I4"/>
    <mergeCell ref="J3:AM3"/>
  </mergeCells>
  <printOptions horizontalCentered="1" verticalCentered="1"/>
  <pageMargins left="0" right="0" top="0" bottom="0" header="0.31496062992125984" footer="0.31496062992125984"/>
  <pageSetup paperSize="5" scale="33" orientation="landscape" horizontalDpi="90" verticalDpi="90" r:id="rId1"/>
  <rowBreaks count="1" manualBreakCount="1">
    <brk id="91" max="40" man="1"/>
  </rowBreaks>
  <legacy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Sep-22</vt:lpstr>
      <vt:lpstr>'Sep-22'!Print_Area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N2N0CX10H27707B@outlook.com</cp:lastModifiedBy>
  <cp:lastPrinted>2022-12-07T11:47:55Z</cp:lastPrinted>
  <dcterms:created xsi:type="dcterms:W3CDTF">2022-09-06T08:59:53Z</dcterms:created>
  <dcterms:modified xsi:type="dcterms:W3CDTF">2025-04-22T04:30:41Z</dcterms:modified>
</cp:coreProperties>
</file>