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8_{12E527B9-F891-4E26-A7DB-69BB2AACB66C}" xr6:coauthVersionLast="47" xr6:coauthVersionMax="47" xr10:uidLastSave="{00000000-0000-0000-0000-000000000000}"/>
  <bookViews>
    <workbookView xWindow="-108" yWindow="-108" windowWidth="23256" windowHeight="12456" xr2:uid="{C4DBB140-EF29-4D25-A49A-A2BF26A33244}"/>
  </bookViews>
  <sheets>
    <sheet name="Agustus-22" sheetId="1" r:id="rId1"/>
  </sheets>
  <definedNames>
    <definedName name="_xlnm.Print_Area" localSheetId="0">'Agustus-22'!$A$2:$AP$199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4" i="1" l="1"/>
  <c r="S30" i="1" l="1"/>
  <c r="AP30" i="1" s="1"/>
  <c r="R30" i="1"/>
  <c r="Q30" i="1"/>
  <c r="P44" i="1"/>
  <c r="AP50" i="1" l="1"/>
  <c r="AP37" i="1"/>
  <c r="AP36" i="1"/>
  <c r="AN69" i="1"/>
  <c r="AN39" i="1"/>
  <c r="AN57" i="1" s="1"/>
  <c r="AJ69" i="1"/>
  <c r="AM39" i="1"/>
  <c r="AM56" i="1" s="1"/>
  <c r="AL39" i="1"/>
  <c r="AL56" i="1" s="1"/>
  <c r="AK39" i="1"/>
  <c r="AJ39" i="1"/>
  <c r="AI39" i="1"/>
  <c r="AH39" i="1"/>
  <c r="AG39" i="1"/>
  <c r="AG57" i="1" s="1"/>
  <c r="AF39" i="1"/>
  <c r="AF56" i="1" s="1"/>
  <c r="AE39" i="1"/>
  <c r="AE56" i="1" s="1"/>
  <c r="AD39" i="1"/>
  <c r="AD57" i="1" s="1"/>
  <c r="AC39" i="1"/>
  <c r="AB39" i="1"/>
  <c r="AA39" i="1"/>
  <c r="Z39" i="1"/>
  <c r="Y39" i="1"/>
  <c r="X39" i="1"/>
  <c r="W39" i="1"/>
  <c r="W56" i="1" s="1"/>
  <c r="V39" i="1"/>
  <c r="V57" i="1" s="1"/>
  <c r="U39" i="1"/>
  <c r="T39" i="1"/>
  <c r="S39" i="1"/>
  <c r="AN199" i="1"/>
  <c r="AN194" i="1"/>
  <c r="AN186" i="1"/>
  <c r="AN187" i="1" s="1"/>
  <c r="AN180" i="1"/>
  <c r="AN179" i="1"/>
  <c r="AN170" i="1"/>
  <c r="AN169" i="1"/>
  <c r="AN159" i="1"/>
  <c r="AN158" i="1"/>
  <c r="AN157" i="1"/>
  <c r="AN173" i="1" s="1"/>
  <c r="AN156" i="1"/>
  <c r="AN155" i="1"/>
  <c r="AN172" i="1" s="1"/>
  <c r="AN148" i="1"/>
  <c r="AN149" i="1" s="1"/>
  <c r="AN137" i="1"/>
  <c r="AN136" i="1"/>
  <c r="AN135" i="1"/>
  <c r="AN134" i="1"/>
  <c r="AN128" i="1"/>
  <c r="AN129" i="1" s="1"/>
  <c r="AN122" i="1"/>
  <c r="AN121" i="1"/>
  <c r="AN111" i="1"/>
  <c r="AN110" i="1"/>
  <c r="AN109" i="1"/>
  <c r="AN125" i="1" s="1"/>
  <c r="AN108" i="1"/>
  <c r="AN124" i="1" s="1"/>
  <c r="AN102" i="1"/>
  <c r="AN103" i="1" s="1"/>
  <c r="AN96" i="1"/>
  <c r="AN95" i="1"/>
  <c r="AN85" i="1"/>
  <c r="AN84" i="1"/>
  <c r="AN83" i="1"/>
  <c r="AN99" i="1" s="1"/>
  <c r="AN82" i="1"/>
  <c r="AN98" i="1" s="1"/>
  <c r="AN75" i="1"/>
  <c r="AN76" i="1" s="1"/>
  <c r="AN71" i="1"/>
  <c r="AN68" i="1"/>
  <c r="AN66" i="1"/>
  <c r="AN64" i="1"/>
  <c r="AN58" i="1"/>
  <c r="AN55" i="1"/>
  <c r="AN54" i="1"/>
  <c r="AN49" i="1"/>
  <c r="AN61" i="1" s="1"/>
  <c r="AN44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P198" i="1"/>
  <c r="AP195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P193" i="1"/>
  <c r="H193" i="1"/>
  <c r="H194" i="1" s="1"/>
  <c r="AP192" i="1"/>
  <c r="AGP192" i="1" s="1"/>
  <c r="AP191" i="1"/>
  <c r="AGP191" i="1" s="1"/>
  <c r="AP189" i="1"/>
  <c r="AM186" i="1"/>
  <c r="AM187" i="1" s="1"/>
  <c r="AL186" i="1"/>
  <c r="AL187" i="1" s="1"/>
  <c r="AK186" i="1"/>
  <c r="AK187" i="1" s="1"/>
  <c r="AJ186" i="1"/>
  <c r="AJ187" i="1" s="1"/>
  <c r="AI186" i="1"/>
  <c r="AI187" i="1" s="1"/>
  <c r="AH186" i="1"/>
  <c r="AH187" i="1" s="1"/>
  <c r="AG186" i="1"/>
  <c r="AG187" i="1" s="1"/>
  <c r="AF186" i="1"/>
  <c r="AF187" i="1" s="1"/>
  <c r="AE186" i="1"/>
  <c r="AE187" i="1" s="1"/>
  <c r="AD186" i="1"/>
  <c r="AD187" i="1" s="1"/>
  <c r="AC186" i="1"/>
  <c r="AC187" i="1" s="1"/>
  <c r="AB186" i="1"/>
  <c r="AB187" i="1" s="1"/>
  <c r="AA186" i="1"/>
  <c r="AA187" i="1" s="1"/>
  <c r="Z186" i="1"/>
  <c r="Z187" i="1" s="1"/>
  <c r="Y186" i="1"/>
  <c r="Y187" i="1" s="1"/>
  <c r="X186" i="1"/>
  <c r="X187" i="1" s="1"/>
  <c r="W186" i="1"/>
  <c r="W187" i="1" s="1"/>
  <c r="V186" i="1"/>
  <c r="V187" i="1" s="1"/>
  <c r="U186" i="1"/>
  <c r="U187" i="1" s="1"/>
  <c r="T186" i="1"/>
  <c r="T187" i="1" s="1"/>
  <c r="S186" i="1"/>
  <c r="S187" i="1" s="1"/>
  <c r="R186" i="1"/>
  <c r="R187" i="1" s="1"/>
  <c r="Q186" i="1"/>
  <c r="Q187" i="1" s="1"/>
  <c r="P186" i="1"/>
  <c r="P187" i="1" s="1"/>
  <c r="O186" i="1"/>
  <c r="O187" i="1" s="1"/>
  <c r="N186" i="1"/>
  <c r="N187" i="1" s="1"/>
  <c r="M186" i="1"/>
  <c r="M187" i="1" s="1"/>
  <c r="L186" i="1"/>
  <c r="L187" i="1" s="1"/>
  <c r="K186" i="1"/>
  <c r="K187" i="1" s="1"/>
  <c r="J186" i="1"/>
  <c r="AP185" i="1"/>
  <c r="AP184" i="1"/>
  <c r="AP182" i="1"/>
  <c r="H182" i="1"/>
  <c r="H186" i="1" s="1"/>
  <c r="H187" i="1" s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H180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P178" i="1"/>
  <c r="AP176" i="1"/>
  <c r="J175" i="1"/>
  <c r="AP175" i="1" s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P166" i="1"/>
  <c r="AP165" i="1"/>
  <c r="AP163" i="1"/>
  <c r="AP162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M157" i="1"/>
  <c r="AM173" i="1" s="1"/>
  <c r="AL157" i="1"/>
  <c r="AL173" i="1" s="1"/>
  <c r="AK157" i="1"/>
  <c r="AK173" i="1" s="1"/>
  <c r="AJ157" i="1"/>
  <c r="AJ173" i="1" s="1"/>
  <c r="AI157" i="1"/>
  <c r="AI173" i="1" s="1"/>
  <c r="AH157" i="1"/>
  <c r="AH173" i="1" s="1"/>
  <c r="AG157" i="1"/>
  <c r="AG173" i="1" s="1"/>
  <c r="AF157" i="1"/>
  <c r="AF173" i="1" s="1"/>
  <c r="AE157" i="1"/>
  <c r="AE173" i="1" s="1"/>
  <c r="AD157" i="1"/>
  <c r="AD173" i="1" s="1"/>
  <c r="AC157" i="1"/>
  <c r="AC173" i="1" s="1"/>
  <c r="AB157" i="1"/>
  <c r="AB173" i="1" s="1"/>
  <c r="AA157" i="1"/>
  <c r="AA173" i="1" s="1"/>
  <c r="Z157" i="1"/>
  <c r="Z173" i="1" s="1"/>
  <c r="Y157" i="1"/>
  <c r="Y173" i="1" s="1"/>
  <c r="X157" i="1"/>
  <c r="X173" i="1" s="1"/>
  <c r="W157" i="1"/>
  <c r="W173" i="1" s="1"/>
  <c r="V157" i="1"/>
  <c r="V173" i="1" s="1"/>
  <c r="U157" i="1"/>
  <c r="U173" i="1" s="1"/>
  <c r="T157" i="1"/>
  <c r="T173" i="1" s="1"/>
  <c r="S157" i="1"/>
  <c r="S173" i="1" s="1"/>
  <c r="R157" i="1"/>
  <c r="R173" i="1" s="1"/>
  <c r="Q157" i="1"/>
  <c r="Q173" i="1" s="1"/>
  <c r="P157" i="1"/>
  <c r="P173" i="1" s="1"/>
  <c r="O157" i="1"/>
  <c r="O173" i="1" s="1"/>
  <c r="N157" i="1"/>
  <c r="N173" i="1" s="1"/>
  <c r="M157" i="1"/>
  <c r="M173" i="1" s="1"/>
  <c r="L157" i="1"/>
  <c r="L173" i="1" s="1"/>
  <c r="K157" i="1"/>
  <c r="K173" i="1" s="1"/>
  <c r="J157" i="1"/>
  <c r="J173" i="1" s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M155" i="1"/>
  <c r="AM172" i="1" s="1"/>
  <c r="AL155" i="1"/>
  <c r="AL172" i="1" s="1"/>
  <c r="AK155" i="1"/>
  <c r="AK172" i="1" s="1"/>
  <c r="AJ155" i="1"/>
  <c r="AJ172" i="1" s="1"/>
  <c r="AI155" i="1"/>
  <c r="AI172" i="1" s="1"/>
  <c r="AH155" i="1"/>
  <c r="AH172" i="1" s="1"/>
  <c r="AG155" i="1"/>
  <c r="AG172" i="1" s="1"/>
  <c r="AF155" i="1"/>
  <c r="AF172" i="1" s="1"/>
  <c r="AE155" i="1"/>
  <c r="AE172" i="1" s="1"/>
  <c r="AD155" i="1"/>
  <c r="AD172" i="1" s="1"/>
  <c r="AC155" i="1"/>
  <c r="AC172" i="1" s="1"/>
  <c r="AB155" i="1"/>
  <c r="AB172" i="1" s="1"/>
  <c r="AA155" i="1"/>
  <c r="AA172" i="1" s="1"/>
  <c r="Z155" i="1"/>
  <c r="Z172" i="1" s="1"/>
  <c r="Y155" i="1"/>
  <c r="Y172" i="1" s="1"/>
  <c r="X155" i="1"/>
  <c r="X172" i="1" s="1"/>
  <c r="W155" i="1"/>
  <c r="W172" i="1" s="1"/>
  <c r="V155" i="1"/>
  <c r="V172" i="1" s="1"/>
  <c r="U155" i="1"/>
  <c r="U172" i="1" s="1"/>
  <c r="T155" i="1"/>
  <c r="T172" i="1" s="1"/>
  <c r="S155" i="1"/>
  <c r="S172" i="1" s="1"/>
  <c r="R155" i="1"/>
  <c r="R172" i="1" s="1"/>
  <c r="Q155" i="1"/>
  <c r="Q172" i="1" s="1"/>
  <c r="P155" i="1"/>
  <c r="P172" i="1" s="1"/>
  <c r="O155" i="1"/>
  <c r="O172" i="1" s="1"/>
  <c r="N155" i="1"/>
  <c r="N172" i="1" s="1"/>
  <c r="M155" i="1"/>
  <c r="M172" i="1" s="1"/>
  <c r="L155" i="1"/>
  <c r="L172" i="1" s="1"/>
  <c r="K155" i="1"/>
  <c r="K172" i="1" s="1"/>
  <c r="J155" i="1"/>
  <c r="J172" i="1" s="1"/>
  <c r="AP153" i="1"/>
  <c r="AP157" i="1" s="1"/>
  <c r="AP152" i="1"/>
  <c r="AP156" i="1" s="1"/>
  <c r="AP151" i="1"/>
  <c r="AP155" i="1" s="1"/>
  <c r="AM148" i="1"/>
  <c r="AM149" i="1" s="1"/>
  <c r="AL148" i="1"/>
  <c r="AL149" i="1" s="1"/>
  <c r="AK148" i="1"/>
  <c r="AK149" i="1" s="1"/>
  <c r="AJ148" i="1"/>
  <c r="AJ149" i="1" s="1"/>
  <c r="AI148" i="1"/>
  <c r="AI149" i="1" s="1"/>
  <c r="AH148" i="1"/>
  <c r="AH149" i="1" s="1"/>
  <c r="AG148" i="1"/>
  <c r="AG149" i="1" s="1"/>
  <c r="AF148" i="1"/>
  <c r="AF149" i="1" s="1"/>
  <c r="AE148" i="1"/>
  <c r="AE149" i="1" s="1"/>
  <c r="AD148" i="1"/>
  <c r="AD149" i="1" s="1"/>
  <c r="AC148" i="1"/>
  <c r="AC149" i="1" s="1"/>
  <c r="AB148" i="1"/>
  <c r="AB149" i="1" s="1"/>
  <c r="AA148" i="1"/>
  <c r="AA149" i="1" s="1"/>
  <c r="Z148" i="1"/>
  <c r="Z149" i="1" s="1"/>
  <c r="Y148" i="1"/>
  <c r="Y149" i="1" s="1"/>
  <c r="X148" i="1"/>
  <c r="X149" i="1" s="1"/>
  <c r="W148" i="1"/>
  <c r="W149" i="1" s="1"/>
  <c r="V148" i="1"/>
  <c r="V149" i="1" s="1"/>
  <c r="U148" i="1"/>
  <c r="U149" i="1" s="1"/>
  <c r="T148" i="1"/>
  <c r="T149" i="1" s="1"/>
  <c r="S148" i="1"/>
  <c r="S149" i="1" s="1"/>
  <c r="R148" i="1"/>
  <c r="R149" i="1" s="1"/>
  <c r="Q148" i="1"/>
  <c r="Q149" i="1" s="1"/>
  <c r="P148" i="1"/>
  <c r="P149" i="1" s="1"/>
  <c r="O148" i="1"/>
  <c r="O149" i="1" s="1"/>
  <c r="N148" i="1"/>
  <c r="N149" i="1" s="1"/>
  <c r="M148" i="1"/>
  <c r="M149" i="1" s="1"/>
  <c r="L148" i="1"/>
  <c r="L149" i="1" s="1"/>
  <c r="K148" i="1"/>
  <c r="K149" i="1" s="1"/>
  <c r="J148" i="1"/>
  <c r="J149" i="1" s="1"/>
  <c r="AP146" i="1"/>
  <c r="AP144" i="1"/>
  <c r="G144" i="1"/>
  <c r="AP143" i="1"/>
  <c r="G143" i="1"/>
  <c r="AP141" i="1"/>
  <c r="AP140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T132" i="1"/>
  <c r="AP132" i="1"/>
  <c r="AP135" i="1" s="1"/>
  <c r="AT131" i="1"/>
  <c r="AP131" i="1"/>
  <c r="AP134" i="1" s="1"/>
  <c r="GV129" i="1"/>
  <c r="AM128" i="1"/>
  <c r="AM129" i="1" s="1"/>
  <c r="AL128" i="1"/>
  <c r="AL129" i="1" s="1"/>
  <c r="AK128" i="1"/>
  <c r="AK129" i="1" s="1"/>
  <c r="AJ128" i="1"/>
  <c r="AJ129" i="1" s="1"/>
  <c r="AI128" i="1"/>
  <c r="AI129" i="1" s="1"/>
  <c r="AH128" i="1"/>
  <c r="AH129" i="1" s="1"/>
  <c r="AG128" i="1"/>
  <c r="AG129" i="1" s="1"/>
  <c r="AF128" i="1"/>
  <c r="AF129" i="1" s="1"/>
  <c r="AE128" i="1"/>
  <c r="AE129" i="1" s="1"/>
  <c r="AD128" i="1"/>
  <c r="AD129" i="1" s="1"/>
  <c r="AC128" i="1"/>
  <c r="AC129" i="1" s="1"/>
  <c r="AB128" i="1"/>
  <c r="AB129" i="1" s="1"/>
  <c r="AA128" i="1"/>
  <c r="AA129" i="1" s="1"/>
  <c r="Z128" i="1"/>
  <c r="Z129" i="1" s="1"/>
  <c r="Y128" i="1"/>
  <c r="Y129" i="1" s="1"/>
  <c r="X128" i="1"/>
  <c r="X129" i="1" s="1"/>
  <c r="W128" i="1"/>
  <c r="W129" i="1" s="1"/>
  <c r="V128" i="1"/>
  <c r="V129" i="1" s="1"/>
  <c r="U128" i="1"/>
  <c r="U129" i="1" s="1"/>
  <c r="T128" i="1"/>
  <c r="T129" i="1" s="1"/>
  <c r="S128" i="1"/>
  <c r="S129" i="1" s="1"/>
  <c r="R128" i="1"/>
  <c r="R129" i="1" s="1"/>
  <c r="Q128" i="1"/>
  <c r="Q129" i="1" s="1"/>
  <c r="P128" i="1"/>
  <c r="P129" i="1" s="1"/>
  <c r="O128" i="1"/>
  <c r="O129" i="1" s="1"/>
  <c r="N128" i="1"/>
  <c r="N129" i="1" s="1"/>
  <c r="M128" i="1"/>
  <c r="L128" i="1"/>
  <c r="L129" i="1" s="1"/>
  <c r="K128" i="1"/>
  <c r="K129" i="1" s="1"/>
  <c r="J128" i="1"/>
  <c r="J129" i="1" s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P118" i="1"/>
  <c r="AP117" i="1"/>
  <c r="AP115" i="1"/>
  <c r="AP114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M109" i="1"/>
  <c r="AM125" i="1" s="1"/>
  <c r="AL109" i="1"/>
  <c r="AL125" i="1" s="1"/>
  <c r="AK109" i="1"/>
  <c r="AK125" i="1" s="1"/>
  <c r="AJ109" i="1"/>
  <c r="AJ125" i="1" s="1"/>
  <c r="AI109" i="1"/>
  <c r="AI125" i="1" s="1"/>
  <c r="AH109" i="1"/>
  <c r="AH125" i="1" s="1"/>
  <c r="AG109" i="1"/>
  <c r="AG125" i="1" s="1"/>
  <c r="AF109" i="1"/>
  <c r="AF125" i="1" s="1"/>
  <c r="AE109" i="1"/>
  <c r="AE125" i="1" s="1"/>
  <c r="AD109" i="1"/>
  <c r="AD125" i="1" s="1"/>
  <c r="AC109" i="1"/>
  <c r="AC125" i="1" s="1"/>
  <c r="AB109" i="1"/>
  <c r="AB125" i="1" s="1"/>
  <c r="AA109" i="1"/>
  <c r="AA125" i="1" s="1"/>
  <c r="Z109" i="1"/>
  <c r="Z125" i="1" s="1"/>
  <c r="Y109" i="1"/>
  <c r="Y125" i="1" s="1"/>
  <c r="X109" i="1"/>
  <c r="X125" i="1" s="1"/>
  <c r="W109" i="1"/>
  <c r="W125" i="1" s="1"/>
  <c r="V109" i="1"/>
  <c r="V125" i="1" s="1"/>
  <c r="U109" i="1"/>
  <c r="U125" i="1" s="1"/>
  <c r="T109" i="1"/>
  <c r="T125" i="1" s="1"/>
  <c r="S109" i="1"/>
  <c r="S125" i="1" s="1"/>
  <c r="R109" i="1"/>
  <c r="R125" i="1" s="1"/>
  <c r="Q109" i="1"/>
  <c r="Q125" i="1" s="1"/>
  <c r="P109" i="1"/>
  <c r="P125" i="1" s="1"/>
  <c r="O109" i="1"/>
  <c r="O125" i="1" s="1"/>
  <c r="N109" i="1"/>
  <c r="N125" i="1" s="1"/>
  <c r="M109" i="1"/>
  <c r="M125" i="1" s="1"/>
  <c r="L109" i="1"/>
  <c r="L125" i="1" s="1"/>
  <c r="K109" i="1"/>
  <c r="K125" i="1" s="1"/>
  <c r="J109" i="1"/>
  <c r="J125" i="1" s="1"/>
  <c r="AM108" i="1"/>
  <c r="AM124" i="1" s="1"/>
  <c r="AL108" i="1"/>
  <c r="AL124" i="1" s="1"/>
  <c r="AK108" i="1"/>
  <c r="AK124" i="1" s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AP106" i="1"/>
  <c r="AP109" i="1" s="1"/>
  <c r="AP105" i="1"/>
  <c r="AP108" i="1" s="1"/>
  <c r="W103" i="1"/>
  <c r="V103" i="1"/>
  <c r="AM102" i="1"/>
  <c r="AM103" i="1" s="1"/>
  <c r="AL102" i="1"/>
  <c r="AL103" i="1" s="1"/>
  <c r="AK102" i="1"/>
  <c r="AK103" i="1" s="1"/>
  <c r="AJ102" i="1"/>
  <c r="AJ103" i="1" s="1"/>
  <c r="AI102" i="1"/>
  <c r="AI103" i="1" s="1"/>
  <c r="AH102" i="1"/>
  <c r="AH103" i="1" s="1"/>
  <c r="AG102" i="1"/>
  <c r="AG103" i="1" s="1"/>
  <c r="AF102" i="1"/>
  <c r="AF103" i="1" s="1"/>
  <c r="AE102" i="1"/>
  <c r="AE103" i="1" s="1"/>
  <c r="AD102" i="1"/>
  <c r="AD103" i="1" s="1"/>
  <c r="AC102" i="1"/>
  <c r="AC103" i="1" s="1"/>
  <c r="AB102" i="1"/>
  <c r="AB103" i="1" s="1"/>
  <c r="AA102" i="1"/>
  <c r="AA103" i="1" s="1"/>
  <c r="Z102" i="1"/>
  <c r="Z103" i="1" s="1"/>
  <c r="Y102" i="1"/>
  <c r="Y103" i="1" s="1"/>
  <c r="X102" i="1"/>
  <c r="X103" i="1" s="1"/>
  <c r="U102" i="1"/>
  <c r="U103" i="1" s="1"/>
  <c r="T102" i="1"/>
  <c r="T103" i="1" s="1"/>
  <c r="S102" i="1"/>
  <c r="S103" i="1" s="1"/>
  <c r="R102" i="1"/>
  <c r="R103" i="1" s="1"/>
  <c r="Q102" i="1"/>
  <c r="Q103" i="1" s="1"/>
  <c r="P102" i="1"/>
  <c r="P103" i="1" s="1"/>
  <c r="O102" i="1"/>
  <c r="O103" i="1" s="1"/>
  <c r="N102" i="1"/>
  <c r="N103" i="1" s="1"/>
  <c r="M102" i="1"/>
  <c r="M103" i="1" s="1"/>
  <c r="L102" i="1"/>
  <c r="L103" i="1" s="1"/>
  <c r="K102" i="1"/>
  <c r="K103" i="1" s="1"/>
  <c r="J102" i="1"/>
  <c r="J103" i="1" s="1"/>
  <c r="AG99" i="1"/>
  <c r="L99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P92" i="1"/>
  <c r="AP91" i="1"/>
  <c r="AP89" i="1"/>
  <c r="AP88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3" i="1"/>
  <c r="AM99" i="1" s="1"/>
  <c r="AL83" i="1"/>
  <c r="AL99" i="1" s="1"/>
  <c r="AK83" i="1"/>
  <c r="AK99" i="1" s="1"/>
  <c r="AJ83" i="1"/>
  <c r="AJ99" i="1" s="1"/>
  <c r="AI83" i="1"/>
  <c r="AI99" i="1" s="1"/>
  <c r="AH83" i="1"/>
  <c r="AH99" i="1" s="1"/>
  <c r="AF83" i="1"/>
  <c r="AF99" i="1" s="1"/>
  <c r="AE83" i="1"/>
  <c r="AE99" i="1" s="1"/>
  <c r="AD83" i="1"/>
  <c r="AD99" i="1" s="1"/>
  <c r="AC83" i="1"/>
  <c r="AC99" i="1" s="1"/>
  <c r="AB83" i="1"/>
  <c r="AB99" i="1" s="1"/>
  <c r="AA83" i="1"/>
  <c r="AA99" i="1" s="1"/>
  <c r="Z83" i="1"/>
  <c r="Z99" i="1" s="1"/>
  <c r="Y83" i="1"/>
  <c r="Y99" i="1" s="1"/>
  <c r="X83" i="1"/>
  <c r="X99" i="1" s="1"/>
  <c r="W83" i="1"/>
  <c r="W99" i="1" s="1"/>
  <c r="V83" i="1"/>
  <c r="V99" i="1" s="1"/>
  <c r="U83" i="1"/>
  <c r="U99" i="1" s="1"/>
  <c r="T83" i="1"/>
  <c r="T99" i="1" s="1"/>
  <c r="S83" i="1"/>
  <c r="S99" i="1" s="1"/>
  <c r="R83" i="1"/>
  <c r="R99" i="1" s="1"/>
  <c r="Q83" i="1"/>
  <c r="Q99" i="1" s="1"/>
  <c r="P83" i="1"/>
  <c r="P99" i="1" s="1"/>
  <c r="O83" i="1"/>
  <c r="O99" i="1" s="1"/>
  <c r="N83" i="1"/>
  <c r="N99" i="1" s="1"/>
  <c r="M83" i="1"/>
  <c r="M99" i="1" s="1"/>
  <c r="K83" i="1"/>
  <c r="K99" i="1" s="1"/>
  <c r="J83" i="1"/>
  <c r="J99" i="1" s="1"/>
  <c r="AM82" i="1"/>
  <c r="AM98" i="1" s="1"/>
  <c r="AL82" i="1"/>
  <c r="AL98" i="1" s="1"/>
  <c r="AK82" i="1"/>
  <c r="AK98" i="1" s="1"/>
  <c r="AJ82" i="1"/>
  <c r="AJ98" i="1" s="1"/>
  <c r="AI82" i="1"/>
  <c r="AI98" i="1" s="1"/>
  <c r="AH82" i="1"/>
  <c r="AH98" i="1" s="1"/>
  <c r="AG82" i="1"/>
  <c r="AG98" i="1" s="1"/>
  <c r="AF82" i="1"/>
  <c r="AF98" i="1" s="1"/>
  <c r="AE82" i="1"/>
  <c r="AE98" i="1" s="1"/>
  <c r="AD82" i="1"/>
  <c r="AD98" i="1" s="1"/>
  <c r="AC82" i="1"/>
  <c r="AC98" i="1" s="1"/>
  <c r="AB82" i="1"/>
  <c r="AB98" i="1" s="1"/>
  <c r="AA82" i="1"/>
  <c r="AA98" i="1" s="1"/>
  <c r="Z82" i="1"/>
  <c r="Z98" i="1" s="1"/>
  <c r="Y82" i="1"/>
  <c r="Y98" i="1" s="1"/>
  <c r="X82" i="1"/>
  <c r="X98" i="1" s="1"/>
  <c r="W82" i="1"/>
  <c r="W98" i="1" s="1"/>
  <c r="V82" i="1"/>
  <c r="V98" i="1" s="1"/>
  <c r="U82" i="1"/>
  <c r="U98" i="1" s="1"/>
  <c r="T82" i="1"/>
  <c r="T98" i="1" s="1"/>
  <c r="S82" i="1"/>
  <c r="S98" i="1" s="1"/>
  <c r="R82" i="1"/>
  <c r="R98" i="1" s="1"/>
  <c r="Q82" i="1"/>
  <c r="Q98" i="1" s="1"/>
  <c r="P82" i="1"/>
  <c r="P98" i="1" s="1"/>
  <c r="O82" i="1"/>
  <c r="O98" i="1" s="1"/>
  <c r="N82" i="1"/>
  <c r="N98" i="1" s="1"/>
  <c r="M82" i="1"/>
  <c r="M98" i="1" s="1"/>
  <c r="L82" i="1"/>
  <c r="L98" i="1" s="1"/>
  <c r="K82" i="1"/>
  <c r="K98" i="1" s="1"/>
  <c r="J82" i="1"/>
  <c r="J98" i="1" s="1"/>
  <c r="AP80" i="1"/>
  <c r="AP83" i="1" s="1"/>
  <c r="AP79" i="1"/>
  <c r="AP82" i="1" s="1"/>
  <c r="AP77" i="1"/>
  <c r="AM75" i="1"/>
  <c r="AM76" i="1" s="1"/>
  <c r="AL75" i="1"/>
  <c r="AL76" i="1" s="1"/>
  <c r="AK75" i="1"/>
  <c r="AK76" i="1" s="1"/>
  <c r="AJ75" i="1"/>
  <c r="AJ76" i="1" s="1"/>
  <c r="AI75" i="1"/>
  <c r="AI76" i="1" s="1"/>
  <c r="AH75" i="1"/>
  <c r="AH76" i="1" s="1"/>
  <c r="AG75" i="1"/>
  <c r="AG76" i="1" s="1"/>
  <c r="AF75" i="1"/>
  <c r="AF76" i="1" s="1"/>
  <c r="AE75" i="1"/>
  <c r="AE76" i="1" s="1"/>
  <c r="AD75" i="1"/>
  <c r="AD76" i="1" s="1"/>
  <c r="AC75" i="1"/>
  <c r="AC76" i="1" s="1"/>
  <c r="AB75" i="1"/>
  <c r="AB76" i="1" s="1"/>
  <c r="AA75" i="1"/>
  <c r="AA76" i="1" s="1"/>
  <c r="Z75" i="1"/>
  <c r="Z76" i="1" s="1"/>
  <c r="Y75" i="1"/>
  <c r="Y76" i="1" s="1"/>
  <c r="X75" i="1"/>
  <c r="X76" i="1" s="1"/>
  <c r="W75" i="1"/>
  <c r="W76" i="1" s="1"/>
  <c r="V75" i="1"/>
  <c r="V76" i="1" s="1"/>
  <c r="U75" i="1"/>
  <c r="U76" i="1" s="1"/>
  <c r="T75" i="1"/>
  <c r="T76" i="1" s="1"/>
  <c r="S75" i="1"/>
  <c r="S76" i="1" s="1"/>
  <c r="R75" i="1"/>
  <c r="R76" i="1" s="1"/>
  <c r="Q75" i="1"/>
  <c r="Q76" i="1" s="1"/>
  <c r="P75" i="1"/>
  <c r="P76" i="1" s="1"/>
  <c r="O75" i="1"/>
  <c r="O76" i="1" s="1"/>
  <c r="N75" i="1"/>
  <c r="N76" i="1" s="1"/>
  <c r="M75" i="1"/>
  <c r="L75" i="1"/>
  <c r="L76" i="1" s="1"/>
  <c r="K75" i="1"/>
  <c r="K76" i="1" s="1"/>
  <c r="J75" i="1"/>
  <c r="J76" i="1" s="1"/>
  <c r="AP74" i="1"/>
  <c r="AP73" i="1"/>
  <c r="PW72" i="1"/>
  <c r="GV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P70" i="1"/>
  <c r="AM69" i="1"/>
  <c r="AL69" i="1"/>
  <c r="AK69" i="1"/>
  <c r="AI69" i="1"/>
  <c r="AH69" i="1"/>
  <c r="AG69" i="1"/>
  <c r="AF69" i="1"/>
  <c r="AE69" i="1"/>
  <c r="AB69" i="1"/>
  <c r="Z69" i="1"/>
  <c r="Y69" i="1"/>
  <c r="X69" i="1"/>
  <c r="W69" i="1"/>
  <c r="V69" i="1"/>
  <c r="P69" i="1"/>
  <c r="O69" i="1"/>
  <c r="N69" i="1"/>
  <c r="M69" i="1"/>
  <c r="L69" i="1"/>
  <c r="K69" i="1"/>
  <c r="J69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GV68" i="1" s="1"/>
  <c r="P68" i="1"/>
  <c r="O68" i="1"/>
  <c r="N68" i="1"/>
  <c r="M68" i="1"/>
  <c r="L68" i="1"/>
  <c r="K68" i="1"/>
  <c r="J68" i="1"/>
  <c r="AP67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P65" i="1"/>
  <c r="AM64" i="1"/>
  <c r="AL64" i="1"/>
  <c r="AK64" i="1"/>
  <c r="AJ64" i="1"/>
  <c r="AI64" i="1"/>
  <c r="AH64" i="1"/>
  <c r="AG64" i="1"/>
  <c r="AF64" i="1"/>
  <c r="AE64" i="1"/>
  <c r="AQ64" i="1" s="1"/>
  <c r="AD64" i="1"/>
  <c r="AC64" i="1"/>
  <c r="AB64" i="1"/>
  <c r="AA64" i="1"/>
  <c r="Z64" i="1"/>
  <c r="Y64" i="1"/>
  <c r="X64" i="1"/>
  <c r="W64" i="1"/>
  <c r="V64" i="1"/>
  <c r="GV64" i="1" s="1"/>
  <c r="U64" i="1"/>
  <c r="T64" i="1"/>
  <c r="P64" i="1"/>
  <c r="O64" i="1"/>
  <c r="N64" i="1"/>
  <c r="M64" i="1"/>
  <c r="L64" i="1"/>
  <c r="K64" i="1"/>
  <c r="J64" i="1"/>
  <c r="AP63" i="1"/>
  <c r="PZ61" i="1"/>
  <c r="PZ60" i="1" s="1"/>
  <c r="PZ62" i="1" s="1"/>
  <c r="PZ65" i="1" s="1"/>
  <c r="GV61" i="1"/>
  <c r="AM58" i="1"/>
  <c r="AL58" i="1"/>
  <c r="AK58" i="1"/>
  <c r="AJ58" i="1"/>
  <c r="AI58" i="1"/>
  <c r="AH58" i="1"/>
  <c r="AH57" i="1"/>
  <c r="AF57" i="1"/>
  <c r="AH56" i="1"/>
  <c r="PX55" i="1"/>
  <c r="PZ55" i="1" s="1"/>
  <c r="AM55" i="1"/>
  <c r="AL55" i="1"/>
  <c r="AK55" i="1"/>
  <c r="AJ55" i="1"/>
  <c r="AI55" i="1"/>
  <c r="AH55" i="1"/>
  <c r="AG55" i="1"/>
  <c r="AF55" i="1"/>
  <c r="AE55" i="1"/>
  <c r="AB55" i="1"/>
  <c r="Z55" i="1"/>
  <c r="Y55" i="1"/>
  <c r="X55" i="1"/>
  <c r="W55" i="1"/>
  <c r="V55" i="1"/>
  <c r="P55" i="1"/>
  <c r="O55" i="1"/>
  <c r="N55" i="1"/>
  <c r="M55" i="1"/>
  <c r="L55" i="1"/>
  <c r="K55" i="1"/>
  <c r="J55" i="1"/>
  <c r="PZ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O54" i="1"/>
  <c r="N54" i="1"/>
  <c r="M54" i="1"/>
  <c r="L54" i="1"/>
  <c r="K54" i="1"/>
  <c r="J54" i="1"/>
  <c r="EO52" i="1"/>
  <c r="CD52" i="1"/>
  <c r="AP52" i="1"/>
  <c r="CD51" i="1"/>
  <c r="AP51" i="1"/>
  <c r="AM49" i="1"/>
  <c r="AM61" i="1" s="1"/>
  <c r="AL49" i="1"/>
  <c r="AL61" i="1" s="1"/>
  <c r="AK49" i="1"/>
  <c r="AK61" i="1" s="1"/>
  <c r="AJ49" i="1"/>
  <c r="AI49" i="1"/>
  <c r="AI61" i="1" s="1"/>
  <c r="AH49" i="1"/>
  <c r="AH61" i="1" s="1"/>
  <c r="AG49" i="1"/>
  <c r="AG60" i="1" s="1"/>
  <c r="AF49" i="1"/>
  <c r="AE49" i="1"/>
  <c r="AE61" i="1" s="1"/>
  <c r="AD49" i="1"/>
  <c r="AD61" i="1" s="1"/>
  <c r="AC49" i="1"/>
  <c r="AC60" i="1" s="1"/>
  <c r="AB49" i="1"/>
  <c r="AA49" i="1"/>
  <c r="AA61" i="1" s="1"/>
  <c r="Z49" i="1"/>
  <c r="Z61" i="1" s="1"/>
  <c r="Y49" i="1"/>
  <c r="Y60" i="1" s="1"/>
  <c r="X49" i="1"/>
  <c r="W49" i="1"/>
  <c r="W61" i="1" s="1"/>
  <c r="V49" i="1"/>
  <c r="V61" i="1" s="1"/>
  <c r="U49" i="1"/>
  <c r="U60" i="1" s="1"/>
  <c r="T49" i="1"/>
  <c r="S49" i="1"/>
  <c r="S61" i="1" s="1"/>
  <c r="R49" i="1"/>
  <c r="R61" i="1" s="1"/>
  <c r="Q49" i="1"/>
  <c r="Q60" i="1" s="1"/>
  <c r="P49" i="1"/>
  <c r="O49" i="1"/>
  <c r="O61" i="1" s="1"/>
  <c r="N49" i="1"/>
  <c r="N61" i="1" s="1"/>
  <c r="M49" i="1"/>
  <c r="M60" i="1" s="1"/>
  <c r="L49" i="1"/>
  <c r="K49" i="1"/>
  <c r="K61" i="1" s="1"/>
  <c r="J49" i="1"/>
  <c r="J61" i="1" s="1"/>
  <c r="H49" i="1"/>
  <c r="AP48" i="1"/>
  <c r="AP46" i="1"/>
  <c r="AP45" i="1"/>
  <c r="AM44" i="1"/>
  <c r="AL44" i="1"/>
  <c r="AK44" i="1"/>
  <c r="AJ44" i="1"/>
  <c r="AI44" i="1"/>
  <c r="AH44" i="1"/>
  <c r="AG44" i="1"/>
  <c r="AF44" i="1"/>
  <c r="AE44" i="1"/>
  <c r="AE59" i="1" s="1"/>
  <c r="AD44" i="1"/>
  <c r="AD59" i="1" s="1"/>
  <c r="AC44" i="1"/>
  <c r="AB44" i="1"/>
  <c r="AA44" i="1"/>
  <c r="AA59" i="1" s="1"/>
  <c r="Z44" i="1"/>
  <c r="Z59" i="1" s="1"/>
  <c r="Y44" i="1"/>
  <c r="X44" i="1"/>
  <c r="W44" i="1"/>
  <c r="W58" i="1" s="1"/>
  <c r="V44" i="1"/>
  <c r="V58" i="1" s="1"/>
  <c r="U44" i="1"/>
  <c r="T44" i="1"/>
  <c r="S44" i="1"/>
  <c r="S59" i="1" s="1"/>
  <c r="R44" i="1"/>
  <c r="R59" i="1" s="1"/>
  <c r="Q44" i="1"/>
  <c r="O44" i="1"/>
  <c r="O59" i="1" s="1"/>
  <c r="N44" i="1"/>
  <c r="N58" i="1" s="1"/>
  <c r="M44" i="1"/>
  <c r="L44" i="1"/>
  <c r="K44" i="1"/>
  <c r="K59" i="1" s="1"/>
  <c r="J44" i="1"/>
  <c r="J59" i="1" s="1"/>
  <c r="H44" i="1"/>
  <c r="EQ43" i="1"/>
  <c r="EP43" i="1"/>
  <c r="EO43" i="1"/>
  <c r="AP43" i="1"/>
  <c r="QN42" i="1"/>
  <c r="EQ42" i="1"/>
  <c r="EP42" i="1"/>
  <c r="EO42" i="1"/>
  <c r="QN41" i="1"/>
  <c r="CD41" i="1"/>
  <c r="AS41" i="1"/>
  <c r="AP41" i="1"/>
  <c r="AKD34" i="1" s="1"/>
  <c r="AKE34" i="1" s="1"/>
  <c r="AFO40" i="1"/>
  <c r="QN40" i="1"/>
  <c r="PW40" i="1"/>
  <c r="PW42" i="1" s="1"/>
  <c r="CD40" i="1"/>
  <c r="AS40" i="1"/>
  <c r="AP40" i="1"/>
  <c r="AFO39" i="1"/>
  <c r="AI56" i="1"/>
  <c r="AA56" i="1"/>
  <c r="Z56" i="1"/>
  <c r="S56" i="1"/>
  <c r="R56" i="1"/>
  <c r="Q56" i="1"/>
  <c r="P39" i="1"/>
  <c r="O39" i="1"/>
  <c r="O56" i="1" s="1"/>
  <c r="N39" i="1"/>
  <c r="N57" i="1" s="1"/>
  <c r="M39" i="1"/>
  <c r="L39" i="1"/>
  <c r="K39" i="1"/>
  <c r="K56" i="1" s="1"/>
  <c r="J39" i="1"/>
  <c r="J56" i="1" s="1"/>
  <c r="H39" i="1"/>
  <c r="AFO37" i="1"/>
  <c r="AFZ37" i="1" s="1"/>
  <c r="QN37" i="1"/>
  <c r="CD37" i="1"/>
  <c r="AD55" i="1"/>
  <c r="AC55" i="1"/>
  <c r="AA69" i="1"/>
  <c r="U69" i="1"/>
  <c r="T69" i="1"/>
  <c r="H37" i="1"/>
  <c r="AFO36" i="1"/>
  <c r="AFZ36" i="1" s="1"/>
  <c r="CD36" i="1"/>
  <c r="H36" i="1"/>
  <c r="AID34" i="1"/>
  <c r="PZ34" i="1"/>
  <c r="AP34" i="1"/>
  <c r="AID33" i="1"/>
  <c r="AID36" i="1" s="1"/>
  <c r="PZ33" i="1"/>
  <c r="EQ33" i="1"/>
  <c r="EP33" i="1"/>
  <c r="EO33" i="1"/>
  <c r="AZ33" i="1"/>
  <c r="BA33" i="1" s="1"/>
  <c r="AP33" i="1"/>
  <c r="AZ32" i="1"/>
  <c r="BA32" i="1" s="1"/>
  <c r="AP32" i="1"/>
  <c r="AP31" i="1"/>
  <c r="AFM30" i="1"/>
  <c r="AFM40" i="1" s="1"/>
  <c r="S55" i="1"/>
  <c r="R68" i="1"/>
  <c r="Q64" i="1"/>
  <c r="AP29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P24" i="1"/>
  <c r="AP23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AP20" i="1"/>
  <c r="AP19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P16" i="1"/>
  <c r="AP15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AP12" i="1"/>
  <c r="AP11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AP8" i="1"/>
  <c r="AP7" i="1"/>
  <c r="AE57" i="1" l="1"/>
  <c r="R60" i="1"/>
  <c r="AU131" i="1"/>
  <c r="V60" i="1"/>
  <c r="AH60" i="1"/>
  <c r="BA34" i="1"/>
  <c r="BA37" i="1" s="1"/>
  <c r="BA39" i="1" s="1"/>
  <c r="U61" i="1"/>
  <c r="AP121" i="1"/>
  <c r="O58" i="1"/>
  <c r="AD58" i="1"/>
  <c r="AP69" i="1"/>
  <c r="AE58" i="1"/>
  <c r="W59" i="1"/>
  <c r="AP159" i="1"/>
  <c r="AN59" i="1"/>
  <c r="AH59" i="1"/>
  <c r="AN60" i="1"/>
  <c r="AID38" i="1"/>
  <c r="AID37" i="1"/>
  <c r="Z60" i="1"/>
  <c r="AC61" i="1"/>
  <c r="AP75" i="1"/>
  <c r="K58" i="1"/>
  <c r="AD60" i="1"/>
  <c r="AP9" i="1"/>
  <c r="AU40" i="1"/>
  <c r="AP39" i="1"/>
  <c r="AP179" i="1"/>
  <c r="AP180" i="1" s="1"/>
  <c r="AP84" i="1"/>
  <c r="AP137" i="1"/>
  <c r="S58" i="1"/>
  <c r="AL59" i="1"/>
  <c r="AL60" i="1"/>
  <c r="AP136" i="1"/>
  <c r="AP194" i="1"/>
  <c r="AP199" i="1"/>
  <c r="AP128" i="1"/>
  <c r="AR76" i="1" s="1"/>
  <c r="GV76" i="1" s="1"/>
  <c r="PX76" i="1" s="1"/>
  <c r="QN44" i="1"/>
  <c r="QA38" i="1" s="1"/>
  <c r="QN38" i="1" s="1"/>
  <c r="AP21" i="1"/>
  <c r="J60" i="1"/>
  <c r="AR147" i="1"/>
  <c r="AP17" i="1"/>
  <c r="AA58" i="1"/>
  <c r="N60" i="1"/>
  <c r="AP85" i="1"/>
  <c r="AP170" i="1"/>
  <c r="AG56" i="1"/>
  <c r="AS39" i="1"/>
  <c r="AT40" i="1" s="1"/>
  <c r="AKD33" i="1"/>
  <c r="AKE33" i="1" s="1"/>
  <c r="AP103" i="1"/>
  <c r="AN56" i="1"/>
  <c r="AP95" i="1"/>
  <c r="AP96" i="1"/>
  <c r="AP172" i="1"/>
  <c r="AP149" i="1"/>
  <c r="AP158" i="1"/>
  <c r="AP169" i="1"/>
  <c r="AP186" i="1"/>
  <c r="AP187" i="1" s="1"/>
  <c r="AP26" i="1"/>
  <c r="AR26" i="1" s="1"/>
  <c r="AP13" i="1"/>
  <c r="AA55" i="1"/>
  <c r="N56" i="1"/>
  <c r="V56" i="1"/>
  <c r="AD56" i="1"/>
  <c r="O57" i="1"/>
  <c r="W57" i="1"/>
  <c r="AI57" i="1"/>
  <c r="J58" i="1"/>
  <c r="R58" i="1"/>
  <c r="Z58" i="1"/>
  <c r="AI59" i="1"/>
  <c r="K60" i="1"/>
  <c r="S60" i="1"/>
  <c r="AA60" i="1"/>
  <c r="AI60" i="1"/>
  <c r="AP66" i="1"/>
  <c r="AR66" i="1" s="1"/>
  <c r="Q69" i="1"/>
  <c r="S68" i="1"/>
  <c r="S69" i="1"/>
  <c r="S64" i="1"/>
  <c r="M57" i="1"/>
  <c r="M56" i="1"/>
  <c r="U57" i="1"/>
  <c r="U56" i="1"/>
  <c r="AC57" i="1"/>
  <c r="AC56" i="1"/>
  <c r="AK57" i="1"/>
  <c r="AK56" i="1"/>
  <c r="AFM39" i="1"/>
  <c r="PZ32" i="1"/>
  <c r="QA34" i="1" s="1"/>
  <c r="AR198" i="1"/>
  <c r="AR189" i="1"/>
  <c r="AR182" i="1"/>
  <c r="AR183" i="1" s="1"/>
  <c r="AR184" i="1" s="1"/>
  <c r="AR176" i="1"/>
  <c r="L59" i="1"/>
  <c r="L58" i="1"/>
  <c r="P59" i="1"/>
  <c r="P58" i="1"/>
  <c r="T59" i="1"/>
  <c r="T58" i="1"/>
  <c r="X59" i="1"/>
  <c r="X58" i="1"/>
  <c r="AB59" i="1"/>
  <c r="AB58" i="1"/>
  <c r="AF59" i="1"/>
  <c r="AF58" i="1"/>
  <c r="Q54" i="1"/>
  <c r="T55" i="1"/>
  <c r="J57" i="1"/>
  <c r="R57" i="1"/>
  <c r="Z57" i="1"/>
  <c r="AL57" i="1"/>
  <c r="N59" i="1"/>
  <c r="V59" i="1"/>
  <c r="M61" i="1"/>
  <c r="Q68" i="1"/>
  <c r="R69" i="1"/>
  <c r="AC69" i="1"/>
  <c r="AP25" i="1"/>
  <c r="Y57" i="1"/>
  <c r="Y56" i="1"/>
  <c r="L57" i="1"/>
  <c r="L56" i="1"/>
  <c r="P57" i="1"/>
  <c r="P56" i="1"/>
  <c r="T57" i="1"/>
  <c r="T56" i="1"/>
  <c r="X57" i="1"/>
  <c r="X56" i="1"/>
  <c r="AB57" i="1"/>
  <c r="AB56" i="1"/>
  <c r="AJ57" i="1"/>
  <c r="AJ56" i="1"/>
  <c r="Q57" i="1"/>
  <c r="AU41" i="1"/>
  <c r="M59" i="1"/>
  <c r="M58" i="1"/>
  <c r="Q59" i="1"/>
  <c r="Q58" i="1"/>
  <c r="U59" i="1"/>
  <c r="U58" i="1"/>
  <c r="Y59" i="1"/>
  <c r="Y58" i="1"/>
  <c r="AC59" i="1"/>
  <c r="AC58" i="1"/>
  <c r="AG59" i="1"/>
  <c r="AG58" i="1"/>
  <c r="AP44" i="1"/>
  <c r="AP59" i="1" s="1"/>
  <c r="L61" i="1"/>
  <c r="L60" i="1"/>
  <c r="P61" i="1"/>
  <c r="P60" i="1"/>
  <c r="T61" i="1"/>
  <c r="T60" i="1"/>
  <c r="X61" i="1"/>
  <c r="X60" i="1"/>
  <c r="AB61" i="1"/>
  <c r="AB60" i="1"/>
  <c r="AF61" i="1"/>
  <c r="AF60" i="1"/>
  <c r="AJ61" i="1"/>
  <c r="AJ60" i="1"/>
  <c r="AJ59" i="1"/>
  <c r="R54" i="1"/>
  <c r="Q55" i="1"/>
  <c r="U55" i="1"/>
  <c r="K57" i="1"/>
  <c r="S57" i="1"/>
  <c r="AA57" i="1"/>
  <c r="AM57" i="1"/>
  <c r="AM59" i="1"/>
  <c r="O60" i="1"/>
  <c r="W60" i="1"/>
  <c r="AE60" i="1"/>
  <c r="AM60" i="1"/>
  <c r="AD69" i="1"/>
  <c r="AP71" i="1"/>
  <c r="AK60" i="1"/>
  <c r="AK59" i="1"/>
  <c r="AP49" i="1"/>
  <c r="AP61" i="1" s="1"/>
  <c r="S54" i="1"/>
  <c r="R55" i="1"/>
  <c r="Q61" i="1"/>
  <c r="Y61" i="1"/>
  <c r="AG61" i="1"/>
  <c r="R64" i="1"/>
  <c r="PZ64" i="1"/>
  <c r="PZ66" i="1" s="1"/>
  <c r="PZ68" i="1" s="1"/>
  <c r="M76" i="1"/>
  <c r="AP76" i="1" s="1"/>
  <c r="AP99" i="1"/>
  <c r="AP111" i="1"/>
  <c r="AP122" i="1"/>
  <c r="M129" i="1"/>
  <c r="AP129" i="1" s="1"/>
  <c r="AP127" i="1" s="1"/>
  <c r="AP124" i="1"/>
  <c r="AP102" i="1"/>
  <c r="AP101" i="1" s="1"/>
  <c r="AP110" i="1"/>
  <c r="AP125" i="1"/>
  <c r="AP173" i="1"/>
  <c r="AP98" i="1"/>
  <c r="J187" i="1"/>
  <c r="AP148" i="1"/>
  <c r="AP147" i="1" l="1"/>
  <c r="QA33" i="1"/>
  <c r="AT41" i="1"/>
  <c r="AP58" i="1"/>
  <c r="PX32" i="1"/>
  <c r="PX34" i="1" s="1"/>
  <c r="AU39" i="1"/>
  <c r="AV39" i="1" s="1"/>
  <c r="AP60" i="1"/>
  <c r="AP57" i="1"/>
  <c r="PW32" i="1"/>
  <c r="PW34" i="1" s="1"/>
  <c r="AR29" i="1"/>
  <c r="AKD29" i="1"/>
  <c r="AKE29" i="1" s="1"/>
  <c r="AR30" i="1"/>
  <c r="AT30" i="1" s="1"/>
  <c r="AP68" i="1"/>
  <c r="AR68" i="1" s="1"/>
  <c r="AR75" i="1"/>
  <c r="GV75" i="1" s="1"/>
  <c r="PX75" i="1" s="1"/>
  <c r="AP54" i="1"/>
  <c r="AP56" i="1"/>
  <c r="AP55" i="1"/>
  <c r="AKD30" i="1"/>
  <c r="AKE30" i="1" s="1"/>
  <c r="AP64" i="1"/>
  <c r="AR64" i="1" s="1"/>
  <c r="PW37" i="1" l="1"/>
  <c r="PW35" i="1"/>
  <c r="PX35" i="1"/>
  <c r="PX37" i="1"/>
  <c r="AR55" i="1"/>
</calcChain>
</file>

<file path=xl/sharedStrings.xml><?xml version="1.0" encoding="utf-8"?>
<sst xmlns="http://schemas.openxmlformats.org/spreadsheetml/2006/main" count="457" uniqueCount="165">
  <si>
    <t>PRODUCTION REPORT</t>
  </si>
  <si>
    <t>No</t>
  </si>
  <si>
    <t>ITEM</t>
  </si>
  <si>
    <t>Budget / Norma</t>
  </si>
  <si>
    <t>UoM</t>
  </si>
  <si>
    <t xml:space="preserve">AGUSTUS 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</si>
  <si>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</si>
  <si>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</si>
  <si>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</si>
  <si>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</si>
  <si>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</si>
  <si>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</si>
  <si>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</si>
  <si>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</si>
  <si>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Inc. CPO Piping Line -PKS Sei Mangkei</t>
  </si>
  <si>
    <t>Delivery (base on Sounding)</t>
  </si>
  <si>
    <t>Receiving (base on Sounding)</t>
  </si>
  <si>
    <t>Transfer (Loss)/Gain</t>
  </si>
  <si>
    <t>Inc. CPO Piping Line -Dryport</t>
  </si>
  <si>
    <t>Incoming CPO (Swasta) WB</t>
  </si>
  <si>
    <t>CPO Swasta</t>
  </si>
  <si>
    <t>Tahun 2022</t>
  </si>
  <si>
    <t>Inc. CPO Tolling UOI</t>
  </si>
  <si>
    <t>Total  Received</t>
  </si>
  <si>
    <t>Items</t>
  </si>
  <si>
    <t>Maret 2022</t>
  </si>
  <si>
    <t>PRODUCTION</t>
  </si>
  <si>
    <t>Production</t>
  </si>
  <si>
    <t>Refinery</t>
  </si>
  <si>
    <t>CPO Olah</t>
  </si>
  <si>
    <t>Sounding</t>
  </si>
  <si>
    <t>Diff</t>
  </si>
  <si>
    <t>Running Days</t>
  </si>
  <si>
    <t>Day</t>
  </si>
  <si>
    <t>Poram</t>
  </si>
  <si>
    <t>14 Juni</t>
  </si>
  <si>
    <t>15 Juni</t>
  </si>
  <si>
    <t>CPO</t>
  </si>
  <si>
    <t>CPO Consume</t>
  </si>
  <si>
    <t>box</t>
  </si>
  <si>
    <t>kg</t>
  </si>
  <si>
    <t xml:space="preserve">HP Boiler </t>
  </si>
  <si>
    <t>mmbtu</t>
  </si>
  <si>
    <t>RBDPO Olah</t>
  </si>
  <si>
    <t>PFAD</t>
  </si>
  <si>
    <t>COL Consume</t>
  </si>
  <si>
    <t>- FFA</t>
  </si>
  <si>
    <t>Salvaco 1L</t>
  </si>
  <si>
    <t>Steam Ref</t>
  </si>
  <si>
    <t>- Moist &amp; Impurities</t>
  </si>
  <si>
    <t xml:space="preserve">Salvaco 2L </t>
  </si>
  <si>
    <t>Kg/MT</t>
  </si>
  <si>
    <t>Olein IV 56</t>
  </si>
  <si>
    <t>- DOBI</t>
  </si>
  <si>
    <t>2,20 Min</t>
  </si>
  <si>
    <t>Stearin</t>
  </si>
  <si>
    <t>Product</t>
  </si>
  <si>
    <t>Product OIP</t>
  </si>
  <si>
    <t>Juni</t>
  </si>
  <si>
    <t>Sisa Product OIP</t>
  </si>
  <si>
    <t>RbdPO</t>
  </si>
  <si>
    <t>Tahun 2021</t>
  </si>
  <si>
    <t>actual</t>
  </si>
  <si>
    <t>Agustus</t>
  </si>
  <si>
    <t>Oktober</t>
  </si>
  <si>
    <t>Olein IV 58</t>
  </si>
  <si>
    <t>Fractionation OLEIN IV 56</t>
  </si>
  <si>
    <t>budget</t>
  </si>
  <si>
    <t>Olein IV 60</t>
  </si>
  <si>
    <t>RBDPO Consume</t>
  </si>
  <si>
    <t>CPO Feed - Sounding</t>
  </si>
  <si>
    <t>OLEIN IV 56</t>
  </si>
  <si>
    <t>INL 900 ml</t>
  </si>
  <si>
    <t>STEARIN</t>
  </si>
  <si>
    <t>Report Prod</t>
  </si>
  <si>
    <t>Fractionation OLEIN IV 58</t>
  </si>
  <si>
    <t>Salvaco 2L</t>
  </si>
  <si>
    <t>RBDPO Brand Consume</t>
  </si>
  <si>
    <t>OLEIN IV 58</t>
  </si>
  <si>
    <t>Fractionation OLEIN IV 60</t>
  </si>
  <si>
    <t>OLEIN IV 60 Bulk</t>
  </si>
  <si>
    <t>OLEIN IV 60 Salvaco</t>
  </si>
  <si>
    <t>SOFT STEARIN</t>
  </si>
  <si>
    <t>YIELD</t>
  </si>
  <si>
    <t>Yield</t>
  </si>
  <si>
    <t xml:space="preserve"> </t>
  </si>
  <si>
    <t xml:space="preserve">RBDPO </t>
  </si>
  <si>
    <t>MT CPO</t>
  </si>
  <si>
    <t>Soft Stearin</t>
  </si>
  <si>
    <t>MT RBDPO Brand</t>
  </si>
  <si>
    <t>CHEMICAL CONSUMABLE</t>
  </si>
  <si>
    <t>Chemical</t>
  </si>
  <si>
    <t>Bleaching Earth (BE) to Poram Spec</t>
  </si>
  <si>
    <t xml:space="preserve">Kg </t>
  </si>
  <si>
    <t>Total CPO Brand</t>
  </si>
  <si>
    <t>Bleaching Earth (BE) to Branded Spec</t>
  </si>
  <si>
    <t>Total BE Brand</t>
  </si>
  <si>
    <t>Kg/MT CPO</t>
  </si>
  <si>
    <t>Phosporic Acid (PA)</t>
  </si>
  <si>
    <t>Budget (Kg/MT)</t>
  </si>
  <si>
    <t>Over (Kg/MT)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</si>
  <si>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</si>
  <si>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</si>
  <si>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</si>
  <si>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</si>
  <si>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</si>
  <si>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</si>
  <si>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</si>
  <si>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Olein Filling to Packaging</t>
  </si>
  <si>
    <t>- finished product</t>
  </si>
  <si>
    <t>- sample</t>
  </si>
  <si>
    <t>- remelt, flushing, downgrade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</si>
  <si>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</si>
  <si>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</si>
  <si>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</si>
  <si>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</si>
  <si>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</si>
  <si>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</si>
  <si>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</si>
  <si>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</si>
  <si>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</si>
  <si>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</si>
  <si>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</si>
  <si>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</si>
  <si>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</si>
  <si>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</si>
  <si>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</si>
  <si>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PACKAGING (Brand INL Standing Pouch)</t>
  </si>
  <si>
    <t>Olein IV 58 Consume</t>
  </si>
  <si>
    <t xml:space="preserve">kg </t>
  </si>
  <si>
    <t>total</t>
  </si>
  <si>
    <t xml:space="preserve">INL SP 900 mL  </t>
  </si>
  <si>
    <t>INL SP 1,8 L</t>
  </si>
  <si>
    <t>PACKAGING (Brand INL Pillow Pack)</t>
  </si>
  <si>
    <t>Olein IV 58 Received</t>
  </si>
  <si>
    <t xml:space="preserve">INL 450 mL    </t>
  </si>
  <si>
    <t xml:space="preserve">INL 900 mL  </t>
  </si>
  <si>
    <t xml:space="preserve">INL 1800 mL </t>
  </si>
  <si>
    <t>GAS CONSUMPTION</t>
  </si>
  <si>
    <t>Gas</t>
  </si>
  <si>
    <t>Incoming *based on INL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</si>
  <si>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</si>
  <si>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</si>
  <si>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</si>
  <si>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</si>
  <si>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</si>
  <si>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</si>
  <si>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</si>
  <si>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</si>
  <si>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</si>
  <si>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</si>
  <si>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</si>
  <si>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</si>
  <si>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</si>
  <si>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</si>
  <si>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r>
      <t>m</t>
    </r>
    <r>
      <rPr>
        <vertAlign val="superscript"/>
        <sz val="11"/>
        <color theme="1"/>
        <rFont val="Arial"/>
        <family val="2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</si>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</sst>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(* #.##0_);_(* \(#.##0\);_(* &quot;-&quot;??_);_(@_)"/>
    <numFmt numFmtId="166" formatCode="_(* #,##0.00_);_(* \(#,##0.00\);_(* &quot;-&quot;??_);_(@_)"/>
    <numFmt numFmtId="167" formatCode="_(* #,##0_);_(* \(#,##0\);_(* &quot;-&quot;??_);_(@_)"/>
    <numFmt numFmtId="168" formatCode="0.00_);\(0.00\)"/>
    <numFmt numFmtId="169" formatCode="_-* #,##0_-;\-* #,##0_-;_-* &quot;-&quot;??_-;_-@_-"/>
    <numFmt numFmtId="170" formatCode="_(* #,##0.000_);_(* \(#,##0.000\);_(* &quot;-&quot;??.00_);_(@_)"/>
    <numFmt numFmtId="171" formatCode="_(* #,##0.00_);_(* \(#,##0.00\);_(* &quot;-&quot;??.0_);_(@_)"/>
    <numFmt numFmtId="172" formatCode="_(* #,##0.0_);_(* \(#,##0.0\);_(* &quot;-&quot;??.0_);_(@_)"/>
    <numFmt numFmtId="173" formatCode="_-* #,##0.0000_-;\-* #,##0.0000_-;_-* &quot;-&quot;_-;_-@_-"/>
    <numFmt numFmtId="174" formatCode="_(* #,##0.000_);_(* \(#,##0.000\);_(* &quot;-&quot;??_);_(@_)"/>
    <numFmt numFmtId="175" formatCode="0.000"/>
    <numFmt numFmtId="176" formatCode="_(* #,##0.0000_);_(* \(#,##0.0000\);_(* &quot;-&quot;??_);_(@_)"/>
    <numFmt numFmtId="177" formatCode="_-* #,##0.0000_-;\-* #,##0.0000_-;_-* &quot;-&quot;????_-;_-@_-"/>
    <numFmt numFmtId="178" formatCode="_-* #,##0.00000_-;\-* #,##0.00000_-;_-* &quot;-&quot;_-;_-@_-"/>
    <numFmt numFmtId="179" formatCode="_-* #,##0.0_-;\-* #,##0.0_-;_-* &quot;-&quot;_-;_-@_-"/>
    <numFmt numFmtId="180" formatCode="_(* #,##0.0000_);_(* \(#,##0.0000\);_(* &quot;-&quot;??.000_);_(@_)"/>
    <numFmt numFmtId="181" formatCode="_(* #,##0.0000_);_(* \(#,##0.0000\);_(* &quot;-&quot;??.0000_);_(@_)"/>
    <numFmt numFmtId="182" formatCode="_(* #,##0.0000_);_(* \(#,##0.0000\);_(* &quot;-&quot;??.00_);_(@_)"/>
    <numFmt numFmtId="183" formatCode="_(* #,###.0000_);_(* \(#,###.0000\);_(* &quot;-&quot;?,?00.00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b/>
      <sz val="11"/>
      <color theme="0"/>
      <name val="Arial"/>
      <family val="2"/>
    </font>
    <font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164" fontId="2" fillId="2" borderId="0" xfId="2" applyNumberFormat="1" applyFont="1" applyFill="1"/>
    <xf numFmtId="165" fontId="2" fillId="0" borderId="0" xfId="0" applyNumberFormat="1" applyFont="1"/>
    <xf numFmtId="167" fontId="2" fillId="0" borderId="0" xfId="1" applyNumberFormat="1" applyFont="1"/>
    <xf numFmtId="167" fontId="2" fillId="0" borderId="0" xfId="0" applyNumberFormat="1" applyFont="1"/>
    <xf numFmtId="0" fontId="4" fillId="0" borderId="4" xfId="0" applyFont="1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7" fontId="2" fillId="0" borderId="8" xfId="1" applyNumberFormat="1" applyFont="1" applyFill="1" applyBorder="1" applyAlignment="1">
      <alignment horizontal="right" vertical="center"/>
    </xf>
    <xf numFmtId="167" fontId="2" fillId="0" borderId="9" xfId="1" applyNumberFormat="1" applyFont="1" applyBorder="1"/>
    <xf numFmtId="0" fontId="2" fillId="0" borderId="5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6" fillId="0" borderId="5" xfId="1" applyFont="1" applyFill="1" applyBorder="1" applyAlignment="1">
      <alignment horizontal="right" vertical="center"/>
    </xf>
    <xf numFmtId="168" fontId="7" fillId="0" borderId="9" xfId="0" applyNumberFormat="1" applyFont="1" applyBorder="1"/>
    <xf numFmtId="0" fontId="4" fillId="5" borderId="8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43" fontId="6" fillId="0" borderId="8" xfId="1" applyFont="1" applyFill="1" applyBorder="1" applyAlignment="1">
      <alignment horizontal="right" vertical="center"/>
    </xf>
    <xf numFmtId="166" fontId="6" fillId="0" borderId="0" xfId="0" applyNumberFormat="1" applyFont="1"/>
    <xf numFmtId="166" fontId="6" fillId="0" borderId="9" xfId="0" applyNumberFormat="1" applyFont="1" applyBorder="1"/>
    <xf numFmtId="0" fontId="4" fillId="5" borderId="0" xfId="0" applyFont="1" applyFill="1"/>
    <xf numFmtId="167" fontId="2" fillId="2" borderId="0" xfId="0" applyNumberFormat="1" applyFont="1" applyFill="1"/>
    <xf numFmtId="0" fontId="4" fillId="0" borderId="6" xfId="0" applyFont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7" fontId="4" fillId="5" borderId="6" xfId="1" applyNumberFormat="1" applyFont="1" applyFill="1" applyBorder="1" applyAlignment="1">
      <alignment horizontal="right" vertical="center"/>
    </xf>
    <xf numFmtId="167" fontId="4" fillId="0" borderId="6" xfId="1" applyNumberFormat="1" applyFont="1" applyFill="1" applyBorder="1" applyAlignment="1">
      <alignment horizontal="right" vertical="center"/>
    </xf>
    <xf numFmtId="167" fontId="4" fillId="2" borderId="6" xfId="1" applyNumberFormat="1" applyFont="1" applyFill="1" applyBorder="1" applyAlignment="1">
      <alignment horizontal="right" vertical="center"/>
    </xf>
    <xf numFmtId="167" fontId="4" fillId="0" borderId="11" xfId="1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1" fontId="2" fillId="0" borderId="12" xfId="2" applyFont="1" applyBorder="1" applyAlignment="1">
      <alignment horizontal="center"/>
    </xf>
    <xf numFmtId="41" fontId="2" fillId="0" borderId="13" xfId="2" applyFont="1" applyBorder="1" applyAlignment="1">
      <alignment horizontal="center"/>
    </xf>
    <xf numFmtId="41" fontId="2" fillId="0" borderId="14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7" fontId="2" fillId="5" borderId="1" xfId="1" applyNumberFormat="1" applyFont="1" applyFill="1" applyBorder="1"/>
    <xf numFmtId="167" fontId="2" fillId="5" borderId="1" xfId="1" applyNumberFormat="1" applyFont="1" applyFill="1" applyBorder="1" applyAlignment="1">
      <alignment horizontal="right" vertical="center"/>
    </xf>
    <xf numFmtId="0" fontId="4" fillId="5" borderId="9" xfId="0" quotePrefix="1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1" fontId="2" fillId="0" borderId="15" xfId="2" applyFont="1" applyBorder="1"/>
    <xf numFmtId="41" fontId="2" fillId="0" borderId="16" xfId="2" applyFont="1" applyBorder="1"/>
    <xf numFmtId="41" fontId="2" fillId="0" borderId="17" xfId="2" applyFont="1" applyBorder="1"/>
    <xf numFmtId="0" fontId="4" fillId="0" borderId="8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167" fontId="2" fillId="0" borderId="1" xfId="1" applyNumberFormat="1" applyFont="1" applyFill="1" applyBorder="1"/>
    <xf numFmtId="43" fontId="2" fillId="0" borderId="1" xfId="1" applyFont="1" applyFill="1" applyBorder="1"/>
    <xf numFmtId="167" fontId="4" fillId="0" borderId="1" xfId="1" applyNumberFormat="1" applyFont="1" applyFill="1" applyBorder="1"/>
    <xf numFmtId="167" fontId="4" fillId="2" borderId="1" xfId="1" applyNumberFormat="1" applyFont="1" applyFill="1" applyBorder="1"/>
    <xf numFmtId="0" fontId="9" fillId="0" borderId="9" xfId="0" applyFont="1" applyBorder="1"/>
    <xf numFmtId="0" fontId="4" fillId="0" borderId="18" xfId="0" applyFont="1" applyBorder="1"/>
    <xf numFmtId="0" fontId="2" fillId="0" borderId="0" xfId="0" applyFont="1" applyAlignment="1">
      <alignment horizontal="center"/>
    </xf>
    <xf numFmtId="41" fontId="2" fillId="0" borderId="18" xfId="2" applyFont="1" applyBorder="1"/>
    <xf numFmtId="41" fontId="2" fillId="0" borderId="0" xfId="2" applyFont="1" applyBorder="1"/>
    <xf numFmtId="41" fontId="2" fillId="0" borderId="19" xfId="2" applyFont="1" applyBorder="1"/>
    <xf numFmtId="0" fontId="4" fillId="0" borderId="0" xfId="0" applyFont="1" applyAlignment="1">
      <alignment horizontal="center"/>
    </xf>
    <xf numFmtId="167" fontId="2" fillId="0" borderId="8" xfId="1" applyNumberFormat="1" applyFont="1" applyFill="1" applyBorder="1"/>
    <xf numFmtId="167" fontId="2" fillId="0" borderId="9" xfId="0" applyNumberFormat="1" applyFont="1" applyBorder="1"/>
    <xf numFmtId="167" fontId="2" fillId="0" borderId="0" xfId="1" applyNumberFormat="1" applyFont="1" applyAlignment="1">
      <alignment horizontal="center"/>
    </xf>
    <xf numFmtId="41" fontId="2" fillId="0" borderId="0" xfId="2" applyFont="1"/>
    <xf numFmtId="0" fontId="4" fillId="0" borderId="0" xfId="0" applyFont="1"/>
    <xf numFmtId="41" fontId="2" fillId="0" borderId="0" xfId="0" applyNumberFormat="1" applyFont="1"/>
    <xf numFmtId="0" fontId="2" fillId="6" borderId="8" xfId="0" applyFont="1" applyFill="1" applyBorder="1"/>
    <xf numFmtId="167" fontId="2" fillId="4" borderId="8" xfId="1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7" fontId="2" fillId="6" borderId="8" xfId="1" applyNumberFormat="1" applyFont="1" applyFill="1" applyBorder="1"/>
    <xf numFmtId="167" fontId="2" fillId="5" borderId="8" xfId="1" applyNumberFormat="1" applyFont="1" applyFill="1" applyBorder="1"/>
    <xf numFmtId="0" fontId="10" fillId="0" borderId="0" xfId="0" applyFont="1"/>
    <xf numFmtId="167" fontId="2" fillId="0" borderId="0" xfId="1" applyNumberFormat="1" applyFont="1" applyFill="1"/>
    <xf numFmtId="41" fontId="2" fillId="0" borderId="0" xfId="2" applyFont="1" applyFill="1"/>
    <xf numFmtId="0" fontId="11" fillId="0" borderId="18" xfId="0" applyFont="1" applyBorder="1"/>
    <xf numFmtId="0" fontId="12" fillId="0" borderId="0" xfId="0" applyFont="1" applyAlignment="1">
      <alignment horizontal="center"/>
    </xf>
    <xf numFmtId="164" fontId="12" fillId="0" borderId="18" xfId="2" applyNumberFormat="1" applyFont="1" applyBorder="1"/>
    <xf numFmtId="164" fontId="12" fillId="0" borderId="0" xfId="2" applyNumberFormat="1" applyFont="1" applyBorder="1"/>
    <xf numFmtId="164" fontId="12" fillId="0" borderId="19" xfId="2" applyNumberFormat="1" applyFont="1" applyBorder="1"/>
    <xf numFmtId="164" fontId="2" fillId="0" borderId="0" xfId="2" applyNumberFormat="1" applyFont="1" applyFill="1"/>
    <xf numFmtId="41" fontId="2" fillId="0" borderId="18" xfId="2" applyFont="1" applyFill="1" applyBorder="1"/>
    <xf numFmtId="41" fontId="2" fillId="0" borderId="0" xfId="2" applyFont="1" applyFill="1" applyBorder="1"/>
    <xf numFmtId="41" fontId="2" fillId="0" borderId="19" xfId="2" applyFont="1" applyFill="1" applyBorder="1"/>
    <xf numFmtId="0" fontId="11" fillId="0" borderId="8" xfId="0" applyFont="1" applyBorder="1" applyAlignment="1">
      <alignment horizontal="center"/>
    </xf>
    <xf numFmtId="0" fontId="12" fillId="0" borderId="8" xfId="0" quotePrefix="1" applyFont="1" applyBorder="1"/>
    <xf numFmtId="43" fontId="12" fillId="4" borderId="8" xfId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2" fillId="0" borderId="8" xfId="2" applyNumberFormat="1" applyFont="1" applyFill="1" applyBorder="1"/>
    <xf numFmtId="166" fontId="2" fillId="0" borderId="9" xfId="0" applyNumberFormat="1" applyFont="1" applyBorder="1"/>
    <xf numFmtId="41" fontId="12" fillId="0" borderId="0" xfId="2" applyFont="1"/>
    <xf numFmtId="167" fontId="12" fillId="0" borderId="0" xfId="1" applyNumberFormat="1" applyFont="1"/>
    <xf numFmtId="41" fontId="2" fillId="5" borderId="0" xfId="2" applyFont="1" applyFill="1"/>
    <xf numFmtId="41" fontId="2" fillId="2" borderId="0" xfId="2" applyFont="1" applyFill="1"/>
    <xf numFmtId="41" fontId="11" fillId="2" borderId="0" xfId="2" applyFont="1" applyFill="1"/>
    <xf numFmtId="164" fontId="12" fillId="0" borderId="0" xfId="2" applyNumberFormat="1" applyFont="1"/>
    <xf numFmtId="0" fontId="11" fillId="0" borderId="0" xfId="0" applyFont="1"/>
    <xf numFmtId="0" fontId="2" fillId="0" borderId="8" xfId="0" quotePrefix="1" applyFont="1" applyBorder="1"/>
    <xf numFmtId="43" fontId="2" fillId="4" borderId="8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164" fontId="13" fillId="0" borderId="15" xfId="2" applyNumberFormat="1" applyFont="1" applyFill="1" applyBorder="1"/>
    <xf numFmtId="164" fontId="13" fillId="0" borderId="16" xfId="2" applyNumberFormat="1" applyFont="1" applyFill="1" applyBorder="1"/>
    <xf numFmtId="164" fontId="13" fillId="0" borderId="17" xfId="2" applyNumberFormat="1" applyFont="1" applyFill="1" applyBorder="1"/>
    <xf numFmtId="10" fontId="2" fillId="0" borderId="0" xfId="0" applyNumberFormat="1" applyFont="1"/>
    <xf numFmtId="43" fontId="2" fillId="4" borderId="8" xfId="1" applyFont="1" applyFill="1" applyBorder="1" applyAlignment="1">
      <alignment horizontal="right"/>
    </xf>
    <xf numFmtId="164" fontId="12" fillId="0" borderId="8" xfId="2" applyNumberFormat="1" applyFont="1" applyFill="1" applyBorder="1"/>
    <xf numFmtId="164" fontId="4" fillId="2" borderId="0" xfId="0" applyNumberFormat="1" applyFont="1" applyFill="1"/>
    <xf numFmtId="9" fontId="2" fillId="0" borderId="0" xfId="0" applyNumberFormat="1" applyFont="1"/>
    <xf numFmtId="0" fontId="9" fillId="2" borderId="8" xfId="0" applyFont="1" applyFill="1" applyBorder="1"/>
    <xf numFmtId="0" fontId="2" fillId="4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2" borderId="0" xfId="0" applyFont="1" applyFill="1"/>
    <xf numFmtId="167" fontId="5" fillId="0" borderId="9" xfId="0" applyNumberFormat="1" applyFont="1" applyBorder="1"/>
    <xf numFmtId="43" fontId="2" fillId="2" borderId="0" xfId="0" applyNumberFormat="1" applyFont="1" applyFill="1"/>
    <xf numFmtId="43" fontId="2" fillId="0" borderId="0" xfId="0" applyNumberFormat="1" applyFont="1"/>
    <xf numFmtId="0" fontId="2" fillId="6" borderId="8" xfId="0" quotePrefix="1" applyFont="1" applyFill="1" applyBorder="1"/>
    <xf numFmtId="0" fontId="2" fillId="6" borderId="8" xfId="0" quotePrefix="1" applyFont="1" applyFill="1" applyBorder="1" applyAlignment="1">
      <alignment horizontal="center"/>
    </xf>
    <xf numFmtId="164" fontId="2" fillId="0" borderId="0" xfId="2" applyNumberFormat="1" applyFont="1"/>
    <xf numFmtId="41" fontId="4" fillId="5" borderId="0" xfId="0" applyNumberFormat="1" applyFont="1" applyFill="1"/>
    <xf numFmtId="0" fontId="2" fillId="0" borderId="14" xfId="0" applyFont="1" applyBorder="1" applyAlignment="1">
      <alignment horizontal="center" vertical="center"/>
    </xf>
    <xf numFmtId="41" fontId="2" fillId="0" borderId="12" xfId="2" applyFont="1" applyBorder="1" applyAlignment="1"/>
    <xf numFmtId="41" fontId="2" fillId="0" borderId="0" xfId="2" applyFont="1" applyAlignment="1">
      <alignment horizontal="center"/>
    </xf>
    <xf numFmtId="169" fontId="2" fillId="5" borderId="0" xfId="0" applyNumberFormat="1" applyFont="1" applyFill="1"/>
    <xf numFmtId="0" fontId="8" fillId="0" borderId="1" xfId="0" applyFont="1" applyBorder="1"/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7" fontId="9" fillId="0" borderId="10" xfId="0" applyNumberFormat="1" applyFont="1" applyBorder="1"/>
    <xf numFmtId="0" fontId="2" fillId="0" borderId="17" xfId="0" applyFont="1" applyBorder="1" applyAlignment="1">
      <alignment horizontal="center" vertical="center"/>
    </xf>
    <xf numFmtId="164" fontId="2" fillId="5" borderId="0" xfId="2" applyNumberFormat="1" applyFont="1" applyFill="1"/>
    <xf numFmtId="41" fontId="2" fillId="4" borderId="8" xfId="2" applyFont="1" applyFill="1" applyBorder="1" applyAlignment="1">
      <alignment horizontal="center"/>
    </xf>
    <xf numFmtId="164" fontId="2" fillId="0" borderId="0" xfId="2" applyNumberFormat="1" applyFont="1" applyBorder="1"/>
    <xf numFmtId="41" fontId="2" fillId="0" borderId="0" xfId="2" applyFont="1" applyAlignment="1">
      <alignment horizontal="left"/>
    </xf>
    <xf numFmtId="41" fontId="14" fillId="4" borderId="1" xfId="2" applyFont="1" applyFill="1" applyBorder="1" applyAlignment="1">
      <alignment horizontal="center"/>
    </xf>
    <xf numFmtId="165" fontId="2" fillId="0" borderId="1" xfId="1" applyNumberFormat="1" applyFont="1" applyFill="1" applyBorder="1"/>
    <xf numFmtId="167" fontId="4" fillId="0" borderId="1" xfId="1" applyNumberFormat="1" applyFont="1" applyFill="1" applyBorder="1" applyAlignment="1">
      <alignment horizontal="center"/>
    </xf>
    <xf numFmtId="167" fontId="4" fillId="2" borderId="1" xfId="1" applyNumberFormat="1" applyFont="1" applyFill="1" applyBorder="1" applyAlignment="1">
      <alignment horizontal="center"/>
    </xf>
    <xf numFmtId="164" fontId="2" fillId="0" borderId="15" xfId="2" applyNumberFormat="1" applyFont="1" applyFill="1" applyBorder="1"/>
    <xf numFmtId="164" fontId="2" fillId="0" borderId="16" xfId="2" applyNumberFormat="1" applyFont="1" applyFill="1" applyBorder="1"/>
    <xf numFmtId="164" fontId="2" fillId="0" borderId="17" xfId="2" applyNumberFormat="1" applyFont="1" applyFill="1" applyBorder="1"/>
    <xf numFmtId="0" fontId="2" fillId="0" borderId="0" xfId="0" applyFont="1" applyAlignment="1">
      <alignment vertical="center"/>
    </xf>
    <xf numFmtId="0" fontId="2" fillId="6" borderId="8" xfId="0" applyFont="1" applyFill="1" applyBorder="1" applyAlignment="1">
      <alignment vertical="center"/>
    </xf>
    <xf numFmtId="41" fontId="14" fillId="4" borderId="8" xfId="2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2" fillId="6" borderId="8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2" fillId="0" borderId="9" xfId="0" applyNumberFormat="1" applyFont="1" applyBorder="1" applyAlignment="1">
      <alignment vertical="center"/>
    </xf>
    <xf numFmtId="41" fontId="2" fillId="0" borderId="0" xfId="2" applyFont="1" applyAlignment="1">
      <alignment vertical="center"/>
    </xf>
    <xf numFmtId="167" fontId="2" fillId="0" borderId="0" xfId="1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2" applyNumberFormat="1" applyFont="1" applyFill="1" applyAlignment="1">
      <alignment vertical="center"/>
    </xf>
    <xf numFmtId="164" fontId="2" fillId="0" borderId="0" xfId="2" applyNumberFormat="1" applyFont="1" applyAlignment="1">
      <alignment vertical="center"/>
    </xf>
    <xf numFmtId="167" fontId="2" fillId="0" borderId="9" xfId="1" applyNumberFormat="1" applyFont="1" applyBorder="1" applyAlignment="1">
      <alignment vertical="center"/>
    </xf>
    <xf numFmtId="41" fontId="2" fillId="2" borderId="0" xfId="2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5" borderId="1" xfId="0" quotePrefix="1" applyFont="1" applyFill="1" applyBorder="1"/>
    <xf numFmtId="0" fontId="2" fillId="5" borderId="1" xfId="0" applyFont="1" applyFill="1" applyBorder="1" applyAlignment="1">
      <alignment horizontal="center"/>
    </xf>
    <xf numFmtId="0" fontId="4" fillId="5" borderId="10" xfId="0" quotePrefix="1" applyFont="1" applyFill="1" applyBorder="1"/>
    <xf numFmtId="0" fontId="2" fillId="2" borderId="8" xfId="0" quotePrefix="1" applyFont="1" applyFill="1" applyBorder="1"/>
    <xf numFmtId="0" fontId="2" fillId="2" borderId="8" xfId="0" quotePrefix="1" applyFont="1" applyFill="1" applyBorder="1" applyAlignment="1">
      <alignment horizontal="center"/>
    </xf>
    <xf numFmtId="43" fontId="2" fillId="0" borderId="8" xfId="1" applyFont="1" applyFill="1" applyBorder="1"/>
    <xf numFmtId="43" fontId="2" fillId="0" borderId="9" xfId="1" applyFont="1" applyBorder="1"/>
    <xf numFmtId="43" fontId="2" fillId="0" borderId="0" xfId="1" applyFont="1" applyFill="1" applyBorder="1"/>
    <xf numFmtId="0" fontId="4" fillId="5" borderId="1" xfId="0" applyFont="1" applyFill="1" applyBorder="1"/>
    <xf numFmtId="0" fontId="4" fillId="5" borderId="10" xfId="0" applyFont="1" applyFill="1" applyBorder="1"/>
    <xf numFmtId="0" fontId="2" fillId="0" borderId="8" xfId="0" quotePrefix="1" applyFont="1" applyBorder="1" applyAlignment="1">
      <alignment horizontal="center"/>
    </xf>
    <xf numFmtId="43" fontId="13" fillId="0" borderId="8" xfId="1" applyFont="1" applyFill="1" applyBorder="1"/>
    <xf numFmtId="43" fontId="12" fillId="0" borderId="8" xfId="1" applyFont="1" applyFill="1" applyBorder="1"/>
    <xf numFmtId="43" fontId="13" fillId="0" borderId="9" xfId="1" applyFont="1" applyBorder="1"/>
    <xf numFmtId="166" fontId="2" fillId="0" borderId="0" xfId="0" applyNumberFormat="1" applyFont="1"/>
    <xf numFmtId="43" fontId="2" fillId="0" borderId="0" xfId="1" applyFont="1"/>
    <xf numFmtId="43" fontId="2" fillId="4" borderId="20" xfId="1" applyFont="1" applyFill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167" fontId="2" fillId="0" borderId="20" xfId="1" applyNumberFormat="1" applyFont="1" applyFill="1" applyBorder="1"/>
    <xf numFmtId="167" fontId="2" fillId="0" borderId="21" xfId="0" applyNumberFormat="1" applyFont="1" applyBorder="1"/>
    <xf numFmtId="0" fontId="2" fillId="4" borderId="22" xfId="0" applyFont="1" applyFill="1" applyBorder="1" applyAlignment="1">
      <alignment horizontal="center"/>
    </xf>
    <xf numFmtId="0" fontId="2" fillId="0" borderId="22" xfId="0" quotePrefix="1" applyFont="1" applyBorder="1" applyAlignment="1">
      <alignment horizontal="center"/>
    </xf>
    <xf numFmtId="43" fontId="2" fillId="0" borderId="22" xfId="1" applyFont="1" applyFill="1" applyBorder="1"/>
    <xf numFmtId="43" fontId="2" fillId="0" borderId="23" xfId="1" applyFont="1" applyBorder="1"/>
    <xf numFmtId="164" fontId="4" fillId="5" borderId="0" xfId="2" applyNumberFormat="1" applyFont="1" applyFill="1"/>
    <xf numFmtId="41" fontId="4" fillId="5" borderId="0" xfId="2" applyFont="1" applyFill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quotePrefix="1" applyFont="1" applyBorder="1" applyAlignment="1">
      <alignment horizontal="center"/>
    </xf>
    <xf numFmtId="170" fontId="2" fillId="0" borderId="8" xfId="1" applyNumberFormat="1" applyFont="1" applyFill="1" applyBorder="1"/>
    <xf numFmtId="170" fontId="12" fillId="0" borderId="8" xfId="1" applyNumberFormat="1" applyFont="1" applyFill="1" applyBorder="1"/>
    <xf numFmtId="0" fontId="12" fillId="0" borderId="0" xfId="0" applyFont="1"/>
    <xf numFmtId="170" fontId="2" fillId="0" borderId="9" xfId="1" applyNumberFormat="1" applyFont="1" applyBorder="1"/>
    <xf numFmtId="0" fontId="4" fillId="2" borderId="1" xfId="0" applyFont="1" applyFill="1" applyBorder="1" applyAlignment="1">
      <alignment horizontal="center"/>
    </xf>
    <xf numFmtId="0" fontId="4" fillId="2" borderId="1" xfId="0" quotePrefix="1" applyFont="1" applyFill="1" applyBorder="1"/>
    <xf numFmtId="171" fontId="2" fillId="4" borderId="1" xfId="1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43" fontId="15" fillId="0" borderId="1" xfId="1" applyFont="1" applyFill="1" applyBorder="1"/>
    <xf numFmtId="0" fontId="15" fillId="2" borderId="0" xfId="0" applyFont="1" applyFill="1"/>
    <xf numFmtId="166" fontId="2" fillId="2" borderId="0" xfId="0" applyNumberFormat="1" applyFont="1" applyFill="1"/>
    <xf numFmtId="167" fontId="2" fillId="2" borderId="0" xfId="1" applyNumberFormat="1" applyFont="1" applyFill="1"/>
    <xf numFmtId="0" fontId="2" fillId="2" borderId="0" xfId="0" applyFont="1" applyFill="1" applyAlignment="1">
      <alignment horizontal="center"/>
    </xf>
    <xf numFmtId="172" fontId="2" fillId="4" borderId="8" xfId="1" applyNumberFormat="1" applyFont="1" applyFill="1" applyBorder="1" applyAlignment="1">
      <alignment horizontal="center"/>
    </xf>
    <xf numFmtId="166" fontId="2" fillId="2" borderId="9" xfId="0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quotePrefix="1" applyFont="1" applyFill="1" applyBorder="1"/>
    <xf numFmtId="0" fontId="2" fillId="2" borderId="5" xfId="0" quotePrefix="1" applyFont="1" applyFill="1" applyBorder="1" applyAlignment="1">
      <alignment horizontal="center"/>
    </xf>
    <xf numFmtId="169" fontId="2" fillId="2" borderId="0" xfId="0" applyNumberFormat="1" applyFont="1" applyFill="1"/>
    <xf numFmtId="0" fontId="4" fillId="0" borderId="8" xfId="0" applyFont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2" applyNumberFormat="1" applyFont="1" applyFill="1" applyBorder="1"/>
    <xf numFmtId="41" fontId="4" fillId="0" borderId="8" xfId="2" applyFont="1" applyFill="1" applyBorder="1"/>
    <xf numFmtId="167" fontId="4" fillId="0" borderId="0" xfId="0" applyNumberFormat="1" applyFont="1"/>
    <xf numFmtId="166" fontId="4" fillId="0" borderId="9" xfId="0" applyNumberFormat="1" applyFont="1" applyBorder="1"/>
    <xf numFmtId="167" fontId="4" fillId="0" borderId="0" xfId="1" applyNumberFormat="1" applyFont="1" applyFill="1"/>
    <xf numFmtId="41" fontId="4" fillId="0" borderId="0" xfId="2" applyFont="1" applyFill="1"/>
    <xf numFmtId="164" fontId="4" fillId="0" borderId="0" xfId="2" applyNumberFormat="1" applyFont="1" applyFill="1"/>
    <xf numFmtId="41" fontId="4" fillId="0" borderId="0" xfId="2" applyFont="1"/>
    <xf numFmtId="164" fontId="2" fillId="2" borderId="8" xfId="2" applyNumberFormat="1" applyFont="1" applyFill="1" applyBorder="1" applyAlignment="1">
      <alignment horizontal="center"/>
    </xf>
    <xf numFmtId="164" fontId="4" fillId="2" borderId="8" xfId="2" quotePrefix="1" applyNumberFormat="1" applyFont="1" applyFill="1" applyBorder="1"/>
    <xf numFmtId="164" fontId="4" fillId="2" borderId="8" xfId="2" applyNumberFormat="1" applyFont="1" applyFill="1" applyBorder="1" applyAlignment="1">
      <alignment horizontal="center"/>
    </xf>
    <xf numFmtId="164" fontId="4" fillId="2" borderId="8" xfId="2" quotePrefix="1" applyNumberFormat="1" applyFont="1" applyFill="1" applyBorder="1" applyAlignment="1">
      <alignment horizontal="center"/>
    </xf>
    <xf numFmtId="164" fontId="2" fillId="2" borderId="8" xfId="2" applyNumberFormat="1" applyFont="1" applyFill="1" applyBorder="1"/>
    <xf numFmtId="164" fontId="4" fillId="2" borderId="8" xfId="2" applyNumberFormat="1" applyFont="1" applyFill="1" applyBorder="1"/>
    <xf numFmtId="164" fontId="16" fillId="2" borderId="0" xfId="2" applyNumberFormat="1" applyFont="1" applyFill="1"/>
    <xf numFmtId="164" fontId="4" fillId="2" borderId="9" xfId="2" applyNumberFormat="1" applyFont="1" applyFill="1" applyBorder="1"/>
    <xf numFmtId="164" fontId="4" fillId="2" borderId="0" xfId="2" applyNumberFormat="1" applyFont="1" applyFill="1"/>
    <xf numFmtId="164" fontId="4" fillId="2" borderId="0" xfId="2" applyNumberFormat="1" applyFont="1" applyFill="1" applyAlignment="1">
      <alignment horizontal="center"/>
    </xf>
    <xf numFmtId="0" fontId="5" fillId="0" borderId="8" xfId="0" quotePrefix="1" applyFont="1" applyBorder="1"/>
    <xf numFmtId="164" fontId="2" fillId="0" borderId="8" xfId="1" applyNumberFormat="1" applyFont="1" applyFill="1" applyBorder="1"/>
    <xf numFmtId="43" fontId="2" fillId="0" borderId="0" xfId="1" applyFont="1" applyFill="1"/>
    <xf numFmtId="0" fontId="2" fillId="0" borderId="8" xfId="0" quotePrefix="1" applyFont="1" applyBorder="1" applyAlignment="1">
      <alignment vertical="center"/>
    </xf>
    <xf numFmtId="0" fontId="2" fillId="0" borderId="8" xfId="0" quotePrefix="1" applyFont="1" applyBorder="1" applyAlignment="1">
      <alignment horizontal="center" vertical="center"/>
    </xf>
    <xf numFmtId="167" fontId="2" fillId="0" borderId="8" xfId="1" applyNumberFormat="1" applyFont="1" applyFill="1" applyBorder="1" applyAlignment="1">
      <alignment vertical="center"/>
    </xf>
    <xf numFmtId="173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4" fontId="2" fillId="0" borderId="0" xfId="2" applyNumberFormat="1" applyFont="1" applyFill="1" applyAlignment="1">
      <alignment vertical="center"/>
    </xf>
    <xf numFmtId="167" fontId="2" fillId="0" borderId="0" xfId="1" applyNumberFormat="1" applyFont="1" applyFill="1" applyAlignment="1">
      <alignment vertical="center"/>
    </xf>
    <xf numFmtId="167" fontId="2" fillId="0" borderId="24" xfId="1" applyNumberFormat="1" applyFont="1" applyFill="1" applyBorder="1" applyAlignment="1">
      <alignment wrapText="1"/>
    </xf>
    <xf numFmtId="41" fontId="2" fillId="0" borderId="24" xfId="2" applyFont="1" applyFill="1" applyBorder="1" applyAlignment="1">
      <alignment wrapText="1"/>
    </xf>
    <xf numFmtId="41" fontId="4" fillId="2" borderId="0" xfId="2" applyFont="1" applyFill="1"/>
    <xf numFmtId="41" fontId="2" fillId="2" borderId="0" xfId="2" applyFont="1" applyFill="1" applyAlignment="1">
      <alignment horizontal="center"/>
    </xf>
    <xf numFmtId="0" fontId="4" fillId="0" borderId="8" xfId="0" quotePrefix="1" applyFont="1" applyBorder="1"/>
    <xf numFmtId="0" fontId="4" fillId="4" borderId="8" xfId="0" applyFont="1" applyFill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167" fontId="4" fillId="0" borderId="8" xfId="1" applyNumberFormat="1" applyFont="1" applyFill="1" applyBorder="1" applyAlignment="1">
      <alignment vertical="center"/>
    </xf>
    <xf numFmtId="43" fontId="4" fillId="0" borderId="8" xfId="1" applyFont="1" applyFill="1" applyBorder="1" applyAlignment="1">
      <alignment vertical="center"/>
    </xf>
    <xf numFmtId="0" fontId="16" fillId="0" borderId="0" xfId="0" applyFont="1"/>
    <xf numFmtId="41" fontId="4" fillId="2" borderId="0" xfId="2" applyFont="1" applyFill="1" applyAlignment="1">
      <alignment horizontal="center"/>
    </xf>
    <xf numFmtId="9" fontId="2" fillId="0" borderId="0" xfId="2" applyNumberFormat="1" applyFont="1" applyFill="1"/>
    <xf numFmtId="174" fontId="2" fillId="0" borderId="8" xfId="1" applyNumberFormat="1" applyFont="1" applyFill="1" applyBorder="1"/>
    <xf numFmtId="174" fontId="2" fillId="0" borderId="9" xfId="0" applyNumberFormat="1" applyFont="1" applyBorder="1"/>
    <xf numFmtId="41" fontId="2" fillId="0" borderId="8" xfId="2" applyFont="1" applyFill="1" applyBorder="1"/>
    <xf numFmtId="166" fontId="4" fillId="0" borderId="8" xfId="1" applyNumberFormat="1" applyFont="1" applyFill="1" applyBorder="1" applyAlignment="1">
      <alignment vertical="center"/>
    </xf>
    <xf numFmtId="167" fontId="2" fillId="0" borderId="0" xfId="1" applyNumberFormat="1" applyFont="1" applyFill="1" applyAlignment="1">
      <alignment horizontal="right"/>
    </xf>
    <xf numFmtId="164" fontId="2" fillId="2" borderId="0" xfId="2" applyNumberFormat="1" applyFont="1" applyFill="1" applyAlignment="1">
      <alignment horizontal="right"/>
    </xf>
    <xf numFmtId="175" fontId="2" fillId="2" borderId="0" xfId="0" applyNumberFormat="1" applyFont="1" applyFill="1"/>
    <xf numFmtId="43" fontId="4" fillId="0" borderId="8" xfId="1" applyFont="1" applyFill="1" applyBorder="1"/>
    <xf numFmtId="176" fontId="2" fillId="0" borderId="8" xfId="1" applyNumberFormat="1" applyFont="1" applyFill="1" applyBorder="1"/>
    <xf numFmtId="176" fontId="2" fillId="0" borderId="9" xfId="0" applyNumberFormat="1" applyFont="1" applyBorder="1"/>
    <xf numFmtId="177" fontId="2" fillId="0" borderId="0" xfId="0" applyNumberFormat="1" applyFont="1"/>
    <xf numFmtId="171" fontId="2" fillId="4" borderId="8" xfId="1" applyNumberFormat="1" applyFont="1" applyFill="1" applyBorder="1" applyAlignment="1">
      <alignment horizontal="center"/>
    </xf>
    <xf numFmtId="178" fontId="2" fillId="0" borderId="8" xfId="2" applyNumberFormat="1" applyFont="1" applyFill="1" applyBorder="1"/>
    <xf numFmtId="173" fontId="2" fillId="0" borderId="8" xfId="2" applyNumberFormat="1" applyFont="1" applyFill="1" applyBorder="1"/>
    <xf numFmtId="179" fontId="2" fillId="0" borderId="8" xfId="2" applyNumberFormat="1" applyFont="1" applyFill="1" applyBorder="1"/>
    <xf numFmtId="180" fontId="2" fillId="0" borderId="8" xfId="1" applyNumberFormat="1" applyFont="1" applyFill="1" applyBorder="1"/>
    <xf numFmtId="176" fontId="13" fillId="0" borderId="8" xfId="1" applyNumberFormat="1" applyFont="1" applyFill="1" applyBorder="1"/>
    <xf numFmtId="176" fontId="12" fillId="0" borderId="8" xfId="1" applyNumberFormat="1" applyFont="1" applyFill="1" applyBorder="1"/>
    <xf numFmtId="181" fontId="2" fillId="0" borderId="8" xfId="1" applyNumberFormat="1" applyFont="1" applyFill="1" applyBorder="1"/>
    <xf numFmtId="176" fontId="4" fillId="0" borderId="9" xfId="0" applyNumberFormat="1" applyFont="1" applyBorder="1"/>
    <xf numFmtId="182" fontId="2" fillId="0" borderId="8" xfId="1" applyNumberFormat="1" applyFont="1" applyFill="1" applyBorder="1"/>
    <xf numFmtId="167" fontId="13" fillId="0" borderId="8" xfId="1" applyNumberFormat="1" applyFont="1" applyFill="1" applyBorder="1"/>
    <xf numFmtId="0" fontId="5" fillId="0" borderId="9" xfId="0" applyFont="1" applyBorder="1"/>
    <xf numFmtId="183" fontId="2" fillId="0" borderId="9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quotePrefix="1" applyFont="1" applyBorder="1"/>
    <xf numFmtId="43" fontId="4" fillId="4" borderId="5" xfId="1" applyFont="1" applyFill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176" fontId="4" fillId="0" borderId="5" xfId="1" applyNumberFormat="1" applyFont="1" applyFill="1" applyBorder="1"/>
    <xf numFmtId="176" fontId="4" fillId="0" borderId="7" xfId="0" applyNumberFormat="1" applyFont="1" applyBorder="1"/>
    <xf numFmtId="167" fontId="4" fillId="0" borderId="0" xfId="1" applyNumberFormat="1" applyFont="1"/>
    <xf numFmtId="164" fontId="4" fillId="0" borderId="0" xfId="2" applyNumberFormat="1" applyFont="1"/>
    <xf numFmtId="0" fontId="4" fillId="5" borderId="8" xfId="0" quotePrefix="1" applyFont="1" applyFill="1" applyBorder="1"/>
    <xf numFmtId="0" fontId="4" fillId="5" borderId="8" xfId="0" applyFont="1" applyFill="1" applyBorder="1" applyAlignment="1">
      <alignment horizontal="center"/>
    </xf>
    <xf numFmtId="176" fontId="4" fillId="5" borderId="8" xfId="1" applyNumberFormat="1" applyFont="1" applyFill="1" applyBorder="1"/>
    <xf numFmtId="43" fontId="4" fillId="5" borderId="10" xfId="1" applyFont="1" applyFill="1" applyBorder="1"/>
    <xf numFmtId="167" fontId="4" fillId="0" borderId="8" xfId="1" applyNumberFormat="1" applyFont="1" applyFill="1" applyBorder="1"/>
    <xf numFmtId="174" fontId="5" fillId="0" borderId="9" xfId="0" applyNumberFormat="1" applyFont="1" applyBorder="1"/>
    <xf numFmtId="167" fontId="4" fillId="4" borderId="8" xfId="1" applyNumberFormat="1" applyFont="1" applyFill="1" applyBorder="1" applyAlignment="1">
      <alignment horizontal="center"/>
    </xf>
    <xf numFmtId="167" fontId="4" fillId="0" borderId="9" xfId="0" applyNumberFormat="1" applyFont="1" applyBorder="1"/>
    <xf numFmtId="43" fontId="2" fillId="5" borderId="1" xfId="1" applyFont="1" applyFill="1" applyBorder="1"/>
    <xf numFmtId="43" fontId="2" fillId="4" borderId="8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vertical="center"/>
    </xf>
    <xf numFmtId="43" fontId="13" fillId="0" borderId="8" xfId="1" applyFont="1" applyFill="1" applyBorder="1" applyAlignment="1">
      <alignment vertical="center"/>
    </xf>
    <xf numFmtId="43" fontId="12" fillId="0" borderId="8" xfId="1" applyFont="1" applyFill="1" applyBorder="1" applyAlignment="1">
      <alignment vertical="center"/>
    </xf>
    <xf numFmtId="43" fontId="4" fillId="0" borderId="9" xfId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167" fontId="5" fillId="0" borderId="9" xfId="0" applyNumberFormat="1" applyFont="1" applyBorder="1" applyAlignment="1">
      <alignment vertical="center"/>
    </xf>
    <xf numFmtId="43" fontId="2" fillId="4" borderId="8" xfId="1" applyFont="1" applyFill="1" applyBorder="1" applyAlignment="1">
      <alignment vertical="center"/>
    </xf>
    <xf numFmtId="164" fontId="2" fillId="0" borderId="8" xfId="2" applyNumberFormat="1" applyFont="1" applyFill="1" applyBorder="1" applyAlignment="1">
      <alignment vertical="center"/>
    </xf>
    <xf numFmtId="43" fontId="2" fillId="0" borderId="9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167" fontId="4" fillId="5" borderId="10" xfId="1" applyNumberFormat="1" applyFont="1" applyFill="1" applyBorder="1"/>
    <xf numFmtId="0" fontId="4" fillId="2" borderId="8" xfId="0" applyFont="1" applyFill="1" applyBorder="1" applyAlignment="1">
      <alignment horizontal="center"/>
    </xf>
    <xf numFmtId="0" fontId="4" fillId="2" borderId="8" xfId="0" quotePrefix="1" applyFont="1" applyFill="1" applyBorder="1"/>
    <xf numFmtId="0" fontId="2" fillId="4" borderId="8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167" fontId="12" fillId="0" borderId="8" xfId="1" applyNumberFormat="1" applyFont="1" applyFill="1" applyBorder="1"/>
    <xf numFmtId="0" fontId="4" fillId="2" borderId="5" xfId="0" applyFont="1" applyFill="1" applyBorder="1" applyAlignment="1">
      <alignment horizontal="center"/>
    </xf>
    <xf numFmtId="0" fontId="4" fillId="2" borderId="5" xfId="0" quotePrefix="1" applyFont="1" applyFill="1" applyBorder="1"/>
    <xf numFmtId="0" fontId="4" fillId="4" borderId="5" xfId="0" applyFont="1" applyFill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167" fontId="4" fillId="0" borderId="5" xfId="1" applyNumberFormat="1" applyFont="1" applyFill="1" applyBorder="1"/>
    <xf numFmtId="167" fontId="4" fillId="0" borderId="25" xfId="0" applyNumberFormat="1" applyFont="1" applyBorder="1"/>
    <xf numFmtId="167" fontId="2" fillId="6" borderId="6" xfId="1" applyNumberFormat="1" applyFont="1" applyFill="1" applyBorder="1"/>
    <xf numFmtId="167" fontId="2" fillId="6" borderId="5" xfId="1" applyNumberFormat="1" applyFont="1" applyFill="1" applyBorder="1"/>
    <xf numFmtId="0" fontId="2" fillId="0" borderId="8" xfId="0" quotePrefix="1" applyFont="1" applyBorder="1" applyAlignment="1">
      <alignment horizontal="center" wrapText="1"/>
    </xf>
    <xf numFmtId="0" fontId="2" fillId="0" borderId="22" xfId="0" quotePrefix="1" applyFont="1" applyBorder="1" applyAlignment="1">
      <alignment horizontal="center" wrapText="1"/>
    </xf>
    <xf numFmtId="0" fontId="2" fillId="0" borderId="20" xfId="0" quotePrefix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CA56-84A7-4E24-9FF7-8B4312C01B8E}">
  <dimension ref="E1:VCW210"/>
  <sheetViews>
    <sheetView tabSelected="1" view="pageBreakPreview" topLeftCell="AC1" zoomScale="90" zoomScaleNormal="90" zoomScaleSheetLayoutView="90" workbookViewId="0">
      <selection activeCell="AO35" sqref="AO35"/>
    </sheetView>
  </sheetViews>
  <sheetFormatPr defaultColWidth="9.109375" defaultRowHeight="14.4" x14ac:dyDescent="0.3"/>
  <cols>
    <col min="1" max="4" width="9.109375" style="2"/>
    <col min="5" max="5" width="6" style="2" customWidth="1"/>
    <col min="6" max="6" width="4.5546875" style="2" customWidth="1"/>
    <col min="7" max="7" width="34" style="2" customWidth="1"/>
    <col min="8" max="8" width="11" style="2" hidden="1" customWidth="1"/>
    <col min="9" max="9" width="8.33203125" style="2" bestFit="1" customWidth="1"/>
    <col min="10" max="15" width="11.6640625" style="2" customWidth="1"/>
    <col min="16" max="16" width="10.6640625" style="2" customWidth="1"/>
    <col min="17" max="17" width="13.5546875" style="2" customWidth="1"/>
    <col min="18" max="18" width="12.6640625" style="2" bestFit="1" customWidth="1"/>
    <col min="19" max="20" width="13.6640625" style="2" bestFit="1" customWidth="1"/>
    <col min="21" max="22" width="13.44140625" style="2" customWidth="1"/>
    <col min="23" max="23" width="13" style="2" customWidth="1"/>
    <col min="24" max="24" width="12.88671875" style="2" bestFit="1" customWidth="1"/>
    <col min="25" max="26" width="12.88671875" style="2" customWidth="1"/>
    <col min="27" max="31" width="13.5546875" style="2" customWidth="1"/>
    <col min="32" max="32" width="13.109375" style="2" customWidth="1"/>
    <col min="33" max="33" width="14.5546875" style="2" customWidth="1"/>
    <col min="34" max="34" width="14" style="2" bestFit="1" customWidth="1"/>
    <col min="35" max="38" width="13.6640625" style="2" bestFit="1" customWidth="1"/>
    <col min="39" max="39" width="17" style="2" bestFit="1" customWidth="1"/>
    <col min="40" max="40" width="13.6640625" style="2" bestFit="1" customWidth="1"/>
    <col min="41" max="41" width="9.109375" style="2"/>
    <col min="42" max="42" width="16.44140625" style="2" bestFit="1" customWidth="1"/>
    <col min="43" max="43" width="8.5546875" style="2" hidden="1" customWidth="1"/>
    <col min="44" max="44" width="12.88671875" style="2" hidden="1" customWidth="1"/>
    <col min="45" max="45" width="8.6640625" style="3" hidden="1" customWidth="1"/>
    <col min="46" max="46" width="12.44140625" style="4" hidden="1" customWidth="1"/>
    <col min="47" max="47" width="12.44140625" style="3" hidden="1" customWidth="1"/>
    <col min="48" max="48" width="9.44140625" style="3" hidden="1" customWidth="1"/>
    <col min="49" max="49" width="12.44140625" style="3" hidden="1" customWidth="1"/>
    <col min="50" max="51" width="8.109375" style="3" hidden="1" customWidth="1"/>
    <col min="52" max="53" width="9.44140625" style="3" hidden="1" customWidth="1"/>
    <col min="54" max="55" width="5.33203125" style="3" hidden="1" customWidth="1"/>
    <col min="56" max="64" width="5.33203125" style="3" customWidth="1"/>
    <col min="65" max="79" width="9.109375" style="3"/>
    <col min="80" max="81" width="9.109375" style="2"/>
    <col min="82" max="82" width="8.109375" style="2" customWidth="1"/>
    <col min="83" max="91" width="9.109375" style="2"/>
    <col min="92" max="92" width="14.5546875" style="2" customWidth="1"/>
    <col min="93" max="104" width="9.109375" style="2"/>
    <col min="105" max="105" width="9.88671875" style="2" customWidth="1"/>
    <col min="106" max="106" width="9.109375" style="2"/>
    <col min="107" max="107" width="8.88671875"/>
    <col min="108" max="144" width="9.109375" style="2"/>
    <col min="145" max="147" width="12.44140625" style="2" bestFit="1" customWidth="1"/>
    <col min="148" max="203" width="9.109375" style="2"/>
    <col min="204" max="204" width="9.44140625" style="2" bestFit="1" customWidth="1"/>
    <col min="205" max="438" width="9.109375" style="2"/>
    <col min="439" max="440" width="9.44140625" style="2" bestFit="1" customWidth="1"/>
    <col min="441" max="441" width="9.109375" style="2"/>
    <col min="442" max="443" width="9.44140625" style="2" bestFit="1" customWidth="1"/>
    <col min="444" max="454" width="9.109375" style="2"/>
    <col min="455" max="456" width="9.33203125" style="2" bestFit="1" customWidth="1"/>
    <col min="457" max="844" width="9.109375" style="2"/>
    <col min="845" max="847" width="10.6640625" style="2" bestFit="1" customWidth="1"/>
    <col min="848" max="856" width="9.109375" style="2"/>
    <col min="857" max="857" width="9.44140625" style="2" bestFit="1" customWidth="1"/>
    <col min="858" max="858" width="10.6640625" style="2" bestFit="1" customWidth="1"/>
    <col min="859" max="873" width="9.109375" style="2"/>
    <col min="874" max="874" width="11.33203125" style="2" bestFit="1" customWidth="1"/>
    <col min="875" max="912" width="9.109375" style="2"/>
    <col min="913" max="914" width="9.33203125" style="2" bestFit="1" customWidth="1"/>
    <col min="915" max="964" width="9.109375" style="2"/>
    <col min="965" max="965" width="13.6640625" style="2" bestFit="1" customWidth="1"/>
    <col min="966" max="967" width="12.44140625" style="2" bestFit="1" customWidth="1"/>
    <col min="968" max="16384" width="9.109375" style="2"/>
  </cols>
  <sheetData>
    <row r="1" spans="6:42" x14ac:dyDescent="0.3">
      <c r="F1" s="1"/>
    </row>
    <row r="2" spans="6:42" ht="17.399999999999999" x14ac:dyDescent="0.3">
      <c r="F2" s="326" t="s">
        <v>0</v>
      </c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  <c r="AO2" s="326"/>
      <c r="AP2" s="326"/>
    </row>
    <row r="3" spans="6:42" ht="15" thickBot="1" x14ac:dyDescent="0.35">
      <c r="G3" s="5"/>
      <c r="H3" s="6"/>
      <c r="AE3" s="7"/>
      <c r="AF3" s="7"/>
    </row>
    <row r="4" spans="6:42" ht="15.75" customHeight="1" x14ac:dyDescent="0.3">
      <c r="F4" s="327" t="s">
        <v>1</v>
      </c>
      <c r="G4" s="327" t="s">
        <v>2</v>
      </c>
      <c r="H4" s="329" t="s">
        <v>3</v>
      </c>
      <c r="I4" s="327" t="s">
        <v>4</v>
      </c>
      <c r="J4" s="331" t="s">
        <v>5</v>
      </c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P4" s="8" t="s">
        <v>6</v>
      </c>
    </row>
    <row r="5" spans="6:42" x14ac:dyDescent="0.3">
      <c r="F5" s="328"/>
      <c r="G5" s="328"/>
      <c r="H5" s="330"/>
      <c r="I5" s="328"/>
      <c r="J5" s="9">
        <v>1</v>
      </c>
      <c r="K5" s="9">
        <v>2</v>
      </c>
      <c r="L5" s="9">
        <v>3</v>
      </c>
      <c r="M5" s="9">
        <v>4</v>
      </c>
      <c r="N5" s="9">
        <v>5</v>
      </c>
      <c r="O5" s="9">
        <v>6</v>
      </c>
      <c r="P5" s="9">
        <v>7</v>
      </c>
      <c r="Q5" s="9">
        <v>8</v>
      </c>
      <c r="R5" s="9">
        <v>9</v>
      </c>
      <c r="S5" s="9">
        <v>10</v>
      </c>
      <c r="T5" s="9">
        <v>11</v>
      </c>
      <c r="U5" s="9">
        <v>12</v>
      </c>
      <c r="V5" s="9">
        <v>13</v>
      </c>
      <c r="W5" s="9">
        <v>14</v>
      </c>
      <c r="X5" s="9">
        <v>15</v>
      </c>
      <c r="Y5" s="9">
        <v>16</v>
      </c>
      <c r="Z5" s="9">
        <v>17</v>
      </c>
      <c r="AA5" s="9">
        <v>18</v>
      </c>
      <c r="AB5" s="9">
        <v>19</v>
      </c>
      <c r="AC5" s="9">
        <v>20</v>
      </c>
      <c r="AD5" s="9">
        <v>21</v>
      </c>
      <c r="AE5" s="9">
        <v>22</v>
      </c>
      <c r="AF5" s="9">
        <v>23</v>
      </c>
      <c r="AG5" s="9">
        <v>24</v>
      </c>
      <c r="AH5" s="9">
        <v>25</v>
      </c>
      <c r="AI5" s="9">
        <v>26</v>
      </c>
      <c r="AJ5" s="9">
        <v>27</v>
      </c>
      <c r="AK5" s="9">
        <v>28</v>
      </c>
      <c r="AL5" s="9">
        <v>29</v>
      </c>
      <c r="AM5" s="9">
        <v>30</v>
      </c>
      <c r="AN5" s="9">
        <v>31</v>
      </c>
      <c r="AP5" s="10"/>
    </row>
    <row r="6" spans="6:42" ht="15" hidden="1" customHeight="1" x14ac:dyDescent="0.3">
      <c r="F6" s="11">
        <v>1</v>
      </c>
      <c r="G6" s="12" t="s">
        <v>7</v>
      </c>
      <c r="H6" s="13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7"/>
      <c r="AP6" s="16" t="s">
        <v>8</v>
      </c>
    </row>
    <row r="7" spans="6:42" ht="15" hidden="1" customHeight="1" x14ac:dyDescent="0.3">
      <c r="F7" s="11"/>
      <c r="G7" s="17" t="s">
        <v>9</v>
      </c>
      <c r="H7" s="18"/>
      <c r="I7" s="19" t="s">
        <v>10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7"/>
      <c r="AP7" s="21">
        <f>SUM(J7:AN7)</f>
        <v>0</v>
      </c>
    </row>
    <row r="8" spans="6:42" ht="15" hidden="1" customHeight="1" x14ac:dyDescent="0.3">
      <c r="F8" s="11"/>
      <c r="G8" s="17" t="s">
        <v>11</v>
      </c>
      <c r="H8" s="18"/>
      <c r="I8" s="19" t="s">
        <v>10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7"/>
      <c r="AP8" s="21">
        <f>SUM(J8:AN8)</f>
        <v>0</v>
      </c>
    </row>
    <row r="9" spans="6:42" ht="15" hidden="1" customHeight="1" x14ac:dyDescent="0.3">
      <c r="F9" s="11"/>
      <c r="G9" s="22" t="s">
        <v>12</v>
      </c>
      <c r="H9" s="23"/>
      <c r="I9" s="24" t="s">
        <v>13</v>
      </c>
      <c r="J9" s="25" t="e">
        <f t="shared" ref="J9:AN9" si="0">((J8-J7)/J7)*100</f>
        <v>#DIV/0!</v>
      </c>
      <c r="K9" s="25" t="e">
        <f t="shared" si="0"/>
        <v>#DIV/0!</v>
      </c>
      <c r="L9" s="25" t="e">
        <f t="shared" si="0"/>
        <v>#DIV/0!</v>
      </c>
      <c r="M9" s="25" t="e">
        <f t="shared" si="0"/>
        <v>#DIV/0!</v>
      </c>
      <c r="N9" s="25" t="e">
        <f t="shared" si="0"/>
        <v>#DIV/0!</v>
      </c>
      <c r="O9" s="25" t="e">
        <f t="shared" si="0"/>
        <v>#DIV/0!</v>
      </c>
      <c r="P9" s="25" t="e">
        <f t="shared" si="0"/>
        <v>#DIV/0!</v>
      </c>
      <c r="Q9" s="25" t="e">
        <f t="shared" si="0"/>
        <v>#DIV/0!</v>
      </c>
      <c r="R9" s="25" t="e">
        <f t="shared" si="0"/>
        <v>#DIV/0!</v>
      </c>
      <c r="S9" s="25" t="e">
        <f t="shared" si="0"/>
        <v>#DIV/0!</v>
      </c>
      <c r="T9" s="25" t="e">
        <f t="shared" si="0"/>
        <v>#DIV/0!</v>
      </c>
      <c r="U9" s="25" t="e">
        <f t="shared" si="0"/>
        <v>#DIV/0!</v>
      </c>
      <c r="V9" s="25" t="e">
        <f t="shared" si="0"/>
        <v>#DIV/0!</v>
      </c>
      <c r="W9" s="25" t="e">
        <f t="shared" si="0"/>
        <v>#DIV/0!</v>
      </c>
      <c r="X9" s="25" t="e">
        <f t="shared" si="0"/>
        <v>#DIV/0!</v>
      </c>
      <c r="Y9" s="25" t="e">
        <f t="shared" si="0"/>
        <v>#DIV/0!</v>
      </c>
      <c r="Z9" s="25" t="e">
        <f t="shared" si="0"/>
        <v>#DIV/0!</v>
      </c>
      <c r="AA9" s="25" t="e">
        <f t="shared" si="0"/>
        <v>#DIV/0!</v>
      </c>
      <c r="AB9" s="25" t="e">
        <f t="shared" si="0"/>
        <v>#DIV/0!</v>
      </c>
      <c r="AC9" s="25" t="e">
        <f t="shared" si="0"/>
        <v>#DIV/0!</v>
      </c>
      <c r="AD9" s="25" t="e">
        <f t="shared" si="0"/>
        <v>#DIV/0!</v>
      </c>
      <c r="AE9" s="25" t="e">
        <f t="shared" si="0"/>
        <v>#DIV/0!</v>
      </c>
      <c r="AF9" s="25" t="e">
        <f t="shared" si="0"/>
        <v>#DIV/0!</v>
      </c>
      <c r="AG9" s="25" t="e">
        <f t="shared" si="0"/>
        <v>#DIV/0!</v>
      </c>
      <c r="AH9" s="25" t="e">
        <f t="shared" si="0"/>
        <v>#DIV/0!</v>
      </c>
      <c r="AI9" s="25" t="e">
        <f t="shared" si="0"/>
        <v>#DIV/0!</v>
      </c>
      <c r="AJ9" s="25" t="e">
        <f t="shared" si="0"/>
        <v>#DIV/0!</v>
      </c>
      <c r="AK9" s="25" t="e">
        <f t="shared" si="0"/>
        <v>#DIV/0!</v>
      </c>
      <c r="AL9" s="25" t="e">
        <f t="shared" si="0"/>
        <v>#DIV/0!</v>
      </c>
      <c r="AM9" s="25" t="e">
        <f t="shared" si="0"/>
        <v>#DIV/0!</v>
      </c>
      <c r="AN9" s="25" t="e">
        <f t="shared" si="0"/>
        <v>#DIV/0!</v>
      </c>
      <c r="AO9" s="7"/>
      <c r="AP9" s="26" t="e">
        <f>((AP8-AP7)/AP7)*100</f>
        <v>#DIV/0!</v>
      </c>
    </row>
    <row r="10" spans="6:42" ht="15" hidden="1" customHeight="1" x14ac:dyDescent="0.3">
      <c r="F10" s="11"/>
      <c r="G10" s="12" t="s">
        <v>14</v>
      </c>
      <c r="H10" s="13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7"/>
      <c r="AP10" s="16" t="s">
        <v>8</v>
      </c>
    </row>
    <row r="11" spans="6:42" ht="15" hidden="1" customHeight="1" x14ac:dyDescent="0.3">
      <c r="F11" s="11"/>
      <c r="G11" s="17" t="s">
        <v>15</v>
      </c>
      <c r="H11" s="18"/>
      <c r="I11" s="19" t="s">
        <v>10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7"/>
      <c r="AP11" s="21">
        <f>SUM(J11:AN11)</f>
        <v>0</v>
      </c>
    </row>
    <row r="12" spans="6:42" ht="15" hidden="1" customHeight="1" x14ac:dyDescent="0.3">
      <c r="F12" s="11"/>
      <c r="G12" s="17" t="s">
        <v>16</v>
      </c>
      <c r="H12" s="18"/>
      <c r="I12" s="19" t="s">
        <v>10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7"/>
      <c r="AP12" s="21">
        <f>SUM(J12:AN12)</f>
        <v>0</v>
      </c>
    </row>
    <row r="13" spans="6:42" ht="15" hidden="1" customHeight="1" x14ac:dyDescent="0.3">
      <c r="F13" s="11"/>
      <c r="G13" s="22" t="s">
        <v>17</v>
      </c>
      <c r="H13" s="23"/>
      <c r="I13" s="24" t="s">
        <v>13</v>
      </c>
      <c r="J13" s="25" t="e">
        <f t="shared" ref="J13:AN13" si="1">((J12-J11)/J11)*100</f>
        <v>#DIV/0!</v>
      </c>
      <c r="K13" s="25" t="e">
        <f t="shared" si="1"/>
        <v>#DIV/0!</v>
      </c>
      <c r="L13" s="25" t="e">
        <f t="shared" si="1"/>
        <v>#DIV/0!</v>
      </c>
      <c r="M13" s="25" t="e">
        <f t="shared" si="1"/>
        <v>#DIV/0!</v>
      </c>
      <c r="N13" s="25" t="e">
        <f t="shared" si="1"/>
        <v>#DIV/0!</v>
      </c>
      <c r="O13" s="25" t="e">
        <f t="shared" si="1"/>
        <v>#DIV/0!</v>
      </c>
      <c r="P13" s="25" t="e">
        <f t="shared" si="1"/>
        <v>#DIV/0!</v>
      </c>
      <c r="Q13" s="25" t="e">
        <f t="shared" si="1"/>
        <v>#DIV/0!</v>
      </c>
      <c r="R13" s="25" t="e">
        <f t="shared" si="1"/>
        <v>#DIV/0!</v>
      </c>
      <c r="S13" s="25" t="e">
        <f t="shared" si="1"/>
        <v>#DIV/0!</v>
      </c>
      <c r="T13" s="25" t="e">
        <f t="shared" si="1"/>
        <v>#DIV/0!</v>
      </c>
      <c r="U13" s="25" t="e">
        <f t="shared" si="1"/>
        <v>#DIV/0!</v>
      </c>
      <c r="V13" s="25" t="e">
        <f t="shared" si="1"/>
        <v>#DIV/0!</v>
      </c>
      <c r="W13" s="25" t="e">
        <f t="shared" si="1"/>
        <v>#DIV/0!</v>
      </c>
      <c r="X13" s="25" t="e">
        <f t="shared" si="1"/>
        <v>#DIV/0!</v>
      </c>
      <c r="Y13" s="25" t="e">
        <f t="shared" si="1"/>
        <v>#DIV/0!</v>
      </c>
      <c r="Z13" s="25" t="e">
        <f t="shared" si="1"/>
        <v>#DIV/0!</v>
      </c>
      <c r="AA13" s="25" t="e">
        <f t="shared" si="1"/>
        <v>#DIV/0!</v>
      </c>
      <c r="AB13" s="25" t="e">
        <f t="shared" si="1"/>
        <v>#DIV/0!</v>
      </c>
      <c r="AC13" s="25" t="e">
        <f t="shared" si="1"/>
        <v>#DIV/0!</v>
      </c>
      <c r="AD13" s="25" t="e">
        <f t="shared" si="1"/>
        <v>#DIV/0!</v>
      </c>
      <c r="AE13" s="25" t="e">
        <f t="shared" si="1"/>
        <v>#DIV/0!</v>
      </c>
      <c r="AF13" s="25" t="e">
        <f t="shared" si="1"/>
        <v>#DIV/0!</v>
      </c>
      <c r="AG13" s="25" t="e">
        <f t="shared" si="1"/>
        <v>#DIV/0!</v>
      </c>
      <c r="AH13" s="25" t="e">
        <f t="shared" si="1"/>
        <v>#DIV/0!</v>
      </c>
      <c r="AI13" s="25" t="e">
        <f t="shared" si="1"/>
        <v>#DIV/0!</v>
      </c>
      <c r="AJ13" s="25" t="e">
        <f t="shared" si="1"/>
        <v>#DIV/0!</v>
      </c>
      <c r="AK13" s="25" t="e">
        <f t="shared" si="1"/>
        <v>#DIV/0!</v>
      </c>
      <c r="AL13" s="25" t="e">
        <f t="shared" si="1"/>
        <v>#DIV/0!</v>
      </c>
      <c r="AM13" s="25" t="e">
        <f t="shared" si="1"/>
        <v>#DIV/0!</v>
      </c>
      <c r="AN13" s="25" t="e">
        <f t="shared" si="1"/>
        <v>#DIV/0!</v>
      </c>
      <c r="AO13" s="7"/>
      <c r="AP13" s="26" t="e">
        <f>((AP12-AP11)/AP11)*100</f>
        <v>#DIV/0!</v>
      </c>
    </row>
    <row r="14" spans="6:42" ht="15" hidden="1" customHeight="1" x14ac:dyDescent="0.3">
      <c r="F14" s="11"/>
      <c r="G14" s="12" t="s">
        <v>18</v>
      </c>
      <c r="H14" s="13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7"/>
      <c r="AP14" s="16" t="s">
        <v>8</v>
      </c>
    </row>
    <row r="15" spans="6:42" ht="15" hidden="1" customHeight="1" x14ac:dyDescent="0.3">
      <c r="F15" s="11"/>
      <c r="G15" s="17" t="s">
        <v>15</v>
      </c>
      <c r="H15" s="18"/>
      <c r="I15" s="19" t="s">
        <v>10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7"/>
      <c r="AP15" s="21">
        <f>SUM(J15:AN15)</f>
        <v>0</v>
      </c>
    </row>
    <row r="16" spans="6:42" ht="15" hidden="1" customHeight="1" x14ac:dyDescent="0.3">
      <c r="F16" s="11"/>
      <c r="G16" s="17" t="s">
        <v>16</v>
      </c>
      <c r="H16" s="18"/>
      <c r="I16" s="19" t="s">
        <v>10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7"/>
      <c r="AP16" s="21">
        <f>SUM(J16:AN16)</f>
        <v>0</v>
      </c>
    </row>
    <row r="17" spans="6:967" ht="15" hidden="1" customHeight="1" x14ac:dyDescent="0.3">
      <c r="F17" s="11"/>
      <c r="G17" s="22" t="s">
        <v>17</v>
      </c>
      <c r="H17" s="23"/>
      <c r="I17" s="24" t="s">
        <v>13</v>
      </c>
      <c r="J17" s="25" t="e">
        <f t="shared" ref="J17:AN17" si="2">((J16-J15)/J15)*100</f>
        <v>#DIV/0!</v>
      </c>
      <c r="K17" s="25" t="e">
        <f t="shared" si="2"/>
        <v>#DIV/0!</v>
      </c>
      <c r="L17" s="25" t="e">
        <f t="shared" si="2"/>
        <v>#DIV/0!</v>
      </c>
      <c r="M17" s="25" t="e">
        <f t="shared" si="2"/>
        <v>#DIV/0!</v>
      </c>
      <c r="N17" s="25" t="e">
        <f t="shared" si="2"/>
        <v>#DIV/0!</v>
      </c>
      <c r="O17" s="25" t="e">
        <f t="shared" si="2"/>
        <v>#DIV/0!</v>
      </c>
      <c r="P17" s="25" t="e">
        <f t="shared" si="2"/>
        <v>#DIV/0!</v>
      </c>
      <c r="Q17" s="25" t="e">
        <f t="shared" si="2"/>
        <v>#DIV/0!</v>
      </c>
      <c r="R17" s="25" t="e">
        <f t="shared" si="2"/>
        <v>#DIV/0!</v>
      </c>
      <c r="S17" s="25" t="e">
        <f t="shared" si="2"/>
        <v>#DIV/0!</v>
      </c>
      <c r="T17" s="25" t="e">
        <f t="shared" si="2"/>
        <v>#DIV/0!</v>
      </c>
      <c r="U17" s="25" t="e">
        <f t="shared" si="2"/>
        <v>#DIV/0!</v>
      </c>
      <c r="V17" s="25" t="e">
        <f t="shared" si="2"/>
        <v>#DIV/0!</v>
      </c>
      <c r="W17" s="25" t="e">
        <f t="shared" si="2"/>
        <v>#DIV/0!</v>
      </c>
      <c r="X17" s="25" t="e">
        <f t="shared" si="2"/>
        <v>#DIV/0!</v>
      </c>
      <c r="Y17" s="25" t="e">
        <f t="shared" si="2"/>
        <v>#DIV/0!</v>
      </c>
      <c r="Z17" s="25" t="e">
        <f t="shared" si="2"/>
        <v>#DIV/0!</v>
      </c>
      <c r="AA17" s="25" t="e">
        <f t="shared" si="2"/>
        <v>#DIV/0!</v>
      </c>
      <c r="AB17" s="25" t="e">
        <f t="shared" si="2"/>
        <v>#DIV/0!</v>
      </c>
      <c r="AC17" s="25" t="e">
        <f t="shared" si="2"/>
        <v>#DIV/0!</v>
      </c>
      <c r="AD17" s="25" t="e">
        <f t="shared" si="2"/>
        <v>#DIV/0!</v>
      </c>
      <c r="AE17" s="25" t="e">
        <f t="shared" si="2"/>
        <v>#DIV/0!</v>
      </c>
      <c r="AF17" s="25" t="e">
        <f t="shared" si="2"/>
        <v>#DIV/0!</v>
      </c>
      <c r="AG17" s="25" t="e">
        <f t="shared" si="2"/>
        <v>#DIV/0!</v>
      </c>
      <c r="AH17" s="25" t="e">
        <f t="shared" si="2"/>
        <v>#DIV/0!</v>
      </c>
      <c r="AI17" s="25" t="e">
        <f t="shared" si="2"/>
        <v>#DIV/0!</v>
      </c>
      <c r="AJ17" s="25" t="e">
        <f t="shared" si="2"/>
        <v>#DIV/0!</v>
      </c>
      <c r="AK17" s="25" t="e">
        <f t="shared" si="2"/>
        <v>#DIV/0!</v>
      </c>
      <c r="AL17" s="25" t="e">
        <f t="shared" si="2"/>
        <v>#DIV/0!</v>
      </c>
      <c r="AM17" s="25" t="e">
        <f t="shared" si="2"/>
        <v>#DIV/0!</v>
      </c>
      <c r="AN17" s="25" t="e">
        <f t="shared" si="2"/>
        <v>#DIV/0!</v>
      </c>
      <c r="AO17" s="7"/>
      <c r="AP17" s="26" t="e">
        <f>((AP16-AP15)/AP15)*100</f>
        <v>#DIV/0!</v>
      </c>
    </row>
    <row r="18" spans="6:967" ht="15" hidden="1" customHeight="1" x14ac:dyDescent="0.3">
      <c r="F18" s="11"/>
      <c r="G18" s="27" t="s">
        <v>19</v>
      </c>
      <c r="H18" s="18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7"/>
      <c r="AP18" s="28" t="s">
        <v>20</v>
      </c>
    </row>
    <row r="19" spans="6:967" ht="15" hidden="1" customHeight="1" x14ac:dyDescent="0.3">
      <c r="F19" s="11"/>
      <c r="G19" s="17" t="s">
        <v>9</v>
      </c>
      <c r="H19" s="18"/>
      <c r="I19" s="19" t="s">
        <v>10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7"/>
      <c r="AP19" s="21">
        <f>SUM(J19:AN19)</f>
        <v>0</v>
      </c>
      <c r="AQ19" s="7"/>
    </row>
    <row r="20" spans="6:967" ht="15" hidden="1" customHeight="1" x14ac:dyDescent="0.3">
      <c r="F20" s="11"/>
      <c r="G20" s="17" t="s">
        <v>11</v>
      </c>
      <c r="H20" s="18"/>
      <c r="I20" s="19" t="s">
        <v>10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7"/>
      <c r="AP20" s="21">
        <f>SUM(J20:AN20)</f>
        <v>0</v>
      </c>
    </row>
    <row r="21" spans="6:967" ht="15" hidden="1" customHeight="1" x14ac:dyDescent="0.3">
      <c r="F21" s="11"/>
      <c r="G21" s="17" t="s">
        <v>12</v>
      </c>
      <c r="H21" s="18"/>
      <c r="I21" s="19" t="s">
        <v>13</v>
      </c>
      <c r="J21" s="29" t="e">
        <f t="shared" ref="J21:AN21" si="3">((J20-J19)/J19)*100</f>
        <v>#DIV/0!</v>
      </c>
      <c r="K21" s="29" t="e">
        <f t="shared" si="3"/>
        <v>#DIV/0!</v>
      </c>
      <c r="L21" s="29" t="e">
        <f t="shared" si="3"/>
        <v>#DIV/0!</v>
      </c>
      <c r="M21" s="29" t="e">
        <f t="shared" si="3"/>
        <v>#DIV/0!</v>
      </c>
      <c r="N21" s="29" t="e">
        <f t="shared" si="3"/>
        <v>#DIV/0!</v>
      </c>
      <c r="O21" s="29" t="e">
        <f t="shared" si="3"/>
        <v>#DIV/0!</v>
      </c>
      <c r="P21" s="29" t="e">
        <f t="shared" si="3"/>
        <v>#DIV/0!</v>
      </c>
      <c r="Q21" s="29" t="e">
        <f t="shared" si="3"/>
        <v>#DIV/0!</v>
      </c>
      <c r="R21" s="29" t="e">
        <f t="shared" si="3"/>
        <v>#DIV/0!</v>
      </c>
      <c r="S21" s="29" t="e">
        <f t="shared" si="3"/>
        <v>#DIV/0!</v>
      </c>
      <c r="T21" s="29" t="e">
        <f t="shared" si="3"/>
        <v>#DIV/0!</v>
      </c>
      <c r="U21" s="29" t="e">
        <f t="shared" si="3"/>
        <v>#DIV/0!</v>
      </c>
      <c r="V21" s="29" t="e">
        <f t="shared" si="3"/>
        <v>#DIV/0!</v>
      </c>
      <c r="W21" s="29" t="e">
        <f t="shared" si="3"/>
        <v>#DIV/0!</v>
      </c>
      <c r="X21" s="29" t="e">
        <f t="shared" si="3"/>
        <v>#DIV/0!</v>
      </c>
      <c r="Y21" s="29" t="e">
        <f t="shared" si="3"/>
        <v>#DIV/0!</v>
      </c>
      <c r="Z21" s="29" t="e">
        <f t="shared" si="3"/>
        <v>#DIV/0!</v>
      </c>
      <c r="AA21" s="29" t="e">
        <f t="shared" si="3"/>
        <v>#DIV/0!</v>
      </c>
      <c r="AB21" s="29" t="e">
        <f t="shared" si="3"/>
        <v>#DIV/0!</v>
      </c>
      <c r="AC21" s="29" t="e">
        <f t="shared" si="3"/>
        <v>#DIV/0!</v>
      </c>
      <c r="AD21" s="29" t="e">
        <f t="shared" si="3"/>
        <v>#DIV/0!</v>
      </c>
      <c r="AE21" s="29" t="e">
        <f t="shared" si="3"/>
        <v>#DIV/0!</v>
      </c>
      <c r="AF21" s="29" t="e">
        <f t="shared" si="3"/>
        <v>#DIV/0!</v>
      </c>
      <c r="AG21" s="29" t="e">
        <f t="shared" si="3"/>
        <v>#DIV/0!</v>
      </c>
      <c r="AH21" s="29" t="e">
        <f t="shared" si="3"/>
        <v>#DIV/0!</v>
      </c>
      <c r="AI21" s="29" t="e">
        <f t="shared" si="3"/>
        <v>#DIV/0!</v>
      </c>
      <c r="AJ21" s="29" t="e">
        <f t="shared" si="3"/>
        <v>#DIV/0!</v>
      </c>
      <c r="AK21" s="29" t="e">
        <f t="shared" si="3"/>
        <v>#DIV/0!</v>
      </c>
      <c r="AL21" s="29" t="e">
        <f t="shared" si="3"/>
        <v>#DIV/0!</v>
      </c>
      <c r="AM21" s="29" t="e">
        <f t="shared" si="3"/>
        <v>#DIV/0!</v>
      </c>
      <c r="AN21" s="29" t="e">
        <f t="shared" si="3"/>
        <v>#DIV/0!</v>
      </c>
      <c r="AO21" s="30"/>
      <c r="AP21" s="31" t="e">
        <f>((AP20-AP19)/AP19)*100</f>
        <v>#DIV/0!</v>
      </c>
      <c r="EM21" s="32" t="s">
        <v>21</v>
      </c>
    </row>
    <row r="22" spans="6:967" ht="15" hidden="1" customHeight="1" x14ac:dyDescent="0.3">
      <c r="F22" s="11"/>
      <c r="G22" s="12" t="s">
        <v>22</v>
      </c>
      <c r="H22" s="13"/>
      <c r="I22" s="1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7"/>
      <c r="AP22" s="28" t="s">
        <v>20</v>
      </c>
    </row>
    <row r="23" spans="6:967" ht="15" hidden="1" customHeight="1" x14ac:dyDescent="0.3">
      <c r="F23" s="11"/>
      <c r="G23" s="17" t="s">
        <v>9</v>
      </c>
      <c r="H23" s="18"/>
      <c r="I23" s="19" t="s">
        <v>10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7"/>
      <c r="AP23" s="21">
        <f>SUM(J23:AN23)</f>
        <v>0</v>
      </c>
    </row>
    <row r="24" spans="6:967" ht="15" hidden="1" customHeight="1" x14ac:dyDescent="0.3">
      <c r="F24" s="11"/>
      <c r="G24" s="17" t="s">
        <v>11</v>
      </c>
      <c r="H24" s="18"/>
      <c r="I24" s="19" t="s">
        <v>10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7"/>
      <c r="AP24" s="21">
        <f>SUM(J24:AN24)</f>
        <v>0</v>
      </c>
    </row>
    <row r="25" spans="6:967" ht="15" hidden="1" customHeight="1" thickBot="1" x14ac:dyDescent="0.35">
      <c r="F25" s="11"/>
      <c r="G25" s="22" t="s">
        <v>12</v>
      </c>
      <c r="H25" s="23"/>
      <c r="I25" s="24" t="s">
        <v>13</v>
      </c>
      <c r="J25" s="25" t="e">
        <f t="shared" ref="J25:AN25" si="4">((J24-J23)/J23)*100</f>
        <v>#DIV/0!</v>
      </c>
      <c r="K25" s="25" t="e">
        <f t="shared" si="4"/>
        <v>#DIV/0!</v>
      </c>
      <c r="L25" s="25" t="e">
        <f t="shared" si="4"/>
        <v>#DIV/0!</v>
      </c>
      <c r="M25" s="25" t="e">
        <f t="shared" si="4"/>
        <v>#DIV/0!</v>
      </c>
      <c r="N25" s="25" t="e">
        <f t="shared" si="4"/>
        <v>#DIV/0!</v>
      </c>
      <c r="O25" s="25" t="e">
        <f t="shared" si="4"/>
        <v>#DIV/0!</v>
      </c>
      <c r="P25" s="25" t="e">
        <f t="shared" si="4"/>
        <v>#DIV/0!</v>
      </c>
      <c r="Q25" s="25" t="e">
        <f t="shared" si="4"/>
        <v>#DIV/0!</v>
      </c>
      <c r="R25" s="25" t="e">
        <f t="shared" si="4"/>
        <v>#DIV/0!</v>
      </c>
      <c r="S25" s="25" t="e">
        <f t="shared" si="4"/>
        <v>#DIV/0!</v>
      </c>
      <c r="T25" s="25" t="e">
        <f t="shared" si="4"/>
        <v>#DIV/0!</v>
      </c>
      <c r="U25" s="25" t="e">
        <f t="shared" si="4"/>
        <v>#DIV/0!</v>
      </c>
      <c r="V25" s="25" t="e">
        <f t="shared" si="4"/>
        <v>#DIV/0!</v>
      </c>
      <c r="W25" s="25" t="e">
        <f t="shared" si="4"/>
        <v>#DIV/0!</v>
      </c>
      <c r="X25" s="25" t="e">
        <f t="shared" si="4"/>
        <v>#DIV/0!</v>
      </c>
      <c r="Y25" s="25" t="e">
        <f t="shared" si="4"/>
        <v>#DIV/0!</v>
      </c>
      <c r="Z25" s="25" t="e">
        <f t="shared" si="4"/>
        <v>#DIV/0!</v>
      </c>
      <c r="AA25" s="25" t="e">
        <f t="shared" si="4"/>
        <v>#DIV/0!</v>
      </c>
      <c r="AB25" s="25" t="e">
        <f t="shared" si="4"/>
        <v>#DIV/0!</v>
      </c>
      <c r="AC25" s="25" t="e">
        <f t="shared" si="4"/>
        <v>#DIV/0!</v>
      </c>
      <c r="AD25" s="25" t="e">
        <f t="shared" si="4"/>
        <v>#DIV/0!</v>
      </c>
      <c r="AE25" s="25" t="e">
        <f t="shared" si="4"/>
        <v>#DIV/0!</v>
      </c>
      <c r="AF25" s="25" t="e">
        <f t="shared" si="4"/>
        <v>#DIV/0!</v>
      </c>
      <c r="AG25" s="25" t="e">
        <f t="shared" si="4"/>
        <v>#DIV/0!</v>
      </c>
      <c r="AH25" s="25" t="e">
        <f t="shared" si="4"/>
        <v>#DIV/0!</v>
      </c>
      <c r="AI25" s="25" t="e">
        <f t="shared" si="4"/>
        <v>#DIV/0!</v>
      </c>
      <c r="AJ25" s="25" t="e">
        <f t="shared" si="4"/>
        <v>#DIV/0!</v>
      </c>
      <c r="AK25" s="25" t="e">
        <f t="shared" si="4"/>
        <v>#DIV/0!</v>
      </c>
      <c r="AL25" s="25" t="e">
        <f t="shared" si="4"/>
        <v>#DIV/0!</v>
      </c>
      <c r="AM25" s="25" t="e">
        <f t="shared" si="4"/>
        <v>#DIV/0!</v>
      </c>
      <c r="AN25" s="25" t="e">
        <f t="shared" si="4"/>
        <v>#DIV/0!</v>
      </c>
      <c r="AO25" s="30"/>
      <c r="AP25" s="31" t="e">
        <f>((AP24-AP23)/AP23)*100</f>
        <v>#DIV/0!</v>
      </c>
      <c r="BD25" s="33"/>
    </row>
    <row r="26" spans="6:967" ht="15" hidden="1" customHeight="1" x14ac:dyDescent="0.3">
      <c r="F26" s="11"/>
      <c r="G26" s="34" t="s">
        <v>23</v>
      </c>
      <c r="H26" s="35"/>
      <c r="I26" s="36" t="s">
        <v>10</v>
      </c>
      <c r="J26" s="37">
        <f>SUM(J8,J16,J20)+J12+J24</f>
        <v>0</v>
      </c>
      <c r="K26" s="37">
        <f t="shared" ref="K26:AN26" si="5">SUM(K8,K16,K20)+K12+K24</f>
        <v>0</v>
      </c>
      <c r="L26" s="38">
        <f t="shared" si="5"/>
        <v>0</v>
      </c>
      <c r="M26" s="38">
        <f t="shared" si="5"/>
        <v>0</v>
      </c>
      <c r="N26" s="38">
        <f t="shared" si="5"/>
        <v>0</v>
      </c>
      <c r="O26" s="38">
        <f t="shared" si="5"/>
        <v>0</v>
      </c>
      <c r="P26" s="38">
        <f t="shared" si="5"/>
        <v>0</v>
      </c>
      <c r="Q26" s="37">
        <f t="shared" si="5"/>
        <v>0</v>
      </c>
      <c r="R26" s="38">
        <f t="shared" si="5"/>
        <v>0</v>
      </c>
      <c r="S26" s="38">
        <f t="shared" si="5"/>
        <v>0</v>
      </c>
      <c r="T26" s="38">
        <f t="shared" si="5"/>
        <v>0</v>
      </c>
      <c r="U26" s="38">
        <f t="shared" si="5"/>
        <v>0</v>
      </c>
      <c r="V26" s="38">
        <f t="shared" si="5"/>
        <v>0</v>
      </c>
      <c r="W26" s="38">
        <f t="shared" si="5"/>
        <v>0</v>
      </c>
      <c r="X26" s="38">
        <f t="shared" si="5"/>
        <v>0</v>
      </c>
      <c r="Y26" s="38">
        <f t="shared" si="5"/>
        <v>0</v>
      </c>
      <c r="Z26" s="38">
        <f t="shared" si="5"/>
        <v>0</v>
      </c>
      <c r="AA26" s="38">
        <f t="shared" si="5"/>
        <v>0</v>
      </c>
      <c r="AB26" s="37">
        <f t="shared" si="5"/>
        <v>0</v>
      </c>
      <c r="AC26" s="38">
        <f t="shared" si="5"/>
        <v>0</v>
      </c>
      <c r="AD26" s="37">
        <f t="shared" si="5"/>
        <v>0</v>
      </c>
      <c r="AE26" s="37">
        <f t="shared" si="5"/>
        <v>0</v>
      </c>
      <c r="AF26" s="38">
        <f t="shared" si="5"/>
        <v>0</v>
      </c>
      <c r="AG26" s="38">
        <f t="shared" si="5"/>
        <v>0</v>
      </c>
      <c r="AH26" s="38">
        <f t="shared" si="5"/>
        <v>0</v>
      </c>
      <c r="AI26" s="38">
        <f t="shared" si="5"/>
        <v>0</v>
      </c>
      <c r="AJ26" s="38">
        <f t="shared" si="5"/>
        <v>0</v>
      </c>
      <c r="AK26" s="39">
        <f t="shared" si="5"/>
        <v>0</v>
      </c>
      <c r="AL26" s="38">
        <f t="shared" si="5"/>
        <v>0</v>
      </c>
      <c r="AM26" s="38">
        <f t="shared" si="5"/>
        <v>0</v>
      </c>
      <c r="AN26" s="38">
        <f t="shared" si="5"/>
        <v>0</v>
      </c>
      <c r="AO26" s="7"/>
      <c r="AP26" s="40">
        <f>SUM(AP8,AP16,AP20)+AP12+AP24</f>
        <v>0</v>
      </c>
      <c r="AQ26" s="7"/>
      <c r="AR26" s="6">
        <f>AP26/AP29/1000</f>
        <v>0</v>
      </c>
      <c r="EM26" s="41" t="s">
        <v>24</v>
      </c>
      <c r="EN26" s="42"/>
      <c r="EO26" s="43" t="s">
        <v>25</v>
      </c>
      <c r="EP26" s="44"/>
      <c r="EQ26" s="45"/>
    </row>
    <row r="27" spans="6:967" ht="15" thickBot="1" x14ac:dyDescent="0.35">
      <c r="F27" s="46">
        <v>2</v>
      </c>
      <c r="G27" s="12" t="s">
        <v>26</v>
      </c>
      <c r="H27" s="47"/>
      <c r="I27" s="47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9"/>
      <c r="AH27" s="48"/>
      <c r="AI27" s="48"/>
      <c r="AJ27" s="48"/>
      <c r="AK27" s="48"/>
      <c r="AL27" s="48"/>
      <c r="AM27" s="48"/>
      <c r="AN27" s="48"/>
      <c r="AO27" s="7"/>
      <c r="AP27" s="50" t="s">
        <v>27</v>
      </c>
      <c r="EM27" s="51"/>
      <c r="EN27" s="52"/>
      <c r="EO27" s="53">
        <v>29</v>
      </c>
      <c r="EP27" s="54">
        <v>30</v>
      </c>
      <c r="EQ27" s="55">
        <v>31</v>
      </c>
    </row>
    <row r="28" spans="6:967" x14ac:dyDescent="0.3">
      <c r="F28" s="56"/>
      <c r="G28" s="57" t="s">
        <v>28</v>
      </c>
      <c r="H28" s="13"/>
      <c r="I28" s="14"/>
      <c r="J28" s="58"/>
      <c r="K28" s="59"/>
      <c r="L28" s="58"/>
      <c r="M28" s="58"/>
      <c r="N28" s="60"/>
      <c r="O28" s="58"/>
      <c r="P28" s="58"/>
      <c r="Q28" s="58"/>
      <c r="R28" s="58"/>
      <c r="S28" s="58"/>
      <c r="T28" s="58"/>
      <c r="U28" s="58"/>
      <c r="V28" s="58"/>
      <c r="W28" s="58"/>
      <c r="X28" s="60"/>
      <c r="Y28" s="61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7"/>
      <c r="AP28" s="62" t="s">
        <v>28</v>
      </c>
      <c r="EM28" s="63" t="s">
        <v>29</v>
      </c>
      <c r="EN28" s="64" t="s">
        <v>10</v>
      </c>
      <c r="EO28" s="65">
        <v>1971319.99999999</v>
      </c>
      <c r="EP28" s="66">
        <v>2015120.00000001</v>
      </c>
      <c r="EQ28" s="67">
        <v>2015230</v>
      </c>
      <c r="AKC28" s="68" t="s">
        <v>30</v>
      </c>
      <c r="AKD28" s="68" t="s">
        <v>27</v>
      </c>
      <c r="AKE28" s="68" t="s">
        <v>31</v>
      </c>
    </row>
    <row r="29" spans="6:967" x14ac:dyDescent="0.3">
      <c r="F29" s="56"/>
      <c r="G29" s="17" t="s">
        <v>32</v>
      </c>
      <c r="H29" s="18"/>
      <c r="I29" s="19" t="s">
        <v>33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1</v>
      </c>
      <c r="T29" s="69">
        <v>1</v>
      </c>
      <c r="U29" s="69">
        <v>1</v>
      </c>
      <c r="V29" s="69">
        <v>1</v>
      </c>
      <c r="W29" s="69">
        <v>1</v>
      </c>
      <c r="X29" s="69">
        <v>1</v>
      </c>
      <c r="Y29" s="69">
        <v>1</v>
      </c>
      <c r="Z29" s="69">
        <v>1</v>
      </c>
      <c r="AA29" s="69">
        <v>1</v>
      </c>
      <c r="AB29" s="69">
        <v>1</v>
      </c>
      <c r="AC29" s="69">
        <v>1</v>
      </c>
      <c r="AD29" s="69">
        <v>1</v>
      </c>
      <c r="AE29" s="69">
        <v>1</v>
      </c>
      <c r="AF29" s="69">
        <v>1</v>
      </c>
      <c r="AG29" s="69">
        <v>1</v>
      </c>
      <c r="AH29" s="69">
        <v>1</v>
      </c>
      <c r="AI29" s="69">
        <v>1</v>
      </c>
      <c r="AJ29" s="69">
        <v>1</v>
      </c>
      <c r="AK29" s="69">
        <v>1</v>
      </c>
      <c r="AL29" s="69">
        <v>1</v>
      </c>
      <c r="AM29" s="69">
        <v>1</v>
      </c>
      <c r="AN29" s="69">
        <v>1</v>
      </c>
      <c r="AO29" s="7"/>
      <c r="AP29" s="70">
        <f>SUM(J29:AN29)</f>
        <v>22</v>
      </c>
      <c r="AQ29" s="6"/>
      <c r="AR29" s="71">
        <f>(AP30/AP29)/1000</f>
        <v>1764.5550787935122</v>
      </c>
      <c r="EM29" s="63"/>
      <c r="EO29" s="65"/>
      <c r="EP29" s="66"/>
      <c r="EQ29" s="67"/>
      <c r="GV29" s="7"/>
      <c r="PZ29" s="72" t="s">
        <v>34</v>
      </c>
      <c r="AFM29" s="64" t="s">
        <v>35</v>
      </c>
      <c r="AFN29" s="64" t="s">
        <v>36</v>
      </c>
      <c r="AKB29" s="73" t="s">
        <v>37</v>
      </c>
      <c r="AKC29" s="72">
        <v>11008948</v>
      </c>
      <c r="AKD29" s="72">
        <f>AP30</f>
        <v>38820211.733457267</v>
      </c>
      <c r="AKE29" s="74">
        <f>AKC29-AKD29</f>
        <v>-27811263.733457267</v>
      </c>
    </row>
    <row r="30" spans="6:967" x14ac:dyDescent="0.3">
      <c r="F30" s="56"/>
      <c r="G30" s="75" t="s">
        <v>38</v>
      </c>
      <c r="H30" s="76"/>
      <c r="I30" s="77" t="s">
        <v>10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f>149200-88634.333</f>
        <v>60565.667000000001</v>
      </c>
      <c r="R30" s="78">
        <f>92120-88634.333</f>
        <v>3485.6670000000013</v>
      </c>
      <c r="S30" s="78">
        <f>1229182-83634.333</f>
        <v>1145547.6669999999</v>
      </c>
      <c r="T30" s="321">
        <v>1513810.5360000001</v>
      </c>
      <c r="U30" s="321">
        <v>1782992.6355644099</v>
      </c>
      <c r="V30" s="321">
        <v>1955604.42777043</v>
      </c>
      <c r="W30" s="321">
        <v>1734579</v>
      </c>
      <c r="X30" s="321">
        <v>1774118.0528991499</v>
      </c>
      <c r="Y30" s="321">
        <v>1836145</v>
      </c>
      <c r="Z30" s="321">
        <v>1993559</v>
      </c>
      <c r="AA30" s="321">
        <v>1668743.9875188801</v>
      </c>
      <c r="AB30" s="321">
        <v>1891607</v>
      </c>
      <c r="AC30" s="321">
        <v>2032657</v>
      </c>
      <c r="AD30" s="321">
        <v>1984889</v>
      </c>
      <c r="AE30" s="321">
        <v>2070580</v>
      </c>
      <c r="AF30" s="321">
        <v>1639908.2969851701</v>
      </c>
      <c r="AG30" s="321">
        <v>1632231</v>
      </c>
      <c r="AH30" s="321">
        <v>1754637.7957192301</v>
      </c>
      <c r="AI30" s="321">
        <v>1884252</v>
      </c>
      <c r="AJ30" s="321">
        <v>1802251</v>
      </c>
      <c r="AK30" s="321">
        <v>1856789</v>
      </c>
      <c r="AL30" s="321">
        <v>1610641</v>
      </c>
      <c r="AM30" s="321">
        <v>1486446</v>
      </c>
      <c r="AN30" s="321">
        <v>1704171</v>
      </c>
      <c r="AO30" s="80"/>
      <c r="AP30" s="70">
        <f>SUM(J30:AN30)</f>
        <v>38820211.733457267</v>
      </c>
      <c r="AQ30" s="81"/>
      <c r="AR30" s="81">
        <f>AP30/1000</f>
        <v>38820.211733457269</v>
      </c>
      <c r="AS30" s="33">
        <v>34016</v>
      </c>
      <c r="AT30" s="4">
        <f>AR30/AS30*100</f>
        <v>114.12338820983439</v>
      </c>
      <c r="AX30" s="3" t="s">
        <v>39</v>
      </c>
      <c r="AZ30" s="3" t="s">
        <v>40</v>
      </c>
      <c r="CB30" s="82"/>
      <c r="CC30" s="82"/>
      <c r="DF30" s="82"/>
      <c r="EM30" s="83" t="s">
        <v>41</v>
      </c>
      <c r="EN30" s="84" t="s">
        <v>42</v>
      </c>
      <c r="EO30" s="85">
        <v>251.19641540408301</v>
      </c>
      <c r="EP30" s="86">
        <v>257.91391043490898</v>
      </c>
      <c r="EQ30" s="87">
        <v>251.51265323328099</v>
      </c>
      <c r="ER30" s="82"/>
      <c r="GU30" s="72"/>
      <c r="GV30" s="7"/>
      <c r="KP30" s="82"/>
      <c r="KQ30" s="82"/>
      <c r="KR30" s="72"/>
      <c r="KS30" s="82"/>
      <c r="PW30" s="82">
        <v>26946.1077844311</v>
      </c>
      <c r="PX30" s="82">
        <v>17383.2335329341</v>
      </c>
      <c r="PZ30" s="82" t="s">
        <v>43</v>
      </c>
      <c r="QN30" s="88"/>
      <c r="QR30" s="82"/>
      <c r="SU30" s="88"/>
      <c r="AFM30" s="72">
        <f>35.8500000000058*1000</f>
        <v>35850.000000005799</v>
      </c>
      <c r="AID30" s="72"/>
      <c r="AJS30" s="72"/>
      <c r="AJT30" s="72"/>
      <c r="AJU30" s="72"/>
      <c r="AKB30" s="73" t="s">
        <v>44</v>
      </c>
      <c r="AKC30" s="72">
        <v>566885</v>
      </c>
      <c r="AKD30" s="72">
        <f>AP37</f>
        <v>1841266.8180251175</v>
      </c>
      <c r="AKE30" s="74">
        <f>AKC30-AKD30</f>
        <v>-1274381.8180251175</v>
      </c>
    </row>
    <row r="31" spans="6:967" ht="15" customHeight="1" x14ac:dyDescent="0.3">
      <c r="F31" s="56"/>
      <c r="G31" s="75" t="s">
        <v>45</v>
      </c>
      <c r="H31" s="76"/>
      <c r="I31" s="77" t="s">
        <v>10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80"/>
      <c r="AP31" s="21">
        <f>SUM(J31:AN31)</f>
        <v>0</v>
      </c>
      <c r="AQ31" s="81"/>
      <c r="AR31" s="81"/>
      <c r="CB31" s="82"/>
      <c r="CC31" s="82"/>
      <c r="DF31" s="82"/>
      <c r="EM31" s="63"/>
      <c r="EN31" s="64"/>
      <c r="EO31" s="89"/>
      <c r="EP31" s="90"/>
      <c r="EQ31" s="91"/>
      <c r="ER31" s="82"/>
      <c r="GU31" s="82"/>
      <c r="KP31" s="82"/>
      <c r="KQ31" s="82"/>
      <c r="KR31" s="82"/>
      <c r="KS31" s="82"/>
      <c r="PW31" s="82"/>
      <c r="PX31" s="82"/>
      <c r="PZ31" s="82"/>
      <c r="QN31" s="88"/>
      <c r="QR31" s="82"/>
      <c r="SU31" s="88"/>
      <c r="AID31" s="72"/>
      <c r="AJS31" s="72"/>
      <c r="AJT31" s="72"/>
      <c r="AJU31" s="72"/>
      <c r="AKB31" s="73"/>
      <c r="AKC31" s="72"/>
      <c r="AKD31" s="72"/>
    </row>
    <row r="32" spans="6:967" x14ac:dyDescent="0.3">
      <c r="F32" s="92"/>
      <c r="G32" s="93" t="s">
        <v>46</v>
      </c>
      <c r="H32" s="94">
        <v>5</v>
      </c>
      <c r="I32" s="95" t="s">
        <v>13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96">
        <v>0</v>
      </c>
      <c r="S32" s="96">
        <v>4.95</v>
      </c>
      <c r="T32" s="96">
        <v>4.5999999999999996</v>
      </c>
      <c r="U32" s="96">
        <v>4.45</v>
      </c>
      <c r="V32" s="96">
        <v>4.74</v>
      </c>
      <c r="W32" s="96">
        <v>4.97</v>
      </c>
      <c r="X32" s="96">
        <v>4.29</v>
      </c>
      <c r="Y32" s="96">
        <v>4.76</v>
      </c>
      <c r="Z32" s="96">
        <v>4.46</v>
      </c>
      <c r="AA32" s="96">
        <v>4.3099999999999996</v>
      </c>
      <c r="AB32" s="96">
        <v>4.2300000000000004</v>
      </c>
      <c r="AC32" s="96">
        <v>4.22</v>
      </c>
      <c r="AD32" s="96">
        <v>4.24</v>
      </c>
      <c r="AE32" s="96">
        <v>4.4400000000000004</v>
      </c>
      <c r="AF32" s="96">
        <v>4.17</v>
      </c>
      <c r="AG32" s="96">
        <v>4.46</v>
      </c>
      <c r="AH32" s="96">
        <v>4.2300000000000004</v>
      </c>
      <c r="AI32" s="96">
        <v>4.1900000000000004</v>
      </c>
      <c r="AJ32" s="96">
        <v>4.4400000000000004</v>
      </c>
      <c r="AK32" s="96">
        <v>4.59</v>
      </c>
      <c r="AL32" s="96">
        <v>4.62</v>
      </c>
      <c r="AM32" s="96">
        <v>4.2</v>
      </c>
      <c r="AN32" s="96">
        <v>4.17</v>
      </c>
      <c r="AP32" s="97">
        <f>AVERAGE(S32:AE32)</f>
        <v>4.5123076923076928</v>
      </c>
      <c r="AQ32" s="98"/>
      <c r="AR32" s="99"/>
      <c r="AW32" s="3" t="s">
        <v>47</v>
      </c>
      <c r="AX32" s="100">
        <v>0</v>
      </c>
      <c r="AY32" s="4">
        <v>10.86</v>
      </c>
      <c r="AZ32" s="101">
        <f>AX32*AY32</f>
        <v>0</v>
      </c>
      <c r="BA32" s="4">
        <f>AZ32/1000</f>
        <v>0</v>
      </c>
      <c r="CB32" s="98"/>
      <c r="CC32" s="98"/>
      <c r="DF32" s="98"/>
      <c r="EM32" s="63" t="s">
        <v>48</v>
      </c>
      <c r="EN32" s="64" t="s">
        <v>10</v>
      </c>
      <c r="EO32" s="65">
        <v>182230</v>
      </c>
      <c r="EP32" s="66">
        <v>190070</v>
      </c>
      <c r="EQ32" s="67">
        <v>197800.00000000099</v>
      </c>
      <c r="ER32" s="98"/>
      <c r="GU32" s="98"/>
      <c r="GV32" s="98"/>
      <c r="KP32" s="98"/>
      <c r="KQ32" s="98"/>
      <c r="KR32" s="102"/>
      <c r="KS32" s="98"/>
      <c r="PW32" s="98">
        <f>AP30/1000</f>
        <v>38820.211733457269</v>
      </c>
      <c r="PX32" s="98">
        <f>(AP39+AP49+AP44)/1000</f>
        <v>36902.310690765305</v>
      </c>
      <c r="PZ32" s="98">
        <f>SUM(PZ33:PZ34)</f>
        <v>1562.5543813990569</v>
      </c>
      <c r="QN32" s="103"/>
      <c r="QR32" s="98"/>
      <c r="SU32" s="103"/>
      <c r="AID32" s="98">
        <v>2000</v>
      </c>
      <c r="AJS32" s="98"/>
      <c r="AJT32" s="98"/>
      <c r="AJU32" s="98"/>
      <c r="AKB32" s="104"/>
      <c r="AKC32" s="98"/>
      <c r="AKD32" s="98"/>
    </row>
    <row r="33" spans="5:14973" ht="15" thickBot="1" x14ac:dyDescent="0.35">
      <c r="F33" s="56"/>
      <c r="G33" s="105" t="s">
        <v>49</v>
      </c>
      <c r="H33" s="106">
        <v>0.5</v>
      </c>
      <c r="I33" s="107" t="s">
        <v>13</v>
      </c>
      <c r="J33" s="96">
        <v>0</v>
      </c>
      <c r="K33" s="96">
        <v>0</v>
      </c>
      <c r="L33" s="96">
        <v>0</v>
      </c>
      <c r="M33" s="96">
        <v>0</v>
      </c>
      <c r="N33" s="96">
        <v>0</v>
      </c>
      <c r="O33" s="96">
        <v>0</v>
      </c>
      <c r="P33" s="96">
        <v>0</v>
      </c>
      <c r="Q33" s="96">
        <v>0</v>
      </c>
      <c r="R33" s="96">
        <v>0</v>
      </c>
      <c r="S33" s="96">
        <v>0.35</v>
      </c>
      <c r="T33" s="96">
        <v>0.39</v>
      </c>
      <c r="U33" s="96">
        <v>0.4</v>
      </c>
      <c r="V33" s="96">
        <v>0.4</v>
      </c>
      <c r="W33" s="96">
        <v>0.4</v>
      </c>
      <c r="X33" s="96">
        <v>0.38</v>
      </c>
      <c r="Y33" s="96">
        <v>0.39</v>
      </c>
      <c r="Z33" s="96">
        <v>0.39</v>
      </c>
      <c r="AA33" s="96">
        <v>0.39</v>
      </c>
      <c r="AB33" s="96">
        <v>0.4</v>
      </c>
      <c r="AC33" s="96">
        <v>0.39</v>
      </c>
      <c r="AD33" s="96">
        <v>0.39</v>
      </c>
      <c r="AE33" s="96">
        <v>0.38</v>
      </c>
      <c r="AF33" s="96">
        <v>0.39</v>
      </c>
      <c r="AG33" s="96">
        <v>0.4</v>
      </c>
      <c r="AH33" s="96">
        <v>0.38</v>
      </c>
      <c r="AI33" s="96">
        <v>0.38</v>
      </c>
      <c r="AJ33" s="96">
        <v>0.39</v>
      </c>
      <c r="AK33" s="96">
        <v>0.4</v>
      </c>
      <c r="AL33" s="96">
        <v>0.41</v>
      </c>
      <c r="AM33" s="96">
        <v>0.41</v>
      </c>
      <c r="AN33" s="96">
        <v>0.39</v>
      </c>
      <c r="AO33" s="80"/>
      <c r="AP33" s="97">
        <f>AVERAGE(S33:AE33)</f>
        <v>0.38846153846153847</v>
      </c>
      <c r="AR33" s="81"/>
      <c r="AW33" s="3" t="s">
        <v>50</v>
      </c>
      <c r="AX33" s="100">
        <v>1790</v>
      </c>
      <c r="AY33" s="4">
        <v>10.86</v>
      </c>
      <c r="AZ33" s="101">
        <f>AX33*AY33</f>
        <v>19439.399999999998</v>
      </c>
      <c r="BA33" s="4">
        <f>AZ33/1000</f>
        <v>19.439399999999999</v>
      </c>
      <c r="CB33" s="82"/>
      <c r="CC33" s="82"/>
      <c r="DF33" s="82"/>
      <c r="EM33" s="108"/>
      <c r="EN33" s="109" t="s">
        <v>51</v>
      </c>
      <c r="EO33" s="110">
        <f>EO32/(EO28/1000)</f>
        <v>92.440598177871138</v>
      </c>
      <c r="EP33" s="111">
        <f>EP32/(EP28/1000)</f>
        <v>94.321926237642941</v>
      </c>
      <c r="EQ33" s="112">
        <f>EQ32/(EQ28/1000)</f>
        <v>98.152568193209206</v>
      </c>
      <c r="ER33" s="82"/>
      <c r="GU33" s="82"/>
      <c r="KP33" s="82"/>
      <c r="KQ33" s="98"/>
      <c r="KR33" s="82"/>
      <c r="KS33" s="82"/>
      <c r="PW33" s="100"/>
      <c r="PX33" s="100"/>
      <c r="PZ33" s="100">
        <f>V40/1000</f>
        <v>1283.32</v>
      </c>
      <c r="QA33" s="88">
        <f>PZ33/PZ32*100</f>
        <v>82.129621552816602</v>
      </c>
      <c r="QN33" s="88"/>
      <c r="QR33" s="82"/>
      <c r="SU33" s="88"/>
      <c r="AIC33" s="113">
        <v>0.94199999999999995</v>
      </c>
      <c r="AID33" s="72">
        <f>AIC33*AID32</f>
        <v>1884</v>
      </c>
      <c r="AIE33" s="2" t="s">
        <v>28</v>
      </c>
      <c r="AJS33" s="72"/>
      <c r="AJT33" s="72"/>
      <c r="AJU33" s="72"/>
      <c r="AKB33" s="73" t="s">
        <v>52</v>
      </c>
      <c r="AKC33" s="72">
        <v>9594130</v>
      </c>
      <c r="AKD33" s="72">
        <f>AP40</f>
        <v>30445334.073276844</v>
      </c>
      <c r="AKE33" s="74">
        <f t="shared" ref="AKE33:AKE34" si="6">AKC33-AKD33</f>
        <v>-20851204.073276844</v>
      </c>
    </row>
    <row r="34" spans="5:14973" x14ac:dyDescent="0.3">
      <c r="F34" s="56"/>
      <c r="G34" s="105" t="s">
        <v>53</v>
      </c>
      <c r="H34" s="114" t="s">
        <v>54</v>
      </c>
      <c r="I34" s="107" t="s">
        <v>13</v>
      </c>
      <c r="J34" s="96">
        <v>0</v>
      </c>
      <c r="K34" s="96">
        <v>0</v>
      </c>
      <c r="L34" s="96">
        <v>0</v>
      </c>
      <c r="M34" s="96">
        <v>0</v>
      </c>
      <c r="N34" s="96">
        <v>0</v>
      </c>
      <c r="O34" s="96">
        <v>0</v>
      </c>
      <c r="P34" s="96">
        <v>0</v>
      </c>
      <c r="Q34" s="96">
        <v>0</v>
      </c>
      <c r="R34" s="96">
        <v>0</v>
      </c>
      <c r="S34" s="96">
        <v>2.21</v>
      </c>
      <c r="T34" s="96">
        <v>2.2200000000000002</v>
      </c>
      <c r="U34" s="115">
        <v>2.2200000000000002</v>
      </c>
      <c r="V34" s="96">
        <v>2.21</v>
      </c>
      <c r="W34" s="96">
        <v>2.21</v>
      </c>
      <c r="X34" s="96">
        <v>2.23</v>
      </c>
      <c r="Y34" s="96">
        <v>2.21</v>
      </c>
      <c r="Z34" s="96">
        <v>2.2200000000000002</v>
      </c>
      <c r="AA34" s="96">
        <v>2.2200000000000002</v>
      </c>
      <c r="AB34" s="96">
        <v>2.21</v>
      </c>
      <c r="AC34" s="96">
        <v>2.2200000000000002</v>
      </c>
      <c r="AD34" s="96">
        <v>2.2200000000000002</v>
      </c>
      <c r="AE34" s="96">
        <v>2.21</v>
      </c>
      <c r="AF34" s="96">
        <v>2.2200000000000002</v>
      </c>
      <c r="AG34" s="96">
        <v>2.2200000000000002</v>
      </c>
      <c r="AH34" s="96">
        <v>2.21</v>
      </c>
      <c r="AI34" s="96">
        <v>2.21</v>
      </c>
      <c r="AJ34" s="96">
        <v>2.21</v>
      </c>
      <c r="AK34" s="96">
        <v>2.2200000000000002</v>
      </c>
      <c r="AL34" s="96">
        <v>2.21</v>
      </c>
      <c r="AM34" s="96">
        <v>2.2200000000000002</v>
      </c>
      <c r="AN34" s="96">
        <v>2.21</v>
      </c>
      <c r="AO34" s="80"/>
      <c r="AP34" s="97">
        <f>AVERAGE(S34:AE34)</f>
        <v>2.2161538461538459</v>
      </c>
      <c r="AQ34" s="98"/>
      <c r="AR34" s="81"/>
      <c r="AX34" s="101"/>
      <c r="BA34" s="116">
        <f>SUM(BA32:BA33)</f>
        <v>19.439399999999999</v>
      </c>
      <c r="CB34" s="82"/>
      <c r="CC34" s="82"/>
      <c r="DF34" s="82"/>
      <c r="ER34" s="82"/>
      <c r="GU34" s="82"/>
      <c r="KP34" s="82"/>
      <c r="KQ34" s="82"/>
      <c r="KR34" s="82"/>
      <c r="KS34" s="82"/>
      <c r="PW34" s="82">
        <f>SUM(PW32:PW33)</f>
        <v>38820.211733457269</v>
      </c>
      <c r="PX34" s="82">
        <f>SUM(PX32:PX33)</f>
        <v>36902.310690765305</v>
      </c>
      <c r="PZ34" s="100">
        <f>V41/1000</f>
        <v>279.23438139905699</v>
      </c>
      <c r="QA34" s="88">
        <f>PZ34/PZ32*100</f>
        <v>17.870378447183402</v>
      </c>
      <c r="QN34" s="88"/>
      <c r="QR34" s="82"/>
      <c r="SU34" s="88"/>
      <c r="AIC34" s="117">
        <v>0.05</v>
      </c>
      <c r="AID34" s="72">
        <f>AIC34*AID32</f>
        <v>100</v>
      </c>
      <c r="AJS34" s="72"/>
      <c r="AJT34" s="72"/>
      <c r="AJU34" s="72"/>
      <c r="AKB34" s="73" t="s">
        <v>55</v>
      </c>
      <c r="AKC34" s="72">
        <v>2161151</v>
      </c>
      <c r="AKD34" s="72">
        <f>AP41</f>
        <v>6456976.6174884634</v>
      </c>
      <c r="AKE34" s="74">
        <f t="shared" si="6"/>
        <v>-4295825.6174884634</v>
      </c>
    </row>
    <row r="35" spans="5:14973" x14ac:dyDescent="0.3">
      <c r="F35" s="56"/>
      <c r="G35" s="118" t="s">
        <v>56</v>
      </c>
      <c r="H35" s="119"/>
      <c r="I35" s="120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121"/>
      <c r="AP35" s="122" t="s">
        <v>56</v>
      </c>
      <c r="AQ35" s="81"/>
      <c r="AR35" s="81"/>
      <c r="AX35" s="4"/>
      <c r="AY35" s="123"/>
      <c r="CB35" s="82"/>
      <c r="CC35" s="82"/>
      <c r="CN35" s="124"/>
      <c r="DF35" s="82"/>
      <c r="EN35" s="64"/>
      <c r="EO35" s="82"/>
      <c r="EP35" s="82"/>
      <c r="EQ35" s="82"/>
      <c r="ER35" s="82"/>
      <c r="GU35" s="82"/>
      <c r="KP35" s="82"/>
      <c r="KQ35" s="82"/>
      <c r="KR35" s="82"/>
      <c r="KS35" s="82"/>
      <c r="PW35" s="88">
        <f>PW34/PW30*100</f>
        <v>144.0661190997194</v>
      </c>
      <c r="PX35" s="88">
        <f>PX34/PX30*100</f>
        <v>212.28680280254278</v>
      </c>
      <c r="PZ35" s="82"/>
      <c r="QN35" s="88"/>
      <c r="QR35" s="82"/>
      <c r="SU35" s="88"/>
      <c r="AFO35" s="1" t="s">
        <v>57</v>
      </c>
      <c r="AFP35" s="1"/>
      <c r="AFQ35" s="1"/>
      <c r="AFR35" s="1"/>
      <c r="AFS35" s="1"/>
      <c r="AFT35" s="1"/>
      <c r="AFU35" s="1"/>
      <c r="AFV35" s="1"/>
      <c r="AFW35" s="1"/>
      <c r="AFX35" s="1"/>
      <c r="AFY35" s="64" t="s">
        <v>58</v>
      </c>
      <c r="AFZ35" s="1" t="s">
        <v>59</v>
      </c>
      <c r="AID35" s="72"/>
      <c r="AJS35" s="72"/>
      <c r="AJT35" s="72"/>
      <c r="AJU35" s="72"/>
      <c r="AKC35" s="72"/>
      <c r="AKD35" s="72"/>
    </row>
    <row r="36" spans="5:14973" ht="15" thickBot="1" x14ac:dyDescent="0.35">
      <c r="F36" s="107"/>
      <c r="G36" s="125" t="s">
        <v>60</v>
      </c>
      <c r="H36" s="76">
        <f>H54%*H30</f>
        <v>0</v>
      </c>
      <c r="I36" s="126" t="s">
        <v>10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321">
        <v>1042581.08073335</v>
      </c>
      <c r="T36" s="321">
        <v>1505268.6405966501</v>
      </c>
      <c r="U36" s="321">
        <v>1592847.0432271699</v>
      </c>
      <c r="V36" s="321">
        <v>1951246.26934643</v>
      </c>
      <c r="W36" s="321">
        <v>1656837.08048254</v>
      </c>
      <c r="X36" s="321">
        <v>1732940.6142572199</v>
      </c>
      <c r="Y36" s="321">
        <v>1705460</v>
      </c>
      <c r="Z36" s="321">
        <v>1975543</v>
      </c>
      <c r="AA36" s="321">
        <v>1650605</v>
      </c>
      <c r="AB36" s="321">
        <v>1821260</v>
      </c>
      <c r="AC36" s="321">
        <v>1945739.55493173</v>
      </c>
      <c r="AD36" s="321">
        <v>1924895.14681574</v>
      </c>
      <c r="AE36" s="321">
        <v>2139929.2669332498</v>
      </c>
      <c r="AF36" s="321">
        <v>1404198.85359979</v>
      </c>
      <c r="AG36" s="321">
        <v>1494769</v>
      </c>
      <c r="AH36" s="321">
        <v>1683925.2856233399</v>
      </c>
      <c r="AI36" s="321">
        <v>1778723.4324760099</v>
      </c>
      <c r="AJ36" s="321">
        <v>1467789.72325751</v>
      </c>
      <c r="AK36" s="321">
        <v>1755450</v>
      </c>
      <c r="AL36" s="321">
        <v>1748996.8101122</v>
      </c>
      <c r="AM36" s="321">
        <v>1250843.42949711</v>
      </c>
      <c r="AN36" s="321">
        <v>1488278.7360694001</v>
      </c>
      <c r="AO36" s="80"/>
      <c r="AP36" s="70">
        <f>SUM(J36:AN36)</f>
        <v>36718127.967959441</v>
      </c>
      <c r="AQ36" s="6"/>
      <c r="AR36" s="127"/>
      <c r="AS36" s="4"/>
      <c r="BA36" s="4">
        <v>313.01</v>
      </c>
      <c r="CB36" s="72"/>
      <c r="CC36" s="72"/>
      <c r="CD36" s="7">
        <f>AR36/1000</f>
        <v>0</v>
      </c>
      <c r="CN36" s="124"/>
      <c r="DF36" s="72"/>
      <c r="EM36" s="32" t="s">
        <v>61</v>
      </c>
      <c r="EN36" s="64"/>
      <c r="EO36" s="72"/>
      <c r="EP36" s="72"/>
      <c r="EQ36" s="72"/>
      <c r="ER36" s="72"/>
      <c r="GU36" s="72"/>
      <c r="KP36" s="72"/>
      <c r="KQ36" s="72"/>
      <c r="KR36" s="72"/>
      <c r="KS36" s="72"/>
      <c r="PW36" s="72"/>
      <c r="PX36" s="72"/>
      <c r="PZ36" s="72"/>
      <c r="QN36" s="127"/>
      <c r="QR36" s="72"/>
      <c r="SU36" s="127"/>
      <c r="AFM36" s="72">
        <v>136359.999999986</v>
      </c>
      <c r="AFN36" s="72">
        <v>109339.999999997</v>
      </c>
      <c r="AFO36" s="128">
        <f>SUM(AFM36:AFN36)</f>
        <v>245699.999999983</v>
      </c>
      <c r="AFY36" s="72">
        <v>34157.880000005498</v>
      </c>
      <c r="AFZ36" s="128">
        <f>AFO36-AFY36</f>
        <v>211542.1199999775</v>
      </c>
      <c r="AID36" s="72">
        <f>AID33</f>
        <v>1884</v>
      </c>
      <c r="AJS36" s="72"/>
      <c r="AJT36" s="72"/>
      <c r="AJU36" s="72"/>
      <c r="AKC36" s="72"/>
      <c r="AKD36" s="72"/>
    </row>
    <row r="37" spans="5:14973" x14ac:dyDescent="0.3">
      <c r="F37" s="107"/>
      <c r="G37" s="125" t="s">
        <v>44</v>
      </c>
      <c r="H37" s="76">
        <f>H55%*H30</f>
        <v>0</v>
      </c>
      <c r="I37" s="126" t="s">
        <v>10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322">
        <v>3085</v>
      </c>
      <c r="R37" s="322">
        <v>12785.1257051422</v>
      </c>
      <c r="S37" s="321">
        <v>76621.353065661693</v>
      </c>
      <c r="T37" s="321">
        <v>83013.668008238004</v>
      </c>
      <c r="U37" s="321">
        <v>91425.164936381305</v>
      </c>
      <c r="V37" s="321">
        <v>101678.445928652</v>
      </c>
      <c r="W37" s="321">
        <v>91533.768747526206</v>
      </c>
      <c r="X37" s="321">
        <v>76671.291633515997</v>
      </c>
      <c r="Y37" s="321">
        <v>94879</v>
      </c>
      <c r="Z37" s="321">
        <v>92478</v>
      </c>
      <c r="AA37" s="321">
        <v>67786</v>
      </c>
      <c r="AB37" s="321">
        <v>78721</v>
      </c>
      <c r="AC37" s="321">
        <v>87275</v>
      </c>
      <c r="AD37" s="321">
        <v>89801</v>
      </c>
      <c r="AE37" s="321">
        <v>101199</v>
      </c>
      <c r="AF37" s="321">
        <v>62613</v>
      </c>
      <c r="AG37" s="321">
        <v>78729</v>
      </c>
      <c r="AH37" s="321">
        <v>69676</v>
      </c>
      <c r="AI37" s="321">
        <v>83166</v>
      </c>
      <c r="AJ37" s="321">
        <v>84344</v>
      </c>
      <c r="AK37" s="321">
        <v>87966</v>
      </c>
      <c r="AL37" s="321">
        <v>82312</v>
      </c>
      <c r="AM37" s="321">
        <v>72061</v>
      </c>
      <c r="AN37" s="321">
        <v>71447</v>
      </c>
      <c r="AO37" s="80"/>
      <c r="AP37" s="70">
        <f>SUM(J37:AN37)</f>
        <v>1841266.8180251175</v>
      </c>
      <c r="AQ37" s="6"/>
      <c r="AR37" s="127"/>
      <c r="AS37" s="4"/>
      <c r="BA37" s="4">
        <f>SUM(BA36,BA34)</f>
        <v>332.44939999999997</v>
      </c>
      <c r="BB37" s="3" t="s">
        <v>62</v>
      </c>
      <c r="CB37" s="72"/>
      <c r="CC37" s="72"/>
      <c r="CD37" s="7">
        <f>AR37/1000</f>
        <v>0</v>
      </c>
      <c r="DF37" s="72"/>
      <c r="EM37" s="41" t="s">
        <v>24</v>
      </c>
      <c r="EN37" s="129"/>
      <c r="EO37" s="130" t="s">
        <v>63</v>
      </c>
      <c r="EP37" s="44" t="s">
        <v>64</v>
      </c>
      <c r="EQ37" s="45"/>
      <c r="ER37" s="72"/>
      <c r="GU37" s="72"/>
      <c r="KP37" s="72"/>
      <c r="KQ37" s="72"/>
      <c r="KR37" s="72"/>
      <c r="KS37" s="72"/>
      <c r="PW37" s="72">
        <f>PW30-PW34</f>
        <v>-11874.103949026168</v>
      </c>
      <c r="PX37" s="72">
        <f>PX30-PX34</f>
        <v>-19519.077157831205</v>
      </c>
      <c r="PZ37" s="131" t="s">
        <v>65</v>
      </c>
      <c r="QA37" s="132">
        <v>0</v>
      </c>
      <c r="QM37" s="72">
        <v>564.70506750000004</v>
      </c>
      <c r="QN37" s="127">
        <f>QA37/QM37*100</f>
        <v>0</v>
      </c>
      <c r="QQ37" s="117"/>
      <c r="QR37" s="72"/>
      <c r="SU37" s="127"/>
      <c r="AFM37" s="72">
        <v>13799.9999999993</v>
      </c>
      <c r="AFN37" s="72">
        <v>2799.9999999992701</v>
      </c>
      <c r="AFO37" s="128">
        <f>SUM(AFM37:AFN37)</f>
        <v>16599.99999999857</v>
      </c>
      <c r="AFY37" s="72">
        <v>1469.85000000024</v>
      </c>
      <c r="AFZ37" s="128">
        <f>AFO37-AFY37</f>
        <v>15130.14999999833</v>
      </c>
      <c r="AIC37" s="117">
        <v>0.75</v>
      </c>
      <c r="AID37" s="72">
        <f>AIC37*AID36</f>
        <v>1413</v>
      </c>
      <c r="AJS37" s="72"/>
      <c r="AJT37" s="72"/>
      <c r="AJU37" s="72"/>
      <c r="AKC37" s="72"/>
      <c r="AKD37" s="72"/>
    </row>
    <row r="38" spans="5:14973" ht="15" thickBot="1" x14ac:dyDescent="0.35">
      <c r="F38" s="107"/>
      <c r="G38" s="133" t="s">
        <v>66</v>
      </c>
      <c r="H38" s="134"/>
      <c r="I38" s="135"/>
      <c r="J38" s="58"/>
      <c r="K38" s="58"/>
      <c r="L38" s="58"/>
      <c r="M38" s="58"/>
      <c r="N38" s="58"/>
      <c r="O38" s="58"/>
      <c r="P38" s="58"/>
      <c r="Q38" s="69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80"/>
      <c r="AP38" s="136" t="s">
        <v>52</v>
      </c>
      <c r="AQ38" s="6"/>
      <c r="AR38" s="124"/>
      <c r="AS38" s="4"/>
      <c r="AU38" s="101">
        <v>30043</v>
      </c>
      <c r="BA38" s="101">
        <v>2977</v>
      </c>
      <c r="BB38" s="3" t="s">
        <v>67</v>
      </c>
      <c r="EM38" s="51"/>
      <c r="EN38" s="137"/>
      <c r="EO38" s="53">
        <v>24</v>
      </c>
      <c r="EP38" s="54">
        <v>2</v>
      </c>
      <c r="EQ38" s="55">
        <v>3</v>
      </c>
      <c r="PZ38" s="131" t="s">
        <v>68</v>
      </c>
      <c r="QA38" s="138">
        <f>80.53776+QN44</f>
        <v>120.78492</v>
      </c>
      <c r="QM38" s="72">
        <v>4695.7554</v>
      </c>
      <c r="QN38" s="127">
        <f>QA38/QM38*100</f>
        <v>2.5722148985869238</v>
      </c>
      <c r="AIC38" s="117">
        <v>0.25</v>
      </c>
      <c r="AID38" s="72">
        <f>AIC38*AID36</f>
        <v>471</v>
      </c>
    </row>
    <row r="39" spans="5:14973" x14ac:dyDescent="0.3">
      <c r="F39" s="107"/>
      <c r="G39" s="125" t="s">
        <v>69</v>
      </c>
      <c r="H39" s="139">
        <f>SUM(H40:H41)</f>
        <v>0</v>
      </c>
      <c r="I39" s="126" t="s">
        <v>10</v>
      </c>
      <c r="J39" s="78">
        <f>SUM(J40:J41)</f>
        <v>0</v>
      </c>
      <c r="K39" s="78">
        <f t="shared" ref="K39:P39" si="7">SUM(K40:K41)</f>
        <v>0</v>
      </c>
      <c r="L39" s="78">
        <f t="shared" si="7"/>
        <v>0</v>
      </c>
      <c r="M39" s="78">
        <f t="shared" si="7"/>
        <v>0</v>
      </c>
      <c r="N39" s="78">
        <f t="shared" si="7"/>
        <v>0</v>
      </c>
      <c r="O39" s="78">
        <f t="shared" si="7"/>
        <v>0</v>
      </c>
      <c r="P39" s="78">
        <f t="shared" si="7"/>
        <v>0</v>
      </c>
      <c r="Q39" s="321">
        <v>870118</v>
      </c>
      <c r="R39" s="321">
        <v>1191523</v>
      </c>
      <c r="S39" s="321">
        <f>SUM(S40:S41)</f>
        <v>1201987.9964911949</v>
      </c>
      <c r="T39" s="321">
        <f t="shared" ref="T39:AM39" si="8">SUM(T40:T41)</f>
        <v>1421623.49023408</v>
      </c>
      <c r="U39" s="321">
        <f t="shared" si="8"/>
        <v>1488811.516016477</v>
      </c>
      <c r="V39" s="321">
        <f t="shared" si="8"/>
        <v>1562554.3813990569</v>
      </c>
      <c r="W39" s="321">
        <f t="shared" si="8"/>
        <v>1529130.1325876541</v>
      </c>
      <c r="X39" s="321">
        <f t="shared" si="8"/>
        <v>1591912</v>
      </c>
      <c r="Y39" s="321">
        <f t="shared" si="8"/>
        <v>1642336.4644975699</v>
      </c>
      <c r="Z39" s="321">
        <f t="shared" si="8"/>
        <v>2220639.4174763099</v>
      </c>
      <c r="AA39" s="321">
        <f t="shared" si="8"/>
        <v>1813763</v>
      </c>
      <c r="AB39" s="321">
        <f t="shared" si="8"/>
        <v>2028290</v>
      </c>
      <c r="AC39" s="321">
        <f t="shared" si="8"/>
        <v>1996141.55493173</v>
      </c>
      <c r="AD39" s="321">
        <f t="shared" si="8"/>
        <v>1894085.3674941801</v>
      </c>
      <c r="AE39" s="321">
        <f t="shared" si="8"/>
        <v>1550521</v>
      </c>
      <c r="AF39" s="321">
        <f t="shared" si="8"/>
        <v>1314279</v>
      </c>
      <c r="AG39" s="321">
        <f t="shared" si="8"/>
        <v>1329755</v>
      </c>
      <c r="AH39" s="321">
        <f t="shared" si="8"/>
        <v>1578988</v>
      </c>
      <c r="AI39" s="321">
        <f t="shared" si="8"/>
        <v>1745780</v>
      </c>
      <c r="AJ39" s="321">
        <f t="shared" si="8"/>
        <v>1442672.9194370969</v>
      </c>
      <c r="AK39" s="321">
        <f t="shared" si="8"/>
        <v>2052393.1924692299</v>
      </c>
      <c r="AL39" s="321">
        <f t="shared" si="8"/>
        <v>1324328</v>
      </c>
      <c r="AM39" s="321">
        <f t="shared" si="8"/>
        <v>1335692.42949711</v>
      </c>
      <c r="AN39" s="321">
        <f>SUM(AN40:AN41)</f>
        <v>1245978.3465331499</v>
      </c>
      <c r="AO39" s="80"/>
      <c r="AP39" s="70">
        <f>SUM(AP40+AP41)</f>
        <v>36902310.690765306</v>
      </c>
      <c r="AQ39" s="81"/>
      <c r="AR39" s="88"/>
      <c r="AS39" s="33">
        <f>SUM(AS40:AS41)</f>
        <v>1550.521</v>
      </c>
      <c r="AU39" s="33">
        <f>AP39/1000</f>
        <v>36902.310690765305</v>
      </c>
      <c r="AV39" s="4">
        <f>AU39/AU38*100</f>
        <v>122.83164361337184</v>
      </c>
      <c r="BA39" s="4">
        <f>BA37/BA38*100</f>
        <v>11.167262344642257</v>
      </c>
      <c r="BB39" s="3" t="s">
        <v>13</v>
      </c>
      <c r="CB39" s="82"/>
      <c r="CC39" s="82"/>
      <c r="DF39" s="82"/>
      <c r="EM39" s="63" t="s">
        <v>29</v>
      </c>
      <c r="EN39" s="64" t="s">
        <v>10</v>
      </c>
      <c r="EO39" s="65">
        <v>2000530</v>
      </c>
      <c r="EP39" s="90">
        <v>2005167</v>
      </c>
      <c r="EQ39" s="67">
        <v>2025879</v>
      </c>
      <c r="ER39" s="82"/>
      <c r="GU39" s="82"/>
      <c r="KP39" s="82"/>
      <c r="KQ39" s="82"/>
      <c r="KR39" s="82"/>
      <c r="KS39" s="82"/>
      <c r="PW39" s="82"/>
      <c r="PX39" s="82"/>
      <c r="PZ39" s="82"/>
      <c r="QN39" s="88"/>
      <c r="QR39" s="82"/>
      <c r="SU39" s="88"/>
      <c r="AFM39" s="74">
        <f>95.28%*AFM30</f>
        <v>34157.880000005527</v>
      </c>
      <c r="AFO39" s="74">
        <f>AFM36-AFY36</f>
        <v>102202.1199999805</v>
      </c>
      <c r="AID39" s="72"/>
      <c r="AJS39" s="72"/>
      <c r="AJT39" s="72"/>
      <c r="AJU39" s="72"/>
      <c r="AJY39" s="2" t="s">
        <v>70</v>
      </c>
    </row>
    <row r="40" spans="5:14973" x14ac:dyDescent="0.3">
      <c r="F40" s="107"/>
      <c r="G40" s="125" t="s">
        <v>71</v>
      </c>
      <c r="H40" s="139"/>
      <c r="I40" s="126" t="s">
        <v>10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321">
        <v>424802.12997915002</v>
      </c>
      <c r="R40" s="321">
        <v>914539.19406761206</v>
      </c>
      <c r="S40" s="321">
        <v>1007177.87019025</v>
      </c>
      <c r="T40" s="321">
        <v>1181520.0658362</v>
      </c>
      <c r="U40" s="321">
        <v>1234100</v>
      </c>
      <c r="V40" s="321">
        <v>1283320</v>
      </c>
      <c r="W40" s="321">
        <v>1240228.04030435</v>
      </c>
      <c r="X40" s="321">
        <v>1309683</v>
      </c>
      <c r="Y40" s="321">
        <v>1359238.4644975699</v>
      </c>
      <c r="Z40" s="321">
        <v>1831188.4174763099</v>
      </c>
      <c r="AA40" s="321">
        <v>1507513</v>
      </c>
      <c r="AB40" s="321">
        <v>1678891</v>
      </c>
      <c r="AC40" s="321">
        <v>1646830.55493173</v>
      </c>
      <c r="AD40" s="321">
        <v>1552039.3674941801</v>
      </c>
      <c r="AE40" s="321">
        <v>1281799</v>
      </c>
      <c r="AF40" s="321">
        <v>1086171</v>
      </c>
      <c r="AG40" s="321">
        <v>1080349</v>
      </c>
      <c r="AH40" s="321">
        <v>1330309</v>
      </c>
      <c r="AI40" s="321">
        <v>1441642</v>
      </c>
      <c r="AJ40" s="321">
        <v>1163732</v>
      </c>
      <c r="AK40" s="321">
        <v>1706461.1924692299</v>
      </c>
      <c r="AL40" s="321">
        <v>1091989</v>
      </c>
      <c r="AM40" s="321">
        <v>1118317.42949711</v>
      </c>
      <c r="AN40" s="321">
        <v>973493.34653314995</v>
      </c>
      <c r="AO40" s="80"/>
      <c r="AP40" s="70">
        <f>SUM(J40:AN40)</f>
        <v>30445334.073276844</v>
      </c>
      <c r="AQ40" s="72"/>
      <c r="AS40" s="33">
        <f>AE40/1000</f>
        <v>1281.799</v>
      </c>
      <c r="AT40" s="4">
        <f>AS40/AS39*100</f>
        <v>82.668922252584778</v>
      </c>
      <c r="AU40" s="33">
        <f>AP40/1000</f>
        <v>30445.334073276845</v>
      </c>
      <c r="CD40" s="7">
        <f>AR40/1000</f>
        <v>0</v>
      </c>
      <c r="EM40" s="83" t="s">
        <v>41</v>
      </c>
      <c r="EN40" s="84" t="s">
        <v>42</v>
      </c>
      <c r="EO40" s="85">
        <v>255.536188590634</v>
      </c>
      <c r="EP40" s="140">
        <v>255.09239449100701</v>
      </c>
      <c r="EQ40" s="87">
        <v>260.824545250543</v>
      </c>
      <c r="PW40" s="100">
        <f>V30/1000</f>
        <v>1955.60442777043</v>
      </c>
      <c r="PZ40" s="141" t="s">
        <v>72</v>
      </c>
      <c r="QA40" s="72">
        <v>0</v>
      </c>
      <c r="QM40" s="72">
        <v>9.7534799999999997</v>
      </c>
      <c r="QN40" s="127">
        <f>(QA40*QM40)/1000</f>
        <v>0</v>
      </c>
      <c r="AFM40" s="74">
        <f>4.1%*AFM30</f>
        <v>1469.8500000002375</v>
      </c>
      <c r="AFO40" s="74">
        <f>AFM37-AFY37</f>
        <v>12330.149999999059</v>
      </c>
    </row>
    <row r="41" spans="5:14973" x14ac:dyDescent="0.3">
      <c r="F41" s="107"/>
      <c r="G41" s="125" t="s">
        <v>73</v>
      </c>
      <c r="H41" s="139"/>
      <c r="I41" s="126" t="s">
        <v>10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321">
        <v>73973.284512519895</v>
      </c>
      <c r="R41" s="321">
        <v>177332.87314118299</v>
      </c>
      <c r="S41" s="321">
        <v>194810.126300945</v>
      </c>
      <c r="T41" s="321">
        <v>240103.42439788001</v>
      </c>
      <c r="U41" s="321">
        <v>254711.51601647699</v>
      </c>
      <c r="V41" s="321">
        <v>279234.38139905699</v>
      </c>
      <c r="W41" s="321">
        <v>288902.09228330402</v>
      </c>
      <c r="X41" s="321">
        <v>282229</v>
      </c>
      <c r="Y41" s="321">
        <v>283098</v>
      </c>
      <c r="Z41" s="321">
        <v>389451</v>
      </c>
      <c r="AA41" s="321">
        <v>306250</v>
      </c>
      <c r="AB41" s="321">
        <v>349399</v>
      </c>
      <c r="AC41" s="321">
        <v>349311</v>
      </c>
      <c r="AD41" s="321">
        <v>342046</v>
      </c>
      <c r="AE41" s="321">
        <v>268722</v>
      </c>
      <c r="AF41" s="321">
        <v>228108</v>
      </c>
      <c r="AG41" s="321">
        <v>249406</v>
      </c>
      <c r="AH41" s="321">
        <v>248679</v>
      </c>
      <c r="AI41" s="321">
        <v>304138</v>
      </c>
      <c r="AJ41" s="321">
        <v>278940.91943709698</v>
      </c>
      <c r="AK41" s="321">
        <v>345932</v>
      </c>
      <c r="AL41" s="321">
        <v>232339</v>
      </c>
      <c r="AM41" s="321">
        <v>217375</v>
      </c>
      <c r="AN41" s="321">
        <v>272485</v>
      </c>
      <c r="AO41" s="80"/>
      <c r="AP41" s="70">
        <f>SUM(J41:AN41)</f>
        <v>6456976.6174884634</v>
      </c>
      <c r="AQ41" s="72"/>
      <c r="AS41" s="33">
        <f>AE41/1000</f>
        <v>268.72199999999998</v>
      </c>
      <c r="AT41" s="4">
        <f>AS41/AS39*100</f>
        <v>17.331077747415222</v>
      </c>
      <c r="AU41" s="33">
        <f>AP41/1000</f>
        <v>6456.9766174884635</v>
      </c>
      <c r="CD41" s="7">
        <f>AR41/1000</f>
        <v>0</v>
      </c>
      <c r="EM41" s="63" t="s">
        <v>48</v>
      </c>
      <c r="EN41" s="64" t="s">
        <v>10</v>
      </c>
      <c r="EO41" s="65">
        <v>146000</v>
      </c>
      <c r="EP41" s="66">
        <v>151100</v>
      </c>
      <c r="EQ41" s="67">
        <v>152900</v>
      </c>
      <c r="PW41" s="72">
        <v>1796</v>
      </c>
      <c r="PY41" s="127"/>
      <c r="PZ41" s="141" t="s">
        <v>47</v>
      </c>
      <c r="QA41" s="100">
        <v>1262</v>
      </c>
      <c r="QM41" s="2">
        <v>10.86</v>
      </c>
      <c r="QN41" s="127">
        <f t="shared" ref="QN41:QN42" si="9">(QA41*QM41)/1000</f>
        <v>13.70532</v>
      </c>
      <c r="AJY41" s="73" t="s">
        <v>74</v>
      </c>
    </row>
    <row r="42" spans="5:14973" ht="15.75" customHeight="1" thickBot="1" x14ac:dyDescent="0.35">
      <c r="F42" s="107"/>
      <c r="G42" s="133" t="s">
        <v>75</v>
      </c>
      <c r="H42" s="142"/>
      <c r="I42" s="135"/>
      <c r="J42" s="58"/>
      <c r="K42" s="58"/>
      <c r="L42" s="58"/>
      <c r="M42" s="143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144"/>
      <c r="AD42" s="145"/>
      <c r="AE42" s="145"/>
      <c r="AF42" s="144"/>
      <c r="AG42" s="144"/>
      <c r="AH42" s="144"/>
      <c r="AI42" s="144"/>
      <c r="AJ42" s="144"/>
      <c r="AK42" s="144"/>
      <c r="AL42" s="144"/>
      <c r="AM42" s="144"/>
      <c r="AN42" s="144"/>
      <c r="AO42" s="80"/>
      <c r="AP42" s="136" t="s">
        <v>65</v>
      </c>
      <c r="AQ42" s="72"/>
      <c r="EM42" s="108"/>
      <c r="EN42" s="109" t="s">
        <v>51</v>
      </c>
      <c r="EO42" s="146">
        <f>EO41/(EO39/1000)</f>
        <v>72.980660125066862</v>
      </c>
      <c r="EP42" s="147">
        <f t="shared" ref="EP42:EQ42" si="10">EP41/(EP39/1000)</f>
        <v>75.35531953198911</v>
      </c>
      <c r="EQ42" s="148">
        <f t="shared" si="10"/>
        <v>75.473411788167013</v>
      </c>
      <c r="PW42" s="127">
        <f>PW40/PW41*100</f>
        <v>108.88666078899945</v>
      </c>
      <c r="PY42" s="127"/>
      <c r="PZ42" s="141" t="s">
        <v>76</v>
      </c>
      <c r="QA42" s="100">
        <v>2444</v>
      </c>
      <c r="QM42" s="2">
        <v>10.86</v>
      </c>
      <c r="QN42" s="127">
        <f t="shared" si="9"/>
        <v>26.541840000000001</v>
      </c>
      <c r="AJY42" s="73" t="s">
        <v>31</v>
      </c>
    </row>
    <row r="43" spans="5:14973" ht="15" customHeight="1" x14ac:dyDescent="0.3">
      <c r="E43" s="149"/>
      <c r="F43" s="19"/>
      <c r="G43" s="150" t="s">
        <v>38</v>
      </c>
      <c r="H43" s="151"/>
      <c r="I43" s="152" t="s">
        <v>10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153"/>
      <c r="AI43" s="153"/>
      <c r="AJ43" s="153"/>
      <c r="AK43" s="153"/>
      <c r="AL43" s="153"/>
      <c r="AM43" s="153"/>
      <c r="AN43" s="153"/>
      <c r="AO43" s="154"/>
      <c r="AP43" s="155">
        <f>SUM(J43:AN43)</f>
        <v>0</v>
      </c>
      <c r="AQ43" s="156"/>
      <c r="AR43" s="157"/>
      <c r="AS43" s="158"/>
      <c r="AT43" s="159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6"/>
      <c r="CC43" s="156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D43" s="149"/>
      <c r="DE43" s="149"/>
      <c r="DF43" s="156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N43" s="64" t="s">
        <v>51</v>
      </c>
      <c r="EO43" s="88" t="e">
        <f>EO41/(EO37/1000)</f>
        <v>#VALUE!</v>
      </c>
      <c r="EP43" s="88" t="e">
        <f>EQ41/(EP37/1000)</f>
        <v>#VALUE!</v>
      </c>
      <c r="EQ43" s="88" t="e">
        <f>#REF!/(EQ37/1000)</f>
        <v>#REF!</v>
      </c>
      <c r="ER43" s="156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  <c r="GG43" s="149"/>
      <c r="GH43" s="149"/>
      <c r="GI43" s="149"/>
      <c r="GJ43" s="149"/>
      <c r="GK43" s="149"/>
      <c r="GL43" s="149"/>
      <c r="GM43" s="149"/>
      <c r="GN43" s="149"/>
      <c r="GO43" s="149"/>
      <c r="GP43" s="149"/>
      <c r="GQ43" s="149"/>
      <c r="GR43" s="149"/>
      <c r="GS43" s="149"/>
      <c r="GT43" s="149"/>
      <c r="GU43" s="156"/>
      <c r="GV43" s="149"/>
      <c r="GW43" s="149"/>
      <c r="GX43" s="149"/>
      <c r="GY43" s="149"/>
      <c r="GZ43" s="149"/>
      <c r="HA43" s="149"/>
      <c r="HB43" s="149"/>
      <c r="HC43" s="149"/>
      <c r="HD43" s="149"/>
      <c r="HE43" s="149"/>
      <c r="HF43" s="149"/>
      <c r="HG43" s="149"/>
      <c r="HH43" s="149"/>
      <c r="HI43" s="149"/>
      <c r="HJ43" s="149"/>
      <c r="HK43" s="149"/>
      <c r="HL43" s="149"/>
      <c r="HM43" s="149"/>
      <c r="HN43" s="149"/>
      <c r="HO43" s="149"/>
      <c r="HP43" s="149"/>
      <c r="HQ43" s="149"/>
      <c r="HR43" s="149"/>
      <c r="HS43" s="149"/>
      <c r="HT43" s="149"/>
      <c r="HU43" s="149"/>
      <c r="HV43" s="149"/>
      <c r="HW43" s="149"/>
      <c r="HX43" s="149"/>
      <c r="HY43" s="149"/>
      <c r="HZ43" s="149"/>
      <c r="IA43" s="149"/>
      <c r="IB43" s="149"/>
      <c r="IC43" s="149"/>
      <c r="ID43" s="149"/>
      <c r="IE43" s="149"/>
      <c r="IF43" s="149"/>
      <c r="IG43" s="149"/>
      <c r="IH43" s="149"/>
      <c r="II43" s="149"/>
      <c r="IJ43" s="149"/>
      <c r="IK43" s="149"/>
      <c r="IL43" s="149"/>
      <c r="IM43" s="149"/>
      <c r="IN43" s="149"/>
      <c r="IO43" s="149"/>
      <c r="IP43" s="149"/>
      <c r="IQ43" s="149"/>
      <c r="IR43" s="149"/>
      <c r="IS43" s="149"/>
      <c r="IT43" s="149"/>
      <c r="IU43" s="149"/>
      <c r="IV43" s="149"/>
      <c r="IW43" s="149"/>
      <c r="IX43" s="149"/>
      <c r="IY43" s="149"/>
      <c r="IZ43" s="149"/>
      <c r="JA43" s="149"/>
      <c r="JB43" s="149"/>
      <c r="JC43" s="149"/>
      <c r="JD43" s="149"/>
      <c r="JE43" s="149"/>
      <c r="JF43" s="149"/>
      <c r="JG43" s="149"/>
      <c r="JH43" s="149"/>
      <c r="JI43" s="149"/>
      <c r="JJ43" s="149"/>
      <c r="JK43" s="149"/>
      <c r="JL43" s="149"/>
      <c r="JM43" s="149"/>
      <c r="JN43" s="149"/>
      <c r="JO43" s="149"/>
      <c r="JP43" s="149"/>
      <c r="JQ43" s="149"/>
      <c r="JR43" s="149"/>
      <c r="JS43" s="149"/>
      <c r="JT43" s="149"/>
      <c r="JU43" s="149"/>
      <c r="JV43" s="149"/>
      <c r="JW43" s="149"/>
      <c r="JX43" s="149"/>
      <c r="JY43" s="149"/>
      <c r="JZ43" s="149"/>
      <c r="KA43" s="149"/>
      <c r="KB43" s="149"/>
      <c r="KC43" s="149"/>
      <c r="KD43" s="149"/>
      <c r="KE43" s="149"/>
      <c r="KF43" s="149"/>
      <c r="KG43" s="149"/>
      <c r="KH43" s="149"/>
      <c r="KI43" s="149"/>
      <c r="KJ43" s="149"/>
      <c r="KK43" s="149"/>
      <c r="KL43" s="149"/>
      <c r="KM43" s="149"/>
      <c r="KN43" s="149"/>
      <c r="KO43" s="149"/>
      <c r="KP43" s="156"/>
      <c r="KQ43" s="156"/>
      <c r="KR43" s="156"/>
      <c r="KS43" s="156"/>
      <c r="KT43" s="149"/>
      <c r="KU43" s="149"/>
      <c r="KV43" s="149"/>
      <c r="KW43" s="149"/>
      <c r="KX43" s="149"/>
      <c r="KY43" s="149"/>
      <c r="KZ43" s="149"/>
      <c r="LA43" s="149"/>
      <c r="LB43" s="149"/>
      <c r="LC43" s="149"/>
      <c r="LD43" s="149"/>
      <c r="LE43" s="149"/>
      <c r="LF43" s="149"/>
      <c r="LG43" s="149"/>
      <c r="LH43" s="149"/>
      <c r="LI43" s="149"/>
      <c r="LJ43" s="149"/>
      <c r="LK43" s="149"/>
      <c r="LL43" s="149"/>
      <c r="LM43" s="149"/>
      <c r="LN43" s="149"/>
      <c r="LO43" s="149"/>
      <c r="LP43" s="149"/>
      <c r="LQ43" s="149"/>
      <c r="LR43" s="149"/>
      <c r="LS43" s="149"/>
      <c r="LT43" s="149"/>
      <c r="LU43" s="149"/>
      <c r="LV43" s="149"/>
      <c r="LW43" s="149"/>
      <c r="LX43" s="149"/>
      <c r="LY43" s="149"/>
      <c r="LZ43" s="149"/>
      <c r="MA43" s="149"/>
      <c r="MB43" s="149"/>
      <c r="MC43" s="149"/>
      <c r="MD43" s="149"/>
      <c r="ME43" s="149"/>
      <c r="MF43" s="149"/>
      <c r="MG43" s="149"/>
      <c r="MH43" s="149"/>
      <c r="MI43" s="149"/>
      <c r="MJ43" s="149"/>
      <c r="MK43" s="149"/>
      <c r="ML43" s="149"/>
      <c r="MM43" s="149"/>
      <c r="MN43" s="149"/>
      <c r="MO43" s="149"/>
      <c r="MP43" s="149"/>
      <c r="MQ43" s="149"/>
      <c r="MR43" s="149"/>
      <c r="MS43" s="149"/>
      <c r="MT43" s="149"/>
      <c r="MU43" s="149"/>
      <c r="MV43" s="149"/>
      <c r="MW43" s="149"/>
      <c r="MX43" s="149"/>
      <c r="MY43" s="149"/>
      <c r="MZ43" s="149"/>
      <c r="NA43" s="149"/>
      <c r="NB43" s="149"/>
      <c r="NC43" s="149"/>
      <c r="ND43" s="149"/>
      <c r="NE43" s="149"/>
      <c r="NF43" s="149"/>
      <c r="NG43" s="149"/>
      <c r="NH43" s="149"/>
      <c r="NI43" s="149"/>
      <c r="NJ43" s="149"/>
      <c r="NK43" s="149"/>
      <c r="NL43" s="149"/>
      <c r="NM43" s="149"/>
      <c r="NN43" s="149"/>
      <c r="NO43" s="149"/>
      <c r="NP43" s="149"/>
      <c r="NQ43" s="149"/>
      <c r="NR43" s="149"/>
      <c r="NS43" s="149"/>
      <c r="NT43" s="149"/>
      <c r="NU43" s="149"/>
      <c r="NV43" s="149"/>
      <c r="NW43" s="149"/>
      <c r="NX43" s="149"/>
      <c r="NY43" s="149"/>
      <c r="NZ43" s="149"/>
      <c r="OA43" s="149"/>
      <c r="OB43" s="149"/>
      <c r="OC43" s="149"/>
      <c r="OD43" s="149"/>
      <c r="OE43" s="149"/>
      <c r="OF43" s="149"/>
      <c r="OG43" s="149"/>
      <c r="OH43" s="149"/>
      <c r="OI43" s="149"/>
      <c r="OJ43" s="149"/>
      <c r="OK43" s="149"/>
      <c r="OL43" s="149"/>
      <c r="OM43" s="149"/>
      <c r="ON43" s="149"/>
      <c r="OO43" s="149"/>
      <c r="OP43" s="149"/>
      <c r="OQ43" s="149"/>
      <c r="OR43" s="149"/>
      <c r="OS43" s="149"/>
      <c r="OT43" s="149"/>
      <c r="OU43" s="149"/>
      <c r="OV43" s="149"/>
      <c r="OW43" s="149"/>
      <c r="OX43" s="149"/>
      <c r="OY43" s="149"/>
      <c r="OZ43" s="149"/>
      <c r="PA43" s="149"/>
      <c r="PB43" s="149"/>
      <c r="PC43" s="149"/>
      <c r="PD43" s="149"/>
      <c r="PE43" s="149"/>
      <c r="PF43" s="149"/>
      <c r="PG43" s="149"/>
      <c r="PH43" s="149"/>
      <c r="PI43" s="149"/>
      <c r="PJ43" s="149"/>
      <c r="PK43" s="149"/>
      <c r="PL43" s="149"/>
      <c r="PM43" s="149"/>
      <c r="PN43" s="149"/>
      <c r="PO43" s="149"/>
      <c r="PP43" s="149"/>
      <c r="PQ43" s="149"/>
      <c r="PR43" s="149"/>
      <c r="PS43" s="149"/>
      <c r="PT43" s="149"/>
      <c r="PU43" s="149"/>
      <c r="PV43" s="149"/>
      <c r="PW43" s="156"/>
      <c r="PX43" s="156"/>
      <c r="PY43" s="160"/>
      <c r="PZ43" s="156"/>
      <c r="QA43" s="149"/>
      <c r="QB43" s="149"/>
      <c r="QC43" s="149"/>
      <c r="QD43" s="149"/>
      <c r="QE43" s="149"/>
      <c r="QF43" s="149"/>
      <c r="QG43" s="149"/>
      <c r="QH43" s="149"/>
      <c r="QI43" s="149"/>
      <c r="QJ43" s="149"/>
      <c r="QK43" s="149"/>
      <c r="QL43" s="149"/>
      <c r="QM43" s="149"/>
      <c r="QN43" s="160"/>
      <c r="QO43" s="149"/>
      <c r="QP43" s="149"/>
      <c r="QQ43" s="149"/>
      <c r="QR43" s="156"/>
      <c r="QS43" s="149"/>
      <c r="QT43" s="149"/>
      <c r="QU43" s="149"/>
      <c r="QV43" s="149"/>
      <c r="QW43" s="149"/>
      <c r="QX43" s="149"/>
      <c r="QY43" s="149"/>
      <c r="QZ43" s="149"/>
      <c r="RA43" s="149"/>
      <c r="RB43" s="149"/>
      <c r="RC43" s="149"/>
      <c r="RD43" s="149"/>
      <c r="RE43" s="149"/>
      <c r="RF43" s="149"/>
      <c r="RG43" s="149"/>
      <c r="RH43" s="149"/>
      <c r="RI43" s="149"/>
      <c r="RJ43" s="149"/>
      <c r="RK43" s="149"/>
      <c r="RL43" s="149"/>
      <c r="RM43" s="149"/>
      <c r="RN43" s="149"/>
      <c r="RO43" s="149"/>
      <c r="RP43" s="149"/>
      <c r="RQ43" s="149"/>
      <c r="RR43" s="149"/>
      <c r="RS43" s="149"/>
      <c r="RT43" s="149"/>
      <c r="RU43" s="149"/>
      <c r="RV43" s="149"/>
      <c r="RW43" s="149"/>
      <c r="RX43" s="149"/>
      <c r="RY43" s="149"/>
      <c r="RZ43" s="149"/>
      <c r="SA43" s="149"/>
      <c r="SB43" s="149"/>
      <c r="SC43" s="149"/>
      <c r="SD43" s="149"/>
      <c r="SE43" s="149"/>
      <c r="SF43" s="149"/>
      <c r="SG43" s="149"/>
      <c r="SH43" s="149"/>
      <c r="SI43" s="149"/>
      <c r="SJ43" s="149"/>
      <c r="SK43" s="149"/>
      <c r="SL43" s="149"/>
      <c r="SM43" s="149"/>
      <c r="SN43" s="149"/>
      <c r="SO43" s="149"/>
      <c r="SP43" s="149"/>
      <c r="SQ43" s="149"/>
      <c r="SR43" s="149"/>
      <c r="SS43" s="149"/>
      <c r="ST43" s="149"/>
      <c r="SU43" s="160"/>
      <c r="SV43" s="149"/>
      <c r="SW43" s="149"/>
      <c r="SX43" s="149"/>
      <c r="SY43" s="149"/>
      <c r="SZ43" s="149"/>
      <c r="TA43" s="149"/>
      <c r="TB43" s="149"/>
      <c r="TC43" s="149"/>
      <c r="TD43" s="149"/>
      <c r="TE43" s="149"/>
      <c r="TF43" s="149"/>
      <c r="TG43" s="149"/>
      <c r="TH43" s="149"/>
      <c r="TI43" s="149"/>
      <c r="TJ43" s="149"/>
      <c r="TK43" s="149"/>
      <c r="TL43" s="149"/>
      <c r="TM43" s="149"/>
      <c r="TN43" s="149"/>
      <c r="TO43" s="149"/>
      <c r="TP43" s="149"/>
      <c r="TQ43" s="149"/>
      <c r="TR43" s="149"/>
      <c r="TS43" s="149"/>
      <c r="TT43" s="149"/>
      <c r="TU43" s="149"/>
      <c r="TV43" s="149"/>
      <c r="TW43" s="149"/>
      <c r="TX43" s="149"/>
      <c r="TY43" s="149"/>
      <c r="TZ43" s="149"/>
      <c r="UA43" s="149"/>
      <c r="UB43" s="149"/>
      <c r="UC43" s="149"/>
      <c r="UD43" s="149"/>
      <c r="UE43" s="149"/>
      <c r="UF43" s="149"/>
      <c r="UG43" s="149"/>
      <c r="UH43" s="149"/>
      <c r="UI43" s="149"/>
      <c r="UJ43" s="149"/>
      <c r="UK43" s="149"/>
      <c r="UL43" s="149"/>
      <c r="UM43" s="149"/>
      <c r="UN43" s="149"/>
      <c r="UO43" s="149"/>
      <c r="UP43" s="149"/>
      <c r="UQ43" s="149"/>
      <c r="UR43" s="149"/>
      <c r="US43" s="149"/>
      <c r="UT43" s="149"/>
      <c r="UU43" s="149"/>
      <c r="UV43" s="149"/>
      <c r="UW43" s="149"/>
      <c r="UX43" s="149"/>
      <c r="UY43" s="149"/>
      <c r="UZ43" s="149"/>
      <c r="VA43" s="149"/>
      <c r="VB43" s="149"/>
      <c r="VC43" s="149"/>
      <c r="VD43" s="149"/>
      <c r="VE43" s="149"/>
      <c r="VF43" s="149"/>
      <c r="VG43" s="149"/>
      <c r="VH43" s="149"/>
      <c r="VI43" s="149"/>
      <c r="VJ43" s="149"/>
      <c r="VK43" s="149"/>
      <c r="VL43" s="149"/>
      <c r="VM43" s="149"/>
      <c r="VN43" s="149"/>
      <c r="VO43" s="149"/>
      <c r="VP43" s="149"/>
      <c r="VQ43" s="149"/>
      <c r="VR43" s="149"/>
      <c r="VS43" s="149"/>
      <c r="VT43" s="149"/>
      <c r="VU43" s="149"/>
      <c r="VV43" s="149"/>
      <c r="VW43" s="149"/>
      <c r="VX43" s="149"/>
      <c r="VY43" s="149"/>
      <c r="VZ43" s="149"/>
      <c r="WA43" s="149"/>
      <c r="WB43" s="149"/>
      <c r="WC43" s="149"/>
      <c r="WD43" s="149"/>
      <c r="WE43" s="149"/>
      <c r="WF43" s="149"/>
      <c r="WG43" s="149"/>
      <c r="WH43" s="149"/>
      <c r="WI43" s="149"/>
      <c r="WJ43" s="149"/>
      <c r="WK43" s="149"/>
      <c r="WL43" s="149"/>
      <c r="WM43" s="149"/>
      <c r="WN43" s="149"/>
      <c r="WO43" s="149"/>
      <c r="WP43" s="149"/>
      <c r="WQ43" s="149"/>
      <c r="WR43" s="149"/>
      <c r="WS43" s="149"/>
      <c r="WT43" s="149"/>
      <c r="WU43" s="149"/>
      <c r="WV43" s="149"/>
      <c r="WW43" s="149"/>
      <c r="WX43" s="149"/>
      <c r="WY43" s="149"/>
      <c r="WZ43" s="149"/>
      <c r="XA43" s="149"/>
      <c r="XB43" s="149"/>
      <c r="XC43" s="149"/>
      <c r="XD43" s="149"/>
      <c r="XE43" s="149"/>
      <c r="XF43" s="149"/>
      <c r="XG43" s="149"/>
      <c r="XH43" s="149"/>
      <c r="XI43" s="149"/>
      <c r="XJ43" s="149"/>
      <c r="XK43" s="149"/>
      <c r="XL43" s="149"/>
      <c r="XM43" s="149"/>
      <c r="XN43" s="149"/>
      <c r="XO43" s="149"/>
      <c r="XP43" s="149"/>
      <c r="XQ43" s="149"/>
      <c r="XR43" s="149"/>
      <c r="XS43" s="149"/>
      <c r="XT43" s="149"/>
      <c r="XU43" s="149"/>
      <c r="XV43" s="149"/>
      <c r="XW43" s="149"/>
      <c r="XX43" s="149"/>
      <c r="XY43" s="149"/>
      <c r="XZ43" s="149"/>
      <c r="YA43" s="149"/>
      <c r="YB43" s="149"/>
      <c r="YC43" s="149"/>
      <c r="YD43" s="149"/>
      <c r="YE43" s="149"/>
      <c r="YF43" s="149"/>
      <c r="YG43" s="149"/>
      <c r="YH43" s="149"/>
      <c r="YI43" s="149"/>
      <c r="YJ43" s="149"/>
      <c r="YK43" s="149"/>
      <c r="YL43" s="149"/>
      <c r="YM43" s="149"/>
      <c r="YN43" s="149"/>
      <c r="YO43" s="149"/>
      <c r="YP43" s="149"/>
      <c r="YQ43" s="149"/>
      <c r="YR43" s="149"/>
      <c r="YS43" s="149"/>
      <c r="YT43" s="149"/>
      <c r="YU43" s="149"/>
      <c r="YV43" s="149"/>
      <c r="YW43" s="149"/>
      <c r="YX43" s="149"/>
      <c r="YY43" s="149"/>
      <c r="YZ43" s="149"/>
      <c r="ZA43" s="149"/>
      <c r="ZB43" s="149"/>
      <c r="ZC43" s="149"/>
      <c r="ZD43" s="149"/>
      <c r="ZE43" s="149"/>
      <c r="ZF43" s="149"/>
      <c r="ZG43" s="149"/>
      <c r="ZH43" s="149"/>
      <c r="ZI43" s="149"/>
      <c r="ZJ43" s="149"/>
      <c r="ZK43" s="149"/>
      <c r="ZL43" s="149"/>
      <c r="ZM43" s="149"/>
      <c r="ZN43" s="149"/>
      <c r="ZO43" s="149"/>
      <c r="ZP43" s="149"/>
      <c r="ZQ43" s="149"/>
      <c r="ZR43" s="149"/>
      <c r="ZS43" s="149"/>
      <c r="ZT43" s="149"/>
      <c r="ZU43" s="149"/>
      <c r="ZV43" s="149"/>
      <c r="ZW43" s="149"/>
      <c r="ZX43" s="149"/>
      <c r="ZY43" s="149"/>
      <c r="ZZ43" s="149"/>
      <c r="AAA43" s="149"/>
      <c r="AAB43" s="149"/>
      <c r="AAC43" s="149"/>
      <c r="AAD43" s="149"/>
      <c r="AAE43" s="149"/>
      <c r="AAF43" s="149"/>
      <c r="AAG43" s="149"/>
      <c r="AAH43" s="149"/>
      <c r="AAI43" s="149"/>
      <c r="AAJ43" s="149"/>
      <c r="AAK43" s="149"/>
      <c r="AAL43" s="149"/>
      <c r="AAM43" s="149"/>
      <c r="AAN43" s="149"/>
      <c r="AAO43" s="149"/>
      <c r="AAP43" s="149"/>
      <c r="AAQ43" s="149"/>
      <c r="AAR43" s="149"/>
      <c r="AAS43" s="149"/>
      <c r="AAT43" s="149"/>
      <c r="AAU43" s="149"/>
      <c r="AAV43" s="149"/>
      <c r="AAW43" s="149"/>
      <c r="AAX43" s="149"/>
      <c r="AAY43" s="149"/>
      <c r="AAZ43" s="149"/>
      <c r="ABA43" s="149"/>
      <c r="ABB43" s="149"/>
      <c r="ABC43" s="149"/>
      <c r="ABD43" s="149"/>
      <c r="ABE43" s="149"/>
      <c r="ABF43" s="149"/>
      <c r="ABG43" s="149"/>
      <c r="ABH43" s="149"/>
      <c r="ABI43" s="149"/>
      <c r="ABJ43" s="149"/>
      <c r="ABK43" s="149"/>
      <c r="ABL43" s="149"/>
      <c r="ABM43" s="149"/>
      <c r="ABN43" s="149"/>
      <c r="ABO43" s="149"/>
      <c r="ABP43" s="149"/>
      <c r="ABQ43" s="149"/>
      <c r="ABR43" s="149"/>
      <c r="ABS43" s="149"/>
      <c r="ABT43" s="149"/>
      <c r="ABU43" s="149"/>
      <c r="ABV43" s="149"/>
      <c r="ABW43" s="149"/>
      <c r="ABX43" s="149"/>
      <c r="ABY43" s="149"/>
      <c r="ABZ43" s="149"/>
      <c r="ACA43" s="149"/>
      <c r="ACB43" s="149"/>
      <c r="ACC43" s="149"/>
      <c r="ACD43" s="149"/>
      <c r="ACE43" s="149"/>
      <c r="ACF43" s="149"/>
      <c r="ACG43" s="149"/>
      <c r="ACH43" s="149"/>
      <c r="ACI43" s="149"/>
      <c r="ACJ43" s="149"/>
      <c r="ACK43" s="149"/>
      <c r="ACL43" s="149"/>
      <c r="ACM43" s="149"/>
      <c r="ACN43" s="149"/>
      <c r="ACO43" s="149"/>
      <c r="ACP43" s="149"/>
      <c r="ACQ43" s="149"/>
      <c r="ACR43" s="149"/>
      <c r="ACS43" s="149"/>
      <c r="ACT43" s="149"/>
      <c r="ACU43" s="149"/>
      <c r="ACV43" s="149"/>
      <c r="ACW43" s="149"/>
      <c r="ACX43" s="149"/>
      <c r="ACY43" s="149"/>
      <c r="ACZ43" s="149"/>
      <c r="ADA43" s="149"/>
      <c r="ADB43" s="149"/>
      <c r="ADC43" s="149"/>
      <c r="ADD43" s="149"/>
      <c r="ADE43" s="149"/>
      <c r="ADF43" s="149"/>
      <c r="ADG43" s="149"/>
      <c r="ADH43" s="149"/>
      <c r="ADI43" s="149"/>
      <c r="ADJ43" s="149"/>
      <c r="ADK43" s="149"/>
      <c r="ADL43" s="149"/>
      <c r="ADM43" s="149"/>
      <c r="ADN43" s="149"/>
      <c r="ADO43" s="149"/>
      <c r="ADP43" s="149"/>
      <c r="ADQ43" s="149"/>
      <c r="ADR43" s="149"/>
      <c r="ADS43" s="149"/>
      <c r="ADT43" s="149"/>
      <c r="ADU43" s="149"/>
      <c r="ADV43" s="149"/>
      <c r="ADW43" s="149"/>
      <c r="ADX43" s="149"/>
      <c r="ADY43" s="149"/>
      <c r="ADZ43" s="149"/>
      <c r="AEA43" s="149"/>
      <c r="AEB43" s="149"/>
      <c r="AEC43" s="149"/>
      <c r="AED43" s="149"/>
      <c r="AEE43" s="149"/>
      <c r="AEF43" s="149"/>
      <c r="AEG43" s="149"/>
      <c r="AEH43" s="149"/>
      <c r="AEI43" s="149"/>
      <c r="AEJ43" s="149"/>
      <c r="AEK43" s="149"/>
      <c r="AEL43" s="149"/>
      <c r="AEM43" s="149"/>
      <c r="AEN43" s="149"/>
      <c r="AEO43" s="149"/>
      <c r="AEP43" s="149"/>
      <c r="AEQ43" s="149"/>
      <c r="AER43" s="149"/>
      <c r="AES43" s="149"/>
      <c r="AET43" s="149"/>
      <c r="AEU43" s="149"/>
      <c r="AEV43" s="149"/>
      <c r="AEW43" s="149"/>
      <c r="AEX43" s="149"/>
      <c r="AEY43" s="149"/>
      <c r="AEZ43" s="149"/>
      <c r="AFA43" s="149"/>
      <c r="AFB43" s="149"/>
      <c r="AFC43" s="149"/>
      <c r="AFD43" s="149"/>
      <c r="AFE43" s="149"/>
      <c r="AFF43" s="149"/>
      <c r="AFG43" s="149"/>
      <c r="AFH43" s="149"/>
      <c r="AFI43" s="149"/>
      <c r="AFJ43" s="149"/>
      <c r="AFK43" s="149"/>
      <c r="AFL43" s="149"/>
      <c r="AFM43" s="149"/>
      <c r="AFN43" s="149"/>
      <c r="AFO43" s="149"/>
      <c r="AFP43" s="149"/>
      <c r="AFQ43" s="149"/>
      <c r="AFR43" s="149"/>
      <c r="AFS43" s="149"/>
      <c r="AFT43" s="149"/>
      <c r="AFU43" s="149"/>
      <c r="AFV43" s="149"/>
      <c r="AFW43" s="149"/>
      <c r="AFX43" s="149"/>
      <c r="AFY43" s="149"/>
      <c r="AFZ43" s="149"/>
      <c r="AGA43" s="149"/>
      <c r="AGB43" s="149"/>
      <c r="AGC43" s="149"/>
      <c r="AGD43" s="149"/>
      <c r="AGE43" s="149"/>
      <c r="AGF43" s="149"/>
      <c r="AGG43" s="149"/>
      <c r="AGH43" s="149"/>
      <c r="AGI43" s="149"/>
      <c r="AGJ43" s="149"/>
      <c r="AGK43" s="149"/>
      <c r="AGL43" s="149"/>
      <c r="AGM43" s="149"/>
      <c r="AGN43" s="149"/>
      <c r="AGO43" s="149"/>
      <c r="AGP43" s="149"/>
      <c r="AGQ43" s="149"/>
      <c r="AGR43" s="149"/>
      <c r="AGS43" s="149"/>
      <c r="AGT43" s="149"/>
      <c r="AGU43" s="149"/>
      <c r="AGV43" s="149"/>
      <c r="AGW43" s="149"/>
      <c r="AGX43" s="149"/>
      <c r="AGY43" s="149"/>
      <c r="AGZ43" s="149"/>
      <c r="AHA43" s="149"/>
      <c r="AHB43" s="149"/>
      <c r="AHC43" s="149"/>
      <c r="AHD43" s="149"/>
      <c r="AHE43" s="149"/>
      <c r="AHF43" s="149"/>
      <c r="AHG43" s="149"/>
      <c r="AHH43" s="149"/>
      <c r="AHI43" s="149"/>
      <c r="AHJ43" s="149"/>
      <c r="AHK43" s="149"/>
      <c r="AHL43" s="149"/>
      <c r="AHM43" s="149"/>
      <c r="AHN43" s="149"/>
      <c r="AHO43" s="149"/>
      <c r="AHP43" s="149"/>
      <c r="AHQ43" s="149"/>
      <c r="AHR43" s="149"/>
      <c r="AHS43" s="149"/>
      <c r="AHT43" s="149"/>
      <c r="AHU43" s="149"/>
      <c r="AHV43" s="149"/>
      <c r="AHW43" s="149"/>
      <c r="AHX43" s="149"/>
      <c r="AHY43" s="149"/>
      <c r="AHZ43" s="149"/>
      <c r="AIA43" s="149"/>
      <c r="AIB43" s="149"/>
      <c r="AIC43" s="149"/>
      <c r="AID43" s="156"/>
      <c r="AIE43" s="149"/>
      <c r="AIF43" s="149"/>
      <c r="AIG43" s="149"/>
      <c r="AIH43" s="149"/>
      <c r="AII43" s="149"/>
      <c r="AIJ43" s="149"/>
      <c r="AIK43" s="149"/>
      <c r="AIL43" s="149"/>
      <c r="AIM43" s="149"/>
      <c r="AIN43" s="149"/>
      <c r="AIO43" s="149"/>
      <c r="AIP43" s="149"/>
      <c r="AIQ43" s="149"/>
      <c r="AIR43" s="149"/>
      <c r="AIS43" s="149"/>
      <c r="AIT43" s="149"/>
      <c r="AIU43" s="149"/>
      <c r="AIV43" s="149"/>
      <c r="AIW43" s="149"/>
      <c r="AIX43" s="149"/>
      <c r="AIY43" s="149"/>
      <c r="AIZ43" s="149"/>
      <c r="AJA43" s="149"/>
      <c r="AJB43" s="149"/>
      <c r="AJC43" s="149"/>
      <c r="AJD43" s="149"/>
      <c r="AJE43" s="149"/>
      <c r="AJF43" s="149"/>
      <c r="AJG43" s="149"/>
      <c r="AJH43" s="149"/>
      <c r="AJI43" s="149"/>
      <c r="AJJ43" s="149"/>
      <c r="AJK43" s="149"/>
      <c r="AJL43" s="149"/>
      <c r="AJM43" s="149"/>
      <c r="AJN43" s="149"/>
      <c r="AJO43" s="149"/>
      <c r="AJP43" s="149"/>
      <c r="AJQ43" s="149"/>
      <c r="AJR43" s="149"/>
      <c r="AJS43" s="156"/>
      <c r="AJT43" s="156"/>
      <c r="AJU43" s="156"/>
      <c r="AJV43" s="149"/>
      <c r="AJW43" s="149"/>
      <c r="AJX43" s="149"/>
      <c r="AJY43" s="149"/>
      <c r="AJZ43" s="149"/>
      <c r="AKA43" s="149"/>
      <c r="AKB43" s="149"/>
      <c r="AKC43" s="149"/>
      <c r="AKD43" s="149"/>
      <c r="AKE43" s="149"/>
      <c r="AKF43" s="149"/>
      <c r="AKG43" s="149"/>
      <c r="AKH43" s="149"/>
      <c r="AKI43" s="149"/>
      <c r="AKJ43" s="149"/>
      <c r="AKK43" s="149"/>
      <c r="AKL43" s="149"/>
      <c r="AKM43" s="149"/>
      <c r="AKN43" s="149"/>
      <c r="AKO43" s="149"/>
      <c r="AKP43" s="149"/>
      <c r="AKQ43" s="149"/>
      <c r="AKR43" s="149"/>
      <c r="AKS43" s="149"/>
      <c r="AKT43" s="149"/>
      <c r="AKU43" s="149"/>
      <c r="AKV43" s="149"/>
      <c r="AKW43" s="149"/>
      <c r="AKX43" s="149"/>
      <c r="AKY43" s="149"/>
      <c r="AKZ43" s="149"/>
      <c r="ALA43" s="149"/>
      <c r="ALB43" s="149"/>
      <c r="ALC43" s="149"/>
      <c r="ALD43" s="149"/>
      <c r="ALE43" s="149"/>
      <c r="ALF43" s="149"/>
      <c r="ALG43" s="149"/>
      <c r="ALH43" s="149"/>
      <c r="ALI43" s="149"/>
      <c r="ALJ43" s="149"/>
      <c r="ALK43" s="149"/>
      <c r="ALL43" s="149"/>
      <c r="ALM43" s="149"/>
      <c r="ALN43" s="149"/>
      <c r="ALO43" s="149"/>
      <c r="ALP43" s="149"/>
      <c r="ALQ43" s="149"/>
      <c r="ALR43" s="149"/>
      <c r="ALS43" s="149"/>
      <c r="ALT43" s="149"/>
      <c r="ALU43" s="149"/>
      <c r="ALV43" s="149"/>
      <c r="ALW43" s="149"/>
      <c r="ALX43" s="149"/>
      <c r="ALY43" s="149"/>
      <c r="ALZ43" s="149"/>
      <c r="AMA43" s="149"/>
      <c r="AMB43" s="149"/>
      <c r="AMC43" s="149"/>
      <c r="AMD43" s="149"/>
      <c r="AME43" s="149"/>
      <c r="AMF43" s="149"/>
      <c r="AMG43" s="149"/>
      <c r="AMH43" s="149"/>
      <c r="AMI43" s="149"/>
      <c r="AMJ43" s="149"/>
      <c r="AMK43" s="149"/>
      <c r="AML43" s="149"/>
      <c r="AMM43" s="149"/>
      <c r="AMN43" s="149"/>
      <c r="AMO43" s="149"/>
      <c r="AMP43" s="149"/>
      <c r="AMQ43" s="149"/>
      <c r="AMR43" s="149"/>
      <c r="AMS43" s="149"/>
      <c r="AMT43" s="149"/>
      <c r="AMU43" s="149"/>
      <c r="AMV43" s="149"/>
      <c r="AMW43" s="149"/>
      <c r="AMX43" s="149"/>
      <c r="AMY43" s="149"/>
      <c r="AMZ43" s="149"/>
      <c r="ANA43" s="149"/>
      <c r="ANB43" s="149"/>
      <c r="ANC43" s="149"/>
      <c r="AND43" s="149"/>
      <c r="ANE43" s="149"/>
      <c r="ANF43" s="149"/>
      <c r="ANG43" s="149"/>
      <c r="ANH43" s="149"/>
      <c r="ANI43" s="149"/>
      <c r="ANJ43" s="149"/>
      <c r="ANK43" s="149"/>
      <c r="ANL43" s="149"/>
      <c r="ANM43" s="149"/>
      <c r="ANN43" s="149"/>
      <c r="ANO43" s="149"/>
      <c r="ANP43" s="149"/>
      <c r="ANQ43" s="149"/>
      <c r="ANR43" s="149"/>
      <c r="ANS43" s="149"/>
      <c r="ANT43" s="149"/>
      <c r="ANU43" s="149"/>
      <c r="ANV43" s="149"/>
      <c r="ANW43" s="149"/>
      <c r="ANX43" s="149"/>
      <c r="ANY43" s="149"/>
      <c r="ANZ43" s="149"/>
      <c r="AOA43" s="149"/>
      <c r="AOB43" s="149"/>
      <c r="AOC43" s="149"/>
      <c r="AOD43" s="149"/>
      <c r="AOE43" s="149"/>
      <c r="AOF43" s="149"/>
      <c r="AOG43" s="149"/>
      <c r="AOH43" s="149"/>
      <c r="AOI43" s="149"/>
      <c r="AOJ43" s="149"/>
      <c r="AOK43" s="149"/>
      <c r="AOL43" s="149"/>
      <c r="AOM43" s="149"/>
      <c r="AON43" s="149"/>
      <c r="AOO43" s="149"/>
      <c r="AOP43" s="149"/>
      <c r="AOQ43" s="149"/>
      <c r="AOR43" s="149"/>
      <c r="AOS43" s="149"/>
      <c r="AOT43" s="149"/>
      <c r="AOU43" s="149"/>
      <c r="AOV43" s="149"/>
      <c r="AOW43" s="149"/>
      <c r="AOX43" s="149"/>
      <c r="AOY43" s="149"/>
      <c r="AOZ43" s="149"/>
      <c r="APA43" s="149"/>
      <c r="APB43" s="149"/>
      <c r="APC43" s="149"/>
      <c r="APD43" s="149"/>
      <c r="APE43" s="149"/>
      <c r="APF43" s="149"/>
      <c r="APG43" s="149"/>
      <c r="APH43" s="149"/>
      <c r="API43" s="149"/>
      <c r="APJ43" s="149"/>
      <c r="APK43" s="149"/>
      <c r="APL43" s="149"/>
      <c r="APM43" s="149"/>
      <c r="APN43" s="149"/>
      <c r="APO43" s="149"/>
      <c r="APP43" s="149"/>
      <c r="APQ43" s="149"/>
      <c r="APR43" s="149"/>
      <c r="APS43" s="149"/>
      <c r="APT43" s="149"/>
      <c r="APU43" s="149"/>
      <c r="APV43" s="149"/>
      <c r="APW43" s="149"/>
      <c r="APX43" s="149"/>
      <c r="APY43" s="149"/>
      <c r="APZ43" s="149"/>
      <c r="AQA43" s="149"/>
      <c r="AQB43" s="149"/>
      <c r="AQC43" s="149"/>
      <c r="AQD43" s="149"/>
      <c r="AQE43" s="149"/>
      <c r="AQF43" s="149"/>
      <c r="AQG43" s="149"/>
      <c r="AQH43" s="149"/>
      <c r="AQI43" s="149"/>
      <c r="AQJ43" s="149"/>
      <c r="AQK43" s="149"/>
      <c r="AQL43" s="149"/>
      <c r="AQM43" s="149"/>
      <c r="AQN43" s="149"/>
      <c r="AQO43" s="149"/>
      <c r="AQP43" s="149"/>
      <c r="AQQ43" s="149"/>
      <c r="AQR43" s="149"/>
      <c r="AQS43" s="149"/>
      <c r="AQT43" s="149"/>
      <c r="AQU43" s="149"/>
      <c r="AQV43" s="149"/>
      <c r="AQW43" s="149"/>
      <c r="AQX43" s="149"/>
      <c r="AQY43" s="149"/>
      <c r="AQZ43" s="149"/>
      <c r="ARA43" s="149"/>
      <c r="ARB43" s="149"/>
      <c r="ARC43" s="149"/>
      <c r="ARD43" s="149"/>
      <c r="ARE43" s="149"/>
      <c r="ARF43" s="149"/>
      <c r="ARG43" s="149"/>
      <c r="ARH43" s="149"/>
      <c r="ARI43" s="149"/>
      <c r="ARJ43" s="149"/>
      <c r="ARK43" s="149"/>
      <c r="ARL43" s="149"/>
      <c r="ARM43" s="149"/>
      <c r="ARN43" s="149"/>
      <c r="ARO43" s="149"/>
      <c r="ARP43" s="149"/>
      <c r="ARQ43" s="149"/>
      <c r="ARR43" s="149"/>
      <c r="ARS43" s="149"/>
      <c r="ART43" s="149"/>
      <c r="ARU43" s="149"/>
      <c r="ARV43" s="149"/>
      <c r="ARW43" s="149"/>
      <c r="ARX43" s="149"/>
      <c r="ARY43" s="149"/>
      <c r="ARZ43" s="149"/>
      <c r="ASA43" s="149"/>
      <c r="ASB43" s="149"/>
      <c r="ASC43" s="149"/>
      <c r="ASD43" s="149"/>
      <c r="ASE43" s="149"/>
      <c r="ASF43" s="149"/>
      <c r="ASG43" s="149"/>
      <c r="ASH43" s="149"/>
      <c r="ASI43" s="149"/>
      <c r="ASJ43" s="149"/>
      <c r="ASK43" s="149"/>
      <c r="ASL43" s="149"/>
      <c r="ASM43" s="149"/>
      <c r="ASN43" s="149"/>
      <c r="ASO43" s="149"/>
      <c r="ASP43" s="149"/>
      <c r="ASQ43" s="149"/>
      <c r="ASR43" s="149"/>
      <c r="ASS43" s="149"/>
      <c r="AST43" s="149"/>
      <c r="ASU43" s="149"/>
      <c r="ASV43" s="149"/>
      <c r="ASW43" s="149"/>
      <c r="ASX43" s="149"/>
      <c r="ASY43" s="149"/>
      <c r="ASZ43" s="149"/>
      <c r="ATA43" s="149"/>
      <c r="ATB43" s="149"/>
      <c r="ATC43" s="149"/>
      <c r="ATD43" s="149"/>
      <c r="ATE43" s="149"/>
      <c r="ATF43" s="149"/>
      <c r="ATG43" s="149"/>
      <c r="ATH43" s="149"/>
      <c r="ATI43" s="149"/>
      <c r="ATJ43" s="149"/>
      <c r="ATK43" s="149"/>
      <c r="ATL43" s="149"/>
      <c r="ATM43" s="149"/>
      <c r="ATN43" s="149"/>
      <c r="ATO43" s="149"/>
      <c r="ATP43" s="149"/>
      <c r="ATQ43" s="149"/>
      <c r="ATR43" s="149"/>
      <c r="ATS43" s="149"/>
      <c r="ATT43" s="149"/>
      <c r="ATU43" s="149"/>
      <c r="ATV43" s="149"/>
      <c r="ATW43" s="149"/>
      <c r="ATX43" s="149"/>
      <c r="ATY43" s="149"/>
      <c r="ATZ43" s="149"/>
      <c r="AUA43" s="149"/>
      <c r="AUB43" s="149"/>
      <c r="AUC43" s="149"/>
      <c r="AUD43" s="149"/>
      <c r="AUE43" s="149"/>
      <c r="AUF43" s="149"/>
      <c r="AUG43" s="149"/>
      <c r="AUH43" s="149"/>
      <c r="AUI43" s="149"/>
      <c r="AUJ43" s="149"/>
      <c r="AUK43" s="149"/>
      <c r="AUL43" s="149"/>
      <c r="AUM43" s="149"/>
      <c r="AUN43" s="149"/>
      <c r="AUO43" s="149"/>
      <c r="AUP43" s="149"/>
      <c r="AUQ43" s="149"/>
      <c r="AUR43" s="149"/>
      <c r="AUS43" s="149"/>
      <c r="AUT43" s="149"/>
      <c r="AUU43" s="149"/>
      <c r="AUV43" s="149"/>
      <c r="AUW43" s="149"/>
      <c r="AUX43" s="149"/>
      <c r="AUY43" s="149"/>
      <c r="AUZ43" s="149"/>
      <c r="AVA43" s="149"/>
      <c r="AVB43" s="149"/>
      <c r="AVC43" s="149"/>
      <c r="AVD43" s="149"/>
      <c r="AVE43" s="149"/>
      <c r="AVF43" s="149"/>
      <c r="AVG43" s="149"/>
      <c r="AVH43" s="149"/>
      <c r="AVI43" s="149"/>
      <c r="AVJ43" s="149"/>
      <c r="AVK43" s="149"/>
      <c r="AVL43" s="149"/>
      <c r="AVM43" s="149"/>
      <c r="AVN43" s="149"/>
      <c r="AVO43" s="149"/>
      <c r="AVP43" s="149"/>
      <c r="AVQ43" s="149"/>
      <c r="AVR43" s="149"/>
      <c r="AVS43" s="149"/>
      <c r="AVT43" s="149"/>
      <c r="AVU43" s="149"/>
      <c r="AVV43" s="149"/>
      <c r="AVW43" s="149"/>
      <c r="AVX43" s="149"/>
      <c r="AVY43" s="149"/>
      <c r="AVZ43" s="149"/>
      <c r="AWA43" s="149"/>
      <c r="AWB43" s="149"/>
      <c r="AWC43" s="149"/>
      <c r="AWD43" s="149"/>
      <c r="AWE43" s="149"/>
      <c r="AWF43" s="149"/>
      <c r="AWG43" s="149"/>
      <c r="AWH43" s="149"/>
      <c r="AWI43" s="149"/>
      <c r="AWJ43" s="149"/>
      <c r="AWK43" s="149"/>
      <c r="AWL43" s="149"/>
      <c r="AWM43" s="149"/>
      <c r="AWN43" s="149"/>
      <c r="AWO43" s="149"/>
      <c r="AWP43" s="149"/>
      <c r="AWQ43" s="149"/>
      <c r="AWR43" s="149"/>
      <c r="AWS43" s="149"/>
      <c r="AWT43" s="149"/>
      <c r="AWU43" s="149"/>
      <c r="AWV43" s="149"/>
      <c r="AWW43" s="149"/>
      <c r="AWX43" s="149"/>
      <c r="AWY43" s="149"/>
      <c r="AWZ43" s="149"/>
      <c r="AXA43" s="149"/>
      <c r="AXB43" s="149"/>
      <c r="AXC43" s="149"/>
      <c r="AXD43" s="149"/>
      <c r="AXE43" s="149"/>
      <c r="AXF43" s="149"/>
      <c r="AXG43" s="149"/>
      <c r="AXH43" s="149"/>
      <c r="AXI43" s="149"/>
      <c r="AXJ43" s="149"/>
      <c r="AXK43" s="149"/>
      <c r="AXL43" s="149"/>
      <c r="AXM43" s="149"/>
      <c r="AXN43" s="149"/>
      <c r="AXO43" s="149"/>
      <c r="AXP43" s="149"/>
      <c r="AXQ43" s="149"/>
      <c r="AXR43" s="149"/>
      <c r="AXS43" s="149"/>
      <c r="AXT43" s="149"/>
      <c r="AXU43" s="149"/>
      <c r="AXV43" s="149"/>
      <c r="AXW43" s="149"/>
      <c r="AXX43" s="149"/>
      <c r="AXY43" s="149"/>
      <c r="AXZ43" s="149"/>
      <c r="AYA43" s="149"/>
      <c r="AYB43" s="149"/>
      <c r="AYC43" s="149"/>
      <c r="AYD43" s="149"/>
      <c r="AYE43" s="149"/>
      <c r="AYF43" s="149"/>
      <c r="AYG43" s="149"/>
      <c r="AYH43" s="149"/>
      <c r="AYI43" s="149"/>
      <c r="AYJ43" s="149"/>
      <c r="AYK43" s="149"/>
      <c r="AYL43" s="149"/>
      <c r="AYM43" s="149"/>
      <c r="AYN43" s="149"/>
      <c r="AYO43" s="149"/>
      <c r="AYP43" s="149"/>
      <c r="AYQ43" s="149"/>
      <c r="AYR43" s="149"/>
      <c r="AYS43" s="149"/>
      <c r="AYT43" s="149"/>
      <c r="AYU43" s="149"/>
      <c r="AYV43" s="149"/>
      <c r="AYW43" s="149"/>
      <c r="AYX43" s="149"/>
      <c r="AYY43" s="149"/>
      <c r="AYZ43" s="149"/>
      <c r="AZA43" s="149"/>
      <c r="AZB43" s="149"/>
      <c r="AZC43" s="149"/>
      <c r="AZD43" s="149"/>
      <c r="AZE43" s="149"/>
      <c r="AZF43" s="149"/>
      <c r="AZG43" s="149"/>
      <c r="AZH43" s="149"/>
      <c r="AZI43" s="149"/>
      <c r="AZJ43" s="149"/>
      <c r="AZK43" s="149"/>
      <c r="AZL43" s="149"/>
      <c r="AZM43" s="149"/>
      <c r="AZN43" s="149"/>
      <c r="AZO43" s="149"/>
      <c r="AZP43" s="149"/>
      <c r="AZQ43" s="149"/>
      <c r="AZR43" s="149"/>
      <c r="AZS43" s="149"/>
      <c r="AZT43" s="149"/>
      <c r="AZU43" s="149"/>
      <c r="AZV43" s="149"/>
      <c r="AZW43" s="149"/>
      <c r="AZX43" s="149"/>
      <c r="AZY43" s="149"/>
      <c r="AZZ43" s="149"/>
      <c r="BAA43" s="149"/>
      <c r="BAB43" s="149"/>
      <c r="BAC43" s="149"/>
      <c r="BAD43" s="149"/>
      <c r="BAE43" s="149"/>
      <c r="BAF43" s="149"/>
      <c r="BAG43" s="149"/>
      <c r="BAH43" s="149"/>
      <c r="BAI43" s="149"/>
      <c r="BAJ43" s="149"/>
      <c r="BAK43" s="149"/>
      <c r="BAL43" s="149"/>
      <c r="BAM43" s="149"/>
      <c r="BAN43" s="149"/>
      <c r="BAO43" s="149"/>
      <c r="BAP43" s="149"/>
      <c r="BAQ43" s="149"/>
      <c r="BAR43" s="149"/>
      <c r="BAS43" s="149"/>
      <c r="BAT43" s="149"/>
      <c r="BAU43" s="149"/>
      <c r="BAV43" s="149"/>
      <c r="BAW43" s="149"/>
      <c r="BAX43" s="149"/>
      <c r="BAY43" s="149"/>
      <c r="BAZ43" s="149"/>
      <c r="BBA43" s="149"/>
      <c r="BBB43" s="149"/>
      <c r="BBC43" s="149"/>
      <c r="BBD43" s="149"/>
      <c r="BBE43" s="149"/>
      <c r="BBF43" s="149"/>
      <c r="BBG43" s="149"/>
      <c r="BBH43" s="149"/>
      <c r="BBI43" s="149"/>
      <c r="BBJ43" s="149"/>
      <c r="BBK43" s="149"/>
      <c r="BBL43" s="149"/>
      <c r="BBM43" s="149"/>
      <c r="BBN43" s="149"/>
      <c r="BBO43" s="149"/>
      <c r="BBP43" s="149"/>
      <c r="BBQ43" s="149"/>
      <c r="BBR43" s="149"/>
      <c r="BBS43" s="149"/>
      <c r="BBT43" s="149"/>
      <c r="BBU43" s="149"/>
      <c r="BBV43" s="149"/>
      <c r="BBW43" s="149"/>
      <c r="BBX43" s="149"/>
      <c r="BBY43" s="149"/>
      <c r="BBZ43" s="149"/>
      <c r="BCA43" s="149"/>
      <c r="BCB43" s="149"/>
      <c r="BCC43" s="149"/>
      <c r="BCD43" s="149"/>
      <c r="BCE43" s="149"/>
      <c r="BCF43" s="149"/>
      <c r="BCG43" s="149"/>
      <c r="BCH43" s="149"/>
      <c r="BCI43" s="149"/>
      <c r="BCJ43" s="149"/>
      <c r="BCK43" s="149"/>
      <c r="BCL43" s="149"/>
      <c r="BCM43" s="149"/>
      <c r="BCN43" s="149"/>
      <c r="BCO43" s="149"/>
      <c r="BCP43" s="149"/>
      <c r="BCQ43" s="149"/>
      <c r="BCR43" s="149"/>
      <c r="BCS43" s="149"/>
      <c r="BCT43" s="149"/>
      <c r="BCU43" s="149"/>
      <c r="BCV43" s="149"/>
      <c r="BCW43" s="149"/>
      <c r="BCX43" s="149"/>
      <c r="BCY43" s="149"/>
      <c r="BCZ43" s="149"/>
      <c r="BDA43" s="149"/>
      <c r="BDB43" s="149"/>
      <c r="BDC43" s="149"/>
      <c r="BDD43" s="149"/>
      <c r="BDE43" s="149"/>
      <c r="BDF43" s="149"/>
      <c r="BDG43" s="149"/>
      <c r="BDH43" s="149"/>
      <c r="BDI43" s="149"/>
      <c r="BDJ43" s="149"/>
      <c r="BDK43" s="149"/>
      <c r="BDL43" s="149"/>
      <c r="BDM43" s="149"/>
      <c r="BDN43" s="149"/>
      <c r="BDO43" s="149"/>
      <c r="BDP43" s="149"/>
      <c r="BDQ43" s="149"/>
      <c r="BDR43" s="149"/>
      <c r="BDS43" s="149"/>
      <c r="BDT43" s="149"/>
      <c r="BDU43" s="149"/>
      <c r="BDV43" s="149"/>
      <c r="BDW43" s="149"/>
      <c r="BDX43" s="149"/>
      <c r="BDY43" s="149"/>
      <c r="BDZ43" s="149"/>
      <c r="BEA43" s="149"/>
      <c r="BEB43" s="149"/>
      <c r="BEC43" s="149"/>
      <c r="BED43" s="149"/>
      <c r="BEE43" s="149"/>
      <c r="BEF43" s="149"/>
      <c r="BEG43" s="149"/>
      <c r="BEH43" s="149"/>
      <c r="BEI43" s="149"/>
      <c r="BEJ43" s="149"/>
      <c r="BEK43" s="149"/>
      <c r="BEL43" s="149"/>
      <c r="BEM43" s="149"/>
      <c r="BEN43" s="149"/>
      <c r="BEO43" s="149"/>
      <c r="BEP43" s="149"/>
      <c r="BEQ43" s="149"/>
      <c r="BER43" s="149"/>
      <c r="BES43" s="149"/>
      <c r="BET43" s="149"/>
      <c r="BEU43" s="149"/>
      <c r="BEV43" s="149"/>
      <c r="BEW43" s="149"/>
      <c r="BEX43" s="149"/>
      <c r="BEY43" s="149"/>
      <c r="BEZ43" s="149"/>
      <c r="BFA43" s="149"/>
      <c r="BFB43" s="149"/>
      <c r="BFC43" s="149"/>
      <c r="BFD43" s="149"/>
      <c r="BFE43" s="149"/>
      <c r="BFF43" s="149"/>
      <c r="BFG43" s="149"/>
      <c r="BFH43" s="149"/>
      <c r="BFI43" s="149"/>
      <c r="BFJ43" s="149"/>
      <c r="BFK43" s="149"/>
      <c r="BFL43" s="149"/>
      <c r="BFM43" s="149"/>
      <c r="BFN43" s="149"/>
      <c r="BFO43" s="149"/>
      <c r="BFP43" s="149"/>
      <c r="BFQ43" s="149"/>
      <c r="BFR43" s="149"/>
      <c r="BFS43" s="149"/>
      <c r="BFT43" s="149"/>
      <c r="BFU43" s="149"/>
      <c r="BFV43" s="149"/>
      <c r="BFW43" s="149"/>
      <c r="BFX43" s="149"/>
      <c r="BFY43" s="149"/>
      <c r="BFZ43" s="149"/>
      <c r="BGA43" s="149"/>
      <c r="BGB43" s="149"/>
      <c r="BGC43" s="149"/>
      <c r="BGD43" s="149"/>
      <c r="BGE43" s="149"/>
      <c r="BGF43" s="149"/>
      <c r="BGG43" s="149"/>
      <c r="BGH43" s="149"/>
      <c r="BGI43" s="149"/>
      <c r="BGJ43" s="149"/>
      <c r="BGK43" s="149"/>
      <c r="BGL43" s="149"/>
      <c r="BGM43" s="149"/>
      <c r="BGN43" s="149"/>
      <c r="BGO43" s="149"/>
      <c r="BGP43" s="149"/>
      <c r="BGQ43" s="149"/>
      <c r="BGR43" s="149"/>
      <c r="BGS43" s="149"/>
      <c r="BGT43" s="149"/>
      <c r="BGU43" s="149"/>
      <c r="BGV43" s="149"/>
      <c r="BGW43" s="149"/>
      <c r="BGX43" s="149"/>
      <c r="BGY43" s="149"/>
      <c r="BGZ43" s="149"/>
      <c r="BHA43" s="149"/>
      <c r="BHB43" s="149"/>
      <c r="BHC43" s="149"/>
      <c r="BHD43" s="149"/>
      <c r="BHE43" s="149"/>
      <c r="BHF43" s="149"/>
      <c r="BHG43" s="149"/>
      <c r="BHH43" s="149"/>
      <c r="BHI43" s="149"/>
      <c r="BHJ43" s="149"/>
      <c r="BHK43" s="149"/>
      <c r="BHL43" s="149"/>
      <c r="BHM43" s="149"/>
      <c r="BHN43" s="149"/>
      <c r="BHO43" s="149"/>
      <c r="BHP43" s="149"/>
      <c r="BHQ43" s="149"/>
      <c r="BHR43" s="149"/>
      <c r="BHS43" s="149"/>
      <c r="BHT43" s="149"/>
      <c r="BHU43" s="149"/>
      <c r="BHV43" s="149"/>
      <c r="BHW43" s="149"/>
      <c r="BHX43" s="149"/>
      <c r="BHY43" s="149"/>
      <c r="BHZ43" s="149"/>
      <c r="BIA43" s="149"/>
      <c r="BIB43" s="149"/>
      <c r="BIC43" s="149"/>
      <c r="BID43" s="149"/>
      <c r="BIE43" s="149"/>
      <c r="BIF43" s="149"/>
      <c r="BIG43" s="149"/>
      <c r="BIH43" s="149"/>
      <c r="BII43" s="149"/>
      <c r="BIJ43" s="149"/>
      <c r="BIK43" s="149"/>
      <c r="BIL43" s="149"/>
      <c r="BIM43" s="149"/>
      <c r="BIN43" s="149"/>
      <c r="BIO43" s="149"/>
      <c r="BIP43" s="149"/>
      <c r="BIQ43" s="149"/>
      <c r="BIR43" s="149"/>
      <c r="BIS43" s="149"/>
      <c r="BIT43" s="149"/>
      <c r="BIU43" s="149"/>
      <c r="BIV43" s="149"/>
      <c r="BIW43" s="149"/>
      <c r="BIX43" s="149"/>
      <c r="BIY43" s="149"/>
      <c r="BIZ43" s="149"/>
      <c r="BJA43" s="149"/>
      <c r="BJB43" s="149"/>
      <c r="BJC43" s="149"/>
      <c r="BJD43" s="149"/>
      <c r="BJE43" s="149"/>
      <c r="BJF43" s="149"/>
      <c r="BJG43" s="149"/>
      <c r="BJH43" s="149"/>
      <c r="BJI43" s="149"/>
      <c r="BJJ43" s="149"/>
      <c r="BJK43" s="149"/>
      <c r="BJL43" s="149"/>
      <c r="BJM43" s="149"/>
      <c r="BJN43" s="149"/>
      <c r="BJO43" s="149"/>
      <c r="BJP43" s="149"/>
      <c r="BJQ43" s="149"/>
      <c r="BJR43" s="149"/>
      <c r="BJS43" s="149"/>
      <c r="BJT43" s="149"/>
      <c r="BJU43" s="149"/>
      <c r="BJV43" s="149"/>
      <c r="BJW43" s="149"/>
      <c r="BJX43" s="149"/>
      <c r="BJY43" s="149"/>
      <c r="BJZ43" s="149"/>
      <c r="BKA43" s="149"/>
      <c r="BKB43" s="149"/>
      <c r="BKC43" s="149"/>
      <c r="BKD43" s="149"/>
      <c r="BKE43" s="149"/>
      <c r="BKF43" s="149"/>
      <c r="BKG43" s="149"/>
      <c r="BKH43" s="149"/>
      <c r="BKI43" s="149"/>
      <c r="BKJ43" s="149"/>
      <c r="BKK43" s="149"/>
      <c r="BKL43" s="149"/>
      <c r="BKM43" s="149"/>
      <c r="BKN43" s="149"/>
      <c r="BKO43" s="149"/>
      <c r="BKP43" s="149"/>
      <c r="BKQ43" s="149"/>
      <c r="BKR43" s="149"/>
      <c r="BKS43" s="149"/>
      <c r="BKT43" s="149"/>
      <c r="BKU43" s="149"/>
      <c r="BKV43" s="149"/>
      <c r="BKW43" s="149"/>
      <c r="BKX43" s="149"/>
      <c r="BKY43" s="149"/>
      <c r="BKZ43" s="149"/>
      <c r="BLA43" s="149"/>
      <c r="BLB43" s="149"/>
      <c r="BLC43" s="149"/>
      <c r="BLD43" s="149"/>
      <c r="BLE43" s="149"/>
      <c r="BLF43" s="149"/>
      <c r="BLG43" s="149"/>
      <c r="BLH43" s="149"/>
      <c r="BLI43" s="149"/>
      <c r="BLJ43" s="149"/>
      <c r="BLK43" s="149"/>
      <c r="BLL43" s="149"/>
      <c r="BLM43" s="149"/>
      <c r="BLN43" s="149"/>
      <c r="BLO43" s="149"/>
      <c r="BLP43" s="149"/>
      <c r="BLQ43" s="149"/>
      <c r="BLR43" s="149"/>
      <c r="BLS43" s="149"/>
      <c r="BLT43" s="149"/>
      <c r="BLU43" s="149"/>
      <c r="BLV43" s="149"/>
      <c r="BLW43" s="149"/>
      <c r="BLX43" s="149"/>
      <c r="BLY43" s="149"/>
      <c r="BLZ43" s="149"/>
      <c r="BMA43" s="149"/>
      <c r="BMB43" s="149"/>
      <c r="BMC43" s="149"/>
      <c r="BMD43" s="149"/>
      <c r="BME43" s="149"/>
      <c r="BMF43" s="149"/>
      <c r="BMG43" s="149"/>
      <c r="BMH43" s="149"/>
      <c r="BMI43" s="149"/>
      <c r="BMJ43" s="149"/>
      <c r="BMK43" s="149"/>
      <c r="BML43" s="149"/>
      <c r="BMM43" s="149"/>
      <c r="BMN43" s="149"/>
      <c r="BMO43" s="149"/>
      <c r="BMP43" s="149"/>
      <c r="BMQ43" s="149"/>
      <c r="BMR43" s="149"/>
      <c r="BMS43" s="149"/>
      <c r="BMT43" s="149"/>
      <c r="BMU43" s="149"/>
      <c r="BMV43" s="149"/>
      <c r="BMW43" s="149"/>
      <c r="BMX43" s="149"/>
      <c r="BMY43" s="149"/>
      <c r="BMZ43" s="149"/>
      <c r="BNA43" s="149"/>
      <c r="BNB43" s="149"/>
      <c r="BNC43" s="149"/>
      <c r="BND43" s="149"/>
      <c r="BNE43" s="149"/>
      <c r="BNF43" s="149"/>
      <c r="BNG43" s="149"/>
      <c r="BNH43" s="149"/>
      <c r="BNI43" s="149"/>
      <c r="BNJ43" s="149"/>
      <c r="BNK43" s="149"/>
      <c r="BNL43" s="149"/>
      <c r="BNM43" s="149"/>
      <c r="BNN43" s="149"/>
      <c r="BNO43" s="149"/>
      <c r="BNP43" s="149"/>
      <c r="BNQ43" s="149"/>
      <c r="BNR43" s="149"/>
      <c r="BNS43" s="149"/>
      <c r="BNT43" s="149"/>
      <c r="BNU43" s="149"/>
      <c r="BNV43" s="149"/>
      <c r="BNW43" s="149"/>
      <c r="BNX43" s="149"/>
      <c r="BNY43" s="149"/>
      <c r="BNZ43" s="149"/>
      <c r="BOA43" s="149"/>
      <c r="BOB43" s="149"/>
      <c r="BOC43" s="149"/>
      <c r="BOD43" s="149"/>
      <c r="BOE43" s="149"/>
      <c r="BOF43" s="149"/>
      <c r="BOG43" s="149"/>
      <c r="BOH43" s="149"/>
      <c r="BOI43" s="149"/>
      <c r="BOJ43" s="149"/>
      <c r="BOK43" s="149"/>
      <c r="BOL43" s="149"/>
      <c r="BOM43" s="149"/>
      <c r="BON43" s="149"/>
      <c r="BOO43" s="149"/>
      <c r="BOP43" s="149"/>
      <c r="BOQ43" s="149"/>
      <c r="BOR43" s="149"/>
      <c r="BOS43" s="149"/>
      <c r="BOT43" s="149"/>
      <c r="BOU43" s="149"/>
      <c r="BOV43" s="149"/>
      <c r="BOW43" s="149"/>
      <c r="BOX43" s="149"/>
      <c r="BOY43" s="149"/>
      <c r="BOZ43" s="149"/>
      <c r="BPA43" s="149"/>
      <c r="BPB43" s="149"/>
      <c r="BPC43" s="149"/>
      <c r="BPD43" s="149"/>
      <c r="BPE43" s="149"/>
      <c r="BPF43" s="149"/>
      <c r="BPG43" s="149"/>
      <c r="BPH43" s="149"/>
      <c r="BPI43" s="149"/>
      <c r="BPJ43" s="149"/>
      <c r="BPK43" s="149"/>
      <c r="BPL43" s="149"/>
      <c r="BPM43" s="149"/>
      <c r="BPN43" s="149"/>
      <c r="BPO43" s="149"/>
      <c r="BPP43" s="149"/>
      <c r="BPQ43" s="149"/>
      <c r="BPR43" s="149"/>
      <c r="BPS43" s="149"/>
      <c r="BPT43" s="149"/>
      <c r="BPU43" s="149"/>
      <c r="BPV43" s="149"/>
      <c r="BPW43" s="149"/>
      <c r="BPX43" s="149"/>
      <c r="BPY43" s="149"/>
      <c r="BPZ43" s="149"/>
      <c r="BQA43" s="149"/>
      <c r="BQB43" s="149"/>
      <c r="BQC43" s="149"/>
      <c r="BQD43" s="149"/>
      <c r="BQE43" s="149"/>
      <c r="BQF43" s="149"/>
      <c r="BQG43" s="149"/>
      <c r="BQH43" s="149"/>
      <c r="BQI43" s="149"/>
      <c r="BQJ43" s="149"/>
      <c r="BQK43" s="149"/>
      <c r="BQL43" s="149"/>
      <c r="BQM43" s="149"/>
      <c r="BQN43" s="149"/>
      <c r="BQO43" s="149"/>
      <c r="BQP43" s="149"/>
      <c r="BQQ43" s="149"/>
      <c r="BQR43" s="149"/>
      <c r="BQS43" s="149"/>
      <c r="BQT43" s="149"/>
      <c r="BQU43" s="149"/>
      <c r="BQV43" s="149"/>
      <c r="BQW43" s="149"/>
      <c r="BQX43" s="149"/>
      <c r="BQY43" s="149"/>
      <c r="BQZ43" s="149"/>
      <c r="BRA43" s="149"/>
      <c r="BRB43" s="149"/>
      <c r="BRC43" s="149"/>
      <c r="BRD43" s="149"/>
      <c r="BRE43" s="149"/>
      <c r="BRF43" s="149"/>
      <c r="BRG43" s="149"/>
      <c r="BRH43" s="149"/>
      <c r="BRI43" s="149"/>
      <c r="BRJ43" s="149"/>
      <c r="BRK43" s="149"/>
      <c r="BRL43" s="149"/>
      <c r="BRM43" s="149"/>
      <c r="BRN43" s="149"/>
      <c r="BRO43" s="149"/>
      <c r="BRP43" s="149"/>
      <c r="BRQ43" s="149"/>
      <c r="BRR43" s="149"/>
      <c r="BRS43" s="149"/>
      <c r="BRT43" s="149"/>
      <c r="BRU43" s="149"/>
      <c r="BRV43" s="149"/>
      <c r="BRW43" s="149"/>
      <c r="BRX43" s="149"/>
      <c r="BRY43" s="149"/>
      <c r="BRZ43" s="149"/>
      <c r="BSA43" s="149"/>
      <c r="BSB43" s="149"/>
      <c r="BSC43" s="149"/>
      <c r="BSD43" s="149"/>
      <c r="BSE43" s="149"/>
      <c r="BSF43" s="149"/>
      <c r="BSG43" s="149"/>
      <c r="BSH43" s="149"/>
      <c r="BSI43" s="149"/>
      <c r="BSJ43" s="149"/>
      <c r="BSK43" s="149"/>
      <c r="BSL43" s="149"/>
      <c r="BSM43" s="149"/>
      <c r="BSN43" s="149"/>
      <c r="BSO43" s="149"/>
      <c r="BSP43" s="149"/>
      <c r="BSQ43" s="149"/>
      <c r="BSR43" s="149"/>
      <c r="BSS43" s="149"/>
      <c r="BST43" s="149"/>
      <c r="BSU43" s="149"/>
      <c r="BSV43" s="149"/>
      <c r="BSW43" s="149"/>
      <c r="BSX43" s="149"/>
      <c r="BSY43" s="149"/>
      <c r="BSZ43" s="149"/>
      <c r="BTA43" s="149"/>
      <c r="BTB43" s="149"/>
      <c r="BTC43" s="149"/>
      <c r="BTD43" s="149"/>
      <c r="BTE43" s="149"/>
      <c r="BTF43" s="149"/>
      <c r="BTG43" s="149"/>
      <c r="BTH43" s="149"/>
      <c r="BTI43" s="149"/>
      <c r="BTJ43" s="149"/>
      <c r="BTK43" s="149"/>
      <c r="BTL43" s="149"/>
      <c r="BTM43" s="149"/>
      <c r="BTN43" s="149"/>
      <c r="BTO43" s="149"/>
      <c r="BTP43" s="149"/>
      <c r="BTQ43" s="149"/>
      <c r="BTR43" s="149"/>
      <c r="BTS43" s="149"/>
      <c r="BTT43" s="149"/>
      <c r="BTU43" s="149"/>
      <c r="BTV43" s="149"/>
      <c r="BTW43" s="149"/>
      <c r="BTX43" s="149"/>
      <c r="BTY43" s="149"/>
      <c r="BTZ43" s="149"/>
      <c r="BUA43" s="149"/>
      <c r="BUB43" s="149"/>
      <c r="BUC43" s="149"/>
      <c r="BUD43" s="149"/>
      <c r="BUE43" s="149"/>
      <c r="BUF43" s="149"/>
      <c r="BUG43" s="149"/>
      <c r="BUH43" s="149"/>
      <c r="BUI43" s="149"/>
      <c r="BUJ43" s="149"/>
      <c r="BUK43" s="149"/>
      <c r="BUL43" s="149"/>
      <c r="BUM43" s="149"/>
      <c r="BUN43" s="149"/>
      <c r="BUO43" s="149"/>
      <c r="BUP43" s="149"/>
      <c r="BUQ43" s="149"/>
      <c r="BUR43" s="149"/>
      <c r="BUS43" s="149"/>
      <c r="BUT43" s="149"/>
      <c r="BUU43" s="149"/>
      <c r="BUV43" s="149"/>
      <c r="BUW43" s="149"/>
      <c r="BUX43" s="149"/>
      <c r="BUY43" s="149"/>
      <c r="BUZ43" s="149"/>
      <c r="BVA43" s="149"/>
      <c r="BVB43" s="149"/>
      <c r="BVC43" s="149"/>
      <c r="BVD43" s="149"/>
      <c r="BVE43" s="149"/>
      <c r="BVF43" s="149"/>
      <c r="BVG43" s="149"/>
      <c r="BVH43" s="149"/>
      <c r="BVI43" s="149"/>
      <c r="BVJ43" s="149"/>
      <c r="BVK43" s="149"/>
      <c r="BVL43" s="149"/>
      <c r="BVM43" s="149"/>
      <c r="BVN43" s="149"/>
      <c r="BVO43" s="149"/>
      <c r="BVP43" s="149"/>
      <c r="BVQ43" s="149"/>
      <c r="BVR43" s="149"/>
      <c r="BVS43" s="149"/>
      <c r="BVT43" s="149"/>
      <c r="BVU43" s="149"/>
      <c r="BVV43" s="149"/>
      <c r="BVW43" s="149"/>
      <c r="BVX43" s="149"/>
      <c r="BVY43" s="149"/>
      <c r="BVZ43" s="149"/>
      <c r="BWA43" s="149"/>
      <c r="BWB43" s="149"/>
      <c r="BWC43" s="149"/>
      <c r="BWD43" s="149"/>
      <c r="BWE43" s="149"/>
      <c r="BWF43" s="149"/>
      <c r="BWG43" s="149"/>
      <c r="BWH43" s="149"/>
      <c r="BWI43" s="149"/>
      <c r="BWJ43" s="149"/>
      <c r="BWK43" s="149"/>
      <c r="BWL43" s="149"/>
      <c r="BWM43" s="149"/>
      <c r="BWN43" s="149"/>
      <c r="BWO43" s="149"/>
      <c r="BWP43" s="149"/>
      <c r="BWQ43" s="149"/>
      <c r="BWR43" s="149"/>
      <c r="BWS43" s="149"/>
      <c r="BWT43" s="149"/>
      <c r="BWU43" s="149"/>
      <c r="BWV43" s="149"/>
      <c r="BWW43" s="149"/>
      <c r="BWX43" s="149"/>
      <c r="BWY43" s="149"/>
      <c r="BWZ43" s="149"/>
      <c r="BXA43" s="149"/>
      <c r="BXB43" s="149"/>
      <c r="BXC43" s="149"/>
      <c r="BXD43" s="149"/>
      <c r="BXE43" s="149"/>
      <c r="BXF43" s="149"/>
      <c r="BXG43" s="149"/>
      <c r="BXH43" s="149"/>
      <c r="BXI43" s="149"/>
      <c r="BXJ43" s="149"/>
      <c r="BXK43" s="149"/>
      <c r="BXL43" s="149"/>
      <c r="BXM43" s="149"/>
      <c r="BXN43" s="149"/>
      <c r="BXO43" s="149"/>
      <c r="BXP43" s="149"/>
      <c r="BXQ43" s="149"/>
      <c r="BXR43" s="149"/>
      <c r="BXS43" s="149"/>
      <c r="BXT43" s="149"/>
      <c r="BXU43" s="149"/>
      <c r="BXV43" s="149"/>
      <c r="BXW43" s="149"/>
      <c r="BXX43" s="149"/>
      <c r="BXY43" s="149"/>
      <c r="BXZ43" s="149"/>
      <c r="BYA43" s="149"/>
      <c r="BYB43" s="149"/>
      <c r="BYC43" s="149"/>
      <c r="BYD43" s="149"/>
      <c r="BYE43" s="149"/>
      <c r="BYF43" s="149"/>
      <c r="BYG43" s="149"/>
      <c r="BYH43" s="149"/>
      <c r="BYI43" s="149"/>
      <c r="BYJ43" s="149"/>
      <c r="BYK43" s="149"/>
      <c r="BYL43" s="149"/>
      <c r="BYM43" s="149"/>
      <c r="BYN43" s="149"/>
      <c r="BYO43" s="149"/>
      <c r="BYP43" s="149"/>
      <c r="BYQ43" s="149"/>
      <c r="BYR43" s="149"/>
      <c r="BYS43" s="149"/>
      <c r="BYT43" s="149"/>
      <c r="BYU43" s="149"/>
      <c r="BYV43" s="149"/>
      <c r="BYW43" s="149"/>
      <c r="BYX43" s="149"/>
      <c r="BYY43" s="149"/>
      <c r="BYZ43" s="149"/>
      <c r="BZA43" s="149"/>
      <c r="BZB43" s="149"/>
      <c r="BZC43" s="149"/>
      <c r="BZD43" s="149"/>
      <c r="BZE43" s="149"/>
      <c r="BZF43" s="149"/>
      <c r="BZG43" s="149"/>
      <c r="BZH43" s="149"/>
      <c r="BZI43" s="149"/>
      <c r="BZJ43" s="149"/>
      <c r="BZK43" s="149"/>
      <c r="BZL43" s="149"/>
      <c r="BZM43" s="149"/>
      <c r="BZN43" s="149"/>
      <c r="BZO43" s="149"/>
      <c r="BZP43" s="149"/>
      <c r="BZQ43" s="149"/>
      <c r="BZR43" s="149"/>
      <c r="BZS43" s="149"/>
      <c r="BZT43" s="149"/>
      <c r="BZU43" s="149"/>
      <c r="BZV43" s="149"/>
      <c r="BZW43" s="149"/>
      <c r="BZX43" s="149"/>
      <c r="BZY43" s="149"/>
      <c r="BZZ43" s="149"/>
      <c r="CAA43" s="149"/>
      <c r="CAB43" s="149"/>
      <c r="CAC43" s="149"/>
      <c r="CAD43" s="149"/>
      <c r="CAE43" s="149"/>
      <c r="CAF43" s="149"/>
      <c r="CAG43" s="149"/>
      <c r="CAH43" s="149"/>
      <c r="CAI43" s="149"/>
      <c r="CAJ43" s="149"/>
      <c r="CAK43" s="149"/>
      <c r="CAL43" s="149"/>
      <c r="CAM43" s="149"/>
      <c r="CAN43" s="149"/>
      <c r="CAO43" s="149"/>
      <c r="CAP43" s="149"/>
      <c r="CAQ43" s="149"/>
      <c r="CAR43" s="149"/>
      <c r="CAS43" s="149"/>
      <c r="CAT43" s="149"/>
      <c r="CAU43" s="149"/>
      <c r="CAV43" s="149"/>
      <c r="CAW43" s="149"/>
      <c r="CAX43" s="149"/>
      <c r="CAY43" s="149"/>
      <c r="CAZ43" s="149"/>
      <c r="CBA43" s="149"/>
      <c r="CBB43" s="149"/>
      <c r="CBC43" s="149"/>
      <c r="CBD43" s="149"/>
      <c r="CBE43" s="149"/>
      <c r="CBF43" s="149"/>
      <c r="CBG43" s="149"/>
      <c r="CBH43" s="149"/>
      <c r="CBI43" s="149"/>
      <c r="CBJ43" s="149"/>
      <c r="CBK43" s="149"/>
      <c r="CBL43" s="149"/>
      <c r="CBM43" s="149"/>
      <c r="CBN43" s="149"/>
      <c r="CBO43" s="149"/>
      <c r="CBP43" s="149"/>
      <c r="CBQ43" s="149"/>
      <c r="CBR43" s="149"/>
      <c r="CBS43" s="149"/>
      <c r="CBT43" s="149"/>
      <c r="CBU43" s="149"/>
      <c r="CBV43" s="149"/>
      <c r="CBW43" s="149"/>
      <c r="CBX43" s="149"/>
      <c r="CBY43" s="149"/>
      <c r="CBZ43" s="149"/>
      <c r="CCA43" s="149"/>
      <c r="CCB43" s="149"/>
      <c r="CCC43" s="149"/>
      <c r="CCD43" s="149"/>
      <c r="CCE43" s="149"/>
      <c r="CCF43" s="149"/>
      <c r="CCG43" s="149"/>
      <c r="CCH43" s="149"/>
      <c r="CCI43" s="149"/>
      <c r="CCJ43" s="149"/>
      <c r="CCK43" s="149"/>
      <c r="CCL43" s="149"/>
      <c r="CCM43" s="149"/>
      <c r="CCN43" s="149"/>
      <c r="CCO43" s="149"/>
      <c r="CCP43" s="149"/>
      <c r="CCQ43" s="149"/>
      <c r="CCR43" s="149"/>
      <c r="CCS43" s="149"/>
      <c r="CCT43" s="149"/>
      <c r="CCU43" s="149"/>
      <c r="CCV43" s="149"/>
      <c r="CCW43" s="149"/>
      <c r="CCX43" s="149"/>
      <c r="CCY43" s="149"/>
      <c r="CCZ43" s="149"/>
      <c r="CDA43" s="149"/>
      <c r="CDB43" s="149"/>
      <c r="CDC43" s="149"/>
      <c r="CDD43" s="149"/>
      <c r="CDE43" s="149"/>
      <c r="CDF43" s="149"/>
      <c r="CDG43" s="149"/>
      <c r="CDH43" s="149"/>
      <c r="CDI43" s="149"/>
      <c r="CDJ43" s="149"/>
      <c r="CDK43" s="149"/>
      <c r="CDL43" s="149"/>
      <c r="CDM43" s="149"/>
      <c r="CDN43" s="149"/>
      <c r="CDO43" s="149"/>
      <c r="CDP43" s="149"/>
      <c r="CDQ43" s="149"/>
      <c r="CDR43" s="149"/>
      <c r="CDS43" s="149"/>
      <c r="CDT43" s="149"/>
      <c r="CDU43" s="149"/>
      <c r="CDV43" s="149"/>
      <c r="CDW43" s="149"/>
      <c r="CDX43" s="149"/>
      <c r="CDY43" s="149"/>
      <c r="CDZ43" s="149"/>
      <c r="CEA43" s="149"/>
      <c r="CEB43" s="149"/>
      <c r="CEC43" s="149"/>
      <c r="CED43" s="149"/>
      <c r="CEE43" s="149"/>
      <c r="CEF43" s="149"/>
      <c r="CEG43" s="149"/>
      <c r="CEH43" s="149"/>
      <c r="CEI43" s="149"/>
      <c r="CEJ43" s="149"/>
      <c r="CEK43" s="149"/>
      <c r="CEL43" s="149"/>
      <c r="CEM43" s="149"/>
      <c r="CEN43" s="149"/>
      <c r="CEO43" s="149"/>
      <c r="CEP43" s="149"/>
      <c r="CEQ43" s="149"/>
      <c r="CER43" s="149"/>
      <c r="CES43" s="149"/>
      <c r="CET43" s="149"/>
      <c r="CEU43" s="149"/>
      <c r="CEV43" s="149"/>
      <c r="CEW43" s="149"/>
      <c r="CEX43" s="149"/>
      <c r="CEY43" s="149"/>
      <c r="CEZ43" s="149"/>
      <c r="CFA43" s="149"/>
      <c r="CFB43" s="149"/>
      <c r="CFC43" s="149"/>
      <c r="CFD43" s="149"/>
      <c r="CFE43" s="149"/>
      <c r="CFF43" s="149"/>
      <c r="CFG43" s="149"/>
      <c r="CFH43" s="149"/>
      <c r="CFI43" s="149"/>
      <c r="CFJ43" s="149"/>
      <c r="CFK43" s="149"/>
      <c r="CFL43" s="149"/>
      <c r="CFM43" s="149"/>
      <c r="CFN43" s="149"/>
      <c r="CFO43" s="149"/>
      <c r="CFP43" s="149"/>
      <c r="CFQ43" s="149"/>
      <c r="CFR43" s="149"/>
      <c r="CFS43" s="149"/>
      <c r="CFT43" s="149"/>
      <c r="CFU43" s="149"/>
      <c r="CFV43" s="149"/>
      <c r="CFW43" s="149"/>
      <c r="CFX43" s="149"/>
      <c r="CFY43" s="149"/>
      <c r="CFZ43" s="149"/>
      <c r="CGA43" s="149"/>
      <c r="CGB43" s="149"/>
      <c r="CGC43" s="149"/>
      <c r="CGD43" s="149"/>
      <c r="CGE43" s="149"/>
      <c r="CGF43" s="149"/>
      <c r="CGG43" s="149"/>
      <c r="CGH43" s="149"/>
      <c r="CGI43" s="149"/>
      <c r="CGJ43" s="149"/>
      <c r="CGK43" s="149"/>
      <c r="CGL43" s="149"/>
      <c r="CGM43" s="149"/>
      <c r="CGN43" s="149"/>
      <c r="CGO43" s="149"/>
      <c r="CGP43" s="149"/>
      <c r="CGQ43" s="149"/>
      <c r="CGR43" s="149"/>
      <c r="CGS43" s="149"/>
      <c r="CGT43" s="149"/>
      <c r="CGU43" s="149"/>
      <c r="CGV43" s="149"/>
      <c r="CGW43" s="149"/>
      <c r="CGX43" s="149"/>
      <c r="CGY43" s="149"/>
      <c r="CGZ43" s="149"/>
      <c r="CHA43" s="149"/>
      <c r="CHB43" s="149"/>
      <c r="CHC43" s="149"/>
      <c r="CHD43" s="149"/>
      <c r="CHE43" s="149"/>
      <c r="CHF43" s="149"/>
      <c r="CHG43" s="149"/>
      <c r="CHH43" s="149"/>
      <c r="CHI43" s="149"/>
      <c r="CHJ43" s="149"/>
      <c r="CHK43" s="149"/>
      <c r="CHL43" s="149"/>
      <c r="CHM43" s="149"/>
      <c r="CHN43" s="149"/>
      <c r="CHO43" s="149"/>
      <c r="CHP43" s="149"/>
      <c r="CHQ43" s="149"/>
      <c r="CHR43" s="149"/>
      <c r="CHS43" s="149"/>
      <c r="CHT43" s="149"/>
      <c r="CHU43" s="149"/>
      <c r="CHV43" s="149"/>
      <c r="CHW43" s="149"/>
      <c r="CHX43" s="149"/>
      <c r="CHY43" s="149"/>
      <c r="CHZ43" s="149"/>
      <c r="CIA43" s="149"/>
      <c r="CIB43" s="149"/>
      <c r="CIC43" s="149"/>
      <c r="CID43" s="149"/>
      <c r="CIE43" s="149"/>
      <c r="CIF43" s="149"/>
      <c r="CIG43" s="149"/>
      <c r="CIH43" s="149"/>
      <c r="CII43" s="149"/>
      <c r="CIJ43" s="149"/>
      <c r="CIK43" s="149"/>
      <c r="CIL43" s="149"/>
      <c r="CIM43" s="149"/>
      <c r="CIN43" s="149"/>
      <c r="CIO43" s="149"/>
      <c r="CIP43" s="149"/>
      <c r="CIQ43" s="149"/>
      <c r="CIR43" s="149"/>
      <c r="CIS43" s="149"/>
      <c r="CIT43" s="149"/>
      <c r="CIU43" s="149"/>
      <c r="CIV43" s="149"/>
      <c r="CIW43" s="149"/>
      <c r="CIX43" s="149"/>
      <c r="CIY43" s="149"/>
      <c r="CIZ43" s="149"/>
      <c r="CJA43" s="149"/>
      <c r="CJB43" s="149"/>
      <c r="CJC43" s="149"/>
      <c r="CJD43" s="149"/>
      <c r="CJE43" s="149"/>
      <c r="CJF43" s="149"/>
      <c r="CJG43" s="149"/>
      <c r="CJH43" s="149"/>
      <c r="CJI43" s="149"/>
      <c r="CJJ43" s="149"/>
      <c r="CJK43" s="149"/>
      <c r="CJL43" s="149"/>
      <c r="CJM43" s="149"/>
      <c r="CJN43" s="149"/>
      <c r="CJO43" s="149"/>
      <c r="CJP43" s="149"/>
      <c r="CJQ43" s="149"/>
      <c r="CJR43" s="149"/>
      <c r="CJS43" s="149"/>
      <c r="CJT43" s="149"/>
      <c r="CJU43" s="149"/>
      <c r="CJV43" s="149"/>
      <c r="CJW43" s="149"/>
      <c r="CJX43" s="149"/>
      <c r="CJY43" s="149"/>
      <c r="CJZ43" s="149"/>
      <c r="CKA43" s="149"/>
      <c r="CKB43" s="149"/>
      <c r="CKC43" s="149"/>
      <c r="CKD43" s="149"/>
      <c r="CKE43" s="149"/>
      <c r="CKF43" s="149"/>
      <c r="CKG43" s="149"/>
      <c r="CKH43" s="149"/>
      <c r="CKI43" s="149"/>
      <c r="CKJ43" s="149"/>
      <c r="CKK43" s="149"/>
      <c r="CKL43" s="149"/>
      <c r="CKM43" s="149"/>
      <c r="CKN43" s="149"/>
      <c r="CKO43" s="149"/>
      <c r="CKP43" s="149"/>
      <c r="CKQ43" s="149"/>
      <c r="CKR43" s="149"/>
      <c r="CKS43" s="149"/>
      <c r="CKT43" s="149"/>
      <c r="CKU43" s="149"/>
      <c r="CKV43" s="149"/>
      <c r="CKW43" s="149"/>
      <c r="CKX43" s="149"/>
      <c r="CKY43" s="149"/>
      <c r="CKZ43" s="149"/>
      <c r="CLA43" s="149"/>
      <c r="CLB43" s="149"/>
      <c r="CLC43" s="149"/>
      <c r="CLD43" s="149"/>
      <c r="CLE43" s="149"/>
      <c r="CLF43" s="149"/>
      <c r="CLG43" s="149"/>
      <c r="CLH43" s="149"/>
      <c r="CLI43" s="149"/>
      <c r="CLJ43" s="149"/>
      <c r="CLK43" s="149"/>
      <c r="CLL43" s="149"/>
      <c r="CLM43" s="149"/>
      <c r="CLN43" s="149"/>
      <c r="CLO43" s="149"/>
      <c r="CLP43" s="149"/>
      <c r="CLQ43" s="149"/>
      <c r="CLR43" s="149"/>
      <c r="CLS43" s="149"/>
      <c r="CLT43" s="149"/>
      <c r="CLU43" s="149"/>
      <c r="CLV43" s="149"/>
      <c r="CLW43" s="149"/>
      <c r="CLX43" s="149"/>
      <c r="CLY43" s="149"/>
      <c r="CLZ43" s="149"/>
      <c r="CMA43" s="149"/>
      <c r="CMB43" s="149"/>
      <c r="CMC43" s="149"/>
      <c r="CMD43" s="149"/>
      <c r="CME43" s="149"/>
      <c r="CMF43" s="149"/>
      <c r="CMG43" s="149"/>
      <c r="CMH43" s="149"/>
      <c r="CMI43" s="149"/>
      <c r="CMJ43" s="149"/>
      <c r="CMK43" s="149"/>
      <c r="CML43" s="149"/>
      <c r="CMM43" s="149"/>
      <c r="CMN43" s="149"/>
      <c r="CMO43" s="149"/>
      <c r="CMP43" s="149"/>
      <c r="CMQ43" s="149"/>
      <c r="CMR43" s="149"/>
      <c r="CMS43" s="149"/>
      <c r="CMT43" s="149"/>
      <c r="CMU43" s="149"/>
      <c r="CMV43" s="149"/>
      <c r="CMW43" s="149"/>
      <c r="CMX43" s="149"/>
      <c r="CMY43" s="149"/>
      <c r="CMZ43" s="149"/>
      <c r="CNA43" s="149"/>
      <c r="CNB43" s="149"/>
      <c r="CNC43" s="149"/>
      <c r="CND43" s="149"/>
      <c r="CNE43" s="149"/>
      <c r="CNF43" s="149"/>
      <c r="CNG43" s="149"/>
      <c r="CNH43" s="149"/>
      <c r="CNI43" s="149"/>
      <c r="CNJ43" s="149"/>
      <c r="CNK43" s="149"/>
      <c r="CNL43" s="149"/>
      <c r="CNM43" s="149"/>
      <c r="CNN43" s="149"/>
      <c r="CNO43" s="149"/>
      <c r="CNP43" s="149"/>
      <c r="CNQ43" s="149"/>
      <c r="CNR43" s="149"/>
      <c r="CNS43" s="149"/>
      <c r="CNT43" s="149"/>
      <c r="CNU43" s="149"/>
      <c r="CNV43" s="149"/>
      <c r="CNW43" s="149"/>
      <c r="CNX43" s="149"/>
      <c r="CNY43" s="149"/>
      <c r="CNZ43" s="149"/>
      <c r="COA43" s="149"/>
      <c r="COB43" s="149"/>
      <c r="COC43" s="149"/>
      <c r="COD43" s="149"/>
      <c r="COE43" s="149"/>
      <c r="COF43" s="149"/>
      <c r="COG43" s="149"/>
      <c r="COH43" s="149"/>
      <c r="COI43" s="149"/>
      <c r="COJ43" s="149"/>
      <c r="COK43" s="149"/>
      <c r="COL43" s="149"/>
      <c r="COM43" s="149"/>
      <c r="CON43" s="149"/>
      <c r="COO43" s="149"/>
      <c r="COP43" s="149"/>
      <c r="COQ43" s="149"/>
      <c r="COR43" s="149"/>
      <c r="COS43" s="149"/>
      <c r="COT43" s="149"/>
      <c r="COU43" s="149"/>
      <c r="COV43" s="149"/>
      <c r="COW43" s="149"/>
      <c r="COX43" s="149"/>
      <c r="COY43" s="149"/>
      <c r="COZ43" s="149"/>
      <c r="CPA43" s="149"/>
      <c r="CPB43" s="149"/>
      <c r="CPC43" s="149"/>
      <c r="CPD43" s="149"/>
      <c r="CPE43" s="149"/>
      <c r="CPF43" s="149"/>
      <c r="CPG43" s="149"/>
      <c r="CPH43" s="149"/>
      <c r="CPI43" s="149"/>
      <c r="CPJ43" s="149"/>
      <c r="CPK43" s="149"/>
      <c r="CPL43" s="149"/>
      <c r="CPM43" s="149"/>
      <c r="CPN43" s="149"/>
      <c r="CPO43" s="149"/>
      <c r="CPP43" s="149"/>
      <c r="CPQ43" s="149"/>
      <c r="CPR43" s="149"/>
      <c r="CPS43" s="149"/>
      <c r="CPT43" s="149"/>
      <c r="CPU43" s="149"/>
      <c r="CPV43" s="149"/>
      <c r="CPW43" s="149"/>
      <c r="CPX43" s="149"/>
      <c r="CPY43" s="149"/>
      <c r="CPZ43" s="149"/>
      <c r="CQA43" s="149"/>
      <c r="CQB43" s="149"/>
      <c r="CQC43" s="149"/>
      <c r="CQD43" s="149"/>
      <c r="CQE43" s="149"/>
      <c r="CQF43" s="149"/>
      <c r="CQG43" s="149"/>
      <c r="CQH43" s="149"/>
      <c r="CQI43" s="149"/>
      <c r="CQJ43" s="149"/>
      <c r="CQK43" s="149"/>
      <c r="CQL43" s="149"/>
      <c r="CQM43" s="149"/>
      <c r="CQN43" s="149"/>
      <c r="CQO43" s="149"/>
      <c r="CQP43" s="149"/>
      <c r="CQQ43" s="149"/>
      <c r="CQR43" s="149"/>
      <c r="CQS43" s="149"/>
      <c r="CQT43" s="149"/>
      <c r="CQU43" s="149"/>
      <c r="CQV43" s="149"/>
      <c r="CQW43" s="149"/>
      <c r="CQX43" s="149"/>
      <c r="CQY43" s="149"/>
      <c r="CQZ43" s="149"/>
      <c r="CRA43" s="149"/>
      <c r="CRB43" s="149"/>
      <c r="CRC43" s="149"/>
      <c r="CRD43" s="149"/>
      <c r="CRE43" s="149"/>
      <c r="CRF43" s="149"/>
      <c r="CRG43" s="149"/>
      <c r="CRH43" s="149"/>
      <c r="CRI43" s="149"/>
      <c r="CRJ43" s="149"/>
      <c r="CRK43" s="149"/>
      <c r="CRL43" s="149"/>
      <c r="CRM43" s="149"/>
      <c r="CRN43" s="149"/>
      <c r="CRO43" s="149"/>
      <c r="CRP43" s="149"/>
      <c r="CRQ43" s="149"/>
      <c r="CRR43" s="149"/>
      <c r="CRS43" s="149"/>
      <c r="CRT43" s="149"/>
      <c r="CRU43" s="149"/>
      <c r="CRV43" s="149"/>
      <c r="CRW43" s="149"/>
      <c r="CRX43" s="149"/>
      <c r="CRY43" s="149"/>
      <c r="CRZ43" s="149"/>
      <c r="CSA43" s="149"/>
      <c r="CSB43" s="149"/>
      <c r="CSC43" s="149"/>
      <c r="CSD43" s="149"/>
      <c r="CSE43" s="149"/>
      <c r="CSF43" s="149"/>
      <c r="CSG43" s="149"/>
      <c r="CSH43" s="149"/>
      <c r="CSI43" s="149"/>
      <c r="CSJ43" s="149"/>
      <c r="CSK43" s="149"/>
      <c r="CSL43" s="149"/>
      <c r="CSM43" s="149"/>
      <c r="CSN43" s="149"/>
      <c r="CSO43" s="149"/>
      <c r="CSP43" s="149"/>
      <c r="CSQ43" s="149"/>
      <c r="CSR43" s="149"/>
      <c r="CSS43" s="149"/>
      <c r="CST43" s="149"/>
      <c r="CSU43" s="149"/>
      <c r="CSV43" s="149"/>
      <c r="CSW43" s="149"/>
      <c r="CSX43" s="149"/>
      <c r="CSY43" s="149"/>
      <c r="CSZ43" s="149"/>
      <c r="CTA43" s="149"/>
      <c r="CTB43" s="149"/>
      <c r="CTC43" s="149"/>
      <c r="CTD43" s="149"/>
      <c r="CTE43" s="149"/>
      <c r="CTF43" s="149"/>
      <c r="CTG43" s="149"/>
      <c r="CTH43" s="149"/>
      <c r="CTI43" s="149"/>
      <c r="CTJ43" s="149"/>
      <c r="CTK43" s="149"/>
      <c r="CTL43" s="149"/>
      <c r="CTM43" s="149"/>
      <c r="CTN43" s="149"/>
      <c r="CTO43" s="149"/>
      <c r="CTP43" s="149"/>
      <c r="CTQ43" s="149"/>
      <c r="CTR43" s="149"/>
      <c r="CTS43" s="149"/>
      <c r="CTT43" s="149"/>
      <c r="CTU43" s="149"/>
      <c r="CTV43" s="149"/>
      <c r="CTW43" s="149"/>
      <c r="CTX43" s="149"/>
      <c r="CTY43" s="149"/>
      <c r="CTZ43" s="149"/>
      <c r="CUA43" s="149"/>
      <c r="CUB43" s="149"/>
      <c r="CUC43" s="149"/>
      <c r="CUD43" s="149"/>
      <c r="CUE43" s="149"/>
      <c r="CUF43" s="149"/>
      <c r="CUG43" s="149"/>
      <c r="CUH43" s="149"/>
      <c r="CUI43" s="149"/>
      <c r="CUJ43" s="149"/>
      <c r="CUK43" s="149"/>
      <c r="CUL43" s="149"/>
      <c r="CUM43" s="149"/>
      <c r="CUN43" s="149"/>
      <c r="CUO43" s="149"/>
      <c r="CUP43" s="149"/>
      <c r="CUQ43" s="149"/>
      <c r="CUR43" s="149"/>
      <c r="CUS43" s="149"/>
      <c r="CUT43" s="149"/>
      <c r="CUU43" s="149"/>
      <c r="CUV43" s="149"/>
      <c r="CUW43" s="149"/>
      <c r="CUX43" s="149"/>
      <c r="CUY43" s="149"/>
      <c r="CUZ43" s="149"/>
      <c r="CVA43" s="149"/>
      <c r="CVB43" s="149"/>
      <c r="CVC43" s="149"/>
      <c r="CVD43" s="149"/>
      <c r="CVE43" s="149"/>
      <c r="CVF43" s="149"/>
      <c r="CVG43" s="149"/>
      <c r="CVH43" s="149"/>
      <c r="CVI43" s="149"/>
      <c r="CVJ43" s="149"/>
      <c r="CVK43" s="149"/>
      <c r="CVL43" s="149"/>
      <c r="CVM43" s="149"/>
      <c r="CVN43" s="149"/>
      <c r="CVO43" s="149"/>
      <c r="CVP43" s="149"/>
      <c r="CVQ43" s="149"/>
      <c r="CVR43" s="149"/>
      <c r="CVS43" s="149"/>
      <c r="CVT43" s="149"/>
      <c r="CVU43" s="149"/>
      <c r="CVV43" s="149"/>
      <c r="CVW43" s="149"/>
      <c r="CVX43" s="149"/>
      <c r="CVY43" s="149"/>
      <c r="CVZ43" s="149"/>
      <c r="CWA43" s="149"/>
      <c r="CWB43" s="149"/>
      <c r="CWC43" s="149"/>
      <c r="CWD43" s="149"/>
      <c r="CWE43" s="149"/>
      <c r="CWF43" s="149"/>
      <c r="CWG43" s="149"/>
      <c r="CWH43" s="149"/>
      <c r="CWI43" s="149"/>
      <c r="CWJ43" s="149"/>
      <c r="CWK43" s="149"/>
      <c r="CWL43" s="149"/>
      <c r="CWM43" s="149"/>
      <c r="CWN43" s="149"/>
      <c r="CWO43" s="149"/>
      <c r="CWP43" s="149"/>
      <c r="CWQ43" s="149"/>
      <c r="CWR43" s="149"/>
      <c r="CWS43" s="149"/>
      <c r="CWT43" s="149"/>
      <c r="CWU43" s="149"/>
      <c r="CWV43" s="149"/>
      <c r="CWW43" s="149"/>
      <c r="CWX43" s="149"/>
      <c r="CWY43" s="149"/>
      <c r="CWZ43" s="149"/>
      <c r="CXA43" s="149"/>
      <c r="CXB43" s="149"/>
      <c r="CXC43" s="149"/>
      <c r="CXD43" s="149"/>
      <c r="CXE43" s="149"/>
      <c r="CXF43" s="149"/>
      <c r="CXG43" s="149"/>
      <c r="CXH43" s="149"/>
      <c r="CXI43" s="149"/>
      <c r="CXJ43" s="149"/>
      <c r="CXK43" s="149"/>
      <c r="CXL43" s="149"/>
      <c r="CXM43" s="149"/>
      <c r="CXN43" s="149"/>
      <c r="CXO43" s="149"/>
      <c r="CXP43" s="149"/>
      <c r="CXQ43" s="149"/>
      <c r="CXR43" s="149"/>
      <c r="CXS43" s="149"/>
      <c r="CXT43" s="149"/>
      <c r="CXU43" s="149"/>
      <c r="CXV43" s="149"/>
      <c r="CXW43" s="149"/>
      <c r="CXX43" s="149"/>
      <c r="CXY43" s="149"/>
      <c r="CXZ43" s="149"/>
      <c r="CYA43" s="149"/>
      <c r="CYB43" s="149"/>
      <c r="CYC43" s="149"/>
      <c r="CYD43" s="149"/>
      <c r="CYE43" s="149"/>
      <c r="CYF43" s="149"/>
      <c r="CYG43" s="149"/>
      <c r="CYH43" s="149"/>
      <c r="CYI43" s="149"/>
      <c r="CYJ43" s="149"/>
      <c r="CYK43" s="149"/>
      <c r="CYL43" s="149"/>
      <c r="CYM43" s="149"/>
      <c r="CYN43" s="149"/>
      <c r="CYO43" s="149"/>
      <c r="CYP43" s="149"/>
      <c r="CYQ43" s="149"/>
      <c r="CYR43" s="149"/>
      <c r="CYS43" s="149"/>
      <c r="CYT43" s="149"/>
      <c r="CYU43" s="149"/>
      <c r="CYV43" s="149"/>
      <c r="CYW43" s="149"/>
      <c r="CYX43" s="149"/>
      <c r="CYY43" s="149"/>
      <c r="CYZ43" s="149"/>
      <c r="CZA43" s="149"/>
      <c r="CZB43" s="149"/>
      <c r="CZC43" s="149"/>
      <c r="CZD43" s="149"/>
      <c r="CZE43" s="149"/>
      <c r="CZF43" s="149"/>
      <c r="CZG43" s="149"/>
      <c r="CZH43" s="149"/>
      <c r="CZI43" s="149"/>
      <c r="CZJ43" s="149"/>
      <c r="CZK43" s="149"/>
      <c r="CZL43" s="149"/>
      <c r="CZM43" s="149"/>
      <c r="CZN43" s="149"/>
      <c r="CZO43" s="149"/>
      <c r="CZP43" s="149"/>
      <c r="CZQ43" s="149"/>
      <c r="CZR43" s="149"/>
      <c r="CZS43" s="149"/>
      <c r="CZT43" s="149"/>
      <c r="CZU43" s="149"/>
      <c r="CZV43" s="149"/>
      <c r="CZW43" s="149"/>
      <c r="CZX43" s="149"/>
      <c r="CZY43" s="149"/>
      <c r="CZZ43" s="149"/>
      <c r="DAA43" s="149"/>
      <c r="DAB43" s="149"/>
      <c r="DAC43" s="149"/>
      <c r="DAD43" s="149"/>
      <c r="DAE43" s="149"/>
      <c r="DAF43" s="149"/>
      <c r="DAG43" s="149"/>
      <c r="DAH43" s="149"/>
      <c r="DAI43" s="149"/>
      <c r="DAJ43" s="149"/>
      <c r="DAK43" s="149"/>
      <c r="DAL43" s="149"/>
      <c r="DAM43" s="149"/>
      <c r="DAN43" s="149"/>
      <c r="DAO43" s="149"/>
      <c r="DAP43" s="149"/>
      <c r="DAQ43" s="149"/>
      <c r="DAR43" s="149"/>
      <c r="DAS43" s="149"/>
      <c r="DAT43" s="149"/>
      <c r="DAU43" s="149"/>
      <c r="DAV43" s="149"/>
      <c r="DAW43" s="149"/>
      <c r="DAX43" s="149"/>
      <c r="DAY43" s="149"/>
      <c r="DAZ43" s="149"/>
      <c r="DBA43" s="149"/>
      <c r="DBB43" s="149"/>
      <c r="DBC43" s="149"/>
      <c r="DBD43" s="149"/>
      <c r="DBE43" s="149"/>
      <c r="DBF43" s="149"/>
      <c r="DBG43" s="149"/>
      <c r="DBH43" s="149"/>
      <c r="DBI43" s="149"/>
      <c r="DBJ43" s="149"/>
      <c r="DBK43" s="149"/>
      <c r="DBL43" s="149"/>
      <c r="DBM43" s="149"/>
      <c r="DBN43" s="149"/>
      <c r="DBO43" s="149"/>
      <c r="DBP43" s="149"/>
      <c r="DBQ43" s="149"/>
      <c r="DBR43" s="149"/>
      <c r="DBS43" s="149"/>
      <c r="DBT43" s="149"/>
      <c r="DBU43" s="149"/>
      <c r="DBV43" s="149"/>
      <c r="DBW43" s="149"/>
      <c r="DBX43" s="149"/>
      <c r="DBY43" s="149"/>
      <c r="DBZ43" s="149"/>
      <c r="DCA43" s="149"/>
      <c r="DCB43" s="149"/>
      <c r="DCC43" s="149"/>
      <c r="DCD43" s="149"/>
      <c r="DCE43" s="149"/>
      <c r="DCF43" s="149"/>
      <c r="DCG43" s="149"/>
      <c r="DCH43" s="149"/>
      <c r="DCI43" s="149"/>
      <c r="DCJ43" s="149"/>
      <c r="DCK43" s="149"/>
      <c r="DCL43" s="149"/>
      <c r="DCM43" s="149"/>
      <c r="DCN43" s="149"/>
      <c r="DCO43" s="149"/>
      <c r="DCP43" s="149"/>
      <c r="DCQ43" s="149"/>
      <c r="DCR43" s="149"/>
      <c r="DCS43" s="149"/>
      <c r="DCT43" s="149"/>
      <c r="DCU43" s="149"/>
      <c r="DCV43" s="149"/>
      <c r="DCW43" s="149"/>
      <c r="DCX43" s="149"/>
      <c r="DCY43" s="149"/>
      <c r="DCZ43" s="149"/>
      <c r="DDA43" s="149"/>
      <c r="DDB43" s="149"/>
      <c r="DDC43" s="149"/>
      <c r="DDD43" s="149"/>
      <c r="DDE43" s="149"/>
      <c r="DDF43" s="149"/>
      <c r="DDG43" s="149"/>
      <c r="DDH43" s="149"/>
      <c r="DDI43" s="149"/>
      <c r="DDJ43" s="149"/>
      <c r="DDK43" s="149"/>
      <c r="DDL43" s="149"/>
      <c r="DDM43" s="149"/>
      <c r="DDN43" s="149"/>
      <c r="DDO43" s="149"/>
      <c r="DDP43" s="149"/>
      <c r="DDQ43" s="149"/>
      <c r="DDR43" s="149"/>
      <c r="DDS43" s="149"/>
      <c r="DDT43" s="149"/>
      <c r="DDU43" s="149"/>
      <c r="DDV43" s="149"/>
      <c r="DDW43" s="149"/>
      <c r="DDX43" s="149"/>
      <c r="DDY43" s="149"/>
      <c r="DDZ43" s="149"/>
      <c r="DEA43" s="149"/>
      <c r="DEB43" s="149"/>
      <c r="DEC43" s="149"/>
      <c r="DED43" s="149"/>
      <c r="DEE43" s="149"/>
      <c r="DEF43" s="149"/>
      <c r="DEG43" s="149"/>
      <c r="DEH43" s="149"/>
      <c r="DEI43" s="149"/>
      <c r="DEJ43" s="149"/>
      <c r="DEK43" s="149"/>
      <c r="DEL43" s="149"/>
      <c r="DEM43" s="149"/>
      <c r="DEN43" s="149"/>
      <c r="DEO43" s="149"/>
      <c r="DEP43" s="149"/>
      <c r="DEQ43" s="149"/>
      <c r="DER43" s="149"/>
      <c r="DES43" s="149"/>
      <c r="DET43" s="149"/>
      <c r="DEU43" s="149"/>
      <c r="DEV43" s="149"/>
      <c r="DEW43" s="149"/>
      <c r="DEX43" s="149"/>
      <c r="DEY43" s="149"/>
      <c r="DEZ43" s="149"/>
      <c r="DFA43" s="149"/>
      <c r="DFB43" s="149"/>
      <c r="DFC43" s="149"/>
      <c r="DFD43" s="149"/>
      <c r="DFE43" s="149"/>
      <c r="DFF43" s="149"/>
      <c r="DFG43" s="149"/>
      <c r="DFH43" s="149"/>
      <c r="DFI43" s="149"/>
      <c r="DFJ43" s="149"/>
      <c r="DFK43" s="149"/>
      <c r="DFL43" s="149"/>
      <c r="DFM43" s="149"/>
      <c r="DFN43" s="149"/>
      <c r="DFO43" s="149"/>
      <c r="DFP43" s="149"/>
      <c r="DFQ43" s="149"/>
      <c r="DFR43" s="149"/>
      <c r="DFS43" s="149"/>
      <c r="DFT43" s="149"/>
      <c r="DFU43" s="149"/>
      <c r="DFV43" s="149"/>
      <c r="DFW43" s="149"/>
      <c r="DFX43" s="149"/>
      <c r="DFY43" s="149"/>
      <c r="DFZ43" s="149"/>
      <c r="DGA43" s="149"/>
      <c r="DGB43" s="149"/>
      <c r="DGC43" s="149"/>
      <c r="DGD43" s="149"/>
      <c r="DGE43" s="149"/>
      <c r="DGF43" s="149"/>
      <c r="DGG43" s="149"/>
      <c r="DGH43" s="149"/>
      <c r="DGI43" s="149"/>
      <c r="DGJ43" s="149"/>
      <c r="DGK43" s="149"/>
      <c r="DGL43" s="149"/>
      <c r="DGM43" s="149"/>
      <c r="DGN43" s="149"/>
      <c r="DGO43" s="149"/>
      <c r="DGP43" s="149"/>
      <c r="DGQ43" s="149"/>
      <c r="DGR43" s="149"/>
      <c r="DGS43" s="149"/>
      <c r="DGT43" s="149"/>
      <c r="DGU43" s="149"/>
      <c r="DGV43" s="149"/>
      <c r="DGW43" s="149"/>
      <c r="DGX43" s="149"/>
      <c r="DGY43" s="149"/>
      <c r="DGZ43" s="149"/>
      <c r="DHA43" s="149"/>
      <c r="DHB43" s="149"/>
      <c r="DHC43" s="149"/>
      <c r="DHD43" s="149"/>
      <c r="DHE43" s="149"/>
      <c r="DHF43" s="149"/>
      <c r="DHG43" s="149"/>
      <c r="DHH43" s="149"/>
      <c r="DHI43" s="149"/>
      <c r="DHJ43" s="149"/>
      <c r="DHK43" s="149"/>
      <c r="DHL43" s="149"/>
      <c r="DHM43" s="149"/>
      <c r="DHN43" s="149"/>
      <c r="DHO43" s="149"/>
      <c r="DHP43" s="149"/>
      <c r="DHQ43" s="149"/>
      <c r="DHR43" s="149"/>
      <c r="DHS43" s="149"/>
      <c r="DHT43" s="149"/>
      <c r="DHU43" s="149"/>
      <c r="DHV43" s="149"/>
      <c r="DHW43" s="149"/>
      <c r="DHX43" s="149"/>
      <c r="DHY43" s="149"/>
      <c r="DHZ43" s="149"/>
      <c r="DIA43" s="149"/>
      <c r="DIB43" s="149"/>
      <c r="DIC43" s="149"/>
      <c r="DID43" s="149"/>
      <c r="DIE43" s="149"/>
      <c r="DIF43" s="149"/>
      <c r="DIG43" s="149"/>
      <c r="DIH43" s="149"/>
      <c r="DII43" s="149"/>
      <c r="DIJ43" s="149"/>
      <c r="DIK43" s="149"/>
      <c r="DIL43" s="149"/>
      <c r="DIM43" s="149"/>
      <c r="DIN43" s="149"/>
      <c r="DIO43" s="149"/>
      <c r="DIP43" s="149"/>
      <c r="DIQ43" s="149"/>
      <c r="DIR43" s="149"/>
      <c r="DIS43" s="149"/>
      <c r="DIT43" s="149"/>
      <c r="DIU43" s="149"/>
      <c r="DIV43" s="149"/>
      <c r="DIW43" s="149"/>
      <c r="DIX43" s="149"/>
      <c r="DIY43" s="149"/>
      <c r="DIZ43" s="149"/>
      <c r="DJA43" s="149"/>
      <c r="DJB43" s="149"/>
      <c r="DJC43" s="149"/>
      <c r="DJD43" s="149"/>
      <c r="DJE43" s="149"/>
      <c r="DJF43" s="149"/>
      <c r="DJG43" s="149"/>
      <c r="DJH43" s="149"/>
      <c r="DJI43" s="149"/>
      <c r="DJJ43" s="149"/>
      <c r="DJK43" s="149"/>
      <c r="DJL43" s="149"/>
      <c r="DJM43" s="149"/>
      <c r="DJN43" s="149"/>
      <c r="DJO43" s="149"/>
      <c r="DJP43" s="149"/>
      <c r="DJQ43" s="149"/>
      <c r="DJR43" s="149"/>
      <c r="DJS43" s="149"/>
      <c r="DJT43" s="149"/>
      <c r="DJU43" s="149"/>
      <c r="DJV43" s="149"/>
      <c r="DJW43" s="149"/>
      <c r="DJX43" s="149"/>
      <c r="DJY43" s="149"/>
      <c r="DJZ43" s="149"/>
      <c r="DKA43" s="149"/>
      <c r="DKB43" s="149"/>
      <c r="DKC43" s="149"/>
      <c r="DKD43" s="149"/>
      <c r="DKE43" s="149"/>
      <c r="DKF43" s="149"/>
      <c r="DKG43" s="149"/>
      <c r="DKH43" s="149"/>
      <c r="DKI43" s="149"/>
      <c r="DKJ43" s="149"/>
      <c r="DKK43" s="149"/>
      <c r="DKL43" s="149"/>
      <c r="DKM43" s="149"/>
      <c r="DKN43" s="149"/>
      <c r="DKO43" s="149"/>
      <c r="DKP43" s="149"/>
      <c r="DKQ43" s="149"/>
      <c r="DKR43" s="149"/>
      <c r="DKS43" s="149"/>
      <c r="DKT43" s="149"/>
      <c r="DKU43" s="149"/>
      <c r="DKV43" s="149"/>
      <c r="DKW43" s="149"/>
      <c r="DKX43" s="149"/>
      <c r="DKY43" s="149"/>
      <c r="DKZ43" s="149"/>
      <c r="DLA43" s="149"/>
      <c r="DLB43" s="149"/>
      <c r="DLC43" s="149"/>
      <c r="DLD43" s="149"/>
      <c r="DLE43" s="149"/>
      <c r="DLF43" s="149"/>
      <c r="DLG43" s="149"/>
      <c r="DLH43" s="149"/>
      <c r="DLI43" s="149"/>
      <c r="DLJ43" s="149"/>
      <c r="DLK43" s="149"/>
      <c r="DLL43" s="149"/>
      <c r="DLM43" s="149"/>
      <c r="DLN43" s="149"/>
      <c r="DLO43" s="149"/>
      <c r="DLP43" s="149"/>
      <c r="DLQ43" s="149"/>
      <c r="DLR43" s="149"/>
      <c r="DLS43" s="149"/>
      <c r="DLT43" s="149"/>
      <c r="DLU43" s="149"/>
      <c r="DLV43" s="149"/>
      <c r="DLW43" s="149"/>
      <c r="DLX43" s="149"/>
      <c r="DLY43" s="149"/>
      <c r="DLZ43" s="149"/>
      <c r="DMA43" s="149"/>
      <c r="DMB43" s="149"/>
      <c r="DMC43" s="149"/>
      <c r="DMD43" s="149"/>
      <c r="DME43" s="149"/>
      <c r="DMF43" s="149"/>
      <c r="DMG43" s="149"/>
      <c r="DMH43" s="149"/>
      <c r="DMI43" s="149"/>
      <c r="DMJ43" s="149"/>
      <c r="DMK43" s="149"/>
      <c r="DML43" s="149"/>
      <c r="DMM43" s="149"/>
      <c r="DMN43" s="149"/>
      <c r="DMO43" s="149"/>
      <c r="DMP43" s="149"/>
      <c r="DMQ43" s="149"/>
      <c r="DMR43" s="149"/>
      <c r="DMS43" s="149"/>
      <c r="DMT43" s="149"/>
      <c r="DMU43" s="149"/>
      <c r="DMV43" s="149"/>
      <c r="DMW43" s="149"/>
      <c r="DMX43" s="149"/>
      <c r="DMY43" s="149"/>
      <c r="DMZ43" s="149"/>
      <c r="DNA43" s="149"/>
      <c r="DNB43" s="149"/>
      <c r="DNC43" s="149"/>
      <c r="DND43" s="149"/>
      <c r="DNE43" s="149"/>
      <c r="DNF43" s="149"/>
      <c r="DNG43" s="149"/>
      <c r="DNH43" s="149"/>
      <c r="DNI43" s="149"/>
      <c r="DNJ43" s="149"/>
      <c r="DNK43" s="149"/>
      <c r="DNL43" s="149"/>
      <c r="DNM43" s="149"/>
      <c r="DNN43" s="149"/>
      <c r="DNO43" s="149"/>
      <c r="DNP43" s="149"/>
      <c r="DNQ43" s="149"/>
      <c r="DNR43" s="149"/>
      <c r="DNS43" s="149"/>
      <c r="DNT43" s="149"/>
      <c r="DNU43" s="149"/>
      <c r="DNV43" s="149"/>
      <c r="DNW43" s="149"/>
      <c r="DNX43" s="149"/>
      <c r="DNY43" s="149"/>
      <c r="DNZ43" s="149"/>
      <c r="DOA43" s="149"/>
      <c r="DOB43" s="149"/>
      <c r="DOC43" s="149"/>
      <c r="DOD43" s="149"/>
      <c r="DOE43" s="149"/>
      <c r="DOF43" s="149"/>
      <c r="DOG43" s="149"/>
      <c r="DOH43" s="149"/>
      <c r="DOI43" s="149"/>
      <c r="DOJ43" s="149"/>
      <c r="DOK43" s="149"/>
      <c r="DOL43" s="149"/>
      <c r="DOM43" s="149"/>
      <c r="DON43" s="149"/>
      <c r="DOO43" s="149"/>
      <c r="DOP43" s="149"/>
      <c r="DOQ43" s="149"/>
      <c r="DOR43" s="149"/>
      <c r="DOS43" s="149"/>
      <c r="DOT43" s="149"/>
      <c r="DOU43" s="149"/>
      <c r="DOV43" s="149"/>
      <c r="DOW43" s="149"/>
      <c r="DOX43" s="149"/>
      <c r="DOY43" s="149"/>
      <c r="DOZ43" s="149"/>
      <c r="DPA43" s="149"/>
      <c r="DPB43" s="149"/>
      <c r="DPC43" s="149"/>
      <c r="DPD43" s="149"/>
      <c r="DPE43" s="149"/>
      <c r="DPF43" s="149"/>
      <c r="DPG43" s="149"/>
      <c r="DPH43" s="149"/>
      <c r="DPI43" s="149"/>
      <c r="DPJ43" s="149"/>
      <c r="DPK43" s="149"/>
      <c r="DPL43" s="149"/>
      <c r="DPM43" s="149"/>
      <c r="DPN43" s="149"/>
      <c r="DPO43" s="149"/>
      <c r="DPP43" s="149"/>
      <c r="DPQ43" s="149"/>
      <c r="DPR43" s="149"/>
      <c r="DPS43" s="149"/>
      <c r="DPT43" s="149"/>
      <c r="DPU43" s="149"/>
      <c r="DPV43" s="149"/>
      <c r="DPW43" s="149"/>
      <c r="DPX43" s="149"/>
      <c r="DPY43" s="149"/>
      <c r="DPZ43" s="149"/>
      <c r="DQA43" s="149"/>
      <c r="DQB43" s="149"/>
      <c r="DQC43" s="149"/>
      <c r="DQD43" s="149"/>
      <c r="DQE43" s="149"/>
      <c r="DQF43" s="149"/>
      <c r="DQG43" s="149"/>
      <c r="DQH43" s="149"/>
      <c r="DQI43" s="149"/>
      <c r="DQJ43" s="149"/>
      <c r="DQK43" s="149"/>
      <c r="DQL43" s="149"/>
      <c r="DQM43" s="149"/>
      <c r="DQN43" s="149"/>
      <c r="DQO43" s="149"/>
      <c r="DQP43" s="149"/>
      <c r="DQQ43" s="149"/>
      <c r="DQR43" s="149"/>
      <c r="DQS43" s="149"/>
      <c r="DQT43" s="149"/>
      <c r="DQU43" s="149"/>
      <c r="DQV43" s="149"/>
      <c r="DQW43" s="149"/>
      <c r="DQX43" s="149"/>
      <c r="DQY43" s="149"/>
      <c r="DQZ43" s="149"/>
      <c r="DRA43" s="149"/>
      <c r="DRB43" s="149"/>
      <c r="DRC43" s="149"/>
      <c r="DRD43" s="149"/>
      <c r="DRE43" s="149"/>
      <c r="DRF43" s="149"/>
      <c r="DRG43" s="149"/>
      <c r="DRH43" s="149"/>
      <c r="DRI43" s="149"/>
      <c r="DRJ43" s="149"/>
      <c r="DRK43" s="149"/>
      <c r="DRL43" s="149"/>
      <c r="DRM43" s="149"/>
      <c r="DRN43" s="149"/>
      <c r="DRO43" s="149"/>
      <c r="DRP43" s="149"/>
      <c r="DRQ43" s="149"/>
      <c r="DRR43" s="149"/>
      <c r="DRS43" s="149"/>
      <c r="DRT43" s="149"/>
      <c r="DRU43" s="149"/>
      <c r="DRV43" s="149"/>
      <c r="DRW43" s="149"/>
      <c r="DRX43" s="149"/>
      <c r="DRY43" s="149"/>
      <c r="DRZ43" s="149"/>
      <c r="DSA43" s="149"/>
      <c r="DSB43" s="149"/>
      <c r="DSC43" s="149"/>
      <c r="DSD43" s="149"/>
      <c r="DSE43" s="149"/>
      <c r="DSF43" s="149"/>
      <c r="DSG43" s="149"/>
      <c r="DSH43" s="149"/>
      <c r="DSI43" s="149"/>
      <c r="DSJ43" s="149"/>
      <c r="DSK43" s="149"/>
      <c r="DSL43" s="149"/>
      <c r="DSM43" s="149"/>
      <c r="DSN43" s="149"/>
      <c r="DSO43" s="149"/>
      <c r="DSP43" s="149"/>
      <c r="DSQ43" s="149"/>
      <c r="DSR43" s="149"/>
      <c r="DSS43" s="149"/>
      <c r="DST43" s="149"/>
      <c r="DSU43" s="149"/>
      <c r="DSV43" s="149"/>
      <c r="DSW43" s="149"/>
      <c r="DSX43" s="149"/>
      <c r="DSY43" s="149"/>
      <c r="DSZ43" s="149"/>
      <c r="DTA43" s="149"/>
      <c r="DTB43" s="149"/>
      <c r="DTC43" s="149"/>
      <c r="DTD43" s="149"/>
      <c r="DTE43" s="149"/>
      <c r="DTF43" s="149"/>
      <c r="DTG43" s="149"/>
      <c r="DTH43" s="149"/>
      <c r="DTI43" s="149"/>
      <c r="DTJ43" s="149"/>
      <c r="DTK43" s="149"/>
      <c r="DTL43" s="149"/>
      <c r="DTM43" s="149"/>
      <c r="DTN43" s="149"/>
      <c r="DTO43" s="149"/>
      <c r="DTP43" s="149"/>
      <c r="DTQ43" s="149"/>
      <c r="DTR43" s="149"/>
      <c r="DTS43" s="149"/>
      <c r="DTT43" s="149"/>
      <c r="DTU43" s="149"/>
      <c r="DTV43" s="149"/>
      <c r="DTW43" s="149"/>
      <c r="DTX43" s="149"/>
      <c r="DTY43" s="149"/>
      <c r="DTZ43" s="149"/>
      <c r="DUA43" s="149"/>
      <c r="DUB43" s="149"/>
      <c r="DUC43" s="149"/>
      <c r="DUD43" s="149"/>
      <c r="DUE43" s="149"/>
      <c r="DUF43" s="149"/>
      <c r="DUG43" s="149"/>
      <c r="DUH43" s="149"/>
      <c r="DUI43" s="149"/>
      <c r="DUJ43" s="149"/>
      <c r="DUK43" s="149"/>
      <c r="DUL43" s="149"/>
      <c r="DUM43" s="149"/>
      <c r="DUN43" s="149"/>
      <c r="DUO43" s="149"/>
      <c r="DUP43" s="149"/>
      <c r="DUQ43" s="149"/>
      <c r="DUR43" s="149"/>
      <c r="DUS43" s="149"/>
      <c r="DUT43" s="149"/>
      <c r="DUU43" s="149"/>
      <c r="DUV43" s="149"/>
      <c r="DUW43" s="149"/>
      <c r="DUX43" s="149"/>
      <c r="DUY43" s="149"/>
      <c r="DUZ43" s="149"/>
      <c r="DVA43" s="149"/>
      <c r="DVB43" s="149"/>
      <c r="DVC43" s="149"/>
      <c r="DVD43" s="149"/>
      <c r="DVE43" s="149"/>
      <c r="DVF43" s="149"/>
      <c r="DVG43" s="149"/>
      <c r="DVH43" s="149"/>
      <c r="DVI43" s="149"/>
      <c r="DVJ43" s="149"/>
      <c r="DVK43" s="149"/>
      <c r="DVL43" s="149"/>
      <c r="DVM43" s="149"/>
      <c r="DVN43" s="149"/>
      <c r="DVO43" s="149"/>
      <c r="DVP43" s="149"/>
      <c r="DVQ43" s="149"/>
      <c r="DVR43" s="149"/>
      <c r="DVS43" s="149"/>
      <c r="DVT43" s="149"/>
      <c r="DVU43" s="149"/>
      <c r="DVV43" s="149"/>
      <c r="DVW43" s="149"/>
      <c r="DVX43" s="149"/>
      <c r="DVY43" s="149"/>
      <c r="DVZ43" s="149"/>
      <c r="DWA43" s="149"/>
      <c r="DWB43" s="149"/>
      <c r="DWC43" s="149"/>
      <c r="DWD43" s="149"/>
      <c r="DWE43" s="149"/>
      <c r="DWF43" s="149"/>
      <c r="DWG43" s="149"/>
      <c r="DWH43" s="149"/>
      <c r="DWI43" s="149"/>
      <c r="DWJ43" s="149"/>
      <c r="DWK43" s="149"/>
      <c r="DWL43" s="149"/>
      <c r="DWM43" s="149"/>
      <c r="DWN43" s="149"/>
      <c r="DWO43" s="149"/>
      <c r="DWP43" s="149"/>
      <c r="DWQ43" s="149"/>
      <c r="DWR43" s="149"/>
      <c r="DWS43" s="149"/>
      <c r="DWT43" s="149"/>
      <c r="DWU43" s="149"/>
      <c r="DWV43" s="149"/>
      <c r="DWW43" s="149"/>
      <c r="DWX43" s="149"/>
      <c r="DWY43" s="149"/>
      <c r="DWZ43" s="149"/>
      <c r="DXA43" s="149"/>
      <c r="DXB43" s="149"/>
      <c r="DXC43" s="149"/>
      <c r="DXD43" s="149"/>
      <c r="DXE43" s="149"/>
      <c r="DXF43" s="149"/>
      <c r="DXG43" s="149"/>
      <c r="DXH43" s="149"/>
      <c r="DXI43" s="149"/>
      <c r="DXJ43" s="149"/>
      <c r="DXK43" s="149"/>
      <c r="DXL43" s="149"/>
      <c r="DXM43" s="149"/>
      <c r="DXN43" s="149"/>
      <c r="DXO43" s="149"/>
      <c r="DXP43" s="149"/>
      <c r="DXQ43" s="149"/>
      <c r="DXR43" s="149"/>
      <c r="DXS43" s="149"/>
      <c r="DXT43" s="149"/>
      <c r="DXU43" s="149"/>
      <c r="DXV43" s="149"/>
      <c r="DXW43" s="149"/>
      <c r="DXX43" s="149"/>
      <c r="DXY43" s="149"/>
      <c r="DXZ43" s="149"/>
      <c r="DYA43" s="149"/>
      <c r="DYB43" s="149"/>
      <c r="DYC43" s="149"/>
      <c r="DYD43" s="149"/>
      <c r="DYE43" s="149"/>
      <c r="DYF43" s="149"/>
      <c r="DYG43" s="149"/>
      <c r="DYH43" s="149"/>
      <c r="DYI43" s="149"/>
      <c r="DYJ43" s="149"/>
      <c r="DYK43" s="149"/>
      <c r="DYL43" s="149"/>
      <c r="DYM43" s="149"/>
      <c r="DYN43" s="149"/>
      <c r="DYO43" s="149"/>
      <c r="DYP43" s="149"/>
      <c r="DYQ43" s="149"/>
      <c r="DYR43" s="149"/>
      <c r="DYS43" s="149"/>
      <c r="DYT43" s="149"/>
      <c r="DYU43" s="149"/>
      <c r="DYV43" s="149"/>
      <c r="DYW43" s="149"/>
      <c r="DYX43" s="149"/>
      <c r="DYY43" s="149"/>
      <c r="DYZ43" s="149"/>
      <c r="DZA43" s="149"/>
      <c r="DZB43" s="149"/>
      <c r="DZC43" s="149"/>
      <c r="DZD43" s="149"/>
      <c r="DZE43" s="149"/>
      <c r="DZF43" s="149"/>
      <c r="DZG43" s="149"/>
      <c r="DZH43" s="149"/>
      <c r="DZI43" s="149"/>
      <c r="DZJ43" s="149"/>
      <c r="DZK43" s="149"/>
      <c r="DZL43" s="149"/>
      <c r="DZM43" s="149"/>
      <c r="DZN43" s="149"/>
      <c r="DZO43" s="149"/>
      <c r="DZP43" s="149"/>
      <c r="DZQ43" s="149"/>
      <c r="DZR43" s="149"/>
      <c r="DZS43" s="149"/>
      <c r="DZT43" s="149"/>
      <c r="DZU43" s="149"/>
      <c r="DZV43" s="149"/>
      <c r="DZW43" s="149"/>
      <c r="DZX43" s="149"/>
      <c r="DZY43" s="149"/>
      <c r="DZZ43" s="149"/>
      <c r="EAA43" s="149"/>
      <c r="EAB43" s="149"/>
      <c r="EAC43" s="149"/>
      <c r="EAD43" s="149"/>
      <c r="EAE43" s="149"/>
      <c r="EAF43" s="149"/>
      <c r="EAG43" s="149"/>
      <c r="EAH43" s="149"/>
      <c r="EAI43" s="149"/>
      <c r="EAJ43" s="149"/>
      <c r="EAK43" s="149"/>
      <c r="EAL43" s="149"/>
      <c r="EAM43" s="149"/>
      <c r="EAN43" s="149"/>
      <c r="EAO43" s="149"/>
      <c r="EAP43" s="149"/>
      <c r="EAQ43" s="149"/>
      <c r="EAR43" s="149"/>
      <c r="EAS43" s="149"/>
      <c r="EAT43" s="149"/>
      <c r="EAU43" s="149"/>
      <c r="EAV43" s="149"/>
      <c r="EAW43" s="149"/>
      <c r="EAX43" s="149"/>
      <c r="EAY43" s="149"/>
      <c r="EAZ43" s="149"/>
      <c r="EBA43" s="149"/>
      <c r="EBB43" s="149"/>
      <c r="EBC43" s="149"/>
      <c r="EBD43" s="149"/>
      <c r="EBE43" s="149"/>
      <c r="EBF43" s="149"/>
      <c r="EBG43" s="149"/>
      <c r="EBH43" s="149"/>
      <c r="EBI43" s="149"/>
      <c r="EBJ43" s="149"/>
      <c r="EBK43" s="149"/>
      <c r="EBL43" s="149"/>
      <c r="EBM43" s="149"/>
      <c r="EBN43" s="149"/>
      <c r="EBO43" s="149"/>
      <c r="EBP43" s="149"/>
      <c r="EBQ43" s="149"/>
      <c r="EBR43" s="149"/>
      <c r="EBS43" s="149"/>
      <c r="EBT43" s="149"/>
      <c r="EBU43" s="149"/>
      <c r="EBV43" s="149"/>
      <c r="EBW43" s="149"/>
      <c r="EBX43" s="149"/>
      <c r="EBY43" s="149"/>
      <c r="EBZ43" s="149"/>
      <c r="ECA43" s="149"/>
      <c r="ECB43" s="149"/>
      <c r="ECC43" s="149"/>
      <c r="ECD43" s="149"/>
      <c r="ECE43" s="149"/>
      <c r="ECF43" s="149"/>
      <c r="ECG43" s="149"/>
      <c r="ECH43" s="149"/>
      <c r="ECI43" s="149"/>
      <c r="ECJ43" s="149"/>
      <c r="ECK43" s="149"/>
      <c r="ECL43" s="149"/>
      <c r="ECM43" s="149"/>
      <c r="ECN43" s="149"/>
      <c r="ECO43" s="149"/>
      <c r="ECP43" s="149"/>
      <c r="ECQ43" s="149"/>
      <c r="ECR43" s="149"/>
      <c r="ECS43" s="149"/>
      <c r="ECT43" s="149"/>
      <c r="ECU43" s="149"/>
      <c r="ECV43" s="149"/>
      <c r="ECW43" s="149"/>
      <c r="ECX43" s="149"/>
      <c r="ECY43" s="149"/>
      <c r="ECZ43" s="149"/>
      <c r="EDA43" s="149"/>
      <c r="EDB43" s="149"/>
      <c r="EDC43" s="149"/>
      <c r="EDD43" s="149"/>
      <c r="EDE43" s="149"/>
      <c r="EDF43" s="149"/>
      <c r="EDG43" s="149"/>
      <c r="EDH43" s="149"/>
      <c r="EDI43" s="149"/>
      <c r="EDJ43" s="149"/>
      <c r="EDK43" s="149"/>
      <c r="EDL43" s="149"/>
      <c r="EDM43" s="149"/>
      <c r="EDN43" s="149"/>
      <c r="EDO43" s="149"/>
      <c r="EDP43" s="149"/>
      <c r="EDQ43" s="149"/>
      <c r="EDR43" s="149"/>
      <c r="EDS43" s="149"/>
      <c r="EDT43" s="149"/>
      <c r="EDU43" s="149"/>
      <c r="EDV43" s="149"/>
      <c r="EDW43" s="149"/>
      <c r="EDX43" s="149"/>
      <c r="EDY43" s="149"/>
      <c r="EDZ43" s="149"/>
      <c r="EEA43" s="149"/>
      <c r="EEB43" s="149"/>
      <c r="EEC43" s="149"/>
      <c r="EED43" s="149"/>
      <c r="EEE43" s="149"/>
      <c r="EEF43" s="149"/>
      <c r="EEG43" s="149"/>
      <c r="EEH43" s="149"/>
      <c r="EEI43" s="149"/>
      <c r="EEJ43" s="149"/>
      <c r="EEK43" s="149"/>
      <c r="EEL43" s="149"/>
      <c r="EEM43" s="149"/>
      <c r="EEN43" s="149"/>
      <c r="EEO43" s="149"/>
      <c r="EEP43" s="149"/>
      <c r="EEQ43" s="149"/>
      <c r="EER43" s="149"/>
      <c r="EES43" s="149"/>
      <c r="EET43" s="149"/>
      <c r="EEU43" s="149"/>
      <c r="EEV43" s="149"/>
      <c r="EEW43" s="149"/>
      <c r="EEX43" s="149"/>
      <c r="EEY43" s="149"/>
      <c r="EEZ43" s="149"/>
      <c r="EFA43" s="149"/>
      <c r="EFB43" s="149"/>
      <c r="EFC43" s="149"/>
      <c r="EFD43" s="149"/>
      <c r="EFE43" s="149"/>
      <c r="EFF43" s="149"/>
      <c r="EFG43" s="149"/>
      <c r="EFH43" s="149"/>
      <c r="EFI43" s="149"/>
      <c r="EFJ43" s="149"/>
      <c r="EFK43" s="149"/>
      <c r="EFL43" s="149"/>
      <c r="EFM43" s="149"/>
      <c r="EFN43" s="149"/>
      <c r="EFO43" s="149"/>
      <c r="EFP43" s="149"/>
      <c r="EFQ43" s="149"/>
      <c r="EFR43" s="149"/>
      <c r="EFS43" s="149"/>
      <c r="EFT43" s="149"/>
      <c r="EFU43" s="149"/>
      <c r="EFV43" s="149"/>
      <c r="EFW43" s="149"/>
      <c r="EFX43" s="149"/>
      <c r="EFY43" s="149"/>
      <c r="EFZ43" s="149"/>
      <c r="EGA43" s="149"/>
      <c r="EGB43" s="149"/>
      <c r="EGC43" s="149"/>
      <c r="EGD43" s="149"/>
      <c r="EGE43" s="149"/>
      <c r="EGF43" s="149"/>
      <c r="EGG43" s="149"/>
      <c r="EGH43" s="149"/>
      <c r="EGI43" s="149"/>
      <c r="EGJ43" s="149"/>
      <c r="EGK43" s="149"/>
      <c r="EGL43" s="149"/>
      <c r="EGM43" s="149"/>
      <c r="EGN43" s="149"/>
      <c r="EGO43" s="149"/>
      <c r="EGP43" s="149"/>
      <c r="EGQ43" s="149"/>
      <c r="EGR43" s="149"/>
      <c r="EGS43" s="149"/>
      <c r="EGT43" s="149"/>
      <c r="EGU43" s="149"/>
      <c r="EGV43" s="149"/>
      <c r="EGW43" s="149"/>
      <c r="EGX43" s="149"/>
      <c r="EGY43" s="149"/>
      <c r="EGZ43" s="149"/>
      <c r="EHA43" s="149"/>
      <c r="EHB43" s="149"/>
      <c r="EHC43" s="149"/>
      <c r="EHD43" s="149"/>
      <c r="EHE43" s="149"/>
      <c r="EHF43" s="149"/>
      <c r="EHG43" s="149"/>
      <c r="EHH43" s="149"/>
      <c r="EHI43" s="149"/>
      <c r="EHJ43" s="149"/>
      <c r="EHK43" s="149"/>
      <c r="EHL43" s="149"/>
      <c r="EHM43" s="149"/>
      <c r="EHN43" s="149"/>
      <c r="EHO43" s="149"/>
      <c r="EHP43" s="149"/>
      <c r="EHQ43" s="149"/>
      <c r="EHR43" s="149"/>
      <c r="EHS43" s="149"/>
      <c r="EHT43" s="149"/>
      <c r="EHU43" s="149"/>
      <c r="EHV43" s="149"/>
      <c r="EHW43" s="149"/>
      <c r="EHX43" s="149"/>
      <c r="EHY43" s="149"/>
      <c r="EHZ43" s="149"/>
      <c r="EIA43" s="149"/>
      <c r="EIB43" s="149"/>
      <c r="EIC43" s="149"/>
      <c r="EID43" s="149"/>
      <c r="EIE43" s="149"/>
      <c r="EIF43" s="149"/>
      <c r="EIG43" s="149"/>
      <c r="EIH43" s="149"/>
      <c r="EII43" s="149"/>
      <c r="EIJ43" s="149"/>
      <c r="EIK43" s="149"/>
      <c r="EIL43" s="149"/>
      <c r="EIM43" s="149"/>
      <c r="EIN43" s="149"/>
      <c r="EIO43" s="149"/>
      <c r="EIP43" s="149"/>
      <c r="EIQ43" s="149"/>
      <c r="EIR43" s="149"/>
      <c r="EIS43" s="149"/>
      <c r="EIT43" s="149"/>
      <c r="EIU43" s="149"/>
      <c r="EIV43" s="149"/>
      <c r="EIW43" s="149"/>
      <c r="EIX43" s="149"/>
      <c r="EIY43" s="149"/>
      <c r="EIZ43" s="149"/>
      <c r="EJA43" s="149"/>
      <c r="EJB43" s="149"/>
      <c r="EJC43" s="149"/>
      <c r="EJD43" s="149"/>
      <c r="EJE43" s="149"/>
      <c r="EJF43" s="149"/>
      <c r="EJG43" s="149"/>
      <c r="EJH43" s="149"/>
      <c r="EJI43" s="149"/>
      <c r="EJJ43" s="149"/>
      <c r="EJK43" s="149"/>
      <c r="EJL43" s="149"/>
      <c r="EJM43" s="149"/>
      <c r="EJN43" s="149"/>
      <c r="EJO43" s="149"/>
      <c r="EJP43" s="149"/>
      <c r="EJQ43" s="149"/>
      <c r="EJR43" s="149"/>
      <c r="EJS43" s="149"/>
      <c r="EJT43" s="149"/>
      <c r="EJU43" s="149"/>
      <c r="EJV43" s="149"/>
      <c r="EJW43" s="149"/>
      <c r="EJX43" s="149"/>
      <c r="EJY43" s="149"/>
      <c r="EJZ43" s="149"/>
      <c r="EKA43" s="149"/>
      <c r="EKB43" s="149"/>
      <c r="EKC43" s="149"/>
      <c r="EKD43" s="149"/>
      <c r="EKE43" s="149"/>
      <c r="EKF43" s="149"/>
      <c r="EKG43" s="149"/>
      <c r="EKH43" s="149"/>
      <c r="EKI43" s="149"/>
      <c r="EKJ43" s="149"/>
      <c r="EKK43" s="149"/>
      <c r="EKL43" s="149"/>
      <c r="EKM43" s="149"/>
      <c r="EKN43" s="149"/>
      <c r="EKO43" s="149"/>
      <c r="EKP43" s="149"/>
      <c r="EKQ43" s="149"/>
      <c r="EKR43" s="149"/>
      <c r="EKS43" s="149"/>
      <c r="EKT43" s="149"/>
      <c r="EKU43" s="149"/>
      <c r="EKV43" s="149"/>
      <c r="EKW43" s="149"/>
      <c r="EKX43" s="149"/>
      <c r="EKY43" s="149"/>
      <c r="EKZ43" s="149"/>
      <c r="ELA43" s="149"/>
      <c r="ELB43" s="149"/>
      <c r="ELC43" s="149"/>
      <c r="ELD43" s="149"/>
      <c r="ELE43" s="149"/>
      <c r="ELF43" s="149"/>
      <c r="ELG43" s="149"/>
      <c r="ELH43" s="149"/>
      <c r="ELI43" s="149"/>
      <c r="ELJ43" s="149"/>
      <c r="ELK43" s="149"/>
      <c r="ELL43" s="149"/>
      <c r="ELM43" s="149"/>
      <c r="ELN43" s="149"/>
      <c r="ELO43" s="149"/>
      <c r="ELP43" s="149"/>
      <c r="ELQ43" s="149"/>
      <c r="ELR43" s="149"/>
      <c r="ELS43" s="149"/>
      <c r="ELT43" s="149"/>
      <c r="ELU43" s="149"/>
      <c r="ELV43" s="149"/>
      <c r="ELW43" s="149"/>
      <c r="ELX43" s="149"/>
      <c r="ELY43" s="149"/>
      <c r="ELZ43" s="149"/>
      <c r="EMA43" s="149"/>
      <c r="EMB43" s="149"/>
      <c r="EMC43" s="149"/>
      <c r="EMD43" s="149"/>
      <c r="EME43" s="149"/>
      <c r="EMF43" s="149"/>
      <c r="EMG43" s="149"/>
      <c r="EMH43" s="149"/>
      <c r="EMI43" s="149"/>
      <c r="EMJ43" s="149"/>
      <c r="EMK43" s="149"/>
      <c r="EML43" s="149"/>
      <c r="EMM43" s="149"/>
      <c r="EMN43" s="149"/>
      <c r="EMO43" s="149"/>
      <c r="EMP43" s="149"/>
      <c r="EMQ43" s="149"/>
      <c r="EMR43" s="149"/>
      <c r="EMS43" s="149"/>
      <c r="EMT43" s="149"/>
      <c r="EMU43" s="149"/>
      <c r="EMV43" s="149"/>
      <c r="EMW43" s="149"/>
      <c r="EMX43" s="149"/>
      <c r="EMY43" s="149"/>
      <c r="EMZ43" s="149"/>
      <c r="ENA43" s="149"/>
      <c r="ENB43" s="149"/>
      <c r="ENC43" s="149"/>
      <c r="END43" s="149"/>
      <c r="ENE43" s="149"/>
      <c r="ENF43" s="149"/>
      <c r="ENG43" s="149"/>
      <c r="ENH43" s="149"/>
      <c r="ENI43" s="149"/>
      <c r="ENJ43" s="149"/>
      <c r="ENK43" s="149"/>
      <c r="ENL43" s="149"/>
      <c r="ENM43" s="149"/>
      <c r="ENN43" s="149"/>
      <c r="ENO43" s="149"/>
      <c r="ENP43" s="149"/>
      <c r="ENQ43" s="149"/>
      <c r="ENR43" s="149"/>
      <c r="ENS43" s="149"/>
      <c r="ENT43" s="149"/>
      <c r="ENU43" s="149"/>
      <c r="ENV43" s="149"/>
      <c r="ENW43" s="149"/>
      <c r="ENX43" s="149"/>
      <c r="ENY43" s="149"/>
      <c r="ENZ43" s="149"/>
      <c r="EOA43" s="149"/>
      <c r="EOB43" s="149"/>
      <c r="EOC43" s="149"/>
      <c r="EOD43" s="149"/>
      <c r="EOE43" s="149"/>
      <c r="EOF43" s="149"/>
      <c r="EOG43" s="149"/>
      <c r="EOH43" s="149"/>
      <c r="EOI43" s="149"/>
      <c r="EOJ43" s="149"/>
      <c r="EOK43" s="149"/>
      <c r="EOL43" s="149"/>
      <c r="EOM43" s="149"/>
      <c r="EON43" s="149"/>
      <c r="EOO43" s="149"/>
      <c r="EOP43" s="149"/>
      <c r="EOQ43" s="149"/>
      <c r="EOR43" s="149"/>
      <c r="EOS43" s="149"/>
      <c r="EOT43" s="149"/>
      <c r="EOU43" s="149"/>
      <c r="EOV43" s="149"/>
      <c r="EOW43" s="149"/>
      <c r="EOX43" s="149"/>
      <c r="EOY43" s="149"/>
      <c r="EOZ43" s="149"/>
      <c r="EPA43" s="149"/>
      <c r="EPB43" s="149"/>
      <c r="EPC43" s="149"/>
      <c r="EPD43" s="149"/>
      <c r="EPE43" s="149"/>
      <c r="EPF43" s="149"/>
      <c r="EPG43" s="149"/>
      <c r="EPH43" s="149"/>
      <c r="EPI43" s="149"/>
      <c r="EPJ43" s="149"/>
      <c r="EPK43" s="149"/>
      <c r="EPL43" s="149"/>
      <c r="EPM43" s="149"/>
      <c r="EPN43" s="149"/>
      <c r="EPO43" s="149"/>
      <c r="EPP43" s="149"/>
      <c r="EPQ43" s="149"/>
      <c r="EPR43" s="149"/>
      <c r="EPS43" s="149"/>
      <c r="EPT43" s="149"/>
      <c r="EPU43" s="149"/>
      <c r="EPV43" s="149"/>
      <c r="EPW43" s="149"/>
      <c r="EPX43" s="149"/>
      <c r="EPY43" s="149"/>
      <c r="EPZ43" s="149"/>
      <c r="EQA43" s="149"/>
      <c r="EQB43" s="149"/>
      <c r="EQC43" s="149"/>
      <c r="EQD43" s="149"/>
      <c r="EQE43" s="149"/>
      <c r="EQF43" s="149"/>
      <c r="EQG43" s="149"/>
      <c r="EQH43" s="149"/>
      <c r="EQI43" s="149"/>
      <c r="EQJ43" s="149"/>
      <c r="EQK43" s="149"/>
      <c r="EQL43" s="149"/>
      <c r="EQM43" s="149"/>
      <c r="EQN43" s="149"/>
      <c r="EQO43" s="149"/>
      <c r="EQP43" s="149"/>
      <c r="EQQ43" s="149"/>
      <c r="EQR43" s="149"/>
      <c r="EQS43" s="149"/>
      <c r="EQT43" s="149"/>
      <c r="EQU43" s="149"/>
      <c r="EQV43" s="149"/>
      <c r="EQW43" s="149"/>
      <c r="EQX43" s="149"/>
      <c r="EQY43" s="149"/>
      <c r="EQZ43" s="149"/>
      <c r="ERA43" s="149"/>
      <c r="ERB43" s="149"/>
      <c r="ERC43" s="149"/>
      <c r="ERD43" s="149"/>
      <c r="ERE43" s="149"/>
      <c r="ERF43" s="149"/>
      <c r="ERG43" s="149"/>
      <c r="ERH43" s="149"/>
      <c r="ERI43" s="149"/>
      <c r="ERJ43" s="149"/>
      <c r="ERK43" s="149"/>
      <c r="ERL43" s="149"/>
      <c r="ERM43" s="149"/>
      <c r="ERN43" s="149"/>
      <c r="ERO43" s="149"/>
      <c r="ERP43" s="149"/>
      <c r="ERQ43" s="149"/>
      <c r="ERR43" s="149"/>
      <c r="ERS43" s="149"/>
      <c r="ERT43" s="149"/>
      <c r="ERU43" s="149"/>
      <c r="ERV43" s="149"/>
      <c r="ERW43" s="149"/>
      <c r="ERX43" s="149"/>
      <c r="ERY43" s="149"/>
      <c r="ERZ43" s="149"/>
      <c r="ESA43" s="149"/>
      <c r="ESB43" s="149"/>
      <c r="ESC43" s="149"/>
      <c r="ESD43" s="149"/>
      <c r="ESE43" s="149"/>
      <c r="ESF43" s="149"/>
      <c r="ESG43" s="149"/>
      <c r="ESH43" s="149"/>
      <c r="ESI43" s="149"/>
      <c r="ESJ43" s="149"/>
      <c r="ESK43" s="149"/>
      <c r="ESL43" s="149"/>
      <c r="ESM43" s="149"/>
      <c r="ESN43" s="149"/>
      <c r="ESO43" s="149"/>
      <c r="ESP43" s="149"/>
      <c r="ESQ43" s="149"/>
      <c r="ESR43" s="149"/>
      <c r="ESS43" s="149"/>
      <c r="EST43" s="149"/>
      <c r="ESU43" s="149"/>
      <c r="ESV43" s="149"/>
      <c r="ESW43" s="149"/>
      <c r="ESX43" s="149"/>
      <c r="ESY43" s="149"/>
      <c r="ESZ43" s="149"/>
      <c r="ETA43" s="149"/>
      <c r="ETB43" s="149"/>
      <c r="ETC43" s="149"/>
      <c r="ETD43" s="149"/>
      <c r="ETE43" s="149"/>
      <c r="ETF43" s="149"/>
      <c r="ETG43" s="149"/>
      <c r="ETH43" s="149"/>
      <c r="ETI43" s="149"/>
      <c r="ETJ43" s="149"/>
      <c r="ETK43" s="149"/>
      <c r="ETL43" s="149"/>
      <c r="ETM43" s="149"/>
      <c r="ETN43" s="149"/>
      <c r="ETO43" s="149"/>
      <c r="ETP43" s="149"/>
      <c r="ETQ43" s="149"/>
      <c r="ETR43" s="149"/>
      <c r="ETS43" s="149"/>
      <c r="ETT43" s="149"/>
      <c r="ETU43" s="149"/>
      <c r="ETV43" s="149"/>
      <c r="ETW43" s="149"/>
      <c r="ETX43" s="149"/>
      <c r="ETY43" s="149"/>
      <c r="ETZ43" s="149"/>
      <c r="EUA43" s="149"/>
      <c r="EUB43" s="149"/>
      <c r="EUC43" s="149"/>
      <c r="EUD43" s="149"/>
      <c r="EUE43" s="149"/>
      <c r="EUF43" s="149"/>
      <c r="EUG43" s="149"/>
      <c r="EUH43" s="149"/>
      <c r="EUI43" s="149"/>
      <c r="EUJ43" s="149"/>
      <c r="EUK43" s="149"/>
      <c r="EUL43" s="149"/>
      <c r="EUM43" s="149"/>
      <c r="EUN43" s="149"/>
      <c r="EUO43" s="149"/>
      <c r="EUP43" s="149"/>
      <c r="EUQ43" s="149"/>
      <c r="EUR43" s="149"/>
      <c r="EUS43" s="149"/>
      <c r="EUT43" s="149"/>
      <c r="EUU43" s="149"/>
      <c r="EUV43" s="149"/>
      <c r="EUW43" s="149"/>
      <c r="EUX43" s="149"/>
      <c r="EUY43" s="149"/>
      <c r="EUZ43" s="149"/>
      <c r="EVA43" s="149"/>
      <c r="EVB43" s="149"/>
      <c r="EVC43" s="149"/>
      <c r="EVD43" s="149"/>
      <c r="EVE43" s="149"/>
      <c r="EVF43" s="149"/>
      <c r="EVG43" s="149"/>
      <c r="EVH43" s="149"/>
      <c r="EVI43" s="149"/>
      <c r="EVJ43" s="149"/>
      <c r="EVK43" s="149"/>
      <c r="EVL43" s="149"/>
      <c r="EVM43" s="149"/>
      <c r="EVN43" s="149"/>
      <c r="EVO43" s="149"/>
      <c r="EVP43" s="149"/>
      <c r="EVQ43" s="149"/>
      <c r="EVR43" s="149"/>
      <c r="EVS43" s="149"/>
      <c r="EVT43" s="149"/>
      <c r="EVU43" s="149"/>
      <c r="EVV43" s="149"/>
      <c r="EVW43" s="149"/>
      <c r="EVX43" s="149"/>
      <c r="EVY43" s="149"/>
      <c r="EVZ43" s="149"/>
      <c r="EWA43" s="149"/>
      <c r="EWB43" s="149"/>
      <c r="EWC43" s="149"/>
      <c r="EWD43" s="149"/>
      <c r="EWE43" s="149"/>
      <c r="EWF43" s="149"/>
      <c r="EWG43" s="149"/>
      <c r="EWH43" s="149"/>
      <c r="EWI43" s="149"/>
      <c r="EWJ43" s="149"/>
      <c r="EWK43" s="149"/>
      <c r="EWL43" s="149"/>
      <c r="EWM43" s="149"/>
      <c r="EWN43" s="149"/>
      <c r="EWO43" s="149"/>
      <c r="EWP43" s="149"/>
      <c r="EWQ43" s="149"/>
      <c r="EWR43" s="149"/>
      <c r="EWS43" s="149"/>
      <c r="EWT43" s="149"/>
      <c r="EWU43" s="149"/>
      <c r="EWV43" s="149"/>
      <c r="EWW43" s="149"/>
      <c r="EWX43" s="149"/>
      <c r="EWY43" s="149"/>
      <c r="EWZ43" s="149"/>
      <c r="EXA43" s="149"/>
      <c r="EXB43" s="149"/>
      <c r="EXC43" s="149"/>
      <c r="EXD43" s="149"/>
      <c r="EXE43" s="149"/>
      <c r="EXF43" s="149"/>
      <c r="EXG43" s="149"/>
      <c r="EXH43" s="149"/>
      <c r="EXI43" s="149"/>
      <c r="EXJ43" s="149"/>
      <c r="EXK43" s="149"/>
      <c r="EXL43" s="149"/>
      <c r="EXM43" s="149"/>
      <c r="EXN43" s="149"/>
      <c r="EXO43" s="149"/>
      <c r="EXP43" s="149"/>
      <c r="EXQ43" s="149"/>
      <c r="EXR43" s="149"/>
      <c r="EXS43" s="149"/>
      <c r="EXT43" s="149"/>
      <c r="EXU43" s="149"/>
      <c r="EXV43" s="149"/>
      <c r="EXW43" s="149"/>
      <c r="EXX43" s="149"/>
      <c r="EXY43" s="149"/>
      <c r="EXZ43" s="149"/>
      <c r="EYA43" s="149"/>
      <c r="EYB43" s="149"/>
      <c r="EYC43" s="149"/>
      <c r="EYD43" s="149"/>
      <c r="EYE43" s="149"/>
      <c r="EYF43" s="149"/>
      <c r="EYG43" s="149"/>
      <c r="EYH43" s="149"/>
      <c r="EYI43" s="149"/>
      <c r="EYJ43" s="149"/>
      <c r="EYK43" s="149"/>
      <c r="EYL43" s="149"/>
      <c r="EYM43" s="149"/>
      <c r="EYN43" s="149"/>
      <c r="EYO43" s="149"/>
      <c r="EYP43" s="149"/>
      <c r="EYQ43" s="149"/>
      <c r="EYR43" s="149"/>
      <c r="EYS43" s="149"/>
      <c r="EYT43" s="149"/>
      <c r="EYU43" s="149"/>
      <c r="EYV43" s="149"/>
      <c r="EYW43" s="149"/>
      <c r="EYX43" s="149"/>
      <c r="EYY43" s="149"/>
      <c r="EYZ43" s="149"/>
      <c r="EZA43" s="149"/>
      <c r="EZB43" s="149"/>
      <c r="EZC43" s="149"/>
      <c r="EZD43" s="149"/>
      <c r="EZE43" s="149"/>
      <c r="EZF43" s="149"/>
      <c r="EZG43" s="149"/>
      <c r="EZH43" s="149"/>
      <c r="EZI43" s="149"/>
      <c r="EZJ43" s="149"/>
      <c r="EZK43" s="149"/>
      <c r="EZL43" s="149"/>
      <c r="EZM43" s="149"/>
      <c r="EZN43" s="149"/>
      <c r="EZO43" s="149"/>
      <c r="EZP43" s="149"/>
      <c r="EZQ43" s="149"/>
      <c r="EZR43" s="149"/>
      <c r="EZS43" s="149"/>
      <c r="EZT43" s="149"/>
      <c r="EZU43" s="149"/>
      <c r="EZV43" s="149"/>
      <c r="EZW43" s="149"/>
      <c r="EZX43" s="149"/>
      <c r="EZY43" s="149"/>
      <c r="EZZ43" s="149"/>
      <c r="FAA43" s="149"/>
      <c r="FAB43" s="149"/>
      <c r="FAC43" s="149"/>
      <c r="FAD43" s="149"/>
      <c r="FAE43" s="149"/>
      <c r="FAF43" s="149"/>
      <c r="FAG43" s="149"/>
      <c r="FAH43" s="149"/>
      <c r="FAI43" s="149"/>
      <c r="FAJ43" s="149"/>
      <c r="FAK43" s="149"/>
      <c r="FAL43" s="149"/>
      <c r="FAM43" s="149"/>
      <c r="FAN43" s="149"/>
      <c r="FAO43" s="149"/>
      <c r="FAP43" s="149"/>
      <c r="FAQ43" s="149"/>
      <c r="FAR43" s="149"/>
      <c r="FAS43" s="149"/>
      <c r="FAT43" s="149"/>
      <c r="FAU43" s="149"/>
      <c r="FAV43" s="149"/>
      <c r="FAW43" s="149"/>
      <c r="FAX43" s="149"/>
      <c r="FAY43" s="149"/>
      <c r="FAZ43" s="149"/>
      <c r="FBA43" s="149"/>
      <c r="FBB43" s="149"/>
      <c r="FBC43" s="149"/>
      <c r="FBD43" s="149"/>
      <c r="FBE43" s="149"/>
      <c r="FBF43" s="149"/>
      <c r="FBG43" s="149"/>
      <c r="FBH43" s="149"/>
      <c r="FBI43" s="149"/>
      <c r="FBJ43" s="149"/>
      <c r="FBK43" s="149"/>
      <c r="FBL43" s="149"/>
      <c r="FBM43" s="149"/>
      <c r="FBN43" s="149"/>
      <c r="FBO43" s="149"/>
      <c r="FBP43" s="149"/>
      <c r="FBQ43" s="149"/>
      <c r="FBR43" s="149"/>
      <c r="FBS43" s="149"/>
      <c r="FBT43" s="149"/>
      <c r="FBU43" s="149"/>
      <c r="FBV43" s="149"/>
      <c r="FBW43" s="149"/>
      <c r="FBX43" s="149"/>
      <c r="FBY43" s="149"/>
      <c r="FBZ43" s="149"/>
      <c r="FCA43" s="149"/>
      <c r="FCB43" s="149"/>
      <c r="FCC43" s="149"/>
      <c r="FCD43" s="149"/>
      <c r="FCE43" s="149"/>
      <c r="FCF43" s="149"/>
      <c r="FCG43" s="149"/>
      <c r="FCH43" s="149"/>
      <c r="FCI43" s="149"/>
      <c r="FCJ43" s="149"/>
      <c r="FCK43" s="149"/>
      <c r="FCL43" s="149"/>
      <c r="FCM43" s="149"/>
      <c r="FCN43" s="149"/>
      <c r="FCO43" s="149"/>
      <c r="FCP43" s="149"/>
      <c r="FCQ43" s="149"/>
      <c r="FCR43" s="149"/>
      <c r="FCS43" s="149"/>
      <c r="FCT43" s="149"/>
      <c r="FCU43" s="149"/>
      <c r="FCV43" s="149"/>
      <c r="FCW43" s="149"/>
      <c r="FCX43" s="149"/>
      <c r="FCY43" s="149"/>
      <c r="FCZ43" s="149"/>
      <c r="FDA43" s="149"/>
      <c r="FDB43" s="149"/>
      <c r="FDC43" s="149"/>
      <c r="FDD43" s="149"/>
      <c r="FDE43" s="149"/>
      <c r="FDF43" s="149"/>
      <c r="FDG43" s="149"/>
      <c r="FDH43" s="149"/>
      <c r="FDI43" s="149"/>
      <c r="FDJ43" s="149"/>
      <c r="FDK43" s="149"/>
      <c r="FDL43" s="149"/>
      <c r="FDM43" s="149"/>
      <c r="FDN43" s="149"/>
      <c r="FDO43" s="149"/>
      <c r="FDP43" s="149"/>
      <c r="FDQ43" s="149"/>
      <c r="FDR43" s="149"/>
      <c r="FDS43" s="149"/>
      <c r="FDT43" s="149"/>
      <c r="FDU43" s="149"/>
      <c r="FDV43" s="149"/>
      <c r="FDW43" s="149"/>
      <c r="FDX43" s="149"/>
      <c r="FDY43" s="149"/>
      <c r="FDZ43" s="149"/>
      <c r="FEA43" s="149"/>
      <c r="FEB43" s="149"/>
      <c r="FEC43" s="149"/>
      <c r="FED43" s="149"/>
      <c r="FEE43" s="149"/>
      <c r="FEF43" s="149"/>
      <c r="FEG43" s="149"/>
      <c r="FEH43" s="149"/>
      <c r="FEI43" s="149"/>
      <c r="FEJ43" s="149"/>
      <c r="FEK43" s="149"/>
      <c r="FEL43" s="149"/>
      <c r="FEM43" s="149"/>
      <c r="FEN43" s="149"/>
      <c r="FEO43" s="149"/>
      <c r="FEP43" s="149"/>
      <c r="FEQ43" s="149"/>
      <c r="FER43" s="149"/>
      <c r="FES43" s="149"/>
      <c r="FET43" s="149"/>
      <c r="FEU43" s="149"/>
      <c r="FEV43" s="149"/>
      <c r="FEW43" s="149"/>
      <c r="FEX43" s="149"/>
      <c r="FEY43" s="149"/>
      <c r="FEZ43" s="149"/>
      <c r="FFA43" s="149"/>
      <c r="FFB43" s="149"/>
      <c r="FFC43" s="149"/>
      <c r="FFD43" s="149"/>
      <c r="FFE43" s="149"/>
      <c r="FFF43" s="149"/>
      <c r="FFG43" s="149"/>
      <c r="FFH43" s="149"/>
      <c r="FFI43" s="149"/>
      <c r="FFJ43" s="149"/>
      <c r="FFK43" s="149"/>
      <c r="FFL43" s="149"/>
      <c r="FFM43" s="149"/>
      <c r="FFN43" s="149"/>
      <c r="FFO43" s="149"/>
      <c r="FFP43" s="149"/>
      <c r="FFQ43" s="149"/>
      <c r="FFR43" s="149"/>
      <c r="FFS43" s="149"/>
      <c r="FFT43" s="149"/>
      <c r="FFU43" s="149"/>
      <c r="FFV43" s="149"/>
      <c r="FFW43" s="149"/>
      <c r="FFX43" s="149"/>
      <c r="FFY43" s="149"/>
      <c r="FFZ43" s="149"/>
      <c r="FGA43" s="149"/>
      <c r="FGB43" s="149"/>
      <c r="FGC43" s="149"/>
      <c r="FGD43" s="149"/>
      <c r="FGE43" s="149"/>
      <c r="FGF43" s="149"/>
      <c r="FGG43" s="149"/>
      <c r="FGH43" s="149"/>
      <c r="FGI43" s="149"/>
      <c r="FGJ43" s="149"/>
      <c r="FGK43" s="149"/>
      <c r="FGL43" s="149"/>
      <c r="FGM43" s="149"/>
      <c r="FGN43" s="149"/>
      <c r="FGO43" s="149"/>
      <c r="FGP43" s="149"/>
      <c r="FGQ43" s="149"/>
      <c r="FGR43" s="149"/>
      <c r="FGS43" s="149"/>
      <c r="FGT43" s="149"/>
      <c r="FGU43" s="149"/>
      <c r="FGV43" s="149"/>
      <c r="FGW43" s="149"/>
      <c r="FGX43" s="149"/>
      <c r="FGY43" s="149"/>
      <c r="FGZ43" s="149"/>
      <c r="FHA43" s="149"/>
      <c r="FHB43" s="149"/>
      <c r="FHC43" s="149"/>
      <c r="FHD43" s="149"/>
      <c r="FHE43" s="149"/>
      <c r="FHF43" s="149"/>
      <c r="FHG43" s="149"/>
      <c r="FHH43" s="149"/>
      <c r="FHI43" s="149"/>
      <c r="FHJ43" s="149"/>
      <c r="FHK43" s="149"/>
      <c r="FHL43" s="149"/>
      <c r="FHM43" s="149"/>
      <c r="FHN43" s="149"/>
      <c r="FHO43" s="149"/>
      <c r="FHP43" s="149"/>
      <c r="FHQ43" s="149"/>
      <c r="FHR43" s="149"/>
      <c r="FHS43" s="149"/>
      <c r="FHT43" s="149"/>
      <c r="FHU43" s="149"/>
      <c r="FHV43" s="149"/>
      <c r="FHW43" s="149"/>
      <c r="FHX43" s="149"/>
      <c r="FHY43" s="149"/>
      <c r="FHZ43" s="149"/>
      <c r="FIA43" s="149"/>
      <c r="FIB43" s="149"/>
      <c r="FIC43" s="149"/>
      <c r="FID43" s="149"/>
      <c r="FIE43" s="149"/>
      <c r="FIF43" s="149"/>
      <c r="FIG43" s="149"/>
      <c r="FIH43" s="149"/>
      <c r="FII43" s="149"/>
      <c r="FIJ43" s="149"/>
      <c r="FIK43" s="149"/>
      <c r="FIL43" s="149"/>
      <c r="FIM43" s="149"/>
      <c r="FIN43" s="149"/>
      <c r="FIO43" s="149"/>
      <c r="FIP43" s="149"/>
      <c r="FIQ43" s="149"/>
      <c r="FIR43" s="149"/>
      <c r="FIS43" s="149"/>
      <c r="FIT43" s="149"/>
      <c r="FIU43" s="149"/>
      <c r="FIV43" s="149"/>
      <c r="FIW43" s="149"/>
      <c r="FIX43" s="149"/>
      <c r="FIY43" s="149"/>
      <c r="FIZ43" s="149"/>
      <c r="FJA43" s="149"/>
      <c r="FJB43" s="149"/>
      <c r="FJC43" s="149"/>
      <c r="FJD43" s="149"/>
      <c r="FJE43" s="149"/>
      <c r="FJF43" s="149"/>
      <c r="FJG43" s="149"/>
      <c r="FJH43" s="149"/>
      <c r="FJI43" s="149"/>
      <c r="FJJ43" s="149"/>
      <c r="FJK43" s="149"/>
      <c r="FJL43" s="149"/>
      <c r="FJM43" s="149"/>
      <c r="FJN43" s="149"/>
      <c r="FJO43" s="149"/>
      <c r="FJP43" s="149"/>
      <c r="FJQ43" s="149"/>
      <c r="FJR43" s="149"/>
      <c r="FJS43" s="149"/>
      <c r="FJT43" s="149"/>
      <c r="FJU43" s="149"/>
      <c r="FJV43" s="149"/>
      <c r="FJW43" s="149"/>
      <c r="FJX43" s="149"/>
      <c r="FJY43" s="149"/>
      <c r="FJZ43" s="149"/>
      <c r="FKA43" s="149"/>
      <c r="FKB43" s="149"/>
      <c r="FKC43" s="149"/>
      <c r="FKD43" s="149"/>
      <c r="FKE43" s="149"/>
      <c r="FKF43" s="149"/>
      <c r="FKG43" s="149"/>
      <c r="FKH43" s="149"/>
      <c r="FKI43" s="149"/>
      <c r="FKJ43" s="149"/>
      <c r="FKK43" s="149"/>
      <c r="FKL43" s="149"/>
      <c r="FKM43" s="149"/>
      <c r="FKN43" s="149"/>
      <c r="FKO43" s="149"/>
      <c r="FKP43" s="149"/>
      <c r="FKQ43" s="149"/>
      <c r="FKR43" s="149"/>
      <c r="FKS43" s="149"/>
      <c r="FKT43" s="149"/>
      <c r="FKU43" s="149"/>
      <c r="FKV43" s="149"/>
      <c r="FKW43" s="149"/>
      <c r="FKX43" s="149"/>
      <c r="FKY43" s="149"/>
      <c r="FKZ43" s="149"/>
      <c r="FLA43" s="149"/>
      <c r="FLB43" s="149"/>
      <c r="FLC43" s="149"/>
      <c r="FLD43" s="149"/>
      <c r="FLE43" s="149"/>
      <c r="FLF43" s="149"/>
      <c r="FLG43" s="149"/>
      <c r="FLH43" s="149"/>
      <c r="FLI43" s="149"/>
      <c r="FLJ43" s="149"/>
      <c r="FLK43" s="149"/>
      <c r="FLL43" s="149"/>
      <c r="FLM43" s="149"/>
      <c r="FLN43" s="149"/>
      <c r="FLO43" s="149"/>
      <c r="FLP43" s="149"/>
      <c r="FLQ43" s="149"/>
      <c r="FLR43" s="149"/>
      <c r="FLS43" s="149"/>
      <c r="FLT43" s="149"/>
      <c r="FLU43" s="149"/>
      <c r="FLV43" s="149"/>
      <c r="FLW43" s="149"/>
      <c r="FLX43" s="149"/>
      <c r="FLY43" s="149"/>
      <c r="FLZ43" s="149"/>
      <c r="FMA43" s="149"/>
      <c r="FMB43" s="149"/>
      <c r="FMC43" s="149"/>
      <c r="FMD43" s="149"/>
      <c r="FME43" s="149"/>
      <c r="FMF43" s="149"/>
      <c r="FMG43" s="149"/>
      <c r="FMH43" s="149"/>
      <c r="FMI43" s="149"/>
      <c r="FMJ43" s="149"/>
      <c r="FMK43" s="149"/>
      <c r="FML43" s="149"/>
      <c r="FMM43" s="149"/>
      <c r="FMN43" s="149"/>
      <c r="FMO43" s="149"/>
      <c r="FMP43" s="149"/>
      <c r="FMQ43" s="149"/>
      <c r="FMR43" s="149"/>
      <c r="FMS43" s="149"/>
      <c r="FMT43" s="149"/>
      <c r="FMU43" s="149"/>
      <c r="FMV43" s="149"/>
      <c r="FMW43" s="149"/>
      <c r="FMX43" s="149"/>
      <c r="FMY43" s="149"/>
      <c r="FMZ43" s="149"/>
      <c r="FNA43" s="149"/>
      <c r="FNB43" s="149"/>
      <c r="FNC43" s="149"/>
      <c r="FND43" s="149"/>
      <c r="FNE43" s="149"/>
      <c r="FNF43" s="149"/>
      <c r="FNG43" s="149"/>
      <c r="FNH43" s="149"/>
      <c r="FNI43" s="149"/>
      <c r="FNJ43" s="149"/>
      <c r="FNK43" s="149"/>
      <c r="FNL43" s="149"/>
      <c r="FNM43" s="149"/>
      <c r="FNN43" s="149"/>
      <c r="FNO43" s="149"/>
      <c r="FNP43" s="149"/>
      <c r="FNQ43" s="149"/>
      <c r="FNR43" s="149"/>
      <c r="FNS43" s="149"/>
      <c r="FNT43" s="149"/>
      <c r="FNU43" s="149"/>
      <c r="FNV43" s="149"/>
      <c r="FNW43" s="149"/>
      <c r="FNX43" s="149"/>
      <c r="FNY43" s="149"/>
      <c r="FNZ43" s="149"/>
      <c r="FOA43" s="149"/>
      <c r="FOB43" s="149"/>
      <c r="FOC43" s="149"/>
      <c r="FOD43" s="149"/>
      <c r="FOE43" s="149"/>
      <c r="FOF43" s="149"/>
      <c r="FOG43" s="149"/>
      <c r="FOH43" s="149"/>
      <c r="FOI43" s="149"/>
      <c r="FOJ43" s="149"/>
      <c r="FOK43" s="149"/>
      <c r="FOL43" s="149"/>
      <c r="FOM43" s="149"/>
      <c r="FON43" s="149"/>
      <c r="FOO43" s="149"/>
      <c r="FOP43" s="149"/>
      <c r="FOQ43" s="149"/>
      <c r="FOR43" s="149"/>
      <c r="FOS43" s="149"/>
      <c r="FOT43" s="149"/>
      <c r="FOU43" s="149"/>
      <c r="FOV43" s="149"/>
      <c r="FOW43" s="149"/>
      <c r="FOX43" s="149"/>
      <c r="FOY43" s="149"/>
      <c r="FOZ43" s="149"/>
      <c r="FPA43" s="149"/>
      <c r="FPB43" s="149"/>
      <c r="FPC43" s="149"/>
      <c r="FPD43" s="149"/>
      <c r="FPE43" s="149"/>
      <c r="FPF43" s="149"/>
      <c r="FPG43" s="149"/>
      <c r="FPH43" s="149"/>
      <c r="FPI43" s="149"/>
      <c r="FPJ43" s="149"/>
      <c r="FPK43" s="149"/>
      <c r="FPL43" s="149"/>
      <c r="FPM43" s="149"/>
      <c r="FPN43" s="149"/>
      <c r="FPO43" s="149"/>
      <c r="FPP43" s="149"/>
      <c r="FPQ43" s="149"/>
      <c r="FPR43" s="149"/>
      <c r="FPS43" s="149"/>
      <c r="FPT43" s="149"/>
      <c r="FPU43" s="149"/>
      <c r="FPV43" s="149"/>
      <c r="FPW43" s="149"/>
      <c r="FPX43" s="149"/>
      <c r="FPY43" s="149"/>
      <c r="FPZ43" s="149"/>
      <c r="FQA43" s="149"/>
      <c r="FQB43" s="149"/>
      <c r="FQC43" s="149"/>
      <c r="FQD43" s="149"/>
      <c r="FQE43" s="149"/>
      <c r="FQF43" s="149"/>
      <c r="FQG43" s="149"/>
      <c r="FQH43" s="149"/>
      <c r="FQI43" s="149"/>
      <c r="FQJ43" s="149"/>
      <c r="FQK43" s="149"/>
      <c r="FQL43" s="149"/>
      <c r="FQM43" s="149"/>
      <c r="FQN43" s="149"/>
      <c r="FQO43" s="149"/>
      <c r="FQP43" s="149"/>
      <c r="FQQ43" s="149"/>
      <c r="FQR43" s="149"/>
      <c r="FQS43" s="149"/>
      <c r="FQT43" s="149"/>
      <c r="FQU43" s="149"/>
      <c r="FQV43" s="149"/>
      <c r="FQW43" s="149"/>
      <c r="FQX43" s="149"/>
      <c r="FQY43" s="149"/>
      <c r="FQZ43" s="149"/>
      <c r="FRA43" s="149"/>
      <c r="FRB43" s="149"/>
      <c r="FRC43" s="149"/>
      <c r="FRD43" s="149"/>
      <c r="FRE43" s="149"/>
      <c r="FRF43" s="149"/>
      <c r="FRG43" s="149"/>
      <c r="FRH43" s="149"/>
      <c r="FRI43" s="149"/>
      <c r="FRJ43" s="149"/>
      <c r="FRK43" s="149"/>
      <c r="FRL43" s="149"/>
      <c r="FRM43" s="149"/>
      <c r="FRN43" s="149"/>
      <c r="FRO43" s="149"/>
      <c r="FRP43" s="149"/>
      <c r="FRQ43" s="149"/>
      <c r="FRR43" s="149"/>
      <c r="FRS43" s="149"/>
      <c r="FRT43" s="149"/>
      <c r="FRU43" s="149"/>
      <c r="FRV43" s="149"/>
      <c r="FRW43" s="149"/>
      <c r="FRX43" s="149"/>
      <c r="FRY43" s="149"/>
      <c r="FRZ43" s="149"/>
      <c r="FSA43" s="149"/>
      <c r="FSB43" s="149"/>
      <c r="FSC43" s="149"/>
      <c r="FSD43" s="149"/>
      <c r="FSE43" s="149"/>
      <c r="FSF43" s="149"/>
      <c r="FSG43" s="149"/>
      <c r="FSH43" s="149"/>
      <c r="FSI43" s="149"/>
      <c r="FSJ43" s="149"/>
      <c r="FSK43" s="149"/>
      <c r="FSL43" s="149"/>
      <c r="FSM43" s="149"/>
      <c r="FSN43" s="149"/>
      <c r="FSO43" s="149"/>
      <c r="FSP43" s="149"/>
      <c r="FSQ43" s="149"/>
      <c r="FSR43" s="149"/>
      <c r="FSS43" s="149"/>
      <c r="FST43" s="149"/>
      <c r="FSU43" s="149"/>
      <c r="FSV43" s="149"/>
      <c r="FSW43" s="149"/>
      <c r="FSX43" s="149"/>
      <c r="FSY43" s="149"/>
      <c r="FSZ43" s="149"/>
      <c r="FTA43" s="149"/>
      <c r="FTB43" s="149"/>
      <c r="FTC43" s="149"/>
      <c r="FTD43" s="149"/>
      <c r="FTE43" s="149"/>
      <c r="FTF43" s="149"/>
      <c r="FTG43" s="149"/>
      <c r="FTH43" s="149"/>
      <c r="FTI43" s="149"/>
      <c r="FTJ43" s="149"/>
      <c r="FTK43" s="149"/>
      <c r="FTL43" s="149"/>
      <c r="FTM43" s="149"/>
      <c r="FTN43" s="149"/>
      <c r="FTO43" s="149"/>
      <c r="FTP43" s="149"/>
      <c r="FTQ43" s="149"/>
      <c r="FTR43" s="149"/>
      <c r="FTS43" s="149"/>
      <c r="FTT43" s="149"/>
      <c r="FTU43" s="149"/>
      <c r="FTV43" s="149"/>
      <c r="FTW43" s="149"/>
      <c r="FTX43" s="149"/>
      <c r="FTY43" s="149"/>
      <c r="FTZ43" s="149"/>
      <c r="FUA43" s="149"/>
      <c r="FUB43" s="149"/>
      <c r="FUC43" s="149"/>
      <c r="FUD43" s="149"/>
      <c r="FUE43" s="149"/>
      <c r="FUF43" s="149"/>
      <c r="FUG43" s="149"/>
      <c r="FUH43" s="149"/>
      <c r="FUI43" s="149"/>
      <c r="FUJ43" s="149"/>
      <c r="FUK43" s="149"/>
      <c r="FUL43" s="149"/>
      <c r="FUM43" s="149"/>
      <c r="FUN43" s="149"/>
      <c r="FUO43" s="149"/>
      <c r="FUP43" s="149"/>
      <c r="FUQ43" s="149"/>
      <c r="FUR43" s="149"/>
      <c r="FUS43" s="149"/>
      <c r="FUT43" s="149"/>
      <c r="FUU43" s="149"/>
      <c r="FUV43" s="149"/>
      <c r="FUW43" s="149"/>
      <c r="FUX43" s="149"/>
      <c r="FUY43" s="149"/>
      <c r="FUZ43" s="149"/>
      <c r="FVA43" s="149"/>
      <c r="FVB43" s="149"/>
      <c r="FVC43" s="149"/>
      <c r="FVD43" s="149"/>
      <c r="FVE43" s="149"/>
      <c r="FVF43" s="149"/>
      <c r="FVG43" s="149"/>
      <c r="FVH43" s="149"/>
      <c r="FVI43" s="149"/>
      <c r="FVJ43" s="149"/>
      <c r="FVK43" s="149"/>
      <c r="FVL43" s="149"/>
      <c r="FVM43" s="149"/>
      <c r="FVN43" s="149"/>
      <c r="FVO43" s="149"/>
      <c r="FVP43" s="149"/>
      <c r="FVQ43" s="149"/>
      <c r="FVR43" s="149"/>
      <c r="FVS43" s="149"/>
      <c r="FVT43" s="149"/>
      <c r="FVU43" s="149"/>
      <c r="FVV43" s="149"/>
      <c r="FVW43" s="149"/>
      <c r="FVX43" s="149"/>
      <c r="FVY43" s="149"/>
      <c r="FVZ43" s="149"/>
      <c r="FWA43" s="149"/>
      <c r="FWB43" s="149"/>
      <c r="FWC43" s="149"/>
      <c r="FWD43" s="149"/>
      <c r="FWE43" s="149"/>
      <c r="FWF43" s="149"/>
      <c r="FWG43" s="149"/>
      <c r="FWH43" s="149"/>
      <c r="FWI43" s="149"/>
      <c r="FWJ43" s="149"/>
      <c r="FWK43" s="149"/>
      <c r="FWL43" s="149"/>
      <c r="FWM43" s="149"/>
      <c r="FWN43" s="149"/>
      <c r="FWO43" s="149"/>
      <c r="FWP43" s="149"/>
      <c r="FWQ43" s="149"/>
      <c r="FWR43" s="149"/>
      <c r="FWS43" s="149"/>
      <c r="FWT43" s="149"/>
      <c r="FWU43" s="149"/>
      <c r="FWV43" s="149"/>
      <c r="FWW43" s="149"/>
      <c r="FWX43" s="149"/>
      <c r="FWY43" s="149"/>
      <c r="FWZ43" s="149"/>
      <c r="FXA43" s="149"/>
      <c r="FXB43" s="149"/>
      <c r="FXC43" s="149"/>
      <c r="FXD43" s="149"/>
      <c r="FXE43" s="149"/>
      <c r="FXF43" s="149"/>
      <c r="FXG43" s="149"/>
      <c r="FXH43" s="149"/>
      <c r="FXI43" s="149"/>
      <c r="FXJ43" s="149"/>
      <c r="FXK43" s="149"/>
      <c r="FXL43" s="149"/>
      <c r="FXM43" s="149"/>
      <c r="FXN43" s="149"/>
      <c r="FXO43" s="149"/>
      <c r="FXP43" s="149"/>
      <c r="FXQ43" s="149"/>
      <c r="FXR43" s="149"/>
      <c r="FXS43" s="149"/>
      <c r="FXT43" s="149"/>
      <c r="FXU43" s="149"/>
      <c r="FXV43" s="149"/>
      <c r="FXW43" s="149"/>
      <c r="FXX43" s="149"/>
      <c r="FXY43" s="149"/>
      <c r="FXZ43" s="149"/>
      <c r="FYA43" s="149"/>
      <c r="FYB43" s="149"/>
      <c r="FYC43" s="149"/>
      <c r="FYD43" s="149"/>
      <c r="FYE43" s="149"/>
      <c r="FYF43" s="149"/>
      <c r="FYG43" s="149"/>
      <c r="FYH43" s="149"/>
      <c r="FYI43" s="149"/>
      <c r="FYJ43" s="149"/>
      <c r="FYK43" s="149"/>
      <c r="FYL43" s="149"/>
      <c r="FYM43" s="149"/>
      <c r="FYN43" s="149"/>
      <c r="FYO43" s="149"/>
      <c r="FYP43" s="149"/>
      <c r="FYQ43" s="149"/>
      <c r="FYR43" s="149"/>
      <c r="FYS43" s="149"/>
      <c r="FYT43" s="149"/>
      <c r="FYU43" s="149"/>
      <c r="FYV43" s="149"/>
      <c r="FYW43" s="149"/>
      <c r="FYX43" s="149"/>
      <c r="FYY43" s="149"/>
      <c r="FYZ43" s="149"/>
      <c r="FZA43" s="149"/>
      <c r="FZB43" s="149"/>
      <c r="FZC43" s="149"/>
      <c r="FZD43" s="149"/>
      <c r="FZE43" s="149"/>
      <c r="FZF43" s="149"/>
      <c r="FZG43" s="149"/>
      <c r="FZH43" s="149"/>
      <c r="FZI43" s="149"/>
      <c r="FZJ43" s="149"/>
      <c r="FZK43" s="149"/>
      <c r="FZL43" s="149"/>
      <c r="FZM43" s="149"/>
      <c r="FZN43" s="149"/>
      <c r="FZO43" s="149"/>
      <c r="FZP43" s="149"/>
      <c r="FZQ43" s="149"/>
      <c r="FZR43" s="149"/>
      <c r="FZS43" s="149"/>
      <c r="FZT43" s="149"/>
      <c r="FZU43" s="149"/>
      <c r="FZV43" s="149"/>
      <c r="FZW43" s="149"/>
      <c r="FZX43" s="149"/>
      <c r="FZY43" s="149"/>
      <c r="FZZ43" s="149"/>
      <c r="GAA43" s="149"/>
      <c r="GAB43" s="149"/>
      <c r="GAC43" s="149"/>
      <c r="GAD43" s="149"/>
      <c r="GAE43" s="149"/>
      <c r="GAF43" s="149"/>
      <c r="GAG43" s="149"/>
      <c r="GAH43" s="149"/>
      <c r="GAI43" s="149"/>
      <c r="GAJ43" s="149"/>
      <c r="GAK43" s="149"/>
      <c r="GAL43" s="149"/>
      <c r="GAM43" s="149"/>
      <c r="GAN43" s="149"/>
      <c r="GAO43" s="149"/>
      <c r="GAP43" s="149"/>
      <c r="GAQ43" s="149"/>
      <c r="GAR43" s="149"/>
      <c r="GAS43" s="149"/>
      <c r="GAT43" s="149"/>
      <c r="GAU43" s="149"/>
      <c r="GAV43" s="149"/>
      <c r="GAW43" s="149"/>
      <c r="GAX43" s="149"/>
      <c r="GAY43" s="149"/>
      <c r="GAZ43" s="149"/>
      <c r="GBA43" s="149"/>
      <c r="GBB43" s="149"/>
      <c r="GBC43" s="149"/>
      <c r="GBD43" s="149"/>
      <c r="GBE43" s="149"/>
      <c r="GBF43" s="149"/>
      <c r="GBG43" s="149"/>
      <c r="GBH43" s="149"/>
      <c r="GBI43" s="149"/>
      <c r="GBJ43" s="149"/>
      <c r="GBK43" s="149"/>
      <c r="GBL43" s="149"/>
      <c r="GBM43" s="149"/>
      <c r="GBN43" s="149"/>
      <c r="GBO43" s="149"/>
      <c r="GBP43" s="149"/>
      <c r="GBQ43" s="149"/>
      <c r="GBR43" s="149"/>
      <c r="GBS43" s="149"/>
      <c r="GBT43" s="149"/>
      <c r="GBU43" s="149"/>
      <c r="GBV43" s="149"/>
      <c r="GBW43" s="149"/>
      <c r="GBX43" s="149"/>
      <c r="GBY43" s="149"/>
      <c r="GBZ43" s="149"/>
      <c r="GCA43" s="149"/>
      <c r="GCB43" s="149"/>
      <c r="GCC43" s="149"/>
      <c r="GCD43" s="149"/>
      <c r="GCE43" s="149"/>
      <c r="GCF43" s="149"/>
      <c r="GCG43" s="149"/>
      <c r="GCH43" s="149"/>
      <c r="GCI43" s="149"/>
      <c r="GCJ43" s="149"/>
      <c r="GCK43" s="149"/>
      <c r="GCL43" s="149"/>
      <c r="GCM43" s="149"/>
      <c r="GCN43" s="149"/>
      <c r="GCO43" s="149"/>
      <c r="GCP43" s="149"/>
      <c r="GCQ43" s="149"/>
      <c r="GCR43" s="149"/>
      <c r="GCS43" s="149"/>
      <c r="GCT43" s="149"/>
      <c r="GCU43" s="149"/>
      <c r="GCV43" s="149"/>
      <c r="GCW43" s="149"/>
      <c r="GCX43" s="149"/>
      <c r="GCY43" s="149"/>
      <c r="GCZ43" s="149"/>
      <c r="GDA43" s="149"/>
      <c r="GDB43" s="149"/>
      <c r="GDC43" s="149"/>
      <c r="GDD43" s="149"/>
      <c r="GDE43" s="149"/>
      <c r="GDF43" s="149"/>
      <c r="GDG43" s="149"/>
      <c r="GDH43" s="149"/>
      <c r="GDI43" s="149"/>
      <c r="GDJ43" s="149"/>
      <c r="GDK43" s="149"/>
      <c r="GDL43" s="149"/>
      <c r="GDM43" s="149"/>
      <c r="GDN43" s="149"/>
      <c r="GDO43" s="149"/>
      <c r="GDP43" s="149"/>
      <c r="GDQ43" s="149"/>
      <c r="GDR43" s="149"/>
      <c r="GDS43" s="149"/>
      <c r="GDT43" s="149"/>
      <c r="GDU43" s="149"/>
      <c r="GDV43" s="149"/>
      <c r="GDW43" s="149"/>
      <c r="GDX43" s="149"/>
      <c r="GDY43" s="149"/>
      <c r="GDZ43" s="149"/>
      <c r="GEA43" s="149"/>
      <c r="GEB43" s="149"/>
      <c r="GEC43" s="149"/>
      <c r="GED43" s="149"/>
      <c r="GEE43" s="149"/>
      <c r="GEF43" s="149"/>
      <c r="GEG43" s="149"/>
      <c r="GEH43" s="149"/>
      <c r="GEI43" s="149"/>
      <c r="GEJ43" s="149"/>
      <c r="GEK43" s="149"/>
      <c r="GEL43" s="149"/>
      <c r="GEM43" s="149"/>
      <c r="GEN43" s="149"/>
      <c r="GEO43" s="149"/>
      <c r="GEP43" s="149"/>
      <c r="GEQ43" s="149"/>
      <c r="GER43" s="149"/>
      <c r="GES43" s="149"/>
      <c r="GET43" s="149"/>
      <c r="GEU43" s="149"/>
      <c r="GEV43" s="149"/>
      <c r="GEW43" s="149"/>
      <c r="GEX43" s="149"/>
      <c r="GEY43" s="149"/>
      <c r="GEZ43" s="149"/>
      <c r="GFA43" s="149"/>
      <c r="GFB43" s="149"/>
      <c r="GFC43" s="149"/>
      <c r="GFD43" s="149"/>
      <c r="GFE43" s="149"/>
      <c r="GFF43" s="149"/>
      <c r="GFG43" s="149"/>
      <c r="GFH43" s="149"/>
      <c r="GFI43" s="149"/>
      <c r="GFJ43" s="149"/>
      <c r="GFK43" s="149"/>
      <c r="GFL43" s="149"/>
      <c r="GFM43" s="149"/>
      <c r="GFN43" s="149"/>
      <c r="GFO43" s="149"/>
      <c r="GFP43" s="149"/>
      <c r="GFQ43" s="149"/>
      <c r="GFR43" s="149"/>
      <c r="GFS43" s="149"/>
      <c r="GFT43" s="149"/>
      <c r="GFU43" s="149"/>
      <c r="GFV43" s="149"/>
      <c r="GFW43" s="149"/>
      <c r="GFX43" s="149"/>
      <c r="GFY43" s="149"/>
      <c r="GFZ43" s="149"/>
      <c r="GGA43" s="149"/>
      <c r="GGB43" s="149"/>
      <c r="GGC43" s="149"/>
      <c r="GGD43" s="149"/>
      <c r="GGE43" s="149"/>
      <c r="GGF43" s="149"/>
      <c r="GGG43" s="149"/>
      <c r="GGH43" s="149"/>
      <c r="GGI43" s="149"/>
      <c r="GGJ43" s="149"/>
      <c r="GGK43" s="149"/>
      <c r="GGL43" s="149"/>
      <c r="GGM43" s="149"/>
      <c r="GGN43" s="149"/>
      <c r="GGO43" s="149"/>
      <c r="GGP43" s="149"/>
      <c r="GGQ43" s="149"/>
      <c r="GGR43" s="149"/>
      <c r="GGS43" s="149"/>
      <c r="GGT43" s="149"/>
      <c r="GGU43" s="149"/>
      <c r="GGV43" s="149"/>
      <c r="GGW43" s="149"/>
      <c r="GGX43" s="149"/>
      <c r="GGY43" s="149"/>
      <c r="GGZ43" s="149"/>
      <c r="GHA43" s="149"/>
      <c r="GHB43" s="149"/>
      <c r="GHC43" s="149"/>
      <c r="GHD43" s="149"/>
      <c r="GHE43" s="149"/>
      <c r="GHF43" s="149"/>
      <c r="GHG43" s="149"/>
      <c r="GHH43" s="149"/>
      <c r="GHI43" s="149"/>
      <c r="GHJ43" s="149"/>
      <c r="GHK43" s="149"/>
      <c r="GHL43" s="149"/>
      <c r="GHM43" s="149"/>
      <c r="GHN43" s="149"/>
      <c r="GHO43" s="149"/>
      <c r="GHP43" s="149"/>
      <c r="GHQ43" s="149"/>
      <c r="GHR43" s="149"/>
      <c r="GHS43" s="149"/>
      <c r="GHT43" s="149"/>
      <c r="GHU43" s="149"/>
      <c r="GHV43" s="149"/>
      <c r="GHW43" s="149"/>
      <c r="GHX43" s="149"/>
      <c r="GHY43" s="149"/>
      <c r="GHZ43" s="149"/>
      <c r="GIA43" s="149"/>
      <c r="GIB43" s="149"/>
      <c r="GIC43" s="149"/>
      <c r="GID43" s="149"/>
      <c r="GIE43" s="149"/>
      <c r="GIF43" s="149"/>
      <c r="GIG43" s="149"/>
      <c r="GIH43" s="149"/>
      <c r="GII43" s="149"/>
      <c r="GIJ43" s="149"/>
      <c r="GIK43" s="149"/>
      <c r="GIL43" s="149"/>
      <c r="GIM43" s="149"/>
      <c r="GIN43" s="149"/>
      <c r="GIO43" s="149"/>
      <c r="GIP43" s="149"/>
      <c r="GIQ43" s="149"/>
      <c r="GIR43" s="149"/>
      <c r="GIS43" s="149"/>
      <c r="GIT43" s="149"/>
      <c r="GIU43" s="149"/>
      <c r="GIV43" s="149"/>
      <c r="GIW43" s="149"/>
      <c r="GIX43" s="149"/>
      <c r="GIY43" s="149"/>
      <c r="GIZ43" s="149"/>
      <c r="GJA43" s="149"/>
      <c r="GJB43" s="149"/>
      <c r="GJC43" s="149"/>
      <c r="GJD43" s="149"/>
      <c r="GJE43" s="149"/>
      <c r="GJF43" s="149"/>
      <c r="GJG43" s="149"/>
      <c r="GJH43" s="149"/>
      <c r="GJI43" s="149"/>
      <c r="GJJ43" s="149"/>
      <c r="GJK43" s="149"/>
      <c r="GJL43" s="149"/>
      <c r="GJM43" s="149"/>
      <c r="GJN43" s="149"/>
      <c r="GJO43" s="149"/>
      <c r="GJP43" s="149"/>
      <c r="GJQ43" s="149"/>
      <c r="GJR43" s="149"/>
      <c r="GJS43" s="149"/>
      <c r="GJT43" s="149"/>
      <c r="GJU43" s="149"/>
      <c r="GJV43" s="149"/>
      <c r="GJW43" s="149"/>
      <c r="GJX43" s="149"/>
      <c r="GJY43" s="149"/>
      <c r="GJZ43" s="149"/>
      <c r="GKA43" s="149"/>
      <c r="GKB43" s="149"/>
      <c r="GKC43" s="149"/>
      <c r="GKD43" s="149"/>
      <c r="GKE43" s="149"/>
      <c r="GKF43" s="149"/>
      <c r="GKG43" s="149"/>
      <c r="GKH43" s="149"/>
      <c r="GKI43" s="149"/>
      <c r="GKJ43" s="149"/>
      <c r="GKK43" s="149"/>
      <c r="GKL43" s="149"/>
      <c r="GKM43" s="149"/>
      <c r="GKN43" s="149"/>
      <c r="GKO43" s="149"/>
      <c r="GKP43" s="149"/>
      <c r="GKQ43" s="149"/>
      <c r="GKR43" s="149"/>
      <c r="GKS43" s="149"/>
      <c r="GKT43" s="149"/>
      <c r="GKU43" s="149"/>
      <c r="GKV43" s="149"/>
      <c r="GKW43" s="149"/>
      <c r="GKX43" s="149"/>
      <c r="GKY43" s="149"/>
      <c r="GKZ43" s="149"/>
      <c r="GLA43" s="149"/>
      <c r="GLB43" s="149"/>
      <c r="GLC43" s="149"/>
      <c r="GLD43" s="149"/>
      <c r="GLE43" s="149"/>
      <c r="GLF43" s="149"/>
      <c r="GLG43" s="149"/>
      <c r="GLH43" s="149"/>
      <c r="GLI43" s="149"/>
      <c r="GLJ43" s="149"/>
      <c r="GLK43" s="149"/>
      <c r="GLL43" s="149"/>
      <c r="GLM43" s="149"/>
      <c r="GLN43" s="149"/>
      <c r="GLO43" s="149"/>
      <c r="GLP43" s="149"/>
      <c r="GLQ43" s="149"/>
      <c r="GLR43" s="149"/>
      <c r="GLS43" s="149"/>
      <c r="GLT43" s="149"/>
      <c r="GLU43" s="149"/>
      <c r="GLV43" s="149"/>
      <c r="GLW43" s="149"/>
      <c r="GLX43" s="149"/>
      <c r="GLY43" s="149"/>
      <c r="GLZ43" s="149"/>
      <c r="GMA43" s="149"/>
      <c r="GMB43" s="149"/>
      <c r="GMC43" s="149"/>
      <c r="GMD43" s="149"/>
      <c r="GME43" s="149"/>
      <c r="GMF43" s="149"/>
      <c r="GMG43" s="149"/>
      <c r="GMH43" s="149"/>
      <c r="GMI43" s="149"/>
      <c r="GMJ43" s="149"/>
      <c r="GMK43" s="149"/>
      <c r="GML43" s="149"/>
      <c r="GMM43" s="149"/>
      <c r="GMN43" s="149"/>
      <c r="GMO43" s="149"/>
      <c r="GMP43" s="149"/>
      <c r="GMQ43" s="149"/>
      <c r="GMR43" s="149"/>
      <c r="GMS43" s="149"/>
      <c r="GMT43" s="149"/>
      <c r="GMU43" s="149"/>
      <c r="GMV43" s="149"/>
      <c r="GMW43" s="149"/>
      <c r="GMX43" s="149"/>
      <c r="GMY43" s="149"/>
      <c r="GMZ43" s="149"/>
      <c r="GNA43" s="149"/>
      <c r="GNB43" s="149"/>
      <c r="GNC43" s="149"/>
      <c r="GND43" s="149"/>
      <c r="GNE43" s="149"/>
      <c r="GNF43" s="149"/>
      <c r="GNG43" s="149"/>
      <c r="GNH43" s="149"/>
      <c r="GNI43" s="149"/>
      <c r="GNJ43" s="149"/>
      <c r="GNK43" s="149"/>
      <c r="GNL43" s="149"/>
      <c r="GNM43" s="149"/>
      <c r="GNN43" s="149"/>
      <c r="GNO43" s="149"/>
      <c r="GNP43" s="149"/>
      <c r="GNQ43" s="149"/>
      <c r="GNR43" s="149"/>
      <c r="GNS43" s="149"/>
      <c r="GNT43" s="149"/>
      <c r="GNU43" s="149"/>
      <c r="GNV43" s="149"/>
      <c r="GNW43" s="149"/>
      <c r="GNX43" s="149"/>
      <c r="GNY43" s="149"/>
      <c r="GNZ43" s="149"/>
      <c r="GOA43" s="149"/>
      <c r="GOB43" s="149"/>
      <c r="GOC43" s="149"/>
      <c r="GOD43" s="149"/>
      <c r="GOE43" s="149"/>
      <c r="GOF43" s="149"/>
      <c r="GOG43" s="149"/>
      <c r="GOH43" s="149"/>
      <c r="GOI43" s="149"/>
      <c r="GOJ43" s="149"/>
      <c r="GOK43" s="149"/>
      <c r="GOL43" s="149"/>
      <c r="GOM43" s="149"/>
      <c r="GON43" s="149"/>
      <c r="GOO43" s="149"/>
      <c r="GOP43" s="149"/>
      <c r="GOQ43" s="149"/>
      <c r="GOR43" s="149"/>
      <c r="GOS43" s="149"/>
      <c r="GOT43" s="149"/>
      <c r="GOU43" s="149"/>
      <c r="GOV43" s="149"/>
      <c r="GOW43" s="149"/>
      <c r="GOX43" s="149"/>
      <c r="GOY43" s="149"/>
      <c r="GOZ43" s="149"/>
      <c r="GPA43" s="149"/>
      <c r="GPB43" s="149"/>
      <c r="GPC43" s="149"/>
      <c r="GPD43" s="149"/>
      <c r="GPE43" s="149"/>
      <c r="GPF43" s="149"/>
      <c r="GPG43" s="149"/>
      <c r="GPH43" s="149"/>
      <c r="GPI43" s="149"/>
      <c r="GPJ43" s="149"/>
      <c r="GPK43" s="149"/>
      <c r="GPL43" s="149"/>
      <c r="GPM43" s="149"/>
      <c r="GPN43" s="149"/>
      <c r="GPO43" s="149"/>
      <c r="GPP43" s="149"/>
      <c r="GPQ43" s="149"/>
      <c r="GPR43" s="149"/>
      <c r="GPS43" s="149"/>
      <c r="GPT43" s="149"/>
      <c r="GPU43" s="149"/>
      <c r="GPV43" s="149"/>
      <c r="GPW43" s="149"/>
      <c r="GPX43" s="149"/>
      <c r="GPY43" s="149"/>
      <c r="GPZ43" s="149"/>
      <c r="GQA43" s="149"/>
      <c r="GQB43" s="149"/>
      <c r="GQC43" s="149"/>
      <c r="GQD43" s="149"/>
      <c r="GQE43" s="149"/>
      <c r="GQF43" s="149"/>
      <c r="GQG43" s="149"/>
      <c r="GQH43" s="149"/>
      <c r="GQI43" s="149"/>
      <c r="GQJ43" s="149"/>
      <c r="GQK43" s="149"/>
      <c r="GQL43" s="149"/>
      <c r="GQM43" s="149"/>
      <c r="GQN43" s="149"/>
      <c r="GQO43" s="149"/>
      <c r="GQP43" s="149"/>
      <c r="GQQ43" s="149"/>
      <c r="GQR43" s="149"/>
      <c r="GQS43" s="149"/>
      <c r="GQT43" s="149"/>
      <c r="GQU43" s="149"/>
      <c r="GQV43" s="149"/>
      <c r="GQW43" s="149"/>
      <c r="GQX43" s="149"/>
      <c r="GQY43" s="149"/>
      <c r="GQZ43" s="149"/>
      <c r="GRA43" s="149"/>
      <c r="GRB43" s="149"/>
      <c r="GRC43" s="149"/>
      <c r="GRD43" s="149"/>
      <c r="GRE43" s="149"/>
      <c r="GRF43" s="149"/>
      <c r="GRG43" s="149"/>
      <c r="GRH43" s="149"/>
      <c r="GRI43" s="149"/>
      <c r="GRJ43" s="149"/>
      <c r="GRK43" s="149"/>
      <c r="GRL43" s="149"/>
      <c r="GRM43" s="149"/>
      <c r="GRN43" s="149"/>
      <c r="GRO43" s="149"/>
      <c r="GRP43" s="149"/>
      <c r="GRQ43" s="149"/>
      <c r="GRR43" s="149"/>
      <c r="GRS43" s="149"/>
      <c r="GRT43" s="149"/>
      <c r="GRU43" s="149"/>
      <c r="GRV43" s="149"/>
      <c r="GRW43" s="149"/>
      <c r="GRX43" s="149"/>
      <c r="GRY43" s="149"/>
      <c r="GRZ43" s="149"/>
      <c r="GSA43" s="149"/>
      <c r="GSB43" s="149"/>
      <c r="GSC43" s="149"/>
      <c r="GSD43" s="149"/>
      <c r="GSE43" s="149"/>
      <c r="GSF43" s="149"/>
      <c r="GSG43" s="149"/>
      <c r="GSH43" s="149"/>
      <c r="GSI43" s="149"/>
      <c r="GSJ43" s="149"/>
      <c r="GSK43" s="149"/>
      <c r="GSL43" s="149"/>
      <c r="GSM43" s="149"/>
      <c r="GSN43" s="149"/>
      <c r="GSO43" s="149"/>
      <c r="GSP43" s="149"/>
      <c r="GSQ43" s="149"/>
      <c r="GSR43" s="149"/>
      <c r="GSS43" s="149"/>
      <c r="GST43" s="149"/>
      <c r="GSU43" s="149"/>
      <c r="GSV43" s="149"/>
      <c r="GSW43" s="149"/>
      <c r="GSX43" s="149"/>
      <c r="GSY43" s="149"/>
      <c r="GSZ43" s="149"/>
      <c r="GTA43" s="149"/>
      <c r="GTB43" s="149"/>
      <c r="GTC43" s="149"/>
      <c r="GTD43" s="149"/>
      <c r="GTE43" s="149"/>
      <c r="GTF43" s="149"/>
      <c r="GTG43" s="149"/>
      <c r="GTH43" s="149"/>
      <c r="GTI43" s="149"/>
      <c r="GTJ43" s="149"/>
      <c r="GTK43" s="149"/>
      <c r="GTL43" s="149"/>
      <c r="GTM43" s="149"/>
      <c r="GTN43" s="149"/>
      <c r="GTO43" s="149"/>
      <c r="GTP43" s="149"/>
      <c r="GTQ43" s="149"/>
      <c r="GTR43" s="149"/>
      <c r="GTS43" s="149"/>
      <c r="GTT43" s="149"/>
      <c r="GTU43" s="149"/>
      <c r="GTV43" s="149"/>
      <c r="GTW43" s="149"/>
      <c r="GTX43" s="149"/>
      <c r="GTY43" s="149"/>
      <c r="GTZ43" s="149"/>
      <c r="GUA43" s="149"/>
      <c r="GUB43" s="149"/>
      <c r="GUC43" s="149"/>
      <c r="GUD43" s="149"/>
      <c r="GUE43" s="149"/>
      <c r="GUF43" s="149"/>
      <c r="GUG43" s="149"/>
      <c r="GUH43" s="149"/>
      <c r="GUI43" s="149"/>
      <c r="GUJ43" s="149"/>
      <c r="GUK43" s="149"/>
      <c r="GUL43" s="149"/>
      <c r="GUM43" s="149"/>
      <c r="GUN43" s="149"/>
      <c r="GUO43" s="149"/>
      <c r="GUP43" s="149"/>
      <c r="GUQ43" s="149"/>
      <c r="GUR43" s="149"/>
      <c r="GUS43" s="149"/>
      <c r="GUT43" s="149"/>
      <c r="GUU43" s="149"/>
      <c r="GUV43" s="149"/>
      <c r="GUW43" s="149"/>
      <c r="GUX43" s="149"/>
      <c r="GUY43" s="149"/>
      <c r="GUZ43" s="149"/>
      <c r="GVA43" s="149"/>
      <c r="GVB43" s="149"/>
      <c r="GVC43" s="149"/>
      <c r="GVD43" s="149"/>
      <c r="GVE43" s="149"/>
      <c r="GVF43" s="149"/>
      <c r="GVG43" s="149"/>
      <c r="GVH43" s="149"/>
      <c r="GVI43" s="149"/>
      <c r="GVJ43" s="149"/>
      <c r="GVK43" s="149"/>
      <c r="GVL43" s="149"/>
      <c r="GVM43" s="149"/>
      <c r="GVN43" s="149"/>
      <c r="GVO43" s="149"/>
      <c r="GVP43" s="149"/>
      <c r="GVQ43" s="149"/>
      <c r="GVR43" s="149"/>
      <c r="GVS43" s="149"/>
      <c r="GVT43" s="149"/>
      <c r="GVU43" s="149"/>
      <c r="GVV43" s="149"/>
      <c r="GVW43" s="149"/>
      <c r="GVX43" s="149"/>
      <c r="GVY43" s="149"/>
      <c r="GVZ43" s="149"/>
      <c r="GWA43" s="149"/>
      <c r="GWB43" s="149"/>
      <c r="GWC43" s="149"/>
      <c r="GWD43" s="149"/>
      <c r="GWE43" s="149"/>
      <c r="GWF43" s="149"/>
      <c r="GWG43" s="149"/>
      <c r="GWH43" s="149"/>
      <c r="GWI43" s="149"/>
      <c r="GWJ43" s="149"/>
      <c r="GWK43" s="149"/>
      <c r="GWL43" s="149"/>
      <c r="GWM43" s="149"/>
      <c r="GWN43" s="149"/>
      <c r="GWO43" s="149"/>
      <c r="GWP43" s="149"/>
      <c r="GWQ43" s="149"/>
      <c r="GWR43" s="149"/>
      <c r="GWS43" s="149"/>
      <c r="GWT43" s="149"/>
      <c r="GWU43" s="149"/>
      <c r="GWV43" s="149"/>
      <c r="GWW43" s="149"/>
      <c r="GWX43" s="149"/>
      <c r="GWY43" s="149"/>
      <c r="GWZ43" s="149"/>
      <c r="GXA43" s="149"/>
      <c r="GXB43" s="149"/>
      <c r="GXC43" s="149"/>
      <c r="GXD43" s="149"/>
      <c r="GXE43" s="149"/>
      <c r="GXF43" s="149"/>
      <c r="GXG43" s="149"/>
      <c r="GXH43" s="149"/>
      <c r="GXI43" s="149"/>
      <c r="GXJ43" s="149"/>
      <c r="GXK43" s="149"/>
      <c r="GXL43" s="149"/>
      <c r="GXM43" s="149"/>
      <c r="GXN43" s="149"/>
      <c r="GXO43" s="149"/>
      <c r="GXP43" s="149"/>
      <c r="GXQ43" s="149"/>
      <c r="GXR43" s="149"/>
      <c r="GXS43" s="149"/>
      <c r="GXT43" s="149"/>
      <c r="GXU43" s="149"/>
      <c r="GXV43" s="149"/>
      <c r="GXW43" s="149"/>
      <c r="GXX43" s="149"/>
      <c r="GXY43" s="149"/>
      <c r="GXZ43" s="149"/>
      <c r="GYA43" s="149"/>
      <c r="GYB43" s="149"/>
      <c r="GYC43" s="149"/>
      <c r="GYD43" s="149"/>
      <c r="GYE43" s="149"/>
      <c r="GYF43" s="149"/>
      <c r="GYG43" s="149"/>
      <c r="GYH43" s="149"/>
      <c r="GYI43" s="149"/>
      <c r="GYJ43" s="149"/>
      <c r="GYK43" s="149"/>
      <c r="GYL43" s="149"/>
      <c r="GYM43" s="149"/>
      <c r="GYN43" s="149"/>
      <c r="GYO43" s="149"/>
      <c r="GYP43" s="149"/>
      <c r="GYQ43" s="149"/>
      <c r="GYR43" s="149"/>
      <c r="GYS43" s="149"/>
      <c r="GYT43" s="149"/>
      <c r="GYU43" s="149"/>
      <c r="GYV43" s="149"/>
      <c r="GYW43" s="149"/>
      <c r="GYX43" s="149"/>
      <c r="GYY43" s="149"/>
      <c r="GYZ43" s="149"/>
      <c r="GZA43" s="149"/>
      <c r="GZB43" s="149"/>
      <c r="GZC43" s="149"/>
      <c r="GZD43" s="149"/>
      <c r="GZE43" s="149"/>
      <c r="GZF43" s="149"/>
      <c r="GZG43" s="149"/>
      <c r="GZH43" s="149"/>
      <c r="GZI43" s="149"/>
      <c r="GZJ43" s="149"/>
      <c r="GZK43" s="149"/>
      <c r="GZL43" s="149"/>
      <c r="GZM43" s="149"/>
      <c r="GZN43" s="149"/>
      <c r="GZO43" s="149"/>
      <c r="GZP43" s="149"/>
      <c r="GZQ43" s="149"/>
      <c r="GZR43" s="149"/>
      <c r="GZS43" s="149"/>
      <c r="GZT43" s="149"/>
      <c r="GZU43" s="149"/>
      <c r="GZV43" s="149"/>
      <c r="GZW43" s="149"/>
      <c r="GZX43" s="149"/>
      <c r="GZY43" s="149"/>
      <c r="GZZ43" s="149"/>
      <c r="HAA43" s="149"/>
      <c r="HAB43" s="149"/>
      <c r="HAC43" s="149"/>
      <c r="HAD43" s="149"/>
      <c r="HAE43" s="149"/>
      <c r="HAF43" s="149"/>
      <c r="HAG43" s="149"/>
      <c r="HAH43" s="149"/>
      <c r="HAI43" s="149"/>
      <c r="HAJ43" s="149"/>
      <c r="HAK43" s="149"/>
      <c r="HAL43" s="149"/>
      <c r="HAM43" s="149"/>
      <c r="HAN43" s="149"/>
      <c r="HAO43" s="149"/>
      <c r="HAP43" s="149"/>
      <c r="HAQ43" s="149"/>
      <c r="HAR43" s="149"/>
      <c r="HAS43" s="149"/>
      <c r="HAT43" s="149"/>
      <c r="HAU43" s="149"/>
      <c r="HAV43" s="149"/>
      <c r="HAW43" s="149"/>
      <c r="HAX43" s="149"/>
      <c r="HAY43" s="149"/>
      <c r="HAZ43" s="149"/>
      <c r="HBA43" s="149"/>
      <c r="HBB43" s="149"/>
      <c r="HBC43" s="149"/>
      <c r="HBD43" s="149"/>
      <c r="HBE43" s="149"/>
      <c r="HBF43" s="149"/>
      <c r="HBG43" s="149"/>
      <c r="HBH43" s="149"/>
      <c r="HBI43" s="149"/>
      <c r="HBJ43" s="149"/>
      <c r="HBK43" s="149"/>
      <c r="HBL43" s="149"/>
      <c r="HBM43" s="149"/>
      <c r="HBN43" s="149"/>
      <c r="HBO43" s="149"/>
      <c r="HBP43" s="149"/>
      <c r="HBQ43" s="149"/>
      <c r="HBR43" s="149"/>
      <c r="HBS43" s="149"/>
      <c r="HBT43" s="149"/>
      <c r="HBU43" s="149"/>
      <c r="HBV43" s="149"/>
      <c r="HBW43" s="149"/>
      <c r="HBX43" s="149"/>
      <c r="HBY43" s="149"/>
      <c r="HBZ43" s="149"/>
      <c r="HCA43" s="149"/>
      <c r="HCB43" s="149"/>
      <c r="HCC43" s="149"/>
      <c r="HCD43" s="149"/>
      <c r="HCE43" s="149"/>
      <c r="HCF43" s="149"/>
      <c r="HCG43" s="149"/>
      <c r="HCH43" s="149"/>
      <c r="HCI43" s="149"/>
      <c r="HCJ43" s="149"/>
      <c r="HCK43" s="149"/>
      <c r="HCL43" s="149"/>
      <c r="HCM43" s="149"/>
      <c r="HCN43" s="149"/>
      <c r="HCO43" s="149"/>
      <c r="HCP43" s="149"/>
      <c r="HCQ43" s="149"/>
      <c r="HCR43" s="149"/>
      <c r="HCS43" s="149"/>
      <c r="HCT43" s="149"/>
      <c r="HCU43" s="149"/>
      <c r="HCV43" s="149"/>
      <c r="HCW43" s="149"/>
      <c r="HCX43" s="149"/>
      <c r="HCY43" s="149"/>
      <c r="HCZ43" s="149"/>
      <c r="HDA43" s="149"/>
      <c r="HDB43" s="149"/>
      <c r="HDC43" s="149"/>
      <c r="HDD43" s="149"/>
      <c r="HDE43" s="149"/>
      <c r="HDF43" s="149"/>
      <c r="HDG43" s="149"/>
      <c r="HDH43" s="149"/>
      <c r="HDI43" s="149"/>
      <c r="HDJ43" s="149"/>
      <c r="HDK43" s="149"/>
      <c r="HDL43" s="149"/>
      <c r="HDM43" s="149"/>
      <c r="HDN43" s="149"/>
      <c r="HDO43" s="149"/>
      <c r="HDP43" s="149"/>
      <c r="HDQ43" s="149"/>
      <c r="HDR43" s="149"/>
      <c r="HDS43" s="149"/>
      <c r="HDT43" s="149"/>
      <c r="HDU43" s="149"/>
      <c r="HDV43" s="149"/>
      <c r="HDW43" s="149"/>
      <c r="HDX43" s="149"/>
      <c r="HDY43" s="149"/>
      <c r="HDZ43" s="149"/>
      <c r="HEA43" s="149"/>
      <c r="HEB43" s="149"/>
      <c r="HEC43" s="149"/>
      <c r="HED43" s="149"/>
      <c r="HEE43" s="149"/>
      <c r="HEF43" s="149"/>
      <c r="HEG43" s="149"/>
      <c r="HEH43" s="149"/>
      <c r="HEI43" s="149"/>
      <c r="HEJ43" s="149"/>
      <c r="HEK43" s="149"/>
      <c r="HEL43" s="149"/>
      <c r="HEM43" s="149"/>
      <c r="HEN43" s="149"/>
      <c r="HEO43" s="149"/>
      <c r="HEP43" s="149"/>
      <c r="HEQ43" s="149"/>
      <c r="HER43" s="149"/>
      <c r="HES43" s="149"/>
      <c r="HET43" s="149"/>
      <c r="HEU43" s="149"/>
      <c r="HEV43" s="149"/>
      <c r="HEW43" s="149"/>
      <c r="HEX43" s="149"/>
      <c r="HEY43" s="149"/>
      <c r="HEZ43" s="149"/>
      <c r="HFA43" s="149"/>
      <c r="HFB43" s="149"/>
      <c r="HFC43" s="149"/>
      <c r="HFD43" s="149"/>
      <c r="HFE43" s="149"/>
      <c r="HFF43" s="149"/>
      <c r="HFG43" s="149"/>
      <c r="HFH43" s="149"/>
      <c r="HFI43" s="149"/>
      <c r="HFJ43" s="149"/>
      <c r="HFK43" s="149"/>
      <c r="HFL43" s="149"/>
      <c r="HFM43" s="149"/>
      <c r="HFN43" s="149"/>
      <c r="HFO43" s="149"/>
      <c r="HFP43" s="149"/>
      <c r="HFQ43" s="149"/>
      <c r="HFR43" s="149"/>
      <c r="HFS43" s="149"/>
      <c r="HFT43" s="149"/>
      <c r="HFU43" s="149"/>
      <c r="HFV43" s="149"/>
      <c r="HFW43" s="149"/>
      <c r="HFX43" s="149"/>
      <c r="HFY43" s="149"/>
      <c r="HFZ43" s="149"/>
      <c r="HGA43" s="149"/>
      <c r="HGB43" s="149"/>
      <c r="HGC43" s="149"/>
      <c r="HGD43" s="149"/>
      <c r="HGE43" s="149"/>
      <c r="HGF43" s="149"/>
      <c r="HGG43" s="149"/>
      <c r="HGH43" s="149"/>
      <c r="HGI43" s="149"/>
      <c r="HGJ43" s="149"/>
      <c r="HGK43" s="149"/>
      <c r="HGL43" s="149"/>
      <c r="HGM43" s="149"/>
      <c r="HGN43" s="149"/>
      <c r="HGO43" s="149"/>
      <c r="HGP43" s="149"/>
      <c r="HGQ43" s="149"/>
      <c r="HGR43" s="149"/>
      <c r="HGS43" s="149"/>
      <c r="HGT43" s="149"/>
      <c r="HGU43" s="149"/>
      <c r="HGV43" s="149"/>
      <c r="HGW43" s="149"/>
      <c r="HGX43" s="149"/>
      <c r="HGY43" s="149"/>
      <c r="HGZ43" s="149"/>
      <c r="HHA43" s="149"/>
      <c r="HHB43" s="149"/>
      <c r="HHC43" s="149"/>
      <c r="HHD43" s="149"/>
      <c r="HHE43" s="149"/>
      <c r="HHF43" s="149"/>
      <c r="HHG43" s="149"/>
      <c r="HHH43" s="149"/>
      <c r="HHI43" s="149"/>
      <c r="HHJ43" s="149"/>
      <c r="HHK43" s="149"/>
      <c r="HHL43" s="149"/>
      <c r="HHM43" s="149"/>
      <c r="HHN43" s="149"/>
      <c r="HHO43" s="149"/>
      <c r="HHP43" s="149"/>
      <c r="HHQ43" s="149"/>
      <c r="HHR43" s="149"/>
      <c r="HHS43" s="149"/>
      <c r="HHT43" s="149"/>
      <c r="HHU43" s="149"/>
      <c r="HHV43" s="149"/>
      <c r="HHW43" s="149"/>
      <c r="HHX43" s="149"/>
      <c r="HHY43" s="149"/>
      <c r="HHZ43" s="149"/>
      <c r="HIA43" s="149"/>
      <c r="HIB43" s="149"/>
      <c r="HIC43" s="149"/>
      <c r="HID43" s="149"/>
      <c r="HIE43" s="149"/>
      <c r="HIF43" s="149"/>
      <c r="HIG43" s="149"/>
      <c r="HIH43" s="149"/>
      <c r="HII43" s="149"/>
      <c r="HIJ43" s="149"/>
      <c r="HIK43" s="149"/>
      <c r="HIL43" s="149"/>
      <c r="HIM43" s="149"/>
      <c r="HIN43" s="149"/>
      <c r="HIO43" s="149"/>
      <c r="HIP43" s="149"/>
      <c r="HIQ43" s="149"/>
      <c r="HIR43" s="149"/>
      <c r="HIS43" s="149"/>
      <c r="HIT43" s="149"/>
      <c r="HIU43" s="149"/>
      <c r="HIV43" s="149"/>
      <c r="HIW43" s="149"/>
      <c r="HIX43" s="149"/>
      <c r="HIY43" s="149"/>
      <c r="HIZ43" s="149"/>
      <c r="HJA43" s="149"/>
      <c r="HJB43" s="149"/>
      <c r="HJC43" s="149"/>
      <c r="HJD43" s="149"/>
      <c r="HJE43" s="149"/>
      <c r="HJF43" s="149"/>
      <c r="HJG43" s="149"/>
      <c r="HJH43" s="149"/>
      <c r="HJI43" s="149"/>
      <c r="HJJ43" s="149"/>
      <c r="HJK43" s="149"/>
      <c r="HJL43" s="149"/>
      <c r="HJM43" s="149"/>
      <c r="HJN43" s="149"/>
      <c r="HJO43" s="149"/>
      <c r="HJP43" s="149"/>
      <c r="HJQ43" s="149"/>
      <c r="HJR43" s="149"/>
      <c r="HJS43" s="149"/>
      <c r="HJT43" s="149"/>
      <c r="HJU43" s="149"/>
      <c r="HJV43" s="149"/>
      <c r="HJW43" s="149"/>
      <c r="HJX43" s="149"/>
      <c r="HJY43" s="149"/>
      <c r="HJZ43" s="149"/>
      <c r="HKA43" s="149"/>
      <c r="HKB43" s="149"/>
      <c r="HKC43" s="149"/>
      <c r="HKD43" s="149"/>
      <c r="HKE43" s="149"/>
      <c r="HKF43" s="149"/>
      <c r="HKG43" s="149"/>
      <c r="HKH43" s="149"/>
      <c r="HKI43" s="149"/>
      <c r="HKJ43" s="149"/>
      <c r="HKK43" s="149"/>
      <c r="HKL43" s="149"/>
      <c r="HKM43" s="149"/>
      <c r="HKN43" s="149"/>
      <c r="HKO43" s="149"/>
      <c r="HKP43" s="149"/>
      <c r="HKQ43" s="149"/>
      <c r="HKR43" s="149"/>
      <c r="HKS43" s="149"/>
      <c r="HKT43" s="149"/>
      <c r="HKU43" s="149"/>
      <c r="HKV43" s="149"/>
      <c r="HKW43" s="149"/>
      <c r="HKX43" s="149"/>
      <c r="HKY43" s="149"/>
      <c r="HKZ43" s="149"/>
      <c r="HLA43" s="149"/>
      <c r="HLB43" s="149"/>
      <c r="HLC43" s="149"/>
      <c r="HLD43" s="149"/>
      <c r="HLE43" s="149"/>
      <c r="HLF43" s="149"/>
      <c r="HLG43" s="149"/>
      <c r="HLH43" s="149"/>
      <c r="HLI43" s="149"/>
      <c r="HLJ43" s="149"/>
      <c r="HLK43" s="149"/>
      <c r="HLL43" s="149"/>
      <c r="HLM43" s="149"/>
      <c r="HLN43" s="149"/>
      <c r="HLO43" s="149"/>
      <c r="HLP43" s="149"/>
      <c r="HLQ43" s="149"/>
      <c r="HLR43" s="149"/>
      <c r="HLS43" s="149"/>
      <c r="HLT43" s="149"/>
      <c r="HLU43" s="149"/>
      <c r="HLV43" s="149"/>
      <c r="HLW43" s="149"/>
      <c r="HLX43" s="149"/>
      <c r="HLY43" s="149"/>
      <c r="HLZ43" s="149"/>
      <c r="HMA43" s="149"/>
      <c r="HMB43" s="149"/>
      <c r="HMC43" s="149"/>
      <c r="HMD43" s="149"/>
      <c r="HME43" s="149"/>
      <c r="HMF43" s="149"/>
      <c r="HMG43" s="149"/>
      <c r="HMH43" s="149"/>
      <c r="HMI43" s="149"/>
      <c r="HMJ43" s="149"/>
      <c r="HMK43" s="149"/>
      <c r="HML43" s="149"/>
      <c r="HMM43" s="149"/>
      <c r="HMN43" s="149"/>
      <c r="HMO43" s="149"/>
      <c r="HMP43" s="149"/>
      <c r="HMQ43" s="149"/>
      <c r="HMR43" s="149"/>
      <c r="HMS43" s="149"/>
      <c r="HMT43" s="149"/>
      <c r="HMU43" s="149"/>
      <c r="HMV43" s="149"/>
      <c r="HMW43" s="149"/>
      <c r="HMX43" s="149"/>
      <c r="HMY43" s="149"/>
      <c r="HMZ43" s="149"/>
      <c r="HNA43" s="149"/>
      <c r="HNB43" s="149"/>
      <c r="HNC43" s="149"/>
      <c r="HND43" s="149"/>
      <c r="HNE43" s="149"/>
      <c r="HNF43" s="149"/>
      <c r="HNG43" s="149"/>
      <c r="HNH43" s="149"/>
      <c r="HNI43" s="149"/>
      <c r="HNJ43" s="149"/>
      <c r="HNK43" s="149"/>
      <c r="HNL43" s="149"/>
      <c r="HNM43" s="149"/>
      <c r="HNN43" s="149"/>
      <c r="HNO43" s="149"/>
      <c r="HNP43" s="149"/>
      <c r="HNQ43" s="149"/>
      <c r="HNR43" s="149"/>
      <c r="HNS43" s="149"/>
      <c r="HNT43" s="149"/>
      <c r="HNU43" s="149"/>
      <c r="HNV43" s="149"/>
      <c r="HNW43" s="149"/>
      <c r="HNX43" s="149"/>
      <c r="HNY43" s="149"/>
      <c r="HNZ43" s="149"/>
      <c r="HOA43" s="149"/>
      <c r="HOB43" s="149"/>
      <c r="HOC43" s="149"/>
      <c r="HOD43" s="149"/>
      <c r="HOE43" s="149"/>
      <c r="HOF43" s="149"/>
      <c r="HOG43" s="149"/>
      <c r="HOH43" s="149"/>
      <c r="HOI43" s="149"/>
      <c r="HOJ43" s="149"/>
      <c r="HOK43" s="149"/>
      <c r="HOL43" s="149"/>
      <c r="HOM43" s="149"/>
      <c r="HON43" s="149"/>
      <c r="HOO43" s="149"/>
      <c r="HOP43" s="149"/>
      <c r="HOQ43" s="149"/>
      <c r="HOR43" s="149"/>
      <c r="HOS43" s="149"/>
      <c r="HOT43" s="149"/>
      <c r="HOU43" s="149"/>
      <c r="HOV43" s="149"/>
      <c r="HOW43" s="149"/>
      <c r="HOX43" s="149"/>
      <c r="HOY43" s="149"/>
      <c r="HOZ43" s="149"/>
      <c r="HPA43" s="149"/>
      <c r="HPB43" s="149"/>
      <c r="HPC43" s="149"/>
      <c r="HPD43" s="149"/>
      <c r="HPE43" s="149"/>
      <c r="HPF43" s="149"/>
      <c r="HPG43" s="149"/>
      <c r="HPH43" s="149"/>
      <c r="HPI43" s="149"/>
      <c r="HPJ43" s="149"/>
      <c r="HPK43" s="149"/>
      <c r="HPL43" s="149"/>
      <c r="HPM43" s="149"/>
      <c r="HPN43" s="149"/>
      <c r="HPO43" s="149"/>
      <c r="HPP43" s="149"/>
      <c r="HPQ43" s="149"/>
      <c r="HPR43" s="149"/>
      <c r="HPS43" s="149"/>
      <c r="HPT43" s="149"/>
      <c r="HPU43" s="149"/>
      <c r="HPV43" s="149"/>
      <c r="HPW43" s="149"/>
      <c r="HPX43" s="149"/>
      <c r="HPY43" s="149"/>
      <c r="HPZ43" s="149"/>
      <c r="HQA43" s="149"/>
      <c r="HQB43" s="149"/>
      <c r="HQC43" s="149"/>
      <c r="HQD43" s="149"/>
      <c r="HQE43" s="149"/>
      <c r="HQF43" s="149"/>
      <c r="HQG43" s="149"/>
      <c r="HQH43" s="149"/>
      <c r="HQI43" s="149"/>
      <c r="HQJ43" s="149"/>
      <c r="HQK43" s="149"/>
      <c r="HQL43" s="149"/>
      <c r="HQM43" s="149"/>
      <c r="HQN43" s="149"/>
      <c r="HQO43" s="149"/>
      <c r="HQP43" s="149"/>
      <c r="HQQ43" s="149"/>
      <c r="HQR43" s="149"/>
      <c r="HQS43" s="149"/>
      <c r="HQT43" s="149"/>
      <c r="HQU43" s="149"/>
      <c r="HQV43" s="149"/>
      <c r="HQW43" s="149"/>
      <c r="HQX43" s="149"/>
      <c r="HQY43" s="149"/>
      <c r="HQZ43" s="149"/>
      <c r="HRA43" s="149"/>
      <c r="HRB43" s="149"/>
      <c r="HRC43" s="149"/>
      <c r="HRD43" s="149"/>
      <c r="HRE43" s="149"/>
      <c r="HRF43" s="149"/>
      <c r="HRG43" s="149"/>
      <c r="HRH43" s="149"/>
      <c r="HRI43" s="149"/>
      <c r="HRJ43" s="149"/>
      <c r="HRK43" s="149"/>
      <c r="HRL43" s="149"/>
      <c r="HRM43" s="149"/>
      <c r="HRN43" s="149"/>
      <c r="HRO43" s="149"/>
      <c r="HRP43" s="149"/>
      <c r="HRQ43" s="149"/>
      <c r="HRR43" s="149"/>
      <c r="HRS43" s="149"/>
      <c r="HRT43" s="149"/>
      <c r="HRU43" s="149"/>
      <c r="HRV43" s="149"/>
      <c r="HRW43" s="149"/>
      <c r="HRX43" s="149"/>
      <c r="HRY43" s="149"/>
      <c r="HRZ43" s="149"/>
      <c r="HSA43" s="149"/>
      <c r="HSB43" s="149"/>
      <c r="HSC43" s="149"/>
      <c r="HSD43" s="149"/>
      <c r="HSE43" s="149"/>
      <c r="HSF43" s="149"/>
      <c r="HSG43" s="149"/>
      <c r="HSH43" s="149"/>
      <c r="HSI43" s="149"/>
      <c r="HSJ43" s="149"/>
      <c r="HSK43" s="149"/>
      <c r="HSL43" s="149"/>
      <c r="HSM43" s="149"/>
      <c r="HSN43" s="149"/>
      <c r="HSO43" s="149"/>
      <c r="HSP43" s="149"/>
      <c r="HSQ43" s="149"/>
      <c r="HSR43" s="149"/>
      <c r="HSS43" s="149"/>
      <c r="HST43" s="149"/>
      <c r="HSU43" s="149"/>
      <c r="HSV43" s="149"/>
      <c r="HSW43" s="149"/>
      <c r="HSX43" s="149"/>
      <c r="HSY43" s="149"/>
      <c r="HSZ43" s="149"/>
      <c r="HTA43" s="149"/>
      <c r="HTB43" s="149"/>
      <c r="HTC43" s="149"/>
      <c r="HTD43" s="149"/>
      <c r="HTE43" s="149"/>
      <c r="HTF43" s="149"/>
      <c r="HTG43" s="149"/>
      <c r="HTH43" s="149"/>
      <c r="HTI43" s="149"/>
      <c r="HTJ43" s="149"/>
      <c r="HTK43" s="149"/>
      <c r="HTL43" s="149"/>
      <c r="HTM43" s="149"/>
      <c r="HTN43" s="149"/>
      <c r="HTO43" s="149"/>
      <c r="HTP43" s="149"/>
      <c r="HTQ43" s="149"/>
      <c r="HTR43" s="149"/>
      <c r="HTS43" s="149"/>
      <c r="HTT43" s="149"/>
      <c r="HTU43" s="149"/>
      <c r="HTV43" s="149"/>
      <c r="HTW43" s="149"/>
      <c r="HTX43" s="149"/>
      <c r="HTY43" s="149"/>
      <c r="HTZ43" s="149"/>
      <c r="HUA43" s="149"/>
      <c r="HUB43" s="149"/>
      <c r="HUC43" s="149"/>
      <c r="HUD43" s="149"/>
      <c r="HUE43" s="149"/>
      <c r="HUF43" s="149"/>
      <c r="HUG43" s="149"/>
      <c r="HUH43" s="149"/>
      <c r="HUI43" s="149"/>
      <c r="HUJ43" s="149"/>
      <c r="HUK43" s="149"/>
      <c r="HUL43" s="149"/>
      <c r="HUM43" s="149"/>
      <c r="HUN43" s="149"/>
      <c r="HUO43" s="149"/>
      <c r="HUP43" s="149"/>
      <c r="HUQ43" s="149"/>
      <c r="HUR43" s="149"/>
      <c r="HUS43" s="149"/>
      <c r="HUT43" s="149"/>
      <c r="HUU43" s="149"/>
      <c r="HUV43" s="149"/>
      <c r="HUW43" s="149"/>
      <c r="HUX43" s="149"/>
      <c r="HUY43" s="149"/>
      <c r="HUZ43" s="149"/>
      <c r="HVA43" s="149"/>
      <c r="HVB43" s="149"/>
      <c r="HVC43" s="149"/>
      <c r="HVD43" s="149"/>
      <c r="HVE43" s="149"/>
      <c r="HVF43" s="149"/>
      <c r="HVG43" s="149"/>
      <c r="HVH43" s="149"/>
      <c r="HVI43" s="149"/>
      <c r="HVJ43" s="149"/>
      <c r="HVK43" s="149"/>
      <c r="HVL43" s="149"/>
      <c r="HVM43" s="149"/>
      <c r="HVN43" s="149"/>
      <c r="HVO43" s="149"/>
      <c r="HVP43" s="149"/>
      <c r="HVQ43" s="149"/>
      <c r="HVR43" s="149"/>
      <c r="HVS43" s="149"/>
      <c r="HVT43" s="149"/>
      <c r="HVU43" s="149"/>
      <c r="HVV43" s="149"/>
      <c r="HVW43" s="149"/>
      <c r="HVX43" s="149"/>
      <c r="HVY43" s="149"/>
      <c r="HVZ43" s="149"/>
      <c r="HWA43" s="149"/>
      <c r="HWB43" s="149"/>
      <c r="HWC43" s="149"/>
      <c r="HWD43" s="149"/>
      <c r="HWE43" s="149"/>
      <c r="HWF43" s="149"/>
      <c r="HWG43" s="149"/>
      <c r="HWH43" s="149"/>
      <c r="HWI43" s="149"/>
      <c r="HWJ43" s="149"/>
      <c r="HWK43" s="149"/>
      <c r="HWL43" s="149"/>
      <c r="HWM43" s="149"/>
      <c r="HWN43" s="149"/>
      <c r="HWO43" s="149"/>
      <c r="HWP43" s="149"/>
      <c r="HWQ43" s="149"/>
      <c r="HWR43" s="149"/>
      <c r="HWS43" s="149"/>
      <c r="HWT43" s="149"/>
      <c r="HWU43" s="149"/>
      <c r="HWV43" s="149"/>
      <c r="HWW43" s="149"/>
      <c r="HWX43" s="149"/>
      <c r="HWY43" s="149"/>
      <c r="HWZ43" s="149"/>
      <c r="HXA43" s="149"/>
      <c r="HXB43" s="149"/>
      <c r="HXC43" s="149"/>
      <c r="HXD43" s="149"/>
      <c r="HXE43" s="149"/>
      <c r="HXF43" s="149"/>
      <c r="HXG43" s="149"/>
      <c r="HXH43" s="149"/>
      <c r="HXI43" s="149"/>
      <c r="HXJ43" s="149"/>
      <c r="HXK43" s="149"/>
      <c r="HXL43" s="149"/>
      <c r="HXM43" s="149"/>
      <c r="HXN43" s="149"/>
      <c r="HXO43" s="149"/>
      <c r="HXP43" s="149"/>
      <c r="HXQ43" s="149"/>
      <c r="HXR43" s="149"/>
      <c r="HXS43" s="149"/>
      <c r="HXT43" s="149"/>
      <c r="HXU43" s="149"/>
      <c r="HXV43" s="149"/>
      <c r="HXW43" s="149"/>
      <c r="HXX43" s="149"/>
      <c r="HXY43" s="149"/>
      <c r="HXZ43" s="149"/>
      <c r="HYA43" s="149"/>
      <c r="HYB43" s="149"/>
      <c r="HYC43" s="149"/>
      <c r="HYD43" s="149"/>
      <c r="HYE43" s="149"/>
      <c r="HYF43" s="149"/>
      <c r="HYG43" s="149"/>
      <c r="HYH43" s="149"/>
      <c r="HYI43" s="149"/>
      <c r="HYJ43" s="149"/>
      <c r="HYK43" s="149"/>
      <c r="HYL43" s="149"/>
      <c r="HYM43" s="149"/>
      <c r="HYN43" s="149"/>
      <c r="HYO43" s="149"/>
      <c r="HYP43" s="149"/>
      <c r="HYQ43" s="149"/>
      <c r="HYR43" s="149"/>
      <c r="HYS43" s="149"/>
      <c r="HYT43" s="149"/>
      <c r="HYU43" s="149"/>
      <c r="HYV43" s="149"/>
      <c r="HYW43" s="149"/>
      <c r="HYX43" s="149"/>
      <c r="HYY43" s="149"/>
      <c r="HYZ43" s="149"/>
      <c r="HZA43" s="149"/>
      <c r="HZB43" s="149"/>
      <c r="HZC43" s="149"/>
      <c r="HZD43" s="149"/>
      <c r="HZE43" s="149"/>
      <c r="HZF43" s="149"/>
      <c r="HZG43" s="149"/>
      <c r="HZH43" s="149"/>
      <c r="HZI43" s="149"/>
      <c r="HZJ43" s="149"/>
      <c r="HZK43" s="149"/>
      <c r="HZL43" s="149"/>
      <c r="HZM43" s="149"/>
      <c r="HZN43" s="149"/>
      <c r="HZO43" s="149"/>
      <c r="HZP43" s="149"/>
      <c r="HZQ43" s="149"/>
      <c r="HZR43" s="149"/>
      <c r="HZS43" s="149"/>
      <c r="HZT43" s="149"/>
      <c r="HZU43" s="149"/>
      <c r="HZV43" s="149"/>
      <c r="HZW43" s="149"/>
      <c r="HZX43" s="149"/>
      <c r="HZY43" s="149"/>
      <c r="HZZ43" s="149"/>
      <c r="IAA43" s="149"/>
      <c r="IAB43" s="149"/>
      <c r="IAC43" s="149"/>
      <c r="IAD43" s="149"/>
      <c r="IAE43" s="149"/>
      <c r="IAF43" s="149"/>
      <c r="IAG43" s="149"/>
      <c r="IAH43" s="149"/>
      <c r="IAI43" s="149"/>
      <c r="IAJ43" s="149"/>
      <c r="IAK43" s="149"/>
      <c r="IAL43" s="149"/>
      <c r="IAM43" s="149"/>
      <c r="IAN43" s="149"/>
      <c r="IAO43" s="149"/>
      <c r="IAP43" s="149"/>
      <c r="IAQ43" s="149"/>
      <c r="IAR43" s="149"/>
      <c r="IAS43" s="149"/>
      <c r="IAT43" s="149"/>
      <c r="IAU43" s="149"/>
      <c r="IAV43" s="149"/>
      <c r="IAW43" s="149"/>
      <c r="IAX43" s="149"/>
      <c r="IAY43" s="149"/>
      <c r="IAZ43" s="149"/>
      <c r="IBA43" s="149"/>
      <c r="IBB43" s="149"/>
      <c r="IBC43" s="149"/>
      <c r="IBD43" s="149"/>
      <c r="IBE43" s="149"/>
      <c r="IBF43" s="149"/>
      <c r="IBG43" s="149"/>
      <c r="IBH43" s="149"/>
      <c r="IBI43" s="149"/>
      <c r="IBJ43" s="149"/>
      <c r="IBK43" s="149"/>
      <c r="IBL43" s="149"/>
      <c r="IBM43" s="149"/>
      <c r="IBN43" s="149"/>
      <c r="IBO43" s="149"/>
      <c r="IBP43" s="149"/>
      <c r="IBQ43" s="149"/>
      <c r="IBR43" s="149"/>
      <c r="IBS43" s="149"/>
      <c r="IBT43" s="149"/>
      <c r="IBU43" s="149"/>
      <c r="IBV43" s="149"/>
      <c r="IBW43" s="149"/>
      <c r="IBX43" s="149"/>
      <c r="IBY43" s="149"/>
      <c r="IBZ43" s="149"/>
      <c r="ICA43" s="149"/>
      <c r="ICB43" s="149"/>
      <c r="ICC43" s="149"/>
      <c r="ICD43" s="149"/>
      <c r="ICE43" s="149"/>
      <c r="ICF43" s="149"/>
      <c r="ICG43" s="149"/>
      <c r="ICH43" s="149"/>
      <c r="ICI43" s="149"/>
      <c r="ICJ43" s="149"/>
      <c r="ICK43" s="149"/>
      <c r="ICL43" s="149"/>
      <c r="ICM43" s="149"/>
      <c r="ICN43" s="149"/>
      <c r="ICO43" s="149"/>
      <c r="ICP43" s="149"/>
      <c r="ICQ43" s="149"/>
      <c r="ICR43" s="149"/>
      <c r="ICS43" s="149"/>
      <c r="ICT43" s="149"/>
      <c r="ICU43" s="149"/>
      <c r="ICV43" s="149"/>
      <c r="ICW43" s="149"/>
      <c r="ICX43" s="149"/>
      <c r="ICY43" s="149"/>
      <c r="ICZ43" s="149"/>
      <c r="IDA43" s="149"/>
      <c r="IDB43" s="149"/>
      <c r="IDC43" s="149"/>
      <c r="IDD43" s="149"/>
      <c r="IDE43" s="149"/>
      <c r="IDF43" s="149"/>
      <c r="IDG43" s="149"/>
      <c r="IDH43" s="149"/>
      <c r="IDI43" s="149"/>
      <c r="IDJ43" s="149"/>
      <c r="IDK43" s="149"/>
      <c r="IDL43" s="149"/>
      <c r="IDM43" s="149"/>
      <c r="IDN43" s="149"/>
      <c r="IDO43" s="149"/>
      <c r="IDP43" s="149"/>
      <c r="IDQ43" s="149"/>
      <c r="IDR43" s="149"/>
      <c r="IDS43" s="149"/>
      <c r="IDT43" s="149"/>
      <c r="IDU43" s="149"/>
      <c r="IDV43" s="149"/>
      <c r="IDW43" s="149"/>
      <c r="IDX43" s="149"/>
      <c r="IDY43" s="149"/>
      <c r="IDZ43" s="149"/>
      <c r="IEA43" s="149"/>
      <c r="IEB43" s="149"/>
      <c r="IEC43" s="149"/>
      <c r="IED43" s="149"/>
      <c r="IEE43" s="149"/>
      <c r="IEF43" s="149"/>
      <c r="IEG43" s="149"/>
      <c r="IEH43" s="149"/>
      <c r="IEI43" s="149"/>
      <c r="IEJ43" s="149"/>
      <c r="IEK43" s="149"/>
      <c r="IEL43" s="149"/>
      <c r="IEM43" s="149"/>
      <c r="IEN43" s="149"/>
      <c r="IEO43" s="149"/>
      <c r="IEP43" s="149"/>
      <c r="IEQ43" s="149"/>
      <c r="IER43" s="149"/>
      <c r="IES43" s="149"/>
      <c r="IET43" s="149"/>
      <c r="IEU43" s="149"/>
      <c r="IEV43" s="149"/>
      <c r="IEW43" s="149"/>
      <c r="IEX43" s="149"/>
      <c r="IEY43" s="149"/>
      <c r="IEZ43" s="149"/>
      <c r="IFA43" s="149"/>
      <c r="IFB43" s="149"/>
      <c r="IFC43" s="149"/>
      <c r="IFD43" s="149"/>
      <c r="IFE43" s="149"/>
      <c r="IFF43" s="149"/>
      <c r="IFG43" s="149"/>
      <c r="IFH43" s="149"/>
      <c r="IFI43" s="149"/>
      <c r="IFJ43" s="149"/>
      <c r="IFK43" s="149"/>
      <c r="IFL43" s="149"/>
      <c r="IFM43" s="149"/>
      <c r="IFN43" s="149"/>
      <c r="IFO43" s="149"/>
      <c r="IFP43" s="149"/>
      <c r="IFQ43" s="149"/>
      <c r="IFR43" s="149"/>
      <c r="IFS43" s="149"/>
      <c r="IFT43" s="149"/>
      <c r="IFU43" s="149"/>
      <c r="IFV43" s="149"/>
      <c r="IFW43" s="149"/>
      <c r="IFX43" s="149"/>
      <c r="IFY43" s="149"/>
      <c r="IFZ43" s="149"/>
      <c r="IGA43" s="149"/>
      <c r="IGB43" s="149"/>
      <c r="IGC43" s="149"/>
      <c r="IGD43" s="149"/>
      <c r="IGE43" s="149"/>
      <c r="IGF43" s="149"/>
      <c r="IGG43" s="149"/>
      <c r="IGH43" s="149"/>
      <c r="IGI43" s="149"/>
      <c r="IGJ43" s="149"/>
      <c r="IGK43" s="149"/>
      <c r="IGL43" s="149"/>
      <c r="IGM43" s="149"/>
      <c r="IGN43" s="149"/>
      <c r="IGO43" s="149"/>
      <c r="IGP43" s="149"/>
      <c r="IGQ43" s="149"/>
      <c r="IGR43" s="149"/>
      <c r="IGS43" s="149"/>
      <c r="IGT43" s="149"/>
      <c r="IGU43" s="149"/>
      <c r="IGV43" s="149"/>
      <c r="IGW43" s="149"/>
      <c r="IGX43" s="149"/>
      <c r="IGY43" s="149"/>
      <c r="IGZ43" s="149"/>
      <c r="IHA43" s="149"/>
      <c r="IHB43" s="149"/>
      <c r="IHC43" s="149"/>
      <c r="IHD43" s="149"/>
      <c r="IHE43" s="149"/>
      <c r="IHF43" s="149"/>
      <c r="IHG43" s="149"/>
      <c r="IHH43" s="149"/>
      <c r="IHI43" s="149"/>
      <c r="IHJ43" s="149"/>
      <c r="IHK43" s="149"/>
      <c r="IHL43" s="149"/>
      <c r="IHM43" s="149"/>
      <c r="IHN43" s="149"/>
      <c r="IHO43" s="149"/>
      <c r="IHP43" s="149"/>
      <c r="IHQ43" s="149"/>
      <c r="IHR43" s="149"/>
      <c r="IHS43" s="149"/>
      <c r="IHT43" s="149"/>
      <c r="IHU43" s="149"/>
      <c r="IHV43" s="149"/>
      <c r="IHW43" s="149"/>
      <c r="IHX43" s="149"/>
      <c r="IHY43" s="149"/>
      <c r="IHZ43" s="149"/>
      <c r="IIA43" s="149"/>
      <c r="IIB43" s="149"/>
      <c r="IIC43" s="149"/>
      <c r="IID43" s="149"/>
      <c r="IIE43" s="149"/>
      <c r="IIF43" s="149"/>
      <c r="IIG43" s="149"/>
      <c r="IIH43" s="149"/>
      <c r="III43" s="149"/>
      <c r="IIJ43" s="149"/>
      <c r="IIK43" s="149"/>
      <c r="IIL43" s="149"/>
      <c r="IIM43" s="149"/>
      <c r="IIN43" s="149"/>
      <c r="IIO43" s="149"/>
      <c r="IIP43" s="149"/>
      <c r="IIQ43" s="149"/>
      <c r="IIR43" s="149"/>
      <c r="IIS43" s="149"/>
      <c r="IIT43" s="149"/>
      <c r="IIU43" s="149"/>
      <c r="IIV43" s="149"/>
      <c r="IIW43" s="149"/>
      <c r="IIX43" s="149"/>
      <c r="IIY43" s="149"/>
      <c r="IIZ43" s="149"/>
      <c r="IJA43" s="149"/>
      <c r="IJB43" s="149"/>
      <c r="IJC43" s="149"/>
      <c r="IJD43" s="149"/>
      <c r="IJE43" s="149"/>
      <c r="IJF43" s="149"/>
      <c r="IJG43" s="149"/>
      <c r="IJH43" s="149"/>
      <c r="IJI43" s="149"/>
      <c r="IJJ43" s="149"/>
      <c r="IJK43" s="149"/>
      <c r="IJL43" s="149"/>
      <c r="IJM43" s="149"/>
      <c r="IJN43" s="149"/>
      <c r="IJO43" s="149"/>
      <c r="IJP43" s="149"/>
      <c r="IJQ43" s="149"/>
      <c r="IJR43" s="149"/>
      <c r="IJS43" s="149"/>
      <c r="IJT43" s="149"/>
      <c r="IJU43" s="149"/>
      <c r="IJV43" s="149"/>
      <c r="IJW43" s="149"/>
      <c r="IJX43" s="149"/>
      <c r="IJY43" s="149"/>
      <c r="IJZ43" s="149"/>
      <c r="IKA43" s="149"/>
      <c r="IKB43" s="149"/>
      <c r="IKC43" s="149"/>
      <c r="IKD43" s="149"/>
      <c r="IKE43" s="149"/>
      <c r="IKF43" s="149"/>
      <c r="IKG43" s="149"/>
      <c r="IKH43" s="149"/>
      <c r="IKI43" s="149"/>
      <c r="IKJ43" s="149"/>
      <c r="IKK43" s="149"/>
      <c r="IKL43" s="149"/>
      <c r="IKM43" s="149"/>
      <c r="IKN43" s="149"/>
      <c r="IKO43" s="149"/>
      <c r="IKP43" s="149"/>
      <c r="IKQ43" s="149"/>
      <c r="IKR43" s="149"/>
      <c r="IKS43" s="149"/>
      <c r="IKT43" s="149"/>
      <c r="IKU43" s="149"/>
      <c r="IKV43" s="149"/>
      <c r="IKW43" s="149"/>
      <c r="IKX43" s="149"/>
      <c r="IKY43" s="149"/>
      <c r="IKZ43" s="149"/>
      <c r="ILA43" s="149"/>
      <c r="ILB43" s="149"/>
      <c r="ILC43" s="149"/>
      <c r="ILD43" s="149"/>
      <c r="ILE43" s="149"/>
      <c r="ILF43" s="149"/>
      <c r="ILG43" s="149"/>
      <c r="ILH43" s="149"/>
      <c r="ILI43" s="149"/>
      <c r="ILJ43" s="149"/>
      <c r="ILK43" s="149"/>
      <c r="ILL43" s="149"/>
      <c r="ILM43" s="149"/>
      <c r="ILN43" s="149"/>
      <c r="ILO43" s="149"/>
      <c r="ILP43" s="149"/>
      <c r="ILQ43" s="149"/>
      <c r="ILR43" s="149"/>
      <c r="ILS43" s="149"/>
      <c r="ILT43" s="149"/>
      <c r="ILU43" s="149"/>
      <c r="ILV43" s="149"/>
      <c r="ILW43" s="149"/>
      <c r="ILX43" s="149"/>
      <c r="ILY43" s="149"/>
      <c r="ILZ43" s="149"/>
      <c r="IMA43" s="149"/>
      <c r="IMB43" s="149"/>
      <c r="IMC43" s="149"/>
      <c r="IMD43" s="149"/>
      <c r="IME43" s="149"/>
      <c r="IMF43" s="149"/>
      <c r="IMG43" s="149"/>
      <c r="IMH43" s="149"/>
      <c r="IMI43" s="149"/>
      <c r="IMJ43" s="149"/>
      <c r="IMK43" s="149"/>
      <c r="IML43" s="149"/>
      <c r="IMM43" s="149"/>
      <c r="IMN43" s="149"/>
      <c r="IMO43" s="149"/>
      <c r="IMP43" s="149"/>
      <c r="IMQ43" s="149"/>
      <c r="IMR43" s="149"/>
      <c r="IMS43" s="149"/>
      <c r="IMT43" s="149"/>
      <c r="IMU43" s="149"/>
      <c r="IMV43" s="149"/>
      <c r="IMW43" s="149"/>
      <c r="IMX43" s="149"/>
      <c r="IMY43" s="149"/>
      <c r="IMZ43" s="149"/>
      <c r="INA43" s="149"/>
      <c r="INB43" s="149"/>
      <c r="INC43" s="149"/>
      <c r="IND43" s="149"/>
      <c r="INE43" s="149"/>
      <c r="INF43" s="149"/>
      <c r="ING43" s="149"/>
      <c r="INH43" s="149"/>
      <c r="INI43" s="149"/>
      <c r="INJ43" s="149"/>
      <c r="INK43" s="149"/>
      <c r="INL43" s="149"/>
      <c r="INM43" s="149"/>
      <c r="INN43" s="149"/>
      <c r="INO43" s="149"/>
      <c r="INP43" s="149"/>
      <c r="INQ43" s="149"/>
      <c r="INR43" s="149"/>
      <c r="INS43" s="149"/>
      <c r="INT43" s="149"/>
      <c r="INU43" s="149"/>
      <c r="INV43" s="149"/>
      <c r="INW43" s="149"/>
      <c r="INX43" s="149"/>
      <c r="INY43" s="149"/>
      <c r="INZ43" s="149"/>
      <c r="IOA43" s="149"/>
      <c r="IOB43" s="149"/>
      <c r="IOC43" s="149"/>
      <c r="IOD43" s="149"/>
      <c r="IOE43" s="149"/>
      <c r="IOF43" s="149"/>
      <c r="IOG43" s="149"/>
      <c r="IOH43" s="149"/>
      <c r="IOI43" s="149"/>
      <c r="IOJ43" s="149"/>
      <c r="IOK43" s="149"/>
      <c r="IOL43" s="149"/>
      <c r="IOM43" s="149"/>
      <c r="ION43" s="149"/>
      <c r="IOO43" s="149"/>
      <c r="IOP43" s="149"/>
      <c r="IOQ43" s="149"/>
      <c r="IOR43" s="149"/>
      <c r="IOS43" s="149"/>
      <c r="IOT43" s="149"/>
      <c r="IOU43" s="149"/>
      <c r="IOV43" s="149"/>
      <c r="IOW43" s="149"/>
      <c r="IOX43" s="149"/>
      <c r="IOY43" s="149"/>
      <c r="IOZ43" s="149"/>
      <c r="IPA43" s="149"/>
      <c r="IPB43" s="149"/>
      <c r="IPC43" s="149"/>
      <c r="IPD43" s="149"/>
      <c r="IPE43" s="149"/>
      <c r="IPF43" s="149"/>
      <c r="IPG43" s="149"/>
      <c r="IPH43" s="149"/>
      <c r="IPI43" s="149"/>
      <c r="IPJ43" s="149"/>
      <c r="IPK43" s="149"/>
      <c r="IPL43" s="149"/>
      <c r="IPM43" s="149"/>
      <c r="IPN43" s="149"/>
      <c r="IPO43" s="149"/>
      <c r="IPP43" s="149"/>
      <c r="IPQ43" s="149"/>
      <c r="IPR43" s="149"/>
      <c r="IPS43" s="149"/>
      <c r="IPT43" s="149"/>
      <c r="IPU43" s="149"/>
      <c r="IPV43" s="149"/>
      <c r="IPW43" s="149"/>
      <c r="IPX43" s="149"/>
      <c r="IPY43" s="149"/>
      <c r="IPZ43" s="149"/>
      <c r="IQA43" s="149"/>
      <c r="IQB43" s="149"/>
      <c r="IQC43" s="149"/>
      <c r="IQD43" s="149"/>
      <c r="IQE43" s="149"/>
      <c r="IQF43" s="149"/>
      <c r="IQG43" s="149"/>
      <c r="IQH43" s="149"/>
      <c r="IQI43" s="149"/>
      <c r="IQJ43" s="149"/>
      <c r="IQK43" s="149"/>
      <c r="IQL43" s="149"/>
      <c r="IQM43" s="149"/>
      <c r="IQN43" s="149"/>
      <c r="IQO43" s="149"/>
      <c r="IQP43" s="149"/>
      <c r="IQQ43" s="149"/>
      <c r="IQR43" s="149"/>
      <c r="IQS43" s="149"/>
      <c r="IQT43" s="149"/>
      <c r="IQU43" s="149"/>
      <c r="IQV43" s="149"/>
      <c r="IQW43" s="149"/>
      <c r="IQX43" s="149"/>
      <c r="IQY43" s="149"/>
      <c r="IQZ43" s="149"/>
      <c r="IRA43" s="149"/>
      <c r="IRB43" s="149"/>
      <c r="IRC43" s="149"/>
      <c r="IRD43" s="149"/>
      <c r="IRE43" s="149"/>
      <c r="IRF43" s="149"/>
      <c r="IRG43" s="149"/>
      <c r="IRH43" s="149"/>
      <c r="IRI43" s="149"/>
      <c r="IRJ43" s="149"/>
      <c r="IRK43" s="149"/>
      <c r="IRL43" s="149"/>
      <c r="IRM43" s="149"/>
      <c r="IRN43" s="149"/>
      <c r="IRO43" s="149"/>
      <c r="IRP43" s="149"/>
      <c r="IRQ43" s="149"/>
      <c r="IRR43" s="149"/>
      <c r="IRS43" s="149"/>
      <c r="IRT43" s="149"/>
      <c r="IRU43" s="149"/>
      <c r="IRV43" s="149"/>
      <c r="IRW43" s="149"/>
      <c r="IRX43" s="149"/>
      <c r="IRY43" s="149"/>
      <c r="IRZ43" s="149"/>
      <c r="ISA43" s="149"/>
      <c r="ISB43" s="149"/>
      <c r="ISC43" s="149"/>
      <c r="ISD43" s="149"/>
      <c r="ISE43" s="149"/>
      <c r="ISF43" s="149"/>
      <c r="ISG43" s="149"/>
      <c r="ISH43" s="149"/>
      <c r="ISI43" s="149"/>
      <c r="ISJ43" s="149"/>
      <c r="ISK43" s="149"/>
      <c r="ISL43" s="149"/>
      <c r="ISM43" s="149"/>
      <c r="ISN43" s="149"/>
      <c r="ISO43" s="149"/>
      <c r="ISP43" s="149"/>
      <c r="ISQ43" s="149"/>
      <c r="ISR43" s="149"/>
      <c r="ISS43" s="149"/>
      <c r="IST43" s="149"/>
      <c r="ISU43" s="149"/>
      <c r="ISV43" s="149"/>
      <c r="ISW43" s="149"/>
      <c r="ISX43" s="149"/>
      <c r="ISY43" s="149"/>
      <c r="ISZ43" s="149"/>
      <c r="ITA43" s="149"/>
      <c r="ITB43" s="149"/>
      <c r="ITC43" s="149"/>
      <c r="ITD43" s="149"/>
      <c r="ITE43" s="149"/>
      <c r="ITF43" s="149"/>
      <c r="ITG43" s="149"/>
      <c r="ITH43" s="149"/>
      <c r="ITI43" s="149"/>
      <c r="ITJ43" s="149"/>
      <c r="ITK43" s="149"/>
      <c r="ITL43" s="149"/>
      <c r="ITM43" s="149"/>
      <c r="ITN43" s="149"/>
      <c r="ITO43" s="149"/>
      <c r="ITP43" s="149"/>
      <c r="ITQ43" s="149"/>
      <c r="ITR43" s="149"/>
      <c r="ITS43" s="149"/>
      <c r="ITT43" s="149"/>
      <c r="ITU43" s="149"/>
      <c r="ITV43" s="149"/>
      <c r="ITW43" s="149"/>
      <c r="ITX43" s="149"/>
      <c r="ITY43" s="149"/>
      <c r="ITZ43" s="149"/>
      <c r="IUA43" s="149"/>
      <c r="IUB43" s="149"/>
      <c r="IUC43" s="149"/>
      <c r="IUD43" s="149"/>
      <c r="IUE43" s="149"/>
      <c r="IUF43" s="149"/>
      <c r="IUG43" s="149"/>
      <c r="IUH43" s="149"/>
      <c r="IUI43" s="149"/>
      <c r="IUJ43" s="149"/>
      <c r="IUK43" s="149"/>
      <c r="IUL43" s="149"/>
      <c r="IUM43" s="149"/>
      <c r="IUN43" s="149"/>
      <c r="IUO43" s="149"/>
      <c r="IUP43" s="149"/>
      <c r="IUQ43" s="149"/>
      <c r="IUR43" s="149"/>
      <c r="IUS43" s="149"/>
      <c r="IUT43" s="149"/>
      <c r="IUU43" s="149"/>
      <c r="IUV43" s="149"/>
      <c r="IUW43" s="149"/>
      <c r="IUX43" s="149"/>
      <c r="IUY43" s="149"/>
      <c r="IUZ43" s="149"/>
      <c r="IVA43" s="149"/>
      <c r="IVB43" s="149"/>
      <c r="IVC43" s="149"/>
      <c r="IVD43" s="149"/>
      <c r="IVE43" s="149"/>
      <c r="IVF43" s="149"/>
      <c r="IVG43" s="149"/>
      <c r="IVH43" s="149"/>
      <c r="IVI43" s="149"/>
      <c r="IVJ43" s="149"/>
      <c r="IVK43" s="149"/>
      <c r="IVL43" s="149"/>
      <c r="IVM43" s="149"/>
      <c r="IVN43" s="149"/>
      <c r="IVO43" s="149"/>
      <c r="IVP43" s="149"/>
      <c r="IVQ43" s="149"/>
      <c r="IVR43" s="149"/>
      <c r="IVS43" s="149"/>
      <c r="IVT43" s="149"/>
      <c r="IVU43" s="149"/>
      <c r="IVV43" s="149"/>
      <c r="IVW43" s="149"/>
      <c r="IVX43" s="149"/>
      <c r="IVY43" s="149"/>
      <c r="IVZ43" s="149"/>
      <c r="IWA43" s="149"/>
      <c r="IWB43" s="149"/>
      <c r="IWC43" s="149"/>
      <c r="IWD43" s="149"/>
      <c r="IWE43" s="149"/>
      <c r="IWF43" s="149"/>
      <c r="IWG43" s="149"/>
      <c r="IWH43" s="149"/>
      <c r="IWI43" s="149"/>
      <c r="IWJ43" s="149"/>
      <c r="IWK43" s="149"/>
      <c r="IWL43" s="149"/>
      <c r="IWM43" s="149"/>
      <c r="IWN43" s="149"/>
      <c r="IWO43" s="149"/>
      <c r="IWP43" s="149"/>
      <c r="IWQ43" s="149"/>
      <c r="IWR43" s="149"/>
      <c r="IWS43" s="149"/>
      <c r="IWT43" s="149"/>
      <c r="IWU43" s="149"/>
      <c r="IWV43" s="149"/>
      <c r="IWW43" s="149"/>
      <c r="IWX43" s="149"/>
      <c r="IWY43" s="149"/>
      <c r="IWZ43" s="149"/>
      <c r="IXA43" s="149"/>
      <c r="IXB43" s="149"/>
      <c r="IXC43" s="149"/>
      <c r="IXD43" s="149"/>
      <c r="IXE43" s="149"/>
      <c r="IXF43" s="149"/>
      <c r="IXG43" s="149"/>
      <c r="IXH43" s="149"/>
      <c r="IXI43" s="149"/>
      <c r="IXJ43" s="149"/>
      <c r="IXK43" s="149"/>
      <c r="IXL43" s="149"/>
      <c r="IXM43" s="149"/>
      <c r="IXN43" s="149"/>
      <c r="IXO43" s="149"/>
      <c r="IXP43" s="149"/>
      <c r="IXQ43" s="149"/>
      <c r="IXR43" s="149"/>
      <c r="IXS43" s="149"/>
      <c r="IXT43" s="149"/>
      <c r="IXU43" s="149"/>
      <c r="IXV43" s="149"/>
      <c r="IXW43" s="149"/>
      <c r="IXX43" s="149"/>
      <c r="IXY43" s="149"/>
      <c r="IXZ43" s="149"/>
      <c r="IYA43" s="149"/>
      <c r="IYB43" s="149"/>
      <c r="IYC43" s="149"/>
      <c r="IYD43" s="149"/>
      <c r="IYE43" s="149"/>
      <c r="IYF43" s="149"/>
      <c r="IYG43" s="149"/>
      <c r="IYH43" s="149"/>
      <c r="IYI43" s="149"/>
      <c r="IYJ43" s="149"/>
      <c r="IYK43" s="149"/>
      <c r="IYL43" s="149"/>
      <c r="IYM43" s="149"/>
      <c r="IYN43" s="149"/>
      <c r="IYO43" s="149"/>
      <c r="IYP43" s="149"/>
      <c r="IYQ43" s="149"/>
      <c r="IYR43" s="149"/>
      <c r="IYS43" s="149"/>
      <c r="IYT43" s="149"/>
      <c r="IYU43" s="149"/>
      <c r="IYV43" s="149"/>
      <c r="IYW43" s="149"/>
      <c r="IYX43" s="149"/>
      <c r="IYY43" s="149"/>
      <c r="IYZ43" s="149"/>
      <c r="IZA43" s="149"/>
      <c r="IZB43" s="149"/>
      <c r="IZC43" s="149"/>
      <c r="IZD43" s="149"/>
      <c r="IZE43" s="149"/>
      <c r="IZF43" s="149"/>
      <c r="IZG43" s="149"/>
      <c r="IZH43" s="149"/>
      <c r="IZI43" s="149"/>
      <c r="IZJ43" s="149"/>
      <c r="IZK43" s="149"/>
      <c r="IZL43" s="149"/>
      <c r="IZM43" s="149"/>
      <c r="IZN43" s="149"/>
      <c r="IZO43" s="149"/>
      <c r="IZP43" s="149"/>
      <c r="IZQ43" s="149"/>
      <c r="IZR43" s="149"/>
      <c r="IZS43" s="149"/>
      <c r="IZT43" s="149"/>
      <c r="IZU43" s="149"/>
      <c r="IZV43" s="149"/>
      <c r="IZW43" s="149"/>
      <c r="IZX43" s="149"/>
      <c r="IZY43" s="149"/>
      <c r="IZZ43" s="149"/>
      <c r="JAA43" s="149"/>
      <c r="JAB43" s="149"/>
      <c r="JAC43" s="149"/>
      <c r="JAD43" s="149"/>
      <c r="JAE43" s="149"/>
      <c r="JAF43" s="149"/>
      <c r="JAG43" s="149"/>
      <c r="JAH43" s="149"/>
      <c r="JAI43" s="149"/>
      <c r="JAJ43" s="149"/>
      <c r="JAK43" s="149"/>
      <c r="JAL43" s="149"/>
      <c r="JAM43" s="149"/>
      <c r="JAN43" s="149"/>
      <c r="JAO43" s="149"/>
      <c r="JAP43" s="149"/>
      <c r="JAQ43" s="149"/>
      <c r="JAR43" s="149"/>
      <c r="JAS43" s="149"/>
      <c r="JAT43" s="149"/>
      <c r="JAU43" s="149"/>
      <c r="JAV43" s="149"/>
      <c r="JAW43" s="149"/>
      <c r="JAX43" s="149"/>
      <c r="JAY43" s="149"/>
      <c r="JAZ43" s="149"/>
      <c r="JBA43" s="149"/>
      <c r="JBB43" s="149"/>
      <c r="JBC43" s="149"/>
      <c r="JBD43" s="149"/>
      <c r="JBE43" s="149"/>
      <c r="JBF43" s="149"/>
      <c r="JBG43" s="149"/>
      <c r="JBH43" s="149"/>
      <c r="JBI43" s="149"/>
      <c r="JBJ43" s="149"/>
      <c r="JBK43" s="149"/>
      <c r="JBL43" s="149"/>
      <c r="JBM43" s="149"/>
      <c r="JBN43" s="149"/>
      <c r="JBO43" s="149"/>
      <c r="JBP43" s="149"/>
      <c r="JBQ43" s="149"/>
      <c r="JBR43" s="149"/>
      <c r="JBS43" s="149"/>
      <c r="JBT43" s="149"/>
      <c r="JBU43" s="149"/>
      <c r="JBV43" s="149"/>
      <c r="JBW43" s="149"/>
      <c r="JBX43" s="149"/>
      <c r="JBY43" s="149"/>
      <c r="JBZ43" s="149"/>
      <c r="JCA43" s="149"/>
      <c r="JCB43" s="149"/>
      <c r="JCC43" s="149"/>
      <c r="JCD43" s="149"/>
      <c r="JCE43" s="149"/>
      <c r="JCF43" s="149"/>
      <c r="JCG43" s="149"/>
      <c r="JCH43" s="149"/>
      <c r="JCI43" s="149"/>
      <c r="JCJ43" s="149"/>
      <c r="JCK43" s="149"/>
      <c r="JCL43" s="149"/>
      <c r="JCM43" s="149"/>
      <c r="JCN43" s="149"/>
      <c r="JCO43" s="149"/>
      <c r="JCP43" s="149"/>
      <c r="JCQ43" s="149"/>
      <c r="JCR43" s="149"/>
      <c r="JCS43" s="149"/>
      <c r="JCT43" s="149"/>
      <c r="JCU43" s="149"/>
      <c r="JCV43" s="149"/>
      <c r="JCW43" s="149"/>
      <c r="JCX43" s="149"/>
      <c r="JCY43" s="149"/>
      <c r="JCZ43" s="149"/>
      <c r="JDA43" s="149"/>
      <c r="JDB43" s="149"/>
      <c r="JDC43" s="149"/>
      <c r="JDD43" s="149"/>
      <c r="JDE43" s="149"/>
      <c r="JDF43" s="149"/>
      <c r="JDG43" s="149"/>
      <c r="JDH43" s="149"/>
      <c r="JDI43" s="149"/>
      <c r="JDJ43" s="149"/>
      <c r="JDK43" s="149"/>
      <c r="JDL43" s="149"/>
      <c r="JDM43" s="149"/>
      <c r="JDN43" s="149"/>
      <c r="JDO43" s="149"/>
      <c r="JDP43" s="149"/>
      <c r="JDQ43" s="149"/>
      <c r="JDR43" s="149"/>
      <c r="JDS43" s="149"/>
      <c r="JDT43" s="149"/>
      <c r="JDU43" s="149"/>
      <c r="JDV43" s="149"/>
      <c r="JDW43" s="149"/>
      <c r="JDX43" s="149"/>
      <c r="JDY43" s="149"/>
      <c r="JDZ43" s="149"/>
      <c r="JEA43" s="149"/>
      <c r="JEB43" s="149"/>
      <c r="JEC43" s="149"/>
      <c r="JED43" s="149"/>
      <c r="JEE43" s="149"/>
      <c r="JEF43" s="149"/>
      <c r="JEG43" s="149"/>
      <c r="JEH43" s="149"/>
      <c r="JEI43" s="149"/>
      <c r="JEJ43" s="149"/>
      <c r="JEK43" s="149"/>
      <c r="JEL43" s="149"/>
      <c r="JEM43" s="149"/>
      <c r="JEN43" s="149"/>
      <c r="JEO43" s="149"/>
      <c r="JEP43" s="149"/>
      <c r="JEQ43" s="149"/>
      <c r="JER43" s="149"/>
      <c r="JES43" s="149"/>
      <c r="JET43" s="149"/>
      <c r="JEU43" s="149"/>
      <c r="JEV43" s="149"/>
      <c r="JEW43" s="149"/>
      <c r="JEX43" s="149"/>
      <c r="JEY43" s="149"/>
      <c r="JEZ43" s="149"/>
      <c r="JFA43" s="149"/>
      <c r="JFB43" s="149"/>
      <c r="JFC43" s="149"/>
      <c r="JFD43" s="149"/>
      <c r="JFE43" s="149"/>
      <c r="JFF43" s="149"/>
      <c r="JFG43" s="149"/>
      <c r="JFH43" s="149"/>
      <c r="JFI43" s="149"/>
      <c r="JFJ43" s="149"/>
      <c r="JFK43" s="149"/>
      <c r="JFL43" s="149"/>
      <c r="JFM43" s="149"/>
      <c r="JFN43" s="149"/>
      <c r="JFO43" s="149"/>
      <c r="JFP43" s="149"/>
      <c r="JFQ43" s="149"/>
      <c r="JFR43" s="149"/>
      <c r="JFS43" s="149"/>
      <c r="JFT43" s="149"/>
      <c r="JFU43" s="149"/>
      <c r="JFV43" s="149"/>
      <c r="JFW43" s="149"/>
      <c r="JFX43" s="149"/>
      <c r="JFY43" s="149"/>
      <c r="JFZ43" s="149"/>
      <c r="JGA43" s="149"/>
      <c r="JGB43" s="149"/>
      <c r="JGC43" s="149"/>
      <c r="JGD43" s="149"/>
      <c r="JGE43" s="149"/>
      <c r="JGF43" s="149"/>
      <c r="JGG43" s="149"/>
      <c r="JGH43" s="149"/>
      <c r="JGI43" s="149"/>
      <c r="JGJ43" s="149"/>
      <c r="JGK43" s="149"/>
      <c r="JGL43" s="149"/>
      <c r="JGM43" s="149"/>
      <c r="JGN43" s="149"/>
      <c r="JGO43" s="149"/>
      <c r="JGP43" s="149"/>
      <c r="JGQ43" s="149"/>
      <c r="JGR43" s="149"/>
      <c r="JGS43" s="149"/>
      <c r="JGT43" s="149"/>
      <c r="JGU43" s="149"/>
      <c r="JGV43" s="149"/>
      <c r="JGW43" s="149"/>
      <c r="JGX43" s="149"/>
      <c r="JGY43" s="149"/>
      <c r="JGZ43" s="149"/>
      <c r="JHA43" s="149"/>
      <c r="JHB43" s="149"/>
      <c r="JHC43" s="149"/>
      <c r="JHD43" s="149"/>
      <c r="JHE43" s="149"/>
      <c r="JHF43" s="149"/>
      <c r="JHG43" s="149"/>
      <c r="JHH43" s="149"/>
      <c r="JHI43" s="149"/>
      <c r="JHJ43" s="149"/>
      <c r="JHK43" s="149"/>
      <c r="JHL43" s="149"/>
      <c r="JHM43" s="149"/>
      <c r="JHN43" s="149"/>
      <c r="JHO43" s="149"/>
      <c r="JHP43" s="149"/>
      <c r="JHQ43" s="149"/>
      <c r="JHR43" s="149"/>
      <c r="JHS43" s="149"/>
      <c r="JHT43" s="149"/>
      <c r="JHU43" s="149"/>
      <c r="JHV43" s="149"/>
      <c r="JHW43" s="149"/>
      <c r="JHX43" s="149"/>
      <c r="JHY43" s="149"/>
      <c r="JHZ43" s="149"/>
      <c r="JIA43" s="149"/>
      <c r="JIB43" s="149"/>
      <c r="JIC43" s="149"/>
      <c r="JID43" s="149"/>
      <c r="JIE43" s="149"/>
      <c r="JIF43" s="149"/>
      <c r="JIG43" s="149"/>
      <c r="JIH43" s="149"/>
      <c r="JII43" s="149"/>
      <c r="JIJ43" s="149"/>
      <c r="JIK43" s="149"/>
      <c r="JIL43" s="149"/>
      <c r="JIM43" s="149"/>
      <c r="JIN43" s="149"/>
      <c r="JIO43" s="149"/>
      <c r="JIP43" s="149"/>
      <c r="JIQ43" s="149"/>
      <c r="JIR43" s="149"/>
      <c r="JIS43" s="149"/>
      <c r="JIT43" s="149"/>
      <c r="JIU43" s="149"/>
      <c r="JIV43" s="149"/>
      <c r="JIW43" s="149"/>
      <c r="JIX43" s="149"/>
      <c r="JIY43" s="149"/>
      <c r="JIZ43" s="149"/>
      <c r="JJA43" s="149"/>
      <c r="JJB43" s="149"/>
      <c r="JJC43" s="149"/>
      <c r="JJD43" s="149"/>
      <c r="JJE43" s="149"/>
      <c r="JJF43" s="149"/>
      <c r="JJG43" s="149"/>
      <c r="JJH43" s="149"/>
      <c r="JJI43" s="149"/>
      <c r="JJJ43" s="149"/>
      <c r="JJK43" s="149"/>
      <c r="JJL43" s="149"/>
      <c r="JJM43" s="149"/>
      <c r="JJN43" s="149"/>
      <c r="JJO43" s="149"/>
      <c r="JJP43" s="149"/>
      <c r="JJQ43" s="149"/>
      <c r="JJR43" s="149"/>
      <c r="JJS43" s="149"/>
      <c r="JJT43" s="149"/>
      <c r="JJU43" s="149"/>
      <c r="JJV43" s="149"/>
      <c r="JJW43" s="149"/>
      <c r="JJX43" s="149"/>
      <c r="JJY43" s="149"/>
      <c r="JJZ43" s="149"/>
      <c r="JKA43" s="149"/>
      <c r="JKB43" s="149"/>
      <c r="JKC43" s="149"/>
      <c r="JKD43" s="149"/>
      <c r="JKE43" s="149"/>
      <c r="JKF43" s="149"/>
      <c r="JKG43" s="149"/>
      <c r="JKH43" s="149"/>
      <c r="JKI43" s="149"/>
      <c r="JKJ43" s="149"/>
      <c r="JKK43" s="149"/>
      <c r="JKL43" s="149"/>
      <c r="JKM43" s="149"/>
      <c r="JKN43" s="149"/>
      <c r="JKO43" s="149"/>
      <c r="JKP43" s="149"/>
      <c r="JKQ43" s="149"/>
      <c r="JKR43" s="149"/>
      <c r="JKS43" s="149"/>
      <c r="JKT43" s="149"/>
      <c r="JKU43" s="149"/>
      <c r="JKV43" s="149"/>
      <c r="JKW43" s="149"/>
      <c r="JKX43" s="149"/>
      <c r="JKY43" s="149"/>
      <c r="JKZ43" s="149"/>
      <c r="JLA43" s="149"/>
      <c r="JLB43" s="149"/>
      <c r="JLC43" s="149"/>
      <c r="JLD43" s="149"/>
      <c r="JLE43" s="149"/>
      <c r="JLF43" s="149"/>
      <c r="JLG43" s="149"/>
      <c r="JLH43" s="149"/>
      <c r="JLI43" s="149"/>
      <c r="JLJ43" s="149"/>
      <c r="JLK43" s="149"/>
      <c r="JLL43" s="149"/>
      <c r="JLM43" s="149"/>
      <c r="JLN43" s="149"/>
      <c r="JLO43" s="149"/>
      <c r="JLP43" s="149"/>
      <c r="JLQ43" s="149"/>
      <c r="JLR43" s="149"/>
      <c r="JLS43" s="149"/>
      <c r="JLT43" s="149"/>
      <c r="JLU43" s="149"/>
      <c r="JLV43" s="149"/>
      <c r="JLW43" s="149"/>
      <c r="JLX43" s="149"/>
      <c r="JLY43" s="149"/>
      <c r="JLZ43" s="149"/>
      <c r="JMA43" s="149"/>
      <c r="JMB43" s="149"/>
      <c r="JMC43" s="149"/>
      <c r="JMD43" s="149"/>
      <c r="JME43" s="149"/>
      <c r="JMF43" s="149"/>
      <c r="JMG43" s="149"/>
      <c r="JMH43" s="149"/>
      <c r="JMI43" s="149"/>
      <c r="JMJ43" s="149"/>
      <c r="JMK43" s="149"/>
      <c r="JML43" s="149"/>
      <c r="JMM43" s="149"/>
      <c r="JMN43" s="149"/>
      <c r="JMO43" s="149"/>
      <c r="JMP43" s="149"/>
      <c r="JMQ43" s="149"/>
      <c r="JMR43" s="149"/>
      <c r="JMS43" s="149"/>
      <c r="JMT43" s="149"/>
      <c r="JMU43" s="149"/>
      <c r="JMV43" s="149"/>
      <c r="JMW43" s="149"/>
      <c r="JMX43" s="149"/>
      <c r="JMY43" s="149"/>
      <c r="JMZ43" s="149"/>
      <c r="JNA43" s="149"/>
      <c r="JNB43" s="149"/>
      <c r="JNC43" s="149"/>
      <c r="JND43" s="149"/>
      <c r="JNE43" s="149"/>
      <c r="JNF43" s="149"/>
      <c r="JNG43" s="149"/>
      <c r="JNH43" s="149"/>
      <c r="JNI43" s="149"/>
      <c r="JNJ43" s="149"/>
      <c r="JNK43" s="149"/>
      <c r="JNL43" s="149"/>
      <c r="JNM43" s="149"/>
      <c r="JNN43" s="149"/>
      <c r="JNO43" s="149"/>
      <c r="JNP43" s="149"/>
      <c r="JNQ43" s="149"/>
      <c r="JNR43" s="149"/>
      <c r="JNS43" s="149"/>
      <c r="JNT43" s="149"/>
      <c r="JNU43" s="149"/>
      <c r="JNV43" s="149"/>
      <c r="JNW43" s="149"/>
      <c r="JNX43" s="149"/>
      <c r="JNY43" s="149"/>
      <c r="JNZ43" s="149"/>
      <c r="JOA43" s="149"/>
      <c r="JOB43" s="149"/>
      <c r="JOC43" s="149"/>
      <c r="JOD43" s="149"/>
      <c r="JOE43" s="149"/>
      <c r="JOF43" s="149"/>
      <c r="JOG43" s="149"/>
      <c r="JOH43" s="149"/>
      <c r="JOI43" s="149"/>
      <c r="JOJ43" s="149"/>
      <c r="JOK43" s="149"/>
      <c r="JOL43" s="149"/>
      <c r="JOM43" s="149"/>
      <c r="JON43" s="149"/>
      <c r="JOO43" s="149"/>
      <c r="JOP43" s="149"/>
      <c r="JOQ43" s="149"/>
      <c r="JOR43" s="149"/>
      <c r="JOS43" s="149"/>
      <c r="JOT43" s="149"/>
      <c r="JOU43" s="149"/>
      <c r="JOV43" s="149"/>
      <c r="JOW43" s="149"/>
      <c r="JOX43" s="149"/>
      <c r="JOY43" s="149"/>
      <c r="JOZ43" s="149"/>
      <c r="JPA43" s="149"/>
      <c r="JPB43" s="149"/>
      <c r="JPC43" s="149"/>
      <c r="JPD43" s="149"/>
      <c r="JPE43" s="149"/>
      <c r="JPF43" s="149"/>
      <c r="JPG43" s="149"/>
      <c r="JPH43" s="149"/>
      <c r="JPI43" s="149"/>
      <c r="JPJ43" s="149"/>
      <c r="JPK43" s="149"/>
      <c r="JPL43" s="149"/>
      <c r="JPM43" s="149"/>
      <c r="JPN43" s="149"/>
      <c r="JPO43" s="149"/>
      <c r="JPP43" s="149"/>
      <c r="JPQ43" s="149"/>
      <c r="JPR43" s="149"/>
      <c r="JPS43" s="149"/>
      <c r="JPT43" s="149"/>
      <c r="JPU43" s="149"/>
      <c r="JPV43" s="149"/>
      <c r="JPW43" s="149"/>
      <c r="JPX43" s="149"/>
      <c r="JPY43" s="149"/>
      <c r="JPZ43" s="149"/>
      <c r="JQA43" s="149"/>
      <c r="JQB43" s="149"/>
      <c r="JQC43" s="149"/>
      <c r="JQD43" s="149"/>
      <c r="JQE43" s="149"/>
      <c r="JQF43" s="149"/>
      <c r="JQG43" s="149"/>
      <c r="JQH43" s="149"/>
      <c r="JQI43" s="149"/>
      <c r="JQJ43" s="149"/>
      <c r="JQK43" s="149"/>
      <c r="JQL43" s="149"/>
      <c r="JQM43" s="149"/>
      <c r="JQN43" s="149"/>
      <c r="JQO43" s="149"/>
      <c r="JQP43" s="149"/>
      <c r="JQQ43" s="149"/>
      <c r="JQR43" s="149"/>
      <c r="JQS43" s="149"/>
      <c r="JQT43" s="149"/>
      <c r="JQU43" s="149"/>
      <c r="JQV43" s="149"/>
      <c r="JQW43" s="149"/>
      <c r="JQX43" s="149"/>
      <c r="JQY43" s="149"/>
      <c r="JQZ43" s="149"/>
      <c r="JRA43" s="149"/>
      <c r="JRB43" s="149"/>
      <c r="JRC43" s="149"/>
      <c r="JRD43" s="149"/>
      <c r="JRE43" s="149"/>
      <c r="JRF43" s="149"/>
      <c r="JRG43" s="149"/>
      <c r="JRH43" s="149"/>
      <c r="JRI43" s="149"/>
      <c r="JRJ43" s="149"/>
      <c r="JRK43" s="149"/>
      <c r="JRL43" s="149"/>
      <c r="JRM43" s="149"/>
      <c r="JRN43" s="149"/>
      <c r="JRO43" s="149"/>
      <c r="JRP43" s="149"/>
      <c r="JRQ43" s="149"/>
      <c r="JRR43" s="149"/>
      <c r="JRS43" s="149"/>
      <c r="JRT43" s="149"/>
      <c r="JRU43" s="149"/>
      <c r="JRV43" s="149"/>
      <c r="JRW43" s="149"/>
      <c r="JRX43" s="149"/>
      <c r="JRY43" s="149"/>
      <c r="JRZ43" s="149"/>
      <c r="JSA43" s="149"/>
      <c r="JSB43" s="149"/>
      <c r="JSC43" s="149"/>
      <c r="JSD43" s="149"/>
      <c r="JSE43" s="149"/>
      <c r="JSF43" s="149"/>
      <c r="JSG43" s="149"/>
      <c r="JSH43" s="149"/>
      <c r="JSI43" s="149"/>
      <c r="JSJ43" s="149"/>
      <c r="JSK43" s="149"/>
      <c r="JSL43" s="149"/>
      <c r="JSM43" s="149"/>
      <c r="JSN43" s="149"/>
      <c r="JSO43" s="149"/>
      <c r="JSP43" s="149"/>
      <c r="JSQ43" s="149"/>
      <c r="JSR43" s="149"/>
      <c r="JSS43" s="149"/>
      <c r="JST43" s="149"/>
      <c r="JSU43" s="149"/>
      <c r="JSV43" s="149"/>
      <c r="JSW43" s="149"/>
      <c r="JSX43" s="149"/>
      <c r="JSY43" s="149"/>
      <c r="JSZ43" s="149"/>
      <c r="JTA43" s="149"/>
      <c r="JTB43" s="149"/>
      <c r="JTC43" s="149"/>
      <c r="JTD43" s="149"/>
      <c r="JTE43" s="149"/>
      <c r="JTF43" s="149"/>
      <c r="JTG43" s="149"/>
      <c r="JTH43" s="149"/>
      <c r="JTI43" s="149"/>
      <c r="JTJ43" s="149"/>
      <c r="JTK43" s="149"/>
      <c r="JTL43" s="149"/>
      <c r="JTM43" s="149"/>
      <c r="JTN43" s="149"/>
      <c r="JTO43" s="149"/>
      <c r="JTP43" s="149"/>
      <c r="JTQ43" s="149"/>
      <c r="JTR43" s="149"/>
      <c r="JTS43" s="149"/>
      <c r="JTT43" s="149"/>
      <c r="JTU43" s="149"/>
      <c r="JTV43" s="149"/>
      <c r="JTW43" s="149"/>
      <c r="JTX43" s="149"/>
      <c r="JTY43" s="149"/>
      <c r="JTZ43" s="149"/>
      <c r="JUA43" s="149"/>
      <c r="JUB43" s="149"/>
      <c r="JUC43" s="149"/>
      <c r="JUD43" s="149"/>
      <c r="JUE43" s="149"/>
      <c r="JUF43" s="149"/>
      <c r="JUG43" s="149"/>
      <c r="JUH43" s="149"/>
      <c r="JUI43" s="149"/>
      <c r="JUJ43" s="149"/>
      <c r="JUK43" s="149"/>
      <c r="JUL43" s="149"/>
      <c r="JUM43" s="149"/>
      <c r="JUN43" s="149"/>
      <c r="JUO43" s="149"/>
      <c r="JUP43" s="149"/>
      <c r="JUQ43" s="149"/>
      <c r="JUR43" s="149"/>
      <c r="JUS43" s="149"/>
      <c r="JUT43" s="149"/>
      <c r="JUU43" s="149"/>
      <c r="JUV43" s="149"/>
      <c r="JUW43" s="149"/>
      <c r="JUX43" s="149"/>
      <c r="JUY43" s="149"/>
      <c r="JUZ43" s="149"/>
      <c r="JVA43" s="149"/>
      <c r="JVB43" s="149"/>
      <c r="JVC43" s="149"/>
      <c r="JVD43" s="149"/>
      <c r="JVE43" s="149"/>
      <c r="JVF43" s="149"/>
      <c r="JVG43" s="149"/>
      <c r="JVH43" s="149"/>
      <c r="JVI43" s="149"/>
      <c r="JVJ43" s="149"/>
      <c r="JVK43" s="149"/>
      <c r="JVL43" s="149"/>
      <c r="JVM43" s="149"/>
      <c r="JVN43" s="149"/>
      <c r="JVO43" s="149"/>
      <c r="JVP43" s="149"/>
      <c r="JVQ43" s="149"/>
      <c r="JVR43" s="149"/>
      <c r="JVS43" s="149"/>
      <c r="JVT43" s="149"/>
      <c r="JVU43" s="149"/>
      <c r="JVV43" s="149"/>
      <c r="JVW43" s="149"/>
      <c r="JVX43" s="149"/>
      <c r="JVY43" s="149"/>
      <c r="JVZ43" s="149"/>
      <c r="JWA43" s="149"/>
      <c r="JWB43" s="149"/>
      <c r="JWC43" s="149"/>
      <c r="JWD43" s="149"/>
      <c r="JWE43" s="149"/>
      <c r="JWF43" s="149"/>
      <c r="JWG43" s="149"/>
      <c r="JWH43" s="149"/>
      <c r="JWI43" s="149"/>
      <c r="JWJ43" s="149"/>
      <c r="JWK43" s="149"/>
      <c r="JWL43" s="149"/>
      <c r="JWM43" s="149"/>
      <c r="JWN43" s="149"/>
      <c r="JWO43" s="149"/>
      <c r="JWP43" s="149"/>
      <c r="JWQ43" s="149"/>
      <c r="JWR43" s="149"/>
      <c r="JWS43" s="149"/>
      <c r="JWT43" s="149"/>
      <c r="JWU43" s="149"/>
      <c r="JWV43" s="149"/>
      <c r="JWW43" s="149"/>
      <c r="JWX43" s="149"/>
      <c r="JWY43" s="149"/>
      <c r="JWZ43" s="149"/>
      <c r="JXA43" s="149"/>
      <c r="JXB43" s="149"/>
      <c r="JXC43" s="149"/>
      <c r="JXD43" s="149"/>
      <c r="JXE43" s="149"/>
      <c r="JXF43" s="149"/>
      <c r="JXG43" s="149"/>
      <c r="JXH43" s="149"/>
      <c r="JXI43" s="149"/>
      <c r="JXJ43" s="149"/>
      <c r="JXK43" s="149"/>
      <c r="JXL43" s="149"/>
      <c r="JXM43" s="149"/>
      <c r="JXN43" s="149"/>
      <c r="JXO43" s="149"/>
      <c r="JXP43" s="149"/>
      <c r="JXQ43" s="149"/>
      <c r="JXR43" s="149"/>
      <c r="JXS43" s="149"/>
      <c r="JXT43" s="149"/>
      <c r="JXU43" s="149"/>
      <c r="JXV43" s="149"/>
      <c r="JXW43" s="149"/>
      <c r="JXX43" s="149"/>
      <c r="JXY43" s="149"/>
      <c r="JXZ43" s="149"/>
      <c r="JYA43" s="149"/>
      <c r="JYB43" s="149"/>
      <c r="JYC43" s="149"/>
      <c r="JYD43" s="149"/>
      <c r="JYE43" s="149"/>
      <c r="JYF43" s="149"/>
      <c r="JYG43" s="149"/>
      <c r="JYH43" s="149"/>
      <c r="JYI43" s="149"/>
      <c r="JYJ43" s="149"/>
      <c r="JYK43" s="149"/>
      <c r="JYL43" s="149"/>
      <c r="JYM43" s="149"/>
      <c r="JYN43" s="149"/>
      <c r="JYO43" s="149"/>
      <c r="JYP43" s="149"/>
      <c r="JYQ43" s="149"/>
      <c r="JYR43" s="149"/>
      <c r="JYS43" s="149"/>
      <c r="JYT43" s="149"/>
      <c r="JYU43" s="149"/>
      <c r="JYV43" s="149"/>
      <c r="JYW43" s="149"/>
      <c r="JYX43" s="149"/>
      <c r="JYY43" s="149"/>
      <c r="JYZ43" s="149"/>
      <c r="JZA43" s="149"/>
      <c r="JZB43" s="149"/>
      <c r="JZC43" s="149"/>
      <c r="JZD43" s="149"/>
      <c r="JZE43" s="149"/>
      <c r="JZF43" s="149"/>
      <c r="JZG43" s="149"/>
      <c r="JZH43" s="149"/>
      <c r="JZI43" s="149"/>
      <c r="JZJ43" s="149"/>
      <c r="JZK43" s="149"/>
      <c r="JZL43" s="149"/>
      <c r="JZM43" s="149"/>
      <c r="JZN43" s="149"/>
      <c r="JZO43" s="149"/>
      <c r="JZP43" s="149"/>
      <c r="JZQ43" s="149"/>
      <c r="JZR43" s="149"/>
      <c r="JZS43" s="149"/>
      <c r="JZT43" s="149"/>
      <c r="JZU43" s="149"/>
      <c r="JZV43" s="149"/>
      <c r="JZW43" s="149"/>
      <c r="JZX43" s="149"/>
      <c r="JZY43" s="149"/>
      <c r="JZZ43" s="149"/>
      <c r="KAA43" s="149"/>
      <c r="KAB43" s="149"/>
      <c r="KAC43" s="149"/>
      <c r="KAD43" s="149"/>
      <c r="KAE43" s="149"/>
      <c r="KAF43" s="149"/>
      <c r="KAG43" s="149"/>
      <c r="KAH43" s="149"/>
      <c r="KAI43" s="149"/>
      <c r="KAJ43" s="149"/>
      <c r="KAK43" s="149"/>
      <c r="KAL43" s="149"/>
      <c r="KAM43" s="149"/>
      <c r="KAN43" s="149"/>
      <c r="KAO43" s="149"/>
      <c r="KAP43" s="149"/>
      <c r="KAQ43" s="149"/>
      <c r="KAR43" s="149"/>
      <c r="KAS43" s="149"/>
      <c r="KAT43" s="149"/>
      <c r="KAU43" s="149"/>
      <c r="KAV43" s="149"/>
      <c r="KAW43" s="149"/>
      <c r="KAX43" s="149"/>
      <c r="KAY43" s="149"/>
      <c r="KAZ43" s="149"/>
      <c r="KBA43" s="149"/>
      <c r="KBB43" s="149"/>
      <c r="KBC43" s="149"/>
      <c r="KBD43" s="149"/>
      <c r="KBE43" s="149"/>
      <c r="KBF43" s="149"/>
      <c r="KBG43" s="149"/>
      <c r="KBH43" s="149"/>
      <c r="KBI43" s="149"/>
      <c r="KBJ43" s="149"/>
      <c r="KBK43" s="149"/>
      <c r="KBL43" s="149"/>
      <c r="KBM43" s="149"/>
      <c r="KBN43" s="149"/>
      <c r="KBO43" s="149"/>
      <c r="KBP43" s="149"/>
      <c r="KBQ43" s="149"/>
      <c r="KBR43" s="149"/>
      <c r="KBS43" s="149"/>
      <c r="KBT43" s="149"/>
      <c r="KBU43" s="149"/>
      <c r="KBV43" s="149"/>
      <c r="KBW43" s="149"/>
      <c r="KBX43" s="149"/>
      <c r="KBY43" s="149"/>
      <c r="KBZ43" s="149"/>
      <c r="KCA43" s="149"/>
      <c r="KCB43" s="149"/>
      <c r="KCC43" s="149"/>
      <c r="KCD43" s="149"/>
      <c r="KCE43" s="149"/>
      <c r="KCF43" s="149"/>
      <c r="KCG43" s="149"/>
      <c r="KCH43" s="149"/>
      <c r="KCI43" s="149"/>
      <c r="KCJ43" s="149"/>
      <c r="KCK43" s="149"/>
      <c r="KCL43" s="149"/>
      <c r="KCM43" s="149"/>
      <c r="KCN43" s="149"/>
      <c r="KCO43" s="149"/>
      <c r="KCP43" s="149"/>
      <c r="KCQ43" s="149"/>
      <c r="KCR43" s="149"/>
      <c r="KCS43" s="149"/>
      <c r="KCT43" s="149"/>
      <c r="KCU43" s="149"/>
      <c r="KCV43" s="149"/>
      <c r="KCW43" s="149"/>
      <c r="KCX43" s="149"/>
      <c r="KCY43" s="149"/>
      <c r="KCZ43" s="149"/>
      <c r="KDA43" s="149"/>
      <c r="KDB43" s="149"/>
      <c r="KDC43" s="149"/>
      <c r="KDD43" s="149"/>
      <c r="KDE43" s="149"/>
      <c r="KDF43" s="149"/>
      <c r="KDG43" s="149"/>
      <c r="KDH43" s="149"/>
      <c r="KDI43" s="149"/>
      <c r="KDJ43" s="149"/>
      <c r="KDK43" s="149"/>
      <c r="KDL43" s="149"/>
      <c r="KDM43" s="149"/>
      <c r="KDN43" s="149"/>
      <c r="KDO43" s="149"/>
      <c r="KDP43" s="149"/>
      <c r="KDQ43" s="149"/>
      <c r="KDR43" s="149"/>
      <c r="KDS43" s="149"/>
      <c r="KDT43" s="149"/>
      <c r="KDU43" s="149"/>
      <c r="KDV43" s="149"/>
      <c r="KDW43" s="149"/>
      <c r="KDX43" s="149"/>
      <c r="KDY43" s="149"/>
      <c r="KDZ43" s="149"/>
      <c r="KEA43" s="149"/>
      <c r="KEB43" s="149"/>
      <c r="KEC43" s="149"/>
      <c r="KED43" s="149"/>
      <c r="KEE43" s="149"/>
      <c r="KEF43" s="149"/>
      <c r="KEG43" s="149"/>
      <c r="KEH43" s="149"/>
      <c r="KEI43" s="149"/>
      <c r="KEJ43" s="149"/>
      <c r="KEK43" s="149"/>
      <c r="KEL43" s="149"/>
      <c r="KEM43" s="149"/>
      <c r="KEN43" s="149"/>
      <c r="KEO43" s="149"/>
      <c r="KEP43" s="149"/>
      <c r="KEQ43" s="149"/>
      <c r="KER43" s="149"/>
      <c r="KES43" s="149"/>
      <c r="KET43" s="149"/>
      <c r="KEU43" s="149"/>
      <c r="KEV43" s="149"/>
      <c r="KEW43" s="149"/>
      <c r="KEX43" s="149"/>
      <c r="KEY43" s="149"/>
      <c r="KEZ43" s="149"/>
      <c r="KFA43" s="149"/>
      <c r="KFB43" s="149"/>
      <c r="KFC43" s="149"/>
      <c r="KFD43" s="149"/>
      <c r="KFE43" s="149"/>
      <c r="KFF43" s="149"/>
      <c r="KFG43" s="149"/>
      <c r="KFH43" s="149"/>
      <c r="KFI43" s="149"/>
      <c r="KFJ43" s="149"/>
      <c r="KFK43" s="149"/>
      <c r="KFL43" s="149"/>
      <c r="KFM43" s="149"/>
      <c r="KFN43" s="149"/>
      <c r="KFO43" s="149"/>
      <c r="KFP43" s="149"/>
      <c r="KFQ43" s="149"/>
      <c r="KFR43" s="149"/>
      <c r="KFS43" s="149"/>
      <c r="KFT43" s="149"/>
      <c r="KFU43" s="149"/>
      <c r="KFV43" s="149"/>
      <c r="KFW43" s="149"/>
      <c r="KFX43" s="149"/>
      <c r="KFY43" s="149"/>
      <c r="KFZ43" s="149"/>
      <c r="KGA43" s="149"/>
      <c r="KGB43" s="149"/>
      <c r="KGC43" s="149"/>
      <c r="KGD43" s="149"/>
      <c r="KGE43" s="149"/>
      <c r="KGF43" s="149"/>
      <c r="KGG43" s="149"/>
      <c r="KGH43" s="149"/>
      <c r="KGI43" s="149"/>
      <c r="KGJ43" s="149"/>
      <c r="KGK43" s="149"/>
      <c r="KGL43" s="149"/>
      <c r="KGM43" s="149"/>
      <c r="KGN43" s="149"/>
      <c r="KGO43" s="149"/>
      <c r="KGP43" s="149"/>
      <c r="KGQ43" s="149"/>
      <c r="KGR43" s="149"/>
      <c r="KGS43" s="149"/>
      <c r="KGT43" s="149"/>
      <c r="KGU43" s="149"/>
      <c r="KGV43" s="149"/>
      <c r="KGW43" s="149"/>
      <c r="KGX43" s="149"/>
      <c r="KGY43" s="149"/>
      <c r="KGZ43" s="149"/>
      <c r="KHA43" s="149"/>
      <c r="KHB43" s="149"/>
      <c r="KHC43" s="149"/>
      <c r="KHD43" s="149"/>
      <c r="KHE43" s="149"/>
      <c r="KHF43" s="149"/>
      <c r="KHG43" s="149"/>
      <c r="KHH43" s="149"/>
      <c r="KHI43" s="149"/>
      <c r="KHJ43" s="149"/>
      <c r="KHK43" s="149"/>
      <c r="KHL43" s="149"/>
      <c r="KHM43" s="149"/>
      <c r="KHN43" s="149"/>
      <c r="KHO43" s="149"/>
      <c r="KHP43" s="149"/>
      <c r="KHQ43" s="149"/>
      <c r="KHR43" s="149"/>
      <c r="KHS43" s="149"/>
      <c r="KHT43" s="149"/>
      <c r="KHU43" s="149"/>
      <c r="KHV43" s="149"/>
      <c r="KHW43" s="149"/>
      <c r="KHX43" s="149"/>
      <c r="KHY43" s="149"/>
      <c r="KHZ43" s="149"/>
      <c r="KIA43" s="149"/>
      <c r="KIB43" s="149"/>
      <c r="KIC43" s="149"/>
      <c r="KID43" s="149"/>
      <c r="KIE43" s="149"/>
      <c r="KIF43" s="149"/>
      <c r="KIG43" s="149"/>
      <c r="KIH43" s="149"/>
      <c r="KII43" s="149"/>
      <c r="KIJ43" s="149"/>
      <c r="KIK43" s="149"/>
      <c r="KIL43" s="149"/>
      <c r="KIM43" s="149"/>
      <c r="KIN43" s="149"/>
      <c r="KIO43" s="149"/>
      <c r="KIP43" s="149"/>
      <c r="KIQ43" s="149"/>
      <c r="KIR43" s="149"/>
      <c r="KIS43" s="149"/>
      <c r="KIT43" s="149"/>
      <c r="KIU43" s="149"/>
      <c r="KIV43" s="149"/>
      <c r="KIW43" s="149"/>
      <c r="KIX43" s="149"/>
      <c r="KIY43" s="149"/>
      <c r="KIZ43" s="149"/>
      <c r="KJA43" s="149"/>
      <c r="KJB43" s="149"/>
      <c r="KJC43" s="149"/>
      <c r="KJD43" s="149"/>
      <c r="KJE43" s="149"/>
      <c r="KJF43" s="149"/>
      <c r="KJG43" s="149"/>
      <c r="KJH43" s="149"/>
      <c r="KJI43" s="149"/>
      <c r="KJJ43" s="149"/>
      <c r="KJK43" s="149"/>
      <c r="KJL43" s="149"/>
      <c r="KJM43" s="149"/>
      <c r="KJN43" s="149"/>
      <c r="KJO43" s="149"/>
      <c r="KJP43" s="149"/>
      <c r="KJQ43" s="149"/>
      <c r="KJR43" s="149"/>
      <c r="KJS43" s="149"/>
      <c r="KJT43" s="149"/>
      <c r="KJU43" s="149"/>
      <c r="KJV43" s="149"/>
      <c r="KJW43" s="149"/>
      <c r="KJX43" s="149"/>
      <c r="KJY43" s="149"/>
      <c r="KJZ43" s="149"/>
      <c r="KKA43" s="149"/>
      <c r="KKB43" s="149"/>
      <c r="KKC43" s="149"/>
      <c r="KKD43" s="149"/>
      <c r="KKE43" s="149"/>
      <c r="KKF43" s="149"/>
      <c r="KKG43" s="149"/>
      <c r="KKH43" s="149"/>
      <c r="KKI43" s="149"/>
      <c r="KKJ43" s="149"/>
      <c r="KKK43" s="149"/>
      <c r="KKL43" s="149"/>
      <c r="KKM43" s="149"/>
      <c r="KKN43" s="149"/>
      <c r="KKO43" s="149"/>
      <c r="KKP43" s="149"/>
      <c r="KKQ43" s="149"/>
      <c r="KKR43" s="149"/>
      <c r="KKS43" s="149"/>
      <c r="KKT43" s="149"/>
      <c r="KKU43" s="149"/>
      <c r="KKV43" s="149"/>
      <c r="KKW43" s="149"/>
      <c r="KKX43" s="149"/>
      <c r="KKY43" s="149"/>
      <c r="KKZ43" s="149"/>
      <c r="KLA43" s="149"/>
      <c r="KLB43" s="149"/>
      <c r="KLC43" s="149"/>
      <c r="KLD43" s="149"/>
      <c r="KLE43" s="149"/>
      <c r="KLF43" s="149"/>
      <c r="KLG43" s="149"/>
      <c r="KLH43" s="149"/>
      <c r="KLI43" s="149"/>
      <c r="KLJ43" s="149"/>
      <c r="KLK43" s="149"/>
      <c r="KLL43" s="149"/>
      <c r="KLM43" s="149"/>
      <c r="KLN43" s="149"/>
      <c r="KLO43" s="149"/>
      <c r="KLP43" s="149"/>
      <c r="KLQ43" s="149"/>
      <c r="KLR43" s="149"/>
      <c r="KLS43" s="149"/>
      <c r="KLT43" s="149"/>
      <c r="KLU43" s="149"/>
      <c r="KLV43" s="149"/>
      <c r="KLW43" s="149"/>
      <c r="KLX43" s="149"/>
      <c r="KLY43" s="149"/>
      <c r="KLZ43" s="149"/>
      <c r="KMA43" s="149"/>
      <c r="KMB43" s="149"/>
      <c r="KMC43" s="149"/>
      <c r="KMD43" s="149"/>
      <c r="KME43" s="149"/>
      <c r="KMF43" s="149"/>
      <c r="KMG43" s="149"/>
      <c r="KMH43" s="149"/>
      <c r="KMI43" s="149"/>
      <c r="KMJ43" s="149"/>
      <c r="KMK43" s="149"/>
      <c r="KML43" s="149"/>
      <c r="KMM43" s="149"/>
      <c r="KMN43" s="149"/>
      <c r="KMO43" s="149"/>
      <c r="KMP43" s="149"/>
      <c r="KMQ43" s="149"/>
      <c r="KMR43" s="149"/>
      <c r="KMS43" s="149"/>
      <c r="KMT43" s="149"/>
      <c r="KMU43" s="149"/>
      <c r="KMV43" s="149"/>
      <c r="KMW43" s="149"/>
      <c r="KMX43" s="149"/>
      <c r="KMY43" s="149"/>
      <c r="KMZ43" s="149"/>
      <c r="KNA43" s="149"/>
      <c r="KNB43" s="149"/>
      <c r="KNC43" s="149"/>
      <c r="KND43" s="149"/>
      <c r="KNE43" s="149"/>
      <c r="KNF43" s="149"/>
      <c r="KNG43" s="149"/>
      <c r="KNH43" s="149"/>
      <c r="KNI43" s="149"/>
      <c r="KNJ43" s="149"/>
      <c r="KNK43" s="149"/>
      <c r="KNL43" s="149"/>
      <c r="KNM43" s="149"/>
      <c r="KNN43" s="149"/>
      <c r="KNO43" s="149"/>
      <c r="KNP43" s="149"/>
      <c r="KNQ43" s="149"/>
      <c r="KNR43" s="149"/>
      <c r="KNS43" s="149"/>
      <c r="KNT43" s="149"/>
      <c r="KNU43" s="149"/>
      <c r="KNV43" s="149"/>
      <c r="KNW43" s="149"/>
      <c r="KNX43" s="149"/>
      <c r="KNY43" s="149"/>
      <c r="KNZ43" s="149"/>
      <c r="KOA43" s="149"/>
      <c r="KOB43" s="149"/>
      <c r="KOC43" s="149"/>
      <c r="KOD43" s="149"/>
      <c r="KOE43" s="149"/>
      <c r="KOF43" s="149"/>
      <c r="KOG43" s="149"/>
      <c r="KOH43" s="149"/>
      <c r="KOI43" s="149"/>
      <c r="KOJ43" s="149"/>
      <c r="KOK43" s="149"/>
      <c r="KOL43" s="149"/>
      <c r="KOM43" s="149"/>
      <c r="KON43" s="149"/>
      <c r="KOO43" s="149"/>
      <c r="KOP43" s="149"/>
      <c r="KOQ43" s="149"/>
      <c r="KOR43" s="149"/>
      <c r="KOS43" s="149"/>
      <c r="KOT43" s="149"/>
      <c r="KOU43" s="149"/>
      <c r="KOV43" s="149"/>
      <c r="KOW43" s="149"/>
      <c r="KOX43" s="149"/>
      <c r="KOY43" s="149"/>
      <c r="KOZ43" s="149"/>
      <c r="KPA43" s="149"/>
      <c r="KPB43" s="149"/>
      <c r="KPC43" s="149"/>
      <c r="KPD43" s="149"/>
      <c r="KPE43" s="149"/>
      <c r="KPF43" s="149"/>
      <c r="KPG43" s="149"/>
      <c r="KPH43" s="149"/>
      <c r="KPI43" s="149"/>
      <c r="KPJ43" s="149"/>
      <c r="KPK43" s="149"/>
      <c r="KPL43" s="149"/>
      <c r="KPM43" s="149"/>
      <c r="KPN43" s="149"/>
      <c r="KPO43" s="149"/>
      <c r="KPP43" s="149"/>
      <c r="KPQ43" s="149"/>
      <c r="KPR43" s="149"/>
      <c r="KPS43" s="149"/>
      <c r="KPT43" s="149"/>
      <c r="KPU43" s="149"/>
      <c r="KPV43" s="149"/>
      <c r="KPW43" s="149"/>
      <c r="KPX43" s="149"/>
      <c r="KPY43" s="149"/>
      <c r="KPZ43" s="149"/>
      <c r="KQA43" s="149"/>
      <c r="KQB43" s="149"/>
      <c r="KQC43" s="149"/>
      <c r="KQD43" s="149"/>
      <c r="KQE43" s="149"/>
      <c r="KQF43" s="149"/>
      <c r="KQG43" s="149"/>
      <c r="KQH43" s="149"/>
      <c r="KQI43" s="149"/>
      <c r="KQJ43" s="149"/>
      <c r="KQK43" s="149"/>
      <c r="KQL43" s="149"/>
      <c r="KQM43" s="149"/>
      <c r="KQN43" s="149"/>
      <c r="KQO43" s="149"/>
      <c r="KQP43" s="149"/>
      <c r="KQQ43" s="149"/>
      <c r="KQR43" s="149"/>
      <c r="KQS43" s="149"/>
      <c r="KQT43" s="149"/>
      <c r="KQU43" s="149"/>
      <c r="KQV43" s="149"/>
      <c r="KQW43" s="149"/>
      <c r="KQX43" s="149"/>
      <c r="KQY43" s="149"/>
      <c r="KQZ43" s="149"/>
      <c r="KRA43" s="149"/>
      <c r="KRB43" s="149"/>
      <c r="KRC43" s="149"/>
      <c r="KRD43" s="149"/>
      <c r="KRE43" s="149"/>
      <c r="KRF43" s="149"/>
      <c r="KRG43" s="149"/>
      <c r="KRH43" s="149"/>
      <c r="KRI43" s="149"/>
      <c r="KRJ43" s="149"/>
      <c r="KRK43" s="149"/>
      <c r="KRL43" s="149"/>
      <c r="KRM43" s="149"/>
      <c r="KRN43" s="149"/>
      <c r="KRO43" s="149"/>
      <c r="KRP43" s="149"/>
      <c r="KRQ43" s="149"/>
      <c r="KRR43" s="149"/>
      <c r="KRS43" s="149"/>
      <c r="KRT43" s="149"/>
      <c r="KRU43" s="149"/>
      <c r="KRV43" s="149"/>
      <c r="KRW43" s="149"/>
      <c r="KRX43" s="149"/>
      <c r="KRY43" s="149"/>
      <c r="KRZ43" s="149"/>
      <c r="KSA43" s="149"/>
      <c r="KSB43" s="149"/>
      <c r="KSC43" s="149"/>
      <c r="KSD43" s="149"/>
      <c r="KSE43" s="149"/>
      <c r="KSF43" s="149"/>
      <c r="KSG43" s="149"/>
      <c r="KSH43" s="149"/>
      <c r="KSI43" s="149"/>
      <c r="KSJ43" s="149"/>
      <c r="KSK43" s="149"/>
      <c r="KSL43" s="149"/>
      <c r="KSM43" s="149"/>
      <c r="KSN43" s="149"/>
      <c r="KSO43" s="149"/>
      <c r="KSP43" s="149"/>
      <c r="KSQ43" s="149"/>
      <c r="KSR43" s="149"/>
      <c r="KSS43" s="149"/>
      <c r="KST43" s="149"/>
      <c r="KSU43" s="149"/>
      <c r="KSV43" s="149"/>
      <c r="KSW43" s="149"/>
      <c r="KSX43" s="149"/>
      <c r="KSY43" s="149"/>
      <c r="KSZ43" s="149"/>
      <c r="KTA43" s="149"/>
      <c r="KTB43" s="149"/>
      <c r="KTC43" s="149"/>
      <c r="KTD43" s="149"/>
      <c r="KTE43" s="149"/>
      <c r="KTF43" s="149"/>
      <c r="KTG43" s="149"/>
      <c r="KTH43" s="149"/>
      <c r="KTI43" s="149"/>
      <c r="KTJ43" s="149"/>
      <c r="KTK43" s="149"/>
      <c r="KTL43" s="149"/>
      <c r="KTM43" s="149"/>
      <c r="KTN43" s="149"/>
      <c r="KTO43" s="149"/>
      <c r="KTP43" s="149"/>
      <c r="KTQ43" s="149"/>
      <c r="KTR43" s="149"/>
      <c r="KTS43" s="149"/>
      <c r="KTT43" s="149"/>
      <c r="KTU43" s="149"/>
      <c r="KTV43" s="149"/>
      <c r="KTW43" s="149"/>
      <c r="KTX43" s="149"/>
      <c r="KTY43" s="149"/>
      <c r="KTZ43" s="149"/>
      <c r="KUA43" s="149"/>
      <c r="KUB43" s="149"/>
      <c r="KUC43" s="149"/>
      <c r="KUD43" s="149"/>
      <c r="KUE43" s="149"/>
      <c r="KUF43" s="149"/>
      <c r="KUG43" s="149"/>
      <c r="KUH43" s="149"/>
      <c r="KUI43" s="149"/>
      <c r="KUJ43" s="149"/>
      <c r="KUK43" s="149"/>
      <c r="KUL43" s="149"/>
      <c r="KUM43" s="149"/>
      <c r="KUN43" s="149"/>
      <c r="KUO43" s="149"/>
      <c r="KUP43" s="149"/>
      <c r="KUQ43" s="149"/>
      <c r="KUR43" s="149"/>
      <c r="KUS43" s="149"/>
      <c r="KUT43" s="149"/>
      <c r="KUU43" s="149"/>
      <c r="KUV43" s="149"/>
      <c r="KUW43" s="149"/>
      <c r="KUX43" s="149"/>
      <c r="KUY43" s="149"/>
      <c r="KUZ43" s="149"/>
      <c r="KVA43" s="149"/>
      <c r="KVB43" s="149"/>
      <c r="KVC43" s="149"/>
      <c r="KVD43" s="149"/>
      <c r="KVE43" s="149"/>
      <c r="KVF43" s="149"/>
      <c r="KVG43" s="149"/>
      <c r="KVH43" s="149"/>
      <c r="KVI43" s="149"/>
      <c r="KVJ43" s="149"/>
      <c r="KVK43" s="149"/>
      <c r="KVL43" s="149"/>
      <c r="KVM43" s="149"/>
      <c r="KVN43" s="149"/>
      <c r="KVO43" s="149"/>
      <c r="KVP43" s="149"/>
      <c r="KVQ43" s="149"/>
      <c r="KVR43" s="149"/>
      <c r="KVS43" s="149"/>
      <c r="KVT43" s="149"/>
      <c r="KVU43" s="149"/>
      <c r="KVV43" s="149"/>
      <c r="KVW43" s="149"/>
      <c r="KVX43" s="149"/>
      <c r="KVY43" s="149"/>
      <c r="KVZ43" s="149"/>
      <c r="KWA43" s="149"/>
      <c r="KWB43" s="149"/>
      <c r="KWC43" s="149"/>
      <c r="KWD43" s="149"/>
      <c r="KWE43" s="149"/>
      <c r="KWF43" s="149"/>
      <c r="KWG43" s="149"/>
      <c r="KWH43" s="149"/>
      <c r="KWI43" s="149"/>
      <c r="KWJ43" s="149"/>
      <c r="KWK43" s="149"/>
      <c r="KWL43" s="149"/>
      <c r="KWM43" s="149"/>
      <c r="KWN43" s="149"/>
      <c r="KWO43" s="149"/>
      <c r="KWP43" s="149"/>
      <c r="KWQ43" s="149"/>
      <c r="KWR43" s="149"/>
      <c r="KWS43" s="149"/>
      <c r="KWT43" s="149"/>
      <c r="KWU43" s="149"/>
      <c r="KWV43" s="149"/>
      <c r="KWW43" s="149"/>
      <c r="KWX43" s="149"/>
      <c r="KWY43" s="149"/>
      <c r="KWZ43" s="149"/>
      <c r="KXA43" s="149"/>
      <c r="KXB43" s="149"/>
      <c r="KXC43" s="149"/>
      <c r="KXD43" s="149"/>
      <c r="KXE43" s="149"/>
      <c r="KXF43" s="149"/>
      <c r="KXG43" s="149"/>
      <c r="KXH43" s="149"/>
      <c r="KXI43" s="149"/>
      <c r="KXJ43" s="149"/>
      <c r="KXK43" s="149"/>
      <c r="KXL43" s="149"/>
      <c r="KXM43" s="149"/>
      <c r="KXN43" s="149"/>
      <c r="KXO43" s="149"/>
      <c r="KXP43" s="149"/>
      <c r="KXQ43" s="149"/>
      <c r="KXR43" s="149"/>
      <c r="KXS43" s="149"/>
      <c r="KXT43" s="149"/>
      <c r="KXU43" s="149"/>
      <c r="KXV43" s="149"/>
      <c r="KXW43" s="149"/>
      <c r="KXX43" s="149"/>
      <c r="KXY43" s="149"/>
      <c r="KXZ43" s="149"/>
      <c r="KYA43" s="149"/>
      <c r="KYB43" s="149"/>
      <c r="KYC43" s="149"/>
      <c r="KYD43" s="149"/>
      <c r="KYE43" s="149"/>
      <c r="KYF43" s="149"/>
      <c r="KYG43" s="149"/>
      <c r="KYH43" s="149"/>
      <c r="KYI43" s="149"/>
      <c r="KYJ43" s="149"/>
      <c r="KYK43" s="149"/>
      <c r="KYL43" s="149"/>
      <c r="KYM43" s="149"/>
      <c r="KYN43" s="149"/>
      <c r="KYO43" s="149"/>
      <c r="KYP43" s="149"/>
      <c r="KYQ43" s="149"/>
      <c r="KYR43" s="149"/>
      <c r="KYS43" s="149"/>
      <c r="KYT43" s="149"/>
      <c r="KYU43" s="149"/>
      <c r="KYV43" s="149"/>
      <c r="KYW43" s="149"/>
      <c r="KYX43" s="149"/>
      <c r="KYY43" s="149"/>
      <c r="KYZ43" s="149"/>
      <c r="KZA43" s="149"/>
      <c r="KZB43" s="149"/>
      <c r="KZC43" s="149"/>
      <c r="KZD43" s="149"/>
      <c r="KZE43" s="149"/>
      <c r="KZF43" s="149"/>
      <c r="KZG43" s="149"/>
      <c r="KZH43" s="149"/>
      <c r="KZI43" s="149"/>
      <c r="KZJ43" s="149"/>
      <c r="KZK43" s="149"/>
      <c r="KZL43" s="149"/>
      <c r="KZM43" s="149"/>
      <c r="KZN43" s="149"/>
      <c r="KZO43" s="149"/>
      <c r="KZP43" s="149"/>
      <c r="KZQ43" s="149"/>
      <c r="KZR43" s="149"/>
      <c r="KZS43" s="149"/>
      <c r="KZT43" s="149"/>
      <c r="KZU43" s="149"/>
      <c r="KZV43" s="149"/>
      <c r="KZW43" s="149"/>
      <c r="KZX43" s="149"/>
      <c r="KZY43" s="149"/>
      <c r="KZZ43" s="149"/>
      <c r="LAA43" s="149"/>
      <c r="LAB43" s="149"/>
      <c r="LAC43" s="149"/>
      <c r="LAD43" s="149"/>
      <c r="LAE43" s="149"/>
      <c r="LAF43" s="149"/>
      <c r="LAG43" s="149"/>
      <c r="LAH43" s="149"/>
      <c r="LAI43" s="149"/>
      <c r="LAJ43" s="149"/>
      <c r="LAK43" s="149"/>
      <c r="LAL43" s="149"/>
      <c r="LAM43" s="149"/>
      <c r="LAN43" s="149"/>
      <c r="LAO43" s="149"/>
      <c r="LAP43" s="149"/>
      <c r="LAQ43" s="149"/>
      <c r="LAR43" s="149"/>
      <c r="LAS43" s="149"/>
      <c r="LAT43" s="149"/>
      <c r="LAU43" s="149"/>
      <c r="LAV43" s="149"/>
      <c r="LAW43" s="149"/>
      <c r="LAX43" s="149"/>
      <c r="LAY43" s="149"/>
      <c r="LAZ43" s="149"/>
      <c r="LBA43" s="149"/>
      <c r="LBB43" s="149"/>
      <c r="LBC43" s="149"/>
      <c r="LBD43" s="149"/>
      <c r="LBE43" s="149"/>
      <c r="LBF43" s="149"/>
      <c r="LBG43" s="149"/>
      <c r="LBH43" s="149"/>
      <c r="LBI43" s="149"/>
      <c r="LBJ43" s="149"/>
      <c r="LBK43" s="149"/>
      <c r="LBL43" s="149"/>
      <c r="LBM43" s="149"/>
      <c r="LBN43" s="149"/>
      <c r="LBO43" s="149"/>
      <c r="LBP43" s="149"/>
      <c r="LBQ43" s="149"/>
      <c r="LBR43" s="149"/>
      <c r="LBS43" s="149"/>
      <c r="LBT43" s="149"/>
      <c r="LBU43" s="149"/>
      <c r="LBV43" s="149"/>
      <c r="LBW43" s="149"/>
      <c r="LBX43" s="149"/>
      <c r="LBY43" s="149"/>
      <c r="LBZ43" s="149"/>
      <c r="LCA43" s="149"/>
      <c r="LCB43" s="149"/>
      <c r="LCC43" s="149"/>
      <c r="LCD43" s="149"/>
      <c r="LCE43" s="149"/>
      <c r="LCF43" s="149"/>
      <c r="LCG43" s="149"/>
      <c r="LCH43" s="149"/>
      <c r="LCI43" s="149"/>
      <c r="LCJ43" s="149"/>
      <c r="LCK43" s="149"/>
      <c r="LCL43" s="149"/>
      <c r="LCM43" s="149"/>
      <c r="LCN43" s="149"/>
      <c r="LCO43" s="149"/>
      <c r="LCP43" s="149"/>
      <c r="LCQ43" s="149"/>
      <c r="LCR43" s="149"/>
      <c r="LCS43" s="149"/>
      <c r="LCT43" s="149"/>
      <c r="LCU43" s="149"/>
      <c r="LCV43" s="149"/>
      <c r="LCW43" s="149"/>
      <c r="LCX43" s="149"/>
      <c r="LCY43" s="149"/>
      <c r="LCZ43" s="149"/>
      <c r="LDA43" s="149"/>
      <c r="LDB43" s="149"/>
      <c r="LDC43" s="149"/>
      <c r="LDD43" s="149"/>
      <c r="LDE43" s="149"/>
      <c r="LDF43" s="149"/>
      <c r="LDG43" s="149"/>
      <c r="LDH43" s="149"/>
      <c r="LDI43" s="149"/>
      <c r="LDJ43" s="149"/>
      <c r="LDK43" s="149"/>
      <c r="LDL43" s="149"/>
      <c r="LDM43" s="149"/>
      <c r="LDN43" s="149"/>
      <c r="LDO43" s="149"/>
      <c r="LDP43" s="149"/>
      <c r="LDQ43" s="149"/>
      <c r="LDR43" s="149"/>
      <c r="LDS43" s="149"/>
      <c r="LDT43" s="149"/>
      <c r="LDU43" s="149"/>
      <c r="LDV43" s="149"/>
      <c r="LDW43" s="149"/>
      <c r="LDX43" s="149"/>
      <c r="LDY43" s="149"/>
      <c r="LDZ43" s="149"/>
      <c r="LEA43" s="149"/>
      <c r="LEB43" s="149"/>
      <c r="LEC43" s="149"/>
      <c r="LED43" s="149"/>
      <c r="LEE43" s="149"/>
      <c r="LEF43" s="149"/>
      <c r="LEG43" s="149"/>
      <c r="LEH43" s="149"/>
      <c r="LEI43" s="149"/>
      <c r="LEJ43" s="149"/>
      <c r="LEK43" s="149"/>
      <c r="LEL43" s="149"/>
      <c r="LEM43" s="149"/>
      <c r="LEN43" s="149"/>
      <c r="LEO43" s="149"/>
      <c r="LEP43" s="149"/>
      <c r="LEQ43" s="149"/>
      <c r="LER43" s="149"/>
      <c r="LES43" s="149"/>
      <c r="LET43" s="149"/>
      <c r="LEU43" s="149"/>
      <c r="LEV43" s="149"/>
      <c r="LEW43" s="149"/>
      <c r="LEX43" s="149"/>
      <c r="LEY43" s="149"/>
      <c r="LEZ43" s="149"/>
      <c r="LFA43" s="149"/>
      <c r="LFB43" s="149"/>
      <c r="LFC43" s="149"/>
      <c r="LFD43" s="149"/>
      <c r="LFE43" s="149"/>
      <c r="LFF43" s="149"/>
      <c r="LFG43" s="149"/>
      <c r="LFH43" s="149"/>
      <c r="LFI43" s="149"/>
      <c r="LFJ43" s="149"/>
      <c r="LFK43" s="149"/>
      <c r="LFL43" s="149"/>
      <c r="LFM43" s="149"/>
      <c r="LFN43" s="149"/>
      <c r="LFO43" s="149"/>
      <c r="LFP43" s="149"/>
      <c r="LFQ43" s="149"/>
      <c r="LFR43" s="149"/>
      <c r="LFS43" s="149"/>
      <c r="LFT43" s="149"/>
      <c r="LFU43" s="149"/>
      <c r="LFV43" s="149"/>
      <c r="LFW43" s="149"/>
      <c r="LFX43" s="149"/>
      <c r="LFY43" s="149"/>
      <c r="LFZ43" s="149"/>
      <c r="LGA43" s="149"/>
      <c r="LGB43" s="149"/>
      <c r="LGC43" s="149"/>
      <c r="LGD43" s="149"/>
      <c r="LGE43" s="149"/>
      <c r="LGF43" s="149"/>
      <c r="LGG43" s="149"/>
      <c r="LGH43" s="149"/>
      <c r="LGI43" s="149"/>
      <c r="LGJ43" s="149"/>
      <c r="LGK43" s="149"/>
      <c r="LGL43" s="149"/>
      <c r="LGM43" s="149"/>
      <c r="LGN43" s="149"/>
      <c r="LGO43" s="149"/>
      <c r="LGP43" s="149"/>
      <c r="LGQ43" s="149"/>
      <c r="LGR43" s="149"/>
      <c r="LGS43" s="149"/>
      <c r="LGT43" s="149"/>
      <c r="LGU43" s="149"/>
      <c r="LGV43" s="149"/>
      <c r="LGW43" s="149"/>
      <c r="LGX43" s="149"/>
      <c r="LGY43" s="149"/>
      <c r="LGZ43" s="149"/>
      <c r="LHA43" s="149"/>
      <c r="LHB43" s="149"/>
      <c r="LHC43" s="149"/>
      <c r="LHD43" s="149"/>
      <c r="LHE43" s="149"/>
      <c r="LHF43" s="149"/>
      <c r="LHG43" s="149"/>
      <c r="LHH43" s="149"/>
      <c r="LHI43" s="149"/>
      <c r="LHJ43" s="149"/>
      <c r="LHK43" s="149"/>
      <c r="LHL43" s="149"/>
      <c r="LHM43" s="149"/>
      <c r="LHN43" s="149"/>
      <c r="LHO43" s="149"/>
      <c r="LHP43" s="149"/>
      <c r="LHQ43" s="149"/>
      <c r="LHR43" s="149"/>
      <c r="LHS43" s="149"/>
      <c r="LHT43" s="149"/>
      <c r="LHU43" s="149"/>
      <c r="LHV43" s="149"/>
      <c r="LHW43" s="149"/>
      <c r="LHX43" s="149"/>
      <c r="LHY43" s="149"/>
      <c r="LHZ43" s="149"/>
      <c r="LIA43" s="149"/>
      <c r="LIB43" s="149"/>
      <c r="LIC43" s="149"/>
      <c r="LID43" s="149"/>
      <c r="LIE43" s="149"/>
      <c r="LIF43" s="149"/>
      <c r="LIG43" s="149"/>
      <c r="LIH43" s="149"/>
      <c r="LII43" s="149"/>
      <c r="LIJ43" s="149"/>
      <c r="LIK43" s="149"/>
      <c r="LIL43" s="149"/>
      <c r="LIM43" s="149"/>
      <c r="LIN43" s="149"/>
      <c r="LIO43" s="149"/>
      <c r="LIP43" s="149"/>
      <c r="LIQ43" s="149"/>
      <c r="LIR43" s="149"/>
      <c r="LIS43" s="149"/>
      <c r="LIT43" s="149"/>
      <c r="LIU43" s="149"/>
      <c r="LIV43" s="149"/>
      <c r="LIW43" s="149"/>
      <c r="LIX43" s="149"/>
      <c r="LIY43" s="149"/>
      <c r="LIZ43" s="149"/>
      <c r="LJA43" s="149"/>
      <c r="LJB43" s="149"/>
      <c r="LJC43" s="149"/>
      <c r="LJD43" s="149"/>
      <c r="LJE43" s="149"/>
      <c r="LJF43" s="149"/>
      <c r="LJG43" s="149"/>
      <c r="LJH43" s="149"/>
      <c r="LJI43" s="149"/>
      <c r="LJJ43" s="149"/>
      <c r="LJK43" s="149"/>
      <c r="LJL43" s="149"/>
      <c r="LJM43" s="149"/>
      <c r="LJN43" s="149"/>
      <c r="LJO43" s="149"/>
      <c r="LJP43" s="149"/>
      <c r="LJQ43" s="149"/>
      <c r="LJR43" s="149"/>
      <c r="LJS43" s="149"/>
      <c r="LJT43" s="149"/>
      <c r="LJU43" s="149"/>
      <c r="LJV43" s="149"/>
      <c r="LJW43" s="149"/>
      <c r="LJX43" s="149"/>
      <c r="LJY43" s="149"/>
      <c r="LJZ43" s="149"/>
      <c r="LKA43" s="149"/>
      <c r="LKB43" s="149"/>
      <c r="LKC43" s="149"/>
      <c r="LKD43" s="149"/>
      <c r="LKE43" s="149"/>
      <c r="LKF43" s="149"/>
      <c r="LKG43" s="149"/>
      <c r="LKH43" s="149"/>
      <c r="LKI43" s="149"/>
      <c r="LKJ43" s="149"/>
      <c r="LKK43" s="149"/>
      <c r="LKL43" s="149"/>
      <c r="LKM43" s="149"/>
      <c r="LKN43" s="149"/>
      <c r="LKO43" s="149"/>
      <c r="LKP43" s="149"/>
      <c r="LKQ43" s="149"/>
      <c r="LKR43" s="149"/>
      <c r="LKS43" s="149"/>
      <c r="LKT43" s="149"/>
      <c r="LKU43" s="149"/>
      <c r="LKV43" s="149"/>
      <c r="LKW43" s="149"/>
      <c r="LKX43" s="149"/>
      <c r="LKY43" s="149"/>
      <c r="LKZ43" s="149"/>
      <c r="LLA43" s="149"/>
      <c r="LLB43" s="149"/>
      <c r="LLC43" s="149"/>
      <c r="LLD43" s="149"/>
      <c r="LLE43" s="149"/>
      <c r="LLF43" s="149"/>
      <c r="LLG43" s="149"/>
      <c r="LLH43" s="149"/>
      <c r="LLI43" s="149"/>
      <c r="LLJ43" s="149"/>
      <c r="LLK43" s="149"/>
      <c r="LLL43" s="149"/>
      <c r="LLM43" s="149"/>
      <c r="LLN43" s="149"/>
      <c r="LLO43" s="149"/>
      <c r="LLP43" s="149"/>
      <c r="LLQ43" s="149"/>
      <c r="LLR43" s="149"/>
      <c r="LLS43" s="149"/>
      <c r="LLT43" s="149"/>
      <c r="LLU43" s="149"/>
      <c r="LLV43" s="149"/>
      <c r="LLW43" s="149"/>
      <c r="LLX43" s="149"/>
      <c r="LLY43" s="149"/>
      <c r="LLZ43" s="149"/>
      <c r="LMA43" s="149"/>
      <c r="LMB43" s="149"/>
      <c r="LMC43" s="149"/>
      <c r="LMD43" s="149"/>
      <c r="LME43" s="149"/>
      <c r="LMF43" s="149"/>
      <c r="LMG43" s="149"/>
      <c r="LMH43" s="149"/>
      <c r="LMI43" s="149"/>
      <c r="LMJ43" s="149"/>
      <c r="LMK43" s="149"/>
      <c r="LML43" s="149"/>
      <c r="LMM43" s="149"/>
      <c r="LMN43" s="149"/>
      <c r="LMO43" s="149"/>
      <c r="LMP43" s="149"/>
      <c r="LMQ43" s="149"/>
      <c r="LMR43" s="149"/>
      <c r="LMS43" s="149"/>
      <c r="LMT43" s="149"/>
      <c r="LMU43" s="149"/>
      <c r="LMV43" s="149"/>
      <c r="LMW43" s="149"/>
      <c r="LMX43" s="149"/>
      <c r="LMY43" s="149"/>
      <c r="LMZ43" s="149"/>
      <c r="LNA43" s="149"/>
      <c r="LNB43" s="149"/>
      <c r="LNC43" s="149"/>
      <c r="LND43" s="149"/>
      <c r="LNE43" s="149"/>
      <c r="LNF43" s="149"/>
      <c r="LNG43" s="149"/>
      <c r="LNH43" s="149"/>
      <c r="LNI43" s="149"/>
      <c r="LNJ43" s="149"/>
      <c r="LNK43" s="149"/>
      <c r="LNL43" s="149"/>
      <c r="LNM43" s="149"/>
      <c r="LNN43" s="149"/>
      <c r="LNO43" s="149"/>
      <c r="LNP43" s="149"/>
      <c r="LNQ43" s="149"/>
      <c r="LNR43" s="149"/>
      <c r="LNS43" s="149"/>
      <c r="LNT43" s="149"/>
      <c r="LNU43" s="149"/>
      <c r="LNV43" s="149"/>
      <c r="LNW43" s="149"/>
      <c r="LNX43" s="149"/>
      <c r="LNY43" s="149"/>
      <c r="LNZ43" s="149"/>
      <c r="LOA43" s="149"/>
      <c r="LOB43" s="149"/>
      <c r="LOC43" s="149"/>
      <c r="LOD43" s="149"/>
      <c r="LOE43" s="149"/>
      <c r="LOF43" s="149"/>
      <c r="LOG43" s="149"/>
      <c r="LOH43" s="149"/>
      <c r="LOI43" s="149"/>
      <c r="LOJ43" s="149"/>
      <c r="LOK43" s="149"/>
      <c r="LOL43" s="149"/>
      <c r="LOM43" s="149"/>
      <c r="LON43" s="149"/>
      <c r="LOO43" s="149"/>
      <c r="LOP43" s="149"/>
      <c r="LOQ43" s="149"/>
      <c r="LOR43" s="149"/>
      <c r="LOS43" s="149"/>
      <c r="LOT43" s="149"/>
      <c r="LOU43" s="149"/>
      <c r="LOV43" s="149"/>
      <c r="LOW43" s="149"/>
      <c r="LOX43" s="149"/>
      <c r="LOY43" s="149"/>
      <c r="LOZ43" s="149"/>
      <c r="LPA43" s="149"/>
      <c r="LPB43" s="149"/>
      <c r="LPC43" s="149"/>
      <c r="LPD43" s="149"/>
      <c r="LPE43" s="149"/>
      <c r="LPF43" s="149"/>
      <c r="LPG43" s="149"/>
      <c r="LPH43" s="149"/>
      <c r="LPI43" s="149"/>
      <c r="LPJ43" s="149"/>
      <c r="LPK43" s="149"/>
      <c r="LPL43" s="149"/>
      <c r="LPM43" s="149"/>
      <c r="LPN43" s="149"/>
      <c r="LPO43" s="149"/>
      <c r="LPP43" s="149"/>
      <c r="LPQ43" s="149"/>
      <c r="LPR43" s="149"/>
      <c r="LPS43" s="149"/>
      <c r="LPT43" s="149"/>
      <c r="LPU43" s="149"/>
      <c r="LPV43" s="149"/>
      <c r="LPW43" s="149"/>
      <c r="LPX43" s="149"/>
      <c r="LPY43" s="149"/>
      <c r="LPZ43" s="149"/>
      <c r="LQA43" s="149"/>
      <c r="LQB43" s="149"/>
      <c r="LQC43" s="149"/>
      <c r="LQD43" s="149"/>
      <c r="LQE43" s="149"/>
      <c r="LQF43" s="149"/>
      <c r="LQG43" s="149"/>
      <c r="LQH43" s="149"/>
      <c r="LQI43" s="149"/>
      <c r="LQJ43" s="149"/>
      <c r="LQK43" s="149"/>
      <c r="LQL43" s="149"/>
      <c r="LQM43" s="149"/>
      <c r="LQN43" s="149"/>
      <c r="LQO43" s="149"/>
      <c r="LQP43" s="149"/>
      <c r="LQQ43" s="149"/>
      <c r="LQR43" s="149"/>
      <c r="LQS43" s="149"/>
      <c r="LQT43" s="149"/>
      <c r="LQU43" s="149"/>
      <c r="LQV43" s="149"/>
      <c r="LQW43" s="149"/>
      <c r="LQX43" s="149"/>
      <c r="LQY43" s="149"/>
      <c r="LQZ43" s="149"/>
      <c r="LRA43" s="149"/>
      <c r="LRB43" s="149"/>
      <c r="LRC43" s="149"/>
      <c r="LRD43" s="149"/>
      <c r="LRE43" s="149"/>
      <c r="LRF43" s="149"/>
      <c r="LRG43" s="149"/>
      <c r="LRH43" s="149"/>
      <c r="LRI43" s="149"/>
      <c r="LRJ43" s="149"/>
      <c r="LRK43" s="149"/>
      <c r="LRL43" s="149"/>
      <c r="LRM43" s="149"/>
      <c r="LRN43" s="149"/>
      <c r="LRO43" s="149"/>
      <c r="LRP43" s="149"/>
      <c r="LRQ43" s="149"/>
      <c r="LRR43" s="149"/>
      <c r="LRS43" s="149"/>
      <c r="LRT43" s="149"/>
      <c r="LRU43" s="149"/>
      <c r="LRV43" s="149"/>
      <c r="LRW43" s="149"/>
      <c r="LRX43" s="149"/>
      <c r="LRY43" s="149"/>
      <c r="LRZ43" s="149"/>
      <c r="LSA43" s="149"/>
      <c r="LSB43" s="149"/>
      <c r="LSC43" s="149"/>
      <c r="LSD43" s="149"/>
      <c r="LSE43" s="149"/>
      <c r="LSF43" s="149"/>
      <c r="LSG43" s="149"/>
      <c r="LSH43" s="149"/>
      <c r="LSI43" s="149"/>
      <c r="LSJ43" s="149"/>
      <c r="LSK43" s="149"/>
      <c r="LSL43" s="149"/>
      <c r="LSM43" s="149"/>
      <c r="LSN43" s="149"/>
      <c r="LSO43" s="149"/>
      <c r="LSP43" s="149"/>
      <c r="LSQ43" s="149"/>
      <c r="LSR43" s="149"/>
      <c r="LSS43" s="149"/>
      <c r="LST43" s="149"/>
      <c r="LSU43" s="149"/>
      <c r="LSV43" s="149"/>
      <c r="LSW43" s="149"/>
      <c r="LSX43" s="149"/>
      <c r="LSY43" s="149"/>
      <c r="LSZ43" s="149"/>
      <c r="LTA43" s="149"/>
      <c r="LTB43" s="149"/>
      <c r="LTC43" s="149"/>
      <c r="LTD43" s="149"/>
      <c r="LTE43" s="149"/>
      <c r="LTF43" s="149"/>
      <c r="LTG43" s="149"/>
      <c r="LTH43" s="149"/>
      <c r="LTI43" s="149"/>
      <c r="LTJ43" s="149"/>
      <c r="LTK43" s="149"/>
      <c r="LTL43" s="149"/>
      <c r="LTM43" s="149"/>
      <c r="LTN43" s="149"/>
      <c r="LTO43" s="149"/>
      <c r="LTP43" s="149"/>
      <c r="LTQ43" s="149"/>
      <c r="LTR43" s="149"/>
      <c r="LTS43" s="149"/>
      <c r="LTT43" s="149"/>
      <c r="LTU43" s="149"/>
      <c r="LTV43" s="149"/>
      <c r="LTW43" s="149"/>
      <c r="LTX43" s="149"/>
      <c r="LTY43" s="149"/>
      <c r="LTZ43" s="149"/>
      <c r="LUA43" s="149"/>
      <c r="LUB43" s="149"/>
      <c r="LUC43" s="149"/>
      <c r="LUD43" s="149"/>
      <c r="LUE43" s="149"/>
      <c r="LUF43" s="149"/>
      <c r="LUG43" s="149"/>
      <c r="LUH43" s="149"/>
      <c r="LUI43" s="149"/>
      <c r="LUJ43" s="149"/>
      <c r="LUK43" s="149"/>
      <c r="LUL43" s="149"/>
      <c r="LUM43" s="149"/>
      <c r="LUN43" s="149"/>
      <c r="LUO43" s="149"/>
      <c r="LUP43" s="149"/>
      <c r="LUQ43" s="149"/>
      <c r="LUR43" s="149"/>
      <c r="LUS43" s="149"/>
      <c r="LUT43" s="149"/>
      <c r="LUU43" s="149"/>
      <c r="LUV43" s="149"/>
      <c r="LUW43" s="149"/>
      <c r="LUX43" s="149"/>
      <c r="LUY43" s="149"/>
      <c r="LUZ43" s="149"/>
      <c r="LVA43" s="149"/>
      <c r="LVB43" s="149"/>
      <c r="LVC43" s="149"/>
      <c r="LVD43" s="149"/>
      <c r="LVE43" s="149"/>
      <c r="LVF43" s="149"/>
      <c r="LVG43" s="149"/>
      <c r="LVH43" s="149"/>
      <c r="LVI43" s="149"/>
      <c r="LVJ43" s="149"/>
      <c r="LVK43" s="149"/>
      <c r="LVL43" s="149"/>
      <c r="LVM43" s="149"/>
      <c r="LVN43" s="149"/>
      <c r="LVO43" s="149"/>
      <c r="LVP43" s="149"/>
      <c r="LVQ43" s="149"/>
      <c r="LVR43" s="149"/>
      <c r="LVS43" s="149"/>
      <c r="LVT43" s="149"/>
      <c r="LVU43" s="149"/>
      <c r="LVV43" s="149"/>
      <c r="LVW43" s="149"/>
      <c r="LVX43" s="149"/>
      <c r="LVY43" s="149"/>
      <c r="LVZ43" s="149"/>
      <c r="LWA43" s="149"/>
      <c r="LWB43" s="149"/>
      <c r="LWC43" s="149"/>
      <c r="LWD43" s="149"/>
      <c r="LWE43" s="149"/>
      <c r="LWF43" s="149"/>
      <c r="LWG43" s="149"/>
      <c r="LWH43" s="149"/>
      <c r="LWI43" s="149"/>
      <c r="LWJ43" s="149"/>
      <c r="LWK43" s="149"/>
      <c r="LWL43" s="149"/>
      <c r="LWM43" s="149"/>
      <c r="LWN43" s="149"/>
      <c r="LWO43" s="149"/>
      <c r="LWP43" s="149"/>
      <c r="LWQ43" s="149"/>
      <c r="LWR43" s="149"/>
      <c r="LWS43" s="149"/>
      <c r="LWT43" s="149"/>
      <c r="LWU43" s="149"/>
      <c r="LWV43" s="149"/>
      <c r="LWW43" s="149"/>
      <c r="LWX43" s="149"/>
      <c r="LWY43" s="149"/>
      <c r="LWZ43" s="149"/>
      <c r="LXA43" s="149"/>
      <c r="LXB43" s="149"/>
      <c r="LXC43" s="149"/>
      <c r="LXD43" s="149"/>
      <c r="LXE43" s="149"/>
      <c r="LXF43" s="149"/>
      <c r="LXG43" s="149"/>
      <c r="LXH43" s="149"/>
      <c r="LXI43" s="149"/>
      <c r="LXJ43" s="149"/>
      <c r="LXK43" s="149"/>
      <c r="LXL43" s="149"/>
      <c r="LXM43" s="149"/>
      <c r="LXN43" s="149"/>
      <c r="LXO43" s="149"/>
      <c r="LXP43" s="149"/>
      <c r="LXQ43" s="149"/>
      <c r="LXR43" s="149"/>
      <c r="LXS43" s="149"/>
      <c r="LXT43" s="149"/>
      <c r="LXU43" s="149"/>
      <c r="LXV43" s="149"/>
      <c r="LXW43" s="149"/>
      <c r="LXX43" s="149"/>
      <c r="LXY43" s="149"/>
      <c r="LXZ43" s="149"/>
      <c r="LYA43" s="149"/>
      <c r="LYB43" s="149"/>
      <c r="LYC43" s="149"/>
      <c r="LYD43" s="149"/>
      <c r="LYE43" s="149"/>
      <c r="LYF43" s="149"/>
      <c r="LYG43" s="149"/>
      <c r="LYH43" s="149"/>
      <c r="LYI43" s="149"/>
      <c r="LYJ43" s="149"/>
      <c r="LYK43" s="149"/>
      <c r="LYL43" s="149"/>
      <c r="LYM43" s="149"/>
      <c r="LYN43" s="149"/>
      <c r="LYO43" s="149"/>
      <c r="LYP43" s="149"/>
      <c r="LYQ43" s="149"/>
      <c r="LYR43" s="149"/>
      <c r="LYS43" s="149"/>
      <c r="LYT43" s="149"/>
      <c r="LYU43" s="149"/>
      <c r="LYV43" s="149"/>
      <c r="LYW43" s="149"/>
      <c r="LYX43" s="149"/>
      <c r="LYY43" s="149"/>
      <c r="LYZ43" s="149"/>
      <c r="LZA43" s="149"/>
      <c r="LZB43" s="149"/>
      <c r="LZC43" s="149"/>
      <c r="LZD43" s="149"/>
      <c r="LZE43" s="149"/>
      <c r="LZF43" s="149"/>
      <c r="LZG43" s="149"/>
      <c r="LZH43" s="149"/>
      <c r="LZI43" s="149"/>
      <c r="LZJ43" s="149"/>
      <c r="LZK43" s="149"/>
      <c r="LZL43" s="149"/>
      <c r="LZM43" s="149"/>
      <c r="LZN43" s="149"/>
      <c r="LZO43" s="149"/>
      <c r="LZP43" s="149"/>
      <c r="LZQ43" s="149"/>
      <c r="LZR43" s="149"/>
      <c r="LZS43" s="149"/>
      <c r="LZT43" s="149"/>
      <c r="LZU43" s="149"/>
      <c r="LZV43" s="149"/>
      <c r="LZW43" s="149"/>
      <c r="LZX43" s="149"/>
      <c r="LZY43" s="149"/>
      <c r="LZZ43" s="149"/>
      <c r="MAA43" s="149"/>
      <c r="MAB43" s="149"/>
      <c r="MAC43" s="149"/>
      <c r="MAD43" s="149"/>
      <c r="MAE43" s="149"/>
      <c r="MAF43" s="149"/>
      <c r="MAG43" s="149"/>
      <c r="MAH43" s="149"/>
      <c r="MAI43" s="149"/>
      <c r="MAJ43" s="149"/>
      <c r="MAK43" s="149"/>
      <c r="MAL43" s="149"/>
      <c r="MAM43" s="149"/>
      <c r="MAN43" s="149"/>
      <c r="MAO43" s="149"/>
      <c r="MAP43" s="149"/>
      <c r="MAQ43" s="149"/>
      <c r="MAR43" s="149"/>
      <c r="MAS43" s="149"/>
      <c r="MAT43" s="149"/>
      <c r="MAU43" s="149"/>
      <c r="MAV43" s="149"/>
      <c r="MAW43" s="149"/>
      <c r="MAX43" s="149"/>
      <c r="MAY43" s="149"/>
      <c r="MAZ43" s="149"/>
      <c r="MBA43" s="149"/>
      <c r="MBB43" s="149"/>
      <c r="MBC43" s="149"/>
      <c r="MBD43" s="149"/>
      <c r="MBE43" s="149"/>
      <c r="MBF43" s="149"/>
      <c r="MBG43" s="149"/>
      <c r="MBH43" s="149"/>
      <c r="MBI43" s="149"/>
      <c r="MBJ43" s="149"/>
      <c r="MBK43" s="149"/>
      <c r="MBL43" s="149"/>
      <c r="MBM43" s="149"/>
      <c r="MBN43" s="149"/>
      <c r="MBO43" s="149"/>
      <c r="MBP43" s="149"/>
      <c r="MBQ43" s="149"/>
      <c r="MBR43" s="149"/>
      <c r="MBS43" s="149"/>
      <c r="MBT43" s="149"/>
      <c r="MBU43" s="149"/>
      <c r="MBV43" s="149"/>
      <c r="MBW43" s="149"/>
      <c r="MBX43" s="149"/>
      <c r="MBY43" s="149"/>
      <c r="MBZ43" s="149"/>
      <c r="MCA43" s="149"/>
      <c r="MCB43" s="149"/>
      <c r="MCC43" s="149"/>
      <c r="MCD43" s="149"/>
      <c r="MCE43" s="149"/>
      <c r="MCF43" s="149"/>
      <c r="MCG43" s="149"/>
      <c r="MCH43" s="149"/>
      <c r="MCI43" s="149"/>
      <c r="MCJ43" s="149"/>
      <c r="MCK43" s="149"/>
      <c r="MCL43" s="149"/>
      <c r="MCM43" s="149"/>
      <c r="MCN43" s="149"/>
      <c r="MCO43" s="149"/>
      <c r="MCP43" s="149"/>
      <c r="MCQ43" s="149"/>
      <c r="MCR43" s="149"/>
      <c r="MCS43" s="149"/>
      <c r="MCT43" s="149"/>
      <c r="MCU43" s="149"/>
      <c r="MCV43" s="149"/>
      <c r="MCW43" s="149"/>
      <c r="MCX43" s="149"/>
      <c r="MCY43" s="149"/>
      <c r="MCZ43" s="149"/>
      <c r="MDA43" s="149"/>
      <c r="MDB43" s="149"/>
      <c r="MDC43" s="149"/>
      <c r="MDD43" s="149"/>
      <c r="MDE43" s="149"/>
      <c r="MDF43" s="149"/>
      <c r="MDG43" s="149"/>
      <c r="MDH43" s="149"/>
      <c r="MDI43" s="149"/>
      <c r="MDJ43" s="149"/>
      <c r="MDK43" s="149"/>
      <c r="MDL43" s="149"/>
      <c r="MDM43" s="149"/>
      <c r="MDN43" s="149"/>
      <c r="MDO43" s="149"/>
      <c r="MDP43" s="149"/>
      <c r="MDQ43" s="149"/>
      <c r="MDR43" s="149"/>
      <c r="MDS43" s="149"/>
      <c r="MDT43" s="149"/>
      <c r="MDU43" s="149"/>
      <c r="MDV43" s="149"/>
      <c r="MDW43" s="149"/>
      <c r="MDX43" s="149"/>
      <c r="MDY43" s="149"/>
      <c r="MDZ43" s="149"/>
      <c r="MEA43" s="149"/>
      <c r="MEB43" s="149"/>
      <c r="MEC43" s="149"/>
      <c r="MED43" s="149"/>
      <c r="MEE43" s="149"/>
      <c r="MEF43" s="149"/>
      <c r="MEG43" s="149"/>
      <c r="MEH43" s="149"/>
      <c r="MEI43" s="149"/>
      <c r="MEJ43" s="149"/>
      <c r="MEK43" s="149"/>
      <c r="MEL43" s="149"/>
      <c r="MEM43" s="149"/>
      <c r="MEN43" s="149"/>
      <c r="MEO43" s="149"/>
      <c r="MEP43" s="149"/>
      <c r="MEQ43" s="149"/>
      <c r="MER43" s="149"/>
      <c r="MES43" s="149"/>
      <c r="MET43" s="149"/>
      <c r="MEU43" s="149"/>
      <c r="MEV43" s="149"/>
      <c r="MEW43" s="149"/>
      <c r="MEX43" s="149"/>
      <c r="MEY43" s="149"/>
      <c r="MEZ43" s="149"/>
      <c r="MFA43" s="149"/>
      <c r="MFB43" s="149"/>
      <c r="MFC43" s="149"/>
      <c r="MFD43" s="149"/>
      <c r="MFE43" s="149"/>
      <c r="MFF43" s="149"/>
      <c r="MFG43" s="149"/>
      <c r="MFH43" s="149"/>
      <c r="MFI43" s="149"/>
      <c r="MFJ43" s="149"/>
      <c r="MFK43" s="149"/>
      <c r="MFL43" s="149"/>
      <c r="MFM43" s="149"/>
      <c r="MFN43" s="149"/>
      <c r="MFO43" s="149"/>
      <c r="MFP43" s="149"/>
      <c r="MFQ43" s="149"/>
      <c r="MFR43" s="149"/>
      <c r="MFS43" s="149"/>
      <c r="MFT43" s="149"/>
      <c r="MFU43" s="149"/>
      <c r="MFV43" s="149"/>
      <c r="MFW43" s="149"/>
      <c r="MFX43" s="149"/>
      <c r="MFY43" s="149"/>
      <c r="MFZ43" s="149"/>
      <c r="MGA43" s="149"/>
      <c r="MGB43" s="149"/>
      <c r="MGC43" s="149"/>
      <c r="MGD43" s="149"/>
      <c r="MGE43" s="149"/>
      <c r="MGF43" s="149"/>
      <c r="MGG43" s="149"/>
      <c r="MGH43" s="149"/>
      <c r="MGI43" s="149"/>
      <c r="MGJ43" s="149"/>
      <c r="MGK43" s="149"/>
      <c r="MGL43" s="149"/>
      <c r="MGM43" s="149"/>
      <c r="MGN43" s="149"/>
      <c r="MGO43" s="149"/>
      <c r="MGP43" s="149"/>
      <c r="MGQ43" s="149"/>
      <c r="MGR43" s="149"/>
      <c r="MGS43" s="149"/>
      <c r="MGT43" s="149"/>
      <c r="MGU43" s="149"/>
      <c r="MGV43" s="149"/>
      <c r="MGW43" s="149"/>
      <c r="MGX43" s="149"/>
      <c r="MGY43" s="149"/>
      <c r="MGZ43" s="149"/>
      <c r="MHA43" s="149"/>
      <c r="MHB43" s="149"/>
      <c r="MHC43" s="149"/>
      <c r="MHD43" s="149"/>
      <c r="MHE43" s="149"/>
      <c r="MHF43" s="149"/>
      <c r="MHG43" s="149"/>
      <c r="MHH43" s="149"/>
      <c r="MHI43" s="149"/>
      <c r="MHJ43" s="149"/>
      <c r="MHK43" s="149"/>
      <c r="MHL43" s="149"/>
      <c r="MHM43" s="149"/>
      <c r="MHN43" s="149"/>
      <c r="MHO43" s="149"/>
      <c r="MHP43" s="149"/>
      <c r="MHQ43" s="149"/>
      <c r="MHR43" s="149"/>
      <c r="MHS43" s="149"/>
      <c r="MHT43" s="149"/>
      <c r="MHU43" s="149"/>
      <c r="MHV43" s="149"/>
      <c r="MHW43" s="149"/>
      <c r="MHX43" s="149"/>
      <c r="MHY43" s="149"/>
      <c r="MHZ43" s="149"/>
      <c r="MIA43" s="149"/>
      <c r="MIB43" s="149"/>
      <c r="MIC43" s="149"/>
      <c r="MID43" s="149"/>
      <c r="MIE43" s="149"/>
      <c r="MIF43" s="149"/>
      <c r="MIG43" s="149"/>
      <c r="MIH43" s="149"/>
      <c r="MII43" s="149"/>
      <c r="MIJ43" s="149"/>
      <c r="MIK43" s="149"/>
      <c r="MIL43" s="149"/>
      <c r="MIM43" s="149"/>
      <c r="MIN43" s="149"/>
      <c r="MIO43" s="149"/>
      <c r="MIP43" s="149"/>
      <c r="MIQ43" s="149"/>
      <c r="MIR43" s="149"/>
      <c r="MIS43" s="149"/>
      <c r="MIT43" s="149"/>
      <c r="MIU43" s="149"/>
      <c r="MIV43" s="149"/>
      <c r="MIW43" s="149"/>
      <c r="MIX43" s="149"/>
      <c r="MIY43" s="149"/>
      <c r="MIZ43" s="149"/>
      <c r="MJA43" s="149"/>
      <c r="MJB43" s="149"/>
      <c r="MJC43" s="149"/>
      <c r="MJD43" s="149"/>
      <c r="MJE43" s="149"/>
      <c r="MJF43" s="149"/>
      <c r="MJG43" s="149"/>
      <c r="MJH43" s="149"/>
      <c r="MJI43" s="149"/>
      <c r="MJJ43" s="149"/>
      <c r="MJK43" s="149"/>
      <c r="MJL43" s="149"/>
      <c r="MJM43" s="149"/>
      <c r="MJN43" s="149"/>
      <c r="MJO43" s="149"/>
      <c r="MJP43" s="149"/>
      <c r="MJQ43" s="149"/>
      <c r="MJR43" s="149"/>
      <c r="MJS43" s="149"/>
      <c r="MJT43" s="149"/>
      <c r="MJU43" s="149"/>
      <c r="MJV43" s="149"/>
      <c r="MJW43" s="149"/>
      <c r="MJX43" s="149"/>
      <c r="MJY43" s="149"/>
      <c r="MJZ43" s="149"/>
      <c r="MKA43" s="149"/>
      <c r="MKB43" s="149"/>
      <c r="MKC43" s="149"/>
      <c r="MKD43" s="149"/>
      <c r="MKE43" s="149"/>
      <c r="MKF43" s="149"/>
      <c r="MKG43" s="149"/>
      <c r="MKH43" s="149"/>
      <c r="MKI43" s="149"/>
      <c r="MKJ43" s="149"/>
      <c r="MKK43" s="149"/>
      <c r="MKL43" s="149"/>
      <c r="MKM43" s="149"/>
      <c r="MKN43" s="149"/>
      <c r="MKO43" s="149"/>
      <c r="MKP43" s="149"/>
      <c r="MKQ43" s="149"/>
      <c r="MKR43" s="149"/>
      <c r="MKS43" s="149"/>
      <c r="MKT43" s="149"/>
      <c r="MKU43" s="149"/>
      <c r="MKV43" s="149"/>
      <c r="MKW43" s="149"/>
      <c r="MKX43" s="149"/>
      <c r="MKY43" s="149"/>
      <c r="MKZ43" s="149"/>
      <c r="MLA43" s="149"/>
      <c r="MLB43" s="149"/>
      <c r="MLC43" s="149"/>
      <c r="MLD43" s="149"/>
      <c r="MLE43" s="149"/>
      <c r="MLF43" s="149"/>
      <c r="MLG43" s="149"/>
      <c r="MLH43" s="149"/>
      <c r="MLI43" s="149"/>
      <c r="MLJ43" s="149"/>
      <c r="MLK43" s="149"/>
      <c r="MLL43" s="149"/>
      <c r="MLM43" s="149"/>
      <c r="MLN43" s="149"/>
      <c r="MLO43" s="149"/>
      <c r="MLP43" s="149"/>
      <c r="MLQ43" s="149"/>
      <c r="MLR43" s="149"/>
      <c r="MLS43" s="149"/>
      <c r="MLT43" s="149"/>
      <c r="MLU43" s="149"/>
      <c r="MLV43" s="149"/>
      <c r="MLW43" s="149"/>
      <c r="MLX43" s="149"/>
      <c r="MLY43" s="149"/>
      <c r="MLZ43" s="149"/>
      <c r="MMA43" s="149"/>
      <c r="MMB43" s="149"/>
      <c r="MMC43" s="149"/>
      <c r="MMD43" s="149"/>
      <c r="MME43" s="149"/>
      <c r="MMF43" s="149"/>
      <c r="MMG43" s="149"/>
      <c r="MMH43" s="149"/>
      <c r="MMI43" s="149"/>
      <c r="MMJ43" s="149"/>
      <c r="MMK43" s="149"/>
      <c r="MML43" s="149"/>
      <c r="MMM43" s="149"/>
      <c r="MMN43" s="149"/>
      <c r="MMO43" s="149"/>
      <c r="MMP43" s="149"/>
      <c r="MMQ43" s="149"/>
      <c r="MMR43" s="149"/>
      <c r="MMS43" s="149"/>
      <c r="MMT43" s="149"/>
      <c r="MMU43" s="149"/>
      <c r="MMV43" s="149"/>
      <c r="MMW43" s="149"/>
      <c r="MMX43" s="149"/>
      <c r="MMY43" s="149"/>
      <c r="MMZ43" s="149"/>
      <c r="MNA43" s="149"/>
      <c r="MNB43" s="149"/>
      <c r="MNC43" s="149"/>
      <c r="MND43" s="149"/>
      <c r="MNE43" s="149"/>
      <c r="MNF43" s="149"/>
      <c r="MNG43" s="149"/>
      <c r="MNH43" s="149"/>
      <c r="MNI43" s="149"/>
      <c r="MNJ43" s="149"/>
      <c r="MNK43" s="149"/>
      <c r="MNL43" s="149"/>
      <c r="MNM43" s="149"/>
      <c r="MNN43" s="149"/>
      <c r="MNO43" s="149"/>
      <c r="MNP43" s="149"/>
      <c r="MNQ43" s="149"/>
      <c r="MNR43" s="149"/>
      <c r="MNS43" s="149"/>
      <c r="MNT43" s="149"/>
      <c r="MNU43" s="149"/>
      <c r="MNV43" s="149"/>
      <c r="MNW43" s="149"/>
      <c r="MNX43" s="149"/>
      <c r="MNY43" s="149"/>
      <c r="MNZ43" s="149"/>
      <c r="MOA43" s="149"/>
      <c r="MOB43" s="149"/>
      <c r="MOC43" s="149"/>
      <c r="MOD43" s="149"/>
      <c r="MOE43" s="149"/>
      <c r="MOF43" s="149"/>
      <c r="MOG43" s="149"/>
      <c r="MOH43" s="149"/>
      <c r="MOI43" s="149"/>
      <c r="MOJ43" s="149"/>
      <c r="MOK43" s="149"/>
      <c r="MOL43" s="149"/>
      <c r="MOM43" s="149"/>
      <c r="MON43" s="149"/>
      <c r="MOO43" s="149"/>
      <c r="MOP43" s="149"/>
      <c r="MOQ43" s="149"/>
      <c r="MOR43" s="149"/>
      <c r="MOS43" s="149"/>
      <c r="MOT43" s="149"/>
      <c r="MOU43" s="149"/>
      <c r="MOV43" s="149"/>
      <c r="MOW43" s="149"/>
      <c r="MOX43" s="149"/>
      <c r="MOY43" s="149"/>
      <c r="MOZ43" s="149"/>
      <c r="MPA43" s="149"/>
      <c r="MPB43" s="149"/>
      <c r="MPC43" s="149"/>
      <c r="MPD43" s="149"/>
      <c r="MPE43" s="149"/>
      <c r="MPF43" s="149"/>
      <c r="MPG43" s="149"/>
      <c r="MPH43" s="149"/>
      <c r="MPI43" s="149"/>
      <c r="MPJ43" s="149"/>
      <c r="MPK43" s="149"/>
      <c r="MPL43" s="149"/>
      <c r="MPM43" s="149"/>
      <c r="MPN43" s="149"/>
      <c r="MPO43" s="149"/>
      <c r="MPP43" s="149"/>
      <c r="MPQ43" s="149"/>
      <c r="MPR43" s="149"/>
      <c r="MPS43" s="149"/>
      <c r="MPT43" s="149"/>
      <c r="MPU43" s="149"/>
      <c r="MPV43" s="149"/>
      <c r="MPW43" s="149"/>
      <c r="MPX43" s="149"/>
      <c r="MPY43" s="149"/>
      <c r="MPZ43" s="149"/>
      <c r="MQA43" s="149"/>
      <c r="MQB43" s="149"/>
      <c r="MQC43" s="149"/>
      <c r="MQD43" s="149"/>
      <c r="MQE43" s="149"/>
      <c r="MQF43" s="149"/>
      <c r="MQG43" s="149"/>
      <c r="MQH43" s="149"/>
      <c r="MQI43" s="149"/>
      <c r="MQJ43" s="149"/>
      <c r="MQK43" s="149"/>
      <c r="MQL43" s="149"/>
      <c r="MQM43" s="149"/>
      <c r="MQN43" s="149"/>
      <c r="MQO43" s="149"/>
      <c r="MQP43" s="149"/>
      <c r="MQQ43" s="149"/>
      <c r="MQR43" s="149"/>
      <c r="MQS43" s="149"/>
      <c r="MQT43" s="149"/>
      <c r="MQU43" s="149"/>
      <c r="MQV43" s="149"/>
      <c r="MQW43" s="149"/>
      <c r="MQX43" s="149"/>
      <c r="MQY43" s="149"/>
      <c r="MQZ43" s="149"/>
      <c r="MRA43" s="149"/>
      <c r="MRB43" s="149"/>
      <c r="MRC43" s="149"/>
      <c r="MRD43" s="149"/>
      <c r="MRE43" s="149"/>
      <c r="MRF43" s="149"/>
      <c r="MRG43" s="149"/>
      <c r="MRH43" s="149"/>
      <c r="MRI43" s="149"/>
      <c r="MRJ43" s="149"/>
      <c r="MRK43" s="149"/>
      <c r="MRL43" s="149"/>
      <c r="MRM43" s="149"/>
      <c r="MRN43" s="149"/>
      <c r="MRO43" s="149"/>
      <c r="MRP43" s="149"/>
      <c r="MRQ43" s="149"/>
      <c r="MRR43" s="149"/>
      <c r="MRS43" s="149"/>
      <c r="MRT43" s="149"/>
      <c r="MRU43" s="149"/>
      <c r="MRV43" s="149"/>
      <c r="MRW43" s="149"/>
      <c r="MRX43" s="149"/>
      <c r="MRY43" s="149"/>
      <c r="MRZ43" s="149"/>
      <c r="MSA43" s="149"/>
      <c r="MSB43" s="149"/>
      <c r="MSC43" s="149"/>
      <c r="MSD43" s="149"/>
      <c r="MSE43" s="149"/>
      <c r="MSF43" s="149"/>
      <c r="MSG43" s="149"/>
      <c r="MSH43" s="149"/>
      <c r="MSI43" s="149"/>
      <c r="MSJ43" s="149"/>
      <c r="MSK43" s="149"/>
      <c r="MSL43" s="149"/>
      <c r="MSM43" s="149"/>
      <c r="MSN43" s="149"/>
      <c r="MSO43" s="149"/>
      <c r="MSP43" s="149"/>
      <c r="MSQ43" s="149"/>
      <c r="MSR43" s="149"/>
      <c r="MSS43" s="149"/>
      <c r="MST43" s="149"/>
      <c r="MSU43" s="149"/>
      <c r="MSV43" s="149"/>
      <c r="MSW43" s="149"/>
      <c r="MSX43" s="149"/>
      <c r="MSY43" s="149"/>
      <c r="MSZ43" s="149"/>
      <c r="MTA43" s="149"/>
      <c r="MTB43" s="149"/>
      <c r="MTC43" s="149"/>
      <c r="MTD43" s="149"/>
      <c r="MTE43" s="149"/>
      <c r="MTF43" s="149"/>
      <c r="MTG43" s="149"/>
      <c r="MTH43" s="149"/>
      <c r="MTI43" s="149"/>
      <c r="MTJ43" s="149"/>
      <c r="MTK43" s="149"/>
      <c r="MTL43" s="149"/>
      <c r="MTM43" s="149"/>
      <c r="MTN43" s="149"/>
      <c r="MTO43" s="149"/>
      <c r="MTP43" s="149"/>
      <c r="MTQ43" s="149"/>
      <c r="MTR43" s="149"/>
      <c r="MTS43" s="149"/>
      <c r="MTT43" s="149"/>
      <c r="MTU43" s="149"/>
      <c r="MTV43" s="149"/>
      <c r="MTW43" s="149"/>
      <c r="MTX43" s="149"/>
      <c r="MTY43" s="149"/>
      <c r="MTZ43" s="149"/>
      <c r="MUA43" s="149"/>
      <c r="MUB43" s="149"/>
      <c r="MUC43" s="149"/>
      <c r="MUD43" s="149"/>
      <c r="MUE43" s="149"/>
      <c r="MUF43" s="149"/>
      <c r="MUG43" s="149"/>
      <c r="MUH43" s="149"/>
      <c r="MUI43" s="149"/>
      <c r="MUJ43" s="149"/>
      <c r="MUK43" s="149"/>
      <c r="MUL43" s="149"/>
      <c r="MUM43" s="149"/>
      <c r="MUN43" s="149"/>
      <c r="MUO43" s="149"/>
      <c r="MUP43" s="149"/>
      <c r="MUQ43" s="149"/>
      <c r="MUR43" s="149"/>
      <c r="MUS43" s="149"/>
      <c r="MUT43" s="149"/>
      <c r="MUU43" s="149"/>
      <c r="MUV43" s="149"/>
      <c r="MUW43" s="149"/>
      <c r="MUX43" s="149"/>
      <c r="MUY43" s="149"/>
      <c r="MUZ43" s="149"/>
      <c r="MVA43" s="149"/>
      <c r="MVB43" s="149"/>
      <c r="MVC43" s="149"/>
      <c r="MVD43" s="149"/>
      <c r="MVE43" s="149"/>
      <c r="MVF43" s="149"/>
      <c r="MVG43" s="149"/>
      <c r="MVH43" s="149"/>
      <c r="MVI43" s="149"/>
      <c r="MVJ43" s="149"/>
      <c r="MVK43" s="149"/>
      <c r="MVL43" s="149"/>
      <c r="MVM43" s="149"/>
      <c r="MVN43" s="149"/>
      <c r="MVO43" s="149"/>
      <c r="MVP43" s="149"/>
      <c r="MVQ43" s="149"/>
      <c r="MVR43" s="149"/>
      <c r="MVS43" s="149"/>
      <c r="MVT43" s="149"/>
      <c r="MVU43" s="149"/>
      <c r="MVV43" s="149"/>
      <c r="MVW43" s="149"/>
      <c r="MVX43" s="149"/>
      <c r="MVY43" s="149"/>
      <c r="MVZ43" s="149"/>
      <c r="MWA43" s="149"/>
      <c r="MWB43" s="149"/>
      <c r="MWC43" s="149"/>
      <c r="MWD43" s="149"/>
      <c r="MWE43" s="149"/>
      <c r="MWF43" s="149"/>
      <c r="MWG43" s="149"/>
      <c r="MWH43" s="149"/>
      <c r="MWI43" s="149"/>
      <c r="MWJ43" s="149"/>
      <c r="MWK43" s="149"/>
      <c r="MWL43" s="149"/>
      <c r="MWM43" s="149"/>
      <c r="MWN43" s="149"/>
      <c r="MWO43" s="149"/>
      <c r="MWP43" s="149"/>
      <c r="MWQ43" s="149"/>
      <c r="MWR43" s="149"/>
      <c r="MWS43" s="149"/>
      <c r="MWT43" s="149"/>
      <c r="MWU43" s="149"/>
      <c r="MWV43" s="149"/>
      <c r="MWW43" s="149"/>
      <c r="MWX43" s="149"/>
      <c r="MWY43" s="149"/>
      <c r="MWZ43" s="149"/>
      <c r="MXA43" s="149"/>
      <c r="MXB43" s="149"/>
      <c r="MXC43" s="149"/>
      <c r="MXD43" s="149"/>
      <c r="MXE43" s="149"/>
      <c r="MXF43" s="149"/>
      <c r="MXG43" s="149"/>
      <c r="MXH43" s="149"/>
      <c r="MXI43" s="149"/>
      <c r="MXJ43" s="149"/>
      <c r="MXK43" s="149"/>
      <c r="MXL43" s="149"/>
      <c r="MXM43" s="149"/>
      <c r="MXN43" s="149"/>
      <c r="MXO43" s="149"/>
      <c r="MXP43" s="149"/>
      <c r="MXQ43" s="149"/>
      <c r="MXR43" s="149"/>
      <c r="MXS43" s="149"/>
      <c r="MXT43" s="149"/>
      <c r="MXU43" s="149"/>
      <c r="MXV43" s="149"/>
      <c r="MXW43" s="149"/>
      <c r="MXX43" s="149"/>
      <c r="MXY43" s="149"/>
      <c r="MXZ43" s="149"/>
      <c r="MYA43" s="149"/>
      <c r="MYB43" s="149"/>
      <c r="MYC43" s="149"/>
      <c r="MYD43" s="149"/>
      <c r="MYE43" s="149"/>
      <c r="MYF43" s="149"/>
      <c r="MYG43" s="149"/>
      <c r="MYH43" s="149"/>
      <c r="MYI43" s="149"/>
      <c r="MYJ43" s="149"/>
      <c r="MYK43" s="149"/>
      <c r="MYL43" s="149"/>
      <c r="MYM43" s="149"/>
      <c r="MYN43" s="149"/>
      <c r="MYO43" s="149"/>
      <c r="MYP43" s="149"/>
      <c r="MYQ43" s="149"/>
      <c r="MYR43" s="149"/>
      <c r="MYS43" s="149"/>
      <c r="MYT43" s="149"/>
      <c r="MYU43" s="149"/>
      <c r="MYV43" s="149"/>
      <c r="MYW43" s="149"/>
      <c r="MYX43" s="149"/>
      <c r="MYY43" s="149"/>
      <c r="MYZ43" s="149"/>
      <c r="MZA43" s="149"/>
      <c r="MZB43" s="149"/>
      <c r="MZC43" s="149"/>
      <c r="MZD43" s="149"/>
      <c r="MZE43" s="149"/>
      <c r="MZF43" s="149"/>
      <c r="MZG43" s="149"/>
      <c r="MZH43" s="149"/>
      <c r="MZI43" s="149"/>
      <c r="MZJ43" s="149"/>
      <c r="MZK43" s="149"/>
      <c r="MZL43" s="149"/>
      <c r="MZM43" s="149"/>
      <c r="MZN43" s="149"/>
      <c r="MZO43" s="149"/>
      <c r="MZP43" s="149"/>
      <c r="MZQ43" s="149"/>
      <c r="MZR43" s="149"/>
      <c r="MZS43" s="149"/>
      <c r="MZT43" s="149"/>
      <c r="MZU43" s="149"/>
      <c r="MZV43" s="149"/>
      <c r="MZW43" s="149"/>
      <c r="MZX43" s="149"/>
      <c r="MZY43" s="149"/>
      <c r="MZZ43" s="149"/>
      <c r="NAA43" s="149"/>
      <c r="NAB43" s="149"/>
      <c r="NAC43" s="149"/>
      <c r="NAD43" s="149"/>
      <c r="NAE43" s="149"/>
      <c r="NAF43" s="149"/>
      <c r="NAG43" s="149"/>
      <c r="NAH43" s="149"/>
      <c r="NAI43" s="149"/>
      <c r="NAJ43" s="149"/>
      <c r="NAK43" s="149"/>
      <c r="NAL43" s="149"/>
      <c r="NAM43" s="149"/>
      <c r="NAN43" s="149"/>
      <c r="NAO43" s="149"/>
      <c r="NAP43" s="149"/>
      <c r="NAQ43" s="149"/>
      <c r="NAR43" s="149"/>
      <c r="NAS43" s="149"/>
      <c r="NAT43" s="149"/>
      <c r="NAU43" s="149"/>
      <c r="NAV43" s="149"/>
      <c r="NAW43" s="149"/>
      <c r="NAX43" s="149"/>
      <c r="NAY43" s="149"/>
      <c r="NAZ43" s="149"/>
      <c r="NBA43" s="149"/>
      <c r="NBB43" s="149"/>
      <c r="NBC43" s="149"/>
      <c r="NBD43" s="149"/>
      <c r="NBE43" s="149"/>
      <c r="NBF43" s="149"/>
      <c r="NBG43" s="149"/>
      <c r="NBH43" s="149"/>
      <c r="NBI43" s="149"/>
      <c r="NBJ43" s="149"/>
      <c r="NBK43" s="149"/>
      <c r="NBL43" s="149"/>
      <c r="NBM43" s="149"/>
      <c r="NBN43" s="149"/>
      <c r="NBO43" s="149"/>
      <c r="NBP43" s="149"/>
      <c r="NBQ43" s="149"/>
      <c r="NBR43" s="149"/>
      <c r="NBS43" s="149"/>
      <c r="NBT43" s="149"/>
      <c r="NBU43" s="149"/>
      <c r="NBV43" s="149"/>
      <c r="NBW43" s="149"/>
      <c r="NBX43" s="149"/>
      <c r="NBY43" s="149"/>
      <c r="NBZ43" s="149"/>
      <c r="NCA43" s="149"/>
      <c r="NCB43" s="149"/>
      <c r="NCC43" s="149"/>
      <c r="NCD43" s="149"/>
      <c r="NCE43" s="149"/>
      <c r="NCF43" s="149"/>
      <c r="NCG43" s="149"/>
      <c r="NCH43" s="149"/>
      <c r="NCI43" s="149"/>
      <c r="NCJ43" s="149"/>
      <c r="NCK43" s="149"/>
      <c r="NCL43" s="149"/>
      <c r="NCM43" s="149"/>
      <c r="NCN43" s="149"/>
      <c r="NCO43" s="149"/>
      <c r="NCP43" s="149"/>
      <c r="NCQ43" s="149"/>
      <c r="NCR43" s="149"/>
      <c r="NCS43" s="149"/>
      <c r="NCT43" s="149"/>
      <c r="NCU43" s="149"/>
      <c r="NCV43" s="149"/>
      <c r="NCW43" s="149"/>
      <c r="NCX43" s="149"/>
      <c r="NCY43" s="149"/>
      <c r="NCZ43" s="149"/>
      <c r="NDA43" s="149"/>
      <c r="NDB43" s="149"/>
      <c r="NDC43" s="149"/>
      <c r="NDD43" s="149"/>
      <c r="NDE43" s="149"/>
      <c r="NDF43" s="149"/>
      <c r="NDG43" s="149"/>
      <c r="NDH43" s="149"/>
      <c r="NDI43" s="149"/>
      <c r="NDJ43" s="149"/>
      <c r="NDK43" s="149"/>
      <c r="NDL43" s="149"/>
      <c r="NDM43" s="149"/>
      <c r="NDN43" s="149"/>
      <c r="NDO43" s="149"/>
      <c r="NDP43" s="149"/>
      <c r="NDQ43" s="149"/>
      <c r="NDR43" s="149"/>
      <c r="NDS43" s="149"/>
      <c r="NDT43" s="149"/>
      <c r="NDU43" s="149"/>
      <c r="NDV43" s="149"/>
      <c r="NDW43" s="149"/>
      <c r="NDX43" s="149"/>
      <c r="NDY43" s="149"/>
      <c r="NDZ43" s="149"/>
      <c r="NEA43" s="149"/>
      <c r="NEB43" s="149"/>
      <c r="NEC43" s="149"/>
      <c r="NED43" s="149"/>
      <c r="NEE43" s="149"/>
      <c r="NEF43" s="149"/>
      <c r="NEG43" s="149"/>
      <c r="NEH43" s="149"/>
      <c r="NEI43" s="149"/>
      <c r="NEJ43" s="149"/>
      <c r="NEK43" s="149"/>
      <c r="NEL43" s="149"/>
      <c r="NEM43" s="149"/>
      <c r="NEN43" s="149"/>
      <c r="NEO43" s="149"/>
      <c r="NEP43" s="149"/>
      <c r="NEQ43" s="149"/>
      <c r="NER43" s="149"/>
      <c r="NES43" s="149"/>
      <c r="NET43" s="149"/>
      <c r="NEU43" s="149"/>
      <c r="NEV43" s="149"/>
      <c r="NEW43" s="149"/>
      <c r="NEX43" s="149"/>
      <c r="NEY43" s="149"/>
      <c r="NEZ43" s="149"/>
      <c r="NFA43" s="149"/>
      <c r="NFB43" s="149"/>
      <c r="NFC43" s="149"/>
      <c r="NFD43" s="149"/>
      <c r="NFE43" s="149"/>
      <c r="NFF43" s="149"/>
      <c r="NFG43" s="149"/>
      <c r="NFH43" s="149"/>
      <c r="NFI43" s="149"/>
      <c r="NFJ43" s="149"/>
      <c r="NFK43" s="149"/>
      <c r="NFL43" s="149"/>
      <c r="NFM43" s="149"/>
      <c r="NFN43" s="149"/>
      <c r="NFO43" s="149"/>
      <c r="NFP43" s="149"/>
      <c r="NFQ43" s="149"/>
      <c r="NFR43" s="149"/>
      <c r="NFS43" s="149"/>
      <c r="NFT43" s="149"/>
      <c r="NFU43" s="149"/>
      <c r="NFV43" s="149"/>
      <c r="NFW43" s="149"/>
      <c r="NFX43" s="149"/>
      <c r="NFY43" s="149"/>
      <c r="NFZ43" s="149"/>
      <c r="NGA43" s="149"/>
      <c r="NGB43" s="149"/>
      <c r="NGC43" s="149"/>
      <c r="NGD43" s="149"/>
      <c r="NGE43" s="149"/>
      <c r="NGF43" s="149"/>
      <c r="NGG43" s="149"/>
      <c r="NGH43" s="149"/>
      <c r="NGI43" s="149"/>
      <c r="NGJ43" s="149"/>
      <c r="NGK43" s="149"/>
      <c r="NGL43" s="149"/>
      <c r="NGM43" s="149"/>
      <c r="NGN43" s="149"/>
      <c r="NGO43" s="149"/>
      <c r="NGP43" s="149"/>
      <c r="NGQ43" s="149"/>
      <c r="NGR43" s="149"/>
      <c r="NGS43" s="149"/>
      <c r="NGT43" s="149"/>
      <c r="NGU43" s="149"/>
      <c r="NGV43" s="149"/>
      <c r="NGW43" s="149"/>
      <c r="NGX43" s="149"/>
      <c r="NGY43" s="149"/>
      <c r="NGZ43" s="149"/>
      <c r="NHA43" s="149"/>
      <c r="NHB43" s="149"/>
      <c r="NHC43" s="149"/>
      <c r="NHD43" s="149"/>
      <c r="NHE43" s="149"/>
      <c r="NHF43" s="149"/>
      <c r="NHG43" s="149"/>
      <c r="NHH43" s="149"/>
      <c r="NHI43" s="149"/>
      <c r="NHJ43" s="149"/>
      <c r="NHK43" s="149"/>
      <c r="NHL43" s="149"/>
      <c r="NHM43" s="149"/>
      <c r="NHN43" s="149"/>
      <c r="NHO43" s="149"/>
      <c r="NHP43" s="149"/>
      <c r="NHQ43" s="149"/>
      <c r="NHR43" s="149"/>
      <c r="NHS43" s="149"/>
      <c r="NHT43" s="149"/>
      <c r="NHU43" s="149"/>
      <c r="NHV43" s="149"/>
      <c r="NHW43" s="149"/>
      <c r="NHX43" s="149"/>
      <c r="NHY43" s="149"/>
      <c r="NHZ43" s="149"/>
      <c r="NIA43" s="149"/>
      <c r="NIB43" s="149"/>
      <c r="NIC43" s="149"/>
      <c r="NID43" s="149"/>
      <c r="NIE43" s="149"/>
      <c r="NIF43" s="149"/>
      <c r="NIG43" s="149"/>
      <c r="NIH43" s="149"/>
      <c r="NII43" s="149"/>
      <c r="NIJ43" s="149"/>
      <c r="NIK43" s="149"/>
      <c r="NIL43" s="149"/>
      <c r="NIM43" s="149"/>
      <c r="NIN43" s="149"/>
      <c r="NIO43" s="149"/>
      <c r="NIP43" s="149"/>
      <c r="NIQ43" s="149"/>
      <c r="NIR43" s="149"/>
      <c r="NIS43" s="149"/>
      <c r="NIT43" s="149"/>
      <c r="NIU43" s="149"/>
      <c r="NIV43" s="149"/>
      <c r="NIW43" s="149"/>
      <c r="NIX43" s="149"/>
      <c r="NIY43" s="149"/>
      <c r="NIZ43" s="149"/>
      <c r="NJA43" s="149"/>
      <c r="NJB43" s="149"/>
      <c r="NJC43" s="149"/>
      <c r="NJD43" s="149"/>
      <c r="NJE43" s="149"/>
      <c r="NJF43" s="149"/>
      <c r="NJG43" s="149"/>
      <c r="NJH43" s="149"/>
      <c r="NJI43" s="149"/>
      <c r="NJJ43" s="149"/>
      <c r="NJK43" s="149"/>
      <c r="NJL43" s="149"/>
      <c r="NJM43" s="149"/>
      <c r="NJN43" s="149"/>
      <c r="NJO43" s="149"/>
      <c r="NJP43" s="149"/>
      <c r="NJQ43" s="149"/>
      <c r="NJR43" s="149"/>
      <c r="NJS43" s="149"/>
      <c r="NJT43" s="149"/>
      <c r="NJU43" s="149"/>
      <c r="NJV43" s="149"/>
      <c r="NJW43" s="149"/>
      <c r="NJX43" s="149"/>
      <c r="NJY43" s="149"/>
      <c r="NJZ43" s="149"/>
      <c r="NKA43" s="149"/>
      <c r="NKB43" s="149"/>
      <c r="NKC43" s="149"/>
      <c r="NKD43" s="149"/>
      <c r="NKE43" s="149"/>
      <c r="NKF43" s="149"/>
      <c r="NKG43" s="149"/>
      <c r="NKH43" s="149"/>
      <c r="NKI43" s="149"/>
      <c r="NKJ43" s="149"/>
      <c r="NKK43" s="149"/>
      <c r="NKL43" s="149"/>
      <c r="NKM43" s="149"/>
      <c r="NKN43" s="149"/>
      <c r="NKO43" s="149"/>
      <c r="NKP43" s="149"/>
      <c r="NKQ43" s="149"/>
      <c r="NKR43" s="149"/>
      <c r="NKS43" s="149"/>
      <c r="NKT43" s="149"/>
      <c r="NKU43" s="149"/>
      <c r="NKV43" s="149"/>
      <c r="NKW43" s="149"/>
      <c r="NKX43" s="149"/>
      <c r="NKY43" s="149"/>
      <c r="NKZ43" s="149"/>
      <c r="NLA43" s="149"/>
      <c r="NLB43" s="149"/>
      <c r="NLC43" s="149"/>
      <c r="NLD43" s="149"/>
      <c r="NLE43" s="149"/>
      <c r="NLF43" s="149"/>
      <c r="NLG43" s="149"/>
      <c r="NLH43" s="149"/>
      <c r="NLI43" s="149"/>
      <c r="NLJ43" s="149"/>
      <c r="NLK43" s="149"/>
      <c r="NLL43" s="149"/>
      <c r="NLM43" s="149"/>
      <c r="NLN43" s="149"/>
      <c r="NLO43" s="149"/>
      <c r="NLP43" s="149"/>
      <c r="NLQ43" s="149"/>
      <c r="NLR43" s="149"/>
      <c r="NLS43" s="149"/>
      <c r="NLT43" s="149"/>
      <c r="NLU43" s="149"/>
      <c r="NLV43" s="149"/>
      <c r="NLW43" s="149"/>
      <c r="NLX43" s="149"/>
      <c r="NLY43" s="149"/>
      <c r="NLZ43" s="149"/>
      <c r="NMA43" s="149"/>
      <c r="NMB43" s="149"/>
      <c r="NMC43" s="149"/>
      <c r="NMD43" s="149"/>
      <c r="NME43" s="149"/>
      <c r="NMF43" s="149"/>
      <c r="NMG43" s="149"/>
      <c r="NMH43" s="149"/>
      <c r="NMI43" s="149"/>
      <c r="NMJ43" s="149"/>
      <c r="NMK43" s="149"/>
      <c r="NML43" s="149"/>
      <c r="NMM43" s="149"/>
      <c r="NMN43" s="149"/>
      <c r="NMO43" s="149"/>
      <c r="NMP43" s="149"/>
      <c r="NMQ43" s="149"/>
      <c r="NMR43" s="149"/>
      <c r="NMS43" s="149"/>
      <c r="NMT43" s="149"/>
      <c r="NMU43" s="149"/>
      <c r="NMV43" s="149"/>
      <c r="NMW43" s="149"/>
      <c r="NMX43" s="149"/>
      <c r="NMY43" s="149"/>
      <c r="NMZ43" s="149"/>
      <c r="NNA43" s="149"/>
      <c r="NNB43" s="149"/>
      <c r="NNC43" s="149"/>
      <c r="NND43" s="149"/>
      <c r="NNE43" s="149"/>
      <c r="NNF43" s="149"/>
      <c r="NNG43" s="149"/>
      <c r="NNH43" s="149"/>
      <c r="NNI43" s="149"/>
      <c r="NNJ43" s="149"/>
      <c r="NNK43" s="149"/>
      <c r="NNL43" s="149"/>
      <c r="NNM43" s="149"/>
      <c r="NNN43" s="149"/>
      <c r="NNO43" s="149"/>
      <c r="NNP43" s="149"/>
      <c r="NNQ43" s="149"/>
      <c r="NNR43" s="149"/>
      <c r="NNS43" s="149"/>
      <c r="NNT43" s="149"/>
      <c r="NNU43" s="149"/>
      <c r="NNV43" s="149"/>
      <c r="NNW43" s="149"/>
      <c r="NNX43" s="149"/>
      <c r="NNY43" s="149"/>
      <c r="NNZ43" s="149"/>
      <c r="NOA43" s="149"/>
      <c r="NOB43" s="149"/>
      <c r="NOC43" s="149"/>
      <c r="NOD43" s="149"/>
      <c r="NOE43" s="149"/>
      <c r="NOF43" s="149"/>
      <c r="NOG43" s="149"/>
      <c r="NOH43" s="149"/>
      <c r="NOI43" s="149"/>
      <c r="NOJ43" s="149"/>
      <c r="NOK43" s="149"/>
      <c r="NOL43" s="149"/>
      <c r="NOM43" s="149"/>
      <c r="NON43" s="149"/>
      <c r="NOO43" s="149"/>
      <c r="NOP43" s="149"/>
      <c r="NOQ43" s="149"/>
      <c r="NOR43" s="149"/>
      <c r="NOS43" s="149"/>
      <c r="NOT43" s="149"/>
      <c r="NOU43" s="149"/>
      <c r="NOV43" s="149"/>
      <c r="NOW43" s="149"/>
      <c r="NOX43" s="149"/>
      <c r="NOY43" s="149"/>
      <c r="NOZ43" s="149"/>
      <c r="NPA43" s="149"/>
      <c r="NPB43" s="149"/>
      <c r="NPC43" s="149"/>
      <c r="NPD43" s="149"/>
      <c r="NPE43" s="149"/>
      <c r="NPF43" s="149"/>
      <c r="NPG43" s="149"/>
      <c r="NPH43" s="149"/>
      <c r="NPI43" s="149"/>
      <c r="NPJ43" s="149"/>
      <c r="NPK43" s="149"/>
      <c r="NPL43" s="149"/>
      <c r="NPM43" s="149"/>
      <c r="NPN43" s="149"/>
      <c r="NPO43" s="149"/>
      <c r="NPP43" s="149"/>
      <c r="NPQ43" s="149"/>
      <c r="NPR43" s="149"/>
      <c r="NPS43" s="149"/>
      <c r="NPT43" s="149"/>
      <c r="NPU43" s="149"/>
      <c r="NPV43" s="149"/>
      <c r="NPW43" s="149"/>
      <c r="NPX43" s="149"/>
      <c r="NPY43" s="149"/>
      <c r="NPZ43" s="149"/>
      <c r="NQA43" s="149"/>
      <c r="NQB43" s="149"/>
      <c r="NQC43" s="149"/>
      <c r="NQD43" s="149"/>
      <c r="NQE43" s="149"/>
      <c r="NQF43" s="149"/>
      <c r="NQG43" s="149"/>
      <c r="NQH43" s="149"/>
      <c r="NQI43" s="149"/>
      <c r="NQJ43" s="149"/>
      <c r="NQK43" s="149"/>
      <c r="NQL43" s="149"/>
      <c r="NQM43" s="149"/>
      <c r="NQN43" s="149"/>
      <c r="NQO43" s="149"/>
      <c r="NQP43" s="149"/>
      <c r="NQQ43" s="149"/>
      <c r="NQR43" s="149"/>
      <c r="NQS43" s="149"/>
      <c r="NQT43" s="149"/>
      <c r="NQU43" s="149"/>
      <c r="NQV43" s="149"/>
      <c r="NQW43" s="149"/>
      <c r="NQX43" s="149"/>
      <c r="NQY43" s="149"/>
      <c r="NQZ43" s="149"/>
      <c r="NRA43" s="149"/>
      <c r="NRB43" s="149"/>
      <c r="NRC43" s="149"/>
      <c r="NRD43" s="149"/>
      <c r="NRE43" s="149"/>
      <c r="NRF43" s="149"/>
      <c r="NRG43" s="149"/>
      <c r="NRH43" s="149"/>
      <c r="NRI43" s="149"/>
      <c r="NRJ43" s="149"/>
      <c r="NRK43" s="149"/>
      <c r="NRL43" s="149"/>
      <c r="NRM43" s="149"/>
      <c r="NRN43" s="149"/>
      <c r="NRO43" s="149"/>
      <c r="NRP43" s="149"/>
      <c r="NRQ43" s="149"/>
      <c r="NRR43" s="149"/>
      <c r="NRS43" s="149"/>
      <c r="NRT43" s="149"/>
      <c r="NRU43" s="149"/>
      <c r="NRV43" s="149"/>
      <c r="NRW43" s="149"/>
      <c r="NRX43" s="149"/>
      <c r="NRY43" s="149"/>
      <c r="NRZ43" s="149"/>
      <c r="NSA43" s="149"/>
      <c r="NSB43" s="149"/>
      <c r="NSC43" s="149"/>
      <c r="NSD43" s="149"/>
      <c r="NSE43" s="149"/>
      <c r="NSF43" s="149"/>
      <c r="NSG43" s="149"/>
      <c r="NSH43" s="149"/>
      <c r="NSI43" s="149"/>
      <c r="NSJ43" s="149"/>
      <c r="NSK43" s="149"/>
      <c r="NSL43" s="149"/>
      <c r="NSM43" s="149"/>
      <c r="NSN43" s="149"/>
      <c r="NSO43" s="149"/>
      <c r="NSP43" s="149"/>
      <c r="NSQ43" s="149"/>
      <c r="NSR43" s="149"/>
      <c r="NSS43" s="149"/>
      <c r="NST43" s="149"/>
      <c r="NSU43" s="149"/>
      <c r="NSV43" s="149"/>
      <c r="NSW43" s="149"/>
      <c r="NSX43" s="149"/>
      <c r="NSY43" s="149"/>
      <c r="NSZ43" s="149"/>
      <c r="NTA43" s="149"/>
      <c r="NTB43" s="149"/>
      <c r="NTC43" s="149"/>
      <c r="NTD43" s="149"/>
      <c r="NTE43" s="149"/>
      <c r="NTF43" s="149"/>
      <c r="NTG43" s="149"/>
      <c r="NTH43" s="149"/>
      <c r="NTI43" s="149"/>
      <c r="NTJ43" s="149"/>
      <c r="NTK43" s="149"/>
      <c r="NTL43" s="149"/>
      <c r="NTM43" s="149"/>
      <c r="NTN43" s="149"/>
      <c r="NTO43" s="149"/>
      <c r="NTP43" s="149"/>
      <c r="NTQ43" s="149"/>
      <c r="NTR43" s="149"/>
      <c r="NTS43" s="149"/>
      <c r="NTT43" s="149"/>
      <c r="NTU43" s="149"/>
      <c r="NTV43" s="149"/>
      <c r="NTW43" s="149"/>
      <c r="NTX43" s="149"/>
      <c r="NTY43" s="149"/>
      <c r="NTZ43" s="149"/>
      <c r="NUA43" s="149"/>
      <c r="NUB43" s="149"/>
      <c r="NUC43" s="149"/>
      <c r="NUD43" s="149"/>
      <c r="NUE43" s="149"/>
      <c r="NUF43" s="149"/>
      <c r="NUG43" s="149"/>
      <c r="NUH43" s="149"/>
      <c r="NUI43" s="149"/>
      <c r="NUJ43" s="149"/>
      <c r="NUK43" s="149"/>
      <c r="NUL43" s="149"/>
      <c r="NUM43" s="149"/>
      <c r="NUN43" s="149"/>
      <c r="NUO43" s="149"/>
      <c r="NUP43" s="149"/>
      <c r="NUQ43" s="149"/>
      <c r="NUR43" s="149"/>
      <c r="NUS43" s="149"/>
      <c r="NUT43" s="149"/>
      <c r="NUU43" s="149"/>
      <c r="NUV43" s="149"/>
      <c r="NUW43" s="149"/>
      <c r="NUX43" s="149"/>
      <c r="NUY43" s="149"/>
      <c r="NUZ43" s="149"/>
      <c r="NVA43" s="149"/>
      <c r="NVB43" s="149"/>
      <c r="NVC43" s="149"/>
      <c r="NVD43" s="149"/>
      <c r="NVE43" s="149"/>
      <c r="NVF43" s="149"/>
      <c r="NVG43" s="149"/>
      <c r="NVH43" s="149"/>
      <c r="NVI43" s="149"/>
      <c r="NVJ43" s="149"/>
      <c r="NVK43" s="149"/>
      <c r="NVL43" s="149"/>
      <c r="NVM43" s="149"/>
      <c r="NVN43" s="149"/>
      <c r="NVO43" s="149"/>
      <c r="NVP43" s="149"/>
      <c r="NVQ43" s="149"/>
      <c r="NVR43" s="149"/>
      <c r="NVS43" s="149"/>
      <c r="NVT43" s="149"/>
      <c r="NVU43" s="149"/>
      <c r="NVV43" s="149"/>
      <c r="NVW43" s="149"/>
      <c r="NVX43" s="149"/>
      <c r="NVY43" s="149"/>
      <c r="NVZ43" s="149"/>
      <c r="NWA43" s="149"/>
      <c r="NWB43" s="149"/>
      <c r="NWC43" s="149"/>
      <c r="NWD43" s="149"/>
      <c r="NWE43" s="149"/>
      <c r="NWF43" s="149"/>
      <c r="NWG43" s="149"/>
      <c r="NWH43" s="149"/>
      <c r="NWI43" s="149"/>
      <c r="NWJ43" s="149"/>
      <c r="NWK43" s="149"/>
      <c r="NWL43" s="149"/>
      <c r="NWM43" s="149"/>
      <c r="NWN43" s="149"/>
      <c r="NWO43" s="149"/>
      <c r="NWP43" s="149"/>
      <c r="NWQ43" s="149"/>
      <c r="NWR43" s="149"/>
      <c r="NWS43" s="149"/>
      <c r="NWT43" s="149"/>
      <c r="NWU43" s="149"/>
      <c r="NWV43" s="149"/>
      <c r="NWW43" s="149"/>
      <c r="NWX43" s="149"/>
      <c r="NWY43" s="149"/>
      <c r="NWZ43" s="149"/>
      <c r="NXA43" s="149"/>
      <c r="NXB43" s="149"/>
      <c r="NXC43" s="149"/>
      <c r="NXD43" s="149"/>
      <c r="NXE43" s="149"/>
      <c r="NXF43" s="149"/>
      <c r="NXG43" s="149"/>
      <c r="NXH43" s="149"/>
      <c r="NXI43" s="149"/>
      <c r="NXJ43" s="149"/>
      <c r="NXK43" s="149"/>
      <c r="NXL43" s="149"/>
      <c r="NXM43" s="149"/>
      <c r="NXN43" s="149"/>
      <c r="NXO43" s="149"/>
      <c r="NXP43" s="149"/>
      <c r="NXQ43" s="149"/>
      <c r="NXR43" s="149"/>
      <c r="NXS43" s="149"/>
      <c r="NXT43" s="149"/>
      <c r="NXU43" s="149"/>
      <c r="NXV43" s="149"/>
      <c r="NXW43" s="149"/>
      <c r="NXX43" s="149"/>
      <c r="NXY43" s="149"/>
      <c r="NXZ43" s="149"/>
      <c r="NYA43" s="149"/>
      <c r="NYB43" s="149"/>
      <c r="NYC43" s="149"/>
      <c r="NYD43" s="149"/>
      <c r="NYE43" s="149"/>
      <c r="NYF43" s="149"/>
      <c r="NYG43" s="149"/>
      <c r="NYH43" s="149"/>
      <c r="NYI43" s="149"/>
      <c r="NYJ43" s="149"/>
      <c r="NYK43" s="149"/>
      <c r="NYL43" s="149"/>
      <c r="NYM43" s="149"/>
      <c r="NYN43" s="149"/>
      <c r="NYO43" s="149"/>
      <c r="NYP43" s="149"/>
      <c r="NYQ43" s="149"/>
      <c r="NYR43" s="149"/>
      <c r="NYS43" s="149"/>
      <c r="NYT43" s="149"/>
      <c r="NYU43" s="149"/>
      <c r="NYV43" s="149"/>
      <c r="NYW43" s="149"/>
      <c r="NYX43" s="149"/>
      <c r="NYY43" s="149"/>
      <c r="NYZ43" s="149"/>
      <c r="NZA43" s="149"/>
      <c r="NZB43" s="149"/>
      <c r="NZC43" s="149"/>
      <c r="NZD43" s="149"/>
      <c r="NZE43" s="149"/>
      <c r="NZF43" s="149"/>
      <c r="NZG43" s="149"/>
      <c r="NZH43" s="149"/>
      <c r="NZI43" s="149"/>
      <c r="NZJ43" s="149"/>
      <c r="NZK43" s="149"/>
      <c r="NZL43" s="149"/>
      <c r="NZM43" s="149"/>
      <c r="NZN43" s="149"/>
      <c r="NZO43" s="149"/>
      <c r="NZP43" s="149"/>
      <c r="NZQ43" s="149"/>
      <c r="NZR43" s="149"/>
      <c r="NZS43" s="149"/>
      <c r="NZT43" s="149"/>
      <c r="NZU43" s="149"/>
      <c r="NZV43" s="149"/>
      <c r="NZW43" s="149"/>
      <c r="NZX43" s="149"/>
      <c r="NZY43" s="149"/>
      <c r="NZZ43" s="149"/>
      <c r="OAA43" s="149"/>
      <c r="OAB43" s="149"/>
      <c r="OAC43" s="149"/>
      <c r="OAD43" s="149"/>
      <c r="OAE43" s="149"/>
      <c r="OAF43" s="149"/>
      <c r="OAG43" s="149"/>
      <c r="OAH43" s="149"/>
      <c r="OAI43" s="149"/>
      <c r="OAJ43" s="149"/>
      <c r="OAK43" s="149"/>
      <c r="OAL43" s="149"/>
      <c r="OAM43" s="149"/>
      <c r="OAN43" s="149"/>
      <c r="OAO43" s="149"/>
      <c r="OAP43" s="149"/>
      <c r="OAQ43" s="149"/>
      <c r="OAR43" s="149"/>
      <c r="OAS43" s="149"/>
      <c r="OAT43" s="149"/>
      <c r="OAU43" s="149"/>
      <c r="OAV43" s="149"/>
      <c r="OAW43" s="149"/>
      <c r="OAX43" s="149"/>
      <c r="OAY43" s="149"/>
      <c r="OAZ43" s="149"/>
      <c r="OBA43" s="149"/>
      <c r="OBB43" s="149"/>
      <c r="OBC43" s="149"/>
      <c r="OBD43" s="149"/>
      <c r="OBE43" s="149"/>
      <c r="OBF43" s="149"/>
      <c r="OBG43" s="149"/>
      <c r="OBH43" s="149"/>
      <c r="OBI43" s="149"/>
      <c r="OBJ43" s="149"/>
      <c r="OBK43" s="149"/>
      <c r="OBL43" s="149"/>
      <c r="OBM43" s="149"/>
      <c r="OBN43" s="149"/>
      <c r="OBO43" s="149"/>
      <c r="OBP43" s="149"/>
      <c r="OBQ43" s="149"/>
      <c r="OBR43" s="149"/>
      <c r="OBS43" s="149"/>
      <c r="OBT43" s="149"/>
      <c r="OBU43" s="149"/>
      <c r="OBV43" s="149"/>
      <c r="OBW43" s="149"/>
      <c r="OBX43" s="149"/>
      <c r="OBY43" s="149"/>
      <c r="OBZ43" s="149"/>
      <c r="OCA43" s="149"/>
      <c r="OCB43" s="149"/>
      <c r="OCC43" s="149"/>
      <c r="OCD43" s="149"/>
      <c r="OCE43" s="149"/>
      <c r="OCF43" s="149"/>
      <c r="OCG43" s="149"/>
      <c r="OCH43" s="149"/>
      <c r="OCI43" s="149"/>
      <c r="OCJ43" s="149"/>
      <c r="OCK43" s="149"/>
      <c r="OCL43" s="149"/>
      <c r="OCM43" s="149"/>
      <c r="OCN43" s="149"/>
      <c r="OCO43" s="149"/>
      <c r="OCP43" s="149"/>
      <c r="OCQ43" s="149"/>
      <c r="OCR43" s="149"/>
      <c r="OCS43" s="149"/>
      <c r="OCT43" s="149"/>
      <c r="OCU43" s="149"/>
      <c r="OCV43" s="149"/>
      <c r="OCW43" s="149"/>
      <c r="OCX43" s="149"/>
      <c r="OCY43" s="149"/>
      <c r="OCZ43" s="149"/>
      <c r="ODA43" s="149"/>
      <c r="ODB43" s="149"/>
      <c r="ODC43" s="149"/>
      <c r="ODD43" s="149"/>
      <c r="ODE43" s="149"/>
      <c r="ODF43" s="149"/>
      <c r="ODG43" s="149"/>
      <c r="ODH43" s="149"/>
      <c r="ODI43" s="149"/>
      <c r="ODJ43" s="149"/>
      <c r="ODK43" s="149"/>
      <c r="ODL43" s="149"/>
      <c r="ODM43" s="149"/>
      <c r="ODN43" s="149"/>
      <c r="ODO43" s="149"/>
      <c r="ODP43" s="149"/>
      <c r="ODQ43" s="149"/>
      <c r="ODR43" s="149"/>
      <c r="ODS43" s="149"/>
      <c r="ODT43" s="149"/>
      <c r="ODU43" s="149"/>
      <c r="ODV43" s="149"/>
      <c r="ODW43" s="149"/>
      <c r="ODX43" s="149"/>
      <c r="ODY43" s="149"/>
      <c r="ODZ43" s="149"/>
      <c r="OEA43" s="149"/>
      <c r="OEB43" s="149"/>
      <c r="OEC43" s="149"/>
      <c r="OED43" s="149"/>
      <c r="OEE43" s="149"/>
      <c r="OEF43" s="149"/>
      <c r="OEG43" s="149"/>
      <c r="OEH43" s="149"/>
      <c r="OEI43" s="149"/>
      <c r="OEJ43" s="149"/>
      <c r="OEK43" s="149"/>
      <c r="OEL43" s="149"/>
      <c r="OEM43" s="149"/>
      <c r="OEN43" s="149"/>
      <c r="OEO43" s="149"/>
      <c r="OEP43" s="149"/>
      <c r="OEQ43" s="149"/>
      <c r="OER43" s="149"/>
      <c r="OES43" s="149"/>
      <c r="OET43" s="149"/>
      <c r="OEU43" s="149"/>
      <c r="OEV43" s="149"/>
      <c r="OEW43" s="149"/>
      <c r="OEX43" s="149"/>
      <c r="OEY43" s="149"/>
      <c r="OEZ43" s="149"/>
      <c r="OFA43" s="149"/>
      <c r="OFB43" s="149"/>
      <c r="OFC43" s="149"/>
      <c r="OFD43" s="149"/>
      <c r="OFE43" s="149"/>
      <c r="OFF43" s="149"/>
      <c r="OFG43" s="149"/>
      <c r="OFH43" s="149"/>
      <c r="OFI43" s="149"/>
      <c r="OFJ43" s="149"/>
      <c r="OFK43" s="149"/>
      <c r="OFL43" s="149"/>
      <c r="OFM43" s="149"/>
      <c r="OFN43" s="149"/>
      <c r="OFO43" s="149"/>
      <c r="OFP43" s="149"/>
      <c r="OFQ43" s="149"/>
      <c r="OFR43" s="149"/>
      <c r="OFS43" s="149"/>
      <c r="OFT43" s="149"/>
      <c r="OFU43" s="149"/>
      <c r="OFV43" s="149"/>
      <c r="OFW43" s="149"/>
      <c r="OFX43" s="149"/>
      <c r="OFY43" s="149"/>
      <c r="OFZ43" s="149"/>
      <c r="OGA43" s="149"/>
      <c r="OGB43" s="149"/>
      <c r="OGC43" s="149"/>
      <c r="OGD43" s="149"/>
      <c r="OGE43" s="149"/>
      <c r="OGF43" s="149"/>
      <c r="OGG43" s="149"/>
      <c r="OGH43" s="149"/>
      <c r="OGI43" s="149"/>
      <c r="OGJ43" s="149"/>
      <c r="OGK43" s="149"/>
      <c r="OGL43" s="149"/>
      <c r="OGM43" s="149"/>
      <c r="OGN43" s="149"/>
      <c r="OGO43" s="149"/>
      <c r="OGP43" s="149"/>
      <c r="OGQ43" s="149"/>
      <c r="OGR43" s="149"/>
      <c r="OGS43" s="149"/>
      <c r="OGT43" s="149"/>
      <c r="OGU43" s="149"/>
      <c r="OGV43" s="149"/>
      <c r="OGW43" s="149"/>
      <c r="OGX43" s="149"/>
      <c r="OGY43" s="149"/>
      <c r="OGZ43" s="149"/>
      <c r="OHA43" s="149"/>
      <c r="OHB43" s="149"/>
      <c r="OHC43" s="149"/>
      <c r="OHD43" s="149"/>
      <c r="OHE43" s="149"/>
      <c r="OHF43" s="149"/>
      <c r="OHG43" s="149"/>
      <c r="OHH43" s="149"/>
      <c r="OHI43" s="149"/>
      <c r="OHJ43" s="149"/>
      <c r="OHK43" s="149"/>
      <c r="OHL43" s="149"/>
      <c r="OHM43" s="149"/>
      <c r="OHN43" s="149"/>
      <c r="OHO43" s="149"/>
      <c r="OHP43" s="149"/>
      <c r="OHQ43" s="149"/>
      <c r="OHR43" s="149"/>
      <c r="OHS43" s="149"/>
      <c r="OHT43" s="149"/>
      <c r="OHU43" s="149"/>
      <c r="OHV43" s="149"/>
      <c r="OHW43" s="149"/>
      <c r="OHX43" s="149"/>
      <c r="OHY43" s="149"/>
      <c r="OHZ43" s="149"/>
      <c r="OIA43" s="149"/>
      <c r="OIB43" s="149"/>
      <c r="OIC43" s="149"/>
      <c r="OID43" s="149"/>
      <c r="OIE43" s="149"/>
      <c r="OIF43" s="149"/>
      <c r="OIG43" s="149"/>
      <c r="OIH43" s="149"/>
      <c r="OII43" s="149"/>
      <c r="OIJ43" s="149"/>
      <c r="OIK43" s="149"/>
      <c r="OIL43" s="149"/>
      <c r="OIM43" s="149"/>
      <c r="OIN43" s="149"/>
      <c r="OIO43" s="149"/>
      <c r="OIP43" s="149"/>
      <c r="OIQ43" s="149"/>
      <c r="OIR43" s="149"/>
      <c r="OIS43" s="149"/>
      <c r="OIT43" s="149"/>
      <c r="OIU43" s="149"/>
      <c r="OIV43" s="149"/>
      <c r="OIW43" s="149"/>
      <c r="OIX43" s="149"/>
      <c r="OIY43" s="149"/>
      <c r="OIZ43" s="149"/>
      <c r="OJA43" s="149"/>
      <c r="OJB43" s="149"/>
      <c r="OJC43" s="149"/>
      <c r="OJD43" s="149"/>
      <c r="OJE43" s="149"/>
      <c r="OJF43" s="149"/>
      <c r="OJG43" s="149"/>
      <c r="OJH43" s="149"/>
      <c r="OJI43" s="149"/>
      <c r="OJJ43" s="149"/>
      <c r="OJK43" s="149"/>
      <c r="OJL43" s="149"/>
      <c r="OJM43" s="149"/>
      <c r="OJN43" s="149"/>
      <c r="OJO43" s="149"/>
      <c r="OJP43" s="149"/>
      <c r="OJQ43" s="149"/>
      <c r="OJR43" s="149"/>
      <c r="OJS43" s="149"/>
      <c r="OJT43" s="149"/>
      <c r="OJU43" s="149"/>
      <c r="OJV43" s="149"/>
      <c r="OJW43" s="149"/>
      <c r="OJX43" s="149"/>
      <c r="OJY43" s="149"/>
      <c r="OJZ43" s="149"/>
      <c r="OKA43" s="149"/>
      <c r="OKB43" s="149"/>
      <c r="OKC43" s="149"/>
      <c r="OKD43" s="149"/>
      <c r="OKE43" s="149"/>
      <c r="OKF43" s="149"/>
      <c r="OKG43" s="149"/>
      <c r="OKH43" s="149"/>
      <c r="OKI43" s="149"/>
      <c r="OKJ43" s="149"/>
      <c r="OKK43" s="149"/>
      <c r="OKL43" s="149"/>
      <c r="OKM43" s="149"/>
      <c r="OKN43" s="149"/>
      <c r="OKO43" s="149"/>
      <c r="OKP43" s="149"/>
      <c r="OKQ43" s="149"/>
      <c r="OKR43" s="149"/>
      <c r="OKS43" s="149"/>
      <c r="OKT43" s="149"/>
      <c r="OKU43" s="149"/>
      <c r="OKV43" s="149"/>
      <c r="OKW43" s="149"/>
      <c r="OKX43" s="149"/>
      <c r="OKY43" s="149"/>
      <c r="OKZ43" s="149"/>
      <c r="OLA43" s="149"/>
      <c r="OLB43" s="149"/>
      <c r="OLC43" s="149"/>
      <c r="OLD43" s="149"/>
      <c r="OLE43" s="149"/>
      <c r="OLF43" s="149"/>
      <c r="OLG43" s="149"/>
      <c r="OLH43" s="149"/>
      <c r="OLI43" s="149"/>
      <c r="OLJ43" s="149"/>
      <c r="OLK43" s="149"/>
      <c r="OLL43" s="149"/>
      <c r="OLM43" s="149"/>
      <c r="OLN43" s="149"/>
      <c r="OLO43" s="149"/>
      <c r="OLP43" s="149"/>
      <c r="OLQ43" s="149"/>
      <c r="OLR43" s="149"/>
      <c r="OLS43" s="149"/>
      <c r="OLT43" s="149"/>
      <c r="OLU43" s="149"/>
      <c r="OLV43" s="149"/>
      <c r="OLW43" s="149"/>
      <c r="OLX43" s="149"/>
      <c r="OLY43" s="149"/>
      <c r="OLZ43" s="149"/>
      <c r="OMA43" s="149"/>
      <c r="OMB43" s="149"/>
      <c r="OMC43" s="149"/>
      <c r="OMD43" s="149"/>
      <c r="OME43" s="149"/>
      <c r="OMF43" s="149"/>
      <c r="OMG43" s="149"/>
      <c r="OMH43" s="149"/>
      <c r="OMI43" s="149"/>
      <c r="OMJ43" s="149"/>
      <c r="OMK43" s="149"/>
      <c r="OML43" s="149"/>
      <c r="OMM43" s="149"/>
      <c r="OMN43" s="149"/>
      <c r="OMO43" s="149"/>
      <c r="OMP43" s="149"/>
      <c r="OMQ43" s="149"/>
      <c r="OMR43" s="149"/>
      <c r="OMS43" s="149"/>
      <c r="OMT43" s="149"/>
      <c r="OMU43" s="149"/>
      <c r="OMV43" s="149"/>
      <c r="OMW43" s="149"/>
      <c r="OMX43" s="149"/>
      <c r="OMY43" s="149"/>
      <c r="OMZ43" s="149"/>
      <c r="ONA43" s="149"/>
      <c r="ONB43" s="149"/>
      <c r="ONC43" s="149"/>
      <c r="OND43" s="149"/>
      <c r="ONE43" s="149"/>
      <c r="ONF43" s="149"/>
      <c r="ONG43" s="149"/>
      <c r="ONH43" s="149"/>
      <c r="ONI43" s="149"/>
      <c r="ONJ43" s="149"/>
      <c r="ONK43" s="149"/>
      <c r="ONL43" s="149"/>
      <c r="ONM43" s="149"/>
      <c r="ONN43" s="149"/>
      <c r="ONO43" s="149"/>
      <c r="ONP43" s="149"/>
      <c r="ONQ43" s="149"/>
      <c r="ONR43" s="149"/>
      <c r="ONS43" s="149"/>
      <c r="ONT43" s="149"/>
      <c r="ONU43" s="149"/>
      <c r="ONV43" s="149"/>
      <c r="ONW43" s="149"/>
      <c r="ONX43" s="149"/>
      <c r="ONY43" s="149"/>
      <c r="ONZ43" s="149"/>
      <c r="OOA43" s="149"/>
      <c r="OOB43" s="149"/>
      <c r="OOC43" s="149"/>
      <c r="OOD43" s="149"/>
      <c r="OOE43" s="149"/>
      <c r="OOF43" s="149"/>
      <c r="OOG43" s="149"/>
      <c r="OOH43" s="149"/>
      <c r="OOI43" s="149"/>
      <c r="OOJ43" s="149"/>
      <c r="OOK43" s="149"/>
      <c r="OOL43" s="149"/>
      <c r="OOM43" s="149"/>
      <c r="OON43" s="149"/>
      <c r="OOO43" s="149"/>
      <c r="OOP43" s="149"/>
      <c r="OOQ43" s="149"/>
      <c r="OOR43" s="149"/>
      <c r="OOS43" s="149"/>
      <c r="OOT43" s="149"/>
      <c r="OOU43" s="149"/>
      <c r="OOV43" s="149"/>
      <c r="OOW43" s="149"/>
      <c r="OOX43" s="149"/>
      <c r="OOY43" s="149"/>
      <c r="OOZ43" s="149"/>
      <c r="OPA43" s="149"/>
      <c r="OPB43" s="149"/>
      <c r="OPC43" s="149"/>
      <c r="OPD43" s="149"/>
      <c r="OPE43" s="149"/>
      <c r="OPF43" s="149"/>
      <c r="OPG43" s="149"/>
      <c r="OPH43" s="149"/>
      <c r="OPI43" s="149"/>
      <c r="OPJ43" s="149"/>
      <c r="OPK43" s="149"/>
      <c r="OPL43" s="149"/>
      <c r="OPM43" s="149"/>
      <c r="OPN43" s="149"/>
      <c r="OPO43" s="149"/>
      <c r="OPP43" s="149"/>
      <c r="OPQ43" s="149"/>
      <c r="OPR43" s="149"/>
      <c r="OPS43" s="149"/>
      <c r="OPT43" s="149"/>
      <c r="OPU43" s="149"/>
      <c r="OPV43" s="149"/>
      <c r="OPW43" s="149"/>
      <c r="OPX43" s="149"/>
      <c r="OPY43" s="149"/>
      <c r="OPZ43" s="149"/>
      <c r="OQA43" s="149"/>
      <c r="OQB43" s="149"/>
      <c r="OQC43" s="149"/>
      <c r="OQD43" s="149"/>
      <c r="OQE43" s="149"/>
      <c r="OQF43" s="149"/>
      <c r="OQG43" s="149"/>
      <c r="OQH43" s="149"/>
      <c r="OQI43" s="149"/>
      <c r="OQJ43" s="149"/>
      <c r="OQK43" s="149"/>
      <c r="OQL43" s="149"/>
      <c r="OQM43" s="149"/>
      <c r="OQN43" s="149"/>
      <c r="OQO43" s="149"/>
      <c r="OQP43" s="149"/>
      <c r="OQQ43" s="149"/>
      <c r="OQR43" s="149"/>
      <c r="OQS43" s="149"/>
      <c r="OQT43" s="149"/>
      <c r="OQU43" s="149"/>
      <c r="OQV43" s="149"/>
      <c r="OQW43" s="149"/>
      <c r="OQX43" s="149"/>
      <c r="OQY43" s="149"/>
      <c r="OQZ43" s="149"/>
      <c r="ORA43" s="149"/>
      <c r="ORB43" s="149"/>
      <c r="ORC43" s="149"/>
      <c r="ORD43" s="149"/>
      <c r="ORE43" s="149"/>
      <c r="ORF43" s="149"/>
      <c r="ORG43" s="149"/>
      <c r="ORH43" s="149"/>
      <c r="ORI43" s="149"/>
      <c r="ORJ43" s="149"/>
      <c r="ORK43" s="149"/>
      <c r="ORL43" s="149"/>
      <c r="ORM43" s="149"/>
      <c r="ORN43" s="149"/>
      <c r="ORO43" s="149"/>
      <c r="ORP43" s="149"/>
      <c r="ORQ43" s="149"/>
      <c r="ORR43" s="149"/>
      <c r="ORS43" s="149"/>
      <c r="ORT43" s="149"/>
      <c r="ORU43" s="149"/>
      <c r="ORV43" s="149"/>
      <c r="ORW43" s="149"/>
      <c r="ORX43" s="149"/>
      <c r="ORY43" s="149"/>
      <c r="ORZ43" s="149"/>
      <c r="OSA43" s="149"/>
      <c r="OSB43" s="149"/>
      <c r="OSC43" s="149"/>
      <c r="OSD43" s="149"/>
      <c r="OSE43" s="149"/>
      <c r="OSF43" s="149"/>
      <c r="OSG43" s="149"/>
      <c r="OSH43" s="149"/>
      <c r="OSI43" s="149"/>
      <c r="OSJ43" s="149"/>
      <c r="OSK43" s="149"/>
      <c r="OSL43" s="149"/>
      <c r="OSM43" s="149"/>
      <c r="OSN43" s="149"/>
      <c r="OSO43" s="149"/>
      <c r="OSP43" s="149"/>
      <c r="OSQ43" s="149"/>
      <c r="OSR43" s="149"/>
      <c r="OSS43" s="149"/>
      <c r="OST43" s="149"/>
      <c r="OSU43" s="149"/>
      <c r="OSV43" s="149"/>
      <c r="OSW43" s="149"/>
      <c r="OSX43" s="149"/>
      <c r="OSY43" s="149"/>
      <c r="OSZ43" s="149"/>
      <c r="OTA43" s="149"/>
      <c r="OTB43" s="149"/>
      <c r="OTC43" s="149"/>
      <c r="OTD43" s="149"/>
      <c r="OTE43" s="149"/>
      <c r="OTF43" s="149"/>
      <c r="OTG43" s="149"/>
      <c r="OTH43" s="149"/>
      <c r="OTI43" s="149"/>
      <c r="OTJ43" s="149"/>
      <c r="OTK43" s="149"/>
      <c r="OTL43" s="149"/>
      <c r="OTM43" s="149"/>
      <c r="OTN43" s="149"/>
      <c r="OTO43" s="149"/>
      <c r="OTP43" s="149"/>
      <c r="OTQ43" s="149"/>
      <c r="OTR43" s="149"/>
      <c r="OTS43" s="149"/>
      <c r="OTT43" s="149"/>
      <c r="OTU43" s="149"/>
      <c r="OTV43" s="149"/>
      <c r="OTW43" s="149"/>
      <c r="OTX43" s="149"/>
      <c r="OTY43" s="149"/>
      <c r="OTZ43" s="149"/>
      <c r="OUA43" s="149"/>
      <c r="OUB43" s="149"/>
      <c r="OUC43" s="149"/>
      <c r="OUD43" s="149"/>
      <c r="OUE43" s="149"/>
      <c r="OUF43" s="149"/>
      <c r="OUG43" s="149"/>
      <c r="OUH43" s="149"/>
      <c r="OUI43" s="149"/>
      <c r="OUJ43" s="149"/>
      <c r="OUK43" s="149"/>
      <c r="OUL43" s="149"/>
      <c r="OUM43" s="149"/>
      <c r="OUN43" s="149"/>
      <c r="OUO43" s="149"/>
      <c r="OUP43" s="149"/>
      <c r="OUQ43" s="149"/>
      <c r="OUR43" s="149"/>
      <c r="OUS43" s="149"/>
      <c r="OUT43" s="149"/>
      <c r="OUU43" s="149"/>
      <c r="OUV43" s="149"/>
      <c r="OUW43" s="149"/>
      <c r="OUX43" s="149"/>
      <c r="OUY43" s="149"/>
      <c r="OUZ43" s="149"/>
      <c r="OVA43" s="149"/>
      <c r="OVB43" s="149"/>
      <c r="OVC43" s="149"/>
      <c r="OVD43" s="149"/>
      <c r="OVE43" s="149"/>
      <c r="OVF43" s="149"/>
      <c r="OVG43" s="149"/>
      <c r="OVH43" s="149"/>
      <c r="OVI43" s="149"/>
      <c r="OVJ43" s="149"/>
      <c r="OVK43" s="149"/>
      <c r="OVL43" s="149"/>
      <c r="OVM43" s="149"/>
      <c r="OVN43" s="149"/>
      <c r="OVO43" s="149"/>
      <c r="OVP43" s="149"/>
      <c r="OVQ43" s="149"/>
      <c r="OVR43" s="149"/>
      <c r="OVS43" s="149"/>
      <c r="OVT43" s="149"/>
      <c r="OVU43" s="149"/>
      <c r="OVV43" s="149"/>
      <c r="OVW43" s="149"/>
      <c r="OVX43" s="149"/>
      <c r="OVY43" s="149"/>
      <c r="OVZ43" s="149"/>
      <c r="OWA43" s="149"/>
      <c r="OWB43" s="149"/>
      <c r="OWC43" s="149"/>
      <c r="OWD43" s="149"/>
      <c r="OWE43" s="149"/>
      <c r="OWF43" s="149"/>
      <c r="OWG43" s="149"/>
      <c r="OWH43" s="149"/>
      <c r="OWI43" s="149"/>
      <c r="OWJ43" s="149"/>
      <c r="OWK43" s="149"/>
      <c r="OWL43" s="149"/>
      <c r="OWM43" s="149"/>
      <c r="OWN43" s="149"/>
      <c r="OWO43" s="149"/>
      <c r="OWP43" s="149"/>
      <c r="OWQ43" s="149"/>
      <c r="OWR43" s="149"/>
      <c r="OWS43" s="149"/>
      <c r="OWT43" s="149"/>
      <c r="OWU43" s="149"/>
      <c r="OWV43" s="149"/>
      <c r="OWW43" s="149"/>
      <c r="OWX43" s="149"/>
      <c r="OWY43" s="149"/>
      <c r="OWZ43" s="149"/>
      <c r="OXA43" s="149"/>
      <c r="OXB43" s="149"/>
      <c r="OXC43" s="149"/>
      <c r="OXD43" s="149"/>
      <c r="OXE43" s="149"/>
      <c r="OXF43" s="149"/>
      <c r="OXG43" s="149"/>
      <c r="OXH43" s="149"/>
      <c r="OXI43" s="149"/>
      <c r="OXJ43" s="149"/>
      <c r="OXK43" s="149"/>
      <c r="OXL43" s="149"/>
      <c r="OXM43" s="149"/>
      <c r="OXN43" s="149"/>
      <c r="OXO43" s="149"/>
      <c r="OXP43" s="149"/>
      <c r="OXQ43" s="149"/>
      <c r="OXR43" s="149"/>
      <c r="OXS43" s="149"/>
      <c r="OXT43" s="149"/>
      <c r="OXU43" s="149"/>
      <c r="OXV43" s="149"/>
      <c r="OXW43" s="149"/>
      <c r="OXX43" s="149"/>
      <c r="OXY43" s="149"/>
      <c r="OXZ43" s="149"/>
      <c r="OYA43" s="149"/>
      <c r="OYB43" s="149"/>
      <c r="OYC43" s="149"/>
      <c r="OYD43" s="149"/>
      <c r="OYE43" s="149"/>
      <c r="OYF43" s="149"/>
      <c r="OYG43" s="149"/>
      <c r="OYH43" s="149"/>
      <c r="OYI43" s="149"/>
      <c r="OYJ43" s="149"/>
      <c r="OYK43" s="149"/>
      <c r="OYL43" s="149"/>
      <c r="OYM43" s="149"/>
      <c r="OYN43" s="149"/>
      <c r="OYO43" s="149"/>
      <c r="OYP43" s="149"/>
      <c r="OYQ43" s="149"/>
      <c r="OYR43" s="149"/>
      <c r="OYS43" s="149"/>
      <c r="OYT43" s="149"/>
      <c r="OYU43" s="149"/>
      <c r="OYV43" s="149"/>
      <c r="OYW43" s="149"/>
      <c r="OYX43" s="149"/>
      <c r="OYY43" s="149"/>
      <c r="OYZ43" s="149"/>
      <c r="OZA43" s="149"/>
      <c r="OZB43" s="149"/>
      <c r="OZC43" s="149"/>
      <c r="OZD43" s="149"/>
      <c r="OZE43" s="149"/>
      <c r="OZF43" s="149"/>
      <c r="OZG43" s="149"/>
      <c r="OZH43" s="149"/>
      <c r="OZI43" s="149"/>
      <c r="OZJ43" s="149"/>
      <c r="OZK43" s="149"/>
      <c r="OZL43" s="149"/>
      <c r="OZM43" s="149"/>
      <c r="OZN43" s="149"/>
      <c r="OZO43" s="149"/>
      <c r="OZP43" s="149"/>
      <c r="OZQ43" s="149"/>
      <c r="OZR43" s="149"/>
      <c r="OZS43" s="149"/>
      <c r="OZT43" s="149"/>
      <c r="OZU43" s="149"/>
      <c r="OZV43" s="149"/>
      <c r="OZW43" s="149"/>
      <c r="OZX43" s="149"/>
      <c r="OZY43" s="149"/>
      <c r="OZZ43" s="149"/>
      <c r="PAA43" s="149"/>
      <c r="PAB43" s="149"/>
      <c r="PAC43" s="149"/>
      <c r="PAD43" s="149"/>
      <c r="PAE43" s="149"/>
      <c r="PAF43" s="149"/>
      <c r="PAG43" s="149"/>
      <c r="PAH43" s="149"/>
      <c r="PAI43" s="149"/>
      <c r="PAJ43" s="149"/>
      <c r="PAK43" s="149"/>
      <c r="PAL43" s="149"/>
      <c r="PAM43" s="149"/>
      <c r="PAN43" s="149"/>
      <c r="PAO43" s="149"/>
      <c r="PAP43" s="149"/>
      <c r="PAQ43" s="149"/>
      <c r="PAR43" s="149"/>
      <c r="PAS43" s="149"/>
      <c r="PAT43" s="149"/>
      <c r="PAU43" s="149"/>
      <c r="PAV43" s="149"/>
      <c r="PAW43" s="149"/>
      <c r="PAX43" s="149"/>
      <c r="PAY43" s="149"/>
      <c r="PAZ43" s="149"/>
      <c r="PBA43" s="149"/>
      <c r="PBB43" s="149"/>
      <c r="PBC43" s="149"/>
      <c r="PBD43" s="149"/>
      <c r="PBE43" s="149"/>
      <c r="PBF43" s="149"/>
      <c r="PBG43" s="149"/>
      <c r="PBH43" s="149"/>
      <c r="PBI43" s="149"/>
      <c r="PBJ43" s="149"/>
      <c r="PBK43" s="149"/>
      <c r="PBL43" s="149"/>
      <c r="PBM43" s="149"/>
      <c r="PBN43" s="149"/>
      <c r="PBO43" s="149"/>
      <c r="PBP43" s="149"/>
      <c r="PBQ43" s="149"/>
      <c r="PBR43" s="149"/>
      <c r="PBS43" s="149"/>
      <c r="PBT43" s="149"/>
      <c r="PBU43" s="149"/>
      <c r="PBV43" s="149"/>
      <c r="PBW43" s="149"/>
      <c r="PBX43" s="149"/>
      <c r="PBY43" s="149"/>
      <c r="PBZ43" s="149"/>
      <c r="PCA43" s="149"/>
      <c r="PCB43" s="149"/>
      <c r="PCC43" s="149"/>
      <c r="PCD43" s="149"/>
      <c r="PCE43" s="149"/>
      <c r="PCF43" s="149"/>
      <c r="PCG43" s="149"/>
      <c r="PCH43" s="149"/>
      <c r="PCI43" s="149"/>
      <c r="PCJ43" s="149"/>
      <c r="PCK43" s="149"/>
      <c r="PCL43" s="149"/>
      <c r="PCM43" s="149"/>
      <c r="PCN43" s="149"/>
      <c r="PCO43" s="149"/>
      <c r="PCP43" s="149"/>
      <c r="PCQ43" s="149"/>
      <c r="PCR43" s="149"/>
      <c r="PCS43" s="149"/>
      <c r="PCT43" s="149"/>
      <c r="PCU43" s="149"/>
      <c r="PCV43" s="149"/>
      <c r="PCW43" s="149"/>
      <c r="PCX43" s="149"/>
      <c r="PCY43" s="149"/>
      <c r="PCZ43" s="149"/>
      <c r="PDA43" s="149"/>
      <c r="PDB43" s="149"/>
      <c r="PDC43" s="149"/>
      <c r="PDD43" s="149"/>
      <c r="PDE43" s="149"/>
      <c r="PDF43" s="149"/>
      <c r="PDG43" s="149"/>
      <c r="PDH43" s="149"/>
      <c r="PDI43" s="149"/>
      <c r="PDJ43" s="149"/>
      <c r="PDK43" s="149"/>
      <c r="PDL43" s="149"/>
      <c r="PDM43" s="149"/>
      <c r="PDN43" s="149"/>
      <c r="PDO43" s="149"/>
      <c r="PDP43" s="149"/>
      <c r="PDQ43" s="149"/>
      <c r="PDR43" s="149"/>
      <c r="PDS43" s="149"/>
      <c r="PDT43" s="149"/>
      <c r="PDU43" s="149"/>
      <c r="PDV43" s="149"/>
      <c r="PDW43" s="149"/>
      <c r="PDX43" s="149"/>
      <c r="PDY43" s="149"/>
      <c r="PDZ43" s="149"/>
      <c r="PEA43" s="149"/>
      <c r="PEB43" s="149"/>
      <c r="PEC43" s="149"/>
      <c r="PED43" s="149"/>
      <c r="PEE43" s="149"/>
      <c r="PEF43" s="149"/>
      <c r="PEG43" s="149"/>
      <c r="PEH43" s="149"/>
      <c r="PEI43" s="149"/>
      <c r="PEJ43" s="149"/>
      <c r="PEK43" s="149"/>
      <c r="PEL43" s="149"/>
      <c r="PEM43" s="149"/>
      <c r="PEN43" s="149"/>
      <c r="PEO43" s="149"/>
      <c r="PEP43" s="149"/>
      <c r="PEQ43" s="149"/>
      <c r="PER43" s="149"/>
      <c r="PES43" s="149"/>
      <c r="PET43" s="149"/>
      <c r="PEU43" s="149"/>
      <c r="PEV43" s="149"/>
      <c r="PEW43" s="149"/>
      <c r="PEX43" s="149"/>
      <c r="PEY43" s="149"/>
      <c r="PEZ43" s="149"/>
      <c r="PFA43" s="149"/>
      <c r="PFB43" s="149"/>
      <c r="PFC43" s="149"/>
      <c r="PFD43" s="149"/>
      <c r="PFE43" s="149"/>
      <c r="PFF43" s="149"/>
      <c r="PFG43" s="149"/>
      <c r="PFH43" s="149"/>
      <c r="PFI43" s="149"/>
      <c r="PFJ43" s="149"/>
      <c r="PFK43" s="149"/>
      <c r="PFL43" s="149"/>
      <c r="PFM43" s="149"/>
      <c r="PFN43" s="149"/>
      <c r="PFO43" s="149"/>
      <c r="PFP43" s="149"/>
      <c r="PFQ43" s="149"/>
      <c r="PFR43" s="149"/>
      <c r="PFS43" s="149"/>
      <c r="PFT43" s="149"/>
      <c r="PFU43" s="149"/>
      <c r="PFV43" s="149"/>
      <c r="PFW43" s="149"/>
      <c r="PFX43" s="149"/>
      <c r="PFY43" s="149"/>
      <c r="PFZ43" s="149"/>
      <c r="PGA43" s="149"/>
      <c r="PGB43" s="149"/>
      <c r="PGC43" s="149"/>
      <c r="PGD43" s="149"/>
      <c r="PGE43" s="149"/>
      <c r="PGF43" s="149"/>
      <c r="PGG43" s="149"/>
      <c r="PGH43" s="149"/>
      <c r="PGI43" s="149"/>
      <c r="PGJ43" s="149"/>
      <c r="PGK43" s="149"/>
      <c r="PGL43" s="149"/>
      <c r="PGM43" s="149"/>
      <c r="PGN43" s="149"/>
      <c r="PGO43" s="149"/>
      <c r="PGP43" s="149"/>
      <c r="PGQ43" s="149"/>
      <c r="PGR43" s="149"/>
      <c r="PGS43" s="149"/>
      <c r="PGT43" s="149"/>
      <c r="PGU43" s="149"/>
      <c r="PGV43" s="149"/>
      <c r="PGW43" s="149"/>
      <c r="PGX43" s="149"/>
      <c r="PGY43" s="149"/>
      <c r="PGZ43" s="149"/>
      <c r="PHA43" s="149"/>
      <c r="PHB43" s="149"/>
      <c r="PHC43" s="149"/>
      <c r="PHD43" s="149"/>
      <c r="PHE43" s="149"/>
      <c r="PHF43" s="149"/>
      <c r="PHG43" s="149"/>
      <c r="PHH43" s="149"/>
      <c r="PHI43" s="149"/>
      <c r="PHJ43" s="149"/>
      <c r="PHK43" s="149"/>
      <c r="PHL43" s="149"/>
      <c r="PHM43" s="149"/>
      <c r="PHN43" s="149"/>
      <c r="PHO43" s="149"/>
      <c r="PHP43" s="149"/>
      <c r="PHQ43" s="149"/>
      <c r="PHR43" s="149"/>
      <c r="PHS43" s="149"/>
      <c r="PHT43" s="149"/>
      <c r="PHU43" s="149"/>
      <c r="PHV43" s="149"/>
      <c r="PHW43" s="149"/>
      <c r="PHX43" s="149"/>
      <c r="PHY43" s="149"/>
      <c r="PHZ43" s="149"/>
      <c r="PIA43" s="149"/>
      <c r="PIB43" s="149"/>
      <c r="PIC43" s="149"/>
      <c r="PID43" s="149"/>
      <c r="PIE43" s="149"/>
      <c r="PIF43" s="149"/>
      <c r="PIG43" s="149"/>
      <c r="PIH43" s="149"/>
      <c r="PII43" s="149"/>
      <c r="PIJ43" s="149"/>
      <c r="PIK43" s="149"/>
      <c r="PIL43" s="149"/>
      <c r="PIM43" s="149"/>
      <c r="PIN43" s="149"/>
      <c r="PIO43" s="149"/>
      <c r="PIP43" s="149"/>
      <c r="PIQ43" s="149"/>
      <c r="PIR43" s="149"/>
      <c r="PIS43" s="149"/>
      <c r="PIT43" s="149"/>
      <c r="PIU43" s="149"/>
      <c r="PIV43" s="149"/>
      <c r="PIW43" s="149"/>
      <c r="PIX43" s="149"/>
      <c r="PIY43" s="149"/>
      <c r="PIZ43" s="149"/>
      <c r="PJA43" s="149"/>
      <c r="PJB43" s="149"/>
      <c r="PJC43" s="149"/>
      <c r="PJD43" s="149"/>
      <c r="PJE43" s="149"/>
      <c r="PJF43" s="149"/>
      <c r="PJG43" s="149"/>
      <c r="PJH43" s="149"/>
      <c r="PJI43" s="149"/>
      <c r="PJJ43" s="149"/>
      <c r="PJK43" s="149"/>
      <c r="PJL43" s="149"/>
      <c r="PJM43" s="149"/>
      <c r="PJN43" s="149"/>
      <c r="PJO43" s="149"/>
      <c r="PJP43" s="149"/>
      <c r="PJQ43" s="149"/>
      <c r="PJR43" s="149"/>
      <c r="PJS43" s="149"/>
      <c r="PJT43" s="149"/>
      <c r="PJU43" s="149"/>
      <c r="PJV43" s="149"/>
      <c r="PJW43" s="149"/>
      <c r="PJX43" s="149"/>
      <c r="PJY43" s="149"/>
      <c r="PJZ43" s="149"/>
      <c r="PKA43" s="149"/>
      <c r="PKB43" s="149"/>
      <c r="PKC43" s="149"/>
      <c r="PKD43" s="149"/>
      <c r="PKE43" s="149"/>
      <c r="PKF43" s="149"/>
      <c r="PKG43" s="149"/>
      <c r="PKH43" s="149"/>
      <c r="PKI43" s="149"/>
      <c r="PKJ43" s="149"/>
      <c r="PKK43" s="149"/>
      <c r="PKL43" s="149"/>
      <c r="PKM43" s="149"/>
      <c r="PKN43" s="149"/>
      <c r="PKO43" s="149"/>
      <c r="PKP43" s="149"/>
      <c r="PKQ43" s="149"/>
      <c r="PKR43" s="149"/>
      <c r="PKS43" s="149"/>
      <c r="PKT43" s="149"/>
      <c r="PKU43" s="149"/>
      <c r="PKV43" s="149"/>
      <c r="PKW43" s="149"/>
      <c r="PKX43" s="149"/>
      <c r="PKY43" s="149"/>
      <c r="PKZ43" s="149"/>
      <c r="PLA43" s="149"/>
      <c r="PLB43" s="149"/>
      <c r="PLC43" s="149"/>
      <c r="PLD43" s="149"/>
      <c r="PLE43" s="149"/>
      <c r="PLF43" s="149"/>
      <c r="PLG43" s="149"/>
      <c r="PLH43" s="149"/>
      <c r="PLI43" s="149"/>
      <c r="PLJ43" s="149"/>
      <c r="PLK43" s="149"/>
      <c r="PLL43" s="149"/>
      <c r="PLM43" s="149"/>
      <c r="PLN43" s="149"/>
      <c r="PLO43" s="149"/>
      <c r="PLP43" s="149"/>
      <c r="PLQ43" s="149"/>
      <c r="PLR43" s="149"/>
      <c r="PLS43" s="149"/>
      <c r="PLT43" s="149"/>
      <c r="PLU43" s="149"/>
      <c r="PLV43" s="149"/>
      <c r="PLW43" s="149"/>
      <c r="PLX43" s="149"/>
      <c r="PLY43" s="149"/>
      <c r="PLZ43" s="149"/>
      <c r="PMA43" s="149"/>
      <c r="PMB43" s="149"/>
      <c r="PMC43" s="149"/>
      <c r="PMD43" s="149"/>
      <c r="PME43" s="149"/>
      <c r="PMF43" s="149"/>
      <c r="PMG43" s="149"/>
      <c r="PMH43" s="149"/>
      <c r="PMI43" s="149"/>
      <c r="PMJ43" s="149"/>
      <c r="PMK43" s="149"/>
      <c r="PML43" s="149"/>
      <c r="PMM43" s="149"/>
      <c r="PMN43" s="149"/>
      <c r="PMO43" s="149"/>
      <c r="PMP43" s="149"/>
      <c r="PMQ43" s="149"/>
      <c r="PMR43" s="149"/>
      <c r="PMS43" s="149"/>
      <c r="PMT43" s="149"/>
      <c r="PMU43" s="149"/>
      <c r="PMV43" s="149"/>
      <c r="PMW43" s="149"/>
      <c r="PMX43" s="149"/>
      <c r="PMY43" s="149"/>
      <c r="PMZ43" s="149"/>
      <c r="PNA43" s="149"/>
      <c r="PNB43" s="149"/>
      <c r="PNC43" s="149"/>
      <c r="PND43" s="149"/>
      <c r="PNE43" s="149"/>
      <c r="PNF43" s="149"/>
      <c r="PNG43" s="149"/>
      <c r="PNH43" s="149"/>
      <c r="PNI43" s="149"/>
      <c r="PNJ43" s="149"/>
      <c r="PNK43" s="149"/>
      <c r="PNL43" s="149"/>
      <c r="PNM43" s="149"/>
      <c r="PNN43" s="149"/>
      <c r="PNO43" s="149"/>
      <c r="PNP43" s="149"/>
      <c r="PNQ43" s="149"/>
      <c r="PNR43" s="149"/>
      <c r="PNS43" s="149"/>
      <c r="PNT43" s="149"/>
      <c r="PNU43" s="149"/>
      <c r="PNV43" s="149"/>
      <c r="PNW43" s="149"/>
      <c r="PNX43" s="149"/>
      <c r="PNY43" s="149"/>
      <c r="PNZ43" s="149"/>
      <c r="POA43" s="149"/>
      <c r="POB43" s="149"/>
      <c r="POC43" s="149"/>
      <c r="POD43" s="149"/>
      <c r="POE43" s="149"/>
      <c r="POF43" s="149"/>
      <c r="POG43" s="149"/>
      <c r="POH43" s="149"/>
      <c r="POI43" s="149"/>
      <c r="POJ43" s="149"/>
      <c r="POK43" s="149"/>
      <c r="POL43" s="149"/>
      <c r="POM43" s="149"/>
      <c r="PON43" s="149"/>
      <c r="POO43" s="149"/>
      <c r="POP43" s="149"/>
      <c r="POQ43" s="149"/>
      <c r="POR43" s="149"/>
      <c r="POS43" s="149"/>
      <c r="POT43" s="149"/>
      <c r="POU43" s="149"/>
      <c r="POV43" s="149"/>
      <c r="POW43" s="149"/>
      <c r="POX43" s="149"/>
      <c r="POY43" s="149"/>
      <c r="POZ43" s="149"/>
      <c r="PPA43" s="149"/>
      <c r="PPB43" s="149"/>
      <c r="PPC43" s="149"/>
      <c r="PPD43" s="149"/>
      <c r="PPE43" s="149"/>
      <c r="PPF43" s="149"/>
      <c r="PPG43" s="149"/>
      <c r="PPH43" s="149"/>
      <c r="PPI43" s="149"/>
      <c r="PPJ43" s="149"/>
      <c r="PPK43" s="149"/>
      <c r="PPL43" s="149"/>
      <c r="PPM43" s="149"/>
      <c r="PPN43" s="149"/>
      <c r="PPO43" s="149"/>
      <c r="PPP43" s="149"/>
      <c r="PPQ43" s="149"/>
      <c r="PPR43" s="149"/>
      <c r="PPS43" s="149"/>
      <c r="PPT43" s="149"/>
      <c r="PPU43" s="149"/>
      <c r="PPV43" s="149"/>
      <c r="PPW43" s="149"/>
      <c r="PPX43" s="149"/>
      <c r="PPY43" s="149"/>
      <c r="PPZ43" s="149"/>
      <c r="PQA43" s="149"/>
      <c r="PQB43" s="149"/>
      <c r="PQC43" s="149"/>
      <c r="PQD43" s="149"/>
      <c r="PQE43" s="149"/>
      <c r="PQF43" s="149"/>
      <c r="PQG43" s="149"/>
      <c r="PQH43" s="149"/>
      <c r="PQI43" s="149"/>
      <c r="PQJ43" s="149"/>
      <c r="PQK43" s="149"/>
      <c r="PQL43" s="149"/>
      <c r="PQM43" s="149"/>
      <c r="PQN43" s="149"/>
      <c r="PQO43" s="149"/>
      <c r="PQP43" s="149"/>
      <c r="PQQ43" s="149"/>
      <c r="PQR43" s="149"/>
      <c r="PQS43" s="149"/>
      <c r="PQT43" s="149"/>
      <c r="PQU43" s="149"/>
      <c r="PQV43" s="149"/>
      <c r="PQW43" s="149"/>
      <c r="PQX43" s="149"/>
      <c r="PQY43" s="149"/>
      <c r="PQZ43" s="149"/>
      <c r="PRA43" s="149"/>
      <c r="PRB43" s="149"/>
      <c r="PRC43" s="149"/>
      <c r="PRD43" s="149"/>
      <c r="PRE43" s="149"/>
      <c r="PRF43" s="149"/>
      <c r="PRG43" s="149"/>
      <c r="PRH43" s="149"/>
      <c r="PRI43" s="149"/>
      <c r="PRJ43" s="149"/>
      <c r="PRK43" s="149"/>
      <c r="PRL43" s="149"/>
      <c r="PRM43" s="149"/>
      <c r="PRN43" s="149"/>
      <c r="PRO43" s="149"/>
      <c r="PRP43" s="149"/>
      <c r="PRQ43" s="149"/>
      <c r="PRR43" s="149"/>
      <c r="PRS43" s="149"/>
      <c r="PRT43" s="149"/>
      <c r="PRU43" s="149"/>
      <c r="PRV43" s="149"/>
      <c r="PRW43" s="149"/>
      <c r="PRX43" s="149"/>
      <c r="PRY43" s="149"/>
      <c r="PRZ43" s="149"/>
      <c r="PSA43" s="149"/>
      <c r="PSB43" s="149"/>
      <c r="PSC43" s="149"/>
      <c r="PSD43" s="149"/>
      <c r="PSE43" s="149"/>
      <c r="PSF43" s="149"/>
      <c r="PSG43" s="149"/>
      <c r="PSH43" s="149"/>
      <c r="PSI43" s="149"/>
      <c r="PSJ43" s="149"/>
      <c r="PSK43" s="149"/>
      <c r="PSL43" s="149"/>
      <c r="PSM43" s="149"/>
      <c r="PSN43" s="149"/>
      <c r="PSO43" s="149"/>
      <c r="PSP43" s="149"/>
      <c r="PSQ43" s="149"/>
      <c r="PSR43" s="149"/>
      <c r="PSS43" s="149"/>
      <c r="PST43" s="149"/>
      <c r="PSU43" s="149"/>
      <c r="PSV43" s="149"/>
      <c r="PSW43" s="149"/>
      <c r="PSX43" s="149"/>
      <c r="PSY43" s="149"/>
      <c r="PSZ43" s="149"/>
      <c r="PTA43" s="149"/>
      <c r="PTB43" s="149"/>
      <c r="PTC43" s="149"/>
      <c r="PTD43" s="149"/>
      <c r="PTE43" s="149"/>
      <c r="PTF43" s="149"/>
      <c r="PTG43" s="149"/>
      <c r="PTH43" s="149"/>
      <c r="PTI43" s="149"/>
      <c r="PTJ43" s="149"/>
      <c r="PTK43" s="149"/>
      <c r="PTL43" s="149"/>
      <c r="PTM43" s="149"/>
      <c r="PTN43" s="149"/>
      <c r="PTO43" s="149"/>
      <c r="PTP43" s="149"/>
      <c r="PTQ43" s="149"/>
      <c r="PTR43" s="149"/>
      <c r="PTS43" s="149"/>
      <c r="PTT43" s="149"/>
      <c r="PTU43" s="149"/>
      <c r="PTV43" s="149"/>
      <c r="PTW43" s="149"/>
      <c r="PTX43" s="149"/>
      <c r="PTY43" s="149"/>
      <c r="PTZ43" s="149"/>
      <c r="PUA43" s="149"/>
      <c r="PUB43" s="149"/>
      <c r="PUC43" s="149"/>
      <c r="PUD43" s="149"/>
      <c r="PUE43" s="149"/>
      <c r="PUF43" s="149"/>
      <c r="PUG43" s="149"/>
      <c r="PUH43" s="149"/>
      <c r="PUI43" s="149"/>
      <c r="PUJ43" s="149"/>
      <c r="PUK43" s="149"/>
      <c r="PUL43" s="149"/>
      <c r="PUM43" s="149"/>
      <c r="PUN43" s="149"/>
      <c r="PUO43" s="149"/>
      <c r="PUP43" s="149"/>
      <c r="PUQ43" s="149"/>
      <c r="PUR43" s="149"/>
      <c r="PUS43" s="149"/>
      <c r="PUT43" s="149"/>
      <c r="PUU43" s="149"/>
      <c r="PUV43" s="149"/>
      <c r="PUW43" s="149"/>
      <c r="PUX43" s="149"/>
      <c r="PUY43" s="149"/>
      <c r="PUZ43" s="149"/>
      <c r="PVA43" s="149"/>
      <c r="PVB43" s="149"/>
      <c r="PVC43" s="149"/>
      <c r="PVD43" s="149"/>
      <c r="PVE43" s="149"/>
      <c r="PVF43" s="149"/>
      <c r="PVG43" s="149"/>
      <c r="PVH43" s="149"/>
      <c r="PVI43" s="149"/>
      <c r="PVJ43" s="149"/>
      <c r="PVK43" s="149"/>
      <c r="PVL43" s="149"/>
      <c r="PVM43" s="149"/>
      <c r="PVN43" s="149"/>
      <c r="PVO43" s="149"/>
      <c r="PVP43" s="149"/>
      <c r="PVQ43" s="149"/>
      <c r="PVR43" s="149"/>
      <c r="PVS43" s="149"/>
      <c r="PVT43" s="149"/>
      <c r="PVU43" s="149"/>
      <c r="PVV43" s="149"/>
      <c r="PVW43" s="149"/>
      <c r="PVX43" s="149"/>
      <c r="PVY43" s="149"/>
      <c r="PVZ43" s="149"/>
      <c r="PWA43" s="149"/>
      <c r="PWB43" s="149"/>
      <c r="PWC43" s="149"/>
      <c r="PWD43" s="149"/>
      <c r="PWE43" s="149"/>
      <c r="PWF43" s="149"/>
      <c r="PWG43" s="149"/>
      <c r="PWH43" s="149"/>
      <c r="PWI43" s="149"/>
      <c r="PWJ43" s="149"/>
      <c r="PWK43" s="149"/>
      <c r="PWL43" s="149"/>
      <c r="PWM43" s="149"/>
      <c r="PWN43" s="149"/>
      <c r="PWO43" s="149"/>
      <c r="PWP43" s="149"/>
      <c r="PWQ43" s="149"/>
      <c r="PWR43" s="149"/>
      <c r="PWS43" s="149"/>
      <c r="PWT43" s="149"/>
      <c r="PWU43" s="149"/>
      <c r="PWV43" s="149"/>
      <c r="PWW43" s="149"/>
      <c r="PWX43" s="149"/>
      <c r="PWY43" s="149"/>
      <c r="PWZ43" s="149"/>
      <c r="PXA43" s="149"/>
      <c r="PXB43" s="149"/>
      <c r="PXC43" s="149"/>
      <c r="PXD43" s="149"/>
      <c r="PXE43" s="149"/>
      <c r="PXF43" s="149"/>
      <c r="PXG43" s="149"/>
      <c r="PXH43" s="149"/>
      <c r="PXI43" s="149"/>
      <c r="PXJ43" s="149"/>
      <c r="PXK43" s="149"/>
      <c r="PXL43" s="149"/>
      <c r="PXM43" s="149"/>
      <c r="PXN43" s="149"/>
      <c r="PXO43" s="149"/>
      <c r="PXP43" s="149"/>
      <c r="PXQ43" s="149"/>
      <c r="PXR43" s="149"/>
      <c r="PXS43" s="149"/>
      <c r="PXT43" s="149"/>
      <c r="PXU43" s="149"/>
      <c r="PXV43" s="149"/>
      <c r="PXW43" s="149"/>
      <c r="PXX43" s="149"/>
      <c r="PXY43" s="149"/>
      <c r="PXZ43" s="149"/>
      <c r="PYA43" s="149"/>
      <c r="PYB43" s="149"/>
      <c r="PYC43" s="149"/>
      <c r="PYD43" s="149"/>
      <c r="PYE43" s="149"/>
      <c r="PYF43" s="149"/>
      <c r="PYG43" s="149"/>
      <c r="PYH43" s="149"/>
      <c r="PYI43" s="149"/>
      <c r="PYJ43" s="149"/>
      <c r="PYK43" s="149"/>
      <c r="PYL43" s="149"/>
      <c r="PYM43" s="149"/>
      <c r="PYN43" s="149"/>
      <c r="PYO43" s="149"/>
      <c r="PYP43" s="149"/>
      <c r="PYQ43" s="149"/>
      <c r="PYR43" s="149"/>
      <c r="PYS43" s="149"/>
      <c r="PYT43" s="149"/>
      <c r="PYU43" s="149"/>
      <c r="PYV43" s="149"/>
      <c r="PYW43" s="149"/>
      <c r="PYX43" s="149"/>
      <c r="PYY43" s="149"/>
      <c r="PYZ43" s="149"/>
      <c r="PZA43" s="149"/>
      <c r="PZB43" s="149"/>
      <c r="PZC43" s="149"/>
      <c r="PZD43" s="149"/>
      <c r="PZE43" s="149"/>
      <c r="PZF43" s="149"/>
      <c r="PZG43" s="149"/>
      <c r="PZH43" s="149"/>
      <c r="PZI43" s="149"/>
      <c r="PZJ43" s="149"/>
      <c r="PZK43" s="149"/>
      <c r="PZL43" s="149"/>
      <c r="PZM43" s="149"/>
      <c r="PZN43" s="149"/>
      <c r="PZO43" s="149"/>
      <c r="PZP43" s="149"/>
      <c r="PZQ43" s="149"/>
      <c r="PZR43" s="149"/>
      <c r="PZS43" s="149"/>
      <c r="PZT43" s="149"/>
      <c r="PZU43" s="149"/>
      <c r="PZV43" s="149"/>
      <c r="PZW43" s="149"/>
      <c r="PZX43" s="149"/>
      <c r="PZY43" s="149"/>
      <c r="PZZ43" s="149"/>
      <c r="QAA43" s="149"/>
      <c r="QAB43" s="149"/>
      <c r="QAC43" s="149"/>
      <c r="QAD43" s="149"/>
      <c r="QAE43" s="149"/>
      <c r="QAF43" s="149"/>
      <c r="QAG43" s="149"/>
      <c r="QAH43" s="149"/>
      <c r="QAI43" s="149"/>
      <c r="QAJ43" s="149"/>
      <c r="QAK43" s="149"/>
      <c r="QAL43" s="149"/>
      <c r="QAM43" s="149"/>
      <c r="QAN43" s="149"/>
      <c r="QAO43" s="149"/>
      <c r="QAP43" s="149"/>
      <c r="QAQ43" s="149"/>
      <c r="QAR43" s="149"/>
      <c r="QAS43" s="149"/>
      <c r="QAT43" s="149"/>
      <c r="QAU43" s="149"/>
      <c r="QAV43" s="149"/>
      <c r="QAW43" s="149"/>
      <c r="QAX43" s="149"/>
      <c r="QAY43" s="149"/>
      <c r="QAZ43" s="149"/>
      <c r="QBA43" s="149"/>
      <c r="QBB43" s="149"/>
      <c r="QBC43" s="149"/>
      <c r="QBD43" s="149"/>
      <c r="QBE43" s="149"/>
      <c r="QBF43" s="149"/>
      <c r="QBG43" s="149"/>
      <c r="QBH43" s="149"/>
      <c r="QBI43" s="149"/>
      <c r="QBJ43" s="149"/>
      <c r="QBK43" s="149"/>
      <c r="QBL43" s="149"/>
      <c r="QBM43" s="149"/>
      <c r="QBN43" s="149"/>
      <c r="QBO43" s="149"/>
      <c r="QBP43" s="149"/>
      <c r="QBQ43" s="149"/>
      <c r="QBR43" s="149"/>
      <c r="QBS43" s="149"/>
      <c r="QBT43" s="149"/>
      <c r="QBU43" s="149"/>
      <c r="QBV43" s="149"/>
      <c r="QBW43" s="149"/>
      <c r="QBX43" s="149"/>
      <c r="QBY43" s="149"/>
      <c r="QBZ43" s="149"/>
      <c r="QCA43" s="149"/>
      <c r="QCB43" s="149"/>
      <c r="QCC43" s="149"/>
      <c r="QCD43" s="149"/>
      <c r="QCE43" s="149"/>
      <c r="QCF43" s="149"/>
      <c r="QCG43" s="149"/>
      <c r="QCH43" s="149"/>
      <c r="QCI43" s="149"/>
      <c r="QCJ43" s="149"/>
      <c r="QCK43" s="149"/>
      <c r="QCL43" s="149"/>
      <c r="QCM43" s="149"/>
      <c r="QCN43" s="149"/>
      <c r="QCO43" s="149"/>
      <c r="QCP43" s="149"/>
      <c r="QCQ43" s="149"/>
      <c r="QCR43" s="149"/>
      <c r="QCS43" s="149"/>
      <c r="QCT43" s="149"/>
      <c r="QCU43" s="149"/>
      <c r="QCV43" s="149"/>
      <c r="QCW43" s="149"/>
      <c r="QCX43" s="149"/>
      <c r="QCY43" s="149"/>
      <c r="QCZ43" s="149"/>
      <c r="QDA43" s="149"/>
      <c r="QDB43" s="149"/>
      <c r="QDC43" s="149"/>
      <c r="QDD43" s="149"/>
      <c r="QDE43" s="149"/>
      <c r="QDF43" s="149"/>
      <c r="QDG43" s="149"/>
      <c r="QDH43" s="149"/>
      <c r="QDI43" s="149"/>
      <c r="QDJ43" s="149"/>
      <c r="QDK43" s="149"/>
      <c r="QDL43" s="149"/>
      <c r="QDM43" s="149"/>
      <c r="QDN43" s="149"/>
      <c r="QDO43" s="149"/>
      <c r="QDP43" s="149"/>
      <c r="QDQ43" s="149"/>
      <c r="QDR43" s="149"/>
      <c r="QDS43" s="149"/>
      <c r="QDT43" s="149"/>
      <c r="QDU43" s="149"/>
      <c r="QDV43" s="149"/>
      <c r="QDW43" s="149"/>
      <c r="QDX43" s="149"/>
      <c r="QDY43" s="149"/>
      <c r="QDZ43" s="149"/>
      <c r="QEA43" s="149"/>
      <c r="QEB43" s="149"/>
      <c r="QEC43" s="149"/>
      <c r="QED43" s="149"/>
      <c r="QEE43" s="149"/>
      <c r="QEF43" s="149"/>
      <c r="QEG43" s="149"/>
      <c r="QEH43" s="149"/>
      <c r="QEI43" s="149"/>
      <c r="QEJ43" s="149"/>
      <c r="QEK43" s="149"/>
      <c r="QEL43" s="149"/>
      <c r="QEM43" s="149"/>
      <c r="QEN43" s="149"/>
      <c r="QEO43" s="149"/>
      <c r="QEP43" s="149"/>
      <c r="QEQ43" s="149"/>
      <c r="QER43" s="149"/>
      <c r="QES43" s="149"/>
      <c r="QET43" s="149"/>
      <c r="QEU43" s="149"/>
      <c r="QEV43" s="149"/>
      <c r="QEW43" s="149"/>
      <c r="QEX43" s="149"/>
      <c r="QEY43" s="149"/>
      <c r="QEZ43" s="149"/>
      <c r="QFA43" s="149"/>
      <c r="QFB43" s="149"/>
      <c r="QFC43" s="149"/>
      <c r="QFD43" s="149"/>
      <c r="QFE43" s="149"/>
      <c r="QFF43" s="149"/>
      <c r="QFG43" s="149"/>
      <c r="QFH43" s="149"/>
      <c r="QFI43" s="149"/>
      <c r="QFJ43" s="149"/>
      <c r="QFK43" s="149"/>
      <c r="QFL43" s="149"/>
      <c r="QFM43" s="149"/>
      <c r="QFN43" s="149"/>
      <c r="QFO43" s="149"/>
      <c r="QFP43" s="149"/>
      <c r="QFQ43" s="149"/>
      <c r="QFR43" s="149"/>
      <c r="QFS43" s="149"/>
      <c r="QFT43" s="149"/>
      <c r="QFU43" s="149"/>
      <c r="QFV43" s="149"/>
      <c r="QFW43" s="149"/>
      <c r="QFX43" s="149"/>
      <c r="QFY43" s="149"/>
      <c r="QFZ43" s="149"/>
      <c r="QGA43" s="149"/>
      <c r="QGB43" s="149"/>
      <c r="QGC43" s="149"/>
      <c r="QGD43" s="149"/>
      <c r="QGE43" s="149"/>
      <c r="QGF43" s="149"/>
      <c r="QGG43" s="149"/>
      <c r="QGH43" s="149"/>
      <c r="QGI43" s="149"/>
      <c r="QGJ43" s="149"/>
      <c r="QGK43" s="149"/>
      <c r="QGL43" s="149"/>
      <c r="QGM43" s="149"/>
      <c r="QGN43" s="149"/>
      <c r="QGO43" s="149"/>
      <c r="QGP43" s="149"/>
      <c r="QGQ43" s="149"/>
      <c r="QGR43" s="149"/>
      <c r="QGS43" s="149"/>
      <c r="QGT43" s="149"/>
      <c r="QGU43" s="149"/>
      <c r="QGV43" s="149"/>
      <c r="QGW43" s="149"/>
      <c r="QGX43" s="149"/>
      <c r="QGY43" s="149"/>
      <c r="QGZ43" s="149"/>
      <c r="QHA43" s="149"/>
      <c r="QHB43" s="149"/>
      <c r="QHC43" s="149"/>
      <c r="QHD43" s="149"/>
      <c r="QHE43" s="149"/>
      <c r="QHF43" s="149"/>
      <c r="QHG43" s="149"/>
      <c r="QHH43" s="149"/>
      <c r="QHI43" s="149"/>
      <c r="QHJ43" s="149"/>
      <c r="QHK43" s="149"/>
      <c r="QHL43" s="149"/>
      <c r="QHM43" s="149"/>
      <c r="QHN43" s="149"/>
      <c r="QHO43" s="149"/>
      <c r="QHP43" s="149"/>
      <c r="QHQ43" s="149"/>
      <c r="QHR43" s="149"/>
      <c r="QHS43" s="149"/>
      <c r="QHT43" s="149"/>
      <c r="QHU43" s="149"/>
      <c r="QHV43" s="149"/>
      <c r="QHW43" s="149"/>
      <c r="QHX43" s="149"/>
      <c r="QHY43" s="149"/>
      <c r="QHZ43" s="149"/>
      <c r="QIA43" s="149"/>
      <c r="QIB43" s="149"/>
      <c r="QIC43" s="149"/>
      <c r="QID43" s="149"/>
      <c r="QIE43" s="149"/>
      <c r="QIF43" s="149"/>
      <c r="QIG43" s="149"/>
      <c r="QIH43" s="149"/>
      <c r="QII43" s="149"/>
      <c r="QIJ43" s="149"/>
      <c r="QIK43" s="149"/>
      <c r="QIL43" s="149"/>
      <c r="QIM43" s="149"/>
      <c r="QIN43" s="149"/>
      <c r="QIO43" s="149"/>
      <c r="QIP43" s="149"/>
      <c r="QIQ43" s="149"/>
      <c r="QIR43" s="149"/>
      <c r="QIS43" s="149"/>
      <c r="QIT43" s="149"/>
      <c r="QIU43" s="149"/>
      <c r="QIV43" s="149"/>
      <c r="QIW43" s="149"/>
      <c r="QIX43" s="149"/>
      <c r="QIY43" s="149"/>
      <c r="QIZ43" s="149"/>
      <c r="QJA43" s="149"/>
      <c r="QJB43" s="149"/>
      <c r="QJC43" s="149"/>
      <c r="QJD43" s="149"/>
      <c r="QJE43" s="149"/>
      <c r="QJF43" s="149"/>
      <c r="QJG43" s="149"/>
      <c r="QJH43" s="149"/>
      <c r="QJI43" s="149"/>
      <c r="QJJ43" s="149"/>
      <c r="QJK43" s="149"/>
      <c r="QJL43" s="149"/>
      <c r="QJM43" s="149"/>
      <c r="QJN43" s="149"/>
      <c r="QJO43" s="149"/>
      <c r="QJP43" s="149"/>
      <c r="QJQ43" s="149"/>
      <c r="QJR43" s="149"/>
      <c r="QJS43" s="149"/>
      <c r="QJT43" s="149"/>
      <c r="QJU43" s="149"/>
      <c r="QJV43" s="149"/>
      <c r="QJW43" s="149"/>
      <c r="QJX43" s="149"/>
      <c r="QJY43" s="149"/>
      <c r="QJZ43" s="149"/>
      <c r="QKA43" s="149"/>
      <c r="QKB43" s="149"/>
      <c r="QKC43" s="149"/>
      <c r="QKD43" s="149"/>
      <c r="QKE43" s="149"/>
      <c r="QKF43" s="149"/>
      <c r="QKG43" s="149"/>
      <c r="QKH43" s="149"/>
      <c r="QKI43" s="149"/>
      <c r="QKJ43" s="149"/>
      <c r="QKK43" s="149"/>
      <c r="QKL43" s="149"/>
      <c r="QKM43" s="149"/>
      <c r="QKN43" s="149"/>
      <c r="QKO43" s="149"/>
      <c r="QKP43" s="149"/>
      <c r="QKQ43" s="149"/>
      <c r="QKR43" s="149"/>
      <c r="QKS43" s="149"/>
      <c r="QKT43" s="149"/>
      <c r="QKU43" s="149"/>
      <c r="QKV43" s="149"/>
      <c r="QKW43" s="149"/>
      <c r="QKX43" s="149"/>
      <c r="QKY43" s="149"/>
      <c r="QKZ43" s="149"/>
      <c r="QLA43" s="149"/>
      <c r="QLB43" s="149"/>
      <c r="QLC43" s="149"/>
      <c r="QLD43" s="149"/>
      <c r="QLE43" s="149"/>
      <c r="QLF43" s="149"/>
      <c r="QLG43" s="149"/>
      <c r="QLH43" s="149"/>
      <c r="QLI43" s="149"/>
      <c r="QLJ43" s="149"/>
      <c r="QLK43" s="149"/>
      <c r="QLL43" s="149"/>
      <c r="QLM43" s="149"/>
      <c r="QLN43" s="149"/>
      <c r="QLO43" s="149"/>
      <c r="QLP43" s="149"/>
      <c r="QLQ43" s="149"/>
      <c r="QLR43" s="149"/>
      <c r="QLS43" s="149"/>
      <c r="QLT43" s="149"/>
      <c r="QLU43" s="149"/>
      <c r="QLV43" s="149"/>
      <c r="QLW43" s="149"/>
      <c r="QLX43" s="149"/>
      <c r="QLY43" s="149"/>
      <c r="QLZ43" s="149"/>
      <c r="QMA43" s="149"/>
      <c r="QMB43" s="149"/>
      <c r="QMC43" s="149"/>
      <c r="QMD43" s="149"/>
      <c r="QME43" s="149"/>
      <c r="QMF43" s="149"/>
      <c r="QMG43" s="149"/>
      <c r="QMH43" s="149"/>
      <c r="QMI43" s="149"/>
      <c r="QMJ43" s="149"/>
      <c r="QMK43" s="149"/>
      <c r="QML43" s="149"/>
      <c r="QMM43" s="149"/>
      <c r="QMN43" s="149"/>
      <c r="QMO43" s="149"/>
      <c r="QMP43" s="149"/>
      <c r="QMQ43" s="149"/>
      <c r="QMR43" s="149"/>
      <c r="QMS43" s="149"/>
      <c r="QMT43" s="149"/>
      <c r="QMU43" s="149"/>
      <c r="QMV43" s="149"/>
      <c r="QMW43" s="149"/>
      <c r="QMX43" s="149"/>
      <c r="QMY43" s="149"/>
      <c r="QMZ43" s="149"/>
      <c r="QNA43" s="149"/>
      <c r="QNB43" s="149"/>
      <c r="QNC43" s="149"/>
      <c r="QND43" s="149"/>
      <c r="QNE43" s="149"/>
      <c r="QNF43" s="149"/>
      <c r="QNG43" s="149"/>
      <c r="QNH43" s="149"/>
      <c r="QNI43" s="149"/>
      <c r="QNJ43" s="149"/>
      <c r="QNK43" s="149"/>
      <c r="QNL43" s="149"/>
      <c r="QNM43" s="149"/>
      <c r="QNN43" s="149"/>
      <c r="QNO43" s="149"/>
      <c r="QNP43" s="149"/>
      <c r="QNQ43" s="149"/>
      <c r="QNR43" s="149"/>
      <c r="QNS43" s="149"/>
      <c r="QNT43" s="149"/>
      <c r="QNU43" s="149"/>
      <c r="QNV43" s="149"/>
      <c r="QNW43" s="149"/>
      <c r="QNX43" s="149"/>
      <c r="QNY43" s="149"/>
      <c r="QNZ43" s="149"/>
      <c r="QOA43" s="149"/>
      <c r="QOB43" s="149"/>
      <c r="QOC43" s="149"/>
      <c r="QOD43" s="149"/>
      <c r="QOE43" s="149"/>
      <c r="QOF43" s="149"/>
      <c r="QOG43" s="149"/>
      <c r="QOH43" s="149"/>
      <c r="QOI43" s="149"/>
      <c r="QOJ43" s="149"/>
      <c r="QOK43" s="149"/>
      <c r="QOL43" s="149"/>
      <c r="QOM43" s="149"/>
      <c r="QON43" s="149"/>
      <c r="QOO43" s="149"/>
      <c r="QOP43" s="149"/>
      <c r="QOQ43" s="149"/>
      <c r="QOR43" s="149"/>
      <c r="QOS43" s="149"/>
      <c r="QOT43" s="149"/>
      <c r="QOU43" s="149"/>
      <c r="QOV43" s="149"/>
      <c r="QOW43" s="149"/>
      <c r="QOX43" s="149"/>
      <c r="QOY43" s="149"/>
      <c r="QOZ43" s="149"/>
      <c r="QPA43" s="149"/>
      <c r="QPB43" s="149"/>
      <c r="QPC43" s="149"/>
      <c r="QPD43" s="149"/>
      <c r="QPE43" s="149"/>
      <c r="QPF43" s="149"/>
      <c r="QPG43" s="149"/>
      <c r="QPH43" s="149"/>
      <c r="QPI43" s="149"/>
      <c r="QPJ43" s="149"/>
      <c r="QPK43" s="149"/>
      <c r="QPL43" s="149"/>
      <c r="QPM43" s="149"/>
      <c r="QPN43" s="149"/>
      <c r="QPO43" s="149"/>
      <c r="QPP43" s="149"/>
      <c r="QPQ43" s="149"/>
      <c r="QPR43" s="149"/>
      <c r="QPS43" s="149"/>
      <c r="QPT43" s="149"/>
      <c r="QPU43" s="149"/>
      <c r="QPV43" s="149"/>
      <c r="QPW43" s="149"/>
      <c r="QPX43" s="149"/>
      <c r="QPY43" s="149"/>
      <c r="QPZ43" s="149"/>
      <c r="QQA43" s="149"/>
      <c r="QQB43" s="149"/>
      <c r="QQC43" s="149"/>
      <c r="QQD43" s="149"/>
      <c r="QQE43" s="149"/>
      <c r="QQF43" s="149"/>
      <c r="QQG43" s="149"/>
      <c r="QQH43" s="149"/>
      <c r="QQI43" s="149"/>
      <c r="QQJ43" s="149"/>
      <c r="QQK43" s="149"/>
      <c r="QQL43" s="149"/>
      <c r="QQM43" s="149"/>
      <c r="QQN43" s="149"/>
      <c r="QQO43" s="149"/>
      <c r="QQP43" s="149"/>
      <c r="QQQ43" s="149"/>
      <c r="QQR43" s="149"/>
      <c r="QQS43" s="149"/>
      <c r="QQT43" s="149"/>
      <c r="QQU43" s="149"/>
      <c r="QQV43" s="149"/>
      <c r="QQW43" s="149"/>
      <c r="QQX43" s="149"/>
      <c r="QQY43" s="149"/>
      <c r="QQZ43" s="149"/>
      <c r="QRA43" s="149"/>
      <c r="QRB43" s="149"/>
      <c r="QRC43" s="149"/>
      <c r="QRD43" s="149"/>
      <c r="QRE43" s="149"/>
      <c r="QRF43" s="149"/>
      <c r="QRG43" s="149"/>
      <c r="QRH43" s="149"/>
      <c r="QRI43" s="149"/>
      <c r="QRJ43" s="149"/>
      <c r="QRK43" s="149"/>
      <c r="QRL43" s="149"/>
      <c r="QRM43" s="149"/>
      <c r="QRN43" s="149"/>
      <c r="QRO43" s="149"/>
      <c r="QRP43" s="149"/>
      <c r="QRQ43" s="149"/>
      <c r="QRR43" s="149"/>
      <c r="QRS43" s="149"/>
      <c r="QRT43" s="149"/>
      <c r="QRU43" s="149"/>
      <c r="QRV43" s="149"/>
      <c r="QRW43" s="149"/>
      <c r="QRX43" s="149"/>
      <c r="QRY43" s="149"/>
      <c r="QRZ43" s="149"/>
      <c r="QSA43" s="149"/>
      <c r="QSB43" s="149"/>
      <c r="QSC43" s="149"/>
      <c r="QSD43" s="149"/>
      <c r="QSE43" s="149"/>
      <c r="QSF43" s="149"/>
      <c r="QSG43" s="149"/>
      <c r="QSH43" s="149"/>
      <c r="QSI43" s="149"/>
      <c r="QSJ43" s="149"/>
      <c r="QSK43" s="149"/>
      <c r="QSL43" s="149"/>
      <c r="QSM43" s="149"/>
      <c r="QSN43" s="149"/>
      <c r="QSO43" s="149"/>
      <c r="QSP43" s="149"/>
      <c r="QSQ43" s="149"/>
      <c r="QSR43" s="149"/>
      <c r="QSS43" s="149"/>
      <c r="QST43" s="149"/>
      <c r="QSU43" s="149"/>
      <c r="QSV43" s="149"/>
      <c r="QSW43" s="149"/>
      <c r="QSX43" s="149"/>
      <c r="QSY43" s="149"/>
      <c r="QSZ43" s="149"/>
      <c r="QTA43" s="149"/>
      <c r="QTB43" s="149"/>
      <c r="QTC43" s="149"/>
      <c r="QTD43" s="149"/>
      <c r="QTE43" s="149"/>
      <c r="QTF43" s="149"/>
      <c r="QTG43" s="149"/>
      <c r="QTH43" s="149"/>
      <c r="QTI43" s="149"/>
      <c r="QTJ43" s="149"/>
      <c r="QTK43" s="149"/>
      <c r="QTL43" s="149"/>
      <c r="QTM43" s="149"/>
      <c r="QTN43" s="149"/>
      <c r="QTO43" s="149"/>
      <c r="QTP43" s="149"/>
      <c r="QTQ43" s="149"/>
      <c r="QTR43" s="149"/>
      <c r="QTS43" s="149"/>
      <c r="QTT43" s="149"/>
      <c r="QTU43" s="149"/>
      <c r="QTV43" s="149"/>
      <c r="QTW43" s="149"/>
      <c r="QTX43" s="149"/>
      <c r="QTY43" s="149"/>
      <c r="QTZ43" s="149"/>
      <c r="QUA43" s="149"/>
      <c r="QUB43" s="149"/>
      <c r="QUC43" s="149"/>
      <c r="QUD43" s="149"/>
      <c r="QUE43" s="149"/>
      <c r="QUF43" s="149"/>
      <c r="QUG43" s="149"/>
      <c r="QUH43" s="149"/>
      <c r="QUI43" s="149"/>
      <c r="QUJ43" s="149"/>
      <c r="QUK43" s="149"/>
      <c r="QUL43" s="149"/>
      <c r="QUM43" s="149"/>
      <c r="QUN43" s="149"/>
      <c r="QUO43" s="149"/>
      <c r="QUP43" s="149"/>
      <c r="QUQ43" s="149"/>
      <c r="QUR43" s="149"/>
      <c r="QUS43" s="149"/>
      <c r="QUT43" s="149"/>
      <c r="QUU43" s="149"/>
      <c r="QUV43" s="149"/>
      <c r="QUW43" s="149"/>
      <c r="QUX43" s="149"/>
      <c r="QUY43" s="149"/>
      <c r="QUZ43" s="149"/>
      <c r="QVA43" s="149"/>
      <c r="QVB43" s="149"/>
      <c r="QVC43" s="149"/>
      <c r="QVD43" s="149"/>
      <c r="QVE43" s="149"/>
      <c r="QVF43" s="149"/>
      <c r="QVG43" s="149"/>
      <c r="QVH43" s="149"/>
      <c r="QVI43" s="149"/>
      <c r="QVJ43" s="149"/>
      <c r="QVK43" s="149"/>
      <c r="QVL43" s="149"/>
      <c r="QVM43" s="149"/>
      <c r="QVN43" s="149"/>
      <c r="QVO43" s="149"/>
      <c r="QVP43" s="149"/>
      <c r="QVQ43" s="149"/>
      <c r="QVR43" s="149"/>
      <c r="QVS43" s="149"/>
      <c r="QVT43" s="149"/>
      <c r="QVU43" s="149"/>
      <c r="QVV43" s="149"/>
      <c r="QVW43" s="149"/>
      <c r="QVX43" s="149"/>
      <c r="QVY43" s="149"/>
      <c r="QVZ43" s="149"/>
      <c r="QWA43" s="149"/>
      <c r="QWB43" s="149"/>
      <c r="QWC43" s="149"/>
      <c r="QWD43" s="149"/>
      <c r="QWE43" s="149"/>
      <c r="QWF43" s="149"/>
      <c r="QWG43" s="149"/>
      <c r="QWH43" s="149"/>
      <c r="QWI43" s="149"/>
      <c r="QWJ43" s="149"/>
      <c r="QWK43" s="149"/>
      <c r="QWL43" s="149"/>
      <c r="QWM43" s="149"/>
      <c r="QWN43" s="149"/>
      <c r="QWO43" s="149"/>
      <c r="QWP43" s="149"/>
      <c r="QWQ43" s="149"/>
      <c r="QWR43" s="149"/>
      <c r="QWS43" s="149"/>
      <c r="QWT43" s="149"/>
      <c r="QWU43" s="149"/>
      <c r="QWV43" s="149"/>
      <c r="QWW43" s="149"/>
      <c r="QWX43" s="149"/>
      <c r="QWY43" s="149"/>
      <c r="QWZ43" s="149"/>
      <c r="QXA43" s="149"/>
      <c r="QXB43" s="149"/>
      <c r="QXC43" s="149"/>
      <c r="QXD43" s="149"/>
      <c r="QXE43" s="149"/>
      <c r="QXF43" s="149"/>
      <c r="QXG43" s="149"/>
      <c r="QXH43" s="149"/>
      <c r="QXI43" s="149"/>
      <c r="QXJ43" s="149"/>
      <c r="QXK43" s="149"/>
      <c r="QXL43" s="149"/>
      <c r="QXM43" s="149"/>
      <c r="QXN43" s="149"/>
      <c r="QXO43" s="149"/>
      <c r="QXP43" s="149"/>
      <c r="QXQ43" s="149"/>
      <c r="QXR43" s="149"/>
      <c r="QXS43" s="149"/>
      <c r="QXT43" s="149"/>
      <c r="QXU43" s="149"/>
      <c r="QXV43" s="149"/>
      <c r="QXW43" s="149"/>
      <c r="QXX43" s="149"/>
      <c r="QXY43" s="149"/>
      <c r="QXZ43" s="149"/>
      <c r="QYA43" s="149"/>
      <c r="QYB43" s="149"/>
      <c r="QYC43" s="149"/>
      <c r="QYD43" s="149"/>
      <c r="QYE43" s="149"/>
      <c r="QYF43" s="149"/>
      <c r="QYG43" s="149"/>
      <c r="QYH43" s="149"/>
      <c r="QYI43" s="149"/>
      <c r="QYJ43" s="149"/>
      <c r="QYK43" s="149"/>
      <c r="QYL43" s="149"/>
      <c r="QYM43" s="149"/>
      <c r="QYN43" s="149"/>
      <c r="QYO43" s="149"/>
      <c r="QYP43" s="149"/>
      <c r="QYQ43" s="149"/>
      <c r="QYR43" s="149"/>
      <c r="QYS43" s="149"/>
      <c r="QYT43" s="149"/>
      <c r="QYU43" s="149"/>
      <c r="QYV43" s="149"/>
      <c r="QYW43" s="149"/>
      <c r="QYX43" s="149"/>
      <c r="QYY43" s="149"/>
      <c r="QYZ43" s="149"/>
      <c r="QZA43" s="149"/>
      <c r="QZB43" s="149"/>
      <c r="QZC43" s="149"/>
      <c r="QZD43" s="149"/>
      <c r="QZE43" s="149"/>
      <c r="QZF43" s="149"/>
      <c r="QZG43" s="149"/>
      <c r="QZH43" s="149"/>
      <c r="QZI43" s="149"/>
      <c r="QZJ43" s="149"/>
      <c r="QZK43" s="149"/>
      <c r="QZL43" s="149"/>
      <c r="QZM43" s="149"/>
      <c r="QZN43" s="149"/>
      <c r="QZO43" s="149"/>
      <c r="QZP43" s="149"/>
      <c r="QZQ43" s="149"/>
      <c r="QZR43" s="149"/>
      <c r="QZS43" s="149"/>
      <c r="QZT43" s="149"/>
      <c r="QZU43" s="149"/>
      <c r="QZV43" s="149"/>
      <c r="QZW43" s="149"/>
      <c r="QZX43" s="149"/>
      <c r="QZY43" s="149"/>
      <c r="QZZ43" s="149"/>
      <c r="RAA43" s="149"/>
      <c r="RAB43" s="149"/>
      <c r="RAC43" s="149"/>
      <c r="RAD43" s="149"/>
      <c r="RAE43" s="149"/>
      <c r="RAF43" s="149"/>
      <c r="RAG43" s="149"/>
      <c r="RAH43" s="149"/>
      <c r="RAI43" s="149"/>
      <c r="RAJ43" s="149"/>
      <c r="RAK43" s="149"/>
      <c r="RAL43" s="149"/>
      <c r="RAM43" s="149"/>
      <c r="RAN43" s="149"/>
      <c r="RAO43" s="149"/>
      <c r="RAP43" s="149"/>
      <c r="RAQ43" s="149"/>
      <c r="RAR43" s="149"/>
      <c r="RAS43" s="149"/>
      <c r="RAT43" s="149"/>
      <c r="RAU43" s="149"/>
      <c r="RAV43" s="149"/>
      <c r="RAW43" s="149"/>
      <c r="RAX43" s="149"/>
      <c r="RAY43" s="149"/>
      <c r="RAZ43" s="149"/>
      <c r="RBA43" s="149"/>
      <c r="RBB43" s="149"/>
      <c r="RBC43" s="149"/>
      <c r="RBD43" s="149"/>
      <c r="RBE43" s="149"/>
      <c r="RBF43" s="149"/>
      <c r="RBG43" s="149"/>
      <c r="RBH43" s="149"/>
      <c r="RBI43" s="149"/>
      <c r="RBJ43" s="149"/>
      <c r="RBK43" s="149"/>
      <c r="RBL43" s="149"/>
      <c r="RBM43" s="149"/>
      <c r="RBN43" s="149"/>
      <c r="RBO43" s="149"/>
      <c r="RBP43" s="149"/>
      <c r="RBQ43" s="149"/>
      <c r="RBR43" s="149"/>
      <c r="RBS43" s="149"/>
      <c r="RBT43" s="149"/>
      <c r="RBU43" s="149"/>
      <c r="RBV43" s="149"/>
      <c r="RBW43" s="149"/>
      <c r="RBX43" s="149"/>
      <c r="RBY43" s="149"/>
      <c r="RBZ43" s="149"/>
      <c r="RCA43" s="149"/>
      <c r="RCB43" s="149"/>
      <c r="RCC43" s="149"/>
      <c r="RCD43" s="149"/>
      <c r="RCE43" s="149"/>
      <c r="RCF43" s="149"/>
      <c r="RCG43" s="149"/>
      <c r="RCH43" s="149"/>
      <c r="RCI43" s="149"/>
      <c r="RCJ43" s="149"/>
      <c r="RCK43" s="149"/>
      <c r="RCL43" s="149"/>
      <c r="RCM43" s="149"/>
      <c r="RCN43" s="149"/>
      <c r="RCO43" s="149"/>
      <c r="RCP43" s="149"/>
      <c r="RCQ43" s="149"/>
      <c r="RCR43" s="149"/>
      <c r="RCS43" s="149"/>
      <c r="RCT43" s="149"/>
      <c r="RCU43" s="149"/>
      <c r="RCV43" s="149"/>
      <c r="RCW43" s="149"/>
      <c r="RCX43" s="149"/>
      <c r="RCY43" s="149"/>
      <c r="RCZ43" s="149"/>
      <c r="RDA43" s="149"/>
      <c r="RDB43" s="149"/>
      <c r="RDC43" s="149"/>
      <c r="RDD43" s="149"/>
      <c r="RDE43" s="149"/>
      <c r="RDF43" s="149"/>
      <c r="RDG43" s="149"/>
      <c r="RDH43" s="149"/>
      <c r="RDI43" s="149"/>
      <c r="RDJ43" s="149"/>
      <c r="RDK43" s="149"/>
      <c r="RDL43" s="149"/>
      <c r="RDM43" s="149"/>
      <c r="RDN43" s="149"/>
      <c r="RDO43" s="149"/>
      <c r="RDP43" s="149"/>
      <c r="RDQ43" s="149"/>
      <c r="RDR43" s="149"/>
      <c r="RDS43" s="149"/>
      <c r="RDT43" s="149"/>
      <c r="RDU43" s="149"/>
      <c r="RDV43" s="149"/>
      <c r="RDW43" s="149"/>
      <c r="RDX43" s="149"/>
      <c r="RDY43" s="149"/>
      <c r="RDZ43" s="149"/>
      <c r="REA43" s="149"/>
      <c r="REB43" s="149"/>
      <c r="REC43" s="149"/>
      <c r="RED43" s="149"/>
      <c r="REE43" s="149"/>
      <c r="REF43" s="149"/>
      <c r="REG43" s="149"/>
      <c r="REH43" s="149"/>
      <c r="REI43" s="149"/>
      <c r="REJ43" s="149"/>
      <c r="REK43" s="149"/>
      <c r="REL43" s="149"/>
      <c r="REM43" s="149"/>
      <c r="REN43" s="149"/>
      <c r="REO43" s="149"/>
      <c r="REP43" s="149"/>
      <c r="REQ43" s="149"/>
      <c r="RER43" s="149"/>
      <c r="RES43" s="149"/>
      <c r="RET43" s="149"/>
      <c r="REU43" s="149"/>
      <c r="REV43" s="149"/>
      <c r="REW43" s="149"/>
      <c r="REX43" s="149"/>
      <c r="REY43" s="149"/>
      <c r="REZ43" s="149"/>
      <c r="RFA43" s="149"/>
      <c r="RFB43" s="149"/>
      <c r="RFC43" s="149"/>
      <c r="RFD43" s="149"/>
      <c r="RFE43" s="149"/>
      <c r="RFF43" s="149"/>
      <c r="RFG43" s="149"/>
      <c r="RFH43" s="149"/>
      <c r="RFI43" s="149"/>
      <c r="RFJ43" s="149"/>
      <c r="RFK43" s="149"/>
      <c r="RFL43" s="149"/>
      <c r="RFM43" s="149"/>
      <c r="RFN43" s="149"/>
      <c r="RFO43" s="149"/>
      <c r="RFP43" s="149"/>
      <c r="RFQ43" s="149"/>
      <c r="RFR43" s="149"/>
      <c r="RFS43" s="149"/>
      <c r="RFT43" s="149"/>
      <c r="RFU43" s="149"/>
      <c r="RFV43" s="149"/>
      <c r="RFW43" s="149"/>
      <c r="RFX43" s="149"/>
      <c r="RFY43" s="149"/>
      <c r="RFZ43" s="149"/>
      <c r="RGA43" s="149"/>
      <c r="RGB43" s="149"/>
      <c r="RGC43" s="149"/>
      <c r="RGD43" s="149"/>
      <c r="RGE43" s="149"/>
      <c r="RGF43" s="149"/>
      <c r="RGG43" s="149"/>
      <c r="RGH43" s="149"/>
      <c r="RGI43" s="149"/>
      <c r="RGJ43" s="149"/>
      <c r="RGK43" s="149"/>
      <c r="RGL43" s="149"/>
      <c r="RGM43" s="149"/>
      <c r="RGN43" s="149"/>
      <c r="RGO43" s="149"/>
      <c r="RGP43" s="149"/>
      <c r="RGQ43" s="149"/>
      <c r="RGR43" s="149"/>
      <c r="RGS43" s="149"/>
      <c r="RGT43" s="149"/>
      <c r="RGU43" s="149"/>
      <c r="RGV43" s="149"/>
      <c r="RGW43" s="149"/>
      <c r="RGX43" s="149"/>
      <c r="RGY43" s="149"/>
      <c r="RGZ43" s="149"/>
      <c r="RHA43" s="149"/>
      <c r="RHB43" s="149"/>
      <c r="RHC43" s="149"/>
      <c r="RHD43" s="149"/>
      <c r="RHE43" s="149"/>
      <c r="RHF43" s="149"/>
      <c r="RHG43" s="149"/>
      <c r="RHH43" s="149"/>
      <c r="RHI43" s="149"/>
      <c r="RHJ43" s="149"/>
      <c r="RHK43" s="149"/>
      <c r="RHL43" s="149"/>
      <c r="RHM43" s="149"/>
      <c r="RHN43" s="149"/>
      <c r="RHO43" s="149"/>
      <c r="RHP43" s="149"/>
      <c r="RHQ43" s="149"/>
      <c r="RHR43" s="149"/>
      <c r="RHS43" s="149"/>
      <c r="RHT43" s="149"/>
      <c r="RHU43" s="149"/>
      <c r="RHV43" s="149"/>
      <c r="RHW43" s="149"/>
      <c r="RHX43" s="149"/>
      <c r="RHY43" s="149"/>
      <c r="RHZ43" s="149"/>
      <c r="RIA43" s="149"/>
      <c r="RIB43" s="149"/>
      <c r="RIC43" s="149"/>
      <c r="RID43" s="149"/>
      <c r="RIE43" s="149"/>
      <c r="RIF43" s="149"/>
      <c r="RIG43" s="149"/>
      <c r="RIH43" s="149"/>
      <c r="RII43" s="149"/>
      <c r="RIJ43" s="149"/>
      <c r="RIK43" s="149"/>
      <c r="RIL43" s="149"/>
      <c r="RIM43" s="149"/>
      <c r="RIN43" s="149"/>
      <c r="RIO43" s="149"/>
      <c r="RIP43" s="149"/>
      <c r="RIQ43" s="149"/>
      <c r="RIR43" s="149"/>
      <c r="RIS43" s="149"/>
      <c r="RIT43" s="149"/>
      <c r="RIU43" s="149"/>
      <c r="RIV43" s="149"/>
      <c r="RIW43" s="149"/>
      <c r="RIX43" s="149"/>
      <c r="RIY43" s="149"/>
      <c r="RIZ43" s="149"/>
      <c r="RJA43" s="149"/>
      <c r="RJB43" s="149"/>
      <c r="RJC43" s="149"/>
      <c r="RJD43" s="149"/>
      <c r="RJE43" s="149"/>
      <c r="RJF43" s="149"/>
      <c r="RJG43" s="149"/>
      <c r="RJH43" s="149"/>
      <c r="RJI43" s="149"/>
      <c r="RJJ43" s="149"/>
      <c r="RJK43" s="149"/>
      <c r="RJL43" s="149"/>
      <c r="RJM43" s="149"/>
      <c r="RJN43" s="149"/>
      <c r="RJO43" s="149"/>
      <c r="RJP43" s="149"/>
      <c r="RJQ43" s="149"/>
      <c r="RJR43" s="149"/>
      <c r="RJS43" s="149"/>
      <c r="RJT43" s="149"/>
      <c r="RJU43" s="149"/>
      <c r="RJV43" s="149"/>
      <c r="RJW43" s="149"/>
      <c r="RJX43" s="149"/>
      <c r="RJY43" s="149"/>
      <c r="RJZ43" s="149"/>
      <c r="RKA43" s="149"/>
      <c r="RKB43" s="149"/>
      <c r="RKC43" s="149"/>
      <c r="RKD43" s="149"/>
      <c r="RKE43" s="149"/>
      <c r="RKF43" s="149"/>
      <c r="RKG43" s="149"/>
      <c r="RKH43" s="149"/>
      <c r="RKI43" s="149"/>
      <c r="RKJ43" s="149"/>
      <c r="RKK43" s="149"/>
      <c r="RKL43" s="149"/>
      <c r="RKM43" s="149"/>
      <c r="RKN43" s="149"/>
      <c r="RKO43" s="149"/>
      <c r="RKP43" s="149"/>
      <c r="RKQ43" s="149"/>
      <c r="RKR43" s="149"/>
      <c r="RKS43" s="149"/>
      <c r="RKT43" s="149"/>
      <c r="RKU43" s="149"/>
      <c r="RKV43" s="149"/>
      <c r="RKW43" s="149"/>
      <c r="RKX43" s="149"/>
      <c r="RKY43" s="149"/>
      <c r="RKZ43" s="149"/>
      <c r="RLA43" s="149"/>
      <c r="RLB43" s="149"/>
      <c r="RLC43" s="149"/>
      <c r="RLD43" s="149"/>
      <c r="RLE43" s="149"/>
      <c r="RLF43" s="149"/>
      <c r="RLG43" s="149"/>
      <c r="RLH43" s="149"/>
      <c r="RLI43" s="149"/>
      <c r="RLJ43" s="149"/>
      <c r="RLK43" s="149"/>
      <c r="RLL43" s="149"/>
      <c r="RLM43" s="149"/>
      <c r="RLN43" s="149"/>
      <c r="RLO43" s="149"/>
      <c r="RLP43" s="149"/>
      <c r="RLQ43" s="149"/>
      <c r="RLR43" s="149"/>
      <c r="RLS43" s="149"/>
      <c r="RLT43" s="149"/>
      <c r="RLU43" s="149"/>
      <c r="RLV43" s="149"/>
      <c r="RLW43" s="149"/>
      <c r="RLX43" s="149"/>
      <c r="RLY43" s="149"/>
      <c r="RLZ43" s="149"/>
      <c r="RMA43" s="149"/>
      <c r="RMB43" s="149"/>
      <c r="RMC43" s="149"/>
      <c r="RMD43" s="149"/>
      <c r="RME43" s="149"/>
      <c r="RMF43" s="149"/>
      <c r="RMG43" s="149"/>
      <c r="RMH43" s="149"/>
      <c r="RMI43" s="149"/>
      <c r="RMJ43" s="149"/>
      <c r="RMK43" s="149"/>
      <c r="RML43" s="149"/>
      <c r="RMM43" s="149"/>
      <c r="RMN43" s="149"/>
      <c r="RMO43" s="149"/>
      <c r="RMP43" s="149"/>
      <c r="RMQ43" s="149"/>
      <c r="RMR43" s="149"/>
      <c r="RMS43" s="149"/>
      <c r="RMT43" s="149"/>
      <c r="RMU43" s="149"/>
      <c r="RMV43" s="149"/>
      <c r="RMW43" s="149"/>
      <c r="RMX43" s="149"/>
      <c r="RMY43" s="149"/>
      <c r="RMZ43" s="149"/>
      <c r="RNA43" s="149"/>
      <c r="RNB43" s="149"/>
      <c r="RNC43" s="149"/>
      <c r="RND43" s="149"/>
      <c r="RNE43" s="149"/>
      <c r="RNF43" s="149"/>
      <c r="RNG43" s="149"/>
      <c r="RNH43" s="149"/>
      <c r="RNI43" s="149"/>
      <c r="RNJ43" s="149"/>
      <c r="RNK43" s="149"/>
      <c r="RNL43" s="149"/>
      <c r="RNM43" s="149"/>
      <c r="RNN43" s="149"/>
      <c r="RNO43" s="149"/>
      <c r="RNP43" s="149"/>
      <c r="RNQ43" s="149"/>
      <c r="RNR43" s="149"/>
      <c r="RNS43" s="149"/>
      <c r="RNT43" s="149"/>
      <c r="RNU43" s="149"/>
      <c r="RNV43" s="149"/>
      <c r="RNW43" s="149"/>
      <c r="RNX43" s="149"/>
      <c r="RNY43" s="149"/>
      <c r="RNZ43" s="149"/>
      <c r="ROA43" s="149"/>
      <c r="ROB43" s="149"/>
      <c r="ROC43" s="149"/>
      <c r="ROD43" s="149"/>
      <c r="ROE43" s="149"/>
      <c r="ROF43" s="149"/>
      <c r="ROG43" s="149"/>
      <c r="ROH43" s="149"/>
      <c r="ROI43" s="149"/>
      <c r="ROJ43" s="149"/>
      <c r="ROK43" s="149"/>
      <c r="ROL43" s="149"/>
      <c r="ROM43" s="149"/>
      <c r="RON43" s="149"/>
      <c r="ROO43" s="149"/>
      <c r="ROP43" s="149"/>
      <c r="ROQ43" s="149"/>
      <c r="ROR43" s="149"/>
      <c r="ROS43" s="149"/>
      <c r="ROT43" s="149"/>
      <c r="ROU43" s="149"/>
      <c r="ROV43" s="149"/>
      <c r="ROW43" s="149"/>
      <c r="ROX43" s="149"/>
      <c r="ROY43" s="149"/>
      <c r="ROZ43" s="149"/>
      <c r="RPA43" s="149"/>
      <c r="RPB43" s="149"/>
      <c r="RPC43" s="149"/>
      <c r="RPD43" s="149"/>
      <c r="RPE43" s="149"/>
      <c r="RPF43" s="149"/>
      <c r="RPG43" s="149"/>
      <c r="RPH43" s="149"/>
      <c r="RPI43" s="149"/>
      <c r="RPJ43" s="149"/>
      <c r="RPK43" s="149"/>
      <c r="RPL43" s="149"/>
      <c r="RPM43" s="149"/>
      <c r="RPN43" s="149"/>
      <c r="RPO43" s="149"/>
      <c r="RPP43" s="149"/>
      <c r="RPQ43" s="149"/>
      <c r="RPR43" s="149"/>
      <c r="RPS43" s="149"/>
      <c r="RPT43" s="149"/>
      <c r="RPU43" s="149"/>
      <c r="RPV43" s="149"/>
      <c r="RPW43" s="149"/>
      <c r="RPX43" s="149"/>
      <c r="RPY43" s="149"/>
      <c r="RPZ43" s="149"/>
      <c r="RQA43" s="149"/>
      <c r="RQB43" s="149"/>
      <c r="RQC43" s="149"/>
      <c r="RQD43" s="149"/>
      <c r="RQE43" s="149"/>
      <c r="RQF43" s="149"/>
      <c r="RQG43" s="149"/>
      <c r="RQH43" s="149"/>
      <c r="RQI43" s="149"/>
      <c r="RQJ43" s="149"/>
      <c r="RQK43" s="149"/>
      <c r="RQL43" s="149"/>
      <c r="RQM43" s="149"/>
      <c r="RQN43" s="149"/>
      <c r="RQO43" s="149"/>
      <c r="RQP43" s="149"/>
      <c r="RQQ43" s="149"/>
      <c r="RQR43" s="149"/>
      <c r="RQS43" s="149"/>
      <c r="RQT43" s="149"/>
      <c r="RQU43" s="149"/>
      <c r="RQV43" s="149"/>
      <c r="RQW43" s="149"/>
      <c r="RQX43" s="149"/>
      <c r="RQY43" s="149"/>
      <c r="RQZ43" s="149"/>
      <c r="RRA43" s="149"/>
      <c r="RRB43" s="149"/>
      <c r="RRC43" s="149"/>
      <c r="RRD43" s="149"/>
      <c r="RRE43" s="149"/>
      <c r="RRF43" s="149"/>
      <c r="RRG43" s="149"/>
      <c r="RRH43" s="149"/>
      <c r="RRI43" s="149"/>
      <c r="RRJ43" s="149"/>
      <c r="RRK43" s="149"/>
      <c r="RRL43" s="149"/>
      <c r="RRM43" s="149"/>
      <c r="RRN43" s="149"/>
      <c r="RRO43" s="149"/>
      <c r="RRP43" s="149"/>
      <c r="RRQ43" s="149"/>
      <c r="RRR43" s="149"/>
      <c r="RRS43" s="149"/>
      <c r="RRT43" s="149"/>
      <c r="RRU43" s="149"/>
      <c r="RRV43" s="149"/>
      <c r="RRW43" s="149"/>
      <c r="RRX43" s="149"/>
      <c r="RRY43" s="149"/>
      <c r="RRZ43" s="149"/>
      <c r="RSA43" s="149"/>
      <c r="RSB43" s="149"/>
      <c r="RSC43" s="149"/>
      <c r="RSD43" s="149"/>
      <c r="RSE43" s="149"/>
      <c r="RSF43" s="149"/>
      <c r="RSG43" s="149"/>
      <c r="RSH43" s="149"/>
      <c r="RSI43" s="149"/>
      <c r="RSJ43" s="149"/>
      <c r="RSK43" s="149"/>
      <c r="RSL43" s="149"/>
      <c r="RSM43" s="149"/>
      <c r="RSN43" s="149"/>
      <c r="RSO43" s="149"/>
      <c r="RSP43" s="149"/>
      <c r="RSQ43" s="149"/>
      <c r="RSR43" s="149"/>
      <c r="RSS43" s="149"/>
      <c r="RST43" s="149"/>
      <c r="RSU43" s="149"/>
      <c r="RSV43" s="149"/>
      <c r="RSW43" s="149"/>
      <c r="RSX43" s="149"/>
      <c r="RSY43" s="149"/>
      <c r="RSZ43" s="149"/>
      <c r="RTA43" s="149"/>
      <c r="RTB43" s="149"/>
      <c r="RTC43" s="149"/>
      <c r="RTD43" s="149"/>
      <c r="RTE43" s="149"/>
      <c r="RTF43" s="149"/>
      <c r="RTG43" s="149"/>
      <c r="RTH43" s="149"/>
      <c r="RTI43" s="149"/>
      <c r="RTJ43" s="149"/>
      <c r="RTK43" s="149"/>
      <c r="RTL43" s="149"/>
      <c r="RTM43" s="149"/>
      <c r="RTN43" s="149"/>
      <c r="RTO43" s="149"/>
      <c r="RTP43" s="149"/>
      <c r="RTQ43" s="149"/>
      <c r="RTR43" s="149"/>
      <c r="RTS43" s="149"/>
      <c r="RTT43" s="149"/>
      <c r="RTU43" s="149"/>
      <c r="RTV43" s="149"/>
      <c r="RTW43" s="149"/>
      <c r="RTX43" s="149"/>
      <c r="RTY43" s="149"/>
      <c r="RTZ43" s="149"/>
      <c r="RUA43" s="149"/>
      <c r="RUB43" s="149"/>
      <c r="RUC43" s="149"/>
      <c r="RUD43" s="149"/>
      <c r="RUE43" s="149"/>
      <c r="RUF43" s="149"/>
      <c r="RUG43" s="149"/>
      <c r="RUH43" s="149"/>
      <c r="RUI43" s="149"/>
      <c r="RUJ43" s="149"/>
      <c r="RUK43" s="149"/>
      <c r="RUL43" s="149"/>
      <c r="RUM43" s="149"/>
      <c r="RUN43" s="149"/>
      <c r="RUO43" s="149"/>
      <c r="RUP43" s="149"/>
      <c r="RUQ43" s="149"/>
      <c r="RUR43" s="149"/>
      <c r="RUS43" s="149"/>
      <c r="RUT43" s="149"/>
      <c r="RUU43" s="149"/>
      <c r="RUV43" s="149"/>
      <c r="RUW43" s="149"/>
      <c r="RUX43" s="149"/>
      <c r="RUY43" s="149"/>
      <c r="RUZ43" s="149"/>
      <c r="RVA43" s="149"/>
      <c r="RVB43" s="149"/>
      <c r="RVC43" s="149"/>
      <c r="RVD43" s="149"/>
      <c r="RVE43" s="149"/>
      <c r="RVF43" s="149"/>
      <c r="RVG43" s="149"/>
      <c r="RVH43" s="149"/>
      <c r="RVI43" s="149"/>
      <c r="RVJ43" s="149"/>
      <c r="RVK43" s="149"/>
      <c r="RVL43" s="149"/>
      <c r="RVM43" s="149"/>
      <c r="RVN43" s="149"/>
      <c r="RVO43" s="149"/>
      <c r="RVP43" s="149"/>
      <c r="RVQ43" s="149"/>
      <c r="RVR43" s="149"/>
      <c r="RVS43" s="149"/>
      <c r="RVT43" s="149"/>
      <c r="RVU43" s="149"/>
      <c r="RVV43" s="149"/>
      <c r="RVW43" s="149"/>
      <c r="RVX43" s="149"/>
      <c r="RVY43" s="149"/>
      <c r="RVZ43" s="149"/>
      <c r="RWA43" s="149"/>
      <c r="RWB43" s="149"/>
      <c r="RWC43" s="149"/>
      <c r="RWD43" s="149"/>
      <c r="RWE43" s="149"/>
      <c r="RWF43" s="149"/>
      <c r="RWG43" s="149"/>
      <c r="RWH43" s="149"/>
      <c r="RWI43" s="149"/>
      <c r="RWJ43" s="149"/>
      <c r="RWK43" s="149"/>
      <c r="RWL43" s="149"/>
      <c r="RWM43" s="149"/>
      <c r="RWN43" s="149"/>
      <c r="RWO43" s="149"/>
      <c r="RWP43" s="149"/>
      <c r="RWQ43" s="149"/>
      <c r="RWR43" s="149"/>
      <c r="RWS43" s="149"/>
      <c r="RWT43" s="149"/>
      <c r="RWU43" s="149"/>
      <c r="RWV43" s="149"/>
      <c r="RWW43" s="149"/>
      <c r="RWX43" s="149"/>
      <c r="RWY43" s="149"/>
      <c r="RWZ43" s="149"/>
      <c r="RXA43" s="149"/>
      <c r="RXB43" s="149"/>
      <c r="RXC43" s="149"/>
      <c r="RXD43" s="149"/>
      <c r="RXE43" s="149"/>
      <c r="RXF43" s="149"/>
      <c r="RXG43" s="149"/>
      <c r="RXH43" s="149"/>
      <c r="RXI43" s="149"/>
      <c r="RXJ43" s="149"/>
      <c r="RXK43" s="149"/>
      <c r="RXL43" s="149"/>
      <c r="RXM43" s="149"/>
      <c r="RXN43" s="149"/>
      <c r="RXO43" s="149"/>
      <c r="RXP43" s="149"/>
      <c r="RXQ43" s="149"/>
      <c r="RXR43" s="149"/>
      <c r="RXS43" s="149"/>
      <c r="RXT43" s="149"/>
      <c r="RXU43" s="149"/>
      <c r="RXV43" s="149"/>
      <c r="RXW43" s="149"/>
      <c r="RXX43" s="149"/>
      <c r="RXY43" s="149"/>
      <c r="RXZ43" s="149"/>
      <c r="RYA43" s="149"/>
      <c r="RYB43" s="149"/>
      <c r="RYC43" s="149"/>
      <c r="RYD43" s="149"/>
      <c r="RYE43" s="149"/>
      <c r="RYF43" s="149"/>
      <c r="RYG43" s="149"/>
      <c r="RYH43" s="149"/>
      <c r="RYI43" s="149"/>
      <c r="RYJ43" s="149"/>
      <c r="RYK43" s="149"/>
      <c r="RYL43" s="149"/>
      <c r="RYM43" s="149"/>
      <c r="RYN43" s="149"/>
      <c r="RYO43" s="149"/>
      <c r="RYP43" s="149"/>
      <c r="RYQ43" s="149"/>
      <c r="RYR43" s="149"/>
      <c r="RYS43" s="149"/>
      <c r="RYT43" s="149"/>
      <c r="RYU43" s="149"/>
      <c r="RYV43" s="149"/>
      <c r="RYW43" s="149"/>
      <c r="RYX43" s="149"/>
      <c r="RYY43" s="149"/>
      <c r="RYZ43" s="149"/>
      <c r="RZA43" s="149"/>
      <c r="RZB43" s="149"/>
      <c r="RZC43" s="149"/>
      <c r="RZD43" s="149"/>
      <c r="RZE43" s="149"/>
      <c r="RZF43" s="149"/>
      <c r="RZG43" s="149"/>
      <c r="RZH43" s="149"/>
      <c r="RZI43" s="149"/>
      <c r="RZJ43" s="149"/>
      <c r="RZK43" s="149"/>
      <c r="RZL43" s="149"/>
      <c r="RZM43" s="149"/>
      <c r="RZN43" s="149"/>
      <c r="RZO43" s="149"/>
      <c r="RZP43" s="149"/>
      <c r="RZQ43" s="149"/>
      <c r="RZR43" s="149"/>
      <c r="RZS43" s="149"/>
      <c r="RZT43" s="149"/>
      <c r="RZU43" s="149"/>
      <c r="RZV43" s="149"/>
      <c r="RZW43" s="149"/>
      <c r="RZX43" s="149"/>
      <c r="RZY43" s="149"/>
      <c r="RZZ43" s="149"/>
      <c r="SAA43" s="149"/>
      <c r="SAB43" s="149"/>
      <c r="SAC43" s="149"/>
      <c r="SAD43" s="149"/>
      <c r="SAE43" s="149"/>
      <c r="SAF43" s="149"/>
      <c r="SAG43" s="149"/>
      <c r="SAH43" s="149"/>
      <c r="SAI43" s="149"/>
      <c r="SAJ43" s="149"/>
      <c r="SAK43" s="149"/>
      <c r="SAL43" s="149"/>
      <c r="SAM43" s="149"/>
      <c r="SAN43" s="149"/>
      <c r="SAO43" s="149"/>
      <c r="SAP43" s="149"/>
      <c r="SAQ43" s="149"/>
      <c r="SAR43" s="149"/>
      <c r="SAS43" s="149"/>
      <c r="SAT43" s="149"/>
      <c r="SAU43" s="149"/>
      <c r="SAV43" s="149"/>
      <c r="SAW43" s="149"/>
      <c r="SAX43" s="149"/>
      <c r="SAY43" s="149"/>
      <c r="SAZ43" s="149"/>
      <c r="SBA43" s="149"/>
      <c r="SBB43" s="149"/>
      <c r="SBC43" s="149"/>
      <c r="SBD43" s="149"/>
      <c r="SBE43" s="149"/>
      <c r="SBF43" s="149"/>
      <c r="SBG43" s="149"/>
      <c r="SBH43" s="149"/>
      <c r="SBI43" s="149"/>
      <c r="SBJ43" s="149"/>
      <c r="SBK43" s="149"/>
      <c r="SBL43" s="149"/>
      <c r="SBM43" s="149"/>
      <c r="SBN43" s="149"/>
      <c r="SBO43" s="149"/>
      <c r="SBP43" s="149"/>
      <c r="SBQ43" s="149"/>
      <c r="SBR43" s="149"/>
      <c r="SBS43" s="149"/>
      <c r="SBT43" s="149"/>
      <c r="SBU43" s="149"/>
      <c r="SBV43" s="149"/>
      <c r="SBW43" s="149"/>
      <c r="SBX43" s="149"/>
      <c r="SBY43" s="149"/>
      <c r="SBZ43" s="149"/>
      <c r="SCA43" s="149"/>
      <c r="SCB43" s="149"/>
      <c r="SCC43" s="149"/>
      <c r="SCD43" s="149"/>
      <c r="SCE43" s="149"/>
      <c r="SCF43" s="149"/>
      <c r="SCG43" s="149"/>
      <c r="SCH43" s="149"/>
      <c r="SCI43" s="149"/>
      <c r="SCJ43" s="149"/>
      <c r="SCK43" s="149"/>
      <c r="SCL43" s="149"/>
      <c r="SCM43" s="149"/>
      <c r="SCN43" s="149"/>
      <c r="SCO43" s="149"/>
      <c r="SCP43" s="149"/>
      <c r="SCQ43" s="149"/>
      <c r="SCR43" s="149"/>
      <c r="SCS43" s="149"/>
      <c r="SCT43" s="149"/>
      <c r="SCU43" s="149"/>
      <c r="SCV43" s="149"/>
      <c r="SCW43" s="149"/>
      <c r="SCX43" s="149"/>
      <c r="SCY43" s="149"/>
      <c r="SCZ43" s="149"/>
      <c r="SDA43" s="149"/>
      <c r="SDB43" s="149"/>
      <c r="SDC43" s="149"/>
      <c r="SDD43" s="149"/>
      <c r="SDE43" s="149"/>
      <c r="SDF43" s="149"/>
      <c r="SDG43" s="149"/>
      <c r="SDH43" s="149"/>
      <c r="SDI43" s="149"/>
      <c r="SDJ43" s="149"/>
      <c r="SDK43" s="149"/>
      <c r="SDL43" s="149"/>
      <c r="SDM43" s="149"/>
      <c r="SDN43" s="149"/>
      <c r="SDO43" s="149"/>
      <c r="SDP43" s="149"/>
      <c r="SDQ43" s="149"/>
      <c r="SDR43" s="149"/>
      <c r="SDS43" s="149"/>
      <c r="SDT43" s="149"/>
      <c r="SDU43" s="149"/>
      <c r="SDV43" s="149"/>
      <c r="SDW43" s="149"/>
      <c r="SDX43" s="149"/>
      <c r="SDY43" s="149"/>
      <c r="SDZ43" s="149"/>
      <c r="SEA43" s="149"/>
      <c r="SEB43" s="149"/>
      <c r="SEC43" s="149"/>
      <c r="SED43" s="149"/>
      <c r="SEE43" s="149"/>
      <c r="SEF43" s="149"/>
      <c r="SEG43" s="149"/>
      <c r="SEH43" s="149"/>
      <c r="SEI43" s="149"/>
      <c r="SEJ43" s="149"/>
      <c r="SEK43" s="149"/>
      <c r="SEL43" s="149"/>
      <c r="SEM43" s="149"/>
      <c r="SEN43" s="149"/>
      <c r="SEO43" s="149"/>
      <c r="SEP43" s="149"/>
      <c r="SEQ43" s="149"/>
      <c r="SER43" s="149"/>
      <c r="SES43" s="149"/>
      <c r="SET43" s="149"/>
      <c r="SEU43" s="149"/>
      <c r="SEV43" s="149"/>
      <c r="SEW43" s="149"/>
      <c r="SEX43" s="149"/>
      <c r="SEY43" s="149"/>
      <c r="SEZ43" s="149"/>
      <c r="SFA43" s="149"/>
      <c r="SFB43" s="149"/>
      <c r="SFC43" s="149"/>
      <c r="SFD43" s="149"/>
      <c r="SFE43" s="149"/>
      <c r="SFF43" s="149"/>
      <c r="SFG43" s="149"/>
      <c r="SFH43" s="149"/>
      <c r="SFI43" s="149"/>
      <c r="SFJ43" s="149"/>
      <c r="SFK43" s="149"/>
      <c r="SFL43" s="149"/>
      <c r="SFM43" s="149"/>
      <c r="SFN43" s="149"/>
      <c r="SFO43" s="149"/>
      <c r="SFP43" s="149"/>
      <c r="SFQ43" s="149"/>
      <c r="SFR43" s="149"/>
      <c r="SFS43" s="149"/>
      <c r="SFT43" s="149"/>
      <c r="SFU43" s="149"/>
      <c r="SFV43" s="149"/>
      <c r="SFW43" s="149"/>
      <c r="SFX43" s="149"/>
      <c r="SFY43" s="149"/>
      <c r="SFZ43" s="149"/>
      <c r="SGA43" s="149"/>
      <c r="SGB43" s="149"/>
      <c r="SGC43" s="149"/>
      <c r="SGD43" s="149"/>
      <c r="SGE43" s="149"/>
      <c r="SGF43" s="149"/>
      <c r="SGG43" s="149"/>
      <c r="SGH43" s="149"/>
      <c r="SGI43" s="149"/>
      <c r="SGJ43" s="149"/>
      <c r="SGK43" s="149"/>
      <c r="SGL43" s="149"/>
      <c r="SGM43" s="149"/>
      <c r="SGN43" s="149"/>
      <c r="SGO43" s="149"/>
      <c r="SGP43" s="149"/>
      <c r="SGQ43" s="149"/>
      <c r="SGR43" s="149"/>
      <c r="SGS43" s="149"/>
      <c r="SGT43" s="149"/>
      <c r="SGU43" s="149"/>
      <c r="SGV43" s="149"/>
      <c r="SGW43" s="149"/>
      <c r="SGX43" s="149"/>
      <c r="SGY43" s="149"/>
      <c r="SGZ43" s="149"/>
      <c r="SHA43" s="149"/>
      <c r="SHB43" s="149"/>
      <c r="SHC43" s="149"/>
      <c r="SHD43" s="149"/>
      <c r="SHE43" s="149"/>
      <c r="SHF43" s="149"/>
      <c r="SHG43" s="149"/>
      <c r="SHH43" s="149"/>
      <c r="SHI43" s="149"/>
      <c r="SHJ43" s="149"/>
      <c r="SHK43" s="149"/>
      <c r="SHL43" s="149"/>
      <c r="SHM43" s="149"/>
      <c r="SHN43" s="149"/>
      <c r="SHO43" s="149"/>
      <c r="SHP43" s="149"/>
      <c r="SHQ43" s="149"/>
      <c r="SHR43" s="149"/>
      <c r="SHS43" s="149"/>
      <c r="SHT43" s="149"/>
      <c r="SHU43" s="149"/>
      <c r="SHV43" s="149"/>
      <c r="SHW43" s="149"/>
      <c r="SHX43" s="149"/>
      <c r="SHY43" s="149"/>
      <c r="SHZ43" s="149"/>
      <c r="SIA43" s="149"/>
      <c r="SIB43" s="149"/>
      <c r="SIC43" s="149"/>
      <c r="SID43" s="149"/>
      <c r="SIE43" s="149"/>
      <c r="SIF43" s="149"/>
      <c r="SIG43" s="149"/>
      <c r="SIH43" s="149"/>
      <c r="SII43" s="149"/>
      <c r="SIJ43" s="149"/>
      <c r="SIK43" s="149"/>
      <c r="SIL43" s="149"/>
      <c r="SIM43" s="149"/>
      <c r="SIN43" s="149"/>
      <c r="SIO43" s="149"/>
      <c r="SIP43" s="149"/>
      <c r="SIQ43" s="149"/>
      <c r="SIR43" s="149"/>
      <c r="SIS43" s="149"/>
      <c r="SIT43" s="149"/>
      <c r="SIU43" s="149"/>
      <c r="SIV43" s="149"/>
      <c r="SIW43" s="149"/>
      <c r="SIX43" s="149"/>
      <c r="SIY43" s="149"/>
      <c r="SIZ43" s="149"/>
      <c r="SJA43" s="149"/>
      <c r="SJB43" s="149"/>
      <c r="SJC43" s="149"/>
      <c r="SJD43" s="149"/>
      <c r="SJE43" s="149"/>
      <c r="SJF43" s="149"/>
      <c r="SJG43" s="149"/>
      <c r="SJH43" s="149"/>
      <c r="SJI43" s="149"/>
      <c r="SJJ43" s="149"/>
      <c r="SJK43" s="149"/>
      <c r="SJL43" s="149"/>
      <c r="SJM43" s="149"/>
      <c r="SJN43" s="149"/>
      <c r="SJO43" s="149"/>
      <c r="SJP43" s="149"/>
      <c r="SJQ43" s="149"/>
      <c r="SJR43" s="149"/>
      <c r="SJS43" s="149"/>
      <c r="SJT43" s="149"/>
      <c r="SJU43" s="149"/>
      <c r="SJV43" s="149"/>
      <c r="SJW43" s="149"/>
      <c r="SJX43" s="149"/>
      <c r="SJY43" s="149"/>
      <c r="SJZ43" s="149"/>
      <c r="SKA43" s="149"/>
      <c r="SKB43" s="149"/>
      <c r="SKC43" s="149"/>
      <c r="SKD43" s="149"/>
      <c r="SKE43" s="149"/>
      <c r="SKF43" s="149"/>
      <c r="SKG43" s="149"/>
      <c r="SKH43" s="149"/>
      <c r="SKI43" s="149"/>
      <c r="SKJ43" s="149"/>
      <c r="SKK43" s="149"/>
      <c r="SKL43" s="149"/>
      <c r="SKM43" s="149"/>
      <c r="SKN43" s="149"/>
      <c r="SKO43" s="149"/>
      <c r="SKP43" s="149"/>
      <c r="SKQ43" s="149"/>
      <c r="SKR43" s="149"/>
      <c r="SKS43" s="149"/>
      <c r="SKT43" s="149"/>
      <c r="SKU43" s="149"/>
      <c r="SKV43" s="149"/>
      <c r="SKW43" s="149"/>
      <c r="SKX43" s="149"/>
      <c r="SKY43" s="149"/>
      <c r="SKZ43" s="149"/>
      <c r="SLA43" s="149"/>
      <c r="SLB43" s="149"/>
      <c r="SLC43" s="149"/>
      <c r="SLD43" s="149"/>
      <c r="SLE43" s="149"/>
      <c r="SLF43" s="149"/>
      <c r="SLG43" s="149"/>
      <c r="SLH43" s="149"/>
      <c r="SLI43" s="149"/>
      <c r="SLJ43" s="149"/>
      <c r="SLK43" s="149"/>
      <c r="SLL43" s="149"/>
      <c r="SLM43" s="149"/>
      <c r="SLN43" s="149"/>
      <c r="SLO43" s="149"/>
      <c r="SLP43" s="149"/>
      <c r="SLQ43" s="149"/>
      <c r="SLR43" s="149"/>
      <c r="SLS43" s="149"/>
      <c r="SLT43" s="149"/>
      <c r="SLU43" s="149"/>
      <c r="SLV43" s="149"/>
      <c r="SLW43" s="149"/>
      <c r="SLX43" s="149"/>
      <c r="SLY43" s="149"/>
      <c r="SLZ43" s="149"/>
      <c r="SMA43" s="149"/>
      <c r="SMB43" s="149"/>
      <c r="SMC43" s="149"/>
      <c r="SMD43" s="149"/>
      <c r="SME43" s="149"/>
      <c r="SMF43" s="149"/>
      <c r="SMG43" s="149"/>
      <c r="SMH43" s="149"/>
      <c r="SMI43" s="149"/>
      <c r="SMJ43" s="149"/>
      <c r="SMK43" s="149"/>
      <c r="SML43" s="149"/>
      <c r="SMM43" s="149"/>
      <c r="SMN43" s="149"/>
      <c r="SMO43" s="149"/>
      <c r="SMP43" s="149"/>
      <c r="SMQ43" s="149"/>
      <c r="SMR43" s="149"/>
      <c r="SMS43" s="149"/>
      <c r="SMT43" s="149"/>
      <c r="SMU43" s="149"/>
      <c r="SMV43" s="149"/>
      <c r="SMW43" s="149"/>
      <c r="SMX43" s="149"/>
      <c r="SMY43" s="149"/>
      <c r="SMZ43" s="149"/>
      <c r="SNA43" s="149"/>
      <c r="SNB43" s="149"/>
      <c r="SNC43" s="149"/>
      <c r="SND43" s="149"/>
      <c r="SNE43" s="149"/>
      <c r="SNF43" s="149"/>
      <c r="SNG43" s="149"/>
      <c r="SNH43" s="149"/>
      <c r="SNI43" s="149"/>
      <c r="SNJ43" s="149"/>
      <c r="SNK43" s="149"/>
      <c r="SNL43" s="149"/>
      <c r="SNM43" s="149"/>
      <c r="SNN43" s="149"/>
      <c r="SNO43" s="149"/>
      <c r="SNP43" s="149"/>
      <c r="SNQ43" s="149"/>
      <c r="SNR43" s="149"/>
      <c r="SNS43" s="149"/>
      <c r="SNT43" s="149"/>
      <c r="SNU43" s="149"/>
      <c r="SNV43" s="149"/>
      <c r="SNW43" s="149"/>
      <c r="SNX43" s="149"/>
      <c r="SNY43" s="149"/>
      <c r="SNZ43" s="149"/>
      <c r="SOA43" s="149"/>
      <c r="SOB43" s="149"/>
      <c r="SOC43" s="149"/>
      <c r="SOD43" s="149"/>
      <c r="SOE43" s="149"/>
      <c r="SOF43" s="149"/>
      <c r="SOG43" s="149"/>
      <c r="SOH43" s="149"/>
      <c r="SOI43" s="149"/>
      <c r="SOJ43" s="149"/>
      <c r="SOK43" s="149"/>
      <c r="SOL43" s="149"/>
      <c r="SOM43" s="149"/>
      <c r="SON43" s="149"/>
      <c r="SOO43" s="149"/>
      <c r="SOP43" s="149"/>
      <c r="SOQ43" s="149"/>
      <c r="SOR43" s="149"/>
      <c r="SOS43" s="149"/>
      <c r="SOT43" s="149"/>
      <c r="SOU43" s="149"/>
      <c r="SOV43" s="149"/>
      <c r="SOW43" s="149"/>
      <c r="SOX43" s="149"/>
      <c r="SOY43" s="149"/>
      <c r="SOZ43" s="149"/>
      <c r="SPA43" s="149"/>
      <c r="SPB43" s="149"/>
      <c r="SPC43" s="149"/>
      <c r="SPD43" s="149"/>
      <c r="SPE43" s="149"/>
      <c r="SPF43" s="149"/>
      <c r="SPG43" s="149"/>
      <c r="SPH43" s="149"/>
      <c r="SPI43" s="149"/>
      <c r="SPJ43" s="149"/>
      <c r="SPK43" s="149"/>
      <c r="SPL43" s="149"/>
      <c r="SPM43" s="149"/>
      <c r="SPN43" s="149"/>
      <c r="SPO43" s="149"/>
      <c r="SPP43" s="149"/>
      <c r="SPQ43" s="149"/>
      <c r="SPR43" s="149"/>
      <c r="SPS43" s="149"/>
      <c r="SPT43" s="149"/>
      <c r="SPU43" s="149"/>
      <c r="SPV43" s="149"/>
      <c r="SPW43" s="149"/>
      <c r="SPX43" s="149"/>
      <c r="SPY43" s="149"/>
      <c r="SPZ43" s="149"/>
      <c r="SQA43" s="149"/>
      <c r="SQB43" s="149"/>
      <c r="SQC43" s="149"/>
      <c r="SQD43" s="149"/>
      <c r="SQE43" s="149"/>
      <c r="SQF43" s="149"/>
      <c r="SQG43" s="149"/>
      <c r="SQH43" s="149"/>
      <c r="SQI43" s="149"/>
      <c r="SQJ43" s="149"/>
      <c r="SQK43" s="149"/>
      <c r="SQL43" s="149"/>
      <c r="SQM43" s="149"/>
      <c r="SQN43" s="149"/>
      <c r="SQO43" s="149"/>
      <c r="SQP43" s="149"/>
      <c r="SQQ43" s="149"/>
      <c r="SQR43" s="149"/>
      <c r="SQS43" s="149"/>
      <c r="SQT43" s="149"/>
      <c r="SQU43" s="149"/>
      <c r="SQV43" s="149"/>
      <c r="SQW43" s="149"/>
      <c r="SQX43" s="149"/>
      <c r="SQY43" s="149"/>
      <c r="SQZ43" s="149"/>
      <c r="SRA43" s="149"/>
      <c r="SRB43" s="149"/>
      <c r="SRC43" s="149"/>
      <c r="SRD43" s="149"/>
      <c r="SRE43" s="149"/>
      <c r="SRF43" s="149"/>
      <c r="SRG43" s="149"/>
      <c r="SRH43" s="149"/>
      <c r="SRI43" s="149"/>
      <c r="SRJ43" s="149"/>
      <c r="SRK43" s="149"/>
      <c r="SRL43" s="149"/>
      <c r="SRM43" s="149"/>
      <c r="SRN43" s="149"/>
      <c r="SRO43" s="149"/>
      <c r="SRP43" s="149"/>
      <c r="SRQ43" s="149"/>
      <c r="SRR43" s="149"/>
      <c r="SRS43" s="149"/>
      <c r="SRT43" s="149"/>
      <c r="SRU43" s="149"/>
      <c r="SRV43" s="149"/>
      <c r="SRW43" s="149"/>
      <c r="SRX43" s="149"/>
      <c r="SRY43" s="149"/>
      <c r="SRZ43" s="149"/>
      <c r="SSA43" s="149"/>
      <c r="SSB43" s="149"/>
      <c r="SSC43" s="149"/>
      <c r="SSD43" s="149"/>
      <c r="SSE43" s="149"/>
      <c r="SSF43" s="149"/>
      <c r="SSG43" s="149"/>
      <c r="SSH43" s="149"/>
      <c r="SSI43" s="149"/>
      <c r="SSJ43" s="149"/>
      <c r="SSK43" s="149"/>
      <c r="SSL43" s="149"/>
      <c r="SSM43" s="149"/>
      <c r="SSN43" s="149"/>
      <c r="SSO43" s="149"/>
      <c r="SSP43" s="149"/>
      <c r="SSQ43" s="149"/>
      <c r="SSR43" s="149"/>
      <c r="SSS43" s="149"/>
      <c r="SST43" s="149"/>
      <c r="SSU43" s="149"/>
      <c r="SSV43" s="149"/>
      <c r="SSW43" s="149"/>
      <c r="SSX43" s="149"/>
      <c r="SSY43" s="149"/>
      <c r="SSZ43" s="149"/>
      <c r="STA43" s="149"/>
      <c r="STB43" s="149"/>
      <c r="STC43" s="149"/>
      <c r="STD43" s="149"/>
      <c r="STE43" s="149"/>
      <c r="STF43" s="149"/>
      <c r="STG43" s="149"/>
      <c r="STH43" s="149"/>
      <c r="STI43" s="149"/>
      <c r="STJ43" s="149"/>
      <c r="STK43" s="149"/>
      <c r="STL43" s="149"/>
      <c r="STM43" s="149"/>
      <c r="STN43" s="149"/>
      <c r="STO43" s="149"/>
      <c r="STP43" s="149"/>
      <c r="STQ43" s="149"/>
      <c r="STR43" s="149"/>
      <c r="STS43" s="149"/>
      <c r="STT43" s="149"/>
      <c r="STU43" s="149"/>
      <c r="STV43" s="149"/>
      <c r="STW43" s="149"/>
      <c r="STX43" s="149"/>
      <c r="STY43" s="149"/>
      <c r="STZ43" s="149"/>
      <c r="SUA43" s="149"/>
      <c r="SUB43" s="149"/>
      <c r="SUC43" s="149"/>
      <c r="SUD43" s="149"/>
      <c r="SUE43" s="149"/>
      <c r="SUF43" s="149"/>
      <c r="SUG43" s="149"/>
      <c r="SUH43" s="149"/>
      <c r="SUI43" s="149"/>
      <c r="SUJ43" s="149"/>
      <c r="SUK43" s="149"/>
      <c r="SUL43" s="149"/>
      <c r="SUM43" s="149"/>
      <c r="SUN43" s="149"/>
      <c r="SUO43" s="149"/>
      <c r="SUP43" s="149"/>
      <c r="SUQ43" s="149"/>
      <c r="SUR43" s="149"/>
      <c r="SUS43" s="149"/>
      <c r="SUT43" s="149"/>
      <c r="SUU43" s="149"/>
      <c r="SUV43" s="149"/>
      <c r="SUW43" s="149"/>
      <c r="SUX43" s="149"/>
      <c r="SUY43" s="149"/>
      <c r="SUZ43" s="149"/>
      <c r="SVA43" s="149"/>
      <c r="SVB43" s="149"/>
      <c r="SVC43" s="149"/>
      <c r="SVD43" s="149"/>
      <c r="SVE43" s="149"/>
      <c r="SVF43" s="149"/>
      <c r="SVG43" s="149"/>
      <c r="SVH43" s="149"/>
      <c r="SVI43" s="149"/>
      <c r="SVJ43" s="149"/>
      <c r="SVK43" s="149"/>
      <c r="SVL43" s="149"/>
      <c r="SVM43" s="149"/>
      <c r="SVN43" s="149"/>
      <c r="SVO43" s="149"/>
      <c r="SVP43" s="149"/>
      <c r="SVQ43" s="149"/>
      <c r="SVR43" s="149"/>
      <c r="SVS43" s="149"/>
      <c r="SVT43" s="149"/>
      <c r="SVU43" s="149"/>
      <c r="SVV43" s="149"/>
      <c r="SVW43" s="149"/>
      <c r="SVX43" s="149"/>
      <c r="SVY43" s="149"/>
      <c r="SVZ43" s="149"/>
      <c r="SWA43" s="149"/>
      <c r="SWB43" s="149"/>
      <c r="SWC43" s="149"/>
      <c r="SWD43" s="149"/>
      <c r="SWE43" s="149"/>
      <c r="SWF43" s="149"/>
      <c r="SWG43" s="149"/>
      <c r="SWH43" s="149"/>
      <c r="SWI43" s="149"/>
      <c r="SWJ43" s="149"/>
      <c r="SWK43" s="149"/>
      <c r="SWL43" s="149"/>
      <c r="SWM43" s="149"/>
      <c r="SWN43" s="149"/>
      <c r="SWO43" s="149"/>
      <c r="SWP43" s="149"/>
      <c r="SWQ43" s="149"/>
      <c r="SWR43" s="149"/>
      <c r="SWS43" s="149"/>
      <c r="SWT43" s="149"/>
      <c r="SWU43" s="149"/>
      <c r="SWV43" s="149"/>
      <c r="SWW43" s="149"/>
      <c r="SWX43" s="149"/>
      <c r="SWY43" s="149"/>
      <c r="SWZ43" s="149"/>
      <c r="SXA43" s="149"/>
      <c r="SXB43" s="149"/>
      <c r="SXC43" s="149"/>
      <c r="SXD43" s="149"/>
      <c r="SXE43" s="149"/>
      <c r="SXF43" s="149"/>
      <c r="SXG43" s="149"/>
      <c r="SXH43" s="149"/>
      <c r="SXI43" s="149"/>
      <c r="SXJ43" s="149"/>
      <c r="SXK43" s="149"/>
      <c r="SXL43" s="149"/>
      <c r="SXM43" s="149"/>
      <c r="SXN43" s="149"/>
      <c r="SXO43" s="149"/>
      <c r="SXP43" s="149"/>
      <c r="SXQ43" s="149"/>
      <c r="SXR43" s="149"/>
      <c r="SXS43" s="149"/>
      <c r="SXT43" s="149"/>
      <c r="SXU43" s="149"/>
      <c r="SXV43" s="149"/>
      <c r="SXW43" s="149"/>
      <c r="SXX43" s="149"/>
      <c r="SXY43" s="149"/>
      <c r="SXZ43" s="149"/>
      <c r="SYA43" s="149"/>
      <c r="SYB43" s="149"/>
      <c r="SYC43" s="149"/>
      <c r="SYD43" s="149"/>
      <c r="SYE43" s="149"/>
      <c r="SYF43" s="149"/>
      <c r="SYG43" s="149"/>
      <c r="SYH43" s="149"/>
      <c r="SYI43" s="149"/>
      <c r="SYJ43" s="149"/>
      <c r="SYK43" s="149"/>
      <c r="SYL43" s="149"/>
      <c r="SYM43" s="149"/>
      <c r="SYN43" s="149"/>
      <c r="SYO43" s="149"/>
      <c r="SYP43" s="149"/>
      <c r="SYQ43" s="149"/>
      <c r="SYR43" s="149"/>
      <c r="SYS43" s="149"/>
      <c r="SYT43" s="149"/>
      <c r="SYU43" s="149"/>
      <c r="SYV43" s="149"/>
      <c r="SYW43" s="149"/>
      <c r="SYX43" s="149"/>
      <c r="SYY43" s="149"/>
      <c r="SYZ43" s="149"/>
      <c r="SZA43" s="149"/>
      <c r="SZB43" s="149"/>
      <c r="SZC43" s="149"/>
      <c r="SZD43" s="149"/>
      <c r="SZE43" s="149"/>
      <c r="SZF43" s="149"/>
      <c r="SZG43" s="149"/>
      <c r="SZH43" s="149"/>
      <c r="SZI43" s="149"/>
      <c r="SZJ43" s="149"/>
      <c r="SZK43" s="149"/>
      <c r="SZL43" s="149"/>
      <c r="SZM43" s="149"/>
      <c r="SZN43" s="149"/>
      <c r="SZO43" s="149"/>
      <c r="SZP43" s="149"/>
      <c r="SZQ43" s="149"/>
      <c r="SZR43" s="149"/>
      <c r="SZS43" s="149"/>
      <c r="SZT43" s="149"/>
      <c r="SZU43" s="149"/>
      <c r="SZV43" s="149"/>
      <c r="SZW43" s="149"/>
      <c r="SZX43" s="149"/>
      <c r="SZY43" s="149"/>
      <c r="SZZ43" s="149"/>
      <c r="TAA43" s="149"/>
      <c r="TAB43" s="149"/>
      <c r="TAC43" s="149"/>
      <c r="TAD43" s="149"/>
      <c r="TAE43" s="149"/>
      <c r="TAF43" s="149"/>
      <c r="TAG43" s="149"/>
      <c r="TAH43" s="149"/>
      <c r="TAI43" s="149"/>
      <c r="TAJ43" s="149"/>
      <c r="TAK43" s="149"/>
      <c r="TAL43" s="149"/>
      <c r="TAM43" s="149"/>
      <c r="TAN43" s="149"/>
      <c r="TAO43" s="149"/>
      <c r="TAP43" s="149"/>
      <c r="TAQ43" s="149"/>
      <c r="TAR43" s="149"/>
      <c r="TAS43" s="149"/>
      <c r="TAT43" s="149"/>
      <c r="TAU43" s="149"/>
      <c r="TAV43" s="149"/>
      <c r="TAW43" s="149"/>
      <c r="TAX43" s="149"/>
      <c r="TAY43" s="149"/>
      <c r="TAZ43" s="149"/>
      <c r="TBA43" s="149"/>
      <c r="TBB43" s="149"/>
      <c r="TBC43" s="149"/>
      <c r="TBD43" s="149"/>
      <c r="TBE43" s="149"/>
      <c r="TBF43" s="149"/>
      <c r="TBG43" s="149"/>
      <c r="TBH43" s="149"/>
      <c r="TBI43" s="149"/>
      <c r="TBJ43" s="149"/>
      <c r="TBK43" s="149"/>
      <c r="TBL43" s="149"/>
      <c r="TBM43" s="149"/>
      <c r="TBN43" s="149"/>
      <c r="TBO43" s="149"/>
      <c r="TBP43" s="149"/>
      <c r="TBQ43" s="149"/>
      <c r="TBR43" s="149"/>
      <c r="TBS43" s="149"/>
      <c r="TBT43" s="149"/>
      <c r="TBU43" s="149"/>
      <c r="TBV43" s="149"/>
      <c r="TBW43" s="149"/>
      <c r="TBX43" s="149"/>
      <c r="TBY43" s="149"/>
      <c r="TBZ43" s="149"/>
      <c r="TCA43" s="149"/>
      <c r="TCB43" s="149"/>
      <c r="TCC43" s="149"/>
      <c r="TCD43" s="149"/>
      <c r="TCE43" s="149"/>
      <c r="TCF43" s="149"/>
      <c r="TCG43" s="149"/>
      <c r="TCH43" s="149"/>
      <c r="TCI43" s="149"/>
      <c r="TCJ43" s="149"/>
      <c r="TCK43" s="149"/>
      <c r="TCL43" s="149"/>
      <c r="TCM43" s="149"/>
      <c r="TCN43" s="149"/>
      <c r="TCO43" s="149"/>
      <c r="TCP43" s="149"/>
      <c r="TCQ43" s="149"/>
      <c r="TCR43" s="149"/>
      <c r="TCS43" s="149"/>
      <c r="TCT43" s="149"/>
      <c r="TCU43" s="149"/>
      <c r="TCV43" s="149"/>
      <c r="TCW43" s="149"/>
      <c r="TCX43" s="149"/>
      <c r="TCY43" s="149"/>
      <c r="TCZ43" s="149"/>
      <c r="TDA43" s="149"/>
      <c r="TDB43" s="149"/>
      <c r="TDC43" s="149"/>
      <c r="TDD43" s="149"/>
      <c r="TDE43" s="149"/>
      <c r="TDF43" s="149"/>
      <c r="TDG43" s="149"/>
      <c r="TDH43" s="149"/>
      <c r="TDI43" s="149"/>
      <c r="TDJ43" s="149"/>
      <c r="TDK43" s="149"/>
      <c r="TDL43" s="149"/>
      <c r="TDM43" s="149"/>
      <c r="TDN43" s="149"/>
      <c r="TDO43" s="149"/>
      <c r="TDP43" s="149"/>
      <c r="TDQ43" s="149"/>
      <c r="TDR43" s="149"/>
      <c r="TDS43" s="149"/>
      <c r="TDT43" s="149"/>
      <c r="TDU43" s="149"/>
      <c r="TDV43" s="149"/>
      <c r="TDW43" s="149"/>
      <c r="TDX43" s="149"/>
      <c r="TDY43" s="149"/>
      <c r="TDZ43" s="149"/>
      <c r="TEA43" s="149"/>
      <c r="TEB43" s="149"/>
      <c r="TEC43" s="149"/>
      <c r="TED43" s="149"/>
      <c r="TEE43" s="149"/>
      <c r="TEF43" s="149"/>
      <c r="TEG43" s="149"/>
      <c r="TEH43" s="149"/>
      <c r="TEI43" s="149"/>
      <c r="TEJ43" s="149"/>
      <c r="TEK43" s="149"/>
      <c r="TEL43" s="149"/>
      <c r="TEM43" s="149"/>
      <c r="TEN43" s="149"/>
      <c r="TEO43" s="149"/>
      <c r="TEP43" s="149"/>
      <c r="TEQ43" s="149"/>
      <c r="TER43" s="149"/>
      <c r="TES43" s="149"/>
      <c r="TET43" s="149"/>
      <c r="TEU43" s="149"/>
      <c r="TEV43" s="149"/>
      <c r="TEW43" s="149"/>
      <c r="TEX43" s="149"/>
      <c r="TEY43" s="149"/>
      <c r="TEZ43" s="149"/>
      <c r="TFA43" s="149"/>
      <c r="TFB43" s="149"/>
      <c r="TFC43" s="149"/>
      <c r="TFD43" s="149"/>
      <c r="TFE43" s="149"/>
      <c r="TFF43" s="149"/>
      <c r="TFG43" s="149"/>
      <c r="TFH43" s="149"/>
      <c r="TFI43" s="149"/>
      <c r="TFJ43" s="149"/>
      <c r="TFK43" s="149"/>
      <c r="TFL43" s="149"/>
      <c r="TFM43" s="149"/>
      <c r="TFN43" s="149"/>
      <c r="TFO43" s="149"/>
      <c r="TFP43" s="149"/>
      <c r="TFQ43" s="149"/>
      <c r="TFR43" s="149"/>
      <c r="TFS43" s="149"/>
      <c r="TFT43" s="149"/>
      <c r="TFU43" s="149"/>
      <c r="TFV43" s="149"/>
      <c r="TFW43" s="149"/>
      <c r="TFX43" s="149"/>
      <c r="TFY43" s="149"/>
      <c r="TFZ43" s="149"/>
      <c r="TGA43" s="149"/>
      <c r="TGB43" s="149"/>
      <c r="TGC43" s="149"/>
      <c r="TGD43" s="149"/>
      <c r="TGE43" s="149"/>
      <c r="TGF43" s="149"/>
      <c r="TGG43" s="149"/>
      <c r="TGH43" s="149"/>
      <c r="TGI43" s="149"/>
      <c r="TGJ43" s="149"/>
      <c r="TGK43" s="149"/>
      <c r="TGL43" s="149"/>
      <c r="TGM43" s="149"/>
      <c r="TGN43" s="149"/>
      <c r="TGO43" s="149"/>
      <c r="TGP43" s="149"/>
      <c r="TGQ43" s="149"/>
      <c r="TGR43" s="149"/>
      <c r="TGS43" s="149"/>
      <c r="TGT43" s="149"/>
      <c r="TGU43" s="149"/>
      <c r="TGV43" s="149"/>
      <c r="TGW43" s="149"/>
      <c r="TGX43" s="149"/>
      <c r="TGY43" s="149"/>
      <c r="TGZ43" s="149"/>
      <c r="THA43" s="149"/>
      <c r="THB43" s="149"/>
      <c r="THC43" s="149"/>
      <c r="THD43" s="149"/>
      <c r="THE43" s="149"/>
      <c r="THF43" s="149"/>
      <c r="THG43" s="149"/>
      <c r="THH43" s="149"/>
      <c r="THI43" s="149"/>
      <c r="THJ43" s="149"/>
      <c r="THK43" s="149"/>
      <c r="THL43" s="149"/>
      <c r="THM43" s="149"/>
      <c r="THN43" s="149"/>
      <c r="THO43" s="149"/>
      <c r="THP43" s="149"/>
      <c r="THQ43" s="149"/>
      <c r="THR43" s="149"/>
      <c r="THS43" s="149"/>
      <c r="THT43" s="149"/>
      <c r="THU43" s="149"/>
      <c r="THV43" s="149"/>
      <c r="THW43" s="149"/>
      <c r="THX43" s="149"/>
      <c r="THY43" s="149"/>
      <c r="THZ43" s="149"/>
      <c r="TIA43" s="149"/>
      <c r="TIB43" s="149"/>
      <c r="TIC43" s="149"/>
      <c r="TID43" s="149"/>
      <c r="TIE43" s="149"/>
      <c r="TIF43" s="149"/>
      <c r="TIG43" s="149"/>
      <c r="TIH43" s="149"/>
      <c r="TII43" s="149"/>
      <c r="TIJ43" s="149"/>
      <c r="TIK43" s="149"/>
      <c r="TIL43" s="149"/>
      <c r="TIM43" s="149"/>
      <c r="TIN43" s="149"/>
      <c r="TIO43" s="149"/>
      <c r="TIP43" s="149"/>
      <c r="TIQ43" s="149"/>
      <c r="TIR43" s="149"/>
      <c r="TIS43" s="149"/>
      <c r="TIT43" s="149"/>
      <c r="TIU43" s="149"/>
      <c r="TIV43" s="149"/>
      <c r="TIW43" s="149"/>
      <c r="TIX43" s="149"/>
      <c r="TIY43" s="149"/>
      <c r="TIZ43" s="149"/>
      <c r="TJA43" s="149"/>
      <c r="TJB43" s="149"/>
      <c r="TJC43" s="149"/>
      <c r="TJD43" s="149"/>
      <c r="TJE43" s="149"/>
      <c r="TJF43" s="149"/>
      <c r="TJG43" s="149"/>
      <c r="TJH43" s="149"/>
      <c r="TJI43" s="149"/>
      <c r="TJJ43" s="149"/>
      <c r="TJK43" s="149"/>
      <c r="TJL43" s="149"/>
      <c r="TJM43" s="149"/>
      <c r="TJN43" s="149"/>
      <c r="TJO43" s="149"/>
      <c r="TJP43" s="149"/>
      <c r="TJQ43" s="149"/>
      <c r="TJR43" s="149"/>
      <c r="TJS43" s="149"/>
      <c r="TJT43" s="149"/>
      <c r="TJU43" s="149"/>
      <c r="TJV43" s="149"/>
      <c r="TJW43" s="149"/>
      <c r="TJX43" s="149"/>
      <c r="TJY43" s="149"/>
      <c r="TJZ43" s="149"/>
      <c r="TKA43" s="149"/>
      <c r="TKB43" s="149"/>
      <c r="TKC43" s="149"/>
      <c r="TKD43" s="149"/>
      <c r="TKE43" s="149"/>
      <c r="TKF43" s="149"/>
      <c r="TKG43" s="149"/>
      <c r="TKH43" s="149"/>
      <c r="TKI43" s="149"/>
      <c r="TKJ43" s="149"/>
      <c r="TKK43" s="149"/>
      <c r="TKL43" s="149"/>
      <c r="TKM43" s="149"/>
      <c r="TKN43" s="149"/>
      <c r="TKO43" s="149"/>
      <c r="TKP43" s="149"/>
      <c r="TKQ43" s="149"/>
      <c r="TKR43" s="149"/>
      <c r="TKS43" s="149"/>
      <c r="TKT43" s="149"/>
      <c r="TKU43" s="149"/>
      <c r="TKV43" s="149"/>
      <c r="TKW43" s="149"/>
      <c r="TKX43" s="149"/>
      <c r="TKY43" s="149"/>
      <c r="TKZ43" s="149"/>
      <c r="TLA43" s="149"/>
      <c r="TLB43" s="149"/>
      <c r="TLC43" s="149"/>
      <c r="TLD43" s="149"/>
      <c r="TLE43" s="149"/>
      <c r="TLF43" s="149"/>
      <c r="TLG43" s="149"/>
      <c r="TLH43" s="149"/>
      <c r="TLI43" s="149"/>
      <c r="TLJ43" s="149"/>
      <c r="TLK43" s="149"/>
      <c r="TLL43" s="149"/>
      <c r="TLM43" s="149"/>
      <c r="TLN43" s="149"/>
      <c r="TLO43" s="149"/>
      <c r="TLP43" s="149"/>
      <c r="TLQ43" s="149"/>
      <c r="TLR43" s="149"/>
      <c r="TLS43" s="149"/>
      <c r="TLT43" s="149"/>
      <c r="TLU43" s="149"/>
      <c r="TLV43" s="149"/>
      <c r="TLW43" s="149"/>
      <c r="TLX43" s="149"/>
      <c r="TLY43" s="149"/>
      <c r="TLZ43" s="149"/>
      <c r="TMA43" s="149"/>
      <c r="TMB43" s="149"/>
      <c r="TMC43" s="149"/>
      <c r="TMD43" s="149"/>
      <c r="TME43" s="149"/>
      <c r="TMF43" s="149"/>
      <c r="TMG43" s="149"/>
      <c r="TMH43" s="149"/>
      <c r="TMI43" s="149"/>
      <c r="TMJ43" s="149"/>
      <c r="TMK43" s="149"/>
      <c r="TML43" s="149"/>
      <c r="TMM43" s="149"/>
      <c r="TMN43" s="149"/>
      <c r="TMO43" s="149"/>
      <c r="TMP43" s="149"/>
      <c r="TMQ43" s="149"/>
      <c r="TMR43" s="149"/>
      <c r="TMS43" s="149"/>
      <c r="TMT43" s="149"/>
      <c r="TMU43" s="149"/>
      <c r="TMV43" s="149"/>
      <c r="TMW43" s="149"/>
      <c r="TMX43" s="149"/>
      <c r="TMY43" s="149"/>
      <c r="TMZ43" s="149"/>
      <c r="TNA43" s="149"/>
      <c r="TNB43" s="149"/>
      <c r="TNC43" s="149"/>
      <c r="TND43" s="149"/>
      <c r="TNE43" s="149"/>
      <c r="TNF43" s="149"/>
      <c r="TNG43" s="149"/>
      <c r="TNH43" s="149"/>
      <c r="TNI43" s="149"/>
      <c r="TNJ43" s="149"/>
      <c r="TNK43" s="149"/>
      <c r="TNL43" s="149"/>
      <c r="TNM43" s="149"/>
      <c r="TNN43" s="149"/>
      <c r="TNO43" s="149"/>
      <c r="TNP43" s="149"/>
      <c r="TNQ43" s="149"/>
      <c r="TNR43" s="149"/>
      <c r="TNS43" s="149"/>
      <c r="TNT43" s="149"/>
      <c r="TNU43" s="149"/>
      <c r="TNV43" s="149"/>
      <c r="TNW43" s="149"/>
      <c r="TNX43" s="149"/>
      <c r="TNY43" s="149"/>
      <c r="TNZ43" s="149"/>
      <c r="TOA43" s="149"/>
      <c r="TOB43" s="149"/>
      <c r="TOC43" s="149"/>
      <c r="TOD43" s="149"/>
      <c r="TOE43" s="149"/>
      <c r="TOF43" s="149"/>
      <c r="TOG43" s="149"/>
      <c r="TOH43" s="149"/>
      <c r="TOI43" s="149"/>
      <c r="TOJ43" s="149"/>
      <c r="TOK43" s="149"/>
      <c r="TOL43" s="149"/>
      <c r="TOM43" s="149"/>
      <c r="TON43" s="149"/>
      <c r="TOO43" s="149"/>
      <c r="TOP43" s="149"/>
      <c r="TOQ43" s="149"/>
      <c r="TOR43" s="149"/>
      <c r="TOS43" s="149"/>
      <c r="TOT43" s="149"/>
      <c r="TOU43" s="149"/>
      <c r="TOV43" s="149"/>
      <c r="TOW43" s="149"/>
      <c r="TOX43" s="149"/>
      <c r="TOY43" s="149"/>
      <c r="TOZ43" s="149"/>
      <c r="TPA43" s="149"/>
      <c r="TPB43" s="149"/>
      <c r="TPC43" s="149"/>
      <c r="TPD43" s="149"/>
      <c r="TPE43" s="149"/>
      <c r="TPF43" s="149"/>
      <c r="TPG43" s="149"/>
      <c r="TPH43" s="149"/>
      <c r="TPI43" s="149"/>
      <c r="TPJ43" s="149"/>
      <c r="TPK43" s="149"/>
      <c r="TPL43" s="149"/>
      <c r="TPM43" s="149"/>
      <c r="TPN43" s="149"/>
      <c r="TPO43" s="149"/>
      <c r="TPP43" s="149"/>
      <c r="TPQ43" s="149"/>
      <c r="TPR43" s="149"/>
      <c r="TPS43" s="149"/>
      <c r="TPT43" s="149"/>
      <c r="TPU43" s="149"/>
      <c r="TPV43" s="149"/>
      <c r="TPW43" s="149"/>
      <c r="TPX43" s="149"/>
      <c r="TPY43" s="149"/>
      <c r="TPZ43" s="149"/>
      <c r="TQA43" s="149"/>
      <c r="TQB43" s="149"/>
      <c r="TQC43" s="149"/>
      <c r="TQD43" s="149"/>
      <c r="TQE43" s="149"/>
      <c r="TQF43" s="149"/>
      <c r="TQG43" s="149"/>
      <c r="TQH43" s="149"/>
      <c r="TQI43" s="149"/>
      <c r="TQJ43" s="149"/>
      <c r="TQK43" s="149"/>
      <c r="TQL43" s="149"/>
      <c r="TQM43" s="149"/>
      <c r="TQN43" s="149"/>
      <c r="TQO43" s="149"/>
      <c r="TQP43" s="149"/>
      <c r="TQQ43" s="149"/>
      <c r="TQR43" s="149"/>
      <c r="TQS43" s="149"/>
      <c r="TQT43" s="149"/>
      <c r="TQU43" s="149"/>
      <c r="TQV43" s="149"/>
      <c r="TQW43" s="149"/>
      <c r="TQX43" s="149"/>
      <c r="TQY43" s="149"/>
      <c r="TQZ43" s="149"/>
      <c r="TRA43" s="149"/>
      <c r="TRB43" s="149"/>
      <c r="TRC43" s="149"/>
      <c r="TRD43" s="149"/>
      <c r="TRE43" s="149"/>
      <c r="TRF43" s="149"/>
      <c r="TRG43" s="149"/>
      <c r="TRH43" s="149"/>
      <c r="TRI43" s="149"/>
      <c r="TRJ43" s="149"/>
      <c r="TRK43" s="149"/>
      <c r="TRL43" s="149"/>
      <c r="TRM43" s="149"/>
      <c r="TRN43" s="149"/>
      <c r="TRO43" s="149"/>
      <c r="TRP43" s="149"/>
      <c r="TRQ43" s="149"/>
      <c r="TRR43" s="149"/>
      <c r="TRS43" s="149"/>
      <c r="TRT43" s="149"/>
      <c r="TRU43" s="149"/>
      <c r="TRV43" s="149"/>
      <c r="TRW43" s="149"/>
      <c r="TRX43" s="149"/>
      <c r="TRY43" s="149"/>
      <c r="TRZ43" s="149"/>
      <c r="TSA43" s="149"/>
      <c r="TSB43" s="149"/>
      <c r="TSC43" s="149"/>
      <c r="TSD43" s="149"/>
      <c r="TSE43" s="149"/>
      <c r="TSF43" s="149"/>
      <c r="TSG43" s="149"/>
      <c r="TSH43" s="149"/>
      <c r="TSI43" s="149"/>
      <c r="TSJ43" s="149"/>
      <c r="TSK43" s="149"/>
      <c r="TSL43" s="149"/>
      <c r="TSM43" s="149"/>
      <c r="TSN43" s="149"/>
      <c r="TSO43" s="149"/>
      <c r="TSP43" s="149"/>
      <c r="TSQ43" s="149"/>
      <c r="TSR43" s="149"/>
      <c r="TSS43" s="149"/>
      <c r="TST43" s="149"/>
      <c r="TSU43" s="149"/>
      <c r="TSV43" s="149"/>
      <c r="TSW43" s="149"/>
      <c r="TSX43" s="149"/>
      <c r="TSY43" s="149"/>
      <c r="TSZ43" s="149"/>
      <c r="TTA43" s="149"/>
      <c r="TTB43" s="149"/>
      <c r="TTC43" s="149"/>
      <c r="TTD43" s="149"/>
      <c r="TTE43" s="149"/>
      <c r="TTF43" s="149"/>
      <c r="TTG43" s="149"/>
      <c r="TTH43" s="149"/>
      <c r="TTI43" s="149"/>
      <c r="TTJ43" s="149"/>
      <c r="TTK43" s="149"/>
      <c r="TTL43" s="149"/>
      <c r="TTM43" s="149"/>
      <c r="TTN43" s="149"/>
      <c r="TTO43" s="149"/>
      <c r="TTP43" s="149"/>
      <c r="TTQ43" s="149"/>
      <c r="TTR43" s="149"/>
      <c r="TTS43" s="149"/>
      <c r="TTT43" s="149"/>
      <c r="TTU43" s="149"/>
      <c r="TTV43" s="149"/>
      <c r="TTW43" s="149"/>
      <c r="TTX43" s="149"/>
      <c r="TTY43" s="149"/>
      <c r="TTZ43" s="149"/>
      <c r="TUA43" s="149"/>
      <c r="TUB43" s="149"/>
      <c r="TUC43" s="149"/>
      <c r="TUD43" s="149"/>
      <c r="TUE43" s="149"/>
      <c r="TUF43" s="149"/>
      <c r="TUG43" s="149"/>
      <c r="TUH43" s="149"/>
      <c r="TUI43" s="149"/>
      <c r="TUJ43" s="149"/>
      <c r="TUK43" s="149"/>
      <c r="TUL43" s="149"/>
      <c r="TUM43" s="149"/>
      <c r="TUN43" s="149"/>
      <c r="TUO43" s="149"/>
      <c r="TUP43" s="149"/>
      <c r="TUQ43" s="149"/>
      <c r="TUR43" s="149"/>
      <c r="TUS43" s="149"/>
      <c r="TUT43" s="149"/>
      <c r="TUU43" s="149"/>
      <c r="TUV43" s="149"/>
      <c r="TUW43" s="149"/>
      <c r="TUX43" s="149"/>
      <c r="TUY43" s="149"/>
      <c r="TUZ43" s="149"/>
      <c r="TVA43" s="149"/>
      <c r="TVB43" s="149"/>
      <c r="TVC43" s="149"/>
      <c r="TVD43" s="149"/>
      <c r="TVE43" s="149"/>
      <c r="TVF43" s="149"/>
      <c r="TVG43" s="149"/>
      <c r="TVH43" s="149"/>
      <c r="TVI43" s="149"/>
      <c r="TVJ43" s="149"/>
      <c r="TVK43" s="149"/>
      <c r="TVL43" s="149"/>
      <c r="TVM43" s="149"/>
      <c r="TVN43" s="149"/>
      <c r="TVO43" s="149"/>
      <c r="TVP43" s="149"/>
      <c r="TVQ43" s="149"/>
      <c r="TVR43" s="149"/>
      <c r="TVS43" s="149"/>
      <c r="TVT43" s="149"/>
      <c r="TVU43" s="149"/>
      <c r="TVV43" s="149"/>
      <c r="TVW43" s="149"/>
      <c r="TVX43" s="149"/>
      <c r="TVY43" s="149"/>
      <c r="TVZ43" s="149"/>
      <c r="TWA43" s="149"/>
      <c r="TWB43" s="149"/>
      <c r="TWC43" s="149"/>
      <c r="TWD43" s="149"/>
      <c r="TWE43" s="149"/>
      <c r="TWF43" s="149"/>
      <c r="TWG43" s="149"/>
      <c r="TWH43" s="149"/>
      <c r="TWI43" s="149"/>
      <c r="TWJ43" s="149"/>
      <c r="TWK43" s="149"/>
      <c r="TWL43" s="149"/>
      <c r="TWM43" s="149"/>
      <c r="TWN43" s="149"/>
      <c r="TWO43" s="149"/>
      <c r="TWP43" s="149"/>
      <c r="TWQ43" s="149"/>
      <c r="TWR43" s="149"/>
      <c r="TWS43" s="149"/>
      <c r="TWT43" s="149"/>
      <c r="TWU43" s="149"/>
      <c r="TWV43" s="149"/>
      <c r="TWW43" s="149"/>
      <c r="TWX43" s="149"/>
      <c r="TWY43" s="149"/>
      <c r="TWZ43" s="149"/>
      <c r="TXA43" s="149"/>
      <c r="TXB43" s="149"/>
      <c r="TXC43" s="149"/>
      <c r="TXD43" s="149"/>
      <c r="TXE43" s="149"/>
      <c r="TXF43" s="149"/>
      <c r="TXG43" s="149"/>
      <c r="TXH43" s="149"/>
      <c r="TXI43" s="149"/>
      <c r="TXJ43" s="149"/>
      <c r="TXK43" s="149"/>
      <c r="TXL43" s="149"/>
      <c r="TXM43" s="149"/>
      <c r="TXN43" s="149"/>
      <c r="TXO43" s="149"/>
      <c r="TXP43" s="149"/>
      <c r="TXQ43" s="149"/>
      <c r="TXR43" s="149"/>
      <c r="TXS43" s="149"/>
      <c r="TXT43" s="149"/>
      <c r="TXU43" s="149"/>
      <c r="TXV43" s="149"/>
      <c r="TXW43" s="149"/>
      <c r="TXX43" s="149"/>
      <c r="TXY43" s="149"/>
      <c r="TXZ43" s="149"/>
      <c r="TYA43" s="149"/>
      <c r="TYB43" s="149"/>
      <c r="TYC43" s="149"/>
      <c r="TYD43" s="149"/>
      <c r="TYE43" s="149"/>
      <c r="TYF43" s="149"/>
      <c r="TYG43" s="149"/>
      <c r="TYH43" s="149"/>
      <c r="TYI43" s="149"/>
      <c r="TYJ43" s="149"/>
      <c r="TYK43" s="149"/>
      <c r="TYL43" s="149"/>
      <c r="TYM43" s="149"/>
      <c r="TYN43" s="149"/>
      <c r="TYO43" s="149"/>
      <c r="TYP43" s="149"/>
      <c r="TYQ43" s="149"/>
      <c r="TYR43" s="149"/>
      <c r="TYS43" s="149"/>
      <c r="TYT43" s="149"/>
      <c r="TYU43" s="149"/>
      <c r="TYV43" s="149"/>
      <c r="TYW43" s="149"/>
      <c r="TYX43" s="149"/>
      <c r="TYY43" s="149"/>
      <c r="TYZ43" s="149"/>
      <c r="TZA43" s="149"/>
      <c r="TZB43" s="149"/>
      <c r="TZC43" s="149"/>
      <c r="TZD43" s="149"/>
      <c r="TZE43" s="149"/>
      <c r="TZF43" s="149"/>
      <c r="TZG43" s="149"/>
      <c r="TZH43" s="149"/>
      <c r="TZI43" s="149"/>
      <c r="TZJ43" s="149"/>
      <c r="TZK43" s="149"/>
      <c r="TZL43" s="149"/>
      <c r="TZM43" s="149"/>
      <c r="TZN43" s="149"/>
      <c r="TZO43" s="149"/>
      <c r="TZP43" s="149"/>
      <c r="TZQ43" s="149"/>
      <c r="TZR43" s="149"/>
      <c r="TZS43" s="149"/>
      <c r="TZT43" s="149"/>
      <c r="TZU43" s="149"/>
      <c r="TZV43" s="149"/>
      <c r="TZW43" s="149"/>
      <c r="TZX43" s="149"/>
      <c r="TZY43" s="149"/>
      <c r="TZZ43" s="149"/>
      <c r="UAA43" s="149"/>
      <c r="UAB43" s="149"/>
      <c r="UAC43" s="149"/>
      <c r="UAD43" s="149"/>
      <c r="UAE43" s="149"/>
      <c r="UAF43" s="149"/>
      <c r="UAG43" s="149"/>
      <c r="UAH43" s="149"/>
      <c r="UAI43" s="149"/>
      <c r="UAJ43" s="149"/>
      <c r="UAK43" s="149"/>
      <c r="UAL43" s="149"/>
      <c r="UAM43" s="149"/>
      <c r="UAN43" s="149"/>
      <c r="UAO43" s="149"/>
      <c r="UAP43" s="149"/>
      <c r="UAQ43" s="149"/>
      <c r="UAR43" s="149"/>
      <c r="UAS43" s="149"/>
      <c r="UAT43" s="149"/>
      <c r="UAU43" s="149"/>
      <c r="UAV43" s="149"/>
      <c r="UAW43" s="149"/>
      <c r="UAX43" s="149"/>
      <c r="UAY43" s="149"/>
      <c r="UAZ43" s="149"/>
      <c r="UBA43" s="149"/>
      <c r="UBB43" s="149"/>
      <c r="UBC43" s="149"/>
      <c r="UBD43" s="149"/>
      <c r="UBE43" s="149"/>
      <c r="UBF43" s="149"/>
      <c r="UBG43" s="149"/>
      <c r="UBH43" s="149"/>
      <c r="UBI43" s="149"/>
      <c r="UBJ43" s="149"/>
      <c r="UBK43" s="149"/>
      <c r="UBL43" s="149"/>
      <c r="UBM43" s="149"/>
      <c r="UBN43" s="149"/>
      <c r="UBO43" s="149"/>
      <c r="UBP43" s="149"/>
      <c r="UBQ43" s="149"/>
      <c r="UBR43" s="149"/>
      <c r="UBS43" s="149"/>
      <c r="UBT43" s="149"/>
      <c r="UBU43" s="149"/>
      <c r="UBV43" s="149"/>
      <c r="UBW43" s="149"/>
      <c r="UBX43" s="149"/>
      <c r="UBY43" s="149"/>
      <c r="UBZ43" s="149"/>
      <c r="UCA43" s="149"/>
      <c r="UCB43" s="149"/>
      <c r="UCC43" s="149"/>
      <c r="UCD43" s="149"/>
      <c r="UCE43" s="149"/>
      <c r="UCF43" s="149"/>
      <c r="UCG43" s="149"/>
      <c r="UCH43" s="149"/>
      <c r="UCI43" s="149"/>
      <c r="UCJ43" s="149"/>
      <c r="UCK43" s="149"/>
      <c r="UCL43" s="149"/>
      <c r="UCM43" s="149"/>
      <c r="UCN43" s="149"/>
      <c r="UCO43" s="149"/>
      <c r="UCP43" s="149"/>
      <c r="UCQ43" s="149"/>
      <c r="UCR43" s="149"/>
      <c r="UCS43" s="149"/>
      <c r="UCT43" s="149"/>
      <c r="UCU43" s="149"/>
      <c r="UCV43" s="149"/>
      <c r="UCW43" s="149"/>
      <c r="UCX43" s="149"/>
      <c r="UCY43" s="149"/>
      <c r="UCZ43" s="149"/>
      <c r="UDA43" s="149"/>
      <c r="UDB43" s="149"/>
      <c r="UDC43" s="149"/>
      <c r="UDD43" s="149"/>
      <c r="UDE43" s="149"/>
      <c r="UDF43" s="149"/>
      <c r="UDG43" s="149"/>
      <c r="UDH43" s="149"/>
      <c r="UDI43" s="149"/>
      <c r="UDJ43" s="149"/>
      <c r="UDK43" s="149"/>
      <c r="UDL43" s="149"/>
      <c r="UDM43" s="149"/>
      <c r="UDN43" s="149"/>
      <c r="UDO43" s="149"/>
      <c r="UDP43" s="149"/>
      <c r="UDQ43" s="149"/>
      <c r="UDR43" s="149"/>
      <c r="UDS43" s="149"/>
      <c r="UDT43" s="149"/>
      <c r="UDU43" s="149"/>
      <c r="UDV43" s="149"/>
      <c r="UDW43" s="149"/>
      <c r="UDX43" s="149"/>
      <c r="UDY43" s="149"/>
      <c r="UDZ43" s="149"/>
      <c r="UEA43" s="149"/>
      <c r="UEB43" s="149"/>
      <c r="UEC43" s="149"/>
      <c r="UED43" s="149"/>
      <c r="UEE43" s="149"/>
      <c r="UEF43" s="149"/>
      <c r="UEG43" s="149"/>
      <c r="UEH43" s="149"/>
      <c r="UEI43" s="149"/>
      <c r="UEJ43" s="149"/>
      <c r="UEK43" s="149"/>
      <c r="UEL43" s="149"/>
      <c r="UEM43" s="149"/>
      <c r="UEN43" s="149"/>
      <c r="UEO43" s="149"/>
      <c r="UEP43" s="149"/>
      <c r="UEQ43" s="149"/>
      <c r="UER43" s="149"/>
      <c r="UES43" s="149"/>
      <c r="UET43" s="149"/>
      <c r="UEU43" s="149"/>
      <c r="UEV43" s="149"/>
      <c r="UEW43" s="149"/>
      <c r="UEX43" s="149"/>
      <c r="UEY43" s="149"/>
      <c r="UEZ43" s="149"/>
      <c r="UFA43" s="149"/>
      <c r="UFB43" s="149"/>
      <c r="UFC43" s="149"/>
      <c r="UFD43" s="149"/>
      <c r="UFE43" s="149"/>
      <c r="UFF43" s="149"/>
      <c r="UFG43" s="149"/>
      <c r="UFH43" s="149"/>
      <c r="UFI43" s="149"/>
      <c r="UFJ43" s="149"/>
      <c r="UFK43" s="149"/>
      <c r="UFL43" s="149"/>
      <c r="UFM43" s="149"/>
      <c r="UFN43" s="149"/>
      <c r="UFO43" s="149"/>
      <c r="UFP43" s="149"/>
      <c r="UFQ43" s="149"/>
      <c r="UFR43" s="149"/>
      <c r="UFS43" s="149"/>
      <c r="UFT43" s="149"/>
      <c r="UFU43" s="149"/>
      <c r="UFV43" s="149"/>
      <c r="UFW43" s="149"/>
      <c r="UFX43" s="149"/>
      <c r="UFY43" s="149"/>
      <c r="UFZ43" s="149"/>
      <c r="UGA43" s="149"/>
      <c r="UGB43" s="149"/>
      <c r="UGC43" s="149"/>
      <c r="UGD43" s="149"/>
      <c r="UGE43" s="149"/>
      <c r="UGF43" s="149"/>
      <c r="UGG43" s="149"/>
      <c r="UGH43" s="149"/>
      <c r="UGI43" s="149"/>
      <c r="UGJ43" s="149"/>
      <c r="UGK43" s="149"/>
      <c r="UGL43" s="149"/>
      <c r="UGM43" s="149"/>
      <c r="UGN43" s="149"/>
      <c r="UGO43" s="149"/>
      <c r="UGP43" s="149"/>
      <c r="UGQ43" s="149"/>
      <c r="UGR43" s="149"/>
      <c r="UGS43" s="149"/>
      <c r="UGT43" s="149"/>
      <c r="UGU43" s="149"/>
      <c r="UGV43" s="149"/>
      <c r="UGW43" s="149"/>
      <c r="UGX43" s="149"/>
      <c r="UGY43" s="149"/>
      <c r="UGZ43" s="149"/>
      <c r="UHA43" s="149"/>
      <c r="UHB43" s="149"/>
      <c r="UHC43" s="149"/>
      <c r="UHD43" s="149"/>
      <c r="UHE43" s="149"/>
      <c r="UHF43" s="149"/>
      <c r="UHG43" s="149"/>
      <c r="UHH43" s="149"/>
      <c r="UHI43" s="149"/>
      <c r="UHJ43" s="149"/>
      <c r="UHK43" s="149"/>
      <c r="UHL43" s="149"/>
      <c r="UHM43" s="149"/>
      <c r="UHN43" s="149"/>
      <c r="UHO43" s="149"/>
      <c r="UHP43" s="149"/>
      <c r="UHQ43" s="149"/>
      <c r="UHR43" s="149"/>
      <c r="UHS43" s="149"/>
      <c r="UHT43" s="149"/>
      <c r="UHU43" s="149"/>
      <c r="UHV43" s="149"/>
      <c r="UHW43" s="149"/>
      <c r="UHX43" s="149"/>
      <c r="UHY43" s="149"/>
      <c r="UHZ43" s="149"/>
      <c r="UIA43" s="149"/>
      <c r="UIB43" s="149"/>
      <c r="UIC43" s="149"/>
      <c r="UID43" s="149"/>
      <c r="UIE43" s="149"/>
      <c r="UIF43" s="149"/>
      <c r="UIG43" s="149"/>
      <c r="UIH43" s="149"/>
      <c r="UII43" s="149"/>
      <c r="UIJ43" s="149"/>
      <c r="UIK43" s="149"/>
      <c r="UIL43" s="149"/>
      <c r="UIM43" s="149"/>
      <c r="UIN43" s="149"/>
      <c r="UIO43" s="149"/>
      <c r="UIP43" s="149"/>
      <c r="UIQ43" s="149"/>
      <c r="UIR43" s="149"/>
      <c r="UIS43" s="149"/>
      <c r="UIT43" s="149"/>
      <c r="UIU43" s="149"/>
      <c r="UIV43" s="149"/>
      <c r="UIW43" s="149"/>
      <c r="UIX43" s="149"/>
      <c r="UIY43" s="149"/>
      <c r="UIZ43" s="149"/>
      <c r="UJA43" s="149"/>
      <c r="UJB43" s="149"/>
      <c r="UJC43" s="149"/>
      <c r="UJD43" s="149"/>
      <c r="UJE43" s="149"/>
      <c r="UJF43" s="149"/>
      <c r="UJG43" s="149"/>
      <c r="UJH43" s="149"/>
      <c r="UJI43" s="149"/>
      <c r="UJJ43" s="149"/>
      <c r="UJK43" s="149"/>
      <c r="UJL43" s="149"/>
      <c r="UJM43" s="149"/>
      <c r="UJN43" s="149"/>
      <c r="UJO43" s="149"/>
      <c r="UJP43" s="149"/>
      <c r="UJQ43" s="149"/>
      <c r="UJR43" s="149"/>
      <c r="UJS43" s="149"/>
      <c r="UJT43" s="149"/>
      <c r="UJU43" s="149"/>
      <c r="UJV43" s="149"/>
      <c r="UJW43" s="149"/>
      <c r="UJX43" s="149"/>
      <c r="UJY43" s="149"/>
      <c r="UJZ43" s="149"/>
      <c r="UKA43" s="149"/>
      <c r="UKB43" s="149"/>
      <c r="UKC43" s="149"/>
      <c r="UKD43" s="149"/>
      <c r="UKE43" s="149"/>
      <c r="UKF43" s="149"/>
      <c r="UKG43" s="149"/>
      <c r="UKH43" s="149"/>
      <c r="UKI43" s="149"/>
      <c r="UKJ43" s="149"/>
      <c r="UKK43" s="149"/>
      <c r="UKL43" s="149"/>
      <c r="UKM43" s="149"/>
      <c r="UKN43" s="149"/>
      <c r="UKO43" s="149"/>
      <c r="UKP43" s="149"/>
      <c r="UKQ43" s="149"/>
      <c r="UKR43" s="149"/>
      <c r="UKS43" s="149"/>
      <c r="UKT43" s="149"/>
      <c r="UKU43" s="149"/>
      <c r="UKV43" s="149"/>
      <c r="UKW43" s="149"/>
      <c r="UKX43" s="149"/>
      <c r="UKY43" s="149"/>
      <c r="UKZ43" s="149"/>
      <c r="ULA43" s="149"/>
      <c r="ULB43" s="149"/>
      <c r="ULC43" s="149"/>
      <c r="ULD43" s="149"/>
      <c r="ULE43" s="149"/>
      <c r="ULF43" s="149"/>
      <c r="ULG43" s="149"/>
      <c r="ULH43" s="149"/>
      <c r="ULI43" s="149"/>
      <c r="ULJ43" s="149"/>
      <c r="ULK43" s="149"/>
      <c r="ULL43" s="149"/>
      <c r="ULM43" s="149"/>
      <c r="ULN43" s="149"/>
      <c r="ULO43" s="149"/>
      <c r="ULP43" s="149"/>
      <c r="ULQ43" s="149"/>
      <c r="ULR43" s="149"/>
      <c r="ULS43" s="149"/>
      <c r="ULT43" s="149"/>
      <c r="ULU43" s="149"/>
      <c r="ULV43" s="149"/>
      <c r="ULW43" s="149"/>
      <c r="ULX43" s="149"/>
      <c r="ULY43" s="149"/>
      <c r="ULZ43" s="149"/>
      <c r="UMA43" s="149"/>
      <c r="UMB43" s="149"/>
      <c r="UMC43" s="149"/>
      <c r="UMD43" s="149"/>
      <c r="UME43" s="149"/>
      <c r="UMF43" s="149"/>
      <c r="UMG43" s="149"/>
      <c r="UMH43" s="149"/>
      <c r="UMI43" s="149"/>
      <c r="UMJ43" s="149"/>
      <c r="UMK43" s="149"/>
      <c r="UML43" s="149"/>
      <c r="UMM43" s="149"/>
      <c r="UMN43" s="149"/>
      <c r="UMO43" s="149"/>
      <c r="UMP43" s="149"/>
      <c r="UMQ43" s="149"/>
      <c r="UMR43" s="149"/>
      <c r="UMS43" s="149"/>
      <c r="UMT43" s="149"/>
      <c r="UMU43" s="149"/>
      <c r="UMV43" s="149"/>
      <c r="UMW43" s="149"/>
      <c r="UMX43" s="149"/>
      <c r="UMY43" s="149"/>
      <c r="UMZ43" s="149"/>
      <c r="UNA43" s="149"/>
      <c r="UNB43" s="149"/>
      <c r="UNC43" s="149"/>
      <c r="UND43" s="149"/>
      <c r="UNE43" s="149"/>
      <c r="UNF43" s="149"/>
      <c r="UNG43" s="149"/>
      <c r="UNH43" s="149"/>
      <c r="UNI43" s="149"/>
      <c r="UNJ43" s="149"/>
      <c r="UNK43" s="149"/>
      <c r="UNL43" s="149"/>
      <c r="UNM43" s="149"/>
      <c r="UNN43" s="149"/>
      <c r="UNO43" s="149"/>
      <c r="UNP43" s="149"/>
      <c r="UNQ43" s="149"/>
      <c r="UNR43" s="149"/>
      <c r="UNS43" s="149"/>
      <c r="UNT43" s="149"/>
      <c r="UNU43" s="149"/>
      <c r="UNV43" s="149"/>
      <c r="UNW43" s="149"/>
      <c r="UNX43" s="149"/>
      <c r="UNY43" s="149"/>
      <c r="UNZ43" s="149"/>
      <c r="UOA43" s="149"/>
      <c r="UOB43" s="149"/>
      <c r="UOC43" s="149"/>
      <c r="UOD43" s="149"/>
      <c r="UOE43" s="149"/>
      <c r="UOF43" s="149"/>
      <c r="UOG43" s="149"/>
      <c r="UOH43" s="149"/>
      <c r="UOI43" s="149"/>
      <c r="UOJ43" s="149"/>
      <c r="UOK43" s="149"/>
      <c r="UOL43" s="149"/>
      <c r="UOM43" s="149"/>
      <c r="UON43" s="149"/>
      <c r="UOO43" s="149"/>
      <c r="UOP43" s="149"/>
      <c r="UOQ43" s="149"/>
      <c r="UOR43" s="149"/>
      <c r="UOS43" s="149"/>
      <c r="UOT43" s="149"/>
      <c r="UOU43" s="149"/>
      <c r="UOV43" s="149"/>
      <c r="UOW43" s="149"/>
      <c r="UOX43" s="149"/>
      <c r="UOY43" s="149"/>
      <c r="UOZ43" s="149"/>
      <c r="UPA43" s="149"/>
      <c r="UPB43" s="149"/>
      <c r="UPC43" s="149"/>
      <c r="UPD43" s="149"/>
      <c r="UPE43" s="149"/>
      <c r="UPF43" s="149"/>
      <c r="UPG43" s="149"/>
      <c r="UPH43" s="149"/>
      <c r="UPI43" s="149"/>
      <c r="UPJ43" s="149"/>
      <c r="UPK43" s="149"/>
      <c r="UPL43" s="149"/>
      <c r="UPM43" s="149"/>
      <c r="UPN43" s="149"/>
      <c r="UPO43" s="149"/>
      <c r="UPP43" s="149"/>
      <c r="UPQ43" s="149"/>
      <c r="UPR43" s="149"/>
      <c r="UPS43" s="149"/>
      <c r="UPT43" s="149"/>
      <c r="UPU43" s="149"/>
      <c r="UPV43" s="149"/>
      <c r="UPW43" s="149"/>
      <c r="UPX43" s="149"/>
      <c r="UPY43" s="149"/>
      <c r="UPZ43" s="149"/>
      <c r="UQA43" s="149"/>
      <c r="UQB43" s="149"/>
      <c r="UQC43" s="149"/>
      <c r="UQD43" s="149"/>
      <c r="UQE43" s="149"/>
      <c r="UQF43" s="149"/>
      <c r="UQG43" s="149"/>
      <c r="UQH43" s="149"/>
      <c r="UQI43" s="149"/>
      <c r="UQJ43" s="149"/>
      <c r="UQK43" s="149"/>
      <c r="UQL43" s="149"/>
      <c r="UQM43" s="149"/>
      <c r="UQN43" s="149"/>
      <c r="UQO43" s="149"/>
      <c r="UQP43" s="149"/>
      <c r="UQQ43" s="149"/>
      <c r="UQR43" s="149"/>
      <c r="UQS43" s="149"/>
      <c r="UQT43" s="149"/>
      <c r="UQU43" s="149"/>
      <c r="UQV43" s="149"/>
      <c r="UQW43" s="149"/>
      <c r="UQX43" s="149"/>
      <c r="UQY43" s="149"/>
      <c r="UQZ43" s="149"/>
      <c r="URA43" s="149"/>
      <c r="URB43" s="149"/>
      <c r="URC43" s="149"/>
      <c r="URD43" s="149"/>
      <c r="URE43" s="149"/>
      <c r="URF43" s="149"/>
      <c r="URG43" s="149"/>
      <c r="URH43" s="149"/>
      <c r="URI43" s="149"/>
      <c r="URJ43" s="149"/>
      <c r="URK43" s="149"/>
      <c r="URL43" s="149"/>
      <c r="URM43" s="149"/>
      <c r="URN43" s="149"/>
      <c r="URO43" s="149"/>
      <c r="URP43" s="149"/>
      <c r="URQ43" s="149"/>
      <c r="URR43" s="149"/>
      <c r="URS43" s="149"/>
      <c r="URT43" s="149"/>
      <c r="URU43" s="149"/>
      <c r="URV43" s="149"/>
      <c r="URW43" s="149"/>
      <c r="URX43" s="149"/>
      <c r="URY43" s="149"/>
      <c r="URZ43" s="149"/>
      <c r="USA43" s="149"/>
      <c r="USB43" s="149"/>
      <c r="USC43" s="149"/>
      <c r="USD43" s="149"/>
      <c r="USE43" s="149"/>
      <c r="USF43" s="149"/>
      <c r="USG43" s="149"/>
      <c r="USH43" s="149"/>
      <c r="USI43" s="149"/>
      <c r="USJ43" s="149"/>
      <c r="USK43" s="149"/>
      <c r="USL43" s="149"/>
      <c r="USM43" s="149"/>
      <c r="USN43" s="149"/>
      <c r="USO43" s="149"/>
      <c r="USP43" s="149"/>
      <c r="USQ43" s="149"/>
      <c r="USR43" s="149"/>
      <c r="USS43" s="149"/>
      <c r="UST43" s="149"/>
      <c r="USU43" s="149"/>
      <c r="USV43" s="149"/>
      <c r="USW43" s="149"/>
      <c r="USX43" s="149"/>
      <c r="USY43" s="149"/>
      <c r="USZ43" s="149"/>
      <c r="UTA43" s="149"/>
      <c r="UTB43" s="149"/>
      <c r="UTC43" s="149"/>
      <c r="UTD43" s="149"/>
      <c r="UTE43" s="149"/>
      <c r="UTF43" s="149"/>
      <c r="UTG43" s="149"/>
      <c r="UTH43" s="149"/>
      <c r="UTI43" s="149"/>
      <c r="UTJ43" s="149"/>
      <c r="UTK43" s="149"/>
      <c r="UTL43" s="149"/>
      <c r="UTM43" s="149"/>
      <c r="UTN43" s="149"/>
      <c r="UTO43" s="149"/>
      <c r="UTP43" s="149"/>
      <c r="UTQ43" s="149"/>
      <c r="UTR43" s="149"/>
      <c r="UTS43" s="149"/>
      <c r="UTT43" s="149"/>
      <c r="UTU43" s="149"/>
      <c r="UTV43" s="149"/>
      <c r="UTW43" s="149"/>
      <c r="UTX43" s="149"/>
      <c r="UTY43" s="149"/>
      <c r="UTZ43" s="149"/>
      <c r="UUA43" s="149"/>
      <c r="UUB43" s="149"/>
      <c r="UUC43" s="149"/>
      <c r="UUD43" s="149"/>
      <c r="UUE43" s="149"/>
      <c r="UUF43" s="149"/>
      <c r="UUG43" s="149"/>
      <c r="UUH43" s="149"/>
      <c r="UUI43" s="149"/>
      <c r="UUJ43" s="149"/>
      <c r="UUK43" s="149"/>
      <c r="UUL43" s="149"/>
      <c r="UUM43" s="149"/>
      <c r="UUN43" s="149"/>
      <c r="UUO43" s="149"/>
      <c r="UUP43" s="149"/>
      <c r="UUQ43" s="149"/>
      <c r="UUR43" s="149"/>
      <c r="UUS43" s="149"/>
      <c r="UUT43" s="149"/>
      <c r="UUU43" s="149"/>
      <c r="UUV43" s="149"/>
      <c r="UUW43" s="149"/>
      <c r="UUX43" s="149"/>
      <c r="UUY43" s="149"/>
      <c r="UUZ43" s="149"/>
      <c r="UVA43" s="149"/>
      <c r="UVB43" s="149"/>
      <c r="UVC43" s="149"/>
      <c r="UVD43" s="149"/>
      <c r="UVE43" s="149"/>
      <c r="UVF43" s="149"/>
      <c r="UVG43" s="149"/>
      <c r="UVH43" s="149"/>
      <c r="UVI43" s="149"/>
      <c r="UVJ43" s="149"/>
      <c r="UVK43" s="149"/>
      <c r="UVL43" s="149"/>
      <c r="UVM43" s="149"/>
      <c r="UVN43" s="149"/>
      <c r="UVO43" s="149"/>
      <c r="UVP43" s="149"/>
      <c r="UVQ43" s="149"/>
      <c r="UVR43" s="149"/>
      <c r="UVS43" s="149"/>
      <c r="UVT43" s="149"/>
      <c r="UVU43" s="149"/>
      <c r="UVV43" s="149"/>
      <c r="UVW43" s="149"/>
      <c r="UVX43" s="149"/>
      <c r="UVY43" s="149"/>
      <c r="UVZ43" s="149"/>
      <c r="UWA43" s="149"/>
      <c r="UWB43" s="149"/>
      <c r="UWC43" s="149"/>
      <c r="UWD43" s="149"/>
      <c r="UWE43" s="149"/>
      <c r="UWF43" s="149"/>
      <c r="UWG43" s="149"/>
      <c r="UWH43" s="149"/>
      <c r="UWI43" s="149"/>
      <c r="UWJ43" s="149"/>
      <c r="UWK43" s="149"/>
      <c r="UWL43" s="149"/>
      <c r="UWM43" s="149"/>
      <c r="UWN43" s="149"/>
      <c r="UWO43" s="149"/>
      <c r="UWP43" s="149"/>
      <c r="UWQ43" s="149"/>
      <c r="UWR43" s="149"/>
      <c r="UWS43" s="149"/>
      <c r="UWT43" s="149"/>
      <c r="UWU43" s="149"/>
      <c r="UWV43" s="149"/>
      <c r="UWW43" s="149"/>
      <c r="UWX43" s="149"/>
      <c r="UWY43" s="149"/>
      <c r="UWZ43" s="149"/>
      <c r="UXA43" s="149"/>
      <c r="UXB43" s="149"/>
      <c r="UXC43" s="149"/>
      <c r="UXD43" s="149"/>
      <c r="UXE43" s="149"/>
      <c r="UXF43" s="149"/>
      <c r="UXG43" s="149"/>
      <c r="UXH43" s="149"/>
      <c r="UXI43" s="149"/>
      <c r="UXJ43" s="149"/>
      <c r="UXK43" s="149"/>
      <c r="UXL43" s="149"/>
      <c r="UXM43" s="149"/>
      <c r="UXN43" s="149"/>
      <c r="UXO43" s="149"/>
      <c r="UXP43" s="149"/>
      <c r="UXQ43" s="149"/>
      <c r="UXR43" s="149"/>
      <c r="UXS43" s="149"/>
      <c r="UXT43" s="149"/>
      <c r="UXU43" s="149"/>
      <c r="UXV43" s="149"/>
      <c r="UXW43" s="149"/>
      <c r="UXX43" s="149"/>
      <c r="UXY43" s="149"/>
      <c r="UXZ43" s="149"/>
      <c r="UYA43" s="149"/>
      <c r="UYB43" s="149"/>
      <c r="UYC43" s="149"/>
      <c r="UYD43" s="149"/>
      <c r="UYE43" s="149"/>
      <c r="UYF43" s="149"/>
      <c r="UYG43" s="149"/>
      <c r="UYH43" s="149"/>
      <c r="UYI43" s="149"/>
      <c r="UYJ43" s="149"/>
      <c r="UYK43" s="149"/>
      <c r="UYL43" s="149"/>
      <c r="UYM43" s="149"/>
      <c r="UYN43" s="149"/>
      <c r="UYO43" s="149"/>
      <c r="UYP43" s="149"/>
      <c r="UYQ43" s="149"/>
      <c r="UYR43" s="149"/>
      <c r="UYS43" s="149"/>
      <c r="UYT43" s="149"/>
      <c r="UYU43" s="149"/>
      <c r="UYV43" s="149"/>
      <c r="UYW43" s="149"/>
      <c r="UYX43" s="149"/>
      <c r="UYY43" s="149"/>
      <c r="UYZ43" s="149"/>
      <c r="UZA43" s="149"/>
      <c r="UZB43" s="149"/>
      <c r="UZC43" s="149"/>
      <c r="UZD43" s="149"/>
      <c r="UZE43" s="149"/>
      <c r="UZF43" s="149"/>
      <c r="UZG43" s="149"/>
      <c r="UZH43" s="149"/>
      <c r="UZI43" s="149"/>
      <c r="UZJ43" s="149"/>
      <c r="UZK43" s="149"/>
      <c r="UZL43" s="149"/>
      <c r="UZM43" s="149"/>
      <c r="UZN43" s="149"/>
      <c r="UZO43" s="149"/>
      <c r="UZP43" s="149"/>
      <c r="UZQ43" s="149"/>
      <c r="UZR43" s="149"/>
      <c r="UZS43" s="149"/>
      <c r="UZT43" s="149"/>
      <c r="UZU43" s="149"/>
      <c r="UZV43" s="149"/>
      <c r="UZW43" s="149"/>
      <c r="UZX43" s="149"/>
      <c r="UZY43" s="149"/>
      <c r="UZZ43" s="149"/>
      <c r="VAA43" s="149"/>
      <c r="VAB43" s="149"/>
      <c r="VAC43" s="149"/>
      <c r="VAD43" s="149"/>
      <c r="VAE43" s="149"/>
      <c r="VAF43" s="149"/>
      <c r="VAG43" s="149"/>
      <c r="VAH43" s="149"/>
      <c r="VAI43" s="149"/>
      <c r="VAJ43" s="149"/>
      <c r="VAK43" s="149"/>
      <c r="VAL43" s="149"/>
      <c r="VAM43" s="149"/>
      <c r="VAN43" s="149"/>
      <c r="VAO43" s="149"/>
      <c r="VAP43" s="149"/>
      <c r="VAQ43" s="149"/>
      <c r="VAR43" s="149"/>
      <c r="VAS43" s="149"/>
      <c r="VAT43" s="149"/>
      <c r="VAU43" s="149"/>
      <c r="VAV43" s="149"/>
      <c r="VAW43" s="149"/>
      <c r="VAX43" s="149"/>
      <c r="VAY43" s="149"/>
      <c r="VAZ43" s="149"/>
      <c r="VBA43" s="149"/>
      <c r="VBB43" s="149"/>
      <c r="VBC43" s="149"/>
      <c r="VBD43" s="149"/>
      <c r="VBE43" s="149"/>
      <c r="VBF43" s="149"/>
      <c r="VBG43" s="149"/>
      <c r="VBH43" s="149"/>
      <c r="VBI43" s="149"/>
      <c r="VBJ43" s="149"/>
      <c r="VBK43" s="149"/>
      <c r="VBL43" s="149"/>
      <c r="VBM43" s="149"/>
      <c r="VBN43" s="149"/>
      <c r="VBO43" s="149"/>
      <c r="VBP43" s="149"/>
      <c r="VBQ43" s="149"/>
      <c r="VBR43" s="149"/>
      <c r="VBS43" s="149"/>
      <c r="VBT43" s="149"/>
      <c r="VBU43" s="149"/>
      <c r="VBV43" s="149"/>
      <c r="VBW43" s="149"/>
      <c r="VBX43" s="149"/>
      <c r="VBY43" s="149"/>
      <c r="VBZ43" s="149"/>
      <c r="VCA43" s="149"/>
      <c r="VCB43" s="149"/>
      <c r="VCC43" s="149"/>
      <c r="VCD43" s="149"/>
      <c r="VCE43" s="149"/>
      <c r="VCF43" s="149"/>
      <c r="VCG43" s="149"/>
      <c r="VCH43" s="149"/>
      <c r="VCI43" s="149"/>
      <c r="VCJ43" s="149"/>
      <c r="VCK43" s="149"/>
      <c r="VCL43" s="149"/>
      <c r="VCM43" s="149"/>
      <c r="VCN43" s="149"/>
      <c r="VCO43" s="149"/>
      <c r="VCP43" s="149"/>
      <c r="VCQ43" s="149"/>
      <c r="VCR43" s="149"/>
      <c r="VCS43" s="149"/>
      <c r="VCT43" s="149"/>
      <c r="VCU43" s="149"/>
      <c r="VCV43" s="149"/>
      <c r="VCW43" s="149"/>
    </row>
    <row r="44" spans="5:14973" ht="15" customHeight="1" x14ac:dyDescent="0.3">
      <c r="F44" s="107"/>
      <c r="G44" s="125" t="s">
        <v>77</v>
      </c>
      <c r="H44" s="139">
        <f>SUM(H45:H46)</f>
        <v>0</v>
      </c>
      <c r="I44" s="126" t="s">
        <v>10</v>
      </c>
      <c r="J44" s="78">
        <f>SUM(J45:J46)</f>
        <v>0</v>
      </c>
      <c r="K44" s="78">
        <f t="shared" ref="K44:AN44" si="11">SUM(K45:K46)</f>
        <v>0</v>
      </c>
      <c r="L44" s="78">
        <f t="shared" si="11"/>
        <v>0</v>
      </c>
      <c r="M44" s="78">
        <f t="shared" si="11"/>
        <v>0</v>
      </c>
      <c r="N44" s="78">
        <f t="shared" si="11"/>
        <v>0</v>
      </c>
      <c r="O44" s="78">
        <f t="shared" si="11"/>
        <v>0</v>
      </c>
      <c r="P44" s="78">
        <f>SUM(P45:P46)</f>
        <v>0</v>
      </c>
      <c r="Q44" s="78">
        <f t="shared" si="11"/>
        <v>0</v>
      </c>
      <c r="R44" s="78">
        <f t="shared" si="11"/>
        <v>0</v>
      </c>
      <c r="S44" s="78">
        <f t="shared" si="11"/>
        <v>0</v>
      </c>
      <c r="T44" s="78">
        <f t="shared" si="11"/>
        <v>0</v>
      </c>
      <c r="U44" s="78">
        <f t="shared" si="11"/>
        <v>0</v>
      </c>
      <c r="V44" s="78">
        <f t="shared" si="11"/>
        <v>0</v>
      </c>
      <c r="W44" s="78">
        <f t="shared" si="11"/>
        <v>0</v>
      </c>
      <c r="X44" s="78">
        <f t="shared" si="11"/>
        <v>0</v>
      </c>
      <c r="Y44" s="78">
        <f t="shared" si="11"/>
        <v>0</v>
      </c>
      <c r="Z44" s="78">
        <f t="shared" si="11"/>
        <v>0</v>
      </c>
      <c r="AA44" s="78">
        <f t="shared" si="11"/>
        <v>0</v>
      </c>
      <c r="AB44" s="78">
        <f t="shared" si="11"/>
        <v>0</v>
      </c>
      <c r="AC44" s="78">
        <f t="shared" si="11"/>
        <v>0</v>
      </c>
      <c r="AD44" s="78">
        <f t="shared" si="11"/>
        <v>0</v>
      </c>
      <c r="AE44" s="78">
        <f t="shared" si="11"/>
        <v>0</v>
      </c>
      <c r="AF44" s="78">
        <f t="shared" si="11"/>
        <v>0</v>
      </c>
      <c r="AG44" s="78">
        <f t="shared" si="11"/>
        <v>0</v>
      </c>
      <c r="AH44" s="78">
        <f t="shared" si="11"/>
        <v>0</v>
      </c>
      <c r="AI44" s="78">
        <f t="shared" si="11"/>
        <v>0</v>
      </c>
      <c r="AJ44" s="78">
        <f t="shared" si="11"/>
        <v>0</v>
      </c>
      <c r="AK44" s="78">
        <f t="shared" si="11"/>
        <v>0</v>
      </c>
      <c r="AL44" s="78">
        <f t="shared" si="11"/>
        <v>0</v>
      </c>
      <c r="AM44" s="78">
        <f t="shared" si="11"/>
        <v>0</v>
      </c>
      <c r="AN44" s="78">
        <f t="shared" si="11"/>
        <v>0</v>
      </c>
      <c r="AO44" s="80"/>
      <c r="AP44" s="155">
        <f>SUM(J44:AN44)</f>
        <v>0</v>
      </c>
      <c r="AQ44" s="82"/>
      <c r="AR44" s="81"/>
      <c r="CB44" s="82"/>
      <c r="CC44" s="82"/>
      <c r="DF44" s="82"/>
      <c r="EM44" s="73"/>
      <c r="EN44" s="64"/>
      <c r="EO44" s="72"/>
      <c r="EP44" s="72"/>
      <c r="EQ44" s="72"/>
      <c r="ER44" s="82"/>
      <c r="GU44" s="82"/>
      <c r="KP44" s="82"/>
      <c r="KQ44" s="82"/>
      <c r="KR44" s="82"/>
      <c r="KS44" s="82"/>
      <c r="PW44" s="82"/>
      <c r="PX44" s="82"/>
      <c r="PY44" s="88"/>
      <c r="PZ44" s="82"/>
      <c r="QN44" s="88">
        <f>SUM(QN41:QN42)</f>
        <v>40.247160000000001</v>
      </c>
      <c r="QR44" s="82"/>
      <c r="SU44" s="88"/>
      <c r="AID44" s="72"/>
      <c r="AJS44" s="72"/>
      <c r="AJT44" s="72"/>
      <c r="AJU44" s="72"/>
    </row>
    <row r="45" spans="5:14973" ht="15" customHeight="1" x14ac:dyDescent="0.3">
      <c r="F45" s="107"/>
      <c r="G45" s="125" t="s">
        <v>78</v>
      </c>
      <c r="H45" s="139"/>
      <c r="I45" s="126" t="s">
        <v>10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  <c r="AF45" s="78">
        <v>0</v>
      </c>
      <c r="AG45" s="78">
        <v>0</v>
      </c>
      <c r="AH45" s="78">
        <v>0</v>
      </c>
      <c r="AI45" s="78">
        <v>0</v>
      </c>
      <c r="AJ45" s="78">
        <v>0</v>
      </c>
      <c r="AK45" s="78">
        <v>0</v>
      </c>
      <c r="AL45" s="78">
        <v>0</v>
      </c>
      <c r="AM45" s="78">
        <v>0</v>
      </c>
      <c r="AN45" s="78">
        <v>0</v>
      </c>
      <c r="AO45" s="80"/>
      <c r="AP45" s="161">
        <f>SUM(J45:AN45)</f>
        <v>0</v>
      </c>
      <c r="AQ45" s="82"/>
      <c r="AR45" s="88"/>
      <c r="AT45" s="101"/>
      <c r="CB45" s="82"/>
      <c r="CC45" s="82"/>
      <c r="DF45" s="82"/>
      <c r="EN45" s="64"/>
      <c r="EO45" s="88"/>
      <c r="EP45" s="88"/>
      <c r="EQ45" s="88"/>
      <c r="ER45" s="82"/>
      <c r="GU45" s="82"/>
      <c r="KP45" s="82"/>
      <c r="KQ45" s="82"/>
      <c r="KR45" s="82"/>
      <c r="KS45" s="82"/>
      <c r="PW45" s="82"/>
      <c r="PX45" s="82"/>
      <c r="PY45" s="88"/>
      <c r="PZ45" s="82"/>
      <c r="QN45" s="88"/>
      <c r="QR45" s="82"/>
      <c r="SU45" s="88"/>
      <c r="AID45" s="72"/>
      <c r="AJS45" s="72"/>
      <c r="AJT45" s="72"/>
      <c r="AJU45" s="72"/>
    </row>
    <row r="46" spans="5:14973" ht="15" customHeight="1" x14ac:dyDescent="0.3">
      <c r="F46" s="107"/>
      <c r="G46" s="75" t="s">
        <v>73</v>
      </c>
      <c r="H46" s="139"/>
      <c r="I46" s="126" t="s">
        <v>10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  <c r="AF46" s="78">
        <v>0</v>
      </c>
      <c r="AG46" s="78">
        <v>0</v>
      </c>
      <c r="AH46" s="78">
        <v>0</v>
      </c>
      <c r="AI46" s="78">
        <v>0</v>
      </c>
      <c r="AJ46" s="78">
        <v>0</v>
      </c>
      <c r="AK46" s="78">
        <v>0</v>
      </c>
      <c r="AL46" s="78">
        <v>0</v>
      </c>
      <c r="AM46" s="78">
        <v>0</v>
      </c>
      <c r="AN46" s="78">
        <v>0</v>
      </c>
      <c r="AO46" s="80"/>
      <c r="AP46" s="155">
        <f>SUM(J46:AN46)</f>
        <v>0</v>
      </c>
      <c r="AQ46" s="88"/>
      <c r="AR46" s="88"/>
      <c r="AT46" s="101"/>
      <c r="CB46" s="82"/>
      <c r="CC46" s="82"/>
      <c r="DF46" s="82"/>
      <c r="EN46" s="64"/>
      <c r="EO46" s="82"/>
      <c r="EP46" s="82"/>
      <c r="EQ46" s="82"/>
      <c r="ER46" s="82"/>
      <c r="GU46" s="82"/>
      <c r="KP46" s="82"/>
      <c r="KQ46" s="82"/>
      <c r="KR46" s="82"/>
      <c r="KS46" s="82"/>
      <c r="PW46" s="82"/>
      <c r="PX46" s="82"/>
      <c r="PZ46" s="82"/>
      <c r="QN46" s="88"/>
      <c r="QR46" s="82"/>
      <c r="SU46" s="88"/>
      <c r="AID46" s="72"/>
      <c r="AJS46" s="72"/>
      <c r="AJT46" s="72"/>
      <c r="AJU46" s="72"/>
    </row>
    <row r="47" spans="5:14973" ht="15" customHeight="1" x14ac:dyDescent="0.3">
      <c r="F47" s="107"/>
      <c r="G47" s="133" t="s">
        <v>79</v>
      </c>
      <c r="H47" s="142"/>
      <c r="I47" s="135"/>
      <c r="J47" s="58"/>
      <c r="K47" s="58"/>
      <c r="L47" s="58"/>
      <c r="M47" s="143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144"/>
      <c r="AI47" s="144"/>
      <c r="AJ47" s="144"/>
      <c r="AK47" s="144"/>
      <c r="AL47" s="144"/>
      <c r="AM47" s="144"/>
      <c r="AN47" s="144"/>
      <c r="AO47" s="80"/>
      <c r="AP47" s="136" t="s">
        <v>68</v>
      </c>
      <c r="AR47" s="127"/>
      <c r="AT47" s="101"/>
    </row>
    <row r="48" spans="5:14973" ht="15" customHeight="1" x14ac:dyDescent="0.3">
      <c r="E48" s="149"/>
      <c r="F48" s="19"/>
      <c r="G48" s="150" t="s">
        <v>38</v>
      </c>
      <c r="H48" s="151"/>
      <c r="I48" s="152" t="s">
        <v>10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153"/>
      <c r="AI48" s="153"/>
      <c r="AJ48" s="153"/>
      <c r="AK48" s="153"/>
      <c r="AL48" s="153"/>
      <c r="AM48" s="153"/>
      <c r="AN48" s="153"/>
      <c r="AO48" s="154"/>
      <c r="AP48" s="70">
        <f>SUM(J48:AN48)</f>
        <v>0</v>
      </c>
      <c r="AQ48" s="149"/>
      <c r="AR48" s="157"/>
      <c r="AS48" s="158"/>
      <c r="AT48" s="162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6"/>
      <c r="CC48" s="156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D48" s="149"/>
      <c r="DE48" s="149"/>
      <c r="DF48" s="156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63"/>
      <c r="EO48" s="156"/>
      <c r="EP48" s="156"/>
      <c r="EQ48" s="156"/>
      <c r="ER48" s="156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  <c r="GF48" s="149"/>
      <c r="GG48" s="149"/>
      <c r="GH48" s="149"/>
      <c r="GI48" s="149"/>
      <c r="GJ48" s="149"/>
      <c r="GK48" s="149"/>
      <c r="GL48" s="149"/>
      <c r="GM48" s="149"/>
      <c r="GN48" s="149"/>
      <c r="GO48" s="149"/>
      <c r="GP48" s="149"/>
      <c r="GQ48" s="149"/>
      <c r="GR48" s="149"/>
      <c r="GS48" s="149"/>
      <c r="GT48" s="149"/>
      <c r="GU48" s="156"/>
      <c r="GV48" s="149"/>
      <c r="GW48" s="149"/>
      <c r="GX48" s="149"/>
      <c r="GY48" s="149"/>
      <c r="GZ48" s="149"/>
      <c r="HA48" s="149"/>
      <c r="HB48" s="149"/>
      <c r="HC48" s="149"/>
      <c r="HD48" s="149"/>
      <c r="HE48" s="149"/>
      <c r="HF48" s="149"/>
      <c r="HG48" s="149"/>
      <c r="HH48" s="149"/>
      <c r="HI48" s="149"/>
      <c r="HJ48" s="149"/>
      <c r="HK48" s="149"/>
      <c r="HL48" s="149"/>
      <c r="HM48" s="149"/>
      <c r="HN48" s="149"/>
      <c r="HO48" s="149"/>
      <c r="HP48" s="149"/>
      <c r="HQ48" s="149"/>
      <c r="HR48" s="149"/>
      <c r="HS48" s="149"/>
      <c r="HT48" s="149"/>
      <c r="HU48" s="149"/>
      <c r="HV48" s="149"/>
      <c r="HW48" s="149"/>
      <c r="HX48" s="149"/>
      <c r="HY48" s="149"/>
      <c r="HZ48" s="149"/>
      <c r="IA48" s="149"/>
      <c r="IB48" s="149"/>
      <c r="IC48" s="149"/>
      <c r="ID48" s="149"/>
      <c r="IE48" s="149"/>
      <c r="IF48" s="149"/>
      <c r="IG48" s="149"/>
      <c r="IH48" s="149"/>
      <c r="II48" s="149"/>
      <c r="IJ48" s="149"/>
      <c r="IK48" s="149"/>
      <c r="IL48" s="149"/>
      <c r="IM48" s="149"/>
      <c r="IN48" s="149"/>
      <c r="IO48" s="149"/>
      <c r="IP48" s="149"/>
      <c r="IQ48" s="149"/>
      <c r="IR48" s="149"/>
      <c r="IS48" s="149"/>
      <c r="IT48" s="149"/>
      <c r="IU48" s="149"/>
      <c r="IV48" s="149"/>
      <c r="IW48" s="149"/>
      <c r="IX48" s="149"/>
      <c r="IY48" s="149"/>
      <c r="IZ48" s="149"/>
      <c r="JA48" s="149"/>
      <c r="JB48" s="149"/>
      <c r="JC48" s="149"/>
      <c r="JD48" s="149"/>
      <c r="JE48" s="149"/>
      <c r="JF48" s="149"/>
      <c r="JG48" s="149"/>
      <c r="JH48" s="149"/>
      <c r="JI48" s="149"/>
      <c r="JJ48" s="149"/>
      <c r="JK48" s="149"/>
      <c r="JL48" s="149"/>
      <c r="JM48" s="149"/>
      <c r="JN48" s="149"/>
      <c r="JO48" s="149"/>
      <c r="JP48" s="149"/>
      <c r="JQ48" s="149"/>
      <c r="JR48" s="149"/>
      <c r="JS48" s="149"/>
      <c r="JT48" s="149"/>
      <c r="JU48" s="149"/>
      <c r="JV48" s="149"/>
      <c r="JW48" s="149"/>
      <c r="JX48" s="149"/>
      <c r="JY48" s="149"/>
      <c r="JZ48" s="149"/>
      <c r="KA48" s="149"/>
      <c r="KB48" s="149"/>
      <c r="KC48" s="149"/>
      <c r="KD48" s="149"/>
      <c r="KE48" s="149"/>
      <c r="KF48" s="149"/>
      <c r="KG48" s="149"/>
      <c r="KH48" s="149"/>
      <c r="KI48" s="149"/>
      <c r="KJ48" s="149"/>
      <c r="KK48" s="149"/>
      <c r="KL48" s="149"/>
      <c r="KM48" s="149"/>
      <c r="KN48" s="149"/>
      <c r="KO48" s="149"/>
      <c r="KP48" s="156"/>
      <c r="KQ48" s="156"/>
      <c r="KR48" s="156"/>
      <c r="KS48" s="156"/>
      <c r="KT48" s="149"/>
      <c r="KU48" s="149"/>
      <c r="KV48" s="149"/>
      <c r="KW48" s="149"/>
      <c r="KX48" s="149"/>
      <c r="KY48" s="149"/>
      <c r="KZ48" s="149"/>
      <c r="LA48" s="149"/>
      <c r="LB48" s="149"/>
      <c r="LC48" s="149"/>
      <c r="LD48" s="149"/>
      <c r="LE48" s="149"/>
      <c r="LF48" s="149"/>
      <c r="LG48" s="149"/>
      <c r="LH48" s="149"/>
      <c r="LI48" s="149"/>
      <c r="LJ48" s="149"/>
      <c r="LK48" s="149"/>
      <c r="LL48" s="149"/>
      <c r="LM48" s="149"/>
      <c r="LN48" s="149"/>
      <c r="LO48" s="149"/>
      <c r="LP48" s="149"/>
      <c r="LQ48" s="149"/>
      <c r="LR48" s="149"/>
      <c r="LS48" s="149"/>
      <c r="LT48" s="149"/>
      <c r="LU48" s="149"/>
      <c r="LV48" s="149"/>
      <c r="LW48" s="149"/>
      <c r="LX48" s="149"/>
      <c r="LY48" s="149"/>
      <c r="LZ48" s="149"/>
      <c r="MA48" s="149"/>
      <c r="MB48" s="149"/>
      <c r="MC48" s="149"/>
      <c r="MD48" s="149"/>
      <c r="ME48" s="149"/>
      <c r="MF48" s="149"/>
      <c r="MG48" s="149"/>
      <c r="MH48" s="149"/>
      <c r="MI48" s="149"/>
      <c r="MJ48" s="149"/>
      <c r="MK48" s="149"/>
      <c r="ML48" s="149"/>
      <c r="MM48" s="149"/>
      <c r="MN48" s="149"/>
      <c r="MO48" s="149"/>
      <c r="MP48" s="149"/>
      <c r="MQ48" s="149"/>
      <c r="MR48" s="149"/>
      <c r="MS48" s="149"/>
      <c r="MT48" s="149"/>
      <c r="MU48" s="149"/>
      <c r="MV48" s="149"/>
      <c r="MW48" s="149"/>
      <c r="MX48" s="149"/>
      <c r="MY48" s="149"/>
      <c r="MZ48" s="149"/>
      <c r="NA48" s="149"/>
      <c r="NB48" s="149"/>
      <c r="NC48" s="149"/>
      <c r="ND48" s="149"/>
      <c r="NE48" s="149"/>
      <c r="NF48" s="149"/>
      <c r="NG48" s="149"/>
      <c r="NH48" s="149"/>
      <c r="NI48" s="149"/>
      <c r="NJ48" s="149"/>
      <c r="NK48" s="149"/>
      <c r="NL48" s="149"/>
      <c r="NM48" s="149"/>
      <c r="NN48" s="149"/>
      <c r="NO48" s="149"/>
      <c r="NP48" s="149"/>
      <c r="NQ48" s="149"/>
      <c r="NR48" s="149"/>
      <c r="NS48" s="149"/>
      <c r="NT48" s="149"/>
      <c r="NU48" s="149"/>
      <c r="NV48" s="149"/>
      <c r="NW48" s="149"/>
      <c r="NX48" s="149"/>
      <c r="NY48" s="149"/>
      <c r="NZ48" s="149"/>
      <c r="OA48" s="149"/>
      <c r="OB48" s="149"/>
      <c r="OC48" s="149"/>
      <c r="OD48" s="149"/>
      <c r="OE48" s="149"/>
      <c r="OF48" s="149"/>
      <c r="OG48" s="149"/>
      <c r="OH48" s="149"/>
      <c r="OI48" s="149"/>
      <c r="OJ48" s="149"/>
      <c r="OK48" s="149"/>
      <c r="OL48" s="149"/>
      <c r="OM48" s="149"/>
      <c r="ON48" s="149"/>
      <c r="OO48" s="149"/>
      <c r="OP48" s="149"/>
      <c r="OQ48" s="149"/>
      <c r="OR48" s="149"/>
      <c r="OS48" s="149"/>
      <c r="OT48" s="149"/>
      <c r="OU48" s="149"/>
      <c r="OV48" s="149"/>
      <c r="OW48" s="149"/>
      <c r="OX48" s="149"/>
      <c r="OY48" s="149"/>
      <c r="OZ48" s="149"/>
      <c r="PA48" s="149"/>
      <c r="PB48" s="149"/>
      <c r="PC48" s="149"/>
      <c r="PD48" s="149"/>
      <c r="PE48" s="149"/>
      <c r="PF48" s="149"/>
      <c r="PG48" s="149"/>
      <c r="PH48" s="149"/>
      <c r="PI48" s="149"/>
      <c r="PJ48" s="149"/>
      <c r="PK48" s="149"/>
      <c r="PL48" s="149"/>
      <c r="PM48" s="149"/>
      <c r="PN48" s="149"/>
      <c r="PO48" s="149"/>
      <c r="PP48" s="149"/>
      <c r="PQ48" s="149"/>
      <c r="PR48" s="149"/>
      <c r="PS48" s="149"/>
      <c r="PT48" s="149"/>
      <c r="PU48" s="149"/>
      <c r="PV48" s="149"/>
      <c r="PW48" s="156"/>
      <c r="PX48" s="156"/>
      <c r="PY48" s="149"/>
      <c r="PZ48" s="156"/>
      <c r="QA48" s="149"/>
      <c r="QB48" s="149"/>
      <c r="QC48" s="149"/>
      <c r="QD48" s="149"/>
      <c r="QE48" s="149"/>
      <c r="QF48" s="149"/>
      <c r="QG48" s="149"/>
      <c r="QH48" s="149"/>
      <c r="QI48" s="149"/>
      <c r="QJ48" s="149"/>
      <c r="QK48" s="149"/>
      <c r="QL48" s="149"/>
      <c r="QM48" s="149"/>
      <c r="QN48" s="160"/>
      <c r="QO48" s="149"/>
      <c r="QP48" s="149"/>
      <c r="QQ48" s="149"/>
      <c r="QR48" s="156"/>
      <c r="QS48" s="149"/>
      <c r="QT48" s="149"/>
      <c r="QU48" s="149"/>
      <c r="QV48" s="149"/>
      <c r="QW48" s="149"/>
      <c r="QX48" s="149"/>
      <c r="QY48" s="149"/>
      <c r="QZ48" s="149"/>
      <c r="RA48" s="149"/>
      <c r="RB48" s="149"/>
      <c r="RC48" s="149"/>
      <c r="RD48" s="149"/>
      <c r="RE48" s="149"/>
      <c r="RF48" s="149"/>
      <c r="RG48" s="149"/>
      <c r="RH48" s="149"/>
      <c r="RI48" s="149"/>
      <c r="RJ48" s="149"/>
      <c r="RK48" s="149"/>
      <c r="RL48" s="149"/>
      <c r="RM48" s="149"/>
      <c r="RN48" s="149"/>
      <c r="RO48" s="149"/>
      <c r="RP48" s="149"/>
      <c r="RQ48" s="149"/>
      <c r="RR48" s="149"/>
      <c r="RS48" s="149"/>
      <c r="RT48" s="149"/>
      <c r="RU48" s="149"/>
      <c r="RV48" s="149"/>
      <c r="RW48" s="149"/>
      <c r="RX48" s="149"/>
      <c r="RY48" s="149"/>
      <c r="RZ48" s="149"/>
      <c r="SA48" s="149"/>
      <c r="SB48" s="149"/>
      <c r="SC48" s="149"/>
      <c r="SD48" s="149"/>
      <c r="SE48" s="149"/>
      <c r="SF48" s="149"/>
      <c r="SG48" s="149"/>
      <c r="SH48" s="149"/>
      <c r="SI48" s="149"/>
      <c r="SJ48" s="149"/>
      <c r="SK48" s="149"/>
      <c r="SL48" s="149"/>
      <c r="SM48" s="149"/>
      <c r="SN48" s="149"/>
      <c r="SO48" s="149"/>
      <c r="SP48" s="149"/>
      <c r="SQ48" s="149"/>
      <c r="SR48" s="149"/>
      <c r="SS48" s="149"/>
      <c r="ST48" s="149"/>
      <c r="SU48" s="160"/>
      <c r="SV48" s="149"/>
      <c r="SW48" s="149"/>
      <c r="SX48" s="149"/>
      <c r="SY48" s="149"/>
      <c r="SZ48" s="149"/>
      <c r="TA48" s="149"/>
      <c r="TB48" s="149"/>
      <c r="TC48" s="149"/>
      <c r="TD48" s="149"/>
      <c r="TE48" s="149"/>
      <c r="TF48" s="149"/>
      <c r="TG48" s="149"/>
      <c r="TH48" s="149"/>
      <c r="TI48" s="149"/>
      <c r="TJ48" s="149"/>
      <c r="TK48" s="149"/>
      <c r="TL48" s="149"/>
      <c r="TM48" s="149"/>
      <c r="TN48" s="149"/>
      <c r="TO48" s="149"/>
      <c r="TP48" s="149"/>
      <c r="TQ48" s="149"/>
      <c r="TR48" s="149"/>
      <c r="TS48" s="149"/>
      <c r="TT48" s="149"/>
      <c r="TU48" s="149"/>
      <c r="TV48" s="149"/>
      <c r="TW48" s="149"/>
      <c r="TX48" s="149"/>
      <c r="TY48" s="149"/>
      <c r="TZ48" s="149"/>
      <c r="UA48" s="149"/>
      <c r="UB48" s="149"/>
      <c r="UC48" s="149"/>
      <c r="UD48" s="149"/>
      <c r="UE48" s="149"/>
      <c r="UF48" s="149"/>
      <c r="UG48" s="149"/>
      <c r="UH48" s="149"/>
      <c r="UI48" s="149"/>
      <c r="UJ48" s="149"/>
      <c r="UK48" s="149"/>
      <c r="UL48" s="149"/>
      <c r="UM48" s="149"/>
      <c r="UN48" s="149"/>
      <c r="UO48" s="149"/>
      <c r="UP48" s="149"/>
      <c r="UQ48" s="149"/>
      <c r="UR48" s="149"/>
      <c r="US48" s="149"/>
      <c r="UT48" s="149"/>
      <c r="UU48" s="149"/>
      <c r="UV48" s="149"/>
      <c r="UW48" s="149"/>
      <c r="UX48" s="149"/>
      <c r="UY48" s="149"/>
      <c r="UZ48" s="149"/>
      <c r="VA48" s="149"/>
      <c r="VB48" s="149"/>
      <c r="VC48" s="149"/>
      <c r="VD48" s="149"/>
      <c r="VE48" s="149"/>
      <c r="VF48" s="149"/>
      <c r="VG48" s="149"/>
      <c r="VH48" s="149"/>
      <c r="VI48" s="149"/>
      <c r="VJ48" s="149"/>
      <c r="VK48" s="149"/>
      <c r="VL48" s="149"/>
      <c r="VM48" s="149"/>
      <c r="VN48" s="149"/>
      <c r="VO48" s="149"/>
      <c r="VP48" s="149"/>
      <c r="VQ48" s="149"/>
      <c r="VR48" s="149"/>
      <c r="VS48" s="149"/>
      <c r="VT48" s="149"/>
      <c r="VU48" s="149"/>
      <c r="VV48" s="149"/>
      <c r="VW48" s="149"/>
      <c r="VX48" s="149"/>
      <c r="VY48" s="149"/>
      <c r="VZ48" s="149"/>
      <c r="WA48" s="149"/>
      <c r="WB48" s="149"/>
      <c r="WC48" s="149"/>
      <c r="WD48" s="149"/>
      <c r="WE48" s="149"/>
      <c r="WF48" s="149"/>
      <c r="WG48" s="149"/>
      <c r="WH48" s="149"/>
      <c r="WI48" s="149"/>
      <c r="WJ48" s="149"/>
      <c r="WK48" s="149"/>
      <c r="WL48" s="149"/>
      <c r="WM48" s="149"/>
      <c r="WN48" s="149"/>
      <c r="WO48" s="149"/>
      <c r="WP48" s="149"/>
      <c r="WQ48" s="149"/>
      <c r="WR48" s="149"/>
      <c r="WS48" s="149"/>
      <c r="WT48" s="149"/>
      <c r="WU48" s="149"/>
      <c r="WV48" s="149"/>
      <c r="WW48" s="149"/>
      <c r="WX48" s="149"/>
      <c r="WY48" s="149"/>
      <c r="WZ48" s="149"/>
      <c r="XA48" s="149"/>
      <c r="XB48" s="149"/>
      <c r="XC48" s="149"/>
      <c r="XD48" s="149"/>
      <c r="XE48" s="149"/>
      <c r="XF48" s="149"/>
      <c r="XG48" s="149"/>
      <c r="XH48" s="149"/>
      <c r="XI48" s="149"/>
      <c r="XJ48" s="149"/>
      <c r="XK48" s="149"/>
      <c r="XL48" s="149"/>
      <c r="XM48" s="149"/>
      <c r="XN48" s="149"/>
      <c r="XO48" s="149"/>
      <c r="XP48" s="149"/>
      <c r="XQ48" s="149"/>
      <c r="XR48" s="149"/>
      <c r="XS48" s="149"/>
      <c r="XT48" s="149"/>
      <c r="XU48" s="149"/>
      <c r="XV48" s="149"/>
      <c r="XW48" s="149"/>
      <c r="XX48" s="149"/>
      <c r="XY48" s="149"/>
      <c r="XZ48" s="149"/>
      <c r="YA48" s="149"/>
      <c r="YB48" s="149"/>
      <c r="YC48" s="149"/>
      <c r="YD48" s="149"/>
      <c r="YE48" s="149"/>
      <c r="YF48" s="149"/>
      <c r="YG48" s="149"/>
      <c r="YH48" s="149"/>
      <c r="YI48" s="149"/>
      <c r="YJ48" s="149"/>
      <c r="YK48" s="149"/>
      <c r="YL48" s="149"/>
      <c r="YM48" s="149"/>
      <c r="YN48" s="149"/>
      <c r="YO48" s="149"/>
      <c r="YP48" s="149"/>
      <c r="YQ48" s="149"/>
      <c r="YR48" s="149"/>
      <c r="YS48" s="149"/>
      <c r="YT48" s="149"/>
      <c r="YU48" s="149"/>
      <c r="YV48" s="149"/>
      <c r="YW48" s="149"/>
      <c r="YX48" s="149"/>
      <c r="YY48" s="149"/>
      <c r="YZ48" s="149"/>
      <c r="ZA48" s="149"/>
      <c r="ZB48" s="149"/>
      <c r="ZC48" s="149"/>
      <c r="ZD48" s="149"/>
      <c r="ZE48" s="149"/>
      <c r="ZF48" s="149"/>
      <c r="ZG48" s="149"/>
      <c r="ZH48" s="149"/>
      <c r="ZI48" s="149"/>
      <c r="ZJ48" s="149"/>
      <c r="ZK48" s="149"/>
      <c r="ZL48" s="149"/>
      <c r="ZM48" s="149"/>
      <c r="ZN48" s="149"/>
      <c r="ZO48" s="149"/>
      <c r="ZP48" s="149"/>
      <c r="ZQ48" s="149"/>
      <c r="ZR48" s="149"/>
      <c r="ZS48" s="149"/>
      <c r="ZT48" s="149"/>
      <c r="ZU48" s="149"/>
      <c r="ZV48" s="149"/>
      <c r="ZW48" s="149"/>
      <c r="ZX48" s="149"/>
      <c r="ZY48" s="149"/>
      <c r="ZZ48" s="149"/>
      <c r="AAA48" s="149"/>
      <c r="AAB48" s="149"/>
      <c r="AAC48" s="149"/>
      <c r="AAD48" s="149"/>
      <c r="AAE48" s="149"/>
      <c r="AAF48" s="149"/>
      <c r="AAG48" s="149"/>
      <c r="AAH48" s="149"/>
      <c r="AAI48" s="149"/>
      <c r="AAJ48" s="149"/>
      <c r="AAK48" s="149"/>
      <c r="AAL48" s="149"/>
      <c r="AAM48" s="149"/>
      <c r="AAN48" s="149"/>
      <c r="AAO48" s="149"/>
      <c r="AAP48" s="149"/>
      <c r="AAQ48" s="149"/>
      <c r="AAR48" s="149"/>
      <c r="AAS48" s="149"/>
      <c r="AAT48" s="149"/>
      <c r="AAU48" s="149"/>
      <c r="AAV48" s="149"/>
      <c r="AAW48" s="149"/>
      <c r="AAX48" s="149"/>
      <c r="AAY48" s="149"/>
      <c r="AAZ48" s="149"/>
      <c r="ABA48" s="149"/>
      <c r="ABB48" s="149"/>
      <c r="ABC48" s="149"/>
      <c r="ABD48" s="149"/>
      <c r="ABE48" s="149"/>
      <c r="ABF48" s="149"/>
      <c r="ABG48" s="149"/>
      <c r="ABH48" s="149"/>
      <c r="ABI48" s="149"/>
      <c r="ABJ48" s="149"/>
      <c r="ABK48" s="149"/>
      <c r="ABL48" s="149"/>
      <c r="ABM48" s="149"/>
      <c r="ABN48" s="149"/>
      <c r="ABO48" s="149"/>
      <c r="ABP48" s="149"/>
      <c r="ABQ48" s="149"/>
      <c r="ABR48" s="149"/>
      <c r="ABS48" s="149"/>
      <c r="ABT48" s="149"/>
      <c r="ABU48" s="149"/>
      <c r="ABV48" s="149"/>
      <c r="ABW48" s="149"/>
      <c r="ABX48" s="149"/>
      <c r="ABY48" s="149"/>
      <c r="ABZ48" s="149"/>
      <c r="ACA48" s="149"/>
      <c r="ACB48" s="149"/>
      <c r="ACC48" s="149"/>
      <c r="ACD48" s="149"/>
      <c r="ACE48" s="149"/>
      <c r="ACF48" s="149"/>
      <c r="ACG48" s="149"/>
      <c r="ACH48" s="149"/>
      <c r="ACI48" s="149"/>
      <c r="ACJ48" s="149"/>
      <c r="ACK48" s="149"/>
      <c r="ACL48" s="149"/>
      <c r="ACM48" s="149"/>
      <c r="ACN48" s="149"/>
      <c r="ACO48" s="149"/>
      <c r="ACP48" s="149"/>
      <c r="ACQ48" s="149"/>
      <c r="ACR48" s="149"/>
      <c r="ACS48" s="149"/>
      <c r="ACT48" s="149"/>
      <c r="ACU48" s="149"/>
      <c r="ACV48" s="149"/>
      <c r="ACW48" s="149"/>
      <c r="ACX48" s="149"/>
      <c r="ACY48" s="149"/>
      <c r="ACZ48" s="149"/>
      <c r="ADA48" s="149"/>
      <c r="ADB48" s="149"/>
      <c r="ADC48" s="149"/>
      <c r="ADD48" s="149"/>
      <c r="ADE48" s="149"/>
      <c r="ADF48" s="149"/>
      <c r="ADG48" s="149"/>
      <c r="ADH48" s="149"/>
      <c r="ADI48" s="149"/>
      <c r="ADJ48" s="149"/>
      <c r="ADK48" s="149"/>
      <c r="ADL48" s="149"/>
      <c r="ADM48" s="149"/>
      <c r="ADN48" s="149"/>
      <c r="ADO48" s="149"/>
      <c r="ADP48" s="149"/>
      <c r="ADQ48" s="149"/>
      <c r="ADR48" s="149"/>
      <c r="ADS48" s="149"/>
      <c r="ADT48" s="149"/>
      <c r="ADU48" s="149"/>
      <c r="ADV48" s="149"/>
      <c r="ADW48" s="149"/>
      <c r="ADX48" s="149"/>
      <c r="ADY48" s="149"/>
      <c r="ADZ48" s="149"/>
      <c r="AEA48" s="149"/>
      <c r="AEB48" s="149"/>
      <c r="AEC48" s="149"/>
      <c r="AED48" s="149"/>
      <c r="AEE48" s="149"/>
      <c r="AEF48" s="149"/>
      <c r="AEG48" s="149"/>
      <c r="AEH48" s="149"/>
      <c r="AEI48" s="149"/>
      <c r="AEJ48" s="149"/>
      <c r="AEK48" s="149"/>
      <c r="AEL48" s="149"/>
      <c r="AEM48" s="149"/>
      <c r="AEN48" s="149"/>
      <c r="AEO48" s="149"/>
      <c r="AEP48" s="149"/>
      <c r="AEQ48" s="149"/>
      <c r="AER48" s="149"/>
      <c r="AES48" s="149"/>
      <c r="AET48" s="149"/>
      <c r="AEU48" s="149"/>
      <c r="AEV48" s="149"/>
      <c r="AEW48" s="149"/>
      <c r="AEX48" s="149"/>
      <c r="AEY48" s="149"/>
      <c r="AEZ48" s="149"/>
      <c r="AFA48" s="149"/>
      <c r="AFB48" s="149"/>
      <c r="AFC48" s="149"/>
      <c r="AFD48" s="149"/>
      <c r="AFE48" s="149"/>
      <c r="AFF48" s="149"/>
      <c r="AFG48" s="149"/>
      <c r="AFH48" s="149"/>
      <c r="AFI48" s="149"/>
      <c r="AFJ48" s="149"/>
      <c r="AFK48" s="149"/>
      <c r="AFL48" s="149"/>
      <c r="AFM48" s="149"/>
      <c r="AFN48" s="149"/>
      <c r="AFO48" s="149"/>
      <c r="AFP48" s="149"/>
      <c r="AFQ48" s="149"/>
      <c r="AFR48" s="149"/>
      <c r="AFS48" s="149"/>
      <c r="AFT48" s="149"/>
      <c r="AFU48" s="149"/>
      <c r="AFV48" s="149"/>
      <c r="AFW48" s="149"/>
      <c r="AFX48" s="149"/>
      <c r="AFY48" s="149"/>
      <c r="AFZ48" s="149"/>
      <c r="AGA48" s="149"/>
      <c r="AGB48" s="149"/>
      <c r="AGC48" s="149"/>
      <c r="AGD48" s="149"/>
      <c r="AGE48" s="149"/>
      <c r="AGF48" s="149"/>
      <c r="AGG48" s="149"/>
      <c r="AGH48" s="149"/>
      <c r="AGI48" s="149"/>
      <c r="AGJ48" s="149"/>
      <c r="AGK48" s="149"/>
      <c r="AGL48" s="149"/>
      <c r="AGM48" s="149"/>
      <c r="AGN48" s="149"/>
      <c r="AGO48" s="149"/>
      <c r="AGP48" s="149"/>
      <c r="AGQ48" s="149"/>
      <c r="AGR48" s="149"/>
      <c r="AGS48" s="149"/>
      <c r="AGT48" s="149"/>
      <c r="AGU48" s="149"/>
      <c r="AGV48" s="149"/>
      <c r="AGW48" s="149"/>
      <c r="AGX48" s="149"/>
      <c r="AGY48" s="149"/>
      <c r="AGZ48" s="149"/>
      <c r="AHA48" s="149"/>
      <c r="AHB48" s="149"/>
      <c r="AHC48" s="149"/>
      <c r="AHD48" s="149"/>
      <c r="AHE48" s="149"/>
      <c r="AHF48" s="149"/>
      <c r="AHG48" s="149"/>
      <c r="AHH48" s="149"/>
      <c r="AHI48" s="149"/>
      <c r="AHJ48" s="149"/>
      <c r="AHK48" s="149"/>
      <c r="AHL48" s="149"/>
      <c r="AHM48" s="149"/>
      <c r="AHN48" s="149"/>
      <c r="AHO48" s="149"/>
      <c r="AHP48" s="149"/>
      <c r="AHQ48" s="149"/>
      <c r="AHR48" s="149"/>
      <c r="AHS48" s="149"/>
      <c r="AHT48" s="149"/>
      <c r="AHU48" s="149"/>
      <c r="AHV48" s="149"/>
      <c r="AHW48" s="149"/>
      <c r="AHX48" s="149"/>
      <c r="AHY48" s="149"/>
      <c r="AHZ48" s="149"/>
      <c r="AIA48" s="149"/>
      <c r="AIB48" s="149"/>
      <c r="AIC48" s="149"/>
      <c r="AID48" s="156"/>
      <c r="AIE48" s="149"/>
      <c r="AIF48" s="149"/>
      <c r="AIG48" s="149"/>
      <c r="AIH48" s="149"/>
      <c r="AII48" s="149"/>
      <c r="AIJ48" s="149"/>
      <c r="AIK48" s="149"/>
      <c r="AIL48" s="149"/>
      <c r="AIM48" s="149"/>
      <c r="AIN48" s="149"/>
      <c r="AIO48" s="149"/>
      <c r="AIP48" s="149"/>
      <c r="AIQ48" s="149"/>
      <c r="AIR48" s="149"/>
      <c r="AIS48" s="149"/>
      <c r="AIT48" s="149"/>
      <c r="AIU48" s="149"/>
      <c r="AIV48" s="149"/>
      <c r="AIW48" s="149"/>
      <c r="AIX48" s="149"/>
      <c r="AIY48" s="149"/>
      <c r="AIZ48" s="149"/>
      <c r="AJA48" s="149"/>
      <c r="AJB48" s="149"/>
      <c r="AJC48" s="149"/>
      <c r="AJD48" s="149"/>
      <c r="AJE48" s="149"/>
      <c r="AJF48" s="149"/>
      <c r="AJG48" s="149"/>
      <c r="AJH48" s="149"/>
      <c r="AJI48" s="149"/>
      <c r="AJJ48" s="149"/>
      <c r="AJK48" s="149"/>
      <c r="AJL48" s="149"/>
      <c r="AJM48" s="149"/>
      <c r="AJN48" s="149"/>
      <c r="AJO48" s="149"/>
      <c r="AJP48" s="149"/>
      <c r="AJQ48" s="149"/>
      <c r="AJR48" s="149"/>
      <c r="AJS48" s="156"/>
      <c r="AJT48" s="156"/>
      <c r="AJU48" s="156"/>
      <c r="AJV48" s="149"/>
      <c r="AJW48" s="149"/>
      <c r="AJX48" s="149"/>
      <c r="AJY48" s="149"/>
      <c r="AJZ48" s="149"/>
      <c r="AKA48" s="149"/>
      <c r="AKB48" s="149"/>
      <c r="AKC48" s="149"/>
      <c r="AKD48" s="149"/>
      <c r="AKE48" s="149"/>
      <c r="AKF48" s="149"/>
      <c r="AKG48" s="149"/>
      <c r="AKH48" s="149"/>
      <c r="AKI48" s="149"/>
      <c r="AKJ48" s="149"/>
      <c r="AKK48" s="149"/>
      <c r="AKL48" s="149"/>
      <c r="AKM48" s="149"/>
      <c r="AKN48" s="149"/>
      <c r="AKO48" s="149"/>
      <c r="AKP48" s="149"/>
      <c r="AKQ48" s="149"/>
      <c r="AKR48" s="149"/>
      <c r="AKS48" s="149"/>
      <c r="AKT48" s="149"/>
      <c r="AKU48" s="149"/>
      <c r="AKV48" s="149"/>
      <c r="AKW48" s="149"/>
      <c r="AKX48" s="149"/>
      <c r="AKY48" s="149"/>
      <c r="AKZ48" s="149"/>
      <c r="ALA48" s="149"/>
      <c r="ALB48" s="149"/>
      <c r="ALC48" s="149"/>
      <c r="ALD48" s="149"/>
      <c r="ALE48" s="149"/>
      <c r="ALF48" s="149"/>
      <c r="ALG48" s="149"/>
      <c r="ALH48" s="149"/>
      <c r="ALI48" s="149"/>
      <c r="ALJ48" s="149"/>
      <c r="ALK48" s="149"/>
      <c r="ALL48" s="149"/>
      <c r="ALM48" s="149"/>
      <c r="ALN48" s="149"/>
      <c r="ALO48" s="149"/>
      <c r="ALP48" s="149"/>
      <c r="ALQ48" s="149"/>
      <c r="ALR48" s="149"/>
      <c r="ALS48" s="149"/>
      <c r="ALT48" s="149"/>
      <c r="ALU48" s="149"/>
      <c r="ALV48" s="149"/>
      <c r="ALW48" s="149"/>
      <c r="ALX48" s="149"/>
      <c r="ALY48" s="149"/>
      <c r="ALZ48" s="149"/>
      <c r="AMA48" s="149"/>
      <c r="AMB48" s="149"/>
      <c r="AMC48" s="149"/>
      <c r="AMD48" s="149"/>
      <c r="AME48" s="149"/>
      <c r="AMF48" s="149"/>
      <c r="AMG48" s="149"/>
      <c r="AMH48" s="149"/>
      <c r="AMI48" s="149"/>
      <c r="AMJ48" s="149"/>
      <c r="AMK48" s="149"/>
      <c r="AML48" s="149"/>
      <c r="AMM48" s="149"/>
      <c r="AMN48" s="149"/>
      <c r="AMO48" s="149"/>
      <c r="AMP48" s="149"/>
      <c r="AMQ48" s="149"/>
      <c r="AMR48" s="149"/>
      <c r="AMS48" s="149"/>
      <c r="AMT48" s="149"/>
      <c r="AMU48" s="149"/>
      <c r="AMV48" s="149"/>
      <c r="AMW48" s="149"/>
      <c r="AMX48" s="149"/>
      <c r="AMY48" s="149"/>
      <c r="AMZ48" s="149"/>
      <c r="ANA48" s="149"/>
      <c r="ANB48" s="149"/>
      <c r="ANC48" s="149"/>
      <c r="AND48" s="149"/>
      <c r="ANE48" s="149"/>
      <c r="ANF48" s="149"/>
      <c r="ANG48" s="149"/>
      <c r="ANH48" s="149"/>
      <c r="ANI48" s="149"/>
      <c r="ANJ48" s="149"/>
      <c r="ANK48" s="149"/>
      <c r="ANL48" s="149"/>
      <c r="ANM48" s="149"/>
      <c r="ANN48" s="149"/>
      <c r="ANO48" s="149"/>
      <c r="ANP48" s="149"/>
      <c r="ANQ48" s="149"/>
      <c r="ANR48" s="149"/>
      <c r="ANS48" s="149"/>
      <c r="ANT48" s="149"/>
      <c r="ANU48" s="149"/>
      <c r="ANV48" s="149"/>
      <c r="ANW48" s="149"/>
      <c r="ANX48" s="149"/>
      <c r="ANY48" s="149"/>
      <c r="ANZ48" s="149"/>
      <c r="AOA48" s="149"/>
      <c r="AOB48" s="149"/>
      <c r="AOC48" s="149"/>
      <c r="AOD48" s="149"/>
      <c r="AOE48" s="149"/>
      <c r="AOF48" s="149"/>
      <c r="AOG48" s="149"/>
      <c r="AOH48" s="149"/>
      <c r="AOI48" s="149"/>
      <c r="AOJ48" s="149"/>
      <c r="AOK48" s="149"/>
      <c r="AOL48" s="149"/>
      <c r="AOM48" s="149"/>
      <c r="AON48" s="149"/>
      <c r="AOO48" s="149"/>
      <c r="AOP48" s="149"/>
      <c r="AOQ48" s="149"/>
      <c r="AOR48" s="149"/>
      <c r="AOS48" s="149"/>
      <c r="AOT48" s="149"/>
      <c r="AOU48" s="149"/>
      <c r="AOV48" s="149"/>
      <c r="AOW48" s="149"/>
      <c r="AOX48" s="149"/>
      <c r="AOY48" s="149"/>
      <c r="AOZ48" s="149"/>
      <c r="APA48" s="149"/>
      <c r="APB48" s="149"/>
      <c r="APC48" s="149"/>
      <c r="APD48" s="149"/>
      <c r="APE48" s="149"/>
      <c r="APF48" s="149"/>
      <c r="APG48" s="149"/>
      <c r="APH48" s="149"/>
      <c r="API48" s="149"/>
      <c r="APJ48" s="149"/>
      <c r="APK48" s="149"/>
      <c r="APL48" s="149"/>
      <c r="APM48" s="149"/>
      <c r="APN48" s="149"/>
      <c r="APO48" s="149"/>
      <c r="APP48" s="149"/>
      <c r="APQ48" s="149"/>
      <c r="APR48" s="149"/>
      <c r="APS48" s="149"/>
      <c r="APT48" s="149"/>
      <c r="APU48" s="149"/>
      <c r="APV48" s="149"/>
      <c r="APW48" s="149"/>
      <c r="APX48" s="149"/>
      <c r="APY48" s="149"/>
      <c r="APZ48" s="149"/>
      <c r="AQA48" s="149"/>
      <c r="AQB48" s="149"/>
      <c r="AQC48" s="149"/>
      <c r="AQD48" s="149"/>
      <c r="AQE48" s="149"/>
      <c r="AQF48" s="149"/>
      <c r="AQG48" s="149"/>
      <c r="AQH48" s="149"/>
      <c r="AQI48" s="149"/>
      <c r="AQJ48" s="149"/>
      <c r="AQK48" s="149"/>
      <c r="AQL48" s="149"/>
      <c r="AQM48" s="149"/>
      <c r="AQN48" s="149"/>
      <c r="AQO48" s="149"/>
      <c r="AQP48" s="149"/>
      <c r="AQQ48" s="149"/>
      <c r="AQR48" s="149"/>
      <c r="AQS48" s="149"/>
      <c r="AQT48" s="149"/>
      <c r="AQU48" s="149"/>
      <c r="AQV48" s="149"/>
      <c r="AQW48" s="149"/>
      <c r="AQX48" s="149"/>
      <c r="AQY48" s="149"/>
      <c r="AQZ48" s="149"/>
      <c r="ARA48" s="149"/>
      <c r="ARB48" s="149"/>
      <c r="ARC48" s="149"/>
      <c r="ARD48" s="149"/>
      <c r="ARE48" s="149"/>
      <c r="ARF48" s="149"/>
      <c r="ARG48" s="149"/>
      <c r="ARH48" s="149"/>
      <c r="ARI48" s="149"/>
      <c r="ARJ48" s="149"/>
      <c r="ARK48" s="149"/>
      <c r="ARL48" s="149"/>
      <c r="ARM48" s="149"/>
      <c r="ARN48" s="149"/>
      <c r="ARO48" s="149"/>
      <c r="ARP48" s="149"/>
      <c r="ARQ48" s="149"/>
      <c r="ARR48" s="149"/>
      <c r="ARS48" s="149"/>
      <c r="ART48" s="149"/>
      <c r="ARU48" s="149"/>
      <c r="ARV48" s="149"/>
      <c r="ARW48" s="149"/>
      <c r="ARX48" s="149"/>
      <c r="ARY48" s="149"/>
      <c r="ARZ48" s="149"/>
      <c r="ASA48" s="149"/>
      <c r="ASB48" s="149"/>
      <c r="ASC48" s="149"/>
      <c r="ASD48" s="149"/>
      <c r="ASE48" s="149"/>
      <c r="ASF48" s="149"/>
      <c r="ASG48" s="149"/>
      <c r="ASH48" s="149"/>
      <c r="ASI48" s="149"/>
      <c r="ASJ48" s="149"/>
      <c r="ASK48" s="149"/>
      <c r="ASL48" s="149"/>
      <c r="ASM48" s="149"/>
      <c r="ASN48" s="149"/>
      <c r="ASO48" s="149"/>
      <c r="ASP48" s="149"/>
      <c r="ASQ48" s="149"/>
      <c r="ASR48" s="149"/>
      <c r="ASS48" s="149"/>
      <c r="AST48" s="149"/>
      <c r="ASU48" s="149"/>
      <c r="ASV48" s="149"/>
      <c r="ASW48" s="149"/>
      <c r="ASX48" s="149"/>
      <c r="ASY48" s="149"/>
      <c r="ASZ48" s="149"/>
      <c r="ATA48" s="149"/>
      <c r="ATB48" s="149"/>
      <c r="ATC48" s="149"/>
      <c r="ATD48" s="149"/>
      <c r="ATE48" s="149"/>
      <c r="ATF48" s="149"/>
      <c r="ATG48" s="149"/>
      <c r="ATH48" s="149"/>
      <c r="ATI48" s="149"/>
      <c r="ATJ48" s="149"/>
      <c r="ATK48" s="149"/>
      <c r="ATL48" s="149"/>
      <c r="ATM48" s="149"/>
      <c r="ATN48" s="149"/>
      <c r="ATO48" s="149"/>
      <c r="ATP48" s="149"/>
      <c r="ATQ48" s="149"/>
      <c r="ATR48" s="149"/>
      <c r="ATS48" s="149"/>
      <c r="ATT48" s="149"/>
      <c r="ATU48" s="149"/>
      <c r="ATV48" s="149"/>
      <c r="ATW48" s="149"/>
      <c r="ATX48" s="149"/>
      <c r="ATY48" s="149"/>
      <c r="ATZ48" s="149"/>
      <c r="AUA48" s="149"/>
      <c r="AUB48" s="149"/>
      <c r="AUC48" s="149"/>
      <c r="AUD48" s="149"/>
      <c r="AUE48" s="149"/>
      <c r="AUF48" s="149"/>
      <c r="AUG48" s="149"/>
      <c r="AUH48" s="149"/>
      <c r="AUI48" s="149"/>
      <c r="AUJ48" s="149"/>
      <c r="AUK48" s="149"/>
      <c r="AUL48" s="149"/>
      <c r="AUM48" s="149"/>
      <c r="AUN48" s="149"/>
      <c r="AUO48" s="149"/>
      <c r="AUP48" s="149"/>
      <c r="AUQ48" s="149"/>
      <c r="AUR48" s="149"/>
      <c r="AUS48" s="149"/>
      <c r="AUT48" s="149"/>
      <c r="AUU48" s="149"/>
      <c r="AUV48" s="149"/>
      <c r="AUW48" s="149"/>
      <c r="AUX48" s="149"/>
      <c r="AUY48" s="149"/>
      <c r="AUZ48" s="149"/>
      <c r="AVA48" s="149"/>
      <c r="AVB48" s="149"/>
      <c r="AVC48" s="149"/>
      <c r="AVD48" s="149"/>
      <c r="AVE48" s="149"/>
      <c r="AVF48" s="149"/>
      <c r="AVG48" s="149"/>
      <c r="AVH48" s="149"/>
      <c r="AVI48" s="149"/>
      <c r="AVJ48" s="149"/>
      <c r="AVK48" s="149"/>
      <c r="AVL48" s="149"/>
      <c r="AVM48" s="149"/>
      <c r="AVN48" s="149"/>
      <c r="AVO48" s="149"/>
      <c r="AVP48" s="149"/>
      <c r="AVQ48" s="149"/>
      <c r="AVR48" s="149"/>
      <c r="AVS48" s="149"/>
      <c r="AVT48" s="149"/>
      <c r="AVU48" s="149"/>
      <c r="AVV48" s="149"/>
      <c r="AVW48" s="149"/>
      <c r="AVX48" s="149"/>
      <c r="AVY48" s="149"/>
      <c r="AVZ48" s="149"/>
      <c r="AWA48" s="149"/>
      <c r="AWB48" s="149"/>
      <c r="AWC48" s="149"/>
      <c r="AWD48" s="149"/>
      <c r="AWE48" s="149"/>
      <c r="AWF48" s="149"/>
      <c r="AWG48" s="149"/>
      <c r="AWH48" s="149"/>
      <c r="AWI48" s="149"/>
      <c r="AWJ48" s="149"/>
      <c r="AWK48" s="149"/>
      <c r="AWL48" s="149"/>
      <c r="AWM48" s="149"/>
      <c r="AWN48" s="149"/>
      <c r="AWO48" s="149"/>
      <c r="AWP48" s="149"/>
      <c r="AWQ48" s="149"/>
      <c r="AWR48" s="149"/>
      <c r="AWS48" s="149"/>
      <c r="AWT48" s="149"/>
      <c r="AWU48" s="149"/>
      <c r="AWV48" s="149"/>
      <c r="AWW48" s="149"/>
      <c r="AWX48" s="149"/>
      <c r="AWY48" s="149"/>
      <c r="AWZ48" s="149"/>
      <c r="AXA48" s="149"/>
      <c r="AXB48" s="149"/>
      <c r="AXC48" s="149"/>
      <c r="AXD48" s="149"/>
      <c r="AXE48" s="149"/>
      <c r="AXF48" s="149"/>
      <c r="AXG48" s="149"/>
      <c r="AXH48" s="149"/>
      <c r="AXI48" s="149"/>
      <c r="AXJ48" s="149"/>
      <c r="AXK48" s="149"/>
      <c r="AXL48" s="149"/>
      <c r="AXM48" s="149"/>
      <c r="AXN48" s="149"/>
      <c r="AXO48" s="149"/>
      <c r="AXP48" s="149"/>
      <c r="AXQ48" s="149"/>
      <c r="AXR48" s="149"/>
      <c r="AXS48" s="149"/>
      <c r="AXT48" s="149"/>
      <c r="AXU48" s="149"/>
      <c r="AXV48" s="149"/>
      <c r="AXW48" s="149"/>
      <c r="AXX48" s="149"/>
      <c r="AXY48" s="149"/>
      <c r="AXZ48" s="149"/>
      <c r="AYA48" s="149"/>
      <c r="AYB48" s="149"/>
      <c r="AYC48" s="149"/>
      <c r="AYD48" s="149"/>
      <c r="AYE48" s="149"/>
      <c r="AYF48" s="149"/>
      <c r="AYG48" s="149"/>
      <c r="AYH48" s="149"/>
      <c r="AYI48" s="149"/>
      <c r="AYJ48" s="149"/>
      <c r="AYK48" s="149"/>
      <c r="AYL48" s="149"/>
      <c r="AYM48" s="149"/>
      <c r="AYN48" s="149"/>
      <c r="AYO48" s="149"/>
      <c r="AYP48" s="149"/>
      <c r="AYQ48" s="149"/>
      <c r="AYR48" s="149"/>
      <c r="AYS48" s="149"/>
      <c r="AYT48" s="149"/>
      <c r="AYU48" s="149"/>
      <c r="AYV48" s="149"/>
      <c r="AYW48" s="149"/>
      <c r="AYX48" s="149"/>
      <c r="AYY48" s="149"/>
      <c r="AYZ48" s="149"/>
      <c r="AZA48" s="149"/>
      <c r="AZB48" s="149"/>
      <c r="AZC48" s="149"/>
      <c r="AZD48" s="149"/>
      <c r="AZE48" s="149"/>
      <c r="AZF48" s="149"/>
      <c r="AZG48" s="149"/>
      <c r="AZH48" s="149"/>
      <c r="AZI48" s="149"/>
      <c r="AZJ48" s="149"/>
      <c r="AZK48" s="149"/>
      <c r="AZL48" s="149"/>
      <c r="AZM48" s="149"/>
      <c r="AZN48" s="149"/>
      <c r="AZO48" s="149"/>
      <c r="AZP48" s="149"/>
      <c r="AZQ48" s="149"/>
      <c r="AZR48" s="149"/>
      <c r="AZS48" s="149"/>
      <c r="AZT48" s="149"/>
      <c r="AZU48" s="149"/>
      <c r="AZV48" s="149"/>
      <c r="AZW48" s="149"/>
      <c r="AZX48" s="149"/>
      <c r="AZY48" s="149"/>
      <c r="AZZ48" s="149"/>
      <c r="BAA48" s="149"/>
      <c r="BAB48" s="149"/>
      <c r="BAC48" s="149"/>
      <c r="BAD48" s="149"/>
      <c r="BAE48" s="149"/>
      <c r="BAF48" s="149"/>
      <c r="BAG48" s="149"/>
      <c r="BAH48" s="149"/>
      <c r="BAI48" s="149"/>
      <c r="BAJ48" s="149"/>
      <c r="BAK48" s="149"/>
      <c r="BAL48" s="149"/>
      <c r="BAM48" s="149"/>
      <c r="BAN48" s="149"/>
      <c r="BAO48" s="149"/>
      <c r="BAP48" s="149"/>
      <c r="BAQ48" s="149"/>
      <c r="BAR48" s="149"/>
      <c r="BAS48" s="149"/>
      <c r="BAT48" s="149"/>
      <c r="BAU48" s="149"/>
      <c r="BAV48" s="149"/>
      <c r="BAW48" s="149"/>
      <c r="BAX48" s="149"/>
      <c r="BAY48" s="149"/>
      <c r="BAZ48" s="149"/>
      <c r="BBA48" s="149"/>
      <c r="BBB48" s="149"/>
      <c r="BBC48" s="149"/>
      <c r="BBD48" s="149"/>
      <c r="BBE48" s="149"/>
      <c r="BBF48" s="149"/>
      <c r="BBG48" s="149"/>
      <c r="BBH48" s="149"/>
      <c r="BBI48" s="149"/>
      <c r="BBJ48" s="149"/>
      <c r="BBK48" s="149"/>
      <c r="BBL48" s="149"/>
      <c r="BBM48" s="149"/>
      <c r="BBN48" s="149"/>
      <c r="BBO48" s="149"/>
      <c r="BBP48" s="149"/>
      <c r="BBQ48" s="149"/>
      <c r="BBR48" s="149"/>
      <c r="BBS48" s="149"/>
      <c r="BBT48" s="149"/>
      <c r="BBU48" s="149"/>
      <c r="BBV48" s="149"/>
      <c r="BBW48" s="149"/>
      <c r="BBX48" s="149"/>
      <c r="BBY48" s="149"/>
      <c r="BBZ48" s="149"/>
      <c r="BCA48" s="149"/>
      <c r="BCB48" s="149"/>
      <c r="BCC48" s="149"/>
      <c r="BCD48" s="149"/>
      <c r="BCE48" s="149"/>
      <c r="BCF48" s="149"/>
      <c r="BCG48" s="149"/>
      <c r="BCH48" s="149"/>
      <c r="BCI48" s="149"/>
      <c r="BCJ48" s="149"/>
      <c r="BCK48" s="149"/>
      <c r="BCL48" s="149"/>
      <c r="BCM48" s="149"/>
      <c r="BCN48" s="149"/>
      <c r="BCO48" s="149"/>
      <c r="BCP48" s="149"/>
      <c r="BCQ48" s="149"/>
      <c r="BCR48" s="149"/>
      <c r="BCS48" s="149"/>
      <c r="BCT48" s="149"/>
      <c r="BCU48" s="149"/>
      <c r="BCV48" s="149"/>
      <c r="BCW48" s="149"/>
      <c r="BCX48" s="149"/>
      <c r="BCY48" s="149"/>
      <c r="BCZ48" s="149"/>
      <c r="BDA48" s="149"/>
      <c r="BDB48" s="149"/>
      <c r="BDC48" s="149"/>
      <c r="BDD48" s="149"/>
      <c r="BDE48" s="149"/>
      <c r="BDF48" s="149"/>
      <c r="BDG48" s="149"/>
      <c r="BDH48" s="149"/>
      <c r="BDI48" s="149"/>
      <c r="BDJ48" s="149"/>
      <c r="BDK48" s="149"/>
      <c r="BDL48" s="149"/>
      <c r="BDM48" s="149"/>
      <c r="BDN48" s="149"/>
      <c r="BDO48" s="149"/>
      <c r="BDP48" s="149"/>
      <c r="BDQ48" s="149"/>
      <c r="BDR48" s="149"/>
      <c r="BDS48" s="149"/>
      <c r="BDT48" s="149"/>
      <c r="BDU48" s="149"/>
      <c r="BDV48" s="149"/>
      <c r="BDW48" s="149"/>
      <c r="BDX48" s="149"/>
      <c r="BDY48" s="149"/>
      <c r="BDZ48" s="149"/>
      <c r="BEA48" s="149"/>
      <c r="BEB48" s="149"/>
      <c r="BEC48" s="149"/>
      <c r="BED48" s="149"/>
      <c r="BEE48" s="149"/>
      <c r="BEF48" s="149"/>
      <c r="BEG48" s="149"/>
      <c r="BEH48" s="149"/>
      <c r="BEI48" s="149"/>
      <c r="BEJ48" s="149"/>
      <c r="BEK48" s="149"/>
      <c r="BEL48" s="149"/>
      <c r="BEM48" s="149"/>
      <c r="BEN48" s="149"/>
      <c r="BEO48" s="149"/>
      <c r="BEP48" s="149"/>
      <c r="BEQ48" s="149"/>
      <c r="BER48" s="149"/>
      <c r="BES48" s="149"/>
      <c r="BET48" s="149"/>
      <c r="BEU48" s="149"/>
      <c r="BEV48" s="149"/>
      <c r="BEW48" s="149"/>
      <c r="BEX48" s="149"/>
      <c r="BEY48" s="149"/>
      <c r="BEZ48" s="149"/>
      <c r="BFA48" s="149"/>
      <c r="BFB48" s="149"/>
      <c r="BFC48" s="149"/>
      <c r="BFD48" s="149"/>
      <c r="BFE48" s="149"/>
      <c r="BFF48" s="149"/>
      <c r="BFG48" s="149"/>
      <c r="BFH48" s="149"/>
      <c r="BFI48" s="149"/>
      <c r="BFJ48" s="149"/>
      <c r="BFK48" s="149"/>
      <c r="BFL48" s="149"/>
      <c r="BFM48" s="149"/>
      <c r="BFN48" s="149"/>
      <c r="BFO48" s="149"/>
      <c r="BFP48" s="149"/>
      <c r="BFQ48" s="149"/>
      <c r="BFR48" s="149"/>
      <c r="BFS48" s="149"/>
      <c r="BFT48" s="149"/>
      <c r="BFU48" s="149"/>
      <c r="BFV48" s="149"/>
      <c r="BFW48" s="149"/>
      <c r="BFX48" s="149"/>
      <c r="BFY48" s="149"/>
      <c r="BFZ48" s="149"/>
      <c r="BGA48" s="149"/>
      <c r="BGB48" s="149"/>
      <c r="BGC48" s="149"/>
      <c r="BGD48" s="149"/>
      <c r="BGE48" s="149"/>
      <c r="BGF48" s="149"/>
      <c r="BGG48" s="149"/>
      <c r="BGH48" s="149"/>
      <c r="BGI48" s="149"/>
      <c r="BGJ48" s="149"/>
      <c r="BGK48" s="149"/>
      <c r="BGL48" s="149"/>
      <c r="BGM48" s="149"/>
      <c r="BGN48" s="149"/>
      <c r="BGO48" s="149"/>
      <c r="BGP48" s="149"/>
      <c r="BGQ48" s="149"/>
      <c r="BGR48" s="149"/>
      <c r="BGS48" s="149"/>
      <c r="BGT48" s="149"/>
      <c r="BGU48" s="149"/>
      <c r="BGV48" s="149"/>
      <c r="BGW48" s="149"/>
      <c r="BGX48" s="149"/>
      <c r="BGY48" s="149"/>
      <c r="BGZ48" s="149"/>
      <c r="BHA48" s="149"/>
      <c r="BHB48" s="149"/>
      <c r="BHC48" s="149"/>
      <c r="BHD48" s="149"/>
      <c r="BHE48" s="149"/>
      <c r="BHF48" s="149"/>
      <c r="BHG48" s="149"/>
      <c r="BHH48" s="149"/>
      <c r="BHI48" s="149"/>
      <c r="BHJ48" s="149"/>
      <c r="BHK48" s="149"/>
      <c r="BHL48" s="149"/>
      <c r="BHM48" s="149"/>
      <c r="BHN48" s="149"/>
      <c r="BHO48" s="149"/>
      <c r="BHP48" s="149"/>
      <c r="BHQ48" s="149"/>
      <c r="BHR48" s="149"/>
      <c r="BHS48" s="149"/>
      <c r="BHT48" s="149"/>
      <c r="BHU48" s="149"/>
      <c r="BHV48" s="149"/>
      <c r="BHW48" s="149"/>
      <c r="BHX48" s="149"/>
      <c r="BHY48" s="149"/>
      <c r="BHZ48" s="149"/>
      <c r="BIA48" s="149"/>
      <c r="BIB48" s="149"/>
      <c r="BIC48" s="149"/>
      <c r="BID48" s="149"/>
      <c r="BIE48" s="149"/>
      <c r="BIF48" s="149"/>
      <c r="BIG48" s="149"/>
      <c r="BIH48" s="149"/>
      <c r="BII48" s="149"/>
      <c r="BIJ48" s="149"/>
      <c r="BIK48" s="149"/>
      <c r="BIL48" s="149"/>
      <c r="BIM48" s="149"/>
      <c r="BIN48" s="149"/>
      <c r="BIO48" s="149"/>
      <c r="BIP48" s="149"/>
      <c r="BIQ48" s="149"/>
      <c r="BIR48" s="149"/>
      <c r="BIS48" s="149"/>
      <c r="BIT48" s="149"/>
      <c r="BIU48" s="149"/>
      <c r="BIV48" s="149"/>
      <c r="BIW48" s="149"/>
      <c r="BIX48" s="149"/>
      <c r="BIY48" s="149"/>
      <c r="BIZ48" s="149"/>
      <c r="BJA48" s="149"/>
      <c r="BJB48" s="149"/>
      <c r="BJC48" s="149"/>
      <c r="BJD48" s="149"/>
      <c r="BJE48" s="149"/>
      <c r="BJF48" s="149"/>
      <c r="BJG48" s="149"/>
      <c r="BJH48" s="149"/>
      <c r="BJI48" s="149"/>
      <c r="BJJ48" s="149"/>
      <c r="BJK48" s="149"/>
      <c r="BJL48" s="149"/>
      <c r="BJM48" s="149"/>
      <c r="BJN48" s="149"/>
      <c r="BJO48" s="149"/>
      <c r="BJP48" s="149"/>
      <c r="BJQ48" s="149"/>
      <c r="BJR48" s="149"/>
      <c r="BJS48" s="149"/>
      <c r="BJT48" s="149"/>
      <c r="BJU48" s="149"/>
      <c r="BJV48" s="149"/>
      <c r="BJW48" s="149"/>
      <c r="BJX48" s="149"/>
      <c r="BJY48" s="149"/>
      <c r="BJZ48" s="149"/>
      <c r="BKA48" s="149"/>
      <c r="BKB48" s="149"/>
      <c r="BKC48" s="149"/>
      <c r="BKD48" s="149"/>
      <c r="BKE48" s="149"/>
      <c r="BKF48" s="149"/>
      <c r="BKG48" s="149"/>
      <c r="BKH48" s="149"/>
      <c r="BKI48" s="149"/>
      <c r="BKJ48" s="149"/>
      <c r="BKK48" s="149"/>
      <c r="BKL48" s="149"/>
      <c r="BKM48" s="149"/>
      <c r="BKN48" s="149"/>
      <c r="BKO48" s="149"/>
      <c r="BKP48" s="149"/>
      <c r="BKQ48" s="149"/>
      <c r="BKR48" s="149"/>
      <c r="BKS48" s="149"/>
      <c r="BKT48" s="149"/>
      <c r="BKU48" s="149"/>
      <c r="BKV48" s="149"/>
      <c r="BKW48" s="149"/>
      <c r="BKX48" s="149"/>
      <c r="BKY48" s="149"/>
      <c r="BKZ48" s="149"/>
      <c r="BLA48" s="149"/>
      <c r="BLB48" s="149"/>
      <c r="BLC48" s="149"/>
      <c r="BLD48" s="149"/>
      <c r="BLE48" s="149"/>
      <c r="BLF48" s="149"/>
      <c r="BLG48" s="149"/>
      <c r="BLH48" s="149"/>
      <c r="BLI48" s="149"/>
      <c r="BLJ48" s="149"/>
      <c r="BLK48" s="149"/>
      <c r="BLL48" s="149"/>
      <c r="BLM48" s="149"/>
      <c r="BLN48" s="149"/>
      <c r="BLO48" s="149"/>
      <c r="BLP48" s="149"/>
      <c r="BLQ48" s="149"/>
      <c r="BLR48" s="149"/>
      <c r="BLS48" s="149"/>
      <c r="BLT48" s="149"/>
      <c r="BLU48" s="149"/>
      <c r="BLV48" s="149"/>
      <c r="BLW48" s="149"/>
      <c r="BLX48" s="149"/>
      <c r="BLY48" s="149"/>
      <c r="BLZ48" s="149"/>
      <c r="BMA48" s="149"/>
      <c r="BMB48" s="149"/>
      <c r="BMC48" s="149"/>
      <c r="BMD48" s="149"/>
      <c r="BME48" s="149"/>
      <c r="BMF48" s="149"/>
      <c r="BMG48" s="149"/>
      <c r="BMH48" s="149"/>
      <c r="BMI48" s="149"/>
      <c r="BMJ48" s="149"/>
      <c r="BMK48" s="149"/>
      <c r="BML48" s="149"/>
      <c r="BMM48" s="149"/>
      <c r="BMN48" s="149"/>
      <c r="BMO48" s="149"/>
      <c r="BMP48" s="149"/>
      <c r="BMQ48" s="149"/>
      <c r="BMR48" s="149"/>
      <c r="BMS48" s="149"/>
      <c r="BMT48" s="149"/>
      <c r="BMU48" s="149"/>
      <c r="BMV48" s="149"/>
      <c r="BMW48" s="149"/>
      <c r="BMX48" s="149"/>
      <c r="BMY48" s="149"/>
      <c r="BMZ48" s="149"/>
      <c r="BNA48" s="149"/>
      <c r="BNB48" s="149"/>
      <c r="BNC48" s="149"/>
      <c r="BND48" s="149"/>
      <c r="BNE48" s="149"/>
      <c r="BNF48" s="149"/>
      <c r="BNG48" s="149"/>
      <c r="BNH48" s="149"/>
      <c r="BNI48" s="149"/>
      <c r="BNJ48" s="149"/>
      <c r="BNK48" s="149"/>
      <c r="BNL48" s="149"/>
      <c r="BNM48" s="149"/>
      <c r="BNN48" s="149"/>
      <c r="BNO48" s="149"/>
      <c r="BNP48" s="149"/>
      <c r="BNQ48" s="149"/>
      <c r="BNR48" s="149"/>
      <c r="BNS48" s="149"/>
      <c r="BNT48" s="149"/>
      <c r="BNU48" s="149"/>
      <c r="BNV48" s="149"/>
      <c r="BNW48" s="149"/>
      <c r="BNX48" s="149"/>
      <c r="BNY48" s="149"/>
      <c r="BNZ48" s="149"/>
      <c r="BOA48" s="149"/>
      <c r="BOB48" s="149"/>
      <c r="BOC48" s="149"/>
      <c r="BOD48" s="149"/>
      <c r="BOE48" s="149"/>
      <c r="BOF48" s="149"/>
      <c r="BOG48" s="149"/>
      <c r="BOH48" s="149"/>
      <c r="BOI48" s="149"/>
      <c r="BOJ48" s="149"/>
      <c r="BOK48" s="149"/>
      <c r="BOL48" s="149"/>
      <c r="BOM48" s="149"/>
      <c r="BON48" s="149"/>
      <c r="BOO48" s="149"/>
      <c r="BOP48" s="149"/>
      <c r="BOQ48" s="149"/>
      <c r="BOR48" s="149"/>
      <c r="BOS48" s="149"/>
      <c r="BOT48" s="149"/>
      <c r="BOU48" s="149"/>
      <c r="BOV48" s="149"/>
      <c r="BOW48" s="149"/>
      <c r="BOX48" s="149"/>
      <c r="BOY48" s="149"/>
      <c r="BOZ48" s="149"/>
      <c r="BPA48" s="149"/>
      <c r="BPB48" s="149"/>
      <c r="BPC48" s="149"/>
      <c r="BPD48" s="149"/>
      <c r="BPE48" s="149"/>
      <c r="BPF48" s="149"/>
      <c r="BPG48" s="149"/>
      <c r="BPH48" s="149"/>
      <c r="BPI48" s="149"/>
      <c r="BPJ48" s="149"/>
      <c r="BPK48" s="149"/>
      <c r="BPL48" s="149"/>
      <c r="BPM48" s="149"/>
      <c r="BPN48" s="149"/>
      <c r="BPO48" s="149"/>
      <c r="BPP48" s="149"/>
      <c r="BPQ48" s="149"/>
      <c r="BPR48" s="149"/>
      <c r="BPS48" s="149"/>
      <c r="BPT48" s="149"/>
      <c r="BPU48" s="149"/>
      <c r="BPV48" s="149"/>
      <c r="BPW48" s="149"/>
      <c r="BPX48" s="149"/>
      <c r="BPY48" s="149"/>
      <c r="BPZ48" s="149"/>
      <c r="BQA48" s="149"/>
      <c r="BQB48" s="149"/>
      <c r="BQC48" s="149"/>
      <c r="BQD48" s="149"/>
      <c r="BQE48" s="149"/>
      <c r="BQF48" s="149"/>
      <c r="BQG48" s="149"/>
      <c r="BQH48" s="149"/>
      <c r="BQI48" s="149"/>
      <c r="BQJ48" s="149"/>
      <c r="BQK48" s="149"/>
      <c r="BQL48" s="149"/>
      <c r="BQM48" s="149"/>
      <c r="BQN48" s="149"/>
      <c r="BQO48" s="149"/>
      <c r="BQP48" s="149"/>
      <c r="BQQ48" s="149"/>
      <c r="BQR48" s="149"/>
      <c r="BQS48" s="149"/>
      <c r="BQT48" s="149"/>
      <c r="BQU48" s="149"/>
      <c r="BQV48" s="149"/>
      <c r="BQW48" s="149"/>
      <c r="BQX48" s="149"/>
      <c r="BQY48" s="149"/>
      <c r="BQZ48" s="149"/>
      <c r="BRA48" s="149"/>
      <c r="BRB48" s="149"/>
      <c r="BRC48" s="149"/>
      <c r="BRD48" s="149"/>
      <c r="BRE48" s="149"/>
      <c r="BRF48" s="149"/>
      <c r="BRG48" s="149"/>
      <c r="BRH48" s="149"/>
      <c r="BRI48" s="149"/>
      <c r="BRJ48" s="149"/>
      <c r="BRK48" s="149"/>
      <c r="BRL48" s="149"/>
      <c r="BRM48" s="149"/>
      <c r="BRN48" s="149"/>
      <c r="BRO48" s="149"/>
      <c r="BRP48" s="149"/>
      <c r="BRQ48" s="149"/>
      <c r="BRR48" s="149"/>
      <c r="BRS48" s="149"/>
      <c r="BRT48" s="149"/>
      <c r="BRU48" s="149"/>
      <c r="BRV48" s="149"/>
      <c r="BRW48" s="149"/>
      <c r="BRX48" s="149"/>
      <c r="BRY48" s="149"/>
      <c r="BRZ48" s="149"/>
      <c r="BSA48" s="149"/>
      <c r="BSB48" s="149"/>
      <c r="BSC48" s="149"/>
      <c r="BSD48" s="149"/>
      <c r="BSE48" s="149"/>
      <c r="BSF48" s="149"/>
      <c r="BSG48" s="149"/>
      <c r="BSH48" s="149"/>
      <c r="BSI48" s="149"/>
      <c r="BSJ48" s="149"/>
      <c r="BSK48" s="149"/>
      <c r="BSL48" s="149"/>
      <c r="BSM48" s="149"/>
      <c r="BSN48" s="149"/>
      <c r="BSO48" s="149"/>
      <c r="BSP48" s="149"/>
      <c r="BSQ48" s="149"/>
      <c r="BSR48" s="149"/>
      <c r="BSS48" s="149"/>
      <c r="BST48" s="149"/>
      <c r="BSU48" s="149"/>
      <c r="BSV48" s="149"/>
      <c r="BSW48" s="149"/>
      <c r="BSX48" s="149"/>
      <c r="BSY48" s="149"/>
      <c r="BSZ48" s="149"/>
      <c r="BTA48" s="149"/>
      <c r="BTB48" s="149"/>
      <c r="BTC48" s="149"/>
      <c r="BTD48" s="149"/>
      <c r="BTE48" s="149"/>
      <c r="BTF48" s="149"/>
      <c r="BTG48" s="149"/>
      <c r="BTH48" s="149"/>
      <c r="BTI48" s="149"/>
      <c r="BTJ48" s="149"/>
      <c r="BTK48" s="149"/>
      <c r="BTL48" s="149"/>
      <c r="BTM48" s="149"/>
      <c r="BTN48" s="149"/>
      <c r="BTO48" s="149"/>
      <c r="BTP48" s="149"/>
      <c r="BTQ48" s="149"/>
      <c r="BTR48" s="149"/>
      <c r="BTS48" s="149"/>
      <c r="BTT48" s="149"/>
      <c r="BTU48" s="149"/>
      <c r="BTV48" s="149"/>
      <c r="BTW48" s="149"/>
      <c r="BTX48" s="149"/>
      <c r="BTY48" s="149"/>
      <c r="BTZ48" s="149"/>
      <c r="BUA48" s="149"/>
      <c r="BUB48" s="149"/>
      <c r="BUC48" s="149"/>
      <c r="BUD48" s="149"/>
      <c r="BUE48" s="149"/>
      <c r="BUF48" s="149"/>
      <c r="BUG48" s="149"/>
      <c r="BUH48" s="149"/>
      <c r="BUI48" s="149"/>
      <c r="BUJ48" s="149"/>
      <c r="BUK48" s="149"/>
      <c r="BUL48" s="149"/>
      <c r="BUM48" s="149"/>
      <c r="BUN48" s="149"/>
      <c r="BUO48" s="149"/>
      <c r="BUP48" s="149"/>
      <c r="BUQ48" s="149"/>
      <c r="BUR48" s="149"/>
      <c r="BUS48" s="149"/>
      <c r="BUT48" s="149"/>
      <c r="BUU48" s="149"/>
      <c r="BUV48" s="149"/>
      <c r="BUW48" s="149"/>
      <c r="BUX48" s="149"/>
      <c r="BUY48" s="149"/>
      <c r="BUZ48" s="149"/>
      <c r="BVA48" s="149"/>
      <c r="BVB48" s="149"/>
      <c r="BVC48" s="149"/>
      <c r="BVD48" s="149"/>
      <c r="BVE48" s="149"/>
      <c r="BVF48" s="149"/>
      <c r="BVG48" s="149"/>
      <c r="BVH48" s="149"/>
      <c r="BVI48" s="149"/>
      <c r="BVJ48" s="149"/>
      <c r="BVK48" s="149"/>
      <c r="BVL48" s="149"/>
      <c r="BVM48" s="149"/>
      <c r="BVN48" s="149"/>
      <c r="BVO48" s="149"/>
      <c r="BVP48" s="149"/>
      <c r="BVQ48" s="149"/>
      <c r="BVR48" s="149"/>
      <c r="BVS48" s="149"/>
      <c r="BVT48" s="149"/>
      <c r="BVU48" s="149"/>
      <c r="BVV48" s="149"/>
      <c r="BVW48" s="149"/>
      <c r="BVX48" s="149"/>
      <c r="BVY48" s="149"/>
      <c r="BVZ48" s="149"/>
      <c r="BWA48" s="149"/>
      <c r="BWB48" s="149"/>
      <c r="BWC48" s="149"/>
      <c r="BWD48" s="149"/>
      <c r="BWE48" s="149"/>
      <c r="BWF48" s="149"/>
      <c r="BWG48" s="149"/>
      <c r="BWH48" s="149"/>
      <c r="BWI48" s="149"/>
      <c r="BWJ48" s="149"/>
      <c r="BWK48" s="149"/>
      <c r="BWL48" s="149"/>
      <c r="BWM48" s="149"/>
      <c r="BWN48" s="149"/>
      <c r="BWO48" s="149"/>
      <c r="BWP48" s="149"/>
      <c r="BWQ48" s="149"/>
      <c r="BWR48" s="149"/>
      <c r="BWS48" s="149"/>
      <c r="BWT48" s="149"/>
      <c r="BWU48" s="149"/>
      <c r="BWV48" s="149"/>
      <c r="BWW48" s="149"/>
      <c r="BWX48" s="149"/>
      <c r="BWY48" s="149"/>
      <c r="BWZ48" s="149"/>
      <c r="BXA48" s="149"/>
      <c r="BXB48" s="149"/>
      <c r="BXC48" s="149"/>
      <c r="BXD48" s="149"/>
      <c r="BXE48" s="149"/>
      <c r="BXF48" s="149"/>
      <c r="BXG48" s="149"/>
      <c r="BXH48" s="149"/>
      <c r="BXI48" s="149"/>
      <c r="BXJ48" s="149"/>
      <c r="BXK48" s="149"/>
      <c r="BXL48" s="149"/>
      <c r="BXM48" s="149"/>
      <c r="BXN48" s="149"/>
      <c r="BXO48" s="149"/>
      <c r="BXP48" s="149"/>
      <c r="BXQ48" s="149"/>
      <c r="BXR48" s="149"/>
      <c r="BXS48" s="149"/>
      <c r="BXT48" s="149"/>
      <c r="BXU48" s="149"/>
      <c r="BXV48" s="149"/>
      <c r="BXW48" s="149"/>
      <c r="BXX48" s="149"/>
      <c r="BXY48" s="149"/>
      <c r="BXZ48" s="149"/>
      <c r="BYA48" s="149"/>
      <c r="BYB48" s="149"/>
      <c r="BYC48" s="149"/>
      <c r="BYD48" s="149"/>
      <c r="BYE48" s="149"/>
      <c r="BYF48" s="149"/>
      <c r="BYG48" s="149"/>
      <c r="BYH48" s="149"/>
      <c r="BYI48" s="149"/>
      <c r="BYJ48" s="149"/>
      <c r="BYK48" s="149"/>
      <c r="BYL48" s="149"/>
      <c r="BYM48" s="149"/>
      <c r="BYN48" s="149"/>
      <c r="BYO48" s="149"/>
      <c r="BYP48" s="149"/>
      <c r="BYQ48" s="149"/>
      <c r="BYR48" s="149"/>
      <c r="BYS48" s="149"/>
      <c r="BYT48" s="149"/>
      <c r="BYU48" s="149"/>
      <c r="BYV48" s="149"/>
      <c r="BYW48" s="149"/>
      <c r="BYX48" s="149"/>
      <c r="BYY48" s="149"/>
      <c r="BYZ48" s="149"/>
      <c r="BZA48" s="149"/>
      <c r="BZB48" s="149"/>
      <c r="BZC48" s="149"/>
      <c r="BZD48" s="149"/>
      <c r="BZE48" s="149"/>
      <c r="BZF48" s="149"/>
      <c r="BZG48" s="149"/>
      <c r="BZH48" s="149"/>
      <c r="BZI48" s="149"/>
      <c r="BZJ48" s="149"/>
      <c r="BZK48" s="149"/>
      <c r="BZL48" s="149"/>
      <c r="BZM48" s="149"/>
      <c r="BZN48" s="149"/>
      <c r="BZO48" s="149"/>
      <c r="BZP48" s="149"/>
      <c r="BZQ48" s="149"/>
      <c r="BZR48" s="149"/>
      <c r="BZS48" s="149"/>
      <c r="BZT48" s="149"/>
      <c r="BZU48" s="149"/>
      <c r="BZV48" s="149"/>
      <c r="BZW48" s="149"/>
      <c r="BZX48" s="149"/>
      <c r="BZY48" s="149"/>
      <c r="BZZ48" s="149"/>
      <c r="CAA48" s="149"/>
      <c r="CAB48" s="149"/>
      <c r="CAC48" s="149"/>
      <c r="CAD48" s="149"/>
      <c r="CAE48" s="149"/>
      <c r="CAF48" s="149"/>
      <c r="CAG48" s="149"/>
      <c r="CAH48" s="149"/>
      <c r="CAI48" s="149"/>
      <c r="CAJ48" s="149"/>
      <c r="CAK48" s="149"/>
      <c r="CAL48" s="149"/>
      <c r="CAM48" s="149"/>
      <c r="CAN48" s="149"/>
      <c r="CAO48" s="149"/>
      <c r="CAP48" s="149"/>
      <c r="CAQ48" s="149"/>
      <c r="CAR48" s="149"/>
      <c r="CAS48" s="149"/>
      <c r="CAT48" s="149"/>
      <c r="CAU48" s="149"/>
      <c r="CAV48" s="149"/>
      <c r="CAW48" s="149"/>
      <c r="CAX48" s="149"/>
      <c r="CAY48" s="149"/>
      <c r="CAZ48" s="149"/>
      <c r="CBA48" s="149"/>
      <c r="CBB48" s="149"/>
      <c r="CBC48" s="149"/>
      <c r="CBD48" s="149"/>
      <c r="CBE48" s="149"/>
      <c r="CBF48" s="149"/>
      <c r="CBG48" s="149"/>
      <c r="CBH48" s="149"/>
      <c r="CBI48" s="149"/>
      <c r="CBJ48" s="149"/>
      <c r="CBK48" s="149"/>
      <c r="CBL48" s="149"/>
      <c r="CBM48" s="149"/>
      <c r="CBN48" s="149"/>
      <c r="CBO48" s="149"/>
      <c r="CBP48" s="149"/>
      <c r="CBQ48" s="149"/>
      <c r="CBR48" s="149"/>
      <c r="CBS48" s="149"/>
      <c r="CBT48" s="149"/>
      <c r="CBU48" s="149"/>
      <c r="CBV48" s="149"/>
      <c r="CBW48" s="149"/>
      <c r="CBX48" s="149"/>
      <c r="CBY48" s="149"/>
      <c r="CBZ48" s="149"/>
      <c r="CCA48" s="149"/>
      <c r="CCB48" s="149"/>
      <c r="CCC48" s="149"/>
      <c r="CCD48" s="149"/>
      <c r="CCE48" s="149"/>
      <c r="CCF48" s="149"/>
      <c r="CCG48" s="149"/>
      <c r="CCH48" s="149"/>
      <c r="CCI48" s="149"/>
      <c r="CCJ48" s="149"/>
      <c r="CCK48" s="149"/>
      <c r="CCL48" s="149"/>
      <c r="CCM48" s="149"/>
      <c r="CCN48" s="149"/>
      <c r="CCO48" s="149"/>
      <c r="CCP48" s="149"/>
      <c r="CCQ48" s="149"/>
      <c r="CCR48" s="149"/>
      <c r="CCS48" s="149"/>
      <c r="CCT48" s="149"/>
      <c r="CCU48" s="149"/>
      <c r="CCV48" s="149"/>
      <c r="CCW48" s="149"/>
      <c r="CCX48" s="149"/>
      <c r="CCY48" s="149"/>
      <c r="CCZ48" s="149"/>
      <c r="CDA48" s="149"/>
      <c r="CDB48" s="149"/>
      <c r="CDC48" s="149"/>
      <c r="CDD48" s="149"/>
      <c r="CDE48" s="149"/>
      <c r="CDF48" s="149"/>
      <c r="CDG48" s="149"/>
      <c r="CDH48" s="149"/>
      <c r="CDI48" s="149"/>
      <c r="CDJ48" s="149"/>
      <c r="CDK48" s="149"/>
      <c r="CDL48" s="149"/>
      <c r="CDM48" s="149"/>
      <c r="CDN48" s="149"/>
      <c r="CDO48" s="149"/>
      <c r="CDP48" s="149"/>
      <c r="CDQ48" s="149"/>
      <c r="CDR48" s="149"/>
      <c r="CDS48" s="149"/>
      <c r="CDT48" s="149"/>
      <c r="CDU48" s="149"/>
      <c r="CDV48" s="149"/>
      <c r="CDW48" s="149"/>
      <c r="CDX48" s="149"/>
      <c r="CDY48" s="149"/>
      <c r="CDZ48" s="149"/>
      <c r="CEA48" s="149"/>
      <c r="CEB48" s="149"/>
      <c r="CEC48" s="149"/>
      <c r="CED48" s="149"/>
      <c r="CEE48" s="149"/>
      <c r="CEF48" s="149"/>
      <c r="CEG48" s="149"/>
      <c r="CEH48" s="149"/>
      <c r="CEI48" s="149"/>
      <c r="CEJ48" s="149"/>
      <c r="CEK48" s="149"/>
      <c r="CEL48" s="149"/>
      <c r="CEM48" s="149"/>
      <c r="CEN48" s="149"/>
      <c r="CEO48" s="149"/>
      <c r="CEP48" s="149"/>
      <c r="CEQ48" s="149"/>
      <c r="CER48" s="149"/>
      <c r="CES48" s="149"/>
      <c r="CET48" s="149"/>
      <c r="CEU48" s="149"/>
      <c r="CEV48" s="149"/>
      <c r="CEW48" s="149"/>
      <c r="CEX48" s="149"/>
      <c r="CEY48" s="149"/>
      <c r="CEZ48" s="149"/>
      <c r="CFA48" s="149"/>
      <c r="CFB48" s="149"/>
      <c r="CFC48" s="149"/>
      <c r="CFD48" s="149"/>
      <c r="CFE48" s="149"/>
      <c r="CFF48" s="149"/>
      <c r="CFG48" s="149"/>
      <c r="CFH48" s="149"/>
      <c r="CFI48" s="149"/>
      <c r="CFJ48" s="149"/>
      <c r="CFK48" s="149"/>
      <c r="CFL48" s="149"/>
      <c r="CFM48" s="149"/>
      <c r="CFN48" s="149"/>
      <c r="CFO48" s="149"/>
      <c r="CFP48" s="149"/>
      <c r="CFQ48" s="149"/>
      <c r="CFR48" s="149"/>
      <c r="CFS48" s="149"/>
      <c r="CFT48" s="149"/>
      <c r="CFU48" s="149"/>
      <c r="CFV48" s="149"/>
      <c r="CFW48" s="149"/>
      <c r="CFX48" s="149"/>
      <c r="CFY48" s="149"/>
      <c r="CFZ48" s="149"/>
      <c r="CGA48" s="149"/>
      <c r="CGB48" s="149"/>
      <c r="CGC48" s="149"/>
      <c r="CGD48" s="149"/>
      <c r="CGE48" s="149"/>
      <c r="CGF48" s="149"/>
      <c r="CGG48" s="149"/>
      <c r="CGH48" s="149"/>
      <c r="CGI48" s="149"/>
      <c r="CGJ48" s="149"/>
      <c r="CGK48" s="149"/>
      <c r="CGL48" s="149"/>
      <c r="CGM48" s="149"/>
      <c r="CGN48" s="149"/>
      <c r="CGO48" s="149"/>
      <c r="CGP48" s="149"/>
      <c r="CGQ48" s="149"/>
      <c r="CGR48" s="149"/>
      <c r="CGS48" s="149"/>
      <c r="CGT48" s="149"/>
      <c r="CGU48" s="149"/>
      <c r="CGV48" s="149"/>
      <c r="CGW48" s="149"/>
      <c r="CGX48" s="149"/>
      <c r="CGY48" s="149"/>
      <c r="CGZ48" s="149"/>
      <c r="CHA48" s="149"/>
      <c r="CHB48" s="149"/>
      <c r="CHC48" s="149"/>
      <c r="CHD48" s="149"/>
      <c r="CHE48" s="149"/>
      <c r="CHF48" s="149"/>
      <c r="CHG48" s="149"/>
      <c r="CHH48" s="149"/>
      <c r="CHI48" s="149"/>
      <c r="CHJ48" s="149"/>
      <c r="CHK48" s="149"/>
      <c r="CHL48" s="149"/>
      <c r="CHM48" s="149"/>
      <c r="CHN48" s="149"/>
      <c r="CHO48" s="149"/>
      <c r="CHP48" s="149"/>
      <c r="CHQ48" s="149"/>
      <c r="CHR48" s="149"/>
      <c r="CHS48" s="149"/>
      <c r="CHT48" s="149"/>
      <c r="CHU48" s="149"/>
      <c r="CHV48" s="149"/>
      <c r="CHW48" s="149"/>
      <c r="CHX48" s="149"/>
      <c r="CHY48" s="149"/>
      <c r="CHZ48" s="149"/>
      <c r="CIA48" s="149"/>
      <c r="CIB48" s="149"/>
      <c r="CIC48" s="149"/>
      <c r="CID48" s="149"/>
      <c r="CIE48" s="149"/>
      <c r="CIF48" s="149"/>
      <c r="CIG48" s="149"/>
      <c r="CIH48" s="149"/>
      <c r="CII48" s="149"/>
      <c r="CIJ48" s="149"/>
      <c r="CIK48" s="149"/>
      <c r="CIL48" s="149"/>
      <c r="CIM48" s="149"/>
      <c r="CIN48" s="149"/>
      <c r="CIO48" s="149"/>
      <c r="CIP48" s="149"/>
      <c r="CIQ48" s="149"/>
      <c r="CIR48" s="149"/>
      <c r="CIS48" s="149"/>
      <c r="CIT48" s="149"/>
      <c r="CIU48" s="149"/>
      <c r="CIV48" s="149"/>
      <c r="CIW48" s="149"/>
      <c r="CIX48" s="149"/>
      <c r="CIY48" s="149"/>
      <c r="CIZ48" s="149"/>
      <c r="CJA48" s="149"/>
      <c r="CJB48" s="149"/>
      <c r="CJC48" s="149"/>
      <c r="CJD48" s="149"/>
      <c r="CJE48" s="149"/>
      <c r="CJF48" s="149"/>
      <c r="CJG48" s="149"/>
      <c r="CJH48" s="149"/>
      <c r="CJI48" s="149"/>
      <c r="CJJ48" s="149"/>
      <c r="CJK48" s="149"/>
      <c r="CJL48" s="149"/>
      <c r="CJM48" s="149"/>
      <c r="CJN48" s="149"/>
      <c r="CJO48" s="149"/>
      <c r="CJP48" s="149"/>
      <c r="CJQ48" s="149"/>
      <c r="CJR48" s="149"/>
      <c r="CJS48" s="149"/>
      <c r="CJT48" s="149"/>
      <c r="CJU48" s="149"/>
      <c r="CJV48" s="149"/>
      <c r="CJW48" s="149"/>
      <c r="CJX48" s="149"/>
      <c r="CJY48" s="149"/>
      <c r="CJZ48" s="149"/>
      <c r="CKA48" s="149"/>
      <c r="CKB48" s="149"/>
      <c r="CKC48" s="149"/>
      <c r="CKD48" s="149"/>
      <c r="CKE48" s="149"/>
      <c r="CKF48" s="149"/>
      <c r="CKG48" s="149"/>
      <c r="CKH48" s="149"/>
      <c r="CKI48" s="149"/>
      <c r="CKJ48" s="149"/>
      <c r="CKK48" s="149"/>
      <c r="CKL48" s="149"/>
      <c r="CKM48" s="149"/>
      <c r="CKN48" s="149"/>
      <c r="CKO48" s="149"/>
      <c r="CKP48" s="149"/>
      <c r="CKQ48" s="149"/>
      <c r="CKR48" s="149"/>
      <c r="CKS48" s="149"/>
      <c r="CKT48" s="149"/>
      <c r="CKU48" s="149"/>
      <c r="CKV48" s="149"/>
      <c r="CKW48" s="149"/>
      <c r="CKX48" s="149"/>
      <c r="CKY48" s="149"/>
      <c r="CKZ48" s="149"/>
      <c r="CLA48" s="149"/>
      <c r="CLB48" s="149"/>
      <c r="CLC48" s="149"/>
      <c r="CLD48" s="149"/>
      <c r="CLE48" s="149"/>
      <c r="CLF48" s="149"/>
      <c r="CLG48" s="149"/>
      <c r="CLH48" s="149"/>
      <c r="CLI48" s="149"/>
      <c r="CLJ48" s="149"/>
      <c r="CLK48" s="149"/>
      <c r="CLL48" s="149"/>
      <c r="CLM48" s="149"/>
      <c r="CLN48" s="149"/>
      <c r="CLO48" s="149"/>
      <c r="CLP48" s="149"/>
      <c r="CLQ48" s="149"/>
      <c r="CLR48" s="149"/>
      <c r="CLS48" s="149"/>
      <c r="CLT48" s="149"/>
      <c r="CLU48" s="149"/>
      <c r="CLV48" s="149"/>
      <c r="CLW48" s="149"/>
      <c r="CLX48" s="149"/>
      <c r="CLY48" s="149"/>
      <c r="CLZ48" s="149"/>
      <c r="CMA48" s="149"/>
      <c r="CMB48" s="149"/>
      <c r="CMC48" s="149"/>
      <c r="CMD48" s="149"/>
      <c r="CME48" s="149"/>
      <c r="CMF48" s="149"/>
      <c r="CMG48" s="149"/>
      <c r="CMH48" s="149"/>
      <c r="CMI48" s="149"/>
      <c r="CMJ48" s="149"/>
      <c r="CMK48" s="149"/>
      <c r="CML48" s="149"/>
      <c r="CMM48" s="149"/>
      <c r="CMN48" s="149"/>
      <c r="CMO48" s="149"/>
      <c r="CMP48" s="149"/>
      <c r="CMQ48" s="149"/>
      <c r="CMR48" s="149"/>
      <c r="CMS48" s="149"/>
      <c r="CMT48" s="149"/>
      <c r="CMU48" s="149"/>
      <c r="CMV48" s="149"/>
      <c r="CMW48" s="149"/>
      <c r="CMX48" s="149"/>
      <c r="CMY48" s="149"/>
      <c r="CMZ48" s="149"/>
      <c r="CNA48" s="149"/>
      <c r="CNB48" s="149"/>
      <c r="CNC48" s="149"/>
      <c r="CND48" s="149"/>
      <c r="CNE48" s="149"/>
      <c r="CNF48" s="149"/>
      <c r="CNG48" s="149"/>
      <c r="CNH48" s="149"/>
      <c r="CNI48" s="149"/>
      <c r="CNJ48" s="149"/>
      <c r="CNK48" s="149"/>
      <c r="CNL48" s="149"/>
      <c r="CNM48" s="149"/>
      <c r="CNN48" s="149"/>
      <c r="CNO48" s="149"/>
      <c r="CNP48" s="149"/>
      <c r="CNQ48" s="149"/>
      <c r="CNR48" s="149"/>
      <c r="CNS48" s="149"/>
      <c r="CNT48" s="149"/>
      <c r="CNU48" s="149"/>
      <c r="CNV48" s="149"/>
      <c r="CNW48" s="149"/>
      <c r="CNX48" s="149"/>
      <c r="CNY48" s="149"/>
      <c r="CNZ48" s="149"/>
      <c r="COA48" s="149"/>
      <c r="COB48" s="149"/>
      <c r="COC48" s="149"/>
      <c r="COD48" s="149"/>
      <c r="COE48" s="149"/>
      <c r="COF48" s="149"/>
      <c r="COG48" s="149"/>
      <c r="COH48" s="149"/>
      <c r="COI48" s="149"/>
      <c r="COJ48" s="149"/>
      <c r="COK48" s="149"/>
      <c r="COL48" s="149"/>
      <c r="COM48" s="149"/>
      <c r="CON48" s="149"/>
      <c r="COO48" s="149"/>
      <c r="COP48" s="149"/>
      <c r="COQ48" s="149"/>
      <c r="COR48" s="149"/>
      <c r="COS48" s="149"/>
      <c r="COT48" s="149"/>
      <c r="COU48" s="149"/>
      <c r="COV48" s="149"/>
      <c r="COW48" s="149"/>
      <c r="COX48" s="149"/>
      <c r="COY48" s="149"/>
      <c r="COZ48" s="149"/>
      <c r="CPA48" s="149"/>
      <c r="CPB48" s="149"/>
      <c r="CPC48" s="149"/>
      <c r="CPD48" s="149"/>
      <c r="CPE48" s="149"/>
      <c r="CPF48" s="149"/>
      <c r="CPG48" s="149"/>
      <c r="CPH48" s="149"/>
      <c r="CPI48" s="149"/>
      <c r="CPJ48" s="149"/>
      <c r="CPK48" s="149"/>
      <c r="CPL48" s="149"/>
      <c r="CPM48" s="149"/>
      <c r="CPN48" s="149"/>
      <c r="CPO48" s="149"/>
      <c r="CPP48" s="149"/>
      <c r="CPQ48" s="149"/>
      <c r="CPR48" s="149"/>
      <c r="CPS48" s="149"/>
      <c r="CPT48" s="149"/>
      <c r="CPU48" s="149"/>
      <c r="CPV48" s="149"/>
      <c r="CPW48" s="149"/>
      <c r="CPX48" s="149"/>
      <c r="CPY48" s="149"/>
      <c r="CPZ48" s="149"/>
      <c r="CQA48" s="149"/>
      <c r="CQB48" s="149"/>
      <c r="CQC48" s="149"/>
      <c r="CQD48" s="149"/>
      <c r="CQE48" s="149"/>
      <c r="CQF48" s="149"/>
      <c r="CQG48" s="149"/>
      <c r="CQH48" s="149"/>
      <c r="CQI48" s="149"/>
      <c r="CQJ48" s="149"/>
      <c r="CQK48" s="149"/>
      <c r="CQL48" s="149"/>
      <c r="CQM48" s="149"/>
      <c r="CQN48" s="149"/>
      <c r="CQO48" s="149"/>
      <c r="CQP48" s="149"/>
      <c r="CQQ48" s="149"/>
      <c r="CQR48" s="149"/>
      <c r="CQS48" s="149"/>
      <c r="CQT48" s="149"/>
      <c r="CQU48" s="149"/>
      <c r="CQV48" s="149"/>
      <c r="CQW48" s="149"/>
      <c r="CQX48" s="149"/>
      <c r="CQY48" s="149"/>
      <c r="CQZ48" s="149"/>
      <c r="CRA48" s="149"/>
      <c r="CRB48" s="149"/>
      <c r="CRC48" s="149"/>
      <c r="CRD48" s="149"/>
      <c r="CRE48" s="149"/>
      <c r="CRF48" s="149"/>
      <c r="CRG48" s="149"/>
      <c r="CRH48" s="149"/>
      <c r="CRI48" s="149"/>
      <c r="CRJ48" s="149"/>
      <c r="CRK48" s="149"/>
      <c r="CRL48" s="149"/>
      <c r="CRM48" s="149"/>
      <c r="CRN48" s="149"/>
      <c r="CRO48" s="149"/>
      <c r="CRP48" s="149"/>
      <c r="CRQ48" s="149"/>
      <c r="CRR48" s="149"/>
      <c r="CRS48" s="149"/>
      <c r="CRT48" s="149"/>
      <c r="CRU48" s="149"/>
      <c r="CRV48" s="149"/>
      <c r="CRW48" s="149"/>
      <c r="CRX48" s="149"/>
      <c r="CRY48" s="149"/>
      <c r="CRZ48" s="149"/>
      <c r="CSA48" s="149"/>
      <c r="CSB48" s="149"/>
      <c r="CSC48" s="149"/>
      <c r="CSD48" s="149"/>
      <c r="CSE48" s="149"/>
      <c r="CSF48" s="149"/>
      <c r="CSG48" s="149"/>
      <c r="CSH48" s="149"/>
      <c r="CSI48" s="149"/>
      <c r="CSJ48" s="149"/>
      <c r="CSK48" s="149"/>
      <c r="CSL48" s="149"/>
      <c r="CSM48" s="149"/>
      <c r="CSN48" s="149"/>
      <c r="CSO48" s="149"/>
      <c r="CSP48" s="149"/>
      <c r="CSQ48" s="149"/>
      <c r="CSR48" s="149"/>
      <c r="CSS48" s="149"/>
      <c r="CST48" s="149"/>
      <c r="CSU48" s="149"/>
      <c r="CSV48" s="149"/>
      <c r="CSW48" s="149"/>
      <c r="CSX48" s="149"/>
      <c r="CSY48" s="149"/>
      <c r="CSZ48" s="149"/>
      <c r="CTA48" s="149"/>
      <c r="CTB48" s="149"/>
      <c r="CTC48" s="149"/>
      <c r="CTD48" s="149"/>
      <c r="CTE48" s="149"/>
      <c r="CTF48" s="149"/>
      <c r="CTG48" s="149"/>
      <c r="CTH48" s="149"/>
      <c r="CTI48" s="149"/>
      <c r="CTJ48" s="149"/>
      <c r="CTK48" s="149"/>
      <c r="CTL48" s="149"/>
      <c r="CTM48" s="149"/>
      <c r="CTN48" s="149"/>
      <c r="CTO48" s="149"/>
      <c r="CTP48" s="149"/>
      <c r="CTQ48" s="149"/>
      <c r="CTR48" s="149"/>
      <c r="CTS48" s="149"/>
      <c r="CTT48" s="149"/>
      <c r="CTU48" s="149"/>
      <c r="CTV48" s="149"/>
      <c r="CTW48" s="149"/>
      <c r="CTX48" s="149"/>
      <c r="CTY48" s="149"/>
      <c r="CTZ48" s="149"/>
      <c r="CUA48" s="149"/>
      <c r="CUB48" s="149"/>
      <c r="CUC48" s="149"/>
      <c r="CUD48" s="149"/>
      <c r="CUE48" s="149"/>
      <c r="CUF48" s="149"/>
      <c r="CUG48" s="149"/>
      <c r="CUH48" s="149"/>
      <c r="CUI48" s="149"/>
      <c r="CUJ48" s="149"/>
      <c r="CUK48" s="149"/>
      <c r="CUL48" s="149"/>
      <c r="CUM48" s="149"/>
      <c r="CUN48" s="149"/>
      <c r="CUO48" s="149"/>
      <c r="CUP48" s="149"/>
      <c r="CUQ48" s="149"/>
      <c r="CUR48" s="149"/>
      <c r="CUS48" s="149"/>
      <c r="CUT48" s="149"/>
      <c r="CUU48" s="149"/>
      <c r="CUV48" s="149"/>
      <c r="CUW48" s="149"/>
      <c r="CUX48" s="149"/>
      <c r="CUY48" s="149"/>
      <c r="CUZ48" s="149"/>
      <c r="CVA48" s="149"/>
      <c r="CVB48" s="149"/>
      <c r="CVC48" s="149"/>
      <c r="CVD48" s="149"/>
      <c r="CVE48" s="149"/>
      <c r="CVF48" s="149"/>
      <c r="CVG48" s="149"/>
      <c r="CVH48" s="149"/>
      <c r="CVI48" s="149"/>
      <c r="CVJ48" s="149"/>
      <c r="CVK48" s="149"/>
      <c r="CVL48" s="149"/>
      <c r="CVM48" s="149"/>
      <c r="CVN48" s="149"/>
      <c r="CVO48" s="149"/>
      <c r="CVP48" s="149"/>
      <c r="CVQ48" s="149"/>
      <c r="CVR48" s="149"/>
      <c r="CVS48" s="149"/>
      <c r="CVT48" s="149"/>
      <c r="CVU48" s="149"/>
      <c r="CVV48" s="149"/>
      <c r="CVW48" s="149"/>
      <c r="CVX48" s="149"/>
      <c r="CVY48" s="149"/>
      <c r="CVZ48" s="149"/>
      <c r="CWA48" s="149"/>
      <c r="CWB48" s="149"/>
      <c r="CWC48" s="149"/>
      <c r="CWD48" s="149"/>
      <c r="CWE48" s="149"/>
      <c r="CWF48" s="149"/>
      <c r="CWG48" s="149"/>
      <c r="CWH48" s="149"/>
      <c r="CWI48" s="149"/>
      <c r="CWJ48" s="149"/>
      <c r="CWK48" s="149"/>
      <c r="CWL48" s="149"/>
      <c r="CWM48" s="149"/>
      <c r="CWN48" s="149"/>
      <c r="CWO48" s="149"/>
      <c r="CWP48" s="149"/>
      <c r="CWQ48" s="149"/>
      <c r="CWR48" s="149"/>
      <c r="CWS48" s="149"/>
      <c r="CWT48" s="149"/>
      <c r="CWU48" s="149"/>
      <c r="CWV48" s="149"/>
      <c r="CWW48" s="149"/>
      <c r="CWX48" s="149"/>
      <c r="CWY48" s="149"/>
      <c r="CWZ48" s="149"/>
      <c r="CXA48" s="149"/>
      <c r="CXB48" s="149"/>
      <c r="CXC48" s="149"/>
      <c r="CXD48" s="149"/>
      <c r="CXE48" s="149"/>
      <c r="CXF48" s="149"/>
      <c r="CXG48" s="149"/>
      <c r="CXH48" s="149"/>
      <c r="CXI48" s="149"/>
      <c r="CXJ48" s="149"/>
      <c r="CXK48" s="149"/>
      <c r="CXL48" s="149"/>
      <c r="CXM48" s="149"/>
      <c r="CXN48" s="149"/>
      <c r="CXO48" s="149"/>
      <c r="CXP48" s="149"/>
      <c r="CXQ48" s="149"/>
      <c r="CXR48" s="149"/>
      <c r="CXS48" s="149"/>
      <c r="CXT48" s="149"/>
      <c r="CXU48" s="149"/>
      <c r="CXV48" s="149"/>
      <c r="CXW48" s="149"/>
      <c r="CXX48" s="149"/>
      <c r="CXY48" s="149"/>
      <c r="CXZ48" s="149"/>
      <c r="CYA48" s="149"/>
      <c r="CYB48" s="149"/>
      <c r="CYC48" s="149"/>
      <c r="CYD48" s="149"/>
      <c r="CYE48" s="149"/>
      <c r="CYF48" s="149"/>
      <c r="CYG48" s="149"/>
      <c r="CYH48" s="149"/>
      <c r="CYI48" s="149"/>
      <c r="CYJ48" s="149"/>
      <c r="CYK48" s="149"/>
      <c r="CYL48" s="149"/>
      <c r="CYM48" s="149"/>
      <c r="CYN48" s="149"/>
      <c r="CYO48" s="149"/>
      <c r="CYP48" s="149"/>
      <c r="CYQ48" s="149"/>
      <c r="CYR48" s="149"/>
      <c r="CYS48" s="149"/>
      <c r="CYT48" s="149"/>
      <c r="CYU48" s="149"/>
      <c r="CYV48" s="149"/>
      <c r="CYW48" s="149"/>
      <c r="CYX48" s="149"/>
      <c r="CYY48" s="149"/>
      <c r="CYZ48" s="149"/>
      <c r="CZA48" s="149"/>
      <c r="CZB48" s="149"/>
      <c r="CZC48" s="149"/>
      <c r="CZD48" s="149"/>
      <c r="CZE48" s="149"/>
      <c r="CZF48" s="149"/>
      <c r="CZG48" s="149"/>
      <c r="CZH48" s="149"/>
      <c r="CZI48" s="149"/>
      <c r="CZJ48" s="149"/>
      <c r="CZK48" s="149"/>
      <c r="CZL48" s="149"/>
      <c r="CZM48" s="149"/>
      <c r="CZN48" s="149"/>
      <c r="CZO48" s="149"/>
      <c r="CZP48" s="149"/>
      <c r="CZQ48" s="149"/>
      <c r="CZR48" s="149"/>
      <c r="CZS48" s="149"/>
      <c r="CZT48" s="149"/>
      <c r="CZU48" s="149"/>
      <c r="CZV48" s="149"/>
      <c r="CZW48" s="149"/>
      <c r="CZX48" s="149"/>
      <c r="CZY48" s="149"/>
      <c r="CZZ48" s="149"/>
      <c r="DAA48" s="149"/>
      <c r="DAB48" s="149"/>
      <c r="DAC48" s="149"/>
      <c r="DAD48" s="149"/>
      <c r="DAE48" s="149"/>
      <c r="DAF48" s="149"/>
      <c r="DAG48" s="149"/>
      <c r="DAH48" s="149"/>
      <c r="DAI48" s="149"/>
      <c r="DAJ48" s="149"/>
      <c r="DAK48" s="149"/>
      <c r="DAL48" s="149"/>
      <c r="DAM48" s="149"/>
      <c r="DAN48" s="149"/>
      <c r="DAO48" s="149"/>
      <c r="DAP48" s="149"/>
      <c r="DAQ48" s="149"/>
      <c r="DAR48" s="149"/>
      <c r="DAS48" s="149"/>
      <c r="DAT48" s="149"/>
      <c r="DAU48" s="149"/>
      <c r="DAV48" s="149"/>
      <c r="DAW48" s="149"/>
      <c r="DAX48" s="149"/>
      <c r="DAY48" s="149"/>
      <c r="DAZ48" s="149"/>
      <c r="DBA48" s="149"/>
      <c r="DBB48" s="149"/>
      <c r="DBC48" s="149"/>
      <c r="DBD48" s="149"/>
      <c r="DBE48" s="149"/>
      <c r="DBF48" s="149"/>
      <c r="DBG48" s="149"/>
      <c r="DBH48" s="149"/>
      <c r="DBI48" s="149"/>
      <c r="DBJ48" s="149"/>
      <c r="DBK48" s="149"/>
      <c r="DBL48" s="149"/>
      <c r="DBM48" s="149"/>
      <c r="DBN48" s="149"/>
      <c r="DBO48" s="149"/>
      <c r="DBP48" s="149"/>
      <c r="DBQ48" s="149"/>
      <c r="DBR48" s="149"/>
      <c r="DBS48" s="149"/>
      <c r="DBT48" s="149"/>
      <c r="DBU48" s="149"/>
      <c r="DBV48" s="149"/>
      <c r="DBW48" s="149"/>
      <c r="DBX48" s="149"/>
      <c r="DBY48" s="149"/>
      <c r="DBZ48" s="149"/>
      <c r="DCA48" s="149"/>
      <c r="DCB48" s="149"/>
      <c r="DCC48" s="149"/>
      <c r="DCD48" s="149"/>
      <c r="DCE48" s="149"/>
      <c r="DCF48" s="149"/>
      <c r="DCG48" s="149"/>
      <c r="DCH48" s="149"/>
      <c r="DCI48" s="149"/>
      <c r="DCJ48" s="149"/>
      <c r="DCK48" s="149"/>
      <c r="DCL48" s="149"/>
      <c r="DCM48" s="149"/>
      <c r="DCN48" s="149"/>
      <c r="DCO48" s="149"/>
      <c r="DCP48" s="149"/>
      <c r="DCQ48" s="149"/>
      <c r="DCR48" s="149"/>
      <c r="DCS48" s="149"/>
      <c r="DCT48" s="149"/>
      <c r="DCU48" s="149"/>
      <c r="DCV48" s="149"/>
      <c r="DCW48" s="149"/>
      <c r="DCX48" s="149"/>
      <c r="DCY48" s="149"/>
      <c r="DCZ48" s="149"/>
      <c r="DDA48" s="149"/>
      <c r="DDB48" s="149"/>
      <c r="DDC48" s="149"/>
      <c r="DDD48" s="149"/>
      <c r="DDE48" s="149"/>
      <c r="DDF48" s="149"/>
      <c r="DDG48" s="149"/>
      <c r="DDH48" s="149"/>
      <c r="DDI48" s="149"/>
      <c r="DDJ48" s="149"/>
      <c r="DDK48" s="149"/>
      <c r="DDL48" s="149"/>
      <c r="DDM48" s="149"/>
      <c r="DDN48" s="149"/>
      <c r="DDO48" s="149"/>
      <c r="DDP48" s="149"/>
      <c r="DDQ48" s="149"/>
      <c r="DDR48" s="149"/>
      <c r="DDS48" s="149"/>
      <c r="DDT48" s="149"/>
      <c r="DDU48" s="149"/>
      <c r="DDV48" s="149"/>
      <c r="DDW48" s="149"/>
      <c r="DDX48" s="149"/>
      <c r="DDY48" s="149"/>
      <c r="DDZ48" s="149"/>
      <c r="DEA48" s="149"/>
      <c r="DEB48" s="149"/>
      <c r="DEC48" s="149"/>
      <c r="DED48" s="149"/>
      <c r="DEE48" s="149"/>
      <c r="DEF48" s="149"/>
      <c r="DEG48" s="149"/>
      <c r="DEH48" s="149"/>
      <c r="DEI48" s="149"/>
      <c r="DEJ48" s="149"/>
      <c r="DEK48" s="149"/>
      <c r="DEL48" s="149"/>
      <c r="DEM48" s="149"/>
      <c r="DEN48" s="149"/>
      <c r="DEO48" s="149"/>
      <c r="DEP48" s="149"/>
      <c r="DEQ48" s="149"/>
      <c r="DER48" s="149"/>
      <c r="DES48" s="149"/>
      <c r="DET48" s="149"/>
      <c r="DEU48" s="149"/>
      <c r="DEV48" s="149"/>
      <c r="DEW48" s="149"/>
      <c r="DEX48" s="149"/>
      <c r="DEY48" s="149"/>
      <c r="DEZ48" s="149"/>
      <c r="DFA48" s="149"/>
      <c r="DFB48" s="149"/>
      <c r="DFC48" s="149"/>
      <c r="DFD48" s="149"/>
      <c r="DFE48" s="149"/>
      <c r="DFF48" s="149"/>
      <c r="DFG48" s="149"/>
      <c r="DFH48" s="149"/>
      <c r="DFI48" s="149"/>
      <c r="DFJ48" s="149"/>
      <c r="DFK48" s="149"/>
      <c r="DFL48" s="149"/>
      <c r="DFM48" s="149"/>
      <c r="DFN48" s="149"/>
      <c r="DFO48" s="149"/>
      <c r="DFP48" s="149"/>
      <c r="DFQ48" s="149"/>
      <c r="DFR48" s="149"/>
      <c r="DFS48" s="149"/>
      <c r="DFT48" s="149"/>
      <c r="DFU48" s="149"/>
      <c r="DFV48" s="149"/>
      <c r="DFW48" s="149"/>
      <c r="DFX48" s="149"/>
      <c r="DFY48" s="149"/>
      <c r="DFZ48" s="149"/>
      <c r="DGA48" s="149"/>
      <c r="DGB48" s="149"/>
      <c r="DGC48" s="149"/>
      <c r="DGD48" s="149"/>
      <c r="DGE48" s="149"/>
      <c r="DGF48" s="149"/>
      <c r="DGG48" s="149"/>
      <c r="DGH48" s="149"/>
      <c r="DGI48" s="149"/>
      <c r="DGJ48" s="149"/>
      <c r="DGK48" s="149"/>
      <c r="DGL48" s="149"/>
      <c r="DGM48" s="149"/>
      <c r="DGN48" s="149"/>
      <c r="DGO48" s="149"/>
      <c r="DGP48" s="149"/>
      <c r="DGQ48" s="149"/>
      <c r="DGR48" s="149"/>
      <c r="DGS48" s="149"/>
      <c r="DGT48" s="149"/>
      <c r="DGU48" s="149"/>
      <c r="DGV48" s="149"/>
      <c r="DGW48" s="149"/>
      <c r="DGX48" s="149"/>
      <c r="DGY48" s="149"/>
      <c r="DGZ48" s="149"/>
      <c r="DHA48" s="149"/>
      <c r="DHB48" s="149"/>
      <c r="DHC48" s="149"/>
      <c r="DHD48" s="149"/>
      <c r="DHE48" s="149"/>
      <c r="DHF48" s="149"/>
      <c r="DHG48" s="149"/>
      <c r="DHH48" s="149"/>
      <c r="DHI48" s="149"/>
      <c r="DHJ48" s="149"/>
      <c r="DHK48" s="149"/>
      <c r="DHL48" s="149"/>
      <c r="DHM48" s="149"/>
      <c r="DHN48" s="149"/>
      <c r="DHO48" s="149"/>
      <c r="DHP48" s="149"/>
      <c r="DHQ48" s="149"/>
      <c r="DHR48" s="149"/>
      <c r="DHS48" s="149"/>
      <c r="DHT48" s="149"/>
      <c r="DHU48" s="149"/>
      <c r="DHV48" s="149"/>
      <c r="DHW48" s="149"/>
      <c r="DHX48" s="149"/>
      <c r="DHY48" s="149"/>
      <c r="DHZ48" s="149"/>
      <c r="DIA48" s="149"/>
      <c r="DIB48" s="149"/>
      <c r="DIC48" s="149"/>
      <c r="DID48" s="149"/>
      <c r="DIE48" s="149"/>
      <c r="DIF48" s="149"/>
      <c r="DIG48" s="149"/>
      <c r="DIH48" s="149"/>
      <c r="DII48" s="149"/>
      <c r="DIJ48" s="149"/>
      <c r="DIK48" s="149"/>
      <c r="DIL48" s="149"/>
      <c r="DIM48" s="149"/>
      <c r="DIN48" s="149"/>
      <c r="DIO48" s="149"/>
      <c r="DIP48" s="149"/>
      <c r="DIQ48" s="149"/>
      <c r="DIR48" s="149"/>
      <c r="DIS48" s="149"/>
      <c r="DIT48" s="149"/>
      <c r="DIU48" s="149"/>
      <c r="DIV48" s="149"/>
      <c r="DIW48" s="149"/>
      <c r="DIX48" s="149"/>
      <c r="DIY48" s="149"/>
      <c r="DIZ48" s="149"/>
      <c r="DJA48" s="149"/>
      <c r="DJB48" s="149"/>
      <c r="DJC48" s="149"/>
      <c r="DJD48" s="149"/>
      <c r="DJE48" s="149"/>
      <c r="DJF48" s="149"/>
      <c r="DJG48" s="149"/>
      <c r="DJH48" s="149"/>
      <c r="DJI48" s="149"/>
      <c r="DJJ48" s="149"/>
      <c r="DJK48" s="149"/>
      <c r="DJL48" s="149"/>
      <c r="DJM48" s="149"/>
      <c r="DJN48" s="149"/>
      <c r="DJO48" s="149"/>
      <c r="DJP48" s="149"/>
      <c r="DJQ48" s="149"/>
      <c r="DJR48" s="149"/>
      <c r="DJS48" s="149"/>
      <c r="DJT48" s="149"/>
      <c r="DJU48" s="149"/>
      <c r="DJV48" s="149"/>
      <c r="DJW48" s="149"/>
      <c r="DJX48" s="149"/>
      <c r="DJY48" s="149"/>
      <c r="DJZ48" s="149"/>
      <c r="DKA48" s="149"/>
      <c r="DKB48" s="149"/>
      <c r="DKC48" s="149"/>
      <c r="DKD48" s="149"/>
      <c r="DKE48" s="149"/>
      <c r="DKF48" s="149"/>
      <c r="DKG48" s="149"/>
      <c r="DKH48" s="149"/>
      <c r="DKI48" s="149"/>
      <c r="DKJ48" s="149"/>
      <c r="DKK48" s="149"/>
      <c r="DKL48" s="149"/>
      <c r="DKM48" s="149"/>
      <c r="DKN48" s="149"/>
      <c r="DKO48" s="149"/>
      <c r="DKP48" s="149"/>
      <c r="DKQ48" s="149"/>
      <c r="DKR48" s="149"/>
      <c r="DKS48" s="149"/>
      <c r="DKT48" s="149"/>
      <c r="DKU48" s="149"/>
      <c r="DKV48" s="149"/>
      <c r="DKW48" s="149"/>
      <c r="DKX48" s="149"/>
      <c r="DKY48" s="149"/>
      <c r="DKZ48" s="149"/>
      <c r="DLA48" s="149"/>
      <c r="DLB48" s="149"/>
      <c r="DLC48" s="149"/>
      <c r="DLD48" s="149"/>
      <c r="DLE48" s="149"/>
      <c r="DLF48" s="149"/>
      <c r="DLG48" s="149"/>
      <c r="DLH48" s="149"/>
      <c r="DLI48" s="149"/>
      <c r="DLJ48" s="149"/>
      <c r="DLK48" s="149"/>
      <c r="DLL48" s="149"/>
      <c r="DLM48" s="149"/>
      <c r="DLN48" s="149"/>
      <c r="DLO48" s="149"/>
      <c r="DLP48" s="149"/>
      <c r="DLQ48" s="149"/>
      <c r="DLR48" s="149"/>
      <c r="DLS48" s="149"/>
      <c r="DLT48" s="149"/>
      <c r="DLU48" s="149"/>
      <c r="DLV48" s="149"/>
      <c r="DLW48" s="149"/>
      <c r="DLX48" s="149"/>
      <c r="DLY48" s="149"/>
      <c r="DLZ48" s="149"/>
      <c r="DMA48" s="149"/>
      <c r="DMB48" s="149"/>
      <c r="DMC48" s="149"/>
      <c r="DMD48" s="149"/>
      <c r="DME48" s="149"/>
      <c r="DMF48" s="149"/>
      <c r="DMG48" s="149"/>
      <c r="DMH48" s="149"/>
      <c r="DMI48" s="149"/>
      <c r="DMJ48" s="149"/>
      <c r="DMK48" s="149"/>
      <c r="DML48" s="149"/>
      <c r="DMM48" s="149"/>
      <c r="DMN48" s="149"/>
      <c r="DMO48" s="149"/>
      <c r="DMP48" s="149"/>
      <c r="DMQ48" s="149"/>
      <c r="DMR48" s="149"/>
      <c r="DMS48" s="149"/>
      <c r="DMT48" s="149"/>
      <c r="DMU48" s="149"/>
      <c r="DMV48" s="149"/>
      <c r="DMW48" s="149"/>
      <c r="DMX48" s="149"/>
      <c r="DMY48" s="149"/>
      <c r="DMZ48" s="149"/>
      <c r="DNA48" s="149"/>
      <c r="DNB48" s="149"/>
      <c r="DNC48" s="149"/>
      <c r="DND48" s="149"/>
      <c r="DNE48" s="149"/>
      <c r="DNF48" s="149"/>
      <c r="DNG48" s="149"/>
      <c r="DNH48" s="149"/>
      <c r="DNI48" s="149"/>
      <c r="DNJ48" s="149"/>
      <c r="DNK48" s="149"/>
      <c r="DNL48" s="149"/>
      <c r="DNM48" s="149"/>
      <c r="DNN48" s="149"/>
      <c r="DNO48" s="149"/>
      <c r="DNP48" s="149"/>
      <c r="DNQ48" s="149"/>
      <c r="DNR48" s="149"/>
      <c r="DNS48" s="149"/>
      <c r="DNT48" s="149"/>
      <c r="DNU48" s="149"/>
      <c r="DNV48" s="149"/>
      <c r="DNW48" s="149"/>
      <c r="DNX48" s="149"/>
      <c r="DNY48" s="149"/>
      <c r="DNZ48" s="149"/>
      <c r="DOA48" s="149"/>
      <c r="DOB48" s="149"/>
      <c r="DOC48" s="149"/>
      <c r="DOD48" s="149"/>
      <c r="DOE48" s="149"/>
      <c r="DOF48" s="149"/>
      <c r="DOG48" s="149"/>
      <c r="DOH48" s="149"/>
      <c r="DOI48" s="149"/>
      <c r="DOJ48" s="149"/>
      <c r="DOK48" s="149"/>
      <c r="DOL48" s="149"/>
      <c r="DOM48" s="149"/>
      <c r="DON48" s="149"/>
      <c r="DOO48" s="149"/>
      <c r="DOP48" s="149"/>
      <c r="DOQ48" s="149"/>
      <c r="DOR48" s="149"/>
      <c r="DOS48" s="149"/>
      <c r="DOT48" s="149"/>
      <c r="DOU48" s="149"/>
      <c r="DOV48" s="149"/>
      <c r="DOW48" s="149"/>
      <c r="DOX48" s="149"/>
      <c r="DOY48" s="149"/>
      <c r="DOZ48" s="149"/>
      <c r="DPA48" s="149"/>
      <c r="DPB48" s="149"/>
      <c r="DPC48" s="149"/>
      <c r="DPD48" s="149"/>
      <c r="DPE48" s="149"/>
      <c r="DPF48" s="149"/>
      <c r="DPG48" s="149"/>
      <c r="DPH48" s="149"/>
      <c r="DPI48" s="149"/>
      <c r="DPJ48" s="149"/>
      <c r="DPK48" s="149"/>
      <c r="DPL48" s="149"/>
      <c r="DPM48" s="149"/>
      <c r="DPN48" s="149"/>
      <c r="DPO48" s="149"/>
      <c r="DPP48" s="149"/>
      <c r="DPQ48" s="149"/>
      <c r="DPR48" s="149"/>
      <c r="DPS48" s="149"/>
      <c r="DPT48" s="149"/>
      <c r="DPU48" s="149"/>
      <c r="DPV48" s="149"/>
      <c r="DPW48" s="149"/>
      <c r="DPX48" s="149"/>
      <c r="DPY48" s="149"/>
      <c r="DPZ48" s="149"/>
      <c r="DQA48" s="149"/>
      <c r="DQB48" s="149"/>
      <c r="DQC48" s="149"/>
      <c r="DQD48" s="149"/>
      <c r="DQE48" s="149"/>
      <c r="DQF48" s="149"/>
      <c r="DQG48" s="149"/>
      <c r="DQH48" s="149"/>
      <c r="DQI48" s="149"/>
      <c r="DQJ48" s="149"/>
      <c r="DQK48" s="149"/>
      <c r="DQL48" s="149"/>
      <c r="DQM48" s="149"/>
      <c r="DQN48" s="149"/>
      <c r="DQO48" s="149"/>
      <c r="DQP48" s="149"/>
      <c r="DQQ48" s="149"/>
      <c r="DQR48" s="149"/>
      <c r="DQS48" s="149"/>
      <c r="DQT48" s="149"/>
      <c r="DQU48" s="149"/>
      <c r="DQV48" s="149"/>
      <c r="DQW48" s="149"/>
      <c r="DQX48" s="149"/>
      <c r="DQY48" s="149"/>
      <c r="DQZ48" s="149"/>
      <c r="DRA48" s="149"/>
      <c r="DRB48" s="149"/>
      <c r="DRC48" s="149"/>
      <c r="DRD48" s="149"/>
      <c r="DRE48" s="149"/>
      <c r="DRF48" s="149"/>
      <c r="DRG48" s="149"/>
      <c r="DRH48" s="149"/>
      <c r="DRI48" s="149"/>
      <c r="DRJ48" s="149"/>
      <c r="DRK48" s="149"/>
      <c r="DRL48" s="149"/>
      <c r="DRM48" s="149"/>
      <c r="DRN48" s="149"/>
      <c r="DRO48" s="149"/>
      <c r="DRP48" s="149"/>
      <c r="DRQ48" s="149"/>
      <c r="DRR48" s="149"/>
      <c r="DRS48" s="149"/>
      <c r="DRT48" s="149"/>
      <c r="DRU48" s="149"/>
      <c r="DRV48" s="149"/>
      <c r="DRW48" s="149"/>
      <c r="DRX48" s="149"/>
      <c r="DRY48" s="149"/>
      <c r="DRZ48" s="149"/>
      <c r="DSA48" s="149"/>
      <c r="DSB48" s="149"/>
      <c r="DSC48" s="149"/>
      <c r="DSD48" s="149"/>
      <c r="DSE48" s="149"/>
      <c r="DSF48" s="149"/>
      <c r="DSG48" s="149"/>
      <c r="DSH48" s="149"/>
      <c r="DSI48" s="149"/>
      <c r="DSJ48" s="149"/>
      <c r="DSK48" s="149"/>
      <c r="DSL48" s="149"/>
      <c r="DSM48" s="149"/>
      <c r="DSN48" s="149"/>
      <c r="DSO48" s="149"/>
      <c r="DSP48" s="149"/>
      <c r="DSQ48" s="149"/>
      <c r="DSR48" s="149"/>
      <c r="DSS48" s="149"/>
      <c r="DST48" s="149"/>
      <c r="DSU48" s="149"/>
      <c r="DSV48" s="149"/>
      <c r="DSW48" s="149"/>
      <c r="DSX48" s="149"/>
      <c r="DSY48" s="149"/>
      <c r="DSZ48" s="149"/>
      <c r="DTA48" s="149"/>
      <c r="DTB48" s="149"/>
      <c r="DTC48" s="149"/>
      <c r="DTD48" s="149"/>
      <c r="DTE48" s="149"/>
      <c r="DTF48" s="149"/>
      <c r="DTG48" s="149"/>
      <c r="DTH48" s="149"/>
      <c r="DTI48" s="149"/>
      <c r="DTJ48" s="149"/>
      <c r="DTK48" s="149"/>
      <c r="DTL48" s="149"/>
      <c r="DTM48" s="149"/>
      <c r="DTN48" s="149"/>
      <c r="DTO48" s="149"/>
      <c r="DTP48" s="149"/>
      <c r="DTQ48" s="149"/>
      <c r="DTR48" s="149"/>
      <c r="DTS48" s="149"/>
      <c r="DTT48" s="149"/>
      <c r="DTU48" s="149"/>
      <c r="DTV48" s="149"/>
      <c r="DTW48" s="149"/>
      <c r="DTX48" s="149"/>
      <c r="DTY48" s="149"/>
      <c r="DTZ48" s="149"/>
      <c r="DUA48" s="149"/>
      <c r="DUB48" s="149"/>
      <c r="DUC48" s="149"/>
      <c r="DUD48" s="149"/>
      <c r="DUE48" s="149"/>
      <c r="DUF48" s="149"/>
      <c r="DUG48" s="149"/>
      <c r="DUH48" s="149"/>
      <c r="DUI48" s="149"/>
      <c r="DUJ48" s="149"/>
      <c r="DUK48" s="149"/>
      <c r="DUL48" s="149"/>
      <c r="DUM48" s="149"/>
      <c r="DUN48" s="149"/>
      <c r="DUO48" s="149"/>
      <c r="DUP48" s="149"/>
      <c r="DUQ48" s="149"/>
      <c r="DUR48" s="149"/>
      <c r="DUS48" s="149"/>
      <c r="DUT48" s="149"/>
      <c r="DUU48" s="149"/>
      <c r="DUV48" s="149"/>
      <c r="DUW48" s="149"/>
      <c r="DUX48" s="149"/>
      <c r="DUY48" s="149"/>
      <c r="DUZ48" s="149"/>
      <c r="DVA48" s="149"/>
      <c r="DVB48" s="149"/>
      <c r="DVC48" s="149"/>
      <c r="DVD48" s="149"/>
      <c r="DVE48" s="149"/>
      <c r="DVF48" s="149"/>
      <c r="DVG48" s="149"/>
      <c r="DVH48" s="149"/>
      <c r="DVI48" s="149"/>
      <c r="DVJ48" s="149"/>
      <c r="DVK48" s="149"/>
      <c r="DVL48" s="149"/>
      <c r="DVM48" s="149"/>
      <c r="DVN48" s="149"/>
      <c r="DVO48" s="149"/>
      <c r="DVP48" s="149"/>
      <c r="DVQ48" s="149"/>
      <c r="DVR48" s="149"/>
      <c r="DVS48" s="149"/>
      <c r="DVT48" s="149"/>
      <c r="DVU48" s="149"/>
      <c r="DVV48" s="149"/>
      <c r="DVW48" s="149"/>
      <c r="DVX48" s="149"/>
      <c r="DVY48" s="149"/>
      <c r="DVZ48" s="149"/>
      <c r="DWA48" s="149"/>
      <c r="DWB48" s="149"/>
      <c r="DWC48" s="149"/>
      <c r="DWD48" s="149"/>
      <c r="DWE48" s="149"/>
      <c r="DWF48" s="149"/>
      <c r="DWG48" s="149"/>
      <c r="DWH48" s="149"/>
      <c r="DWI48" s="149"/>
      <c r="DWJ48" s="149"/>
      <c r="DWK48" s="149"/>
      <c r="DWL48" s="149"/>
      <c r="DWM48" s="149"/>
      <c r="DWN48" s="149"/>
      <c r="DWO48" s="149"/>
      <c r="DWP48" s="149"/>
      <c r="DWQ48" s="149"/>
      <c r="DWR48" s="149"/>
      <c r="DWS48" s="149"/>
      <c r="DWT48" s="149"/>
      <c r="DWU48" s="149"/>
      <c r="DWV48" s="149"/>
      <c r="DWW48" s="149"/>
      <c r="DWX48" s="149"/>
      <c r="DWY48" s="149"/>
      <c r="DWZ48" s="149"/>
      <c r="DXA48" s="149"/>
      <c r="DXB48" s="149"/>
      <c r="DXC48" s="149"/>
      <c r="DXD48" s="149"/>
      <c r="DXE48" s="149"/>
      <c r="DXF48" s="149"/>
      <c r="DXG48" s="149"/>
      <c r="DXH48" s="149"/>
      <c r="DXI48" s="149"/>
      <c r="DXJ48" s="149"/>
      <c r="DXK48" s="149"/>
      <c r="DXL48" s="149"/>
      <c r="DXM48" s="149"/>
      <c r="DXN48" s="149"/>
      <c r="DXO48" s="149"/>
      <c r="DXP48" s="149"/>
      <c r="DXQ48" s="149"/>
      <c r="DXR48" s="149"/>
      <c r="DXS48" s="149"/>
      <c r="DXT48" s="149"/>
      <c r="DXU48" s="149"/>
      <c r="DXV48" s="149"/>
      <c r="DXW48" s="149"/>
      <c r="DXX48" s="149"/>
      <c r="DXY48" s="149"/>
      <c r="DXZ48" s="149"/>
      <c r="DYA48" s="149"/>
      <c r="DYB48" s="149"/>
      <c r="DYC48" s="149"/>
      <c r="DYD48" s="149"/>
      <c r="DYE48" s="149"/>
      <c r="DYF48" s="149"/>
      <c r="DYG48" s="149"/>
      <c r="DYH48" s="149"/>
      <c r="DYI48" s="149"/>
      <c r="DYJ48" s="149"/>
      <c r="DYK48" s="149"/>
      <c r="DYL48" s="149"/>
      <c r="DYM48" s="149"/>
      <c r="DYN48" s="149"/>
      <c r="DYO48" s="149"/>
      <c r="DYP48" s="149"/>
      <c r="DYQ48" s="149"/>
      <c r="DYR48" s="149"/>
      <c r="DYS48" s="149"/>
      <c r="DYT48" s="149"/>
      <c r="DYU48" s="149"/>
      <c r="DYV48" s="149"/>
      <c r="DYW48" s="149"/>
      <c r="DYX48" s="149"/>
      <c r="DYY48" s="149"/>
      <c r="DYZ48" s="149"/>
      <c r="DZA48" s="149"/>
      <c r="DZB48" s="149"/>
      <c r="DZC48" s="149"/>
      <c r="DZD48" s="149"/>
      <c r="DZE48" s="149"/>
      <c r="DZF48" s="149"/>
      <c r="DZG48" s="149"/>
      <c r="DZH48" s="149"/>
      <c r="DZI48" s="149"/>
      <c r="DZJ48" s="149"/>
      <c r="DZK48" s="149"/>
      <c r="DZL48" s="149"/>
      <c r="DZM48" s="149"/>
      <c r="DZN48" s="149"/>
      <c r="DZO48" s="149"/>
      <c r="DZP48" s="149"/>
      <c r="DZQ48" s="149"/>
      <c r="DZR48" s="149"/>
      <c r="DZS48" s="149"/>
      <c r="DZT48" s="149"/>
      <c r="DZU48" s="149"/>
      <c r="DZV48" s="149"/>
      <c r="DZW48" s="149"/>
      <c r="DZX48" s="149"/>
      <c r="DZY48" s="149"/>
      <c r="DZZ48" s="149"/>
      <c r="EAA48" s="149"/>
      <c r="EAB48" s="149"/>
      <c r="EAC48" s="149"/>
      <c r="EAD48" s="149"/>
      <c r="EAE48" s="149"/>
      <c r="EAF48" s="149"/>
      <c r="EAG48" s="149"/>
      <c r="EAH48" s="149"/>
      <c r="EAI48" s="149"/>
      <c r="EAJ48" s="149"/>
      <c r="EAK48" s="149"/>
      <c r="EAL48" s="149"/>
      <c r="EAM48" s="149"/>
      <c r="EAN48" s="149"/>
      <c r="EAO48" s="149"/>
      <c r="EAP48" s="149"/>
      <c r="EAQ48" s="149"/>
      <c r="EAR48" s="149"/>
      <c r="EAS48" s="149"/>
      <c r="EAT48" s="149"/>
      <c r="EAU48" s="149"/>
      <c r="EAV48" s="149"/>
      <c r="EAW48" s="149"/>
      <c r="EAX48" s="149"/>
      <c r="EAY48" s="149"/>
      <c r="EAZ48" s="149"/>
      <c r="EBA48" s="149"/>
      <c r="EBB48" s="149"/>
      <c r="EBC48" s="149"/>
      <c r="EBD48" s="149"/>
      <c r="EBE48" s="149"/>
      <c r="EBF48" s="149"/>
      <c r="EBG48" s="149"/>
      <c r="EBH48" s="149"/>
      <c r="EBI48" s="149"/>
      <c r="EBJ48" s="149"/>
      <c r="EBK48" s="149"/>
      <c r="EBL48" s="149"/>
      <c r="EBM48" s="149"/>
      <c r="EBN48" s="149"/>
      <c r="EBO48" s="149"/>
      <c r="EBP48" s="149"/>
      <c r="EBQ48" s="149"/>
      <c r="EBR48" s="149"/>
      <c r="EBS48" s="149"/>
      <c r="EBT48" s="149"/>
      <c r="EBU48" s="149"/>
      <c r="EBV48" s="149"/>
      <c r="EBW48" s="149"/>
      <c r="EBX48" s="149"/>
      <c r="EBY48" s="149"/>
      <c r="EBZ48" s="149"/>
      <c r="ECA48" s="149"/>
      <c r="ECB48" s="149"/>
      <c r="ECC48" s="149"/>
      <c r="ECD48" s="149"/>
      <c r="ECE48" s="149"/>
      <c r="ECF48" s="149"/>
      <c r="ECG48" s="149"/>
      <c r="ECH48" s="149"/>
      <c r="ECI48" s="149"/>
      <c r="ECJ48" s="149"/>
      <c r="ECK48" s="149"/>
      <c r="ECL48" s="149"/>
      <c r="ECM48" s="149"/>
      <c r="ECN48" s="149"/>
      <c r="ECO48" s="149"/>
      <c r="ECP48" s="149"/>
      <c r="ECQ48" s="149"/>
      <c r="ECR48" s="149"/>
      <c r="ECS48" s="149"/>
      <c r="ECT48" s="149"/>
      <c r="ECU48" s="149"/>
      <c r="ECV48" s="149"/>
      <c r="ECW48" s="149"/>
      <c r="ECX48" s="149"/>
      <c r="ECY48" s="149"/>
      <c r="ECZ48" s="149"/>
      <c r="EDA48" s="149"/>
      <c r="EDB48" s="149"/>
      <c r="EDC48" s="149"/>
      <c r="EDD48" s="149"/>
      <c r="EDE48" s="149"/>
      <c r="EDF48" s="149"/>
      <c r="EDG48" s="149"/>
      <c r="EDH48" s="149"/>
      <c r="EDI48" s="149"/>
      <c r="EDJ48" s="149"/>
      <c r="EDK48" s="149"/>
      <c r="EDL48" s="149"/>
      <c r="EDM48" s="149"/>
      <c r="EDN48" s="149"/>
      <c r="EDO48" s="149"/>
      <c r="EDP48" s="149"/>
      <c r="EDQ48" s="149"/>
      <c r="EDR48" s="149"/>
      <c r="EDS48" s="149"/>
      <c r="EDT48" s="149"/>
      <c r="EDU48" s="149"/>
      <c r="EDV48" s="149"/>
      <c r="EDW48" s="149"/>
      <c r="EDX48" s="149"/>
      <c r="EDY48" s="149"/>
      <c r="EDZ48" s="149"/>
      <c r="EEA48" s="149"/>
      <c r="EEB48" s="149"/>
      <c r="EEC48" s="149"/>
      <c r="EED48" s="149"/>
      <c r="EEE48" s="149"/>
      <c r="EEF48" s="149"/>
      <c r="EEG48" s="149"/>
      <c r="EEH48" s="149"/>
      <c r="EEI48" s="149"/>
      <c r="EEJ48" s="149"/>
      <c r="EEK48" s="149"/>
      <c r="EEL48" s="149"/>
      <c r="EEM48" s="149"/>
      <c r="EEN48" s="149"/>
      <c r="EEO48" s="149"/>
      <c r="EEP48" s="149"/>
      <c r="EEQ48" s="149"/>
      <c r="EER48" s="149"/>
      <c r="EES48" s="149"/>
      <c r="EET48" s="149"/>
      <c r="EEU48" s="149"/>
      <c r="EEV48" s="149"/>
      <c r="EEW48" s="149"/>
      <c r="EEX48" s="149"/>
      <c r="EEY48" s="149"/>
      <c r="EEZ48" s="149"/>
      <c r="EFA48" s="149"/>
      <c r="EFB48" s="149"/>
      <c r="EFC48" s="149"/>
      <c r="EFD48" s="149"/>
      <c r="EFE48" s="149"/>
      <c r="EFF48" s="149"/>
      <c r="EFG48" s="149"/>
      <c r="EFH48" s="149"/>
      <c r="EFI48" s="149"/>
      <c r="EFJ48" s="149"/>
      <c r="EFK48" s="149"/>
      <c r="EFL48" s="149"/>
      <c r="EFM48" s="149"/>
      <c r="EFN48" s="149"/>
      <c r="EFO48" s="149"/>
      <c r="EFP48" s="149"/>
      <c r="EFQ48" s="149"/>
      <c r="EFR48" s="149"/>
      <c r="EFS48" s="149"/>
      <c r="EFT48" s="149"/>
      <c r="EFU48" s="149"/>
      <c r="EFV48" s="149"/>
      <c r="EFW48" s="149"/>
      <c r="EFX48" s="149"/>
      <c r="EFY48" s="149"/>
      <c r="EFZ48" s="149"/>
      <c r="EGA48" s="149"/>
      <c r="EGB48" s="149"/>
      <c r="EGC48" s="149"/>
      <c r="EGD48" s="149"/>
      <c r="EGE48" s="149"/>
      <c r="EGF48" s="149"/>
      <c r="EGG48" s="149"/>
      <c r="EGH48" s="149"/>
      <c r="EGI48" s="149"/>
      <c r="EGJ48" s="149"/>
      <c r="EGK48" s="149"/>
      <c r="EGL48" s="149"/>
      <c r="EGM48" s="149"/>
      <c r="EGN48" s="149"/>
      <c r="EGO48" s="149"/>
      <c r="EGP48" s="149"/>
      <c r="EGQ48" s="149"/>
      <c r="EGR48" s="149"/>
      <c r="EGS48" s="149"/>
      <c r="EGT48" s="149"/>
      <c r="EGU48" s="149"/>
      <c r="EGV48" s="149"/>
      <c r="EGW48" s="149"/>
      <c r="EGX48" s="149"/>
      <c r="EGY48" s="149"/>
      <c r="EGZ48" s="149"/>
      <c r="EHA48" s="149"/>
      <c r="EHB48" s="149"/>
      <c r="EHC48" s="149"/>
      <c r="EHD48" s="149"/>
      <c r="EHE48" s="149"/>
      <c r="EHF48" s="149"/>
      <c r="EHG48" s="149"/>
      <c r="EHH48" s="149"/>
      <c r="EHI48" s="149"/>
      <c r="EHJ48" s="149"/>
      <c r="EHK48" s="149"/>
      <c r="EHL48" s="149"/>
      <c r="EHM48" s="149"/>
      <c r="EHN48" s="149"/>
      <c r="EHO48" s="149"/>
      <c r="EHP48" s="149"/>
      <c r="EHQ48" s="149"/>
      <c r="EHR48" s="149"/>
      <c r="EHS48" s="149"/>
      <c r="EHT48" s="149"/>
      <c r="EHU48" s="149"/>
      <c r="EHV48" s="149"/>
      <c r="EHW48" s="149"/>
      <c r="EHX48" s="149"/>
      <c r="EHY48" s="149"/>
      <c r="EHZ48" s="149"/>
      <c r="EIA48" s="149"/>
      <c r="EIB48" s="149"/>
      <c r="EIC48" s="149"/>
      <c r="EID48" s="149"/>
      <c r="EIE48" s="149"/>
      <c r="EIF48" s="149"/>
      <c r="EIG48" s="149"/>
      <c r="EIH48" s="149"/>
      <c r="EII48" s="149"/>
      <c r="EIJ48" s="149"/>
      <c r="EIK48" s="149"/>
      <c r="EIL48" s="149"/>
      <c r="EIM48" s="149"/>
      <c r="EIN48" s="149"/>
      <c r="EIO48" s="149"/>
      <c r="EIP48" s="149"/>
      <c r="EIQ48" s="149"/>
      <c r="EIR48" s="149"/>
      <c r="EIS48" s="149"/>
      <c r="EIT48" s="149"/>
      <c r="EIU48" s="149"/>
      <c r="EIV48" s="149"/>
      <c r="EIW48" s="149"/>
      <c r="EIX48" s="149"/>
      <c r="EIY48" s="149"/>
      <c r="EIZ48" s="149"/>
      <c r="EJA48" s="149"/>
      <c r="EJB48" s="149"/>
      <c r="EJC48" s="149"/>
      <c r="EJD48" s="149"/>
      <c r="EJE48" s="149"/>
      <c r="EJF48" s="149"/>
      <c r="EJG48" s="149"/>
      <c r="EJH48" s="149"/>
      <c r="EJI48" s="149"/>
      <c r="EJJ48" s="149"/>
      <c r="EJK48" s="149"/>
      <c r="EJL48" s="149"/>
      <c r="EJM48" s="149"/>
      <c r="EJN48" s="149"/>
      <c r="EJO48" s="149"/>
      <c r="EJP48" s="149"/>
      <c r="EJQ48" s="149"/>
      <c r="EJR48" s="149"/>
      <c r="EJS48" s="149"/>
      <c r="EJT48" s="149"/>
      <c r="EJU48" s="149"/>
      <c r="EJV48" s="149"/>
      <c r="EJW48" s="149"/>
      <c r="EJX48" s="149"/>
      <c r="EJY48" s="149"/>
      <c r="EJZ48" s="149"/>
      <c r="EKA48" s="149"/>
      <c r="EKB48" s="149"/>
      <c r="EKC48" s="149"/>
      <c r="EKD48" s="149"/>
      <c r="EKE48" s="149"/>
      <c r="EKF48" s="149"/>
      <c r="EKG48" s="149"/>
      <c r="EKH48" s="149"/>
      <c r="EKI48" s="149"/>
      <c r="EKJ48" s="149"/>
      <c r="EKK48" s="149"/>
      <c r="EKL48" s="149"/>
      <c r="EKM48" s="149"/>
      <c r="EKN48" s="149"/>
      <c r="EKO48" s="149"/>
      <c r="EKP48" s="149"/>
      <c r="EKQ48" s="149"/>
      <c r="EKR48" s="149"/>
      <c r="EKS48" s="149"/>
      <c r="EKT48" s="149"/>
      <c r="EKU48" s="149"/>
      <c r="EKV48" s="149"/>
      <c r="EKW48" s="149"/>
      <c r="EKX48" s="149"/>
      <c r="EKY48" s="149"/>
      <c r="EKZ48" s="149"/>
      <c r="ELA48" s="149"/>
      <c r="ELB48" s="149"/>
      <c r="ELC48" s="149"/>
      <c r="ELD48" s="149"/>
      <c r="ELE48" s="149"/>
      <c r="ELF48" s="149"/>
      <c r="ELG48" s="149"/>
      <c r="ELH48" s="149"/>
      <c r="ELI48" s="149"/>
      <c r="ELJ48" s="149"/>
      <c r="ELK48" s="149"/>
      <c r="ELL48" s="149"/>
      <c r="ELM48" s="149"/>
      <c r="ELN48" s="149"/>
      <c r="ELO48" s="149"/>
      <c r="ELP48" s="149"/>
      <c r="ELQ48" s="149"/>
      <c r="ELR48" s="149"/>
      <c r="ELS48" s="149"/>
      <c r="ELT48" s="149"/>
      <c r="ELU48" s="149"/>
      <c r="ELV48" s="149"/>
      <c r="ELW48" s="149"/>
      <c r="ELX48" s="149"/>
      <c r="ELY48" s="149"/>
      <c r="ELZ48" s="149"/>
      <c r="EMA48" s="149"/>
      <c r="EMB48" s="149"/>
      <c r="EMC48" s="149"/>
      <c r="EMD48" s="149"/>
      <c r="EME48" s="149"/>
      <c r="EMF48" s="149"/>
      <c r="EMG48" s="149"/>
      <c r="EMH48" s="149"/>
      <c r="EMI48" s="149"/>
      <c r="EMJ48" s="149"/>
      <c r="EMK48" s="149"/>
      <c r="EML48" s="149"/>
      <c r="EMM48" s="149"/>
      <c r="EMN48" s="149"/>
      <c r="EMO48" s="149"/>
      <c r="EMP48" s="149"/>
      <c r="EMQ48" s="149"/>
      <c r="EMR48" s="149"/>
      <c r="EMS48" s="149"/>
      <c r="EMT48" s="149"/>
      <c r="EMU48" s="149"/>
      <c r="EMV48" s="149"/>
      <c r="EMW48" s="149"/>
      <c r="EMX48" s="149"/>
      <c r="EMY48" s="149"/>
      <c r="EMZ48" s="149"/>
      <c r="ENA48" s="149"/>
      <c r="ENB48" s="149"/>
      <c r="ENC48" s="149"/>
      <c r="END48" s="149"/>
      <c r="ENE48" s="149"/>
      <c r="ENF48" s="149"/>
      <c r="ENG48" s="149"/>
      <c r="ENH48" s="149"/>
      <c r="ENI48" s="149"/>
      <c r="ENJ48" s="149"/>
      <c r="ENK48" s="149"/>
      <c r="ENL48" s="149"/>
      <c r="ENM48" s="149"/>
      <c r="ENN48" s="149"/>
      <c r="ENO48" s="149"/>
      <c r="ENP48" s="149"/>
      <c r="ENQ48" s="149"/>
      <c r="ENR48" s="149"/>
      <c r="ENS48" s="149"/>
      <c r="ENT48" s="149"/>
      <c r="ENU48" s="149"/>
      <c r="ENV48" s="149"/>
      <c r="ENW48" s="149"/>
      <c r="ENX48" s="149"/>
      <c r="ENY48" s="149"/>
      <c r="ENZ48" s="149"/>
      <c r="EOA48" s="149"/>
      <c r="EOB48" s="149"/>
      <c r="EOC48" s="149"/>
      <c r="EOD48" s="149"/>
      <c r="EOE48" s="149"/>
      <c r="EOF48" s="149"/>
      <c r="EOG48" s="149"/>
      <c r="EOH48" s="149"/>
      <c r="EOI48" s="149"/>
      <c r="EOJ48" s="149"/>
      <c r="EOK48" s="149"/>
      <c r="EOL48" s="149"/>
      <c r="EOM48" s="149"/>
      <c r="EON48" s="149"/>
      <c r="EOO48" s="149"/>
      <c r="EOP48" s="149"/>
      <c r="EOQ48" s="149"/>
      <c r="EOR48" s="149"/>
      <c r="EOS48" s="149"/>
      <c r="EOT48" s="149"/>
      <c r="EOU48" s="149"/>
      <c r="EOV48" s="149"/>
      <c r="EOW48" s="149"/>
      <c r="EOX48" s="149"/>
      <c r="EOY48" s="149"/>
      <c r="EOZ48" s="149"/>
      <c r="EPA48" s="149"/>
      <c r="EPB48" s="149"/>
      <c r="EPC48" s="149"/>
      <c r="EPD48" s="149"/>
      <c r="EPE48" s="149"/>
      <c r="EPF48" s="149"/>
      <c r="EPG48" s="149"/>
      <c r="EPH48" s="149"/>
      <c r="EPI48" s="149"/>
      <c r="EPJ48" s="149"/>
      <c r="EPK48" s="149"/>
      <c r="EPL48" s="149"/>
      <c r="EPM48" s="149"/>
      <c r="EPN48" s="149"/>
      <c r="EPO48" s="149"/>
      <c r="EPP48" s="149"/>
      <c r="EPQ48" s="149"/>
      <c r="EPR48" s="149"/>
      <c r="EPS48" s="149"/>
      <c r="EPT48" s="149"/>
      <c r="EPU48" s="149"/>
      <c r="EPV48" s="149"/>
      <c r="EPW48" s="149"/>
      <c r="EPX48" s="149"/>
      <c r="EPY48" s="149"/>
      <c r="EPZ48" s="149"/>
      <c r="EQA48" s="149"/>
      <c r="EQB48" s="149"/>
      <c r="EQC48" s="149"/>
      <c r="EQD48" s="149"/>
      <c r="EQE48" s="149"/>
      <c r="EQF48" s="149"/>
      <c r="EQG48" s="149"/>
      <c r="EQH48" s="149"/>
      <c r="EQI48" s="149"/>
      <c r="EQJ48" s="149"/>
      <c r="EQK48" s="149"/>
      <c r="EQL48" s="149"/>
      <c r="EQM48" s="149"/>
      <c r="EQN48" s="149"/>
      <c r="EQO48" s="149"/>
      <c r="EQP48" s="149"/>
      <c r="EQQ48" s="149"/>
      <c r="EQR48" s="149"/>
      <c r="EQS48" s="149"/>
      <c r="EQT48" s="149"/>
      <c r="EQU48" s="149"/>
      <c r="EQV48" s="149"/>
      <c r="EQW48" s="149"/>
      <c r="EQX48" s="149"/>
      <c r="EQY48" s="149"/>
      <c r="EQZ48" s="149"/>
      <c r="ERA48" s="149"/>
      <c r="ERB48" s="149"/>
      <c r="ERC48" s="149"/>
      <c r="ERD48" s="149"/>
      <c r="ERE48" s="149"/>
      <c r="ERF48" s="149"/>
      <c r="ERG48" s="149"/>
      <c r="ERH48" s="149"/>
      <c r="ERI48" s="149"/>
      <c r="ERJ48" s="149"/>
      <c r="ERK48" s="149"/>
      <c r="ERL48" s="149"/>
      <c r="ERM48" s="149"/>
      <c r="ERN48" s="149"/>
      <c r="ERO48" s="149"/>
      <c r="ERP48" s="149"/>
      <c r="ERQ48" s="149"/>
      <c r="ERR48" s="149"/>
      <c r="ERS48" s="149"/>
      <c r="ERT48" s="149"/>
      <c r="ERU48" s="149"/>
      <c r="ERV48" s="149"/>
      <c r="ERW48" s="149"/>
      <c r="ERX48" s="149"/>
      <c r="ERY48" s="149"/>
      <c r="ERZ48" s="149"/>
      <c r="ESA48" s="149"/>
      <c r="ESB48" s="149"/>
      <c r="ESC48" s="149"/>
      <c r="ESD48" s="149"/>
      <c r="ESE48" s="149"/>
      <c r="ESF48" s="149"/>
      <c r="ESG48" s="149"/>
      <c r="ESH48" s="149"/>
      <c r="ESI48" s="149"/>
      <c r="ESJ48" s="149"/>
      <c r="ESK48" s="149"/>
      <c r="ESL48" s="149"/>
      <c r="ESM48" s="149"/>
      <c r="ESN48" s="149"/>
      <c r="ESO48" s="149"/>
      <c r="ESP48" s="149"/>
      <c r="ESQ48" s="149"/>
      <c r="ESR48" s="149"/>
      <c r="ESS48" s="149"/>
      <c r="EST48" s="149"/>
      <c r="ESU48" s="149"/>
      <c r="ESV48" s="149"/>
      <c r="ESW48" s="149"/>
      <c r="ESX48" s="149"/>
      <c r="ESY48" s="149"/>
      <c r="ESZ48" s="149"/>
      <c r="ETA48" s="149"/>
      <c r="ETB48" s="149"/>
      <c r="ETC48" s="149"/>
      <c r="ETD48" s="149"/>
      <c r="ETE48" s="149"/>
      <c r="ETF48" s="149"/>
      <c r="ETG48" s="149"/>
      <c r="ETH48" s="149"/>
      <c r="ETI48" s="149"/>
      <c r="ETJ48" s="149"/>
      <c r="ETK48" s="149"/>
      <c r="ETL48" s="149"/>
      <c r="ETM48" s="149"/>
      <c r="ETN48" s="149"/>
      <c r="ETO48" s="149"/>
      <c r="ETP48" s="149"/>
      <c r="ETQ48" s="149"/>
      <c r="ETR48" s="149"/>
      <c r="ETS48" s="149"/>
      <c r="ETT48" s="149"/>
      <c r="ETU48" s="149"/>
      <c r="ETV48" s="149"/>
      <c r="ETW48" s="149"/>
      <c r="ETX48" s="149"/>
      <c r="ETY48" s="149"/>
      <c r="ETZ48" s="149"/>
      <c r="EUA48" s="149"/>
      <c r="EUB48" s="149"/>
      <c r="EUC48" s="149"/>
      <c r="EUD48" s="149"/>
      <c r="EUE48" s="149"/>
      <c r="EUF48" s="149"/>
      <c r="EUG48" s="149"/>
      <c r="EUH48" s="149"/>
      <c r="EUI48" s="149"/>
      <c r="EUJ48" s="149"/>
      <c r="EUK48" s="149"/>
      <c r="EUL48" s="149"/>
      <c r="EUM48" s="149"/>
      <c r="EUN48" s="149"/>
      <c r="EUO48" s="149"/>
      <c r="EUP48" s="149"/>
      <c r="EUQ48" s="149"/>
      <c r="EUR48" s="149"/>
      <c r="EUS48" s="149"/>
      <c r="EUT48" s="149"/>
      <c r="EUU48" s="149"/>
      <c r="EUV48" s="149"/>
      <c r="EUW48" s="149"/>
      <c r="EUX48" s="149"/>
      <c r="EUY48" s="149"/>
      <c r="EUZ48" s="149"/>
      <c r="EVA48" s="149"/>
      <c r="EVB48" s="149"/>
      <c r="EVC48" s="149"/>
      <c r="EVD48" s="149"/>
      <c r="EVE48" s="149"/>
      <c r="EVF48" s="149"/>
      <c r="EVG48" s="149"/>
      <c r="EVH48" s="149"/>
      <c r="EVI48" s="149"/>
      <c r="EVJ48" s="149"/>
      <c r="EVK48" s="149"/>
      <c r="EVL48" s="149"/>
      <c r="EVM48" s="149"/>
      <c r="EVN48" s="149"/>
      <c r="EVO48" s="149"/>
      <c r="EVP48" s="149"/>
      <c r="EVQ48" s="149"/>
      <c r="EVR48" s="149"/>
      <c r="EVS48" s="149"/>
      <c r="EVT48" s="149"/>
      <c r="EVU48" s="149"/>
      <c r="EVV48" s="149"/>
      <c r="EVW48" s="149"/>
      <c r="EVX48" s="149"/>
      <c r="EVY48" s="149"/>
      <c r="EVZ48" s="149"/>
      <c r="EWA48" s="149"/>
      <c r="EWB48" s="149"/>
      <c r="EWC48" s="149"/>
      <c r="EWD48" s="149"/>
      <c r="EWE48" s="149"/>
      <c r="EWF48" s="149"/>
      <c r="EWG48" s="149"/>
      <c r="EWH48" s="149"/>
      <c r="EWI48" s="149"/>
      <c r="EWJ48" s="149"/>
      <c r="EWK48" s="149"/>
      <c r="EWL48" s="149"/>
      <c r="EWM48" s="149"/>
      <c r="EWN48" s="149"/>
      <c r="EWO48" s="149"/>
      <c r="EWP48" s="149"/>
      <c r="EWQ48" s="149"/>
      <c r="EWR48" s="149"/>
      <c r="EWS48" s="149"/>
      <c r="EWT48" s="149"/>
      <c r="EWU48" s="149"/>
      <c r="EWV48" s="149"/>
      <c r="EWW48" s="149"/>
      <c r="EWX48" s="149"/>
      <c r="EWY48" s="149"/>
      <c r="EWZ48" s="149"/>
      <c r="EXA48" s="149"/>
      <c r="EXB48" s="149"/>
      <c r="EXC48" s="149"/>
      <c r="EXD48" s="149"/>
      <c r="EXE48" s="149"/>
      <c r="EXF48" s="149"/>
      <c r="EXG48" s="149"/>
      <c r="EXH48" s="149"/>
      <c r="EXI48" s="149"/>
      <c r="EXJ48" s="149"/>
      <c r="EXK48" s="149"/>
      <c r="EXL48" s="149"/>
      <c r="EXM48" s="149"/>
      <c r="EXN48" s="149"/>
      <c r="EXO48" s="149"/>
      <c r="EXP48" s="149"/>
      <c r="EXQ48" s="149"/>
      <c r="EXR48" s="149"/>
      <c r="EXS48" s="149"/>
      <c r="EXT48" s="149"/>
      <c r="EXU48" s="149"/>
      <c r="EXV48" s="149"/>
      <c r="EXW48" s="149"/>
      <c r="EXX48" s="149"/>
      <c r="EXY48" s="149"/>
      <c r="EXZ48" s="149"/>
      <c r="EYA48" s="149"/>
      <c r="EYB48" s="149"/>
      <c r="EYC48" s="149"/>
      <c r="EYD48" s="149"/>
      <c r="EYE48" s="149"/>
      <c r="EYF48" s="149"/>
      <c r="EYG48" s="149"/>
      <c r="EYH48" s="149"/>
      <c r="EYI48" s="149"/>
      <c r="EYJ48" s="149"/>
      <c r="EYK48" s="149"/>
      <c r="EYL48" s="149"/>
      <c r="EYM48" s="149"/>
      <c r="EYN48" s="149"/>
      <c r="EYO48" s="149"/>
      <c r="EYP48" s="149"/>
      <c r="EYQ48" s="149"/>
      <c r="EYR48" s="149"/>
      <c r="EYS48" s="149"/>
      <c r="EYT48" s="149"/>
      <c r="EYU48" s="149"/>
      <c r="EYV48" s="149"/>
      <c r="EYW48" s="149"/>
      <c r="EYX48" s="149"/>
      <c r="EYY48" s="149"/>
      <c r="EYZ48" s="149"/>
      <c r="EZA48" s="149"/>
      <c r="EZB48" s="149"/>
      <c r="EZC48" s="149"/>
      <c r="EZD48" s="149"/>
      <c r="EZE48" s="149"/>
      <c r="EZF48" s="149"/>
      <c r="EZG48" s="149"/>
      <c r="EZH48" s="149"/>
      <c r="EZI48" s="149"/>
      <c r="EZJ48" s="149"/>
      <c r="EZK48" s="149"/>
      <c r="EZL48" s="149"/>
      <c r="EZM48" s="149"/>
      <c r="EZN48" s="149"/>
      <c r="EZO48" s="149"/>
      <c r="EZP48" s="149"/>
      <c r="EZQ48" s="149"/>
      <c r="EZR48" s="149"/>
      <c r="EZS48" s="149"/>
      <c r="EZT48" s="149"/>
      <c r="EZU48" s="149"/>
      <c r="EZV48" s="149"/>
      <c r="EZW48" s="149"/>
      <c r="EZX48" s="149"/>
      <c r="EZY48" s="149"/>
      <c r="EZZ48" s="149"/>
      <c r="FAA48" s="149"/>
      <c r="FAB48" s="149"/>
      <c r="FAC48" s="149"/>
      <c r="FAD48" s="149"/>
      <c r="FAE48" s="149"/>
      <c r="FAF48" s="149"/>
      <c r="FAG48" s="149"/>
      <c r="FAH48" s="149"/>
      <c r="FAI48" s="149"/>
      <c r="FAJ48" s="149"/>
      <c r="FAK48" s="149"/>
      <c r="FAL48" s="149"/>
      <c r="FAM48" s="149"/>
      <c r="FAN48" s="149"/>
      <c r="FAO48" s="149"/>
      <c r="FAP48" s="149"/>
      <c r="FAQ48" s="149"/>
      <c r="FAR48" s="149"/>
      <c r="FAS48" s="149"/>
      <c r="FAT48" s="149"/>
      <c r="FAU48" s="149"/>
      <c r="FAV48" s="149"/>
      <c r="FAW48" s="149"/>
      <c r="FAX48" s="149"/>
      <c r="FAY48" s="149"/>
      <c r="FAZ48" s="149"/>
      <c r="FBA48" s="149"/>
      <c r="FBB48" s="149"/>
      <c r="FBC48" s="149"/>
      <c r="FBD48" s="149"/>
      <c r="FBE48" s="149"/>
      <c r="FBF48" s="149"/>
      <c r="FBG48" s="149"/>
      <c r="FBH48" s="149"/>
      <c r="FBI48" s="149"/>
      <c r="FBJ48" s="149"/>
      <c r="FBK48" s="149"/>
      <c r="FBL48" s="149"/>
      <c r="FBM48" s="149"/>
      <c r="FBN48" s="149"/>
      <c r="FBO48" s="149"/>
      <c r="FBP48" s="149"/>
      <c r="FBQ48" s="149"/>
      <c r="FBR48" s="149"/>
      <c r="FBS48" s="149"/>
      <c r="FBT48" s="149"/>
      <c r="FBU48" s="149"/>
      <c r="FBV48" s="149"/>
      <c r="FBW48" s="149"/>
      <c r="FBX48" s="149"/>
      <c r="FBY48" s="149"/>
      <c r="FBZ48" s="149"/>
      <c r="FCA48" s="149"/>
      <c r="FCB48" s="149"/>
      <c r="FCC48" s="149"/>
      <c r="FCD48" s="149"/>
      <c r="FCE48" s="149"/>
      <c r="FCF48" s="149"/>
      <c r="FCG48" s="149"/>
      <c r="FCH48" s="149"/>
      <c r="FCI48" s="149"/>
      <c r="FCJ48" s="149"/>
      <c r="FCK48" s="149"/>
      <c r="FCL48" s="149"/>
      <c r="FCM48" s="149"/>
      <c r="FCN48" s="149"/>
      <c r="FCO48" s="149"/>
      <c r="FCP48" s="149"/>
      <c r="FCQ48" s="149"/>
      <c r="FCR48" s="149"/>
      <c r="FCS48" s="149"/>
      <c r="FCT48" s="149"/>
      <c r="FCU48" s="149"/>
      <c r="FCV48" s="149"/>
      <c r="FCW48" s="149"/>
      <c r="FCX48" s="149"/>
      <c r="FCY48" s="149"/>
      <c r="FCZ48" s="149"/>
      <c r="FDA48" s="149"/>
      <c r="FDB48" s="149"/>
      <c r="FDC48" s="149"/>
      <c r="FDD48" s="149"/>
      <c r="FDE48" s="149"/>
      <c r="FDF48" s="149"/>
      <c r="FDG48" s="149"/>
      <c r="FDH48" s="149"/>
      <c r="FDI48" s="149"/>
      <c r="FDJ48" s="149"/>
      <c r="FDK48" s="149"/>
      <c r="FDL48" s="149"/>
      <c r="FDM48" s="149"/>
      <c r="FDN48" s="149"/>
      <c r="FDO48" s="149"/>
      <c r="FDP48" s="149"/>
      <c r="FDQ48" s="149"/>
      <c r="FDR48" s="149"/>
      <c r="FDS48" s="149"/>
      <c r="FDT48" s="149"/>
      <c r="FDU48" s="149"/>
      <c r="FDV48" s="149"/>
      <c r="FDW48" s="149"/>
      <c r="FDX48" s="149"/>
      <c r="FDY48" s="149"/>
      <c r="FDZ48" s="149"/>
      <c r="FEA48" s="149"/>
      <c r="FEB48" s="149"/>
      <c r="FEC48" s="149"/>
      <c r="FED48" s="149"/>
      <c r="FEE48" s="149"/>
      <c r="FEF48" s="149"/>
      <c r="FEG48" s="149"/>
      <c r="FEH48" s="149"/>
      <c r="FEI48" s="149"/>
      <c r="FEJ48" s="149"/>
      <c r="FEK48" s="149"/>
      <c r="FEL48" s="149"/>
      <c r="FEM48" s="149"/>
      <c r="FEN48" s="149"/>
      <c r="FEO48" s="149"/>
      <c r="FEP48" s="149"/>
      <c r="FEQ48" s="149"/>
      <c r="FER48" s="149"/>
      <c r="FES48" s="149"/>
      <c r="FET48" s="149"/>
      <c r="FEU48" s="149"/>
      <c r="FEV48" s="149"/>
      <c r="FEW48" s="149"/>
      <c r="FEX48" s="149"/>
      <c r="FEY48" s="149"/>
      <c r="FEZ48" s="149"/>
      <c r="FFA48" s="149"/>
      <c r="FFB48" s="149"/>
      <c r="FFC48" s="149"/>
      <c r="FFD48" s="149"/>
      <c r="FFE48" s="149"/>
      <c r="FFF48" s="149"/>
      <c r="FFG48" s="149"/>
      <c r="FFH48" s="149"/>
      <c r="FFI48" s="149"/>
      <c r="FFJ48" s="149"/>
      <c r="FFK48" s="149"/>
      <c r="FFL48" s="149"/>
      <c r="FFM48" s="149"/>
      <c r="FFN48" s="149"/>
      <c r="FFO48" s="149"/>
      <c r="FFP48" s="149"/>
      <c r="FFQ48" s="149"/>
      <c r="FFR48" s="149"/>
      <c r="FFS48" s="149"/>
      <c r="FFT48" s="149"/>
      <c r="FFU48" s="149"/>
      <c r="FFV48" s="149"/>
      <c r="FFW48" s="149"/>
      <c r="FFX48" s="149"/>
      <c r="FFY48" s="149"/>
      <c r="FFZ48" s="149"/>
      <c r="FGA48" s="149"/>
      <c r="FGB48" s="149"/>
      <c r="FGC48" s="149"/>
      <c r="FGD48" s="149"/>
      <c r="FGE48" s="149"/>
      <c r="FGF48" s="149"/>
      <c r="FGG48" s="149"/>
      <c r="FGH48" s="149"/>
      <c r="FGI48" s="149"/>
      <c r="FGJ48" s="149"/>
      <c r="FGK48" s="149"/>
      <c r="FGL48" s="149"/>
      <c r="FGM48" s="149"/>
      <c r="FGN48" s="149"/>
      <c r="FGO48" s="149"/>
      <c r="FGP48" s="149"/>
      <c r="FGQ48" s="149"/>
      <c r="FGR48" s="149"/>
      <c r="FGS48" s="149"/>
      <c r="FGT48" s="149"/>
      <c r="FGU48" s="149"/>
      <c r="FGV48" s="149"/>
      <c r="FGW48" s="149"/>
      <c r="FGX48" s="149"/>
      <c r="FGY48" s="149"/>
      <c r="FGZ48" s="149"/>
      <c r="FHA48" s="149"/>
      <c r="FHB48" s="149"/>
      <c r="FHC48" s="149"/>
      <c r="FHD48" s="149"/>
      <c r="FHE48" s="149"/>
      <c r="FHF48" s="149"/>
      <c r="FHG48" s="149"/>
      <c r="FHH48" s="149"/>
      <c r="FHI48" s="149"/>
      <c r="FHJ48" s="149"/>
      <c r="FHK48" s="149"/>
      <c r="FHL48" s="149"/>
      <c r="FHM48" s="149"/>
      <c r="FHN48" s="149"/>
      <c r="FHO48" s="149"/>
      <c r="FHP48" s="149"/>
      <c r="FHQ48" s="149"/>
      <c r="FHR48" s="149"/>
      <c r="FHS48" s="149"/>
      <c r="FHT48" s="149"/>
      <c r="FHU48" s="149"/>
      <c r="FHV48" s="149"/>
      <c r="FHW48" s="149"/>
      <c r="FHX48" s="149"/>
      <c r="FHY48" s="149"/>
      <c r="FHZ48" s="149"/>
      <c r="FIA48" s="149"/>
      <c r="FIB48" s="149"/>
      <c r="FIC48" s="149"/>
      <c r="FID48" s="149"/>
      <c r="FIE48" s="149"/>
      <c r="FIF48" s="149"/>
      <c r="FIG48" s="149"/>
      <c r="FIH48" s="149"/>
      <c r="FII48" s="149"/>
      <c r="FIJ48" s="149"/>
      <c r="FIK48" s="149"/>
      <c r="FIL48" s="149"/>
      <c r="FIM48" s="149"/>
      <c r="FIN48" s="149"/>
      <c r="FIO48" s="149"/>
      <c r="FIP48" s="149"/>
      <c r="FIQ48" s="149"/>
      <c r="FIR48" s="149"/>
      <c r="FIS48" s="149"/>
      <c r="FIT48" s="149"/>
      <c r="FIU48" s="149"/>
      <c r="FIV48" s="149"/>
      <c r="FIW48" s="149"/>
      <c r="FIX48" s="149"/>
      <c r="FIY48" s="149"/>
      <c r="FIZ48" s="149"/>
      <c r="FJA48" s="149"/>
      <c r="FJB48" s="149"/>
      <c r="FJC48" s="149"/>
      <c r="FJD48" s="149"/>
      <c r="FJE48" s="149"/>
      <c r="FJF48" s="149"/>
      <c r="FJG48" s="149"/>
      <c r="FJH48" s="149"/>
      <c r="FJI48" s="149"/>
      <c r="FJJ48" s="149"/>
      <c r="FJK48" s="149"/>
      <c r="FJL48" s="149"/>
      <c r="FJM48" s="149"/>
      <c r="FJN48" s="149"/>
      <c r="FJO48" s="149"/>
      <c r="FJP48" s="149"/>
      <c r="FJQ48" s="149"/>
      <c r="FJR48" s="149"/>
      <c r="FJS48" s="149"/>
      <c r="FJT48" s="149"/>
      <c r="FJU48" s="149"/>
      <c r="FJV48" s="149"/>
      <c r="FJW48" s="149"/>
      <c r="FJX48" s="149"/>
      <c r="FJY48" s="149"/>
      <c r="FJZ48" s="149"/>
      <c r="FKA48" s="149"/>
      <c r="FKB48" s="149"/>
      <c r="FKC48" s="149"/>
      <c r="FKD48" s="149"/>
      <c r="FKE48" s="149"/>
      <c r="FKF48" s="149"/>
      <c r="FKG48" s="149"/>
      <c r="FKH48" s="149"/>
      <c r="FKI48" s="149"/>
      <c r="FKJ48" s="149"/>
      <c r="FKK48" s="149"/>
      <c r="FKL48" s="149"/>
      <c r="FKM48" s="149"/>
      <c r="FKN48" s="149"/>
      <c r="FKO48" s="149"/>
      <c r="FKP48" s="149"/>
      <c r="FKQ48" s="149"/>
      <c r="FKR48" s="149"/>
      <c r="FKS48" s="149"/>
      <c r="FKT48" s="149"/>
      <c r="FKU48" s="149"/>
      <c r="FKV48" s="149"/>
      <c r="FKW48" s="149"/>
      <c r="FKX48" s="149"/>
      <c r="FKY48" s="149"/>
      <c r="FKZ48" s="149"/>
      <c r="FLA48" s="149"/>
      <c r="FLB48" s="149"/>
      <c r="FLC48" s="149"/>
      <c r="FLD48" s="149"/>
      <c r="FLE48" s="149"/>
      <c r="FLF48" s="149"/>
      <c r="FLG48" s="149"/>
      <c r="FLH48" s="149"/>
      <c r="FLI48" s="149"/>
      <c r="FLJ48" s="149"/>
      <c r="FLK48" s="149"/>
      <c r="FLL48" s="149"/>
      <c r="FLM48" s="149"/>
      <c r="FLN48" s="149"/>
      <c r="FLO48" s="149"/>
      <c r="FLP48" s="149"/>
      <c r="FLQ48" s="149"/>
      <c r="FLR48" s="149"/>
      <c r="FLS48" s="149"/>
      <c r="FLT48" s="149"/>
      <c r="FLU48" s="149"/>
      <c r="FLV48" s="149"/>
      <c r="FLW48" s="149"/>
      <c r="FLX48" s="149"/>
      <c r="FLY48" s="149"/>
      <c r="FLZ48" s="149"/>
      <c r="FMA48" s="149"/>
      <c r="FMB48" s="149"/>
      <c r="FMC48" s="149"/>
      <c r="FMD48" s="149"/>
      <c r="FME48" s="149"/>
      <c r="FMF48" s="149"/>
      <c r="FMG48" s="149"/>
      <c r="FMH48" s="149"/>
      <c r="FMI48" s="149"/>
      <c r="FMJ48" s="149"/>
      <c r="FMK48" s="149"/>
      <c r="FML48" s="149"/>
      <c r="FMM48" s="149"/>
      <c r="FMN48" s="149"/>
      <c r="FMO48" s="149"/>
      <c r="FMP48" s="149"/>
      <c r="FMQ48" s="149"/>
      <c r="FMR48" s="149"/>
      <c r="FMS48" s="149"/>
      <c r="FMT48" s="149"/>
      <c r="FMU48" s="149"/>
      <c r="FMV48" s="149"/>
      <c r="FMW48" s="149"/>
      <c r="FMX48" s="149"/>
      <c r="FMY48" s="149"/>
      <c r="FMZ48" s="149"/>
      <c r="FNA48" s="149"/>
      <c r="FNB48" s="149"/>
      <c r="FNC48" s="149"/>
      <c r="FND48" s="149"/>
      <c r="FNE48" s="149"/>
      <c r="FNF48" s="149"/>
      <c r="FNG48" s="149"/>
      <c r="FNH48" s="149"/>
      <c r="FNI48" s="149"/>
      <c r="FNJ48" s="149"/>
      <c r="FNK48" s="149"/>
      <c r="FNL48" s="149"/>
      <c r="FNM48" s="149"/>
      <c r="FNN48" s="149"/>
      <c r="FNO48" s="149"/>
      <c r="FNP48" s="149"/>
      <c r="FNQ48" s="149"/>
      <c r="FNR48" s="149"/>
      <c r="FNS48" s="149"/>
      <c r="FNT48" s="149"/>
      <c r="FNU48" s="149"/>
      <c r="FNV48" s="149"/>
      <c r="FNW48" s="149"/>
      <c r="FNX48" s="149"/>
      <c r="FNY48" s="149"/>
      <c r="FNZ48" s="149"/>
      <c r="FOA48" s="149"/>
      <c r="FOB48" s="149"/>
      <c r="FOC48" s="149"/>
      <c r="FOD48" s="149"/>
      <c r="FOE48" s="149"/>
      <c r="FOF48" s="149"/>
      <c r="FOG48" s="149"/>
      <c r="FOH48" s="149"/>
      <c r="FOI48" s="149"/>
      <c r="FOJ48" s="149"/>
      <c r="FOK48" s="149"/>
      <c r="FOL48" s="149"/>
      <c r="FOM48" s="149"/>
      <c r="FON48" s="149"/>
      <c r="FOO48" s="149"/>
      <c r="FOP48" s="149"/>
      <c r="FOQ48" s="149"/>
      <c r="FOR48" s="149"/>
      <c r="FOS48" s="149"/>
      <c r="FOT48" s="149"/>
      <c r="FOU48" s="149"/>
      <c r="FOV48" s="149"/>
      <c r="FOW48" s="149"/>
      <c r="FOX48" s="149"/>
      <c r="FOY48" s="149"/>
      <c r="FOZ48" s="149"/>
      <c r="FPA48" s="149"/>
      <c r="FPB48" s="149"/>
      <c r="FPC48" s="149"/>
      <c r="FPD48" s="149"/>
      <c r="FPE48" s="149"/>
      <c r="FPF48" s="149"/>
      <c r="FPG48" s="149"/>
      <c r="FPH48" s="149"/>
      <c r="FPI48" s="149"/>
      <c r="FPJ48" s="149"/>
      <c r="FPK48" s="149"/>
      <c r="FPL48" s="149"/>
      <c r="FPM48" s="149"/>
      <c r="FPN48" s="149"/>
      <c r="FPO48" s="149"/>
      <c r="FPP48" s="149"/>
      <c r="FPQ48" s="149"/>
      <c r="FPR48" s="149"/>
      <c r="FPS48" s="149"/>
      <c r="FPT48" s="149"/>
      <c r="FPU48" s="149"/>
      <c r="FPV48" s="149"/>
      <c r="FPW48" s="149"/>
      <c r="FPX48" s="149"/>
      <c r="FPY48" s="149"/>
      <c r="FPZ48" s="149"/>
      <c r="FQA48" s="149"/>
      <c r="FQB48" s="149"/>
      <c r="FQC48" s="149"/>
      <c r="FQD48" s="149"/>
      <c r="FQE48" s="149"/>
      <c r="FQF48" s="149"/>
      <c r="FQG48" s="149"/>
      <c r="FQH48" s="149"/>
      <c r="FQI48" s="149"/>
      <c r="FQJ48" s="149"/>
      <c r="FQK48" s="149"/>
      <c r="FQL48" s="149"/>
      <c r="FQM48" s="149"/>
      <c r="FQN48" s="149"/>
      <c r="FQO48" s="149"/>
      <c r="FQP48" s="149"/>
      <c r="FQQ48" s="149"/>
      <c r="FQR48" s="149"/>
      <c r="FQS48" s="149"/>
      <c r="FQT48" s="149"/>
      <c r="FQU48" s="149"/>
      <c r="FQV48" s="149"/>
      <c r="FQW48" s="149"/>
      <c r="FQX48" s="149"/>
      <c r="FQY48" s="149"/>
      <c r="FQZ48" s="149"/>
      <c r="FRA48" s="149"/>
      <c r="FRB48" s="149"/>
      <c r="FRC48" s="149"/>
      <c r="FRD48" s="149"/>
      <c r="FRE48" s="149"/>
      <c r="FRF48" s="149"/>
      <c r="FRG48" s="149"/>
      <c r="FRH48" s="149"/>
      <c r="FRI48" s="149"/>
      <c r="FRJ48" s="149"/>
      <c r="FRK48" s="149"/>
      <c r="FRL48" s="149"/>
      <c r="FRM48" s="149"/>
      <c r="FRN48" s="149"/>
      <c r="FRO48" s="149"/>
      <c r="FRP48" s="149"/>
      <c r="FRQ48" s="149"/>
      <c r="FRR48" s="149"/>
      <c r="FRS48" s="149"/>
      <c r="FRT48" s="149"/>
      <c r="FRU48" s="149"/>
      <c r="FRV48" s="149"/>
      <c r="FRW48" s="149"/>
      <c r="FRX48" s="149"/>
      <c r="FRY48" s="149"/>
      <c r="FRZ48" s="149"/>
      <c r="FSA48" s="149"/>
      <c r="FSB48" s="149"/>
      <c r="FSC48" s="149"/>
      <c r="FSD48" s="149"/>
      <c r="FSE48" s="149"/>
      <c r="FSF48" s="149"/>
      <c r="FSG48" s="149"/>
      <c r="FSH48" s="149"/>
      <c r="FSI48" s="149"/>
      <c r="FSJ48" s="149"/>
      <c r="FSK48" s="149"/>
      <c r="FSL48" s="149"/>
      <c r="FSM48" s="149"/>
      <c r="FSN48" s="149"/>
      <c r="FSO48" s="149"/>
      <c r="FSP48" s="149"/>
      <c r="FSQ48" s="149"/>
      <c r="FSR48" s="149"/>
      <c r="FSS48" s="149"/>
      <c r="FST48" s="149"/>
      <c r="FSU48" s="149"/>
      <c r="FSV48" s="149"/>
      <c r="FSW48" s="149"/>
      <c r="FSX48" s="149"/>
      <c r="FSY48" s="149"/>
      <c r="FSZ48" s="149"/>
      <c r="FTA48" s="149"/>
      <c r="FTB48" s="149"/>
      <c r="FTC48" s="149"/>
      <c r="FTD48" s="149"/>
      <c r="FTE48" s="149"/>
      <c r="FTF48" s="149"/>
      <c r="FTG48" s="149"/>
      <c r="FTH48" s="149"/>
      <c r="FTI48" s="149"/>
      <c r="FTJ48" s="149"/>
      <c r="FTK48" s="149"/>
      <c r="FTL48" s="149"/>
      <c r="FTM48" s="149"/>
      <c r="FTN48" s="149"/>
      <c r="FTO48" s="149"/>
      <c r="FTP48" s="149"/>
      <c r="FTQ48" s="149"/>
      <c r="FTR48" s="149"/>
      <c r="FTS48" s="149"/>
      <c r="FTT48" s="149"/>
      <c r="FTU48" s="149"/>
      <c r="FTV48" s="149"/>
      <c r="FTW48" s="149"/>
      <c r="FTX48" s="149"/>
      <c r="FTY48" s="149"/>
      <c r="FTZ48" s="149"/>
      <c r="FUA48" s="149"/>
      <c r="FUB48" s="149"/>
      <c r="FUC48" s="149"/>
      <c r="FUD48" s="149"/>
      <c r="FUE48" s="149"/>
      <c r="FUF48" s="149"/>
      <c r="FUG48" s="149"/>
      <c r="FUH48" s="149"/>
      <c r="FUI48" s="149"/>
      <c r="FUJ48" s="149"/>
      <c r="FUK48" s="149"/>
      <c r="FUL48" s="149"/>
      <c r="FUM48" s="149"/>
      <c r="FUN48" s="149"/>
      <c r="FUO48" s="149"/>
      <c r="FUP48" s="149"/>
      <c r="FUQ48" s="149"/>
      <c r="FUR48" s="149"/>
      <c r="FUS48" s="149"/>
      <c r="FUT48" s="149"/>
      <c r="FUU48" s="149"/>
      <c r="FUV48" s="149"/>
      <c r="FUW48" s="149"/>
      <c r="FUX48" s="149"/>
      <c r="FUY48" s="149"/>
      <c r="FUZ48" s="149"/>
      <c r="FVA48" s="149"/>
      <c r="FVB48" s="149"/>
      <c r="FVC48" s="149"/>
      <c r="FVD48" s="149"/>
      <c r="FVE48" s="149"/>
      <c r="FVF48" s="149"/>
      <c r="FVG48" s="149"/>
      <c r="FVH48" s="149"/>
      <c r="FVI48" s="149"/>
      <c r="FVJ48" s="149"/>
      <c r="FVK48" s="149"/>
      <c r="FVL48" s="149"/>
      <c r="FVM48" s="149"/>
      <c r="FVN48" s="149"/>
      <c r="FVO48" s="149"/>
      <c r="FVP48" s="149"/>
      <c r="FVQ48" s="149"/>
      <c r="FVR48" s="149"/>
      <c r="FVS48" s="149"/>
      <c r="FVT48" s="149"/>
      <c r="FVU48" s="149"/>
      <c r="FVV48" s="149"/>
      <c r="FVW48" s="149"/>
      <c r="FVX48" s="149"/>
      <c r="FVY48" s="149"/>
      <c r="FVZ48" s="149"/>
      <c r="FWA48" s="149"/>
      <c r="FWB48" s="149"/>
      <c r="FWC48" s="149"/>
      <c r="FWD48" s="149"/>
      <c r="FWE48" s="149"/>
      <c r="FWF48" s="149"/>
      <c r="FWG48" s="149"/>
      <c r="FWH48" s="149"/>
      <c r="FWI48" s="149"/>
      <c r="FWJ48" s="149"/>
      <c r="FWK48" s="149"/>
      <c r="FWL48" s="149"/>
      <c r="FWM48" s="149"/>
      <c r="FWN48" s="149"/>
      <c r="FWO48" s="149"/>
      <c r="FWP48" s="149"/>
      <c r="FWQ48" s="149"/>
      <c r="FWR48" s="149"/>
      <c r="FWS48" s="149"/>
      <c r="FWT48" s="149"/>
      <c r="FWU48" s="149"/>
      <c r="FWV48" s="149"/>
      <c r="FWW48" s="149"/>
      <c r="FWX48" s="149"/>
      <c r="FWY48" s="149"/>
      <c r="FWZ48" s="149"/>
      <c r="FXA48" s="149"/>
      <c r="FXB48" s="149"/>
      <c r="FXC48" s="149"/>
      <c r="FXD48" s="149"/>
      <c r="FXE48" s="149"/>
      <c r="FXF48" s="149"/>
      <c r="FXG48" s="149"/>
      <c r="FXH48" s="149"/>
      <c r="FXI48" s="149"/>
      <c r="FXJ48" s="149"/>
      <c r="FXK48" s="149"/>
      <c r="FXL48" s="149"/>
      <c r="FXM48" s="149"/>
      <c r="FXN48" s="149"/>
      <c r="FXO48" s="149"/>
      <c r="FXP48" s="149"/>
      <c r="FXQ48" s="149"/>
      <c r="FXR48" s="149"/>
      <c r="FXS48" s="149"/>
      <c r="FXT48" s="149"/>
      <c r="FXU48" s="149"/>
      <c r="FXV48" s="149"/>
      <c r="FXW48" s="149"/>
      <c r="FXX48" s="149"/>
      <c r="FXY48" s="149"/>
      <c r="FXZ48" s="149"/>
      <c r="FYA48" s="149"/>
      <c r="FYB48" s="149"/>
      <c r="FYC48" s="149"/>
      <c r="FYD48" s="149"/>
      <c r="FYE48" s="149"/>
      <c r="FYF48" s="149"/>
      <c r="FYG48" s="149"/>
      <c r="FYH48" s="149"/>
      <c r="FYI48" s="149"/>
      <c r="FYJ48" s="149"/>
      <c r="FYK48" s="149"/>
      <c r="FYL48" s="149"/>
      <c r="FYM48" s="149"/>
      <c r="FYN48" s="149"/>
      <c r="FYO48" s="149"/>
      <c r="FYP48" s="149"/>
      <c r="FYQ48" s="149"/>
      <c r="FYR48" s="149"/>
      <c r="FYS48" s="149"/>
      <c r="FYT48" s="149"/>
      <c r="FYU48" s="149"/>
      <c r="FYV48" s="149"/>
      <c r="FYW48" s="149"/>
      <c r="FYX48" s="149"/>
      <c r="FYY48" s="149"/>
      <c r="FYZ48" s="149"/>
      <c r="FZA48" s="149"/>
      <c r="FZB48" s="149"/>
      <c r="FZC48" s="149"/>
      <c r="FZD48" s="149"/>
      <c r="FZE48" s="149"/>
      <c r="FZF48" s="149"/>
      <c r="FZG48" s="149"/>
      <c r="FZH48" s="149"/>
      <c r="FZI48" s="149"/>
      <c r="FZJ48" s="149"/>
      <c r="FZK48" s="149"/>
      <c r="FZL48" s="149"/>
      <c r="FZM48" s="149"/>
      <c r="FZN48" s="149"/>
      <c r="FZO48" s="149"/>
      <c r="FZP48" s="149"/>
      <c r="FZQ48" s="149"/>
      <c r="FZR48" s="149"/>
      <c r="FZS48" s="149"/>
      <c r="FZT48" s="149"/>
      <c r="FZU48" s="149"/>
      <c r="FZV48" s="149"/>
      <c r="FZW48" s="149"/>
      <c r="FZX48" s="149"/>
      <c r="FZY48" s="149"/>
      <c r="FZZ48" s="149"/>
      <c r="GAA48" s="149"/>
      <c r="GAB48" s="149"/>
      <c r="GAC48" s="149"/>
      <c r="GAD48" s="149"/>
      <c r="GAE48" s="149"/>
      <c r="GAF48" s="149"/>
      <c r="GAG48" s="149"/>
      <c r="GAH48" s="149"/>
      <c r="GAI48" s="149"/>
      <c r="GAJ48" s="149"/>
      <c r="GAK48" s="149"/>
      <c r="GAL48" s="149"/>
      <c r="GAM48" s="149"/>
      <c r="GAN48" s="149"/>
      <c r="GAO48" s="149"/>
      <c r="GAP48" s="149"/>
      <c r="GAQ48" s="149"/>
      <c r="GAR48" s="149"/>
      <c r="GAS48" s="149"/>
      <c r="GAT48" s="149"/>
      <c r="GAU48" s="149"/>
      <c r="GAV48" s="149"/>
      <c r="GAW48" s="149"/>
      <c r="GAX48" s="149"/>
      <c r="GAY48" s="149"/>
      <c r="GAZ48" s="149"/>
      <c r="GBA48" s="149"/>
      <c r="GBB48" s="149"/>
      <c r="GBC48" s="149"/>
      <c r="GBD48" s="149"/>
      <c r="GBE48" s="149"/>
      <c r="GBF48" s="149"/>
      <c r="GBG48" s="149"/>
      <c r="GBH48" s="149"/>
      <c r="GBI48" s="149"/>
      <c r="GBJ48" s="149"/>
      <c r="GBK48" s="149"/>
      <c r="GBL48" s="149"/>
      <c r="GBM48" s="149"/>
      <c r="GBN48" s="149"/>
      <c r="GBO48" s="149"/>
      <c r="GBP48" s="149"/>
      <c r="GBQ48" s="149"/>
      <c r="GBR48" s="149"/>
      <c r="GBS48" s="149"/>
      <c r="GBT48" s="149"/>
      <c r="GBU48" s="149"/>
      <c r="GBV48" s="149"/>
      <c r="GBW48" s="149"/>
      <c r="GBX48" s="149"/>
      <c r="GBY48" s="149"/>
      <c r="GBZ48" s="149"/>
      <c r="GCA48" s="149"/>
      <c r="GCB48" s="149"/>
      <c r="GCC48" s="149"/>
      <c r="GCD48" s="149"/>
      <c r="GCE48" s="149"/>
      <c r="GCF48" s="149"/>
      <c r="GCG48" s="149"/>
      <c r="GCH48" s="149"/>
      <c r="GCI48" s="149"/>
      <c r="GCJ48" s="149"/>
      <c r="GCK48" s="149"/>
      <c r="GCL48" s="149"/>
      <c r="GCM48" s="149"/>
      <c r="GCN48" s="149"/>
      <c r="GCO48" s="149"/>
      <c r="GCP48" s="149"/>
      <c r="GCQ48" s="149"/>
      <c r="GCR48" s="149"/>
      <c r="GCS48" s="149"/>
      <c r="GCT48" s="149"/>
      <c r="GCU48" s="149"/>
      <c r="GCV48" s="149"/>
      <c r="GCW48" s="149"/>
      <c r="GCX48" s="149"/>
      <c r="GCY48" s="149"/>
      <c r="GCZ48" s="149"/>
      <c r="GDA48" s="149"/>
      <c r="GDB48" s="149"/>
      <c r="GDC48" s="149"/>
      <c r="GDD48" s="149"/>
      <c r="GDE48" s="149"/>
      <c r="GDF48" s="149"/>
      <c r="GDG48" s="149"/>
      <c r="GDH48" s="149"/>
      <c r="GDI48" s="149"/>
      <c r="GDJ48" s="149"/>
      <c r="GDK48" s="149"/>
      <c r="GDL48" s="149"/>
      <c r="GDM48" s="149"/>
      <c r="GDN48" s="149"/>
      <c r="GDO48" s="149"/>
      <c r="GDP48" s="149"/>
      <c r="GDQ48" s="149"/>
      <c r="GDR48" s="149"/>
      <c r="GDS48" s="149"/>
      <c r="GDT48" s="149"/>
      <c r="GDU48" s="149"/>
      <c r="GDV48" s="149"/>
      <c r="GDW48" s="149"/>
      <c r="GDX48" s="149"/>
      <c r="GDY48" s="149"/>
      <c r="GDZ48" s="149"/>
      <c r="GEA48" s="149"/>
      <c r="GEB48" s="149"/>
      <c r="GEC48" s="149"/>
      <c r="GED48" s="149"/>
      <c r="GEE48" s="149"/>
      <c r="GEF48" s="149"/>
      <c r="GEG48" s="149"/>
      <c r="GEH48" s="149"/>
      <c r="GEI48" s="149"/>
      <c r="GEJ48" s="149"/>
      <c r="GEK48" s="149"/>
      <c r="GEL48" s="149"/>
      <c r="GEM48" s="149"/>
      <c r="GEN48" s="149"/>
      <c r="GEO48" s="149"/>
      <c r="GEP48" s="149"/>
      <c r="GEQ48" s="149"/>
      <c r="GER48" s="149"/>
      <c r="GES48" s="149"/>
      <c r="GET48" s="149"/>
      <c r="GEU48" s="149"/>
      <c r="GEV48" s="149"/>
      <c r="GEW48" s="149"/>
      <c r="GEX48" s="149"/>
      <c r="GEY48" s="149"/>
      <c r="GEZ48" s="149"/>
      <c r="GFA48" s="149"/>
      <c r="GFB48" s="149"/>
      <c r="GFC48" s="149"/>
      <c r="GFD48" s="149"/>
      <c r="GFE48" s="149"/>
      <c r="GFF48" s="149"/>
      <c r="GFG48" s="149"/>
      <c r="GFH48" s="149"/>
      <c r="GFI48" s="149"/>
      <c r="GFJ48" s="149"/>
      <c r="GFK48" s="149"/>
      <c r="GFL48" s="149"/>
      <c r="GFM48" s="149"/>
      <c r="GFN48" s="149"/>
      <c r="GFO48" s="149"/>
      <c r="GFP48" s="149"/>
      <c r="GFQ48" s="149"/>
      <c r="GFR48" s="149"/>
      <c r="GFS48" s="149"/>
      <c r="GFT48" s="149"/>
      <c r="GFU48" s="149"/>
      <c r="GFV48" s="149"/>
      <c r="GFW48" s="149"/>
      <c r="GFX48" s="149"/>
      <c r="GFY48" s="149"/>
      <c r="GFZ48" s="149"/>
      <c r="GGA48" s="149"/>
      <c r="GGB48" s="149"/>
      <c r="GGC48" s="149"/>
      <c r="GGD48" s="149"/>
      <c r="GGE48" s="149"/>
      <c r="GGF48" s="149"/>
      <c r="GGG48" s="149"/>
      <c r="GGH48" s="149"/>
      <c r="GGI48" s="149"/>
      <c r="GGJ48" s="149"/>
      <c r="GGK48" s="149"/>
      <c r="GGL48" s="149"/>
      <c r="GGM48" s="149"/>
      <c r="GGN48" s="149"/>
      <c r="GGO48" s="149"/>
      <c r="GGP48" s="149"/>
      <c r="GGQ48" s="149"/>
      <c r="GGR48" s="149"/>
      <c r="GGS48" s="149"/>
      <c r="GGT48" s="149"/>
      <c r="GGU48" s="149"/>
      <c r="GGV48" s="149"/>
      <c r="GGW48" s="149"/>
      <c r="GGX48" s="149"/>
      <c r="GGY48" s="149"/>
      <c r="GGZ48" s="149"/>
      <c r="GHA48" s="149"/>
      <c r="GHB48" s="149"/>
      <c r="GHC48" s="149"/>
      <c r="GHD48" s="149"/>
      <c r="GHE48" s="149"/>
      <c r="GHF48" s="149"/>
      <c r="GHG48" s="149"/>
      <c r="GHH48" s="149"/>
      <c r="GHI48" s="149"/>
      <c r="GHJ48" s="149"/>
      <c r="GHK48" s="149"/>
      <c r="GHL48" s="149"/>
      <c r="GHM48" s="149"/>
      <c r="GHN48" s="149"/>
      <c r="GHO48" s="149"/>
      <c r="GHP48" s="149"/>
      <c r="GHQ48" s="149"/>
      <c r="GHR48" s="149"/>
      <c r="GHS48" s="149"/>
      <c r="GHT48" s="149"/>
      <c r="GHU48" s="149"/>
      <c r="GHV48" s="149"/>
      <c r="GHW48" s="149"/>
      <c r="GHX48" s="149"/>
      <c r="GHY48" s="149"/>
      <c r="GHZ48" s="149"/>
      <c r="GIA48" s="149"/>
      <c r="GIB48" s="149"/>
      <c r="GIC48" s="149"/>
      <c r="GID48" s="149"/>
      <c r="GIE48" s="149"/>
      <c r="GIF48" s="149"/>
      <c r="GIG48" s="149"/>
      <c r="GIH48" s="149"/>
      <c r="GII48" s="149"/>
      <c r="GIJ48" s="149"/>
      <c r="GIK48" s="149"/>
      <c r="GIL48" s="149"/>
      <c r="GIM48" s="149"/>
      <c r="GIN48" s="149"/>
      <c r="GIO48" s="149"/>
      <c r="GIP48" s="149"/>
      <c r="GIQ48" s="149"/>
      <c r="GIR48" s="149"/>
      <c r="GIS48" s="149"/>
      <c r="GIT48" s="149"/>
      <c r="GIU48" s="149"/>
      <c r="GIV48" s="149"/>
      <c r="GIW48" s="149"/>
      <c r="GIX48" s="149"/>
      <c r="GIY48" s="149"/>
      <c r="GIZ48" s="149"/>
      <c r="GJA48" s="149"/>
      <c r="GJB48" s="149"/>
      <c r="GJC48" s="149"/>
      <c r="GJD48" s="149"/>
      <c r="GJE48" s="149"/>
      <c r="GJF48" s="149"/>
      <c r="GJG48" s="149"/>
      <c r="GJH48" s="149"/>
      <c r="GJI48" s="149"/>
      <c r="GJJ48" s="149"/>
      <c r="GJK48" s="149"/>
      <c r="GJL48" s="149"/>
      <c r="GJM48" s="149"/>
      <c r="GJN48" s="149"/>
      <c r="GJO48" s="149"/>
      <c r="GJP48" s="149"/>
      <c r="GJQ48" s="149"/>
      <c r="GJR48" s="149"/>
      <c r="GJS48" s="149"/>
      <c r="GJT48" s="149"/>
      <c r="GJU48" s="149"/>
      <c r="GJV48" s="149"/>
      <c r="GJW48" s="149"/>
      <c r="GJX48" s="149"/>
      <c r="GJY48" s="149"/>
      <c r="GJZ48" s="149"/>
      <c r="GKA48" s="149"/>
      <c r="GKB48" s="149"/>
      <c r="GKC48" s="149"/>
      <c r="GKD48" s="149"/>
      <c r="GKE48" s="149"/>
      <c r="GKF48" s="149"/>
      <c r="GKG48" s="149"/>
      <c r="GKH48" s="149"/>
      <c r="GKI48" s="149"/>
      <c r="GKJ48" s="149"/>
      <c r="GKK48" s="149"/>
      <c r="GKL48" s="149"/>
      <c r="GKM48" s="149"/>
      <c r="GKN48" s="149"/>
      <c r="GKO48" s="149"/>
      <c r="GKP48" s="149"/>
      <c r="GKQ48" s="149"/>
      <c r="GKR48" s="149"/>
      <c r="GKS48" s="149"/>
      <c r="GKT48" s="149"/>
      <c r="GKU48" s="149"/>
      <c r="GKV48" s="149"/>
      <c r="GKW48" s="149"/>
      <c r="GKX48" s="149"/>
      <c r="GKY48" s="149"/>
      <c r="GKZ48" s="149"/>
      <c r="GLA48" s="149"/>
      <c r="GLB48" s="149"/>
      <c r="GLC48" s="149"/>
      <c r="GLD48" s="149"/>
      <c r="GLE48" s="149"/>
      <c r="GLF48" s="149"/>
      <c r="GLG48" s="149"/>
      <c r="GLH48" s="149"/>
      <c r="GLI48" s="149"/>
      <c r="GLJ48" s="149"/>
      <c r="GLK48" s="149"/>
      <c r="GLL48" s="149"/>
      <c r="GLM48" s="149"/>
      <c r="GLN48" s="149"/>
      <c r="GLO48" s="149"/>
      <c r="GLP48" s="149"/>
      <c r="GLQ48" s="149"/>
      <c r="GLR48" s="149"/>
      <c r="GLS48" s="149"/>
      <c r="GLT48" s="149"/>
      <c r="GLU48" s="149"/>
      <c r="GLV48" s="149"/>
      <c r="GLW48" s="149"/>
      <c r="GLX48" s="149"/>
      <c r="GLY48" s="149"/>
      <c r="GLZ48" s="149"/>
      <c r="GMA48" s="149"/>
      <c r="GMB48" s="149"/>
      <c r="GMC48" s="149"/>
      <c r="GMD48" s="149"/>
      <c r="GME48" s="149"/>
      <c r="GMF48" s="149"/>
      <c r="GMG48" s="149"/>
      <c r="GMH48" s="149"/>
      <c r="GMI48" s="149"/>
      <c r="GMJ48" s="149"/>
      <c r="GMK48" s="149"/>
      <c r="GML48" s="149"/>
      <c r="GMM48" s="149"/>
      <c r="GMN48" s="149"/>
      <c r="GMO48" s="149"/>
      <c r="GMP48" s="149"/>
      <c r="GMQ48" s="149"/>
      <c r="GMR48" s="149"/>
      <c r="GMS48" s="149"/>
      <c r="GMT48" s="149"/>
      <c r="GMU48" s="149"/>
      <c r="GMV48" s="149"/>
      <c r="GMW48" s="149"/>
      <c r="GMX48" s="149"/>
      <c r="GMY48" s="149"/>
      <c r="GMZ48" s="149"/>
      <c r="GNA48" s="149"/>
      <c r="GNB48" s="149"/>
      <c r="GNC48" s="149"/>
      <c r="GND48" s="149"/>
      <c r="GNE48" s="149"/>
      <c r="GNF48" s="149"/>
      <c r="GNG48" s="149"/>
      <c r="GNH48" s="149"/>
      <c r="GNI48" s="149"/>
      <c r="GNJ48" s="149"/>
      <c r="GNK48" s="149"/>
      <c r="GNL48" s="149"/>
      <c r="GNM48" s="149"/>
      <c r="GNN48" s="149"/>
      <c r="GNO48" s="149"/>
      <c r="GNP48" s="149"/>
      <c r="GNQ48" s="149"/>
      <c r="GNR48" s="149"/>
      <c r="GNS48" s="149"/>
      <c r="GNT48" s="149"/>
      <c r="GNU48" s="149"/>
      <c r="GNV48" s="149"/>
      <c r="GNW48" s="149"/>
      <c r="GNX48" s="149"/>
      <c r="GNY48" s="149"/>
      <c r="GNZ48" s="149"/>
      <c r="GOA48" s="149"/>
      <c r="GOB48" s="149"/>
      <c r="GOC48" s="149"/>
      <c r="GOD48" s="149"/>
      <c r="GOE48" s="149"/>
      <c r="GOF48" s="149"/>
      <c r="GOG48" s="149"/>
      <c r="GOH48" s="149"/>
      <c r="GOI48" s="149"/>
      <c r="GOJ48" s="149"/>
      <c r="GOK48" s="149"/>
      <c r="GOL48" s="149"/>
      <c r="GOM48" s="149"/>
      <c r="GON48" s="149"/>
      <c r="GOO48" s="149"/>
      <c r="GOP48" s="149"/>
      <c r="GOQ48" s="149"/>
      <c r="GOR48" s="149"/>
      <c r="GOS48" s="149"/>
      <c r="GOT48" s="149"/>
      <c r="GOU48" s="149"/>
      <c r="GOV48" s="149"/>
      <c r="GOW48" s="149"/>
      <c r="GOX48" s="149"/>
      <c r="GOY48" s="149"/>
      <c r="GOZ48" s="149"/>
      <c r="GPA48" s="149"/>
      <c r="GPB48" s="149"/>
      <c r="GPC48" s="149"/>
      <c r="GPD48" s="149"/>
      <c r="GPE48" s="149"/>
      <c r="GPF48" s="149"/>
      <c r="GPG48" s="149"/>
      <c r="GPH48" s="149"/>
      <c r="GPI48" s="149"/>
      <c r="GPJ48" s="149"/>
      <c r="GPK48" s="149"/>
      <c r="GPL48" s="149"/>
      <c r="GPM48" s="149"/>
      <c r="GPN48" s="149"/>
      <c r="GPO48" s="149"/>
      <c r="GPP48" s="149"/>
      <c r="GPQ48" s="149"/>
      <c r="GPR48" s="149"/>
      <c r="GPS48" s="149"/>
      <c r="GPT48" s="149"/>
      <c r="GPU48" s="149"/>
      <c r="GPV48" s="149"/>
      <c r="GPW48" s="149"/>
      <c r="GPX48" s="149"/>
      <c r="GPY48" s="149"/>
      <c r="GPZ48" s="149"/>
      <c r="GQA48" s="149"/>
      <c r="GQB48" s="149"/>
      <c r="GQC48" s="149"/>
      <c r="GQD48" s="149"/>
      <c r="GQE48" s="149"/>
      <c r="GQF48" s="149"/>
      <c r="GQG48" s="149"/>
      <c r="GQH48" s="149"/>
      <c r="GQI48" s="149"/>
      <c r="GQJ48" s="149"/>
      <c r="GQK48" s="149"/>
      <c r="GQL48" s="149"/>
      <c r="GQM48" s="149"/>
      <c r="GQN48" s="149"/>
      <c r="GQO48" s="149"/>
      <c r="GQP48" s="149"/>
      <c r="GQQ48" s="149"/>
      <c r="GQR48" s="149"/>
      <c r="GQS48" s="149"/>
      <c r="GQT48" s="149"/>
      <c r="GQU48" s="149"/>
      <c r="GQV48" s="149"/>
      <c r="GQW48" s="149"/>
      <c r="GQX48" s="149"/>
      <c r="GQY48" s="149"/>
      <c r="GQZ48" s="149"/>
      <c r="GRA48" s="149"/>
      <c r="GRB48" s="149"/>
      <c r="GRC48" s="149"/>
      <c r="GRD48" s="149"/>
      <c r="GRE48" s="149"/>
      <c r="GRF48" s="149"/>
      <c r="GRG48" s="149"/>
      <c r="GRH48" s="149"/>
      <c r="GRI48" s="149"/>
      <c r="GRJ48" s="149"/>
      <c r="GRK48" s="149"/>
      <c r="GRL48" s="149"/>
      <c r="GRM48" s="149"/>
      <c r="GRN48" s="149"/>
      <c r="GRO48" s="149"/>
      <c r="GRP48" s="149"/>
      <c r="GRQ48" s="149"/>
      <c r="GRR48" s="149"/>
      <c r="GRS48" s="149"/>
      <c r="GRT48" s="149"/>
      <c r="GRU48" s="149"/>
      <c r="GRV48" s="149"/>
      <c r="GRW48" s="149"/>
      <c r="GRX48" s="149"/>
      <c r="GRY48" s="149"/>
      <c r="GRZ48" s="149"/>
      <c r="GSA48" s="149"/>
      <c r="GSB48" s="149"/>
      <c r="GSC48" s="149"/>
      <c r="GSD48" s="149"/>
      <c r="GSE48" s="149"/>
      <c r="GSF48" s="149"/>
      <c r="GSG48" s="149"/>
      <c r="GSH48" s="149"/>
      <c r="GSI48" s="149"/>
      <c r="GSJ48" s="149"/>
      <c r="GSK48" s="149"/>
      <c r="GSL48" s="149"/>
      <c r="GSM48" s="149"/>
      <c r="GSN48" s="149"/>
      <c r="GSO48" s="149"/>
      <c r="GSP48" s="149"/>
      <c r="GSQ48" s="149"/>
      <c r="GSR48" s="149"/>
      <c r="GSS48" s="149"/>
      <c r="GST48" s="149"/>
      <c r="GSU48" s="149"/>
      <c r="GSV48" s="149"/>
      <c r="GSW48" s="149"/>
      <c r="GSX48" s="149"/>
      <c r="GSY48" s="149"/>
      <c r="GSZ48" s="149"/>
      <c r="GTA48" s="149"/>
      <c r="GTB48" s="149"/>
      <c r="GTC48" s="149"/>
      <c r="GTD48" s="149"/>
      <c r="GTE48" s="149"/>
      <c r="GTF48" s="149"/>
      <c r="GTG48" s="149"/>
      <c r="GTH48" s="149"/>
      <c r="GTI48" s="149"/>
      <c r="GTJ48" s="149"/>
      <c r="GTK48" s="149"/>
      <c r="GTL48" s="149"/>
      <c r="GTM48" s="149"/>
      <c r="GTN48" s="149"/>
      <c r="GTO48" s="149"/>
      <c r="GTP48" s="149"/>
      <c r="GTQ48" s="149"/>
      <c r="GTR48" s="149"/>
      <c r="GTS48" s="149"/>
      <c r="GTT48" s="149"/>
      <c r="GTU48" s="149"/>
      <c r="GTV48" s="149"/>
      <c r="GTW48" s="149"/>
      <c r="GTX48" s="149"/>
      <c r="GTY48" s="149"/>
      <c r="GTZ48" s="149"/>
      <c r="GUA48" s="149"/>
      <c r="GUB48" s="149"/>
      <c r="GUC48" s="149"/>
      <c r="GUD48" s="149"/>
      <c r="GUE48" s="149"/>
      <c r="GUF48" s="149"/>
      <c r="GUG48" s="149"/>
      <c r="GUH48" s="149"/>
      <c r="GUI48" s="149"/>
      <c r="GUJ48" s="149"/>
      <c r="GUK48" s="149"/>
      <c r="GUL48" s="149"/>
      <c r="GUM48" s="149"/>
      <c r="GUN48" s="149"/>
      <c r="GUO48" s="149"/>
      <c r="GUP48" s="149"/>
      <c r="GUQ48" s="149"/>
      <c r="GUR48" s="149"/>
      <c r="GUS48" s="149"/>
      <c r="GUT48" s="149"/>
      <c r="GUU48" s="149"/>
      <c r="GUV48" s="149"/>
      <c r="GUW48" s="149"/>
      <c r="GUX48" s="149"/>
      <c r="GUY48" s="149"/>
      <c r="GUZ48" s="149"/>
      <c r="GVA48" s="149"/>
      <c r="GVB48" s="149"/>
      <c r="GVC48" s="149"/>
      <c r="GVD48" s="149"/>
      <c r="GVE48" s="149"/>
      <c r="GVF48" s="149"/>
      <c r="GVG48" s="149"/>
      <c r="GVH48" s="149"/>
      <c r="GVI48" s="149"/>
      <c r="GVJ48" s="149"/>
      <c r="GVK48" s="149"/>
      <c r="GVL48" s="149"/>
      <c r="GVM48" s="149"/>
      <c r="GVN48" s="149"/>
      <c r="GVO48" s="149"/>
      <c r="GVP48" s="149"/>
      <c r="GVQ48" s="149"/>
      <c r="GVR48" s="149"/>
      <c r="GVS48" s="149"/>
      <c r="GVT48" s="149"/>
      <c r="GVU48" s="149"/>
      <c r="GVV48" s="149"/>
      <c r="GVW48" s="149"/>
      <c r="GVX48" s="149"/>
      <c r="GVY48" s="149"/>
      <c r="GVZ48" s="149"/>
      <c r="GWA48" s="149"/>
      <c r="GWB48" s="149"/>
      <c r="GWC48" s="149"/>
      <c r="GWD48" s="149"/>
      <c r="GWE48" s="149"/>
      <c r="GWF48" s="149"/>
      <c r="GWG48" s="149"/>
      <c r="GWH48" s="149"/>
      <c r="GWI48" s="149"/>
      <c r="GWJ48" s="149"/>
      <c r="GWK48" s="149"/>
      <c r="GWL48" s="149"/>
      <c r="GWM48" s="149"/>
      <c r="GWN48" s="149"/>
      <c r="GWO48" s="149"/>
      <c r="GWP48" s="149"/>
      <c r="GWQ48" s="149"/>
      <c r="GWR48" s="149"/>
      <c r="GWS48" s="149"/>
      <c r="GWT48" s="149"/>
      <c r="GWU48" s="149"/>
      <c r="GWV48" s="149"/>
      <c r="GWW48" s="149"/>
      <c r="GWX48" s="149"/>
      <c r="GWY48" s="149"/>
      <c r="GWZ48" s="149"/>
      <c r="GXA48" s="149"/>
      <c r="GXB48" s="149"/>
      <c r="GXC48" s="149"/>
      <c r="GXD48" s="149"/>
      <c r="GXE48" s="149"/>
      <c r="GXF48" s="149"/>
      <c r="GXG48" s="149"/>
      <c r="GXH48" s="149"/>
      <c r="GXI48" s="149"/>
      <c r="GXJ48" s="149"/>
      <c r="GXK48" s="149"/>
      <c r="GXL48" s="149"/>
      <c r="GXM48" s="149"/>
      <c r="GXN48" s="149"/>
      <c r="GXO48" s="149"/>
      <c r="GXP48" s="149"/>
      <c r="GXQ48" s="149"/>
      <c r="GXR48" s="149"/>
      <c r="GXS48" s="149"/>
      <c r="GXT48" s="149"/>
      <c r="GXU48" s="149"/>
      <c r="GXV48" s="149"/>
      <c r="GXW48" s="149"/>
      <c r="GXX48" s="149"/>
      <c r="GXY48" s="149"/>
      <c r="GXZ48" s="149"/>
      <c r="GYA48" s="149"/>
      <c r="GYB48" s="149"/>
      <c r="GYC48" s="149"/>
      <c r="GYD48" s="149"/>
      <c r="GYE48" s="149"/>
      <c r="GYF48" s="149"/>
      <c r="GYG48" s="149"/>
      <c r="GYH48" s="149"/>
      <c r="GYI48" s="149"/>
      <c r="GYJ48" s="149"/>
      <c r="GYK48" s="149"/>
      <c r="GYL48" s="149"/>
      <c r="GYM48" s="149"/>
      <c r="GYN48" s="149"/>
      <c r="GYO48" s="149"/>
      <c r="GYP48" s="149"/>
      <c r="GYQ48" s="149"/>
      <c r="GYR48" s="149"/>
      <c r="GYS48" s="149"/>
      <c r="GYT48" s="149"/>
      <c r="GYU48" s="149"/>
      <c r="GYV48" s="149"/>
      <c r="GYW48" s="149"/>
      <c r="GYX48" s="149"/>
      <c r="GYY48" s="149"/>
      <c r="GYZ48" s="149"/>
      <c r="GZA48" s="149"/>
      <c r="GZB48" s="149"/>
      <c r="GZC48" s="149"/>
      <c r="GZD48" s="149"/>
      <c r="GZE48" s="149"/>
      <c r="GZF48" s="149"/>
      <c r="GZG48" s="149"/>
      <c r="GZH48" s="149"/>
      <c r="GZI48" s="149"/>
      <c r="GZJ48" s="149"/>
      <c r="GZK48" s="149"/>
      <c r="GZL48" s="149"/>
      <c r="GZM48" s="149"/>
      <c r="GZN48" s="149"/>
      <c r="GZO48" s="149"/>
      <c r="GZP48" s="149"/>
      <c r="GZQ48" s="149"/>
      <c r="GZR48" s="149"/>
      <c r="GZS48" s="149"/>
      <c r="GZT48" s="149"/>
      <c r="GZU48" s="149"/>
      <c r="GZV48" s="149"/>
      <c r="GZW48" s="149"/>
      <c r="GZX48" s="149"/>
      <c r="GZY48" s="149"/>
      <c r="GZZ48" s="149"/>
      <c r="HAA48" s="149"/>
      <c r="HAB48" s="149"/>
      <c r="HAC48" s="149"/>
      <c r="HAD48" s="149"/>
      <c r="HAE48" s="149"/>
      <c r="HAF48" s="149"/>
      <c r="HAG48" s="149"/>
      <c r="HAH48" s="149"/>
      <c r="HAI48" s="149"/>
      <c r="HAJ48" s="149"/>
      <c r="HAK48" s="149"/>
      <c r="HAL48" s="149"/>
      <c r="HAM48" s="149"/>
      <c r="HAN48" s="149"/>
      <c r="HAO48" s="149"/>
      <c r="HAP48" s="149"/>
      <c r="HAQ48" s="149"/>
      <c r="HAR48" s="149"/>
      <c r="HAS48" s="149"/>
      <c r="HAT48" s="149"/>
      <c r="HAU48" s="149"/>
      <c r="HAV48" s="149"/>
      <c r="HAW48" s="149"/>
      <c r="HAX48" s="149"/>
      <c r="HAY48" s="149"/>
      <c r="HAZ48" s="149"/>
      <c r="HBA48" s="149"/>
      <c r="HBB48" s="149"/>
      <c r="HBC48" s="149"/>
      <c r="HBD48" s="149"/>
      <c r="HBE48" s="149"/>
      <c r="HBF48" s="149"/>
      <c r="HBG48" s="149"/>
      <c r="HBH48" s="149"/>
      <c r="HBI48" s="149"/>
      <c r="HBJ48" s="149"/>
      <c r="HBK48" s="149"/>
      <c r="HBL48" s="149"/>
      <c r="HBM48" s="149"/>
      <c r="HBN48" s="149"/>
      <c r="HBO48" s="149"/>
      <c r="HBP48" s="149"/>
      <c r="HBQ48" s="149"/>
      <c r="HBR48" s="149"/>
      <c r="HBS48" s="149"/>
      <c r="HBT48" s="149"/>
      <c r="HBU48" s="149"/>
      <c r="HBV48" s="149"/>
      <c r="HBW48" s="149"/>
      <c r="HBX48" s="149"/>
      <c r="HBY48" s="149"/>
      <c r="HBZ48" s="149"/>
      <c r="HCA48" s="149"/>
      <c r="HCB48" s="149"/>
      <c r="HCC48" s="149"/>
      <c r="HCD48" s="149"/>
      <c r="HCE48" s="149"/>
      <c r="HCF48" s="149"/>
      <c r="HCG48" s="149"/>
      <c r="HCH48" s="149"/>
      <c r="HCI48" s="149"/>
      <c r="HCJ48" s="149"/>
      <c r="HCK48" s="149"/>
      <c r="HCL48" s="149"/>
      <c r="HCM48" s="149"/>
      <c r="HCN48" s="149"/>
      <c r="HCO48" s="149"/>
      <c r="HCP48" s="149"/>
      <c r="HCQ48" s="149"/>
      <c r="HCR48" s="149"/>
      <c r="HCS48" s="149"/>
      <c r="HCT48" s="149"/>
      <c r="HCU48" s="149"/>
      <c r="HCV48" s="149"/>
      <c r="HCW48" s="149"/>
      <c r="HCX48" s="149"/>
      <c r="HCY48" s="149"/>
      <c r="HCZ48" s="149"/>
      <c r="HDA48" s="149"/>
      <c r="HDB48" s="149"/>
      <c r="HDC48" s="149"/>
      <c r="HDD48" s="149"/>
      <c r="HDE48" s="149"/>
      <c r="HDF48" s="149"/>
      <c r="HDG48" s="149"/>
      <c r="HDH48" s="149"/>
      <c r="HDI48" s="149"/>
      <c r="HDJ48" s="149"/>
      <c r="HDK48" s="149"/>
      <c r="HDL48" s="149"/>
      <c r="HDM48" s="149"/>
      <c r="HDN48" s="149"/>
      <c r="HDO48" s="149"/>
      <c r="HDP48" s="149"/>
      <c r="HDQ48" s="149"/>
      <c r="HDR48" s="149"/>
      <c r="HDS48" s="149"/>
      <c r="HDT48" s="149"/>
      <c r="HDU48" s="149"/>
      <c r="HDV48" s="149"/>
      <c r="HDW48" s="149"/>
      <c r="HDX48" s="149"/>
      <c r="HDY48" s="149"/>
      <c r="HDZ48" s="149"/>
      <c r="HEA48" s="149"/>
      <c r="HEB48" s="149"/>
      <c r="HEC48" s="149"/>
      <c r="HED48" s="149"/>
      <c r="HEE48" s="149"/>
      <c r="HEF48" s="149"/>
      <c r="HEG48" s="149"/>
      <c r="HEH48" s="149"/>
      <c r="HEI48" s="149"/>
      <c r="HEJ48" s="149"/>
      <c r="HEK48" s="149"/>
      <c r="HEL48" s="149"/>
      <c r="HEM48" s="149"/>
      <c r="HEN48" s="149"/>
      <c r="HEO48" s="149"/>
      <c r="HEP48" s="149"/>
      <c r="HEQ48" s="149"/>
      <c r="HER48" s="149"/>
      <c r="HES48" s="149"/>
      <c r="HET48" s="149"/>
      <c r="HEU48" s="149"/>
      <c r="HEV48" s="149"/>
      <c r="HEW48" s="149"/>
      <c r="HEX48" s="149"/>
      <c r="HEY48" s="149"/>
      <c r="HEZ48" s="149"/>
      <c r="HFA48" s="149"/>
      <c r="HFB48" s="149"/>
      <c r="HFC48" s="149"/>
      <c r="HFD48" s="149"/>
      <c r="HFE48" s="149"/>
      <c r="HFF48" s="149"/>
      <c r="HFG48" s="149"/>
      <c r="HFH48" s="149"/>
      <c r="HFI48" s="149"/>
      <c r="HFJ48" s="149"/>
      <c r="HFK48" s="149"/>
      <c r="HFL48" s="149"/>
      <c r="HFM48" s="149"/>
      <c r="HFN48" s="149"/>
      <c r="HFO48" s="149"/>
      <c r="HFP48" s="149"/>
      <c r="HFQ48" s="149"/>
      <c r="HFR48" s="149"/>
      <c r="HFS48" s="149"/>
      <c r="HFT48" s="149"/>
      <c r="HFU48" s="149"/>
      <c r="HFV48" s="149"/>
      <c r="HFW48" s="149"/>
      <c r="HFX48" s="149"/>
      <c r="HFY48" s="149"/>
      <c r="HFZ48" s="149"/>
      <c r="HGA48" s="149"/>
      <c r="HGB48" s="149"/>
      <c r="HGC48" s="149"/>
      <c r="HGD48" s="149"/>
      <c r="HGE48" s="149"/>
      <c r="HGF48" s="149"/>
      <c r="HGG48" s="149"/>
      <c r="HGH48" s="149"/>
      <c r="HGI48" s="149"/>
      <c r="HGJ48" s="149"/>
      <c r="HGK48" s="149"/>
      <c r="HGL48" s="149"/>
      <c r="HGM48" s="149"/>
      <c r="HGN48" s="149"/>
      <c r="HGO48" s="149"/>
      <c r="HGP48" s="149"/>
      <c r="HGQ48" s="149"/>
      <c r="HGR48" s="149"/>
      <c r="HGS48" s="149"/>
      <c r="HGT48" s="149"/>
      <c r="HGU48" s="149"/>
      <c r="HGV48" s="149"/>
      <c r="HGW48" s="149"/>
      <c r="HGX48" s="149"/>
      <c r="HGY48" s="149"/>
      <c r="HGZ48" s="149"/>
      <c r="HHA48" s="149"/>
      <c r="HHB48" s="149"/>
      <c r="HHC48" s="149"/>
      <c r="HHD48" s="149"/>
      <c r="HHE48" s="149"/>
      <c r="HHF48" s="149"/>
      <c r="HHG48" s="149"/>
      <c r="HHH48" s="149"/>
      <c r="HHI48" s="149"/>
      <c r="HHJ48" s="149"/>
      <c r="HHK48" s="149"/>
      <c r="HHL48" s="149"/>
      <c r="HHM48" s="149"/>
      <c r="HHN48" s="149"/>
      <c r="HHO48" s="149"/>
      <c r="HHP48" s="149"/>
      <c r="HHQ48" s="149"/>
      <c r="HHR48" s="149"/>
      <c r="HHS48" s="149"/>
      <c r="HHT48" s="149"/>
      <c r="HHU48" s="149"/>
      <c r="HHV48" s="149"/>
      <c r="HHW48" s="149"/>
      <c r="HHX48" s="149"/>
      <c r="HHY48" s="149"/>
      <c r="HHZ48" s="149"/>
      <c r="HIA48" s="149"/>
      <c r="HIB48" s="149"/>
      <c r="HIC48" s="149"/>
      <c r="HID48" s="149"/>
      <c r="HIE48" s="149"/>
      <c r="HIF48" s="149"/>
      <c r="HIG48" s="149"/>
      <c r="HIH48" s="149"/>
      <c r="HII48" s="149"/>
      <c r="HIJ48" s="149"/>
      <c r="HIK48" s="149"/>
      <c r="HIL48" s="149"/>
      <c r="HIM48" s="149"/>
      <c r="HIN48" s="149"/>
      <c r="HIO48" s="149"/>
      <c r="HIP48" s="149"/>
      <c r="HIQ48" s="149"/>
      <c r="HIR48" s="149"/>
      <c r="HIS48" s="149"/>
      <c r="HIT48" s="149"/>
      <c r="HIU48" s="149"/>
      <c r="HIV48" s="149"/>
      <c r="HIW48" s="149"/>
      <c r="HIX48" s="149"/>
      <c r="HIY48" s="149"/>
      <c r="HIZ48" s="149"/>
      <c r="HJA48" s="149"/>
      <c r="HJB48" s="149"/>
      <c r="HJC48" s="149"/>
      <c r="HJD48" s="149"/>
      <c r="HJE48" s="149"/>
      <c r="HJF48" s="149"/>
      <c r="HJG48" s="149"/>
      <c r="HJH48" s="149"/>
      <c r="HJI48" s="149"/>
      <c r="HJJ48" s="149"/>
      <c r="HJK48" s="149"/>
      <c r="HJL48" s="149"/>
      <c r="HJM48" s="149"/>
      <c r="HJN48" s="149"/>
      <c r="HJO48" s="149"/>
      <c r="HJP48" s="149"/>
      <c r="HJQ48" s="149"/>
      <c r="HJR48" s="149"/>
      <c r="HJS48" s="149"/>
      <c r="HJT48" s="149"/>
      <c r="HJU48" s="149"/>
      <c r="HJV48" s="149"/>
      <c r="HJW48" s="149"/>
      <c r="HJX48" s="149"/>
      <c r="HJY48" s="149"/>
      <c r="HJZ48" s="149"/>
      <c r="HKA48" s="149"/>
      <c r="HKB48" s="149"/>
      <c r="HKC48" s="149"/>
      <c r="HKD48" s="149"/>
      <c r="HKE48" s="149"/>
      <c r="HKF48" s="149"/>
      <c r="HKG48" s="149"/>
      <c r="HKH48" s="149"/>
      <c r="HKI48" s="149"/>
      <c r="HKJ48" s="149"/>
      <c r="HKK48" s="149"/>
      <c r="HKL48" s="149"/>
      <c r="HKM48" s="149"/>
      <c r="HKN48" s="149"/>
      <c r="HKO48" s="149"/>
      <c r="HKP48" s="149"/>
      <c r="HKQ48" s="149"/>
      <c r="HKR48" s="149"/>
      <c r="HKS48" s="149"/>
      <c r="HKT48" s="149"/>
      <c r="HKU48" s="149"/>
      <c r="HKV48" s="149"/>
      <c r="HKW48" s="149"/>
      <c r="HKX48" s="149"/>
      <c r="HKY48" s="149"/>
      <c r="HKZ48" s="149"/>
      <c r="HLA48" s="149"/>
      <c r="HLB48" s="149"/>
      <c r="HLC48" s="149"/>
      <c r="HLD48" s="149"/>
      <c r="HLE48" s="149"/>
      <c r="HLF48" s="149"/>
      <c r="HLG48" s="149"/>
      <c r="HLH48" s="149"/>
      <c r="HLI48" s="149"/>
      <c r="HLJ48" s="149"/>
      <c r="HLK48" s="149"/>
      <c r="HLL48" s="149"/>
      <c r="HLM48" s="149"/>
      <c r="HLN48" s="149"/>
      <c r="HLO48" s="149"/>
      <c r="HLP48" s="149"/>
      <c r="HLQ48" s="149"/>
      <c r="HLR48" s="149"/>
      <c r="HLS48" s="149"/>
      <c r="HLT48" s="149"/>
      <c r="HLU48" s="149"/>
      <c r="HLV48" s="149"/>
      <c r="HLW48" s="149"/>
      <c r="HLX48" s="149"/>
      <c r="HLY48" s="149"/>
      <c r="HLZ48" s="149"/>
      <c r="HMA48" s="149"/>
      <c r="HMB48" s="149"/>
      <c r="HMC48" s="149"/>
      <c r="HMD48" s="149"/>
      <c r="HME48" s="149"/>
      <c r="HMF48" s="149"/>
      <c r="HMG48" s="149"/>
      <c r="HMH48" s="149"/>
      <c r="HMI48" s="149"/>
      <c r="HMJ48" s="149"/>
      <c r="HMK48" s="149"/>
      <c r="HML48" s="149"/>
      <c r="HMM48" s="149"/>
      <c r="HMN48" s="149"/>
      <c r="HMO48" s="149"/>
      <c r="HMP48" s="149"/>
      <c r="HMQ48" s="149"/>
      <c r="HMR48" s="149"/>
      <c r="HMS48" s="149"/>
      <c r="HMT48" s="149"/>
      <c r="HMU48" s="149"/>
      <c r="HMV48" s="149"/>
      <c r="HMW48" s="149"/>
      <c r="HMX48" s="149"/>
      <c r="HMY48" s="149"/>
      <c r="HMZ48" s="149"/>
      <c r="HNA48" s="149"/>
      <c r="HNB48" s="149"/>
      <c r="HNC48" s="149"/>
      <c r="HND48" s="149"/>
      <c r="HNE48" s="149"/>
      <c r="HNF48" s="149"/>
      <c r="HNG48" s="149"/>
      <c r="HNH48" s="149"/>
      <c r="HNI48" s="149"/>
      <c r="HNJ48" s="149"/>
      <c r="HNK48" s="149"/>
      <c r="HNL48" s="149"/>
      <c r="HNM48" s="149"/>
      <c r="HNN48" s="149"/>
      <c r="HNO48" s="149"/>
      <c r="HNP48" s="149"/>
      <c r="HNQ48" s="149"/>
      <c r="HNR48" s="149"/>
      <c r="HNS48" s="149"/>
      <c r="HNT48" s="149"/>
      <c r="HNU48" s="149"/>
      <c r="HNV48" s="149"/>
      <c r="HNW48" s="149"/>
      <c r="HNX48" s="149"/>
      <c r="HNY48" s="149"/>
      <c r="HNZ48" s="149"/>
      <c r="HOA48" s="149"/>
      <c r="HOB48" s="149"/>
      <c r="HOC48" s="149"/>
      <c r="HOD48" s="149"/>
      <c r="HOE48" s="149"/>
      <c r="HOF48" s="149"/>
      <c r="HOG48" s="149"/>
      <c r="HOH48" s="149"/>
      <c r="HOI48" s="149"/>
      <c r="HOJ48" s="149"/>
      <c r="HOK48" s="149"/>
      <c r="HOL48" s="149"/>
      <c r="HOM48" s="149"/>
      <c r="HON48" s="149"/>
      <c r="HOO48" s="149"/>
      <c r="HOP48" s="149"/>
      <c r="HOQ48" s="149"/>
      <c r="HOR48" s="149"/>
      <c r="HOS48" s="149"/>
      <c r="HOT48" s="149"/>
      <c r="HOU48" s="149"/>
      <c r="HOV48" s="149"/>
      <c r="HOW48" s="149"/>
      <c r="HOX48" s="149"/>
      <c r="HOY48" s="149"/>
      <c r="HOZ48" s="149"/>
      <c r="HPA48" s="149"/>
      <c r="HPB48" s="149"/>
      <c r="HPC48" s="149"/>
      <c r="HPD48" s="149"/>
      <c r="HPE48" s="149"/>
      <c r="HPF48" s="149"/>
      <c r="HPG48" s="149"/>
      <c r="HPH48" s="149"/>
      <c r="HPI48" s="149"/>
      <c r="HPJ48" s="149"/>
      <c r="HPK48" s="149"/>
      <c r="HPL48" s="149"/>
      <c r="HPM48" s="149"/>
      <c r="HPN48" s="149"/>
      <c r="HPO48" s="149"/>
      <c r="HPP48" s="149"/>
      <c r="HPQ48" s="149"/>
      <c r="HPR48" s="149"/>
      <c r="HPS48" s="149"/>
      <c r="HPT48" s="149"/>
      <c r="HPU48" s="149"/>
      <c r="HPV48" s="149"/>
      <c r="HPW48" s="149"/>
      <c r="HPX48" s="149"/>
      <c r="HPY48" s="149"/>
      <c r="HPZ48" s="149"/>
      <c r="HQA48" s="149"/>
      <c r="HQB48" s="149"/>
      <c r="HQC48" s="149"/>
      <c r="HQD48" s="149"/>
      <c r="HQE48" s="149"/>
      <c r="HQF48" s="149"/>
      <c r="HQG48" s="149"/>
      <c r="HQH48" s="149"/>
      <c r="HQI48" s="149"/>
      <c r="HQJ48" s="149"/>
      <c r="HQK48" s="149"/>
      <c r="HQL48" s="149"/>
      <c r="HQM48" s="149"/>
      <c r="HQN48" s="149"/>
      <c r="HQO48" s="149"/>
      <c r="HQP48" s="149"/>
      <c r="HQQ48" s="149"/>
      <c r="HQR48" s="149"/>
      <c r="HQS48" s="149"/>
      <c r="HQT48" s="149"/>
      <c r="HQU48" s="149"/>
      <c r="HQV48" s="149"/>
      <c r="HQW48" s="149"/>
      <c r="HQX48" s="149"/>
      <c r="HQY48" s="149"/>
      <c r="HQZ48" s="149"/>
      <c r="HRA48" s="149"/>
      <c r="HRB48" s="149"/>
      <c r="HRC48" s="149"/>
      <c r="HRD48" s="149"/>
      <c r="HRE48" s="149"/>
      <c r="HRF48" s="149"/>
      <c r="HRG48" s="149"/>
      <c r="HRH48" s="149"/>
      <c r="HRI48" s="149"/>
      <c r="HRJ48" s="149"/>
      <c r="HRK48" s="149"/>
      <c r="HRL48" s="149"/>
      <c r="HRM48" s="149"/>
      <c r="HRN48" s="149"/>
      <c r="HRO48" s="149"/>
      <c r="HRP48" s="149"/>
      <c r="HRQ48" s="149"/>
      <c r="HRR48" s="149"/>
      <c r="HRS48" s="149"/>
      <c r="HRT48" s="149"/>
      <c r="HRU48" s="149"/>
      <c r="HRV48" s="149"/>
      <c r="HRW48" s="149"/>
      <c r="HRX48" s="149"/>
      <c r="HRY48" s="149"/>
      <c r="HRZ48" s="149"/>
      <c r="HSA48" s="149"/>
      <c r="HSB48" s="149"/>
      <c r="HSC48" s="149"/>
      <c r="HSD48" s="149"/>
      <c r="HSE48" s="149"/>
      <c r="HSF48" s="149"/>
      <c r="HSG48" s="149"/>
      <c r="HSH48" s="149"/>
      <c r="HSI48" s="149"/>
      <c r="HSJ48" s="149"/>
      <c r="HSK48" s="149"/>
      <c r="HSL48" s="149"/>
      <c r="HSM48" s="149"/>
      <c r="HSN48" s="149"/>
      <c r="HSO48" s="149"/>
      <c r="HSP48" s="149"/>
      <c r="HSQ48" s="149"/>
      <c r="HSR48" s="149"/>
      <c r="HSS48" s="149"/>
      <c r="HST48" s="149"/>
      <c r="HSU48" s="149"/>
      <c r="HSV48" s="149"/>
      <c r="HSW48" s="149"/>
      <c r="HSX48" s="149"/>
      <c r="HSY48" s="149"/>
      <c r="HSZ48" s="149"/>
      <c r="HTA48" s="149"/>
      <c r="HTB48" s="149"/>
      <c r="HTC48" s="149"/>
      <c r="HTD48" s="149"/>
      <c r="HTE48" s="149"/>
      <c r="HTF48" s="149"/>
      <c r="HTG48" s="149"/>
      <c r="HTH48" s="149"/>
      <c r="HTI48" s="149"/>
      <c r="HTJ48" s="149"/>
      <c r="HTK48" s="149"/>
      <c r="HTL48" s="149"/>
      <c r="HTM48" s="149"/>
      <c r="HTN48" s="149"/>
      <c r="HTO48" s="149"/>
      <c r="HTP48" s="149"/>
      <c r="HTQ48" s="149"/>
      <c r="HTR48" s="149"/>
      <c r="HTS48" s="149"/>
      <c r="HTT48" s="149"/>
      <c r="HTU48" s="149"/>
      <c r="HTV48" s="149"/>
      <c r="HTW48" s="149"/>
      <c r="HTX48" s="149"/>
      <c r="HTY48" s="149"/>
      <c r="HTZ48" s="149"/>
      <c r="HUA48" s="149"/>
      <c r="HUB48" s="149"/>
      <c r="HUC48" s="149"/>
      <c r="HUD48" s="149"/>
      <c r="HUE48" s="149"/>
      <c r="HUF48" s="149"/>
      <c r="HUG48" s="149"/>
      <c r="HUH48" s="149"/>
      <c r="HUI48" s="149"/>
      <c r="HUJ48" s="149"/>
      <c r="HUK48" s="149"/>
      <c r="HUL48" s="149"/>
      <c r="HUM48" s="149"/>
      <c r="HUN48" s="149"/>
      <c r="HUO48" s="149"/>
      <c r="HUP48" s="149"/>
      <c r="HUQ48" s="149"/>
      <c r="HUR48" s="149"/>
      <c r="HUS48" s="149"/>
      <c r="HUT48" s="149"/>
      <c r="HUU48" s="149"/>
      <c r="HUV48" s="149"/>
      <c r="HUW48" s="149"/>
      <c r="HUX48" s="149"/>
      <c r="HUY48" s="149"/>
      <c r="HUZ48" s="149"/>
      <c r="HVA48" s="149"/>
      <c r="HVB48" s="149"/>
      <c r="HVC48" s="149"/>
      <c r="HVD48" s="149"/>
      <c r="HVE48" s="149"/>
      <c r="HVF48" s="149"/>
      <c r="HVG48" s="149"/>
      <c r="HVH48" s="149"/>
      <c r="HVI48" s="149"/>
      <c r="HVJ48" s="149"/>
      <c r="HVK48" s="149"/>
      <c r="HVL48" s="149"/>
      <c r="HVM48" s="149"/>
      <c r="HVN48" s="149"/>
      <c r="HVO48" s="149"/>
      <c r="HVP48" s="149"/>
      <c r="HVQ48" s="149"/>
      <c r="HVR48" s="149"/>
      <c r="HVS48" s="149"/>
      <c r="HVT48" s="149"/>
      <c r="HVU48" s="149"/>
      <c r="HVV48" s="149"/>
      <c r="HVW48" s="149"/>
      <c r="HVX48" s="149"/>
      <c r="HVY48" s="149"/>
      <c r="HVZ48" s="149"/>
      <c r="HWA48" s="149"/>
      <c r="HWB48" s="149"/>
      <c r="HWC48" s="149"/>
      <c r="HWD48" s="149"/>
      <c r="HWE48" s="149"/>
      <c r="HWF48" s="149"/>
      <c r="HWG48" s="149"/>
      <c r="HWH48" s="149"/>
      <c r="HWI48" s="149"/>
      <c r="HWJ48" s="149"/>
      <c r="HWK48" s="149"/>
      <c r="HWL48" s="149"/>
      <c r="HWM48" s="149"/>
      <c r="HWN48" s="149"/>
      <c r="HWO48" s="149"/>
      <c r="HWP48" s="149"/>
      <c r="HWQ48" s="149"/>
      <c r="HWR48" s="149"/>
      <c r="HWS48" s="149"/>
      <c r="HWT48" s="149"/>
      <c r="HWU48" s="149"/>
      <c r="HWV48" s="149"/>
      <c r="HWW48" s="149"/>
      <c r="HWX48" s="149"/>
      <c r="HWY48" s="149"/>
      <c r="HWZ48" s="149"/>
      <c r="HXA48" s="149"/>
      <c r="HXB48" s="149"/>
      <c r="HXC48" s="149"/>
      <c r="HXD48" s="149"/>
      <c r="HXE48" s="149"/>
      <c r="HXF48" s="149"/>
      <c r="HXG48" s="149"/>
      <c r="HXH48" s="149"/>
      <c r="HXI48" s="149"/>
      <c r="HXJ48" s="149"/>
      <c r="HXK48" s="149"/>
      <c r="HXL48" s="149"/>
      <c r="HXM48" s="149"/>
      <c r="HXN48" s="149"/>
      <c r="HXO48" s="149"/>
      <c r="HXP48" s="149"/>
      <c r="HXQ48" s="149"/>
      <c r="HXR48" s="149"/>
      <c r="HXS48" s="149"/>
      <c r="HXT48" s="149"/>
      <c r="HXU48" s="149"/>
      <c r="HXV48" s="149"/>
      <c r="HXW48" s="149"/>
      <c r="HXX48" s="149"/>
      <c r="HXY48" s="149"/>
      <c r="HXZ48" s="149"/>
      <c r="HYA48" s="149"/>
      <c r="HYB48" s="149"/>
      <c r="HYC48" s="149"/>
      <c r="HYD48" s="149"/>
      <c r="HYE48" s="149"/>
      <c r="HYF48" s="149"/>
      <c r="HYG48" s="149"/>
      <c r="HYH48" s="149"/>
      <c r="HYI48" s="149"/>
      <c r="HYJ48" s="149"/>
      <c r="HYK48" s="149"/>
      <c r="HYL48" s="149"/>
      <c r="HYM48" s="149"/>
      <c r="HYN48" s="149"/>
      <c r="HYO48" s="149"/>
      <c r="HYP48" s="149"/>
      <c r="HYQ48" s="149"/>
      <c r="HYR48" s="149"/>
      <c r="HYS48" s="149"/>
      <c r="HYT48" s="149"/>
      <c r="HYU48" s="149"/>
      <c r="HYV48" s="149"/>
      <c r="HYW48" s="149"/>
      <c r="HYX48" s="149"/>
      <c r="HYY48" s="149"/>
      <c r="HYZ48" s="149"/>
      <c r="HZA48" s="149"/>
      <c r="HZB48" s="149"/>
      <c r="HZC48" s="149"/>
      <c r="HZD48" s="149"/>
      <c r="HZE48" s="149"/>
      <c r="HZF48" s="149"/>
      <c r="HZG48" s="149"/>
      <c r="HZH48" s="149"/>
      <c r="HZI48" s="149"/>
      <c r="HZJ48" s="149"/>
      <c r="HZK48" s="149"/>
      <c r="HZL48" s="149"/>
      <c r="HZM48" s="149"/>
      <c r="HZN48" s="149"/>
      <c r="HZO48" s="149"/>
      <c r="HZP48" s="149"/>
      <c r="HZQ48" s="149"/>
      <c r="HZR48" s="149"/>
      <c r="HZS48" s="149"/>
      <c r="HZT48" s="149"/>
      <c r="HZU48" s="149"/>
      <c r="HZV48" s="149"/>
      <c r="HZW48" s="149"/>
      <c r="HZX48" s="149"/>
      <c r="HZY48" s="149"/>
      <c r="HZZ48" s="149"/>
      <c r="IAA48" s="149"/>
      <c r="IAB48" s="149"/>
      <c r="IAC48" s="149"/>
      <c r="IAD48" s="149"/>
      <c r="IAE48" s="149"/>
      <c r="IAF48" s="149"/>
      <c r="IAG48" s="149"/>
      <c r="IAH48" s="149"/>
      <c r="IAI48" s="149"/>
      <c r="IAJ48" s="149"/>
      <c r="IAK48" s="149"/>
      <c r="IAL48" s="149"/>
      <c r="IAM48" s="149"/>
      <c r="IAN48" s="149"/>
      <c r="IAO48" s="149"/>
      <c r="IAP48" s="149"/>
      <c r="IAQ48" s="149"/>
      <c r="IAR48" s="149"/>
      <c r="IAS48" s="149"/>
      <c r="IAT48" s="149"/>
      <c r="IAU48" s="149"/>
      <c r="IAV48" s="149"/>
      <c r="IAW48" s="149"/>
      <c r="IAX48" s="149"/>
      <c r="IAY48" s="149"/>
      <c r="IAZ48" s="149"/>
      <c r="IBA48" s="149"/>
      <c r="IBB48" s="149"/>
      <c r="IBC48" s="149"/>
      <c r="IBD48" s="149"/>
      <c r="IBE48" s="149"/>
      <c r="IBF48" s="149"/>
      <c r="IBG48" s="149"/>
      <c r="IBH48" s="149"/>
      <c r="IBI48" s="149"/>
      <c r="IBJ48" s="149"/>
      <c r="IBK48" s="149"/>
      <c r="IBL48" s="149"/>
      <c r="IBM48" s="149"/>
      <c r="IBN48" s="149"/>
      <c r="IBO48" s="149"/>
      <c r="IBP48" s="149"/>
      <c r="IBQ48" s="149"/>
      <c r="IBR48" s="149"/>
      <c r="IBS48" s="149"/>
      <c r="IBT48" s="149"/>
      <c r="IBU48" s="149"/>
      <c r="IBV48" s="149"/>
      <c r="IBW48" s="149"/>
      <c r="IBX48" s="149"/>
      <c r="IBY48" s="149"/>
      <c r="IBZ48" s="149"/>
      <c r="ICA48" s="149"/>
      <c r="ICB48" s="149"/>
      <c r="ICC48" s="149"/>
      <c r="ICD48" s="149"/>
      <c r="ICE48" s="149"/>
      <c r="ICF48" s="149"/>
      <c r="ICG48" s="149"/>
      <c r="ICH48" s="149"/>
      <c r="ICI48" s="149"/>
      <c r="ICJ48" s="149"/>
      <c r="ICK48" s="149"/>
      <c r="ICL48" s="149"/>
      <c r="ICM48" s="149"/>
      <c r="ICN48" s="149"/>
      <c r="ICO48" s="149"/>
      <c r="ICP48" s="149"/>
      <c r="ICQ48" s="149"/>
      <c r="ICR48" s="149"/>
      <c r="ICS48" s="149"/>
      <c r="ICT48" s="149"/>
      <c r="ICU48" s="149"/>
      <c r="ICV48" s="149"/>
      <c r="ICW48" s="149"/>
      <c r="ICX48" s="149"/>
      <c r="ICY48" s="149"/>
      <c r="ICZ48" s="149"/>
      <c r="IDA48" s="149"/>
      <c r="IDB48" s="149"/>
      <c r="IDC48" s="149"/>
      <c r="IDD48" s="149"/>
      <c r="IDE48" s="149"/>
      <c r="IDF48" s="149"/>
      <c r="IDG48" s="149"/>
      <c r="IDH48" s="149"/>
      <c r="IDI48" s="149"/>
      <c r="IDJ48" s="149"/>
      <c r="IDK48" s="149"/>
      <c r="IDL48" s="149"/>
      <c r="IDM48" s="149"/>
      <c r="IDN48" s="149"/>
      <c r="IDO48" s="149"/>
      <c r="IDP48" s="149"/>
      <c r="IDQ48" s="149"/>
      <c r="IDR48" s="149"/>
      <c r="IDS48" s="149"/>
      <c r="IDT48" s="149"/>
      <c r="IDU48" s="149"/>
      <c r="IDV48" s="149"/>
      <c r="IDW48" s="149"/>
      <c r="IDX48" s="149"/>
      <c r="IDY48" s="149"/>
      <c r="IDZ48" s="149"/>
      <c r="IEA48" s="149"/>
      <c r="IEB48" s="149"/>
      <c r="IEC48" s="149"/>
      <c r="IED48" s="149"/>
      <c r="IEE48" s="149"/>
      <c r="IEF48" s="149"/>
      <c r="IEG48" s="149"/>
      <c r="IEH48" s="149"/>
      <c r="IEI48" s="149"/>
      <c r="IEJ48" s="149"/>
      <c r="IEK48" s="149"/>
      <c r="IEL48" s="149"/>
      <c r="IEM48" s="149"/>
      <c r="IEN48" s="149"/>
      <c r="IEO48" s="149"/>
      <c r="IEP48" s="149"/>
      <c r="IEQ48" s="149"/>
      <c r="IER48" s="149"/>
      <c r="IES48" s="149"/>
      <c r="IET48" s="149"/>
      <c r="IEU48" s="149"/>
      <c r="IEV48" s="149"/>
      <c r="IEW48" s="149"/>
      <c r="IEX48" s="149"/>
      <c r="IEY48" s="149"/>
      <c r="IEZ48" s="149"/>
      <c r="IFA48" s="149"/>
      <c r="IFB48" s="149"/>
      <c r="IFC48" s="149"/>
      <c r="IFD48" s="149"/>
      <c r="IFE48" s="149"/>
      <c r="IFF48" s="149"/>
      <c r="IFG48" s="149"/>
      <c r="IFH48" s="149"/>
      <c r="IFI48" s="149"/>
      <c r="IFJ48" s="149"/>
      <c r="IFK48" s="149"/>
      <c r="IFL48" s="149"/>
      <c r="IFM48" s="149"/>
      <c r="IFN48" s="149"/>
      <c r="IFO48" s="149"/>
      <c r="IFP48" s="149"/>
      <c r="IFQ48" s="149"/>
      <c r="IFR48" s="149"/>
      <c r="IFS48" s="149"/>
      <c r="IFT48" s="149"/>
      <c r="IFU48" s="149"/>
      <c r="IFV48" s="149"/>
      <c r="IFW48" s="149"/>
      <c r="IFX48" s="149"/>
      <c r="IFY48" s="149"/>
      <c r="IFZ48" s="149"/>
      <c r="IGA48" s="149"/>
      <c r="IGB48" s="149"/>
      <c r="IGC48" s="149"/>
      <c r="IGD48" s="149"/>
      <c r="IGE48" s="149"/>
      <c r="IGF48" s="149"/>
      <c r="IGG48" s="149"/>
      <c r="IGH48" s="149"/>
      <c r="IGI48" s="149"/>
      <c r="IGJ48" s="149"/>
      <c r="IGK48" s="149"/>
      <c r="IGL48" s="149"/>
      <c r="IGM48" s="149"/>
      <c r="IGN48" s="149"/>
      <c r="IGO48" s="149"/>
      <c r="IGP48" s="149"/>
      <c r="IGQ48" s="149"/>
      <c r="IGR48" s="149"/>
      <c r="IGS48" s="149"/>
      <c r="IGT48" s="149"/>
      <c r="IGU48" s="149"/>
      <c r="IGV48" s="149"/>
      <c r="IGW48" s="149"/>
      <c r="IGX48" s="149"/>
      <c r="IGY48" s="149"/>
      <c r="IGZ48" s="149"/>
      <c r="IHA48" s="149"/>
      <c r="IHB48" s="149"/>
      <c r="IHC48" s="149"/>
      <c r="IHD48" s="149"/>
      <c r="IHE48" s="149"/>
      <c r="IHF48" s="149"/>
      <c r="IHG48" s="149"/>
      <c r="IHH48" s="149"/>
      <c r="IHI48" s="149"/>
      <c r="IHJ48" s="149"/>
      <c r="IHK48" s="149"/>
      <c r="IHL48" s="149"/>
      <c r="IHM48" s="149"/>
      <c r="IHN48" s="149"/>
      <c r="IHO48" s="149"/>
      <c r="IHP48" s="149"/>
      <c r="IHQ48" s="149"/>
      <c r="IHR48" s="149"/>
      <c r="IHS48" s="149"/>
      <c r="IHT48" s="149"/>
      <c r="IHU48" s="149"/>
      <c r="IHV48" s="149"/>
      <c r="IHW48" s="149"/>
      <c r="IHX48" s="149"/>
      <c r="IHY48" s="149"/>
      <c r="IHZ48" s="149"/>
      <c r="IIA48" s="149"/>
      <c r="IIB48" s="149"/>
      <c r="IIC48" s="149"/>
      <c r="IID48" s="149"/>
      <c r="IIE48" s="149"/>
      <c r="IIF48" s="149"/>
      <c r="IIG48" s="149"/>
      <c r="IIH48" s="149"/>
      <c r="III48" s="149"/>
      <c r="IIJ48" s="149"/>
      <c r="IIK48" s="149"/>
      <c r="IIL48" s="149"/>
      <c r="IIM48" s="149"/>
      <c r="IIN48" s="149"/>
      <c r="IIO48" s="149"/>
      <c r="IIP48" s="149"/>
      <c r="IIQ48" s="149"/>
      <c r="IIR48" s="149"/>
      <c r="IIS48" s="149"/>
      <c r="IIT48" s="149"/>
      <c r="IIU48" s="149"/>
      <c r="IIV48" s="149"/>
      <c r="IIW48" s="149"/>
      <c r="IIX48" s="149"/>
      <c r="IIY48" s="149"/>
      <c r="IIZ48" s="149"/>
      <c r="IJA48" s="149"/>
      <c r="IJB48" s="149"/>
      <c r="IJC48" s="149"/>
      <c r="IJD48" s="149"/>
      <c r="IJE48" s="149"/>
      <c r="IJF48" s="149"/>
      <c r="IJG48" s="149"/>
      <c r="IJH48" s="149"/>
      <c r="IJI48" s="149"/>
      <c r="IJJ48" s="149"/>
      <c r="IJK48" s="149"/>
      <c r="IJL48" s="149"/>
      <c r="IJM48" s="149"/>
      <c r="IJN48" s="149"/>
      <c r="IJO48" s="149"/>
      <c r="IJP48" s="149"/>
      <c r="IJQ48" s="149"/>
      <c r="IJR48" s="149"/>
      <c r="IJS48" s="149"/>
      <c r="IJT48" s="149"/>
      <c r="IJU48" s="149"/>
      <c r="IJV48" s="149"/>
      <c r="IJW48" s="149"/>
      <c r="IJX48" s="149"/>
      <c r="IJY48" s="149"/>
      <c r="IJZ48" s="149"/>
      <c r="IKA48" s="149"/>
      <c r="IKB48" s="149"/>
      <c r="IKC48" s="149"/>
      <c r="IKD48" s="149"/>
      <c r="IKE48" s="149"/>
      <c r="IKF48" s="149"/>
      <c r="IKG48" s="149"/>
      <c r="IKH48" s="149"/>
      <c r="IKI48" s="149"/>
      <c r="IKJ48" s="149"/>
      <c r="IKK48" s="149"/>
      <c r="IKL48" s="149"/>
      <c r="IKM48" s="149"/>
      <c r="IKN48" s="149"/>
      <c r="IKO48" s="149"/>
      <c r="IKP48" s="149"/>
      <c r="IKQ48" s="149"/>
      <c r="IKR48" s="149"/>
      <c r="IKS48" s="149"/>
      <c r="IKT48" s="149"/>
      <c r="IKU48" s="149"/>
      <c r="IKV48" s="149"/>
      <c r="IKW48" s="149"/>
      <c r="IKX48" s="149"/>
      <c r="IKY48" s="149"/>
      <c r="IKZ48" s="149"/>
      <c r="ILA48" s="149"/>
      <c r="ILB48" s="149"/>
      <c r="ILC48" s="149"/>
      <c r="ILD48" s="149"/>
      <c r="ILE48" s="149"/>
      <c r="ILF48" s="149"/>
      <c r="ILG48" s="149"/>
      <c r="ILH48" s="149"/>
      <c r="ILI48" s="149"/>
      <c r="ILJ48" s="149"/>
      <c r="ILK48" s="149"/>
      <c r="ILL48" s="149"/>
      <c r="ILM48" s="149"/>
      <c r="ILN48" s="149"/>
      <c r="ILO48" s="149"/>
      <c r="ILP48" s="149"/>
      <c r="ILQ48" s="149"/>
      <c r="ILR48" s="149"/>
      <c r="ILS48" s="149"/>
      <c r="ILT48" s="149"/>
      <c r="ILU48" s="149"/>
      <c r="ILV48" s="149"/>
      <c r="ILW48" s="149"/>
      <c r="ILX48" s="149"/>
      <c r="ILY48" s="149"/>
      <c r="ILZ48" s="149"/>
      <c r="IMA48" s="149"/>
      <c r="IMB48" s="149"/>
      <c r="IMC48" s="149"/>
      <c r="IMD48" s="149"/>
      <c r="IME48" s="149"/>
      <c r="IMF48" s="149"/>
      <c r="IMG48" s="149"/>
      <c r="IMH48" s="149"/>
      <c r="IMI48" s="149"/>
      <c r="IMJ48" s="149"/>
      <c r="IMK48" s="149"/>
      <c r="IML48" s="149"/>
      <c r="IMM48" s="149"/>
      <c r="IMN48" s="149"/>
      <c r="IMO48" s="149"/>
      <c r="IMP48" s="149"/>
      <c r="IMQ48" s="149"/>
      <c r="IMR48" s="149"/>
      <c r="IMS48" s="149"/>
      <c r="IMT48" s="149"/>
      <c r="IMU48" s="149"/>
      <c r="IMV48" s="149"/>
      <c r="IMW48" s="149"/>
      <c r="IMX48" s="149"/>
      <c r="IMY48" s="149"/>
      <c r="IMZ48" s="149"/>
      <c r="INA48" s="149"/>
      <c r="INB48" s="149"/>
      <c r="INC48" s="149"/>
      <c r="IND48" s="149"/>
      <c r="INE48" s="149"/>
      <c r="INF48" s="149"/>
      <c r="ING48" s="149"/>
      <c r="INH48" s="149"/>
      <c r="INI48" s="149"/>
      <c r="INJ48" s="149"/>
      <c r="INK48" s="149"/>
      <c r="INL48" s="149"/>
      <c r="INM48" s="149"/>
      <c r="INN48" s="149"/>
      <c r="INO48" s="149"/>
      <c r="INP48" s="149"/>
      <c r="INQ48" s="149"/>
      <c r="INR48" s="149"/>
      <c r="INS48" s="149"/>
      <c r="INT48" s="149"/>
      <c r="INU48" s="149"/>
      <c r="INV48" s="149"/>
      <c r="INW48" s="149"/>
      <c r="INX48" s="149"/>
      <c r="INY48" s="149"/>
      <c r="INZ48" s="149"/>
      <c r="IOA48" s="149"/>
      <c r="IOB48" s="149"/>
      <c r="IOC48" s="149"/>
      <c r="IOD48" s="149"/>
      <c r="IOE48" s="149"/>
      <c r="IOF48" s="149"/>
      <c r="IOG48" s="149"/>
      <c r="IOH48" s="149"/>
      <c r="IOI48" s="149"/>
      <c r="IOJ48" s="149"/>
      <c r="IOK48" s="149"/>
      <c r="IOL48" s="149"/>
      <c r="IOM48" s="149"/>
      <c r="ION48" s="149"/>
      <c r="IOO48" s="149"/>
      <c r="IOP48" s="149"/>
      <c r="IOQ48" s="149"/>
      <c r="IOR48" s="149"/>
      <c r="IOS48" s="149"/>
      <c r="IOT48" s="149"/>
      <c r="IOU48" s="149"/>
      <c r="IOV48" s="149"/>
      <c r="IOW48" s="149"/>
      <c r="IOX48" s="149"/>
      <c r="IOY48" s="149"/>
      <c r="IOZ48" s="149"/>
      <c r="IPA48" s="149"/>
      <c r="IPB48" s="149"/>
      <c r="IPC48" s="149"/>
      <c r="IPD48" s="149"/>
      <c r="IPE48" s="149"/>
      <c r="IPF48" s="149"/>
      <c r="IPG48" s="149"/>
      <c r="IPH48" s="149"/>
      <c r="IPI48" s="149"/>
      <c r="IPJ48" s="149"/>
      <c r="IPK48" s="149"/>
      <c r="IPL48" s="149"/>
      <c r="IPM48" s="149"/>
      <c r="IPN48" s="149"/>
      <c r="IPO48" s="149"/>
      <c r="IPP48" s="149"/>
      <c r="IPQ48" s="149"/>
      <c r="IPR48" s="149"/>
      <c r="IPS48" s="149"/>
      <c r="IPT48" s="149"/>
      <c r="IPU48" s="149"/>
      <c r="IPV48" s="149"/>
      <c r="IPW48" s="149"/>
      <c r="IPX48" s="149"/>
      <c r="IPY48" s="149"/>
      <c r="IPZ48" s="149"/>
      <c r="IQA48" s="149"/>
      <c r="IQB48" s="149"/>
      <c r="IQC48" s="149"/>
      <c r="IQD48" s="149"/>
      <c r="IQE48" s="149"/>
      <c r="IQF48" s="149"/>
      <c r="IQG48" s="149"/>
      <c r="IQH48" s="149"/>
      <c r="IQI48" s="149"/>
      <c r="IQJ48" s="149"/>
      <c r="IQK48" s="149"/>
      <c r="IQL48" s="149"/>
      <c r="IQM48" s="149"/>
      <c r="IQN48" s="149"/>
      <c r="IQO48" s="149"/>
      <c r="IQP48" s="149"/>
      <c r="IQQ48" s="149"/>
      <c r="IQR48" s="149"/>
      <c r="IQS48" s="149"/>
      <c r="IQT48" s="149"/>
      <c r="IQU48" s="149"/>
      <c r="IQV48" s="149"/>
      <c r="IQW48" s="149"/>
      <c r="IQX48" s="149"/>
      <c r="IQY48" s="149"/>
      <c r="IQZ48" s="149"/>
      <c r="IRA48" s="149"/>
      <c r="IRB48" s="149"/>
      <c r="IRC48" s="149"/>
      <c r="IRD48" s="149"/>
      <c r="IRE48" s="149"/>
      <c r="IRF48" s="149"/>
      <c r="IRG48" s="149"/>
      <c r="IRH48" s="149"/>
      <c r="IRI48" s="149"/>
      <c r="IRJ48" s="149"/>
      <c r="IRK48" s="149"/>
      <c r="IRL48" s="149"/>
      <c r="IRM48" s="149"/>
      <c r="IRN48" s="149"/>
      <c r="IRO48" s="149"/>
      <c r="IRP48" s="149"/>
      <c r="IRQ48" s="149"/>
      <c r="IRR48" s="149"/>
      <c r="IRS48" s="149"/>
      <c r="IRT48" s="149"/>
      <c r="IRU48" s="149"/>
      <c r="IRV48" s="149"/>
      <c r="IRW48" s="149"/>
      <c r="IRX48" s="149"/>
      <c r="IRY48" s="149"/>
      <c r="IRZ48" s="149"/>
      <c r="ISA48" s="149"/>
      <c r="ISB48" s="149"/>
      <c r="ISC48" s="149"/>
      <c r="ISD48" s="149"/>
      <c r="ISE48" s="149"/>
      <c r="ISF48" s="149"/>
      <c r="ISG48" s="149"/>
      <c r="ISH48" s="149"/>
      <c r="ISI48" s="149"/>
      <c r="ISJ48" s="149"/>
      <c r="ISK48" s="149"/>
      <c r="ISL48" s="149"/>
      <c r="ISM48" s="149"/>
      <c r="ISN48" s="149"/>
      <c r="ISO48" s="149"/>
      <c r="ISP48" s="149"/>
      <c r="ISQ48" s="149"/>
      <c r="ISR48" s="149"/>
      <c r="ISS48" s="149"/>
      <c r="IST48" s="149"/>
      <c r="ISU48" s="149"/>
      <c r="ISV48" s="149"/>
      <c r="ISW48" s="149"/>
      <c r="ISX48" s="149"/>
      <c r="ISY48" s="149"/>
      <c r="ISZ48" s="149"/>
      <c r="ITA48" s="149"/>
      <c r="ITB48" s="149"/>
      <c r="ITC48" s="149"/>
      <c r="ITD48" s="149"/>
      <c r="ITE48" s="149"/>
      <c r="ITF48" s="149"/>
      <c r="ITG48" s="149"/>
      <c r="ITH48" s="149"/>
      <c r="ITI48" s="149"/>
      <c r="ITJ48" s="149"/>
      <c r="ITK48" s="149"/>
      <c r="ITL48" s="149"/>
      <c r="ITM48" s="149"/>
      <c r="ITN48" s="149"/>
      <c r="ITO48" s="149"/>
      <c r="ITP48" s="149"/>
      <c r="ITQ48" s="149"/>
      <c r="ITR48" s="149"/>
      <c r="ITS48" s="149"/>
      <c r="ITT48" s="149"/>
      <c r="ITU48" s="149"/>
      <c r="ITV48" s="149"/>
      <c r="ITW48" s="149"/>
      <c r="ITX48" s="149"/>
      <c r="ITY48" s="149"/>
      <c r="ITZ48" s="149"/>
      <c r="IUA48" s="149"/>
      <c r="IUB48" s="149"/>
      <c r="IUC48" s="149"/>
      <c r="IUD48" s="149"/>
      <c r="IUE48" s="149"/>
      <c r="IUF48" s="149"/>
      <c r="IUG48" s="149"/>
      <c r="IUH48" s="149"/>
      <c r="IUI48" s="149"/>
      <c r="IUJ48" s="149"/>
      <c r="IUK48" s="149"/>
      <c r="IUL48" s="149"/>
      <c r="IUM48" s="149"/>
      <c r="IUN48" s="149"/>
      <c r="IUO48" s="149"/>
      <c r="IUP48" s="149"/>
      <c r="IUQ48" s="149"/>
      <c r="IUR48" s="149"/>
      <c r="IUS48" s="149"/>
      <c r="IUT48" s="149"/>
      <c r="IUU48" s="149"/>
      <c r="IUV48" s="149"/>
      <c r="IUW48" s="149"/>
      <c r="IUX48" s="149"/>
      <c r="IUY48" s="149"/>
      <c r="IUZ48" s="149"/>
      <c r="IVA48" s="149"/>
      <c r="IVB48" s="149"/>
      <c r="IVC48" s="149"/>
      <c r="IVD48" s="149"/>
      <c r="IVE48" s="149"/>
      <c r="IVF48" s="149"/>
      <c r="IVG48" s="149"/>
      <c r="IVH48" s="149"/>
      <c r="IVI48" s="149"/>
      <c r="IVJ48" s="149"/>
      <c r="IVK48" s="149"/>
      <c r="IVL48" s="149"/>
      <c r="IVM48" s="149"/>
      <c r="IVN48" s="149"/>
      <c r="IVO48" s="149"/>
      <c r="IVP48" s="149"/>
      <c r="IVQ48" s="149"/>
      <c r="IVR48" s="149"/>
      <c r="IVS48" s="149"/>
      <c r="IVT48" s="149"/>
      <c r="IVU48" s="149"/>
      <c r="IVV48" s="149"/>
      <c r="IVW48" s="149"/>
      <c r="IVX48" s="149"/>
      <c r="IVY48" s="149"/>
      <c r="IVZ48" s="149"/>
      <c r="IWA48" s="149"/>
      <c r="IWB48" s="149"/>
      <c r="IWC48" s="149"/>
      <c r="IWD48" s="149"/>
      <c r="IWE48" s="149"/>
      <c r="IWF48" s="149"/>
      <c r="IWG48" s="149"/>
      <c r="IWH48" s="149"/>
      <c r="IWI48" s="149"/>
      <c r="IWJ48" s="149"/>
      <c r="IWK48" s="149"/>
      <c r="IWL48" s="149"/>
      <c r="IWM48" s="149"/>
      <c r="IWN48" s="149"/>
      <c r="IWO48" s="149"/>
      <c r="IWP48" s="149"/>
      <c r="IWQ48" s="149"/>
      <c r="IWR48" s="149"/>
      <c r="IWS48" s="149"/>
      <c r="IWT48" s="149"/>
      <c r="IWU48" s="149"/>
      <c r="IWV48" s="149"/>
      <c r="IWW48" s="149"/>
      <c r="IWX48" s="149"/>
      <c r="IWY48" s="149"/>
      <c r="IWZ48" s="149"/>
      <c r="IXA48" s="149"/>
      <c r="IXB48" s="149"/>
      <c r="IXC48" s="149"/>
      <c r="IXD48" s="149"/>
      <c r="IXE48" s="149"/>
      <c r="IXF48" s="149"/>
      <c r="IXG48" s="149"/>
      <c r="IXH48" s="149"/>
      <c r="IXI48" s="149"/>
      <c r="IXJ48" s="149"/>
      <c r="IXK48" s="149"/>
      <c r="IXL48" s="149"/>
      <c r="IXM48" s="149"/>
      <c r="IXN48" s="149"/>
      <c r="IXO48" s="149"/>
      <c r="IXP48" s="149"/>
      <c r="IXQ48" s="149"/>
      <c r="IXR48" s="149"/>
      <c r="IXS48" s="149"/>
      <c r="IXT48" s="149"/>
      <c r="IXU48" s="149"/>
      <c r="IXV48" s="149"/>
      <c r="IXW48" s="149"/>
      <c r="IXX48" s="149"/>
      <c r="IXY48" s="149"/>
      <c r="IXZ48" s="149"/>
      <c r="IYA48" s="149"/>
      <c r="IYB48" s="149"/>
      <c r="IYC48" s="149"/>
      <c r="IYD48" s="149"/>
      <c r="IYE48" s="149"/>
      <c r="IYF48" s="149"/>
      <c r="IYG48" s="149"/>
      <c r="IYH48" s="149"/>
      <c r="IYI48" s="149"/>
      <c r="IYJ48" s="149"/>
      <c r="IYK48" s="149"/>
      <c r="IYL48" s="149"/>
      <c r="IYM48" s="149"/>
      <c r="IYN48" s="149"/>
      <c r="IYO48" s="149"/>
      <c r="IYP48" s="149"/>
      <c r="IYQ48" s="149"/>
      <c r="IYR48" s="149"/>
      <c r="IYS48" s="149"/>
      <c r="IYT48" s="149"/>
      <c r="IYU48" s="149"/>
      <c r="IYV48" s="149"/>
      <c r="IYW48" s="149"/>
      <c r="IYX48" s="149"/>
      <c r="IYY48" s="149"/>
      <c r="IYZ48" s="149"/>
      <c r="IZA48" s="149"/>
      <c r="IZB48" s="149"/>
      <c r="IZC48" s="149"/>
      <c r="IZD48" s="149"/>
      <c r="IZE48" s="149"/>
      <c r="IZF48" s="149"/>
      <c r="IZG48" s="149"/>
      <c r="IZH48" s="149"/>
      <c r="IZI48" s="149"/>
      <c r="IZJ48" s="149"/>
      <c r="IZK48" s="149"/>
      <c r="IZL48" s="149"/>
      <c r="IZM48" s="149"/>
      <c r="IZN48" s="149"/>
      <c r="IZO48" s="149"/>
      <c r="IZP48" s="149"/>
      <c r="IZQ48" s="149"/>
      <c r="IZR48" s="149"/>
      <c r="IZS48" s="149"/>
      <c r="IZT48" s="149"/>
      <c r="IZU48" s="149"/>
      <c r="IZV48" s="149"/>
      <c r="IZW48" s="149"/>
      <c r="IZX48" s="149"/>
      <c r="IZY48" s="149"/>
      <c r="IZZ48" s="149"/>
      <c r="JAA48" s="149"/>
      <c r="JAB48" s="149"/>
      <c r="JAC48" s="149"/>
      <c r="JAD48" s="149"/>
      <c r="JAE48" s="149"/>
      <c r="JAF48" s="149"/>
      <c r="JAG48" s="149"/>
      <c r="JAH48" s="149"/>
      <c r="JAI48" s="149"/>
      <c r="JAJ48" s="149"/>
      <c r="JAK48" s="149"/>
      <c r="JAL48" s="149"/>
      <c r="JAM48" s="149"/>
      <c r="JAN48" s="149"/>
      <c r="JAO48" s="149"/>
      <c r="JAP48" s="149"/>
      <c r="JAQ48" s="149"/>
      <c r="JAR48" s="149"/>
      <c r="JAS48" s="149"/>
      <c r="JAT48" s="149"/>
      <c r="JAU48" s="149"/>
      <c r="JAV48" s="149"/>
      <c r="JAW48" s="149"/>
      <c r="JAX48" s="149"/>
      <c r="JAY48" s="149"/>
      <c r="JAZ48" s="149"/>
      <c r="JBA48" s="149"/>
      <c r="JBB48" s="149"/>
      <c r="JBC48" s="149"/>
      <c r="JBD48" s="149"/>
      <c r="JBE48" s="149"/>
      <c r="JBF48" s="149"/>
      <c r="JBG48" s="149"/>
      <c r="JBH48" s="149"/>
      <c r="JBI48" s="149"/>
      <c r="JBJ48" s="149"/>
      <c r="JBK48" s="149"/>
      <c r="JBL48" s="149"/>
      <c r="JBM48" s="149"/>
      <c r="JBN48" s="149"/>
      <c r="JBO48" s="149"/>
      <c r="JBP48" s="149"/>
      <c r="JBQ48" s="149"/>
      <c r="JBR48" s="149"/>
      <c r="JBS48" s="149"/>
      <c r="JBT48" s="149"/>
      <c r="JBU48" s="149"/>
      <c r="JBV48" s="149"/>
      <c r="JBW48" s="149"/>
      <c r="JBX48" s="149"/>
      <c r="JBY48" s="149"/>
      <c r="JBZ48" s="149"/>
      <c r="JCA48" s="149"/>
      <c r="JCB48" s="149"/>
      <c r="JCC48" s="149"/>
      <c r="JCD48" s="149"/>
      <c r="JCE48" s="149"/>
      <c r="JCF48" s="149"/>
      <c r="JCG48" s="149"/>
      <c r="JCH48" s="149"/>
      <c r="JCI48" s="149"/>
      <c r="JCJ48" s="149"/>
      <c r="JCK48" s="149"/>
      <c r="JCL48" s="149"/>
      <c r="JCM48" s="149"/>
      <c r="JCN48" s="149"/>
      <c r="JCO48" s="149"/>
      <c r="JCP48" s="149"/>
      <c r="JCQ48" s="149"/>
      <c r="JCR48" s="149"/>
      <c r="JCS48" s="149"/>
      <c r="JCT48" s="149"/>
      <c r="JCU48" s="149"/>
      <c r="JCV48" s="149"/>
      <c r="JCW48" s="149"/>
      <c r="JCX48" s="149"/>
      <c r="JCY48" s="149"/>
      <c r="JCZ48" s="149"/>
      <c r="JDA48" s="149"/>
      <c r="JDB48" s="149"/>
      <c r="JDC48" s="149"/>
      <c r="JDD48" s="149"/>
      <c r="JDE48" s="149"/>
      <c r="JDF48" s="149"/>
      <c r="JDG48" s="149"/>
      <c r="JDH48" s="149"/>
      <c r="JDI48" s="149"/>
      <c r="JDJ48" s="149"/>
      <c r="JDK48" s="149"/>
      <c r="JDL48" s="149"/>
      <c r="JDM48" s="149"/>
      <c r="JDN48" s="149"/>
      <c r="JDO48" s="149"/>
      <c r="JDP48" s="149"/>
      <c r="JDQ48" s="149"/>
      <c r="JDR48" s="149"/>
      <c r="JDS48" s="149"/>
      <c r="JDT48" s="149"/>
      <c r="JDU48" s="149"/>
      <c r="JDV48" s="149"/>
      <c r="JDW48" s="149"/>
      <c r="JDX48" s="149"/>
      <c r="JDY48" s="149"/>
      <c r="JDZ48" s="149"/>
      <c r="JEA48" s="149"/>
      <c r="JEB48" s="149"/>
      <c r="JEC48" s="149"/>
      <c r="JED48" s="149"/>
      <c r="JEE48" s="149"/>
      <c r="JEF48" s="149"/>
      <c r="JEG48" s="149"/>
      <c r="JEH48" s="149"/>
      <c r="JEI48" s="149"/>
      <c r="JEJ48" s="149"/>
      <c r="JEK48" s="149"/>
      <c r="JEL48" s="149"/>
      <c r="JEM48" s="149"/>
      <c r="JEN48" s="149"/>
      <c r="JEO48" s="149"/>
      <c r="JEP48" s="149"/>
      <c r="JEQ48" s="149"/>
      <c r="JER48" s="149"/>
      <c r="JES48" s="149"/>
      <c r="JET48" s="149"/>
      <c r="JEU48" s="149"/>
      <c r="JEV48" s="149"/>
      <c r="JEW48" s="149"/>
      <c r="JEX48" s="149"/>
      <c r="JEY48" s="149"/>
      <c r="JEZ48" s="149"/>
      <c r="JFA48" s="149"/>
      <c r="JFB48" s="149"/>
      <c r="JFC48" s="149"/>
      <c r="JFD48" s="149"/>
      <c r="JFE48" s="149"/>
      <c r="JFF48" s="149"/>
      <c r="JFG48" s="149"/>
      <c r="JFH48" s="149"/>
      <c r="JFI48" s="149"/>
      <c r="JFJ48" s="149"/>
      <c r="JFK48" s="149"/>
      <c r="JFL48" s="149"/>
      <c r="JFM48" s="149"/>
      <c r="JFN48" s="149"/>
      <c r="JFO48" s="149"/>
      <c r="JFP48" s="149"/>
      <c r="JFQ48" s="149"/>
      <c r="JFR48" s="149"/>
      <c r="JFS48" s="149"/>
      <c r="JFT48" s="149"/>
      <c r="JFU48" s="149"/>
      <c r="JFV48" s="149"/>
      <c r="JFW48" s="149"/>
      <c r="JFX48" s="149"/>
      <c r="JFY48" s="149"/>
      <c r="JFZ48" s="149"/>
      <c r="JGA48" s="149"/>
      <c r="JGB48" s="149"/>
      <c r="JGC48" s="149"/>
      <c r="JGD48" s="149"/>
      <c r="JGE48" s="149"/>
      <c r="JGF48" s="149"/>
      <c r="JGG48" s="149"/>
      <c r="JGH48" s="149"/>
      <c r="JGI48" s="149"/>
      <c r="JGJ48" s="149"/>
      <c r="JGK48" s="149"/>
      <c r="JGL48" s="149"/>
      <c r="JGM48" s="149"/>
      <c r="JGN48" s="149"/>
      <c r="JGO48" s="149"/>
      <c r="JGP48" s="149"/>
      <c r="JGQ48" s="149"/>
      <c r="JGR48" s="149"/>
      <c r="JGS48" s="149"/>
      <c r="JGT48" s="149"/>
      <c r="JGU48" s="149"/>
      <c r="JGV48" s="149"/>
      <c r="JGW48" s="149"/>
      <c r="JGX48" s="149"/>
      <c r="JGY48" s="149"/>
      <c r="JGZ48" s="149"/>
      <c r="JHA48" s="149"/>
      <c r="JHB48" s="149"/>
      <c r="JHC48" s="149"/>
      <c r="JHD48" s="149"/>
      <c r="JHE48" s="149"/>
      <c r="JHF48" s="149"/>
      <c r="JHG48" s="149"/>
      <c r="JHH48" s="149"/>
      <c r="JHI48" s="149"/>
      <c r="JHJ48" s="149"/>
      <c r="JHK48" s="149"/>
      <c r="JHL48" s="149"/>
      <c r="JHM48" s="149"/>
      <c r="JHN48" s="149"/>
      <c r="JHO48" s="149"/>
      <c r="JHP48" s="149"/>
      <c r="JHQ48" s="149"/>
      <c r="JHR48" s="149"/>
      <c r="JHS48" s="149"/>
      <c r="JHT48" s="149"/>
      <c r="JHU48" s="149"/>
      <c r="JHV48" s="149"/>
      <c r="JHW48" s="149"/>
      <c r="JHX48" s="149"/>
      <c r="JHY48" s="149"/>
      <c r="JHZ48" s="149"/>
      <c r="JIA48" s="149"/>
      <c r="JIB48" s="149"/>
      <c r="JIC48" s="149"/>
      <c r="JID48" s="149"/>
      <c r="JIE48" s="149"/>
      <c r="JIF48" s="149"/>
      <c r="JIG48" s="149"/>
      <c r="JIH48" s="149"/>
      <c r="JII48" s="149"/>
      <c r="JIJ48" s="149"/>
      <c r="JIK48" s="149"/>
      <c r="JIL48" s="149"/>
      <c r="JIM48" s="149"/>
      <c r="JIN48" s="149"/>
      <c r="JIO48" s="149"/>
      <c r="JIP48" s="149"/>
      <c r="JIQ48" s="149"/>
      <c r="JIR48" s="149"/>
      <c r="JIS48" s="149"/>
      <c r="JIT48" s="149"/>
      <c r="JIU48" s="149"/>
      <c r="JIV48" s="149"/>
      <c r="JIW48" s="149"/>
      <c r="JIX48" s="149"/>
      <c r="JIY48" s="149"/>
      <c r="JIZ48" s="149"/>
      <c r="JJA48" s="149"/>
      <c r="JJB48" s="149"/>
      <c r="JJC48" s="149"/>
      <c r="JJD48" s="149"/>
      <c r="JJE48" s="149"/>
      <c r="JJF48" s="149"/>
      <c r="JJG48" s="149"/>
      <c r="JJH48" s="149"/>
      <c r="JJI48" s="149"/>
      <c r="JJJ48" s="149"/>
      <c r="JJK48" s="149"/>
      <c r="JJL48" s="149"/>
      <c r="JJM48" s="149"/>
      <c r="JJN48" s="149"/>
      <c r="JJO48" s="149"/>
      <c r="JJP48" s="149"/>
      <c r="JJQ48" s="149"/>
      <c r="JJR48" s="149"/>
      <c r="JJS48" s="149"/>
      <c r="JJT48" s="149"/>
      <c r="JJU48" s="149"/>
      <c r="JJV48" s="149"/>
      <c r="JJW48" s="149"/>
      <c r="JJX48" s="149"/>
      <c r="JJY48" s="149"/>
      <c r="JJZ48" s="149"/>
      <c r="JKA48" s="149"/>
      <c r="JKB48" s="149"/>
      <c r="JKC48" s="149"/>
      <c r="JKD48" s="149"/>
      <c r="JKE48" s="149"/>
      <c r="JKF48" s="149"/>
      <c r="JKG48" s="149"/>
      <c r="JKH48" s="149"/>
      <c r="JKI48" s="149"/>
      <c r="JKJ48" s="149"/>
      <c r="JKK48" s="149"/>
      <c r="JKL48" s="149"/>
      <c r="JKM48" s="149"/>
      <c r="JKN48" s="149"/>
      <c r="JKO48" s="149"/>
      <c r="JKP48" s="149"/>
      <c r="JKQ48" s="149"/>
      <c r="JKR48" s="149"/>
      <c r="JKS48" s="149"/>
      <c r="JKT48" s="149"/>
      <c r="JKU48" s="149"/>
      <c r="JKV48" s="149"/>
      <c r="JKW48" s="149"/>
      <c r="JKX48" s="149"/>
      <c r="JKY48" s="149"/>
      <c r="JKZ48" s="149"/>
      <c r="JLA48" s="149"/>
      <c r="JLB48" s="149"/>
      <c r="JLC48" s="149"/>
      <c r="JLD48" s="149"/>
      <c r="JLE48" s="149"/>
      <c r="JLF48" s="149"/>
      <c r="JLG48" s="149"/>
      <c r="JLH48" s="149"/>
      <c r="JLI48" s="149"/>
      <c r="JLJ48" s="149"/>
      <c r="JLK48" s="149"/>
      <c r="JLL48" s="149"/>
      <c r="JLM48" s="149"/>
      <c r="JLN48" s="149"/>
      <c r="JLO48" s="149"/>
      <c r="JLP48" s="149"/>
      <c r="JLQ48" s="149"/>
      <c r="JLR48" s="149"/>
      <c r="JLS48" s="149"/>
      <c r="JLT48" s="149"/>
      <c r="JLU48" s="149"/>
      <c r="JLV48" s="149"/>
      <c r="JLW48" s="149"/>
      <c r="JLX48" s="149"/>
      <c r="JLY48" s="149"/>
      <c r="JLZ48" s="149"/>
      <c r="JMA48" s="149"/>
      <c r="JMB48" s="149"/>
      <c r="JMC48" s="149"/>
      <c r="JMD48" s="149"/>
      <c r="JME48" s="149"/>
      <c r="JMF48" s="149"/>
      <c r="JMG48" s="149"/>
      <c r="JMH48" s="149"/>
      <c r="JMI48" s="149"/>
      <c r="JMJ48" s="149"/>
      <c r="JMK48" s="149"/>
      <c r="JML48" s="149"/>
      <c r="JMM48" s="149"/>
      <c r="JMN48" s="149"/>
      <c r="JMO48" s="149"/>
      <c r="JMP48" s="149"/>
      <c r="JMQ48" s="149"/>
      <c r="JMR48" s="149"/>
      <c r="JMS48" s="149"/>
      <c r="JMT48" s="149"/>
      <c r="JMU48" s="149"/>
      <c r="JMV48" s="149"/>
      <c r="JMW48" s="149"/>
      <c r="JMX48" s="149"/>
      <c r="JMY48" s="149"/>
      <c r="JMZ48" s="149"/>
      <c r="JNA48" s="149"/>
      <c r="JNB48" s="149"/>
      <c r="JNC48" s="149"/>
      <c r="JND48" s="149"/>
      <c r="JNE48" s="149"/>
      <c r="JNF48" s="149"/>
      <c r="JNG48" s="149"/>
      <c r="JNH48" s="149"/>
      <c r="JNI48" s="149"/>
      <c r="JNJ48" s="149"/>
      <c r="JNK48" s="149"/>
      <c r="JNL48" s="149"/>
      <c r="JNM48" s="149"/>
      <c r="JNN48" s="149"/>
      <c r="JNO48" s="149"/>
      <c r="JNP48" s="149"/>
      <c r="JNQ48" s="149"/>
      <c r="JNR48" s="149"/>
      <c r="JNS48" s="149"/>
      <c r="JNT48" s="149"/>
      <c r="JNU48" s="149"/>
      <c r="JNV48" s="149"/>
      <c r="JNW48" s="149"/>
      <c r="JNX48" s="149"/>
      <c r="JNY48" s="149"/>
      <c r="JNZ48" s="149"/>
      <c r="JOA48" s="149"/>
      <c r="JOB48" s="149"/>
      <c r="JOC48" s="149"/>
      <c r="JOD48" s="149"/>
      <c r="JOE48" s="149"/>
      <c r="JOF48" s="149"/>
      <c r="JOG48" s="149"/>
      <c r="JOH48" s="149"/>
      <c r="JOI48" s="149"/>
      <c r="JOJ48" s="149"/>
      <c r="JOK48" s="149"/>
      <c r="JOL48" s="149"/>
      <c r="JOM48" s="149"/>
      <c r="JON48" s="149"/>
      <c r="JOO48" s="149"/>
      <c r="JOP48" s="149"/>
      <c r="JOQ48" s="149"/>
      <c r="JOR48" s="149"/>
      <c r="JOS48" s="149"/>
      <c r="JOT48" s="149"/>
      <c r="JOU48" s="149"/>
      <c r="JOV48" s="149"/>
      <c r="JOW48" s="149"/>
      <c r="JOX48" s="149"/>
      <c r="JOY48" s="149"/>
      <c r="JOZ48" s="149"/>
      <c r="JPA48" s="149"/>
      <c r="JPB48" s="149"/>
      <c r="JPC48" s="149"/>
      <c r="JPD48" s="149"/>
      <c r="JPE48" s="149"/>
      <c r="JPF48" s="149"/>
      <c r="JPG48" s="149"/>
      <c r="JPH48" s="149"/>
      <c r="JPI48" s="149"/>
      <c r="JPJ48" s="149"/>
      <c r="JPK48" s="149"/>
      <c r="JPL48" s="149"/>
      <c r="JPM48" s="149"/>
      <c r="JPN48" s="149"/>
      <c r="JPO48" s="149"/>
      <c r="JPP48" s="149"/>
      <c r="JPQ48" s="149"/>
      <c r="JPR48" s="149"/>
      <c r="JPS48" s="149"/>
      <c r="JPT48" s="149"/>
      <c r="JPU48" s="149"/>
      <c r="JPV48" s="149"/>
      <c r="JPW48" s="149"/>
      <c r="JPX48" s="149"/>
      <c r="JPY48" s="149"/>
      <c r="JPZ48" s="149"/>
      <c r="JQA48" s="149"/>
      <c r="JQB48" s="149"/>
      <c r="JQC48" s="149"/>
      <c r="JQD48" s="149"/>
      <c r="JQE48" s="149"/>
      <c r="JQF48" s="149"/>
      <c r="JQG48" s="149"/>
      <c r="JQH48" s="149"/>
      <c r="JQI48" s="149"/>
      <c r="JQJ48" s="149"/>
      <c r="JQK48" s="149"/>
      <c r="JQL48" s="149"/>
      <c r="JQM48" s="149"/>
      <c r="JQN48" s="149"/>
      <c r="JQO48" s="149"/>
      <c r="JQP48" s="149"/>
      <c r="JQQ48" s="149"/>
      <c r="JQR48" s="149"/>
      <c r="JQS48" s="149"/>
      <c r="JQT48" s="149"/>
      <c r="JQU48" s="149"/>
      <c r="JQV48" s="149"/>
      <c r="JQW48" s="149"/>
      <c r="JQX48" s="149"/>
      <c r="JQY48" s="149"/>
      <c r="JQZ48" s="149"/>
      <c r="JRA48" s="149"/>
      <c r="JRB48" s="149"/>
      <c r="JRC48" s="149"/>
      <c r="JRD48" s="149"/>
      <c r="JRE48" s="149"/>
      <c r="JRF48" s="149"/>
      <c r="JRG48" s="149"/>
      <c r="JRH48" s="149"/>
      <c r="JRI48" s="149"/>
      <c r="JRJ48" s="149"/>
      <c r="JRK48" s="149"/>
      <c r="JRL48" s="149"/>
      <c r="JRM48" s="149"/>
      <c r="JRN48" s="149"/>
      <c r="JRO48" s="149"/>
      <c r="JRP48" s="149"/>
      <c r="JRQ48" s="149"/>
      <c r="JRR48" s="149"/>
      <c r="JRS48" s="149"/>
      <c r="JRT48" s="149"/>
      <c r="JRU48" s="149"/>
      <c r="JRV48" s="149"/>
      <c r="JRW48" s="149"/>
      <c r="JRX48" s="149"/>
      <c r="JRY48" s="149"/>
      <c r="JRZ48" s="149"/>
      <c r="JSA48" s="149"/>
      <c r="JSB48" s="149"/>
      <c r="JSC48" s="149"/>
      <c r="JSD48" s="149"/>
      <c r="JSE48" s="149"/>
      <c r="JSF48" s="149"/>
      <c r="JSG48" s="149"/>
      <c r="JSH48" s="149"/>
      <c r="JSI48" s="149"/>
      <c r="JSJ48" s="149"/>
      <c r="JSK48" s="149"/>
      <c r="JSL48" s="149"/>
      <c r="JSM48" s="149"/>
      <c r="JSN48" s="149"/>
      <c r="JSO48" s="149"/>
      <c r="JSP48" s="149"/>
      <c r="JSQ48" s="149"/>
      <c r="JSR48" s="149"/>
      <c r="JSS48" s="149"/>
      <c r="JST48" s="149"/>
      <c r="JSU48" s="149"/>
      <c r="JSV48" s="149"/>
      <c r="JSW48" s="149"/>
      <c r="JSX48" s="149"/>
      <c r="JSY48" s="149"/>
      <c r="JSZ48" s="149"/>
      <c r="JTA48" s="149"/>
      <c r="JTB48" s="149"/>
      <c r="JTC48" s="149"/>
      <c r="JTD48" s="149"/>
      <c r="JTE48" s="149"/>
      <c r="JTF48" s="149"/>
      <c r="JTG48" s="149"/>
      <c r="JTH48" s="149"/>
      <c r="JTI48" s="149"/>
      <c r="JTJ48" s="149"/>
      <c r="JTK48" s="149"/>
      <c r="JTL48" s="149"/>
      <c r="JTM48" s="149"/>
      <c r="JTN48" s="149"/>
      <c r="JTO48" s="149"/>
      <c r="JTP48" s="149"/>
      <c r="JTQ48" s="149"/>
      <c r="JTR48" s="149"/>
      <c r="JTS48" s="149"/>
      <c r="JTT48" s="149"/>
      <c r="JTU48" s="149"/>
      <c r="JTV48" s="149"/>
      <c r="JTW48" s="149"/>
      <c r="JTX48" s="149"/>
      <c r="JTY48" s="149"/>
      <c r="JTZ48" s="149"/>
      <c r="JUA48" s="149"/>
      <c r="JUB48" s="149"/>
      <c r="JUC48" s="149"/>
      <c r="JUD48" s="149"/>
      <c r="JUE48" s="149"/>
      <c r="JUF48" s="149"/>
      <c r="JUG48" s="149"/>
      <c r="JUH48" s="149"/>
      <c r="JUI48" s="149"/>
      <c r="JUJ48" s="149"/>
      <c r="JUK48" s="149"/>
      <c r="JUL48" s="149"/>
      <c r="JUM48" s="149"/>
      <c r="JUN48" s="149"/>
      <c r="JUO48" s="149"/>
      <c r="JUP48" s="149"/>
      <c r="JUQ48" s="149"/>
      <c r="JUR48" s="149"/>
      <c r="JUS48" s="149"/>
      <c r="JUT48" s="149"/>
      <c r="JUU48" s="149"/>
      <c r="JUV48" s="149"/>
      <c r="JUW48" s="149"/>
      <c r="JUX48" s="149"/>
      <c r="JUY48" s="149"/>
      <c r="JUZ48" s="149"/>
      <c r="JVA48" s="149"/>
      <c r="JVB48" s="149"/>
      <c r="JVC48" s="149"/>
      <c r="JVD48" s="149"/>
      <c r="JVE48" s="149"/>
      <c r="JVF48" s="149"/>
      <c r="JVG48" s="149"/>
      <c r="JVH48" s="149"/>
      <c r="JVI48" s="149"/>
      <c r="JVJ48" s="149"/>
      <c r="JVK48" s="149"/>
      <c r="JVL48" s="149"/>
      <c r="JVM48" s="149"/>
      <c r="JVN48" s="149"/>
      <c r="JVO48" s="149"/>
      <c r="JVP48" s="149"/>
      <c r="JVQ48" s="149"/>
      <c r="JVR48" s="149"/>
      <c r="JVS48" s="149"/>
      <c r="JVT48" s="149"/>
      <c r="JVU48" s="149"/>
      <c r="JVV48" s="149"/>
      <c r="JVW48" s="149"/>
      <c r="JVX48" s="149"/>
      <c r="JVY48" s="149"/>
      <c r="JVZ48" s="149"/>
      <c r="JWA48" s="149"/>
      <c r="JWB48" s="149"/>
      <c r="JWC48" s="149"/>
      <c r="JWD48" s="149"/>
      <c r="JWE48" s="149"/>
      <c r="JWF48" s="149"/>
      <c r="JWG48" s="149"/>
      <c r="JWH48" s="149"/>
      <c r="JWI48" s="149"/>
      <c r="JWJ48" s="149"/>
      <c r="JWK48" s="149"/>
      <c r="JWL48" s="149"/>
      <c r="JWM48" s="149"/>
      <c r="JWN48" s="149"/>
      <c r="JWO48" s="149"/>
      <c r="JWP48" s="149"/>
      <c r="JWQ48" s="149"/>
      <c r="JWR48" s="149"/>
      <c r="JWS48" s="149"/>
      <c r="JWT48" s="149"/>
      <c r="JWU48" s="149"/>
      <c r="JWV48" s="149"/>
      <c r="JWW48" s="149"/>
      <c r="JWX48" s="149"/>
      <c r="JWY48" s="149"/>
      <c r="JWZ48" s="149"/>
      <c r="JXA48" s="149"/>
      <c r="JXB48" s="149"/>
      <c r="JXC48" s="149"/>
      <c r="JXD48" s="149"/>
      <c r="JXE48" s="149"/>
      <c r="JXF48" s="149"/>
      <c r="JXG48" s="149"/>
      <c r="JXH48" s="149"/>
      <c r="JXI48" s="149"/>
      <c r="JXJ48" s="149"/>
      <c r="JXK48" s="149"/>
      <c r="JXL48" s="149"/>
      <c r="JXM48" s="149"/>
      <c r="JXN48" s="149"/>
      <c r="JXO48" s="149"/>
      <c r="JXP48" s="149"/>
      <c r="JXQ48" s="149"/>
      <c r="JXR48" s="149"/>
      <c r="JXS48" s="149"/>
      <c r="JXT48" s="149"/>
      <c r="JXU48" s="149"/>
      <c r="JXV48" s="149"/>
      <c r="JXW48" s="149"/>
      <c r="JXX48" s="149"/>
      <c r="JXY48" s="149"/>
      <c r="JXZ48" s="149"/>
      <c r="JYA48" s="149"/>
      <c r="JYB48" s="149"/>
      <c r="JYC48" s="149"/>
      <c r="JYD48" s="149"/>
      <c r="JYE48" s="149"/>
      <c r="JYF48" s="149"/>
      <c r="JYG48" s="149"/>
      <c r="JYH48" s="149"/>
      <c r="JYI48" s="149"/>
      <c r="JYJ48" s="149"/>
      <c r="JYK48" s="149"/>
      <c r="JYL48" s="149"/>
      <c r="JYM48" s="149"/>
      <c r="JYN48" s="149"/>
      <c r="JYO48" s="149"/>
      <c r="JYP48" s="149"/>
      <c r="JYQ48" s="149"/>
      <c r="JYR48" s="149"/>
      <c r="JYS48" s="149"/>
      <c r="JYT48" s="149"/>
      <c r="JYU48" s="149"/>
      <c r="JYV48" s="149"/>
      <c r="JYW48" s="149"/>
      <c r="JYX48" s="149"/>
      <c r="JYY48" s="149"/>
      <c r="JYZ48" s="149"/>
      <c r="JZA48" s="149"/>
      <c r="JZB48" s="149"/>
      <c r="JZC48" s="149"/>
      <c r="JZD48" s="149"/>
      <c r="JZE48" s="149"/>
      <c r="JZF48" s="149"/>
      <c r="JZG48" s="149"/>
      <c r="JZH48" s="149"/>
      <c r="JZI48" s="149"/>
      <c r="JZJ48" s="149"/>
      <c r="JZK48" s="149"/>
      <c r="JZL48" s="149"/>
      <c r="JZM48" s="149"/>
      <c r="JZN48" s="149"/>
      <c r="JZO48" s="149"/>
      <c r="JZP48" s="149"/>
      <c r="JZQ48" s="149"/>
      <c r="JZR48" s="149"/>
      <c r="JZS48" s="149"/>
      <c r="JZT48" s="149"/>
      <c r="JZU48" s="149"/>
      <c r="JZV48" s="149"/>
      <c r="JZW48" s="149"/>
      <c r="JZX48" s="149"/>
      <c r="JZY48" s="149"/>
      <c r="JZZ48" s="149"/>
      <c r="KAA48" s="149"/>
      <c r="KAB48" s="149"/>
      <c r="KAC48" s="149"/>
      <c r="KAD48" s="149"/>
      <c r="KAE48" s="149"/>
      <c r="KAF48" s="149"/>
      <c r="KAG48" s="149"/>
      <c r="KAH48" s="149"/>
      <c r="KAI48" s="149"/>
      <c r="KAJ48" s="149"/>
      <c r="KAK48" s="149"/>
      <c r="KAL48" s="149"/>
      <c r="KAM48" s="149"/>
      <c r="KAN48" s="149"/>
      <c r="KAO48" s="149"/>
      <c r="KAP48" s="149"/>
      <c r="KAQ48" s="149"/>
      <c r="KAR48" s="149"/>
      <c r="KAS48" s="149"/>
      <c r="KAT48" s="149"/>
      <c r="KAU48" s="149"/>
      <c r="KAV48" s="149"/>
      <c r="KAW48" s="149"/>
      <c r="KAX48" s="149"/>
      <c r="KAY48" s="149"/>
      <c r="KAZ48" s="149"/>
      <c r="KBA48" s="149"/>
      <c r="KBB48" s="149"/>
      <c r="KBC48" s="149"/>
      <c r="KBD48" s="149"/>
      <c r="KBE48" s="149"/>
      <c r="KBF48" s="149"/>
      <c r="KBG48" s="149"/>
      <c r="KBH48" s="149"/>
      <c r="KBI48" s="149"/>
      <c r="KBJ48" s="149"/>
      <c r="KBK48" s="149"/>
      <c r="KBL48" s="149"/>
      <c r="KBM48" s="149"/>
      <c r="KBN48" s="149"/>
      <c r="KBO48" s="149"/>
      <c r="KBP48" s="149"/>
      <c r="KBQ48" s="149"/>
      <c r="KBR48" s="149"/>
      <c r="KBS48" s="149"/>
      <c r="KBT48" s="149"/>
      <c r="KBU48" s="149"/>
      <c r="KBV48" s="149"/>
      <c r="KBW48" s="149"/>
      <c r="KBX48" s="149"/>
      <c r="KBY48" s="149"/>
      <c r="KBZ48" s="149"/>
      <c r="KCA48" s="149"/>
      <c r="KCB48" s="149"/>
      <c r="KCC48" s="149"/>
      <c r="KCD48" s="149"/>
      <c r="KCE48" s="149"/>
      <c r="KCF48" s="149"/>
      <c r="KCG48" s="149"/>
      <c r="KCH48" s="149"/>
      <c r="KCI48" s="149"/>
      <c r="KCJ48" s="149"/>
      <c r="KCK48" s="149"/>
      <c r="KCL48" s="149"/>
      <c r="KCM48" s="149"/>
      <c r="KCN48" s="149"/>
      <c r="KCO48" s="149"/>
      <c r="KCP48" s="149"/>
      <c r="KCQ48" s="149"/>
      <c r="KCR48" s="149"/>
      <c r="KCS48" s="149"/>
      <c r="KCT48" s="149"/>
      <c r="KCU48" s="149"/>
      <c r="KCV48" s="149"/>
      <c r="KCW48" s="149"/>
      <c r="KCX48" s="149"/>
      <c r="KCY48" s="149"/>
      <c r="KCZ48" s="149"/>
      <c r="KDA48" s="149"/>
      <c r="KDB48" s="149"/>
      <c r="KDC48" s="149"/>
      <c r="KDD48" s="149"/>
      <c r="KDE48" s="149"/>
      <c r="KDF48" s="149"/>
      <c r="KDG48" s="149"/>
      <c r="KDH48" s="149"/>
      <c r="KDI48" s="149"/>
      <c r="KDJ48" s="149"/>
      <c r="KDK48" s="149"/>
      <c r="KDL48" s="149"/>
      <c r="KDM48" s="149"/>
      <c r="KDN48" s="149"/>
      <c r="KDO48" s="149"/>
      <c r="KDP48" s="149"/>
      <c r="KDQ48" s="149"/>
      <c r="KDR48" s="149"/>
      <c r="KDS48" s="149"/>
      <c r="KDT48" s="149"/>
      <c r="KDU48" s="149"/>
      <c r="KDV48" s="149"/>
      <c r="KDW48" s="149"/>
      <c r="KDX48" s="149"/>
      <c r="KDY48" s="149"/>
      <c r="KDZ48" s="149"/>
      <c r="KEA48" s="149"/>
      <c r="KEB48" s="149"/>
      <c r="KEC48" s="149"/>
      <c r="KED48" s="149"/>
      <c r="KEE48" s="149"/>
      <c r="KEF48" s="149"/>
      <c r="KEG48" s="149"/>
      <c r="KEH48" s="149"/>
      <c r="KEI48" s="149"/>
      <c r="KEJ48" s="149"/>
      <c r="KEK48" s="149"/>
      <c r="KEL48" s="149"/>
      <c r="KEM48" s="149"/>
      <c r="KEN48" s="149"/>
      <c r="KEO48" s="149"/>
      <c r="KEP48" s="149"/>
      <c r="KEQ48" s="149"/>
      <c r="KER48" s="149"/>
      <c r="KES48" s="149"/>
      <c r="KET48" s="149"/>
      <c r="KEU48" s="149"/>
      <c r="KEV48" s="149"/>
      <c r="KEW48" s="149"/>
      <c r="KEX48" s="149"/>
      <c r="KEY48" s="149"/>
      <c r="KEZ48" s="149"/>
      <c r="KFA48" s="149"/>
      <c r="KFB48" s="149"/>
      <c r="KFC48" s="149"/>
      <c r="KFD48" s="149"/>
      <c r="KFE48" s="149"/>
      <c r="KFF48" s="149"/>
      <c r="KFG48" s="149"/>
      <c r="KFH48" s="149"/>
      <c r="KFI48" s="149"/>
      <c r="KFJ48" s="149"/>
      <c r="KFK48" s="149"/>
      <c r="KFL48" s="149"/>
      <c r="KFM48" s="149"/>
      <c r="KFN48" s="149"/>
      <c r="KFO48" s="149"/>
      <c r="KFP48" s="149"/>
      <c r="KFQ48" s="149"/>
      <c r="KFR48" s="149"/>
      <c r="KFS48" s="149"/>
      <c r="KFT48" s="149"/>
      <c r="KFU48" s="149"/>
      <c r="KFV48" s="149"/>
      <c r="KFW48" s="149"/>
      <c r="KFX48" s="149"/>
      <c r="KFY48" s="149"/>
      <c r="KFZ48" s="149"/>
      <c r="KGA48" s="149"/>
      <c r="KGB48" s="149"/>
      <c r="KGC48" s="149"/>
      <c r="KGD48" s="149"/>
      <c r="KGE48" s="149"/>
      <c r="KGF48" s="149"/>
      <c r="KGG48" s="149"/>
      <c r="KGH48" s="149"/>
      <c r="KGI48" s="149"/>
      <c r="KGJ48" s="149"/>
      <c r="KGK48" s="149"/>
      <c r="KGL48" s="149"/>
      <c r="KGM48" s="149"/>
      <c r="KGN48" s="149"/>
      <c r="KGO48" s="149"/>
      <c r="KGP48" s="149"/>
      <c r="KGQ48" s="149"/>
      <c r="KGR48" s="149"/>
      <c r="KGS48" s="149"/>
      <c r="KGT48" s="149"/>
      <c r="KGU48" s="149"/>
      <c r="KGV48" s="149"/>
      <c r="KGW48" s="149"/>
      <c r="KGX48" s="149"/>
      <c r="KGY48" s="149"/>
      <c r="KGZ48" s="149"/>
      <c r="KHA48" s="149"/>
      <c r="KHB48" s="149"/>
      <c r="KHC48" s="149"/>
      <c r="KHD48" s="149"/>
      <c r="KHE48" s="149"/>
      <c r="KHF48" s="149"/>
      <c r="KHG48" s="149"/>
      <c r="KHH48" s="149"/>
      <c r="KHI48" s="149"/>
      <c r="KHJ48" s="149"/>
      <c r="KHK48" s="149"/>
      <c r="KHL48" s="149"/>
      <c r="KHM48" s="149"/>
      <c r="KHN48" s="149"/>
      <c r="KHO48" s="149"/>
      <c r="KHP48" s="149"/>
      <c r="KHQ48" s="149"/>
      <c r="KHR48" s="149"/>
      <c r="KHS48" s="149"/>
      <c r="KHT48" s="149"/>
      <c r="KHU48" s="149"/>
      <c r="KHV48" s="149"/>
      <c r="KHW48" s="149"/>
      <c r="KHX48" s="149"/>
      <c r="KHY48" s="149"/>
      <c r="KHZ48" s="149"/>
      <c r="KIA48" s="149"/>
      <c r="KIB48" s="149"/>
      <c r="KIC48" s="149"/>
      <c r="KID48" s="149"/>
      <c r="KIE48" s="149"/>
      <c r="KIF48" s="149"/>
      <c r="KIG48" s="149"/>
      <c r="KIH48" s="149"/>
      <c r="KII48" s="149"/>
      <c r="KIJ48" s="149"/>
      <c r="KIK48" s="149"/>
      <c r="KIL48" s="149"/>
      <c r="KIM48" s="149"/>
      <c r="KIN48" s="149"/>
      <c r="KIO48" s="149"/>
      <c r="KIP48" s="149"/>
      <c r="KIQ48" s="149"/>
      <c r="KIR48" s="149"/>
      <c r="KIS48" s="149"/>
      <c r="KIT48" s="149"/>
      <c r="KIU48" s="149"/>
      <c r="KIV48" s="149"/>
      <c r="KIW48" s="149"/>
      <c r="KIX48" s="149"/>
      <c r="KIY48" s="149"/>
      <c r="KIZ48" s="149"/>
      <c r="KJA48" s="149"/>
      <c r="KJB48" s="149"/>
      <c r="KJC48" s="149"/>
      <c r="KJD48" s="149"/>
      <c r="KJE48" s="149"/>
      <c r="KJF48" s="149"/>
      <c r="KJG48" s="149"/>
      <c r="KJH48" s="149"/>
      <c r="KJI48" s="149"/>
      <c r="KJJ48" s="149"/>
      <c r="KJK48" s="149"/>
      <c r="KJL48" s="149"/>
      <c r="KJM48" s="149"/>
      <c r="KJN48" s="149"/>
      <c r="KJO48" s="149"/>
      <c r="KJP48" s="149"/>
      <c r="KJQ48" s="149"/>
      <c r="KJR48" s="149"/>
      <c r="KJS48" s="149"/>
      <c r="KJT48" s="149"/>
      <c r="KJU48" s="149"/>
      <c r="KJV48" s="149"/>
      <c r="KJW48" s="149"/>
      <c r="KJX48" s="149"/>
      <c r="KJY48" s="149"/>
      <c r="KJZ48" s="149"/>
      <c r="KKA48" s="149"/>
      <c r="KKB48" s="149"/>
      <c r="KKC48" s="149"/>
      <c r="KKD48" s="149"/>
      <c r="KKE48" s="149"/>
      <c r="KKF48" s="149"/>
      <c r="KKG48" s="149"/>
      <c r="KKH48" s="149"/>
      <c r="KKI48" s="149"/>
      <c r="KKJ48" s="149"/>
      <c r="KKK48" s="149"/>
      <c r="KKL48" s="149"/>
      <c r="KKM48" s="149"/>
      <c r="KKN48" s="149"/>
      <c r="KKO48" s="149"/>
      <c r="KKP48" s="149"/>
      <c r="KKQ48" s="149"/>
      <c r="KKR48" s="149"/>
      <c r="KKS48" s="149"/>
      <c r="KKT48" s="149"/>
      <c r="KKU48" s="149"/>
      <c r="KKV48" s="149"/>
      <c r="KKW48" s="149"/>
      <c r="KKX48" s="149"/>
      <c r="KKY48" s="149"/>
      <c r="KKZ48" s="149"/>
      <c r="KLA48" s="149"/>
      <c r="KLB48" s="149"/>
      <c r="KLC48" s="149"/>
      <c r="KLD48" s="149"/>
      <c r="KLE48" s="149"/>
      <c r="KLF48" s="149"/>
      <c r="KLG48" s="149"/>
      <c r="KLH48" s="149"/>
      <c r="KLI48" s="149"/>
      <c r="KLJ48" s="149"/>
      <c r="KLK48" s="149"/>
      <c r="KLL48" s="149"/>
      <c r="KLM48" s="149"/>
      <c r="KLN48" s="149"/>
      <c r="KLO48" s="149"/>
      <c r="KLP48" s="149"/>
      <c r="KLQ48" s="149"/>
      <c r="KLR48" s="149"/>
      <c r="KLS48" s="149"/>
      <c r="KLT48" s="149"/>
      <c r="KLU48" s="149"/>
      <c r="KLV48" s="149"/>
      <c r="KLW48" s="149"/>
      <c r="KLX48" s="149"/>
      <c r="KLY48" s="149"/>
      <c r="KLZ48" s="149"/>
      <c r="KMA48" s="149"/>
      <c r="KMB48" s="149"/>
      <c r="KMC48" s="149"/>
      <c r="KMD48" s="149"/>
      <c r="KME48" s="149"/>
      <c r="KMF48" s="149"/>
      <c r="KMG48" s="149"/>
      <c r="KMH48" s="149"/>
      <c r="KMI48" s="149"/>
      <c r="KMJ48" s="149"/>
      <c r="KMK48" s="149"/>
      <c r="KML48" s="149"/>
      <c r="KMM48" s="149"/>
      <c r="KMN48" s="149"/>
      <c r="KMO48" s="149"/>
      <c r="KMP48" s="149"/>
      <c r="KMQ48" s="149"/>
      <c r="KMR48" s="149"/>
      <c r="KMS48" s="149"/>
      <c r="KMT48" s="149"/>
      <c r="KMU48" s="149"/>
      <c r="KMV48" s="149"/>
      <c r="KMW48" s="149"/>
      <c r="KMX48" s="149"/>
      <c r="KMY48" s="149"/>
      <c r="KMZ48" s="149"/>
      <c r="KNA48" s="149"/>
      <c r="KNB48" s="149"/>
      <c r="KNC48" s="149"/>
      <c r="KND48" s="149"/>
      <c r="KNE48" s="149"/>
      <c r="KNF48" s="149"/>
      <c r="KNG48" s="149"/>
      <c r="KNH48" s="149"/>
      <c r="KNI48" s="149"/>
      <c r="KNJ48" s="149"/>
      <c r="KNK48" s="149"/>
      <c r="KNL48" s="149"/>
      <c r="KNM48" s="149"/>
      <c r="KNN48" s="149"/>
      <c r="KNO48" s="149"/>
      <c r="KNP48" s="149"/>
      <c r="KNQ48" s="149"/>
      <c r="KNR48" s="149"/>
      <c r="KNS48" s="149"/>
      <c r="KNT48" s="149"/>
      <c r="KNU48" s="149"/>
      <c r="KNV48" s="149"/>
      <c r="KNW48" s="149"/>
      <c r="KNX48" s="149"/>
      <c r="KNY48" s="149"/>
      <c r="KNZ48" s="149"/>
      <c r="KOA48" s="149"/>
      <c r="KOB48" s="149"/>
      <c r="KOC48" s="149"/>
      <c r="KOD48" s="149"/>
      <c r="KOE48" s="149"/>
      <c r="KOF48" s="149"/>
      <c r="KOG48" s="149"/>
      <c r="KOH48" s="149"/>
      <c r="KOI48" s="149"/>
      <c r="KOJ48" s="149"/>
      <c r="KOK48" s="149"/>
      <c r="KOL48" s="149"/>
      <c r="KOM48" s="149"/>
      <c r="KON48" s="149"/>
      <c r="KOO48" s="149"/>
      <c r="KOP48" s="149"/>
      <c r="KOQ48" s="149"/>
      <c r="KOR48" s="149"/>
      <c r="KOS48" s="149"/>
      <c r="KOT48" s="149"/>
      <c r="KOU48" s="149"/>
      <c r="KOV48" s="149"/>
      <c r="KOW48" s="149"/>
      <c r="KOX48" s="149"/>
      <c r="KOY48" s="149"/>
      <c r="KOZ48" s="149"/>
      <c r="KPA48" s="149"/>
      <c r="KPB48" s="149"/>
      <c r="KPC48" s="149"/>
      <c r="KPD48" s="149"/>
      <c r="KPE48" s="149"/>
      <c r="KPF48" s="149"/>
      <c r="KPG48" s="149"/>
      <c r="KPH48" s="149"/>
      <c r="KPI48" s="149"/>
      <c r="KPJ48" s="149"/>
      <c r="KPK48" s="149"/>
      <c r="KPL48" s="149"/>
      <c r="KPM48" s="149"/>
      <c r="KPN48" s="149"/>
      <c r="KPO48" s="149"/>
      <c r="KPP48" s="149"/>
      <c r="KPQ48" s="149"/>
      <c r="KPR48" s="149"/>
      <c r="KPS48" s="149"/>
      <c r="KPT48" s="149"/>
      <c r="KPU48" s="149"/>
      <c r="KPV48" s="149"/>
      <c r="KPW48" s="149"/>
      <c r="KPX48" s="149"/>
      <c r="KPY48" s="149"/>
      <c r="KPZ48" s="149"/>
      <c r="KQA48" s="149"/>
      <c r="KQB48" s="149"/>
      <c r="KQC48" s="149"/>
      <c r="KQD48" s="149"/>
      <c r="KQE48" s="149"/>
      <c r="KQF48" s="149"/>
      <c r="KQG48" s="149"/>
      <c r="KQH48" s="149"/>
      <c r="KQI48" s="149"/>
      <c r="KQJ48" s="149"/>
      <c r="KQK48" s="149"/>
      <c r="KQL48" s="149"/>
      <c r="KQM48" s="149"/>
      <c r="KQN48" s="149"/>
      <c r="KQO48" s="149"/>
      <c r="KQP48" s="149"/>
      <c r="KQQ48" s="149"/>
      <c r="KQR48" s="149"/>
      <c r="KQS48" s="149"/>
      <c r="KQT48" s="149"/>
      <c r="KQU48" s="149"/>
      <c r="KQV48" s="149"/>
      <c r="KQW48" s="149"/>
      <c r="KQX48" s="149"/>
      <c r="KQY48" s="149"/>
      <c r="KQZ48" s="149"/>
      <c r="KRA48" s="149"/>
      <c r="KRB48" s="149"/>
      <c r="KRC48" s="149"/>
      <c r="KRD48" s="149"/>
      <c r="KRE48" s="149"/>
      <c r="KRF48" s="149"/>
      <c r="KRG48" s="149"/>
      <c r="KRH48" s="149"/>
      <c r="KRI48" s="149"/>
      <c r="KRJ48" s="149"/>
      <c r="KRK48" s="149"/>
      <c r="KRL48" s="149"/>
      <c r="KRM48" s="149"/>
      <c r="KRN48" s="149"/>
      <c r="KRO48" s="149"/>
      <c r="KRP48" s="149"/>
      <c r="KRQ48" s="149"/>
      <c r="KRR48" s="149"/>
      <c r="KRS48" s="149"/>
      <c r="KRT48" s="149"/>
      <c r="KRU48" s="149"/>
      <c r="KRV48" s="149"/>
      <c r="KRW48" s="149"/>
      <c r="KRX48" s="149"/>
      <c r="KRY48" s="149"/>
      <c r="KRZ48" s="149"/>
      <c r="KSA48" s="149"/>
      <c r="KSB48" s="149"/>
      <c r="KSC48" s="149"/>
      <c r="KSD48" s="149"/>
      <c r="KSE48" s="149"/>
      <c r="KSF48" s="149"/>
      <c r="KSG48" s="149"/>
      <c r="KSH48" s="149"/>
      <c r="KSI48" s="149"/>
      <c r="KSJ48" s="149"/>
      <c r="KSK48" s="149"/>
      <c r="KSL48" s="149"/>
      <c r="KSM48" s="149"/>
      <c r="KSN48" s="149"/>
      <c r="KSO48" s="149"/>
      <c r="KSP48" s="149"/>
      <c r="KSQ48" s="149"/>
      <c r="KSR48" s="149"/>
      <c r="KSS48" s="149"/>
      <c r="KST48" s="149"/>
      <c r="KSU48" s="149"/>
      <c r="KSV48" s="149"/>
      <c r="KSW48" s="149"/>
      <c r="KSX48" s="149"/>
      <c r="KSY48" s="149"/>
      <c r="KSZ48" s="149"/>
      <c r="KTA48" s="149"/>
      <c r="KTB48" s="149"/>
      <c r="KTC48" s="149"/>
      <c r="KTD48" s="149"/>
      <c r="KTE48" s="149"/>
      <c r="KTF48" s="149"/>
      <c r="KTG48" s="149"/>
      <c r="KTH48" s="149"/>
      <c r="KTI48" s="149"/>
      <c r="KTJ48" s="149"/>
      <c r="KTK48" s="149"/>
      <c r="KTL48" s="149"/>
      <c r="KTM48" s="149"/>
      <c r="KTN48" s="149"/>
      <c r="KTO48" s="149"/>
      <c r="KTP48" s="149"/>
      <c r="KTQ48" s="149"/>
      <c r="KTR48" s="149"/>
      <c r="KTS48" s="149"/>
      <c r="KTT48" s="149"/>
      <c r="KTU48" s="149"/>
      <c r="KTV48" s="149"/>
      <c r="KTW48" s="149"/>
      <c r="KTX48" s="149"/>
      <c r="KTY48" s="149"/>
      <c r="KTZ48" s="149"/>
      <c r="KUA48" s="149"/>
      <c r="KUB48" s="149"/>
      <c r="KUC48" s="149"/>
      <c r="KUD48" s="149"/>
      <c r="KUE48" s="149"/>
      <c r="KUF48" s="149"/>
      <c r="KUG48" s="149"/>
      <c r="KUH48" s="149"/>
      <c r="KUI48" s="149"/>
      <c r="KUJ48" s="149"/>
      <c r="KUK48" s="149"/>
      <c r="KUL48" s="149"/>
      <c r="KUM48" s="149"/>
      <c r="KUN48" s="149"/>
      <c r="KUO48" s="149"/>
      <c r="KUP48" s="149"/>
      <c r="KUQ48" s="149"/>
      <c r="KUR48" s="149"/>
      <c r="KUS48" s="149"/>
      <c r="KUT48" s="149"/>
      <c r="KUU48" s="149"/>
      <c r="KUV48" s="149"/>
      <c r="KUW48" s="149"/>
      <c r="KUX48" s="149"/>
      <c r="KUY48" s="149"/>
      <c r="KUZ48" s="149"/>
      <c r="KVA48" s="149"/>
      <c r="KVB48" s="149"/>
      <c r="KVC48" s="149"/>
      <c r="KVD48" s="149"/>
      <c r="KVE48" s="149"/>
      <c r="KVF48" s="149"/>
      <c r="KVG48" s="149"/>
      <c r="KVH48" s="149"/>
      <c r="KVI48" s="149"/>
      <c r="KVJ48" s="149"/>
      <c r="KVK48" s="149"/>
      <c r="KVL48" s="149"/>
      <c r="KVM48" s="149"/>
      <c r="KVN48" s="149"/>
      <c r="KVO48" s="149"/>
      <c r="KVP48" s="149"/>
      <c r="KVQ48" s="149"/>
      <c r="KVR48" s="149"/>
      <c r="KVS48" s="149"/>
      <c r="KVT48" s="149"/>
      <c r="KVU48" s="149"/>
      <c r="KVV48" s="149"/>
      <c r="KVW48" s="149"/>
      <c r="KVX48" s="149"/>
      <c r="KVY48" s="149"/>
      <c r="KVZ48" s="149"/>
      <c r="KWA48" s="149"/>
      <c r="KWB48" s="149"/>
      <c r="KWC48" s="149"/>
      <c r="KWD48" s="149"/>
      <c r="KWE48" s="149"/>
      <c r="KWF48" s="149"/>
      <c r="KWG48" s="149"/>
      <c r="KWH48" s="149"/>
      <c r="KWI48" s="149"/>
      <c r="KWJ48" s="149"/>
      <c r="KWK48" s="149"/>
      <c r="KWL48" s="149"/>
      <c r="KWM48" s="149"/>
      <c r="KWN48" s="149"/>
      <c r="KWO48" s="149"/>
      <c r="KWP48" s="149"/>
      <c r="KWQ48" s="149"/>
      <c r="KWR48" s="149"/>
      <c r="KWS48" s="149"/>
      <c r="KWT48" s="149"/>
      <c r="KWU48" s="149"/>
      <c r="KWV48" s="149"/>
      <c r="KWW48" s="149"/>
      <c r="KWX48" s="149"/>
      <c r="KWY48" s="149"/>
      <c r="KWZ48" s="149"/>
      <c r="KXA48" s="149"/>
      <c r="KXB48" s="149"/>
      <c r="KXC48" s="149"/>
      <c r="KXD48" s="149"/>
      <c r="KXE48" s="149"/>
      <c r="KXF48" s="149"/>
      <c r="KXG48" s="149"/>
      <c r="KXH48" s="149"/>
      <c r="KXI48" s="149"/>
      <c r="KXJ48" s="149"/>
      <c r="KXK48" s="149"/>
      <c r="KXL48" s="149"/>
      <c r="KXM48" s="149"/>
      <c r="KXN48" s="149"/>
      <c r="KXO48" s="149"/>
      <c r="KXP48" s="149"/>
      <c r="KXQ48" s="149"/>
      <c r="KXR48" s="149"/>
      <c r="KXS48" s="149"/>
      <c r="KXT48" s="149"/>
      <c r="KXU48" s="149"/>
      <c r="KXV48" s="149"/>
      <c r="KXW48" s="149"/>
      <c r="KXX48" s="149"/>
      <c r="KXY48" s="149"/>
      <c r="KXZ48" s="149"/>
      <c r="KYA48" s="149"/>
      <c r="KYB48" s="149"/>
      <c r="KYC48" s="149"/>
      <c r="KYD48" s="149"/>
      <c r="KYE48" s="149"/>
      <c r="KYF48" s="149"/>
      <c r="KYG48" s="149"/>
      <c r="KYH48" s="149"/>
      <c r="KYI48" s="149"/>
      <c r="KYJ48" s="149"/>
      <c r="KYK48" s="149"/>
      <c r="KYL48" s="149"/>
      <c r="KYM48" s="149"/>
      <c r="KYN48" s="149"/>
      <c r="KYO48" s="149"/>
      <c r="KYP48" s="149"/>
      <c r="KYQ48" s="149"/>
      <c r="KYR48" s="149"/>
      <c r="KYS48" s="149"/>
      <c r="KYT48" s="149"/>
      <c r="KYU48" s="149"/>
      <c r="KYV48" s="149"/>
      <c r="KYW48" s="149"/>
      <c r="KYX48" s="149"/>
      <c r="KYY48" s="149"/>
      <c r="KYZ48" s="149"/>
      <c r="KZA48" s="149"/>
      <c r="KZB48" s="149"/>
      <c r="KZC48" s="149"/>
      <c r="KZD48" s="149"/>
      <c r="KZE48" s="149"/>
      <c r="KZF48" s="149"/>
      <c r="KZG48" s="149"/>
      <c r="KZH48" s="149"/>
      <c r="KZI48" s="149"/>
      <c r="KZJ48" s="149"/>
      <c r="KZK48" s="149"/>
      <c r="KZL48" s="149"/>
      <c r="KZM48" s="149"/>
      <c r="KZN48" s="149"/>
      <c r="KZO48" s="149"/>
      <c r="KZP48" s="149"/>
      <c r="KZQ48" s="149"/>
      <c r="KZR48" s="149"/>
      <c r="KZS48" s="149"/>
      <c r="KZT48" s="149"/>
      <c r="KZU48" s="149"/>
      <c r="KZV48" s="149"/>
      <c r="KZW48" s="149"/>
      <c r="KZX48" s="149"/>
      <c r="KZY48" s="149"/>
      <c r="KZZ48" s="149"/>
      <c r="LAA48" s="149"/>
      <c r="LAB48" s="149"/>
      <c r="LAC48" s="149"/>
      <c r="LAD48" s="149"/>
      <c r="LAE48" s="149"/>
      <c r="LAF48" s="149"/>
      <c r="LAG48" s="149"/>
      <c r="LAH48" s="149"/>
      <c r="LAI48" s="149"/>
      <c r="LAJ48" s="149"/>
      <c r="LAK48" s="149"/>
      <c r="LAL48" s="149"/>
      <c r="LAM48" s="149"/>
      <c r="LAN48" s="149"/>
      <c r="LAO48" s="149"/>
      <c r="LAP48" s="149"/>
      <c r="LAQ48" s="149"/>
      <c r="LAR48" s="149"/>
      <c r="LAS48" s="149"/>
      <c r="LAT48" s="149"/>
      <c r="LAU48" s="149"/>
      <c r="LAV48" s="149"/>
      <c r="LAW48" s="149"/>
      <c r="LAX48" s="149"/>
      <c r="LAY48" s="149"/>
      <c r="LAZ48" s="149"/>
      <c r="LBA48" s="149"/>
      <c r="LBB48" s="149"/>
      <c r="LBC48" s="149"/>
      <c r="LBD48" s="149"/>
      <c r="LBE48" s="149"/>
      <c r="LBF48" s="149"/>
      <c r="LBG48" s="149"/>
      <c r="LBH48" s="149"/>
      <c r="LBI48" s="149"/>
      <c r="LBJ48" s="149"/>
      <c r="LBK48" s="149"/>
      <c r="LBL48" s="149"/>
      <c r="LBM48" s="149"/>
      <c r="LBN48" s="149"/>
      <c r="LBO48" s="149"/>
      <c r="LBP48" s="149"/>
      <c r="LBQ48" s="149"/>
      <c r="LBR48" s="149"/>
      <c r="LBS48" s="149"/>
      <c r="LBT48" s="149"/>
      <c r="LBU48" s="149"/>
      <c r="LBV48" s="149"/>
      <c r="LBW48" s="149"/>
      <c r="LBX48" s="149"/>
      <c r="LBY48" s="149"/>
      <c r="LBZ48" s="149"/>
      <c r="LCA48" s="149"/>
      <c r="LCB48" s="149"/>
      <c r="LCC48" s="149"/>
      <c r="LCD48" s="149"/>
      <c r="LCE48" s="149"/>
      <c r="LCF48" s="149"/>
      <c r="LCG48" s="149"/>
      <c r="LCH48" s="149"/>
      <c r="LCI48" s="149"/>
      <c r="LCJ48" s="149"/>
      <c r="LCK48" s="149"/>
      <c r="LCL48" s="149"/>
      <c r="LCM48" s="149"/>
      <c r="LCN48" s="149"/>
      <c r="LCO48" s="149"/>
      <c r="LCP48" s="149"/>
      <c r="LCQ48" s="149"/>
      <c r="LCR48" s="149"/>
      <c r="LCS48" s="149"/>
      <c r="LCT48" s="149"/>
      <c r="LCU48" s="149"/>
      <c r="LCV48" s="149"/>
      <c r="LCW48" s="149"/>
      <c r="LCX48" s="149"/>
      <c r="LCY48" s="149"/>
      <c r="LCZ48" s="149"/>
      <c r="LDA48" s="149"/>
      <c r="LDB48" s="149"/>
      <c r="LDC48" s="149"/>
      <c r="LDD48" s="149"/>
      <c r="LDE48" s="149"/>
      <c r="LDF48" s="149"/>
      <c r="LDG48" s="149"/>
      <c r="LDH48" s="149"/>
      <c r="LDI48" s="149"/>
      <c r="LDJ48" s="149"/>
      <c r="LDK48" s="149"/>
      <c r="LDL48" s="149"/>
      <c r="LDM48" s="149"/>
      <c r="LDN48" s="149"/>
      <c r="LDO48" s="149"/>
      <c r="LDP48" s="149"/>
      <c r="LDQ48" s="149"/>
      <c r="LDR48" s="149"/>
      <c r="LDS48" s="149"/>
      <c r="LDT48" s="149"/>
      <c r="LDU48" s="149"/>
      <c r="LDV48" s="149"/>
      <c r="LDW48" s="149"/>
      <c r="LDX48" s="149"/>
      <c r="LDY48" s="149"/>
      <c r="LDZ48" s="149"/>
      <c r="LEA48" s="149"/>
      <c r="LEB48" s="149"/>
      <c r="LEC48" s="149"/>
      <c r="LED48" s="149"/>
      <c r="LEE48" s="149"/>
      <c r="LEF48" s="149"/>
      <c r="LEG48" s="149"/>
      <c r="LEH48" s="149"/>
      <c r="LEI48" s="149"/>
      <c r="LEJ48" s="149"/>
      <c r="LEK48" s="149"/>
      <c r="LEL48" s="149"/>
      <c r="LEM48" s="149"/>
      <c r="LEN48" s="149"/>
      <c r="LEO48" s="149"/>
      <c r="LEP48" s="149"/>
      <c r="LEQ48" s="149"/>
      <c r="LER48" s="149"/>
      <c r="LES48" s="149"/>
      <c r="LET48" s="149"/>
      <c r="LEU48" s="149"/>
      <c r="LEV48" s="149"/>
      <c r="LEW48" s="149"/>
      <c r="LEX48" s="149"/>
      <c r="LEY48" s="149"/>
      <c r="LEZ48" s="149"/>
      <c r="LFA48" s="149"/>
      <c r="LFB48" s="149"/>
      <c r="LFC48" s="149"/>
      <c r="LFD48" s="149"/>
      <c r="LFE48" s="149"/>
      <c r="LFF48" s="149"/>
      <c r="LFG48" s="149"/>
      <c r="LFH48" s="149"/>
      <c r="LFI48" s="149"/>
      <c r="LFJ48" s="149"/>
      <c r="LFK48" s="149"/>
      <c r="LFL48" s="149"/>
      <c r="LFM48" s="149"/>
      <c r="LFN48" s="149"/>
      <c r="LFO48" s="149"/>
      <c r="LFP48" s="149"/>
      <c r="LFQ48" s="149"/>
      <c r="LFR48" s="149"/>
      <c r="LFS48" s="149"/>
      <c r="LFT48" s="149"/>
      <c r="LFU48" s="149"/>
      <c r="LFV48" s="149"/>
      <c r="LFW48" s="149"/>
      <c r="LFX48" s="149"/>
      <c r="LFY48" s="149"/>
      <c r="LFZ48" s="149"/>
      <c r="LGA48" s="149"/>
      <c r="LGB48" s="149"/>
      <c r="LGC48" s="149"/>
      <c r="LGD48" s="149"/>
      <c r="LGE48" s="149"/>
      <c r="LGF48" s="149"/>
      <c r="LGG48" s="149"/>
      <c r="LGH48" s="149"/>
      <c r="LGI48" s="149"/>
      <c r="LGJ48" s="149"/>
      <c r="LGK48" s="149"/>
      <c r="LGL48" s="149"/>
      <c r="LGM48" s="149"/>
      <c r="LGN48" s="149"/>
      <c r="LGO48" s="149"/>
      <c r="LGP48" s="149"/>
      <c r="LGQ48" s="149"/>
      <c r="LGR48" s="149"/>
      <c r="LGS48" s="149"/>
      <c r="LGT48" s="149"/>
      <c r="LGU48" s="149"/>
      <c r="LGV48" s="149"/>
      <c r="LGW48" s="149"/>
      <c r="LGX48" s="149"/>
      <c r="LGY48" s="149"/>
      <c r="LGZ48" s="149"/>
      <c r="LHA48" s="149"/>
      <c r="LHB48" s="149"/>
      <c r="LHC48" s="149"/>
      <c r="LHD48" s="149"/>
      <c r="LHE48" s="149"/>
      <c r="LHF48" s="149"/>
      <c r="LHG48" s="149"/>
      <c r="LHH48" s="149"/>
      <c r="LHI48" s="149"/>
      <c r="LHJ48" s="149"/>
      <c r="LHK48" s="149"/>
      <c r="LHL48" s="149"/>
      <c r="LHM48" s="149"/>
      <c r="LHN48" s="149"/>
      <c r="LHO48" s="149"/>
      <c r="LHP48" s="149"/>
      <c r="LHQ48" s="149"/>
      <c r="LHR48" s="149"/>
      <c r="LHS48" s="149"/>
      <c r="LHT48" s="149"/>
      <c r="LHU48" s="149"/>
      <c r="LHV48" s="149"/>
      <c r="LHW48" s="149"/>
      <c r="LHX48" s="149"/>
      <c r="LHY48" s="149"/>
      <c r="LHZ48" s="149"/>
      <c r="LIA48" s="149"/>
      <c r="LIB48" s="149"/>
      <c r="LIC48" s="149"/>
      <c r="LID48" s="149"/>
      <c r="LIE48" s="149"/>
      <c r="LIF48" s="149"/>
      <c r="LIG48" s="149"/>
      <c r="LIH48" s="149"/>
      <c r="LII48" s="149"/>
      <c r="LIJ48" s="149"/>
      <c r="LIK48" s="149"/>
      <c r="LIL48" s="149"/>
      <c r="LIM48" s="149"/>
      <c r="LIN48" s="149"/>
      <c r="LIO48" s="149"/>
      <c r="LIP48" s="149"/>
      <c r="LIQ48" s="149"/>
      <c r="LIR48" s="149"/>
      <c r="LIS48" s="149"/>
      <c r="LIT48" s="149"/>
      <c r="LIU48" s="149"/>
      <c r="LIV48" s="149"/>
      <c r="LIW48" s="149"/>
      <c r="LIX48" s="149"/>
      <c r="LIY48" s="149"/>
      <c r="LIZ48" s="149"/>
      <c r="LJA48" s="149"/>
      <c r="LJB48" s="149"/>
      <c r="LJC48" s="149"/>
      <c r="LJD48" s="149"/>
      <c r="LJE48" s="149"/>
      <c r="LJF48" s="149"/>
      <c r="LJG48" s="149"/>
      <c r="LJH48" s="149"/>
      <c r="LJI48" s="149"/>
      <c r="LJJ48" s="149"/>
      <c r="LJK48" s="149"/>
      <c r="LJL48" s="149"/>
      <c r="LJM48" s="149"/>
      <c r="LJN48" s="149"/>
      <c r="LJO48" s="149"/>
      <c r="LJP48" s="149"/>
      <c r="LJQ48" s="149"/>
      <c r="LJR48" s="149"/>
      <c r="LJS48" s="149"/>
      <c r="LJT48" s="149"/>
      <c r="LJU48" s="149"/>
      <c r="LJV48" s="149"/>
      <c r="LJW48" s="149"/>
      <c r="LJX48" s="149"/>
      <c r="LJY48" s="149"/>
      <c r="LJZ48" s="149"/>
      <c r="LKA48" s="149"/>
      <c r="LKB48" s="149"/>
      <c r="LKC48" s="149"/>
      <c r="LKD48" s="149"/>
      <c r="LKE48" s="149"/>
      <c r="LKF48" s="149"/>
      <c r="LKG48" s="149"/>
      <c r="LKH48" s="149"/>
      <c r="LKI48" s="149"/>
      <c r="LKJ48" s="149"/>
      <c r="LKK48" s="149"/>
      <c r="LKL48" s="149"/>
      <c r="LKM48" s="149"/>
      <c r="LKN48" s="149"/>
      <c r="LKO48" s="149"/>
      <c r="LKP48" s="149"/>
      <c r="LKQ48" s="149"/>
      <c r="LKR48" s="149"/>
      <c r="LKS48" s="149"/>
      <c r="LKT48" s="149"/>
      <c r="LKU48" s="149"/>
      <c r="LKV48" s="149"/>
      <c r="LKW48" s="149"/>
      <c r="LKX48" s="149"/>
      <c r="LKY48" s="149"/>
      <c r="LKZ48" s="149"/>
      <c r="LLA48" s="149"/>
      <c r="LLB48" s="149"/>
      <c r="LLC48" s="149"/>
      <c r="LLD48" s="149"/>
      <c r="LLE48" s="149"/>
      <c r="LLF48" s="149"/>
      <c r="LLG48" s="149"/>
      <c r="LLH48" s="149"/>
      <c r="LLI48" s="149"/>
      <c r="LLJ48" s="149"/>
      <c r="LLK48" s="149"/>
      <c r="LLL48" s="149"/>
      <c r="LLM48" s="149"/>
      <c r="LLN48" s="149"/>
      <c r="LLO48" s="149"/>
      <c r="LLP48" s="149"/>
      <c r="LLQ48" s="149"/>
      <c r="LLR48" s="149"/>
      <c r="LLS48" s="149"/>
      <c r="LLT48" s="149"/>
      <c r="LLU48" s="149"/>
      <c r="LLV48" s="149"/>
      <c r="LLW48" s="149"/>
      <c r="LLX48" s="149"/>
      <c r="LLY48" s="149"/>
      <c r="LLZ48" s="149"/>
      <c r="LMA48" s="149"/>
      <c r="LMB48" s="149"/>
      <c r="LMC48" s="149"/>
      <c r="LMD48" s="149"/>
      <c r="LME48" s="149"/>
      <c r="LMF48" s="149"/>
      <c r="LMG48" s="149"/>
      <c r="LMH48" s="149"/>
      <c r="LMI48" s="149"/>
      <c r="LMJ48" s="149"/>
      <c r="LMK48" s="149"/>
      <c r="LML48" s="149"/>
      <c r="LMM48" s="149"/>
      <c r="LMN48" s="149"/>
      <c r="LMO48" s="149"/>
      <c r="LMP48" s="149"/>
      <c r="LMQ48" s="149"/>
      <c r="LMR48" s="149"/>
      <c r="LMS48" s="149"/>
      <c r="LMT48" s="149"/>
      <c r="LMU48" s="149"/>
      <c r="LMV48" s="149"/>
      <c r="LMW48" s="149"/>
      <c r="LMX48" s="149"/>
      <c r="LMY48" s="149"/>
      <c r="LMZ48" s="149"/>
      <c r="LNA48" s="149"/>
      <c r="LNB48" s="149"/>
      <c r="LNC48" s="149"/>
      <c r="LND48" s="149"/>
      <c r="LNE48" s="149"/>
      <c r="LNF48" s="149"/>
      <c r="LNG48" s="149"/>
      <c r="LNH48" s="149"/>
      <c r="LNI48" s="149"/>
      <c r="LNJ48" s="149"/>
      <c r="LNK48" s="149"/>
      <c r="LNL48" s="149"/>
      <c r="LNM48" s="149"/>
      <c r="LNN48" s="149"/>
      <c r="LNO48" s="149"/>
      <c r="LNP48" s="149"/>
      <c r="LNQ48" s="149"/>
      <c r="LNR48" s="149"/>
      <c r="LNS48" s="149"/>
      <c r="LNT48" s="149"/>
      <c r="LNU48" s="149"/>
      <c r="LNV48" s="149"/>
      <c r="LNW48" s="149"/>
      <c r="LNX48" s="149"/>
      <c r="LNY48" s="149"/>
      <c r="LNZ48" s="149"/>
      <c r="LOA48" s="149"/>
      <c r="LOB48" s="149"/>
      <c r="LOC48" s="149"/>
      <c r="LOD48" s="149"/>
      <c r="LOE48" s="149"/>
      <c r="LOF48" s="149"/>
      <c r="LOG48" s="149"/>
      <c r="LOH48" s="149"/>
      <c r="LOI48" s="149"/>
      <c r="LOJ48" s="149"/>
      <c r="LOK48" s="149"/>
      <c r="LOL48" s="149"/>
      <c r="LOM48" s="149"/>
      <c r="LON48" s="149"/>
      <c r="LOO48" s="149"/>
      <c r="LOP48" s="149"/>
      <c r="LOQ48" s="149"/>
      <c r="LOR48" s="149"/>
      <c r="LOS48" s="149"/>
      <c r="LOT48" s="149"/>
      <c r="LOU48" s="149"/>
      <c r="LOV48" s="149"/>
      <c r="LOW48" s="149"/>
      <c r="LOX48" s="149"/>
      <c r="LOY48" s="149"/>
      <c r="LOZ48" s="149"/>
      <c r="LPA48" s="149"/>
      <c r="LPB48" s="149"/>
      <c r="LPC48" s="149"/>
      <c r="LPD48" s="149"/>
      <c r="LPE48" s="149"/>
      <c r="LPF48" s="149"/>
      <c r="LPG48" s="149"/>
      <c r="LPH48" s="149"/>
      <c r="LPI48" s="149"/>
      <c r="LPJ48" s="149"/>
      <c r="LPK48" s="149"/>
      <c r="LPL48" s="149"/>
      <c r="LPM48" s="149"/>
      <c r="LPN48" s="149"/>
      <c r="LPO48" s="149"/>
      <c r="LPP48" s="149"/>
      <c r="LPQ48" s="149"/>
      <c r="LPR48" s="149"/>
      <c r="LPS48" s="149"/>
      <c r="LPT48" s="149"/>
      <c r="LPU48" s="149"/>
      <c r="LPV48" s="149"/>
      <c r="LPW48" s="149"/>
      <c r="LPX48" s="149"/>
      <c r="LPY48" s="149"/>
      <c r="LPZ48" s="149"/>
      <c r="LQA48" s="149"/>
      <c r="LQB48" s="149"/>
      <c r="LQC48" s="149"/>
      <c r="LQD48" s="149"/>
      <c r="LQE48" s="149"/>
      <c r="LQF48" s="149"/>
      <c r="LQG48" s="149"/>
      <c r="LQH48" s="149"/>
      <c r="LQI48" s="149"/>
      <c r="LQJ48" s="149"/>
      <c r="LQK48" s="149"/>
      <c r="LQL48" s="149"/>
      <c r="LQM48" s="149"/>
      <c r="LQN48" s="149"/>
      <c r="LQO48" s="149"/>
      <c r="LQP48" s="149"/>
      <c r="LQQ48" s="149"/>
      <c r="LQR48" s="149"/>
      <c r="LQS48" s="149"/>
      <c r="LQT48" s="149"/>
      <c r="LQU48" s="149"/>
      <c r="LQV48" s="149"/>
      <c r="LQW48" s="149"/>
      <c r="LQX48" s="149"/>
      <c r="LQY48" s="149"/>
      <c r="LQZ48" s="149"/>
      <c r="LRA48" s="149"/>
      <c r="LRB48" s="149"/>
      <c r="LRC48" s="149"/>
      <c r="LRD48" s="149"/>
      <c r="LRE48" s="149"/>
      <c r="LRF48" s="149"/>
      <c r="LRG48" s="149"/>
      <c r="LRH48" s="149"/>
      <c r="LRI48" s="149"/>
      <c r="LRJ48" s="149"/>
      <c r="LRK48" s="149"/>
      <c r="LRL48" s="149"/>
      <c r="LRM48" s="149"/>
      <c r="LRN48" s="149"/>
      <c r="LRO48" s="149"/>
      <c r="LRP48" s="149"/>
      <c r="LRQ48" s="149"/>
      <c r="LRR48" s="149"/>
      <c r="LRS48" s="149"/>
      <c r="LRT48" s="149"/>
      <c r="LRU48" s="149"/>
      <c r="LRV48" s="149"/>
      <c r="LRW48" s="149"/>
      <c r="LRX48" s="149"/>
      <c r="LRY48" s="149"/>
      <c r="LRZ48" s="149"/>
      <c r="LSA48" s="149"/>
      <c r="LSB48" s="149"/>
      <c r="LSC48" s="149"/>
      <c r="LSD48" s="149"/>
      <c r="LSE48" s="149"/>
      <c r="LSF48" s="149"/>
      <c r="LSG48" s="149"/>
      <c r="LSH48" s="149"/>
      <c r="LSI48" s="149"/>
      <c r="LSJ48" s="149"/>
      <c r="LSK48" s="149"/>
      <c r="LSL48" s="149"/>
      <c r="LSM48" s="149"/>
      <c r="LSN48" s="149"/>
      <c r="LSO48" s="149"/>
      <c r="LSP48" s="149"/>
      <c r="LSQ48" s="149"/>
      <c r="LSR48" s="149"/>
      <c r="LSS48" s="149"/>
      <c r="LST48" s="149"/>
      <c r="LSU48" s="149"/>
      <c r="LSV48" s="149"/>
      <c r="LSW48" s="149"/>
      <c r="LSX48" s="149"/>
      <c r="LSY48" s="149"/>
      <c r="LSZ48" s="149"/>
      <c r="LTA48" s="149"/>
      <c r="LTB48" s="149"/>
      <c r="LTC48" s="149"/>
      <c r="LTD48" s="149"/>
      <c r="LTE48" s="149"/>
      <c r="LTF48" s="149"/>
      <c r="LTG48" s="149"/>
      <c r="LTH48" s="149"/>
      <c r="LTI48" s="149"/>
      <c r="LTJ48" s="149"/>
      <c r="LTK48" s="149"/>
      <c r="LTL48" s="149"/>
      <c r="LTM48" s="149"/>
      <c r="LTN48" s="149"/>
      <c r="LTO48" s="149"/>
      <c r="LTP48" s="149"/>
      <c r="LTQ48" s="149"/>
      <c r="LTR48" s="149"/>
      <c r="LTS48" s="149"/>
      <c r="LTT48" s="149"/>
      <c r="LTU48" s="149"/>
      <c r="LTV48" s="149"/>
      <c r="LTW48" s="149"/>
      <c r="LTX48" s="149"/>
      <c r="LTY48" s="149"/>
      <c r="LTZ48" s="149"/>
      <c r="LUA48" s="149"/>
      <c r="LUB48" s="149"/>
      <c r="LUC48" s="149"/>
      <c r="LUD48" s="149"/>
      <c r="LUE48" s="149"/>
      <c r="LUF48" s="149"/>
      <c r="LUG48" s="149"/>
      <c r="LUH48" s="149"/>
      <c r="LUI48" s="149"/>
      <c r="LUJ48" s="149"/>
      <c r="LUK48" s="149"/>
      <c r="LUL48" s="149"/>
      <c r="LUM48" s="149"/>
      <c r="LUN48" s="149"/>
      <c r="LUO48" s="149"/>
      <c r="LUP48" s="149"/>
      <c r="LUQ48" s="149"/>
      <c r="LUR48" s="149"/>
      <c r="LUS48" s="149"/>
      <c r="LUT48" s="149"/>
      <c r="LUU48" s="149"/>
      <c r="LUV48" s="149"/>
      <c r="LUW48" s="149"/>
      <c r="LUX48" s="149"/>
      <c r="LUY48" s="149"/>
      <c r="LUZ48" s="149"/>
      <c r="LVA48" s="149"/>
      <c r="LVB48" s="149"/>
      <c r="LVC48" s="149"/>
      <c r="LVD48" s="149"/>
      <c r="LVE48" s="149"/>
      <c r="LVF48" s="149"/>
      <c r="LVG48" s="149"/>
      <c r="LVH48" s="149"/>
      <c r="LVI48" s="149"/>
      <c r="LVJ48" s="149"/>
      <c r="LVK48" s="149"/>
      <c r="LVL48" s="149"/>
      <c r="LVM48" s="149"/>
      <c r="LVN48" s="149"/>
      <c r="LVO48" s="149"/>
      <c r="LVP48" s="149"/>
      <c r="LVQ48" s="149"/>
      <c r="LVR48" s="149"/>
      <c r="LVS48" s="149"/>
      <c r="LVT48" s="149"/>
      <c r="LVU48" s="149"/>
      <c r="LVV48" s="149"/>
      <c r="LVW48" s="149"/>
      <c r="LVX48" s="149"/>
      <c r="LVY48" s="149"/>
      <c r="LVZ48" s="149"/>
      <c r="LWA48" s="149"/>
      <c r="LWB48" s="149"/>
      <c r="LWC48" s="149"/>
      <c r="LWD48" s="149"/>
      <c r="LWE48" s="149"/>
      <c r="LWF48" s="149"/>
      <c r="LWG48" s="149"/>
      <c r="LWH48" s="149"/>
      <c r="LWI48" s="149"/>
      <c r="LWJ48" s="149"/>
      <c r="LWK48" s="149"/>
      <c r="LWL48" s="149"/>
      <c r="LWM48" s="149"/>
      <c r="LWN48" s="149"/>
      <c r="LWO48" s="149"/>
      <c r="LWP48" s="149"/>
      <c r="LWQ48" s="149"/>
      <c r="LWR48" s="149"/>
      <c r="LWS48" s="149"/>
      <c r="LWT48" s="149"/>
      <c r="LWU48" s="149"/>
      <c r="LWV48" s="149"/>
      <c r="LWW48" s="149"/>
      <c r="LWX48" s="149"/>
      <c r="LWY48" s="149"/>
      <c r="LWZ48" s="149"/>
      <c r="LXA48" s="149"/>
      <c r="LXB48" s="149"/>
      <c r="LXC48" s="149"/>
      <c r="LXD48" s="149"/>
      <c r="LXE48" s="149"/>
      <c r="LXF48" s="149"/>
      <c r="LXG48" s="149"/>
      <c r="LXH48" s="149"/>
      <c r="LXI48" s="149"/>
      <c r="LXJ48" s="149"/>
      <c r="LXK48" s="149"/>
      <c r="LXL48" s="149"/>
      <c r="LXM48" s="149"/>
      <c r="LXN48" s="149"/>
      <c r="LXO48" s="149"/>
      <c r="LXP48" s="149"/>
      <c r="LXQ48" s="149"/>
      <c r="LXR48" s="149"/>
      <c r="LXS48" s="149"/>
      <c r="LXT48" s="149"/>
      <c r="LXU48" s="149"/>
      <c r="LXV48" s="149"/>
      <c r="LXW48" s="149"/>
      <c r="LXX48" s="149"/>
      <c r="LXY48" s="149"/>
      <c r="LXZ48" s="149"/>
      <c r="LYA48" s="149"/>
      <c r="LYB48" s="149"/>
      <c r="LYC48" s="149"/>
      <c r="LYD48" s="149"/>
      <c r="LYE48" s="149"/>
      <c r="LYF48" s="149"/>
      <c r="LYG48" s="149"/>
      <c r="LYH48" s="149"/>
      <c r="LYI48" s="149"/>
      <c r="LYJ48" s="149"/>
      <c r="LYK48" s="149"/>
      <c r="LYL48" s="149"/>
      <c r="LYM48" s="149"/>
      <c r="LYN48" s="149"/>
      <c r="LYO48" s="149"/>
      <c r="LYP48" s="149"/>
      <c r="LYQ48" s="149"/>
      <c r="LYR48" s="149"/>
      <c r="LYS48" s="149"/>
      <c r="LYT48" s="149"/>
      <c r="LYU48" s="149"/>
      <c r="LYV48" s="149"/>
      <c r="LYW48" s="149"/>
      <c r="LYX48" s="149"/>
      <c r="LYY48" s="149"/>
      <c r="LYZ48" s="149"/>
      <c r="LZA48" s="149"/>
      <c r="LZB48" s="149"/>
      <c r="LZC48" s="149"/>
      <c r="LZD48" s="149"/>
      <c r="LZE48" s="149"/>
      <c r="LZF48" s="149"/>
      <c r="LZG48" s="149"/>
      <c r="LZH48" s="149"/>
      <c r="LZI48" s="149"/>
      <c r="LZJ48" s="149"/>
      <c r="LZK48" s="149"/>
      <c r="LZL48" s="149"/>
      <c r="LZM48" s="149"/>
      <c r="LZN48" s="149"/>
      <c r="LZO48" s="149"/>
      <c r="LZP48" s="149"/>
      <c r="LZQ48" s="149"/>
      <c r="LZR48" s="149"/>
      <c r="LZS48" s="149"/>
      <c r="LZT48" s="149"/>
      <c r="LZU48" s="149"/>
      <c r="LZV48" s="149"/>
      <c r="LZW48" s="149"/>
      <c r="LZX48" s="149"/>
      <c r="LZY48" s="149"/>
      <c r="LZZ48" s="149"/>
      <c r="MAA48" s="149"/>
      <c r="MAB48" s="149"/>
      <c r="MAC48" s="149"/>
      <c r="MAD48" s="149"/>
      <c r="MAE48" s="149"/>
      <c r="MAF48" s="149"/>
      <c r="MAG48" s="149"/>
      <c r="MAH48" s="149"/>
      <c r="MAI48" s="149"/>
      <c r="MAJ48" s="149"/>
      <c r="MAK48" s="149"/>
      <c r="MAL48" s="149"/>
      <c r="MAM48" s="149"/>
      <c r="MAN48" s="149"/>
      <c r="MAO48" s="149"/>
      <c r="MAP48" s="149"/>
      <c r="MAQ48" s="149"/>
      <c r="MAR48" s="149"/>
      <c r="MAS48" s="149"/>
      <c r="MAT48" s="149"/>
      <c r="MAU48" s="149"/>
      <c r="MAV48" s="149"/>
      <c r="MAW48" s="149"/>
      <c r="MAX48" s="149"/>
      <c r="MAY48" s="149"/>
      <c r="MAZ48" s="149"/>
      <c r="MBA48" s="149"/>
      <c r="MBB48" s="149"/>
      <c r="MBC48" s="149"/>
      <c r="MBD48" s="149"/>
      <c r="MBE48" s="149"/>
      <c r="MBF48" s="149"/>
      <c r="MBG48" s="149"/>
      <c r="MBH48" s="149"/>
      <c r="MBI48" s="149"/>
      <c r="MBJ48" s="149"/>
      <c r="MBK48" s="149"/>
      <c r="MBL48" s="149"/>
      <c r="MBM48" s="149"/>
      <c r="MBN48" s="149"/>
      <c r="MBO48" s="149"/>
      <c r="MBP48" s="149"/>
      <c r="MBQ48" s="149"/>
      <c r="MBR48" s="149"/>
      <c r="MBS48" s="149"/>
      <c r="MBT48" s="149"/>
      <c r="MBU48" s="149"/>
      <c r="MBV48" s="149"/>
      <c r="MBW48" s="149"/>
      <c r="MBX48" s="149"/>
      <c r="MBY48" s="149"/>
      <c r="MBZ48" s="149"/>
      <c r="MCA48" s="149"/>
      <c r="MCB48" s="149"/>
      <c r="MCC48" s="149"/>
      <c r="MCD48" s="149"/>
      <c r="MCE48" s="149"/>
      <c r="MCF48" s="149"/>
      <c r="MCG48" s="149"/>
      <c r="MCH48" s="149"/>
      <c r="MCI48" s="149"/>
      <c r="MCJ48" s="149"/>
      <c r="MCK48" s="149"/>
      <c r="MCL48" s="149"/>
      <c r="MCM48" s="149"/>
      <c r="MCN48" s="149"/>
      <c r="MCO48" s="149"/>
      <c r="MCP48" s="149"/>
      <c r="MCQ48" s="149"/>
      <c r="MCR48" s="149"/>
      <c r="MCS48" s="149"/>
      <c r="MCT48" s="149"/>
      <c r="MCU48" s="149"/>
      <c r="MCV48" s="149"/>
      <c r="MCW48" s="149"/>
      <c r="MCX48" s="149"/>
      <c r="MCY48" s="149"/>
      <c r="MCZ48" s="149"/>
      <c r="MDA48" s="149"/>
      <c r="MDB48" s="149"/>
      <c r="MDC48" s="149"/>
      <c r="MDD48" s="149"/>
      <c r="MDE48" s="149"/>
      <c r="MDF48" s="149"/>
      <c r="MDG48" s="149"/>
      <c r="MDH48" s="149"/>
      <c r="MDI48" s="149"/>
      <c r="MDJ48" s="149"/>
      <c r="MDK48" s="149"/>
      <c r="MDL48" s="149"/>
      <c r="MDM48" s="149"/>
      <c r="MDN48" s="149"/>
      <c r="MDO48" s="149"/>
      <c r="MDP48" s="149"/>
      <c r="MDQ48" s="149"/>
      <c r="MDR48" s="149"/>
      <c r="MDS48" s="149"/>
      <c r="MDT48" s="149"/>
      <c r="MDU48" s="149"/>
      <c r="MDV48" s="149"/>
      <c r="MDW48" s="149"/>
      <c r="MDX48" s="149"/>
      <c r="MDY48" s="149"/>
      <c r="MDZ48" s="149"/>
      <c r="MEA48" s="149"/>
      <c r="MEB48" s="149"/>
      <c r="MEC48" s="149"/>
      <c r="MED48" s="149"/>
      <c r="MEE48" s="149"/>
      <c r="MEF48" s="149"/>
      <c r="MEG48" s="149"/>
      <c r="MEH48" s="149"/>
      <c r="MEI48" s="149"/>
      <c r="MEJ48" s="149"/>
      <c r="MEK48" s="149"/>
      <c r="MEL48" s="149"/>
      <c r="MEM48" s="149"/>
      <c r="MEN48" s="149"/>
      <c r="MEO48" s="149"/>
      <c r="MEP48" s="149"/>
      <c r="MEQ48" s="149"/>
      <c r="MER48" s="149"/>
      <c r="MES48" s="149"/>
      <c r="MET48" s="149"/>
      <c r="MEU48" s="149"/>
      <c r="MEV48" s="149"/>
      <c r="MEW48" s="149"/>
      <c r="MEX48" s="149"/>
      <c r="MEY48" s="149"/>
      <c r="MEZ48" s="149"/>
      <c r="MFA48" s="149"/>
      <c r="MFB48" s="149"/>
      <c r="MFC48" s="149"/>
      <c r="MFD48" s="149"/>
      <c r="MFE48" s="149"/>
      <c r="MFF48" s="149"/>
      <c r="MFG48" s="149"/>
      <c r="MFH48" s="149"/>
      <c r="MFI48" s="149"/>
      <c r="MFJ48" s="149"/>
      <c r="MFK48" s="149"/>
      <c r="MFL48" s="149"/>
      <c r="MFM48" s="149"/>
      <c r="MFN48" s="149"/>
      <c r="MFO48" s="149"/>
      <c r="MFP48" s="149"/>
      <c r="MFQ48" s="149"/>
      <c r="MFR48" s="149"/>
      <c r="MFS48" s="149"/>
      <c r="MFT48" s="149"/>
      <c r="MFU48" s="149"/>
      <c r="MFV48" s="149"/>
      <c r="MFW48" s="149"/>
      <c r="MFX48" s="149"/>
      <c r="MFY48" s="149"/>
      <c r="MFZ48" s="149"/>
      <c r="MGA48" s="149"/>
      <c r="MGB48" s="149"/>
      <c r="MGC48" s="149"/>
      <c r="MGD48" s="149"/>
      <c r="MGE48" s="149"/>
      <c r="MGF48" s="149"/>
      <c r="MGG48" s="149"/>
      <c r="MGH48" s="149"/>
      <c r="MGI48" s="149"/>
      <c r="MGJ48" s="149"/>
      <c r="MGK48" s="149"/>
      <c r="MGL48" s="149"/>
      <c r="MGM48" s="149"/>
      <c r="MGN48" s="149"/>
      <c r="MGO48" s="149"/>
      <c r="MGP48" s="149"/>
      <c r="MGQ48" s="149"/>
      <c r="MGR48" s="149"/>
      <c r="MGS48" s="149"/>
      <c r="MGT48" s="149"/>
      <c r="MGU48" s="149"/>
      <c r="MGV48" s="149"/>
      <c r="MGW48" s="149"/>
      <c r="MGX48" s="149"/>
      <c r="MGY48" s="149"/>
      <c r="MGZ48" s="149"/>
      <c r="MHA48" s="149"/>
      <c r="MHB48" s="149"/>
      <c r="MHC48" s="149"/>
      <c r="MHD48" s="149"/>
      <c r="MHE48" s="149"/>
      <c r="MHF48" s="149"/>
      <c r="MHG48" s="149"/>
      <c r="MHH48" s="149"/>
      <c r="MHI48" s="149"/>
      <c r="MHJ48" s="149"/>
      <c r="MHK48" s="149"/>
      <c r="MHL48" s="149"/>
      <c r="MHM48" s="149"/>
      <c r="MHN48" s="149"/>
      <c r="MHO48" s="149"/>
      <c r="MHP48" s="149"/>
      <c r="MHQ48" s="149"/>
      <c r="MHR48" s="149"/>
      <c r="MHS48" s="149"/>
      <c r="MHT48" s="149"/>
      <c r="MHU48" s="149"/>
      <c r="MHV48" s="149"/>
      <c r="MHW48" s="149"/>
      <c r="MHX48" s="149"/>
      <c r="MHY48" s="149"/>
      <c r="MHZ48" s="149"/>
      <c r="MIA48" s="149"/>
      <c r="MIB48" s="149"/>
      <c r="MIC48" s="149"/>
      <c r="MID48" s="149"/>
      <c r="MIE48" s="149"/>
      <c r="MIF48" s="149"/>
      <c r="MIG48" s="149"/>
      <c r="MIH48" s="149"/>
      <c r="MII48" s="149"/>
      <c r="MIJ48" s="149"/>
      <c r="MIK48" s="149"/>
      <c r="MIL48" s="149"/>
      <c r="MIM48" s="149"/>
      <c r="MIN48" s="149"/>
      <c r="MIO48" s="149"/>
      <c r="MIP48" s="149"/>
      <c r="MIQ48" s="149"/>
      <c r="MIR48" s="149"/>
      <c r="MIS48" s="149"/>
      <c r="MIT48" s="149"/>
      <c r="MIU48" s="149"/>
      <c r="MIV48" s="149"/>
      <c r="MIW48" s="149"/>
      <c r="MIX48" s="149"/>
      <c r="MIY48" s="149"/>
      <c r="MIZ48" s="149"/>
      <c r="MJA48" s="149"/>
      <c r="MJB48" s="149"/>
      <c r="MJC48" s="149"/>
      <c r="MJD48" s="149"/>
      <c r="MJE48" s="149"/>
      <c r="MJF48" s="149"/>
      <c r="MJG48" s="149"/>
      <c r="MJH48" s="149"/>
      <c r="MJI48" s="149"/>
      <c r="MJJ48" s="149"/>
      <c r="MJK48" s="149"/>
      <c r="MJL48" s="149"/>
      <c r="MJM48" s="149"/>
      <c r="MJN48" s="149"/>
      <c r="MJO48" s="149"/>
      <c r="MJP48" s="149"/>
      <c r="MJQ48" s="149"/>
      <c r="MJR48" s="149"/>
      <c r="MJS48" s="149"/>
      <c r="MJT48" s="149"/>
      <c r="MJU48" s="149"/>
      <c r="MJV48" s="149"/>
      <c r="MJW48" s="149"/>
      <c r="MJX48" s="149"/>
      <c r="MJY48" s="149"/>
      <c r="MJZ48" s="149"/>
      <c r="MKA48" s="149"/>
      <c r="MKB48" s="149"/>
      <c r="MKC48" s="149"/>
      <c r="MKD48" s="149"/>
      <c r="MKE48" s="149"/>
      <c r="MKF48" s="149"/>
      <c r="MKG48" s="149"/>
      <c r="MKH48" s="149"/>
      <c r="MKI48" s="149"/>
      <c r="MKJ48" s="149"/>
      <c r="MKK48" s="149"/>
      <c r="MKL48" s="149"/>
      <c r="MKM48" s="149"/>
      <c r="MKN48" s="149"/>
      <c r="MKO48" s="149"/>
      <c r="MKP48" s="149"/>
      <c r="MKQ48" s="149"/>
      <c r="MKR48" s="149"/>
      <c r="MKS48" s="149"/>
      <c r="MKT48" s="149"/>
      <c r="MKU48" s="149"/>
      <c r="MKV48" s="149"/>
      <c r="MKW48" s="149"/>
      <c r="MKX48" s="149"/>
      <c r="MKY48" s="149"/>
      <c r="MKZ48" s="149"/>
      <c r="MLA48" s="149"/>
      <c r="MLB48" s="149"/>
      <c r="MLC48" s="149"/>
      <c r="MLD48" s="149"/>
      <c r="MLE48" s="149"/>
      <c r="MLF48" s="149"/>
      <c r="MLG48" s="149"/>
      <c r="MLH48" s="149"/>
      <c r="MLI48" s="149"/>
      <c r="MLJ48" s="149"/>
      <c r="MLK48" s="149"/>
      <c r="MLL48" s="149"/>
      <c r="MLM48" s="149"/>
      <c r="MLN48" s="149"/>
      <c r="MLO48" s="149"/>
      <c r="MLP48" s="149"/>
      <c r="MLQ48" s="149"/>
      <c r="MLR48" s="149"/>
      <c r="MLS48" s="149"/>
      <c r="MLT48" s="149"/>
      <c r="MLU48" s="149"/>
      <c r="MLV48" s="149"/>
      <c r="MLW48" s="149"/>
      <c r="MLX48" s="149"/>
      <c r="MLY48" s="149"/>
      <c r="MLZ48" s="149"/>
      <c r="MMA48" s="149"/>
      <c r="MMB48" s="149"/>
      <c r="MMC48" s="149"/>
      <c r="MMD48" s="149"/>
      <c r="MME48" s="149"/>
      <c r="MMF48" s="149"/>
      <c r="MMG48" s="149"/>
      <c r="MMH48" s="149"/>
      <c r="MMI48" s="149"/>
      <c r="MMJ48" s="149"/>
      <c r="MMK48" s="149"/>
      <c r="MML48" s="149"/>
      <c r="MMM48" s="149"/>
      <c r="MMN48" s="149"/>
      <c r="MMO48" s="149"/>
      <c r="MMP48" s="149"/>
      <c r="MMQ48" s="149"/>
      <c r="MMR48" s="149"/>
      <c r="MMS48" s="149"/>
      <c r="MMT48" s="149"/>
      <c r="MMU48" s="149"/>
      <c r="MMV48" s="149"/>
      <c r="MMW48" s="149"/>
      <c r="MMX48" s="149"/>
      <c r="MMY48" s="149"/>
      <c r="MMZ48" s="149"/>
      <c r="MNA48" s="149"/>
      <c r="MNB48" s="149"/>
      <c r="MNC48" s="149"/>
      <c r="MND48" s="149"/>
      <c r="MNE48" s="149"/>
      <c r="MNF48" s="149"/>
      <c r="MNG48" s="149"/>
      <c r="MNH48" s="149"/>
      <c r="MNI48" s="149"/>
      <c r="MNJ48" s="149"/>
      <c r="MNK48" s="149"/>
      <c r="MNL48" s="149"/>
      <c r="MNM48" s="149"/>
      <c r="MNN48" s="149"/>
      <c r="MNO48" s="149"/>
      <c r="MNP48" s="149"/>
      <c r="MNQ48" s="149"/>
      <c r="MNR48" s="149"/>
      <c r="MNS48" s="149"/>
      <c r="MNT48" s="149"/>
      <c r="MNU48" s="149"/>
      <c r="MNV48" s="149"/>
      <c r="MNW48" s="149"/>
      <c r="MNX48" s="149"/>
      <c r="MNY48" s="149"/>
      <c r="MNZ48" s="149"/>
      <c r="MOA48" s="149"/>
      <c r="MOB48" s="149"/>
      <c r="MOC48" s="149"/>
      <c r="MOD48" s="149"/>
      <c r="MOE48" s="149"/>
      <c r="MOF48" s="149"/>
      <c r="MOG48" s="149"/>
      <c r="MOH48" s="149"/>
      <c r="MOI48" s="149"/>
      <c r="MOJ48" s="149"/>
      <c r="MOK48" s="149"/>
      <c r="MOL48" s="149"/>
      <c r="MOM48" s="149"/>
      <c r="MON48" s="149"/>
      <c r="MOO48" s="149"/>
      <c r="MOP48" s="149"/>
      <c r="MOQ48" s="149"/>
      <c r="MOR48" s="149"/>
      <c r="MOS48" s="149"/>
      <c r="MOT48" s="149"/>
      <c r="MOU48" s="149"/>
      <c r="MOV48" s="149"/>
      <c r="MOW48" s="149"/>
      <c r="MOX48" s="149"/>
      <c r="MOY48" s="149"/>
      <c r="MOZ48" s="149"/>
      <c r="MPA48" s="149"/>
      <c r="MPB48" s="149"/>
      <c r="MPC48" s="149"/>
      <c r="MPD48" s="149"/>
      <c r="MPE48" s="149"/>
      <c r="MPF48" s="149"/>
      <c r="MPG48" s="149"/>
      <c r="MPH48" s="149"/>
      <c r="MPI48" s="149"/>
      <c r="MPJ48" s="149"/>
      <c r="MPK48" s="149"/>
      <c r="MPL48" s="149"/>
      <c r="MPM48" s="149"/>
      <c r="MPN48" s="149"/>
      <c r="MPO48" s="149"/>
      <c r="MPP48" s="149"/>
      <c r="MPQ48" s="149"/>
      <c r="MPR48" s="149"/>
      <c r="MPS48" s="149"/>
      <c r="MPT48" s="149"/>
      <c r="MPU48" s="149"/>
      <c r="MPV48" s="149"/>
      <c r="MPW48" s="149"/>
      <c r="MPX48" s="149"/>
      <c r="MPY48" s="149"/>
      <c r="MPZ48" s="149"/>
      <c r="MQA48" s="149"/>
      <c r="MQB48" s="149"/>
      <c r="MQC48" s="149"/>
      <c r="MQD48" s="149"/>
      <c r="MQE48" s="149"/>
      <c r="MQF48" s="149"/>
      <c r="MQG48" s="149"/>
      <c r="MQH48" s="149"/>
      <c r="MQI48" s="149"/>
      <c r="MQJ48" s="149"/>
      <c r="MQK48" s="149"/>
      <c r="MQL48" s="149"/>
      <c r="MQM48" s="149"/>
      <c r="MQN48" s="149"/>
      <c r="MQO48" s="149"/>
      <c r="MQP48" s="149"/>
      <c r="MQQ48" s="149"/>
      <c r="MQR48" s="149"/>
      <c r="MQS48" s="149"/>
      <c r="MQT48" s="149"/>
      <c r="MQU48" s="149"/>
      <c r="MQV48" s="149"/>
      <c r="MQW48" s="149"/>
      <c r="MQX48" s="149"/>
      <c r="MQY48" s="149"/>
      <c r="MQZ48" s="149"/>
      <c r="MRA48" s="149"/>
      <c r="MRB48" s="149"/>
      <c r="MRC48" s="149"/>
      <c r="MRD48" s="149"/>
      <c r="MRE48" s="149"/>
      <c r="MRF48" s="149"/>
      <c r="MRG48" s="149"/>
      <c r="MRH48" s="149"/>
      <c r="MRI48" s="149"/>
      <c r="MRJ48" s="149"/>
      <c r="MRK48" s="149"/>
      <c r="MRL48" s="149"/>
      <c r="MRM48" s="149"/>
      <c r="MRN48" s="149"/>
      <c r="MRO48" s="149"/>
      <c r="MRP48" s="149"/>
      <c r="MRQ48" s="149"/>
      <c r="MRR48" s="149"/>
      <c r="MRS48" s="149"/>
      <c r="MRT48" s="149"/>
      <c r="MRU48" s="149"/>
      <c r="MRV48" s="149"/>
      <c r="MRW48" s="149"/>
      <c r="MRX48" s="149"/>
      <c r="MRY48" s="149"/>
      <c r="MRZ48" s="149"/>
      <c r="MSA48" s="149"/>
      <c r="MSB48" s="149"/>
      <c r="MSC48" s="149"/>
      <c r="MSD48" s="149"/>
      <c r="MSE48" s="149"/>
      <c r="MSF48" s="149"/>
      <c r="MSG48" s="149"/>
      <c r="MSH48" s="149"/>
      <c r="MSI48" s="149"/>
      <c r="MSJ48" s="149"/>
      <c r="MSK48" s="149"/>
      <c r="MSL48" s="149"/>
      <c r="MSM48" s="149"/>
      <c r="MSN48" s="149"/>
      <c r="MSO48" s="149"/>
      <c r="MSP48" s="149"/>
      <c r="MSQ48" s="149"/>
      <c r="MSR48" s="149"/>
      <c r="MSS48" s="149"/>
      <c r="MST48" s="149"/>
      <c r="MSU48" s="149"/>
      <c r="MSV48" s="149"/>
      <c r="MSW48" s="149"/>
      <c r="MSX48" s="149"/>
      <c r="MSY48" s="149"/>
      <c r="MSZ48" s="149"/>
      <c r="MTA48" s="149"/>
      <c r="MTB48" s="149"/>
      <c r="MTC48" s="149"/>
      <c r="MTD48" s="149"/>
      <c r="MTE48" s="149"/>
      <c r="MTF48" s="149"/>
      <c r="MTG48" s="149"/>
      <c r="MTH48" s="149"/>
      <c r="MTI48" s="149"/>
      <c r="MTJ48" s="149"/>
      <c r="MTK48" s="149"/>
      <c r="MTL48" s="149"/>
      <c r="MTM48" s="149"/>
      <c r="MTN48" s="149"/>
      <c r="MTO48" s="149"/>
      <c r="MTP48" s="149"/>
      <c r="MTQ48" s="149"/>
      <c r="MTR48" s="149"/>
      <c r="MTS48" s="149"/>
      <c r="MTT48" s="149"/>
      <c r="MTU48" s="149"/>
      <c r="MTV48" s="149"/>
      <c r="MTW48" s="149"/>
      <c r="MTX48" s="149"/>
      <c r="MTY48" s="149"/>
      <c r="MTZ48" s="149"/>
      <c r="MUA48" s="149"/>
      <c r="MUB48" s="149"/>
      <c r="MUC48" s="149"/>
      <c r="MUD48" s="149"/>
      <c r="MUE48" s="149"/>
      <c r="MUF48" s="149"/>
      <c r="MUG48" s="149"/>
      <c r="MUH48" s="149"/>
      <c r="MUI48" s="149"/>
      <c r="MUJ48" s="149"/>
      <c r="MUK48" s="149"/>
      <c r="MUL48" s="149"/>
      <c r="MUM48" s="149"/>
      <c r="MUN48" s="149"/>
      <c r="MUO48" s="149"/>
      <c r="MUP48" s="149"/>
      <c r="MUQ48" s="149"/>
      <c r="MUR48" s="149"/>
      <c r="MUS48" s="149"/>
      <c r="MUT48" s="149"/>
      <c r="MUU48" s="149"/>
      <c r="MUV48" s="149"/>
      <c r="MUW48" s="149"/>
      <c r="MUX48" s="149"/>
      <c r="MUY48" s="149"/>
      <c r="MUZ48" s="149"/>
      <c r="MVA48" s="149"/>
      <c r="MVB48" s="149"/>
      <c r="MVC48" s="149"/>
      <c r="MVD48" s="149"/>
      <c r="MVE48" s="149"/>
      <c r="MVF48" s="149"/>
      <c r="MVG48" s="149"/>
      <c r="MVH48" s="149"/>
      <c r="MVI48" s="149"/>
      <c r="MVJ48" s="149"/>
      <c r="MVK48" s="149"/>
      <c r="MVL48" s="149"/>
      <c r="MVM48" s="149"/>
      <c r="MVN48" s="149"/>
      <c r="MVO48" s="149"/>
      <c r="MVP48" s="149"/>
      <c r="MVQ48" s="149"/>
      <c r="MVR48" s="149"/>
      <c r="MVS48" s="149"/>
      <c r="MVT48" s="149"/>
      <c r="MVU48" s="149"/>
      <c r="MVV48" s="149"/>
      <c r="MVW48" s="149"/>
      <c r="MVX48" s="149"/>
      <c r="MVY48" s="149"/>
      <c r="MVZ48" s="149"/>
      <c r="MWA48" s="149"/>
      <c r="MWB48" s="149"/>
      <c r="MWC48" s="149"/>
      <c r="MWD48" s="149"/>
      <c r="MWE48" s="149"/>
      <c r="MWF48" s="149"/>
      <c r="MWG48" s="149"/>
      <c r="MWH48" s="149"/>
      <c r="MWI48" s="149"/>
      <c r="MWJ48" s="149"/>
      <c r="MWK48" s="149"/>
      <c r="MWL48" s="149"/>
      <c r="MWM48" s="149"/>
      <c r="MWN48" s="149"/>
      <c r="MWO48" s="149"/>
      <c r="MWP48" s="149"/>
      <c r="MWQ48" s="149"/>
      <c r="MWR48" s="149"/>
      <c r="MWS48" s="149"/>
      <c r="MWT48" s="149"/>
      <c r="MWU48" s="149"/>
      <c r="MWV48" s="149"/>
      <c r="MWW48" s="149"/>
      <c r="MWX48" s="149"/>
      <c r="MWY48" s="149"/>
      <c r="MWZ48" s="149"/>
      <c r="MXA48" s="149"/>
      <c r="MXB48" s="149"/>
      <c r="MXC48" s="149"/>
      <c r="MXD48" s="149"/>
      <c r="MXE48" s="149"/>
      <c r="MXF48" s="149"/>
      <c r="MXG48" s="149"/>
      <c r="MXH48" s="149"/>
      <c r="MXI48" s="149"/>
      <c r="MXJ48" s="149"/>
      <c r="MXK48" s="149"/>
      <c r="MXL48" s="149"/>
      <c r="MXM48" s="149"/>
      <c r="MXN48" s="149"/>
      <c r="MXO48" s="149"/>
      <c r="MXP48" s="149"/>
      <c r="MXQ48" s="149"/>
      <c r="MXR48" s="149"/>
      <c r="MXS48" s="149"/>
      <c r="MXT48" s="149"/>
      <c r="MXU48" s="149"/>
      <c r="MXV48" s="149"/>
      <c r="MXW48" s="149"/>
      <c r="MXX48" s="149"/>
      <c r="MXY48" s="149"/>
      <c r="MXZ48" s="149"/>
      <c r="MYA48" s="149"/>
      <c r="MYB48" s="149"/>
      <c r="MYC48" s="149"/>
      <c r="MYD48" s="149"/>
      <c r="MYE48" s="149"/>
      <c r="MYF48" s="149"/>
      <c r="MYG48" s="149"/>
      <c r="MYH48" s="149"/>
      <c r="MYI48" s="149"/>
      <c r="MYJ48" s="149"/>
      <c r="MYK48" s="149"/>
      <c r="MYL48" s="149"/>
      <c r="MYM48" s="149"/>
      <c r="MYN48" s="149"/>
      <c r="MYO48" s="149"/>
      <c r="MYP48" s="149"/>
      <c r="MYQ48" s="149"/>
      <c r="MYR48" s="149"/>
      <c r="MYS48" s="149"/>
      <c r="MYT48" s="149"/>
      <c r="MYU48" s="149"/>
      <c r="MYV48" s="149"/>
      <c r="MYW48" s="149"/>
      <c r="MYX48" s="149"/>
      <c r="MYY48" s="149"/>
      <c r="MYZ48" s="149"/>
      <c r="MZA48" s="149"/>
      <c r="MZB48" s="149"/>
      <c r="MZC48" s="149"/>
      <c r="MZD48" s="149"/>
      <c r="MZE48" s="149"/>
      <c r="MZF48" s="149"/>
      <c r="MZG48" s="149"/>
      <c r="MZH48" s="149"/>
      <c r="MZI48" s="149"/>
      <c r="MZJ48" s="149"/>
      <c r="MZK48" s="149"/>
      <c r="MZL48" s="149"/>
      <c r="MZM48" s="149"/>
      <c r="MZN48" s="149"/>
      <c r="MZO48" s="149"/>
      <c r="MZP48" s="149"/>
      <c r="MZQ48" s="149"/>
      <c r="MZR48" s="149"/>
      <c r="MZS48" s="149"/>
      <c r="MZT48" s="149"/>
      <c r="MZU48" s="149"/>
      <c r="MZV48" s="149"/>
      <c r="MZW48" s="149"/>
      <c r="MZX48" s="149"/>
      <c r="MZY48" s="149"/>
      <c r="MZZ48" s="149"/>
      <c r="NAA48" s="149"/>
      <c r="NAB48" s="149"/>
      <c r="NAC48" s="149"/>
      <c r="NAD48" s="149"/>
      <c r="NAE48" s="149"/>
      <c r="NAF48" s="149"/>
      <c r="NAG48" s="149"/>
      <c r="NAH48" s="149"/>
      <c r="NAI48" s="149"/>
      <c r="NAJ48" s="149"/>
      <c r="NAK48" s="149"/>
      <c r="NAL48" s="149"/>
      <c r="NAM48" s="149"/>
      <c r="NAN48" s="149"/>
      <c r="NAO48" s="149"/>
      <c r="NAP48" s="149"/>
      <c r="NAQ48" s="149"/>
      <c r="NAR48" s="149"/>
      <c r="NAS48" s="149"/>
      <c r="NAT48" s="149"/>
      <c r="NAU48" s="149"/>
      <c r="NAV48" s="149"/>
      <c r="NAW48" s="149"/>
      <c r="NAX48" s="149"/>
      <c r="NAY48" s="149"/>
      <c r="NAZ48" s="149"/>
      <c r="NBA48" s="149"/>
      <c r="NBB48" s="149"/>
      <c r="NBC48" s="149"/>
      <c r="NBD48" s="149"/>
      <c r="NBE48" s="149"/>
      <c r="NBF48" s="149"/>
      <c r="NBG48" s="149"/>
      <c r="NBH48" s="149"/>
      <c r="NBI48" s="149"/>
      <c r="NBJ48" s="149"/>
      <c r="NBK48" s="149"/>
      <c r="NBL48" s="149"/>
      <c r="NBM48" s="149"/>
      <c r="NBN48" s="149"/>
      <c r="NBO48" s="149"/>
      <c r="NBP48" s="149"/>
      <c r="NBQ48" s="149"/>
      <c r="NBR48" s="149"/>
      <c r="NBS48" s="149"/>
      <c r="NBT48" s="149"/>
      <c r="NBU48" s="149"/>
      <c r="NBV48" s="149"/>
      <c r="NBW48" s="149"/>
      <c r="NBX48" s="149"/>
      <c r="NBY48" s="149"/>
      <c r="NBZ48" s="149"/>
      <c r="NCA48" s="149"/>
      <c r="NCB48" s="149"/>
      <c r="NCC48" s="149"/>
      <c r="NCD48" s="149"/>
      <c r="NCE48" s="149"/>
      <c r="NCF48" s="149"/>
      <c r="NCG48" s="149"/>
      <c r="NCH48" s="149"/>
      <c r="NCI48" s="149"/>
      <c r="NCJ48" s="149"/>
      <c r="NCK48" s="149"/>
      <c r="NCL48" s="149"/>
      <c r="NCM48" s="149"/>
      <c r="NCN48" s="149"/>
      <c r="NCO48" s="149"/>
      <c r="NCP48" s="149"/>
      <c r="NCQ48" s="149"/>
      <c r="NCR48" s="149"/>
      <c r="NCS48" s="149"/>
      <c r="NCT48" s="149"/>
      <c r="NCU48" s="149"/>
      <c r="NCV48" s="149"/>
      <c r="NCW48" s="149"/>
      <c r="NCX48" s="149"/>
      <c r="NCY48" s="149"/>
      <c r="NCZ48" s="149"/>
      <c r="NDA48" s="149"/>
      <c r="NDB48" s="149"/>
      <c r="NDC48" s="149"/>
      <c r="NDD48" s="149"/>
      <c r="NDE48" s="149"/>
      <c r="NDF48" s="149"/>
      <c r="NDG48" s="149"/>
      <c r="NDH48" s="149"/>
      <c r="NDI48" s="149"/>
      <c r="NDJ48" s="149"/>
      <c r="NDK48" s="149"/>
      <c r="NDL48" s="149"/>
      <c r="NDM48" s="149"/>
      <c r="NDN48" s="149"/>
      <c r="NDO48" s="149"/>
      <c r="NDP48" s="149"/>
      <c r="NDQ48" s="149"/>
      <c r="NDR48" s="149"/>
      <c r="NDS48" s="149"/>
      <c r="NDT48" s="149"/>
      <c r="NDU48" s="149"/>
      <c r="NDV48" s="149"/>
      <c r="NDW48" s="149"/>
      <c r="NDX48" s="149"/>
      <c r="NDY48" s="149"/>
      <c r="NDZ48" s="149"/>
      <c r="NEA48" s="149"/>
      <c r="NEB48" s="149"/>
      <c r="NEC48" s="149"/>
      <c r="NED48" s="149"/>
      <c r="NEE48" s="149"/>
      <c r="NEF48" s="149"/>
      <c r="NEG48" s="149"/>
      <c r="NEH48" s="149"/>
      <c r="NEI48" s="149"/>
      <c r="NEJ48" s="149"/>
      <c r="NEK48" s="149"/>
      <c r="NEL48" s="149"/>
      <c r="NEM48" s="149"/>
      <c r="NEN48" s="149"/>
      <c r="NEO48" s="149"/>
      <c r="NEP48" s="149"/>
      <c r="NEQ48" s="149"/>
      <c r="NER48" s="149"/>
      <c r="NES48" s="149"/>
      <c r="NET48" s="149"/>
      <c r="NEU48" s="149"/>
      <c r="NEV48" s="149"/>
      <c r="NEW48" s="149"/>
      <c r="NEX48" s="149"/>
      <c r="NEY48" s="149"/>
      <c r="NEZ48" s="149"/>
      <c r="NFA48" s="149"/>
      <c r="NFB48" s="149"/>
      <c r="NFC48" s="149"/>
      <c r="NFD48" s="149"/>
      <c r="NFE48" s="149"/>
      <c r="NFF48" s="149"/>
      <c r="NFG48" s="149"/>
      <c r="NFH48" s="149"/>
      <c r="NFI48" s="149"/>
      <c r="NFJ48" s="149"/>
      <c r="NFK48" s="149"/>
      <c r="NFL48" s="149"/>
      <c r="NFM48" s="149"/>
      <c r="NFN48" s="149"/>
      <c r="NFO48" s="149"/>
      <c r="NFP48" s="149"/>
      <c r="NFQ48" s="149"/>
      <c r="NFR48" s="149"/>
      <c r="NFS48" s="149"/>
      <c r="NFT48" s="149"/>
      <c r="NFU48" s="149"/>
      <c r="NFV48" s="149"/>
      <c r="NFW48" s="149"/>
      <c r="NFX48" s="149"/>
      <c r="NFY48" s="149"/>
      <c r="NFZ48" s="149"/>
      <c r="NGA48" s="149"/>
      <c r="NGB48" s="149"/>
      <c r="NGC48" s="149"/>
      <c r="NGD48" s="149"/>
      <c r="NGE48" s="149"/>
      <c r="NGF48" s="149"/>
      <c r="NGG48" s="149"/>
      <c r="NGH48" s="149"/>
      <c r="NGI48" s="149"/>
      <c r="NGJ48" s="149"/>
      <c r="NGK48" s="149"/>
      <c r="NGL48" s="149"/>
      <c r="NGM48" s="149"/>
      <c r="NGN48" s="149"/>
      <c r="NGO48" s="149"/>
      <c r="NGP48" s="149"/>
      <c r="NGQ48" s="149"/>
      <c r="NGR48" s="149"/>
      <c r="NGS48" s="149"/>
      <c r="NGT48" s="149"/>
      <c r="NGU48" s="149"/>
      <c r="NGV48" s="149"/>
      <c r="NGW48" s="149"/>
      <c r="NGX48" s="149"/>
      <c r="NGY48" s="149"/>
      <c r="NGZ48" s="149"/>
      <c r="NHA48" s="149"/>
      <c r="NHB48" s="149"/>
      <c r="NHC48" s="149"/>
      <c r="NHD48" s="149"/>
      <c r="NHE48" s="149"/>
      <c r="NHF48" s="149"/>
      <c r="NHG48" s="149"/>
      <c r="NHH48" s="149"/>
      <c r="NHI48" s="149"/>
      <c r="NHJ48" s="149"/>
      <c r="NHK48" s="149"/>
      <c r="NHL48" s="149"/>
      <c r="NHM48" s="149"/>
      <c r="NHN48" s="149"/>
      <c r="NHO48" s="149"/>
      <c r="NHP48" s="149"/>
      <c r="NHQ48" s="149"/>
      <c r="NHR48" s="149"/>
      <c r="NHS48" s="149"/>
      <c r="NHT48" s="149"/>
      <c r="NHU48" s="149"/>
      <c r="NHV48" s="149"/>
      <c r="NHW48" s="149"/>
      <c r="NHX48" s="149"/>
      <c r="NHY48" s="149"/>
      <c r="NHZ48" s="149"/>
      <c r="NIA48" s="149"/>
      <c r="NIB48" s="149"/>
      <c r="NIC48" s="149"/>
      <c r="NID48" s="149"/>
      <c r="NIE48" s="149"/>
      <c r="NIF48" s="149"/>
      <c r="NIG48" s="149"/>
      <c r="NIH48" s="149"/>
      <c r="NII48" s="149"/>
      <c r="NIJ48" s="149"/>
      <c r="NIK48" s="149"/>
      <c r="NIL48" s="149"/>
      <c r="NIM48" s="149"/>
      <c r="NIN48" s="149"/>
      <c r="NIO48" s="149"/>
      <c r="NIP48" s="149"/>
      <c r="NIQ48" s="149"/>
      <c r="NIR48" s="149"/>
      <c r="NIS48" s="149"/>
      <c r="NIT48" s="149"/>
      <c r="NIU48" s="149"/>
      <c r="NIV48" s="149"/>
      <c r="NIW48" s="149"/>
      <c r="NIX48" s="149"/>
      <c r="NIY48" s="149"/>
      <c r="NIZ48" s="149"/>
      <c r="NJA48" s="149"/>
      <c r="NJB48" s="149"/>
      <c r="NJC48" s="149"/>
      <c r="NJD48" s="149"/>
      <c r="NJE48" s="149"/>
      <c r="NJF48" s="149"/>
      <c r="NJG48" s="149"/>
      <c r="NJH48" s="149"/>
      <c r="NJI48" s="149"/>
      <c r="NJJ48" s="149"/>
      <c r="NJK48" s="149"/>
      <c r="NJL48" s="149"/>
      <c r="NJM48" s="149"/>
      <c r="NJN48" s="149"/>
      <c r="NJO48" s="149"/>
      <c r="NJP48" s="149"/>
      <c r="NJQ48" s="149"/>
      <c r="NJR48" s="149"/>
      <c r="NJS48" s="149"/>
      <c r="NJT48" s="149"/>
      <c r="NJU48" s="149"/>
      <c r="NJV48" s="149"/>
      <c r="NJW48" s="149"/>
      <c r="NJX48" s="149"/>
      <c r="NJY48" s="149"/>
      <c r="NJZ48" s="149"/>
      <c r="NKA48" s="149"/>
      <c r="NKB48" s="149"/>
      <c r="NKC48" s="149"/>
      <c r="NKD48" s="149"/>
      <c r="NKE48" s="149"/>
      <c r="NKF48" s="149"/>
      <c r="NKG48" s="149"/>
      <c r="NKH48" s="149"/>
      <c r="NKI48" s="149"/>
      <c r="NKJ48" s="149"/>
      <c r="NKK48" s="149"/>
      <c r="NKL48" s="149"/>
      <c r="NKM48" s="149"/>
      <c r="NKN48" s="149"/>
      <c r="NKO48" s="149"/>
      <c r="NKP48" s="149"/>
      <c r="NKQ48" s="149"/>
      <c r="NKR48" s="149"/>
      <c r="NKS48" s="149"/>
      <c r="NKT48" s="149"/>
      <c r="NKU48" s="149"/>
      <c r="NKV48" s="149"/>
      <c r="NKW48" s="149"/>
      <c r="NKX48" s="149"/>
      <c r="NKY48" s="149"/>
      <c r="NKZ48" s="149"/>
      <c r="NLA48" s="149"/>
      <c r="NLB48" s="149"/>
      <c r="NLC48" s="149"/>
      <c r="NLD48" s="149"/>
      <c r="NLE48" s="149"/>
      <c r="NLF48" s="149"/>
      <c r="NLG48" s="149"/>
      <c r="NLH48" s="149"/>
      <c r="NLI48" s="149"/>
      <c r="NLJ48" s="149"/>
      <c r="NLK48" s="149"/>
      <c r="NLL48" s="149"/>
      <c r="NLM48" s="149"/>
      <c r="NLN48" s="149"/>
      <c r="NLO48" s="149"/>
      <c r="NLP48" s="149"/>
      <c r="NLQ48" s="149"/>
      <c r="NLR48" s="149"/>
      <c r="NLS48" s="149"/>
      <c r="NLT48" s="149"/>
      <c r="NLU48" s="149"/>
      <c r="NLV48" s="149"/>
      <c r="NLW48" s="149"/>
      <c r="NLX48" s="149"/>
      <c r="NLY48" s="149"/>
      <c r="NLZ48" s="149"/>
      <c r="NMA48" s="149"/>
      <c r="NMB48" s="149"/>
      <c r="NMC48" s="149"/>
      <c r="NMD48" s="149"/>
      <c r="NME48" s="149"/>
      <c r="NMF48" s="149"/>
      <c r="NMG48" s="149"/>
      <c r="NMH48" s="149"/>
      <c r="NMI48" s="149"/>
      <c r="NMJ48" s="149"/>
      <c r="NMK48" s="149"/>
      <c r="NML48" s="149"/>
      <c r="NMM48" s="149"/>
      <c r="NMN48" s="149"/>
      <c r="NMO48" s="149"/>
      <c r="NMP48" s="149"/>
      <c r="NMQ48" s="149"/>
      <c r="NMR48" s="149"/>
      <c r="NMS48" s="149"/>
      <c r="NMT48" s="149"/>
      <c r="NMU48" s="149"/>
      <c r="NMV48" s="149"/>
      <c r="NMW48" s="149"/>
      <c r="NMX48" s="149"/>
      <c r="NMY48" s="149"/>
      <c r="NMZ48" s="149"/>
      <c r="NNA48" s="149"/>
      <c r="NNB48" s="149"/>
      <c r="NNC48" s="149"/>
      <c r="NND48" s="149"/>
      <c r="NNE48" s="149"/>
      <c r="NNF48" s="149"/>
      <c r="NNG48" s="149"/>
      <c r="NNH48" s="149"/>
      <c r="NNI48" s="149"/>
      <c r="NNJ48" s="149"/>
      <c r="NNK48" s="149"/>
      <c r="NNL48" s="149"/>
      <c r="NNM48" s="149"/>
      <c r="NNN48" s="149"/>
      <c r="NNO48" s="149"/>
      <c r="NNP48" s="149"/>
      <c r="NNQ48" s="149"/>
      <c r="NNR48" s="149"/>
      <c r="NNS48" s="149"/>
      <c r="NNT48" s="149"/>
      <c r="NNU48" s="149"/>
      <c r="NNV48" s="149"/>
      <c r="NNW48" s="149"/>
      <c r="NNX48" s="149"/>
      <c r="NNY48" s="149"/>
      <c r="NNZ48" s="149"/>
      <c r="NOA48" s="149"/>
      <c r="NOB48" s="149"/>
      <c r="NOC48" s="149"/>
      <c r="NOD48" s="149"/>
      <c r="NOE48" s="149"/>
      <c r="NOF48" s="149"/>
      <c r="NOG48" s="149"/>
      <c r="NOH48" s="149"/>
      <c r="NOI48" s="149"/>
      <c r="NOJ48" s="149"/>
      <c r="NOK48" s="149"/>
      <c r="NOL48" s="149"/>
      <c r="NOM48" s="149"/>
      <c r="NON48" s="149"/>
      <c r="NOO48" s="149"/>
      <c r="NOP48" s="149"/>
      <c r="NOQ48" s="149"/>
      <c r="NOR48" s="149"/>
      <c r="NOS48" s="149"/>
      <c r="NOT48" s="149"/>
      <c r="NOU48" s="149"/>
      <c r="NOV48" s="149"/>
      <c r="NOW48" s="149"/>
      <c r="NOX48" s="149"/>
      <c r="NOY48" s="149"/>
      <c r="NOZ48" s="149"/>
      <c r="NPA48" s="149"/>
      <c r="NPB48" s="149"/>
      <c r="NPC48" s="149"/>
      <c r="NPD48" s="149"/>
      <c r="NPE48" s="149"/>
      <c r="NPF48" s="149"/>
      <c r="NPG48" s="149"/>
      <c r="NPH48" s="149"/>
      <c r="NPI48" s="149"/>
      <c r="NPJ48" s="149"/>
      <c r="NPK48" s="149"/>
      <c r="NPL48" s="149"/>
      <c r="NPM48" s="149"/>
      <c r="NPN48" s="149"/>
      <c r="NPO48" s="149"/>
      <c r="NPP48" s="149"/>
      <c r="NPQ48" s="149"/>
      <c r="NPR48" s="149"/>
      <c r="NPS48" s="149"/>
      <c r="NPT48" s="149"/>
      <c r="NPU48" s="149"/>
      <c r="NPV48" s="149"/>
      <c r="NPW48" s="149"/>
      <c r="NPX48" s="149"/>
      <c r="NPY48" s="149"/>
      <c r="NPZ48" s="149"/>
      <c r="NQA48" s="149"/>
      <c r="NQB48" s="149"/>
      <c r="NQC48" s="149"/>
      <c r="NQD48" s="149"/>
      <c r="NQE48" s="149"/>
      <c r="NQF48" s="149"/>
      <c r="NQG48" s="149"/>
      <c r="NQH48" s="149"/>
      <c r="NQI48" s="149"/>
      <c r="NQJ48" s="149"/>
      <c r="NQK48" s="149"/>
      <c r="NQL48" s="149"/>
      <c r="NQM48" s="149"/>
      <c r="NQN48" s="149"/>
      <c r="NQO48" s="149"/>
      <c r="NQP48" s="149"/>
      <c r="NQQ48" s="149"/>
      <c r="NQR48" s="149"/>
      <c r="NQS48" s="149"/>
      <c r="NQT48" s="149"/>
      <c r="NQU48" s="149"/>
      <c r="NQV48" s="149"/>
      <c r="NQW48" s="149"/>
      <c r="NQX48" s="149"/>
      <c r="NQY48" s="149"/>
      <c r="NQZ48" s="149"/>
      <c r="NRA48" s="149"/>
      <c r="NRB48" s="149"/>
      <c r="NRC48" s="149"/>
      <c r="NRD48" s="149"/>
      <c r="NRE48" s="149"/>
      <c r="NRF48" s="149"/>
      <c r="NRG48" s="149"/>
      <c r="NRH48" s="149"/>
      <c r="NRI48" s="149"/>
      <c r="NRJ48" s="149"/>
      <c r="NRK48" s="149"/>
      <c r="NRL48" s="149"/>
      <c r="NRM48" s="149"/>
      <c r="NRN48" s="149"/>
      <c r="NRO48" s="149"/>
      <c r="NRP48" s="149"/>
      <c r="NRQ48" s="149"/>
      <c r="NRR48" s="149"/>
      <c r="NRS48" s="149"/>
      <c r="NRT48" s="149"/>
      <c r="NRU48" s="149"/>
      <c r="NRV48" s="149"/>
      <c r="NRW48" s="149"/>
      <c r="NRX48" s="149"/>
      <c r="NRY48" s="149"/>
      <c r="NRZ48" s="149"/>
      <c r="NSA48" s="149"/>
      <c r="NSB48" s="149"/>
      <c r="NSC48" s="149"/>
      <c r="NSD48" s="149"/>
      <c r="NSE48" s="149"/>
      <c r="NSF48" s="149"/>
      <c r="NSG48" s="149"/>
      <c r="NSH48" s="149"/>
      <c r="NSI48" s="149"/>
      <c r="NSJ48" s="149"/>
      <c r="NSK48" s="149"/>
      <c r="NSL48" s="149"/>
      <c r="NSM48" s="149"/>
      <c r="NSN48" s="149"/>
      <c r="NSO48" s="149"/>
      <c r="NSP48" s="149"/>
      <c r="NSQ48" s="149"/>
      <c r="NSR48" s="149"/>
      <c r="NSS48" s="149"/>
      <c r="NST48" s="149"/>
      <c r="NSU48" s="149"/>
      <c r="NSV48" s="149"/>
      <c r="NSW48" s="149"/>
      <c r="NSX48" s="149"/>
      <c r="NSY48" s="149"/>
      <c r="NSZ48" s="149"/>
      <c r="NTA48" s="149"/>
      <c r="NTB48" s="149"/>
      <c r="NTC48" s="149"/>
      <c r="NTD48" s="149"/>
      <c r="NTE48" s="149"/>
      <c r="NTF48" s="149"/>
      <c r="NTG48" s="149"/>
      <c r="NTH48" s="149"/>
      <c r="NTI48" s="149"/>
      <c r="NTJ48" s="149"/>
      <c r="NTK48" s="149"/>
      <c r="NTL48" s="149"/>
      <c r="NTM48" s="149"/>
      <c r="NTN48" s="149"/>
      <c r="NTO48" s="149"/>
      <c r="NTP48" s="149"/>
      <c r="NTQ48" s="149"/>
      <c r="NTR48" s="149"/>
      <c r="NTS48" s="149"/>
      <c r="NTT48" s="149"/>
      <c r="NTU48" s="149"/>
      <c r="NTV48" s="149"/>
      <c r="NTW48" s="149"/>
      <c r="NTX48" s="149"/>
      <c r="NTY48" s="149"/>
      <c r="NTZ48" s="149"/>
      <c r="NUA48" s="149"/>
      <c r="NUB48" s="149"/>
      <c r="NUC48" s="149"/>
      <c r="NUD48" s="149"/>
      <c r="NUE48" s="149"/>
      <c r="NUF48" s="149"/>
      <c r="NUG48" s="149"/>
      <c r="NUH48" s="149"/>
      <c r="NUI48" s="149"/>
      <c r="NUJ48" s="149"/>
      <c r="NUK48" s="149"/>
      <c r="NUL48" s="149"/>
      <c r="NUM48" s="149"/>
      <c r="NUN48" s="149"/>
      <c r="NUO48" s="149"/>
      <c r="NUP48" s="149"/>
      <c r="NUQ48" s="149"/>
      <c r="NUR48" s="149"/>
      <c r="NUS48" s="149"/>
      <c r="NUT48" s="149"/>
      <c r="NUU48" s="149"/>
      <c r="NUV48" s="149"/>
      <c r="NUW48" s="149"/>
      <c r="NUX48" s="149"/>
      <c r="NUY48" s="149"/>
      <c r="NUZ48" s="149"/>
      <c r="NVA48" s="149"/>
      <c r="NVB48" s="149"/>
      <c r="NVC48" s="149"/>
      <c r="NVD48" s="149"/>
      <c r="NVE48" s="149"/>
      <c r="NVF48" s="149"/>
      <c r="NVG48" s="149"/>
      <c r="NVH48" s="149"/>
      <c r="NVI48" s="149"/>
      <c r="NVJ48" s="149"/>
      <c r="NVK48" s="149"/>
      <c r="NVL48" s="149"/>
      <c r="NVM48" s="149"/>
      <c r="NVN48" s="149"/>
      <c r="NVO48" s="149"/>
      <c r="NVP48" s="149"/>
      <c r="NVQ48" s="149"/>
      <c r="NVR48" s="149"/>
      <c r="NVS48" s="149"/>
      <c r="NVT48" s="149"/>
      <c r="NVU48" s="149"/>
      <c r="NVV48" s="149"/>
      <c r="NVW48" s="149"/>
      <c r="NVX48" s="149"/>
      <c r="NVY48" s="149"/>
      <c r="NVZ48" s="149"/>
      <c r="NWA48" s="149"/>
      <c r="NWB48" s="149"/>
      <c r="NWC48" s="149"/>
      <c r="NWD48" s="149"/>
      <c r="NWE48" s="149"/>
      <c r="NWF48" s="149"/>
      <c r="NWG48" s="149"/>
      <c r="NWH48" s="149"/>
      <c r="NWI48" s="149"/>
      <c r="NWJ48" s="149"/>
      <c r="NWK48" s="149"/>
      <c r="NWL48" s="149"/>
      <c r="NWM48" s="149"/>
      <c r="NWN48" s="149"/>
      <c r="NWO48" s="149"/>
      <c r="NWP48" s="149"/>
      <c r="NWQ48" s="149"/>
      <c r="NWR48" s="149"/>
      <c r="NWS48" s="149"/>
      <c r="NWT48" s="149"/>
      <c r="NWU48" s="149"/>
      <c r="NWV48" s="149"/>
      <c r="NWW48" s="149"/>
      <c r="NWX48" s="149"/>
      <c r="NWY48" s="149"/>
      <c r="NWZ48" s="149"/>
      <c r="NXA48" s="149"/>
      <c r="NXB48" s="149"/>
      <c r="NXC48" s="149"/>
      <c r="NXD48" s="149"/>
      <c r="NXE48" s="149"/>
      <c r="NXF48" s="149"/>
      <c r="NXG48" s="149"/>
      <c r="NXH48" s="149"/>
      <c r="NXI48" s="149"/>
      <c r="NXJ48" s="149"/>
      <c r="NXK48" s="149"/>
      <c r="NXL48" s="149"/>
      <c r="NXM48" s="149"/>
      <c r="NXN48" s="149"/>
      <c r="NXO48" s="149"/>
      <c r="NXP48" s="149"/>
      <c r="NXQ48" s="149"/>
      <c r="NXR48" s="149"/>
      <c r="NXS48" s="149"/>
      <c r="NXT48" s="149"/>
      <c r="NXU48" s="149"/>
      <c r="NXV48" s="149"/>
      <c r="NXW48" s="149"/>
      <c r="NXX48" s="149"/>
      <c r="NXY48" s="149"/>
      <c r="NXZ48" s="149"/>
      <c r="NYA48" s="149"/>
      <c r="NYB48" s="149"/>
      <c r="NYC48" s="149"/>
      <c r="NYD48" s="149"/>
      <c r="NYE48" s="149"/>
      <c r="NYF48" s="149"/>
      <c r="NYG48" s="149"/>
      <c r="NYH48" s="149"/>
      <c r="NYI48" s="149"/>
      <c r="NYJ48" s="149"/>
      <c r="NYK48" s="149"/>
      <c r="NYL48" s="149"/>
      <c r="NYM48" s="149"/>
      <c r="NYN48" s="149"/>
      <c r="NYO48" s="149"/>
      <c r="NYP48" s="149"/>
      <c r="NYQ48" s="149"/>
      <c r="NYR48" s="149"/>
      <c r="NYS48" s="149"/>
      <c r="NYT48" s="149"/>
      <c r="NYU48" s="149"/>
      <c r="NYV48" s="149"/>
      <c r="NYW48" s="149"/>
      <c r="NYX48" s="149"/>
      <c r="NYY48" s="149"/>
      <c r="NYZ48" s="149"/>
      <c r="NZA48" s="149"/>
      <c r="NZB48" s="149"/>
      <c r="NZC48" s="149"/>
      <c r="NZD48" s="149"/>
      <c r="NZE48" s="149"/>
      <c r="NZF48" s="149"/>
      <c r="NZG48" s="149"/>
      <c r="NZH48" s="149"/>
      <c r="NZI48" s="149"/>
      <c r="NZJ48" s="149"/>
      <c r="NZK48" s="149"/>
      <c r="NZL48" s="149"/>
      <c r="NZM48" s="149"/>
      <c r="NZN48" s="149"/>
      <c r="NZO48" s="149"/>
      <c r="NZP48" s="149"/>
      <c r="NZQ48" s="149"/>
      <c r="NZR48" s="149"/>
      <c r="NZS48" s="149"/>
      <c r="NZT48" s="149"/>
      <c r="NZU48" s="149"/>
      <c r="NZV48" s="149"/>
      <c r="NZW48" s="149"/>
      <c r="NZX48" s="149"/>
      <c r="NZY48" s="149"/>
      <c r="NZZ48" s="149"/>
      <c r="OAA48" s="149"/>
      <c r="OAB48" s="149"/>
      <c r="OAC48" s="149"/>
      <c r="OAD48" s="149"/>
      <c r="OAE48" s="149"/>
      <c r="OAF48" s="149"/>
      <c r="OAG48" s="149"/>
      <c r="OAH48" s="149"/>
      <c r="OAI48" s="149"/>
      <c r="OAJ48" s="149"/>
      <c r="OAK48" s="149"/>
      <c r="OAL48" s="149"/>
      <c r="OAM48" s="149"/>
      <c r="OAN48" s="149"/>
      <c r="OAO48" s="149"/>
      <c r="OAP48" s="149"/>
      <c r="OAQ48" s="149"/>
      <c r="OAR48" s="149"/>
      <c r="OAS48" s="149"/>
      <c r="OAT48" s="149"/>
      <c r="OAU48" s="149"/>
      <c r="OAV48" s="149"/>
      <c r="OAW48" s="149"/>
      <c r="OAX48" s="149"/>
      <c r="OAY48" s="149"/>
      <c r="OAZ48" s="149"/>
      <c r="OBA48" s="149"/>
      <c r="OBB48" s="149"/>
      <c r="OBC48" s="149"/>
      <c r="OBD48" s="149"/>
      <c r="OBE48" s="149"/>
      <c r="OBF48" s="149"/>
      <c r="OBG48" s="149"/>
      <c r="OBH48" s="149"/>
      <c r="OBI48" s="149"/>
      <c r="OBJ48" s="149"/>
      <c r="OBK48" s="149"/>
      <c r="OBL48" s="149"/>
      <c r="OBM48" s="149"/>
      <c r="OBN48" s="149"/>
      <c r="OBO48" s="149"/>
      <c r="OBP48" s="149"/>
      <c r="OBQ48" s="149"/>
      <c r="OBR48" s="149"/>
      <c r="OBS48" s="149"/>
      <c r="OBT48" s="149"/>
      <c r="OBU48" s="149"/>
      <c r="OBV48" s="149"/>
      <c r="OBW48" s="149"/>
      <c r="OBX48" s="149"/>
      <c r="OBY48" s="149"/>
      <c r="OBZ48" s="149"/>
      <c r="OCA48" s="149"/>
      <c r="OCB48" s="149"/>
      <c r="OCC48" s="149"/>
      <c r="OCD48" s="149"/>
      <c r="OCE48" s="149"/>
      <c r="OCF48" s="149"/>
      <c r="OCG48" s="149"/>
      <c r="OCH48" s="149"/>
      <c r="OCI48" s="149"/>
      <c r="OCJ48" s="149"/>
      <c r="OCK48" s="149"/>
      <c r="OCL48" s="149"/>
      <c r="OCM48" s="149"/>
      <c r="OCN48" s="149"/>
      <c r="OCO48" s="149"/>
      <c r="OCP48" s="149"/>
      <c r="OCQ48" s="149"/>
      <c r="OCR48" s="149"/>
      <c r="OCS48" s="149"/>
      <c r="OCT48" s="149"/>
      <c r="OCU48" s="149"/>
      <c r="OCV48" s="149"/>
      <c r="OCW48" s="149"/>
      <c r="OCX48" s="149"/>
      <c r="OCY48" s="149"/>
      <c r="OCZ48" s="149"/>
      <c r="ODA48" s="149"/>
      <c r="ODB48" s="149"/>
      <c r="ODC48" s="149"/>
      <c r="ODD48" s="149"/>
      <c r="ODE48" s="149"/>
      <c r="ODF48" s="149"/>
      <c r="ODG48" s="149"/>
      <c r="ODH48" s="149"/>
      <c r="ODI48" s="149"/>
      <c r="ODJ48" s="149"/>
      <c r="ODK48" s="149"/>
      <c r="ODL48" s="149"/>
      <c r="ODM48" s="149"/>
      <c r="ODN48" s="149"/>
      <c r="ODO48" s="149"/>
      <c r="ODP48" s="149"/>
      <c r="ODQ48" s="149"/>
      <c r="ODR48" s="149"/>
      <c r="ODS48" s="149"/>
      <c r="ODT48" s="149"/>
      <c r="ODU48" s="149"/>
      <c r="ODV48" s="149"/>
      <c r="ODW48" s="149"/>
      <c r="ODX48" s="149"/>
      <c r="ODY48" s="149"/>
      <c r="ODZ48" s="149"/>
      <c r="OEA48" s="149"/>
      <c r="OEB48" s="149"/>
      <c r="OEC48" s="149"/>
      <c r="OED48" s="149"/>
      <c r="OEE48" s="149"/>
      <c r="OEF48" s="149"/>
      <c r="OEG48" s="149"/>
      <c r="OEH48" s="149"/>
      <c r="OEI48" s="149"/>
      <c r="OEJ48" s="149"/>
      <c r="OEK48" s="149"/>
      <c r="OEL48" s="149"/>
      <c r="OEM48" s="149"/>
      <c r="OEN48" s="149"/>
      <c r="OEO48" s="149"/>
      <c r="OEP48" s="149"/>
      <c r="OEQ48" s="149"/>
      <c r="OER48" s="149"/>
      <c r="OES48" s="149"/>
      <c r="OET48" s="149"/>
      <c r="OEU48" s="149"/>
      <c r="OEV48" s="149"/>
      <c r="OEW48" s="149"/>
      <c r="OEX48" s="149"/>
      <c r="OEY48" s="149"/>
      <c r="OEZ48" s="149"/>
      <c r="OFA48" s="149"/>
      <c r="OFB48" s="149"/>
      <c r="OFC48" s="149"/>
      <c r="OFD48" s="149"/>
      <c r="OFE48" s="149"/>
      <c r="OFF48" s="149"/>
      <c r="OFG48" s="149"/>
      <c r="OFH48" s="149"/>
      <c r="OFI48" s="149"/>
      <c r="OFJ48" s="149"/>
      <c r="OFK48" s="149"/>
      <c r="OFL48" s="149"/>
      <c r="OFM48" s="149"/>
      <c r="OFN48" s="149"/>
      <c r="OFO48" s="149"/>
      <c r="OFP48" s="149"/>
      <c r="OFQ48" s="149"/>
      <c r="OFR48" s="149"/>
      <c r="OFS48" s="149"/>
      <c r="OFT48" s="149"/>
      <c r="OFU48" s="149"/>
      <c r="OFV48" s="149"/>
      <c r="OFW48" s="149"/>
      <c r="OFX48" s="149"/>
      <c r="OFY48" s="149"/>
      <c r="OFZ48" s="149"/>
      <c r="OGA48" s="149"/>
      <c r="OGB48" s="149"/>
      <c r="OGC48" s="149"/>
      <c r="OGD48" s="149"/>
      <c r="OGE48" s="149"/>
      <c r="OGF48" s="149"/>
      <c r="OGG48" s="149"/>
      <c r="OGH48" s="149"/>
      <c r="OGI48" s="149"/>
      <c r="OGJ48" s="149"/>
      <c r="OGK48" s="149"/>
      <c r="OGL48" s="149"/>
      <c r="OGM48" s="149"/>
      <c r="OGN48" s="149"/>
      <c r="OGO48" s="149"/>
      <c r="OGP48" s="149"/>
      <c r="OGQ48" s="149"/>
      <c r="OGR48" s="149"/>
      <c r="OGS48" s="149"/>
      <c r="OGT48" s="149"/>
      <c r="OGU48" s="149"/>
      <c r="OGV48" s="149"/>
      <c r="OGW48" s="149"/>
      <c r="OGX48" s="149"/>
      <c r="OGY48" s="149"/>
      <c r="OGZ48" s="149"/>
      <c r="OHA48" s="149"/>
      <c r="OHB48" s="149"/>
      <c r="OHC48" s="149"/>
      <c r="OHD48" s="149"/>
      <c r="OHE48" s="149"/>
      <c r="OHF48" s="149"/>
      <c r="OHG48" s="149"/>
      <c r="OHH48" s="149"/>
      <c r="OHI48" s="149"/>
      <c r="OHJ48" s="149"/>
      <c r="OHK48" s="149"/>
      <c r="OHL48" s="149"/>
      <c r="OHM48" s="149"/>
      <c r="OHN48" s="149"/>
      <c r="OHO48" s="149"/>
      <c r="OHP48" s="149"/>
      <c r="OHQ48" s="149"/>
      <c r="OHR48" s="149"/>
      <c r="OHS48" s="149"/>
      <c r="OHT48" s="149"/>
      <c r="OHU48" s="149"/>
      <c r="OHV48" s="149"/>
      <c r="OHW48" s="149"/>
      <c r="OHX48" s="149"/>
      <c r="OHY48" s="149"/>
      <c r="OHZ48" s="149"/>
      <c r="OIA48" s="149"/>
      <c r="OIB48" s="149"/>
      <c r="OIC48" s="149"/>
      <c r="OID48" s="149"/>
      <c r="OIE48" s="149"/>
      <c r="OIF48" s="149"/>
      <c r="OIG48" s="149"/>
      <c r="OIH48" s="149"/>
      <c r="OII48" s="149"/>
      <c r="OIJ48" s="149"/>
      <c r="OIK48" s="149"/>
      <c r="OIL48" s="149"/>
      <c r="OIM48" s="149"/>
      <c r="OIN48" s="149"/>
      <c r="OIO48" s="149"/>
      <c r="OIP48" s="149"/>
      <c r="OIQ48" s="149"/>
      <c r="OIR48" s="149"/>
      <c r="OIS48" s="149"/>
      <c r="OIT48" s="149"/>
      <c r="OIU48" s="149"/>
      <c r="OIV48" s="149"/>
      <c r="OIW48" s="149"/>
      <c r="OIX48" s="149"/>
      <c r="OIY48" s="149"/>
      <c r="OIZ48" s="149"/>
      <c r="OJA48" s="149"/>
      <c r="OJB48" s="149"/>
      <c r="OJC48" s="149"/>
      <c r="OJD48" s="149"/>
      <c r="OJE48" s="149"/>
      <c r="OJF48" s="149"/>
      <c r="OJG48" s="149"/>
      <c r="OJH48" s="149"/>
      <c r="OJI48" s="149"/>
      <c r="OJJ48" s="149"/>
      <c r="OJK48" s="149"/>
      <c r="OJL48" s="149"/>
      <c r="OJM48" s="149"/>
      <c r="OJN48" s="149"/>
      <c r="OJO48" s="149"/>
      <c r="OJP48" s="149"/>
      <c r="OJQ48" s="149"/>
      <c r="OJR48" s="149"/>
      <c r="OJS48" s="149"/>
      <c r="OJT48" s="149"/>
      <c r="OJU48" s="149"/>
      <c r="OJV48" s="149"/>
      <c r="OJW48" s="149"/>
      <c r="OJX48" s="149"/>
      <c r="OJY48" s="149"/>
      <c r="OJZ48" s="149"/>
      <c r="OKA48" s="149"/>
      <c r="OKB48" s="149"/>
      <c r="OKC48" s="149"/>
      <c r="OKD48" s="149"/>
      <c r="OKE48" s="149"/>
      <c r="OKF48" s="149"/>
      <c r="OKG48" s="149"/>
      <c r="OKH48" s="149"/>
      <c r="OKI48" s="149"/>
      <c r="OKJ48" s="149"/>
      <c r="OKK48" s="149"/>
      <c r="OKL48" s="149"/>
      <c r="OKM48" s="149"/>
      <c r="OKN48" s="149"/>
      <c r="OKO48" s="149"/>
      <c r="OKP48" s="149"/>
      <c r="OKQ48" s="149"/>
      <c r="OKR48" s="149"/>
      <c r="OKS48" s="149"/>
      <c r="OKT48" s="149"/>
      <c r="OKU48" s="149"/>
      <c r="OKV48" s="149"/>
      <c r="OKW48" s="149"/>
      <c r="OKX48" s="149"/>
      <c r="OKY48" s="149"/>
      <c r="OKZ48" s="149"/>
      <c r="OLA48" s="149"/>
      <c r="OLB48" s="149"/>
      <c r="OLC48" s="149"/>
      <c r="OLD48" s="149"/>
      <c r="OLE48" s="149"/>
      <c r="OLF48" s="149"/>
      <c r="OLG48" s="149"/>
      <c r="OLH48" s="149"/>
      <c r="OLI48" s="149"/>
      <c r="OLJ48" s="149"/>
      <c r="OLK48" s="149"/>
      <c r="OLL48" s="149"/>
      <c r="OLM48" s="149"/>
      <c r="OLN48" s="149"/>
      <c r="OLO48" s="149"/>
      <c r="OLP48" s="149"/>
      <c r="OLQ48" s="149"/>
      <c r="OLR48" s="149"/>
      <c r="OLS48" s="149"/>
      <c r="OLT48" s="149"/>
      <c r="OLU48" s="149"/>
      <c r="OLV48" s="149"/>
      <c r="OLW48" s="149"/>
      <c r="OLX48" s="149"/>
      <c r="OLY48" s="149"/>
      <c r="OLZ48" s="149"/>
      <c r="OMA48" s="149"/>
      <c r="OMB48" s="149"/>
      <c r="OMC48" s="149"/>
      <c r="OMD48" s="149"/>
      <c r="OME48" s="149"/>
      <c r="OMF48" s="149"/>
      <c r="OMG48" s="149"/>
      <c r="OMH48" s="149"/>
      <c r="OMI48" s="149"/>
      <c r="OMJ48" s="149"/>
      <c r="OMK48" s="149"/>
      <c r="OML48" s="149"/>
      <c r="OMM48" s="149"/>
      <c r="OMN48" s="149"/>
      <c r="OMO48" s="149"/>
      <c r="OMP48" s="149"/>
      <c r="OMQ48" s="149"/>
      <c r="OMR48" s="149"/>
      <c r="OMS48" s="149"/>
      <c r="OMT48" s="149"/>
      <c r="OMU48" s="149"/>
      <c r="OMV48" s="149"/>
      <c r="OMW48" s="149"/>
      <c r="OMX48" s="149"/>
      <c r="OMY48" s="149"/>
      <c r="OMZ48" s="149"/>
      <c r="ONA48" s="149"/>
      <c r="ONB48" s="149"/>
      <c r="ONC48" s="149"/>
      <c r="OND48" s="149"/>
      <c r="ONE48" s="149"/>
      <c r="ONF48" s="149"/>
      <c r="ONG48" s="149"/>
      <c r="ONH48" s="149"/>
      <c r="ONI48" s="149"/>
      <c r="ONJ48" s="149"/>
      <c r="ONK48" s="149"/>
      <c r="ONL48" s="149"/>
      <c r="ONM48" s="149"/>
      <c r="ONN48" s="149"/>
      <c r="ONO48" s="149"/>
      <c r="ONP48" s="149"/>
      <c r="ONQ48" s="149"/>
      <c r="ONR48" s="149"/>
      <c r="ONS48" s="149"/>
      <c r="ONT48" s="149"/>
      <c r="ONU48" s="149"/>
      <c r="ONV48" s="149"/>
      <c r="ONW48" s="149"/>
      <c r="ONX48" s="149"/>
      <c r="ONY48" s="149"/>
      <c r="ONZ48" s="149"/>
      <c r="OOA48" s="149"/>
      <c r="OOB48" s="149"/>
      <c r="OOC48" s="149"/>
      <c r="OOD48" s="149"/>
      <c r="OOE48" s="149"/>
      <c r="OOF48" s="149"/>
      <c r="OOG48" s="149"/>
      <c r="OOH48" s="149"/>
      <c r="OOI48" s="149"/>
      <c r="OOJ48" s="149"/>
      <c r="OOK48" s="149"/>
      <c r="OOL48" s="149"/>
      <c r="OOM48" s="149"/>
      <c r="OON48" s="149"/>
      <c r="OOO48" s="149"/>
      <c r="OOP48" s="149"/>
      <c r="OOQ48" s="149"/>
      <c r="OOR48" s="149"/>
      <c r="OOS48" s="149"/>
      <c r="OOT48" s="149"/>
      <c r="OOU48" s="149"/>
      <c r="OOV48" s="149"/>
      <c r="OOW48" s="149"/>
      <c r="OOX48" s="149"/>
      <c r="OOY48" s="149"/>
      <c r="OOZ48" s="149"/>
      <c r="OPA48" s="149"/>
      <c r="OPB48" s="149"/>
      <c r="OPC48" s="149"/>
      <c r="OPD48" s="149"/>
      <c r="OPE48" s="149"/>
      <c r="OPF48" s="149"/>
      <c r="OPG48" s="149"/>
      <c r="OPH48" s="149"/>
      <c r="OPI48" s="149"/>
      <c r="OPJ48" s="149"/>
      <c r="OPK48" s="149"/>
      <c r="OPL48" s="149"/>
      <c r="OPM48" s="149"/>
      <c r="OPN48" s="149"/>
      <c r="OPO48" s="149"/>
      <c r="OPP48" s="149"/>
      <c r="OPQ48" s="149"/>
      <c r="OPR48" s="149"/>
      <c r="OPS48" s="149"/>
      <c r="OPT48" s="149"/>
      <c r="OPU48" s="149"/>
      <c r="OPV48" s="149"/>
      <c r="OPW48" s="149"/>
      <c r="OPX48" s="149"/>
      <c r="OPY48" s="149"/>
      <c r="OPZ48" s="149"/>
      <c r="OQA48" s="149"/>
      <c r="OQB48" s="149"/>
      <c r="OQC48" s="149"/>
      <c r="OQD48" s="149"/>
      <c r="OQE48" s="149"/>
      <c r="OQF48" s="149"/>
      <c r="OQG48" s="149"/>
      <c r="OQH48" s="149"/>
      <c r="OQI48" s="149"/>
      <c r="OQJ48" s="149"/>
      <c r="OQK48" s="149"/>
      <c r="OQL48" s="149"/>
      <c r="OQM48" s="149"/>
      <c r="OQN48" s="149"/>
      <c r="OQO48" s="149"/>
      <c r="OQP48" s="149"/>
      <c r="OQQ48" s="149"/>
      <c r="OQR48" s="149"/>
      <c r="OQS48" s="149"/>
      <c r="OQT48" s="149"/>
      <c r="OQU48" s="149"/>
      <c r="OQV48" s="149"/>
      <c r="OQW48" s="149"/>
      <c r="OQX48" s="149"/>
      <c r="OQY48" s="149"/>
      <c r="OQZ48" s="149"/>
      <c r="ORA48" s="149"/>
      <c r="ORB48" s="149"/>
      <c r="ORC48" s="149"/>
      <c r="ORD48" s="149"/>
      <c r="ORE48" s="149"/>
      <c r="ORF48" s="149"/>
      <c r="ORG48" s="149"/>
      <c r="ORH48" s="149"/>
      <c r="ORI48" s="149"/>
      <c r="ORJ48" s="149"/>
      <c r="ORK48" s="149"/>
      <c r="ORL48" s="149"/>
      <c r="ORM48" s="149"/>
      <c r="ORN48" s="149"/>
      <c r="ORO48" s="149"/>
      <c r="ORP48" s="149"/>
      <c r="ORQ48" s="149"/>
      <c r="ORR48" s="149"/>
      <c r="ORS48" s="149"/>
      <c r="ORT48" s="149"/>
      <c r="ORU48" s="149"/>
      <c r="ORV48" s="149"/>
      <c r="ORW48" s="149"/>
      <c r="ORX48" s="149"/>
      <c r="ORY48" s="149"/>
      <c r="ORZ48" s="149"/>
      <c r="OSA48" s="149"/>
      <c r="OSB48" s="149"/>
      <c r="OSC48" s="149"/>
      <c r="OSD48" s="149"/>
      <c r="OSE48" s="149"/>
      <c r="OSF48" s="149"/>
      <c r="OSG48" s="149"/>
      <c r="OSH48" s="149"/>
      <c r="OSI48" s="149"/>
      <c r="OSJ48" s="149"/>
      <c r="OSK48" s="149"/>
      <c r="OSL48" s="149"/>
      <c r="OSM48" s="149"/>
      <c r="OSN48" s="149"/>
      <c r="OSO48" s="149"/>
      <c r="OSP48" s="149"/>
      <c r="OSQ48" s="149"/>
      <c r="OSR48" s="149"/>
      <c r="OSS48" s="149"/>
      <c r="OST48" s="149"/>
      <c r="OSU48" s="149"/>
      <c r="OSV48" s="149"/>
      <c r="OSW48" s="149"/>
      <c r="OSX48" s="149"/>
      <c r="OSY48" s="149"/>
      <c r="OSZ48" s="149"/>
      <c r="OTA48" s="149"/>
      <c r="OTB48" s="149"/>
      <c r="OTC48" s="149"/>
      <c r="OTD48" s="149"/>
      <c r="OTE48" s="149"/>
      <c r="OTF48" s="149"/>
      <c r="OTG48" s="149"/>
      <c r="OTH48" s="149"/>
      <c r="OTI48" s="149"/>
      <c r="OTJ48" s="149"/>
      <c r="OTK48" s="149"/>
      <c r="OTL48" s="149"/>
      <c r="OTM48" s="149"/>
      <c r="OTN48" s="149"/>
      <c r="OTO48" s="149"/>
      <c r="OTP48" s="149"/>
      <c r="OTQ48" s="149"/>
      <c r="OTR48" s="149"/>
      <c r="OTS48" s="149"/>
      <c r="OTT48" s="149"/>
      <c r="OTU48" s="149"/>
      <c r="OTV48" s="149"/>
      <c r="OTW48" s="149"/>
      <c r="OTX48" s="149"/>
      <c r="OTY48" s="149"/>
      <c r="OTZ48" s="149"/>
      <c r="OUA48" s="149"/>
      <c r="OUB48" s="149"/>
      <c r="OUC48" s="149"/>
      <c r="OUD48" s="149"/>
      <c r="OUE48" s="149"/>
      <c r="OUF48" s="149"/>
      <c r="OUG48" s="149"/>
      <c r="OUH48" s="149"/>
      <c r="OUI48" s="149"/>
      <c r="OUJ48" s="149"/>
      <c r="OUK48" s="149"/>
      <c r="OUL48" s="149"/>
      <c r="OUM48" s="149"/>
      <c r="OUN48" s="149"/>
      <c r="OUO48" s="149"/>
      <c r="OUP48" s="149"/>
      <c r="OUQ48" s="149"/>
      <c r="OUR48" s="149"/>
      <c r="OUS48" s="149"/>
      <c r="OUT48" s="149"/>
      <c r="OUU48" s="149"/>
      <c r="OUV48" s="149"/>
      <c r="OUW48" s="149"/>
      <c r="OUX48" s="149"/>
      <c r="OUY48" s="149"/>
      <c r="OUZ48" s="149"/>
      <c r="OVA48" s="149"/>
      <c r="OVB48" s="149"/>
      <c r="OVC48" s="149"/>
      <c r="OVD48" s="149"/>
      <c r="OVE48" s="149"/>
      <c r="OVF48" s="149"/>
      <c r="OVG48" s="149"/>
      <c r="OVH48" s="149"/>
      <c r="OVI48" s="149"/>
      <c r="OVJ48" s="149"/>
      <c r="OVK48" s="149"/>
      <c r="OVL48" s="149"/>
      <c r="OVM48" s="149"/>
      <c r="OVN48" s="149"/>
      <c r="OVO48" s="149"/>
      <c r="OVP48" s="149"/>
      <c r="OVQ48" s="149"/>
      <c r="OVR48" s="149"/>
      <c r="OVS48" s="149"/>
      <c r="OVT48" s="149"/>
      <c r="OVU48" s="149"/>
      <c r="OVV48" s="149"/>
      <c r="OVW48" s="149"/>
      <c r="OVX48" s="149"/>
      <c r="OVY48" s="149"/>
      <c r="OVZ48" s="149"/>
      <c r="OWA48" s="149"/>
      <c r="OWB48" s="149"/>
      <c r="OWC48" s="149"/>
      <c r="OWD48" s="149"/>
      <c r="OWE48" s="149"/>
      <c r="OWF48" s="149"/>
      <c r="OWG48" s="149"/>
      <c r="OWH48" s="149"/>
      <c r="OWI48" s="149"/>
      <c r="OWJ48" s="149"/>
      <c r="OWK48" s="149"/>
      <c r="OWL48" s="149"/>
      <c r="OWM48" s="149"/>
      <c r="OWN48" s="149"/>
      <c r="OWO48" s="149"/>
      <c r="OWP48" s="149"/>
      <c r="OWQ48" s="149"/>
      <c r="OWR48" s="149"/>
      <c r="OWS48" s="149"/>
      <c r="OWT48" s="149"/>
      <c r="OWU48" s="149"/>
      <c r="OWV48" s="149"/>
      <c r="OWW48" s="149"/>
      <c r="OWX48" s="149"/>
      <c r="OWY48" s="149"/>
      <c r="OWZ48" s="149"/>
      <c r="OXA48" s="149"/>
      <c r="OXB48" s="149"/>
      <c r="OXC48" s="149"/>
      <c r="OXD48" s="149"/>
      <c r="OXE48" s="149"/>
      <c r="OXF48" s="149"/>
      <c r="OXG48" s="149"/>
      <c r="OXH48" s="149"/>
      <c r="OXI48" s="149"/>
      <c r="OXJ48" s="149"/>
      <c r="OXK48" s="149"/>
      <c r="OXL48" s="149"/>
      <c r="OXM48" s="149"/>
      <c r="OXN48" s="149"/>
      <c r="OXO48" s="149"/>
      <c r="OXP48" s="149"/>
      <c r="OXQ48" s="149"/>
      <c r="OXR48" s="149"/>
      <c r="OXS48" s="149"/>
      <c r="OXT48" s="149"/>
      <c r="OXU48" s="149"/>
      <c r="OXV48" s="149"/>
      <c r="OXW48" s="149"/>
      <c r="OXX48" s="149"/>
      <c r="OXY48" s="149"/>
      <c r="OXZ48" s="149"/>
      <c r="OYA48" s="149"/>
      <c r="OYB48" s="149"/>
      <c r="OYC48" s="149"/>
      <c r="OYD48" s="149"/>
      <c r="OYE48" s="149"/>
      <c r="OYF48" s="149"/>
      <c r="OYG48" s="149"/>
      <c r="OYH48" s="149"/>
      <c r="OYI48" s="149"/>
      <c r="OYJ48" s="149"/>
      <c r="OYK48" s="149"/>
      <c r="OYL48" s="149"/>
      <c r="OYM48" s="149"/>
      <c r="OYN48" s="149"/>
      <c r="OYO48" s="149"/>
      <c r="OYP48" s="149"/>
      <c r="OYQ48" s="149"/>
      <c r="OYR48" s="149"/>
      <c r="OYS48" s="149"/>
      <c r="OYT48" s="149"/>
      <c r="OYU48" s="149"/>
      <c r="OYV48" s="149"/>
      <c r="OYW48" s="149"/>
      <c r="OYX48" s="149"/>
      <c r="OYY48" s="149"/>
      <c r="OYZ48" s="149"/>
      <c r="OZA48" s="149"/>
      <c r="OZB48" s="149"/>
      <c r="OZC48" s="149"/>
      <c r="OZD48" s="149"/>
      <c r="OZE48" s="149"/>
      <c r="OZF48" s="149"/>
      <c r="OZG48" s="149"/>
      <c r="OZH48" s="149"/>
      <c r="OZI48" s="149"/>
      <c r="OZJ48" s="149"/>
      <c r="OZK48" s="149"/>
      <c r="OZL48" s="149"/>
      <c r="OZM48" s="149"/>
      <c r="OZN48" s="149"/>
      <c r="OZO48" s="149"/>
      <c r="OZP48" s="149"/>
      <c r="OZQ48" s="149"/>
      <c r="OZR48" s="149"/>
      <c r="OZS48" s="149"/>
      <c r="OZT48" s="149"/>
      <c r="OZU48" s="149"/>
      <c r="OZV48" s="149"/>
      <c r="OZW48" s="149"/>
      <c r="OZX48" s="149"/>
      <c r="OZY48" s="149"/>
      <c r="OZZ48" s="149"/>
      <c r="PAA48" s="149"/>
      <c r="PAB48" s="149"/>
      <c r="PAC48" s="149"/>
      <c r="PAD48" s="149"/>
      <c r="PAE48" s="149"/>
      <c r="PAF48" s="149"/>
      <c r="PAG48" s="149"/>
      <c r="PAH48" s="149"/>
      <c r="PAI48" s="149"/>
      <c r="PAJ48" s="149"/>
      <c r="PAK48" s="149"/>
      <c r="PAL48" s="149"/>
      <c r="PAM48" s="149"/>
      <c r="PAN48" s="149"/>
      <c r="PAO48" s="149"/>
      <c r="PAP48" s="149"/>
      <c r="PAQ48" s="149"/>
      <c r="PAR48" s="149"/>
      <c r="PAS48" s="149"/>
      <c r="PAT48" s="149"/>
      <c r="PAU48" s="149"/>
      <c r="PAV48" s="149"/>
      <c r="PAW48" s="149"/>
      <c r="PAX48" s="149"/>
      <c r="PAY48" s="149"/>
      <c r="PAZ48" s="149"/>
      <c r="PBA48" s="149"/>
      <c r="PBB48" s="149"/>
      <c r="PBC48" s="149"/>
      <c r="PBD48" s="149"/>
      <c r="PBE48" s="149"/>
      <c r="PBF48" s="149"/>
      <c r="PBG48" s="149"/>
      <c r="PBH48" s="149"/>
      <c r="PBI48" s="149"/>
      <c r="PBJ48" s="149"/>
      <c r="PBK48" s="149"/>
      <c r="PBL48" s="149"/>
      <c r="PBM48" s="149"/>
      <c r="PBN48" s="149"/>
      <c r="PBO48" s="149"/>
      <c r="PBP48" s="149"/>
      <c r="PBQ48" s="149"/>
      <c r="PBR48" s="149"/>
      <c r="PBS48" s="149"/>
      <c r="PBT48" s="149"/>
      <c r="PBU48" s="149"/>
      <c r="PBV48" s="149"/>
      <c r="PBW48" s="149"/>
      <c r="PBX48" s="149"/>
      <c r="PBY48" s="149"/>
      <c r="PBZ48" s="149"/>
      <c r="PCA48" s="149"/>
      <c r="PCB48" s="149"/>
      <c r="PCC48" s="149"/>
      <c r="PCD48" s="149"/>
      <c r="PCE48" s="149"/>
      <c r="PCF48" s="149"/>
      <c r="PCG48" s="149"/>
      <c r="PCH48" s="149"/>
      <c r="PCI48" s="149"/>
      <c r="PCJ48" s="149"/>
      <c r="PCK48" s="149"/>
      <c r="PCL48" s="149"/>
      <c r="PCM48" s="149"/>
      <c r="PCN48" s="149"/>
      <c r="PCO48" s="149"/>
      <c r="PCP48" s="149"/>
      <c r="PCQ48" s="149"/>
      <c r="PCR48" s="149"/>
      <c r="PCS48" s="149"/>
      <c r="PCT48" s="149"/>
      <c r="PCU48" s="149"/>
      <c r="PCV48" s="149"/>
      <c r="PCW48" s="149"/>
      <c r="PCX48" s="149"/>
      <c r="PCY48" s="149"/>
      <c r="PCZ48" s="149"/>
      <c r="PDA48" s="149"/>
      <c r="PDB48" s="149"/>
      <c r="PDC48" s="149"/>
      <c r="PDD48" s="149"/>
      <c r="PDE48" s="149"/>
      <c r="PDF48" s="149"/>
      <c r="PDG48" s="149"/>
      <c r="PDH48" s="149"/>
      <c r="PDI48" s="149"/>
      <c r="PDJ48" s="149"/>
      <c r="PDK48" s="149"/>
      <c r="PDL48" s="149"/>
      <c r="PDM48" s="149"/>
      <c r="PDN48" s="149"/>
      <c r="PDO48" s="149"/>
      <c r="PDP48" s="149"/>
      <c r="PDQ48" s="149"/>
      <c r="PDR48" s="149"/>
      <c r="PDS48" s="149"/>
      <c r="PDT48" s="149"/>
      <c r="PDU48" s="149"/>
      <c r="PDV48" s="149"/>
      <c r="PDW48" s="149"/>
      <c r="PDX48" s="149"/>
      <c r="PDY48" s="149"/>
      <c r="PDZ48" s="149"/>
      <c r="PEA48" s="149"/>
      <c r="PEB48" s="149"/>
      <c r="PEC48" s="149"/>
      <c r="PED48" s="149"/>
      <c r="PEE48" s="149"/>
      <c r="PEF48" s="149"/>
      <c r="PEG48" s="149"/>
      <c r="PEH48" s="149"/>
      <c r="PEI48" s="149"/>
      <c r="PEJ48" s="149"/>
      <c r="PEK48" s="149"/>
      <c r="PEL48" s="149"/>
      <c r="PEM48" s="149"/>
      <c r="PEN48" s="149"/>
      <c r="PEO48" s="149"/>
      <c r="PEP48" s="149"/>
      <c r="PEQ48" s="149"/>
      <c r="PER48" s="149"/>
      <c r="PES48" s="149"/>
      <c r="PET48" s="149"/>
      <c r="PEU48" s="149"/>
      <c r="PEV48" s="149"/>
      <c r="PEW48" s="149"/>
      <c r="PEX48" s="149"/>
      <c r="PEY48" s="149"/>
      <c r="PEZ48" s="149"/>
      <c r="PFA48" s="149"/>
      <c r="PFB48" s="149"/>
      <c r="PFC48" s="149"/>
      <c r="PFD48" s="149"/>
      <c r="PFE48" s="149"/>
      <c r="PFF48" s="149"/>
      <c r="PFG48" s="149"/>
      <c r="PFH48" s="149"/>
      <c r="PFI48" s="149"/>
      <c r="PFJ48" s="149"/>
      <c r="PFK48" s="149"/>
      <c r="PFL48" s="149"/>
      <c r="PFM48" s="149"/>
      <c r="PFN48" s="149"/>
      <c r="PFO48" s="149"/>
      <c r="PFP48" s="149"/>
      <c r="PFQ48" s="149"/>
      <c r="PFR48" s="149"/>
      <c r="PFS48" s="149"/>
      <c r="PFT48" s="149"/>
      <c r="PFU48" s="149"/>
      <c r="PFV48" s="149"/>
      <c r="PFW48" s="149"/>
      <c r="PFX48" s="149"/>
      <c r="PFY48" s="149"/>
      <c r="PFZ48" s="149"/>
      <c r="PGA48" s="149"/>
      <c r="PGB48" s="149"/>
      <c r="PGC48" s="149"/>
      <c r="PGD48" s="149"/>
      <c r="PGE48" s="149"/>
      <c r="PGF48" s="149"/>
      <c r="PGG48" s="149"/>
      <c r="PGH48" s="149"/>
      <c r="PGI48" s="149"/>
      <c r="PGJ48" s="149"/>
      <c r="PGK48" s="149"/>
      <c r="PGL48" s="149"/>
      <c r="PGM48" s="149"/>
      <c r="PGN48" s="149"/>
      <c r="PGO48" s="149"/>
      <c r="PGP48" s="149"/>
      <c r="PGQ48" s="149"/>
      <c r="PGR48" s="149"/>
      <c r="PGS48" s="149"/>
      <c r="PGT48" s="149"/>
      <c r="PGU48" s="149"/>
      <c r="PGV48" s="149"/>
      <c r="PGW48" s="149"/>
      <c r="PGX48" s="149"/>
      <c r="PGY48" s="149"/>
      <c r="PGZ48" s="149"/>
      <c r="PHA48" s="149"/>
      <c r="PHB48" s="149"/>
      <c r="PHC48" s="149"/>
      <c r="PHD48" s="149"/>
      <c r="PHE48" s="149"/>
      <c r="PHF48" s="149"/>
      <c r="PHG48" s="149"/>
      <c r="PHH48" s="149"/>
      <c r="PHI48" s="149"/>
      <c r="PHJ48" s="149"/>
      <c r="PHK48" s="149"/>
      <c r="PHL48" s="149"/>
      <c r="PHM48" s="149"/>
      <c r="PHN48" s="149"/>
      <c r="PHO48" s="149"/>
      <c r="PHP48" s="149"/>
      <c r="PHQ48" s="149"/>
      <c r="PHR48" s="149"/>
      <c r="PHS48" s="149"/>
      <c r="PHT48" s="149"/>
      <c r="PHU48" s="149"/>
      <c r="PHV48" s="149"/>
      <c r="PHW48" s="149"/>
      <c r="PHX48" s="149"/>
      <c r="PHY48" s="149"/>
      <c r="PHZ48" s="149"/>
      <c r="PIA48" s="149"/>
      <c r="PIB48" s="149"/>
      <c r="PIC48" s="149"/>
      <c r="PID48" s="149"/>
      <c r="PIE48" s="149"/>
      <c r="PIF48" s="149"/>
      <c r="PIG48" s="149"/>
      <c r="PIH48" s="149"/>
      <c r="PII48" s="149"/>
      <c r="PIJ48" s="149"/>
      <c r="PIK48" s="149"/>
      <c r="PIL48" s="149"/>
      <c r="PIM48" s="149"/>
      <c r="PIN48" s="149"/>
      <c r="PIO48" s="149"/>
      <c r="PIP48" s="149"/>
      <c r="PIQ48" s="149"/>
      <c r="PIR48" s="149"/>
      <c r="PIS48" s="149"/>
      <c r="PIT48" s="149"/>
      <c r="PIU48" s="149"/>
      <c r="PIV48" s="149"/>
      <c r="PIW48" s="149"/>
      <c r="PIX48" s="149"/>
      <c r="PIY48" s="149"/>
      <c r="PIZ48" s="149"/>
      <c r="PJA48" s="149"/>
      <c r="PJB48" s="149"/>
      <c r="PJC48" s="149"/>
      <c r="PJD48" s="149"/>
      <c r="PJE48" s="149"/>
      <c r="PJF48" s="149"/>
      <c r="PJG48" s="149"/>
      <c r="PJH48" s="149"/>
      <c r="PJI48" s="149"/>
      <c r="PJJ48" s="149"/>
      <c r="PJK48" s="149"/>
      <c r="PJL48" s="149"/>
      <c r="PJM48" s="149"/>
      <c r="PJN48" s="149"/>
      <c r="PJO48" s="149"/>
      <c r="PJP48" s="149"/>
      <c r="PJQ48" s="149"/>
      <c r="PJR48" s="149"/>
      <c r="PJS48" s="149"/>
      <c r="PJT48" s="149"/>
      <c r="PJU48" s="149"/>
      <c r="PJV48" s="149"/>
      <c r="PJW48" s="149"/>
      <c r="PJX48" s="149"/>
      <c r="PJY48" s="149"/>
      <c r="PJZ48" s="149"/>
      <c r="PKA48" s="149"/>
      <c r="PKB48" s="149"/>
      <c r="PKC48" s="149"/>
      <c r="PKD48" s="149"/>
      <c r="PKE48" s="149"/>
      <c r="PKF48" s="149"/>
      <c r="PKG48" s="149"/>
      <c r="PKH48" s="149"/>
      <c r="PKI48" s="149"/>
      <c r="PKJ48" s="149"/>
      <c r="PKK48" s="149"/>
      <c r="PKL48" s="149"/>
      <c r="PKM48" s="149"/>
      <c r="PKN48" s="149"/>
      <c r="PKO48" s="149"/>
      <c r="PKP48" s="149"/>
      <c r="PKQ48" s="149"/>
      <c r="PKR48" s="149"/>
      <c r="PKS48" s="149"/>
      <c r="PKT48" s="149"/>
      <c r="PKU48" s="149"/>
      <c r="PKV48" s="149"/>
      <c r="PKW48" s="149"/>
      <c r="PKX48" s="149"/>
      <c r="PKY48" s="149"/>
      <c r="PKZ48" s="149"/>
      <c r="PLA48" s="149"/>
      <c r="PLB48" s="149"/>
      <c r="PLC48" s="149"/>
      <c r="PLD48" s="149"/>
      <c r="PLE48" s="149"/>
      <c r="PLF48" s="149"/>
      <c r="PLG48" s="149"/>
      <c r="PLH48" s="149"/>
      <c r="PLI48" s="149"/>
      <c r="PLJ48" s="149"/>
      <c r="PLK48" s="149"/>
      <c r="PLL48" s="149"/>
      <c r="PLM48" s="149"/>
      <c r="PLN48" s="149"/>
      <c r="PLO48" s="149"/>
      <c r="PLP48" s="149"/>
      <c r="PLQ48" s="149"/>
      <c r="PLR48" s="149"/>
      <c r="PLS48" s="149"/>
      <c r="PLT48" s="149"/>
      <c r="PLU48" s="149"/>
      <c r="PLV48" s="149"/>
      <c r="PLW48" s="149"/>
      <c r="PLX48" s="149"/>
      <c r="PLY48" s="149"/>
      <c r="PLZ48" s="149"/>
      <c r="PMA48" s="149"/>
      <c r="PMB48" s="149"/>
      <c r="PMC48" s="149"/>
      <c r="PMD48" s="149"/>
      <c r="PME48" s="149"/>
      <c r="PMF48" s="149"/>
      <c r="PMG48" s="149"/>
      <c r="PMH48" s="149"/>
      <c r="PMI48" s="149"/>
      <c r="PMJ48" s="149"/>
      <c r="PMK48" s="149"/>
      <c r="PML48" s="149"/>
      <c r="PMM48" s="149"/>
      <c r="PMN48" s="149"/>
      <c r="PMO48" s="149"/>
      <c r="PMP48" s="149"/>
      <c r="PMQ48" s="149"/>
      <c r="PMR48" s="149"/>
      <c r="PMS48" s="149"/>
      <c r="PMT48" s="149"/>
      <c r="PMU48" s="149"/>
      <c r="PMV48" s="149"/>
      <c r="PMW48" s="149"/>
      <c r="PMX48" s="149"/>
      <c r="PMY48" s="149"/>
      <c r="PMZ48" s="149"/>
      <c r="PNA48" s="149"/>
      <c r="PNB48" s="149"/>
      <c r="PNC48" s="149"/>
      <c r="PND48" s="149"/>
      <c r="PNE48" s="149"/>
      <c r="PNF48" s="149"/>
      <c r="PNG48" s="149"/>
      <c r="PNH48" s="149"/>
      <c r="PNI48" s="149"/>
      <c r="PNJ48" s="149"/>
      <c r="PNK48" s="149"/>
      <c r="PNL48" s="149"/>
      <c r="PNM48" s="149"/>
      <c r="PNN48" s="149"/>
      <c r="PNO48" s="149"/>
      <c r="PNP48" s="149"/>
      <c r="PNQ48" s="149"/>
      <c r="PNR48" s="149"/>
      <c r="PNS48" s="149"/>
      <c r="PNT48" s="149"/>
      <c r="PNU48" s="149"/>
      <c r="PNV48" s="149"/>
      <c r="PNW48" s="149"/>
      <c r="PNX48" s="149"/>
      <c r="PNY48" s="149"/>
      <c r="PNZ48" s="149"/>
      <c r="POA48" s="149"/>
      <c r="POB48" s="149"/>
      <c r="POC48" s="149"/>
      <c r="POD48" s="149"/>
      <c r="POE48" s="149"/>
      <c r="POF48" s="149"/>
      <c r="POG48" s="149"/>
      <c r="POH48" s="149"/>
      <c r="POI48" s="149"/>
      <c r="POJ48" s="149"/>
      <c r="POK48" s="149"/>
      <c r="POL48" s="149"/>
      <c r="POM48" s="149"/>
      <c r="PON48" s="149"/>
      <c r="POO48" s="149"/>
      <c r="POP48" s="149"/>
      <c r="POQ48" s="149"/>
      <c r="POR48" s="149"/>
      <c r="POS48" s="149"/>
      <c r="POT48" s="149"/>
      <c r="POU48" s="149"/>
      <c r="POV48" s="149"/>
      <c r="POW48" s="149"/>
      <c r="POX48" s="149"/>
      <c r="POY48" s="149"/>
      <c r="POZ48" s="149"/>
      <c r="PPA48" s="149"/>
      <c r="PPB48" s="149"/>
      <c r="PPC48" s="149"/>
      <c r="PPD48" s="149"/>
      <c r="PPE48" s="149"/>
      <c r="PPF48" s="149"/>
      <c r="PPG48" s="149"/>
      <c r="PPH48" s="149"/>
      <c r="PPI48" s="149"/>
      <c r="PPJ48" s="149"/>
      <c r="PPK48" s="149"/>
      <c r="PPL48" s="149"/>
      <c r="PPM48" s="149"/>
      <c r="PPN48" s="149"/>
      <c r="PPO48" s="149"/>
      <c r="PPP48" s="149"/>
      <c r="PPQ48" s="149"/>
      <c r="PPR48" s="149"/>
      <c r="PPS48" s="149"/>
      <c r="PPT48" s="149"/>
      <c r="PPU48" s="149"/>
      <c r="PPV48" s="149"/>
      <c r="PPW48" s="149"/>
      <c r="PPX48" s="149"/>
      <c r="PPY48" s="149"/>
      <c r="PPZ48" s="149"/>
      <c r="PQA48" s="149"/>
      <c r="PQB48" s="149"/>
      <c r="PQC48" s="149"/>
      <c r="PQD48" s="149"/>
      <c r="PQE48" s="149"/>
      <c r="PQF48" s="149"/>
      <c r="PQG48" s="149"/>
      <c r="PQH48" s="149"/>
      <c r="PQI48" s="149"/>
      <c r="PQJ48" s="149"/>
      <c r="PQK48" s="149"/>
      <c r="PQL48" s="149"/>
      <c r="PQM48" s="149"/>
      <c r="PQN48" s="149"/>
      <c r="PQO48" s="149"/>
      <c r="PQP48" s="149"/>
      <c r="PQQ48" s="149"/>
      <c r="PQR48" s="149"/>
      <c r="PQS48" s="149"/>
      <c r="PQT48" s="149"/>
      <c r="PQU48" s="149"/>
      <c r="PQV48" s="149"/>
      <c r="PQW48" s="149"/>
      <c r="PQX48" s="149"/>
      <c r="PQY48" s="149"/>
      <c r="PQZ48" s="149"/>
      <c r="PRA48" s="149"/>
      <c r="PRB48" s="149"/>
      <c r="PRC48" s="149"/>
      <c r="PRD48" s="149"/>
      <c r="PRE48" s="149"/>
      <c r="PRF48" s="149"/>
      <c r="PRG48" s="149"/>
      <c r="PRH48" s="149"/>
      <c r="PRI48" s="149"/>
      <c r="PRJ48" s="149"/>
      <c r="PRK48" s="149"/>
      <c r="PRL48" s="149"/>
      <c r="PRM48" s="149"/>
      <c r="PRN48" s="149"/>
      <c r="PRO48" s="149"/>
      <c r="PRP48" s="149"/>
      <c r="PRQ48" s="149"/>
      <c r="PRR48" s="149"/>
      <c r="PRS48" s="149"/>
      <c r="PRT48" s="149"/>
      <c r="PRU48" s="149"/>
      <c r="PRV48" s="149"/>
      <c r="PRW48" s="149"/>
      <c r="PRX48" s="149"/>
      <c r="PRY48" s="149"/>
      <c r="PRZ48" s="149"/>
      <c r="PSA48" s="149"/>
      <c r="PSB48" s="149"/>
      <c r="PSC48" s="149"/>
      <c r="PSD48" s="149"/>
      <c r="PSE48" s="149"/>
      <c r="PSF48" s="149"/>
      <c r="PSG48" s="149"/>
      <c r="PSH48" s="149"/>
      <c r="PSI48" s="149"/>
      <c r="PSJ48" s="149"/>
      <c r="PSK48" s="149"/>
      <c r="PSL48" s="149"/>
      <c r="PSM48" s="149"/>
      <c r="PSN48" s="149"/>
      <c r="PSO48" s="149"/>
      <c r="PSP48" s="149"/>
      <c r="PSQ48" s="149"/>
      <c r="PSR48" s="149"/>
      <c r="PSS48" s="149"/>
      <c r="PST48" s="149"/>
      <c r="PSU48" s="149"/>
      <c r="PSV48" s="149"/>
      <c r="PSW48" s="149"/>
      <c r="PSX48" s="149"/>
      <c r="PSY48" s="149"/>
      <c r="PSZ48" s="149"/>
      <c r="PTA48" s="149"/>
      <c r="PTB48" s="149"/>
      <c r="PTC48" s="149"/>
      <c r="PTD48" s="149"/>
      <c r="PTE48" s="149"/>
      <c r="PTF48" s="149"/>
      <c r="PTG48" s="149"/>
      <c r="PTH48" s="149"/>
      <c r="PTI48" s="149"/>
      <c r="PTJ48" s="149"/>
      <c r="PTK48" s="149"/>
      <c r="PTL48" s="149"/>
      <c r="PTM48" s="149"/>
      <c r="PTN48" s="149"/>
      <c r="PTO48" s="149"/>
      <c r="PTP48" s="149"/>
      <c r="PTQ48" s="149"/>
      <c r="PTR48" s="149"/>
      <c r="PTS48" s="149"/>
      <c r="PTT48" s="149"/>
      <c r="PTU48" s="149"/>
      <c r="PTV48" s="149"/>
      <c r="PTW48" s="149"/>
      <c r="PTX48" s="149"/>
      <c r="PTY48" s="149"/>
      <c r="PTZ48" s="149"/>
      <c r="PUA48" s="149"/>
      <c r="PUB48" s="149"/>
      <c r="PUC48" s="149"/>
      <c r="PUD48" s="149"/>
      <c r="PUE48" s="149"/>
      <c r="PUF48" s="149"/>
      <c r="PUG48" s="149"/>
      <c r="PUH48" s="149"/>
      <c r="PUI48" s="149"/>
      <c r="PUJ48" s="149"/>
      <c r="PUK48" s="149"/>
      <c r="PUL48" s="149"/>
      <c r="PUM48" s="149"/>
      <c r="PUN48" s="149"/>
      <c r="PUO48" s="149"/>
      <c r="PUP48" s="149"/>
      <c r="PUQ48" s="149"/>
      <c r="PUR48" s="149"/>
      <c r="PUS48" s="149"/>
      <c r="PUT48" s="149"/>
      <c r="PUU48" s="149"/>
      <c r="PUV48" s="149"/>
      <c r="PUW48" s="149"/>
      <c r="PUX48" s="149"/>
      <c r="PUY48" s="149"/>
      <c r="PUZ48" s="149"/>
      <c r="PVA48" s="149"/>
      <c r="PVB48" s="149"/>
      <c r="PVC48" s="149"/>
      <c r="PVD48" s="149"/>
      <c r="PVE48" s="149"/>
      <c r="PVF48" s="149"/>
      <c r="PVG48" s="149"/>
      <c r="PVH48" s="149"/>
      <c r="PVI48" s="149"/>
      <c r="PVJ48" s="149"/>
      <c r="PVK48" s="149"/>
      <c r="PVL48" s="149"/>
      <c r="PVM48" s="149"/>
      <c r="PVN48" s="149"/>
      <c r="PVO48" s="149"/>
      <c r="PVP48" s="149"/>
      <c r="PVQ48" s="149"/>
      <c r="PVR48" s="149"/>
      <c r="PVS48" s="149"/>
      <c r="PVT48" s="149"/>
      <c r="PVU48" s="149"/>
      <c r="PVV48" s="149"/>
      <c r="PVW48" s="149"/>
      <c r="PVX48" s="149"/>
      <c r="PVY48" s="149"/>
      <c r="PVZ48" s="149"/>
      <c r="PWA48" s="149"/>
      <c r="PWB48" s="149"/>
      <c r="PWC48" s="149"/>
      <c r="PWD48" s="149"/>
      <c r="PWE48" s="149"/>
      <c r="PWF48" s="149"/>
      <c r="PWG48" s="149"/>
      <c r="PWH48" s="149"/>
      <c r="PWI48" s="149"/>
      <c r="PWJ48" s="149"/>
      <c r="PWK48" s="149"/>
      <c r="PWL48" s="149"/>
      <c r="PWM48" s="149"/>
      <c r="PWN48" s="149"/>
      <c r="PWO48" s="149"/>
      <c r="PWP48" s="149"/>
      <c r="PWQ48" s="149"/>
      <c r="PWR48" s="149"/>
      <c r="PWS48" s="149"/>
      <c r="PWT48" s="149"/>
      <c r="PWU48" s="149"/>
      <c r="PWV48" s="149"/>
      <c r="PWW48" s="149"/>
      <c r="PWX48" s="149"/>
      <c r="PWY48" s="149"/>
      <c r="PWZ48" s="149"/>
      <c r="PXA48" s="149"/>
      <c r="PXB48" s="149"/>
      <c r="PXC48" s="149"/>
      <c r="PXD48" s="149"/>
      <c r="PXE48" s="149"/>
      <c r="PXF48" s="149"/>
      <c r="PXG48" s="149"/>
      <c r="PXH48" s="149"/>
      <c r="PXI48" s="149"/>
      <c r="PXJ48" s="149"/>
      <c r="PXK48" s="149"/>
      <c r="PXL48" s="149"/>
      <c r="PXM48" s="149"/>
      <c r="PXN48" s="149"/>
      <c r="PXO48" s="149"/>
      <c r="PXP48" s="149"/>
      <c r="PXQ48" s="149"/>
      <c r="PXR48" s="149"/>
      <c r="PXS48" s="149"/>
      <c r="PXT48" s="149"/>
      <c r="PXU48" s="149"/>
      <c r="PXV48" s="149"/>
      <c r="PXW48" s="149"/>
      <c r="PXX48" s="149"/>
      <c r="PXY48" s="149"/>
      <c r="PXZ48" s="149"/>
      <c r="PYA48" s="149"/>
      <c r="PYB48" s="149"/>
      <c r="PYC48" s="149"/>
      <c r="PYD48" s="149"/>
      <c r="PYE48" s="149"/>
      <c r="PYF48" s="149"/>
      <c r="PYG48" s="149"/>
      <c r="PYH48" s="149"/>
      <c r="PYI48" s="149"/>
      <c r="PYJ48" s="149"/>
      <c r="PYK48" s="149"/>
      <c r="PYL48" s="149"/>
      <c r="PYM48" s="149"/>
      <c r="PYN48" s="149"/>
      <c r="PYO48" s="149"/>
      <c r="PYP48" s="149"/>
      <c r="PYQ48" s="149"/>
      <c r="PYR48" s="149"/>
      <c r="PYS48" s="149"/>
      <c r="PYT48" s="149"/>
      <c r="PYU48" s="149"/>
      <c r="PYV48" s="149"/>
      <c r="PYW48" s="149"/>
      <c r="PYX48" s="149"/>
      <c r="PYY48" s="149"/>
      <c r="PYZ48" s="149"/>
      <c r="PZA48" s="149"/>
      <c r="PZB48" s="149"/>
      <c r="PZC48" s="149"/>
      <c r="PZD48" s="149"/>
      <c r="PZE48" s="149"/>
      <c r="PZF48" s="149"/>
      <c r="PZG48" s="149"/>
      <c r="PZH48" s="149"/>
      <c r="PZI48" s="149"/>
      <c r="PZJ48" s="149"/>
      <c r="PZK48" s="149"/>
      <c r="PZL48" s="149"/>
      <c r="PZM48" s="149"/>
      <c r="PZN48" s="149"/>
      <c r="PZO48" s="149"/>
      <c r="PZP48" s="149"/>
      <c r="PZQ48" s="149"/>
      <c r="PZR48" s="149"/>
      <c r="PZS48" s="149"/>
      <c r="PZT48" s="149"/>
      <c r="PZU48" s="149"/>
      <c r="PZV48" s="149"/>
      <c r="PZW48" s="149"/>
      <c r="PZX48" s="149"/>
      <c r="PZY48" s="149"/>
      <c r="PZZ48" s="149"/>
      <c r="QAA48" s="149"/>
      <c r="QAB48" s="149"/>
      <c r="QAC48" s="149"/>
      <c r="QAD48" s="149"/>
      <c r="QAE48" s="149"/>
      <c r="QAF48" s="149"/>
      <c r="QAG48" s="149"/>
      <c r="QAH48" s="149"/>
      <c r="QAI48" s="149"/>
      <c r="QAJ48" s="149"/>
      <c r="QAK48" s="149"/>
      <c r="QAL48" s="149"/>
      <c r="QAM48" s="149"/>
      <c r="QAN48" s="149"/>
      <c r="QAO48" s="149"/>
      <c r="QAP48" s="149"/>
      <c r="QAQ48" s="149"/>
      <c r="QAR48" s="149"/>
      <c r="QAS48" s="149"/>
      <c r="QAT48" s="149"/>
      <c r="QAU48" s="149"/>
      <c r="QAV48" s="149"/>
      <c r="QAW48" s="149"/>
      <c r="QAX48" s="149"/>
      <c r="QAY48" s="149"/>
      <c r="QAZ48" s="149"/>
      <c r="QBA48" s="149"/>
      <c r="QBB48" s="149"/>
      <c r="QBC48" s="149"/>
      <c r="QBD48" s="149"/>
      <c r="QBE48" s="149"/>
      <c r="QBF48" s="149"/>
      <c r="QBG48" s="149"/>
      <c r="QBH48" s="149"/>
      <c r="QBI48" s="149"/>
      <c r="QBJ48" s="149"/>
      <c r="QBK48" s="149"/>
      <c r="QBL48" s="149"/>
      <c r="QBM48" s="149"/>
      <c r="QBN48" s="149"/>
      <c r="QBO48" s="149"/>
      <c r="QBP48" s="149"/>
      <c r="QBQ48" s="149"/>
      <c r="QBR48" s="149"/>
      <c r="QBS48" s="149"/>
      <c r="QBT48" s="149"/>
      <c r="QBU48" s="149"/>
      <c r="QBV48" s="149"/>
      <c r="QBW48" s="149"/>
      <c r="QBX48" s="149"/>
      <c r="QBY48" s="149"/>
      <c r="QBZ48" s="149"/>
      <c r="QCA48" s="149"/>
      <c r="QCB48" s="149"/>
      <c r="QCC48" s="149"/>
      <c r="QCD48" s="149"/>
      <c r="QCE48" s="149"/>
      <c r="QCF48" s="149"/>
      <c r="QCG48" s="149"/>
      <c r="QCH48" s="149"/>
      <c r="QCI48" s="149"/>
      <c r="QCJ48" s="149"/>
      <c r="QCK48" s="149"/>
      <c r="QCL48" s="149"/>
      <c r="QCM48" s="149"/>
      <c r="QCN48" s="149"/>
      <c r="QCO48" s="149"/>
      <c r="QCP48" s="149"/>
      <c r="QCQ48" s="149"/>
      <c r="QCR48" s="149"/>
      <c r="QCS48" s="149"/>
      <c r="QCT48" s="149"/>
      <c r="QCU48" s="149"/>
      <c r="QCV48" s="149"/>
      <c r="QCW48" s="149"/>
      <c r="QCX48" s="149"/>
      <c r="QCY48" s="149"/>
      <c r="QCZ48" s="149"/>
      <c r="QDA48" s="149"/>
      <c r="QDB48" s="149"/>
      <c r="QDC48" s="149"/>
      <c r="QDD48" s="149"/>
      <c r="QDE48" s="149"/>
      <c r="QDF48" s="149"/>
      <c r="QDG48" s="149"/>
      <c r="QDH48" s="149"/>
      <c r="QDI48" s="149"/>
      <c r="QDJ48" s="149"/>
      <c r="QDK48" s="149"/>
      <c r="QDL48" s="149"/>
      <c r="QDM48" s="149"/>
      <c r="QDN48" s="149"/>
      <c r="QDO48" s="149"/>
      <c r="QDP48" s="149"/>
      <c r="QDQ48" s="149"/>
      <c r="QDR48" s="149"/>
      <c r="QDS48" s="149"/>
      <c r="QDT48" s="149"/>
      <c r="QDU48" s="149"/>
      <c r="QDV48" s="149"/>
      <c r="QDW48" s="149"/>
      <c r="QDX48" s="149"/>
      <c r="QDY48" s="149"/>
      <c r="QDZ48" s="149"/>
      <c r="QEA48" s="149"/>
      <c r="QEB48" s="149"/>
      <c r="QEC48" s="149"/>
      <c r="QED48" s="149"/>
      <c r="QEE48" s="149"/>
      <c r="QEF48" s="149"/>
      <c r="QEG48" s="149"/>
      <c r="QEH48" s="149"/>
      <c r="QEI48" s="149"/>
      <c r="QEJ48" s="149"/>
      <c r="QEK48" s="149"/>
      <c r="QEL48" s="149"/>
      <c r="QEM48" s="149"/>
      <c r="QEN48" s="149"/>
      <c r="QEO48" s="149"/>
      <c r="QEP48" s="149"/>
      <c r="QEQ48" s="149"/>
      <c r="QER48" s="149"/>
      <c r="QES48" s="149"/>
      <c r="QET48" s="149"/>
      <c r="QEU48" s="149"/>
      <c r="QEV48" s="149"/>
      <c r="QEW48" s="149"/>
      <c r="QEX48" s="149"/>
      <c r="QEY48" s="149"/>
      <c r="QEZ48" s="149"/>
      <c r="QFA48" s="149"/>
      <c r="QFB48" s="149"/>
      <c r="QFC48" s="149"/>
      <c r="QFD48" s="149"/>
      <c r="QFE48" s="149"/>
      <c r="QFF48" s="149"/>
      <c r="QFG48" s="149"/>
      <c r="QFH48" s="149"/>
      <c r="QFI48" s="149"/>
      <c r="QFJ48" s="149"/>
      <c r="QFK48" s="149"/>
      <c r="QFL48" s="149"/>
      <c r="QFM48" s="149"/>
      <c r="QFN48" s="149"/>
      <c r="QFO48" s="149"/>
      <c r="QFP48" s="149"/>
      <c r="QFQ48" s="149"/>
      <c r="QFR48" s="149"/>
      <c r="QFS48" s="149"/>
      <c r="QFT48" s="149"/>
      <c r="QFU48" s="149"/>
      <c r="QFV48" s="149"/>
      <c r="QFW48" s="149"/>
      <c r="QFX48" s="149"/>
      <c r="QFY48" s="149"/>
      <c r="QFZ48" s="149"/>
      <c r="QGA48" s="149"/>
      <c r="QGB48" s="149"/>
      <c r="QGC48" s="149"/>
      <c r="QGD48" s="149"/>
      <c r="QGE48" s="149"/>
      <c r="QGF48" s="149"/>
      <c r="QGG48" s="149"/>
      <c r="QGH48" s="149"/>
      <c r="QGI48" s="149"/>
      <c r="QGJ48" s="149"/>
      <c r="QGK48" s="149"/>
      <c r="QGL48" s="149"/>
      <c r="QGM48" s="149"/>
      <c r="QGN48" s="149"/>
      <c r="QGO48" s="149"/>
      <c r="QGP48" s="149"/>
      <c r="QGQ48" s="149"/>
      <c r="QGR48" s="149"/>
      <c r="QGS48" s="149"/>
      <c r="QGT48" s="149"/>
      <c r="QGU48" s="149"/>
      <c r="QGV48" s="149"/>
      <c r="QGW48" s="149"/>
      <c r="QGX48" s="149"/>
      <c r="QGY48" s="149"/>
      <c r="QGZ48" s="149"/>
      <c r="QHA48" s="149"/>
      <c r="QHB48" s="149"/>
      <c r="QHC48" s="149"/>
      <c r="QHD48" s="149"/>
      <c r="QHE48" s="149"/>
      <c r="QHF48" s="149"/>
      <c r="QHG48" s="149"/>
      <c r="QHH48" s="149"/>
      <c r="QHI48" s="149"/>
      <c r="QHJ48" s="149"/>
      <c r="QHK48" s="149"/>
      <c r="QHL48" s="149"/>
      <c r="QHM48" s="149"/>
      <c r="QHN48" s="149"/>
      <c r="QHO48" s="149"/>
      <c r="QHP48" s="149"/>
      <c r="QHQ48" s="149"/>
      <c r="QHR48" s="149"/>
      <c r="QHS48" s="149"/>
      <c r="QHT48" s="149"/>
      <c r="QHU48" s="149"/>
      <c r="QHV48" s="149"/>
      <c r="QHW48" s="149"/>
      <c r="QHX48" s="149"/>
      <c r="QHY48" s="149"/>
      <c r="QHZ48" s="149"/>
      <c r="QIA48" s="149"/>
      <c r="QIB48" s="149"/>
      <c r="QIC48" s="149"/>
      <c r="QID48" s="149"/>
      <c r="QIE48" s="149"/>
      <c r="QIF48" s="149"/>
      <c r="QIG48" s="149"/>
      <c r="QIH48" s="149"/>
      <c r="QII48" s="149"/>
      <c r="QIJ48" s="149"/>
      <c r="QIK48" s="149"/>
      <c r="QIL48" s="149"/>
      <c r="QIM48" s="149"/>
      <c r="QIN48" s="149"/>
      <c r="QIO48" s="149"/>
      <c r="QIP48" s="149"/>
      <c r="QIQ48" s="149"/>
      <c r="QIR48" s="149"/>
      <c r="QIS48" s="149"/>
      <c r="QIT48" s="149"/>
      <c r="QIU48" s="149"/>
      <c r="QIV48" s="149"/>
      <c r="QIW48" s="149"/>
      <c r="QIX48" s="149"/>
      <c r="QIY48" s="149"/>
      <c r="QIZ48" s="149"/>
      <c r="QJA48" s="149"/>
      <c r="QJB48" s="149"/>
      <c r="QJC48" s="149"/>
      <c r="QJD48" s="149"/>
      <c r="QJE48" s="149"/>
      <c r="QJF48" s="149"/>
      <c r="QJG48" s="149"/>
      <c r="QJH48" s="149"/>
      <c r="QJI48" s="149"/>
      <c r="QJJ48" s="149"/>
      <c r="QJK48" s="149"/>
      <c r="QJL48" s="149"/>
      <c r="QJM48" s="149"/>
      <c r="QJN48" s="149"/>
      <c r="QJO48" s="149"/>
      <c r="QJP48" s="149"/>
      <c r="QJQ48" s="149"/>
      <c r="QJR48" s="149"/>
      <c r="QJS48" s="149"/>
      <c r="QJT48" s="149"/>
      <c r="QJU48" s="149"/>
      <c r="QJV48" s="149"/>
      <c r="QJW48" s="149"/>
      <c r="QJX48" s="149"/>
      <c r="QJY48" s="149"/>
      <c r="QJZ48" s="149"/>
      <c r="QKA48" s="149"/>
      <c r="QKB48" s="149"/>
      <c r="QKC48" s="149"/>
      <c r="QKD48" s="149"/>
      <c r="QKE48" s="149"/>
      <c r="QKF48" s="149"/>
      <c r="QKG48" s="149"/>
      <c r="QKH48" s="149"/>
      <c r="QKI48" s="149"/>
      <c r="QKJ48" s="149"/>
      <c r="QKK48" s="149"/>
      <c r="QKL48" s="149"/>
      <c r="QKM48" s="149"/>
      <c r="QKN48" s="149"/>
      <c r="QKO48" s="149"/>
      <c r="QKP48" s="149"/>
      <c r="QKQ48" s="149"/>
      <c r="QKR48" s="149"/>
      <c r="QKS48" s="149"/>
      <c r="QKT48" s="149"/>
      <c r="QKU48" s="149"/>
      <c r="QKV48" s="149"/>
      <c r="QKW48" s="149"/>
      <c r="QKX48" s="149"/>
      <c r="QKY48" s="149"/>
      <c r="QKZ48" s="149"/>
      <c r="QLA48" s="149"/>
      <c r="QLB48" s="149"/>
      <c r="QLC48" s="149"/>
      <c r="QLD48" s="149"/>
      <c r="QLE48" s="149"/>
      <c r="QLF48" s="149"/>
      <c r="QLG48" s="149"/>
      <c r="QLH48" s="149"/>
      <c r="QLI48" s="149"/>
      <c r="QLJ48" s="149"/>
      <c r="QLK48" s="149"/>
      <c r="QLL48" s="149"/>
      <c r="QLM48" s="149"/>
      <c r="QLN48" s="149"/>
      <c r="QLO48" s="149"/>
      <c r="QLP48" s="149"/>
      <c r="QLQ48" s="149"/>
      <c r="QLR48" s="149"/>
      <c r="QLS48" s="149"/>
      <c r="QLT48" s="149"/>
      <c r="QLU48" s="149"/>
      <c r="QLV48" s="149"/>
      <c r="QLW48" s="149"/>
      <c r="QLX48" s="149"/>
      <c r="QLY48" s="149"/>
      <c r="QLZ48" s="149"/>
      <c r="QMA48" s="149"/>
      <c r="QMB48" s="149"/>
      <c r="QMC48" s="149"/>
      <c r="QMD48" s="149"/>
      <c r="QME48" s="149"/>
      <c r="QMF48" s="149"/>
      <c r="QMG48" s="149"/>
      <c r="QMH48" s="149"/>
      <c r="QMI48" s="149"/>
      <c r="QMJ48" s="149"/>
      <c r="QMK48" s="149"/>
      <c r="QML48" s="149"/>
      <c r="QMM48" s="149"/>
      <c r="QMN48" s="149"/>
      <c r="QMO48" s="149"/>
      <c r="QMP48" s="149"/>
      <c r="QMQ48" s="149"/>
      <c r="QMR48" s="149"/>
      <c r="QMS48" s="149"/>
      <c r="QMT48" s="149"/>
      <c r="QMU48" s="149"/>
      <c r="QMV48" s="149"/>
      <c r="QMW48" s="149"/>
      <c r="QMX48" s="149"/>
      <c r="QMY48" s="149"/>
      <c r="QMZ48" s="149"/>
      <c r="QNA48" s="149"/>
      <c r="QNB48" s="149"/>
      <c r="QNC48" s="149"/>
      <c r="QND48" s="149"/>
      <c r="QNE48" s="149"/>
      <c r="QNF48" s="149"/>
      <c r="QNG48" s="149"/>
      <c r="QNH48" s="149"/>
      <c r="QNI48" s="149"/>
      <c r="QNJ48" s="149"/>
      <c r="QNK48" s="149"/>
      <c r="QNL48" s="149"/>
      <c r="QNM48" s="149"/>
      <c r="QNN48" s="149"/>
      <c r="QNO48" s="149"/>
      <c r="QNP48" s="149"/>
      <c r="QNQ48" s="149"/>
      <c r="QNR48" s="149"/>
      <c r="QNS48" s="149"/>
      <c r="QNT48" s="149"/>
      <c r="QNU48" s="149"/>
      <c r="QNV48" s="149"/>
      <c r="QNW48" s="149"/>
      <c r="QNX48" s="149"/>
      <c r="QNY48" s="149"/>
      <c r="QNZ48" s="149"/>
      <c r="QOA48" s="149"/>
      <c r="QOB48" s="149"/>
      <c r="QOC48" s="149"/>
      <c r="QOD48" s="149"/>
      <c r="QOE48" s="149"/>
      <c r="QOF48" s="149"/>
      <c r="QOG48" s="149"/>
      <c r="QOH48" s="149"/>
      <c r="QOI48" s="149"/>
      <c r="QOJ48" s="149"/>
      <c r="QOK48" s="149"/>
      <c r="QOL48" s="149"/>
      <c r="QOM48" s="149"/>
      <c r="QON48" s="149"/>
      <c r="QOO48" s="149"/>
      <c r="QOP48" s="149"/>
      <c r="QOQ48" s="149"/>
      <c r="QOR48" s="149"/>
      <c r="QOS48" s="149"/>
      <c r="QOT48" s="149"/>
      <c r="QOU48" s="149"/>
      <c r="QOV48" s="149"/>
      <c r="QOW48" s="149"/>
      <c r="QOX48" s="149"/>
      <c r="QOY48" s="149"/>
      <c r="QOZ48" s="149"/>
      <c r="QPA48" s="149"/>
      <c r="QPB48" s="149"/>
      <c r="QPC48" s="149"/>
      <c r="QPD48" s="149"/>
      <c r="QPE48" s="149"/>
      <c r="QPF48" s="149"/>
      <c r="QPG48" s="149"/>
      <c r="QPH48" s="149"/>
      <c r="QPI48" s="149"/>
      <c r="QPJ48" s="149"/>
      <c r="QPK48" s="149"/>
      <c r="QPL48" s="149"/>
      <c r="QPM48" s="149"/>
      <c r="QPN48" s="149"/>
      <c r="QPO48" s="149"/>
      <c r="QPP48" s="149"/>
      <c r="QPQ48" s="149"/>
      <c r="QPR48" s="149"/>
      <c r="QPS48" s="149"/>
      <c r="QPT48" s="149"/>
      <c r="QPU48" s="149"/>
      <c r="QPV48" s="149"/>
      <c r="QPW48" s="149"/>
      <c r="QPX48" s="149"/>
      <c r="QPY48" s="149"/>
      <c r="QPZ48" s="149"/>
      <c r="QQA48" s="149"/>
      <c r="QQB48" s="149"/>
      <c r="QQC48" s="149"/>
      <c r="QQD48" s="149"/>
      <c r="QQE48" s="149"/>
      <c r="QQF48" s="149"/>
      <c r="QQG48" s="149"/>
      <c r="QQH48" s="149"/>
      <c r="QQI48" s="149"/>
      <c r="QQJ48" s="149"/>
      <c r="QQK48" s="149"/>
      <c r="QQL48" s="149"/>
      <c r="QQM48" s="149"/>
      <c r="QQN48" s="149"/>
      <c r="QQO48" s="149"/>
      <c r="QQP48" s="149"/>
      <c r="QQQ48" s="149"/>
      <c r="QQR48" s="149"/>
      <c r="QQS48" s="149"/>
      <c r="QQT48" s="149"/>
      <c r="QQU48" s="149"/>
      <c r="QQV48" s="149"/>
      <c r="QQW48" s="149"/>
      <c r="QQX48" s="149"/>
      <c r="QQY48" s="149"/>
      <c r="QQZ48" s="149"/>
      <c r="QRA48" s="149"/>
      <c r="QRB48" s="149"/>
      <c r="QRC48" s="149"/>
      <c r="QRD48" s="149"/>
      <c r="QRE48" s="149"/>
      <c r="QRF48" s="149"/>
      <c r="QRG48" s="149"/>
      <c r="QRH48" s="149"/>
      <c r="QRI48" s="149"/>
      <c r="QRJ48" s="149"/>
      <c r="QRK48" s="149"/>
      <c r="QRL48" s="149"/>
      <c r="QRM48" s="149"/>
      <c r="QRN48" s="149"/>
      <c r="QRO48" s="149"/>
      <c r="QRP48" s="149"/>
      <c r="QRQ48" s="149"/>
      <c r="QRR48" s="149"/>
      <c r="QRS48" s="149"/>
      <c r="QRT48" s="149"/>
      <c r="QRU48" s="149"/>
      <c r="QRV48" s="149"/>
      <c r="QRW48" s="149"/>
      <c r="QRX48" s="149"/>
      <c r="QRY48" s="149"/>
      <c r="QRZ48" s="149"/>
      <c r="QSA48" s="149"/>
      <c r="QSB48" s="149"/>
      <c r="QSC48" s="149"/>
      <c r="QSD48" s="149"/>
      <c r="QSE48" s="149"/>
      <c r="QSF48" s="149"/>
      <c r="QSG48" s="149"/>
      <c r="QSH48" s="149"/>
      <c r="QSI48" s="149"/>
      <c r="QSJ48" s="149"/>
      <c r="QSK48" s="149"/>
      <c r="QSL48" s="149"/>
      <c r="QSM48" s="149"/>
      <c r="QSN48" s="149"/>
      <c r="QSO48" s="149"/>
      <c r="QSP48" s="149"/>
      <c r="QSQ48" s="149"/>
      <c r="QSR48" s="149"/>
      <c r="QSS48" s="149"/>
      <c r="QST48" s="149"/>
      <c r="QSU48" s="149"/>
      <c r="QSV48" s="149"/>
      <c r="QSW48" s="149"/>
      <c r="QSX48" s="149"/>
      <c r="QSY48" s="149"/>
      <c r="QSZ48" s="149"/>
      <c r="QTA48" s="149"/>
      <c r="QTB48" s="149"/>
      <c r="QTC48" s="149"/>
      <c r="QTD48" s="149"/>
      <c r="QTE48" s="149"/>
      <c r="QTF48" s="149"/>
      <c r="QTG48" s="149"/>
      <c r="QTH48" s="149"/>
      <c r="QTI48" s="149"/>
      <c r="QTJ48" s="149"/>
      <c r="QTK48" s="149"/>
      <c r="QTL48" s="149"/>
      <c r="QTM48" s="149"/>
      <c r="QTN48" s="149"/>
      <c r="QTO48" s="149"/>
      <c r="QTP48" s="149"/>
      <c r="QTQ48" s="149"/>
      <c r="QTR48" s="149"/>
      <c r="QTS48" s="149"/>
      <c r="QTT48" s="149"/>
      <c r="QTU48" s="149"/>
      <c r="QTV48" s="149"/>
      <c r="QTW48" s="149"/>
      <c r="QTX48" s="149"/>
      <c r="QTY48" s="149"/>
      <c r="QTZ48" s="149"/>
      <c r="QUA48" s="149"/>
      <c r="QUB48" s="149"/>
      <c r="QUC48" s="149"/>
      <c r="QUD48" s="149"/>
      <c r="QUE48" s="149"/>
      <c r="QUF48" s="149"/>
      <c r="QUG48" s="149"/>
      <c r="QUH48" s="149"/>
      <c r="QUI48" s="149"/>
      <c r="QUJ48" s="149"/>
      <c r="QUK48" s="149"/>
      <c r="QUL48" s="149"/>
      <c r="QUM48" s="149"/>
      <c r="QUN48" s="149"/>
      <c r="QUO48" s="149"/>
      <c r="QUP48" s="149"/>
      <c r="QUQ48" s="149"/>
      <c r="QUR48" s="149"/>
      <c r="QUS48" s="149"/>
      <c r="QUT48" s="149"/>
      <c r="QUU48" s="149"/>
      <c r="QUV48" s="149"/>
      <c r="QUW48" s="149"/>
      <c r="QUX48" s="149"/>
      <c r="QUY48" s="149"/>
      <c r="QUZ48" s="149"/>
      <c r="QVA48" s="149"/>
      <c r="QVB48" s="149"/>
      <c r="QVC48" s="149"/>
      <c r="QVD48" s="149"/>
      <c r="QVE48" s="149"/>
      <c r="QVF48" s="149"/>
      <c r="QVG48" s="149"/>
      <c r="QVH48" s="149"/>
      <c r="QVI48" s="149"/>
      <c r="QVJ48" s="149"/>
      <c r="QVK48" s="149"/>
      <c r="QVL48" s="149"/>
      <c r="QVM48" s="149"/>
      <c r="QVN48" s="149"/>
      <c r="QVO48" s="149"/>
      <c r="QVP48" s="149"/>
      <c r="QVQ48" s="149"/>
      <c r="QVR48" s="149"/>
      <c r="QVS48" s="149"/>
      <c r="QVT48" s="149"/>
      <c r="QVU48" s="149"/>
      <c r="QVV48" s="149"/>
      <c r="QVW48" s="149"/>
      <c r="QVX48" s="149"/>
      <c r="QVY48" s="149"/>
      <c r="QVZ48" s="149"/>
      <c r="QWA48" s="149"/>
      <c r="QWB48" s="149"/>
      <c r="QWC48" s="149"/>
      <c r="QWD48" s="149"/>
      <c r="QWE48" s="149"/>
      <c r="QWF48" s="149"/>
      <c r="QWG48" s="149"/>
      <c r="QWH48" s="149"/>
      <c r="QWI48" s="149"/>
      <c r="QWJ48" s="149"/>
      <c r="QWK48" s="149"/>
      <c r="QWL48" s="149"/>
      <c r="QWM48" s="149"/>
      <c r="QWN48" s="149"/>
      <c r="QWO48" s="149"/>
      <c r="QWP48" s="149"/>
      <c r="QWQ48" s="149"/>
      <c r="QWR48" s="149"/>
      <c r="QWS48" s="149"/>
      <c r="QWT48" s="149"/>
      <c r="QWU48" s="149"/>
      <c r="QWV48" s="149"/>
      <c r="QWW48" s="149"/>
      <c r="QWX48" s="149"/>
      <c r="QWY48" s="149"/>
      <c r="QWZ48" s="149"/>
      <c r="QXA48" s="149"/>
      <c r="QXB48" s="149"/>
      <c r="QXC48" s="149"/>
      <c r="QXD48" s="149"/>
      <c r="QXE48" s="149"/>
      <c r="QXF48" s="149"/>
      <c r="QXG48" s="149"/>
      <c r="QXH48" s="149"/>
      <c r="QXI48" s="149"/>
      <c r="QXJ48" s="149"/>
      <c r="QXK48" s="149"/>
      <c r="QXL48" s="149"/>
      <c r="QXM48" s="149"/>
      <c r="QXN48" s="149"/>
      <c r="QXO48" s="149"/>
      <c r="QXP48" s="149"/>
      <c r="QXQ48" s="149"/>
      <c r="QXR48" s="149"/>
      <c r="QXS48" s="149"/>
      <c r="QXT48" s="149"/>
      <c r="QXU48" s="149"/>
      <c r="QXV48" s="149"/>
      <c r="QXW48" s="149"/>
      <c r="QXX48" s="149"/>
      <c r="QXY48" s="149"/>
      <c r="QXZ48" s="149"/>
      <c r="QYA48" s="149"/>
      <c r="QYB48" s="149"/>
      <c r="QYC48" s="149"/>
      <c r="QYD48" s="149"/>
      <c r="QYE48" s="149"/>
      <c r="QYF48" s="149"/>
      <c r="QYG48" s="149"/>
      <c r="QYH48" s="149"/>
      <c r="QYI48" s="149"/>
      <c r="QYJ48" s="149"/>
      <c r="QYK48" s="149"/>
      <c r="QYL48" s="149"/>
      <c r="QYM48" s="149"/>
      <c r="QYN48" s="149"/>
      <c r="QYO48" s="149"/>
      <c r="QYP48" s="149"/>
      <c r="QYQ48" s="149"/>
      <c r="QYR48" s="149"/>
      <c r="QYS48" s="149"/>
      <c r="QYT48" s="149"/>
      <c r="QYU48" s="149"/>
      <c r="QYV48" s="149"/>
      <c r="QYW48" s="149"/>
      <c r="QYX48" s="149"/>
      <c r="QYY48" s="149"/>
      <c r="QYZ48" s="149"/>
      <c r="QZA48" s="149"/>
      <c r="QZB48" s="149"/>
      <c r="QZC48" s="149"/>
      <c r="QZD48" s="149"/>
      <c r="QZE48" s="149"/>
      <c r="QZF48" s="149"/>
      <c r="QZG48" s="149"/>
      <c r="QZH48" s="149"/>
      <c r="QZI48" s="149"/>
      <c r="QZJ48" s="149"/>
      <c r="QZK48" s="149"/>
      <c r="QZL48" s="149"/>
      <c r="QZM48" s="149"/>
      <c r="QZN48" s="149"/>
      <c r="QZO48" s="149"/>
      <c r="QZP48" s="149"/>
      <c r="QZQ48" s="149"/>
      <c r="QZR48" s="149"/>
      <c r="QZS48" s="149"/>
      <c r="QZT48" s="149"/>
      <c r="QZU48" s="149"/>
      <c r="QZV48" s="149"/>
      <c r="QZW48" s="149"/>
      <c r="QZX48" s="149"/>
      <c r="QZY48" s="149"/>
      <c r="QZZ48" s="149"/>
      <c r="RAA48" s="149"/>
      <c r="RAB48" s="149"/>
      <c r="RAC48" s="149"/>
      <c r="RAD48" s="149"/>
      <c r="RAE48" s="149"/>
      <c r="RAF48" s="149"/>
      <c r="RAG48" s="149"/>
      <c r="RAH48" s="149"/>
      <c r="RAI48" s="149"/>
      <c r="RAJ48" s="149"/>
      <c r="RAK48" s="149"/>
      <c r="RAL48" s="149"/>
      <c r="RAM48" s="149"/>
      <c r="RAN48" s="149"/>
      <c r="RAO48" s="149"/>
      <c r="RAP48" s="149"/>
      <c r="RAQ48" s="149"/>
      <c r="RAR48" s="149"/>
      <c r="RAS48" s="149"/>
      <c r="RAT48" s="149"/>
      <c r="RAU48" s="149"/>
      <c r="RAV48" s="149"/>
      <c r="RAW48" s="149"/>
      <c r="RAX48" s="149"/>
      <c r="RAY48" s="149"/>
      <c r="RAZ48" s="149"/>
      <c r="RBA48" s="149"/>
      <c r="RBB48" s="149"/>
      <c r="RBC48" s="149"/>
      <c r="RBD48" s="149"/>
      <c r="RBE48" s="149"/>
      <c r="RBF48" s="149"/>
      <c r="RBG48" s="149"/>
      <c r="RBH48" s="149"/>
      <c r="RBI48" s="149"/>
      <c r="RBJ48" s="149"/>
      <c r="RBK48" s="149"/>
      <c r="RBL48" s="149"/>
      <c r="RBM48" s="149"/>
      <c r="RBN48" s="149"/>
      <c r="RBO48" s="149"/>
      <c r="RBP48" s="149"/>
      <c r="RBQ48" s="149"/>
      <c r="RBR48" s="149"/>
      <c r="RBS48" s="149"/>
      <c r="RBT48" s="149"/>
      <c r="RBU48" s="149"/>
      <c r="RBV48" s="149"/>
      <c r="RBW48" s="149"/>
      <c r="RBX48" s="149"/>
      <c r="RBY48" s="149"/>
      <c r="RBZ48" s="149"/>
      <c r="RCA48" s="149"/>
      <c r="RCB48" s="149"/>
      <c r="RCC48" s="149"/>
      <c r="RCD48" s="149"/>
      <c r="RCE48" s="149"/>
      <c r="RCF48" s="149"/>
      <c r="RCG48" s="149"/>
      <c r="RCH48" s="149"/>
      <c r="RCI48" s="149"/>
      <c r="RCJ48" s="149"/>
      <c r="RCK48" s="149"/>
      <c r="RCL48" s="149"/>
      <c r="RCM48" s="149"/>
      <c r="RCN48" s="149"/>
      <c r="RCO48" s="149"/>
      <c r="RCP48" s="149"/>
      <c r="RCQ48" s="149"/>
      <c r="RCR48" s="149"/>
      <c r="RCS48" s="149"/>
      <c r="RCT48" s="149"/>
      <c r="RCU48" s="149"/>
      <c r="RCV48" s="149"/>
      <c r="RCW48" s="149"/>
      <c r="RCX48" s="149"/>
      <c r="RCY48" s="149"/>
      <c r="RCZ48" s="149"/>
      <c r="RDA48" s="149"/>
      <c r="RDB48" s="149"/>
      <c r="RDC48" s="149"/>
      <c r="RDD48" s="149"/>
      <c r="RDE48" s="149"/>
      <c r="RDF48" s="149"/>
      <c r="RDG48" s="149"/>
      <c r="RDH48" s="149"/>
      <c r="RDI48" s="149"/>
      <c r="RDJ48" s="149"/>
      <c r="RDK48" s="149"/>
      <c r="RDL48" s="149"/>
      <c r="RDM48" s="149"/>
      <c r="RDN48" s="149"/>
      <c r="RDO48" s="149"/>
      <c r="RDP48" s="149"/>
      <c r="RDQ48" s="149"/>
      <c r="RDR48" s="149"/>
      <c r="RDS48" s="149"/>
      <c r="RDT48" s="149"/>
      <c r="RDU48" s="149"/>
      <c r="RDV48" s="149"/>
      <c r="RDW48" s="149"/>
      <c r="RDX48" s="149"/>
      <c r="RDY48" s="149"/>
      <c r="RDZ48" s="149"/>
      <c r="REA48" s="149"/>
      <c r="REB48" s="149"/>
      <c r="REC48" s="149"/>
      <c r="RED48" s="149"/>
      <c r="REE48" s="149"/>
      <c r="REF48" s="149"/>
      <c r="REG48" s="149"/>
      <c r="REH48" s="149"/>
      <c r="REI48" s="149"/>
      <c r="REJ48" s="149"/>
      <c r="REK48" s="149"/>
      <c r="REL48" s="149"/>
      <c r="REM48" s="149"/>
      <c r="REN48" s="149"/>
      <c r="REO48" s="149"/>
      <c r="REP48" s="149"/>
      <c r="REQ48" s="149"/>
      <c r="RER48" s="149"/>
      <c r="RES48" s="149"/>
      <c r="RET48" s="149"/>
      <c r="REU48" s="149"/>
      <c r="REV48" s="149"/>
      <c r="REW48" s="149"/>
      <c r="REX48" s="149"/>
      <c r="REY48" s="149"/>
      <c r="REZ48" s="149"/>
      <c r="RFA48" s="149"/>
      <c r="RFB48" s="149"/>
      <c r="RFC48" s="149"/>
      <c r="RFD48" s="149"/>
      <c r="RFE48" s="149"/>
      <c r="RFF48" s="149"/>
      <c r="RFG48" s="149"/>
      <c r="RFH48" s="149"/>
      <c r="RFI48" s="149"/>
      <c r="RFJ48" s="149"/>
      <c r="RFK48" s="149"/>
      <c r="RFL48" s="149"/>
      <c r="RFM48" s="149"/>
      <c r="RFN48" s="149"/>
      <c r="RFO48" s="149"/>
      <c r="RFP48" s="149"/>
      <c r="RFQ48" s="149"/>
      <c r="RFR48" s="149"/>
      <c r="RFS48" s="149"/>
      <c r="RFT48" s="149"/>
      <c r="RFU48" s="149"/>
      <c r="RFV48" s="149"/>
      <c r="RFW48" s="149"/>
      <c r="RFX48" s="149"/>
      <c r="RFY48" s="149"/>
      <c r="RFZ48" s="149"/>
      <c r="RGA48" s="149"/>
      <c r="RGB48" s="149"/>
      <c r="RGC48" s="149"/>
      <c r="RGD48" s="149"/>
      <c r="RGE48" s="149"/>
      <c r="RGF48" s="149"/>
      <c r="RGG48" s="149"/>
      <c r="RGH48" s="149"/>
      <c r="RGI48" s="149"/>
      <c r="RGJ48" s="149"/>
      <c r="RGK48" s="149"/>
      <c r="RGL48" s="149"/>
      <c r="RGM48" s="149"/>
      <c r="RGN48" s="149"/>
      <c r="RGO48" s="149"/>
      <c r="RGP48" s="149"/>
      <c r="RGQ48" s="149"/>
      <c r="RGR48" s="149"/>
      <c r="RGS48" s="149"/>
      <c r="RGT48" s="149"/>
      <c r="RGU48" s="149"/>
      <c r="RGV48" s="149"/>
      <c r="RGW48" s="149"/>
      <c r="RGX48" s="149"/>
      <c r="RGY48" s="149"/>
      <c r="RGZ48" s="149"/>
      <c r="RHA48" s="149"/>
      <c r="RHB48" s="149"/>
      <c r="RHC48" s="149"/>
      <c r="RHD48" s="149"/>
      <c r="RHE48" s="149"/>
      <c r="RHF48" s="149"/>
      <c r="RHG48" s="149"/>
      <c r="RHH48" s="149"/>
      <c r="RHI48" s="149"/>
      <c r="RHJ48" s="149"/>
      <c r="RHK48" s="149"/>
      <c r="RHL48" s="149"/>
      <c r="RHM48" s="149"/>
      <c r="RHN48" s="149"/>
      <c r="RHO48" s="149"/>
      <c r="RHP48" s="149"/>
      <c r="RHQ48" s="149"/>
      <c r="RHR48" s="149"/>
      <c r="RHS48" s="149"/>
      <c r="RHT48" s="149"/>
      <c r="RHU48" s="149"/>
      <c r="RHV48" s="149"/>
      <c r="RHW48" s="149"/>
      <c r="RHX48" s="149"/>
      <c r="RHY48" s="149"/>
      <c r="RHZ48" s="149"/>
      <c r="RIA48" s="149"/>
      <c r="RIB48" s="149"/>
      <c r="RIC48" s="149"/>
      <c r="RID48" s="149"/>
      <c r="RIE48" s="149"/>
      <c r="RIF48" s="149"/>
      <c r="RIG48" s="149"/>
      <c r="RIH48" s="149"/>
      <c r="RII48" s="149"/>
      <c r="RIJ48" s="149"/>
      <c r="RIK48" s="149"/>
      <c r="RIL48" s="149"/>
      <c r="RIM48" s="149"/>
      <c r="RIN48" s="149"/>
      <c r="RIO48" s="149"/>
      <c r="RIP48" s="149"/>
      <c r="RIQ48" s="149"/>
      <c r="RIR48" s="149"/>
      <c r="RIS48" s="149"/>
      <c r="RIT48" s="149"/>
      <c r="RIU48" s="149"/>
      <c r="RIV48" s="149"/>
      <c r="RIW48" s="149"/>
      <c r="RIX48" s="149"/>
      <c r="RIY48" s="149"/>
      <c r="RIZ48" s="149"/>
      <c r="RJA48" s="149"/>
      <c r="RJB48" s="149"/>
      <c r="RJC48" s="149"/>
      <c r="RJD48" s="149"/>
      <c r="RJE48" s="149"/>
      <c r="RJF48" s="149"/>
      <c r="RJG48" s="149"/>
      <c r="RJH48" s="149"/>
      <c r="RJI48" s="149"/>
      <c r="RJJ48" s="149"/>
      <c r="RJK48" s="149"/>
      <c r="RJL48" s="149"/>
      <c r="RJM48" s="149"/>
      <c r="RJN48" s="149"/>
      <c r="RJO48" s="149"/>
      <c r="RJP48" s="149"/>
      <c r="RJQ48" s="149"/>
      <c r="RJR48" s="149"/>
      <c r="RJS48" s="149"/>
      <c r="RJT48" s="149"/>
      <c r="RJU48" s="149"/>
      <c r="RJV48" s="149"/>
      <c r="RJW48" s="149"/>
      <c r="RJX48" s="149"/>
      <c r="RJY48" s="149"/>
      <c r="RJZ48" s="149"/>
      <c r="RKA48" s="149"/>
      <c r="RKB48" s="149"/>
      <c r="RKC48" s="149"/>
      <c r="RKD48" s="149"/>
      <c r="RKE48" s="149"/>
      <c r="RKF48" s="149"/>
      <c r="RKG48" s="149"/>
      <c r="RKH48" s="149"/>
      <c r="RKI48" s="149"/>
      <c r="RKJ48" s="149"/>
      <c r="RKK48" s="149"/>
      <c r="RKL48" s="149"/>
      <c r="RKM48" s="149"/>
      <c r="RKN48" s="149"/>
      <c r="RKO48" s="149"/>
      <c r="RKP48" s="149"/>
      <c r="RKQ48" s="149"/>
      <c r="RKR48" s="149"/>
      <c r="RKS48" s="149"/>
      <c r="RKT48" s="149"/>
      <c r="RKU48" s="149"/>
      <c r="RKV48" s="149"/>
      <c r="RKW48" s="149"/>
      <c r="RKX48" s="149"/>
      <c r="RKY48" s="149"/>
      <c r="RKZ48" s="149"/>
      <c r="RLA48" s="149"/>
      <c r="RLB48" s="149"/>
      <c r="RLC48" s="149"/>
      <c r="RLD48" s="149"/>
      <c r="RLE48" s="149"/>
      <c r="RLF48" s="149"/>
      <c r="RLG48" s="149"/>
      <c r="RLH48" s="149"/>
      <c r="RLI48" s="149"/>
      <c r="RLJ48" s="149"/>
      <c r="RLK48" s="149"/>
      <c r="RLL48" s="149"/>
      <c r="RLM48" s="149"/>
      <c r="RLN48" s="149"/>
      <c r="RLO48" s="149"/>
      <c r="RLP48" s="149"/>
      <c r="RLQ48" s="149"/>
      <c r="RLR48" s="149"/>
      <c r="RLS48" s="149"/>
      <c r="RLT48" s="149"/>
      <c r="RLU48" s="149"/>
      <c r="RLV48" s="149"/>
      <c r="RLW48" s="149"/>
      <c r="RLX48" s="149"/>
      <c r="RLY48" s="149"/>
      <c r="RLZ48" s="149"/>
      <c r="RMA48" s="149"/>
      <c r="RMB48" s="149"/>
      <c r="RMC48" s="149"/>
      <c r="RMD48" s="149"/>
      <c r="RME48" s="149"/>
      <c r="RMF48" s="149"/>
      <c r="RMG48" s="149"/>
      <c r="RMH48" s="149"/>
      <c r="RMI48" s="149"/>
      <c r="RMJ48" s="149"/>
      <c r="RMK48" s="149"/>
      <c r="RML48" s="149"/>
      <c r="RMM48" s="149"/>
      <c r="RMN48" s="149"/>
      <c r="RMO48" s="149"/>
      <c r="RMP48" s="149"/>
      <c r="RMQ48" s="149"/>
      <c r="RMR48" s="149"/>
      <c r="RMS48" s="149"/>
      <c r="RMT48" s="149"/>
      <c r="RMU48" s="149"/>
      <c r="RMV48" s="149"/>
      <c r="RMW48" s="149"/>
      <c r="RMX48" s="149"/>
      <c r="RMY48" s="149"/>
      <c r="RMZ48" s="149"/>
      <c r="RNA48" s="149"/>
      <c r="RNB48" s="149"/>
      <c r="RNC48" s="149"/>
      <c r="RND48" s="149"/>
      <c r="RNE48" s="149"/>
      <c r="RNF48" s="149"/>
      <c r="RNG48" s="149"/>
      <c r="RNH48" s="149"/>
      <c r="RNI48" s="149"/>
      <c r="RNJ48" s="149"/>
      <c r="RNK48" s="149"/>
      <c r="RNL48" s="149"/>
      <c r="RNM48" s="149"/>
      <c r="RNN48" s="149"/>
      <c r="RNO48" s="149"/>
      <c r="RNP48" s="149"/>
      <c r="RNQ48" s="149"/>
      <c r="RNR48" s="149"/>
      <c r="RNS48" s="149"/>
      <c r="RNT48" s="149"/>
      <c r="RNU48" s="149"/>
      <c r="RNV48" s="149"/>
      <c r="RNW48" s="149"/>
      <c r="RNX48" s="149"/>
      <c r="RNY48" s="149"/>
      <c r="RNZ48" s="149"/>
      <c r="ROA48" s="149"/>
      <c r="ROB48" s="149"/>
      <c r="ROC48" s="149"/>
      <c r="ROD48" s="149"/>
      <c r="ROE48" s="149"/>
      <c r="ROF48" s="149"/>
      <c r="ROG48" s="149"/>
      <c r="ROH48" s="149"/>
      <c r="ROI48" s="149"/>
      <c r="ROJ48" s="149"/>
      <c r="ROK48" s="149"/>
      <c r="ROL48" s="149"/>
      <c r="ROM48" s="149"/>
      <c r="RON48" s="149"/>
      <c r="ROO48" s="149"/>
      <c r="ROP48" s="149"/>
      <c r="ROQ48" s="149"/>
      <c r="ROR48" s="149"/>
      <c r="ROS48" s="149"/>
      <c r="ROT48" s="149"/>
      <c r="ROU48" s="149"/>
      <c r="ROV48" s="149"/>
      <c r="ROW48" s="149"/>
      <c r="ROX48" s="149"/>
      <c r="ROY48" s="149"/>
      <c r="ROZ48" s="149"/>
      <c r="RPA48" s="149"/>
      <c r="RPB48" s="149"/>
      <c r="RPC48" s="149"/>
      <c r="RPD48" s="149"/>
      <c r="RPE48" s="149"/>
      <c r="RPF48" s="149"/>
      <c r="RPG48" s="149"/>
      <c r="RPH48" s="149"/>
      <c r="RPI48" s="149"/>
      <c r="RPJ48" s="149"/>
      <c r="RPK48" s="149"/>
      <c r="RPL48" s="149"/>
      <c r="RPM48" s="149"/>
      <c r="RPN48" s="149"/>
      <c r="RPO48" s="149"/>
      <c r="RPP48" s="149"/>
      <c r="RPQ48" s="149"/>
      <c r="RPR48" s="149"/>
      <c r="RPS48" s="149"/>
      <c r="RPT48" s="149"/>
      <c r="RPU48" s="149"/>
      <c r="RPV48" s="149"/>
      <c r="RPW48" s="149"/>
      <c r="RPX48" s="149"/>
      <c r="RPY48" s="149"/>
      <c r="RPZ48" s="149"/>
      <c r="RQA48" s="149"/>
      <c r="RQB48" s="149"/>
      <c r="RQC48" s="149"/>
      <c r="RQD48" s="149"/>
      <c r="RQE48" s="149"/>
      <c r="RQF48" s="149"/>
      <c r="RQG48" s="149"/>
      <c r="RQH48" s="149"/>
      <c r="RQI48" s="149"/>
      <c r="RQJ48" s="149"/>
      <c r="RQK48" s="149"/>
      <c r="RQL48" s="149"/>
      <c r="RQM48" s="149"/>
      <c r="RQN48" s="149"/>
      <c r="RQO48" s="149"/>
      <c r="RQP48" s="149"/>
      <c r="RQQ48" s="149"/>
      <c r="RQR48" s="149"/>
      <c r="RQS48" s="149"/>
      <c r="RQT48" s="149"/>
      <c r="RQU48" s="149"/>
      <c r="RQV48" s="149"/>
      <c r="RQW48" s="149"/>
      <c r="RQX48" s="149"/>
      <c r="RQY48" s="149"/>
      <c r="RQZ48" s="149"/>
      <c r="RRA48" s="149"/>
      <c r="RRB48" s="149"/>
      <c r="RRC48" s="149"/>
      <c r="RRD48" s="149"/>
      <c r="RRE48" s="149"/>
      <c r="RRF48" s="149"/>
      <c r="RRG48" s="149"/>
      <c r="RRH48" s="149"/>
      <c r="RRI48" s="149"/>
      <c r="RRJ48" s="149"/>
      <c r="RRK48" s="149"/>
      <c r="RRL48" s="149"/>
      <c r="RRM48" s="149"/>
      <c r="RRN48" s="149"/>
      <c r="RRO48" s="149"/>
      <c r="RRP48" s="149"/>
      <c r="RRQ48" s="149"/>
      <c r="RRR48" s="149"/>
      <c r="RRS48" s="149"/>
      <c r="RRT48" s="149"/>
      <c r="RRU48" s="149"/>
      <c r="RRV48" s="149"/>
      <c r="RRW48" s="149"/>
      <c r="RRX48" s="149"/>
      <c r="RRY48" s="149"/>
      <c r="RRZ48" s="149"/>
      <c r="RSA48" s="149"/>
      <c r="RSB48" s="149"/>
      <c r="RSC48" s="149"/>
      <c r="RSD48" s="149"/>
      <c r="RSE48" s="149"/>
      <c r="RSF48" s="149"/>
      <c r="RSG48" s="149"/>
      <c r="RSH48" s="149"/>
      <c r="RSI48" s="149"/>
      <c r="RSJ48" s="149"/>
      <c r="RSK48" s="149"/>
      <c r="RSL48" s="149"/>
      <c r="RSM48" s="149"/>
      <c r="RSN48" s="149"/>
      <c r="RSO48" s="149"/>
      <c r="RSP48" s="149"/>
      <c r="RSQ48" s="149"/>
      <c r="RSR48" s="149"/>
      <c r="RSS48" s="149"/>
      <c r="RST48" s="149"/>
      <c r="RSU48" s="149"/>
      <c r="RSV48" s="149"/>
      <c r="RSW48" s="149"/>
      <c r="RSX48" s="149"/>
      <c r="RSY48" s="149"/>
      <c r="RSZ48" s="149"/>
      <c r="RTA48" s="149"/>
      <c r="RTB48" s="149"/>
      <c r="RTC48" s="149"/>
      <c r="RTD48" s="149"/>
      <c r="RTE48" s="149"/>
      <c r="RTF48" s="149"/>
      <c r="RTG48" s="149"/>
      <c r="RTH48" s="149"/>
      <c r="RTI48" s="149"/>
      <c r="RTJ48" s="149"/>
      <c r="RTK48" s="149"/>
      <c r="RTL48" s="149"/>
      <c r="RTM48" s="149"/>
      <c r="RTN48" s="149"/>
      <c r="RTO48" s="149"/>
      <c r="RTP48" s="149"/>
      <c r="RTQ48" s="149"/>
      <c r="RTR48" s="149"/>
      <c r="RTS48" s="149"/>
      <c r="RTT48" s="149"/>
      <c r="RTU48" s="149"/>
      <c r="RTV48" s="149"/>
      <c r="RTW48" s="149"/>
      <c r="RTX48" s="149"/>
      <c r="RTY48" s="149"/>
      <c r="RTZ48" s="149"/>
      <c r="RUA48" s="149"/>
      <c r="RUB48" s="149"/>
      <c r="RUC48" s="149"/>
      <c r="RUD48" s="149"/>
      <c r="RUE48" s="149"/>
      <c r="RUF48" s="149"/>
      <c r="RUG48" s="149"/>
      <c r="RUH48" s="149"/>
      <c r="RUI48" s="149"/>
      <c r="RUJ48" s="149"/>
      <c r="RUK48" s="149"/>
      <c r="RUL48" s="149"/>
      <c r="RUM48" s="149"/>
      <c r="RUN48" s="149"/>
      <c r="RUO48" s="149"/>
      <c r="RUP48" s="149"/>
      <c r="RUQ48" s="149"/>
      <c r="RUR48" s="149"/>
      <c r="RUS48" s="149"/>
      <c r="RUT48" s="149"/>
      <c r="RUU48" s="149"/>
      <c r="RUV48" s="149"/>
      <c r="RUW48" s="149"/>
      <c r="RUX48" s="149"/>
      <c r="RUY48" s="149"/>
      <c r="RUZ48" s="149"/>
      <c r="RVA48" s="149"/>
      <c r="RVB48" s="149"/>
      <c r="RVC48" s="149"/>
      <c r="RVD48" s="149"/>
      <c r="RVE48" s="149"/>
      <c r="RVF48" s="149"/>
      <c r="RVG48" s="149"/>
      <c r="RVH48" s="149"/>
      <c r="RVI48" s="149"/>
      <c r="RVJ48" s="149"/>
      <c r="RVK48" s="149"/>
      <c r="RVL48" s="149"/>
      <c r="RVM48" s="149"/>
      <c r="RVN48" s="149"/>
      <c r="RVO48" s="149"/>
      <c r="RVP48" s="149"/>
      <c r="RVQ48" s="149"/>
      <c r="RVR48" s="149"/>
      <c r="RVS48" s="149"/>
      <c r="RVT48" s="149"/>
      <c r="RVU48" s="149"/>
      <c r="RVV48" s="149"/>
      <c r="RVW48" s="149"/>
      <c r="RVX48" s="149"/>
      <c r="RVY48" s="149"/>
      <c r="RVZ48" s="149"/>
      <c r="RWA48" s="149"/>
      <c r="RWB48" s="149"/>
      <c r="RWC48" s="149"/>
      <c r="RWD48" s="149"/>
      <c r="RWE48" s="149"/>
      <c r="RWF48" s="149"/>
      <c r="RWG48" s="149"/>
      <c r="RWH48" s="149"/>
      <c r="RWI48" s="149"/>
      <c r="RWJ48" s="149"/>
      <c r="RWK48" s="149"/>
      <c r="RWL48" s="149"/>
      <c r="RWM48" s="149"/>
      <c r="RWN48" s="149"/>
      <c r="RWO48" s="149"/>
      <c r="RWP48" s="149"/>
      <c r="RWQ48" s="149"/>
      <c r="RWR48" s="149"/>
      <c r="RWS48" s="149"/>
      <c r="RWT48" s="149"/>
      <c r="RWU48" s="149"/>
      <c r="RWV48" s="149"/>
      <c r="RWW48" s="149"/>
      <c r="RWX48" s="149"/>
      <c r="RWY48" s="149"/>
      <c r="RWZ48" s="149"/>
      <c r="RXA48" s="149"/>
      <c r="RXB48" s="149"/>
      <c r="RXC48" s="149"/>
      <c r="RXD48" s="149"/>
      <c r="RXE48" s="149"/>
      <c r="RXF48" s="149"/>
      <c r="RXG48" s="149"/>
      <c r="RXH48" s="149"/>
      <c r="RXI48" s="149"/>
      <c r="RXJ48" s="149"/>
      <c r="RXK48" s="149"/>
      <c r="RXL48" s="149"/>
      <c r="RXM48" s="149"/>
      <c r="RXN48" s="149"/>
      <c r="RXO48" s="149"/>
      <c r="RXP48" s="149"/>
      <c r="RXQ48" s="149"/>
      <c r="RXR48" s="149"/>
      <c r="RXS48" s="149"/>
      <c r="RXT48" s="149"/>
      <c r="RXU48" s="149"/>
      <c r="RXV48" s="149"/>
      <c r="RXW48" s="149"/>
      <c r="RXX48" s="149"/>
      <c r="RXY48" s="149"/>
      <c r="RXZ48" s="149"/>
      <c r="RYA48" s="149"/>
      <c r="RYB48" s="149"/>
      <c r="RYC48" s="149"/>
      <c r="RYD48" s="149"/>
      <c r="RYE48" s="149"/>
      <c r="RYF48" s="149"/>
      <c r="RYG48" s="149"/>
      <c r="RYH48" s="149"/>
      <c r="RYI48" s="149"/>
      <c r="RYJ48" s="149"/>
      <c r="RYK48" s="149"/>
      <c r="RYL48" s="149"/>
      <c r="RYM48" s="149"/>
      <c r="RYN48" s="149"/>
      <c r="RYO48" s="149"/>
      <c r="RYP48" s="149"/>
      <c r="RYQ48" s="149"/>
      <c r="RYR48" s="149"/>
      <c r="RYS48" s="149"/>
      <c r="RYT48" s="149"/>
      <c r="RYU48" s="149"/>
      <c r="RYV48" s="149"/>
      <c r="RYW48" s="149"/>
      <c r="RYX48" s="149"/>
      <c r="RYY48" s="149"/>
      <c r="RYZ48" s="149"/>
      <c r="RZA48" s="149"/>
      <c r="RZB48" s="149"/>
      <c r="RZC48" s="149"/>
      <c r="RZD48" s="149"/>
      <c r="RZE48" s="149"/>
      <c r="RZF48" s="149"/>
      <c r="RZG48" s="149"/>
      <c r="RZH48" s="149"/>
      <c r="RZI48" s="149"/>
      <c r="RZJ48" s="149"/>
      <c r="RZK48" s="149"/>
      <c r="RZL48" s="149"/>
      <c r="RZM48" s="149"/>
      <c r="RZN48" s="149"/>
      <c r="RZO48" s="149"/>
      <c r="RZP48" s="149"/>
      <c r="RZQ48" s="149"/>
      <c r="RZR48" s="149"/>
      <c r="RZS48" s="149"/>
      <c r="RZT48" s="149"/>
      <c r="RZU48" s="149"/>
      <c r="RZV48" s="149"/>
      <c r="RZW48" s="149"/>
      <c r="RZX48" s="149"/>
      <c r="RZY48" s="149"/>
      <c r="RZZ48" s="149"/>
      <c r="SAA48" s="149"/>
      <c r="SAB48" s="149"/>
      <c r="SAC48" s="149"/>
      <c r="SAD48" s="149"/>
      <c r="SAE48" s="149"/>
      <c r="SAF48" s="149"/>
      <c r="SAG48" s="149"/>
      <c r="SAH48" s="149"/>
      <c r="SAI48" s="149"/>
      <c r="SAJ48" s="149"/>
      <c r="SAK48" s="149"/>
      <c r="SAL48" s="149"/>
      <c r="SAM48" s="149"/>
      <c r="SAN48" s="149"/>
      <c r="SAO48" s="149"/>
      <c r="SAP48" s="149"/>
      <c r="SAQ48" s="149"/>
      <c r="SAR48" s="149"/>
      <c r="SAS48" s="149"/>
      <c r="SAT48" s="149"/>
      <c r="SAU48" s="149"/>
      <c r="SAV48" s="149"/>
      <c r="SAW48" s="149"/>
      <c r="SAX48" s="149"/>
      <c r="SAY48" s="149"/>
      <c r="SAZ48" s="149"/>
      <c r="SBA48" s="149"/>
      <c r="SBB48" s="149"/>
      <c r="SBC48" s="149"/>
      <c r="SBD48" s="149"/>
      <c r="SBE48" s="149"/>
      <c r="SBF48" s="149"/>
      <c r="SBG48" s="149"/>
      <c r="SBH48" s="149"/>
      <c r="SBI48" s="149"/>
      <c r="SBJ48" s="149"/>
      <c r="SBK48" s="149"/>
      <c r="SBL48" s="149"/>
      <c r="SBM48" s="149"/>
      <c r="SBN48" s="149"/>
      <c r="SBO48" s="149"/>
      <c r="SBP48" s="149"/>
      <c r="SBQ48" s="149"/>
      <c r="SBR48" s="149"/>
      <c r="SBS48" s="149"/>
      <c r="SBT48" s="149"/>
      <c r="SBU48" s="149"/>
      <c r="SBV48" s="149"/>
      <c r="SBW48" s="149"/>
      <c r="SBX48" s="149"/>
      <c r="SBY48" s="149"/>
      <c r="SBZ48" s="149"/>
      <c r="SCA48" s="149"/>
      <c r="SCB48" s="149"/>
      <c r="SCC48" s="149"/>
      <c r="SCD48" s="149"/>
      <c r="SCE48" s="149"/>
      <c r="SCF48" s="149"/>
      <c r="SCG48" s="149"/>
      <c r="SCH48" s="149"/>
      <c r="SCI48" s="149"/>
      <c r="SCJ48" s="149"/>
      <c r="SCK48" s="149"/>
      <c r="SCL48" s="149"/>
      <c r="SCM48" s="149"/>
      <c r="SCN48" s="149"/>
      <c r="SCO48" s="149"/>
      <c r="SCP48" s="149"/>
      <c r="SCQ48" s="149"/>
      <c r="SCR48" s="149"/>
      <c r="SCS48" s="149"/>
      <c r="SCT48" s="149"/>
      <c r="SCU48" s="149"/>
      <c r="SCV48" s="149"/>
      <c r="SCW48" s="149"/>
      <c r="SCX48" s="149"/>
      <c r="SCY48" s="149"/>
      <c r="SCZ48" s="149"/>
      <c r="SDA48" s="149"/>
      <c r="SDB48" s="149"/>
      <c r="SDC48" s="149"/>
      <c r="SDD48" s="149"/>
      <c r="SDE48" s="149"/>
      <c r="SDF48" s="149"/>
      <c r="SDG48" s="149"/>
      <c r="SDH48" s="149"/>
      <c r="SDI48" s="149"/>
      <c r="SDJ48" s="149"/>
      <c r="SDK48" s="149"/>
      <c r="SDL48" s="149"/>
      <c r="SDM48" s="149"/>
      <c r="SDN48" s="149"/>
      <c r="SDO48" s="149"/>
      <c r="SDP48" s="149"/>
      <c r="SDQ48" s="149"/>
      <c r="SDR48" s="149"/>
      <c r="SDS48" s="149"/>
      <c r="SDT48" s="149"/>
      <c r="SDU48" s="149"/>
      <c r="SDV48" s="149"/>
      <c r="SDW48" s="149"/>
      <c r="SDX48" s="149"/>
      <c r="SDY48" s="149"/>
      <c r="SDZ48" s="149"/>
      <c r="SEA48" s="149"/>
      <c r="SEB48" s="149"/>
      <c r="SEC48" s="149"/>
      <c r="SED48" s="149"/>
      <c r="SEE48" s="149"/>
      <c r="SEF48" s="149"/>
      <c r="SEG48" s="149"/>
      <c r="SEH48" s="149"/>
      <c r="SEI48" s="149"/>
      <c r="SEJ48" s="149"/>
      <c r="SEK48" s="149"/>
      <c r="SEL48" s="149"/>
      <c r="SEM48" s="149"/>
      <c r="SEN48" s="149"/>
      <c r="SEO48" s="149"/>
      <c r="SEP48" s="149"/>
      <c r="SEQ48" s="149"/>
      <c r="SER48" s="149"/>
      <c r="SES48" s="149"/>
      <c r="SET48" s="149"/>
      <c r="SEU48" s="149"/>
      <c r="SEV48" s="149"/>
      <c r="SEW48" s="149"/>
      <c r="SEX48" s="149"/>
      <c r="SEY48" s="149"/>
      <c r="SEZ48" s="149"/>
      <c r="SFA48" s="149"/>
      <c r="SFB48" s="149"/>
      <c r="SFC48" s="149"/>
      <c r="SFD48" s="149"/>
      <c r="SFE48" s="149"/>
      <c r="SFF48" s="149"/>
      <c r="SFG48" s="149"/>
      <c r="SFH48" s="149"/>
      <c r="SFI48" s="149"/>
      <c r="SFJ48" s="149"/>
      <c r="SFK48" s="149"/>
      <c r="SFL48" s="149"/>
      <c r="SFM48" s="149"/>
      <c r="SFN48" s="149"/>
      <c r="SFO48" s="149"/>
      <c r="SFP48" s="149"/>
      <c r="SFQ48" s="149"/>
      <c r="SFR48" s="149"/>
      <c r="SFS48" s="149"/>
      <c r="SFT48" s="149"/>
      <c r="SFU48" s="149"/>
      <c r="SFV48" s="149"/>
      <c r="SFW48" s="149"/>
      <c r="SFX48" s="149"/>
      <c r="SFY48" s="149"/>
      <c r="SFZ48" s="149"/>
      <c r="SGA48" s="149"/>
      <c r="SGB48" s="149"/>
      <c r="SGC48" s="149"/>
      <c r="SGD48" s="149"/>
      <c r="SGE48" s="149"/>
      <c r="SGF48" s="149"/>
      <c r="SGG48" s="149"/>
      <c r="SGH48" s="149"/>
      <c r="SGI48" s="149"/>
      <c r="SGJ48" s="149"/>
      <c r="SGK48" s="149"/>
      <c r="SGL48" s="149"/>
      <c r="SGM48" s="149"/>
      <c r="SGN48" s="149"/>
      <c r="SGO48" s="149"/>
      <c r="SGP48" s="149"/>
      <c r="SGQ48" s="149"/>
      <c r="SGR48" s="149"/>
      <c r="SGS48" s="149"/>
      <c r="SGT48" s="149"/>
      <c r="SGU48" s="149"/>
      <c r="SGV48" s="149"/>
      <c r="SGW48" s="149"/>
      <c r="SGX48" s="149"/>
      <c r="SGY48" s="149"/>
      <c r="SGZ48" s="149"/>
      <c r="SHA48" s="149"/>
      <c r="SHB48" s="149"/>
      <c r="SHC48" s="149"/>
      <c r="SHD48" s="149"/>
      <c r="SHE48" s="149"/>
      <c r="SHF48" s="149"/>
      <c r="SHG48" s="149"/>
      <c r="SHH48" s="149"/>
      <c r="SHI48" s="149"/>
      <c r="SHJ48" s="149"/>
      <c r="SHK48" s="149"/>
      <c r="SHL48" s="149"/>
      <c r="SHM48" s="149"/>
      <c r="SHN48" s="149"/>
      <c r="SHO48" s="149"/>
      <c r="SHP48" s="149"/>
      <c r="SHQ48" s="149"/>
      <c r="SHR48" s="149"/>
      <c r="SHS48" s="149"/>
      <c r="SHT48" s="149"/>
      <c r="SHU48" s="149"/>
      <c r="SHV48" s="149"/>
      <c r="SHW48" s="149"/>
      <c r="SHX48" s="149"/>
      <c r="SHY48" s="149"/>
      <c r="SHZ48" s="149"/>
      <c r="SIA48" s="149"/>
      <c r="SIB48" s="149"/>
      <c r="SIC48" s="149"/>
      <c r="SID48" s="149"/>
      <c r="SIE48" s="149"/>
      <c r="SIF48" s="149"/>
      <c r="SIG48" s="149"/>
      <c r="SIH48" s="149"/>
      <c r="SII48" s="149"/>
      <c r="SIJ48" s="149"/>
      <c r="SIK48" s="149"/>
      <c r="SIL48" s="149"/>
      <c r="SIM48" s="149"/>
      <c r="SIN48" s="149"/>
      <c r="SIO48" s="149"/>
      <c r="SIP48" s="149"/>
      <c r="SIQ48" s="149"/>
      <c r="SIR48" s="149"/>
      <c r="SIS48" s="149"/>
      <c r="SIT48" s="149"/>
      <c r="SIU48" s="149"/>
      <c r="SIV48" s="149"/>
      <c r="SIW48" s="149"/>
      <c r="SIX48" s="149"/>
      <c r="SIY48" s="149"/>
      <c r="SIZ48" s="149"/>
      <c r="SJA48" s="149"/>
      <c r="SJB48" s="149"/>
      <c r="SJC48" s="149"/>
      <c r="SJD48" s="149"/>
      <c r="SJE48" s="149"/>
      <c r="SJF48" s="149"/>
      <c r="SJG48" s="149"/>
      <c r="SJH48" s="149"/>
      <c r="SJI48" s="149"/>
      <c r="SJJ48" s="149"/>
      <c r="SJK48" s="149"/>
      <c r="SJL48" s="149"/>
      <c r="SJM48" s="149"/>
      <c r="SJN48" s="149"/>
      <c r="SJO48" s="149"/>
      <c r="SJP48" s="149"/>
      <c r="SJQ48" s="149"/>
      <c r="SJR48" s="149"/>
      <c r="SJS48" s="149"/>
      <c r="SJT48" s="149"/>
      <c r="SJU48" s="149"/>
      <c r="SJV48" s="149"/>
      <c r="SJW48" s="149"/>
      <c r="SJX48" s="149"/>
      <c r="SJY48" s="149"/>
      <c r="SJZ48" s="149"/>
      <c r="SKA48" s="149"/>
      <c r="SKB48" s="149"/>
      <c r="SKC48" s="149"/>
      <c r="SKD48" s="149"/>
      <c r="SKE48" s="149"/>
      <c r="SKF48" s="149"/>
      <c r="SKG48" s="149"/>
      <c r="SKH48" s="149"/>
      <c r="SKI48" s="149"/>
      <c r="SKJ48" s="149"/>
      <c r="SKK48" s="149"/>
      <c r="SKL48" s="149"/>
      <c r="SKM48" s="149"/>
      <c r="SKN48" s="149"/>
      <c r="SKO48" s="149"/>
      <c r="SKP48" s="149"/>
      <c r="SKQ48" s="149"/>
      <c r="SKR48" s="149"/>
      <c r="SKS48" s="149"/>
      <c r="SKT48" s="149"/>
      <c r="SKU48" s="149"/>
      <c r="SKV48" s="149"/>
      <c r="SKW48" s="149"/>
      <c r="SKX48" s="149"/>
      <c r="SKY48" s="149"/>
      <c r="SKZ48" s="149"/>
      <c r="SLA48" s="149"/>
      <c r="SLB48" s="149"/>
      <c r="SLC48" s="149"/>
      <c r="SLD48" s="149"/>
      <c r="SLE48" s="149"/>
      <c r="SLF48" s="149"/>
      <c r="SLG48" s="149"/>
      <c r="SLH48" s="149"/>
      <c r="SLI48" s="149"/>
      <c r="SLJ48" s="149"/>
      <c r="SLK48" s="149"/>
      <c r="SLL48" s="149"/>
      <c r="SLM48" s="149"/>
      <c r="SLN48" s="149"/>
      <c r="SLO48" s="149"/>
      <c r="SLP48" s="149"/>
      <c r="SLQ48" s="149"/>
      <c r="SLR48" s="149"/>
      <c r="SLS48" s="149"/>
      <c r="SLT48" s="149"/>
      <c r="SLU48" s="149"/>
      <c r="SLV48" s="149"/>
      <c r="SLW48" s="149"/>
      <c r="SLX48" s="149"/>
      <c r="SLY48" s="149"/>
      <c r="SLZ48" s="149"/>
      <c r="SMA48" s="149"/>
      <c r="SMB48" s="149"/>
      <c r="SMC48" s="149"/>
      <c r="SMD48" s="149"/>
      <c r="SME48" s="149"/>
      <c r="SMF48" s="149"/>
      <c r="SMG48" s="149"/>
      <c r="SMH48" s="149"/>
      <c r="SMI48" s="149"/>
      <c r="SMJ48" s="149"/>
      <c r="SMK48" s="149"/>
      <c r="SML48" s="149"/>
      <c r="SMM48" s="149"/>
      <c r="SMN48" s="149"/>
      <c r="SMO48" s="149"/>
      <c r="SMP48" s="149"/>
      <c r="SMQ48" s="149"/>
      <c r="SMR48" s="149"/>
      <c r="SMS48" s="149"/>
      <c r="SMT48" s="149"/>
      <c r="SMU48" s="149"/>
      <c r="SMV48" s="149"/>
      <c r="SMW48" s="149"/>
      <c r="SMX48" s="149"/>
      <c r="SMY48" s="149"/>
      <c r="SMZ48" s="149"/>
      <c r="SNA48" s="149"/>
      <c r="SNB48" s="149"/>
      <c r="SNC48" s="149"/>
      <c r="SND48" s="149"/>
      <c r="SNE48" s="149"/>
      <c r="SNF48" s="149"/>
      <c r="SNG48" s="149"/>
      <c r="SNH48" s="149"/>
      <c r="SNI48" s="149"/>
      <c r="SNJ48" s="149"/>
      <c r="SNK48" s="149"/>
      <c r="SNL48" s="149"/>
      <c r="SNM48" s="149"/>
      <c r="SNN48" s="149"/>
      <c r="SNO48" s="149"/>
      <c r="SNP48" s="149"/>
      <c r="SNQ48" s="149"/>
      <c r="SNR48" s="149"/>
      <c r="SNS48" s="149"/>
      <c r="SNT48" s="149"/>
      <c r="SNU48" s="149"/>
      <c r="SNV48" s="149"/>
      <c r="SNW48" s="149"/>
      <c r="SNX48" s="149"/>
      <c r="SNY48" s="149"/>
      <c r="SNZ48" s="149"/>
      <c r="SOA48" s="149"/>
      <c r="SOB48" s="149"/>
      <c r="SOC48" s="149"/>
      <c r="SOD48" s="149"/>
      <c r="SOE48" s="149"/>
      <c r="SOF48" s="149"/>
      <c r="SOG48" s="149"/>
      <c r="SOH48" s="149"/>
      <c r="SOI48" s="149"/>
      <c r="SOJ48" s="149"/>
      <c r="SOK48" s="149"/>
      <c r="SOL48" s="149"/>
      <c r="SOM48" s="149"/>
      <c r="SON48" s="149"/>
      <c r="SOO48" s="149"/>
      <c r="SOP48" s="149"/>
      <c r="SOQ48" s="149"/>
      <c r="SOR48" s="149"/>
      <c r="SOS48" s="149"/>
      <c r="SOT48" s="149"/>
      <c r="SOU48" s="149"/>
      <c r="SOV48" s="149"/>
      <c r="SOW48" s="149"/>
      <c r="SOX48" s="149"/>
      <c r="SOY48" s="149"/>
      <c r="SOZ48" s="149"/>
      <c r="SPA48" s="149"/>
      <c r="SPB48" s="149"/>
      <c r="SPC48" s="149"/>
      <c r="SPD48" s="149"/>
      <c r="SPE48" s="149"/>
      <c r="SPF48" s="149"/>
      <c r="SPG48" s="149"/>
      <c r="SPH48" s="149"/>
      <c r="SPI48" s="149"/>
      <c r="SPJ48" s="149"/>
      <c r="SPK48" s="149"/>
      <c r="SPL48" s="149"/>
      <c r="SPM48" s="149"/>
      <c r="SPN48" s="149"/>
      <c r="SPO48" s="149"/>
      <c r="SPP48" s="149"/>
      <c r="SPQ48" s="149"/>
      <c r="SPR48" s="149"/>
      <c r="SPS48" s="149"/>
      <c r="SPT48" s="149"/>
      <c r="SPU48" s="149"/>
      <c r="SPV48" s="149"/>
      <c r="SPW48" s="149"/>
      <c r="SPX48" s="149"/>
      <c r="SPY48" s="149"/>
      <c r="SPZ48" s="149"/>
      <c r="SQA48" s="149"/>
      <c r="SQB48" s="149"/>
      <c r="SQC48" s="149"/>
      <c r="SQD48" s="149"/>
      <c r="SQE48" s="149"/>
      <c r="SQF48" s="149"/>
      <c r="SQG48" s="149"/>
      <c r="SQH48" s="149"/>
      <c r="SQI48" s="149"/>
      <c r="SQJ48" s="149"/>
      <c r="SQK48" s="149"/>
      <c r="SQL48" s="149"/>
      <c r="SQM48" s="149"/>
      <c r="SQN48" s="149"/>
      <c r="SQO48" s="149"/>
      <c r="SQP48" s="149"/>
      <c r="SQQ48" s="149"/>
      <c r="SQR48" s="149"/>
      <c r="SQS48" s="149"/>
      <c r="SQT48" s="149"/>
      <c r="SQU48" s="149"/>
      <c r="SQV48" s="149"/>
      <c r="SQW48" s="149"/>
      <c r="SQX48" s="149"/>
      <c r="SQY48" s="149"/>
      <c r="SQZ48" s="149"/>
      <c r="SRA48" s="149"/>
      <c r="SRB48" s="149"/>
      <c r="SRC48" s="149"/>
      <c r="SRD48" s="149"/>
      <c r="SRE48" s="149"/>
      <c r="SRF48" s="149"/>
      <c r="SRG48" s="149"/>
      <c r="SRH48" s="149"/>
      <c r="SRI48" s="149"/>
      <c r="SRJ48" s="149"/>
      <c r="SRK48" s="149"/>
      <c r="SRL48" s="149"/>
      <c r="SRM48" s="149"/>
      <c r="SRN48" s="149"/>
      <c r="SRO48" s="149"/>
      <c r="SRP48" s="149"/>
      <c r="SRQ48" s="149"/>
      <c r="SRR48" s="149"/>
      <c r="SRS48" s="149"/>
      <c r="SRT48" s="149"/>
      <c r="SRU48" s="149"/>
      <c r="SRV48" s="149"/>
      <c r="SRW48" s="149"/>
      <c r="SRX48" s="149"/>
      <c r="SRY48" s="149"/>
      <c r="SRZ48" s="149"/>
      <c r="SSA48" s="149"/>
      <c r="SSB48" s="149"/>
      <c r="SSC48" s="149"/>
      <c r="SSD48" s="149"/>
      <c r="SSE48" s="149"/>
      <c r="SSF48" s="149"/>
      <c r="SSG48" s="149"/>
      <c r="SSH48" s="149"/>
      <c r="SSI48" s="149"/>
      <c r="SSJ48" s="149"/>
      <c r="SSK48" s="149"/>
      <c r="SSL48" s="149"/>
      <c r="SSM48" s="149"/>
      <c r="SSN48" s="149"/>
      <c r="SSO48" s="149"/>
      <c r="SSP48" s="149"/>
      <c r="SSQ48" s="149"/>
      <c r="SSR48" s="149"/>
      <c r="SSS48" s="149"/>
      <c r="SST48" s="149"/>
      <c r="SSU48" s="149"/>
      <c r="SSV48" s="149"/>
      <c r="SSW48" s="149"/>
      <c r="SSX48" s="149"/>
      <c r="SSY48" s="149"/>
      <c r="SSZ48" s="149"/>
      <c r="STA48" s="149"/>
      <c r="STB48" s="149"/>
      <c r="STC48" s="149"/>
      <c r="STD48" s="149"/>
      <c r="STE48" s="149"/>
      <c r="STF48" s="149"/>
      <c r="STG48" s="149"/>
      <c r="STH48" s="149"/>
      <c r="STI48" s="149"/>
      <c r="STJ48" s="149"/>
      <c r="STK48" s="149"/>
      <c r="STL48" s="149"/>
      <c r="STM48" s="149"/>
      <c r="STN48" s="149"/>
      <c r="STO48" s="149"/>
      <c r="STP48" s="149"/>
      <c r="STQ48" s="149"/>
      <c r="STR48" s="149"/>
      <c r="STS48" s="149"/>
      <c r="STT48" s="149"/>
      <c r="STU48" s="149"/>
      <c r="STV48" s="149"/>
      <c r="STW48" s="149"/>
      <c r="STX48" s="149"/>
      <c r="STY48" s="149"/>
      <c r="STZ48" s="149"/>
      <c r="SUA48" s="149"/>
      <c r="SUB48" s="149"/>
      <c r="SUC48" s="149"/>
      <c r="SUD48" s="149"/>
      <c r="SUE48" s="149"/>
      <c r="SUF48" s="149"/>
      <c r="SUG48" s="149"/>
      <c r="SUH48" s="149"/>
      <c r="SUI48" s="149"/>
      <c r="SUJ48" s="149"/>
      <c r="SUK48" s="149"/>
      <c r="SUL48" s="149"/>
      <c r="SUM48" s="149"/>
      <c r="SUN48" s="149"/>
      <c r="SUO48" s="149"/>
      <c r="SUP48" s="149"/>
      <c r="SUQ48" s="149"/>
      <c r="SUR48" s="149"/>
      <c r="SUS48" s="149"/>
      <c r="SUT48" s="149"/>
      <c r="SUU48" s="149"/>
      <c r="SUV48" s="149"/>
      <c r="SUW48" s="149"/>
      <c r="SUX48" s="149"/>
      <c r="SUY48" s="149"/>
      <c r="SUZ48" s="149"/>
      <c r="SVA48" s="149"/>
      <c r="SVB48" s="149"/>
      <c r="SVC48" s="149"/>
      <c r="SVD48" s="149"/>
      <c r="SVE48" s="149"/>
      <c r="SVF48" s="149"/>
      <c r="SVG48" s="149"/>
      <c r="SVH48" s="149"/>
      <c r="SVI48" s="149"/>
      <c r="SVJ48" s="149"/>
      <c r="SVK48" s="149"/>
      <c r="SVL48" s="149"/>
      <c r="SVM48" s="149"/>
      <c r="SVN48" s="149"/>
      <c r="SVO48" s="149"/>
      <c r="SVP48" s="149"/>
      <c r="SVQ48" s="149"/>
      <c r="SVR48" s="149"/>
      <c r="SVS48" s="149"/>
      <c r="SVT48" s="149"/>
      <c r="SVU48" s="149"/>
      <c r="SVV48" s="149"/>
      <c r="SVW48" s="149"/>
      <c r="SVX48" s="149"/>
      <c r="SVY48" s="149"/>
      <c r="SVZ48" s="149"/>
      <c r="SWA48" s="149"/>
      <c r="SWB48" s="149"/>
      <c r="SWC48" s="149"/>
      <c r="SWD48" s="149"/>
      <c r="SWE48" s="149"/>
      <c r="SWF48" s="149"/>
      <c r="SWG48" s="149"/>
      <c r="SWH48" s="149"/>
      <c r="SWI48" s="149"/>
      <c r="SWJ48" s="149"/>
      <c r="SWK48" s="149"/>
      <c r="SWL48" s="149"/>
      <c r="SWM48" s="149"/>
      <c r="SWN48" s="149"/>
      <c r="SWO48" s="149"/>
      <c r="SWP48" s="149"/>
      <c r="SWQ48" s="149"/>
      <c r="SWR48" s="149"/>
      <c r="SWS48" s="149"/>
      <c r="SWT48" s="149"/>
      <c r="SWU48" s="149"/>
      <c r="SWV48" s="149"/>
      <c r="SWW48" s="149"/>
      <c r="SWX48" s="149"/>
      <c r="SWY48" s="149"/>
      <c r="SWZ48" s="149"/>
      <c r="SXA48" s="149"/>
      <c r="SXB48" s="149"/>
      <c r="SXC48" s="149"/>
      <c r="SXD48" s="149"/>
      <c r="SXE48" s="149"/>
      <c r="SXF48" s="149"/>
      <c r="SXG48" s="149"/>
      <c r="SXH48" s="149"/>
      <c r="SXI48" s="149"/>
      <c r="SXJ48" s="149"/>
      <c r="SXK48" s="149"/>
      <c r="SXL48" s="149"/>
      <c r="SXM48" s="149"/>
      <c r="SXN48" s="149"/>
      <c r="SXO48" s="149"/>
      <c r="SXP48" s="149"/>
      <c r="SXQ48" s="149"/>
      <c r="SXR48" s="149"/>
      <c r="SXS48" s="149"/>
      <c r="SXT48" s="149"/>
      <c r="SXU48" s="149"/>
      <c r="SXV48" s="149"/>
      <c r="SXW48" s="149"/>
      <c r="SXX48" s="149"/>
      <c r="SXY48" s="149"/>
      <c r="SXZ48" s="149"/>
      <c r="SYA48" s="149"/>
      <c r="SYB48" s="149"/>
      <c r="SYC48" s="149"/>
      <c r="SYD48" s="149"/>
      <c r="SYE48" s="149"/>
      <c r="SYF48" s="149"/>
      <c r="SYG48" s="149"/>
      <c r="SYH48" s="149"/>
      <c r="SYI48" s="149"/>
      <c r="SYJ48" s="149"/>
      <c r="SYK48" s="149"/>
      <c r="SYL48" s="149"/>
      <c r="SYM48" s="149"/>
      <c r="SYN48" s="149"/>
      <c r="SYO48" s="149"/>
      <c r="SYP48" s="149"/>
      <c r="SYQ48" s="149"/>
      <c r="SYR48" s="149"/>
      <c r="SYS48" s="149"/>
      <c r="SYT48" s="149"/>
      <c r="SYU48" s="149"/>
      <c r="SYV48" s="149"/>
      <c r="SYW48" s="149"/>
      <c r="SYX48" s="149"/>
      <c r="SYY48" s="149"/>
      <c r="SYZ48" s="149"/>
      <c r="SZA48" s="149"/>
      <c r="SZB48" s="149"/>
      <c r="SZC48" s="149"/>
      <c r="SZD48" s="149"/>
      <c r="SZE48" s="149"/>
      <c r="SZF48" s="149"/>
      <c r="SZG48" s="149"/>
      <c r="SZH48" s="149"/>
      <c r="SZI48" s="149"/>
      <c r="SZJ48" s="149"/>
      <c r="SZK48" s="149"/>
      <c r="SZL48" s="149"/>
      <c r="SZM48" s="149"/>
      <c r="SZN48" s="149"/>
      <c r="SZO48" s="149"/>
      <c r="SZP48" s="149"/>
      <c r="SZQ48" s="149"/>
      <c r="SZR48" s="149"/>
      <c r="SZS48" s="149"/>
      <c r="SZT48" s="149"/>
      <c r="SZU48" s="149"/>
      <c r="SZV48" s="149"/>
      <c r="SZW48" s="149"/>
      <c r="SZX48" s="149"/>
      <c r="SZY48" s="149"/>
      <c r="SZZ48" s="149"/>
      <c r="TAA48" s="149"/>
      <c r="TAB48" s="149"/>
      <c r="TAC48" s="149"/>
      <c r="TAD48" s="149"/>
      <c r="TAE48" s="149"/>
      <c r="TAF48" s="149"/>
      <c r="TAG48" s="149"/>
      <c r="TAH48" s="149"/>
      <c r="TAI48" s="149"/>
      <c r="TAJ48" s="149"/>
      <c r="TAK48" s="149"/>
      <c r="TAL48" s="149"/>
      <c r="TAM48" s="149"/>
      <c r="TAN48" s="149"/>
      <c r="TAO48" s="149"/>
      <c r="TAP48" s="149"/>
      <c r="TAQ48" s="149"/>
      <c r="TAR48" s="149"/>
      <c r="TAS48" s="149"/>
      <c r="TAT48" s="149"/>
      <c r="TAU48" s="149"/>
      <c r="TAV48" s="149"/>
      <c r="TAW48" s="149"/>
      <c r="TAX48" s="149"/>
      <c r="TAY48" s="149"/>
      <c r="TAZ48" s="149"/>
      <c r="TBA48" s="149"/>
      <c r="TBB48" s="149"/>
      <c r="TBC48" s="149"/>
      <c r="TBD48" s="149"/>
      <c r="TBE48" s="149"/>
      <c r="TBF48" s="149"/>
      <c r="TBG48" s="149"/>
      <c r="TBH48" s="149"/>
      <c r="TBI48" s="149"/>
      <c r="TBJ48" s="149"/>
      <c r="TBK48" s="149"/>
      <c r="TBL48" s="149"/>
      <c r="TBM48" s="149"/>
      <c r="TBN48" s="149"/>
      <c r="TBO48" s="149"/>
      <c r="TBP48" s="149"/>
      <c r="TBQ48" s="149"/>
      <c r="TBR48" s="149"/>
      <c r="TBS48" s="149"/>
      <c r="TBT48" s="149"/>
      <c r="TBU48" s="149"/>
      <c r="TBV48" s="149"/>
      <c r="TBW48" s="149"/>
      <c r="TBX48" s="149"/>
      <c r="TBY48" s="149"/>
      <c r="TBZ48" s="149"/>
      <c r="TCA48" s="149"/>
      <c r="TCB48" s="149"/>
      <c r="TCC48" s="149"/>
      <c r="TCD48" s="149"/>
      <c r="TCE48" s="149"/>
      <c r="TCF48" s="149"/>
      <c r="TCG48" s="149"/>
      <c r="TCH48" s="149"/>
      <c r="TCI48" s="149"/>
      <c r="TCJ48" s="149"/>
      <c r="TCK48" s="149"/>
      <c r="TCL48" s="149"/>
      <c r="TCM48" s="149"/>
      <c r="TCN48" s="149"/>
      <c r="TCO48" s="149"/>
      <c r="TCP48" s="149"/>
      <c r="TCQ48" s="149"/>
      <c r="TCR48" s="149"/>
      <c r="TCS48" s="149"/>
      <c r="TCT48" s="149"/>
      <c r="TCU48" s="149"/>
      <c r="TCV48" s="149"/>
      <c r="TCW48" s="149"/>
      <c r="TCX48" s="149"/>
      <c r="TCY48" s="149"/>
      <c r="TCZ48" s="149"/>
      <c r="TDA48" s="149"/>
      <c r="TDB48" s="149"/>
      <c r="TDC48" s="149"/>
      <c r="TDD48" s="149"/>
      <c r="TDE48" s="149"/>
      <c r="TDF48" s="149"/>
      <c r="TDG48" s="149"/>
      <c r="TDH48" s="149"/>
      <c r="TDI48" s="149"/>
      <c r="TDJ48" s="149"/>
      <c r="TDK48" s="149"/>
      <c r="TDL48" s="149"/>
      <c r="TDM48" s="149"/>
      <c r="TDN48" s="149"/>
      <c r="TDO48" s="149"/>
      <c r="TDP48" s="149"/>
      <c r="TDQ48" s="149"/>
      <c r="TDR48" s="149"/>
      <c r="TDS48" s="149"/>
      <c r="TDT48" s="149"/>
      <c r="TDU48" s="149"/>
      <c r="TDV48" s="149"/>
      <c r="TDW48" s="149"/>
      <c r="TDX48" s="149"/>
      <c r="TDY48" s="149"/>
      <c r="TDZ48" s="149"/>
      <c r="TEA48" s="149"/>
      <c r="TEB48" s="149"/>
      <c r="TEC48" s="149"/>
      <c r="TED48" s="149"/>
      <c r="TEE48" s="149"/>
      <c r="TEF48" s="149"/>
      <c r="TEG48" s="149"/>
      <c r="TEH48" s="149"/>
      <c r="TEI48" s="149"/>
      <c r="TEJ48" s="149"/>
      <c r="TEK48" s="149"/>
      <c r="TEL48" s="149"/>
      <c r="TEM48" s="149"/>
      <c r="TEN48" s="149"/>
      <c r="TEO48" s="149"/>
      <c r="TEP48" s="149"/>
      <c r="TEQ48" s="149"/>
      <c r="TER48" s="149"/>
      <c r="TES48" s="149"/>
      <c r="TET48" s="149"/>
      <c r="TEU48" s="149"/>
      <c r="TEV48" s="149"/>
      <c r="TEW48" s="149"/>
      <c r="TEX48" s="149"/>
      <c r="TEY48" s="149"/>
      <c r="TEZ48" s="149"/>
      <c r="TFA48" s="149"/>
      <c r="TFB48" s="149"/>
      <c r="TFC48" s="149"/>
      <c r="TFD48" s="149"/>
      <c r="TFE48" s="149"/>
      <c r="TFF48" s="149"/>
      <c r="TFG48" s="149"/>
      <c r="TFH48" s="149"/>
      <c r="TFI48" s="149"/>
      <c r="TFJ48" s="149"/>
      <c r="TFK48" s="149"/>
      <c r="TFL48" s="149"/>
      <c r="TFM48" s="149"/>
      <c r="TFN48" s="149"/>
      <c r="TFO48" s="149"/>
      <c r="TFP48" s="149"/>
      <c r="TFQ48" s="149"/>
      <c r="TFR48" s="149"/>
      <c r="TFS48" s="149"/>
      <c r="TFT48" s="149"/>
      <c r="TFU48" s="149"/>
      <c r="TFV48" s="149"/>
      <c r="TFW48" s="149"/>
      <c r="TFX48" s="149"/>
      <c r="TFY48" s="149"/>
      <c r="TFZ48" s="149"/>
      <c r="TGA48" s="149"/>
      <c r="TGB48" s="149"/>
      <c r="TGC48" s="149"/>
      <c r="TGD48" s="149"/>
      <c r="TGE48" s="149"/>
      <c r="TGF48" s="149"/>
      <c r="TGG48" s="149"/>
      <c r="TGH48" s="149"/>
      <c r="TGI48" s="149"/>
      <c r="TGJ48" s="149"/>
      <c r="TGK48" s="149"/>
      <c r="TGL48" s="149"/>
      <c r="TGM48" s="149"/>
      <c r="TGN48" s="149"/>
      <c r="TGO48" s="149"/>
      <c r="TGP48" s="149"/>
      <c r="TGQ48" s="149"/>
      <c r="TGR48" s="149"/>
      <c r="TGS48" s="149"/>
      <c r="TGT48" s="149"/>
      <c r="TGU48" s="149"/>
      <c r="TGV48" s="149"/>
      <c r="TGW48" s="149"/>
      <c r="TGX48" s="149"/>
      <c r="TGY48" s="149"/>
      <c r="TGZ48" s="149"/>
      <c r="THA48" s="149"/>
      <c r="THB48" s="149"/>
      <c r="THC48" s="149"/>
      <c r="THD48" s="149"/>
      <c r="THE48" s="149"/>
      <c r="THF48" s="149"/>
      <c r="THG48" s="149"/>
      <c r="THH48" s="149"/>
      <c r="THI48" s="149"/>
      <c r="THJ48" s="149"/>
      <c r="THK48" s="149"/>
      <c r="THL48" s="149"/>
      <c r="THM48" s="149"/>
      <c r="THN48" s="149"/>
      <c r="THO48" s="149"/>
      <c r="THP48" s="149"/>
      <c r="THQ48" s="149"/>
      <c r="THR48" s="149"/>
      <c r="THS48" s="149"/>
      <c r="THT48" s="149"/>
      <c r="THU48" s="149"/>
      <c r="THV48" s="149"/>
      <c r="THW48" s="149"/>
      <c r="THX48" s="149"/>
      <c r="THY48" s="149"/>
      <c r="THZ48" s="149"/>
      <c r="TIA48" s="149"/>
      <c r="TIB48" s="149"/>
      <c r="TIC48" s="149"/>
      <c r="TID48" s="149"/>
      <c r="TIE48" s="149"/>
      <c r="TIF48" s="149"/>
      <c r="TIG48" s="149"/>
      <c r="TIH48" s="149"/>
      <c r="TII48" s="149"/>
      <c r="TIJ48" s="149"/>
      <c r="TIK48" s="149"/>
      <c r="TIL48" s="149"/>
      <c r="TIM48" s="149"/>
      <c r="TIN48" s="149"/>
      <c r="TIO48" s="149"/>
      <c r="TIP48" s="149"/>
      <c r="TIQ48" s="149"/>
      <c r="TIR48" s="149"/>
      <c r="TIS48" s="149"/>
      <c r="TIT48" s="149"/>
      <c r="TIU48" s="149"/>
      <c r="TIV48" s="149"/>
      <c r="TIW48" s="149"/>
      <c r="TIX48" s="149"/>
      <c r="TIY48" s="149"/>
      <c r="TIZ48" s="149"/>
      <c r="TJA48" s="149"/>
      <c r="TJB48" s="149"/>
      <c r="TJC48" s="149"/>
      <c r="TJD48" s="149"/>
      <c r="TJE48" s="149"/>
      <c r="TJF48" s="149"/>
      <c r="TJG48" s="149"/>
      <c r="TJH48" s="149"/>
      <c r="TJI48" s="149"/>
      <c r="TJJ48" s="149"/>
      <c r="TJK48" s="149"/>
      <c r="TJL48" s="149"/>
      <c r="TJM48" s="149"/>
      <c r="TJN48" s="149"/>
      <c r="TJO48" s="149"/>
      <c r="TJP48" s="149"/>
      <c r="TJQ48" s="149"/>
      <c r="TJR48" s="149"/>
      <c r="TJS48" s="149"/>
      <c r="TJT48" s="149"/>
      <c r="TJU48" s="149"/>
      <c r="TJV48" s="149"/>
      <c r="TJW48" s="149"/>
      <c r="TJX48" s="149"/>
      <c r="TJY48" s="149"/>
      <c r="TJZ48" s="149"/>
      <c r="TKA48" s="149"/>
      <c r="TKB48" s="149"/>
      <c r="TKC48" s="149"/>
      <c r="TKD48" s="149"/>
      <c r="TKE48" s="149"/>
      <c r="TKF48" s="149"/>
      <c r="TKG48" s="149"/>
      <c r="TKH48" s="149"/>
      <c r="TKI48" s="149"/>
      <c r="TKJ48" s="149"/>
      <c r="TKK48" s="149"/>
      <c r="TKL48" s="149"/>
      <c r="TKM48" s="149"/>
      <c r="TKN48" s="149"/>
      <c r="TKO48" s="149"/>
      <c r="TKP48" s="149"/>
      <c r="TKQ48" s="149"/>
      <c r="TKR48" s="149"/>
      <c r="TKS48" s="149"/>
      <c r="TKT48" s="149"/>
      <c r="TKU48" s="149"/>
      <c r="TKV48" s="149"/>
      <c r="TKW48" s="149"/>
      <c r="TKX48" s="149"/>
      <c r="TKY48" s="149"/>
      <c r="TKZ48" s="149"/>
      <c r="TLA48" s="149"/>
      <c r="TLB48" s="149"/>
      <c r="TLC48" s="149"/>
      <c r="TLD48" s="149"/>
      <c r="TLE48" s="149"/>
      <c r="TLF48" s="149"/>
      <c r="TLG48" s="149"/>
      <c r="TLH48" s="149"/>
      <c r="TLI48" s="149"/>
      <c r="TLJ48" s="149"/>
      <c r="TLK48" s="149"/>
      <c r="TLL48" s="149"/>
      <c r="TLM48" s="149"/>
      <c r="TLN48" s="149"/>
      <c r="TLO48" s="149"/>
      <c r="TLP48" s="149"/>
      <c r="TLQ48" s="149"/>
      <c r="TLR48" s="149"/>
      <c r="TLS48" s="149"/>
      <c r="TLT48" s="149"/>
      <c r="TLU48" s="149"/>
      <c r="TLV48" s="149"/>
      <c r="TLW48" s="149"/>
      <c r="TLX48" s="149"/>
      <c r="TLY48" s="149"/>
      <c r="TLZ48" s="149"/>
      <c r="TMA48" s="149"/>
      <c r="TMB48" s="149"/>
      <c r="TMC48" s="149"/>
      <c r="TMD48" s="149"/>
      <c r="TME48" s="149"/>
      <c r="TMF48" s="149"/>
      <c r="TMG48" s="149"/>
      <c r="TMH48" s="149"/>
      <c r="TMI48" s="149"/>
      <c r="TMJ48" s="149"/>
      <c r="TMK48" s="149"/>
      <c r="TML48" s="149"/>
      <c r="TMM48" s="149"/>
      <c r="TMN48" s="149"/>
      <c r="TMO48" s="149"/>
      <c r="TMP48" s="149"/>
      <c r="TMQ48" s="149"/>
      <c r="TMR48" s="149"/>
      <c r="TMS48" s="149"/>
      <c r="TMT48" s="149"/>
      <c r="TMU48" s="149"/>
      <c r="TMV48" s="149"/>
      <c r="TMW48" s="149"/>
      <c r="TMX48" s="149"/>
      <c r="TMY48" s="149"/>
      <c r="TMZ48" s="149"/>
      <c r="TNA48" s="149"/>
      <c r="TNB48" s="149"/>
      <c r="TNC48" s="149"/>
      <c r="TND48" s="149"/>
      <c r="TNE48" s="149"/>
      <c r="TNF48" s="149"/>
      <c r="TNG48" s="149"/>
      <c r="TNH48" s="149"/>
      <c r="TNI48" s="149"/>
      <c r="TNJ48" s="149"/>
      <c r="TNK48" s="149"/>
      <c r="TNL48" s="149"/>
      <c r="TNM48" s="149"/>
      <c r="TNN48" s="149"/>
      <c r="TNO48" s="149"/>
      <c r="TNP48" s="149"/>
      <c r="TNQ48" s="149"/>
      <c r="TNR48" s="149"/>
      <c r="TNS48" s="149"/>
      <c r="TNT48" s="149"/>
      <c r="TNU48" s="149"/>
      <c r="TNV48" s="149"/>
      <c r="TNW48" s="149"/>
      <c r="TNX48" s="149"/>
      <c r="TNY48" s="149"/>
      <c r="TNZ48" s="149"/>
      <c r="TOA48" s="149"/>
      <c r="TOB48" s="149"/>
      <c r="TOC48" s="149"/>
      <c r="TOD48" s="149"/>
      <c r="TOE48" s="149"/>
      <c r="TOF48" s="149"/>
      <c r="TOG48" s="149"/>
      <c r="TOH48" s="149"/>
      <c r="TOI48" s="149"/>
      <c r="TOJ48" s="149"/>
      <c r="TOK48" s="149"/>
      <c r="TOL48" s="149"/>
      <c r="TOM48" s="149"/>
      <c r="TON48" s="149"/>
      <c r="TOO48" s="149"/>
      <c r="TOP48" s="149"/>
      <c r="TOQ48" s="149"/>
      <c r="TOR48" s="149"/>
      <c r="TOS48" s="149"/>
      <c r="TOT48" s="149"/>
      <c r="TOU48" s="149"/>
      <c r="TOV48" s="149"/>
      <c r="TOW48" s="149"/>
      <c r="TOX48" s="149"/>
      <c r="TOY48" s="149"/>
      <c r="TOZ48" s="149"/>
      <c r="TPA48" s="149"/>
      <c r="TPB48" s="149"/>
      <c r="TPC48" s="149"/>
      <c r="TPD48" s="149"/>
      <c r="TPE48" s="149"/>
      <c r="TPF48" s="149"/>
      <c r="TPG48" s="149"/>
      <c r="TPH48" s="149"/>
      <c r="TPI48" s="149"/>
      <c r="TPJ48" s="149"/>
      <c r="TPK48" s="149"/>
      <c r="TPL48" s="149"/>
      <c r="TPM48" s="149"/>
      <c r="TPN48" s="149"/>
      <c r="TPO48" s="149"/>
      <c r="TPP48" s="149"/>
      <c r="TPQ48" s="149"/>
      <c r="TPR48" s="149"/>
      <c r="TPS48" s="149"/>
      <c r="TPT48" s="149"/>
      <c r="TPU48" s="149"/>
      <c r="TPV48" s="149"/>
      <c r="TPW48" s="149"/>
      <c r="TPX48" s="149"/>
      <c r="TPY48" s="149"/>
      <c r="TPZ48" s="149"/>
      <c r="TQA48" s="149"/>
      <c r="TQB48" s="149"/>
      <c r="TQC48" s="149"/>
      <c r="TQD48" s="149"/>
      <c r="TQE48" s="149"/>
      <c r="TQF48" s="149"/>
      <c r="TQG48" s="149"/>
      <c r="TQH48" s="149"/>
      <c r="TQI48" s="149"/>
      <c r="TQJ48" s="149"/>
      <c r="TQK48" s="149"/>
      <c r="TQL48" s="149"/>
      <c r="TQM48" s="149"/>
      <c r="TQN48" s="149"/>
      <c r="TQO48" s="149"/>
      <c r="TQP48" s="149"/>
      <c r="TQQ48" s="149"/>
      <c r="TQR48" s="149"/>
      <c r="TQS48" s="149"/>
      <c r="TQT48" s="149"/>
      <c r="TQU48" s="149"/>
      <c r="TQV48" s="149"/>
      <c r="TQW48" s="149"/>
      <c r="TQX48" s="149"/>
      <c r="TQY48" s="149"/>
      <c r="TQZ48" s="149"/>
      <c r="TRA48" s="149"/>
      <c r="TRB48" s="149"/>
      <c r="TRC48" s="149"/>
      <c r="TRD48" s="149"/>
      <c r="TRE48" s="149"/>
      <c r="TRF48" s="149"/>
      <c r="TRG48" s="149"/>
      <c r="TRH48" s="149"/>
      <c r="TRI48" s="149"/>
      <c r="TRJ48" s="149"/>
      <c r="TRK48" s="149"/>
      <c r="TRL48" s="149"/>
      <c r="TRM48" s="149"/>
      <c r="TRN48" s="149"/>
      <c r="TRO48" s="149"/>
      <c r="TRP48" s="149"/>
      <c r="TRQ48" s="149"/>
      <c r="TRR48" s="149"/>
      <c r="TRS48" s="149"/>
      <c r="TRT48" s="149"/>
      <c r="TRU48" s="149"/>
      <c r="TRV48" s="149"/>
      <c r="TRW48" s="149"/>
      <c r="TRX48" s="149"/>
      <c r="TRY48" s="149"/>
      <c r="TRZ48" s="149"/>
      <c r="TSA48" s="149"/>
      <c r="TSB48" s="149"/>
      <c r="TSC48" s="149"/>
      <c r="TSD48" s="149"/>
      <c r="TSE48" s="149"/>
      <c r="TSF48" s="149"/>
      <c r="TSG48" s="149"/>
      <c r="TSH48" s="149"/>
      <c r="TSI48" s="149"/>
      <c r="TSJ48" s="149"/>
      <c r="TSK48" s="149"/>
      <c r="TSL48" s="149"/>
      <c r="TSM48" s="149"/>
      <c r="TSN48" s="149"/>
      <c r="TSO48" s="149"/>
      <c r="TSP48" s="149"/>
      <c r="TSQ48" s="149"/>
      <c r="TSR48" s="149"/>
      <c r="TSS48" s="149"/>
      <c r="TST48" s="149"/>
      <c r="TSU48" s="149"/>
      <c r="TSV48" s="149"/>
      <c r="TSW48" s="149"/>
      <c r="TSX48" s="149"/>
      <c r="TSY48" s="149"/>
      <c r="TSZ48" s="149"/>
      <c r="TTA48" s="149"/>
      <c r="TTB48" s="149"/>
      <c r="TTC48" s="149"/>
      <c r="TTD48" s="149"/>
      <c r="TTE48" s="149"/>
      <c r="TTF48" s="149"/>
      <c r="TTG48" s="149"/>
      <c r="TTH48" s="149"/>
      <c r="TTI48" s="149"/>
      <c r="TTJ48" s="149"/>
      <c r="TTK48" s="149"/>
      <c r="TTL48" s="149"/>
      <c r="TTM48" s="149"/>
      <c r="TTN48" s="149"/>
      <c r="TTO48" s="149"/>
      <c r="TTP48" s="149"/>
      <c r="TTQ48" s="149"/>
      <c r="TTR48" s="149"/>
      <c r="TTS48" s="149"/>
      <c r="TTT48" s="149"/>
      <c r="TTU48" s="149"/>
      <c r="TTV48" s="149"/>
      <c r="TTW48" s="149"/>
      <c r="TTX48" s="149"/>
      <c r="TTY48" s="149"/>
      <c r="TTZ48" s="149"/>
      <c r="TUA48" s="149"/>
      <c r="TUB48" s="149"/>
      <c r="TUC48" s="149"/>
      <c r="TUD48" s="149"/>
      <c r="TUE48" s="149"/>
      <c r="TUF48" s="149"/>
      <c r="TUG48" s="149"/>
      <c r="TUH48" s="149"/>
      <c r="TUI48" s="149"/>
      <c r="TUJ48" s="149"/>
      <c r="TUK48" s="149"/>
      <c r="TUL48" s="149"/>
      <c r="TUM48" s="149"/>
      <c r="TUN48" s="149"/>
      <c r="TUO48" s="149"/>
      <c r="TUP48" s="149"/>
      <c r="TUQ48" s="149"/>
      <c r="TUR48" s="149"/>
      <c r="TUS48" s="149"/>
      <c r="TUT48" s="149"/>
      <c r="TUU48" s="149"/>
      <c r="TUV48" s="149"/>
      <c r="TUW48" s="149"/>
      <c r="TUX48" s="149"/>
      <c r="TUY48" s="149"/>
      <c r="TUZ48" s="149"/>
      <c r="TVA48" s="149"/>
      <c r="TVB48" s="149"/>
      <c r="TVC48" s="149"/>
      <c r="TVD48" s="149"/>
      <c r="TVE48" s="149"/>
      <c r="TVF48" s="149"/>
      <c r="TVG48" s="149"/>
      <c r="TVH48" s="149"/>
      <c r="TVI48" s="149"/>
      <c r="TVJ48" s="149"/>
      <c r="TVK48" s="149"/>
      <c r="TVL48" s="149"/>
      <c r="TVM48" s="149"/>
      <c r="TVN48" s="149"/>
      <c r="TVO48" s="149"/>
      <c r="TVP48" s="149"/>
      <c r="TVQ48" s="149"/>
      <c r="TVR48" s="149"/>
      <c r="TVS48" s="149"/>
      <c r="TVT48" s="149"/>
      <c r="TVU48" s="149"/>
      <c r="TVV48" s="149"/>
      <c r="TVW48" s="149"/>
      <c r="TVX48" s="149"/>
      <c r="TVY48" s="149"/>
      <c r="TVZ48" s="149"/>
      <c r="TWA48" s="149"/>
      <c r="TWB48" s="149"/>
      <c r="TWC48" s="149"/>
      <c r="TWD48" s="149"/>
      <c r="TWE48" s="149"/>
      <c r="TWF48" s="149"/>
      <c r="TWG48" s="149"/>
      <c r="TWH48" s="149"/>
      <c r="TWI48" s="149"/>
      <c r="TWJ48" s="149"/>
      <c r="TWK48" s="149"/>
      <c r="TWL48" s="149"/>
      <c r="TWM48" s="149"/>
      <c r="TWN48" s="149"/>
      <c r="TWO48" s="149"/>
      <c r="TWP48" s="149"/>
      <c r="TWQ48" s="149"/>
      <c r="TWR48" s="149"/>
      <c r="TWS48" s="149"/>
      <c r="TWT48" s="149"/>
      <c r="TWU48" s="149"/>
      <c r="TWV48" s="149"/>
      <c r="TWW48" s="149"/>
      <c r="TWX48" s="149"/>
      <c r="TWY48" s="149"/>
      <c r="TWZ48" s="149"/>
      <c r="TXA48" s="149"/>
      <c r="TXB48" s="149"/>
      <c r="TXC48" s="149"/>
      <c r="TXD48" s="149"/>
      <c r="TXE48" s="149"/>
      <c r="TXF48" s="149"/>
      <c r="TXG48" s="149"/>
      <c r="TXH48" s="149"/>
      <c r="TXI48" s="149"/>
      <c r="TXJ48" s="149"/>
      <c r="TXK48" s="149"/>
      <c r="TXL48" s="149"/>
      <c r="TXM48" s="149"/>
      <c r="TXN48" s="149"/>
      <c r="TXO48" s="149"/>
      <c r="TXP48" s="149"/>
      <c r="TXQ48" s="149"/>
      <c r="TXR48" s="149"/>
      <c r="TXS48" s="149"/>
      <c r="TXT48" s="149"/>
      <c r="TXU48" s="149"/>
      <c r="TXV48" s="149"/>
      <c r="TXW48" s="149"/>
      <c r="TXX48" s="149"/>
      <c r="TXY48" s="149"/>
      <c r="TXZ48" s="149"/>
      <c r="TYA48" s="149"/>
      <c r="TYB48" s="149"/>
      <c r="TYC48" s="149"/>
      <c r="TYD48" s="149"/>
      <c r="TYE48" s="149"/>
      <c r="TYF48" s="149"/>
      <c r="TYG48" s="149"/>
      <c r="TYH48" s="149"/>
      <c r="TYI48" s="149"/>
      <c r="TYJ48" s="149"/>
      <c r="TYK48" s="149"/>
      <c r="TYL48" s="149"/>
      <c r="TYM48" s="149"/>
      <c r="TYN48" s="149"/>
      <c r="TYO48" s="149"/>
      <c r="TYP48" s="149"/>
      <c r="TYQ48" s="149"/>
      <c r="TYR48" s="149"/>
      <c r="TYS48" s="149"/>
      <c r="TYT48" s="149"/>
      <c r="TYU48" s="149"/>
      <c r="TYV48" s="149"/>
      <c r="TYW48" s="149"/>
      <c r="TYX48" s="149"/>
      <c r="TYY48" s="149"/>
      <c r="TYZ48" s="149"/>
      <c r="TZA48" s="149"/>
      <c r="TZB48" s="149"/>
      <c r="TZC48" s="149"/>
      <c r="TZD48" s="149"/>
      <c r="TZE48" s="149"/>
      <c r="TZF48" s="149"/>
      <c r="TZG48" s="149"/>
      <c r="TZH48" s="149"/>
      <c r="TZI48" s="149"/>
      <c r="TZJ48" s="149"/>
      <c r="TZK48" s="149"/>
      <c r="TZL48" s="149"/>
      <c r="TZM48" s="149"/>
      <c r="TZN48" s="149"/>
      <c r="TZO48" s="149"/>
      <c r="TZP48" s="149"/>
      <c r="TZQ48" s="149"/>
      <c r="TZR48" s="149"/>
      <c r="TZS48" s="149"/>
      <c r="TZT48" s="149"/>
      <c r="TZU48" s="149"/>
      <c r="TZV48" s="149"/>
      <c r="TZW48" s="149"/>
      <c r="TZX48" s="149"/>
      <c r="TZY48" s="149"/>
      <c r="TZZ48" s="149"/>
      <c r="UAA48" s="149"/>
      <c r="UAB48" s="149"/>
      <c r="UAC48" s="149"/>
      <c r="UAD48" s="149"/>
      <c r="UAE48" s="149"/>
      <c r="UAF48" s="149"/>
      <c r="UAG48" s="149"/>
      <c r="UAH48" s="149"/>
      <c r="UAI48" s="149"/>
      <c r="UAJ48" s="149"/>
      <c r="UAK48" s="149"/>
      <c r="UAL48" s="149"/>
      <c r="UAM48" s="149"/>
      <c r="UAN48" s="149"/>
      <c r="UAO48" s="149"/>
      <c r="UAP48" s="149"/>
      <c r="UAQ48" s="149"/>
      <c r="UAR48" s="149"/>
      <c r="UAS48" s="149"/>
      <c r="UAT48" s="149"/>
      <c r="UAU48" s="149"/>
      <c r="UAV48" s="149"/>
      <c r="UAW48" s="149"/>
      <c r="UAX48" s="149"/>
      <c r="UAY48" s="149"/>
      <c r="UAZ48" s="149"/>
      <c r="UBA48" s="149"/>
      <c r="UBB48" s="149"/>
      <c r="UBC48" s="149"/>
      <c r="UBD48" s="149"/>
      <c r="UBE48" s="149"/>
      <c r="UBF48" s="149"/>
      <c r="UBG48" s="149"/>
      <c r="UBH48" s="149"/>
      <c r="UBI48" s="149"/>
      <c r="UBJ48" s="149"/>
      <c r="UBK48" s="149"/>
      <c r="UBL48" s="149"/>
      <c r="UBM48" s="149"/>
      <c r="UBN48" s="149"/>
      <c r="UBO48" s="149"/>
      <c r="UBP48" s="149"/>
      <c r="UBQ48" s="149"/>
      <c r="UBR48" s="149"/>
      <c r="UBS48" s="149"/>
      <c r="UBT48" s="149"/>
      <c r="UBU48" s="149"/>
      <c r="UBV48" s="149"/>
      <c r="UBW48" s="149"/>
      <c r="UBX48" s="149"/>
      <c r="UBY48" s="149"/>
      <c r="UBZ48" s="149"/>
      <c r="UCA48" s="149"/>
      <c r="UCB48" s="149"/>
      <c r="UCC48" s="149"/>
      <c r="UCD48" s="149"/>
      <c r="UCE48" s="149"/>
      <c r="UCF48" s="149"/>
      <c r="UCG48" s="149"/>
      <c r="UCH48" s="149"/>
      <c r="UCI48" s="149"/>
      <c r="UCJ48" s="149"/>
      <c r="UCK48" s="149"/>
      <c r="UCL48" s="149"/>
      <c r="UCM48" s="149"/>
      <c r="UCN48" s="149"/>
      <c r="UCO48" s="149"/>
      <c r="UCP48" s="149"/>
      <c r="UCQ48" s="149"/>
      <c r="UCR48" s="149"/>
      <c r="UCS48" s="149"/>
      <c r="UCT48" s="149"/>
      <c r="UCU48" s="149"/>
      <c r="UCV48" s="149"/>
      <c r="UCW48" s="149"/>
      <c r="UCX48" s="149"/>
      <c r="UCY48" s="149"/>
      <c r="UCZ48" s="149"/>
      <c r="UDA48" s="149"/>
      <c r="UDB48" s="149"/>
      <c r="UDC48" s="149"/>
      <c r="UDD48" s="149"/>
      <c r="UDE48" s="149"/>
      <c r="UDF48" s="149"/>
      <c r="UDG48" s="149"/>
      <c r="UDH48" s="149"/>
      <c r="UDI48" s="149"/>
      <c r="UDJ48" s="149"/>
      <c r="UDK48" s="149"/>
      <c r="UDL48" s="149"/>
      <c r="UDM48" s="149"/>
      <c r="UDN48" s="149"/>
      <c r="UDO48" s="149"/>
      <c r="UDP48" s="149"/>
      <c r="UDQ48" s="149"/>
      <c r="UDR48" s="149"/>
      <c r="UDS48" s="149"/>
      <c r="UDT48" s="149"/>
      <c r="UDU48" s="149"/>
      <c r="UDV48" s="149"/>
      <c r="UDW48" s="149"/>
      <c r="UDX48" s="149"/>
      <c r="UDY48" s="149"/>
      <c r="UDZ48" s="149"/>
      <c r="UEA48" s="149"/>
      <c r="UEB48" s="149"/>
      <c r="UEC48" s="149"/>
      <c r="UED48" s="149"/>
      <c r="UEE48" s="149"/>
      <c r="UEF48" s="149"/>
      <c r="UEG48" s="149"/>
      <c r="UEH48" s="149"/>
      <c r="UEI48" s="149"/>
      <c r="UEJ48" s="149"/>
      <c r="UEK48" s="149"/>
      <c r="UEL48" s="149"/>
      <c r="UEM48" s="149"/>
      <c r="UEN48" s="149"/>
      <c r="UEO48" s="149"/>
      <c r="UEP48" s="149"/>
      <c r="UEQ48" s="149"/>
      <c r="UER48" s="149"/>
      <c r="UES48" s="149"/>
      <c r="UET48" s="149"/>
      <c r="UEU48" s="149"/>
      <c r="UEV48" s="149"/>
      <c r="UEW48" s="149"/>
      <c r="UEX48" s="149"/>
      <c r="UEY48" s="149"/>
      <c r="UEZ48" s="149"/>
      <c r="UFA48" s="149"/>
      <c r="UFB48" s="149"/>
      <c r="UFC48" s="149"/>
      <c r="UFD48" s="149"/>
      <c r="UFE48" s="149"/>
      <c r="UFF48" s="149"/>
      <c r="UFG48" s="149"/>
      <c r="UFH48" s="149"/>
      <c r="UFI48" s="149"/>
      <c r="UFJ48" s="149"/>
      <c r="UFK48" s="149"/>
      <c r="UFL48" s="149"/>
      <c r="UFM48" s="149"/>
      <c r="UFN48" s="149"/>
      <c r="UFO48" s="149"/>
      <c r="UFP48" s="149"/>
      <c r="UFQ48" s="149"/>
      <c r="UFR48" s="149"/>
      <c r="UFS48" s="149"/>
      <c r="UFT48" s="149"/>
      <c r="UFU48" s="149"/>
      <c r="UFV48" s="149"/>
      <c r="UFW48" s="149"/>
      <c r="UFX48" s="149"/>
      <c r="UFY48" s="149"/>
      <c r="UFZ48" s="149"/>
      <c r="UGA48" s="149"/>
      <c r="UGB48" s="149"/>
      <c r="UGC48" s="149"/>
      <c r="UGD48" s="149"/>
      <c r="UGE48" s="149"/>
      <c r="UGF48" s="149"/>
      <c r="UGG48" s="149"/>
      <c r="UGH48" s="149"/>
      <c r="UGI48" s="149"/>
      <c r="UGJ48" s="149"/>
      <c r="UGK48" s="149"/>
      <c r="UGL48" s="149"/>
      <c r="UGM48" s="149"/>
      <c r="UGN48" s="149"/>
      <c r="UGO48" s="149"/>
      <c r="UGP48" s="149"/>
      <c r="UGQ48" s="149"/>
      <c r="UGR48" s="149"/>
      <c r="UGS48" s="149"/>
      <c r="UGT48" s="149"/>
      <c r="UGU48" s="149"/>
      <c r="UGV48" s="149"/>
      <c r="UGW48" s="149"/>
      <c r="UGX48" s="149"/>
      <c r="UGY48" s="149"/>
      <c r="UGZ48" s="149"/>
      <c r="UHA48" s="149"/>
      <c r="UHB48" s="149"/>
      <c r="UHC48" s="149"/>
      <c r="UHD48" s="149"/>
      <c r="UHE48" s="149"/>
      <c r="UHF48" s="149"/>
      <c r="UHG48" s="149"/>
      <c r="UHH48" s="149"/>
      <c r="UHI48" s="149"/>
      <c r="UHJ48" s="149"/>
      <c r="UHK48" s="149"/>
      <c r="UHL48" s="149"/>
      <c r="UHM48" s="149"/>
      <c r="UHN48" s="149"/>
      <c r="UHO48" s="149"/>
      <c r="UHP48" s="149"/>
      <c r="UHQ48" s="149"/>
      <c r="UHR48" s="149"/>
      <c r="UHS48" s="149"/>
      <c r="UHT48" s="149"/>
      <c r="UHU48" s="149"/>
      <c r="UHV48" s="149"/>
      <c r="UHW48" s="149"/>
      <c r="UHX48" s="149"/>
      <c r="UHY48" s="149"/>
      <c r="UHZ48" s="149"/>
      <c r="UIA48" s="149"/>
      <c r="UIB48" s="149"/>
      <c r="UIC48" s="149"/>
      <c r="UID48" s="149"/>
      <c r="UIE48" s="149"/>
      <c r="UIF48" s="149"/>
      <c r="UIG48" s="149"/>
      <c r="UIH48" s="149"/>
      <c r="UII48" s="149"/>
      <c r="UIJ48" s="149"/>
      <c r="UIK48" s="149"/>
      <c r="UIL48" s="149"/>
      <c r="UIM48" s="149"/>
      <c r="UIN48" s="149"/>
      <c r="UIO48" s="149"/>
      <c r="UIP48" s="149"/>
      <c r="UIQ48" s="149"/>
      <c r="UIR48" s="149"/>
      <c r="UIS48" s="149"/>
      <c r="UIT48" s="149"/>
      <c r="UIU48" s="149"/>
      <c r="UIV48" s="149"/>
      <c r="UIW48" s="149"/>
      <c r="UIX48" s="149"/>
      <c r="UIY48" s="149"/>
      <c r="UIZ48" s="149"/>
      <c r="UJA48" s="149"/>
      <c r="UJB48" s="149"/>
      <c r="UJC48" s="149"/>
      <c r="UJD48" s="149"/>
      <c r="UJE48" s="149"/>
      <c r="UJF48" s="149"/>
      <c r="UJG48" s="149"/>
      <c r="UJH48" s="149"/>
      <c r="UJI48" s="149"/>
      <c r="UJJ48" s="149"/>
      <c r="UJK48" s="149"/>
      <c r="UJL48" s="149"/>
      <c r="UJM48" s="149"/>
      <c r="UJN48" s="149"/>
      <c r="UJO48" s="149"/>
      <c r="UJP48" s="149"/>
      <c r="UJQ48" s="149"/>
      <c r="UJR48" s="149"/>
      <c r="UJS48" s="149"/>
      <c r="UJT48" s="149"/>
      <c r="UJU48" s="149"/>
      <c r="UJV48" s="149"/>
      <c r="UJW48" s="149"/>
      <c r="UJX48" s="149"/>
      <c r="UJY48" s="149"/>
      <c r="UJZ48" s="149"/>
      <c r="UKA48" s="149"/>
      <c r="UKB48" s="149"/>
      <c r="UKC48" s="149"/>
      <c r="UKD48" s="149"/>
      <c r="UKE48" s="149"/>
      <c r="UKF48" s="149"/>
      <c r="UKG48" s="149"/>
      <c r="UKH48" s="149"/>
      <c r="UKI48" s="149"/>
      <c r="UKJ48" s="149"/>
      <c r="UKK48" s="149"/>
      <c r="UKL48" s="149"/>
      <c r="UKM48" s="149"/>
      <c r="UKN48" s="149"/>
      <c r="UKO48" s="149"/>
      <c r="UKP48" s="149"/>
      <c r="UKQ48" s="149"/>
      <c r="UKR48" s="149"/>
      <c r="UKS48" s="149"/>
      <c r="UKT48" s="149"/>
      <c r="UKU48" s="149"/>
      <c r="UKV48" s="149"/>
      <c r="UKW48" s="149"/>
      <c r="UKX48" s="149"/>
      <c r="UKY48" s="149"/>
      <c r="UKZ48" s="149"/>
      <c r="ULA48" s="149"/>
      <c r="ULB48" s="149"/>
      <c r="ULC48" s="149"/>
      <c r="ULD48" s="149"/>
      <c r="ULE48" s="149"/>
      <c r="ULF48" s="149"/>
      <c r="ULG48" s="149"/>
      <c r="ULH48" s="149"/>
      <c r="ULI48" s="149"/>
      <c r="ULJ48" s="149"/>
      <c r="ULK48" s="149"/>
      <c r="ULL48" s="149"/>
      <c r="ULM48" s="149"/>
      <c r="ULN48" s="149"/>
      <c r="ULO48" s="149"/>
      <c r="ULP48" s="149"/>
      <c r="ULQ48" s="149"/>
      <c r="ULR48" s="149"/>
      <c r="ULS48" s="149"/>
      <c r="ULT48" s="149"/>
      <c r="ULU48" s="149"/>
      <c r="ULV48" s="149"/>
      <c r="ULW48" s="149"/>
      <c r="ULX48" s="149"/>
      <c r="ULY48" s="149"/>
      <c r="ULZ48" s="149"/>
      <c r="UMA48" s="149"/>
      <c r="UMB48" s="149"/>
      <c r="UMC48" s="149"/>
      <c r="UMD48" s="149"/>
      <c r="UME48" s="149"/>
      <c r="UMF48" s="149"/>
      <c r="UMG48" s="149"/>
      <c r="UMH48" s="149"/>
      <c r="UMI48" s="149"/>
      <c r="UMJ48" s="149"/>
      <c r="UMK48" s="149"/>
      <c r="UML48" s="149"/>
      <c r="UMM48" s="149"/>
      <c r="UMN48" s="149"/>
      <c r="UMO48" s="149"/>
      <c r="UMP48" s="149"/>
      <c r="UMQ48" s="149"/>
      <c r="UMR48" s="149"/>
      <c r="UMS48" s="149"/>
      <c r="UMT48" s="149"/>
      <c r="UMU48" s="149"/>
      <c r="UMV48" s="149"/>
      <c r="UMW48" s="149"/>
      <c r="UMX48" s="149"/>
      <c r="UMY48" s="149"/>
      <c r="UMZ48" s="149"/>
      <c r="UNA48" s="149"/>
      <c r="UNB48" s="149"/>
      <c r="UNC48" s="149"/>
      <c r="UND48" s="149"/>
      <c r="UNE48" s="149"/>
      <c r="UNF48" s="149"/>
      <c r="UNG48" s="149"/>
      <c r="UNH48" s="149"/>
      <c r="UNI48" s="149"/>
      <c r="UNJ48" s="149"/>
      <c r="UNK48" s="149"/>
      <c r="UNL48" s="149"/>
      <c r="UNM48" s="149"/>
      <c r="UNN48" s="149"/>
      <c r="UNO48" s="149"/>
      <c r="UNP48" s="149"/>
      <c r="UNQ48" s="149"/>
      <c r="UNR48" s="149"/>
      <c r="UNS48" s="149"/>
      <c r="UNT48" s="149"/>
      <c r="UNU48" s="149"/>
      <c r="UNV48" s="149"/>
      <c r="UNW48" s="149"/>
      <c r="UNX48" s="149"/>
      <c r="UNY48" s="149"/>
      <c r="UNZ48" s="149"/>
      <c r="UOA48" s="149"/>
      <c r="UOB48" s="149"/>
      <c r="UOC48" s="149"/>
      <c r="UOD48" s="149"/>
      <c r="UOE48" s="149"/>
      <c r="UOF48" s="149"/>
      <c r="UOG48" s="149"/>
      <c r="UOH48" s="149"/>
      <c r="UOI48" s="149"/>
      <c r="UOJ48" s="149"/>
      <c r="UOK48" s="149"/>
      <c r="UOL48" s="149"/>
      <c r="UOM48" s="149"/>
      <c r="UON48" s="149"/>
      <c r="UOO48" s="149"/>
      <c r="UOP48" s="149"/>
      <c r="UOQ48" s="149"/>
      <c r="UOR48" s="149"/>
      <c r="UOS48" s="149"/>
      <c r="UOT48" s="149"/>
      <c r="UOU48" s="149"/>
      <c r="UOV48" s="149"/>
      <c r="UOW48" s="149"/>
      <c r="UOX48" s="149"/>
      <c r="UOY48" s="149"/>
      <c r="UOZ48" s="149"/>
      <c r="UPA48" s="149"/>
      <c r="UPB48" s="149"/>
      <c r="UPC48" s="149"/>
      <c r="UPD48" s="149"/>
      <c r="UPE48" s="149"/>
      <c r="UPF48" s="149"/>
      <c r="UPG48" s="149"/>
      <c r="UPH48" s="149"/>
      <c r="UPI48" s="149"/>
      <c r="UPJ48" s="149"/>
      <c r="UPK48" s="149"/>
      <c r="UPL48" s="149"/>
      <c r="UPM48" s="149"/>
      <c r="UPN48" s="149"/>
      <c r="UPO48" s="149"/>
      <c r="UPP48" s="149"/>
      <c r="UPQ48" s="149"/>
      <c r="UPR48" s="149"/>
      <c r="UPS48" s="149"/>
      <c r="UPT48" s="149"/>
      <c r="UPU48" s="149"/>
      <c r="UPV48" s="149"/>
      <c r="UPW48" s="149"/>
      <c r="UPX48" s="149"/>
      <c r="UPY48" s="149"/>
      <c r="UPZ48" s="149"/>
      <c r="UQA48" s="149"/>
      <c r="UQB48" s="149"/>
      <c r="UQC48" s="149"/>
      <c r="UQD48" s="149"/>
      <c r="UQE48" s="149"/>
      <c r="UQF48" s="149"/>
      <c r="UQG48" s="149"/>
      <c r="UQH48" s="149"/>
      <c r="UQI48" s="149"/>
      <c r="UQJ48" s="149"/>
      <c r="UQK48" s="149"/>
      <c r="UQL48" s="149"/>
      <c r="UQM48" s="149"/>
      <c r="UQN48" s="149"/>
      <c r="UQO48" s="149"/>
      <c r="UQP48" s="149"/>
      <c r="UQQ48" s="149"/>
      <c r="UQR48" s="149"/>
      <c r="UQS48" s="149"/>
      <c r="UQT48" s="149"/>
      <c r="UQU48" s="149"/>
      <c r="UQV48" s="149"/>
      <c r="UQW48" s="149"/>
      <c r="UQX48" s="149"/>
      <c r="UQY48" s="149"/>
      <c r="UQZ48" s="149"/>
      <c r="URA48" s="149"/>
      <c r="URB48" s="149"/>
      <c r="URC48" s="149"/>
      <c r="URD48" s="149"/>
      <c r="URE48" s="149"/>
      <c r="URF48" s="149"/>
      <c r="URG48" s="149"/>
      <c r="URH48" s="149"/>
      <c r="URI48" s="149"/>
      <c r="URJ48" s="149"/>
      <c r="URK48" s="149"/>
      <c r="URL48" s="149"/>
      <c r="URM48" s="149"/>
      <c r="URN48" s="149"/>
      <c r="URO48" s="149"/>
      <c r="URP48" s="149"/>
      <c r="URQ48" s="149"/>
      <c r="URR48" s="149"/>
      <c r="URS48" s="149"/>
      <c r="URT48" s="149"/>
      <c r="URU48" s="149"/>
      <c r="URV48" s="149"/>
      <c r="URW48" s="149"/>
      <c r="URX48" s="149"/>
      <c r="URY48" s="149"/>
      <c r="URZ48" s="149"/>
      <c r="USA48" s="149"/>
      <c r="USB48" s="149"/>
      <c r="USC48" s="149"/>
      <c r="USD48" s="149"/>
      <c r="USE48" s="149"/>
      <c r="USF48" s="149"/>
      <c r="USG48" s="149"/>
      <c r="USH48" s="149"/>
      <c r="USI48" s="149"/>
      <c r="USJ48" s="149"/>
      <c r="USK48" s="149"/>
      <c r="USL48" s="149"/>
      <c r="USM48" s="149"/>
      <c r="USN48" s="149"/>
      <c r="USO48" s="149"/>
      <c r="USP48" s="149"/>
      <c r="USQ48" s="149"/>
      <c r="USR48" s="149"/>
      <c r="USS48" s="149"/>
      <c r="UST48" s="149"/>
      <c r="USU48" s="149"/>
      <c r="USV48" s="149"/>
      <c r="USW48" s="149"/>
      <c r="USX48" s="149"/>
      <c r="USY48" s="149"/>
      <c r="USZ48" s="149"/>
      <c r="UTA48" s="149"/>
      <c r="UTB48" s="149"/>
      <c r="UTC48" s="149"/>
      <c r="UTD48" s="149"/>
      <c r="UTE48" s="149"/>
      <c r="UTF48" s="149"/>
      <c r="UTG48" s="149"/>
      <c r="UTH48" s="149"/>
      <c r="UTI48" s="149"/>
      <c r="UTJ48" s="149"/>
      <c r="UTK48" s="149"/>
      <c r="UTL48" s="149"/>
      <c r="UTM48" s="149"/>
      <c r="UTN48" s="149"/>
      <c r="UTO48" s="149"/>
      <c r="UTP48" s="149"/>
      <c r="UTQ48" s="149"/>
      <c r="UTR48" s="149"/>
      <c r="UTS48" s="149"/>
      <c r="UTT48" s="149"/>
      <c r="UTU48" s="149"/>
      <c r="UTV48" s="149"/>
      <c r="UTW48" s="149"/>
      <c r="UTX48" s="149"/>
      <c r="UTY48" s="149"/>
      <c r="UTZ48" s="149"/>
      <c r="UUA48" s="149"/>
      <c r="UUB48" s="149"/>
      <c r="UUC48" s="149"/>
      <c r="UUD48" s="149"/>
      <c r="UUE48" s="149"/>
      <c r="UUF48" s="149"/>
      <c r="UUG48" s="149"/>
      <c r="UUH48" s="149"/>
      <c r="UUI48" s="149"/>
      <c r="UUJ48" s="149"/>
      <c r="UUK48" s="149"/>
      <c r="UUL48" s="149"/>
      <c r="UUM48" s="149"/>
      <c r="UUN48" s="149"/>
      <c r="UUO48" s="149"/>
      <c r="UUP48" s="149"/>
      <c r="UUQ48" s="149"/>
      <c r="UUR48" s="149"/>
      <c r="UUS48" s="149"/>
      <c r="UUT48" s="149"/>
      <c r="UUU48" s="149"/>
      <c r="UUV48" s="149"/>
      <c r="UUW48" s="149"/>
      <c r="UUX48" s="149"/>
      <c r="UUY48" s="149"/>
      <c r="UUZ48" s="149"/>
      <c r="UVA48" s="149"/>
      <c r="UVB48" s="149"/>
      <c r="UVC48" s="149"/>
      <c r="UVD48" s="149"/>
      <c r="UVE48" s="149"/>
      <c r="UVF48" s="149"/>
      <c r="UVG48" s="149"/>
      <c r="UVH48" s="149"/>
      <c r="UVI48" s="149"/>
      <c r="UVJ48" s="149"/>
      <c r="UVK48" s="149"/>
      <c r="UVL48" s="149"/>
      <c r="UVM48" s="149"/>
      <c r="UVN48" s="149"/>
      <c r="UVO48" s="149"/>
      <c r="UVP48" s="149"/>
      <c r="UVQ48" s="149"/>
      <c r="UVR48" s="149"/>
      <c r="UVS48" s="149"/>
      <c r="UVT48" s="149"/>
      <c r="UVU48" s="149"/>
      <c r="UVV48" s="149"/>
      <c r="UVW48" s="149"/>
      <c r="UVX48" s="149"/>
      <c r="UVY48" s="149"/>
      <c r="UVZ48" s="149"/>
      <c r="UWA48" s="149"/>
      <c r="UWB48" s="149"/>
      <c r="UWC48" s="149"/>
      <c r="UWD48" s="149"/>
      <c r="UWE48" s="149"/>
      <c r="UWF48" s="149"/>
      <c r="UWG48" s="149"/>
      <c r="UWH48" s="149"/>
      <c r="UWI48" s="149"/>
      <c r="UWJ48" s="149"/>
      <c r="UWK48" s="149"/>
      <c r="UWL48" s="149"/>
      <c r="UWM48" s="149"/>
      <c r="UWN48" s="149"/>
      <c r="UWO48" s="149"/>
      <c r="UWP48" s="149"/>
      <c r="UWQ48" s="149"/>
      <c r="UWR48" s="149"/>
      <c r="UWS48" s="149"/>
      <c r="UWT48" s="149"/>
      <c r="UWU48" s="149"/>
      <c r="UWV48" s="149"/>
      <c r="UWW48" s="149"/>
      <c r="UWX48" s="149"/>
      <c r="UWY48" s="149"/>
      <c r="UWZ48" s="149"/>
      <c r="UXA48" s="149"/>
      <c r="UXB48" s="149"/>
      <c r="UXC48" s="149"/>
      <c r="UXD48" s="149"/>
      <c r="UXE48" s="149"/>
      <c r="UXF48" s="149"/>
      <c r="UXG48" s="149"/>
      <c r="UXH48" s="149"/>
      <c r="UXI48" s="149"/>
      <c r="UXJ48" s="149"/>
      <c r="UXK48" s="149"/>
      <c r="UXL48" s="149"/>
      <c r="UXM48" s="149"/>
      <c r="UXN48" s="149"/>
      <c r="UXO48" s="149"/>
      <c r="UXP48" s="149"/>
      <c r="UXQ48" s="149"/>
      <c r="UXR48" s="149"/>
      <c r="UXS48" s="149"/>
      <c r="UXT48" s="149"/>
      <c r="UXU48" s="149"/>
      <c r="UXV48" s="149"/>
      <c r="UXW48" s="149"/>
      <c r="UXX48" s="149"/>
      <c r="UXY48" s="149"/>
      <c r="UXZ48" s="149"/>
      <c r="UYA48" s="149"/>
      <c r="UYB48" s="149"/>
      <c r="UYC48" s="149"/>
      <c r="UYD48" s="149"/>
      <c r="UYE48" s="149"/>
      <c r="UYF48" s="149"/>
      <c r="UYG48" s="149"/>
      <c r="UYH48" s="149"/>
      <c r="UYI48" s="149"/>
      <c r="UYJ48" s="149"/>
      <c r="UYK48" s="149"/>
      <c r="UYL48" s="149"/>
      <c r="UYM48" s="149"/>
      <c r="UYN48" s="149"/>
      <c r="UYO48" s="149"/>
      <c r="UYP48" s="149"/>
      <c r="UYQ48" s="149"/>
      <c r="UYR48" s="149"/>
      <c r="UYS48" s="149"/>
      <c r="UYT48" s="149"/>
      <c r="UYU48" s="149"/>
      <c r="UYV48" s="149"/>
      <c r="UYW48" s="149"/>
      <c r="UYX48" s="149"/>
      <c r="UYY48" s="149"/>
      <c r="UYZ48" s="149"/>
      <c r="UZA48" s="149"/>
      <c r="UZB48" s="149"/>
      <c r="UZC48" s="149"/>
      <c r="UZD48" s="149"/>
      <c r="UZE48" s="149"/>
      <c r="UZF48" s="149"/>
      <c r="UZG48" s="149"/>
      <c r="UZH48" s="149"/>
      <c r="UZI48" s="149"/>
      <c r="UZJ48" s="149"/>
      <c r="UZK48" s="149"/>
      <c r="UZL48" s="149"/>
      <c r="UZM48" s="149"/>
      <c r="UZN48" s="149"/>
      <c r="UZO48" s="149"/>
      <c r="UZP48" s="149"/>
      <c r="UZQ48" s="149"/>
      <c r="UZR48" s="149"/>
      <c r="UZS48" s="149"/>
      <c r="UZT48" s="149"/>
      <c r="UZU48" s="149"/>
      <c r="UZV48" s="149"/>
      <c r="UZW48" s="149"/>
      <c r="UZX48" s="149"/>
      <c r="UZY48" s="149"/>
      <c r="UZZ48" s="149"/>
      <c r="VAA48" s="149"/>
      <c r="VAB48" s="149"/>
      <c r="VAC48" s="149"/>
      <c r="VAD48" s="149"/>
      <c r="VAE48" s="149"/>
      <c r="VAF48" s="149"/>
      <c r="VAG48" s="149"/>
      <c r="VAH48" s="149"/>
      <c r="VAI48" s="149"/>
      <c r="VAJ48" s="149"/>
      <c r="VAK48" s="149"/>
      <c r="VAL48" s="149"/>
      <c r="VAM48" s="149"/>
      <c r="VAN48" s="149"/>
      <c r="VAO48" s="149"/>
      <c r="VAP48" s="149"/>
      <c r="VAQ48" s="149"/>
      <c r="VAR48" s="149"/>
      <c r="VAS48" s="149"/>
      <c r="VAT48" s="149"/>
      <c r="VAU48" s="149"/>
      <c r="VAV48" s="149"/>
      <c r="VAW48" s="149"/>
      <c r="VAX48" s="149"/>
      <c r="VAY48" s="149"/>
      <c r="VAZ48" s="149"/>
      <c r="VBA48" s="149"/>
      <c r="VBB48" s="149"/>
      <c r="VBC48" s="149"/>
      <c r="VBD48" s="149"/>
      <c r="VBE48" s="149"/>
      <c r="VBF48" s="149"/>
      <c r="VBG48" s="149"/>
      <c r="VBH48" s="149"/>
      <c r="VBI48" s="149"/>
      <c r="VBJ48" s="149"/>
      <c r="VBK48" s="149"/>
      <c r="VBL48" s="149"/>
      <c r="VBM48" s="149"/>
      <c r="VBN48" s="149"/>
      <c r="VBO48" s="149"/>
      <c r="VBP48" s="149"/>
      <c r="VBQ48" s="149"/>
      <c r="VBR48" s="149"/>
      <c r="VBS48" s="149"/>
      <c r="VBT48" s="149"/>
      <c r="VBU48" s="149"/>
      <c r="VBV48" s="149"/>
      <c r="VBW48" s="149"/>
      <c r="VBX48" s="149"/>
      <c r="VBY48" s="149"/>
      <c r="VBZ48" s="149"/>
      <c r="VCA48" s="149"/>
      <c r="VCB48" s="149"/>
      <c r="VCC48" s="149"/>
      <c r="VCD48" s="149"/>
      <c r="VCE48" s="149"/>
      <c r="VCF48" s="149"/>
      <c r="VCG48" s="149"/>
      <c r="VCH48" s="149"/>
      <c r="VCI48" s="149"/>
      <c r="VCJ48" s="149"/>
      <c r="VCK48" s="149"/>
      <c r="VCL48" s="149"/>
      <c r="VCM48" s="149"/>
      <c r="VCN48" s="149"/>
      <c r="VCO48" s="149"/>
      <c r="VCP48" s="149"/>
      <c r="VCQ48" s="149"/>
      <c r="VCR48" s="149"/>
      <c r="VCS48" s="149"/>
      <c r="VCT48" s="149"/>
      <c r="VCU48" s="149"/>
      <c r="VCV48" s="149"/>
      <c r="VCW48" s="149"/>
    </row>
    <row r="49" spans="6:957" ht="15" customHeight="1" x14ac:dyDescent="0.3">
      <c r="F49" s="107"/>
      <c r="G49" s="125" t="s">
        <v>77</v>
      </c>
      <c r="H49" s="139">
        <f>SUM(H51:H52)</f>
        <v>0</v>
      </c>
      <c r="I49" s="126" t="s">
        <v>10</v>
      </c>
      <c r="J49" s="78">
        <f>SUM(J51:J52)</f>
        <v>0</v>
      </c>
      <c r="K49" s="78">
        <f t="shared" ref="K49:AN49" si="12">SUM(K51:K52)</f>
        <v>0</v>
      </c>
      <c r="L49" s="78">
        <f t="shared" si="12"/>
        <v>0</v>
      </c>
      <c r="M49" s="78">
        <f t="shared" si="12"/>
        <v>0</v>
      </c>
      <c r="N49" s="78">
        <f t="shared" si="12"/>
        <v>0</v>
      </c>
      <c r="O49" s="78">
        <f t="shared" si="12"/>
        <v>0</v>
      </c>
      <c r="P49" s="78">
        <f t="shared" si="12"/>
        <v>0</v>
      </c>
      <c r="Q49" s="78">
        <f t="shared" si="12"/>
        <v>0</v>
      </c>
      <c r="R49" s="78">
        <f t="shared" si="12"/>
        <v>0</v>
      </c>
      <c r="S49" s="78">
        <f t="shared" si="12"/>
        <v>0</v>
      </c>
      <c r="T49" s="78">
        <f t="shared" si="12"/>
        <v>0</v>
      </c>
      <c r="U49" s="78">
        <f t="shared" si="12"/>
        <v>0</v>
      </c>
      <c r="V49" s="78">
        <f t="shared" si="12"/>
        <v>0</v>
      </c>
      <c r="W49" s="78">
        <f t="shared" si="12"/>
        <v>0</v>
      </c>
      <c r="X49" s="78">
        <f t="shared" si="12"/>
        <v>0</v>
      </c>
      <c r="Y49" s="78">
        <f t="shared" si="12"/>
        <v>0</v>
      </c>
      <c r="Z49" s="78">
        <f t="shared" si="12"/>
        <v>0</v>
      </c>
      <c r="AA49" s="78">
        <f t="shared" si="12"/>
        <v>0</v>
      </c>
      <c r="AB49" s="78">
        <f t="shared" si="12"/>
        <v>0</v>
      </c>
      <c r="AC49" s="78">
        <f t="shared" si="12"/>
        <v>0</v>
      </c>
      <c r="AD49" s="78">
        <f t="shared" si="12"/>
        <v>0</v>
      </c>
      <c r="AE49" s="78">
        <f t="shared" si="12"/>
        <v>0</v>
      </c>
      <c r="AF49" s="78">
        <f t="shared" si="12"/>
        <v>0</v>
      </c>
      <c r="AG49" s="78">
        <f t="shared" si="12"/>
        <v>0</v>
      </c>
      <c r="AH49" s="78">
        <f t="shared" si="12"/>
        <v>0</v>
      </c>
      <c r="AI49" s="78">
        <f t="shared" si="12"/>
        <v>0</v>
      </c>
      <c r="AJ49" s="78">
        <f t="shared" si="12"/>
        <v>0</v>
      </c>
      <c r="AK49" s="78">
        <f t="shared" si="12"/>
        <v>0</v>
      </c>
      <c r="AL49" s="78">
        <f t="shared" si="12"/>
        <v>0</v>
      </c>
      <c r="AM49" s="78">
        <f t="shared" si="12"/>
        <v>0</v>
      </c>
      <c r="AN49" s="78">
        <f t="shared" si="12"/>
        <v>0</v>
      </c>
      <c r="AO49" s="80"/>
      <c r="AP49" s="70">
        <f>SUM(J49:AN49)</f>
        <v>0</v>
      </c>
      <c r="AR49" s="81"/>
      <c r="AT49" s="101"/>
      <c r="CB49" s="82"/>
      <c r="CC49" s="82"/>
      <c r="DF49" s="82"/>
      <c r="EN49" s="64"/>
      <c r="EO49" s="82">
        <v>2136</v>
      </c>
      <c r="EP49" s="82"/>
      <c r="EQ49" s="82"/>
      <c r="ER49" s="82"/>
      <c r="GU49" s="82"/>
      <c r="KP49" s="82"/>
      <c r="KQ49" s="82"/>
      <c r="KR49" s="82"/>
      <c r="KS49" s="82"/>
      <c r="PW49" s="82"/>
      <c r="PX49" s="82"/>
      <c r="PZ49" s="82"/>
      <c r="QN49" s="88"/>
      <c r="QR49" s="82"/>
      <c r="SU49" s="88"/>
      <c r="AID49" s="72"/>
      <c r="AJS49" s="72"/>
      <c r="AJT49" s="72"/>
      <c r="AJU49" s="72"/>
    </row>
    <row r="50" spans="6:957" ht="15" customHeight="1" x14ac:dyDescent="0.3">
      <c r="F50" s="107"/>
      <c r="G50" s="125" t="s">
        <v>80</v>
      </c>
      <c r="H50" s="139"/>
      <c r="I50" s="126" t="s">
        <v>10</v>
      </c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80"/>
      <c r="AP50" s="70">
        <f>SUM(J50:AN50)</f>
        <v>0</v>
      </c>
      <c r="AR50" s="81"/>
      <c r="AT50" s="101"/>
      <c r="CB50" s="82"/>
      <c r="CC50" s="82"/>
      <c r="DF50" s="82"/>
      <c r="EN50" s="64"/>
      <c r="EO50" s="82"/>
      <c r="EP50" s="82"/>
      <c r="EQ50" s="82"/>
      <c r="ER50" s="82"/>
      <c r="GU50" s="82"/>
      <c r="KP50" s="82"/>
      <c r="KQ50" s="82"/>
      <c r="KR50" s="82"/>
      <c r="KS50" s="82"/>
      <c r="PW50" s="82"/>
      <c r="PX50" s="82"/>
      <c r="PZ50" s="82"/>
      <c r="QN50" s="88"/>
      <c r="QR50" s="82"/>
      <c r="SU50" s="88"/>
      <c r="AID50" s="72"/>
      <c r="AJS50" s="72"/>
      <c r="AJT50" s="72"/>
      <c r="AJU50" s="72"/>
    </row>
    <row r="51" spans="6:957" ht="15" customHeight="1" x14ac:dyDescent="0.3">
      <c r="F51" s="107"/>
      <c r="G51" s="125" t="s">
        <v>81</v>
      </c>
      <c r="H51" s="139"/>
      <c r="I51" s="126" t="s">
        <v>10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  <c r="AF51" s="78">
        <v>0</v>
      </c>
      <c r="AG51" s="78">
        <v>0</v>
      </c>
      <c r="AH51" s="78">
        <v>0</v>
      </c>
      <c r="AI51" s="78">
        <v>0</v>
      </c>
      <c r="AJ51" s="78">
        <v>0</v>
      </c>
      <c r="AK51" s="78">
        <v>0</v>
      </c>
      <c r="AL51" s="78">
        <v>0</v>
      </c>
      <c r="AM51" s="78">
        <v>0</v>
      </c>
      <c r="AN51" s="78">
        <v>0</v>
      </c>
      <c r="AO51" s="80"/>
      <c r="AP51" s="70">
        <f>SUM(J51:AN51)</f>
        <v>0</v>
      </c>
      <c r="AR51" s="81"/>
      <c r="AT51" s="101"/>
      <c r="CB51" s="82"/>
      <c r="CC51" s="82"/>
      <c r="CD51" s="7">
        <f>AR51/1000</f>
        <v>0</v>
      </c>
      <c r="DF51" s="82"/>
      <c r="EN51" s="64"/>
      <c r="EO51" s="82">
        <v>1796</v>
      </c>
      <c r="EP51" s="82"/>
      <c r="EQ51" s="82"/>
      <c r="ER51" s="82"/>
      <c r="GU51" s="82"/>
      <c r="KP51" s="82"/>
      <c r="KQ51" s="82"/>
      <c r="KR51" s="82"/>
      <c r="KS51" s="82"/>
      <c r="PW51" s="82"/>
      <c r="PX51" s="82"/>
      <c r="PZ51" s="82"/>
      <c r="QN51" s="88"/>
      <c r="QR51" s="82"/>
      <c r="SU51" s="88"/>
      <c r="AID51" s="72"/>
      <c r="AJS51" s="72"/>
      <c r="AJT51" s="72"/>
      <c r="AJU51" s="72"/>
    </row>
    <row r="52" spans="6:957" ht="15" customHeight="1" x14ac:dyDescent="0.3">
      <c r="F52" s="107"/>
      <c r="G52" s="125" t="s">
        <v>82</v>
      </c>
      <c r="H52" s="139"/>
      <c r="I52" s="126" t="s">
        <v>10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  <c r="AF52" s="78">
        <v>0</v>
      </c>
      <c r="AG52" s="78">
        <v>0</v>
      </c>
      <c r="AH52" s="78">
        <v>0</v>
      </c>
      <c r="AI52" s="78">
        <v>0</v>
      </c>
      <c r="AJ52" s="78">
        <v>0</v>
      </c>
      <c r="AK52" s="78">
        <v>0</v>
      </c>
      <c r="AL52" s="78">
        <v>0</v>
      </c>
      <c r="AM52" s="78">
        <v>0</v>
      </c>
      <c r="AN52" s="78">
        <v>0</v>
      </c>
      <c r="AO52" s="80"/>
      <c r="AP52" s="70">
        <f>SUM(J52:AN52)</f>
        <v>0</v>
      </c>
      <c r="AR52" s="81"/>
      <c r="CB52" s="82"/>
      <c r="CC52" s="82"/>
      <c r="CD52" s="7">
        <f>AR52/1000</f>
        <v>0</v>
      </c>
      <c r="DF52" s="82"/>
      <c r="EN52" s="64"/>
      <c r="EO52" s="82">
        <f>EO49/EO51*100</f>
        <v>118.93095768374164</v>
      </c>
      <c r="EP52" s="82"/>
      <c r="EQ52" s="82"/>
      <c r="ER52" s="82"/>
      <c r="GU52" s="82"/>
      <c r="KP52" s="82"/>
      <c r="KQ52" s="82"/>
      <c r="KR52" s="82"/>
      <c r="KS52" s="82"/>
      <c r="PW52" s="82"/>
      <c r="PX52" s="82"/>
      <c r="PZ52" s="82"/>
      <c r="QN52" s="88"/>
      <c r="QR52" s="82"/>
      <c r="SU52" s="88"/>
      <c r="AID52" s="72"/>
      <c r="AJS52" s="72"/>
      <c r="AJT52" s="72"/>
      <c r="AJU52" s="72"/>
    </row>
    <row r="53" spans="6:957" x14ac:dyDescent="0.3">
      <c r="F53" s="56"/>
      <c r="G53" s="164" t="s">
        <v>83</v>
      </c>
      <c r="H53" s="165"/>
      <c r="I53" s="165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80"/>
      <c r="AP53" s="166" t="s">
        <v>84</v>
      </c>
      <c r="DN53" s="2" t="s">
        <v>85</v>
      </c>
      <c r="PX53" s="72">
        <v>678</v>
      </c>
    </row>
    <row r="54" spans="6:957" x14ac:dyDescent="0.3">
      <c r="F54" s="107"/>
      <c r="G54" s="167" t="s">
        <v>86</v>
      </c>
      <c r="H54" s="106">
        <v>94.2</v>
      </c>
      <c r="I54" s="168" t="s">
        <v>13</v>
      </c>
      <c r="J54" s="169" t="e">
        <f t="shared" ref="J54:AN54" si="13">(J36/(J30+J31))*100</f>
        <v>#DIV/0!</v>
      </c>
      <c r="K54" s="169" t="e">
        <f t="shared" si="13"/>
        <v>#DIV/0!</v>
      </c>
      <c r="L54" s="169" t="e">
        <f t="shared" si="13"/>
        <v>#DIV/0!</v>
      </c>
      <c r="M54" s="169" t="e">
        <f t="shared" si="13"/>
        <v>#DIV/0!</v>
      </c>
      <c r="N54" s="169" t="e">
        <f t="shared" si="13"/>
        <v>#DIV/0!</v>
      </c>
      <c r="O54" s="169" t="e">
        <f t="shared" si="13"/>
        <v>#DIV/0!</v>
      </c>
      <c r="P54" s="169" t="e">
        <f>(P36/(P30+P31))*100</f>
        <v>#DIV/0!</v>
      </c>
      <c r="Q54" s="169">
        <f t="shared" si="13"/>
        <v>0</v>
      </c>
      <c r="R54" s="169">
        <f t="shared" si="13"/>
        <v>0</v>
      </c>
      <c r="S54" s="169">
        <f t="shared" si="13"/>
        <v>91.011584307416697</v>
      </c>
      <c r="T54" s="169">
        <f t="shared" si="13"/>
        <v>99.435735503207638</v>
      </c>
      <c r="U54" s="169">
        <f t="shared" si="13"/>
        <v>89.335592949488046</v>
      </c>
      <c r="V54" s="169">
        <f t="shared" si="13"/>
        <v>99.777145195515388</v>
      </c>
      <c r="W54" s="169">
        <f t="shared" si="13"/>
        <v>95.518110185960964</v>
      </c>
      <c r="X54" s="169">
        <f t="shared" si="13"/>
        <v>97.678991058422497</v>
      </c>
      <c r="Y54" s="169">
        <f t="shared" si="13"/>
        <v>92.882642710679164</v>
      </c>
      <c r="Z54" s="169">
        <f t="shared" si="13"/>
        <v>99.09628960065892</v>
      </c>
      <c r="AA54" s="169">
        <f t="shared" si="13"/>
        <v>98.91301555813547</v>
      </c>
      <c r="AB54" s="169">
        <f t="shared" si="13"/>
        <v>96.281098557998561</v>
      </c>
      <c r="AC54" s="169">
        <f t="shared" si="13"/>
        <v>95.72394924139833</v>
      </c>
      <c r="AD54" s="169">
        <f t="shared" si="13"/>
        <v>96.977470620056835</v>
      </c>
      <c r="AE54" s="169">
        <f t="shared" si="13"/>
        <v>103.34926768988639</v>
      </c>
      <c r="AF54" s="169">
        <f t="shared" si="13"/>
        <v>85.626669258353559</v>
      </c>
      <c r="AG54" s="169">
        <f t="shared" si="13"/>
        <v>91.578275378913887</v>
      </c>
      <c r="AH54" s="169">
        <f t="shared" si="13"/>
        <v>95.969965410046072</v>
      </c>
      <c r="AI54" s="169">
        <f t="shared" si="13"/>
        <v>94.399445110102576</v>
      </c>
      <c r="AJ54" s="169">
        <f t="shared" si="13"/>
        <v>81.442025736565554</v>
      </c>
      <c r="AK54" s="169">
        <f t="shared" si="13"/>
        <v>94.54224470308688</v>
      </c>
      <c r="AL54" s="169">
        <f t="shared" si="13"/>
        <v>108.59010854139439</v>
      </c>
      <c r="AM54" s="169">
        <f t="shared" si="13"/>
        <v>84.149940831830421</v>
      </c>
      <c r="AN54" s="169">
        <f t="shared" si="13"/>
        <v>87.331537508231278</v>
      </c>
      <c r="AO54" s="121"/>
      <c r="AP54" s="170">
        <f>AP36/(SUM(AP30:AP31))*100</f>
        <v>94.585079082177842</v>
      </c>
      <c r="AQ54" s="124"/>
      <c r="AR54" s="127"/>
      <c r="PX54" s="72">
        <v>420</v>
      </c>
      <c r="PZ54" s="127">
        <f>PX54/PX53*100</f>
        <v>61.946902654867252</v>
      </c>
    </row>
    <row r="55" spans="6:957" x14ac:dyDescent="0.3">
      <c r="F55" s="107"/>
      <c r="G55" s="167" t="s">
        <v>44</v>
      </c>
      <c r="H55" s="106">
        <v>5</v>
      </c>
      <c r="I55" s="168" t="s">
        <v>13</v>
      </c>
      <c r="J55" s="169" t="e">
        <f t="shared" ref="J55:AN55" si="14">(J37/(J30+J31))*100</f>
        <v>#DIV/0!</v>
      </c>
      <c r="K55" s="169" t="e">
        <f t="shared" si="14"/>
        <v>#DIV/0!</v>
      </c>
      <c r="L55" s="169" t="e">
        <f t="shared" si="14"/>
        <v>#DIV/0!</v>
      </c>
      <c r="M55" s="169" t="e">
        <f t="shared" si="14"/>
        <v>#DIV/0!</v>
      </c>
      <c r="N55" s="169" t="e">
        <f t="shared" si="14"/>
        <v>#DIV/0!</v>
      </c>
      <c r="O55" s="169" t="e">
        <f t="shared" si="14"/>
        <v>#DIV/0!</v>
      </c>
      <c r="P55" s="169" t="e">
        <f t="shared" si="14"/>
        <v>#DIV/0!</v>
      </c>
      <c r="Q55" s="169">
        <f t="shared" si="14"/>
        <v>5.0936448863016732</v>
      </c>
      <c r="R55" s="169">
        <f t="shared" si="14"/>
        <v>366.79136891568226</v>
      </c>
      <c r="S55" s="169">
        <f t="shared" si="14"/>
        <v>6.6886219816867474</v>
      </c>
      <c r="T55" s="169">
        <f t="shared" si="14"/>
        <v>5.483755465699705</v>
      </c>
      <c r="U55" s="169">
        <f t="shared" si="14"/>
        <v>5.1276243722364274</v>
      </c>
      <c r="V55" s="169">
        <f t="shared" si="14"/>
        <v>5.1993360459187974</v>
      </c>
      <c r="W55" s="169">
        <f t="shared" si="14"/>
        <v>5.2770020130259967</v>
      </c>
      <c r="X55" s="169">
        <f t="shared" si="14"/>
        <v>4.3216566963074801</v>
      </c>
      <c r="Y55" s="169">
        <f t="shared" si="14"/>
        <v>5.1672934327082007</v>
      </c>
      <c r="Z55" s="169">
        <f t="shared" si="14"/>
        <v>4.638839382230473</v>
      </c>
      <c r="AA55" s="169">
        <f t="shared" si="14"/>
        <v>4.0620970326781825</v>
      </c>
      <c r="AB55" s="169">
        <f t="shared" si="14"/>
        <v>4.1615938194350095</v>
      </c>
      <c r="AC55" s="169">
        <f t="shared" si="14"/>
        <v>4.2936412783858762</v>
      </c>
      <c r="AD55" s="169">
        <f t="shared" si="14"/>
        <v>4.5242328412319281</v>
      </c>
      <c r="AE55" s="169">
        <f t="shared" si="14"/>
        <v>4.8874711433511377</v>
      </c>
      <c r="AF55" s="169">
        <f t="shared" si="14"/>
        <v>3.8180793471871937</v>
      </c>
      <c r="AG55" s="169">
        <f t="shared" si="14"/>
        <v>4.8233981587165058</v>
      </c>
      <c r="AH55" s="169">
        <f t="shared" si="14"/>
        <v>3.9709619939789138</v>
      </c>
      <c r="AI55" s="169">
        <f t="shared" si="14"/>
        <v>4.413740837212857</v>
      </c>
      <c r="AJ55" s="169">
        <f t="shared" si="14"/>
        <v>4.6799252712302559</v>
      </c>
      <c r="AK55" s="169">
        <f t="shared" si="14"/>
        <v>4.7375334515661178</v>
      </c>
      <c r="AL55" s="169">
        <f t="shared" si="14"/>
        <v>5.1105119017832035</v>
      </c>
      <c r="AM55" s="169">
        <f t="shared" si="14"/>
        <v>4.8478720384057006</v>
      </c>
      <c r="AN55" s="169">
        <f t="shared" si="14"/>
        <v>4.1924783369743999</v>
      </c>
      <c r="AO55" s="121"/>
      <c r="AP55" s="170">
        <f>AP37/(AP30+AP31)*100</f>
        <v>4.7430622755677003</v>
      </c>
      <c r="AR55" s="127">
        <f>100-AP54-AP55</f>
        <v>0.67185864225445791</v>
      </c>
      <c r="PX55" s="72">
        <f>PX53-PX54</f>
        <v>258</v>
      </c>
      <c r="PZ55" s="127">
        <f>PX55/PX53*100</f>
        <v>38.053097345132741</v>
      </c>
    </row>
    <row r="56" spans="6:957" x14ac:dyDescent="0.3">
      <c r="F56" s="107"/>
      <c r="G56" s="167" t="s">
        <v>52</v>
      </c>
      <c r="H56" s="106">
        <v>82</v>
      </c>
      <c r="I56" s="168" t="s">
        <v>13</v>
      </c>
      <c r="J56" s="169" t="e">
        <f t="shared" ref="J56:AN56" si="15">(J40/J39)*100</f>
        <v>#DIV/0!</v>
      </c>
      <c r="K56" s="169" t="e">
        <f t="shared" si="15"/>
        <v>#DIV/0!</v>
      </c>
      <c r="L56" s="169" t="e">
        <f t="shared" si="15"/>
        <v>#DIV/0!</v>
      </c>
      <c r="M56" s="169" t="e">
        <f t="shared" si="15"/>
        <v>#DIV/0!</v>
      </c>
      <c r="N56" s="169" t="e">
        <f t="shared" si="15"/>
        <v>#DIV/0!</v>
      </c>
      <c r="O56" s="169" t="e">
        <f t="shared" si="15"/>
        <v>#DIV/0!</v>
      </c>
      <c r="P56" s="169" t="e">
        <f t="shared" si="15"/>
        <v>#DIV/0!</v>
      </c>
      <c r="Q56" s="169">
        <f t="shared" si="15"/>
        <v>48.821209304847166</v>
      </c>
      <c r="R56" s="169">
        <f t="shared" si="15"/>
        <v>76.753801149252851</v>
      </c>
      <c r="S56" s="169">
        <f t="shared" si="15"/>
        <v>83.792672899427572</v>
      </c>
      <c r="T56" s="169">
        <f t="shared" si="15"/>
        <v>83.110617821998332</v>
      </c>
      <c r="U56" s="169">
        <f t="shared" si="15"/>
        <v>82.891621049654887</v>
      </c>
      <c r="V56" s="169">
        <f t="shared" si="15"/>
        <v>82.129621552816602</v>
      </c>
      <c r="W56" s="169">
        <f t="shared" si="15"/>
        <v>81.106768735607048</v>
      </c>
      <c r="X56" s="169">
        <f t="shared" si="15"/>
        <v>82.27106774746342</v>
      </c>
      <c r="Y56" s="169">
        <f t="shared" si="15"/>
        <v>82.76248466013287</v>
      </c>
      <c r="Z56" s="169">
        <f t="shared" si="15"/>
        <v>82.462213498731856</v>
      </c>
      <c r="AA56" s="169">
        <f t="shared" si="15"/>
        <v>83.115214060491923</v>
      </c>
      <c r="AB56" s="169">
        <f t="shared" si="15"/>
        <v>82.773715790148344</v>
      </c>
      <c r="AC56" s="169">
        <f t="shared" si="15"/>
        <v>82.500689936694059</v>
      </c>
      <c r="AD56" s="169">
        <f t="shared" si="15"/>
        <v>81.941363052050974</v>
      </c>
      <c r="AE56" s="169">
        <f t="shared" si="15"/>
        <v>82.668922252584778</v>
      </c>
      <c r="AF56" s="169">
        <f t="shared" si="15"/>
        <v>82.643867854542293</v>
      </c>
      <c r="AG56" s="169">
        <f t="shared" si="15"/>
        <v>81.244214159751223</v>
      </c>
      <c r="AH56" s="169">
        <f t="shared" si="15"/>
        <v>84.250735281078775</v>
      </c>
      <c r="AI56" s="169">
        <f t="shared" si="15"/>
        <v>82.578675434476281</v>
      </c>
      <c r="AJ56" s="169">
        <f t="shared" si="15"/>
        <v>80.664992343106135</v>
      </c>
      <c r="AK56" s="169">
        <f t="shared" si="15"/>
        <v>83.144945068551408</v>
      </c>
      <c r="AL56" s="169">
        <f t="shared" si="15"/>
        <v>82.456083387197125</v>
      </c>
      <c r="AM56" s="169">
        <f t="shared" si="15"/>
        <v>83.725669532929672</v>
      </c>
      <c r="AN56" s="169">
        <f t="shared" si="15"/>
        <v>78.130839853022252</v>
      </c>
      <c r="AO56" s="121"/>
      <c r="AP56" s="170">
        <f>AP40/AP39*100</f>
        <v>82.502514079411554</v>
      </c>
    </row>
    <row r="57" spans="6:957" x14ac:dyDescent="0.3">
      <c r="F57" s="107"/>
      <c r="G57" s="167" t="s">
        <v>55</v>
      </c>
      <c r="H57" s="106">
        <v>18</v>
      </c>
      <c r="I57" s="168" t="s">
        <v>13</v>
      </c>
      <c r="J57" s="169" t="e">
        <f t="shared" ref="J57:AN57" si="16">(J41/J39)*100</f>
        <v>#DIV/0!</v>
      </c>
      <c r="K57" s="169" t="e">
        <f t="shared" si="16"/>
        <v>#DIV/0!</v>
      </c>
      <c r="L57" s="169" t="e">
        <f t="shared" si="16"/>
        <v>#DIV/0!</v>
      </c>
      <c r="M57" s="169" t="e">
        <f t="shared" si="16"/>
        <v>#DIV/0!</v>
      </c>
      <c r="N57" s="169" t="e">
        <f t="shared" si="16"/>
        <v>#DIV/0!</v>
      </c>
      <c r="O57" s="169" t="e">
        <f t="shared" si="16"/>
        <v>#DIV/0!</v>
      </c>
      <c r="P57" s="169" t="e">
        <f t="shared" si="16"/>
        <v>#DIV/0!</v>
      </c>
      <c r="Q57" s="169">
        <f t="shared" si="16"/>
        <v>8.5015233005776114</v>
      </c>
      <c r="R57" s="169">
        <f t="shared" si="16"/>
        <v>14.882874534623586</v>
      </c>
      <c r="S57" s="169">
        <f t="shared" si="16"/>
        <v>16.207327100572428</v>
      </c>
      <c r="T57" s="169">
        <f t="shared" si="16"/>
        <v>16.889382178001668</v>
      </c>
      <c r="U57" s="169">
        <f t="shared" si="16"/>
        <v>17.10837895034512</v>
      </c>
      <c r="V57" s="169">
        <f t="shared" si="16"/>
        <v>17.870378447183402</v>
      </c>
      <c r="W57" s="169">
        <f t="shared" si="16"/>
        <v>18.893231264392952</v>
      </c>
      <c r="X57" s="169">
        <f t="shared" si="16"/>
        <v>17.728932252536573</v>
      </c>
      <c r="Y57" s="169">
        <f t="shared" si="16"/>
        <v>17.237515339867123</v>
      </c>
      <c r="Z57" s="169">
        <f t="shared" si="16"/>
        <v>17.537786501268151</v>
      </c>
      <c r="AA57" s="169">
        <f t="shared" si="16"/>
        <v>16.884785939508085</v>
      </c>
      <c r="AB57" s="169">
        <f t="shared" si="16"/>
        <v>17.226284209851649</v>
      </c>
      <c r="AC57" s="169">
        <f t="shared" si="16"/>
        <v>17.499310063305945</v>
      </c>
      <c r="AD57" s="169">
        <f t="shared" si="16"/>
        <v>18.058636947949022</v>
      </c>
      <c r="AE57" s="169">
        <f t="shared" si="16"/>
        <v>17.331077747415225</v>
      </c>
      <c r="AF57" s="169">
        <f t="shared" si="16"/>
        <v>17.3561321454577</v>
      </c>
      <c r="AG57" s="169">
        <f t="shared" si="16"/>
        <v>18.755785840248766</v>
      </c>
      <c r="AH57" s="169">
        <f t="shared" si="16"/>
        <v>15.749264718921232</v>
      </c>
      <c r="AI57" s="169">
        <f t="shared" si="16"/>
        <v>17.421324565523722</v>
      </c>
      <c r="AJ57" s="169">
        <f t="shared" si="16"/>
        <v>19.335007656893865</v>
      </c>
      <c r="AK57" s="169">
        <f t="shared" si="16"/>
        <v>16.855054931448585</v>
      </c>
      <c r="AL57" s="169">
        <f t="shared" si="16"/>
        <v>17.543916612802871</v>
      </c>
      <c r="AM57" s="169">
        <f t="shared" si="16"/>
        <v>16.274330467070325</v>
      </c>
      <c r="AN57" s="169">
        <f t="shared" si="16"/>
        <v>21.869160146977755</v>
      </c>
      <c r="AO57" s="121"/>
      <c r="AP57" s="170">
        <f>AP41/AP39*100</f>
        <v>17.497485920588442</v>
      </c>
    </row>
    <row r="58" spans="6:957" ht="15" customHeight="1" x14ac:dyDescent="0.3">
      <c r="F58" s="107"/>
      <c r="G58" s="167" t="s">
        <v>65</v>
      </c>
      <c r="H58" s="106">
        <v>70</v>
      </c>
      <c r="I58" s="168" t="s">
        <v>13</v>
      </c>
      <c r="J58" s="169" t="e">
        <f t="shared" ref="J58:AG58" si="17">J45/J44*100</f>
        <v>#DIV/0!</v>
      </c>
      <c r="K58" s="169" t="e">
        <f t="shared" si="17"/>
        <v>#DIV/0!</v>
      </c>
      <c r="L58" s="169" t="e">
        <f t="shared" si="17"/>
        <v>#DIV/0!</v>
      </c>
      <c r="M58" s="169" t="e">
        <f t="shared" si="17"/>
        <v>#DIV/0!</v>
      </c>
      <c r="N58" s="169" t="e">
        <f t="shared" si="17"/>
        <v>#DIV/0!</v>
      </c>
      <c r="O58" s="169" t="e">
        <f t="shared" si="17"/>
        <v>#DIV/0!</v>
      </c>
      <c r="P58" s="169" t="e">
        <f t="shared" si="17"/>
        <v>#DIV/0!</v>
      </c>
      <c r="Q58" s="169" t="e">
        <f t="shared" si="17"/>
        <v>#DIV/0!</v>
      </c>
      <c r="R58" s="169" t="e">
        <f t="shared" si="17"/>
        <v>#DIV/0!</v>
      </c>
      <c r="S58" s="169" t="e">
        <f t="shared" si="17"/>
        <v>#DIV/0!</v>
      </c>
      <c r="T58" s="169" t="e">
        <f t="shared" si="17"/>
        <v>#DIV/0!</v>
      </c>
      <c r="U58" s="169" t="e">
        <f t="shared" si="17"/>
        <v>#DIV/0!</v>
      </c>
      <c r="V58" s="169" t="e">
        <f t="shared" si="17"/>
        <v>#DIV/0!</v>
      </c>
      <c r="W58" s="169" t="e">
        <f t="shared" si="17"/>
        <v>#DIV/0!</v>
      </c>
      <c r="X58" s="169" t="e">
        <f t="shared" si="17"/>
        <v>#DIV/0!</v>
      </c>
      <c r="Y58" s="169" t="e">
        <f t="shared" si="17"/>
        <v>#DIV/0!</v>
      </c>
      <c r="Z58" s="169" t="e">
        <f t="shared" si="17"/>
        <v>#DIV/0!</v>
      </c>
      <c r="AA58" s="169" t="e">
        <f t="shared" si="17"/>
        <v>#DIV/0!</v>
      </c>
      <c r="AB58" s="169" t="e">
        <f t="shared" si="17"/>
        <v>#DIV/0!</v>
      </c>
      <c r="AC58" s="169" t="e">
        <f t="shared" si="17"/>
        <v>#DIV/0!</v>
      </c>
      <c r="AD58" s="169" t="e">
        <f t="shared" si="17"/>
        <v>#DIV/0!</v>
      </c>
      <c r="AE58" s="169" t="e">
        <f t="shared" si="17"/>
        <v>#DIV/0!</v>
      </c>
      <c r="AF58" s="169" t="e">
        <f t="shared" si="17"/>
        <v>#DIV/0!</v>
      </c>
      <c r="AG58" s="169" t="e">
        <f t="shared" si="17"/>
        <v>#DIV/0!</v>
      </c>
      <c r="AH58" s="169" t="e">
        <f t="shared" ref="AH58:AN58" si="18">AH48/AH47*100</f>
        <v>#DIV/0!</v>
      </c>
      <c r="AI58" s="169" t="e">
        <f t="shared" si="18"/>
        <v>#DIV/0!</v>
      </c>
      <c r="AJ58" s="169" t="e">
        <f t="shared" si="18"/>
        <v>#DIV/0!</v>
      </c>
      <c r="AK58" s="169" t="e">
        <f t="shared" si="18"/>
        <v>#DIV/0!</v>
      </c>
      <c r="AL58" s="169" t="e">
        <f t="shared" si="18"/>
        <v>#DIV/0!</v>
      </c>
      <c r="AM58" s="169" t="e">
        <f t="shared" si="18"/>
        <v>#DIV/0!</v>
      </c>
      <c r="AN58" s="169" t="e">
        <f t="shared" si="18"/>
        <v>#DIV/0!</v>
      </c>
      <c r="AO58" s="121"/>
      <c r="AP58" s="170" t="e">
        <f>AP45/AP44*100</f>
        <v>#DIV/0!</v>
      </c>
    </row>
    <row r="59" spans="6:957" ht="15" customHeight="1" x14ac:dyDescent="0.3">
      <c r="F59" s="107"/>
      <c r="G59" s="167" t="s">
        <v>55</v>
      </c>
      <c r="H59" s="106">
        <v>30</v>
      </c>
      <c r="I59" s="168" t="s">
        <v>13</v>
      </c>
      <c r="J59" s="169" t="e">
        <f t="shared" ref="J59:AG59" si="19">J46/J44*100</f>
        <v>#DIV/0!</v>
      </c>
      <c r="K59" s="169" t="e">
        <f t="shared" si="19"/>
        <v>#DIV/0!</v>
      </c>
      <c r="L59" s="169" t="e">
        <f t="shared" si="19"/>
        <v>#DIV/0!</v>
      </c>
      <c r="M59" s="169" t="e">
        <f t="shared" si="19"/>
        <v>#DIV/0!</v>
      </c>
      <c r="N59" s="169" t="e">
        <f t="shared" si="19"/>
        <v>#DIV/0!</v>
      </c>
      <c r="O59" s="169" t="e">
        <f t="shared" si="19"/>
        <v>#DIV/0!</v>
      </c>
      <c r="P59" s="169" t="e">
        <f t="shared" si="19"/>
        <v>#DIV/0!</v>
      </c>
      <c r="Q59" s="169" t="e">
        <f t="shared" si="19"/>
        <v>#DIV/0!</v>
      </c>
      <c r="R59" s="169" t="e">
        <f t="shared" si="19"/>
        <v>#DIV/0!</v>
      </c>
      <c r="S59" s="169" t="e">
        <f t="shared" si="19"/>
        <v>#DIV/0!</v>
      </c>
      <c r="T59" s="169" t="e">
        <f t="shared" si="19"/>
        <v>#DIV/0!</v>
      </c>
      <c r="U59" s="169" t="e">
        <f t="shared" si="19"/>
        <v>#DIV/0!</v>
      </c>
      <c r="V59" s="169" t="e">
        <f t="shared" si="19"/>
        <v>#DIV/0!</v>
      </c>
      <c r="W59" s="169" t="e">
        <f t="shared" si="19"/>
        <v>#DIV/0!</v>
      </c>
      <c r="X59" s="169" t="e">
        <f t="shared" si="19"/>
        <v>#DIV/0!</v>
      </c>
      <c r="Y59" s="169" t="e">
        <f t="shared" si="19"/>
        <v>#DIV/0!</v>
      </c>
      <c r="Z59" s="169" t="e">
        <f t="shared" si="19"/>
        <v>#DIV/0!</v>
      </c>
      <c r="AA59" s="169" t="e">
        <f t="shared" si="19"/>
        <v>#DIV/0!</v>
      </c>
      <c r="AB59" s="169" t="e">
        <f t="shared" si="19"/>
        <v>#DIV/0!</v>
      </c>
      <c r="AC59" s="169" t="e">
        <f t="shared" si="19"/>
        <v>#DIV/0!</v>
      </c>
      <c r="AD59" s="169" t="e">
        <f t="shared" si="19"/>
        <v>#DIV/0!</v>
      </c>
      <c r="AE59" s="169" t="e">
        <f t="shared" si="19"/>
        <v>#DIV/0!</v>
      </c>
      <c r="AF59" s="169" t="e">
        <f t="shared" si="19"/>
        <v>#DIV/0!</v>
      </c>
      <c r="AG59" s="169" t="e">
        <f t="shared" si="19"/>
        <v>#DIV/0!</v>
      </c>
      <c r="AH59" s="169" t="e">
        <f t="shared" ref="AH59:AN59" si="20">AH49/AH47*100</f>
        <v>#DIV/0!</v>
      </c>
      <c r="AI59" s="169" t="e">
        <f t="shared" si="20"/>
        <v>#DIV/0!</v>
      </c>
      <c r="AJ59" s="169" t="e">
        <f t="shared" si="20"/>
        <v>#DIV/0!</v>
      </c>
      <c r="AK59" s="169" t="e">
        <f t="shared" si="20"/>
        <v>#DIV/0!</v>
      </c>
      <c r="AL59" s="169" t="e">
        <f t="shared" si="20"/>
        <v>#DIV/0!</v>
      </c>
      <c r="AM59" s="169" t="e">
        <f t="shared" si="20"/>
        <v>#DIV/0!</v>
      </c>
      <c r="AN59" s="169" t="e">
        <f t="shared" si="20"/>
        <v>#DIV/0!</v>
      </c>
      <c r="AO59" s="171"/>
      <c r="AP59" s="170" t="e">
        <f>AP46/AP44*100</f>
        <v>#DIV/0!</v>
      </c>
      <c r="GV59" s="2">
        <v>95.03</v>
      </c>
    </row>
    <row r="60" spans="6:957" ht="15" customHeight="1" x14ac:dyDescent="0.3">
      <c r="F60" s="107"/>
      <c r="G60" s="167" t="s">
        <v>68</v>
      </c>
      <c r="H60" s="106">
        <v>60</v>
      </c>
      <c r="I60" s="168" t="s">
        <v>13</v>
      </c>
      <c r="J60" s="169" t="e">
        <f t="shared" ref="J60:W60" si="21">J51/J49*100</f>
        <v>#DIV/0!</v>
      </c>
      <c r="K60" s="169" t="e">
        <f t="shared" si="21"/>
        <v>#DIV/0!</v>
      </c>
      <c r="L60" s="169" t="e">
        <f t="shared" si="21"/>
        <v>#DIV/0!</v>
      </c>
      <c r="M60" s="169" t="e">
        <f t="shared" si="21"/>
        <v>#DIV/0!</v>
      </c>
      <c r="N60" s="169" t="e">
        <f t="shared" si="21"/>
        <v>#DIV/0!</v>
      </c>
      <c r="O60" s="169" t="e">
        <f t="shared" si="21"/>
        <v>#DIV/0!</v>
      </c>
      <c r="P60" s="169" t="e">
        <f t="shared" si="21"/>
        <v>#DIV/0!</v>
      </c>
      <c r="Q60" s="169" t="e">
        <f t="shared" si="21"/>
        <v>#DIV/0!</v>
      </c>
      <c r="R60" s="169" t="e">
        <f t="shared" si="21"/>
        <v>#DIV/0!</v>
      </c>
      <c r="S60" s="169" t="e">
        <f t="shared" si="21"/>
        <v>#DIV/0!</v>
      </c>
      <c r="T60" s="169" t="e">
        <f t="shared" si="21"/>
        <v>#DIV/0!</v>
      </c>
      <c r="U60" s="169" t="e">
        <f t="shared" si="21"/>
        <v>#DIV/0!</v>
      </c>
      <c r="V60" s="169" t="e">
        <f t="shared" si="21"/>
        <v>#DIV/0!</v>
      </c>
      <c r="W60" s="169" t="e">
        <f t="shared" si="21"/>
        <v>#DIV/0!</v>
      </c>
      <c r="X60" s="169" t="e">
        <f>(X51+X50)/X49*100</f>
        <v>#DIV/0!</v>
      </c>
      <c r="Y60" s="169" t="e">
        <f>(Y51+Y50)/Y49*100</f>
        <v>#DIV/0!</v>
      </c>
      <c r="Z60" s="169" t="e">
        <f>(Z51+Z50)/Z49*100</f>
        <v>#DIV/0!</v>
      </c>
      <c r="AA60" s="169" t="e">
        <f>(AA51+AA50)/AA49*100</f>
        <v>#DIV/0!</v>
      </c>
      <c r="AB60" s="169" t="e">
        <f t="shared" ref="AB60:AN60" si="22">AB51/AB49*100</f>
        <v>#DIV/0!</v>
      </c>
      <c r="AC60" s="169" t="e">
        <f t="shared" si="22"/>
        <v>#DIV/0!</v>
      </c>
      <c r="AD60" s="169" t="e">
        <f t="shared" si="22"/>
        <v>#DIV/0!</v>
      </c>
      <c r="AE60" s="169" t="e">
        <f t="shared" si="22"/>
        <v>#DIV/0!</v>
      </c>
      <c r="AF60" s="169" t="e">
        <f t="shared" si="22"/>
        <v>#DIV/0!</v>
      </c>
      <c r="AG60" s="169" t="e">
        <f t="shared" si="22"/>
        <v>#DIV/0!</v>
      </c>
      <c r="AH60" s="169" t="e">
        <f t="shared" si="22"/>
        <v>#DIV/0!</v>
      </c>
      <c r="AI60" s="169" t="e">
        <f t="shared" si="22"/>
        <v>#DIV/0!</v>
      </c>
      <c r="AJ60" s="169" t="e">
        <f t="shared" si="22"/>
        <v>#DIV/0!</v>
      </c>
      <c r="AK60" s="169" t="e">
        <f t="shared" si="22"/>
        <v>#DIV/0!</v>
      </c>
      <c r="AL60" s="169" t="e">
        <f t="shared" si="22"/>
        <v>#DIV/0!</v>
      </c>
      <c r="AM60" s="169" t="e">
        <f t="shared" si="22"/>
        <v>#DIV/0!</v>
      </c>
      <c r="AN60" s="169" t="e">
        <f t="shared" si="22"/>
        <v>#DIV/0!</v>
      </c>
      <c r="AO60" s="121"/>
      <c r="AP60" s="170" t="e">
        <f>(AP51+AP50)/AP49*100</f>
        <v>#DIV/0!</v>
      </c>
      <c r="GV60" s="2">
        <v>4.2300000000000004</v>
      </c>
      <c r="PZ60" s="72">
        <f>PZ61/94.2%</f>
        <v>1307.8556263269638</v>
      </c>
      <c r="QA60" s="2" t="s">
        <v>87</v>
      </c>
    </row>
    <row r="61" spans="6:957" ht="15" customHeight="1" x14ac:dyDescent="0.3">
      <c r="F61" s="107"/>
      <c r="G61" s="167" t="s">
        <v>88</v>
      </c>
      <c r="H61" s="106">
        <v>40</v>
      </c>
      <c r="I61" s="168" t="s">
        <v>13</v>
      </c>
      <c r="J61" s="169" t="e">
        <f t="shared" ref="J61:AN61" si="23">J52/J49*100</f>
        <v>#DIV/0!</v>
      </c>
      <c r="K61" s="169" t="e">
        <f t="shared" si="23"/>
        <v>#DIV/0!</v>
      </c>
      <c r="L61" s="169" t="e">
        <f t="shared" si="23"/>
        <v>#DIV/0!</v>
      </c>
      <c r="M61" s="169" t="e">
        <f t="shared" si="23"/>
        <v>#DIV/0!</v>
      </c>
      <c r="N61" s="169" t="e">
        <f t="shared" si="23"/>
        <v>#DIV/0!</v>
      </c>
      <c r="O61" s="169" t="e">
        <f t="shared" si="23"/>
        <v>#DIV/0!</v>
      </c>
      <c r="P61" s="169" t="e">
        <f t="shared" si="23"/>
        <v>#DIV/0!</v>
      </c>
      <c r="Q61" s="169" t="e">
        <f t="shared" si="23"/>
        <v>#DIV/0!</v>
      </c>
      <c r="R61" s="169" t="e">
        <f t="shared" si="23"/>
        <v>#DIV/0!</v>
      </c>
      <c r="S61" s="169" t="e">
        <f t="shared" si="23"/>
        <v>#DIV/0!</v>
      </c>
      <c r="T61" s="169" t="e">
        <f t="shared" si="23"/>
        <v>#DIV/0!</v>
      </c>
      <c r="U61" s="169" t="e">
        <f t="shared" si="23"/>
        <v>#DIV/0!</v>
      </c>
      <c r="V61" s="169" t="e">
        <f t="shared" si="23"/>
        <v>#DIV/0!</v>
      </c>
      <c r="W61" s="169" t="e">
        <f t="shared" si="23"/>
        <v>#DIV/0!</v>
      </c>
      <c r="X61" s="169" t="e">
        <f t="shared" si="23"/>
        <v>#DIV/0!</v>
      </c>
      <c r="Y61" s="169" t="e">
        <f t="shared" si="23"/>
        <v>#DIV/0!</v>
      </c>
      <c r="Z61" s="169" t="e">
        <f t="shared" si="23"/>
        <v>#DIV/0!</v>
      </c>
      <c r="AA61" s="169" t="e">
        <f t="shared" si="23"/>
        <v>#DIV/0!</v>
      </c>
      <c r="AB61" s="169" t="e">
        <f t="shared" si="23"/>
        <v>#DIV/0!</v>
      </c>
      <c r="AC61" s="169" t="e">
        <f t="shared" si="23"/>
        <v>#DIV/0!</v>
      </c>
      <c r="AD61" s="169" t="e">
        <f t="shared" si="23"/>
        <v>#DIV/0!</v>
      </c>
      <c r="AE61" s="169" t="e">
        <f t="shared" si="23"/>
        <v>#DIV/0!</v>
      </c>
      <c r="AF61" s="169" t="e">
        <f t="shared" si="23"/>
        <v>#DIV/0!</v>
      </c>
      <c r="AG61" s="169" t="e">
        <f t="shared" si="23"/>
        <v>#DIV/0!</v>
      </c>
      <c r="AH61" s="169" t="e">
        <f t="shared" si="23"/>
        <v>#DIV/0!</v>
      </c>
      <c r="AI61" s="169" t="e">
        <f t="shared" si="23"/>
        <v>#DIV/0!</v>
      </c>
      <c r="AJ61" s="169" t="e">
        <f t="shared" si="23"/>
        <v>#DIV/0!</v>
      </c>
      <c r="AK61" s="169" t="e">
        <f t="shared" si="23"/>
        <v>#DIV/0!</v>
      </c>
      <c r="AL61" s="169" t="e">
        <f t="shared" si="23"/>
        <v>#DIV/0!</v>
      </c>
      <c r="AM61" s="169" t="e">
        <f t="shared" si="23"/>
        <v>#DIV/0!</v>
      </c>
      <c r="AN61" s="169" t="e">
        <f t="shared" si="23"/>
        <v>#DIV/0!</v>
      </c>
      <c r="AO61" s="171"/>
      <c r="AP61" s="170" t="e">
        <f>AP52/AP49*100</f>
        <v>#DIV/0!</v>
      </c>
      <c r="GV61" s="2">
        <f>100-GV59-GV60</f>
        <v>0.73999999999999844</v>
      </c>
      <c r="PZ61" s="72">
        <f>22*56</f>
        <v>1232</v>
      </c>
      <c r="QA61" s="2" t="s">
        <v>89</v>
      </c>
    </row>
    <row r="62" spans="6:957" x14ac:dyDescent="0.3">
      <c r="F62" s="46">
        <v>3</v>
      </c>
      <c r="G62" s="172" t="s">
        <v>90</v>
      </c>
      <c r="H62" s="165"/>
      <c r="I62" s="165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80"/>
      <c r="AP62" s="173" t="s">
        <v>91</v>
      </c>
      <c r="AQ62" s="7"/>
      <c r="DA62" s="72"/>
      <c r="PZ62" s="72">
        <f>16.5*PZ60</f>
        <v>21579.617834394903</v>
      </c>
    </row>
    <row r="63" spans="6:957" x14ac:dyDescent="0.3">
      <c r="F63" s="56"/>
      <c r="G63" s="323" t="s">
        <v>92</v>
      </c>
      <c r="H63" s="106">
        <v>8</v>
      </c>
      <c r="I63" s="174" t="s">
        <v>93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1808</v>
      </c>
      <c r="R63" s="69">
        <v>1088</v>
      </c>
      <c r="S63" s="69">
        <v>16288</v>
      </c>
      <c r="T63" s="69">
        <v>15008</v>
      </c>
      <c r="U63" s="69">
        <v>16808</v>
      </c>
      <c r="V63" s="69">
        <v>19752</v>
      </c>
      <c r="W63" s="69">
        <v>20800</v>
      </c>
      <c r="X63" s="69">
        <v>18624</v>
      </c>
      <c r="Y63" s="69">
        <v>23088</v>
      </c>
      <c r="Z63" s="69">
        <v>18664</v>
      </c>
      <c r="AA63" s="69">
        <v>18304</v>
      </c>
      <c r="AB63" s="69">
        <v>18477</v>
      </c>
      <c r="AC63" s="69">
        <v>19632</v>
      </c>
      <c r="AD63" s="69">
        <v>19360</v>
      </c>
      <c r="AE63" s="69">
        <v>20432</v>
      </c>
      <c r="AF63" s="69">
        <v>15408</v>
      </c>
      <c r="AG63" s="69">
        <v>18896</v>
      </c>
      <c r="AH63" s="69">
        <v>16780</v>
      </c>
      <c r="AI63" s="69">
        <v>18000</v>
      </c>
      <c r="AJ63" s="69">
        <v>21408</v>
      </c>
      <c r="AK63" s="69">
        <v>21520</v>
      </c>
      <c r="AL63" s="69">
        <v>20288</v>
      </c>
      <c r="AM63" s="69">
        <v>20288</v>
      </c>
      <c r="AN63" s="69">
        <v>16392</v>
      </c>
      <c r="AO63" s="80"/>
      <c r="AP63" s="21">
        <f>SUM(J63:AN63)</f>
        <v>417113</v>
      </c>
      <c r="AQ63" s="7"/>
      <c r="DA63" s="72"/>
    </row>
    <row r="64" spans="6:957" x14ac:dyDescent="0.3">
      <c r="F64" s="107"/>
      <c r="G64" s="324"/>
      <c r="H64" s="119"/>
      <c r="I64" s="174" t="s">
        <v>13</v>
      </c>
      <c r="J64" s="169" t="e">
        <f>J63/J30*100</f>
        <v>#DIV/0!</v>
      </c>
      <c r="K64" s="169" t="e">
        <f>K63/(K30-K48)*100</f>
        <v>#DIV/0!</v>
      </c>
      <c r="L64" s="169" t="e">
        <f t="shared" ref="L64:Q64" si="24">L63/((L30+L31)-L48)*100</f>
        <v>#DIV/0!</v>
      </c>
      <c r="M64" s="169" t="e">
        <f t="shared" si="24"/>
        <v>#DIV/0!</v>
      </c>
      <c r="N64" s="169" t="e">
        <f t="shared" si="24"/>
        <v>#DIV/0!</v>
      </c>
      <c r="O64" s="169" t="e">
        <f t="shared" si="24"/>
        <v>#DIV/0!</v>
      </c>
      <c r="P64" s="169" t="e">
        <f t="shared" si="24"/>
        <v>#DIV/0!</v>
      </c>
      <c r="Q64" s="175">
        <f t="shared" si="24"/>
        <v>2.9851896124581603</v>
      </c>
      <c r="R64" s="175">
        <f t="shared" ref="R64:AN64" si="25">R63/((R30+R31)-(R48+R43))*100</f>
        <v>31.213538183653217</v>
      </c>
      <c r="S64" s="175">
        <f t="shared" si="25"/>
        <v>1.4218526621991716</v>
      </c>
      <c r="T64" s="175">
        <f t="shared" si="25"/>
        <v>0.99140543965668371</v>
      </c>
      <c r="U64" s="175">
        <f t="shared" si="25"/>
        <v>0.94268476855931571</v>
      </c>
      <c r="V64" s="175">
        <f t="shared" si="25"/>
        <v>1.0100202126520601</v>
      </c>
      <c r="W64" s="175">
        <f t="shared" si="25"/>
        <v>1.1991382346955659</v>
      </c>
      <c r="X64" s="175">
        <f t="shared" si="25"/>
        <v>1.0497610330702545</v>
      </c>
      <c r="Y64" s="175">
        <f t="shared" si="25"/>
        <v>1.2574170340577677</v>
      </c>
      <c r="Z64" s="175">
        <f t="shared" si="25"/>
        <v>0.93621508066728898</v>
      </c>
      <c r="AA64" s="169">
        <f t="shared" si="25"/>
        <v>1.0968728658740956</v>
      </c>
      <c r="AB64" s="169">
        <f t="shared" si="25"/>
        <v>0.97678851896826346</v>
      </c>
      <c r="AC64" s="169">
        <f t="shared" si="25"/>
        <v>0.96582945376421114</v>
      </c>
      <c r="AD64" s="169">
        <f t="shared" si="25"/>
        <v>0.97536940352835855</v>
      </c>
      <c r="AE64" s="169">
        <f t="shared" si="25"/>
        <v>0.9867766519525929</v>
      </c>
      <c r="AF64" s="176">
        <f t="shared" si="25"/>
        <v>0.93956473226742487</v>
      </c>
      <c r="AG64" s="169">
        <f t="shared" si="25"/>
        <v>1.1576792745634656</v>
      </c>
      <c r="AH64" s="169">
        <f t="shared" si="25"/>
        <v>0.95632272603143365</v>
      </c>
      <c r="AI64" s="169">
        <f t="shared" si="25"/>
        <v>0.95528623559906001</v>
      </c>
      <c r="AJ64" s="169">
        <f t="shared" si="25"/>
        <v>1.187847863588368</v>
      </c>
      <c r="AK64" s="169">
        <f t="shared" si="25"/>
        <v>1.1589900629527643</v>
      </c>
      <c r="AL64" s="169">
        <f t="shared" si="25"/>
        <v>1.2596227216369134</v>
      </c>
      <c r="AM64" s="169">
        <f t="shared" si="25"/>
        <v>1.3648662649029968</v>
      </c>
      <c r="AN64" s="169">
        <f t="shared" si="25"/>
        <v>0.96187530476695116</v>
      </c>
      <c r="AO64" s="80"/>
      <c r="AP64" s="177">
        <f>AP63/(((AP30)-(AP43+AP48)))*100</f>
        <v>1.074473789231063</v>
      </c>
      <c r="AQ64" s="178">
        <f>AE64*10</f>
        <v>9.8677665195259294</v>
      </c>
      <c r="AR64" s="179">
        <f>AP64*10</f>
        <v>10.74473789231063</v>
      </c>
      <c r="DA64" s="74"/>
      <c r="GV64" s="127">
        <f>V64*10</f>
        <v>10.100202126520601</v>
      </c>
      <c r="PW64" s="127"/>
      <c r="PZ64" s="72">
        <f>PZ60+(AP48/1000)</f>
        <v>1307.8556263269638</v>
      </c>
      <c r="QA64" s="72" t="s">
        <v>94</v>
      </c>
    </row>
    <row r="65" spans="6:957" x14ac:dyDescent="0.3">
      <c r="F65" s="56"/>
      <c r="G65" s="325" t="s">
        <v>95</v>
      </c>
      <c r="H65" s="180">
        <v>16</v>
      </c>
      <c r="I65" s="181" t="s">
        <v>93</v>
      </c>
      <c r="J65" s="182">
        <v>0</v>
      </c>
      <c r="K65" s="182">
        <v>0</v>
      </c>
      <c r="L65" s="182">
        <v>0</v>
      </c>
      <c r="M65" s="182">
        <v>0</v>
      </c>
      <c r="N65" s="182">
        <v>0</v>
      </c>
      <c r="O65" s="182">
        <v>0</v>
      </c>
      <c r="P65" s="182">
        <v>0</v>
      </c>
      <c r="Q65" s="182">
        <v>0</v>
      </c>
      <c r="R65" s="182">
        <v>0</v>
      </c>
      <c r="S65" s="182">
        <v>0</v>
      </c>
      <c r="T65" s="182">
        <v>0</v>
      </c>
      <c r="U65" s="182">
        <v>0</v>
      </c>
      <c r="V65" s="182">
        <v>0</v>
      </c>
      <c r="W65" s="182">
        <v>0</v>
      </c>
      <c r="X65" s="182">
        <v>0</v>
      </c>
      <c r="Y65" s="182">
        <v>0</v>
      </c>
      <c r="Z65" s="182">
        <v>0</v>
      </c>
      <c r="AA65" s="182">
        <v>0</v>
      </c>
      <c r="AB65" s="182">
        <v>0</v>
      </c>
      <c r="AC65" s="182"/>
      <c r="AD65" s="182">
        <v>0</v>
      </c>
      <c r="AE65" s="182">
        <v>0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80"/>
      <c r="AP65" s="183">
        <f>SUM(J65:AN65)</f>
        <v>0</v>
      </c>
      <c r="AQ65" s="124"/>
      <c r="AR65" s="179"/>
      <c r="CB65" s="72"/>
      <c r="CC65" s="72"/>
      <c r="DF65" s="72"/>
      <c r="EN65" s="64"/>
      <c r="EO65" s="72"/>
      <c r="EP65" s="72"/>
      <c r="EQ65" s="72"/>
      <c r="ER65" s="72"/>
      <c r="GU65" s="72"/>
      <c r="GV65" s="127"/>
      <c r="KP65" s="72"/>
      <c r="KQ65" s="72"/>
      <c r="KR65" s="72"/>
      <c r="KS65" s="72"/>
      <c r="PW65" s="72"/>
      <c r="PX65" s="72"/>
      <c r="PZ65" s="72">
        <f>PZ62+AP65</f>
        <v>21579.617834394903</v>
      </c>
      <c r="QA65" s="72" t="s">
        <v>96</v>
      </c>
      <c r="QN65" s="127"/>
      <c r="QR65" s="72"/>
      <c r="SU65" s="127"/>
      <c r="AID65" s="72"/>
      <c r="AJS65" s="72"/>
      <c r="AJT65" s="72"/>
      <c r="AJU65" s="72"/>
    </row>
    <row r="66" spans="6:957" x14ac:dyDescent="0.3">
      <c r="F66" s="107"/>
      <c r="G66" s="324"/>
      <c r="H66" s="184"/>
      <c r="I66" s="185" t="s">
        <v>13</v>
      </c>
      <c r="J66" s="186" t="e">
        <f t="shared" ref="J66:Q66" si="26">J65/J48*100</f>
        <v>#DIV/0!</v>
      </c>
      <c r="K66" s="186" t="e">
        <f t="shared" si="26"/>
        <v>#DIV/0!</v>
      </c>
      <c r="L66" s="186" t="e">
        <f t="shared" si="26"/>
        <v>#DIV/0!</v>
      </c>
      <c r="M66" s="186" t="e">
        <f t="shared" si="26"/>
        <v>#DIV/0!</v>
      </c>
      <c r="N66" s="186" t="e">
        <f t="shared" si="26"/>
        <v>#DIV/0!</v>
      </c>
      <c r="O66" s="186" t="e">
        <f t="shared" si="26"/>
        <v>#DIV/0!</v>
      </c>
      <c r="P66" s="186" t="e">
        <f t="shared" si="26"/>
        <v>#DIV/0!</v>
      </c>
      <c r="Q66" s="186" t="e">
        <f t="shared" si="26"/>
        <v>#DIV/0!</v>
      </c>
      <c r="R66" s="186" t="e">
        <f>R65/(R43+R48)*100</f>
        <v>#DIV/0!</v>
      </c>
      <c r="S66" s="186" t="e">
        <f>S65/S48*100</f>
        <v>#DIV/0!</v>
      </c>
      <c r="T66" s="186" t="e">
        <f>T65/(T48+T43)*100</f>
        <v>#DIV/0!</v>
      </c>
      <c r="U66" s="186" t="e">
        <f>U65/U48*100</f>
        <v>#DIV/0!</v>
      </c>
      <c r="V66" s="186" t="e">
        <f>V65/V48*100</f>
        <v>#DIV/0!</v>
      </c>
      <c r="W66" s="186" t="e">
        <f>W65/W48*100</f>
        <v>#DIV/0!</v>
      </c>
      <c r="X66" s="186" t="e">
        <f>X65/(X48+X43)*100</f>
        <v>#DIV/0!</v>
      </c>
      <c r="Y66" s="186" t="e">
        <f t="shared" ref="Y66:AE66" si="27">Y65/Y48*100</f>
        <v>#DIV/0!</v>
      </c>
      <c r="Z66" s="186" t="e">
        <f t="shared" si="27"/>
        <v>#DIV/0!</v>
      </c>
      <c r="AA66" s="186" t="e">
        <f t="shared" si="27"/>
        <v>#DIV/0!</v>
      </c>
      <c r="AB66" s="186" t="e">
        <f t="shared" si="27"/>
        <v>#DIV/0!</v>
      </c>
      <c r="AC66" s="186" t="e">
        <f t="shared" si="27"/>
        <v>#DIV/0!</v>
      </c>
      <c r="AD66" s="186" t="e">
        <f t="shared" si="27"/>
        <v>#DIV/0!</v>
      </c>
      <c r="AE66" s="186" t="e">
        <f t="shared" si="27"/>
        <v>#DIV/0!</v>
      </c>
      <c r="AF66" s="186" t="e">
        <f>AF65/(AF48+AF43)*100</f>
        <v>#DIV/0!</v>
      </c>
      <c r="AG66" s="186" t="e">
        <f>AG65/(AG48)*100</f>
        <v>#DIV/0!</v>
      </c>
      <c r="AH66" s="186" t="e">
        <f t="shared" ref="AH66:AN66" si="28">AH65/AH48*100</f>
        <v>#DIV/0!</v>
      </c>
      <c r="AI66" s="186" t="e">
        <f t="shared" si="28"/>
        <v>#DIV/0!</v>
      </c>
      <c r="AJ66" s="186" t="e">
        <f t="shared" si="28"/>
        <v>#DIV/0!</v>
      </c>
      <c r="AK66" s="186" t="e">
        <f t="shared" si="28"/>
        <v>#DIV/0!</v>
      </c>
      <c r="AL66" s="186" t="e">
        <f t="shared" si="28"/>
        <v>#DIV/0!</v>
      </c>
      <c r="AM66" s="186" t="e">
        <f t="shared" si="28"/>
        <v>#DIV/0!</v>
      </c>
      <c r="AN66" s="186" t="e">
        <f t="shared" si="28"/>
        <v>#DIV/0!</v>
      </c>
      <c r="AO66" s="80"/>
      <c r="AP66" s="187" t="e">
        <f>AP65/((AP48)+AP43)*100</f>
        <v>#DIV/0!</v>
      </c>
      <c r="AQ66" s="178"/>
      <c r="AR66" s="179" t="e">
        <f>AP66*10</f>
        <v>#DIV/0!</v>
      </c>
      <c r="CB66" s="72"/>
      <c r="CC66" s="72"/>
      <c r="DA66" s="74"/>
      <c r="DF66" s="72"/>
      <c r="EN66" s="64"/>
      <c r="EO66" s="72"/>
      <c r="EP66" s="72"/>
      <c r="EQ66" s="72"/>
      <c r="ER66" s="72"/>
      <c r="GU66" s="72"/>
      <c r="GV66" s="127"/>
      <c r="KP66" s="72"/>
      <c r="KQ66" s="72"/>
      <c r="KR66" s="72"/>
      <c r="KS66" s="72"/>
      <c r="PW66" s="127"/>
      <c r="PX66" s="72"/>
      <c r="PZ66" s="188">
        <f>PZ65/PZ64</f>
        <v>16.5</v>
      </c>
      <c r="QA66" s="189" t="s">
        <v>97</v>
      </c>
      <c r="QN66" s="127"/>
      <c r="QR66" s="72"/>
      <c r="SU66" s="127"/>
      <c r="AID66" s="72"/>
      <c r="AJS66" s="72"/>
      <c r="AJT66" s="72"/>
      <c r="AJU66" s="72"/>
    </row>
    <row r="67" spans="6:957" x14ac:dyDescent="0.3">
      <c r="F67" s="107"/>
      <c r="G67" s="105" t="s">
        <v>98</v>
      </c>
      <c r="H67" s="106">
        <v>0.55000000000000004</v>
      </c>
      <c r="I67" s="174" t="s">
        <v>10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106.09999999999991</v>
      </c>
      <c r="R67" s="69">
        <v>57.130000000000109</v>
      </c>
      <c r="S67" s="69">
        <v>693.77</v>
      </c>
      <c r="T67" s="69">
        <v>823.2299999999999</v>
      </c>
      <c r="U67" s="69">
        <v>938.63</v>
      </c>
      <c r="V67" s="69">
        <v>1005.0899999999999</v>
      </c>
      <c r="W67" s="69">
        <v>942.13</v>
      </c>
      <c r="X67" s="69">
        <v>931.58</v>
      </c>
      <c r="Y67" s="69">
        <v>977.1</v>
      </c>
      <c r="Z67" s="69">
        <v>975.94</v>
      </c>
      <c r="AA67" s="69">
        <v>1008.59</v>
      </c>
      <c r="AB67" s="69">
        <v>1006.28</v>
      </c>
      <c r="AC67" s="69">
        <v>1072.75</v>
      </c>
      <c r="AD67" s="69">
        <v>1089.06</v>
      </c>
      <c r="AE67" s="69">
        <v>1047</v>
      </c>
      <c r="AF67" s="69">
        <v>922.3</v>
      </c>
      <c r="AG67" s="69">
        <v>850</v>
      </c>
      <c r="AH67" s="69">
        <v>887.33</v>
      </c>
      <c r="AI67" s="69">
        <v>974.7</v>
      </c>
      <c r="AJ67" s="69">
        <v>998</v>
      </c>
      <c r="AK67" s="69">
        <v>1001.5</v>
      </c>
      <c r="AL67" s="69">
        <v>861.77</v>
      </c>
      <c r="AM67" s="69">
        <v>759.14</v>
      </c>
      <c r="AN67" s="69">
        <v>864</v>
      </c>
      <c r="AO67" s="80"/>
      <c r="AP67" s="183">
        <f>SUM(J67:AN67)</f>
        <v>20793.12</v>
      </c>
      <c r="GV67" s="127"/>
      <c r="PZ67" s="127">
        <v>16</v>
      </c>
      <c r="QA67" s="2" t="s">
        <v>99</v>
      </c>
    </row>
    <row r="68" spans="6:957" x14ac:dyDescent="0.3">
      <c r="F68" s="190"/>
      <c r="G68" s="191"/>
      <c r="H68" s="119"/>
      <c r="I68" s="192" t="s">
        <v>13</v>
      </c>
      <c r="J68" s="193" t="e">
        <f t="shared" ref="J68:AN68" si="29">J67/(J30+J31)*100</f>
        <v>#DIV/0!</v>
      </c>
      <c r="K68" s="193" t="e">
        <f t="shared" si="29"/>
        <v>#DIV/0!</v>
      </c>
      <c r="L68" s="193" t="e">
        <f t="shared" si="29"/>
        <v>#DIV/0!</v>
      </c>
      <c r="M68" s="194" t="e">
        <f t="shared" si="29"/>
        <v>#DIV/0!</v>
      </c>
      <c r="N68" s="193" t="e">
        <f t="shared" si="29"/>
        <v>#DIV/0!</v>
      </c>
      <c r="O68" s="193" t="e">
        <f t="shared" si="29"/>
        <v>#DIV/0!</v>
      </c>
      <c r="P68" s="193" t="e">
        <f t="shared" si="29"/>
        <v>#DIV/0!</v>
      </c>
      <c r="Q68" s="193">
        <f t="shared" si="29"/>
        <v>0.17518175767799257</v>
      </c>
      <c r="R68" s="193">
        <f t="shared" si="29"/>
        <v>1.6389976437795144</v>
      </c>
      <c r="S68" s="193">
        <f t="shared" si="29"/>
        <v>6.0562298714017637E-2</v>
      </c>
      <c r="T68" s="193">
        <f t="shared" si="29"/>
        <v>5.4381309973918684E-2</v>
      </c>
      <c r="U68" s="193">
        <f t="shared" si="29"/>
        <v>5.2643515249454459E-2</v>
      </c>
      <c r="V68" s="193">
        <f t="shared" si="29"/>
        <v>5.1395363281412462E-2</v>
      </c>
      <c r="W68" s="193">
        <f t="shared" si="29"/>
        <v>5.431462043527565E-2</v>
      </c>
      <c r="X68" s="193">
        <f t="shared" si="29"/>
        <v>5.2509470746756208E-2</v>
      </c>
      <c r="Y68" s="193">
        <f t="shared" si="29"/>
        <v>5.3214751558291966E-2</v>
      </c>
      <c r="Z68" s="193">
        <f t="shared" si="29"/>
        <v>4.89546584776272E-2</v>
      </c>
      <c r="AA68" s="193">
        <f t="shared" si="29"/>
        <v>6.044006795192057E-2</v>
      </c>
      <c r="AB68" s="193">
        <f t="shared" si="29"/>
        <v>5.319709643705061E-2</v>
      </c>
      <c r="AC68" s="193">
        <f t="shared" si="29"/>
        <v>5.2775751147389839E-2</v>
      </c>
      <c r="AD68" s="193">
        <f t="shared" si="29"/>
        <v>5.4867551787530687E-2</v>
      </c>
      <c r="AE68" s="193">
        <f t="shared" si="29"/>
        <v>5.056554202204213E-2</v>
      </c>
      <c r="AF68" s="193">
        <f t="shared" si="29"/>
        <v>5.6240949673562163E-2</v>
      </c>
      <c r="AG68" s="193">
        <f t="shared" si="29"/>
        <v>5.2075962287200774E-2</v>
      </c>
      <c r="AH68" s="193">
        <f t="shared" si="29"/>
        <v>5.0570550923091304E-2</v>
      </c>
      <c r="AI68" s="193">
        <f t="shared" si="29"/>
        <v>5.1728749657689102E-2</v>
      </c>
      <c r="AJ68" s="193">
        <f t="shared" si="29"/>
        <v>5.5375194687088528E-2</v>
      </c>
      <c r="AK68" s="193">
        <f t="shared" si="29"/>
        <v>5.3937200188066609E-2</v>
      </c>
      <c r="AL68" s="193">
        <f t="shared" si="29"/>
        <v>5.3504784740982005E-2</v>
      </c>
      <c r="AM68" s="193">
        <f t="shared" si="29"/>
        <v>5.1070809164947793E-2</v>
      </c>
      <c r="AN68" s="193">
        <f t="shared" si="29"/>
        <v>5.0699137586545012E-2</v>
      </c>
      <c r="AO68" s="195"/>
      <c r="AP68" s="196">
        <f>AP67/(AP30+71450)*100</f>
        <v>5.346421076709184E-2</v>
      </c>
      <c r="AR68" s="179">
        <f>AP68*10</f>
        <v>0.53464210767091835</v>
      </c>
      <c r="GV68" s="127">
        <f>T68*10</f>
        <v>0.54381309973918679</v>
      </c>
      <c r="PW68" s="127"/>
      <c r="PZ68" s="127">
        <f>PZ66-PZ67</f>
        <v>0.5</v>
      </c>
      <c r="QA68" s="2" t="s">
        <v>100</v>
      </c>
    </row>
    <row r="69" spans="6:957" x14ac:dyDescent="0.3">
      <c r="F69" s="197">
        <v>4</v>
      </c>
      <c r="G69" s="198" t="s">
        <v>101</v>
      </c>
      <c r="H69" s="199">
        <v>0.8</v>
      </c>
      <c r="I69" s="200" t="s">
        <v>13</v>
      </c>
      <c r="J69" s="201" t="e">
        <f t="shared" ref="J69:AM69" si="30">((SUM(J36:J37))-(SUM(J30:J31)))/(SUM(J30:J31))*100</f>
        <v>#DIV/0!</v>
      </c>
      <c r="K69" s="201" t="e">
        <f t="shared" si="30"/>
        <v>#DIV/0!</v>
      </c>
      <c r="L69" s="201" t="e">
        <f t="shared" si="30"/>
        <v>#DIV/0!</v>
      </c>
      <c r="M69" s="201" t="e">
        <f t="shared" si="30"/>
        <v>#DIV/0!</v>
      </c>
      <c r="N69" s="201" t="e">
        <f t="shared" si="30"/>
        <v>#DIV/0!</v>
      </c>
      <c r="O69" s="201" t="e">
        <f t="shared" si="30"/>
        <v>#DIV/0!</v>
      </c>
      <c r="P69" s="201" t="e">
        <f t="shared" si="30"/>
        <v>#DIV/0!</v>
      </c>
      <c r="Q69" s="201">
        <f t="shared" si="30"/>
        <v>-94.906355113698325</v>
      </c>
      <c r="R69" s="201">
        <f t="shared" si="30"/>
        <v>266.79136891568226</v>
      </c>
      <c r="S69" s="201">
        <f t="shared" si="30"/>
        <v>-2.29979371089656</v>
      </c>
      <c r="T69" s="201">
        <f t="shared" si="30"/>
        <v>4.9194909689073576</v>
      </c>
      <c r="U69" s="201">
        <f t="shared" si="30"/>
        <v>-5.5367826782755305</v>
      </c>
      <c r="V69" s="201">
        <f t="shared" si="30"/>
        <v>4.9764812414341986</v>
      </c>
      <c r="W69" s="201">
        <f t="shared" si="30"/>
        <v>0.79511219898696883</v>
      </c>
      <c r="X69" s="201">
        <f t="shared" si="30"/>
        <v>2.0006477547299801</v>
      </c>
      <c r="Y69" s="201">
        <f t="shared" si="30"/>
        <v>-1.9500638566126314</v>
      </c>
      <c r="Z69" s="201">
        <f t="shared" si="30"/>
        <v>3.7351289828893957</v>
      </c>
      <c r="AA69" s="201">
        <f t="shared" si="30"/>
        <v>2.9751125908136489</v>
      </c>
      <c r="AB69" s="201">
        <f t="shared" si="30"/>
        <v>0.44269237743357892</v>
      </c>
      <c r="AC69" s="201">
        <f t="shared" si="30"/>
        <v>1.7590519784205203E-2</v>
      </c>
      <c r="AD69" s="201">
        <f t="shared" si="30"/>
        <v>1.5017034612887692</v>
      </c>
      <c r="AE69" s="201">
        <f t="shared" si="30"/>
        <v>8.2367388332375366</v>
      </c>
      <c r="AF69" s="201">
        <f t="shared" si="30"/>
        <v>-10.555251394459249</v>
      </c>
      <c r="AG69" s="201">
        <f t="shared" si="30"/>
        <v>-3.5983264623696032</v>
      </c>
      <c r="AH69" s="201">
        <f t="shared" si="30"/>
        <v>-5.9072595975015907E-2</v>
      </c>
      <c r="AI69" s="201">
        <f t="shared" si="30"/>
        <v>-1.1868140526845699</v>
      </c>
      <c r="AJ69" s="201">
        <f>((SUM(AJ36:AJ37))-(SUM(AJ30:AJ31)))/(SUM(AJ30:AJ31))*100</f>
        <v>-13.878048992204196</v>
      </c>
      <c r="AK69" s="201">
        <f t="shared" si="30"/>
        <v>-0.72022184534699418</v>
      </c>
      <c r="AL69" s="201">
        <f t="shared" si="30"/>
        <v>13.700620443177591</v>
      </c>
      <c r="AM69" s="201">
        <f t="shared" si="30"/>
        <v>-11.002187129763882</v>
      </c>
      <c r="AN69" s="201">
        <f>((SUM(AN36:AN37))-(SUM(AN30:AN31)))/(SUM(AN30:AN31))*100</f>
        <v>-8.47598415479432</v>
      </c>
      <c r="AO69" s="202"/>
      <c r="AP69" s="201">
        <f>((SUM(AP36:AP37))-(SUM(AP30:AP31)))/(SUM(AP30:AP31))*100</f>
        <v>-0.67185864225444425</v>
      </c>
      <c r="AQ69" s="203"/>
      <c r="AR69" s="204"/>
      <c r="CB69" s="101"/>
      <c r="CC69" s="101"/>
      <c r="DF69" s="101"/>
      <c r="EN69" s="205"/>
      <c r="EO69" s="101"/>
      <c r="EP69" s="101"/>
      <c r="EQ69" s="101"/>
      <c r="ER69" s="101"/>
      <c r="GU69" s="101"/>
      <c r="KP69" s="101"/>
      <c r="KQ69" s="101"/>
      <c r="KR69" s="101"/>
      <c r="KS69" s="101"/>
      <c r="PW69" s="101"/>
      <c r="PX69" s="101"/>
      <c r="PZ69" s="127"/>
      <c r="QN69" s="4"/>
      <c r="QR69" s="101"/>
      <c r="SU69" s="4"/>
      <c r="AID69" s="101"/>
      <c r="AJS69" s="101"/>
      <c r="AJT69" s="101"/>
      <c r="AJU69" s="101"/>
    </row>
    <row r="70" spans="6:957" x14ac:dyDescent="0.3">
      <c r="F70" s="120"/>
      <c r="G70" s="167" t="s">
        <v>102</v>
      </c>
      <c r="H70" s="206">
        <v>22</v>
      </c>
      <c r="I70" s="168" t="s">
        <v>13</v>
      </c>
      <c r="J70" s="169">
        <v>0</v>
      </c>
      <c r="K70" s="169">
        <v>0</v>
      </c>
      <c r="L70" s="169">
        <v>0</v>
      </c>
      <c r="M70" s="169">
        <v>0</v>
      </c>
      <c r="N70" s="169">
        <v>0</v>
      </c>
      <c r="O70" s="169">
        <v>0</v>
      </c>
      <c r="P70" s="169">
        <v>0</v>
      </c>
      <c r="Q70" s="169">
        <v>0</v>
      </c>
      <c r="R70" s="169">
        <v>0</v>
      </c>
      <c r="S70" s="169">
        <v>21.37</v>
      </c>
      <c r="T70" s="169">
        <v>21.38</v>
      </c>
      <c r="U70" s="169">
        <v>21.39</v>
      </c>
      <c r="V70" s="169">
        <v>21.42</v>
      </c>
      <c r="W70" s="169">
        <v>21.28</v>
      </c>
      <c r="X70" s="169">
        <v>21.34</v>
      </c>
      <c r="Y70" s="169">
        <v>21.37</v>
      </c>
      <c r="Z70" s="169">
        <v>21.39</v>
      </c>
      <c r="AA70" s="169">
        <v>21.37</v>
      </c>
      <c r="AB70" s="169">
        <v>21.36</v>
      </c>
      <c r="AC70" s="169">
        <v>21.4</v>
      </c>
      <c r="AD70" s="169">
        <v>21.39</v>
      </c>
      <c r="AE70" s="169">
        <v>21.37</v>
      </c>
      <c r="AF70" s="169">
        <v>21.39</v>
      </c>
      <c r="AG70" s="169">
        <v>21.35</v>
      </c>
      <c r="AH70" s="169">
        <v>21.39</v>
      </c>
      <c r="AI70" s="169">
        <v>21.36</v>
      </c>
      <c r="AJ70" s="169">
        <v>21.35</v>
      </c>
      <c r="AK70" s="169">
        <v>21.35</v>
      </c>
      <c r="AL70" s="169">
        <v>21.39</v>
      </c>
      <c r="AM70" s="169">
        <v>21.41</v>
      </c>
      <c r="AN70" s="169">
        <v>21.36</v>
      </c>
      <c r="AO70" s="121"/>
      <c r="AP70" s="207">
        <f>AVERAGE(S70:AE70)</f>
        <v>21.371538461538464</v>
      </c>
      <c r="AQ70" s="101"/>
      <c r="AR70" s="204"/>
      <c r="CB70" s="101"/>
      <c r="CC70" s="101"/>
      <c r="DF70" s="101"/>
      <c r="EN70" s="205"/>
      <c r="EO70" s="101"/>
      <c r="EP70" s="101"/>
      <c r="EQ70" s="101"/>
      <c r="ER70" s="101"/>
      <c r="GU70" s="101"/>
      <c r="KP70" s="101"/>
      <c r="KQ70" s="101"/>
      <c r="KR70" s="101"/>
      <c r="KS70" s="101"/>
      <c r="PW70" s="101"/>
      <c r="PX70" s="101"/>
      <c r="PZ70" s="101"/>
      <c r="QN70" s="4"/>
      <c r="QR70" s="101"/>
      <c r="SU70" s="4"/>
      <c r="AID70" s="101"/>
      <c r="AJS70" s="101"/>
      <c r="AJT70" s="101"/>
      <c r="AJU70" s="101"/>
    </row>
    <row r="71" spans="6:957" x14ac:dyDescent="0.3">
      <c r="F71" s="208"/>
      <c r="G71" s="209" t="s">
        <v>103</v>
      </c>
      <c r="H71" s="119"/>
      <c r="I71" s="210" t="s">
        <v>10</v>
      </c>
      <c r="J71" s="169">
        <f t="shared" ref="J71:AN71" si="31">SUM(J63,J65)+(J70%*SUM(J63,J65))</f>
        <v>0</v>
      </c>
      <c r="K71" s="169">
        <f t="shared" si="31"/>
        <v>0</v>
      </c>
      <c r="L71" s="169">
        <f t="shared" si="31"/>
        <v>0</v>
      </c>
      <c r="M71" s="169">
        <f t="shared" si="31"/>
        <v>0</v>
      </c>
      <c r="N71" s="169">
        <f t="shared" si="31"/>
        <v>0</v>
      </c>
      <c r="O71" s="169">
        <f t="shared" si="31"/>
        <v>0</v>
      </c>
      <c r="P71" s="169">
        <f t="shared" si="31"/>
        <v>0</v>
      </c>
      <c r="Q71" s="169">
        <f t="shared" si="31"/>
        <v>1808</v>
      </c>
      <c r="R71" s="169">
        <f t="shared" si="31"/>
        <v>1088</v>
      </c>
      <c r="S71" s="169">
        <f t="shared" si="31"/>
        <v>19768.745600000002</v>
      </c>
      <c r="T71" s="169">
        <f t="shared" si="31"/>
        <v>18216.7104</v>
      </c>
      <c r="U71" s="169">
        <f t="shared" si="31"/>
        <v>20403.231200000002</v>
      </c>
      <c r="V71" s="169">
        <f t="shared" si="31"/>
        <v>23982.878400000001</v>
      </c>
      <c r="W71" s="169">
        <f t="shared" si="31"/>
        <v>25226.240000000002</v>
      </c>
      <c r="X71" s="169">
        <f t="shared" si="31"/>
        <v>22598.3616</v>
      </c>
      <c r="Y71" s="169">
        <f t="shared" si="31"/>
        <v>28021.905599999998</v>
      </c>
      <c r="Z71" s="169">
        <f t="shared" si="31"/>
        <v>22656.229599999999</v>
      </c>
      <c r="AA71" s="169">
        <f t="shared" si="31"/>
        <v>22215.5648</v>
      </c>
      <c r="AB71" s="169">
        <f t="shared" si="31"/>
        <v>22423.6872</v>
      </c>
      <c r="AC71" s="169">
        <f t="shared" si="31"/>
        <v>23833.248</v>
      </c>
      <c r="AD71" s="169">
        <f t="shared" si="31"/>
        <v>23501.103999999999</v>
      </c>
      <c r="AE71" s="169">
        <f>SUM(AE63,AE65)+(AE70%*SUM(AE63,AE65))</f>
        <v>24798.3184</v>
      </c>
      <c r="AF71" s="169">
        <f t="shared" si="31"/>
        <v>18703.771199999999</v>
      </c>
      <c r="AG71" s="169">
        <f t="shared" si="31"/>
        <v>22930.296000000002</v>
      </c>
      <c r="AH71" s="169">
        <f t="shared" si="31"/>
        <v>20369.241999999998</v>
      </c>
      <c r="AI71" s="169">
        <f t="shared" si="31"/>
        <v>21844.799999999999</v>
      </c>
      <c r="AJ71" s="169">
        <f t="shared" si="31"/>
        <v>25978.608</v>
      </c>
      <c r="AK71" s="169">
        <f t="shared" si="31"/>
        <v>26114.52</v>
      </c>
      <c r="AL71" s="169">
        <f t="shared" si="31"/>
        <v>24627.603200000001</v>
      </c>
      <c r="AM71" s="169">
        <f t="shared" si="31"/>
        <v>24631.660800000001</v>
      </c>
      <c r="AN71" s="169">
        <f t="shared" si="31"/>
        <v>19893.331200000001</v>
      </c>
      <c r="AO71" s="121"/>
      <c r="AP71" s="207">
        <f>SUM(AP63,AP65)+(AP70%*SUM(AP63,AP65))</f>
        <v>506256.46522307693</v>
      </c>
      <c r="AQ71" s="211"/>
      <c r="AR71" s="204"/>
      <c r="CB71" s="101"/>
      <c r="CC71" s="101"/>
      <c r="DF71" s="101"/>
      <c r="EN71" s="205"/>
      <c r="EO71" s="101"/>
      <c r="EP71" s="101"/>
      <c r="EQ71" s="101"/>
      <c r="ER71" s="101"/>
      <c r="GU71" s="101"/>
      <c r="GV71" s="33">
        <f>AR71+400</f>
        <v>400</v>
      </c>
      <c r="KP71" s="101"/>
      <c r="KQ71" s="101"/>
      <c r="KR71" s="101"/>
      <c r="KS71" s="101"/>
      <c r="PW71" s="101"/>
      <c r="PX71" s="101"/>
      <c r="PZ71" s="101"/>
      <c r="QN71" s="4"/>
      <c r="QR71" s="101"/>
      <c r="SU71" s="4"/>
      <c r="AID71" s="101"/>
      <c r="AJS71" s="101"/>
      <c r="AJT71" s="101"/>
      <c r="AJU71" s="101"/>
    </row>
    <row r="72" spans="6:957" x14ac:dyDescent="0.3">
      <c r="F72" s="46">
        <v>5</v>
      </c>
      <c r="G72" s="12" t="s">
        <v>104</v>
      </c>
      <c r="H72" s="47"/>
      <c r="I72" s="47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9"/>
      <c r="AH72" s="48"/>
      <c r="AI72" s="48"/>
      <c r="AJ72" s="48"/>
      <c r="AK72" s="48"/>
      <c r="AL72" s="48"/>
      <c r="AM72" s="48"/>
      <c r="AN72" s="48"/>
      <c r="AO72" s="7"/>
      <c r="AP72" s="166" t="s">
        <v>105</v>
      </c>
      <c r="GV72" s="7">
        <v>17292</v>
      </c>
      <c r="PW72" s="72">
        <f>AR72-GV72</f>
        <v>-17292</v>
      </c>
    </row>
    <row r="73" spans="6:957" x14ac:dyDescent="0.3">
      <c r="F73" s="56"/>
      <c r="G73" s="212" t="s">
        <v>106</v>
      </c>
      <c r="H73" s="213"/>
      <c r="I73" s="214" t="s">
        <v>10</v>
      </c>
      <c r="J73" s="215">
        <v>60660</v>
      </c>
      <c r="K73" s="215">
        <v>0</v>
      </c>
      <c r="L73" s="215">
        <v>0</v>
      </c>
      <c r="M73" s="215">
        <v>0</v>
      </c>
      <c r="N73" s="215">
        <v>0</v>
      </c>
      <c r="O73" s="215">
        <v>0</v>
      </c>
      <c r="P73" s="215">
        <v>0</v>
      </c>
      <c r="Q73" s="215">
        <v>14498</v>
      </c>
      <c r="R73" s="215">
        <v>0</v>
      </c>
      <c r="S73" s="215">
        <v>0</v>
      </c>
      <c r="T73" s="215">
        <v>0</v>
      </c>
      <c r="U73" s="215">
        <v>0</v>
      </c>
      <c r="V73" s="215">
        <v>0</v>
      </c>
      <c r="W73" s="215">
        <v>0</v>
      </c>
      <c r="X73" s="216">
        <v>94000</v>
      </c>
      <c r="Y73" s="215">
        <v>0</v>
      </c>
      <c r="Z73" s="215">
        <v>0</v>
      </c>
      <c r="AA73" s="216">
        <v>73637</v>
      </c>
      <c r="AB73" s="215">
        <v>0</v>
      </c>
      <c r="AC73" s="215">
        <v>0</v>
      </c>
      <c r="AD73" s="215">
        <v>0</v>
      </c>
      <c r="AE73" s="216">
        <v>65023</v>
      </c>
      <c r="AF73" s="216"/>
      <c r="AG73" s="216">
        <v>82062</v>
      </c>
      <c r="AH73" s="216"/>
      <c r="AI73" s="216"/>
      <c r="AJ73" s="216"/>
      <c r="AK73" s="216"/>
      <c r="AL73" s="216">
        <v>86923</v>
      </c>
      <c r="AM73" s="216"/>
      <c r="AN73" s="216"/>
      <c r="AO73" s="217"/>
      <c r="AP73" s="218">
        <f>SUM(J73:AN73)</f>
        <v>476803</v>
      </c>
      <c r="AR73" s="219"/>
      <c r="CB73" s="220"/>
      <c r="CC73" s="220"/>
      <c r="DF73" s="220"/>
      <c r="EN73" s="68"/>
      <c r="EO73" s="220"/>
      <c r="EP73" s="220"/>
      <c r="EQ73" s="220"/>
      <c r="ER73" s="220"/>
      <c r="GU73" s="220"/>
      <c r="KP73" s="220"/>
      <c r="KQ73" s="220"/>
      <c r="KR73" s="220"/>
      <c r="KS73" s="220"/>
      <c r="PW73" s="220"/>
      <c r="PX73" s="220"/>
      <c r="PZ73" s="220"/>
      <c r="QN73" s="221"/>
      <c r="QR73" s="220"/>
      <c r="SU73" s="221"/>
      <c r="AID73" s="222"/>
      <c r="AJS73" s="222"/>
      <c r="AJT73" s="222"/>
      <c r="AJU73" s="222"/>
    </row>
    <row r="74" spans="6:957" s="4" customFormat="1" ht="13.8" x14ac:dyDescent="0.25">
      <c r="F74" s="223"/>
      <c r="G74" s="224" t="s">
        <v>107</v>
      </c>
      <c r="H74" s="225"/>
      <c r="I74" s="226" t="s">
        <v>10</v>
      </c>
      <c r="J74" s="227">
        <v>27413.355</v>
      </c>
      <c r="K74" s="227">
        <v>0</v>
      </c>
      <c r="L74" s="227">
        <v>0</v>
      </c>
      <c r="M74" s="227">
        <v>0</v>
      </c>
      <c r="N74" s="227">
        <v>0</v>
      </c>
      <c r="O74" s="227">
        <v>0</v>
      </c>
      <c r="P74" s="227">
        <v>0</v>
      </c>
      <c r="Q74" s="227">
        <v>27424.215</v>
      </c>
      <c r="R74" s="227">
        <v>0</v>
      </c>
      <c r="S74" s="227">
        <v>0</v>
      </c>
      <c r="T74" s="227">
        <v>0</v>
      </c>
      <c r="U74" s="227">
        <v>0</v>
      </c>
      <c r="V74" s="227">
        <v>38985.590000000004</v>
      </c>
      <c r="W74" s="227">
        <v>0</v>
      </c>
      <c r="X74" s="227">
        <v>40252.589999999997</v>
      </c>
      <c r="Y74" s="227">
        <v>38591.01</v>
      </c>
      <c r="Z74" s="227">
        <v>0</v>
      </c>
      <c r="AA74" s="227">
        <v>38284.214999999997</v>
      </c>
      <c r="AB74" s="227">
        <v>25523.715</v>
      </c>
      <c r="AC74" s="227">
        <v>0</v>
      </c>
      <c r="AD74" s="227">
        <v>0</v>
      </c>
      <c r="AE74" s="227">
        <v>38285.120000000003</v>
      </c>
      <c r="AF74" s="227">
        <v>38284.199999999997</v>
      </c>
      <c r="AG74" s="227">
        <v>25523.72</v>
      </c>
      <c r="AH74" s="227"/>
      <c r="AI74" s="228"/>
      <c r="AJ74" s="228"/>
      <c r="AK74" s="228"/>
      <c r="AL74" s="228"/>
      <c r="AM74" s="228">
        <v>19440</v>
      </c>
      <c r="AN74" s="228"/>
      <c r="AO74" s="229"/>
      <c r="AP74" s="230">
        <f>SUM(J74:AN74)</f>
        <v>358007.73</v>
      </c>
      <c r="AR74" s="231" t="s">
        <v>85</v>
      </c>
      <c r="AS74" s="231"/>
      <c r="AT74" s="231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231"/>
      <c r="BF74" s="231"/>
      <c r="BG74" s="231"/>
      <c r="BH74" s="231"/>
      <c r="BI74" s="231"/>
      <c r="BJ74" s="231"/>
      <c r="BK74" s="231"/>
      <c r="BL74" s="231"/>
      <c r="BM74" s="231"/>
      <c r="BN74" s="231"/>
      <c r="BO74" s="231"/>
      <c r="BP74" s="231"/>
      <c r="BQ74" s="231"/>
      <c r="BR74" s="231"/>
      <c r="BS74" s="231"/>
      <c r="BT74" s="231"/>
      <c r="BU74" s="231"/>
      <c r="BV74" s="231"/>
      <c r="BW74" s="231"/>
      <c r="BX74" s="231"/>
      <c r="BY74" s="231"/>
      <c r="BZ74" s="231"/>
      <c r="CA74" s="231"/>
      <c r="CB74" s="231"/>
      <c r="CC74" s="231"/>
      <c r="CD74" s="231"/>
      <c r="CE74" s="231"/>
      <c r="CF74" s="231"/>
      <c r="CG74" s="231"/>
      <c r="CH74" s="231"/>
      <c r="CI74" s="231"/>
      <c r="CJ74" s="231"/>
      <c r="CK74" s="231"/>
      <c r="CL74" s="231"/>
      <c r="CM74" s="231"/>
      <c r="CN74" s="231"/>
      <c r="CO74" s="231"/>
      <c r="CP74" s="231"/>
      <c r="CQ74" s="231"/>
      <c r="CR74" s="231"/>
      <c r="CS74" s="231"/>
      <c r="CT74" s="231"/>
      <c r="CU74" s="231"/>
      <c r="CV74" s="231"/>
      <c r="CW74" s="231"/>
      <c r="CX74" s="231"/>
      <c r="CY74" s="231"/>
      <c r="CZ74" s="231"/>
      <c r="DA74" s="231"/>
      <c r="DB74" s="231"/>
      <c r="DD74" s="231"/>
      <c r="DE74" s="231"/>
      <c r="DF74" s="231"/>
      <c r="DG74" s="231"/>
      <c r="DH74" s="231"/>
      <c r="DI74" s="231"/>
      <c r="DJ74" s="231"/>
      <c r="DK74" s="231"/>
      <c r="DL74" s="231"/>
      <c r="DM74" s="231"/>
      <c r="DN74" s="231"/>
      <c r="DO74" s="231"/>
      <c r="DP74" s="231"/>
      <c r="DQ74" s="231"/>
      <c r="DR74" s="231"/>
      <c r="DS74" s="231"/>
      <c r="DT74" s="231"/>
      <c r="DU74" s="231"/>
      <c r="DV74" s="231"/>
      <c r="DW74" s="231"/>
      <c r="DX74" s="231"/>
      <c r="DY74" s="231"/>
      <c r="DZ74" s="231"/>
      <c r="EA74" s="231"/>
      <c r="EB74" s="231"/>
      <c r="EC74" s="231"/>
      <c r="ED74" s="231"/>
      <c r="EE74" s="231"/>
      <c r="EF74" s="231"/>
      <c r="EG74" s="231"/>
      <c r="EH74" s="231"/>
      <c r="EI74" s="231"/>
      <c r="EJ74" s="231"/>
      <c r="EK74" s="231"/>
      <c r="EL74" s="231"/>
      <c r="EM74" s="231"/>
      <c r="EN74" s="232"/>
      <c r="EO74" s="231"/>
      <c r="EP74" s="231"/>
      <c r="EQ74" s="231"/>
      <c r="ER74" s="231"/>
      <c r="ES74" s="231"/>
      <c r="ET74" s="231"/>
      <c r="EU74" s="231"/>
      <c r="EV74" s="231"/>
      <c r="EW74" s="231"/>
      <c r="EX74" s="231"/>
      <c r="EY74" s="231"/>
      <c r="EZ74" s="231"/>
      <c r="FA74" s="231"/>
      <c r="FB74" s="231"/>
      <c r="FC74" s="231"/>
      <c r="FD74" s="231"/>
      <c r="FE74" s="231"/>
      <c r="FF74" s="231"/>
      <c r="FG74" s="231"/>
      <c r="FH74" s="231"/>
      <c r="FI74" s="231"/>
      <c r="FJ74" s="231"/>
      <c r="FK74" s="231"/>
      <c r="FL74" s="231"/>
      <c r="FM74" s="231"/>
      <c r="FN74" s="231"/>
      <c r="FO74" s="231"/>
      <c r="FP74" s="231"/>
      <c r="FQ74" s="231"/>
      <c r="FR74" s="231"/>
      <c r="FS74" s="231"/>
      <c r="FT74" s="231"/>
      <c r="FU74" s="231"/>
      <c r="FV74" s="231"/>
      <c r="FW74" s="231"/>
      <c r="FX74" s="231"/>
      <c r="FY74" s="231"/>
      <c r="FZ74" s="231"/>
      <c r="GA74" s="231"/>
      <c r="GB74" s="231"/>
      <c r="GC74" s="231"/>
      <c r="GD74" s="231"/>
      <c r="GE74" s="231"/>
      <c r="GF74" s="231"/>
      <c r="GG74" s="231"/>
      <c r="GH74" s="231"/>
      <c r="GI74" s="231"/>
      <c r="GJ74" s="231"/>
      <c r="GK74" s="231"/>
      <c r="GL74" s="231"/>
      <c r="GM74" s="231"/>
      <c r="GN74" s="231"/>
      <c r="GO74" s="231"/>
      <c r="GP74" s="231"/>
      <c r="GQ74" s="231"/>
      <c r="GR74" s="231"/>
      <c r="GS74" s="231"/>
      <c r="GT74" s="231"/>
      <c r="GU74" s="231"/>
      <c r="GV74" s="231"/>
      <c r="GW74" s="231"/>
      <c r="GX74" s="231"/>
      <c r="GY74" s="231"/>
      <c r="GZ74" s="231"/>
      <c r="HA74" s="231"/>
      <c r="HB74" s="231"/>
      <c r="HC74" s="231"/>
      <c r="HD74" s="231"/>
      <c r="HE74" s="231"/>
      <c r="HF74" s="231"/>
      <c r="HG74" s="231"/>
      <c r="HH74" s="231"/>
      <c r="HI74" s="231"/>
      <c r="HJ74" s="231"/>
      <c r="HK74" s="231"/>
      <c r="HL74" s="231"/>
      <c r="HM74" s="231"/>
      <c r="HN74" s="231"/>
      <c r="HO74" s="231"/>
      <c r="HP74" s="231"/>
      <c r="HQ74" s="231"/>
      <c r="HR74" s="231"/>
      <c r="HS74" s="231"/>
      <c r="HT74" s="231"/>
      <c r="HU74" s="231"/>
      <c r="HV74" s="231"/>
      <c r="HW74" s="231"/>
      <c r="HX74" s="231"/>
      <c r="HY74" s="231"/>
      <c r="HZ74" s="231"/>
      <c r="IA74" s="231"/>
      <c r="IB74" s="231"/>
      <c r="IC74" s="231"/>
      <c r="ID74" s="231"/>
      <c r="IE74" s="231"/>
      <c r="IF74" s="231"/>
      <c r="IG74" s="231"/>
      <c r="IH74" s="231"/>
      <c r="II74" s="231"/>
      <c r="IJ74" s="231"/>
      <c r="IK74" s="231"/>
      <c r="IL74" s="231"/>
      <c r="IM74" s="231"/>
      <c r="IN74" s="231"/>
      <c r="IO74" s="231"/>
      <c r="IP74" s="231"/>
      <c r="IQ74" s="231"/>
      <c r="IR74" s="231"/>
      <c r="IS74" s="231"/>
      <c r="IT74" s="231"/>
      <c r="IU74" s="231"/>
      <c r="IV74" s="231"/>
      <c r="IW74" s="231"/>
      <c r="IX74" s="231"/>
      <c r="IY74" s="231"/>
      <c r="IZ74" s="231"/>
      <c r="JA74" s="231"/>
      <c r="JB74" s="231"/>
      <c r="JC74" s="231"/>
      <c r="JD74" s="231"/>
      <c r="JE74" s="231"/>
      <c r="JF74" s="231"/>
      <c r="JG74" s="231"/>
      <c r="JH74" s="231"/>
      <c r="JI74" s="231"/>
      <c r="JJ74" s="231"/>
      <c r="JK74" s="231"/>
      <c r="JL74" s="231"/>
      <c r="JM74" s="231"/>
      <c r="JN74" s="231"/>
      <c r="JO74" s="231"/>
      <c r="JP74" s="231"/>
      <c r="JQ74" s="231"/>
      <c r="JR74" s="231"/>
      <c r="JS74" s="231"/>
      <c r="JT74" s="231"/>
      <c r="JU74" s="231"/>
      <c r="JV74" s="231"/>
      <c r="JW74" s="231"/>
      <c r="JX74" s="231"/>
      <c r="JY74" s="231"/>
      <c r="JZ74" s="231"/>
      <c r="KA74" s="231"/>
      <c r="KB74" s="231"/>
      <c r="KC74" s="231"/>
      <c r="KD74" s="231"/>
      <c r="KE74" s="231"/>
      <c r="KF74" s="231"/>
      <c r="KG74" s="231"/>
      <c r="KH74" s="231"/>
      <c r="KI74" s="231"/>
      <c r="KJ74" s="231"/>
      <c r="KK74" s="231"/>
      <c r="KL74" s="231"/>
      <c r="KM74" s="231"/>
      <c r="KN74" s="231"/>
      <c r="KO74" s="231"/>
      <c r="KP74" s="231"/>
      <c r="KQ74" s="231"/>
      <c r="KR74" s="231"/>
      <c r="KS74" s="231"/>
      <c r="KT74" s="231"/>
      <c r="KU74" s="231"/>
      <c r="KV74" s="231"/>
      <c r="KW74" s="231"/>
      <c r="KX74" s="231"/>
      <c r="KY74" s="231"/>
      <c r="KZ74" s="231"/>
      <c r="LA74" s="231"/>
      <c r="LB74" s="231"/>
      <c r="LC74" s="231"/>
      <c r="LD74" s="231"/>
      <c r="LE74" s="231"/>
      <c r="LF74" s="231"/>
      <c r="LG74" s="231"/>
      <c r="LH74" s="231"/>
      <c r="LI74" s="231"/>
      <c r="LJ74" s="231"/>
      <c r="LK74" s="231"/>
      <c r="LL74" s="231"/>
      <c r="LM74" s="231"/>
      <c r="LN74" s="231"/>
      <c r="LO74" s="231"/>
      <c r="LP74" s="231"/>
      <c r="LQ74" s="231"/>
      <c r="LR74" s="231"/>
      <c r="LS74" s="231"/>
      <c r="LT74" s="231"/>
      <c r="LU74" s="231"/>
      <c r="LV74" s="231"/>
      <c r="LW74" s="231"/>
      <c r="LX74" s="231"/>
      <c r="LY74" s="231"/>
      <c r="LZ74" s="231"/>
      <c r="MA74" s="231"/>
      <c r="MB74" s="231"/>
      <c r="MC74" s="231"/>
      <c r="MD74" s="231"/>
      <c r="ME74" s="231"/>
      <c r="MF74" s="231"/>
      <c r="MG74" s="231"/>
      <c r="MH74" s="231"/>
      <c r="MI74" s="231"/>
      <c r="MJ74" s="231"/>
      <c r="MK74" s="231"/>
      <c r="ML74" s="231"/>
      <c r="MM74" s="231"/>
      <c r="MN74" s="231"/>
      <c r="MO74" s="231"/>
      <c r="MP74" s="231"/>
      <c r="MQ74" s="231"/>
      <c r="MR74" s="231"/>
      <c r="MS74" s="231"/>
      <c r="MT74" s="231"/>
      <c r="MU74" s="231"/>
      <c r="MV74" s="231"/>
      <c r="MW74" s="231"/>
      <c r="MX74" s="231"/>
      <c r="MY74" s="231"/>
      <c r="MZ74" s="231"/>
      <c r="NA74" s="231"/>
      <c r="NB74" s="231"/>
      <c r="NC74" s="231"/>
      <c r="ND74" s="231"/>
      <c r="NE74" s="231"/>
      <c r="NF74" s="231"/>
      <c r="NG74" s="231"/>
      <c r="NH74" s="231"/>
      <c r="NI74" s="231"/>
      <c r="NJ74" s="231"/>
      <c r="NK74" s="231"/>
      <c r="NL74" s="231"/>
      <c r="NM74" s="231"/>
      <c r="NN74" s="231"/>
      <c r="NO74" s="231"/>
      <c r="NP74" s="231"/>
      <c r="NQ74" s="231"/>
      <c r="NR74" s="231"/>
      <c r="NS74" s="231"/>
      <c r="NT74" s="231"/>
      <c r="NU74" s="231"/>
      <c r="NV74" s="231"/>
      <c r="NW74" s="231"/>
      <c r="NX74" s="231"/>
      <c r="NY74" s="231"/>
      <c r="NZ74" s="231"/>
      <c r="OA74" s="231"/>
      <c r="OB74" s="231"/>
      <c r="OC74" s="231"/>
      <c r="OD74" s="231"/>
      <c r="OE74" s="231"/>
      <c r="OF74" s="231"/>
      <c r="OG74" s="231"/>
      <c r="OH74" s="231"/>
      <c r="OI74" s="231"/>
      <c r="OJ74" s="231"/>
      <c r="OK74" s="231"/>
      <c r="OL74" s="231"/>
      <c r="OM74" s="231"/>
      <c r="ON74" s="231"/>
      <c r="OO74" s="231"/>
      <c r="OP74" s="231"/>
      <c r="OQ74" s="231"/>
      <c r="OR74" s="231"/>
      <c r="OS74" s="231"/>
      <c r="OT74" s="231"/>
      <c r="OU74" s="231"/>
      <c r="OV74" s="231"/>
      <c r="OW74" s="231"/>
      <c r="OX74" s="231"/>
      <c r="OY74" s="231"/>
      <c r="OZ74" s="231"/>
      <c r="PA74" s="231"/>
      <c r="PB74" s="231"/>
      <c r="PC74" s="231"/>
      <c r="PD74" s="231"/>
      <c r="PE74" s="231"/>
      <c r="PF74" s="231"/>
      <c r="PG74" s="231"/>
      <c r="PH74" s="231"/>
      <c r="PI74" s="231"/>
      <c r="PJ74" s="231"/>
      <c r="PK74" s="231"/>
      <c r="PL74" s="231"/>
      <c r="PM74" s="231"/>
      <c r="PN74" s="231"/>
      <c r="PO74" s="231"/>
      <c r="PP74" s="231"/>
      <c r="PQ74" s="231"/>
      <c r="PR74" s="231"/>
      <c r="PS74" s="231"/>
      <c r="PT74" s="231"/>
      <c r="PU74" s="231"/>
      <c r="PV74" s="231"/>
      <c r="PW74" s="231"/>
      <c r="PX74" s="231"/>
      <c r="PY74" s="231"/>
      <c r="PZ74" s="231"/>
      <c r="QA74" s="231"/>
      <c r="QB74" s="231"/>
      <c r="QC74" s="231"/>
      <c r="QD74" s="231"/>
      <c r="QE74" s="231"/>
      <c r="QF74" s="231"/>
      <c r="QG74" s="231"/>
      <c r="QH74" s="231"/>
      <c r="QI74" s="231"/>
      <c r="QJ74" s="231"/>
      <c r="QK74" s="231"/>
      <c r="QL74" s="231"/>
      <c r="QM74" s="231"/>
      <c r="QN74" s="231"/>
      <c r="QO74" s="231"/>
      <c r="QP74" s="231"/>
      <c r="QQ74" s="231"/>
      <c r="QR74" s="231"/>
      <c r="QS74" s="231"/>
      <c r="QT74" s="231"/>
      <c r="QU74" s="231"/>
      <c r="QV74" s="231"/>
      <c r="QW74" s="231"/>
      <c r="QX74" s="231"/>
      <c r="QY74" s="231"/>
      <c r="QZ74" s="231"/>
      <c r="RA74" s="231"/>
      <c r="RB74" s="231"/>
      <c r="RC74" s="231"/>
      <c r="RD74" s="231"/>
      <c r="RE74" s="231"/>
      <c r="RF74" s="231"/>
      <c r="RG74" s="231"/>
      <c r="RH74" s="231"/>
      <c r="RI74" s="231"/>
      <c r="RJ74" s="231"/>
      <c r="RK74" s="231"/>
      <c r="RL74" s="231"/>
      <c r="RM74" s="231"/>
      <c r="RN74" s="231"/>
      <c r="RO74" s="231"/>
      <c r="RP74" s="231"/>
      <c r="RQ74" s="231"/>
      <c r="RR74" s="231"/>
      <c r="RS74" s="231"/>
      <c r="RT74" s="231"/>
      <c r="RU74" s="231"/>
      <c r="RV74" s="231"/>
      <c r="RW74" s="231"/>
      <c r="RX74" s="231"/>
      <c r="RY74" s="231"/>
      <c r="RZ74" s="231"/>
      <c r="SA74" s="231"/>
      <c r="SB74" s="231"/>
      <c r="SC74" s="231"/>
      <c r="SD74" s="231"/>
      <c r="SE74" s="231"/>
      <c r="SF74" s="231"/>
      <c r="SG74" s="231"/>
      <c r="SH74" s="231"/>
      <c r="SI74" s="231"/>
      <c r="SJ74" s="231"/>
      <c r="SK74" s="231"/>
      <c r="SL74" s="231"/>
      <c r="SM74" s="231"/>
      <c r="SN74" s="231"/>
      <c r="SO74" s="231"/>
      <c r="SP74" s="231"/>
      <c r="SQ74" s="231"/>
      <c r="SR74" s="231"/>
      <c r="SS74" s="231"/>
      <c r="ST74" s="231"/>
      <c r="SU74" s="231"/>
      <c r="SV74" s="231"/>
      <c r="SW74" s="231"/>
      <c r="SX74" s="231"/>
      <c r="SY74" s="231"/>
      <c r="SZ74" s="231"/>
      <c r="TA74" s="231"/>
      <c r="TB74" s="231"/>
      <c r="TC74" s="231"/>
      <c r="TD74" s="231"/>
      <c r="TE74" s="231"/>
      <c r="TF74" s="231"/>
      <c r="TG74" s="231"/>
      <c r="TH74" s="231"/>
      <c r="TI74" s="231"/>
      <c r="TJ74" s="231"/>
      <c r="TK74" s="231"/>
      <c r="TL74" s="231"/>
      <c r="TM74" s="231"/>
      <c r="TN74" s="231"/>
      <c r="TO74" s="231"/>
      <c r="TP74" s="231"/>
      <c r="TQ74" s="231"/>
      <c r="TR74" s="231"/>
      <c r="TS74" s="231"/>
      <c r="TT74" s="231"/>
      <c r="TU74" s="231"/>
      <c r="TV74" s="231"/>
      <c r="TW74" s="231"/>
      <c r="TX74" s="231"/>
      <c r="TY74" s="231"/>
      <c r="TZ74" s="231"/>
      <c r="UA74" s="231"/>
      <c r="UB74" s="231"/>
      <c r="UC74" s="231"/>
      <c r="UD74" s="231"/>
      <c r="UE74" s="231"/>
      <c r="UF74" s="231"/>
      <c r="UG74" s="231"/>
      <c r="UH74" s="231"/>
      <c r="UI74" s="231"/>
      <c r="UJ74" s="231"/>
      <c r="UK74" s="231"/>
      <c r="UL74" s="231"/>
      <c r="UM74" s="231"/>
      <c r="UN74" s="231"/>
      <c r="UO74" s="231"/>
      <c r="UP74" s="231"/>
      <c r="UQ74" s="231"/>
      <c r="UR74" s="231"/>
      <c r="US74" s="231"/>
      <c r="UT74" s="231"/>
      <c r="UU74" s="231"/>
      <c r="UV74" s="231"/>
      <c r="UW74" s="231"/>
      <c r="UX74" s="231"/>
      <c r="UY74" s="231"/>
      <c r="UZ74" s="231"/>
      <c r="VA74" s="231"/>
      <c r="VB74" s="231"/>
      <c r="VC74" s="231"/>
      <c r="VD74" s="231"/>
      <c r="VE74" s="231"/>
      <c r="VF74" s="231"/>
      <c r="VG74" s="231"/>
      <c r="VH74" s="231"/>
      <c r="VI74" s="231"/>
      <c r="VJ74" s="231"/>
      <c r="VK74" s="231"/>
      <c r="VL74" s="231"/>
      <c r="VM74" s="231"/>
      <c r="VN74" s="231"/>
      <c r="VO74" s="231"/>
      <c r="VP74" s="231"/>
      <c r="VQ74" s="231"/>
      <c r="VR74" s="231"/>
      <c r="VS74" s="231"/>
      <c r="VT74" s="231"/>
      <c r="VU74" s="231"/>
      <c r="VV74" s="231"/>
      <c r="VW74" s="231"/>
      <c r="VX74" s="231"/>
      <c r="VY74" s="231"/>
      <c r="VZ74" s="231"/>
      <c r="WA74" s="231"/>
      <c r="WB74" s="231"/>
      <c r="WC74" s="231"/>
      <c r="WD74" s="231"/>
      <c r="WE74" s="231"/>
      <c r="WF74" s="231"/>
      <c r="WG74" s="231"/>
      <c r="WH74" s="231"/>
      <c r="WI74" s="231"/>
      <c r="WJ74" s="231"/>
      <c r="WK74" s="231"/>
      <c r="WL74" s="231"/>
      <c r="WM74" s="231"/>
      <c r="WN74" s="231"/>
      <c r="WO74" s="231"/>
      <c r="WP74" s="231"/>
      <c r="WQ74" s="231"/>
      <c r="WR74" s="231"/>
      <c r="WS74" s="231"/>
      <c r="WT74" s="231"/>
      <c r="WU74" s="231"/>
      <c r="WV74" s="231"/>
      <c r="WW74" s="231"/>
      <c r="WX74" s="231"/>
      <c r="WY74" s="231"/>
      <c r="WZ74" s="231"/>
      <c r="XA74" s="231"/>
      <c r="XB74" s="231"/>
      <c r="XC74" s="231"/>
      <c r="XD74" s="231"/>
      <c r="XE74" s="231"/>
      <c r="XF74" s="231"/>
      <c r="XG74" s="231"/>
      <c r="XH74" s="231"/>
      <c r="XI74" s="231"/>
      <c r="XJ74" s="231"/>
      <c r="XK74" s="231"/>
      <c r="XL74" s="231"/>
      <c r="XM74" s="231"/>
      <c r="XN74" s="231"/>
      <c r="XO74" s="231"/>
      <c r="XP74" s="231"/>
      <c r="XQ74" s="231"/>
      <c r="XR74" s="231"/>
      <c r="XS74" s="231"/>
      <c r="XT74" s="231"/>
      <c r="XU74" s="231"/>
      <c r="XV74" s="231"/>
      <c r="XW74" s="231"/>
      <c r="XX74" s="231"/>
      <c r="XY74" s="231"/>
      <c r="XZ74" s="231"/>
      <c r="YA74" s="231"/>
      <c r="YB74" s="231"/>
      <c r="YC74" s="231"/>
      <c r="YD74" s="231"/>
      <c r="YE74" s="231"/>
      <c r="YF74" s="231"/>
      <c r="YG74" s="231"/>
      <c r="YH74" s="231"/>
      <c r="YI74" s="231"/>
      <c r="YJ74" s="231"/>
      <c r="YK74" s="231"/>
      <c r="YL74" s="231"/>
      <c r="YM74" s="231"/>
      <c r="YN74" s="231"/>
      <c r="YO74" s="231"/>
      <c r="YP74" s="231"/>
      <c r="YQ74" s="231"/>
      <c r="YR74" s="231"/>
      <c r="YS74" s="231"/>
      <c r="YT74" s="231"/>
      <c r="YU74" s="231"/>
      <c r="YV74" s="231"/>
      <c r="YW74" s="231"/>
      <c r="YX74" s="231"/>
      <c r="YY74" s="231"/>
      <c r="YZ74" s="231"/>
      <c r="ZA74" s="231"/>
      <c r="ZB74" s="231"/>
      <c r="ZC74" s="231"/>
      <c r="ZD74" s="231"/>
      <c r="ZE74" s="231"/>
      <c r="ZF74" s="231"/>
      <c r="ZG74" s="231"/>
      <c r="ZH74" s="231"/>
      <c r="ZI74" s="231"/>
      <c r="ZJ74" s="231"/>
      <c r="ZK74" s="231"/>
      <c r="ZL74" s="231"/>
      <c r="ZM74" s="231"/>
      <c r="ZN74" s="231"/>
      <c r="ZO74" s="231"/>
      <c r="ZP74" s="231"/>
      <c r="ZQ74" s="231"/>
      <c r="ZR74" s="231"/>
      <c r="ZS74" s="231"/>
      <c r="ZT74" s="231"/>
      <c r="ZU74" s="231"/>
      <c r="ZV74" s="231"/>
      <c r="ZW74" s="231"/>
      <c r="ZX74" s="231"/>
      <c r="ZY74" s="231"/>
      <c r="ZZ74" s="231"/>
      <c r="AAA74" s="231"/>
      <c r="AAB74" s="231"/>
      <c r="AAC74" s="231"/>
      <c r="AAD74" s="231"/>
      <c r="AAE74" s="231"/>
      <c r="AAF74" s="231"/>
      <c r="AAG74" s="231"/>
      <c r="AAH74" s="231"/>
      <c r="AAI74" s="231"/>
      <c r="AAJ74" s="231"/>
      <c r="AAK74" s="231"/>
      <c r="AAL74" s="231"/>
      <c r="AAM74" s="231"/>
      <c r="AAN74" s="231"/>
      <c r="AAO74" s="231"/>
      <c r="AAP74" s="231"/>
      <c r="AAQ74" s="231"/>
      <c r="AAR74" s="231"/>
      <c r="AAS74" s="231"/>
      <c r="AAT74" s="231"/>
      <c r="AAU74" s="231"/>
      <c r="AAV74" s="231"/>
      <c r="AAW74" s="231"/>
      <c r="AAX74" s="231"/>
      <c r="AAY74" s="231"/>
      <c r="AAZ74" s="231"/>
      <c r="ABA74" s="231"/>
      <c r="ABB74" s="231"/>
      <c r="ABC74" s="231"/>
      <c r="ABD74" s="231"/>
      <c r="ABE74" s="231"/>
      <c r="ABF74" s="231"/>
      <c r="ABG74" s="231"/>
      <c r="ABH74" s="231"/>
      <c r="ABI74" s="231"/>
      <c r="ABJ74" s="231"/>
      <c r="ABK74" s="231"/>
      <c r="ABL74" s="231"/>
      <c r="ABM74" s="231"/>
      <c r="ABN74" s="231"/>
      <c r="ABO74" s="231"/>
      <c r="ABP74" s="231"/>
      <c r="ABQ74" s="231"/>
      <c r="ABR74" s="231"/>
      <c r="ABS74" s="231"/>
      <c r="ABT74" s="231"/>
      <c r="ABU74" s="231"/>
      <c r="ABV74" s="231"/>
      <c r="ABW74" s="231"/>
      <c r="ABX74" s="231"/>
      <c r="ABY74" s="231"/>
      <c r="ABZ74" s="231"/>
      <c r="ACA74" s="231"/>
      <c r="ACB74" s="231"/>
      <c r="ACC74" s="231"/>
      <c r="ACD74" s="231"/>
      <c r="ACE74" s="231"/>
      <c r="ACF74" s="231"/>
      <c r="ACG74" s="231"/>
      <c r="ACH74" s="231"/>
      <c r="ACI74" s="231"/>
      <c r="ACJ74" s="231"/>
      <c r="ACK74" s="231"/>
      <c r="ACL74" s="231"/>
      <c r="ACM74" s="231"/>
      <c r="ACN74" s="231"/>
      <c r="ACO74" s="231"/>
      <c r="ACP74" s="231"/>
      <c r="ACQ74" s="231"/>
      <c r="ACR74" s="231"/>
      <c r="ACS74" s="231"/>
      <c r="ACT74" s="231"/>
      <c r="ACU74" s="231"/>
      <c r="ACV74" s="231"/>
      <c r="ACW74" s="231"/>
      <c r="ACX74" s="231"/>
      <c r="ACY74" s="231"/>
      <c r="ACZ74" s="231"/>
      <c r="ADA74" s="231"/>
      <c r="ADB74" s="231"/>
      <c r="ADC74" s="231"/>
      <c r="ADD74" s="231"/>
      <c r="ADE74" s="231"/>
      <c r="ADF74" s="231"/>
      <c r="ADG74" s="231"/>
      <c r="ADH74" s="231"/>
      <c r="ADI74" s="231"/>
      <c r="ADJ74" s="231"/>
      <c r="ADK74" s="231"/>
      <c r="ADL74" s="231"/>
      <c r="ADM74" s="231"/>
      <c r="ADN74" s="231"/>
      <c r="ADO74" s="231"/>
      <c r="ADP74" s="231"/>
      <c r="ADQ74" s="231"/>
      <c r="ADR74" s="231"/>
      <c r="ADS74" s="231"/>
      <c r="ADT74" s="231"/>
      <c r="ADU74" s="231"/>
      <c r="ADV74" s="231"/>
      <c r="ADW74" s="231"/>
      <c r="ADX74" s="231"/>
      <c r="ADY74" s="231"/>
      <c r="ADZ74" s="231"/>
      <c r="AEA74" s="231"/>
      <c r="AEB74" s="231"/>
      <c r="AEC74" s="231"/>
      <c r="AED74" s="231"/>
      <c r="AEE74" s="231"/>
      <c r="AEF74" s="231"/>
      <c r="AEG74" s="231"/>
      <c r="AEH74" s="231"/>
      <c r="AEI74" s="231"/>
      <c r="AEJ74" s="231"/>
      <c r="AEK74" s="231"/>
      <c r="AEL74" s="231"/>
      <c r="AEM74" s="231"/>
      <c r="AEN74" s="231"/>
      <c r="AEO74" s="231"/>
      <c r="AEP74" s="231"/>
      <c r="AEQ74" s="231"/>
      <c r="AER74" s="231"/>
      <c r="AES74" s="231"/>
      <c r="AET74" s="231"/>
      <c r="AEU74" s="231"/>
      <c r="AEV74" s="231"/>
      <c r="AEW74" s="231"/>
      <c r="AEX74" s="231"/>
      <c r="AEY74" s="231"/>
      <c r="AEZ74" s="231"/>
      <c r="AFA74" s="231"/>
      <c r="AFB74" s="231"/>
      <c r="AFC74" s="231"/>
      <c r="AFD74" s="231"/>
      <c r="AFE74" s="231"/>
      <c r="AFF74" s="231"/>
      <c r="AFG74" s="231"/>
      <c r="AFH74" s="231"/>
      <c r="AFI74" s="231"/>
      <c r="AFJ74" s="231"/>
      <c r="AFK74" s="231"/>
      <c r="AFL74" s="231"/>
      <c r="AFM74" s="231"/>
      <c r="AFN74" s="231"/>
      <c r="AFO74" s="231"/>
      <c r="AFP74" s="231"/>
      <c r="AFQ74" s="231"/>
      <c r="AFR74" s="231"/>
      <c r="AFS74" s="231"/>
      <c r="AFT74" s="231"/>
      <c r="AFU74" s="231"/>
      <c r="AFV74" s="231"/>
      <c r="AFW74" s="231"/>
      <c r="AFX74" s="231"/>
      <c r="AFY74" s="231"/>
      <c r="AFZ74" s="231"/>
      <c r="AGA74" s="231"/>
      <c r="AGB74" s="231"/>
      <c r="AGC74" s="231"/>
      <c r="AGD74" s="231"/>
      <c r="AGE74" s="231"/>
      <c r="AGF74" s="231"/>
      <c r="AGG74" s="231"/>
      <c r="AGH74" s="231"/>
      <c r="AGI74" s="231"/>
      <c r="AGJ74" s="231"/>
      <c r="AGK74" s="231"/>
      <c r="AGL74" s="231"/>
      <c r="AGM74" s="231"/>
      <c r="AGN74" s="231"/>
      <c r="AGO74" s="231"/>
      <c r="AGP74" s="4" t="s">
        <v>10</v>
      </c>
      <c r="AGQ74" s="231" t="s">
        <v>108</v>
      </c>
    </row>
    <row r="75" spans="6:957" x14ac:dyDescent="0.3">
      <c r="F75" s="107"/>
      <c r="G75" s="233" t="s">
        <v>109</v>
      </c>
      <c r="H75" s="119"/>
      <c r="I75" s="174" t="s">
        <v>10</v>
      </c>
      <c r="J75" s="169">
        <f t="shared" ref="J75:AL75" si="32">SUM(J79:J80)*10.86</f>
        <v>27410.639999999999</v>
      </c>
      <c r="K75" s="169">
        <f t="shared" si="32"/>
        <v>0</v>
      </c>
      <c r="L75" s="169">
        <f t="shared" si="32"/>
        <v>0</v>
      </c>
      <c r="M75" s="169">
        <f t="shared" si="32"/>
        <v>0</v>
      </c>
      <c r="N75" s="169">
        <f t="shared" si="32"/>
        <v>0</v>
      </c>
      <c r="O75" s="169">
        <f t="shared" si="32"/>
        <v>0</v>
      </c>
      <c r="P75" s="169">
        <f t="shared" si="32"/>
        <v>0</v>
      </c>
      <c r="Q75" s="169">
        <f t="shared" si="32"/>
        <v>27421.5</v>
      </c>
      <c r="R75" s="169">
        <f t="shared" si="32"/>
        <v>0</v>
      </c>
      <c r="S75" s="169">
        <f t="shared" si="32"/>
        <v>0</v>
      </c>
      <c r="T75" s="169">
        <f t="shared" si="32"/>
        <v>0</v>
      </c>
      <c r="U75" s="169">
        <f t="shared" si="32"/>
        <v>0</v>
      </c>
      <c r="V75" s="169">
        <f>SUM(V79:V80)*10.86</f>
        <v>38976.54</v>
      </c>
      <c r="W75" s="169">
        <f t="shared" si="32"/>
        <v>0</v>
      </c>
      <c r="X75" s="169">
        <f t="shared" si="32"/>
        <v>40247.159999999996</v>
      </c>
      <c r="Y75" s="169">
        <f t="shared" si="32"/>
        <v>38585.579999999994</v>
      </c>
      <c r="Z75" s="169">
        <f t="shared" si="32"/>
        <v>0</v>
      </c>
      <c r="AA75" s="169">
        <f>SUM(AA79:AA80)*10.86</f>
        <v>38281.5</v>
      </c>
      <c r="AB75" s="169">
        <f>SUM(AB79:AB80)*10.86</f>
        <v>25521</v>
      </c>
      <c r="AC75" s="169">
        <f t="shared" si="32"/>
        <v>0</v>
      </c>
      <c r="AD75" s="169">
        <f t="shared" ref="AD75" si="33">SUM(AD79:AD80)*10.86</f>
        <v>0</v>
      </c>
      <c r="AE75" s="169">
        <f>SUM(AE79:AE80)*10.86</f>
        <v>38281.5</v>
      </c>
      <c r="AF75" s="169">
        <f t="shared" si="32"/>
        <v>38281.5</v>
      </c>
      <c r="AG75" s="169">
        <f t="shared" si="32"/>
        <v>25521</v>
      </c>
      <c r="AH75" s="169">
        <f t="shared" si="32"/>
        <v>0</v>
      </c>
      <c r="AI75" s="169">
        <f t="shared" ref="AI75:AK75" si="34">SUM(AI79:AI80)*10.86</f>
        <v>0</v>
      </c>
      <c r="AJ75" s="234">
        <f t="shared" si="34"/>
        <v>0</v>
      </c>
      <c r="AK75" s="169">
        <f t="shared" si="34"/>
        <v>0</v>
      </c>
      <c r="AL75" s="169">
        <f t="shared" si="32"/>
        <v>0</v>
      </c>
      <c r="AM75" s="234">
        <f t="shared" ref="AM75:AN75" si="35">SUM(AM79:AM80)*10.86</f>
        <v>19439.399999999998</v>
      </c>
      <c r="AN75" s="234">
        <f t="shared" si="35"/>
        <v>0</v>
      </c>
      <c r="AO75" s="80"/>
      <c r="AP75" s="97">
        <f>SUM(J75:AN75)</f>
        <v>357967.32</v>
      </c>
      <c r="AQ75" s="178"/>
      <c r="AR75" s="235">
        <f>SUM(AP75,AP102)</f>
        <v>358618.92</v>
      </c>
      <c r="CB75" s="82"/>
      <c r="CC75" s="82"/>
      <c r="DF75" s="82"/>
      <c r="EN75" s="64"/>
      <c r="EO75" s="82"/>
      <c r="EP75" s="82"/>
      <c r="EQ75" s="82"/>
      <c r="ER75" s="82"/>
      <c r="GU75" s="82"/>
      <c r="GV75" s="124">
        <f>AR75/1000</f>
        <v>358.61892</v>
      </c>
      <c r="KP75" s="82"/>
      <c r="KQ75" s="82"/>
      <c r="KR75" s="82"/>
      <c r="KS75" s="82"/>
      <c r="PW75" s="82">
        <v>4696</v>
      </c>
      <c r="PX75" s="88">
        <f>GV75/PW75*100</f>
        <v>7.6366890971039183</v>
      </c>
      <c r="PZ75" s="82"/>
      <c r="QN75" s="88"/>
      <c r="QR75" s="82"/>
      <c r="SU75" s="88"/>
      <c r="AID75" s="72"/>
      <c r="AJS75" s="72"/>
      <c r="AJT75" s="72"/>
      <c r="AJU75" s="72"/>
    </row>
    <row r="76" spans="6:957" x14ac:dyDescent="0.3">
      <c r="F76" s="107"/>
      <c r="G76" s="233" t="s">
        <v>110</v>
      </c>
      <c r="H76" s="119"/>
      <c r="I76" s="174" t="s">
        <v>10</v>
      </c>
      <c r="J76" s="169">
        <f>J74-J75</f>
        <v>2.7150000000001455</v>
      </c>
      <c r="K76" s="169">
        <f t="shared" ref="K76:AN76" si="36">K74-K75</f>
        <v>0</v>
      </c>
      <c r="L76" s="169">
        <f t="shared" si="36"/>
        <v>0</v>
      </c>
      <c r="M76" s="169">
        <f t="shared" si="36"/>
        <v>0</v>
      </c>
      <c r="N76" s="169">
        <f t="shared" si="36"/>
        <v>0</v>
      </c>
      <c r="O76" s="169">
        <f t="shared" si="36"/>
        <v>0</v>
      </c>
      <c r="P76" s="169">
        <f t="shared" si="36"/>
        <v>0</v>
      </c>
      <c r="Q76" s="169">
        <f t="shared" si="36"/>
        <v>2.7150000000001455</v>
      </c>
      <c r="R76" s="169">
        <f t="shared" si="36"/>
        <v>0</v>
      </c>
      <c r="S76" s="169">
        <f t="shared" si="36"/>
        <v>0</v>
      </c>
      <c r="T76" s="169">
        <f t="shared" si="36"/>
        <v>0</v>
      </c>
      <c r="U76" s="169">
        <f t="shared" si="36"/>
        <v>0</v>
      </c>
      <c r="V76" s="169">
        <f t="shared" si="36"/>
        <v>9.0500000000029104</v>
      </c>
      <c r="W76" s="169">
        <f t="shared" si="36"/>
        <v>0</v>
      </c>
      <c r="X76" s="169">
        <f t="shared" si="36"/>
        <v>5.430000000000291</v>
      </c>
      <c r="Y76" s="169">
        <f t="shared" si="36"/>
        <v>5.430000000007567</v>
      </c>
      <c r="Z76" s="169">
        <f t="shared" si="36"/>
        <v>0</v>
      </c>
      <c r="AA76" s="169">
        <f t="shared" si="36"/>
        <v>2.7149999999965075</v>
      </c>
      <c r="AB76" s="169">
        <f>AB74-AB75</f>
        <v>2.7150000000001455</v>
      </c>
      <c r="AC76" s="169">
        <f t="shared" si="36"/>
        <v>0</v>
      </c>
      <c r="AD76" s="169">
        <f t="shared" si="36"/>
        <v>0</v>
      </c>
      <c r="AE76" s="169">
        <f>AE74-AE75</f>
        <v>3.6200000000026193</v>
      </c>
      <c r="AF76" s="169">
        <f t="shared" si="36"/>
        <v>2.6999999999970896</v>
      </c>
      <c r="AG76" s="169">
        <f t="shared" si="36"/>
        <v>2.7200000000011642</v>
      </c>
      <c r="AH76" s="169">
        <f t="shared" si="36"/>
        <v>0</v>
      </c>
      <c r="AI76" s="169">
        <f t="shared" si="36"/>
        <v>0</v>
      </c>
      <c r="AJ76" s="169">
        <f t="shared" si="36"/>
        <v>0</v>
      </c>
      <c r="AK76" s="169">
        <f t="shared" si="36"/>
        <v>0</v>
      </c>
      <c r="AL76" s="169">
        <f t="shared" si="36"/>
        <v>0</v>
      </c>
      <c r="AM76" s="169">
        <f t="shared" si="36"/>
        <v>0.60000000000218279</v>
      </c>
      <c r="AN76" s="169">
        <f t="shared" si="36"/>
        <v>0</v>
      </c>
      <c r="AO76" s="80"/>
      <c r="AP76" s="97">
        <f>SUM(J76:AN76)</f>
        <v>40.410000000010768</v>
      </c>
      <c r="AQ76" s="124"/>
      <c r="AR76" s="81">
        <f>AP128</f>
        <v>55789.991999999998</v>
      </c>
      <c r="CB76" s="82"/>
      <c r="CC76" s="82"/>
      <c r="DF76" s="82"/>
      <c r="EN76" s="64"/>
      <c r="EO76" s="82"/>
      <c r="EP76" s="82"/>
      <c r="EQ76" s="82"/>
      <c r="ER76" s="82"/>
      <c r="GU76" s="82"/>
      <c r="GV76" s="127">
        <f>AR76/1000</f>
        <v>55.789991999999998</v>
      </c>
      <c r="KP76" s="82"/>
      <c r="KQ76" s="82"/>
      <c r="KR76" s="82"/>
      <c r="KS76" s="82"/>
      <c r="PW76" s="82">
        <v>565</v>
      </c>
      <c r="PX76" s="88">
        <f>GV76/PW76*100</f>
        <v>9.8743348672566373</v>
      </c>
      <c r="PZ76" s="82"/>
      <c r="QN76" s="88"/>
      <c r="QR76" s="82"/>
      <c r="SU76" s="88"/>
      <c r="AID76" s="72"/>
      <c r="AJS76" s="72"/>
      <c r="AJT76" s="72"/>
      <c r="AJU76" s="72"/>
    </row>
    <row r="77" spans="6:957" x14ac:dyDescent="0.3">
      <c r="F77" s="107"/>
      <c r="G77" s="233" t="s">
        <v>111</v>
      </c>
      <c r="H77" s="119"/>
      <c r="I77" s="107" t="s">
        <v>10</v>
      </c>
      <c r="J77" s="169">
        <v>0</v>
      </c>
      <c r="K77" s="169">
        <v>0</v>
      </c>
      <c r="L77" s="169">
        <v>0</v>
      </c>
      <c r="M77" s="169">
        <v>0</v>
      </c>
      <c r="N77" s="169">
        <v>0</v>
      </c>
      <c r="O77" s="169">
        <v>0</v>
      </c>
      <c r="P77" s="169">
        <v>0</v>
      </c>
      <c r="Q77" s="169">
        <v>0</v>
      </c>
      <c r="R77" s="169">
        <v>0</v>
      </c>
      <c r="S77" s="169">
        <v>0</v>
      </c>
      <c r="T77" s="169">
        <v>0</v>
      </c>
      <c r="U77" s="169">
        <v>0</v>
      </c>
      <c r="V77" s="169">
        <v>0</v>
      </c>
      <c r="W77" s="169">
        <v>0</v>
      </c>
      <c r="X77" s="169">
        <v>0</v>
      </c>
      <c r="Y77" s="169">
        <v>0</v>
      </c>
      <c r="Z77" s="169">
        <v>0</v>
      </c>
      <c r="AA77" s="169">
        <v>0</v>
      </c>
      <c r="AB77" s="169">
        <v>0</v>
      </c>
      <c r="AC77" s="169">
        <v>0</v>
      </c>
      <c r="AD77" s="169">
        <v>0</v>
      </c>
      <c r="AE77" s="169">
        <v>0</v>
      </c>
      <c r="AF77" s="169">
        <v>0</v>
      </c>
      <c r="AG77" s="169">
        <v>0</v>
      </c>
      <c r="AH77" s="169">
        <v>0</v>
      </c>
      <c r="AI77" s="169">
        <v>0</v>
      </c>
      <c r="AJ77" s="169">
        <v>0</v>
      </c>
      <c r="AK77" s="169">
        <v>0</v>
      </c>
      <c r="AL77" s="169">
        <v>0</v>
      </c>
      <c r="AM77" s="169">
        <v>0</v>
      </c>
      <c r="AN77" s="169">
        <v>0</v>
      </c>
      <c r="AO77" s="80"/>
      <c r="AP77" s="97">
        <f>SUM(J77:AN77)</f>
        <v>0</v>
      </c>
      <c r="AR77" s="81"/>
      <c r="CB77" s="82"/>
      <c r="CC77" s="82"/>
      <c r="DF77" s="82"/>
      <c r="EN77" s="64"/>
      <c r="EO77" s="82"/>
      <c r="EP77" s="82"/>
      <c r="EQ77" s="82"/>
      <c r="ER77" s="82"/>
      <c r="GU77" s="82"/>
      <c r="KP77" s="82"/>
      <c r="KQ77" s="82"/>
      <c r="KR77" s="82"/>
      <c r="KS77" s="82"/>
      <c r="PW77" s="82"/>
      <c r="PX77" s="82"/>
      <c r="PZ77" s="82"/>
      <c r="QN77" s="88"/>
      <c r="QR77" s="82"/>
      <c r="SU77" s="88"/>
      <c r="AID77" s="72"/>
      <c r="AJS77" s="72"/>
      <c r="AJT77" s="72"/>
      <c r="AJU77" s="72"/>
    </row>
    <row r="78" spans="6:957" x14ac:dyDescent="0.3">
      <c r="F78" s="107"/>
      <c r="G78" s="233" t="s">
        <v>112</v>
      </c>
      <c r="H78" s="119"/>
      <c r="I78" s="107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80"/>
      <c r="AP78" s="122" t="s">
        <v>112</v>
      </c>
      <c r="AR78" s="81"/>
      <c r="CB78" s="82"/>
      <c r="CC78" s="82"/>
      <c r="DF78" s="82"/>
      <c r="EN78" s="64"/>
      <c r="EO78" s="82"/>
      <c r="EP78" s="82"/>
      <c r="EQ78" s="82"/>
      <c r="ER78" s="82"/>
      <c r="GU78" s="82"/>
      <c r="KP78" s="82"/>
      <c r="KQ78" s="82"/>
      <c r="KR78" s="82"/>
      <c r="KS78" s="82"/>
      <c r="PW78" s="82"/>
      <c r="PX78" s="82"/>
      <c r="PZ78" s="82"/>
      <c r="QN78" s="88"/>
      <c r="QR78" s="82"/>
      <c r="SU78" s="88"/>
      <c r="AID78" s="72"/>
      <c r="AJS78" s="72"/>
      <c r="AJT78" s="72"/>
      <c r="AJU78" s="72"/>
    </row>
    <row r="79" spans="6:957" x14ac:dyDescent="0.3">
      <c r="F79" s="19"/>
      <c r="G79" s="236" t="s">
        <v>113</v>
      </c>
      <c r="H79" s="18"/>
      <c r="I79" s="237" t="s">
        <v>114</v>
      </c>
      <c r="J79" s="238">
        <v>2524</v>
      </c>
      <c r="K79" s="238">
        <v>0</v>
      </c>
      <c r="L79" s="238">
        <v>0</v>
      </c>
      <c r="M79" s="238">
        <v>0</v>
      </c>
      <c r="N79" s="238">
        <v>0</v>
      </c>
      <c r="O79" s="238">
        <v>0</v>
      </c>
      <c r="P79" s="238">
        <v>0</v>
      </c>
      <c r="Q79" s="238">
        <v>2525</v>
      </c>
      <c r="R79" s="238">
        <v>0</v>
      </c>
      <c r="S79" s="238">
        <v>0</v>
      </c>
      <c r="T79" s="238">
        <v>0</v>
      </c>
      <c r="U79" s="238">
        <v>0</v>
      </c>
      <c r="V79" s="238">
        <v>1195</v>
      </c>
      <c r="W79" s="238">
        <v>0</v>
      </c>
      <c r="X79" s="238">
        <v>1262</v>
      </c>
      <c r="Y79" s="238">
        <v>1186</v>
      </c>
      <c r="Z79" s="238">
        <v>0</v>
      </c>
      <c r="AA79" s="238">
        <v>1175</v>
      </c>
      <c r="AB79" s="238">
        <v>2350</v>
      </c>
      <c r="AC79" s="238">
        <v>0</v>
      </c>
      <c r="AD79" s="238">
        <v>0</v>
      </c>
      <c r="AE79" s="238">
        <v>1175</v>
      </c>
      <c r="AF79" s="238">
        <v>1175</v>
      </c>
      <c r="AG79" s="238">
        <v>2350</v>
      </c>
      <c r="AH79" s="238"/>
      <c r="AI79" s="238"/>
      <c r="AJ79" s="238"/>
      <c r="AK79" s="238"/>
      <c r="AL79" s="238"/>
      <c r="AM79" s="238"/>
      <c r="AN79" s="238"/>
      <c r="AO79" s="154"/>
      <c r="AP79" s="70">
        <f>SUM(J79:AN79)</f>
        <v>16917</v>
      </c>
      <c r="AR79" s="239"/>
      <c r="CB79" s="240"/>
      <c r="CC79" s="240"/>
      <c r="DF79" s="240"/>
      <c r="EN79" s="163"/>
      <c r="EO79" s="240"/>
      <c r="EP79" s="240"/>
      <c r="EQ79" s="240"/>
      <c r="ER79" s="240"/>
      <c r="GU79" s="240"/>
      <c r="KP79" s="240"/>
      <c r="KQ79" s="240"/>
      <c r="KR79" s="240"/>
      <c r="KS79" s="240"/>
      <c r="PW79" s="240"/>
      <c r="PX79" s="240"/>
      <c r="PZ79" s="240"/>
      <c r="QN79" s="241"/>
      <c r="QR79" s="240"/>
      <c r="SU79" s="241"/>
      <c r="AID79" s="156"/>
      <c r="AJS79" s="156"/>
      <c r="AJT79" s="156"/>
      <c r="AJU79" s="156"/>
    </row>
    <row r="80" spans="6:957" x14ac:dyDescent="0.3">
      <c r="F80" s="19"/>
      <c r="G80" s="236" t="s">
        <v>115</v>
      </c>
      <c r="H80" s="18"/>
      <c r="I80" s="237" t="s">
        <v>114</v>
      </c>
      <c r="J80" s="238">
        <v>0</v>
      </c>
      <c r="K80" s="238">
        <v>0</v>
      </c>
      <c r="L80" s="238">
        <v>0</v>
      </c>
      <c r="M80" s="238">
        <v>0</v>
      </c>
      <c r="N80" s="238">
        <v>0</v>
      </c>
      <c r="O80" s="238">
        <v>0</v>
      </c>
      <c r="P80" s="238">
        <v>0</v>
      </c>
      <c r="Q80" s="238">
        <v>0</v>
      </c>
      <c r="R80" s="238">
        <v>0</v>
      </c>
      <c r="S80" s="238">
        <v>0</v>
      </c>
      <c r="T80" s="238">
        <v>0</v>
      </c>
      <c r="U80" s="238">
        <v>0</v>
      </c>
      <c r="V80" s="238">
        <v>2394</v>
      </c>
      <c r="W80" s="238">
        <v>0</v>
      </c>
      <c r="X80" s="238">
        <v>2444</v>
      </c>
      <c r="Y80" s="238">
        <v>2367</v>
      </c>
      <c r="Z80" s="238">
        <v>0</v>
      </c>
      <c r="AA80" s="238">
        <v>2350</v>
      </c>
      <c r="AB80" s="238">
        <v>0</v>
      </c>
      <c r="AC80" s="238">
        <v>0</v>
      </c>
      <c r="AD80" s="238">
        <v>0</v>
      </c>
      <c r="AE80" s="238">
        <v>2350</v>
      </c>
      <c r="AF80" s="238">
        <v>2350</v>
      </c>
      <c r="AG80" s="238">
        <v>0</v>
      </c>
      <c r="AH80" s="238"/>
      <c r="AI80" s="238"/>
      <c r="AJ80" s="238"/>
      <c r="AK80" s="238"/>
      <c r="AL80" s="238"/>
      <c r="AM80" s="238">
        <v>1790</v>
      </c>
      <c r="AN80" s="238"/>
      <c r="AO80" s="154"/>
      <c r="AP80" s="70">
        <f>SUM(J80:AN80)</f>
        <v>16045</v>
      </c>
      <c r="AR80" s="242"/>
      <c r="CB80" s="240"/>
      <c r="CC80" s="240"/>
      <c r="DF80" s="240"/>
      <c r="EN80" s="163"/>
      <c r="EO80" s="240"/>
      <c r="EP80" s="240"/>
      <c r="EQ80" s="240"/>
      <c r="ER80" s="240"/>
      <c r="GU80" s="240"/>
      <c r="KP80" s="240"/>
      <c r="KQ80" s="240"/>
      <c r="KR80" s="240"/>
      <c r="KS80" s="240"/>
      <c r="PW80" s="240"/>
      <c r="PX80" s="240"/>
      <c r="PZ80" s="240"/>
      <c r="QN80" s="241"/>
      <c r="QR80" s="240"/>
      <c r="SU80" s="241"/>
      <c r="AID80" s="156"/>
      <c r="AJS80" s="156"/>
      <c r="AJT80" s="156"/>
      <c r="AJU80" s="156"/>
    </row>
    <row r="81" spans="6:957" x14ac:dyDescent="0.3">
      <c r="F81" s="107"/>
      <c r="G81" s="233" t="s">
        <v>116</v>
      </c>
      <c r="H81" s="119"/>
      <c r="I81" s="107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238"/>
      <c r="AO81" s="80"/>
      <c r="AP81" s="122" t="s">
        <v>116</v>
      </c>
      <c r="AR81" s="81"/>
      <c r="CB81" s="82"/>
      <c r="CC81" s="82"/>
      <c r="DF81" s="82"/>
      <c r="EN81" s="64"/>
      <c r="EO81" s="82"/>
      <c r="EP81" s="82"/>
      <c r="EQ81" s="82"/>
      <c r="ER81" s="82"/>
      <c r="GU81" s="82"/>
      <c r="KP81" s="82"/>
      <c r="KQ81" s="82"/>
      <c r="KR81" s="82"/>
      <c r="KS81" s="82"/>
      <c r="PW81" s="82"/>
      <c r="PX81" s="82"/>
      <c r="PZ81" s="82"/>
      <c r="QN81" s="88"/>
      <c r="QR81" s="82"/>
      <c r="SU81" s="88"/>
      <c r="AID81" s="72"/>
      <c r="AJS81" s="72"/>
      <c r="AJT81" s="72"/>
      <c r="AJU81" s="72"/>
    </row>
    <row r="82" spans="6:957" x14ac:dyDescent="0.3">
      <c r="F82" s="107"/>
      <c r="G82" s="105" t="s">
        <v>113</v>
      </c>
      <c r="H82" s="119"/>
      <c r="I82" s="174" t="s">
        <v>116</v>
      </c>
      <c r="J82" s="69">
        <f t="shared" ref="J82:AN82" si="37">J79*12</f>
        <v>30288</v>
      </c>
      <c r="K82" s="69">
        <f t="shared" si="37"/>
        <v>0</v>
      </c>
      <c r="L82" s="69">
        <f t="shared" si="37"/>
        <v>0</v>
      </c>
      <c r="M82" s="69">
        <f t="shared" si="37"/>
        <v>0</v>
      </c>
      <c r="N82" s="69">
        <f t="shared" si="37"/>
        <v>0</v>
      </c>
      <c r="O82" s="69">
        <f t="shared" si="37"/>
        <v>0</v>
      </c>
      <c r="P82" s="69">
        <f t="shared" si="37"/>
        <v>0</v>
      </c>
      <c r="Q82" s="69">
        <f t="shared" si="37"/>
        <v>30300</v>
      </c>
      <c r="R82" s="69">
        <f t="shared" si="37"/>
        <v>0</v>
      </c>
      <c r="S82" s="69">
        <f t="shared" si="37"/>
        <v>0</v>
      </c>
      <c r="T82" s="69">
        <f t="shared" si="37"/>
        <v>0</v>
      </c>
      <c r="U82" s="69">
        <f t="shared" si="37"/>
        <v>0</v>
      </c>
      <c r="V82" s="69">
        <f t="shared" si="37"/>
        <v>14340</v>
      </c>
      <c r="W82" s="69">
        <f t="shared" si="37"/>
        <v>0</v>
      </c>
      <c r="X82" s="69">
        <f t="shared" si="37"/>
        <v>15144</v>
      </c>
      <c r="Y82" s="69">
        <f t="shared" si="37"/>
        <v>14232</v>
      </c>
      <c r="Z82" s="69">
        <f t="shared" si="37"/>
        <v>0</v>
      </c>
      <c r="AA82" s="69">
        <f t="shared" si="37"/>
        <v>14100</v>
      </c>
      <c r="AB82" s="69">
        <f>AB79*12</f>
        <v>28200</v>
      </c>
      <c r="AC82" s="69">
        <f t="shared" si="37"/>
        <v>0</v>
      </c>
      <c r="AD82" s="69">
        <f t="shared" si="37"/>
        <v>0</v>
      </c>
      <c r="AE82" s="69">
        <f t="shared" si="37"/>
        <v>14100</v>
      </c>
      <c r="AF82" s="69">
        <f>AF79*12</f>
        <v>14100</v>
      </c>
      <c r="AG82" s="69">
        <f t="shared" si="37"/>
        <v>28200</v>
      </c>
      <c r="AH82" s="69">
        <f t="shared" si="37"/>
        <v>0</v>
      </c>
      <c r="AI82" s="69">
        <f t="shared" si="37"/>
        <v>0</v>
      </c>
      <c r="AJ82" s="69">
        <f t="shared" si="37"/>
        <v>0</v>
      </c>
      <c r="AK82" s="69">
        <f t="shared" si="37"/>
        <v>0</v>
      </c>
      <c r="AL82" s="69">
        <f t="shared" si="37"/>
        <v>0</v>
      </c>
      <c r="AM82" s="69">
        <f t="shared" si="37"/>
        <v>0</v>
      </c>
      <c r="AN82" s="69">
        <f t="shared" si="37"/>
        <v>0</v>
      </c>
      <c r="AO82" s="80"/>
      <c r="AP82" s="70">
        <f>AP79*12</f>
        <v>203004</v>
      </c>
      <c r="AR82" s="81"/>
      <c r="CB82" s="82"/>
      <c r="CC82" s="82"/>
      <c r="DF82" s="82"/>
      <c r="EN82" s="64"/>
      <c r="EO82" s="82"/>
      <c r="EP82" s="82"/>
      <c r="EQ82" s="82"/>
      <c r="ER82" s="82"/>
      <c r="GU82" s="82"/>
      <c r="KP82" s="82"/>
      <c r="KQ82" s="82"/>
      <c r="KR82" s="82"/>
      <c r="KS82" s="82"/>
      <c r="PW82" s="82"/>
      <c r="PX82" s="82"/>
      <c r="PZ82" s="82"/>
      <c r="QN82" s="88"/>
      <c r="QR82" s="82"/>
      <c r="SU82" s="88"/>
      <c r="AID82" s="72"/>
      <c r="AJS82" s="72"/>
      <c r="AJT82" s="72"/>
      <c r="AJU82" s="72"/>
    </row>
    <row r="83" spans="6:957" x14ac:dyDescent="0.3">
      <c r="F83" s="107"/>
      <c r="G83" s="105" t="s">
        <v>115</v>
      </c>
      <c r="H83" s="119"/>
      <c r="I83" s="174" t="s">
        <v>116</v>
      </c>
      <c r="J83" s="69">
        <f t="shared" ref="J83:AN83" si="38">J80*6</f>
        <v>0</v>
      </c>
      <c r="K83" s="69">
        <f t="shared" si="38"/>
        <v>0</v>
      </c>
      <c r="L83" s="69">
        <v>0</v>
      </c>
      <c r="M83" s="69">
        <f t="shared" si="38"/>
        <v>0</v>
      </c>
      <c r="N83" s="69">
        <f t="shared" si="38"/>
        <v>0</v>
      </c>
      <c r="O83" s="69">
        <f t="shared" si="38"/>
        <v>0</v>
      </c>
      <c r="P83" s="69">
        <f t="shared" si="38"/>
        <v>0</v>
      </c>
      <c r="Q83" s="69">
        <f t="shared" si="38"/>
        <v>0</v>
      </c>
      <c r="R83" s="69">
        <f t="shared" si="38"/>
        <v>0</v>
      </c>
      <c r="S83" s="69">
        <f t="shared" si="38"/>
        <v>0</v>
      </c>
      <c r="T83" s="69">
        <f t="shared" si="38"/>
        <v>0</v>
      </c>
      <c r="U83" s="69">
        <f t="shared" si="38"/>
        <v>0</v>
      </c>
      <c r="V83" s="69">
        <f t="shared" si="38"/>
        <v>14364</v>
      </c>
      <c r="W83" s="69">
        <f t="shared" si="38"/>
        <v>0</v>
      </c>
      <c r="X83" s="69">
        <f t="shared" si="38"/>
        <v>14664</v>
      </c>
      <c r="Y83" s="69">
        <f t="shared" si="38"/>
        <v>14202</v>
      </c>
      <c r="Z83" s="69">
        <f t="shared" si="38"/>
        <v>0</v>
      </c>
      <c r="AA83" s="69">
        <f t="shared" si="38"/>
        <v>14100</v>
      </c>
      <c r="AB83" s="69">
        <f t="shared" si="38"/>
        <v>0</v>
      </c>
      <c r="AC83" s="69">
        <f t="shared" si="38"/>
        <v>0</v>
      </c>
      <c r="AD83" s="69">
        <f t="shared" si="38"/>
        <v>0</v>
      </c>
      <c r="AE83" s="69">
        <f>AE80*6</f>
        <v>14100</v>
      </c>
      <c r="AF83" s="69">
        <f t="shared" si="38"/>
        <v>14100</v>
      </c>
      <c r="AG83" s="69">
        <v>0</v>
      </c>
      <c r="AH83" s="69">
        <f t="shared" si="38"/>
        <v>0</v>
      </c>
      <c r="AI83" s="69">
        <f t="shared" si="38"/>
        <v>0</v>
      </c>
      <c r="AJ83" s="69">
        <f t="shared" si="38"/>
        <v>0</v>
      </c>
      <c r="AK83" s="69">
        <f t="shared" si="38"/>
        <v>0</v>
      </c>
      <c r="AL83" s="69">
        <f t="shared" si="38"/>
        <v>0</v>
      </c>
      <c r="AM83" s="69">
        <f t="shared" si="38"/>
        <v>10740</v>
      </c>
      <c r="AN83" s="69">
        <f t="shared" si="38"/>
        <v>0</v>
      </c>
      <c r="AO83" s="80"/>
      <c r="AP83" s="70">
        <f>AP80*6</f>
        <v>96270</v>
      </c>
      <c r="AR83" s="81"/>
      <c r="CB83" s="82"/>
      <c r="CC83" s="82"/>
      <c r="DF83" s="82"/>
      <c r="EN83" s="64"/>
      <c r="EO83" s="82"/>
      <c r="EP83" s="82"/>
      <c r="EQ83" s="82"/>
      <c r="ER83" s="82"/>
      <c r="GU83" s="82"/>
      <c r="KP83" s="82"/>
      <c r="KQ83" s="82"/>
      <c r="KR83" s="82"/>
      <c r="KS83" s="82"/>
      <c r="PW83" s="82"/>
      <c r="PX83" s="82"/>
      <c r="PZ83" s="82"/>
      <c r="QN83" s="88"/>
      <c r="QR83" s="82"/>
      <c r="SU83" s="88"/>
      <c r="AID83" s="72"/>
      <c r="AJS83" s="72"/>
      <c r="AJT83" s="72"/>
      <c r="AJU83" s="72"/>
    </row>
    <row r="84" spans="6:957" x14ac:dyDescent="0.3">
      <c r="F84" s="107"/>
      <c r="G84" s="233" t="s">
        <v>117</v>
      </c>
      <c r="H84" s="119"/>
      <c r="I84" s="174" t="s">
        <v>118</v>
      </c>
      <c r="J84" s="243">
        <f>(J74*45)/1700</f>
        <v>725.64763235294129</v>
      </c>
      <c r="K84" s="244">
        <f>(K74*45)/1700</f>
        <v>0</v>
      </c>
      <c r="L84" s="244">
        <f t="shared" ref="L84:AN84" si="39">(L74*45)/1700</f>
        <v>0</v>
      </c>
      <c r="M84" s="244">
        <f t="shared" si="39"/>
        <v>0</v>
      </c>
      <c r="N84" s="244">
        <f t="shared" si="39"/>
        <v>0</v>
      </c>
      <c r="O84" s="244">
        <f t="shared" si="39"/>
        <v>0</v>
      </c>
      <c r="P84" s="244">
        <f t="shared" si="39"/>
        <v>0</v>
      </c>
      <c r="Q84" s="244">
        <f t="shared" si="39"/>
        <v>725.93510294117652</v>
      </c>
      <c r="R84" s="244">
        <f t="shared" si="39"/>
        <v>0</v>
      </c>
      <c r="S84" s="244">
        <f t="shared" si="39"/>
        <v>0</v>
      </c>
      <c r="T84" s="243">
        <f t="shared" si="39"/>
        <v>0</v>
      </c>
      <c r="U84" s="243">
        <f t="shared" si="39"/>
        <v>0</v>
      </c>
      <c r="V84" s="243">
        <f t="shared" si="39"/>
        <v>1031.9715000000001</v>
      </c>
      <c r="W84" s="243">
        <f t="shared" si="39"/>
        <v>0</v>
      </c>
      <c r="X84" s="243">
        <f>(X74*45)/1700</f>
        <v>1065.5097352941175</v>
      </c>
      <c r="Y84" s="243">
        <f>(Y74*45)/1700</f>
        <v>1021.5267352941178</v>
      </c>
      <c r="Z84" s="243">
        <f t="shared" si="39"/>
        <v>0</v>
      </c>
      <c r="AA84" s="243">
        <f t="shared" si="39"/>
        <v>1013.4056911764704</v>
      </c>
      <c r="AB84" s="243">
        <f t="shared" si="39"/>
        <v>675.62774999999999</v>
      </c>
      <c r="AC84" s="243">
        <f t="shared" si="39"/>
        <v>0</v>
      </c>
      <c r="AD84" s="243">
        <f t="shared" si="39"/>
        <v>0</v>
      </c>
      <c r="AE84" s="243">
        <f t="shared" si="39"/>
        <v>1013.4296470588237</v>
      </c>
      <c r="AF84" s="243">
        <f t="shared" si="39"/>
        <v>1013.4052941176469</v>
      </c>
      <c r="AG84" s="243">
        <f t="shared" si="39"/>
        <v>675.62788235294124</v>
      </c>
      <c r="AH84" s="243">
        <f t="shared" si="39"/>
        <v>0</v>
      </c>
      <c r="AI84" s="243">
        <f t="shared" si="39"/>
        <v>0</v>
      </c>
      <c r="AJ84" s="243">
        <f t="shared" si="39"/>
        <v>0</v>
      </c>
      <c r="AK84" s="243">
        <f t="shared" si="39"/>
        <v>0</v>
      </c>
      <c r="AL84" s="243">
        <f t="shared" si="39"/>
        <v>0</v>
      </c>
      <c r="AM84" s="243">
        <f t="shared" si="39"/>
        <v>514.58823529411768</v>
      </c>
      <c r="AN84" s="243">
        <f t="shared" si="39"/>
        <v>0</v>
      </c>
      <c r="AO84" s="80"/>
      <c r="AP84" s="70">
        <f>SUM(J84:AN84)</f>
        <v>9476.6752058823513</v>
      </c>
      <c r="AR84" s="81"/>
      <c r="CB84" s="82"/>
      <c r="CC84" s="82"/>
      <c r="DF84" s="82"/>
      <c r="EN84" s="64"/>
      <c r="EO84" s="82"/>
      <c r="EP84" s="82"/>
      <c r="EQ84" s="82"/>
      <c r="ER84" s="82"/>
      <c r="GU84" s="82"/>
      <c r="KP84" s="82"/>
      <c r="KQ84" s="82"/>
      <c r="KR84" s="82"/>
      <c r="KS84" s="82"/>
      <c r="PW84" s="82"/>
      <c r="PX84" s="82"/>
      <c r="PZ84" s="82"/>
      <c r="QN84" s="88"/>
      <c r="QR84" s="82"/>
      <c r="SU84" s="88"/>
      <c r="AID84" s="72"/>
      <c r="AJS84" s="72"/>
      <c r="AJT84" s="72"/>
      <c r="AJU84" s="72"/>
    </row>
    <row r="85" spans="6:957" x14ac:dyDescent="0.3">
      <c r="F85" s="107"/>
      <c r="G85" s="233" t="s">
        <v>119</v>
      </c>
      <c r="H85" s="119"/>
      <c r="I85" s="174" t="s">
        <v>120</v>
      </c>
      <c r="J85" s="69">
        <f t="shared" ref="J85:AL85" si="40">SUM(J79:J80)/500</f>
        <v>5.048</v>
      </c>
      <c r="K85" s="69">
        <f t="shared" si="40"/>
        <v>0</v>
      </c>
      <c r="L85" s="69">
        <f t="shared" si="40"/>
        <v>0</v>
      </c>
      <c r="M85" s="69">
        <f t="shared" si="40"/>
        <v>0</v>
      </c>
      <c r="N85" s="69">
        <f t="shared" si="40"/>
        <v>0</v>
      </c>
      <c r="O85" s="69">
        <f t="shared" si="40"/>
        <v>0</v>
      </c>
      <c r="P85" s="69">
        <f t="shared" si="40"/>
        <v>0</v>
      </c>
      <c r="Q85" s="69">
        <f t="shared" si="40"/>
        <v>5.05</v>
      </c>
      <c r="R85" s="69">
        <f t="shared" si="40"/>
        <v>0</v>
      </c>
      <c r="S85" s="69">
        <f t="shared" si="40"/>
        <v>0</v>
      </c>
      <c r="T85" s="69">
        <f t="shared" si="40"/>
        <v>0</v>
      </c>
      <c r="U85" s="69">
        <f t="shared" si="40"/>
        <v>0</v>
      </c>
      <c r="V85" s="69">
        <f t="shared" si="40"/>
        <v>7.1779999999999999</v>
      </c>
      <c r="W85" s="69">
        <f t="shared" si="40"/>
        <v>0</v>
      </c>
      <c r="X85" s="69">
        <f t="shared" si="40"/>
        <v>7.4119999999999999</v>
      </c>
      <c r="Y85" s="69">
        <f t="shared" si="40"/>
        <v>7.1059999999999999</v>
      </c>
      <c r="Z85" s="69">
        <f t="shared" si="40"/>
        <v>0</v>
      </c>
      <c r="AA85" s="69">
        <f t="shared" si="40"/>
        <v>7.05</v>
      </c>
      <c r="AB85" s="69">
        <f t="shared" si="40"/>
        <v>4.7</v>
      </c>
      <c r="AC85" s="69">
        <f t="shared" si="40"/>
        <v>0</v>
      </c>
      <c r="AD85" s="69">
        <f t="shared" ref="AD85" si="41">SUM(AD79:AD80)/500</f>
        <v>0</v>
      </c>
      <c r="AE85" s="69">
        <f>SUM(AE79:AE80)/500</f>
        <v>7.05</v>
      </c>
      <c r="AF85" s="69">
        <f t="shared" si="40"/>
        <v>7.05</v>
      </c>
      <c r="AG85" s="69">
        <f t="shared" si="40"/>
        <v>4.7</v>
      </c>
      <c r="AH85" s="69">
        <f t="shared" si="40"/>
        <v>0</v>
      </c>
      <c r="AI85" s="69">
        <f t="shared" ref="AI85:AK85" si="42">SUM(AI79:AI80)/500</f>
        <v>0</v>
      </c>
      <c r="AJ85" s="69">
        <f t="shared" si="42"/>
        <v>0</v>
      </c>
      <c r="AK85" s="69">
        <f t="shared" si="42"/>
        <v>0</v>
      </c>
      <c r="AL85" s="69">
        <f t="shared" si="40"/>
        <v>0</v>
      </c>
      <c r="AM85" s="69">
        <f t="shared" ref="AM85:AN85" si="43">SUM(AM79:AM80)/500</f>
        <v>3.58</v>
      </c>
      <c r="AN85" s="69">
        <f t="shared" si="43"/>
        <v>0</v>
      </c>
      <c r="AO85" s="80"/>
      <c r="AP85" s="70">
        <f>SUM(J85:AN85)</f>
        <v>65.923999999999992</v>
      </c>
      <c r="AR85" s="81"/>
      <c r="CB85" s="82"/>
      <c r="CC85" s="82"/>
      <c r="DF85" s="82"/>
      <c r="EN85" s="64"/>
      <c r="EO85" s="82"/>
      <c r="EP85" s="82"/>
      <c r="EQ85" s="82"/>
      <c r="ER85" s="82"/>
      <c r="GU85" s="82"/>
      <c r="KP85" s="82"/>
      <c r="KQ85" s="82"/>
      <c r="KR85" s="82"/>
      <c r="KS85" s="82"/>
      <c r="PW85" s="82"/>
      <c r="PX85" s="82"/>
      <c r="PZ85" s="82"/>
      <c r="QN85" s="88"/>
      <c r="QR85" s="82"/>
      <c r="SU85" s="88"/>
      <c r="AID85" s="72"/>
      <c r="AJS85" s="72"/>
      <c r="AJT85" s="72"/>
      <c r="AJU85" s="72"/>
    </row>
    <row r="86" spans="6:957" x14ac:dyDescent="0.3">
      <c r="F86" s="56"/>
      <c r="G86" s="12" t="s">
        <v>121</v>
      </c>
      <c r="H86" s="47"/>
      <c r="I86" s="47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9"/>
      <c r="AH86" s="48"/>
      <c r="AI86" s="48"/>
      <c r="AJ86" s="48"/>
      <c r="AK86" s="48"/>
      <c r="AL86" s="48"/>
      <c r="AM86" s="48"/>
      <c r="AN86" s="48"/>
      <c r="AO86" s="7"/>
      <c r="AP86" s="166" t="s">
        <v>122</v>
      </c>
    </row>
    <row r="87" spans="6:957" x14ac:dyDescent="0.3">
      <c r="F87" s="107"/>
      <c r="G87" s="233" t="s">
        <v>112</v>
      </c>
      <c r="H87" s="119"/>
      <c r="I87" s="107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80"/>
      <c r="AP87" s="122" t="s">
        <v>112</v>
      </c>
      <c r="AR87" s="81"/>
      <c r="CB87" s="82"/>
      <c r="CC87" s="82"/>
      <c r="DF87" s="82"/>
      <c r="EN87" s="64"/>
      <c r="EO87" s="82"/>
      <c r="EP87" s="82"/>
      <c r="EQ87" s="82"/>
      <c r="ER87" s="82"/>
      <c r="GU87" s="82"/>
      <c r="KP87" s="82"/>
      <c r="KQ87" s="82"/>
      <c r="KR87" s="82"/>
      <c r="KS87" s="82"/>
      <c r="PW87" s="82"/>
      <c r="PX87" s="82"/>
      <c r="PZ87" s="82"/>
      <c r="QN87" s="88"/>
      <c r="QR87" s="82"/>
      <c r="SU87" s="88"/>
      <c r="AID87" s="72"/>
      <c r="AJS87" s="72"/>
      <c r="AJT87" s="72"/>
      <c r="AJU87" s="72"/>
    </row>
    <row r="88" spans="6:957" x14ac:dyDescent="0.3">
      <c r="F88" s="107"/>
      <c r="G88" s="105" t="s">
        <v>113</v>
      </c>
      <c r="H88" s="119"/>
      <c r="I88" s="174" t="s">
        <v>114</v>
      </c>
      <c r="J88" s="238">
        <v>4</v>
      </c>
      <c r="K88" s="238">
        <v>0</v>
      </c>
      <c r="L88" s="238">
        <v>0</v>
      </c>
      <c r="M88" s="238">
        <v>0</v>
      </c>
      <c r="N88" s="238">
        <v>0</v>
      </c>
      <c r="O88" s="238">
        <v>0</v>
      </c>
      <c r="P88" s="238">
        <v>0</v>
      </c>
      <c r="Q88" s="238">
        <v>7</v>
      </c>
      <c r="R88" s="238">
        <v>0</v>
      </c>
      <c r="S88" s="238">
        <v>0</v>
      </c>
      <c r="T88" s="238">
        <v>0</v>
      </c>
      <c r="U88" s="238">
        <v>0</v>
      </c>
      <c r="V88" s="69">
        <v>1</v>
      </c>
      <c r="W88" s="238">
        <v>0</v>
      </c>
      <c r="X88" s="238">
        <v>0</v>
      </c>
      <c r="Y88" s="238">
        <v>0</v>
      </c>
      <c r="Z88" s="238">
        <v>0</v>
      </c>
      <c r="AA88" s="238">
        <v>0</v>
      </c>
      <c r="AB88" s="238">
        <v>0</v>
      </c>
      <c r="AC88" s="238">
        <v>0</v>
      </c>
      <c r="AD88" s="238">
        <v>0</v>
      </c>
      <c r="AE88" s="238">
        <v>0</v>
      </c>
      <c r="AF88" s="238"/>
      <c r="AG88" s="238"/>
      <c r="AH88" s="238"/>
      <c r="AI88" s="238"/>
      <c r="AJ88" s="238"/>
      <c r="AK88" s="238"/>
      <c r="AL88" s="238"/>
      <c r="AM88" s="238"/>
      <c r="AN88" s="238"/>
      <c r="AO88" s="80"/>
      <c r="AP88" s="70">
        <f>SUM(J88:AN88)</f>
        <v>12</v>
      </c>
      <c r="AR88" s="81"/>
      <c r="CB88" s="82"/>
      <c r="CC88" s="82"/>
      <c r="DF88" s="82"/>
      <c r="EN88" s="64"/>
      <c r="EO88" s="82"/>
      <c r="EP88" s="82"/>
      <c r="EQ88" s="82"/>
      <c r="ER88" s="82"/>
      <c r="GU88" s="82"/>
      <c r="KP88" s="82"/>
      <c r="KQ88" s="82"/>
      <c r="KR88" s="82"/>
      <c r="KS88" s="82"/>
      <c r="PW88" s="82"/>
      <c r="PX88" s="82"/>
      <c r="PZ88" s="82"/>
      <c r="QN88" s="88"/>
      <c r="QR88" s="82"/>
      <c r="SU88" s="88"/>
      <c r="AID88" s="72"/>
      <c r="AJS88" s="72"/>
      <c r="AJT88" s="72"/>
      <c r="AJU88" s="72"/>
    </row>
    <row r="89" spans="6:957" x14ac:dyDescent="0.3">
      <c r="F89" s="107"/>
      <c r="G89" s="105" t="s">
        <v>115</v>
      </c>
      <c r="H89" s="119"/>
      <c r="I89" s="174" t="s">
        <v>114</v>
      </c>
      <c r="J89" s="238">
        <v>0</v>
      </c>
      <c r="K89" s="238">
        <v>0</v>
      </c>
      <c r="L89" s="238">
        <v>0</v>
      </c>
      <c r="M89" s="238">
        <v>0</v>
      </c>
      <c r="N89" s="238">
        <v>0</v>
      </c>
      <c r="O89" s="238">
        <v>0</v>
      </c>
      <c r="P89" s="238">
        <v>0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69">
        <v>4</v>
      </c>
      <c r="W89" s="238">
        <v>0</v>
      </c>
      <c r="X89" s="69">
        <v>1</v>
      </c>
      <c r="Y89" s="69">
        <v>0</v>
      </c>
      <c r="Z89" s="238">
        <v>0</v>
      </c>
      <c r="AA89" s="238">
        <v>0</v>
      </c>
      <c r="AB89" s="238">
        <v>0</v>
      </c>
      <c r="AC89" s="238">
        <v>0</v>
      </c>
      <c r="AD89" s="238">
        <v>0</v>
      </c>
      <c r="AE89" s="238">
        <v>2</v>
      </c>
      <c r="AF89" s="238">
        <v>2</v>
      </c>
      <c r="AG89" s="238"/>
      <c r="AH89" s="238"/>
      <c r="AI89" s="238"/>
      <c r="AJ89" s="238"/>
      <c r="AK89" s="238"/>
      <c r="AL89" s="238"/>
      <c r="AM89" s="238"/>
      <c r="AN89" s="238"/>
      <c r="AO89" s="80"/>
      <c r="AP89" s="70">
        <f>SUM(J89:AN89)</f>
        <v>9</v>
      </c>
      <c r="AR89" s="81"/>
      <c r="CB89" s="82"/>
      <c r="CC89" s="82"/>
      <c r="DF89" s="82"/>
      <c r="EN89" s="64"/>
      <c r="EO89" s="82"/>
      <c r="EP89" s="82"/>
      <c r="EQ89" s="82"/>
      <c r="ER89" s="82"/>
      <c r="GU89" s="82"/>
      <c r="KP89" s="82"/>
      <c r="KQ89" s="82"/>
      <c r="KR89" s="82"/>
      <c r="KS89" s="82"/>
      <c r="PW89" s="82"/>
      <c r="PX89" s="82"/>
      <c r="PZ89" s="82"/>
      <c r="QN89" s="88"/>
      <c r="QR89" s="82"/>
      <c r="SU89" s="88"/>
      <c r="AID89" s="72"/>
      <c r="AJS89" s="72"/>
      <c r="AJT89" s="72"/>
      <c r="AJU89" s="72"/>
    </row>
    <row r="90" spans="6:957" x14ac:dyDescent="0.3">
      <c r="F90" s="107"/>
      <c r="G90" s="233" t="s">
        <v>116</v>
      </c>
      <c r="H90" s="119"/>
      <c r="I90" s="107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69"/>
      <c r="W90" s="238"/>
      <c r="X90" s="69"/>
      <c r="Y90" s="69"/>
      <c r="Z90" s="238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80"/>
      <c r="AP90" s="122" t="s">
        <v>116</v>
      </c>
      <c r="AR90" s="8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CB90" s="82"/>
      <c r="CC90" s="82"/>
      <c r="DF90" s="82"/>
      <c r="EN90" s="64"/>
      <c r="EO90" s="82"/>
      <c r="EP90" s="82"/>
      <c r="EQ90" s="82"/>
      <c r="ER90" s="82"/>
      <c r="GU90" s="82"/>
      <c r="KP90" s="82"/>
      <c r="KQ90" s="82"/>
      <c r="KR90" s="82"/>
      <c r="KS90" s="82"/>
      <c r="PW90" s="82"/>
      <c r="PX90" s="82"/>
      <c r="PZ90" s="82"/>
      <c r="QN90" s="88"/>
      <c r="QR90" s="82"/>
      <c r="SU90" s="88"/>
      <c r="AID90" s="72"/>
      <c r="AJS90" s="72"/>
      <c r="AJT90" s="72"/>
      <c r="AJU90" s="72"/>
    </row>
    <row r="91" spans="6:957" x14ac:dyDescent="0.3">
      <c r="F91" s="107"/>
      <c r="G91" s="105" t="s">
        <v>113</v>
      </c>
      <c r="H91" s="119"/>
      <c r="I91" s="174" t="s">
        <v>116</v>
      </c>
      <c r="J91" s="238">
        <v>15</v>
      </c>
      <c r="K91" s="238">
        <v>0</v>
      </c>
      <c r="L91" s="238">
        <v>0</v>
      </c>
      <c r="M91" s="238">
        <v>0</v>
      </c>
      <c r="N91" s="238">
        <v>0</v>
      </c>
      <c r="O91" s="238">
        <v>0</v>
      </c>
      <c r="P91" s="238">
        <v>0</v>
      </c>
      <c r="Q91" s="238">
        <v>12</v>
      </c>
      <c r="R91" s="238">
        <v>0</v>
      </c>
      <c r="S91" s="238">
        <v>0</v>
      </c>
      <c r="T91" s="238">
        <v>0</v>
      </c>
      <c r="U91" s="238">
        <v>0</v>
      </c>
      <c r="V91" s="69">
        <v>9</v>
      </c>
      <c r="W91" s="238">
        <v>0</v>
      </c>
      <c r="X91" s="238">
        <v>18</v>
      </c>
      <c r="Y91" s="238">
        <v>8</v>
      </c>
      <c r="Z91" s="238">
        <v>0</v>
      </c>
      <c r="AA91" s="238">
        <v>8</v>
      </c>
      <c r="AB91" s="238">
        <v>6</v>
      </c>
      <c r="AC91" s="238">
        <v>0</v>
      </c>
      <c r="AD91" s="238">
        <v>0</v>
      </c>
      <c r="AE91" s="238">
        <v>4</v>
      </c>
      <c r="AF91" s="238">
        <v>3</v>
      </c>
      <c r="AG91" s="238"/>
      <c r="AH91" s="238"/>
      <c r="AI91" s="238"/>
      <c r="AJ91" s="238"/>
      <c r="AK91" s="238"/>
      <c r="AL91" s="238"/>
      <c r="AM91" s="238"/>
      <c r="AN91" s="238"/>
      <c r="AO91" s="80"/>
      <c r="AP91" s="70">
        <f>SUM(J91:AN91)</f>
        <v>83</v>
      </c>
      <c r="AR91" s="81"/>
      <c r="BE91" s="245"/>
      <c r="BF91" s="101"/>
      <c r="BG91" s="101"/>
      <c r="BH91" s="101"/>
      <c r="BI91" s="246"/>
      <c r="BJ91" s="101"/>
      <c r="BK91" s="101"/>
      <c r="BL91" s="101"/>
      <c r="BM91" s="101"/>
      <c r="BN91" s="101"/>
      <c r="CB91" s="82"/>
      <c r="CC91" s="82"/>
      <c r="DF91" s="82"/>
      <c r="EN91" s="64"/>
      <c r="EO91" s="82"/>
      <c r="EP91" s="82"/>
      <c r="EQ91" s="82"/>
      <c r="ER91" s="82"/>
      <c r="GU91" s="82"/>
      <c r="KP91" s="82"/>
      <c r="KQ91" s="82"/>
      <c r="KR91" s="82"/>
      <c r="KS91" s="82"/>
      <c r="PW91" s="82"/>
      <c r="PX91" s="82"/>
      <c r="PZ91" s="82"/>
      <c r="QN91" s="88"/>
      <c r="QR91" s="82"/>
      <c r="SU91" s="88"/>
      <c r="AID91" s="72"/>
      <c r="AJS91" s="72"/>
      <c r="AJT91" s="72"/>
      <c r="AJU91" s="72"/>
    </row>
    <row r="92" spans="6:957" x14ac:dyDescent="0.3">
      <c r="F92" s="107"/>
      <c r="G92" s="105" t="s">
        <v>115</v>
      </c>
      <c r="H92" s="119"/>
      <c r="I92" s="174" t="s">
        <v>116</v>
      </c>
      <c r="J92" s="238">
        <v>0</v>
      </c>
      <c r="K92" s="238">
        <v>0</v>
      </c>
      <c r="L92" s="238">
        <v>0</v>
      </c>
      <c r="M92" s="238">
        <v>0</v>
      </c>
      <c r="N92" s="238">
        <v>0</v>
      </c>
      <c r="O92" s="238">
        <v>0</v>
      </c>
      <c r="P92" s="238">
        <v>0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69">
        <v>4</v>
      </c>
      <c r="W92" s="238">
        <v>0</v>
      </c>
      <c r="X92" s="69">
        <v>3</v>
      </c>
      <c r="Y92" s="69">
        <v>1</v>
      </c>
      <c r="Z92" s="238">
        <v>0</v>
      </c>
      <c r="AA92" s="69">
        <v>2</v>
      </c>
      <c r="AB92" s="69">
        <v>0</v>
      </c>
      <c r="AC92" s="238">
        <v>0</v>
      </c>
      <c r="AD92" s="238">
        <v>0</v>
      </c>
      <c r="AE92" s="238">
        <v>2</v>
      </c>
      <c r="AF92" s="69">
        <v>1</v>
      </c>
      <c r="AG92" s="69"/>
      <c r="AH92" s="69"/>
      <c r="AI92" s="69"/>
      <c r="AJ92" s="69"/>
      <c r="AK92" s="69"/>
      <c r="AL92" s="69"/>
      <c r="AM92" s="69"/>
      <c r="AN92" s="69"/>
      <c r="AO92" s="80"/>
      <c r="AP92" s="70">
        <f>SUM(J92:AN92)</f>
        <v>13</v>
      </c>
      <c r="AR92" s="8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CB92" s="82"/>
      <c r="CC92" s="82"/>
      <c r="DF92" s="82"/>
      <c r="EN92" s="64"/>
      <c r="EO92" s="82"/>
      <c r="EP92" s="82"/>
      <c r="EQ92" s="82"/>
      <c r="ER92" s="82"/>
      <c r="GU92" s="82"/>
      <c r="KP92" s="82"/>
      <c r="KQ92" s="82"/>
      <c r="KR92" s="82"/>
      <c r="KS92" s="82"/>
      <c r="PW92" s="82"/>
      <c r="PX92" s="82"/>
      <c r="PZ92" s="82"/>
      <c r="QN92" s="88"/>
      <c r="QR92" s="82"/>
      <c r="SU92" s="88"/>
      <c r="AID92" s="72"/>
      <c r="AJS92" s="72"/>
      <c r="AJT92" s="72"/>
      <c r="AJU92" s="72"/>
    </row>
    <row r="93" spans="6:957" ht="15" hidden="1" customHeight="1" x14ac:dyDescent="0.3">
      <c r="F93" s="56"/>
      <c r="G93" s="12" t="s">
        <v>123</v>
      </c>
      <c r="H93" s="47"/>
      <c r="I93" s="47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9"/>
      <c r="AH93" s="48"/>
      <c r="AI93" s="48"/>
      <c r="AJ93" s="48"/>
      <c r="AK93" s="48"/>
      <c r="AL93" s="48"/>
      <c r="AM93" s="48"/>
      <c r="AN93" s="48"/>
      <c r="AO93" s="7"/>
      <c r="AP93" s="166" t="s">
        <v>122</v>
      </c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</row>
    <row r="94" spans="6:957" ht="15" hidden="1" customHeight="1" x14ac:dyDescent="0.3">
      <c r="F94" s="107"/>
      <c r="G94" s="233" t="s">
        <v>112</v>
      </c>
      <c r="H94" s="119"/>
      <c r="I94" s="107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80"/>
      <c r="AP94" s="122" t="s">
        <v>112</v>
      </c>
      <c r="AR94" s="8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CB94" s="82"/>
      <c r="CC94" s="82"/>
      <c r="DF94" s="82"/>
      <c r="EN94" s="64"/>
      <c r="EO94" s="82"/>
      <c r="EP94" s="82"/>
      <c r="EQ94" s="82"/>
      <c r="ER94" s="82"/>
      <c r="GU94" s="82"/>
      <c r="KP94" s="82"/>
      <c r="KQ94" s="82"/>
      <c r="KR94" s="82"/>
      <c r="KS94" s="82"/>
      <c r="PW94" s="82"/>
      <c r="PX94" s="82"/>
      <c r="PZ94" s="82"/>
      <c r="QN94" s="88"/>
      <c r="QR94" s="82"/>
      <c r="SU94" s="88"/>
      <c r="AID94" s="72"/>
      <c r="AJS94" s="72"/>
      <c r="AJT94" s="72"/>
      <c r="AJU94" s="72"/>
    </row>
    <row r="95" spans="6:957" ht="15" hidden="1" customHeight="1" x14ac:dyDescent="0.3">
      <c r="F95" s="107"/>
      <c r="G95" s="105" t="s">
        <v>113</v>
      </c>
      <c r="H95" s="106">
        <v>0.3</v>
      </c>
      <c r="I95" s="174" t="s">
        <v>13</v>
      </c>
      <c r="J95" s="169">
        <f t="shared" ref="J95:AN96" si="44">J88/J79*100</f>
        <v>0.15847860538827258</v>
      </c>
      <c r="K95" s="169" t="e">
        <f t="shared" si="44"/>
        <v>#DIV/0!</v>
      </c>
      <c r="L95" s="169" t="e">
        <f>L88/L79*100</f>
        <v>#DIV/0!</v>
      </c>
      <c r="M95" s="169" t="e">
        <f t="shared" si="44"/>
        <v>#DIV/0!</v>
      </c>
      <c r="N95" s="169" t="e">
        <f t="shared" si="44"/>
        <v>#DIV/0!</v>
      </c>
      <c r="O95" s="169" t="e">
        <f t="shared" si="44"/>
        <v>#DIV/0!</v>
      </c>
      <c r="P95" s="169" t="e">
        <f t="shared" si="44"/>
        <v>#DIV/0!</v>
      </c>
      <c r="Q95" s="169">
        <f t="shared" si="44"/>
        <v>0.2772277227722772</v>
      </c>
      <c r="R95" s="169" t="e">
        <f t="shared" si="44"/>
        <v>#DIV/0!</v>
      </c>
      <c r="S95" s="169" t="e">
        <f t="shared" si="44"/>
        <v>#DIV/0!</v>
      </c>
      <c r="T95" s="169" t="e">
        <f t="shared" si="44"/>
        <v>#DIV/0!</v>
      </c>
      <c r="U95" s="169" t="e">
        <f t="shared" si="44"/>
        <v>#DIV/0!</v>
      </c>
      <c r="V95" s="169">
        <f t="shared" si="44"/>
        <v>8.3682008368200833E-2</v>
      </c>
      <c r="W95" s="169" t="e">
        <f t="shared" si="44"/>
        <v>#DIV/0!</v>
      </c>
      <c r="X95" s="169">
        <f t="shared" si="44"/>
        <v>0</v>
      </c>
      <c r="Y95" s="169">
        <f t="shared" si="44"/>
        <v>0</v>
      </c>
      <c r="Z95" s="169" t="e">
        <f t="shared" si="44"/>
        <v>#DIV/0!</v>
      </c>
      <c r="AA95" s="169">
        <f t="shared" si="44"/>
        <v>0</v>
      </c>
      <c r="AB95" s="169">
        <f t="shared" si="44"/>
        <v>0</v>
      </c>
      <c r="AC95" s="169" t="e">
        <f t="shared" si="44"/>
        <v>#DIV/0!</v>
      </c>
      <c r="AD95" s="169" t="e">
        <f t="shared" si="44"/>
        <v>#DIV/0!</v>
      </c>
      <c r="AE95" s="169">
        <f t="shared" si="44"/>
        <v>0</v>
      </c>
      <c r="AF95" s="169">
        <f t="shared" si="44"/>
        <v>0</v>
      </c>
      <c r="AG95" s="169">
        <f t="shared" si="44"/>
        <v>0</v>
      </c>
      <c r="AH95" s="169" t="e">
        <f t="shared" si="44"/>
        <v>#DIV/0!</v>
      </c>
      <c r="AI95" s="169" t="e">
        <f t="shared" si="44"/>
        <v>#DIV/0!</v>
      </c>
      <c r="AJ95" s="169" t="e">
        <f t="shared" si="44"/>
        <v>#DIV/0!</v>
      </c>
      <c r="AK95" s="169" t="e">
        <f t="shared" si="44"/>
        <v>#DIV/0!</v>
      </c>
      <c r="AL95" s="169" t="e">
        <f t="shared" si="44"/>
        <v>#DIV/0!</v>
      </c>
      <c r="AM95" s="169" t="e">
        <f t="shared" si="44"/>
        <v>#DIV/0!</v>
      </c>
      <c r="AN95" s="169" t="e">
        <f t="shared" si="44"/>
        <v>#DIV/0!</v>
      </c>
      <c r="AO95" s="80"/>
      <c r="AP95" s="97">
        <f>AP88/AP79*100</f>
        <v>7.0934562865756334E-2</v>
      </c>
      <c r="AR95" s="8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CB95" s="82"/>
      <c r="CC95" s="82"/>
      <c r="DF95" s="82"/>
      <c r="EN95" s="64"/>
      <c r="EO95" s="82"/>
      <c r="EP95" s="82"/>
      <c r="EQ95" s="82"/>
      <c r="ER95" s="82"/>
      <c r="GU95" s="82"/>
      <c r="KP95" s="82"/>
      <c r="KQ95" s="82"/>
      <c r="KR95" s="82"/>
      <c r="KS95" s="82"/>
      <c r="PW95" s="82"/>
      <c r="PX95" s="82"/>
      <c r="PZ95" s="82"/>
      <c r="QN95" s="88"/>
      <c r="QR95" s="82"/>
      <c r="SU95" s="88"/>
      <c r="AID95" s="72"/>
      <c r="AJS95" s="72"/>
      <c r="AJT95" s="72"/>
      <c r="AJU95" s="72"/>
    </row>
    <row r="96" spans="6:957" ht="15" hidden="1" customHeight="1" x14ac:dyDescent="0.3">
      <c r="F96" s="107"/>
      <c r="G96" s="105" t="s">
        <v>115</v>
      </c>
      <c r="H96" s="106">
        <v>0.3</v>
      </c>
      <c r="I96" s="174" t="s">
        <v>13</v>
      </c>
      <c r="J96" s="169" t="e">
        <f t="shared" si="44"/>
        <v>#DIV/0!</v>
      </c>
      <c r="K96" s="169" t="e">
        <f t="shared" si="44"/>
        <v>#DIV/0!</v>
      </c>
      <c r="L96" s="169" t="e">
        <f>L89/L80*100</f>
        <v>#DIV/0!</v>
      </c>
      <c r="M96" s="169" t="e">
        <f t="shared" si="44"/>
        <v>#DIV/0!</v>
      </c>
      <c r="N96" s="169" t="e">
        <f t="shared" si="44"/>
        <v>#DIV/0!</v>
      </c>
      <c r="O96" s="169" t="e">
        <f t="shared" si="44"/>
        <v>#DIV/0!</v>
      </c>
      <c r="P96" s="169" t="e">
        <f t="shared" si="44"/>
        <v>#DIV/0!</v>
      </c>
      <c r="Q96" s="169" t="e">
        <f t="shared" si="44"/>
        <v>#DIV/0!</v>
      </c>
      <c r="R96" s="169" t="e">
        <f t="shared" si="44"/>
        <v>#DIV/0!</v>
      </c>
      <c r="S96" s="169" t="e">
        <f t="shared" si="44"/>
        <v>#DIV/0!</v>
      </c>
      <c r="T96" s="169" t="e">
        <f t="shared" si="44"/>
        <v>#DIV/0!</v>
      </c>
      <c r="U96" s="169" t="e">
        <f t="shared" si="44"/>
        <v>#DIV/0!</v>
      </c>
      <c r="V96" s="169">
        <f t="shared" si="44"/>
        <v>0.16708437761069339</v>
      </c>
      <c r="W96" s="169" t="e">
        <f t="shared" si="44"/>
        <v>#DIV/0!</v>
      </c>
      <c r="X96" s="169">
        <f t="shared" si="44"/>
        <v>4.0916530278232409E-2</v>
      </c>
      <c r="Y96" s="169">
        <f t="shared" si="44"/>
        <v>0</v>
      </c>
      <c r="Z96" s="169" t="e">
        <f t="shared" si="44"/>
        <v>#DIV/0!</v>
      </c>
      <c r="AA96" s="169">
        <f t="shared" si="44"/>
        <v>0</v>
      </c>
      <c r="AB96" s="169" t="e">
        <f t="shared" si="44"/>
        <v>#DIV/0!</v>
      </c>
      <c r="AC96" s="169" t="e">
        <f t="shared" si="44"/>
        <v>#DIV/0!</v>
      </c>
      <c r="AD96" s="169" t="e">
        <f t="shared" si="44"/>
        <v>#DIV/0!</v>
      </c>
      <c r="AE96" s="169">
        <f t="shared" si="44"/>
        <v>8.5106382978723402E-2</v>
      </c>
      <c r="AF96" s="169">
        <f t="shared" si="44"/>
        <v>8.5106382978723402E-2</v>
      </c>
      <c r="AG96" s="169" t="e">
        <f t="shared" si="44"/>
        <v>#DIV/0!</v>
      </c>
      <c r="AH96" s="169" t="e">
        <f t="shared" si="44"/>
        <v>#DIV/0!</v>
      </c>
      <c r="AI96" s="169" t="e">
        <f t="shared" si="44"/>
        <v>#DIV/0!</v>
      </c>
      <c r="AJ96" s="169" t="e">
        <f t="shared" si="44"/>
        <v>#DIV/0!</v>
      </c>
      <c r="AK96" s="169" t="e">
        <f t="shared" si="44"/>
        <v>#DIV/0!</v>
      </c>
      <c r="AL96" s="169" t="e">
        <f t="shared" si="44"/>
        <v>#DIV/0!</v>
      </c>
      <c r="AM96" s="169">
        <f t="shared" si="44"/>
        <v>0</v>
      </c>
      <c r="AN96" s="169" t="e">
        <f t="shared" si="44"/>
        <v>#DIV/0!</v>
      </c>
      <c r="AO96" s="80"/>
      <c r="AP96" s="97">
        <f>AP89/AP80*100</f>
        <v>5.6092240573387353E-2</v>
      </c>
      <c r="AR96" s="8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CB96" s="82"/>
      <c r="CC96" s="82"/>
      <c r="DF96" s="82"/>
      <c r="EN96" s="64"/>
      <c r="EO96" s="82"/>
      <c r="EP96" s="82"/>
      <c r="EQ96" s="82"/>
      <c r="ER96" s="82"/>
      <c r="GU96" s="82"/>
      <c r="KP96" s="82"/>
      <c r="KQ96" s="82"/>
      <c r="KR96" s="82"/>
      <c r="KS96" s="82"/>
      <c r="PW96" s="82"/>
      <c r="PX96" s="82"/>
      <c r="PZ96" s="82"/>
      <c r="QN96" s="88"/>
      <c r="QR96" s="82"/>
      <c r="SU96" s="88"/>
      <c r="AID96" s="72"/>
      <c r="AJS96" s="72"/>
      <c r="AJT96" s="72"/>
      <c r="AJU96" s="72"/>
    </row>
    <row r="97" spans="6:957" ht="15" hidden="1" customHeight="1" x14ac:dyDescent="0.3">
      <c r="F97" s="107"/>
      <c r="G97" s="233" t="s">
        <v>116</v>
      </c>
      <c r="H97" s="106"/>
      <c r="I97" s="107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80"/>
      <c r="AP97" s="122" t="s">
        <v>116</v>
      </c>
      <c r="AR97" s="8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CB97" s="82"/>
      <c r="CC97" s="82"/>
      <c r="DF97" s="82"/>
      <c r="EN97" s="64"/>
      <c r="EO97" s="82"/>
      <c r="EP97" s="82"/>
      <c r="EQ97" s="82"/>
      <c r="ER97" s="82"/>
      <c r="GU97" s="82"/>
      <c r="KP97" s="82"/>
      <c r="KQ97" s="82"/>
      <c r="KR97" s="82"/>
      <c r="KS97" s="82"/>
      <c r="PW97" s="82"/>
      <c r="PX97" s="82"/>
      <c r="PZ97" s="82"/>
      <c r="QN97" s="88"/>
      <c r="QR97" s="82"/>
      <c r="SU97" s="88"/>
      <c r="AID97" s="72"/>
      <c r="AJS97" s="72"/>
      <c r="AJT97" s="72"/>
      <c r="AJU97" s="72"/>
    </row>
    <row r="98" spans="6:957" ht="15" hidden="1" customHeight="1" x14ac:dyDescent="0.3">
      <c r="F98" s="107"/>
      <c r="G98" s="105" t="s">
        <v>113</v>
      </c>
      <c r="H98" s="106">
        <v>0.5</v>
      </c>
      <c r="I98" s="174" t="s">
        <v>13</v>
      </c>
      <c r="J98" s="169">
        <f t="shared" ref="J98:AN99" si="45">J91/J82*100</f>
        <v>4.9524564183835183E-2</v>
      </c>
      <c r="K98" s="169" t="e">
        <f t="shared" si="45"/>
        <v>#DIV/0!</v>
      </c>
      <c r="L98" s="169" t="e">
        <f t="shared" si="45"/>
        <v>#DIV/0!</v>
      </c>
      <c r="M98" s="169" t="e">
        <f t="shared" si="45"/>
        <v>#DIV/0!</v>
      </c>
      <c r="N98" s="169" t="e">
        <f t="shared" si="45"/>
        <v>#DIV/0!</v>
      </c>
      <c r="O98" s="169" t="e">
        <f t="shared" si="45"/>
        <v>#DIV/0!</v>
      </c>
      <c r="P98" s="169" t="e">
        <f t="shared" si="45"/>
        <v>#DIV/0!</v>
      </c>
      <c r="Q98" s="169">
        <f t="shared" si="45"/>
        <v>3.9603960396039604E-2</v>
      </c>
      <c r="R98" s="169" t="e">
        <f t="shared" si="45"/>
        <v>#DIV/0!</v>
      </c>
      <c r="S98" s="169" t="e">
        <f t="shared" si="45"/>
        <v>#DIV/0!</v>
      </c>
      <c r="T98" s="169" t="e">
        <f t="shared" si="45"/>
        <v>#DIV/0!</v>
      </c>
      <c r="U98" s="169" t="e">
        <f t="shared" si="45"/>
        <v>#DIV/0!</v>
      </c>
      <c r="V98" s="169">
        <f t="shared" si="45"/>
        <v>6.2761506276150625E-2</v>
      </c>
      <c r="W98" s="169" t="e">
        <f t="shared" si="45"/>
        <v>#DIV/0!</v>
      </c>
      <c r="X98" s="169">
        <f t="shared" si="45"/>
        <v>0.11885895404120445</v>
      </c>
      <c r="Y98" s="169">
        <f t="shared" si="45"/>
        <v>5.6211354693648116E-2</v>
      </c>
      <c r="Z98" s="169" t="e">
        <f t="shared" si="45"/>
        <v>#DIV/0!</v>
      </c>
      <c r="AA98" s="169">
        <f t="shared" si="45"/>
        <v>5.6737588652482268E-2</v>
      </c>
      <c r="AB98" s="169">
        <f t="shared" si="45"/>
        <v>2.1276595744680851E-2</v>
      </c>
      <c r="AC98" s="169" t="e">
        <f t="shared" si="45"/>
        <v>#DIV/0!</v>
      </c>
      <c r="AD98" s="169" t="e">
        <f t="shared" si="45"/>
        <v>#DIV/0!</v>
      </c>
      <c r="AE98" s="169">
        <f t="shared" si="45"/>
        <v>2.8368794326241134E-2</v>
      </c>
      <c r="AF98" s="169">
        <f t="shared" si="45"/>
        <v>2.1276595744680851E-2</v>
      </c>
      <c r="AG98" s="169">
        <f t="shared" si="45"/>
        <v>0</v>
      </c>
      <c r="AH98" s="169" t="e">
        <f t="shared" si="45"/>
        <v>#DIV/0!</v>
      </c>
      <c r="AI98" s="169" t="e">
        <f t="shared" si="45"/>
        <v>#DIV/0!</v>
      </c>
      <c r="AJ98" s="169" t="e">
        <f t="shared" si="45"/>
        <v>#DIV/0!</v>
      </c>
      <c r="AK98" s="169" t="e">
        <f t="shared" si="45"/>
        <v>#DIV/0!</v>
      </c>
      <c r="AL98" s="169" t="e">
        <f t="shared" si="45"/>
        <v>#DIV/0!</v>
      </c>
      <c r="AM98" s="169" t="e">
        <f t="shared" si="45"/>
        <v>#DIV/0!</v>
      </c>
      <c r="AN98" s="169" t="e">
        <f t="shared" si="45"/>
        <v>#DIV/0!</v>
      </c>
      <c r="AO98" s="80"/>
      <c r="AP98" s="97">
        <f>AP91/AP82*100</f>
        <v>4.0885893874012334E-2</v>
      </c>
      <c r="AR98" s="8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CB98" s="82"/>
      <c r="CC98" s="82"/>
      <c r="DF98" s="82"/>
      <c r="EN98" s="64"/>
      <c r="EO98" s="82"/>
      <c r="EP98" s="82"/>
      <c r="EQ98" s="82"/>
      <c r="ER98" s="82"/>
      <c r="GU98" s="82"/>
      <c r="KP98" s="82"/>
      <c r="KQ98" s="82"/>
      <c r="KR98" s="82"/>
      <c r="KS98" s="82"/>
      <c r="PW98" s="82"/>
      <c r="PX98" s="82"/>
      <c r="PZ98" s="82"/>
      <c r="QN98" s="88"/>
      <c r="QR98" s="82"/>
      <c r="SU98" s="88"/>
      <c r="AID98" s="72"/>
      <c r="AJS98" s="72"/>
      <c r="AJT98" s="72"/>
      <c r="AJU98" s="72"/>
    </row>
    <row r="99" spans="6:957" ht="15" hidden="1" customHeight="1" x14ac:dyDescent="0.3">
      <c r="F99" s="107"/>
      <c r="G99" s="105" t="s">
        <v>115</v>
      </c>
      <c r="H99" s="106">
        <v>0.5</v>
      </c>
      <c r="I99" s="174" t="s">
        <v>13</v>
      </c>
      <c r="J99" s="169" t="e">
        <f t="shared" si="45"/>
        <v>#DIV/0!</v>
      </c>
      <c r="K99" s="169" t="e">
        <f t="shared" si="45"/>
        <v>#DIV/0!</v>
      </c>
      <c r="L99" s="169" t="e">
        <f t="shared" si="45"/>
        <v>#DIV/0!</v>
      </c>
      <c r="M99" s="169" t="e">
        <f t="shared" si="45"/>
        <v>#DIV/0!</v>
      </c>
      <c r="N99" s="169" t="e">
        <f t="shared" si="45"/>
        <v>#DIV/0!</v>
      </c>
      <c r="O99" s="169" t="e">
        <f t="shared" si="45"/>
        <v>#DIV/0!</v>
      </c>
      <c r="P99" s="169" t="e">
        <f t="shared" si="45"/>
        <v>#DIV/0!</v>
      </c>
      <c r="Q99" s="169" t="e">
        <f t="shared" si="45"/>
        <v>#DIV/0!</v>
      </c>
      <c r="R99" s="169" t="e">
        <f t="shared" si="45"/>
        <v>#DIV/0!</v>
      </c>
      <c r="S99" s="169" t="e">
        <f t="shared" si="45"/>
        <v>#DIV/0!</v>
      </c>
      <c r="T99" s="169" t="e">
        <f t="shared" si="45"/>
        <v>#DIV/0!</v>
      </c>
      <c r="U99" s="169" t="e">
        <f t="shared" si="45"/>
        <v>#DIV/0!</v>
      </c>
      <c r="V99" s="169">
        <f t="shared" si="45"/>
        <v>2.7847396268448898E-2</v>
      </c>
      <c r="W99" s="169" t="e">
        <f t="shared" si="45"/>
        <v>#DIV/0!</v>
      </c>
      <c r="X99" s="169">
        <f t="shared" si="45"/>
        <v>2.0458265139116204E-2</v>
      </c>
      <c r="Y99" s="169">
        <f t="shared" si="45"/>
        <v>7.0412617941135042E-3</v>
      </c>
      <c r="Z99" s="169" t="e">
        <f t="shared" si="45"/>
        <v>#DIV/0!</v>
      </c>
      <c r="AA99" s="169">
        <f t="shared" si="45"/>
        <v>1.4184397163120567E-2</v>
      </c>
      <c r="AB99" s="169" t="e">
        <f t="shared" si="45"/>
        <v>#DIV/0!</v>
      </c>
      <c r="AC99" s="169" t="e">
        <f t="shared" si="45"/>
        <v>#DIV/0!</v>
      </c>
      <c r="AD99" s="169" t="e">
        <f t="shared" si="45"/>
        <v>#DIV/0!</v>
      </c>
      <c r="AE99" s="169">
        <f t="shared" si="45"/>
        <v>1.4184397163120567E-2</v>
      </c>
      <c r="AF99" s="169">
        <f t="shared" si="45"/>
        <v>7.0921985815602835E-3</v>
      </c>
      <c r="AG99" s="169" t="e">
        <f t="shared" si="45"/>
        <v>#DIV/0!</v>
      </c>
      <c r="AH99" s="169" t="e">
        <f t="shared" si="45"/>
        <v>#DIV/0!</v>
      </c>
      <c r="AI99" s="169" t="e">
        <f t="shared" si="45"/>
        <v>#DIV/0!</v>
      </c>
      <c r="AJ99" s="169" t="e">
        <f t="shared" si="45"/>
        <v>#DIV/0!</v>
      </c>
      <c r="AK99" s="169" t="e">
        <f t="shared" si="45"/>
        <v>#DIV/0!</v>
      </c>
      <c r="AL99" s="169" t="e">
        <f t="shared" si="45"/>
        <v>#DIV/0!</v>
      </c>
      <c r="AM99" s="169">
        <f t="shared" si="45"/>
        <v>0</v>
      </c>
      <c r="AN99" s="169" t="e">
        <f t="shared" si="45"/>
        <v>#DIV/0!</v>
      </c>
      <c r="AO99" s="80"/>
      <c r="AP99" s="97">
        <f>AP92/AP83*100</f>
        <v>1.3503687545445101E-2</v>
      </c>
      <c r="AR99" s="8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CB99" s="82"/>
      <c r="CC99" s="82"/>
      <c r="DF99" s="82"/>
      <c r="EN99" s="64"/>
      <c r="EO99" s="82"/>
      <c r="EP99" s="82"/>
      <c r="EQ99" s="82"/>
      <c r="ER99" s="82"/>
      <c r="GU99" s="82"/>
      <c r="KP99" s="82"/>
      <c r="KQ99" s="82"/>
      <c r="KR99" s="82"/>
      <c r="KS99" s="82"/>
      <c r="PW99" s="82"/>
      <c r="PX99" s="82"/>
      <c r="PZ99" s="82"/>
      <c r="QN99" s="88"/>
      <c r="QR99" s="82"/>
      <c r="SU99" s="88"/>
      <c r="AID99" s="72"/>
      <c r="AJS99" s="72"/>
      <c r="AJT99" s="72"/>
      <c r="AJU99" s="72"/>
    </row>
    <row r="100" spans="6:957" x14ac:dyDescent="0.3">
      <c r="F100" s="46">
        <v>6</v>
      </c>
      <c r="G100" s="12" t="s">
        <v>124</v>
      </c>
      <c r="H100" s="47"/>
      <c r="I100" s="47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9"/>
      <c r="AH100" s="48"/>
      <c r="AI100" s="48"/>
      <c r="AJ100" s="48"/>
      <c r="AK100" s="48"/>
      <c r="AL100" s="48"/>
      <c r="AM100" s="48"/>
      <c r="AN100" s="48"/>
      <c r="AO100" s="7"/>
      <c r="AP100" s="166" t="s">
        <v>105</v>
      </c>
      <c r="AR100" s="6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CB100" s="72"/>
      <c r="CC100" s="72"/>
      <c r="DF100" s="72"/>
      <c r="EN100" s="64"/>
      <c r="EO100" s="72"/>
      <c r="EP100" s="72"/>
      <c r="EQ100" s="72"/>
      <c r="ER100" s="72"/>
      <c r="GU100" s="72"/>
      <c r="KP100" s="72"/>
      <c r="KQ100" s="72"/>
      <c r="KR100" s="72"/>
      <c r="KS100" s="72"/>
      <c r="PW100" s="72"/>
      <c r="PX100" s="72"/>
      <c r="PZ100" s="72"/>
      <c r="QN100" s="127"/>
      <c r="QR100" s="72"/>
      <c r="SU100" s="127"/>
      <c r="AID100" s="72"/>
      <c r="AJS100" s="72"/>
      <c r="AJT100" s="72"/>
      <c r="AJU100" s="72"/>
    </row>
    <row r="101" spans="6:957" x14ac:dyDescent="0.3">
      <c r="F101" s="56"/>
      <c r="G101" s="247" t="s">
        <v>107</v>
      </c>
      <c r="H101" s="248"/>
      <c r="I101" s="249" t="s">
        <v>10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50">
        <v>0</v>
      </c>
      <c r="P101" s="250">
        <v>0</v>
      </c>
      <c r="Q101" s="250">
        <v>0</v>
      </c>
      <c r="R101" s="250">
        <v>0</v>
      </c>
      <c r="S101" s="250">
        <v>0</v>
      </c>
      <c r="T101" s="250">
        <v>0</v>
      </c>
      <c r="U101" s="250">
        <v>0</v>
      </c>
      <c r="V101" s="251">
        <v>1867.92</v>
      </c>
      <c r="W101" s="250">
        <v>0</v>
      </c>
      <c r="X101" s="250">
        <v>0</v>
      </c>
      <c r="Y101" s="250">
        <v>0</v>
      </c>
      <c r="Z101" s="250">
        <v>0</v>
      </c>
      <c r="AA101" s="250">
        <v>0</v>
      </c>
      <c r="AB101" s="250">
        <v>0</v>
      </c>
      <c r="AC101" s="250">
        <v>0</v>
      </c>
      <c r="AD101" s="250">
        <v>0</v>
      </c>
      <c r="AE101" s="250">
        <v>0</v>
      </c>
      <c r="AF101" s="250">
        <v>0</v>
      </c>
      <c r="AG101" s="251">
        <v>653.41</v>
      </c>
      <c r="AH101" s="251"/>
      <c r="AI101" s="250"/>
      <c r="AJ101" s="250"/>
      <c r="AK101" s="250"/>
      <c r="AL101" s="250"/>
      <c r="AM101" s="250"/>
      <c r="AN101" s="250"/>
      <c r="AO101" s="252"/>
      <c r="AP101" s="218">
        <f>SUM(AP102:AP103)</f>
        <v>2521.33</v>
      </c>
      <c r="AR101" s="219"/>
      <c r="BE101" s="245"/>
      <c r="BF101" s="245"/>
      <c r="BG101" s="245"/>
      <c r="BH101" s="245"/>
      <c r="BI101" s="245"/>
      <c r="BJ101" s="245"/>
      <c r="BK101" s="245"/>
      <c r="BL101" s="245"/>
      <c r="BM101" s="245"/>
      <c r="BN101" s="245"/>
      <c r="CB101" s="220"/>
      <c r="CC101" s="220"/>
      <c r="DF101" s="220"/>
      <c r="EN101" s="68"/>
      <c r="EO101" s="220"/>
      <c r="EP101" s="220"/>
      <c r="EQ101" s="220"/>
      <c r="ER101" s="220"/>
      <c r="GU101" s="220"/>
      <c r="KP101" s="220"/>
      <c r="KQ101" s="220"/>
      <c r="KR101" s="220"/>
      <c r="KS101" s="220"/>
      <c r="PW101" s="220"/>
      <c r="PX101" s="220"/>
      <c r="PZ101" s="220"/>
      <c r="QN101" s="221"/>
      <c r="QR101" s="220"/>
      <c r="SU101" s="221"/>
      <c r="AID101" s="222"/>
      <c r="AJS101" s="222"/>
      <c r="AJT101" s="222"/>
      <c r="AJU101" s="222"/>
    </row>
    <row r="102" spans="6:957" x14ac:dyDescent="0.3">
      <c r="F102" s="107"/>
      <c r="G102" s="233" t="s">
        <v>109</v>
      </c>
      <c r="H102" s="119"/>
      <c r="I102" s="174" t="s">
        <v>10</v>
      </c>
      <c r="J102" s="169">
        <f t="shared" ref="J102:AL102" si="46">SUM(J105:J106)*10.86</f>
        <v>0</v>
      </c>
      <c r="K102" s="169">
        <f t="shared" si="46"/>
        <v>0</v>
      </c>
      <c r="L102" s="169">
        <f t="shared" si="46"/>
        <v>0</v>
      </c>
      <c r="M102" s="169">
        <f t="shared" si="46"/>
        <v>0</v>
      </c>
      <c r="N102" s="169">
        <f t="shared" si="46"/>
        <v>0</v>
      </c>
      <c r="O102" s="169">
        <f t="shared" si="46"/>
        <v>0</v>
      </c>
      <c r="P102" s="169">
        <f t="shared" si="46"/>
        <v>0</v>
      </c>
      <c r="Q102" s="169">
        <f t="shared" si="46"/>
        <v>0</v>
      </c>
      <c r="R102" s="169">
        <f t="shared" si="46"/>
        <v>0</v>
      </c>
      <c r="S102" s="169">
        <f t="shared" si="46"/>
        <v>0</v>
      </c>
      <c r="T102" s="169">
        <f t="shared" si="46"/>
        <v>0</v>
      </c>
      <c r="U102" s="169">
        <f t="shared" si="46"/>
        <v>0</v>
      </c>
      <c r="V102" s="250">
        <v>0</v>
      </c>
      <c r="W102" s="250">
        <v>0</v>
      </c>
      <c r="X102" s="169">
        <f t="shared" si="46"/>
        <v>0</v>
      </c>
      <c r="Y102" s="169">
        <f t="shared" si="46"/>
        <v>0</v>
      </c>
      <c r="Z102" s="169">
        <f t="shared" si="46"/>
        <v>0</v>
      </c>
      <c r="AA102" s="169">
        <f t="shared" si="46"/>
        <v>0</v>
      </c>
      <c r="AB102" s="169">
        <f t="shared" si="46"/>
        <v>0</v>
      </c>
      <c r="AC102" s="169">
        <f t="shared" si="46"/>
        <v>0</v>
      </c>
      <c r="AD102" s="169">
        <f t="shared" ref="AD102" si="47">SUM(AD105:AD106)*10.86</f>
        <v>0</v>
      </c>
      <c r="AE102" s="169">
        <f t="shared" si="46"/>
        <v>0</v>
      </c>
      <c r="AF102" s="169">
        <f t="shared" si="46"/>
        <v>0</v>
      </c>
      <c r="AG102" s="169">
        <f>SUM(AG105:AG106)*10.86</f>
        <v>651.59999999999991</v>
      </c>
      <c r="AH102" s="169">
        <f t="shared" si="46"/>
        <v>0</v>
      </c>
      <c r="AI102" s="169">
        <f t="shared" ref="AI102:AK102" si="48">SUM(AI105:AI106)*10.86</f>
        <v>0</v>
      </c>
      <c r="AJ102" s="169">
        <f t="shared" si="48"/>
        <v>0</v>
      </c>
      <c r="AK102" s="169">
        <f t="shared" si="48"/>
        <v>0</v>
      </c>
      <c r="AL102" s="169">
        <f t="shared" si="46"/>
        <v>0</v>
      </c>
      <c r="AM102" s="169">
        <f t="shared" ref="AM102:AN102" si="49">SUM(AM105:AM106)*10.86</f>
        <v>0</v>
      </c>
      <c r="AN102" s="169">
        <f t="shared" si="49"/>
        <v>0</v>
      </c>
      <c r="AO102" s="80"/>
      <c r="AP102" s="97">
        <f>SUM(J102:AN102)</f>
        <v>651.59999999999991</v>
      </c>
      <c r="AR102" s="81"/>
      <c r="BE102" s="253"/>
      <c r="BF102" s="245"/>
      <c r="BG102" s="245"/>
      <c r="BH102" s="245"/>
      <c r="BI102" s="245"/>
      <c r="BJ102" s="245"/>
      <c r="BK102" s="101"/>
      <c r="BL102" s="101"/>
      <c r="BM102" s="101"/>
      <c r="BN102" s="101"/>
      <c r="CB102" s="82"/>
      <c r="CC102" s="82"/>
      <c r="DF102" s="82"/>
      <c r="EN102" s="64"/>
      <c r="EO102" s="82"/>
      <c r="EP102" s="82"/>
      <c r="EQ102" s="82"/>
      <c r="ER102" s="82"/>
      <c r="GU102" s="82"/>
      <c r="KP102" s="82"/>
      <c r="KQ102" s="82"/>
      <c r="KR102" s="82"/>
      <c r="KS102" s="82"/>
      <c r="PW102" s="82"/>
      <c r="PX102" s="254"/>
      <c r="PZ102" s="82"/>
      <c r="QN102" s="88"/>
      <c r="QR102" s="82"/>
      <c r="SU102" s="88"/>
      <c r="AID102" s="72"/>
      <c r="AJS102" s="72"/>
      <c r="AJT102" s="72"/>
      <c r="AJU102" s="72"/>
    </row>
    <row r="103" spans="6:957" x14ac:dyDescent="0.3">
      <c r="F103" s="107"/>
      <c r="G103" s="233" t="s">
        <v>110</v>
      </c>
      <c r="H103" s="119"/>
      <c r="I103" s="174" t="s">
        <v>10</v>
      </c>
      <c r="J103" s="169">
        <f t="shared" ref="J103:AN103" si="50">J101-J102</f>
        <v>0</v>
      </c>
      <c r="K103" s="169">
        <f t="shared" si="50"/>
        <v>0</v>
      </c>
      <c r="L103" s="169">
        <f t="shared" si="50"/>
        <v>0</v>
      </c>
      <c r="M103" s="169">
        <f t="shared" si="50"/>
        <v>0</v>
      </c>
      <c r="N103" s="169">
        <f t="shared" si="50"/>
        <v>0</v>
      </c>
      <c r="O103" s="169">
        <f t="shared" si="50"/>
        <v>0</v>
      </c>
      <c r="P103" s="169">
        <f t="shared" si="50"/>
        <v>0</v>
      </c>
      <c r="Q103" s="169">
        <f t="shared" si="50"/>
        <v>0</v>
      </c>
      <c r="R103" s="169">
        <f t="shared" si="50"/>
        <v>0</v>
      </c>
      <c r="S103" s="169">
        <f t="shared" si="50"/>
        <v>0</v>
      </c>
      <c r="T103" s="169">
        <f t="shared" si="50"/>
        <v>0</v>
      </c>
      <c r="U103" s="169">
        <f t="shared" si="50"/>
        <v>0</v>
      </c>
      <c r="V103" s="169">
        <f t="shared" si="50"/>
        <v>1867.92</v>
      </c>
      <c r="W103" s="169">
        <f t="shared" si="50"/>
        <v>0</v>
      </c>
      <c r="X103" s="169">
        <f t="shared" si="50"/>
        <v>0</v>
      </c>
      <c r="Y103" s="169">
        <f t="shared" si="50"/>
        <v>0</v>
      </c>
      <c r="Z103" s="169">
        <f t="shared" si="50"/>
        <v>0</v>
      </c>
      <c r="AA103" s="169">
        <f t="shared" si="50"/>
        <v>0</v>
      </c>
      <c r="AB103" s="169">
        <f t="shared" si="50"/>
        <v>0</v>
      </c>
      <c r="AC103" s="169">
        <f t="shared" si="50"/>
        <v>0</v>
      </c>
      <c r="AD103" s="169">
        <f t="shared" si="50"/>
        <v>0</v>
      </c>
      <c r="AE103" s="169">
        <f t="shared" si="50"/>
        <v>0</v>
      </c>
      <c r="AF103" s="169">
        <f t="shared" si="50"/>
        <v>0</v>
      </c>
      <c r="AG103" s="169">
        <f t="shared" si="50"/>
        <v>1.8100000000000591</v>
      </c>
      <c r="AH103" s="169">
        <f t="shared" si="50"/>
        <v>0</v>
      </c>
      <c r="AI103" s="169">
        <f t="shared" si="50"/>
        <v>0</v>
      </c>
      <c r="AJ103" s="169">
        <f t="shared" si="50"/>
        <v>0</v>
      </c>
      <c r="AK103" s="169">
        <f t="shared" si="50"/>
        <v>0</v>
      </c>
      <c r="AL103" s="169">
        <f t="shared" si="50"/>
        <v>0</v>
      </c>
      <c r="AM103" s="169">
        <f t="shared" si="50"/>
        <v>0</v>
      </c>
      <c r="AN103" s="169">
        <f t="shared" si="50"/>
        <v>0</v>
      </c>
      <c r="AO103" s="80"/>
      <c r="AP103" s="97">
        <f>SUM(J103:AN103)</f>
        <v>1869.73</v>
      </c>
      <c r="AR103" s="8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CB103" s="82"/>
      <c r="CC103" s="82"/>
      <c r="DF103" s="82"/>
      <c r="EN103" s="64"/>
      <c r="EO103" s="82"/>
      <c r="EP103" s="82"/>
      <c r="EQ103" s="82"/>
      <c r="ER103" s="82"/>
      <c r="GU103" s="82"/>
      <c r="KP103" s="82"/>
      <c r="KQ103" s="82"/>
      <c r="KR103" s="82"/>
      <c r="KS103" s="82"/>
      <c r="PW103" s="82"/>
      <c r="PX103" s="82"/>
      <c r="PZ103" s="82"/>
      <c r="QN103" s="88"/>
      <c r="QR103" s="82"/>
      <c r="SU103" s="88"/>
      <c r="AID103" s="72"/>
      <c r="AJS103" s="72"/>
      <c r="AJT103" s="72"/>
      <c r="AJU103" s="72"/>
    </row>
    <row r="104" spans="6:957" x14ac:dyDescent="0.3">
      <c r="F104" s="107"/>
      <c r="G104" s="233" t="s">
        <v>112</v>
      </c>
      <c r="H104" s="119"/>
      <c r="I104" s="107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80"/>
      <c r="AP104" s="122" t="s">
        <v>112</v>
      </c>
      <c r="AR104" s="8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CB104" s="82"/>
      <c r="CC104" s="82"/>
      <c r="DF104" s="82"/>
      <c r="EN104" s="64"/>
      <c r="EO104" s="82"/>
      <c r="EP104" s="82"/>
      <c r="EQ104" s="82"/>
      <c r="ER104" s="82"/>
      <c r="GU104" s="82"/>
      <c r="KP104" s="82"/>
      <c r="KQ104" s="82"/>
      <c r="KR104" s="82"/>
      <c r="KS104" s="82"/>
      <c r="PW104" s="82"/>
      <c r="PX104" s="82"/>
      <c r="PZ104" s="82"/>
      <c r="QN104" s="88"/>
      <c r="QR104" s="82"/>
      <c r="SU104" s="88"/>
      <c r="AID104" s="72"/>
      <c r="AJS104" s="72"/>
      <c r="AJT104" s="72"/>
      <c r="AJU104" s="72"/>
    </row>
    <row r="105" spans="6:957" x14ac:dyDescent="0.3">
      <c r="F105" s="19"/>
      <c r="G105" s="17" t="s">
        <v>125</v>
      </c>
      <c r="H105" s="18"/>
      <c r="I105" s="237" t="s">
        <v>114</v>
      </c>
      <c r="J105" s="238">
        <v>0</v>
      </c>
      <c r="K105" s="238">
        <v>0</v>
      </c>
      <c r="L105" s="238">
        <v>0</v>
      </c>
      <c r="M105" s="238">
        <v>0</v>
      </c>
      <c r="N105" s="238">
        <v>0</v>
      </c>
      <c r="O105" s="238">
        <v>0</v>
      </c>
      <c r="P105" s="238">
        <v>0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67</v>
      </c>
      <c r="W105" s="238">
        <v>0</v>
      </c>
      <c r="X105" s="238">
        <v>0</v>
      </c>
      <c r="Y105" s="238">
        <v>0</v>
      </c>
      <c r="Z105" s="238">
        <v>0</v>
      </c>
      <c r="AA105" s="238">
        <v>0</v>
      </c>
      <c r="AB105" s="238">
        <v>0</v>
      </c>
      <c r="AC105" s="238">
        <v>0</v>
      </c>
      <c r="AD105" s="238">
        <v>0</v>
      </c>
      <c r="AE105" s="238">
        <v>0</v>
      </c>
      <c r="AF105" s="250"/>
      <c r="AG105" s="250">
        <v>0</v>
      </c>
      <c r="AH105" s="250"/>
      <c r="AI105" s="250"/>
      <c r="AJ105" s="250"/>
      <c r="AK105" s="250"/>
      <c r="AL105" s="238"/>
      <c r="AM105" s="238"/>
      <c r="AN105" s="238"/>
      <c r="AO105" s="154"/>
      <c r="AP105" s="155">
        <f>SUM(J105:AN105)</f>
        <v>67</v>
      </c>
      <c r="AR105" s="242"/>
      <c r="BE105" s="162"/>
      <c r="BF105" s="162"/>
      <c r="BG105" s="162"/>
      <c r="BH105" s="162"/>
      <c r="BI105" s="162"/>
      <c r="BJ105" s="162"/>
      <c r="BK105" s="162"/>
      <c r="BL105" s="162"/>
      <c r="BM105" s="162"/>
      <c r="BN105" s="162"/>
      <c r="CB105" s="240"/>
      <c r="CC105" s="240"/>
      <c r="DF105" s="240"/>
      <c r="EN105" s="163"/>
      <c r="EO105" s="240"/>
      <c r="EP105" s="240"/>
      <c r="EQ105" s="240"/>
      <c r="ER105" s="240"/>
      <c r="GU105" s="240"/>
      <c r="KP105" s="240"/>
      <c r="KQ105" s="240"/>
      <c r="KR105" s="240"/>
      <c r="KS105" s="240"/>
      <c r="PW105" s="240"/>
      <c r="PX105" s="240"/>
      <c r="PZ105" s="240"/>
      <c r="QN105" s="241"/>
      <c r="QR105" s="240"/>
      <c r="SU105" s="241"/>
      <c r="AID105" s="156"/>
      <c r="AJS105" s="156"/>
      <c r="AJT105" s="156"/>
      <c r="AJU105" s="156"/>
    </row>
    <row r="106" spans="6:957" x14ac:dyDescent="0.3">
      <c r="F106" s="19"/>
      <c r="G106" s="17" t="s">
        <v>126</v>
      </c>
      <c r="H106" s="18"/>
      <c r="I106" s="237" t="s">
        <v>114</v>
      </c>
      <c r="J106" s="238">
        <v>0</v>
      </c>
      <c r="K106" s="238">
        <v>0</v>
      </c>
      <c r="L106" s="238">
        <v>0</v>
      </c>
      <c r="M106" s="238">
        <v>0</v>
      </c>
      <c r="N106" s="238">
        <v>0</v>
      </c>
      <c r="O106" s="238">
        <v>0</v>
      </c>
      <c r="P106" s="238">
        <v>0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105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0</v>
      </c>
      <c r="AF106" s="250">
        <v>0</v>
      </c>
      <c r="AG106" s="238">
        <v>60</v>
      </c>
      <c r="AH106" s="238"/>
      <c r="AI106" s="250"/>
      <c r="AJ106" s="250"/>
      <c r="AK106" s="250"/>
      <c r="AL106" s="238"/>
      <c r="AM106" s="238"/>
      <c r="AN106" s="238"/>
      <c r="AO106" s="154"/>
      <c r="AP106" s="155">
        <f>SUM(J106:AN106)</f>
        <v>165</v>
      </c>
      <c r="AR106" s="24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CB106" s="240"/>
      <c r="CC106" s="240"/>
      <c r="DF106" s="240"/>
      <c r="EN106" s="163"/>
      <c r="EO106" s="240"/>
      <c r="EP106" s="240"/>
      <c r="EQ106" s="240"/>
      <c r="ER106" s="240"/>
      <c r="GU106" s="240"/>
      <c r="KP106" s="240"/>
      <c r="KQ106" s="240"/>
      <c r="KR106" s="240"/>
      <c r="KS106" s="240"/>
      <c r="PW106" s="240"/>
      <c r="PX106" s="240"/>
      <c r="PZ106" s="240"/>
      <c r="QN106" s="241"/>
      <c r="QR106" s="240"/>
      <c r="SU106" s="241"/>
      <c r="AID106" s="156"/>
      <c r="AJS106" s="156"/>
      <c r="AJT106" s="156"/>
      <c r="AJU106" s="156"/>
    </row>
    <row r="107" spans="6:957" x14ac:dyDescent="0.3">
      <c r="F107" s="107"/>
      <c r="G107" s="233" t="s">
        <v>116</v>
      </c>
      <c r="H107" s="119"/>
      <c r="I107" s="107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80"/>
      <c r="AP107" s="122" t="s">
        <v>116</v>
      </c>
      <c r="AR107" s="8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CB107" s="82"/>
      <c r="CC107" s="82"/>
      <c r="DF107" s="82"/>
      <c r="EN107" s="64"/>
      <c r="EO107" s="82"/>
      <c r="EP107" s="82"/>
      <c r="EQ107" s="82"/>
      <c r="ER107" s="82"/>
      <c r="GU107" s="82"/>
      <c r="KP107" s="82"/>
      <c r="KQ107" s="82"/>
      <c r="KR107" s="82"/>
      <c r="KS107" s="82"/>
      <c r="PW107" s="82"/>
      <c r="PX107" s="82"/>
      <c r="PZ107" s="82"/>
      <c r="QN107" s="88"/>
      <c r="QR107" s="82"/>
      <c r="SU107" s="88"/>
      <c r="AID107" s="72"/>
      <c r="AJS107" s="72"/>
      <c r="AJT107" s="72"/>
      <c r="AJU107" s="72"/>
    </row>
    <row r="108" spans="6:957" x14ac:dyDescent="0.3">
      <c r="F108" s="107"/>
      <c r="G108" s="17" t="s">
        <v>125</v>
      </c>
      <c r="H108" s="119"/>
      <c r="I108" s="174" t="s">
        <v>116</v>
      </c>
      <c r="J108" s="69">
        <f t="shared" ref="J108:AN108" si="51">J105*12</f>
        <v>0</v>
      </c>
      <c r="K108" s="69">
        <f t="shared" si="51"/>
        <v>0</v>
      </c>
      <c r="L108" s="69">
        <f t="shared" si="51"/>
        <v>0</v>
      </c>
      <c r="M108" s="69">
        <f t="shared" si="51"/>
        <v>0</v>
      </c>
      <c r="N108" s="69">
        <f t="shared" si="51"/>
        <v>0</v>
      </c>
      <c r="O108" s="69">
        <f t="shared" si="51"/>
        <v>0</v>
      </c>
      <c r="P108" s="69">
        <f t="shared" si="51"/>
        <v>0</v>
      </c>
      <c r="Q108" s="69">
        <f t="shared" si="51"/>
        <v>0</v>
      </c>
      <c r="R108" s="69">
        <f t="shared" si="51"/>
        <v>0</v>
      </c>
      <c r="S108" s="69">
        <f t="shared" si="51"/>
        <v>0</v>
      </c>
      <c r="T108" s="69">
        <f t="shared" si="51"/>
        <v>0</v>
      </c>
      <c r="U108" s="69">
        <f t="shared" si="51"/>
        <v>0</v>
      </c>
      <c r="V108" s="69">
        <f t="shared" si="51"/>
        <v>804</v>
      </c>
      <c r="W108" s="69">
        <f t="shared" si="51"/>
        <v>0</v>
      </c>
      <c r="X108" s="69">
        <f t="shared" si="51"/>
        <v>0</v>
      </c>
      <c r="Y108" s="69">
        <f t="shared" si="51"/>
        <v>0</v>
      </c>
      <c r="Z108" s="69">
        <f t="shared" si="51"/>
        <v>0</v>
      </c>
      <c r="AA108" s="69">
        <f t="shared" si="51"/>
        <v>0</v>
      </c>
      <c r="AB108" s="69">
        <f t="shared" si="51"/>
        <v>0</v>
      </c>
      <c r="AC108" s="69">
        <f t="shared" si="51"/>
        <v>0</v>
      </c>
      <c r="AD108" s="69">
        <f t="shared" si="51"/>
        <v>0</v>
      </c>
      <c r="AE108" s="69">
        <f t="shared" si="51"/>
        <v>0</v>
      </c>
      <c r="AF108" s="69">
        <f t="shared" si="51"/>
        <v>0</v>
      </c>
      <c r="AG108" s="69">
        <f t="shared" si="51"/>
        <v>0</v>
      </c>
      <c r="AH108" s="69">
        <f t="shared" si="51"/>
        <v>0</v>
      </c>
      <c r="AI108" s="69">
        <f t="shared" si="51"/>
        <v>0</v>
      </c>
      <c r="AJ108" s="69">
        <f t="shared" si="51"/>
        <v>0</v>
      </c>
      <c r="AK108" s="69">
        <f t="shared" si="51"/>
        <v>0</v>
      </c>
      <c r="AL108" s="69">
        <f t="shared" si="51"/>
        <v>0</v>
      </c>
      <c r="AM108" s="69">
        <f t="shared" si="51"/>
        <v>0</v>
      </c>
      <c r="AN108" s="69">
        <f t="shared" si="51"/>
        <v>0</v>
      </c>
      <c r="AO108" s="80"/>
      <c r="AP108" s="70">
        <f>AP105*12</f>
        <v>804</v>
      </c>
      <c r="AR108" s="8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CB108" s="82"/>
      <c r="CC108" s="82"/>
      <c r="DF108" s="82"/>
      <c r="EN108" s="64"/>
      <c r="EO108" s="82"/>
      <c r="EP108" s="82"/>
      <c r="EQ108" s="82"/>
      <c r="ER108" s="82"/>
      <c r="GU108" s="82"/>
      <c r="KP108" s="82"/>
      <c r="KQ108" s="82"/>
      <c r="KR108" s="82"/>
      <c r="KS108" s="82"/>
      <c r="PW108" s="82"/>
      <c r="PX108" s="82"/>
      <c r="PZ108" s="82"/>
      <c r="QN108" s="88"/>
      <c r="QR108" s="82"/>
      <c r="SU108" s="88"/>
      <c r="AID108" s="72"/>
      <c r="AJS108" s="72"/>
      <c r="AJT108" s="72"/>
      <c r="AJU108" s="72"/>
    </row>
    <row r="109" spans="6:957" x14ac:dyDescent="0.3">
      <c r="F109" s="107"/>
      <c r="G109" s="17" t="s">
        <v>126</v>
      </c>
      <c r="H109" s="119"/>
      <c r="I109" s="174" t="s">
        <v>116</v>
      </c>
      <c r="J109" s="69">
        <f t="shared" ref="J109:AN109" si="52">J106*6</f>
        <v>0</v>
      </c>
      <c r="K109" s="69">
        <f t="shared" si="52"/>
        <v>0</v>
      </c>
      <c r="L109" s="69">
        <f t="shared" si="52"/>
        <v>0</v>
      </c>
      <c r="M109" s="69">
        <f t="shared" si="52"/>
        <v>0</v>
      </c>
      <c r="N109" s="69">
        <f t="shared" si="52"/>
        <v>0</v>
      </c>
      <c r="O109" s="69">
        <f t="shared" si="52"/>
        <v>0</v>
      </c>
      <c r="P109" s="69">
        <f t="shared" si="52"/>
        <v>0</v>
      </c>
      <c r="Q109" s="69">
        <f t="shared" si="52"/>
        <v>0</v>
      </c>
      <c r="R109" s="69">
        <f t="shared" si="52"/>
        <v>0</v>
      </c>
      <c r="S109" s="69">
        <f t="shared" si="52"/>
        <v>0</v>
      </c>
      <c r="T109" s="69">
        <f t="shared" si="52"/>
        <v>0</v>
      </c>
      <c r="U109" s="69">
        <f t="shared" si="52"/>
        <v>0</v>
      </c>
      <c r="V109" s="69">
        <f t="shared" si="52"/>
        <v>630</v>
      </c>
      <c r="W109" s="69">
        <f t="shared" si="52"/>
        <v>0</v>
      </c>
      <c r="X109" s="69">
        <f t="shared" si="52"/>
        <v>0</v>
      </c>
      <c r="Y109" s="69">
        <f t="shared" si="52"/>
        <v>0</v>
      </c>
      <c r="Z109" s="69">
        <f t="shared" si="52"/>
        <v>0</v>
      </c>
      <c r="AA109" s="69">
        <f t="shared" si="52"/>
        <v>0</v>
      </c>
      <c r="AB109" s="69">
        <f t="shared" si="52"/>
        <v>0</v>
      </c>
      <c r="AC109" s="69">
        <f t="shared" si="52"/>
        <v>0</v>
      </c>
      <c r="AD109" s="69">
        <f t="shared" si="52"/>
        <v>0</v>
      </c>
      <c r="AE109" s="69">
        <f t="shared" si="52"/>
        <v>0</v>
      </c>
      <c r="AF109" s="69">
        <f>AF106*6</f>
        <v>0</v>
      </c>
      <c r="AG109" s="69">
        <f>AG106*6</f>
        <v>360</v>
      </c>
      <c r="AH109" s="69">
        <f t="shared" si="52"/>
        <v>0</v>
      </c>
      <c r="AI109" s="69">
        <f t="shared" si="52"/>
        <v>0</v>
      </c>
      <c r="AJ109" s="69">
        <f t="shared" si="52"/>
        <v>0</v>
      </c>
      <c r="AK109" s="69">
        <f t="shared" si="52"/>
        <v>0</v>
      </c>
      <c r="AL109" s="69">
        <f t="shared" si="52"/>
        <v>0</v>
      </c>
      <c r="AM109" s="69">
        <f t="shared" si="52"/>
        <v>0</v>
      </c>
      <c r="AN109" s="69">
        <f t="shared" si="52"/>
        <v>0</v>
      </c>
      <c r="AO109" s="80"/>
      <c r="AP109" s="70">
        <f>AP106*6</f>
        <v>990</v>
      </c>
      <c r="AR109" s="8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CB109" s="82"/>
      <c r="CC109" s="82"/>
      <c r="DF109" s="82"/>
      <c r="EN109" s="64"/>
      <c r="EO109" s="82"/>
      <c r="EP109" s="82"/>
      <c r="EQ109" s="82"/>
      <c r="ER109" s="82"/>
      <c r="GU109" s="82"/>
      <c r="KP109" s="82"/>
      <c r="KQ109" s="82"/>
      <c r="KR109" s="82"/>
      <c r="KS109" s="82"/>
      <c r="PW109" s="82"/>
      <c r="PX109" s="82"/>
      <c r="PZ109" s="82"/>
      <c r="QN109" s="88"/>
      <c r="QR109" s="82"/>
      <c r="SU109" s="88"/>
      <c r="AID109" s="72"/>
      <c r="AJS109" s="72"/>
      <c r="AJT109" s="72"/>
      <c r="AJU109" s="72"/>
    </row>
    <row r="110" spans="6:957" x14ac:dyDescent="0.3">
      <c r="F110" s="107"/>
      <c r="G110" s="233" t="s">
        <v>117</v>
      </c>
      <c r="H110" s="119"/>
      <c r="I110" s="174" t="s">
        <v>118</v>
      </c>
      <c r="J110" s="69">
        <v>0</v>
      </c>
      <c r="K110" s="69">
        <f>(K101*45)/1700</f>
        <v>0</v>
      </c>
      <c r="L110" s="69">
        <f t="shared" ref="L110:AC110" si="53">(L101*45)/1700</f>
        <v>0</v>
      </c>
      <c r="M110" s="69">
        <f t="shared" si="53"/>
        <v>0</v>
      </c>
      <c r="N110" s="69">
        <f t="shared" si="53"/>
        <v>0</v>
      </c>
      <c r="O110" s="69">
        <f t="shared" si="53"/>
        <v>0</v>
      </c>
      <c r="P110" s="69">
        <f t="shared" si="53"/>
        <v>0</v>
      </c>
      <c r="Q110" s="69">
        <f t="shared" si="53"/>
        <v>0</v>
      </c>
      <c r="R110" s="69">
        <f t="shared" si="53"/>
        <v>0</v>
      </c>
      <c r="S110" s="69">
        <f t="shared" si="53"/>
        <v>0</v>
      </c>
      <c r="T110" s="69">
        <f t="shared" si="53"/>
        <v>0</v>
      </c>
      <c r="U110" s="69">
        <f t="shared" si="53"/>
        <v>0</v>
      </c>
      <c r="V110" s="69">
        <f t="shared" si="53"/>
        <v>49.444941176470593</v>
      </c>
      <c r="W110" s="69">
        <f t="shared" si="53"/>
        <v>0</v>
      </c>
      <c r="X110" s="69">
        <f t="shared" si="53"/>
        <v>0</v>
      </c>
      <c r="Y110" s="69">
        <f t="shared" si="53"/>
        <v>0</v>
      </c>
      <c r="Z110" s="69">
        <f t="shared" si="53"/>
        <v>0</v>
      </c>
      <c r="AA110" s="69">
        <f t="shared" si="53"/>
        <v>0</v>
      </c>
      <c r="AB110" s="69">
        <f t="shared" si="53"/>
        <v>0</v>
      </c>
      <c r="AC110" s="69">
        <f t="shared" si="53"/>
        <v>0</v>
      </c>
      <c r="AD110" s="69">
        <f t="shared" ref="AD110:AN110" si="54">AD101*45/1700</f>
        <v>0</v>
      </c>
      <c r="AE110" s="69">
        <f t="shared" si="54"/>
        <v>0</v>
      </c>
      <c r="AF110" s="69">
        <f t="shared" si="54"/>
        <v>0</v>
      </c>
      <c r="AG110" s="255">
        <f t="shared" si="54"/>
        <v>17.296147058823529</v>
      </c>
      <c r="AH110" s="69">
        <f t="shared" si="54"/>
        <v>0</v>
      </c>
      <c r="AI110" s="69">
        <f t="shared" si="54"/>
        <v>0</v>
      </c>
      <c r="AJ110" s="69">
        <f t="shared" si="54"/>
        <v>0</v>
      </c>
      <c r="AK110" s="69">
        <f t="shared" si="54"/>
        <v>0</v>
      </c>
      <c r="AL110" s="69">
        <f t="shared" si="54"/>
        <v>0</v>
      </c>
      <c r="AM110" s="69">
        <f t="shared" si="54"/>
        <v>0</v>
      </c>
      <c r="AN110" s="69">
        <f t="shared" si="54"/>
        <v>0</v>
      </c>
      <c r="AO110" s="80"/>
      <c r="AP110" s="256">
        <f>SUM(J110:AN110)</f>
        <v>66.741088235294114</v>
      </c>
      <c r="AR110" s="8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CB110" s="82"/>
      <c r="CC110" s="82"/>
      <c r="DF110" s="82"/>
      <c r="EN110" s="64"/>
      <c r="EO110" s="82"/>
      <c r="EP110" s="82"/>
      <c r="EQ110" s="82"/>
      <c r="ER110" s="82"/>
      <c r="GU110" s="82"/>
      <c r="KP110" s="82"/>
      <c r="KQ110" s="82"/>
      <c r="KR110" s="82"/>
      <c r="KS110" s="82"/>
      <c r="PW110" s="82"/>
      <c r="PX110" s="82"/>
      <c r="PZ110" s="82"/>
      <c r="QN110" s="88"/>
      <c r="QR110" s="82"/>
      <c r="SU110" s="88"/>
      <c r="AID110" s="72"/>
      <c r="AJS110" s="72"/>
      <c r="AJT110" s="72"/>
      <c r="AJU110" s="72"/>
    </row>
    <row r="111" spans="6:957" x14ac:dyDescent="0.3">
      <c r="F111" s="107"/>
      <c r="G111" s="233" t="s">
        <v>119</v>
      </c>
      <c r="H111" s="119"/>
      <c r="I111" s="174" t="s">
        <v>120</v>
      </c>
      <c r="J111" s="69">
        <f t="shared" ref="J111:AL111" si="55">SUM(J105:J106)/500</f>
        <v>0</v>
      </c>
      <c r="K111" s="69">
        <f t="shared" si="55"/>
        <v>0</v>
      </c>
      <c r="L111" s="69">
        <f t="shared" si="55"/>
        <v>0</v>
      </c>
      <c r="M111" s="69">
        <f t="shared" si="55"/>
        <v>0</v>
      </c>
      <c r="N111" s="69">
        <f t="shared" si="55"/>
        <v>0</v>
      </c>
      <c r="O111" s="69">
        <f t="shared" si="55"/>
        <v>0</v>
      </c>
      <c r="P111" s="69">
        <f t="shared" si="55"/>
        <v>0</v>
      </c>
      <c r="Q111" s="69">
        <f t="shared" si="55"/>
        <v>0</v>
      </c>
      <c r="R111" s="69">
        <f t="shared" si="55"/>
        <v>0</v>
      </c>
      <c r="S111" s="69">
        <f t="shared" si="55"/>
        <v>0</v>
      </c>
      <c r="T111" s="69">
        <f t="shared" si="55"/>
        <v>0</v>
      </c>
      <c r="U111" s="69">
        <f t="shared" si="55"/>
        <v>0</v>
      </c>
      <c r="V111" s="69">
        <f t="shared" si="55"/>
        <v>0.34399999999999997</v>
      </c>
      <c r="W111" s="69">
        <f t="shared" si="55"/>
        <v>0</v>
      </c>
      <c r="X111" s="69">
        <f t="shared" si="55"/>
        <v>0</v>
      </c>
      <c r="Y111" s="69">
        <f t="shared" si="55"/>
        <v>0</v>
      </c>
      <c r="Z111" s="69">
        <f t="shared" si="55"/>
        <v>0</v>
      </c>
      <c r="AA111" s="69">
        <f t="shared" si="55"/>
        <v>0</v>
      </c>
      <c r="AB111" s="69">
        <f t="shared" si="55"/>
        <v>0</v>
      </c>
      <c r="AC111" s="69">
        <f t="shared" si="55"/>
        <v>0</v>
      </c>
      <c r="AD111" s="69">
        <f t="shared" ref="AD111" si="56">SUM(AD105:AD106)/500</f>
        <v>0</v>
      </c>
      <c r="AE111" s="69">
        <f t="shared" si="55"/>
        <v>0</v>
      </c>
      <c r="AF111" s="69">
        <f t="shared" si="55"/>
        <v>0</v>
      </c>
      <c r="AG111" s="169">
        <f t="shared" si="55"/>
        <v>0.12</v>
      </c>
      <c r="AH111" s="69">
        <f t="shared" si="55"/>
        <v>0</v>
      </c>
      <c r="AI111" s="69">
        <f t="shared" ref="AI111:AK111" si="57">SUM(AI105:AI106)/500</f>
        <v>0</v>
      </c>
      <c r="AJ111" s="69">
        <f t="shared" si="57"/>
        <v>0</v>
      </c>
      <c r="AK111" s="69">
        <f t="shared" si="57"/>
        <v>0</v>
      </c>
      <c r="AL111" s="69">
        <f t="shared" si="55"/>
        <v>0</v>
      </c>
      <c r="AM111" s="257">
        <f t="shared" ref="AM111:AN111" si="58">SUM(AM105:AM106)/500</f>
        <v>0</v>
      </c>
      <c r="AN111" s="257">
        <f t="shared" si="58"/>
        <v>0</v>
      </c>
      <c r="AO111" s="80"/>
      <c r="AP111" s="256">
        <f>SUM(J111:AN111)</f>
        <v>0.46399999999999997</v>
      </c>
      <c r="AR111" s="8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CB111" s="82"/>
      <c r="CC111" s="82"/>
      <c r="DF111" s="82"/>
      <c r="EN111" s="64"/>
      <c r="EO111" s="82"/>
      <c r="EP111" s="82"/>
      <c r="EQ111" s="82"/>
      <c r="ER111" s="82"/>
      <c r="GU111" s="82"/>
      <c r="KP111" s="82"/>
      <c r="KQ111" s="82"/>
      <c r="KR111" s="82"/>
      <c r="KS111" s="82"/>
      <c r="PW111" s="82"/>
      <c r="PX111" s="82"/>
      <c r="PZ111" s="82"/>
      <c r="QN111" s="88"/>
      <c r="QR111" s="82"/>
      <c r="SU111" s="88"/>
      <c r="AID111" s="72"/>
      <c r="AJS111" s="72"/>
      <c r="AJT111" s="72"/>
      <c r="AJU111" s="72"/>
    </row>
    <row r="112" spans="6:957" x14ac:dyDescent="0.3">
      <c r="F112" s="56"/>
      <c r="G112" s="12" t="s">
        <v>121</v>
      </c>
      <c r="H112" s="47"/>
      <c r="I112" s="47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9"/>
      <c r="AH112" s="48"/>
      <c r="AI112" s="48"/>
      <c r="AJ112" s="48"/>
      <c r="AK112" s="48"/>
      <c r="AL112" s="48"/>
      <c r="AM112" s="48"/>
      <c r="AN112" s="48"/>
      <c r="AO112" s="7"/>
      <c r="AP112" s="166" t="s">
        <v>122</v>
      </c>
      <c r="AR112" s="6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CB112" s="72"/>
      <c r="CC112" s="72"/>
      <c r="DF112" s="72"/>
      <c r="EN112" s="64"/>
      <c r="EO112" s="72"/>
      <c r="EP112" s="72"/>
      <c r="EQ112" s="72"/>
      <c r="ER112" s="72"/>
      <c r="GU112" s="72"/>
      <c r="KP112" s="72"/>
      <c r="KQ112" s="72"/>
      <c r="KR112" s="72"/>
      <c r="KS112" s="72"/>
      <c r="PW112" s="72"/>
      <c r="PX112" s="72"/>
      <c r="PZ112" s="72"/>
      <c r="QN112" s="127"/>
      <c r="QR112" s="72"/>
      <c r="SU112" s="127"/>
      <c r="AID112" s="72"/>
      <c r="AJS112" s="72"/>
      <c r="AJT112" s="72"/>
      <c r="AJU112" s="72"/>
    </row>
    <row r="113" spans="6:957" x14ac:dyDescent="0.3">
      <c r="F113" s="107"/>
      <c r="G113" s="233" t="s">
        <v>112</v>
      </c>
      <c r="H113" s="119"/>
      <c r="I113" s="107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80"/>
      <c r="AP113" s="122" t="s">
        <v>112</v>
      </c>
      <c r="AR113" s="81"/>
      <c r="CB113" s="82"/>
      <c r="CC113" s="82"/>
      <c r="DF113" s="82"/>
      <c r="EN113" s="64"/>
      <c r="EO113" s="82"/>
      <c r="EP113" s="82"/>
      <c r="EQ113" s="82"/>
      <c r="ER113" s="82"/>
      <c r="GU113" s="82"/>
      <c r="KP113" s="82"/>
      <c r="KQ113" s="82"/>
      <c r="KR113" s="82"/>
      <c r="KS113" s="82"/>
      <c r="PW113" s="82"/>
      <c r="PX113" s="82"/>
      <c r="PZ113" s="82"/>
      <c r="QN113" s="88"/>
      <c r="QR113" s="82"/>
      <c r="SU113" s="88"/>
      <c r="AID113" s="72"/>
      <c r="AJS113" s="72"/>
      <c r="AJT113" s="72"/>
      <c r="AJU113" s="72"/>
    </row>
    <row r="114" spans="6:957" x14ac:dyDescent="0.3">
      <c r="F114" s="107"/>
      <c r="G114" s="17" t="s">
        <v>125</v>
      </c>
      <c r="H114" s="119"/>
      <c r="I114" s="174" t="s">
        <v>114</v>
      </c>
      <c r="J114" s="238">
        <v>0</v>
      </c>
      <c r="K114" s="238">
        <v>0</v>
      </c>
      <c r="L114" s="238">
        <v>0</v>
      </c>
      <c r="M114" s="238">
        <v>0</v>
      </c>
      <c r="N114" s="238">
        <v>0</v>
      </c>
      <c r="O114" s="238">
        <v>0</v>
      </c>
      <c r="P114" s="238">
        <v>0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0</v>
      </c>
      <c r="Z114" s="238">
        <v>0</v>
      </c>
      <c r="AA114" s="238">
        <v>0</v>
      </c>
      <c r="AB114" s="238">
        <v>0</v>
      </c>
      <c r="AC114" s="238">
        <v>0</v>
      </c>
      <c r="AD114" s="238">
        <v>0</v>
      </c>
      <c r="AE114" s="238">
        <v>0</v>
      </c>
      <c r="AF114" s="238">
        <v>0</v>
      </c>
      <c r="AG114" s="238">
        <v>0</v>
      </c>
      <c r="AH114" s="238">
        <v>0</v>
      </c>
      <c r="AI114" s="238">
        <v>0</v>
      </c>
      <c r="AJ114" s="238">
        <v>0</v>
      </c>
      <c r="AK114" s="238">
        <v>0</v>
      </c>
      <c r="AL114" s="238">
        <v>0</v>
      </c>
      <c r="AM114" s="238">
        <v>0</v>
      </c>
      <c r="AN114" s="238">
        <v>0</v>
      </c>
      <c r="AO114" s="80"/>
      <c r="AP114" s="70">
        <f>SUM(J114:AN114)</f>
        <v>0</v>
      </c>
      <c r="AR114" s="81"/>
      <c r="CB114" s="82"/>
      <c r="CC114" s="82"/>
      <c r="DF114" s="82"/>
      <c r="EN114" s="64"/>
      <c r="EO114" s="82"/>
      <c r="EP114" s="82"/>
      <c r="EQ114" s="82"/>
      <c r="ER114" s="82"/>
      <c r="GU114" s="82"/>
      <c r="KP114" s="82"/>
      <c r="KQ114" s="82"/>
      <c r="KR114" s="82"/>
      <c r="KS114" s="82"/>
      <c r="PW114" s="82"/>
      <c r="PX114" s="82"/>
      <c r="PZ114" s="82"/>
      <c r="QN114" s="88"/>
      <c r="QR114" s="82"/>
      <c r="SU114" s="88"/>
      <c r="AID114" s="72"/>
      <c r="AJS114" s="72"/>
      <c r="AJT114" s="72"/>
      <c r="AJU114" s="72"/>
    </row>
    <row r="115" spans="6:957" x14ac:dyDescent="0.3">
      <c r="F115" s="107"/>
      <c r="G115" s="17" t="s">
        <v>126</v>
      </c>
      <c r="H115" s="119"/>
      <c r="I115" s="174" t="s">
        <v>114</v>
      </c>
      <c r="J115" s="238">
        <v>0</v>
      </c>
      <c r="K115" s="238">
        <v>0</v>
      </c>
      <c r="L115" s="238">
        <v>0</v>
      </c>
      <c r="M115" s="238">
        <v>0</v>
      </c>
      <c r="N115" s="238">
        <v>0</v>
      </c>
      <c r="O115" s="238">
        <v>0</v>
      </c>
      <c r="P115" s="238">
        <v>0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0</v>
      </c>
      <c r="Z115" s="238">
        <v>0</v>
      </c>
      <c r="AA115" s="238">
        <v>0</v>
      </c>
      <c r="AB115" s="238">
        <v>0</v>
      </c>
      <c r="AC115" s="238">
        <v>0</v>
      </c>
      <c r="AD115" s="238">
        <v>0</v>
      </c>
      <c r="AE115" s="238">
        <v>0</v>
      </c>
      <c r="AF115" s="238">
        <v>0</v>
      </c>
      <c r="AG115" s="238">
        <v>0</v>
      </c>
      <c r="AH115" s="238">
        <v>0</v>
      </c>
      <c r="AI115" s="238">
        <v>0</v>
      </c>
      <c r="AJ115" s="238">
        <v>0</v>
      </c>
      <c r="AK115" s="238">
        <v>0</v>
      </c>
      <c r="AL115" s="238">
        <v>0</v>
      </c>
      <c r="AM115" s="238">
        <v>0</v>
      </c>
      <c r="AN115" s="238">
        <v>0</v>
      </c>
      <c r="AO115" s="80"/>
      <c r="AP115" s="70">
        <f>SUM(J115:AN115)</f>
        <v>0</v>
      </c>
      <c r="AR115" s="81"/>
      <c r="CB115" s="82"/>
      <c r="CC115" s="82"/>
      <c r="DF115" s="82"/>
      <c r="EN115" s="64"/>
      <c r="EO115" s="82"/>
      <c r="EP115" s="82"/>
      <c r="EQ115" s="82"/>
      <c r="ER115" s="82"/>
      <c r="GU115" s="82"/>
      <c r="KP115" s="82"/>
      <c r="KQ115" s="82"/>
      <c r="KR115" s="82"/>
      <c r="KS115" s="82"/>
      <c r="PW115" s="82"/>
      <c r="PX115" s="82"/>
      <c r="PZ115" s="82"/>
      <c r="QN115" s="88"/>
      <c r="QR115" s="82"/>
      <c r="SU115" s="88"/>
      <c r="AID115" s="72"/>
      <c r="AJS115" s="72"/>
      <c r="AJT115" s="72"/>
      <c r="AJU115" s="72"/>
    </row>
    <row r="116" spans="6:957" x14ac:dyDescent="0.3">
      <c r="F116" s="107"/>
      <c r="G116" s="233" t="s">
        <v>116</v>
      </c>
      <c r="H116" s="119"/>
      <c r="I116" s="107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80"/>
      <c r="AP116" s="122" t="s">
        <v>116</v>
      </c>
      <c r="AR116" s="81"/>
      <c r="CB116" s="82"/>
      <c r="CC116" s="82"/>
      <c r="DF116" s="82"/>
      <c r="EN116" s="64"/>
      <c r="EO116" s="82"/>
      <c r="EP116" s="82"/>
      <c r="EQ116" s="82"/>
      <c r="ER116" s="82"/>
      <c r="GU116" s="82"/>
      <c r="KP116" s="82"/>
      <c r="KQ116" s="82"/>
      <c r="KR116" s="82"/>
      <c r="KS116" s="82"/>
      <c r="PW116" s="82"/>
      <c r="PX116" s="82"/>
      <c r="PZ116" s="82"/>
      <c r="QN116" s="88"/>
      <c r="QR116" s="82"/>
      <c r="SU116" s="88"/>
      <c r="AID116" s="72"/>
      <c r="AJS116" s="72"/>
      <c r="AJT116" s="72"/>
      <c r="AJU116" s="72"/>
    </row>
    <row r="117" spans="6:957" x14ac:dyDescent="0.3">
      <c r="F117" s="107"/>
      <c r="G117" s="17" t="s">
        <v>125</v>
      </c>
      <c r="H117" s="119"/>
      <c r="I117" s="174" t="s">
        <v>116</v>
      </c>
      <c r="J117" s="238">
        <v>0</v>
      </c>
      <c r="K117" s="238">
        <v>0</v>
      </c>
      <c r="L117" s="238">
        <v>0</v>
      </c>
      <c r="M117" s="238">
        <v>0</v>
      </c>
      <c r="N117" s="238">
        <v>0</v>
      </c>
      <c r="O117" s="238">
        <v>0</v>
      </c>
      <c r="P117" s="238">
        <v>0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0</v>
      </c>
      <c r="W117" s="238">
        <v>0</v>
      </c>
      <c r="X117" s="238">
        <v>0</v>
      </c>
      <c r="Y117" s="238">
        <v>0</v>
      </c>
      <c r="Z117" s="238">
        <v>0</v>
      </c>
      <c r="AA117" s="238">
        <v>0</v>
      </c>
      <c r="AB117" s="238">
        <v>0</v>
      </c>
      <c r="AC117" s="238">
        <v>0</v>
      </c>
      <c r="AD117" s="238">
        <v>0</v>
      </c>
      <c r="AE117" s="238">
        <v>0</v>
      </c>
      <c r="AF117" s="238">
        <v>0</v>
      </c>
      <c r="AG117" s="238">
        <v>0</v>
      </c>
      <c r="AH117" s="238">
        <v>0</v>
      </c>
      <c r="AI117" s="238">
        <v>0</v>
      </c>
      <c r="AJ117" s="238">
        <v>0</v>
      </c>
      <c r="AK117" s="238">
        <v>0</v>
      </c>
      <c r="AL117" s="238">
        <v>0</v>
      </c>
      <c r="AM117" s="238">
        <v>0</v>
      </c>
      <c r="AN117" s="238">
        <v>0</v>
      </c>
      <c r="AO117" s="80"/>
      <c r="AP117" s="70">
        <f>SUM(J117:AN117)</f>
        <v>0</v>
      </c>
      <c r="AR117" s="81"/>
      <c r="CB117" s="82"/>
      <c r="CC117" s="82"/>
      <c r="DF117" s="82"/>
      <c r="EN117" s="64"/>
      <c r="EO117" s="82"/>
      <c r="EP117" s="82"/>
      <c r="EQ117" s="82"/>
      <c r="ER117" s="82"/>
      <c r="GU117" s="82"/>
      <c r="KP117" s="82"/>
      <c r="KQ117" s="82"/>
      <c r="KR117" s="82"/>
      <c r="KS117" s="82"/>
      <c r="PW117" s="82"/>
      <c r="PX117" s="82"/>
      <c r="PZ117" s="82"/>
      <c r="QN117" s="88"/>
      <c r="QR117" s="82"/>
      <c r="SU117" s="88"/>
      <c r="AID117" s="72"/>
      <c r="AJS117" s="72"/>
      <c r="AJT117" s="72"/>
      <c r="AJU117" s="72"/>
    </row>
    <row r="118" spans="6:957" x14ac:dyDescent="0.3">
      <c r="F118" s="107"/>
      <c r="G118" s="17" t="s">
        <v>126</v>
      </c>
      <c r="H118" s="119"/>
      <c r="I118" s="174" t="s">
        <v>116</v>
      </c>
      <c r="J118" s="238">
        <v>0</v>
      </c>
      <c r="K118" s="238">
        <v>0</v>
      </c>
      <c r="L118" s="238">
        <v>0</v>
      </c>
      <c r="M118" s="238">
        <v>0</v>
      </c>
      <c r="N118" s="238">
        <v>0</v>
      </c>
      <c r="O118" s="238">
        <v>0</v>
      </c>
      <c r="P118" s="238">
        <v>0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0</v>
      </c>
      <c r="AA118" s="238">
        <v>0</v>
      </c>
      <c r="AB118" s="238">
        <v>0</v>
      </c>
      <c r="AC118" s="238">
        <v>0</v>
      </c>
      <c r="AD118" s="238">
        <v>0</v>
      </c>
      <c r="AE118" s="238">
        <v>0</v>
      </c>
      <c r="AF118" s="238">
        <v>0</v>
      </c>
      <c r="AG118" s="238">
        <v>0</v>
      </c>
      <c r="AH118" s="238">
        <v>0</v>
      </c>
      <c r="AI118" s="238">
        <v>0</v>
      </c>
      <c r="AJ118" s="238">
        <v>0</v>
      </c>
      <c r="AK118" s="238">
        <v>0</v>
      </c>
      <c r="AL118" s="238">
        <v>0</v>
      </c>
      <c r="AM118" s="238">
        <v>0</v>
      </c>
      <c r="AN118" s="238">
        <v>0</v>
      </c>
      <c r="AO118" s="80"/>
      <c r="AP118" s="70">
        <f>SUM(J118:AN118)</f>
        <v>0</v>
      </c>
      <c r="AR118" s="81"/>
      <c r="CB118" s="82"/>
      <c r="CC118" s="82"/>
      <c r="DF118" s="82"/>
      <c r="EN118" s="64"/>
      <c r="EO118" s="82"/>
      <c r="EP118" s="82"/>
      <c r="EQ118" s="82"/>
      <c r="ER118" s="82"/>
      <c r="GU118" s="82"/>
      <c r="KP118" s="82"/>
      <c r="KQ118" s="82"/>
      <c r="KR118" s="82"/>
      <c r="KS118" s="82"/>
      <c r="PW118" s="82"/>
      <c r="PX118" s="82"/>
      <c r="PZ118" s="82"/>
      <c r="QN118" s="88"/>
      <c r="QR118" s="82"/>
      <c r="SU118" s="88"/>
      <c r="AID118" s="72"/>
      <c r="AJS118" s="72"/>
      <c r="AJT118" s="72"/>
      <c r="AJU118" s="72"/>
    </row>
    <row r="119" spans="6:957" ht="15" hidden="1" customHeight="1" x14ac:dyDescent="0.3">
      <c r="F119" s="56"/>
      <c r="G119" s="12" t="s">
        <v>123</v>
      </c>
      <c r="H119" s="47"/>
      <c r="I119" s="47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9"/>
      <c r="AH119" s="48"/>
      <c r="AI119" s="48"/>
      <c r="AJ119" s="48"/>
      <c r="AK119" s="48"/>
      <c r="AL119" s="48"/>
      <c r="AM119" s="48"/>
      <c r="AN119" s="48"/>
      <c r="AO119" s="7"/>
      <c r="AP119" s="166" t="s">
        <v>122</v>
      </c>
      <c r="AR119" s="6"/>
      <c r="CB119" s="72"/>
      <c r="CC119" s="72"/>
      <c r="DF119" s="72"/>
      <c r="EN119" s="64"/>
      <c r="EO119" s="72"/>
      <c r="EP119" s="72"/>
      <c r="EQ119" s="72"/>
      <c r="ER119" s="72"/>
      <c r="GU119" s="72"/>
      <c r="KP119" s="72"/>
      <c r="KQ119" s="72"/>
      <c r="KR119" s="72"/>
      <c r="KS119" s="72"/>
      <c r="PW119" s="72"/>
      <c r="PX119" s="72"/>
      <c r="PZ119" s="72"/>
      <c r="QN119" s="127"/>
      <c r="QR119" s="72"/>
      <c r="SU119" s="127"/>
      <c r="AID119" s="72"/>
      <c r="AJS119" s="72"/>
      <c r="AJT119" s="72"/>
      <c r="AJU119" s="72"/>
    </row>
    <row r="120" spans="6:957" ht="15" hidden="1" customHeight="1" x14ac:dyDescent="0.3">
      <c r="F120" s="107"/>
      <c r="G120" s="233" t="s">
        <v>112</v>
      </c>
      <c r="H120" s="119"/>
      <c r="I120" s="107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80"/>
      <c r="AP120" s="122" t="s">
        <v>112</v>
      </c>
      <c r="AR120" s="81"/>
      <c r="CB120" s="82"/>
      <c r="CC120" s="82"/>
      <c r="DF120" s="82"/>
      <c r="EN120" s="64"/>
      <c r="EO120" s="82"/>
      <c r="EP120" s="82"/>
      <c r="EQ120" s="82"/>
      <c r="ER120" s="82"/>
      <c r="GU120" s="82"/>
      <c r="KP120" s="82"/>
      <c r="KQ120" s="82"/>
      <c r="KR120" s="82"/>
      <c r="KS120" s="82"/>
      <c r="PW120" s="82"/>
      <c r="PX120" s="82"/>
      <c r="PZ120" s="82"/>
      <c r="QN120" s="88"/>
      <c r="QR120" s="82"/>
      <c r="SU120" s="88"/>
      <c r="AID120" s="72"/>
      <c r="AJS120" s="72"/>
      <c r="AJT120" s="72"/>
      <c r="AJU120" s="72"/>
    </row>
    <row r="121" spans="6:957" ht="15" hidden="1" customHeight="1" x14ac:dyDescent="0.3">
      <c r="F121" s="107"/>
      <c r="G121" s="17" t="s">
        <v>125</v>
      </c>
      <c r="H121" s="106">
        <v>0.3</v>
      </c>
      <c r="I121" s="174" t="s">
        <v>13</v>
      </c>
      <c r="J121" s="169" t="e">
        <f t="shared" ref="J121:AN122" si="59">J114/J105*100</f>
        <v>#DIV/0!</v>
      </c>
      <c r="K121" s="169" t="e">
        <f t="shared" si="59"/>
        <v>#DIV/0!</v>
      </c>
      <c r="L121" s="169" t="e">
        <f t="shared" si="59"/>
        <v>#DIV/0!</v>
      </c>
      <c r="M121" s="169" t="e">
        <f t="shared" si="59"/>
        <v>#DIV/0!</v>
      </c>
      <c r="N121" s="169" t="e">
        <f t="shared" si="59"/>
        <v>#DIV/0!</v>
      </c>
      <c r="O121" s="169" t="e">
        <f t="shared" si="59"/>
        <v>#DIV/0!</v>
      </c>
      <c r="P121" s="169" t="e">
        <f t="shared" si="59"/>
        <v>#DIV/0!</v>
      </c>
      <c r="Q121" s="169" t="e">
        <f t="shared" si="59"/>
        <v>#DIV/0!</v>
      </c>
      <c r="R121" s="169" t="e">
        <f t="shared" si="59"/>
        <v>#DIV/0!</v>
      </c>
      <c r="S121" s="169" t="e">
        <f t="shared" si="59"/>
        <v>#DIV/0!</v>
      </c>
      <c r="T121" s="169" t="e">
        <f t="shared" si="59"/>
        <v>#DIV/0!</v>
      </c>
      <c r="U121" s="169" t="e">
        <f t="shared" si="59"/>
        <v>#DIV/0!</v>
      </c>
      <c r="V121" s="169">
        <f t="shared" si="59"/>
        <v>0</v>
      </c>
      <c r="W121" s="169" t="e">
        <f t="shared" si="59"/>
        <v>#DIV/0!</v>
      </c>
      <c r="X121" s="169" t="e">
        <f t="shared" si="59"/>
        <v>#DIV/0!</v>
      </c>
      <c r="Y121" s="169" t="e">
        <f t="shared" si="59"/>
        <v>#DIV/0!</v>
      </c>
      <c r="Z121" s="169" t="e">
        <f t="shared" si="59"/>
        <v>#DIV/0!</v>
      </c>
      <c r="AA121" s="169" t="e">
        <f t="shared" si="59"/>
        <v>#DIV/0!</v>
      </c>
      <c r="AB121" s="169" t="e">
        <f t="shared" si="59"/>
        <v>#DIV/0!</v>
      </c>
      <c r="AC121" s="169" t="e">
        <f t="shared" si="59"/>
        <v>#DIV/0!</v>
      </c>
      <c r="AD121" s="169" t="e">
        <f t="shared" si="59"/>
        <v>#DIV/0!</v>
      </c>
      <c r="AE121" s="169" t="e">
        <f t="shared" si="59"/>
        <v>#DIV/0!</v>
      </c>
      <c r="AF121" s="169" t="e">
        <f t="shared" si="59"/>
        <v>#DIV/0!</v>
      </c>
      <c r="AG121" s="169" t="e">
        <f t="shared" si="59"/>
        <v>#DIV/0!</v>
      </c>
      <c r="AH121" s="169" t="e">
        <f t="shared" si="59"/>
        <v>#DIV/0!</v>
      </c>
      <c r="AI121" s="169" t="e">
        <f t="shared" si="59"/>
        <v>#DIV/0!</v>
      </c>
      <c r="AJ121" s="169" t="e">
        <f t="shared" si="59"/>
        <v>#DIV/0!</v>
      </c>
      <c r="AK121" s="169" t="e">
        <f t="shared" si="59"/>
        <v>#DIV/0!</v>
      </c>
      <c r="AL121" s="169" t="e">
        <f t="shared" si="59"/>
        <v>#DIV/0!</v>
      </c>
      <c r="AM121" s="169" t="e">
        <f t="shared" si="59"/>
        <v>#DIV/0!</v>
      </c>
      <c r="AN121" s="169" t="e">
        <f t="shared" si="59"/>
        <v>#DIV/0!</v>
      </c>
      <c r="AO121" s="80"/>
      <c r="AP121" s="97">
        <f>AP114/AP105*100</f>
        <v>0</v>
      </c>
      <c r="AR121" s="81"/>
      <c r="CB121" s="82"/>
      <c r="CC121" s="82"/>
      <c r="DF121" s="82"/>
      <c r="EN121" s="64"/>
      <c r="EO121" s="82"/>
      <c r="EP121" s="82"/>
      <c r="EQ121" s="82"/>
      <c r="ER121" s="82"/>
      <c r="GU121" s="82"/>
      <c r="KP121" s="82"/>
      <c r="KQ121" s="82"/>
      <c r="KR121" s="82"/>
      <c r="KS121" s="82"/>
      <c r="PW121" s="82"/>
      <c r="PX121" s="82"/>
      <c r="PZ121" s="82"/>
      <c r="QN121" s="88"/>
      <c r="QR121" s="82"/>
      <c r="SU121" s="88"/>
      <c r="AID121" s="72"/>
      <c r="AJS121" s="72"/>
      <c r="AJT121" s="72"/>
      <c r="AJU121" s="72"/>
    </row>
    <row r="122" spans="6:957" ht="15" hidden="1" customHeight="1" x14ac:dyDescent="0.3">
      <c r="F122" s="107"/>
      <c r="G122" s="17" t="s">
        <v>126</v>
      </c>
      <c r="H122" s="106">
        <v>0.3</v>
      </c>
      <c r="I122" s="174" t="s">
        <v>13</v>
      </c>
      <c r="J122" s="169" t="e">
        <f t="shared" si="59"/>
        <v>#DIV/0!</v>
      </c>
      <c r="K122" s="169" t="e">
        <f t="shared" si="59"/>
        <v>#DIV/0!</v>
      </c>
      <c r="L122" s="169" t="e">
        <f t="shared" si="59"/>
        <v>#DIV/0!</v>
      </c>
      <c r="M122" s="169" t="e">
        <f t="shared" si="59"/>
        <v>#DIV/0!</v>
      </c>
      <c r="N122" s="169" t="e">
        <f t="shared" si="59"/>
        <v>#DIV/0!</v>
      </c>
      <c r="O122" s="169" t="e">
        <f t="shared" si="59"/>
        <v>#DIV/0!</v>
      </c>
      <c r="P122" s="169" t="e">
        <f t="shared" si="59"/>
        <v>#DIV/0!</v>
      </c>
      <c r="Q122" s="169" t="e">
        <f t="shared" si="59"/>
        <v>#DIV/0!</v>
      </c>
      <c r="R122" s="169" t="e">
        <f t="shared" si="59"/>
        <v>#DIV/0!</v>
      </c>
      <c r="S122" s="169" t="e">
        <f t="shared" si="59"/>
        <v>#DIV/0!</v>
      </c>
      <c r="T122" s="169" t="e">
        <f t="shared" si="59"/>
        <v>#DIV/0!</v>
      </c>
      <c r="U122" s="169" t="e">
        <f t="shared" si="59"/>
        <v>#DIV/0!</v>
      </c>
      <c r="V122" s="169">
        <f t="shared" si="59"/>
        <v>0</v>
      </c>
      <c r="W122" s="169" t="e">
        <f t="shared" si="59"/>
        <v>#DIV/0!</v>
      </c>
      <c r="X122" s="169" t="e">
        <f t="shared" si="59"/>
        <v>#DIV/0!</v>
      </c>
      <c r="Y122" s="169" t="e">
        <f t="shared" si="59"/>
        <v>#DIV/0!</v>
      </c>
      <c r="Z122" s="169" t="e">
        <f t="shared" si="59"/>
        <v>#DIV/0!</v>
      </c>
      <c r="AA122" s="169" t="e">
        <f t="shared" si="59"/>
        <v>#DIV/0!</v>
      </c>
      <c r="AB122" s="169" t="e">
        <f t="shared" si="59"/>
        <v>#DIV/0!</v>
      </c>
      <c r="AC122" s="169" t="e">
        <f t="shared" si="59"/>
        <v>#DIV/0!</v>
      </c>
      <c r="AD122" s="169" t="e">
        <f t="shared" si="59"/>
        <v>#DIV/0!</v>
      </c>
      <c r="AE122" s="169" t="e">
        <f t="shared" si="59"/>
        <v>#DIV/0!</v>
      </c>
      <c r="AF122" s="169" t="e">
        <f t="shared" si="59"/>
        <v>#DIV/0!</v>
      </c>
      <c r="AG122" s="169">
        <f t="shared" si="59"/>
        <v>0</v>
      </c>
      <c r="AH122" s="169" t="e">
        <f t="shared" si="59"/>
        <v>#DIV/0!</v>
      </c>
      <c r="AI122" s="169" t="e">
        <f t="shared" si="59"/>
        <v>#DIV/0!</v>
      </c>
      <c r="AJ122" s="169" t="e">
        <f t="shared" si="59"/>
        <v>#DIV/0!</v>
      </c>
      <c r="AK122" s="169" t="e">
        <f t="shared" si="59"/>
        <v>#DIV/0!</v>
      </c>
      <c r="AL122" s="169" t="e">
        <f t="shared" si="59"/>
        <v>#DIV/0!</v>
      </c>
      <c r="AM122" s="169" t="e">
        <f t="shared" si="59"/>
        <v>#DIV/0!</v>
      </c>
      <c r="AN122" s="169" t="e">
        <f t="shared" si="59"/>
        <v>#DIV/0!</v>
      </c>
      <c r="AO122" s="80"/>
      <c r="AP122" s="97">
        <f>AP115/AP106*100</f>
        <v>0</v>
      </c>
      <c r="AR122" s="81"/>
      <c r="CB122" s="82"/>
      <c r="CC122" s="82"/>
      <c r="DF122" s="82"/>
      <c r="EN122" s="64"/>
      <c r="EO122" s="82"/>
      <c r="EP122" s="82"/>
      <c r="EQ122" s="82"/>
      <c r="ER122" s="82"/>
      <c r="GU122" s="82"/>
      <c r="KP122" s="82"/>
      <c r="KQ122" s="82"/>
      <c r="KR122" s="82"/>
      <c r="KS122" s="82"/>
      <c r="PW122" s="82"/>
      <c r="PX122" s="82"/>
      <c r="PZ122" s="82"/>
      <c r="QN122" s="88"/>
      <c r="QR122" s="82"/>
      <c r="SU122" s="88"/>
      <c r="AID122" s="72"/>
      <c r="AJS122" s="72"/>
      <c r="AJT122" s="72"/>
      <c r="AJU122" s="72"/>
    </row>
    <row r="123" spans="6:957" ht="15" hidden="1" customHeight="1" x14ac:dyDescent="0.3">
      <c r="F123" s="107"/>
      <c r="G123" s="233" t="s">
        <v>116</v>
      </c>
      <c r="H123" s="106"/>
      <c r="I123" s="107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80"/>
      <c r="AP123" s="122" t="s">
        <v>116</v>
      </c>
      <c r="AR123" s="81"/>
      <c r="CB123" s="82"/>
      <c r="CC123" s="82"/>
      <c r="DF123" s="82"/>
      <c r="EN123" s="64"/>
      <c r="EO123" s="82"/>
      <c r="EP123" s="82"/>
      <c r="EQ123" s="82"/>
      <c r="ER123" s="82"/>
      <c r="GU123" s="82"/>
      <c r="KP123" s="82"/>
      <c r="KQ123" s="82"/>
      <c r="KR123" s="82"/>
      <c r="KS123" s="82"/>
      <c r="PW123" s="82"/>
      <c r="PX123" s="82"/>
      <c r="PZ123" s="82"/>
      <c r="QN123" s="88"/>
      <c r="QR123" s="82"/>
      <c r="SU123" s="88"/>
      <c r="AID123" s="72"/>
      <c r="AJS123" s="72"/>
      <c r="AJT123" s="72"/>
      <c r="AJU123" s="72"/>
    </row>
    <row r="124" spans="6:957" ht="15" hidden="1" customHeight="1" x14ac:dyDescent="0.3">
      <c r="F124" s="107"/>
      <c r="G124" s="17" t="s">
        <v>125</v>
      </c>
      <c r="H124" s="106">
        <v>0.5</v>
      </c>
      <c r="I124" s="174" t="s">
        <v>13</v>
      </c>
      <c r="J124" s="169" t="e">
        <f t="shared" ref="J124:AN125" si="60">J117/J108*100</f>
        <v>#DIV/0!</v>
      </c>
      <c r="K124" s="169" t="e">
        <f t="shared" si="60"/>
        <v>#DIV/0!</v>
      </c>
      <c r="L124" s="169" t="e">
        <f t="shared" si="60"/>
        <v>#DIV/0!</v>
      </c>
      <c r="M124" s="169" t="e">
        <f t="shared" si="60"/>
        <v>#DIV/0!</v>
      </c>
      <c r="N124" s="169" t="e">
        <f t="shared" si="60"/>
        <v>#DIV/0!</v>
      </c>
      <c r="O124" s="169" t="e">
        <f t="shared" si="60"/>
        <v>#DIV/0!</v>
      </c>
      <c r="P124" s="169" t="e">
        <f t="shared" si="60"/>
        <v>#DIV/0!</v>
      </c>
      <c r="Q124" s="169" t="e">
        <f t="shared" si="60"/>
        <v>#DIV/0!</v>
      </c>
      <c r="R124" s="169" t="e">
        <f t="shared" si="60"/>
        <v>#DIV/0!</v>
      </c>
      <c r="S124" s="169" t="e">
        <f t="shared" si="60"/>
        <v>#DIV/0!</v>
      </c>
      <c r="T124" s="169" t="e">
        <f t="shared" si="60"/>
        <v>#DIV/0!</v>
      </c>
      <c r="U124" s="169" t="e">
        <f t="shared" si="60"/>
        <v>#DIV/0!</v>
      </c>
      <c r="V124" s="169">
        <f t="shared" si="60"/>
        <v>0</v>
      </c>
      <c r="W124" s="169" t="e">
        <f t="shared" si="60"/>
        <v>#DIV/0!</v>
      </c>
      <c r="X124" s="169" t="e">
        <f t="shared" si="60"/>
        <v>#DIV/0!</v>
      </c>
      <c r="Y124" s="169" t="e">
        <f t="shared" si="60"/>
        <v>#DIV/0!</v>
      </c>
      <c r="Z124" s="169" t="e">
        <f t="shared" si="60"/>
        <v>#DIV/0!</v>
      </c>
      <c r="AA124" s="169" t="e">
        <f t="shared" si="60"/>
        <v>#DIV/0!</v>
      </c>
      <c r="AB124" s="169" t="e">
        <f t="shared" si="60"/>
        <v>#DIV/0!</v>
      </c>
      <c r="AC124" s="169" t="e">
        <f t="shared" si="60"/>
        <v>#DIV/0!</v>
      </c>
      <c r="AD124" s="169" t="e">
        <f t="shared" si="60"/>
        <v>#DIV/0!</v>
      </c>
      <c r="AE124" s="169" t="e">
        <f t="shared" si="60"/>
        <v>#DIV/0!</v>
      </c>
      <c r="AF124" s="169" t="e">
        <f t="shared" si="60"/>
        <v>#DIV/0!</v>
      </c>
      <c r="AG124" s="169" t="e">
        <f t="shared" si="60"/>
        <v>#DIV/0!</v>
      </c>
      <c r="AH124" s="169" t="e">
        <f t="shared" si="60"/>
        <v>#DIV/0!</v>
      </c>
      <c r="AI124" s="169" t="e">
        <f t="shared" si="60"/>
        <v>#DIV/0!</v>
      </c>
      <c r="AJ124" s="169" t="e">
        <f t="shared" si="60"/>
        <v>#DIV/0!</v>
      </c>
      <c r="AK124" s="169" t="e">
        <f t="shared" si="60"/>
        <v>#DIV/0!</v>
      </c>
      <c r="AL124" s="169" t="e">
        <f t="shared" si="60"/>
        <v>#DIV/0!</v>
      </c>
      <c r="AM124" s="169" t="e">
        <f t="shared" si="60"/>
        <v>#DIV/0!</v>
      </c>
      <c r="AN124" s="169" t="e">
        <f t="shared" si="60"/>
        <v>#DIV/0!</v>
      </c>
      <c r="AO124" s="80"/>
      <c r="AP124" s="97">
        <f>AP117/AP108*100</f>
        <v>0</v>
      </c>
      <c r="AR124" s="81"/>
      <c r="CB124" s="82"/>
      <c r="CC124" s="82"/>
      <c r="DF124" s="82"/>
      <c r="EN124" s="64"/>
      <c r="EO124" s="82"/>
      <c r="EP124" s="82"/>
      <c r="EQ124" s="82"/>
      <c r="ER124" s="82"/>
      <c r="GU124" s="82"/>
      <c r="KP124" s="82"/>
      <c r="KQ124" s="82"/>
      <c r="KR124" s="82"/>
      <c r="KS124" s="82"/>
      <c r="PW124" s="82"/>
      <c r="PX124" s="82"/>
      <c r="PZ124" s="82"/>
      <c r="QN124" s="88"/>
      <c r="QR124" s="82"/>
      <c r="SU124" s="88"/>
      <c r="AID124" s="72"/>
      <c r="AJS124" s="72"/>
      <c r="AJT124" s="72"/>
      <c r="AJU124" s="72"/>
    </row>
    <row r="125" spans="6:957" ht="15" hidden="1" customHeight="1" x14ac:dyDescent="0.3">
      <c r="F125" s="107"/>
      <c r="G125" s="17" t="s">
        <v>126</v>
      </c>
      <c r="H125" s="106">
        <v>0.5</v>
      </c>
      <c r="I125" s="174" t="s">
        <v>13</v>
      </c>
      <c r="J125" s="169" t="e">
        <f t="shared" si="60"/>
        <v>#DIV/0!</v>
      </c>
      <c r="K125" s="169" t="e">
        <f t="shared" si="60"/>
        <v>#DIV/0!</v>
      </c>
      <c r="L125" s="169" t="e">
        <f t="shared" si="60"/>
        <v>#DIV/0!</v>
      </c>
      <c r="M125" s="169" t="e">
        <f t="shared" si="60"/>
        <v>#DIV/0!</v>
      </c>
      <c r="N125" s="169" t="e">
        <f t="shared" si="60"/>
        <v>#DIV/0!</v>
      </c>
      <c r="O125" s="169" t="e">
        <f t="shared" si="60"/>
        <v>#DIV/0!</v>
      </c>
      <c r="P125" s="169" t="e">
        <f t="shared" si="60"/>
        <v>#DIV/0!</v>
      </c>
      <c r="Q125" s="169" t="e">
        <f t="shared" si="60"/>
        <v>#DIV/0!</v>
      </c>
      <c r="R125" s="169" t="e">
        <f t="shared" si="60"/>
        <v>#DIV/0!</v>
      </c>
      <c r="S125" s="169" t="e">
        <f t="shared" si="60"/>
        <v>#DIV/0!</v>
      </c>
      <c r="T125" s="169" t="e">
        <f t="shared" si="60"/>
        <v>#DIV/0!</v>
      </c>
      <c r="U125" s="169" t="e">
        <f t="shared" si="60"/>
        <v>#DIV/0!</v>
      </c>
      <c r="V125" s="169">
        <f t="shared" si="60"/>
        <v>0</v>
      </c>
      <c r="W125" s="169" t="e">
        <f t="shared" si="60"/>
        <v>#DIV/0!</v>
      </c>
      <c r="X125" s="169" t="e">
        <f t="shared" si="60"/>
        <v>#DIV/0!</v>
      </c>
      <c r="Y125" s="169" t="e">
        <f t="shared" si="60"/>
        <v>#DIV/0!</v>
      </c>
      <c r="Z125" s="169" t="e">
        <f t="shared" si="60"/>
        <v>#DIV/0!</v>
      </c>
      <c r="AA125" s="169" t="e">
        <f t="shared" si="60"/>
        <v>#DIV/0!</v>
      </c>
      <c r="AB125" s="169" t="e">
        <f t="shared" si="60"/>
        <v>#DIV/0!</v>
      </c>
      <c r="AC125" s="169" t="e">
        <f t="shared" si="60"/>
        <v>#DIV/0!</v>
      </c>
      <c r="AD125" s="169" t="e">
        <f t="shared" si="60"/>
        <v>#DIV/0!</v>
      </c>
      <c r="AE125" s="169" t="e">
        <f t="shared" si="60"/>
        <v>#DIV/0!</v>
      </c>
      <c r="AF125" s="169" t="e">
        <f t="shared" si="60"/>
        <v>#DIV/0!</v>
      </c>
      <c r="AG125" s="169">
        <f t="shared" si="60"/>
        <v>0</v>
      </c>
      <c r="AH125" s="169" t="e">
        <f t="shared" si="60"/>
        <v>#DIV/0!</v>
      </c>
      <c r="AI125" s="169" t="e">
        <f t="shared" si="60"/>
        <v>#DIV/0!</v>
      </c>
      <c r="AJ125" s="169" t="e">
        <f t="shared" si="60"/>
        <v>#DIV/0!</v>
      </c>
      <c r="AK125" s="169" t="e">
        <f t="shared" si="60"/>
        <v>#DIV/0!</v>
      </c>
      <c r="AL125" s="169" t="e">
        <f t="shared" si="60"/>
        <v>#DIV/0!</v>
      </c>
      <c r="AM125" s="169" t="e">
        <f t="shared" si="60"/>
        <v>#DIV/0!</v>
      </c>
      <c r="AN125" s="169" t="e">
        <f t="shared" si="60"/>
        <v>#DIV/0!</v>
      </c>
      <c r="AO125" s="80"/>
      <c r="AP125" s="97">
        <f>AP118/AP109*100</f>
        <v>0</v>
      </c>
      <c r="AR125" s="81"/>
      <c r="CB125" s="82"/>
      <c r="CC125" s="82"/>
      <c r="DF125" s="82"/>
      <c r="EN125" s="64"/>
      <c r="EO125" s="82"/>
      <c r="EP125" s="82"/>
      <c r="EQ125" s="82"/>
      <c r="ER125" s="82"/>
      <c r="GU125" s="82"/>
      <c r="KP125" s="82"/>
      <c r="KQ125" s="82"/>
      <c r="KR125" s="82"/>
      <c r="KS125" s="82"/>
      <c r="PW125" s="82"/>
      <c r="PX125" s="82"/>
      <c r="PZ125" s="82"/>
      <c r="QN125" s="88"/>
      <c r="QR125" s="82"/>
      <c r="SU125" s="88"/>
      <c r="AID125" s="72"/>
      <c r="AJS125" s="72"/>
      <c r="AJT125" s="72"/>
      <c r="AJU125" s="72"/>
    </row>
    <row r="126" spans="6:957" x14ac:dyDescent="0.3">
      <c r="F126" s="46">
        <v>7</v>
      </c>
      <c r="G126" s="12" t="s">
        <v>127</v>
      </c>
      <c r="H126" s="47"/>
      <c r="I126" s="47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9"/>
      <c r="AH126" s="48"/>
      <c r="AI126" s="48"/>
      <c r="AJ126" s="48"/>
      <c r="AK126" s="48"/>
      <c r="AL126" s="48"/>
      <c r="AM126" s="48"/>
      <c r="AN126" s="48"/>
      <c r="AO126" s="7"/>
      <c r="AP126" s="166" t="s">
        <v>105</v>
      </c>
      <c r="AR126" s="6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CB126" s="72"/>
      <c r="CC126" s="72"/>
      <c r="DF126" s="72"/>
      <c r="EN126" s="64"/>
      <c r="EO126" s="72"/>
      <c r="EP126" s="72"/>
      <c r="EQ126" s="72"/>
      <c r="ER126" s="72"/>
      <c r="GU126" s="72"/>
      <c r="KP126" s="72"/>
      <c r="KQ126" s="72"/>
      <c r="KR126" s="72"/>
      <c r="KS126" s="72"/>
      <c r="PW126" s="72"/>
      <c r="PX126" s="72"/>
      <c r="PZ126" s="72"/>
      <c r="QN126" s="127"/>
      <c r="QR126" s="72"/>
      <c r="SU126" s="127"/>
      <c r="AID126" s="72"/>
      <c r="AJS126" s="72"/>
      <c r="AJT126" s="72"/>
      <c r="AJU126" s="72"/>
    </row>
    <row r="127" spans="6:957" x14ac:dyDescent="0.3">
      <c r="F127" s="56"/>
      <c r="G127" s="247" t="s">
        <v>128</v>
      </c>
      <c r="H127" s="248"/>
      <c r="I127" s="249" t="s">
        <v>10</v>
      </c>
      <c r="J127" s="250">
        <v>0</v>
      </c>
      <c r="K127" s="250">
        <v>0</v>
      </c>
      <c r="L127" s="250">
        <v>0</v>
      </c>
      <c r="M127" s="250">
        <v>0</v>
      </c>
      <c r="N127" s="250">
        <v>0</v>
      </c>
      <c r="O127" s="250">
        <v>0</v>
      </c>
      <c r="P127" s="250">
        <v>0</v>
      </c>
      <c r="Q127" s="250">
        <v>0</v>
      </c>
      <c r="R127" s="250">
        <v>0</v>
      </c>
      <c r="S127" s="250">
        <v>0</v>
      </c>
      <c r="T127" s="250">
        <v>0</v>
      </c>
      <c r="U127" s="250">
        <v>0</v>
      </c>
      <c r="V127" s="250">
        <v>0</v>
      </c>
      <c r="W127" s="250">
        <v>0</v>
      </c>
      <c r="X127" s="250">
        <v>0</v>
      </c>
      <c r="Y127" s="250">
        <v>0</v>
      </c>
      <c r="Z127" s="250">
        <v>0</v>
      </c>
      <c r="AA127" s="250">
        <v>0</v>
      </c>
      <c r="AB127" s="250">
        <v>0</v>
      </c>
      <c r="AC127" s="250">
        <v>0</v>
      </c>
      <c r="AD127" s="250">
        <v>0</v>
      </c>
      <c r="AE127" s="250">
        <v>0</v>
      </c>
      <c r="AF127" s="250">
        <v>0</v>
      </c>
      <c r="AG127" s="250">
        <v>0</v>
      </c>
      <c r="AH127" s="250">
        <v>0</v>
      </c>
      <c r="AI127" s="250">
        <v>0</v>
      </c>
      <c r="AJ127" s="250">
        <v>0</v>
      </c>
      <c r="AK127" s="250">
        <v>0</v>
      </c>
      <c r="AL127" s="250">
        <v>0</v>
      </c>
      <c r="AM127" s="258">
        <v>21339.13</v>
      </c>
      <c r="AN127" s="258">
        <v>34457.512000000002</v>
      </c>
      <c r="AO127" s="252"/>
      <c r="AP127" s="218">
        <f>SUM(AP128:AP129)</f>
        <v>55796.642000000007</v>
      </c>
      <c r="AR127" s="219"/>
      <c r="BE127" s="245"/>
      <c r="BF127" s="245"/>
      <c r="BG127" s="245"/>
      <c r="BH127" s="245"/>
      <c r="BI127" s="245"/>
      <c r="BJ127" s="245"/>
      <c r="BK127" s="245"/>
      <c r="BL127" s="245"/>
      <c r="BM127" s="245"/>
      <c r="BN127" s="245"/>
      <c r="CB127" s="220"/>
      <c r="CC127" s="220"/>
      <c r="DF127" s="220"/>
      <c r="EN127" s="68"/>
      <c r="EO127" s="220"/>
      <c r="EP127" s="220"/>
      <c r="EQ127" s="220"/>
      <c r="ER127" s="220"/>
      <c r="GU127" s="220"/>
      <c r="KP127" s="220"/>
      <c r="KQ127" s="220"/>
      <c r="KR127" s="220"/>
      <c r="KS127" s="220"/>
      <c r="PW127" s="220"/>
      <c r="PX127" s="220"/>
      <c r="PZ127" s="220"/>
      <c r="QN127" s="221"/>
      <c r="QR127" s="220"/>
      <c r="SU127" s="221"/>
      <c r="AID127" s="222"/>
      <c r="AJS127" s="222"/>
      <c r="AJT127" s="222"/>
      <c r="AJU127" s="222"/>
    </row>
    <row r="128" spans="6:957" x14ac:dyDescent="0.3">
      <c r="F128" s="107"/>
      <c r="G128" s="233" t="s">
        <v>109</v>
      </c>
      <c r="H128" s="119"/>
      <c r="I128" s="174" t="s">
        <v>10</v>
      </c>
      <c r="J128" s="169">
        <f t="shared" ref="J128:Y128" si="61">SUM(J131:J132)*9.75348</f>
        <v>0</v>
      </c>
      <c r="K128" s="169">
        <f t="shared" si="61"/>
        <v>0</v>
      </c>
      <c r="L128" s="169">
        <f t="shared" si="61"/>
        <v>0</v>
      </c>
      <c r="M128" s="169">
        <f t="shared" si="61"/>
        <v>0</v>
      </c>
      <c r="N128" s="169">
        <f t="shared" si="61"/>
        <v>0</v>
      </c>
      <c r="O128" s="169">
        <f t="shared" si="61"/>
        <v>0</v>
      </c>
      <c r="P128" s="169">
        <f t="shared" si="61"/>
        <v>0</v>
      </c>
      <c r="Q128" s="169">
        <f t="shared" si="61"/>
        <v>0</v>
      </c>
      <c r="R128" s="169">
        <f t="shared" si="61"/>
        <v>0</v>
      </c>
      <c r="S128" s="169">
        <f t="shared" si="61"/>
        <v>0</v>
      </c>
      <c r="T128" s="169">
        <f t="shared" si="61"/>
        <v>0</v>
      </c>
      <c r="U128" s="169">
        <f t="shared" si="61"/>
        <v>0</v>
      </c>
      <c r="V128" s="169">
        <f t="shared" si="61"/>
        <v>0</v>
      </c>
      <c r="W128" s="169">
        <f t="shared" si="61"/>
        <v>0</v>
      </c>
      <c r="X128" s="169">
        <f t="shared" si="61"/>
        <v>0</v>
      </c>
      <c r="Y128" s="169">
        <f t="shared" si="61"/>
        <v>0</v>
      </c>
      <c r="Z128" s="169">
        <f t="shared" ref="Z128:AL128" si="62">SUM(Z131:Z132)*9.75348</f>
        <v>0</v>
      </c>
      <c r="AA128" s="169">
        <f t="shared" si="62"/>
        <v>0</v>
      </c>
      <c r="AB128" s="169">
        <f t="shared" si="62"/>
        <v>0</v>
      </c>
      <c r="AC128" s="169">
        <f t="shared" si="62"/>
        <v>0</v>
      </c>
      <c r="AD128" s="169">
        <f t="shared" ref="AD128" si="63">SUM(AD131:AD132)*9.75348</f>
        <v>0</v>
      </c>
      <c r="AE128" s="169">
        <f t="shared" si="62"/>
        <v>0</v>
      </c>
      <c r="AF128" s="169">
        <f t="shared" si="62"/>
        <v>0</v>
      </c>
      <c r="AG128" s="169">
        <f t="shared" si="62"/>
        <v>0</v>
      </c>
      <c r="AH128" s="169">
        <f t="shared" si="62"/>
        <v>0</v>
      </c>
      <c r="AI128" s="169">
        <f t="shared" si="62"/>
        <v>0</v>
      </c>
      <c r="AJ128" s="169">
        <f t="shared" si="62"/>
        <v>0</v>
      </c>
      <c r="AK128" s="169">
        <f t="shared" si="62"/>
        <v>0</v>
      </c>
      <c r="AL128" s="169">
        <f t="shared" si="62"/>
        <v>0</v>
      </c>
      <c r="AM128" s="169">
        <f>SUM(AM131:AM132)*9.774</f>
        <v>21336.642</v>
      </c>
      <c r="AN128" s="169">
        <f>SUM(AN131:AN132)*9.774</f>
        <v>34453.35</v>
      </c>
      <c r="AO128" s="80"/>
      <c r="AP128" s="97">
        <f>SUM(J128:AN128)</f>
        <v>55789.991999999998</v>
      </c>
      <c r="AR128" s="81"/>
      <c r="BE128" s="253"/>
      <c r="BF128" s="245"/>
      <c r="BG128" s="245"/>
      <c r="BH128" s="245"/>
      <c r="BI128" s="245"/>
      <c r="BJ128" s="245"/>
      <c r="BK128" s="101"/>
      <c r="BL128" s="101"/>
      <c r="BM128" s="101"/>
      <c r="BN128" s="101"/>
      <c r="CB128" s="82"/>
      <c r="CC128" s="82"/>
      <c r="DF128" s="82"/>
      <c r="EN128" s="64"/>
      <c r="EO128" s="82"/>
      <c r="EP128" s="82"/>
      <c r="EQ128" s="82"/>
      <c r="ER128" s="82"/>
      <c r="GU128" s="82"/>
      <c r="KP128" s="82"/>
      <c r="KQ128" s="82"/>
      <c r="KR128" s="82"/>
      <c r="KS128" s="82"/>
      <c r="PW128" s="82"/>
      <c r="PX128" s="82"/>
      <c r="PZ128" s="82"/>
      <c r="QN128" s="88"/>
      <c r="QR128" s="82"/>
      <c r="SU128" s="88"/>
      <c r="AID128" s="72"/>
      <c r="AJS128" s="72"/>
      <c r="AJT128" s="72"/>
      <c r="AJU128" s="72"/>
    </row>
    <row r="129" spans="6:957" x14ac:dyDescent="0.3">
      <c r="F129" s="107"/>
      <c r="G129" s="233" t="s">
        <v>110</v>
      </c>
      <c r="H129" s="119"/>
      <c r="I129" s="174" t="s">
        <v>10</v>
      </c>
      <c r="J129" s="169">
        <f t="shared" ref="J129:AL129" si="64">J127-J128</f>
        <v>0</v>
      </c>
      <c r="K129" s="169">
        <f t="shared" si="64"/>
        <v>0</v>
      </c>
      <c r="L129" s="169">
        <f t="shared" si="64"/>
        <v>0</v>
      </c>
      <c r="M129" s="169">
        <f t="shared" si="64"/>
        <v>0</v>
      </c>
      <c r="N129" s="169">
        <f t="shared" si="64"/>
        <v>0</v>
      </c>
      <c r="O129" s="169">
        <f t="shared" si="64"/>
        <v>0</v>
      </c>
      <c r="P129" s="169">
        <f t="shared" si="64"/>
        <v>0</v>
      </c>
      <c r="Q129" s="169">
        <f t="shared" si="64"/>
        <v>0</v>
      </c>
      <c r="R129" s="169">
        <f t="shared" si="64"/>
        <v>0</v>
      </c>
      <c r="S129" s="169">
        <f t="shared" si="64"/>
        <v>0</v>
      </c>
      <c r="T129" s="169">
        <f t="shared" si="64"/>
        <v>0</v>
      </c>
      <c r="U129" s="169">
        <f t="shared" si="64"/>
        <v>0</v>
      </c>
      <c r="V129" s="169">
        <f t="shared" si="64"/>
        <v>0</v>
      </c>
      <c r="W129" s="169">
        <f t="shared" si="64"/>
        <v>0</v>
      </c>
      <c r="X129" s="169">
        <f t="shared" si="64"/>
        <v>0</v>
      </c>
      <c r="Y129" s="169">
        <f t="shared" si="64"/>
        <v>0</v>
      </c>
      <c r="Z129" s="169">
        <f t="shared" si="64"/>
        <v>0</v>
      </c>
      <c r="AA129" s="169">
        <f t="shared" si="64"/>
        <v>0</v>
      </c>
      <c r="AB129" s="169">
        <f t="shared" si="64"/>
        <v>0</v>
      </c>
      <c r="AC129" s="169">
        <f t="shared" si="64"/>
        <v>0</v>
      </c>
      <c r="AD129" s="169">
        <f t="shared" si="64"/>
        <v>0</v>
      </c>
      <c r="AE129" s="169">
        <f t="shared" si="64"/>
        <v>0</v>
      </c>
      <c r="AF129" s="169">
        <f t="shared" si="64"/>
        <v>0</v>
      </c>
      <c r="AG129" s="169">
        <f t="shared" si="64"/>
        <v>0</v>
      </c>
      <c r="AH129" s="169">
        <f t="shared" si="64"/>
        <v>0</v>
      </c>
      <c r="AI129" s="169">
        <f t="shared" si="64"/>
        <v>0</v>
      </c>
      <c r="AJ129" s="169">
        <f t="shared" si="64"/>
        <v>0</v>
      </c>
      <c r="AK129" s="169">
        <f t="shared" si="64"/>
        <v>0</v>
      </c>
      <c r="AL129" s="169">
        <f t="shared" si="64"/>
        <v>0</v>
      </c>
      <c r="AM129" s="169">
        <f>AM127-AM128</f>
        <v>2.4880000000011933</v>
      </c>
      <c r="AN129" s="169">
        <f t="shared" ref="AN129" si="65">AN127-AN128</f>
        <v>4.1620000000038999</v>
      </c>
      <c r="AO129" s="80"/>
      <c r="AP129" s="97">
        <f>SUM(J129:AN129)</f>
        <v>6.6500000000050932</v>
      </c>
      <c r="AR129" s="8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CB129" s="82"/>
      <c r="CC129" s="82"/>
      <c r="DF129" s="82"/>
      <c r="EN129" s="64"/>
      <c r="EO129" s="82"/>
      <c r="EP129" s="82"/>
      <c r="EQ129" s="82"/>
      <c r="ER129" s="82"/>
      <c r="GU129" s="82"/>
      <c r="GV129" s="2">
        <f>0.9*12</f>
        <v>10.8</v>
      </c>
      <c r="KP129" s="82"/>
      <c r="KQ129" s="82"/>
      <c r="KR129" s="82"/>
      <c r="KS129" s="82"/>
      <c r="PW129" s="82"/>
      <c r="PX129" s="82"/>
      <c r="PZ129" s="82"/>
      <c r="QN129" s="88"/>
      <c r="QR129" s="82"/>
      <c r="SU129" s="88"/>
      <c r="AID129" s="72"/>
      <c r="AJS129" s="72"/>
      <c r="AJT129" s="72"/>
      <c r="AJU129" s="72"/>
    </row>
    <row r="130" spans="6:957" x14ac:dyDescent="0.3">
      <c r="F130" s="107"/>
      <c r="G130" s="233" t="s">
        <v>112</v>
      </c>
      <c r="H130" s="119"/>
      <c r="I130" s="107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80"/>
      <c r="AP130" s="122" t="s">
        <v>112</v>
      </c>
      <c r="AR130" s="259" t="s">
        <v>39</v>
      </c>
      <c r="AT130" s="260" t="s">
        <v>129</v>
      </c>
      <c r="AU130" s="3" t="s">
        <v>130</v>
      </c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CB130" s="82"/>
      <c r="CC130" s="82"/>
      <c r="DF130" s="82"/>
      <c r="EN130" s="64"/>
      <c r="EO130" s="82"/>
      <c r="EP130" s="82"/>
      <c r="EQ130" s="82"/>
      <c r="ER130" s="82"/>
      <c r="GU130" s="82"/>
      <c r="KP130" s="82"/>
      <c r="KQ130" s="82"/>
      <c r="KR130" s="82"/>
      <c r="KS130" s="82"/>
      <c r="PW130" s="82"/>
      <c r="PX130" s="82"/>
      <c r="PZ130" s="82"/>
      <c r="QN130" s="88"/>
      <c r="QR130" s="82"/>
      <c r="SU130" s="88"/>
      <c r="AID130" s="72"/>
      <c r="AJS130" s="72"/>
      <c r="AJT130" s="72"/>
      <c r="AJU130" s="72"/>
    </row>
    <row r="131" spans="6:957" x14ac:dyDescent="0.3">
      <c r="F131" s="19"/>
      <c r="G131" s="17" t="s">
        <v>131</v>
      </c>
      <c r="H131" s="18"/>
      <c r="I131" s="237" t="s">
        <v>114</v>
      </c>
      <c r="J131" s="238">
        <v>0</v>
      </c>
      <c r="K131" s="238">
        <v>0</v>
      </c>
      <c r="L131" s="238">
        <v>0</v>
      </c>
      <c r="M131" s="238">
        <v>0</v>
      </c>
      <c r="N131" s="238">
        <v>0</v>
      </c>
      <c r="O131" s="238">
        <v>0</v>
      </c>
      <c r="P131" s="238">
        <v>0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0</v>
      </c>
      <c r="AA131" s="238">
        <v>0</v>
      </c>
      <c r="AB131" s="238">
        <v>0</v>
      </c>
      <c r="AC131" s="238">
        <v>0</v>
      </c>
      <c r="AD131" s="238">
        <v>0</v>
      </c>
      <c r="AE131" s="238">
        <v>0</v>
      </c>
      <c r="AF131" s="238">
        <v>0</v>
      </c>
      <c r="AG131" s="238">
        <v>0</v>
      </c>
      <c r="AH131" s="238">
        <v>0</v>
      </c>
      <c r="AI131" s="238">
        <v>0</v>
      </c>
      <c r="AJ131" s="238">
        <v>0</v>
      </c>
      <c r="AK131" s="238">
        <v>0</v>
      </c>
      <c r="AL131" s="238">
        <v>0</v>
      </c>
      <c r="AM131" s="238">
        <v>727</v>
      </c>
      <c r="AN131" s="238">
        <v>1175</v>
      </c>
      <c r="AO131" s="154"/>
      <c r="AP131" s="155">
        <f>SUM(J131:AN131)</f>
        <v>1902</v>
      </c>
      <c r="AR131" s="242">
        <v>727</v>
      </c>
      <c r="AS131" s="261">
        <v>9.7739999999999991</v>
      </c>
      <c r="AT131" s="4">
        <f>AR131*AS131</f>
        <v>7105.6979999999994</v>
      </c>
      <c r="AU131" s="123">
        <f>AT131+AT132</f>
        <v>21336.642</v>
      </c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CB131" s="240"/>
      <c r="CC131" s="240"/>
      <c r="DF131" s="240"/>
      <c r="EN131" s="163"/>
      <c r="EO131" s="240"/>
      <c r="EP131" s="240"/>
      <c r="EQ131" s="240"/>
      <c r="ER131" s="240"/>
      <c r="GU131" s="240"/>
      <c r="KP131" s="240"/>
      <c r="KQ131" s="240"/>
      <c r="KR131" s="240"/>
      <c r="KS131" s="240"/>
      <c r="PW131" s="240"/>
      <c r="PX131" s="240"/>
      <c r="PZ131" s="240"/>
      <c r="QN131" s="241"/>
      <c r="QR131" s="240"/>
      <c r="SU131" s="241"/>
      <c r="AID131" s="156"/>
      <c r="AJS131" s="156"/>
      <c r="AJT131" s="156"/>
      <c r="AJU131" s="156"/>
    </row>
    <row r="132" spans="6:957" x14ac:dyDescent="0.3">
      <c r="F132" s="19"/>
      <c r="G132" s="17" t="s">
        <v>132</v>
      </c>
      <c r="H132" s="18"/>
      <c r="I132" s="237" t="s">
        <v>114</v>
      </c>
      <c r="J132" s="238">
        <v>0</v>
      </c>
      <c r="K132" s="238">
        <v>0</v>
      </c>
      <c r="L132" s="238">
        <v>0</v>
      </c>
      <c r="M132" s="238">
        <v>0</v>
      </c>
      <c r="N132" s="238">
        <v>0</v>
      </c>
      <c r="O132" s="238">
        <v>0</v>
      </c>
      <c r="P132" s="238">
        <v>0</v>
      </c>
      <c r="Q132" s="238">
        <v>0</v>
      </c>
      <c r="R132" s="238">
        <v>0</v>
      </c>
      <c r="S132" s="238">
        <v>0</v>
      </c>
      <c r="T132" s="238">
        <v>0</v>
      </c>
      <c r="U132" s="250">
        <v>0</v>
      </c>
      <c r="V132" s="250">
        <v>0</v>
      </c>
      <c r="W132" s="250">
        <v>0</v>
      </c>
      <c r="X132" s="250">
        <v>0</v>
      </c>
      <c r="Y132" s="250">
        <v>0</v>
      </c>
      <c r="Z132" s="250">
        <v>0</v>
      </c>
      <c r="AA132" s="250">
        <v>0</v>
      </c>
      <c r="AB132" s="250">
        <v>0</v>
      </c>
      <c r="AC132" s="250">
        <v>0</v>
      </c>
      <c r="AD132" s="250">
        <v>0</v>
      </c>
      <c r="AE132" s="250">
        <v>0</v>
      </c>
      <c r="AF132" s="250">
        <v>0</v>
      </c>
      <c r="AG132" s="250">
        <v>0</v>
      </c>
      <c r="AH132" s="250">
        <v>0</v>
      </c>
      <c r="AI132" s="250">
        <v>0</v>
      </c>
      <c r="AJ132" s="250">
        <v>0</v>
      </c>
      <c r="AK132" s="250">
        <v>0</v>
      </c>
      <c r="AL132" s="250">
        <v>0</v>
      </c>
      <c r="AM132" s="250">
        <v>1456</v>
      </c>
      <c r="AN132" s="250">
        <v>2350</v>
      </c>
      <c r="AO132" s="154"/>
      <c r="AP132" s="155">
        <f>SUM(J132:AN132)</f>
        <v>3806</v>
      </c>
      <c r="AR132" s="242">
        <v>1456</v>
      </c>
      <c r="AS132" s="3">
        <v>9.7739999999999991</v>
      </c>
      <c r="AT132" s="4">
        <f>AR132*AS132</f>
        <v>14230.944</v>
      </c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CB132" s="240"/>
      <c r="CC132" s="240"/>
      <c r="DF132" s="240"/>
      <c r="EN132" s="163"/>
      <c r="EO132" s="240"/>
      <c r="EP132" s="240"/>
      <c r="EQ132" s="240"/>
      <c r="ER132" s="240"/>
      <c r="GU132" s="240"/>
      <c r="KP132" s="240"/>
      <c r="KQ132" s="240"/>
      <c r="KR132" s="240"/>
      <c r="KS132" s="240"/>
      <c r="PW132" s="240"/>
      <c r="PX132" s="240"/>
      <c r="PZ132" s="240"/>
      <c r="QN132" s="241"/>
      <c r="QR132" s="240"/>
      <c r="SU132" s="241"/>
      <c r="AID132" s="156"/>
      <c r="AJS132" s="156"/>
      <c r="AJT132" s="156"/>
      <c r="AJU132" s="156"/>
    </row>
    <row r="133" spans="6:957" x14ac:dyDescent="0.3">
      <c r="F133" s="107"/>
      <c r="G133" s="233" t="s">
        <v>116</v>
      </c>
      <c r="H133" s="119"/>
      <c r="I133" s="107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80"/>
      <c r="AP133" s="122" t="s">
        <v>116</v>
      </c>
      <c r="AR133" s="8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CB133" s="82"/>
      <c r="CC133" s="82"/>
      <c r="DF133" s="82"/>
      <c r="EN133" s="64"/>
      <c r="EO133" s="82"/>
      <c r="EP133" s="82"/>
      <c r="EQ133" s="82"/>
      <c r="ER133" s="82"/>
      <c r="GU133" s="82"/>
      <c r="KP133" s="82"/>
      <c r="KQ133" s="82"/>
      <c r="KR133" s="82"/>
      <c r="KS133" s="82"/>
      <c r="PW133" s="82"/>
      <c r="PX133" s="82"/>
      <c r="PZ133" s="82"/>
      <c r="QN133" s="88"/>
      <c r="QR133" s="82"/>
      <c r="SU133" s="88"/>
      <c r="AID133" s="72"/>
      <c r="AJS133" s="72"/>
      <c r="AJT133" s="72"/>
      <c r="AJU133" s="72"/>
    </row>
    <row r="134" spans="6:957" x14ac:dyDescent="0.3">
      <c r="F134" s="107"/>
      <c r="G134" s="17" t="s">
        <v>131</v>
      </c>
      <c r="H134" s="119"/>
      <c r="I134" s="174" t="s">
        <v>116</v>
      </c>
      <c r="J134" s="69">
        <f t="shared" ref="J134:AN134" si="66">J131*12</f>
        <v>0</v>
      </c>
      <c r="K134" s="69">
        <f t="shared" si="66"/>
        <v>0</v>
      </c>
      <c r="L134" s="69">
        <f t="shared" si="66"/>
        <v>0</v>
      </c>
      <c r="M134" s="69">
        <f t="shared" si="66"/>
        <v>0</v>
      </c>
      <c r="N134" s="69">
        <f t="shared" si="66"/>
        <v>0</v>
      </c>
      <c r="O134" s="69">
        <f t="shared" si="66"/>
        <v>0</v>
      </c>
      <c r="P134" s="69">
        <f t="shared" si="66"/>
        <v>0</v>
      </c>
      <c r="Q134" s="69">
        <f t="shared" si="66"/>
        <v>0</v>
      </c>
      <c r="R134" s="69">
        <f t="shared" si="66"/>
        <v>0</v>
      </c>
      <c r="S134" s="69">
        <f t="shared" si="66"/>
        <v>0</v>
      </c>
      <c r="T134" s="69">
        <f t="shared" si="66"/>
        <v>0</v>
      </c>
      <c r="U134" s="69">
        <f t="shared" si="66"/>
        <v>0</v>
      </c>
      <c r="V134" s="69">
        <f t="shared" si="66"/>
        <v>0</v>
      </c>
      <c r="W134" s="69">
        <f t="shared" si="66"/>
        <v>0</v>
      </c>
      <c r="X134" s="69">
        <f t="shared" si="66"/>
        <v>0</v>
      </c>
      <c r="Y134" s="69">
        <f t="shared" si="66"/>
        <v>0</v>
      </c>
      <c r="Z134" s="69">
        <f t="shared" si="66"/>
        <v>0</v>
      </c>
      <c r="AA134" s="69">
        <f t="shared" si="66"/>
        <v>0</v>
      </c>
      <c r="AB134" s="69">
        <f t="shared" si="66"/>
        <v>0</v>
      </c>
      <c r="AC134" s="69">
        <f t="shared" si="66"/>
        <v>0</v>
      </c>
      <c r="AD134" s="69">
        <f t="shared" si="66"/>
        <v>0</v>
      </c>
      <c r="AE134" s="69">
        <f t="shared" si="66"/>
        <v>0</v>
      </c>
      <c r="AF134" s="69">
        <f t="shared" si="66"/>
        <v>0</v>
      </c>
      <c r="AG134" s="69">
        <f t="shared" si="66"/>
        <v>0</v>
      </c>
      <c r="AH134" s="69">
        <f t="shared" si="66"/>
        <v>0</v>
      </c>
      <c r="AI134" s="69">
        <f t="shared" si="66"/>
        <v>0</v>
      </c>
      <c r="AJ134" s="69">
        <f t="shared" si="66"/>
        <v>0</v>
      </c>
      <c r="AK134" s="69">
        <f t="shared" si="66"/>
        <v>0</v>
      </c>
      <c r="AL134" s="69">
        <f t="shared" si="66"/>
        <v>0</v>
      </c>
      <c r="AM134" s="69">
        <f t="shared" si="66"/>
        <v>8724</v>
      </c>
      <c r="AN134" s="69">
        <f t="shared" si="66"/>
        <v>14100</v>
      </c>
      <c r="AO134" s="80"/>
      <c r="AP134" s="70">
        <f>AP131*12</f>
        <v>22824</v>
      </c>
      <c r="AR134" s="8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CB134" s="82"/>
      <c r="CC134" s="82"/>
      <c r="DF134" s="82"/>
      <c r="EN134" s="64"/>
      <c r="EO134" s="82"/>
      <c r="EP134" s="82"/>
      <c r="EQ134" s="82"/>
      <c r="ER134" s="82"/>
      <c r="GU134" s="82"/>
      <c r="KP134" s="82"/>
      <c r="KQ134" s="82"/>
      <c r="KR134" s="82"/>
      <c r="KS134" s="82"/>
      <c r="PW134" s="82"/>
      <c r="PX134" s="82"/>
      <c r="PZ134" s="82"/>
      <c r="QN134" s="88"/>
      <c r="QR134" s="82"/>
      <c r="SU134" s="88"/>
      <c r="AID134" s="72"/>
      <c r="AJS134" s="72"/>
      <c r="AJT134" s="72"/>
      <c r="AJU134" s="72"/>
    </row>
    <row r="135" spans="6:957" x14ac:dyDescent="0.3">
      <c r="F135" s="107"/>
      <c r="G135" s="17" t="s">
        <v>132</v>
      </c>
      <c r="H135" s="119"/>
      <c r="I135" s="174" t="s">
        <v>116</v>
      </c>
      <c r="J135" s="69">
        <f t="shared" ref="J135:AN135" si="67">J132*6</f>
        <v>0</v>
      </c>
      <c r="K135" s="69">
        <f t="shared" si="67"/>
        <v>0</v>
      </c>
      <c r="L135" s="69">
        <f t="shared" si="67"/>
        <v>0</v>
      </c>
      <c r="M135" s="69">
        <f t="shared" si="67"/>
        <v>0</v>
      </c>
      <c r="N135" s="69">
        <f t="shared" si="67"/>
        <v>0</v>
      </c>
      <c r="O135" s="69">
        <f t="shared" si="67"/>
        <v>0</v>
      </c>
      <c r="P135" s="69">
        <f t="shared" si="67"/>
        <v>0</v>
      </c>
      <c r="Q135" s="69">
        <f t="shared" si="67"/>
        <v>0</v>
      </c>
      <c r="R135" s="69">
        <f t="shared" si="67"/>
        <v>0</v>
      </c>
      <c r="S135" s="69">
        <f t="shared" si="67"/>
        <v>0</v>
      </c>
      <c r="T135" s="69">
        <f t="shared" si="67"/>
        <v>0</v>
      </c>
      <c r="U135" s="69">
        <f t="shared" si="67"/>
        <v>0</v>
      </c>
      <c r="V135" s="69">
        <f t="shared" si="67"/>
        <v>0</v>
      </c>
      <c r="W135" s="69">
        <f t="shared" si="67"/>
        <v>0</v>
      </c>
      <c r="X135" s="69">
        <f t="shared" si="67"/>
        <v>0</v>
      </c>
      <c r="Y135" s="69">
        <f t="shared" si="67"/>
        <v>0</v>
      </c>
      <c r="Z135" s="69">
        <f t="shared" si="67"/>
        <v>0</v>
      </c>
      <c r="AA135" s="69">
        <f t="shared" si="67"/>
        <v>0</v>
      </c>
      <c r="AB135" s="69">
        <f t="shared" si="67"/>
        <v>0</v>
      </c>
      <c r="AC135" s="69">
        <f t="shared" si="67"/>
        <v>0</v>
      </c>
      <c r="AD135" s="69">
        <f t="shared" si="67"/>
        <v>0</v>
      </c>
      <c r="AE135" s="69">
        <f t="shared" si="67"/>
        <v>0</v>
      </c>
      <c r="AF135" s="69">
        <f t="shared" si="67"/>
        <v>0</v>
      </c>
      <c r="AG135" s="69">
        <f t="shared" si="67"/>
        <v>0</v>
      </c>
      <c r="AH135" s="69">
        <f t="shared" si="67"/>
        <v>0</v>
      </c>
      <c r="AI135" s="69">
        <f t="shared" si="67"/>
        <v>0</v>
      </c>
      <c r="AJ135" s="69">
        <f t="shared" si="67"/>
        <v>0</v>
      </c>
      <c r="AK135" s="69">
        <f t="shared" si="67"/>
        <v>0</v>
      </c>
      <c r="AL135" s="69">
        <f t="shared" si="67"/>
        <v>0</v>
      </c>
      <c r="AM135" s="69">
        <f t="shared" si="67"/>
        <v>8736</v>
      </c>
      <c r="AN135" s="69">
        <f t="shared" si="67"/>
        <v>14100</v>
      </c>
      <c r="AO135" s="80"/>
      <c r="AP135" s="70">
        <f>AP132*6</f>
        <v>22836</v>
      </c>
      <c r="AR135" s="8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CB135" s="82"/>
      <c r="CC135" s="82"/>
      <c r="DF135" s="82"/>
      <c r="EN135" s="64"/>
      <c r="EO135" s="82"/>
      <c r="EP135" s="82"/>
      <c r="EQ135" s="82"/>
      <c r="ER135" s="82"/>
      <c r="GU135" s="82"/>
      <c r="KP135" s="82"/>
      <c r="KQ135" s="82"/>
      <c r="KR135" s="82"/>
      <c r="KS135" s="82"/>
      <c r="PW135" s="82"/>
      <c r="PX135" s="82"/>
      <c r="PZ135" s="82"/>
      <c r="QN135" s="88"/>
      <c r="QR135" s="82"/>
      <c r="SU135" s="88"/>
      <c r="AID135" s="72"/>
      <c r="AJS135" s="72"/>
      <c r="AJT135" s="72"/>
      <c r="AJU135" s="72"/>
    </row>
    <row r="136" spans="6:957" x14ac:dyDescent="0.3">
      <c r="F136" s="107"/>
      <c r="G136" s="233" t="s">
        <v>117</v>
      </c>
      <c r="H136" s="119"/>
      <c r="I136" s="174" t="s">
        <v>118</v>
      </c>
      <c r="J136" s="69">
        <v>0</v>
      </c>
      <c r="K136" s="69">
        <f>(K127*45)/1700</f>
        <v>0</v>
      </c>
      <c r="L136" s="69">
        <f t="shared" ref="L136:AC136" si="68">(L127*45)/1700</f>
        <v>0</v>
      </c>
      <c r="M136" s="69">
        <f t="shared" si="68"/>
        <v>0</v>
      </c>
      <c r="N136" s="69">
        <f t="shared" si="68"/>
        <v>0</v>
      </c>
      <c r="O136" s="69">
        <f t="shared" si="68"/>
        <v>0</v>
      </c>
      <c r="P136" s="69">
        <f t="shared" si="68"/>
        <v>0</v>
      </c>
      <c r="Q136" s="69">
        <f t="shared" si="68"/>
        <v>0</v>
      </c>
      <c r="R136" s="69">
        <f t="shared" si="68"/>
        <v>0</v>
      </c>
      <c r="S136" s="69">
        <f t="shared" si="68"/>
        <v>0</v>
      </c>
      <c r="T136" s="69">
        <f t="shared" si="68"/>
        <v>0</v>
      </c>
      <c r="U136" s="69">
        <f t="shared" si="68"/>
        <v>0</v>
      </c>
      <c r="V136" s="69">
        <f t="shared" si="68"/>
        <v>0</v>
      </c>
      <c r="W136" s="69">
        <f t="shared" si="68"/>
        <v>0</v>
      </c>
      <c r="X136" s="69">
        <f t="shared" si="68"/>
        <v>0</v>
      </c>
      <c r="Y136" s="69">
        <f t="shared" si="68"/>
        <v>0</v>
      </c>
      <c r="Z136" s="69">
        <f t="shared" si="68"/>
        <v>0</v>
      </c>
      <c r="AA136" s="69">
        <f t="shared" si="68"/>
        <v>0</v>
      </c>
      <c r="AB136" s="69">
        <f t="shared" si="68"/>
        <v>0</v>
      </c>
      <c r="AC136" s="69">
        <f t="shared" si="68"/>
        <v>0</v>
      </c>
      <c r="AD136" s="69">
        <f t="shared" ref="AD136:AN136" si="69">AD127*45/1700</f>
        <v>0</v>
      </c>
      <c r="AE136" s="69">
        <f t="shared" si="69"/>
        <v>0</v>
      </c>
      <c r="AF136" s="69">
        <f t="shared" si="69"/>
        <v>0</v>
      </c>
      <c r="AG136" s="69">
        <f t="shared" si="69"/>
        <v>0</v>
      </c>
      <c r="AH136" s="69">
        <f t="shared" si="69"/>
        <v>0</v>
      </c>
      <c r="AI136" s="69">
        <f t="shared" si="69"/>
        <v>0</v>
      </c>
      <c r="AJ136" s="69">
        <f t="shared" si="69"/>
        <v>0</v>
      </c>
      <c r="AK136" s="69">
        <f t="shared" si="69"/>
        <v>0</v>
      </c>
      <c r="AL136" s="69">
        <f>AL127*45/1700</f>
        <v>0</v>
      </c>
      <c r="AM136" s="69">
        <f t="shared" si="69"/>
        <v>564.85932352941177</v>
      </c>
      <c r="AN136" s="69">
        <f t="shared" si="69"/>
        <v>912.11061176470594</v>
      </c>
      <c r="AO136" s="80"/>
      <c r="AP136" s="70">
        <f>SUM(J136:AN136)</f>
        <v>1476.9699352941177</v>
      </c>
      <c r="AR136" s="8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CB136" s="82"/>
      <c r="CC136" s="82"/>
      <c r="DF136" s="82"/>
      <c r="EN136" s="64"/>
      <c r="EO136" s="82"/>
      <c r="EP136" s="82"/>
      <c r="EQ136" s="82"/>
      <c r="ER136" s="82"/>
      <c r="GU136" s="82"/>
      <c r="KP136" s="82"/>
      <c r="KQ136" s="82"/>
      <c r="KR136" s="82"/>
      <c r="KS136" s="82"/>
      <c r="PW136" s="82"/>
      <c r="PX136" s="82"/>
      <c r="PZ136" s="82"/>
      <c r="QN136" s="88"/>
      <c r="QR136" s="82"/>
      <c r="SU136" s="88"/>
      <c r="AID136" s="72"/>
      <c r="AJS136" s="72"/>
      <c r="AJT136" s="72"/>
      <c r="AJU136" s="72"/>
    </row>
    <row r="137" spans="6:957" x14ac:dyDescent="0.3">
      <c r="F137" s="107"/>
      <c r="G137" s="233" t="s">
        <v>119</v>
      </c>
      <c r="H137" s="119"/>
      <c r="I137" s="174" t="s">
        <v>120</v>
      </c>
      <c r="J137" s="69">
        <f t="shared" ref="J137:AH137" si="70">SUM(J131:J132)/500</f>
        <v>0</v>
      </c>
      <c r="K137" s="69">
        <f t="shared" si="70"/>
        <v>0</v>
      </c>
      <c r="L137" s="69">
        <f t="shared" si="70"/>
        <v>0</v>
      </c>
      <c r="M137" s="69">
        <f t="shared" si="70"/>
        <v>0</v>
      </c>
      <c r="N137" s="69">
        <f t="shared" si="70"/>
        <v>0</v>
      </c>
      <c r="O137" s="69">
        <f t="shared" si="70"/>
        <v>0</v>
      </c>
      <c r="P137" s="69">
        <f t="shared" si="70"/>
        <v>0</v>
      </c>
      <c r="Q137" s="69">
        <f t="shared" si="70"/>
        <v>0</v>
      </c>
      <c r="R137" s="69">
        <f t="shared" si="70"/>
        <v>0</v>
      </c>
      <c r="S137" s="69">
        <f t="shared" si="70"/>
        <v>0</v>
      </c>
      <c r="T137" s="69">
        <f t="shared" si="70"/>
        <v>0</v>
      </c>
      <c r="U137" s="69">
        <f t="shared" si="70"/>
        <v>0</v>
      </c>
      <c r="V137" s="69">
        <f t="shared" si="70"/>
        <v>0</v>
      </c>
      <c r="W137" s="69">
        <f t="shared" si="70"/>
        <v>0</v>
      </c>
      <c r="X137" s="69">
        <f t="shared" si="70"/>
        <v>0</v>
      </c>
      <c r="Y137" s="69">
        <f t="shared" si="70"/>
        <v>0</v>
      </c>
      <c r="Z137" s="69">
        <f t="shared" si="70"/>
        <v>0</v>
      </c>
      <c r="AA137" s="69">
        <f t="shared" si="70"/>
        <v>0</v>
      </c>
      <c r="AB137" s="69">
        <f t="shared" si="70"/>
        <v>0</v>
      </c>
      <c r="AC137" s="69">
        <f t="shared" si="70"/>
        <v>0</v>
      </c>
      <c r="AD137" s="69">
        <f t="shared" ref="AD137" si="71">SUM(AD131:AD132)/500</f>
        <v>0</v>
      </c>
      <c r="AE137" s="69">
        <f t="shared" si="70"/>
        <v>0</v>
      </c>
      <c r="AF137" s="69">
        <f t="shared" si="70"/>
        <v>0</v>
      </c>
      <c r="AG137" s="69">
        <f t="shared" si="70"/>
        <v>0</v>
      </c>
      <c r="AH137" s="69">
        <f t="shared" si="70"/>
        <v>0</v>
      </c>
      <c r="AI137" s="69">
        <f t="shared" ref="AI137:AN137" si="72">SUM(AI131:AI132)/500</f>
        <v>0</v>
      </c>
      <c r="AJ137" s="69">
        <f t="shared" si="72"/>
        <v>0</v>
      </c>
      <c r="AK137" s="69">
        <f t="shared" si="72"/>
        <v>0</v>
      </c>
      <c r="AL137" s="69">
        <f t="shared" si="72"/>
        <v>0</v>
      </c>
      <c r="AM137" s="257">
        <f t="shared" si="72"/>
        <v>4.3659999999999997</v>
      </c>
      <c r="AN137" s="257">
        <f t="shared" si="72"/>
        <v>7.05</v>
      </c>
      <c r="AO137" s="80"/>
      <c r="AP137" s="70">
        <f>SUM(J137:AN137)</f>
        <v>11.416</v>
      </c>
      <c r="AR137" s="8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CB137" s="82"/>
      <c r="CC137" s="82"/>
      <c r="DF137" s="82"/>
      <c r="EN137" s="64"/>
      <c r="EO137" s="82"/>
      <c r="EP137" s="82"/>
      <c r="EQ137" s="82"/>
      <c r="ER137" s="82"/>
      <c r="GU137" s="82"/>
      <c r="KP137" s="82"/>
      <c r="KQ137" s="82"/>
      <c r="KR137" s="82"/>
      <c r="KS137" s="82"/>
      <c r="PW137" s="82"/>
      <c r="PX137" s="82"/>
      <c r="PZ137" s="82"/>
      <c r="QN137" s="88"/>
      <c r="QR137" s="82"/>
      <c r="SU137" s="88"/>
      <c r="AID137" s="72"/>
      <c r="AJS137" s="72"/>
      <c r="AJT137" s="72"/>
      <c r="AJU137" s="72"/>
    </row>
    <row r="138" spans="6:957" x14ac:dyDescent="0.3">
      <c r="F138" s="56"/>
      <c r="G138" s="12" t="s">
        <v>121</v>
      </c>
      <c r="H138" s="47"/>
      <c r="I138" s="47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9"/>
      <c r="AH138" s="48"/>
      <c r="AI138" s="48"/>
      <c r="AJ138" s="48"/>
      <c r="AK138" s="48"/>
      <c r="AL138" s="48"/>
      <c r="AM138" s="48"/>
      <c r="AN138" s="48"/>
      <c r="AO138" s="7"/>
      <c r="AP138" s="166" t="s">
        <v>122</v>
      </c>
      <c r="AR138" s="6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CB138" s="72"/>
      <c r="CC138" s="72"/>
      <c r="DF138" s="72"/>
      <c r="EN138" s="64"/>
      <c r="EO138" s="72"/>
      <c r="EP138" s="72"/>
      <c r="EQ138" s="72"/>
      <c r="ER138" s="72"/>
      <c r="GU138" s="72"/>
      <c r="KP138" s="72"/>
      <c r="KQ138" s="72"/>
      <c r="KR138" s="72"/>
      <c r="KS138" s="72"/>
      <c r="PW138" s="72"/>
      <c r="PX138" s="72"/>
      <c r="PZ138" s="72"/>
      <c r="QN138" s="127"/>
      <c r="QR138" s="72"/>
      <c r="SU138" s="127"/>
      <c r="AID138" s="72"/>
      <c r="AJS138" s="72"/>
      <c r="AJT138" s="72"/>
      <c r="AJU138" s="72"/>
    </row>
    <row r="139" spans="6:957" x14ac:dyDescent="0.3">
      <c r="F139" s="107"/>
      <c r="G139" s="233" t="s">
        <v>112</v>
      </c>
      <c r="H139" s="119"/>
      <c r="I139" s="107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80"/>
      <c r="AP139" s="122" t="s">
        <v>112</v>
      </c>
      <c r="AR139" s="81"/>
      <c r="CB139" s="82"/>
      <c r="CC139" s="82"/>
      <c r="DF139" s="82"/>
      <c r="EN139" s="64"/>
      <c r="EO139" s="82"/>
      <c r="EP139" s="82"/>
      <c r="EQ139" s="82"/>
      <c r="ER139" s="82"/>
      <c r="GU139" s="82"/>
      <c r="KP139" s="82"/>
      <c r="KQ139" s="82"/>
      <c r="KR139" s="82"/>
      <c r="KS139" s="82"/>
      <c r="PW139" s="82"/>
      <c r="PX139" s="82"/>
      <c r="PZ139" s="82"/>
      <c r="QN139" s="88"/>
      <c r="QR139" s="82"/>
      <c r="SU139" s="88"/>
      <c r="AID139" s="72"/>
      <c r="AJS139" s="72"/>
      <c r="AJT139" s="72"/>
      <c r="AJU139" s="72"/>
    </row>
    <row r="140" spans="6:957" x14ac:dyDescent="0.3">
      <c r="F140" s="107"/>
      <c r="G140" s="17" t="s">
        <v>131</v>
      </c>
      <c r="H140" s="119"/>
      <c r="I140" s="174" t="s">
        <v>114</v>
      </c>
      <c r="J140" s="238">
        <v>0</v>
      </c>
      <c r="K140" s="238">
        <v>0</v>
      </c>
      <c r="L140" s="238">
        <v>0</v>
      </c>
      <c r="M140" s="238">
        <v>0</v>
      </c>
      <c r="N140" s="238">
        <v>0</v>
      </c>
      <c r="O140" s="238">
        <v>0</v>
      </c>
      <c r="P140" s="238">
        <v>0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0</v>
      </c>
      <c r="AA140" s="238">
        <v>0</v>
      </c>
      <c r="AB140" s="238">
        <v>0</v>
      </c>
      <c r="AC140" s="238">
        <v>0</v>
      </c>
      <c r="AD140" s="238">
        <v>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0</v>
      </c>
      <c r="AJ140" s="238">
        <v>0</v>
      </c>
      <c r="AK140" s="238">
        <v>0</v>
      </c>
      <c r="AL140" s="238">
        <v>0</v>
      </c>
      <c r="AM140" s="238">
        <v>1</v>
      </c>
      <c r="AN140" s="238">
        <v>0</v>
      </c>
      <c r="AO140" s="80"/>
      <c r="AP140" s="70">
        <f>SUM(J140:AN140)</f>
        <v>1</v>
      </c>
      <c r="AR140" s="81"/>
      <c r="CB140" s="82"/>
      <c r="CC140" s="82"/>
      <c r="DF140" s="82"/>
      <c r="EN140" s="64"/>
      <c r="EO140" s="82"/>
      <c r="EP140" s="82"/>
      <c r="EQ140" s="82"/>
      <c r="ER140" s="82"/>
      <c r="GU140" s="82"/>
      <c r="KP140" s="82"/>
      <c r="KQ140" s="82"/>
      <c r="KR140" s="82"/>
      <c r="KS140" s="82"/>
      <c r="PW140" s="82"/>
      <c r="PX140" s="82"/>
      <c r="PZ140" s="82"/>
      <c r="QN140" s="88"/>
      <c r="QR140" s="82"/>
      <c r="SU140" s="88"/>
      <c r="AID140" s="72"/>
      <c r="AJS140" s="72"/>
      <c r="AJT140" s="72"/>
      <c r="AJU140" s="72"/>
    </row>
    <row r="141" spans="6:957" x14ac:dyDescent="0.3">
      <c r="F141" s="107"/>
      <c r="G141" s="17" t="s">
        <v>132</v>
      </c>
      <c r="H141" s="119"/>
      <c r="I141" s="174" t="s">
        <v>114</v>
      </c>
      <c r="J141" s="238">
        <v>0</v>
      </c>
      <c r="K141" s="238">
        <v>0</v>
      </c>
      <c r="L141" s="238">
        <v>0</v>
      </c>
      <c r="M141" s="238">
        <v>0</v>
      </c>
      <c r="N141" s="238">
        <v>0</v>
      </c>
      <c r="O141" s="238">
        <v>0</v>
      </c>
      <c r="P141" s="238">
        <v>0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0</v>
      </c>
      <c r="X141" s="238">
        <v>0</v>
      </c>
      <c r="Y141" s="238">
        <v>0</v>
      </c>
      <c r="Z141" s="238">
        <v>0</v>
      </c>
      <c r="AA141" s="238">
        <v>0</v>
      </c>
      <c r="AB141" s="238">
        <v>0</v>
      </c>
      <c r="AC141" s="238">
        <v>0</v>
      </c>
      <c r="AD141" s="238">
        <v>0</v>
      </c>
      <c r="AE141" s="238">
        <v>0</v>
      </c>
      <c r="AF141" s="238">
        <v>0</v>
      </c>
      <c r="AG141" s="238">
        <v>0</v>
      </c>
      <c r="AH141" s="238">
        <v>0</v>
      </c>
      <c r="AI141" s="238">
        <v>0</v>
      </c>
      <c r="AJ141" s="238">
        <v>0</v>
      </c>
      <c r="AK141" s="238">
        <v>0</v>
      </c>
      <c r="AL141" s="238">
        <v>0</v>
      </c>
      <c r="AM141" s="238">
        <v>1</v>
      </c>
      <c r="AN141" s="238">
        <v>0</v>
      </c>
      <c r="AO141" s="80"/>
      <c r="AP141" s="70">
        <f>SUM(J141:AN141)</f>
        <v>1</v>
      </c>
      <c r="AR141" s="81"/>
      <c r="CB141" s="82"/>
      <c r="CC141" s="82"/>
      <c r="DF141" s="82"/>
      <c r="EN141" s="64"/>
      <c r="EO141" s="82"/>
      <c r="EP141" s="82"/>
      <c r="EQ141" s="82"/>
      <c r="ER141" s="82"/>
      <c r="GU141" s="82"/>
      <c r="KP141" s="82"/>
      <c r="KQ141" s="82"/>
      <c r="KR141" s="82"/>
      <c r="KS141" s="82"/>
      <c r="PW141" s="82"/>
      <c r="PX141" s="82"/>
      <c r="PZ141" s="82"/>
      <c r="QN141" s="88"/>
      <c r="QR141" s="82"/>
      <c r="SU141" s="88"/>
      <c r="AID141" s="72"/>
      <c r="AJS141" s="72"/>
      <c r="AJT141" s="72"/>
      <c r="AJU141" s="72"/>
    </row>
    <row r="142" spans="6:957" x14ac:dyDescent="0.3">
      <c r="F142" s="107"/>
      <c r="G142" s="233" t="s">
        <v>116</v>
      </c>
      <c r="H142" s="119"/>
      <c r="I142" s="107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80"/>
      <c r="AP142" s="122" t="s">
        <v>116</v>
      </c>
      <c r="AR142" s="81"/>
      <c r="CB142" s="82"/>
      <c r="CC142" s="82"/>
      <c r="DF142" s="82"/>
      <c r="EN142" s="64"/>
      <c r="EO142" s="82"/>
      <c r="EP142" s="82"/>
      <c r="EQ142" s="82"/>
      <c r="ER142" s="82"/>
      <c r="GU142" s="82"/>
      <c r="KP142" s="82"/>
      <c r="KQ142" s="82"/>
      <c r="KR142" s="82"/>
      <c r="KS142" s="82"/>
      <c r="PW142" s="82"/>
      <c r="PX142" s="82"/>
      <c r="PZ142" s="82"/>
      <c r="QN142" s="88"/>
      <c r="QR142" s="82"/>
      <c r="SU142" s="88"/>
      <c r="AID142" s="72"/>
      <c r="AJS142" s="72"/>
      <c r="AJT142" s="72"/>
      <c r="AJU142" s="72"/>
    </row>
    <row r="143" spans="6:957" x14ac:dyDescent="0.3">
      <c r="F143" s="107"/>
      <c r="G143" s="17" t="str">
        <f>G140</f>
        <v xml:space="preserve">INL SP 900 mL  </v>
      </c>
      <c r="H143" s="119"/>
      <c r="I143" s="174" t="s">
        <v>116</v>
      </c>
      <c r="J143" s="238">
        <v>0</v>
      </c>
      <c r="K143" s="238">
        <v>0</v>
      </c>
      <c r="L143" s="238">
        <v>0</v>
      </c>
      <c r="M143" s="238">
        <v>0</v>
      </c>
      <c r="N143" s="238">
        <v>0</v>
      </c>
      <c r="O143" s="238">
        <v>0</v>
      </c>
      <c r="P143" s="238">
        <v>0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0</v>
      </c>
      <c r="Y143" s="238">
        <v>0</v>
      </c>
      <c r="Z143" s="238">
        <v>0</v>
      </c>
      <c r="AA143" s="238">
        <v>0</v>
      </c>
      <c r="AB143" s="238">
        <v>0</v>
      </c>
      <c r="AC143" s="238">
        <v>0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0</v>
      </c>
      <c r="AJ143" s="238">
        <v>0</v>
      </c>
      <c r="AK143" s="238">
        <v>0</v>
      </c>
      <c r="AL143" s="238">
        <v>0</v>
      </c>
      <c r="AM143" s="238">
        <v>9</v>
      </c>
      <c r="AN143" s="238">
        <v>0</v>
      </c>
      <c r="AO143" s="80"/>
      <c r="AP143" s="70">
        <f>SUM(J143:AN143)</f>
        <v>9</v>
      </c>
      <c r="AR143" s="81"/>
      <c r="CB143" s="82"/>
      <c r="CC143" s="82"/>
      <c r="DF143" s="82"/>
      <c r="EN143" s="64"/>
      <c r="EO143" s="82"/>
      <c r="EP143" s="82"/>
      <c r="EQ143" s="82"/>
      <c r="ER143" s="82"/>
      <c r="GU143" s="82"/>
      <c r="KP143" s="82"/>
      <c r="KQ143" s="82"/>
      <c r="KR143" s="82"/>
      <c r="KS143" s="82"/>
      <c r="PW143" s="82"/>
      <c r="PX143" s="82"/>
      <c r="PZ143" s="82"/>
      <c r="QN143" s="88"/>
      <c r="QR143" s="82"/>
      <c r="SU143" s="88"/>
      <c r="AID143" s="72"/>
      <c r="AJS143" s="72"/>
      <c r="AJT143" s="72"/>
      <c r="AJU143" s="72"/>
    </row>
    <row r="144" spans="6:957" x14ac:dyDescent="0.3">
      <c r="F144" s="107"/>
      <c r="G144" s="17" t="str">
        <f>G141</f>
        <v>INL SP 1,8 L</v>
      </c>
      <c r="H144" s="119"/>
      <c r="I144" s="174" t="s">
        <v>116</v>
      </c>
      <c r="J144" s="238">
        <v>0</v>
      </c>
      <c r="K144" s="238">
        <v>0</v>
      </c>
      <c r="L144" s="238">
        <v>0</v>
      </c>
      <c r="M144" s="238">
        <v>0</v>
      </c>
      <c r="N144" s="238">
        <v>0</v>
      </c>
      <c r="O144" s="238">
        <v>0</v>
      </c>
      <c r="P144" s="238">
        <v>0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0</v>
      </c>
      <c r="Z144" s="238">
        <v>0</v>
      </c>
      <c r="AA144" s="238">
        <v>0</v>
      </c>
      <c r="AB144" s="238">
        <v>0</v>
      </c>
      <c r="AC144" s="238">
        <v>0</v>
      </c>
      <c r="AD144" s="238">
        <v>0</v>
      </c>
      <c r="AE144" s="238">
        <v>0</v>
      </c>
      <c r="AF144" s="238">
        <v>0</v>
      </c>
      <c r="AG144" s="238">
        <v>0</v>
      </c>
      <c r="AH144" s="238">
        <v>0</v>
      </c>
      <c r="AI144" s="238">
        <v>0</v>
      </c>
      <c r="AJ144" s="238">
        <v>0</v>
      </c>
      <c r="AK144" s="238">
        <v>0</v>
      </c>
      <c r="AL144" s="238">
        <v>0</v>
      </c>
      <c r="AM144" s="238">
        <v>3</v>
      </c>
      <c r="AN144" s="238">
        <v>0</v>
      </c>
      <c r="AO144" s="80"/>
      <c r="AP144" s="70">
        <f>SUM(J144:AN144)</f>
        <v>3</v>
      </c>
      <c r="AR144" s="81"/>
      <c r="CB144" s="82"/>
      <c r="CC144" s="82"/>
      <c r="DF144" s="82"/>
      <c r="EN144" s="64"/>
      <c r="EO144" s="82"/>
      <c r="EP144" s="82"/>
      <c r="EQ144" s="82"/>
      <c r="ER144" s="82"/>
      <c r="GU144" s="82"/>
      <c r="KP144" s="82"/>
      <c r="KQ144" s="82"/>
      <c r="KR144" s="82"/>
      <c r="KS144" s="82"/>
      <c r="PW144" s="82"/>
      <c r="PX144" s="82"/>
      <c r="PZ144" s="82"/>
      <c r="QN144" s="88"/>
      <c r="QR144" s="82"/>
      <c r="SU144" s="88"/>
      <c r="AID144" s="72"/>
      <c r="AJS144" s="72"/>
      <c r="AJT144" s="72"/>
      <c r="AJU144" s="72"/>
    </row>
    <row r="145" spans="6:957" x14ac:dyDescent="0.3">
      <c r="F145" s="46">
        <v>8</v>
      </c>
      <c r="G145" s="12" t="s">
        <v>133</v>
      </c>
      <c r="H145" s="47"/>
      <c r="I145" s="47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9"/>
      <c r="AH145" s="48"/>
      <c r="AI145" s="48"/>
      <c r="AJ145" s="48"/>
      <c r="AK145" s="48"/>
      <c r="AL145" s="48"/>
      <c r="AM145" s="48"/>
      <c r="AN145" s="48"/>
      <c r="AO145" s="7"/>
      <c r="AP145" s="166" t="s">
        <v>105</v>
      </c>
      <c r="AR145" s="6"/>
      <c r="CB145" s="72"/>
      <c r="CC145" s="72"/>
      <c r="DF145" s="72"/>
      <c r="EN145" s="64"/>
      <c r="EO145" s="72"/>
      <c r="EP145" s="72"/>
      <c r="EQ145" s="72"/>
      <c r="ER145" s="72"/>
      <c r="GU145" s="72"/>
      <c r="KP145" s="72"/>
      <c r="KQ145" s="72"/>
      <c r="KR145" s="72"/>
      <c r="KS145" s="72"/>
      <c r="PW145" s="72"/>
      <c r="PX145" s="72"/>
      <c r="PZ145" s="72"/>
      <c r="QN145" s="127"/>
      <c r="QR145" s="72"/>
      <c r="SU145" s="127"/>
      <c r="AID145" s="72"/>
      <c r="AJS145" s="72"/>
      <c r="AJT145" s="72"/>
      <c r="AJU145" s="72"/>
    </row>
    <row r="146" spans="6:957" x14ac:dyDescent="0.3">
      <c r="F146" s="107"/>
      <c r="G146" s="247" t="s">
        <v>134</v>
      </c>
      <c r="H146" s="248"/>
      <c r="I146" s="249" t="s">
        <v>10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Z146" s="262">
        <v>0</v>
      </c>
      <c r="AA146" s="262">
        <v>0</v>
      </c>
      <c r="AB146" s="262">
        <v>0</v>
      </c>
      <c r="AC146" s="262">
        <v>0</v>
      </c>
      <c r="AD146" s="262">
        <v>0</v>
      </c>
      <c r="AE146" s="262">
        <v>0</v>
      </c>
      <c r="AF146" s="262">
        <v>0</v>
      </c>
      <c r="AG146" s="262">
        <v>0</v>
      </c>
      <c r="AH146" s="262">
        <v>0</v>
      </c>
      <c r="AI146" s="262">
        <v>0</v>
      </c>
      <c r="AJ146" s="262">
        <v>0</v>
      </c>
      <c r="AK146" s="262">
        <v>0</v>
      </c>
      <c r="AL146" s="262">
        <v>0</v>
      </c>
      <c r="AM146" s="262">
        <v>0</v>
      </c>
      <c r="AN146" s="262">
        <v>0</v>
      </c>
      <c r="AO146" s="252"/>
      <c r="AP146" s="218">
        <f>SUM(J146:AN146)</f>
        <v>0</v>
      </c>
      <c r="AR146" s="81"/>
      <c r="CB146" s="82"/>
      <c r="CC146" s="82"/>
      <c r="DF146" s="82"/>
      <c r="EN146" s="64"/>
      <c r="EO146" s="82"/>
      <c r="EP146" s="82"/>
      <c r="EQ146" s="82"/>
      <c r="ER146" s="82"/>
      <c r="GU146" s="82"/>
      <c r="KP146" s="82"/>
      <c r="KQ146" s="82"/>
      <c r="KR146" s="82"/>
      <c r="KS146" s="82"/>
      <c r="PW146" s="82"/>
      <c r="PX146" s="82"/>
      <c r="PZ146" s="82"/>
      <c r="QN146" s="88"/>
      <c r="QR146" s="82"/>
      <c r="SU146" s="88"/>
      <c r="AID146" s="72"/>
      <c r="AJS146" s="72"/>
      <c r="AJT146" s="72"/>
      <c r="AJU146" s="72"/>
    </row>
    <row r="147" spans="6:957" x14ac:dyDescent="0.3">
      <c r="F147" s="107"/>
      <c r="G147" s="247" t="s">
        <v>128</v>
      </c>
      <c r="H147" s="248"/>
      <c r="I147" s="249" t="s">
        <v>10</v>
      </c>
      <c r="J147" s="262">
        <v>0</v>
      </c>
      <c r="K147" s="262">
        <v>0</v>
      </c>
      <c r="L147" s="262">
        <v>0</v>
      </c>
      <c r="M147" s="262">
        <v>0</v>
      </c>
      <c r="N147" s="262">
        <v>0</v>
      </c>
      <c r="O147" s="262">
        <v>0</v>
      </c>
      <c r="P147" s="262">
        <v>0</v>
      </c>
      <c r="Q147" s="262">
        <v>0</v>
      </c>
      <c r="R147" s="262">
        <v>0</v>
      </c>
      <c r="S147" s="262">
        <v>0</v>
      </c>
      <c r="T147" s="262">
        <v>0</v>
      </c>
      <c r="U147" s="262">
        <v>0</v>
      </c>
      <c r="V147" s="262">
        <v>0</v>
      </c>
      <c r="W147" s="262">
        <v>0</v>
      </c>
      <c r="X147" s="262">
        <v>0</v>
      </c>
      <c r="Y147" s="262">
        <v>0</v>
      </c>
      <c r="Z147" s="262">
        <v>0</v>
      </c>
      <c r="AA147" s="262">
        <v>0</v>
      </c>
      <c r="AB147" s="262">
        <v>0</v>
      </c>
      <c r="AC147" s="262">
        <v>0</v>
      </c>
      <c r="AD147" s="262">
        <v>0</v>
      </c>
      <c r="AE147" s="262">
        <v>0</v>
      </c>
      <c r="AF147" s="262">
        <v>0</v>
      </c>
      <c r="AG147" s="262">
        <v>0</v>
      </c>
      <c r="AH147" s="262">
        <v>0</v>
      </c>
      <c r="AI147" s="262">
        <v>0</v>
      </c>
      <c r="AJ147" s="262">
        <v>0</v>
      </c>
      <c r="AK147" s="262">
        <v>0</v>
      </c>
      <c r="AL147" s="262">
        <v>0</v>
      </c>
      <c r="AM147" s="262">
        <v>0</v>
      </c>
      <c r="AN147" s="262">
        <v>0</v>
      </c>
      <c r="AO147" s="252"/>
      <c r="AP147" s="218">
        <f>SUM(AP148:AP149)</f>
        <v>0</v>
      </c>
      <c r="AR147" s="88">
        <f>U148/1000</f>
        <v>0</v>
      </c>
      <c r="CB147" s="82"/>
      <c r="CC147" s="82"/>
      <c r="DF147" s="82"/>
      <c r="EN147" s="64"/>
      <c r="EO147" s="82"/>
      <c r="EP147" s="82"/>
      <c r="EQ147" s="82"/>
      <c r="ER147" s="82"/>
      <c r="GU147" s="82"/>
      <c r="KP147" s="82"/>
      <c r="KQ147" s="82"/>
      <c r="KR147" s="82"/>
      <c r="KS147" s="82"/>
      <c r="PW147" s="82"/>
      <c r="PX147" s="82"/>
      <c r="PZ147" s="82"/>
      <c r="QN147" s="88"/>
      <c r="QR147" s="82"/>
      <c r="SU147" s="88"/>
      <c r="AID147" s="72"/>
      <c r="AJS147" s="72"/>
      <c r="AJT147" s="72"/>
      <c r="AJU147" s="72"/>
    </row>
    <row r="148" spans="6:957" x14ac:dyDescent="0.3">
      <c r="F148" s="107"/>
      <c r="G148" s="233" t="s">
        <v>109</v>
      </c>
      <c r="H148" s="119"/>
      <c r="I148" s="174" t="s">
        <v>10</v>
      </c>
      <c r="J148" s="169">
        <f>SUM(J151:J153)*9.75348</f>
        <v>0</v>
      </c>
      <c r="K148" s="169">
        <f t="shared" ref="K148:X148" si="73">SUM(K151:K153)*9.75348</f>
        <v>0</v>
      </c>
      <c r="L148" s="169">
        <f t="shared" si="73"/>
        <v>0</v>
      </c>
      <c r="M148" s="169">
        <f t="shared" si="73"/>
        <v>0</v>
      </c>
      <c r="N148" s="169">
        <f t="shared" si="73"/>
        <v>0</v>
      </c>
      <c r="O148" s="169">
        <f t="shared" si="73"/>
        <v>0</v>
      </c>
      <c r="P148" s="169">
        <f t="shared" si="73"/>
        <v>0</v>
      </c>
      <c r="Q148" s="169">
        <f t="shared" si="73"/>
        <v>0</v>
      </c>
      <c r="R148" s="169">
        <f t="shared" si="73"/>
        <v>0</v>
      </c>
      <c r="S148" s="169">
        <f t="shared" si="73"/>
        <v>0</v>
      </c>
      <c r="T148" s="169">
        <f t="shared" si="73"/>
        <v>0</v>
      </c>
      <c r="U148" s="169">
        <f t="shared" si="73"/>
        <v>0</v>
      </c>
      <c r="V148" s="169">
        <f t="shared" si="73"/>
        <v>0</v>
      </c>
      <c r="W148" s="169">
        <f t="shared" si="73"/>
        <v>0</v>
      </c>
      <c r="X148" s="169">
        <f t="shared" si="73"/>
        <v>0</v>
      </c>
      <c r="Y148" s="169">
        <f t="shared" ref="Y148:AN148" si="74">SUM(Y151:Y153)*9.75348</f>
        <v>0</v>
      </c>
      <c r="Z148" s="169">
        <f t="shared" si="74"/>
        <v>0</v>
      </c>
      <c r="AA148" s="169">
        <f t="shared" si="74"/>
        <v>0</v>
      </c>
      <c r="AB148" s="169">
        <f t="shared" si="74"/>
        <v>0</v>
      </c>
      <c r="AC148" s="169">
        <f t="shared" si="74"/>
        <v>0</v>
      </c>
      <c r="AD148" s="169">
        <f t="shared" si="74"/>
        <v>0</v>
      </c>
      <c r="AE148" s="169">
        <f t="shared" si="74"/>
        <v>0</v>
      </c>
      <c r="AF148" s="169">
        <f t="shared" si="74"/>
        <v>0</v>
      </c>
      <c r="AG148" s="169">
        <f t="shared" si="74"/>
        <v>0</v>
      </c>
      <c r="AH148" s="169">
        <f t="shared" si="74"/>
        <v>0</v>
      </c>
      <c r="AI148" s="169">
        <f t="shared" si="74"/>
        <v>0</v>
      </c>
      <c r="AJ148" s="169">
        <f t="shared" si="74"/>
        <v>0</v>
      </c>
      <c r="AK148" s="169">
        <f t="shared" si="74"/>
        <v>0</v>
      </c>
      <c r="AL148" s="169">
        <f t="shared" si="74"/>
        <v>0</v>
      </c>
      <c r="AM148" s="169">
        <f t="shared" si="74"/>
        <v>0</v>
      </c>
      <c r="AN148" s="169">
        <f t="shared" si="74"/>
        <v>0</v>
      </c>
      <c r="AO148" s="80"/>
      <c r="AP148" s="97">
        <f>SUM(J148:AN148)</f>
        <v>0</v>
      </c>
      <c r="AR148" s="88"/>
      <c r="CB148" s="82"/>
      <c r="CC148" s="82"/>
      <c r="DF148" s="82"/>
      <c r="EN148" s="64"/>
      <c r="EO148" s="82"/>
      <c r="EP148" s="82"/>
      <c r="EQ148" s="82"/>
      <c r="ER148" s="82"/>
      <c r="GU148" s="82"/>
      <c r="KP148" s="82"/>
      <c r="KQ148" s="82"/>
      <c r="KR148" s="82"/>
      <c r="KS148" s="82"/>
      <c r="PW148" s="82"/>
      <c r="PX148" s="82"/>
      <c r="PZ148" s="82"/>
      <c r="QN148" s="88"/>
      <c r="QR148" s="82"/>
      <c r="SU148" s="88"/>
      <c r="AID148" s="72"/>
      <c r="AJS148" s="72"/>
      <c r="AJT148" s="72"/>
      <c r="AJU148" s="72"/>
    </row>
    <row r="149" spans="6:957" x14ac:dyDescent="0.3">
      <c r="F149" s="107"/>
      <c r="G149" s="233" t="s">
        <v>110</v>
      </c>
      <c r="H149" s="119"/>
      <c r="I149" s="174" t="s">
        <v>10</v>
      </c>
      <c r="J149" s="169">
        <f t="shared" ref="J149:AN149" si="75">J147-J148</f>
        <v>0</v>
      </c>
      <c r="K149" s="169">
        <f t="shared" si="75"/>
        <v>0</v>
      </c>
      <c r="L149" s="169">
        <f t="shared" si="75"/>
        <v>0</v>
      </c>
      <c r="M149" s="169">
        <f t="shared" si="75"/>
        <v>0</v>
      </c>
      <c r="N149" s="169">
        <f t="shared" si="75"/>
        <v>0</v>
      </c>
      <c r="O149" s="169">
        <f t="shared" si="75"/>
        <v>0</v>
      </c>
      <c r="P149" s="169">
        <f t="shared" si="75"/>
        <v>0</v>
      </c>
      <c r="Q149" s="169">
        <f t="shared" si="75"/>
        <v>0</v>
      </c>
      <c r="R149" s="169">
        <f t="shared" si="75"/>
        <v>0</v>
      </c>
      <c r="S149" s="169">
        <f t="shared" si="75"/>
        <v>0</v>
      </c>
      <c r="T149" s="169">
        <f t="shared" si="75"/>
        <v>0</v>
      </c>
      <c r="U149" s="169">
        <f t="shared" si="75"/>
        <v>0</v>
      </c>
      <c r="V149" s="169">
        <f t="shared" si="75"/>
        <v>0</v>
      </c>
      <c r="W149" s="169">
        <f t="shared" si="75"/>
        <v>0</v>
      </c>
      <c r="X149" s="169">
        <f t="shared" si="75"/>
        <v>0</v>
      </c>
      <c r="Y149" s="169">
        <f t="shared" si="75"/>
        <v>0</v>
      </c>
      <c r="Z149" s="169">
        <f t="shared" si="75"/>
        <v>0</v>
      </c>
      <c r="AA149" s="169">
        <f t="shared" si="75"/>
        <v>0</v>
      </c>
      <c r="AB149" s="169">
        <f t="shared" si="75"/>
        <v>0</v>
      </c>
      <c r="AC149" s="169">
        <f t="shared" si="75"/>
        <v>0</v>
      </c>
      <c r="AD149" s="169">
        <f t="shared" si="75"/>
        <v>0</v>
      </c>
      <c r="AE149" s="169">
        <f t="shared" si="75"/>
        <v>0</v>
      </c>
      <c r="AF149" s="169">
        <f t="shared" si="75"/>
        <v>0</v>
      </c>
      <c r="AG149" s="169">
        <f t="shared" si="75"/>
        <v>0</v>
      </c>
      <c r="AH149" s="169">
        <f t="shared" si="75"/>
        <v>0</v>
      </c>
      <c r="AI149" s="169">
        <f t="shared" si="75"/>
        <v>0</v>
      </c>
      <c r="AJ149" s="169">
        <f t="shared" si="75"/>
        <v>0</v>
      </c>
      <c r="AK149" s="169">
        <f t="shared" si="75"/>
        <v>0</v>
      </c>
      <c r="AL149" s="169">
        <f t="shared" si="75"/>
        <v>0</v>
      </c>
      <c r="AM149" s="169">
        <f t="shared" si="75"/>
        <v>0</v>
      </c>
      <c r="AN149" s="169">
        <f t="shared" si="75"/>
        <v>0</v>
      </c>
      <c r="AO149" s="80"/>
      <c r="AP149" s="97">
        <f>SUM(J149:AN149)</f>
        <v>0</v>
      </c>
      <c r="AR149" s="235"/>
      <c r="CB149" s="82"/>
      <c r="CC149" s="82"/>
      <c r="DF149" s="82"/>
      <c r="EN149" s="64"/>
      <c r="EO149" s="82"/>
      <c r="EP149" s="82"/>
      <c r="EQ149" s="82"/>
      <c r="ER149" s="82"/>
      <c r="GU149" s="82"/>
      <c r="KP149" s="82"/>
      <c r="KQ149" s="82"/>
      <c r="KR149" s="82"/>
      <c r="KS149" s="82"/>
      <c r="PW149" s="82"/>
      <c r="PX149" s="82"/>
      <c r="PZ149" s="82"/>
      <c r="QN149" s="88"/>
      <c r="QR149" s="82"/>
      <c r="SU149" s="88"/>
      <c r="AID149" s="72"/>
      <c r="AJS149" s="72"/>
      <c r="AJT149" s="72"/>
      <c r="AJU149" s="72"/>
    </row>
    <row r="150" spans="6:957" x14ac:dyDescent="0.3">
      <c r="F150" s="107"/>
      <c r="G150" s="233" t="s">
        <v>112</v>
      </c>
      <c r="H150" s="119"/>
      <c r="I150" s="107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80"/>
      <c r="AP150" s="122" t="s">
        <v>112</v>
      </c>
      <c r="AR150" s="81"/>
      <c r="CB150" s="82"/>
      <c r="CC150" s="82"/>
      <c r="DF150" s="82"/>
      <c r="EN150" s="64"/>
      <c r="EO150" s="82"/>
      <c r="EP150" s="82"/>
      <c r="EQ150" s="82"/>
      <c r="ER150" s="82"/>
      <c r="GU150" s="82"/>
      <c r="KP150" s="82"/>
      <c r="KQ150" s="82"/>
      <c r="KR150" s="82"/>
      <c r="KS150" s="82"/>
      <c r="PW150" s="82"/>
      <c r="PX150" s="82"/>
      <c r="PZ150" s="82"/>
      <c r="QN150" s="88"/>
      <c r="QR150" s="82"/>
      <c r="SU150" s="88"/>
      <c r="AID150" s="72"/>
      <c r="AJS150" s="72"/>
      <c r="AJT150" s="72"/>
      <c r="AJU150" s="72"/>
    </row>
    <row r="151" spans="6:957" x14ac:dyDescent="0.3">
      <c r="F151" s="19"/>
      <c r="G151" s="17" t="s">
        <v>135</v>
      </c>
      <c r="H151" s="18"/>
      <c r="I151" s="237" t="s">
        <v>114</v>
      </c>
      <c r="J151" s="238">
        <v>0</v>
      </c>
      <c r="K151" s="238">
        <v>0</v>
      </c>
      <c r="L151" s="238">
        <v>0</v>
      </c>
      <c r="M151" s="238">
        <v>0</v>
      </c>
      <c r="N151" s="238">
        <v>0</v>
      </c>
      <c r="O151" s="238">
        <v>0</v>
      </c>
      <c r="P151" s="238">
        <v>0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0</v>
      </c>
      <c r="AA151" s="238">
        <v>0</v>
      </c>
      <c r="AB151" s="238">
        <v>0</v>
      </c>
      <c r="AC151" s="238">
        <v>0</v>
      </c>
      <c r="AD151" s="238">
        <v>0</v>
      </c>
      <c r="AE151" s="238">
        <v>0</v>
      </c>
      <c r="AF151" s="238">
        <v>0</v>
      </c>
      <c r="AG151" s="238">
        <v>0</v>
      </c>
      <c r="AH151" s="238">
        <v>0</v>
      </c>
      <c r="AI151" s="238">
        <v>0</v>
      </c>
      <c r="AJ151" s="238">
        <v>0</v>
      </c>
      <c r="AK151" s="238">
        <v>0</v>
      </c>
      <c r="AL151" s="238">
        <v>0</v>
      </c>
      <c r="AM151" s="238">
        <v>0</v>
      </c>
      <c r="AN151" s="238">
        <v>0</v>
      </c>
      <c r="AO151" s="154"/>
      <c r="AP151" s="155">
        <f>SUM(J151:AN151)</f>
        <v>0</v>
      </c>
      <c r="AR151" s="242"/>
      <c r="CB151" s="240"/>
      <c r="CC151" s="240"/>
      <c r="DF151" s="240"/>
      <c r="EN151" s="163"/>
      <c r="EO151" s="240"/>
      <c r="EP151" s="240"/>
      <c r="EQ151" s="240"/>
      <c r="ER151" s="240"/>
      <c r="GU151" s="240"/>
      <c r="KP151" s="240"/>
      <c r="KQ151" s="240"/>
      <c r="KR151" s="240"/>
      <c r="KS151" s="240"/>
      <c r="PW151" s="240"/>
      <c r="PX151" s="240"/>
      <c r="PZ151" s="240"/>
      <c r="QN151" s="241"/>
      <c r="QR151" s="240"/>
      <c r="SU151" s="241"/>
      <c r="AID151" s="156"/>
      <c r="AJS151" s="156"/>
      <c r="AJT151" s="156"/>
      <c r="AJU151" s="156"/>
    </row>
    <row r="152" spans="6:957" x14ac:dyDescent="0.3">
      <c r="F152" s="19"/>
      <c r="G152" s="17" t="s">
        <v>136</v>
      </c>
      <c r="H152" s="18"/>
      <c r="I152" s="237" t="s">
        <v>114</v>
      </c>
      <c r="J152" s="238">
        <v>0</v>
      </c>
      <c r="K152" s="238">
        <v>0</v>
      </c>
      <c r="L152" s="238">
        <v>0</v>
      </c>
      <c r="M152" s="238">
        <v>0</v>
      </c>
      <c r="N152" s="238">
        <v>0</v>
      </c>
      <c r="O152" s="238">
        <v>0</v>
      </c>
      <c r="P152" s="238">
        <v>0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0</v>
      </c>
      <c r="Z152" s="238">
        <v>0</v>
      </c>
      <c r="AA152" s="238">
        <v>0</v>
      </c>
      <c r="AB152" s="238">
        <v>0</v>
      </c>
      <c r="AC152" s="238">
        <v>0</v>
      </c>
      <c r="AD152" s="238">
        <v>0</v>
      </c>
      <c r="AE152" s="238">
        <v>0</v>
      </c>
      <c r="AF152" s="238">
        <v>0</v>
      </c>
      <c r="AG152" s="238">
        <v>0</v>
      </c>
      <c r="AH152" s="238">
        <v>0</v>
      </c>
      <c r="AI152" s="238">
        <v>0</v>
      </c>
      <c r="AJ152" s="238">
        <v>0</v>
      </c>
      <c r="AK152" s="238">
        <v>0</v>
      </c>
      <c r="AL152" s="238">
        <v>0</v>
      </c>
      <c r="AM152" s="238">
        <v>0</v>
      </c>
      <c r="AN152" s="238">
        <v>0</v>
      </c>
      <c r="AO152" s="154"/>
      <c r="AP152" s="155">
        <f>SUM(J152:AN152)</f>
        <v>0</v>
      </c>
      <c r="AR152" s="242"/>
      <c r="CB152" s="240"/>
      <c r="CC152" s="240"/>
      <c r="DF152" s="240"/>
      <c r="EN152" s="163"/>
      <c r="EO152" s="240"/>
      <c r="EP152" s="240"/>
      <c r="EQ152" s="240"/>
      <c r="ER152" s="240"/>
      <c r="GU152" s="240"/>
      <c r="KP152" s="240"/>
      <c r="KQ152" s="240"/>
      <c r="KR152" s="240"/>
      <c r="KS152" s="240"/>
      <c r="PW152" s="240"/>
      <c r="PX152" s="240"/>
      <c r="PZ152" s="240"/>
      <c r="QN152" s="241"/>
      <c r="QR152" s="240"/>
      <c r="SU152" s="241"/>
      <c r="AID152" s="156"/>
      <c r="AJS152" s="156"/>
      <c r="AJT152" s="156"/>
      <c r="AJU152" s="156"/>
    </row>
    <row r="153" spans="6:957" x14ac:dyDescent="0.3">
      <c r="F153" s="19"/>
      <c r="G153" s="17" t="s">
        <v>137</v>
      </c>
      <c r="H153" s="18"/>
      <c r="I153" s="237" t="s">
        <v>114</v>
      </c>
      <c r="J153" s="238">
        <v>0</v>
      </c>
      <c r="K153" s="238">
        <v>0</v>
      </c>
      <c r="L153" s="238">
        <v>0</v>
      </c>
      <c r="M153" s="238">
        <v>0</v>
      </c>
      <c r="N153" s="238">
        <v>0</v>
      </c>
      <c r="O153" s="238">
        <v>0</v>
      </c>
      <c r="P153" s="238">
        <v>0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0</v>
      </c>
      <c r="Y153" s="238">
        <v>0</v>
      </c>
      <c r="Z153" s="238">
        <v>0</v>
      </c>
      <c r="AA153" s="238">
        <v>0</v>
      </c>
      <c r="AB153" s="238">
        <v>0</v>
      </c>
      <c r="AC153" s="238">
        <v>0</v>
      </c>
      <c r="AD153" s="238">
        <v>0</v>
      </c>
      <c r="AE153" s="238">
        <v>0</v>
      </c>
      <c r="AF153" s="238">
        <v>0</v>
      </c>
      <c r="AG153" s="238">
        <v>0</v>
      </c>
      <c r="AH153" s="238">
        <v>0</v>
      </c>
      <c r="AI153" s="238">
        <v>0</v>
      </c>
      <c r="AJ153" s="238">
        <v>0</v>
      </c>
      <c r="AK153" s="238">
        <v>0</v>
      </c>
      <c r="AL153" s="238">
        <v>0</v>
      </c>
      <c r="AM153" s="238">
        <v>0</v>
      </c>
      <c r="AN153" s="238">
        <v>0</v>
      </c>
      <c r="AO153" s="154"/>
      <c r="AP153" s="155">
        <f>SUM(J153:AN153)</f>
        <v>0</v>
      </c>
      <c r="AR153" s="242"/>
      <c r="CB153" s="240"/>
      <c r="CC153" s="240"/>
      <c r="DF153" s="240"/>
      <c r="EN153" s="163"/>
      <c r="EO153" s="240"/>
      <c r="EP153" s="240"/>
      <c r="EQ153" s="240"/>
      <c r="ER153" s="240"/>
      <c r="GU153" s="240"/>
      <c r="KP153" s="240"/>
      <c r="KQ153" s="240"/>
      <c r="KR153" s="240"/>
      <c r="KS153" s="240"/>
      <c r="PW153" s="240"/>
      <c r="PX153" s="240"/>
      <c r="PZ153" s="240"/>
      <c r="QN153" s="241"/>
      <c r="QR153" s="240"/>
      <c r="SU153" s="241"/>
      <c r="AID153" s="156"/>
      <c r="AJS153" s="156"/>
      <c r="AJT153" s="156"/>
      <c r="AJU153" s="156"/>
    </row>
    <row r="154" spans="6:957" x14ac:dyDescent="0.3">
      <c r="F154" s="107"/>
      <c r="G154" s="233" t="s">
        <v>116</v>
      </c>
      <c r="H154" s="119"/>
      <c r="I154" s="107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80"/>
      <c r="AP154" s="122" t="s">
        <v>116</v>
      </c>
      <c r="AR154" s="81"/>
      <c r="CB154" s="82"/>
      <c r="CC154" s="82"/>
      <c r="DF154" s="82"/>
      <c r="EN154" s="64"/>
      <c r="EO154" s="82"/>
      <c r="EP154" s="82"/>
      <c r="EQ154" s="82"/>
      <c r="ER154" s="82"/>
      <c r="GU154" s="82"/>
      <c r="KP154" s="82"/>
      <c r="KQ154" s="82"/>
      <c r="KR154" s="82"/>
      <c r="KS154" s="82"/>
      <c r="PW154" s="82"/>
      <c r="PX154" s="82"/>
      <c r="PZ154" s="82"/>
      <c r="QN154" s="88"/>
      <c r="QR154" s="82"/>
      <c r="SU154" s="88"/>
      <c r="AID154" s="72"/>
      <c r="AJS154" s="72"/>
      <c r="AJT154" s="72"/>
      <c r="AJU154" s="72"/>
    </row>
    <row r="155" spans="6:957" x14ac:dyDescent="0.3">
      <c r="F155" s="107"/>
      <c r="G155" s="17" t="s">
        <v>135</v>
      </c>
      <c r="H155" s="119"/>
      <c r="I155" s="174" t="s">
        <v>116</v>
      </c>
      <c r="J155" s="69">
        <f>J151*24</f>
        <v>0</v>
      </c>
      <c r="K155" s="69">
        <f t="shared" ref="K155:AN155" si="76">K151*24</f>
        <v>0</v>
      </c>
      <c r="L155" s="69">
        <f t="shared" si="76"/>
        <v>0</v>
      </c>
      <c r="M155" s="69">
        <f t="shared" si="76"/>
        <v>0</v>
      </c>
      <c r="N155" s="69">
        <f t="shared" si="76"/>
        <v>0</v>
      </c>
      <c r="O155" s="69">
        <f t="shared" si="76"/>
        <v>0</v>
      </c>
      <c r="P155" s="69">
        <f t="shared" si="76"/>
        <v>0</v>
      </c>
      <c r="Q155" s="69">
        <f t="shared" si="76"/>
        <v>0</v>
      </c>
      <c r="R155" s="69">
        <f t="shared" si="76"/>
        <v>0</v>
      </c>
      <c r="S155" s="69">
        <f t="shared" si="76"/>
        <v>0</v>
      </c>
      <c r="T155" s="69">
        <f t="shared" si="76"/>
        <v>0</v>
      </c>
      <c r="U155" s="69">
        <f t="shared" si="76"/>
        <v>0</v>
      </c>
      <c r="V155" s="69">
        <f t="shared" si="76"/>
        <v>0</v>
      </c>
      <c r="W155" s="69">
        <f t="shared" si="76"/>
        <v>0</v>
      </c>
      <c r="X155" s="69">
        <f t="shared" si="76"/>
        <v>0</v>
      </c>
      <c r="Y155" s="69">
        <f t="shared" si="76"/>
        <v>0</v>
      </c>
      <c r="Z155" s="69">
        <f t="shared" si="76"/>
        <v>0</v>
      </c>
      <c r="AA155" s="69">
        <f t="shared" si="76"/>
        <v>0</v>
      </c>
      <c r="AB155" s="69">
        <f t="shared" si="76"/>
        <v>0</v>
      </c>
      <c r="AC155" s="69">
        <f t="shared" si="76"/>
        <v>0</v>
      </c>
      <c r="AD155" s="69">
        <f t="shared" si="76"/>
        <v>0</v>
      </c>
      <c r="AE155" s="69">
        <f t="shared" si="76"/>
        <v>0</v>
      </c>
      <c r="AF155" s="69">
        <f t="shared" si="76"/>
        <v>0</v>
      </c>
      <c r="AG155" s="69">
        <f t="shared" si="76"/>
        <v>0</v>
      </c>
      <c r="AH155" s="69">
        <f t="shared" si="76"/>
        <v>0</v>
      </c>
      <c r="AI155" s="69">
        <f t="shared" si="76"/>
        <v>0</v>
      </c>
      <c r="AJ155" s="69">
        <f t="shared" si="76"/>
        <v>0</v>
      </c>
      <c r="AK155" s="69">
        <f t="shared" si="76"/>
        <v>0</v>
      </c>
      <c r="AL155" s="69">
        <f t="shared" si="76"/>
        <v>0</v>
      </c>
      <c r="AM155" s="69">
        <f t="shared" si="76"/>
        <v>0</v>
      </c>
      <c r="AN155" s="69">
        <f t="shared" si="76"/>
        <v>0</v>
      </c>
      <c r="AO155" s="80"/>
      <c r="AP155" s="70">
        <f>AP151*24</f>
        <v>0</v>
      </c>
      <c r="AR155" s="235"/>
      <c r="CB155" s="82"/>
      <c r="CC155" s="82"/>
      <c r="DF155" s="82"/>
      <c r="EN155" s="64"/>
      <c r="EO155" s="82"/>
      <c r="EP155" s="82"/>
      <c r="EQ155" s="82"/>
      <c r="ER155" s="82"/>
      <c r="GU155" s="82"/>
      <c r="KP155" s="82"/>
      <c r="KQ155" s="82"/>
      <c r="KR155" s="82"/>
      <c r="KS155" s="82"/>
      <c r="PW155" s="82"/>
      <c r="PX155" s="82"/>
      <c r="PZ155" s="82"/>
      <c r="QN155" s="88"/>
      <c r="QR155" s="82"/>
      <c r="SU155" s="88"/>
      <c r="AID155" s="72"/>
      <c r="AJS155" s="72"/>
      <c r="AJT155" s="72"/>
      <c r="AJU155" s="72"/>
    </row>
    <row r="156" spans="6:957" x14ac:dyDescent="0.3">
      <c r="F156" s="107"/>
      <c r="G156" s="17" t="s">
        <v>136</v>
      </c>
      <c r="H156" s="119"/>
      <c r="I156" s="174" t="s">
        <v>116</v>
      </c>
      <c r="J156" s="69">
        <f>J152*12</f>
        <v>0</v>
      </c>
      <c r="K156" s="69">
        <f t="shared" ref="K156:AN157" si="77">K152*12</f>
        <v>0</v>
      </c>
      <c r="L156" s="69">
        <f t="shared" si="77"/>
        <v>0</v>
      </c>
      <c r="M156" s="69">
        <f t="shared" si="77"/>
        <v>0</v>
      </c>
      <c r="N156" s="69">
        <f t="shared" si="77"/>
        <v>0</v>
      </c>
      <c r="O156" s="69">
        <f t="shared" si="77"/>
        <v>0</v>
      </c>
      <c r="P156" s="69">
        <f t="shared" si="77"/>
        <v>0</v>
      </c>
      <c r="Q156" s="69">
        <f t="shared" si="77"/>
        <v>0</v>
      </c>
      <c r="R156" s="69">
        <f t="shared" si="77"/>
        <v>0</v>
      </c>
      <c r="S156" s="69">
        <f t="shared" si="77"/>
        <v>0</v>
      </c>
      <c r="T156" s="69">
        <f t="shared" si="77"/>
        <v>0</v>
      </c>
      <c r="U156" s="69">
        <f t="shared" si="77"/>
        <v>0</v>
      </c>
      <c r="V156" s="69">
        <f t="shared" si="77"/>
        <v>0</v>
      </c>
      <c r="W156" s="69">
        <f t="shared" si="77"/>
        <v>0</v>
      </c>
      <c r="X156" s="69">
        <f t="shared" si="77"/>
        <v>0</v>
      </c>
      <c r="Y156" s="69">
        <f t="shared" si="77"/>
        <v>0</v>
      </c>
      <c r="Z156" s="69">
        <f t="shared" si="77"/>
        <v>0</v>
      </c>
      <c r="AA156" s="69">
        <f t="shared" si="77"/>
        <v>0</v>
      </c>
      <c r="AB156" s="69">
        <f t="shared" si="77"/>
        <v>0</v>
      </c>
      <c r="AC156" s="69">
        <f t="shared" si="77"/>
        <v>0</v>
      </c>
      <c r="AD156" s="69">
        <f t="shared" si="77"/>
        <v>0</v>
      </c>
      <c r="AE156" s="69">
        <f t="shared" si="77"/>
        <v>0</v>
      </c>
      <c r="AF156" s="69">
        <f t="shared" si="77"/>
        <v>0</v>
      </c>
      <c r="AG156" s="69">
        <f t="shared" si="77"/>
        <v>0</v>
      </c>
      <c r="AH156" s="69">
        <f t="shared" si="77"/>
        <v>0</v>
      </c>
      <c r="AI156" s="69">
        <f t="shared" si="77"/>
        <v>0</v>
      </c>
      <c r="AJ156" s="69">
        <f t="shared" si="77"/>
        <v>0</v>
      </c>
      <c r="AK156" s="69">
        <f t="shared" si="77"/>
        <v>0</v>
      </c>
      <c r="AL156" s="69">
        <f t="shared" si="77"/>
        <v>0</v>
      </c>
      <c r="AM156" s="69">
        <f t="shared" si="77"/>
        <v>0</v>
      </c>
      <c r="AN156" s="69">
        <f t="shared" si="77"/>
        <v>0</v>
      </c>
      <c r="AO156" s="80"/>
      <c r="AP156" s="70">
        <f>AP152*12</f>
        <v>0</v>
      </c>
      <c r="AR156" s="81"/>
      <c r="CB156" s="82"/>
      <c r="CC156" s="82"/>
      <c r="DF156" s="82"/>
      <c r="EN156" s="64"/>
      <c r="EO156" s="82"/>
      <c r="EP156" s="82"/>
      <c r="EQ156" s="82"/>
      <c r="ER156" s="82"/>
      <c r="GU156" s="82"/>
      <c r="KP156" s="82"/>
      <c r="KQ156" s="82"/>
      <c r="KR156" s="82"/>
      <c r="KS156" s="82"/>
      <c r="PW156" s="82"/>
      <c r="PX156" s="82"/>
      <c r="PZ156" s="82"/>
      <c r="QN156" s="88"/>
      <c r="QR156" s="82"/>
      <c r="SU156" s="88"/>
      <c r="AID156" s="72"/>
      <c r="AJS156" s="72"/>
      <c r="AJT156" s="72"/>
      <c r="AJU156" s="72"/>
    </row>
    <row r="157" spans="6:957" x14ac:dyDescent="0.3">
      <c r="F157" s="107"/>
      <c r="G157" s="17" t="s">
        <v>137</v>
      </c>
      <c r="H157" s="119"/>
      <c r="I157" s="174" t="s">
        <v>116</v>
      </c>
      <c r="J157" s="69">
        <f>J153*6</f>
        <v>0</v>
      </c>
      <c r="K157" s="69">
        <f t="shared" ref="K157:AG157" si="78">K153*6</f>
        <v>0</v>
      </c>
      <c r="L157" s="69">
        <f t="shared" si="78"/>
        <v>0</v>
      </c>
      <c r="M157" s="69">
        <f t="shared" si="78"/>
        <v>0</v>
      </c>
      <c r="N157" s="69">
        <f t="shared" si="78"/>
        <v>0</v>
      </c>
      <c r="O157" s="69">
        <f t="shared" si="78"/>
        <v>0</v>
      </c>
      <c r="P157" s="69">
        <f t="shared" si="78"/>
        <v>0</v>
      </c>
      <c r="Q157" s="69">
        <f t="shared" si="78"/>
        <v>0</v>
      </c>
      <c r="R157" s="69">
        <f t="shared" si="78"/>
        <v>0</v>
      </c>
      <c r="S157" s="69">
        <f t="shared" si="78"/>
        <v>0</v>
      </c>
      <c r="T157" s="69">
        <f t="shared" si="78"/>
        <v>0</v>
      </c>
      <c r="U157" s="69">
        <f t="shared" si="78"/>
        <v>0</v>
      </c>
      <c r="V157" s="69">
        <f t="shared" si="78"/>
        <v>0</v>
      </c>
      <c r="W157" s="69">
        <f t="shared" si="78"/>
        <v>0</v>
      </c>
      <c r="X157" s="69">
        <f t="shared" si="78"/>
        <v>0</v>
      </c>
      <c r="Y157" s="69">
        <f t="shared" si="78"/>
        <v>0</v>
      </c>
      <c r="Z157" s="69">
        <f t="shared" si="78"/>
        <v>0</v>
      </c>
      <c r="AA157" s="69">
        <f t="shared" si="78"/>
        <v>0</v>
      </c>
      <c r="AB157" s="69">
        <f t="shared" si="78"/>
        <v>0</v>
      </c>
      <c r="AC157" s="69">
        <f t="shared" si="78"/>
        <v>0</v>
      </c>
      <c r="AD157" s="69">
        <f t="shared" si="78"/>
        <v>0</v>
      </c>
      <c r="AE157" s="69">
        <f t="shared" si="78"/>
        <v>0</v>
      </c>
      <c r="AF157" s="69">
        <f t="shared" si="78"/>
        <v>0</v>
      </c>
      <c r="AG157" s="69">
        <f t="shared" si="78"/>
        <v>0</v>
      </c>
      <c r="AH157" s="69">
        <f t="shared" si="77"/>
        <v>0</v>
      </c>
      <c r="AI157" s="69">
        <f t="shared" si="77"/>
        <v>0</v>
      </c>
      <c r="AJ157" s="69">
        <f t="shared" si="77"/>
        <v>0</v>
      </c>
      <c r="AK157" s="69">
        <f t="shared" si="77"/>
        <v>0</v>
      </c>
      <c r="AL157" s="69">
        <f t="shared" si="77"/>
        <v>0</v>
      </c>
      <c r="AM157" s="69">
        <f t="shared" si="77"/>
        <v>0</v>
      </c>
      <c r="AN157" s="69">
        <f t="shared" si="77"/>
        <v>0</v>
      </c>
      <c r="AO157" s="80"/>
      <c r="AP157" s="70">
        <f>AP153*6</f>
        <v>0</v>
      </c>
      <c r="AR157" s="81"/>
      <c r="CB157" s="82"/>
      <c r="CC157" s="82"/>
      <c r="DF157" s="82"/>
      <c r="EN157" s="64"/>
      <c r="EO157" s="82"/>
      <c r="EP157" s="82"/>
      <c r="EQ157" s="82"/>
      <c r="ER157" s="82"/>
      <c r="GU157" s="82"/>
      <c r="KP157" s="82"/>
      <c r="KQ157" s="82"/>
      <c r="KR157" s="82"/>
      <c r="KS157" s="82"/>
      <c r="PW157" s="82"/>
      <c r="PX157" s="82"/>
      <c r="PZ157" s="82"/>
      <c r="QN157" s="88"/>
      <c r="QR157" s="82"/>
      <c r="SU157" s="88"/>
      <c r="AID157" s="72"/>
      <c r="AJS157" s="72"/>
      <c r="AJT157" s="72"/>
      <c r="AJU157" s="72"/>
    </row>
    <row r="158" spans="6:957" x14ac:dyDescent="0.3">
      <c r="F158" s="107"/>
      <c r="G158" s="233" t="s">
        <v>117</v>
      </c>
      <c r="H158" s="119"/>
      <c r="I158" s="174" t="s">
        <v>118</v>
      </c>
      <c r="J158" s="69">
        <f>J147*45/1700</f>
        <v>0</v>
      </c>
      <c r="K158" s="69">
        <f t="shared" ref="K158:AN158" si="79">K147*45/1700</f>
        <v>0</v>
      </c>
      <c r="L158" s="69">
        <f t="shared" si="79"/>
        <v>0</v>
      </c>
      <c r="M158" s="69">
        <f t="shared" si="79"/>
        <v>0</v>
      </c>
      <c r="N158" s="69">
        <f t="shared" si="79"/>
        <v>0</v>
      </c>
      <c r="O158" s="69">
        <f t="shared" si="79"/>
        <v>0</v>
      </c>
      <c r="P158" s="69">
        <f t="shared" si="79"/>
        <v>0</v>
      </c>
      <c r="Q158" s="69">
        <f t="shared" si="79"/>
        <v>0</v>
      </c>
      <c r="R158" s="69">
        <f t="shared" si="79"/>
        <v>0</v>
      </c>
      <c r="S158" s="69">
        <f t="shared" si="79"/>
        <v>0</v>
      </c>
      <c r="T158" s="69">
        <f t="shared" si="79"/>
        <v>0</v>
      </c>
      <c r="U158" s="69">
        <f t="shared" si="79"/>
        <v>0</v>
      </c>
      <c r="V158" s="69">
        <f t="shared" si="79"/>
        <v>0</v>
      </c>
      <c r="W158" s="69">
        <f t="shared" si="79"/>
        <v>0</v>
      </c>
      <c r="X158" s="69">
        <f t="shared" si="79"/>
        <v>0</v>
      </c>
      <c r="Y158" s="69">
        <f t="shared" si="79"/>
        <v>0</v>
      </c>
      <c r="Z158" s="69">
        <f t="shared" si="79"/>
        <v>0</v>
      </c>
      <c r="AA158" s="69">
        <f t="shared" si="79"/>
        <v>0</v>
      </c>
      <c r="AB158" s="69">
        <f t="shared" si="79"/>
        <v>0</v>
      </c>
      <c r="AC158" s="69">
        <f t="shared" si="79"/>
        <v>0</v>
      </c>
      <c r="AD158" s="69">
        <f t="shared" si="79"/>
        <v>0</v>
      </c>
      <c r="AE158" s="69">
        <f t="shared" si="79"/>
        <v>0</v>
      </c>
      <c r="AF158" s="69">
        <f t="shared" si="79"/>
        <v>0</v>
      </c>
      <c r="AG158" s="69">
        <f t="shared" si="79"/>
        <v>0</v>
      </c>
      <c r="AH158" s="69">
        <f t="shared" si="79"/>
        <v>0</v>
      </c>
      <c r="AI158" s="69">
        <f t="shared" si="79"/>
        <v>0</v>
      </c>
      <c r="AJ158" s="69">
        <f t="shared" si="79"/>
        <v>0</v>
      </c>
      <c r="AK158" s="69">
        <f t="shared" si="79"/>
        <v>0</v>
      </c>
      <c r="AL158" s="69">
        <f t="shared" si="79"/>
        <v>0</v>
      </c>
      <c r="AM158" s="69">
        <f t="shared" si="79"/>
        <v>0</v>
      </c>
      <c r="AN158" s="69">
        <f t="shared" si="79"/>
        <v>0</v>
      </c>
      <c r="AO158" s="80"/>
      <c r="AP158" s="70">
        <f>SUM(J158:AN158)</f>
        <v>0</v>
      </c>
      <c r="AR158" s="81"/>
      <c r="CB158" s="82"/>
      <c r="CC158" s="82"/>
      <c r="DF158" s="82"/>
      <c r="EN158" s="64"/>
      <c r="EO158" s="82"/>
      <c r="EP158" s="82"/>
      <c r="EQ158" s="82"/>
      <c r="ER158" s="82"/>
      <c r="GU158" s="82"/>
      <c r="KP158" s="82"/>
      <c r="KQ158" s="82"/>
      <c r="KR158" s="82"/>
      <c r="KS158" s="82"/>
      <c r="PW158" s="82"/>
      <c r="PX158" s="82"/>
      <c r="PZ158" s="82"/>
      <c r="QN158" s="88"/>
      <c r="QR158" s="82"/>
      <c r="SU158" s="88"/>
      <c r="AID158" s="72"/>
      <c r="AJS158" s="72"/>
      <c r="AJT158" s="72"/>
      <c r="AJU158" s="72"/>
    </row>
    <row r="159" spans="6:957" x14ac:dyDescent="0.3">
      <c r="F159" s="107"/>
      <c r="G159" s="233" t="s">
        <v>119</v>
      </c>
      <c r="H159" s="119"/>
      <c r="I159" s="174" t="s">
        <v>120</v>
      </c>
      <c r="J159" s="69">
        <f t="shared" ref="J159:AL159" si="80">SUM(J151:J153)/500</f>
        <v>0</v>
      </c>
      <c r="K159" s="69">
        <f t="shared" si="80"/>
        <v>0</v>
      </c>
      <c r="L159" s="69">
        <f t="shared" si="80"/>
        <v>0</v>
      </c>
      <c r="M159" s="69">
        <f t="shared" si="80"/>
        <v>0</v>
      </c>
      <c r="N159" s="69">
        <f t="shared" si="80"/>
        <v>0</v>
      </c>
      <c r="O159" s="69">
        <f t="shared" si="80"/>
        <v>0</v>
      </c>
      <c r="P159" s="69">
        <f t="shared" si="80"/>
        <v>0</v>
      </c>
      <c r="Q159" s="69">
        <f t="shared" si="80"/>
        <v>0</v>
      </c>
      <c r="R159" s="69">
        <f t="shared" si="80"/>
        <v>0</v>
      </c>
      <c r="S159" s="69">
        <f t="shared" si="80"/>
        <v>0</v>
      </c>
      <c r="T159" s="69">
        <f t="shared" si="80"/>
        <v>0</v>
      </c>
      <c r="U159" s="69">
        <f t="shared" si="80"/>
        <v>0</v>
      </c>
      <c r="V159" s="69">
        <f t="shared" si="80"/>
        <v>0</v>
      </c>
      <c r="W159" s="69">
        <f t="shared" si="80"/>
        <v>0</v>
      </c>
      <c r="X159" s="69">
        <f t="shared" si="80"/>
        <v>0</v>
      </c>
      <c r="Y159" s="69">
        <f t="shared" si="80"/>
        <v>0</v>
      </c>
      <c r="Z159" s="69">
        <f t="shared" si="80"/>
        <v>0</v>
      </c>
      <c r="AA159" s="69">
        <f t="shared" si="80"/>
        <v>0</v>
      </c>
      <c r="AB159" s="69">
        <f t="shared" si="80"/>
        <v>0</v>
      </c>
      <c r="AC159" s="69">
        <f t="shared" si="80"/>
        <v>0</v>
      </c>
      <c r="AD159" s="69">
        <f t="shared" ref="AD159" si="81">SUM(AD151:AD153)/500</f>
        <v>0</v>
      </c>
      <c r="AE159" s="69">
        <f t="shared" si="80"/>
        <v>0</v>
      </c>
      <c r="AF159" s="69">
        <f t="shared" si="80"/>
        <v>0</v>
      </c>
      <c r="AG159" s="69">
        <f t="shared" si="80"/>
        <v>0</v>
      </c>
      <c r="AH159" s="69">
        <f t="shared" si="80"/>
        <v>0</v>
      </c>
      <c r="AI159" s="69">
        <f t="shared" ref="AI159:AK159" si="82">SUM(AI151:AI153)/500</f>
        <v>0</v>
      </c>
      <c r="AJ159" s="69">
        <f t="shared" si="82"/>
        <v>0</v>
      </c>
      <c r="AK159" s="69">
        <f t="shared" si="82"/>
        <v>0</v>
      </c>
      <c r="AL159" s="69">
        <f t="shared" si="80"/>
        <v>0</v>
      </c>
      <c r="AM159" s="69">
        <f t="shared" ref="AM159:AN159" si="83">SUM(AM151:AM153)/500</f>
        <v>0</v>
      </c>
      <c r="AN159" s="69">
        <f t="shared" si="83"/>
        <v>0</v>
      </c>
      <c r="AO159" s="80"/>
      <c r="AP159" s="70">
        <f>SUM(J159:AN159)</f>
        <v>0</v>
      </c>
      <c r="AR159" s="81"/>
      <c r="CB159" s="82"/>
      <c r="CC159" s="82"/>
      <c r="DF159" s="82"/>
      <c r="EN159" s="64"/>
      <c r="EO159" s="82"/>
      <c r="EP159" s="82"/>
      <c r="EQ159" s="82"/>
      <c r="ER159" s="82"/>
      <c r="GU159" s="82"/>
      <c r="KP159" s="82"/>
      <c r="KQ159" s="82"/>
      <c r="KR159" s="82"/>
      <c r="KS159" s="82"/>
      <c r="PW159" s="82"/>
      <c r="PX159" s="82"/>
      <c r="PZ159" s="82"/>
      <c r="QN159" s="88"/>
      <c r="QR159" s="82"/>
      <c r="SU159" s="88"/>
      <c r="AID159" s="72"/>
      <c r="AJS159" s="72"/>
      <c r="AJT159" s="72"/>
      <c r="AJU159" s="72"/>
    </row>
    <row r="160" spans="6:957" ht="15" hidden="1" customHeight="1" x14ac:dyDescent="0.3">
      <c r="F160" s="56"/>
      <c r="G160" s="12" t="s">
        <v>121</v>
      </c>
      <c r="H160" s="47"/>
      <c r="I160" s="47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9"/>
      <c r="AH160" s="48"/>
      <c r="AI160" s="48"/>
      <c r="AJ160" s="48"/>
      <c r="AK160" s="48"/>
      <c r="AL160" s="48"/>
      <c r="AM160" s="48"/>
      <c r="AN160" s="48"/>
      <c r="AO160" s="7"/>
      <c r="AP160" s="166" t="s">
        <v>122</v>
      </c>
      <c r="AR160" s="6"/>
      <c r="CB160" s="72"/>
      <c r="CC160" s="72"/>
      <c r="DF160" s="72"/>
      <c r="EN160" s="64"/>
      <c r="EO160" s="72"/>
      <c r="EP160" s="72"/>
      <c r="EQ160" s="72"/>
      <c r="ER160" s="72"/>
      <c r="GU160" s="72"/>
      <c r="KP160" s="72"/>
      <c r="KQ160" s="72"/>
      <c r="KR160" s="72"/>
      <c r="KS160" s="72"/>
      <c r="PW160" s="72"/>
      <c r="PX160" s="72"/>
      <c r="PZ160" s="72"/>
      <c r="QN160" s="127"/>
      <c r="QR160" s="72"/>
      <c r="SU160" s="127"/>
      <c r="AID160" s="72"/>
      <c r="AJS160" s="72"/>
      <c r="AJT160" s="72"/>
      <c r="AJU160" s="72"/>
    </row>
    <row r="161" spans="6:957" ht="15" hidden="1" customHeight="1" x14ac:dyDescent="0.3">
      <c r="F161" s="107"/>
      <c r="G161" s="233" t="s">
        <v>112</v>
      </c>
      <c r="H161" s="119"/>
      <c r="I161" s="107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80"/>
      <c r="AP161" s="122" t="s">
        <v>112</v>
      </c>
      <c r="AR161" s="81"/>
      <c r="CB161" s="82"/>
      <c r="CC161" s="82"/>
      <c r="DF161" s="82"/>
      <c r="EN161" s="64"/>
      <c r="EO161" s="82"/>
      <c r="EP161" s="82"/>
      <c r="EQ161" s="82"/>
      <c r="ER161" s="82"/>
      <c r="GU161" s="82"/>
      <c r="KP161" s="82"/>
      <c r="KQ161" s="82"/>
      <c r="KR161" s="82"/>
      <c r="KS161" s="82"/>
      <c r="PW161" s="82"/>
      <c r="PX161" s="82"/>
      <c r="PZ161" s="82"/>
      <c r="QN161" s="88"/>
      <c r="QR161" s="82"/>
      <c r="SU161" s="88"/>
      <c r="AID161" s="72"/>
      <c r="AJS161" s="72"/>
      <c r="AJT161" s="72"/>
      <c r="AJU161" s="72"/>
    </row>
    <row r="162" spans="6:957" ht="15" hidden="1" customHeight="1" x14ac:dyDescent="0.3">
      <c r="F162" s="107"/>
      <c r="G162" s="17" t="s">
        <v>135</v>
      </c>
      <c r="H162" s="119"/>
      <c r="I162" s="174" t="s">
        <v>114</v>
      </c>
      <c r="J162" s="69">
        <v>0</v>
      </c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80"/>
      <c r="AP162" s="70">
        <f>SUM(J162:AN162)</f>
        <v>0</v>
      </c>
      <c r="AR162" s="81"/>
      <c r="CB162" s="82"/>
      <c r="CC162" s="82"/>
      <c r="DF162" s="82"/>
      <c r="EN162" s="64"/>
      <c r="EO162" s="82"/>
      <c r="EP162" s="82"/>
      <c r="EQ162" s="82"/>
      <c r="ER162" s="82"/>
      <c r="GU162" s="82"/>
      <c r="KP162" s="82"/>
      <c r="KQ162" s="82"/>
      <c r="KR162" s="82"/>
      <c r="KS162" s="82"/>
      <c r="PW162" s="82"/>
      <c r="PX162" s="82"/>
      <c r="PZ162" s="82"/>
      <c r="QN162" s="88"/>
      <c r="QR162" s="82"/>
      <c r="SU162" s="88"/>
      <c r="AID162" s="72"/>
      <c r="AJS162" s="72"/>
      <c r="AJT162" s="72"/>
      <c r="AJU162" s="72"/>
    </row>
    <row r="163" spans="6:957" ht="15" hidden="1" customHeight="1" x14ac:dyDescent="0.3">
      <c r="F163" s="107"/>
      <c r="G163" s="17" t="s">
        <v>136</v>
      </c>
      <c r="H163" s="119"/>
      <c r="I163" s="174" t="s">
        <v>114</v>
      </c>
      <c r="J163" s="69">
        <v>0</v>
      </c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80"/>
      <c r="AP163" s="70">
        <f>SUM(J163:AN163)</f>
        <v>0</v>
      </c>
      <c r="AR163" s="81"/>
      <c r="CB163" s="82"/>
      <c r="CC163" s="82"/>
      <c r="DF163" s="82"/>
      <c r="EN163" s="64"/>
      <c r="EO163" s="82"/>
      <c r="EP163" s="82"/>
      <c r="EQ163" s="82"/>
      <c r="ER163" s="82"/>
      <c r="GU163" s="82"/>
      <c r="KP163" s="82"/>
      <c r="KQ163" s="82"/>
      <c r="KR163" s="82"/>
      <c r="KS163" s="82"/>
      <c r="PW163" s="82"/>
      <c r="PX163" s="82"/>
      <c r="PZ163" s="82"/>
      <c r="QN163" s="88"/>
      <c r="QR163" s="82"/>
      <c r="SU163" s="88"/>
      <c r="AID163" s="72"/>
      <c r="AJS163" s="72"/>
      <c r="AJT163" s="72"/>
      <c r="AJU163" s="72"/>
    </row>
    <row r="164" spans="6:957" ht="15" hidden="1" customHeight="1" x14ac:dyDescent="0.3">
      <c r="F164" s="107"/>
      <c r="G164" s="233" t="s">
        <v>116</v>
      </c>
      <c r="H164" s="119"/>
      <c r="I164" s="107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80"/>
      <c r="AP164" s="122" t="s">
        <v>116</v>
      </c>
      <c r="AR164" s="81"/>
      <c r="CB164" s="82"/>
      <c r="CC164" s="82"/>
      <c r="DF164" s="82"/>
      <c r="EN164" s="64"/>
      <c r="EO164" s="82"/>
      <c r="EP164" s="82"/>
      <c r="EQ164" s="82"/>
      <c r="ER164" s="82"/>
      <c r="GU164" s="82"/>
      <c r="KP164" s="82"/>
      <c r="KQ164" s="82"/>
      <c r="KR164" s="82"/>
      <c r="KS164" s="82"/>
      <c r="PW164" s="82"/>
      <c r="PX164" s="82"/>
      <c r="PZ164" s="82"/>
      <c r="QN164" s="88"/>
      <c r="QR164" s="82"/>
      <c r="SU164" s="88"/>
      <c r="AID164" s="72"/>
      <c r="AJS164" s="72"/>
      <c r="AJT164" s="72"/>
      <c r="AJU164" s="72"/>
    </row>
    <row r="165" spans="6:957" ht="15" hidden="1" customHeight="1" x14ac:dyDescent="0.3">
      <c r="F165" s="107"/>
      <c r="G165" s="17" t="s">
        <v>135</v>
      </c>
      <c r="H165" s="119"/>
      <c r="I165" s="174" t="s">
        <v>116</v>
      </c>
      <c r="J165" s="69">
        <v>0</v>
      </c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80"/>
      <c r="AP165" s="70">
        <f>SUM(J165:AN165)</f>
        <v>0</v>
      </c>
      <c r="AR165" s="81"/>
      <c r="CB165" s="82"/>
      <c r="CC165" s="82"/>
      <c r="DF165" s="82"/>
      <c r="EN165" s="64"/>
      <c r="EO165" s="82"/>
      <c r="EP165" s="82"/>
      <c r="EQ165" s="82"/>
      <c r="ER165" s="82"/>
      <c r="GU165" s="82"/>
      <c r="KP165" s="82"/>
      <c r="KQ165" s="82"/>
      <c r="KR165" s="82"/>
      <c r="KS165" s="82"/>
      <c r="PW165" s="82"/>
      <c r="PX165" s="82"/>
      <c r="PZ165" s="82"/>
      <c r="QN165" s="88"/>
      <c r="QR165" s="82"/>
      <c r="SU165" s="88"/>
      <c r="AID165" s="72"/>
      <c r="AJS165" s="72"/>
      <c r="AJT165" s="72"/>
      <c r="AJU165" s="72"/>
    </row>
    <row r="166" spans="6:957" ht="15" hidden="1" customHeight="1" x14ac:dyDescent="0.3">
      <c r="F166" s="107"/>
      <c r="G166" s="17" t="s">
        <v>136</v>
      </c>
      <c r="H166" s="119"/>
      <c r="I166" s="174" t="s">
        <v>116</v>
      </c>
      <c r="J166" s="69">
        <v>0</v>
      </c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80"/>
      <c r="AP166" s="70">
        <f>SUM(J166:AN166)</f>
        <v>0</v>
      </c>
      <c r="AR166" s="81"/>
      <c r="CB166" s="82"/>
      <c r="CC166" s="82"/>
      <c r="DF166" s="82"/>
      <c r="EN166" s="64"/>
      <c r="EO166" s="82"/>
      <c r="EP166" s="82"/>
      <c r="EQ166" s="82"/>
      <c r="ER166" s="82"/>
      <c r="GU166" s="82"/>
      <c r="KP166" s="82"/>
      <c r="KQ166" s="82"/>
      <c r="KR166" s="82"/>
      <c r="KS166" s="82"/>
      <c r="PW166" s="82"/>
      <c r="PX166" s="82"/>
      <c r="PZ166" s="82"/>
      <c r="QN166" s="88"/>
      <c r="QR166" s="82"/>
      <c r="SU166" s="88"/>
      <c r="AID166" s="72"/>
      <c r="AJS166" s="72"/>
      <c r="AJT166" s="72"/>
      <c r="AJU166" s="72"/>
    </row>
    <row r="167" spans="6:957" ht="15" hidden="1" customHeight="1" x14ac:dyDescent="0.3">
      <c r="F167" s="56"/>
      <c r="G167" s="12" t="s">
        <v>123</v>
      </c>
      <c r="H167" s="47"/>
      <c r="I167" s="47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9"/>
      <c r="AH167" s="48"/>
      <c r="AI167" s="48"/>
      <c r="AJ167" s="48"/>
      <c r="AK167" s="48"/>
      <c r="AL167" s="48"/>
      <c r="AM167" s="48"/>
      <c r="AN167" s="48"/>
      <c r="AO167" s="7"/>
      <c r="AP167" s="166" t="s">
        <v>122</v>
      </c>
      <c r="AR167" s="6"/>
      <c r="CB167" s="72"/>
      <c r="CC167" s="72"/>
      <c r="DF167" s="72"/>
      <c r="EN167" s="64"/>
      <c r="EO167" s="72"/>
      <c r="EP167" s="72"/>
      <c r="EQ167" s="72"/>
      <c r="ER167" s="72"/>
      <c r="GU167" s="72"/>
      <c r="KP167" s="72"/>
      <c r="KQ167" s="72"/>
      <c r="KR167" s="72"/>
      <c r="KS167" s="72"/>
      <c r="PW167" s="72"/>
      <c r="PX167" s="72"/>
      <c r="PZ167" s="72"/>
      <c r="QN167" s="127"/>
      <c r="QR167" s="72"/>
      <c r="SU167" s="127"/>
      <c r="AID167" s="72"/>
      <c r="AJS167" s="72"/>
      <c r="AJT167" s="72"/>
      <c r="AJU167" s="72"/>
    </row>
    <row r="168" spans="6:957" ht="15" hidden="1" customHeight="1" x14ac:dyDescent="0.3">
      <c r="F168" s="107"/>
      <c r="G168" s="233" t="s">
        <v>112</v>
      </c>
      <c r="H168" s="119"/>
      <c r="I168" s="107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80"/>
      <c r="AP168" s="122" t="s">
        <v>112</v>
      </c>
      <c r="AR168" s="81"/>
      <c r="CB168" s="82"/>
      <c r="CC168" s="82"/>
      <c r="DF168" s="82"/>
      <c r="EN168" s="64"/>
      <c r="EO168" s="82"/>
      <c r="EP168" s="82"/>
      <c r="EQ168" s="82"/>
      <c r="ER168" s="82"/>
      <c r="GU168" s="82"/>
      <c r="KP168" s="82"/>
      <c r="KQ168" s="82"/>
      <c r="KR168" s="82"/>
      <c r="KS168" s="82"/>
      <c r="PW168" s="82"/>
      <c r="PX168" s="82"/>
      <c r="PZ168" s="82"/>
      <c r="QN168" s="88"/>
      <c r="QR168" s="82"/>
      <c r="SU168" s="88"/>
      <c r="AID168" s="72"/>
      <c r="AJS168" s="72"/>
      <c r="AJT168" s="72"/>
      <c r="AJU168" s="72"/>
    </row>
    <row r="169" spans="6:957" ht="15" hidden="1" customHeight="1" x14ac:dyDescent="0.3">
      <c r="F169" s="107"/>
      <c r="G169" s="17" t="s">
        <v>135</v>
      </c>
      <c r="H169" s="106">
        <v>0.3</v>
      </c>
      <c r="I169" s="174" t="s">
        <v>13</v>
      </c>
      <c r="J169" s="169" t="e">
        <f t="shared" ref="J169:AN169" si="84">J162/J151*100</f>
        <v>#DIV/0!</v>
      </c>
      <c r="K169" s="169" t="e">
        <f t="shared" si="84"/>
        <v>#DIV/0!</v>
      </c>
      <c r="L169" s="169" t="e">
        <f t="shared" si="84"/>
        <v>#DIV/0!</v>
      </c>
      <c r="M169" s="169" t="e">
        <f t="shared" si="84"/>
        <v>#DIV/0!</v>
      </c>
      <c r="N169" s="169" t="e">
        <f t="shared" si="84"/>
        <v>#DIV/0!</v>
      </c>
      <c r="O169" s="169" t="e">
        <f t="shared" si="84"/>
        <v>#DIV/0!</v>
      </c>
      <c r="P169" s="169" t="e">
        <f t="shared" si="84"/>
        <v>#DIV/0!</v>
      </c>
      <c r="Q169" s="169" t="e">
        <f t="shared" si="84"/>
        <v>#DIV/0!</v>
      </c>
      <c r="R169" s="169" t="e">
        <f t="shared" si="84"/>
        <v>#DIV/0!</v>
      </c>
      <c r="S169" s="169" t="e">
        <f t="shared" si="84"/>
        <v>#DIV/0!</v>
      </c>
      <c r="T169" s="169" t="e">
        <f t="shared" si="84"/>
        <v>#DIV/0!</v>
      </c>
      <c r="U169" s="169" t="e">
        <f t="shared" si="84"/>
        <v>#DIV/0!</v>
      </c>
      <c r="V169" s="169" t="e">
        <f t="shared" si="84"/>
        <v>#DIV/0!</v>
      </c>
      <c r="W169" s="169" t="e">
        <f t="shared" si="84"/>
        <v>#DIV/0!</v>
      </c>
      <c r="X169" s="169" t="e">
        <f t="shared" si="84"/>
        <v>#DIV/0!</v>
      </c>
      <c r="Y169" s="169" t="e">
        <f t="shared" si="84"/>
        <v>#DIV/0!</v>
      </c>
      <c r="Z169" s="169" t="e">
        <f t="shared" si="84"/>
        <v>#DIV/0!</v>
      </c>
      <c r="AA169" s="169" t="e">
        <f t="shared" si="84"/>
        <v>#DIV/0!</v>
      </c>
      <c r="AB169" s="169" t="e">
        <f t="shared" si="84"/>
        <v>#DIV/0!</v>
      </c>
      <c r="AC169" s="169" t="e">
        <f t="shared" si="84"/>
        <v>#DIV/0!</v>
      </c>
      <c r="AD169" s="169" t="e">
        <f t="shared" si="84"/>
        <v>#DIV/0!</v>
      </c>
      <c r="AE169" s="169" t="e">
        <f t="shared" si="84"/>
        <v>#DIV/0!</v>
      </c>
      <c r="AF169" s="169" t="e">
        <f t="shared" si="84"/>
        <v>#DIV/0!</v>
      </c>
      <c r="AG169" s="169" t="e">
        <f t="shared" si="84"/>
        <v>#DIV/0!</v>
      </c>
      <c r="AH169" s="169" t="e">
        <f t="shared" si="84"/>
        <v>#DIV/0!</v>
      </c>
      <c r="AI169" s="169" t="e">
        <f t="shared" si="84"/>
        <v>#DIV/0!</v>
      </c>
      <c r="AJ169" s="169" t="e">
        <f t="shared" si="84"/>
        <v>#DIV/0!</v>
      </c>
      <c r="AK169" s="169" t="e">
        <f t="shared" si="84"/>
        <v>#DIV/0!</v>
      </c>
      <c r="AL169" s="169" t="e">
        <f t="shared" si="84"/>
        <v>#DIV/0!</v>
      </c>
      <c r="AM169" s="169" t="e">
        <f t="shared" si="84"/>
        <v>#DIV/0!</v>
      </c>
      <c r="AN169" s="169" t="e">
        <f t="shared" si="84"/>
        <v>#DIV/0!</v>
      </c>
      <c r="AO169" s="80"/>
      <c r="AP169" s="97" t="e">
        <f>AP162/AP151*100</f>
        <v>#DIV/0!</v>
      </c>
      <c r="AR169" s="81"/>
      <c r="CB169" s="82"/>
      <c r="CC169" s="82"/>
      <c r="DF169" s="82"/>
      <c r="EN169" s="64"/>
      <c r="EO169" s="82"/>
      <c r="EP169" s="82"/>
      <c r="EQ169" s="82"/>
      <c r="ER169" s="82"/>
      <c r="GU169" s="82"/>
      <c r="KP169" s="82"/>
      <c r="KQ169" s="82"/>
      <c r="KR169" s="82"/>
      <c r="KS169" s="82"/>
      <c r="PW169" s="82"/>
      <c r="PX169" s="82"/>
      <c r="PZ169" s="82"/>
      <c r="QN169" s="88"/>
      <c r="QR169" s="82"/>
      <c r="SU169" s="88"/>
      <c r="AID169" s="72"/>
      <c r="AJS169" s="72"/>
      <c r="AJT169" s="72"/>
      <c r="AJU169" s="72"/>
    </row>
    <row r="170" spans="6:957" ht="15" hidden="1" customHeight="1" x14ac:dyDescent="0.3">
      <c r="F170" s="107"/>
      <c r="G170" s="17" t="s">
        <v>136</v>
      </c>
      <c r="H170" s="106">
        <v>0.3</v>
      </c>
      <c r="I170" s="174" t="s">
        <v>13</v>
      </c>
      <c r="J170" s="169" t="e">
        <f t="shared" ref="J170:AN170" si="85">J163/J153*100</f>
        <v>#DIV/0!</v>
      </c>
      <c r="K170" s="169" t="e">
        <f t="shared" si="85"/>
        <v>#DIV/0!</v>
      </c>
      <c r="L170" s="169" t="e">
        <f t="shared" si="85"/>
        <v>#DIV/0!</v>
      </c>
      <c r="M170" s="169" t="e">
        <f t="shared" si="85"/>
        <v>#DIV/0!</v>
      </c>
      <c r="N170" s="169" t="e">
        <f t="shared" si="85"/>
        <v>#DIV/0!</v>
      </c>
      <c r="O170" s="169" t="e">
        <f t="shared" si="85"/>
        <v>#DIV/0!</v>
      </c>
      <c r="P170" s="169" t="e">
        <f t="shared" si="85"/>
        <v>#DIV/0!</v>
      </c>
      <c r="Q170" s="169" t="e">
        <f t="shared" si="85"/>
        <v>#DIV/0!</v>
      </c>
      <c r="R170" s="169" t="e">
        <f t="shared" si="85"/>
        <v>#DIV/0!</v>
      </c>
      <c r="S170" s="169" t="e">
        <f t="shared" si="85"/>
        <v>#DIV/0!</v>
      </c>
      <c r="T170" s="169" t="e">
        <f t="shared" si="85"/>
        <v>#DIV/0!</v>
      </c>
      <c r="U170" s="169" t="e">
        <f t="shared" si="85"/>
        <v>#DIV/0!</v>
      </c>
      <c r="V170" s="169" t="e">
        <f t="shared" si="85"/>
        <v>#DIV/0!</v>
      </c>
      <c r="W170" s="169" t="e">
        <f t="shared" si="85"/>
        <v>#DIV/0!</v>
      </c>
      <c r="X170" s="169" t="e">
        <f t="shared" si="85"/>
        <v>#DIV/0!</v>
      </c>
      <c r="Y170" s="169" t="e">
        <f t="shared" si="85"/>
        <v>#DIV/0!</v>
      </c>
      <c r="Z170" s="169" t="e">
        <f t="shared" si="85"/>
        <v>#DIV/0!</v>
      </c>
      <c r="AA170" s="169" t="e">
        <f t="shared" si="85"/>
        <v>#DIV/0!</v>
      </c>
      <c r="AB170" s="169" t="e">
        <f t="shared" si="85"/>
        <v>#DIV/0!</v>
      </c>
      <c r="AC170" s="169" t="e">
        <f t="shared" si="85"/>
        <v>#DIV/0!</v>
      </c>
      <c r="AD170" s="169" t="e">
        <f t="shared" si="85"/>
        <v>#DIV/0!</v>
      </c>
      <c r="AE170" s="169" t="e">
        <f t="shared" si="85"/>
        <v>#DIV/0!</v>
      </c>
      <c r="AF170" s="169" t="e">
        <f t="shared" si="85"/>
        <v>#DIV/0!</v>
      </c>
      <c r="AG170" s="169" t="e">
        <f t="shared" si="85"/>
        <v>#DIV/0!</v>
      </c>
      <c r="AH170" s="169" t="e">
        <f t="shared" si="85"/>
        <v>#DIV/0!</v>
      </c>
      <c r="AI170" s="169" t="e">
        <f t="shared" si="85"/>
        <v>#DIV/0!</v>
      </c>
      <c r="AJ170" s="169" t="e">
        <f t="shared" si="85"/>
        <v>#DIV/0!</v>
      </c>
      <c r="AK170" s="169" t="e">
        <f t="shared" si="85"/>
        <v>#DIV/0!</v>
      </c>
      <c r="AL170" s="169" t="e">
        <f t="shared" si="85"/>
        <v>#DIV/0!</v>
      </c>
      <c r="AM170" s="169" t="e">
        <f t="shared" si="85"/>
        <v>#DIV/0!</v>
      </c>
      <c r="AN170" s="169" t="e">
        <f t="shared" si="85"/>
        <v>#DIV/0!</v>
      </c>
      <c r="AO170" s="80"/>
      <c r="AP170" s="97" t="e">
        <f>AP163/AP153*100</f>
        <v>#DIV/0!</v>
      </c>
      <c r="AR170" s="81"/>
      <c r="CB170" s="82"/>
      <c r="CC170" s="82"/>
      <c r="DF170" s="82"/>
      <c r="EN170" s="64"/>
      <c r="EO170" s="82"/>
      <c r="EP170" s="82"/>
      <c r="EQ170" s="82"/>
      <c r="ER170" s="82"/>
      <c r="GU170" s="82"/>
      <c r="KP170" s="82"/>
      <c r="KQ170" s="82"/>
      <c r="KR170" s="82"/>
      <c r="KS170" s="82"/>
      <c r="PW170" s="82"/>
      <c r="PX170" s="82"/>
      <c r="PZ170" s="82"/>
      <c r="QN170" s="88"/>
      <c r="QR170" s="82"/>
      <c r="SU170" s="88"/>
      <c r="AID170" s="72"/>
      <c r="AJS170" s="72"/>
      <c r="AJT170" s="72"/>
      <c r="AJU170" s="72"/>
    </row>
    <row r="171" spans="6:957" ht="15" hidden="1" customHeight="1" x14ac:dyDescent="0.3">
      <c r="F171" s="107"/>
      <c r="G171" s="233" t="s">
        <v>116</v>
      </c>
      <c r="H171" s="106"/>
      <c r="I171" s="107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80"/>
      <c r="AP171" s="122" t="s">
        <v>116</v>
      </c>
      <c r="AR171" s="81"/>
      <c r="CB171" s="82"/>
      <c r="CC171" s="82"/>
      <c r="DF171" s="82"/>
      <c r="EN171" s="64"/>
      <c r="EO171" s="82"/>
      <c r="EP171" s="82"/>
      <c r="EQ171" s="82"/>
      <c r="ER171" s="82"/>
      <c r="GU171" s="82"/>
      <c r="KP171" s="82"/>
      <c r="KQ171" s="82"/>
      <c r="KR171" s="82"/>
      <c r="KS171" s="82"/>
      <c r="PW171" s="82"/>
      <c r="PX171" s="82"/>
      <c r="PZ171" s="82"/>
      <c r="QN171" s="88"/>
      <c r="QR171" s="82"/>
      <c r="SU171" s="88"/>
      <c r="AID171" s="72"/>
      <c r="AJS171" s="72"/>
      <c r="AJT171" s="72"/>
      <c r="AJU171" s="72"/>
    </row>
    <row r="172" spans="6:957" ht="15" hidden="1" customHeight="1" x14ac:dyDescent="0.3">
      <c r="F172" s="107"/>
      <c r="G172" s="17" t="s">
        <v>135</v>
      </c>
      <c r="H172" s="106">
        <v>0.5</v>
      </c>
      <c r="I172" s="174" t="s">
        <v>13</v>
      </c>
      <c r="J172" s="169" t="e">
        <f t="shared" ref="J172:AN172" si="86">J165/J155*100</f>
        <v>#DIV/0!</v>
      </c>
      <c r="K172" s="169" t="e">
        <f t="shared" si="86"/>
        <v>#DIV/0!</v>
      </c>
      <c r="L172" s="169" t="e">
        <f t="shared" si="86"/>
        <v>#DIV/0!</v>
      </c>
      <c r="M172" s="169" t="e">
        <f t="shared" si="86"/>
        <v>#DIV/0!</v>
      </c>
      <c r="N172" s="169" t="e">
        <f t="shared" si="86"/>
        <v>#DIV/0!</v>
      </c>
      <c r="O172" s="169" t="e">
        <f t="shared" si="86"/>
        <v>#DIV/0!</v>
      </c>
      <c r="P172" s="169" t="e">
        <f t="shared" si="86"/>
        <v>#DIV/0!</v>
      </c>
      <c r="Q172" s="169" t="e">
        <f t="shared" si="86"/>
        <v>#DIV/0!</v>
      </c>
      <c r="R172" s="169" t="e">
        <f t="shared" si="86"/>
        <v>#DIV/0!</v>
      </c>
      <c r="S172" s="169" t="e">
        <f t="shared" si="86"/>
        <v>#DIV/0!</v>
      </c>
      <c r="T172" s="169" t="e">
        <f t="shared" si="86"/>
        <v>#DIV/0!</v>
      </c>
      <c r="U172" s="169" t="e">
        <f t="shared" si="86"/>
        <v>#DIV/0!</v>
      </c>
      <c r="V172" s="169" t="e">
        <f t="shared" si="86"/>
        <v>#DIV/0!</v>
      </c>
      <c r="W172" s="169" t="e">
        <f t="shared" si="86"/>
        <v>#DIV/0!</v>
      </c>
      <c r="X172" s="169" t="e">
        <f t="shared" si="86"/>
        <v>#DIV/0!</v>
      </c>
      <c r="Y172" s="169" t="e">
        <f t="shared" si="86"/>
        <v>#DIV/0!</v>
      </c>
      <c r="Z172" s="169" t="e">
        <f t="shared" si="86"/>
        <v>#DIV/0!</v>
      </c>
      <c r="AA172" s="169" t="e">
        <f t="shared" si="86"/>
        <v>#DIV/0!</v>
      </c>
      <c r="AB172" s="169" t="e">
        <f t="shared" si="86"/>
        <v>#DIV/0!</v>
      </c>
      <c r="AC172" s="169" t="e">
        <f t="shared" si="86"/>
        <v>#DIV/0!</v>
      </c>
      <c r="AD172" s="169" t="e">
        <f t="shared" si="86"/>
        <v>#DIV/0!</v>
      </c>
      <c r="AE172" s="169" t="e">
        <f t="shared" si="86"/>
        <v>#DIV/0!</v>
      </c>
      <c r="AF172" s="169" t="e">
        <f t="shared" si="86"/>
        <v>#DIV/0!</v>
      </c>
      <c r="AG172" s="169" t="e">
        <f t="shared" si="86"/>
        <v>#DIV/0!</v>
      </c>
      <c r="AH172" s="169" t="e">
        <f t="shared" si="86"/>
        <v>#DIV/0!</v>
      </c>
      <c r="AI172" s="169" t="e">
        <f t="shared" si="86"/>
        <v>#DIV/0!</v>
      </c>
      <c r="AJ172" s="169" t="e">
        <f t="shared" si="86"/>
        <v>#DIV/0!</v>
      </c>
      <c r="AK172" s="169" t="e">
        <f t="shared" si="86"/>
        <v>#DIV/0!</v>
      </c>
      <c r="AL172" s="169" t="e">
        <f t="shared" si="86"/>
        <v>#DIV/0!</v>
      </c>
      <c r="AM172" s="169" t="e">
        <f t="shared" si="86"/>
        <v>#DIV/0!</v>
      </c>
      <c r="AN172" s="169" t="e">
        <f t="shared" si="86"/>
        <v>#DIV/0!</v>
      </c>
      <c r="AO172" s="80"/>
      <c r="AP172" s="97" t="e">
        <f>AP165/AP155*100</f>
        <v>#DIV/0!</v>
      </c>
      <c r="AR172" s="81"/>
      <c r="CB172" s="82"/>
      <c r="CC172" s="82"/>
      <c r="DF172" s="82"/>
      <c r="EN172" s="64"/>
      <c r="EO172" s="82"/>
      <c r="EP172" s="82"/>
      <c r="EQ172" s="82"/>
      <c r="ER172" s="82"/>
      <c r="GU172" s="82"/>
      <c r="KP172" s="82"/>
      <c r="KQ172" s="82"/>
      <c r="KR172" s="82"/>
      <c r="KS172" s="82"/>
      <c r="PW172" s="82"/>
      <c r="PX172" s="82"/>
      <c r="PZ172" s="82"/>
      <c r="QN172" s="88"/>
      <c r="QR172" s="82"/>
      <c r="SU172" s="88"/>
      <c r="AID172" s="72"/>
      <c r="AJS172" s="72"/>
      <c r="AJT172" s="72"/>
      <c r="AJU172" s="72"/>
    </row>
    <row r="173" spans="6:957" ht="15" hidden="1" customHeight="1" x14ac:dyDescent="0.3">
      <c r="F173" s="107"/>
      <c r="G173" s="17" t="s">
        <v>136</v>
      </c>
      <c r="H173" s="106">
        <v>0.5</v>
      </c>
      <c r="I173" s="174" t="s">
        <v>13</v>
      </c>
      <c r="J173" s="169" t="e">
        <f t="shared" ref="J173:AN173" si="87">J166/J157*100</f>
        <v>#DIV/0!</v>
      </c>
      <c r="K173" s="169" t="e">
        <f t="shared" si="87"/>
        <v>#DIV/0!</v>
      </c>
      <c r="L173" s="169" t="e">
        <f t="shared" si="87"/>
        <v>#DIV/0!</v>
      </c>
      <c r="M173" s="169" t="e">
        <f t="shared" si="87"/>
        <v>#DIV/0!</v>
      </c>
      <c r="N173" s="169" t="e">
        <f t="shared" si="87"/>
        <v>#DIV/0!</v>
      </c>
      <c r="O173" s="169" t="e">
        <f t="shared" si="87"/>
        <v>#DIV/0!</v>
      </c>
      <c r="P173" s="169" t="e">
        <f t="shared" si="87"/>
        <v>#DIV/0!</v>
      </c>
      <c r="Q173" s="169" t="e">
        <f t="shared" si="87"/>
        <v>#DIV/0!</v>
      </c>
      <c r="R173" s="169" t="e">
        <f t="shared" si="87"/>
        <v>#DIV/0!</v>
      </c>
      <c r="S173" s="169" t="e">
        <f t="shared" si="87"/>
        <v>#DIV/0!</v>
      </c>
      <c r="T173" s="169" t="e">
        <f t="shared" si="87"/>
        <v>#DIV/0!</v>
      </c>
      <c r="U173" s="169" t="e">
        <f t="shared" si="87"/>
        <v>#DIV/0!</v>
      </c>
      <c r="V173" s="169" t="e">
        <f t="shared" si="87"/>
        <v>#DIV/0!</v>
      </c>
      <c r="W173" s="169" t="e">
        <f t="shared" si="87"/>
        <v>#DIV/0!</v>
      </c>
      <c r="X173" s="169" t="e">
        <f t="shared" si="87"/>
        <v>#DIV/0!</v>
      </c>
      <c r="Y173" s="169" t="e">
        <f t="shared" si="87"/>
        <v>#DIV/0!</v>
      </c>
      <c r="Z173" s="169" t="e">
        <f t="shared" si="87"/>
        <v>#DIV/0!</v>
      </c>
      <c r="AA173" s="169" t="e">
        <f t="shared" si="87"/>
        <v>#DIV/0!</v>
      </c>
      <c r="AB173" s="169" t="e">
        <f t="shared" si="87"/>
        <v>#DIV/0!</v>
      </c>
      <c r="AC173" s="169" t="e">
        <f t="shared" si="87"/>
        <v>#DIV/0!</v>
      </c>
      <c r="AD173" s="169" t="e">
        <f t="shared" si="87"/>
        <v>#DIV/0!</v>
      </c>
      <c r="AE173" s="169" t="e">
        <f t="shared" si="87"/>
        <v>#DIV/0!</v>
      </c>
      <c r="AF173" s="169" t="e">
        <f t="shared" si="87"/>
        <v>#DIV/0!</v>
      </c>
      <c r="AG173" s="169" t="e">
        <f t="shared" si="87"/>
        <v>#DIV/0!</v>
      </c>
      <c r="AH173" s="169" t="e">
        <f t="shared" si="87"/>
        <v>#DIV/0!</v>
      </c>
      <c r="AI173" s="169" t="e">
        <f t="shared" si="87"/>
        <v>#DIV/0!</v>
      </c>
      <c r="AJ173" s="169" t="e">
        <f t="shared" si="87"/>
        <v>#DIV/0!</v>
      </c>
      <c r="AK173" s="169" t="e">
        <f t="shared" si="87"/>
        <v>#DIV/0!</v>
      </c>
      <c r="AL173" s="169" t="e">
        <f t="shared" si="87"/>
        <v>#DIV/0!</v>
      </c>
      <c r="AM173" s="169" t="e">
        <f t="shared" si="87"/>
        <v>#DIV/0!</v>
      </c>
      <c r="AN173" s="169" t="e">
        <f t="shared" si="87"/>
        <v>#DIV/0!</v>
      </c>
      <c r="AO173" s="80"/>
      <c r="AP173" s="97" t="e">
        <f>AP166/AP157*100</f>
        <v>#DIV/0!</v>
      </c>
      <c r="AR173" s="81"/>
      <c r="CB173" s="82"/>
      <c r="CC173" s="82"/>
      <c r="DF173" s="82"/>
      <c r="EN173" s="64"/>
      <c r="EO173" s="82"/>
      <c r="EP173" s="82"/>
      <c r="EQ173" s="82"/>
      <c r="ER173" s="82"/>
      <c r="GU173" s="82"/>
      <c r="KP173" s="82"/>
      <c r="KQ173" s="82"/>
      <c r="KR173" s="82"/>
      <c r="KS173" s="82"/>
      <c r="PW173" s="82"/>
      <c r="PX173" s="82"/>
      <c r="PZ173" s="82"/>
      <c r="QN173" s="88"/>
      <c r="QR173" s="82"/>
      <c r="SU173" s="88"/>
      <c r="AID173" s="72"/>
      <c r="AJS173" s="72"/>
      <c r="AJT173" s="72"/>
      <c r="AJU173" s="72"/>
    </row>
    <row r="174" spans="6:957" x14ac:dyDescent="0.3">
      <c r="F174" s="46">
        <v>9</v>
      </c>
      <c r="G174" s="164" t="s">
        <v>138</v>
      </c>
      <c r="H174" s="47"/>
      <c r="I174" s="165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80"/>
      <c r="AP174" s="173" t="s">
        <v>139</v>
      </c>
    </row>
    <row r="175" spans="6:957" x14ac:dyDescent="0.3">
      <c r="F175" s="56"/>
      <c r="G175" s="105" t="s">
        <v>140</v>
      </c>
      <c r="H175" s="119"/>
      <c r="I175" s="174" t="s">
        <v>42</v>
      </c>
      <c r="J175" s="263">
        <f>0.2502*1000</f>
        <v>250.2</v>
      </c>
      <c r="K175" s="263">
        <v>345.4</v>
      </c>
      <c r="L175" s="263">
        <v>337.8</v>
      </c>
      <c r="M175" s="263">
        <v>0</v>
      </c>
      <c r="N175" s="263">
        <v>0</v>
      </c>
      <c r="O175" s="263">
        <v>0</v>
      </c>
      <c r="P175" s="263">
        <v>0</v>
      </c>
      <c r="Q175" s="263">
        <v>247</v>
      </c>
      <c r="R175" s="263">
        <v>702.7</v>
      </c>
      <c r="S175" s="263">
        <v>1169.9000000000001</v>
      </c>
      <c r="T175" s="263">
        <v>1246.8</v>
      </c>
      <c r="U175" s="263">
        <v>1246.8</v>
      </c>
      <c r="V175" s="263">
        <v>1246.8</v>
      </c>
      <c r="W175" s="263">
        <v>1621.9</v>
      </c>
      <c r="X175" s="263">
        <v>1512.7</v>
      </c>
      <c r="Y175" s="263">
        <v>1385.8</v>
      </c>
      <c r="Z175" s="263">
        <v>1416.7</v>
      </c>
      <c r="AA175" s="263">
        <v>1520.7</v>
      </c>
      <c r="AB175" s="263">
        <v>1462.8</v>
      </c>
      <c r="AC175" s="263">
        <v>1531.6</v>
      </c>
      <c r="AD175" s="263">
        <v>1521.9</v>
      </c>
      <c r="AE175" s="263">
        <v>1472.7</v>
      </c>
      <c r="AF175" s="263">
        <v>1585.9</v>
      </c>
      <c r="AG175" s="263">
        <v>1424.8</v>
      </c>
      <c r="AH175" s="263">
        <v>1415.7</v>
      </c>
      <c r="AI175" s="263">
        <v>1355.4</v>
      </c>
      <c r="AJ175" s="263">
        <v>1425.1</v>
      </c>
      <c r="AK175" s="263"/>
      <c r="AL175" s="263">
        <v>2408.4</v>
      </c>
      <c r="AM175" s="263">
        <v>1468.7</v>
      </c>
      <c r="AN175" s="263">
        <v>1334.2</v>
      </c>
      <c r="AP175" s="264">
        <f>SUM(J175:AN175)</f>
        <v>32658.400000000009</v>
      </c>
      <c r="AR175" s="81"/>
      <c r="CB175" s="82"/>
      <c r="CC175" s="82"/>
      <c r="DF175" s="82"/>
      <c r="EN175" s="64"/>
      <c r="EO175" s="82"/>
      <c r="EP175" s="82"/>
      <c r="EQ175" s="82"/>
      <c r="ER175" s="82"/>
      <c r="GU175" s="82"/>
      <c r="KP175" s="82"/>
      <c r="KQ175" s="82"/>
      <c r="KR175" s="82"/>
      <c r="KS175" s="82"/>
      <c r="PW175" s="82"/>
      <c r="PX175" s="82"/>
      <c r="PZ175" s="82"/>
      <c r="QN175" s="88"/>
      <c r="QR175" s="82"/>
      <c r="SU175" s="88"/>
      <c r="AHE175" s="265"/>
      <c r="AID175" s="72"/>
      <c r="AJS175" s="72"/>
      <c r="AJT175" s="72"/>
      <c r="AJU175" s="72"/>
    </row>
    <row r="176" spans="6:957" x14ac:dyDescent="0.3">
      <c r="F176" s="120"/>
      <c r="G176" s="167" t="s">
        <v>141</v>
      </c>
      <c r="H176" s="266">
        <v>1269.566</v>
      </c>
      <c r="I176" s="168" t="s">
        <v>42</v>
      </c>
      <c r="J176" s="263">
        <v>148.48759999999999</v>
      </c>
      <c r="K176" s="263">
        <v>136.79060000000001</v>
      </c>
      <c r="L176" s="267">
        <v>140.3631</v>
      </c>
      <c r="M176" s="268">
        <v>118.6923</v>
      </c>
      <c r="N176" s="269">
        <v>0</v>
      </c>
      <c r="O176" s="269">
        <v>0</v>
      </c>
      <c r="P176" s="269">
        <v>0</v>
      </c>
      <c r="Q176" s="270">
        <v>546.34280000000001</v>
      </c>
      <c r="R176" s="263">
        <v>1107.3202000000001</v>
      </c>
      <c r="S176" s="263">
        <v>1195.6702</v>
      </c>
      <c r="T176" s="263">
        <v>1213.7929999999999</v>
      </c>
      <c r="U176" s="271">
        <v>1416.9612</v>
      </c>
      <c r="V176" s="271">
        <v>1542.2022999999999</v>
      </c>
      <c r="W176" s="271">
        <v>1439.2291</v>
      </c>
      <c r="X176" s="271">
        <v>1315.2701999999999</v>
      </c>
      <c r="Y176" s="271">
        <v>1353.2838999999999</v>
      </c>
      <c r="Z176" s="271">
        <v>1452.2827</v>
      </c>
      <c r="AA176" s="271">
        <v>1381.6441</v>
      </c>
      <c r="AB176" s="271">
        <v>1479.1673000000001</v>
      </c>
      <c r="AC176" s="271">
        <v>1472.5257999999999</v>
      </c>
      <c r="AD176" s="271">
        <v>1408.4203</v>
      </c>
      <c r="AE176" s="271">
        <v>1526.7583</v>
      </c>
      <c r="AF176" s="272">
        <v>1378.1045999999999</v>
      </c>
      <c r="AG176" s="272">
        <v>1371.6316999999999</v>
      </c>
      <c r="AH176" s="272">
        <v>1305.8064999999999</v>
      </c>
      <c r="AI176" s="272">
        <v>1348.1547</v>
      </c>
      <c r="AJ176" s="272">
        <v>1363.6994</v>
      </c>
      <c r="AK176" s="273">
        <v>1398.2887000000001</v>
      </c>
      <c r="AL176" s="263">
        <v>1408.6569</v>
      </c>
      <c r="AM176" s="272">
        <v>1263.4992999999999</v>
      </c>
      <c r="AN176" s="272">
        <v>1364.8704</v>
      </c>
      <c r="AP176" s="274">
        <f>SUM(J176:AN176)</f>
        <v>32597.9172</v>
      </c>
      <c r="AR176" s="4">
        <f>AP176/AP29</f>
        <v>1481.7235090909091</v>
      </c>
      <c r="CB176" s="101"/>
      <c r="CC176" s="101"/>
      <c r="DF176" s="101"/>
      <c r="EN176" s="205"/>
      <c r="EO176" s="101"/>
      <c r="EP176" s="101"/>
      <c r="EQ176" s="101"/>
      <c r="ER176" s="101"/>
      <c r="GU176" s="101"/>
      <c r="KP176" s="101"/>
      <c r="KQ176" s="101"/>
      <c r="KR176" s="101"/>
      <c r="KS176" s="101"/>
      <c r="PW176" s="101"/>
      <c r="PX176" s="101"/>
      <c r="PZ176" s="101"/>
      <c r="QN176" s="4"/>
      <c r="QR176" s="101"/>
      <c r="SU176" s="4"/>
      <c r="AID176" s="101"/>
      <c r="AJS176" s="101"/>
      <c r="AJT176" s="101"/>
      <c r="AJU176" s="101"/>
    </row>
    <row r="177" spans="6:957" x14ac:dyDescent="0.3">
      <c r="F177" s="107"/>
      <c r="G177" s="247" t="s">
        <v>142</v>
      </c>
      <c r="H177" s="119"/>
      <c r="I177" s="107"/>
      <c r="J177" s="263"/>
      <c r="K177" s="275"/>
      <c r="L177" s="275"/>
      <c r="M177" s="69"/>
      <c r="N177" s="275"/>
      <c r="O177" s="270"/>
      <c r="P177" s="270"/>
      <c r="Q177" s="69"/>
      <c r="R177" s="69"/>
      <c r="S177" s="69"/>
      <c r="T177" s="69"/>
      <c r="U177" s="276"/>
      <c r="V177" s="276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169"/>
      <c r="AH177" s="169"/>
      <c r="AI177" s="169"/>
      <c r="AJ177" s="169"/>
      <c r="AK177" s="169"/>
      <c r="AL177" s="169"/>
      <c r="AM177" s="169"/>
      <c r="AN177" s="169"/>
      <c r="AO177" s="80"/>
      <c r="AP177" s="277" t="s">
        <v>142</v>
      </c>
    </row>
    <row r="178" spans="6:957" x14ac:dyDescent="0.3">
      <c r="F178" s="107"/>
      <c r="G178" s="105" t="s">
        <v>143</v>
      </c>
      <c r="H178" s="106">
        <v>253.91319999999999</v>
      </c>
      <c r="I178" s="174" t="s">
        <v>42</v>
      </c>
      <c r="J178" s="263">
        <v>0</v>
      </c>
      <c r="K178" s="263">
        <v>0</v>
      </c>
      <c r="L178" s="263">
        <v>0</v>
      </c>
      <c r="M178" s="263">
        <v>0</v>
      </c>
      <c r="N178" s="263">
        <v>0</v>
      </c>
      <c r="O178" s="263">
        <v>0</v>
      </c>
      <c r="P178" s="263">
        <v>0</v>
      </c>
      <c r="Q178" s="263">
        <v>30.238401467867792</v>
      </c>
      <c r="R178" s="263">
        <v>147.62682277126922</v>
      </c>
      <c r="S178" s="263">
        <v>225.90700249255173</v>
      </c>
      <c r="T178" s="263">
        <v>232.52947241887912</v>
      </c>
      <c r="U178" s="263">
        <v>272.79146015495388</v>
      </c>
      <c r="V178" s="263">
        <v>301.96171748942493</v>
      </c>
      <c r="W178" s="263">
        <v>272.15116680417117</v>
      </c>
      <c r="X178" s="263">
        <v>271.97053833787248</v>
      </c>
      <c r="Y178" s="263">
        <v>287.5270332979631</v>
      </c>
      <c r="Z178" s="263">
        <v>287.10655302021689</v>
      </c>
      <c r="AA178" s="268">
        <v>279.53511937237761</v>
      </c>
      <c r="AB178" s="268">
        <v>284.08986758791917</v>
      </c>
      <c r="AC178" s="268">
        <v>301.95170579439701</v>
      </c>
      <c r="AD178" s="268">
        <v>300.86517757852772</v>
      </c>
      <c r="AE178" s="268">
        <v>295.50330000000002</v>
      </c>
      <c r="AF178" s="263">
        <v>244.77529999999999</v>
      </c>
      <c r="AG178" s="263">
        <v>263.57369999999997</v>
      </c>
      <c r="AH178" s="263">
        <v>247.91300000000001</v>
      </c>
      <c r="AI178" s="263">
        <v>260.53379999999999</v>
      </c>
      <c r="AJ178" s="263">
        <v>271.12470000000002</v>
      </c>
      <c r="AK178" s="263">
        <v>281.2217</v>
      </c>
      <c r="AL178" s="263">
        <v>258.33640000000003</v>
      </c>
      <c r="AM178" s="263">
        <v>214.2723</v>
      </c>
      <c r="AN178" s="263">
        <v>241.1105</v>
      </c>
      <c r="AO178" s="80"/>
      <c r="AP178" s="278">
        <f>SUM(J178:AN178)</f>
        <v>6074.6167385883919</v>
      </c>
      <c r="AR178" s="127"/>
      <c r="XY178" s="265"/>
      <c r="AGP178" s="265"/>
    </row>
    <row r="179" spans="6:957" x14ac:dyDescent="0.3">
      <c r="F179" s="107"/>
      <c r="G179" s="105" t="s">
        <v>144</v>
      </c>
      <c r="H179" s="106">
        <v>1015.6528</v>
      </c>
      <c r="I179" s="174" t="s">
        <v>42</v>
      </c>
      <c r="J179" s="263">
        <f>J176-J178</f>
        <v>148.48759999999999</v>
      </c>
      <c r="K179" s="263">
        <f t="shared" ref="K179:AN179" si="88">K176-K178</f>
        <v>136.79060000000001</v>
      </c>
      <c r="L179" s="263">
        <f t="shared" si="88"/>
        <v>140.3631</v>
      </c>
      <c r="M179" s="263">
        <f t="shared" si="88"/>
        <v>118.6923</v>
      </c>
      <c r="N179" s="263">
        <f t="shared" si="88"/>
        <v>0</v>
      </c>
      <c r="O179" s="263">
        <f t="shared" si="88"/>
        <v>0</v>
      </c>
      <c r="P179" s="263">
        <f t="shared" si="88"/>
        <v>0</v>
      </c>
      <c r="Q179" s="263">
        <f t="shared" si="88"/>
        <v>516.10439853213222</v>
      </c>
      <c r="R179" s="263">
        <f t="shared" si="88"/>
        <v>959.69337722873092</v>
      </c>
      <c r="S179" s="263">
        <f t="shared" si="88"/>
        <v>969.76319750744824</v>
      </c>
      <c r="T179" s="263">
        <f t="shared" si="88"/>
        <v>981.2635275811208</v>
      </c>
      <c r="U179" s="263">
        <f t="shared" si="88"/>
        <v>1144.169739845046</v>
      </c>
      <c r="V179" s="263">
        <f t="shared" si="88"/>
        <v>1240.240582510575</v>
      </c>
      <c r="W179" s="263">
        <f t="shared" si="88"/>
        <v>1167.0779331958288</v>
      </c>
      <c r="X179" s="263">
        <f t="shared" si="88"/>
        <v>1043.2996616621274</v>
      </c>
      <c r="Y179" s="263">
        <f t="shared" si="88"/>
        <v>1065.7568667020369</v>
      </c>
      <c r="Z179" s="263">
        <f t="shared" si="88"/>
        <v>1165.176146979783</v>
      </c>
      <c r="AA179" s="263">
        <f t="shared" si="88"/>
        <v>1102.1089806276223</v>
      </c>
      <c r="AB179" s="263">
        <f t="shared" si="88"/>
        <v>1195.077432412081</v>
      </c>
      <c r="AC179" s="263">
        <f>AC176-AC178</f>
        <v>1170.5740942056029</v>
      </c>
      <c r="AD179" s="263">
        <f t="shared" ref="AD179" si="89">AD176-AD178</f>
        <v>1107.5551224214723</v>
      </c>
      <c r="AE179" s="263">
        <f t="shared" si="88"/>
        <v>1231.2549999999999</v>
      </c>
      <c r="AF179" s="263">
        <f>AF176-AF178</f>
        <v>1133.3292999999999</v>
      </c>
      <c r="AG179" s="263">
        <f t="shared" si="88"/>
        <v>1108.058</v>
      </c>
      <c r="AH179" s="263">
        <f t="shared" si="88"/>
        <v>1057.8934999999999</v>
      </c>
      <c r="AI179" s="263">
        <f t="shared" si="88"/>
        <v>1087.6209000000001</v>
      </c>
      <c r="AJ179" s="263">
        <f t="shared" si="88"/>
        <v>1092.5746999999999</v>
      </c>
      <c r="AK179" s="263">
        <f t="shared" si="88"/>
        <v>1117.067</v>
      </c>
      <c r="AL179" s="263">
        <f t="shared" si="88"/>
        <v>1150.3204999999998</v>
      </c>
      <c r="AM179" s="263">
        <f t="shared" si="88"/>
        <v>1049.2269999999999</v>
      </c>
      <c r="AN179" s="263">
        <f t="shared" si="88"/>
        <v>1123.7599</v>
      </c>
      <c r="AO179" s="80"/>
      <c r="AP179" s="278">
        <f>SUM(J179:AN179)</f>
        <v>26523.300461411611</v>
      </c>
      <c r="XX179" s="265"/>
    </row>
    <row r="180" spans="6:957" x14ac:dyDescent="0.3">
      <c r="F180" s="279"/>
      <c r="G180" s="280" t="s">
        <v>145</v>
      </c>
      <c r="H180" s="281">
        <f>SUM(H178:H179)</f>
        <v>1269.566</v>
      </c>
      <c r="I180" s="282" t="s">
        <v>42</v>
      </c>
      <c r="J180" s="283">
        <f t="shared" ref="J180:AN180" si="90">J176</f>
        <v>148.48759999999999</v>
      </c>
      <c r="K180" s="283">
        <f t="shared" si="90"/>
        <v>136.79060000000001</v>
      </c>
      <c r="L180" s="283">
        <f t="shared" si="90"/>
        <v>140.3631</v>
      </c>
      <c r="M180" s="283">
        <f t="shared" si="90"/>
        <v>118.6923</v>
      </c>
      <c r="N180" s="283">
        <f t="shared" si="90"/>
        <v>0</v>
      </c>
      <c r="O180" s="283">
        <f t="shared" si="90"/>
        <v>0</v>
      </c>
      <c r="P180" s="283">
        <f t="shared" si="90"/>
        <v>0</v>
      </c>
      <c r="Q180" s="283">
        <f t="shared" si="90"/>
        <v>546.34280000000001</v>
      </c>
      <c r="R180" s="283">
        <f t="shared" si="90"/>
        <v>1107.3202000000001</v>
      </c>
      <c r="S180" s="283">
        <f t="shared" si="90"/>
        <v>1195.6702</v>
      </c>
      <c r="T180" s="283">
        <f t="shared" si="90"/>
        <v>1213.7929999999999</v>
      </c>
      <c r="U180" s="283">
        <f t="shared" si="90"/>
        <v>1416.9612</v>
      </c>
      <c r="V180" s="283">
        <f t="shared" si="90"/>
        <v>1542.2022999999999</v>
      </c>
      <c r="W180" s="283">
        <f t="shared" si="90"/>
        <v>1439.2291</v>
      </c>
      <c r="X180" s="283">
        <f t="shared" si="90"/>
        <v>1315.2701999999999</v>
      </c>
      <c r="Y180" s="283">
        <f t="shared" si="90"/>
        <v>1353.2838999999999</v>
      </c>
      <c r="Z180" s="283">
        <f t="shared" si="90"/>
        <v>1452.2827</v>
      </c>
      <c r="AA180" s="283">
        <f t="shared" si="90"/>
        <v>1381.6441</v>
      </c>
      <c r="AB180" s="283">
        <f t="shared" si="90"/>
        <v>1479.1673000000001</v>
      </c>
      <c r="AC180" s="283">
        <f t="shared" si="90"/>
        <v>1472.5257999999999</v>
      </c>
      <c r="AD180" s="283">
        <f t="shared" si="90"/>
        <v>1408.4203</v>
      </c>
      <c r="AE180" s="283">
        <f t="shared" si="90"/>
        <v>1526.7583</v>
      </c>
      <c r="AF180" s="283">
        <f t="shared" si="90"/>
        <v>1378.1045999999999</v>
      </c>
      <c r="AG180" s="283">
        <f t="shared" si="90"/>
        <v>1371.6316999999999</v>
      </c>
      <c r="AH180" s="283">
        <f t="shared" si="90"/>
        <v>1305.8064999999999</v>
      </c>
      <c r="AI180" s="283">
        <f t="shared" si="90"/>
        <v>1348.1547</v>
      </c>
      <c r="AJ180" s="283">
        <f t="shared" si="90"/>
        <v>1363.6994</v>
      </c>
      <c r="AK180" s="283">
        <f t="shared" si="90"/>
        <v>1398.2887000000001</v>
      </c>
      <c r="AL180" s="283">
        <f t="shared" si="90"/>
        <v>1408.6569</v>
      </c>
      <c r="AM180" s="283">
        <f t="shared" si="90"/>
        <v>1263.4992999999999</v>
      </c>
      <c r="AN180" s="283">
        <f t="shared" si="90"/>
        <v>1364.8704</v>
      </c>
      <c r="AO180" s="252"/>
      <c r="AP180" s="284">
        <f>SUM(AP178:AP179)</f>
        <v>32597.917200000004</v>
      </c>
      <c r="AR180" s="285"/>
      <c r="CB180" s="222"/>
      <c r="CC180" s="222"/>
      <c r="DF180" s="222"/>
      <c r="EN180" s="68"/>
      <c r="EO180" s="222"/>
      <c r="EP180" s="222"/>
      <c r="EQ180" s="222"/>
      <c r="ER180" s="222"/>
      <c r="GU180" s="222"/>
      <c r="KP180" s="222"/>
      <c r="KQ180" s="222"/>
      <c r="KR180" s="222"/>
      <c r="KS180" s="222"/>
      <c r="PW180" s="222"/>
      <c r="PX180" s="222"/>
      <c r="PZ180" s="222"/>
      <c r="QN180" s="286"/>
      <c r="QR180" s="222"/>
      <c r="SU180" s="286"/>
      <c r="AID180" s="222"/>
      <c r="AJS180" s="222"/>
      <c r="AJT180" s="222"/>
      <c r="AJU180" s="222"/>
    </row>
    <row r="181" spans="6:957" x14ac:dyDescent="0.3">
      <c r="F181" s="56">
        <v>10</v>
      </c>
      <c r="G181" s="287" t="s">
        <v>146</v>
      </c>
      <c r="H181" s="288"/>
      <c r="I181" s="288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89"/>
      <c r="AI181" s="289"/>
      <c r="AJ181" s="289"/>
      <c r="AK181" s="289"/>
      <c r="AL181" s="289"/>
      <c r="AM181" s="289"/>
      <c r="AN181" s="289"/>
      <c r="AO181" s="252"/>
      <c r="AP181" s="290" t="s">
        <v>147</v>
      </c>
      <c r="AR181" s="285"/>
      <c r="CB181" s="222"/>
      <c r="CC181" s="222"/>
      <c r="DF181" s="222"/>
      <c r="EN181" s="68"/>
      <c r="EO181" s="222"/>
      <c r="EP181" s="222"/>
      <c r="EQ181" s="222"/>
      <c r="ER181" s="222"/>
      <c r="GU181" s="222"/>
      <c r="KP181" s="222"/>
      <c r="KQ181" s="222"/>
      <c r="KR181" s="222"/>
      <c r="KS181" s="222"/>
      <c r="PW181" s="222"/>
      <c r="PX181" s="222"/>
      <c r="PZ181" s="222"/>
      <c r="QN181" s="286"/>
      <c r="QR181" s="222"/>
      <c r="SU181" s="286"/>
      <c r="AID181" s="222"/>
      <c r="AJS181" s="222"/>
      <c r="AJT181" s="222"/>
      <c r="AJU181" s="222"/>
    </row>
    <row r="182" spans="6:957" x14ac:dyDescent="0.3">
      <c r="F182" s="107"/>
      <c r="G182" s="105" t="s">
        <v>148</v>
      </c>
      <c r="H182" s="76">
        <f>17000*24</f>
        <v>408000</v>
      </c>
      <c r="I182" s="174" t="s">
        <v>10</v>
      </c>
      <c r="J182" s="238">
        <v>20121</v>
      </c>
      <c r="K182" s="238">
        <v>18129</v>
      </c>
      <c r="L182" s="238">
        <v>20205</v>
      </c>
      <c r="M182" s="238">
        <v>0</v>
      </c>
      <c r="N182" s="238">
        <v>0</v>
      </c>
      <c r="O182" s="238">
        <v>0</v>
      </c>
      <c r="P182" s="238">
        <v>0</v>
      </c>
      <c r="Q182" s="238">
        <v>132080</v>
      </c>
      <c r="R182" s="69">
        <v>277776</v>
      </c>
      <c r="S182" s="69">
        <v>248952</v>
      </c>
      <c r="T182" s="79">
        <v>263371</v>
      </c>
      <c r="U182" s="69">
        <v>295514</v>
      </c>
      <c r="V182" s="69">
        <v>329619</v>
      </c>
      <c r="W182" s="69">
        <v>280887</v>
      </c>
      <c r="X182" s="69">
        <v>265539</v>
      </c>
      <c r="Y182" s="69">
        <v>266381</v>
      </c>
      <c r="Z182" s="69">
        <v>287229</v>
      </c>
      <c r="AA182" s="69">
        <v>270553</v>
      </c>
      <c r="AB182" s="69">
        <v>286975</v>
      </c>
      <c r="AC182" s="69">
        <v>300113</v>
      </c>
      <c r="AD182" s="69">
        <v>271841</v>
      </c>
      <c r="AE182" s="69">
        <v>317418</v>
      </c>
      <c r="AF182" s="69">
        <v>309171</v>
      </c>
      <c r="AG182" s="69">
        <v>308734</v>
      </c>
      <c r="AH182" s="69">
        <v>287715</v>
      </c>
      <c r="AI182" s="69">
        <v>306203</v>
      </c>
      <c r="AJ182" s="69">
        <v>312802</v>
      </c>
      <c r="AK182" s="69">
        <v>385713</v>
      </c>
      <c r="AL182" s="69">
        <v>251636</v>
      </c>
      <c r="AM182" s="69">
        <v>294660</v>
      </c>
      <c r="AN182" s="69">
        <v>307367</v>
      </c>
      <c r="AO182" s="80"/>
      <c r="AP182" s="70">
        <f>SUM(J182:AN182)</f>
        <v>6916704</v>
      </c>
      <c r="AQ182" s="7"/>
      <c r="AR182" s="6">
        <f>AP182/AP29</f>
        <v>314395.63636363635</v>
      </c>
      <c r="CB182" s="72"/>
      <c r="CC182" s="72"/>
      <c r="DF182" s="72"/>
      <c r="EN182" s="64"/>
      <c r="EO182" s="72"/>
      <c r="EP182" s="72"/>
      <c r="EQ182" s="72"/>
      <c r="ER182" s="72"/>
      <c r="GU182" s="72"/>
      <c r="KP182" s="72"/>
      <c r="KQ182" s="72"/>
      <c r="KR182" s="72"/>
      <c r="KS182" s="72"/>
      <c r="PW182" s="72"/>
      <c r="PX182" s="72"/>
      <c r="PZ182" s="72"/>
      <c r="QN182" s="127"/>
      <c r="QR182" s="72"/>
      <c r="SU182" s="127"/>
      <c r="AID182" s="72"/>
      <c r="AJS182" s="72"/>
      <c r="AJT182" s="72"/>
      <c r="AJU182" s="72"/>
    </row>
    <row r="183" spans="6:957" x14ac:dyDescent="0.3">
      <c r="F183" s="56"/>
      <c r="G183" s="233" t="s">
        <v>149</v>
      </c>
      <c r="H183" s="248"/>
      <c r="I183" s="56"/>
      <c r="J183" s="291"/>
      <c r="K183" s="291"/>
      <c r="L183" s="291"/>
      <c r="M183" s="291"/>
      <c r="N183" s="291"/>
      <c r="O183" s="291"/>
      <c r="P183" s="291"/>
      <c r="Q183" s="291"/>
      <c r="R183" s="291"/>
      <c r="S183" s="291"/>
      <c r="T183" s="291"/>
      <c r="U183" s="291"/>
      <c r="V183" s="291"/>
      <c r="W183" s="291"/>
      <c r="X183" s="291"/>
      <c r="Y183" s="291"/>
      <c r="Z183" s="291"/>
      <c r="AA183" s="291"/>
      <c r="AB183" s="291"/>
      <c r="AC183" s="291"/>
      <c r="AD183" s="291"/>
      <c r="AE183" s="291"/>
      <c r="AF183" s="291"/>
      <c r="AG183" s="291"/>
      <c r="AH183" s="291"/>
      <c r="AI183" s="291"/>
      <c r="AJ183" s="291"/>
      <c r="AK183" s="291"/>
      <c r="AL183" s="291"/>
      <c r="AM183" s="291"/>
      <c r="AN183" s="291"/>
      <c r="AO183" s="252"/>
      <c r="AP183" s="292" t="s">
        <v>149</v>
      </c>
      <c r="AQ183" s="217"/>
      <c r="AR183" s="285">
        <f>AR182/24</f>
        <v>13099.818181818182</v>
      </c>
      <c r="CB183" s="222"/>
      <c r="CC183" s="222"/>
      <c r="DF183" s="222"/>
      <c r="EN183" s="68"/>
      <c r="EO183" s="222"/>
      <c r="EP183" s="222"/>
      <c r="EQ183" s="222"/>
      <c r="ER183" s="222"/>
      <c r="GU183" s="222"/>
      <c r="KP183" s="222"/>
      <c r="KQ183" s="222"/>
      <c r="KR183" s="222"/>
      <c r="KS183" s="222"/>
      <c r="PW183" s="222"/>
      <c r="PX183" s="222"/>
      <c r="PZ183" s="222"/>
      <c r="QN183" s="286"/>
      <c r="QR183" s="222"/>
      <c r="SU183" s="286"/>
      <c r="AID183" s="222"/>
      <c r="AJS183" s="222"/>
      <c r="AJT183" s="222"/>
      <c r="AJU183" s="222"/>
    </row>
    <row r="184" spans="6:957" x14ac:dyDescent="0.3">
      <c r="F184" s="107"/>
      <c r="G184" s="105" t="s">
        <v>28</v>
      </c>
      <c r="H184" s="76">
        <v>180000</v>
      </c>
      <c r="I184" s="174" t="s">
        <v>10</v>
      </c>
      <c r="J184" s="238">
        <v>0</v>
      </c>
      <c r="K184" s="238">
        <v>0</v>
      </c>
      <c r="L184" s="238">
        <v>0</v>
      </c>
      <c r="M184" s="238">
        <v>0</v>
      </c>
      <c r="N184" s="238">
        <v>0</v>
      </c>
      <c r="O184" s="238">
        <v>0</v>
      </c>
      <c r="P184" s="238">
        <v>0</v>
      </c>
      <c r="Q184" s="238">
        <v>78600</v>
      </c>
      <c r="R184" s="238">
        <v>116400</v>
      </c>
      <c r="S184" s="69">
        <v>159800</v>
      </c>
      <c r="T184" s="69">
        <v>159500</v>
      </c>
      <c r="U184" s="69">
        <v>170100.00000000015</v>
      </c>
      <c r="V184" s="69">
        <v>171100.00000000015</v>
      </c>
      <c r="W184" s="69">
        <v>159699.99999999983</v>
      </c>
      <c r="X184" s="69">
        <v>160699.99999999983</v>
      </c>
      <c r="Y184" s="69">
        <v>159100</v>
      </c>
      <c r="Z184" s="69">
        <v>155700</v>
      </c>
      <c r="AA184" s="69">
        <v>158000</v>
      </c>
      <c r="AB184" s="69">
        <v>155000</v>
      </c>
      <c r="AC184" s="69">
        <v>148699.99999999983</v>
      </c>
      <c r="AD184" s="69">
        <v>150100.00000000035</v>
      </c>
      <c r="AE184" s="69">
        <v>168400</v>
      </c>
      <c r="AF184" s="69">
        <v>159700</v>
      </c>
      <c r="AG184" s="69">
        <v>151000</v>
      </c>
      <c r="AH184" s="69">
        <v>148600</v>
      </c>
      <c r="AI184" s="69">
        <v>150900</v>
      </c>
      <c r="AJ184" s="69">
        <v>152700</v>
      </c>
      <c r="AK184" s="69">
        <v>153600</v>
      </c>
      <c r="AL184" s="69">
        <v>151900</v>
      </c>
      <c r="AM184" s="69">
        <v>152200</v>
      </c>
      <c r="AN184" s="69">
        <v>152400</v>
      </c>
      <c r="AO184" s="80"/>
      <c r="AP184" s="70">
        <f>SUM(J184:AN184)</f>
        <v>3643900</v>
      </c>
      <c r="AQ184" s="127"/>
      <c r="AR184" s="127">
        <f>AR183/1000</f>
        <v>13.099818181818183</v>
      </c>
    </row>
    <row r="185" spans="6:957" x14ac:dyDescent="0.3">
      <c r="F185" s="107"/>
      <c r="G185" s="105" t="s">
        <v>150</v>
      </c>
      <c r="H185" s="76">
        <v>122000</v>
      </c>
      <c r="I185" s="174" t="s">
        <v>10</v>
      </c>
      <c r="J185" s="238">
        <v>0</v>
      </c>
      <c r="K185" s="238">
        <v>0</v>
      </c>
      <c r="L185" s="238">
        <v>0</v>
      </c>
      <c r="M185" s="238">
        <v>0</v>
      </c>
      <c r="N185" s="238">
        <v>0</v>
      </c>
      <c r="O185" s="238">
        <v>0</v>
      </c>
      <c r="P185" s="238">
        <v>0</v>
      </c>
      <c r="Q185" s="238">
        <v>53300</v>
      </c>
      <c r="R185" s="238">
        <v>75300</v>
      </c>
      <c r="S185" s="69">
        <v>58000</v>
      </c>
      <c r="T185" s="69">
        <v>79700</v>
      </c>
      <c r="U185" s="69">
        <v>99000</v>
      </c>
      <c r="V185" s="69">
        <v>85600.000000000364</v>
      </c>
      <c r="W185" s="69">
        <v>85799.999999999272</v>
      </c>
      <c r="X185" s="69">
        <v>83700.000000000728</v>
      </c>
      <c r="Y185" s="69">
        <v>89600</v>
      </c>
      <c r="Z185" s="69">
        <v>94900</v>
      </c>
      <c r="AA185" s="69">
        <v>98700.000000000728</v>
      </c>
      <c r="AB185" s="69">
        <v>99599.999999998545</v>
      </c>
      <c r="AC185" s="69">
        <v>103100.00000000036</v>
      </c>
      <c r="AD185" s="69">
        <v>101899.99999999964</v>
      </c>
      <c r="AE185" s="69">
        <v>85600</v>
      </c>
      <c r="AF185" s="69">
        <v>77700</v>
      </c>
      <c r="AG185" s="69">
        <v>75600</v>
      </c>
      <c r="AH185" s="69">
        <v>83200</v>
      </c>
      <c r="AI185" s="69">
        <v>91700</v>
      </c>
      <c r="AJ185" s="69">
        <v>89000</v>
      </c>
      <c r="AK185" s="69">
        <v>97600</v>
      </c>
      <c r="AL185" s="69">
        <v>79900</v>
      </c>
      <c r="AM185" s="69">
        <v>77500</v>
      </c>
      <c r="AN185" s="69">
        <v>86800</v>
      </c>
      <c r="AO185" s="80"/>
      <c r="AP185" s="70">
        <f>SUM(J185:AN185)</f>
        <v>2052799.9999999995</v>
      </c>
    </row>
    <row r="186" spans="6:957" x14ac:dyDescent="0.3">
      <c r="F186" s="107"/>
      <c r="G186" s="105" t="s">
        <v>151</v>
      </c>
      <c r="H186" s="76">
        <f>H182-H184-H185</f>
        <v>106000</v>
      </c>
      <c r="I186" s="174" t="s">
        <v>10</v>
      </c>
      <c r="J186" s="69">
        <f t="shared" ref="J186:AN186" si="91">J182-J184-J185</f>
        <v>20121</v>
      </c>
      <c r="K186" s="69">
        <f t="shared" si="91"/>
        <v>18129</v>
      </c>
      <c r="L186" s="69">
        <f t="shared" si="91"/>
        <v>20205</v>
      </c>
      <c r="M186" s="69">
        <f t="shared" si="91"/>
        <v>0</v>
      </c>
      <c r="N186" s="69">
        <f t="shared" si="91"/>
        <v>0</v>
      </c>
      <c r="O186" s="69">
        <f t="shared" si="91"/>
        <v>0</v>
      </c>
      <c r="P186" s="69">
        <f t="shared" si="91"/>
        <v>0</v>
      </c>
      <c r="Q186" s="69">
        <f t="shared" si="91"/>
        <v>180</v>
      </c>
      <c r="R186" s="69">
        <f t="shared" si="91"/>
        <v>86076</v>
      </c>
      <c r="S186" s="69">
        <f t="shared" si="91"/>
        <v>31152</v>
      </c>
      <c r="T186" s="69">
        <f>T182-T184-T185</f>
        <v>24171</v>
      </c>
      <c r="U186" s="69">
        <f t="shared" si="91"/>
        <v>26413.999999999854</v>
      </c>
      <c r="V186" s="69">
        <f t="shared" si="91"/>
        <v>72918.999999999491</v>
      </c>
      <c r="W186" s="69">
        <f t="shared" si="91"/>
        <v>35387.000000000902</v>
      </c>
      <c r="X186" s="69">
        <f t="shared" si="91"/>
        <v>21138.999999999447</v>
      </c>
      <c r="Y186" s="69">
        <f t="shared" si="91"/>
        <v>17681</v>
      </c>
      <c r="Z186" s="69">
        <f t="shared" si="91"/>
        <v>36629</v>
      </c>
      <c r="AA186" s="69">
        <f t="shared" si="91"/>
        <v>13852.999999999272</v>
      </c>
      <c r="AB186" s="69">
        <f t="shared" si="91"/>
        <v>32375.000000001455</v>
      </c>
      <c r="AC186" s="69">
        <f t="shared" si="91"/>
        <v>48312.999999999811</v>
      </c>
      <c r="AD186" s="69">
        <f>AD182-AD184-AD185</f>
        <v>19841.000000000015</v>
      </c>
      <c r="AE186" s="69">
        <f>AE182-AE184-AE185</f>
        <v>63418</v>
      </c>
      <c r="AF186" s="69">
        <f t="shared" si="91"/>
        <v>71771</v>
      </c>
      <c r="AG186" s="69">
        <f>AG182-AG184-AG185</f>
        <v>82134</v>
      </c>
      <c r="AH186" s="69">
        <f>AH182-AH184-AH185</f>
        <v>55915</v>
      </c>
      <c r="AI186" s="69">
        <f t="shared" si="91"/>
        <v>63603</v>
      </c>
      <c r="AJ186" s="69">
        <f t="shared" si="91"/>
        <v>71102</v>
      </c>
      <c r="AK186" s="69">
        <f t="shared" si="91"/>
        <v>134513</v>
      </c>
      <c r="AL186" s="69">
        <f t="shared" si="91"/>
        <v>19836</v>
      </c>
      <c r="AM186" s="69">
        <f t="shared" si="91"/>
        <v>64960</v>
      </c>
      <c r="AN186" s="69">
        <f t="shared" si="91"/>
        <v>68167</v>
      </c>
      <c r="AO186" s="80"/>
      <c r="AP186" s="70">
        <f>SUM(J186:AN186)</f>
        <v>1220004.0000000002</v>
      </c>
    </row>
    <row r="187" spans="6:957" x14ac:dyDescent="0.3">
      <c r="F187" s="56"/>
      <c r="G187" s="247" t="s">
        <v>145</v>
      </c>
      <c r="H187" s="293">
        <f>SUM(H184:H186)</f>
        <v>408000</v>
      </c>
      <c r="I187" s="174" t="s">
        <v>10</v>
      </c>
      <c r="J187" s="291">
        <f t="shared" ref="J187:AN187" si="92">SUM(J184:J186)</f>
        <v>20121</v>
      </c>
      <c r="K187" s="291">
        <f t="shared" si="92"/>
        <v>18129</v>
      </c>
      <c r="L187" s="291">
        <f t="shared" si="92"/>
        <v>20205</v>
      </c>
      <c r="M187" s="291">
        <f t="shared" si="92"/>
        <v>0</v>
      </c>
      <c r="N187" s="291">
        <f t="shared" si="92"/>
        <v>0</v>
      </c>
      <c r="O187" s="291">
        <f t="shared" si="92"/>
        <v>0</v>
      </c>
      <c r="P187" s="291">
        <f t="shared" si="92"/>
        <v>0</v>
      </c>
      <c r="Q187" s="291">
        <f t="shared" si="92"/>
        <v>132080</v>
      </c>
      <c r="R187" s="291">
        <f t="shared" si="92"/>
        <v>277776</v>
      </c>
      <c r="S187" s="291">
        <f t="shared" si="92"/>
        <v>248952</v>
      </c>
      <c r="T187" s="291">
        <f t="shared" si="92"/>
        <v>263371</v>
      </c>
      <c r="U187" s="291">
        <f t="shared" si="92"/>
        <v>295514</v>
      </c>
      <c r="V187" s="291">
        <f t="shared" si="92"/>
        <v>329619</v>
      </c>
      <c r="W187" s="291">
        <f t="shared" si="92"/>
        <v>280887</v>
      </c>
      <c r="X187" s="291">
        <f t="shared" si="92"/>
        <v>265539</v>
      </c>
      <c r="Y187" s="291">
        <f t="shared" si="92"/>
        <v>266381</v>
      </c>
      <c r="Z187" s="291">
        <f t="shared" si="92"/>
        <v>287229</v>
      </c>
      <c r="AA187" s="291">
        <f t="shared" si="92"/>
        <v>270553</v>
      </c>
      <c r="AB187" s="291">
        <f t="shared" si="92"/>
        <v>286975</v>
      </c>
      <c r="AC187" s="291">
        <f t="shared" si="92"/>
        <v>300113</v>
      </c>
      <c r="AD187" s="291">
        <f t="shared" si="92"/>
        <v>271841</v>
      </c>
      <c r="AE187" s="291">
        <f>SUM(AE184:AE186)</f>
        <v>317418</v>
      </c>
      <c r="AF187" s="291">
        <f t="shared" si="92"/>
        <v>309171</v>
      </c>
      <c r="AG187" s="291">
        <f t="shared" si="92"/>
        <v>308734</v>
      </c>
      <c r="AH187" s="291">
        <f t="shared" si="92"/>
        <v>287715</v>
      </c>
      <c r="AI187" s="291">
        <f t="shared" si="92"/>
        <v>306203</v>
      </c>
      <c r="AJ187" s="291">
        <f t="shared" si="92"/>
        <v>312802</v>
      </c>
      <c r="AK187" s="291">
        <f t="shared" si="92"/>
        <v>385713</v>
      </c>
      <c r="AL187" s="291">
        <f t="shared" si="92"/>
        <v>251636</v>
      </c>
      <c r="AM187" s="291">
        <f t="shared" si="92"/>
        <v>294660</v>
      </c>
      <c r="AN187" s="291">
        <f t="shared" si="92"/>
        <v>307367</v>
      </c>
      <c r="AO187" s="252"/>
      <c r="AP187" s="294">
        <f>SUM(AP184:AP186)</f>
        <v>6916704</v>
      </c>
      <c r="AR187" s="285"/>
      <c r="CB187" s="222"/>
      <c r="CC187" s="222"/>
      <c r="DF187" s="222"/>
      <c r="EN187" s="68"/>
      <c r="EO187" s="222"/>
      <c r="EP187" s="222"/>
      <c r="EQ187" s="222"/>
      <c r="ER187" s="222"/>
      <c r="GU187" s="222"/>
      <c r="KP187" s="222"/>
      <c r="KQ187" s="222"/>
      <c r="KR187" s="222"/>
      <c r="KS187" s="222"/>
      <c r="PW187" s="222"/>
      <c r="PX187" s="222"/>
      <c r="PZ187" s="222"/>
      <c r="QN187" s="286"/>
      <c r="QR187" s="222"/>
      <c r="SU187" s="286"/>
      <c r="AID187" s="222"/>
      <c r="AJS187" s="222"/>
      <c r="AJT187" s="222"/>
      <c r="AJU187" s="222"/>
    </row>
    <row r="188" spans="6:957" x14ac:dyDescent="0.3">
      <c r="F188" s="46">
        <v>11</v>
      </c>
      <c r="G188" s="164" t="s">
        <v>152</v>
      </c>
      <c r="H188" s="165"/>
      <c r="I188" s="165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295"/>
      <c r="AH188" s="295"/>
      <c r="AI188" s="295"/>
      <c r="AJ188" s="295"/>
      <c r="AK188" s="295"/>
      <c r="AL188" s="295"/>
      <c r="AM188" s="295"/>
      <c r="AN188" s="295"/>
      <c r="AO188" s="80"/>
      <c r="AP188" s="290" t="s">
        <v>153</v>
      </c>
    </row>
    <row r="189" spans="6:957" ht="16.2" x14ac:dyDescent="0.3">
      <c r="F189" s="19"/>
      <c r="G189" s="236" t="s">
        <v>154</v>
      </c>
      <c r="H189" s="296">
        <v>670</v>
      </c>
      <c r="I189" s="237" t="s">
        <v>155</v>
      </c>
      <c r="J189" s="297">
        <v>0</v>
      </c>
      <c r="K189" s="297">
        <v>145</v>
      </c>
      <c r="L189" s="297">
        <v>0</v>
      </c>
      <c r="M189" s="297">
        <v>0</v>
      </c>
      <c r="N189" s="297">
        <v>0</v>
      </c>
      <c r="O189" s="297">
        <v>0</v>
      </c>
      <c r="P189" s="297">
        <v>0</v>
      </c>
      <c r="Q189" s="297">
        <v>634</v>
      </c>
      <c r="R189" s="297">
        <v>701</v>
      </c>
      <c r="S189" s="298">
        <v>704</v>
      </c>
      <c r="T189" s="298">
        <v>727</v>
      </c>
      <c r="U189" s="298">
        <v>740</v>
      </c>
      <c r="V189" s="297">
        <v>898</v>
      </c>
      <c r="W189" s="297">
        <v>769</v>
      </c>
      <c r="X189" s="299">
        <v>778</v>
      </c>
      <c r="Y189" s="299">
        <v>690</v>
      </c>
      <c r="Z189" s="299">
        <v>771</v>
      </c>
      <c r="AA189" s="299">
        <v>595</v>
      </c>
      <c r="AB189" s="299">
        <v>767</v>
      </c>
      <c r="AC189" s="299">
        <v>787</v>
      </c>
      <c r="AD189" s="299">
        <v>636</v>
      </c>
      <c r="AE189" s="299">
        <v>816</v>
      </c>
      <c r="AF189" s="297">
        <v>624</v>
      </c>
      <c r="AG189" s="297">
        <v>721</v>
      </c>
      <c r="AH189" s="297">
        <v>706</v>
      </c>
      <c r="AI189" s="299">
        <v>647</v>
      </c>
      <c r="AJ189" s="297">
        <v>711</v>
      </c>
      <c r="AK189" s="299">
        <v>724</v>
      </c>
      <c r="AL189" s="299">
        <v>613</v>
      </c>
      <c r="AM189" s="299">
        <v>717</v>
      </c>
      <c r="AN189" s="297">
        <v>770</v>
      </c>
      <c r="AP189" s="300">
        <f>SUM(J189:AN189)</f>
        <v>17391</v>
      </c>
      <c r="AR189" s="157">
        <f>AP189/AP29</f>
        <v>790.5</v>
      </c>
      <c r="CB189" s="156"/>
      <c r="CC189" s="156"/>
      <c r="DF189" s="156"/>
      <c r="EN189" s="163"/>
      <c r="EO189" s="156"/>
      <c r="EP189" s="156"/>
      <c r="EQ189" s="156"/>
      <c r="ER189" s="156"/>
      <c r="GU189" s="156"/>
      <c r="KP189" s="156"/>
      <c r="KQ189" s="156"/>
      <c r="KR189" s="156"/>
      <c r="KS189" s="156"/>
      <c r="PW189" s="156"/>
      <c r="PX189" s="156"/>
      <c r="PZ189" s="156"/>
      <c r="QN189" s="160"/>
      <c r="QR189" s="156"/>
      <c r="SU189" s="160"/>
      <c r="AID189" s="156"/>
      <c r="AJS189" s="156"/>
      <c r="AJT189" s="156"/>
      <c r="AJU189" s="156"/>
    </row>
    <row r="190" spans="6:957" x14ac:dyDescent="0.3">
      <c r="F190" s="19"/>
      <c r="G190" s="301" t="s">
        <v>142</v>
      </c>
      <c r="H190" s="18"/>
      <c r="I190" s="19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  <c r="AH190" s="297"/>
      <c r="AI190" s="297"/>
      <c r="AJ190" s="297"/>
      <c r="AK190" s="297"/>
      <c r="AL190" s="297"/>
      <c r="AM190" s="297"/>
      <c r="AN190" s="297"/>
      <c r="AP190" s="302" t="s">
        <v>142</v>
      </c>
      <c r="AR190" s="157"/>
      <c r="CB190" s="156"/>
      <c r="CC190" s="156"/>
      <c r="DF190" s="156"/>
      <c r="EN190" s="163"/>
      <c r="EO190" s="156"/>
      <c r="EP190" s="156"/>
      <c r="EQ190" s="156"/>
      <c r="ER190" s="156"/>
      <c r="GU190" s="156"/>
      <c r="KP190" s="156"/>
      <c r="KQ190" s="156"/>
      <c r="KR190" s="156"/>
      <c r="KS190" s="156"/>
      <c r="PW190" s="156"/>
      <c r="PX190" s="156"/>
      <c r="PZ190" s="156"/>
      <c r="QN190" s="160"/>
      <c r="QR190" s="156"/>
      <c r="SU190" s="160"/>
      <c r="AID190" s="156"/>
      <c r="AJS190" s="156"/>
      <c r="AJT190" s="156"/>
      <c r="AJU190" s="156"/>
    </row>
    <row r="191" spans="6:957" ht="16.2" x14ac:dyDescent="0.3">
      <c r="F191" s="19"/>
      <c r="G191" s="236" t="s">
        <v>156</v>
      </c>
      <c r="H191" s="303">
        <v>78.959999999999994</v>
      </c>
      <c r="I191" s="237" t="s">
        <v>155</v>
      </c>
      <c r="J191" s="304">
        <v>0</v>
      </c>
      <c r="K191" s="304">
        <v>0</v>
      </c>
      <c r="L191" s="304">
        <v>0</v>
      </c>
      <c r="M191" s="304">
        <v>0</v>
      </c>
      <c r="N191" s="304">
        <v>0</v>
      </c>
      <c r="O191" s="304">
        <v>0</v>
      </c>
      <c r="P191" s="304">
        <v>0</v>
      </c>
      <c r="Q191" s="304">
        <v>56</v>
      </c>
      <c r="R191" s="304">
        <v>97</v>
      </c>
      <c r="S191" s="297">
        <v>57</v>
      </c>
      <c r="T191" s="297">
        <v>69</v>
      </c>
      <c r="U191" s="297">
        <v>91</v>
      </c>
      <c r="V191" s="297">
        <v>49</v>
      </c>
      <c r="W191" s="297">
        <v>53</v>
      </c>
      <c r="X191" s="297">
        <v>66</v>
      </c>
      <c r="Y191" s="297">
        <v>54</v>
      </c>
      <c r="Z191" s="297">
        <v>71</v>
      </c>
      <c r="AA191" s="297">
        <v>56</v>
      </c>
      <c r="AB191" s="297">
        <v>46</v>
      </c>
      <c r="AC191" s="297">
        <v>98</v>
      </c>
      <c r="AD191" s="297">
        <v>54</v>
      </c>
      <c r="AE191" s="297">
        <v>56</v>
      </c>
      <c r="AF191" s="297">
        <v>89</v>
      </c>
      <c r="AG191" s="297">
        <v>127</v>
      </c>
      <c r="AH191" s="297">
        <v>50</v>
      </c>
      <c r="AI191" s="297">
        <v>46</v>
      </c>
      <c r="AJ191" s="297">
        <v>51</v>
      </c>
      <c r="AK191" s="297">
        <v>43</v>
      </c>
      <c r="AL191" s="297">
        <v>54</v>
      </c>
      <c r="AM191" s="297">
        <v>37</v>
      </c>
      <c r="AN191" s="297">
        <v>82</v>
      </c>
      <c r="AP191" s="305">
        <f>SUM(J191:AN191)</f>
        <v>1552</v>
      </c>
      <c r="AQ191" s="306"/>
      <c r="AR191" s="157"/>
      <c r="CB191" s="156"/>
      <c r="CC191" s="156"/>
      <c r="DF191" s="156"/>
      <c r="EN191" s="163"/>
      <c r="EO191" s="156"/>
      <c r="EP191" s="156"/>
      <c r="EQ191" s="156"/>
      <c r="ER191" s="156"/>
      <c r="GU191" s="156"/>
      <c r="KP191" s="156"/>
      <c r="KQ191" s="156"/>
      <c r="KR191" s="156"/>
      <c r="KS191" s="156"/>
      <c r="PW191" s="156"/>
      <c r="PX191" s="156"/>
      <c r="PZ191" s="156"/>
      <c r="QN191" s="160"/>
      <c r="QR191" s="156"/>
      <c r="SU191" s="160"/>
      <c r="AGP191" s="307">
        <f>AR191-AP191</f>
        <v>-1552</v>
      </c>
      <c r="AID191" s="156"/>
      <c r="AJS191" s="156"/>
      <c r="AJT191" s="156"/>
      <c r="AJU191" s="156"/>
    </row>
    <row r="192" spans="6:957" ht="16.2" x14ac:dyDescent="0.3">
      <c r="F192" s="19"/>
      <c r="G192" s="236" t="s">
        <v>157</v>
      </c>
      <c r="H192" s="303">
        <v>118.4</v>
      </c>
      <c r="I192" s="237" t="s">
        <v>155</v>
      </c>
      <c r="J192" s="304">
        <v>0</v>
      </c>
      <c r="K192" s="304">
        <v>0</v>
      </c>
      <c r="L192" s="304">
        <v>0</v>
      </c>
      <c r="M192" s="304">
        <v>0</v>
      </c>
      <c r="N192" s="304">
        <v>0</v>
      </c>
      <c r="O192" s="304">
        <v>0</v>
      </c>
      <c r="P192" s="304">
        <v>0</v>
      </c>
      <c r="Q192" s="304">
        <v>76</v>
      </c>
      <c r="R192" s="304">
        <v>91</v>
      </c>
      <c r="S192" s="297">
        <v>96</v>
      </c>
      <c r="T192" s="297">
        <v>114</v>
      </c>
      <c r="U192" s="297">
        <v>128</v>
      </c>
      <c r="V192" s="297">
        <v>100</v>
      </c>
      <c r="W192" s="297">
        <v>114</v>
      </c>
      <c r="X192" s="297">
        <v>105</v>
      </c>
      <c r="Y192" s="297">
        <v>99</v>
      </c>
      <c r="Z192" s="297">
        <v>121</v>
      </c>
      <c r="AA192" s="297">
        <v>105</v>
      </c>
      <c r="AB192" s="297">
        <v>137</v>
      </c>
      <c r="AC192" s="297">
        <v>112</v>
      </c>
      <c r="AD192" s="297">
        <v>129</v>
      </c>
      <c r="AE192" s="297">
        <v>94</v>
      </c>
      <c r="AF192" s="297">
        <v>82</v>
      </c>
      <c r="AG192" s="297">
        <v>96</v>
      </c>
      <c r="AH192" s="297">
        <v>100</v>
      </c>
      <c r="AI192" s="297">
        <v>12.5</v>
      </c>
      <c r="AJ192" s="297">
        <v>90</v>
      </c>
      <c r="AK192" s="297">
        <v>106</v>
      </c>
      <c r="AL192" s="297">
        <v>111</v>
      </c>
      <c r="AM192" s="297">
        <v>93</v>
      </c>
      <c r="AN192" s="297">
        <v>107</v>
      </c>
      <c r="AP192" s="305">
        <f>SUM(J192:AN192)</f>
        <v>2418.5</v>
      </c>
      <c r="AR192" s="157">
        <v>1303</v>
      </c>
      <c r="CB192" s="156"/>
      <c r="CC192" s="156"/>
      <c r="DF192" s="156"/>
      <c r="EN192" s="163"/>
      <c r="EO192" s="156"/>
      <c r="EP192" s="156"/>
      <c r="EQ192" s="156"/>
      <c r="ER192" s="156"/>
      <c r="GU192" s="156"/>
      <c r="KP192" s="156"/>
      <c r="KQ192" s="156"/>
      <c r="KR192" s="156"/>
      <c r="KS192" s="156"/>
      <c r="PW192" s="156"/>
      <c r="PX192" s="156"/>
      <c r="PZ192" s="156"/>
      <c r="QN192" s="160"/>
      <c r="QR192" s="156"/>
      <c r="SU192" s="160"/>
      <c r="AGP192" s="307">
        <f>AR192-AP192</f>
        <v>-1115.5</v>
      </c>
      <c r="AID192" s="156"/>
      <c r="AJS192" s="156"/>
      <c r="AJT192" s="156"/>
      <c r="AJU192" s="156"/>
    </row>
    <row r="193" spans="5:14973" ht="16.2" x14ac:dyDescent="0.3">
      <c r="F193" s="19"/>
      <c r="G193" s="236" t="s">
        <v>158</v>
      </c>
      <c r="H193" s="296">
        <f>44.69%*H189</f>
        <v>299.423</v>
      </c>
      <c r="I193" s="237" t="s">
        <v>155</v>
      </c>
      <c r="J193" s="297">
        <v>48.1</v>
      </c>
      <c r="K193" s="297">
        <v>45.8</v>
      </c>
      <c r="L193" s="297">
        <v>0</v>
      </c>
      <c r="M193" s="297">
        <v>0</v>
      </c>
      <c r="N193" s="297">
        <v>0</v>
      </c>
      <c r="O193" s="297">
        <v>0</v>
      </c>
      <c r="P193" s="297">
        <v>0</v>
      </c>
      <c r="Q193" s="297">
        <v>341</v>
      </c>
      <c r="R193" s="297">
        <v>363</v>
      </c>
      <c r="S193" s="297">
        <v>302</v>
      </c>
      <c r="T193" s="297">
        <v>349</v>
      </c>
      <c r="U193" s="297">
        <v>365</v>
      </c>
      <c r="V193" s="297">
        <v>428</v>
      </c>
      <c r="W193" s="297">
        <v>398</v>
      </c>
      <c r="X193" s="297">
        <v>344</v>
      </c>
      <c r="Y193" s="297">
        <v>321</v>
      </c>
      <c r="Z193" s="297">
        <v>348</v>
      </c>
      <c r="AA193" s="297">
        <v>295</v>
      </c>
      <c r="AB193" s="297">
        <v>384</v>
      </c>
      <c r="AC193" s="297">
        <v>319</v>
      </c>
      <c r="AD193" s="297">
        <v>383</v>
      </c>
      <c r="AE193" s="297">
        <v>376</v>
      </c>
      <c r="AF193" s="297">
        <v>304</v>
      </c>
      <c r="AG193" s="297">
        <v>358</v>
      </c>
      <c r="AH193" s="297">
        <v>320</v>
      </c>
      <c r="AI193" s="297">
        <v>297</v>
      </c>
      <c r="AJ193" s="297">
        <v>341</v>
      </c>
      <c r="AK193" s="297">
        <v>351</v>
      </c>
      <c r="AL193" s="297">
        <v>347</v>
      </c>
      <c r="AM193" s="297">
        <v>289</v>
      </c>
      <c r="AN193" s="297">
        <v>365</v>
      </c>
      <c r="AP193" s="305">
        <f>SUM(J193:AN193)</f>
        <v>8381.9</v>
      </c>
      <c r="AQ193" s="307"/>
      <c r="AR193" s="157"/>
      <c r="CB193" s="156"/>
      <c r="CC193" s="156"/>
      <c r="DF193" s="156"/>
      <c r="EN193" s="163"/>
      <c r="EO193" s="156"/>
      <c r="EP193" s="156"/>
      <c r="EQ193" s="156"/>
      <c r="ER193" s="156"/>
      <c r="GU193" s="156"/>
      <c r="KP193" s="156"/>
      <c r="KQ193" s="156"/>
      <c r="KR193" s="156"/>
      <c r="KS193" s="156"/>
      <c r="PW193" s="156"/>
      <c r="PX193" s="156"/>
      <c r="PZ193" s="156"/>
      <c r="QN193" s="160"/>
      <c r="QR193" s="156"/>
      <c r="SU193" s="160"/>
      <c r="AID193" s="156"/>
      <c r="AJS193" s="156"/>
      <c r="AJT193" s="156"/>
      <c r="AJU193" s="156"/>
    </row>
    <row r="194" spans="5:14973" ht="16.2" x14ac:dyDescent="0.3">
      <c r="F194" s="19"/>
      <c r="G194" s="236" t="s">
        <v>151</v>
      </c>
      <c r="H194" s="296">
        <f>H189-SUM(H191:H193)</f>
        <v>173.21699999999998</v>
      </c>
      <c r="I194" s="237" t="s">
        <v>155</v>
      </c>
      <c r="J194" s="297">
        <f>J189-(SUM(J191:J193))</f>
        <v>-48.1</v>
      </c>
      <c r="K194" s="297">
        <f t="shared" ref="K194:O194" si="93">K189-(SUM(K191:K193))</f>
        <v>99.2</v>
      </c>
      <c r="L194" s="297">
        <f t="shared" si="93"/>
        <v>0</v>
      </c>
      <c r="M194" s="297">
        <f t="shared" si="93"/>
        <v>0</v>
      </c>
      <c r="N194" s="297">
        <f t="shared" si="93"/>
        <v>0</v>
      </c>
      <c r="O194" s="297">
        <f t="shared" si="93"/>
        <v>0</v>
      </c>
      <c r="P194" s="297">
        <f t="shared" ref="P194:AN194" si="94">P189-(SUM(P191:P193))</f>
        <v>0</v>
      </c>
      <c r="Q194" s="297">
        <f t="shared" si="94"/>
        <v>161</v>
      </c>
      <c r="R194" s="297">
        <f t="shared" si="94"/>
        <v>150</v>
      </c>
      <c r="S194" s="297">
        <f t="shared" si="94"/>
        <v>249</v>
      </c>
      <c r="T194" s="297">
        <f t="shared" si="94"/>
        <v>195</v>
      </c>
      <c r="U194" s="297">
        <f t="shared" si="94"/>
        <v>156</v>
      </c>
      <c r="V194" s="297">
        <f t="shared" si="94"/>
        <v>321</v>
      </c>
      <c r="W194" s="297">
        <f t="shared" si="94"/>
        <v>204</v>
      </c>
      <c r="X194" s="297">
        <f t="shared" si="94"/>
        <v>263</v>
      </c>
      <c r="Y194" s="297">
        <f t="shared" si="94"/>
        <v>216</v>
      </c>
      <c r="Z194" s="297">
        <f t="shared" si="94"/>
        <v>231</v>
      </c>
      <c r="AA194" s="297">
        <f t="shared" si="94"/>
        <v>139</v>
      </c>
      <c r="AB194" s="297">
        <f t="shared" si="94"/>
        <v>200</v>
      </c>
      <c r="AC194" s="297">
        <f t="shared" si="94"/>
        <v>258</v>
      </c>
      <c r="AD194" s="297">
        <f t="shared" si="94"/>
        <v>70</v>
      </c>
      <c r="AE194" s="297">
        <f t="shared" si="94"/>
        <v>290</v>
      </c>
      <c r="AF194" s="297">
        <f t="shared" si="94"/>
        <v>149</v>
      </c>
      <c r="AG194" s="297">
        <f t="shared" si="94"/>
        <v>140</v>
      </c>
      <c r="AH194" s="297">
        <f t="shared" si="94"/>
        <v>236</v>
      </c>
      <c r="AI194" s="297">
        <f t="shared" si="94"/>
        <v>291.5</v>
      </c>
      <c r="AJ194" s="297">
        <f t="shared" si="94"/>
        <v>229</v>
      </c>
      <c r="AK194" s="297">
        <f t="shared" si="94"/>
        <v>224</v>
      </c>
      <c r="AL194" s="297">
        <f t="shared" si="94"/>
        <v>101</v>
      </c>
      <c r="AM194" s="297">
        <f t="shared" si="94"/>
        <v>298</v>
      </c>
      <c r="AN194" s="297">
        <f t="shared" si="94"/>
        <v>216</v>
      </c>
      <c r="AP194" s="305">
        <f>SUM(J194:AN194)</f>
        <v>5038.6000000000004</v>
      </c>
      <c r="AQ194" s="308"/>
      <c r="AR194" s="157"/>
      <c r="CB194" s="156"/>
      <c r="CC194" s="156"/>
      <c r="DF194" s="156"/>
      <c r="EN194" s="163"/>
      <c r="EO194" s="156"/>
      <c r="EP194" s="156"/>
      <c r="EQ194" s="156"/>
      <c r="ER194" s="156"/>
      <c r="GU194" s="156"/>
      <c r="KP194" s="156"/>
      <c r="KQ194" s="156"/>
      <c r="KR194" s="156"/>
      <c r="KS194" s="156"/>
      <c r="PW194" s="156"/>
      <c r="PX194" s="156"/>
      <c r="PZ194" s="156"/>
      <c r="QN194" s="160"/>
      <c r="QR194" s="156"/>
      <c r="SU194" s="160"/>
      <c r="AID194" s="156"/>
      <c r="AJS194" s="156"/>
      <c r="AJT194" s="156"/>
      <c r="AJU194" s="156"/>
    </row>
    <row r="195" spans="5:14973" ht="16.2" x14ac:dyDescent="0.3">
      <c r="F195" s="19"/>
      <c r="G195" s="236" t="s">
        <v>159</v>
      </c>
      <c r="H195" s="296">
        <v>287.83999999999997</v>
      </c>
      <c r="I195" s="237" t="s">
        <v>155</v>
      </c>
      <c r="J195" s="297">
        <v>61</v>
      </c>
      <c r="K195" s="297">
        <v>0</v>
      </c>
      <c r="L195" s="297">
        <v>37</v>
      </c>
      <c r="M195" s="297">
        <v>0</v>
      </c>
      <c r="N195" s="297">
        <v>0</v>
      </c>
      <c r="O195" s="297">
        <v>0</v>
      </c>
      <c r="P195" s="297">
        <v>0</v>
      </c>
      <c r="Q195" s="297">
        <v>120</v>
      </c>
      <c r="R195" s="297">
        <v>138</v>
      </c>
      <c r="S195" s="297">
        <v>98</v>
      </c>
      <c r="T195" s="297">
        <v>88</v>
      </c>
      <c r="U195" s="297">
        <v>133</v>
      </c>
      <c r="V195" s="297">
        <v>193</v>
      </c>
      <c r="W195" s="297">
        <v>140</v>
      </c>
      <c r="X195" s="297">
        <v>240</v>
      </c>
      <c r="Y195" s="297">
        <v>151</v>
      </c>
      <c r="Z195" s="297">
        <v>1</v>
      </c>
      <c r="AA195" s="297">
        <v>0</v>
      </c>
      <c r="AB195" s="297">
        <v>0</v>
      </c>
      <c r="AC195" s="297">
        <v>0</v>
      </c>
      <c r="AD195" s="297">
        <v>0</v>
      </c>
      <c r="AE195" s="297">
        <v>162</v>
      </c>
      <c r="AF195" s="297">
        <v>180</v>
      </c>
      <c r="AG195" s="297">
        <v>193</v>
      </c>
      <c r="AH195" s="297">
        <v>165</v>
      </c>
      <c r="AI195" s="297">
        <v>159</v>
      </c>
      <c r="AJ195" s="297">
        <v>166</v>
      </c>
      <c r="AK195" s="297">
        <v>132</v>
      </c>
      <c r="AL195" s="297">
        <v>170</v>
      </c>
      <c r="AM195" s="297">
        <v>147</v>
      </c>
      <c r="AN195" s="297">
        <v>168</v>
      </c>
      <c r="AP195" s="305">
        <f>SUM(J195:AN195)</f>
        <v>3042</v>
      </c>
      <c r="AR195" s="157"/>
      <c r="CB195" s="156"/>
      <c r="CC195" s="156"/>
      <c r="DF195" s="156"/>
      <c r="EN195" s="163"/>
      <c r="EO195" s="156"/>
      <c r="EP195" s="156"/>
      <c r="EQ195" s="156"/>
      <c r="ER195" s="156"/>
      <c r="GU195" s="156"/>
      <c r="KP195" s="156"/>
      <c r="KQ195" s="156"/>
      <c r="KR195" s="156"/>
      <c r="KS195" s="156"/>
      <c r="PW195" s="156"/>
      <c r="PX195" s="156"/>
      <c r="PZ195" s="156"/>
      <c r="QN195" s="160"/>
      <c r="QR195" s="156"/>
      <c r="SU195" s="160"/>
      <c r="AID195" s="156"/>
      <c r="AJS195" s="156"/>
      <c r="AJT195" s="156"/>
      <c r="AJU195" s="156"/>
    </row>
    <row r="196" spans="5:14973" x14ac:dyDescent="0.3">
      <c r="F196" s="197">
        <v>12</v>
      </c>
      <c r="G196" s="164" t="s">
        <v>160</v>
      </c>
      <c r="H196" s="165"/>
      <c r="I196" s="165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80"/>
      <c r="AP196" s="309" t="s">
        <v>161</v>
      </c>
    </row>
    <row r="197" spans="5:14973" s="3" customFormat="1" x14ac:dyDescent="0.3">
      <c r="E197" s="2"/>
      <c r="F197" s="310"/>
      <c r="G197" s="311" t="s">
        <v>148</v>
      </c>
      <c r="H197" s="312"/>
      <c r="I197" s="313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80"/>
      <c r="AP197" s="277" t="s">
        <v>148</v>
      </c>
      <c r="AQ197" s="2"/>
      <c r="AR197" s="2"/>
      <c r="AT197" s="4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  <c r="ASY197" s="2"/>
      <c r="ASZ197" s="2"/>
      <c r="ATA197" s="2"/>
      <c r="ATB197" s="2"/>
      <c r="ATC197" s="2"/>
      <c r="ATD197" s="2"/>
      <c r="ATE197" s="2"/>
      <c r="ATF197" s="2"/>
      <c r="ATG197" s="2"/>
      <c r="ATH197" s="2"/>
      <c r="ATI197" s="2"/>
      <c r="ATJ197" s="2"/>
      <c r="ATK197" s="2"/>
      <c r="ATL197" s="2"/>
      <c r="ATM197" s="2"/>
      <c r="ATN197" s="2"/>
      <c r="ATO197" s="2"/>
      <c r="ATP197" s="2"/>
      <c r="ATQ197" s="2"/>
      <c r="ATR197" s="2"/>
      <c r="ATS197" s="2"/>
      <c r="ATT197" s="2"/>
      <c r="ATU197" s="2"/>
      <c r="ATV197" s="2"/>
      <c r="ATW197" s="2"/>
      <c r="ATX197" s="2"/>
      <c r="ATY197" s="2"/>
      <c r="ATZ197" s="2"/>
      <c r="AUA197" s="2"/>
      <c r="AUB197" s="2"/>
      <c r="AUC197" s="2"/>
      <c r="AUD197" s="2"/>
      <c r="AUE197" s="2"/>
      <c r="AUF197" s="2"/>
      <c r="AUG197" s="2"/>
      <c r="AUH197" s="2"/>
      <c r="AUI197" s="2"/>
      <c r="AUJ197" s="2"/>
      <c r="AUK197" s="2"/>
      <c r="AUL197" s="2"/>
      <c r="AUM197" s="2"/>
      <c r="AUN197" s="2"/>
      <c r="AUO197" s="2"/>
      <c r="AUP197" s="2"/>
      <c r="AUQ197" s="2"/>
      <c r="AUR197" s="2"/>
      <c r="AUS197" s="2"/>
      <c r="AUT197" s="2"/>
      <c r="AUU197" s="2"/>
      <c r="AUV197" s="2"/>
      <c r="AUW197" s="2"/>
      <c r="AUX197" s="2"/>
      <c r="AUY197" s="2"/>
      <c r="AUZ197" s="2"/>
      <c r="AVA197" s="2"/>
      <c r="AVB197" s="2"/>
      <c r="AVC197" s="2"/>
      <c r="AVD197" s="2"/>
      <c r="AVE197" s="2"/>
      <c r="AVF197" s="2"/>
      <c r="AVG197" s="2"/>
      <c r="AVH197" s="2"/>
      <c r="AVI197" s="2"/>
      <c r="AVJ197" s="2"/>
      <c r="AVK197" s="2"/>
      <c r="AVL197" s="2"/>
      <c r="AVM197" s="2"/>
      <c r="AVN197" s="2"/>
      <c r="AVO197" s="2"/>
      <c r="AVP197" s="2"/>
      <c r="AVQ197" s="2"/>
      <c r="AVR197" s="2"/>
      <c r="AVS197" s="2"/>
      <c r="AVT197" s="2"/>
      <c r="AVU197" s="2"/>
      <c r="AVV197" s="2"/>
      <c r="AVW197" s="2"/>
      <c r="AVX197" s="2"/>
      <c r="AVY197" s="2"/>
      <c r="AVZ197" s="2"/>
      <c r="AWA197" s="2"/>
      <c r="AWB197" s="2"/>
      <c r="AWC197" s="2"/>
      <c r="AWD197" s="2"/>
      <c r="AWE197" s="2"/>
      <c r="AWF197" s="2"/>
      <c r="AWG197" s="2"/>
      <c r="AWH197" s="2"/>
      <c r="AWI197" s="2"/>
      <c r="AWJ197" s="2"/>
      <c r="AWK197" s="2"/>
      <c r="AWL197" s="2"/>
      <c r="AWM197" s="2"/>
      <c r="AWN197" s="2"/>
      <c r="AWO197" s="2"/>
      <c r="AWP197" s="2"/>
      <c r="AWQ197" s="2"/>
      <c r="AWR197" s="2"/>
      <c r="AWS197" s="2"/>
      <c r="AWT197" s="2"/>
      <c r="AWU197" s="2"/>
      <c r="AWV197" s="2"/>
      <c r="AWW197" s="2"/>
      <c r="AWX197" s="2"/>
      <c r="AWY197" s="2"/>
      <c r="AWZ197" s="2"/>
      <c r="AXA197" s="2"/>
      <c r="AXB197" s="2"/>
      <c r="AXC197" s="2"/>
      <c r="AXD197" s="2"/>
      <c r="AXE197" s="2"/>
      <c r="AXF197" s="2"/>
      <c r="AXG197" s="2"/>
      <c r="AXH197" s="2"/>
      <c r="AXI197" s="2"/>
      <c r="AXJ197" s="2"/>
      <c r="AXK197" s="2"/>
      <c r="AXL197" s="2"/>
      <c r="AXM197" s="2"/>
      <c r="AXN197" s="2"/>
      <c r="AXO197" s="2"/>
      <c r="AXP197" s="2"/>
      <c r="AXQ197" s="2"/>
      <c r="AXR197" s="2"/>
      <c r="AXS197" s="2"/>
      <c r="AXT197" s="2"/>
      <c r="AXU197" s="2"/>
      <c r="AXV197" s="2"/>
      <c r="AXW197" s="2"/>
      <c r="AXX197" s="2"/>
      <c r="AXY197" s="2"/>
      <c r="AXZ197" s="2"/>
      <c r="AYA197" s="2"/>
      <c r="AYB197" s="2"/>
      <c r="AYC197" s="2"/>
      <c r="AYD197" s="2"/>
      <c r="AYE197" s="2"/>
      <c r="AYF197" s="2"/>
      <c r="AYG197" s="2"/>
      <c r="AYH197" s="2"/>
      <c r="AYI197" s="2"/>
      <c r="AYJ197" s="2"/>
      <c r="AYK197" s="2"/>
      <c r="AYL197" s="2"/>
      <c r="AYM197" s="2"/>
      <c r="AYN197" s="2"/>
      <c r="AYO197" s="2"/>
      <c r="AYP197" s="2"/>
      <c r="AYQ197" s="2"/>
      <c r="AYR197" s="2"/>
      <c r="AYS197" s="2"/>
      <c r="AYT197" s="2"/>
      <c r="AYU197" s="2"/>
      <c r="AYV197" s="2"/>
      <c r="AYW197" s="2"/>
      <c r="AYX197" s="2"/>
      <c r="AYY197" s="2"/>
      <c r="AYZ197" s="2"/>
      <c r="AZA197" s="2"/>
      <c r="AZB197" s="2"/>
      <c r="AZC197" s="2"/>
      <c r="AZD197" s="2"/>
      <c r="AZE197" s="2"/>
      <c r="AZF197" s="2"/>
      <c r="AZG197" s="2"/>
      <c r="AZH197" s="2"/>
      <c r="AZI197" s="2"/>
      <c r="AZJ197" s="2"/>
      <c r="AZK197" s="2"/>
      <c r="AZL197" s="2"/>
      <c r="AZM197" s="2"/>
      <c r="AZN197" s="2"/>
      <c r="AZO197" s="2"/>
      <c r="AZP197" s="2"/>
      <c r="AZQ197" s="2"/>
      <c r="AZR197" s="2"/>
      <c r="AZS197" s="2"/>
      <c r="AZT197" s="2"/>
      <c r="AZU197" s="2"/>
      <c r="AZV197" s="2"/>
      <c r="AZW197" s="2"/>
      <c r="AZX197" s="2"/>
      <c r="AZY197" s="2"/>
      <c r="AZZ197" s="2"/>
      <c r="BAA197" s="2"/>
      <c r="BAB197" s="2"/>
      <c r="BAC197" s="2"/>
      <c r="BAD197" s="2"/>
      <c r="BAE197" s="2"/>
      <c r="BAF197" s="2"/>
      <c r="BAG197" s="2"/>
      <c r="BAH197" s="2"/>
      <c r="BAI197" s="2"/>
      <c r="BAJ197" s="2"/>
      <c r="BAK197" s="2"/>
      <c r="BAL197" s="2"/>
      <c r="BAM197" s="2"/>
      <c r="BAN197" s="2"/>
      <c r="BAO197" s="2"/>
      <c r="BAP197" s="2"/>
      <c r="BAQ197" s="2"/>
      <c r="BAR197" s="2"/>
      <c r="BAS197" s="2"/>
      <c r="BAT197" s="2"/>
      <c r="BAU197" s="2"/>
      <c r="BAV197" s="2"/>
      <c r="BAW197" s="2"/>
      <c r="BAX197" s="2"/>
      <c r="BAY197" s="2"/>
      <c r="BAZ197" s="2"/>
      <c r="BBA197" s="2"/>
      <c r="BBB197" s="2"/>
      <c r="BBC197" s="2"/>
      <c r="BBD197" s="2"/>
      <c r="BBE197" s="2"/>
      <c r="BBF197" s="2"/>
      <c r="BBG197" s="2"/>
      <c r="BBH197" s="2"/>
      <c r="BBI197" s="2"/>
      <c r="BBJ197" s="2"/>
      <c r="BBK197" s="2"/>
      <c r="BBL197" s="2"/>
      <c r="BBM197" s="2"/>
      <c r="BBN197" s="2"/>
      <c r="BBO197" s="2"/>
      <c r="BBP197" s="2"/>
      <c r="BBQ197" s="2"/>
      <c r="BBR197" s="2"/>
      <c r="BBS197" s="2"/>
      <c r="BBT197" s="2"/>
      <c r="BBU197" s="2"/>
      <c r="BBV197" s="2"/>
      <c r="BBW197" s="2"/>
      <c r="BBX197" s="2"/>
      <c r="BBY197" s="2"/>
      <c r="BBZ197" s="2"/>
      <c r="BCA197" s="2"/>
      <c r="BCB197" s="2"/>
      <c r="BCC197" s="2"/>
      <c r="BCD197" s="2"/>
      <c r="BCE197" s="2"/>
      <c r="BCF197" s="2"/>
      <c r="BCG197" s="2"/>
      <c r="BCH197" s="2"/>
      <c r="BCI197" s="2"/>
      <c r="BCJ197" s="2"/>
      <c r="BCK197" s="2"/>
      <c r="BCL197" s="2"/>
      <c r="BCM197" s="2"/>
      <c r="BCN197" s="2"/>
      <c r="BCO197" s="2"/>
      <c r="BCP197" s="2"/>
      <c r="BCQ197" s="2"/>
      <c r="BCR197" s="2"/>
      <c r="BCS197" s="2"/>
      <c r="BCT197" s="2"/>
      <c r="BCU197" s="2"/>
      <c r="BCV197" s="2"/>
      <c r="BCW197" s="2"/>
      <c r="BCX197" s="2"/>
      <c r="BCY197" s="2"/>
      <c r="BCZ197" s="2"/>
      <c r="BDA197" s="2"/>
      <c r="BDB197" s="2"/>
      <c r="BDC197" s="2"/>
      <c r="BDD197" s="2"/>
      <c r="BDE197" s="2"/>
      <c r="BDF197" s="2"/>
      <c r="BDG197" s="2"/>
      <c r="BDH197" s="2"/>
      <c r="BDI197" s="2"/>
      <c r="BDJ197" s="2"/>
      <c r="BDK197" s="2"/>
      <c r="BDL197" s="2"/>
      <c r="BDM197" s="2"/>
      <c r="BDN197" s="2"/>
      <c r="BDO197" s="2"/>
      <c r="BDP197" s="2"/>
      <c r="BDQ197" s="2"/>
      <c r="BDR197" s="2"/>
      <c r="BDS197" s="2"/>
      <c r="BDT197" s="2"/>
      <c r="BDU197" s="2"/>
      <c r="BDV197" s="2"/>
      <c r="BDW197" s="2"/>
      <c r="BDX197" s="2"/>
      <c r="BDY197" s="2"/>
      <c r="BDZ197" s="2"/>
      <c r="BEA197" s="2"/>
      <c r="BEB197" s="2"/>
      <c r="BEC197" s="2"/>
      <c r="BED197" s="2"/>
      <c r="BEE197" s="2"/>
      <c r="BEF197" s="2"/>
      <c r="BEG197" s="2"/>
      <c r="BEH197" s="2"/>
      <c r="BEI197" s="2"/>
      <c r="BEJ197" s="2"/>
      <c r="BEK197" s="2"/>
      <c r="BEL197" s="2"/>
      <c r="BEM197" s="2"/>
      <c r="BEN197" s="2"/>
      <c r="BEO197" s="2"/>
      <c r="BEP197" s="2"/>
      <c r="BEQ197" s="2"/>
      <c r="BER197" s="2"/>
      <c r="BES197" s="2"/>
      <c r="BET197" s="2"/>
      <c r="BEU197" s="2"/>
      <c r="BEV197" s="2"/>
      <c r="BEW197" s="2"/>
      <c r="BEX197" s="2"/>
      <c r="BEY197" s="2"/>
      <c r="BEZ197" s="2"/>
      <c r="BFA197" s="2"/>
      <c r="BFB197" s="2"/>
      <c r="BFC197" s="2"/>
      <c r="BFD197" s="2"/>
      <c r="BFE197" s="2"/>
      <c r="BFF197" s="2"/>
      <c r="BFG197" s="2"/>
      <c r="BFH197" s="2"/>
      <c r="BFI197" s="2"/>
      <c r="BFJ197" s="2"/>
      <c r="BFK197" s="2"/>
      <c r="BFL197" s="2"/>
      <c r="BFM197" s="2"/>
      <c r="BFN197" s="2"/>
      <c r="BFO197" s="2"/>
      <c r="BFP197" s="2"/>
      <c r="BFQ197" s="2"/>
      <c r="BFR197" s="2"/>
      <c r="BFS197" s="2"/>
      <c r="BFT197" s="2"/>
      <c r="BFU197" s="2"/>
      <c r="BFV197" s="2"/>
      <c r="BFW197" s="2"/>
      <c r="BFX197" s="2"/>
      <c r="BFY197" s="2"/>
      <c r="BFZ197" s="2"/>
      <c r="BGA197" s="2"/>
      <c r="BGB197" s="2"/>
      <c r="BGC197" s="2"/>
      <c r="BGD197" s="2"/>
      <c r="BGE197" s="2"/>
      <c r="BGF197" s="2"/>
      <c r="BGG197" s="2"/>
      <c r="BGH197" s="2"/>
      <c r="BGI197" s="2"/>
      <c r="BGJ197" s="2"/>
      <c r="BGK197" s="2"/>
      <c r="BGL197" s="2"/>
      <c r="BGM197" s="2"/>
      <c r="BGN197" s="2"/>
      <c r="BGO197" s="2"/>
      <c r="BGP197" s="2"/>
      <c r="BGQ197" s="2"/>
      <c r="BGR197" s="2"/>
      <c r="BGS197" s="2"/>
      <c r="BGT197" s="2"/>
      <c r="BGU197" s="2"/>
      <c r="BGV197" s="2"/>
      <c r="BGW197" s="2"/>
      <c r="BGX197" s="2"/>
      <c r="BGY197" s="2"/>
      <c r="BGZ197" s="2"/>
      <c r="BHA197" s="2"/>
      <c r="BHB197" s="2"/>
      <c r="BHC197" s="2"/>
      <c r="BHD197" s="2"/>
      <c r="BHE197" s="2"/>
      <c r="BHF197" s="2"/>
      <c r="BHG197" s="2"/>
      <c r="BHH197" s="2"/>
      <c r="BHI197" s="2"/>
      <c r="BHJ197" s="2"/>
      <c r="BHK197" s="2"/>
      <c r="BHL197" s="2"/>
      <c r="BHM197" s="2"/>
      <c r="BHN197" s="2"/>
      <c r="BHO197" s="2"/>
      <c r="BHP197" s="2"/>
      <c r="BHQ197" s="2"/>
      <c r="BHR197" s="2"/>
      <c r="BHS197" s="2"/>
      <c r="BHT197" s="2"/>
      <c r="BHU197" s="2"/>
      <c r="BHV197" s="2"/>
      <c r="BHW197" s="2"/>
      <c r="BHX197" s="2"/>
      <c r="BHY197" s="2"/>
      <c r="BHZ197" s="2"/>
      <c r="BIA197" s="2"/>
      <c r="BIB197" s="2"/>
      <c r="BIC197" s="2"/>
      <c r="BID197" s="2"/>
      <c r="BIE197" s="2"/>
      <c r="BIF197" s="2"/>
      <c r="BIG197" s="2"/>
      <c r="BIH197" s="2"/>
      <c r="BII197" s="2"/>
      <c r="BIJ197" s="2"/>
      <c r="BIK197" s="2"/>
      <c r="BIL197" s="2"/>
      <c r="BIM197" s="2"/>
      <c r="BIN197" s="2"/>
      <c r="BIO197" s="2"/>
      <c r="BIP197" s="2"/>
      <c r="BIQ197" s="2"/>
      <c r="BIR197" s="2"/>
      <c r="BIS197" s="2"/>
      <c r="BIT197" s="2"/>
      <c r="BIU197" s="2"/>
      <c r="BIV197" s="2"/>
      <c r="BIW197" s="2"/>
      <c r="BIX197" s="2"/>
      <c r="BIY197" s="2"/>
      <c r="BIZ197" s="2"/>
      <c r="BJA197" s="2"/>
      <c r="BJB197" s="2"/>
      <c r="BJC197" s="2"/>
      <c r="BJD197" s="2"/>
      <c r="BJE197" s="2"/>
      <c r="BJF197" s="2"/>
      <c r="BJG197" s="2"/>
      <c r="BJH197" s="2"/>
      <c r="BJI197" s="2"/>
      <c r="BJJ197" s="2"/>
      <c r="BJK197" s="2"/>
      <c r="BJL197" s="2"/>
      <c r="BJM197" s="2"/>
      <c r="BJN197" s="2"/>
      <c r="BJO197" s="2"/>
      <c r="BJP197" s="2"/>
      <c r="BJQ197" s="2"/>
      <c r="BJR197" s="2"/>
      <c r="BJS197" s="2"/>
      <c r="BJT197" s="2"/>
      <c r="BJU197" s="2"/>
      <c r="BJV197" s="2"/>
      <c r="BJW197" s="2"/>
      <c r="BJX197" s="2"/>
      <c r="BJY197" s="2"/>
      <c r="BJZ197" s="2"/>
      <c r="BKA197" s="2"/>
      <c r="BKB197" s="2"/>
      <c r="BKC197" s="2"/>
      <c r="BKD197" s="2"/>
      <c r="BKE197" s="2"/>
      <c r="BKF197" s="2"/>
      <c r="BKG197" s="2"/>
      <c r="BKH197" s="2"/>
      <c r="BKI197" s="2"/>
      <c r="BKJ197" s="2"/>
      <c r="BKK197" s="2"/>
      <c r="BKL197" s="2"/>
      <c r="BKM197" s="2"/>
      <c r="BKN197" s="2"/>
      <c r="BKO197" s="2"/>
      <c r="BKP197" s="2"/>
      <c r="BKQ197" s="2"/>
      <c r="BKR197" s="2"/>
      <c r="BKS197" s="2"/>
      <c r="BKT197" s="2"/>
      <c r="BKU197" s="2"/>
      <c r="BKV197" s="2"/>
      <c r="BKW197" s="2"/>
      <c r="BKX197" s="2"/>
      <c r="BKY197" s="2"/>
      <c r="BKZ197" s="2"/>
      <c r="BLA197" s="2"/>
      <c r="BLB197" s="2"/>
      <c r="BLC197" s="2"/>
      <c r="BLD197" s="2"/>
      <c r="BLE197" s="2"/>
      <c r="BLF197" s="2"/>
      <c r="BLG197" s="2"/>
      <c r="BLH197" s="2"/>
      <c r="BLI197" s="2"/>
      <c r="BLJ197" s="2"/>
      <c r="BLK197" s="2"/>
      <c r="BLL197" s="2"/>
      <c r="BLM197" s="2"/>
      <c r="BLN197" s="2"/>
      <c r="BLO197" s="2"/>
      <c r="BLP197" s="2"/>
      <c r="BLQ197" s="2"/>
      <c r="BLR197" s="2"/>
      <c r="BLS197" s="2"/>
      <c r="BLT197" s="2"/>
      <c r="BLU197" s="2"/>
      <c r="BLV197" s="2"/>
      <c r="BLW197" s="2"/>
      <c r="BLX197" s="2"/>
      <c r="BLY197" s="2"/>
      <c r="BLZ197" s="2"/>
      <c r="BMA197" s="2"/>
      <c r="BMB197" s="2"/>
      <c r="BMC197" s="2"/>
      <c r="BMD197" s="2"/>
      <c r="BME197" s="2"/>
      <c r="BMF197" s="2"/>
      <c r="BMG197" s="2"/>
      <c r="BMH197" s="2"/>
      <c r="BMI197" s="2"/>
      <c r="BMJ197" s="2"/>
      <c r="BMK197" s="2"/>
      <c r="BML197" s="2"/>
      <c r="BMM197" s="2"/>
      <c r="BMN197" s="2"/>
      <c r="BMO197" s="2"/>
      <c r="BMP197" s="2"/>
      <c r="BMQ197" s="2"/>
      <c r="BMR197" s="2"/>
      <c r="BMS197" s="2"/>
      <c r="BMT197" s="2"/>
      <c r="BMU197" s="2"/>
      <c r="BMV197" s="2"/>
      <c r="BMW197" s="2"/>
      <c r="BMX197" s="2"/>
      <c r="BMY197" s="2"/>
      <c r="BMZ197" s="2"/>
      <c r="BNA197" s="2"/>
      <c r="BNB197" s="2"/>
      <c r="BNC197" s="2"/>
      <c r="BND197" s="2"/>
      <c r="BNE197" s="2"/>
      <c r="BNF197" s="2"/>
      <c r="BNG197" s="2"/>
      <c r="BNH197" s="2"/>
      <c r="BNI197" s="2"/>
      <c r="BNJ197" s="2"/>
      <c r="BNK197" s="2"/>
      <c r="BNL197" s="2"/>
      <c r="BNM197" s="2"/>
      <c r="BNN197" s="2"/>
      <c r="BNO197" s="2"/>
      <c r="BNP197" s="2"/>
      <c r="BNQ197" s="2"/>
      <c r="BNR197" s="2"/>
      <c r="BNS197" s="2"/>
      <c r="BNT197" s="2"/>
      <c r="BNU197" s="2"/>
      <c r="BNV197" s="2"/>
      <c r="BNW197" s="2"/>
      <c r="BNX197" s="2"/>
      <c r="BNY197" s="2"/>
      <c r="BNZ197" s="2"/>
      <c r="BOA197" s="2"/>
      <c r="BOB197" s="2"/>
      <c r="BOC197" s="2"/>
      <c r="BOD197" s="2"/>
      <c r="BOE197" s="2"/>
      <c r="BOF197" s="2"/>
      <c r="BOG197" s="2"/>
      <c r="BOH197" s="2"/>
      <c r="BOI197" s="2"/>
      <c r="BOJ197" s="2"/>
      <c r="BOK197" s="2"/>
      <c r="BOL197" s="2"/>
      <c r="BOM197" s="2"/>
      <c r="BON197" s="2"/>
      <c r="BOO197" s="2"/>
      <c r="BOP197" s="2"/>
      <c r="BOQ197" s="2"/>
      <c r="BOR197" s="2"/>
      <c r="BOS197" s="2"/>
      <c r="BOT197" s="2"/>
      <c r="BOU197" s="2"/>
      <c r="BOV197" s="2"/>
      <c r="BOW197" s="2"/>
      <c r="BOX197" s="2"/>
      <c r="BOY197" s="2"/>
      <c r="BOZ197" s="2"/>
      <c r="BPA197" s="2"/>
      <c r="BPB197" s="2"/>
      <c r="BPC197" s="2"/>
      <c r="BPD197" s="2"/>
      <c r="BPE197" s="2"/>
      <c r="BPF197" s="2"/>
      <c r="BPG197" s="2"/>
      <c r="BPH197" s="2"/>
      <c r="BPI197" s="2"/>
      <c r="BPJ197" s="2"/>
      <c r="BPK197" s="2"/>
      <c r="BPL197" s="2"/>
      <c r="BPM197" s="2"/>
      <c r="BPN197" s="2"/>
      <c r="BPO197" s="2"/>
      <c r="BPP197" s="2"/>
      <c r="BPQ197" s="2"/>
      <c r="BPR197" s="2"/>
      <c r="BPS197" s="2"/>
      <c r="BPT197" s="2"/>
      <c r="BPU197" s="2"/>
      <c r="BPV197" s="2"/>
      <c r="BPW197" s="2"/>
      <c r="BPX197" s="2"/>
      <c r="BPY197" s="2"/>
      <c r="BPZ197" s="2"/>
      <c r="BQA197" s="2"/>
      <c r="BQB197" s="2"/>
      <c r="BQC197" s="2"/>
      <c r="BQD197" s="2"/>
      <c r="BQE197" s="2"/>
      <c r="BQF197" s="2"/>
      <c r="BQG197" s="2"/>
      <c r="BQH197" s="2"/>
      <c r="BQI197" s="2"/>
      <c r="BQJ197" s="2"/>
      <c r="BQK197" s="2"/>
      <c r="BQL197" s="2"/>
      <c r="BQM197" s="2"/>
      <c r="BQN197" s="2"/>
      <c r="BQO197" s="2"/>
      <c r="BQP197" s="2"/>
      <c r="BQQ197" s="2"/>
      <c r="BQR197" s="2"/>
      <c r="BQS197" s="2"/>
      <c r="BQT197" s="2"/>
      <c r="BQU197" s="2"/>
      <c r="BQV197" s="2"/>
      <c r="BQW197" s="2"/>
      <c r="BQX197" s="2"/>
      <c r="BQY197" s="2"/>
      <c r="BQZ197" s="2"/>
      <c r="BRA197" s="2"/>
      <c r="BRB197" s="2"/>
      <c r="BRC197" s="2"/>
      <c r="BRD197" s="2"/>
      <c r="BRE197" s="2"/>
      <c r="BRF197" s="2"/>
      <c r="BRG197" s="2"/>
      <c r="BRH197" s="2"/>
      <c r="BRI197" s="2"/>
      <c r="BRJ197" s="2"/>
      <c r="BRK197" s="2"/>
      <c r="BRL197" s="2"/>
      <c r="BRM197" s="2"/>
      <c r="BRN197" s="2"/>
      <c r="BRO197" s="2"/>
      <c r="BRP197" s="2"/>
      <c r="BRQ197" s="2"/>
      <c r="BRR197" s="2"/>
      <c r="BRS197" s="2"/>
      <c r="BRT197" s="2"/>
      <c r="BRU197" s="2"/>
      <c r="BRV197" s="2"/>
      <c r="BRW197" s="2"/>
      <c r="BRX197" s="2"/>
      <c r="BRY197" s="2"/>
      <c r="BRZ197" s="2"/>
      <c r="BSA197" s="2"/>
      <c r="BSB197" s="2"/>
      <c r="BSC197" s="2"/>
      <c r="BSD197" s="2"/>
      <c r="BSE197" s="2"/>
      <c r="BSF197" s="2"/>
      <c r="BSG197" s="2"/>
      <c r="BSH197" s="2"/>
      <c r="BSI197" s="2"/>
      <c r="BSJ197" s="2"/>
      <c r="BSK197" s="2"/>
      <c r="BSL197" s="2"/>
      <c r="BSM197" s="2"/>
      <c r="BSN197" s="2"/>
      <c r="BSO197" s="2"/>
      <c r="BSP197" s="2"/>
      <c r="BSQ197" s="2"/>
      <c r="BSR197" s="2"/>
      <c r="BSS197" s="2"/>
      <c r="BST197" s="2"/>
      <c r="BSU197" s="2"/>
      <c r="BSV197" s="2"/>
      <c r="BSW197" s="2"/>
      <c r="BSX197" s="2"/>
      <c r="BSY197" s="2"/>
      <c r="BSZ197" s="2"/>
      <c r="BTA197" s="2"/>
      <c r="BTB197" s="2"/>
      <c r="BTC197" s="2"/>
      <c r="BTD197" s="2"/>
      <c r="BTE197" s="2"/>
      <c r="BTF197" s="2"/>
      <c r="BTG197" s="2"/>
      <c r="BTH197" s="2"/>
      <c r="BTI197" s="2"/>
      <c r="BTJ197" s="2"/>
      <c r="BTK197" s="2"/>
      <c r="BTL197" s="2"/>
      <c r="BTM197" s="2"/>
      <c r="BTN197" s="2"/>
      <c r="BTO197" s="2"/>
      <c r="BTP197" s="2"/>
      <c r="BTQ197" s="2"/>
      <c r="BTR197" s="2"/>
      <c r="BTS197" s="2"/>
      <c r="BTT197" s="2"/>
      <c r="BTU197" s="2"/>
      <c r="BTV197" s="2"/>
      <c r="BTW197" s="2"/>
      <c r="BTX197" s="2"/>
      <c r="BTY197" s="2"/>
      <c r="BTZ197" s="2"/>
      <c r="BUA197" s="2"/>
      <c r="BUB197" s="2"/>
      <c r="BUC197" s="2"/>
      <c r="BUD197" s="2"/>
      <c r="BUE197" s="2"/>
      <c r="BUF197" s="2"/>
      <c r="BUG197" s="2"/>
      <c r="BUH197" s="2"/>
      <c r="BUI197" s="2"/>
      <c r="BUJ197" s="2"/>
      <c r="BUK197" s="2"/>
      <c r="BUL197" s="2"/>
      <c r="BUM197" s="2"/>
      <c r="BUN197" s="2"/>
      <c r="BUO197" s="2"/>
      <c r="BUP197" s="2"/>
      <c r="BUQ197" s="2"/>
      <c r="BUR197" s="2"/>
      <c r="BUS197" s="2"/>
      <c r="BUT197" s="2"/>
      <c r="BUU197" s="2"/>
      <c r="BUV197" s="2"/>
      <c r="BUW197" s="2"/>
      <c r="BUX197" s="2"/>
      <c r="BUY197" s="2"/>
      <c r="BUZ197" s="2"/>
      <c r="BVA197" s="2"/>
      <c r="BVB197" s="2"/>
      <c r="BVC197" s="2"/>
      <c r="BVD197" s="2"/>
      <c r="BVE197" s="2"/>
      <c r="BVF197" s="2"/>
      <c r="BVG197" s="2"/>
      <c r="BVH197" s="2"/>
      <c r="BVI197" s="2"/>
      <c r="BVJ197" s="2"/>
      <c r="BVK197" s="2"/>
      <c r="BVL197" s="2"/>
      <c r="BVM197" s="2"/>
      <c r="BVN197" s="2"/>
      <c r="BVO197" s="2"/>
      <c r="BVP197" s="2"/>
      <c r="BVQ197" s="2"/>
      <c r="BVR197" s="2"/>
      <c r="BVS197" s="2"/>
      <c r="BVT197" s="2"/>
      <c r="BVU197" s="2"/>
      <c r="BVV197" s="2"/>
      <c r="BVW197" s="2"/>
      <c r="BVX197" s="2"/>
      <c r="BVY197" s="2"/>
      <c r="BVZ197" s="2"/>
      <c r="BWA197" s="2"/>
      <c r="BWB197" s="2"/>
      <c r="BWC197" s="2"/>
      <c r="BWD197" s="2"/>
      <c r="BWE197" s="2"/>
      <c r="BWF197" s="2"/>
      <c r="BWG197" s="2"/>
      <c r="BWH197" s="2"/>
      <c r="BWI197" s="2"/>
      <c r="BWJ197" s="2"/>
      <c r="BWK197" s="2"/>
      <c r="BWL197" s="2"/>
      <c r="BWM197" s="2"/>
      <c r="BWN197" s="2"/>
      <c r="BWO197" s="2"/>
      <c r="BWP197" s="2"/>
      <c r="BWQ197" s="2"/>
      <c r="BWR197" s="2"/>
      <c r="BWS197" s="2"/>
      <c r="BWT197" s="2"/>
      <c r="BWU197" s="2"/>
      <c r="BWV197" s="2"/>
      <c r="BWW197" s="2"/>
      <c r="BWX197" s="2"/>
      <c r="BWY197" s="2"/>
      <c r="BWZ197" s="2"/>
      <c r="BXA197" s="2"/>
      <c r="BXB197" s="2"/>
      <c r="BXC197" s="2"/>
      <c r="BXD197" s="2"/>
      <c r="BXE197" s="2"/>
      <c r="BXF197" s="2"/>
      <c r="BXG197" s="2"/>
      <c r="BXH197" s="2"/>
      <c r="BXI197" s="2"/>
      <c r="BXJ197" s="2"/>
      <c r="BXK197" s="2"/>
      <c r="BXL197" s="2"/>
      <c r="BXM197" s="2"/>
      <c r="BXN197" s="2"/>
      <c r="BXO197" s="2"/>
      <c r="BXP197" s="2"/>
      <c r="BXQ197" s="2"/>
      <c r="BXR197" s="2"/>
      <c r="BXS197" s="2"/>
      <c r="BXT197" s="2"/>
      <c r="BXU197" s="2"/>
      <c r="BXV197" s="2"/>
      <c r="BXW197" s="2"/>
      <c r="BXX197" s="2"/>
      <c r="BXY197" s="2"/>
      <c r="BXZ197" s="2"/>
      <c r="BYA197" s="2"/>
      <c r="BYB197" s="2"/>
      <c r="BYC197" s="2"/>
      <c r="BYD197" s="2"/>
      <c r="BYE197" s="2"/>
      <c r="BYF197" s="2"/>
      <c r="BYG197" s="2"/>
      <c r="BYH197" s="2"/>
      <c r="BYI197" s="2"/>
      <c r="BYJ197" s="2"/>
      <c r="BYK197" s="2"/>
      <c r="BYL197" s="2"/>
      <c r="BYM197" s="2"/>
      <c r="BYN197" s="2"/>
      <c r="BYO197" s="2"/>
      <c r="BYP197" s="2"/>
      <c r="BYQ197" s="2"/>
      <c r="BYR197" s="2"/>
      <c r="BYS197" s="2"/>
      <c r="BYT197" s="2"/>
      <c r="BYU197" s="2"/>
      <c r="BYV197" s="2"/>
      <c r="BYW197" s="2"/>
      <c r="BYX197" s="2"/>
      <c r="BYY197" s="2"/>
      <c r="BYZ197" s="2"/>
      <c r="BZA197" s="2"/>
      <c r="BZB197" s="2"/>
      <c r="BZC197" s="2"/>
      <c r="BZD197" s="2"/>
      <c r="BZE197" s="2"/>
      <c r="BZF197" s="2"/>
      <c r="BZG197" s="2"/>
      <c r="BZH197" s="2"/>
      <c r="BZI197" s="2"/>
      <c r="BZJ197" s="2"/>
      <c r="BZK197" s="2"/>
      <c r="BZL197" s="2"/>
      <c r="BZM197" s="2"/>
      <c r="BZN197" s="2"/>
      <c r="BZO197" s="2"/>
      <c r="BZP197" s="2"/>
      <c r="BZQ197" s="2"/>
      <c r="BZR197" s="2"/>
      <c r="BZS197" s="2"/>
      <c r="BZT197" s="2"/>
      <c r="BZU197" s="2"/>
      <c r="BZV197" s="2"/>
      <c r="BZW197" s="2"/>
      <c r="BZX197" s="2"/>
      <c r="BZY197" s="2"/>
      <c r="BZZ197" s="2"/>
      <c r="CAA197" s="2"/>
      <c r="CAB197" s="2"/>
      <c r="CAC197" s="2"/>
      <c r="CAD197" s="2"/>
      <c r="CAE197" s="2"/>
      <c r="CAF197" s="2"/>
      <c r="CAG197" s="2"/>
      <c r="CAH197" s="2"/>
      <c r="CAI197" s="2"/>
      <c r="CAJ197" s="2"/>
      <c r="CAK197" s="2"/>
      <c r="CAL197" s="2"/>
      <c r="CAM197" s="2"/>
      <c r="CAN197" s="2"/>
      <c r="CAO197" s="2"/>
      <c r="CAP197" s="2"/>
      <c r="CAQ197" s="2"/>
      <c r="CAR197" s="2"/>
      <c r="CAS197" s="2"/>
      <c r="CAT197" s="2"/>
      <c r="CAU197" s="2"/>
      <c r="CAV197" s="2"/>
      <c r="CAW197" s="2"/>
      <c r="CAX197" s="2"/>
      <c r="CAY197" s="2"/>
      <c r="CAZ197" s="2"/>
      <c r="CBA197" s="2"/>
      <c r="CBB197" s="2"/>
      <c r="CBC197" s="2"/>
      <c r="CBD197" s="2"/>
      <c r="CBE197" s="2"/>
      <c r="CBF197" s="2"/>
      <c r="CBG197" s="2"/>
      <c r="CBH197" s="2"/>
      <c r="CBI197" s="2"/>
      <c r="CBJ197" s="2"/>
      <c r="CBK197" s="2"/>
      <c r="CBL197" s="2"/>
      <c r="CBM197" s="2"/>
      <c r="CBN197" s="2"/>
      <c r="CBO197" s="2"/>
      <c r="CBP197" s="2"/>
      <c r="CBQ197" s="2"/>
      <c r="CBR197" s="2"/>
      <c r="CBS197" s="2"/>
      <c r="CBT197" s="2"/>
      <c r="CBU197" s="2"/>
      <c r="CBV197" s="2"/>
      <c r="CBW197" s="2"/>
      <c r="CBX197" s="2"/>
      <c r="CBY197" s="2"/>
      <c r="CBZ197" s="2"/>
      <c r="CCA197" s="2"/>
      <c r="CCB197" s="2"/>
      <c r="CCC197" s="2"/>
      <c r="CCD197" s="2"/>
      <c r="CCE197" s="2"/>
      <c r="CCF197" s="2"/>
      <c r="CCG197" s="2"/>
      <c r="CCH197" s="2"/>
      <c r="CCI197" s="2"/>
      <c r="CCJ197" s="2"/>
      <c r="CCK197" s="2"/>
      <c r="CCL197" s="2"/>
      <c r="CCM197" s="2"/>
      <c r="CCN197" s="2"/>
      <c r="CCO197" s="2"/>
      <c r="CCP197" s="2"/>
      <c r="CCQ197" s="2"/>
      <c r="CCR197" s="2"/>
      <c r="CCS197" s="2"/>
      <c r="CCT197" s="2"/>
      <c r="CCU197" s="2"/>
      <c r="CCV197" s="2"/>
      <c r="CCW197" s="2"/>
      <c r="CCX197" s="2"/>
      <c r="CCY197" s="2"/>
      <c r="CCZ197" s="2"/>
      <c r="CDA197" s="2"/>
      <c r="CDB197" s="2"/>
      <c r="CDC197" s="2"/>
      <c r="CDD197" s="2"/>
      <c r="CDE197" s="2"/>
      <c r="CDF197" s="2"/>
      <c r="CDG197" s="2"/>
      <c r="CDH197" s="2"/>
      <c r="CDI197" s="2"/>
      <c r="CDJ197" s="2"/>
      <c r="CDK197" s="2"/>
      <c r="CDL197" s="2"/>
      <c r="CDM197" s="2"/>
      <c r="CDN197" s="2"/>
      <c r="CDO197" s="2"/>
      <c r="CDP197" s="2"/>
      <c r="CDQ197" s="2"/>
      <c r="CDR197" s="2"/>
      <c r="CDS197" s="2"/>
      <c r="CDT197" s="2"/>
      <c r="CDU197" s="2"/>
      <c r="CDV197" s="2"/>
      <c r="CDW197" s="2"/>
      <c r="CDX197" s="2"/>
      <c r="CDY197" s="2"/>
      <c r="CDZ197" s="2"/>
      <c r="CEA197" s="2"/>
      <c r="CEB197" s="2"/>
      <c r="CEC197" s="2"/>
      <c r="CED197" s="2"/>
      <c r="CEE197" s="2"/>
      <c r="CEF197" s="2"/>
      <c r="CEG197" s="2"/>
      <c r="CEH197" s="2"/>
      <c r="CEI197" s="2"/>
      <c r="CEJ197" s="2"/>
      <c r="CEK197" s="2"/>
      <c r="CEL197" s="2"/>
      <c r="CEM197" s="2"/>
      <c r="CEN197" s="2"/>
      <c r="CEO197" s="2"/>
      <c r="CEP197" s="2"/>
      <c r="CEQ197" s="2"/>
      <c r="CER197" s="2"/>
      <c r="CES197" s="2"/>
      <c r="CET197" s="2"/>
      <c r="CEU197" s="2"/>
      <c r="CEV197" s="2"/>
      <c r="CEW197" s="2"/>
      <c r="CEX197" s="2"/>
      <c r="CEY197" s="2"/>
      <c r="CEZ197" s="2"/>
      <c r="CFA197" s="2"/>
      <c r="CFB197" s="2"/>
      <c r="CFC197" s="2"/>
      <c r="CFD197" s="2"/>
      <c r="CFE197" s="2"/>
      <c r="CFF197" s="2"/>
      <c r="CFG197" s="2"/>
      <c r="CFH197" s="2"/>
      <c r="CFI197" s="2"/>
      <c r="CFJ197" s="2"/>
      <c r="CFK197" s="2"/>
      <c r="CFL197" s="2"/>
      <c r="CFM197" s="2"/>
      <c r="CFN197" s="2"/>
      <c r="CFO197" s="2"/>
      <c r="CFP197" s="2"/>
      <c r="CFQ197" s="2"/>
      <c r="CFR197" s="2"/>
      <c r="CFS197" s="2"/>
      <c r="CFT197" s="2"/>
      <c r="CFU197" s="2"/>
      <c r="CFV197" s="2"/>
      <c r="CFW197" s="2"/>
      <c r="CFX197" s="2"/>
      <c r="CFY197" s="2"/>
      <c r="CFZ197" s="2"/>
      <c r="CGA197" s="2"/>
      <c r="CGB197" s="2"/>
      <c r="CGC197" s="2"/>
      <c r="CGD197" s="2"/>
      <c r="CGE197" s="2"/>
      <c r="CGF197" s="2"/>
      <c r="CGG197" s="2"/>
      <c r="CGH197" s="2"/>
      <c r="CGI197" s="2"/>
      <c r="CGJ197" s="2"/>
      <c r="CGK197" s="2"/>
      <c r="CGL197" s="2"/>
      <c r="CGM197" s="2"/>
      <c r="CGN197" s="2"/>
      <c r="CGO197" s="2"/>
      <c r="CGP197" s="2"/>
      <c r="CGQ197" s="2"/>
      <c r="CGR197" s="2"/>
      <c r="CGS197" s="2"/>
      <c r="CGT197" s="2"/>
      <c r="CGU197" s="2"/>
      <c r="CGV197" s="2"/>
      <c r="CGW197" s="2"/>
      <c r="CGX197" s="2"/>
      <c r="CGY197" s="2"/>
      <c r="CGZ197" s="2"/>
      <c r="CHA197" s="2"/>
      <c r="CHB197" s="2"/>
      <c r="CHC197" s="2"/>
      <c r="CHD197" s="2"/>
      <c r="CHE197" s="2"/>
      <c r="CHF197" s="2"/>
      <c r="CHG197" s="2"/>
      <c r="CHH197" s="2"/>
      <c r="CHI197" s="2"/>
      <c r="CHJ197" s="2"/>
      <c r="CHK197" s="2"/>
      <c r="CHL197" s="2"/>
      <c r="CHM197" s="2"/>
      <c r="CHN197" s="2"/>
      <c r="CHO197" s="2"/>
      <c r="CHP197" s="2"/>
      <c r="CHQ197" s="2"/>
      <c r="CHR197" s="2"/>
      <c r="CHS197" s="2"/>
      <c r="CHT197" s="2"/>
      <c r="CHU197" s="2"/>
      <c r="CHV197" s="2"/>
      <c r="CHW197" s="2"/>
      <c r="CHX197" s="2"/>
      <c r="CHY197" s="2"/>
      <c r="CHZ197" s="2"/>
      <c r="CIA197" s="2"/>
      <c r="CIB197" s="2"/>
      <c r="CIC197" s="2"/>
      <c r="CID197" s="2"/>
      <c r="CIE197" s="2"/>
      <c r="CIF197" s="2"/>
      <c r="CIG197" s="2"/>
      <c r="CIH197" s="2"/>
      <c r="CII197" s="2"/>
      <c r="CIJ197" s="2"/>
      <c r="CIK197" s="2"/>
      <c r="CIL197" s="2"/>
      <c r="CIM197" s="2"/>
      <c r="CIN197" s="2"/>
      <c r="CIO197" s="2"/>
      <c r="CIP197" s="2"/>
      <c r="CIQ197" s="2"/>
      <c r="CIR197" s="2"/>
      <c r="CIS197" s="2"/>
      <c r="CIT197" s="2"/>
      <c r="CIU197" s="2"/>
      <c r="CIV197" s="2"/>
      <c r="CIW197" s="2"/>
      <c r="CIX197" s="2"/>
      <c r="CIY197" s="2"/>
      <c r="CIZ197" s="2"/>
      <c r="CJA197" s="2"/>
      <c r="CJB197" s="2"/>
      <c r="CJC197" s="2"/>
      <c r="CJD197" s="2"/>
      <c r="CJE197" s="2"/>
      <c r="CJF197" s="2"/>
      <c r="CJG197" s="2"/>
      <c r="CJH197" s="2"/>
      <c r="CJI197" s="2"/>
      <c r="CJJ197" s="2"/>
      <c r="CJK197" s="2"/>
      <c r="CJL197" s="2"/>
      <c r="CJM197" s="2"/>
      <c r="CJN197" s="2"/>
      <c r="CJO197" s="2"/>
      <c r="CJP197" s="2"/>
      <c r="CJQ197" s="2"/>
      <c r="CJR197" s="2"/>
      <c r="CJS197" s="2"/>
      <c r="CJT197" s="2"/>
      <c r="CJU197" s="2"/>
      <c r="CJV197" s="2"/>
      <c r="CJW197" s="2"/>
      <c r="CJX197" s="2"/>
      <c r="CJY197" s="2"/>
      <c r="CJZ197" s="2"/>
      <c r="CKA197" s="2"/>
      <c r="CKB197" s="2"/>
      <c r="CKC197" s="2"/>
      <c r="CKD197" s="2"/>
      <c r="CKE197" s="2"/>
      <c r="CKF197" s="2"/>
      <c r="CKG197" s="2"/>
      <c r="CKH197" s="2"/>
      <c r="CKI197" s="2"/>
      <c r="CKJ197" s="2"/>
      <c r="CKK197" s="2"/>
      <c r="CKL197" s="2"/>
      <c r="CKM197" s="2"/>
      <c r="CKN197" s="2"/>
      <c r="CKO197" s="2"/>
      <c r="CKP197" s="2"/>
      <c r="CKQ197" s="2"/>
      <c r="CKR197" s="2"/>
      <c r="CKS197" s="2"/>
      <c r="CKT197" s="2"/>
      <c r="CKU197" s="2"/>
      <c r="CKV197" s="2"/>
      <c r="CKW197" s="2"/>
      <c r="CKX197" s="2"/>
      <c r="CKY197" s="2"/>
      <c r="CKZ197" s="2"/>
      <c r="CLA197" s="2"/>
      <c r="CLB197" s="2"/>
      <c r="CLC197" s="2"/>
      <c r="CLD197" s="2"/>
      <c r="CLE197" s="2"/>
      <c r="CLF197" s="2"/>
      <c r="CLG197" s="2"/>
      <c r="CLH197" s="2"/>
      <c r="CLI197" s="2"/>
      <c r="CLJ197" s="2"/>
      <c r="CLK197" s="2"/>
      <c r="CLL197" s="2"/>
      <c r="CLM197" s="2"/>
      <c r="CLN197" s="2"/>
      <c r="CLO197" s="2"/>
      <c r="CLP197" s="2"/>
      <c r="CLQ197" s="2"/>
      <c r="CLR197" s="2"/>
      <c r="CLS197" s="2"/>
      <c r="CLT197" s="2"/>
      <c r="CLU197" s="2"/>
      <c r="CLV197" s="2"/>
      <c r="CLW197" s="2"/>
      <c r="CLX197" s="2"/>
      <c r="CLY197" s="2"/>
      <c r="CLZ197" s="2"/>
      <c r="CMA197" s="2"/>
      <c r="CMB197" s="2"/>
      <c r="CMC197" s="2"/>
      <c r="CMD197" s="2"/>
      <c r="CME197" s="2"/>
      <c r="CMF197" s="2"/>
      <c r="CMG197" s="2"/>
      <c r="CMH197" s="2"/>
      <c r="CMI197" s="2"/>
      <c r="CMJ197" s="2"/>
      <c r="CMK197" s="2"/>
      <c r="CML197" s="2"/>
      <c r="CMM197" s="2"/>
      <c r="CMN197" s="2"/>
      <c r="CMO197" s="2"/>
      <c r="CMP197" s="2"/>
      <c r="CMQ197" s="2"/>
      <c r="CMR197" s="2"/>
      <c r="CMS197" s="2"/>
      <c r="CMT197" s="2"/>
      <c r="CMU197" s="2"/>
      <c r="CMV197" s="2"/>
      <c r="CMW197" s="2"/>
      <c r="CMX197" s="2"/>
      <c r="CMY197" s="2"/>
      <c r="CMZ197" s="2"/>
      <c r="CNA197" s="2"/>
      <c r="CNB197" s="2"/>
      <c r="CNC197" s="2"/>
      <c r="CND197" s="2"/>
      <c r="CNE197" s="2"/>
      <c r="CNF197" s="2"/>
      <c r="CNG197" s="2"/>
      <c r="CNH197" s="2"/>
      <c r="CNI197" s="2"/>
      <c r="CNJ197" s="2"/>
      <c r="CNK197" s="2"/>
      <c r="CNL197" s="2"/>
      <c r="CNM197" s="2"/>
      <c r="CNN197" s="2"/>
      <c r="CNO197" s="2"/>
      <c r="CNP197" s="2"/>
      <c r="CNQ197" s="2"/>
      <c r="CNR197" s="2"/>
      <c r="CNS197" s="2"/>
      <c r="CNT197" s="2"/>
      <c r="CNU197" s="2"/>
      <c r="CNV197" s="2"/>
      <c r="CNW197" s="2"/>
      <c r="CNX197" s="2"/>
      <c r="CNY197" s="2"/>
      <c r="CNZ197" s="2"/>
      <c r="COA197" s="2"/>
      <c r="COB197" s="2"/>
      <c r="COC197" s="2"/>
      <c r="COD197" s="2"/>
      <c r="COE197" s="2"/>
      <c r="COF197" s="2"/>
      <c r="COG197" s="2"/>
      <c r="COH197" s="2"/>
      <c r="COI197" s="2"/>
      <c r="COJ197" s="2"/>
      <c r="COK197" s="2"/>
      <c r="COL197" s="2"/>
      <c r="COM197" s="2"/>
      <c r="CON197" s="2"/>
      <c r="COO197" s="2"/>
      <c r="COP197" s="2"/>
      <c r="COQ197" s="2"/>
      <c r="COR197" s="2"/>
      <c r="COS197" s="2"/>
      <c r="COT197" s="2"/>
      <c r="COU197" s="2"/>
      <c r="COV197" s="2"/>
      <c r="COW197" s="2"/>
      <c r="COX197" s="2"/>
      <c r="COY197" s="2"/>
      <c r="COZ197" s="2"/>
      <c r="CPA197" s="2"/>
      <c r="CPB197" s="2"/>
      <c r="CPC197" s="2"/>
      <c r="CPD197" s="2"/>
      <c r="CPE197" s="2"/>
      <c r="CPF197" s="2"/>
      <c r="CPG197" s="2"/>
      <c r="CPH197" s="2"/>
      <c r="CPI197" s="2"/>
      <c r="CPJ197" s="2"/>
      <c r="CPK197" s="2"/>
      <c r="CPL197" s="2"/>
      <c r="CPM197" s="2"/>
      <c r="CPN197" s="2"/>
      <c r="CPO197" s="2"/>
      <c r="CPP197" s="2"/>
      <c r="CPQ197" s="2"/>
      <c r="CPR197" s="2"/>
      <c r="CPS197" s="2"/>
      <c r="CPT197" s="2"/>
      <c r="CPU197" s="2"/>
      <c r="CPV197" s="2"/>
      <c r="CPW197" s="2"/>
      <c r="CPX197" s="2"/>
      <c r="CPY197" s="2"/>
      <c r="CPZ197" s="2"/>
      <c r="CQA197" s="2"/>
      <c r="CQB197" s="2"/>
      <c r="CQC197" s="2"/>
      <c r="CQD197" s="2"/>
      <c r="CQE197" s="2"/>
      <c r="CQF197" s="2"/>
      <c r="CQG197" s="2"/>
      <c r="CQH197" s="2"/>
      <c r="CQI197" s="2"/>
      <c r="CQJ197" s="2"/>
      <c r="CQK197" s="2"/>
      <c r="CQL197" s="2"/>
      <c r="CQM197" s="2"/>
      <c r="CQN197" s="2"/>
      <c r="CQO197" s="2"/>
      <c r="CQP197" s="2"/>
      <c r="CQQ197" s="2"/>
      <c r="CQR197" s="2"/>
      <c r="CQS197" s="2"/>
      <c r="CQT197" s="2"/>
      <c r="CQU197" s="2"/>
      <c r="CQV197" s="2"/>
      <c r="CQW197" s="2"/>
      <c r="CQX197" s="2"/>
      <c r="CQY197" s="2"/>
      <c r="CQZ197" s="2"/>
      <c r="CRA197" s="2"/>
      <c r="CRB197" s="2"/>
      <c r="CRC197" s="2"/>
      <c r="CRD197" s="2"/>
      <c r="CRE197" s="2"/>
      <c r="CRF197" s="2"/>
      <c r="CRG197" s="2"/>
      <c r="CRH197" s="2"/>
      <c r="CRI197" s="2"/>
      <c r="CRJ197" s="2"/>
      <c r="CRK197" s="2"/>
      <c r="CRL197" s="2"/>
      <c r="CRM197" s="2"/>
      <c r="CRN197" s="2"/>
      <c r="CRO197" s="2"/>
      <c r="CRP197" s="2"/>
      <c r="CRQ197" s="2"/>
      <c r="CRR197" s="2"/>
      <c r="CRS197" s="2"/>
      <c r="CRT197" s="2"/>
      <c r="CRU197" s="2"/>
      <c r="CRV197" s="2"/>
      <c r="CRW197" s="2"/>
      <c r="CRX197" s="2"/>
      <c r="CRY197" s="2"/>
      <c r="CRZ197" s="2"/>
      <c r="CSA197" s="2"/>
      <c r="CSB197" s="2"/>
      <c r="CSC197" s="2"/>
      <c r="CSD197" s="2"/>
      <c r="CSE197" s="2"/>
      <c r="CSF197" s="2"/>
      <c r="CSG197" s="2"/>
      <c r="CSH197" s="2"/>
      <c r="CSI197" s="2"/>
      <c r="CSJ197" s="2"/>
      <c r="CSK197" s="2"/>
      <c r="CSL197" s="2"/>
      <c r="CSM197" s="2"/>
      <c r="CSN197" s="2"/>
      <c r="CSO197" s="2"/>
      <c r="CSP197" s="2"/>
      <c r="CSQ197" s="2"/>
      <c r="CSR197" s="2"/>
      <c r="CSS197" s="2"/>
      <c r="CST197" s="2"/>
      <c r="CSU197" s="2"/>
      <c r="CSV197" s="2"/>
      <c r="CSW197" s="2"/>
      <c r="CSX197" s="2"/>
      <c r="CSY197" s="2"/>
      <c r="CSZ197" s="2"/>
      <c r="CTA197" s="2"/>
      <c r="CTB197" s="2"/>
      <c r="CTC197" s="2"/>
      <c r="CTD197" s="2"/>
      <c r="CTE197" s="2"/>
      <c r="CTF197" s="2"/>
      <c r="CTG197" s="2"/>
      <c r="CTH197" s="2"/>
      <c r="CTI197" s="2"/>
      <c r="CTJ197" s="2"/>
      <c r="CTK197" s="2"/>
      <c r="CTL197" s="2"/>
      <c r="CTM197" s="2"/>
      <c r="CTN197" s="2"/>
      <c r="CTO197" s="2"/>
      <c r="CTP197" s="2"/>
      <c r="CTQ197" s="2"/>
      <c r="CTR197" s="2"/>
      <c r="CTS197" s="2"/>
      <c r="CTT197" s="2"/>
      <c r="CTU197" s="2"/>
      <c r="CTV197" s="2"/>
      <c r="CTW197" s="2"/>
      <c r="CTX197" s="2"/>
      <c r="CTY197" s="2"/>
      <c r="CTZ197" s="2"/>
      <c r="CUA197" s="2"/>
      <c r="CUB197" s="2"/>
      <c r="CUC197" s="2"/>
      <c r="CUD197" s="2"/>
      <c r="CUE197" s="2"/>
      <c r="CUF197" s="2"/>
      <c r="CUG197" s="2"/>
      <c r="CUH197" s="2"/>
      <c r="CUI197" s="2"/>
      <c r="CUJ197" s="2"/>
      <c r="CUK197" s="2"/>
      <c r="CUL197" s="2"/>
      <c r="CUM197" s="2"/>
      <c r="CUN197" s="2"/>
      <c r="CUO197" s="2"/>
      <c r="CUP197" s="2"/>
      <c r="CUQ197" s="2"/>
      <c r="CUR197" s="2"/>
      <c r="CUS197" s="2"/>
      <c r="CUT197" s="2"/>
      <c r="CUU197" s="2"/>
      <c r="CUV197" s="2"/>
      <c r="CUW197" s="2"/>
      <c r="CUX197" s="2"/>
      <c r="CUY197" s="2"/>
      <c r="CUZ197" s="2"/>
      <c r="CVA197" s="2"/>
      <c r="CVB197" s="2"/>
      <c r="CVC197" s="2"/>
      <c r="CVD197" s="2"/>
      <c r="CVE197" s="2"/>
      <c r="CVF197" s="2"/>
      <c r="CVG197" s="2"/>
      <c r="CVH197" s="2"/>
      <c r="CVI197" s="2"/>
      <c r="CVJ197" s="2"/>
      <c r="CVK197" s="2"/>
      <c r="CVL197" s="2"/>
      <c r="CVM197" s="2"/>
      <c r="CVN197" s="2"/>
      <c r="CVO197" s="2"/>
      <c r="CVP197" s="2"/>
      <c r="CVQ197" s="2"/>
      <c r="CVR197" s="2"/>
      <c r="CVS197" s="2"/>
      <c r="CVT197" s="2"/>
      <c r="CVU197" s="2"/>
      <c r="CVV197" s="2"/>
      <c r="CVW197" s="2"/>
      <c r="CVX197" s="2"/>
      <c r="CVY197" s="2"/>
      <c r="CVZ197" s="2"/>
      <c r="CWA197" s="2"/>
      <c r="CWB197" s="2"/>
      <c r="CWC197" s="2"/>
      <c r="CWD197" s="2"/>
      <c r="CWE197" s="2"/>
      <c r="CWF197" s="2"/>
      <c r="CWG197" s="2"/>
      <c r="CWH197" s="2"/>
      <c r="CWI197" s="2"/>
      <c r="CWJ197" s="2"/>
      <c r="CWK197" s="2"/>
      <c r="CWL197" s="2"/>
      <c r="CWM197" s="2"/>
      <c r="CWN197" s="2"/>
      <c r="CWO197" s="2"/>
      <c r="CWP197" s="2"/>
      <c r="CWQ197" s="2"/>
      <c r="CWR197" s="2"/>
      <c r="CWS197" s="2"/>
      <c r="CWT197" s="2"/>
      <c r="CWU197" s="2"/>
      <c r="CWV197" s="2"/>
      <c r="CWW197" s="2"/>
      <c r="CWX197" s="2"/>
      <c r="CWY197" s="2"/>
      <c r="CWZ197" s="2"/>
      <c r="CXA197" s="2"/>
      <c r="CXB197" s="2"/>
      <c r="CXC197" s="2"/>
      <c r="CXD197" s="2"/>
      <c r="CXE197" s="2"/>
      <c r="CXF197" s="2"/>
      <c r="CXG197" s="2"/>
      <c r="CXH197" s="2"/>
      <c r="CXI197" s="2"/>
      <c r="CXJ197" s="2"/>
      <c r="CXK197" s="2"/>
      <c r="CXL197" s="2"/>
      <c r="CXM197" s="2"/>
      <c r="CXN197" s="2"/>
      <c r="CXO197" s="2"/>
      <c r="CXP197" s="2"/>
      <c r="CXQ197" s="2"/>
      <c r="CXR197" s="2"/>
      <c r="CXS197" s="2"/>
      <c r="CXT197" s="2"/>
      <c r="CXU197" s="2"/>
      <c r="CXV197" s="2"/>
      <c r="CXW197" s="2"/>
      <c r="CXX197" s="2"/>
      <c r="CXY197" s="2"/>
      <c r="CXZ197" s="2"/>
      <c r="CYA197" s="2"/>
      <c r="CYB197" s="2"/>
      <c r="CYC197" s="2"/>
      <c r="CYD197" s="2"/>
      <c r="CYE197" s="2"/>
      <c r="CYF197" s="2"/>
      <c r="CYG197" s="2"/>
      <c r="CYH197" s="2"/>
      <c r="CYI197" s="2"/>
      <c r="CYJ197" s="2"/>
      <c r="CYK197" s="2"/>
      <c r="CYL197" s="2"/>
      <c r="CYM197" s="2"/>
      <c r="CYN197" s="2"/>
      <c r="CYO197" s="2"/>
      <c r="CYP197" s="2"/>
      <c r="CYQ197" s="2"/>
      <c r="CYR197" s="2"/>
      <c r="CYS197" s="2"/>
      <c r="CYT197" s="2"/>
      <c r="CYU197" s="2"/>
      <c r="CYV197" s="2"/>
      <c r="CYW197" s="2"/>
      <c r="CYX197" s="2"/>
      <c r="CYY197" s="2"/>
      <c r="CYZ197" s="2"/>
      <c r="CZA197" s="2"/>
      <c r="CZB197" s="2"/>
      <c r="CZC197" s="2"/>
      <c r="CZD197" s="2"/>
      <c r="CZE197" s="2"/>
      <c r="CZF197" s="2"/>
      <c r="CZG197" s="2"/>
      <c r="CZH197" s="2"/>
      <c r="CZI197" s="2"/>
      <c r="CZJ197" s="2"/>
      <c r="CZK197" s="2"/>
      <c r="CZL197" s="2"/>
      <c r="CZM197" s="2"/>
      <c r="CZN197" s="2"/>
      <c r="CZO197" s="2"/>
      <c r="CZP197" s="2"/>
      <c r="CZQ197" s="2"/>
      <c r="CZR197" s="2"/>
      <c r="CZS197" s="2"/>
      <c r="CZT197" s="2"/>
      <c r="CZU197" s="2"/>
      <c r="CZV197" s="2"/>
      <c r="CZW197" s="2"/>
      <c r="CZX197" s="2"/>
      <c r="CZY197" s="2"/>
      <c r="CZZ197" s="2"/>
      <c r="DAA197" s="2"/>
      <c r="DAB197" s="2"/>
      <c r="DAC197" s="2"/>
      <c r="DAD197" s="2"/>
      <c r="DAE197" s="2"/>
      <c r="DAF197" s="2"/>
      <c r="DAG197" s="2"/>
      <c r="DAH197" s="2"/>
      <c r="DAI197" s="2"/>
      <c r="DAJ197" s="2"/>
      <c r="DAK197" s="2"/>
      <c r="DAL197" s="2"/>
      <c r="DAM197" s="2"/>
      <c r="DAN197" s="2"/>
      <c r="DAO197" s="2"/>
      <c r="DAP197" s="2"/>
      <c r="DAQ197" s="2"/>
      <c r="DAR197" s="2"/>
      <c r="DAS197" s="2"/>
      <c r="DAT197" s="2"/>
      <c r="DAU197" s="2"/>
      <c r="DAV197" s="2"/>
      <c r="DAW197" s="2"/>
      <c r="DAX197" s="2"/>
      <c r="DAY197" s="2"/>
      <c r="DAZ197" s="2"/>
      <c r="DBA197" s="2"/>
      <c r="DBB197" s="2"/>
      <c r="DBC197" s="2"/>
      <c r="DBD197" s="2"/>
      <c r="DBE197" s="2"/>
      <c r="DBF197" s="2"/>
      <c r="DBG197" s="2"/>
      <c r="DBH197" s="2"/>
      <c r="DBI197" s="2"/>
      <c r="DBJ197" s="2"/>
      <c r="DBK197" s="2"/>
      <c r="DBL197" s="2"/>
      <c r="DBM197" s="2"/>
      <c r="DBN197" s="2"/>
      <c r="DBO197" s="2"/>
      <c r="DBP197" s="2"/>
      <c r="DBQ197" s="2"/>
      <c r="DBR197" s="2"/>
      <c r="DBS197" s="2"/>
      <c r="DBT197" s="2"/>
      <c r="DBU197" s="2"/>
      <c r="DBV197" s="2"/>
      <c r="DBW197" s="2"/>
      <c r="DBX197" s="2"/>
      <c r="DBY197" s="2"/>
      <c r="DBZ197" s="2"/>
      <c r="DCA197" s="2"/>
      <c r="DCB197" s="2"/>
      <c r="DCC197" s="2"/>
      <c r="DCD197" s="2"/>
      <c r="DCE197" s="2"/>
      <c r="DCF197" s="2"/>
      <c r="DCG197" s="2"/>
      <c r="DCH197" s="2"/>
      <c r="DCI197" s="2"/>
      <c r="DCJ197" s="2"/>
      <c r="DCK197" s="2"/>
      <c r="DCL197" s="2"/>
      <c r="DCM197" s="2"/>
      <c r="DCN197" s="2"/>
      <c r="DCO197" s="2"/>
      <c r="DCP197" s="2"/>
      <c r="DCQ197" s="2"/>
      <c r="DCR197" s="2"/>
      <c r="DCS197" s="2"/>
      <c r="DCT197" s="2"/>
      <c r="DCU197" s="2"/>
      <c r="DCV197" s="2"/>
      <c r="DCW197" s="2"/>
      <c r="DCX197" s="2"/>
      <c r="DCY197" s="2"/>
      <c r="DCZ197" s="2"/>
      <c r="DDA197" s="2"/>
      <c r="DDB197" s="2"/>
      <c r="DDC197" s="2"/>
      <c r="DDD197" s="2"/>
      <c r="DDE197" s="2"/>
      <c r="DDF197" s="2"/>
      <c r="DDG197" s="2"/>
      <c r="DDH197" s="2"/>
      <c r="DDI197" s="2"/>
      <c r="DDJ197" s="2"/>
      <c r="DDK197" s="2"/>
      <c r="DDL197" s="2"/>
      <c r="DDM197" s="2"/>
      <c r="DDN197" s="2"/>
      <c r="DDO197" s="2"/>
      <c r="DDP197" s="2"/>
      <c r="DDQ197" s="2"/>
      <c r="DDR197" s="2"/>
      <c r="DDS197" s="2"/>
      <c r="DDT197" s="2"/>
      <c r="DDU197" s="2"/>
      <c r="DDV197" s="2"/>
      <c r="DDW197" s="2"/>
      <c r="DDX197" s="2"/>
      <c r="DDY197" s="2"/>
      <c r="DDZ197" s="2"/>
      <c r="DEA197" s="2"/>
      <c r="DEB197" s="2"/>
      <c r="DEC197" s="2"/>
      <c r="DED197" s="2"/>
      <c r="DEE197" s="2"/>
      <c r="DEF197" s="2"/>
      <c r="DEG197" s="2"/>
      <c r="DEH197" s="2"/>
      <c r="DEI197" s="2"/>
      <c r="DEJ197" s="2"/>
      <c r="DEK197" s="2"/>
      <c r="DEL197" s="2"/>
      <c r="DEM197" s="2"/>
      <c r="DEN197" s="2"/>
      <c r="DEO197" s="2"/>
      <c r="DEP197" s="2"/>
      <c r="DEQ197" s="2"/>
      <c r="DER197" s="2"/>
      <c r="DES197" s="2"/>
      <c r="DET197" s="2"/>
      <c r="DEU197" s="2"/>
      <c r="DEV197" s="2"/>
      <c r="DEW197" s="2"/>
      <c r="DEX197" s="2"/>
      <c r="DEY197" s="2"/>
      <c r="DEZ197" s="2"/>
      <c r="DFA197" s="2"/>
      <c r="DFB197" s="2"/>
      <c r="DFC197" s="2"/>
      <c r="DFD197" s="2"/>
      <c r="DFE197" s="2"/>
      <c r="DFF197" s="2"/>
      <c r="DFG197" s="2"/>
      <c r="DFH197" s="2"/>
      <c r="DFI197" s="2"/>
      <c r="DFJ197" s="2"/>
      <c r="DFK197" s="2"/>
      <c r="DFL197" s="2"/>
      <c r="DFM197" s="2"/>
      <c r="DFN197" s="2"/>
      <c r="DFO197" s="2"/>
      <c r="DFP197" s="2"/>
      <c r="DFQ197" s="2"/>
      <c r="DFR197" s="2"/>
      <c r="DFS197" s="2"/>
      <c r="DFT197" s="2"/>
      <c r="DFU197" s="2"/>
      <c r="DFV197" s="2"/>
      <c r="DFW197" s="2"/>
      <c r="DFX197" s="2"/>
      <c r="DFY197" s="2"/>
      <c r="DFZ197" s="2"/>
      <c r="DGA197" s="2"/>
      <c r="DGB197" s="2"/>
      <c r="DGC197" s="2"/>
      <c r="DGD197" s="2"/>
      <c r="DGE197" s="2"/>
      <c r="DGF197" s="2"/>
      <c r="DGG197" s="2"/>
      <c r="DGH197" s="2"/>
      <c r="DGI197" s="2"/>
      <c r="DGJ197" s="2"/>
      <c r="DGK197" s="2"/>
      <c r="DGL197" s="2"/>
      <c r="DGM197" s="2"/>
      <c r="DGN197" s="2"/>
      <c r="DGO197" s="2"/>
      <c r="DGP197" s="2"/>
      <c r="DGQ197" s="2"/>
      <c r="DGR197" s="2"/>
      <c r="DGS197" s="2"/>
      <c r="DGT197" s="2"/>
      <c r="DGU197" s="2"/>
      <c r="DGV197" s="2"/>
      <c r="DGW197" s="2"/>
      <c r="DGX197" s="2"/>
      <c r="DGY197" s="2"/>
      <c r="DGZ197" s="2"/>
      <c r="DHA197" s="2"/>
      <c r="DHB197" s="2"/>
      <c r="DHC197" s="2"/>
      <c r="DHD197" s="2"/>
      <c r="DHE197" s="2"/>
      <c r="DHF197" s="2"/>
      <c r="DHG197" s="2"/>
      <c r="DHH197" s="2"/>
      <c r="DHI197" s="2"/>
      <c r="DHJ197" s="2"/>
      <c r="DHK197" s="2"/>
      <c r="DHL197" s="2"/>
      <c r="DHM197" s="2"/>
      <c r="DHN197" s="2"/>
      <c r="DHO197" s="2"/>
      <c r="DHP197" s="2"/>
      <c r="DHQ197" s="2"/>
      <c r="DHR197" s="2"/>
      <c r="DHS197" s="2"/>
      <c r="DHT197" s="2"/>
      <c r="DHU197" s="2"/>
      <c r="DHV197" s="2"/>
      <c r="DHW197" s="2"/>
      <c r="DHX197" s="2"/>
      <c r="DHY197" s="2"/>
      <c r="DHZ197" s="2"/>
      <c r="DIA197" s="2"/>
      <c r="DIB197" s="2"/>
      <c r="DIC197" s="2"/>
      <c r="DID197" s="2"/>
      <c r="DIE197" s="2"/>
      <c r="DIF197" s="2"/>
      <c r="DIG197" s="2"/>
      <c r="DIH197" s="2"/>
      <c r="DII197" s="2"/>
      <c r="DIJ197" s="2"/>
      <c r="DIK197" s="2"/>
      <c r="DIL197" s="2"/>
      <c r="DIM197" s="2"/>
      <c r="DIN197" s="2"/>
      <c r="DIO197" s="2"/>
      <c r="DIP197" s="2"/>
      <c r="DIQ197" s="2"/>
      <c r="DIR197" s="2"/>
      <c r="DIS197" s="2"/>
      <c r="DIT197" s="2"/>
      <c r="DIU197" s="2"/>
      <c r="DIV197" s="2"/>
      <c r="DIW197" s="2"/>
      <c r="DIX197" s="2"/>
      <c r="DIY197" s="2"/>
      <c r="DIZ197" s="2"/>
      <c r="DJA197" s="2"/>
      <c r="DJB197" s="2"/>
      <c r="DJC197" s="2"/>
      <c r="DJD197" s="2"/>
      <c r="DJE197" s="2"/>
      <c r="DJF197" s="2"/>
      <c r="DJG197" s="2"/>
      <c r="DJH197" s="2"/>
      <c r="DJI197" s="2"/>
      <c r="DJJ197" s="2"/>
      <c r="DJK197" s="2"/>
      <c r="DJL197" s="2"/>
      <c r="DJM197" s="2"/>
      <c r="DJN197" s="2"/>
      <c r="DJO197" s="2"/>
      <c r="DJP197" s="2"/>
      <c r="DJQ197" s="2"/>
      <c r="DJR197" s="2"/>
      <c r="DJS197" s="2"/>
      <c r="DJT197" s="2"/>
      <c r="DJU197" s="2"/>
      <c r="DJV197" s="2"/>
      <c r="DJW197" s="2"/>
      <c r="DJX197" s="2"/>
      <c r="DJY197" s="2"/>
      <c r="DJZ197" s="2"/>
      <c r="DKA197" s="2"/>
      <c r="DKB197" s="2"/>
      <c r="DKC197" s="2"/>
      <c r="DKD197" s="2"/>
      <c r="DKE197" s="2"/>
      <c r="DKF197" s="2"/>
      <c r="DKG197" s="2"/>
      <c r="DKH197" s="2"/>
      <c r="DKI197" s="2"/>
      <c r="DKJ197" s="2"/>
      <c r="DKK197" s="2"/>
      <c r="DKL197" s="2"/>
      <c r="DKM197" s="2"/>
      <c r="DKN197" s="2"/>
      <c r="DKO197" s="2"/>
      <c r="DKP197" s="2"/>
      <c r="DKQ197" s="2"/>
      <c r="DKR197" s="2"/>
      <c r="DKS197" s="2"/>
      <c r="DKT197" s="2"/>
      <c r="DKU197" s="2"/>
      <c r="DKV197" s="2"/>
      <c r="DKW197" s="2"/>
      <c r="DKX197" s="2"/>
      <c r="DKY197" s="2"/>
      <c r="DKZ197" s="2"/>
      <c r="DLA197" s="2"/>
      <c r="DLB197" s="2"/>
      <c r="DLC197" s="2"/>
      <c r="DLD197" s="2"/>
      <c r="DLE197" s="2"/>
      <c r="DLF197" s="2"/>
      <c r="DLG197" s="2"/>
      <c r="DLH197" s="2"/>
      <c r="DLI197" s="2"/>
      <c r="DLJ197" s="2"/>
      <c r="DLK197" s="2"/>
      <c r="DLL197" s="2"/>
      <c r="DLM197" s="2"/>
      <c r="DLN197" s="2"/>
      <c r="DLO197" s="2"/>
      <c r="DLP197" s="2"/>
      <c r="DLQ197" s="2"/>
      <c r="DLR197" s="2"/>
      <c r="DLS197" s="2"/>
      <c r="DLT197" s="2"/>
      <c r="DLU197" s="2"/>
      <c r="DLV197" s="2"/>
      <c r="DLW197" s="2"/>
      <c r="DLX197" s="2"/>
      <c r="DLY197" s="2"/>
      <c r="DLZ197" s="2"/>
      <c r="DMA197" s="2"/>
      <c r="DMB197" s="2"/>
      <c r="DMC197" s="2"/>
      <c r="DMD197" s="2"/>
      <c r="DME197" s="2"/>
      <c r="DMF197" s="2"/>
      <c r="DMG197" s="2"/>
      <c r="DMH197" s="2"/>
      <c r="DMI197" s="2"/>
      <c r="DMJ197" s="2"/>
      <c r="DMK197" s="2"/>
      <c r="DML197" s="2"/>
      <c r="DMM197" s="2"/>
      <c r="DMN197" s="2"/>
      <c r="DMO197" s="2"/>
      <c r="DMP197" s="2"/>
      <c r="DMQ197" s="2"/>
      <c r="DMR197" s="2"/>
      <c r="DMS197" s="2"/>
      <c r="DMT197" s="2"/>
      <c r="DMU197" s="2"/>
      <c r="DMV197" s="2"/>
      <c r="DMW197" s="2"/>
      <c r="DMX197" s="2"/>
      <c r="DMY197" s="2"/>
      <c r="DMZ197" s="2"/>
      <c r="DNA197" s="2"/>
      <c r="DNB197" s="2"/>
      <c r="DNC197" s="2"/>
      <c r="DND197" s="2"/>
      <c r="DNE197" s="2"/>
      <c r="DNF197" s="2"/>
      <c r="DNG197" s="2"/>
      <c r="DNH197" s="2"/>
      <c r="DNI197" s="2"/>
      <c r="DNJ197" s="2"/>
      <c r="DNK197" s="2"/>
      <c r="DNL197" s="2"/>
      <c r="DNM197" s="2"/>
      <c r="DNN197" s="2"/>
      <c r="DNO197" s="2"/>
      <c r="DNP197" s="2"/>
      <c r="DNQ197" s="2"/>
      <c r="DNR197" s="2"/>
      <c r="DNS197" s="2"/>
      <c r="DNT197" s="2"/>
      <c r="DNU197" s="2"/>
      <c r="DNV197" s="2"/>
      <c r="DNW197" s="2"/>
      <c r="DNX197" s="2"/>
      <c r="DNY197" s="2"/>
      <c r="DNZ197" s="2"/>
      <c r="DOA197" s="2"/>
      <c r="DOB197" s="2"/>
      <c r="DOC197" s="2"/>
      <c r="DOD197" s="2"/>
      <c r="DOE197" s="2"/>
      <c r="DOF197" s="2"/>
      <c r="DOG197" s="2"/>
      <c r="DOH197" s="2"/>
      <c r="DOI197" s="2"/>
      <c r="DOJ197" s="2"/>
      <c r="DOK197" s="2"/>
      <c r="DOL197" s="2"/>
      <c r="DOM197" s="2"/>
      <c r="DON197" s="2"/>
      <c r="DOO197" s="2"/>
      <c r="DOP197" s="2"/>
      <c r="DOQ197" s="2"/>
      <c r="DOR197" s="2"/>
      <c r="DOS197" s="2"/>
      <c r="DOT197" s="2"/>
      <c r="DOU197" s="2"/>
      <c r="DOV197" s="2"/>
      <c r="DOW197" s="2"/>
      <c r="DOX197" s="2"/>
      <c r="DOY197" s="2"/>
      <c r="DOZ197" s="2"/>
      <c r="DPA197" s="2"/>
      <c r="DPB197" s="2"/>
      <c r="DPC197" s="2"/>
      <c r="DPD197" s="2"/>
      <c r="DPE197" s="2"/>
      <c r="DPF197" s="2"/>
      <c r="DPG197" s="2"/>
      <c r="DPH197" s="2"/>
      <c r="DPI197" s="2"/>
      <c r="DPJ197" s="2"/>
      <c r="DPK197" s="2"/>
      <c r="DPL197" s="2"/>
      <c r="DPM197" s="2"/>
      <c r="DPN197" s="2"/>
      <c r="DPO197" s="2"/>
      <c r="DPP197" s="2"/>
      <c r="DPQ197" s="2"/>
      <c r="DPR197" s="2"/>
      <c r="DPS197" s="2"/>
      <c r="DPT197" s="2"/>
      <c r="DPU197" s="2"/>
      <c r="DPV197" s="2"/>
      <c r="DPW197" s="2"/>
      <c r="DPX197" s="2"/>
      <c r="DPY197" s="2"/>
      <c r="DPZ197" s="2"/>
      <c r="DQA197" s="2"/>
      <c r="DQB197" s="2"/>
      <c r="DQC197" s="2"/>
      <c r="DQD197" s="2"/>
      <c r="DQE197" s="2"/>
      <c r="DQF197" s="2"/>
      <c r="DQG197" s="2"/>
      <c r="DQH197" s="2"/>
      <c r="DQI197" s="2"/>
      <c r="DQJ197" s="2"/>
      <c r="DQK197" s="2"/>
      <c r="DQL197" s="2"/>
      <c r="DQM197" s="2"/>
      <c r="DQN197" s="2"/>
      <c r="DQO197" s="2"/>
      <c r="DQP197" s="2"/>
      <c r="DQQ197" s="2"/>
      <c r="DQR197" s="2"/>
      <c r="DQS197" s="2"/>
      <c r="DQT197" s="2"/>
      <c r="DQU197" s="2"/>
      <c r="DQV197" s="2"/>
      <c r="DQW197" s="2"/>
      <c r="DQX197" s="2"/>
      <c r="DQY197" s="2"/>
      <c r="DQZ197" s="2"/>
      <c r="DRA197" s="2"/>
      <c r="DRB197" s="2"/>
      <c r="DRC197" s="2"/>
      <c r="DRD197" s="2"/>
      <c r="DRE197" s="2"/>
      <c r="DRF197" s="2"/>
      <c r="DRG197" s="2"/>
      <c r="DRH197" s="2"/>
      <c r="DRI197" s="2"/>
      <c r="DRJ197" s="2"/>
      <c r="DRK197" s="2"/>
      <c r="DRL197" s="2"/>
      <c r="DRM197" s="2"/>
      <c r="DRN197" s="2"/>
      <c r="DRO197" s="2"/>
      <c r="DRP197" s="2"/>
      <c r="DRQ197" s="2"/>
      <c r="DRR197" s="2"/>
      <c r="DRS197" s="2"/>
      <c r="DRT197" s="2"/>
      <c r="DRU197" s="2"/>
      <c r="DRV197" s="2"/>
      <c r="DRW197" s="2"/>
      <c r="DRX197" s="2"/>
      <c r="DRY197" s="2"/>
      <c r="DRZ197" s="2"/>
      <c r="DSA197" s="2"/>
      <c r="DSB197" s="2"/>
      <c r="DSC197" s="2"/>
      <c r="DSD197" s="2"/>
      <c r="DSE197" s="2"/>
      <c r="DSF197" s="2"/>
      <c r="DSG197" s="2"/>
      <c r="DSH197" s="2"/>
      <c r="DSI197" s="2"/>
      <c r="DSJ197" s="2"/>
      <c r="DSK197" s="2"/>
      <c r="DSL197" s="2"/>
      <c r="DSM197" s="2"/>
      <c r="DSN197" s="2"/>
      <c r="DSO197" s="2"/>
      <c r="DSP197" s="2"/>
      <c r="DSQ197" s="2"/>
      <c r="DSR197" s="2"/>
      <c r="DSS197" s="2"/>
      <c r="DST197" s="2"/>
      <c r="DSU197" s="2"/>
      <c r="DSV197" s="2"/>
      <c r="DSW197" s="2"/>
      <c r="DSX197" s="2"/>
      <c r="DSY197" s="2"/>
      <c r="DSZ197" s="2"/>
      <c r="DTA197" s="2"/>
      <c r="DTB197" s="2"/>
      <c r="DTC197" s="2"/>
      <c r="DTD197" s="2"/>
      <c r="DTE197" s="2"/>
      <c r="DTF197" s="2"/>
      <c r="DTG197" s="2"/>
      <c r="DTH197" s="2"/>
      <c r="DTI197" s="2"/>
      <c r="DTJ197" s="2"/>
      <c r="DTK197" s="2"/>
      <c r="DTL197" s="2"/>
      <c r="DTM197" s="2"/>
      <c r="DTN197" s="2"/>
      <c r="DTO197" s="2"/>
      <c r="DTP197" s="2"/>
      <c r="DTQ197" s="2"/>
      <c r="DTR197" s="2"/>
      <c r="DTS197" s="2"/>
      <c r="DTT197" s="2"/>
      <c r="DTU197" s="2"/>
      <c r="DTV197" s="2"/>
      <c r="DTW197" s="2"/>
      <c r="DTX197" s="2"/>
      <c r="DTY197" s="2"/>
      <c r="DTZ197" s="2"/>
      <c r="DUA197" s="2"/>
      <c r="DUB197" s="2"/>
      <c r="DUC197" s="2"/>
      <c r="DUD197" s="2"/>
      <c r="DUE197" s="2"/>
      <c r="DUF197" s="2"/>
      <c r="DUG197" s="2"/>
      <c r="DUH197" s="2"/>
      <c r="DUI197" s="2"/>
      <c r="DUJ197" s="2"/>
      <c r="DUK197" s="2"/>
      <c r="DUL197" s="2"/>
      <c r="DUM197" s="2"/>
      <c r="DUN197" s="2"/>
      <c r="DUO197" s="2"/>
      <c r="DUP197" s="2"/>
      <c r="DUQ197" s="2"/>
      <c r="DUR197" s="2"/>
      <c r="DUS197" s="2"/>
      <c r="DUT197" s="2"/>
      <c r="DUU197" s="2"/>
      <c r="DUV197" s="2"/>
      <c r="DUW197" s="2"/>
      <c r="DUX197" s="2"/>
      <c r="DUY197" s="2"/>
      <c r="DUZ197" s="2"/>
      <c r="DVA197" s="2"/>
      <c r="DVB197" s="2"/>
      <c r="DVC197" s="2"/>
      <c r="DVD197" s="2"/>
      <c r="DVE197" s="2"/>
      <c r="DVF197" s="2"/>
      <c r="DVG197" s="2"/>
      <c r="DVH197" s="2"/>
      <c r="DVI197" s="2"/>
      <c r="DVJ197" s="2"/>
      <c r="DVK197" s="2"/>
      <c r="DVL197" s="2"/>
      <c r="DVM197" s="2"/>
      <c r="DVN197" s="2"/>
      <c r="DVO197" s="2"/>
      <c r="DVP197" s="2"/>
      <c r="DVQ197" s="2"/>
      <c r="DVR197" s="2"/>
      <c r="DVS197" s="2"/>
      <c r="DVT197" s="2"/>
      <c r="DVU197" s="2"/>
      <c r="DVV197" s="2"/>
      <c r="DVW197" s="2"/>
      <c r="DVX197" s="2"/>
      <c r="DVY197" s="2"/>
      <c r="DVZ197" s="2"/>
      <c r="DWA197" s="2"/>
      <c r="DWB197" s="2"/>
      <c r="DWC197" s="2"/>
      <c r="DWD197" s="2"/>
      <c r="DWE197" s="2"/>
      <c r="DWF197" s="2"/>
      <c r="DWG197" s="2"/>
      <c r="DWH197" s="2"/>
      <c r="DWI197" s="2"/>
      <c r="DWJ197" s="2"/>
      <c r="DWK197" s="2"/>
      <c r="DWL197" s="2"/>
      <c r="DWM197" s="2"/>
      <c r="DWN197" s="2"/>
      <c r="DWO197" s="2"/>
      <c r="DWP197" s="2"/>
      <c r="DWQ197" s="2"/>
      <c r="DWR197" s="2"/>
      <c r="DWS197" s="2"/>
      <c r="DWT197" s="2"/>
      <c r="DWU197" s="2"/>
      <c r="DWV197" s="2"/>
      <c r="DWW197" s="2"/>
      <c r="DWX197" s="2"/>
      <c r="DWY197" s="2"/>
      <c r="DWZ197" s="2"/>
      <c r="DXA197" s="2"/>
      <c r="DXB197" s="2"/>
      <c r="DXC197" s="2"/>
      <c r="DXD197" s="2"/>
      <c r="DXE197" s="2"/>
      <c r="DXF197" s="2"/>
      <c r="DXG197" s="2"/>
      <c r="DXH197" s="2"/>
      <c r="DXI197" s="2"/>
      <c r="DXJ197" s="2"/>
      <c r="DXK197" s="2"/>
      <c r="DXL197" s="2"/>
      <c r="DXM197" s="2"/>
      <c r="DXN197" s="2"/>
      <c r="DXO197" s="2"/>
      <c r="DXP197" s="2"/>
      <c r="DXQ197" s="2"/>
      <c r="DXR197" s="2"/>
      <c r="DXS197" s="2"/>
      <c r="DXT197" s="2"/>
      <c r="DXU197" s="2"/>
      <c r="DXV197" s="2"/>
      <c r="DXW197" s="2"/>
      <c r="DXX197" s="2"/>
      <c r="DXY197" s="2"/>
      <c r="DXZ197" s="2"/>
      <c r="DYA197" s="2"/>
      <c r="DYB197" s="2"/>
      <c r="DYC197" s="2"/>
      <c r="DYD197" s="2"/>
      <c r="DYE197" s="2"/>
      <c r="DYF197" s="2"/>
      <c r="DYG197" s="2"/>
      <c r="DYH197" s="2"/>
      <c r="DYI197" s="2"/>
      <c r="DYJ197" s="2"/>
      <c r="DYK197" s="2"/>
      <c r="DYL197" s="2"/>
      <c r="DYM197" s="2"/>
      <c r="DYN197" s="2"/>
      <c r="DYO197" s="2"/>
      <c r="DYP197" s="2"/>
      <c r="DYQ197" s="2"/>
      <c r="DYR197" s="2"/>
      <c r="DYS197" s="2"/>
      <c r="DYT197" s="2"/>
      <c r="DYU197" s="2"/>
      <c r="DYV197" s="2"/>
      <c r="DYW197" s="2"/>
      <c r="DYX197" s="2"/>
      <c r="DYY197" s="2"/>
      <c r="DYZ197" s="2"/>
      <c r="DZA197" s="2"/>
      <c r="DZB197" s="2"/>
      <c r="DZC197" s="2"/>
      <c r="DZD197" s="2"/>
      <c r="DZE197" s="2"/>
      <c r="DZF197" s="2"/>
      <c r="DZG197" s="2"/>
      <c r="DZH197" s="2"/>
      <c r="DZI197" s="2"/>
      <c r="DZJ197" s="2"/>
      <c r="DZK197" s="2"/>
      <c r="DZL197" s="2"/>
      <c r="DZM197" s="2"/>
      <c r="DZN197" s="2"/>
      <c r="DZO197" s="2"/>
      <c r="DZP197" s="2"/>
      <c r="DZQ197" s="2"/>
      <c r="DZR197" s="2"/>
      <c r="DZS197" s="2"/>
      <c r="DZT197" s="2"/>
      <c r="DZU197" s="2"/>
      <c r="DZV197" s="2"/>
      <c r="DZW197" s="2"/>
      <c r="DZX197" s="2"/>
      <c r="DZY197" s="2"/>
      <c r="DZZ197" s="2"/>
      <c r="EAA197" s="2"/>
      <c r="EAB197" s="2"/>
      <c r="EAC197" s="2"/>
      <c r="EAD197" s="2"/>
      <c r="EAE197" s="2"/>
      <c r="EAF197" s="2"/>
      <c r="EAG197" s="2"/>
      <c r="EAH197" s="2"/>
      <c r="EAI197" s="2"/>
      <c r="EAJ197" s="2"/>
      <c r="EAK197" s="2"/>
      <c r="EAL197" s="2"/>
      <c r="EAM197" s="2"/>
      <c r="EAN197" s="2"/>
      <c r="EAO197" s="2"/>
      <c r="EAP197" s="2"/>
      <c r="EAQ197" s="2"/>
      <c r="EAR197" s="2"/>
      <c r="EAS197" s="2"/>
      <c r="EAT197" s="2"/>
      <c r="EAU197" s="2"/>
      <c r="EAV197" s="2"/>
      <c r="EAW197" s="2"/>
      <c r="EAX197" s="2"/>
      <c r="EAY197" s="2"/>
      <c r="EAZ197" s="2"/>
      <c r="EBA197" s="2"/>
      <c r="EBB197" s="2"/>
      <c r="EBC197" s="2"/>
      <c r="EBD197" s="2"/>
      <c r="EBE197" s="2"/>
      <c r="EBF197" s="2"/>
      <c r="EBG197" s="2"/>
      <c r="EBH197" s="2"/>
      <c r="EBI197" s="2"/>
      <c r="EBJ197" s="2"/>
      <c r="EBK197" s="2"/>
      <c r="EBL197" s="2"/>
      <c r="EBM197" s="2"/>
      <c r="EBN197" s="2"/>
      <c r="EBO197" s="2"/>
      <c r="EBP197" s="2"/>
      <c r="EBQ197" s="2"/>
      <c r="EBR197" s="2"/>
      <c r="EBS197" s="2"/>
      <c r="EBT197" s="2"/>
      <c r="EBU197" s="2"/>
      <c r="EBV197" s="2"/>
      <c r="EBW197" s="2"/>
      <c r="EBX197" s="2"/>
      <c r="EBY197" s="2"/>
      <c r="EBZ197" s="2"/>
      <c r="ECA197" s="2"/>
      <c r="ECB197" s="2"/>
      <c r="ECC197" s="2"/>
      <c r="ECD197" s="2"/>
      <c r="ECE197" s="2"/>
      <c r="ECF197" s="2"/>
      <c r="ECG197" s="2"/>
      <c r="ECH197" s="2"/>
      <c r="ECI197" s="2"/>
      <c r="ECJ197" s="2"/>
      <c r="ECK197" s="2"/>
      <c r="ECL197" s="2"/>
      <c r="ECM197" s="2"/>
      <c r="ECN197" s="2"/>
      <c r="ECO197" s="2"/>
      <c r="ECP197" s="2"/>
      <c r="ECQ197" s="2"/>
      <c r="ECR197" s="2"/>
      <c r="ECS197" s="2"/>
      <c r="ECT197" s="2"/>
      <c r="ECU197" s="2"/>
      <c r="ECV197" s="2"/>
      <c r="ECW197" s="2"/>
      <c r="ECX197" s="2"/>
      <c r="ECY197" s="2"/>
      <c r="ECZ197" s="2"/>
      <c r="EDA197" s="2"/>
      <c r="EDB197" s="2"/>
      <c r="EDC197" s="2"/>
      <c r="EDD197" s="2"/>
      <c r="EDE197" s="2"/>
      <c r="EDF197" s="2"/>
      <c r="EDG197" s="2"/>
      <c r="EDH197" s="2"/>
      <c r="EDI197" s="2"/>
      <c r="EDJ197" s="2"/>
      <c r="EDK197" s="2"/>
      <c r="EDL197" s="2"/>
      <c r="EDM197" s="2"/>
      <c r="EDN197" s="2"/>
      <c r="EDO197" s="2"/>
      <c r="EDP197" s="2"/>
      <c r="EDQ197" s="2"/>
      <c r="EDR197" s="2"/>
      <c r="EDS197" s="2"/>
      <c r="EDT197" s="2"/>
      <c r="EDU197" s="2"/>
      <c r="EDV197" s="2"/>
      <c r="EDW197" s="2"/>
      <c r="EDX197" s="2"/>
      <c r="EDY197" s="2"/>
      <c r="EDZ197" s="2"/>
      <c r="EEA197" s="2"/>
      <c r="EEB197" s="2"/>
      <c r="EEC197" s="2"/>
      <c r="EED197" s="2"/>
      <c r="EEE197" s="2"/>
      <c r="EEF197" s="2"/>
      <c r="EEG197" s="2"/>
      <c r="EEH197" s="2"/>
      <c r="EEI197" s="2"/>
      <c r="EEJ197" s="2"/>
      <c r="EEK197" s="2"/>
      <c r="EEL197" s="2"/>
      <c r="EEM197" s="2"/>
      <c r="EEN197" s="2"/>
      <c r="EEO197" s="2"/>
      <c r="EEP197" s="2"/>
      <c r="EEQ197" s="2"/>
      <c r="EER197" s="2"/>
      <c r="EES197" s="2"/>
      <c r="EET197" s="2"/>
      <c r="EEU197" s="2"/>
      <c r="EEV197" s="2"/>
      <c r="EEW197" s="2"/>
      <c r="EEX197" s="2"/>
      <c r="EEY197" s="2"/>
      <c r="EEZ197" s="2"/>
      <c r="EFA197" s="2"/>
      <c r="EFB197" s="2"/>
      <c r="EFC197" s="2"/>
      <c r="EFD197" s="2"/>
      <c r="EFE197" s="2"/>
      <c r="EFF197" s="2"/>
      <c r="EFG197" s="2"/>
      <c r="EFH197" s="2"/>
      <c r="EFI197" s="2"/>
      <c r="EFJ197" s="2"/>
      <c r="EFK197" s="2"/>
      <c r="EFL197" s="2"/>
      <c r="EFM197" s="2"/>
      <c r="EFN197" s="2"/>
      <c r="EFO197" s="2"/>
      <c r="EFP197" s="2"/>
      <c r="EFQ197" s="2"/>
      <c r="EFR197" s="2"/>
      <c r="EFS197" s="2"/>
      <c r="EFT197" s="2"/>
      <c r="EFU197" s="2"/>
      <c r="EFV197" s="2"/>
      <c r="EFW197" s="2"/>
      <c r="EFX197" s="2"/>
      <c r="EFY197" s="2"/>
      <c r="EFZ197" s="2"/>
      <c r="EGA197" s="2"/>
      <c r="EGB197" s="2"/>
      <c r="EGC197" s="2"/>
      <c r="EGD197" s="2"/>
      <c r="EGE197" s="2"/>
      <c r="EGF197" s="2"/>
      <c r="EGG197" s="2"/>
      <c r="EGH197" s="2"/>
      <c r="EGI197" s="2"/>
      <c r="EGJ197" s="2"/>
      <c r="EGK197" s="2"/>
      <c r="EGL197" s="2"/>
      <c r="EGM197" s="2"/>
      <c r="EGN197" s="2"/>
      <c r="EGO197" s="2"/>
      <c r="EGP197" s="2"/>
      <c r="EGQ197" s="2"/>
      <c r="EGR197" s="2"/>
      <c r="EGS197" s="2"/>
      <c r="EGT197" s="2"/>
      <c r="EGU197" s="2"/>
      <c r="EGV197" s="2"/>
      <c r="EGW197" s="2"/>
      <c r="EGX197" s="2"/>
      <c r="EGY197" s="2"/>
      <c r="EGZ197" s="2"/>
      <c r="EHA197" s="2"/>
      <c r="EHB197" s="2"/>
      <c r="EHC197" s="2"/>
      <c r="EHD197" s="2"/>
      <c r="EHE197" s="2"/>
      <c r="EHF197" s="2"/>
      <c r="EHG197" s="2"/>
      <c r="EHH197" s="2"/>
      <c r="EHI197" s="2"/>
      <c r="EHJ197" s="2"/>
      <c r="EHK197" s="2"/>
      <c r="EHL197" s="2"/>
      <c r="EHM197" s="2"/>
      <c r="EHN197" s="2"/>
      <c r="EHO197" s="2"/>
      <c r="EHP197" s="2"/>
      <c r="EHQ197" s="2"/>
      <c r="EHR197" s="2"/>
      <c r="EHS197" s="2"/>
      <c r="EHT197" s="2"/>
      <c r="EHU197" s="2"/>
      <c r="EHV197" s="2"/>
      <c r="EHW197" s="2"/>
      <c r="EHX197" s="2"/>
      <c r="EHY197" s="2"/>
      <c r="EHZ197" s="2"/>
      <c r="EIA197" s="2"/>
      <c r="EIB197" s="2"/>
      <c r="EIC197" s="2"/>
      <c r="EID197" s="2"/>
      <c r="EIE197" s="2"/>
      <c r="EIF197" s="2"/>
      <c r="EIG197" s="2"/>
      <c r="EIH197" s="2"/>
      <c r="EII197" s="2"/>
      <c r="EIJ197" s="2"/>
      <c r="EIK197" s="2"/>
      <c r="EIL197" s="2"/>
      <c r="EIM197" s="2"/>
      <c r="EIN197" s="2"/>
      <c r="EIO197" s="2"/>
      <c r="EIP197" s="2"/>
      <c r="EIQ197" s="2"/>
      <c r="EIR197" s="2"/>
      <c r="EIS197" s="2"/>
      <c r="EIT197" s="2"/>
      <c r="EIU197" s="2"/>
      <c r="EIV197" s="2"/>
      <c r="EIW197" s="2"/>
      <c r="EIX197" s="2"/>
      <c r="EIY197" s="2"/>
      <c r="EIZ197" s="2"/>
      <c r="EJA197" s="2"/>
      <c r="EJB197" s="2"/>
      <c r="EJC197" s="2"/>
      <c r="EJD197" s="2"/>
      <c r="EJE197" s="2"/>
      <c r="EJF197" s="2"/>
      <c r="EJG197" s="2"/>
      <c r="EJH197" s="2"/>
      <c r="EJI197" s="2"/>
      <c r="EJJ197" s="2"/>
      <c r="EJK197" s="2"/>
      <c r="EJL197" s="2"/>
      <c r="EJM197" s="2"/>
      <c r="EJN197" s="2"/>
      <c r="EJO197" s="2"/>
      <c r="EJP197" s="2"/>
      <c r="EJQ197" s="2"/>
      <c r="EJR197" s="2"/>
      <c r="EJS197" s="2"/>
      <c r="EJT197" s="2"/>
      <c r="EJU197" s="2"/>
      <c r="EJV197" s="2"/>
      <c r="EJW197" s="2"/>
      <c r="EJX197" s="2"/>
      <c r="EJY197" s="2"/>
      <c r="EJZ197" s="2"/>
      <c r="EKA197" s="2"/>
      <c r="EKB197" s="2"/>
      <c r="EKC197" s="2"/>
      <c r="EKD197" s="2"/>
      <c r="EKE197" s="2"/>
      <c r="EKF197" s="2"/>
      <c r="EKG197" s="2"/>
      <c r="EKH197" s="2"/>
      <c r="EKI197" s="2"/>
      <c r="EKJ197" s="2"/>
      <c r="EKK197" s="2"/>
      <c r="EKL197" s="2"/>
      <c r="EKM197" s="2"/>
      <c r="EKN197" s="2"/>
      <c r="EKO197" s="2"/>
      <c r="EKP197" s="2"/>
      <c r="EKQ197" s="2"/>
      <c r="EKR197" s="2"/>
      <c r="EKS197" s="2"/>
      <c r="EKT197" s="2"/>
      <c r="EKU197" s="2"/>
      <c r="EKV197" s="2"/>
      <c r="EKW197" s="2"/>
      <c r="EKX197" s="2"/>
      <c r="EKY197" s="2"/>
      <c r="EKZ197" s="2"/>
      <c r="ELA197" s="2"/>
      <c r="ELB197" s="2"/>
      <c r="ELC197" s="2"/>
      <c r="ELD197" s="2"/>
      <c r="ELE197" s="2"/>
      <c r="ELF197" s="2"/>
      <c r="ELG197" s="2"/>
      <c r="ELH197" s="2"/>
      <c r="ELI197" s="2"/>
      <c r="ELJ197" s="2"/>
      <c r="ELK197" s="2"/>
      <c r="ELL197" s="2"/>
      <c r="ELM197" s="2"/>
      <c r="ELN197" s="2"/>
      <c r="ELO197" s="2"/>
      <c r="ELP197" s="2"/>
      <c r="ELQ197" s="2"/>
      <c r="ELR197" s="2"/>
      <c r="ELS197" s="2"/>
      <c r="ELT197" s="2"/>
      <c r="ELU197" s="2"/>
      <c r="ELV197" s="2"/>
      <c r="ELW197" s="2"/>
      <c r="ELX197" s="2"/>
      <c r="ELY197" s="2"/>
      <c r="ELZ197" s="2"/>
      <c r="EMA197" s="2"/>
      <c r="EMB197" s="2"/>
      <c r="EMC197" s="2"/>
      <c r="EMD197" s="2"/>
      <c r="EME197" s="2"/>
      <c r="EMF197" s="2"/>
      <c r="EMG197" s="2"/>
      <c r="EMH197" s="2"/>
      <c r="EMI197" s="2"/>
      <c r="EMJ197" s="2"/>
      <c r="EMK197" s="2"/>
      <c r="EML197" s="2"/>
      <c r="EMM197" s="2"/>
      <c r="EMN197" s="2"/>
      <c r="EMO197" s="2"/>
      <c r="EMP197" s="2"/>
      <c r="EMQ197" s="2"/>
      <c r="EMR197" s="2"/>
      <c r="EMS197" s="2"/>
      <c r="EMT197" s="2"/>
      <c r="EMU197" s="2"/>
      <c r="EMV197" s="2"/>
      <c r="EMW197" s="2"/>
      <c r="EMX197" s="2"/>
      <c r="EMY197" s="2"/>
      <c r="EMZ197" s="2"/>
      <c r="ENA197" s="2"/>
      <c r="ENB197" s="2"/>
      <c r="ENC197" s="2"/>
      <c r="END197" s="2"/>
      <c r="ENE197" s="2"/>
      <c r="ENF197" s="2"/>
      <c r="ENG197" s="2"/>
      <c r="ENH197" s="2"/>
      <c r="ENI197" s="2"/>
      <c r="ENJ197" s="2"/>
      <c r="ENK197" s="2"/>
      <c r="ENL197" s="2"/>
      <c r="ENM197" s="2"/>
      <c r="ENN197" s="2"/>
      <c r="ENO197" s="2"/>
      <c r="ENP197" s="2"/>
      <c r="ENQ197" s="2"/>
      <c r="ENR197" s="2"/>
      <c r="ENS197" s="2"/>
      <c r="ENT197" s="2"/>
      <c r="ENU197" s="2"/>
      <c r="ENV197" s="2"/>
      <c r="ENW197" s="2"/>
      <c r="ENX197" s="2"/>
      <c r="ENY197" s="2"/>
      <c r="ENZ197" s="2"/>
      <c r="EOA197" s="2"/>
      <c r="EOB197" s="2"/>
      <c r="EOC197" s="2"/>
      <c r="EOD197" s="2"/>
      <c r="EOE197" s="2"/>
      <c r="EOF197" s="2"/>
      <c r="EOG197" s="2"/>
      <c r="EOH197" s="2"/>
      <c r="EOI197" s="2"/>
      <c r="EOJ197" s="2"/>
      <c r="EOK197" s="2"/>
      <c r="EOL197" s="2"/>
      <c r="EOM197" s="2"/>
      <c r="EON197" s="2"/>
      <c r="EOO197" s="2"/>
      <c r="EOP197" s="2"/>
      <c r="EOQ197" s="2"/>
      <c r="EOR197" s="2"/>
      <c r="EOS197" s="2"/>
      <c r="EOT197" s="2"/>
      <c r="EOU197" s="2"/>
      <c r="EOV197" s="2"/>
      <c r="EOW197" s="2"/>
      <c r="EOX197" s="2"/>
      <c r="EOY197" s="2"/>
      <c r="EOZ197" s="2"/>
      <c r="EPA197" s="2"/>
      <c r="EPB197" s="2"/>
      <c r="EPC197" s="2"/>
      <c r="EPD197" s="2"/>
      <c r="EPE197" s="2"/>
      <c r="EPF197" s="2"/>
      <c r="EPG197" s="2"/>
      <c r="EPH197" s="2"/>
      <c r="EPI197" s="2"/>
      <c r="EPJ197" s="2"/>
      <c r="EPK197" s="2"/>
      <c r="EPL197" s="2"/>
      <c r="EPM197" s="2"/>
      <c r="EPN197" s="2"/>
      <c r="EPO197" s="2"/>
      <c r="EPP197" s="2"/>
      <c r="EPQ197" s="2"/>
      <c r="EPR197" s="2"/>
      <c r="EPS197" s="2"/>
      <c r="EPT197" s="2"/>
      <c r="EPU197" s="2"/>
      <c r="EPV197" s="2"/>
      <c r="EPW197" s="2"/>
      <c r="EPX197" s="2"/>
      <c r="EPY197" s="2"/>
      <c r="EPZ197" s="2"/>
      <c r="EQA197" s="2"/>
      <c r="EQB197" s="2"/>
      <c r="EQC197" s="2"/>
      <c r="EQD197" s="2"/>
      <c r="EQE197" s="2"/>
      <c r="EQF197" s="2"/>
      <c r="EQG197" s="2"/>
      <c r="EQH197" s="2"/>
      <c r="EQI197" s="2"/>
      <c r="EQJ197" s="2"/>
      <c r="EQK197" s="2"/>
      <c r="EQL197" s="2"/>
      <c r="EQM197" s="2"/>
      <c r="EQN197" s="2"/>
      <c r="EQO197" s="2"/>
      <c r="EQP197" s="2"/>
      <c r="EQQ197" s="2"/>
      <c r="EQR197" s="2"/>
      <c r="EQS197" s="2"/>
      <c r="EQT197" s="2"/>
      <c r="EQU197" s="2"/>
      <c r="EQV197" s="2"/>
      <c r="EQW197" s="2"/>
      <c r="EQX197" s="2"/>
      <c r="EQY197" s="2"/>
      <c r="EQZ197" s="2"/>
      <c r="ERA197" s="2"/>
      <c r="ERB197" s="2"/>
      <c r="ERC197" s="2"/>
      <c r="ERD197" s="2"/>
      <c r="ERE197" s="2"/>
      <c r="ERF197" s="2"/>
      <c r="ERG197" s="2"/>
      <c r="ERH197" s="2"/>
      <c r="ERI197" s="2"/>
      <c r="ERJ197" s="2"/>
      <c r="ERK197" s="2"/>
      <c r="ERL197" s="2"/>
      <c r="ERM197" s="2"/>
      <c r="ERN197" s="2"/>
      <c r="ERO197" s="2"/>
      <c r="ERP197" s="2"/>
      <c r="ERQ197" s="2"/>
      <c r="ERR197" s="2"/>
      <c r="ERS197" s="2"/>
      <c r="ERT197" s="2"/>
      <c r="ERU197" s="2"/>
      <c r="ERV197" s="2"/>
      <c r="ERW197" s="2"/>
      <c r="ERX197" s="2"/>
      <c r="ERY197" s="2"/>
      <c r="ERZ197" s="2"/>
      <c r="ESA197" s="2"/>
      <c r="ESB197" s="2"/>
      <c r="ESC197" s="2"/>
      <c r="ESD197" s="2"/>
      <c r="ESE197" s="2"/>
      <c r="ESF197" s="2"/>
      <c r="ESG197" s="2"/>
      <c r="ESH197" s="2"/>
      <c r="ESI197" s="2"/>
      <c r="ESJ197" s="2"/>
      <c r="ESK197" s="2"/>
      <c r="ESL197" s="2"/>
      <c r="ESM197" s="2"/>
      <c r="ESN197" s="2"/>
      <c r="ESO197" s="2"/>
      <c r="ESP197" s="2"/>
      <c r="ESQ197" s="2"/>
      <c r="ESR197" s="2"/>
      <c r="ESS197" s="2"/>
      <c r="EST197" s="2"/>
      <c r="ESU197" s="2"/>
      <c r="ESV197" s="2"/>
      <c r="ESW197" s="2"/>
      <c r="ESX197" s="2"/>
      <c r="ESY197" s="2"/>
      <c r="ESZ197" s="2"/>
      <c r="ETA197" s="2"/>
      <c r="ETB197" s="2"/>
      <c r="ETC197" s="2"/>
      <c r="ETD197" s="2"/>
      <c r="ETE197" s="2"/>
      <c r="ETF197" s="2"/>
      <c r="ETG197" s="2"/>
      <c r="ETH197" s="2"/>
      <c r="ETI197" s="2"/>
      <c r="ETJ197" s="2"/>
      <c r="ETK197" s="2"/>
      <c r="ETL197" s="2"/>
      <c r="ETM197" s="2"/>
      <c r="ETN197" s="2"/>
      <c r="ETO197" s="2"/>
      <c r="ETP197" s="2"/>
      <c r="ETQ197" s="2"/>
      <c r="ETR197" s="2"/>
      <c r="ETS197" s="2"/>
      <c r="ETT197" s="2"/>
      <c r="ETU197" s="2"/>
      <c r="ETV197" s="2"/>
      <c r="ETW197" s="2"/>
      <c r="ETX197" s="2"/>
      <c r="ETY197" s="2"/>
      <c r="ETZ197" s="2"/>
      <c r="EUA197" s="2"/>
      <c r="EUB197" s="2"/>
      <c r="EUC197" s="2"/>
      <c r="EUD197" s="2"/>
      <c r="EUE197" s="2"/>
      <c r="EUF197" s="2"/>
      <c r="EUG197" s="2"/>
      <c r="EUH197" s="2"/>
      <c r="EUI197" s="2"/>
      <c r="EUJ197" s="2"/>
      <c r="EUK197" s="2"/>
      <c r="EUL197" s="2"/>
      <c r="EUM197" s="2"/>
      <c r="EUN197" s="2"/>
      <c r="EUO197" s="2"/>
      <c r="EUP197" s="2"/>
      <c r="EUQ197" s="2"/>
      <c r="EUR197" s="2"/>
      <c r="EUS197" s="2"/>
      <c r="EUT197" s="2"/>
      <c r="EUU197" s="2"/>
      <c r="EUV197" s="2"/>
      <c r="EUW197" s="2"/>
      <c r="EUX197" s="2"/>
      <c r="EUY197" s="2"/>
      <c r="EUZ197" s="2"/>
      <c r="EVA197" s="2"/>
      <c r="EVB197" s="2"/>
      <c r="EVC197" s="2"/>
      <c r="EVD197" s="2"/>
      <c r="EVE197" s="2"/>
      <c r="EVF197" s="2"/>
      <c r="EVG197" s="2"/>
      <c r="EVH197" s="2"/>
      <c r="EVI197" s="2"/>
      <c r="EVJ197" s="2"/>
      <c r="EVK197" s="2"/>
      <c r="EVL197" s="2"/>
      <c r="EVM197" s="2"/>
      <c r="EVN197" s="2"/>
      <c r="EVO197" s="2"/>
      <c r="EVP197" s="2"/>
      <c r="EVQ197" s="2"/>
      <c r="EVR197" s="2"/>
      <c r="EVS197" s="2"/>
      <c r="EVT197" s="2"/>
      <c r="EVU197" s="2"/>
      <c r="EVV197" s="2"/>
      <c r="EVW197" s="2"/>
      <c r="EVX197" s="2"/>
      <c r="EVY197" s="2"/>
      <c r="EVZ197" s="2"/>
      <c r="EWA197" s="2"/>
      <c r="EWB197" s="2"/>
      <c r="EWC197" s="2"/>
      <c r="EWD197" s="2"/>
      <c r="EWE197" s="2"/>
      <c r="EWF197" s="2"/>
      <c r="EWG197" s="2"/>
      <c r="EWH197" s="2"/>
      <c r="EWI197" s="2"/>
      <c r="EWJ197" s="2"/>
      <c r="EWK197" s="2"/>
      <c r="EWL197" s="2"/>
      <c r="EWM197" s="2"/>
      <c r="EWN197" s="2"/>
      <c r="EWO197" s="2"/>
      <c r="EWP197" s="2"/>
      <c r="EWQ197" s="2"/>
      <c r="EWR197" s="2"/>
      <c r="EWS197" s="2"/>
      <c r="EWT197" s="2"/>
      <c r="EWU197" s="2"/>
      <c r="EWV197" s="2"/>
      <c r="EWW197" s="2"/>
      <c r="EWX197" s="2"/>
      <c r="EWY197" s="2"/>
      <c r="EWZ197" s="2"/>
      <c r="EXA197" s="2"/>
      <c r="EXB197" s="2"/>
      <c r="EXC197" s="2"/>
      <c r="EXD197" s="2"/>
      <c r="EXE197" s="2"/>
      <c r="EXF197" s="2"/>
      <c r="EXG197" s="2"/>
      <c r="EXH197" s="2"/>
      <c r="EXI197" s="2"/>
      <c r="EXJ197" s="2"/>
      <c r="EXK197" s="2"/>
      <c r="EXL197" s="2"/>
      <c r="EXM197" s="2"/>
      <c r="EXN197" s="2"/>
      <c r="EXO197" s="2"/>
      <c r="EXP197" s="2"/>
      <c r="EXQ197" s="2"/>
      <c r="EXR197" s="2"/>
      <c r="EXS197" s="2"/>
      <c r="EXT197" s="2"/>
      <c r="EXU197" s="2"/>
      <c r="EXV197" s="2"/>
      <c r="EXW197" s="2"/>
      <c r="EXX197" s="2"/>
      <c r="EXY197" s="2"/>
      <c r="EXZ197" s="2"/>
      <c r="EYA197" s="2"/>
      <c r="EYB197" s="2"/>
      <c r="EYC197" s="2"/>
      <c r="EYD197" s="2"/>
      <c r="EYE197" s="2"/>
      <c r="EYF197" s="2"/>
      <c r="EYG197" s="2"/>
      <c r="EYH197" s="2"/>
      <c r="EYI197" s="2"/>
      <c r="EYJ197" s="2"/>
      <c r="EYK197" s="2"/>
      <c r="EYL197" s="2"/>
      <c r="EYM197" s="2"/>
      <c r="EYN197" s="2"/>
      <c r="EYO197" s="2"/>
      <c r="EYP197" s="2"/>
      <c r="EYQ197" s="2"/>
      <c r="EYR197" s="2"/>
      <c r="EYS197" s="2"/>
      <c r="EYT197" s="2"/>
      <c r="EYU197" s="2"/>
      <c r="EYV197" s="2"/>
      <c r="EYW197" s="2"/>
      <c r="EYX197" s="2"/>
      <c r="EYY197" s="2"/>
      <c r="EYZ197" s="2"/>
      <c r="EZA197" s="2"/>
      <c r="EZB197" s="2"/>
      <c r="EZC197" s="2"/>
      <c r="EZD197" s="2"/>
      <c r="EZE197" s="2"/>
      <c r="EZF197" s="2"/>
      <c r="EZG197" s="2"/>
      <c r="EZH197" s="2"/>
      <c r="EZI197" s="2"/>
      <c r="EZJ197" s="2"/>
      <c r="EZK197" s="2"/>
      <c r="EZL197" s="2"/>
      <c r="EZM197" s="2"/>
      <c r="EZN197" s="2"/>
      <c r="EZO197" s="2"/>
      <c r="EZP197" s="2"/>
      <c r="EZQ197" s="2"/>
      <c r="EZR197" s="2"/>
      <c r="EZS197" s="2"/>
      <c r="EZT197" s="2"/>
      <c r="EZU197" s="2"/>
      <c r="EZV197" s="2"/>
      <c r="EZW197" s="2"/>
      <c r="EZX197" s="2"/>
      <c r="EZY197" s="2"/>
      <c r="EZZ197" s="2"/>
      <c r="FAA197" s="2"/>
      <c r="FAB197" s="2"/>
      <c r="FAC197" s="2"/>
      <c r="FAD197" s="2"/>
      <c r="FAE197" s="2"/>
      <c r="FAF197" s="2"/>
      <c r="FAG197" s="2"/>
      <c r="FAH197" s="2"/>
      <c r="FAI197" s="2"/>
      <c r="FAJ197" s="2"/>
      <c r="FAK197" s="2"/>
      <c r="FAL197" s="2"/>
      <c r="FAM197" s="2"/>
      <c r="FAN197" s="2"/>
      <c r="FAO197" s="2"/>
      <c r="FAP197" s="2"/>
      <c r="FAQ197" s="2"/>
      <c r="FAR197" s="2"/>
      <c r="FAS197" s="2"/>
      <c r="FAT197" s="2"/>
      <c r="FAU197" s="2"/>
      <c r="FAV197" s="2"/>
      <c r="FAW197" s="2"/>
      <c r="FAX197" s="2"/>
      <c r="FAY197" s="2"/>
      <c r="FAZ197" s="2"/>
      <c r="FBA197" s="2"/>
      <c r="FBB197" s="2"/>
      <c r="FBC197" s="2"/>
      <c r="FBD197" s="2"/>
      <c r="FBE197" s="2"/>
      <c r="FBF197" s="2"/>
      <c r="FBG197" s="2"/>
      <c r="FBH197" s="2"/>
      <c r="FBI197" s="2"/>
      <c r="FBJ197" s="2"/>
      <c r="FBK197" s="2"/>
      <c r="FBL197" s="2"/>
      <c r="FBM197" s="2"/>
      <c r="FBN197" s="2"/>
      <c r="FBO197" s="2"/>
      <c r="FBP197" s="2"/>
      <c r="FBQ197" s="2"/>
      <c r="FBR197" s="2"/>
      <c r="FBS197" s="2"/>
      <c r="FBT197" s="2"/>
      <c r="FBU197" s="2"/>
      <c r="FBV197" s="2"/>
      <c r="FBW197" s="2"/>
      <c r="FBX197" s="2"/>
      <c r="FBY197" s="2"/>
      <c r="FBZ197" s="2"/>
      <c r="FCA197" s="2"/>
      <c r="FCB197" s="2"/>
      <c r="FCC197" s="2"/>
      <c r="FCD197" s="2"/>
      <c r="FCE197" s="2"/>
      <c r="FCF197" s="2"/>
      <c r="FCG197" s="2"/>
      <c r="FCH197" s="2"/>
      <c r="FCI197" s="2"/>
      <c r="FCJ197" s="2"/>
      <c r="FCK197" s="2"/>
      <c r="FCL197" s="2"/>
      <c r="FCM197" s="2"/>
      <c r="FCN197" s="2"/>
      <c r="FCO197" s="2"/>
      <c r="FCP197" s="2"/>
      <c r="FCQ197" s="2"/>
      <c r="FCR197" s="2"/>
      <c r="FCS197" s="2"/>
      <c r="FCT197" s="2"/>
      <c r="FCU197" s="2"/>
      <c r="FCV197" s="2"/>
      <c r="FCW197" s="2"/>
      <c r="FCX197" s="2"/>
      <c r="FCY197" s="2"/>
      <c r="FCZ197" s="2"/>
      <c r="FDA197" s="2"/>
      <c r="FDB197" s="2"/>
      <c r="FDC197" s="2"/>
      <c r="FDD197" s="2"/>
      <c r="FDE197" s="2"/>
      <c r="FDF197" s="2"/>
      <c r="FDG197" s="2"/>
      <c r="FDH197" s="2"/>
      <c r="FDI197" s="2"/>
      <c r="FDJ197" s="2"/>
      <c r="FDK197" s="2"/>
      <c r="FDL197" s="2"/>
      <c r="FDM197" s="2"/>
      <c r="FDN197" s="2"/>
      <c r="FDO197" s="2"/>
      <c r="FDP197" s="2"/>
      <c r="FDQ197" s="2"/>
      <c r="FDR197" s="2"/>
      <c r="FDS197" s="2"/>
      <c r="FDT197" s="2"/>
      <c r="FDU197" s="2"/>
      <c r="FDV197" s="2"/>
      <c r="FDW197" s="2"/>
      <c r="FDX197" s="2"/>
      <c r="FDY197" s="2"/>
      <c r="FDZ197" s="2"/>
      <c r="FEA197" s="2"/>
      <c r="FEB197" s="2"/>
      <c r="FEC197" s="2"/>
      <c r="FED197" s="2"/>
      <c r="FEE197" s="2"/>
      <c r="FEF197" s="2"/>
      <c r="FEG197" s="2"/>
      <c r="FEH197" s="2"/>
      <c r="FEI197" s="2"/>
      <c r="FEJ197" s="2"/>
      <c r="FEK197" s="2"/>
      <c r="FEL197" s="2"/>
      <c r="FEM197" s="2"/>
      <c r="FEN197" s="2"/>
      <c r="FEO197" s="2"/>
      <c r="FEP197" s="2"/>
      <c r="FEQ197" s="2"/>
      <c r="FER197" s="2"/>
      <c r="FES197" s="2"/>
      <c r="FET197" s="2"/>
      <c r="FEU197" s="2"/>
      <c r="FEV197" s="2"/>
      <c r="FEW197" s="2"/>
      <c r="FEX197" s="2"/>
      <c r="FEY197" s="2"/>
      <c r="FEZ197" s="2"/>
      <c r="FFA197" s="2"/>
      <c r="FFB197" s="2"/>
      <c r="FFC197" s="2"/>
      <c r="FFD197" s="2"/>
      <c r="FFE197" s="2"/>
      <c r="FFF197" s="2"/>
      <c r="FFG197" s="2"/>
      <c r="FFH197" s="2"/>
      <c r="FFI197" s="2"/>
      <c r="FFJ197" s="2"/>
      <c r="FFK197" s="2"/>
      <c r="FFL197" s="2"/>
      <c r="FFM197" s="2"/>
      <c r="FFN197" s="2"/>
      <c r="FFO197" s="2"/>
      <c r="FFP197" s="2"/>
      <c r="FFQ197" s="2"/>
      <c r="FFR197" s="2"/>
      <c r="FFS197" s="2"/>
      <c r="FFT197" s="2"/>
      <c r="FFU197" s="2"/>
      <c r="FFV197" s="2"/>
      <c r="FFW197" s="2"/>
      <c r="FFX197" s="2"/>
      <c r="FFY197" s="2"/>
      <c r="FFZ197" s="2"/>
      <c r="FGA197" s="2"/>
      <c r="FGB197" s="2"/>
      <c r="FGC197" s="2"/>
      <c r="FGD197" s="2"/>
      <c r="FGE197" s="2"/>
      <c r="FGF197" s="2"/>
      <c r="FGG197" s="2"/>
      <c r="FGH197" s="2"/>
      <c r="FGI197" s="2"/>
      <c r="FGJ197" s="2"/>
      <c r="FGK197" s="2"/>
      <c r="FGL197" s="2"/>
      <c r="FGM197" s="2"/>
      <c r="FGN197" s="2"/>
      <c r="FGO197" s="2"/>
      <c r="FGP197" s="2"/>
      <c r="FGQ197" s="2"/>
      <c r="FGR197" s="2"/>
      <c r="FGS197" s="2"/>
      <c r="FGT197" s="2"/>
      <c r="FGU197" s="2"/>
      <c r="FGV197" s="2"/>
      <c r="FGW197" s="2"/>
      <c r="FGX197" s="2"/>
      <c r="FGY197" s="2"/>
      <c r="FGZ197" s="2"/>
      <c r="FHA197" s="2"/>
      <c r="FHB197" s="2"/>
      <c r="FHC197" s="2"/>
      <c r="FHD197" s="2"/>
      <c r="FHE197" s="2"/>
      <c r="FHF197" s="2"/>
      <c r="FHG197" s="2"/>
      <c r="FHH197" s="2"/>
      <c r="FHI197" s="2"/>
      <c r="FHJ197" s="2"/>
      <c r="FHK197" s="2"/>
      <c r="FHL197" s="2"/>
      <c r="FHM197" s="2"/>
      <c r="FHN197" s="2"/>
      <c r="FHO197" s="2"/>
      <c r="FHP197" s="2"/>
      <c r="FHQ197" s="2"/>
      <c r="FHR197" s="2"/>
      <c r="FHS197" s="2"/>
      <c r="FHT197" s="2"/>
      <c r="FHU197" s="2"/>
      <c r="FHV197" s="2"/>
      <c r="FHW197" s="2"/>
      <c r="FHX197" s="2"/>
      <c r="FHY197" s="2"/>
      <c r="FHZ197" s="2"/>
      <c r="FIA197" s="2"/>
      <c r="FIB197" s="2"/>
      <c r="FIC197" s="2"/>
      <c r="FID197" s="2"/>
      <c r="FIE197" s="2"/>
      <c r="FIF197" s="2"/>
      <c r="FIG197" s="2"/>
      <c r="FIH197" s="2"/>
      <c r="FII197" s="2"/>
      <c r="FIJ197" s="2"/>
      <c r="FIK197" s="2"/>
      <c r="FIL197" s="2"/>
      <c r="FIM197" s="2"/>
      <c r="FIN197" s="2"/>
      <c r="FIO197" s="2"/>
      <c r="FIP197" s="2"/>
      <c r="FIQ197" s="2"/>
      <c r="FIR197" s="2"/>
      <c r="FIS197" s="2"/>
      <c r="FIT197" s="2"/>
      <c r="FIU197" s="2"/>
      <c r="FIV197" s="2"/>
      <c r="FIW197" s="2"/>
      <c r="FIX197" s="2"/>
      <c r="FIY197" s="2"/>
      <c r="FIZ197" s="2"/>
      <c r="FJA197" s="2"/>
      <c r="FJB197" s="2"/>
      <c r="FJC197" s="2"/>
      <c r="FJD197" s="2"/>
      <c r="FJE197" s="2"/>
      <c r="FJF197" s="2"/>
      <c r="FJG197" s="2"/>
      <c r="FJH197" s="2"/>
      <c r="FJI197" s="2"/>
      <c r="FJJ197" s="2"/>
      <c r="FJK197" s="2"/>
      <c r="FJL197" s="2"/>
      <c r="FJM197" s="2"/>
      <c r="FJN197" s="2"/>
      <c r="FJO197" s="2"/>
      <c r="FJP197" s="2"/>
      <c r="FJQ197" s="2"/>
      <c r="FJR197" s="2"/>
      <c r="FJS197" s="2"/>
      <c r="FJT197" s="2"/>
      <c r="FJU197" s="2"/>
      <c r="FJV197" s="2"/>
      <c r="FJW197" s="2"/>
      <c r="FJX197" s="2"/>
      <c r="FJY197" s="2"/>
      <c r="FJZ197" s="2"/>
      <c r="FKA197" s="2"/>
      <c r="FKB197" s="2"/>
      <c r="FKC197" s="2"/>
      <c r="FKD197" s="2"/>
      <c r="FKE197" s="2"/>
      <c r="FKF197" s="2"/>
      <c r="FKG197" s="2"/>
      <c r="FKH197" s="2"/>
      <c r="FKI197" s="2"/>
      <c r="FKJ197" s="2"/>
      <c r="FKK197" s="2"/>
      <c r="FKL197" s="2"/>
      <c r="FKM197" s="2"/>
      <c r="FKN197" s="2"/>
      <c r="FKO197" s="2"/>
      <c r="FKP197" s="2"/>
      <c r="FKQ197" s="2"/>
      <c r="FKR197" s="2"/>
      <c r="FKS197" s="2"/>
      <c r="FKT197" s="2"/>
      <c r="FKU197" s="2"/>
      <c r="FKV197" s="2"/>
      <c r="FKW197" s="2"/>
      <c r="FKX197" s="2"/>
      <c r="FKY197" s="2"/>
      <c r="FKZ197" s="2"/>
      <c r="FLA197" s="2"/>
      <c r="FLB197" s="2"/>
      <c r="FLC197" s="2"/>
      <c r="FLD197" s="2"/>
      <c r="FLE197" s="2"/>
      <c r="FLF197" s="2"/>
      <c r="FLG197" s="2"/>
      <c r="FLH197" s="2"/>
      <c r="FLI197" s="2"/>
      <c r="FLJ197" s="2"/>
      <c r="FLK197" s="2"/>
      <c r="FLL197" s="2"/>
      <c r="FLM197" s="2"/>
      <c r="FLN197" s="2"/>
      <c r="FLO197" s="2"/>
      <c r="FLP197" s="2"/>
      <c r="FLQ197" s="2"/>
      <c r="FLR197" s="2"/>
      <c r="FLS197" s="2"/>
      <c r="FLT197" s="2"/>
      <c r="FLU197" s="2"/>
      <c r="FLV197" s="2"/>
      <c r="FLW197" s="2"/>
      <c r="FLX197" s="2"/>
      <c r="FLY197" s="2"/>
      <c r="FLZ197" s="2"/>
      <c r="FMA197" s="2"/>
      <c r="FMB197" s="2"/>
      <c r="FMC197" s="2"/>
      <c r="FMD197" s="2"/>
      <c r="FME197" s="2"/>
      <c r="FMF197" s="2"/>
      <c r="FMG197" s="2"/>
      <c r="FMH197" s="2"/>
      <c r="FMI197" s="2"/>
      <c r="FMJ197" s="2"/>
      <c r="FMK197" s="2"/>
      <c r="FML197" s="2"/>
      <c r="FMM197" s="2"/>
      <c r="FMN197" s="2"/>
      <c r="FMO197" s="2"/>
      <c r="FMP197" s="2"/>
      <c r="FMQ197" s="2"/>
      <c r="FMR197" s="2"/>
      <c r="FMS197" s="2"/>
      <c r="FMT197" s="2"/>
      <c r="FMU197" s="2"/>
      <c r="FMV197" s="2"/>
      <c r="FMW197" s="2"/>
      <c r="FMX197" s="2"/>
      <c r="FMY197" s="2"/>
      <c r="FMZ197" s="2"/>
      <c r="FNA197" s="2"/>
      <c r="FNB197" s="2"/>
      <c r="FNC197" s="2"/>
      <c r="FND197" s="2"/>
      <c r="FNE197" s="2"/>
      <c r="FNF197" s="2"/>
      <c r="FNG197" s="2"/>
      <c r="FNH197" s="2"/>
      <c r="FNI197" s="2"/>
      <c r="FNJ197" s="2"/>
      <c r="FNK197" s="2"/>
      <c r="FNL197" s="2"/>
      <c r="FNM197" s="2"/>
      <c r="FNN197" s="2"/>
      <c r="FNO197" s="2"/>
      <c r="FNP197" s="2"/>
      <c r="FNQ197" s="2"/>
      <c r="FNR197" s="2"/>
      <c r="FNS197" s="2"/>
      <c r="FNT197" s="2"/>
      <c r="FNU197" s="2"/>
      <c r="FNV197" s="2"/>
      <c r="FNW197" s="2"/>
      <c r="FNX197" s="2"/>
      <c r="FNY197" s="2"/>
      <c r="FNZ197" s="2"/>
      <c r="FOA197" s="2"/>
      <c r="FOB197" s="2"/>
      <c r="FOC197" s="2"/>
      <c r="FOD197" s="2"/>
      <c r="FOE197" s="2"/>
      <c r="FOF197" s="2"/>
      <c r="FOG197" s="2"/>
      <c r="FOH197" s="2"/>
      <c r="FOI197" s="2"/>
      <c r="FOJ197" s="2"/>
      <c r="FOK197" s="2"/>
      <c r="FOL197" s="2"/>
      <c r="FOM197" s="2"/>
      <c r="FON197" s="2"/>
      <c r="FOO197" s="2"/>
      <c r="FOP197" s="2"/>
      <c r="FOQ197" s="2"/>
      <c r="FOR197" s="2"/>
      <c r="FOS197" s="2"/>
      <c r="FOT197" s="2"/>
      <c r="FOU197" s="2"/>
      <c r="FOV197" s="2"/>
      <c r="FOW197" s="2"/>
      <c r="FOX197" s="2"/>
      <c r="FOY197" s="2"/>
      <c r="FOZ197" s="2"/>
      <c r="FPA197" s="2"/>
      <c r="FPB197" s="2"/>
      <c r="FPC197" s="2"/>
      <c r="FPD197" s="2"/>
      <c r="FPE197" s="2"/>
      <c r="FPF197" s="2"/>
      <c r="FPG197" s="2"/>
      <c r="FPH197" s="2"/>
      <c r="FPI197" s="2"/>
      <c r="FPJ197" s="2"/>
      <c r="FPK197" s="2"/>
      <c r="FPL197" s="2"/>
      <c r="FPM197" s="2"/>
      <c r="FPN197" s="2"/>
      <c r="FPO197" s="2"/>
      <c r="FPP197" s="2"/>
      <c r="FPQ197" s="2"/>
      <c r="FPR197" s="2"/>
      <c r="FPS197" s="2"/>
      <c r="FPT197" s="2"/>
      <c r="FPU197" s="2"/>
      <c r="FPV197" s="2"/>
      <c r="FPW197" s="2"/>
      <c r="FPX197" s="2"/>
      <c r="FPY197" s="2"/>
      <c r="FPZ197" s="2"/>
      <c r="FQA197" s="2"/>
      <c r="FQB197" s="2"/>
      <c r="FQC197" s="2"/>
      <c r="FQD197" s="2"/>
      <c r="FQE197" s="2"/>
      <c r="FQF197" s="2"/>
      <c r="FQG197" s="2"/>
      <c r="FQH197" s="2"/>
      <c r="FQI197" s="2"/>
      <c r="FQJ197" s="2"/>
      <c r="FQK197" s="2"/>
      <c r="FQL197" s="2"/>
      <c r="FQM197" s="2"/>
      <c r="FQN197" s="2"/>
      <c r="FQO197" s="2"/>
      <c r="FQP197" s="2"/>
      <c r="FQQ197" s="2"/>
      <c r="FQR197" s="2"/>
      <c r="FQS197" s="2"/>
      <c r="FQT197" s="2"/>
      <c r="FQU197" s="2"/>
      <c r="FQV197" s="2"/>
      <c r="FQW197" s="2"/>
      <c r="FQX197" s="2"/>
      <c r="FQY197" s="2"/>
      <c r="FQZ197" s="2"/>
      <c r="FRA197" s="2"/>
      <c r="FRB197" s="2"/>
      <c r="FRC197" s="2"/>
      <c r="FRD197" s="2"/>
      <c r="FRE197" s="2"/>
      <c r="FRF197" s="2"/>
      <c r="FRG197" s="2"/>
      <c r="FRH197" s="2"/>
      <c r="FRI197" s="2"/>
      <c r="FRJ197" s="2"/>
      <c r="FRK197" s="2"/>
      <c r="FRL197" s="2"/>
      <c r="FRM197" s="2"/>
      <c r="FRN197" s="2"/>
      <c r="FRO197" s="2"/>
      <c r="FRP197" s="2"/>
      <c r="FRQ197" s="2"/>
      <c r="FRR197" s="2"/>
      <c r="FRS197" s="2"/>
      <c r="FRT197" s="2"/>
      <c r="FRU197" s="2"/>
      <c r="FRV197" s="2"/>
      <c r="FRW197" s="2"/>
      <c r="FRX197" s="2"/>
      <c r="FRY197" s="2"/>
      <c r="FRZ197" s="2"/>
      <c r="FSA197" s="2"/>
      <c r="FSB197" s="2"/>
      <c r="FSC197" s="2"/>
      <c r="FSD197" s="2"/>
      <c r="FSE197" s="2"/>
      <c r="FSF197" s="2"/>
      <c r="FSG197" s="2"/>
      <c r="FSH197" s="2"/>
      <c r="FSI197" s="2"/>
      <c r="FSJ197" s="2"/>
      <c r="FSK197" s="2"/>
      <c r="FSL197" s="2"/>
      <c r="FSM197" s="2"/>
      <c r="FSN197" s="2"/>
      <c r="FSO197" s="2"/>
      <c r="FSP197" s="2"/>
      <c r="FSQ197" s="2"/>
      <c r="FSR197" s="2"/>
      <c r="FSS197" s="2"/>
      <c r="FST197" s="2"/>
      <c r="FSU197" s="2"/>
      <c r="FSV197" s="2"/>
      <c r="FSW197" s="2"/>
      <c r="FSX197" s="2"/>
      <c r="FSY197" s="2"/>
      <c r="FSZ197" s="2"/>
      <c r="FTA197" s="2"/>
      <c r="FTB197" s="2"/>
      <c r="FTC197" s="2"/>
      <c r="FTD197" s="2"/>
      <c r="FTE197" s="2"/>
      <c r="FTF197" s="2"/>
      <c r="FTG197" s="2"/>
      <c r="FTH197" s="2"/>
      <c r="FTI197" s="2"/>
      <c r="FTJ197" s="2"/>
      <c r="FTK197" s="2"/>
      <c r="FTL197" s="2"/>
      <c r="FTM197" s="2"/>
      <c r="FTN197" s="2"/>
      <c r="FTO197" s="2"/>
      <c r="FTP197" s="2"/>
      <c r="FTQ197" s="2"/>
      <c r="FTR197" s="2"/>
      <c r="FTS197" s="2"/>
      <c r="FTT197" s="2"/>
      <c r="FTU197" s="2"/>
      <c r="FTV197" s="2"/>
      <c r="FTW197" s="2"/>
      <c r="FTX197" s="2"/>
      <c r="FTY197" s="2"/>
      <c r="FTZ197" s="2"/>
      <c r="FUA197" s="2"/>
      <c r="FUB197" s="2"/>
      <c r="FUC197" s="2"/>
      <c r="FUD197" s="2"/>
      <c r="FUE197" s="2"/>
      <c r="FUF197" s="2"/>
      <c r="FUG197" s="2"/>
      <c r="FUH197" s="2"/>
      <c r="FUI197" s="2"/>
      <c r="FUJ197" s="2"/>
      <c r="FUK197" s="2"/>
      <c r="FUL197" s="2"/>
      <c r="FUM197" s="2"/>
      <c r="FUN197" s="2"/>
      <c r="FUO197" s="2"/>
      <c r="FUP197" s="2"/>
      <c r="FUQ197" s="2"/>
      <c r="FUR197" s="2"/>
      <c r="FUS197" s="2"/>
      <c r="FUT197" s="2"/>
      <c r="FUU197" s="2"/>
      <c r="FUV197" s="2"/>
      <c r="FUW197" s="2"/>
      <c r="FUX197" s="2"/>
      <c r="FUY197" s="2"/>
      <c r="FUZ197" s="2"/>
      <c r="FVA197" s="2"/>
      <c r="FVB197" s="2"/>
      <c r="FVC197" s="2"/>
      <c r="FVD197" s="2"/>
      <c r="FVE197" s="2"/>
      <c r="FVF197" s="2"/>
      <c r="FVG197" s="2"/>
      <c r="FVH197" s="2"/>
      <c r="FVI197" s="2"/>
      <c r="FVJ197" s="2"/>
      <c r="FVK197" s="2"/>
      <c r="FVL197" s="2"/>
      <c r="FVM197" s="2"/>
      <c r="FVN197" s="2"/>
      <c r="FVO197" s="2"/>
      <c r="FVP197" s="2"/>
      <c r="FVQ197" s="2"/>
      <c r="FVR197" s="2"/>
      <c r="FVS197" s="2"/>
      <c r="FVT197" s="2"/>
      <c r="FVU197" s="2"/>
      <c r="FVV197" s="2"/>
      <c r="FVW197" s="2"/>
      <c r="FVX197" s="2"/>
      <c r="FVY197" s="2"/>
      <c r="FVZ197" s="2"/>
      <c r="FWA197" s="2"/>
      <c r="FWB197" s="2"/>
      <c r="FWC197" s="2"/>
      <c r="FWD197" s="2"/>
      <c r="FWE197" s="2"/>
      <c r="FWF197" s="2"/>
      <c r="FWG197" s="2"/>
      <c r="FWH197" s="2"/>
      <c r="FWI197" s="2"/>
      <c r="FWJ197" s="2"/>
      <c r="FWK197" s="2"/>
      <c r="FWL197" s="2"/>
      <c r="FWM197" s="2"/>
      <c r="FWN197" s="2"/>
      <c r="FWO197" s="2"/>
      <c r="FWP197" s="2"/>
      <c r="FWQ197" s="2"/>
      <c r="FWR197" s="2"/>
      <c r="FWS197" s="2"/>
      <c r="FWT197" s="2"/>
      <c r="FWU197" s="2"/>
      <c r="FWV197" s="2"/>
      <c r="FWW197" s="2"/>
      <c r="FWX197" s="2"/>
      <c r="FWY197" s="2"/>
      <c r="FWZ197" s="2"/>
      <c r="FXA197" s="2"/>
      <c r="FXB197" s="2"/>
      <c r="FXC197" s="2"/>
      <c r="FXD197" s="2"/>
      <c r="FXE197" s="2"/>
      <c r="FXF197" s="2"/>
      <c r="FXG197" s="2"/>
      <c r="FXH197" s="2"/>
      <c r="FXI197" s="2"/>
      <c r="FXJ197" s="2"/>
      <c r="FXK197" s="2"/>
      <c r="FXL197" s="2"/>
      <c r="FXM197" s="2"/>
      <c r="FXN197" s="2"/>
      <c r="FXO197" s="2"/>
      <c r="FXP197" s="2"/>
      <c r="FXQ197" s="2"/>
      <c r="FXR197" s="2"/>
      <c r="FXS197" s="2"/>
      <c r="FXT197" s="2"/>
      <c r="FXU197" s="2"/>
      <c r="FXV197" s="2"/>
      <c r="FXW197" s="2"/>
      <c r="FXX197" s="2"/>
      <c r="FXY197" s="2"/>
      <c r="FXZ197" s="2"/>
      <c r="FYA197" s="2"/>
      <c r="FYB197" s="2"/>
      <c r="FYC197" s="2"/>
      <c r="FYD197" s="2"/>
      <c r="FYE197" s="2"/>
      <c r="FYF197" s="2"/>
      <c r="FYG197" s="2"/>
      <c r="FYH197" s="2"/>
      <c r="FYI197" s="2"/>
      <c r="FYJ197" s="2"/>
      <c r="FYK197" s="2"/>
      <c r="FYL197" s="2"/>
      <c r="FYM197" s="2"/>
      <c r="FYN197" s="2"/>
      <c r="FYO197" s="2"/>
      <c r="FYP197" s="2"/>
      <c r="FYQ197" s="2"/>
      <c r="FYR197" s="2"/>
      <c r="FYS197" s="2"/>
      <c r="FYT197" s="2"/>
      <c r="FYU197" s="2"/>
      <c r="FYV197" s="2"/>
      <c r="FYW197" s="2"/>
      <c r="FYX197" s="2"/>
      <c r="FYY197" s="2"/>
      <c r="FYZ197" s="2"/>
      <c r="FZA197" s="2"/>
      <c r="FZB197" s="2"/>
      <c r="FZC197" s="2"/>
      <c r="FZD197" s="2"/>
      <c r="FZE197" s="2"/>
      <c r="FZF197" s="2"/>
      <c r="FZG197" s="2"/>
      <c r="FZH197" s="2"/>
      <c r="FZI197" s="2"/>
      <c r="FZJ197" s="2"/>
      <c r="FZK197" s="2"/>
      <c r="FZL197" s="2"/>
      <c r="FZM197" s="2"/>
      <c r="FZN197" s="2"/>
      <c r="FZO197" s="2"/>
      <c r="FZP197" s="2"/>
      <c r="FZQ197" s="2"/>
      <c r="FZR197" s="2"/>
      <c r="FZS197" s="2"/>
      <c r="FZT197" s="2"/>
      <c r="FZU197" s="2"/>
      <c r="FZV197" s="2"/>
      <c r="FZW197" s="2"/>
      <c r="FZX197" s="2"/>
      <c r="FZY197" s="2"/>
      <c r="FZZ197" s="2"/>
      <c r="GAA197" s="2"/>
      <c r="GAB197" s="2"/>
      <c r="GAC197" s="2"/>
      <c r="GAD197" s="2"/>
      <c r="GAE197" s="2"/>
      <c r="GAF197" s="2"/>
      <c r="GAG197" s="2"/>
      <c r="GAH197" s="2"/>
      <c r="GAI197" s="2"/>
      <c r="GAJ197" s="2"/>
      <c r="GAK197" s="2"/>
      <c r="GAL197" s="2"/>
      <c r="GAM197" s="2"/>
      <c r="GAN197" s="2"/>
      <c r="GAO197" s="2"/>
      <c r="GAP197" s="2"/>
      <c r="GAQ197" s="2"/>
      <c r="GAR197" s="2"/>
      <c r="GAS197" s="2"/>
      <c r="GAT197" s="2"/>
      <c r="GAU197" s="2"/>
      <c r="GAV197" s="2"/>
      <c r="GAW197" s="2"/>
      <c r="GAX197" s="2"/>
      <c r="GAY197" s="2"/>
      <c r="GAZ197" s="2"/>
      <c r="GBA197" s="2"/>
      <c r="GBB197" s="2"/>
      <c r="GBC197" s="2"/>
      <c r="GBD197" s="2"/>
      <c r="GBE197" s="2"/>
      <c r="GBF197" s="2"/>
      <c r="GBG197" s="2"/>
      <c r="GBH197" s="2"/>
      <c r="GBI197" s="2"/>
      <c r="GBJ197" s="2"/>
      <c r="GBK197" s="2"/>
      <c r="GBL197" s="2"/>
      <c r="GBM197" s="2"/>
      <c r="GBN197" s="2"/>
      <c r="GBO197" s="2"/>
      <c r="GBP197" s="2"/>
      <c r="GBQ197" s="2"/>
      <c r="GBR197" s="2"/>
      <c r="GBS197" s="2"/>
      <c r="GBT197" s="2"/>
      <c r="GBU197" s="2"/>
      <c r="GBV197" s="2"/>
      <c r="GBW197" s="2"/>
      <c r="GBX197" s="2"/>
      <c r="GBY197" s="2"/>
      <c r="GBZ197" s="2"/>
      <c r="GCA197" s="2"/>
      <c r="GCB197" s="2"/>
      <c r="GCC197" s="2"/>
      <c r="GCD197" s="2"/>
      <c r="GCE197" s="2"/>
      <c r="GCF197" s="2"/>
      <c r="GCG197" s="2"/>
      <c r="GCH197" s="2"/>
      <c r="GCI197" s="2"/>
      <c r="GCJ197" s="2"/>
      <c r="GCK197" s="2"/>
      <c r="GCL197" s="2"/>
      <c r="GCM197" s="2"/>
      <c r="GCN197" s="2"/>
      <c r="GCO197" s="2"/>
      <c r="GCP197" s="2"/>
      <c r="GCQ197" s="2"/>
      <c r="GCR197" s="2"/>
      <c r="GCS197" s="2"/>
      <c r="GCT197" s="2"/>
      <c r="GCU197" s="2"/>
      <c r="GCV197" s="2"/>
      <c r="GCW197" s="2"/>
      <c r="GCX197" s="2"/>
      <c r="GCY197" s="2"/>
      <c r="GCZ197" s="2"/>
      <c r="GDA197" s="2"/>
      <c r="GDB197" s="2"/>
      <c r="GDC197" s="2"/>
      <c r="GDD197" s="2"/>
      <c r="GDE197" s="2"/>
      <c r="GDF197" s="2"/>
      <c r="GDG197" s="2"/>
      <c r="GDH197" s="2"/>
      <c r="GDI197" s="2"/>
      <c r="GDJ197" s="2"/>
      <c r="GDK197" s="2"/>
      <c r="GDL197" s="2"/>
      <c r="GDM197" s="2"/>
      <c r="GDN197" s="2"/>
      <c r="GDO197" s="2"/>
      <c r="GDP197" s="2"/>
      <c r="GDQ197" s="2"/>
      <c r="GDR197" s="2"/>
      <c r="GDS197" s="2"/>
      <c r="GDT197" s="2"/>
      <c r="GDU197" s="2"/>
      <c r="GDV197" s="2"/>
      <c r="GDW197" s="2"/>
      <c r="GDX197" s="2"/>
      <c r="GDY197" s="2"/>
      <c r="GDZ197" s="2"/>
      <c r="GEA197" s="2"/>
      <c r="GEB197" s="2"/>
      <c r="GEC197" s="2"/>
      <c r="GED197" s="2"/>
      <c r="GEE197" s="2"/>
      <c r="GEF197" s="2"/>
      <c r="GEG197" s="2"/>
      <c r="GEH197" s="2"/>
      <c r="GEI197" s="2"/>
      <c r="GEJ197" s="2"/>
      <c r="GEK197" s="2"/>
      <c r="GEL197" s="2"/>
      <c r="GEM197" s="2"/>
      <c r="GEN197" s="2"/>
      <c r="GEO197" s="2"/>
      <c r="GEP197" s="2"/>
      <c r="GEQ197" s="2"/>
      <c r="GER197" s="2"/>
      <c r="GES197" s="2"/>
      <c r="GET197" s="2"/>
      <c r="GEU197" s="2"/>
      <c r="GEV197" s="2"/>
      <c r="GEW197" s="2"/>
      <c r="GEX197" s="2"/>
      <c r="GEY197" s="2"/>
      <c r="GEZ197" s="2"/>
      <c r="GFA197" s="2"/>
      <c r="GFB197" s="2"/>
      <c r="GFC197" s="2"/>
      <c r="GFD197" s="2"/>
      <c r="GFE197" s="2"/>
      <c r="GFF197" s="2"/>
      <c r="GFG197" s="2"/>
      <c r="GFH197" s="2"/>
      <c r="GFI197" s="2"/>
      <c r="GFJ197" s="2"/>
      <c r="GFK197" s="2"/>
      <c r="GFL197" s="2"/>
      <c r="GFM197" s="2"/>
      <c r="GFN197" s="2"/>
      <c r="GFO197" s="2"/>
      <c r="GFP197" s="2"/>
      <c r="GFQ197" s="2"/>
      <c r="GFR197" s="2"/>
      <c r="GFS197" s="2"/>
      <c r="GFT197" s="2"/>
      <c r="GFU197" s="2"/>
      <c r="GFV197" s="2"/>
      <c r="GFW197" s="2"/>
      <c r="GFX197" s="2"/>
      <c r="GFY197" s="2"/>
      <c r="GFZ197" s="2"/>
      <c r="GGA197" s="2"/>
      <c r="GGB197" s="2"/>
      <c r="GGC197" s="2"/>
      <c r="GGD197" s="2"/>
      <c r="GGE197" s="2"/>
      <c r="GGF197" s="2"/>
      <c r="GGG197" s="2"/>
      <c r="GGH197" s="2"/>
      <c r="GGI197" s="2"/>
      <c r="GGJ197" s="2"/>
      <c r="GGK197" s="2"/>
      <c r="GGL197" s="2"/>
      <c r="GGM197" s="2"/>
      <c r="GGN197" s="2"/>
      <c r="GGO197" s="2"/>
      <c r="GGP197" s="2"/>
      <c r="GGQ197" s="2"/>
      <c r="GGR197" s="2"/>
      <c r="GGS197" s="2"/>
      <c r="GGT197" s="2"/>
      <c r="GGU197" s="2"/>
      <c r="GGV197" s="2"/>
      <c r="GGW197" s="2"/>
      <c r="GGX197" s="2"/>
      <c r="GGY197" s="2"/>
      <c r="GGZ197" s="2"/>
      <c r="GHA197" s="2"/>
      <c r="GHB197" s="2"/>
      <c r="GHC197" s="2"/>
      <c r="GHD197" s="2"/>
      <c r="GHE197" s="2"/>
      <c r="GHF197" s="2"/>
      <c r="GHG197" s="2"/>
      <c r="GHH197" s="2"/>
      <c r="GHI197" s="2"/>
      <c r="GHJ197" s="2"/>
      <c r="GHK197" s="2"/>
      <c r="GHL197" s="2"/>
      <c r="GHM197" s="2"/>
      <c r="GHN197" s="2"/>
      <c r="GHO197" s="2"/>
      <c r="GHP197" s="2"/>
      <c r="GHQ197" s="2"/>
      <c r="GHR197" s="2"/>
      <c r="GHS197" s="2"/>
      <c r="GHT197" s="2"/>
      <c r="GHU197" s="2"/>
      <c r="GHV197" s="2"/>
      <c r="GHW197" s="2"/>
      <c r="GHX197" s="2"/>
      <c r="GHY197" s="2"/>
      <c r="GHZ197" s="2"/>
      <c r="GIA197" s="2"/>
      <c r="GIB197" s="2"/>
      <c r="GIC197" s="2"/>
      <c r="GID197" s="2"/>
      <c r="GIE197" s="2"/>
      <c r="GIF197" s="2"/>
      <c r="GIG197" s="2"/>
      <c r="GIH197" s="2"/>
      <c r="GII197" s="2"/>
      <c r="GIJ197" s="2"/>
      <c r="GIK197" s="2"/>
      <c r="GIL197" s="2"/>
      <c r="GIM197" s="2"/>
      <c r="GIN197" s="2"/>
      <c r="GIO197" s="2"/>
      <c r="GIP197" s="2"/>
      <c r="GIQ197" s="2"/>
      <c r="GIR197" s="2"/>
      <c r="GIS197" s="2"/>
      <c r="GIT197" s="2"/>
      <c r="GIU197" s="2"/>
      <c r="GIV197" s="2"/>
      <c r="GIW197" s="2"/>
      <c r="GIX197" s="2"/>
      <c r="GIY197" s="2"/>
      <c r="GIZ197" s="2"/>
      <c r="GJA197" s="2"/>
      <c r="GJB197" s="2"/>
      <c r="GJC197" s="2"/>
      <c r="GJD197" s="2"/>
      <c r="GJE197" s="2"/>
      <c r="GJF197" s="2"/>
      <c r="GJG197" s="2"/>
      <c r="GJH197" s="2"/>
      <c r="GJI197" s="2"/>
      <c r="GJJ197" s="2"/>
      <c r="GJK197" s="2"/>
      <c r="GJL197" s="2"/>
      <c r="GJM197" s="2"/>
      <c r="GJN197" s="2"/>
      <c r="GJO197" s="2"/>
      <c r="GJP197" s="2"/>
      <c r="GJQ197" s="2"/>
      <c r="GJR197" s="2"/>
      <c r="GJS197" s="2"/>
      <c r="GJT197" s="2"/>
      <c r="GJU197" s="2"/>
      <c r="GJV197" s="2"/>
      <c r="GJW197" s="2"/>
      <c r="GJX197" s="2"/>
      <c r="GJY197" s="2"/>
      <c r="GJZ197" s="2"/>
      <c r="GKA197" s="2"/>
      <c r="GKB197" s="2"/>
      <c r="GKC197" s="2"/>
      <c r="GKD197" s="2"/>
      <c r="GKE197" s="2"/>
      <c r="GKF197" s="2"/>
      <c r="GKG197" s="2"/>
      <c r="GKH197" s="2"/>
      <c r="GKI197" s="2"/>
      <c r="GKJ197" s="2"/>
      <c r="GKK197" s="2"/>
      <c r="GKL197" s="2"/>
      <c r="GKM197" s="2"/>
      <c r="GKN197" s="2"/>
      <c r="GKO197" s="2"/>
      <c r="GKP197" s="2"/>
      <c r="GKQ197" s="2"/>
      <c r="GKR197" s="2"/>
      <c r="GKS197" s="2"/>
      <c r="GKT197" s="2"/>
      <c r="GKU197" s="2"/>
      <c r="GKV197" s="2"/>
      <c r="GKW197" s="2"/>
      <c r="GKX197" s="2"/>
      <c r="GKY197" s="2"/>
      <c r="GKZ197" s="2"/>
      <c r="GLA197" s="2"/>
      <c r="GLB197" s="2"/>
      <c r="GLC197" s="2"/>
      <c r="GLD197" s="2"/>
      <c r="GLE197" s="2"/>
      <c r="GLF197" s="2"/>
      <c r="GLG197" s="2"/>
      <c r="GLH197" s="2"/>
      <c r="GLI197" s="2"/>
      <c r="GLJ197" s="2"/>
      <c r="GLK197" s="2"/>
      <c r="GLL197" s="2"/>
      <c r="GLM197" s="2"/>
      <c r="GLN197" s="2"/>
      <c r="GLO197" s="2"/>
      <c r="GLP197" s="2"/>
      <c r="GLQ197" s="2"/>
      <c r="GLR197" s="2"/>
      <c r="GLS197" s="2"/>
      <c r="GLT197" s="2"/>
      <c r="GLU197" s="2"/>
      <c r="GLV197" s="2"/>
      <c r="GLW197" s="2"/>
      <c r="GLX197" s="2"/>
      <c r="GLY197" s="2"/>
      <c r="GLZ197" s="2"/>
      <c r="GMA197" s="2"/>
      <c r="GMB197" s="2"/>
      <c r="GMC197" s="2"/>
      <c r="GMD197" s="2"/>
      <c r="GME197" s="2"/>
      <c r="GMF197" s="2"/>
      <c r="GMG197" s="2"/>
      <c r="GMH197" s="2"/>
      <c r="GMI197" s="2"/>
      <c r="GMJ197" s="2"/>
      <c r="GMK197" s="2"/>
      <c r="GML197" s="2"/>
      <c r="GMM197" s="2"/>
      <c r="GMN197" s="2"/>
      <c r="GMO197" s="2"/>
      <c r="GMP197" s="2"/>
      <c r="GMQ197" s="2"/>
      <c r="GMR197" s="2"/>
      <c r="GMS197" s="2"/>
      <c r="GMT197" s="2"/>
      <c r="GMU197" s="2"/>
      <c r="GMV197" s="2"/>
      <c r="GMW197" s="2"/>
      <c r="GMX197" s="2"/>
      <c r="GMY197" s="2"/>
      <c r="GMZ197" s="2"/>
      <c r="GNA197" s="2"/>
      <c r="GNB197" s="2"/>
      <c r="GNC197" s="2"/>
      <c r="GND197" s="2"/>
      <c r="GNE197" s="2"/>
      <c r="GNF197" s="2"/>
      <c r="GNG197" s="2"/>
      <c r="GNH197" s="2"/>
      <c r="GNI197" s="2"/>
      <c r="GNJ197" s="2"/>
      <c r="GNK197" s="2"/>
      <c r="GNL197" s="2"/>
      <c r="GNM197" s="2"/>
      <c r="GNN197" s="2"/>
      <c r="GNO197" s="2"/>
      <c r="GNP197" s="2"/>
      <c r="GNQ197" s="2"/>
      <c r="GNR197" s="2"/>
      <c r="GNS197" s="2"/>
      <c r="GNT197" s="2"/>
      <c r="GNU197" s="2"/>
      <c r="GNV197" s="2"/>
      <c r="GNW197" s="2"/>
      <c r="GNX197" s="2"/>
      <c r="GNY197" s="2"/>
      <c r="GNZ197" s="2"/>
      <c r="GOA197" s="2"/>
      <c r="GOB197" s="2"/>
      <c r="GOC197" s="2"/>
      <c r="GOD197" s="2"/>
      <c r="GOE197" s="2"/>
      <c r="GOF197" s="2"/>
      <c r="GOG197" s="2"/>
      <c r="GOH197" s="2"/>
      <c r="GOI197" s="2"/>
      <c r="GOJ197" s="2"/>
      <c r="GOK197" s="2"/>
      <c r="GOL197" s="2"/>
      <c r="GOM197" s="2"/>
      <c r="GON197" s="2"/>
      <c r="GOO197" s="2"/>
      <c r="GOP197" s="2"/>
      <c r="GOQ197" s="2"/>
      <c r="GOR197" s="2"/>
      <c r="GOS197" s="2"/>
      <c r="GOT197" s="2"/>
      <c r="GOU197" s="2"/>
      <c r="GOV197" s="2"/>
      <c r="GOW197" s="2"/>
      <c r="GOX197" s="2"/>
      <c r="GOY197" s="2"/>
      <c r="GOZ197" s="2"/>
      <c r="GPA197" s="2"/>
      <c r="GPB197" s="2"/>
      <c r="GPC197" s="2"/>
      <c r="GPD197" s="2"/>
      <c r="GPE197" s="2"/>
      <c r="GPF197" s="2"/>
      <c r="GPG197" s="2"/>
      <c r="GPH197" s="2"/>
      <c r="GPI197" s="2"/>
      <c r="GPJ197" s="2"/>
      <c r="GPK197" s="2"/>
      <c r="GPL197" s="2"/>
      <c r="GPM197" s="2"/>
      <c r="GPN197" s="2"/>
      <c r="GPO197" s="2"/>
      <c r="GPP197" s="2"/>
      <c r="GPQ197" s="2"/>
      <c r="GPR197" s="2"/>
      <c r="GPS197" s="2"/>
      <c r="GPT197" s="2"/>
      <c r="GPU197" s="2"/>
      <c r="GPV197" s="2"/>
      <c r="GPW197" s="2"/>
      <c r="GPX197" s="2"/>
      <c r="GPY197" s="2"/>
      <c r="GPZ197" s="2"/>
      <c r="GQA197" s="2"/>
      <c r="GQB197" s="2"/>
      <c r="GQC197" s="2"/>
      <c r="GQD197" s="2"/>
      <c r="GQE197" s="2"/>
      <c r="GQF197" s="2"/>
      <c r="GQG197" s="2"/>
      <c r="GQH197" s="2"/>
      <c r="GQI197" s="2"/>
      <c r="GQJ197" s="2"/>
      <c r="GQK197" s="2"/>
      <c r="GQL197" s="2"/>
      <c r="GQM197" s="2"/>
      <c r="GQN197" s="2"/>
      <c r="GQO197" s="2"/>
      <c r="GQP197" s="2"/>
      <c r="GQQ197" s="2"/>
      <c r="GQR197" s="2"/>
      <c r="GQS197" s="2"/>
      <c r="GQT197" s="2"/>
      <c r="GQU197" s="2"/>
      <c r="GQV197" s="2"/>
      <c r="GQW197" s="2"/>
      <c r="GQX197" s="2"/>
      <c r="GQY197" s="2"/>
      <c r="GQZ197" s="2"/>
      <c r="GRA197" s="2"/>
      <c r="GRB197" s="2"/>
      <c r="GRC197" s="2"/>
      <c r="GRD197" s="2"/>
      <c r="GRE197" s="2"/>
      <c r="GRF197" s="2"/>
      <c r="GRG197" s="2"/>
      <c r="GRH197" s="2"/>
      <c r="GRI197" s="2"/>
      <c r="GRJ197" s="2"/>
      <c r="GRK197" s="2"/>
      <c r="GRL197" s="2"/>
      <c r="GRM197" s="2"/>
      <c r="GRN197" s="2"/>
      <c r="GRO197" s="2"/>
      <c r="GRP197" s="2"/>
      <c r="GRQ197" s="2"/>
      <c r="GRR197" s="2"/>
      <c r="GRS197" s="2"/>
      <c r="GRT197" s="2"/>
      <c r="GRU197" s="2"/>
      <c r="GRV197" s="2"/>
      <c r="GRW197" s="2"/>
      <c r="GRX197" s="2"/>
      <c r="GRY197" s="2"/>
      <c r="GRZ197" s="2"/>
      <c r="GSA197" s="2"/>
      <c r="GSB197" s="2"/>
      <c r="GSC197" s="2"/>
      <c r="GSD197" s="2"/>
      <c r="GSE197" s="2"/>
      <c r="GSF197" s="2"/>
      <c r="GSG197" s="2"/>
      <c r="GSH197" s="2"/>
      <c r="GSI197" s="2"/>
      <c r="GSJ197" s="2"/>
      <c r="GSK197" s="2"/>
      <c r="GSL197" s="2"/>
      <c r="GSM197" s="2"/>
      <c r="GSN197" s="2"/>
      <c r="GSO197" s="2"/>
      <c r="GSP197" s="2"/>
      <c r="GSQ197" s="2"/>
      <c r="GSR197" s="2"/>
      <c r="GSS197" s="2"/>
      <c r="GST197" s="2"/>
      <c r="GSU197" s="2"/>
      <c r="GSV197" s="2"/>
      <c r="GSW197" s="2"/>
      <c r="GSX197" s="2"/>
      <c r="GSY197" s="2"/>
      <c r="GSZ197" s="2"/>
      <c r="GTA197" s="2"/>
      <c r="GTB197" s="2"/>
      <c r="GTC197" s="2"/>
      <c r="GTD197" s="2"/>
      <c r="GTE197" s="2"/>
      <c r="GTF197" s="2"/>
      <c r="GTG197" s="2"/>
      <c r="GTH197" s="2"/>
      <c r="GTI197" s="2"/>
      <c r="GTJ197" s="2"/>
      <c r="GTK197" s="2"/>
      <c r="GTL197" s="2"/>
      <c r="GTM197" s="2"/>
      <c r="GTN197" s="2"/>
      <c r="GTO197" s="2"/>
      <c r="GTP197" s="2"/>
      <c r="GTQ197" s="2"/>
      <c r="GTR197" s="2"/>
      <c r="GTS197" s="2"/>
      <c r="GTT197" s="2"/>
      <c r="GTU197" s="2"/>
      <c r="GTV197" s="2"/>
      <c r="GTW197" s="2"/>
      <c r="GTX197" s="2"/>
      <c r="GTY197" s="2"/>
      <c r="GTZ197" s="2"/>
      <c r="GUA197" s="2"/>
      <c r="GUB197" s="2"/>
      <c r="GUC197" s="2"/>
      <c r="GUD197" s="2"/>
      <c r="GUE197" s="2"/>
      <c r="GUF197" s="2"/>
      <c r="GUG197" s="2"/>
      <c r="GUH197" s="2"/>
      <c r="GUI197" s="2"/>
      <c r="GUJ197" s="2"/>
      <c r="GUK197" s="2"/>
      <c r="GUL197" s="2"/>
      <c r="GUM197" s="2"/>
      <c r="GUN197" s="2"/>
      <c r="GUO197" s="2"/>
      <c r="GUP197" s="2"/>
      <c r="GUQ197" s="2"/>
      <c r="GUR197" s="2"/>
      <c r="GUS197" s="2"/>
      <c r="GUT197" s="2"/>
      <c r="GUU197" s="2"/>
      <c r="GUV197" s="2"/>
      <c r="GUW197" s="2"/>
      <c r="GUX197" s="2"/>
      <c r="GUY197" s="2"/>
      <c r="GUZ197" s="2"/>
      <c r="GVA197" s="2"/>
      <c r="GVB197" s="2"/>
      <c r="GVC197" s="2"/>
      <c r="GVD197" s="2"/>
      <c r="GVE197" s="2"/>
      <c r="GVF197" s="2"/>
      <c r="GVG197" s="2"/>
      <c r="GVH197" s="2"/>
      <c r="GVI197" s="2"/>
      <c r="GVJ197" s="2"/>
      <c r="GVK197" s="2"/>
      <c r="GVL197" s="2"/>
      <c r="GVM197" s="2"/>
      <c r="GVN197" s="2"/>
      <c r="GVO197" s="2"/>
      <c r="GVP197" s="2"/>
      <c r="GVQ197" s="2"/>
      <c r="GVR197" s="2"/>
      <c r="GVS197" s="2"/>
      <c r="GVT197" s="2"/>
      <c r="GVU197" s="2"/>
      <c r="GVV197" s="2"/>
      <c r="GVW197" s="2"/>
      <c r="GVX197" s="2"/>
      <c r="GVY197" s="2"/>
      <c r="GVZ197" s="2"/>
      <c r="GWA197" s="2"/>
      <c r="GWB197" s="2"/>
      <c r="GWC197" s="2"/>
      <c r="GWD197" s="2"/>
      <c r="GWE197" s="2"/>
      <c r="GWF197" s="2"/>
      <c r="GWG197" s="2"/>
      <c r="GWH197" s="2"/>
      <c r="GWI197" s="2"/>
      <c r="GWJ197" s="2"/>
      <c r="GWK197" s="2"/>
      <c r="GWL197" s="2"/>
      <c r="GWM197" s="2"/>
      <c r="GWN197" s="2"/>
      <c r="GWO197" s="2"/>
      <c r="GWP197" s="2"/>
      <c r="GWQ197" s="2"/>
      <c r="GWR197" s="2"/>
      <c r="GWS197" s="2"/>
      <c r="GWT197" s="2"/>
      <c r="GWU197" s="2"/>
      <c r="GWV197" s="2"/>
      <c r="GWW197" s="2"/>
      <c r="GWX197" s="2"/>
      <c r="GWY197" s="2"/>
      <c r="GWZ197" s="2"/>
      <c r="GXA197" s="2"/>
      <c r="GXB197" s="2"/>
      <c r="GXC197" s="2"/>
      <c r="GXD197" s="2"/>
      <c r="GXE197" s="2"/>
      <c r="GXF197" s="2"/>
      <c r="GXG197" s="2"/>
      <c r="GXH197" s="2"/>
      <c r="GXI197" s="2"/>
      <c r="GXJ197" s="2"/>
      <c r="GXK197" s="2"/>
      <c r="GXL197" s="2"/>
      <c r="GXM197" s="2"/>
      <c r="GXN197" s="2"/>
      <c r="GXO197" s="2"/>
      <c r="GXP197" s="2"/>
      <c r="GXQ197" s="2"/>
      <c r="GXR197" s="2"/>
      <c r="GXS197" s="2"/>
      <c r="GXT197" s="2"/>
      <c r="GXU197" s="2"/>
      <c r="GXV197" s="2"/>
      <c r="GXW197" s="2"/>
      <c r="GXX197" s="2"/>
      <c r="GXY197" s="2"/>
      <c r="GXZ197" s="2"/>
      <c r="GYA197" s="2"/>
      <c r="GYB197" s="2"/>
      <c r="GYC197" s="2"/>
      <c r="GYD197" s="2"/>
      <c r="GYE197" s="2"/>
      <c r="GYF197" s="2"/>
      <c r="GYG197" s="2"/>
      <c r="GYH197" s="2"/>
      <c r="GYI197" s="2"/>
      <c r="GYJ197" s="2"/>
      <c r="GYK197" s="2"/>
      <c r="GYL197" s="2"/>
      <c r="GYM197" s="2"/>
      <c r="GYN197" s="2"/>
      <c r="GYO197" s="2"/>
      <c r="GYP197" s="2"/>
      <c r="GYQ197" s="2"/>
      <c r="GYR197" s="2"/>
      <c r="GYS197" s="2"/>
      <c r="GYT197" s="2"/>
      <c r="GYU197" s="2"/>
      <c r="GYV197" s="2"/>
      <c r="GYW197" s="2"/>
      <c r="GYX197" s="2"/>
      <c r="GYY197" s="2"/>
      <c r="GYZ197" s="2"/>
      <c r="GZA197" s="2"/>
      <c r="GZB197" s="2"/>
      <c r="GZC197" s="2"/>
      <c r="GZD197" s="2"/>
      <c r="GZE197" s="2"/>
      <c r="GZF197" s="2"/>
      <c r="GZG197" s="2"/>
      <c r="GZH197" s="2"/>
      <c r="GZI197" s="2"/>
      <c r="GZJ197" s="2"/>
      <c r="GZK197" s="2"/>
      <c r="GZL197" s="2"/>
      <c r="GZM197" s="2"/>
      <c r="GZN197" s="2"/>
      <c r="GZO197" s="2"/>
      <c r="GZP197" s="2"/>
      <c r="GZQ197" s="2"/>
      <c r="GZR197" s="2"/>
      <c r="GZS197" s="2"/>
      <c r="GZT197" s="2"/>
      <c r="GZU197" s="2"/>
      <c r="GZV197" s="2"/>
      <c r="GZW197" s="2"/>
      <c r="GZX197" s="2"/>
      <c r="GZY197" s="2"/>
      <c r="GZZ197" s="2"/>
      <c r="HAA197" s="2"/>
      <c r="HAB197" s="2"/>
      <c r="HAC197" s="2"/>
      <c r="HAD197" s="2"/>
      <c r="HAE197" s="2"/>
      <c r="HAF197" s="2"/>
      <c r="HAG197" s="2"/>
      <c r="HAH197" s="2"/>
      <c r="HAI197" s="2"/>
      <c r="HAJ197" s="2"/>
      <c r="HAK197" s="2"/>
      <c r="HAL197" s="2"/>
      <c r="HAM197" s="2"/>
      <c r="HAN197" s="2"/>
      <c r="HAO197" s="2"/>
      <c r="HAP197" s="2"/>
      <c r="HAQ197" s="2"/>
      <c r="HAR197" s="2"/>
      <c r="HAS197" s="2"/>
      <c r="HAT197" s="2"/>
      <c r="HAU197" s="2"/>
      <c r="HAV197" s="2"/>
      <c r="HAW197" s="2"/>
      <c r="HAX197" s="2"/>
      <c r="HAY197" s="2"/>
      <c r="HAZ197" s="2"/>
      <c r="HBA197" s="2"/>
      <c r="HBB197" s="2"/>
      <c r="HBC197" s="2"/>
      <c r="HBD197" s="2"/>
      <c r="HBE197" s="2"/>
      <c r="HBF197" s="2"/>
      <c r="HBG197" s="2"/>
      <c r="HBH197" s="2"/>
      <c r="HBI197" s="2"/>
      <c r="HBJ197" s="2"/>
      <c r="HBK197" s="2"/>
      <c r="HBL197" s="2"/>
      <c r="HBM197" s="2"/>
      <c r="HBN197" s="2"/>
      <c r="HBO197" s="2"/>
      <c r="HBP197" s="2"/>
      <c r="HBQ197" s="2"/>
      <c r="HBR197" s="2"/>
      <c r="HBS197" s="2"/>
      <c r="HBT197" s="2"/>
      <c r="HBU197" s="2"/>
      <c r="HBV197" s="2"/>
      <c r="HBW197" s="2"/>
      <c r="HBX197" s="2"/>
      <c r="HBY197" s="2"/>
      <c r="HBZ197" s="2"/>
      <c r="HCA197" s="2"/>
      <c r="HCB197" s="2"/>
      <c r="HCC197" s="2"/>
      <c r="HCD197" s="2"/>
      <c r="HCE197" s="2"/>
      <c r="HCF197" s="2"/>
      <c r="HCG197" s="2"/>
      <c r="HCH197" s="2"/>
      <c r="HCI197" s="2"/>
      <c r="HCJ197" s="2"/>
      <c r="HCK197" s="2"/>
      <c r="HCL197" s="2"/>
      <c r="HCM197" s="2"/>
      <c r="HCN197" s="2"/>
      <c r="HCO197" s="2"/>
      <c r="HCP197" s="2"/>
      <c r="HCQ197" s="2"/>
      <c r="HCR197" s="2"/>
      <c r="HCS197" s="2"/>
      <c r="HCT197" s="2"/>
      <c r="HCU197" s="2"/>
      <c r="HCV197" s="2"/>
      <c r="HCW197" s="2"/>
      <c r="HCX197" s="2"/>
      <c r="HCY197" s="2"/>
      <c r="HCZ197" s="2"/>
      <c r="HDA197" s="2"/>
      <c r="HDB197" s="2"/>
      <c r="HDC197" s="2"/>
      <c r="HDD197" s="2"/>
      <c r="HDE197" s="2"/>
      <c r="HDF197" s="2"/>
      <c r="HDG197" s="2"/>
      <c r="HDH197" s="2"/>
      <c r="HDI197" s="2"/>
      <c r="HDJ197" s="2"/>
      <c r="HDK197" s="2"/>
      <c r="HDL197" s="2"/>
      <c r="HDM197" s="2"/>
      <c r="HDN197" s="2"/>
      <c r="HDO197" s="2"/>
      <c r="HDP197" s="2"/>
      <c r="HDQ197" s="2"/>
      <c r="HDR197" s="2"/>
      <c r="HDS197" s="2"/>
      <c r="HDT197" s="2"/>
      <c r="HDU197" s="2"/>
      <c r="HDV197" s="2"/>
      <c r="HDW197" s="2"/>
      <c r="HDX197" s="2"/>
      <c r="HDY197" s="2"/>
      <c r="HDZ197" s="2"/>
      <c r="HEA197" s="2"/>
      <c r="HEB197" s="2"/>
      <c r="HEC197" s="2"/>
      <c r="HED197" s="2"/>
      <c r="HEE197" s="2"/>
      <c r="HEF197" s="2"/>
      <c r="HEG197" s="2"/>
      <c r="HEH197" s="2"/>
      <c r="HEI197" s="2"/>
      <c r="HEJ197" s="2"/>
      <c r="HEK197" s="2"/>
      <c r="HEL197" s="2"/>
      <c r="HEM197" s="2"/>
      <c r="HEN197" s="2"/>
      <c r="HEO197" s="2"/>
      <c r="HEP197" s="2"/>
      <c r="HEQ197" s="2"/>
      <c r="HER197" s="2"/>
      <c r="HES197" s="2"/>
      <c r="HET197" s="2"/>
      <c r="HEU197" s="2"/>
      <c r="HEV197" s="2"/>
      <c r="HEW197" s="2"/>
      <c r="HEX197" s="2"/>
      <c r="HEY197" s="2"/>
      <c r="HEZ197" s="2"/>
      <c r="HFA197" s="2"/>
      <c r="HFB197" s="2"/>
      <c r="HFC197" s="2"/>
      <c r="HFD197" s="2"/>
      <c r="HFE197" s="2"/>
      <c r="HFF197" s="2"/>
      <c r="HFG197" s="2"/>
      <c r="HFH197" s="2"/>
      <c r="HFI197" s="2"/>
      <c r="HFJ197" s="2"/>
      <c r="HFK197" s="2"/>
      <c r="HFL197" s="2"/>
      <c r="HFM197" s="2"/>
      <c r="HFN197" s="2"/>
      <c r="HFO197" s="2"/>
      <c r="HFP197" s="2"/>
      <c r="HFQ197" s="2"/>
      <c r="HFR197" s="2"/>
      <c r="HFS197" s="2"/>
      <c r="HFT197" s="2"/>
      <c r="HFU197" s="2"/>
      <c r="HFV197" s="2"/>
      <c r="HFW197" s="2"/>
      <c r="HFX197" s="2"/>
      <c r="HFY197" s="2"/>
      <c r="HFZ197" s="2"/>
      <c r="HGA197" s="2"/>
      <c r="HGB197" s="2"/>
      <c r="HGC197" s="2"/>
      <c r="HGD197" s="2"/>
      <c r="HGE197" s="2"/>
      <c r="HGF197" s="2"/>
      <c r="HGG197" s="2"/>
      <c r="HGH197" s="2"/>
      <c r="HGI197" s="2"/>
      <c r="HGJ197" s="2"/>
      <c r="HGK197" s="2"/>
      <c r="HGL197" s="2"/>
      <c r="HGM197" s="2"/>
      <c r="HGN197" s="2"/>
      <c r="HGO197" s="2"/>
      <c r="HGP197" s="2"/>
      <c r="HGQ197" s="2"/>
      <c r="HGR197" s="2"/>
      <c r="HGS197" s="2"/>
      <c r="HGT197" s="2"/>
      <c r="HGU197" s="2"/>
      <c r="HGV197" s="2"/>
      <c r="HGW197" s="2"/>
      <c r="HGX197" s="2"/>
      <c r="HGY197" s="2"/>
      <c r="HGZ197" s="2"/>
      <c r="HHA197" s="2"/>
      <c r="HHB197" s="2"/>
      <c r="HHC197" s="2"/>
      <c r="HHD197" s="2"/>
      <c r="HHE197" s="2"/>
      <c r="HHF197" s="2"/>
      <c r="HHG197" s="2"/>
      <c r="HHH197" s="2"/>
      <c r="HHI197" s="2"/>
      <c r="HHJ197" s="2"/>
      <c r="HHK197" s="2"/>
      <c r="HHL197" s="2"/>
      <c r="HHM197" s="2"/>
      <c r="HHN197" s="2"/>
      <c r="HHO197" s="2"/>
      <c r="HHP197" s="2"/>
      <c r="HHQ197" s="2"/>
      <c r="HHR197" s="2"/>
      <c r="HHS197" s="2"/>
      <c r="HHT197" s="2"/>
      <c r="HHU197" s="2"/>
      <c r="HHV197" s="2"/>
      <c r="HHW197" s="2"/>
      <c r="HHX197" s="2"/>
      <c r="HHY197" s="2"/>
      <c r="HHZ197" s="2"/>
      <c r="HIA197" s="2"/>
      <c r="HIB197" s="2"/>
      <c r="HIC197" s="2"/>
      <c r="HID197" s="2"/>
      <c r="HIE197" s="2"/>
      <c r="HIF197" s="2"/>
      <c r="HIG197" s="2"/>
      <c r="HIH197" s="2"/>
      <c r="HII197" s="2"/>
      <c r="HIJ197" s="2"/>
      <c r="HIK197" s="2"/>
      <c r="HIL197" s="2"/>
      <c r="HIM197" s="2"/>
      <c r="HIN197" s="2"/>
      <c r="HIO197" s="2"/>
      <c r="HIP197" s="2"/>
      <c r="HIQ197" s="2"/>
      <c r="HIR197" s="2"/>
      <c r="HIS197" s="2"/>
      <c r="HIT197" s="2"/>
      <c r="HIU197" s="2"/>
      <c r="HIV197" s="2"/>
      <c r="HIW197" s="2"/>
      <c r="HIX197" s="2"/>
      <c r="HIY197" s="2"/>
      <c r="HIZ197" s="2"/>
      <c r="HJA197" s="2"/>
      <c r="HJB197" s="2"/>
      <c r="HJC197" s="2"/>
      <c r="HJD197" s="2"/>
      <c r="HJE197" s="2"/>
      <c r="HJF197" s="2"/>
      <c r="HJG197" s="2"/>
      <c r="HJH197" s="2"/>
      <c r="HJI197" s="2"/>
      <c r="HJJ197" s="2"/>
      <c r="HJK197" s="2"/>
      <c r="HJL197" s="2"/>
      <c r="HJM197" s="2"/>
      <c r="HJN197" s="2"/>
      <c r="HJO197" s="2"/>
      <c r="HJP197" s="2"/>
      <c r="HJQ197" s="2"/>
      <c r="HJR197" s="2"/>
      <c r="HJS197" s="2"/>
      <c r="HJT197" s="2"/>
      <c r="HJU197" s="2"/>
      <c r="HJV197" s="2"/>
      <c r="HJW197" s="2"/>
      <c r="HJX197" s="2"/>
      <c r="HJY197" s="2"/>
      <c r="HJZ197" s="2"/>
      <c r="HKA197" s="2"/>
      <c r="HKB197" s="2"/>
      <c r="HKC197" s="2"/>
      <c r="HKD197" s="2"/>
      <c r="HKE197" s="2"/>
      <c r="HKF197" s="2"/>
      <c r="HKG197" s="2"/>
      <c r="HKH197" s="2"/>
      <c r="HKI197" s="2"/>
      <c r="HKJ197" s="2"/>
      <c r="HKK197" s="2"/>
      <c r="HKL197" s="2"/>
      <c r="HKM197" s="2"/>
      <c r="HKN197" s="2"/>
      <c r="HKO197" s="2"/>
      <c r="HKP197" s="2"/>
      <c r="HKQ197" s="2"/>
      <c r="HKR197" s="2"/>
      <c r="HKS197" s="2"/>
      <c r="HKT197" s="2"/>
      <c r="HKU197" s="2"/>
      <c r="HKV197" s="2"/>
      <c r="HKW197" s="2"/>
      <c r="HKX197" s="2"/>
      <c r="HKY197" s="2"/>
      <c r="HKZ197" s="2"/>
      <c r="HLA197" s="2"/>
      <c r="HLB197" s="2"/>
      <c r="HLC197" s="2"/>
      <c r="HLD197" s="2"/>
      <c r="HLE197" s="2"/>
      <c r="HLF197" s="2"/>
      <c r="HLG197" s="2"/>
      <c r="HLH197" s="2"/>
      <c r="HLI197" s="2"/>
      <c r="HLJ197" s="2"/>
      <c r="HLK197" s="2"/>
      <c r="HLL197" s="2"/>
      <c r="HLM197" s="2"/>
      <c r="HLN197" s="2"/>
      <c r="HLO197" s="2"/>
      <c r="HLP197" s="2"/>
      <c r="HLQ197" s="2"/>
      <c r="HLR197" s="2"/>
      <c r="HLS197" s="2"/>
      <c r="HLT197" s="2"/>
      <c r="HLU197" s="2"/>
      <c r="HLV197" s="2"/>
      <c r="HLW197" s="2"/>
      <c r="HLX197" s="2"/>
      <c r="HLY197" s="2"/>
      <c r="HLZ197" s="2"/>
      <c r="HMA197" s="2"/>
      <c r="HMB197" s="2"/>
      <c r="HMC197" s="2"/>
      <c r="HMD197" s="2"/>
      <c r="HME197" s="2"/>
      <c r="HMF197" s="2"/>
      <c r="HMG197" s="2"/>
      <c r="HMH197" s="2"/>
      <c r="HMI197" s="2"/>
      <c r="HMJ197" s="2"/>
      <c r="HMK197" s="2"/>
      <c r="HML197" s="2"/>
      <c r="HMM197" s="2"/>
      <c r="HMN197" s="2"/>
      <c r="HMO197" s="2"/>
      <c r="HMP197" s="2"/>
      <c r="HMQ197" s="2"/>
      <c r="HMR197" s="2"/>
      <c r="HMS197" s="2"/>
      <c r="HMT197" s="2"/>
      <c r="HMU197" s="2"/>
      <c r="HMV197" s="2"/>
      <c r="HMW197" s="2"/>
      <c r="HMX197" s="2"/>
      <c r="HMY197" s="2"/>
      <c r="HMZ197" s="2"/>
      <c r="HNA197" s="2"/>
      <c r="HNB197" s="2"/>
      <c r="HNC197" s="2"/>
      <c r="HND197" s="2"/>
      <c r="HNE197" s="2"/>
      <c r="HNF197" s="2"/>
      <c r="HNG197" s="2"/>
      <c r="HNH197" s="2"/>
      <c r="HNI197" s="2"/>
      <c r="HNJ197" s="2"/>
      <c r="HNK197" s="2"/>
      <c r="HNL197" s="2"/>
      <c r="HNM197" s="2"/>
      <c r="HNN197" s="2"/>
      <c r="HNO197" s="2"/>
      <c r="HNP197" s="2"/>
      <c r="HNQ197" s="2"/>
      <c r="HNR197" s="2"/>
      <c r="HNS197" s="2"/>
      <c r="HNT197" s="2"/>
      <c r="HNU197" s="2"/>
      <c r="HNV197" s="2"/>
      <c r="HNW197" s="2"/>
      <c r="HNX197" s="2"/>
      <c r="HNY197" s="2"/>
      <c r="HNZ197" s="2"/>
      <c r="HOA197" s="2"/>
      <c r="HOB197" s="2"/>
      <c r="HOC197" s="2"/>
      <c r="HOD197" s="2"/>
      <c r="HOE197" s="2"/>
      <c r="HOF197" s="2"/>
      <c r="HOG197" s="2"/>
      <c r="HOH197" s="2"/>
      <c r="HOI197" s="2"/>
      <c r="HOJ197" s="2"/>
      <c r="HOK197" s="2"/>
      <c r="HOL197" s="2"/>
      <c r="HOM197" s="2"/>
      <c r="HON197" s="2"/>
      <c r="HOO197" s="2"/>
      <c r="HOP197" s="2"/>
      <c r="HOQ197" s="2"/>
      <c r="HOR197" s="2"/>
      <c r="HOS197" s="2"/>
      <c r="HOT197" s="2"/>
      <c r="HOU197" s="2"/>
      <c r="HOV197" s="2"/>
      <c r="HOW197" s="2"/>
      <c r="HOX197" s="2"/>
      <c r="HOY197" s="2"/>
      <c r="HOZ197" s="2"/>
      <c r="HPA197" s="2"/>
      <c r="HPB197" s="2"/>
      <c r="HPC197" s="2"/>
      <c r="HPD197" s="2"/>
      <c r="HPE197" s="2"/>
      <c r="HPF197" s="2"/>
      <c r="HPG197" s="2"/>
      <c r="HPH197" s="2"/>
      <c r="HPI197" s="2"/>
      <c r="HPJ197" s="2"/>
      <c r="HPK197" s="2"/>
      <c r="HPL197" s="2"/>
      <c r="HPM197" s="2"/>
      <c r="HPN197" s="2"/>
      <c r="HPO197" s="2"/>
      <c r="HPP197" s="2"/>
      <c r="HPQ197" s="2"/>
      <c r="HPR197" s="2"/>
      <c r="HPS197" s="2"/>
      <c r="HPT197" s="2"/>
      <c r="HPU197" s="2"/>
      <c r="HPV197" s="2"/>
      <c r="HPW197" s="2"/>
      <c r="HPX197" s="2"/>
      <c r="HPY197" s="2"/>
      <c r="HPZ197" s="2"/>
      <c r="HQA197" s="2"/>
      <c r="HQB197" s="2"/>
      <c r="HQC197" s="2"/>
      <c r="HQD197" s="2"/>
      <c r="HQE197" s="2"/>
      <c r="HQF197" s="2"/>
      <c r="HQG197" s="2"/>
      <c r="HQH197" s="2"/>
      <c r="HQI197" s="2"/>
      <c r="HQJ197" s="2"/>
      <c r="HQK197" s="2"/>
      <c r="HQL197" s="2"/>
      <c r="HQM197" s="2"/>
      <c r="HQN197" s="2"/>
      <c r="HQO197" s="2"/>
      <c r="HQP197" s="2"/>
      <c r="HQQ197" s="2"/>
      <c r="HQR197" s="2"/>
      <c r="HQS197" s="2"/>
      <c r="HQT197" s="2"/>
      <c r="HQU197" s="2"/>
      <c r="HQV197" s="2"/>
      <c r="HQW197" s="2"/>
      <c r="HQX197" s="2"/>
      <c r="HQY197" s="2"/>
      <c r="HQZ197" s="2"/>
      <c r="HRA197" s="2"/>
      <c r="HRB197" s="2"/>
      <c r="HRC197" s="2"/>
      <c r="HRD197" s="2"/>
      <c r="HRE197" s="2"/>
      <c r="HRF197" s="2"/>
      <c r="HRG197" s="2"/>
      <c r="HRH197" s="2"/>
      <c r="HRI197" s="2"/>
      <c r="HRJ197" s="2"/>
      <c r="HRK197" s="2"/>
      <c r="HRL197" s="2"/>
      <c r="HRM197" s="2"/>
      <c r="HRN197" s="2"/>
      <c r="HRO197" s="2"/>
      <c r="HRP197" s="2"/>
      <c r="HRQ197" s="2"/>
      <c r="HRR197" s="2"/>
      <c r="HRS197" s="2"/>
      <c r="HRT197" s="2"/>
      <c r="HRU197" s="2"/>
      <c r="HRV197" s="2"/>
      <c r="HRW197" s="2"/>
      <c r="HRX197" s="2"/>
      <c r="HRY197" s="2"/>
      <c r="HRZ197" s="2"/>
      <c r="HSA197" s="2"/>
      <c r="HSB197" s="2"/>
      <c r="HSC197" s="2"/>
      <c r="HSD197" s="2"/>
      <c r="HSE197" s="2"/>
      <c r="HSF197" s="2"/>
      <c r="HSG197" s="2"/>
      <c r="HSH197" s="2"/>
      <c r="HSI197" s="2"/>
      <c r="HSJ197" s="2"/>
      <c r="HSK197" s="2"/>
      <c r="HSL197" s="2"/>
      <c r="HSM197" s="2"/>
      <c r="HSN197" s="2"/>
      <c r="HSO197" s="2"/>
      <c r="HSP197" s="2"/>
      <c r="HSQ197" s="2"/>
      <c r="HSR197" s="2"/>
      <c r="HSS197" s="2"/>
      <c r="HST197" s="2"/>
      <c r="HSU197" s="2"/>
      <c r="HSV197" s="2"/>
      <c r="HSW197" s="2"/>
      <c r="HSX197" s="2"/>
      <c r="HSY197" s="2"/>
      <c r="HSZ197" s="2"/>
      <c r="HTA197" s="2"/>
      <c r="HTB197" s="2"/>
      <c r="HTC197" s="2"/>
      <c r="HTD197" s="2"/>
      <c r="HTE197" s="2"/>
      <c r="HTF197" s="2"/>
      <c r="HTG197" s="2"/>
      <c r="HTH197" s="2"/>
      <c r="HTI197" s="2"/>
      <c r="HTJ197" s="2"/>
      <c r="HTK197" s="2"/>
      <c r="HTL197" s="2"/>
      <c r="HTM197" s="2"/>
      <c r="HTN197" s="2"/>
      <c r="HTO197" s="2"/>
      <c r="HTP197" s="2"/>
      <c r="HTQ197" s="2"/>
      <c r="HTR197" s="2"/>
      <c r="HTS197" s="2"/>
      <c r="HTT197" s="2"/>
      <c r="HTU197" s="2"/>
      <c r="HTV197" s="2"/>
      <c r="HTW197" s="2"/>
      <c r="HTX197" s="2"/>
      <c r="HTY197" s="2"/>
      <c r="HTZ197" s="2"/>
      <c r="HUA197" s="2"/>
      <c r="HUB197" s="2"/>
      <c r="HUC197" s="2"/>
      <c r="HUD197" s="2"/>
      <c r="HUE197" s="2"/>
      <c r="HUF197" s="2"/>
      <c r="HUG197" s="2"/>
      <c r="HUH197" s="2"/>
      <c r="HUI197" s="2"/>
      <c r="HUJ197" s="2"/>
      <c r="HUK197" s="2"/>
      <c r="HUL197" s="2"/>
      <c r="HUM197" s="2"/>
      <c r="HUN197" s="2"/>
      <c r="HUO197" s="2"/>
      <c r="HUP197" s="2"/>
      <c r="HUQ197" s="2"/>
      <c r="HUR197" s="2"/>
      <c r="HUS197" s="2"/>
      <c r="HUT197" s="2"/>
      <c r="HUU197" s="2"/>
      <c r="HUV197" s="2"/>
      <c r="HUW197" s="2"/>
      <c r="HUX197" s="2"/>
      <c r="HUY197" s="2"/>
      <c r="HUZ197" s="2"/>
      <c r="HVA197" s="2"/>
      <c r="HVB197" s="2"/>
      <c r="HVC197" s="2"/>
      <c r="HVD197" s="2"/>
      <c r="HVE197" s="2"/>
      <c r="HVF197" s="2"/>
      <c r="HVG197" s="2"/>
      <c r="HVH197" s="2"/>
      <c r="HVI197" s="2"/>
      <c r="HVJ197" s="2"/>
      <c r="HVK197" s="2"/>
      <c r="HVL197" s="2"/>
      <c r="HVM197" s="2"/>
      <c r="HVN197" s="2"/>
      <c r="HVO197" s="2"/>
      <c r="HVP197" s="2"/>
      <c r="HVQ197" s="2"/>
      <c r="HVR197" s="2"/>
      <c r="HVS197" s="2"/>
      <c r="HVT197" s="2"/>
      <c r="HVU197" s="2"/>
      <c r="HVV197" s="2"/>
      <c r="HVW197" s="2"/>
      <c r="HVX197" s="2"/>
      <c r="HVY197" s="2"/>
      <c r="HVZ197" s="2"/>
      <c r="HWA197" s="2"/>
      <c r="HWB197" s="2"/>
      <c r="HWC197" s="2"/>
      <c r="HWD197" s="2"/>
      <c r="HWE197" s="2"/>
      <c r="HWF197" s="2"/>
      <c r="HWG197" s="2"/>
      <c r="HWH197" s="2"/>
      <c r="HWI197" s="2"/>
      <c r="HWJ197" s="2"/>
      <c r="HWK197" s="2"/>
      <c r="HWL197" s="2"/>
      <c r="HWM197" s="2"/>
      <c r="HWN197" s="2"/>
      <c r="HWO197" s="2"/>
      <c r="HWP197" s="2"/>
      <c r="HWQ197" s="2"/>
      <c r="HWR197" s="2"/>
      <c r="HWS197" s="2"/>
      <c r="HWT197" s="2"/>
      <c r="HWU197" s="2"/>
      <c r="HWV197" s="2"/>
      <c r="HWW197" s="2"/>
      <c r="HWX197" s="2"/>
      <c r="HWY197" s="2"/>
      <c r="HWZ197" s="2"/>
      <c r="HXA197" s="2"/>
      <c r="HXB197" s="2"/>
      <c r="HXC197" s="2"/>
      <c r="HXD197" s="2"/>
      <c r="HXE197" s="2"/>
      <c r="HXF197" s="2"/>
      <c r="HXG197" s="2"/>
      <c r="HXH197" s="2"/>
      <c r="HXI197" s="2"/>
      <c r="HXJ197" s="2"/>
      <c r="HXK197" s="2"/>
      <c r="HXL197" s="2"/>
      <c r="HXM197" s="2"/>
      <c r="HXN197" s="2"/>
      <c r="HXO197" s="2"/>
      <c r="HXP197" s="2"/>
      <c r="HXQ197" s="2"/>
      <c r="HXR197" s="2"/>
      <c r="HXS197" s="2"/>
      <c r="HXT197" s="2"/>
      <c r="HXU197" s="2"/>
      <c r="HXV197" s="2"/>
      <c r="HXW197" s="2"/>
      <c r="HXX197" s="2"/>
      <c r="HXY197" s="2"/>
      <c r="HXZ197" s="2"/>
      <c r="HYA197" s="2"/>
      <c r="HYB197" s="2"/>
      <c r="HYC197" s="2"/>
      <c r="HYD197" s="2"/>
      <c r="HYE197" s="2"/>
      <c r="HYF197" s="2"/>
      <c r="HYG197" s="2"/>
      <c r="HYH197" s="2"/>
      <c r="HYI197" s="2"/>
      <c r="HYJ197" s="2"/>
      <c r="HYK197" s="2"/>
      <c r="HYL197" s="2"/>
      <c r="HYM197" s="2"/>
      <c r="HYN197" s="2"/>
      <c r="HYO197" s="2"/>
      <c r="HYP197" s="2"/>
      <c r="HYQ197" s="2"/>
      <c r="HYR197" s="2"/>
      <c r="HYS197" s="2"/>
      <c r="HYT197" s="2"/>
      <c r="HYU197" s="2"/>
      <c r="HYV197" s="2"/>
      <c r="HYW197" s="2"/>
      <c r="HYX197" s="2"/>
      <c r="HYY197" s="2"/>
      <c r="HYZ197" s="2"/>
      <c r="HZA197" s="2"/>
      <c r="HZB197" s="2"/>
      <c r="HZC197" s="2"/>
      <c r="HZD197" s="2"/>
      <c r="HZE197" s="2"/>
      <c r="HZF197" s="2"/>
      <c r="HZG197" s="2"/>
      <c r="HZH197" s="2"/>
      <c r="HZI197" s="2"/>
      <c r="HZJ197" s="2"/>
      <c r="HZK197" s="2"/>
      <c r="HZL197" s="2"/>
      <c r="HZM197" s="2"/>
      <c r="HZN197" s="2"/>
      <c r="HZO197" s="2"/>
      <c r="HZP197" s="2"/>
      <c r="HZQ197" s="2"/>
      <c r="HZR197" s="2"/>
      <c r="HZS197" s="2"/>
      <c r="HZT197" s="2"/>
      <c r="HZU197" s="2"/>
      <c r="HZV197" s="2"/>
      <c r="HZW197" s="2"/>
      <c r="HZX197" s="2"/>
      <c r="HZY197" s="2"/>
      <c r="HZZ197" s="2"/>
      <c r="IAA197" s="2"/>
      <c r="IAB197" s="2"/>
      <c r="IAC197" s="2"/>
      <c r="IAD197" s="2"/>
      <c r="IAE197" s="2"/>
      <c r="IAF197" s="2"/>
      <c r="IAG197" s="2"/>
      <c r="IAH197" s="2"/>
      <c r="IAI197" s="2"/>
      <c r="IAJ197" s="2"/>
      <c r="IAK197" s="2"/>
      <c r="IAL197" s="2"/>
      <c r="IAM197" s="2"/>
      <c r="IAN197" s="2"/>
      <c r="IAO197" s="2"/>
      <c r="IAP197" s="2"/>
      <c r="IAQ197" s="2"/>
      <c r="IAR197" s="2"/>
      <c r="IAS197" s="2"/>
      <c r="IAT197" s="2"/>
      <c r="IAU197" s="2"/>
      <c r="IAV197" s="2"/>
      <c r="IAW197" s="2"/>
      <c r="IAX197" s="2"/>
      <c r="IAY197" s="2"/>
      <c r="IAZ197" s="2"/>
      <c r="IBA197" s="2"/>
      <c r="IBB197" s="2"/>
      <c r="IBC197" s="2"/>
      <c r="IBD197" s="2"/>
      <c r="IBE197" s="2"/>
      <c r="IBF197" s="2"/>
      <c r="IBG197" s="2"/>
      <c r="IBH197" s="2"/>
      <c r="IBI197" s="2"/>
      <c r="IBJ197" s="2"/>
      <c r="IBK197" s="2"/>
      <c r="IBL197" s="2"/>
      <c r="IBM197" s="2"/>
      <c r="IBN197" s="2"/>
      <c r="IBO197" s="2"/>
      <c r="IBP197" s="2"/>
      <c r="IBQ197" s="2"/>
      <c r="IBR197" s="2"/>
      <c r="IBS197" s="2"/>
      <c r="IBT197" s="2"/>
      <c r="IBU197" s="2"/>
      <c r="IBV197" s="2"/>
      <c r="IBW197" s="2"/>
      <c r="IBX197" s="2"/>
      <c r="IBY197" s="2"/>
      <c r="IBZ197" s="2"/>
      <c r="ICA197" s="2"/>
      <c r="ICB197" s="2"/>
      <c r="ICC197" s="2"/>
      <c r="ICD197" s="2"/>
      <c r="ICE197" s="2"/>
      <c r="ICF197" s="2"/>
      <c r="ICG197" s="2"/>
      <c r="ICH197" s="2"/>
      <c r="ICI197" s="2"/>
      <c r="ICJ197" s="2"/>
      <c r="ICK197" s="2"/>
      <c r="ICL197" s="2"/>
      <c r="ICM197" s="2"/>
      <c r="ICN197" s="2"/>
      <c r="ICO197" s="2"/>
      <c r="ICP197" s="2"/>
      <c r="ICQ197" s="2"/>
      <c r="ICR197" s="2"/>
      <c r="ICS197" s="2"/>
      <c r="ICT197" s="2"/>
      <c r="ICU197" s="2"/>
      <c r="ICV197" s="2"/>
      <c r="ICW197" s="2"/>
      <c r="ICX197" s="2"/>
      <c r="ICY197" s="2"/>
      <c r="ICZ197" s="2"/>
      <c r="IDA197" s="2"/>
      <c r="IDB197" s="2"/>
      <c r="IDC197" s="2"/>
      <c r="IDD197" s="2"/>
      <c r="IDE197" s="2"/>
      <c r="IDF197" s="2"/>
      <c r="IDG197" s="2"/>
      <c r="IDH197" s="2"/>
      <c r="IDI197" s="2"/>
      <c r="IDJ197" s="2"/>
      <c r="IDK197" s="2"/>
      <c r="IDL197" s="2"/>
      <c r="IDM197" s="2"/>
      <c r="IDN197" s="2"/>
      <c r="IDO197" s="2"/>
      <c r="IDP197" s="2"/>
      <c r="IDQ197" s="2"/>
      <c r="IDR197" s="2"/>
      <c r="IDS197" s="2"/>
      <c r="IDT197" s="2"/>
      <c r="IDU197" s="2"/>
      <c r="IDV197" s="2"/>
      <c r="IDW197" s="2"/>
      <c r="IDX197" s="2"/>
      <c r="IDY197" s="2"/>
      <c r="IDZ197" s="2"/>
      <c r="IEA197" s="2"/>
      <c r="IEB197" s="2"/>
      <c r="IEC197" s="2"/>
      <c r="IED197" s="2"/>
      <c r="IEE197" s="2"/>
      <c r="IEF197" s="2"/>
      <c r="IEG197" s="2"/>
      <c r="IEH197" s="2"/>
      <c r="IEI197" s="2"/>
      <c r="IEJ197" s="2"/>
      <c r="IEK197" s="2"/>
      <c r="IEL197" s="2"/>
      <c r="IEM197" s="2"/>
      <c r="IEN197" s="2"/>
      <c r="IEO197" s="2"/>
      <c r="IEP197" s="2"/>
      <c r="IEQ197" s="2"/>
      <c r="IER197" s="2"/>
      <c r="IES197" s="2"/>
      <c r="IET197" s="2"/>
      <c r="IEU197" s="2"/>
      <c r="IEV197" s="2"/>
      <c r="IEW197" s="2"/>
      <c r="IEX197" s="2"/>
      <c r="IEY197" s="2"/>
      <c r="IEZ197" s="2"/>
      <c r="IFA197" s="2"/>
      <c r="IFB197" s="2"/>
      <c r="IFC197" s="2"/>
      <c r="IFD197" s="2"/>
      <c r="IFE197" s="2"/>
      <c r="IFF197" s="2"/>
      <c r="IFG197" s="2"/>
      <c r="IFH197" s="2"/>
      <c r="IFI197" s="2"/>
      <c r="IFJ197" s="2"/>
      <c r="IFK197" s="2"/>
      <c r="IFL197" s="2"/>
      <c r="IFM197" s="2"/>
      <c r="IFN197" s="2"/>
      <c r="IFO197" s="2"/>
      <c r="IFP197" s="2"/>
      <c r="IFQ197" s="2"/>
      <c r="IFR197" s="2"/>
      <c r="IFS197" s="2"/>
      <c r="IFT197" s="2"/>
      <c r="IFU197" s="2"/>
      <c r="IFV197" s="2"/>
      <c r="IFW197" s="2"/>
      <c r="IFX197" s="2"/>
      <c r="IFY197" s="2"/>
      <c r="IFZ197" s="2"/>
      <c r="IGA197" s="2"/>
      <c r="IGB197" s="2"/>
      <c r="IGC197" s="2"/>
      <c r="IGD197" s="2"/>
      <c r="IGE197" s="2"/>
      <c r="IGF197" s="2"/>
      <c r="IGG197" s="2"/>
      <c r="IGH197" s="2"/>
      <c r="IGI197" s="2"/>
      <c r="IGJ197" s="2"/>
      <c r="IGK197" s="2"/>
      <c r="IGL197" s="2"/>
      <c r="IGM197" s="2"/>
      <c r="IGN197" s="2"/>
      <c r="IGO197" s="2"/>
      <c r="IGP197" s="2"/>
      <c r="IGQ197" s="2"/>
      <c r="IGR197" s="2"/>
      <c r="IGS197" s="2"/>
      <c r="IGT197" s="2"/>
      <c r="IGU197" s="2"/>
      <c r="IGV197" s="2"/>
      <c r="IGW197" s="2"/>
      <c r="IGX197" s="2"/>
      <c r="IGY197" s="2"/>
      <c r="IGZ197" s="2"/>
      <c r="IHA197" s="2"/>
      <c r="IHB197" s="2"/>
      <c r="IHC197" s="2"/>
      <c r="IHD197" s="2"/>
      <c r="IHE197" s="2"/>
      <c r="IHF197" s="2"/>
      <c r="IHG197" s="2"/>
      <c r="IHH197" s="2"/>
      <c r="IHI197" s="2"/>
      <c r="IHJ197" s="2"/>
      <c r="IHK197" s="2"/>
      <c r="IHL197" s="2"/>
      <c r="IHM197" s="2"/>
      <c r="IHN197" s="2"/>
      <c r="IHO197" s="2"/>
      <c r="IHP197" s="2"/>
      <c r="IHQ197" s="2"/>
      <c r="IHR197" s="2"/>
      <c r="IHS197" s="2"/>
      <c r="IHT197" s="2"/>
      <c r="IHU197" s="2"/>
      <c r="IHV197" s="2"/>
      <c r="IHW197" s="2"/>
      <c r="IHX197" s="2"/>
      <c r="IHY197" s="2"/>
      <c r="IHZ197" s="2"/>
      <c r="IIA197" s="2"/>
      <c r="IIB197" s="2"/>
      <c r="IIC197" s="2"/>
      <c r="IID197" s="2"/>
      <c r="IIE197" s="2"/>
      <c r="IIF197" s="2"/>
      <c r="IIG197" s="2"/>
      <c r="IIH197" s="2"/>
      <c r="III197" s="2"/>
      <c r="IIJ197" s="2"/>
      <c r="IIK197" s="2"/>
      <c r="IIL197" s="2"/>
      <c r="IIM197" s="2"/>
      <c r="IIN197" s="2"/>
      <c r="IIO197" s="2"/>
      <c r="IIP197" s="2"/>
      <c r="IIQ197" s="2"/>
      <c r="IIR197" s="2"/>
      <c r="IIS197" s="2"/>
      <c r="IIT197" s="2"/>
      <c r="IIU197" s="2"/>
      <c r="IIV197" s="2"/>
      <c r="IIW197" s="2"/>
      <c r="IIX197" s="2"/>
      <c r="IIY197" s="2"/>
      <c r="IIZ197" s="2"/>
      <c r="IJA197" s="2"/>
      <c r="IJB197" s="2"/>
      <c r="IJC197" s="2"/>
      <c r="IJD197" s="2"/>
      <c r="IJE197" s="2"/>
      <c r="IJF197" s="2"/>
      <c r="IJG197" s="2"/>
      <c r="IJH197" s="2"/>
      <c r="IJI197" s="2"/>
      <c r="IJJ197" s="2"/>
      <c r="IJK197" s="2"/>
      <c r="IJL197" s="2"/>
      <c r="IJM197" s="2"/>
      <c r="IJN197" s="2"/>
      <c r="IJO197" s="2"/>
      <c r="IJP197" s="2"/>
      <c r="IJQ197" s="2"/>
      <c r="IJR197" s="2"/>
      <c r="IJS197" s="2"/>
      <c r="IJT197" s="2"/>
      <c r="IJU197" s="2"/>
      <c r="IJV197" s="2"/>
      <c r="IJW197" s="2"/>
      <c r="IJX197" s="2"/>
      <c r="IJY197" s="2"/>
      <c r="IJZ197" s="2"/>
      <c r="IKA197" s="2"/>
      <c r="IKB197" s="2"/>
      <c r="IKC197" s="2"/>
      <c r="IKD197" s="2"/>
      <c r="IKE197" s="2"/>
      <c r="IKF197" s="2"/>
      <c r="IKG197" s="2"/>
      <c r="IKH197" s="2"/>
      <c r="IKI197" s="2"/>
      <c r="IKJ197" s="2"/>
      <c r="IKK197" s="2"/>
      <c r="IKL197" s="2"/>
      <c r="IKM197" s="2"/>
      <c r="IKN197" s="2"/>
      <c r="IKO197" s="2"/>
      <c r="IKP197" s="2"/>
      <c r="IKQ197" s="2"/>
      <c r="IKR197" s="2"/>
      <c r="IKS197" s="2"/>
      <c r="IKT197" s="2"/>
      <c r="IKU197" s="2"/>
      <c r="IKV197" s="2"/>
      <c r="IKW197" s="2"/>
      <c r="IKX197" s="2"/>
      <c r="IKY197" s="2"/>
      <c r="IKZ197" s="2"/>
      <c r="ILA197" s="2"/>
      <c r="ILB197" s="2"/>
      <c r="ILC197" s="2"/>
      <c r="ILD197" s="2"/>
      <c r="ILE197" s="2"/>
      <c r="ILF197" s="2"/>
      <c r="ILG197" s="2"/>
      <c r="ILH197" s="2"/>
      <c r="ILI197" s="2"/>
      <c r="ILJ197" s="2"/>
      <c r="ILK197" s="2"/>
      <c r="ILL197" s="2"/>
      <c r="ILM197" s="2"/>
      <c r="ILN197" s="2"/>
      <c r="ILO197" s="2"/>
      <c r="ILP197" s="2"/>
      <c r="ILQ197" s="2"/>
      <c r="ILR197" s="2"/>
      <c r="ILS197" s="2"/>
      <c r="ILT197" s="2"/>
      <c r="ILU197" s="2"/>
      <c r="ILV197" s="2"/>
      <c r="ILW197" s="2"/>
      <c r="ILX197" s="2"/>
      <c r="ILY197" s="2"/>
      <c r="ILZ197" s="2"/>
      <c r="IMA197" s="2"/>
      <c r="IMB197" s="2"/>
      <c r="IMC197" s="2"/>
      <c r="IMD197" s="2"/>
      <c r="IME197" s="2"/>
      <c r="IMF197" s="2"/>
      <c r="IMG197" s="2"/>
      <c r="IMH197" s="2"/>
      <c r="IMI197" s="2"/>
      <c r="IMJ197" s="2"/>
      <c r="IMK197" s="2"/>
      <c r="IML197" s="2"/>
      <c r="IMM197" s="2"/>
      <c r="IMN197" s="2"/>
      <c r="IMO197" s="2"/>
      <c r="IMP197" s="2"/>
      <c r="IMQ197" s="2"/>
      <c r="IMR197" s="2"/>
      <c r="IMS197" s="2"/>
      <c r="IMT197" s="2"/>
      <c r="IMU197" s="2"/>
      <c r="IMV197" s="2"/>
      <c r="IMW197" s="2"/>
      <c r="IMX197" s="2"/>
      <c r="IMY197" s="2"/>
      <c r="IMZ197" s="2"/>
      <c r="INA197" s="2"/>
      <c r="INB197" s="2"/>
      <c r="INC197" s="2"/>
      <c r="IND197" s="2"/>
      <c r="INE197" s="2"/>
      <c r="INF197" s="2"/>
      <c r="ING197" s="2"/>
      <c r="INH197" s="2"/>
      <c r="INI197" s="2"/>
      <c r="INJ197" s="2"/>
      <c r="INK197" s="2"/>
      <c r="INL197" s="2"/>
      <c r="INM197" s="2"/>
      <c r="INN197" s="2"/>
      <c r="INO197" s="2"/>
      <c r="INP197" s="2"/>
      <c r="INQ197" s="2"/>
      <c r="INR197" s="2"/>
      <c r="INS197" s="2"/>
      <c r="INT197" s="2"/>
      <c r="INU197" s="2"/>
      <c r="INV197" s="2"/>
      <c r="INW197" s="2"/>
      <c r="INX197" s="2"/>
      <c r="INY197" s="2"/>
      <c r="INZ197" s="2"/>
      <c r="IOA197" s="2"/>
      <c r="IOB197" s="2"/>
      <c r="IOC197" s="2"/>
      <c r="IOD197" s="2"/>
      <c r="IOE197" s="2"/>
      <c r="IOF197" s="2"/>
      <c r="IOG197" s="2"/>
      <c r="IOH197" s="2"/>
      <c r="IOI197" s="2"/>
      <c r="IOJ197" s="2"/>
      <c r="IOK197" s="2"/>
      <c r="IOL197" s="2"/>
      <c r="IOM197" s="2"/>
      <c r="ION197" s="2"/>
      <c r="IOO197" s="2"/>
      <c r="IOP197" s="2"/>
      <c r="IOQ197" s="2"/>
      <c r="IOR197" s="2"/>
      <c r="IOS197" s="2"/>
      <c r="IOT197" s="2"/>
      <c r="IOU197" s="2"/>
      <c r="IOV197" s="2"/>
      <c r="IOW197" s="2"/>
      <c r="IOX197" s="2"/>
      <c r="IOY197" s="2"/>
      <c r="IOZ197" s="2"/>
      <c r="IPA197" s="2"/>
      <c r="IPB197" s="2"/>
      <c r="IPC197" s="2"/>
      <c r="IPD197" s="2"/>
      <c r="IPE197" s="2"/>
      <c r="IPF197" s="2"/>
      <c r="IPG197" s="2"/>
      <c r="IPH197" s="2"/>
      <c r="IPI197" s="2"/>
      <c r="IPJ197" s="2"/>
      <c r="IPK197" s="2"/>
      <c r="IPL197" s="2"/>
      <c r="IPM197" s="2"/>
      <c r="IPN197" s="2"/>
      <c r="IPO197" s="2"/>
      <c r="IPP197" s="2"/>
      <c r="IPQ197" s="2"/>
      <c r="IPR197" s="2"/>
      <c r="IPS197" s="2"/>
      <c r="IPT197" s="2"/>
      <c r="IPU197" s="2"/>
      <c r="IPV197" s="2"/>
      <c r="IPW197" s="2"/>
      <c r="IPX197" s="2"/>
      <c r="IPY197" s="2"/>
      <c r="IPZ197" s="2"/>
      <c r="IQA197" s="2"/>
      <c r="IQB197" s="2"/>
      <c r="IQC197" s="2"/>
      <c r="IQD197" s="2"/>
      <c r="IQE197" s="2"/>
      <c r="IQF197" s="2"/>
      <c r="IQG197" s="2"/>
      <c r="IQH197" s="2"/>
      <c r="IQI197" s="2"/>
      <c r="IQJ197" s="2"/>
      <c r="IQK197" s="2"/>
      <c r="IQL197" s="2"/>
      <c r="IQM197" s="2"/>
      <c r="IQN197" s="2"/>
      <c r="IQO197" s="2"/>
      <c r="IQP197" s="2"/>
      <c r="IQQ197" s="2"/>
      <c r="IQR197" s="2"/>
      <c r="IQS197" s="2"/>
      <c r="IQT197" s="2"/>
      <c r="IQU197" s="2"/>
      <c r="IQV197" s="2"/>
      <c r="IQW197" s="2"/>
      <c r="IQX197" s="2"/>
      <c r="IQY197" s="2"/>
      <c r="IQZ197" s="2"/>
      <c r="IRA197" s="2"/>
      <c r="IRB197" s="2"/>
      <c r="IRC197" s="2"/>
      <c r="IRD197" s="2"/>
      <c r="IRE197" s="2"/>
      <c r="IRF197" s="2"/>
      <c r="IRG197" s="2"/>
      <c r="IRH197" s="2"/>
      <c r="IRI197" s="2"/>
      <c r="IRJ197" s="2"/>
      <c r="IRK197" s="2"/>
      <c r="IRL197" s="2"/>
      <c r="IRM197" s="2"/>
      <c r="IRN197" s="2"/>
      <c r="IRO197" s="2"/>
      <c r="IRP197" s="2"/>
      <c r="IRQ197" s="2"/>
      <c r="IRR197" s="2"/>
      <c r="IRS197" s="2"/>
      <c r="IRT197" s="2"/>
      <c r="IRU197" s="2"/>
      <c r="IRV197" s="2"/>
      <c r="IRW197" s="2"/>
      <c r="IRX197" s="2"/>
      <c r="IRY197" s="2"/>
      <c r="IRZ197" s="2"/>
      <c r="ISA197" s="2"/>
      <c r="ISB197" s="2"/>
      <c r="ISC197" s="2"/>
      <c r="ISD197" s="2"/>
      <c r="ISE197" s="2"/>
      <c r="ISF197" s="2"/>
      <c r="ISG197" s="2"/>
      <c r="ISH197" s="2"/>
      <c r="ISI197" s="2"/>
      <c r="ISJ197" s="2"/>
      <c r="ISK197" s="2"/>
      <c r="ISL197" s="2"/>
      <c r="ISM197" s="2"/>
      <c r="ISN197" s="2"/>
      <c r="ISO197" s="2"/>
      <c r="ISP197" s="2"/>
      <c r="ISQ197" s="2"/>
      <c r="ISR197" s="2"/>
      <c r="ISS197" s="2"/>
      <c r="IST197" s="2"/>
      <c r="ISU197" s="2"/>
      <c r="ISV197" s="2"/>
      <c r="ISW197" s="2"/>
      <c r="ISX197" s="2"/>
      <c r="ISY197" s="2"/>
      <c r="ISZ197" s="2"/>
      <c r="ITA197" s="2"/>
      <c r="ITB197" s="2"/>
      <c r="ITC197" s="2"/>
      <c r="ITD197" s="2"/>
      <c r="ITE197" s="2"/>
      <c r="ITF197" s="2"/>
      <c r="ITG197" s="2"/>
      <c r="ITH197" s="2"/>
      <c r="ITI197" s="2"/>
      <c r="ITJ197" s="2"/>
      <c r="ITK197" s="2"/>
      <c r="ITL197" s="2"/>
      <c r="ITM197" s="2"/>
      <c r="ITN197" s="2"/>
      <c r="ITO197" s="2"/>
      <c r="ITP197" s="2"/>
      <c r="ITQ197" s="2"/>
      <c r="ITR197" s="2"/>
      <c r="ITS197" s="2"/>
      <c r="ITT197" s="2"/>
      <c r="ITU197" s="2"/>
      <c r="ITV197" s="2"/>
      <c r="ITW197" s="2"/>
      <c r="ITX197" s="2"/>
      <c r="ITY197" s="2"/>
      <c r="ITZ197" s="2"/>
      <c r="IUA197" s="2"/>
      <c r="IUB197" s="2"/>
      <c r="IUC197" s="2"/>
      <c r="IUD197" s="2"/>
      <c r="IUE197" s="2"/>
      <c r="IUF197" s="2"/>
      <c r="IUG197" s="2"/>
      <c r="IUH197" s="2"/>
      <c r="IUI197" s="2"/>
      <c r="IUJ197" s="2"/>
      <c r="IUK197" s="2"/>
      <c r="IUL197" s="2"/>
      <c r="IUM197" s="2"/>
      <c r="IUN197" s="2"/>
      <c r="IUO197" s="2"/>
      <c r="IUP197" s="2"/>
      <c r="IUQ197" s="2"/>
      <c r="IUR197" s="2"/>
      <c r="IUS197" s="2"/>
      <c r="IUT197" s="2"/>
      <c r="IUU197" s="2"/>
      <c r="IUV197" s="2"/>
      <c r="IUW197" s="2"/>
      <c r="IUX197" s="2"/>
      <c r="IUY197" s="2"/>
      <c r="IUZ197" s="2"/>
      <c r="IVA197" s="2"/>
      <c r="IVB197" s="2"/>
      <c r="IVC197" s="2"/>
      <c r="IVD197" s="2"/>
      <c r="IVE197" s="2"/>
      <c r="IVF197" s="2"/>
      <c r="IVG197" s="2"/>
      <c r="IVH197" s="2"/>
      <c r="IVI197" s="2"/>
      <c r="IVJ197" s="2"/>
      <c r="IVK197" s="2"/>
      <c r="IVL197" s="2"/>
      <c r="IVM197" s="2"/>
      <c r="IVN197" s="2"/>
      <c r="IVO197" s="2"/>
      <c r="IVP197" s="2"/>
      <c r="IVQ197" s="2"/>
      <c r="IVR197" s="2"/>
      <c r="IVS197" s="2"/>
      <c r="IVT197" s="2"/>
      <c r="IVU197" s="2"/>
      <c r="IVV197" s="2"/>
      <c r="IVW197" s="2"/>
      <c r="IVX197" s="2"/>
      <c r="IVY197" s="2"/>
      <c r="IVZ197" s="2"/>
      <c r="IWA197" s="2"/>
      <c r="IWB197" s="2"/>
      <c r="IWC197" s="2"/>
      <c r="IWD197" s="2"/>
      <c r="IWE197" s="2"/>
      <c r="IWF197" s="2"/>
      <c r="IWG197" s="2"/>
      <c r="IWH197" s="2"/>
      <c r="IWI197" s="2"/>
      <c r="IWJ197" s="2"/>
      <c r="IWK197" s="2"/>
      <c r="IWL197" s="2"/>
      <c r="IWM197" s="2"/>
      <c r="IWN197" s="2"/>
      <c r="IWO197" s="2"/>
      <c r="IWP197" s="2"/>
      <c r="IWQ197" s="2"/>
      <c r="IWR197" s="2"/>
      <c r="IWS197" s="2"/>
      <c r="IWT197" s="2"/>
      <c r="IWU197" s="2"/>
      <c r="IWV197" s="2"/>
      <c r="IWW197" s="2"/>
      <c r="IWX197" s="2"/>
      <c r="IWY197" s="2"/>
      <c r="IWZ197" s="2"/>
      <c r="IXA197" s="2"/>
      <c r="IXB197" s="2"/>
      <c r="IXC197" s="2"/>
      <c r="IXD197" s="2"/>
      <c r="IXE197" s="2"/>
      <c r="IXF197" s="2"/>
      <c r="IXG197" s="2"/>
      <c r="IXH197" s="2"/>
      <c r="IXI197" s="2"/>
      <c r="IXJ197" s="2"/>
      <c r="IXK197" s="2"/>
      <c r="IXL197" s="2"/>
      <c r="IXM197" s="2"/>
      <c r="IXN197" s="2"/>
      <c r="IXO197" s="2"/>
      <c r="IXP197" s="2"/>
      <c r="IXQ197" s="2"/>
      <c r="IXR197" s="2"/>
      <c r="IXS197" s="2"/>
      <c r="IXT197" s="2"/>
      <c r="IXU197" s="2"/>
      <c r="IXV197" s="2"/>
      <c r="IXW197" s="2"/>
      <c r="IXX197" s="2"/>
      <c r="IXY197" s="2"/>
      <c r="IXZ197" s="2"/>
      <c r="IYA197" s="2"/>
      <c r="IYB197" s="2"/>
      <c r="IYC197" s="2"/>
      <c r="IYD197" s="2"/>
      <c r="IYE197" s="2"/>
      <c r="IYF197" s="2"/>
      <c r="IYG197" s="2"/>
      <c r="IYH197" s="2"/>
      <c r="IYI197" s="2"/>
      <c r="IYJ197" s="2"/>
      <c r="IYK197" s="2"/>
      <c r="IYL197" s="2"/>
      <c r="IYM197" s="2"/>
      <c r="IYN197" s="2"/>
      <c r="IYO197" s="2"/>
      <c r="IYP197" s="2"/>
      <c r="IYQ197" s="2"/>
      <c r="IYR197" s="2"/>
      <c r="IYS197" s="2"/>
      <c r="IYT197" s="2"/>
      <c r="IYU197" s="2"/>
      <c r="IYV197" s="2"/>
      <c r="IYW197" s="2"/>
      <c r="IYX197" s="2"/>
      <c r="IYY197" s="2"/>
      <c r="IYZ197" s="2"/>
      <c r="IZA197" s="2"/>
      <c r="IZB197" s="2"/>
      <c r="IZC197" s="2"/>
      <c r="IZD197" s="2"/>
      <c r="IZE197" s="2"/>
      <c r="IZF197" s="2"/>
      <c r="IZG197" s="2"/>
      <c r="IZH197" s="2"/>
      <c r="IZI197" s="2"/>
      <c r="IZJ197" s="2"/>
      <c r="IZK197" s="2"/>
      <c r="IZL197" s="2"/>
      <c r="IZM197" s="2"/>
      <c r="IZN197" s="2"/>
      <c r="IZO197" s="2"/>
      <c r="IZP197" s="2"/>
      <c r="IZQ197" s="2"/>
      <c r="IZR197" s="2"/>
      <c r="IZS197" s="2"/>
      <c r="IZT197" s="2"/>
      <c r="IZU197" s="2"/>
      <c r="IZV197" s="2"/>
      <c r="IZW197" s="2"/>
      <c r="IZX197" s="2"/>
      <c r="IZY197" s="2"/>
      <c r="IZZ197" s="2"/>
      <c r="JAA197" s="2"/>
      <c r="JAB197" s="2"/>
      <c r="JAC197" s="2"/>
      <c r="JAD197" s="2"/>
      <c r="JAE197" s="2"/>
      <c r="JAF197" s="2"/>
      <c r="JAG197" s="2"/>
      <c r="JAH197" s="2"/>
      <c r="JAI197" s="2"/>
      <c r="JAJ197" s="2"/>
      <c r="JAK197" s="2"/>
      <c r="JAL197" s="2"/>
      <c r="JAM197" s="2"/>
      <c r="JAN197" s="2"/>
      <c r="JAO197" s="2"/>
      <c r="JAP197" s="2"/>
      <c r="JAQ197" s="2"/>
      <c r="JAR197" s="2"/>
      <c r="JAS197" s="2"/>
      <c r="JAT197" s="2"/>
      <c r="JAU197" s="2"/>
      <c r="JAV197" s="2"/>
      <c r="JAW197" s="2"/>
      <c r="JAX197" s="2"/>
      <c r="JAY197" s="2"/>
      <c r="JAZ197" s="2"/>
      <c r="JBA197" s="2"/>
      <c r="JBB197" s="2"/>
      <c r="JBC197" s="2"/>
      <c r="JBD197" s="2"/>
      <c r="JBE197" s="2"/>
      <c r="JBF197" s="2"/>
      <c r="JBG197" s="2"/>
      <c r="JBH197" s="2"/>
      <c r="JBI197" s="2"/>
      <c r="JBJ197" s="2"/>
      <c r="JBK197" s="2"/>
      <c r="JBL197" s="2"/>
      <c r="JBM197" s="2"/>
      <c r="JBN197" s="2"/>
      <c r="JBO197" s="2"/>
      <c r="JBP197" s="2"/>
      <c r="JBQ197" s="2"/>
      <c r="JBR197" s="2"/>
      <c r="JBS197" s="2"/>
      <c r="JBT197" s="2"/>
      <c r="JBU197" s="2"/>
      <c r="JBV197" s="2"/>
      <c r="JBW197" s="2"/>
      <c r="JBX197" s="2"/>
      <c r="JBY197" s="2"/>
      <c r="JBZ197" s="2"/>
      <c r="JCA197" s="2"/>
      <c r="JCB197" s="2"/>
      <c r="JCC197" s="2"/>
      <c r="JCD197" s="2"/>
      <c r="JCE197" s="2"/>
      <c r="JCF197" s="2"/>
      <c r="JCG197" s="2"/>
      <c r="JCH197" s="2"/>
      <c r="JCI197" s="2"/>
      <c r="JCJ197" s="2"/>
      <c r="JCK197" s="2"/>
      <c r="JCL197" s="2"/>
      <c r="JCM197" s="2"/>
      <c r="JCN197" s="2"/>
      <c r="JCO197" s="2"/>
      <c r="JCP197" s="2"/>
      <c r="JCQ197" s="2"/>
      <c r="JCR197" s="2"/>
      <c r="JCS197" s="2"/>
      <c r="JCT197" s="2"/>
      <c r="JCU197" s="2"/>
      <c r="JCV197" s="2"/>
      <c r="JCW197" s="2"/>
      <c r="JCX197" s="2"/>
      <c r="JCY197" s="2"/>
      <c r="JCZ197" s="2"/>
      <c r="JDA197" s="2"/>
      <c r="JDB197" s="2"/>
      <c r="JDC197" s="2"/>
      <c r="JDD197" s="2"/>
      <c r="JDE197" s="2"/>
      <c r="JDF197" s="2"/>
      <c r="JDG197" s="2"/>
      <c r="JDH197" s="2"/>
      <c r="JDI197" s="2"/>
      <c r="JDJ197" s="2"/>
      <c r="JDK197" s="2"/>
      <c r="JDL197" s="2"/>
      <c r="JDM197" s="2"/>
      <c r="JDN197" s="2"/>
      <c r="JDO197" s="2"/>
      <c r="JDP197" s="2"/>
      <c r="JDQ197" s="2"/>
      <c r="JDR197" s="2"/>
      <c r="JDS197" s="2"/>
      <c r="JDT197" s="2"/>
      <c r="JDU197" s="2"/>
      <c r="JDV197" s="2"/>
      <c r="JDW197" s="2"/>
      <c r="JDX197" s="2"/>
      <c r="JDY197" s="2"/>
      <c r="JDZ197" s="2"/>
      <c r="JEA197" s="2"/>
      <c r="JEB197" s="2"/>
      <c r="JEC197" s="2"/>
      <c r="JED197" s="2"/>
      <c r="JEE197" s="2"/>
      <c r="JEF197" s="2"/>
      <c r="JEG197" s="2"/>
      <c r="JEH197" s="2"/>
      <c r="JEI197" s="2"/>
      <c r="JEJ197" s="2"/>
      <c r="JEK197" s="2"/>
      <c r="JEL197" s="2"/>
      <c r="JEM197" s="2"/>
      <c r="JEN197" s="2"/>
      <c r="JEO197" s="2"/>
      <c r="JEP197" s="2"/>
      <c r="JEQ197" s="2"/>
      <c r="JER197" s="2"/>
      <c r="JES197" s="2"/>
      <c r="JET197" s="2"/>
      <c r="JEU197" s="2"/>
      <c r="JEV197" s="2"/>
      <c r="JEW197" s="2"/>
      <c r="JEX197" s="2"/>
      <c r="JEY197" s="2"/>
      <c r="JEZ197" s="2"/>
      <c r="JFA197" s="2"/>
      <c r="JFB197" s="2"/>
      <c r="JFC197" s="2"/>
      <c r="JFD197" s="2"/>
      <c r="JFE197" s="2"/>
      <c r="JFF197" s="2"/>
      <c r="JFG197" s="2"/>
      <c r="JFH197" s="2"/>
      <c r="JFI197" s="2"/>
      <c r="JFJ197" s="2"/>
      <c r="JFK197" s="2"/>
      <c r="JFL197" s="2"/>
      <c r="JFM197" s="2"/>
      <c r="JFN197" s="2"/>
      <c r="JFO197" s="2"/>
      <c r="JFP197" s="2"/>
      <c r="JFQ197" s="2"/>
      <c r="JFR197" s="2"/>
      <c r="JFS197" s="2"/>
      <c r="JFT197" s="2"/>
      <c r="JFU197" s="2"/>
      <c r="JFV197" s="2"/>
      <c r="JFW197" s="2"/>
      <c r="JFX197" s="2"/>
      <c r="JFY197" s="2"/>
      <c r="JFZ197" s="2"/>
      <c r="JGA197" s="2"/>
      <c r="JGB197" s="2"/>
      <c r="JGC197" s="2"/>
      <c r="JGD197" s="2"/>
      <c r="JGE197" s="2"/>
      <c r="JGF197" s="2"/>
      <c r="JGG197" s="2"/>
      <c r="JGH197" s="2"/>
      <c r="JGI197" s="2"/>
      <c r="JGJ197" s="2"/>
      <c r="JGK197" s="2"/>
      <c r="JGL197" s="2"/>
      <c r="JGM197" s="2"/>
      <c r="JGN197" s="2"/>
      <c r="JGO197" s="2"/>
      <c r="JGP197" s="2"/>
      <c r="JGQ197" s="2"/>
      <c r="JGR197" s="2"/>
      <c r="JGS197" s="2"/>
      <c r="JGT197" s="2"/>
      <c r="JGU197" s="2"/>
      <c r="JGV197" s="2"/>
      <c r="JGW197" s="2"/>
      <c r="JGX197" s="2"/>
      <c r="JGY197" s="2"/>
      <c r="JGZ197" s="2"/>
      <c r="JHA197" s="2"/>
      <c r="JHB197" s="2"/>
      <c r="JHC197" s="2"/>
      <c r="JHD197" s="2"/>
      <c r="JHE197" s="2"/>
      <c r="JHF197" s="2"/>
      <c r="JHG197" s="2"/>
      <c r="JHH197" s="2"/>
      <c r="JHI197" s="2"/>
      <c r="JHJ197" s="2"/>
      <c r="JHK197" s="2"/>
      <c r="JHL197" s="2"/>
      <c r="JHM197" s="2"/>
      <c r="JHN197" s="2"/>
      <c r="JHO197" s="2"/>
      <c r="JHP197" s="2"/>
      <c r="JHQ197" s="2"/>
      <c r="JHR197" s="2"/>
      <c r="JHS197" s="2"/>
      <c r="JHT197" s="2"/>
      <c r="JHU197" s="2"/>
      <c r="JHV197" s="2"/>
      <c r="JHW197" s="2"/>
      <c r="JHX197" s="2"/>
      <c r="JHY197" s="2"/>
      <c r="JHZ197" s="2"/>
      <c r="JIA197" s="2"/>
      <c r="JIB197" s="2"/>
      <c r="JIC197" s="2"/>
      <c r="JID197" s="2"/>
      <c r="JIE197" s="2"/>
      <c r="JIF197" s="2"/>
      <c r="JIG197" s="2"/>
      <c r="JIH197" s="2"/>
      <c r="JII197" s="2"/>
      <c r="JIJ197" s="2"/>
      <c r="JIK197" s="2"/>
      <c r="JIL197" s="2"/>
      <c r="JIM197" s="2"/>
      <c r="JIN197" s="2"/>
      <c r="JIO197" s="2"/>
      <c r="JIP197" s="2"/>
      <c r="JIQ197" s="2"/>
      <c r="JIR197" s="2"/>
      <c r="JIS197" s="2"/>
      <c r="JIT197" s="2"/>
      <c r="JIU197" s="2"/>
      <c r="JIV197" s="2"/>
      <c r="JIW197" s="2"/>
      <c r="JIX197" s="2"/>
      <c r="JIY197" s="2"/>
      <c r="JIZ197" s="2"/>
      <c r="JJA197" s="2"/>
      <c r="JJB197" s="2"/>
      <c r="JJC197" s="2"/>
      <c r="JJD197" s="2"/>
      <c r="JJE197" s="2"/>
      <c r="JJF197" s="2"/>
      <c r="JJG197" s="2"/>
      <c r="JJH197" s="2"/>
      <c r="JJI197" s="2"/>
      <c r="JJJ197" s="2"/>
      <c r="JJK197" s="2"/>
      <c r="JJL197" s="2"/>
      <c r="JJM197" s="2"/>
      <c r="JJN197" s="2"/>
      <c r="JJO197" s="2"/>
      <c r="JJP197" s="2"/>
      <c r="JJQ197" s="2"/>
      <c r="JJR197" s="2"/>
      <c r="JJS197" s="2"/>
      <c r="JJT197" s="2"/>
      <c r="JJU197" s="2"/>
      <c r="JJV197" s="2"/>
      <c r="JJW197" s="2"/>
      <c r="JJX197" s="2"/>
      <c r="JJY197" s="2"/>
      <c r="JJZ197" s="2"/>
      <c r="JKA197" s="2"/>
      <c r="JKB197" s="2"/>
      <c r="JKC197" s="2"/>
      <c r="JKD197" s="2"/>
      <c r="JKE197" s="2"/>
      <c r="JKF197" s="2"/>
      <c r="JKG197" s="2"/>
      <c r="JKH197" s="2"/>
      <c r="JKI197" s="2"/>
      <c r="JKJ197" s="2"/>
      <c r="JKK197" s="2"/>
      <c r="JKL197" s="2"/>
      <c r="JKM197" s="2"/>
      <c r="JKN197" s="2"/>
      <c r="JKO197" s="2"/>
      <c r="JKP197" s="2"/>
      <c r="JKQ197" s="2"/>
      <c r="JKR197" s="2"/>
      <c r="JKS197" s="2"/>
      <c r="JKT197" s="2"/>
      <c r="JKU197" s="2"/>
      <c r="JKV197" s="2"/>
      <c r="JKW197" s="2"/>
      <c r="JKX197" s="2"/>
      <c r="JKY197" s="2"/>
      <c r="JKZ197" s="2"/>
      <c r="JLA197" s="2"/>
      <c r="JLB197" s="2"/>
      <c r="JLC197" s="2"/>
      <c r="JLD197" s="2"/>
      <c r="JLE197" s="2"/>
      <c r="JLF197" s="2"/>
      <c r="JLG197" s="2"/>
      <c r="JLH197" s="2"/>
      <c r="JLI197" s="2"/>
      <c r="JLJ197" s="2"/>
      <c r="JLK197" s="2"/>
      <c r="JLL197" s="2"/>
      <c r="JLM197" s="2"/>
      <c r="JLN197" s="2"/>
      <c r="JLO197" s="2"/>
      <c r="JLP197" s="2"/>
      <c r="JLQ197" s="2"/>
      <c r="JLR197" s="2"/>
      <c r="JLS197" s="2"/>
      <c r="JLT197" s="2"/>
      <c r="JLU197" s="2"/>
      <c r="JLV197" s="2"/>
      <c r="JLW197" s="2"/>
      <c r="JLX197" s="2"/>
      <c r="JLY197" s="2"/>
      <c r="JLZ197" s="2"/>
      <c r="JMA197" s="2"/>
      <c r="JMB197" s="2"/>
      <c r="JMC197" s="2"/>
      <c r="JMD197" s="2"/>
      <c r="JME197" s="2"/>
      <c r="JMF197" s="2"/>
      <c r="JMG197" s="2"/>
      <c r="JMH197" s="2"/>
      <c r="JMI197" s="2"/>
      <c r="JMJ197" s="2"/>
      <c r="JMK197" s="2"/>
      <c r="JML197" s="2"/>
      <c r="JMM197" s="2"/>
      <c r="JMN197" s="2"/>
      <c r="JMO197" s="2"/>
      <c r="JMP197" s="2"/>
      <c r="JMQ197" s="2"/>
      <c r="JMR197" s="2"/>
      <c r="JMS197" s="2"/>
      <c r="JMT197" s="2"/>
      <c r="JMU197" s="2"/>
      <c r="JMV197" s="2"/>
      <c r="JMW197" s="2"/>
      <c r="JMX197" s="2"/>
      <c r="JMY197" s="2"/>
      <c r="JMZ197" s="2"/>
      <c r="JNA197" s="2"/>
      <c r="JNB197" s="2"/>
      <c r="JNC197" s="2"/>
      <c r="JND197" s="2"/>
      <c r="JNE197" s="2"/>
      <c r="JNF197" s="2"/>
      <c r="JNG197" s="2"/>
      <c r="JNH197" s="2"/>
      <c r="JNI197" s="2"/>
      <c r="JNJ197" s="2"/>
      <c r="JNK197" s="2"/>
      <c r="JNL197" s="2"/>
      <c r="JNM197" s="2"/>
      <c r="JNN197" s="2"/>
      <c r="JNO197" s="2"/>
      <c r="JNP197" s="2"/>
      <c r="JNQ197" s="2"/>
      <c r="JNR197" s="2"/>
      <c r="JNS197" s="2"/>
      <c r="JNT197" s="2"/>
      <c r="JNU197" s="2"/>
      <c r="JNV197" s="2"/>
      <c r="JNW197" s="2"/>
      <c r="JNX197" s="2"/>
      <c r="JNY197" s="2"/>
      <c r="JNZ197" s="2"/>
      <c r="JOA197" s="2"/>
      <c r="JOB197" s="2"/>
      <c r="JOC197" s="2"/>
      <c r="JOD197" s="2"/>
      <c r="JOE197" s="2"/>
      <c r="JOF197" s="2"/>
      <c r="JOG197" s="2"/>
      <c r="JOH197" s="2"/>
      <c r="JOI197" s="2"/>
      <c r="JOJ197" s="2"/>
      <c r="JOK197" s="2"/>
      <c r="JOL197" s="2"/>
      <c r="JOM197" s="2"/>
      <c r="JON197" s="2"/>
      <c r="JOO197" s="2"/>
      <c r="JOP197" s="2"/>
      <c r="JOQ197" s="2"/>
      <c r="JOR197" s="2"/>
      <c r="JOS197" s="2"/>
      <c r="JOT197" s="2"/>
      <c r="JOU197" s="2"/>
      <c r="JOV197" s="2"/>
      <c r="JOW197" s="2"/>
      <c r="JOX197" s="2"/>
      <c r="JOY197" s="2"/>
      <c r="JOZ197" s="2"/>
      <c r="JPA197" s="2"/>
      <c r="JPB197" s="2"/>
      <c r="JPC197" s="2"/>
      <c r="JPD197" s="2"/>
      <c r="JPE197" s="2"/>
      <c r="JPF197" s="2"/>
      <c r="JPG197" s="2"/>
      <c r="JPH197" s="2"/>
      <c r="JPI197" s="2"/>
      <c r="JPJ197" s="2"/>
      <c r="JPK197" s="2"/>
      <c r="JPL197" s="2"/>
      <c r="JPM197" s="2"/>
      <c r="JPN197" s="2"/>
      <c r="JPO197" s="2"/>
      <c r="JPP197" s="2"/>
      <c r="JPQ197" s="2"/>
      <c r="JPR197" s="2"/>
      <c r="JPS197" s="2"/>
      <c r="JPT197" s="2"/>
      <c r="JPU197" s="2"/>
      <c r="JPV197" s="2"/>
      <c r="JPW197" s="2"/>
      <c r="JPX197" s="2"/>
      <c r="JPY197" s="2"/>
      <c r="JPZ197" s="2"/>
      <c r="JQA197" s="2"/>
      <c r="JQB197" s="2"/>
      <c r="JQC197" s="2"/>
      <c r="JQD197" s="2"/>
      <c r="JQE197" s="2"/>
      <c r="JQF197" s="2"/>
      <c r="JQG197" s="2"/>
      <c r="JQH197" s="2"/>
      <c r="JQI197" s="2"/>
      <c r="JQJ197" s="2"/>
      <c r="JQK197" s="2"/>
      <c r="JQL197" s="2"/>
      <c r="JQM197" s="2"/>
      <c r="JQN197" s="2"/>
      <c r="JQO197" s="2"/>
      <c r="JQP197" s="2"/>
      <c r="JQQ197" s="2"/>
      <c r="JQR197" s="2"/>
      <c r="JQS197" s="2"/>
      <c r="JQT197" s="2"/>
      <c r="JQU197" s="2"/>
      <c r="JQV197" s="2"/>
      <c r="JQW197" s="2"/>
      <c r="JQX197" s="2"/>
      <c r="JQY197" s="2"/>
      <c r="JQZ197" s="2"/>
      <c r="JRA197" s="2"/>
      <c r="JRB197" s="2"/>
      <c r="JRC197" s="2"/>
      <c r="JRD197" s="2"/>
      <c r="JRE197" s="2"/>
      <c r="JRF197" s="2"/>
      <c r="JRG197" s="2"/>
      <c r="JRH197" s="2"/>
      <c r="JRI197" s="2"/>
      <c r="JRJ197" s="2"/>
      <c r="JRK197" s="2"/>
      <c r="JRL197" s="2"/>
      <c r="JRM197" s="2"/>
      <c r="JRN197" s="2"/>
      <c r="JRO197" s="2"/>
      <c r="JRP197" s="2"/>
      <c r="JRQ197" s="2"/>
      <c r="JRR197" s="2"/>
      <c r="JRS197" s="2"/>
      <c r="JRT197" s="2"/>
      <c r="JRU197" s="2"/>
      <c r="JRV197" s="2"/>
      <c r="JRW197" s="2"/>
      <c r="JRX197" s="2"/>
      <c r="JRY197" s="2"/>
      <c r="JRZ197" s="2"/>
      <c r="JSA197" s="2"/>
      <c r="JSB197" s="2"/>
      <c r="JSC197" s="2"/>
      <c r="JSD197" s="2"/>
      <c r="JSE197" s="2"/>
      <c r="JSF197" s="2"/>
      <c r="JSG197" s="2"/>
      <c r="JSH197" s="2"/>
      <c r="JSI197" s="2"/>
      <c r="JSJ197" s="2"/>
      <c r="JSK197" s="2"/>
      <c r="JSL197" s="2"/>
      <c r="JSM197" s="2"/>
      <c r="JSN197" s="2"/>
      <c r="JSO197" s="2"/>
      <c r="JSP197" s="2"/>
      <c r="JSQ197" s="2"/>
      <c r="JSR197" s="2"/>
      <c r="JSS197" s="2"/>
      <c r="JST197" s="2"/>
      <c r="JSU197" s="2"/>
      <c r="JSV197" s="2"/>
      <c r="JSW197" s="2"/>
      <c r="JSX197" s="2"/>
      <c r="JSY197" s="2"/>
      <c r="JSZ197" s="2"/>
      <c r="JTA197" s="2"/>
      <c r="JTB197" s="2"/>
      <c r="JTC197" s="2"/>
      <c r="JTD197" s="2"/>
      <c r="JTE197" s="2"/>
      <c r="JTF197" s="2"/>
      <c r="JTG197" s="2"/>
      <c r="JTH197" s="2"/>
      <c r="JTI197" s="2"/>
      <c r="JTJ197" s="2"/>
      <c r="JTK197" s="2"/>
      <c r="JTL197" s="2"/>
      <c r="JTM197" s="2"/>
      <c r="JTN197" s="2"/>
      <c r="JTO197" s="2"/>
      <c r="JTP197" s="2"/>
      <c r="JTQ197" s="2"/>
      <c r="JTR197" s="2"/>
      <c r="JTS197" s="2"/>
      <c r="JTT197" s="2"/>
      <c r="JTU197" s="2"/>
      <c r="JTV197" s="2"/>
      <c r="JTW197" s="2"/>
      <c r="JTX197" s="2"/>
      <c r="JTY197" s="2"/>
      <c r="JTZ197" s="2"/>
      <c r="JUA197" s="2"/>
      <c r="JUB197" s="2"/>
      <c r="JUC197" s="2"/>
      <c r="JUD197" s="2"/>
      <c r="JUE197" s="2"/>
      <c r="JUF197" s="2"/>
      <c r="JUG197" s="2"/>
      <c r="JUH197" s="2"/>
      <c r="JUI197" s="2"/>
      <c r="JUJ197" s="2"/>
      <c r="JUK197" s="2"/>
      <c r="JUL197" s="2"/>
      <c r="JUM197" s="2"/>
      <c r="JUN197" s="2"/>
      <c r="JUO197" s="2"/>
      <c r="JUP197" s="2"/>
      <c r="JUQ197" s="2"/>
      <c r="JUR197" s="2"/>
      <c r="JUS197" s="2"/>
      <c r="JUT197" s="2"/>
      <c r="JUU197" s="2"/>
      <c r="JUV197" s="2"/>
      <c r="JUW197" s="2"/>
      <c r="JUX197" s="2"/>
      <c r="JUY197" s="2"/>
      <c r="JUZ197" s="2"/>
      <c r="JVA197" s="2"/>
      <c r="JVB197" s="2"/>
      <c r="JVC197" s="2"/>
      <c r="JVD197" s="2"/>
      <c r="JVE197" s="2"/>
      <c r="JVF197" s="2"/>
      <c r="JVG197" s="2"/>
      <c r="JVH197" s="2"/>
      <c r="JVI197" s="2"/>
      <c r="JVJ197" s="2"/>
      <c r="JVK197" s="2"/>
      <c r="JVL197" s="2"/>
      <c r="JVM197" s="2"/>
      <c r="JVN197" s="2"/>
      <c r="JVO197" s="2"/>
      <c r="JVP197" s="2"/>
      <c r="JVQ197" s="2"/>
      <c r="JVR197" s="2"/>
      <c r="JVS197" s="2"/>
      <c r="JVT197" s="2"/>
      <c r="JVU197" s="2"/>
      <c r="JVV197" s="2"/>
      <c r="JVW197" s="2"/>
      <c r="JVX197" s="2"/>
      <c r="JVY197" s="2"/>
      <c r="JVZ197" s="2"/>
      <c r="JWA197" s="2"/>
      <c r="JWB197" s="2"/>
      <c r="JWC197" s="2"/>
      <c r="JWD197" s="2"/>
      <c r="JWE197" s="2"/>
      <c r="JWF197" s="2"/>
      <c r="JWG197" s="2"/>
      <c r="JWH197" s="2"/>
      <c r="JWI197" s="2"/>
      <c r="JWJ197" s="2"/>
      <c r="JWK197" s="2"/>
      <c r="JWL197" s="2"/>
      <c r="JWM197" s="2"/>
      <c r="JWN197" s="2"/>
      <c r="JWO197" s="2"/>
      <c r="JWP197" s="2"/>
      <c r="JWQ197" s="2"/>
      <c r="JWR197" s="2"/>
      <c r="JWS197" s="2"/>
      <c r="JWT197" s="2"/>
      <c r="JWU197" s="2"/>
      <c r="JWV197" s="2"/>
      <c r="JWW197" s="2"/>
      <c r="JWX197" s="2"/>
      <c r="JWY197" s="2"/>
      <c r="JWZ197" s="2"/>
      <c r="JXA197" s="2"/>
      <c r="JXB197" s="2"/>
      <c r="JXC197" s="2"/>
      <c r="JXD197" s="2"/>
      <c r="JXE197" s="2"/>
      <c r="JXF197" s="2"/>
      <c r="JXG197" s="2"/>
      <c r="JXH197" s="2"/>
      <c r="JXI197" s="2"/>
      <c r="JXJ197" s="2"/>
      <c r="JXK197" s="2"/>
      <c r="JXL197" s="2"/>
      <c r="JXM197" s="2"/>
      <c r="JXN197" s="2"/>
      <c r="JXO197" s="2"/>
      <c r="JXP197" s="2"/>
      <c r="JXQ197" s="2"/>
      <c r="JXR197" s="2"/>
      <c r="JXS197" s="2"/>
      <c r="JXT197" s="2"/>
      <c r="JXU197" s="2"/>
      <c r="JXV197" s="2"/>
      <c r="JXW197" s="2"/>
      <c r="JXX197" s="2"/>
      <c r="JXY197" s="2"/>
      <c r="JXZ197" s="2"/>
      <c r="JYA197" s="2"/>
      <c r="JYB197" s="2"/>
      <c r="JYC197" s="2"/>
      <c r="JYD197" s="2"/>
      <c r="JYE197" s="2"/>
      <c r="JYF197" s="2"/>
      <c r="JYG197" s="2"/>
      <c r="JYH197" s="2"/>
      <c r="JYI197" s="2"/>
      <c r="JYJ197" s="2"/>
      <c r="JYK197" s="2"/>
      <c r="JYL197" s="2"/>
      <c r="JYM197" s="2"/>
      <c r="JYN197" s="2"/>
      <c r="JYO197" s="2"/>
      <c r="JYP197" s="2"/>
      <c r="JYQ197" s="2"/>
      <c r="JYR197" s="2"/>
      <c r="JYS197" s="2"/>
      <c r="JYT197" s="2"/>
      <c r="JYU197" s="2"/>
      <c r="JYV197" s="2"/>
      <c r="JYW197" s="2"/>
      <c r="JYX197" s="2"/>
      <c r="JYY197" s="2"/>
      <c r="JYZ197" s="2"/>
      <c r="JZA197" s="2"/>
      <c r="JZB197" s="2"/>
      <c r="JZC197" s="2"/>
      <c r="JZD197" s="2"/>
      <c r="JZE197" s="2"/>
      <c r="JZF197" s="2"/>
      <c r="JZG197" s="2"/>
      <c r="JZH197" s="2"/>
      <c r="JZI197" s="2"/>
      <c r="JZJ197" s="2"/>
      <c r="JZK197" s="2"/>
      <c r="JZL197" s="2"/>
      <c r="JZM197" s="2"/>
      <c r="JZN197" s="2"/>
      <c r="JZO197" s="2"/>
      <c r="JZP197" s="2"/>
      <c r="JZQ197" s="2"/>
      <c r="JZR197" s="2"/>
      <c r="JZS197" s="2"/>
      <c r="JZT197" s="2"/>
      <c r="JZU197" s="2"/>
      <c r="JZV197" s="2"/>
      <c r="JZW197" s="2"/>
      <c r="JZX197" s="2"/>
      <c r="JZY197" s="2"/>
      <c r="JZZ197" s="2"/>
      <c r="KAA197" s="2"/>
      <c r="KAB197" s="2"/>
      <c r="KAC197" s="2"/>
      <c r="KAD197" s="2"/>
      <c r="KAE197" s="2"/>
      <c r="KAF197" s="2"/>
      <c r="KAG197" s="2"/>
      <c r="KAH197" s="2"/>
      <c r="KAI197" s="2"/>
      <c r="KAJ197" s="2"/>
      <c r="KAK197" s="2"/>
      <c r="KAL197" s="2"/>
      <c r="KAM197" s="2"/>
      <c r="KAN197" s="2"/>
      <c r="KAO197" s="2"/>
      <c r="KAP197" s="2"/>
      <c r="KAQ197" s="2"/>
      <c r="KAR197" s="2"/>
      <c r="KAS197" s="2"/>
      <c r="KAT197" s="2"/>
      <c r="KAU197" s="2"/>
      <c r="KAV197" s="2"/>
      <c r="KAW197" s="2"/>
      <c r="KAX197" s="2"/>
      <c r="KAY197" s="2"/>
      <c r="KAZ197" s="2"/>
      <c r="KBA197" s="2"/>
      <c r="KBB197" s="2"/>
      <c r="KBC197" s="2"/>
      <c r="KBD197" s="2"/>
      <c r="KBE197" s="2"/>
      <c r="KBF197" s="2"/>
      <c r="KBG197" s="2"/>
      <c r="KBH197" s="2"/>
      <c r="KBI197" s="2"/>
      <c r="KBJ197" s="2"/>
      <c r="KBK197" s="2"/>
      <c r="KBL197" s="2"/>
      <c r="KBM197" s="2"/>
      <c r="KBN197" s="2"/>
      <c r="KBO197" s="2"/>
      <c r="KBP197" s="2"/>
      <c r="KBQ197" s="2"/>
      <c r="KBR197" s="2"/>
      <c r="KBS197" s="2"/>
      <c r="KBT197" s="2"/>
      <c r="KBU197" s="2"/>
      <c r="KBV197" s="2"/>
      <c r="KBW197" s="2"/>
      <c r="KBX197" s="2"/>
      <c r="KBY197" s="2"/>
      <c r="KBZ197" s="2"/>
      <c r="KCA197" s="2"/>
      <c r="KCB197" s="2"/>
      <c r="KCC197" s="2"/>
      <c r="KCD197" s="2"/>
      <c r="KCE197" s="2"/>
      <c r="KCF197" s="2"/>
      <c r="KCG197" s="2"/>
      <c r="KCH197" s="2"/>
      <c r="KCI197" s="2"/>
      <c r="KCJ197" s="2"/>
      <c r="KCK197" s="2"/>
      <c r="KCL197" s="2"/>
      <c r="KCM197" s="2"/>
      <c r="KCN197" s="2"/>
      <c r="KCO197" s="2"/>
      <c r="KCP197" s="2"/>
      <c r="KCQ197" s="2"/>
      <c r="KCR197" s="2"/>
      <c r="KCS197" s="2"/>
      <c r="KCT197" s="2"/>
      <c r="KCU197" s="2"/>
      <c r="KCV197" s="2"/>
      <c r="KCW197" s="2"/>
      <c r="KCX197" s="2"/>
      <c r="KCY197" s="2"/>
      <c r="KCZ197" s="2"/>
      <c r="KDA197" s="2"/>
      <c r="KDB197" s="2"/>
      <c r="KDC197" s="2"/>
      <c r="KDD197" s="2"/>
      <c r="KDE197" s="2"/>
      <c r="KDF197" s="2"/>
      <c r="KDG197" s="2"/>
      <c r="KDH197" s="2"/>
      <c r="KDI197" s="2"/>
      <c r="KDJ197" s="2"/>
      <c r="KDK197" s="2"/>
      <c r="KDL197" s="2"/>
      <c r="KDM197" s="2"/>
      <c r="KDN197" s="2"/>
      <c r="KDO197" s="2"/>
      <c r="KDP197" s="2"/>
      <c r="KDQ197" s="2"/>
      <c r="KDR197" s="2"/>
      <c r="KDS197" s="2"/>
      <c r="KDT197" s="2"/>
      <c r="KDU197" s="2"/>
      <c r="KDV197" s="2"/>
      <c r="KDW197" s="2"/>
      <c r="KDX197" s="2"/>
      <c r="KDY197" s="2"/>
      <c r="KDZ197" s="2"/>
      <c r="KEA197" s="2"/>
      <c r="KEB197" s="2"/>
      <c r="KEC197" s="2"/>
      <c r="KED197" s="2"/>
      <c r="KEE197" s="2"/>
      <c r="KEF197" s="2"/>
      <c r="KEG197" s="2"/>
      <c r="KEH197" s="2"/>
      <c r="KEI197" s="2"/>
      <c r="KEJ197" s="2"/>
      <c r="KEK197" s="2"/>
      <c r="KEL197" s="2"/>
      <c r="KEM197" s="2"/>
      <c r="KEN197" s="2"/>
      <c r="KEO197" s="2"/>
      <c r="KEP197" s="2"/>
      <c r="KEQ197" s="2"/>
      <c r="KER197" s="2"/>
      <c r="KES197" s="2"/>
      <c r="KET197" s="2"/>
      <c r="KEU197" s="2"/>
      <c r="KEV197" s="2"/>
      <c r="KEW197" s="2"/>
      <c r="KEX197" s="2"/>
      <c r="KEY197" s="2"/>
      <c r="KEZ197" s="2"/>
      <c r="KFA197" s="2"/>
      <c r="KFB197" s="2"/>
      <c r="KFC197" s="2"/>
      <c r="KFD197" s="2"/>
      <c r="KFE197" s="2"/>
      <c r="KFF197" s="2"/>
      <c r="KFG197" s="2"/>
      <c r="KFH197" s="2"/>
      <c r="KFI197" s="2"/>
      <c r="KFJ197" s="2"/>
      <c r="KFK197" s="2"/>
      <c r="KFL197" s="2"/>
      <c r="KFM197" s="2"/>
      <c r="KFN197" s="2"/>
      <c r="KFO197" s="2"/>
      <c r="KFP197" s="2"/>
      <c r="KFQ197" s="2"/>
      <c r="KFR197" s="2"/>
      <c r="KFS197" s="2"/>
      <c r="KFT197" s="2"/>
      <c r="KFU197" s="2"/>
      <c r="KFV197" s="2"/>
      <c r="KFW197" s="2"/>
      <c r="KFX197" s="2"/>
      <c r="KFY197" s="2"/>
      <c r="KFZ197" s="2"/>
      <c r="KGA197" s="2"/>
      <c r="KGB197" s="2"/>
      <c r="KGC197" s="2"/>
      <c r="KGD197" s="2"/>
      <c r="KGE197" s="2"/>
      <c r="KGF197" s="2"/>
      <c r="KGG197" s="2"/>
      <c r="KGH197" s="2"/>
      <c r="KGI197" s="2"/>
      <c r="KGJ197" s="2"/>
      <c r="KGK197" s="2"/>
      <c r="KGL197" s="2"/>
      <c r="KGM197" s="2"/>
      <c r="KGN197" s="2"/>
      <c r="KGO197" s="2"/>
      <c r="KGP197" s="2"/>
      <c r="KGQ197" s="2"/>
      <c r="KGR197" s="2"/>
      <c r="KGS197" s="2"/>
      <c r="KGT197" s="2"/>
      <c r="KGU197" s="2"/>
      <c r="KGV197" s="2"/>
      <c r="KGW197" s="2"/>
      <c r="KGX197" s="2"/>
      <c r="KGY197" s="2"/>
      <c r="KGZ197" s="2"/>
      <c r="KHA197" s="2"/>
      <c r="KHB197" s="2"/>
      <c r="KHC197" s="2"/>
      <c r="KHD197" s="2"/>
      <c r="KHE197" s="2"/>
      <c r="KHF197" s="2"/>
      <c r="KHG197" s="2"/>
      <c r="KHH197" s="2"/>
      <c r="KHI197" s="2"/>
      <c r="KHJ197" s="2"/>
      <c r="KHK197" s="2"/>
      <c r="KHL197" s="2"/>
      <c r="KHM197" s="2"/>
      <c r="KHN197" s="2"/>
      <c r="KHO197" s="2"/>
      <c r="KHP197" s="2"/>
      <c r="KHQ197" s="2"/>
      <c r="KHR197" s="2"/>
      <c r="KHS197" s="2"/>
      <c r="KHT197" s="2"/>
      <c r="KHU197" s="2"/>
      <c r="KHV197" s="2"/>
      <c r="KHW197" s="2"/>
      <c r="KHX197" s="2"/>
      <c r="KHY197" s="2"/>
      <c r="KHZ197" s="2"/>
      <c r="KIA197" s="2"/>
      <c r="KIB197" s="2"/>
      <c r="KIC197" s="2"/>
      <c r="KID197" s="2"/>
      <c r="KIE197" s="2"/>
      <c r="KIF197" s="2"/>
      <c r="KIG197" s="2"/>
      <c r="KIH197" s="2"/>
      <c r="KII197" s="2"/>
      <c r="KIJ197" s="2"/>
      <c r="KIK197" s="2"/>
      <c r="KIL197" s="2"/>
      <c r="KIM197" s="2"/>
      <c r="KIN197" s="2"/>
      <c r="KIO197" s="2"/>
      <c r="KIP197" s="2"/>
      <c r="KIQ197" s="2"/>
      <c r="KIR197" s="2"/>
      <c r="KIS197" s="2"/>
      <c r="KIT197" s="2"/>
      <c r="KIU197" s="2"/>
      <c r="KIV197" s="2"/>
      <c r="KIW197" s="2"/>
      <c r="KIX197" s="2"/>
      <c r="KIY197" s="2"/>
      <c r="KIZ197" s="2"/>
      <c r="KJA197" s="2"/>
      <c r="KJB197" s="2"/>
      <c r="KJC197" s="2"/>
      <c r="KJD197" s="2"/>
      <c r="KJE197" s="2"/>
      <c r="KJF197" s="2"/>
      <c r="KJG197" s="2"/>
      <c r="KJH197" s="2"/>
      <c r="KJI197" s="2"/>
      <c r="KJJ197" s="2"/>
      <c r="KJK197" s="2"/>
      <c r="KJL197" s="2"/>
      <c r="KJM197" s="2"/>
      <c r="KJN197" s="2"/>
      <c r="KJO197" s="2"/>
      <c r="KJP197" s="2"/>
      <c r="KJQ197" s="2"/>
      <c r="KJR197" s="2"/>
      <c r="KJS197" s="2"/>
      <c r="KJT197" s="2"/>
      <c r="KJU197" s="2"/>
      <c r="KJV197" s="2"/>
      <c r="KJW197" s="2"/>
      <c r="KJX197" s="2"/>
      <c r="KJY197" s="2"/>
      <c r="KJZ197" s="2"/>
      <c r="KKA197" s="2"/>
      <c r="KKB197" s="2"/>
      <c r="KKC197" s="2"/>
      <c r="KKD197" s="2"/>
      <c r="KKE197" s="2"/>
      <c r="KKF197" s="2"/>
      <c r="KKG197" s="2"/>
      <c r="KKH197" s="2"/>
      <c r="KKI197" s="2"/>
      <c r="KKJ197" s="2"/>
      <c r="KKK197" s="2"/>
      <c r="KKL197" s="2"/>
      <c r="KKM197" s="2"/>
      <c r="KKN197" s="2"/>
      <c r="KKO197" s="2"/>
      <c r="KKP197" s="2"/>
      <c r="KKQ197" s="2"/>
      <c r="KKR197" s="2"/>
      <c r="KKS197" s="2"/>
      <c r="KKT197" s="2"/>
      <c r="KKU197" s="2"/>
      <c r="KKV197" s="2"/>
      <c r="KKW197" s="2"/>
      <c r="KKX197" s="2"/>
      <c r="KKY197" s="2"/>
      <c r="KKZ197" s="2"/>
      <c r="KLA197" s="2"/>
      <c r="KLB197" s="2"/>
      <c r="KLC197" s="2"/>
      <c r="KLD197" s="2"/>
      <c r="KLE197" s="2"/>
      <c r="KLF197" s="2"/>
      <c r="KLG197" s="2"/>
      <c r="KLH197" s="2"/>
      <c r="KLI197" s="2"/>
      <c r="KLJ197" s="2"/>
      <c r="KLK197" s="2"/>
      <c r="KLL197" s="2"/>
      <c r="KLM197" s="2"/>
      <c r="KLN197" s="2"/>
      <c r="KLO197" s="2"/>
      <c r="KLP197" s="2"/>
      <c r="KLQ197" s="2"/>
      <c r="KLR197" s="2"/>
      <c r="KLS197" s="2"/>
      <c r="KLT197" s="2"/>
      <c r="KLU197" s="2"/>
      <c r="KLV197" s="2"/>
      <c r="KLW197" s="2"/>
      <c r="KLX197" s="2"/>
      <c r="KLY197" s="2"/>
      <c r="KLZ197" s="2"/>
      <c r="KMA197" s="2"/>
      <c r="KMB197" s="2"/>
      <c r="KMC197" s="2"/>
      <c r="KMD197" s="2"/>
      <c r="KME197" s="2"/>
      <c r="KMF197" s="2"/>
      <c r="KMG197" s="2"/>
      <c r="KMH197" s="2"/>
      <c r="KMI197" s="2"/>
      <c r="KMJ197" s="2"/>
      <c r="KMK197" s="2"/>
      <c r="KML197" s="2"/>
      <c r="KMM197" s="2"/>
      <c r="KMN197" s="2"/>
      <c r="KMO197" s="2"/>
      <c r="KMP197" s="2"/>
      <c r="KMQ197" s="2"/>
      <c r="KMR197" s="2"/>
      <c r="KMS197" s="2"/>
      <c r="KMT197" s="2"/>
      <c r="KMU197" s="2"/>
      <c r="KMV197" s="2"/>
      <c r="KMW197" s="2"/>
      <c r="KMX197" s="2"/>
      <c r="KMY197" s="2"/>
      <c r="KMZ197" s="2"/>
      <c r="KNA197" s="2"/>
      <c r="KNB197" s="2"/>
      <c r="KNC197" s="2"/>
      <c r="KND197" s="2"/>
      <c r="KNE197" s="2"/>
      <c r="KNF197" s="2"/>
      <c r="KNG197" s="2"/>
      <c r="KNH197" s="2"/>
      <c r="KNI197" s="2"/>
      <c r="KNJ197" s="2"/>
      <c r="KNK197" s="2"/>
      <c r="KNL197" s="2"/>
      <c r="KNM197" s="2"/>
      <c r="KNN197" s="2"/>
      <c r="KNO197" s="2"/>
      <c r="KNP197" s="2"/>
      <c r="KNQ197" s="2"/>
      <c r="KNR197" s="2"/>
      <c r="KNS197" s="2"/>
      <c r="KNT197" s="2"/>
      <c r="KNU197" s="2"/>
      <c r="KNV197" s="2"/>
      <c r="KNW197" s="2"/>
      <c r="KNX197" s="2"/>
      <c r="KNY197" s="2"/>
      <c r="KNZ197" s="2"/>
      <c r="KOA197" s="2"/>
      <c r="KOB197" s="2"/>
      <c r="KOC197" s="2"/>
      <c r="KOD197" s="2"/>
      <c r="KOE197" s="2"/>
      <c r="KOF197" s="2"/>
      <c r="KOG197" s="2"/>
      <c r="KOH197" s="2"/>
      <c r="KOI197" s="2"/>
      <c r="KOJ197" s="2"/>
      <c r="KOK197" s="2"/>
      <c r="KOL197" s="2"/>
      <c r="KOM197" s="2"/>
      <c r="KON197" s="2"/>
      <c r="KOO197" s="2"/>
      <c r="KOP197" s="2"/>
      <c r="KOQ197" s="2"/>
      <c r="KOR197" s="2"/>
      <c r="KOS197" s="2"/>
      <c r="KOT197" s="2"/>
      <c r="KOU197" s="2"/>
      <c r="KOV197" s="2"/>
      <c r="KOW197" s="2"/>
      <c r="KOX197" s="2"/>
      <c r="KOY197" s="2"/>
      <c r="KOZ197" s="2"/>
      <c r="KPA197" s="2"/>
      <c r="KPB197" s="2"/>
      <c r="KPC197" s="2"/>
      <c r="KPD197" s="2"/>
      <c r="KPE197" s="2"/>
      <c r="KPF197" s="2"/>
      <c r="KPG197" s="2"/>
      <c r="KPH197" s="2"/>
      <c r="KPI197" s="2"/>
      <c r="KPJ197" s="2"/>
      <c r="KPK197" s="2"/>
      <c r="KPL197" s="2"/>
      <c r="KPM197" s="2"/>
      <c r="KPN197" s="2"/>
      <c r="KPO197" s="2"/>
      <c r="KPP197" s="2"/>
      <c r="KPQ197" s="2"/>
      <c r="KPR197" s="2"/>
      <c r="KPS197" s="2"/>
      <c r="KPT197" s="2"/>
      <c r="KPU197" s="2"/>
      <c r="KPV197" s="2"/>
      <c r="KPW197" s="2"/>
      <c r="KPX197" s="2"/>
      <c r="KPY197" s="2"/>
      <c r="KPZ197" s="2"/>
      <c r="KQA197" s="2"/>
      <c r="KQB197" s="2"/>
      <c r="KQC197" s="2"/>
      <c r="KQD197" s="2"/>
      <c r="KQE197" s="2"/>
      <c r="KQF197" s="2"/>
      <c r="KQG197" s="2"/>
      <c r="KQH197" s="2"/>
      <c r="KQI197" s="2"/>
      <c r="KQJ197" s="2"/>
      <c r="KQK197" s="2"/>
      <c r="KQL197" s="2"/>
      <c r="KQM197" s="2"/>
      <c r="KQN197" s="2"/>
      <c r="KQO197" s="2"/>
      <c r="KQP197" s="2"/>
      <c r="KQQ197" s="2"/>
      <c r="KQR197" s="2"/>
      <c r="KQS197" s="2"/>
      <c r="KQT197" s="2"/>
      <c r="KQU197" s="2"/>
      <c r="KQV197" s="2"/>
      <c r="KQW197" s="2"/>
      <c r="KQX197" s="2"/>
      <c r="KQY197" s="2"/>
      <c r="KQZ197" s="2"/>
      <c r="KRA197" s="2"/>
      <c r="KRB197" s="2"/>
      <c r="KRC197" s="2"/>
      <c r="KRD197" s="2"/>
      <c r="KRE197" s="2"/>
      <c r="KRF197" s="2"/>
      <c r="KRG197" s="2"/>
      <c r="KRH197" s="2"/>
      <c r="KRI197" s="2"/>
      <c r="KRJ197" s="2"/>
      <c r="KRK197" s="2"/>
      <c r="KRL197" s="2"/>
      <c r="KRM197" s="2"/>
      <c r="KRN197" s="2"/>
      <c r="KRO197" s="2"/>
      <c r="KRP197" s="2"/>
      <c r="KRQ197" s="2"/>
      <c r="KRR197" s="2"/>
      <c r="KRS197" s="2"/>
      <c r="KRT197" s="2"/>
      <c r="KRU197" s="2"/>
      <c r="KRV197" s="2"/>
      <c r="KRW197" s="2"/>
      <c r="KRX197" s="2"/>
      <c r="KRY197" s="2"/>
      <c r="KRZ197" s="2"/>
      <c r="KSA197" s="2"/>
      <c r="KSB197" s="2"/>
      <c r="KSC197" s="2"/>
      <c r="KSD197" s="2"/>
      <c r="KSE197" s="2"/>
      <c r="KSF197" s="2"/>
      <c r="KSG197" s="2"/>
      <c r="KSH197" s="2"/>
      <c r="KSI197" s="2"/>
      <c r="KSJ197" s="2"/>
      <c r="KSK197" s="2"/>
      <c r="KSL197" s="2"/>
      <c r="KSM197" s="2"/>
      <c r="KSN197" s="2"/>
      <c r="KSO197" s="2"/>
      <c r="KSP197" s="2"/>
      <c r="KSQ197" s="2"/>
      <c r="KSR197" s="2"/>
      <c r="KSS197" s="2"/>
      <c r="KST197" s="2"/>
      <c r="KSU197" s="2"/>
      <c r="KSV197" s="2"/>
      <c r="KSW197" s="2"/>
      <c r="KSX197" s="2"/>
      <c r="KSY197" s="2"/>
      <c r="KSZ197" s="2"/>
      <c r="KTA197" s="2"/>
      <c r="KTB197" s="2"/>
      <c r="KTC197" s="2"/>
      <c r="KTD197" s="2"/>
      <c r="KTE197" s="2"/>
      <c r="KTF197" s="2"/>
      <c r="KTG197" s="2"/>
      <c r="KTH197" s="2"/>
      <c r="KTI197" s="2"/>
      <c r="KTJ197" s="2"/>
      <c r="KTK197" s="2"/>
      <c r="KTL197" s="2"/>
      <c r="KTM197" s="2"/>
      <c r="KTN197" s="2"/>
      <c r="KTO197" s="2"/>
      <c r="KTP197" s="2"/>
      <c r="KTQ197" s="2"/>
      <c r="KTR197" s="2"/>
      <c r="KTS197" s="2"/>
      <c r="KTT197" s="2"/>
      <c r="KTU197" s="2"/>
      <c r="KTV197" s="2"/>
      <c r="KTW197" s="2"/>
      <c r="KTX197" s="2"/>
      <c r="KTY197" s="2"/>
      <c r="KTZ197" s="2"/>
      <c r="KUA197" s="2"/>
      <c r="KUB197" s="2"/>
      <c r="KUC197" s="2"/>
      <c r="KUD197" s="2"/>
      <c r="KUE197" s="2"/>
      <c r="KUF197" s="2"/>
      <c r="KUG197" s="2"/>
      <c r="KUH197" s="2"/>
      <c r="KUI197" s="2"/>
      <c r="KUJ197" s="2"/>
      <c r="KUK197" s="2"/>
      <c r="KUL197" s="2"/>
      <c r="KUM197" s="2"/>
      <c r="KUN197" s="2"/>
      <c r="KUO197" s="2"/>
      <c r="KUP197" s="2"/>
      <c r="KUQ197" s="2"/>
      <c r="KUR197" s="2"/>
      <c r="KUS197" s="2"/>
      <c r="KUT197" s="2"/>
      <c r="KUU197" s="2"/>
      <c r="KUV197" s="2"/>
      <c r="KUW197" s="2"/>
      <c r="KUX197" s="2"/>
      <c r="KUY197" s="2"/>
      <c r="KUZ197" s="2"/>
      <c r="KVA197" s="2"/>
      <c r="KVB197" s="2"/>
      <c r="KVC197" s="2"/>
      <c r="KVD197" s="2"/>
      <c r="KVE197" s="2"/>
      <c r="KVF197" s="2"/>
      <c r="KVG197" s="2"/>
      <c r="KVH197" s="2"/>
      <c r="KVI197" s="2"/>
      <c r="KVJ197" s="2"/>
      <c r="KVK197" s="2"/>
      <c r="KVL197" s="2"/>
      <c r="KVM197" s="2"/>
      <c r="KVN197" s="2"/>
      <c r="KVO197" s="2"/>
      <c r="KVP197" s="2"/>
      <c r="KVQ197" s="2"/>
      <c r="KVR197" s="2"/>
      <c r="KVS197" s="2"/>
      <c r="KVT197" s="2"/>
      <c r="KVU197" s="2"/>
      <c r="KVV197" s="2"/>
      <c r="KVW197" s="2"/>
      <c r="KVX197" s="2"/>
      <c r="KVY197" s="2"/>
      <c r="KVZ197" s="2"/>
      <c r="KWA197" s="2"/>
      <c r="KWB197" s="2"/>
      <c r="KWC197" s="2"/>
      <c r="KWD197" s="2"/>
      <c r="KWE197" s="2"/>
      <c r="KWF197" s="2"/>
      <c r="KWG197" s="2"/>
      <c r="KWH197" s="2"/>
      <c r="KWI197" s="2"/>
      <c r="KWJ197" s="2"/>
      <c r="KWK197" s="2"/>
      <c r="KWL197" s="2"/>
      <c r="KWM197" s="2"/>
      <c r="KWN197" s="2"/>
      <c r="KWO197" s="2"/>
      <c r="KWP197" s="2"/>
      <c r="KWQ197" s="2"/>
      <c r="KWR197" s="2"/>
      <c r="KWS197" s="2"/>
      <c r="KWT197" s="2"/>
      <c r="KWU197" s="2"/>
      <c r="KWV197" s="2"/>
      <c r="KWW197" s="2"/>
      <c r="KWX197" s="2"/>
      <c r="KWY197" s="2"/>
      <c r="KWZ197" s="2"/>
      <c r="KXA197" s="2"/>
      <c r="KXB197" s="2"/>
      <c r="KXC197" s="2"/>
      <c r="KXD197" s="2"/>
      <c r="KXE197" s="2"/>
      <c r="KXF197" s="2"/>
      <c r="KXG197" s="2"/>
      <c r="KXH197" s="2"/>
      <c r="KXI197" s="2"/>
      <c r="KXJ197" s="2"/>
      <c r="KXK197" s="2"/>
      <c r="KXL197" s="2"/>
      <c r="KXM197" s="2"/>
      <c r="KXN197" s="2"/>
      <c r="KXO197" s="2"/>
      <c r="KXP197" s="2"/>
      <c r="KXQ197" s="2"/>
      <c r="KXR197" s="2"/>
      <c r="KXS197" s="2"/>
      <c r="KXT197" s="2"/>
      <c r="KXU197" s="2"/>
      <c r="KXV197" s="2"/>
      <c r="KXW197" s="2"/>
      <c r="KXX197" s="2"/>
      <c r="KXY197" s="2"/>
      <c r="KXZ197" s="2"/>
      <c r="KYA197" s="2"/>
      <c r="KYB197" s="2"/>
      <c r="KYC197" s="2"/>
      <c r="KYD197" s="2"/>
      <c r="KYE197" s="2"/>
      <c r="KYF197" s="2"/>
      <c r="KYG197" s="2"/>
      <c r="KYH197" s="2"/>
      <c r="KYI197" s="2"/>
      <c r="KYJ197" s="2"/>
      <c r="KYK197" s="2"/>
      <c r="KYL197" s="2"/>
      <c r="KYM197" s="2"/>
      <c r="KYN197" s="2"/>
      <c r="KYO197" s="2"/>
      <c r="KYP197" s="2"/>
      <c r="KYQ197" s="2"/>
      <c r="KYR197" s="2"/>
      <c r="KYS197" s="2"/>
      <c r="KYT197" s="2"/>
      <c r="KYU197" s="2"/>
      <c r="KYV197" s="2"/>
      <c r="KYW197" s="2"/>
      <c r="KYX197" s="2"/>
      <c r="KYY197" s="2"/>
      <c r="KYZ197" s="2"/>
      <c r="KZA197" s="2"/>
      <c r="KZB197" s="2"/>
      <c r="KZC197" s="2"/>
      <c r="KZD197" s="2"/>
      <c r="KZE197" s="2"/>
      <c r="KZF197" s="2"/>
      <c r="KZG197" s="2"/>
      <c r="KZH197" s="2"/>
      <c r="KZI197" s="2"/>
      <c r="KZJ197" s="2"/>
      <c r="KZK197" s="2"/>
      <c r="KZL197" s="2"/>
      <c r="KZM197" s="2"/>
      <c r="KZN197" s="2"/>
      <c r="KZO197" s="2"/>
      <c r="KZP197" s="2"/>
      <c r="KZQ197" s="2"/>
      <c r="KZR197" s="2"/>
      <c r="KZS197" s="2"/>
      <c r="KZT197" s="2"/>
      <c r="KZU197" s="2"/>
      <c r="KZV197" s="2"/>
      <c r="KZW197" s="2"/>
      <c r="KZX197" s="2"/>
      <c r="KZY197" s="2"/>
      <c r="KZZ197" s="2"/>
      <c r="LAA197" s="2"/>
      <c r="LAB197" s="2"/>
      <c r="LAC197" s="2"/>
      <c r="LAD197" s="2"/>
      <c r="LAE197" s="2"/>
      <c r="LAF197" s="2"/>
      <c r="LAG197" s="2"/>
      <c r="LAH197" s="2"/>
      <c r="LAI197" s="2"/>
      <c r="LAJ197" s="2"/>
      <c r="LAK197" s="2"/>
      <c r="LAL197" s="2"/>
      <c r="LAM197" s="2"/>
      <c r="LAN197" s="2"/>
      <c r="LAO197" s="2"/>
      <c r="LAP197" s="2"/>
      <c r="LAQ197" s="2"/>
      <c r="LAR197" s="2"/>
      <c r="LAS197" s="2"/>
      <c r="LAT197" s="2"/>
      <c r="LAU197" s="2"/>
      <c r="LAV197" s="2"/>
      <c r="LAW197" s="2"/>
      <c r="LAX197" s="2"/>
      <c r="LAY197" s="2"/>
      <c r="LAZ197" s="2"/>
      <c r="LBA197" s="2"/>
      <c r="LBB197" s="2"/>
      <c r="LBC197" s="2"/>
      <c r="LBD197" s="2"/>
      <c r="LBE197" s="2"/>
      <c r="LBF197" s="2"/>
      <c r="LBG197" s="2"/>
      <c r="LBH197" s="2"/>
      <c r="LBI197" s="2"/>
      <c r="LBJ197" s="2"/>
      <c r="LBK197" s="2"/>
      <c r="LBL197" s="2"/>
      <c r="LBM197" s="2"/>
      <c r="LBN197" s="2"/>
      <c r="LBO197" s="2"/>
      <c r="LBP197" s="2"/>
      <c r="LBQ197" s="2"/>
      <c r="LBR197" s="2"/>
      <c r="LBS197" s="2"/>
      <c r="LBT197" s="2"/>
      <c r="LBU197" s="2"/>
      <c r="LBV197" s="2"/>
      <c r="LBW197" s="2"/>
      <c r="LBX197" s="2"/>
      <c r="LBY197" s="2"/>
      <c r="LBZ197" s="2"/>
      <c r="LCA197" s="2"/>
      <c r="LCB197" s="2"/>
      <c r="LCC197" s="2"/>
      <c r="LCD197" s="2"/>
      <c r="LCE197" s="2"/>
      <c r="LCF197" s="2"/>
      <c r="LCG197" s="2"/>
      <c r="LCH197" s="2"/>
      <c r="LCI197" s="2"/>
      <c r="LCJ197" s="2"/>
      <c r="LCK197" s="2"/>
      <c r="LCL197" s="2"/>
      <c r="LCM197" s="2"/>
      <c r="LCN197" s="2"/>
      <c r="LCO197" s="2"/>
      <c r="LCP197" s="2"/>
      <c r="LCQ197" s="2"/>
      <c r="LCR197" s="2"/>
      <c r="LCS197" s="2"/>
      <c r="LCT197" s="2"/>
      <c r="LCU197" s="2"/>
      <c r="LCV197" s="2"/>
      <c r="LCW197" s="2"/>
      <c r="LCX197" s="2"/>
      <c r="LCY197" s="2"/>
      <c r="LCZ197" s="2"/>
      <c r="LDA197" s="2"/>
      <c r="LDB197" s="2"/>
      <c r="LDC197" s="2"/>
      <c r="LDD197" s="2"/>
      <c r="LDE197" s="2"/>
      <c r="LDF197" s="2"/>
      <c r="LDG197" s="2"/>
      <c r="LDH197" s="2"/>
      <c r="LDI197" s="2"/>
      <c r="LDJ197" s="2"/>
      <c r="LDK197" s="2"/>
      <c r="LDL197" s="2"/>
      <c r="LDM197" s="2"/>
      <c r="LDN197" s="2"/>
      <c r="LDO197" s="2"/>
      <c r="LDP197" s="2"/>
      <c r="LDQ197" s="2"/>
      <c r="LDR197" s="2"/>
      <c r="LDS197" s="2"/>
      <c r="LDT197" s="2"/>
      <c r="LDU197" s="2"/>
      <c r="LDV197" s="2"/>
      <c r="LDW197" s="2"/>
      <c r="LDX197" s="2"/>
      <c r="LDY197" s="2"/>
      <c r="LDZ197" s="2"/>
      <c r="LEA197" s="2"/>
      <c r="LEB197" s="2"/>
      <c r="LEC197" s="2"/>
      <c r="LED197" s="2"/>
      <c r="LEE197" s="2"/>
      <c r="LEF197" s="2"/>
      <c r="LEG197" s="2"/>
      <c r="LEH197" s="2"/>
      <c r="LEI197" s="2"/>
      <c r="LEJ197" s="2"/>
      <c r="LEK197" s="2"/>
      <c r="LEL197" s="2"/>
      <c r="LEM197" s="2"/>
      <c r="LEN197" s="2"/>
      <c r="LEO197" s="2"/>
      <c r="LEP197" s="2"/>
      <c r="LEQ197" s="2"/>
      <c r="LER197" s="2"/>
      <c r="LES197" s="2"/>
      <c r="LET197" s="2"/>
      <c r="LEU197" s="2"/>
      <c r="LEV197" s="2"/>
      <c r="LEW197" s="2"/>
      <c r="LEX197" s="2"/>
      <c r="LEY197" s="2"/>
      <c r="LEZ197" s="2"/>
      <c r="LFA197" s="2"/>
      <c r="LFB197" s="2"/>
      <c r="LFC197" s="2"/>
      <c r="LFD197" s="2"/>
      <c r="LFE197" s="2"/>
      <c r="LFF197" s="2"/>
      <c r="LFG197" s="2"/>
      <c r="LFH197" s="2"/>
      <c r="LFI197" s="2"/>
      <c r="LFJ197" s="2"/>
      <c r="LFK197" s="2"/>
      <c r="LFL197" s="2"/>
      <c r="LFM197" s="2"/>
      <c r="LFN197" s="2"/>
      <c r="LFO197" s="2"/>
      <c r="LFP197" s="2"/>
      <c r="LFQ197" s="2"/>
      <c r="LFR197" s="2"/>
      <c r="LFS197" s="2"/>
      <c r="LFT197" s="2"/>
      <c r="LFU197" s="2"/>
      <c r="LFV197" s="2"/>
      <c r="LFW197" s="2"/>
      <c r="LFX197" s="2"/>
      <c r="LFY197" s="2"/>
      <c r="LFZ197" s="2"/>
      <c r="LGA197" s="2"/>
      <c r="LGB197" s="2"/>
      <c r="LGC197" s="2"/>
      <c r="LGD197" s="2"/>
      <c r="LGE197" s="2"/>
      <c r="LGF197" s="2"/>
      <c r="LGG197" s="2"/>
      <c r="LGH197" s="2"/>
      <c r="LGI197" s="2"/>
      <c r="LGJ197" s="2"/>
      <c r="LGK197" s="2"/>
      <c r="LGL197" s="2"/>
      <c r="LGM197" s="2"/>
      <c r="LGN197" s="2"/>
      <c r="LGO197" s="2"/>
      <c r="LGP197" s="2"/>
      <c r="LGQ197" s="2"/>
      <c r="LGR197" s="2"/>
      <c r="LGS197" s="2"/>
      <c r="LGT197" s="2"/>
      <c r="LGU197" s="2"/>
      <c r="LGV197" s="2"/>
      <c r="LGW197" s="2"/>
      <c r="LGX197" s="2"/>
      <c r="LGY197" s="2"/>
      <c r="LGZ197" s="2"/>
      <c r="LHA197" s="2"/>
      <c r="LHB197" s="2"/>
      <c r="LHC197" s="2"/>
      <c r="LHD197" s="2"/>
      <c r="LHE197" s="2"/>
      <c r="LHF197" s="2"/>
      <c r="LHG197" s="2"/>
      <c r="LHH197" s="2"/>
      <c r="LHI197" s="2"/>
      <c r="LHJ197" s="2"/>
      <c r="LHK197" s="2"/>
      <c r="LHL197" s="2"/>
      <c r="LHM197" s="2"/>
      <c r="LHN197" s="2"/>
      <c r="LHO197" s="2"/>
      <c r="LHP197" s="2"/>
      <c r="LHQ197" s="2"/>
      <c r="LHR197" s="2"/>
      <c r="LHS197" s="2"/>
      <c r="LHT197" s="2"/>
      <c r="LHU197" s="2"/>
      <c r="LHV197" s="2"/>
      <c r="LHW197" s="2"/>
      <c r="LHX197" s="2"/>
      <c r="LHY197" s="2"/>
      <c r="LHZ197" s="2"/>
      <c r="LIA197" s="2"/>
      <c r="LIB197" s="2"/>
      <c r="LIC197" s="2"/>
      <c r="LID197" s="2"/>
      <c r="LIE197" s="2"/>
      <c r="LIF197" s="2"/>
      <c r="LIG197" s="2"/>
      <c r="LIH197" s="2"/>
      <c r="LII197" s="2"/>
      <c r="LIJ197" s="2"/>
      <c r="LIK197" s="2"/>
      <c r="LIL197" s="2"/>
      <c r="LIM197" s="2"/>
      <c r="LIN197" s="2"/>
      <c r="LIO197" s="2"/>
      <c r="LIP197" s="2"/>
      <c r="LIQ197" s="2"/>
      <c r="LIR197" s="2"/>
      <c r="LIS197" s="2"/>
      <c r="LIT197" s="2"/>
      <c r="LIU197" s="2"/>
      <c r="LIV197" s="2"/>
      <c r="LIW197" s="2"/>
      <c r="LIX197" s="2"/>
      <c r="LIY197" s="2"/>
      <c r="LIZ197" s="2"/>
      <c r="LJA197" s="2"/>
      <c r="LJB197" s="2"/>
      <c r="LJC197" s="2"/>
      <c r="LJD197" s="2"/>
      <c r="LJE197" s="2"/>
      <c r="LJF197" s="2"/>
      <c r="LJG197" s="2"/>
      <c r="LJH197" s="2"/>
      <c r="LJI197" s="2"/>
      <c r="LJJ197" s="2"/>
      <c r="LJK197" s="2"/>
      <c r="LJL197" s="2"/>
      <c r="LJM197" s="2"/>
      <c r="LJN197" s="2"/>
      <c r="LJO197" s="2"/>
      <c r="LJP197" s="2"/>
      <c r="LJQ197" s="2"/>
      <c r="LJR197" s="2"/>
      <c r="LJS197" s="2"/>
      <c r="LJT197" s="2"/>
      <c r="LJU197" s="2"/>
      <c r="LJV197" s="2"/>
      <c r="LJW197" s="2"/>
      <c r="LJX197" s="2"/>
      <c r="LJY197" s="2"/>
      <c r="LJZ197" s="2"/>
      <c r="LKA197" s="2"/>
      <c r="LKB197" s="2"/>
      <c r="LKC197" s="2"/>
      <c r="LKD197" s="2"/>
      <c r="LKE197" s="2"/>
      <c r="LKF197" s="2"/>
      <c r="LKG197" s="2"/>
      <c r="LKH197" s="2"/>
      <c r="LKI197" s="2"/>
      <c r="LKJ197" s="2"/>
      <c r="LKK197" s="2"/>
      <c r="LKL197" s="2"/>
      <c r="LKM197" s="2"/>
      <c r="LKN197" s="2"/>
      <c r="LKO197" s="2"/>
      <c r="LKP197" s="2"/>
      <c r="LKQ197" s="2"/>
      <c r="LKR197" s="2"/>
      <c r="LKS197" s="2"/>
      <c r="LKT197" s="2"/>
      <c r="LKU197" s="2"/>
      <c r="LKV197" s="2"/>
      <c r="LKW197" s="2"/>
      <c r="LKX197" s="2"/>
      <c r="LKY197" s="2"/>
      <c r="LKZ197" s="2"/>
      <c r="LLA197" s="2"/>
      <c r="LLB197" s="2"/>
      <c r="LLC197" s="2"/>
      <c r="LLD197" s="2"/>
      <c r="LLE197" s="2"/>
      <c r="LLF197" s="2"/>
      <c r="LLG197" s="2"/>
      <c r="LLH197" s="2"/>
      <c r="LLI197" s="2"/>
      <c r="LLJ197" s="2"/>
      <c r="LLK197" s="2"/>
      <c r="LLL197" s="2"/>
      <c r="LLM197" s="2"/>
      <c r="LLN197" s="2"/>
      <c r="LLO197" s="2"/>
      <c r="LLP197" s="2"/>
      <c r="LLQ197" s="2"/>
      <c r="LLR197" s="2"/>
      <c r="LLS197" s="2"/>
      <c r="LLT197" s="2"/>
      <c r="LLU197" s="2"/>
      <c r="LLV197" s="2"/>
      <c r="LLW197" s="2"/>
      <c r="LLX197" s="2"/>
      <c r="LLY197" s="2"/>
      <c r="LLZ197" s="2"/>
      <c r="LMA197" s="2"/>
      <c r="LMB197" s="2"/>
      <c r="LMC197" s="2"/>
      <c r="LMD197" s="2"/>
      <c r="LME197" s="2"/>
      <c r="LMF197" s="2"/>
      <c r="LMG197" s="2"/>
      <c r="LMH197" s="2"/>
      <c r="LMI197" s="2"/>
      <c r="LMJ197" s="2"/>
      <c r="LMK197" s="2"/>
      <c r="LML197" s="2"/>
      <c r="LMM197" s="2"/>
      <c r="LMN197" s="2"/>
      <c r="LMO197" s="2"/>
      <c r="LMP197" s="2"/>
      <c r="LMQ197" s="2"/>
      <c r="LMR197" s="2"/>
      <c r="LMS197" s="2"/>
      <c r="LMT197" s="2"/>
      <c r="LMU197" s="2"/>
      <c r="LMV197" s="2"/>
      <c r="LMW197" s="2"/>
      <c r="LMX197" s="2"/>
      <c r="LMY197" s="2"/>
      <c r="LMZ197" s="2"/>
      <c r="LNA197" s="2"/>
      <c r="LNB197" s="2"/>
      <c r="LNC197" s="2"/>
      <c r="LND197" s="2"/>
      <c r="LNE197" s="2"/>
      <c r="LNF197" s="2"/>
      <c r="LNG197" s="2"/>
      <c r="LNH197" s="2"/>
      <c r="LNI197" s="2"/>
      <c r="LNJ197" s="2"/>
      <c r="LNK197" s="2"/>
      <c r="LNL197" s="2"/>
      <c r="LNM197" s="2"/>
      <c r="LNN197" s="2"/>
      <c r="LNO197" s="2"/>
      <c r="LNP197" s="2"/>
      <c r="LNQ197" s="2"/>
      <c r="LNR197" s="2"/>
      <c r="LNS197" s="2"/>
      <c r="LNT197" s="2"/>
      <c r="LNU197" s="2"/>
      <c r="LNV197" s="2"/>
      <c r="LNW197" s="2"/>
      <c r="LNX197" s="2"/>
      <c r="LNY197" s="2"/>
      <c r="LNZ197" s="2"/>
      <c r="LOA197" s="2"/>
      <c r="LOB197" s="2"/>
      <c r="LOC197" s="2"/>
      <c r="LOD197" s="2"/>
      <c r="LOE197" s="2"/>
      <c r="LOF197" s="2"/>
      <c r="LOG197" s="2"/>
      <c r="LOH197" s="2"/>
      <c r="LOI197" s="2"/>
      <c r="LOJ197" s="2"/>
      <c r="LOK197" s="2"/>
      <c r="LOL197" s="2"/>
      <c r="LOM197" s="2"/>
      <c r="LON197" s="2"/>
      <c r="LOO197" s="2"/>
      <c r="LOP197" s="2"/>
      <c r="LOQ197" s="2"/>
      <c r="LOR197" s="2"/>
      <c r="LOS197" s="2"/>
      <c r="LOT197" s="2"/>
      <c r="LOU197" s="2"/>
      <c r="LOV197" s="2"/>
      <c r="LOW197" s="2"/>
      <c r="LOX197" s="2"/>
      <c r="LOY197" s="2"/>
      <c r="LOZ197" s="2"/>
      <c r="LPA197" s="2"/>
      <c r="LPB197" s="2"/>
      <c r="LPC197" s="2"/>
      <c r="LPD197" s="2"/>
      <c r="LPE197" s="2"/>
      <c r="LPF197" s="2"/>
      <c r="LPG197" s="2"/>
      <c r="LPH197" s="2"/>
      <c r="LPI197" s="2"/>
      <c r="LPJ197" s="2"/>
      <c r="LPK197" s="2"/>
      <c r="LPL197" s="2"/>
      <c r="LPM197" s="2"/>
      <c r="LPN197" s="2"/>
      <c r="LPO197" s="2"/>
      <c r="LPP197" s="2"/>
      <c r="LPQ197" s="2"/>
      <c r="LPR197" s="2"/>
      <c r="LPS197" s="2"/>
      <c r="LPT197" s="2"/>
      <c r="LPU197" s="2"/>
      <c r="LPV197" s="2"/>
      <c r="LPW197" s="2"/>
      <c r="LPX197" s="2"/>
      <c r="LPY197" s="2"/>
      <c r="LPZ197" s="2"/>
      <c r="LQA197" s="2"/>
      <c r="LQB197" s="2"/>
      <c r="LQC197" s="2"/>
      <c r="LQD197" s="2"/>
      <c r="LQE197" s="2"/>
      <c r="LQF197" s="2"/>
      <c r="LQG197" s="2"/>
      <c r="LQH197" s="2"/>
      <c r="LQI197" s="2"/>
      <c r="LQJ197" s="2"/>
      <c r="LQK197" s="2"/>
      <c r="LQL197" s="2"/>
      <c r="LQM197" s="2"/>
      <c r="LQN197" s="2"/>
      <c r="LQO197" s="2"/>
      <c r="LQP197" s="2"/>
      <c r="LQQ197" s="2"/>
      <c r="LQR197" s="2"/>
      <c r="LQS197" s="2"/>
      <c r="LQT197" s="2"/>
      <c r="LQU197" s="2"/>
      <c r="LQV197" s="2"/>
      <c r="LQW197" s="2"/>
      <c r="LQX197" s="2"/>
      <c r="LQY197" s="2"/>
      <c r="LQZ197" s="2"/>
      <c r="LRA197" s="2"/>
      <c r="LRB197" s="2"/>
      <c r="LRC197" s="2"/>
      <c r="LRD197" s="2"/>
      <c r="LRE197" s="2"/>
      <c r="LRF197" s="2"/>
      <c r="LRG197" s="2"/>
      <c r="LRH197" s="2"/>
      <c r="LRI197" s="2"/>
      <c r="LRJ197" s="2"/>
      <c r="LRK197" s="2"/>
      <c r="LRL197" s="2"/>
      <c r="LRM197" s="2"/>
      <c r="LRN197" s="2"/>
      <c r="LRO197" s="2"/>
      <c r="LRP197" s="2"/>
      <c r="LRQ197" s="2"/>
      <c r="LRR197" s="2"/>
      <c r="LRS197" s="2"/>
      <c r="LRT197" s="2"/>
      <c r="LRU197" s="2"/>
      <c r="LRV197" s="2"/>
      <c r="LRW197" s="2"/>
      <c r="LRX197" s="2"/>
      <c r="LRY197" s="2"/>
      <c r="LRZ197" s="2"/>
      <c r="LSA197" s="2"/>
      <c r="LSB197" s="2"/>
      <c r="LSC197" s="2"/>
      <c r="LSD197" s="2"/>
      <c r="LSE197" s="2"/>
      <c r="LSF197" s="2"/>
      <c r="LSG197" s="2"/>
      <c r="LSH197" s="2"/>
      <c r="LSI197" s="2"/>
      <c r="LSJ197" s="2"/>
      <c r="LSK197" s="2"/>
      <c r="LSL197" s="2"/>
      <c r="LSM197" s="2"/>
      <c r="LSN197" s="2"/>
      <c r="LSO197" s="2"/>
      <c r="LSP197" s="2"/>
      <c r="LSQ197" s="2"/>
      <c r="LSR197" s="2"/>
      <c r="LSS197" s="2"/>
      <c r="LST197" s="2"/>
      <c r="LSU197" s="2"/>
      <c r="LSV197" s="2"/>
      <c r="LSW197" s="2"/>
      <c r="LSX197" s="2"/>
      <c r="LSY197" s="2"/>
      <c r="LSZ197" s="2"/>
      <c r="LTA197" s="2"/>
      <c r="LTB197" s="2"/>
      <c r="LTC197" s="2"/>
      <c r="LTD197" s="2"/>
      <c r="LTE197" s="2"/>
      <c r="LTF197" s="2"/>
      <c r="LTG197" s="2"/>
      <c r="LTH197" s="2"/>
      <c r="LTI197" s="2"/>
      <c r="LTJ197" s="2"/>
      <c r="LTK197" s="2"/>
      <c r="LTL197" s="2"/>
      <c r="LTM197" s="2"/>
      <c r="LTN197" s="2"/>
      <c r="LTO197" s="2"/>
      <c r="LTP197" s="2"/>
      <c r="LTQ197" s="2"/>
      <c r="LTR197" s="2"/>
      <c r="LTS197" s="2"/>
      <c r="LTT197" s="2"/>
      <c r="LTU197" s="2"/>
      <c r="LTV197" s="2"/>
      <c r="LTW197" s="2"/>
      <c r="LTX197" s="2"/>
      <c r="LTY197" s="2"/>
      <c r="LTZ197" s="2"/>
      <c r="LUA197" s="2"/>
      <c r="LUB197" s="2"/>
      <c r="LUC197" s="2"/>
      <c r="LUD197" s="2"/>
      <c r="LUE197" s="2"/>
      <c r="LUF197" s="2"/>
      <c r="LUG197" s="2"/>
      <c r="LUH197" s="2"/>
      <c r="LUI197" s="2"/>
      <c r="LUJ197" s="2"/>
      <c r="LUK197" s="2"/>
      <c r="LUL197" s="2"/>
      <c r="LUM197" s="2"/>
      <c r="LUN197" s="2"/>
      <c r="LUO197" s="2"/>
      <c r="LUP197" s="2"/>
      <c r="LUQ197" s="2"/>
      <c r="LUR197" s="2"/>
      <c r="LUS197" s="2"/>
      <c r="LUT197" s="2"/>
      <c r="LUU197" s="2"/>
      <c r="LUV197" s="2"/>
      <c r="LUW197" s="2"/>
      <c r="LUX197" s="2"/>
      <c r="LUY197" s="2"/>
      <c r="LUZ197" s="2"/>
      <c r="LVA197" s="2"/>
      <c r="LVB197" s="2"/>
      <c r="LVC197" s="2"/>
      <c r="LVD197" s="2"/>
      <c r="LVE197" s="2"/>
      <c r="LVF197" s="2"/>
      <c r="LVG197" s="2"/>
      <c r="LVH197" s="2"/>
      <c r="LVI197" s="2"/>
      <c r="LVJ197" s="2"/>
      <c r="LVK197" s="2"/>
      <c r="LVL197" s="2"/>
      <c r="LVM197" s="2"/>
      <c r="LVN197" s="2"/>
      <c r="LVO197" s="2"/>
      <c r="LVP197" s="2"/>
      <c r="LVQ197" s="2"/>
      <c r="LVR197" s="2"/>
      <c r="LVS197" s="2"/>
      <c r="LVT197" s="2"/>
      <c r="LVU197" s="2"/>
      <c r="LVV197" s="2"/>
      <c r="LVW197" s="2"/>
      <c r="LVX197" s="2"/>
      <c r="LVY197" s="2"/>
      <c r="LVZ197" s="2"/>
      <c r="LWA197" s="2"/>
      <c r="LWB197" s="2"/>
      <c r="LWC197" s="2"/>
      <c r="LWD197" s="2"/>
      <c r="LWE197" s="2"/>
      <c r="LWF197" s="2"/>
      <c r="LWG197" s="2"/>
      <c r="LWH197" s="2"/>
      <c r="LWI197" s="2"/>
      <c r="LWJ197" s="2"/>
      <c r="LWK197" s="2"/>
      <c r="LWL197" s="2"/>
      <c r="LWM197" s="2"/>
      <c r="LWN197" s="2"/>
      <c r="LWO197" s="2"/>
      <c r="LWP197" s="2"/>
      <c r="LWQ197" s="2"/>
      <c r="LWR197" s="2"/>
      <c r="LWS197" s="2"/>
      <c r="LWT197" s="2"/>
      <c r="LWU197" s="2"/>
      <c r="LWV197" s="2"/>
      <c r="LWW197" s="2"/>
      <c r="LWX197" s="2"/>
      <c r="LWY197" s="2"/>
      <c r="LWZ197" s="2"/>
      <c r="LXA197" s="2"/>
      <c r="LXB197" s="2"/>
      <c r="LXC197" s="2"/>
      <c r="LXD197" s="2"/>
      <c r="LXE197" s="2"/>
      <c r="LXF197" s="2"/>
      <c r="LXG197" s="2"/>
      <c r="LXH197" s="2"/>
      <c r="LXI197" s="2"/>
      <c r="LXJ197" s="2"/>
      <c r="LXK197" s="2"/>
      <c r="LXL197" s="2"/>
      <c r="LXM197" s="2"/>
      <c r="LXN197" s="2"/>
      <c r="LXO197" s="2"/>
      <c r="LXP197" s="2"/>
      <c r="LXQ197" s="2"/>
      <c r="LXR197" s="2"/>
      <c r="LXS197" s="2"/>
      <c r="LXT197" s="2"/>
      <c r="LXU197" s="2"/>
      <c r="LXV197" s="2"/>
      <c r="LXW197" s="2"/>
      <c r="LXX197" s="2"/>
      <c r="LXY197" s="2"/>
      <c r="LXZ197" s="2"/>
      <c r="LYA197" s="2"/>
      <c r="LYB197" s="2"/>
      <c r="LYC197" s="2"/>
      <c r="LYD197" s="2"/>
      <c r="LYE197" s="2"/>
      <c r="LYF197" s="2"/>
      <c r="LYG197" s="2"/>
      <c r="LYH197" s="2"/>
      <c r="LYI197" s="2"/>
      <c r="LYJ197" s="2"/>
      <c r="LYK197" s="2"/>
      <c r="LYL197" s="2"/>
      <c r="LYM197" s="2"/>
      <c r="LYN197" s="2"/>
      <c r="LYO197" s="2"/>
      <c r="LYP197" s="2"/>
      <c r="LYQ197" s="2"/>
      <c r="LYR197" s="2"/>
      <c r="LYS197" s="2"/>
      <c r="LYT197" s="2"/>
      <c r="LYU197" s="2"/>
      <c r="LYV197" s="2"/>
      <c r="LYW197" s="2"/>
      <c r="LYX197" s="2"/>
      <c r="LYY197" s="2"/>
      <c r="LYZ197" s="2"/>
      <c r="LZA197" s="2"/>
      <c r="LZB197" s="2"/>
      <c r="LZC197" s="2"/>
      <c r="LZD197" s="2"/>
      <c r="LZE197" s="2"/>
      <c r="LZF197" s="2"/>
      <c r="LZG197" s="2"/>
      <c r="LZH197" s="2"/>
      <c r="LZI197" s="2"/>
      <c r="LZJ197" s="2"/>
      <c r="LZK197" s="2"/>
      <c r="LZL197" s="2"/>
      <c r="LZM197" s="2"/>
      <c r="LZN197" s="2"/>
      <c r="LZO197" s="2"/>
      <c r="LZP197" s="2"/>
      <c r="LZQ197" s="2"/>
      <c r="LZR197" s="2"/>
      <c r="LZS197" s="2"/>
      <c r="LZT197" s="2"/>
      <c r="LZU197" s="2"/>
      <c r="LZV197" s="2"/>
      <c r="LZW197" s="2"/>
      <c r="LZX197" s="2"/>
      <c r="LZY197" s="2"/>
      <c r="LZZ197" s="2"/>
      <c r="MAA197" s="2"/>
      <c r="MAB197" s="2"/>
      <c r="MAC197" s="2"/>
      <c r="MAD197" s="2"/>
      <c r="MAE197" s="2"/>
      <c r="MAF197" s="2"/>
      <c r="MAG197" s="2"/>
      <c r="MAH197" s="2"/>
      <c r="MAI197" s="2"/>
      <c r="MAJ197" s="2"/>
      <c r="MAK197" s="2"/>
      <c r="MAL197" s="2"/>
      <c r="MAM197" s="2"/>
      <c r="MAN197" s="2"/>
      <c r="MAO197" s="2"/>
      <c r="MAP197" s="2"/>
      <c r="MAQ197" s="2"/>
      <c r="MAR197" s="2"/>
      <c r="MAS197" s="2"/>
      <c r="MAT197" s="2"/>
      <c r="MAU197" s="2"/>
      <c r="MAV197" s="2"/>
      <c r="MAW197" s="2"/>
      <c r="MAX197" s="2"/>
      <c r="MAY197" s="2"/>
      <c r="MAZ197" s="2"/>
      <c r="MBA197" s="2"/>
      <c r="MBB197" s="2"/>
      <c r="MBC197" s="2"/>
      <c r="MBD197" s="2"/>
      <c r="MBE197" s="2"/>
      <c r="MBF197" s="2"/>
      <c r="MBG197" s="2"/>
      <c r="MBH197" s="2"/>
      <c r="MBI197" s="2"/>
      <c r="MBJ197" s="2"/>
      <c r="MBK197" s="2"/>
      <c r="MBL197" s="2"/>
      <c r="MBM197" s="2"/>
      <c r="MBN197" s="2"/>
      <c r="MBO197" s="2"/>
      <c r="MBP197" s="2"/>
      <c r="MBQ197" s="2"/>
      <c r="MBR197" s="2"/>
      <c r="MBS197" s="2"/>
      <c r="MBT197" s="2"/>
      <c r="MBU197" s="2"/>
      <c r="MBV197" s="2"/>
      <c r="MBW197" s="2"/>
      <c r="MBX197" s="2"/>
      <c r="MBY197" s="2"/>
      <c r="MBZ197" s="2"/>
      <c r="MCA197" s="2"/>
      <c r="MCB197" s="2"/>
      <c r="MCC197" s="2"/>
      <c r="MCD197" s="2"/>
      <c r="MCE197" s="2"/>
      <c r="MCF197" s="2"/>
      <c r="MCG197" s="2"/>
      <c r="MCH197" s="2"/>
      <c r="MCI197" s="2"/>
      <c r="MCJ197" s="2"/>
      <c r="MCK197" s="2"/>
      <c r="MCL197" s="2"/>
      <c r="MCM197" s="2"/>
      <c r="MCN197" s="2"/>
      <c r="MCO197" s="2"/>
      <c r="MCP197" s="2"/>
      <c r="MCQ197" s="2"/>
      <c r="MCR197" s="2"/>
      <c r="MCS197" s="2"/>
      <c r="MCT197" s="2"/>
      <c r="MCU197" s="2"/>
      <c r="MCV197" s="2"/>
      <c r="MCW197" s="2"/>
      <c r="MCX197" s="2"/>
      <c r="MCY197" s="2"/>
      <c r="MCZ197" s="2"/>
      <c r="MDA197" s="2"/>
      <c r="MDB197" s="2"/>
      <c r="MDC197" s="2"/>
      <c r="MDD197" s="2"/>
      <c r="MDE197" s="2"/>
      <c r="MDF197" s="2"/>
      <c r="MDG197" s="2"/>
      <c r="MDH197" s="2"/>
      <c r="MDI197" s="2"/>
      <c r="MDJ197" s="2"/>
      <c r="MDK197" s="2"/>
      <c r="MDL197" s="2"/>
      <c r="MDM197" s="2"/>
      <c r="MDN197" s="2"/>
      <c r="MDO197" s="2"/>
      <c r="MDP197" s="2"/>
      <c r="MDQ197" s="2"/>
      <c r="MDR197" s="2"/>
      <c r="MDS197" s="2"/>
      <c r="MDT197" s="2"/>
      <c r="MDU197" s="2"/>
      <c r="MDV197" s="2"/>
      <c r="MDW197" s="2"/>
      <c r="MDX197" s="2"/>
      <c r="MDY197" s="2"/>
      <c r="MDZ197" s="2"/>
      <c r="MEA197" s="2"/>
      <c r="MEB197" s="2"/>
      <c r="MEC197" s="2"/>
      <c r="MED197" s="2"/>
      <c r="MEE197" s="2"/>
      <c r="MEF197" s="2"/>
      <c r="MEG197" s="2"/>
      <c r="MEH197" s="2"/>
      <c r="MEI197" s="2"/>
      <c r="MEJ197" s="2"/>
      <c r="MEK197" s="2"/>
      <c r="MEL197" s="2"/>
      <c r="MEM197" s="2"/>
      <c r="MEN197" s="2"/>
      <c r="MEO197" s="2"/>
      <c r="MEP197" s="2"/>
      <c r="MEQ197" s="2"/>
      <c r="MER197" s="2"/>
      <c r="MES197" s="2"/>
      <c r="MET197" s="2"/>
      <c r="MEU197" s="2"/>
      <c r="MEV197" s="2"/>
      <c r="MEW197" s="2"/>
      <c r="MEX197" s="2"/>
      <c r="MEY197" s="2"/>
      <c r="MEZ197" s="2"/>
      <c r="MFA197" s="2"/>
      <c r="MFB197" s="2"/>
      <c r="MFC197" s="2"/>
      <c r="MFD197" s="2"/>
      <c r="MFE197" s="2"/>
      <c r="MFF197" s="2"/>
      <c r="MFG197" s="2"/>
      <c r="MFH197" s="2"/>
      <c r="MFI197" s="2"/>
      <c r="MFJ197" s="2"/>
      <c r="MFK197" s="2"/>
      <c r="MFL197" s="2"/>
      <c r="MFM197" s="2"/>
      <c r="MFN197" s="2"/>
      <c r="MFO197" s="2"/>
      <c r="MFP197" s="2"/>
      <c r="MFQ197" s="2"/>
      <c r="MFR197" s="2"/>
      <c r="MFS197" s="2"/>
      <c r="MFT197" s="2"/>
      <c r="MFU197" s="2"/>
      <c r="MFV197" s="2"/>
      <c r="MFW197" s="2"/>
      <c r="MFX197" s="2"/>
      <c r="MFY197" s="2"/>
      <c r="MFZ197" s="2"/>
      <c r="MGA197" s="2"/>
      <c r="MGB197" s="2"/>
      <c r="MGC197" s="2"/>
      <c r="MGD197" s="2"/>
      <c r="MGE197" s="2"/>
      <c r="MGF197" s="2"/>
      <c r="MGG197" s="2"/>
      <c r="MGH197" s="2"/>
      <c r="MGI197" s="2"/>
      <c r="MGJ197" s="2"/>
      <c r="MGK197" s="2"/>
      <c r="MGL197" s="2"/>
      <c r="MGM197" s="2"/>
      <c r="MGN197" s="2"/>
      <c r="MGO197" s="2"/>
      <c r="MGP197" s="2"/>
      <c r="MGQ197" s="2"/>
      <c r="MGR197" s="2"/>
      <c r="MGS197" s="2"/>
      <c r="MGT197" s="2"/>
      <c r="MGU197" s="2"/>
      <c r="MGV197" s="2"/>
      <c r="MGW197" s="2"/>
      <c r="MGX197" s="2"/>
      <c r="MGY197" s="2"/>
      <c r="MGZ197" s="2"/>
      <c r="MHA197" s="2"/>
      <c r="MHB197" s="2"/>
      <c r="MHC197" s="2"/>
      <c r="MHD197" s="2"/>
      <c r="MHE197" s="2"/>
      <c r="MHF197" s="2"/>
      <c r="MHG197" s="2"/>
      <c r="MHH197" s="2"/>
      <c r="MHI197" s="2"/>
      <c r="MHJ197" s="2"/>
      <c r="MHK197" s="2"/>
      <c r="MHL197" s="2"/>
      <c r="MHM197" s="2"/>
      <c r="MHN197" s="2"/>
      <c r="MHO197" s="2"/>
      <c r="MHP197" s="2"/>
      <c r="MHQ197" s="2"/>
      <c r="MHR197" s="2"/>
      <c r="MHS197" s="2"/>
      <c r="MHT197" s="2"/>
      <c r="MHU197" s="2"/>
      <c r="MHV197" s="2"/>
      <c r="MHW197" s="2"/>
      <c r="MHX197" s="2"/>
      <c r="MHY197" s="2"/>
      <c r="MHZ197" s="2"/>
      <c r="MIA197" s="2"/>
      <c r="MIB197" s="2"/>
      <c r="MIC197" s="2"/>
      <c r="MID197" s="2"/>
      <c r="MIE197" s="2"/>
      <c r="MIF197" s="2"/>
      <c r="MIG197" s="2"/>
      <c r="MIH197" s="2"/>
      <c r="MII197" s="2"/>
      <c r="MIJ197" s="2"/>
      <c r="MIK197" s="2"/>
      <c r="MIL197" s="2"/>
      <c r="MIM197" s="2"/>
      <c r="MIN197" s="2"/>
      <c r="MIO197" s="2"/>
      <c r="MIP197" s="2"/>
      <c r="MIQ197" s="2"/>
      <c r="MIR197" s="2"/>
      <c r="MIS197" s="2"/>
      <c r="MIT197" s="2"/>
      <c r="MIU197" s="2"/>
      <c r="MIV197" s="2"/>
      <c r="MIW197" s="2"/>
      <c r="MIX197" s="2"/>
      <c r="MIY197" s="2"/>
      <c r="MIZ197" s="2"/>
      <c r="MJA197" s="2"/>
      <c r="MJB197" s="2"/>
      <c r="MJC197" s="2"/>
      <c r="MJD197" s="2"/>
      <c r="MJE197" s="2"/>
      <c r="MJF197" s="2"/>
      <c r="MJG197" s="2"/>
      <c r="MJH197" s="2"/>
      <c r="MJI197" s="2"/>
      <c r="MJJ197" s="2"/>
      <c r="MJK197" s="2"/>
      <c r="MJL197" s="2"/>
      <c r="MJM197" s="2"/>
      <c r="MJN197" s="2"/>
      <c r="MJO197" s="2"/>
      <c r="MJP197" s="2"/>
      <c r="MJQ197" s="2"/>
      <c r="MJR197" s="2"/>
      <c r="MJS197" s="2"/>
      <c r="MJT197" s="2"/>
      <c r="MJU197" s="2"/>
      <c r="MJV197" s="2"/>
      <c r="MJW197" s="2"/>
      <c r="MJX197" s="2"/>
      <c r="MJY197" s="2"/>
      <c r="MJZ197" s="2"/>
      <c r="MKA197" s="2"/>
      <c r="MKB197" s="2"/>
      <c r="MKC197" s="2"/>
      <c r="MKD197" s="2"/>
      <c r="MKE197" s="2"/>
      <c r="MKF197" s="2"/>
      <c r="MKG197" s="2"/>
      <c r="MKH197" s="2"/>
      <c r="MKI197" s="2"/>
      <c r="MKJ197" s="2"/>
      <c r="MKK197" s="2"/>
      <c r="MKL197" s="2"/>
      <c r="MKM197" s="2"/>
      <c r="MKN197" s="2"/>
      <c r="MKO197" s="2"/>
      <c r="MKP197" s="2"/>
      <c r="MKQ197" s="2"/>
      <c r="MKR197" s="2"/>
      <c r="MKS197" s="2"/>
      <c r="MKT197" s="2"/>
      <c r="MKU197" s="2"/>
      <c r="MKV197" s="2"/>
      <c r="MKW197" s="2"/>
      <c r="MKX197" s="2"/>
      <c r="MKY197" s="2"/>
      <c r="MKZ197" s="2"/>
      <c r="MLA197" s="2"/>
      <c r="MLB197" s="2"/>
      <c r="MLC197" s="2"/>
      <c r="MLD197" s="2"/>
      <c r="MLE197" s="2"/>
      <c r="MLF197" s="2"/>
      <c r="MLG197" s="2"/>
      <c r="MLH197" s="2"/>
      <c r="MLI197" s="2"/>
      <c r="MLJ197" s="2"/>
      <c r="MLK197" s="2"/>
      <c r="MLL197" s="2"/>
      <c r="MLM197" s="2"/>
      <c r="MLN197" s="2"/>
      <c r="MLO197" s="2"/>
      <c r="MLP197" s="2"/>
      <c r="MLQ197" s="2"/>
      <c r="MLR197" s="2"/>
      <c r="MLS197" s="2"/>
      <c r="MLT197" s="2"/>
      <c r="MLU197" s="2"/>
      <c r="MLV197" s="2"/>
      <c r="MLW197" s="2"/>
      <c r="MLX197" s="2"/>
      <c r="MLY197" s="2"/>
      <c r="MLZ197" s="2"/>
      <c r="MMA197" s="2"/>
      <c r="MMB197" s="2"/>
      <c r="MMC197" s="2"/>
      <c r="MMD197" s="2"/>
      <c r="MME197" s="2"/>
      <c r="MMF197" s="2"/>
      <c r="MMG197" s="2"/>
      <c r="MMH197" s="2"/>
      <c r="MMI197" s="2"/>
      <c r="MMJ197" s="2"/>
      <c r="MMK197" s="2"/>
      <c r="MML197" s="2"/>
      <c r="MMM197" s="2"/>
      <c r="MMN197" s="2"/>
      <c r="MMO197" s="2"/>
      <c r="MMP197" s="2"/>
      <c r="MMQ197" s="2"/>
      <c r="MMR197" s="2"/>
      <c r="MMS197" s="2"/>
      <c r="MMT197" s="2"/>
      <c r="MMU197" s="2"/>
      <c r="MMV197" s="2"/>
      <c r="MMW197" s="2"/>
      <c r="MMX197" s="2"/>
      <c r="MMY197" s="2"/>
      <c r="MMZ197" s="2"/>
      <c r="MNA197" s="2"/>
      <c r="MNB197" s="2"/>
      <c r="MNC197" s="2"/>
      <c r="MND197" s="2"/>
      <c r="MNE197" s="2"/>
      <c r="MNF197" s="2"/>
      <c r="MNG197" s="2"/>
      <c r="MNH197" s="2"/>
      <c r="MNI197" s="2"/>
      <c r="MNJ197" s="2"/>
      <c r="MNK197" s="2"/>
      <c r="MNL197" s="2"/>
      <c r="MNM197" s="2"/>
      <c r="MNN197" s="2"/>
      <c r="MNO197" s="2"/>
      <c r="MNP197" s="2"/>
      <c r="MNQ197" s="2"/>
      <c r="MNR197" s="2"/>
      <c r="MNS197" s="2"/>
      <c r="MNT197" s="2"/>
      <c r="MNU197" s="2"/>
      <c r="MNV197" s="2"/>
      <c r="MNW197" s="2"/>
      <c r="MNX197" s="2"/>
      <c r="MNY197" s="2"/>
      <c r="MNZ197" s="2"/>
      <c r="MOA197" s="2"/>
      <c r="MOB197" s="2"/>
      <c r="MOC197" s="2"/>
      <c r="MOD197" s="2"/>
      <c r="MOE197" s="2"/>
      <c r="MOF197" s="2"/>
      <c r="MOG197" s="2"/>
      <c r="MOH197" s="2"/>
      <c r="MOI197" s="2"/>
      <c r="MOJ197" s="2"/>
      <c r="MOK197" s="2"/>
      <c r="MOL197" s="2"/>
      <c r="MOM197" s="2"/>
      <c r="MON197" s="2"/>
      <c r="MOO197" s="2"/>
      <c r="MOP197" s="2"/>
      <c r="MOQ197" s="2"/>
      <c r="MOR197" s="2"/>
      <c r="MOS197" s="2"/>
      <c r="MOT197" s="2"/>
      <c r="MOU197" s="2"/>
      <c r="MOV197" s="2"/>
      <c r="MOW197" s="2"/>
      <c r="MOX197" s="2"/>
      <c r="MOY197" s="2"/>
      <c r="MOZ197" s="2"/>
      <c r="MPA197" s="2"/>
      <c r="MPB197" s="2"/>
      <c r="MPC197" s="2"/>
      <c r="MPD197" s="2"/>
      <c r="MPE197" s="2"/>
      <c r="MPF197" s="2"/>
      <c r="MPG197" s="2"/>
      <c r="MPH197" s="2"/>
      <c r="MPI197" s="2"/>
      <c r="MPJ197" s="2"/>
      <c r="MPK197" s="2"/>
      <c r="MPL197" s="2"/>
      <c r="MPM197" s="2"/>
      <c r="MPN197" s="2"/>
      <c r="MPO197" s="2"/>
      <c r="MPP197" s="2"/>
      <c r="MPQ197" s="2"/>
      <c r="MPR197" s="2"/>
      <c r="MPS197" s="2"/>
      <c r="MPT197" s="2"/>
      <c r="MPU197" s="2"/>
      <c r="MPV197" s="2"/>
      <c r="MPW197" s="2"/>
      <c r="MPX197" s="2"/>
      <c r="MPY197" s="2"/>
      <c r="MPZ197" s="2"/>
      <c r="MQA197" s="2"/>
      <c r="MQB197" s="2"/>
      <c r="MQC197" s="2"/>
      <c r="MQD197" s="2"/>
      <c r="MQE197" s="2"/>
      <c r="MQF197" s="2"/>
      <c r="MQG197" s="2"/>
      <c r="MQH197" s="2"/>
      <c r="MQI197" s="2"/>
      <c r="MQJ197" s="2"/>
      <c r="MQK197" s="2"/>
      <c r="MQL197" s="2"/>
      <c r="MQM197" s="2"/>
      <c r="MQN197" s="2"/>
      <c r="MQO197" s="2"/>
      <c r="MQP197" s="2"/>
      <c r="MQQ197" s="2"/>
      <c r="MQR197" s="2"/>
      <c r="MQS197" s="2"/>
      <c r="MQT197" s="2"/>
      <c r="MQU197" s="2"/>
      <c r="MQV197" s="2"/>
      <c r="MQW197" s="2"/>
      <c r="MQX197" s="2"/>
      <c r="MQY197" s="2"/>
      <c r="MQZ197" s="2"/>
      <c r="MRA197" s="2"/>
      <c r="MRB197" s="2"/>
      <c r="MRC197" s="2"/>
      <c r="MRD197" s="2"/>
      <c r="MRE197" s="2"/>
      <c r="MRF197" s="2"/>
      <c r="MRG197" s="2"/>
      <c r="MRH197" s="2"/>
      <c r="MRI197" s="2"/>
      <c r="MRJ197" s="2"/>
      <c r="MRK197" s="2"/>
      <c r="MRL197" s="2"/>
      <c r="MRM197" s="2"/>
      <c r="MRN197" s="2"/>
      <c r="MRO197" s="2"/>
      <c r="MRP197" s="2"/>
      <c r="MRQ197" s="2"/>
      <c r="MRR197" s="2"/>
      <c r="MRS197" s="2"/>
      <c r="MRT197" s="2"/>
      <c r="MRU197" s="2"/>
      <c r="MRV197" s="2"/>
      <c r="MRW197" s="2"/>
      <c r="MRX197" s="2"/>
      <c r="MRY197" s="2"/>
      <c r="MRZ197" s="2"/>
      <c r="MSA197" s="2"/>
      <c r="MSB197" s="2"/>
      <c r="MSC197" s="2"/>
      <c r="MSD197" s="2"/>
      <c r="MSE197" s="2"/>
      <c r="MSF197" s="2"/>
      <c r="MSG197" s="2"/>
      <c r="MSH197" s="2"/>
      <c r="MSI197" s="2"/>
      <c r="MSJ197" s="2"/>
      <c r="MSK197" s="2"/>
      <c r="MSL197" s="2"/>
      <c r="MSM197" s="2"/>
      <c r="MSN197" s="2"/>
      <c r="MSO197" s="2"/>
      <c r="MSP197" s="2"/>
      <c r="MSQ197" s="2"/>
      <c r="MSR197" s="2"/>
      <c r="MSS197" s="2"/>
      <c r="MST197" s="2"/>
      <c r="MSU197" s="2"/>
      <c r="MSV197" s="2"/>
      <c r="MSW197" s="2"/>
      <c r="MSX197" s="2"/>
      <c r="MSY197" s="2"/>
      <c r="MSZ197" s="2"/>
      <c r="MTA197" s="2"/>
      <c r="MTB197" s="2"/>
      <c r="MTC197" s="2"/>
      <c r="MTD197" s="2"/>
      <c r="MTE197" s="2"/>
      <c r="MTF197" s="2"/>
      <c r="MTG197" s="2"/>
      <c r="MTH197" s="2"/>
      <c r="MTI197" s="2"/>
      <c r="MTJ197" s="2"/>
      <c r="MTK197" s="2"/>
      <c r="MTL197" s="2"/>
      <c r="MTM197" s="2"/>
      <c r="MTN197" s="2"/>
      <c r="MTO197" s="2"/>
      <c r="MTP197" s="2"/>
      <c r="MTQ197" s="2"/>
      <c r="MTR197" s="2"/>
      <c r="MTS197" s="2"/>
      <c r="MTT197" s="2"/>
      <c r="MTU197" s="2"/>
      <c r="MTV197" s="2"/>
      <c r="MTW197" s="2"/>
      <c r="MTX197" s="2"/>
      <c r="MTY197" s="2"/>
      <c r="MTZ197" s="2"/>
      <c r="MUA197" s="2"/>
      <c r="MUB197" s="2"/>
      <c r="MUC197" s="2"/>
      <c r="MUD197" s="2"/>
      <c r="MUE197" s="2"/>
      <c r="MUF197" s="2"/>
      <c r="MUG197" s="2"/>
      <c r="MUH197" s="2"/>
      <c r="MUI197" s="2"/>
      <c r="MUJ197" s="2"/>
      <c r="MUK197" s="2"/>
      <c r="MUL197" s="2"/>
      <c r="MUM197" s="2"/>
      <c r="MUN197" s="2"/>
      <c r="MUO197" s="2"/>
      <c r="MUP197" s="2"/>
      <c r="MUQ197" s="2"/>
      <c r="MUR197" s="2"/>
      <c r="MUS197" s="2"/>
      <c r="MUT197" s="2"/>
      <c r="MUU197" s="2"/>
      <c r="MUV197" s="2"/>
      <c r="MUW197" s="2"/>
      <c r="MUX197" s="2"/>
      <c r="MUY197" s="2"/>
      <c r="MUZ197" s="2"/>
      <c r="MVA197" s="2"/>
      <c r="MVB197" s="2"/>
      <c r="MVC197" s="2"/>
      <c r="MVD197" s="2"/>
      <c r="MVE197" s="2"/>
      <c r="MVF197" s="2"/>
      <c r="MVG197" s="2"/>
      <c r="MVH197" s="2"/>
      <c r="MVI197" s="2"/>
      <c r="MVJ197" s="2"/>
      <c r="MVK197" s="2"/>
      <c r="MVL197" s="2"/>
      <c r="MVM197" s="2"/>
      <c r="MVN197" s="2"/>
      <c r="MVO197" s="2"/>
      <c r="MVP197" s="2"/>
      <c r="MVQ197" s="2"/>
      <c r="MVR197" s="2"/>
      <c r="MVS197" s="2"/>
      <c r="MVT197" s="2"/>
      <c r="MVU197" s="2"/>
      <c r="MVV197" s="2"/>
      <c r="MVW197" s="2"/>
      <c r="MVX197" s="2"/>
      <c r="MVY197" s="2"/>
      <c r="MVZ197" s="2"/>
      <c r="MWA197" s="2"/>
      <c r="MWB197" s="2"/>
      <c r="MWC197" s="2"/>
      <c r="MWD197" s="2"/>
      <c r="MWE197" s="2"/>
      <c r="MWF197" s="2"/>
      <c r="MWG197" s="2"/>
      <c r="MWH197" s="2"/>
      <c r="MWI197" s="2"/>
      <c r="MWJ197" s="2"/>
      <c r="MWK197" s="2"/>
      <c r="MWL197" s="2"/>
      <c r="MWM197" s="2"/>
      <c r="MWN197" s="2"/>
      <c r="MWO197" s="2"/>
      <c r="MWP197" s="2"/>
      <c r="MWQ197" s="2"/>
      <c r="MWR197" s="2"/>
      <c r="MWS197" s="2"/>
      <c r="MWT197" s="2"/>
      <c r="MWU197" s="2"/>
      <c r="MWV197" s="2"/>
      <c r="MWW197" s="2"/>
      <c r="MWX197" s="2"/>
      <c r="MWY197" s="2"/>
      <c r="MWZ197" s="2"/>
      <c r="MXA197" s="2"/>
      <c r="MXB197" s="2"/>
      <c r="MXC197" s="2"/>
      <c r="MXD197" s="2"/>
      <c r="MXE197" s="2"/>
      <c r="MXF197" s="2"/>
      <c r="MXG197" s="2"/>
      <c r="MXH197" s="2"/>
      <c r="MXI197" s="2"/>
      <c r="MXJ197" s="2"/>
      <c r="MXK197" s="2"/>
      <c r="MXL197" s="2"/>
      <c r="MXM197" s="2"/>
      <c r="MXN197" s="2"/>
      <c r="MXO197" s="2"/>
      <c r="MXP197" s="2"/>
      <c r="MXQ197" s="2"/>
      <c r="MXR197" s="2"/>
      <c r="MXS197" s="2"/>
      <c r="MXT197" s="2"/>
      <c r="MXU197" s="2"/>
      <c r="MXV197" s="2"/>
      <c r="MXW197" s="2"/>
      <c r="MXX197" s="2"/>
      <c r="MXY197" s="2"/>
      <c r="MXZ197" s="2"/>
      <c r="MYA197" s="2"/>
      <c r="MYB197" s="2"/>
      <c r="MYC197" s="2"/>
      <c r="MYD197" s="2"/>
      <c r="MYE197" s="2"/>
      <c r="MYF197" s="2"/>
      <c r="MYG197" s="2"/>
      <c r="MYH197" s="2"/>
      <c r="MYI197" s="2"/>
      <c r="MYJ197" s="2"/>
      <c r="MYK197" s="2"/>
      <c r="MYL197" s="2"/>
      <c r="MYM197" s="2"/>
      <c r="MYN197" s="2"/>
      <c r="MYO197" s="2"/>
      <c r="MYP197" s="2"/>
      <c r="MYQ197" s="2"/>
      <c r="MYR197" s="2"/>
      <c r="MYS197" s="2"/>
      <c r="MYT197" s="2"/>
      <c r="MYU197" s="2"/>
      <c r="MYV197" s="2"/>
      <c r="MYW197" s="2"/>
      <c r="MYX197" s="2"/>
      <c r="MYY197" s="2"/>
      <c r="MYZ197" s="2"/>
      <c r="MZA197" s="2"/>
      <c r="MZB197" s="2"/>
      <c r="MZC197" s="2"/>
      <c r="MZD197" s="2"/>
      <c r="MZE197" s="2"/>
      <c r="MZF197" s="2"/>
      <c r="MZG197" s="2"/>
      <c r="MZH197" s="2"/>
      <c r="MZI197" s="2"/>
      <c r="MZJ197" s="2"/>
      <c r="MZK197" s="2"/>
      <c r="MZL197" s="2"/>
      <c r="MZM197" s="2"/>
      <c r="MZN197" s="2"/>
      <c r="MZO197" s="2"/>
      <c r="MZP197" s="2"/>
      <c r="MZQ197" s="2"/>
      <c r="MZR197" s="2"/>
      <c r="MZS197" s="2"/>
      <c r="MZT197" s="2"/>
      <c r="MZU197" s="2"/>
      <c r="MZV197" s="2"/>
      <c r="MZW197" s="2"/>
      <c r="MZX197" s="2"/>
      <c r="MZY197" s="2"/>
      <c r="MZZ197" s="2"/>
      <c r="NAA197" s="2"/>
      <c r="NAB197" s="2"/>
      <c r="NAC197" s="2"/>
      <c r="NAD197" s="2"/>
      <c r="NAE197" s="2"/>
      <c r="NAF197" s="2"/>
      <c r="NAG197" s="2"/>
      <c r="NAH197" s="2"/>
      <c r="NAI197" s="2"/>
      <c r="NAJ197" s="2"/>
      <c r="NAK197" s="2"/>
      <c r="NAL197" s="2"/>
      <c r="NAM197" s="2"/>
      <c r="NAN197" s="2"/>
      <c r="NAO197" s="2"/>
      <c r="NAP197" s="2"/>
      <c r="NAQ197" s="2"/>
      <c r="NAR197" s="2"/>
      <c r="NAS197" s="2"/>
      <c r="NAT197" s="2"/>
      <c r="NAU197" s="2"/>
      <c r="NAV197" s="2"/>
      <c r="NAW197" s="2"/>
      <c r="NAX197" s="2"/>
      <c r="NAY197" s="2"/>
      <c r="NAZ197" s="2"/>
      <c r="NBA197" s="2"/>
      <c r="NBB197" s="2"/>
      <c r="NBC197" s="2"/>
      <c r="NBD197" s="2"/>
      <c r="NBE197" s="2"/>
      <c r="NBF197" s="2"/>
      <c r="NBG197" s="2"/>
      <c r="NBH197" s="2"/>
      <c r="NBI197" s="2"/>
      <c r="NBJ197" s="2"/>
      <c r="NBK197" s="2"/>
      <c r="NBL197" s="2"/>
      <c r="NBM197" s="2"/>
      <c r="NBN197" s="2"/>
      <c r="NBO197" s="2"/>
      <c r="NBP197" s="2"/>
      <c r="NBQ197" s="2"/>
      <c r="NBR197" s="2"/>
      <c r="NBS197" s="2"/>
      <c r="NBT197" s="2"/>
      <c r="NBU197" s="2"/>
      <c r="NBV197" s="2"/>
      <c r="NBW197" s="2"/>
      <c r="NBX197" s="2"/>
      <c r="NBY197" s="2"/>
      <c r="NBZ197" s="2"/>
      <c r="NCA197" s="2"/>
      <c r="NCB197" s="2"/>
      <c r="NCC197" s="2"/>
      <c r="NCD197" s="2"/>
      <c r="NCE197" s="2"/>
      <c r="NCF197" s="2"/>
      <c r="NCG197" s="2"/>
      <c r="NCH197" s="2"/>
      <c r="NCI197" s="2"/>
      <c r="NCJ197" s="2"/>
      <c r="NCK197" s="2"/>
      <c r="NCL197" s="2"/>
      <c r="NCM197" s="2"/>
      <c r="NCN197" s="2"/>
      <c r="NCO197" s="2"/>
      <c r="NCP197" s="2"/>
      <c r="NCQ197" s="2"/>
      <c r="NCR197" s="2"/>
      <c r="NCS197" s="2"/>
      <c r="NCT197" s="2"/>
      <c r="NCU197" s="2"/>
      <c r="NCV197" s="2"/>
      <c r="NCW197" s="2"/>
      <c r="NCX197" s="2"/>
      <c r="NCY197" s="2"/>
      <c r="NCZ197" s="2"/>
      <c r="NDA197" s="2"/>
      <c r="NDB197" s="2"/>
      <c r="NDC197" s="2"/>
      <c r="NDD197" s="2"/>
      <c r="NDE197" s="2"/>
      <c r="NDF197" s="2"/>
      <c r="NDG197" s="2"/>
      <c r="NDH197" s="2"/>
      <c r="NDI197" s="2"/>
      <c r="NDJ197" s="2"/>
      <c r="NDK197" s="2"/>
      <c r="NDL197" s="2"/>
      <c r="NDM197" s="2"/>
      <c r="NDN197" s="2"/>
      <c r="NDO197" s="2"/>
      <c r="NDP197" s="2"/>
      <c r="NDQ197" s="2"/>
      <c r="NDR197" s="2"/>
      <c r="NDS197" s="2"/>
      <c r="NDT197" s="2"/>
      <c r="NDU197" s="2"/>
      <c r="NDV197" s="2"/>
      <c r="NDW197" s="2"/>
      <c r="NDX197" s="2"/>
      <c r="NDY197" s="2"/>
      <c r="NDZ197" s="2"/>
      <c r="NEA197" s="2"/>
      <c r="NEB197" s="2"/>
      <c r="NEC197" s="2"/>
      <c r="NED197" s="2"/>
      <c r="NEE197" s="2"/>
      <c r="NEF197" s="2"/>
      <c r="NEG197" s="2"/>
      <c r="NEH197" s="2"/>
      <c r="NEI197" s="2"/>
      <c r="NEJ197" s="2"/>
      <c r="NEK197" s="2"/>
      <c r="NEL197" s="2"/>
      <c r="NEM197" s="2"/>
      <c r="NEN197" s="2"/>
      <c r="NEO197" s="2"/>
      <c r="NEP197" s="2"/>
      <c r="NEQ197" s="2"/>
      <c r="NER197" s="2"/>
      <c r="NES197" s="2"/>
      <c r="NET197" s="2"/>
      <c r="NEU197" s="2"/>
      <c r="NEV197" s="2"/>
      <c r="NEW197" s="2"/>
      <c r="NEX197" s="2"/>
      <c r="NEY197" s="2"/>
      <c r="NEZ197" s="2"/>
      <c r="NFA197" s="2"/>
      <c r="NFB197" s="2"/>
      <c r="NFC197" s="2"/>
      <c r="NFD197" s="2"/>
      <c r="NFE197" s="2"/>
      <c r="NFF197" s="2"/>
      <c r="NFG197" s="2"/>
      <c r="NFH197" s="2"/>
      <c r="NFI197" s="2"/>
      <c r="NFJ197" s="2"/>
      <c r="NFK197" s="2"/>
      <c r="NFL197" s="2"/>
      <c r="NFM197" s="2"/>
      <c r="NFN197" s="2"/>
      <c r="NFO197" s="2"/>
      <c r="NFP197" s="2"/>
      <c r="NFQ197" s="2"/>
      <c r="NFR197" s="2"/>
      <c r="NFS197" s="2"/>
      <c r="NFT197" s="2"/>
      <c r="NFU197" s="2"/>
      <c r="NFV197" s="2"/>
      <c r="NFW197" s="2"/>
      <c r="NFX197" s="2"/>
      <c r="NFY197" s="2"/>
      <c r="NFZ197" s="2"/>
      <c r="NGA197" s="2"/>
      <c r="NGB197" s="2"/>
      <c r="NGC197" s="2"/>
      <c r="NGD197" s="2"/>
      <c r="NGE197" s="2"/>
      <c r="NGF197" s="2"/>
      <c r="NGG197" s="2"/>
      <c r="NGH197" s="2"/>
      <c r="NGI197" s="2"/>
      <c r="NGJ197" s="2"/>
      <c r="NGK197" s="2"/>
      <c r="NGL197" s="2"/>
      <c r="NGM197" s="2"/>
      <c r="NGN197" s="2"/>
      <c r="NGO197" s="2"/>
      <c r="NGP197" s="2"/>
      <c r="NGQ197" s="2"/>
      <c r="NGR197" s="2"/>
      <c r="NGS197" s="2"/>
      <c r="NGT197" s="2"/>
      <c r="NGU197" s="2"/>
      <c r="NGV197" s="2"/>
      <c r="NGW197" s="2"/>
      <c r="NGX197" s="2"/>
      <c r="NGY197" s="2"/>
      <c r="NGZ197" s="2"/>
      <c r="NHA197" s="2"/>
      <c r="NHB197" s="2"/>
      <c r="NHC197" s="2"/>
      <c r="NHD197" s="2"/>
      <c r="NHE197" s="2"/>
      <c r="NHF197" s="2"/>
      <c r="NHG197" s="2"/>
      <c r="NHH197" s="2"/>
      <c r="NHI197" s="2"/>
      <c r="NHJ197" s="2"/>
      <c r="NHK197" s="2"/>
      <c r="NHL197" s="2"/>
      <c r="NHM197" s="2"/>
      <c r="NHN197" s="2"/>
      <c r="NHO197" s="2"/>
      <c r="NHP197" s="2"/>
      <c r="NHQ197" s="2"/>
      <c r="NHR197" s="2"/>
      <c r="NHS197" s="2"/>
      <c r="NHT197" s="2"/>
      <c r="NHU197" s="2"/>
      <c r="NHV197" s="2"/>
      <c r="NHW197" s="2"/>
      <c r="NHX197" s="2"/>
      <c r="NHY197" s="2"/>
      <c r="NHZ197" s="2"/>
      <c r="NIA197" s="2"/>
      <c r="NIB197" s="2"/>
      <c r="NIC197" s="2"/>
      <c r="NID197" s="2"/>
      <c r="NIE197" s="2"/>
      <c r="NIF197" s="2"/>
      <c r="NIG197" s="2"/>
      <c r="NIH197" s="2"/>
      <c r="NII197" s="2"/>
      <c r="NIJ197" s="2"/>
      <c r="NIK197" s="2"/>
      <c r="NIL197" s="2"/>
      <c r="NIM197" s="2"/>
      <c r="NIN197" s="2"/>
      <c r="NIO197" s="2"/>
      <c r="NIP197" s="2"/>
      <c r="NIQ197" s="2"/>
      <c r="NIR197" s="2"/>
      <c r="NIS197" s="2"/>
      <c r="NIT197" s="2"/>
      <c r="NIU197" s="2"/>
      <c r="NIV197" s="2"/>
      <c r="NIW197" s="2"/>
      <c r="NIX197" s="2"/>
      <c r="NIY197" s="2"/>
      <c r="NIZ197" s="2"/>
      <c r="NJA197" s="2"/>
      <c r="NJB197" s="2"/>
      <c r="NJC197" s="2"/>
      <c r="NJD197" s="2"/>
      <c r="NJE197" s="2"/>
      <c r="NJF197" s="2"/>
      <c r="NJG197" s="2"/>
      <c r="NJH197" s="2"/>
      <c r="NJI197" s="2"/>
      <c r="NJJ197" s="2"/>
      <c r="NJK197" s="2"/>
      <c r="NJL197" s="2"/>
      <c r="NJM197" s="2"/>
      <c r="NJN197" s="2"/>
      <c r="NJO197" s="2"/>
      <c r="NJP197" s="2"/>
      <c r="NJQ197" s="2"/>
      <c r="NJR197" s="2"/>
      <c r="NJS197" s="2"/>
      <c r="NJT197" s="2"/>
      <c r="NJU197" s="2"/>
      <c r="NJV197" s="2"/>
      <c r="NJW197" s="2"/>
      <c r="NJX197" s="2"/>
      <c r="NJY197" s="2"/>
      <c r="NJZ197" s="2"/>
      <c r="NKA197" s="2"/>
      <c r="NKB197" s="2"/>
      <c r="NKC197" s="2"/>
      <c r="NKD197" s="2"/>
      <c r="NKE197" s="2"/>
      <c r="NKF197" s="2"/>
      <c r="NKG197" s="2"/>
      <c r="NKH197" s="2"/>
      <c r="NKI197" s="2"/>
      <c r="NKJ197" s="2"/>
      <c r="NKK197" s="2"/>
      <c r="NKL197" s="2"/>
      <c r="NKM197" s="2"/>
      <c r="NKN197" s="2"/>
      <c r="NKO197" s="2"/>
      <c r="NKP197" s="2"/>
      <c r="NKQ197" s="2"/>
      <c r="NKR197" s="2"/>
      <c r="NKS197" s="2"/>
      <c r="NKT197" s="2"/>
      <c r="NKU197" s="2"/>
      <c r="NKV197" s="2"/>
      <c r="NKW197" s="2"/>
      <c r="NKX197" s="2"/>
      <c r="NKY197" s="2"/>
      <c r="NKZ197" s="2"/>
      <c r="NLA197" s="2"/>
      <c r="NLB197" s="2"/>
      <c r="NLC197" s="2"/>
      <c r="NLD197" s="2"/>
      <c r="NLE197" s="2"/>
      <c r="NLF197" s="2"/>
      <c r="NLG197" s="2"/>
      <c r="NLH197" s="2"/>
      <c r="NLI197" s="2"/>
      <c r="NLJ197" s="2"/>
      <c r="NLK197" s="2"/>
      <c r="NLL197" s="2"/>
      <c r="NLM197" s="2"/>
      <c r="NLN197" s="2"/>
      <c r="NLO197" s="2"/>
      <c r="NLP197" s="2"/>
      <c r="NLQ197" s="2"/>
      <c r="NLR197" s="2"/>
      <c r="NLS197" s="2"/>
      <c r="NLT197" s="2"/>
      <c r="NLU197" s="2"/>
      <c r="NLV197" s="2"/>
      <c r="NLW197" s="2"/>
      <c r="NLX197" s="2"/>
      <c r="NLY197" s="2"/>
      <c r="NLZ197" s="2"/>
      <c r="NMA197" s="2"/>
      <c r="NMB197" s="2"/>
      <c r="NMC197" s="2"/>
      <c r="NMD197" s="2"/>
      <c r="NME197" s="2"/>
      <c r="NMF197" s="2"/>
      <c r="NMG197" s="2"/>
      <c r="NMH197" s="2"/>
      <c r="NMI197" s="2"/>
      <c r="NMJ197" s="2"/>
      <c r="NMK197" s="2"/>
      <c r="NML197" s="2"/>
      <c r="NMM197" s="2"/>
      <c r="NMN197" s="2"/>
      <c r="NMO197" s="2"/>
      <c r="NMP197" s="2"/>
      <c r="NMQ197" s="2"/>
      <c r="NMR197" s="2"/>
      <c r="NMS197" s="2"/>
      <c r="NMT197" s="2"/>
      <c r="NMU197" s="2"/>
      <c r="NMV197" s="2"/>
      <c r="NMW197" s="2"/>
      <c r="NMX197" s="2"/>
      <c r="NMY197" s="2"/>
      <c r="NMZ197" s="2"/>
      <c r="NNA197" s="2"/>
      <c r="NNB197" s="2"/>
      <c r="NNC197" s="2"/>
      <c r="NND197" s="2"/>
      <c r="NNE197" s="2"/>
      <c r="NNF197" s="2"/>
      <c r="NNG197" s="2"/>
      <c r="NNH197" s="2"/>
      <c r="NNI197" s="2"/>
      <c r="NNJ197" s="2"/>
      <c r="NNK197" s="2"/>
      <c r="NNL197" s="2"/>
      <c r="NNM197" s="2"/>
      <c r="NNN197" s="2"/>
      <c r="NNO197" s="2"/>
      <c r="NNP197" s="2"/>
      <c r="NNQ197" s="2"/>
      <c r="NNR197" s="2"/>
      <c r="NNS197" s="2"/>
      <c r="NNT197" s="2"/>
      <c r="NNU197" s="2"/>
      <c r="NNV197" s="2"/>
      <c r="NNW197" s="2"/>
      <c r="NNX197" s="2"/>
      <c r="NNY197" s="2"/>
      <c r="NNZ197" s="2"/>
      <c r="NOA197" s="2"/>
      <c r="NOB197" s="2"/>
      <c r="NOC197" s="2"/>
      <c r="NOD197" s="2"/>
      <c r="NOE197" s="2"/>
      <c r="NOF197" s="2"/>
      <c r="NOG197" s="2"/>
      <c r="NOH197" s="2"/>
      <c r="NOI197" s="2"/>
      <c r="NOJ197" s="2"/>
      <c r="NOK197" s="2"/>
      <c r="NOL197" s="2"/>
      <c r="NOM197" s="2"/>
      <c r="NON197" s="2"/>
      <c r="NOO197" s="2"/>
      <c r="NOP197" s="2"/>
      <c r="NOQ197" s="2"/>
      <c r="NOR197" s="2"/>
      <c r="NOS197" s="2"/>
      <c r="NOT197" s="2"/>
      <c r="NOU197" s="2"/>
      <c r="NOV197" s="2"/>
      <c r="NOW197" s="2"/>
      <c r="NOX197" s="2"/>
      <c r="NOY197" s="2"/>
      <c r="NOZ197" s="2"/>
      <c r="NPA197" s="2"/>
      <c r="NPB197" s="2"/>
      <c r="NPC197" s="2"/>
      <c r="NPD197" s="2"/>
      <c r="NPE197" s="2"/>
      <c r="NPF197" s="2"/>
      <c r="NPG197" s="2"/>
      <c r="NPH197" s="2"/>
      <c r="NPI197" s="2"/>
      <c r="NPJ197" s="2"/>
      <c r="NPK197" s="2"/>
      <c r="NPL197" s="2"/>
      <c r="NPM197" s="2"/>
      <c r="NPN197" s="2"/>
      <c r="NPO197" s="2"/>
      <c r="NPP197" s="2"/>
      <c r="NPQ197" s="2"/>
      <c r="NPR197" s="2"/>
      <c r="NPS197" s="2"/>
      <c r="NPT197" s="2"/>
      <c r="NPU197" s="2"/>
      <c r="NPV197" s="2"/>
      <c r="NPW197" s="2"/>
      <c r="NPX197" s="2"/>
      <c r="NPY197" s="2"/>
      <c r="NPZ197" s="2"/>
      <c r="NQA197" s="2"/>
      <c r="NQB197" s="2"/>
      <c r="NQC197" s="2"/>
      <c r="NQD197" s="2"/>
      <c r="NQE197" s="2"/>
      <c r="NQF197" s="2"/>
      <c r="NQG197" s="2"/>
      <c r="NQH197" s="2"/>
      <c r="NQI197" s="2"/>
      <c r="NQJ197" s="2"/>
      <c r="NQK197" s="2"/>
      <c r="NQL197" s="2"/>
      <c r="NQM197" s="2"/>
      <c r="NQN197" s="2"/>
      <c r="NQO197" s="2"/>
      <c r="NQP197" s="2"/>
      <c r="NQQ197" s="2"/>
      <c r="NQR197" s="2"/>
      <c r="NQS197" s="2"/>
      <c r="NQT197" s="2"/>
      <c r="NQU197" s="2"/>
      <c r="NQV197" s="2"/>
      <c r="NQW197" s="2"/>
      <c r="NQX197" s="2"/>
      <c r="NQY197" s="2"/>
      <c r="NQZ197" s="2"/>
      <c r="NRA197" s="2"/>
      <c r="NRB197" s="2"/>
      <c r="NRC197" s="2"/>
      <c r="NRD197" s="2"/>
      <c r="NRE197" s="2"/>
      <c r="NRF197" s="2"/>
      <c r="NRG197" s="2"/>
      <c r="NRH197" s="2"/>
      <c r="NRI197" s="2"/>
      <c r="NRJ197" s="2"/>
      <c r="NRK197" s="2"/>
      <c r="NRL197" s="2"/>
      <c r="NRM197" s="2"/>
      <c r="NRN197" s="2"/>
      <c r="NRO197" s="2"/>
      <c r="NRP197" s="2"/>
      <c r="NRQ197" s="2"/>
      <c r="NRR197" s="2"/>
      <c r="NRS197" s="2"/>
      <c r="NRT197" s="2"/>
      <c r="NRU197" s="2"/>
      <c r="NRV197" s="2"/>
      <c r="NRW197" s="2"/>
      <c r="NRX197" s="2"/>
      <c r="NRY197" s="2"/>
      <c r="NRZ197" s="2"/>
      <c r="NSA197" s="2"/>
      <c r="NSB197" s="2"/>
      <c r="NSC197" s="2"/>
      <c r="NSD197" s="2"/>
      <c r="NSE197" s="2"/>
      <c r="NSF197" s="2"/>
      <c r="NSG197" s="2"/>
      <c r="NSH197" s="2"/>
      <c r="NSI197" s="2"/>
      <c r="NSJ197" s="2"/>
      <c r="NSK197" s="2"/>
      <c r="NSL197" s="2"/>
      <c r="NSM197" s="2"/>
      <c r="NSN197" s="2"/>
      <c r="NSO197" s="2"/>
      <c r="NSP197" s="2"/>
      <c r="NSQ197" s="2"/>
      <c r="NSR197" s="2"/>
      <c r="NSS197" s="2"/>
      <c r="NST197" s="2"/>
      <c r="NSU197" s="2"/>
      <c r="NSV197" s="2"/>
      <c r="NSW197" s="2"/>
      <c r="NSX197" s="2"/>
      <c r="NSY197" s="2"/>
      <c r="NSZ197" s="2"/>
      <c r="NTA197" s="2"/>
      <c r="NTB197" s="2"/>
      <c r="NTC197" s="2"/>
      <c r="NTD197" s="2"/>
      <c r="NTE197" s="2"/>
      <c r="NTF197" s="2"/>
      <c r="NTG197" s="2"/>
      <c r="NTH197" s="2"/>
      <c r="NTI197" s="2"/>
      <c r="NTJ197" s="2"/>
      <c r="NTK197" s="2"/>
      <c r="NTL197" s="2"/>
      <c r="NTM197" s="2"/>
      <c r="NTN197" s="2"/>
      <c r="NTO197" s="2"/>
      <c r="NTP197" s="2"/>
      <c r="NTQ197" s="2"/>
      <c r="NTR197" s="2"/>
      <c r="NTS197" s="2"/>
      <c r="NTT197" s="2"/>
      <c r="NTU197" s="2"/>
      <c r="NTV197" s="2"/>
      <c r="NTW197" s="2"/>
      <c r="NTX197" s="2"/>
      <c r="NTY197" s="2"/>
      <c r="NTZ197" s="2"/>
      <c r="NUA197" s="2"/>
      <c r="NUB197" s="2"/>
      <c r="NUC197" s="2"/>
      <c r="NUD197" s="2"/>
      <c r="NUE197" s="2"/>
      <c r="NUF197" s="2"/>
      <c r="NUG197" s="2"/>
      <c r="NUH197" s="2"/>
      <c r="NUI197" s="2"/>
      <c r="NUJ197" s="2"/>
      <c r="NUK197" s="2"/>
      <c r="NUL197" s="2"/>
      <c r="NUM197" s="2"/>
      <c r="NUN197" s="2"/>
      <c r="NUO197" s="2"/>
      <c r="NUP197" s="2"/>
      <c r="NUQ197" s="2"/>
      <c r="NUR197" s="2"/>
      <c r="NUS197" s="2"/>
      <c r="NUT197" s="2"/>
      <c r="NUU197" s="2"/>
      <c r="NUV197" s="2"/>
      <c r="NUW197" s="2"/>
      <c r="NUX197" s="2"/>
      <c r="NUY197" s="2"/>
      <c r="NUZ197" s="2"/>
      <c r="NVA197" s="2"/>
      <c r="NVB197" s="2"/>
      <c r="NVC197" s="2"/>
      <c r="NVD197" s="2"/>
      <c r="NVE197" s="2"/>
      <c r="NVF197" s="2"/>
      <c r="NVG197" s="2"/>
      <c r="NVH197" s="2"/>
      <c r="NVI197" s="2"/>
      <c r="NVJ197" s="2"/>
      <c r="NVK197" s="2"/>
      <c r="NVL197" s="2"/>
      <c r="NVM197" s="2"/>
      <c r="NVN197" s="2"/>
      <c r="NVO197" s="2"/>
      <c r="NVP197" s="2"/>
      <c r="NVQ197" s="2"/>
      <c r="NVR197" s="2"/>
      <c r="NVS197" s="2"/>
      <c r="NVT197" s="2"/>
      <c r="NVU197" s="2"/>
      <c r="NVV197" s="2"/>
      <c r="NVW197" s="2"/>
      <c r="NVX197" s="2"/>
      <c r="NVY197" s="2"/>
      <c r="NVZ197" s="2"/>
      <c r="NWA197" s="2"/>
      <c r="NWB197" s="2"/>
      <c r="NWC197" s="2"/>
      <c r="NWD197" s="2"/>
      <c r="NWE197" s="2"/>
      <c r="NWF197" s="2"/>
      <c r="NWG197" s="2"/>
      <c r="NWH197" s="2"/>
      <c r="NWI197" s="2"/>
      <c r="NWJ197" s="2"/>
      <c r="NWK197" s="2"/>
      <c r="NWL197" s="2"/>
      <c r="NWM197" s="2"/>
      <c r="NWN197" s="2"/>
      <c r="NWO197" s="2"/>
      <c r="NWP197" s="2"/>
      <c r="NWQ197" s="2"/>
      <c r="NWR197" s="2"/>
      <c r="NWS197" s="2"/>
      <c r="NWT197" s="2"/>
      <c r="NWU197" s="2"/>
      <c r="NWV197" s="2"/>
      <c r="NWW197" s="2"/>
      <c r="NWX197" s="2"/>
      <c r="NWY197" s="2"/>
      <c r="NWZ197" s="2"/>
      <c r="NXA197" s="2"/>
      <c r="NXB197" s="2"/>
      <c r="NXC197" s="2"/>
      <c r="NXD197" s="2"/>
      <c r="NXE197" s="2"/>
      <c r="NXF197" s="2"/>
      <c r="NXG197" s="2"/>
      <c r="NXH197" s="2"/>
      <c r="NXI197" s="2"/>
      <c r="NXJ197" s="2"/>
      <c r="NXK197" s="2"/>
      <c r="NXL197" s="2"/>
      <c r="NXM197" s="2"/>
      <c r="NXN197" s="2"/>
      <c r="NXO197" s="2"/>
      <c r="NXP197" s="2"/>
      <c r="NXQ197" s="2"/>
      <c r="NXR197" s="2"/>
      <c r="NXS197" s="2"/>
      <c r="NXT197" s="2"/>
      <c r="NXU197" s="2"/>
      <c r="NXV197" s="2"/>
      <c r="NXW197" s="2"/>
      <c r="NXX197" s="2"/>
      <c r="NXY197" s="2"/>
      <c r="NXZ197" s="2"/>
      <c r="NYA197" s="2"/>
      <c r="NYB197" s="2"/>
      <c r="NYC197" s="2"/>
      <c r="NYD197" s="2"/>
      <c r="NYE197" s="2"/>
      <c r="NYF197" s="2"/>
      <c r="NYG197" s="2"/>
      <c r="NYH197" s="2"/>
      <c r="NYI197" s="2"/>
      <c r="NYJ197" s="2"/>
      <c r="NYK197" s="2"/>
      <c r="NYL197" s="2"/>
      <c r="NYM197" s="2"/>
      <c r="NYN197" s="2"/>
      <c r="NYO197" s="2"/>
      <c r="NYP197" s="2"/>
      <c r="NYQ197" s="2"/>
      <c r="NYR197" s="2"/>
      <c r="NYS197" s="2"/>
      <c r="NYT197" s="2"/>
      <c r="NYU197" s="2"/>
      <c r="NYV197" s="2"/>
      <c r="NYW197" s="2"/>
      <c r="NYX197" s="2"/>
      <c r="NYY197" s="2"/>
      <c r="NYZ197" s="2"/>
      <c r="NZA197" s="2"/>
      <c r="NZB197" s="2"/>
      <c r="NZC197" s="2"/>
      <c r="NZD197" s="2"/>
      <c r="NZE197" s="2"/>
      <c r="NZF197" s="2"/>
      <c r="NZG197" s="2"/>
      <c r="NZH197" s="2"/>
      <c r="NZI197" s="2"/>
      <c r="NZJ197" s="2"/>
      <c r="NZK197" s="2"/>
      <c r="NZL197" s="2"/>
      <c r="NZM197" s="2"/>
      <c r="NZN197" s="2"/>
      <c r="NZO197" s="2"/>
      <c r="NZP197" s="2"/>
      <c r="NZQ197" s="2"/>
      <c r="NZR197" s="2"/>
      <c r="NZS197" s="2"/>
      <c r="NZT197" s="2"/>
      <c r="NZU197" s="2"/>
      <c r="NZV197" s="2"/>
      <c r="NZW197" s="2"/>
      <c r="NZX197" s="2"/>
      <c r="NZY197" s="2"/>
      <c r="NZZ197" s="2"/>
      <c r="OAA197" s="2"/>
      <c r="OAB197" s="2"/>
      <c r="OAC197" s="2"/>
      <c r="OAD197" s="2"/>
      <c r="OAE197" s="2"/>
      <c r="OAF197" s="2"/>
      <c r="OAG197" s="2"/>
      <c r="OAH197" s="2"/>
      <c r="OAI197" s="2"/>
      <c r="OAJ197" s="2"/>
      <c r="OAK197" s="2"/>
      <c r="OAL197" s="2"/>
      <c r="OAM197" s="2"/>
      <c r="OAN197" s="2"/>
      <c r="OAO197" s="2"/>
      <c r="OAP197" s="2"/>
      <c r="OAQ197" s="2"/>
      <c r="OAR197" s="2"/>
      <c r="OAS197" s="2"/>
      <c r="OAT197" s="2"/>
      <c r="OAU197" s="2"/>
      <c r="OAV197" s="2"/>
      <c r="OAW197" s="2"/>
      <c r="OAX197" s="2"/>
      <c r="OAY197" s="2"/>
      <c r="OAZ197" s="2"/>
      <c r="OBA197" s="2"/>
      <c r="OBB197" s="2"/>
      <c r="OBC197" s="2"/>
      <c r="OBD197" s="2"/>
      <c r="OBE197" s="2"/>
      <c r="OBF197" s="2"/>
      <c r="OBG197" s="2"/>
      <c r="OBH197" s="2"/>
      <c r="OBI197" s="2"/>
      <c r="OBJ197" s="2"/>
      <c r="OBK197" s="2"/>
      <c r="OBL197" s="2"/>
      <c r="OBM197" s="2"/>
      <c r="OBN197" s="2"/>
      <c r="OBO197" s="2"/>
      <c r="OBP197" s="2"/>
      <c r="OBQ197" s="2"/>
      <c r="OBR197" s="2"/>
      <c r="OBS197" s="2"/>
      <c r="OBT197" s="2"/>
      <c r="OBU197" s="2"/>
      <c r="OBV197" s="2"/>
      <c r="OBW197" s="2"/>
      <c r="OBX197" s="2"/>
      <c r="OBY197" s="2"/>
      <c r="OBZ197" s="2"/>
      <c r="OCA197" s="2"/>
      <c r="OCB197" s="2"/>
      <c r="OCC197" s="2"/>
      <c r="OCD197" s="2"/>
      <c r="OCE197" s="2"/>
      <c r="OCF197" s="2"/>
      <c r="OCG197" s="2"/>
      <c r="OCH197" s="2"/>
      <c r="OCI197" s="2"/>
      <c r="OCJ197" s="2"/>
      <c r="OCK197" s="2"/>
      <c r="OCL197" s="2"/>
      <c r="OCM197" s="2"/>
      <c r="OCN197" s="2"/>
      <c r="OCO197" s="2"/>
      <c r="OCP197" s="2"/>
      <c r="OCQ197" s="2"/>
      <c r="OCR197" s="2"/>
      <c r="OCS197" s="2"/>
      <c r="OCT197" s="2"/>
      <c r="OCU197" s="2"/>
      <c r="OCV197" s="2"/>
      <c r="OCW197" s="2"/>
      <c r="OCX197" s="2"/>
      <c r="OCY197" s="2"/>
      <c r="OCZ197" s="2"/>
      <c r="ODA197" s="2"/>
      <c r="ODB197" s="2"/>
      <c r="ODC197" s="2"/>
      <c r="ODD197" s="2"/>
      <c r="ODE197" s="2"/>
      <c r="ODF197" s="2"/>
      <c r="ODG197" s="2"/>
      <c r="ODH197" s="2"/>
      <c r="ODI197" s="2"/>
      <c r="ODJ197" s="2"/>
      <c r="ODK197" s="2"/>
      <c r="ODL197" s="2"/>
      <c r="ODM197" s="2"/>
      <c r="ODN197" s="2"/>
      <c r="ODO197" s="2"/>
      <c r="ODP197" s="2"/>
      <c r="ODQ197" s="2"/>
      <c r="ODR197" s="2"/>
      <c r="ODS197" s="2"/>
      <c r="ODT197" s="2"/>
      <c r="ODU197" s="2"/>
      <c r="ODV197" s="2"/>
      <c r="ODW197" s="2"/>
      <c r="ODX197" s="2"/>
      <c r="ODY197" s="2"/>
      <c r="ODZ197" s="2"/>
      <c r="OEA197" s="2"/>
      <c r="OEB197" s="2"/>
      <c r="OEC197" s="2"/>
      <c r="OED197" s="2"/>
      <c r="OEE197" s="2"/>
      <c r="OEF197" s="2"/>
      <c r="OEG197" s="2"/>
      <c r="OEH197" s="2"/>
      <c r="OEI197" s="2"/>
      <c r="OEJ197" s="2"/>
      <c r="OEK197" s="2"/>
      <c r="OEL197" s="2"/>
      <c r="OEM197" s="2"/>
      <c r="OEN197" s="2"/>
      <c r="OEO197" s="2"/>
      <c r="OEP197" s="2"/>
      <c r="OEQ197" s="2"/>
      <c r="OER197" s="2"/>
      <c r="OES197" s="2"/>
      <c r="OET197" s="2"/>
      <c r="OEU197" s="2"/>
      <c r="OEV197" s="2"/>
      <c r="OEW197" s="2"/>
      <c r="OEX197" s="2"/>
      <c r="OEY197" s="2"/>
      <c r="OEZ197" s="2"/>
      <c r="OFA197" s="2"/>
      <c r="OFB197" s="2"/>
      <c r="OFC197" s="2"/>
      <c r="OFD197" s="2"/>
      <c r="OFE197" s="2"/>
      <c r="OFF197" s="2"/>
      <c r="OFG197" s="2"/>
      <c r="OFH197" s="2"/>
      <c r="OFI197" s="2"/>
      <c r="OFJ197" s="2"/>
      <c r="OFK197" s="2"/>
      <c r="OFL197" s="2"/>
      <c r="OFM197" s="2"/>
      <c r="OFN197" s="2"/>
      <c r="OFO197" s="2"/>
      <c r="OFP197" s="2"/>
      <c r="OFQ197" s="2"/>
      <c r="OFR197" s="2"/>
      <c r="OFS197" s="2"/>
      <c r="OFT197" s="2"/>
      <c r="OFU197" s="2"/>
      <c r="OFV197" s="2"/>
      <c r="OFW197" s="2"/>
      <c r="OFX197" s="2"/>
      <c r="OFY197" s="2"/>
      <c r="OFZ197" s="2"/>
      <c r="OGA197" s="2"/>
      <c r="OGB197" s="2"/>
      <c r="OGC197" s="2"/>
      <c r="OGD197" s="2"/>
      <c r="OGE197" s="2"/>
      <c r="OGF197" s="2"/>
      <c r="OGG197" s="2"/>
      <c r="OGH197" s="2"/>
      <c r="OGI197" s="2"/>
      <c r="OGJ197" s="2"/>
      <c r="OGK197" s="2"/>
      <c r="OGL197" s="2"/>
      <c r="OGM197" s="2"/>
      <c r="OGN197" s="2"/>
      <c r="OGO197" s="2"/>
      <c r="OGP197" s="2"/>
      <c r="OGQ197" s="2"/>
      <c r="OGR197" s="2"/>
      <c r="OGS197" s="2"/>
      <c r="OGT197" s="2"/>
      <c r="OGU197" s="2"/>
      <c r="OGV197" s="2"/>
      <c r="OGW197" s="2"/>
      <c r="OGX197" s="2"/>
      <c r="OGY197" s="2"/>
      <c r="OGZ197" s="2"/>
      <c r="OHA197" s="2"/>
      <c r="OHB197" s="2"/>
      <c r="OHC197" s="2"/>
      <c r="OHD197" s="2"/>
      <c r="OHE197" s="2"/>
      <c r="OHF197" s="2"/>
      <c r="OHG197" s="2"/>
      <c r="OHH197" s="2"/>
      <c r="OHI197" s="2"/>
      <c r="OHJ197" s="2"/>
      <c r="OHK197" s="2"/>
      <c r="OHL197" s="2"/>
      <c r="OHM197" s="2"/>
      <c r="OHN197" s="2"/>
      <c r="OHO197" s="2"/>
      <c r="OHP197" s="2"/>
      <c r="OHQ197" s="2"/>
      <c r="OHR197" s="2"/>
      <c r="OHS197" s="2"/>
      <c r="OHT197" s="2"/>
      <c r="OHU197" s="2"/>
      <c r="OHV197" s="2"/>
      <c r="OHW197" s="2"/>
      <c r="OHX197" s="2"/>
      <c r="OHY197" s="2"/>
      <c r="OHZ197" s="2"/>
      <c r="OIA197" s="2"/>
      <c r="OIB197" s="2"/>
      <c r="OIC197" s="2"/>
      <c r="OID197" s="2"/>
      <c r="OIE197" s="2"/>
      <c r="OIF197" s="2"/>
      <c r="OIG197" s="2"/>
      <c r="OIH197" s="2"/>
      <c r="OII197" s="2"/>
      <c r="OIJ197" s="2"/>
      <c r="OIK197" s="2"/>
      <c r="OIL197" s="2"/>
      <c r="OIM197" s="2"/>
      <c r="OIN197" s="2"/>
      <c r="OIO197" s="2"/>
      <c r="OIP197" s="2"/>
      <c r="OIQ197" s="2"/>
      <c r="OIR197" s="2"/>
      <c r="OIS197" s="2"/>
      <c r="OIT197" s="2"/>
      <c r="OIU197" s="2"/>
      <c r="OIV197" s="2"/>
      <c r="OIW197" s="2"/>
      <c r="OIX197" s="2"/>
      <c r="OIY197" s="2"/>
      <c r="OIZ197" s="2"/>
      <c r="OJA197" s="2"/>
      <c r="OJB197" s="2"/>
      <c r="OJC197" s="2"/>
      <c r="OJD197" s="2"/>
      <c r="OJE197" s="2"/>
      <c r="OJF197" s="2"/>
      <c r="OJG197" s="2"/>
      <c r="OJH197" s="2"/>
      <c r="OJI197" s="2"/>
      <c r="OJJ197" s="2"/>
      <c r="OJK197" s="2"/>
      <c r="OJL197" s="2"/>
      <c r="OJM197" s="2"/>
      <c r="OJN197" s="2"/>
      <c r="OJO197" s="2"/>
      <c r="OJP197" s="2"/>
      <c r="OJQ197" s="2"/>
      <c r="OJR197" s="2"/>
      <c r="OJS197" s="2"/>
      <c r="OJT197" s="2"/>
      <c r="OJU197" s="2"/>
      <c r="OJV197" s="2"/>
      <c r="OJW197" s="2"/>
      <c r="OJX197" s="2"/>
      <c r="OJY197" s="2"/>
      <c r="OJZ197" s="2"/>
      <c r="OKA197" s="2"/>
      <c r="OKB197" s="2"/>
      <c r="OKC197" s="2"/>
      <c r="OKD197" s="2"/>
      <c r="OKE197" s="2"/>
      <c r="OKF197" s="2"/>
      <c r="OKG197" s="2"/>
      <c r="OKH197" s="2"/>
      <c r="OKI197" s="2"/>
      <c r="OKJ197" s="2"/>
      <c r="OKK197" s="2"/>
      <c r="OKL197" s="2"/>
      <c r="OKM197" s="2"/>
      <c r="OKN197" s="2"/>
      <c r="OKO197" s="2"/>
      <c r="OKP197" s="2"/>
      <c r="OKQ197" s="2"/>
      <c r="OKR197" s="2"/>
      <c r="OKS197" s="2"/>
      <c r="OKT197" s="2"/>
      <c r="OKU197" s="2"/>
      <c r="OKV197" s="2"/>
      <c r="OKW197" s="2"/>
      <c r="OKX197" s="2"/>
      <c r="OKY197" s="2"/>
      <c r="OKZ197" s="2"/>
      <c r="OLA197" s="2"/>
      <c r="OLB197" s="2"/>
      <c r="OLC197" s="2"/>
      <c r="OLD197" s="2"/>
      <c r="OLE197" s="2"/>
      <c r="OLF197" s="2"/>
      <c r="OLG197" s="2"/>
      <c r="OLH197" s="2"/>
      <c r="OLI197" s="2"/>
      <c r="OLJ197" s="2"/>
      <c r="OLK197" s="2"/>
      <c r="OLL197" s="2"/>
      <c r="OLM197" s="2"/>
      <c r="OLN197" s="2"/>
      <c r="OLO197" s="2"/>
      <c r="OLP197" s="2"/>
      <c r="OLQ197" s="2"/>
      <c r="OLR197" s="2"/>
      <c r="OLS197" s="2"/>
      <c r="OLT197" s="2"/>
      <c r="OLU197" s="2"/>
      <c r="OLV197" s="2"/>
      <c r="OLW197" s="2"/>
      <c r="OLX197" s="2"/>
      <c r="OLY197" s="2"/>
      <c r="OLZ197" s="2"/>
      <c r="OMA197" s="2"/>
      <c r="OMB197" s="2"/>
      <c r="OMC197" s="2"/>
      <c r="OMD197" s="2"/>
      <c r="OME197" s="2"/>
      <c r="OMF197" s="2"/>
      <c r="OMG197" s="2"/>
      <c r="OMH197" s="2"/>
      <c r="OMI197" s="2"/>
      <c r="OMJ197" s="2"/>
      <c r="OMK197" s="2"/>
      <c r="OML197" s="2"/>
      <c r="OMM197" s="2"/>
      <c r="OMN197" s="2"/>
      <c r="OMO197" s="2"/>
      <c r="OMP197" s="2"/>
      <c r="OMQ197" s="2"/>
      <c r="OMR197" s="2"/>
      <c r="OMS197" s="2"/>
      <c r="OMT197" s="2"/>
      <c r="OMU197" s="2"/>
      <c r="OMV197" s="2"/>
      <c r="OMW197" s="2"/>
      <c r="OMX197" s="2"/>
      <c r="OMY197" s="2"/>
      <c r="OMZ197" s="2"/>
      <c r="ONA197" s="2"/>
      <c r="ONB197" s="2"/>
      <c r="ONC197" s="2"/>
      <c r="OND197" s="2"/>
      <c r="ONE197" s="2"/>
      <c r="ONF197" s="2"/>
      <c r="ONG197" s="2"/>
      <c r="ONH197" s="2"/>
      <c r="ONI197" s="2"/>
      <c r="ONJ197" s="2"/>
      <c r="ONK197" s="2"/>
      <c r="ONL197" s="2"/>
      <c r="ONM197" s="2"/>
      <c r="ONN197" s="2"/>
      <c r="ONO197" s="2"/>
      <c r="ONP197" s="2"/>
      <c r="ONQ197" s="2"/>
      <c r="ONR197" s="2"/>
      <c r="ONS197" s="2"/>
      <c r="ONT197" s="2"/>
      <c r="ONU197" s="2"/>
      <c r="ONV197" s="2"/>
      <c r="ONW197" s="2"/>
      <c r="ONX197" s="2"/>
      <c r="ONY197" s="2"/>
      <c r="ONZ197" s="2"/>
      <c r="OOA197" s="2"/>
      <c r="OOB197" s="2"/>
      <c r="OOC197" s="2"/>
      <c r="OOD197" s="2"/>
      <c r="OOE197" s="2"/>
      <c r="OOF197" s="2"/>
      <c r="OOG197" s="2"/>
      <c r="OOH197" s="2"/>
      <c r="OOI197" s="2"/>
      <c r="OOJ197" s="2"/>
      <c r="OOK197" s="2"/>
      <c r="OOL197" s="2"/>
      <c r="OOM197" s="2"/>
      <c r="OON197" s="2"/>
      <c r="OOO197" s="2"/>
      <c r="OOP197" s="2"/>
      <c r="OOQ197" s="2"/>
      <c r="OOR197" s="2"/>
      <c r="OOS197" s="2"/>
      <c r="OOT197" s="2"/>
      <c r="OOU197" s="2"/>
      <c r="OOV197" s="2"/>
      <c r="OOW197" s="2"/>
      <c r="OOX197" s="2"/>
      <c r="OOY197" s="2"/>
      <c r="OOZ197" s="2"/>
      <c r="OPA197" s="2"/>
      <c r="OPB197" s="2"/>
      <c r="OPC197" s="2"/>
      <c r="OPD197" s="2"/>
      <c r="OPE197" s="2"/>
      <c r="OPF197" s="2"/>
      <c r="OPG197" s="2"/>
      <c r="OPH197" s="2"/>
      <c r="OPI197" s="2"/>
      <c r="OPJ197" s="2"/>
      <c r="OPK197" s="2"/>
      <c r="OPL197" s="2"/>
      <c r="OPM197" s="2"/>
      <c r="OPN197" s="2"/>
      <c r="OPO197" s="2"/>
      <c r="OPP197" s="2"/>
      <c r="OPQ197" s="2"/>
      <c r="OPR197" s="2"/>
      <c r="OPS197" s="2"/>
      <c r="OPT197" s="2"/>
      <c r="OPU197" s="2"/>
      <c r="OPV197" s="2"/>
      <c r="OPW197" s="2"/>
      <c r="OPX197" s="2"/>
      <c r="OPY197" s="2"/>
      <c r="OPZ197" s="2"/>
      <c r="OQA197" s="2"/>
      <c r="OQB197" s="2"/>
      <c r="OQC197" s="2"/>
      <c r="OQD197" s="2"/>
      <c r="OQE197" s="2"/>
      <c r="OQF197" s="2"/>
      <c r="OQG197" s="2"/>
      <c r="OQH197" s="2"/>
      <c r="OQI197" s="2"/>
      <c r="OQJ197" s="2"/>
      <c r="OQK197" s="2"/>
      <c r="OQL197" s="2"/>
      <c r="OQM197" s="2"/>
      <c r="OQN197" s="2"/>
      <c r="OQO197" s="2"/>
      <c r="OQP197" s="2"/>
      <c r="OQQ197" s="2"/>
      <c r="OQR197" s="2"/>
      <c r="OQS197" s="2"/>
      <c r="OQT197" s="2"/>
      <c r="OQU197" s="2"/>
      <c r="OQV197" s="2"/>
      <c r="OQW197" s="2"/>
      <c r="OQX197" s="2"/>
      <c r="OQY197" s="2"/>
      <c r="OQZ197" s="2"/>
      <c r="ORA197" s="2"/>
      <c r="ORB197" s="2"/>
      <c r="ORC197" s="2"/>
      <c r="ORD197" s="2"/>
      <c r="ORE197" s="2"/>
      <c r="ORF197" s="2"/>
      <c r="ORG197" s="2"/>
      <c r="ORH197" s="2"/>
      <c r="ORI197" s="2"/>
      <c r="ORJ197" s="2"/>
      <c r="ORK197" s="2"/>
      <c r="ORL197" s="2"/>
      <c r="ORM197" s="2"/>
      <c r="ORN197" s="2"/>
      <c r="ORO197" s="2"/>
      <c r="ORP197" s="2"/>
      <c r="ORQ197" s="2"/>
      <c r="ORR197" s="2"/>
      <c r="ORS197" s="2"/>
      <c r="ORT197" s="2"/>
      <c r="ORU197" s="2"/>
      <c r="ORV197" s="2"/>
      <c r="ORW197" s="2"/>
      <c r="ORX197" s="2"/>
      <c r="ORY197" s="2"/>
      <c r="ORZ197" s="2"/>
      <c r="OSA197" s="2"/>
      <c r="OSB197" s="2"/>
      <c r="OSC197" s="2"/>
      <c r="OSD197" s="2"/>
      <c r="OSE197" s="2"/>
      <c r="OSF197" s="2"/>
      <c r="OSG197" s="2"/>
      <c r="OSH197" s="2"/>
      <c r="OSI197" s="2"/>
      <c r="OSJ197" s="2"/>
      <c r="OSK197" s="2"/>
      <c r="OSL197" s="2"/>
      <c r="OSM197" s="2"/>
      <c r="OSN197" s="2"/>
      <c r="OSO197" s="2"/>
      <c r="OSP197" s="2"/>
      <c r="OSQ197" s="2"/>
      <c r="OSR197" s="2"/>
      <c r="OSS197" s="2"/>
      <c r="OST197" s="2"/>
      <c r="OSU197" s="2"/>
      <c r="OSV197" s="2"/>
      <c r="OSW197" s="2"/>
      <c r="OSX197" s="2"/>
      <c r="OSY197" s="2"/>
      <c r="OSZ197" s="2"/>
      <c r="OTA197" s="2"/>
      <c r="OTB197" s="2"/>
      <c r="OTC197" s="2"/>
      <c r="OTD197" s="2"/>
      <c r="OTE197" s="2"/>
      <c r="OTF197" s="2"/>
      <c r="OTG197" s="2"/>
      <c r="OTH197" s="2"/>
      <c r="OTI197" s="2"/>
      <c r="OTJ197" s="2"/>
      <c r="OTK197" s="2"/>
      <c r="OTL197" s="2"/>
      <c r="OTM197" s="2"/>
      <c r="OTN197" s="2"/>
      <c r="OTO197" s="2"/>
      <c r="OTP197" s="2"/>
      <c r="OTQ197" s="2"/>
      <c r="OTR197" s="2"/>
      <c r="OTS197" s="2"/>
      <c r="OTT197" s="2"/>
      <c r="OTU197" s="2"/>
      <c r="OTV197" s="2"/>
      <c r="OTW197" s="2"/>
      <c r="OTX197" s="2"/>
      <c r="OTY197" s="2"/>
      <c r="OTZ197" s="2"/>
      <c r="OUA197" s="2"/>
      <c r="OUB197" s="2"/>
      <c r="OUC197" s="2"/>
      <c r="OUD197" s="2"/>
      <c r="OUE197" s="2"/>
      <c r="OUF197" s="2"/>
      <c r="OUG197" s="2"/>
      <c r="OUH197" s="2"/>
      <c r="OUI197" s="2"/>
      <c r="OUJ197" s="2"/>
      <c r="OUK197" s="2"/>
      <c r="OUL197" s="2"/>
      <c r="OUM197" s="2"/>
      <c r="OUN197" s="2"/>
      <c r="OUO197" s="2"/>
      <c r="OUP197" s="2"/>
      <c r="OUQ197" s="2"/>
      <c r="OUR197" s="2"/>
      <c r="OUS197" s="2"/>
      <c r="OUT197" s="2"/>
      <c r="OUU197" s="2"/>
      <c r="OUV197" s="2"/>
      <c r="OUW197" s="2"/>
      <c r="OUX197" s="2"/>
      <c r="OUY197" s="2"/>
      <c r="OUZ197" s="2"/>
      <c r="OVA197" s="2"/>
      <c r="OVB197" s="2"/>
      <c r="OVC197" s="2"/>
      <c r="OVD197" s="2"/>
      <c r="OVE197" s="2"/>
      <c r="OVF197" s="2"/>
      <c r="OVG197" s="2"/>
      <c r="OVH197" s="2"/>
      <c r="OVI197" s="2"/>
      <c r="OVJ197" s="2"/>
      <c r="OVK197" s="2"/>
      <c r="OVL197" s="2"/>
      <c r="OVM197" s="2"/>
      <c r="OVN197" s="2"/>
      <c r="OVO197" s="2"/>
      <c r="OVP197" s="2"/>
      <c r="OVQ197" s="2"/>
      <c r="OVR197" s="2"/>
      <c r="OVS197" s="2"/>
      <c r="OVT197" s="2"/>
      <c r="OVU197" s="2"/>
      <c r="OVV197" s="2"/>
      <c r="OVW197" s="2"/>
      <c r="OVX197" s="2"/>
      <c r="OVY197" s="2"/>
      <c r="OVZ197" s="2"/>
      <c r="OWA197" s="2"/>
      <c r="OWB197" s="2"/>
      <c r="OWC197" s="2"/>
      <c r="OWD197" s="2"/>
      <c r="OWE197" s="2"/>
      <c r="OWF197" s="2"/>
      <c r="OWG197" s="2"/>
      <c r="OWH197" s="2"/>
      <c r="OWI197" s="2"/>
      <c r="OWJ197" s="2"/>
      <c r="OWK197" s="2"/>
      <c r="OWL197" s="2"/>
      <c r="OWM197" s="2"/>
      <c r="OWN197" s="2"/>
      <c r="OWO197" s="2"/>
      <c r="OWP197" s="2"/>
      <c r="OWQ197" s="2"/>
      <c r="OWR197" s="2"/>
      <c r="OWS197" s="2"/>
      <c r="OWT197" s="2"/>
      <c r="OWU197" s="2"/>
      <c r="OWV197" s="2"/>
      <c r="OWW197" s="2"/>
      <c r="OWX197" s="2"/>
      <c r="OWY197" s="2"/>
      <c r="OWZ197" s="2"/>
      <c r="OXA197" s="2"/>
      <c r="OXB197" s="2"/>
      <c r="OXC197" s="2"/>
      <c r="OXD197" s="2"/>
      <c r="OXE197" s="2"/>
      <c r="OXF197" s="2"/>
      <c r="OXG197" s="2"/>
      <c r="OXH197" s="2"/>
      <c r="OXI197" s="2"/>
      <c r="OXJ197" s="2"/>
      <c r="OXK197" s="2"/>
      <c r="OXL197" s="2"/>
      <c r="OXM197" s="2"/>
      <c r="OXN197" s="2"/>
      <c r="OXO197" s="2"/>
      <c r="OXP197" s="2"/>
      <c r="OXQ197" s="2"/>
      <c r="OXR197" s="2"/>
      <c r="OXS197" s="2"/>
      <c r="OXT197" s="2"/>
      <c r="OXU197" s="2"/>
      <c r="OXV197" s="2"/>
      <c r="OXW197" s="2"/>
      <c r="OXX197" s="2"/>
      <c r="OXY197" s="2"/>
      <c r="OXZ197" s="2"/>
      <c r="OYA197" s="2"/>
      <c r="OYB197" s="2"/>
      <c r="OYC197" s="2"/>
      <c r="OYD197" s="2"/>
      <c r="OYE197" s="2"/>
      <c r="OYF197" s="2"/>
      <c r="OYG197" s="2"/>
      <c r="OYH197" s="2"/>
      <c r="OYI197" s="2"/>
      <c r="OYJ197" s="2"/>
      <c r="OYK197" s="2"/>
      <c r="OYL197" s="2"/>
      <c r="OYM197" s="2"/>
      <c r="OYN197" s="2"/>
      <c r="OYO197" s="2"/>
      <c r="OYP197" s="2"/>
      <c r="OYQ197" s="2"/>
      <c r="OYR197" s="2"/>
      <c r="OYS197" s="2"/>
      <c r="OYT197" s="2"/>
      <c r="OYU197" s="2"/>
      <c r="OYV197" s="2"/>
      <c r="OYW197" s="2"/>
      <c r="OYX197" s="2"/>
      <c r="OYY197" s="2"/>
      <c r="OYZ197" s="2"/>
      <c r="OZA197" s="2"/>
      <c r="OZB197" s="2"/>
      <c r="OZC197" s="2"/>
      <c r="OZD197" s="2"/>
      <c r="OZE197" s="2"/>
      <c r="OZF197" s="2"/>
      <c r="OZG197" s="2"/>
      <c r="OZH197" s="2"/>
      <c r="OZI197" s="2"/>
      <c r="OZJ197" s="2"/>
      <c r="OZK197" s="2"/>
      <c r="OZL197" s="2"/>
      <c r="OZM197" s="2"/>
      <c r="OZN197" s="2"/>
      <c r="OZO197" s="2"/>
      <c r="OZP197" s="2"/>
      <c r="OZQ197" s="2"/>
      <c r="OZR197" s="2"/>
      <c r="OZS197" s="2"/>
      <c r="OZT197" s="2"/>
      <c r="OZU197" s="2"/>
      <c r="OZV197" s="2"/>
      <c r="OZW197" s="2"/>
      <c r="OZX197" s="2"/>
      <c r="OZY197" s="2"/>
      <c r="OZZ197" s="2"/>
      <c r="PAA197" s="2"/>
      <c r="PAB197" s="2"/>
      <c r="PAC197" s="2"/>
      <c r="PAD197" s="2"/>
      <c r="PAE197" s="2"/>
      <c r="PAF197" s="2"/>
      <c r="PAG197" s="2"/>
      <c r="PAH197" s="2"/>
      <c r="PAI197" s="2"/>
      <c r="PAJ197" s="2"/>
      <c r="PAK197" s="2"/>
      <c r="PAL197" s="2"/>
      <c r="PAM197" s="2"/>
      <c r="PAN197" s="2"/>
      <c r="PAO197" s="2"/>
      <c r="PAP197" s="2"/>
      <c r="PAQ197" s="2"/>
      <c r="PAR197" s="2"/>
      <c r="PAS197" s="2"/>
      <c r="PAT197" s="2"/>
      <c r="PAU197" s="2"/>
      <c r="PAV197" s="2"/>
      <c r="PAW197" s="2"/>
      <c r="PAX197" s="2"/>
      <c r="PAY197" s="2"/>
      <c r="PAZ197" s="2"/>
      <c r="PBA197" s="2"/>
      <c r="PBB197" s="2"/>
      <c r="PBC197" s="2"/>
      <c r="PBD197" s="2"/>
      <c r="PBE197" s="2"/>
      <c r="PBF197" s="2"/>
      <c r="PBG197" s="2"/>
      <c r="PBH197" s="2"/>
      <c r="PBI197" s="2"/>
      <c r="PBJ197" s="2"/>
      <c r="PBK197" s="2"/>
      <c r="PBL197" s="2"/>
      <c r="PBM197" s="2"/>
      <c r="PBN197" s="2"/>
      <c r="PBO197" s="2"/>
      <c r="PBP197" s="2"/>
      <c r="PBQ197" s="2"/>
      <c r="PBR197" s="2"/>
      <c r="PBS197" s="2"/>
      <c r="PBT197" s="2"/>
      <c r="PBU197" s="2"/>
      <c r="PBV197" s="2"/>
      <c r="PBW197" s="2"/>
      <c r="PBX197" s="2"/>
      <c r="PBY197" s="2"/>
      <c r="PBZ197" s="2"/>
      <c r="PCA197" s="2"/>
      <c r="PCB197" s="2"/>
      <c r="PCC197" s="2"/>
      <c r="PCD197" s="2"/>
      <c r="PCE197" s="2"/>
      <c r="PCF197" s="2"/>
      <c r="PCG197" s="2"/>
      <c r="PCH197" s="2"/>
      <c r="PCI197" s="2"/>
      <c r="PCJ197" s="2"/>
      <c r="PCK197" s="2"/>
      <c r="PCL197" s="2"/>
      <c r="PCM197" s="2"/>
      <c r="PCN197" s="2"/>
      <c r="PCO197" s="2"/>
      <c r="PCP197" s="2"/>
      <c r="PCQ197" s="2"/>
      <c r="PCR197" s="2"/>
      <c r="PCS197" s="2"/>
      <c r="PCT197" s="2"/>
      <c r="PCU197" s="2"/>
      <c r="PCV197" s="2"/>
      <c r="PCW197" s="2"/>
      <c r="PCX197" s="2"/>
      <c r="PCY197" s="2"/>
      <c r="PCZ197" s="2"/>
      <c r="PDA197" s="2"/>
      <c r="PDB197" s="2"/>
      <c r="PDC197" s="2"/>
      <c r="PDD197" s="2"/>
      <c r="PDE197" s="2"/>
      <c r="PDF197" s="2"/>
      <c r="PDG197" s="2"/>
      <c r="PDH197" s="2"/>
      <c r="PDI197" s="2"/>
      <c r="PDJ197" s="2"/>
      <c r="PDK197" s="2"/>
      <c r="PDL197" s="2"/>
      <c r="PDM197" s="2"/>
      <c r="PDN197" s="2"/>
      <c r="PDO197" s="2"/>
      <c r="PDP197" s="2"/>
      <c r="PDQ197" s="2"/>
      <c r="PDR197" s="2"/>
      <c r="PDS197" s="2"/>
      <c r="PDT197" s="2"/>
      <c r="PDU197" s="2"/>
      <c r="PDV197" s="2"/>
      <c r="PDW197" s="2"/>
      <c r="PDX197" s="2"/>
      <c r="PDY197" s="2"/>
      <c r="PDZ197" s="2"/>
      <c r="PEA197" s="2"/>
      <c r="PEB197" s="2"/>
      <c r="PEC197" s="2"/>
      <c r="PED197" s="2"/>
      <c r="PEE197" s="2"/>
      <c r="PEF197" s="2"/>
      <c r="PEG197" s="2"/>
      <c r="PEH197" s="2"/>
      <c r="PEI197" s="2"/>
      <c r="PEJ197" s="2"/>
      <c r="PEK197" s="2"/>
      <c r="PEL197" s="2"/>
      <c r="PEM197" s="2"/>
      <c r="PEN197" s="2"/>
      <c r="PEO197" s="2"/>
      <c r="PEP197" s="2"/>
      <c r="PEQ197" s="2"/>
      <c r="PER197" s="2"/>
      <c r="PES197" s="2"/>
      <c r="PET197" s="2"/>
      <c r="PEU197" s="2"/>
      <c r="PEV197" s="2"/>
      <c r="PEW197" s="2"/>
      <c r="PEX197" s="2"/>
      <c r="PEY197" s="2"/>
      <c r="PEZ197" s="2"/>
      <c r="PFA197" s="2"/>
      <c r="PFB197" s="2"/>
      <c r="PFC197" s="2"/>
      <c r="PFD197" s="2"/>
      <c r="PFE197" s="2"/>
      <c r="PFF197" s="2"/>
      <c r="PFG197" s="2"/>
      <c r="PFH197" s="2"/>
      <c r="PFI197" s="2"/>
      <c r="PFJ197" s="2"/>
      <c r="PFK197" s="2"/>
      <c r="PFL197" s="2"/>
      <c r="PFM197" s="2"/>
      <c r="PFN197" s="2"/>
      <c r="PFO197" s="2"/>
      <c r="PFP197" s="2"/>
      <c r="PFQ197" s="2"/>
      <c r="PFR197" s="2"/>
      <c r="PFS197" s="2"/>
      <c r="PFT197" s="2"/>
      <c r="PFU197" s="2"/>
      <c r="PFV197" s="2"/>
      <c r="PFW197" s="2"/>
      <c r="PFX197" s="2"/>
      <c r="PFY197" s="2"/>
      <c r="PFZ197" s="2"/>
      <c r="PGA197" s="2"/>
      <c r="PGB197" s="2"/>
      <c r="PGC197" s="2"/>
      <c r="PGD197" s="2"/>
      <c r="PGE197" s="2"/>
      <c r="PGF197" s="2"/>
      <c r="PGG197" s="2"/>
      <c r="PGH197" s="2"/>
      <c r="PGI197" s="2"/>
      <c r="PGJ197" s="2"/>
      <c r="PGK197" s="2"/>
      <c r="PGL197" s="2"/>
      <c r="PGM197" s="2"/>
      <c r="PGN197" s="2"/>
      <c r="PGO197" s="2"/>
      <c r="PGP197" s="2"/>
      <c r="PGQ197" s="2"/>
      <c r="PGR197" s="2"/>
      <c r="PGS197" s="2"/>
      <c r="PGT197" s="2"/>
      <c r="PGU197" s="2"/>
      <c r="PGV197" s="2"/>
      <c r="PGW197" s="2"/>
      <c r="PGX197" s="2"/>
      <c r="PGY197" s="2"/>
      <c r="PGZ197" s="2"/>
      <c r="PHA197" s="2"/>
      <c r="PHB197" s="2"/>
      <c r="PHC197" s="2"/>
      <c r="PHD197" s="2"/>
      <c r="PHE197" s="2"/>
      <c r="PHF197" s="2"/>
      <c r="PHG197" s="2"/>
      <c r="PHH197" s="2"/>
      <c r="PHI197" s="2"/>
      <c r="PHJ197" s="2"/>
      <c r="PHK197" s="2"/>
      <c r="PHL197" s="2"/>
      <c r="PHM197" s="2"/>
      <c r="PHN197" s="2"/>
      <c r="PHO197" s="2"/>
      <c r="PHP197" s="2"/>
      <c r="PHQ197" s="2"/>
      <c r="PHR197" s="2"/>
      <c r="PHS197" s="2"/>
      <c r="PHT197" s="2"/>
      <c r="PHU197" s="2"/>
      <c r="PHV197" s="2"/>
      <c r="PHW197" s="2"/>
      <c r="PHX197" s="2"/>
      <c r="PHY197" s="2"/>
      <c r="PHZ197" s="2"/>
      <c r="PIA197" s="2"/>
      <c r="PIB197" s="2"/>
      <c r="PIC197" s="2"/>
      <c r="PID197" s="2"/>
      <c r="PIE197" s="2"/>
      <c r="PIF197" s="2"/>
      <c r="PIG197" s="2"/>
      <c r="PIH197" s="2"/>
      <c r="PII197" s="2"/>
      <c r="PIJ197" s="2"/>
      <c r="PIK197" s="2"/>
      <c r="PIL197" s="2"/>
      <c r="PIM197" s="2"/>
      <c r="PIN197" s="2"/>
      <c r="PIO197" s="2"/>
      <c r="PIP197" s="2"/>
      <c r="PIQ197" s="2"/>
      <c r="PIR197" s="2"/>
      <c r="PIS197" s="2"/>
      <c r="PIT197" s="2"/>
      <c r="PIU197" s="2"/>
      <c r="PIV197" s="2"/>
      <c r="PIW197" s="2"/>
      <c r="PIX197" s="2"/>
      <c r="PIY197" s="2"/>
      <c r="PIZ197" s="2"/>
      <c r="PJA197" s="2"/>
      <c r="PJB197" s="2"/>
      <c r="PJC197" s="2"/>
      <c r="PJD197" s="2"/>
      <c r="PJE197" s="2"/>
      <c r="PJF197" s="2"/>
      <c r="PJG197" s="2"/>
      <c r="PJH197" s="2"/>
      <c r="PJI197" s="2"/>
      <c r="PJJ197" s="2"/>
      <c r="PJK197" s="2"/>
      <c r="PJL197" s="2"/>
      <c r="PJM197" s="2"/>
      <c r="PJN197" s="2"/>
      <c r="PJO197" s="2"/>
      <c r="PJP197" s="2"/>
      <c r="PJQ197" s="2"/>
      <c r="PJR197" s="2"/>
      <c r="PJS197" s="2"/>
      <c r="PJT197" s="2"/>
      <c r="PJU197" s="2"/>
      <c r="PJV197" s="2"/>
      <c r="PJW197" s="2"/>
      <c r="PJX197" s="2"/>
      <c r="PJY197" s="2"/>
      <c r="PJZ197" s="2"/>
      <c r="PKA197" s="2"/>
      <c r="PKB197" s="2"/>
      <c r="PKC197" s="2"/>
      <c r="PKD197" s="2"/>
      <c r="PKE197" s="2"/>
      <c r="PKF197" s="2"/>
      <c r="PKG197" s="2"/>
      <c r="PKH197" s="2"/>
      <c r="PKI197" s="2"/>
      <c r="PKJ197" s="2"/>
      <c r="PKK197" s="2"/>
      <c r="PKL197" s="2"/>
      <c r="PKM197" s="2"/>
      <c r="PKN197" s="2"/>
      <c r="PKO197" s="2"/>
      <c r="PKP197" s="2"/>
      <c r="PKQ197" s="2"/>
      <c r="PKR197" s="2"/>
      <c r="PKS197" s="2"/>
      <c r="PKT197" s="2"/>
      <c r="PKU197" s="2"/>
      <c r="PKV197" s="2"/>
      <c r="PKW197" s="2"/>
      <c r="PKX197" s="2"/>
      <c r="PKY197" s="2"/>
      <c r="PKZ197" s="2"/>
      <c r="PLA197" s="2"/>
      <c r="PLB197" s="2"/>
      <c r="PLC197" s="2"/>
      <c r="PLD197" s="2"/>
      <c r="PLE197" s="2"/>
      <c r="PLF197" s="2"/>
      <c r="PLG197" s="2"/>
      <c r="PLH197" s="2"/>
      <c r="PLI197" s="2"/>
      <c r="PLJ197" s="2"/>
      <c r="PLK197" s="2"/>
      <c r="PLL197" s="2"/>
      <c r="PLM197" s="2"/>
      <c r="PLN197" s="2"/>
      <c r="PLO197" s="2"/>
      <c r="PLP197" s="2"/>
      <c r="PLQ197" s="2"/>
      <c r="PLR197" s="2"/>
      <c r="PLS197" s="2"/>
      <c r="PLT197" s="2"/>
      <c r="PLU197" s="2"/>
      <c r="PLV197" s="2"/>
      <c r="PLW197" s="2"/>
      <c r="PLX197" s="2"/>
      <c r="PLY197" s="2"/>
      <c r="PLZ197" s="2"/>
      <c r="PMA197" s="2"/>
      <c r="PMB197" s="2"/>
      <c r="PMC197" s="2"/>
      <c r="PMD197" s="2"/>
      <c r="PME197" s="2"/>
      <c r="PMF197" s="2"/>
      <c r="PMG197" s="2"/>
      <c r="PMH197" s="2"/>
      <c r="PMI197" s="2"/>
      <c r="PMJ197" s="2"/>
      <c r="PMK197" s="2"/>
      <c r="PML197" s="2"/>
      <c r="PMM197" s="2"/>
      <c r="PMN197" s="2"/>
      <c r="PMO197" s="2"/>
      <c r="PMP197" s="2"/>
      <c r="PMQ197" s="2"/>
      <c r="PMR197" s="2"/>
      <c r="PMS197" s="2"/>
      <c r="PMT197" s="2"/>
      <c r="PMU197" s="2"/>
      <c r="PMV197" s="2"/>
      <c r="PMW197" s="2"/>
      <c r="PMX197" s="2"/>
      <c r="PMY197" s="2"/>
      <c r="PMZ197" s="2"/>
      <c r="PNA197" s="2"/>
      <c r="PNB197" s="2"/>
      <c r="PNC197" s="2"/>
      <c r="PND197" s="2"/>
      <c r="PNE197" s="2"/>
      <c r="PNF197" s="2"/>
      <c r="PNG197" s="2"/>
      <c r="PNH197" s="2"/>
      <c r="PNI197" s="2"/>
      <c r="PNJ197" s="2"/>
      <c r="PNK197" s="2"/>
      <c r="PNL197" s="2"/>
      <c r="PNM197" s="2"/>
      <c r="PNN197" s="2"/>
      <c r="PNO197" s="2"/>
      <c r="PNP197" s="2"/>
      <c r="PNQ197" s="2"/>
      <c r="PNR197" s="2"/>
      <c r="PNS197" s="2"/>
      <c r="PNT197" s="2"/>
      <c r="PNU197" s="2"/>
      <c r="PNV197" s="2"/>
      <c r="PNW197" s="2"/>
      <c r="PNX197" s="2"/>
      <c r="PNY197" s="2"/>
      <c r="PNZ197" s="2"/>
      <c r="POA197" s="2"/>
      <c r="POB197" s="2"/>
      <c r="POC197" s="2"/>
      <c r="POD197" s="2"/>
      <c r="POE197" s="2"/>
      <c r="POF197" s="2"/>
      <c r="POG197" s="2"/>
      <c r="POH197" s="2"/>
      <c r="POI197" s="2"/>
      <c r="POJ197" s="2"/>
      <c r="POK197" s="2"/>
      <c r="POL197" s="2"/>
      <c r="POM197" s="2"/>
      <c r="PON197" s="2"/>
      <c r="POO197" s="2"/>
      <c r="POP197" s="2"/>
      <c r="POQ197" s="2"/>
      <c r="POR197" s="2"/>
      <c r="POS197" s="2"/>
      <c r="POT197" s="2"/>
      <c r="POU197" s="2"/>
      <c r="POV197" s="2"/>
      <c r="POW197" s="2"/>
      <c r="POX197" s="2"/>
      <c r="POY197" s="2"/>
      <c r="POZ197" s="2"/>
      <c r="PPA197" s="2"/>
      <c r="PPB197" s="2"/>
      <c r="PPC197" s="2"/>
      <c r="PPD197" s="2"/>
      <c r="PPE197" s="2"/>
      <c r="PPF197" s="2"/>
      <c r="PPG197" s="2"/>
      <c r="PPH197" s="2"/>
      <c r="PPI197" s="2"/>
      <c r="PPJ197" s="2"/>
      <c r="PPK197" s="2"/>
      <c r="PPL197" s="2"/>
      <c r="PPM197" s="2"/>
      <c r="PPN197" s="2"/>
      <c r="PPO197" s="2"/>
      <c r="PPP197" s="2"/>
      <c r="PPQ197" s="2"/>
      <c r="PPR197" s="2"/>
      <c r="PPS197" s="2"/>
      <c r="PPT197" s="2"/>
      <c r="PPU197" s="2"/>
      <c r="PPV197" s="2"/>
      <c r="PPW197" s="2"/>
      <c r="PPX197" s="2"/>
      <c r="PPY197" s="2"/>
      <c r="PPZ197" s="2"/>
      <c r="PQA197" s="2"/>
      <c r="PQB197" s="2"/>
      <c r="PQC197" s="2"/>
      <c r="PQD197" s="2"/>
      <c r="PQE197" s="2"/>
      <c r="PQF197" s="2"/>
      <c r="PQG197" s="2"/>
      <c r="PQH197" s="2"/>
      <c r="PQI197" s="2"/>
      <c r="PQJ197" s="2"/>
      <c r="PQK197" s="2"/>
      <c r="PQL197" s="2"/>
      <c r="PQM197" s="2"/>
      <c r="PQN197" s="2"/>
      <c r="PQO197" s="2"/>
      <c r="PQP197" s="2"/>
      <c r="PQQ197" s="2"/>
      <c r="PQR197" s="2"/>
      <c r="PQS197" s="2"/>
      <c r="PQT197" s="2"/>
      <c r="PQU197" s="2"/>
      <c r="PQV197" s="2"/>
      <c r="PQW197" s="2"/>
      <c r="PQX197" s="2"/>
      <c r="PQY197" s="2"/>
      <c r="PQZ197" s="2"/>
      <c r="PRA197" s="2"/>
      <c r="PRB197" s="2"/>
      <c r="PRC197" s="2"/>
      <c r="PRD197" s="2"/>
      <c r="PRE197" s="2"/>
      <c r="PRF197" s="2"/>
      <c r="PRG197" s="2"/>
      <c r="PRH197" s="2"/>
      <c r="PRI197" s="2"/>
      <c r="PRJ197" s="2"/>
      <c r="PRK197" s="2"/>
      <c r="PRL197" s="2"/>
      <c r="PRM197" s="2"/>
      <c r="PRN197" s="2"/>
      <c r="PRO197" s="2"/>
      <c r="PRP197" s="2"/>
      <c r="PRQ197" s="2"/>
      <c r="PRR197" s="2"/>
      <c r="PRS197" s="2"/>
      <c r="PRT197" s="2"/>
      <c r="PRU197" s="2"/>
      <c r="PRV197" s="2"/>
      <c r="PRW197" s="2"/>
      <c r="PRX197" s="2"/>
      <c r="PRY197" s="2"/>
      <c r="PRZ197" s="2"/>
      <c r="PSA197" s="2"/>
      <c r="PSB197" s="2"/>
      <c r="PSC197" s="2"/>
      <c r="PSD197" s="2"/>
      <c r="PSE197" s="2"/>
      <c r="PSF197" s="2"/>
      <c r="PSG197" s="2"/>
      <c r="PSH197" s="2"/>
      <c r="PSI197" s="2"/>
      <c r="PSJ197" s="2"/>
      <c r="PSK197" s="2"/>
      <c r="PSL197" s="2"/>
      <c r="PSM197" s="2"/>
      <c r="PSN197" s="2"/>
      <c r="PSO197" s="2"/>
      <c r="PSP197" s="2"/>
      <c r="PSQ197" s="2"/>
      <c r="PSR197" s="2"/>
      <c r="PSS197" s="2"/>
      <c r="PST197" s="2"/>
      <c r="PSU197" s="2"/>
      <c r="PSV197" s="2"/>
      <c r="PSW197" s="2"/>
      <c r="PSX197" s="2"/>
      <c r="PSY197" s="2"/>
      <c r="PSZ197" s="2"/>
      <c r="PTA197" s="2"/>
      <c r="PTB197" s="2"/>
      <c r="PTC197" s="2"/>
      <c r="PTD197" s="2"/>
      <c r="PTE197" s="2"/>
      <c r="PTF197" s="2"/>
      <c r="PTG197" s="2"/>
      <c r="PTH197" s="2"/>
      <c r="PTI197" s="2"/>
      <c r="PTJ197" s="2"/>
      <c r="PTK197" s="2"/>
      <c r="PTL197" s="2"/>
      <c r="PTM197" s="2"/>
      <c r="PTN197" s="2"/>
      <c r="PTO197" s="2"/>
      <c r="PTP197" s="2"/>
      <c r="PTQ197" s="2"/>
      <c r="PTR197" s="2"/>
      <c r="PTS197" s="2"/>
      <c r="PTT197" s="2"/>
      <c r="PTU197" s="2"/>
      <c r="PTV197" s="2"/>
      <c r="PTW197" s="2"/>
      <c r="PTX197" s="2"/>
      <c r="PTY197" s="2"/>
      <c r="PTZ197" s="2"/>
      <c r="PUA197" s="2"/>
      <c r="PUB197" s="2"/>
      <c r="PUC197" s="2"/>
      <c r="PUD197" s="2"/>
      <c r="PUE197" s="2"/>
      <c r="PUF197" s="2"/>
      <c r="PUG197" s="2"/>
      <c r="PUH197" s="2"/>
      <c r="PUI197" s="2"/>
      <c r="PUJ197" s="2"/>
      <c r="PUK197" s="2"/>
      <c r="PUL197" s="2"/>
      <c r="PUM197" s="2"/>
      <c r="PUN197" s="2"/>
      <c r="PUO197" s="2"/>
      <c r="PUP197" s="2"/>
      <c r="PUQ197" s="2"/>
      <c r="PUR197" s="2"/>
      <c r="PUS197" s="2"/>
      <c r="PUT197" s="2"/>
      <c r="PUU197" s="2"/>
      <c r="PUV197" s="2"/>
      <c r="PUW197" s="2"/>
      <c r="PUX197" s="2"/>
      <c r="PUY197" s="2"/>
      <c r="PUZ197" s="2"/>
      <c r="PVA197" s="2"/>
      <c r="PVB197" s="2"/>
      <c r="PVC197" s="2"/>
      <c r="PVD197" s="2"/>
      <c r="PVE197" s="2"/>
      <c r="PVF197" s="2"/>
      <c r="PVG197" s="2"/>
      <c r="PVH197" s="2"/>
      <c r="PVI197" s="2"/>
      <c r="PVJ197" s="2"/>
      <c r="PVK197" s="2"/>
      <c r="PVL197" s="2"/>
      <c r="PVM197" s="2"/>
      <c r="PVN197" s="2"/>
      <c r="PVO197" s="2"/>
      <c r="PVP197" s="2"/>
      <c r="PVQ197" s="2"/>
      <c r="PVR197" s="2"/>
      <c r="PVS197" s="2"/>
      <c r="PVT197" s="2"/>
      <c r="PVU197" s="2"/>
      <c r="PVV197" s="2"/>
      <c r="PVW197" s="2"/>
      <c r="PVX197" s="2"/>
      <c r="PVY197" s="2"/>
      <c r="PVZ197" s="2"/>
      <c r="PWA197" s="2"/>
      <c r="PWB197" s="2"/>
      <c r="PWC197" s="2"/>
      <c r="PWD197" s="2"/>
      <c r="PWE197" s="2"/>
      <c r="PWF197" s="2"/>
      <c r="PWG197" s="2"/>
      <c r="PWH197" s="2"/>
      <c r="PWI197" s="2"/>
      <c r="PWJ197" s="2"/>
      <c r="PWK197" s="2"/>
      <c r="PWL197" s="2"/>
      <c r="PWM197" s="2"/>
      <c r="PWN197" s="2"/>
      <c r="PWO197" s="2"/>
      <c r="PWP197" s="2"/>
      <c r="PWQ197" s="2"/>
      <c r="PWR197" s="2"/>
      <c r="PWS197" s="2"/>
      <c r="PWT197" s="2"/>
      <c r="PWU197" s="2"/>
      <c r="PWV197" s="2"/>
      <c r="PWW197" s="2"/>
      <c r="PWX197" s="2"/>
      <c r="PWY197" s="2"/>
      <c r="PWZ197" s="2"/>
      <c r="PXA197" s="2"/>
      <c r="PXB197" s="2"/>
      <c r="PXC197" s="2"/>
      <c r="PXD197" s="2"/>
      <c r="PXE197" s="2"/>
      <c r="PXF197" s="2"/>
      <c r="PXG197" s="2"/>
      <c r="PXH197" s="2"/>
      <c r="PXI197" s="2"/>
      <c r="PXJ197" s="2"/>
      <c r="PXK197" s="2"/>
      <c r="PXL197" s="2"/>
      <c r="PXM197" s="2"/>
      <c r="PXN197" s="2"/>
      <c r="PXO197" s="2"/>
      <c r="PXP197" s="2"/>
      <c r="PXQ197" s="2"/>
      <c r="PXR197" s="2"/>
      <c r="PXS197" s="2"/>
      <c r="PXT197" s="2"/>
      <c r="PXU197" s="2"/>
      <c r="PXV197" s="2"/>
      <c r="PXW197" s="2"/>
      <c r="PXX197" s="2"/>
      <c r="PXY197" s="2"/>
      <c r="PXZ197" s="2"/>
      <c r="PYA197" s="2"/>
      <c r="PYB197" s="2"/>
      <c r="PYC197" s="2"/>
      <c r="PYD197" s="2"/>
      <c r="PYE197" s="2"/>
      <c r="PYF197" s="2"/>
      <c r="PYG197" s="2"/>
      <c r="PYH197" s="2"/>
      <c r="PYI197" s="2"/>
      <c r="PYJ197" s="2"/>
      <c r="PYK197" s="2"/>
      <c r="PYL197" s="2"/>
      <c r="PYM197" s="2"/>
      <c r="PYN197" s="2"/>
      <c r="PYO197" s="2"/>
      <c r="PYP197" s="2"/>
      <c r="PYQ197" s="2"/>
      <c r="PYR197" s="2"/>
      <c r="PYS197" s="2"/>
      <c r="PYT197" s="2"/>
      <c r="PYU197" s="2"/>
      <c r="PYV197" s="2"/>
      <c r="PYW197" s="2"/>
      <c r="PYX197" s="2"/>
      <c r="PYY197" s="2"/>
      <c r="PYZ197" s="2"/>
      <c r="PZA197" s="2"/>
      <c r="PZB197" s="2"/>
      <c r="PZC197" s="2"/>
      <c r="PZD197" s="2"/>
      <c r="PZE197" s="2"/>
      <c r="PZF197" s="2"/>
      <c r="PZG197" s="2"/>
      <c r="PZH197" s="2"/>
      <c r="PZI197" s="2"/>
      <c r="PZJ197" s="2"/>
      <c r="PZK197" s="2"/>
      <c r="PZL197" s="2"/>
      <c r="PZM197" s="2"/>
      <c r="PZN197" s="2"/>
      <c r="PZO197" s="2"/>
      <c r="PZP197" s="2"/>
      <c r="PZQ197" s="2"/>
      <c r="PZR197" s="2"/>
      <c r="PZS197" s="2"/>
      <c r="PZT197" s="2"/>
      <c r="PZU197" s="2"/>
      <c r="PZV197" s="2"/>
      <c r="PZW197" s="2"/>
      <c r="PZX197" s="2"/>
      <c r="PZY197" s="2"/>
      <c r="PZZ197" s="2"/>
      <c r="QAA197" s="2"/>
      <c r="QAB197" s="2"/>
      <c r="QAC197" s="2"/>
      <c r="QAD197" s="2"/>
      <c r="QAE197" s="2"/>
      <c r="QAF197" s="2"/>
      <c r="QAG197" s="2"/>
      <c r="QAH197" s="2"/>
      <c r="QAI197" s="2"/>
      <c r="QAJ197" s="2"/>
      <c r="QAK197" s="2"/>
      <c r="QAL197" s="2"/>
      <c r="QAM197" s="2"/>
      <c r="QAN197" s="2"/>
      <c r="QAO197" s="2"/>
      <c r="QAP197" s="2"/>
      <c r="QAQ197" s="2"/>
      <c r="QAR197" s="2"/>
      <c r="QAS197" s="2"/>
      <c r="QAT197" s="2"/>
      <c r="QAU197" s="2"/>
      <c r="QAV197" s="2"/>
      <c r="QAW197" s="2"/>
      <c r="QAX197" s="2"/>
      <c r="QAY197" s="2"/>
      <c r="QAZ197" s="2"/>
      <c r="QBA197" s="2"/>
      <c r="QBB197" s="2"/>
      <c r="QBC197" s="2"/>
      <c r="QBD197" s="2"/>
      <c r="QBE197" s="2"/>
      <c r="QBF197" s="2"/>
      <c r="QBG197" s="2"/>
      <c r="QBH197" s="2"/>
      <c r="QBI197" s="2"/>
      <c r="QBJ197" s="2"/>
      <c r="QBK197" s="2"/>
      <c r="QBL197" s="2"/>
      <c r="QBM197" s="2"/>
      <c r="QBN197" s="2"/>
      <c r="QBO197" s="2"/>
      <c r="QBP197" s="2"/>
      <c r="QBQ197" s="2"/>
      <c r="QBR197" s="2"/>
      <c r="QBS197" s="2"/>
      <c r="QBT197" s="2"/>
      <c r="QBU197" s="2"/>
      <c r="QBV197" s="2"/>
      <c r="QBW197" s="2"/>
      <c r="QBX197" s="2"/>
      <c r="QBY197" s="2"/>
      <c r="QBZ197" s="2"/>
      <c r="QCA197" s="2"/>
      <c r="QCB197" s="2"/>
      <c r="QCC197" s="2"/>
      <c r="QCD197" s="2"/>
      <c r="QCE197" s="2"/>
      <c r="QCF197" s="2"/>
      <c r="QCG197" s="2"/>
      <c r="QCH197" s="2"/>
      <c r="QCI197" s="2"/>
      <c r="QCJ197" s="2"/>
      <c r="QCK197" s="2"/>
      <c r="QCL197" s="2"/>
      <c r="QCM197" s="2"/>
      <c r="QCN197" s="2"/>
      <c r="QCO197" s="2"/>
      <c r="QCP197" s="2"/>
      <c r="QCQ197" s="2"/>
      <c r="QCR197" s="2"/>
      <c r="QCS197" s="2"/>
      <c r="QCT197" s="2"/>
      <c r="QCU197" s="2"/>
      <c r="QCV197" s="2"/>
      <c r="QCW197" s="2"/>
      <c r="QCX197" s="2"/>
      <c r="QCY197" s="2"/>
      <c r="QCZ197" s="2"/>
      <c r="QDA197" s="2"/>
      <c r="QDB197" s="2"/>
      <c r="QDC197" s="2"/>
      <c r="QDD197" s="2"/>
      <c r="QDE197" s="2"/>
      <c r="QDF197" s="2"/>
      <c r="QDG197" s="2"/>
      <c r="QDH197" s="2"/>
      <c r="QDI197" s="2"/>
      <c r="QDJ197" s="2"/>
      <c r="QDK197" s="2"/>
      <c r="QDL197" s="2"/>
      <c r="QDM197" s="2"/>
      <c r="QDN197" s="2"/>
      <c r="QDO197" s="2"/>
      <c r="QDP197" s="2"/>
      <c r="QDQ197" s="2"/>
      <c r="QDR197" s="2"/>
      <c r="QDS197" s="2"/>
      <c r="QDT197" s="2"/>
      <c r="QDU197" s="2"/>
      <c r="QDV197" s="2"/>
      <c r="QDW197" s="2"/>
      <c r="QDX197" s="2"/>
      <c r="QDY197" s="2"/>
      <c r="QDZ197" s="2"/>
      <c r="QEA197" s="2"/>
      <c r="QEB197" s="2"/>
      <c r="QEC197" s="2"/>
      <c r="QED197" s="2"/>
      <c r="QEE197" s="2"/>
      <c r="QEF197" s="2"/>
      <c r="QEG197" s="2"/>
      <c r="QEH197" s="2"/>
      <c r="QEI197" s="2"/>
      <c r="QEJ197" s="2"/>
      <c r="QEK197" s="2"/>
      <c r="QEL197" s="2"/>
      <c r="QEM197" s="2"/>
      <c r="QEN197" s="2"/>
      <c r="QEO197" s="2"/>
      <c r="QEP197" s="2"/>
      <c r="QEQ197" s="2"/>
      <c r="QER197" s="2"/>
      <c r="QES197" s="2"/>
      <c r="QET197" s="2"/>
      <c r="QEU197" s="2"/>
      <c r="QEV197" s="2"/>
      <c r="QEW197" s="2"/>
      <c r="QEX197" s="2"/>
      <c r="QEY197" s="2"/>
      <c r="QEZ197" s="2"/>
      <c r="QFA197" s="2"/>
      <c r="QFB197" s="2"/>
      <c r="QFC197" s="2"/>
      <c r="QFD197" s="2"/>
      <c r="QFE197" s="2"/>
      <c r="QFF197" s="2"/>
      <c r="QFG197" s="2"/>
      <c r="QFH197" s="2"/>
      <c r="QFI197" s="2"/>
      <c r="QFJ197" s="2"/>
      <c r="QFK197" s="2"/>
      <c r="QFL197" s="2"/>
      <c r="QFM197" s="2"/>
      <c r="QFN197" s="2"/>
      <c r="QFO197" s="2"/>
      <c r="QFP197" s="2"/>
      <c r="QFQ197" s="2"/>
      <c r="QFR197" s="2"/>
      <c r="QFS197" s="2"/>
      <c r="QFT197" s="2"/>
      <c r="QFU197" s="2"/>
      <c r="QFV197" s="2"/>
      <c r="QFW197" s="2"/>
      <c r="QFX197" s="2"/>
      <c r="QFY197" s="2"/>
      <c r="QFZ197" s="2"/>
      <c r="QGA197" s="2"/>
      <c r="QGB197" s="2"/>
      <c r="QGC197" s="2"/>
      <c r="QGD197" s="2"/>
      <c r="QGE197" s="2"/>
      <c r="QGF197" s="2"/>
      <c r="QGG197" s="2"/>
      <c r="QGH197" s="2"/>
      <c r="QGI197" s="2"/>
      <c r="QGJ197" s="2"/>
      <c r="QGK197" s="2"/>
      <c r="QGL197" s="2"/>
      <c r="QGM197" s="2"/>
      <c r="QGN197" s="2"/>
      <c r="QGO197" s="2"/>
      <c r="QGP197" s="2"/>
      <c r="QGQ197" s="2"/>
      <c r="QGR197" s="2"/>
      <c r="QGS197" s="2"/>
      <c r="QGT197" s="2"/>
      <c r="QGU197" s="2"/>
      <c r="QGV197" s="2"/>
      <c r="QGW197" s="2"/>
      <c r="QGX197" s="2"/>
      <c r="QGY197" s="2"/>
      <c r="QGZ197" s="2"/>
      <c r="QHA197" s="2"/>
      <c r="QHB197" s="2"/>
      <c r="QHC197" s="2"/>
      <c r="QHD197" s="2"/>
      <c r="QHE197" s="2"/>
      <c r="QHF197" s="2"/>
      <c r="QHG197" s="2"/>
      <c r="QHH197" s="2"/>
      <c r="QHI197" s="2"/>
      <c r="QHJ197" s="2"/>
      <c r="QHK197" s="2"/>
      <c r="QHL197" s="2"/>
      <c r="QHM197" s="2"/>
      <c r="QHN197" s="2"/>
      <c r="QHO197" s="2"/>
      <c r="QHP197" s="2"/>
      <c r="QHQ197" s="2"/>
      <c r="QHR197" s="2"/>
      <c r="QHS197" s="2"/>
      <c r="QHT197" s="2"/>
      <c r="QHU197" s="2"/>
      <c r="QHV197" s="2"/>
      <c r="QHW197" s="2"/>
      <c r="QHX197" s="2"/>
      <c r="QHY197" s="2"/>
      <c r="QHZ197" s="2"/>
      <c r="QIA197" s="2"/>
      <c r="QIB197" s="2"/>
      <c r="QIC197" s="2"/>
      <c r="QID197" s="2"/>
      <c r="QIE197" s="2"/>
      <c r="QIF197" s="2"/>
      <c r="QIG197" s="2"/>
      <c r="QIH197" s="2"/>
      <c r="QII197" s="2"/>
      <c r="QIJ197" s="2"/>
      <c r="QIK197" s="2"/>
      <c r="QIL197" s="2"/>
      <c r="QIM197" s="2"/>
      <c r="QIN197" s="2"/>
      <c r="QIO197" s="2"/>
      <c r="QIP197" s="2"/>
      <c r="QIQ197" s="2"/>
      <c r="QIR197" s="2"/>
      <c r="QIS197" s="2"/>
      <c r="QIT197" s="2"/>
      <c r="QIU197" s="2"/>
      <c r="QIV197" s="2"/>
      <c r="QIW197" s="2"/>
      <c r="QIX197" s="2"/>
      <c r="QIY197" s="2"/>
      <c r="QIZ197" s="2"/>
      <c r="QJA197" s="2"/>
      <c r="QJB197" s="2"/>
      <c r="QJC197" s="2"/>
      <c r="QJD197" s="2"/>
      <c r="QJE197" s="2"/>
      <c r="QJF197" s="2"/>
      <c r="QJG197" s="2"/>
      <c r="QJH197" s="2"/>
      <c r="QJI197" s="2"/>
      <c r="QJJ197" s="2"/>
      <c r="QJK197" s="2"/>
      <c r="QJL197" s="2"/>
      <c r="QJM197" s="2"/>
      <c r="QJN197" s="2"/>
      <c r="QJO197" s="2"/>
      <c r="QJP197" s="2"/>
      <c r="QJQ197" s="2"/>
      <c r="QJR197" s="2"/>
      <c r="QJS197" s="2"/>
      <c r="QJT197" s="2"/>
      <c r="QJU197" s="2"/>
      <c r="QJV197" s="2"/>
      <c r="QJW197" s="2"/>
      <c r="QJX197" s="2"/>
      <c r="QJY197" s="2"/>
      <c r="QJZ197" s="2"/>
      <c r="QKA197" s="2"/>
      <c r="QKB197" s="2"/>
      <c r="QKC197" s="2"/>
      <c r="QKD197" s="2"/>
      <c r="QKE197" s="2"/>
      <c r="QKF197" s="2"/>
      <c r="QKG197" s="2"/>
      <c r="QKH197" s="2"/>
      <c r="QKI197" s="2"/>
      <c r="QKJ197" s="2"/>
      <c r="QKK197" s="2"/>
      <c r="QKL197" s="2"/>
      <c r="QKM197" s="2"/>
      <c r="QKN197" s="2"/>
      <c r="QKO197" s="2"/>
      <c r="QKP197" s="2"/>
      <c r="QKQ197" s="2"/>
      <c r="QKR197" s="2"/>
      <c r="QKS197" s="2"/>
      <c r="QKT197" s="2"/>
      <c r="QKU197" s="2"/>
      <c r="QKV197" s="2"/>
      <c r="QKW197" s="2"/>
      <c r="QKX197" s="2"/>
      <c r="QKY197" s="2"/>
      <c r="QKZ197" s="2"/>
      <c r="QLA197" s="2"/>
      <c r="QLB197" s="2"/>
      <c r="QLC197" s="2"/>
      <c r="QLD197" s="2"/>
      <c r="QLE197" s="2"/>
      <c r="QLF197" s="2"/>
      <c r="QLG197" s="2"/>
      <c r="QLH197" s="2"/>
      <c r="QLI197" s="2"/>
      <c r="QLJ197" s="2"/>
      <c r="QLK197" s="2"/>
      <c r="QLL197" s="2"/>
      <c r="QLM197" s="2"/>
      <c r="QLN197" s="2"/>
      <c r="QLO197" s="2"/>
      <c r="QLP197" s="2"/>
      <c r="QLQ197" s="2"/>
      <c r="QLR197" s="2"/>
      <c r="QLS197" s="2"/>
      <c r="QLT197" s="2"/>
      <c r="QLU197" s="2"/>
      <c r="QLV197" s="2"/>
      <c r="QLW197" s="2"/>
      <c r="QLX197" s="2"/>
      <c r="QLY197" s="2"/>
      <c r="QLZ197" s="2"/>
      <c r="QMA197" s="2"/>
      <c r="QMB197" s="2"/>
      <c r="QMC197" s="2"/>
      <c r="QMD197" s="2"/>
      <c r="QME197" s="2"/>
      <c r="QMF197" s="2"/>
      <c r="QMG197" s="2"/>
      <c r="QMH197" s="2"/>
      <c r="QMI197" s="2"/>
      <c r="QMJ197" s="2"/>
      <c r="QMK197" s="2"/>
      <c r="QML197" s="2"/>
      <c r="QMM197" s="2"/>
      <c r="QMN197" s="2"/>
      <c r="QMO197" s="2"/>
      <c r="QMP197" s="2"/>
      <c r="QMQ197" s="2"/>
      <c r="QMR197" s="2"/>
      <c r="QMS197" s="2"/>
      <c r="QMT197" s="2"/>
      <c r="QMU197" s="2"/>
      <c r="QMV197" s="2"/>
      <c r="QMW197" s="2"/>
      <c r="QMX197" s="2"/>
      <c r="QMY197" s="2"/>
      <c r="QMZ197" s="2"/>
      <c r="QNA197" s="2"/>
      <c r="QNB197" s="2"/>
      <c r="QNC197" s="2"/>
      <c r="QND197" s="2"/>
      <c r="QNE197" s="2"/>
      <c r="QNF197" s="2"/>
      <c r="QNG197" s="2"/>
      <c r="QNH197" s="2"/>
      <c r="QNI197" s="2"/>
      <c r="QNJ197" s="2"/>
      <c r="QNK197" s="2"/>
      <c r="QNL197" s="2"/>
      <c r="QNM197" s="2"/>
      <c r="QNN197" s="2"/>
      <c r="QNO197" s="2"/>
      <c r="QNP197" s="2"/>
      <c r="QNQ197" s="2"/>
      <c r="QNR197" s="2"/>
      <c r="QNS197" s="2"/>
      <c r="QNT197" s="2"/>
      <c r="QNU197" s="2"/>
      <c r="QNV197" s="2"/>
      <c r="QNW197" s="2"/>
      <c r="QNX197" s="2"/>
      <c r="QNY197" s="2"/>
      <c r="QNZ197" s="2"/>
      <c r="QOA197" s="2"/>
      <c r="QOB197" s="2"/>
      <c r="QOC197" s="2"/>
      <c r="QOD197" s="2"/>
      <c r="QOE197" s="2"/>
      <c r="QOF197" s="2"/>
      <c r="QOG197" s="2"/>
      <c r="QOH197" s="2"/>
      <c r="QOI197" s="2"/>
      <c r="QOJ197" s="2"/>
      <c r="QOK197" s="2"/>
      <c r="QOL197" s="2"/>
      <c r="QOM197" s="2"/>
      <c r="QON197" s="2"/>
      <c r="QOO197" s="2"/>
      <c r="QOP197" s="2"/>
      <c r="QOQ197" s="2"/>
      <c r="QOR197" s="2"/>
      <c r="QOS197" s="2"/>
      <c r="QOT197" s="2"/>
      <c r="QOU197" s="2"/>
      <c r="QOV197" s="2"/>
      <c r="QOW197" s="2"/>
      <c r="QOX197" s="2"/>
      <c r="QOY197" s="2"/>
      <c r="QOZ197" s="2"/>
      <c r="QPA197" s="2"/>
      <c r="QPB197" s="2"/>
      <c r="QPC197" s="2"/>
      <c r="QPD197" s="2"/>
      <c r="QPE197" s="2"/>
      <c r="QPF197" s="2"/>
      <c r="QPG197" s="2"/>
      <c r="QPH197" s="2"/>
      <c r="QPI197" s="2"/>
      <c r="QPJ197" s="2"/>
      <c r="QPK197" s="2"/>
      <c r="QPL197" s="2"/>
      <c r="QPM197" s="2"/>
      <c r="QPN197" s="2"/>
      <c r="QPO197" s="2"/>
      <c r="QPP197" s="2"/>
      <c r="QPQ197" s="2"/>
      <c r="QPR197" s="2"/>
      <c r="QPS197" s="2"/>
      <c r="QPT197" s="2"/>
      <c r="QPU197" s="2"/>
      <c r="QPV197" s="2"/>
      <c r="QPW197" s="2"/>
      <c r="QPX197" s="2"/>
      <c r="QPY197" s="2"/>
      <c r="QPZ197" s="2"/>
      <c r="QQA197" s="2"/>
      <c r="QQB197" s="2"/>
      <c r="QQC197" s="2"/>
      <c r="QQD197" s="2"/>
      <c r="QQE197" s="2"/>
      <c r="QQF197" s="2"/>
      <c r="QQG197" s="2"/>
      <c r="QQH197" s="2"/>
      <c r="QQI197" s="2"/>
      <c r="QQJ197" s="2"/>
      <c r="QQK197" s="2"/>
      <c r="QQL197" s="2"/>
      <c r="QQM197" s="2"/>
      <c r="QQN197" s="2"/>
      <c r="QQO197" s="2"/>
      <c r="QQP197" s="2"/>
      <c r="QQQ197" s="2"/>
      <c r="QQR197" s="2"/>
      <c r="QQS197" s="2"/>
      <c r="QQT197" s="2"/>
      <c r="QQU197" s="2"/>
      <c r="QQV197" s="2"/>
      <c r="QQW197" s="2"/>
      <c r="QQX197" s="2"/>
      <c r="QQY197" s="2"/>
      <c r="QQZ197" s="2"/>
      <c r="QRA197" s="2"/>
      <c r="QRB197" s="2"/>
      <c r="QRC197" s="2"/>
      <c r="QRD197" s="2"/>
      <c r="QRE197" s="2"/>
      <c r="QRF197" s="2"/>
      <c r="QRG197" s="2"/>
      <c r="QRH197" s="2"/>
      <c r="QRI197" s="2"/>
      <c r="QRJ197" s="2"/>
      <c r="QRK197" s="2"/>
      <c r="QRL197" s="2"/>
      <c r="QRM197" s="2"/>
      <c r="QRN197" s="2"/>
      <c r="QRO197" s="2"/>
      <c r="QRP197" s="2"/>
      <c r="QRQ197" s="2"/>
      <c r="QRR197" s="2"/>
      <c r="QRS197" s="2"/>
      <c r="QRT197" s="2"/>
      <c r="QRU197" s="2"/>
      <c r="QRV197" s="2"/>
      <c r="QRW197" s="2"/>
      <c r="QRX197" s="2"/>
      <c r="QRY197" s="2"/>
      <c r="QRZ197" s="2"/>
      <c r="QSA197" s="2"/>
      <c r="QSB197" s="2"/>
      <c r="QSC197" s="2"/>
      <c r="QSD197" s="2"/>
      <c r="QSE197" s="2"/>
      <c r="QSF197" s="2"/>
      <c r="QSG197" s="2"/>
      <c r="QSH197" s="2"/>
      <c r="QSI197" s="2"/>
      <c r="QSJ197" s="2"/>
      <c r="QSK197" s="2"/>
      <c r="QSL197" s="2"/>
      <c r="QSM197" s="2"/>
      <c r="QSN197" s="2"/>
      <c r="QSO197" s="2"/>
      <c r="QSP197" s="2"/>
      <c r="QSQ197" s="2"/>
      <c r="QSR197" s="2"/>
      <c r="QSS197" s="2"/>
      <c r="QST197" s="2"/>
      <c r="QSU197" s="2"/>
      <c r="QSV197" s="2"/>
      <c r="QSW197" s="2"/>
      <c r="QSX197" s="2"/>
      <c r="QSY197" s="2"/>
      <c r="QSZ197" s="2"/>
      <c r="QTA197" s="2"/>
      <c r="QTB197" s="2"/>
      <c r="QTC197" s="2"/>
      <c r="QTD197" s="2"/>
      <c r="QTE197" s="2"/>
      <c r="QTF197" s="2"/>
      <c r="QTG197" s="2"/>
      <c r="QTH197" s="2"/>
      <c r="QTI197" s="2"/>
      <c r="QTJ197" s="2"/>
      <c r="QTK197" s="2"/>
      <c r="QTL197" s="2"/>
      <c r="QTM197" s="2"/>
      <c r="QTN197" s="2"/>
      <c r="QTO197" s="2"/>
      <c r="QTP197" s="2"/>
      <c r="QTQ197" s="2"/>
      <c r="QTR197" s="2"/>
      <c r="QTS197" s="2"/>
      <c r="QTT197" s="2"/>
      <c r="QTU197" s="2"/>
      <c r="QTV197" s="2"/>
      <c r="QTW197" s="2"/>
      <c r="QTX197" s="2"/>
      <c r="QTY197" s="2"/>
      <c r="QTZ197" s="2"/>
      <c r="QUA197" s="2"/>
      <c r="QUB197" s="2"/>
      <c r="QUC197" s="2"/>
      <c r="QUD197" s="2"/>
      <c r="QUE197" s="2"/>
      <c r="QUF197" s="2"/>
      <c r="QUG197" s="2"/>
      <c r="QUH197" s="2"/>
      <c r="QUI197" s="2"/>
      <c r="QUJ197" s="2"/>
      <c r="QUK197" s="2"/>
      <c r="QUL197" s="2"/>
      <c r="QUM197" s="2"/>
      <c r="QUN197" s="2"/>
      <c r="QUO197" s="2"/>
      <c r="QUP197" s="2"/>
      <c r="QUQ197" s="2"/>
      <c r="QUR197" s="2"/>
      <c r="QUS197" s="2"/>
      <c r="QUT197" s="2"/>
      <c r="QUU197" s="2"/>
      <c r="QUV197" s="2"/>
      <c r="QUW197" s="2"/>
      <c r="QUX197" s="2"/>
      <c r="QUY197" s="2"/>
      <c r="QUZ197" s="2"/>
      <c r="QVA197" s="2"/>
      <c r="QVB197" s="2"/>
      <c r="QVC197" s="2"/>
      <c r="QVD197" s="2"/>
      <c r="QVE197" s="2"/>
      <c r="QVF197" s="2"/>
      <c r="QVG197" s="2"/>
      <c r="QVH197" s="2"/>
      <c r="QVI197" s="2"/>
      <c r="QVJ197" s="2"/>
      <c r="QVK197" s="2"/>
      <c r="QVL197" s="2"/>
      <c r="QVM197" s="2"/>
      <c r="QVN197" s="2"/>
      <c r="QVO197" s="2"/>
      <c r="QVP197" s="2"/>
      <c r="QVQ197" s="2"/>
      <c r="QVR197" s="2"/>
      <c r="QVS197" s="2"/>
      <c r="QVT197" s="2"/>
      <c r="QVU197" s="2"/>
      <c r="QVV197" s="2"/>
      <c r="QVW197" s="2"/>
      <c r="QVX197" s="2"/>
      <c r="QVY197" s="2"/>
      <c r="QVZ197" s="2"/>
      <c r="QWA197" s="2"/>
      <c r="QWB197" s="2"/>
      <c r="QWC197" s="2"/>
      <c r="QWD197" s="2"/>
      <c r="QWE197" s="2"/>
      <c r="QWF197" s="2"/>
      <c r="QWG197" s="2"/>
      <c r="QWH197" s="2"/>
      <c r="QWI197" s="2"/>
      <c r="QWJ197" s="2"/>
      <c r="QWK197" s="2"/>
      <c r="QWL197" s="2"/>
      <c r="QWM197" s="2"/>
      <c r="QWN197" s="2"/>
      <c r="QWO197" s="2"/>
      <c r="QWP197" s="2"/>
      <c r="QWQ197" s="2"/>
      <c r="QWR197" s="2"/>
      <c r="QWS197" s="2"/>
      <c r="QWT197" s="2"/>
      <c r="QWU197" s="2"/>
      <c r="QWV197" s="2"/>
      <c r="QWW197" s="2"/>
      <c r="QWX197" s="2"/>
      <c r="QWY197" s="2"/>
      <c r="QWZ197" s="2"/>
      <c r="QXA197" s="2"/>
      <c r="QXB197" s="2"/>
      <c r="QXC197" s="2"/>
      <c r="QXD197" s="2"/>
      <c r="QXE197" s="2"/>
      <c r="QXF197" s="2"/>
      <c r="QXG197" s="2"/>
      <c r="QXH197" s="2"/>
      <c r="QXI197" s="2"/>
      <c r="QXJ197" s="2"/>
      <c r="QXK197" s="2"/>
      <c r="QXL197" s="2"/>
      <c r="QXM197" s="2"/>
      <c r="QXN197" s="2"/>
      <c r="QXO197" s="2"/>
      <c r="QXP197" s="2"/>
      <c r="QXQ197" s="2"/>
      <c r="QXR197" s="2"/>
      <c r="QXS197" s="2"/>
      <c r="QXT197" s="2"/>
      <c r="QXU197" s="2"/>
      <c r="QXV197" s="2"/>
      <c r="QXW197" s="2"/>
      <c r="QXX197" s="2"/>
      <c r="QXY197" s="2"/>
      <c r="QXZ197" s="2"/>
      <c r="QYA197" s="2"/>
      <c r="QYB197" s="2"/>
      <c r="QYC197" s="2"/>
      <c r="QYD197" s="2"/>
      <c r="QYE197" s="2"/>
      <c r="QYF197" s="2"/>
      <c r="QYG197" s="2"/>
      <c r="QYH197" s="2"/>
      <c r="QYI197" s="2"/>
      <c r="QYJ197" s="2"/>
      <c r="QYK197" s="2"/>
      <c r="QYL197" s="2"/>
      <c r="QYM197" s="2"/>
      <c r="QYN197" s="2"/>
      <c r="QYO197" s="2"/>
      <c r="QYP197" s="2"/>
      <c r="QYQ197" s="2"/>
      <c r="QYR197" s="2"/>
      <c r="QYS197" s="2"/>
      <c r="QYT197" s="2"/>
      <c r="QYU197" s="2"/>
      <c r="QYV197" s="2"/>
      <c r="QYW197" s="2"/>
      <c r="QYX197" s="2"/>
      <c r="QYY197" s="2"/>
      <c r="QYZ197" s="2"/>
      <c r="QZA197" s="2"/>
      <c r="QZB197" s="2"/>
      <c r="QZC197" s="2"/>
      <c r="QZD197" s="2"/>
      <c r="QZE197" s="2"/>
      <c r="QZF197" s="2"/>
      <c r="QZG197" s="2"/>
      <c r="QZH197" s="2"/>
      <c r="QZI197" s="2"/>
      <c r="QZJ197" s="2"/>
      <c r="QZK197" s="2"/>
      <c r="QZL197" s="2"/>
      <c r="QZM197" s="2"/>
      <c r="QZN197" s="2"/>
      <c r="QZO197" s="2"/>
      <c r="QZP197" s="2"/>
      <c r="QZQ197" s="2"/>
      <c r="QZR197" s="2"/>
      <c r="QZS197" s="2"/>
      <c r="QZT197" s="2"/>
      <c r="QZU197" s="2"/>
      <c r="QZV197" s="2"/>
      <c r="QZW197" s="2"/>
      <c r="QZX197" s="2"/>
      <c r="QZY197" s="2"/>
      <c r="QZZ197" s="2"/>
      <c r="RAA197" s="2"/>
      <c r="RAB197" s="2"/>
      <c r="RAC197" s="2"/>
      <c r="RAD197" s="2"/>
      <c r="RAE197" s="2"/>
      <c r="RAF197" s="2"/>
      <c r="RAG197" s="2"/>
      <c r="RAH197" s="2"/>
      <c r="RAI197" s="2"/>
      <c r="RAJ197" s="2"/>
      <c r="RAK197" s="2"/>
      <c r="RAL197" s="2"/>
      <c r="RAM197" s="2"/>
      <c r="RAN197" s="2"/>
      <c r="RAO197" s="2"/>
      <c r="RAP197" s="2"/>
      <c r="RAQ197" s="2"/>
      <c r="RAR197" s="2"/>
      <c r="RAS197" s="2"/>
      <c r="RAT197" s="2"/>
      <c r="RAU197" s="2"/>
      <c r="RAV197" s="2"/>
      <c r="RAW197" s="2"/>
      <c r="RAX197" s="2"/>
      <c r="RAY197" s="2"/>
      <c r="RAZ197" s="2"/>
      <c r="RBA197" s="2"/>
      <c r="RBB197" s="2"/>
      <c r="RBC197" s="2"/>
      <c r="RBD197" s="2"/>
      <c r="RBE197" s="2"/>
      <c r="RBF197" s="2"/>
      <c r="RBG197" s="2"/>
      <c r="RBH197" s="2"/>
      <c r="RBI197" s="2"/>
      <c r="RBJ197" s="2"/>
      <c r="RBK197" s="2"/>
      <c r="RBL197" s="2"/>
      <c r="RBM197" s="2"/>
      <c r="RBN197" s="2"/>
      <c r="RBO197" s="2"/>
      <c r="RBP197" s="2"/>
      <c r="RBQ197" s="2"/>
      <c r="RBR197" s="2"/>
      <c r="RBS197" s="2"/>
      <c r="RBT197" s="2"/>
      <c r="RBU197" s="2"/>
      <c r="RBV197" s="2"/>
      <c r="RBW197" s="2"/>
      <c r="RBX197" s="2"/>
      <c r="RBY197" s="2"/>
      <c r="RBZ197" s="2"/>
      <c r="RCA197" s="2"/>
      <c r="RCB197" s="2"/>
      <c r="RCC197" s="2"/>
      <c r="RCD197" s="2"/>
      <c r="RCE197" s="2"/>
      <c r="RCF197" s="2"/>
      <c r="RCG197" s="2"/>
      <c r="RCH197" s="2"/>
      <c r="RCI197" s="2"/>
      <c r="RCJ197" s="2"/>
      <c r="RCK197" s="2"/>
      <c r="RCL197" s="2"/>
      <c r="RCM197" s="2"/>
      <c r="RCN197" s="2"/>
      <c r="RCO197" s="2"/>
      <c r="RCP197" s="2"/>
      <c r="RCQ197" s="2"/>
      <c r="RCR197" s="2"/>
      <c r="RCS197" s="2"/>
      <c r="RCT197" s="2"/>
      <c r="RCU197" s="2"/>
      <c r="RCV197" s="2"/>
      <c r="RCW197" s="2"/>
      <c r="RCX197" s="2"/>
      <c r="RCY197" s="2"/>
      <c r="RCZ197" s="2"/>
      <c r="RDA197" s="2"/>
      <c r="RDB197" s="2"/>
      <c r="RDC197" s="2"/>
      <c r="RDD197" s="2"/>
      <c r="RDE197" s="2"/>
      <c r="RDF197" s="2"/>
      <c r="RDG197" s="2"/>
      <c r="RDH197" s="2"/>
      <c r="RDI197" s="2"/>
      <c r="RDJ197" s="2"/>
      <c r="RDK197" s="2"/>
      <c r="RDL197" s="2"/>
      <c r="RDM197" s="2"/>
      <c r="RDN197" s="2"/>
      <c r="RDO197" s="2"/>
      <c r="RDP197" s="2"/>
      <c r="RDQ197" s="2"/>
      <c r="RDR197" s="2"/>
      <c r="RDS197" s="2"/>
      <c r="RDT197" s="2"/>
      <c r="RDU197" s="2"/>
      <c r="RDV197" s="2"/>
      <c r="RDW197" s="2"/>
      <c r="RDX197" s="2"/>
      <c r="RDY197" s="2"/>
      <c r="RDZ197" s="2"/>
      <c r="REA197" s="2"/>
      <c r="REB197" s="2"/>
      <c r="REC197" s="2"/>
      <c r="RED197" s="2"/>
      <c r="REE197" s="2"/>
      <c r="REF197" s="2"/>
      <c r="REG197" s="2"/>
      <c r="REH197" s="2"/>
      <c r="REI197" s="2"/>
      <c r="REJ197" s="2"/>
      <c r="REK197" s="2"/>
      <c r="REL197" s="2"/>
      <c r="REM197" s="2"/>
      <c r="REN197" s="2"/>
      <c r="REO197" s="2"/>
      <c r="REP197" s="2"/>
      <c r="REQ197" s="2"/>
      <c r="RER197" s="2"/>
      <c r="RES197" s="2"/>
      <c r="RET197" s="2"/>
      <c r="REU197" s="2"/>
      <c r="REV197" s="2"/>
      <c r="REW197" s="2"/>
      <c r="REX197" s="2"/>
      <c r="REY197" s="2"/>
      <c r="REZ197" s="2"/>
      <c r="RFA197" s="2"/>
      <c r="RFB197" s="2"/>
      <c r="RFC197" s="2"/>
      <c r="RFD197" s="2"/>
      <c r="RFE197" s="2"/>
      <c r="RFF197" s="2"/>
      <c r="RFG197" s="2"/>
      <c r="RFH197" s="2"/>
      <c r="RFI197" s="2"/>
      <c r="RFJ197" s="2"/>
      <c r="RFK197" s="2"/>
      <c r="RFL197" s="2"/>
      <c r="RFM197" s="2"/>
      <c r="RFN197" s="2"/>
      <c r="RFO197" s="2"/>
      <c r="RFP197" s="2"/>
      <c r="RFQ197" s="2"/>
      <c r="RFR197" s="2"/>
      <c r="RFS197" s="2"/>
      <c r="RFT197" s="2"/>
      <c r="RFU197" s="2"/>
      <c r="RFV197" s="2"/>
      <c r="RFW197" s="2"/>
      <c r="RFX197" s="2"/>
      <c r="RFY197" s="2"/>
      <c r="RFZ197" s="2"/>
      <c r="RGA197" s="2"/>
      <c r="RGB197" s="2"/>
      <c r="RGC197" s="2"/>
      <c r="RGD197" s="2"/>
      <c r="RGE197" s="2"/>
      <c r="RGF197" s="2"/>
      <c r="RGG197" s="2"/>
      <c r="RGH197" s="2"/>
      <c r="RGI197" s="2"/>
      <c r="RGJ197" s="2"/>
      <c r="RGK197" s="2"/>
      <c r="RGL197" s="2"/>
      <c r="RGM197" s="2"/>
      <c r="RGN197" s="2"/>
      <c r="RGO197" s="2"/>
      <c r="RGP197" s="2"/>
      <c r="RGQ197" s="2"/>
      <c r="RGR197" s="2"/>
      <c r="RGS197" s="2"/>
      <c r="RGT197" s="2"/>
      <c r="RGU197" s="2"/>
      <c r="RGV197" s="2"/>
      <c r="RGW197" s="2"/>
      <c r="RGX197" s="2"/>
      <c r="RGY197" s="2"/>
      <c r="RGZ197" s="2"/>
      <c r="RHA197" s="2"/>
      <c r="RHB197" s="2"/>
      <c r="RHC197" s="2"/>
      <c r="RHD197" s="2"/>
      <c r="RHE197" s="2"/>
      <c r="RHF197" s="2"/>
      <c r="RHG197" s="2"/>
      <c r="RHH197" s="2"/>
      <c r="RHI197" s="2"/>
      <c r="RHJ197" s="2"/>
      <c r="RHK197" s="2"/>
      <c r="RHL197" s="2"/>
      <c r="RHM197" s="2"/>
      <c r="RHN197" s="2"/>
      <c r="RHO197" s="2"/>
      <c r="RHP197" s="2"/>
      <c r="RHQ197" s="2"/>
      <c r="RHR197" s="2"/>
      <c r="RHS197" s="2"/>
      <c r="RHT197" s="2"/>
      <c r="RHU197" s="2"/>
      <c r="RHV197" s="2"/>
      <c r="RHW197" s="2"/>
      <c r="RHX197" s="2"/>
      <c r="RHY197" s="2"/>
      <c r="RHZ197" s="2"/>
      <c r="RIA197" s="2"/>
      <c r="RIB197" s="2"/>
      <c r="RIC197" s="2"/>
      <c r="RID197" s="2"/>
      <c r="RIE197" s="2"/>
      <c r="RIF197" s="2"/>
      <c r="RIG197" s="2"/>
      <c r="RIH197" s="2"/>
      <c r="RII197" s="2"/>
      <c r="RIJ197" s="2"/>
      <c r="RIK197" s="2"/>
      <c r="RIL197" s="2"/>
      <c r="RIM197" s="2"/>
      <c r="RIN197" s="2"/>
      <c r="RIO197" s="2"/>
      <c r="RIP197" s="2"/>
      <c r="RIQ197" s="2"/>
      <c r="RIR197" s="2"/>
      <c r="RIS197" s="2"/>
      <c r="RIT197" s="2"/>
      <c r="RIU197" s="2"/>
      <c r="RIV197" s="2"/>
      <c r="RIW197" s="2"/>
      <c r="RIX197" s="2"/>
      <c r="RIY197" s="2"/>
      <c r="RIZ197" s="2"/>
      <c r="RJA197" s="2"/>
      <c r="RJB197" s="2"/>
      <c r="RJC197" s="2"/>
      <c r="RJD197" s="2"/>
      <c r="RJE197" s="2"/>
      <c r="RJF197" s="2"/>
      <c r="RJG197" s="2"/>
      <c r="RJH197" s="2"/>
      <c r="RJI197" s="2"/>
      <c r="RJJ197" s="2"/>
      <c r="RJK197" s="2"/>
      <c r="RJL197" s="2"/>
      <c r="RJM197" s="2"/>
      <c r="RJN197" s="2"/>
      <c r="RJO197" s="2"/>
      <c r="RJP197" s="2"/>
      <c r="RJQ197" s="2"/>
      <c r="RJR197" s="2"/>
      <c r="RJS197" s="2"/>
      <c r="RJT197" s="2"/>
      <c r="RJU197" s="2"/>
      <c r="RJV197" s="2"/>
      <c r="RJW197" s="2"/>
      <c r="RJX197" s="2"/>
      <c r="RJY197" s="2"/>
      <c r="RJZ197" s="2"/>
      <c r="RKA197" s="2"/>
      <c r="RKB197" s="2"/>
      <c r="RKC197" s="2"/>
      <c r="RKD197" s="2"/>
      <c r="RKE197" s="2"/>
      <c r="RKF197" s="2"/>
      <c r="RKG197" s="2"/>
      <c r="RKH197" s="2"/>
      <c r="RKI197" s="2"/>
      <c r="RKJ197" s="2"/>
      <c r="RKK197" s="2"/>
      <c r="RKL197" s="2"/>
      <c r="RKM197" s="2"/>
      <c r="RKN197" s="2"/>
      <c r="RKO197" s="2"/>
      <c r="RKP197" s="2"/>
      <c r="RKQ197" s="2"/>
      <c r="RKR197" s="2"/>
      <c r="RKS197" s="2"/>
      <c r="RKT197" s="2"/>
      <c r="RKU197" s="2"/>
      <c r="RKV197" s="2"/>
      <c r="RKW197" s="2"/>
      <c r="RKX197" s="2"/>
      <c r="RKY197" s="2"/>
      <c r="RKZ197" s="2"/>
      <c r="RLA197" s="2"/>
      <c r="RLB197" s="2"/>
      <c r="RLC197" s="2"/>
      <c r="RLD197" s="2"/>
      <c r="RLE197" s="2"/>
      <c r="RLF197" s="2"/>
      <c r="RLG197" s="2"/>
      <c r="RLH197" s="2"/>
      <c r="RLI197" s="2"/>
      <c r="RLJ197" s="2"/>
      <c r="RLK197" s="2"/>
      <c r="RLL197" s="2"/>
      <c r="RLM197" s="2"/>
      <c r="RLN197" s="2"/>
      <c r="RLO197" s="2"/>
      <c r="RLP197" s="2"/>
      <c r="RLQ197" s="2"/>
      <c r="RLR197" s="2"/>
      <c r="RLS197" s="2"/>
      <c r="RLT197" s="2"/>
      <c r="RLU197" s="2"/>
      <c r="RLV197" s="2"/>
      <c r="RLW197" s="2"/>
      <c r="RLX197" s="2"/>
      <c r="RLY197" s="2"/>
      <c r="RLZ197" s="2"/>
      <c r="RMA197" s="2"/>
      <c r="RMB197" s="2"/>
      <c r="RMC197" s="2"/>
      <c r="RMD197" s="2"/>
      <c r="RME197" s="2"/>
      <c r="RMF197" s="2"/>
      <c r="RMG197" s="2"/>
      <c r="RMH197" s="2"/>
      <c r="RMI197" s="2"/>
      <c r="RMJ197" s="2"/>
      <c r="RMK197" s="2"/>
      <c r="RML197" s="2"/>
      <c r="RMM197" s="2"/>
      <c r="RMN197" s="2"/>
      <c r="RMO197" s="2"/>
      <c r="RMP197" s="2"/>
      <c r="RMQ197" s="2"/>
      <c r="RMR197" s="2"/>
      <c r="RMS197" s="2"/>
      <c r="RMT197" s="2"/>
      <c r="RMU197" s="2"/>
      <c r="RMV197" s="2"/>
      <c r="RMW197" s="2"/>
      <c r="RMX197" s="2"/>
      <c r="RMY197" s="2"/>
      <c r="RMZ197" s="2"/>
      <c r="RNA197" s="2"/>
      <c r="RNB197" s="2"/>
      <c r="RNC197" s="2"/>
      <c r="RND197" s="2"/>
      <c r="RNE197" s="2"/>
      <c r="RNF197" s="2"/>
      <c r="RNG197" s="2"/>
      <c r="RNH197" s="2"/>
      <c r="RNI197" s="2"/>
      <c r="RNJ197" s="2"/>
      <c r="RNK197" s="2"/>
      <c r="RNL197" s="2"/>
      <c r="RNM197" s="2"/>
      <c r="RNN197" s="2"/>
      <c r="RNO197" s="2"/>
      <c r="RNP197" s="2"/>
      <c r="RNQ197" s="2"/>
      <c r="RNR197" s="2"/>
      <c r="RNS197" s="2"/>
      <c r="RNT197" s="2"/>
      <c r="RNU197" s="2"/>
      <c r="RNV197" s="2"/>
      <c r="RNW197" s="2"/>
      <c r="RNX197" s="2"/>
      <c r="RNY197" s="2"/>
      <c r="RNZ197" s="2"/>
      <c r="ROA197" s="2"/>
      <c r="ROB197" s="2"/>
      <c r="ROC197" s="2"/>
      <c r="ROD197" s="2"/>
      <c r="ROE197" s="2"/>
      <c r="ROF197" s="2"/>
      <c r="ROG197" s="2"/>
      <c r="ROH197" s="2"/>
      <c r="ROI197" s="2"/>
      <c r="ROJ197" s="2"/>
      <c r="ROK197" s="2"/>
      <c r="ROL197" s="2"/>
      <c r="ROM197" s="2"/>
      <c r="RON197" s="2"/>
      <c r="ROO197" s="2"/>
      <c r="ROP197" s="2"/>
      <c r="ROQ197" s="2"/>
      <c r="ROR197" s="2"/>
      <c r="ROS197" s="2"/>
      <c r="ROT197" s="2"/>
      <c r="ROU197" s="2"/>
      <c r="ROV197" s="2"/>
      <c r="ROW197" s="2"/>
      <c r="ROX197" s="2"/>
      <c r="ROY197" s="2"/>
      <c r="ROZ197" s="2"/>
      <c r="RPA197" s="2"/>
      <c r="RPB197" s="2"/>
      <c r="RPC197" s="2"/>
      <c r="RPD197" s="2"/>
      <c r="RPE197" s="2"/>
      <c r="RPF197" s="2"/>
      <c r="RPG197" s="2"/>
      <c r="RPH197" s="2"/>
      <c r="RPI197" s="2"/>
      <c r="RPJ197" s="2"/>
      <c r="RPK197" s="2"/>
      <c r="RPL197" s="2"/>
      <c r="RPM197" s="2"/>
      <c r="RPN197" s="2"/>
      <c r="RPO197" s="2"/>
      <c r="RPP197" s="2"/>
      <c r="RPQ197" s="2"/>
      <c r="RPR197" s="2"/>
      <c r="RPS197" s="2"/>
      <c r="RPT197" s="2"/>
      <c r="RPU197" s="2"/>
      <c r="RPV197" s="2"/>
      <c r="RPW197" s="2"/>
      <c r="RPX197" s="2"/>
      <c r="RPY197" s="2"/>
      <c r="RPZ197" s="2"/>
      <c r="RQA197" s="2"/>
      <c r="RQB197" s="2"/>
      <c r="RQC197" s="2"/>
      <c r="RQD197" s="2"/>
      <c r="RQE197" s="2"/>
      <c r="RQF197" s="2"/>
      <c r="RQG197" s="2"/>
      <c r="RQH197" s="2"/>
      <c r="RQI197" s="2"/>
      <c r="RQJ197" s="2"/>
      <c r="RQK197" s="2"/>
      <c r="RQL197" s="2"/>
      <c r="RQM197" s="2"/>
      <c r="RQN197" s="2"/>
      <c r="RQO197" s="2"/>
      <c r="RQP197" s="2"/>
      <c r="RQQ197" s="2"/>
      <c r="RQR197" s="2"/>
      <c r="RQS197" s="2"/>
      <c r="RQT197" s="2"/>
      <c r="RQU197" s="2"/>
      <c r="RQV197" s="2"/>
      <c r="RQW197" s="2"/>
      <c r="RQX197" s="2"/>
      <c r="RQY197" s="2"/>
      <c r="RQZ197" s="2"/>
      <c r="RRA197" s="2"/>
      <c r="RRB197" s="2"/>
      <c r="RRC197" s="2"/>
      <c r="RRD197" s="2"/>
      <c r="RRE197" s="2"/>
      <c r="RRF197" s="2"/>
      <c r="RRG197" s="2"/>
      <c r="RRH197" s="2"/>
      <c r="RRI197" s="2"/>
      <c r="RRJ197" s="2"/>
      <c r="RRK197" s="2"/>
      <c r="RRL197" s="2"/>
      <c r="RRM197" s="2"/>
      <c r="RRN197" s="2"/>
      <c r="RRO197" s="2"/>
      <c r="RRP197" s="2"/>
      <c r="RRQ197" s="2"/>
      <c r="RRR197" s="2"/>
      <c r="RRS197" s="2"/>
      <c r="RRT197" s="2"/>
      <c r="RRU197" s="2"/>
      <c r="RRV197" s="2"/>
      <c r="RRW197" s="2"/>
      <c r="RRX197" s="2"/>
      <c r="RRY197" s="2"/>
      <c r="RRZ197" s="2"/>
      <c r="RSA197" s="2"/>
      <c r="RSB197" s="2"/>
      <c r="RSC197" s="2"/>
      <c r="RSD197" s="2"/>
      <c r="RSE197" s="2"/>
      <c r="RSF197" s="2"/>
      <c r="RSG197" s="2"/>
      <c r="RSH197" s="2"/>
      <c r="RSI197" s="2"/>
      <c r="RSJ197" s="2"/>
      <c r="RSK197" s="2"/>
      <c r="RSL197" s="2"/>
      <c r="RSM197" s="2"/>
      <c r="RSN197" s="2"/>
      <c r="RSO197" s="2"/>
      <c r="RSP197" s="2"/>
      <c r="RSQ197" s="2"/>
      <c r="RSR197" s="2"/>
      <c r="RSS197" s="2"/>
      <c r="RST197" s="2"/>
      <c r="RSU197" s="2"/>
      <c r="RSV197" s="2"/>
      <c r="RSW197" s="2"/>
      <c r="RSX197" s="2"/>
      <c r="RSY197" s="2"/>
      <c r="RSZ197" s="2"/>
      <c r="RTA197" s="2"/>
      <c r="RTB197" s="2"/>
      <c r="RTC197" s="2"/>
      <c r="RTD197" s="2"/>
      <c r="RTE197" s="2"/>
      <c r="RTF197" s="2"/>
      <c r="RTG197" s="2"/>
      <c r="RTH197" s="2"/>
      <c r="RTI197" s="2"/>
      <c r="RTJ197" s="2"/>
      <c r="RTK197" s="2"/>
      <c r="RTL197" s="2"/>
      <c r="RTM197" s="2"/>
      <c r="RTN197" s="2"/>
      <c r="RTO197" s="2"/>
      <c r="RTP197" s="2"/>
      <c r="RTQ197" s="2"/>
      <c r="RTR197" s="2"/>
      <c r="RTS197" s="2"/>
      <c r="RTT197" s="2"/>
      <c r="RTU197" s="2"/>
      <c r="RTV197" s="2"/>
      <c r="RTW197" s="2"/>
      <c r="RTX197" s="2"/>
      <c r="RTY197" s="2"/>
      <c r="RTZ197" s="2"/>
      <c r="RUA197" s="2"/>
      <c r="RUB197" s="2"/>
      <c r="RUC197" s="2"/>
      <c r="RUD197" s="2"/>
      <c r="RUE197" s="2"/>
      <c r="RUF197" s="2"/>
      <c r="RUG197" s="2"/>
      <c r="RUH197" s="2"/>
      <c r="RUI197" s="2"/>
      <c r="RUJ197" s="2"/>
      <c r="RUK197" s="2"/>
      <c r="RUL197" s="2"/>
      <c r="RUM197" s="2"/>
      <c r="RUN197" s="2"/>
      <c r="RUO197" s="2"/>
      <c r="RUP197" s="2"/>
      <c r="RUQ197" s="2"/>
      <c r="RUR197" s="2"/>
      <c r="RUS197" s="2"/>
      <c r="RUT197" s="2"/>
      <c r="RUU197" s="2"/>
      <c r="RUV197" s="2"/>
      <c r="RUW197" s="2"/>
      <c r="RUX197" s="2"/>
      <c r="RUY197" s="2"/>
      <c r="RUZ197" s="2"/>
      <c r="RVA197" s="2"/>
      <c r="RVB197" s="2"/>
      <c r="RVC197" s="2"/>
      <c r="RVD197" s="2"/>
      <c r="RVE197" s="2"/>
      <c r="RVF197" s="2"/>
      <c r="RVG197" s="2"/>
      <c r="RVH197" s="2"/>
      <c r="RVI197" s="2"/>
      <c r="RVJ197" s="2"/>
      <c r="RVK197" s="2"/>
      <c r="RVL197" s="2"/>
      <c r="RVM197" s="2"/>
      <c r="RVN197" s="2"/>
      <c r="RVO197" s="2"/>
      <c r="RVP197" s="2"/>
      <c r="RVQ197" s="2"/>
      <c r="RVR197" s="2"/>
      <c r="RVS197" s="2"/>
      <c r="RVT197" s="2"/>
      <c r="RVU197" s="2"/>
      <c r="RVV197" s="2"/>
      <c r="RVW197" s="2"/>
      <c r="RVX197" s="2"/>
      <c r="RVY197" s="2"/>
      <c r="RVZ197" s="2"/>
      <c r="RWA197" s="2"/>
      <c r="RWB197" s="2"/>
      <c r="RWC197" s="2"/>
      <c r="RWD197" s="2"/>
      <c r="RWE197" s="2"/>
      <c r="RWF197" s="2"/>
      <c r="RWG197" s="2"/>
      <c r="RWH197" s="2"/>
      <c r="RWI197" s="2"/>
      <c r="RWJ197" s="2"/>
      <c r="RWK197" s="2"/>
      <c r="RWL197" s="2"/>
      <c r="RWM197" s="2"/>
      <c r="RWN197" s="2"/>
      <c r="RWO197" s="2"/>
      <c r="RWP197" s="2"/>
      <c r="RWQ197" s="2"/>
      <c r="RWR197" s="2"/>
      <c r="RWS197" s="2"/>
      <c r="RWT197" s="2"/>
      <c r="RWU197" s="2"/>
      <c r="RWV197" s="2"/>
      <c r="RWW197" s="2"/>
      <c r="RWX197" s="2"/>
      <c r="RWY197" s="2"/>
      <c r="RWZ197" s="2"/>
      <c r="RXA197" s="2"/>
      <c r="RXB197" s="2"/>
      <c r="RXC197" s="2"/>
      <c r="RXD197" s="2"/>
      <c r="RXE197" s="2"/>
      <c r="RXF197" s="2"/>
      <c r="RXG197" s="2"/>
      <c r="RXH197" s="2"/>
      <c r="RXI197" s="2"/>
      <c r="RXJ197" s="2"/>
      <c r="RXK197" s="2"/>
      <c r="RXL197" s="2"/>
      <c r="RXM197" s="2"/>
      <c r="RXN197" s="2"/>
      <c r="RXO197" s="2"/>
      <c r="RXP197" s="2"/>
      <c r="RXQ197" s="2"/>
      <c r="RXR197" s="2"/>
      <c r="RXS197" s="2"/>
      <c r="RXT197" s="2"/>
      <c r="RXU197" s="2"/>
      <c r="RXV197" s="2"/>
      <c r="RXW197" s="2"/>
      <c r="RXX197" s="2"/>
      <c r="RXY197" s="2"/>
      <c r="RXZ197" s="2"/>
      <c r="RYA197" s="2"/>
      <c r="RYB197" s="2"/>
      <c r="RYC197" s="2"/>
      <c r="RYD197" s="2"/>
      <c r="RYE197" s="2"/>
      <c r="RYF197" s="2"/>
      <c r="RYG197" s="2"/>
      <c r="RYH197" s="2"/>
      <c r="RYI197" s="2"/>
      <c r="RYJ197" s="2"/>
      <c r="RYK197" s="2"/>
      <c r="RYL197" s="2"/>
      <c r="RYM197" s="2"/>
      <c r="RYN197" s="2"/>
      <c r="RYO197" s="2"/>
      <c r="RYP197" s="2"/>
      <c r="RYQ197" s="2"/>
      <c r="RYR197" s="2"/>
      <c r="RYS197" s="2"/>
      <c r="RYT197" s="2"/>
      <c r="RYU197" s="2"/>
      <c r="RYV197" s="2"/>
      <c r="RYW197" s="2"/>
      <c r="RYX197" s="2"/>
      <c r="RYY197" s="2"/>
      <c r="RYZ197" s="2"/>
      <c r="RZA197" s="2"/>
      <c r="RZB197" s="2"/>
      <c r="RZC197" s="2"/>
      <c r="RZD197" s="2"/>
      <c r="RZE197" s="2"/>
      <c r="RZF197" s="2"/>
      <c r="RZG197" s="2"/>
      <c r="RZH197" s="2"/>
      <c r="RZI197" s="2"/>
      <c r="RZJ197" s="2"/>
      <c r="RZK197" s="2"/>
      <c r="RZL197" s="2"/>
      <c r="RZM197" s="2"/>
      <c r="RZN197" s="2"/>
      <c r="RZO197" s="2"/>
      <c r="RZP197" s="2"/>
      <c r="RZQ197" s="2"/>
      <c r="RZR197" s="2"/>
      <c r="RZS197" s="2"/>
      <c r="RZT197" s="2"/>
      <c r="RZU197" s="2"/>
      <c r="RZV197" s="2"/>
      <c r="RZW197" s="2"/>
      <c r="RZX197" s="2"/>
      <c r="RZY197" s="2"/>
      <c r="RZZ197" s="2"/>
      <c r="SAA197" s="2"/>
      <c r="SAB197" s="2"/>
      <c r="SAC197" s="2"/>
      <c r="SAD197" s="2"/>
      <c r="SAE197" s="2"/>
      <c r="SAF197" s="2"/>
      <c r="SAG197" s="2"/>
      <c r="SAH197" s="2"/>
      <c r="SAI197" s="2"/>
      <c r="SAJ197" s="2"/>
      <c r="SAK197" s="2"/>
      <c r="SAL197" s="2"/>
      <c r="SAM197" s="2"/>
      <c r="SAN197" s="2"/>
      <c r="SAO197" s="2"/>
      <c r="SAP197" s="2"/>
      <c r="SAQ197" s="2"/>
      <c r="SAR197" s="2"/>
      <c r="SAS197" s="2"/>
      <c r="SAT197" s="2"/>
      <c r="SAU197" s="2"/>
      <c r="SAV197" s="2"/>
      <c r="SAW197" s="2"/>
      <c r="SAX197" s="2"/>
      <c r="SAY197" s="2"/>
      <c r="SAZ197" s="2"/>
      <c r="SBA197" s="2"/>
      <c r="SBB197" s="2"/>
      <c r="SBC197" s="2"/>
      <c r="SBD197" s="2"/>
      <c r="SBE197" s="2"/>
      <c r="SBF197" s="2"/>
      <c r="SBG197" s="2"/>
      <c r="SBH197" s="2"/>
      <c r="SBI197" s="2"/>
      <c r="SBJ197" s="2"/>
      <c r="SBK197" s="2"/>
      <c r="SBL197" s="2"/>
      <c r="SBM197" s="2"/>
      <c r="SBN197" s="2"/>
      <c r="SBO197" s="2"/>
      <c r="SBP197" s="2"/>
      <c r="SBQ197" s="2"/>
      <c r="SBR197" s="2"/>
      <c r="SBS197" s="2"/>
      <c r="SBT197" s="2"/>
      <c r="SBU197" s="2"/>
      <c r="SBV197" s="2"/>
      <c r="SBW197" s="2"/>
      <c r="SBX197" s="2"/>
      <c r="SBY197" s="2"/>
      <c r="SBZ197" s="2"/>
      <c r="SCA197" s="2"/>
      <c r="SCB197" s="2"/>
      <c r="SCC197" s="2"/>
      <c r="SCD197" s="2"/>
      <c r="SCE197" s="2"/>
      <c r="SCF197" s="2"/>
      <c r="SCG197" s="2"/>
      <c r="SCH197" s="2"/>
      <c r="SCI197" s="2"/>
      <c r="SCJ197" s="2"/>
      <c r="SCK197" s="2"/>
      <c r="SCL197" s="2"/>
      <c r="SCM197" s="2"/>
      <c r="SCN197" s="2"/>
      <c r="SCO197" s="2"/>
      <c r="SCP197" s="2"/>
      <c r="SCQ197" s="2"/>
      <c r="SCR197" s="2"/>
      <c r="SCS197" s="2"/>
      <c r="SCT197" s="2"/>
      <c r="SCU197" s="2"/>
      <c r="SCV197" s="2"/>
      <c r="SCW197" s="2"/>
      <c r="SCX197" s="2"/>
      <c r="SCY197" s="2"/>
      <c r="SCZ197" s="2"/>
      <c r="SDA197" s="2"/>
      <c r="SDB197" s="2"/>
      <c r="SDC197" s="2"/>
      <c r="SDD197" s="2"/>
      <c r="SDE197" s="2"/>
      <c r="SDF197" s="2"/>
      <c r="SDG197" s="2"/>
      <c r="SDH197" s="2"/>
      <c r="SDI197" s="2"/>
      <c r="SDJ197" s="2"/>
      <c r="SDK197" s="2"/>
      <c r="SDL197" s="2"/>
      <c r="SDM197" s="2"/>
      <c r="SDN197" s="2"/>
      <c r="SDO197" s="2"/>
      <c r="SDP197" s="2"/>
      <c r="SDQ197" s="2"/>
      <c r="SDR197" s="2"/>
      <c r="SDS197" s="2"/>
      <c r="SDT197" s="2"/>
      <c r="SDU197" s="2"/>
      <c r="SDV197" s="2"/>
      <c r="SDW197" s="2"/>
      <c r="SDX197" s="2"/>
      <c r="SDY197" s="2"/>
      <c r="SDZ197" s="2"/>
      <c r="SEA197" s="2"/>
      <c r="SEB197" s="2"/>
      <c r="SEC197" s="2"/>
      <c r="SED197" s="2"/>
      <c r="SEE197" s="2"/>
      <c r="SEF197" s="2"/>
      <c r="SEG197" s="2"/>
      <c r="SEH197" s="2"/>
      <c r="SEI197" s="2"/>
      <c r="SEJ197" s="2"/>
      <c r="SEK197" s="2"/>
      <c r="SEL197" s="2"/>
      <c r="SEM197" s="2"/>
      <c r="SEN197" s="2"/>
      <c r="SEO197" s="2"/>
      <c r="SEP197" s="2"/>
      <c r="SEQ197" s="2"/>
      <c r="SER197" s="2"/>
      <c r="SES197" s="2"/>
      <c r="SET197" s="2"/>
      <c r="SEU197" s="2"/>
      <c r="SEV197" s="2"/>
      <c r="SEW197" s="2"/>
      <c r="SEX197" s="2"/>
      <c r="SEY197" s="2"/>
      <c r="SEZ197" s="2"/>
      <c r="SFA197" s="2"/>
      <c r="SFB197" s="2"/>
      <c r="SFC197" s="2"/>
      <c r="SFD197" s="2"/>
      <c r="SFE197" s="2"/>
      <c r="SFF197" s="2"/>
      <c r="SFG197" s="2"/>
      <c r="SFH197" s="2"/>
      <c r="SFI197" s="2"/>
      <c r="SFJ197" s="2"/>
      <c r="SFK197" s="2"/>
      <c r="SFL197" s="2"/>
      <c r="SFM197" s="2"/>
      <c r="SFN197" s="2"/>
      <c r="SFO197" s="2"/>
      <c r="SFP197" s="2"/>
      <c r="SFQ197" s="2"/>
      <c r="SFR197" s="2"/>
      <c r="SFS197" s="2"/>
      <c r="SFT197" s="2"/>
      <c r="SFU197" s="2"/>
      <c r="SFV197" s="2"/>
      <c r="SFW197" s="2"/>
      <c r="SFX197" s="2"/>
      <c r="SFY197" s="2"/>
      <c r="SFZ197" s="2"/>
      <c r="SGA197" s="2"/>
      <c r="SGB197" s="2"/>
      <c r="SGC197" s="2"/>
      <c r="SGD197" s="2"/>
      <c r="SGE197" s="2"/>
      <c r="SGF197" s="2"/>
      <c r="SGG197" s="2"/>
      <c r="SGH197" s="2"/>
      <c r="SGI197" s="2"/>
      <c r="SGJ197" s="2"/>
      <c r="SGK197" s="2"/>
      <c r="SGL197" s="2"/>
      <c r="SGM197" s="2"/>
      <c r="SGN197" s="2"/>
      <c r="SGO197" s="2"/>
      <c r="SGP197" s="2"/>
      <c r="SGQ197" s="2"/>
      <c r="SGR197" s="2"/>
      <c r="SGS197" s="2"/>
      <c r="SGT197" s="2"/>
      <c r="SGU197" s="2"/>
      <c r="SGV197" s="2"/>
      <c r="SGW197" s="2"/>
      <c r="SGX197" s="2"/>
      <c r="SGY197" s="2"/>
      <c r="SGZ197" s="2"/>
      <c r="SHA197" s="2"/>
      <c r="SHB197" s="2"/>
      <c r="SHC197" s="2"/>
      <c r="SHD197" s="2"/>
      <c r="SHE197" s="2"/>
      <c r="SHF197" s="2"/>
      <c r="SHG197" s="2"/>
      <c r="SHH197" s="2"/>
      <c r="SHI197" s="2"/>
      <c r="SHJ197" s="2"/>
      <c r="SHK197" s="2"/>
      <c r="SHL197" s="2"/>
      <c r="SHM197" s="2"/>
      <c r="SHN197" s="2"/>
      <c r="SHO197" s="2"/>
      <c r="SHP197" s="2"/>
      <c r="SHQ197" s="2"/>
      <c r="SHR197" s="2"/>
      <c r="SHS197" s="2"/>
      <c r="SHT197" s="2"/>
      <c r="SHU197" s="2"/>
      <c r="SHV197" s="2"/>
      <c r="SHW197" s="2"/>
      <c r="SHX197" s="2"/>
      <c r="SHY197" s="2"/>
      <c r="SHZ197" s="2"/>
      <c r="SIA197" s="2"/>
      <c r="SIB197" s="2"/>
      <c r="SIC197" s="2"/>
      <c r="SID197" s="2"/>
      <c r="SIE197" s="2"/>
      <c r="SIF197" s="2"/>
      <c r="SIG197" s="2"/>
      <c r="SIH197" s="2"/>
      <c r="SII197" s="2"/>
      <c r="SIJ197" s="2"/>
      <c r="SIK197" s="2"/>
      <c r="SIL197" s="2"/>
      <c r="SIM197" s="2"/>
      <c r="SIN197" s="2"/>
      <c r="SIO197" s="2"/>
      <c r="SIP197" s="2"/>
      <c r="SIQ197" s="2"/>
      <c r="SIR197" s="2"/>
      <c r="SIS197" s="2"/>
      <c r="SIT197" s="2"/>
      <c r="SIU197" s="2"/>
      <c r="SIV197" s="2"/>
      <c r="SIW197" s="2"/>
      <c r="SIX197" s="2"/>
      <c r="SIY197" s="2"/>
      <c r="SIZ197" s="2"/>
      <c r="SJA197" s="2"/>
      <c r="SJB197" s="2"/>
      <c r="SJC197" s="2"/>
      <c r="SJD197" s="2"/>
      <c r="SJE197" s="2"/>
      <c r="SJF197" s="2"/>
      <c r="SJG197" s="2"/>
      <c r="SJH197" s="2"/>
      <c r="SJI197" s="2"/>
      <c r="SJJ197" s="2"/>
      <c r="SJK197" s="2"/>
      <c r="SJL197" s="2"/>
      <c r="SJM197" s="2"/>
      <c r="SJN197" s="2"/>
      <c r="SJO197" s="2"/>
      <c r="SJP197" s="2"/>
      <c r="SJQ197" s="2"/>
      <c r="SJR197" s="2"/>
      <c r="SJS197" s="2"/>
      <c r="SJT197" s="2"/>
      <c r="SJU197" s="2"/>
      <c r="SJV197" s="2"/>
      <c r="SJW197" s="2"/>
      <c r="SJX197" s="2"/>
      <c r="SJY197" s="2"/>
      <c r="SJZ197" s="2"/>
      <c r="SKA197" s="2"/>
      <c r="SKB197" s="2"/>
      <c r="SKC197" s="2"/>
      <c r="SKD197" s="2"/>
      <c r="SKE197" s="2"/>
      <c r="SKF197" s="2"/>
      <c r="SKG197" s="2"/>
      <c r="SKH197" s="2"/>
      <c r="SKI197" s="2"/>
      <c r="SKJ197" s="2"/>
      <c r="SKK197" s="2"/>
      <c r="SKL197" s="2"/>
      <c r="SKM197" s="2"/>
      <c r="SKN197" s="2"/>
      <c r="SKO197" s="2"/>
      <c r="SKP197" s="2"/>
      <c r="SKQ197" s="2"/>
      <c r="SKR197" s="2"/>
      <c r="SKS197" s="2"/>
      <c r="SKT197" s="2"/>
      <c r="SKU197" s="2"/>
      <c r="SKV197" s="2"/>
      <c r="SKW197" s="2"/>
      <c r="SKX197" s="2"/>
      <c r="SKY197" s="2"/>
      <c r="SKZ197" s="2"/>
      <c r="SLA197" s="2"/>
      <c r="SLB197" s="2"/>
      <c r="SLC197" s="2"/>
      <c r="SLD197" s="2"/>
      <c r="SLE197" s="2"/>
      <c r="SLF197" s="2"/>
      <c r="SLG197" s="2"/>
      <c r="SLH197" s="2"/>
      <c r="SLI197" s="2"/>
      <c r="SLJ197" s="2"/>
      <c r="SLK197" s="2"/>
      <c r="SLL197" s="2"/>
      <c r="SLM197" s="2"/>
      <c r="SLN197" s="2"/>
      <c r="SLO197" s="2"/>
      <c r="SLP197" s="2"/>
      <c r="SLQ197" s="2"/>
      <c r="SLR197" s="2"/>
      <c r="SLS197" s="2"/>
      <c r="SLT197" s="2"/>
      <c r="SLU197" s="2"/>
      <c r="SLV197" s="2"/>
      <c r="SLW197" s="2"/>
      <c r="SLX197" s="2"/>
      <c r="SLY197" s="2"/>
      <c r="SLZ197" s="2"/>
      <c r="SMA197" s="2"/>
      <c r="SMB197" s="2"/>
      <c r="SMC197" s="2"/>
      <c r="SMD197" s="2"/>
      <c r="SME197" s="2"/>
      <c r="SMF197" s="2"/>
      <c r="SMG197" s="2"/>
      <c r="SMH197" s="2"/>
      <c r="SMI197" s="2"/>
      <c r="SMJ197" s="2"/>
      <c r="SMK197" s="2"/>
      <c r="SML197" s="2"/>
      <c r="SMM197" s="2"/>
      <c r="SMN197" s="2"/>
      <c r="SMO197" s="2"/>
      <c r="SMP197" s="2"/>
      <c r="SMQ197" s="2"/>
      <c r="SMR197" s="2"/>
      <c r="SMS197" s="2"/>
      <c r="SMT197" s="2"/>
      <c r="SMU197" s="2"/>
      <c r="SMV197" s="2"/>
      <c r="SMW197" s="2"/>
      <c r="SMX197" s="2"/>
      <c r="SMY197" s="2"/>
      <c r="SMZ197" s="2"/>
      <c r="SNA197" s="2"/>
      <c r="SNB197" s="2"/>
      <c r="SNC197" s="2"/>
      <c r="SND197" s="2"/>
      <c r="SNE197" s="2"/>
      <c r="SNF197" s="2"/>
      <c r="SNG197" s="2"/>
      <c r="SNH197" s="2"/>
      <c r="SNI197" s="2"/>
      <c r="SNJ197" s="2"/>
      <c r="SNK197" s="2"/>
      <c r="SNL197" s="2"/>
      <c r="SNM197" s="2"/>
      <c r="SNN197" s="2"/>
      <c r="SNO197" s="2"/>
      <c r="SNP197" s="2"/>
      <c r="SNQ197" s="2"/>
      <c r="SNR197" s="2"/>
      <c r="SNS197" s="2"/>
      <c r="SNT197" s="2"/>
      <c r="SNU197" s="2"/>
      <c r="SNV197" s="2"/>
      <c r="SNW197" s="2"/>
      <c r="SNX197" s="2"/>
      <c r="SNY197" s="2"/>
      <c r="SNZ197" s="2"/>
      <c r="SOA197" s="2"/>
      <c r="SOB197" s="2"/>
      <c r="SOC197" s="2"/>
      <c r="SOD197" s="2"/>
      <c r="SOE197" s="2"/>
      <c r="SOF197" s="2"/>
      <c r="SOG197" s="2"/>
      <c r="SOH197" s="2"/>
      <c r="SOI197" s="2"/>
      <c r="SOJ197" s="2"/>
      <c r="SOK197" s="2"/>
      <c r="SOL197" s="2"/>
      <c r="SOM197" s="2"/>
      <c r="SON197" s="2"/>
      <c r="SOO197" s="2"/>
      <c r="SOP197" s="2"/>
      <c r="SOQ197" s="2"/>
      <c r="SOR197" s="2"/>
      <c r="SOS197" s="2"/>
      <c r="SOT197" s="2"/>
      <c r="SOU197" s="2"/>
      <c r="SOV197" s="2"/>
      <c r="SOW197" s="2"/>
      <c r="SOX197" s="2"/>
      <c r="SOY197" s="2"/>
      <c r="SOZ197" s="2"/>
      <c r="SPA197" s="2"/>
      <c r="SPB197" s="2"/>
      <c r="SPC197" s="2"/>
      <c r="SPD197" s="2"/>
      <c r="SPE197" s="2"/>
      <c r="SPF197" s="2"/>
      <c r="SPG197" s="2"/>
      <c r="SPH197" s="2"/>
      <c r="SPI197" s="2"/>
      <c r="SPJ197" s="2"/>
      <c r="SPK197" s="2"/>
      <c r="SPL197" s="2"/>
      <c r="SPM197" s="2"/>
      <c r="SPN197" s="2"/>
      <c r="SPO197" s="2"/>
      <c r="SPP197" s="2"/>
      <c r="SPQ197" s="2"/>
      <c r="SPR197" s="2"/>
      <c r="SPS197" s="2"/>
      <c r="SPT197" s="2"/>
      <c r="SPU197" s="2"/>
      <c r="SPV197" s="2"/>
      <c r="SPW197" s="2"/>
      <c r="SPX197" s="2"/>
      <c r="SPY197" s="2"/>
      <c r="SPZ197" s="2"/>
      <c r="SQA197" s="2"/>
      <c r="SQB197" s="2"/>
      <c r="SQC197" s="2"/>
      <c r="SQD197" s="2"/>
      <c r="SQE197" s="2"/>
      <c r="SQF197" s="2"/>
      <c r="SQG197" s="2"/>
      <c r="SQH197" s="2"/>
      <c r="SQI197" s="2"/>
      <c r="SQJ197" s="2"/>
      <c r="SQK197" s="2"/>
      <c r="SQL197" s="2"/>
      <c r="SQM197" s="2"/>
      <c r="SQN197" s="2"/>
      <c r="SQO197" s="2"/>
      <c r="SQP197" s="2"/>
      <c r="SQQ197" s="2"/>
      <c r="SQR197" s="2"/>
      <c r="SQS197" s="2"/>
      <c r="SQT197" s="2"/>
      <c r="SQU197" s="2"/>
      <c r="SQV197" s="2"/>
      <c r="SQW197" s="2"/>
      <c r="SQX197" s="2"/>
      <c r="SQY197" s="2"/>
      <c r="SQZ197" s="2"/>
      <c r="SRA197" s="2"/>
      <c r="SRB197" s="2"/>
      <c r="SRC197" s="2"/>
      <c r="SRD197" s="2"/>
      <c r="SRE197" s="2"/>
      <c r="SRF197" s="2"/>
      <c r="SRG197" s="2"/>
      <c r="SRH197" s="2"/>
      <c r="SRI197" s="2"/>
      <c r="SRJ197" s="2"/>
      <c r="SRK197" s="2"/>
      <c r="SRL197" s="2"/>
      <c r="SRM197" s="2"/>
      <c r="SRN197" s="2"/>
      <c r="SRO197" s="2"/>
      <c r="SRP197" s="2"/>
      <c r="SRQ197" s="2"/>
      <c r="SRR197" s="2"/>
      <c r="SRS197" s="2"/>
      <c r="SRT197" s="2"/>
      <c r="SRU197" s="2"/>
      <c r="SRV197" s="2"/>
      <c r="SRW197" s="2"/>
      <c r="SRX197" s="2"/>
      <c r="SRY197" s="2"/>
      <c r="SRZ197" s="2"/>
      <c r="SSA197" s="2"/>
      <c r="SSB197" s="2"/>
      <c r="SSC197" s="2"/>
      <c r="SSD197" s="2"/>
      <c r="SSE197" s="2"/>
      <c r="SSF197" s="2"/>
      <c r="SSG197" s="2"/>
      <c r="SSH197" s="2"/>
      <c r="SSI197" s="2"/>
      <c r="SSJ197" s="2"/>
      <c r="SSK197" s="2"/>
      <c r="SSL197" s="2"/>
      <c r="SSM197" s="2"/>
      <c r="SSN197" s="2"/>
      <c r="SSO197" s="2"/>
      <c r="SSP197" s="2"/>
      <c r="SSQ197" s="2"/>
      <c r="SSR197" s="2"/>
      <c r="SSS197" s="2"/>
      <c r="SST197" s="2"/>
      <c r="SSU197" s="2"/>
      <c r="SSV197" s="2"/>
      <c r="SSW197" s="2"/>
      <c r="SSX197" s="2"/>
      <c r="SSY197" s="2"/>
      <c r="SSZ197" s="2"/>
      <c r="STA197" s="2"/>
      <c r="STB197" s="2"/>
      <c r="STC197" s="2"/>
      <c r="STD197" s="2"/>
      <c r="STE197" s="2"/>
      <c r="STF197" s="2"/>
      <c r="STG197" s="2"/>
      <c r="STH197" s="2"/>
      <c r="STI197" s="2"/>
      <c r="STJ197" s="2"/>
      <c r="STK197" s="2"/>
      <c r="STL197" s="2"/>
      <c r="STM197" s="2"/>
      <c r="STN197" s="2"/>
      <c r="STO197" s="2"/>
      <c r="STP197" s="2"/>
      <c r="STQ197" s="2"/>
      <c r="STR197" s="2"/>
      <c r="STS197" s="2"/>
      <c r="STT197" s="2"/>
      <c r="STU197" s="2"/>
      <c r="STV197" s="2"/>
      <c r="STW197" s="2"/>
      <c r="STX197" s="2"/>
      <c r="STY197" s="2"/>
      <c r="STZ197" s="2"/>
      <c r="SUA197" s="2"/>
      <c r="SUB197" s="2"/>
      <c r="SUC197" s="2"/>
      <c r="SUD197" s="2"/>
      <c r="SUE197" s="2"/>
      <c r="SUF197" s="2"/>
      <c r="SUG197" s="2"/>
      <c r="SUH197" s="2"/>
      <c r="SUI197" s="2"/>
      <c r="SUJ197" s="2"/>
      <c r="SUK197" s="2"/>
      <c r="SUL197" s="2"/>
      <c r="SUM197" s="2"/>
      <c r="SUN197" s="2"/>
      <c r="SUO197" s="2"/>
      <c r="SUP197" s="2"/>
      <c r="SUQ197" s="2"/>
      <c r="SUR197" s="2"/>
      <c r="SUS197" s="2"/>
      <c r="SUT197" s="2"/>
      <c r="SUU197" s="2"/>
      <c r="SUV197" s="2"/>
      <c r="SUW197" s="2"/>
      <c r="SUX197" s="2"/>
      <c r="SUY197" s="2"/>
      <c r="SUZ197" s="2"/>
      <c r="SVA197" s="2"/>
      <c r="SVB197" s="2"/>
      <c r="SVC197" s="2"/>
      <c r="SVD197" s="2"/>
      <c r="SVE197" s="2"/>
      <c r="SVF197" s="2"/>
      <c r="SVG197" s="2"/>
      <c r="SVH197" s="2"/>
      <c r="SVI197" s="2"/>
      <c r="SVJ197" s="2"/>
      <c r="SVK197" s="2"/>
      <c r="SVL197" s="2"/>
      <c r="SVM197" s="2"/>
      <c r="SVN197" s="2"/>
      <c r="SVO197" s="2"/>
      <c r="SVP197" s="2"/>
      <c r="SVQ197" s="2"/>
      <c r="SVR197" s="2"/>
      <c r="SVS197" s="2"/>
      <c r="SVT197" s="2"/>
      <c r="SVU197" s="2"/>
      <c r="SVV197" s="2"/>
      <c r="SVW197" s="2"/>
      <c r="SVX197" s="2"/>
      <c r="SVY197" s="2"/>
      <c r="SVZ197" s="2"/>
      <c r="SWA197" s="2"/>
      <c r="SWB197" s="2"/>
      <c r="SWC197" s="2"/>
      <c r="SWD197" s="2"/>
      <c r="SWE197" s="2"/>
      <c r="SWF197" s="2"/>
      <c r="SWG197" s="2"/>
      <c r="SWH197" s="2"/>
      <c r="SWI197" s="2"/>
      <c r="SWJ197" s="2"/>
      <c r="SWK197" s="2"/>
      <c r="SWL197" s="2"/>
      <c r="SWM197" s="2"/>
      <c r="SWN197" s="2"/>
      <c r="SWO197" s="2"/>
      <c r="SWP197" s="2"/>
      <c r="SWQ197" s="2"/>
      <c r="SWR197" s="2"/>
      <c r="SWS197" s="2"/>
      <c r="SWT197" s="2"/>
      <c r="SWU197" s="2"/>
      <c r="SWV197" s="2"/>
      <c r="SWW197" s="2"/>
      <c r="SWX197" s="2"/>
      <c r="SWY197" s="2"/>
      <c r="SWZ197" s="2"/>
      <c r="SXA197" s="2"/>
      <c r="SXB197" s="2"/>
      <c r="SXC197" s="2"/>
      <c r="SXD197" s="2"/>
      <c r="SXE197" s="2"/>
      <c r="SXF197" s="2"/>
      <c r="SXG197" s="2"/>
      <c r="SXH197" s="2"/>
      <c r="SXI197" s="2"/>
      <c r="SXJ197" s="2"/>
      <c r="SXK197" s="2"/>
      <c r="SXL197" s="2"/>
      <c r="SXM197" s="2"/>
      <c r="SXN197" s="2"/>
      <c r="SXO197" s="2"/>
      <c r="SXP197" s="2"/>
      <c r="SXQ197" s="2"/>
      <c r="SXR197" s="2"/>
      <c r="SXS197" s="2"/>
      <c r="SXT197" s="2"/>
      <c r="SXU197" s="2"/>
      <c r="SXV197" s="2"/>
      <c r="SXW197" s="2"/>
      <c r="SXX197" s="2"/>
      <c r="SXY197" s="2"/>
      <c r="SXZ197" s="2"/>
      <c r="SYA197" s="2"/>
      <c r="SYB197" s="2"/>
      <c r="SYC197" s="2"/>
      <c r="SYD197" s="2"/>
      <c r="SYE197" s="2"/>
      <c r="SYF197" s="2"/>
      <c r="SYG197" s="2"/>
      <c r="SYH197" s="2"/>
      <c r="SYI197" s="2"/>
      <c r="SYJ197" s="2"/>
      <c r="SYK197" s="2"/>
      <c r="SYL197" s="2"/>
      <c r="SYM197" s="2"/>
      <c r="SYN197" s="2"/>
      <c r="SYO197" s="2"/>
      <c r="SYP197" s="2"/>
      <c r="SYQ197" s="2"/>
      <c r="SYR197" s="2"/>
      <c r="SYS197" s="2"/>
      <c r="SYT197" s="2"/>
      <c r="SYU197" s="2"/>
      <c r="SYV197" s="2"/>
      <c r="SYW197" s="2"/>
      <c r="SYX197" s="2"/>
      <c r="SYY197" s="2"/>
      <c r="SYZ197" s="2"/>
      <c r="SZA197" s="2"/>
      <c r="SZB197" s="2"/>
      <c r="SZC197" s="2"/>
      <c r="SZD197" s="2"/>
      <c r="SZE197" s="2"/>
      <c r="SZF197" s="2"/>
      <c r="SZG197" s="2"/>
      <c r="SZH197" s="2"/>
      <c r="SZI197" s="2"/>
      <c r="SZJ197" s="2"/>
      <c r="SZK197" s="2"/>
      <c r="SZL197" s="2"/>
      <c r="SZM197" s="2"/>
      <c r="SZN197" s="2"/>
      <c r="SZO197" s="2"/>
      <c r="SZP197" s="2"/>
      <c r="SZQ197" s="2"/>
      <c r="SZR197" s="2"/>
      <c r="SZS197" s="2"/>
      <c r="SZT197" s="2"/>
      <c r="SZU197" s="2"/>
      <c r="SZV197" s="2"/>
      <c r="SZW197" s="2"/>
      <c r="SZX197" s="2"/>
      <c r="SZY197" s="2"/>
      <c r="SZZ197" s="2"/>
      <c r="TAA197" s="2"/>
      <c r="TAB197" s="2"/>
      <c r="TAC197" s="2"/>
      <c r="TAD197" s="2"/>
      <c r="TAE197" s="2"/>
      <c r="TAF197" s="2"/>
      <c r="TAG197" s="2"/>
      <c r="TAH197" s="2"/>
      <c r="TAI197" s="2"/>
      <c r="TAJ197" s="2"/>
      <c r="TAK197" s="2"/>
      <c r="TAL197" s="2"/>
      <c r="TAM197" s="2"/>
      <c r="TAN197" s="2"/>
      <c r="TAO197" s="2"/>
      <c r="TAP197" s="2"/>
      <c r="TAQ197" s="2"/>
      <c r="TAR197" s="2"/>
      <c r="TAS197" s="2"/>
      <c r="TAT197" s="2"/>
      <c r="TAU197" s="2"/>
      <c r="TAV197" s="2"/>
      <c r="TAW197" s="2"/>
      <c r="TAX197" s="2"/>
      <c r="TAY197" s="2"/>
      <c r="TAZ197" s="2"/>
      <c r="TBA197" s="2"/>
      <c r="TBB197" s="2"/>
      <c r="TBC197" s="2"/>
      <c r="TBD197" s="2"/>
      <c r="TBE197" s="2"/>
      <c r="TBF197" s="2"/>
      <c r="TBG197" s="2"/>
      <c r="TBH197" s="2"/>
      <c r="TBI197" s="2"/>
      <c r="TBJ197" s="2"/>
      <c r="TBK197" s="2"/>
      <c r="TBL197" s="2"/>
      <c r="TBM197" s="2"/>
      <c r="TBN197" s="2"/>
      <c r="TBO197" s="2"/>
      <c r="TBP197" s="2"/>
      <c r="TBQ197" s="2"/>
      <c r="TBR197" s="2"/>
      <c r="TBS197" s="2"/>
      <c r="TBT197" s="2"/>
      <c r="TBU197" s="2"/>
      <c r="TBV197" s="2"/>
      <c r="TBW197" s="2"/>
      <c r="TBX197" s="2"/>
      <c r="TBY197" s="2"/>
      <c r="TBZ197" s="2"/>
      <c r="TCA197" s="2"/>
      <c r="TCB197" s="2"/>
      <c r="TCC197" s="2"/>
      <c r="TCD197" s="2"/>
      <c r="TCE197" s="2"/>
      <c r="TCF197" s="2"/>
      <c r="TCG197" s="2"/>
      <c r="TCH197" s="2"/>
      <c r="TCI197" s="2"/>
      <c r="TCJ197" s="2"/>
      <c r="TCK197" s="2"/>
      <c r="TCL197" s="2"/>
      <c r="TCM197" s="2"/>
      <c r="TCN197" s="2"/>
      <c r="TCO197" s="2"/>
      <c r="TCP197" s="2"/>
      <c r="TCQ197" s="2"/>
      <c r="TCR197" s="2"/>
      <c r="TCS197" s="2"/>
      <c r="TCT197" s="2"/>
      <c r="TCU197" s="2"/>
      <c r="TCV197" s="2"/>
      <c r="TCW197" s="2"/>
      <c r="TCX197" s="2"/>
      <c r="TCY197" s="2"/>
      <c r="TCZ197" s="2"/>
      <c r="TDA197" s="2"/>
      <c r="TDB197" s="2"/>
      <c r="TDC197" s="2"/>
      <c r="TDD197" s="2"/>
      <c r="TDE197" s="2"/>
      <c r="TDF197" s="2"/>
      <c r="TDG197" s="2"/>
      <c r="TDH197" s="2"/>
      <c r="TDI197" s="2"/>
      <c r="TDJ197" s="2"/>
      <c r="TDK197" s="2"/>
      <c r="TDL197" s="2"/>
      <c r="TDM197" s="2"/>
      <c r="TDN197" s="2"/>
      <c r="TDO197" s="2"/>
      <c r="TDP197" s="2"/>
      <c r="TDQ197" s="2"/>
      <c r="TDR197" s="2"/>
      <c r="TDS197" s="2"/>
      <c r="TDT197" s="2"/>
      <c r="TDU197" s="2"/>
      <c r="TDV197" s="2"/>
      <c r="TDW197" s="2"/>
      <c r="TDX197" s="2"/>
      <c r="TDY197" s="2"/>
      <c r="TDZ197" s="2"/>
      <c r="TEA197" s="2"/>
      <c r="TEB197" s="2"/>
      <c r="TEC197" s="2"/>
      <c r="TED197" s="2"/>
      <c r="TEE197" s="2"/>
      <c r="TEF197" s="2"/>
      <c r="TEG197" s="2"/>
      <c r="TEH197" s="2"/>
      <c r="TEI197" s="2"/>
      <c r="TEJ197" s="2"/>
      <c r="TEK197" s="2"/>
      <c r="TEL197" s="2"/>
      <c r="TEM197" s="2"/>
      <c r="TEN197" s="2"/>
      <c r="TEO197" s="2"/>
      <c r="TEP197" s="2"/>
      <c r="TEQ197" s="2"/>
      <c r="TER197" s="2"/>
      <c r="TES197" s="2"/>
      <c r="TET197" s="2"/>
      <c r="TEU197" s="2"/>
      <c r="TEV197" s="2"/>
      <c r="TEW197" s="2"/>
      <c r="TEX197" s="2"/>
      <c r="TEY197" s="2"/>
      <c r="TEZ197" s="2"/>
      <c r="TFA197" s="2"/>
      <c r="TFB197" s="2"/>
      <c r="TFC197" s="2"/>
      <c r="TFD197" s="2"/>
      <c r="TFE197" s="2"/>
      <c r="TFF197" s="2"/>
      <c r="TFG197" s="2"/>
      <c r="TFH197" s="2"/>
      <c r="TFI197" s="2"/>
      <c r="TFJ197" s="2"/>
      <c r="TFK197" s="2"/>
      <c r="TFL197" s="2"/>
      <c r="TFM197" s="2"/>
      <c r="TFN197" s="2"/>
      <c r="TFO197" s="2"/>
      <c r="TFP197" s="2"/>
      <c r="TFQ197" s="2"/>
      <c r="TFR197" s="2"/>
      <c r="TFS197" s="2"/>
      <c r="TFT197" s="2"/>
      <c r="TFU197" s="2"/>
      <c r="TFV197" s="2"/>
      <c r="TFW197" s="2"/>
      <c r="TFX197" s="2"/>
      <c r="TFY197" s="2"/>
      <c r="TFZ197" s="2"/>
      <c r="TGA197" s="2"/>
      <c r="TGB197" s="2"/>
      <c r="TGC197" s="2"/>
      <c r="TGD197" s="2"/>
      <c r="TGE197" s="2"/>
      <c r="TGF197" s="2"/>
      <c r="TGG197" s="2"/>
      <c r="TGH197" s="2"/>
      <c r="TGI197" s="2"/>
      <c r="TGJ197" s="2"/>
      <c r="TGK197" s="2"/>
      <c r="TGL197" s="2"/>
      <c r="TGM197" s="2"/>
      <c r="TGN197" s="2"/>
      <c r="TGO197" s="2"/>
      <c r="TGP197" s="2"/>
      <c r="TGQ197" s="2"/>
      <c r="TGR197" s="2"/>
      <c r="TGS197" s="2"/>
      <c r="TGT197" s="2"/>
      <c r="TGU197" s="2"/>
      <c r="TGV197" s="2"/>
      <c r="TGW197" s="2"/>
      <c r="TGX197" s="2"/>
      <c r="TGY197" s="2"/>
      <c r="TGZ197" s="2"/>
      <c r="THA197" s="2"/>
      <c r="THB197" s="2"/>
      <c r="THC197" s="2"/>
      <c r="THD197" s="2"/>
      <c r="THE197" s="2"/>
      <c r="THF197" s="2"/>
      <c r="THG197" s="2"/>
      <c r="THH197" s="2"/>
      <c r="THI197" s="2"/>
      <c r="THJ197" s="2"/>
      <c r="THK197" s="2"/>
      <c r="THL197" s="2"/>
      <c r="THM197" s="2"/>
      <c r="THN197" s="2"/>
      <c r="THO197" s="2"/>
      <c r="THP197" s="2"/>
      <c r="THQ197" s="2"/>
      <c r="THR197" s="2"/>
      <c r="THS197" s="2"/>
      <c r="THT197" s="2"/>
      <c r="THU197" s="2"/>
      <c r="THV197" s="2"/>
      <c r="THW197" s="2"/>
      <c r="THX197" s="2"/>
      <c r="THY197" s="2"/>
      <c r="THZ197" s="2"/>
      <c r="TIA197" s="2"/>
      <c r="TIB197" s="2"/>
      <c r="TIC197" s="2"/>
      <c r="TID197" s="2"/>
      <c r="TIE197" s="2"/>
      <c r="TIF197" s="2"/>
      <c r="TIG197" s="2"/>
      <c r="TIH197" s="2"/>
      <c r="TII197" s="2"/>
      <c r="TIJ197" s="2"/>
      <c r="TIK197" s="2"/>
      <c r="TIL197" s="2"/>
      <c r="TIM197" s="2"/>
      <c r="TIN197" s="2"/>
      <c r="TIO197" s="2"/>
      <c r="TIP197" s="2"/>
      <c r="TIQ197" s="2"/>
      <c r="TIR197" s="2"/>
      <c r="TIS197" s="2"/>
      <c r="TIT197" s="2"/>
      <c r="TIU197" s="2"/>
      <c r="TIV197" s="2"/>
      <c r="TIW197" s="2"/>
      <c r="TIX197" s="2"/>
      <c r="TIY197" s="2"/>
      <c r="TIZ197" s="2"/>
      <c r="TJA197" s="2"/>
      <c r="TJB197" s="2"/>
      <c r="TJC197" s="2"/>
      <c r="TJD197" s="2"/>
      <c r="TJE197" s="2"/>
      <c r="TJF197" s="2"/>
      <c r="TJG197" s="2"/>
      <c r="TJH197" s="2"/>
      <c r="TJI197" s="2"/>
      <c r="TJJ197" s="2"/>
      <c r="TJK197" s="2"/>
      <c r="TJL197" s="2"/>
      <c r="TJM197" s="2"/>
      <c r="TJN197" s="2"/>
      <c r="TJO197" s="2"/>
      <c r="TJP197" s="2"/>
      <c r="TJQ197" s="2"/>
      <c r="TJR197" s="2"/>
      <c r="TJS197" s="2"/>
      <c r="TJT197" s="2"/>
      <c r="TJU197" s="2"/>
      <c r="TJV197" s="2"/>
      <c r="TJW197" s="2"/>
      <c r="TJX197" s="2"/>
      <c r="TJY197" s="2"/>
      <c r="TJZ197" s="2"/>
      <c r="TKA197" s="2"/>
      <c r="TKB197" s="2"/>
      <c r="TKC197" s="2"/>
      <c r="TKD197" s="2"/>
      <c r="TKE197" s="2"/>
      <c r="TKF197" s="2"/>
      <c r="TKG197" s="2"/>
      <c r="TKH197" s="2"/>
      <c r="TKI197" s="2"/>
      <c r="TKJ197" s="2"/>
      <c r="TKK197" s="2"/>
      <c r="TKL197" s="2"/>
      <c r="TKM197" s="2"/>
      <c r="TKN197" s="2"/>
      <c r="TKO197" s="2"/>
      <c r="TKP197" s="2"/>
      <c r="TKQ197" s="2"/>
      <c r="TKR197" s="2"/>
      <c r="TKS197" s="2"/>
      <c r="TKT197" s="2"/>
      <c r="TKU197" s="2"/>
      <c r="TKV197" s="2"/>
      <c r="TKW197" s="2"/>
      <c r="TKX197" s="2"/>
      <c r="TKY197" s="2"/>
      <c r="TKZ197" s="2"/>
      <c r="TLA197" s="2"/>
      <c r="TLB197" s="2"/>
      <c r="TLC197" s="2"/>
      <c r="TLD197" s="2"/>
      <c r="TLE197" s="2"/>
      <c r="TLF197" s="2"/>
      <c r="TLG197" s="2"/>
      <c r="TLH197" s="2"/>
      <c r="TLI197" s="2"/>
      <c r="TLJ197" s="2"/>
      <c r="TLK197" s="2"/>
      <c r="TLL197" s="2"/>
      <c r="TLM197" s="2"/>
      <c r="TLN197" s="2"/>
      <c r="TLO197" s="2"/>
      <c r="TLP197" s="2"/>
      <c r="TLQ197" s="2"/>
      <c r="TLR197" s="2"/>
      <c r="TLS197" s="2"/>
      <c r="TLT197" s="2"/>
      <c r="TLU197" s="2"/>
      <c r="TLV197" s="2"/>
      <c r="TLW197" s="2"/>
      <c r="TLX197" s="2"/>
      <c r="TLY197" s="2"/>
      <c r="TLZ197" s="2"/>
      <c r="TMA197" s="2"/>
      <c r="TMB197" s="2"/>
      <c r="TMC197" s="2"/>
      <c r="TMD197" s="2"/>
      <c r="TME197" s="2"/>
      <c r="TMF197" s="2"/>
      <c r="TMG197" s="2"/>
      <c r="TMH197" s="2"/>
      <c r="TMI197" s="2"/>
      <c r="TMJ197" s="2"/>
      <c r="TMK197" s="2"/>
      <c r="TML197" s="2"/>
      <c r="TMM197" s="2"/>
      <c r="TMN197" s="2"/>
      <c r="TMO197" s="2"/>
      <c r="TMP197" s="2"/>
      <c r="TMQ197" s="2"/>
      <c r="TMR197" s="2"/>
      <c r="TMS197" s="2"/>
      <c r="TMT197" s="2"/>
      <c r="TMU197" s="2"/>
      <c r="TMV197" s="2"/>
      <c r="TMW197" s="2"/>
      <c r="TMX197" s="2"/>
      <c r="TMY197" s="2"/>
      <c r="TMZ197" s="2"/>
      <c r="TNA197" s="2"/>
      <c r="TNB197" s="2"/>
      <c r="TNC197" s="2"/>
      <c r="TND197" s="2"/>
      <c r="TNE197" s="2"/>
      <c r="TNF197" s="2"/>
      <c r="TNG197" s="2"/>
      <c r="TNH197" s="2"/>
      <c r="TNI197" s="2"/>
      <c r="TNJ197" s="2"/>
      <c r="TNK197" s="2"/>
      <c r="TNL197" s="2"/>
      <c r="TNM197" s="2"/>
      <c r="TNN197" s="2"/>
      <c r="TNO197" s="2"/>
      <c r="TNP197" s="2"/>
      <c r="TNQ197" s="2"/>
      <c r="TNR197" s="2"/>
      <c r="TNS197" s="2"/>
      <c r="TNT197" s="2"/>
      <c r="TNU197" s="2"/>
      <c r="TNV197" s="2"/>
      <c r="TNW197" s="2"/>
      <c r="TNX197" s="2"/>
      <c r="TNY197" s="2"/>
      <c r="TNZ197" s="2"/>
      <c r="TOA197" s="2"/>
      <c r="TOB197" s="2"/>
      <c r="TOC197" s="2"/>
      <c r="TOD197" s="2"/>
      <c r="TOE197" s="2"/>
      <c r="TOF197" s="2"/>
      <c r="TOG197" s="2"/>
      <c r="TOH197" s="2"/>
      <c r="TOI197" s="2"/>
      <c r="TOJ197" s="2"/>
      <c r="TOK197" s="2"/>
      <c r="TOL197" s="2"/>
      <c r="TOM197" s="2"/>
      <c r="TON197" s="2"/>
      <c r="TOO197" s="2"/>
      <c r="TOP197" s="2"/>
      <c r="TOQ197" s="2"/>
      <c r="TOR197" s="2"/>
      <c r="TOS197" s="2"/>
      <c r="TOT197" s="2"/>
      <c r="TOU197" s="2"/>
      <c r="TOV197" s="2"/>
      <c r="TOW197" s="2"/>
      <c r="TOX197" s="2"/>
      <c r="TOY197" s="2"/>
      <c r="TOZ197" s="2"/>
      <c r="TPA197" s="2"/>
      <c r="TPB197" s="2"/>
      <c r="TPC197" s="2"/>
      <c r="TPD197" s="2"/>
      <c r="TPE197" s="2"/>
      <c r="TPF197" s="2"/>
      <c r="TPG197" s="2"/>
      <c r="TPH197" s="2"/>
      <c r="TPI197" s="2"/>
      <c r="TPJ197" s="2"/>
      <c r="TPK197" s="2"/>
      <c r="TPL197" s="2"/>
      <c r="TPM197" s="2"/>
      <c r="TPN197" s="2"/>
      <c r="TPO197" s="2"/>
      <c r="TPP197" s="2"/>
      <c r="TPQ197" s="2"/>
      <c r="TPR197" s="2"/>
      <c r="TPS197" s="2"/>
      <c r="TPT197" s="2"/>
      <c r="TPU197" s="2"/>
      <c r="TPV197" s="2"/>
      <c r="TPW197" s="2"/>
      <c r="TPX197" s="2"/>
      <c r="TPY197" s="2"/>
      <c r="TPZ197" s="2"/>
      <c r="TQA197" s="2"/>
      <c r="TQB197" s="2"/>
      <c r="TQC197" s="2"/>
      <c r="TQD197" s="2"/>
      <c r="TQE197" s="2"/>
      <c r="TQF197" s="2"/>
      <c r="TQG197" s="2"/>
      <c r="TQH197" s="2"/>
      <c r="TQI197" s="2"/>
      <c r="TQJ197" s="2"/>
      <c r="TQK197" s="2"/>
      <c r="TQL197" s="2"/>
      <c r="TQM197" s="2"/>
      <c r="TQN197" s="2"/>
      <c r="TQO197" s="2"/>
      <c r="TQP197" s="2"/>
      <c r="TQQ197" s="2"/>
      <c r="TQR197" s="2"/>
      <c r="TQS197" s="2"/>
      <c r="TQT197" s="2"/>
      <c r="TQU197" s="2"/>
      <c r="TQV197" s="2"/>
      <c r="TQW197" s="2"/>
      <c r="TQX197" s="2"/>
      <c r="TQY197" s="2"/>
      <c r="TQZ197" s="2"/>
      <c r="TRA197" s="2"/>
      <c r="TRB197" s="2"/>
      <c r="TRC197" s="2"/>
      <c r="TRD197" s="2"/>
      <c r="TRE197" s="2"/>
      <c r="TRF197" s="2"/>
      <c r="TRG197" s="2"/>
      <c r="TRH197" s="2"/>
      <c r="TRI197" s="2"/>
      <c r="TRJ197" s="2"/>
      <c r="TRK197" s="2"/>
      <c r="TRL197" s="2"/>
      <c r="TRM197" s="2"/>
      <c r="TRN197" s="2"/>
      <c r="TRO197" s="2"/>
      <c r="TRP197" s="2"/>
      <c r="TRQ197" s="2"/>
      <c r="TRR197" s="2"/>
      <c r="TRS197" s="2"/>
      <c r="TRT197" s="2"/>
      <c r="TRU197" s="2"/>
      <c r="TRV197" s="2"/>
      <c r="TRW197" s="2"/>
      <c r="TRX197" s="2"/>
      <c r="TRY197" s="2"/>
      <c r="TRZ197" s="2"/>
      <c r="TSA197" s="2"/>
      <c r="TSB197" s="2"/>
      <c r="TSC197" s="2"/>
      <c r="TSD197" s="2"/>
      <c r="TSE197" s="2"/>
      <c r="TSF197" s="2"/>
      <c r="TSG197" s="2"/>
      <c r="TSH197" s="2"/>
      <c r="TSI197" s="2"/>
      <c r="TSJ197" s="2"/>
      <c r="TSK197" s="2"/>
      <c r="TSL197" s="2"/>
      <c r="TSM197" s="2"/>
      <c r="TSN197" s="2"/>
      <c r="TSO197" s="2"/>
      <c r="TSP197" s="2"/>
      <c r="TSQ197" s="2"/>
      <c r="TSR197" s="2"/>
      <c r="TSS197" s="2"/>
      <c r="TST197" s="2"/>
      <c r="TSU197" s="2"/>
      <c r="TSV197" s="2"/>
      <c r="TSW197" s="2"/>
      <c r="TSX197" s="2"/>
      <c r="TSY197" s="2"/>
      <c r="TSZ197" s="2"/>
      <c r="TTA197" s="2"/>
      <c r="TTB197" s="2"/>
      <c r="TTC197" s="2"/>
      <c r="TTD197" s="2"/>
      <c r="TTE197" s="2"/>
      <c r="TTF197" s="2"/>
      <c r="TTG197" s="2"/>
      <c r="TTH197" s="2"/>
      <c r="TTI197" s="2"/>
      <c r="TTJ197" s="2"/>
      <c r="TTK197" s="2"/>
      <c r="TTL197" s="2"/>
      <c r="TTM197" s="2"/>
      <c r="TTN197" s="2"/>
      <c r="TTO197" s="2"/>
      <c r="TTP197" s="2"/>
      <c r="TTQ197" s="2"/>
      <c r="TTR197" s="2"/>
      <c r="TTS197" s="2"/>
      <c r="TTT197" s="2"/>
      <c r="TTU197" s="2"/>
      <c r="TTV197" s="2"/>
      <c r="TTW197" s="2"/>
      <c r="TTX197" s="2"/>
      <c r="TTY197" s="2"/>
      <c r="TTZ197" s="2"/>
      <c r="TUA197" s="2"/>
      <c r="TUB197" s="2"/>
      <c r="TUC197" s="2"/>
      <c r="TUD197" s="2"/>
      <c r="TUE197" s="2"/>
      <c r="TUF197" s="2"/>
      <c r="TUG197" s="2"/>
      <c r="TUH197" s="2"/>
      <c r="TUI197" s="2"/>
      <c r="TUJ197" s="2"/>
      <c r="TUK197" s="2"/>
      <c r="TUL197" s="2"/>
      <c r="TUM197" s="2"/>
      <c r="TUN197" s="2"/>
      <c r="TUO197" s="2"/>
      <c r="TUP197" s="2"/>
      <c r="TUQ197" s="2"/>
      <c r="TUR197" s="2"/>
      <c r="TUS197" s="2"/>
      <c r="TUT197" s="2"/>
      <c r="TUU197" s="2"/>
      <c r="TUV197" s="2"/>
      <c r="TUW197" s="2"/>
      <c r="TUX197" s="2"/>
      <c r="TUY197" s="2"/>
      <c r="TUZ197" s="2"/>
      <c r="TVA197" s="2"/>
      <c r="TVB197" s="2"/>
      <c r="TVC197" s="2"/>
      <c r="TVD197" s="2"/>
      <c r="TVE197" s="2"/>
      <c r="TVF197" s="2"/>
      <c r="TVG197" s="2"/>
      <c r="TVH197" s="2"/>
      <c r="TVI197" s="2"/>
      <c r="TVJ197" s="2"/>
      <c r="TVK197" s="2"/>
      <c r="TVL197" s="2"/>
      <c r="TVM197" s="2"/>
      <c r="TVN197" s="2"/>
      <c r="TVO197" s="2"/>
      <c r="TVP197" s="2"/>
      <c r="TVQ197" s="2"/>
      <c r="TVR197" s="2"/>
      <c r="TVS197" s="2"/>
      <c r="TVT197" s="2"/>
      <c r="TVU197" s="2"/>
      <c r="TVV197" s="2"/>
      <c r="TVW197" s="2"/>
      <c r="TVX197" s="2"/>
      <c r="TVY197" s="2"/>
      <c r="TVZ197" s="2"/>
      <c r="TWA197" s="2"/>
      <c r="TWB197" s="2"/>
      <c r="TWC197" s="2"/>
      <c r="TWD197" s="2"/>
      <c r="TWE197" s="2"/>
      <c r="TWF197" s="2"/>
      <c r="TWG197" s="2"/>
      <c r="TWH197" s="2"/>
      <c r="TWI197" s="2"/>
      <c r="TWJ197" s="2"/>
      <c r="TWK197" s="2"/>
      <c r="TWL197" s="2"/>
      <c r="TWM197" s="2"/>
      <c r="TWN197" s="2"/>
      <c r="TWO197" s="2"/>
      <c r="TWP197" s="2"/>
      <c r="TWQ197" s="2"/>
      <c r="TWR197" s="2"/>
      <c r="TWS197" s="2"/>
      <c r="TWT197" s="2"/>
      <c r="TWU197" s="2"/>
      <c r="TWV197" s="2"/>
      <c r="TWW197" s="2"/>
      <c r="TWX197" s="2"/>
      <c r="TWY197" s="2"/>
      <c r="TWZ197" s="2"/>
      <c r="TXA197" s="2"/>
      <c r="TXB197" s="2"/>
      <c r="TXC197" s="2"/>
      <c r="TXD197" s="2"/>
      <c r="TXE197" s="2"/>
      <c r="TXF197" s="2"/>
      <c r="TXG197" s="2"/>
      <c r="TXH197" s="2"/>
      <c r="TXI197" s="2"/>
      <c r="TXJ197" s="2"/>
      <c r="TXK197" s="2"/>
      <c r="TXL197" s="2"/>
      <c r="TXM197" s="2"/>
      <c r="TXN197" s="2"/>
      <c r="TXO197" s="2"/>
      <c r="TXP197" s="2"/>
      <c r="TXQ197" s="2"/>
      <c r="TXR197" s="2"/>
      <c r="TXS197" s="2"/>
      <c r="TXT197" s="2"/>
      <c r="TXU197" s="2"/>
      <c r="TXV197" s="2"/>
      <c r="TXW197" s="2"/>
      <c r="TXX197" s="2"/>
      <c r="TXY197" s="2"/>
      <c r="TXZ197" s="2"/>
      <c r="TYA197" s="2"/>
      <c r="TYB197" s="2"/>
      <c r="TYC197" s="2"/>
      <c r="TYD197" s="2"/>
      <c r="TYE197" s="2"/>
      <c r="TYF197" s="2"/>
      <c r="TYG197" s="2"/>
      <c r="TYH197" s="2"/>
      <c r="TYI197" s="2"/>
      <c r="TYJ197" s="2"/>
      <c r="TYK197" s="2"/>
      <c r="TYL197" s="2"/>
      <c r="TYM197" s="2"/>
      <c r="TYN197" s="2"/>
      <c r="TYO197" s="2"/>
      <c r="TYP197" s="2"/>
      <c r="TYQ197" s="2"/>
      <c r="TYR197" s="2"/>
      <c r="TYS197" s="2"/>
      <c r="TYT197" s="2"/>
      <c r="TYU197" s="2"/>
      <c r="TYV197" s="2"/>
      <c r="TYW197" s="2"/>
      <c r="TYX197" s="2"/>
      <c r="TYY197" s="2"/>
      <c r="TYZ197" s="2"/>
      <c r="TZA197" s="2"/>
      <c r="TZB197" s="2"/>
      <c r="TZC197" s="2"/>
      <c r="TZD197" s="2"/>
      <c r="TZE197" s="2"/>
      <c r="TZF197" s="2"/>
      <c r="TZG197" s="2"/>
      <c r="TZH197" s="2"/>
      <c r="TZI197" s="2"/>
      <c r="TZJ197" s="2"/>
      <c r="TZK197" s="2"/>
      <c r="TZL197" s="2"/>
      <c r="TZM197" s="2"/>
      <c r="TZN197" s="2"/>
      <c r="TZO197" s="2"/>
      <c r="TZP197" s="2"/>
      <c r="TZQ197" s="2"/>
      <c r="TZR197" s="2"/>
      <c r="TZS197" s="2"/>
      <c r="TZT197" s="2"/>
      <c r="TZU197" s="2"/>
      <c r="TZV197" s="2"/>
      <c r="TZW197" s="2"/>
      <c r="TZX197" s="2"/>
      <c r="TZY197" s="2"/>
      <c r="TZZ197" s="2"/>
      <c r="UAA197" s="2"/>
      <c r="UAB197" s="2"/>
      <c r="UAC197" s="2"/>
      <c r="UAD197" s="2"/>
      <c r="UAE197" s="2"/>
      <c r="UAF197" s="2"/>
      <c r="UAG197" s="2"/>
      <c r="UAH197" s="2"/>
      <c r="UAI197" s="2"/>
      <c r="UAJ197" s="2"/>
      <c r="UAK197" s="2"/>
      <c r="UAL197" s="2"/>
      <c r="UAM197" s="2"/>
      <c r="UAN197" s="2"/>
      <c r="UAO197" s="2"/>
      <c r="UAP197" s="2"/>
      <c r="UAQ197" s="2"/>
      <c r="UAR197" s="2"/>
      <c r="UAS197" s="2"/>
      <c r="UAT197" s="2"/>
      <c r="UAU197" s="2"/>
      <c r="UAV197" s="2"/>
      <c r="UAW197" s="2"/>
      <c r="UAX197" s="2"/>
      <c r="UAY197" s="2"/>
      <c r="UAZ197" s="2"/>
      <c r="UBA197" s="2"/>
      <c r="UBB197" s="2"/>
      <c r="UBC197" s="2"/>
      <c r="UBD197" s="2"/>
      <c r="UBE197" s="2"/>
      <c r="UBF197" s="2"/>
      <c r="UBG197" s="2"/>
      <c r="UBH197" s="2"/>
      <c r="UBI197" s="2"/>
      <c r="UBJ197" s="2"/>
      <c r="UBK197" s="2"/>
      <c r="UBL197" s="2"/>
      <c r="UBM197" s="2"/>
      <c r="UBN197" s="2"/>
      <c r="UBO197" s="2"/>
      <c r="UBP197" s="2"/>
      <c r="UBQ197" s="2"/>
      <c r="UBR197" s="2"/>
      <c r="UBS197" s="2"/>
      <c r="UBT197" s="2"/>
      <c r="UBU197" s="2"/>
      <c r="UBV197" s="2"/>
      <c r="UBW197" s="2"/>
      <c r="UBX197" s="2"/>
      <c r="UBY197" s="2"/>
      <c r="UBZ197" s="2"/>
      <c r="UCA197" s="2"/>
      <c r="UCB197" s="2"/>
      <c r="UCC197" s="2"/>
      <c r="UCD197" s="2"/>
      <c r="UCE197" s="2"/>
      <c r="UCF197" s="2"/>
      <c r="UCG197" s="2"/>
      <c r="UCH197" s="2"/>
      <c r="UCI197" s="2"/>
      <c r="UCJ197" s="2"/>
      <c r="UCK197" s="2"/>
      <c r="UCL197" s="2"/>
      <c r="UCM197" s="2"/>
      <c r="UCN197" s="2"/>
      <c r="UCO197" s="2"/>
      <c r="UCP197" s="2"/>
      <c r="UCQ197" s="2"/>
      <c r="UCR197" s="2"/>
      <c r="UCS197" s="2"/>
      <c r="UCT197" s="2"/>
      <c r="UCU197" s="2"/>
      <c r="UCV197" s="2"/>
      <c r="UCW197" s="2"/>
      <c r="UCX197" s="2"/>
      <c r="UCY197" s="2"/>
      <c r="UCZ197" s="2"/>
      <c r="UDA197" s="2"/>
      <c r="UDB197" s="2"/>
      <c r="UDC197" s="2"/>
      <c r="UDD197" s="2"/>
      <c r="UDE197" s="2"/>
      <c r="UDF197" s="2"/>
      <c r="UDG197" s="2"/>
      <c r="UDH197" s="2"/>
      <c r="UDI197" s="2"/>
      <c r="UDJ197" s="2"/>
      <c r="UDK197" s="2"/>
      <c r="UDL197" s="2"/>
      <c r="UDM197" s="2"/>
      <c r="UDN197" s="2"/>
      <c r="UDO197" s="2"/>
      <c r="UDP197" s="2"/>
      <c r="UDQ197" s="2"/>
      <c r="UDR197" s="2"/>
      <c r="UDS197" s="2"/>
      <c r="UDT197" s="2"/>
      <c r="UDU197" s="2"/>
      <c r="UDV197" s="2"/>
      <c r="UDW197" s="2"/>
      <c r="UDX197" s="2"/>
      <c r="UDY197" s="2"/>
      <c r="UDZ197" s="2"/>
      <c r="UEA197" s="2"/>
      <c r="UEB197" s="2"/>
      <c r="UEC197" s="2"/>
      <c r="UED197" s="2"/>
      <c r="UEE197" s="2"/>
      <c r="UEF197" s="2"/>
      <c r="UEG197" s="2"/>
      <c r="UEH197" s="2"/>
      <c r="UEI197" s="2"/>
      <c r="UEJ197" s="2"/>
      <c r="UEK197" s="2"/>
      <c r="UEL197" s="2"/>
      <c r="UEM197" s="2"/>
      <c r="UEN197" s="2"/>
      <c r="UEO197" s="2"/>
      <c r="UEP197" s="2"/>
      <c r="UEQ197" s="2"/>
      <c r="UER197" s="2"/>
      <c r="UES197" s="2"/>
      <c r="UET197" s="2"/>
      <c r="UEU197" s="2"/>
      <c r="UEV197" s="2"/>
      <c r="UEW197" s="2"/>
      <c r="UEX197" s="2"/>
      <c r="UEY197" s="2"/>
      <c r="UEZ197" s="2"/>
      <c r="UFA197" s="2"/>
      <c r="UFB197" s="2"/>
      <c r="UFC197" s="2"/>
      <c r="UFD197" s="2"/>
      <c r="UFE197" s="2"/>
      <c r="UFF197" s="2"/>
      <c r="UFG197" s="2"/>
      <c r="UFH197" s="2"/>
      <c r="UFI197" s="2"/>
      <c r="UFJ197" s="2"/>
      <c r="UFK197" s="2"/>
      <c r="UFL197" s="2"/>
      <c r="UFM197" s="2"/>
      <c r="UFN197" s="2"/>
      <c r="UFO197" s="2"/>
      <c r="UFP197" s="2"/>
      <c r="UFQ197" s="2"/>
      <c r="UFR197" s="2"/>
      <c r="UFS197" s="2"/>
      <c r="UFT197" s="2"/>
      <c r="UFU197" s="2"/>
      <c r="UFV197" s="2"/>
      <c r="UFW197" s="2"/>
      <c r="UFX197" s="2"/>
      <c r="UFY197" s="2"/>
      <c r="UFZ197" s="2"/>
      <c r="UGA197" s="2"/>
      <c r="UGB197" s="2"/>
      <c r="UGC197" s="2"/>
      <c r="UGD197" s="2"/>
      <c r="UGE197" s="2"/>
      <c r="UGF197" s="2"/>
      <c r="UGG197" s="2"/>
      <c r="UGH197" s="2"/>
      <c r="UGI197" s="2"/>
      <c r="UGJ197" s="2"/>
      <c r="UGK197" s="2"/>
      <c r="UGL197" s="2"/>
      <c r="UGM197" s="2"/>
      <c r="UGN197" s="2"/>
      <c r="UGO197" s="2"/>
      <c r="UGP197" s="2"/>
      <c r="UGQ197" s="2"/>
      <c r="UGR197" s="2"/>
      <c r="UGS197" s="2"/>
      <c r="UGT197" s="2"/>
      <c r="UGU197" s="2"/>
      <c r="UGV197" s="2"/>
      <c r="UGW197" s="2"/>
      <c r="UGX197" s="2"/>
      <c r="UGY197" s="2"/>
      <c r="UGZ197" s="2"/>
      <c r="UHA197" s="2"/>
      <c r="UHB197" s="2"/>
      <c r="UHC197" s="2"/>
      <c r="UHD197" s="2"/>
      <c r="UHE197" s="2"/>
      <c r="UHF197" s="2"/>
      <c r="UHG197" s="2"/>
      <c r="UHH197" s="2"/>
      <c r="UHI197" s="2"/>
      <c r="UHJ197" s="2"/>
      <c r="UHK197" s="2"/>
      <c r="UHL197" s="2"/>
      <c r="UHM197" s="2"/>
      <c r="UHN197" s="2"/>
      <c r="UHO197" s="2"/>
      <c r="UHP197" s="2"/>
      <c r="UHQ197" s="2"/>
      <c r="UHR197" s="2"/>
      <c r="UHS197" s="2"/>
      <c r="UHT197" s="2"/>
      <c r="UHU197" s="2"/>
      <c r="UHV197" s="2"/>
      <c r="UHW197" s="2"/>
      <c r="UHX197" s="2"/>
      <c r="UHY197" s="2"/>
      <c r="UHZ197" s="2"/>
      <c r="UIA197" s="2"/>
      <c r="UIB197" s="2"/>
      <c r="UIC197" s="2"/>
      <c r="UID197" s="2"/>
      <c r="UIE197" s="2"/>
      <c r="UIF197" s="2"/>
      <c r="UIG197" s="2"/>
      <c r="UIH197" s="2"/>
      <c r="UII197" s="2"/>
      <c r="UIJ197" s="2"/>
      <c r="UIK197" s="2"/>
      <c r="UIL197" s="2"/>
      <c r="UIM197" s="2"/>
      <c r="UIN197" s="2"/>
      <c r="UIO197" s="2"/>
      <c r="UIP197" s="2"/>
      <c r="UIQ197" s="2"/>
      <c r="UIR197" s="2"/>
      <c r="UIS197" s="2"/>
      <c r="UIT197" s="2"/>
      <c r="UIU197" s="2"/>
      <c r="UIV197" s="2"/>
      <c r="UIW197" s="2"/>
      <c r="UIX197" s="2"/>
      <c r="UIY197" s="2"/>
      <c r="UIZ197" s="2"/>
      <c r="UJA197" s="2"/>
      <c r="UJB197" s="2"/>
      <c r="UJC197" s="2"/>
      <c r="UJD197" s="2"/>
      <c r="UJE197" s="2"/>
      <c r="UJF197" s="2"/>
      <c r="UJG197" s="2"/>
      <c r="UJH197" s="2"/>
      <c r="UJI197" s="2"/>
      <c r="UJJ197" s="2"/>
      <c r="UJK197" s="2"/>
      <c r="UJL197" s="2"/>
      <c r="UJM197" s="2"/>
      <c r="UJN197" s="2"/>
      <c r="UJO197" s="2"/>
      <c r="UJP197" s="2"/>
      <c r="UJQ197" s="2"/>
      <c r="UJR197" s="2"/>
      <c r="UJS197" s="2"/>
      <c r="UJT197" s="2"/>
      <c r="UJU197" s="2"/>
      <c r="UJV197" s="2"/>
      <c r="UJW197" s="2"/>
      <c r="UJX197" s="2"/>
      <c r="UJY197" s="2"/>
      <c r="UJZ197" s="2"/>
      <c r="UKA197" s="2"/>
      <c r="UKB197" s="2"/>
      <c r="UKC197" s="2"/>
      <c r="UKD197" s="2"/>
      <c r="UKE197" s="2"/>
      <c r="UKF197" s="2"/>
      <c r="UKG197" s="2"/>
      <c r="UKH197" s="2"/>
      <c r="UKI197" s="2"/>
      <c r="UKJ197" s="2"/>
      <c r="UKK197" s="2"/>
      <c r="UKL197" s="2"/>
      <c r="UKM197" s="2"/>
      <c r="UKN197" s="2"/>
      <c r="UKO197" s="2"/>
      <c r="UKP197" s="2"/>
      <c r="UKQ197" s="2"/>
      <c r="UKR197" s="2"/>
      <c r="UKS197" s="2"/>
      <c r="UKT197" s="2"/>
      <c r="UKU197" s="2"/>
      <c r="UKV197" s="2"/>
      <c r="UKW197" s="2"/>
      <c r="UKX197" s="2"/>
      <c r="UKY197" s="2"/>
      <c r="UKZ197" s="2"/>
      <c r="ULA197" s="2"/>
      <c r="ULB197" s="2"/>
      <c r="ULC197" s="2"/>
      <c r="ULD197" s="2"/>
      <c r="ULE197" s="2"/>
      <c r="ULF197" s="2"/>
      <c r="ULG197" s="2"/>
      <c r="ULH197" s="2"/>
      <c r="ULI197" s="2"/>
      <c r="ULJ197" s="2"/>
      <c r="ULK197" s="2"/>
      <c r="ULL197" s="2"/>
      <c r="ULM197" s="2"/>
      <c r="ULN197" s="2"/>
      <c r="ULO197" s="2"/>
      <c r="ULP197" s="2"/>
      <c r="ULQ197" s="2"/>
      <c r="ULR197" s="2"/>
      <c r="ULS197" s="2"/>
      <c r="ULT197" s="2"/>
      <c r="ULU197" s="2"/>
      <c r="ULV197" s="2"/>
      <c r="ULW197" s="2"/>
      <c r="ULX197" s="2"/>
      <c r="ULY197" s="2"/>
      <c r="ULZ197" s="2"/>
      <c r="UMA197" s="2"/>
      <c r="UMB197" s="2"/>
      <c r="UMC197" s="2"/>
      <c r="UMD197" s="2"/>
      <c r="UME197" s="2"/>
      <c r="UMF197" s="2"/>
      <c r="UMG197" s="2"/>
      <c r="UMH197" s="2"/>
      <c r="UMI197" s="2"/>
      <c r="UMJ197" s="2"/>
      <c r="UMK197" s="2"/>
      <c r="UML197" s="2"/>
      <c r="UMM197" s="2"/>
      <c r="UMN197" s="2"/>
      <c r="UMO197" s="2"/>
      <c r="UMP197" s="2"/>
      <c r="UMQ197" s="2"/>
      <c r="UMR197" s="2"/>
      <c r="UMS197" s="2"/>
      <c r="UMT197" s="2"/>
      <c r="UMU197" s="2"/>
      <c r="UMV197" s="2"/>
      <c r="UMW197" s="2"/>
      <c r="UMX197" s="2"/>
      <c r="UMY197" s="2"/>
      <c r="UMZ197" s="2"/>
      <c r="UNA197" s="2"/>
      <c r="UNB197" s="2"/>
      <c r="UNC197" s="2"/>
      <c r="UND197" s="2"/>
      <c r="UNE197" s="2"/>
      <c r="UNF197" s="2"/>
      <c r="UNG197" s="2"/>
      <c r="UNH197" s="2"/>
      <c r="UNI197" s="2"/>
      <c r="UNJ197" s="2"/>
      <c r="UNK197" s="2"/>
      <c r="UNL197" s="2"/>
      <c r="UNM197" s="2"/>
      <c r="UNN197" s="2"/>
      <c r="UNO197" s="2"/>
      <c r="UNP197" s="2"/>
      <c r="UNQ197" s="2"/>
      <c r="UNR197" s="2"/>
      <c r="UNS197" s="2"/>
      <c r="UNT197" s="2"/>
      <c r="UNU197" s="2"/>
      <c r="UNV197" s="2"/>
      <c r="UNW197" s="2"/>
      <c r="UNX197" s="2"/>
      <c r="UNY197" s="2"/>
      <c r="UNZ197" s="2"/>
      <c r="UOA197" s="2"/>
      <c r="UOB197" s="2"/>
      <c r="UOC197" s="2"/>
      <c r="UOD197" s="2"/>
      <c r="UOE197" s="2"/>
      <c r="UOF197" s="2"/>
      <c r="UOG197" s="2"/>
      <c r="UOH197" s="2"/>
      <c r="UOI197" s="2"/>
      <c r="UOJ197" s="2"/>
      <c r="UOK197" s="2"/>
      <c r="UOL197" s="2"/>
      <c r="UOM197" s="2"/>
      <c r="UON197" s="2"/>
      <c r="UOO197" s="2"/>
      <c r="UOP197" s="2"/>
      <c r="UOQ197" s="2"/>
      <c r="UOR197" s="2"/>
      <c r="UOS197" s="2"/>
      <c r="UOT197" s="2"/>
      <c r="UOU197" s="2"/>
      <c r="UOV197" s="2"/>
      <c r="UOW197" s="2"/>
      <c r="UOX197" s="2"/>
      <c r="UOY197" s="2"/>
      <c r="UOZ197" s="2"/>
      <c r="UPA197" s="2"/>
      <c r="UPB197" s="2"/>
      <c r="UPC197" s="2"/>
      <c r="UPD197" s="2"/>
      <c r="UPE197" s="2"/>
      <c r="UPF197" s="2"/>
      <c r="UPG197" s="2"/>
      <c r="UPH197" s="2"/>
      <c r="UPI197" s="2"/>
      <c r="UPJ197" s="2"/>
      <c r="UPK197" s="2"/>
      <c r="UPL197" s="2"/>
      <c r="UPM197" s="2"/>
      <c r="UPN197" s="2"/>
      <c r="UPO197" s="2"/>
      <c r="UPP197" s="2"/>
      <c r="UPQ197" s="2"/>
      <c r="UPR197" s="2"/>
      <c r="UPS197" s="2"/>
      <c r="UPT197" s="2"/>
      <c r="UPU197" s="2"/>
      <c r="UPV197" s="2"/>
      <c r="UPW197" s="2"/>
      <c r="UPX197" s="2"/>
      <c r="UPY197" s="2"/>
      <c r="UPZ197" s="2"/>
      <c r="UQA197" s="2"/>
      <c r="UQB197" s="2"/>
      <c r="UQC197" s="2"/>
      <c r="UQD197" s="2"/>
      <c r="UQE197" s="2"/>
      <c r="UQF197" s="2"/>
      <c r="UQG197" s="2"/>
      <c r="UQH197" s="2"/>
      <c r="UQI197" s="2"/>
      <c r="UQJ197" s="2"/>
      <c r="UQK197" s="2"/>
      <c r="UQL197" s="2"/>
      <c r="UQM197" s="2"/>
      <c r="UQN197" s="2"/>
      <c r="UQO197" s="2"/>
      <c r="UQP197" s="2"/>
      <c r="UQQ197" s="2"/>
      <c r="UQR197" s="2"/>
      <c r="UQS197" s="2"/>
      <c r="UQT197" s="2"/>
      <c r="UQU197" s="2"/>
      <c r="UQV197" s="2"/>
      <c r="UQW197" s="2"/>
      <c r="UQX197" s="2"/>
      <c r="UQY197" s="2"/>
      <c r="UQZ197" s="2"/>
      <c r="URA197" s="2"/>
      <c r="URB197" s="2"/>
      <c r="URC197" s="2"/>
      <c r="URD197" s="2"/>
      <c r="URE197" s="2"/>
      <c r="URF197" s="2"/>
      <c r="URG197" s="2"/>
      <c r="URH197" s="2"/>
      <c r="URI197" s="2"/>
      <c r="URJ197" s="2"/>
      <c r="URK197" s="2"/>
      <c r="URL197" s="2"/>
      <c r="URM197" s="2"/>
      <c r="URN197" s="2"/>
      <c r="URO197" s="2"/>
      <c r="URP197" s="2"/>
      <c r="URQ197" s="2"/>
      <c r="URR197" s="2"/>
      <c r="URS197" s="2"/>
      <c r="URT197" s="2"/>
      <c r="URU197" s="2"/>
      <c r="URV197" s="2"/>
      <c r="URW197" s="2"/>
      <c r="URX197" s="2"/>
      <c r="URY197" s="2"/>
      <c r="URZ197" s="2"/>
      <c r="USA197" s="2"/>
      <c r="USB197" s="2"/>
      <c r="USC197" s="2"/>
      <c r="USD197" s="2"/>
      <c r="USE197" s="2"/>
      <c r="USF197" s="2"/>
      <c r="USG197" s="2"/>
      <c r="USH197" s="2"/>
      <c r="USI197" s="2"/>
      <c r="USJ197" s="2"/>
      <c r="USK197" s="2"/>
      <c r="USL197" s="2"/>
      <c r="USM197" s="2"/>
      <c r="USN197" s="2"/>
      <c r="USO197" s="2"/>
      <c r="USP197" s="2"/>
      <c r="USQ197" s="2"/>
      <c r="USR197" s="2"/>
      <c r="USS197" s="2"/>
      <c r="UST197" s="2"/>
      <c r="USU197" s="2"/>
      <c r="USV197" s="2"/>
      <c r="USW197" s="2"/>
      <c r="USX197" s="2"/>
      <c r="USY197" s="2"/>
      <c r="USZ197" s="2"/>
      <c r="UTA197" s="2"/>
      <c r="UTB197" s="2"/>
      <c r="UTC197" s="2"/>
      <c r="UTD197" s="2"/>
      <c r="UTE197" s="2"/>
      <c r="UTF197" s="2"/>
      <c r="UTG197" s="2"/>
      <c r="UTH197" s="2"/>
      <c r="UTI197" s="2"/>
      <c r="UTJ197" s="2"/>
      <c r="UTK197" s="2"/>
      <c r="UTL197" s="2"/>
      <c r="UTM197" s="2"/>
      <c r="UTN197" s="2"/>
      <c r="UTO197" s="2"/>
      <c r="UTP197" s="2"/>
      <c r="UTQ197" s="2"/>
      <c r="UTR197" s="2"/>
      <c r="UTS197" s="2"/>
      <c r="UTT197" s="2"/>
      <c r="UTU197" s="2"/>
      <c r="UTV197" s="2"/>
      <c r="UTW197" s="2"/>
      <c r="UTX197" s="2"/>
      <c r="UTY197" s="2"/>
      <c r="UTZ197" s="2"/>
      <c r="UUA197" s="2"/>
      <c r="UUB197" s="2"/>
      <c r="UUC197" s="2"/>
      <c r="UUD197" s="2"/>
      <c r="UUE197" s="2"/>
      <c r="UUF197" s="2"/>
      <c r="UUG197" s="2"/>
      <c r="UUH197" s="2"/>
      <c r="UUI197" s="2"/>
      <c r="UUJ197" s="2"/>
      <c r="UUK197" s="2"/>
      <c r="UUL197" s="2"/>
      <c r="UUM197" s="2"/>
      <c r="UUN197" s="2"/>
      <c r="UUO197" s="2"/>
      <c r="UUP197" s="2"/>
      <c r="UUQ197" s="2"/>
      <c r="UUR197" s="2"/>
      <c r="UUS197" s="2"/>
      <c r="UUT197" s="2"/>
      <c r="UUU197" s="2"/>
      <c r="UUV197" s="2"/>
      <c r="UUW197" s="2"/>
      <c r="UUX197" s="2"/>
      <c r="UUY197" s="2"/>
      <c r="UUZ197" s="2"/>
      <c r="UVA197" s="2"/>
      <c r="UVB197" s="2"/>
      <c r="UVC197" s="2"/>
      <c r="UVD197" s="2"/>
      <c r="UVE197" s="2"/>
      <c r="UVF197" s="2"/>
      <c r="UVG197" s="2"/>
      <c r="UVH197" s="2"/>
      <c r="UVI197" s="2"/>
      <c r="UVJ197" s="2"/>
      <c r="UVK197" s="2"/>
      <c r="UVL197" s="2"/>
      <c r="UVM197" s="2"/>
      <c r="UVN197" s="2"/>
      <c r="UVO197" s="2"/>
      <c r="UVP197" s="2"/>
      <c r="UVQ197" s="2"/>
      <c r="UVR197" s="2"/>
      <c r="UVS197" s="2"/>
      <c r="UVT197" s="2"/>
      <c r="UVU197" s="2"/>
      <c r="UVV197" s="2"/>
      <c r="UVW197" s="2"/>
      <c r="UVX197" s="2"/>
      <c r="UVY197" s="2"/>
      <c r="UVZ197" s="2"/>
      <c r="UWA197" s="2"/>
      <c r="UWB197" s="2"/>
      <c r="UWC197" s="2"/>
      <c r="UWD197" s="2"/>
      <c r="UWE197" s="2"/>
      <c r="UWF197" s="2"/>
      <c r="UWG197" s="2"/>
      <c r="UWH197" s="2"/>
      <c r="UWI197" s="2"/>
      <c r="UWJ197" s="2"/>
      <c r="UWK197" s="2"/>
      <c r="UWL197" s="2"/>
      <c r="UWM197" s="2"/>
      <c r="UWN197" s="2"/>
      <c r="UWO197" s="2"/>
      <c r="UWP197" s="2"/>
      <c r="UWQ197" s="2"/>
      <c r="UWR197" s="2"/>
      <c r="UWS197" s="2"/>
      <c r="UWT197" s="2"/>
      <c r="UWU197" s="2"/>
      <c r="UWV197" s="2"/>
      <c r="UWW197" s="2"/>
      <c r="UWX197" s="2"/>
      <c r="UWY197" s="2"/>
      <c r="UWZ197" s="2"/>
      <c r="UXA197" s="2"/>
      <c r="UXB197" s="2"/>
      <c r="UXC197" s="2"/>
      <c r="UXD197" s="2"/>
      <c r="UXE197" s="2"/>
      <c r="UXF197" s="2"/>
      <c r="UXG197" s="2"/>
      <c r="UXH197" s="2"/>
      <c r="UXI197" s="2"/>
      <c r="UXJ197" s="2"/>
      <c r="UXK197" s="2"/>
      <c r="UXL197" s="2"/>
      <c r="UXM197" s="2"/>
      <c r="UXN197" s="2"/>
      <c r="UXO197" s="2"/>
      <c r="UXP197" s="2"/>
      <c r="UXQ197" s="2"/>
      <c r="UXR197" s="2"/>
      <c r="UXS197" s="2"/>
      <c r="UXT197" s="2"/>
      <c r="UXU197" s="2"/>
      <c r="UXV197" s="2"/>
      <c r="UXW197" s="2"/>
      <c r="UXX197" s="2"/>
      <c r="UXY197" s="2"/>
      <c r="UXZ197" s="2"/>
      <c r="UYA197" s="2"/>
      <c r="UYB197" s="2"/>
      <c r="UYC197" s="2"/>
      <c r="UYD197" s="2"/>
      <c r="UYE197" s="2"/>
      <c r="UYF197" s="2"/>
      <c r="UYG197" s="2"/>
      <c r="UYH197" s="2"/>
      <c r="UYI197" s="2"/>
      <c r="UYJ197" s="2"/>
      <c r="UYK197" s="2"/>
      <c r="UYL197" s="2"/>
      <c r="UYM197" s="2"/>
      <c r="UYN197" s="2"/>
      <c r="UYO197" s="2"/>
      <c r="UYP197" s="2"/>
      <c r="UYQ197" s="2"/>
      <c r="UYR197" s="2"/>
      <c r="UYS197" s="2"/>
      <c r="UYT197" s="2"/>
      <c r="UYU197" s="2"/>
      <c r="UYV197" s="2"/>
      <c r="UYW197" s="2"/>
      <c r="UYX197" s="2"/>
      <c r="UYY197" s="2"/>
      <c r="UYZ197" s="2"/>
      <c r="UZA197" s="2"/>
      <c r="UZB197" s="2"/>
      <c r="UZC197" s="2"/>
      <c r="UZD197" s="2"/>
      <c r="UZE197" s="2"/>
      <c r="UZF197" s="2"/>
      <c r="UZG197" s="2"/>
      <c r="UZH197" s="2"/>
      <c r="UZI197" s="2"/>
      <c r="UZJ197" s="2"/>
      <c r="UZK197" s="2"/>
      <c r="UZL197" s="2"/>
      <c r="UZM197" s="2"/>
      <c r="UZN197" s="2"/>
      <c r="UZO197" s="2"/>
      <c r="UZP197" s="2"/>
      <c r="UZQ197" s="2"/>
      <c r="UZR197" s="2"/>
      <c r="UZS197" s="2"/>
      <c r="UZT197" s="2"/>
      <c r="UZU197" s="2"/>
      <c r="UZV197" s="2"/>
      <c r="UZW197" s="2"/>
      <c r="UZX197" s="2"/>
      <c r="UZY197" s="2"/>
      <c r="UZZ197" s="2"/>
      <c r="VAA197" s="2"/>
      <c r="VAB197" s="2"/>
      <c r="VAC197" s="2"/>
      <c r="VAD197" s="2"/>
      <c r="VAE197" s="2"/>
      <c r="VAF197" s="2"/>
      <c r="VAG197" s="2"/>
      <c r="VAH197" s="2"/>
      <c r="VAI197" s="2"/>
      <c r="VAJ197" s="2"/>
      <c r="VAK197" s="2"/>
      <c r="VAL197" s="2"/>
      <c r="VAM197" s="2"/>
      <c r="VAN197" s="2"/>
      <c r="VAO197" s="2"/>
      <c r="VAP197" s="2"/>
      <c r="VAQ197" s="2"/>
      <c r="VAR197" s="2"/>
      <c r="VAS197" s="2"/>
      <c r="VAT197" s="2"/>
      <c r="VAU197" s="2"/>
      <c r="VAV197" s="2"/>
      <c r="VAW197" s="2"/>
      <c r="VAX197" s="2"/>
      <c r="VAY197" s="2"/>
      <c r="VAZ197" s="2"/>
      <c r="VBA197" s="2"/>
      <c r="VBB197" s="2"/>
      <c r="VBC197" s="2"/>
      <c r="VBD197" s="2"/>
      <c r="VBE197" s="2"/>
      <c r="VBF197" s="2"/>
      <c r="VBG197" s="2"/>
      <c r="VBH197" s="2"/>
      <c r="VBI197" s="2"/>
      <c r="VBJ197" s="2"/>
      <c r="VBK197" s="2"/>
      <c r="VBL197" s="2"/>
      <c r="VBM197" s="2"/>
      <c r="VBN197" s="2"/>
      <c r="VBO197" s="2"/>
      <c r="VBP197" s="2"/>
      <c r="VBQ197" s="2"/>
      <c r="VBR197" s="2"/>
      <c r="VBS197" s="2"/>
      <c r="VBT197" s="2"/>
      <c r="VBU197" s="2"/>
      <c r="VBV197" s="2"/>
      <c r="VBW197" s="2"/>
      <c r="VBX197" s="2"/>
      <c r="VBY197" s="2"/>
      <c r="VBZ197" s="2"/>
      <c r="VCA197" s="2"/>
      <c r="VCB197" s="2"/>
      <c r="VCC197" s="2"/>
      <c r="VCD197" s="2"/>
      <c r="VCE197" s="2"/>
      <c r="VCF197" s="2"/>
      <c r="VCG197" s="2"/>
      <c r="VCH197" s="2"/>
      <c r="VCI197" s="2"/>
      <c r="VCJ197" s="2"/>
      <c r="VCK197" s="2"/>
      <c r="VCL197" s="2"/>
      <c r="VCM197" s="2"/>
      <c r="VCN197" s="2"/>
      <c r="VCO197" s="2"/>
      <c r="VCP197" s="2"/>
      <c r="VCQ197" s="2"/>
      <c r="VCR197" s="2"/>
      <c r="VCS197" s="2"/>
      <c r="VCT197" s="2"/>
      <c r="VCU197" s="2"/>
      <c r="VCV197" s="2"/>
      <c r="VCW197" s="2"/>
    </row>
    <row r="198" spans="5:14973" s="3" customFormat="1" x14ac:dyDescent="0.3">
      <c r="E198" s="2"/>
      <c r="F198" s="310"/>
      <c r="G198" s="167" t="s">
        <v>162</v>
      </c>
      <c r="H198" s="76">
        <v>28700</v>
      </c>
      <c r="I198" s="120" t="s">
        <v>163</v>
      </c>
      <c r="J198" s="69">
        <v>4700</v>
      </c>
      <c r="K198" s="69">
        <v>4400</v>
      </c>
      <c r="L198" s="314">
        <v>4700</v>
      </c>
      <c r="M198" s="314">
        <v>4000</v>
      </c>
      <c r="N198" s="69">
        <v>2600</v>
      </c>
      <c r="O198" s="314">
        <v>1800</v>
      </c>
      <c r="P198" s="69">
        <v>1900</v>
      </c>
      <c r="Q198" s="314">
        <v>14200</v>
      </c>
      <c r="R198" s="69">
        <v>20400</v>
      </c>
      <c r="S198" s="69">
        <v>22500</v>
      </c>
      <c r="T198" s="69">
        <v>25000</v>
      </c>
      <c r="U198" s="69">
        <v>27700</v>
      </c>
      <c r="V198" s="69">
        <v>26400</v>
      </c>
      <c r="W198" s="69">
        <v>24200</v>
      </c>
      <c r="X198" s="69">
        <v>25200</v>
      </c>
      <c r="Y198" s="314">
        <v>25500</v>
      </c>
      <c r="Z198" s="69">
        <v>25800</v>
      </c>
      <c r="AA198" s="69">
        <v>24900</v>
      </c>
      <c r="AB198" s="69">
        <v>26800</v>
      </c>
      <c r="AC198" s="314">
        <v>25900</v>
      </c>
      <c r="AD198" s="69">
        <v>25900</v>
      </c>
      <c r="AE198" s="69">
        <v>26200</v>
      </c>
      <c r="AF198" s="69">
        <v>24700</v>
      </c>
      <c r="AG198" s="69">
        <v>25200</v>
      </c>
      <c r="AH198" s="69">
        <v>25300</v>
      </c>
      <c r="AI198" s="69">
        <v>25800</v>
      </c>
      <c r="AJ198" s="69">
        <v>25500</v>
      </c>
      <c r="AK198" s="69">
        <v>25600</v>
      </c>
      <c r="AL198" s="69">
        <v>24200</v>
      </c>
      <c r="AM198" s="69">
        <v>24000</v>
      </c>
      <c r="AN198" s="69">
        <v>25700</v>
      </c>
      <c r="AO198" s="80"/>
      <c r="AP198" s="21">
        <f>SUM(J198:AN198)</f>
        <v>616700</v>
      </c>
      <c r="AQ198" s="2"/>
      <c r="AR198" s="6">
        <f>AP198/AP29</f>
        <v>28031.81818181818</v>
      </c>
      <c r="AT198" s="4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  <c r="AII198" s="2"/>
      <c r="AIJ198" s="2"/>
      <c r="AIK198" s="2"/>
      <c r="AIL198" s="2"/>
      <c r="AIM198" s="2"/>
      <c r="AIN198" s="2"/>
      <c r="AIO198" s="2"/>
      <c r="AIP198" s="2"/>
      <c r="AIQ198" s="2"/>
      <c r="AIR198" s="2"/>
      <c r="AIS198" s="2"/>
      <c r="AIT198" s="2"/>
      <c r="AIU198" s="2"/>
      <c r="AIV198" s="2"/>
      <c r="AIW198" s="2"/>
      <c r="AIX198" s="2"/>
      <c r="AIY198" s="2"/>
      <c r="AIZ198" s="2"/>
      <c r="AJA198" s="2"/>
      <c r="AJB198" s="2"/>
      <c r="AJC198" s="2"/>
      <c r="AJD198" s="2"/>
      <c r="AJE198" s="2"/>
      <c r="AJF198" s="2"/>
      <c r="AJG198" s="2"/>
      <c r="AJH198" s="2"/>
      <c r="AJI198" s="2"/>
      <c r="AJJ198" s="2"/>
      <c r="AJK198" s="2"/>
      <c r="AJL198" s="2"/>
      <c r="AJM198" s="2"/>
      <c r="AJN198" s="2"/>
      <c r="AJO198" s="2"/>
      <c r="AJP198" s="2"/>
      <c r="AJQ198" s="2"/>
      <c r="AJR198" s="2"/>
      <c r="AJS198" s="2"/>
      <c r="AJT198" s="2"/>
      <c r="AJU198" s="2"/>
      <c r="AJV198" s="2"/>
      <c r="AJW198" s="2"/>
      <c r="AJX198" s="2"/>
      <c r="AJY198" s="2"/>
      <c r="AJZ198" s="2"/>
      <c r="AKA198" s="2"/>
      <c r="AKB198" s="2"/>
      <c r="AKC198" s="2"/>
      <c r="AKD198" s="2"/>
      <c r="AKE198" s="2"/>
      <c r="AKF198" s="2"/>
      <c r="AKG198" s="2"/>
      <c r="AKH198" s="2"/>
      <c r="AKI198" s="2"/>
      <c r="AKJ198" s="2"/>
      <c r="AKK198" s="2"/>
      <c r="AKL198" s="2"/>
      <c r="AKM198" s="2"/>
      <c r="AKN198" s="2"/>
      <c r="AKO198" s="2"/>
      <c r="AKP198" s="2"/>
      <c r="AKQ198" s="2"/>
      <c r="AKR198" s="2"/>
      <c r="AKS198" s="2"/>
      <c r="AKT198" s="2"/>
      <c r="AKU198" s="2"/>
      <c r="AKV198" s="2"/>
      <c r="AKW198" s="2"/>
      <c r="AKX198" s="2"/>
      <c r="AKY198" s="2"/>
      <c r="AKZ198" s="2"/>
      <c r="ALA198" s="2"/>
      <c r="ALB198" s="2"/>
      <c r="ALC198" s="2"/>
      <c r="ALD198" s="2"/>
      <c r="ALE198" s="2"/>
      <c r="ALF198" s="2"/>
      <c r="ALG198" s="2"/>
      <c r="ALH198" s="2"/>
      <c r="ALI198" s="2"/>
      <c r="ALJ198" s="2"/>
      <c r="ALK198" s="2"/>
      <c r="ALL198" s="2"/>
      <c r="ALM198" s="2"/>
      <c r="ALN198" s="2"/>
      <c r="ALO198" s="2"/>
      <c r="ALP198" s="2"/>
      <c r="ALQ198" s="2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  <c r="AMG198" s="2"/>
      <c r="AMH198" s="2"/>
      <c r="AMI198" s="2"/>
      <c r="AMJ198" s="2"/>
      <c r="AMK198" s="2"/>
      <c r="AML198" s="2"/>
      <c r="AMM198" s="2"/>
      <c r="AMN198" s="2"/>
      <c r="AMO198" s="2"/>
      <c r="AMP198" s="2"/>
      <c r="AMQ198" s="2"/>
      <c r="AMR198" s="2"/>
      <c r="AMS198" s="2"/>
      <c r="AMT198" s="2"/>
      <c r="AMU198" s="2"/>
      <c r="AMV198" s="2"/>
      <c r="AMW198" s="2"/>
      <c r="AMX198" s="2"/>
      <c r="AMY198" s="2"/>
      <c r="AMZ198" s="2"/>
      <c r="ANA198" s="2"/>
      <c r="ANB198" s="2"/>
      <c r="ANC198" s="2"/>
      <c r="AND198" s="2"/>
      <c r="ANE198" s="2"/>
      <c r="ANF198" s="2"/>
      <c r="ANG198" s="2"/>
      <c r="ANH198" s="2"/>
      <c r="ANI198" s="2"/>
      <c r="ANJ198" s="2"/>
      <c r="ANK198" s="2"/>
      <c r="ANL198" s="2"/>
      <c r="ANM198" s="2"/>
      <c r="ANN198" s="2"/>
      <c r="ANO198" s="2"/>
      <c r="ANP198" s="2"/>
      <c r="ANQ198" s="2"/>
      <c r="ANR198" s="2"/>
      <c r="ANS198" s="2"/>
      <c r="ANT198" s="2"/>
      <c r="ANU198" s="2"/>
      <c r="ANV198" s="2"/>
      <c r="ANW198" s="2"/>
      <c r="ANX198" s="2"/>
      <c r="ANY198" s="2"/>
      <c r="ANZ198" s="2"/>
      <c r="AOA198" s="2"/>
      <c r="AOB198" s="2"/>
      <c r="AOC198" s="2"/>
      <c r="AOD198" s="2"/>
      <c r="AOE198" s="2"/>
      <c r="AOF198" s="2"/>
      <c r="AOG198" s="2"/>
      <c r="AOH198" s="2"/>
      <c r="AOI198" s="2"/>
      <c r="AOJ198" s="2"/>
      <c r="AOK198" s="2"/>
      <c r="AOL198" s="2"/>
      <c r="AOM198" s="2"/>
      <c r="AON198" s="2"/>
      <c r="AOO198" s="2"/>
      <c r="AOP198" s="2"/>
      <c r="AOQ198" s="2"/>
      <c r="AOR198" s="2"/>
      <c r="AOS198" s="2"/>
      <c r="AOT198" s="2"/>
      <c r="AOU198" s="2"/>
      <c r="AOV198" s="2"/>
      <c r="AOW198" s="2"/>
      <c r="AOX198" s="2"/>
      <c r="AOY198" s="2"/>
      <c r="AOZ198" s="2"/>
      <c r="APA198" s="2"/>
      <c r="APB198" s="2"/>
      <c r="APC198" s="2"/>
      <c r="APD198" s="2"/>
      <c r="APE198" s="2"/>
      <c r="APF198" s="2"/>
      <c r="APG198" s="2"/>
      <c r="APH198" s="2"/>
      <c r="API198" s="2"/>
      <c r="APJ198" s="2"/>
      <c r="APK198" s="2"/>
      <c r="APL198" s="2"/>
      <c r="APM198" s="2"/>
      <c r="APN198" s="2"/>
      <c r="APO198" s="2"/>
      <c r="APP198" s="2"/>
      <c r="APQ198" s="2"/>
      <c r="APR198" s="2"/>
      <c r="APS198" s="2"/>
      <c r="APT198" s="2"/>
      <c r="APU198" s="2"/>
      <c r="APV198" s="2"/>
      <c r="APW198" s="2"/>
      <c r="APX198" s="2"/>
      <c r="APY198" s="2"/>
      <c r="APZ198" s="2"/>
      <c r="AQA198" s="2"/>
      <c r="AQB198" s="2"/>
      <c r="AQC198" s="2"/>
      <c r="AQD198" s="2"/>
      <c r="AQE198" s="2"/>
      <c r="AQF198" s="2"/>
      <c r="AQG198" s="2"/>
      <c r="AQH198" s="2"/>
      <c r="AQI198" s="2"/>
      <c r="AQJ198" s="2"/>
      <c r="AQK198" s="2"/>
      <c r="AQL198" s="2"/>
      <c r="AQM198" s="2"/>
      <c r="AQN198" s="2"/>
      <c r="AQO198" s="2"/>
      <c r="AQP198" s="2"/>
      <c r="AQQ198" s="2"/>
      <c r="AQR198" s="2"/>
      <c r="AQS198" s="2"/>
      <c r="AQT198" s="2"/>
      <c r="AQU198" s="2"/>
      <c r="AQV198" s="2"/>
      <c r="AQW198" s="2"/>
      <c r="AQX198" s="2"/>
      <c r="AQY198" s="2"/>
      <c r="AQZ198" s="2"/>
      <c r="ARA198" s="2"/>
      <c r="ARB198" s="2"/>
      <c r="ARC198" s="2"/>
      <c r="ARD198" s="2"/>
      <c r="ARE198" s="2"/>
      <c r="ARF198" s="2"/>
      <c r="ARG198" s="2"/>
      <c r="ARH198" s="2"/>
      <c r="ARI198" s="2"/>
      <c r="ARJ198" s="2"/>
      <c r="ARK198" s="2"/>
      <c r="ARL198" s="2"/>
      <c r="ARM198" s="2"/>
      <c r="ARN198" s="2"/>
      <c r="ARO198" s="2"/>
      <c r="ARP198" s="2"/>
      <c r="ARQ198" s="2"/>
      <c r="ARR198" s="2"/>
      <c r="ARS198" s="2"/>
      <c r="ART198" s="2"/>
      <c r="ARU198" s="2"/>
      <c r="ARV198" s="2"/>
      <c r="ARW198" s="2"/>
      <c r="ARX198" s="2"/>
      <c r="ARY198" s="2"/>
      <c r="ARZ198" s="2"/>
      <c r="ASA198" s="2"/>
      <c r="ASB198" s="2"/>
      <c r="ASC198" s="2"/>
      <c r="ASD198" s="2"/>
      <c r="ASE198" s="2"/>
      <c r="ASF198" s="2"/>
      <c r="ASG198" s="2"/>
      <c r="ASH198" s="2"/>
      <c r="ASI198" s="2"/>
      <c r="ASJ198" s="2"/>
      <c r="ASK198" s="2"/>
      <c r="ASL198" s="2"/>
      <c r="ASM198" s="2"/>
      <c r="ASN198" s="2"/>
      <c r="ASO198" s="2"/>
      <c r="ASP198" s="2"/>
      <c r="ASQ198" s="2"/>
      <c r="ASR198" s="2"/>
      <c r="ASS198" s="2"/>
      <c r="AST198" s="2"/>
      <c r="ASU198" s="2"/>
      <c r="ASV198" s="2"/>
      <c r="ASW198" s="2"/>
      <c r="ASX198" s="2"/>
      <c r="ASY198" s="2"/>
      <c r="ASZ198" s="2"/>
      <c r="ATA198" s="2"/>
      <c r="ATB198" s="2"/>
      <c r="ATC198" s="2"/>
      <c r="ATD198" s="2"/>
      <c r="ATE198" s="2"/>
      <c r="ATF198" s="2"/>
      <c r="ATG198" s="2"/>
      <c r="ATH198" s="2"/>
      <c r="ATI198" s="2"/>
      <c r="ATJ198" s="2"/>
      <c r="ATK198" s="2"/>
      <c r="ATL198" s="2"/>
      <c r="ATM198" s="2"/>
      <c r="ATN198" s="2"/>
      <c r="ATO198" s="2"/>
      <c r="ATP198" s="2"/>
      <c r="ATQ198" s="2"/>
      <c r="ATR198" s="2"/>
      <c r="ATS198" s="2"/>
      <c r="ATT198" s="2"/>
      <c r="ATU198" s="2"/>
      <c r="ATV198" s="2"/>
      <c r="ATW198" s="2"/>
      <c r="ATX198" s="2"/>
      <c r="ATY198" s="2"/>
      <c r="ATZ198" s="2"/>
      <c r="AUA198" s="2"/>
      <c r="AUB198" s="2"/>
      <c r="AUC198" s="2"/>
      <c r="AUD198" s="2"/>
      <c r="AUE198" s="2"/>
      <c r="AUF198" s="2"/>
      <c r="AUG198" s="2"/>
      <c r="AUH198" s="2"/>
      <c r="AUI198" s="2"/>
      <c r="AUJ198" s="2"/>
      <c r="AUK198" s="2"/>
      <c r="AUL198" s="2"/>
      <c r="AUM198" s="2"/>
      <c r="AUN198" s="2"/>
      <c r="AUO198" s="2"/>
      <c r="AUP198" s="2"/>
      <c r="AUQ198" s="2"/>
      <c r="AUR198" s="2"/>
      <c r="AUS198" s="2"/>
      <c r="AUT198" s="2"/>
      <c r="AUU198" s="2"/>
      <c r="AUV198" s="2"/>
      <c r="AUW198" s="2"/>
      <c r="AUX198" s="2"/>
      <c r="AUY198" s="2"/>
      <c r="AUZ198" s="2"/>
      <c r="AVA198" s="2"/>
      <c r="AVB198" s="2"/>
      <c r="AVC198" s="2"/>
      <c r="AVD198" s="2"/>
      <c r="AVE198" s="2"/>
      <c r="AVF198" s="2"/>
      <c r="AVG198" s="2"/>
      <c r="AVH198" s="2"/>
      <c r="AVI198" s="2"/>
      <c r="AVJ198" s="2"/>
      <c r="AVK198" s="2"/>
      <c r="AVL198" s="2"/>
      <c r="AVM198" s="2"/>
      <c r="AVN198" s="2"/>
      <c r="AVO198" s="2"/>
      <c r="AVP198" s="2"/>
      <c r="AVQ198" s="2"/>
      <c r="AVR198" s="2"/>
      <c r="AVS198" s="2"/>
      <c r="AVT198" s="2"/>
      <c r="AVU198" s="2"/>
      <c r="AVV198" s="2"/>
      <c r="AVW198" s="2"/>
      <c r="AVX198" s="2"/>
      <c r="AVY198" s="2"/>
      <c r="AVZ198" s="2"/>
      <c r="AWA198" s="2"/>
      <c r="AWB198" s="2"/>
      <c r="AWC198" s="2"/>
      <c r="AWD198" s="2"/>
      <c r="AWE198" s="2"/>
      <c r="AWF198" s="2"/>
      <c r="AWG198" s="2"/>
      <c r="AWH198" s="2"/>
      <c r="AWI198" s="2"/>
      <c r="AWJ198" s="2"/>
      <c r="AWK198" s="2"/>
      <c r="AWL198" s="2"/>
      <c r="AWM198" s="2"/>
      <c r="AWN198" s="2"/>
      <c r="AWO198" s="2"/>
      <c r="AWP198" s="2"/>
      <c r="AWQ198" s="2"/>
      <c r="AWR198" s="2"/>
      <c r="AWS198" s="2"/>
      <c r="AWT198" s="2"/>
      <c r="AWU198" s="2"/>
      <c r="AWV198" s="2"/>
      <c r="AWW198" s="2"/>
      <c r="AWX198" s="2"/>
      <c r="AWY198" s="2"/>
      <c r="AWZ198" s="2"/>
      <c r="AXA198" s="2"/>
      <c r="AXB198" s="2"/>
      <c r="AXC198" s="2"/>
      <c r="AXD198" s="2"/>
      <c r="AXE198" s="2"/>
      <c r="AXF198" s="2"/>
      <c r="AXG198" s="2"/>
      <c r="AXH198" s="2"/>
      <c r="AXI198" s="2"/>
      <c r="AXJ198" s="2"/>
      <c r="AXK198" s="2"/>
      <c r="AXL198" s="2"/>
      <c r="AXM198" s="2"/>
      <c r="AXN198" s="2"/>
      <c r="AXO198" s="2"/>
      <c r="AXP198" s="2"/>
      <c r="AXQ198" s="2"/>
      <c r="AXR198" s="2"/>
      <c r="AXS198" s="2"/>
      <c r="AXT198" s="2"/>
      <c r="AXU198" s="2"/>
      <c r="AXV198" s="2"/>
      <c r="AXW198" s="2"/>
      <c r="AXX198" s="2"/>
      <c r="AXY198" s="2"/>
      <c r="AXZ198" s="2"/>
      <c r="AYA198" s="2"/>
      <c r="AYB198" s="2"/>
      <c r="AYC198" s="2"/>
      <c r="AYD198" s="2"/>
      <c r="AYE198" s="2"/>
      <c r="AYF198" s="2"/>
      <c r="AYG198" s="2"/>
      <c r="AYH198" s="2"/>
      <c r="AYI198" s="2"/>
      <c r="AYJ198" s="2"/>
      <c r="AYK198" s="2"/>
      <c r="AYL198" s="2"/>
      <c r="AYM198" s="2"/>
      <c r="AYN198" s="2"/>
      <c r="AYO198" s="2"/>
      <c r="AYP198" s="2"/>
      <c r="AYQ198" s="2"/>
      <c r="AYR198" s="2"/>
      <c r="AYS198" s="2"/>
      <c r="AYT198" s="2"/>
      <c r="AYU198" s="2"/>
      <c r="AYV198" s="2"/>
      <c r="AYW198" s="2"/>
      <c r="AYX198" s="2"/>
      <c r="AYY198" s="2"/>
      <c r="AYZ198" s="2"/>
      <c r="AZA198" s="2"/>
      <c r="AZB198" s="2"/>
      <c r="AZC198" s="2"/>
      <c r="AZD198" s="2"/>
      <c r="AZE198" s="2"/>
      <c r="AZF198" s="2"/>
      <c r="AZG198" s="2"/>
      <c r="AZH198" s="2"/>
      <c r="AZI198" s="2"/>
      <c r="AZJ198" s="2"/>
      <c r="AZK198" s="2"/>
      <c r="AZL198" s="2"/>
      <c r="AZM198" s="2"/>
      <c r="AZN198" s="2"/>
      <c r="AZO198" s="2"/>
      <c r="AZP198" s="2"/>
      <c r="AZQ198" s="2"/>
      <c r="AZR198" s="2"/>
      <c r="AZS198" s="2"/>
      <c r="AZT198" s="2"/>
      <c r="AZU198" s="2"/>
      <c r="AZV198" s="2"/>
      <c r="AZW198" s="2"/>
      <c r="AZX198" s="2"/>
      <c r="AZY198" s="2"/>
      <c r="AZZ198" s="2"/>
      <c r="BAA198" s="2"/>
      <c r="BAB198" s="2"/>
      <c r="BAC198" s="2"/>
      <c r="BAD198" s="2"/>
      <c r="BAE198" s="2"/>
      <c r="BAF198" s="2"/>
      <c r="BAG198" s="2"/>
      <c r="BAH198" s="2"/>
      <c r="BAI198" s="2"/>
      <c r="BAJ198" s="2"/>
      <c r="BAK198" s="2"/>
      <c r="BAL198" s="2"/>
      <c r="BAM198" s="2"/>
      <c r="BAN198" s="2"/>
      <c r="BAO198" s="2"/>
      <c r="BAP198" s="2"/>
      <c r="BAQ198" s="2"/>
      <c r="BAR198" s="2"/>
      <c r="BAS198" s="2"/>
      <c r="BAT198" s="2"/>
      <c r="BAU198" s="2"/>
      <c r="BAV198" s="2"/>
      <c r="BAW198" s="2"/>
      <c r="BAX198" s="2"/>
      <c r="BAY198" s="2"/>
      <c r="BAZ198" s="2"/>
      <c r="BBA198" s="2"/>
      <c r="BBB198" s="2"/>
      <c r="BBC198" s="2"/>
      <c r="BBD198" s="2"/>
      <c r="BBE198" s="2"/>
      <c r="BBF198" s="2"/>
      <c r="BBG198" s="2"/>
      <c r="BBH198" s="2"/>
      <c r="BBI198" s="2"/>
      <c r="BBJ198" s="2"/>
      <c r="BBK198" s="2"/>
      <c r="BBL198" s="2"/>
      <c r="BBM198" s="2"/>
      <c r="BBN198" s="2"/>
      <c r="BBO198" s="2"/>
      <c r="BBP198" s="2"/>
      <c r="BBQ198" s="2"/>
      <c r="BBR198" s="2"/>
      <c r="BBS198" s="2"/>
      <c r="BBT198" s="2"/>
      <c r="BBU198" s="2"/>
      <c r="BBV198" s="2"/>
      <c r="BBW198" s="2"/>
      <c r="BBX198" s="2"/>
      <c r="BBY198" s="2"/>
      <c r="BBZ198" s="2"/>
      <c r="BCA198" s="2"/>
      <c r="BCB198" s="2"/>
      <c r="BCC198" s="2"/>
      <c r="BCD198" s="2"/>
      <c r="BCE198" s="2"/>
      <c r="BCF198" s="2"/>
      <c r="BCG198" s="2"/>
      <c r="BCH198" s="2"/>
      <c r="BCI198" s="2"/>
      <c r="BCJ198" s="2"/>
      <c r="BCK198" s="2"/>
      <c r="BCL198" s="2"/>
      <c r="BCM198" s="2"/>
      <c r="BCN198" s="2"/>
      <c r="BCO198" s="2"/>
      <c r="BCP198" s="2"/>
      <c r="BCQ198" s="2"/>
      <c r="BCR198" s="2"/>
      <c r="BCS198" s="2"/>
      <c r="BCT198" s="2"/>
      <c r="BCU198" s="2"/>
      <c r="BCV198" s="2"/>
      <c r="BCW198" s="2"/>
      <c r="BCX198" s="2"/>
      <c r="BCY198" s="2"/>
      <c r="BCZ198" s="2"/>
      <c r="BDA198" s="2"/>
      <c r="BDB198" s="2"/>
      <c r="BDC198" s="2"/>
      <c r="BDD198" s="2"/>
      <c r="BDE198" s="2"/>
      <c r="BDF198" s="2"/>
      <c r="BDG198" s="2"/>
      <c r="BDH198" s="2"/>
      <c r="BDI198" s="2"/>
      <c r="BDJ198" s="2"/>
      <c r="BDK198" s="2"/>
      <c r="BDL198" s="2"/>
      <c r="BDM198" s="2"/>
      <c r="BDN198" s="2"/>
      <c r="BDO198" s="2"/>
      <c r="BDP198" s="2"/>
      <c r="BDQ198" s="2"/>
      <c r="BDR198" s="2"/>
      <c r="BDS198" s="2"/>
      <c r="BDT198" s="2"/>
      <c r="BDU198" s="2"/>
      <c r="BDV198" s="2"/>
      <c r="BDW198" s="2"/>
      <c r="BDX198" s="2"/>
      <c r="BDY198" s="2"/>
      <c r="BDZ198" s="2"/>
      <c r="BEA198" s="2"/>
      <c r="BEB198" s="2"/>
      <c r="BEC198" s="2"/>
      <c r="BED198" s="2"/>
      <c r="BEE198" s="2"/>
      <c r="BEF198" s="2"/>
      <c r="BEG198" s="2"/>
      <c r="BEH198" s="2"/>
      <c r="BEI198" s="2"/>
      <c r="BEJ198" s="2"/>
      <c r="BEK198" s="2"/>
      <c r="BEL198" s="2"/>
      <c r="BEM198" s="2"/>
      <c r="BEN198" s="2"/>
      <c r="BEO198" s="2"/>
      <c r="BEP198" s="2"/>
      <c r="BEQ198" s="2"/>
      <c r="BER198" s="2"/>
      <c r="BES198" s="2"/>
      <c r="BET198" s="2"/>
      <c r="BEU198" s="2"/>
      <c r="BEV198" s="2"/>
      <c r="BEW198" s="2"/>
      <c r="BEX198" s="2"/>
      <c r="BEY198" s="2"/>
      <c r="BEZ198" s="2"/>
      <c r="BFA198" s="2"/>
      <c r="BFB198" s="2"/>
      <c r="BFC198" s="2"/>
      <c r="BFD198" s="2"/>
      <c r="BFE198" s="2"/>
      <c r="BFF198" s="2"/>
      <c r="BFG198" s="2"/>
      <c r="BFH198" s="2"/>
      <c r="BFI198" s="2"/>
      <c r="BFJ198" s="2"/>
      <c r="BFK198" s="2"/>
      <c r="BFL198" s="2"/>
      <c r="BFM198" s="2"/>
      <c r="BFN198" s="2"/>
      <c r="BFO198" s="2"/>
      <c r="BFP198" s="2"/>
      <c r="BFQ198" s="2"/>
      <c r="BFR198" s="2"/>
      <c r="BFS198" s="2"/>
      <c r="BFT198" s="2"/>
      <c r="BFU198" s="2"/>
      <c r="BFV198" s="2"/>
      <c r="BFW198" s="2"/>
      <c r="BFX198" s="2"/>
      <c r="BFY198" s="2"/>
      <c r="BFZ198" s="2"/>
      <c r="BGA198" s="2"/>
      <c r="BGB198" s="2"/>
      <c r="BGC198" s="2"/>
      <c r="BGD198" s="2"/>
      <c r="BGE198" s="2"/>
      <c r="BGF198" s="2"/>
      <c r="BGG198" s="2"/>
      <c r="BGH198" s="2"/>
      <c r="BGI198" s="2"/>
      <c r="BGJ198" s="2"/>
      <c r="BGK198" s="2"/>
      <c r="BGL198" s="2"/>
      <c r="BGM198" s="2"/>
      <c r="BGN198" s="2"/>
      <c r="BGO198" s="2"/>
      <c r="BGP198" s="2"/>
      <c r="BGQ198" s="2"/>
      <c r="BGR198" s="2"/>
      <c r="BGS198" s="2"/>
      <c r="BGT198" s="2"/>
      <c r="BGU198" s="2"/>
      <c r="BGV198" s="2"/>
      <c r="BGW198" s="2"/>
      <c r="BGX198" s="2"/>
      <c r="BGY198" s="2"/>
      <c r="BGZ198" s="2"/>
      <c r="BHA198" s="2"/>
      <c r="BHB198" s="2"/>
      <c r="BHC198" s="2"/>
      <c r="BHD198" s="2"/>
      <c r="BHE198" s="2"/>
      <c r="BHF198" s="2"/>
      <c r="BHG198" s="2"/>
      <c r="BHH198" s="2"/>
      <c r="BHI198" s="2"/>
      <c r="BHJ198" s="2"/>
      <c r="BHK198" s="2"/>
      <c r="BHL198" s="2"/>
      <c r="BHM198" s="2"/>
      <c r="BHN198" s="2"/>
      <c r="BHO198" s="2"/>
      <c r="BHP198" s="2"/>
      <c r="BHQ198" s="2"/>
      <c r="BHR198" s="2"/>
      <c r="BHS198" s="2"/>
      <c r="BHT198" s="2"/>
      <c r="BHU198" s="2"/>
      <c r="BHV198" s="2"/>
      <c r="BHW198" s="2"/>
      <c r="BHX198" s="2"/>
      <c r="BHY198" s="2"/>
      <c r="BHZ198" s="2"/>
      <c r="BIA198" s="2"/>
      <c r="BIB198" s="2"/>
      <c r="BIC198" s="2"/>
      <c r="BID198" s="2"/>
      <c r="BIE198" s="2"/>
      <c r="BIF198" s="2"/>
      <c r="BIG198" s="2"/>
      <c r="BIH198" s="2"/>
      <c r="BII198" s="2"/>
      <c r="BIJ198" s="2"/>
      <c r="BIK198" s="2"/>
      <c r="BIL198" s="2"/>
      <c r="BIM198" s="2"/>
      <c r="BIN198" s="2"/>
      <c r="BIO198" s="2"/>
      <c r="BIP198" s="2"/>
      <c r="BIQ198" s="2"/>
      <c r="BIR198" s="2"/>
      <c r="BIS198" s="2"/>
      <c r="BIT198" s="2"/>
      <c r="BIU198" s="2"/>
      <c r="BIV198" s="2"/>
      <c r="BIW198" s="2"/>
      <c r="BIX198" s="2"/>
      <c r="BIY198" s="2"/>
      <c r="BIZ198" s="2"/>
      <c r="BJA198" s="2"/>
      <c r="BJB198" s="2"/>
      <c r="BJC198" s="2"/>
      <c r="BJD198" s="2"/>
      <c r="BJE198" s="2"/>
      <c r="BJF198" s="2"/>
      <c r="BJG198" s="2"/>
      <c r="BJH198" s="2"/>
      <c r="BJI198" s="2"/>
      <c r="BJJ198" s="2"/>
      <c r="BJK198" s="2"/>
      <c r="BJL198" s="2"/>
      <c r="BJM198" s="2"/>
      <c r="BJN198" s="2"/>
      <c r="BJO198" s="2"/>
      <c r="BJP198" s="2"/>
      <c r="BJQ198" s="2"/>
      <c r="BJR198" s="2"/>
      <c r="BJS198" s="2"/>
      <c r="BJT198" s="2"/>
      <c r="BJU198" s="2"/>
      <c r="BJV198" s="2"/>
      <c r="BJW198" s="2"/>
      <c r="BJX198" s="2"/>
      <c r="BJY198" s="2"/>
      <c r="BJZ198" s="2"/>
      <c r="BKA198" s="2"/>
      <c r="BKB198" s="2"/>
      <c r="BKC198" s="2"/>
      <c r="BKD198" s="2"/>
      <c r="BKE198" s="2"/>
      <c r="BKF198" s="2"/>
      <c r="BKG198" s="2"/>
      <c r="BKH198" s="2"/>
      <c r="BKI198" s="2"/>
      <c r="BKJ198" s="2"/>
      <c r="BKK198" s="2"/>
      <c r="BKL198" s="2"/>
      <c r="BKM198" s="2"/>
      <c r="BKN198" s="2"/>
      <c r="BKO198" s="2"/>
      <c r="BKP198" s="2"/>
      <c r="BKQ198" s="2"/>
      <c r="BKR198" s="2"/>
      <c r="BKS198" s="2"/>
      <c r="BKT198" s="2"/>
      <c r="BKU198" s="2"/>
      <c r="BKV198" s="2"/>
      <c r="BKW198" s="2"/>
      <c r="BKX198" s="2"/>
      <c r="BKY198" s="2"/>
      <c r="BKZ198" s="2"/>
      <c r="BLA198" s="2"/>
      <c r="BLB198" s="2"/>
      <c r="BLC198" s="2"/>
      <c r="BLD198" s="2"/>
      <c r="BLE198" s="2"/>
      <c r="BLF198" s="2"/>
      <c r="BLG198" s="2"/>
      <c r="BLH198" s="2"/>
      <c r="BLI198" s="2"/>
      <c r="BLJ198" s="2"/>
      <c r="BLK198" s="2"/>
      <c r="BLL198" s="2"/>
      <c r="BLM198" s="2"/>
      <c r="BLN198" s="2"/>
      <c r="BLO198" s="2"/>
      <c r="BLP198" s="2"/>
      <c r="BLQ198" s="2"/>
      <c r="BLR198" s="2"/>
      <c r="BLS198" s="2"/>
      <c r="BLT198" s="2"/>
      <c r="BLU198" s="2"/>
      <c r="BLV198" s="2"/>
      <c r="BLW198" s="2"/>
      <c r="BLX198" s="2"/>
      <c r="BLY198" s="2"/>
      <c r="BLZ198" s="2"/>
      <c r="BMA198" s="2"/>
      <c r="BMB198" s="2"/>
      <c r="BMC198" s="2"/>
      <c r="BMD198" s="2"/>
      <c r="BME198" s="2"/>
      <c r="BMF198" s="2"/>
      <c r="BMG198" s="2"/>
      <c r="BMH198" s="2"/>
      <c r="BMI198" s="2"/>
      <c r="BMJ198" s="2"/>
      <c r="BMK198" s="2"/>
      <c r="BML198" s="2"/>
      <c r="BMM198" s="2"/>
      <c r="BMN198" s="2"/>
      <c r="BMO198" s="2"/>
      <c r="BMP198" s="2"/>
      <c r="BMQ198" s="2"/>
      <c r="BMR198" s="2"/>
      <c r="BMS198" s="2"/>
      <c r="BMT198" s="2"/>
      <c r="BMU198" s="2"/>
      <c r="BMV198" s="2"/>
      <c r="BMW198" s="2"/>
      <c r="BMX198" s="2"/>
      <c r="BMY198" s="2"/>
      <c r="BMZ198" s="2"/>
      <c r="BNA198" s="2"/>
      <c r="BNB198" s="2"/>
      <c r="BNC198" s="2"/>
      <c r="BND198" s="2"/>
      <c r="BNE198" s="2"/>
      <c r="BNF198" s="2"/>
      <c r="BNG198" s="2"/>
      <c r="BNH198" s="2"/>
      <c r="BNI198" s="2"/>
      <c r="BNJ198" s="2"/>
      <c r="BNK198" s="2"/>
      <c r="BNL198" s="2"/>
      <c r="BNM198" s="2"/>
      <c r="BNN198" s="2"/>
      <c r="BNO198" s="2"/>
      <c r="BNP198" s="2"/>
      <c r="BNQ198" s="2"/>
      <c r="BNR198" s="2"/>
      <c r="BNS198" s="2"/>
      <c r="BNT198" s="2"/>
      <c r="BNU198" s="2"/>
      <c r="BNV198" s="2"/>
      <c r="BNW198" s="2"/>
      <c r="BNX198" s="2"/>
      <c r="BNY198" s="2"/>
      <c r="BNZ198" s="2"/>
      <c r="BOA198" s="2"/>
      <c r="BOB198" s="2"/>
      <c r="BOC198" s="2"/>
      <c r="BOD198" s="2"/>
      <c r="BOE198" s="2"/>
      <c r="BOF198" s="2"/>
      <c r="BOG198" s="2"/>
      <c r="BOH198" s="2"/>
      <c r="BOI198" s="2"/>
      <c r="BOJ198" s="2"/>
      <c r="BOK198" s="2"/>
      <c r="BOL198" s="2"/>
      <c r="BOM198" s="2"/>
      <c r="BON198" s="2"/>
      <c r="BOO198" s="2"/>
      <c r="BOP198" s="2"/>
      <c r="BOQ198" s="2"/>
      <c r="BOR198" s="2"/>
      <c r="BOS198" s="2"/>
      <c r="BOT198" s="2"/>
      <c r="BOU198" s="2"/>
      <c r="BOV198" s="2"/>
      <c r="BOW198" s="2"/>
      <c r="BOX198" s="2"/>
      <c r="BOY198" s="2"/>
      <c r="BOZ198" s="2"/>
      <c r="BPA198" s="2"/>
      <c r="BPB198" s="2"/>
      <c r="BPC198" s="2"/>
      <c r="BPD198" s="2"/>
      <c r="BPE198" s="2"/>
      <c r="BPF198" s="2"/>
      <c r="BPG198" s="2"/>
      <c r="BPH198" s="2"/>
      <c r="BPI198" s="2"/>
      <c r="BPJ198" s="2"/>
      <c r="BPK198" s="2"/>
      <c r="BPL198" s="2"/>
      <c r="BPM198" s="2"/>
      <c r="BPN198" s="2"/>
      <c r="BPO198" s="2"/>
      <c r="BPP198" s="2"/>
      <c r="BPQ198" s="2"/>
      <c r="BPR198" s="2"/>
      <c r="BPS198" s="2"/>
      <c r="BPT198" s="2"/>
      <c r="BPU198" s="2"/>
      <c r="BPV198" s="2"/>
      <c r="BPW198" s="2"/>
      <c r="BPX198" s="2"/>
      <c r="BPY198" s="2"/>
      <c r="BPZ198" s="2"/>
      <c r="BQA198" s="2"/>
      <c r="BQB198" s="2"/>
      <c r="BQC198" s="2"/>
      <c r="BQD198" s="2"/>
      <c r="BQE198" s="2"/>
      <c r="BQF198" s="2"/>
      <c r="BQG198" s="2"/>
      <c r="BQH198" s="2"/>
      <c r="BQI198" s="2"/>
      <c r="BQJ198" s="2"/>
      <c r="BQK198" s="2"/>
      <c r="BQL198" s="2"/>
      <c r="BQM198" s="2"/>
      <c r="BQN198" s="2"/>
      <c r="BQO198" s="2"/>
      <c r="BQP198" s="2"/>
      <c r="BQQ198" s="2"/>
      <c r="BQR198" s="2"/>
      <c r="BQS198" s="2"/>
      <c r="BQT198" s="2"/>
      <c r="BQU198" s="2"/>
      <c r="BQV198" s="2"/>
      <c r="BQW198" s="2"/>
      <c r="BQX198" s="2"/>
      <c r="BQY198" s="2"/>
      <c r="BQZ198" s="2"/>
      <c r="BRA198" s="2"/>
      <c r="BRB198" s="2"/>
      <c r="BRC198" s="2"/>
      <c r="BRD198" s="2"/>
      <c r="BRE198" s="2"/>
      <c r="BRF198" s="2"/>
      <c r="BRG198" s="2"/>
      <c r="BRH198" s="2"/>
      <c r="BRI198" s="2"/>
      <c r="BRJ198" s="2"/>
      <c r="BRK198" s="2"/>
      <c r="BRL198" s="2"/>
      <c r="BRM198" s="2"/>
      <c r="BRN198" s="2"/>
      <c r="BRO198" s="2"/>
      <c r="BRP198" s="2"/>
      <c r="BRQ198" s="2"/>
      <c r="BRR198" s="2"/>
      <c r="BRS198" s="2"/>
      <c r="BRT198" s="2"/>
      <c r="BRU198" s="2"/>
      <c r="BRV198" s="2"/>
      <c r="BRW198" s="2"/>
      <c r="BRX198" s="2"/>
      <c r="BRY198" s="2"/>
      <c r="BRZ198" s="2"/>
      <c r="BSA198" s="2"/>
      <c r="BSB198" s="2"/>
      <c r="BSC198" s="2"/>
      <c r="BSD198" s="2"/>
      <c r="BSE198" s="2"/>
      <c r="BSF198" s="2"/>
      <c r="BSG198" s="2"/>
      <c r="BSH198" s="2"/>
      <c r="BSI198" s="2"/>
      <c r="BSJ198" s="2"/>
      <c r="BSK198" s="2"/>
      <c r="BSL198" s="2"/>
      <c r="BSM198" s="2"/>
      <c r="BSN198" s="2"/>
      <c r="BSO198" s="2"/>
      <c r="BSP198" s="2"/>
      <c r="BSQ198" s="2"/>
      <c r="BSR198" s="2"/>
      <c r="BSS198" s="2"/>
      <c r="BST198" s="2"/>
      <c r="BSU198" s="2"/>
      <c r="BSV198" s="2"/>
      <c r="BSW198" s="2"/>
      <c r="BSX198" s="2"/>
      <c r="BSY198" s="2"/>
      <c r="BSZ198" s="2"/>
      <c r="BTA198" s="2"/>
      <c r="BTB198" s="2"/>
      <c r="BTC198" s="2"/>
      <c r="BTD198" s="2"/>
      <c r="BTE198" s="2"/>
      <c r="BTF198" s="2"/>
      <c r="BTG198" s="2"/>
      <c r="BTH198" s="2"/>
      <c r="BTI198" s="2"/>
      <c r="BTJ198" s="2"/>
      <c r="BTK198" s="2"/>
      <c r="BTL198" s="2"/>
      <c r="BTM198" s="2"/>
      <c r="BTN198" s="2"/>
      <c r="BTO198" s="2"/>
      <c r="BTP198" s="2"/>
      <c r="BTQ198" s="2"/>
      <c r="BTR198" s="2"/>
      <c r="BTS198" s="2"/>
      <c r="BTT198" s="2"/>
      <c r="BTU198" s="2"/>
      <c r="BTV198" s="2"/>
      <c r="BTW198" s="2"/>
      <c r="BTX198" s="2"/>
      <c r="BTY198" s="2"/>
      <c r="BTZ198" s="2"/>
      <c r="BUA198" s="2"/>
      <c r="BUB198" s="2"/>
      <c r="BUC198" s="2"/>
      <c r="BUD198" s="2"/>
      <c r="BUE198" s="2"/>
      <c r="BUF198" s="2"/>
      <c r="BUG198" s="2"/>
      <c r="BUH198" s="2"/>
      <c r="BUI198" s="2"/>
      <c r="BUJ198" s="2"/>
      <c r="BUK198" s="2"/>
      <c r="BUL198" s="2"/>
      <c r="BUM198" s="2"/>
      <c r="BUN198" s="2"/>
      <c r="BUO198" s="2"/>
      <c r="BUP198" s="2"/>
      <c r="BUQ198" s="2"/>
      <c r="BUR198" s="2"/>
      <c r="BUS198" s="2"/>
      <c r="BUT198" s="2"/>
      <c r="BUU198" s="2"/>
      <c r="BUV198" s="2"/>
      <c r="BUW198" s="2"/>
      <c r="BUX198" s="2"/>
      <c r="BUY198" s="2"/>
      <c r="BUZ198" s="2"/>
      <c r="BVA198" s="2"/>
      <c r="BVB198" s="2"/>
      <c r="BVC198" s="2"/>
      <c r="BVD198" s="2"/>
      <c r="BVE198" s="2"/>
      <c r="BVF198" s="2"/>
      <c r="BVG198" s="2"/>
      <c r="BVH198" s="2"/>
      <c r="BVI198" s="2"/>
      <c r="BVJ198" s="2"/>
      <c r="BVK198" s="2"/>
      <c r="BVL198" s="2"/>
      <c r="BVM198" s="2"/>
      <c r="BVN198" s="2"/>
      <c r="BVO198" s="2"/>
      <c r="BVP198" s="2"/>
      <c r="BVQ198" s="2"/>
      <c r="BVR198" s="2"/>
      <c r="BVS198" s="2"/>
      <c r="BVT198" s="2"/>
      <c r="BVU198" s="2"/>
      <c r="BVV198" s="2"/>
      <c r="BVW198" s="2"/>
      <c r="BVX198" s="2"/>
      <c r="BVY198" s="2"/>
      <c r="BVZ198" s="2"/>
      <c r="BWA198" s="2"/>
      <c r="BWB198" s="2"/>
      <c r="BWC198" s="2"/>
      <c r="BWD198" s="2"/>
      <c r="BWE198" s="2"/>
      <c r="BWF198" s="2"/>
      <c r="BWG198" s="2"/>
      <c r="BWH198" s="2"/>
      <c r="BWI198" s="2"/>
      <c r="BWJ198" s="2"/>
      <c r="BWK198" s="2"/>
      <c r="BWL198" s="2"/>
      <c r="BWM198" s="2"/>
      <c r="BWN198" s="2"/>
      <c r="BWO198" s="2"/>
      <c r="BWP198" s="2"/>
      <c r="BWQ198" s="2"/>
      <c r="BWR198" s="2"/>
      <c r="BWS198" s="2"/>
      <c r="BWT198" s="2"/>
      <c r="BWU198" s="2"/>
      <c r="BWV198" s="2"/>
      <c r="BWW198" s="2"/>
      <c r="BWX198" s="2"/>
      <c r="BWY198" s="2"/>
      <c r="BWZ198" s="2"/>
      <c r="BXA198" s="2"/>
      <c r="BXB198" s="2"/>
      <c r="BXC198" s="2"/>
      <c r="BXD198" s="2"/>
      <c r="BXE198" s="2"/>
      <c r="BXF198" s="2"/>
      <c r="BXG198" s="2"/>
      <c r="BXH198" s="2"/>
      <c r="BXI198" s="2"/>
      <c r="BXJ198" s="2"/>
      <c r="BXK198" s="2"/>
      <c r="BXL198" s="2"/>
      <c r="BXM198" s="2"/>
      <c r="BXN198" s="2"/>
      <c r="BXO198" s="2"/>
      <c r="BXP198" s="2"/>
      <c r="BXQ198" s="2"/>
      <c r="BXR198" s="2"/>
      <c r="BXS198" s="2"/>
      <c r="BXT198" s="2"/>
      <c r="BXU198" s="2"/>
      <c r="BXV198" s="2"/>
      <c r="BXW198" s="2"/>
      <c r="BXX198" s="2"/>
      <c r="BXY198" s="2"/>
      <c r="BXZ198" s="2"/>
      <c r="BYA198" s="2"/>
      <c r="BYB198" s="2"/>
      <c r="BYC198" s="2"/>
      <c r="BYD198" s="2"/>
      <c r="BYE198" s="2"/>
      <c r="BYF198" s="2"/>
      <c r="BYG198" s="2"/>
      <c r="BYH198" s="2"/>
      <c r="BYI198" s="2"/>
      <c r="BYJ198" s="2"/>
      <c r="BYK198" s="2"/>
      <c r="BYL198" s="2"/>
      <c r="BYM198" s="2"/>
      <c r="BYN198" s="2"/>
      <c r="BYO198" s="2"/>
      <c r="BYP198" s="2"/>
      <c r="BYQ198" s="2"/>
      <c r="BYR198" s="2"/>
      <c r="BYS198" s="2"/>
      <c r="BYT198" s="2"/>
      <c r="BYU198" s="2"/>
      <c r="BYV198" s="2"/>
      <c r="BYW198" s="2"/>
      <c r="BYX198" s="2"/>
      <c r="BYY198" s="2"/>
      <c r="BYZ198" s="2"/>
      <c r="BZA198" s="2"/>
      <c r="BZB198" s="2"/>
      <c r="BZC198" s="2"/>
      <c r="BZD198" s="2"/>
      <c r="BZE198" s="2"/>
      <c r="BZF198" s="2"/>
      <c r="BZG198" s="2"/>
      <c r="BZH198" s="2"/>
      <c r="BZI198" s="2"/>
      <c r="BZJ198" s="2"/>
      <c r="BZK198" s="2"/>
      <c r="BZL198" s="2"/>
      <c r="BZM198" s="2"/>
      <c r="BZN198" s="2"/>
      <c r="BZO198" s="2"/>
      <c r="BZP198" s="2"/>
      <c r="BZQ198" s="2"/>
      <c r="BZR198" s="2"/>
      <c r="BZS198" s="2"/>
      <c r="BZT198" s="2"/>
      <c r="BZU198" s="2"/>
      <c r="BZV198" s="2"/>
      <c r="BZW198" s="2"/>
      <c r="BZX198" s="2"/>
      <c r="BZY198" s="2"/>
      <c r="BZZ198" s="2"/>
      <c r="CAA198" s="2"/>
      <c r="CAB198" s="2"/>
      <c r="CAC198" s="2"/>
      <c r="CAD198" s="2"/>
      <c r="CAE198" s="2"/>
      <c r="CAF198" s="2"/>
      <c r="CAG198" s="2"/>
      <c r="CAH198" s="2"/>
      <c r="CAI198" s="2"/>
      <c r="CAJ198" s="2"/>
      <c r="CAK198" s="2"/>
      <c r="CAL198" s="2"/>
      <c r="CAM198" s="2"/>
      <c r="CAN198" s="2"/>
      <c r="CAO198" s="2"/>
      <c r="CAP198" s="2"/>
      <c r="CAQ198" s="2"/>
      <c r="CAR198" s="2"/>
      <c r="CAS198" s="2"/>
      <c r="CAT198" s="2"/>
      <c r="CAU198" s="2"/>
      <c r="CAV198" s="2"/>
      <c r="CAW198" s="2"/>
      <c r="CAX198" s="2"/>
      <c r="CAY198" s="2"/>
      <c r="CAZ198" s="2"/>
      <c r="CBA198" s="2"/>
      <c r="CBB198" s="2"/>
      <c r="CBC198" s="2"/>
      <c r="CBD198" s="2"/>
      <c r="CBE198" s="2"/>
      <c r="CBF198" s="2"/>
      <c r="CBG198" s="2"/>
      <c r="CBH198" s="2"/>
      <c r="CBI198" s="2"/>
      <c r="CBJ198" s="2"/>
      <c r="CBK198" s="2"/>
      <c r="CBL198" s="2"/>
      <c r="CBM198" s="2"/>
      <c r="CBN198" s="2"/>
      <c r="CBO198" s="2"/>
      <c r="CBP198" s="2"/>
      <c r="CBQ198" s="2"/>
      <c r="CBR198" s="2"/>
      <c r="CBS198" s="2"/>
      <c r="CBT198" s="2"/>
      <c r="CBU198" s="2"/>
      <c r="CBV198" s="2"/>
      <c r="CBW198" s="2"/>
      <c r="CBX198" s="2"/>
      <c r="CBY198" s="2"/>
      <c r="CBZ198" s="2"/>
      <c r="CCA198" s="2"/>
      <c r="CCB198" s="2"/>
      <c r="CCC198" s="2"/>
      <c r="CCD198" s="2"/>
      <c r="CCE198" s="2"/>
      <c r="CCF198" s="2"/>
      <c r="CCG198" s="2"/>
      <c r="CCH198" s="2"/>
      <c r="CCI198" s="2"/>
      <c r="CCJ198" s="2"/>
      <c r="CCK198" s="2"/>
      <c r="CCL198" s="2"/>
      <c r="CCM198" s="2"/>
      <c r="CCN198" s="2"/>
      <c r="CCO198" s="2"/>
      <c r="CCP198" s="2"/>
      <c r="CCQ198" s="2"/>
      <c r="CCR198" s="2"/>
      <c r="CCS198" s="2"/>
      <c r="CCT198" s="2"/>
      <c r="CCU198" s="2"/>
      <c r="CCV198" s="2"/>
      <c r="CCW198" s="2"/>
      <c r="CCX198" s="2"/>
      <c r="CCY198" s="2"/>
      <c r="CCZ198" s="2"/>
      <c r="CDA198" s="2"/>
      <c r="CDB198" s="2"/>
      <c r="CDC198" s="2"/>
      <c r="CDD198" s="2"/>
      <c r="CDE198" s="2"/>
      <c r="CDF198" s="2"/>
      <c r="CDG198" s="2"/>
      <c r="CDH198" s="2"/>
      <c r="CDI198" s="2"/>
      <c r="CDJ198" s="2"/>
      <c r="CDK198" s="2"/>
      <c r="CDL198" s="2"/>
      <c r="CDM198" s="2"/>
      <c r="CDN198" s="2"/>
      <c r="CDO198" s="2"/>
      <c r="CDP198" s="2"/>
      <c r="CDQ198" s="2"/>
      <c r="CDR198" s="2"/>
      <c r="CDS198" s="2"/>
      <c r="CDT198" s="2"/>
      <c r="CDU198" s="2"/>
      <c r="CDV198" s="2"/>
      <c r="CDW198" s="2"/>
      <c r="CDX198" s="2"/>
      <c r="CDY198" s="2"/>
      <c r="CDZ198" s="2"/>
      <c r="CEA198" s="2"/>
      <c r="CEB198" s="2"/>
      <c r="CEC198" s="2"/>
      <c r="CED198" s="2"/>
      <c r="CEE198" s="2"/>
      <c r="CEF198" s="2"/>
      <c r="CEG198" s="2"/>
      <c r="CEH198" s="2"/>
      <c r="CEI198" s="2"/>
      <c r="CEJ198" s="2"/>
      <c r="CEK198" s="2"/>
      <c r="CEL198" s="2"/>
      <c r="CEM198" s="2"/>
      <c r="CEN198" s="2"/>
      <c r="CEO198" s="2"/>
      <c r="CEP198" s="2"/>
      <c r="CEQ198" s="2"/>
      <c r="CER198" s="2"/>
      <c r="CES198" s="2"/>
      <c r="CET198" s="2"/>
      <c r="CEU198" s="2"/>
      <c r="CEV198" s="2"/>
      <c r="CEW198" s="2"/>
      <c r="CEX198" s="2"/>
      <c r="CEY198" s="2"/>
      <c r="CEZ198" s="2"/>
      <c r="CFA198" s="2"/>
      <c r="CFB198" s="2"/>
      <c r="CFC198" s="2"/>
      <c r="CFD198" s="2"/>
      <c r="CFE198" s="2"/>
      <c r="CFF198" s="2"/>
      <c r="CFG198" s="2"/>
      <c r="CFH198" s="2"/>
      <c r="CFI198" s="2"/>
      <c r="CFJ198" s="2"/>
      <c r="CFK198" s="2"/>
      <c r="CFL198" s="2"/>
      <c r="CFM198" s="2"/>
      <c r="CFN198" s="2"/>
      <c r="CFO198" s="2"/>
      <c r="CFP198" s="2"/>
      <c r="CFQ198" s="2"/>
      <c r="CFR198" s="2"/>
      <c r="CFS198" s="2"/>
      <c r="CFT198" s="2"/>
      <c r="CFU198" s="2"/>
      <c r="CFV198" s="2"/>
      <c r="CFW198" s="2"/>
      <c r="CFX198" s="2"/>
      <c r="CFY198" s="2"/>
      <c r="CFZ198" s="2"/>
      <c r="CGA198" s="2"/>
      <c r="CGB198" s="2"/>
      <c r="CGC198" s="2"/>
      <c r="CGD198" s="2"/>
      <c r="CGE198" s="2"/>
      <c r="CGF198" s="2"/>
      <c r="CGG198" s="2"/>
      <c r="CGH198" s="2"/>
      <c r="CGI198" s="2"/>
      <c r="CGJ198" s="2"/>
      <c r="CGK198" s="2"/>
      <c r="CGL198" s="2"/>
      <c r="CGM198" s="2"/>
      <c r="CGN198" s="2"/>
      <c r="CGO198" s="2"/>
      <c r="CGP198" s="2"/>
      <c r="CGQ198" s="2"/>
      <c r="CGR198" s="2"/>
      <c r="CGS198" s="2"/>
      <c r="CGT198" s="2"/>
      <c r="CGU198" s="2"/>
      <c r="CGV198" s="2"/>
      <c r="CGW198" s="2"/>
      <c r="CGX198" s="2"/>
      <c r="CGY198" s="2"/>
      <c r="CGZ198" s="2"/>
      <c r="CHA198" s="2"/>
      <c r="CHB198" s="2"/>
      <c r="CHC198" s="2"/>
      <c r="CHD198" s="2"/>
      <c r="CHE198" s="2"/>
      <c r="CHF198" s="2"/>
      <c r="CHG198" s="2"/>
      <c r="CHH198" s="2"/>
      <c r="CHI198" s="2"/>
      <c r="CHJ198" s="2"/>
      <c r="CHK198" s="2"/>
      <c r="CHL198" s="2"/>
      <c r="CHM198" s="2"/>
      <c r="CHN198" s="2"/>
      <c r="CHO198" s="2"/>
      <c r="CHP198" s="2"/>
      <c r="CHQ198" s="2"/>
      <c r="CHR198" s="2"/>
      <c r="CHS198" s="2"/>
      <c r="CHT198" s="2"/>
      <c r="CHU198" s="2"/>
      <c r="CHV198" s="2"/>
      <c r="CHW198" s="2"/>
      <c r="CHX198" s="2"/>
      <c r="CHY198" s="2"/>
      <c r="CHZ198" s="2"/>
      <c r="CIA198" s="2"/>
      <c r="CIB198" s="2"/>
      <c r="CIC198" s="2"/>
      <c r="CID198" s="2"/>
      <c r="CIE198" s="2"/>
      <c r="CIF198" s="2"/>
      <c r="CIG198" s="2"/>
      <c r="CIH198" s="2"/>
      <c r="CII198" s="2"/>
      <c r="CIJ198" s="2"/>
      <c r="CIK198" s="2"/>
      <c r="CIL198" s="2"/>
      <c r="CIM198" s="2"/>
      <c r="CIN198" s="2"/>
      <c r="CIO198" s="2"/>
      <c r="CIP198" s="2"/>
      <c r="CIQ198" s="2"/>
      <c r="CIR198" s="2"/>
      <c r="CIS198" s="2"/>
      <c r="CIT198" s="2"/>
      <c r="CIU198" s="2"/>
      <c r="CIV198" s="2"/>
      <c r="CIW198" s="2"/>
      <c r="CIX198" s="2"/>
      <c r="CIY198" s="2"/>
      <c r="CIZ198" s="2"/>
      <c r="CJA198" s="2"/>
      <c r="CJB198" s="2"/>
      <c r="CJC198" s="2"/>
      <c r="CJD198" s="2"/>
      <c r="CJE198" s="2"/>
      <c r="CJF198" s="2"/>
      <c r="CJG198" s="2"/>
      <c r="CJH198" s="2"/>
      <c r="CJI198" s="2"/>
      <c r="CJJ198" s="2"/>
      <c r="CJK198" s="2"/>
      <c r="CJL198" s="2"/>
      <c r="CJM198" s="2"/>
      <c r="CJN198" s="2"/>
      <c r="CJO198" s="2"/>
      <c r="CJP198" s="2"/>
      <c r="CJQ198" s="2"/>
      <c r="CJR198" s="2"/>
      <c r="CJS198" s="2"/>
      <c r="CJT198" s="2"/>
      <c r="CJU198" s="2"/>
      <c r="CJV198" s="2"/>
      <c r="CJW198" s="2"/>
      <c r="CJX198" s="2"/>
      <c r="CJY198" s="2"/>
      <c r="CJZ198" s="2"/>
      <c r="CKA198" s="2"/>
      <c r="CKB198" s="2"/>
      <c r="CKC198" s="2"/>
      <c r="CKD198" s="2"/>
      <c r="CKE198" s="2"/>
      <c r="CKF198" s="2"/>
      <c r="CKG198" s="2"/>
      <c r="CKH198" s="2"/>
      <c r="CKI198" s="2"/>
      <c r="CKJ198" s="2"/>
      <c r="CKK198" s="2"/>
      <c r="CKL198" s="2"/>
      <c r="CKM198" s="2"/>
      <c r="CKN198" s="2"/>
      <c r="CKO198" s="2"/>
      <c r="CKP198" s="2"/>
      <c r="CKQ198" s="2"/>
      <c r="CKR198" s="2"/>
      <c r="CKS198" s="2"/>
      <c r="CKT198" s="2"/>
      <c r="CKU198" s="2"/>
      <c r="CKV198" s="2"/>
      <c r="CKW198" s="2"/>
      <c r="CKX198" s="2"/>
      <c r="CKY198" s="2"/>
      <c r="CKZ198" s="2"/>
      <c r="CLA198" s="2"/>
      <c r="CLB198" s="2"/>
      <c r="CLC198" s="2"/>
      <c r="CLD198" s="2"/>
      <c r="CLE198" s="2"/>
      <c r="CLF198" s="2"/>
      <c r="CLG198" s="2"/>
      <c r="CLH198" s="2"/>
      <c r="CLI198" s="2"/>
      <c r="CLJ198" s="2"/>
      <c r="CLK198" s="2"/>
      <c r="CLL198" s="2"/>
      <c r="CLM198" s="2"/>
      <c r="CLN198" s="2"/>
      <c r="CLO198" s="2"/>
      <c r="CLP198" s="2"/>
      <c r="CLQ198" s="2"/>
      <c r="CLR198" s="2"/>
      <c r="CLS198" s="2"/>
      <c r="CLT198" s="2"/>
      <c r="CLU198" s="2"/>
      <c r="CLV198" s="2"/>
      <c r="CLW198" s="2"/>
      <c r="CLX198" s="2"/>
      <c r="CLY198" s="2"/>
      <c r="CLZ198" s="2"/>
      <c r="CMA198" s="2"/>
      <c r="CMB198" s="2"/>
      <c r="CMC198" s="2"/>
      <c r="CMD198" s="2"/>
      <c r="CME198" s="2"/>
      <c r="CMF198" s="2"/>
      <c r="CMG198" s="2"/>
      <c r="CMH198" s="2"/>
      <c r="CMI198" s="2"/>
      <c r="CMJ198" s="2"/>
      <c r="CMK198" s="2"/>
      <c r="CML198" s="2"/>
      <c r="CMM198" s="2"/>
      <c r="CMN198" s="2"/>
      <c r="CMO198" s="2"/>
      <c r="CMP198" s="2"/>
      <c r="CMQ198" s="2"/>
      <c r="CMR198" s="2"/>
      <c r="CMS198" s="2"/>
      <c r="CMT198" s="2"/>
      <c r="CMU198" s="2"/>
      <c r="CMV198" s="2"/>
      <c r="CMW198" s="2"/>
      <c r="CMX198" s="2"/>
      <c r="CMY198" s="2"/>
      <c r="CMZ198" s="2"/>
      <c r="CNA198" s="2"/>
      <c r="CNB198" s="2"/>
      <c r="CNC198" s="2"/>
      <c r="CND198" s="2"/>
      <c r="CNE198" s="2"/>
      <c r="CNF198" s="2"/>
      <c r="CNG198" s="2"/>
      <c r="CNH198" s="2"/>
      <c r="CNI198" s="2"/>
      <c r="CNJ198" s="2"/>
      <c r="CNK198" s="2"/>
      <c r="CNL198" s="2"/>
      <c r="CNM198" s="2"/>
      <c r="CNN198" s="2"/>
      <c r="CNO198" s="2"/>
      <c r="CNP198" s="2"/>
      <c r="CNQ198" s="2"/>
      <c r="CNR198" s="2"/>
      <c r="CNS198" s="2"/>
      <c r="CNT198" s="2"/>
      <c r="CNU198" s="2"/>
      <c r="CNV198" s="2"/>
      <c r="CNW198" s="2"/>
      <c r="CNX198" s="2"/>
      <c r="CNY198" s="2"/>
      <c r="CNZ198" s="2"/>
      <c r="COA198" s="2"/>
      <c r="COB198" s="2"/>
      <c r="COC198" s="2"/>
      <c r="COD198" s="2"/>
      <c r="COE198" s="2"/>
      <c r="COF198" s="2"/>
      <c r="COG198" s="2"/>
      <c r="COH198" s="2"/>
      <c r="COI198" s="2"/>
      <c r="COJ198" s="2"/>
      <c r="COK198" s="2"/>
      <c r="COL198" s="2"/>
      <c r="COM198" s="2"/>
      <c r="CON198" s="2"/>
      <c r="COO198" s="2"/>
      <c r="COP198" s="2"/>
      <c r="COQ198" s="2"/>
      <c r="COR198" s="2"/>
      <c r="COS198" s="2"/>
      <c r="COT198" s="2"/>
      <c r="COU198" s="2"/>
      <c r="COV198" s="2"/>
      <c r="COW198" s="2"/>
      <c r="COX198" s="2"/>
      <c r="COY198" s="2"/>
      <c r="COZ198" s="2"/>
      <c r="CPA198" s="2"/>
      <c r="CPB198" s="2"/>
      <c r="CPC198" s="2"/>
      <c r="CPD198" s="2"/>
      <c r="CPE198" s="2"/>
      <c r="CPF198" s="2"/>
      <c r="CPG198" s="2"/>
      <c r="CPH198" s="2"/>
      <c r="CPI198" s="2"/>
      <c r="CPJ198" s="2"/>
      <c r="CPK198" s="2"/>
      <c r="CPL198" s="2"/>
      <c r="CPM198" s="2"/>
      <c r="CPN198" s="2"/>
      <c r="CPO198" s="2"/>
      <c r="CPP198" s="2"/>
      <c r="CPQ198" s="2"/>
      <c r="CPR198" s="2"/>
      <c r="CPS198" s="2"/>
      <c r="CPT198" s="2"/>
      <c r="CPU198" s="2"/>
      <c r="CPV198" s="2"/>
      <c r="CPW198" s="2"/>
      <c r="CPX198" s="2"/>
      <c r="CPY198" s="2"/>
      <c r="CPZ198" s="2"/>
      <c r="CQA198" s="2"/>
      <c r="CQB198" s="2"/>
      <c r="CQC198" s="2"/>
      <c r="CQD198" s="2"/>
      <c r="CQE198" s="2"/>
      <c r="CQF198" s="2"/>
      <c r="CQG198" s="2"/>
      <c r="CQH198" s="2"/>
      <c r="CQI198" s="2"/>
      <c r="CQJ198" s="2"/>
      <c r="CQK198" s="2"/>
      <c r="CQL198" s="2"/>
      <c r="CQM198" s="2"/>
      <c r="CQN198" s="2"/>
      <c r="CQO198" s="2"/>
      <c r="CQP198" s="2"/>
      <c r="CQQ198" s="2"/>
      <c r="CQR198" s="2"/>
      <c r="CQS198" s="2"/>
      <c r="CQT198" s="2"/>
      <c r="CQU198" s="2"/>
      <c r="CQV198" s="2"/>
      <c r="CQW198" s="2"/>
      <c r="CQX198" s="2"/>
      <c r="CQY198" s="2"/>
      <c r="CQZ198" s="2"/>
      <c r="CRA198" s="2"/>
      <c r="CRB198" s="2"/>
      <c r="CRC198" s="2"/>
      <c r="CRD198" s="2"/>
      <c r="CRE198" s="2"/>
      <c r="CRF198" s="2"/>
      <c r="CRG198" s="2"/>
      <c r="CRH198" s="2"/>
      <c r="CRI198" s="2"/>
      <c r="CRJ198" s="2"/>
      <c r="CRK198" s="2"/>
      <c r="CRL198" s="2"/>
      <c r="CRM198" s="2"/>
      <c r="CRN198" s="2"/>
      <c r="CRO198" s="2"/>
      <c r="CRP198" s="2"/>
      <c r="CRQ198" s="2"/>
      <c r="CRR198" s="2"/>
      <c r="CRS198" s="2"/>
      <c r="CRT198" s="2"/>
      <c r="CRU198" s="2"/>
      <c r="CRV198" s="2"/>
      <c r="CRW198" s="2"/>
      <c r="CRX198" s="2"/>
      <c r="CRY198" s="2"/>
      <c r="CRZ198" s="2"/>
      <c r="CSA198" s="2"/>
      <c r="CSB198" s="2"/>
      <c r="CSC198" s="2"/>
      <c r="CSD198" s="2"/>
      <c r="CSE198" s="2"/>
      <c r="CSF198" s="2"/>
      <c r="CSG198" s="2"/>
      <c r="CSH198" s="2"/>
      <c r="CSI198" s="2"/>
      <c r="CSJ198" s="2"/>
      <c r="CSK198" s="2"/>
      <c r="CSL198" s="2"/>
      <c r="CSM198" s="2"/>
      <c r="CSN198" s="2"/>
      <c r="CSO198" s="2"/>
      <c r="CSP198" s="2"/>
      <c r="CSQ198" s="2"/>
      <c r="CSR198" s="2"/>
      <c r="CSS198" s="2"/>
      <c r="CST198" s="2"/>
      <c r="CSU198" s="2"/>
      <c r="CSV198" s="2"/>
      <c r="CSW198" s="2"/>
      <c r="CSX198" s="2"/>
      <c r="CSY198" s="2"/>
      <c r="CSZ198" s="2"/>
      <c r="CTA198" s="2"/>
      <c r="CTB198" s="2"/>
      <c r="CTC198" s="2"/>
      <c r="CTD198" s="2"/>
      <c r="CTE198" s="2"/>
      <c r="CTF198" s="2"/>
      <c r="CTG198" s="2"/>
      <c r="CTH198" s="2"/>
      <c r="CTI198" s="2"/>
      <c r="CTJ198" s="2"/>
      <c r="CTK198" s="2"/>
      <c r="CTL198" s="2"/>
      <c r="CTM198" s="2"/>
      <c r="CTN198" s="2"/>
      <c r="CTO198" s="2"/>
      <c r="CTP198" s="2"/>
      <c r="CTQ198" s="2"/>
      <c r="CTR198" s="2"/>
      <c r="CTS198" s="2"/>
      <c r="CTT198" s="2"/>
      <c r="CTU198" s="2"/>
      <c r="CTV198" s="2"/>
      <c r="CTW198" s="2"/>
      <c r="CTX198" s="2"/>
      <c r="CTY198" s="2"/>
      <c r="CTZ198" s="2"/>
      <c r="CUA198" s="2"/>
      <c r="CUB198" s="2"/>
      <c r="CUC198" s="2"/>
      <c r="CUD198" s="2"/>
      <c r="CUE198" s="2"/>
      <c r="CUF198" s="2"/>
      <c r="CUG198" s="2"/>
      <c r="CUH198" s="2"/>
      <c r="CUI198" s="2"/>
      <c r="CUJ198" s="2"/>
      <c r="CUK198" s="2"/>
      <c r="CUL198" s="2"/>
      <c r="CUM198" s="2"/>
      <c r="CUN198" s="2"/>
      <c r="CUO198" s="2"/>
      <c r="CUP198" s="2"/>
      <c r="CUQ198" s="2"/>
      <c r="CUR198" s="2"/>
      <c r="CUS198" s="2"/>
      <c r="CUT198" s="2"/>
      <c r="CUU198" s="2"/>
      <c r="CUV198" s="2"/>
      <c r="CUW198" s="2"/>
      <c r="CUX198" s="2"/>
      <c r="CUY198" s="2"/>
      <c r="CUZ198" s="2"/>
      <c r="CVA198" s="2"/>
      <c r="CVB198" s="2"/>
      <c r="CVC198" s="2"/>
      <c r="CVD198" s="2"/>
      <c r="CVE198" s="2"/>
      <c r="CVF198" s="2"/>
      <c r="CVG198" s="2"/>
      <c r="CVH198" s="2"/>
      <c r="CVI198" s="2"/>
      <c r="CVJ198" s="2"/>
      <c r="CVK198" s="2"/>
      <c r="CVL198" s="2"/>
      <c r="CVM198" s="2"/>
      <c r="CVN198" s="2"/>
      <c r="CVO198" s="2"/>
      <c r="CVP198" s="2"/>
      <c r="CVQ198" s="2"/>
      <c r="CVR198" s="2"/>
      <c r="CVS198" s="2"/>
      <c r="CVT198" s="2"/>
      <c r="CVU198" s="2"/>
      <c r="CVV198" s="2"/>
      <c r="CVW198" s="2"/>
      <c r="CVX198" s="2"/>
      <c r="CVY198" s="2"/>
      <c r="CVZ198" s="2"/>
      <c r="CWA198" s="2"/>
      <c r="CWB198" s="2"/>
      <c r="CWC198" s="2"/>
      <c r="CWD198" s="2"/>
      <c r="CWE198" s="2"/>
      <c r="CWF198" s="2"/>
      <c r="CWG198" s="2"/>
      <c r="CWH198" s="2"/>
      <c r="CWI198" s="2"/>
      <c r="CWJ198" s="2"/>
      <c r="CWK198" s="2"/>
      <c r="CWL198" s="2"/>
      <c r="CWM198" s="2"/>
      <c r="CWN198" s="2"/>
      <c r="CWO198" s="2"/>
      <c r="CWP198" s="2"/>
      <c r="CWQ198" s="2"/>
      <c r="CWR198" s="2"/>
      <c r="CWS198" s="2"/>
      <c r="CWT198" s="2"/>
      <c r="CWU198" s="2"/>
      <c r="CWV198" s="2"/>
      <c r="CWW198" s="2"/>
      <c r="CWX198" s="2"/>
      <c r="CWY198" s="2"/>
      <c r="CWZ198" s="2"/>
      <c r="CXA198" s="2"/>
      <c r="CXB198" s="2"/>
      <c r="CXC198" s="2"/>
      <c r="CXD198" s="2"/>
      <c r="CXE198" s="2"/>
      <c r="CXF198" s="2"/>
      <c r="CXG198" s="2"/>
      <c r="CXH198" s="2"/>
      <c r="CXI198" s="2"/>
      <c r="CXJ198" s="2"/>
      <c r="CXK198" s="2"/>
      <c r="CXL198" s="2"/>
      <c r="CXM198" s="2"/>
      <c r="CXN198" s="2"/>
      <c r="CXO198" s="2"/>
      <c r="CXP198" s="2"/>
      <c r="CXQ198" s="2"/>
      <c r="CXR198" s="2"/>
      <c r="CXS198" s="2"/>
      <c r="CXT198" s="2"/>
      <c r="CXU198" s="2"/>
      <c r="CXV198" s="2"/>
      <c r="CXW198" s="2"/>
      <c r="CXX198" s="2"/>
      <c r="CXY198" s="2"/>
      <c r="CXZ198" s="2"/>
      <c r="CYA198" s="2"/>
      <c r="CYB198" s="2"/>
      <c r="CYC198" s="2"/>
      <c r="CYD198" s="2"/>
      <c r="CYE198" s="2"/>
      <c r="CYF198" s="2"/>
      <c r="CYG198" s="2"/>
      <c r="CYH198" s="2"/>
      <c r="CYI198" s="2"/>
      <c r="CYJ198" s="2"/>
      <c r="CYK198" s="2"/>
      <c r="CYL198" s="2"/>
      <c r="CYM198" s="2"/>
      <c r="CYN198" s="2"/>
      <c r="CYO198" s="2"/>
      <c r="CYP198" s="2"/>
      <c r="CYQ198" s="2"/>
      <c r="CYR198" s="2"/>
      <c r="CYS198" s="2"/>
      <c r="CYT198" s="2"/>
      <c r="CYU198" s="2"/>
      <c r="CYV198" s="2"/>
      <c r="CYW198" s="2"/>
      <c r="CYX198" s="2"/>
      <c r="CYY198" s="2"/>
      <c r="CYZ198" s="2"/>
      <c r="CZA198" s="2"/>
      <c r="CZB198" s="2"/>
      <c r="CZC198" s="2"/>
      <c r="CZD198" s="2"/>
      <c r="CZE198" s="2"/>
      <c r="CZF198" s="2"/>
      <c r="CZG198" s="2"/>
      <c r="CZH198" s="2"/>
      <c r="CZI198" s="2"/>
      <c r="CZJ198" s="2"/>
      <c r="CZK198" s="2"/>
      <c r="CZL198" s="2"/>
      <c r="CZM198" s="2"/>
      <c r="CZN198" s="2"/>
      <c r="CZO198" s="2"/>
      <c r="CZP198" s="2"/>
      <c r="CZQ198" s="2"/>
      <c r="CZR198" s="2"/>
      <c r="CZS198" s="2"/>
      <c r="CZT198" s="2"/>
      <c r="CZU198" s="2"/>
      <c r="CZV198" s="2"/>
      <c r="CZW198" s="2"/>
      <c r="CZX198" s="2"/>
      <c r="CZY198" s="2"/>
      <c r="CZZ198" s="2"/>
      <c r="DAA198" s="2"/>
      <c r="DAB198" s="2"/>
      <c r="DAC198" s="2"/>
      <c r="DAD198" s="2"/>
      <c r="DAE198" s="2"/>
      <c r="DAF198" s="2"/>
      <c r="DAG198" s="2"/>
      <c r="DAH198" s="2"/>
      <c r="DAI198" s="2"/>
      <c r="DAJ198" s="2"/>
      <c r="DAK198" s="2"/>
      <c r="DAL198" s="2"/>
      <c r="DAM198" s="2"/>
      <c r="DAN198" s="2"/>
      <c r="DAO198" s="2"/>
      <c r="DAP198" s="2"/>
      <c r="DAQ198" s="2"/>
      <c r="DAR198" s="2"/>
      <c r="DAS198" s="2"/>
      <c r="DAT198" s="2"/>
      <c r="DAU198" s="2"/>
      <c r="DAV198" s="2"/>
      <c r="DAW198" s="2"/>
      <c r="DAX198" s="2"/>
      <c r="DAY198" s="2"/>
      <c r="DAZ198" s="2"/>
      <c r="DBA198" s="2"/>
      <c r="DBB198" s="2"/>
      <c r="DBC198" s="2"/>
      <c r="DBD198" s="2"/>
      <c r="DBE198" s="2"/>
      <c r="DBF198" s="2"/>
      <c r="DBG198" s="2"/>
      <c r="DBH198" s="2"/>
      <c r="DBI198" s="2"/>
      <c r="DBJ198" s="2"/>
      <c r="DBK198" s="2"/>
      <c r="DBL198" s="2"/>
      <c r="DBM198" s="2"/>
      <c r="DBN198" s="2"/>
      <c r="DBO198" s="2"/>
      <c r="DBP198" s="2"/>
      <c r="DBQ198" s="2"/>
      <c r="DBR198" s="2"/>
      <c r="DBS198" s="2"/>
      <c r="DBT198" s="2"/>
      <c r="DBU198" s="2"/>
      <c r="DBV198" s="2"/>
      <c r="DBW198" s="2"/>
      <c r="DBX198" s="2"/>
      <c r="DBY198" s="2"/>
      <c r="DBZ198" s="2"/>
      <c r="DCA198" s="2"/>
      <c r="DCB198" s="2"/>
      <c r="DCC198" s="2"/>
      <c r="DCD198" s="2"/>
      <c r="DCE198" s="2"/>
      <c r="DCF198" s="2"/>
      <c r="DCG198" s="2"/>
      <c r="DCH198" s="2"/>
      <c r="DCI198" s="2"/>
      <c r="DCJ198" s="2"/>
      <c r="DCK198" s="2"/>
      <c r="DCL198" s="2"/>
      <c r="DCM198" s="2"/>
      <c r="DCN198" s="2"/>
      <c r="DCO198" s="2"/>
      <c r="DCP198" s="2"/>
      <c r="DCQ198" s="2"/>
      <c r="DCR198" s="2"/>
      <c r="DCS198" s="2"/>
      <c r="DCT198" s="2"/>
      <c r="DCU198" s="2"/>
      <c r="DCV198" s="2"/>
      <c r="DCW198" s="2"/>
      <c r="DCX198" s="2"/>
      <c r="DCY198" s="2"/>
      <c r="DCZ198" s="2"/>
      <c r="DDA198" s="2"/>
      <c r="DDB198" s="2"/>
      <c r="DDC198" s="2"/>
      <c r="DDD198" s="2"/>
      <c r="DDE198" s="2"/>
      <c r="DDF198" s="2"/>
      <c r="DDG198" s="2"/>
      <c r="DDH198" s="2"/>
      <c r="DDI198" s="2"/>
      <c r="DDJ198" s="2"/>
      <c r="DDK198" s="2"/>
      <c r="DDL198" s="2"/>
      <c r="DDM198" s="2"/>
      <c r="DDN198" s="2"/>
      <c r="DDO198" s="2"/>
      <c r="DDP198" s="2"/>
      <c r="DDQ198" s="2"/>
      <c r="DDR198" s="2"/>
      <c r="DDS198" s="2"/>
      <c r="DDT198" s="2"/>
      <c r="DDU198" s="2"/>
      <c r="DDV198" s="2"/>
      <c r="DDW198" s="2"/>
      <c r="DDX198" s="2"/>
      <c r="DDY198" s="2"/>
      <c r="DDZ198" s="2"/>
      <c r="DEA198" s="2"/>
      <c r="DEB198" s="2"/>
      <c r="DEC198" s="2"/>
      <c r="DED198" s="2"/>
      <c r="DEE198" s="2"/>
      <c r="DEF198" s="2"/>
      <c r="DEG198" s="2"/>
      <c r="DEH198" s="2"/>
      <c r="DEI198" s="2"/>
      <c r="DEJ198" s="2"/>
      <c r="DEK198" s="2"/>
      <c r="DEL198" s="2"/>
      <c r="DEM198" s="2"/>
      <c r="DEN198" s="2"/>
      <c r="DEO198" s="2"/>
      <c r="DEP198" s="2"/>
      <c r="DEQ198" s="2"/>
      <c r="DER198" s="2"/>
      <c r="DES198" s="2"/>
      <c r="DET198" s="2"/>
      <c r="DEU198" s="2"/>
      <c r="DEV198" s="2"/>
      <c r="DEW198" s="2"/>
      <c r="DEX198" s="2"/>
      <c r="DEY198" s="2"/>
      <c r="DEZ198" s="2"/>
      <c r="DFA198" s="2"/>
      <c r="DFB198" s="2"/>
      <c r="DFC198" s="2"/>
      <c r="DFD198" s="2"/>
      <c r="DFE198" s="2"/>
      <c r="DFF198" s="2"/>
      <c r="DFG198" s="2"/>
      <c r="DFH198" s="2"/>
      <c r="DFI198" s="2"/>
      <c r="DFJ198" s="2"/>
      <c r="DFK198" s="2"/>
      <c r="DFL198" s="2"/>
      <c r="DFM198" s="2"/>
      <c r="DFN198" s="2"/>
      <c r="DFO198" s="2"/>
      <c r="DFP198" s="2"/>
      <c r="DFQ198" s="2"/>
      <c r="DFR198" s="2"/>
      <c r="DFS198" s="2"/>
      <c r="DFT198" s="2"/>
      <c r="DFU198" s="2"/>
      <c r="DFV198" s="2"/>
      <c r="DFW198" s="2"/>
      <c r="DFX198" s="2"/>
      <c r="DFY198" s="2"/>
      <c r="DFZ198" s="2"/>
      <c r="DGA198" s="2"/>
      <c r="DGB198" s="2"/>
      <c r="DGC198" s="2"/>
      <c r="DGD198" s="2"/>
      <c r="DGE198" s="2"/>
      <c r="DGF198" s="2"/>
      <c r="DGG198" s="2"/>
      <c r="DGH198" s="2"/>
      <c r="DGI198" s="2"/>
      <c r="DGJ198" s="2"/>
      <c r="DGK198" s="2"/>
      <c r="DGL198" s="2"/>
      <c r="DGM198" s="2"/>
      <c r="DGN198" s="2"/>
      <c r="DGO198" s="2"/>
      <c r="DGP198" s="2"/>
      <c r="DGQ198" s="2"/>
      <c r="DGR198" s="2"/>
      <c r="DGS198" s="2"/>
      <c r="DGT198" s="2"/>
      <c r="DGU198" s="2"/>
      <c r="DGV198" s="2"/>
      <c r="DGW198" s="2"/>
      <c r="DGX198" s="2"/>
      <c r="DGY198" s="2"/>
      <c r="DGZ198" s="2"/>
      <c r="DHA198" s="2"/>
      <c r="DHB198" s="2"/>
      <c r="DHC198" s="2"/>
      <c r="DHD198" s="2"/>
      <c r="DHE198" s="2"/>
      <c r="DHF198" s="2"/>
      <c r="DHG198" s="2"/>
      <c r="DHH198" s="2"/>
      <c r="DHI198" s="2"/>
      <c r="DHJ198" s="2"/>
      <c r="DHK198" s="2"/>
      <c r="DHL198" s="2"/>
      <c r="DHM198" s="2"/>
      <c r="DHN198" s="2"/>
      <c r="DHO198" s="2"/>
      <c r="DHP198" s="2"/>
      <c r="DHQ198" s="2"/>
      <c r="DHR198" s="2"/>
      <c r="DHS198" s="2"/>
      <c r="DHT198" s="2"/>
      <c r="DHU198" s="2"/>
      <c r="DHV198" s="2"/>
      <c r="DHW198" s="2"/>
      <c r="DHX198" s="2"/>
      <c r="DHY198" s="2"/>
      <c r="DHZ198" s="2"/>
      <c r="DIA198" s="2"/>
      <c r="DIB198" s="2"/>
      <c r="DIC198" s="2"/>
      <c r="DID198" s="2"/>
      <c r="DIE198" s="2"/>
      <c r="DIF198" s="2"/>
      <c r="DIG198" s="2"/>
      <c r="DIH198" s="2"/>
      <c r="DII198" s="2"/>
      <c r="DIJ198" s="2"/>
      <c r="DIK198" s="2"/>
      <c r="DIL198" s="2"/>
      <c r="DIM198" s="2"/>
      <c r="DIN198" s="2"/>
      <c r="DIO198" s="2"/>
      <c r="DIP198" s="2"/>
      <c r="DIQ198" s="2"/>
      <c r="DIR198" s="2"/>
      <c r="DIS198" s="2"/>
      <c r="DIT198" s="2"/>
      <c r="DIU198" s="2"/>
      <c r="DIV198" s="2"/>
      <c r="DIW198" s="2"/>
      <c r="DIX198" s="2"/>
      <c r="DIY198" s="2"/>
      <c r="DIZ198" s="2"/>
      <c r="DJA198" s="2"/>
      <c r="DJB198" s="2"/>
      <c r="DJC198" s="2"/>
      <c r="DJD198" s="2"/>
      <c r="DJE198" s="2"/>
      <c r="DJF198" s="2"/>
      <c r="DJG198" s="2"/>
      <c r="DJH198" s="2"/>
      <c r="DJI198" s="2"/>
      <c r="DJJ198" s="2"/>
      <c r="DJK198" s="2"/>
      <c r="DJL198" s="2"/>
      <c r="DJM198" s="2"/>
      <c r="DJN198" s="2"/>
      <c r="DJO198" s="2"/>
      <c r="DJP198" s="2"/>
      <c r="DJQ198" s="2"/>
      <c r="DJR198" s="2"/>
      <c r="DJS198" s="2"/>
      <c r="DJT198" s="2"/>
      <c r="DJU198" s="2"/>
      <c r="DJV198" s="2"/>
      <c r="DJW198" s="2"/>
      <c r="DJX198" s="2"/>
      <c r="DJY198" s="2"/>
      <c r="DJZ198" s="2"/>
      <c r="DKA198" s="2"/>
      <c r="DKB198" s="2"/>
      <c r="DKC198" s="2"/>
      <c r="DKD198" s="2"/>
      <c r="DKE198" s="2"/>
      <c r="DKF198" s="2"/>
      <c r="DKG198" s="2"/>
      <c r="DKH198" s="2"/>
      <c r="DKI198" s="2"/>
      <c r="DKJ198" s="2"/>
      <c r="DKK198" s="2"/>
      <c r="DKL198" s="2"/>
      <c r="DKM198" s="2"/>
      <c r="DKN198" s="2"/>
      <c r="DKO198" s="2"/>
      <c r="DKP198" s="2"/>
      <c r="DKQ198" s="2"/>
      <c r="DKR198" s="2"/>
      <c r="DKS198" s="2"/>
      <c r="DKT198" s="2"/>
      <c r="DKU198" s="2"/>
      <c r="DKV198" s="2"/>
      <c r="DKW198" s="2"/>
      <c r="DKX198" s="2"/>
      <c r="DKY198" s="2"/>
      <c r="DKZ198" s="2"/>
      <c r="DLA198" s="2"/>
      <c r="DLB198" s="2"/>
      <c r="DLC198" s="2"/>
      <c r="DLD198" s="2"/>
      <c r="DLE198" s="2"/>
      <c r="DLF198" s="2"/>
      <c r="DLG198" s="2"/>
      <c r="DLH198" s="2"/>
      <c r="DLI198" s="2"/>
      <c r="DLJ198" s="2"/>
      <c r="DLK198" s="2"/>
      <c r="DLL198" s="2"/>
      <c r="DLM198" s="2"/>
      <c r="DLN198" s="2"/>
      <c r="DLO198" s="2"/>
      <c r="DLP198" s="2"/>
      <c r="DLQ198" s="2"/>
      <c r="DLR198" s="2"/>
      <c r="DLS198" s="2"/>
      <c r="DLT198" s="2"/>
      <c r="DLU198" s="2"/>
      <c r="DLV198" s="2"/>
      <c r="DLW198" s="2"/>
      <c r="DLX198" s="2"/>
      <c r="DLY198" s="2"/>
      <c r="DLZ198" s="2"/>
      <c r="DMA198" s="2"/>
      <c r="DMB198" s="2"/>
      <c r="DMC198" s="2"/>
      <c r="DMD198" s="2"/>
      <c r="DME198" s="2"/>
      <c r="DMF198" s="2"/>
      <c r="DMG198" s="2"/>
      <c r="DMH198" s="2"/>
      <c r="DMI198" s="2"/>
      <c r="DMJ198" s="2"/>
      <c r="DMK198" s="2"/>
      <c r="DML198" s="2"/>
      <c r="DMM198" s="2"/>
      <c r="DMN198" s="2"/>
      <c r="DMO198" s="2"/>
      <c r="DMP198" s="2"/>
      <c r="DMQ198" s="2"/>
      <c r="DMR198" s="2"/>
      <c r="DMS198" s="2"/>
      <c r="DMT198" s="2"/>
      <c r="DMU198" s="2"/>
      <c r="DMV198" s="2"/>
      <c r="DMW198" s="2"/>
      <c r="DMX198" s="2"/>
      <c r="DMY198" s="2"/>
      <c r="DMZ198" s="2"/>
      <c r="DNA198" s="2"/>
      <c r="DNB198" s="2"/>
      <c r="DNC198" s="2"/>
      <c r="DND198" s="2"/>
      <c r="DNE198" s="2"/>
      <c r="DNF198" s="2"/>
      <c r="DNG198" s="2"/>
      <c r="DNH198" s="2"/>
      <c r="DNI198" s="2"/>
      <c r="DNJ198" s="2"/>
      <c r="DNK198" s="2"/>
      <c r="DNL198" s="2"/>
      <c r="DNM198" s="2"/>
      <c r="DNN198" s="2"/>
      <c r="DNO198" s="2"/>
      <c r="DNP198" s="2"/>
      <c r="DNQ198" s="2"/>
      <c r="DNR198" s="2"/>
      <c r="DNS198" s="2"/>
      <c r="DNT198" s="2"/>
      <c r="DNU198" s="2"/>
      <c r="DNV198" s="2"/>
      <c r="DNW198" s="2"/>
      <c r="DNX198" s="2"/>
      <c r="DNY198" s="2"/>
      <c r="DNZ198" s="2"/>
      <c r="DOA198" s="2"/>
      <c r="DOB198" s="2"/>
      <c r="DOC198" s="2"/>
      <c r="DOD198" s="2"/>
      <c r="DOE198" s="2"/>
      <c r="DOF198" s="2"/>
      <c r="DOG198" s="2"/>
      <c r="DOH198" s="2"/>
      <c r="DOI198" s="2"/>
      <c r="DOJ198" s="2"/>
      <c r="DOK198" s="2"/>
      <c r="DOL198" s="2"/>
      <c r="DOM198" s="2"/>
      <c r="DON198" s="2"/>
      <c r="DOO198" s="2"/>
      <c r="DOP198" s="2"/>
      <c r="DOQ198" s="2"/>
      <c r="DOR198" s="2"/>
      <c r="DOS198" s="2"/>
      <c r="DOT198" s="2"/>
      <c r="DOU198" s="2"/>
      <c r="DOV198" s="2"/>
      <c r="DOW198" s="2"/>
      <c r="DOX198" s="2"/>
      <c r="DOY198" s="2"/>
      <c r="DOZ198" s="2"/>
      <c r="DPA198" s="2"/>
      <c r="DPB198" s="2"/>
      <c r="DPC198" s="2"/>
      <c r="DPD198" s="2"/>
      <c r="DPE198" s="2"/>
      <c r="DPF198" s="2"/>
      <c r="DPG198" s="2"/>
      <c r="DPH198" s="2"/>
      <c r="DPI198" s="2"/>
      <c r="DPJ198" s="2"/>
      <c r="DPK198" s="2"/>
      <c r="DPL198" s="2"/>
      <c r="DPM198" s="2"/>
      <c r="DPN198" s="2"/>
      <c r="DPO198" s="2"/>
      <c r="DPP198" s="2"/>
      <c r="DPQ198" s="2"/>
      <c r="DPR198" s="2"/>
      <c r="DPS198" s="2"/>
      <c r="DPT198" s="2"/>
      <c r="DPU198" s="2"/>
      <c r="DPV198" s="2"/>
      <c r="DPW198" s="2"/>
      <c r="DPX198" s="2"/>
      <c r="DPY198" s="2"/>
      <c r="DPZ198" s="2"/>
      <c r="DQA198" s="2"/>
      <c r="DQB198" s="2"/>
      <c r="DQC198" s="2"/>
      <c r="DQD198" s="2"/>
      <c r="DQE198" s="2"/>
      <c r="DQF198" s="2"/>
      <c r="DQG198" s="2"/>
      <c r="DQH198" s="2"/>
      <c r="DQI198" s="2"/>
      <c r="DQJ198" s="2"/>
      <c r="DQK198" s="2"/>
      <c r="DQL198" s="2"/>
      <c r="DQM198" s="2"/>
      <c r="DQN198" s="2"/>
      <c r="DQO198" s="2"/>
      <c r="DQP198" s="2"/>
      <c r="DQQ198" s="2"/>
      <c r="DQR198" s="2"/>
      <c r="DQS198" s="2"/>
      <c r="DQT198" s="2"/>
      <c r="DQU198" s="2"/>
      <c r="DQV198" s="2"/>
      <c r="DQW198" s="2"/>
      <c r="DQX198" s="2"/>
      <c r="DQY198" s="2"/>
      <c r="DQZ198" s="2"/>
      <c r="DRA198" s="2"/>
      <c r="DRB198" s="2"/>
      <c r="DRC198" s="2"/>
      <c r="DRD198" s="2"/>
      <c r="DRE198" s="2"/>
      <c r="DRF198" s="2"/>
      <c r="DRG198" s="2"/>
      <c r="DRH198" s="2"/>
      <c r="DRI198" s="2"/>
      <c r="DRJ198" s="2"/>
      <c r="DRK198" s="2"/>
      <c r="DRL198" s="2"/>
      <c r="DRM198" s="2"/>
      <c r="DRN198" s="2"/>
      <c r="DRO198" s="2"/>
      <c r="DRP198" s="2"/>
      <c r="DRQ198" s="2"/>
      <c r="DRR198" s="2"/>
      <c r="DRS198" s="2"/>
      <c r="DRT198" s="2"/>
      <c r="DRU198" s="2"/>
      <c r="DRV198" s="2"/>
      <c r="DRW198" s="2"/>
      <c r="DRX198" s="2"/>
      <c r="DRY198" s="2"/>
      <c r="DRZ198" s="2"/>
      <c r="DSA198" s="2"/>
      <c r="DSB198" s="2"/>
      <c r="DSC198" s="2"/>
      <c r="DSD198" s="2"/>
      <c r="DSE198" s="2"/>
      <c r="DSF198" s="2"/>
      <c r="DSG198" s="2"/>
      <c r="DSH198" s="2"/>
      <c r="DSI198" s="2"/>
      <c r="DSJ198" s="2"/>
      <c r="DSK198" s="2"/>
      <c r="DSL198" s="2"/>
      <c r="DSM198" s="2"/>
      <c r="DSN198" s="2"/>
      <c r="DSO198" s="2"/>
      <c r="DSP198" s="2"/>
      <c r="DSQ198" s="2"/>
      <c r="DSR198" s="2"/>
      <c r="DSS198" s="2"/>
      <c r="DST198" s="2"/>
      <c r="DSU198" s="2"/>
      <c r="DSV198" s="2"/>
      <c r="DSW198" s="2"/>
      <c r="DSX198" s="2"/>
      <c r="DSY198" s="2"/>
      <c r="DSZ198" s="2"/>
      <c r="DTA198" s="2"/>
      <c r="DTB198" s="2"/>
      <c r="DTC198" s="2"/>
      <c r="DTD198" s="2"/>
      <c r="DTE198" s="2"/>
      <c r="DTF198" s="2"/>
      <c r="DTG198" s="2"/>
      <c r="DTH198" s="2"/>
      <c r="DTI198" s="2"/>
      <c r="DTJ198" s="2"/>
      <c r="DTK198" s="2"/>
      <c r="DTL198" s="2"/>
      <c r="DTM198" s="2"/>
      <c r="DTN198" s="2"/>
      <c r="DTO198" s="2"/>
      <c r="DTP198" s="2"/>
      <c r="DTQ198" s="2"/>
      <c r="DTR198" s="2"/>
      <c r="DTS198" s="2"/>
      <c r="DTT198" s="2"/>
      <c r="DTU198" s="2"/>
      <c r="DTV198" s="2"/>
      <c r="DTW198" s="2"/>
      <c r="DTX198" s="2"/>
      <c r="DTY198" s="2"/>
      <c r="DTZ198" s="2"/>
      <c r="DUA198" s="2"/>
      <c r="DUB198" s="2"/>
      <c r="DUC198" s="2"/>
      <c r="DUD198" s="2"/>
      <c r="DUE198" s="2"/>
      <c r="DUF198" s="2"/>
      <c r="DUG198" s="2"/>
      <c r="DUH198" s="2"/>
      <c r="DUI198" s="2"/>
      <c r="DUJ198" s="2"/>
      <c r="DUK198" s="2"/>
      <c r="DUL198" s="2"/>
      <c r="DUM198" s="2"/>
      <c r="DUN198" s="2"/>
      <c r="DUO198" s="2"/>
      <c r="DUP198" s="2"/>
      <c r="DUQ198" s="2"/>
      <c r="DUR198" s="2"/>
      <c r="DUS198" s="2"/>
      <c r="DUT198" s="2"/>
      <c r="DUU198" s="2"/>
      <c r="DUV198" s="2"/>
      <c r="DUW198" s="2"/>
      <c r="DUX198" s="2"/>
      <c r="DUY198" s="2"/>
      <c r="DUZ198" s="2"/>
      <c r="DVA198" s="2"/>
      <c r="DVB198" s="2"/>
      <c r="DVC198" s="2"/>
      <c r="DVD198" s="2"/>
      <c r="DVE198" s="2"/>
      <c r="DVF198" s="2"/>
      <c r="DVG198" s="2"/>
      <c r="DVH198" s="2"/>
      <c r="DVI198" s="2"/>
      <c r="DVJ198" s="2"/>
      <c r="DVK198" s="2"/>
      <c r="DVL198" s="2"/>
      <c r="DVM198" s="2"/>
      <c r="DVN198" s="2"/>
      <c r="DVO198" s="2"/>
      <c r="DVP198" s="2"/>
      <c r="DVQ198" s="2"/>
      <c r="DVR198" s="2"/>
      <c r="DVS198" s="2"/>
      <c r="DVT198" s="2"/>
      <c r="DVU198" s="2"/>
      <c r="DVV198" s="2"/>
      <c r="DVW198" s="2"/>
      <c r="DVX198" s="2"/>
      <c r="DVY198" s="2"/>
      <c r="DVZ198" s="2"/>
      <c r="DWA198" s="2"/>
      <c r="DWB198" s="2"/>
      <c r="DWC198" s="2"/>
      <c r="DWD198" s="2"/>
      <c r="DWE198" s="2"/>
      <c r="DWF198" s="2"/>
      <c r="DWG198" s="2"/>
      <c r="DWH198" s="2"/>
      <c r="DWI198" s="2"/>
      <c r="DWJ198" s="2"/>
      <c r="DWK198" s="2"/>
      <c r="DWL198" s="2"/>
      <c r="DWM198" s="2"/>
      <c r="DWN198" s="2"/>
      <c r="DWO198" s="2"/>
      <c r="DWP198" s="2"/>
      <c r="DWQ198" s="2"/>
      <c r="DWR198" s="2"/>
      <c r="DWS198" s="2"/>
      <c r="DWT198" s="2"/>
      <c r="DWU198" s="2"/>
      <c r="DWV198" s="2"/>
      <c r="DWW198" s="2"/>
      <c r="DWX198" s="2"/>
      <c r="DWY198" s="2"/>
      <c r="DWZ198" s="2"/>
      <c r="DXA198" s="2"/>
      <c r="DXB198" s="2"/>
      <c r="DXC198" s="2"/>
      <c r="DXD198" s="2"/>
      <c r="DXE198" s="2"/>
      <c r="DXF198" s="2"/>
      <c r="DXG198" s="2"/>
      <c r="DXH198" s="2"/>
      <c r="DXI198" s="2"/>
      <c r="DXJ198" s="2"/>
      <c r="DXK198" s="2"/>
      <c r="DXL198" s="2"/>
      <c r="DXM198" s="2"/>
      <c r="DXN198" s="2"/>
      <c r="DXO198" s="2"/>
      <c r="DXP198" s="2"/>
      <c r="DXQ198" s="2"/>
      <c r="DXR198" s="2"/>
      <c r="DXS198" s="2"/>
      <c r="DXT198" s="2"/>
      <c r="DXU198" s="2"/>
      <c r="DXV198" s="2"/>
      <c r="DXW198" s="2"/>
      <c r="DXX198" s="2"/>
      <c r="DXY198" s="2"/>
      <c r="DXZ198" s="2"/>
      <c r="DYA198" s="2"/>
      <c r="DYB198" s="2"/>
      <c r="DYC198" s="2"/>
      <c r="DYD198" s="2"/>
      <c r="DYE198" s="2"/>
      <c r="DYF198" s="2"/>
      <c r="DYG198" s="2"/>
      <c r="DYH198" s="2"/>
      <c r="DYI198" s="2"/>
      <c r="DYJ198" s="2"/>
      <c r="DYK198" s="2"/>
      <c r="DYL198" s="2"/>
      <c r="DYM198" s="2"/>
      <c r="DYN198" s="2"/>
      <c r="DYO198" s="2"/>
      <c r="DYP198" s="2"/>
      <c r="DYQ198" s="2"/>
      <c r="DYR198" s="2"/>
      <c r="DYS198" s="2"/>
      <c r="DYT198" s="2"/>
      <c r="DYU198" s="2"/>
      <c r="DYV198" s="2"/>
      <c r="DYW198" s="2"/>
      <c r="DYX198" s="2"/>
      <c r="DYY198" s="2"/>
      <c r="DYZ198" s="2"/>
      <c r="DZA198" s="2"/>
      <c r="DZB198" s="2"/>
      <c r="DZC198" s="2"/>
      <c r="DZD198" s="2"/>
      <c r="DZE198" s="2"/>
      <c r="DZF198" s="2"/>
      <c r="DZG198" s="2"/>
      <c r="DZH198" s="2"/>
      <c r="DZI198" s="2"/>
      <c r="DZJ198" s="2"/>
      <c r="DZK198" s="2"/>
      <c r="DZL198" s="2"/>
      <c r="DZM198" s="2"/>
      <c r="DZN198" s="2"/>
      <c r="DZO198" s="2"/>
      <c r="DZP198" s="2"/>
      <c r="DZQ198" s="2"/>
      <c r="DZR198" s="2"/>
      <c r="DZS198" s="2"/>
      <c r="DZT198" s="2"/>
      <c r="DZU198" s="2"/>
      <c r="DZV198" s="2"/>
      <c r="DZW198" s="2"/>
      <c r="DZX198" s="2"/>
      <c r="DZY198" s="2"/>
      <c r="DZZ198" s="2"/>
      <c r="EAA198" s="2"/>
      <c r="EAB198" s="2"/>
      <c r="EAC198" s="2"/>
      <c r="EAD198" s="2"/>
      <c r="EAE198" s="2"/>
      <c r="EAF198" s="2"/>
      <c r="EAG198" s="2"/>
      <c r="EAH198" s="2"/>
      <c r="EAI198" s="2"/>
      <c r="EAJ198" s="2"/>
      <c r="EAK198" s="2"/>
      <c r="EAL198" s="2"/>
      <c r="EAM198" s="2"/>
      <c r="EAN198" s="2"/>
      <c r="EAO198" s="2"/>
      <c r="EAP198" s="2"/>
      <c r="EAQ198" s="2"/>
      <c r="EAR198" s="2"/>
      <c r="EAS198" s="2"/>
      <c r="EAT198" s="2"/>
      <c r="EAU198" s="2"/>
      <c r="EAV198" s="2"/>
      <c r="EAW198" s="2"/>
      <c r="EAX198" s="2"/>
      <c r="EAY198" s="2"/>
      <c r="EAZ198" s="2"/>
      <c r="EBA198" s="2"/>
      <c r="EBB198" s="2"/>
      <c r="EBC198" s="2"/>
      <c r="EBD198" s="2"/>
      <c r="EBE198" s="2"/>
      <c r="EBF198" s="2"/>
      <c r="EBG198" s="2"/>
      <c r="EBH198" s="2"/>
      <c r="EBI198" s="2"/>
      <c r="EBJ198" s="2"/>
      <c r="EBK198" s="2"/>
      <c r="EBL198" s="2"/>
      <c r="EBM198" s="2"/>
      <c r="EBN198" s="2"/>
      <c r="EBO198" s="2"/>
      <c r="EBP198" s="2"/>
      <c r="EBQ198" s="2"/>
      <c r="EBR198" s="2"/>
      <c r="EBS198" s="2"/>
      <c r="EBT198" s="2"/>
      <c r="EBU198" s="2"/>
      <c r="EBV198" s="2"/>
      <c r="EBW198" s="2"/>
      <c r="EBX198" s="2"/>
      <c r="EBY198" s="2"/>
      <c r="EBZ198" s="2"/>
      <c r="ECA198" s="2"/>
      <c r="ECB198" s="2"/>
      <c r="ECC198" s="2"/>
      <c r="ECD198" s="2"/>
      <c r="ECE198" s="2"/>
      <c r="ECF198" s="2"/>
      <c r="ECG198" s="2"/>
      <c r="ECH198" s="2"/>
      <c r="ECI198" s="2"/>
      <c r="ECJ198" s="2"/>
      <c r="ECK198" s="2"/>
      <c r="ECL198" s="2"/>
      <c r="ECM198" s="2"/>
      <c r="ECN198" s="2"/>
      <c r="ECO198" s="2"/>
      <c r="ECP198" s="2"/>
      <c r="ECQ198" s="2"/>
      <c r="ECR198" s="2"/>
      <c r="ECS198" s="2"/>
      <c r="ECT198" s="2"/>
      <c r="ECU198" s="2"/>
      <c r="ECV198" s="2"/>
      <c r="ECW198" s="2"/>
      <c r="ECX198" s="2"/>
      <c r="ECY198" s="2"/>
      <c r="ECZ198" s="2"/>
      <c r="EDA198" s="2"/>
      <c r="EDB198" s="2"/>
      <c r="EDC198" s="2"/>
      <c r="EDD198" s="2"/>
      <c r="EDE198" s="2"/>
      <c r="EDF198" s="2"/>
      <c r="EDG198" s="2"/>
      <c r="EDH198" s="2"/>
      <c r="EDI198" s="2"/>
      <c r="EDJ198" s="2"/>
      <c r="EDK198" s="2"/>
      <c r="EDL198" s="2"/>
      <c r="EDM198" s="2"/>
      <c r="EDN198" s="2"/>
      <c r="EDO198" s="2"/>
      <c r="EDP198" s="2"/>
      <c r="EDQ198" s="2"/>
      <c r="EDR198" s="2"/>
      <c r="EDS198" s="2"/>
      <c r="EDT198" s="2"/>
      <c r="EDU198" s="2"/>
      <c r="EDV198" s="2"/>
      <c r="EDW198" s="2"/>
      <c r="EDX198" s="2"/>
      <c r="EDY198" s="2"/>
      <c r="EDZ198" s="2"/>
      <c r="EEA198" s="2"/>
      <c r="EEB198" s="2"/>
      <c r="EEC198" s="2"/>
      <c r="EED198" s="2"/>
      <c r="EEE198" s="2"/>
      <c r="EEF198" s="2"/>
      <c r="EEG198" s="2"/>
      <c r="EEH198" s="2"/>
      <c r="EEI198" s="2"/>
      <c r="EEJ198" s="2"/>
      <c r="EEK198" s="2"/>
      <c r="EEL198" s="2"/>
      <c r="EEM198" s="2"/>
      <c r="EEN198" s="2"/>
      <c r="EEO198" s="2"/>
      <c r="EEP198" s="2"/>
      <c r="EEQ198" s="2"/>
      <c r="EER198" s="2"/>
      <c r="EES198" s="2"/>
      <c r="EET198" s="2"/>
      <c r="EEU198" s="2"/>
      <c r="EEV198" s="2"/>
      <c r="EEW198" s="2"/>
      <c r="EEX198" s="2"/>
      <c r="EEY198" s="2"/>
      <c r="EEZ198" s="2"/>
      <c r="EFA198" s="2"/>
      <c r="EFB198" s="2"/>
      <c r="EFC198" s="2"/>
      <c r="EFD198" s="2"/>
      <c r="EFE198" s="2"/>
      <c r="EFF198" s="2"/>
      <c r="EFG198" s="2"/>
      <c r="EFH198" s="2"/>
      <c r="EFI198" s="2"/>
      <c r="EFJ198" s="2"/>
      <c r="EFK198" s="2"/>
      <c r="EFL198" s="2"/>
      <c r="EFM198" s="2"/>
      <c r="EFN198" s="2"/>
      <c r="EFO198" s="2"/>
      <c r="EFP198" s="2"/>
      <c r="EFQ198" s="2"/>
      <c r="EFR198" s="2"/>
      <c r="EFS198" s="2"/>
      <c r="EFT198" s="2"/>
      <c r="EFU198" s="2"/>
      <c r="EFV198" s="2"/>
      <c r="EFW198" s="2"/>
      <c r="EFX198" s="2"/>
      <c r="EFY198" s="2"/>
      <c r="EFZ198" s="2"/>
      <c r="EGA198" s="2"/>
      <c r="EGB198" s="2"/>
      <c r="EGC198" s="2"/>
      <c r="EGD198" s="2"/>
      <c r="EGE198" s="2"/>
      <c r="EGF198" s="2"/>
      <c r="EGG198" s="2"/>
      <c r="EGH198" s="2"/>
      <c r="EGI198" s="2"/>
      <c r="EGJ198" s="2"/>
      <c r="EGK198" s="2"/>
      <c r="EGL198" s="2"/>
      <c r="EGM198" s="2"/>
      <c r="EGN198" s="2"/>
      <c r="EGO198" s="2"/>
      <c r="EGP198" s="2"/>
      <c r="EGQ198" s="2"/>
      <c r="EGR198" s="2"/>
      <c r="EGS198" s="2"/>
      <c r="EGT198" s="2"/>
      <c r="EGU198" s="2"/>
      <c r="EGV198" s="2"/>
      <c r="EGW198" s="2"/>
      <c r="EGX198" s="2"/>
      <c r="EGY198" s="2"/>
      <c r="EGZ198" s="2"/>
      <c r="EHA198" s="2"/>
      <c r="EHB198" s="2"/>
      <c r="EHC198" s="2"/>
      <c r="EHD198" s="2"/>
      <c r="EHE198" s="2"/>
      <c r="EHF198" s="2"/>
      <c r="EHG198" s="2"/>
      <c r="EHH198" s="2"/>
      <c r="EHI198" s="2"/>
      <c r="EHJ198" s="2"/>
      <c r="EHK198" s="2"/>
      <c r="EHL198" s="2"/>
      <c r="EHM198" s="2"/>
      <c r="EHN198" s="2"/>
      <c r="EHO198" s="2"/>
      <c r="EHP198" s="2"/>
      <c r="EHQ198" s="2"/>
      <c r="EHR198" s="2"/>
      <c r="EHS198" s="2"/>
      <c r="EHT198" s="2"/>
      <c r="EHU198" s="2"/>
      <c r="EHV198" s="2"/>
      <c r="EHW198" s="2"/>
      <c r="EHX198" s="2"/>
      <c r="EHY198" s="2"/>
      <c r="EHZ198" s="2"/>
      <c r="EIA198" s="2"/>
      <c r="EIB198" s="2"/>
      <c r="EIC198" s="2"/>
      <c r="EID198" s="2"/>
      <c r="EIE198" s="2"/>
      <c r="EIF198" s="2"/>
      <c r="EIG198" s="2"/>
      <c r="EIH198" s="2"/>
      <c r="EII198" s="2"/>
      <c r="EIJ198" s="2"/>
      <c r="EIK198" s="2"/>
      <c r="EIL198" s="2"/>
      <c r="EIM198" s="2"/>
      <c r="EIN198" s="2"/>
      <c r="EIO198" s="2"/>
      <c r="EIP198" s="2"/>
      <c r="EIQ198" s="2"/>
      <c r="EIR198" s="2"/>
      <c r="EIS198" s="2"/>
      <c r="EIT198" s="2"/>
      <c r="EIU198" s="2"/>
      <c r="EIV198" s="2"/>
      <c r="EIW198" s="2"/>
      <c r="EIX198" s="2"/>
      <c r="EIY198" s="2"/>
      <c r="EIZ198" s="2"/>
      <c r="EJA198" s="2"/>
      <c r="EJB198" s="2"/>
      <c r="EJC198" s="2"/>
      <c r="EJD198" s="2"/>
      <c r="EJE198" s="2"/>
      <c r="EJF198" s="2"/>
      <c r="EJG198" s="2"/>
      <c r="EJH198" s="2"/>
      <c r="EJI198" s="2"/>
      <c r="EJJ198" s="2"/>
      <c r="EJK198" s="2"/>
      <c r="EJL198" s="2"/>
      <c r="EJM198" s="2"/>
      <c r="EJN198" s="2"/>
      <c r="EJO198" s="2"/>
      <c r="EJP198" s="2"/>
      <c r="EJQ198" s="2"/>
      <c r="EJR198" s="2"/>
      <c r="EJS198" s="2"/>
      <c r="EJT198" s="2"/>
      <c r="EJU198" s="2"/>
      <c r="EJV198" s="2"/>
      <c r="EJW198" s="2"/>
      <c r="EJX198" s="2"/>
      <c r="EJY198" s="2"/>
      <c r="EJZ198" s="2"/>
      <c r="EKA198" s="2"/>
      <c r="EKB198" s="2"/>
      <c r="EKC198" s="2"/>
      <c r="EKD198" s="2"/>
      <c r="EKE198" s="2"/>
      <c r="EKF198" s="2"/>
      <c r="EKG198" s="2"/>
      <c r="EKH198" s="2"/>
      <c r="EKI198" s="2"/>
      <c r="EKJ198" s="2"/>
      <c r="EKK198" s="2"/>
      <c r="EKL198" s="2"/>
      <c r="EKM198" s="2"/>
      <c r="EKN198" s="2"/>
      <c r="EKO198" s="2"/>
      <c r="EKP198" s="2"/>
      <c r="EKQ198" s="2"/>
      <c r="EKR198" s="2"/>
      <c r="EKS198" s="2"/>
      <c r="EKT198" s="2"/>
      <c r="EKU198" s="2"/>
      <c r="EKV198" s="2"/>
      <c r="EKW198" s="2"/>
      <c r="EKX198" s="2"/>
      <c r="EKY198" s="2"/>
      <c r="EKZ198" s="2"/>
      <c r="ELA198" s="2"/>
      <c r="ELB198" s="2"/>
      <c r="ELC198" s="2"/>
      <c r="ELD198" s="2"/>
      <c r="ELE198" s="2"/>
      <c r="ELF198" s="2"/>
      <c r="ELG198" s="2"/>
      <c r="ELH198" s="2"/>
      <c r="ELI198" s="2"/>
      <c r="ELJ198" s="2"/>
      <c r="ELK198" s="2"/>
      <c r="ELL198" s="2"/>
      <c r="ELM198" s="2"/>
      <c r="ELN198" s="2"/>
      <c r="ELO198" s="2"/>
      <c r="ELP198" s="2"/>
      <c r="ELQ198" s="2"/>
      <c r="ELR198" s="2"/>
      <c r="ELS198" s="2"/>
      <c r="ELT198" s="2"/>
      <c r="ELU198" s="2"/>
      <c r="ELV198" s="2"/>
      <c r="ELW198" s="2"/>
      <c r="ELX198" s="2"/>
      <c r="ELY198" s="2"/>
      <c r="ELZ198" s="2"/>
      <c r="EMA198" s="2"/>
      <c r="EMB198" s="2"/>
      <c r="EMC198" s="2"/>
      <c r="EMD198" s="2"/>
      <c r="EME198" s="2"/>
      <c r="EMF198" s="2"/>
      <c r="EMG198" s="2"/>
      <c r="EMH198" s="2"/>
      <c r="EMI198" s="2"/>
      <c r="EMJ198" s="2"/>
      <c r="EMK198" s="2"/>
      <c r="EML198" s="2"/>
      <c r="EMM198" s="2"/>
      <c r="EMN198" s="2"/>
      <c r="EMO198" s="2"/>
      <c r="EMP198" s="2"/>
      <c r="EMQ198" s="2"/>
      <c r="EMR198" s="2"/>
      <c r="EMS198" s="2"/>
      <c r="EMT198" s="2"/>
      <c r="EMU198" s="2"/>
      <c r="EMV198" s="2"/>
      <c r="EMW198" s="2"/>
      <c r="EMX198" s="2"/>
      <c r="EMY198" s="2"/>
      <c r="EMZ198" s="2"/>
      <c r="ENA198" s="2"/>
      <c r="ENB198" s="2"/>
      <c r="ENC198" s="2"/>
      <c r="END198" s="2"/>
      <c r="ENE198" s="2"/>
      <c r="ENF198" s="2"/>
      <c r="ENG198" s="2"/>
      <c r="ENH198" s="2"/>
      <c r="ENI198" s="2"/>
      <c r="ENJ198" s="2"/>
      <c r="ENK198" s="2"/>
      <c r="ENL198" s="2"/>
      <c r="ENM198" s="2"/>
      <c r="ENN198" s="2"/>
      <c r="ENO198" s="2"/>
      <c r="ENP198" s="2"/>
      <c r="ENQ198" s="2"/>
      <c r="ENR198" s="2"/>
      <c r="ENS198" s="2"/>
      <c r="ENT198" s="2"/>
      <c r="ENU198" s="2"/>
      <c r="ENV198" s="2"/>
      <c r="ENW198" s="2"/>
      <c r="ENX198" s="2"/>
      <c r="ENY198" s="2"/>
      <c r="ENZ198" s="2"/>
      <c r="EOA198" s="2"/>
      <c r="EOB198" s="2"/>
      <c r="EOC198" s="2"/>
      <c r="EOD198" s="2"/>
      <c r="EOE198" s="2"/>
      <c r="EOF198" s="2"/>
      <c r="EOG198" s="2"/>
      <c r="EOH198" s="2"/>
      <c r="EOI198" s="2"/>
      <c r="EOJ198" s="2"/>
      <c r="EOK198" s="2"/>
      <c r="EOL198" s="2"/>
      <c r="EOM198" s="2"/>
      <c r="EON198" s="2"/>
      <c r="EOO198" s="2"/>
      <c r="EOP198" s="2"/>
      <c r="EOQ198" s="2"/>
      <c r="EOR198" s="2"/>
      <c r="EOS198" s="2"/>
      <c r="EOT198" s="2"/>
      <c r="EOU198" s="2"/>
      <c r="EOV198" s="2"/>
      <c r="EOW198" s="2"/>
      <c r="EOX198" s="2"/>
      <c r="EOY198" s="2"/>
      <c r="EOZ198" s="2"/>
      <c r="EPA198" s="2"/>
      <c r="EPB198" s="2"/>
      <c r="EPC198" s="2"/>
      <c r="EPD198" s="2"/>
      <c r="EPE198" s="2"/>
      <c r="EPF198" s="2"/>
      <c r="EPG198" s="2"/>
      <c r="EPH198" s="2"/>
      <c r="EPI198" s="2"/>
      <c r="EPJ198" s="2"/>
      <c r="EPK198" s="2"/>
      <c r="EPL198" s="2"/>
      <c r="EPM198" s="2"/>
      <c r="EPN198" s="2"/>
      <c r="EPO198" s="2"/>
      <c r="EPP198" s="2"/>
      <c r="EPQ198" s="2"/>
      <c r="EPR198" s="2"/>
      <c r="EPS198" s="2"/>
      <c r="EPT198" s="2"/>
      <c r="EPU198" s="2"/>
      <c r="EPV198" s="2"/>
      <c r="EPW198" s="2"/>
      <c r="EPX198" s="2"/>
      <c r="EPY198" s="2"/>
      <c r="EPZ198" s="2"/>
      <c r="EQA198" s="2"/>
      <c r="EQB198" s="2"/>
      <c r="EQC198" s="2"/>
      <c r="EQD198" s="2"/>
      <c r="EQE198" s="2"/>
      <c r="EQF198" s="2"/>
      <c r="EQG198" s="2"/>
      <c r="EQH198" s="2"/>
      <c r="EQI198" s="2"/>
      <c r="EQJ198" s="2"/>
      <c r="EQK198" s="2"/>
      <c r="EQL198" s="2"/>
      <c r="EQM198" s="2"/>
      <c r="EQN198" s="2"/>
      <c r="EQO198" s="2"/>
      <c r="EQP198" s="2"/>
      <c r="EQQ198" s="2"/>
      <c r="EQR198" s="2"/>
      <c r="EQS198" s="2"/>
      <c r="EQT198" s="2"/>
      <c r="EQU198" s="2"/>
      <c r="EQV198" s="2"/>
      <c r="EQW198" s="2"/>
      <c r="EQX198" s="2"/>
      <c r="EQY198" s="2"/>
      <c r="EQZ198" s="2"/>
      <c r="ERA198" s="2"/>
      <c r="ERB198" s="2"/>
      <c r="ERC198" s="2"/>
      <c r="ERD198" s="2"/>
      <c r="ERE198" s="2"/>
      <c r="ERF198" s="2"/>
      <c r="ERG198" s="2"/>
      <c r="ERH198" s="2"/>
      <c r="ERI198" s="2"/>
      <c r="ERJ198" s="2"/>
      <c r="ERK198" s="2"/>
      <c r="ERL198" s="2"/>
      <c r="ERM198" s="2"/>
      <c r="ERN198" s="2"/>
      <c r="ERO198" s="2"/>
      <c r="ERP198" s="2"/>
      <c r="ERQ198" s="2"/>
      <c r="ERR198" s="2"/>
      <c r="ERS198" s="2"/>
      <c r="ERT198" s="2"/>
      <c r="ERU198" s="2"/>
      <c r="ERV198" s="2"/>
      <c r="ERW198" s="2"/>
      <c r="ERX198" s="2"/>
      <c r="ERY198" s="2"/>
      <c r="ERZ198" s="2"/>
      <c r="ESA198" s="2"/>
      <c r="ESB198" s="2"/>
      <c r="ESC198" s="2"/>
      <c r="ESD198" s="2"/>
      <c r="ESE198" s="2"/>
      <c r="ESF198" s="2"/>
      <c r="ESG198" s="2"/>
      <c r="ESH198" s="2"/>
      <c r="ESI198" s="2"/>
      <c r="ESJ198" s="2"/>
      <c r="ESK198" s="2"/>
      <c r="ESL198" s="2"/>
      <c r="ESM198" s="2"/>
      <c r="ESN198" s="2"/>
      <c r="ESO198" s="2"/>
      <c r="ESP198" s="2"/>
      <c r="ESQ198" s="2"/>
      <c r="ESR198" s="2"/>
      <c r="ESS198" s="2"/>
      <c r="EST198" s="2"/>
      <c r="ESU198" s="2"/>
      <c r="ESV198" s="2"/>
      <c r="ESW198" s="2"/>
      <c r="ESX198" s="2"/>
      <c r="ESY198" s="2"/>
      <c r="ESZ198" s="2"/>
      <c r="ETA198" s="2"/>
      <c r="ETB198" s="2"/>
      <c r="ETC198" s="2"/>
      <c r="ETD198" s="2"/>
      <c r="ETE198" s="2"/>
      <c r="ETF198" s="2"/>
      <c r="ETG198" s="2"/>
      <c r="ETH198" s="2"/>
      <c r="ETI198" s="2"/>
      <c r="ETJ198" s="2"/>
      <c r="ETK198" s="2"/>
      <c r="ETL198" s="2"/>
      <c r="ETM198" s="2"/>
      <c r="ETN198" s="2"/>
      <c r="ETO198" s="2"/>
      <c r="ETP198" s="2"/>
      <c r="ETQ198" s="2"/>
      <c r="ETR198" s="2"/>
      <c r="ETS198" s="2"/>
      <c r="ETT198" s="2"/>
      <c r="ETU198" s="2"/>
      <c r="ETV198" s="2"/>
      <c r="ETW198" s="2"/>
      <c r="ETX198" s="2"/>
      <c r="ETY198" s="2"/>
      <c r="ETZ198" s="2"/>
      <c r="EUA198" s="2"/>
      <c r="EUB198" s="2"/>
      <c r="EUC198" s="2"/>
      <c r="EUD198" s="2"/>
      <c r="EUE198" s="2"/>
      <c r="EUF198" s="2"/>
      <c r="EUG198" s="2"/>
      <c r="EUH198" s="2"/>
      <c r="EUI198" s="2"/>
      <c r="EUJ198" s="2"/>
      <c r="EUK198" s="2"/>
      <c r="EUL198" s="2"/>
      <c r="EUM198" s="2"/>
      <c r="EUN198" s="2"/>
      <c r="EUO198" s="2"/>
      <c r="EUP198" s="2"/>
      <c r="EUQ198" s="2"/>
      <c r="EUR198" s="2"/>
      <c r="EUS198" s="2"/>
      <c r="EUT198" s="2"/>
      <c r="EUU198" s="2"/>
      <c r="EUV198" s="2"/>
      <c r="EUW198" s="2"/>
      <c r="EUX198" s="2"/>
      <c r="EUY198" s="2"/>
      <c r="EUZ198" s="2"/>
      <c r="EVA198" s="2"/>
      <c r="EVB198" s="2"/>
      <c r="EVC198" s="2"/>
      <c r="EVD198" s="2"/>
      <c r="EVE198" s="2"/>
      <c r="EVF198" s="2"/>
      <c r="EVG198" s="2"/>
      <c r="EVH198" s="2"/>
      <c r="EVI198" s="2"/>
      <c r="EVJ198" s="2"/>
      <c r="EVK198" s="2"/>
      <c r="EVL198" s="2"/>
      <c r="EVM198" s="2"/>
      <c r="EVN198" s="2"/>
      <c r="EVO198" s="2"/>
      <c r="EVP198" s="2"/>
      <c r="EVQ198" s="2"/>
      <c r="EVR198" s="2"/>
      <c r="EVS198" s="2"/>
      <c r="EVT198" s="2"/>
      <c r="EVU198" s="2"/>
      <c r="EVV198" s="2"/>
      <c r="EVW198" s="2"/>
      <c r="EVX198" s="2"/>
      <c r="EVY198" s="2"/>
      <c r="EVZ198" s="2"/>
      <c r="EWA198" s="2"/>
      <c r="EWB198" s="2"/>
      <c r="EWC198" s="2"/>
      <c r="EWD198" s="2"/>
      <c r="EWE198" s="2"/>
      <c r="EWF198" s="2"/>
      <c r="EWG198" s="2"/>
      <c r="EWH198" s="2"/>
      <c r="EWI198" s="2"/>
      <c r="EWJ198" s="2"/>
      <c r="EWK198" s="2"/>
      <c r="EWL198" s="2"/>
      <c r="EWM198" s="2"/>
      <c r="EWN198" s="2"/>
      <c r="EWO198" s="2"/>
      <c r="EWP198" s="2"/>
      <c r="EWQ198" s="2"/>
      <c r="EWR198" s="2"/>
      <c r="EWS198" s="2"/>
      <c r="EWT198" s="2"/>
      <c r="EWU198" s="2"/>
      <c r="EWV198" s="2"/>
      <c r="EWW198" s="2"/>
      <c r="EWX198" s="2"/>
      <c r="EWY198" s="2"/>
      <c r="EWZ198" s="2"/>
      <c r="EXA198" s="2"/>
      <c r="EXB198" s="2"/>
      <c r="EXC198" s="2"/>
      <c r="EXD198" s="2"/>
      <c r="EXE198" s="2"/>
      <c r="EXF198" s="2"/>
      <c r="EXG198" s="2"/>
      <c r="EXH198" s="2"/>
      <c r="EXI198" s="2"/>
      <c r="EXJ198" s="2"/>
      <c r="EXK198" s="2"/>
      <c r="EXL198" s="2"/>
      <c r="EXM198" s="2"/>
      <c r="EXN198" s="2"/>
      <c r="EXO198" s="2"/>
      <c r="EXP198" s="2"/>
      <c r="EXQ198" s="2"/>
      <c r="EXR198" s="2"/>
      <c r="EXS198" s="2"/>
      <c r="EXT198" s="2"/>
      <c r="EXU198" s="2"/>
      <c r="EXV198" s="2"/>
      <c r="EXW198" s="2"/>
      <c r="EXX198" s="2"/>
      <c r="EXY198" s="2"/>
      <c r="EXZ198" s="2"/>
      <c r="EYA198" s="2"/>
      <c r="EYB198" s="2"/>
      <c r="EYC198" s="2"/>
      <c r="EYD198" s="2"/>
      <c r="EYE198" s="2"/>
      <c r="EYF198" s="2"/>
      <c r="EYG198" s="2"/>
      <c r="EYH198" s="2"/>
      <c r="EYI198" s="2"/>
      <c r="EYJ198" s="2"/>
      <c r="EYK198" s="2"/>
      <c r="EYL198" s="2"/>
      <c r="EYM198" s="2"/>
      <c r="EYN198" s="2"/>
      <c r="EYO198" s="2"/>
      <c r="EYP198" s="2"/>
      <c r="EYQ198" s="2"/>
      <c r="EYR198" s="2"/>
      <c r="EYS198" s="2"/>
      <c r="EYT198" s="2"/>
      <c r="EYU198" s="2"/>
      <c r="EYV198" s="2"/>
      <c r="EYW198" s="2"/>
      <c r="EYX198" s="2"/>
      <c r="EYY198" s="2"/>
      <c r="EYZ198" s="2"/>
      <c r="EZA198" s="2"/>
      <c r="EZB198" s="2"/>
      <c r="EZC198" s="2"/>
      <c r="EZD198" s="2"/>
      <c r="EZE198" s="2"/>
      <c r="EZF198" s="2"/>
      <c r="EZG198" s="2"/>
      <c r="EZH198" s="2"/>
      <c r="EZI198" s="2"/>
      <c r="EZJ198" s="2"/>
      <c r="EZK198" s="2"/>
      <c r="EZL198" s="2"/>
      <c r="EZM198" s="2"/>
      <c r="EZN198" s="2"/>
      <c r="EZO198" s="2"/>
      <c r="EZP198" s="2"/>
      <c r="EZQ198" s="2"/>
      <c r="EZR198" s="2"/>
      <c r="EZS198" s="2"/>
      <c r="EZT198" s="2"/>
      <c r="EZU198" s="2"/>
      <c r="EZV198" s="2"/>
      <c r="EZW198" s="2"/>
      <c r="EZX198" s="2"/>
      <c r="EZY198" s="2"/>
      <c r="EZZ198" s="2"/>
      <c r="FAA198" s="2"/>
      <c r="FAB198" s="2"/>
      <c r="FAC198" s="2"/>
      <c r="FAD198" s="2"/>
      <c r="FAE198" s="2"/>
      <c r="FAF198" s="2"/>
      <c r="FAG198" s="2"/>
      <c r="FAH198" s="2"/>
      <c r="FAI198" s="2"/>
      <c r="FAJ198" s="2"/>
      <c r="FAK198" s="2"/>
      <c r="FAL198" s="2"/>
      <c r="FAM198" s="2"/>
      <c r="FAN198" s="2"/>
      <c r="FAO198" s="2"/>
      <c r="FAP198" s="2"/>
      <c r="FAQ198" s="2"/>
      <c r="FAR198" s="2"/>
      <c r="FAS198" s="2"/>
      <c r="FAT198" s="2"/>
      <c r="FAU198" s="2"/>
      <c r="FAV198" s="2"/>
      <c r="FAW198" s="2"/>
      <c r="FAX198" s="2"/>
      <c r="FAY198" s="2"/>
      <c r="FAZ198" s="2"/>
      <c r="FBA198" s="2"/>
      <c r="FBB198" s="2"/>
      <c r="FBC198" s="2"/>
      <c r="FBD198" s="2"/>
      <c r="FBE198" s="2"/>
      <c r="FBF198" s="2"/>
      <c r="FBG198" s="2"/>
      <c r="FBH198" s="2"/>
      <c r="FBI198" s="2"/>
      <c r="FBJ198" s="2"/>
      <c r="FBK198" s="2"/>
      <c r="FBL198" s="2"/>
      <c r="FBM198" s="2"/>
      <c r="FBN198" s="2"/>
      <c r="FBO198" s="2"/>
      <c r="FBP198" s="2"/>
      <c r="FBQ198" s="2"/>
      <c r="FBR198" s="2"/>
      <c r="FBS198" s="2"/>
      <c r="FBT198" s="2"/>
      <c r="FBU198" s="2"/>
      <c r="FBV198" s="2"/>
      <c r="FBW198" s="2"/>
      <c r="FBX198" s="2"/>
      <c r="FBY198" s="2"/>
      <c r="FBZ198" s="2"/>
      <c r="FCA198" s="2"/>
      <c r="FCB198" s="2"/>
      <c r="FCC198" s="2"/>
      <c r="FCD198" s="2"/>
      <c r="FCE198" s="2"/>
      <c r="FCF198" s="2"/>
      <c r="FCG198" s="2"/>
      <c r="FCH198" s="2"/>
      <c r="FCI198" s="2"/>
      <c r="FCJ198" s="2"/>
      <c r="FCK198" s="2"/>
      <c r="FCL198" s="2"/>
      <c r="FCM198" s="2"/>
      <c r="FCN198" s="2"/>
      <c r="FCO198" s="2"/>
      <c r="FCP198" s="2"/>
      <c r="FCQ198" s="2"/>
      <c r="FCR198" s="2"/>
      <c r="FCS198" s="2"/>
      <c r="FCT198" s="2"/>
      <c r="FCU198" s="2"/>
      <c r="FCV198" s="2"/>
      <c r="FCW198" s="2"/>
      <c r="FCX198" s="2"/>
      <c r="FCY198" s="2"/>
      <c r="FCZ198" s="2"/>
      <c r="FDA198" s="2"/>
      <c r="FDB198" s="2"/>
      <c r="FDC198" s="2"/>
      <c r="FDD198" s="2"/>
      <c r="FDE198" s="2"/>
      <c r="FDF198" s="2"/>
      <c r="FDG198" s="2"/>
      <c r="FDH198" s="2"/>
      <c r="FDI198" s="2"/>
      <c r="FDJ198" s="2"/>
      <c r="FDK198" s="2"/>
      <c r="FDL198" s="2"/>
      <c r="FDM198" s="2"/>
      <c r="FDN198" s="2"/>
      <c r="FDO198" s="2"/>
      <c r="FDP198" s="2"/>
      <c r="FDQ198" s="2"/>
      <c r="FDR198" s="2"/>
      <c r="FDS198" s="2"/>
      <c r="FDT198" s="2"/>
      <c r="FDU198" s="2"/>
      <c r="FDV198" s="2"/>
      <c r="FDW198" s="2"/>
      <c r="FDX198" s="2"/>
      <c r="FDY198" s="2"/>
      <c r="FDZ198" s="2"/>
      <c r="FEA198" s="2"/>
      <c r="FEB198" s="2"/>
      <c r="FEC198" s="2"/>
      <c r="FED198" s="2"/>
      <c r="FEE198" s="2"/>
      <c r="FEF198" s="2"/>
      <c r="FEG198" s="2"/>
      <c r="FEH198" s="2"/>
      <c r="FEI198" s="2"/>
      <c r="FEJ198" s="2"/>
      <c r="FEK198" s="2"/>
      <c r="FEL198" s="2"/>
      <c r="FEM198" s="2"/>
      <c r="FEN198" s="2"/>
      <c r="FEO198" s="2"/>
      <c r="FEP198" s="2"/>
      <c r="FEQ198" s="2"/>
      <c r="FER198" s="2"/>
      <c r="FES198" s="2"/>
      <c r="FET198" s="2"/>
      <c r="FEU198" s="2"/>
      <c r="FEV198" s="2"/>
      <c r="FEW198" s="2"/>
      <c r="FEX198" s="2"/>
      <c r="FEY198" s="2"/>
      <c r="FEZ198" s="2"/>
      <c r="FFA198" s="2"/>
      <c r="FFB198" s="2"/>
      <c r="FFC198" s="2"/>
      <c r="FFD198" s="2"/>
      <c r="FFE198" s="2"/>
      <c r="FFF198" s="2"/>
      <c r="FFG198" s="2"/>
      <c r="FFH198" s="2"/>
      <c r="FFI198" s="2"/>
      <c r="FFJ198" s="2"/>
      <c r="FFK198" s="2"/>
      <c r="FFL198" s="2"/>
      <c r="FFM198" s="2"/>
      <c r="FFN198" s="2"/>
      <c r="FFO198" s="2"/>
      <c r="FFP198" s="2"/>
      <c r="FFQ198" s="2"/>
      <c r="FFR198" s="2"/>
      <c r="FFS198" s="2"/>
      <c r="FFT198" s="2"/>
      <c r="FFU198" s="2"/>
      <c r="FFV198" s="2"/>
      <c r="FFW198" s="2"/>
      <c r="FFX198" s="2"/>
      <c r="FFY198" s="2"/>
      <c r="FFZ198" s="2"/>
      <c r="FGA198" s="2"/>
      <c r="FGB198" s="2"/>
      <c r="FGC198" s="2"/>
      <c r="FGD198" s="2"/>
      <c r="FGE198" s="2"/>
      <c r="FGF198" s="2"/>
      <c r="FGG198" s="2"/>
      <c r="FGH198" s="2"/>
      <c r="FGI198" s="2"/>
      <c r="FGJ198" s="2"/>
      <c r="FGK198" s="2"/>
      <c r="FGL198" s="2"/>
      <c r="FGM198" s="2"/>
      <c r="FGN198" s="2"/>
      <c r="FGO198" s="2"/>
      <c r="FGP198" s="2"/>
      <c r="FGQ198" s="2"/>
      <c r="FGR198" s="2"/>
      <c r="FGS198" s="2"/>
      <c r="FGT198" s="2"/>
      <c r="FGU198" s="2"/>
      <c r="FGV198" s="2"/>
      <c r="FGW198" s="2"/>
      <c r="FGX198" s="2"/>
      <c r="FGY198" s="2"/>
      <c r="FGZ198" s="2"/>
      <c r="FHA198" s="2"/>
      <c r="FHB198" s="2"/>
      <c r="FHC198" s="2"/>
      <c r="FHD198" s="2"/>
      <c r="FHE198" s="2"/>
      <c r="FHF198" s="2"/>
      <c r="FHG198" s="2"/>
      <c r="FHH198" s="2"/>
      <c r="FHI198" s="2"/>
      <c r="FHJ198" s="2"/>
      <c r="FHK198" s="2"/>
      <c r="FHL198" s="2"/>
      <c r="FHM198" s="2"/>
      <c r="FHN198" s="2"/>
      <c r="FHO198" s="2"/>
      <c r="FHP198" s="2"/>
      <c r="FHQ198" s="2"/>
      <c r="FHR198" s="2"/>
      <c r="FHS198" s="2"/>
      <c r="FHT198" s="2"/>
      <c r="FHU198" s="2"/>
      <c r="FHV198" s="2"/>
      <c r="FHW198" s="2"/>
      <c r="FHX198" s="2"/>
      <c r="FHY198" s="2"/>
      <c r="FHZ198" s="2"/>
      <c r="FIA198" s="2"/>
      <c r="FIB198" s="2"/>
      <c r="FIC198" s="2"/>
      <c r="FID198" s="2"/>
      <c r="FIE198" s="2"/>
      <c r="FIF198" s="2"/>
      <c r="FIG198" s="2"/>
      <c r="FIH198" s="2"/>
      <c r="FII198" s="2"/>
      <c r="FIJ198" s="2"/>
      <c r="FIK198" s="2"/>
      <c r="FIL198" s="2"/>
      <c r="FIM198" s="2"/>
      <c r="FIN198" s="2"/>
      <c r="FIO198" s="2"/>
      <c r="FIP198" s="2"/>
      <c r="FIQ198" s="2"/>
      <c r="FIR198" s="2"/>
      <c r="FIS198" s="2"/>
      <c r="FIT198" s="2"/>
      <c r="FIU198" s="2"/>
      <c r="FIV198" s="2"/>
      <c r="FIW198" s="2"/>
      <c r="FIX198" s="2"/>
      <c r="FIY198" s="2"/>
      <c r="FIZ198" s="2"/>
      <c r="FJA198" s="2"/>
      <c r="FJB198" s="2"/>
      <c r="FJC198" s="2"/>
      <c r="FJD198" s="2"/>
      <c r="FJE198" s="2"/>
      <c r="FJF198" s="2"/>
      <c r="FJG198" s="2"/>
      <c r="FJH198" s="2"/>
      <c r="FJI198" s="2"/>
      <c r="FJJ198" s="2"/>
      <c r="FJK198" s="2"/>
      <c r="FJL198" s="2"/>
      <c r="FJM198" s="2"/>
      <c r="FJN198" s="2"/>
      <c r="FJO198" s="2"/>
      <c r="FJP198" s="2"/>
      <c r="FJQ198" s="2"/>
      <c r="FJR198" s="2"/>
      <c r="FJS198" s="2"/>
      <c r="FJT198" s="2"/>
      <c r="FJU198" s="2"/>
      <c r="FJV198" s="2"/>
      <c r="FJW198" s="2"/>
      <c r="FJX198" s="2"/>
      <c r="FJY198" s="2"/>
      <c r="FJZ198" s="2"/>
      <c r="FKA198" s="2"/>
      <c r="FKB198" s="2"/>
      <c r="FKC198" s="2"/>
      <c r="FKD198" s="2"/>
      <c r="FKE198" s="2"/>
      <c r="FKF198" s="2"/>
      <c r="FKG198" s="2"/>
      <c r="FKH198" s="2"/>
      <c r="FKI198" s="2"/>
      <c r="FKJ198" s="2"/>
      <c r="FKK198" s="2"/>
      <c r="FKL198" s="2"/>
      <c r="FKM198" s="2"/>
      <c r="FKN198" s="2"/>
      <c r="FKO198" s="2"/>
      <c r="FKP198" s="2"/>
      <c r="FKQ198" s="2"/>
      <c r="FKR198" s="2"/>
      <c r="FKS198" s="2"/>
      <c r="FKT198" s="2"/>
      <c r="FKU198" s="2"/>
      <c r="FKV198" s="2"/>
      <c r="FKW198" s="2"/>
      <c r="FKX198" s="2"/>
      <c r="FKY198" s="2"/>
      <c r="FKZ198" s="2"/>
      <c r="FLA198" s="2"/>
      <c r="FLB198" s="2"/>
      <c r="FLC198" s="2"/>
      <c r="FLD198" s="2"/>
      <c r="FLE198" s="2"/>
      <c r="FLF198" s="2"/>
      <c r="FLG198" s="2"/>
      <c r="FLH198" s="2"/>
      <c r="FLI198" s="2"/>
      <c r="FLJ198" s="2"/>
      <c r="FLK198" s="2"/>
      <c r="FLL198" s="2"/>
      <c r="FLM198" s="2"/>
      <c r="FLN198" s="2"/>
      <c r="FLO198" s="2"/>
      <c r="FLP198" s="2"/>
      <c r="FLQ198" s="2"/>
      <c r="FLR198" s="2"/>
      <c r="FLS198" s="2"/>
      <c r="FLT198" s="2"/>
      <c r="FLU198" s="2"/>
      <c r="FLV198" s="2"/>
      <c r="FLW198" s="2"/>
      <c r="FLX198" s="2"/>
      <c r="FLY198" s="2"/>
      <c r="FLZ198" s="2"/>
      <c r="FMA198" s="2"/>
      <c r="FMB198" s="2"/>
      <c r="FMC198" s="2"/>
      <c r="FMD198" s="2"/>
      <c r="FME198" s="2"/>
      <c r="FMF198" s="2"/>
      <c r="FMG198" s="2"/>
      <c r="FMH198" s="2"/>
      <c r="FMI198" s="2"/>
      <c r="FMJ198" s="2"/>
      <c r="FMK198" s="2"/>
      <c r="FML198" s="2"/>
      <c r="FMM198" s="2"/>
      <c r="FMN198" s="2"/>
      <c r="FMO198" s="2"/>
      <c r="FMP198" s="2"/>
      <c r="FMQ198" s="2"/>
      <c r="FMR198" s="2"/>
      <c r="FMS198" s="2"/>
      <c r="FMT198" s="2"/>
      <c r="FMU198" s="2"/>
      <c r="FMV198" s="2"/>
      <c r="FMW198" s="2"/>
      <c r="FMX198" s="2"/>
      <c r="FMY198" s="2"/>
      <c r="FMZ198" s="2"/>
      <c r="FNA198" s="2"/>
      <c r="FNB198" s="2"/>
      <c r="FNC198" s="2"/>
      <c r="FND198" s="2"/>
      <c r="FNE198" s="2"/>
      <c r="FNF198" s="2"/>
      <c r="FNG198" s="2"/>
      <c r="FNH198" s="2"/>
      <c r="FNI198" s="2"/>
      <c r="FNJ198" s="2"/>
      <c r="FNK198" s="2"/>
      <c r="FNL198" s="2"/>
      <c r="FNM198" s="2"/>
      <c r="FNN198" s="2"/>
      <c r="FNO198" s="2"/>
      <c r="FNP198" s="2"/>
      <c r="FNQ198" s="2"/>
      <c r="FNR198" s="2"/>
      <c r="FNS198" s="2"/>
      <c r="FNT198" s="2"/>
      <c r="FNU198" s="2"/>
      <c r="FNV198" s="2"/>
      <c r="FNW198" s="2"/>
      <c r="FNX198" s="2"/>
      <c r="FNY198" s="2"/>
      <c r="FNZ198" s="2"/>
      <c r="FOA198" s="2"/>
      <c r="FOB198" s="2"/>
      <c r="FOC198" s="2"/>
      <c r="FOD198" s="2"/>
      <c r="FOE198" s="2"/>
      <c r="FOF198" s="2"/>
      <c r="FOG198" s="2"/>
      <c r="FOH198" s="2"/>
      <c r="FOI198" s="2"/>
      <c r="FOJ198" s="2"/>
      <c r="FOK198" s="2"/>
      <c r="FOL198" s="2"/>
      <c r="FOM198" s="2"/>
      <c r="FON198" s="2"/>
      <c r="FOO198" s="2"/>
      <c r="FOP198" s="2"/>
      <c r="FOQ198" s="2"/>
      <c r="FOR198" s="2"/>
      <c r="FOS198" s="2"/>
      <c r="FOT198" s="2"/>
      <c r="FOU198" s="2"/>
      <c r="FOV198" s="2"/>
      <c r="FOW198" s="2"/>
      <c r="FOX198" s="2"/>
      <c r="FOY198" s="2"/>
      <c r="FOZ198" s="2"/>
      <c r="FPA198" s="2"/>
      <c r="FPB198" s="2"/>
      <c r="FPC198" s="2"/>
      <c r="FPD198" s="2"/>
      <c r="FPE198" s="2"/>
      <c r="FPF198" s="2"/>
      <c r="FPG198" s="2"/>
      <c r="FPH198" s="2"/>
      <c r="FPI198" s="2"/>
      <c r="FPJ198" s="2"/>
      <c r="FPK198" s="2"/>
      <c r="FPL198" s="2"/>
      <c r="FPM198" s="2"/>
      <c r="FPN198" s="2"/>
      <c r="FPO198" s="2"/>
      <c r="FPP198" s="2"/>
      <c r="FPQ198" s="2"/>
      <c r="FPR198" s="2"/>
      <c r="FPS198" s="2"/>
      <c r="FPT198" s="2"/>
      <c r="FPU198" s="2"/>
      <c r="FPV198" s="2"/>
      <c r="FPW198" s="2"/>
      <c r="FPX198" s="2"/>
      <c r="FPY198" s="2"/>
      <c r="FPZ198" s="2"/>
      <c r="FQA198" s="2"/>
      <c r="FQB198" s="2"/>
      <c r="FQC198" s="2"/>
      <c r="FQD198" s="2"/>
      <c r="FQE198" s="2"/>
      <c r="FQF198" s="2"/>
      <c r="FQG198" s="2"/>
      <c r="FQH198" s="2"/>
      <c r="FQI198" s="2"/>
      <c r="FQJ198" s="2"/>
      <c r="FQK198" s="2"/>
      <c r="FQL198" s="2"/>
      <c r="FQM198" s="2"/>
      <c r="FQN198" s="2"/>
      <c r="FQO198" s="2"/>
      <c r="FQP198" s="2"/>
      <c r="FQQ198" s="2"/>
      <c r="FQR198" s="2"/>
      <c r="FQS198" s="2"/>
      <c r="FQT198" s="2"/>
      <c r="FQU198" s="2"/>
      <c r="FQV198" s="2"/>
      <c r="FQW198" s="2"/>
      <c r="FQX198" s="2"/>
      <c r="FQY198" s="2"/>
      <c r="FQZ198" s="2"/>
      <c r="FRA198" s="2"/>
      <c r="FRB198" s="2"/>
      <c r="FRC198" s="2"/>
      <c r="FRD198" s="2"/>
      <c r="FRE198" s="2"/>
      <c r="FRF198" s="2"/>
      <c r="FRG198" s="2"/>
      <c r="FRH198" s="2"/>
      <c r="FRI198" s="2"/>
      <c r="FRJ198" s="2"/>
      <c r="FRK198" s="2"/>
      <c r="FRL198" s="2"/>
      <c r="FRM198" s="2"/>
      <c r="FRN198" s="2"/>
      <c r="FRO198" s="2"/>
      <c r="FRP198" s="2"/>
      <c r="FRQ198" s="2"/>
      <c r="FRR198" s="2"/>
      <c r="FRS198" s="2"/>
      <c r="FRT198" s="2"/>
      <c r="FRU198" s="2"/>
      <c r="FRV198" s="2"/>
      <c r="FRW198" s="2"/>
      <c r="FRX198" s="2"/>
      <c r="FRY198" s="2"/>
      <c r="FRZ198" s="2"/>
      <c r="FSA198" s="2"/>
      <c r="FSB198" s="2"/>
      <c r="FSC198" s="2"/>
      <c r="FSD198" s="2"/>
      <c r="FSE198" s="2"/>
      <c r="FSF198" s="2"/>
      <c r="FSG198" s="2"/>
      <c r="FSH198" s="2"/>
      <c r="FSI198" s="2"/>
      <c r="FSJ198" s="2"/>
      <c r="FSK198" s="2"/>
      <c r="FSL198" s="2"/>
      <c r="FSM198" s="2"/>
      <c r="FSN198" s="2"/>
      <c r="FSO198" s="2"/>
      <c r="FSP198" s="2"/>
      <c r="FSQ198" s="2"/>
      <c r="FSR198" s="2"/>
      <c r="FSS198" s="2"/>
      <c r="FST198" s="2"/>
      <c r="FSU198" s="2"/>
      <c r="FSV198" s="2"/>
      <c r="FSW198" s="2"/>
      <c r="FSX198" s="2"/>
      <c r="FSY198" s="2"/>
      <c r="FSZ198" s="2"/>
      <c r="FTA198" s="2"/>
      <c r="FTB198" s="2"/>
      <c r="FTC198" s="2"/>
      <c r="FTD198" s="2"/>
      <c r="FTE198" s="2"/>
      <c r="FTF198" s="2"/>
      <c r="FTG198" s="2"/>
      <c r="FTH198" s="2"/>
      <c r="FTI198" s="2"/>
      <c r="FTJ198" s="2"/>
      <c r="FTK198" s="2"/>
      <c r="FTL198" s="2"/>
      <c r="FTM198" s="2"/>
      <c r="FTN198" s="2"/>
      <c r="FTO198" s="2"/>
      <c r="FTP198" s="2"/>
      <c r="FTQ198" s="2"/>
      <c r="FTR198" s="2"/>
      <c r="FTS198" s="2"/>
      <c r="FTT198" s="2"/>
      <c r="FTU198" s="2"/>
      <c r="FTV198" s="2"/>
      <c r="FTW198" s="2"/>
      <c r="FTX198" s="2"/>
      <c r="FTY198" s="2"/>
      <c r="FTZ198" s="2"/>
      <c r="FUA198" s="2"/>
      <c r="FUB198" s="2"/>
      <c r="FUC198" s="2"/>
      <c r="FUD198" s="2"/>
      <c r="FUE198" s="2"/>
      <c r="FUF198" s="2"/>
      <c r="FUG198" s="2"/>
      <c r="FUH198" s="2"/>
      <c r="FUI198" s="2"/>
      <c r="FUJ198" s="2"/>
      <c r="FUK198" s="2"/>
      <c r="FUL198" s="2"/>
      <c r="FUM198" s="2"/>
      <c r="FUN198" s="2"/>
      <c r="FUO198" s="2"/>
      <c r="FUP198" s="2"/>
      <c r="FUQ198" s="2"/>
      <c r="FUR198" s="2"/>
      <c r="FUS198" s="2"/>
      <c r="FUT198" s="2"/>
      <c r="FUU198" s="2"/>
      <c r="FUV198" s="2"/>
      <c r="FUW198" s="2"/>
      <c r="FUX198" s="2"/>
      <c r="FUY198" s="2"/>
      <c r="FUZ198" s="2"/>
      <c r="FVA198" s="2"/>
      <c r="FVB198" s="2"/>
      <c r="FVC198" s="2"/>
      <c r="FVD198" s="2"/>
      <c r="FVE198" s="2"/>
      <c r="FVF198" s="2"/>
      <c r="FVG198" s="2"/>
      <c r="FVH198" s="2"/>
      <c r="FVI198" s="2"/>
      <c r="FVJ198" s="2"/>
      <c r="FVK198" s="2"/>
      <c r="FVL198" s="2"/>
      <c r="FVM198" s="2"/>
      <c r="FVN198" s="2"/>
      <c r="FVO198" s="2"/>
      <c r="FVP198" s="2"/>
      <c r="FVQ198" s="2"/>
      <c r="FVR198" s="2"/>
      <c r="FVS198" s="2"/>
      <c r="FVT198" s="2"/>
      <c r="FVU198" s="2"/>
      <c r="FVV198" s="2"/>
      <c r="FVW198" s="2"/>
      <c r="FVX198" s="2"/>
      <c r="FVY198" s="2"/>
      <c r="FVZ198" s="2"/>
      <c r="FWA198" s="2"/>
      <c r="FWB198" s="2"/>
      <c r="FWC198" s="2"/>
      <c r="FWD198" s="2"/>
      <c r="FWE198" s="2"/>
      <c r="FWF198" s="2"/>
      <c r="FWG198" s="2"/>
      <c r="FWH198" s="2"/>
      <c r="FWI198" s="2"/>
      <c r="FWJ198" s="2"/>
      <c r="FWK198" s="2"/>
      <c r="FWL198" s="2"/>
      <c r="FWM198" s="2"/>
      <c r="FWN198" s="2"/>
      <c r="FWO198" s="2"/>
      <c r="FWP198" s="2"/>
      <c r="FWQ198" s="2"/>
      <c r="FWR198" s="2"/>
      <c r="FWS198" s="2"/>
      <c r="FWT198" s="2"/>
      <c r="FWU198" s="2"/>
      <c r="FWV198" s="2"/>
      <c r="FWW198" s="2"/>
      <c r="FWX198" s="2"/>
      <c r="FWY198" s="2"/>
      <c r="FWZ198" s="2"/>
      <c r="FXA198" s="2"/>
      <c r="FXB198" s="2"/>
      <c r="FXC198" s="2"/>
      <c r="FXD198" s="2"/>
      <c r="FXE198" s="2"/>
      <c r="FXF198" s="2"/>
      <c r="FXG198" s="2"/>
      <c r="FXH198" s="2"/>
      <c r="FXI198" s="2"/>
      <c r="FXJ198" s="2"/>
      <c r="FXK198" s="2"/>
      <c r="FXL198" s="2"/>
      <c r="FXM198" s="2"/>
      <c r="FXN198" s="2"/>
      <c r="FXO198" s="2"/>
      <c r="FXP198" s="2"/>
      <c r="FXQ198" s="2"/>
      <c r="FXR198" s="2"/>
      <c r="FXS198" s="2"/>
      <c r="FXT198" s="2"/>
      <c r="FXU198" s="2"/>
      <c r="FXV198" s="2"/>
      <c r="FXW198" s="2"/>
      <c r="FXX198" s="2"/>
      <c r="FXY198" s="2"/>
      <c r="FXZ198" s="2"/>
      <c r="FYA198" s="2"/>
      <c r="FYB198" s="2"/>
      <c r="FYC198" s="2"/>
      <c r="FYD198" s="2"/>
      <c r="FYE198" s="2"/>
      <c r="FYF198" s="2"/>
      <c r="FYG198" s="2"/>
      <c r="FYH198" s="2"/>
      <c r="FYI198" s="2"/>
      <c r="FYJ198" s="2"/>
      <c r="FYK198" s="2"/>
      <c r="FYL198" s="2"/>
      <c r="FYM198" s="2"/>
      <c r="FYN198" s="2"/>
      <c r="FYO198" s="2"/>
      <c r="FYP198" s="2"/>
      <c r="FYQ198" s="2"/>
      <c r="FYR198" s="2"/>
      <c r="FYS198" s="2"/>
      <c r="FYT198" s="2"/>
      <c r="FYU198" s="2"/>
      <c r="FYV198" s="2"/>
      <c r="FYW198" s="2"/>
      <c r="FYX198" s="2"/>
      <c r="FYY198" s="2"/>
      <c r="FYZ198" s="2"/>
      <c r="FZA198" s="2"/>
      <c r="FZB198" s="2"/>
      <c r="FZC198" s="2"/>
      <c r="FZD198" s="2"/>
      <c r="FZE198" s="2"/>
      <c r="FZF198" s="2"/>
      <c r="FZG198" s="2"/>
      <c r="FZH198" s="2"/>
      <c r="FZI198" s="2"/>
      <c r="FZJ198" s="2"/>
      <c r="FZK198" s="2"/>
      <c r="FZL198" s="2"/>
      <c r="FZM198" s="2"/>
      <c r="FZN198" s="2"/>
      <c r="FZO198" s="2"/>
      <c r="FZP198" s="2"/>
      <c r="FZQ198" s="2"/>
      <c r="FZR198" s="2"/>
      <c r="FZS198" s="2"/>
      <c r="FZT198" s="2"/>
      <c r="FZU198" s="2"/>
      <c r="FZV198" s="2"/>
      <c r="FZW198" s="2"/>
      <c r="FZX198" s="2"/>
      <c r="FZY198" s="2"/>
      <c r="FZZ198" s="2"/>
      <c r="GAA198" s="2"/>
      <c r="GAB198" s="2"/>
      <c r="GAC198" s="2"/>
      <c r="GAD198" s="2"/>
      <c r="GAE198" s="2"/>
      <c r="GAF198" s="2"/>
      <c r="GAG198" s="2"/>
      <c r="GAH198" s="2"/>
      <c r="GAI198" s="2"/>
      <c r="GAJ198" s="2"/>
      <c r="GAK198" s="2"/>
      <c r="GAL198" s="2"/>
      <c r="GAM198" s="2"/>
      <c r="GAN198" s="2"/>
      <c r="GAO198" s="2"/>
      <c r="GAP198" s="2"/>
      <c r="GAQ198" s="2"/>
      <c r="GAR198" s="2"/>
      <c r="GAS198" s="2"/>
      <c r="GAT198" s="2"/>
      <c r="GAU198" s="2"/>
      <c r="GAV198" s="2"/>
      <c r="GAW198" s="2"/>
      <c r="GAX198" s="2"/>
      <c r="GAY198" s="2"/>
      <c r="GAZ198" s="2"/>
      <c r="GBA198" s="2"/>
      <c r="GBB198" s="2"/>
      <c r="GBC198" s="2"/>
      <c r="GBD198" s="2"/>
      <c r="GBE198" s="2"/>
      <c r="GBF198" s="2"/>
      <c r="GBG198" s="2"/>
      <c r="GBH198" s="2"/>
      <c r="GBI198" s="2"/>
      <c r="GBJ198" s="2"/>
      <c r="GBK198" s="2"/>
      <c r="GBL198" s="2"/>
      <c r="GBM198" s="2"/>
      <c r="GBN198" s="2"/>
      <c r="GBO198" s="2"/>
      <c r="GBP198" s="2"/>
      <c r="GBQ198" s="2"/>
      <c r="GBR198" s="2"/>
      <c r="GBS198" s="2"/>
      <c r="GBT198" s="2"/>
      <c r="GBU198" s="2"/>
      <c r="GBV198" s="2"/>
      <c r="GBW198" s="2"/>
      <c r="GBX198" s="2"/>
      <c r="GBY198" s="2"/>
      <c r="GBZ198" s="2"/>
      <c r="GCA198" s="2"/>
      <c r="GCB198" s="2"/>
      <c r="GCC198" s="2"/>
      <c r="GCD198" s="2"/>
      <c r="GCE198" s="2"/>
      <c r="GCF198" s="2"/>
      <c r="GCG198" s="2"/>
      <c r="GCH198" s="2"/>
      <c r="GCI198" s="2"/>
      <c r="GCJ198" s="2"/>
      <c r="GCK198" s="2"/>
      <c r="GCL198" s="2"/>
      <c r="GCM198" s="2"/>
      <c r="GCN198" s="2"/>
      <c r="GCO198" s="2"/>
      <c r="GCP198" s="2"/>
      <c r="GCQ198" s="2"/>
      <c r="GCR198" s="2"/>
      <c r="GCS198" s="2"/>
      <c r="GCT198" s="2"/>
      <c r="GCU198" s="2"/>
      <c r="GCV198" s="2"/>
      <c r="GCW198" s="2"/>
      <c r="GCX198" s="2"/>
      <c r="GCY198" s="2"/>
      <c r="GCZ198" s="2"/>
      <c r="GDA198" s="2"/>
      <c r="GDB198" s="2"/>
      <c r="GDC198" s="2"/>
      <c r="GDD198" s="2"/>
      <c r="GDE198" s="2"/>
      <c r="GDF198" s="2"/>
      <c r="GDG198" s="2"/>
      <c r="GDH198" s="2"/>
      <c r="GDI198" s="2"/>
      <c r="GDJ198" s="2"/>
      <c r="GDK198" s="2"/>
      <c r="GDL198" s="2"/>
      <c r="GDM198" s="2"/>
      <c r="GDN198" s="2"/>
      <c r="GDO198" s="2"/>
      <c r="GDP198" s="2"/>
      <c r="GDQ198" s="2"/>
      <c r="GDR198" s="2"/>
      <c r="GDS198" s="2"/>
      <c r="GDT198" s="2"/>
      <c r="GDU198" s="2"/>
      <c r="GDV198" s="2"/>
      <c r="GDW198" s="2"/>
      <c r="GDX198" s="2"/>
      <c r="GDY198" s="2"/>
      <c r="GDZ198" s="2"/>
      <c r="GEA198" s="2"/>
      <c r="GEB198" s="2"/>
      <c r="GEC198" s="2"/>
      <c r="GED198" s="2"/>
      <c r="GEE198" s="2"/>
      <c r="GEF198" s="2"/>
      <c r="GEG198" s="2"/>
      <c r="GEH198" s="2"/>
      <c r="GEI198" s="2"/>
      <c r="GEJ198" s="2"/>
      <c r="GEK198" s="2"/>
      <c r="GEL198" s="2"/>
      <c r="GEM198" s="2"/>
      <c r="GEN198" s="2"/>
      <c r="GEO198" s="2"/>
      <c r="GEP198" s="2"/>
      <c r="GEQ198" s="2"/>
      <c r="GER198" s="2"/>
      <c r="GES198" s="2"/>
      <c r="GET198" s="2"/>
      <c r="GEU198" s="2"/>
      <c r="GEV198" s="2"/>
      <c r="GEW198" s="2"/>
      <c r="GEX198" s="2"/>
      <c r="GEY198" s="2"/>
      <c r="GEZ198" s="2"/>
      <c r="GFA198" s="2"/>
      <c r="GFB198" s="2"/>
      <c r="GFC198" s="2"/>
      <c r="GFD198" s="2"/>
      <c r="GFE198" s="2"/>
      <c r="GFF198" s="2"/>
      <c r="GFG198" s="2"/>
      <c r="GFH198" s="2"/>
      <c r="GFI198" s="2"/>
      <c r="GFJ198" s="2"/>
      <c r="GFK198" s="2"/>
      <c r="GFL198" s="2"/>
      <c r="GFM198" s="2"/>
      <c r="GFN198" s="2"/>
      <c r="GFO198" s="2"/>
      <c r="GFP198" s="2"/>
      <c r="GFQ198" s="2"/>
      <c r="GFR198" s="2"/>
      <c r="GFS198" s="2"/>
      <c r="GFT198" s="2"/>
      <c r="GFU198" s="2"/>
      <c r="GFV198" s="2"/>
      <c r="GFW198" s="2"/>
      <c r="GFX198" s="2"/>
      <c r="GFY198" s="2"/>
      <c r="GFZ198" s="2"/>
      <c r="GGA198" s="2"/>
      <c r="GGB198" s="2"/>
      <c r="GGC198" s="2"/>
      <c r="GGD198" s="2"/>
      <c r="GGE198" s="2"/>
      <c r="GGF198" s="2"/>
      <c r="GGG198" s="2"/>
      <c r="GGH198" s="2"/>
      <c r="GGI198" s="2"/>
      <c r="GGJ198" s="2"/>
      <c r="GGK198" s="2"/>
      <c r="GGL198" s="2"/>
      <c r="GGM198" s="2"/>
      <c r="GGN198" s="2"/>
      <c r="GGO198" s="2"/>
      <c r="GGP198" s="2"/>
      <c r="GGQ198" s="2"/>
      <c r="GGR198" s="2"/>
      <c r="GGS198" s="2"/>
      <c r="GGT198" s="2"/>
      <c r="GGU198" s="2"/>
      <c r="GGV198" s="2"/>
      <c r="GGW198" s="2"/>
      <c r="GGX198" s="2"/>
      <c r="GGY198" s="2"/>
      <c r="GGZ198" s="2"/>
      <c r="GHA198" s="2"/>
      <c r="GHB198" s="2"/>
      <c r="GHC198" s="2"/>
      <c r="GHD198" s="2"/>
      <c r="GHE198" s="2"/>
      <c r="GHF198" s="2"/>
      <c r="GHG198" s="2"/>
      <c r="GHH198" s="2"/>
      <c r="GHI198" s="2"/>
      <c r="GHJ198" s="2"/>
      <c r="GHK198" s="2"/>
      <c r="GHL198" s="2"/>
      <c r="GHM198" s="2"/>
      <c r="GHN198" s="2"/>
      <c r="GHO198" s="2"/>
      <c r="GHP198" s="2"/>
      <c r="GHQ198" s="2"/>
      <c r="GHR198" s="2"/>
      <c r="GHS198" s="2"/>
      <c r="GHT198" s="2"/>
      <c r="GHU198" s="2"/>
      <c r="GHV198" s="2"/>
      <c r="GHW198" s="2"/>
      <c r="GHX198" s="2"/>
      <c r="GHY198" s="2"/>
      <c r="GHZ198" s="2"/>
      <c r="GIA198" s="2"/>
      <c r="GIB198" s="2"/>
      <c r="GIC198" s="2"/>
      <c r="GID198" s="2"/>
      <c r="GIE198" s="2"/>
      <c r="GIF198" s="2"/>
      <c r="GIG198" s="2"/>
      <c r="GIH198" s="2"/>
      <c r="GII198" s="2"/>
      <c r="GIJ198" s="2"/>
      <c r="GIK198" s="2"/>
      <c r="GIL198" s="2"/>
      <c r="GIM198" s="2"/>
      <c r="GIN198" s="2"/>
      <c r="GIO198" s="2"/>
      <c r="GIP198" s="2"/>
      <c r="GIQ198" s="2"/>
      <c r="GIR198" s="2"/>
      <c r="GIS198" s="2"/>
      <c r="GIT198" s="2"/>
      <c r="GIU198" s="2"/>
      <c r="GIV198" s="2"/>
      <c r="GIW198" s="2"/>
      <c r="GIX198" s="2"/>
      <c r="GIY198" s="2"/>
      <c r="GIZ198" s="2"/>
      <c r="GJA198" s="2"/>
      <c r="GJB198" s="2"/>
      <c r="GJC198" s="2"/>
      <c r="GJD198" s="2"/>
      <c r="GJE198" s="2"/>
      <c r="GJF198" s="2"/>
      <c r="GJG198" s="2"/>
      <c r="GJH198" s="2"/>
      <c r="GJI198" s="2"/>
      <c r="GJJ198" s="2"/>
      <c r="GJK198" s="2"/>
      <c r="GJL198" s="2"/>
      <c r="GJM198" s="2"/>
      <c r="GJN198" s="2"/>
      <c r="GJO198" s="2"/>
      <c r="GJP198" s="2"/>
      <c r="GJQ198" s="2"/>
      <c r="GJR198" s="2"/>
      <c r="GJS198" s="2"/>
      <c r="GJT198" s="2"/>
      <c r="GJU198" s="2"/>
      <c r="GJV198" s="2"/>
      <c r="GJW198" s="2"/>
      <c r="GJX198" s="2"/>
      <c r="GJY198" s="2"/>
      <c r="GJZ198" s="2"/>
      <c r="GKA198" s="2"/>
      <c r="GKB198" s="2"/>
      <c r="GKC198" s="2"/>
      <c r="GKD198" s="2"/>
      <c r="GKE198" s="2"/>
      <c r="GKF198" s="2"/>
      <c r="GKG198" s="2"/>
      <c r="GKH198" s="2"/>
      <c r="GKI198" s="2"/>
      <c r="GKJ198" s="2"/>
      <c r="GKK198" s="2"/>
      <c r="GKL198" s="2"/>
      <c r="GKM198" s="2"/>
      <c r="GKN198" s="2"/>
      <c r="GKO198" s="2"/>
      <c r="GKP198" s="2"/>
      <c r="GKQ198" s="2"/>
      <c r="GKR198" s="2"/>
      <c r="GKS198" s="2"/>
      <c r="GKT198" s="2"/>
      <c r="GKU198" s="2"/>
      <c r="GKV198" s="2"/>
      <c r="GKW198" s="2"/>
      <c r="GKX198" s="2"/>
      <c r="GKY198" s="2"/>
      <c r="GKZ198" s="2"/>
      <c r="GLA198" s="2"/>
      <c r="GLB198" s="2"/>
      <c r="GLC198" s="2"/>
      <c r="GLD198" s="2"/>
      <c r="GLE198" s="2"/>
      <c r="GLF198" s="2"/>
      <c r="GLG198" s="2"/>
      <c r="GLH198" s="2"/>
      <c r="GLI198" s="2"/>
      <c r="GLJ198" s="2"/>
      <c r="GLK198" s="2"/>
      <c r="GLL198" s="2"/>
      <c r="GLM198" s="2"/>
      <c r="GLN198" s="2"/>
      <c r="GLO198" s="2"/>
      <c r="GLP198" s="2"/>
      <c r="GLQ198" s="2"/>
      <c r="GLR198" s="2"/>
      <c r="GLS198" s="2"/>
      <c r="GLT198" s="2"/>
      <c r="GLU198" s="2"/>
      <c r="GLV198" s="2"/>
      <c r="GLW198" s="2"/>
      <c r="GLX198" s="2"/>
      <c r="GLY198" s="2"/>
      <c r="GLZ198" s="2"/>
      <c r="GMA198" s="2"/>
      <c r="GMB198" s="2"/>
      <c r="GMC198" s="2"/>
      <c r="GMD198" s="2"/>
      <c r="GME198" s="2"/>
      <c r="GMF198" s="2"/>
      <c r="GMG198" s="2"/>
      <c r="GMH198" s="2"/>
      <c r="GMI198" s="2"/>
      <c r="GMJ198" s="2"/>
      <c r="GMK198" s="2"/>
      <c r="GML198" s="2"/>
      <c r="GMM198" s="2"/>
      <c r="GMN198" s="2"/>
      <c r="GMO198" s="2"/>
      <c r="GMP198" s="2"/>
      <c r="GMQ198" s="2"/>
      <c r="GMR198" s="2"/>
      <c r="GMS198" s="2"/>
      <c r="GMT198" s="2"/>
      <c r="GMU198" s="2"/>
      <c r="GMV198" s="2"/>
      <c r="GMW198" s="2"/>
      <c r="GMX198" s="2"/>
      <c r="GMY198" s="2"/>
      <c r="GMZ198" s="2"/>
      <c r="GNA198" s="2"/>
      <c r="GNB198" s="2"/>
      <c r="GNC198" s="2"/>
      <c r="GND198" s="2"/>
      <c r="GNE198" s="2"/>
      <c r="GNF198" s="2"/>
      <c r="GNG198" s="2"/>
      <c r="GNH198" s="2"/>
      <c r="GNI198" s="2"/>
      <c r="GNJ198" s="2"/>
      <c r="GNK198" s="2"/>
      <c r="GNL198" s="2"/>
      <c r="GNM198" s="2"/>
      <c r="GNN198" s="2"/>
      <c r="GNO198" s="2"/>
      <c r="GNP198" s="2"/>
      <c r="GNQ198" s="2"/>
      <c r="GNR198" s="2"/>
      <c r="GNS198" s="2"/>
      <c r="GNT198" s="2"/>
      <c r="GNU198" s="2"/>
      <c r="GNV198" s="2"/>
      <c r="GNW198" s="2"/>
      <c r="GNX198" s="2"/>
      <c r="GNY198" s="2"/>
      <c r="GNZ198" s="2"/>
      <c r="GOA198" s="2"/>
      <c r="GOB198" s="2"/>
      <c r="GOC198" s="2"/>
      <c r="GOD198" s="2"/>
      <c r="GOE198" s="2"/>
      <c r="GOF198" s="2"/>
      <c r="GOG198" s="2"/>
      <c r="GOH198" s="2"/>
      <c r="GOI198" s="2"/>
      <c r="GOJ198" s="2"/>
      <c r="GOK198" s="2"/>
      <c r="GOL198" s="2"/>
      <c r="GOM198" s="2"/>
      <c r="GON198" s="2"/>
      <c r="GOO198" s="2"/>
      <c r="GOP198" s="2"/>
      <c r="GOQ198" s="2"/>
      <c r="GOR198" s="2"/>
      <c r="GOS198" s="2"/>
      <c r="GOT198" s="2"/>
      <c r="GOU198" s="2"/>
      <c r="GOV198" s="2"/>
      <c r="GOW198" s="2"/>
      <c r="GOX198" s="2"/>
      <c r="GOY198" s="2"/>
      <c r="GOZ198" s="2"/>
      <c r="GPA198" s="2"/>
      <c r="GPB198" s="2"/>
      <c r="GPC198" s="2"/>
      <c r="GPD198" s="2"/>
      <c r="GPE198" s="2"/>
      <c r="GPF198" s="2"/>
      <c r="GPG198" s="2"/>
      <c r="GPH198" s="2"/>
      <c r="GPI198" s="2"/>
      <c r="GPJ198" s="2"/>
      <c r="GPK198" s="2"/>
      <c r="GPL198" s="2"/>
      <c r="GPM198" s="2"/>
      <c r="GPN198" s="2"/>
      <c r="GPO198" s="2"/>
      <c r="GPP198" s="2"/>
      <c r="GPQ198" s="2"/>
      <c r="GPR198" s="2"/>
      <c r="GPS198" s="2"/>
      <c r="GPT198" s="2"/>
      <c r="GPU198" s="2"/>
      <c r="GPV198" s="2"/>
      <c r="GPW198" s="2"/>
      <c r="GPX198" s="2"/>
      <c r="GPY198" s="2"/>
      <c r="GPZ198" s="2"/>
      <c r="GQA198" s="2"/>
      <c r="GQB198" s="2"/>
      <c r="GQC198" s="2"/>
      <c r="GQD198" s="2"/>
      <c r="GQE198" s="2"/>
      <c r="GQF198" s="2"/>
      <c r="GQG198" s="2"/>
      <c r="GQH198" s="2"/>
      <c r="GQI198" s="2"/>
      <c r="GQJ198" s="2"/>
      <c r="GQK198" s="2"/>
      <c r="GQL198" s="2"/>
      <c r="GQM198" s="2"/>
      <c r="GQN198" s="2"/>
      <c r="GQO198" s="2"/>
      <c r="GQP198" s="2"/>
      <c r="GQQ198" s="2"/>
      <c r="GQR198" s="2"/>
      <c r="GQS198" s="2"/>
      <c r="GQT198" s="2"/>
      <c r="GQU198" s="2"/>
      <c r="GQV198" s="2"/>
      <c r="GQW198" s="2"/>
      <c r="GQX198" s="2"/>
      <c r="GQY198" s="2"/>
      <c r="GQZ198" s="2"/>
      <c r="GRA198" s="2"/>
      <c r="GRB198" s="2"/>
      <c r="GRC198" s="2"/>
      <c r="GRD198" s="2"/>
      <c r="GRE198" s="2"/>
      <c r="GRF198" s="2"/>
      <c r="GRG198" s="2"/>
      <c r="GRH198" s="2"/>
      <c r="GRI198" s="2"/>
      <c r="GRJ198" s="2"/>
      <c r="GRK198" s="2"/>
      <c r="GRL198" s="2"/>
      <c r="GRM198" s="2"/>
      <c r="GRN198" s="2"/>
      <c r="GRO198" s="2"/>
      <c r="GRP198" s="2"/>
      <c r="GRQ198" s="2"/>
      <c r="GRR198" s="2"/>
      <c r="GRS198" s="2"/>
      <c r="GRT198" s="2"/>
      <c r="GRU198" s="2"/>
      <c r="GRV198" s="2"/>
      <c r="GRW198" s="2"/>
      <c r="GRX198" s="2"/>
      <c r="GRY198" s="2"/>
      <c r="GRZ198" s="2"/>
      <c r="GSA198" s="2"/>
      <c r="GSB198" s="2"/>
      <c r="GSC198" s="2"/>
      <c r="GSD198" s="2"/>
      <c r="GSE198" s="2"/>
      <c r="GSF198" s="2"/>
      <c r="GSG198" s="2"/>
      <c r="GSH198" s="2"/>
      <c r="GSI198" s="2"/>
      <c r="GSJ198" s="2"/>
      <c r="GSK198" s="2"/>
      <c r="GSL198" s="2"/>
      <c r="GSM198" s="2"/>
      <c r="GSN198" s="2"/>
      <c r="GSO198" s="2"/>
      <c r="GSP198" s="2"/>
      <c r="GSQ198" s="2"/>
      <c r="GSR198" s="2"/>
      <c r="GSS198" s="2"/>
      <c r="GST198" s="2"/>
      <c r="GSU198" s="2"/>
      <c r="GSV198" s="2"/>
      <c r="GSW198" s="2"/>
      <c r="GSX198" s="2"/>
      <c r="GSY198" s="2"/>
      <c r="GSZ198" s="2"/>
      <c r="GTA198" s="2"/>
      <c r="GTB198" s="2"/>
      <c r="GTC198" s="2"/>
      <c r="GTD198" s="2"/>
      <c r="GTE198" s="2"/>
      <c r="GTF198" s="2"/>
      <c r="GTG198" s="2"/>
      <c r="GTH198" s="2"/>
      <c r="GTI198" s="2"/>
      <c r="GTJ198" s="2"/>
      <c r="GTK198" s="2"/>
      <c r="GTL198" s="2"/>
      <c r="GTM198" s="2"/>
      <c r="GTN198" s="2"/>
      <c r="GTO198" s="2"/>
      <c r="GTP198" s="2"/>
      <c r="GTQ198" s="2"/>
      <c r="GTR198" s="2"/>
      <c r="GTS198" s="2"/>
      <c r="GTT198" s="2"/>
      <c r="GTU198" s="2"/>
      <c r="GTV198" s="2"/>
      <c r="GTW198" s="2"/>
      <c r="GTX198" s="2"/>
      <c r="GTY198" s="2"/>
      <c r="GTZ198" s="2"/>
      <c r="GUA198" s="2"/>
      <c r="GUB198" s="2"/>
      <c r="GUC198" s="2"/>
      <c r="GUD198" s="2"/>
      <c r="GUE198" s="2"/>
      <c r="GUF198" s="2"/>
      <c r="GUG198" s="2"/>
      <c r="GUH198" s="2"/>
      <c r="GUI198" s="2"/>
      <c r="GUJ198" s="2"/>
      <c r="GUK198" s="2"/>
      <c r="GUL198" s="2"/>
      <c r="GUM198" s="2"/>
      <c r="GUN198" s="2"/>
      <c r="GUO198" s="2"/>
      <c r="GUP198" s="2"/>
      <c r="GUQ198" s="2"/>
      <c r="GUR198" s="2"/>
      <c r="GUS198" s="2"/>
      <c r="GUT198" s="2"/>
      <c r="GUU198" s="2"/>
      <c r="GUV198" s="2"/>
      <c r="GUW198" s="2"/>
      <c r="GUX198" s="2"/>
      <c r="GUY198" s="2"/>
      <c r="GUZ198" s="2"/>
      <c r="GVA198" s="2"/>
      <c r="GVB198" s="2"/>
      <c r="GVC198" s="2"/>
      <c r="GVD198" s="2"/>
      <c r="GVE198" s="2"/>
      <c r="GVF198" s="2"/>
      <c r="GVG198" s="2"/>
      <c r="GVH198" s="2"/>
      <c r="GVI198" s="2"/>
      <c r="GVJ198" s="2"/>
      <c r="GVK198" s="2"/>
      <c r="GVL198" s="2"/>
      <c r="GVM198" s="2"/>
      <c r="GVN198" s="2"/>
      <c r="GVO198" s="2"/>
      <c r="GVP198" s="2"/>
      <c r="GVQ198" s="2"/>
      <c r="GVR198" s="2"/>
      <c r="GVS198" s="2"/>
      <c r="GVT198" s="2"/>
      <c r="GVU198" s="2"/>
      <c r="GVV198" s="2"/>
      <c r="GVW198" s="2"/>
      <c r="GVX198" s="2"/>
      <c r="GVY198" s="2"/>
      <c r="GVZ198" s="2"/>
      <c r="GWA198" s="2"/>
      <c r="GWB198" s="2"/>
      <c r="GWC198" s="2"/>
      <c r="GWD198" s="2"/>
      <c r="GWE198" s="2"/>
      <c r="GWF198" s="2"/>
      <c r="GWG198" s="2"/>
      <c r="GWH198" s="2"/>
      <c r="GWI198" s="2"/>
      <c r="GWJ198" s="2"/>
      <c r="GWK198" s="2"/>
      <c r="GWL198" s="2"/>
      <c r="GWM198" s="2"/>
      <c r="GWN198" s="2"/>
      <c r="GWO198" s="2"/>
      <c r="GWP198" s="2"/>
      <c r="GWQ198" s="2"/>
      <c r="GWR198" s="2"/>
      <c r="GWS198" s="2"/>
      <c r="GWT198" s="2"/>
      <c r="GWU198" s="2"/>
      <c r="GWV198" s="2"/>
      <c r="GWW198" s="2"/>
      <c r="GWX198" s="2"/>
      <c r="GWY198" s="2"/>
      <c r="GWZ198" s="2"/>
      <c r="GXA198" s="2"/>
      <c r="GXB198" s="2"/>
      <c r="GXC198" s="2"/>
      <c r="GXD198" s="2"/>
      <c r="GXE198" s="2"/>
      <c r="GXF198" s="2"/>
      <c r="GXG198" s="2"/>
      <c r="GXH198" s="2"/>
      <c r="GXI198" s="2"/>
      <c r="GXJ198" s="2"/>
      <c r="GXK198" s="2"/>
      <c r="GXL198" s="2"/>
      <c r="GXM198" s="2"/>
      <c r="GXN198" s="2"/>
      <c r="GXO198" s="2"/>
      <c r="GXP198" s="2"/>
      <c r="GXQ198" s="2"/>
      <c r="GXR198" s="2"/>
      <c r="GXS198" s="2"/>
      <c r="GXT198" s="2"/>
      <c r="GXU198" s="2"/>
      <c r="GXV198" s="2"/>
      <c r="GXW198" s="2"/>
      <c r="GXX198" s="2"/>
      <c r="GXY198" s="2"/>
      <c r="GXZ198" s="2"/>
      <c r="GYA198" s="2"/>
      <c r="GYB198" s="2"/>
      <c r="GYC198" s="2"/>
      <c r="GYD198" s="2"/>
      <c r="GYE198" s="2"/>
      <c r="GYF198" s="2"/>
      <c r="GYG198" s="2"/>
      <c r="GYH198" s="2"/>
      <c r="GYI198" s="2"/>
      <c r="GYJ198" s="2"/>
      <c r="GYK198" s="2"/>
      <c r="GYL198" s="2"/>
      <c r="GYM198" s="2"/>
      <c r="GYN198" s="2"/>
      <c r="GYO198" s="2"/>
      <c r="GYP198" s="2"/>
      <c r="GYQ198" s="2"/>
      <c r="GYR198" s="2"/>
      <c r="GYS198" s="2"/>
      <c r="GYT198" s="2"/>
      <c r="GYU198" s="2"/>
      <c r="GYV198" s="2"/>
      <c r="GYW198" s="2"/>
      <c r="GYX198" s="2"/>
      <c r="GYY198" s="2"/>
      <c r="GYZ198" s="2"/>
      <c r="GZA198" s="2"/>
      <c r="GZB198" s="2"/>
      <c r="GZC198" s="2"/>
      <c r="GZD198" s="2"/>
      <c r="GZE198" s="2"/>
      <c r="GZF198" s="2"/>
      <c r="GZG198" s="2"/>
      <c r="GZH198" s="2"/>
      <c r="GZI198" s="2"/>
      <c r="GZJ198" s="2"/>
      <c r="GZK198" s="2"/>
      <c r="GZL198" s="2"/>
      <c r="GZM198" s="2"/>
      <c r="GZN198" s="2"/>
      <c r="GZO198" s="2"/>
      <c r="GZP198" s="2"/>
      <c r="GZQ198" s="2"/>
      <c r="GZR198" s="2"/>
      <c r="GZS198" s="2"/>
      <c r="GZT198" s="2"/>
      <c r="GZU198" s="2"/>
      <c r="GZV198" s="2"/>
      <c r="GZW198" s="2"/>
      <c r="GZX198" s="2"/>
      <c r="GZY198" s="2"/>
      <c r="GZZ198" s="2"/>
      <c r="HAA198" s="2"/>
      <c r="HAB198" s="2"/>
      <c r="HAC198" s="2"/>
      <c r="HAD198" s="2"/>
      <c r="HAE198" s="2"/>
      <c r="HAF198" s="2"/>
      <c r="HAG198" s="2"/>
      <c r="HAH198" s="2"/>
      <c r="HAI198" s="2"/>
      <c r="HAJ198" s="2"/>
      <c r="HAK198" s="2"/>
      <c r="HAL198" s="2"/>
      <c r="HAM198" s="2"/>
      <c r="HAN198" s="2"/>
      <c r="HAO198" s="2"/>
      <c r="HAP198" s="2"/>
      <c r="HAQ198" s="2"/>
      <c r="HAR198" s="2"/>
      <c r="HAS198" s="2"/>
      <c r="HAT198" s="2"/>
      <c r="HAU198" s="2"/>
      <c r="HAV198" s="2"/>
      <c r="HAW198" s="2"/>
      <c r="HAX198" s="2"/>
      <c r="HAY198" s="2"/>
      <c r="HAZ198" s="2"/>
      <c r="HBA198" s="2"/>
      <c r="HBB198" s="2"/>
      <c r="HBC198" s="2"/>
      <c r="HBD198" s="2"/>
      <c r="HBE198" s="2"/>
      <c r="HBF198" s="2"/>
      <c r="HBG198" s="2"/>
      <c r="HBH198" s="2"/>
      <c r="HBI198" s="2"/>
      <c r="HBJ198" s="2"/>
      <c r="HBK198" s="2"/>
      <c r="HBL198" s="2"/>
      <c r="HBM198" s="2"/>
      <c r="HBN198" s="2"/>
      <c r="HBO198" s="2"/>
      <c r="HBP198" s="2"/>
      <c r="HBQ198" s="2"/>
      <c r="HBR198" s="2"/>
      <c r="HBS198" s="2"/>
      <c r="HBT198" s="2"/>
      <c r="HBU198" s="2"/>
      <c r="HBV198" s="2"/>
      <c r="HBW198" s="2"/>
      <c r="HBX198" s="2"/>
      <c r="HBY198" s="2"/>
      <c r="HBZ198" s="2"/>
      <c r="HCA198" s="2"/>
      <c r="HCB198" s="2"/>
      <c r="HCC198" s="2"/>
      <c r="HCD198" s="2"/>
      <c r="HCE198" s="2"/>
      <c r="HCF198" s="2"/>
      <c r="HCG198" s="2"/>
      <c r="HCH198" s="2"/>
      <c r="HCI198" s="2"/>
      <c r="HCJ198" s="2"/>
      <c r="HCK198" s="2"/>
      <c r="HCL198" s="2"/>
      <c r="HCM198" s="2"/>
      <c r="HCN198" s="2"/>
      <c r="HCO198" s="2"/>
      <c r="HCP198" s="2"/>
      <c r="HCQ198" s="2"/>
      <c r="HCR198" s="2"/>
      <c r="HCS198" s="2"/>
      <c r="HCT198" s="2"/>
      <c r="HCU198" s="2"/>
      <c r="HCV198" s="2"/>
      <c r="HCW198" s="2"/>
      <c r="HCX198" s="2"/>
      <c r="HCY198" s="2"/>
      <c r="HCZ198" s="2"/>
      <c r="HDA198" s="2"/>
      <c r="HDB198" s="2"/>
      <c r="HDC198" s="2"/>
      <c r="HDD198" s="2"/>
      <c r="HDE198" s="2"/>
      <c r="HDF198" s="2"/>
      <c r="HDG198" s="2"/>
      <c r="HDH198" s="2"/>
      <c r="HDI198" s="2"/>
      <c r="HDJ198" s="2"/>
      <c r="HDK198" s="2"/>
      <c r="HDL198" s="2"/>
      <c r="HDM198" s="2"/>
      <c r="HDN198" s="2"/>
      <c r="HDO198" s="2"/>
      <c r="HDP198" s="2"/>
      <c r="HDQ198" s="2"/>
      <c r="HDR198" s="2"/>
      <c r="HDS198" s="2"/>
      <c r="HDT198" s="2"/>
      <c r="HDU198" s="2"/>
      <c r="HDV198" s="2"/>
      <c r="HDW198" s="2"/>
      <c r="HDX198" s="2"/>
      <c r="HDY198" s="2"/>
      <c r="HDZ198" s="2"/>
      <c r="HEA198" s="2"/>
      <c r="HEB198" s="2"/>
      <c r="HEC198" s="2"/>
      <c r="HED198" s="2"/>
      <c r="HEE198" s="2"/>
      <c r="HEF198" s="2"/>
      <c r="HEG198" s="2"/>
      <c r="HEH198" s="2"/>
      <c r="HEI198" s="2"/>
      <c r="HEJ198" s="2"/>
      <c r="HEK198" s="2"/>
      <c r="HEL198" s="2"/>
      <c r="HEM198" s="2"/>
      <c r="HEN198" s="2"/>
      <c r="HEO198" s="2"/>
      <c r="HEP198" s="2"/>
      <c r="HEQ198" s="2"/>
      <c r="HER198" s="2"/>
      <c r="HES198" s="2"/>
      <c r="HET198" s="2"/>
      <c r="HEU198" s="2"/>
      <c r="HEV198" s="2"/>
      <c r="HEW198" s="2"/>
      <c r="HEX198" s="2"/>
      <c r="HEY198" s="2"/>
      <c r="HEZ198" s="2"/>
      <c r="HFA198" s="2"/>
      <c r="HFB198" s="2"/>
      <c r="HFC198" s="2"/>
      <c r="HFD198" s="2"/>
      <c r="HFE198" s="2"/>
      <c r="HFF198" s="2"/>
      <c r="HFG198" s="2"/>
      <c r="HFH198" s="2"/>
      <c r="HFI198" s="2"/>
      <c r="HFJ198" s="2"/>
      <c r="HFK198" s="2"/>
      <c r="HFL198" s="2"/>
      <c r="HFM198" s="2"/>
      <c r="HFN198" s="2"/>
      <c r="HFO198" s="2"/>
      <c r="HFP198" s="2"/>
      <c r="HFQ198" s="2"/>
      <c r="HFR198" s="2"/>
      <c r="HFS198" s="2"/>
      <c r="HFT198" s="2"/>
      <c r="HFU198" s="2"/>
      <c r="HFV198" s="2"/>
      <c r="HFW198" s="2"/>
      <c r="HFX198" s="2"/>
      <c r="HFY198" s="2"/>
      <c r="HFZ198" s="2"/>
      <c r="HGA198" s="2"/>
      <c r="HGB198" s="2"/>
      <c r="HGC198" s="2"/>
      <c r="HGD198" s="2"/>
      <c r="HGE198" s="2"/>
      <c r="HGF198" s="2"/>
      <c r="HGG198" s="2"/>
      <c r="HGH198" s="2"/>
      <c r="HGI198" s="2"/>
      <c r="HGJ198" s="2"/>
      <c r="HGK198" s="2"/>
      <c r="HGL198" s="2"/>
      <c r="HGM198" s="2"/>
      <c r="HGN198" s="2"/>
      <c r="HGO198" s="2"/>
      <c r="HGP198" s="2"/>
      <c r="HGQ198" s="2"/>
      <c r="HGR198" s="2"/>
      <c r="HGS198" s="2"/>
      <c r="HGT198" s="2"/>
      <c r="HGU198" s="2"/>
      <c r="HGV198" s="2"/>
      <c r="HGW198" s="2"/>
      <c r="HGX198" s="2"/>
      <c r="HGY198" s="2"/>
      <c r="HGZ198" s="2"/>
      <c r="HHA198" s="2"/>
      <c r="HHB198" s="2"/>
      <c r="HHC198" s="2"/>
      <c r="HHD198" s="2"/>
      <c r="HHE198" s="2"/>
      <c r="HHF198" s="2"/>
      <c r="HHG198" s="2"/>
      <c r="HHH198" s="2"/>
      <c r="HHI198" s="2"/>
      <c r="HHJ198" s="2"/>
      <c r="HHK198" s="2"/>
      <c r="HHL198" s="2"/>
      <c r="HHM198" s="2"/>
      <c r="HHN198" s="2"/>
      <c r="HHO198" s="2"/>
      <c r="HHP198" s="2"/>
      <c r="HHQ198" s="2"/>
      <c r="HHR198" s="2"/>
      <c r="HHS198" s="2"/>
      <c r="HHT198" s="2"/>
      <c r="HHU198" s="2"/>
      <c r="HHV198" s="2"/>
      <c r="HHW198" s="2"/>
      <c r="HHX198" s="2"/>
      <c r="HHY198" s="2"/>
      <c r="HHZ198" s="2"/>
      <c r="HIA198" s="2"/>
      <c r="HIB198" s="2"/>
      <c r="HIC198" s="2"/>
      <c r="HID198" s="2"/>
      <c r="HIE198" s="2"/>
      <c r="HIF198" s="2"/>
      <c r="HIG198" s="2"/>
      <c r="HIH198" s="2"/>
      <c r="HII198" s="2"/>
      <c r="HIJ198" s="2"/>
      <c r="HIK198" s="2"/>
      <c r="HIL198" s="2"/>
      <c r="HIM198" s="2"/>
      <c r="HIN198" s="2"/>
      <c r="HIO198" s="2"/>
      <c r="HIP198" s="2"/>
      <c r="HIQ198" s="2"/>
      <c r="HIR198" s="2"/>
      <c r="HIS198" s="2"/>
      <c r="HIT198" s="2"/>
      <c r="HIU198" s="2"/>
      <c r="HIV198" s="2"/>
      <c r="HIW198" s="2"/>
      <c r="HIX198" s="2"/>
      <c r="HIY198" s="2"/>
      <c r="HIZ198" s="2"/>
      <c r="HJA198" s="2"/>
      <c r="HJB198" s="2"/>
      <c r="HJC198" s="2"/>
      <c r="HJD198" s="2"/>
      <c r="HJE198" s="2"/>
      <c r="HJF198" s="2"/>
      <c r="HJG198" s="2"/>
      <c r="HJH198" s="2"/>
      <c r="HJI198" s="2"/>
      <c r="HJJ198" s="2"/>
      <c r="HJK198" s="2"/>
      <c r="HJL198" s="2"/>
      <c r="HJM198" s="2"/>
      <c r="HJN198" s="2"/>
      <c r="HJO198" s="2"/>
      <c r="HJP198" s="2"/>
      <c r="HJQ198" s="2"/>
      <c r="HJR198" s="2"/>
      <c r="HJS198" s="2"/>
      <c r="HJT198" s="2"/>
      <c r="HJU198" s="2"/>
      <c r="HJV198" s="2"/>
      <c r="HJW198" s="2"/>
      <c r="HJX198" s="2"/>
      <c r="HJY198" s="2"/>
      <c r="HJZ198" s="2"/>
      <c r="HKA198" s="2"/>
      <c r="HKB198" s="2"/>
      <c r="HKC198" s="2"/>
      <c r="HKD198" s="2"/>
      <c r="HKE198" s="2"/>
      <c r="HKF198" s="2"/>
      <c r="HKG198" s="2"/>
      <c r="HKH198" s="2"/>
      <c r="HKI198" s="2"/>
      <c r="HKJ198" s="2"/>
      <c r="HKK198" s="2"/>
      <c r="HKL198" s="2"/>
      <c r="HKM198" s="2"/>
      <c r="HKN198" s="2"/>
      <c r="HKO198" s="2"/>
      <c r="HKP198" s="2"/>
      <c r="HKQ198" s="2"/>
      <c r="HKR198" s="2"/>
      <c r="HKS198" s="2"/>
      <c r="HKT198" s="2"/>
      <c r="HKU198" s="2"/>
      <c r="HKV198" s="2"/>
      <c r="HKW198" s="2"/>
      <c r="HKX198" s="2"/>
      <c r="HKY198" s="2"/>
      <c r="HKZ198" s="2"/>
      <c r="HLA198" s="2"/>
      <c r="HLB198" s="2"/>
      <c r="HLC198" s="2"/>
      <c r="HLD198" s="2"/>
      <c r="HLE198" s="2"/>
      <c r="HLF198" s="2"/>
      <c r="HLG198" s="2"/>
      <c r="HLH198" s="2"/>
      <c r="HLI198" s="2"/>
      <c r="HLJ198" s="2"/>
      <c r="HLK198" s="2"/>
      <c r="HLL198" s="2"/>
      <c r="HLM198" s="2"/>
      <c r="HLN198" s="2"/>
      <c r="HLO198" s="2"/>
      <c r="HLP198" s="2"/>
      <c r="HLQ198" s="2"/>
      <c r="HLR198" s="2"/>
      <c r="HLS198" s="2"/>
      <c r="HLT198" s="2"/>
      <c r="HLU198" s="2"/>
      <c r="HLV198" s="2"/>
      <c r="HLW198" s="2"/>
      <c r="HLX198" s="2"/>
      <c r="HLY198" s="2"/>
      <c r="HLZ198" s="2"/>
      <c r="HMA198" s="2"/>
      <c r="HMB198" s="2"/>
      <c r="HMC198" s="2"/>
      <c r="HMD198" s="2"/>
      <c r="HME198" s="2"/>
      <c r="HMF198" s="2"/>
      <c r="HMG198" s="2"/>
      <c r="HMH198" s="2"/>
      <c r="HMI198" s="2"/>
      <c r="HMJ198" s="2"/>
      <c r="HMK198" s="2"/>
      <c r="HML198" s="2"/>
      <c r="HMM198" s="2"/>
      <c r="HMN198" s="2"/>
      <c r="HMO198" s="2"/>
      <c r="HMP198" s="2"/>
      <c r="HMQ198" s="2"/>
      <c r="HMR198" s="2"/>
      <c r="HMS198" s="2"/>
      <c r="HMT198" s="2"/>
      <c r="HMU198" s="2"/>
      <c r="HMV198" s="2"/>
      <c r="HMW198" s="2"/>
      <c r="HMX198" s="2"/>
      <c r="HMY198" s="2"/>
      <c r="HMZ198" s="2"/>
      <c r="HNA198" s="2"/>
      <c r="HNB198" s="2"/>
      <c r="HNC198" s="2"/>
      <c r="HND198" s="2"/>
      <c r="HNE198" s="2"/>
      <c r="HNF198" s="2"/>
      <c r="HNG198" s="2"/>
      <c r="HNH198" s="2"/>
      <c r="HNI198" s="2"/>
      <c r="HNJ198" s="2"/>
      <c r="HNK198" s="2"/>
      <c r="HNL198" s="2"/>
      <c r="HNM198" s="2"/>
      <c r="HNN198" s="2"/>
      <c r="HNO198" s="2"/>
      <c r="HNP198" s="2"/>
      <c r="HNQ198" s="2"/>
      <c r="HNR198" s="2"/>
      <c r="HNS198" s="2"/>
      <c r="HNT198" s="2"/>
      <c r="HNU198" s="2"/>
      <c r="HNV198" s="2"/>
      <c r="HNW198" s="2"/>
      <c r="HNX198" s="2"/>
      <c r="HNY198" s="2"/>
      <c r="HNZ198" s="2"/>
      <c r="HOA198" s="2"/>
      <c r="HOB198" s="2"/>
      <c r="HOC198" s="2"/>
      <c r="HOD198" s="2"/>
      <c r="HOE198" s="2"/>
      <c r="HOF198" s="2"/>
      <c r="HOG198" s="2"/>
      <c r="HOH198" s="2"/>
      <c r="HOI198" s="2"/>
      <c r="HOJ198" s="2"/>
      <c r="HOK198" s="2"/>
      <c r="HOL198" s="2"/>
      <c r="HOM198" s="2"/>
      <c r="HON198" s="2"/>
      <c r="HOO198" s="2"/>
      <c r="HOP198" s="2"/>
      <c r="HOQ198" s="2"/>
      <c r="HOR198" s="2"/>
      <c r="HOS198" s="2"/>
      <c r="HOT198" s="2"/>
      <c r="HOU198" s="2"/>
      <c r="HOV198" s="2"/>
      <c r="HOW198" s="2"/>
      <c r="HOX198" s="2"/>
      <c r="HOY198" s="2"/>
      <c r="HOZ198" s="2"/>
      <c r="HPA198" s="2"/>
      <c r="HPB198" s="2"/>
      <c r="HPC198" s="2"/>
      <c r="HPD198" s="2"/>
      <c r="HPE198" s="2"/>
      <c r="HPF198" s="2"/>
      <c r="HPG198" s="2"/>
      <c r="HPH198" s="2"/>
      <c r="HPI198" s="2"/>
      <c r="HPJ198" s="2"/>
      <c r="HPK198" s="2"/>
      <c r="HPL198" s="2"/>
      <c r="HPM198" s="2"/>
      <c r="HPN198" s="2"/>
      <c r="HPO198" s="2"/>
      <c r="HPP198" s="2"/>
      <c r="HPQ198" s="2"/>
      <c r="HPR198" s="2"/>
      <c r="HPS198" s="2"/>
      <c r="HPT198" s="2"/>
      <c r="HPU198" s="2"/>
      <c r="HPV198" s="2"/>
      <c r="HPW198" s="2"/>
      <c r="HPX198" s="2"/>
      <c r="HPY198" s="2"/>
      <c r="HPZ198" s="2"/>
      <c r="HQA198" s="2"/>
      <c r="HQB198" s="2"/>
      <c r="HQC198" s="2"/>
      <c r="HQD198" s="2"/>
      <c r="HQE198" s="2"/>
      <c r="HQF198" s="2"/>
      <c r="HQG198" s="2"/>
      <c r="HQH198" s="2"/>
      <c r="HQI198" s="2"/>
      <c r="HQJ198" s="2"/>
      <c r="HQK198" s="2"/>
      <c r="HQL198" s="2"/>
      <c r="HQM198" s="2"/>
      <c r="HQN198" s="2"/>
      <c r="HQO198" s="2"/>
      <c r="HQP198" s="2"/>
      <c r="HQQ198" s="2"/>
      <c r="HQR198" s="2"/>
      <c r="HQS198" s="2"/>
      <c r="HQT198" s="2"/>
      <c r="HQU198" s="2"/>
      <c r="HQV198" s="2"/>
      <c r="HQW198" s="2"/>
      <c r="HQX198" s="2"/>
      <c r="HQY198" s="2"/>
      <c r="HQZ198" s="2"/>
      <c r="HRA198" s="2"/>
      <c r="HRB198" s="2"/>
      <c r="HRC198" s="2"/>
      <c r="HRD198" s="2"/>
      <c r="HRE198" s="2"/>
      <c r="HRF198" s="2"/>
      <c r="HRG198" s="2"/>
      <c r="HRH198" s="2"/>
      <c r="HRI198" s="2"/>
      <c r="HRJ198" s="2"/>
      <c r="HRK198" s="2"/>
      <c r="HRL198" s="2"/>
      <c r="HRM198" s="2"/>
      <c r="HRN198" s="2"/>
      <c r="HRO198" s="2"/>
      <c r="HRP198" s="2"/>
      <c r="HRQ198" s="2"/>
      <c r="HRR198" s="2"/>
      <c r="HRS198" s="2"/>
      <c r="HRT198" s="2"/>
      <c r="HRU198" s="2"/>
      <c r="HRV198" s="2"/>
      <c r="HRW198" s="2"/>
      <c r="HRX198" s="2"/>
      <c r="HRY198" s="2"/>
      <c r="HRZ198" s="2"/>
      <c r="HSA198" s="2"/>
      <c r="HSB198" s="2"/>
      <c r="HSC198" s="2"/>
      <c r="HSD198" s="2"/>
      <c r="HSE198" s="2"/>
      <c r="HSF198" s="2"/>
      <c r="HSG198" s="2"/>
      <c r="HSH198" s="2"/>
      <c r="HSI198" s="2"/>
      <c r="HSJ198" s="2"/>
      <c r="HSK198" s="2"/>
      <c r="HSL198" s="2"/>
      <c r="HSM198" s="2"/>
      <c r="HSN198" s="2"/>
      <c r="HSO198" s="2"/>
      <c r="HSP198" s="2"/>
      <c r="HSQ198" s="2"/>
      <c r="HSR198" s="2"/>
      <c r="HSS198" s="2"/>
      <c r="HST198" s="2"/>
      <c r="HSU198" s="2"/>
      <c r="HSV198" s="2"/>
      <c r="HSW198" s="2"/>
      <c r="HSX198" s="2"/>
      <c r="HSY198" s="2"/>
      <c r="HSZ198" s="2"/>
      <c r="HTA198" s="2"/>
      <c r="HTB198" s="2"/>
      <c r="HTC198" s="2"/>
      <c r="HTD198" s="2"/>
      <c r="HTE198" s="2"/>
      <c r="HTF198" s="2"/>
      <c r="HTG198" s="2"/>
      <c r="HTH198" s="2"/>
      <c r="HTI198" s="2"/>
      <c r="HTJ198" s="2"/>
      <c r="HTK198" s="2"/>
      <c r="HTL198" s="2"/>
      <c r="HTM198" s="2"/>
      <c r="HTN198" s="2"/>
      <c r="HTO198" s="2"/>
      <c r="HTP198" s="2"/>
      <c r="HTQ198" s="2"/>
      <c r="HTR198" s="2"/>
      <c r="HTS198" s="2"/>
      <c r="HTT198" s="2"/>
      <c r="HTU198" s="2"/>
      <c r="HTV198" s="2"/>
      <c r="HTW198" s="2"/>
      <c r="HTX198" s="2"/>
      <c r="HTY198" s="2"/>
      <c r="HTZ198" s="2"/>
      <c r="HUA198" s="2"/>
      <c r="HUB198" s="2"/>
      <c r="HUC198" s="2"/>
      <c r="HUD198" s="2"/>
      <c r="HUE198" s="2"/>
      <c r="HUF198" s="2"/>
      <c r="HUG198" s="2"/>
      <c r="HUH198" s="2"/>
      <c r="HUI198" s="2"/>
      <c r="HUJ198" s="2"/>
      <c r="HUK198" s="2"/>
      <c r="HUL198" s="2"/>
      <c r="HUM198" s="2"/>
      <c r="HUN198" s="2"/>
      <c r="HUO198" s="2"/>
      <c r="HUP198" s="2"/>
      <c r="HUQ198" s="2"/>
      <c r="HUR198" s="2"/>
      <c r="HUS198" s="2"/>
      <c r="HUT198" s="2"/>
      <c r="HUU198" s="2"/>
      <c r="HUV198" s="2"/>
      <c r="HUW198" s="2"/>
      <c r="HUX198" s="2"/>
      <c r="HUY198" s="2"/>
      <c r="HUZ198" s="2"/>
      <c r="HVA198" s="2"/>
      <c r="HVB198" s="2"/>
      <c r="HVC198" s="2"/>
      <c r="HVD198" s="2"/>
      <c r="HVE198" s="2"/>
      <c r="HVF198" s="2"/>
      <c r="HVG198" s="2"/>
      <c r="HVH198" s="2"/>
      <c r="HVI198" s="2"/>
      <c r="HVJ198" s="2"/>
      <c r="HVK198" s="2"/>
      <c r="HVL198" s="2"/>
      <c r="HVM198" s="2"/>
      <c r="HVN198" s="2"/>
      <c r="HVO198" s="2"/>
      <c r="HVP198" s="2"/>
      <c r="HVQ198" s="2"/>
      <c r="HVR198" s="2"/>
      <c r="HVS198" s="2"/>
      <c r="HVT198" s="2"/>
      <c r="HVU198" s="2"/>
      <c r="HVV198" s="2"/>
      <c r="HVW198" s="2"/>
      <c r="HVX198" s="2"/>
      <c r="HVY198" s="2"/>
      <c r="HVZ198" s="2"/>
      <c r="HWA198" s="2"/>
      <c r="HWB198" s="2"/>
      <c r="HWC198" s="2"/>
      <c r="HWD198" s="2"/>
      <c r="HWE198" s="2"/>
      <c r="HWF198" s="2"/>
      <c r="HWG198" s="2"/>
      <c r="HWH198" s="2"/>
      <c r="HWI198" s="2"/>
      <c r="HWJ198" s="2"/>
      <c r="HWK198" s="2"/>
      <c r="HWL198" s="2"/>
      <c r="HWM198" s="2"/>
      <c r="HWN198" s="2"/>
      <c r="HWO198" s="2"/>
      <c r="HWP198" s="2"/>
      <c r="HWQ198" s="2"/>
      <c r="HWR198" s="2"/>
      <c r="HWS198" s="2"/>
      <c r="HWT198" s="2"/>
      <c r="HWU198" s="2"/>
      <c r="HWV198" s="2"/>
      <c r="HWW198" s="2"/>
      <c r="HWX198" s="2"/>
      <c r="HWY198" s="2"/>
      <c r="HWZ198" s="2"/>
      <c r="HXA198" s="2"/>
      <c r="HXB198" s="2"/>
      <c r="HXC198" s="2"/>
      <c r="HXD198" s="2"/>
      <c r="HXE198" s="2"/>
      <c r="HXF198" s="2"/>
      <c r="HXG198" s="2"/>
      <c r="HXH198" s="2"/>
      <c r="HXI198" s="2"/>
      <c r="HXJ198" s="2"/>
      <c r="HXK198" s="2"/>
      <c r="HXL198" s="2"/>
      <c r="HXM198" s="2"/>
      <c r="HXN198" s="2"/>
      <c r="HXO198" s="2"/>
      <c r="HXP198" s="2"/>
      <c r="HXQ198" s="2"/>
      <c r="HXR198" s="2"/>
      <c r="HXS198" s="2"/>
      <c r="HXT198" s="2"/>
      <c r="HXU198" s="2"/>
      <c r="HXV198" s="2"/>
      <c r="HXW198" s="2"/>
      <c r="HXX198" s="2"/>
      <c r="HXY198" s="2"/>
      <c r="HXZ198" s="2"/>
      <c r="HYA198" s="2"/>
      <c r="HYB198" s="2"/>
      <c r="HYC198" s="2"/>
      <c r="HYD198" s="2"/>
      <c r="HYE198" s="2"/>
      <c r="HYF198" s="2"/>
      <c r="HYG198" s="2"/>
      <c r="HYH198" s="2"/>
      <c r="HYI198" s="2"/>
      <c r="HYJ198" s="2"/>
      <c r="HYK198" s="2"/>
      <c r="HYL198" s="2"/>
      <c r="HYM198" s="2"/>
      <c r="HYN198" s="2"/>
      <c r="HYO198" s="2"/>
      <c r="HYP198" s="2"/>
      <c r="HYQ198" s="2"/>
      <c r="HYR198" s="2"/>
      <c r="HYS198" s="2"/>
      <c r="HYT198" s="2"/>
      <c r="HYU198" s="2"/>
      <c r="HYV198" s="2"/>
      <c r="HYW198" s="2"/>
      <c r="HYX198" s="2"/>
      <c r="HYY198" s="2"/>
      <c r="HYZ198" s="2"/>
      <c r="HZA198" s="2"/>
      <c r="HZB198" s="2"/>
      <c r="HZC198" s="2"/>
      <c r="HZD198" s="2"/>
      <c r="HZE198" s="2"/>
      <c r="HZF198" s="2"/>
      <c r="HZG198" s="2"/>
      <c r="HZH198" s="2"/>
      <c r="HZI198" s="2"/>
      <c r="HZJ198" s="2"/>
      <c r="HZK198" s="2"/>
      <c r="HZL198" s="2"/>
      <c r="HZM198" s="2"/>
      <c r="HZN198" s="2"/>
      <c r="HZO198" s="2"/>
      <c r="HZP198" s="2"/>
      <c r="HZQ198" s="2"/>
      <c r="HZR198" s="2"/>
      <c r="HZS198" s="2"/>
      <c r="HZT198" s="2"/>
      <c r="HZU198" s="2"/>
      <c r="HZV198" s="2"/>
      <c r="HZW198" s="2"/>
      <c r="HZX198" s="2"/>
      <c r="HZY198" s="2"/>
      <c r="HZZ198" s="2"/>
      <c r="IAA198" s="2"/>
      <c r="IAB198" s="2"/>
      <c r="IAC198" s="2"/>
      <c r="IAD198" s="2"/>
      <c r="IAE198" s="2"/>
      <c r="IAF198" s="2"/>
      <c r="IAG198" s="2"/>
      <c r="IAH198" s="2"/>
      <c r="IAI198" s="2"/>
      <c r="IAJ198" s="2"/>
      <c r="IAK198" s="2"/>
      <c r="IAL198" s="2"/>
      <c r="IAM198" s="2"/>
      <c r="IAN198" s="2"/>
      <c r="IAO198" s="2"/>
      <c r="IAP198" s="2"/>
      <c r="IAQ198" s="2"/>
      <c r="IAR198" s="2"/>
      <c r="IAS198" s="2"/>
      <c r="IAT198" s="2"/>
      <c r="IAU198" s="2"/>
      <c r="IAV198" s="2"/>
      <c r="IAW198" s="2"/>
      <c r="IAX198" s="2"/>
      <c r="IAY198" s="2"/>
      <c r="IAZ198" s="2"/>
      <c r="IBA198" s="2"/>
      <c r="IBB198" s="2"/>
      <c r="IBC198" s="2"/>
      <c r="IBD198" s="2"/>
      <c r="IBE198" s="2"/>
      <c r="IBF198" s="2"/>
      <c r="IBG198" s="2"/>
      <c r="IBH198" s="2"/>
      <c r="IBI198" s="2"/>
      <c r="IBJ198" s="2"/>
      <c r="IBK198" s="2"/>
      <c r="IBL198" s="2"/>
      <c r="IBM198" s="2"/>
      <c r="IBN198" s="2"/>
      <c r="IBO198" s="2"/>
      <c r="IBP198" s="2"/>
      <c r="IBQ198" s="2"/>
      <c r="IBR198" s="2"/>
      <c r="IBS198" s="2"/>
      <c r="IBT198" s="2"/>
      <c r="IBU198" s="2"/>
      <c r="IBV198" s="2"/>
      <c r="IBW198" s="2"/>
      <c r="IBX198" s="2"/>
      <c r="IBY198" s="2"/>
      <c r="IBZ198" s="2"/>
      <c r="ICA198" s="2"/>
      <c r="ICB198" s="2"/>
      <c r="ICC198" s="2"/>
      <c r="ICD198" s="2"/>
      <c r="ICE198" s="2"/>
      <c r="ICF198" s="2"/>
      <c r="ICG198" s="2"/>
      <c r="ICH198" s="2"/>
      <c r="ICI198" s="2"/>
      <c r="ICJ198" s="2"/>
      <c r="ICK198" s="2"/>
      <c r="ICL198" s="2"/>
      <c r="ICM198" s="2"/>
      <c r="ICN198" s="2"/>
      <c r="ICO198" s="2"/>
      <c r="ICP198" s="2"/>
      <c r="ICQ198" s="2"/>
      <c r="ICR198" s="2"/>
      <c r="ICS198" s="2"/>
      <c r="ICT198" s="2"/>
      <c r="ICU198" s="2"/>
      <c r="ICV198" s="2"/>
      <c r="ICW198" s="2"/>
      <c r="ICX198" s="2"/>
      <c r="ICY198" s="2"/>
      <c r="ICZ198" s="2"/>
      <c r="IDA198" s="2"/>
      <c r="IDB198" s="2"/>
      <c r="IDC198" s="2"/>
      <c r="IDD198" s="2"/>
      <c r="IDE198" s="2"/>
      <c r="IDF198" s="2"/>
      <c r="IDG198" s="2"/>
      <c r="IDH198" s="2"/>
      <c r="IDI198" s="2"/>
      <c r="IDJ198" s="2"/>
      <c r="IDK198" s="2"/>
      <c r="IDL198" s="2"/>
      <c r="IDM198" s="2"/>
      <c r="IDN198" s="2"/>
      <c r="IDO198" s="2"/>
      <c r="IDP198" s="2"/>
      <c r="IDQ198" s="2"/>
      <c r="IDR198" s="2"/>
      <c r="IDS198" s="2"/>
      <c r="IDT198" s="2"/>
      <c r="IDU198" s="2"/>
      <c r="IDV198" s="2"/>
      <c r="IDW198" s="2"/>
      <c r="IDX198" s="2"/>
      <c r="IDY198" s="2"/>
      <c r="IDZ198" s="2"/>
      <c r="IEA198" s="2"/>
      <c r="IEB198" s="2"/>
      <c r="IEC198" s="2"/>
      <c r="IED198" s="2"/>
      <c r="IEE198" s="2"/>
      <c r="IEF198" s="2"/>
      <c r="IEG198" s="2"/>
      <c r="IEH198" s="2"/>
      <c r="IEI198" s="2"/>
      <c r="IEJ198" s="2"/>
      <c r="IEK198" s="2"/>
      <c r="IEL198" s="2"/>
      <c r="IEM198" s="2"/>
      <c r="IEN198" s="2"/>
      <c r="IEO198" s="2"/>
      <c r="IEP198" s="2"/>
      <c r="IEQ198" s="2"/>
      <c r="IER198" s="2"/>
      <c r="IES198" s="2"/>
      <c r="IET198" s="2"/>
      <c r="IEU198" s="2"/>
      <c r="IEV198" s="2"/>
      <c r="IEW198" s="2"/>
      <c r="IEX198" s="2"/>
      <c r="IEY198" s="2"/>
      <c r="IEZ198" s="2"/>
      <c r="IFA198" s="2"/>
      <c r="IFB198" s="2"/>
      <c r="IFC198" s="2"/>
      <c r="IFD198" s="2"/>
      <c r="IFE198" s="2"/>
      <c r="IFF198" s="2"/>
      <c r="IFG198" s="2"/>
      <c r="IFH198" s="2"/>
      <c r="IFI198" s="2"/>
      <c r="IFJ198" s="2"/>
      <c r="IFK198" s="2"/>
      <c r="IFL198" s="2"/>
      <c r="IFM198" s="2"/>
      <c r="IFN198" s="2"/>
      <c r="IFO198" s="2"/>
      <c r="IFP198" s="2"/>
      <c r="IFQ198" s="2"/>
      <c r="IFR198" s="2"/>
      <c r="IFS198" s="2"/>
      <c r="IFT198" s="2"/>
      <c r="IFU198" s="2"/>
      <c r="IFV198" s="2"/>
      <c r="IFW198" s="2"/>
      <c r="IFX198" s="2"/>
      <c r="IFY198" s="2"/>
      <c r="IFZ198" s="2"/>
      <c r="IGA198" s="2"/>
      <c r="IGB198" s="2"/>
      <c r="IGC198" s="2"/>
      <c r="IGD198" s="2"/>
      <c r="IGE198" s="2"/>
      <c r="IGF198" s="2"/>
      <c r="IGG198" s="2"/>
      <c r="IGH198" s="2"/>
      <c r="IGI198" s="2"/>
      <c r="IGJ198" s="2"/>
      <c r="IGK198" s="2"/>
      <c r="IGL198" s="2"/>
      <c r="IGM198" s="2"/>
      <c r="IGN198" s="2"/>
      <c r="IGO198" s="2"/>
      <c r="IGP198" s="2"/>
      <c r="IGQ198" s="2"/>
      <c r="IGR198" s="2"/>
      <c r="IGS198" s="2"/>
      <c r="IGT198" s="2"/>
      <c r="IGU198" s="2"/>
      <c r="IGV198" s="2"/>
      <c r="IGW198" s="2"/>
      <c r="IGX198" s="2"/>
      <c r="IGY198" s="2"/>
      <c r="IGZ198" s="2"/>
      <c r="IHA198" s="2"/>
      <c r="IHB198" s="2"/>
      <c r="IHC198" s="2"/>
      <c r="IHD198" s="2"/>
      <c r="IHE198" s="2"/>
      <c r="IHF198" s="2"/>
      <c r="IHG198" s="2"/>
      <c r="IHH198" s="2"/>
      <c r="IHI198" s="2"/>
      <c r="IHJ198" s="2"/>
      <c r="IHK198" s="2"/>
      <c r="IHL198" s="2"/>
      <c r="IHM198" s="2"/>
      <c r="IHN198" s="2"/>
      <c r="IHO198" s="2"/>
      <c r="IHP198" s="2"/>
      <c r="IHQ198" s="2"/>
      <c r="IHR198" s="2"/>
      <c r="IHS198" s="2"/>
      <c r="IHT198" s="2"/>
      <c r="IHU198" s="2"/>
      <c r="IHV198" s="2"/>
      <c r="IHW198" s="2"/>
      <c r="IHX198" s="2"/>
      <c r="IHY198" s="2"/>
      <c r="IHZ198" s="2"/>
      <c r="IIA198" s="2"/>
      <c r="IIB198" s="2"/>
      <c r="IIC198" s="2"/>
      <c r="IID198" s="2"/>
      <c r="IIE198" s="2"/>
      <c r="IIF198" s="2"/>
      <c r="IIG198" s="2"/>
      <c r="IIH198" s="2"/>
      <c r="III198" s="2"/>
      <c r="IIJ198" s="2"/>
      <c r="IIK198" s="2"/>
      <c r="IIL198" s="2"/>
      <c r="IIM198" s="2"/>
      <c r="IIN198" s="2"/>
      <c r="IIO198" s="2"/>
      <c r="IIP198" s="2"/>
      <c r="IIQ198" s="2"/>
      <c r="IIR198" s="2"/>
      <c r="IIS198" s="2"/>
      <c r="IIT198" s="2"/>
      <c r="IIU198" s="2"/>
      <c r="IIV198" s="2"/>
      <c r="IIW198" s="2"/>
      <c r="IIX198" s="2"/>
      <c r="IIY198" s="2"/>
      <c r="IIZ198" s="2"/>
      <c r="IJA198" s="2"/>
      <c r="IJB198" s="2"/>
      <c r="IJC198" s="2"/>
      <c r="IJD198" s="2"/>
      <c r="IJE198" s="2"/>
      <c r="IJF198" s="2"/>
      <c r="IJG198" s="2"/>
      <c r="IJH198" s="2"/>
      <c r="IJI198" s="2"/>
      <c r="IJJ198" s="2"/>
      <c r="IJK198" s="2"/>
      <c r="IJL198" s="2"/>
      <c r="IJM198" s="2"/>
      <c r="IJN198" s="2"/>
      <c r="IJO198" s="2"/>
      <c r="IJP198" s="2"/>
      <c r="IJQ198" s="2"/>
      <c r="IJR198" s="2"/>
      <c r="IJS198" s="2"/>
      <c r="IJT198" s="2"/>
      <c r="IJU198" s="2"/>
      <c r="IJV198" s="2"/>
      <c r="IJW198" s="2"/>
      <c r="IJX198" s="2"/>
      <c r="IJY198" s="2"/>
      <c r="IJZ198" s="2"/>
      <c r="IKA198" s="2"/>
      <c r="IKB198" s="2"/>
      <c r="IKC198" s="2"/>
      <c r="IKD198" s="2"/>
      <c r="IKE198" s="2"/>
      <c r="IKF198" s="2"/>
      <c r="IKG198" s="2"/>
      <c r="IKH198" s="2"/>
      <c r="IKI198" s="2"/>
      <c r="IKJ198" s="2"/>
      <c r="IKK198" s="2"/>
      <c r="IKL198" s="2"/>
      <c r="IKM198" s="2"/>
      <c r="IKN198" s="2"/>
      <c r="IKO198" s="2"/>
      <c r="IKP198" s="2"/>
      <c r="IKQ198" s="2"/>
      <c r="IKR198" s="2"/>
      <c r="IKS198" s="2"/>
      <c r="IKT198" s="2"/>
      <c r="IKU198" s="2"/>
      <c r="IKV198" s="2"/>
      <c r="IKW198" s="2"/>
      <c r="IKX198" s="2"/>
      <c r="IKY198" s="2"/>
      <c r="IKZ198" s="2"/>
      <c r="ILA198" s="2"/>
      <c r="ILB198" s="2"/>
      <c r="ILC198" s="2"/>
      <c r="ILD198" s="2"/>
      <c r="ILE198" s="2"/>
      <c r="ILF198" s="2"/>
      <c r="ILG198" s="2"/>
      <c r="ILH198" s="2"/>
      <c r="ILI198" s="2"/>
      <c r="ILJ198" s="2"/>
      <c r="ILK198" s="2"/>
      <c r="ILL198" s="2"/>
      <c r="ILM198" s="2"/>
      <c r="ILN198" s="2"/>
      <c r="ILO198" s="2"/>
      <c r="ILP198" s="2"/>
      <c r="ILQ198" s="2"/>
      <c r="ILR198" s="2"/>
      <c r="ILS198" s="2"/>
      <c r="ILT198" s="2"/>
      <c r="ILU198" s="2"/>
      <c r="ILV198" s="2"/>
      <c r="ILW198" s="2"/>
      <c r="ILX198" s="2"/>
      <c r="ILY198" s="2"/>
      <c r="ILZ198" s="2"/>
      <c r="IMA198" s="2"/>
      <c r="IMB198" s="2"/>
      <c r="IMC198" s="2"/>
      <c r="IMD198" s="2"/>
      <c r="IME198" s="2"/>
      <c r="IMF198" s="2"/>
      <c r="IMG198" s="2"/>
      <c r="IMH198" s="2"/>
      <c r="IMI198" s="2"/>
      <c r="IMJ198" s="2"/>
      <c r="IMK198" s="2"/>
      <c r="IML198" s="2"/>
      <c r="IMM198" s="2"/>
      <c r="IMN198" s="2"/>
      <c r="IMO198" s="2"/>
      <c r="IMP198" s="2"/>
      <c r="IMQ198" s="2"/>
      <c r="IMR198" s="2"/>
      <c r="IMS198" s="2"/>
      <c r="IMT198" s="2"/>
      <c r="IMU198" s="2"/>
      <c r="IMV198" s="2"/>
      <c r="IMW198" s="2"/>
      <c r="IMX198" s="2"/>
      <c r="IMY198" s="2"/>
      <c r="IMZ198" s="2"/>
      <c r="INA198" s="2"/>
      <c r="INB198" s="2"/>
      <c r="INC198" s="2"/>
      <c r="IND198" s="2"/>
      <c r="INE198" s="2"/>
      <c r="INF198" s="2"/>
      <c r="ING198" s="2"/>
      <c r="INH198" s="2"/>
      <c r="INI198" s="2"/>
      <c r="INJ198" s="2"/>
      <c r="INK198" s="2"/>
      <c r="INL198" s="2"/>
      <c r="INM198" s="2"/>
      <c r="INN198" s="2"/>
      <c r="INO198" s="2"/>
      <c r="INP198" s="2"/>
      <c r="INQ198" s="2"/>
      <c r="INR198" s="2"/>
      <c r="INS198" s="2"/>
      <c r="INT198" s="2"/>
      <c r="INU198" s="2"/>
      <c r="INV198" s="2"/>
      <c r="INW198" s="2"/>
      <c r="INX198" s="2"/>
      <c r="INY198" s="2"/>
      <c r="INZ198" s="2"/>
      <c r="IOA198" s="2"/>
      <c r="IOB198" s="2"/>
      <c r="IOC198" s="2"/>
      <c r="IOD198" s="2"/>
      <c r="IOE198" s="2"/>
      <c r="IOF198" s="2"/>
      <c r="IOG198" s="2"/>
      <c r="IOH198" s="2"/>
      <c r="IOI198" s="2"/>
      <c r="IOJ198" s="2"/>
      <c r="IOK198" s="2"/>
      <c r="IOL198" s="2"/>
      <c r="IOM198" s="2"/>
      <c r="ION198" s="2"/>
      <c r="IOO198" s="2"/>
      <c r="IOP198" s="2"/>
      <c r="IOQ198" s="2"/>
      <c r="IOR198" s="2"/>
      <c r="IOS198" s="2"/>
      <c r="IOT198" s="2"/>
      <c r="IOU198" s="2"/>
      <c r="IOV198" s="2"/>
      <c r="IOW198" s="2"/>
      <c r="IOX198" s="2"/>
      <c r="IOY198" s="2"/>
      <c r="IOZ198" s="2"/>
      <c r="IPA198" s="2"/>
      <c r="IPB198" s="2"/>
      <c r="IPC198" s="2"/>
      <c r="IPD198" s="2"/>
      <c r="IPE198" s="2"/>
      <c r="IPF198" s="2"/>
      <c r="IPG198" s="2"/>
      <c r="IPH198" s="2"/>
      <c r="IPI198" s="2"/>
      <c r="IPJ198" s="2"/>
      <c r="IPK198" s="2"/>
      <c r="IPL198" s="2"/>
      <c r="IPM198" s="2"/>
      <c r="IPN198" s="2"/>
      <c r="IPO198" s="2"/>
      <c r="IPP198" s="2"/>
      <c r="IPQ198" s="2"/>
      <c r="IPR198" s="2"/>
      <c r="IPS198" s="2"/>
      <c r="IPT198" s="2"/>
      <c r="IPU198" s="2"/>
      <c r="IPV198" s="2"/>
      <c r="IPW198" s="2"/>
      <c r="IPX198" s="2"/>
      <c r="IPY198" s="2"/>
      <c r="IPZ198" s="2"/>
      <c r="IQA198" s="2"/>
      <c r="IQB198" s="2"/>
      <c r="IQC198" s="2"/>
      <c r="IQD198" s="2"/>
      <c r="IQE198" s="2"/>
      <c r="IQF198" s="2"/>
      <c r="IQG198" s="2"/>
      <c r="IQH198" s="2"/>
      <c r="IQI198" s="2"/>
      <c r="IQJ198" s="2"/>
      <c r="IQK198" s="2"/>
      <c r="IQL198" s="2"/>
      <c r="IQM198" s="2"/>
      <c r="IQN198" s="2"/>
      <c r="IQO198" s="2"/>
      <c r="IQP198" s="2"/>
      <c r="IQQ198" s="2"/>
      <c r="IQR198" s="2"/>
      <c r="IQS198" s="2"/>
      <c r="IQT198" s="2"/>
      <c r="IQU198" s="2"/>
      <c r="IQV198" s="2"/>
      <c r="IQW198" s="2"/>
      <c r="IQX198" s="2"/>
      <c r="IQY198" s="2"/>
      <c r="IQZ198" s="2"/>
      <c r="IRA198" s="2"/>
      <c r="IRB198" s="2"/>
      <c r="IRC198" s="2"/>
      <c r="IRD198" s="2"/>
      <c r="IRE198" s="2"/>
      <c r="IRF198" s="2"/>
      <c r="IRG198" s="2"/>
      <c r="IRH198" s="2"/>
      <c r="IRI198" s="2"/>
      <c r="IRJ198" s="2"/>
      <c r="IRK198" s="2"/>
      <c r="IRL198" s="2"/>
      <c r="IRM198" s="2"/>
      <c r="IRN198" s="2"/>
      <c r="IRO198" s="2"/>
      <c r="IRP198" s="2"/>
      <c r="IRQ198" s="2"/>
      <c r="IRR198" s="2"/>
      <c r="IRS198" s="2"/>
      <c r="IRT198" s="2"/>
      <c r="IRU198" s="2"/>
      <c r="IRV198" s="2"/>
      <c r="IRW198" s="2"/>
      <c r="IRX198" s="2"/>
      <c r="IRY198" s="2"/>
      <c r="IRZ198" s="2"/>
      <c r="ISA198" s="2"/>
      <c r="ISB198" s="2"/>
      <c r="ISC198" s="2"/>
      <c r="ISD198" s="2"/>
      <c r="ISE198" s="2"/>
      <c r="ISF198" s="2"/>
      <c r="ISG198" s="2"/>
      <c r="ISH198" s="2"/>
      <c r="ISI198" s="2"/>
      <c r="ISJ198" s="2"/>
      <c r="ISK198" s="2"/>
      <c r="ISL198" s="2"/>
      <c r="ISM198" s="2"/>
      <c r="ISN198" s="2"/>
      <c r="ISO198" s="2"/>
      <c r="ISP198" s="2"/>
      <c r="ISQ198" s="2"/>
      <c r="ISR198" s="2"/>
      <c r="ISS198" s="2"/>
      <c r="IST198" s="2"/>
      <c r="ISU198" s="2"/>
      <c r="ISV198" s="2"/>
      <c r="ISW198" s="2"/>
      <c r="ISX198" s="2"/>
      <c r="ISY198" s="2"/>
      <c r="ISZ198" s="2"/>
      <c r="ITA198" s="2"/>
      <c r="ITB198" s="2"/>
      <c r="ITC198" s="2"/>
      <c r="ITD198" s="2"/>
      <c r="ITE198" s="2"/>
      <c r="ITF198" s="2"/>
      <c r="ITG198" s="2"/>
      <c r="ITH198" s="2"/>
      <c r="ITI198" s="2"/>
      <c r="ITJ198" s="2"/>
      <c r="ITK198" s="2"/>
      <c r="ITL198" s="2"/>
      <c r="ITM198" s="2"/>
      <c r="ITN198" s="2"/>
      <c r="ITO198" s="2"/>
      <c r="ITP198" s="2"/>
      <c r="ITQ198" s="2"/>
      <c r="ITR198" s="2"/>
      <c r="ITS198" s="2"/>
      <c r="ITT198" s="2"/>
      <c r="ITU198" s="2"/>
      <c r="ITV198" s="2"/>
      <c r="ITW198" s="2"/>
      <c r="ITX198" s="2"/>
      <c r="ITY198" s="2"/>
      <c r="ITZ198" s="2"/>
      <c r="IUA198" s="2"/>
      <c r="IUB198" s="2"/>
      <c r="IUC198" s="2"/>
      <c r="IUD198" s="2"/>
      <c r="IUE198" s="2"/>
      <c r="IUF198" s="2"/>
      <c r="IUG198" s="2"/>
      <c r="IUH198" s="2"/>
      <c r="IUI198" s="2"/>
      <c r="IUJ198" s="2"/>
      <c r="IUK198" s="2"/>
      <c r="IUL198" s="2"/>
      <c r="IUM198" s="2"/>
      <c r="IUN198" s="2"/>
      <c r="IUO198" s="2"/>
      <c r="IUP198" s="2"/>
      <c r="IUQ198" s="2"/>
      <c r="IUR198" s="2"/>
      <c r="IUS198" s="2"/>
      <c r="IUT198" s="2"/>
      <c r="IUU198" s="2"/>
      <c r="IUV198" s="2"/>
      <c r="IUW198" s="2"/>
      <c r="IUX198" s="2"/>
      <c r="IUY198" s="2"/>
      <c r="IUZ198" s="2"/>
      <c r="IVA198" s="2"/>
      <c r="IVB198" s="2"/>
      <c r="IVC198" s="2"/>
      <c r="IVD198" s="2"/>
      <c r="IVE198" s="2"/>
      <c r="IVF198" s="2"/>
      <c r="IVG198" s="2"/>
      <c r="IVH198" s="2"/>
      <c r="IVI198" s="2"/>
      <c r="IVJ198" s="2"/>
      <c r="IVK198" s="2"/>
      <c r="IVL198" s="2"/>
      <c r="IVM198" s="2"/>
      <c r="IVN198" s="2"/>
      <c r="IVO198" s="2"/>
      <c r="IVP198" s="2"/>
      <c r="IVQ198" s="2"/>
      <c r="IVR198" s="2"/>
      <c r="IVS198" s="2"/>
      <c r="IVT198" s="2"/>
      <c r="IVU198" s="2"/>
      <c r="IVV198" s="2"/>
      <c r="IVW198" s="2"/>
      <c r="IVX198" s="2"/>
      <c r="IVY198" s="2"/>
      <c r="IVZ198" s="2"/>
      <c r="IWA198" s="2"/>
      <c r="IWB198" s="2"/>
      <c r="IWC198" s="2"/>
      <c r="IWD198" s="2"/>
      <c r="IWE198" s="2"/>
      <c r="IWF198" s="2"/>
      <c r="IWG198" s="2"/>
      <c r="IWH198" s="2"/>
      <c r="IWI198" s="2"/>
      <c r="IWJ198" s="2"/>
      <c r="IWK198" s="2"/>
      <c r="IWL198" s="2"/>
      <c r="IWM198" s="2"/>
      <c r="IWN198" s="2"/>
      <c r="IWO198" s="2"/>
      <c r="IWP198" s="2"/>
      <c r="IWQ198" s="2"/>
      <c r="IWR198" s="2"/>
      <c r="IWS198" s="2"/>
      <c r="IWT198" s="2"/>
      <c r="IWU198" s="2"/>
      <c r="IWV198" s="2"/>
      <c r="IWW198" s="2"/>
      <c r="IWX198" s="2"/>
      <c r="IWY198" s="2"/>
      <c r="IWZ198" s="2"/>
      <c r="IXA198" s="2"/>
      <c r="IXB198" s="2"/>
      <c r="IXC198" s="2"/>
      <c r="IXD198" s="2"/>
      <c r="IXE198" s="2"/>
      <c r="IXF198" s="2"/>
      <c r="IXG198" s="2"/>
      <c r="IXH198" s="2"/>
      <c r="IXI198" s="2"/>
      <c r="IXJ198" s="2"/>
      <c r="IXK198" s="2"/>
      <c r="IXL198" s="2"/>
      <c r="IXM198" s="2"/>
      <c r="IXN198" s="2"/>
      <c r="IXO198" s="2"/>
      <c r="IXP198" s="2"/>
      <c r="IXQ198" s="2"/>
      <c r="IXR198" s="2"/>
      <c r="IXS198" s="2"/>
      <c r="IXT198" s="2"/>
      <c r="IXU198" s="2"/>
      <c r="IXV198" s="2"/>
      <c r="IXW198" s="2"/>
      <c r="IXX198" s="2"/>
      <c r="IXY198" s="2"/>
      <c r="IXZ198" s="2"/>
      <c r="IYA198" s="2"/>
      <c r="IYB198" s="2"/>
      <c r="IYC198" s="2"/>
      <c r="IYD198" s="2"/>
      <c r="IYE198" s="2"/>
      <c r="IYF198" s="2"/>
      <c r="IYG198" s="2"/>
      <c r="IYH198" s="2"/>
      <c r="IYI198" s="2"/>
      <c r="IYJ198" s="2"/>
      <c r="IYK198" s="2"/>
      <c r="IYL198" s="2"/>
      <c r="IYM198" s="2"/>
      <c r="IYN198" s="2"/>
      <c r="IYO198" s="2"/>
      <c r="IYP198" s="2"/>
      <c r="IYQ198" s="2"/>
      <c r="IYR198" s="2"/>
      <c r="IYS198" s="2"/>
      <c r="IYT198" s="2"/>
      <c r="IYU198" s="2"/>
      <c r="IYV198" s="2"/>
      <c r="IYW198" s="2"/>
      <c r="IYX198" s="2"/>
      <c r="IYY198" s="2"/>
      <c r="IYZ198" s="2"/>
      <c r="IZA198" s="2"/>
      <c r="IZB198" s="2"/>
      <c r="IZC198" s="2"/>
      <c r="IZD198" s="2"/>
      <c r="IZE198" s="2"/>
      <c r="IZF198" s="2"/>
      <c r="IZG198" s="2"/>
      <c r="IZH198" s="2"/>
      <c r="IZI198" s="2"/>
      <c r="IZJ198" s="2"/>
      <c r="IZK198" s="2"/>
      <c r="IZL198" s="2"/>
      <c r="IZM198" s="2"/>
      <c r="IZN198" s="2"/>
      <c r="IZO198" s="2"/>
      <c r="IZP198" s="2"/>
      <c r="IZQ198" s="2"/>
      <c r="IZR198" s="2"/>
      <c r="IZS198" s="2"/>
      <c r="IZT198" s="2"/>
      <c r="IZU198" s="2"/>
      <c r="IZV198" s="2"/>
      <c r="IZW198" s="2"/>
      <c r="IZX198" s="2"/>
      <c r="IZY198" s="2"/>
      <c r="IZZ198" s="2"/>
      <c r="JAA198" s="2"/>
      <c r="JAB198" s="2"/>
      <c r="JAC198" s="2"/>
      <c r="JAD198" s="2"/>
      <c r="JAE198" s="2"/>
      <c r="JAF198" s="2"/>
      <c r="JAG198" s="2"/>
      <c r="JAH198" s="2"/>
      <c r="JAI198" s="2"/>
      <c r="JAJ198" s="2"/>
      <c r="JAK198" s="2"/>
      <c r="JAL198" s="2"/>
      <c r="JAM198" s="2"/>
      <c r="JAN198" s="2"/>
      <c r="JAO198" s="2"/>
      <c r="JAP198" s="2"/>
      <c r="JAQ198" s="2"/>
      <c r="JAR198" s="2"/>
      <c r="JAS198" s="2"/>
      <c r="JAT198" s="2"/>
      <c r="JAU198" s="2"/>
      <c r="JAV198" s="2"/>
      <c r="JAW198" s="2"/>
      <c r="JAX198" s="2"/>
      <c r="JAY198" s="2"/>
      <c r="JAZ198" s="2"/>
      <c r="JBA198" s="2"/>
      <c r="JBB198" s="2"/>
      <c r="JBC198" s="2"/>
      <c r="JBD198" s="2"/>
      <c r="JBE198" s="2"/>
      <c r="JBF198" s="2"/>
      <c r="JBG198" s="2"/>
      <c r="JBH198" s="2"/>
      <c r="JBI198" s="2"/>
      <c r="JBJ198" s="2"/>
      <c r="JBK198" s="2"/>
      <c r="JBL198" s="2"/>
      <c r="JBM198" s="2"/>
      <c r="JBN198" s="2"/>
      <c r="JBO198" s="2"/>
      <c r="JBP198" s="2"/>
      <c r="JBQ198" s="2"/>
      <c r="JBR198" s="2"/>
      <c r="JBS198" s="2"/>
      <c r="JBT198" s="2"/>
      <c r="JBU198" s="2"/>
      <c r="JBV198" s="2"/>
      <c r="JBW198" s="2"/>
      <c r="JBX198" s="2"/>
      <c r="JBY198" s="2"/>
      <c r="JBZ198" s="2"/>
      <c r="JCA198" s="2"/>
      <c r="JCB198" s="2"/>
      <c r="JCC198" s="2"/>
      <c r="JCD198" s="2"/>
      <c r="JCE198" s="2"/>
      <c r="JCF198" s="2"/>
      <c r="JCG198" s="2"/>
      <c r="JCH198" s="2"/>
      <c r="JCI198" s="2"/>
      <c r="JCJ198" s="2"/>
      <c r="JCK198" s="2"/>
      <c r="JCL198" s="2"/>
      <c r="JCM198" s="2"/>
      <c r="JCN198" s="2"/>
      <c r="JCO198" s="2"/>
      <c r="JCP198" s="2"/>
      <c r="JCQ198" s="2"/>
      <c r="JCR198" s="2"/>
      <c r="JCS198" s="2"/>
      <c r="JCT198" s="2"/>
      <c r="JCU198" s="2"/>
      <c r="JCV198" s="2"/>
      <c r="JCW198" s="2"/>
      <c r="JCX198" s="2"/>
      <c r="JCY198" s="2"/>
      <c r="JCZ198" s="2"/>
      <c r="JDA198" s="2"/>
      <c r="JDB198" s="2"/>
      <c r="JDC198" s="2"/>
      <c r="JDD198" s="2"/>
      <c r="JDE198" s="2"/>
      <c r="JDF198" s="2"/>
      <c r="JDG198" s="2"/>
      <c r="JDH198" s="2"/>
      <c r="JDI198" s="2"/>
      <c r="JDJ198" s="2"/>
      <c r="JDK198" s="2"/>
      <c r="JDL198" s="2"/>
      <c r="JDM198" s="2"/>
      <c r="JDN198" s="2"/>
      <c r="JDO198" s="2"/>
      <c r="JDP198" s="2"/>
      <c r="JDQ198" s="2"/>
      <c r="JDR198" s="2"/>
      <c r="JDS198" s="2"/>
      <c r="JDT198" s="2"/>
      <c r="JDU198" s="2"/>
      <c r="JDV198" s="2"/>
      <c r="JDW198" s="2"/>
      <c r="JDX198" s="2"/>
      <c r="JDY198" s="2"/>
      <c r="JDZ198" s="2"/>
      <c r="JEA198" s="2"/>
      <c r="JEB198" s="2"/>
      <c r="JEC198" s="2"/>
      <c r="JED198" s="2"/>
      <c r="JEE198" s="2"/>
      <c r="JEF198" s="2"/>
      <c r="JEG198" s="2"/>
      <c r="JEH198" s="2"/>
      <c r="JEI198" s="2"/>
      <c r="JEJ198" s="2"/>
      <c r="JEK198" s="2"/>
      <c r="JEL198" s="2"/>
      <c r="JEM198" s="2"/>
      <c r="JEN198" s="2"/>
      <c r="JEO198" s="2"/>
      <c r="JEP198" s="2"/>
      <c r="JEQ198" s="2"/>
      <c r="JER198" s="2"/>
      <c r="JES198" s="2"/>
      <c r="JET198" s="2"/>
      <c r="JEU198" s="2"/>
      <c r="JEV198" s="2"/>
      <c r="JEW198" s="2"/>
      <c r="JEX198" s="2"/>
      <c r="JEY198" s="2"/>
      <c r="JEZ198" s="2"/>
      <c r="JFA198" s="2"/>
      <c r="JFB198" s="2"/>
      <c r="JFC198" s="2"/>
      <c r="JFD198" s="2"/>
      <c r="JFE198" s="2"/>
      <c r="JFF198" s="2"/>
      <c r="JFG198" s="2"/>
      <c r="JFH198" s="2"/>
      <c r="JFI198" s="2"/>
      <c r="JFJ198" s="2"/>
      <c r="JFK198" s="2"/>
      <c r="JFL198" s="2"/>
      <c r="JFM198" s="2"/>
      <c r="JFN198" s="2"/>
      <c r="JFO198" s="2"/>
      <c r="JFP198" s="2"/>
      <c r="JFQ198" s="2"/>
      <c r="JFR198" s="2"/>
      <c r="JFS198" s="2"/>
      <c r="JFT198" s="2"/>
      <c r="JFU198" s="2"/>
      <c r="JFV198" s="2"/>
      <c r="JFW198" s="2"/>
      <c r="JFX198" s="2"/>
      <c r="JFY198" s="2"/>
      <c r="JFZ198" s="2"/>
      <c r="JGA198" s="2"/>
      <c r="JGB198" s="2"/>
      <c r="JGC198" s="2"/>
      <c r="JGD198" s="2"/>
      <c r="JGE198" s="2"/>
      <c r="JGF198" s="2"/>
      <c r="JGG198" s="2"/>
      <c r="JGH198" s="2"/>
      <c r="JGI198" s="2"/>
      <c r="JGJ198" s="2"/>
      <c r="JGK198" s="2"/>
      <c r="JGL198" s="2"/>
      <c r="JGM198" s="2"/>
      <c r="JGN198" s="2"/>
      <c r="JGO198" s="2"/>
      <c r="JGP198" s="2"/>
      <c r="JGQ198" s="2"/>
      <c r="JGR198" s="2"/>
      <c r="JGS198" s="2"/>
      <c r="JGT198" s="2"/>
      <c r="JGU198" s="2"/>
      <c r="JGV198" s="2"/>
      <c r="JGW198" s="2"/>
      <c r="JGX198" s="2"/>
      <c r="JGY198" s="2"/>
      <c r="JGZ198" s="2"/>
      <c r="JHA198" s="2"/>
      <c r="JHB198" s="2"/>
      <c r="JHC198" s="2"/>
      <c r="JHD198" s="2"/>
      <c r="JHE198" s="2"/>
      <c r="JHF198" s="2"/>
      <c r="JHG198" s="2"/>
      <c r="JHH198" s="2"/>
      <c r="JHI198" s="2"/>
      <c r="JHJ198" s="2"/>
      <c r="JHK198" s="2"/>
      <c r="JHL198" s="2"/>
      <c r="JHM198" s="2"/>
      <c r="JHN198" s="2"/>
      <c r="JHO198" s="2"/>
      <c r="JHP198" s="2"/>
      <c r="JHQ198" s="2"/>
      <c r="JHR198" s="2"/>
      <c r="JHS198" s="2"/>
      <c r="JHT198" s="2"/>
      <c r="JHU198" s="2"/>
      <c r="JHV198" s="2"/>
      <c r="JHW198" s="2"/>
      <c r="JHX198" s="2"/>
      <c r="JHY198" s="2"/>
      <c r="JHZ198" s="2"/>
      <c r="JIA198" s="2"/>
      <c r="JIB198" s="2"/>
      <c r="JIC198" s="2"/>
      <c r="JID198" s="2"/>
      <c r="JIE198" s="2"/>
      <c r="JIF198" s="2"/>
      <c r="JIG198" s="2"/>
      <c r="JIH198" s="2"/>
      <c r="JII198" s="2"/>
      <c r="JIJ198" s="2"/>
      <c r="JIK198" s="2"/>
      <c r="JIL198" s="2"/>
      <c r="JIM198" s="2"/>
      <c r="JIN198" s="2"/>
      <c r="JIO198" s="2"/>
      <c r="JIP198" s="2"/>
      <c r="JIQ198" s="2"/>
      <c r="JIR198" s="2"/>
      <c r="JIS198" s="2"/>
      <c r="JIT198" s="2"/>
      <c r="JIU198" s="2"/>
      <c r="JIV198" s="2"/>
      <c r="JIW198" s="2"/>
      <c r="JIX198" s="2"/>
      <c r="JIY198" s="2"/>
      <c r="JIZ198" s="2"/>
      <c r="JJA198" s="2"/>
      <c r="JJB198" s="2"/>
      <c r="JJC198" s="2"/>
      <c r="JJD198" s="2"/>
      <c r="JJE198" s="2"/>
      <c r="JJF198" s="2"/>
      <c r="JJG198" s="2"/>
      <c r="JJH198" s="2"/>
      <c r="JJI198" s="2"/>
      <c r="JJJ198" s="2"/>
      <c r="JJK198" s="2"/>
      <c r="JJL198" s="2"/>
      <c r="JJM198" s="2"/>
      <c r="JJN198" s="2"/>
      <c r="JJO198" s="2"/>
      <c r="JJP198" s="2"/>
      <c r="JJQ198" s="2"/>
      <c r="JJR198" s="2"/>
      <c r="JJS198" s="2"/>
      <c r="JJT198" s="2"/>
      <c r="JJU198" s="2"/>
      <c r="JJV198" s="2"/>
      <c r="JJW198" s="2"/>
      <c r="JJX198" s="2"/>
      <c r="JJY198" s="2"/>
      <c r="JJZ198" s="2"/>
      <c r="JKA198" s="2"/>
      <c r="JKB198" s="2"/>
      <c r="JKC198" s="2"/>
      <c r="JKD198" s="2"/>
      <c r="JKE198" s="2"/>
      <c r="JKF198" s="2"/>
      <c r="JKG198" s="2"/>
      <c r="JKH198" s="2"/>
      <c r="JKI198" s="2"/>
      <c r="JKJ198" s="2"/>
      <c r="JKK198" s="2"/>
      <c r="JKL198" s="2"/>
      <c r="JKM198" s="2"/>
      <c r="JKN198" s="2"/>
      <c r="JKO198" s="2"/>
      <c r="JKP198" s="2"/>
      <c r="JKQ198" s="2"/>
      <c r="JKR198" s="2"/>
      <c r="JKS198" s="2"/>
      <c r="JKT198" s="2"/>
      <c r="JKU198" s="2"/>
      <c r="JKV198" s="2"/>
      <c r="JKW198" s="2"/>
      <c r="JKX198" s="2"/>
      <c r="JKY198" s="2"/>
      <c r="JKZ198" s="2"/>
      <c r="JLA198" s="2"/>
      <c r="JLB198" s="2"/>
      <c r="JLC198" s="2"/>
      <c r="JLD198" s="2"/>
      <c r="JLE198" s="2"/>
      <c r="JLF198" s="2"/>
      <c r="JLG198" s="2"/>
      <c r="JLH198" s="2"/>
      <c r="JLI198" s="2"/>
      <c r="JLJ198" s="2"/>
      <c r="JLK198" s="2"/>
      <c r="JLL198" s="2"/>
      <c r="JLM198" s="2"/>
      <c r="JLN198" s="2"/>
      <c r="JLO198" s="2"/>
      <c r="JLP198" s="2"/>
      <c r="JLQ198" s="2"/>
      <c r="JLR198" s="2"/>
      <c r="JLS198" s="2"/>
      <c r="JLT198" s="2"/>
      <c r="JLU198" s="2"/>
      <c r="JLV198" s="2"/>
      <c r="JLW198" s="2"/>
      <c r="JLX198" s="2"/>
      <c r="JLY198" s="2"/>
      <c r="JLZ198" s="2"/>
      <c r="JMA198" s="2"/>
      <c r="JMB198" s="2"/>
      <c r="JMC198" s="2"/>
      <c r="JMD198" s="2"/>
      <c r="JME198" s="2"/>
      <c r="JMF198" s="2"/>
      <c r="JMG198" s="2"/>
      <c r="JMH198" s="2"/>
      <c r="JMI198" s="2"/>
      <c r="JMJ198" s="2"/>
      <c r="JMK198" s="2"/>
      <c r="JML198" s="2"/>
      <c r="JMM198" s="2"/>
      <c r="JMN198" s="2"/>
      <c r="JMO198" s="2"/>
      <c r="JMP198" s="2"/>
      <c r="JMQ198" s="2"/>
      <c r="JMR198" s="2"/>
      <c r="JMS198" s="2"/>
      <c r="JMT198" s="2"/>
      <c r="JMU198" s="2"/>
      <c r="JMV198" s="2"/>
      <c r="JMW198" s="2"/>
      <c r="JMX198" s="2"/>
      <c r="JMY198" s="2"/>
      <c r="JMZ198" s="2"/>
      <c r="JNA198" s="2"/>
      <c r="JNB198" s="2"/>
      <c r="JNC198" s="2"/>
      <c r="JND198" s="2"/>
      <c r="JNE198" s="2"/>
      <c r="JNF198" s="2"/>
      <c r="JNG198" s="2"/>
      <c r="JNH198" s="2"/>
      <c r="JNI198" s="2"/>
      <c r="JNJ198" s="2"/>
      <c r="JNK198" s="2"/>
      <c r="JNL198" s="2"/>
      <c r="JNM198" s="2"/>
      <c r="JNN198" s="2"/>
      <c r="JNO198" s="2"/>
      <c r="JNP198" s="2"/>
      <c r="JNQ198" s="2"/>
      <c r="JNR198" s="2"/>
      <c r="JNS198" s="2"/>
      <c r="JNT198" s="2"/>
      <c r="JNU198" s="2"/>
      <c r="JNV198" s="2"/>
      <c r="JNW198" s="2"/>
      <c r="JNX198" s="2"/>
      <c r="JNY198" s="2"/>
      <c r="JNZ198" s="2"/>
      <c r="JOA198" s="2"/>
      <c r="JOB198" s="2"/>
      <c r="JOC198" s="2"/>
      <c r="JOD198" s="2"/>
      <c r="JOE198" s="2"/>
      <c r="JOF198" s="2"/>
      <c r="JOG198" s="2"/>
      <c r="JOH198" s="2"/>
      <c r="JOI198" s="2"/>
      <c r="JOJ198" s="2"/>
      <c r="JOK198" s="2"/>
      <c r="JOL198" s="2"/>
      <c r="JOM198" s="2"/>
      <c r="JON198" s="2"/>
      <c r="JOO198" s="2"/>
      <c r="JOP198" s="2"/>
      <c r="JOQ198" s="2"/>
      <c r="JOR198" s="2"/>
      <c r="JOS198" s="2"/>
      <c r="JOT198" s="2"/>
      <c r="JOU198" s="2"/>
      <c r="JOV198" s="2"/>
      <c r="JOW198" s="2"/>
      <c r="JOX198" s="2"/>
      <c r="JOY198" s="2"/>
      <c r="JOZ198" s="2"/>
      <c r="JPA198" s="2"/>
      <c r="JPB198" s="2"/>
      <c r="JPC198" s="2"/>
      <c r="JPD198" s="2"/>
      <c r="JPE198" s="2"/>
      <c r="JPF198" s="2"/>
      <c r="JPG198" s="2"/>
      <c r="JPH198" s="2"/>
      <c r="JPI198" s="2"/>
      <c r="JPJ198" s="2"/>
      <c r="JPK198" s="2"/>
      <c r="JPL198" s="2"/>
      <c r="JPM198" s="2"/>
      <c r="JPN198" s="2"/>
      <c r="JPO198" s="2"/>
      <c r="JPP198" s="2"/>
      <c r="JPQ198" s="2"/>
      <c r="JPR198" s="2"/>
      <c r="JPS198" s="2"/>
      <c r="JPT198" s="2"/>
      <c r="JPU198" s="2"/>
      <c r="JPV198" s="2"/>
      <c r="JPW198" s="2"/>
      <c r="JPX198" s="2"/>
      <c r="JPY198" s="2"/>
      <c r="JPZ198" s="2"/>
      <c r="JQA198" s="2"/>
      <c r="JQB198" s="2"/>
      <c r="JQC198" s="2"/>
      <c r="JQD198" s="2"/>
      <c r="JQE198" s="2"/>
      <c r="JQF198" s="2"/>
      <c r="JQG198" s="2"/>
      <c r="JQH198" s="2"/>
      <c r="JQI198" s="2"/>
      <c r="JQJ198" s="2"/>
      <c r="JQK198" s="2"/>
      <c r="JQL198" s="2"/>
      <c r="JQM198" s="2"/>
      <c r="JQN198" s="2"/>
      <c r="JQO198" s="2"/>
      <c r="JQP198" s="2"/>
      <c r="JQQ198" s="2"/>
      <c r="JQR198" s="2"/>
      <c r="JQS198" s="2"/>
      <c r="JQT198" s="2"/>
      <c r="JQU198" s="2"/>
      <c r="JQV198" s="2"/>
      <c r="JQW198" s="2"/>
      <c r="JQX198" s="2"/>
      <c r="JQY198" s="2"/>
      <c r="JQZ198" s="2"/>
      <c r="JRA198" s="2"/>
      <c r="JRB198" s="2"/>
      <c r="JRC198" s="2"/>
      <c r="JRD198" s="2"/>
      <c r="JRE198" s="2"/>
      <c r="JRF198" s="2"/>
      <c r="JRG198" s="2"/>
      <c r="JRH198" s="2"/>
      <c r="JRI198" s="2"/>
      <c r="JRJ198" s="2"/>
      <c r="JRK198" s="2"/>
      <c r="JRL198" s="2"/>
      <c r="JRM198" s="2"/>
      <c r="JRN198" s="2"/>
      <c r="JRO198" s="2"/>
      <c r="JRP198" s="2"/>
      <c r="JRQ198" s="2"/>
      <c r="JRR198" s="2"/>
      <c r="JRS198" s="2"/>
      <c r="JRT198" s="2"/>
      <c r="JRU198" s="2"/>
      <c r="JRV198" s="2"/>
      <c r="JRW198" s="2"/>
      <c r="JRX198" s="2"/>
      <c r="JRY198" s="2"/>
      <c r="JRZ198" s="2"/>
      <c r="JSA198" s="2"/>
      <c r="JSB198" s="2"/>
      <c r="JSC198" s="2"/>
      <c r="JSD198" s="2"/>
      <c r="JSE198" s="2"/>
      <c r="JSF198" s="2"/>
      <c r="JSG198" s="2"/>
      <c r="JSH198" s="2"/>
      <c r="JSI198" s="2"/>
      <c r="JSJ198" s="2"/>
      <c r="JSK198" s="2"/>
      <c r="JSL198" s="2"/>
      <c r="JSM198" s="2"/>
      <c r="JSN198" s="2"/>
      <c r="JSO198" s="2"/>
      <c r="JSP198" s="2"/>
      <c r="JSQ198" s="2"/>
      <c r="JSR198" s="2"/>
      <c r="JSS198" s="2"/>
      <c r="JST198" s="2"/>
      <c r="JSU198" s="2"/>
      <c r="JSV198" s="2"/>
      <c r="JSW198" s="2"/>
      <c r="JSX198" s="2"/>
      <c r="JSY198" s="2"/>
      <c r="JSZ198" s="2"/>
      <c r="JTA198" s="2"/>
      <c r="JTB198" s="2"/>
      <c r="JTC198" s="2"/>
      <c r="JTD198" s="2"/>
      <c r="JTE198" s="2"/>
      <c r="JTF198" s="2"/>
      <c r="JTG198" s="2"/>
      <c r="JTH198" s="2"/>
      <c r="JTI198" s="2"/>
      <c r="JTJ198" s="2"/>
      <c r="JTK198" s="2"/>
      <c r="JTL198" s="2"/>
      <c r="JTM198" s="2"/>
      <c r="JTN198" s="2"/>
      <c r="JTO198" s="2"/>
      <c r="JTP198" s="2"/>
      <c r="JTQ198" s="2"/>
      <c r="JTR198" s="2"/>
      <c r="JTS198" s="2"/>
      <c r="JTT198" s="2"/>
      <c r="JTU198" s="2"/>
      <c r="JTV198" s="2"/>
      <c r="JTW198" s="2"/>
      <c r="JTX198" s="2"/>
      <c r="JTY198" s="2"/>
      <c r="JTZ198" s="2"/>
      <c r="JUA198" s="2"/>
      <c r="JUB198" s="2"/>
      <c r="JUC198" s="2"/>
      <c r="JUD198" s="2"/>
      <c r="JUE198" s="2"/>
      <c r="JUF198" s="2"/>
      <c r="JUG198" s="2"/>
      <c r="JUH198" s="2"/>
      <c r="JUI198" s="2"/>
      <c r="JUJ198" s="2"/>
      <c r="JUK198" s="2"/>
      <c r="JUL198" s="2"/>
      <c r="JUM198" s="2"/>
      <c r="JUN198" s="2"/>
      <c r="JUO198" s="2"/>
      <c r="JUP198" s="2"/>
      <c r="JUQ198" s="2"/>
      <c r="JUR198" s="2"/>
      <c r="JUS198" s="2"/>
      <c r="JUT198" s="2"/>
      <c r="JUU198" s="2"/>
      <c r="JUV198" s="2"/>
      <c r="JUW198" s="2"/>
      <c r="JUX198" s="2"/>
      <c r="JUY198" s="2"/>
      <c r="JUZ198" s="2"/>
      <c r="JVA198" s="2"/>
      <c r="JVB198" s="2"/>
      <c r="JVC198" s="2"/>
      <c r="JVD198" s="2"/>
      <c r="JVE198" s="2"/>
      <c r="JVF198" s="2"/>
      <c r="JVG198" s="2"/>
      <c r="JVH198" s="2"/>
      <c r="JVI198" s="2"/>
      <c r="JVJ198" s="2"/>
      <c r="JVK198" s="2"/>
      <c r="JVL198" s="2"/>
      <c r="JVM198" s="2"/>
      <c r="JVN198" s="2"/>
      <c r="JVO198" s="2"/>
      <c r="JVP198" s="2"/>
      <c r="JVQ198" s="2"/>
      <c r="JVR198" s="2"/>
      <c r="JVS198" s="2"/>
      <c r="JVT198" s="2"/>
      <c r="JVU198" s="2"/>
      <c r="JVV198" s="2"/>
      <c r="JVW198" s="2"/>
      <c r="JVX198" s="2"/>
      <c r="JVY198" s="2"/>
      <c r="JVZ198" s="2"/>
      <c r="JWA198" s="2"/>
      <c r="JWB198" s="2"/>
      <c r="JWC198" s="2"/>
      <c r="JWD198" s="2"/>
      <c r="JWE198" s="2"/>
      <c r="JWF198" s="2"/>
      <c r="JWG198" s="2"/>
      <c r="JWH198" s="2"/>
      <c r="JWI198" s="2"/>
      <c r="JWJ198" s="2"/>
      <c r="JWK198" s="2"/>
      <c r="JWL198" s="2"/>
      <c r="JWM198" s="2"/>
      <c r="JWN198" s="2"/>
      <c r="JWO198" s="2"/>
      <c r="JWP198" s="2"/>
      <c r="JWQ198" s="2"/>
      <c r="JWR198" s="2"/>
      <c r="JWS198" s="2"/>
      <c r="JWT198" s="2"/>
      <c r="JWU198" s="2"/>
      <c r="JWV198" s="2"/>
      <c r="JWW198" s="2"/>
      <c r="JWX198" s="2"/>
      <c r="JWY198" s="2"/>
      <c r="JWZ198" s="2"/>
      <c r="JXA198" s="2"/>
      <c r="JXB198" s="2"/>
      <c r="JXC198" s="2"/>
      <c r="JXD198" s="2"/>
      <c r="JXE198" s="2"/>
      <c r="JXF198" s="2"/>
      <c r="JXG198" s="2"/>
      <c r="JXH198" s="2"/>
      <c r="JXI198" s="2"/>
      <c r="JXJ198" s="2"/>
      <c r="JXK198" s="2"/>
      <c r="JXL198" s="2"/>
      <c r="JXM198" s="2"/>
      <c r="JXN198" s="2"/>
      <c r="JXO198" s="2"/>
      <c r="JXP198" s="2"/>
      <c r="JXQ198" s="2"/>
      <c r="JXR198" s="2"/>
      <c r="JXS198" s="2"/>
      <c r="JXT198" s="2"/>
      <c r="JXU198" s="2"/>
      <c r="JXV198" s="2"/>
      <c r="JXW198" s="2"/>
      <c r="JXX198" s="2"/>
      <c r="JXY198" s="2"/>
      <c r="JXZ198" s="2"/>
      <c r="JYA198" s="2"/>
      <c r="JYB198" s="2"/>
      <c r="JYC198" s="2"/>
      <c r="JYD198" s="2"/>
      <c r="JYE198" s="2"/>
      <c r="JYF198" s="2"/>
      <c r="JYG198" s="2"/>
      <c r="JYH198" s="2"/>
      <c r="JYI198" s="2"/>
      <c r="JYJ198" s="2"/>
      <c r="JYK198" s="2"/>
      <c r="JYL198" s="2"/>
      <c r="JYM198" s="2"/>
      <c r="JYN198" s="2"/>
      <c r="JYO198" s="2"/>
      <c r="JYP198" s="2"/>
      <c r="JYQ198" s="2"/>
      <c r="JYR198" s="2"/>
      <c r="JYS198" s="2"/>
      <c r="JYT198" s="2"/>
      <c r="JYU198" s="2"/>
      <c r="JYV198" s="2"/>
      <c r="JYW198" s="2"/>
      <c r="JYX198" s="2"/>
      <c r="JYY198" s="2"/>
      <c r="JYZ198" s="2"/>
      <c r="JZA198" s="2"/>
      <c r="JZB198" s="2"/>
      <c r="JZC198" s="2"/>
      <c r="JZD198" s="2"/>
      <c r="JZE198" s="2"/>
      <c r="JZF198" s="2"/>
      <c r="JZG198" s="2"/>
      <c r="JZH198" s="2"/>
      <c r="JZI198" s="2"/>
      <c r="JZJ198" s="2"/>
      <c r="JZK198" s="2"/>
      <c r="JZL198" s="2"/>
      <c r="JZM198" s="2"/>
      <c r="JZN198" s="2"/>
      <c r="JZO198" s="2"/>
      <c r="JZP198" s="2"/>
      <c r="JZQ198" s="2"/>
      <c r="JZR198" s="2"/>
      <c r="JZS198" s="2"/>
      <c r="JZT198" s="2"/>
      <c r="JZU198" s="2"/>
      <c r="JZV198" s="2"/>
      <c r="JZW198" s="2"/>
      <c r="JZX198" s="2"/>
      <c r="JZY198" s="2"/>
      <c r="JZZ198" s="2"/>
      <c r="KAA198" s="2"/>
      <c r="KAB198" s="2"/>
      <c r="KAC198" s="2"/>
      <c r="KAD198" s="2"/>
      <c r="KAE198" s="2"/>
      <c r="KAF198" s="2"/>
      <c r="KAG198" s="2"/>
      <c r="KAH198" s="2"/>
      <c r="KAI198" s="2"/>
      <c r="KAJ198" s="2"/>
      <c r="KAK198" s="2"/>
      <c r="KAL198" s="2"/>
      <c r="KAM198" s="2"/>
      <c r="KAN198" s="2"/>
      <c r="KAO198" s="2"/>
      <c r="KAP198" s="2"/>
      <c r="KAQ198" s="2"/>
      <c r="KAR198" s="2"/>
      <c r="KAS198" s="2"/>
      <c r="KAT198" s="2"/>
      <c r="KAU198" s="2"/>
      <c r="KAV198" s="2"/>
      <c r="KAW198" s="2"/>
      <c r="KAX198" s="2"/>
      <c r="KAY198" s="2"/>
      <c r="KAZ198" s="2"/>
      <c r="KBA198" s="2"/>
      <c r="KBB198" s="2"/>
      <c r="KBC198" s="2"/>
      <c r="KBD198" s="2"/>
      <c r="KBE198" s="2"/>
      <c r="KBF198" s="2"/>
      <c r="KBG198" s="2"/>
      <c r="KBH198" s="2"/>
      <c r="KBI198" s="2"/>
      <c r="KBJ198" s="2"/>
      <c r="KBK198" s="2"/>
      <c r="KBL198" s="2"/>
      <c r="KBM198" s="2"/>
      <c r="KBN198" s="2"/>
      <c r="KBO198" s="2"/>
      <c r="KBP198" s="2"/>
      <c r="KBQ198" s="2"/>
      <c r="KBR198" s="2"/>
      <c r="KBS198" s="2"/>
      <c r="KBT198" s="2"/>
      <c r="KBU198" s="2"/>
      <c r="KBV198" s="2"/>
      <c r="KBW198" s="2"/>
      <c r="KBX198" s="2"/>
      <c r="KBY198" s="2"/>
      <c r="KBZ198" s="2"/>
      <c r="KCA198" s="2"/>
      <c r="KCB198" s="2"/>
      <c r="KCC198" s="2"/>
      <c r="KCD198" s="2"/>
      <c r="KCE198" s="2"/>
      <c r="KCF198" s="2"/>
      <c r="KCG198" s="2"/>
      <c r="KCH198" s="2"/>
      <c r="KCI198" s="2"/>
      <c r="KCJ198" s="2"/>
      <c r="KCK198" s="2"/>
      <c r="KCL198" s="2"/>
      <c r="KCM198" s="2"/>
      <c r="KCN198" s="2"/>
      <c r="KCO198" s="2"/>
      <c r="KCP198" s="2"/>
      <c r="KCQ198" s="2"/>
      <c r="KCR198" s="2"/>
      <c r="KCS198" s="2"/>
      <c r="KCT198" s="2"/>
      <c r="KCU198" s="2"/>
      <c r="KCV198" s="2"/>
      <c r="KCW198" s="2"/>
      <c r="KCX198" s="2"/>
      <c r="KCY198" s="2"/>
      <c r="KCZ198" s="2"/>
      <c r="KDA198" s="2"/>
      <c r="KDB198" s="2"/>
      <c r="KDC198" s="2"/>
      <c r="KDD198" s="2"/>
      <c r="KDE198" s="2"/>
      <c r="KDF198" s="2"/>
      <c r="KDG198" s="2"/>
      <c r="KDH198" s="2"/>
      <c r="KDI198" s="2"/>
      <c r="KDJ198" s="2"/>
      <c r="KDK198" s="2"/>
      <c r="KDL198" s="2"/>
      <c r="KDM198" s="2"/>
      <c r="KDN198" s="2"/>
      <c r="KDO198" s="2"/>
      <c r="KDP198" s="2"/>
      <c r="KDQ198" s="2"/>
      <c r="KDR198" s="2"/>
      <c r="KDS198" s="2"/>
      <c r="KDT198" s="2"/>
      <c r="KDU198" s="2"/>
      <c r="KDV198" s="2"/>
      <c r="KDW198" s="2"/>
      <c r="KDX198" s="2"/>
      <c r="KDY198" s="2"/>
      <c r="KDZ198" s="2"/>
      <c r="KEA198" s="2"/>
      <c r="KEB198" s="2"/>
      <c r="KEC198" s="2"/>
      <c r="KED198" s="2"/>
      <c r="KEE198" s="2"/>
      <c r="KEF198" s="2"/>
      <c r="KEG198" s="2"/>
      <c r="KEH198" s="2"/>
      <c r="KEI198" s="2"/>
      <c r="KEJ198" s="2"/>
      <c r="KEK198" s="2"/>
      <c r="KEL198" s="2"/>
      <c r="KEM198" s="2"/>
      <c r="KEN198" s="2"/>
      <c r="KEO198" s="2"/>
      <c r="KEP198" s="2"/>
      <c r="KEQ198" s="2"/>
      <c r="KER198" s="2"/>
      <c r="KES198" s="2"/>
      <c r="KET198" s="2"/>
      <c r="KEU198" s="2"/>
      <c r="KEV198" s="2"/>
      <c r="KEW198" s="2"/>
      <c r="KEX198" s="2"/>
      <c r="KEY198" s="2"/>
      <c r="KEZ198" s="2"/>
      <c r="KFA198" s="2"/>
      <c r="KFB198" s="2"/>
      <c r="KFC198" s="2"/>
      <c r="KFD198" s="2"/>
      <c r="KFE198" s="2"/>
      <c r="KFF198" s="2"/>
      <c r="KFG198" s="2"/>
      <c r="KFH198" s="2"/>
      <c r="KFI198" s="2"/>
      <c r="KFJ198" s="2"/>
      <c r="KFK198" s="2"/>
      <c r="KFL198" s="2"/>
      <c r="KFM198" s="2"/>
      <c r="KFN198" s="2"/>
      <c r="KFO198" s="2"/>
      <c r="KFP198" s="2"/>
      <c r="KFQ198" s="2"/>
      <c r="KFR198" s="2"/>
      <c r="KFS198" s="2"/>
      <c r="KFT198" s="2"/>
      <c r="KFU198" s="2"/>
      <c r="KFV198" s="2"/>
      <c r="KFW198" s="2"/>
      <c r="KFX198" s="2"/>
      <c r="KFY198" s="2"/>
      <c r="KFZ198" s="2"/>
      <c r="KGA198" s="2"/>
      <c r="KGB198" s="2"/>
      <c r="KGC198" s="2"/>
      <c r="KGD198" s="2"/>
      <c r="KGE198" s="2"/>
      <c r="KGF198" s="2"/>
      <c r="KGG198" s="2"/>
      <c r="KGH198" s="2"/>
      <c r="KGI198" s="2"/>
      <c r="KGJ198" s="2"/>
      <c r="KGK198" s="2"/>
      <c r="KGL198" s="2"/>
      <c r="KGM198" s="2"/>
      <c r="KGN198" s="2"/>
      <c r="KGO198" s="2"/>
      <c r="KGP198" s="2"/>
      <c r="KGQ198" s="2"/>
      <c r="KGR198" s="2"/>
      <c r="KGS198" s="2"/>
      <c r="KGT198" s="2"/>
      <c r="KGU198" s="2"/>
      <c r="KGV198" s="2"/>
      <c r="KGW198" s="2"/>
      <c r="KGX198" s="2"/>
      <c r="KGY198" s="2"/>
      <c r="KGZ198" s="2"/>
      <c r="KHA198" s="2"/>
      <c r="KHB198" s="2"/>
      <c r="KHC198" s="2"/>
      <c r="KHD198" s="2"/>
      <c r="KHE198" s="2"/>
      <c r="KHF198" s="2"/>
      <c r="KHG198" s="2"/>
      <c r="KHH198" s="2"/>
      <c r="KHI198" s="2"/>
      <c r="KHJ198" s="2"/>
      <c r="KHK198" s="2"/>
      <c r="KHL198" s="2"/>
      <c r="KHM198" s="2"/>
      <c r="KHN198" s="2"/>
      <c r="KHO198" s="2"/>
      <c r="KHP198" s="2"/>
      <c r="KHQ198" s="2"/>
      <c r="KHR198" s="2"/>
      <c r="KHS198" s="2"/>
      <c r="KHT198" s="2"/>
      <c r="KHU198" s="2"/>
      <c r="KHV198" s="2"/>
      <c r="KHW198" s="2"/>
      <c r="KHX198" s="2"/>
      <c r="KHY198" s="2"/>
      <c r="KHZ198" s="2"/>
      <c r="KIA198" s="2"/>
      <c r="KIB198" s="2"/>
      <c r="KIC198" s="2"/>
      <c r="KID198" s="2"/>
      <c r="KIE198" s="2"/>
      <c r="KIF198" s="2"/>
      <c r="KIG198" s="2"/>
      <c r="KIH198" s="2"/>
      <c r="KII198" s="2"/>
      <c r="KIJ198" s="2"/>
      <c r="KIK198" s="2"/>
      <c r="KIL198" s="2"/>
      <c r="KIM198" s="2"/>
      <c r="KIN198" s="2"/>
      <c r="KIO198" s="2"/>
      <c r="KIP198" s="2"/>
      <c r="KIQ198" s="2"/>
      <c r="KIR198" s="2"/>
      <c r="KIS198" s="2"/>
      <c r="KIT198" s="2"/>
      <c r="KIU198" s="2"/>
      <c r="KIV198" s="2"/>
      <c r="KIW198" s="2"/>
      <c r="KIX198" s="2"/>
      <c r="KIY198" s="2"/>
      <c r="KIZ198" s="2"/>
      <c r="KJA198" s="2"/>
      <c r="KJB198" s="2"/>
      <c r="KJC198" s="2"/>
      <c r="KJD198" s="2"/>
      <c r="KJE198" s="2"/>
      <c r="KJF198" s="2"/>
      <c r="KJG198" s="2"/>
      <c r="KJH198" s="2"/>
      <c r="KJI198" s="2"/>
      <c r="KJJ198" s="2"/>
      <c r="KJK198" s="2"/>
      <c r="KJL198" s="2"/>
      <c r="KJM198" s="2"/>
      <c r="KJN198" s="2"/>
      <c r="KJO198" s="2"/>
      <c r="KJP198" s="2"/>
      <c r="KJQ198" s="2"/>
      <c r="KJR198" s="2"/>
      <c r="KJS198" s="2"/>
      <c r="KJT198" s="2"/>
      <c r="KJU198" s="2"/>
      <c r="KJV198" s="2"/>
      <c r="KJW198" s="2"/>
      <c r="KJX198" s="2"/>
      <c r="KJY198" s="2"/>
      <c r="KJZ198" s="2"/>
      <c r="KKA198" s="2"/>
      <c r="KKB198" s="2"/>
      <c r="KKC198" s="2"/>
      <c r="KKD198" s="2"/>
      <c r="KKE198" s="2"/>
      <c r="KKF198" s="2"/>
      <c r="KKG198" s="2"/>
      <c r="KKH198" s="2"/>
      <c r="KKI198" s="2"/>
      <c r="KKJ198" s="2"/>
      <c r="KKK198" s="2"/>
      <c r="KKL198" s="2"/>
      <c r="KKM198" s="2"/>
      <c r="KKN198" s="2"/>
      <c r="KKO198" s="2"/>
      <c r="KKP198" s="2"/>
      <c r="KKQ198" s="2"/>
      <c r="KKR198" s="2"/>
      <c r="KKS198" s="2"/>
      <c r="KKT198" s="2"/>
      <c r="KKU198" s="2"/>
      <c r="KKV198" s="2"/>
      <c r="KKW198" s="2"/>
      <c r="KKX198" s="2"/>
      <c r="KKY198" s="2"/>
      <c r="KKZ198" s="2"/>
      <c r="KLA198" s="2"/>
      <c r="KLB198" s="2"/>
      <c r="KLC198" s="2"/>
      <c r="KLD198" s="2"/>
      <c r="KLE198" s="2"/>
      <c r="KLF198" s="2"/>
      <c r="KLG198" s="2"/>
      <c r="KLH198" s="2"/>
      <c r="KLI198" s="2"/>
      <c r="KLJ198" s="2"/>
      <c r="KLK198" s="2"/>
      <c r="KLL198" s="2"/>
      <c r="KLM198" s="2"/>
      <c r="KLN198" s="2"/>
      <c r="KLO198" s="2"/>
      <c r="KLP198" s="2"/>
      <c r="KLQ198" s="2"/>
      <c r="KLR198" s="2"/>
      <c r="KLS198" s="2"/>
      <c r="KLT198" s="2"/>
      <c r="KLU198" s="2"/>
      <c r="KLV198" s="2"/>
      <c r="KLW198" s="2"/>
      <c r="KLX198" s="2"/>
      <c r="KLY198" s="2"/>
      <c r="KLZ198" s="2"/>
      <c r="KMA198" s="2"/>
      <c r="KMB198" s="2"/>
      <c r="KMC198" s="2"/>
      <c r="KMD198" s="2"/>
      <c r="KME198" s="2"/>
      <c r="KMF198" s="2"/>
      <c r="KMG198" s="2"/>
      <c r="KMH198" s="2"/>
      <c r="KMI198" s="2"/>
      <c r="KMJ198" s="2"/>
      <c r="KMK198" s="2"/>
      <c r="KML198" s="2"/>
      <c r="KMM198" s="2"/>
      <c r="KMN198" s="2"/>
      <c r="KMO198" s="2"/>
      <c r="KMP198" s="2"/>
      <c r="KMQ198" s="2"/>
      <c r="KMR198" s="2"/>
      <c r="KMS198" s="2"/>
      <c r="KMT198" s="2"/>
      <c r="KMU198" s="2"/>
      <c r="KMV198" s="2"/>
      <c r="KMW198" s="2"/>
      <c r="KMX198" s="2"/>
      <c r="KMY198" s="2"/>
      <c r="KMZ198" s="2"/>
      <c r="KNA198" s="2"/>
      <c r="KNB198" s="2"/>
      <c r="KNC198" s="2"/>
      <c r="KND198" s="2"/>
      <c r="KNE198" s="2"/>
      <c r="KNF198" s="2"/>
      <c r="KNG198" s="2"/>
      <c r="KNH198" s="2"/>
      <c r="KNI198" s="2"/>
      <c r="KNJ198" s="2"/>
      <c r="KNK198" s="2"/>
      <c r="KNL198" s="2"/>
      <c r="KNM198" s="2"/>
      <c r="KNN198" s="2"/>
      <c r="KNO198" s="2"/>
      <c r="KNP198" s="2"/>
      <c r="KNQ198" s="2"/>
      <c r="KNR198" s="2"/>
      <c r="KNS198" s="2"/>
      <c r="KNT198" s="2"/>
      <c r="KNU198" s="2"/>
      <c r="KNV198" s="2"/>
      <c r="KNW198" s="2"/>
      <c r="KNX198" s="2"/>
      <c r="KNY198" s="2"/>
      <c r="KNZ198" s="2"/>
      <c r="KOA198" s="2"/>
      <c r="KOB198" s="2"/>
      <c r="KOC198" s="2"/>
      <c r="KOD198" s="2"/>
      <c r="KOE198" s="2"/>
      <c r="KOF198" s="2"/>
      <c r="KOG198" s="2"/>
      <c r="KOH198" s="2"/>
      <c r="KOI198" s="2"/>
      <c r="KOJ198" s="2"/>
      <c r="KOK198" s="2"/>
      <c r="KOL198" s="2"/>
      <c r="KOM198" s="2"/>
      <c r="KON198" s="2"/>
      <c r="KOO198" s="2"/>
      <c r="KOP198" s="2"/>
      <c r="KOQ198" s="2"/>
      <c r="KOR198" s="2"/>
      <c r="KOS198" s="2"/>
      <c r="KOT198" s="2"/>
      <c r="KOU198" s="2"/>
      <c r="KOV198" s="2"/>
      <c r="KOW198" s="2"/>
      <c r="KOX198" s="2"/>
      <c r="KOY198" s="2"/>
      <c r="KOZ198" s="2"/>
      <c r="KPA198" s="2"/>
      <c r="KPB198" s="2"/>
      <c r="KPC198" s="2"/>
      <c r="KPD198" s="2"/>
      <c r="KPE198" s="2"/>
      <c r="KPF198" s="2"/>
      <c r="KPG198" s="2"/>
      <c r="KPH198" s="2"/>
      <c r="KPI198" s="2"/>
      <c r="KPJ198" s="2"/>
      <c r="KPK198" s="2"/>
      <c r="KPL198" s="2"/>
      <c r="KPM198" s="2"/>
      <c r="KPN198" s="2"/>
      <c r="KPO198" s="2"/>
      <c r="KPP198" s="2"/>
      <c r="KPQ198" s="2"/>
      <c r="KPR198" s="2"/>
      <c r="KPS198" s="2"/>
      <c r="KPT198" s="2"/>
      <c r="KPU198" s="2"/>
      <c r="KPV198" s="2"/>
      <c r="KPW198" s="2"/>
      <c r="KPX198" s="2"/>
      <c r="KPY198" s="2"/>
      <c r="KPZ198" s="2"/>
      <c r="KQA198" s="2"/>
      <c r="KQB198" s="2"/>
      <c r="KQC198" s="2"/>
      <c r="KQD198" s="2"/>
      <c r="KQE198" s="2"/>
      <c r="KQF198" s="2"/>
      <c r="KQG198" s="2"/>
      <c r="KQH198" s="2"/>
      <c r="KQI198" s="2"/>
      <c r="KQJ198" s="2"/>
      <c r="KQK198" s="2"/>
      <c r="KQL198" s="2"/>
      <c r="KQM198" s="2"/>
      <c r="KQN198" s="2"/>
      <c r="KQO198" s="2"/>
      <c r="KQP198" s="2"/>
      <c r="KQQ198" s="2"/>
      <c r="KQR198" s="2"/>
      <c r="KQS198" s="2"/>
      <c r="KQT198" s="2"/>
      <c r="KQU198" s="2"/>
      <c r="KQV198" s="2"/>
      <c r="KQW198" s="2"/>
      <c r="KQX198" s="2"/>
      <c r="KQY198" s="2"/>
      <c r="KQZ198" s="2"/>
      <c r="KRA198" s="2"/>
      <c r="KRB198" s="2"/>
      <c r="KRC198" s="2"/>
      <c r="KRD198" s="2"/>
      <c r="KRE198" s="2"/>
      <c r="KRF198" s="2"/>
      <c r="KRG198" s="2"/>
      <c r="KRH198" s="2"/>
      <c r="KRI198" s="2"/>
      <c r="KRJ198" s="2"/>
      <c r="KRK198" s="2"/>
      <c r="KRL198" s="2"/>
      <c r="KRM198" s="2"/>
      <c r="KRN198" s="2"/>
      <c r="KRO198" s="2"/>
      <c r="KRP198" s="2"/>
      <c r="KRQ198" s="2"/>
      <c r="KRR198" s="2"/>
      <c r="KRS198" s="2"/>
      <c r="KRT198" s="2"/>
      <c r="KRU198" s="2"/>
      <c r="KRV198" s="2"/>
      <c r="KRW198" s="2"/>
      <c r="KRX198" s="2"/>
      <c r="KRY198" s="2"/>
      <c r="KRZ198" s="2"/>
      <c r="KSA198" s="2"/>
      <c r="KSB198" s="2"/>
      <c r="KSC198" s="2"/>
      <c r="KSD198" s="2"/>
      <c r="KSE198" s="2"/>
      <c r="KSF198" s="2"/>
      <c r="KSG198" s="2"/>
      <c r="KSH198" s="2"/>
      <c r="KSI198" s="2"/>
      <c r="KSJ198" s="2"/>
      <c r="KSK198" s="2"/>
      <c r="KSL198" s="2"/>
      <c r="KSM198" s="2"/>
      <c r="KSN198" s="2"/>
      <c r="KSO198" s="2"/>
      <c r="KSP198" s="2"/>
      <c r="KSQ198" s="2"/>
      <c r="KSR198" s="2"/>
      <c r="KSS198" s="2"/>
      <c r="KST198" s="2"/>
      <c r="KSU198" s="2"/>
      <c r="KSV198" s="2"/>
      <c r="KSW198" s="2"/>
      <c r="KSX198" s="2"/>
      <c r="KSY198" s="2"/>
      <c r="KSZ198" s="2"/>
      <c r="KTA198" s="2"/>
      <c r="KTB198" s="2"/>
      <c r="KTC198" s="2"/>
      <c r="KTD198" s="2"/>
      <c r="KTE198" s="2"/>
      <c r="KTF198" s="2"/>
      <c r="KTG198" s="2"/>
      <c r="KTH198" s="2"/>
      <c r="KTI198" s="2"/>
      <c r="KTJ198" s="2"/>
      <c r="KTK198" s="2"/>
      <c r="KTL198" s="2"/>
      <c r="KTM198" s="2"/>
      <c r="KTN198" s="2"/>
      <c r="KTO198" s="2"/>
      <c r="KTP198" s="2"/>
      <c r="KTQ198" s="2"/>
      <c r="KTR198" s="2"/>
      <c r="KTS198" s="2"/>
      <c r="KTT198" s="2"/>
      <c r="KTU198" s="2"/>
      <c r="KTV198" s="2"/>
      <c r="KTW198" s="2"/>
      <c r="KTX198" s="2"/>
      <c r="KTY198" s="2"/>
      <c r="KTZ198" s="2"/>
      <c r="KUA198" s="2"/>
      <c r="KUB198" s="2"/>
      <c r="KUC198" s="2"/>
      <c r="KUD198" s="2"/>
      <c r="KUE198" s="2"/>
      <c r="KUF198" s="2"/>
      <c r="KUG198" s="2"/>
      <c r="KUH198" s="2"/>
      <c r="KUI198" s="2"/>
      <c r="KUJ198" s="2"/>
      <c r="KUK198" s="2"/>
      <c r="KUL198" s="2"/>
      <c r="KUM198" s="2"/>
      <c r="KUN198" s="2"/>
      <c r="KUO198" s="2"/>
      <c r="KUP198" s="2"/>
      <c r="KUQ198" s="2"/>
      <c r="KUR198" s="2"/>
      <c r="KUS198" s="2"/>
      <c r="KUT198" s="2"/>
      <c r="KUU198" s="2"/>
      <c r="KUV198" s="2"/>
      <c r="KUW198" s="2"/>
      <c r="KUX198" s="2"/>
      <c r="KUY198" s="2"/>
      <c r="KUZ198" s="2"/>
      <c r="KVA198" s="2"/>
      <c r="KVB198" s="2"/>
      <c r="KVC198" s="2"/>
      <c r="KVD198" s="2"/>
      <c r="KVE198" s="2"/>
      <c r="KVF198" s="2"/>
      <c r="KVG198" s="2"/>
      <c r="KVH198" s="2"/>
      <c r="KVI198" s="2"/>
      <c r="KVJ198" s="2"/>
      <c r="KVK198" s="2"/>
      <c r="KVL198" s="2"/>
      <c r="KVM198" s="2"/>
      <c r="KVN198" s="2"/>
      <c r="KVO198" s="2"/>
      <c r="KVP198" s="2"/>
      <c r="KVQ198" s="2"/>
      <c r="KVR198" s="2"/>
      <c r="KVS198" s="2"/>
      <c r="KVT198" s="2"/>
      <c r="KVU198" s="2"/>
      <c r="KVV198" s="2"/>
      <c r="KVW198" s="2"/>
      <c r="KVX198" s="2"/>
      <c r="KVY198" s="2"/>
      <c r="KVZ198" s="2"/>
      <c r="KWA198" s="2"/>
      <c r="KWB198" s="2"/>
      <c r="KWC198" s="2"/>
      <c r="KWD198" s="2"/>
      <c r="KWE198" s="2"/>
      <c r="KWF198" s="2"/>
      <c r="KWG198" s="2"/>
      <c r="KWH198" s="2"/>
      <c r="KWI198" s="2"/>
      <c r="KWJ198" s="2"/>
      <c r="KWK198" s="2"/>
      <c r="KWL198" s="2"/>
      <c r="KWM198" s="2"/>
      <c r="KWN198" s="2"/>
      <c r="KWO198" s="2"/>
      <c r="KWP198" s="2"/>
      <c r="KWQ198" s="2"/>
      <c r="KWR198" s="2"/>
      <c r="KWS198" s="2"/>
      <c r="KWT198" s="2"/>
      <c r="KWU198" s="2"/>
      <c r="KWV198" s="2"/>
      <c r="KWW198" s="2"/>
      <c r="KWX198" s="2"/>
      <c r="KWY198" s="2"/>
      <c r="KWZ198" s="2"/>
      <c r="KXA198" s="2"/>
      <c r="KXB198" s="2"/>
      <c r="KXC198" s="2"/>
      <c r="KXD198" s="2"/>
      <c r="KXE198" s="2"/>
      <c r="KXF198" s="2"/>
      <c r="KXG198" s="2"/>
      <c r="KXH198" s="2"/>
      <c r="KXI198" s="2"/>
      <c r="KXJ198" s="2"/>
      <c r="KXK198" s="2"/>
      <c r="KXL198" s="2"/>
      <c r="KXM198" s="2"/>
      <c r="KXN198" s="2"/>
      <c r="KXO198" s="2"/>
      <c r="KXP198" s="2"/>
      <c r="KXQ198" s="2"/>
      <c r="KXR198" s="2"/>
      <c r="KXS198" s="2"/>
      <c r="KXT198" s="2"/>
      <c r="KXU198" s="2"/>
      <c r="KXV198" s="2"/>
      <c r="KXW198" s="2"/>
      <c r="KXX198" s="2"/>
      <c r="KXY198" s="2"/>
      <c r="KXZ198" s="2"/>
      <c r="KYA198" s="2"/>
      <c r="KYB198" s="2"/>
      <c r="KYC198" s="2"/>
      <c r="KYD198" s="2"/>
      <c r="KYE198" s="2"/>
      <c r="KYF198" s="2"/>
      <c r="KYG198" s="2"/>
      <c r="KYH198" s="2"/>
      <c r="KYI198" s="2"/>
      <c r="KYJ198" s="2"/>
      <c r="KYK198" s="2"/>
      <c r="KYL198" s="2"/>
      <c r="KYM198" s="2"/>
      <c r="KYN198" s="2"/>
      <c r="KYO198" s="2"/>
      <c r="KYP198" s="2"/>
      <c r="KYQ198" s="2"/>
      <c r="KYR198" s="2"/>
      <c r="KYS198" s="2"/>
      <c r="KYT198" s="2"/>
      <c r="KYU198" s="2"/>
      <c r="KYV198" s="2"/>
      <c r="KYW198" s="2"/>
      <c r="KYX198" s="2"/>
      <c r="KYY198" s="2"/>
      <c r="KYZ198" s="2"/>
      <c r="KZA198" s="2"/>
      <c r="KZB198" s="2"/>
      <c r="KZC198" s="2"/>
      <c r="KZD198" s="2"/>
      <c r="KZE198" s="2"/>
      <c r="KZF198" s="2"/>
      <c r="KZG198" s="2"/>
      <c r="KZH198" s="2"/>
      <c r="KZI198" s="2"/>
      <c r="KZJ198" s="2"/>
      <c r="KZK198" s="2"/>
      <c r="KZL198" s="2"/>
      <c r="KZM198" s="2"/>
      <c r="KZN198" s="2"/>
      <c r="KZO198" s="2"/>
      <c r="KZP198" s="2"/>
      <c r="KZQ198" s="2"/>
      <c r="KZR198" s="2"/>
      <c r="KZS198" s="2"/>
      <c r="KZT198" s="2"/>
      <c r="KZU198" s="2"/>
      <c r="KZV198" s="2"/>
      <c r="KZW198" s="2"/>
      <c r="KZX198" s="2"/>
      <c r="KZY198" s="2"/>
      <c r="KZZ198" s="2"/>
      <c r="LAA198" s="2"/>
      <c r="LAB198" s="2"/>
      <c r="LAC198" s="2"/>
      <c r="LAD198" s="2"/>
      <c r="LAE198" s="2"/>
      <c r="LAF198" s="2"/>
      <c r="LAG198" s="2"/>
      <c r="LAH198" s="2"/>
      <c r="LAI198" s="2"/>
      <c r="LAJ198" s="2"/>
      <c r="LAK198" s="2"/>
      <c r="LAL198" s="2"/>
      <c r="LAM198" s="2"/>
      <c r="LAN198" s="2"/>
      <c r="LAO198" s="2"/>
      <c r="LAP198" s="2"/>
      <c r="LAQ198" s="2"/>
      <c r="LAR198" s="2"/>
      <c r="LAS198" s="2"/>
      <c r="LAT198" s="2"/>
      <c r="LAU198" s="2"/>
      <c r="LAV198" s="2"/>
      <c r="LAW198" s="2"/>
      <c r="LAX198" s="2"/>
      <c r="LAY198" s="2"/>
      <c r="LAZ198" s="2"/>
      <c r="LBA198" s="2"/>
      <c r="LBB198" s="2"/>
      <c r="LBC198" s="2"/>
      <c r="LBD198" s="2"/>
      <c r="LBE198" s="2"/>
      <c r="LBF198" s="2"/>
      <c r="LBG198" s="2"/>
      <c r="LBH198" s="2"/>
      <c r="LBI198" s="2"/>
      <c r="LBJ198" s="2"/>
      <c r="LBK198" s="2"/>
      <c r="LBL198" s="2"/>
      <c r="LBM198" s="2"/>
      <c r="LBN198" s="2"/>
      <c r="LBO198" s="2"/>
      <c r="LBP198" s="2"/>
      <c r="LBQ198" s="2"/>
      <c r="LBR198" s="2"/>
      <c r="LBS198" s="2"/>
      <c r="LBT198" s="2"/>
      <c r="LBU198" s="2"/>
      <c r="LBV198" s="2"/>
      <c r="LBW198" s="2"/>
      <c r="LBX198" s="2"/>
      <c r="LBY198" s="2"/>
      <c r="LBZ198" s="2"/>
      <c r="LCA198" s="2"/>
      <c r="LCB198" s="2"/>
      <c r="LCC198" s="2"/>
      <c r="LCD198" s="2"/>
      <c r="LCE198" s="2"/>
      <c r="LCF198" s="2"/>
      <c r="LCG198" s="2"/>
      <c r="LCH198" s="2"/>
      <c r="LCI198" s="2"/>
      <c r="LCJ198" s="2"/>
      <c r="LCK198" s="2"/>
      <c r="LCL198" s="2"/>
      <c r="LCM198" s="2"/>
      <c r="LCN198" s="2"/>
      <c r="LCO198" s="2"/>
      <c r="LCP198" s="2"/>
      <c r="LCQ198" s="2"/>
      <c r="LCR198" s="2"/>
      <c r="LCS198" s="2"/>
      <c r="LCT198" s="2"/>
      <c r="LCU198" s="2"/>
      <c r="LCV198" s="2"/>
      <c r="LCW198" s="2"/>
      <c r="LCX198" s="2"/>
      <c r="LCY198" s="2"/>
      <c r="LCZ198" s="2"/>
      <c r="LDA198" s="2"/>
      <c r="LDB198" s="2"/>
      <c r="LDC198" s="2"/>
      <c r="LDD198" s="2"/>
      <c r="LDE198" s="2"/>
      <c r="LDF198" s="2"/>
      <c r="LDG198" s="2"/>
      <c r="LDH198" s="2"/>
      <c r="LDI198" s="2"/>
      <c r="LDJ198" s="2"/>
      <c r="LDK198" s="2"/>
      <c r="LDL198" s="2"/>
      <c r="LDM198" s="2"/>
      <c r="LDN198" s="2"/>
      <c r="LDO198" s="2"/>
      <c r="LDP198" s="2"/>
      <c r="LDQ198" s="2"/>
      <c r="LDR198" s="2"/>
      <c r="LDS198" s="2"/>
      <c r="LDT198" s="2"/>
      <c r="LDU198" s="2"/>
      <c r="LDV198" s="2"/>
      <c r="LDW198" s="2"/>
      <c r="LDX198" s="2"/>
      <c r="LDY198" s="2"/>
      <c r="LDZ198" s="2"/>
      <c r="LEA198" s="2"/>
      <c r="LEB198" s="2"/>
      <c r="LEC198" s="2"/>
      <c r="LED198" s="2"/>
      <c r="LEE198" s="2"/>
      <c r="LEF198" s="2"/>
      <c r="LEG198" s="2"/>
      <c r="LEH198" s="2"/>
      <c r="LEI198" s="2"/>
      <c r="LEJ198" s="2"/>
      <c r="LEK198" s="2"/>
      <c r="LEL198" s="2"/>
      <c r="LEM198" s="2"/>
      <c r="LEN198" s="2"/>
      <c r="LEO198" s="2"/>
      <c r="LEP198" s="2"/>
      <c r="LEQ198" s="2"/>
      <c r="LER198" s="2"/>
      <c r="LES198" s="2"/>
      <c r="LET198" s="2"/>
      <c r="LEU198" s="2"/>
      <c r="LEV198" s="2"/>
      <c r="LEW198" s="2"/>
      <c r="LEX198" s="2"/>
      <c r="LEY198" s="2"/>
      <c r="LEZ198" s="2"/>
      <c r="LFA198" s="2"/>
      <c r="LFB198" s="2"/>
      <c r="LFC198" s="2"/>
      <c r="LFD198" s="2"/>
      <c r="LFE198" s="2"/>
      <c r="LFF198" s="2"/>
      <c r="LFG198" s="2"/>
      <c r="LFH198" s="2"/>
      <c r="LFI198" s="2"/>
      <c r="LFJ198" s="2"/>
      <c r="LFK198" s="2"/>
      <c r="LFL198" s="2"/>
      <c r="LFM198" s="2"/>
      <c r="LFN198" s="2"/>
      <c r="LFO198" s="2"/>
      <c r="LFP198" s="2"/>
      <c r="LFQ198" s="2"/>
      <c r="LFR198" s="2"/>
      <c r="LFS198" s="2"/>
      <c r="LFT198" s="2"/>
      <c r="LFU198" s="2"/>
      <c r="LFV198" s="2"/>
      <c r="LFW198" s="2"/>
      <c r="LFX198" s="2"/>
      <c r="LFY198" s="2"/>
      <c r="LFZ198" s="2"/>
      <c r="LGA198" s="2"/>
      <c r="LGB198" s="2"/>
      <c r="LGC198" s="2"/>
      <c r="LGD198" s="2"/>
      <c r="LGE198" s="2"/>
      <c r="LGF198" s="2"/>
      <c r="LGG198" s="2"/>
      <c r="LGH198" s="2"/>
      <c r="LGI198" s="2"/>
      <c r="LGJ198" s="2"/>
      <c r="LGK198" s="2"/>
      <c r="LGL198" s="2"/>
      <c r="LGM198" s="2"/>
      <c r="LGN198" s="2"/>
      <c r="LGO198" s="2"/>
      <c r="LGP198" s="2"/>
      <c r="LGQ198" s="2"/>
      <c r="LGR198" s="2"/>
      <c r="LGS198" s="2"/>
      <c r="LGT198" s="2"/>
      <c r="LGU198" s="2"/>
      <c r="LGV198" s="2"/>
      <c r="LGW198" s="2"/>
      <c r="LGX198" s="2"/>
      <c r="LGY198" s="2"/>
      <c r="LGZ198" s="2"/>
      <c r="LHA198" s="2"/>
      <c r="LHB198" s="2"/>
      <c r="LHC198" s="2"/>
      <c r="LHD198" s="2"/>
      <c r="LHE198" s="2"/>
      <c r="LHF198" s="2"/>
      <c r="LHG198" s="2"/>
      <c r="LHH198" s="2"/>
      <c r="LHI198" s="2"/>
      <c r="LHJ198" s="2"/>
      <c r="LHK198" s="2"/>
      <c r="LHL198" s="2"/>
      <c r="LHM198" s="2"/>
      <c r="LHN198" s="2"/>
      <c r="LHO198" s="2"/>
      <c r="LHP198" s="2"/>
      <c r="LHQ198" s="2"/>
      <c r="LHR198" s="2"/>
      <c r="LHS198" s="2"/>
      <c r="LHT198" s="2"/>
      <c r="LHU198" s="2"/>
      <c r="LHV198" s="2"/>
      <c r="LHW198" s="2"/>
      <c r="LHX198" s="2"/>
      <c r="LHY198" s="2"/>
      <c r="LHZ198" s="2"/>
      <c r="LIA198" s="2"/>
      <c r="LIB198" s="2"/>
      <c r="LIC198" s="2"/>
      <c r="LID198" s="2"/>
      <c r="LIE198" s="2"/>
      <c r="LIF198" s="2"/>
      <c r="LIG198" s="2"/>
      <c r="LIH198" s="2"/>
      <c r="LII198" s="2"/>
      <c r="LIJ198" s="2"/>
      <c r="LIK198" s="2"/>
      <c r="LIL198" s="2"/>
      <c r="LIM198" s="2"/>
      <c r="LIN198" s="2"/>
      <c r="LIO198" s="2"/>
      <c r="LIP198" s="2"/>
      <c r="LIQ198" s="2"/>
      <c r="LIR198" s="2"/>
      <c r="LIS198" s="2"/>
      <c r="LIT198" s="2"/>
      <c r="LIU198" s="2"/>
      <c r="LIV198" s="2"/>
      <c r="LIW198" s="2"/>
      <c r="LIX198" s="2"/>
      <c r="LIY198" s="2"/>
      <c r="LIZ198" s="2"/>
      <c r="LJA198" s="2"/>
      <c r="LJB198" s="2"/>
      <c r="LJC198" s="2"/>
      <c r="LJD198" s="2"/>
      <c r="LJE198" s="2"/>
      <c r="LJF198" s="2"/>
      <c r="LJG198" s="2"/>
      <c r="LJH198" s="2"/>
      <c r="LJI198" s="2"/>
      <c r="LJJ198" s="2"/>
      <c r="LJK198" s="2"/>
      <c r="LJL198" s="2"/>
      <c r="LJM198" s="2"/>
      <c r="LJN198" s="2"/>
      <c r="LJO198" s="2"/>
      <c r="LJP198" s="2"/>
      <c r="LJQ198" s="2"/>
      <c r="LJR198" s="2"/>
      <c r="LJS198" s="2"/>
      <c r="LJT198" s="2"/>
      <c r="LJU198" s="2"/>
      <c r="LJV198" s="2"/>
      <c r="LJW198" s="2"/>
      <c r="LJX198" s="2"/>
      <c r="LJY198" s="2"/>
      <c r="LJZ198" s="2"/>
      <c r="LKA198" s="2"/>
      <c r="LKB198" s="2"/>
      <c r="LKC198" s="2"/>
      <c r="LKD198" s="2"/>
      <c r="LKE198" s="2"/>
      <c r="LKF198" s="2"/>
      <c r="LKG198" s="2"/>
      <c r="LKH198" s="2"/>
      <c r="LKI198" s="2"/>
      <c r="LKJ198" s="2"/>
      <c r="LKK198" s="2"/>
      <c r="LKL198" s="2"/>
      <c r="LKM198" s="2"/>
      <c r="LKN198" s="2"/>
      <c r="LKO198" s="2"/>
      <c r="LKP198" s="2"/>
      <c r="LKQ198" s="2"/>
      <c r="LKR198" s="2"/>
      <c r="LKS198" s="2"/>
      <c r="LKT198" s="2"/>
      <c r="LKU198" s="2"/>
      <c r="LKV198" s="2"/>
      <c r="LKW198" s="2"/>
      <c r="LKX198" s="2"/>
      <c r="LKY198" s="2"/>
      <c r="LKZ198" s="2"/>
      <c r="LLA198" s="2"/>
      <c r="LLB198" s="2"/>
      <c r="LLC198" s="2"/>
      <c r="LLD198" s="2"/>
      <c r="LLE198" s="2"/>
      <c r="LLF198" s="2"/>
      <c r="LLG198" s="2"/>
      <c r="LLH198" s="2"/>
      <c r="LLI198" s="2"/>
      <c r="LLJ198" s="2"/>
      <c r="LLK198" s="2"/>
      <c r="LLL198" s="2"/>
      <c r="LLM198" s="2"/>
      <c r="LLN198" s="2"/>
      <c r="LLO198" s="2"/>
      <c r="LLP198" s="2"/>
      <c r="LLQ198" s="2"/>
      <c r="LLR198" s="2"/>
      <c r="LLS198" s="2"/>
      <c r="LLT198" s="2"/>
      <c r="LLU198" s="2"/>
      <c r="LLV198" s="2"/>
      <c r="LLW198" s="2"/>
      <c r="LLX198" s="2"/>
      <c r="LLY198" s="2"/>
      <c r="LLZ198" s="2"/>
      <c r="LMA198" s="2"/>
      <c r="LMB198" s="2"/>
      <c r="LMC198" s="2"/>
      <c r="LMD198" s="2"/>
      <c r="LME198" s="2"/>
      <c r="LMF198" s="2"/>
      <c r="LMG198" s="2"/>
      <c r="LMH198" s="2"/>
      <c r="LMI198" s="2"/>
      <c r="LMJ198" s="2"/>
      <c r="LMK198" s="2"/>
      <c r="LML198" s="2"/>
      <c r="LMM198" s="2"/>
      <c r="LMN198" s="2"/>
      <c r="LMO198" s="2"/>
      <c r="LMP198" s="2"/>
      <c r="LMQ198" s="2"/>
      <c r="LMR198" s="2"/>
      <c r="LMS198" s="2"/>
      <c r="LMT198" s="2"/>
      <c r="LMU198" s="2"/>
      <c r="LMV198" s="2"/>
      <c r="LMW198" s="2"/>
      <c r="LMX198" s="2"/>
      <c r="LMY198" s="2"/>
      <c r="LMZ198" s="2"/>
      <c r="LNA198" s="2"/>
      <c r="LNB198" s="2"/>
      <c r="LNC198" s="2"/>
      <c r="LND198" s="2"/>
      <c r="LNE198" s="2"/>
      <c r="LNF198" s="2"/>
      <c r="LNG198" s="2"/>
      <c r="LNH198" s="2"/>
      <c r="LNI198" s="2"/>
      <c r="LNJ198" s="2"/>
      <c r="LNK198" s="2"/>
      <c r="LNL198" s="2"/>
      <c r="LNM198" s="2"/>
      <c r="LNN198" s="2"/>
      <c r="LNO198" s="2"/>
      <c r="LNP198" s="2"/>
      <c r="LNQ198" s="2"/>
      <c r="LNR198" s="2"/>
      <c r="LNS198" s="2"/>
      <c r="LNT198" s="2"/>
      <c r="LNU198" s="2"/>
      <c r="LNV198" s="2"/>
      <c r="LNW198" s="2"/>
      <c r="LNX198" s="2"/>
      <c r="LNY198" s="2"/>
      <c r="LNZ198" s="2"/>
      <c r="LOA198" s="2"/>
      <c r="LOB198" s="2"/>
      <c r="LOC198" s="2"/>
      <c r="LOD198" s="2"/>
      <c r="LOE198" s="2"/>
      <c r="LOF198" s="2"/>
      <c r="LOG198" s="2"/>
      <c r="LOH198" s="2"/>
      <c r="LOI198" s="2"/>
      <c r="LOJ198" s="2"/>
      <c r="LOK198" s="2"/>
      <c r="LOL198" s="2"/>
      <c r="LOM198" s="2"/>
      <c r="LON198" s="2"/>
      <c r="LOO198" s="2"/>
      <c r="LOP198" s="2"/>
      <c r="LOQ198" s="2"/>
      <c r="LOR198" s="2"/>
      <c r="LOS198" s="2"/>
      <c r="LOT198" s="2"/>
      <c r="LOU198" s="2"/>
      <c r="LOV198" s="2"/>
      <c r="LOW198" s="2"/>
      <c r="LOX198" s="2"/>
      <c r="LOY198" s="2"/>
      <c r="LOZ198" s="2"/>
      <c r="LPA198" s="2"/>
      <c r="LPB198" s="2"/>
      <c r="LPC198" s="2"/>
      <c r="LPD198" s="2"/>
      <c r="LPE198" s="2"/>
      <c r="LPF198" s="2"/>
      <c r="LPG198" s="2"/>
      <c r="LPH198" s="2"/>
      <c r="LPI198" s="2"/>
      <c r="LPJ198" s="2"/>
      <c r="LPK198" s="2"/>
      <c r="LPL198" s="2"/>
      <c r="LPM198" s="2"/>
      <c r="LPN198" s="2"/>
      <c r="LPO198" s="2"/>
      <c r="LPP198" s="2"/>
      <c r="LPQ198" s="2"/>
      <c r="LPR198" s="2"/>
      <c r="LPS198" s="2"/>
      <c r="LPT198" s="2"/>
      <c r="LPU198" s="2"/>
      <c r="LPV198" s="2"/>
      <c r="LPW198" s="2"/>
      <c r="LPX198" s="2"/>
      <c r="LPY198" s="2"/>
      <c r="LPZ198" s="2"/>
      <c r="LQA198" s="2"/>
      <c r="LQB198" s="2"/>
      <c r="LQC198" s="2"/>
      <c r="LQD198" s="2"/>
      <c r="LQE198" s="2"/>
      <c r="LQF198" s="2"/>
      <c r="LQG198" s="2"/>
      <c r="LQH198" s="2"/>
      <c r="LQI198" s="2"/>
      <c r="LQJ198" s="2"/>
      <c r="LQK198" s="2"/>
      <c r="LQL198" s="2"/>
      <c r="LQM198" s="2"/>
      <c r="LQN198" s="2"/>
      <c r="LQO198" s="2"/>
      <c r="LQP198" s="2"/>
      <c r="LQQ198" s="2"/>
      <c r="LQR198" s="2"/>
      <c r="LQS198" s="2"/>
      <c r="LQT198" s="2"/>
      <c r="LQU198" s="2"/>
      <c r="LQV198" s="2"/>
      <c r="LQW198" s="2"/>
      <c r="LQX198" s="2"/>
      <c r="LQY198" s="2"/>
      <c r="LQZ198" s="2"/>
      <c r="LRA198" s="2"/>
      <c r="LRB198" s="2"/>
      <c r="LRC198" s="2"/>
      <c r="LRD198" s="2"/>
      <c r="LRE198" s="2"/>
      <c r="LRF198" s="2"/>
      <c r="LRG198" s="2"/>
      <c r="LRH198" s="2"/>
      <c r="LRI198" s="2"/>
      <c r="LRJ198" s="2"/>
      <c r="LRK198" s="2"/>
      <c r="LRL198" s="2"/>
      <c r="LRM198" s="2"/>
      <c r="LRN198" s="2"/>
      <c r="LRO198" s="2"/>
      <c r="LRP198" s="2"/>
      <c r="LRQ198" s="2"/>
      <c r="LRR198" s="2"/>
      <c r="LRS198" s="2"/>
      <c r="LRT198" s="2"/>
      <c r="LRU198" s="2"/>
      <c r="LRV198" s="2"/>
      <c r="LRW198" s="2"/>
      <c r="LRX198" s="2"/>
      <c r="LRY198" s="2"/>
      <c r="LRZ198" s="2"/>
      <c r="LSA198" s="2"/>
      <c r="LSB198" s="2"/>
      <c r="LSC198" s="2"/>
      <c r="LSD198" s="2"/>
      <c r="LSE198" s="2"/>
      <c r="LSF198" s="2"/>
      <c r="LSG198" s="2"/>
      <c r="LSH198" s="2"/>
      <c r="LSI198" s="2"/>
      <c r="LSJ198" s="2"/>
      <c r="LSK198" s="2"/>
      <c r="LSL198" s="2"/>
      <c r="LSM198" s="2"/>
      <c r="LSN198" s="2"/>
      <c r="LSO198" s="2"/>
      <c r="LSP198" s="2"/>
      <c r="LSQ198" s="2"/>
      <c r="LSR198" s="2"/>
      <c r="LSS198" s="2"/>
      <c r="LST198" s="2"/>
      <c r="LSU198" s="2"/>
      <c r="LSV198" s="2"/>
      <c r="LSW198" s="2"/>
      <c r="LSX198" s="2"/>
      <c r="LSY198" s="2"/>
      <c r="LSZ198" s="2"/>
      <c r="LTA198" s="2"/>
      <c r="LTB198" s="2"/>
      <c r="LTC198" s="2"/>
      <c r="LTD198" s="2"/>
      <c r="LTE198" s="2"/>
      <c r="LTF198" s="2"/>
      <c r="LTG198" s="2"/>
      <c r="LTH198" s="2"/>
      <c r="LTI198" s="2"/>
      <c r="LTJ198" s="2"/>
      <c r="LTK198" s="2"/>
      <c r="LTL198" s="2"/>
      <c r="LTM198" s="2"/>
      <c r="LTN198" s="2"/>
      <c r="LTO198" s="2"/>
      <c r="LTP198" s="2"/>
      <c r="LTQ198" s="2"/>
      <c r="LTR198" s="2"/>
      <c r="LTS198" s="2"/>
      <c r="LTT198" s="2"/>
      <c r="LTU198" s="2"/>
      <c r="LTV198" s="2"/>
      <c r="LTW198" s="2"/>
      <c r="LTX198" s="2"/>
      <c r="LTY198" s="2"/>
      <c r="LTZ198" s="2"/>
      <c r="LUA198" s="2"/>
      <c r="LUB198" s="2"/>
      <c r="LUC198" s="2"/>
      <c r="LUD198" s="2"/>
      <c r="LUE198" s="2"/>
      <c r="LUF198" s="2"/>
      <c r="LUG198" s="2"/>
      <c r="LUH198" s="2"/>
      <c r="LUI198" s="2"/>
      <c r="LUJ198" s="2"/>
      <c r="LUK198" s="2"/>
      <c r="LUL198" s="2"/>
      <c r="LUM198" s="2"/>
      <c r="LUN198" s="2"/>
      <c r="LUO198" s="2"/>
      <c r="LUP198" s="2"/>
      <c r="LUQ198" s="2"/>
      <c r="LUR198" s="2"/>
      <c r="LUS198" s="2"/>
      <c r="LUT198" s="2"/>
      <c r="LUU198" s="2"/>
      <c r="LUV198" s="2"/>
      <c r="LUW198" s="2"/>
      <c r="LUX198" s="2"/>
      <c r="LUY198" s="2"/>
      <c r="LUZ198" s="2"/>
      <c r="LVA198" s="2"/>
      <c r="LVB198" s="2"/>
      <c r="LVC198" s="2"/>
      <c r="LVD198" s="2"/>
      <c r="LVE198" s="2"/>
      <c r="LVF198" s="2"/>
      <c r="LVG198" s="2"/>
      <c r="LVH198" s="2"/>
      <c r="LVI198" s="2"/>
      <c r="LVJ198" s="2"/>
      <c r="LVK198" s="2"/>
      <c r="LVL198" s="2"/>
      <c r="LVM198" s="2"/>
      <c r="LVN198" s="2"/>
      <c r="LVO198" s="2"/>
      <c r="LVP198" s="2"/>
      <c r="LVQ198" s="2"/>
      <c r="LVR198" s="2"/>
      <c r="LVS198" s="2"/>
      <c r="LVT198" s="2"/>
      <c r="LVU198" s="2"/>
      <c r="LVV198" s="2"/>
      <c r="LVW198" s="2"/>
      <c r="LVX198" s="2"/>
      <c r="LVY198" s="2"/>
      <c r="LVZ198" s="2"/>
      <c r="LWA198" s="2"/>
      <c r="LWB198" s="2"/>
      <c r="LWC198" s="2"/>
      <c r="LWD198" s="2"/>
      <c r="LWE198" s="2"/>
      <c r="LWF198" s="2"/>
      <c r="LWG198" s="2"/>
      <c r="LWH198" s="2"/>
      <c r="LWI198" s="2"/>
      <c r="LWJ198" s="2"/>
      <c r="LWK198" s="2"/>
      <c r="LWL198" s="2"/>
      <c r="LWM198" s="2"/>
      <c r="LWN198" s="2"/>
      <c r="LWO198" s="2"/>
      <c r="LWP198" s="2"/>
      <c r="LWQ198" s="2"/>
      <c r="LWR198" s="2"/>
      <c r="LWS198" s="2"/>
      <c r="LWT198" s="2"/>
      <c r="LWU198" s="2"/>
      <c r="LWV198" s="2"/>
      <c r="LWW198" s="2"/>
      <c r="LWX198" s="2"/>
      <c r="LWY198" s="2"/>
      <c r="LWZ198" s="2"/>
      <c r="LXA198" s="2"/>
      <c r="LXB198" s="2"/>
      <c r="LXC198" s="2"/>
      <c r="LXD198" s="2"/>
      <c r="LXE198" s="2"/>
      <c r="LXF198" s="2"/>
      <c r="LXG198" s="2"/>
      <c r="LXH198" s="2"/>
      <c r="LXI198" s="2"/>
      <c r="LXJ198" s="2"/>
      <c r="LXK198" s="2"/>
      <c r="LXL198" s="2"/>
      <c r="LXM198" s="2"/>
      <c r="LXN198" s="2"/>
      <c r="LXO198" s="2"/>
      <c r="LXP198" s="2"/>
      <c r="LXQ198" s="2"/>
      <c r="LXR198" s="2"/>
      <c r="LXS198" s="2"/>
      <c r="LXT198" s="2"/>
      <c r="LXU198" s="2"/>
      <c r="LXV198" s="2"/>
      <c r="LXW198" s="2"/>
      <c r="LXX198" s="2"/>
      <c r="LXY198" s="2"/>
      <c r="LXZ198" s="2"/>
      <c r="LYA198" s="2"/>
      <c r="LYB198" s="2"/>
      <c r="LYC198" s="2"/>
      <c r="LYD198" s="2"/>
      <c r="LYE198" s="2"/>
      <c r="LYF198" s="2"/>
      <c r="LYG198" s="2"/>
      <c r="LYH198" s="2"/>
      <c r="LYI198" s="2"/>
      <c r="LYJ198" s="2"/>
      <c r="LYK198" s="2"/>
      <c r="LYL198" s="2"/>
      <c r="LYM198" s="2"/>
      <c r="LYN198" s="2"/>
      <c r="LYO198" s="2"/>
      <c r="LYP198" s="2"/>
      <c r="LYQ198" s="2"/>
      <c r="LYR198" s="2"/>
      <c r="LYS198" s="2"/>
      <c r="LYT198" s="2"/>
      <c r="LYU198" s="2"/>
      <c r="LYV198" s="2"/>
      <c r="LYW198" s="2"/>
      <c r="LYX198" s="2"/>
      <c r="LYY198" s="2"/>
      <c r="LYZ198" s="2"/>
      <c r="LZA198" s="2"/>
      <c r="LZB198" s="2"/>
      <c r="LZC198" s="2"/>
      <c r="LZD198" s="2"/>
      <c r="LZE198" s="2"/>
      <c r="LZF198" s="2"/>
      <c r="LZG198" s="2"/>
      <c r="LZH198" s="2"/>
      <c r="LZI198" s="2"/>
      <c r="LZJ198" s="2"/>
      <c r="LZK198" s="2"/>
      <c r="LZL198" s="2"/>
      <c r="LZM198" s="2"/>
      <c r="LZN198" s="2"/>
      <c r="LZO198" s="2"/>
      <c r="LZP198" s="2"/>
      <c r="LZQ198" s="2"/>
      <c r="LZR198" s="2"/>
      <c r="LZS198" s="2"/>
      <c r="LZT198" s="2"/>
      <c r="LZU198" s="2"/>
      <c r="LZV198" s="2"/>
      <c r="LZW198" s="2"/>
      <c r="LZX198" s="2"/>
      <c r="LZY198" s="2"/>
      <c r="LZZ198" s="2"/>
      <c r="MAA198" s="2"/>
      <c r="MAB198" s="2"/>
      <c r="MAC198" s="2"/>
      <c r="MAD198" s="2"/>
      <c r="MAE198" s="2"/>
      <c r="MAF198" s="2"/>
      <c r="MAG198" s="2"/>
      <c r="MAH198" s="2"/>
      <c r="MAI198" s="2"/>
      <c r="MAJ198" s="2"/>
      <c r="MAK198" s="2"/>
      <c r="MAL198" s="2"/>
      <c r="MAM198" s="2"/>
      <c r="MAN198" s="2"/>
      <c r="MAO198" s="2"/>
      <c r="MAP198" s="2"/>
      <c r="MAQ198" s="2"/>
      <c r="MAR198" s="2"/>
      <c r="MAS198" s="2"/>
      <c r="MAT198" s="2"/>
      <c r="MAU198" s="2"/>
      <c r="MAV198" s="2"/>
      <c r="MAW198" s="2"/>
      <c r="MAX198" s="2"/>
      <c r="MAY198" s="2"/>
      <c r="MAZ198" s="2"/>
      <c r="MBA198" s="2"/>
      <c r="MBB198" s="2"/>
      <c r="MBC198" s="2"/>
      <c r="MBD198" s="2"/>
      <c r="MBE198" s="2"/>
      <c r="MBF198" s="2"/>
      <c r="MBG198" s="2"/>
      <c r="MBH198" s="2"/>
      <c r="MBI198" s="2"/>
      <c r="MBJ198" s="2"/>
      <c r="MBK198" s="2"/>
      <c r="MBL198" s="2"/>
      <c r="MBM198" s="2"/>
      <c r="MBN198" s="2"/>
      <c r="MBO198" s="2"/>
      <c r="MBP198" s="2"/>
      <c r="MBQ198" s="2"/>
      <c r="MBR198" s="2"/>
      <c r="MBS198" s="2"/>
      <c r="MBT198" s="2"/>
      <c r="MBU198" s="2"/>
      <c r="MBV198" s="2"/>
      <c r="MBW198" s="2"/>
      <c r="MBX198" s="2"/>
      <c r="MBY198" s="2"/>
      <c r="MBZ198" s="2"/>
      <c r="MCA198" s="2"/>
      <c r="MCB198" s="2"/>
      <c r="MCC198" s="2"/>
      <c r="MCD198" s="2"/>
      <c r="MCE198" s="2"/>
      <c r="MCF198" s="2"/>
      <c r="MCG198" s="2"/>
      <c r="MCH198" s="2"/>
      <c r="MCI198" s="2"/>
      <c r="MCJ198" s="2"/>
      <c r="MCK198" s="2"/>
      <c r="MCL198" s="2"/>
      <c r="MCM198" s="2"/>
      <c r="MCN198" s="2"/>
      <c r="MCO198" s="2"/>
      <c r="MCP198" s="2"/>
      <c r="MCQ198" s="2"/>
      <c r="MCR198" s="2"/>
      <c r="MCS198" s="2"/>
      <c r="MCT198" s="2"/>
      <c r="MCU198" s="2"/>
      <c r="MCV198" s="2"/>
      <c r="MCW198" s="2"/>
      <c r="MCX198" s="2"/>
      <c r="MCY198" s="2"/>
      <c r="MCZ198" s="2"/>
      <c r="MDA198" s="2"/>
      <c r="MDB198" s="2"/>
      <c r="MDC198" s="2"/>
      <c r="MDD198" s="2"/>
      <c r="MDE198" s="2"/>
      <c r="MDF198" s="2"/>
      <c r="MDG198" s="2"/>
      <c r="MDH198" s="2"/>
      <c r="MDI198" s="2"/>
      <c r="MDJ198" s="2"/>
      <c r="MDK198" s="2"/>
      <c r="MDL198" s="2"/>
      <c r="MDM198" s="2"/>
      <c r="MDN198" s="2"/>
      <c r="MDO198" s="2"/>
      <c r="MDP198" s="2"/>
      <c r="MDQ198" s="2"/>
      <c r="MDR198" s="2"/>
      <c r="MDS198" s="2"/>
      <c r="MDT198" s="2"/>
      <c r="MDU198" s="2"/>
      <c r="MDV198" s="2"/>
      <c r="MDW198" s="2"/>
      <c r="MDX198" s="2"/>
      <c r="MDY198" s="2"/>
      <c r="MDZ198" s="2"/>
      <c r="MEA198" s="2"/>
      <c r="MEB198" s="2"/>
      <c r="MEC198" s="2"/>
      <c r="MED198" s="2"/>
      <c r="MEE198" s="2"/>
      <c r="MEF198" s="2"/>
      <c r="MEG198" s="2"/>
      <c r="MEH198" s="2"/>
      <c r="MEI198" s="2"/>
      <c r="MEJ198" s="2"/>
      <c r="MEK198" s="2"/>
      <c r="MEL198" s="2"/>
      <c r="MEM198" s="2"/>
      <c r="MEN198" s="2"/>
      <c r="MEO198" s="2"/>
      <c r="MEP198" s="2"/>
      <c r="MEQ198" s="2"/>
      <c r="MER198" s="2"/>
      <c r="MES198" s="2"/>
      <c r="MET198" s="2"/>
      <c r="MEU198" s="2"/>
      <c r="MEV198" s="2"/>
      <c r="MEW198" s="2"/>
      <c r="MEX198" s="2"/>
      <c r="MEY198" s="2"/>
      <c r="MEZ198" s="2"/>
      <c r="MFA198" s="2"/>
      <c r="MFB198" s="2"/>
      <c r="MFC198" s="2"/>
      <c r="MFD198" s="2"/>
      <c r="MFE198" s="2"/>
      <c r="MFF198" s="2"/>
      <c r="MFG198" s="2"/>
      <c r="MFH198" s="2"/>
      <c r="MFI198" s="2"/>
      <c r="MFJ198" s="2"/>
      <c r="MFK198" s="2"/>
      <c r="MFL198" s="2"/>
      <c r="MFM198" s="2"/>
      <c r="MFN198" s="2"/>
      <c r="MFO198" s="2"/>
      <c r="MFP198" s="2"/>
      <c r="MFQ198" s="2"/>
      <c r="MFR198" s="2"/>
      <c r="MFS198" s="2"/>
      <c r="MFT198" s="2"/>
      <c r="MFU198" s="2"/>
      <c r="MFV198" s="2"/>
      <c r="MFW198" s="2"/>
      <c r="MFX198" s="2"/>
      <c r="MFY198" s="2"/>
      <c r="MFZ198" s="2"/>
      <c r="MGA198" s="2"/>
      <c r="MGB198" s="2"/>
      <c r="MGC198" s="2"/>
      <c r="MGD198" s="2"/>
      <c r="MGE198" s="2"/>
      <c r="MGF198" s="2"/>
      <c r="MGG198" s="2"/>
      <c r="MGH198" s="2"/>
      <c r="MGI198" s="2"/>
      <c r="MGJ198" s="2"/>
      <c r="MGK198" s="2"/>
      <c r="MGL198" s="2"/>
      <c r="MGM198" s="2"/>
      <c r="MGN198" s="2"/>
      <c r="MGO198" s="2"/>
      <c r="MGP198" s="2"/>
      <c r="MGQ198" s="2"/>
      <c r="MGR198" s="2"/>
      <c r="MGS198" s="2"/>
      <c r="MGT198" s="2"/>
      <c r="MGU198" s="2"/>
      <c r="MGV198" s="2"/>
      <c r="MGW198" s="2"/>
      <c r="MGX198" s="2"/>
      <c r="MGY198" s="2"/>
      <c r="MGZ198" s="2"/>
      <c r="MHA198" s="2"/>
      <c r="MHB198" s="2"/>
      <c r="MHC198" s="2"/>
      <c r="MHD198" s="2"/>
      <c r="MHE198" s="2"/>
      <c r="MHF198" s="2"/>
      <c r="MHG198" s="2"/>
      <c r="MHH198" s="2"/>
      <c r="MHI198" s="2"/>
      <c r="MHJ198" s="2"/>
      <c r="MHK198" s="2"/>
      <c r="MHL198" s="2"/>
      <c r="MHM198" s="2"/>
      <c r="MHN198" s="2"/>
      <c r="MHO198" s="2"/>
      <c r="MHP198" s="2"/>
      <c r="MHQ198" s="2"/>
      <c r="MHR198" s="2"/>
      <c r="MHS198" s="2"/>
      <c r="MHT198" s="2"/>
      <c r="MHU198" s="2"/>
      <c r="MHV198" s="2"/>
      <c r="MHW198" s="2"/>
      <c r="MHX198" s="2"/>
      <c r="MHY198" s="2"/>
      <c r="MHZ198" s="2"/>
      <c r="MIA198" s="2"/>
      <c r="MIB198" s="2"/>
      <c r="MIC198" s="2"/>
      <c r="MID198" s="2"/>
      <c r="MIE198" s="2"/>
      <c r="MIF198" s="2"/>
      <c r="MIG198" s="2"/>
      <c r="MIH198" s="2"/>
      <c r="MII198" s="2"/>
      <c r="MIJ198" s="2"/>
      <c r="MIK198" s="2"/>
      <c r="MIL198" s="2"/>
      <c r="MIM198" s="2"/>
      <c r="MIN198" s="2"/>
      <c r="MIO198" s="2"/>
      <c r="MIP198" s="2"/>
      <c r="MIQ198" s="2"/>
      <c r="MIR198" s="2"/>
      <c r="MIS198" s="2"/>
      <c r="MIT198" s="2"/>
      <c r="MIU198" s="2"/>
      <c r="MIV198" s="2"/>
      <c r="MIW198" s="2"/>
      <c r="MIX198" s="2"/>
      <c r="MIY198" s="2"/>
      <c r="MIZ198" s="2"/>
      <c r="MJA198" s="2"/>
      <c r="MJB198" s="2"/>
      <c r="MJC198" s="2"/>
      <c r="MJD198" s="2"/>
      <c r="MJE198" s="2"/>
      <c r="MJF198" s="2"/>
      <c r="MJG198" s="2"/>
      <c r="MJH198" s="2"/>
      <c r="MJI198" s="2"/>
      <c r="MJJ198" s="2"/>
      <c r="MJK198" s="2"/>
      <c r="MJL198" s="2"/>
      <c r="MJM198" s="2"/>
      <c r="MJN198" s="2"/>
      <c r="MJO198" s="2"/>
      <c r="MJP198" s="2"/>
      <c r="MJQ198" s="2"/>
      <c r="MJR198" s="2"/>
      <c r="MJS198" s="2"/>
      <c r="MJT198" s="2"/>
      <c r="MJU198" s="2"/>
      <c r="MJV198" s="2"/>
      <c r="MJW198" s="2"/>
      <c r="MJX198" s="2"/>
      <c r="MJY198" s="2"/>
      <c r="MJZ198" s="2"/>
      <c r="MKA198" s="2"/>
      <c r="MKB198" s="2"/>
      <c r="MKC198" s="2"/>
      <c r="MKD198" s="2"/>
      <c r="MKE198" s="2"/>
      <c r="MKF198" s="2"/>
      <c r="MKG198" s="2"/>
      <c r="MKH198" s="2"/>
      <c r="MKI198" s="2"/>
      <c r="MKJ198" s="2"/>
      <c r="MKK198" s="2"/>
      <c r="MKL198" s="2"/>
      <c r="MKM198" s="2"/>
      <c r="MKN198" s="2"/>
      <c r="MKO198" s="2"/>
      <c r="MKP198" s="2"/>
      <c r="MKQ198" s="2"/>
      <c r="MKR198" s="2"/>
      <c r="MKS198" s="2"/>
      <c r="MKT198" s="2"/>
      <c r="MKU198" s="2"/>
      <c r="MKV198" s="2"/>
      <c r="MKW198" s="2"/>
      <c r="MKX198" s="2"/>
      <c r="MKY198" s="2"/>
      <c r="MKZ198" s="2"/>
      <c r="MLA198" s="2"/>
      <c r="MLB198" s="2"/>
      <c r="MLC198" s="2"/>
      <c r="MLD198" s="2"/>
      <c r="MLE198" s="2"/>
      <c r="MLF198" s="2"/>
      <c r="MLG198" s="2"/>
      <c r="MLH198" s="2"/>
      <c r="MLI198" s="2"/>
      <c r="MLJ198" s="2"/>
      <c r="MLK198" s="2"/>
      <c r="MLL198" s="2"/>
      <c r="MLM198" s="2"/>
      <c r="MLN198" s="2"/>
      <c r="MLO198" s="2"/>
      <c r="MLP198" s="2"/>
      <c r="MLQ198" s="2"/>
      <c r="MLR198" s="2"/>
      <c r="MLS198" s="2"/>
      <c r="MLT198" s="2"/>
      <c r="MLU198" s="2"/>
      <c r="MLV198" s="2"/>
      <c r="MLW198" s="2"/>
      <c r="MLX198" s="2"/>
      <c r="MLY198" s="2"/>
      <c r="MLZ198" s="2"/>
      <c r="MMA198" s="2"/>
      <c r="MMB198" s="2"/>
      <c r="MMC198" s="2"/>
      <c r="MMD198" s="2"/>
      <c r="MME198" s="2"/>
      <c r="MMF198" s="2"/>
      <c r="MMG198" s="2"/>
      <c r="MMH198" s="2"/>
      <c r="MMI198" s="2"/>
      <c r="MMJ198" s="2"/>
      <c r="MMK198" s="2"/>
      <c r="MML198" s="2"/>
      <c r="MMM198" s="2"/>
      <c r="MMN198" s="2"/>
      <c r="MMO198" s="2"/>
      <c r="MMP198" s="2"/>
      <c r="MMQ198" s="2"/>
      <c r="MMR198" s="2"/>
      <c r="MMS198" s="2"/>
      <c r="MMT198" s="2"/>
      <c r="MMU198" s="2"/>
      <c r="MMV198" s="2"/>
      <c r="MMW198" s="2"/>
      <c r="MMX198" s="2"/>
      <c r="MMY198" s="2"/>
      <c r="MMZ198" s="2"/>
      <c r="MNA198" s="2"/>
      <c r="MNB198" s="2"/>
      <c r="MNC198" s="2"/>
      <c r="MND198" s="2"/>
      <c r="MNE198" s="2"/>
      <c r="MNF198" s="2"/>
      <c r="MNG198" s="2"/>
      <c r="MNH198" s="2"/>
      <c r="MNI198" s="2"/>
      <c r="MNJ198" s="2"/>
      <c r="MNK198" s="2"/>
      <c r="MNL198" s="2"/>
      <c r="MNM198" s="2"/>
      <c r="MNN198" s="2"/>
      <c r="MNO198" s="2"/>
      <c r="MNP198" s="2"/>
      <c r="MNQ198" s="2"/>
      <c r="MNR198" s="2"/>
      <c r="MNS198" s="2"/>
      <c r="MNT198" s="2"/>
      <c r="MNU198" s="2"/>
      <c r="MNV198" s="2"/>
      <c r="MNW198" s="2"/>
      <c r="MNX198" s="2"/>
      <c r="MNY198" s="2"/>
      <c r="MNZ198" s="2"/>
      <c r="MOA198" s="2"/>
      <c r="MOB198" s="2"/>
      <c r="MOC198" s="2"/>
      <c r="MOD198" s="2"/>
      <c r="MOE198" s="2"/>
      <c r="MOF198" s="2"/>
      <c r="MOG198" s="2"/>
      <c r="MOH198" s="2"/>
      <c r="MOI198" s="2"/>
      <c r="MOJ198" s="2"/>
      <c r="MOK198" s="2"/>
      <c r="MOL198" s="2"/>
      <c r="MOM198" s="2"/>
      <c r="MON198" s="2"/>
      <c r="MOO198" s="2"/>
      <c r="MOP198" s="2"/>
      <c r="MOQ198" s="2"/>
      <c r="MOR198" s="2"/>
      <c r="MOS198" s="2"/>
      <c r="MOT198" s="2"/>
      <c r="MOU198" s="2"/>
      <c r="MOV198" s="2"/>
      <c r="MOW198" s="2"/>
      <c r="MOX198" s="2"/>
      <c r="MOY198" s="2"/>
      <c r="MOZ198" s="2"/>
      <c r="MPA198" s="2"/>
      <c r="MPB198" s="2"/>
      <c r="MPC198" s="2"/>
      <c r="MPD198" s="2"/>
      <c r="MPE198" s="2"/>
      <c r="MPF198" s="2"/>
      <c r="MPG198" s="2"/>
      <c r="MPH198" s="2"/>
      <c r="MPI198" s="2"/>
      <c r="MPJ198" s="2"/>
      <c r="MPK198" s="2"/>
      <c r="MPL198" s="2"/>
      <c r="MPM198" s="2"/>
      <c r="MPN198" s="2"/>
      <c r="MPO198" s="2"/>
      <c r="MPP198" s="2"/>
      <c r="MPQ198" s="2"/>
      <c r="MPR198" s="2"/>
      <c r="MPS198" s="2"/>
      <c r="MPT198" s="2"/>
      <c r="MPU198" s="2"/>
      <c r="MPV198" s="2"/>
      <c r="MPW198" s="2"/>
      <c r="MPX198" s="2"/>
      <c r="MPY198" s="2"/>
      <c r="MPZ198" s="2"/>
      <c r="MQA198" s="2"/>
      <c r="MQB198" s="2"/>
      <c r="MQC198" s="2"/>
      <c r="MQD198" s="2"/>
      <c r="MQE198" s="2"/>
      <c r="MQF198" s="2"/>
      <c r="MQG198" s="2"/>
      <c r="MQH198" s="2"/>
      <c r="MQI198" s="2"/>
      <c r="MQJ198" s="2"/>
      <c r="MQK198" s="2"/>
      <c r="MQL198" s="2"/>
      <c r="MQM198" s="2"/>
      <c r="MQN198" s="2"/>
      <c r="MQO198" s="2"/>
      <c r="MQP198" s="2"/>
      <c r="MQQ198" s="2"/>
      <c r="MQR198" s="2"/>
      <c r="MQS198" s="2"/>
      <c r="MQT198" s="2"/>
      <c r="MQU198" s="2"/>
      <c r="MQV198" s="2"/>
      <c r="MQW198" s="2"/>
      <c r="MQX198" s="2"/>
      <c r="MQY198" s="2"/>
      <c r="MQZ198" s="2"/>
      <c r="MRA198" s="2"/>
      <c r="MRB198" s="2"/>
      <c r="MRC198" s="2"/>
      <c r="MRD198" s="2"/>
      <c r="MRE198" s="2"/>
      <c r="MRF198" s="2"/>
      <c r="MRG198" s="2"/>
      <c r="MRH198" s="2"/>
      <c r="MRI198" s="2"/>
      <c r="MRJ198" s="2"/>
      <c r="MRK198" s="2"/>
      <c r="MRL198" s="2"/>
      <c r="MRM198" s="2"/>
      <c r="MRN198" s="2"/>
      <c r="MRO198" s="2"/>
      <c r="MRP198" s="2"/>
      <c r="MRQ198" s="2"/>
      <c r="MRR198" s="2"/>
      <c r="MRS198" s="2"/>
      <c r="MRT198" s="2"/>
      <c r="MRU198" s="2"/>
      <c r="MRV198" s="2"/>
      <c r="MRW198" s="2"/>
      <c r="MRX198" s="2"/>
      <c r="MRY198" s="2"/>
      <c r="MRZ198" s="2"/>
      <c r="MSA198" s="2"/>
      <c r="MSB198" s="2"/>
      <c r="MSC198" s="2"/>
      <c r="MSD198" s="2"/>
      <c r="MSE198" s="2"/>
      <c r="MSF198" s="2"/>
      <c r="MSG198" s="2"/>
      <c r="MSH198" s="2"/>
      <c r="MSI198" s="2"/>
      <c r="MSJ198" s="2"/>
      <c r="MSK198" s="2"/>
      <c r="MSL198" s="2"/>
      <c r="MSM198" s="2"/>
      <c r="MSN198" s="2"/>
      <c r="MSO198" s="2"/>
      <c r="MSP198" s="2"/>
      <c r="MSQ198" s="2"/>
      <c r="MSR198" s="2"/>
      <c r="MSS198" s="2"/>
      <c r="MST198" s="2"/>
      <c r="MSU198" s="2"/>
      <c r="MSV198" s="2"/>
      <c r="MSW198" s="2"/>
      <c r="MSX198" s="2"/>
      <c r="MSY198" s="2"/>
      <c r="MSZ198" s="2"/>
      <c r="MTA198" s="2"/>
      <c r="MTB198" s="2"/>
      <c r="MTC198" s="2"/>
      <c r="MTD198" s="2"/>
      <c r="MTE198" s="2"/>
      <c r="MTF198" s="2"/>
      <c r="MTG198" s="2"/>
      <c r="MTH198" s="2"/>
      <c r="MTI198" s="2"/>
      <c r="MTJ198" s="2"/>
      <c r="MTK198" s="2"/>
      <c r="MTL198" s="2"/>
      <c r="MTM198" s="2"/>
      <c r="MTN198" s="2"/>
      <c r="MTO198" s="2"/>
      <c r="MTP198" s="2"/>
      <c r="MTQ198" s="2"/>
      <c r="MTR198" s="2"/>
      <c r="MTS198" s="2"/>
      <c r="MTT198" s="2"/>
      <c r="MTU198" s="2"/>
      <c r="MTV198" s="2"/>
      <c r="MTW198" s="2"/>
      <c r="MTX198" s="2"/>
      <c r="MTY198" s="2"/>
      <c r="MTZ198" s="2"/>
      <c r="MUA198" s="2"/>
      <c r="MUB198" s="2"/>
      <c r="MUC198" s="2"/>
      <c r="MUD198" s="2"/>
      <c r="MUE198" s="2"/>
      <c r="MUF198" s="2"/>
      <c r="MUG198" s="2"/>
      <c r="MUH198" s="2"/>
      <c r="MUI198" s="2"/>
      <c r="MUJ198" s="2"/>
      <c r="MUK198" s="2"/>
      <c r="MUL198" s="2"/>
      <c r="MUM198" s="2"/>
      <c r="MUN198" s="2"/>
      <c r="MUO198" s="2"/>
      <c r="MUP198" s="2"/>
      <c r="MUQ198" s="2"/>
      <c r="MUR198" s="2"/>
      <c r="MUS198" s="2"/>
      <c r="MUT198" s="2"/>
      <c r="MUU198" s="2"/>
      <c r="MUV198" s="2"/>
      <c r="MUW198" s="2"/>
      <c r="MUX198" s="2"/>
      <c r="MUY198" s="2"/>
      <c r="MUZ198" s="2"/>
      <c r="MVA198" s="2"/>
      <c r="MVB198" s="2"/>
      <c r="MVC198" s="2"/>
      <c r="MVD198" s="2"/>
      <c r="MVE198" s="2"/>
      <c r="MVF198" s="2"/>
      <c r="MVG198" s="2"/>
      <c r="MVH198" s="2"/>
      <c r="MVI198" s="2"/>
      <c r="MVJ198" s="2"/>
      <c r="MVK198" s="2"/>
      <c r="MVL198" s="2"/>
      <c r="MVM198" s="2"/>
      <c r="MVN198" s="2"/>
      <c r="MVO198" s="2"/>
      <c r="MVP198" s="2"/>
      <c r="MVQ198" s="2"/>
      <c r="MVR198" s="2"/>
      <c r="MVS198" s="2"/>
      <c r="MVT198" s="2"/>
      <c r="MVU198" s="2"/>
      <c r="MVV198" s="2"/>
      <c r="MVW198" s="2"/>
      <c r="MVX198" s="2"/>
      <c r="MVY198" s="2"/>
      <c r="MVZ198" s="2"/>
      <c r="MWA198" s="2"/>
      <c r="MWB198" s="2"/>
      <c r="MWC198" s="2"/>
      <c r="MWD198" s="2"/>
      <c r="MWE198" s="2"/>
      <c r="MWF198" s="2"/>
      <c r="MWG198" s="2"/>
      <c r="MWH198" s="2"/>
      <c r="MWI198" s="2"/>
      <c r="MWJ198" s="2"/>
      <c r="MWK198" s="2"/>
      <c r="MWL198" s="2"/>
      <c r="MWM198" s="2"/>
      <c r="MWN198" s="2"/>
      <c r="MWO198" s="2"/>
      <c r="MWP198" s="2"/>
      <c r="MWQ198" s="2"/>
      <c r="MWR198" s="2"/>
      <c r="MWS198" s="2"/>
      <c r="MWT198" s="2"/>
      <c r="MWU198" s="2"/>
      <c r="MWV198" s="2"/>
      <c r="MWW198" s="2"/>
      <c r="MWX198" s="2"/>
      <c r="MWY198" s="2"/>
      <c r="MWZ198" s="2"/>
      <c r="MXA198" s="2"/>
      <c r="MXB198" s="2"/>
      <c r="MXC198" s="2"/>
      <c r="MXD198" s="2"/>
      <c r="MXE198" s="2"/>
      <c r="MXF198" s="2"/>
      <c r="MXG198" s="2"/>
      <c r="MXH198" s="2"/>
      <c r="MXI198" s="2"/>
      <c r="MXJ198" s="2"/>
      <c r="MXK198" s="2"/>
      <c r="MXL198" s="2"/>
      <c r="MXM198" s="2"/>
      <c r="MXN198" s="2"/>
      <c r="MXO198" s="2"/>
      <c r="MXP198" s="2"/>
      <c r="MXQ198" s="2"/>
      <c r="MXR198" s="2"/>
      <c r="MXS198" s="2"/>
      <c r="MXT198" s="2"/>
      <c r="MXU198" s="2"/>
      <c r="MXV198" s="2"/>
      <c r="MXW198" s="2"/>
      <c r="MXX198" s="2"/>
      <c r="MXY198" s="2"/>
      <c r="MXZ198" s="2"/>
      <c r="MYA198" s="2"/>
      <c r="MYB198" s="2"/>
      <c r="MYC198" s="2"/>
      <c r="MYD198" s="2"/>
      <c r="MYE198" s="2"/>
      <c r="MYF198" s="2"/>
      <c r="MYG198" s="2"/>
      <c r="MYH198" s="2"/>
      <c r="MYI198" s="2"/>
      <c r="MYJ198" s="2"/>
      <c r="MYK198" s="2"/>
      <c r="MYL198" s="2"/>
      <c r="MYM198" s="2"/>
      <c r="MYN198" s="2"/>
      <c r="MYO198" s="2"/>
      <c r="MYP198" s="2"/>
      <c r="MYQ198" s="2"/>
      <c r="MYR198" s="2"/>
      <c r="MYS198" s="2"/>
      <c r="MYT198" s="2"/>
      <c r="MYU198" s="2"/>
      <c r="MYV198" s="2"/>
      <c r="MYW198" s="2"/>
      <c r="MYX198" s="2"/>
      <c r="MYY198" s="2"/>
      <c r="MYZ198" s="2"/>
      <c r="MZA198" s="2"/>
      <c r="MZB198" s="2"/>
      <c r="MZC198" s="2"/>
      <c r="MZD198" s="2"/>
      <c r="MZE198" s="2"/>
      <c r="MZF198" s="2"/>
      <c r="MZG198" s="2"/>
      <c r="MZH198" s="2"/>
      <c r="MZI198" s="2"/>
      <c r="MZJ198" s="2"/>
      <c r="MZK198" s="2"/>
      <c r="MZL198" s="2"/>
      <c r="MZM198" s="2"/>
      <c r="MZN198" s="2"/>
      <c r="MZO198" s="2"/>
      <c r="MZP198" s="2"/>
      <c r="MZQ198" s="2"/>
      <c r="MZR198" s="2"/>
      <c r="MZS198" s="2"/>
      <c r="MZT198" s="2"/>
      <c r="MZU198" s="2"/>
      <c r="MZV198" s="2"/>
      <c r="MZW198" s="2"/>
      <c r="MZX198" s="2"/>
      <c r="MZY198" s="2"/>
      <c r="MZZ198" s="2"/>
      <c r="NAA198" s="2"/>
      <c r="NAB198" s="2"/>
      <c r="NAC198" s="2"/>
      <c r="NAD198" s="2"/>
      <c r="NAE198" s="2"/>
      <c r="NAF198" s="2"/>
      <c r="NAG198" s="2"/>
      <c r="NAH198" s="2"/>
      <c r="NAI198" s="2"/>
      <c r="NAJ198" s="2"/>
      <c r="NAK198" s="2"/>
      <c r="NAL198" s="2"/>
      <c r="NAM198" s="2"/>
      <c r="NAN198" s="2"/>
      <c r="NAO198" s="2"/>
      <c r="NAP198" s="2"/>
      <c r="NAQ198" s="2"/>
      <c r="NAR198" s="2"/>
      <c r="NAS198" s="2"/>
      <c r="NAT198" s="2"/>
      <c r="NAU198" s="2"/>
      <c r="NAV198" s="2"/>
      <c r="NAW198" s="2"/>
      <c r="NAX198" s="2"/>
      <c r="NAY198" s="2"/>
      <c r="NAZ198" s="2"/>
      <c r="NBA198" s="2"/>
      <c r="NBB198" s="2"/>
      <c r="NBC198" s="2"/>
      <c r="NBD198" s="2"/>
      <c r="NBE198" s="2"/>
      <c r="NBF198" s="2"/>
      <c r="NBG198" s="2"/>
      <c r="NBH198" s="2"/>
      <c r="NBI198" s="2"/>
      <c r="NBJ198" s="2"/>
      <c r="NBK198" s="2"/>
      <c r="NBL198" s="2"/>
      <c r="NBM198" s="2"/>
      <c r="NBN198" s="2"/>
      <c r="NBO198" s="2"/>
      <c r="NBP198" s="2"/>
      <c r="NBQ198" s="2"/>
      <c r="NBR198" s="2"/>
      <c r="NBS198" s="2"/>
      <c r="NBT198" s="2"/>
      <c r="NBU198" s="2"/>
      <c r="NBV198" s="2"/>
      <c r="NBW198" s="2"/>
      <c r="NBX198" s="2"/>
      <c r="NBY198" s="2"/>
      <c r="NBZ198" s="2"/>
      <c r="NCA198" s="2"/>
      <c r="NCB198" s="2"/>
      <c r="NCC198" s="2"/>
      <c r="NCD198" s="2"/>
      <c r="NCE198" s="2"/>
      <c r="NCF198" s="2"/>
      <c r="NCG198" s="2"/>
      <c r="NCH198" s="2"/>
      <c r="NCI198" s="2"/>
      <c r="NCJ198" s="2"/>
      <c r="NCK198" s="2"/>
      <c r="NCL198" s="2"/>
      <c r="NCM198" s="2"/>
      <c r="NCN198" s="2"/>
      <c r="NCO198" s="2"/>
      <c r="NCP198" s="2"/>
      <c r="NCQ198" s="2"/>
      <c r="NCR198" s="2"/>
      <c r="NCS198" s="2"/>
      <c r="NCT198" s="2"/>
      <c r="NCU198" s="2"/>
      <c r="NCV198" s="2"/>
      <c r="NCW198" s="2"/>
      <c r="NCX198" s="2"/>
      <c r="NCY198" s="2"/>
      <c r="NCZ198" s="2"/>
      <c r="NDA198" s="2"/>
      <c r="NDB198" s="2"/>
      <c r="NDC198" s="2"/>
      <c r="NDD198" s="2"/>
      <c r="NDE198" s="2"/>
      <c r="NDF198" s="2"/>
      <c r="NDG198" s="2"/>
      <c r="NDH198" s="2"/>
      <c r="NDI198" s="2"/>
      <c r="NDJ198" s="2"/>
      <c r="NDK198" s="2"/>
      <c r="NDL198" s="2"/>
      <c r="NDM198" s="2"/>
      <c r="NDN198" s="2"/>
      <c r="NDO198" s="2"/>
      <c r="NDP198" s="2"/>
      <c r="NDQ198" s="2"/>
      <c r="NDR198" s="2"/>
      <c r="NDS198" s="2"/>
      <c r="NDT198" s="2"/>
      <c r="NDU198" s="2"/>
      <c r="NDV198" s="2"/>
      <c r="NDW198" s="2"/>
      <c r="NDX198" s="2"/>
      <c r="NDY198" s="2"/>
      <c r="NDZ198" s="2"/>
      <c r="NEA198" s="2"/>
      <c r="NEB198" s="2"/>
      <c r="NEC198" s="2"/>
      <c r="NED198" s="2"/>
      <c r="NEE198" s="2"/>
      <c r="NEF198" s="2"/>
      <c r="NEG198" s="2"/>
      <c r="NEH198" s="2"/>
      <c r="NEI198" s="2"/>
      <c r="NEJ198" s="2"/>
      <c r="NEK198" s="2"/>
      <c r="NEL198" s="2"/>
      <c r="NEM198" s="2"/>
      <c r="NEN198" s="2"/>
      <c r="NEO198" s="2"/>
      <c r="NEP198" s="2"/>
      <c r="NEQ198" s="2"/>
      <c r="NER198" s="2"/>
      <c r="NES198" s="2"/>
      <c r="NET198" s="2"/>
      <c r="NEU198" s="2"/>
      <c r="NEV198" s="2"/>
      <c r="NEW198" s="2"/>
      <c r="NEX198" s="2"/>
      <c r="NEY198" s="2"/>
      <c r="NEZ198" s="2"/>
      <c r="NFA198" s="2"/>
      <c r="NFB198" s="2"/>
      <c r="NFC198" s="2"/>
      <c r="NFD198" s="2"/>
      <c r="NFE198" s="2"/>
      <c r="NFF198" s="2"/>
      <c r="NFG198" s="2"/>
      <c r="NFH198" s="2"/>
      <c r="NFI198" s="2"/>
      <c r="NFJ198" s="2"/>
      <c r="NFK198" s="2"/>
      <c r="NFL198" s="2"/>
      <c r="NFM198" s="2"/>
      <c r="NFN198" s="2"/>
      <c r="NFO198" s="2"/>
      <c r="NFP198" s="2"/>
      <c r="NFQ198" s="2"/>
      <c r="NFR198" s="2"/>
      <c r="NFS198" s="2"/>
      <c r="NFT198" s="2"/>
      <c r="NFU198" s="2"/>
      <c r="NFV198" s="2"/>
      <c r="NFW198" s="2"/>
      <c r="NFX198" s="2"/>
      <c r="NFY198" s="2"/>
      <c r="NFZ198" s="2"/>
      <c r="NGA198" s="2"/>
      <c r="NGB198" s="2"/>
      <c r="NGC198" s="2"/>
      <c r="NGD198" s="2"/>
      <c r="NGE198" s="2"/>
      <c r="NGF198" s="2"/>
      <c r="NGG198" s="2"/>
      <c r="NGH198" s="2"/>
      <c r="NGI198" s="2"/>
      <c r="NGJ198" s="2"/>
      <c r="NGK198" s="2"/>
      <c r="NGL198" s="2"/>
      <c r="NGM198" s="2"/>
      <c r="NGN198" s="2"/>
      <c r="NGO198" s="2"/>
      <c r="NGP198" s="2"/>
      <c r="NGQ198" s="2"/>
      <c r="NGR198" s="2"/>
      <c r="NGS198" s="2"/>
      <c r="NGT198" s="2"/>
      <c r="NGU198" s="2"/>
      <c r="NGV198" s="2"/>
      <c r="NGW198" s="2"/>
      <c r="NGX198" s="2"/>
      <c r="NGY198" s="2"/>
      <c r="NGZ198" s="2"/>
      <c r="NHA198" s="2"/>
      <c r="NHB198" s="2"/>
      <c r="NHC198" s="2"/>
      <c r="NHD198" s="2"/>
      <c r="NHE198" s="2"/>
      <c r="NHF198" s="2"/>
      <c r="NHG198" s="2"/>
      <c r="NHH198" s="2"/>
      <c r="NHI198" s="2"/>
      <c r="NHJ198" s="2"/>
      <c r="NHK198" s="2"/>
      <c r="NHL198" s="2"/>
      <c r="NHM198" s="2"/>
      <c r="NHN198" s="2"/>
      <c r="NHO198" s="2"/>
      <c r="NHP198" s="2"/>
      <c r="NHQ198" s="2"/>
      <c r="NHR198" s="2"/>
      <c r="NHS198" s="2"/>
      <c r="NHT198" s="2"/>
      <c r="NHU198" s="2"/>
      <c r="NHV198" s="2"/>
      <c r="NHW198" s="2"/>
      <c r="NHX198" s="2"/>
      <c r="NHY198" s="2"/>
      <c r="NHZ198" s="2"/>
      <c r="NIA198" s="2"/>
      <c r="NIB198" s="2"/>
      <c r="NIC198" s="2"/>
      <c r="NID198" s="2"/>
      <c r="NIE198" s="2"/>
      <c r="NIF198" s="2"/>
      <c r="NIG198" s="2"/>
      <c r="NIH198" s="2"/>
      <c r="NII198" s="2"/>
      <c r="NIJ198" s="2"/>
      <c r="NIK198" s="2"/>
      <c r="NIL198" s="2"/>
      <c r="NIM198" s="2"/>
      <c r="NIN198" s="2"/>
      <c r="NIO198" s="2"/>
      <c r="NIP198" s="2"/>
      <c r="NIQ198" s="2"/>
      <c r="NIR198" s="2"/>
      <c r="NIS198" s="2"/>
      <c r="NIT198" s="2"/>
      <c r="NIU198" s="2"/>
      <c r="NIV198" s="2"/>
      <c r="NIW198" s="2"/>
      <c r="NIX198" s="2"/>
      <c r="NIY198" s="2"/>
      <c r="NIZ198" s="2"/>
      <c r="NJA198" s="2"/>
      <c r="NJB198" s="2"/>
      <c r="NJC198" s="2"/>
      <c r="NJD198" s="2"/>
      <c r="NJE198" s="2"/>
      <c r="NJF198" s="2"/>
      <c r="NJG198" s="2"/>
      <c r="NJH198" s="2"/>
      <c r="NJI198" s="2"/>
      <c r="NJJ198" s="2"/>
      <c r="NJK198" s="2"/>
      <c r="NJL198" s="2"/>
      <c r="NJM198" s="2"/>
      <c r="NJN198" s="2"/>
      <c r="NJO198" s="2"/>
      <c r="NJP198" s="2"/>
      <c r="NJQ198" s="2"/>
      <c r="NJR198" s="2"/>
      <c r="NJS198" s="2"/>
      <c r="NJT198" s="2"/>
      <c r="NJU198" s="2"/>
      <c r="NJV198" s="2"/>
      <c r="NJW198" s="2"/>
      <c r="NJX198" s="2"/>
      <c r="NJY198" s="2"/>
      <c r="NJZ198" s="2"/>
      <c r="NKA198" s="2"/>
      <c r="NKB198" s="2"/>
      <c r="NKC198" s="2"/>
      <c r="NKD198" s="2"/>
      <c r="NKE198" s="2"/>
      <c r="NKF198" s="2"/>
      <c r="NKG198" s="2"/>
      <c r="NKH198" s="2"/>
      <c r="NKI198" s="2"/>
      <c r="NKJ198" s="2"/>
      <c r="NKK198" s="2"/>
      <c r="NKL198" s="2"/>
      <c r="NKM198" s="2"/>
      <c r="NKN198" s="2"/>
      <c r="NKO198" s="2"/>
      <c r="NKP198" s="2"/>
      <c r="NKQ198" s="2"/>
      <c r="NKR198" s="2"/>
      <c r="NKS198" s="2"/>
      <c r="NKT198" s="2"/>
      <c r="NKU198" s="2"/>
      <c r="NKV198" s="2"/>
      <c r="NKW198" s="2"/>
      <c r="NKX198" s="2"/>
      <c r="NKY198" s="2"/>
      <c r="NKZ198" s="2"/>
      <c r="NLA198" s="2"/>
      <c r="NLB198" s="2"/>
      <c r="NLC198" s="2"/>
      <c r="NLD198" s="2"/>
      <c r="NLE198" s="2"/>
      <c r="NLF198" s="2"/>
      <c r="NLG198" s="2"/>
      <c r="NLH198" s="2"/>
      <c r="NLI198" s="2"/>
      <c r="NLJ198" s="2"/>
      <c r="NLK198" s="2"/>
      <c r="NLL198" s="2"/>
      <c r="NLM198" s="2"/>
      <c r="NLN198" s="2"/>
      <c r="NLO198" s="2"/>
      <c r="NLP198" s="2"/>
      <c r="NLQ198" s="2"/>
      <c r="NLR198" s="2"/>
      <c r="NLS198" s="2"/>
      <c r="NLT198" s="2"/>
      <c r="NLU198" s="2"/>
      <c r="NLV198" s="2"/>
      <c r="NLW198" s="2"/>
      <c r="NLX198" s="2"/>
      <c r="NLY198" s="2"/>
      <c r="NLZ198" s="2"/>
      <c r="NMA198" s="2"/>
      <c r="NMB198" s="2"/>
      <c r="NMC198" s="2"/>
      <c r="NMD198" s="2"/>
      <c r="NME198" s="2"/>
      <c r="NMF198" s="2"/>
      <c r="NMG198" s="2"/>
      <c r="NMH198" s="2"/>
      <c r="NMI198" s="2"/>
      <c r="NMJ198" s="2"/>
      <c r="NMK198" s="2"/>
      <c r="NML198" s="2"/>
      <c r="NMM198" s="2"/>
      <c r="NMN198" s="2"/>
      <c r="NMO198" s="2"/>
      <c r="NMP198" s="2"/>
      <c r="NMQ198" s="2"/>
      <c r="NMR198" s="2"/>
      <c r="NMS198" s="2"/>
      <c r="NMT198" s="2"/>
      <c r="NMU198" s="2"/>
      <c r="NMV198" s="2"/>
      <c r="NMW198" s="2"/>
      <c r="NMX198" s="2"/>
      <c r="NMY198" s="2"/>
      <c r="NMZ198" s="2"/>
      <c r="NNA198" s="2"/>
      <c r="NNB198" s="2"/>
      <c r="NNC198" s="2"/>
      <c r="NND198" s="2"/>
      <c r="NNE198" s="2"/>
      <c r="NNF198" s="2"/>
      <c r="NNG198" s="2"/>
      <c r="NNH198" s="2"/>
      <c r="NNI198" s="2"/>
      <c r="NNJ198" s="2"/>
      <c r="NNK198" s="2"/>
      <c r="NNL198" s="2"/>
      <c r="NNM198" s="2"/>
      <c r="NNN198" s="2"/>
      <c r="NNO198" s="2"/>
      <c r="NNP198" s="2"/>
      <c r="NNQ198" s="2"/>
      <c r="NNR198" s="2"/>
      <c r="NNS198" s="2"/>
      <c r="NNT198" s="2"/>
      <c r="NNU198" s="2"/>
      <c r="NNV198" s="2"/>
      <c r="NNW198" s="2"/>
      <c r="NNX198" s="2"/>
      <c r="NNY198" s="2"/>
      <c r="NNZ198" s="2"/>
      <c r="NOA198" s="2"/>
      <c r="NOB198" s="2"/>
      <c r="NOC198" s="2"/>
      <c r="NOD198" s="2"/>
      <c r="NOE198" s="2"/>
      <c r="NOF198" s="2"/>
      <c r="NOG198" s="2"/>
      <c r="NOH198" s="2"/>
      <c r="NOI198" s="2"/>
      <c r="NOJ198" s="2"/>
      <c r="NOK198" s="2"/>
      <c r="NOL198" s="2"/>
      <c r="NOM198" s="2"/>
      <c r="NON198" s="2"/>
      <c r="NOO198" s="2"/>
      <c r="NOP198" s="2"/>
      <c r="NOQ198" s="2"/>
      <c r="NOR198" s="2"/>
      <c r="NOS198" s="2"/>
      <c r="NOT198" s="2"/>
      <c r="NOU198" s="2"/>
      <c r="NOV198" s="2"/>
      <c r="NOW198" s="2"/>
      <c r="NOX198" s="2"/>
      <c r="NOY198" s="2"/>
      <c r="NOZ198" s="2"/>
      <c r="NPA198" s="2"/>
      <c r="NPB198" s="2"/>
      <c r="NPC198" s="2"/>
      <c r="NPD198" s="2"/>
      <c r="NPE198" s="2"/>
      <c r="NPF198" s="2"/>
      <c r="NPG198" s="2"/>
      <c r="NPH198" s="2"/>
      <c r="NPI198" s="2"/>
      <c r="NPJ198" s="2"/>
      <c r="NPK198" s="2"/>
      <c r="NPL198" s="2"/>
      <c r="NPM198" s="2"/>
      <c r="NPN198" s="2"/>
      <c r="NPO198" s="2"/>
      <c r="NPP198" s="2"/>
      <c r="NPQ198" s="2"/>
      <c r="NPR198" s="2"/>
      <c r="NPS198" s="2"/>
      <c r="NPT198" s="2"/>
      <c r="NPU198" s="2"/>
      <c r="NPV198" s="2"/>
      <c r="NPW198" s="2"/>
      <c r="NPX198" s="2"/>
      <c r="NPY198" s="2"/>
      <c r="NPZ198" s="2"/>
      <c r="NQA198" s="2"/>
      <c r="NQB198" s="2"/>
      <c r="NQC198" s="2"/>
      <c r="NQD198" s="2"/>
      <c r="NQE198" s="2"/>
      <c r="NQF198" s="2"/>
      <c r="NQG198" s="2"/>
      <c r="NQH198" s="2"/>
      <c r="NQI198" s="2"/>
      <c r="NQJ198" s="2"/>
      <c r="NQK198" s="2"/>
      <c r="NQL198" s="2"/>
      <c r="NQM198" s="2"/>
      <c r="NQN198" s="2"/>
      <c r="NQO198" s="2"/>
      <c r="NQP198" s="2"/>
      <c r="NQQ198" s="2"/>
      <c r="NQR198" s="2"/>
      <c r="NQS198" s="2"/>
      <c r="NQT198" s="2"/>
      <c r="NQU198" s="2"/>
      <c r="NQV198" s="2"/>
      <c r="NQW198" s="2"/>
      <c r="NQX198" s="2"/>
      <c r="NQY198" s="2"/>
      <c r="NQZ198" s="2"/>
      <c r="NRA198" s="2"/>
      <c r="NRB198" s="2"/>
      <c r="NRC198" s="2"/>
      <c r="NRD198" s="2"/>
      <c r="NRE198" s="2"/>
      <c r="NRF198" s="2"/>
      <c r="NRG198" s="2"/>
      <c r="NRH198" s="2"/>
      <c r="NRI198" s="2"/>
      <c r="NRJ198" s="2"/>
      <c r="NRK198" s="2"/>
      <c r="NRL198" s="2"/>
      <c r="NRM198" s="2"/>
      <c r="NRN198" s="2"/>
      <c r="NRO198" s="2"/>
      <c r="NRP198" s="2"/>
      <c r="NRQ198" s="2"/>
      <c r="NRR198" s="2"/>
      <c r="NRS198" s="2"/>
      <c r="NRT198" s="2"/>
      <c r="NRU198" s="2"/>
      <c r="NRV198" s="2"/>
      <c r="NRW198" s="2"/>
      <c r="NRX198" s="2"/>
      <c r="NRY198" s="2"/>
      <c r="NRZ198" s="2"/>
      <c r="NSA198" s="2"/>
      <c r="NSB198" s="2"/>
      <c r="NSC198" s="2"/>
      <c r="NSD198" s="2"/>
      <c r="NSE198" s="2"/>
      <c r="NSF198" s="2"/>
      <c r="NSG198" s="2"/>
      <c r="NSH198" s="2"/>
      <c r="NSI198" s="2"/>
      <c r="NSJ198" s="2"/>
      <c r="NSK198" s="2"/>
      <c r="NSL198" s="2"/>
      <c r="NSM198" s="2"/>
      <c r="NSN198" s="2"/>
      <c r="NSO198" s="2"/>
      <c r="NSP198" s="2"/>
      <c r="NSQ198" s="2"/>
      <c r="NSR198" s="2"/>
      <c r="NSS198" s="2"/>
      <c r="NST198" s="2"/>
      <c r="NSU198" s="2"/>
      <c r="NSV198" s="2"/>
      <c r="NSW198" s="2"/>
      <c r="NSX198" s="2"/>
      <c r="NSY198" s="2"/>
      <c r="NSZ198" s="2"/>
      <c r="NTA198" s="2"/>
      <c r="NTB198" s="2"/>
      <c r="NTC198" s="2"/>
      <c r="NTD198" s="2"/>
      <c r="NTE198" s="2"/>
      <c r="NTF198" s="2"/>
      <c r="NTG198" s="2"/>
      <c r="NTH198" s="2"/>
      <c r="NTI198" s="2"/>
      <c r="NTJ198" s="2"/>
      <c r="NTK198" s="2"/>
      <c r="NTL198" s="2"/>
      <c r="NTM198" s="2"/>
      <c r="NTN198" s="2"/>
      <c r="NTO198" s="2"/>
      <c r="NTP198" s="2"/>
      <c r="NTQ198" s="2"/>
      <c r="NTR198" s="2"/>
      <c r="NTS198" s="2"/>
      <c r="NTT198" s="2"/>
      <c r="NTU198" s="2"/>
      <c r="NTV198" s="2"/>
      <c r="NTW198" s="2"/>
      <c r="NTX198" s="2"/>
      <c r="NTY198" s="2"/>
      <c r="NTZ198" s="2"/>
      <c r="NUA198" s="2"/>
      <c r="NUB198" s="2"/>
      <c r="NUC198" s="2"/>
      <c r="NUD198" s="2"/>
      <c r="NUE198" s="2"/>
      <c r="NUF198" s="2"/>
      <c r="NUG198" s="2"/>
      <c r="NUH198" s="2"/>
      <c r="NUI198" s="2"/>
      <c r="NUJ198" s="2"/>
      <c r="NUK198" s="2"/>
      <c r="NUL198" s="2"/>
      <c r="NUM198" s="2"/>
      <c r="NUN198" s="2"/>
      <c r="NUO198" s="2"/>
      <c r="NUP198" s="2"/>
      <c r="NUQ198" s="2"/>
      <c r="NUR198" s="2"/>
      <c r="NUS198" s="2"/>
      <c r="NUT198" s="2"/>
      <c r="NUU198" s="2"/>
      <c r="NUV198" s="2"/>
      <c r="NUW198" s="2"/>
      <c r="NUX198" s="2"/>
      <c r="NUY198" s="2"/>
      <c r="NUZ198" s="2"/>
      <c r="NVA198" s="2"/>
      <c r="NVB198" s="2"/>
      <c r="NVC198" s="2"/>
      <c r="NVD198" s="2"/>
      <c r="NVE198" s="2"/>
      <c r="NVF198" s="2"/>
      <c r="NVG198" s="2"/>
      <c r="NVH198" s="2"/>
      <c r="NVI198" s="2"/>
      <c r="NVJ198" s="2"/>
      <c r="NVK198" s="2"/>
      <c r="NVL198" s="2"/>
      <c r="NVM198" s="2"/>
      <c r="NVN198" s="2"/>
      <c r="NVO198" s="2"/>
      <c r="NVP198" s="2"/>
      <c r="NVQ198" s="2"/>
      <c r="NVR198" s="2"/>
      <c r="NVS198" s="2"/>
      <c r="NVT198" s="2"/>
      <c r="NVU198" s="2"/>
      <c r="NVV198" s="2"/>
      <c r="NVW198" s="2"/>
      <c r="NVX198" s="2"/>
      <c r="NVY198" s="2"/>
      <c r="NVZ198" s="2"/>
      <c r="NWA198" s="2"/>
      <c r="NWB198" s="2"/>
      <c r="NWC198" s="2"/>
      <c r="NWD198" s="2"/>
      <c r="NWE198" s="2"/>
      <c r="NWF198" s="2"/>
      <c r="NWG198" s="2"/>
      <c r="NWH198" s="2"/>
      <c r="NWI198" s="2"/>
      <c r="NWJ198" s="2"/>
      <c r="NWK198" s="2"/>
      <c r="NWL198" s="2"/>
      <c r="NWM198" s="2"/>
      <c r="NWN198" s="2"/>
      <c r="NWO198" s="2"/>
      <c r="NWP198" s="2"/>
      <c r="NWQ198" s="2"/>
      <c r="NWR198" s="2"/>
      <c r="NWS198" s="2"/>
      <c r="NWT198" s="2"/>
      <c r="NWU198" s="2"/>
      <c r="NWV198" s="2"/>
      <c r="NWW198" s="2"/>
      <c r="NWX198" s="2"/>
      <c r="NWY198" s="2"/>
      <c r="NWZ198" s="2"/>
      <c r="NXA198" s="2"/>
      <c r="NXB198" s="2"/>
      <c r="NXC198" s="2"/>
      <c r="NXD198" s="2"/>
      <c r="NXE198" s="2"/>
      <c r="NXF198" s="2"/>
      <c r="NXG198" s="2"/>
      <c r="NXH198" s="2"/>
      <c r="NXI198" s="2"/>
      <c r="NXJ198" s="2"/>
      <c r="NXK198" s="2"/>
      <c r="NXL198" s="2"/>
      <c r="NXM198" s="2"/>
      <c r="NXN198" s="2"/>
      <c r="NXO198" s="2"/>
      <c r="NXP198" s="2"/>
      <c r="NXQ198" s="2"/>
      <c r="NXR198" s="2"/>
      <c r="NXS198" s="2"/>
      <c r="NXT198" s="2"/>
      <c r="NXU198" s="2"/>
      <c r="NXV198" s="2"/>
      <c r="NXW198" s="2"/>
      <c r="NXX198" s="2"/>
      <c r="NXY198" s="2"/>
      <c r="NXZ198" s="2"/>
      <c r="NYA198" s="2"/>
      <c r="NYB198" s="2"/>
      <c r="NYC198" s="2"/>
      <c r="NYD198" s="2"/>
      <c r="NYE198" s="2"/>
      <c r="NYF198" s="2"/>
      <c r="NYG198" s="2"/>
      <c r="NYH198" s="2"/>
      <c r="NYI198" s="2"/>
      <c r="NYJ198" s="2"/>
      <c r="NYK198" s="2"/>
      <c r="NYL198" s="2"/>
      <c r="NYM198" s="2"/>
      <c r="NYN198" s="2"/>
      <c r="NYO198" s="2"/>
      <c r="NYP198" s="2"/>
      <c r="NYQ198" s="2"/>
      <c r="NYR198" s="2"/>
      <c r="NYS198" s="2"/>
      <c r="NYT198" s="2"/>
      <c r="NYU198" s="2"/>
      <c r="NYV198" s="2"/>
      <c r="NYW198" s="2"/>
      <c r="NYX198" s="2"/>
      <c r="NYY198" s="2"/>
      <c r="NYZ198" s="2"/>
      <c r="NZA198" s="2"/>
      <c r="NZB198" s="2"/>
      <c r="NZC198" s="2"/>
      <c r="NZD198" s="2"/>
      <c r="NZE198" s="2"/>
      <c r="NZF198" s="2"/>
      <c r="NZG198" s="2"/>
      <c r="NZH198" s="2"/>
      <c r="NZI198" s="2"/>
      <c r="NZJ198" s="2"/>
      <c r="NZK198" s="2"/>
      <c r="NZL198" s="2"/>
      <c r="NZM198" s="2"/>
      <c r="NZN198" s="2"/>
      <c r="NZO198" s="2"/>
      <c r="NZP198" s="2"/>
      <c r="NZQ198" s="2"/>
      <c r="NZR198" s="2"/>
      <c r="NZS198" s="2"/>
      <c r="NZT198" s="2"/>
      <c r="NZU198" s="2"/>
      <c r="NZV198" s="2"/>
      <c r="NZW198" s="2"/>
      <c r="NZX198" s="2"/>
      <c r="NZY198" s="2"/>
      <c r="NZZ198" s="2"/>
      <c r="OAA198" s="2"/>
      <c r="OAB198" s="2"/>
      <c r="OAC198" s="2"/>
      <c r="OAD198" s="2"/>
      <c r="OAE198" s="2"/>
      <c r="OAF198" s="2"/>
      <c r="OAG198" s="2"/>
      <c r="OAH198" s="2"/>
      <c r="OAI198" s="2"/>
      <c r="OAJ198" s="2"/>
      <c r="OAK198" s="2"/>
      <c r="OAL198" s="2"/>
      <c r="OAM198" s="2"/>
      <c r="OAN198" s="2"/>
      <c r="OAO198" s="2"/>
      <c r="OAP198" s="2"/>
      <c r="OAQ198" s="2"/>
      <c r="OAR198" s="2"/>
      <c r="OAS198" s="2"/>
      <c r="OAT198" s="2"/>
      <c r="OAU198" s="2"/>
      <c r="OAV198" s="2"/>
      <c r="OAW198" s="2"/>
      <c r="OAX198" s="2"/>
      <c r="OAY198" s="2"/>
      <c r="OAZ198" s="2"/>
      <c r="OBA198" s="2"/>
      <c r="OBB198" s="2"/>
      <c r="OBC198" s="2"/>
      <c r="OBD198" s="2"/>
      <c r="OBE198" s="2"/>
      <c r="OBF198" s="2"/>
      <c r="OBG198" s="2"/>
      <c r="OBH198" s="2"/>
      <c r="OBI198" s="2"/>
      <c r="OBJ198" s="2"/>
      <c r="OBK198" s="2"/>
      <c r="OBL198" s="2"/>
      <c r="OBM198" s="2"/>
      <c r="OBN198" s="2"/>
      <c r="OBO198" s="2"/>
      <c r="OBP198" s="2"/>
      <c r="OBQ198" s="2"/>
      <c r="OBR198" s="2"/>
      <c r="OBS198" s="2"/>
      <c r="OBT198" s="2"/>
      <c r="OBU198" s="2"/>
      <c r="OBV198" s="2"/>
      <c r="OBW198" s="2"/>
      <c r="OBX198" s="2"/>
      <c r="OBY198" s="2"/>
      <c r="OBZ198" s="2"/>
      <c r="OCA198" s="2"/>
      <c r="OCB198" s="2"/>
      <c r="OCC198" s="2"/>
      <c r="OCD198" s="2"/>
      <c r="OCE198" s="2"/>
      <c r="OCF198" s="2"/>
      <c r="OCG198" s="2"/>
      <c r="OCH198" s="2"/>
      <c r="OCI198" s="2"/>
      <c r="OCJ198" s="2"/>
      <c r="OCK198" s="2"/>
      <c r="OCL198" s="2"/>
      <c r="OCM198" s="2"/>
      <c r="OCN198" s="2"/>
      <c r="OCO198" s="2"/>
      <c r="OCP198" s="2"/>
      <c r="OCQ198" s="2"/>
      <c r="OCR198" s="2"/>
      <c r="OCS198" s="2"/>
      <c r="OCT198" s="2"/>
      <c r="OCU198" s="2"/>
      <c r="OCV198" s="2"/>
      <c r="OCW198" s="2"/>
      <c r="OCX198" s="2"/>
      <c r="OCY198" s="2"/>
      <c r="OCZ198" s="2"/>
      <c r="ODA198" s="2"/>
      <c r="ODB198" s="2"/>
      <c r="ODC198" s="2"/>
      <c r="ODD198" s="2"/>
      <c r="ODE198" s="2"/>
      <c r="ODF198" s="2"/>
      <c r="ODG198" s="2"/>
      <c r="ODH198" s="2"/>
      <c r="ODI198" s="2"/>
      <c r="ODJ198" s="2"/>
      <c r="ODK198" s="2"/>
      <c r="ODL198" s="2"/>
      <c r="ODM198" s="2"/>
      <c r="ODN198" s="2"/>
      <c r="ODO198" s="2"/>
      <c r="ODP198" s="2"/>
      <c r="ODQ198" s="2"/>
      <c r="ODR198" s="2"/>
      <c r="ODS198" s="2"/>
      <c r="ODT198" s="2"/>
      <c r="ODU198" s="2"/>
      <c r="ODV198" s="2"/>
      <c r="ODW198" s="2"/>
      <c r="ODX198" s="2"/>
      <c r="ODY198" s="2"/>
      <c r="ODZ198" s="2"/>
      <c r="OEA198" s="2"/>
      <c r="OEB198" s="2"/>
      <c r="OEC198" s="2"/>
      <c r="OED198" s="2"/>
      <c r="OEE198" s="2"/>
      <c r="OEF198" s="2"/>
      <c r="OEG198" s="2"/>
      <c r="OEH198" s="2"/>
      <c r="OEI198" s="2"/>
      <c r="OEJ198" s="2"/>
      <c r="OEK198" s="2"/>
      <c r="OEL198" s="2"/>
      <c r="OEM198" s="2"/>
      <c r="OEN198" s="2"/>
      <c r="OEO198" s="2"/>
      <c r="OEP198" s="2"/>
      <c r="OEQ198" s="2"/>
      <c r="OER198" s="2"/>
      <c r="OES198" s="2"/>
      <c r="OET198" s="2"/>
      <c r="OEU198" s="2"/>
      <c r="OEV198" s="2"/>
      <c r="OEW198" s="2"/>
      <c r="OEX198" s="2"/>
      <c r="OEY198" s="2"/>
      <c r="OEZ198" s="2"/>
      <c r="OFA198" s="2"/>
      <c r="OFB198" s="2"/>
      <c r="OFC198" s="2"/>
      <c r="OFD198" s="2"/>
      <c r="OFE198" s="2"/>
      <c r="OFF198" s="2"/>
      <c r="OFG198" s="2"/>
      <c r="OFH198" s="2"/>
      <c r="OFI198" s="2"/>
      <c r="OFJ198" s="2"/>
      <c r="OFK198" s="2"/>
      <c r="OFL198" s="2"/>
      <c r="OFM198" s="2"/>
      <c r="OFN198" s="2"/>
      <c r="OFO198" s="2"/>
      <c r="OFP198" s="2"/>
      <c r="OFQ198" s="2"/>
      <c r="OFR198" s="2"/>
      <c r="OFS198" s="2"/>
      <c r="OFT198" s="2"/>
      <c r="OFU198" s="2"/>
      <c r="OFV198" s="2"/>
      <c r="OFW198" s="2"/>
      <c r="OFX198" s="2"/>
      <c r="OFY198" s="2"/>
      <c r="OFZ198" s="2"/>
      <c r="OGA198" s="2"/>
      <c r="OGB198" s="2"/>
      <c r="OGC198" s="2"/>
      <c r="OGD198" s="2"/>
      <c r="OGE198" s="2"/>
      <c r="OGF198" s="2"/>
      <c r="OGG198" s="2"/>
      <c r="OGH198" s="2"/>
      <c r="OGI198" s="2"/>
      <c r="OGJ198" s="2"/>
      <c r="OGK198" s="2"/>
      <c r="OGL198" s="2"/>
      <c r="OGM198" s="2"/>
      <c r="OGN198" s="2"/>
      <c r="OGO198" s="2"/>
      <c r="OGP198" s="2"/>
      <c r="OGQ198" s="2"/>
      <c r="OGR198" s="2"/>
      <c r="OGS198" s="2"/>
      <c r="OGT198" s="2"/>
      <c r="OGU198" s="2"/>
      <c r="OGV198" s="2"/>
      <c r="OGW198" s="2"/>
      <c r="OGX198" s="2"/>
      <c r="OGY198" s="2"/>
      <c r="OGZ198" s="2"/>
      <c r="OHA198" s="2"/>
      <c r="OHB198" s="2"/>
      <c r="OHC198" s="2"/>
      <c r="OHD198" s="2"/>
      <c r="OHE198" s="2"/>
      <c r="OHF198" s="2"/>
      <c r="OHG198" s="2"/>
      <c r="OHH198" s="2"/>
      <c r="OHI198" s="2"/>
      <c r="OHJ198" s="2"/>
      <c r="OHK198" s="2"/>
      <c r="OHL198" s="2"/>
      <c r="OHM198" s="2"/>
      <c r="OHN198" s="2"/>
      <c r="OHO198" s="2"/>
      <c r="OHP198" s="2"/>
      <c r="OHQ198" s="2"/>
      <c r="OHR198" s="2"/>
      <c r="OHS198" s="2"/>
      <c r="OHT198" s="2"/>
      <c r="OHU198" s="2"/>
      <c r="OHV198" s="2"/>
      <c r="OHW198" s="2"/>
      <c r="OHX198" s="2"/>
      <c r="OHY198" s="2"/>
      <c r="OHZ198" s="2"/>
      <c r="OIA198" s="2"/>
      <c r="OIB198" s="2"/>
      <c r="OIC198" s="2"/>
      <c r="OID198" s="2"/>
      <c r="OIE198" s="2"/>
      <c r="OIF198" s="2"/>
      <c r="OIG198" s="2"/>
      <c r="OIH198" s="2"/>
      <c r="OII198" s="2"/>
      <c r="OIJ198" s="2"/>
      <c r="OIK198" s="2"/>
      <c r="OIL198" s="2"/>
      <c r="OIM198" s="2"/>
      <c r="OIN198" s="2"/>
      <c r="OIO198" s="2"/>
      <c r="OIP198" s="2"/>
      <c r="OIQ198" s="2"/>
      <c r="OIR198" s="2"/>
      <c r="OIS198" s="2"/>
      <c r="OIT198" s="2"/>
      <c r="OIU198" s="2"/>
      <c r="OIV198" s="2"/>
      <c r="OIW198" s="2"/>
      <c r="OIX198" s="2"/>
      <c r="OIY198" s="2"/>
      <c r="OIZ198" s="2"/>
      <c r="OJA198" s="2"/>
      <c r="OJB198" s="2"/>
      <c r="OJC198" s="2"/>
      <c r="OJD198" s="2"/>
      <c r="OJE198" s="2"/>
      <c r="OJF198" s="2"/>
      <c r="OJG198" s="2"/>
      <c r="OJH198" s="2"/>
      <c r="OJI198" s="2"/>
      <c r="OJJ198" s="2"/>
      <c r="OJK198" s="2"/>
      <c r="OJL198" s="2"/>
      <c r="OJM198" s="2"/>
      <c r="OJN198" s="2"/>
      <c r="OJO198" s="2"/>
      <c r="OJP198" s="2"/>
      <c r="OJQ198" s="2"/>
      <c r="OJR198" s="2"/>
      <c r="OJS198" s="2"/>
      <c r="OJT198" s="2"/>
      <c r="OJU198" s="2"/>
      <c r="OJV198" s="2"/>
      <c r="OJW198" s="2"/>
      <c r="OJX198" s="2"/>
      <c r="OJY198" s="2"/>
      <c r="OJZ198" s="2"/>
      <c r="OKA198" s="2"/>
      <c r="OKB198" s="2"/>
      <c r="OKC198" s="2"/>
      <c r="OKD198" s="2"/>
      <c r="OKE198" s="2"/>
      <c r="OKF198" s="2"/>
      <c r="OKG198" s="2"/>
      <c r="OKH198" s="2"/>
      <c r="OKI198" s="2"/>
      <c r="OKJ198" s="2"/>
      <c r="OKK198" s="2"/>
      <c r="OKL198" s="2"/>
      <c r="OKM198" s="2"/>
      <c r="OKN198" s="2"/>
      <c r="OKO198" s="2"/>
      <c r="OKP198" s="2"/>
      <c r="OKQ198" s="2"/>
      <c r="OKR198" s="2"/>
      <c r="OKS198" s="2"/>
      <c r="OKT198" s="2"/>
      <c r="OKU198" s="2"/>
      <c r="OKV198" s="2"/>
      <c r="OKW198" s="2"/>
      <c r="OKX198" s="2"/>
      <c r="OKY198" s="2"/>
      <c r="OKZ198" s="2"/>
      <c r="OLA198" s="2"/>
      <c r="OLB198" s="2"/>
      <c r="OLC198" s="2"/>
      <c r="OLD198" s="2"/>
      <c r="OLE198" s="2"/>
      <c r="OLF198" s="2"/>
      <c r="OLG198" s="2"/>
      <c r="OLH198" s="2"/>
      <c r="OLI198" s="2"/>
      <c r="OLJ198" s="2"/>
      <c r="OLK198" s="2"/>
      <c r="OLL198" s="2"/>
      <c r="OLM198" s="2"/>
      <c r="OLN198" s="2"/>
      <c r="OLO198" s="2"/>
      <c r="OLP198" s="2"/>
      <c r="OLQ198" s="2"/>
      <c r="OLR198" s="2"/>
      <c r="OLS198" s="2"/>
      <c r="OLT198" s="2"/>
      <c r="OLU198" s="2"/>
      <c r="OLV198" s="2"/>
      <c r="OLW198" s="2"/>
      <c r="OLX198" s="2"/>
      <c r="OLY198" s="2"/>
      <c r="OLZ198" s="2"/>
      <c r="OMA198" s="2"/>
      <c r="OMB198" s="2"/>
      <c r="OMC198" s="2"/>
      <c r="OMD198" s="2"/>
      <c r="OME198" s="2"/>
      <c r="OMF198" s="2"/>
      <c r="OMG198" s="2"/>
      <c r="OMH198" s="2"/>
      <c r="OMI198" s="2"/>
      <c r="OMJ198" s="2"/>
      <c r="OMK198" s="2"/>
      <c r="OML198" s="2"/>
      <c r="OMM198" s="2"/>
      <c r="OMN198" s="2"/>
      <c r="OMO198" s="2"/>
      <c r="OMP198" s="2"/>
      <c r="OMQ198" s="2"/>
      <c r="OMR198" s="2"/>
      <c r="OMS198" s="2"/>
      <c r="OMT198" s="2"/>
      <c r="OMU198" s="2"/>
      <c r="OMV198" s="2"/>
      <c r="OMW198" s="2"/>
      <c r="OMX198" s="2"/>
      <c r="OMY198" s="2"/>
      <c r="OMZ198" s="2"/>
      <c r="ONA198" s="2"/>
      <c r="ONB198" s="2"/>
      <c r="ONC198" s="2"/>
      <c r="OND198" s="2"/>
      <c r="ONE198" s="2"/>
      <c r="ONF198" s="2"/>
      <c r="ONG198" s="2"/>
      <c r="ONH198" s="2"/>
      <c r="ONI198" s="2"/>
      <c r="ONJ198" s="2"/>
      <c r="ONK198" s="2"/>
      <c r="ONL198" s="2"/>
      <c r="ONM198" s="2"/>
      <c r="ONN198" s="2"/>
      <c r="ONO198" s="2"/>
      <c r="ONP198" s="2"/>
      <c r="ONQ198" s="2"/>
      <c r="ONR198" s="2"/>
      <c r="ONS198" s="2"/>
      <c r="ONT198" s="2"/>
      <c r="ONU198" s="2"/>
      <c r="ONV198" s="2"/>
      <c r="ONW198" s="2"/>
      <c r="ONX198" s="2"/>
      <c r="ONY198" s="2"/>
      <c r="ONZ198" s="2"/>
      <c r="OOA198" s="2"/>
      <c r="OOB198" s="2"/>
      <c r="OOC198" s="2"/>
      <c r="OOD198" s="2"/>
      <c r="OOE198" s="2"/>
      <c r="OOF198" s="2"/>
      <c r="OOG198" s="2"/>
      <c r="OOH198" s="2"/>
      <c r="OOI198" s="2"/>
      <c r="OOJ198" s="2"/>
      <c r="OOK198" s="2"/>
      <c r="OOL198" s="2"/>
      <c r="OOM198" s="2"/>
      <c r="OON198" s="2"/>
      <c r="OOO198" s="2"/>
      <c r="OOP198" s="2"/>
      <c r="OOQ198" s="2"/>
      <c r="OOR198" s="2"/>
      <c r="OOS198" s="2"/>
      <c r="OOT198" s="2"/>
      <c r="OOU198" s="2"/>
      <c r="OOV198" s="2"/>
      <c r="OOW198" s="2"/>
      <c r="OOX198" s="2"/>
      <c r="OOY198" s="2"/>
      <c r="OOZ198" s="2"/>
      <c r="OPA198" s="2"/>
      <c r="OPB198" s="2"/>
      <c r="OPC198" s="2"/>
      <c r="OPD198" s="2"/>
      <c r="OPE198" s="2"/>
      <c r="OPF198" s="2"/>
      <c r="OPG198" s="2"/>
      <c r="OPH198" s="2"/>
      <c r="OPI198" s="2"/>
      <c r="OPJ198" s="2"/>
      <c r="OPK198" s="2"/>
      <c r="OPL198" s="2"/>
      <c r="OPM198" s="2"/>
      <c r="OPN198" s="2"/>
      <c r="OPO198" s="2"/>
      <c r="OPP198" s="2"/>
      <c r="OPQ198" s="2"/>
      <c r="OPR198" s="2"/>
      <c r="OPS198" s="2"/>
      <c r="OPT198" s="2"/>
      <c r="OPU198" s="2"/>
      <c r="OPV198" s="2"/>
      <c r="OPW198" s="2"/>
      <c r="OPX198" s="2"/>
      <c r="OPY198" s="2"/>
      <c r="OPZ198" s="2"/>
      <c r="OQA198" s="2"/>
      <c r="OQB198" s="2"/>
      <c r="OQC198" s="2"/>
      <c r="OQD198" s="2"/>
      <c r="OQE198" s="2"/>
      <c r="OQF198" s="2"/>
      <c r="OQG198" s="2"/>
      <c r="OQH198" s="2"/>
      <c r="OQI198" s="2"/>
      <c r="OQJ198" s="2"/>
      <c r="OQK198" s="2"/>
      <c r="OQL198" s="2"/>
      <c r="OQM198" s="2"/>
      <c r="OQN198" s="2"/>
      <c r="OQO198" s="2"/>
      <c r="OQP198" s="2"/>
      <c r="OQQ198" s="2"/>
      <c r="OQR198" s="2"/>
      <c r="OQS198" s="2"/>
      <c r="OQT198" s="2"/>
      <c r="OQU198" s="2"/>
      <c r="OQV198" s="2"/>
      <c r="OQW198" s="2"/>
      <c r="OQX198" s="2"/>
      <c r="OQY198" s="2"/>
      <c r="OQZ198" s="2"/>
      <c r="ORA198" s="2"/>
      <c r="ORB198" s="2"/>
      <c r="ORC198" s="2"/>
      <c r="ORD198" s="2"/>
      <c r="ORE198" s="2"/>
      <c r="ORF198" s="2"/>
      <c r="ORG198" s="2"/>
      <c r="ORH198" s="2"/>
      <c r="ORI198" s="2"/>
      <c r="ORJ198" s="2"/>
      <c r="ORK198" s="2"/>
      <c r="ORL198" s="2"/>
      <c r="ORM198" s="2"/>
      <c r="ORN198" s="2"/>
      <c r="ORO198" s="2"/>
      <c r="ORP198" s="2"/>
      <c r="ORQ198" s="2"/>
      <c r="ORR198" s="2"/>
      <c r="ORS198" s="2"/>
      <c r="ORT198" s="2"/>
      <c r="ORU198" s="2"/>
      <c r="ORV198" s="2"/>
      <c r="ORW198" s="2"/>
      <c r="ORX198" s="2"/>
      <c r="ORY198" s="2"/>
      <c r="ORZ198" s="2"/>
      <c r="OSA198" s="2"/>
      <c r="OSB198" s="2"/>
      <c r="OSC198" s="2"/>
      <c r="OSD198" s="2"/>
      <c r="OSE198" s="2"/>
      <c r="OSF198" s="2"/>
      <c r="OSG198" s="2"/>
      <c r="OSH198" s="2"/>
      <c r="OSI198" s="2"/>
      <c r="OSJ198" s="2"/>
      <c r="OSK198" s="2"/>
      <c r="OSL198" s="2"/>
      <c r="OSM198" s="2"/>
      <c r="OSN198" s="2"/>
      <c r="OSO198" s="2"/>
      <c r="OSP198" s="2"/>
      <c r="OSQ198" s="2"/>
      <c r="OSR198" s="2"/>
      <c r="OSS198" s="2"/>
      <c r="OST198" s="2"/>
      <c r="OSU198" s="2"/>
      <c r="OSV198" s="2"/>
      <c r="OSW198" s="2"/>
      <c r="OSX198" s="2"/>
      <c r="OSY198" s="2"/>
      <c r="OSZ198" s="2"/>
      <c r="OTA198" s="2"/>
      <c r="OTB198" s="2"/>
      <c r="OTC198" s="2"/>
      <c r="OTD198" s="2"/>
      <c r="OTE198" s="2"/>
      <c r="OTF198" s="2"/>
      <c r="OTG198" s="2"/>
      <c r="OTH198" s="2"/>
      <c r="OTI198" s="2"/>
      <c r="OTJ198" s="2"/>
      <c r="OTK198" s="2"/>
      <c r="OTL198" s="2"/>
      <c r="OTM198" s="2"/>
      <c r="OTN198" s="2"/>
      <c r="OTO198" s="2"/>
      <c r="OTP198" s="2"/>
      <c r="OTQ198" s="2"/>
      <c r="OTR198" s="2"/>
      <c r="OTS198" s="2"/>
      <c r="OTT198" s="2"/>
      <c r="OTU198" s="2"/>
      <c r="OTV198" s="2"/>
      <c r="OTW198" s="2"/>
      <c r="OTX198" s="2"/>
      <c r="OTY198" s="2"/>
      <c r="OTZ198" s="2"/>
      <c r="OUA198" s="2"/>
      <c r="OUB198" s="2"/>
      <c r="OUC198" s="2"/>
      <c r="OUD198" s="2"/>
      <c r="OUE198" s="2"/>
      <c r="OUF198" s="2"/>
      <c r="OUG198" s="2"/>
      <c r="OUH198" s="2"/>
      <c r="OUI198" s="2"/>
      <c r="OUJ198" s="2"/>
      <c r="OUK198" s="2"/>
      <c r="OUL198" s="2"/>
      <c r="OUM198" s="2"/>
      <c r="OUN198" s="2"/>
      <c r="OUO198" s="2"/>
      <c r="OUP198" s="2"/>
      <c r="OUQ198" s="2"/>
      <c r="OUR198" s="2"/>
      <c r="OUS198" s="2"/>
      <c r="OUT198" s="2"/>
      <c r="OUU198" s="2"/>
      <c r="OUV198" s="2"/>
      <c r="OUW198" s="2"/>
      <c r="OUX198" s="2"/>
      <c r="OUY198" s="2"/>
      <c r="OUZ198" s="2"/>
      <c r="OVA198" s="2"/>
      <c r="OVB198" s="2"/>
      <c r="OVC198" s="2"/>
      <c r="OVD198" s="2"/>
      <c r="OVE198" s="2"/>
      <c r="OVF198" s="2"/>
      <c r="OVG198" s="2"/>
      <c r="OVH198" s="2"/>
      <c r="OVI198" s="2"/>
      <c r="OVJ198" s="2"/>
      <c r="OVK198" s="2"/>
      <c r="OVL198" s="2"/>
      <c r="OVM198" s="2"/>
      <c r="OVN198" s="2"/>
      <c r="OVO198" s="2"/>
      <c r="OVP198" s="2"/>
      <c r="OVQ198" s="2"/>
      <c r="OVR198" s="2"/>
      <c r="OVS198" s="2"/>
      <c r="OVT198" s="2"/>
      <c r="OVU198" s="2"/>
      <c r="OVV198" s="2"/>
      <c r="OVW198" s="2"/>
      <c r="OVX198" s="2"/>
      <c r="OVY198" s="2"/>
      <c r="OVZ198" s="2"/>
      <c r="OWA198" s="2"/>
      <c r="OWB198" s="2"/>
      <c r="OWC198" s="2"/>
      <c r="OWD198" s="2"/>
      <c r="OWE198" s="2"/>
      <c r="OWF198" s="2"/>
      <c r="OWG198" s="2"/>
      <c r="OWH198" s="2"/>
      <c r="OWI198" s="2"/>
      <c r="OWJ198" s="2"/>
      <c r="OWK198" s="2"/>
      <c r="OWL198" s="2"/>
      <c r="OWM198" s="2"/>
      <c r="OWN198" s="2"/>
      <c r="OWO198" s="2"/>
      <c r="OWP198" s="2"/>
      <c r="OWQ198" s="2"/>
      <c r="OWR198" s="2"/>
      <c r="OWS198" s="2"/>
      <c r="OWT198" s="2"/>
      <c r="OWU198" s="2"/>
      <c r="OWV198" s="2"/>
      <c r="OWW198" s="2"/>
      <c r="OWX198" s="2"/>
      <c r="OWY198" s="2"/>
      <c r="OWZ198" s="2"/>
      <c r="OXA198" s="2"/>
      <c r="OXB198" s="2"/>
      <c r="OXC198" s="2"/>
      <c r="OXD198" s="2"/>
      <c r="OXE198" s="2"/>
      <c r="OXF198" s="2"/>
      <c r="OXG198" s="2"/>
      <c r="OXH198" s="2"/>
      <c r="OXI198" s="2"/>
      <c r="OXJ198" s="2"/>
      <c r="OXK198" s="2"/>
      <c r="OXL198" s="2"/>
      <c r="OXM198" s="2"/>
      <c r="OXN198" s="2"/>
      <c r="OXO198" s="2"/>
      <c r="OXP198" s="2"/>
      <c r="OXQ198" s="2"/>
      <c r="OXR198" s="2"/>
      <c r="OXS198" s="2"/>
      <c r="OXT198" s="2"/>
      <c r="OXU198" s="2"/>
      <c r="OXV198" s="2"/>
      <c r="OXW198" s="2"/>
      <c r="OXX198" s="2"/>
      <c r="OXY198" s="2"/>
      <c r="OXZ198" s="2"/>
      <c r="OYA198" s="2"/>
      <c r="OYB198" s="2"/>
      <c r="OYC198" s="2"/>
      <c r="OYD198" s="2"/>
      <c r="OYE198" s="2"/>
      <c r="OYF198" s="2"/>
      <c r="OYG198" s="2"/>
      <c r="OYH198" s="2"/>
      <c r="OYI198" s="2"/>
      <c r="OYJ198" s="2"/>
      <c r="OYK198" s="2"/>
      <c r="OYL198" s="2"/>
      <c r="OYM198" s="2"/>
      <c r="OYN198" s="2"/>
      <c r="OYO198" s="2"/>
      <c r="OYP198" s="2"/>
      <c r="OYQ198" s="2"/>
      <c r="OYR198" s="2"/>
      <c r="OYS198" s="2"/>
      <c r="OYT198" s="2"/>
      <c r="OYU198" s="2"/>
      <c r="OYV198" s="2"/>
      <c r="OYW198" s="2"/>
      <c r="OYX198" s="2"/>
      <c r="OYY198" s="2"/>
      <c r="OYZ198" s="2"/>
      <c r="OZA198" s="2"/>
      <c r="OZB198" s="2"/>
      <c r="OZC198" s="2"/>
      <c r="OZD198" s="2"/>
      <c r="OZE198" s="2"/>
      <c r="OZF198" s="2"/>
      <c r="OZG198" s="2"/>
      <c r="OZH198" s="2"/>
      <c r="OZI198" s="2"/>
      <c r="OZJ198" s="2"/>
      <c r="OZK198" s="2"/>
      <c r="OZL198" s="2"/>
      <c r="OZM198" s="2"/>
      <c r="OZN198" s="2"/>
      <c r="OZO198" s="2"/>
      <c r="OZP198" s="2"/>
      <c r="OZQ198" s="2"/>
      <c r="OZR198" s="2"/>
      <c r="OZS198" s="2"/>
      <c r="OZT198" s="2"/>
      <c r="OZU198" s="2"/>
      <c r="OZV198" s="2"/>
      <c r="OZW198" s="2"/>
      <c r="OZX198" s="2"/>
      <c r="OZY198" s="2"/>
      <c r="OZZ198" s="2"/>
      <c r="PAA198" s="2"/>
      <c r="PAB198" s="2"/>
      <c r="PAC198" s="2"/>
      <c r="PAD198" s="2"/>
      <c r="PAE198" s="2"/>
      <c r="PAF198" s="2"/>
      <c r="PAG198" s="2"/>
      <c r="PAH198" s="2"/>
      <c r="PAI198" s="2"/>
      <c r="PAJ198" s="2"/>
      <c r="PAK198" s="2"/>
      <c r="PAL198" s="2"/>
      <c r="PAM198" s="2"/>
      <c r="PAN198" s="2"/>
      <c r="PAO198" s="2"/>
      <c r="PAP198" s="2"/>
      <c r="PAQ198" s="2"/>
      <c r="PAR198" s="2"/>
      <c r="PAS198" s="2"/>
      <c r="PAT198" s="2"/>
      <c r="PAU198" s="2"/>
      <c r="PAV198" s="2"/>
      <c r="PAW198" s="2"/>
      <c r="PAX198" s="2"/>
      <c r="PAY198" s="2"/>
      <c r="PAZ198" s="2"/>
      <c r="PBA198" s="2"/>
      <c r="PBB198" s="2"/>
      <c r="PBC198" s="2"/>
      <c r="PBD198" s="2"/>
      <c r="PBE198" s="2"/>
      <c r="PBF198" s="2"/>
      <c r="PBG198" s="2"/>
      <c r="PBH198" s="2"/>
      <c r="PBI198" s="2"/>
      <c r="PBJ198" s="2"/>
      <c r="PBK198" s="2"/>
      <c r="PBL198" s="2"/>
      <c r="PBM198" s="2"/>
      <c r="PBN198" s="2"/>
      <c r="PBO198" s="2"/>
      <c r="PBP198" s="2"/>
      <c r="PBQ198" s="2"/>
      <c r="PBR198" s="2"/>
      <c r="PBS198" s="2"/>
      <c r="PBT198" s="2"/>
      <c r="PBU198" s="2"/>
      <c r="PBV198" s="2"/>
      <c r="PBW198" s="2"/>
      <c r="PBX198" s="2"/>
      <c r="PBY198" s="2"/>
      <c r="PBZ198" s="2"/>
      <c r="PCA198" s="2"/>
      <c r="PCB198" s="2"/>
      <c r="PCC198" s="2"/>
      <c r="PCD198" s="2"/>
      <c r="PCE198" s="2"/>
      <c r="PCF198" s="2"/>
      <c r="PCG198" s="2"/>
      <c r="PCH198" s="2"/>
      <c r="PCI198" s="2"/>
      <c r="PCJ198" s="2"/>
      <c r="PCK198" s="2"/>
      <c r="PCL198" s="2"/>
      <c r="PCM198" s="2"/>
      <c r="PCN198" s="2"/>
      <c r="PCO198" s="2"/>
      <c r="PCP198" s="2"/>
      <c r="PCQ198" s="2"/>
      <c r="PCR198" s="2"/>
      <c r="PCS198" s="2"/>
      <c r="PCT198" s="2"/>
      <c r="PCU198" s="2"/>
      <c r="PCV198" s="2"/>
      <c r="PCW198" s="2"/>
      <c r="PCX198" s="2"/>
      <c r="PCY198" s="2"/>
      <c r="PCZ198" s="2"/>
      <c r="PDA198" s="2"/>
      <c r="PDB198" s="2"/>
      <c r="PDC198" s="2"/>
      <c r="PDD198" s="2"/>
      <c r="PDE198" s="2"/>
      <c r="PDF198" s="2"/>
      <c r="PDG198" s="2"/>
      <c r="PDH198" s="2"/>
      <c r="PDI198" s="2"/>
      <c r="PDJ198" s="2"/>
      <c r="PDK198" s="2"/>
      <c r="PDL198" s="2"/>
      <c r="PDM198" s="2"/>
      <c r="PDN198" s="2"/>
      <c r="PDO198" s="2"/>
      <c r="PDP198" s="2"/>
      <c r="PDQ198" s="2"/>
      <c r="PDR198" s="2"/>
      <c r="PDS198" s="2"/>
      <c r="PDT198" s="2"/>
      <c r="PDU198" s="2"/>
      <c r="PDV198" s="2"/>
      <c r="PDW198" s="2"/>
      <c r="PDX198" s="2"/>
      <c r="PDY198" s="2"/>
      <c r="PDZ198" s="2"/>
      <c r="PEA198" s="2"/>
      <c r="PEB198" s="2"/>
      <c r="PEC198" s="2"/>
      <c r="PED198" s="2"/>
      <c r="PEE198" s="2"/>
      <c r="PEF198" s="2"/>
      <c r="PEG198" s="2"/>
      <c r="PEH198" s="2"/>
      <c r="PEI198" s="2"/>
      <c r="PEJ198" s="2"/>
      <c r="PEK198" s="2"/>
      <c r="PEL198" s="2"/>
      <c r="PEM198" s="2"/>
      <c r="PEN198" s="2"/>
      <c r="PEO198" s="2"/>
      <c r="PEP198" s="2"/>
      <c r="PEQ198" s="2"/>
      <c r="PER198" s="2"/>
      <c r="PES198" s="2"/>
      <c r="PET198" s="2"/>
      <c r="PEU198" s="2"/>
      <c r="PEV198" s="2"/>
      <c r="PEW198" s="2"/>
      <c r="PEX198" s="2"/>
      <c r="PEY198" s="2"/>
      <c r="PEZ198" s="2"/>
      <c r="PFA198" s="2"/>
      <c r="PFB198" s="2"/>
      <c r="PFC198" s="2"/>
      <c r="PFD198" s="2"/>
      <c r="PFE198" s="2"/>
      <c r="PFF198" s="2"/>
      <c r="PFG198" s="2"/>
      <c r="PFH198" s="2"/>
      <c r="PFI198" s="2"/>
      <c r="PFJ198" s="2"/>
      <c r="PFK198" s="2"/>
      <c r="PFL198" s="2"/>
      <c r="PFM198" s="2"/>
      <c r="PFN198" s="2"/>
      <c r="PFO198" s="2"/>
      <c r="PFP198" s="2"/>
      <c r="PFQ198" s="2"/>
      <c r="PFR198" s="2"/>
      <c r="PFS198" s="2"/>
      <c r="PFT198" s="2"/>
      <c r="PFU198" s="2"/>
      <c r="PFV198" s="2"/>
      <c r="PFW198" s="2"/>
      <c r="PFX198" s="2"/>
      <c r="PFY198" s="2"/>
      <c r="PFZ198" s="2"/>
      <c r="PGA198" s="2"/>
      <c r="PGB198" s="2"/>
      <c r="PGC198" s="2"/>
      <c r="PGD198" s="2"/>
      <c r="PGE198" s="2"/>
      <c r="PGF198" s="2"/>
      <c r="PGG198" s="2"/>
      <c r="PGH198" s="2"/>
      <c r="PGI198" s="2"/>
      <c r="PGJ198" s="2"/>
      <c r="PGK198" s="2"/>
      <c r="PGL198" s="2"/>
      <c r="PGM198" s="2"/>
      <c r="PGN198" s="2"/>
      <c r="PGO198" s="2"/>
      <c r="PGP198" s="2"/>
      <c r="PGQ198" s="2"/>
      <c r="PGR198" s="2"/>
      <c r="PGS198" s="2"/>
      <c r="PGT198" s="2"/>
      <c r="PGU198" s="2"/>
      <c r="PGV198" s="2"/>
      <c r="PGW198" s="2"/>
      <c r="PGX198" s="2"/>
      <c r="PGY198" s="2"/>
      <c r="PGZ198" s="2"/>
      <c r="PHA198" s="2"/>
      <c r="PHB198" s="2"/>
      <c r="PHC198" s="2"/>
      <c r="PHD198" s="2"/>
      <c r="PHE198" s="2"/>
      <c r="PHF198" s="2"/>
      <c r="PHG198" s="2"/>
      <c r="PHH198" s="2"/>
      <c r="PHI198" s="2"/>
      <c r="PHJ198" s="2"/>
      <c r="PHK198" s="2"/>
      <c r="PHL198" s="2"/>
      <c r="PHM198" s="2"/>
      <c r="PHN198" s="2"/>
      <c r="PHO198" s="2"/>
      <c r="PHP198" s="2"/>
      <c r="PHQ198" s="2"/>
      <c r="PHR198" s="2"/>
      <c r="PHS198" s="2"/>
      <c r="PHT198" s="2"/>
      <c r="PHU198" s="2"/>
      <c r="PHV198" s="2"/>
      <c r="PHW198" s="2"/>
      <c r="PHX198" s="2"/>
      <c r="PHY198" s="2"/>
      <c r="PHZ198" s="2"/>
      <c r="PIA198" s="2"/>
      <c r="PIB198" s="2"/>
      <c r="PIC198" s="2"/>
      <c r="PID198" s="2"/>
      <c r="PIE198" s="2"/>
      <c r="PIF198" s="2"/>
      <c r="PIG198" s="2"/>
      <c r="PIH198" s="2"/>
      <c r="PII198" s="2"/>
      <c r="PIJ198" s="2"/>
      <c r="PIK198" s="2"/>
      <c r="PIL198" s="2"/>
      <c r="PIM198" s="2"/>
      <c r="PIN198" s="2"/>
      <c r="PIO198" s="2"/>
      <c r="PIP198" s="2"/>
      <c r="PIQ198" s="2"/>
      <c r="PIR198" s="2"/>
      <c r="PIS198" s="2"/>
      <c r="PIT198" s="2"/>
      <c r="PIU198" s="2"/>
      <c r="PIV198" s="2"/>
      <c r="PIW198" s="2"/>
      <c r="PIX198" s="2"/>
      <c r="PIY198" s="2"/>
      <c r="PIZ198" s="2"/>
      <c r="PJA198" s="2"/>
      <c r="PJB198" s="2"/>
      <c r="PJC198" s="2"/>
      <c r="PJD198" s="2"/>
      <c r="PJE198" s="2"/>
      <c r="PJF198" s="2"/>
      <c r="PJG198" s="2"/>
      <c r="PJH198" s="2"/>
      <c r="PJI198" s="2"/>
      <c r="PJJ198" s="2"/>
      <c r="PJK198" s="2"/>
      <c r="PJL198" s="2"/>
      <c r="PJM198" s="2"/>
      <c r="PJN198" s="2"/>
      <c r="PJO198" s="2"/>
      <c r="PJP198" s="2"/>
      <c r="PJQ198" s="2"/>
      <c r="PJR198" s="2"/>
      <c r="PJS198" s="2"/>
      <c r="PJT198" s="2"/>
      <c r="PJU198" s="2"/>
      <c r="PJV198" s="2"/>
      <c r="PJW198" s="2"/>
      <c r="PJX198" s="2"/>
      <c r="PJY198" s="2"/>
      <c r="PJZ198" s="2"/>
      <c r="PKA198" s="2"/>
      <c r="PKB198" s="2"/>
      <c r="PKC198" s="2"/>
      <c r="PKD198" s="2"/>
      <c r="PKE198" s="2"/>
      <c r="PKF198" s="2"/>
      <c r="PKG198" s="2"/>
      <c r="PKH198" s="2"/>
      <c r="PKI198" s="2"/>
      <c r="PKJ198" s="2"/>
      <c r="PKK198" s="2"/>
      <c r="PKL198" s="2"/>
      <c r="PKM198" s="2"/>
      <c r="PKN198" s="2"/>
      <c r="PKO198" s="2"/>
      <c r="PKP198" s="2"/>
      <c r="PKQ198" s="2"/>
      <c r="PKR198" s="2"/>
      <c r="PKS198" s="2"/>
      <c r="PKT198" s="2"/>
      <c r="PKU198" s="2"/>
      <c r="PKV198" s="2"/>
      <c r="PKW198" s="2"/>
      <c r="PKX198" s="2"/>
      <c r="PKY198" s="2"/>
      <c r="PKZ198" s="2"/>
      <c r="PLA198" s="2"/>
      <c r="PLB198" s="2"/>
      <c r="PLC198" s="2"/>
      <c r="PLD198" s="2"/>
      <c r="PLE198" s="2"/>
      <c r="PLF198" s="2"/>
      <c r="PLG198" s="2"/>
      <c r="PLH198" s="2"/>
      <c r="PLI198" s="2"/>
      <c r="PLJ198" s="2"/>
      <c r="PLK198" s="2"/>
      <c r="PLL198" s="2"/>
      <c r="PLM198" s="2"/>
      <c r="PLN198" s="2"/>
      <c r="PLO198" s="2"/>
      <c r="PLP198" s="2"/>
      <c r="PLQ198" s="2"/>
      <c r="PLR198" s="2"/>
      <c r="PLS198" s="2"/>
      <c r="PLT198" s="2"/>
      <c r="PLU198" s="2"/>
      <c r="PLV198" s="2"/>
      <c r="PLW198" s="2"/>
      <c r="PLX198" s="2"/>
      <c r="PLY198" s="2"/>
      <c r="PLZ198" s="2"/>
      <c r="PMA198" s="2"/>
      <c r="PMB198" s="2"/>
      <c r="PMC198" s="2"/>
      <c r="PMD198" s="2"/>
      <c r="PME198" s="2"/>
      <c r="PMF198" s="2"/>
      <c r="PMG198" s="2"/>
      <c r="PMH198" s="2"/>
      <c r="PMI198" s="2"/>
      <c r="PMJ198" s="2"/>
      <c r="PMK198" s="2"/>
      <c r="PML198" s="2"/>
      <c r="PMM198" s="2"/>
      <c r="PMN198" s="2"/>
      <c r="PMO198" s="2"/>
      <c r="PMP198" s="2"/>
      <c r="PMQ198" s="2"/>
      <c r="PMR198" s="2"/>
      <c r="PMS198" s="2"/>
      <c r="PMT198" s="2"/>
      <c r="PMU198" s="2"/>
      <c r="PMV198" s="2"/>
      <c r="PMW198" s="2"/>
      <c r="PMX198" s="2"/>
      <c r="PMY198" s="2"/>
      <c r="PMZ198" s="2"/>
      <c r="PNA198" s="2"/>
      <c r="PNB198" s="2"/>
      <c r="PNC198" s="2"/>
      <c r="PND198" s="2"/>
      <c r="PNE198" s="2"/>
      <c r="PNF198" s="2"/>
      <c r="PNG198" s="2"/>
      <c r="PNH198" s="2"/>
      <c r="PNI198" s="2"/>
      <c r="PNJ198" s="2"/>
      <c r="PNK198" s="2"/>
      <c r="PNL198" s="2"/>
      <c r="PNM198" s="2"/>
      <c r="PNN198" s="2"/>
      <c r="PNO198" s="2"/>
      <c r="PNP198" s="2"/>
      <c r="PNQ198" s="2"/>
      <c r="PNR198" s="2"/>
      <c r="PNS198" s="2"/>
      <c r="PNT198" s="2"/>
      <c r="PNU198" s="2"/>
      <c r="PNV198" s="2"/>
      <c r="PNW198" s="2"/>
      <c r="PNX198" s="2"/>
      <c r="PNY198" s="2"/>
      <c r="PNZ198" s="2"/>
      <c r="POA198" s="2"/>
      <c r="POB198" s="2"/>
      <c r="POC198" s="2"/>
      <c r="POD198" s="2"/>
      <c r="POE198" s="2"/>
      <c r="POF198" s="2"/>
      <c r="POG198" s="2"/>
      <c r="POH198" s="2"/>
      <c r="POI198" s="2"/>
      <c r="POJ198" s="2"/>
      <c r="POK198" s="2"/>
      <c r="POL198" s="2"/>
      <c r="POM198" s="2"/>
      <c r="PON198" s="2"/>
      <c r="POO198" s="2"/>
      <c r="POP198" s="2"/>
      <c r="POQ198" s="2"/>
      <c r="POR198" s="2"/>
      <c r="POS198" s="2"/>
      <c r="POT198" s="2"/>
      <c r="POU198" s="2"/>
      <c r="POV198" s="2"/>
      <c r="POW198" s="2"/>
      <c r="POX198" s="2"/>
      <c r="POY198" s="2"/>
      <c r="POZ198" s="2"/>
      <c r="PPA198" s="2"/>
      <c r="PPB198" s="2"/>
      <c r="PPC198" s="2"/>
      <c r="PPD198" s="2"/>
      <c r="PPE198" s="2"/>
      <c r="PPF198" s="2"/>
      <c r="PPG198" s="2"/>
      <c r="PPH198" s="2"/>
      <c r="PPI198" s="2"/>
      <c r="PPJ198" s="2"/>
      <c r="PPK198" s="2"/>
      <c r="PPL198" s="2"/>
      <c r="PPM198" s="2"/>
      <c r="PPN198" s="2"/>
      <c r="PPO198" s="2"/>
      <c r="PPP198" s="2"/>
      <c r="PPQ198" s="2"/>
      <c r="PPR198" s="2"/>
      <c r="PPS198" s="2"/>
      <c r="PPT198" s="2"/>
      <c r="PPU198" s="2"/>
      <c r="PPV198" s="2"/>
      <c r="PPW198" s="2"/>
      <c r="PPX198" s="2"/>
      <c r="PPY198" s="2"/>
      <c r="PPZ198" s="2"/>
      <c r="PQA198" s="2"/>
      <c r="PQB198" s="2"/>
      <c r="PQC198" s="2"/>
      <c r="PQD198" s="2"/>
      <c r="PQE198" s="2"/>
      <c r="PQF198" s="2"/>
      <c r="PQG198" s="2"/>
      <c r="PQH198" s="2"/>
      <c r="PQI198" s="2"/>
      <c r="PQJ198" s="2"/>
      <c r="PQK198" s="2"/>
      <c r="PQL198" s="2"/>
      <c r="PQM198" s="2"/>
      <c r="PQN198" s="2"/>
      <c r="PQO198" s="2"/>
      <c r="PQP198" s="2"/>
      <c r="PQQ198" s="2"/>
      <c r="PQR198" s="2"/>
      <c r="PQS198" s="2"/>
      <c r="PQT198" s="2"/>
      <c r="PQU198" s="2"/>
      <c r="PQV198" s="2"/>
      <c r="PQW198" s="2"/>
      <c r="PQX198" s="2"/>
      <c r="PQY198" s="2"/>
      <c r="PQZ198" s="2"/>
      <c r="PRA198" s="2"/>
      <c r="PRB198" s="2"/>
      <c r="PRC198" s="2"/>
      <c r="PRD198" s="2"/>
      <c r="PRE198" s="2"/>
      <c r="PRF198" s="2"/>
      <c r="PRG198" s="2"/>
      <c r="PRH198" s="2"/>
      <c r="PRI198" s="2"/>
      <c r="PRJ198" s="2"/>
      <c r="PRK198" s="2"/>
      <c r="PRL198" s="2"/>
      <c r="PRM198" s="2"/>
      <c r="PRN198" s="2"/>
      <c r="PRO198" s="2"/>
      <c r="PRP198" s="2"/>
      <c r="PRQ198" s="2"/>
      <c r="PRR198" s="2"/>
      <c r="PRS198" s="2"/>
      <c r="PRT198" s="2"/>
      <c r="PRU198" s="2"/>
      <c r="PRV198" s="2"/>
      <c r="PRW198" s="2"/>
      <c r="PRX198" s="2"/>
      <c r="PRY198" s="2"/>
      <c r="PRZ198" s="2"/>
      <c r="PSA198" s="2"/>
      <c r="PSB198" s="2"/>
      <c r="PSC198" s="2"/>
      <c r="PSD198" s="2"/>
      <c r="PSE198" s="2"/>
      <c r="PSF198" s="2"/>
      <c r="PSG198" s="2"/>
      <c r="PSH198" s="2"/>
      <c r="PSI198" s="2"/>
      <c r="PSJ198" s="2"/>
      <c r="PSK198" s="2"/>
      <c r="PSL198" s="2"/>
      <c r="PSM198" s="2"/>
      <c r="PSN198" s="2"/>
      <c r="PSO198" s="2"/>
      <c r="PSP198" s="2"/>
      <c r="PSQ198" s="2"/>
      <c r="PSR198" s="2"/>
      <c r="PSS198" s="2"/>
      <c r="PST198" s="2"/>
      <c r="PSU198" s="2"/>
      <c r="PSV198" s="2"/>
      <c r="PSW198" s="2"/>
      <c r="PSX198" s="2"/>
      <c r="PSY198" s="2"/>
      <c r="PSZ198" s="2"/>
      <c r="PTA198" s="2"/>
      <c r="PTB198" s="2"/>
      <c r="PTC198" s="2"/>
      <c r="PTD198" s="2"/>
      <c r="PTE198" s="2"/>
      <c r="PTF198" s="2"/>
      <c r="PTG198" s="2"/>
      <c r="PTH198" s="2"/>
      <c r="PTI198" s="2"/>
      <c r="PTJ198" s="2"/>
      <c r="PTK198" s="2"/>
      <c r="PTL198" s="2"/>
      <c r="PTM198" s="2"/>
      <c r="PTN198" s="2"/>
      <c r="PTO198" s="2"/>
      <c r="PTP198" s="2"/>
      <c r="PTQ198" s="2"/>
      <c r="PTR198" s="2"/>
      <c r="PTS198" s="2"/>
      <c r="PTT198" s="2"/>
      <c r="PTU198" s="2"/>
      <c r="PTV198" s="2"/>
      <c r="PTW198" s="2"/>
      <c r="PTX198" s="2"/>
      <c r="PTY198" s="2"/>
      <c r="PTZ198" s="2"/>
      <c r="PUA198" s="2"/>
      <c r="PUB198" s="2"/>
      <c r="PUC198" s="2"/>
      <c r="PUD198" s="2"/>
      <c r="PUE198" s="2"/>
      <c r="PUF198" s="2"/>
      <c r="PUG198" s="2"/>
      <c r="PUH198" s="2"/>
      <c r="PUI198" s="2"/>
      <c r="PUJ198" s="2"/>
      <c r="PUK198" s="2"/>
      <c r="PUL198" s="2"/>
      <c r="PUM198" s="2"/>
      <c r="PUN198" s="2"/>
      <c r="PUO198" s="2"/>
      <c r="PUP198" s="2"/>
      <c r="PUQ198" s="2"/>
      <c r="PUR198" s="2"/>
      <c r="PUS198" s="2"/>
      <c r="PUT198" s="2"/>
      <c r="PUU198" s="2"/>
      <c r="PUV198" s="2"/>
      <c r="PUW198" s="2"/>
      <c r="PUX198" s="2"/>
      <c r="PUY198" s="2"/>
      <c r="PUZ198" s="2"/>
      <c r="PVA198" s="2"/>
      <c r="PVB198" s="2"/>
      <c r="PVC198" s="2"/>
      <c r="PVD198" s="2"/>
      <c r="PVE198" s="2"/>
      <c r="PVF198" s="2"/>
      <c r="PVG198" s="2"/>
      <c r="PVH198" s="2"/>
      <c r="PVI198" s="2"/>
      <c r="PVJ198" s="2"/>
      <c r="PVK198" s="2"/>
      <c r="PVL198" s="2"/>
      <c r="PVM198" s="2"/>
      <c r="PVN198" s="2"/>
      <c r="PVO198" s="2"/>
      <c r="PVP198" s="2"/>
      <c r="PVQ198" s="2"/>
      <c r="PVR198" s="2"/>
      <c r="PVS198" s="2"/>
      <c r="PVT198" s="2"/>
      <c r="PVU198" s="2"/>
      <c r="PVV198" s="2"/>
      <c r="PVW198" s="2"/>
      <c r="PVX198" s="2"/>
      <c r="PVY198" s="2"/>
      <c r="PVZ198" s="2"/>
      <c r="PWA198" s="2"/>
      <c r="PWB198" s="2"/>
      <c r="PWC198" s="2"/>
      <c r="PWD198" s="2"/>
      <c r="PWE198" s="2"/>
      <c r="PWF198" s="2"/>
      <c r="PWG198" s="2"/>
      <c r="PWH198" s="2"/>
      <c r="PWI198" s="2"/>
      <c r="PWJ198" s="2"/>
      <c r="PWK198" s="2"/>
      <c r="PWL198" s="2"/>
      <c r="PWM198" s="2"/>
      <c r="PWN198" s="2"/>
      <c r="PWO198" s="2"/>
      <c r="PWP198" s="2"/>
      <c r="PWQ198" s="2"/>
      <c r="PWR198" s="2"/>
      <c r="PWS198" s="2"/>
      <c r="PWT198" s="2"/>
      <c r="PWU198" s="2"/>
      <c r="PWV198" s="2"/>
      <c r="PWW198" s="2"/>
      <c r="PWX198" s="2"/>
      <c r="PWY198" s="2"/>
      <c r="PWZ198" s="2"/>
      <c r="PXA198" s="2"/>
      <c r="PXB198" s="2"/>
      <c r="PXC198" s="2"/>
      <c r="PXD198" s="2"/>
      <c r="PXE198" s="2"/>
      <c r="PXF198" s="2"/>
      <c r="PXG198" s="2"/>
      <c r="PXH198" s="2"/>
      <c r="PXI198" s="2"/>
      <c r="PXJ198" s="2"/>
      <c r="PXK198" s="2"/>
      <c r="PXL198" s="2"/>
      <c r="PXM198" s="2"/>
      <c r="PXN198" s="2"/>
      <c r="PXO198" s="2"/>
      <c r="PXP198" s="2"/>
      <c r="PXQ198" s="2"/>
      <c r="PXR198" s="2"/>
      <c r="PXS198" s="2"/>
      <c r="PXT198" s="2"/>
      <c r="PXU198" s="2"/>
      <c r="PXV198" s="2"/>
      <c r="PXW198" s="2"/>
      <c r="PXX198" s="2"/>
      <c r="PXY198" s="2"/>
      <c r="PXZ198" s="2"/>
      <c r="PYA198" s="2"/>
      <c r="PYB198" s="2"/>
      <c r="PYC198" s="2"/>
      <c r="PYD198" s="2"/>
      <c r="PYE198" s="2"/>
      <c r="PYF198" s="2"/>
      <c r="PYG198" s="2"/>
      <c r="PYH198" s="2"/>
      <c r="PYI198" s="2"/>
      <c r="PYJ198" s="2"/>
      <c r="PYK198" s="2"/>
      <c r="PYL198" s="2"/>
      <c r="PYM198" s="2"/>
      <c r="PYN198" s="2"/>
      <c r="PYO198" s="2"/>
      <c r="PYP198" s="2"/>
      <c r="PYQ198" s="2"/>
      <c r="PYR198" s="2"/>
      <c r="PYS198" s="2"/>
      <c r="PYT198" s="2"/>
      <c r="PYU198" s="2"/>
      <c r="PYV198" s="2"/>
      <c r="PYW198" s="2"/>
      <c r="PYX198" s="2"/>
      <c r="PYY198" s="2"/>
      <c r="PYZ198" s="2"/>
      <c r="PZA198" s="2"/>
      <c r="PZB198" s="2"/>
      <c r="PZC198" s="2"/>
      <c r="PZD198" s="2"/>
      <c r="PZE198" s="2"/>
      <c r="PZF198" s="2"/>
      <c r="PZG198" s="2"/>
      <c r="PZH198" s="2"/>
      <c r="PZI198" s="2"/>
      <c r="PZJ198" s="2"/>
      <c r="PZK198" s="2"/>
      <c r="PZL198" s="2"/>
      <c r="PZM198" s="2"/>
      <c r="PZN198" s="2"/>
      <c r="PZO198" s="2"/>
      <c r="PZP198" s="2"/>
      <c r="PZQ198" s="2"/>
      <c r="PZR198" s="2"/>
      <c r="PZS198" s="2"/>
      <c r="PZT198" s="2"/>
      <c r="PZU198" s="2"/>
      <c r="PZV198" s="2"/>
      <c r="PZW198" s="2"/>
      <c r="PZX198" s="2"/>
      <c r="PZY198" s="2"/>
      <c r="PZZ198" s="2"/>
      <c r="QAA198" s="2"/>
      <c r="QAB198" s="2"/>
      <c r="QAC198" s="2"/>
      <c r="QAD198" s="2"/>
      <c r="QAE198" s="2"/>
      <c r="QAF198" s="2"/>
      <c r="QAG198" s="2"/>
      <c r="QAH198" s="2"/>
      <c r="QAI198" s="2"/>
      <c r="QAJ198" s="2"/>
      <c r="QAK198" s="2"/>
      <c r="QAL198" s="2"/>
      <c r="QAM198" s="2"/>
      <c r="QAN198" s="2"/>
      <c r="QAO198" s="2"/>
      <c r="QAP198" s="2"/>
      <c r="QAQ198" s="2"/>
      <c r="QAR198" s="2"/>
      <c r="QAS198" s="2"/>
      <c r="QAT198" s="2"/>
      <c r="QAU198" s="2"/>
      <c r="QAV198" s="2"/>
      <c r="QAW198" s="2"/>
      <c r="QAX198" s="2"/>
      <c r="QAY198" s="2"/>
      <c r="QAZ198" s="2"/>
      <c r="QBA198" s="2"/>
      <c r="QBB198" s="2"/>
      <c r="QBC198" s="2"/>
      <c r="QBD198" s="2"/>
      <c r="QBE198" s="2"/>
      <c r="QBF198" s="2"/>
      <c r="QBG198" s="2"/>
      <c r="QBH198" s="2"/>
      <c r="QBI198" s="2"/>
      <c r="QBJ198" s="2"/>
      <c r="QBK198" s="2"/>
      <c r="QBL198" s="2"/>
      <c r="QBM198" s="2"/>
      <c r="QBN198" s="2"/>
      <c r="QBO198" s="2"/>
      <c r="QBP198" s="2"/>
      <c r="QBQ198" s="2"/>
      <c r="QBR198" s="2"/>
      <c r="QBS198" s="2"/>
      <c r="QBT198" s="2"/>
      <c r="QBU198" s="2"/>
      <c r="QBV198" s="2"/>
      <c r="QBW198" s="2"/>
      <c r="QBX198" s="2"/>
      <c r="QBY198" s="2"/>
      <c r="QBZ198" s="2"/>
      <c r="QCA198" s="2"/>
      <c r="QCB198" s="2"/>
      <c r="QCC198" s="2"/>
      <c r="QCD198" s="2"/>
      <c r="QCE198" s="2"/>
      <c r="QCF198" s="2"/>
      <c r="QCG198" s="2"/>
      <c r="QCH198" s="2"/>
      <c r="QCI198" s="2"/>
      <c r="QCJ198" s="2"/>
      <c r="QCK198" s="2"/>
      <c r="QCL198" s="2"/>
      <c r="QCM198" s="2"/>
      <c r="QCN198" s="2"/>
      <c r="QCO198" s="2"/>
      <c r="QCP198" s="2"/>
      <c r="QCQ198" s="2"/>
      <c r="QCR198" s="2"/>
      <c r="QCS198" s="2"/>
      <c r="QCT198" s="2"/>
      <c r="QCU198" s="2"/>
      <c r="QCV198" s="2"/>
      <c r="QCW198" s="2"/>
      <c r="QCX198" s="2"/>
      <c r="QCY198" s="2"/>
      <c r="QCZ198" s="2"/>
      <c r="QDA198" s="2"/>
      <c r="QDB198" s="2"/>
      <c r="QDC198" s="2"/>
      <c r="QDD198" s="2"/>
      <c r="QDE198" s="2"/>
      <c r="QDF198" s="2"/>
      <c r="QDG198" s="2"/>
      <c r="QDH198" s="2"/>
      <c r="QDI198" s="2"/>
      <c r="QDJ198" s="2"/>
      <c r="QDK198" s="2"/>
      <c r="QDL198" s="2"/>
      <c r="QDM198" s="2"/>
      <c r="QDN198" s="2"/>
      <c r="QDO198" s="2"/>
      <c r="QDP198" s="2"/>
      <c r="QDQ198" s="2"/>
      <c r="QDR198" s="2"/>
      <c r="QDS198" s="2"/>
      <c r="QDT198" s="2"/>
      <c r="QDU198" s="2"/>
      <c r="QDV198" s="2"/>
      <c r="QDW198" s="2"/>
      <c r="QDX198" s="2"/>
      <c r="QDY198" s="2"/>
      <c r="QDZ198" s="2"/>
      <c r="QEA198" s="2"/>
      <c r="QEB198" s="2"/>
      <c r="QEC198" s="2"/>
      <c r="QED198" s="2"/>
      <c r="QEE198" s="2"/>
      <c r="QEF198" s="2"/>
      <c r="QEG198" s="2"/>
      <c r="QEH198" s="2"/>
      <c r="QEI198" s="2"/>
      <c r="QEJ198" s="2"/>
      <c r="QEK198" s="2"/>
      <c r="QEL198" s="2"/>
      <c r="QEM198" s="2"/>
      <c r="QEN198" s="2"/>
      <c r="QEO198" s="2"/>
      <c r="QEP198" s="2"/>
      <c r="QEQ198" s="2"/>
      <c r="QER198" s="2"/>
      <c r="QES198" s="2"/>
      <c r="QET198" s="2"/>
      <c r="QEU198" s="2"/>
      <c r="QEV198" s="2"/>
      <c r="QEW198" s="2"/>
      <c r="QEX198" s="2"/>
      <c r="QEY198" s="2"/>
      <c r="QEZ198" s="2"/>
      <c r="QFA198" s="2"/>
      <c r="QFB198" s="2"/>
      <c r="QFC198" s="2"/>
      <c r="QFD198" s="2"/>
      <c r="QFE198" s="2"/>
      <c r="QFF198" s="2"/>
      <c r="QFG198" s="2"/>
      <c r="QFH198" s="2"/>
      <c r="QFI198" s="2"/>
      <c r="QFJ198" s="2"/>
      <c r="QFK198" s="2"/>
      <c r="QFL198" s="2"/>
      <c r="QFM198" s="2"/>
      <c r="QFN198" s="2"/>
      <c r="QFO198" s="2"/>
      <c r="QFP198" s="2"/>
      <c r="QFQ198" s="2"/>
      <c r="QFR198" s="2"/>
      <c r="QFS198" s="2"/>
      <c r="QFT198" s="2"/>
      <c r="QFU198" s="2"/>
      <c r="QFV198" s="2"/>
      <c r="QFW198" s="2"/>
      <c r="QFX198" s="2"/>
      <c r="QFY198" s="2"/>
      <c r="QFZ198" s="2"/>
      <c r="QGA198" s="2"/>
      <c r="QGB198" s="2"/>
      <c r="QGC198" s="2"/>
      <c r="QGD198" s="2"/>
      <c r="QGE198" s="2"/>
      <c r="QGF198" s="2"/>
      <c r="QGG198" s="2"/>
      <c r="QGH198" s="2"/>
      <c r="QGI198" s="2"/>
      <c r="QGJ198" s="2"/>
      <c r="QGK198" s="2"/>
      <c r="QGL198" s="2"/>
      <c r="QGM198" s="2"/>
      <c r="QGN198" s="2"/>
      <c r="QGO198" s="2"/>
      <c r="QGP198" s="2"/>
      <c r="QGQ198" s="2"/>
      <c r="QGR198" s="2"/>
      <c r="QGS198" s="2"/>
      <c r="QGT198" s="2"/>
      <c r="QGU198" s="2"/>
      <c r="QGV198" s="2"/>
      <c r="QGW198" s="2"/>
      <c r="QGX198" s="2"/>
      <c r="QGY198" s="2"/>
      <c r="QGZ198" s="2"/>
      <c r="QHA198" s="2"/>
      <c r="QHB198" s="2"/>
      <c r="QHC198" s="2"/>
      <c r="QHD198" s="2"/>
      <c r="QHE198" s="2"/>
      <c r="QHF198" s="2"/>
      <c r="QHG198" s="2"/>
      <c r="QHH198" s="2"/>
      <c r="QHI198" s="2"/>
      <c r="QHJ198" s="2"/>
      <c r="QHK198" s="2"/>
      <c r="QHL198" s="2"/>
      <c r="QHM198" s="2"/>
      <c r="QHN198" s="2"/>
      <c r="QHO198" s="2"/>
      <c r="QHP198" s="2"/>
      <c r="QHQ198" s="2"/>
      <c r="QHR198" s="2"/>
      <c r="QHS198" s="2"/>
      <c r="QHT198" s="2"/>
      <c r="QHU198" s="2"/>
      <c r="QHV198" s="2"/>
      <c r="QHW198" s="2"/>
      <c r="QHX198" s="2"/>
      <c r="QHY198" s="2"/>
      <c r="QHZ198" s="2"/>
      <c r="QIA198" s="2"/>
      <c r="QIB198" s="2"/>
      <c r="QIC198" s="2"/>
      <c r="QID198" s="2"/>
      <c r="QIE198" s="2"/>
      <c r="QIF198" s="2"/>
      <c r="QIG198" s="2"/>
      <c r="QIH198" s="2"/>
      <c r="QII198" s="2"/>
      <c r="QIJ198" s="2"/>
      <c r="QIK198" s="2"/>
      <c r="QIL198" s="2"/>
      <c r="QIM198" s="2"/>
      <c r="QIN198" s="2"/>
      <c r="QIO198" s="2"/>
      <c r="QIP198" s="2"/>
      <c r="QIQ198" s="2"/>
      <c r="QIR198" s="2"/>
      <c r="QIS198" s="2"/>
      <c r="QIT198" s="2"/>
      <c r="QIU198" s="2"/>
      <c r="QIV198" s="2"/>
      <c r="QIW198" s="2"/>
      <c r="QIX198" s="2"/>
      <c r="QIY198" s="2"/>
      <c r="QIZ198" s="2"/>
      <c r="QJA198" s="2"/>
      <c r="QJB198" s="2"/>
      <c r="QJC198" s="2"/>
      <c r="QJD198" s="2"/>
      <c r="QJE198" s="2"/>
      <c r="QJF198" s="2"/>
      <c r="QJG198" s="2"/>
      <c r="QJH198" s="2"/>
      <c r="QJI198" s="2"/>
      <c r="QJJ198" s="2"/>
      <c r="QJK198" s="2"/>
      <c r="QJL198" s="2"/>
      <c r="QJM198" s="2"/>
      <c r="QJN198" s="2"/>
      <c r="QJO198" s="2"/>
      <c r="QJP198" s="2"/>
      <c r="QJQ198" s="2"/>
      <c r="QJR198" s="2"/>
      <c r="QJS198" s="2"/>
      <c r="QJT198" s="2"/>
      <c r="QJU198" s="2"/>
      <c r="QJV198" s="2"/>
      <c r="QJW198" s="2"/>
      <c r="QJX198" s="2"/>
      <c r="QJY198" s="2"/>
      <c r="QJZ198" s="2"/>
      <c r="QKA198" s="2"/>
      <c r="QKB198" s="2"/>
      <c r="QKC198" s="2"/>
      <c r="QKD198" s="2"/>
      <c r="QKE198" s="2"/>
      <c r="QKF198" s="2"/>
      <c r="QKG198" s="2"/>
      <c r="QKH198" s="2"/>
      <c r="QKI198" s="2"/>
      <c r="QKJ198" s="2"/>
      <c r="QKK198" s="2"/>
      <c r="QKL198" s="2"/>
      <c r="QKM198" s="2"/>
      <c r="QKN198" s="2"/>
      <c r="QKO198" s="2"/>
      <c r="QKP198" s="2"/>
      <c r="QKQ198" s="2"/>
      <c r="QKR198" s="2"/>
      <c r="QKS198" s="2"/>
      <c r="QKT198" s="2"/>
      <c r="QKU198" s="2"/>
      <c r="QKV198" s="2"/>
      <c r="QKW198" s="2"/>
      <c r="QKX198" s="2"/>
      <c r="QKY198" s="2"/>
      <c r="QKZ198" s="2"/>
      <c r="QLA198" s="2"/>
      <c r="QLB198" s="2"/>
      <c r="QLC198" s="2"/>
      <c r="QLD198" s="2"/>
      <c r="QLE198" s="2"/>
      <c r="QLF198" s="2"/>
      <c r="QLG198" s="2"/>
      <c r="QLH198" s="2"/>
      <c r="QLI198" s="2"/>
      <c r="QLJ198" s="2"/>
      <c r="QLK198" s="2"/>
      <c r="QLL198" s="2"/>
      <c r="QLM198" s="2"/>
      <c r="QLN198" s="2"/>
      <c r="QLO198" s="2"/>
      <c r="QLP198" s="2"/>
      <c r="QLQ198" s="2"/>
      <c r="QLR198" s="2"/>
      <c r="QLS198" s="2"/>
      <c r="QLT198" s="2"/>
      <c r="QLU198" s="2"/>
      <c r="QLV198" s="2"/>
      <c r="QLW198" s="2"/>
      <c r="QLX198" s="2"/>
      <c r="QLY198" s="2"/>
      <c r="QLZ198" s="2"/>
      <c r="QMA198" s="2"/>
      <c r="QMB198" s="2"/>
      <c r="QMC198" s="2"/>
      <c r="QMD198" s="2"/>
      <c r="QME198" s="2"/>
      <c r="QMF198" s="2"/>
      <c r="QMG198" s="2"/>
      <c r="QMH198" s="2"/>
      <c r="QMI198" s="2"/>
      <c r="QMJ198" s="2"/>
      <c r="QMK198" s="2"/>
      <c r="QML198" s="2"/>
      <c r="QMM198" s="2"/>
      <c r="QMN198" s="2"/>
      <c r="QMO198" s="2"/>
      <c r="QMP198" s="2"/>
      <c r="QMQ198" s="2"/>
      <c r="QMR198" s="2"/>
      <c r="QMS198" s="2"/>
      <c r="QMT198" s="2"/>
      <c r="QMU198" s="2"/>
      <c r="QMV198" s="2"/>
      <c r="QMW198" s="2"/>
      <c r="QMX198" s="2"/>
      <c r="QMY198" s="2"/>
      <c r="QMZ198" s="2"/>
      <c r="QNA198" s="2"/>
      <c r="QNB198" s="2"/>
      <c r="QNC198" s="2"/>
      <c r="QND198" s="2"/>
      <c r="QNE198" s="2"/>
      <c r="QNF198" s="2"/>
      <c r="QNG198" s="2"/>
      <c r="QNH198" s="2"/>
      <c r="QNI198" s="2"/>
      <c r="QNJ198" s="2"/>
      <c r="QNK198" s="2"/>
      <c r="QNL198" s="2"/>
      <c r="QNM198" s="2"/>
      <c r="QNN198" s="2"/>
      <c r="QNO198" s="2"/>
      <c r="QNP198" s="2"/>
      <c r="QNQ198" s="2"/>
      <c r="QNR198" s="2"/>
      <c r="QNS198" s="2"/>
      <c r="QNT198" s="2"/>
      <c r="QNU198" s="2"/>
      <c r="QNV198" s="2"/>
      <c r="QNW198" s="2"/>
      <c r="QNX198" s="2"/>
      <c r="QNY198" s="2"/>
      <c r="QNZ198" s="2"/>
      <c r="QOA198" s="2"/>
      <c r="QOB198" s="2"/>
      <c r="QOC198" s="2"/>
      <c r="QOD198" s="2"/>
      <c r="QOE198" s="2"/>
      <c r="QOF198" s="2"/>
      <c r="QOG198" s="2"/>
      <c r="QOH198" s="2"/>
      <c r="QOI198" s="2"/>
      <c r="QOJ198" s="2"/>
      <c r="QOK198" s="2"/>
      <c r="QOL198" s="2"/>
      <c r="QOM198" s="2"/>
      <c r="QON198" s="2"/>
      <c r="QOO198" s="2"/>
      <c r="QOP198" s="2"/>
      <c r="QOQ198" s="2"/>
      <c r="QOR198" s="2"/>
      <c r="QOS198" s="2"/>
      <c r="QOT198" s="2"/>
      <c r="QOU198" s="2"/>
      <c r="QOV198" s="2"/>
      <c r="QOW198" s="2"/>
      <c r="QOX198" s="2"/>
      <c r="QOY198" s="2"/>
      <c r="QOZ198" s="2"/>
      <c r="QPA198" s="2"/>
      <c r="QPB198" s="2"/>
      <c r="QPC198" s="2"/>
      <c r="QPD198" s="2"/>
      <c r="QPE198" s="2"/>
      <c r="QPF198" s="2"/>
      <c r="QPG198" s="2"/>
      <c r="QPH198" s="2"/>
      <c r="QPI198" s="2"/>
      <c r="QPJ198" s="2"/>
      <c r="QPK198" s="2"/>
      <c r="QPL198" s="2"/>
      <c r="QPM198" s="2"/>
      <c r="QPN198" s="2"/>
      <c r="QPO198" s="2"/>
      <c r="QPP198" s="2"/>
      <c r="QPQ198" s="2"/>
      <c r="QPR198" s="2"/>
      <c r="QPS198" s="2"/>
      <c r="QPT198" s="2"/>
      <c r="QPU198" s="2"/>
      <c r="QPV198" s="2"/>
      <c r="QPW198" s="2"/>
      <c r="QPX198" s="2"/>
      <c r="QPY198" s="2"/>
      <c r="QPZ198" s="2"/>
      <c r="QQA198" s="2"/>
      <c r="QQB198" s="2"/>
      <c r="QQC198" s="2"/>
      <c r="QQD198" s="2"/>
      <c r="QQE198" s="2"/>
      <c r="QQF198" s="2"/>
      <c r="QQG198" s="2"/>
      <c r="QQH198" s="2"/>
      <c r="QQI198" s="2"/>
      <c r="QQJ198" s="2"/>
      <c r="QQK198" s="2"/>
      <c r="QQL198" s="2"/>
      <c r="QQM198" s="2"/>
      <c r="QQN198" s="2"/>
      <c r="QQO198" s="2"/>
      <c r="QQP198" s="2"/>
      <c r="QQQ198" s="2"/>
      <c r="QQR198" s="2"/>
      <c r="QQS198" s="2"/>
      <c r="QQT198" s="2"/>
      <c r="QQU198" s="2"/>
      <c r="QQV198" s="2"/>
      <c r="QQW198" s="2"/>
      <c r="QQX198" s="2"/>
      <c r="QQY198" s="2"/>
      <c r="QQZ198" s="2"/>
      <c r="QRA198" s="2"/>
      <c r="QRB198" s="2"/>
      <c r="QRC198" s="2"/>
      <c r="QRD198" s="2"/>
      <c r="QRE198" s="2"/>
      <c r="QRF198" s="2"/>
      <c r="QRG198" s="2"/>
      <c r="QRH198" s="2"/>
      <c r="QRI198" s="2"/>
      <c r="QRJ198" s="2"/>
      <c r="QRK198" s="2"/>
      <c r="QRL198" s="2"/>
      <c r="QRM198" s="2"/>
      <c r="QRN198" s="2"/>
      <c r="QRO198" s="2"/>
      <c r="QRP198" s="2"/>
      <c r="QRQ198" s="2"/>
      <c r="QRR198" s="2"/>
      <c r="QRS198" s="2"/>
      <c r="QRT198" s="2"/>
      <c r="QRU198" s="2"/>
      <c r="QRV198" s="2"/>
      <c r="QRW198" s="2"/>
      <c r="QRX198" s="2"/>
      <c r="QRY198" s="2"/>
      <c r="QRZ198" s="2"/>
      <c r="QSA198" s="2"/>
      <c r="QSB198" s="2"/>
      <c r="QSC198" s="2"/>
      <c r="QSD198" s="2"/>
      <c r="QSE198" s="2"/>
      <c r="QSF198" s="2"/>
      <c r="QSG198" s="2"/>
      <c r="QSH198" s="2"/>
      <c r="QSI198" s="2"/>
      <c r="QSJ198" s="2"/>
      <c r="QSK198" s="2"/>
      <c r="QSL198" s="2"/>
      <c r="QSM198" s="2"/>
      <c r="QSN198" s="2"/>
      <c r="QSO198" s="2"/>
      <c r="QSP198" s="2"/>
      <c r="QSQ198" s="2"/>
      <c r="QSR198" s="2"/>
      <c r="QSS198" s="2"/>
      <c r="QST198" s="2"/>
      <c r="QSU198" s="2"/>
      <c r="QSV198" s="2"/>
      <c r="QSW198" s="2"/>
      <c r="QSX198" s="2"/>
      <c r="QSY198" s="2"/>
      <c r="QSZ198" s="2"/>
      <c r="QTA198" s="2"/>
      <c r="QTB198" s="2"/>
      <c r="QTC198" s="2"/>
      <c r="QTD198" s="2"/>
      <c r="QTE198" s="2"/>
      <c r="QTF198" s="2"/>
      <c r="QTG198" s="2"/>
      <c r="QTH198" s="2"/>
      <c r="QTI198" s="2"/>
      <c r="QTJ198" s="2"/>
      <c r="QTK198" s="2"/>
      <c r="QTL198" s="2"/>
      <c r="QTM198" s="2"/>
      <c r="QTN198" s="2"/>
      <c r="QTO198" s="2"/>
      <c r="QTP198" s="2"/>
      <c r="QTQ198" s="2"/>
      <c r="QTR198" s="2"/>
      <c r="QTS198" s="2"/>
      <c r="QTT198" s="2"/>
      <c r="QTU198" s="2"/>
      <c r="QTV198" s="2"/>
      <c r="QTW198" s="2"/>
      <c r="QTX198" s="2"/>
      <c r="QTY198" s="2"/>
      <c r="QTZ198" s="2"/>
      <c r="QUA198" s="2"/>
      <c r="QUB198" s="2"/>
      <c r="QUC198" s="2"/>
      <c r="QUD198" s="2"/>
      <c r="QUE198" s="2"/>
      <c r="QUF198" s="2"/>
      <c r="QUG198" s="2"/>
      <c r="QUH198" s="2"/>
      <c r="QUI198" s="2"/>
      <c r="QUJ198" s="2"/>
      <c r="QUK198" s="2"/>
      <c r="QUL198" s="2"/>
      <c r="QUM198" s="2"/>
      <c r="QUN198" s="2"/>
      <c r="QUO198" s="2"/>
      <c r="QUP198" s="2"/>
      <c r="QUQ198" s="2"/>
      <c r="QUR198" s="2"/>
      <c r="QUS198" s="2"/>
      <c r="QUT198" s="2"/>
      <c r="QUU198" s="2"/>
      <c r="QUV198" s="2"/>
      <c r="QUW198" s="2"/>
      <c r="QUX198" s="2"/>
      <c r="QUY198" s="2"/>
      <c r="QUZ198" s="2"/>
      <c r="QVA198" s="2"/>
      <c r="QVB198" s="2"/>
      <c r="QVC198" s="2"/>
      <c r="QVD198" s="2"/>
      <c r="QVE198" s="2"/>
      <c r="QVF198" s="2"/>
      <c r="QVG198" s="2"/>
      <c r="QVH198" s="2"/>
      <c r="QVI198" s="2"/>
      <c r="QVJ198" s="2"/>
      <c r="QVK198" s="2"/>
      <c r="QVL198" s="2"/>
      <c r="QVM198" s="2"/>
      <c r="QVN198" s="2"/>
      <c r="QVO198" s="2"/>
      <c r="QVP198" s="2"/>
      <c r="QVQ198" s="2"/>
      <c r="QVR198" s="2"/>
      <c r="QVS198" s="2"/>
      <c r="QVT198" s="2"/>
      <c r="QVU198" s="2"/>
      <c r="QVV198" s="2"/>
      <c r="QVW198" s="2"/>
      <c r="QVX198" s="2"/>
      <c r="QVY198" s="2"/>
      <c r="QVZ198" s="2"/>
      <c r="QWA198" s="2"/>
      <c r="QWB198" s="2"/>
      <c r="QWC198" s="2"/>
      <c r="QWD198" s="2"/>
      <c r="QWE198" s="2"/>
      <c r="QWF198" s="2"/>
      <c r="QWG198" s="2"/>
      <c r="QWH198" s="2"/>
      <c r="QWI198" s="2"/>
      <c r="QWJ198" s="2"/>
      <c r="QWK198" s="2"/>
      <c r="QWL198" s="2"/>
      <c r="QWM198" s="2"/>
      <c r="QWN198" s="2"/>
      <c r="QWO198" s="2"/>
      <c r="QWP198" s="2"/>
      <c r="QWQ198" s="2"/>
      <c r="QWR198" s="2"/>
      <c r="QWS198" s="2"/>
      <c r="QWT198" s="2"/>
      <c r="QWU198" s="2"/>
      <c r="QWV198" s="2"/>
      <c r="QWW198" s="2"/>
      <c r="QWX198" s="2"/>
      <c r="QWY198" s="2"/>
      <c r="QWZ198" s="2"/>
      <c r="QXA198" s="2"/>
      <c r="QXB198" s="2"/>
      <c r="QXC198" s="2"/>
      <c r="QXD198" s="2"/>
      <c r="QXE198" s="2"/>
      <c r="QXF198" s="2"/>
      <c r="QXG198" s="2"/>
      <c r="QXH198" s="2"/>
      <c r="QXI198" s="2"/>
      <c r="QXJ198" s="2"/>
      <c r="QXK198" s="2"/>
      <c r="QXL198" s="2"/>
      <c r="QXM198" s="2"/>
      <c r="QXN198" s="2"/>
      <c r="QXO198" s="2"/>
      <c r="QXP198" s="2"/>
      <c r="QXQ198" s="2"/>
      <c r="QXR198" s="2"/>
      <c r="QXS198" s="2"/>
      <c r="QXT198" s="2"/>
      <c r="QXU198" s="2"/>
      <c r="QXV198" s="2"/>
      <c r="QXW198" s="2"/>
      <c r="QXX198" s="2"/>
      <c r="QXY198" s="2"/>
      <c r="QXZ198" s="2"/>
      <c r="QYA198" s="2"/>
      <c r="QYB198" s="2"/>
      <c r="QYC198" s="2"/>
      <c r="QYD198" s="2"/>
      <c r="QYE198" s="2"/>
      <c r="QYF198" s="2"/>
      <c r="QYG198" s="2"/>
      <c r="QYH198" s="2"/>
      <c r="QYI198" s="2"/>
      <c r="QYJ198" s="2"/>
      <c r="QYK198" s="2"/>
      <c r="QYL198" s="2"/>
      <c r="QYM198" s="2"/>
      <c r="QYN198" s="2"/>
      <c r="QYO198" s="2"/>
      <c r="QYP198" s="2"/>
      <c r="QYQ198" s="2"/>
      <c r="QYR198" s="2"/>
      <c r="QYS198" s="2"/>
      <c r="QYT198" s="2"/>
      <c r="QYU198" s="2"/>
      <c r="QYV198" s="2"/>
      <c r="QYW198" s="2"/>
      <c r="QYX198" s="2"/>
      <c r="QYY198" s="2"/>
      <c r="QYZ198" s="2"/>
      <c r="QZA198" s="2"/>
      <c r="QZB198" s="2"/>
      <c r="QZC198" s="2"/>
      <c r="QZD198" s="2"/>
      <c r="QZE198" s="2"/>
      <c r="QZF198" s="2"/>
      <c r="QZG198" s="2"/>
      <c r="QZH198" s="2"/>
      <c r="QZI198" s="2"/>
      <c r="QZJ198" s="2"/>
      <c r="QZK198" s="2"/>
      <c r="QZL198" s="2"/>
      <c r="QZM198" s="2"/>
      <c r="QZN198" s="2"/>
      <c r="QZO198" s="2"/>
      <c r="QZP198" s="2"/>
      <c r="QZQ198" s="2"/>
      <c r="QZR198" s="2"/>
      <c r="QZS198" s="2"/>
      <c r="QZT198" s="2"/>
      <c r="QZU198" s="2"/>
      <c r="QZV198" s="2"/>
      <c r="QZW198" s="2"/>
      <c r="QZX198" s="2"/>
      <c r="QZY198" s="2"/>
      <c r="QZZ198" s="2"/>
      <c r="RAA198" s="2"/>
      <c r="RAB198" s="2"/>
      <c r="RAC198" s="2"/>
      <c r="RAD198" s="2"/>
      <c r="RAE198" s="2"/>
      <c r="RAF198" s="2"/>
      <c r="RAG198" s="2"/>
      <c r="RAH198" s="2"/>
      <c r="RAI198" s="2"/>
      <c r="RAJ198" s="2"/>
      <c r="RAK198" s="2"/>
      <c r="RAL198" s="2"/>
      <c r="RAM198" s="2"/>
      <c r="RAN198" s="2"/>
      <c r="RAO198" s="2"/>
      <c r="RAP198" s="2"/>
      <c r="RAQ198" s="2"/>
      <c r="RAR198" s="2"/>
      <c r="RAS198" s="2"/>
      <c r="RAT198" s="2"/>
      <c r="RAU198" s="2"/>
      <c r="RAV198" s="2"/>
      <c r="RAW198" s="2"/>
      <c r="RAX198" s="2"/>
      <c r="RAY198" s="2"/>
      <c r="RAZ198" s="2"/>
      <c r="RBA198" s="2"/>
      <c r="RBB198" s="2"/>
      <c r="RBC198" s="2"/>
      <c r="RBD198" s="2"/>
      <c r="RBE198" s="2"/>
      <c r="RBF198" s="2"/>
      <c r="RBG198" s="2"/>
      <c r="RBH198" s="2"/>
      <c r="RBI198" s="2"/>
      <c r="RBJ198" s="2"/>
      <c r="RBK198" s="2"/>
      <c r="RBL198" s="2"/>
      <c r="RBM198" s="2"/>
      <c r="RBN198" s="2"/>
      <c r="RBO198" s="2"/>
      <c r="RBP198" s="2"/>
      <c r="RBQ198" s="2"/>
      <c r="RBR198" s="2"/>
      <c r="RBS198" s="2"/>
      <c r="RBT198" s="2"/>
      <c r="RBU198" s="2"/>
      <c r="RBV198" s="2"/>
      <c r="RBW198" s="2"/>
      <c r="RBX198" s="2"/>
      <c r="RBY198" s="2"/>
      <c r="RBZ198" s="2"/>
      <c r="RCA198" s="2"/>
      <c r="RCB198" s="2"/>
      <c r="RCC198" s="2"/>
      <c r="RCD198" s="2"/>
      <c r="RCE198" s="2"/>
      <c r="RCF198" s="2"/>
      <c r="RCG198" s="2"/>
      <c r="RCH198" s="2"/>
      <c r="RCI198" s="2"/>
      <c r="RCJ198" s="2"/>
      <c r="RCK198" s="2"/>
      <c r="RCL198" s="2"/>
      <c r="RCM198" s="2"/>
      <c r="RCN198" s="2"/>
      <c r="RCO198" s="2"/>
      <c r="RCP198" s="2"/>
      <c r="RCQ198" s="2"/>
      <c r="RCR198" s="2"/>
      <c r="RCS198" s="2"/>
      <c r="RCT198" s="2"/>
      <c r="RCU198" s="2"/>
      <c r="RCV198" s="2"/>
      <c r="RCW198" s="2"/>
      <c r="RCX198" s="2"/>
      <c r="RCY198" s="2"/>
      <c r="RCZ198" s="2"/>
      <c r="RDA198" s="2"/>
      <c r="RDB198" s="2"/>
      <c r="RDC198" s="2"/>
      <c r="RDD198" s="2"/>
      <c r="RDE198" s="2"/>
      <c r="RDF198" s="2"/>
      <c r="RDG198" s="2"/>
      <c r="RDH198" s="2"/>
      <c r="RDI198" s="2"/>
      <c r="RDJ198" s="2"/>
      <c r="RDK198" s="2"/>
      <c r="RDL198" s="2"/>
      <c r="RDM198" s="2"/>
      <c r="RDN198" s="2"/>
      <c r="RDO198" s="2"/>
      <c r="RDP198" s="2"/>
      <c r="RDQ198" s="2"/>
      <c r="RDR198" s="2"/>
      <c r="RDS198" s="2"/>
      <c r="RDT198" s="2"/>
      <c r="RDU198" s="2"/>
      <c r="RDV198" s="2"/>
      <c r="RDW198" s="2"/>
      <c r="RDX198" s="2"/>
      <c r="RDY198" s="2"/>
      <c r="RDZ198" s="2"/>
      <c r="REA198" s="2"/>
      <c r="REB198" s="2"/>
      <c r="REC198" s="2"/>
      <c r="RED198" s="2"/>
      <c r="REE198" s="2"/>
      <c r="REF198" s="2"/>
      <c r="REG198" s="2"/>
      <c r="REH198" s="2"/>
      <c r="REI198" s="2"/>
      <c r="REJ198" s="2"/>
      <c r="REK198" s="2"/>
      <c r="REL198" s="2"/>
      <c r="REM198" s="2"/>
      <c r="REN198" s="2"/>
      <c r="REO198" s="2"/>
      <c r="REP198" s="2"/>
      <c r="REQ198" s="2"/>
      <c r="RER198" s="2"/>
      <c r="RES198" s="2"/>
      <c r="RET198" s="2"/>
      <c r="REU198" s="2"/>
      <c r="REV198" s="2"/>
      <c r="REW198" s="2"/>
      <c r="REX198" s="2"/>
      <c r="REY198" s="2"/>
      <c r="REZ198" s="2"/>
      <c r="RFA198" s="2"/>
      <c r="RFB198" s="2"/>
      <c r="RFC198" s="2"/>
      <c r="RFD198" s="2"/>
      <c r="RFE198" s="2"/>
      <c r="RFF198" s="2"/>
      <c r="RFG198" s="2"/>
      <c r="RFH198" s="2"/>
      <c r="RFI198" s="2"/>
      <c r="RFJ198" s="2"/>
      <c r="RFK198" s="2"/>
      <c r="RFL198" s="2"/>
      <c r="RFM198" s="2"/>
      <c r="RFN198" s="2"/>
      <c r="RFO198" s="2"/>
      <c r="RFP198" s="2"/>
      <c r="RFQ198" s="2"/>
      <c r="RFR198" s="2"/>
      <c r="RFS198" s="2"/>
      <c r="RFT198" s="2"/>
      <c r="RFU198" s="2"/>
      <c r="RFV198" s="2"/>
      <c r="RFW198" s="2"/>
      <c r="RFX198" s="2"/>
      <c r="RFY198" s="2"/>
      <c r="RFZ198" s="2"/>
      <c r="RGA198" s="2"/>
      <c r="RGB198" s="2"/>
      <c r="RGC198" s="2"/>
      <c r="RGD198" s="2"/>
      <c r="RGE198" s="2"/>
      <c r="RGF198" s="2"/>
      <c r="RGG198" s="2"/>
      <c r="RGH198" s="2"/>
      <c r="RGI198" s="2"/>
      <c r="RGJ198" s="2"/>
      <c r="RGK198" s="2"/>
      <c r="RGL198" s="2"/>
      <c r="RGM198" s="2"/>
      <c r="RGN198" s="2"/>
      <c r="RGO198" s="2"/>
      <c r="RGP198" s="2"/>
      <c r="RGQ198" s="2"/>
      <c r="RGR198" s="2"/>
      <c r="RGS198" s="2"/>
      <c r="RGT198" s="2"/>
      <c r="RGU198" s="2"/>
      <c r="RGV198" s="2"/>
      <c r="RGW198" s="2"/>
      <c r="RGX198" s="2"/>
      <c r="RGY198" s="2"/>
      <c r="RGZ198" s="2"/>
      <c r="RHA198" s="2"/>
      <c r="RHB198" s="2"/>
      <c r="RHC198" s="2"/>
      <c r="RHD198" s="2"/>
      <c r="RHE198" s="2"/>
      <c r="RHF198" s="2"/>
      <c r="RHG198" s="2"/>
      <c r="RHH198" s="2"/>
      <c r="RHI198" s="2"/>
      <c r="RHJ198" s="2"/>
      <c r="RHK198" s="2"/>
      <c r="RHL198" s="2"/>
      <c r="RHM198" s="2"/>
      <c r="RHN198" s="2"/>
      <c r="RHO198" s="2"/>
      <c r="RHP198" s="2"/>
      <c r="RHQ198" s="2"/>
      <c r="RHR198" s="2"/>
      <c r="RHS198" s="2"/>
      <c r="RHT198" s="2"/>
      <c r="RHU198" s="2"/>
      <c r="RHV198" s="2"/>
      <c r="RHW198" s="2"/>
      <c r="RHX198" s="2"/>
      <c r="RHY198" s="2"/>
      <c r="RHZ198" s="2"/>
      <c r="RIA198" s="2"/>
      <c r="RIB198" s="2"/>
      <c r="RIC198" s="2"/>
      <c r="RID198" s="2"/>
      <c r="RIE198" s="2"/>
      <c r="RIF198" s="2"/>
      <c r="RIG198" s="2"/>
      <c r="RIH198" s="2"/>
      <c r="RII198" s="2"/>
      <c r="RIJ198" s="2"/>
      <c r="RIK198" s="2"/>
      <c r="RIL198" s="2"/>
      <c r="RIM198" s="2"/>
      <c r="RIN198" s="2"/>
      <c r="RIO198" s="2"/>
      <c r="RIP198" s="2"/>
      <c r="RIQ198" s="2"/>
      <c r="RIR198" s="2"/>
      <c r="RIS198" s="2"/>
      <c r="RIT198" s="2"/>
      <c r="RIU198" s="2"/>
      <c r="RIV198" s="2"/>
      <c r="RIW198" s="2"/>
      <c r="RIX198" s="2"/>
      <c r="RIY198" s="2"/>
      <c r="RIZ198" s="2"/>
      <c r="RJA198" s="2"/>
      <c r="RJB198" s="2"/>
      <c r="RJC198" s="2"/>
      <c r="RJD198" s="2"/>
      <c r="RJE198" s="2"/>
      <c r="RJF198" s="2"/>
      <c r="RJG198" s="2"/>
      <c r="RJH198" s="2"/>
      <c r="RJI198" s="2"/>
      <c r="RJJ198" s="2"/>
      <c r="RJK198" s="2"/>
      <c r="RJL198" s="2"/>
      <c r="RJM198" s="2"/>
      <c r="RJN198" s="2"/>
      <c r="RJO198" s="2"/>
      <c r="RJP198" s="2"/>
      <c r="RJQ198" s="2"/>
      <c r="RJR198" s="2"/>
      <c r="RJS198" s="2"/>
      <c r="RJT198" s="2"/>
      <c r="RJU198" s="2"/>
      <c r="RJV198" s="2"/>
      <c r="RJW198" s="2"/>
      <c r="RJX198" s="2"/>
      <c r="RJY198" s="2"/>
      <c r="RJZ198" s="2"/>
      <c r="RKA198" s="2"/>
      <c r="RKB198" s="2"/>
      <c r="RKC198" s="2"/>
      <c r="RKD198" s="2"/>
      <c r="RKE198" s="2"/>
      <c r="RKF198" s="2"/>
      <c r="RKG198" s="2"/>
      <c r="RKH198" s="2"/>
      <c r="RKI198" s="2"/>
      <c r="RKJ198" s="2"/>
      <c r="RKK198" s="2"/>
      <c r="RKL198" s="2"/>
      <c r="RKM198" s="2"/>
      <c r="RKN198" s="2"/>
      <c r="RKO198" s="2"/>
      <c r="RKP198" s="2"/>
      <c r="RKQ198" s="2"/>
      <c r="RKR198" s="2"/>
      <c r="RKS198" s="2"/>
      <c r="RKT198" s="2"/>
      <c r="RKU198" s="2"/>
      <c r="RKV198" s="2"/>
      <c r="RKW198" s="2"/>
      <c r="RKX198" s="2"/>
      <c r="RKY198" s="2"/>
      <c r="RKZ198" s="2"/>
      <c r="RLA198" s="2"/>
      <c r="RLB198" s="2"/>
      <c r="RLC198" s="2"/>
      <c r="RLD198" s="2"/>
      <c r="RLE198" s="2"/>
      <c r="RLF198" s="2"/>
      <c r="RLG198" s="2"/>
      <c r="RLH198" s="2"/>
      <c r="RLI198" s="2"/>
      <c r="RLJ198" s="2"/>
      <c r="RLK198" s="2"/>
      <c r="RLL198" s="2"/>
      <c r="RLM198" s="2"/>
      <c r="RLN198" s="2"/>
      <c r="RLO198" s="2"/>
      <c r="RLP198" s="2"/>
      <c r="RLQ198" s="2"/>
      <c r="RLR198" s="2"/>
      <c r="RLS198" s="2"/>
      <c r="RLT198" s="2"/>
      <c r="RLU198" s="2"/>
      <c r="RLV198" s="2"/>
      <c r="RLW198" s="2"/>
      <c r="RLX198" s="2"/>
      <c r="RLY198" s="2"/>
      <c r="RLZ198" s="2"/>
      <c r="RMA198" s="2"/>
      <c r="RMB198" s="2"/>
      <c r="RMC198" s="2"/>
      <c r="RMD198" s="2"/>
      <c r="RME198" s="2"/>
      <c r="RMF198" s="2"/>
      <c r="RMG198" s="2"/>
      <c r="RMH198" s="2"/>
      <c r="RMI198" s="2"/>
      <c r="RMJ198" s="2"/>
      <c r="RMK198" s="2"/>
      <c r="RML198" s="2"/>
      <c r="RMM198" s="2"/>
      <c r="RMN198" s="2"/>
      <c r="RMO198" s="2"/>
      <c r="RMP198" s="2"/>
      <c r="RMQ198" s="2"/>
      <c r="RMR198" s="2"/>
      <c r="RMS198" s="2"/>
      <c r="RMT198" s="2"/>
      <c r="RMU198" s="2"/>
      <c r="RMV198" s="2"/>
      <c r="RMW198" s="2"/>
      <c r="RMX198" s="2"/>
      <c r="RMY198" s="2"/>
      <c r="RMZ198" s="2"/>
      <c r="RNA198" s="2"/>
      <c r="RNB198" s="2"/>
      <c r="RNC198" s="2"/>
      <c r="RND198" s="2"/>
      <c r="RNE198" s="2"/>
      <c r="RNF198" s="2"/>
      <c r="RNG198" s="2"/>
      <c r="RNH198" s="2"/>
      <c r="RNI198" s="2"/>
      <c r="RNJ198" s="2"/>
      <c r="RNK198" s="2"/>
      <c r="RNL198" s="2"/>
      <c r="RNM198" s="2"/>
      <c r="RNN198" s="2"/>
      <c r="RNO198" s="2"/>
      <c r="RNP198" s="2"/>
      <c r="RNQ198" s="2"/>
      <c r="RNR198" s="2"/>
      <c r="RNS198" s="2"/>
      <c r="RNT198" s="2"/>
      <c r="RNU198" s="2"/>
      <c r="RNV198" s="2"/>
      <c r="RNW198" s="2"/>
      <c r="RNX198" s="2"/>
      <c r="RNY198" s="2"/>
      <c r="RNZ198" s="2"/>
      <c r="ROA198" s="2"/>
      <c r="ROB198" s="2"/>
      <c r="ROC198" s="2"/>
      <c r="ROD198" s="2"/>
      <c r="ROE198" s="2"/>
      <c r="ROF198" s="2"/>
      <c r="ROG198" s="2"/>
      <c r="ROH198" s="2"/>
      <c r="ROI198" s="2"/>
      <c r="ROJ198" s="2"/>
      <c r="ROK198" s="2"/>
      <c r="ROL198" s="2"/>
      <c r="ROM198" s="2"/>
      <c r="RON198" s="2"/>
      <c r="ROO198" s="2"/>
      <c r="ROP198" s="2"/>
      <c r="ROQ198" s="2"/>
      <c r="ROR198" s="2"/>
      <c r="ROS198" s="2"/>
      <c r="ROT198" s="2"/>
      <c r="ROU198" s="2"/>
      <c r="ROV198" s="2"/>
      <c r="ROW198" s="2"/>
      <c r="ROX198" s="2"/>
      <c r="ROY198" s="2"/>
      <c r="ROZ198" s="2"/>
      <c r="RPA198" s="2"/>
      <c r="RPB198" s="2"/>
      <c r="RPC198" s="2"/>
      <c r="RPD198" s="2"/>
      <c r="RPE198" s="2"/>
      <c r="RPF198" s="2"/>
      <c r="RPG198" s="2"/>
      <c r="RPH198" s="2"/>
      <c r="RPI198" s="2"/>
      <c r="RPJ198" s="2"/>
      <c r="RPK198" s="2"/>
      <c r="RPL198" s="2"/>
      <c r="RPM198" s="2"/>
      <c r="RPN198" s="2"/>
      <c r="RPO198" s="2"/>
      <c r="RPP198" s="2"/>
      <c r="RPQ198" s="2"/>
      <c r="RPR198" s="2"/>
      <c r="RPS198" s="2"/>
      <c r="RPT198" s="2"/>
      <c r="RPU198" s="2"/>
      <c r="RPV198" s="2"/>
      <c r="RPW198" s="2"/>
      <c r="RPX198" s="2"/>
      <c r="RPY198" s="2"/>
      <c r="RPZ198" s="2"/>
      <c r="RQA198" s="2"/>
      <c r="RQB198" s="2"/>
      <c r="RQC198" s="2"/>
      <c r="RQD198" s="2"/>
      <c r="RQE198" s="2"/>
      <c r="RQF198" s="2"/>
      <c r="RQG198" s="2"/>
      <c r="RQH198" s="2"/>
      <c r="RQI198" s="2"/>
      <c r="RQJ198" s="2"/>
      <c r="RQK198" s="2"/>
      <c r="RQL198" s="2"/>
      <c r="RQM198" s="2"/>
      <c r="RQN198" s="2"/>
      <c r="RQO198" s="2"/>
      <c r="RQP198" s="2"/>
      <c r="RQQ198" s="2"/>
      <c r="RQR198" s="2"/>
      <c r="RQS198" s="2"/>
      <c r="RQT198" s="2"/>
      <c r="RQU198" s="2"/>
      <c r="RQV198" s="2"/>
      <c r="RQW198" s="2"/>
      <c r="RQX198" s="2"/>
      <c r="RQY198" s="2"/>
      <c r="RQZ198" s="2"/>
      <c r="RRA198" s="2"/>
      <c r="RRB198" s="2"/>
      <c r="RRC198" s="2"/>
      <c r="RRD198" s="2"/>
      <c r="RRE198" s="2"/>
      <c r="RRF198" s="2"/>
      <c r="RRG198" s="2"/>
      <c r="RRH198" s="2"/>
      <c r="RRI198" s="2"/>
      <c r="RRJ198" s="2"/>
      <c r="RRK198" s="2"/>
      <c r="RRL198" s="2"/>
      <c r="RRM198" s="2"/>
      <c r="RRN198" s="2"/>
      <c r="RRO198" s="2"/>
      <c r="RRP198" s="2"/>
      <c r="RRQ198" s="2"/>
      <c r="RRR198" s="2"/>
      <c r="RRS198" s="2"/>
      <c r="RRT198" s="2"/>
      <c r="RRU198" s="2"/>
      <c r="RRV198" s="2"/>
      <c r="RRW198" s="2"/>
      <c r="RRX198" s="2"/>
      <c r="RRY198" s="2"/>
      <c r="RRZ198" s="2"/>
      <c r="RSA198" s="2"/>
      <c r="RSB198" s="2"/>
      <c r="RSC198" s="2"/>
      <c r="RSD198" s="2"/>
      <c r="RSE198" s="2"/>
      <c r="RSF198" s="2"/>
      <c r="RSG198" s="2"/>
      <c r="RSH198" s="2"/>
      <c r="RSI198" s="2"/>
      <c r="RSJ198" s="2"/>
      <c r="RSK198" s="2"/>
      <c r="RSL198" s="2"/>
      <c r="RSM198" s="2"/>
      <c r="RSN198" s="2"/>
      <c r="RSO198" s="2"/>
      <c r="RSP198" s="2"/>
      <c r="RSQ198" s="2"/>
      <c r="RSR198" s="2"/>
      <c r="RSS198" s="2"/>
      <c r="RST198" s="2"/>
      <c r="RSU198" s="2"/>
      <c r="RSV198" s="2"/>
      <c r="RSW198" s="2"/>
      <c r="RSX198" s="2"/>
      <c r="RSY198" s="2"/>
      <c r="RSZ198" s="2"/>
      <c r="RTA198" s="2"/>
      <c r="RTB198" s="2"/>
      <c r="RTC198" s="2"/>
      <c r="RTD198" s="2"/>
      <c r="RTE198" s="2"/>
      <c r="RTF198" s="2"/>
      <c r="RTG198" s="2"/>
      <c r="RTH198" s="2"/>
      <c r="RTI198" s="2"/>
      <c r="RTJ198" s="2"/>
      <c r="RTK198" s="2"/>
      <c r="RTL198" s="2"/>
      <c r="RTM198" s="2"/>
      <c r="RTN198" s="2"/>
      <c r="RTO198" s="2"/>
      <c r="RTP198" s="2"/>
      <c r="RTQ198" s="2"/>
      <c r="RTR198" s="2"/>
      <c r="RTS198" s="2"/>
      <c r="RTT198" s="2"/>
      <c r="RTU198" s="2"/>
      <c r="RTV198" s="2"/>
      <c r="RTW198" s="2"/>
      <c r="RTX198" s="2"/>
      <c r="RTY198" s="2"/>
      <c r="RTZ198" s="2"/>
      <c r="RUA198" s="2"/>
      <c r="RUB198" s="2"/>
      <c r="RUC198" s="2"/>
      <c r="RUD198" s="2"/>
      <c r="RUE198" s="2"/>
      <c r="RUF198" s="2"/>
      <c r="RUG198" s="2"/>
      <c r="RUH198" s="2"/>
      <c r="RUI198" s="2"/>
      <c r="RUJ198" s="2"/>
      <c r="RUK198" s="2"/>
      <c r="RUL198" s="2"/>
      <c r="RUM198" s="2"/>
      <c r="RUN198" s="2"/>
      <c r="RUO198" s="2"/>
      <c r="RUP198" s="2"/>
      <c r="RUQ198" s="2"/>
      <c r="RUR198" s="2"/>
      <c r="RUS198" s="2"/>
      <c r="RUT198" s="2"/>
      <c r="RUU198" s="2"/>
      <c r="RUV198" s="2"/>
      <c r="RUW198" s="2"/>
      <c r="RUX198" s="2"/>
      <c r="RUY198" s="2"/>
      <c r="RUZ198" s="2"/>
      <c r="RVA198" s="2"/>
      <c r="RVB198" s="2"/>
      <c r="RVC198" s="2"/>
      <c r="RVD198" s="2"/>
      <c r="RVE198" s="2"/>
      <c r="RVF198" s="2"/>
      <c r="RVG198" s="2"/>
      <c r="RVH198" s="2"/>
      <c r="RVI198" s="2"/>
      <c r="RVJ198" s="2"/>
      <c r="RVK198" s="2"/>
      <c r="RVL198" s="2"/>
      <c r="RVM198" s="2"/>
      <c r="RVN198" s="2"/>
      <c r="RVO198" s="2"/>
      <c r="RVP198" s="2"/>
      <c r="RVQ198" s="2"/>
      <c r="RVR198" s="2"/>
      <c r="RVS198" s="2"/>
      <c r="RVT198" s="2"/>
      <c r="RVU198" s="2"/>
      <c r="RVV198" s="2"/>
      <c r="RVW198" s="2"/>
      <c r="RVX198" s="2"/>
      <c r="RVY198" s="2"/>
      <c r="RVZ198" s="2"/>
      <c r="RWA198" s="2"/>
      <c r="RWB198" s="2"/>
      <c r="RWC198" s="2"/>
      <c r="RWD198" s="2"/>
      <c r="RWE198" s="2"/>
      <c r="RWF198" s="2"/>
      <c r="RWG198" s="2"/>
      <c r="RWH198" s="2"/>
      <c r="RWI198" s="2"/>
      <c r="RWJ198" s="2"/>
      <c r="RWK198" s="2"/>
      <c r="RWL198" s="2"/>
      <c r="RWM198" s="2"/>
      <c r="RWN198" s="2"/>
      <c r="RWO198" s="2"/>
      <c r="RWP198" s="2"/>
      <c r="RWQ198" s="2"/>
      <c r="RWR198" s="2"/>
      <c r="RWS198" s="2"/>
      <c r="RWT198" s="2"/>
      <c r="RWU198" s="2"/>
      <c r="RWV198" s="2"/>
      <c r="RWW198" s="2"/>
      <c r="RWX198" s="2"/>
      <c r="RWY198" s="2"/>
      <c r="RWZ198" s="2"/>
      <c r="RXA198" s="2"/>
      <c r="RXB198" s="2"/>
      <c r="RXC198" s="2"/>
      <c r="RXD198" s="2"/>
      <c r="RXE198" s="2"/>
      <c r="RXF198" s="2"/>
      <c r="RXG198" s="2"/>
      <c r="RXH198" s="2"/>
      <c r="RXI198" s="2"/>
      <c r="RXJ198" s="2"/>
      <c r="RXK198" s="2"/>
      <c r="RXL198" s="2"/>
      <c r="RXM198" s="2"/>
      <c r="RXN198" s="2"/>
      <c r="RXO198" s="2"/>
      <c r="RXP198" s="2"/>
      <c r="RXQ198" s="2"/>
      <c r="RXR198" s="2"/>
      <c r="RXS198" s="2"/>
      <c r="RXT198" s="2"/>
      <c r="RXU198" s="2"/>
      <c r="RXV198" s="2"/>
      <c r="RXW198" s="2"/>
      <c r="RXX198" s="2"/>
      <c r="RXY198" s="2"/>
      <c r="RXZ198" s="2"/>
      <c r="RYA198" s="2"/>
      <c r="RYB198" s="2"/>
      <c r="RYC198" s="2"/>
      <c r="RYD198" s="2"/>
      <c r="RYE198" s="2"/>
      <c r="RYF198" s="2"/>
      <c r="RYG198" s="2"/>
      <c r="RYH198" s="2"/>
      <c r="RYI198" s="2"/>
      <c r="RYJ198" s="2"/>
      <c r="RYK198" s="2"/>
      <c r="RYL198" s="2"/>
      <c r="RYM198" s="2"/>
      <c r="RYN198" s="2"/>
      <c r="RYO198" s="2"/>
      <c r="RYP198" s="2"/>
      <c r="RYQ198" s="2"/>
      <c r="RYR198" s="2"/>
      <c r="RYS198" s="2"/>
      <c r="RYT198" s="2"/>
      <c r="RYU198" s="2"/>
      <c r="RYV198" s="2"/>
      <c r="RYW198" s="2"/>
      <c r="RYX198" s="2"/>
      <c r="RYY198" s="2"/>
      <c r="RYZ198" s="2"/>
      <c r="RZA198" s="2"/>
      <c r="RZB198" s="2"/>
      <c r="RZC198" s="2"/>
      <c r="RZD198" s="2"/>
      <c r="RZE198" s="2"/>
      <c r="RZF198" s="2"/>
      <c r="RZG198" s="2"/>
      <c r="RZH198" s="2"/>
      <c r="RZI198" s="2"/>
      <c r="RZJ198" s="2"/>
      <c r="RZK198" s="2"/>
      <c r="RZL198" s="2"/>
      <c r="RZM198" s="2"/>
      <c r="RZN198" s="2"/>
      <c r="RZO198" s="2"/>
      <c r="RZP198" s="2"/>
      <c r="RZQ198" s="2"/>
      <c r="RZR198" s="2"/>
      <c r="RZS198" s="2"/>
      <c r="RZT198" s="2"/>
      <c r="RZU198" s="2"/>
      <c r="RZV198" s="2"/>
      <c r="RZW198" s="2"/>
      <c r="RZX198" s="2"/>
      <c r="RZY198" s="2"/>
      <c r="RZZ198" s="2"/>
      <c r="SAA198" s="2"/>
      <c r="SAB198" s="2"/>
      <c r="SAC198" s="2"/>
      <c r="SAD198" s="2"/>
      <c r="SAE198" s="2"/>
      <c r="SAF198" s="2"/>
      <c r="SAG198" s="2"/>
      <c r="SAH198" s="2"/>
      <c r="SAI198" s="2"/>
      <c r="SAJ198" s="2"/>
      <c r="SAK198" s="2"/>
      <c r="SAL198" s="2"/>
      <c r="SAM198" s="2"/>
      <c r="SAN198" s="2"/>
      <c r="SAO198" s="2"/>
      <c r="SAP198" s="2"/>
      <c r="SAQ198" s="2"/>
      <c r="SAR198" s="2"/>
      <c r="SAS198" s="2"/>
      <c r="SAT198" s="2"/>
      <c r="SAU198" s="2"/>
      <c r="SAV198" s="2"/>
      <c r="SAW198" s="2"/>
      <c r="SAX198" s="2"/>
      <c r="SAY198" s="2"/>
      <c r="SAZ198" s="2"/>
      <c r="SBA198" s="2"/>
      <c r="SBB198" s="2"/>
      <c r="SBC198" s="2"/>
      <c r="SBD198" s="2"/>
      <c r="SBE198" s="2"/>
      <c r="SBF198" s="2"/>
      <c r="SBG198" s="2"/>
      <c r="SBH198" s="2"/>
      <c r="SBI198" s="2"/>
      <c r="SBJ198" s="2"/>
      <c r="SBK198" s="2"/>
      <c r="SBL198" s="2"/>
      <c r="SBM198" s="2"/>
      <c r="SBN198" s="2"/>
      <c r="SBO198" s="2"/>
      <c r="SBP198" s="2"/>
      <c r="SBQ198" s="2"/>
      <c r="SBR198" s="2"/>
      <c r="SBS198" s="2"/>
      <c r="SBT198" s="2"/>
      <c r="SBU198" s="2"/>
      <c r="SBV198" s="2"/>
      <c r="SBW198" s="2"/>
      <c r="SBX198" s="2"/>
      <c r="SBY198" s="2"/>
      <c r="SBZ198" s="2"/>
      <c r="SCA198" s="2"/>
      <c r="SCB198" s="2"/>
      <c r="SCC198" s="2"/>
      <c r="SCD198" s="2"/>
      <c r="SCE198" s="2"/>
      <c r="SCF198" s="2"/>
      <c r="SCG198" s="2"/>
      <c r="SCH198" s="2"/>
      <c r="SCI198" s="2"/>
      <c r="SCJ198" s="2"/>
      <c r="SCK198" s="2"/>
      <c r="SCL198" s="2"/>
      <c r="SCM198" s="2"/>
      <c r="SCN198" s="2"/>
      <c r="SCO198" s="2"/>
      <c r="SCP198" s="2"/>
      <c r="SCQ198" s="2"/>
      <c r="SCR198" s="2"/>
      <c r="SCS198" s="2"/>
      <c r="SCT198" s="2"/>
      <c r="SCU198" s="2"/>
      <c r="SCV198" s="2"/>
      <c r="SCW198" s="2"/>
      <c r="SCX198" s="2"/>
      <c r="SCY198" s="2"/>
      <c r="SCZ198" s="2"/>
      <c r="SDA198" s="2"/>
      <c r="SDB198" s="2"/>
      <c r="SDC198" s="2"/>
      <c r="SDD198" s="2"/>
      <c r="SDE198" s="2"/>
      <c r="SDF198" s="2"/>
      <c r="SDG198" s="2"/>
      <c r="SDH198" s="2"/>
      <c r="SDI198" s="2"/>
      <c r="SDJ198" s="2"/>
      <c r="SDK198" s="2"/>
      <c r="SDL198" s="2"/>
      <c r="SDM198" s="2"/>
      <c r="SDN198" s="2"/>
      <c r="SDO198" s="2"/>
      <c r="SDP198" s="2"/>
      <c r="SDQ198" s="2"/>
      <c r="SDR198" s="2"/>
      <c r="SDS198" s="2"/>
      <c r="SDT198" s="2"/>
      <c r="SDU198" s="2"/>
      <c r="SDV198" s="2"/>
      <c r="SDW198" s="2"/>
      <c r="SDX198" s="2"/>
      <c r="SDY198" s="2"/>
      <c r="SDZ198" s="2"/>
      <c r="SEA198" s="2"/>
      <c r="SEB198" s="2"/>
      <c r="SEC198" s="2"/>
      <c r="SED198" s="2"/>
      <c r="SEE198" s="2"/>
      <c r="SEF198" s="2"/>
      <c r="SEG198" s="2"/>
      <c r="SEH198" s="2"/>
      <c r="SEI198" s="2"/>
      <c r="SEJ198" s="2"/>
      <c r="SEK198" s="2"/>
      <c r="SEL198" s="2"/>
      <c r="SEM198" s="2"/>
      <c r="SEN198" s="2"/>
      <c r="SEO198" s="2"/>
      <c r="SEP198" s="2"/>
      <c r="SEQ198" s="2"/>
      <c r="SER198" s="2"/>
      <c r="SES198" s="2"/>
      <c r="SET198" s="2"/>
      <c r="SEU198" s="2"/>
      <c r="SEV198" s="2"/>
      <c r="SEW198" s="2"/>
      <c r="SEX198" s="2"/>
      <c r="SEY198" s="2"/>
      <c r="SEZ198" s="2"/>
      <c r="SFA198" s="2"/>
      <c r="SFB198" s="2"/>
      <c r="SFC198" s="2"/>
      <c r="SFD198" s="2"/>
      <c r="SFE198" s="2"/>
      <c r="SFF198" s="2"/>
      <c r="SFG198" s="2"/>
      <c r="SFH198" s="2"/>
      <c r="SFI198" s="2"/>
      <c r="SFJ198" s="2"/>
      <c r="SFK198" s="2"/>
      <c r="SFL198" s="2"/>
      <c r="SFM198" s="2"/>
      <c r="SFN198" s="2"/>
      <c r="SFO198" s="2"/>
      <c r="SFP198" s="2"/>
      <c r="SFQ198" s="2"/>
      <c r="SFR198" s="2"/>
      <c r="SFS198" s="2"/>
      <c r="SFT198" s="2"/>
      <c r="SFU198" s="2"/>
      <c r="SFV198" s="2"/>
      <c r="SFW198" s="2"/>
      <c r="SFX198" s="2"/>
      <c r="SFY198" s="2"/>
      <c r="SFZ198" s="2"/>
      <c r="SGA198" s="2"/>
      <c r="SGB198" s="2"/>
      <c r="SGC198" s="2"/>
      <c r="SGD198" s="2"/>
      <c r="SGE198" s="2"/>
      <c r="SGF198" s="2"/>
      <c r="SGG198" s="2"/>
      <c r="SGH198" s="2"/>
      <c r="SGI198" s="2"/>
      <c r="SGJ198" s="2"/>
      <c r="SGK198" s="2"/>
      <c r="SGL198" s="2"/>
      <c r="SGM198" s="2"/>
      <c r="SGN198" s="2"/>
      <c r="SGO198" s="2"/>
      <c r="SGP198" s="2"/>
      <c r="SGQ198" s="2"/>
      <c r="SGR198" s="2"/>
      <c r="SGS198" s="2"/>
      <c r="SGT198" s="2"/>
      <c r="SGU198" s="2"/>
      <c r="SGV198" s="2"/>
      <c r="SGW198" s="2"/>
      <c r="SGX198" s="2"/>
      <c r="SGY198" s="2"/>
      <c r="SGZ198" s="2"/>
      <c r="SHA198" s="2"/>
      <c r="SHB198" s="2"/>
      <c r="SHC198" s="2"/>
      <c r="SHD198" s="2"/>
      <c r="SHE198" s="2"/>
      <c r="SHF198" s="2"/>
      <c r="SHG198" s="2"/>
      <c r="SHH198" s="2"/>
      <c r="SHI198" s="2"/>
      <c r="SHJ198" s="2"/>
      <c r="SHK198" s="2"/>
      <c r="SHL198" s="2"/>
      <c r="SHM198" s="2"/>
      <c r="SHN198" s="2"/>
      <c r="SHO198" s="2"/>
      <c r="SHP198" s="2"/>
      <c r="SHQ198" s="2"/>
      <c r="SHR198" s="2"/>
      <c r="SHS198" s="2"/>
      <c r="SHT198" s="2"/>
      <c r="SHU198" s="2"/>
      <c r="SHV198" s="2"/>
      <c r="SHW198" s="2"/>
      <c r="SHX198" s="2"/>
      <c r="SHY198" s="2"/>
      <c r="SHZ198" s="2"/>
      <c r="SIA198" s="2"/>
      <c r="SIB198" s="2"/>
      <c r="SIC198" s="2"/>
      <c r="SID198" s="2"/>
      <c r="SIE198" s="2"/>
      <c r="SIF198" s="2"/>
      <c r="SIG198" s="2"/>
      <c r="SIH198" s="2"/>
      <c r="SII198" s="2"/>
      <c r="SIJ198" s="2"/>
      <c r="SIK198" s="2"/>
      <c r="SIL198" s="2"/>
      <c r="SIM198" s="2"/>
      <c r="SIN198" s="2"/>
      <c r="SIO198" s="2"/>
      <c r="SIP198" s="2"/>
      <c r="SIQ198" s="2"/>
      <c r="SIR198" s="2"/>
      <c r="SIS198" s="2"/>
      <c r="SIT198" s="2"/>
      <c r="SIU198" s="2"/>
      <c r="SIV198" s="2"/>
      <c r="SIW198" s="2"/>
      <c r="SIX198" s="2"/>
      <c r="SIY198" s="2"/>
      <c r="SIZ198" s="2"/>
      <c r="SJA198" s="2"/>
      <c r="SJB198" s="2"/>
      <c r="SJC198" s="2"/>
      <c r="SJD198" s="2"/>
      <c r="SJE198" s="2"/>
      <c r="SJF198" s="2"/>
      <c r="SJG198" s="2"/>
      <c r="SJH198" s="2"/>
      <c r="SJI198" s="2"/>
      <c r="SJJ198" s="2"/>
      <c r="SJK198" s="2"/>
      <c r="SJL198" s="2"/>
      <c r="SJM198" s="2"/>
      <c r="SJN198" s="2"/>
      <c r="SJO198" s="2"/>
      <c r="SJP198" s="2"/>
      <c r="SJQ198" s="2"/>
      <c r="SJR198" s="2"/>
      <c r="SJS198" s="2"/>
      <c r="SJT198" s="2"/>
      <c r="SJU198" s="2"/>
      <c r="SJV198" s="2"/>
      <c r="SJW198" s="2"/>
      <c r="SJX198" s="2"/>
      <c r="SJY198" s="2"/>
      <c r="SJZ198" s="2"/>
      <c r="SKA198" s="2"/>
      <c r="SKB198" s="2"/>
      <c r="SKC198" s="2"/>
      <c r="SKD198" s="2"/>
      <c r="SKE198" s="2"/>
      <c r="SKF198" s="2"/>
      <c r="SKG198" s="2"/>
      <c r="SKH198" s="2"/>
      <c r="SKI198" s="2"/>
      <c r="SKJ198" s="2"/>
      <c r="SKK198" s="2"/>
      <c r="SKL198" s="2"/>
      <c r="SKM198" s="2"/>
      <c r="SKN198" s="2"/>
      <c r="SKO198" s="2"/>
      <c r="SKP198" s="2"/>
      <c r="SKQ198" s="2"/>
      <c r="SKR198" s="2"/>
      <c r="SKS198" s="2"/>
      <c r="SKT198" s="2"/>
      <c r="SKU198" s="2"/>
      <c r="SKV198" s="2"/>
      <c r="SKW198" s="2"/>
      <c r="SKX198" s="2"/>
      <c r="SKY198" s="2"/>
      <c r="SKZ198" s="2"/>
      <c r="SLA198" s="2"/>
      <c r="SLB198" s="2"/>
      <c r="SLC198" s="2"/>
      <c r="SLD198" s="2"/>
      <c r="SLE198" s="2"/>
      <c r="SLF198" s="2"/>
      <c r="SLG198" s="2"/>
      <c r="SLH198" s="2"/>
      <c r="SLI198" s="2"/>
      <c r="SLJ198" s="2"/>
      <c r="SLK198" s="2"/>
      <c r="SLL198" s="2"/>
      <c r="SLM198" s="2"/>
      <c r="SLN198" s="2"/>
      <c r="SLO198" s="2"/>
      <c r="SLP198" s="2"/>
      <c r="SLQ198" s="2"/>
      <c r="SLR198" s="2"/>
      <c r="SLS198" s="2"/>
      <c r="SLT198" s="2"/>
      <c r="SLU198" s="2"/>
      <c r="SLV198" s="2"/>
      <c r="SLW198" s="2"/>
      <c r="SLX198" s="2"/>
      <c r="SLY198" s="2"/>
      <c r="SLZ198" s="2"/>
      <c r="SMA198" s="2"/>
      <c r="SMB198" s="2"/>
      <c r="SMC198" s="2"/>
      <c r="SMD198" s="2"/>
      <c r="SME198" s="2"/>
      <c r="SMF198" s="2"/>
      <c r="SMG198" s="2"/>
      <c r="SMH198" s="2"/>
      <c r="SMI198" s="2"/>
      <c r="SMJ198" s="2"/>
      <c r="SMK198" s="2"/>
      <c r="SML198" s="2"/>
      <c r="SMM198" s="2"/>
      <c r="SMN198" s="2"/>
      <c r="SMO198" s="2"/>
      <c r="SMP198" s="2"/>
      <c r="SMQ198" s="2"/>
      <c r="SMR198" s="2"/>
      <c r="SMS198" s="2"/>
      <c r="SMT198" s="2"/>
      <c r="SMU198" s="2"/>
      <c r="SMV198" s="2"/>
      <c r="SMW198" s="2"/>
      <c r="SMX198" s="2"/>
      <c r="SMY198" s="2"/>
      <c r="SMZ198" s="2"/>
      <c r="SNA198" s="2"/>
      <c r="SNB198" s="2"/>
      <c r="SNC198" s="2"/>
      <c r="SND198" s="2"/>
      <c r="SNE198" s="2"/>
      <c r="SNF198" s="2"/>
      <c r="SNG198" s="2"/>
      <c r="SNH198" s="2"/>
      <c r="SNI198" s="2"/>
      <c r="SNJ198" s="2"/>
      <c r="SNK198" s="2"/>
      <c r="SNL198" s="2"/>
      <c r="SNM198" s="2"/>
      <c r="SNN198" s="2"/>
      <c r="SNO198" s="2"/>
      <c r="SNP198" s="2"/>
      <c r="SNQ198" s="2"/>
      <c r="SNR198" s="2"/>
      <c r="SNS198" s="2"/>
      <c r="SNT198" s="2"/>
      <c r="SNU198" s="2"/>
      <c r="SNV198" s="2"/>
      <c r="SNW198" s="2"/>
      <c r="SNX198" s="2"/>
      <c r="SNY198" s="2"/>
      <c r="SNZ198" s="2"/>
      <c r="SOA198" s="2"/>
      <c r="SOB198" s="2"/>
      <c r="SOC198" s="2"/>
      <c r="SOD198" s="2"/>
      <c r="SOE198" s="2"/>
      <c r="SOF198" s="2"/>
      <c r="SOG198" s="2"/>
      <c r="SOH198" s="2"/>
      <c r="SOI198" s="2"/>
      <c r="SOJ198" s="2"/>
      <c r="SOK198" s="2"/>
      <c r="SOL198" s="2"/>
      <c r="SOM198" s="2"/>
      <c r="SON198" s="2"/>
      <c r="SOO198" s="2"/>
      <c r="SOP198" s="2"/>
      <c r="SOQ198" s="2"/>
      <c r="SOR198" s="2"/>
      <c r="SOS198" s="2"/>
      <c r="SOT198" s="2"/>
      <c r="SOU198" s="2"/>
      <c r="SOV198" s="2"/>
      <c r="SOW198" s="2"/>
      <c r="SOX198" s="2"/>
      <c r="SOY198" s="2"/>
      <c r="SOZ198" s="2"/>
      <c r="SPA198" s="2"/>
      <c r="SPB198" s="2"/>
      <c r="SPC198" s="2"/>
      <c r="SPD198" s="2"/>
      <c r="SPE198" s="2"/>
      <c r="SPF198" s="2"/>
      <c r="SPG198" s="2"/>
      <c r="SPH198" s="2"/>
      <c r="SPI198" s="2"/>
      <c r="SPJ198" s="2"/>
      <c r="SPK198" s="2"/>
      <c r="SPL198" s="2"/>
      <c r="SPM198" s="2"/>
      <c r="SPN198" s="2"/>
      <c r="SPO198" s="2"/>
      <c r="SPP198" s="2"/>
      <c r="SPQ198" s="2"/>
      <c r="SPR198" s="2"/>
      <c r="SPS198" s="2"/>
      <c r="SPT198" s="2"/>
      <c r="SPU198" s="2"/>
      <c r="SPV198" s="2"/>
      <c r="SPW198" s="2"/>
      <c r="SPX198" s="2"/>
      <c r="SPY198" s="2"/>
      <c r="SPZ198" s="2"/>
      <c r="SQA198" s="2"/>
      <c r="SQB198" s="2"/>
      <c r="SQC198" s="2"/>
      <c r="SQD198" s="2"/>
      <c r="SQE198" s="2"/>
      <c r="SQF198" s="2"/>
      <c r="SQG198" s="2"/>
      <c r="SQH198" s="2"/>
      <c r="SQI198" s="2"/>
      <c r="SQJ198" s="2"/>
      <c r="SQK198" s="2"/>
      <c r="SQL198" s="2"/>
      <c r="SQM198" s="2"/>
      <c r="SQN198" s="2"/>
      <c r="SQO198" s="2"/>
      <c r="SQP198" s="2"/>
      <c r="SQQ198" s="2"/>
      <c r="SQR198" s="2"/>
      <c r="SQS198" s="2"/>
      <c r="SQT198" s="2"/>
      <c r="SQU198" s="2"/>
      <c r="SQV198" s="2"/>
      <c r="SQW198" s="2"/>
      <c r="SQX198" s="2"/>
      <c r="SQY198" s="2"/>
      <c r="SQZ198" s="2"/>
      <c r="SRA198" s="2"/>
      <c r="SRB198" s="2"/>
      <c r="SRC198" s="2"/>
      <c r="SRD198" s="2"/>
      <c r="SRE198" s="2"/>
      <c r="SRF198" s="2"/>
      <c r="SRG198" s="2"/>
      <c r="SRH198" s="2"/>
      <c r="SRI198" s="2"/>
      <c r="SRJ198" s="2"/>
      <c r="SRK198" s="2"/>
      <c r="SRL198" s="2"/>
      <c r="SRM198" s="2"/>
      <c r="SRN198" s="2"/>
      <c r="SRO198" s="2"/>
      <c r="SRP198" s="2"/>
      <c r="SRQ198" s="2"/>
      <c r="SRR198" s="2"/>
      <c r="SRS198" s="2"/>
      <c r="SRT198" s="2"/>
      <c r="SRU198" s="2"/>
      <c r="SRV198" s="2"/>
      <c r="SRW198" s="2"/>
      <c r="SRX198" s="2"/>
      <c r="SRY198" s="2"/>
      <c r="SRZ198" s="2"/>
      <c r="SSA198" s="2"/>
      <c r="SSB198" s="2"/>
      <c r="SSC198" s="2"/>
      <c r="SSD198" s="2"/>
      <c r="SSE198" s="2"/>
      <c r="SSF198" s="2"/>
      <c r="SSG198" s="2"/>
      <c r="SSH198" s="2"/>
      <c r="SSI198" s="2"/>
      <c r="SSJ198" s="2"/>
      <c r="SSK198" s="2"/>
      <c r="SSL198" s="2"/>
      <c r="SSM198" s="2"/>
      <c r="SSN198" s="2"/>
      <c r="SSO198" s="2"/>
      <c r="SSP198" s="2"/>
      <c r="SSQ198" s="2"/>
      <c r="SSR198" s="2"/>
      <c r="SSS198" s="2"/>
      <c r="SST198" s="2"/>
      <c r="SSU198" s="2"/>
      <c r="SSV198" s="2"/>
      <c r="SSW198" s="2"/>
      <c r="SSX198" s="2"/>
      <c r="SSY198" s="2"/>
      <c r="SSZ198" s="2"/>
      <c r="STA198" s="2"/>
      <c r="STB198" s="2"/>
      <c r="STC198" s="2"/>
      <c r="STD198" s="2"/>
      <c r="STE198" s="2"/>
      <c r="STF198" s="2"/>
      <c r="STG198" s="2"/>
      <c r="STH198" s="2"/>
      <c r="STI198" s="2"/>
      <c r="STJ198" s="2"/>
      <c r="STK198" s="2"/>
      <c r="STL198" s="2"/>
      <c r="STM198" s="2"/>
      <c r="STN198" s="2"/>
      <c r="STO198" s="2"/>
      <c r="STP198" s="2"/>
      <c r="STQ198" s="2"/>
      <c r="STR198" s="2"/>
      <c r="STS198" s="2"/>
      <c r="STT198" s="2"/>
      <c r="STU198" s="2"/>
      <c r="STV198" s="2"/>
      <c r="STW198" s="2"/>
      <c r="STX198" s="2"/>
      <c r="STY198" s="2"/>
      <c r="STZ198" s="2"/>
      <c r="SUA198" s="2"/>
      <c r="SUB198" s="2"/>
      <c r="SUC198" s="2"/>
      <c r="SUD198" s="2"/>
      <c r="SUE198" s="2"/>
      <c r="SUF198" s="2"/>
      <c r="SUG198" s="2"/>
      <c r="SUH198" s="2"/>
      <c r="SUI198" s="2"/>
      <c r="SUJ198" s="2"/>
      <c r="SUK198" s="2"/>
      <c r="SUL198" s="2"/>
      <c r="SUM198" s="2"/>
      <c r="SUN198" s="2"/>
      <c r="SUO198" s="2"/>
      <c r="SUP198" s="2"/>
      <c r="SUQ198" s="2"/>
      <c r="SUR198" s="2"/>
      <c r="SUS198" s="2"/>
      <c r="SUT198" s="2"/>
      <c r="SUU198" s="2"/>
      <c r="SUV198" s="2"/>
      <c r="SUW198" s="2"/>
      <c r="SUX198" s="2"/>
      <c r="SUY198" s="2"/>
      <c r="SUZ198" s="2"/>
      <c r="SVA198" s="2"/>
      <c r="SVB198" s="2"/>
      <c r="SVC198" s="2"/>
      <c r="SVD198" s="2"/>
      <c r="SVE198" s="2"/>
      <c r="SVF198" s="2"/>
      <c r="SVG198" s="2"/>
      <c r="SVH198" s="2"/>
      <c r="SVI198" s="2"/>
      <c r="SVJ198" s="2"/>
      <c r="SVK198" s="2"/>
      <c r="SVL198" s="2"/>
      <c r="SVM198" s="2"/>
      <c r="SVN198" s="2"/>
      <c r="SVO198" s="2"/>
      <c r="SVP198" s="2"/>
      <c r="SVQ198" s="2"/>
      <c r="SVR198" s="2"/>
      <c r="SVS198" s="2"/>
      <c r="SVT198" s="2"/>
      <c r="SVU198" s="2"/>
      <c r="SVV198" s="2"/>
      <c r="SVW198" s="2"/>
      <c r="SVX198" s="2"/>
      <c r="SVY198" s="2"/>
      <c r="SVZ198" s="2"/>
      <c r="SWA198" s="2"/>
      <c r="SWB198" s="2"/>
      <c r="SWC198" s="2"/>
      <c r="SWD198" s="2"/>
      <c r="SWE198" s="2"/>
      <c r="SWF198" s="2"/>
      <c r="SWG198" s="2"/>
      <c r="SWH198" s="2"/>
      <c r="SWI198" s="2"/>
      <c r="SWJ198" s="2"/>
      <c r="SWK198" s="2"/>
      <c r="SWL198" s="2"/>
      <c r="SWM198" s="2"/>
      <c r="SWN198" s="2"/>
      <c r="SWO198" s="2"/>
      <c r="SWP198" s="2"/>
      <c r="SWQ198" s="2"/>
      <c r="SWR198" s="2"/>
      <c r="SWS198" s="2"/>
      <c r="SWT198" s="2"/>
      <c r="SWU198" s="2"/>
      <c r="SWV198" s="2"/>
      <c r="SWW198" s="2"/>
      <c r="SWX198" s="2"/>
      <c r="SWY198" s="2"/>
      <c r="SWZ198" s="2"/>
      <c r="SXA198" s="2"/>
      <c r="SXB198" s="2"/>
      <c r="SXC198" s="2"/>
      <c r="SXD198" s="2"/>
      <c r="SXE198" s="2"/>
      <c r="SXF198" s="2"/>
      <c r="SXG198" s="2"/>
      <c r="SXH198" s="2"/>
      <c r="SXI198" s="2"/>
      <c r="SXJ198" s="2"/>
      <c r="SXK198" s="2"/>
      <c r="SXL198" s="2"/>
      <c r="SXM198" s="2"/>
      <c r="SXN198" s="2"/>
      <c r="SXO198" s="2"/>
      <c r="SXP198" s="2"/>
      <c r="SXQ198" s="2"/>
      <c r="SXR198" s="2"/>
      <c r="SXS198" s="2"/>
      <c r="SXT198" s="2"/>
      <c r="SXU198" s="2"/>
      <c r="SXV198" s="2"/>
      <c r="SXW198" s="2"/>
      <c r="SXX198" s="2"/>
      <c r="SXY198" s="2"/>
      <c r="SXZ198" s="2"/>
      <c r="SYA198" s="2"/>
      <c r="SYB198" s="2"/>
      <c r="SYC198" s="2"/>
      <c r="SYD198" s="2"/>
      <c r="SYE198" s="2"/>
      <c r="SYF198" s="2"/>
      <c r="SYG198" s="2"/>
      <c r="SYH198" s="2"/>
      <c r="SYI198" s="2"/>
      <c r="SYJ198" s="2"/>
      <c r="SYK198" s="2"/>
      <c r="SYL198" s="2"/>
      <c r="SYM198" s="2"/>
      <c r="SYN198" s="2"/>
      <c r="SYO198" s="2"/>
      <c r="SYP198" s="2"/>
      <c r="SYQ198" s="2"/>
      <c r="SYR198" s="2"/>
      <c r="SYS198" s="2"/>
      <c r="SYT198" s="2"/>
      <c r="SYU198" s="2"/>
      <c r="SYV198" s="2"/>
      <c r="SYW198" s="2"/>
      <c r="SYX198" s="2"/>
      <c r="SYY198" s="2"/>
      <c r="SYZ198" s="2"/>
      <c r="SZA198" s="2"/>
      <c r="SZB198" s="2"/>
      <c r="SZC198" s="2"/>
      <c r="SZD198" s="2"/>
      <c r="SZE198" s="2"/>
      <c r="SZF198" s="2"/>
      <c r="SZG198" s="2"/>
      <c r="SZH198" s="2"/>
      <c r="SZI198" s="2"/>
      <c r="SZJ198" s="2"/>
      <c r="SZK198" s="2"/>
      <c r="SZL198" s="2"/>
      <c r="SZM198" s="2"/>
      <c r="SZN198" s="2"/>
      <c r="SZO198" s="2"/>
      <c r="SZP198" s="2"/>
      <c r="SZQ198" s="2"/>
      <c r="SZR198" s="2"/>
      <c r="SZS198" s="2"/>
      <c r="SZT198" s="2"/>
      <c r="SZU198" s="2"/>
      <c r="SZV198" s="2"/>
      <c r="SZW198" s="2"/>
      <c r="SZX198" s="2"/>
      <c r="SZY198" s="2"/>
      <c r="SZZ198" s="2"/>
      <c r="TAA198" s="2"/>
      <c r="TAB198" s="2"/>
      <c r="TAC198" s="2"/>
      <c r="TAD198" s="2"/>
      <c r="TAE198" s="2"/>
      <c r="TAF198" s="2"/>
      <c r="TAG198" s="2"/>
      <c r="TAH198" s="2"/>
      <c r="TAI198" s="2"/>
      <c r="TAJ198" s="2"/>
      <c r="TAK198" s="2"/>
      <c r="TAL198" s="2"/>
      <c r="TAM198" s="2"/>
      <c r="TAN198" s="2"/>
      <c r="TAO198" s="2"/>
      <c r="TAP198" s="2"/>
      <c r="TAQ198" s="2"/>
      <c r="TAR198" s="2"/>
      <c r="TAS198" s="2"/>
      <c r="TAT198" s="2"/>
      <c r="TAU198" s="2"/>
      <c r="TAV198" s="2"/>
      <c r="TAW198" s="2"/>
      <c r="TAX198" s="2"/>
      <c r="TAY198" s="2"/>
      <c r="TAZ198" s="2"/>
      <c r="TBA198" s="2"/>
      <c r="TBB198" s="2"/>
      <c r="TBC198" s="2"/>
      <c r="TBD198" s="2"/>
      <c r="TBE198" s="2"/>
      <c r="TBF198" s="2"/>
      <c r="TBG198" s="2"/>
      <c r="TBH198" s="2"/>
      <c r="TBI198" s="2"/>
      <c r="TBJ198" s="2"/>
      <c r="TBK198" s="2"/>
      <c r="TBL198" s="2"/>
      <c r="TBM198" s="2"/>
      <c r="TBN198" s="2"/>
      <c r="TBO198" s="2"/>
      <c r="TBP198" s="2"/>
      <c r="TBQ198" s="2"/>
      <c r="TBR198" s="2"/>
      <c r="TBS198" s="2"/>
      <c r="TBT198" s="2"/>
      <c r="TBU198" s="2"/>
      <c r="TBV198" s="2"/>
      <c r="TBW198" s="2"/>
      <c r="TBX198" s="2"/>
      <c r="TBY198" s="2"/>
      <c r="TBZ198" s="2"/>
      <c r="TCA198" s="2"/>
      <c r="TCB198" s="2"/>
      <c r="TCC198" s="2"/>
      <c r="TCD198" s="2"/>
      <c r="TCE198" s="2"/>
      <c r="TCF198" s="2"/>
      <c r="TCG198" s="2"/>
      <c r="TCH198" s="2"/>
      <c r="TCI198" s="2"/>
      <c r="TCJ198" s="2"/>
      <c r="TCK198" s="2"/>
      <c r="TCL198" s="2"/>
      <c r="TCM198" s="2"/>
      <c r="TCN198" s="2"/>
      <c r="TCO198" s="2"/>
      <c r="TCP198" s="2"/>
      <c r="TCQ198" s="2"/>
      <c r="TCR198" s="2"/>
      <c r="TCS198" s="2"/>
      <c r="TCT198" s="2"/>
      <c r="TCU198" s="2"/>
      <c r="TCV198" s="2"/>
      <c r="TCW198" s="2"/>
      <c r="TCX198" s="2"/>
      <c r="TCY198" s="2"/>
      <c r="TCZ198" s="2"/>
      <c r="TDA198" s="2"/>
      <c r="TDB198" s="2"/>
      <c r="TDC198" s="2"/>
      <c r="TDD198" s="2"/>
      <c r="TDE198" s="2"/>
      <c r="TDF198" s="2"/>
      <c r="TDG198" s="2"/>
      <c r="TDH198" s="2"/>
      <c r="TDI198" s="2"/>
      <c r="TDJ198" s="2"/>
      <c r="TDK198" s="2"/>
      <c r="TDL198" s="2"/>
      <c r="TDM198" s="2"/>
      <c r="TDN198" s="2"/>
      <c r="TDO198" s="2"/>
      <c r="TDP198" s="2"/>
      <c r="TDQ198" s="2"/>
      <c r="TDR198" s="2"/>
      <c r="TDS198" s="2"/>
      <c r="TDT198" s="2"/>
      <c r="TDU198" s="2"/>
      <c r="TDV198" s="2"/>
      <c r="TDW198" s="2"/>
      <c r="TDX198" s="2"/>
      <c r="TDY198" s="2"/>
      <c r="TDZ198" s="2"/>
      <c r="TEA198" s="2"/>
      <c r="TEB198" s="2"/>
      <c r="TEC198" s="2"/>
      <c r="TED198" s="2"/>
      <c r="TEE198" s="2"/>
      <c r="TEF198" s="2"/>
      <c r="TEG198" s="2"/>
      <c r="TEH198" s="2"/>
      <c r="TEI198" s="2"/>
      <c r="TEJ198" s="2"/>
      <c r="TEK198" s="2"/>
      <c r="TEL198" s="2"/>
      <c r="TEM198" s="2"/>
      <c r="TEN198" s="2"/>
      <c r="TEO198" s="2"/>
      <c r="TEP198" s="2"/>
      <c r="TEQ198" s="2"/>
      <c r="TER198" s="2"/>
      <c r="TES198" s="2"/>
      <c r="TET198" s="2"/>
      <c r="TEU198" s="2"/>
      <c r="TEV198" s="2"/>
      <c r="TEW198" s="2"/>
      <c r="TEX198" s="2"/>
      <c r="TEY198" s="2"/>
      <c r="TEZ198" s="2"/>
      <c r="TFA198" s="2"/>
      <c r="TFB198" s="2"/>
      <c r="TFC198" s="2"/>
      <c r="TFD198" s="2"/>
      <c r="TFE198" s="2"/>
      <c r="TFF198" s="2"/>
      <c r="TFG198" s="2"/>
      <c r="TFH198" s="2"/>
      <c r="TFI198" s="2"/>
      <c r="TFJ198" s="2"/>
      <c r="TFK198" s="2"/>
      <c r="TFL198" s="2"/>
      <c r="TFM198" s="2"/>
      <c r="TFN198" s="2"/>
      <c r="TFO198" s="2"/>
      <c r="TFP198" s="2"/>
      <c r="TFQ198" s="2"/>
      <c r="TFR198" s="2"/>
      <c r="TFS198" s="2"/>
      <c r="TFT198" s="2"/>
      <c r="TFU198" s="2"/>
      <c r="TFV198" s="2"/>
      <c r="TFW198" s="2"/>
      <c r="TFX198" s="2"/>
      <c r="TFY198" s="2"/>
      <c r="TFZ198" s="2"/>
      <c r="TGA198" s="2"/>
      <c r="TGB198" s="2"/>
      <c r="TGC198" s="2"/>
      <c r="TGD198" s="2"/>
      <c r="TGE198" s="2"/>
      <c r="TGF198" s="2"/>
      <c r="TGG198" s="2"/>
      <c r="TGH198" s="2"/>
      <c r="TGI198" s="2"/>
      <c r="TGJ198" s="2"/>
      <c r="TGK198" s="2"/>
      <c r="TGL198" s="2"/>
      <c r="TGM198" s="2"/>
      <c r="TGN198" s="2"/>
      <c r="TGO198" s="2"/>
      <c r="TGP198" s="2"/>
      <c r="TGQ198" s="2"/>
      <c r="TGR198" s="2"/>
      <c r="TGS198" s="2"/>
      <c r="TGT198" s="2"/>
      <c r="TGU198" s="2"/>
      <c r="TGV198" s="2"/>
      <c r="TGW198" s="2"/>
      <c r="TGX198" s="2"/>
      <c r="TGY198" s="2"/>
      <c r="TGZ198" s="2"/>
      <c r="THA198" s="2"/>
      <c r="THB198" s="2"/>
      <c r="THC198" s="2"/>
      <c r="THD198" s="2"/>
      <c r="THE198" s="2"/>
      <c r="THF198" s="2"/>
      <c r="THG198" s="2"/>
      <c r="THH198" s="2"/>
      <c r="THI198" s="2"/>
      <c r="THJ198" s="2"/>
      <c r="THK198" s="2"/>
      <c r="THL198" s="2"/>
      <c r="THM198" s="2"/>
      <c r="THN198" s="2"/>
      <c r="THO198" s="2"/>
      <c r="THP198" s="2"/>
      <c r="THQ198" s="2"/>
      <c r="THR198" s="2"/>
      <c r="THS198" s="2"/>
      <c r="THT198" s="2"/>
      <c r="THU198" s="2"/>
      <c r="THV198" s="2"/>
      <c r="THW198" s="2"/>
      <c r="THX198" s="2"/>
      <c r="THY198" s="2"/>
      <c r="THZ198" s="2"/>
      <c r="TIA198" s="2"/>
      <c r="TIB198" s="2"/>
      <c r="TIC198" s="2"/>
      <c r="TID198" s="2"/>
      <c r="TIE198" s="2"/>
      <c r="TIF198" s="2"/>
      <c r="TIG198" s="2"/>
      <c r="TIH198" s="2"/>
      <c r="TII198" s="2"/>
      <c r="TIJ198" s="2"/>
      <c r="TIK198" s="2"/>
      <c r="TIL198" s="2"/>
      <c r="TIM198" s="2"/>
      <c r="TIN198" s="2"/>
      <c r="TIO198" s="2"/>
      <c r="TIP198" s="2"/>
      <c r="TIQ198" s="2"/>
      <c r="TIR198" s="2"/>
      <c r="TIS198" s="2"/>
      <c r="TIT198" s="2"/>
      <c r="TIU198" s="2"/>
      <c r="TIV198" s="2"/>
      <c r="TIW198" s="2"/>
      <c r="TIX198" s="2"/>
      <c r="TIY198" s="2"/>
      <c r="TIZ198" s="2"/>
      <c r="TJA198" s="2"/>
      <c r="TJB198" s="2"/>
      <c r="TJC198" s="2"/>
      <c r="TJD198" s="2"/>
      <c r="TJE198" s="2"/>
      <c r="TJF198" s="2"/>
      <c r="TJG198" s="2"/>
      <c r="TJH198" s="2"/>
      <c r="TJI198" s="2"/>
      <c r="TJJ198" s="2"/>
      <c r="TJK198" s="2"/>
      <c r="TJL198" s="2"/>
      <c r="TJM198" s="2"/>
      <c r="TJN198" s="2"/>
      <c r="TJO198" s="2"/>
      <c r="TJP198" s="2"/>
      <c r="TJQ198" s="2"/>
      <c r="TJR198" s="2"/>
      <c r="TJS198" s="2"/>
      <c r="TJT198" s="2"/>
      <c r="TJU198" s="2"/>
      <c r="TJV198" s="2"/>
      <c r="TJW198" s="2"/>
      <c r="TJX198" s="2"/>
      <c r="TJY198" s="2"/>
      <c r="TJZ198" s="2"/>
      <c r="TKA198" s="2"/>
      <c r="TKB198" s="2"/>
      <c r="TKC198" s="2"/>
      <c r="TKD198" s="2"/>
      <c r="TKE198" s="2"/>
      <c r="TKF198" s="2"/>
      <c r="TKG198" s="2"/>
      <c r="TKH198" s="2"/>
      <c r="TKI198" s="2"/>
      <c r="TKJ198" s="2"/>
      <c r="TKK198" s="2"/>
      <c r="TKL198" s="2"/>
      <c r="TKM198" s="2"/>
      <c r="TKN198" s="2"/>
      <c r="TKO198" s="2"/>
      <c r="TKP198" s="2"/>
      <c r="TKQ198" s="2"/>
      <c r="TKR198" s="2"/>
      <c r="TKS198" s="2"/>
      <c r="TKT198" s="2"/>
      <c r="TKU198" s="2"/>
      <c r="TKV198" s="2"/>
      <c r="TKW198" s="2"/>
      <c r="TKX198" s="2"/>
      <c r="TKY198" s="2"/>
      <c r="TKZ198" s="2"/>
      <c r="TLA198" s="2"/>
      <c r="TLB198" s="2"/>
      <c r="TLC198" s="2"/>
      <c r="TLD198" s="2"/>
      <c r="TLE198" s="2"/>
      <c r="TLF198" s="2"/>
      <c r="TLG198" s="2"/>
      <c r="TLH198" s="2"/>
      <c r="TLI198" s="2"/>
      <c r="TLJ198" s="2"/>
      <c r="TLK198" s="2"/>
      <c r="TLL198" s="2"/>
      <c r="TLM198" s="2"/>
      <c r="TLN198" s="2"/>
      <c r="TLO198" s="2"/>
      <c r="TLP198" s="2"/>
      <c r="TLQ198" s="2"/>
      <c r="TLR198" s="2"/>
      <c r="TLS198" s="2"/>
      <c r="TLT198" s="2"/>
      <c r="TLU198" s="2"/>
      <c r="TLV198" s="2"/>
      <c r="TLW198" s="2"/>
      <c r="TLX198" s="2"/>
      <c r="TLY198" s="2"/>
      <c r="TLZ198" s="2"/>
      <c r="TMA198" s="2"/>
      <c r="TMB198" s="2"/>
      <c r="TMC198" s="2"/>
      <c r="TMD198" s="2"/>
      <c r="TME198" s="2"/>
      <c r="TMF198" s="2"/>
      <c r="TMG198" s="2"/>
      <c r="TMH198" s="2"/>
      <c r="TMI198" s="2"/>
      <c r="TMJ198" s="2"/>
      <c r="TMK198" s="2"/>
      <c r="TML198" s="2"/>
      <c r="TMM198" s="2"/>
      <c r="TMN198" s="2"/>
      <c r="TMO198" s="2"/>
      <c r="TMP198" s="2"/>
      <c r="TMQ198" s="2"/>
      <c r="TMR198" s="2"/>
      <c r="TMS198" s="2"/>
      <c r="TMT198" s="2"/>
      <c r="TMU198" s="2"/>
      <c r="TMV198" s="2"/>
      <c r="TMW198" s="2"/>
      <c r="TMX198" s="2"/>
      <c r="TMY198" s="2"/>
      <c r="TMZ198" s="2"/>
      <c r="TNA198" s="2"/>
      <c r="TNB198" s="2"/>
      <c r="TNC198" s="2"/>
      <c r="TND198" s="2"/>
      <c r="TNE198" s="2"/>
      <c r="TNF198" s="2"/>
      <c r="TNG198" s="2"/>
      <c r="TNH198" s="2"/>
      <c r="TNI198" s="2"/>
      <c r="TNJ198" s="2"/>
      <c r="TNK198" s="2"/>
      <c r="TNL198" s="2"/>
      <c r="TNM198" s="2"/>
      <c r="TNN198" s="2"/>
      <c r="TNO198" s="2"/>
      <c r="TNP198" s="2"/>
      <c r="TNQ198" s="2"/>
      <c r="TNR198" s="2"/>
      <c r="TNS198" s="2"/>
      <c r="TNT198" s="2"/>
      <c r="TNU198" s="2"/>
      <c r="TNV198" s="2"/>
      <c r="TNW198" s="2"/>
      <c r="TNX198" s="2"/>
      <c r="TNY198" s="2"/>
      <c r="TNZ198" s="2"/>
      <c r="TOA198" s="2"/>
      <c r="TOB198" s="2"/>
      <c r="TOC198" s="2"/>
      <c r="TOD198" s="2"/>
      <c r="TOE198" s="2"/>
      <c r="TOF198" s="2"/>
      <c r="TOG198" s="2"/>
      <c r="TOH198" s="2"/>
      <c r="TOI198" s="2"/>
      <c r="TOJ198" s="2"/>
      <c r="TOK198" s="2"/>
      <c r="TOL198" s="2"/>
      <c r="TOM198" s="2"/>
      <c r="TON198" s="2"/>
      <c r="TOO198" s="2"/>
      <c r="TOP198" s="2"/>
      <c r="TOQ198" s="2"/>
      <c r="TOR198" s="2"/>
      <c r="TOS198" s="2"/>
      <c r="TOT198" s="2"/>
      <c r="TOU198" s="2"/>
      <c r="TOV198" s="2"/>
      <c r="TOW198" s="2"/>
      <c r="TOX198" s="2"/>
      <c r="TOY198" s="2"/>
      <c r="TOZ198" s="2"/>
      <c r="TPA198" s="2"/>
      <c r="TPB198" s="2"/>
      <c r="TPC198" s="2"/>
      <c r="TPD198" s="2"/>
      <c r="TPE198" s="2"/>
      <c r="TPF198" s="2"/>
      <c r="TPG198" s="2"/>
      <c r="TPH198" s="2"/>
      <c r="TPI198" s="2"/>
      <c r="TPJ198" s="2"/>
      <c r="TPK198" s="2"/>
      <c r="TPL198" s="2"/>
      <c r="TPM198" s="2"/>
      <c r="TPN198" s="2"/>
      <c r="TPO198" s="2"/>
      <c r="TPP198" s="2"/>
      <c r="TPQ198" s="2"/>
      <c r="TPR198" s="2"/>
      <c r="TPS198" s="2"/>
      <c r="TPT198" s="2"/>
      <c r="TPU198" s="2"/>
      <c r="TPV198" s="2"/>
      <c r="TPW198" s="2"/>
      <c r="TPX198" s="2"/>
      <c r="TPY198" s="2"/>
      <c r="TPZ198" s="2"/>
      <c r="TQA198" s="2"/>
      <c r="TQB198" s="2"/>
      <c r="TQC198" s="2"/>
      <c r="TQD198" s="2"/>
      <c r="TQE198" s="2"/>
      <c r="TQF198" s="2"/>
      <c r="TQG198" s="2"/>
      <c r="TQH198" s="2"/>
      <c r="TQI198" s="2"/>
      <c r="TQJ198" s="2"/>
      <c r="TQK198" s="2"/>
      <c r="TQL198" s="2"/>
      <c r="TQM198" s="2"/>
      <c r="TQN198" s="2"/>
      <c r="TQO198" s="2"/>
      <c r="TQP198" s="2"/>
      <c r="TQQ198" s="2"/>
      <c r="TQR198" s="2"/>
      <c r="TQS198" s="2"/>
      <c r="TQT198" s="2"/>
      <c r="TQU198" s="2"/>
      <c r="TQV198" s="2"/>
      <c r="TQW198" s="2"/>
      <c r="TQX198" s="2"/>
      <c r="TQY198" s="2"/>
      <c r="TQZ198" s="2"/>
      <c r="TRA198" s="2"/>
      <c r="TRB198" s="2"/>
      <c r="TRC198" s="2"/>
      <c r="TRD198" s="2"/>
      <c r="TRE198" s="2"/>
      <c r="TRF198" s="2"/>
      <c r="TRG198" s="2"/>
      <c r="TRH198" s="2"/>
      <c r="TRI198" s="2"/>
      <c r="TRJ198" s="2"/>
      <c r="TRK198" s="2"/>
      <c r="TRL198" s="2"/>
      <c r="TRM198" s="2"/>
      <c r="TRN198" s="2"/>
      <c r="TRO198" s="2"/>
      <c r="TRP198" s="2"/>
      <c r="TRQ198" s="2"/>
      <c r="TRR198" s="2"/>
      <c r="TRS198" s="2"/>
      <c r="TRT198" s="2"/>
      <c r="TRU198" s="2"/>
      <c r="TRV198" s="2"/>
      <c r="TRW198" s="2"/>
      <c r="TRX198" s="2"/>
      <c r="TRY198" s="2"/>
      <c r="TRZ198" s="2"/>
      <c r="TSA198" s="2"/>
      <c r="TSB198" s="2"/>
      <c r="TSC198" s="2"/>
      <c r="TSD198" s="2"/>
      <c r="TSE198" s="2"/>
      <c r="TSF198" s="2"/>
      <c r="TSG198" s="2"/>
      <c r="TSH198" s="2"/>
      <c r="TSI198" s="2"/>
      <c r="TSJ198" s="2"/>
      <c r="TSK198" s="2"/>
      <c r="TSL198" s="2"/>
      <c r="TSM198" s="2"/>
      <c r="TSN198" s="2"/>
      <c r="TSO198" s="2"/>
      <c r="TSP198" s="2"/>
      <c r="TSQ198" s="2"/>
      <c r="TSR198" s="2"/>
      <c r="TSS198" s="2"/>
      <c r="TST198" s="2"/>
      <c r="TSU198" s="2"/>
      <c r="TSV198" s="2"/>
      <c r="TSW198" s="2"/>
      <c r="TSX198" s="2"/>
      <c r="TSY198" s="2"/>
      <c r="TSZ198" s="2"/>
      <c r="TTA198" s="2"/>
      <c r="TTB198" s="2"/>
      <c r="TTC198" s="2"/>
      <c r="TTD198" s="2"/>
      <c r="TTE198" s="2"/>
      <c r="TTF198" s="2"/>
      <c r="TTG198" s="2"/>
      <c r="TTH198" s="2"/>
      <c r="TTI198" s="2"/>
      <c r="TTJ198" s="2"/>
      <c r="TTK198" s="2"/>
      <c r="TTL198" s="2"/>
      <c r="TTM198" s="2"/>
      <c r="TTN198" s="2"/>
      <c r="TTO198" s="2"/>
      <c r="TTP198" s="2"/>
      <c r="TTQ198" s="2"/>
      <c r="TTR198" s="2"/>
      <c r="TTS198" s="2"/>
      <c r="TTT198" s="2"/>
      <c r="TTU198" s="2"/>
      <c r="TTV198" s="2"/>
      <c r="TTW198" s="2"/>
      <c r="TTX198" s="2"/>
      <c r="TTY198" s="2"/>
      <c r="TTZ198" s="2"/>
      <c r="TUA198" s="2"/>
      <c r="TUB198" s="2"/>
      <c r="TUC198" s="2"/>
      <c r="TUD198" s="2"/>
      <c r="TUE198" s="2"/>
      <c r="TUF198" s="2"/>
      <c r="TUG198" s="2"/>
      <c r="TUH198" s="2"/>
      <c r="TUI198" s="2"/>
      <c r="TUJ198" s="2"/>
      <c r="TUK198" s="2"/>
      <c r="TUL198" s="2"/>
      <c r="TUM198" s="2"/>
      <c r="TUN198" s="2"/>
      <c r="TUO198" s="2"/>
      <c r="TUP198" s="2"/>
      <c r="TUQ198" s="2"/>
      <c r="TUR198" s="2"/>
      <c r="TUS198" s="2"/>
      <c r="TUT198" s="2"/>
      <c r="TUU198" s="2"/>
      <c r="TUV198" s="2"/>
      <c r="TUW198" s="2"/>
      <c r="TUX198" s="2"/>
      <c r="TUY198" s="2"/>
      <c r="TUZ198" s="2"/>
      <c r="TVA198" s="2"/>
      <c r="TVB198" s="2"/>
      <c r="TVC198" s="2"/>
      <c r="TVD198" s="2"/>
      <c r="TVE198" s="2"/>
      <c r="TVF198" s="2"/>
      <c r="TVG198" s="2"/>
      <c r="TVH198" s="2"/>
      <c r="TVI198" s="2"/>
      <c r="TVJ198" s="2"/>
      <c r="TVK198" s="2"/>
      <c r="TVL198" s="2"/>
      <c r="TVM198" s="2"/>
      <c r="TVN198" s="2"/>
      <c r="TVO198" s="2"/>
      <c r="TVP198" s="2"/>
      <c r="TVQ198" s="2"/>
      <c r="TVR198" s="2"/>
      <c r="TVS198" s="2"/>
      <c r="TVT198" s="2"/>
      <c r="TVU198" s="2"/>
      <c r="TVV198" s="2"/>
      <c r="TVW198" s="2"/>
      <c r="TVX198" s="2"/>
      <c r="TVY198" s="2"/>
      <c r="TVZ198" s="2"/>
      <c r="TWA198" s="2"/>
      <c r="TWB198" s="2"/>
      <c r="TWC198" s="2"/>
      <c r="TWD198" s="2"/>
      <c r="TWE198" s="2"/>
      <c r="TWF198" s="2"/>
      <c r="TWG198" s="2"/>
      <c r="TWH198" s="2"/>
      <c r="TWI198" s="2"/>
      <c r="TWJ198" s="2"/>
      <c r="TWK198" s="2"/>
      <c r="TWL198" s="2"/>
      <c r="TWM198" s="2"/>
      <c r="TWN198" s="2"/>
      <c r="TWO198" s="2"/>
      <c r="TWP198" s="2"/>
      <c r="TWQ198" s="2"/>
      <c r="TWR198" s="2"/>
      <c r="TWS198" s="2"/>
      <c r="TWT198" s="2"/>
      <c r="TWU198" s="2"/>
      <c r="TWV198" s="2"/>
      <c r="TWW198" s="2"/>
      <c r="TWX198" s="2"/>
      <c r="TWY198" s="2"/>
      <c r="TWZ198" s="2"/>
      <c r="TXA198" s="2"/>
      <c r="TXB198" s="2"/>
      <c r="TXC198" s="2"/>
      <c r="TXD198" s="2"/>
      <c r="TXE198" s="2"/>
      <c r="TXF198" s="2"/>
      <c r="TXG198" s="2"/>
      <c r="TXH198" s="2"/>
      <c r="TXI198" s="2"/>
      <c r="TXJ198" s="2"/>
      <c r="TXK198" s="2"/>
      <c r="TXL198" s="2"/>
      <c r="TXM198" s="2"/>
      <c r="TXN198" s="2"/>
      <c r="TXO198" s="2"/>
      <c r="TXP198" s="2"/>
      <c r="TXQ198" s="2"/>
      <c r="TXR198" s="2"/>
      <c r="TXS198" s="2"/>
      <c r="TXT198" s="2"/>
      <c r="TXU198" s="2"/>
      <c r="TXV198" s="2"/>
      <c r="TXW198" s="2"/>
      <c r="TXX198" s="2"/>
      <c r="TXY198" s="2"/>
      <c r="TXZ198" s="2"/>
      <c r="TYA198" s="2"/>
      <c r="TYB198" s="2"/>
      <c r="TYC198" s="2"/>
      <c r="TYD198" s="2"/>
      <c r="TYE198" s="2"/>
      <c r="TYF198" s="2"/>
      <c r="TYG198" s="2"/>
      <c r="TYH198" s="2"/>
      <c r="TYI198" s="2"/>
      <c r="TYJ198" s="2"/>
      <c r="TYK198" s="2"/>
      <c r="TYL198" s="2"/>
      <c r="TYM198" s="2"/>
      <c r="TYN198" s="2"/>
      <c r="TYO198" s="2"/>
      <c r="TYP198" s="2"/>
      <c r="TYQ198" s="2"/>
      <c r="TYR198" s="2"/>
      <c r="TYS198" s="2"/>
      <c r="TYT198" s="2"/>
      <c r="TYU198" s="2"/>
      <c r="TYV198" s="2"/>
      <c r="TYW198" s="2"/>
      <c r="TYX198" s="2"/>
      <c r="TYY198" s="2"/>
      <c r="TYZ198" s="2"/>
      <c r="TZA198" s="2"/>
      <c r="TZB198" s="2"/>
      <c r="TZC198" s="2"/>
      <c r="TZD198" s="2"/>
      <c r="TZE198" s="2"/>
      <c r="TZF198" s="2"/>
      <c r="TZG198" s="2"/>
      <c r="TZH198" s="2"/>
      <c r="TZI198" s="2"/>
      <c r="TZJ198" s="2"/>
      <c r="TZK198" s="2"/>
      <c r="TZL198" s="2"/>
      <c r="TZM198" s="2"/>
      <c r="TZN198" s="2"/>
      <c r="TZO198" s="2"/>
      <c r="TZP198" s="2"/>
      <c r="TZQ198" s="2"/>
      <c r="TZR198" s="2"/>
      <c r="TZS198" s="2"/>
      <c r="TZT198" s="2"/>
      <c r="TZU198" s="2"/>
      <c r="TZV198" s="2"/>
      <c r="TZW198" s="2"/>
      <c r="TZX198" s="2"/>
      <c r="TZY198" s="2"/>
      <c r="TZZ198" s="2"/>
      <c r="UAA198" s="2"/>
      <c r="UAB198" s="2"/>
      <c r="UAC198" s="2"/>
      <c r="UAD198" s="2"/>
      <c r="UAE198" s="2"/>
      <c r="UAF198" s="2"/>
      <c r="UAG198" s="2"/>
      <c r="UAH198" s="2"/>
      <c r="UAI198" s="2"/>
      <c r="UAJ198" s="2"/>
      <c r="UAK198" s="2"/>
      <c r="UAL198" s="2"/>
      <c r="UAM198" s="2"/>
      <c r="UAN198" s="2"/>
      <c r="UAO198" s="2"/>
      <c r="UAP198" s="2"/>
      <c r="UAQ198" s="2"/>
      <c r="UAR198" s="2"/>
      <c r="UAS198" s="2"/>
      <c r="UAT198" s="2"/>
      <c r="UAU198" s="2"/>
      <c r="UAV198" s="2"/>
      <c r="UAW198" s="2"/>
      <c r="UAX198" s="2"/>
      <c r="UAY198" s="2"/>
      <c r="UAZ198" s="2"/>
      <c r="UBA198" s="2"/>
      <c r="UBB198" s="2"/>
      <c r="UBC198" s="2"/>
      <c r="UBD198" s="2"/>
      <c r="UBE198" s="2"/>
      <c r="UBF198" s="2"/>
      <c r="UBG198" s="2"/>
      <c r="UBH198" s="2"/>
      <c r="UBI198" s="2"/>
      <c r="UBJ198" s="2"/>
      <c r="UBK198" s="2"/>
      <c r="UBL198" s="2"/>
      <c r="UBM198" s="2"/>
      <c r="UBN198" s="2"/>
      <c r="UBO198" s="2"/>
      <c r="UBP198" s="2"/>
      <c r="UBQ198" s="2"/>
      <c r="UBR198" s="2"/>
      <c r="UBS198" s="2"/>
      <c r="UBT198" s="2"/>
      <c r="UBU198" s="2"/>
      <c r="UBV198" s="2"/>
      <c r="UBW198" s="2"/>
      <c r="UBX198" s="2"/>
      <c r="UBY198" s="2"/>
      <c r="UBZ198" s="2"/>
      <c r="UCA198" s="2"/>
      <c r="UCB198" s="2"/>
      <c r="UCC198" s="2"/>
      <c r="UCD198" s="2"/>
      <c r="UCE198" s="2"/>
      <c r="UCF198" s="2"/>
      <c r="UCG198" s="2"/>
      <c r="UCH198" s="2"/>
      <c r="UCI198" s="2"/>
      <c r="UCJ198" s="2"/>
      <c r="UCK198" s="2"/>
      <c r="UCL198" s="2"/>
      <c r="UCM198" s="2"/>
      <c r="UCN198" s="2"/>
      <c r="UCO198" s="2"/>
      <c r="UCP198" s="2"/>
      <c r="UCQ198" s="2"/>
      <c r="UCR198" s="2"/>
      <c r="UCS198" s="2"/>
      <c r="UCT198" s="2"/>
      <c r="UCU198" s="2"/>
      <c r="UCV198" s="2"/>
      <c r="UCW198" s="2"/>
      <c r="UCX198" s="2"/>
      <c r="UCY198" s="2"/>
      <c r="UCZ198" s="2"/>
      <c r="UDA198" s="2"/>
      <c r="UDB198" s="2"/>
      <c r="UDC198" s="2"/>
      <c r="UDD198" s="2"/>
      <c r="UDE198" s="2"/>
      <c r="UDF198" s="2"/>
      <c r="UDG198" s="2"/>
      <c r="UDH198" s="2"/>
      <c r="UDI198" s="2"/>
      <c r="UDJ198" s="2"/>
      <c r="UDK198" s="2"/>
      <c r="UDL198" s="2"/>
      <c r="UDM198" s="2"/>
      <c r="UDN198" s="2"/>
      <c r="UDO198" s="2"/>
      <c r="UDP198" s="2"/>
      <c r="UDQ198" s="2"/>
      <c r="UDR198" s="2"/>
      <c r="UDS198" s="2"/>
      <c r="UDT198" s="2"/>
      <c r="UDU198" s="2"/>
      <c r="UDV198" s="2"/>
      <c r="UDW198" s="2"/>
      <c r="UDX198" s="2"/>
      <c r="UDY198" s="2"/>
      <c r="UDZ198" s="2"/>
      <c r="UEA198" s="2"/>
      <c r="UEB198" s="2"/>
      <c r="UEC198" s="2"/>
      <c r="UED198" s="2"/>
      <c r="UEE198" s="2"/>
      <c r="UEF198" s="2"/>
      <c r="UEG198" s="2"/>
      <c r="UEH198" s="2"/>
      <c r="UEI198" s="2"/>
      <c r="UEJ198" s="2"/>
      <c r="UEK198" s="2"/>
      <c r="UEL198" s="2"/>
      <c r="UEM198" s="2"/>
      <c r="UEN198" s="2"/>
      <c r="UEO198" s="2"/>
      <c r="UEP198" s="2"/>
      <c r="UEQ198" s="2"/>
      <c r="UER198" s="2"/>
      <c r="UES198" s="2"/>
      <c r="UET198" s="2"/>
      <c r="UEU198" s="2"/>
      <c r="UEV198" s="2"/>
      <c r="UEW198" s="2"/>
      <c r="UEX198" s="2"/>
      <c r="UEY198" s="2"/>
      <c r="UEZ198" s="2"/>
      <c r="UFA198" s="2"/>
      <c r="UFB198" s="2"/>
      <c r="UFC198" s="2"/>
      <c r="UFD198" s="2"/>
      <c r="UFE198" s="2"/>
      <c r="UFF198" s="2"/>
      <c r="UFG198" s="2"/>
      <c r="UFH198" s="2"/>
      <c r="UFI198" s="2"/>
      <c r="UFJ198" s="2"/>
      <c r="UFK198" s="2"/>
      <c r="UFL198" s="2"/>
      <c r="UFM198" s="2"/>
      <c r="UFN198" s="2"/>
      <c r="UFO198" s="2"/>
      <c r="UFP198" s="2"/>
      <c r="UFQ198" s="2"/>
      <c r="UFR198" s="2"/>
      <c r="UFS198" s="2"/>
      <c r="UFT198" s="2"/>
      <c r="UFU198" s="2"/>
      <c r="UFV198" s="2"/>
      <c r="UFW198" s="2"/>
      <c r="UFX198" s="2"/>
      <c r="UFY198" s="2"/>
      <c r="UFZ198" s="2"/>
      <c r="UGA198" s="2"/>
      <c r="UGB198" s="2"/>
      <c r="UGC198" s="2"/>
      <c r="UGD198" s="2"/>
      <c r="UGE198" s="2"/>
      <c r="UGF198" s="2"/>
      <c r="UGG198" s="2"/>
      <c r="UGH198" s="2"/>
      <c r="UGI198" s="2"/>
      <c r="UGJ198" s="2"/>
      <c r="UGK198" s="2"/>
      <c r="UGL198" s="2"/>
      <c r="UGM198" s="2"/>
      <c r="UGN198" s="2"/>
      <c r="UGO198" s="2"/>
      <c r="UGP198" s="2"/>
      <c r="UGQ198" s="2"/>
      <c r="UGR198" s="2"/>
      <c r="UGS198" s="2"/>
      <c r="UGT198" s="2"/>
      <c r="UGU198" s="2"/>
      <c r="UGV198" s="2"/>
      <c r="UGW198" s="2"/>
      <c r="UGX198" s="2"/>
      <c r="UGY198" s="2"/>
      <c r="UGZ198" s="2"/>
      <c r="UHA198" s="2"/>
      <c r="UHB198" s="2"/>
      <c r="UHC198" s="2"/>
      <c r="UHD198" s="2"/>
      <c r="UHE198" s="2"/>
      <c r="UHF198" s="2"/>
      <c r="UHG198" s="2"/>
      <c r="UHH198" s="2"/>
      <c r="UHI198" s="2"/>
      <c r="UHJ198" s="2"/>
      <c r="UHK198" s="2"/>
      <c r="UHL198" s="2"/>
      <c r="UHM198" s="2"/>
      <c r="UHN198" s="2"/>
      <c r="UHO198" s="2"/>
      <c r="UHP198" s="2"/>
      <c r="UHQ198" s="2"/>
      <c r="UHR198" s="2"/>
      <c r="UHS198" s="2"/>
      <c r="UHT198" s="2"/>
      <c r="UHU198" s="2"/>
      <c r="UHV198" s="2"/>
      <c r="UHW198" s="2"/>
      <c r="UHX198" s="2"/>
      <c r="UHY198" s="2"/>
      <c r="UHZ198" s="2"/>
      <c r="UIA198" s="2"/>
      <c r="UIB198" s="2"/>
      <c r="UIC198" s="2"/>
      <c r="UID198" s="2"/>
      <c r="UIE198" s="2"/>
      <c r="UIF198" s="2"/>
      <c r="UIG198" s="2"/>
      <c r="UIH198" s="2"/>
      <c r="UII198" s="2"/>
      <c r="UIJ198" s="2"/>
      <c r="UIK198" s="2"/>
      <c r="UIL198" s="2"/>
      <c r="UIM198" s="2"/>
      <c r="UIN198" s="2"/>
      <c r="UIO198" s="2"/>
      <c r="UIP198" s="2"/>
      <c r="UIQ198" s="2"/>
      <c r="UIR198" s="2"/>
      <c r="UIS198" s="2"/>
      <c r="UIT198" s="2"/>
      <c r="UIU198" s="2"/>
      <c r="UIV198" s="2"/>
      <c r="UIW198" s="2"/>
      <c r="UIX198" s="2"/>
      <c r="UIY198" s="2"/>
      <c r="UIZ198" s="2"/>
      <c r="UJA198" s="2"/>
      <c r="UJB198" s="2"/>
      <c r="UJC198" s="2"/>
      <c r="UJD198" s="2"/>
      <c r="UJE198" s="2"/>
      <c r="UJF198" s="2"/>
      <c r="UJG198" s="2"/>
      <c r="UJH198" s="2"/>
      <c r="UJI198" s="2"/>
      <c r="UJJ198" s="2"/>
      <c r="UJK198" s="2"/>
      <c r="UJL198" s="2"/>
      <c r="UJM198" s="2"/>
      <c r="UJN198" s="2"/>
      <c r="UJO198" s="2"/>
      <c r="UJP198" s="2"/>
      <c r="UJQ198" s="2"/>
      <c r="UJR198" s="2"/>
      <c r="UJS198" s="2"/>
      <c r="UJT198" s="2"/>
      <c r="UJU198" s="2"/>
      <c r="UJV198" s="2"/>
      <c r="UJW198" s="2"/>
      <c r="UJX198" s="2"/>
      <c r="UJY198" s="2"/>
      <c r="UJZ198" s="2"/>
      <c r="UKA198" s="2"/>
      <c r="UKB198" s="2"/>
      <c r="UKC198" s="2"/>
      <c r="UKD198" s="2"/>
      <c r="UKE198" s="2"/>
      <c r="UKF198" s="2"/>
      <c r="UKG198" s="2"/>
      <c r="UKH198" s="2"/>
      <c r="UKI198" s="2"/>
      <c r="UKJ198" s="2"/>
      <c r="UKK198" s="2"/>
      <c r="UKL198" s="2"/>
      <c r="UKM198" s="2"/>
      <c r="UKN198" s="2"/>
      <c r="UKO198" s="2"/>
      <c r="UKP198" s="2"/>
      <c r="UKQ198" s="2"/>
      <c r="UKR198" s="2"/>
      <c r="UKS198" s="2"/>
      <c r="UKT198" s="2"/>
      <c r="UKU198" s="2"/>
      <c r="UKV198" s="2"/>
      <c r="UKW198" s="2"/>
      <c r="UKX198" s="2"/>
      <c r="UKY198" s="2"/>
      <c r="UKZ198" s="2"/>
      <c r="ULA198" s="2"/>
      <c r="ULB198" s="2"/>
      <c r="ULC198" s="2"/>
      <c r="ULD198" s="2"/>
      <c r="ULE198" s="2"/>
      <c r="ULF198" s="2"/>
      <c r="ULG198" s="2"/>
      <c r="ULH198" s="2"/>
      <c r="ULI198" s="2"/>
      <c r="ULJ198" s="2"/>
      <c r="ULK198" s="2"/>
      <c r="ULL198" s="2"/>
      <c r="ULM198" s="2"/>
      <c r="ULN198" s="2"/>
      <c r="ULO198" s="2"/>
      <c r="ULP198" s="2"/>
      <c r="ULQ198" s="2"/>
      <c r="ULR198" s="2"/>
      <c r="ULS198" s="2"/>
      <c r="ULT198" s="2"/>
      <c r="ULU198" s="2"/>
      <c r="ULV198" s="2"/>
      <c r="ULW198" s="2"/>
      <c r="ULX198" s="2"/>
      <c r="ULY198" s="2"/>
      <c r="ULZ198" s="2"/>
      <c r="UMA198" s="2"/>
      <c r="UMB198" s="2"/>
      <c r="UMC198" s="2"/>
      <c r="UMD198" s="2"/>
      <c r="UME198" s="2"/>
      <c r="UMF198" s="2"/>
      <c r="UMG198" s="2"/>
      <c r="UMH198" s="2"/>
      <c r="UMI198" s="2"/>
      <c r="UMJ198" s="2"/>
      <c r="UMK198" s="2"/>
      <c r="UML198" s="2"/>
      <c r="UMM198" s="2"/>
      <c r="UMN198" s="2"/>
      <c r="UMO198" s="2"/>
      <c r="UMP198" s="2"/>
      <c r="UMQ198" s="2"/>
      <c r="UMR198" s="2"/>
      <c r="UMS198" s="2"/>
      <c r="UMT198" s="2"/>
      <c r="UMU198" s="2"/>
      <c r="UMV198" s="2"/>
      <c r="UMW198" s="2"/>
      <c r="UMX198" s="2"/>
      <c r="UMY198" s="2"/>
      <c r="UMZ198" s="2"/>
      <c r="UNA198" s="2"/>
      <c r="UNB198" s="2"/>
      <c r="UNC198" s="2"/>
      <c r="UND198" s="2"/>
      <c r="UNE198" s="2"/>
      <c r="UNF198" s="2"/>
      <c r="UNG198" s="2"/>
      <c r="UNH198" s="2"/>
      <c r="UNI198" s="2"/>
      <c r="UNJ198" s="2"/>
      <c r="UNK198" s="2"/>
      <c r="UNL198" s="2"/>
      <c r="UNM198" s="2"/>
      <c r="UNN198" s="2"/>
      <c r="UNO198" s="2"/>
      <c r="UNP198" s="2"/>
      <c r="UNQ198" s="2"/>
      <c r="UNR198" s="2"/>
      <c r="UNS198" s="2"/>
      <c r="UNT198" s="2"/>
      <c r="UNU198" s="2"/>
      <c r="UNV198" s="2"/>
      <c r="UNW198" s="2"/>
      <c r="UNX198" s="2"/>
      <c r="UNY198" s="2"/>
      <c r="UNZ198" s="2"/>
      <c r="UOA198" s="2"/>
      <c r="UOB198" s="2"/>
      <c r="UOC198" s="2"/>
      <c r="UOD198" s="2"/>
      <c r="UOE198" s="2"/>
      <c r="UOF198" s="2"/>
      <c r="UOG198" s="2"/>
      <c r="UOH198" s="2"/>
      <c r="UOI198" s="2"/>
      <c r="UOJ198" s="2"/>
      <c r="UOK198" s="2"/>
      <c r="UOL198" s="2"/>
      <c r="UOM198" s="2"/>
      <c r="UON198" s="2"/>
      <c r="UOO198" s="2"/>
      <c r="UOP198" s="2"/>
      <c r="UOQ198" s="2"/>
      <c r="UOR198" s="2"/>
      <c r="UOS198" s="2"/>
      <c r="UOT198" s="2"/>
      <c r="UOU198" s="2"/>
      <c r="UOV198" s="2"/>
      <c r="UOW198" s="2"/>
      <c r="UOX198" s="2"/>
      <c r="UOY198" s="2"/>
      <c r="UOZ198" s="2"/>
      <c r="UPA198" s="2"/>
      <c r="UPB198" s="2"/>
      <c r="UPC198" s="2"/>
      <c r="UPD198" s="2"/>
      <c r="UPE198" s="2"/>
      <c r="UPF198" s="2"/>
      <c r="UPG198" s="2"/>
      <c r="UPH198" s="2"/>
      <c r="UPI198" s="2"/>
      <c r="UPJ198" s="2"/>
      <c r="UPK198" s="2"/>
      <c r="UPL198" s="2"/>
      <c r="UPM198" s="2"/>
      <c r="UPN198" s="2"/>
      <c r="UPO198" s="2"/>
      <c r="UPP198" s="2"/>
      <c r="UPQ198" s="2"/>
      <c r="UPR198" s="2"/>
      <c r="UPS198" s="2"/>
      <c r="UPT198" s="2"/>
      <c r="UPU198" s="2"/>
      <c r="UPV198" s="2"/>
      <c r="UPW198" s="2"/>
      <c r="UPX198" s="2"/>
      <c r="UPY198" s="2"/>
      <c r="UPZ198" s="2"/>
      <c r="UQA198" s="2"/>
      <c r="UQB198" s="2"/>
      <c r="UQC198" s="2"/>
      <c r="UQD198" s="2"/>
      <c r="UQE198" s="2"/>
      <c r="UQF198" s="2"/>
      <c r="UQG198" s="2"/>
      <c r="UQH198" s="2"/>
      <c r="UQI198" s="2"/>
      <c r="UQJ198" s="2"/>
      <c r="UQK198" s="2"/>
      <c r="UQL198" s="2"/>
      <c r="UQM198" s="2"/>
      <c r="UQN198" s="2"/>
      <c r="UQO198" s="2"/>
      <c r="UQP198" s="2"/>
      <c r="UQQ198" s="2"/>
      <c r="UQR198" s="2"/>
      <c r="UQS198" s="2"/>
      <c r="UQT198" s="2"/>
      <c r="UQU198" s="2"/>
      <c r="UQV198" s="2"/>
      <c r="UQW198" s="2"/>
      <c r="UQX198" s="2"/>
      <c r="UQY198" s="2"/>
      <c r="UQZ198" s="2"/>
      <c r="URA198" s="2"/>
      <c r="URB198" s="2"/>
      <c r="URC198" s="2"/>
      <c r="URD198" s="2"/>
      <c r="URE198" s="2"/>
      <c r="URF198" s="2"/>
      <c r="URG198" s="2"/>
      <c r="URH198" s="2"/>
      <c r="URI198" s="2"/>
      <c r="URJ198" s="2"/>
      <c r="URK198" s="2"/>
      <c r="URL198" s="2"/>
      <c r="URM198" s="2"/>
      <c r="URN198" s="2"/>
      <c r="URO198" s="2"/>
      <c r="URP198" s="2"/>
      <c r="URQ198" s="2"/>
      <c r="URR198" s="2"/>
      <c r="URS198" s="2"/>
      <c r="URT198" s="2"/>
      <c r="URU198" s="2"/>
      <c r="URV198" s="2"/>
      <c r="URW198" s="2"/>
      <c r="URX198" s="2"/>
      <c r="URY198" s="2"/>
      <c r="URZ198" s="2"/>
      <c r="USA198" s="2"/>
      <c r="USB198" s="2"/>
      <c r="USC198" s="2"/>
      <c r="USD198" s="2"/>
      <c r="USE198" s="2"/>
      <c r="USF198" s="2"/>
      <c r="USG198" s="2"/>
      <c r="USH198" s="2"/>
      <c r="USI198" s="2"/>
      <c r="USJ198" s="2"/>
      <c r="USK198" s="2"/>
      <c r="USL198" s="2"/>
      <c r="USM198" s="2"/>
      <c r="USN198" s="2"/>
      <c r="USO198" s="2"/>
      <c r="USP198" s="2"/>
      <c r="USQ198" s="2"/>
      <c r="USR198" s="2"/>
      <c r="USS198" s="2"/>
      <c r="UST198" s="2"/>
      <c r="USU198" s="2"/>
      <c r="USV198" s="2"/>
      <c r="USW198" s="2"/>
      <c r="USX198" s="2"/>
      <c r="USY198" s="2"/>
      <c r="USZ198" s="2"/>
      <c r="UTA198" s="2"/>
      <c r="UTB198" s="2"/>
      <c r="UTC198" s="2"/>
      <c r="UTD198" s="2"/>
      <c r="UTE198" s="2"/>
      <c r="UTF198" s="2"/>
      <c r="UTG198" s="2"/>
      <c r="UTH198" s="2"/>
      <c r="UTI198" s="2"/>
      <c r="UTJ198" s="2"/>
      <c r="UTK198" s="2"/>
      <c r="UTL198" s="2"/>
      <c r="UTM198" s="2"/>
      <c r="UTN198" s="2"/>
      <c r="UTO198" s="2"/>
      <c r="UTP198" s="2"/>
      <c r="UTQ198" s="2"/>
      <c r="UTR198" s="2"/>
      <c r="UTS198" s="2"/>
      <c r="UTT198" s="2"/>
      <c r="UTU198" s="2"/>
      <c r="UTV198" s="2"/>
      <c r="UTW198" s="2"/>
      <c r="UTX198" s="2"/>
      <c r="UTY198" s="2"/>
      <c r="UTZ198" s="2"/>
      <c r="UUA198" s="2"/>
      <c r="UUB198" s="2"/>
      <c r="UUC198" s="2"/>
      <c r="UUD198" s="2"/>
      <c r="UUE198" s="2"/>
      <c r="UUF198" s="2"/>
      <c r="UUG198" s="2"/>
      <c r="UUH198" s="2"/>
      <c r="UUI198" s="2"/>
      <c r="UUJ198" s="2"/>
      <c r="UUK198" s="2"/>
      <c r="UUL198" s="2"/>
      <c r="UUM198" s="2"/>
      <c r="UUN198" s="2"/>
      <c r="UUO198" s="2"/>
      <c r="UUP198" s="2"/>
      <c r="UUQ198" s="2"/>
      <c r="UUR198" s="2"/>
      <c r="UUS198" s="2"/>
      <c r="UUT198" s="2"/>
      <c r="UUU198" s="2"/>
      <c r="UUV198" s="2"/>
      <c r="UUW198" s="2"/>
      <c r="UUX198" s="2"/>
      <c r="UUY198" s="2"/>
      <c r="UUZ198" s="2"/>
      <c r="UVA198" s="2"/>
      <c r="UVB198" s="2"/>
      <c r="UVC198" s="2"/>
      <c r="UVD198" s="2"/>
      <c r="UVE198" s="2"/>
      <c r="UVF198" s="2"/>
      <c r="UVG198" s="2"/>
      <c r="UVH198" s="2"/>
      <c r="UVI198" s="2"/>
      <c r="UVJ198" s="2"/>
      <c r="UVK198" s="2"/>
      <c r="UVL198" s="2"/>
      <c r="UVM198" s="2"/>
      <c r="UVN198" s="2"/>
      <c r="UVO198" s="2"/>
      <c r="UVP198" s="2"/>
      <c r="UVQ198" s="2"/>
      <c r="UVR198" s="2"/>
      <c r="UVS198" s="2"/>
      <c r="UVT198" s="2"/>
      <c r="UVU198" s="2"/>
      <c r="UVV198" s="2"/>
      <c r="UVW198" s="2"/>
      <c r="UVX198" s="2"/>
      <c r="UVY198" s="2"/>
      <c r="UVZ198" s="2"/>
      <c r="UWA198" s="2"/>
      <c r="UWB198" s="2"/>
      <c r="UWC198" s="2"/>
      <c r="UWD198" s="2"/>
      <c r="UWE198" s="2"/>
      <c r="UWF198" s="2"/>
      <c r="UWG198" s="2"/>
      <c r="UWH198" s="2"/>
      <c r="UWI198" s="2"/>
      <c r="UWJ198" s="2"/>
      <c r="UWK198" s="2"/>
      <c r="UWL198" s="2"/>
      <c r="UWM198" s="2"/>
      <c r="UWN198" s="2"/>
      <c r="UWO198" s="2"/>
      <c r="UWP198" s="2"/>
      <c r="UWQ198" s="2"/>
      <c r="UWR198" s="2"/>
      <c r="UWS198" s="2"/>
      <c r="UWT198" s="2"/>
      <c r="UWU198" s="2"/>
      <c r="UWV198" s="2"/>
      <c r="UWW198" s="2"/>
      <c r="UWX198" s="2"/>
      <c r="UWY198" s="2"/>
      <c r="UWZ198" s="2"/>
      <c r="UXA198" s="2"/>
      <c r="UXB198" s="2"/>
      <c r="UXC198" s="2"/>
      <c r="UXD198" s="2"/>
      <c r="UXE198" s="2"/>
      <c r="UXF198" s="2"/>
      <c r="UXG198" s="2"/>
      <c r="UXH198" s="2"/>
      <c r="UXI198" s="2"/>
      <c r="UXJ198" s="2"/>
      <c r="UXK198" s="2"/>
      <c r="UXL198" s="2"/>
      <c r="UXM198" s="2"/>
      <c r="UXN198" s="2"/>
      <c r="UXO198" s="2"/>
      <c r="UXP198" s="2"/>
      <c r="UXQ198" s="2"/>
      <c r="UXR198" s="2"/>
      <c r="UXS198" s="2"/>
      <c r="UXT198" s="2"/>
      <c r="UXU198" s="2"/>
      <c r="UXV198" s="2"/>
      <c r="UXW198" s="2"/>
      <c r="UXX198" s="2"/>
      <c r="UXY198" s="2"/>
      <c r="UXZ198" s="2"/>
      <c r="UYA198" s="2"/>
      <c r="UYB198" s="2"/>
      <c r="UYC198" s="2"/>
      <c r="UYD198" s="2"/>
      <c r="UYE198" s="2"/>
      <c r="UYF198" s="2"/>
      <c r="UYG198" s="2"/>
      <c r="UYH198" s="2"/>
      <c r="UYI198" s="2"/>
      <c r="UYJ198" s="2"/>
      <c r="UYK198" s="2"/>
      <c r="UYL198" s="2"/>
      <c r="UYM198" s="2"/>
      <c r="UYN198" s="2"/>
      <c r="UYO198" s="2"/>
      <c r="UYP198" s="2"/>
      <c r="UYQ198" s="2"/>
      <c r="UYR198" s="2"/>
      <c r="UYS198" s="2"/>
      <c r="UYT198" s="2"/>
      <c r="UYU198" s="2"/>
      <c r="UYV198" s="2"/>
      <c r="UYW198" s="2"/>
      <c r="UYX198" s="2"/>
      <c r="UYY198" s="2"/>
      <c r="UYZ198" s="2"/>
      <c r="UZA198" s="2"/>
      <c r="UZB198" s="2"/>
      <c r="UZC198" s="2"/>
      <c r="UZD198" s="2"/>
      <c r="UZE198" s="2"/>
      <c r="UZF198" s="2"/>
      <c r="UZG198" s="2"/>
      <c r="UZH198" s="2"/>
      <c r="UZI198" s="2"/>
      <c r="UZJ198" s="2"/>
      <c r="UZK198" s="2"/>
      <c r="UZL198" s="2"/>
      <c r="UZM198" s="2"/>
      <c r="UZN198" s="2"/>
      <c r="UZO198" s="2"/>
      <c r="UZP198" s="2"/>
      <c r="UZQ198" s="2"/>
      <c r="UZR198" s="2"/>
      <c r="UZS198" s="2"/>
      <c r="UZT198" s="2"/>
      <c r="UZU198" s="2"/>
      <c r="UZV198" s="2"/>
      <c r="UZW198" s="2"/>
      <c r="UZX198" s="2"/>
      <c r="UZY198" s="2"/>
      <c r="UZZ198" s="2"/>
      <c r="VAA198" s="2"/>
      <c r="VAB198" s="2"/>
      <c r="VAC198" s="2"/>
      <c r="VAD198" s="2"/>
      <c r="VAE198" s="2"/>
      <c r="VAF198" s="2"/>
      <c r="VAG198" s="2"/>
      <c r="VAH198" s="2"/>
      <c r="VAI198" s="2"/>
      <c r="VAJ198" s="2"/>
      <c r="VAK198" s="2"/>
      <c r="VAL198" s="2"/>
      <c r="VAM198" s="2"/>
      <c r="VAN198" s="2"/>
      <c r="VAO198" s="2"/>
      <c r="VAP198" s="2"/>
      <c r="VAQ198" s="2"/>
      <c r="VAR198" s="2"/>
      <c r="VAS198" s="2"/>
      <c r="VAT198" s="2"/>
      <c r="VAU198" s="2"/>
      <c r="VAV198" s="2"/>
      <c r="VAW198" s="2"/>
      <c r="VAX198" s="2"/>
      <c r="VAY198" s="2"/>
      <c r="VAZ198" s="2"/>
      <c r="VBA198" s="2"/>
      <c r="VBB198" s="2"/>
      <c r="VBC198" s="2"/>
      <c r="VBD198" s="2"/>
      <c r="VBE198" s="2"/>
      <c r="VBF198" s="2"/>
      <c r="VBG198" s="2"/>
      <c r="VBH198" s="2"/>
      <c r="VBI198" s="2"/>
      <c r="VBJ198" s="2"/>
      <c r="VBK198" s="2"/>
      <c r="VBL198" s="2"/>
      <c r="VBM198" s="2"/>
      <c r="VBN198" s="2"/>
      <c r="VBO198" s="2"/>
      <c r="VBP198" s="2"/>
      <c r="VBQ198" s="2"/>
      <c r="VBR198" s="2"/>
      <c r="VBS198" s="2"/>
      <c r="VBT198" s="2"/>
      <c r="VBU198" s="2"/>
      <c r="VBV198" s="2"/>
      <c r="VBW198" s="2"/>
      <c r="VBX198" s="2"/>
      <c r="VBY198" s="2"/>
      <c r="VBZ198" s="2"/>
      <c r="VCA198" s="2"/>
      <c r="VCB198" s="2"/>
      <c r="VCC198" s="2"/>
      <c r="VCD198" s="2"/>
      <c r="VCE198" s="2"/>
      <c r="VCF198" s="2"/>
      <c r="VCG198" s="2"/>
      <c r="VCH198" s="2"/>
      <c r="VCI198" s="2"/>
      <c r="VCJ198" s="2"/>
      <c r="VCK198" s="2"/>
      <c r="VCL198" s="2"/>
      <c r="VCM198" s="2"/>
      <c r="VCN198" s="2"/>
      <c r="VCO198" s="2"/>
      <c r="VCP198" s="2"/>
      <c r="VCQ198" s="2"/>
      <c r="VCR198" s="2"/>
      <c r="VCS198" s="2"/>
      <c r="VCT198" s="2"/>
      <c r="VCU198" s="2"/>
      <c r="VCV198" s="2"/>
      <c r="VCW198" s="2"/>
    </row>
    <row r="199" spans="5:14973" s="3" customFormat="1" ht="15" thickBot="1" x14ac:dyDescent="0.35">
      <c r="E199" s="2"/>
      <c r="F199" s="315"/>
      <c r="G199" s="316" t="s">
        <v>145</v>
      </c>
      <c r="H199" s="317"/>
      <c r="I199" s="318" t="s">
        <v>164</v>
      </c>
      <c r="J199" s="319">
        <f t="shared" ref="J199:AN199" si="95">SUM(J198:J198)</f>
        <v>4700</v>
      </c>
      <c r="K199" s="319">
        <f t="shared" si="95"/>
        <v>4400</v>
      </c>
      <c r="L199" s="319">
        <f t="shared" si="95"/>
        <v>4700</v>
      </c>
      <c r="M199" s="319">
        <f t="shared" si="95"/>
        <v>4000</v>
      </c>
      <c r="N199" s="319">
        <f t="shared" si="95"/>
        <v>2600</v>
      </c>
      <c r="O199" s="319">
        <f t="shared" si="95"/>
        <v>1800</v>
      </c>
      <c r="P199" s="319">
        <f t="shared" si="95"/>
        <v>1900</v>
      </c>
      <c r="Q199" s="319">
        <f t="shared" si="95"/>
        <v>14200</v>
      </c>
      <c r="R199" s="319">
        <f t="shared" si="95"/>
        <v>20400</v>
      </c>
      <c r="S199" s="319">
        <f t="shared" si="95"/>
        <v>22500</v>
      </c>
      <c r="T199" s="319">
        <f t="shared" si="95"/>
        <v>25000</v>
      </c>
      <c r="U199" s="319">
        <f t="shared" si="95"/>
        <v>27700</v>
      </c>
      <c r="V199" s="319">
        <f t="shared" si="95"/>
        <v>26400</v>
      </c>
      <c r="W199" s="319">
        <f t="shared" si="95"/>
        <v>24200</v>
      </c>
      <c r="X199" s="319">
        <f t="shared" si="95"/>
        <v>25200</v>
      </c>
      <c r="Y199" s="319">
        <f t="shared" si="95"/>
        <v>25500</v>
      </c>
      <c r="Z199" s="319">
        <f t="shared" si="95"/>
        <v>25800</v>
      </c>
      <c r="AA199" s="319">
        <f t="shared" si="95"/>
        <v>24900</v>
      </c>
      <c r="AB199" s="319">
        <f t="shared" si="95"/>
        <v>26800</v>
      </c>
      <c r="AC199" s="319">
        <f t="shared" si="95"/>
        <v>25900</v>
      </c>
      <c r="AD199" s="319">
        <f t="shared" si="95"/>
        <v>25900</v>
      </c>
      <c r="AE199" s="319">
        <f t="shared" si="95"/>
        <v>26200</v>
      </c>
      <c r="AF199" s="319">
        <f t="shared" si="95"/>
        <v>24700</v>
      </c>
      <c r="AG199" s="319">
        <f t="shared" si="95"/>
        <v>25200</v>
      </c>
      <c r="AH199" s="319">
        <f t="shared" si="95"/>
        <v>25300</v>
      </c>
      <c r="AI199" s="319">
        <f t="shared" si="95"/>
        <v>25800</v>
      </c>
      <c r="AJ199" s="319">
        <f t="shared" si="95"/>
        <v>25500</v>
      </c>
      <c r="AK199" s="319">
        <f t="shared" si="95"/>
        <v>25600</v>
      </c>
      <c r="AL199" s="319">
        <f t="shared" si="95"/>
        <v>24200</v>
      </c>
      <c r="AM199" s="319">
        <f t="shared" si="95"/>
        <v>24000</v>
      </c>
      <c r="AN199" s="319">
        <f t="shared" si="95"/>
        <v>25700</v>
      </c>
      <c r="AO199" s="121"/>
      <c r="AP199" s="320">
        <f>SUM(J199:AN199)</f>
        <v>616700</v>
      </c>
      <c r="AQ199" s="2"/>
      <c r="AR199" s="2"/>
      <c r="AT199" s="4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  <c r="AMK199" s="2"/>
      <c r="AML199" s="2"/>
      <c r="AMM199" s="2"/>
      <c r="AMN199" s="2"/>
      <c r="AMO199" s="2"/>
      <c r="AMP199" s="2"/>
      <c r="AMQ199" s="2"/>
      <c r="AMR199" s="2"/>
      <c r="AMS199" s="2"/>
      <c r="AMT199" s="2"/>
      <c r="AMU199" s="2"/>
      <c r="AMV199" s="2"/>
      <c r="AMW199" s="2"/>
      <c r="AMX199" s="2"/>
      <c r="AMY199" s="2"/>
      <c r="AMZ199" s="2"/>
      <c r="ANA199" s="2"/>
      <c r="ANB199" s="2"/>
      <c r="ANC199" s="2"/>
      <c r="AND199" s="2"/>
      <c r="ANE199" s="2"/>
      <c r="ANF199" s="2"/>
      <c r="ANG199" s="2"/>
      <c r="ANH199" s="2"/>
      <c r="ANI199" s="2"/>
      <c r="ANJ199" s="2"/>
      <c r="ANK199" s="2"/>
      <c r="ANL199" s="2"/>
      <c r="ANM199" s="2"/>
      <c r="ANN199" s="2"/>
      <c r="ANO199" s="2"/>
      <c r="ANP199" s="2"/>
      <c r="ANQ199" s="2"/>
      <c r="ANR199" s="2"/>
      <c r="ANS199" s="2"/>
      <c r="ANT199" s="2"/>
      <c r="ANU199" s="2"/>
      <c r="ANV199" s="2"/>
      <c r="ANW199" s="2"/>
      <c r="ANX199" s="2"/>
      <c r="ANY199" s="2"/>
      <c r="ANZ199" s="2"/>
      <c r="AOA199" s="2"/>
      <c r="AOB199" s="2"/>
      <c r="AOC199" s="2"/>
      <c r="AOD199" s="2"/>
      <c r="AOE199" s="2"/>
      <c r="AOF199" s="2"/>
      <c r="AOG199" s="2"/>
      <c r="AOH199" s="2"/>
      <c r="AOI199" s="2"/>
      <c r="AOJ199" s="2"/>
      <c r="AOK199" s="2"/>
      <c r="AOL199" s="2"/>
      <c r="AOM199" s="2"/>
      <c r="AON199" s="2"/>
      <c r="AOO199" s="2"/>
      <c r="AOP199" s="2"/>
      <c r="AOQ199" s="2"/>
      <c r="AOR199" s="2"/>
      <c r="AOS199" s="2"/>
      <c r="AOT199" s="2"/>
      <c r="AOU199" s="2"/>
      <c r="AOV199" s="2"/>
      <c r="AOW199" s="2"/>
      <c r="AOX199" s="2"/>
      <c r="AOY199" s="2"/>
      <c r="AOZ199" s="2"/>
      <c r="APA199" s="2"/>
      <c r="APB199" s="2"/>
      <c r="APC199" s="2"/>
      <c r="APD199" s="2"/>
      <c r="APE199" s="2"/>
      <c r="APF199" s="2"/>
      <c r="APG199" s="2"/>
      <c r="APH199" s="2"/>
      <c r="API199" s="2"/>
      <c r="APJ199" s="2"/>
      <c r="APK199" s="2"/>
      <c r="APL199" s="2"/>
      <c r="APM199" s="2"/>
      <c r="APN199" s="2"/>
      <c r="APO199" s="2"/>
      <c r="APP199" s="2"/>
      <c r="APQ199" s="2"/>
      <c r="APR199" s="2"/>
      <c r="APS199" s="2"/>
      <c r="APT199" s="2"/>
      <c r="APU199" s="2"/>
      <c r="APV199" s="2"/>
      <c r="APW199" s="2"/>
      <c r="APX199" s="2"/>
      <c r="APY199" s="2"/>
      <c r="APZ199" s="2"/>
      <c r="AQA199" s="2"/>
      <c r="AQB199" s="2"/>
      <c r="AQC199" s="2"/>
      <c r="AQD199" s="2"/>
      <c r="AQE199" s="2"/>
      <c r="AQF199" s="2"/>
      <c r="AQG199" s="2"/>
      <c r="AQH199" s="2"/>
      <c r="AQI199" s="2"/>
      <c r="AQJ199" s="2"/>
      <c r="AQK199" s="2"/>
      <c r="AQL199" s="2"/>
      <c r="AQM199" s="2"/>
      <c r="AQN199" s="2"/>
      <c r="AQO199" s="2"/>
      <c r="AQP199" s="2"/>
      <c r="AQQ199" s="2"/>
      <c r="AQR199" s="2"/>
      <c r="AQS199" s="2"/>
      <c r="AQT199" s="2"/>
      <c r="AQU199" s="2"/>
      <c r="AQV199" s="2"/>
      <c r="AQW199" s="2"/>
      <c r="AQX199" s="2"/>
      <c r="AQY199" s="2"/>
      <c r="AQZ199" s="2"/>
      <c r="ARA199" s="2"/>
      <c r="ARB199" s="2"/>
      <c r="ARC199" s="2"/>
      <c r="ARD199" s="2"/>
      <c r="ARE199" s="2"/>
      <c r="ARF199" s="2"/>
      <c r="ARG199" s="2"/>
      <c r="ARH199" s="2"/>
      <c r="ARI199" s="2"/>
      <c r="ARJ199" s="2"/>
      <c r="ARK199" s="2"/>
      <c r="ARL199" s="2"/>
      <c r="ARM199" s="2"/>
      <c r="ARN199" s="2"/>
      <c r="ARO199" s="2"/>
      <c r="ARP199" s="2"/>
      <c r="ARQ199" s="2"/>
      <c r="ARR199" s="2"/>
      <c r="ARS199" s="2"/>
      <c r="ART199" s="2"/>
      <c r="ARU199" s="2"/>
      <c r="ARV199" s="2"/>
      <c r="ARW199" s="2"/>
      <c r="ARX199" s="2"/>
      <c r="ARY199" s="2"/>
      <c r="ARZ199" s="2"/>
      <c r="ASA199" s="2"/>
      <c r="ASB199" s="2"/>
      <c r="ASC199" s="2"/>
      <c r="ASD199" s="2"/>
      <c r="ASE199" s="2"/>
      <c r="ASF199" s="2"/>
      <c r="ASG199" s="2"/>
      <c r="ASH199" s="2"/>
      <c r="ASI199" s="2"/>
      <c r="ASJ199" s="2"/>
      <c r="ASK199" s="2"/>
      <c r="ASL199" s="2"/>
      <c r="ASM199" s="2"/>
      <c r="ASN199" s="2"/>
      <c r="ASO199" s="2"/>
      <c r="ASP199" s="2"/>
      <c r="ASQ199" s="2"/>
      <c r="ASR199" s="2"/>
      <c r="ASS199" s="2"/>
      <c r="AST199" s="2"/>
      <c r="ASU199" s="2"/>
      <c r="ASV199" s="2"/>
      <c r="ASW199" s="2"/>
      <c r="ASX199" s="2"/>
      <c r="ASY199" s="2"/>
      <c r="ASZ199" s="2"/>
      <c r="ATA199" s="2"/>
      <c r="ATB199" s="2"/>
      <c r="ATC199" s="2"/>
      <c r="ATD199" s="2"/>
      <c r="ATE199" s="2"/>
      <c r="ATF199" s="2"/>
      <c r="ATG199" s="2"/>
      <c r="ATH199" s="2"/>
      <c r="ATI199" s="2"/>
      <c r="ATJ199" s="2"/>
      <c r="ATK199" s="2"/>
      <c r="ATL199" s="2"/>
      <c r="ATM199" s="2"/>
      <c r="ATN199" s="2"/>
      <c r="ATO199" s="2"/>
      <c r="ATP199" s="2"/>
      <c r="ATQ199" s="2"/>
      <c r="ATR199" s="2"/>
      <c r="ATS199" s="2"/>
      <c r="ATT199" s="2"/>
      <c r="ATU199" s="2"/>
      <c r="ATV199" s="2"/>
      <c r="ATW199" s="2"/>
      <c r="ATX199" s="2"/>
      <c r="ATY199" s="2"/>
      <c r="ATZ199" s="2"/>
      <c r="AUA199" s="2"/>
      <c r="AUB199" s="2"/>
      <c r="AUC199" s="2"/>
      <c r="AUD199" s="2"/>
      <c r="AUE199" s="2"/>
      <c r="AUF199" s="2"/>
      <c r="AUG199" s="2"/>
      <c r="AUH199" s="2"/>
      <c r="AUI199" s="2"/>
      <c r="AUJ199" s="2"/>
      <c r="AUK199" s="2"/>
      <c r="AUL199" s="2"/>
      <c r="AUM199" s="2"/>
      <c r="AUN199" s="2"/>
      <c r="AUO199" s="2"/>
      <c r="AUP199" s="2"/>
      <c r="AUQ199" s="2"/>
      <c r="AUR199" s="2"/>
      <c r="AUS199" s="2"/>
      <c r="AUT199" s="2"/>
      <c r="AUU199" s="2"/>
      <c r="AUV199" s="2"/>
      <c r="AUW199" s="2"/>
      <c r="AUX199" s="2"/>
      <c r="AUY199" s="2"/>
      <c r="AUZ199" s="2"/>
      <c r="AVA199" s="2"/>
      <c r="AVB199" s="2"/>
      <c r="AVC199" s="2"/>
      <c r="AVD199" s="2"/>
      <c r="AVE199" s="2"/>
      <c r="AVF199" s="2"/>
      <c r="AVG199" s="2"/>
      <c r="AVH199" s="2"/>
      <c r="AVI199" s="2"/>
      <c r="AVJ199" s="2"/>
      <c r="AVK199" s="2"/>
      <c r="AVL199" s="2"/>
      <c r="AVM199" s="2"/>
      <c r="AVN199" s="2"/>
      <c r="AVO199" s="2"/>
      <c r="AVP199" s="2"/>
      <c r="AVQ199" s="2"/>
      <c r="AVR199" s="2"/>
      <c r="AVS199" s="2"/>
      <c r="AVT199" s="2"/>
      <c r="AVU199" s="2"/>
      <c r="AVV199" s="2"/>
      <c r="AVW199" s="2"/>
      <c r="AVX199" s="2"/>
      <c r="AVY199" s="2"/>
      <c r="AVZ199" s="2"/>
      <c r="AWA199" s="2"/>
      <c r="AWB199" s="2"/>
      <c r="AWC199" s="2"/>
      <c r="AWD199" s="2"/>
      <c r="AWE199" s="2"/>
      <c r="AWF199" s="2"/>
      <c r="AWG199" s="2"/>
      <c r="AWH199" s="2"/>
      <c r="AWI199" s="2"/>
      <c r="AWJ199" s="2"/>
      <c r="AWK199" s="2"/>
      <c r="AWL199" s="2"/>
      <c r="AWM199" s="2"/>
      <c r="AWN199" s="2"/>
      <c r="AWO199" s="2"/>
      <c r="AWP199" s="2"/>
      <c r="AWQ199" s="2"/>
      <c r="AWR199" s="2"/>
      <c r="AWS199" s="2"/>
      <c r="AWT199" s="2"/>
      <c r="AWU199" s="2"/>
      <c r="AWV199" s="2"/>
      <c r="AWW199" s="2"/>
      <c r="AWX199" s="2"/>
      <c r="AWY199" s="2"/>
      <c r="AWZ199" s="2"/>
      <c r="AXA199" s="2"/>
      <c r="AXB199" s="2"/>
      <c r="AXC199" s="2"/>
      <c r="AXD199" s="2"/>
      <c r="AXE199" s="2"/>
      <c r="AXF199" s="2"/>
      <c r="AXG199" s="2"/>
      <c r="AXH199" s="2"/>
      <c r="AXI199" s="2"/>
      <c r="AXJ199" s="2"/>
      <c r="AXK199" s="2"/>
      <c r="AXL199" s="2"/>
      <c r="AXM199" s="2"/>
      <c r="AXN199" s="2"/>
      <c r="AXO199" s="2"/>
      <c r="AXP199" s="2"/>
      <c r="AXQ199" s="2"/>
      <c r="AXR199" s="2"/>
      <c r="AXS199" s="2"/>
      <c r="AXT199" s="2"/>
      <c r="AXU199" s="2"/>
      <c r="AXV199" s="2"/>
      <c r="AXW199" s="2"/>
      <c r="AXX199" s="2"/>
      <c r="AXY199" s="2"/>
      <c r="AXZ199" s="2"/>
      <c r="AYA199" s="2"/>
      <c r="AYB199" s="2"/>
      <c r="AYC199" s="2"/>
      <c r="AYD199" s="2"/>
      <c r="AYE199" s="2"/>
      <c r="AYF199" s="2"/>
      <c r="AYG199" s="2"/>
      <c r="AYH199" s="2"/>
      <c r="AYI199" s="2"/>
      <c r="AYJ199" s="2"/>
      <c r="AYK199" s="2"/>
      <c r="AYL199" s="2"/>
      <c r="AYM199" s="2"/>
      <c r="AYN199" s="2"/>
      <c r="AYO199" s="2"/>
      <c r="AYP199" s="2"/>
      <c r="AYQ199" s="2"/>
      <c r="AYR199" s="2"/>
      <c r="AYS199" s="2"/>
      <c r="AYT199" s="2"/>
      <c r="AYU199" s="2"/>
      <c r="AYV199" s="2"/>
      <c r="AYW199" s="2"/>
      <c r="AYX199" s="2"/>
      <c r="AYY199" s="2"/>
      <c r="AYZ199" s="2"/>
      <c r="AZA199" s="2"/>
      <c r="AZB199" s="2"/>
      <c r="AZC199" s="2"/>
      <c r="AZD199" s="2"/>
      <c r="AZE199" s="2"/>
      <c r="AZF199" s="2"/>
      <c r="AZG199" s="2"/>
      <c r="AZH199" s="2"/>
      <c r="AZI199" s="2"/>
      <c r="AZJ199" s="2"/>
      <c r="AZK199" s="2"/>
      <c r="AZL199" s="2"/>
      <c r="AZM199" s="2"/>
      <c r="AZN199" s="2"/>
      <c r="AZO199" s="2"/>
      <c r="AZP199" s="2"/>
      <c r="AZQ199" s="2"/>
      <c r="AZR199" s="2"/>
      <c r="AZS199" s="2"/>
      <c r="AZT199" s="2"/>
      <c r="AZU199" s="2"/>
      <c r="AZV199" s="2"/>
      <c r="AZW199" s="2"/>
      <c r="AZX199" s="2"/>
      <c r="AZY199" s="2"/>
      <c r="AZZ199" s="2"/>
      <c r="BAA199" s="2"/>
      <c r="BAB199" s="2"/>
      <c r="BAC199" s="2"/>
      <c r="BAD199" s="2"/>
      <c r="BAE199" s="2"/>
      <c r="BAF199" s="2"/>
      <c r="BAG199" s="2"/>
      <c r="BAH199" s="2"/>
      <c r="BAI199" s="2"/>
      <c r="BAJ199" s="2"/>
      <c r="BAK199" s="2"/>
      <c r="BAL199" s="2"/>
      <c r="BAM199" s="2"/>
      <c r="BAN199" s="2"/>
      <c r="BAO199" s="2"/>
      <c r="BAP199" s="2"/>
      <c r="BAQ199" s="2"/>
      <c r="BAR199" s="2"/>
      <c r="BAS199" s="2"/>
      <c r="BAT199" s="2"/>
      <c r="BAU199" s="2"/>
      <c r="BAV199" s="2"/>
      <c r="BAW199" s="2"/>
      <c r="BAX199" s="2"/>
      <c r="BAY199" s="2"/>
      <c r="BAZ199" s="2"/>
      <c r="BBA199" s="2"/>
      <c r="BBB199" s="2"/>
      <c r="BBC199" s="2"/>
      <c r="BBD199" s="2"/>
      <c r="BBE199" s="2"/>
      <c r="BBF199" s="2"/>
      <c r="BBG199" s="2"/>
      <c r="BBH199" s="2"/>
      <c r="BBI199" s="2"/>
      <c r="BBJ199" s="2"/>
      <c r="BBK199" s="2"/>
      <c r="BBL199" s="2"/>
      <c r="BBM199" s="2"/>
      <c r="BBN199" s="2"/>
      <c r="BBO199" s="2"/>
      <c r="BBP199" s="2"/>
      <c r="BBQ199" s="2"/>
      <c r="BBR199" s="2"/>
      <c r="BBS199" s="2"/>
      <c r="BBT199" s="2"/>
      <c r="BBU199" s="2"/>
      <c r="BBV199" s="2"/>
      <c r="BBW199" s="2"/>
      <c r="BBX199" s="2"/>
      <c r="BBY199" s="2"/>
      <c r="BBZ199" s="2"/>
      <c r="BCA199" s="2"/>
      <c r="BCB199" s="2"/>
      <c r="BCC199" s="2"/>
      <c r="BCD199" s="2"/>
      <c r="BCE199" s="2"/>
      <c r="BCF199" s="2"/>
      <c r="BCG199" s="2"/>
      <c r="BCH199" s="2"/>
      <c r="BCI199" s="2"/>
      <c r="BCJ199" s="2"/>
      <c r="BCK199" s="2"/>
      <c r="BCL199" s="2"/>
      <c r="BCM199" s="2"/>
      <c r="BCN199" s="2"/>
      <c r="BCO199" s="2"/>
      <c r="BCP199" s="2"/>
      <c r="BCQ199" s="2"/>
      <c r="BCR199" s="2"/>
      <c r="BCS199" s="2"/>
      <c r="BCT199" s="2"/>
      <c r="BCU199" s="2"/>
      <c r="BCV199" s="2"/>
      <c r="BCW199" s="2"/>
      <c r="BCX199" s="2"/>
      <c r="BCY199" s="2"/>
      <c r="BCZ199" s="2"/>
      <c r="BDA199" s="2"/>
      <c r="BDB199" s="2"/>
      <c r="BDC199" s="2"/>
      <c r="BDD199" s="2"/>
      <c r="BDE199" s="2"/>
      <c r="BDF199" s="2"/>
      <c r="BDG199" s="2"/>
      <c r="BDH199" s="2"/>
      <c r="BDI199" s="2"/>
      <c r="BDJ199" s="2"/>
      <c r="BDK199" s="2"/>
      <c r="BDL199" s="2"/>
      <c r="BDM199" s="2"/>
      <c r="BDN199" s="2"/>
      <c r="BDO199" s="2"/>
      <c r="BDP199" s="2"/>
      <c r="BDQ199" s="2"/>
      <c r="BDR199" s="2"/>
      <c r="BDS199" s="2"/>
      <c r="BDT199" s="2"/>
      <c r="BDU199" s="2"/>
      <c r="BDV199" s="2"/>
      <c r="BDW199" s="2"/>
      <c r="BDX199" s="2"/>
      <c r="BDY199" s="2"/>
      <c r="BDZ199" s="2"/>
      <c r="BEA199" s="2"/>
      <c r="BEB199" s="2"/>
      <c r="BEC199" s="2"/>
      <c r="BED199" s="2"/>
      <c r="BEE199" s="2"/>
      <c r="BEF199" s="2"/>
      <c r="BEG199" s="2"/>
      <c r="BEH199" s="2"/>
      <c r="BEI199" s="2"/>
      <c r="BEJ199" s="2"/>
      <c r="BEK199" s="2"/>
      <c r="BEL199" s="2"/>
      <c r="BEM199" s="2"/>
      <c r="BEN199" s="2"/>
      <c r="BEO199" s="2"/>
      <c r="BEP199" s="2"/>
      <c r="BEQ199" s="2"/>
      <c r="BER199" s="2"/>
      <c r="BES199" s="2"/>
      <c r="BET199" s="2"/>
      <c r="BEU199" s="2"/>
      <c r="BEV199" s="2"/>
      <c r="BEW199" s="2"/>
      <c r="BEX199" s="2"/>
      <c r="BEY199" s="2"/>
      <c r="BEZ199" s="2"/>
      <c r="BFA199" s="2"/>
      <c r="BFB199" s="2"/>
      <c r="BFC199" s="2"/>
      <c r="BFD199" s="2"/>
      <c r="BFE199" s="2"/>
      <c r="BFF199" s="2"/>
      <c r="BFG199" s="2"/>
      <c r="BFH199" s="2"/>
      <c r="BFI199" s="2"/>
      <c r="BFJ199" s="2"/>
      <c r="BFK199" s="2"/>
      <c r="BFL199" s="2"/>
      <c r="BFM199" s="2"/>
      <c r="BFN199" s="2"/>
      <c r="BFO199" s="2"/>
      <c r="BFP199" s="2"/>
      <c r="BFQ199" s="2"/>
      <c r="BFR199" s="2"/>
      <c r="BFS199" s="2"/>
      <c r="BFT199" s="2"/>
      <c r="BFU199" s="2"/>
      <c r="BFV199" s="2"/>
      <c r="BFW199" s="2"/>
      <c r="BFX199" s="2"/>
      <c r="BFY199" s="2"/>
      <c r="BFZ199" s="2"/>
      <c r="BGA199" s="2"/>
      <c r="BGB199" s="2"/>
      <c r="BGC199" s="2"/>
      <c r="BGD199" s="2"/>
      <c r="BGE199" s="2"/>
      <c r="BGF199" s="2"/>
      <c r="BGG199" s="2"/>
      <c r="BGH199" s="2"/>
      <c r="BGI199" s="2"/>
      <c r="BGJ199" s="2"/>
      <c r="BGK199" s="2"/>
      <c r="BGL199" s="2"/>
      <c r="BGM199" s="2"/>
      <c r="BGN199" s="2"/>
      <c r="BGO199" s="2"/>
      <c r="BGP199" s="2"/>
      <c r="BGQ199" s="2"/>
      <c r="BGR199" s="2"/>
      <c r="BGS199" s="2"/>
      <c r="BGT199" s="2"/>
      <c r="BGU199" s="2"/>
      <c r="BGV199" s="2"/>
      <c r="BGW199" s="2"/>
      <c r="BGX199" s="2"/>
      <c r="BGY199" s="2"/>
      <c r="BGZ199" s="2"/>
      <c r="BHA199" s="2"/>
      <c r="BHB199" s="2"/>
      <c r="BHC199" s="2"/>
      <c r="BHD199" s="2"/>
      <c r="BHE199" s="2"/>
      <c r="BHF199" s="2"/>
      <c r="BHG199" s="2"/>
      <c r="BHH199" s="2"/>
      <c r="BHI199" s="2"/>
      <c r="BHJ199" s="2"/>
      <c r="BHK199" s="2"/>
      <c r="BHL199" s="2"/>
      <c r="BHM199" s="2"/>
      <c r="BHN199" s="2"/>
      <c r="BHO199" s="2"/>
      <c r="BHP199" s="2"/>
      <c r="BHQ199" s="2"/>
      <c r="BHR199" s="2"/>
      <c r="BHS199" s="2"/>
      <c r="BHT199" s="2"/>
      <c r="BHU199" s="2"/>
      <c r="BHV199" s="2"/>
      <c r="BHW199" s="2"/>
      <c r="BHX199" s="2"/>
      <c r="BHY199" s="2"/>
      <c r="BHZ199" s="2"/>
      <c r="BIA199" s="2"/>
      <c r="BIB199" s="2"/>
      <c r="BIC199" s="2"/>
      <c r="BID199" s="2"/>
      <c r="BIE199" s="2"/>
      <c r="BIF199" s="2"/>
      <c r="BIG199" s="2"/>
      <c r="BIH199" s="2"/>
      <c r="BII199" s="2"/>
      <c r="BIJ199" s="2"/>
      <c r="BIK199" s="2"/>
      <c r="BIL199" s="2"/>
      <c r="BIM199" s="2"/>
      <c r="BIN199" s="2"/>
      <c r="BIO199" s="2"/>
      <c r="BIP199" s="2"/>
      <c r="BIQ199" s="2"/>
      <c r="BIR199" s="2"/>
      <c r="BIS199" s="2"/>
      <c r="BIT199" s="2"/>
      <c r="BIU199" s="2"/>
      <c r="BIV199" s="2"/>
      <c r="BIW199" s="2"/>
      <c r="BIX199" s="2"/>
      <c r="BIY199" s="2"/>
      <c r="BIZ199" s="2"/>
      <c r="BJA199" s="2"/>
      <c r="BJB199" s="2"/>
      <c r="BJC199" s="2"/>
      <c r="BJD199" s="2"/>
      <c r="BJE199" s="2"/>
      <c r="BJF199" s="2"/>
      <c r="BJG199" s="2"/>
      <c r="BJH199" s="2"/>
      <c r="BJI199" s="2"/>
      <c r="BJJ199" s="2"/>
      <c r="BJK199" s="2"/>
      <c r="BJL199" s="2"/>
      <c r="BJM199" s="2"/>
      <c r="BJN199" s="2"/>
      <c r="BJO199" s="2"/>
      <c r="BJP199" s="2"/>
      <c r="BJQ199" s="2"/>
      <c r="BJR199" s="2"/>
      <c r="BJS199" s="2"/>
      <c r="BJT199" s="2"/>
      <c r="BJU199" s="2"/>
      <c r="BJV199" s="2"/>
      <c r="BJW199" s="2"/>
      <c r="BJX199" s="2"/>
      <c r="BJY199" s="2"/>
      <c r="BJZ199" s="2"/>
      <c r="BKA199" s="2"/>
      <c r="BKB199" s="2"/>
      <c r="BKC199" s="2"/>
      <c r="BKD199" s="2"/>
      <c r="BKE199" s="2"/>
      <c r="BKF199" s="2"/>
      <c r="BKG199" s="2"/>
      <c r="BKH199" s="2"/>
      <c r="BKI199" s="2"/>
      <c r="BKJ199" s="2"/>
      <c r="BKK199" s="2"/>
      <c r="BKL199" s="2"/>
      <c r="BKM199" s="2"/>
      <c r="BKN199" s="2"/>
      <c r="BKO199" s="2"/>
      <c r="BKP199" s="2"/>
      <c r="BKQ199" s="2"/>
      <c r="BKR199" s="2"/>
      <c r="BKS199" s="2"/>
      <c r="BKT199" s="2"/>
      <c r="BKU199" s="2"/>
      <c r="BKV199" s="2"/>
      <c r="BKW199" s="2"/>
      <c r="BKX199" s="2"/>
      <c r="BKY199" s="2"/>
      <c r="BKZ199" s="2"/>
      <c r="BLA199" s="2"/>
      <c r="BLB199" s="2"/>
      <c r="BLC199" s="2"/>
      <c r="BLD199" s="2"/>
      <c r="BLE199" s="2"/>
      <c r="BLF199" s="2"/>
      <c r="BLG199" s="2"/>
      <c r="BLH199" s="2"/>
      <c r="BLI199" s="2"/>
      <c r="BLJ199" s="2"/>
      <c r="BLK199" s="2"/>
      <c r="BLL199" s="2"/>
      <c r="BLM199" s="2"/>
      <c r="BLN199" s="2"/>
      <c r="BLO199" s="2"/>
      <c r="BLP199" s="2"/>
      <c r="BLQ199" s="2"/>
      <c r="BLR199" s="2"/>
      <c r="BLS199" s="2"/>
      <c r="BLT199" s="2"/>
      <c r="BLU199" s="2"/>
      <c r="BLV199" s="2"/>
      <c r="BLW199" s="2"/>
      <c r="BLX199" s="2"/>
      <c r="BLY199" s="2"/>
      <c r="BLZ199" s="2"/>
      <c r="BMA199" s="2"/>
      <c r="BMB199" s="2"/>
      <c r="BMC199" s="2"/>
      <c r="BMD199" s="2"/>
      <c r="BME199" s="2"/>
      <c r="BMF199" s="2"/>
      <c r="BMG199" s="2"/>
      <c r="BMH199" s="2"/>
      <c r="BMI199" s="2"/>
      <c r="BMJ199" s="2"/>
      <c r="BMK199" s="2"/>
      <c r="BML199" s="2"/>
      <c r="BMM199" s="2"/>
      <c r="BMN199" s="2"/>
      <c r="BMO199" s="2"/>
      <c r="BMP199" s="2"/>
      <c r="BMQ199" s="2"/>
      <c r="BMR199" s="2"/>
      <c r="BMS199" s="2"/>
      <c r="BMT199" s="2"/>
      <c r="BMU199" s="2"/>
      <c r="BMV199" s="2"/>
      <c r="BMW199" s="2"/>
      <c r="BMX199" s="2"/>
      <c r="BMY199" s="2"/>
      <c r="BMZ199" s="2"/>
      <c r="BNA199" s="2"/>
      <c r="BNB199" s="2"/>
      <c r="BNC199" s="2"/>
      <c r="BND199" s="2"/>
      <c r="BNE199" s="2"/>
      <c r="BNF199" s="2"/>
      <c r="BNG199" s="2"/>
      <c r="BNH199" s="2"/>
      <c r="BNI199" s="2"/>
      <c r="BNJ199" s="2"/>
      <c r="BNK199" s="2"/>
      <c r="BNL199" s="2"/>
      <c r="BNM199" s="2"/>
      <c r="BNN199" s="2"/>
      <c r="BNO199" s="2"/>
      <c r="BNP199" s="2"/>
      <c r="BNQ199" s="2"/>
      <c r="BNR199" s="2"/>
      <c r="BNS199" s="2"/>
      <c r="BNT199" s="2"/>
      <c r="BNU199" s="2"/>
      <c r="BNV199" s="2"/>
      <c r="BNW199" s="2"/>
      <c r="BNX199" s="2"/>
      <c r="BNY199" s="2"/>
      <c r="BNZ199" s="2"/>
      <c r="BOA199" s="2"/>
      <c r="BOB199" s="2"/>
      <c r="BOC199" s="2"/>
      <c r="BOD199" s="2"/>
      <c r="BOE199" s="2"/>
      <c r="BOF199" s="2"/>
      <c r="BOG199" s="2"/>
      <c r="BOH199" s="2"/>
      <c r="BOI199" s="2"/>
      <c r="BOJ199" s="2"/>
      <c r="BOK199" s="2"/>
      <c r="BOL199" s="2"/>
      <c r="BOM199" s="2"/>
      <c r="BON199" s="2"/>
      <c r="BOO199" s="2"/>
      <c r="BOP199" s="2"/>
      <c r="BOQ199" s="2"/>
      <c r="BOR199" s="2"/>
      <c r="BOS199" s="2"/>
      <c r="BOT199" s="2"/>
      <c r="BOU199" s="2"/>
      <c r="BOV199" s="2"/>
      <c r="BOW199" s="2"/>
      <c r="BOX199" s="2"/>
      <c r="BOY199" s="2"/>
      <c r="BOZ199" s="2"/>
      <c r="BPA199" s="2"/>
      <c r="BPB199" s="2"/>
      <c r="BPC199" s="2"/>
      <c r="BPD199" s="2"/>
      <c r="BPE199" s="2"/>
      <c r="BPF199" s="2"/>
      <c r="BPG199" s="2"/>
      <c r="BPH199" s="2"/>
      <c r="BPI199" s="2"/>
      <c r="BPJ199" s="2"/>
      <c r="BPK199" s="2"/>
      <c r="BPL199" s="2"/>
      <c r="BPM199" s="2"/>
      <c r="BPN199" s="2"/>
      <c r="BPO199" s="2"/>
      <c r="BPP199" s="2"/>
      <c r="BPQ199" s="2"/>
      <c r="BPR199" s="2"/>
      <c r="BPS199" s="2"/>
      <c r="BPT199" s="2"/>
      <c r="BPU199" s="2"/>
      <c r="BPV199" s="2"/>
      <c r="BPW199" s="2"/>
      <c r="BPX199" s="2"/>
      <c r="BPY199" s="2"/>
      <c r="BPZ199" s="2"/>
      <c r="BQA199" s="2"/>
      <c r="BQB199" s="2"/>
      <c r="BQC199" s="2"/>
      <c r="BQD199" s="2"/>
      <c r="BQE199" s="2"/>
      <c r="BQF199" s="2"/>
      <c r="BQG199" s="2"/>
      <c r="BQH199" s="2"/>
      <c r="BQI199" s="2"/>
      <c r="BQJ199" s="2"/>
      <c r="BQK199" s="2"/>
      <c r="BQL199" s="2"/>
      <c r="BQM199" s="2"/>
      <c r="BQN199" s="2"/>
      <c r="BQO199" s="2"/>
      <c r="BQP199" s="2"/>
      <c r="BQQ199" s="2"/>
      <c r="BQR199" s="2"/>
      <c r="BQS199" s="2"/>
      <c r="BQT199" s="2"/>
      <c r="BQU199" s="2"/>
      <c r="BQV199" s="2"/>
      <c r="BQW199" s="2"/>
      <c r="BQX199" s="2"/>
      <c r="BQY199" s="2"/>
      <c r="BQZ199" s="2"/>
      <c r="BRA199" s="2"/>
      <c r="BRB199" s="2"/>
      <c r="BRC199" s="2"/>
      <c r="BRD199" s="2"/>
      <c r="BRE199" s="2"/>
      <c r="BRF199" s="2"/>
      <c r="BRG199" s="2"/>
      <c r="BRH199" s="2"/>
      <c r="BRI199" s="2"/>
      <c r="BRJ199" s="2"/>
      <c r="BRK199" s="2"/>
      <c r="BRL199" s="2"/>
      <c r="BRM199" s="2"/>
      <c r="BRN199" s="2"/>
      <c r="BRO199" s="2"/>
      <c r="BRP199" s="2"/>
      <c r="BRQ199" s="2"/>
      <c r="BRR199" s="2"/>
      <c r="BRS199" s="2"/>
      <c r="BRT199" s="2"/>
      <c r="BRU199" s="2"/>
      <c r="BRV199" s="2"/>
      <c r="BRW199" s="2"/>
      <c r="BRX199" s="2"/>
      <c r="BRY199" s="2"/>
      <c r="BRZ199" s="2"/>
      <c r="BSA199" s="2"/>
      <c r="BSB199" s="2"/>
      <c r="BSC199" s="2"/>
      <c r="BSD199" s="2"/>
      <c r="BSE199" s="2"/>
      <c r="BSF199" s="2"/>
      <c r="BSG199" s="2"/>
      <c r="BSH199" s="2"/>
      <c r="BSI199" s="2"/>
      <c r="BSJ199" s="2"/>
      <c r="BSK199" s="2"/>
      <c r="BSL199" s="2"/>
      <c r="BSM199" s="2"/>
      <c r="BSN199" s="2"/>
      <c r="BSO199" s="2"/>
      <c r="BSP199" s="2"/>
      <c r="BSQ199" s="2"/>
      <c r="BSR199" s="2"/>
      <c r="BSS199" s="2"/>
      <c r="BST199" s="2"/>
      <c r="BSU199" s="2"/>
      <c r="BSV199" s="2"/>
      <c r="BSW199" s="2"/>
      <c r="BSX199" s="2"/>
      <c r="BSY199" s="2"/>
      <c r="BSZ199" s="2"/>
      <c r="BTA199" s="2"/>
      <c r="BTB199" s="2"/>
      <c r="BTC199" s="2"/>
      <c r="BTD199" s="2"/>
      <c r="BTE199" s="2"/>
      <c r="BTF199" s="2"/>
      <c r="BTG199" s="2"/>
      <c r="BTH199" s="2"/>
      <c r="BTI199" s="2"/>
      <c r="BTJ199" s="2"/>
      <c r="BTK199" s="2"/>
      <c r="BTL199" s="2"/>
      <c r="BTM199" s="2"/>
      <c r="BTN199" s="2"/>
      <c r="BTO199" s="2"/>
      <c r="BTP199" s="2"/>
      <c r="BTQ199" s="2"/>
      <c r="BTR199" s="2"/>
      <c r="BTS199" s="2"/>
      <c r="BTT199" s="2"/>
      <c r="BTU199" s="2"/>
      <c r="BTV199" s="2"/>
      <c r="BTW199" s="2"/>
      <c r="BTX199" s="2"/>
      <c r="BTY199" s="2"/>
      <c r="BTZ199" s="2"/>
      <c r="BUA199" s="2"/>
      <c r="BUB199" s="2"/>
      <c r="BUC199" s="2"/>
      <c r="BUD199" s="2"/>
      <c r="BUE199" s="2"/>
      <c r="BUF199" s="2"/>
      <c r="BUG199" s="2"/>
      <c r="BUH199" s="2"/>
      <c r="BUI199" s="2"/>
      <c r="BUJ199" s="2"/>
      <c r="BUK199" s="2"/>
      <c r="BUL199" s="2"/>
      <c r="BUM199" s="2"/>
      <c r="BUN199" s="2"/>
      <c r="BUO199" s="2"/>
      <c r="BUP199" s="2"/>
      <c r="BUQ199" s="2"/>
      <c r="BUR199" s="2"/>
      <c r="BUS199" s="2"/>
      <c r="BUT199" s="2"/>
      <c r="BUU199" s="2"/>
      <c r="BUV199" s="2"/>
      <c r="BUW199" s="2"/>
      <c r="BUX199" s="2"/>
      <c r="BUY199" s="2"/>
      <c r="BUZ199" s="2"/>
      <c r="BVA199" s="2"/>
      <c r="BVB199" s="2"/>
      <c r="BVC199" s="2"/>
      <c r="BVD199" s="2"/>
      <c r="BVE199" s="2"/>
      <c r="BVF199" s="2"/>
      <c r="BVG199" s="2"/>
      <c r="BVH199" s="2"/>
      <c r="BVI199" s="2"/>
      <c r="BVJ199" s="2"/>
      <c r="BVK199" s="2"/>
      <c r="BVL199" s="2"/>
      <c r="BVM199" s="2"/>
      <c r="BVN199" s="2"/>
      <c r="BVO199" s="2"/>
      <c r="BVP199" s="2"/>
      <c r="BVQ199" s="2"/>
      <c r="BVR199" s="2"/>
      <c r="BVS199" s="2"/>
      <c r="BVT199" s="2"/>
      <c r="BVU199" s="2"/>
      <c r="BVV199" s="2"/>
      <c r="BVW199" s="2"/>
      <c r="BVX199" s="2"/>
      <c r="BVY199" s="2"/>
      <c r="BVZ199" s="2"/>
      <c r="BWA199" s="2"/>
      <c r="BWB199" s="2"/>
      <c r="BWC199" s="2"/>
      <c r="BWD199" s="2"/>
      <c r="BWE199" s="2"/>
      <c r="BWF199" s="2"/>
      <c r="BWG199" s="2"/>
      <c r="BWH199" s="2"/>
      <c r="BWI199" s="2"/>
      <c r="BWJ199" s="2"/>
      <c r="BWK199" s="2"/>
      <c r="BWL199" s="2"/>
      <c r="BWM199" s="2"/>
      <c r="BWN199" s="2"/>
      <c r="BWO199" s="2"/>
      <c r="BWP199" s="2"/>
      <c r="BWQ199" s="2"/>
      <c r="BWR199" s="2"/>
      <c r="BWS199" s="2"/>
      <c r="BWT199" s="2"/>
      <c r="BWU199" s="2"/>
      <c r="BWV199" s="2"/>
      <c r="BWW199" s="2"/>
      <c r="BWX199" s="2"/>
      <c r="BWY199" s="2"/>
      <c r="BWZ199" s="2"/>
      <c r="BXA199" s="2"/>
      <c r="BXB199" s="2"/>
      <c r="BXC199" s="2"/>
      <c r="BXD199" s="2"/>
      <c r="BXE199" s="2"/>
      <c r="BXF199" s="2"/>
      <c r="BXG199" s="2"/>
      <c r="BXH199" s="2"/>
      <c r="BXI199" s="2"/>
      <c r="BXJ199" s="2"/>
      <c r="BXK199" s="2"/>
      <c r="BXL199" s="2"/>
      <c r="BXM199" s="2"/>
      <c r="BXN199" s="2"/>
      <c r="BXO199" s="2"/>
      <c r="BXP199" s="2"/>
      <c r="BXQ199" s="2"/>
      <c r="BXR199" s="2"/>
      <c r="BXS199" s="2"/>
      <c r="BXT199" s="2"/>
      <c r="BXU199" s="2"/>
      <c r="BXV199" s="2"/>
      <c r="BXW199" s="2"/>
      <c r="BXX199" s="2"/>
      <c r="BXY199" s="2"/>
      <c r="BXZ199" s="2"/>
      <c r="BYA199" s="2"/>
      <c r="BYB199" s="2"/>
      <c r="BYC199" s="2"/>
      <c r="BYD199" s="2"/>
      <c r="BYE199" s="2"/>
      <c r="BYF199" s="2"/>
      <c r="BYG199" s="2"/>
      <c r="BYH199" s="2"/>
      <c r="BYI199" s="2"/>
      <c r="BYJ199" s="2"/>
      <c r="BYK199" s="2"/>
      <c r="BYL199" s="2"/>
      <c r="BYM199" s="2"/>
      <c r="BYN199" s="2"/>
      <c r="BYO199" s="2"/>
      <c r="BYP199" s="2"/>
      <c r="BYQ199" s="2"/>
      <c r="BYR199" s="2"/>
      <c r="BYS199" s="2"/>
      <c r="BYT199" s="2"/>
      <c r="BYU199" s="2"/>
      <c r="BYV199" s="2"/>
      <c r="BYW199" s="2"/>
      <c r="BYX199" s="2"/>
      <c r="BYY199" s="2"/>
      <c r="BYZ199" s="2"/>
      <c r="BZA199" s="2"/>
      <c r="BZB199" s="2"/>
      <c r="BZC199" s="2"/>
      <c r="BZD199" s="2"/>
      <c r="BZE199" s="2"/>
      <c r="BZF199" s="2"/>
      <c r="BZG199" s="2"/>
      <c r="BZH199" s="2"/>
      <c r="BZI199" s="2"/>
      <c r="BZJ199" s="2"/>
      <c r="BZK199" s="2"/>
      <c r="BZL199" s="2"/>
      <c r="BZM199" s="2"/>
      <c r="BZN199" s="2"/>
      <c r="BZO199" s="2"/>
      <c r="BZP199" s="2"/>
      <c r="BZQ199" s="2"/>
      <c r="BZR199" s="2"/>
      <c r="BZS199" s="2"/>
      <c r="BZT199" s="2"/>
      <c r="BZU199" s="2"/>
      <c r="BZV199" s="2"/>
      <c r="BZW199" s="2"/>
      <c r="BZX199" s="2"/>
      <c r="BZY199" s="2"/>
      <c r="BZZ199" s="2"/>
      <c r="CAA199" s="2"/>
      <c r="CAB199" s="2"/>
      <c r="CAC199" s="2"/>
      <c r="CAD199" s="2"/>
      <c r="CAE199" s="2"/>
      <c r="CAF199" s="2"/>
      <c r="CAG199" s="2"/>
      <c r="CAH199" s="2"/>
      <c r="CAI199" s="2"/>
      <c r="CAJ199" s="2"/>
      <c r="CAK199" s="2"/>
      <c r="CAL199" s="2"/>
      <c r="CAM199" s="2"/>
      <c r="CAN199" s="2"/>
      <c r="CAO199" s="2"/>
      <c r="CAP199" s="2"/>
      <c r="CAQ199" s="2"/>
      <c r="CAR199" s="2"/>
      <c r="CAS199" s="2"/>
      <c r="CAT199" s="2"/>
      <c r="CAU199" s="2"/>
      <c r="CAV199" s="2"/>
      <c r="CAW199" s="2"/>
      <c r="CAX199" s="2"/>
      <c r="CAY199" s="2"/>
      <c r="CAZ199" s="2"/>
      <c r="CBA199" s="2"/>
      <c r="CBB199" s="2"/>
      <c r="CBC199" s="2"/>
      <c r="CBD199" s="2"/>
      <c r="CBE199" s="2"/>
      <c r="CBF199" s="2"/>
      <c r="CBG199" s="2"/>
      <c r="CBH199" s="2"/>
      <c r="CBI199" s="2"/>
      <c r="CBJ199" s="2"/>
      <c r="CBK199" s="2"/>
      <c r="CBL199" s="2"/>
      <c r="CBM199" s="2"/>
      <c r="CBN199" s="2"/>
      <c r="CBO199" s="2"/>
      <c r="CBP199" s="2"/>
      <c r="CBQ199" s="2"/>
      <c r="CBR199" s="2"/>
      <c r="CBS199" s="2"/>
      <c r="CBT199" s="2"/>
      <c r="CBU199" s="2"/>
      <c r="CBV199" s="2"/>
      <c r="CBW199" s="2"/>
      <c r="CBX199" s="2"/>
      <c r="CBY199" s="2"/>
      <c r="CBZ199" s="2"/>
      <c r="CCA199" s="2"/>
      <c r="CCB199" s="2"/>
      <c r="CCC199" s="2"/>
      <c r="CCD199" s="2"/>
      <c r="CCE199" s="2"/>
      <c r="CCF199" s="2"/>
      <c r="CCG199" s="2"/>
      <c r="CCH199" s="2"/>
      <c r="CCI199" s="2"/>
      <c r="CCJ199" s="2"/>
      <c r="CCK199" s="2"/>
      <c r="CCL199" s="2"/>
      <c r="CCM199" s="2"/>
      <c r="CCN199" s="2"/>
      <c r="CCO199" s="2"/>
      <c r="CCP199" s="2"/>
      <c r="CCQ199" s="2"/>
      <c r="CCR199" s="2"/>
      <c r="CCS199" s="2"/>
      <c r="CCT199" s="2"/>
      <c r="CCU199" s="2"/>
      <c r="CCV199" s="2"/>
      <c r="CCW199" s="2"/>
      <c r="CCX199" s="2"/>
      <c r="CCY199" s="2"/>
      <c r="CCZ199" s="2"/>
      <c r="CDA199" s="2"/>
      <c r="CDB199" s="2"/>
      <c r="CDC199" s="2"/>
      <c r="CDD199" s="2"/>
      <c r="CDE199" s="2"/>
      <c r="CDF199" s="2"/>
      <c r="CDG199" s="2"/>
      <c r="CDH199" s="2"/>
      <c r="CDI199" s="2"/>
      <c r="CDJ199" s="2"/>
      <c r="CDK199" s="2"/>
      <c r="CDL199" s="2"/>
      <c r="CDM199" s="2"/>
      <c r="CDN199" s="2"/>
      <c r="CDO199" s="2"/>
      <c r="CDP199" s="2"/>
      <c r="CDQ199" s="2"/>
      <c r="CDR199" s="2"/>
      <c r="CDS199" s="2"/>
      <c r="CDT199" s="2"/>
      <c r="CDU199" s="2"/>
      <c r="CDV199" s="2"/>
      <c r="CDW199" s="2"/>
      <c r="CDX199" s="2"/>
      <c r="CDY199" s="2"/>
      <c r="CDZ199" s="2"/>
      <c r="CEA199" s="2"/>
      <c r="CEB199" s="2"/>
      <c r="CEC199" s="2"/>
      <c r="CED199" s="2"/>
      <c r="CEE199" s="2"/>
      <c r="CEF199" s="2"/>
      <c r="CEG199" s="2"/>
      <c r="CEH199" s="2"/>
      <c r="CEI199" s="2"/>
      <c r="CEJ199" s="2"/>
      <c r="CEK199" s="2"/>
      <c r="CEL199" s="2"/>
      <c r="CEM199" s="2"/>
      <c r="CEN199" s="2"/>
      <c r="CEO199" s="2"/>
      <c r="CEP199" s="2"/>
      <c r="CEQ199" s="2"/>
      <c r="CER199" s="2"/>
      <c r="CES199" s="2"/>
      <c r="CET199" s="2"/>
      <c r="CEU199" s="2"/>
      <c r="CEV199" s="2"/>
      <c r="CEW199" s="2"/>
      <c r="CEX199" s="2"/>
      <c r="CEY199" s="2"/>
      <c r="CEZ199" s="2"/>
      <c r="CFA199" s="2"/>
      <c r="CFB199" s="2"/>
      <c r="CFC199" s="2"/>
      <c r="CFD199" s="2"/>
      <c r="CFE199" s="2"/>
      <c r="CFF199" s="2"/>
      <c r="CFG199" s="2"/>
      <c r="CFH199" s="2"/>
      <c r="CFI199" s="2"/>
      <c r="CFJ199" s="2"/>
      <c r="CFK199" s="2"/>
      <c r="CFL199" s="2"/>
      <c r="CFM199" s="2"/>
      <c r="CFN199" s="2"/>
      <c r="CFO199" s="2"/>
      <c r="CFP199" s="2"/>
      <c r="CFQ199" s="2"/>
      <c r="CFR199" s="2"/>
      <c r="CFS199" s="2"/>
      <c r="CFT199" s="2"/>
      <c r="CFU199" s="2"/>
      <c r="CFV199" s="2"/>
      <c r="CFW199" s="2"/>
      <c r="CFX199" s="2"/>
      <c r="CFY199" s="2"/>
      <c r="CFZ199" s="2"/>
      <c r="CGA199" s="2"/>
      <c r="CGB199" s="2"/>
      <c r="CGC199" s="2"/>
      <c r="CGD199" s="2"/>
      <c r="CGE199" s="2"/>
      <c r="CGF199" s="2"/>
      <c r="CGG199" s="2"/>
      <c r="CGH199" s="2"/>
      <c r="CGI199" s="2"/>
      <c r="CGJ199" s="2"/>
      <c r="CGK199" s="2"/>
      <c r="CGL199" s="2"/>
      <c r="CGM199" s="2"/>
      <c r="CGN199" s="2"/>
      <c r="CGO199" s="2"/>
      <c r="CGP199" s="2"/>
      <c r="CGQ199" s="2"/>
      <c r="CGR199" s="2"/>
      <c r="CGS199" s="2"/>
      <c r="CGT199" s="2"/>
      <c r="CGU199" s="2"/>
      <c r="CGV199" s="2"/>
      <c r="CGW199" s="2"/>
      <c r="CGX199" s="2"/>
      <c r="CGY199" s="2"/>
      <c r="CGZ199" s="2"/>
      <c r="CHA199" s="2"/>
      <c r="CHB199" s="2"/>
      <c r="CHC199" s="2"/>
      <c r="CHD199" s="2"/>
      <c r="CHE199" s="2"/>
      <c r="CHF199" s="2"/>
      <c r="CHG199" s="2"/>
      <c r="CHH199" s="2"/>
      <c r="CHI199" s="2"/>
      <c r="CHJ199" s="2"/>
      <c r="CHK199" s="2"/>
      <c r="CHL199" s="2"/>
      <c r="CHM199" s="2"/>
      <c r="CHN199" s="2"/>
      <c r="CHO199" s="2"/>
      <c r="CHP199" s="2"/>
      <c r="CHQ199" s="2"/>
      <c r="CHR199" s="2"/>
      <c r="CHS199" s="2"/>
      <c r="CHT199" s="2"/>
      <c r="CHU199" s="2"/>
      <c r="CHV199" s="2"/>
      <c r="CHW199" s="2"/>
      <c r="CHX199" s="2"/>
      <c r="CHY199" s="2"/>
      <c r="CHZ199" s="2"/>
      <c r="CIA199" s="2"/>
      <c r="CIB199" s="2"/>
      <c r="CIC199" s="2"/>
      <c r="CID199" s="2"/>
      <c r="CIE199" s="2"/>
      <c r="CIF199" s="2"/>
      <c r="CIG199" s="2"/>
      <c r="CIH199" s="2"/>
      <c r="CII199" s="2"/>
      <c r="CIJ199" s="2"/>
      <c r="CIK199" s="2"/>
      <c r="CIL199" s="2"/>
      <c r="CIM199" s="2"/>
      <c r="CIN199" s="2"/>
      <c r="CIO199" s="2"/>
      <c r="CIP199" s="2"/>
      <c r="CIQ199" s="2"/>
      <c r="CIR199" s="2"/>
      <c r="CIS199" s="2"/>
      <c r="CIT199" s="2"/>
      <c r="CIU199" s="2"/>
      <c r="CIV199" s="2"/>
      <c r="CIW199" s="2"/>
      <c r="CIX199" s="2"/>
      <c r="CIY199" s="2"/>
      <c r="CIZ199" s="2"/>
      <c r="CJA199" s="2"/>
      <c r="CJB199" s="2"/>
      <c r="CJC199" s="2"/>
      <c r="CJD199" s="2"/>
      <c r="CJE199" s="2"/>
      <c r="CJF199" s="2"/>
      <c r="CJG199" s="2"/>
      <c r="CJH199" s="2"/>
      <c r="CJI199" s="2"/>
      <c r="CJJ199" s="2"/>
      <c r="CJK199" s="2"/>
      <c r="CJL199" s="2"/>
      <c r="CJM199" s="2"/>
      <c r="CJN199" s="2"/>
      <c r="CJO199" s="2"/>
      <c r="CJP199" s="2"/>
      <c r="CJQ199" s="2"/>
      <c r="CJR199" s="2"/>
      <c r="CJS199" s="2"/>
      <c r="CJT199" s="2"/>
      <c r="CJU199" s="2"/>
      <c r="CJV199" s="2"/>
      <c r="CJW199" s="2"/>
      <c r="CJX199" s="2"/>
      <c r="CJY199" s="2"/>
      <c r="CJZ199" s="2"/>
      <c r="CKA199" s="2"/>
      <c r="CKB199" s="2"/>
      <c r="CKC199" s="2"/>
      <c r="CKD199" s="2"/>
      <c r="CKE199" s="2"/>
      <c r="CKF199" s="2"/>
      <c r="CKG199" s="2"/>
      <c r="CKH199" s="2"/>
      <c r="CKI199" s="2"/>
      <c r="CKJ199" s="2"/>
      <c r="CKK199" s="2"/>
      <c r="CKL199" s="2"/>
      <c r="CKM199" s="2"/>
      <c r="CKN199" s="2"/>
      <c r="CKO199" s="2"/>
      <c r="CKP199" s="2"/>
      <c r="CKQ199" s="2"/>
      <c r="CKR199" s="2"/>
      <c r="CKS199" s="2"/>
      <c r="CKT199" s="2"/>
      <c r="CKU199" s="2"/>
      <c r="CKV199" s="2"/>
      <c r="CKW199" s="2"/>
      <c r="CKX199" s="2"/>
      <c r="CKY199" s="2"/>
      <c r="CKZ199" s="2"/>
      <c r="CLA199" s="2"/>
      <c r="CLB199" s="2"/>
      <c r="CLC199" s="2"/>
      <c r="CLD199" s="2"/>
      <c r="CLE199" s="2"/>
      <c r="CLF199" s="2"/>
      <c r="CLG199" s="2"/>
      <c r="CLH199" s="2"/>
      <c r="CLI199" s="2"/>
      <c r="CLJ199" s="2"/>
      <c r="CLK199" s="2"/>
      <c r="CLL199" s="2"/>
      <c r="CLM199" s="2"/>
      <c r="CLN199" s="2"/>
      <c r="CLO199" s="2"/>
      <c r="CLP199" s="2"/>
      <c r="CLQ199" s="2"/>
      <c r="CLR199" s="2"/>
      <c r="CLS199" s="2"/>
      <c r="CLT199" s="2"/>
      <c r="CLU199" s="2"/>
      <c r="CLV199" s="2"/>
      <c r="CLW199" s="2"/>
      <c r="CLX199" s="2"/>
      <c r="CLY199" s="2"/>
      <c r="CLZ199" s="2"/>
      <c r="CMA199" s="2"/>
      <c r="CMB199" s="2"/>
      <c r="CMC199" s="2"/>
      <c r="CMD199" s="2"/>
      <c r="CME199" s="2"/>
      <c r="CMF199" s="2"/>
      <c r="CMG199" s="2"/>
      <c r="CMH199" s="2"/>
      <c r="CMI199" s="2"/>
      <c r="CMJ199" s="2"/>
      <c r="CMK199" s="2"/>
      <c r="CML199" s="2"/>
      <c r="CMM199" s="2"/>
      <c r="CMN199" s="2"/>
      <c r="CMO199" s="2"/>
      <c r="CMP199" s="2"/>
      <c r="CMQ199" s="2"/>
      <c r="CMR199" s="2"/>
      <c r="CMS199" s="2"/>
      <c r="CMT199" s="2"/>
      <c r="CMU199" s="2"/>
      <c r="CMV199" s="2"/>
      <c r="CMW199" s="2"/>
      <c r="CMX199" s="2"/>
      <c r="CMY199" s="2"/>
      <c r="CMZ199" s="2"/>
      <c r="CNA199" s="2"/>
      <c r="CNB199" s="2"/>
      <c r="CNC199" s="2"/>
      <c r="CND199" s="2"/>
      <c r="CNE199" s="2"/>
      <c r="CNF199" s="2"/>
      <c r="CNG199" s="2"/>
      <c r="CNH199" s="2"/>
      <c r="CNI199" s="2"/>
      <c r="CNJ199" s="2"/>
      <c r="CNK199" s="2"/>
      <c r="CNL199" s="2"/>
      <c r="CNM199" s="2"/>
      <c r="CNN199" s="2"/>
      <c r="CNO199" s="2"/>
      <c r="CNP199" s="2"/>
      <c r="CNQ199" s="2"/>
      <c r="CNR199" s="2"/>
      <c r="CNS199" s="2"/>
      <c r="CNT199" s="2"/>
      <c r="CNU199" s="2"/>
      <c r="CNV199" s="2"/>
      <c r="CNW199" s="2"/>
      <c r="CNX199" s="2"/>
      <c r="CNY199" s="2"/>
      <c r="CNZ199" s="2"/>
      <c r="COA199" s="2"/>
      <c r="COB199" s="2"/>
      <c r="COC199" s="2"/>
      <c r="COD199" s="2"/>
      <c r="COE199" s="2"/>
      <c r="COF199" s="2"/>
      <c r="COG199" s="2"/>
      <c r="COH199" s="2"/>
      <c r="COI199" s="2"/>
      <c r="COJ199" s="2"/>
      <c r="COK199" s="2"/>
      <c r="COL199" s="2"/>
      <c r="COM199" s="2"/>
      <c r="CON199" s="2"/>
      <c r="COO199" s="2"/>
      <c r="COP199" s="2"/>
      <c r="COQ199" s="2"/>
      <c r="COR199" s="2"/>
      <c r="COS199" s="2"/>
      <c r="COT199" s="2"/>
      <c r="COU199" s="2"/>
      <c r="COV199" s="2"/>
      <c r="COW199" s="2"/>
      <c r="COX199" s="2"/>
      <c r="COY199" s="2"/>
      <c r="COZ199" s="2"/>
      <c r="CPA199" s="2"/>
      <c r="CPB199" s="2"/>
      <c r="CPC199" s="2"/>
      <c r="CPD199" s="2"/>
      <c r="CPE199" s="2"/>
      <c r="CPF199" s="2"/>
      <c r="CPG199" s="2"/>
      <c r="CPH199" s="2"/>
      <c r="CPI199" s="2"/>
      <c r="CPJ199" s="2"/>
      <c r="CPK199" s="2"/>
      <c r="CPL199" s="2"/>
      <c r="CPM199" s="2"/>
      <c r="CPN199" s="2"/>
      <c r="CPO199" s="2"/>
      <c r="CPP199" s="2"/>
      <c r="CPQ199" s="2"/>
      <c r="CPR199" s="2"/>
      <c r="CPS199" s="2"/>
      <c r="CPT199" s="2"/>
      <c r="CPU199" s="2"/>
      <c r="CPV199" s="2"/>
      <c r="CPW199" s="2"/>
      <c r="CPX199" s="2"/>
      <c r="CPY199" s="2"/>
      <c r="CPZ199" s="2"/>
      <c r="CQA199" s="2"/>
      <c r="CQB199" s="2"/>
      <c r="CQC199" s="2"/>
      <c r="CQD199" s="2"/>
      <c r="CQE199" s="2"/>
      <c r="CQF199" s="2"/>
      <c r="CQG199" s="2"/>
      <c r="CQH199" s="2"/>
      <c r="CQI199" s="2"/>
      <c r="CQJ199" s="2"/>
      <c r="CQK199" s="2"/>
      <c r="CQL199" s="2"/>
      <c r="CQM199" s="2"/>
      <c r="CQN199" s="2"/>
      <c r="CQO199" s="2"/>
      <c r="CQP199" s="2"/>
      <c r="CQQ199" s="2"/>
      <c r="CQR199" s="2"/>
      <c r="CQS199" s="2"/>
      <c r="CQT199" s="2"/>
      <c r="CQU199" s="2"/>
      <c r="CQV199" s="2"/>
      <c r="CQW199" s="2"/>
      <c r="CQX199" s="2"/>
      <c r="CQY199" s="2"/>
      <c r="CQZ199" s="2"/>
      <c r="CRA199" s="2"/>
      <c r="CRB199" s="2"/>
      <c r="CRC199" s="2"/>
      <c r="CRD199" s="2"/>
      <c r="CRE199" s="2"/>
      <c r="CRF199" s="2"/>
      <c r="CRG199" s="2"/>
      <c r="CRH199" s="2"/>
      <c r="CRI199" s="2"/>
      <c r="CRJ199" s="2"/>
      <c r="CRK199" s="2"/>
      <c r="CRL199" s="2"/>
      <c r="CRM199" s="2"/>
      <c r="CRN199" s="2"/>
      <c r="CRO199" s="2"/>
      <c r="CRP199" s="2"/>
      <c r="CRQ199" s="2"/>
      <c r="CRR199" s="2"/>
      <c r="CRS199" s="2"/>
      <c r="CRT199" s="2"/>
      <c r="CRU199" s="2"/>
      <c r="CRV199" s="2"/>
      <c r="CRW199" s="2"/>
      <c r="CRX199" s="2"/>
      <c r="CRY199" s="2"/>
      <c r="CRZ199" s="2"/>
      <c r="CSA199" s="2"/>
      <c r="CSB199" s="2"/>
      <c r="CSC199" s="2"/>
      <c r="CSD199" s="2"/>
      <c r="CSE199" s="2"/>
      <c r="CSF199" s="2"/>
      <c r="CSG199" s="2"/>
      <c r="CSH199" s="2"/>
      <c r="CSI199" s="2"/>
      <c r="CSJ199" s="2"/>
      <c r="CSK199" s="2"/>
      <c r="CSL199" s="2"/>
      <c r="CSM199" s="2"/>
      <c r="CSN199" s="2"/>
      <c r="CSO199" s="2"/>
      <c r="CSP199" s="2"/>
      <c r="CSQ199" s="2"/>
      <c r="CSR199" s="2"/>
      <c r="CSS199" s="2"/>
      <c r="CST199" s="2"/>
      <c r="CSU199" s="2"/>
      <c r="CSV199" s="2"/>
      <c r="CSW199" s="2"/>
      <c r="CSX199" s="2"/>
      <c r="CSY199" s="2"/>
      <c r="CSZ199" s="2"/>
      <c r="CTA199" s="2"/>
      <c r="CTB199" s="2"/>
      <c r="CTC199" s="2"/>
      <c r="CTD199" s="2"/>
      <c r="CTE199" s="2"/>
      <c r="CTF199" s="2"/>
      <c r="CTG199" s="2"/>
      <c r="CTH199" s="2"/>
      <c r="CTI199" s="2"/>
      <c r="CTJ199" s="2"/>
      <c r="CTK199" s="2"/>
      <c r="CTL199" s="2"/>
      <c r="CTM199" s="2"/>
      <c r="CTN199" s="2"/>
      <c r="CTO199" s="2"/>
      <c r="CTP199" s="2"/>
      <c r="CTQ199" s="2"/>
      <c r="CTR199" s="2"/>
      <c r="CTS199" s="2"/>
      <c r="CTT199" s="2"/>
      <c r="CTU199" s="2"/>
      <c r="CTV199" s="2"/>
      <c r="CTW199" s="2"/>
      <c r="CTX199" s="2"/>
      <c r="CTY199" s="2"/>
      <c r="CTZ199" s="2"/>
      <c r="CUA199" s="2"/>
      <c r="CUB199" s="2"/>
      <c r="CUC199" s="2"/>
      <c r="CUD199" s="2"/>
      <c r="CUE199" s="2"/>
      <c r="CUF199" s="2"/>
      <c r="CUG199" s="2"/>
      <c r="CUH199" s="2"/>
      <c r="CUI199" s="2"/>
      <c r="CUJ199" s="2"/>
      <c r="CUK199" s="2"/>
      <c r="CUL199" s="2"/>
      <c r="CUM199" s="2"/>
      <c r="CUN199" s="2"/>
      <c r="CUO199" s="2"/>
      <c r="CUP199" s="2"/>
      <c r="CUQ199" s="2"/>
      <c r="CUR199" s="2"/>
      <c r="CUS199" s="2"/>
      <c r="CUT199" s="2"/>
      <c r="CUU199" s="2"/>
      <c r="CUV199" s="2"/>
      <c r="CUW199" s="2"/>
      <c r="CUX199" s="2"/>
      <c r="CUY199" s="2"/>
      <c r="CUZ199" s="2"/>
      <c r="CVA199" s="2"/>
      <c r="CVB199" s="2"/>
      <c r="CVC199" s="2"/>
      <c r="CVD199" s="2"/>
      <c r="CVE199" s="2"/>
      <c r="CVF199" s="2"/>
      <c r="CVG199" s="2"/>
      <c r="CVH199" s="2"/>
      <c r="CVI199" s="2"/>
      <c r="CVJ199" s="2"/>
      <c r="CVK199" s="2"/>
      <c r="CVL199" s="2"/>
      <c r="CVM199" s="2"/>
      <c r="CVN199" s="2"/>
      <c r="CVO199" s="2"/>
      <c r="CVP199" s="2"/>
      <c r="CVQ199" s="2"/>
      <c r="CVR199" s="2"/>
      <c r="CVS199" s="2"/>
      <c r="CVT199" s="2"/>
      <c r="CVU199" s="2"/>
      <c r="CVV199" s="2"/>
      <c r="CVW199" s="2"/>
      <c r="CVX199" s="2"/>
      <c r="CVY199" s="2"/>
      <c r="CVZ199" s="2"/>
      <c r="CWA199" s="2"/>
      <c r="CWB199" s="2"/>
      <c r="CWC199" s="2"/>
      <c r="CWD199" s="2"/>
      <c r="CWE199" s="2"/>
      <c r="CWF199" s="2"/>
      <c r="CWG199" s="2"/>
      <c r="CWH199" s="2"/>
      <c r="CWI199" s="2"/>
      <c r="CWJ199" s="2"/>
      <c r="CWK199" s="2"/>
      <c r="CWL199" s="2"/>
      <c r="CWM199" s="2"/>
      <c r="CWN199" s="2"/>
      <c r="CWO199" s="2"/>
      <c r="CWP199" s="2"/>
      <c r="CWQ199" s="2"/>
      <c r="CWR199" s="2"/>
      <c r="CWS199" s="2"/>
      <c r="CWT199" s="2"/>
      <c r="CWU199" s="2"/>
      <c r="CWV199" s="2"/>
      <c r="CWW199" s="2"/>
      <c r="CWX199" s="2"/>
      <c r="CWY199" s="2"/>
      <c r="CWZ199" s="2"/>
      <c r="CXA199" s="2"/>
      <c r="CXB199" s="2"/>
      <c r="CXC199" s="2"/>
      <c r="CXD199" s="2"/>
      <c r="CXE199" s="2"/>
      <c r="CXF199" s="2"/>
      <c r="CXG199" s="2"/>
      <c r="CXH199" s="2"/>
      <c r="CXI199" s="2"/>
      <c r="CXJ199" s="2"/>
      <c r="CXK199" s="2"/>
      <c r="CXL199" s="2"/>
      <c r="CXM199" s="2"/>
      <c r="CXN199" s="2"/>
      <c r="CXO199" s="2"/>
      <c r="CXP199" s="2"/>
      <c r="CXQ199" s="2"/>
      <c r="CXR199" s="2"/>
      <c r="CXS199" s="2"/>
      <c r="CXT199" s="2"/>
      <c r="CXU199" s="2"/>
      <c r="CXV199" s="2"/>
      <c r="CXW199" s="2"/>
      <c r="CXX199" s="2"/>
      <c r="CXY199" s="2"/>
      <c r="CXZ199" s="2"/>
      <c r="CYA199" s="2"/>
      <c r="CYB199" s="2"/>
      <c r="CYC199" s="2"/>
      <c r="CYD199" s="2"/>
      <c r="CYE199" s="2"/>
      <c r="CYF199" s="2"/>
      <c r="CYG199" s="2"/>
      <c r="CYH199" s="2"/>
      <c r="CYI199" s="2"/>
      <c r="CYJ199" s="2"/>
      <c r="CYK199" s="2"/>
      <c r="CYL199" s="2"/>
      <c r="CYM199" s="2"/>
      <c r="CYN199" s="2"/>
      <c r="CYO199" s="2"/>
      <c r="CYP199" s="2"/>
      <c r="CYQ199" s="2"/>
      <c r="CYR199" s="2"/>
      <c r="CYS199" s="2"/>
      <c r="CYT199" s="2"/>
      <c r="CYU199" s="2"/>
      <c r="CYV199" s="2"/>
      <c r="CYW199" s="2"/>
      <c r="CYX199" s="2"/>
      <c r="CYY199" s="2"/>
      <c r="CYZ199" s="2"/>
      <c r="CZA199" s="2"/>
      <c r="CZB199" s="2"/>
      <c r="CZC199" s="2"/>
      <c r="CZD199" s="2"/>
      <c r="CZE199" s="2"/>
      <c r="CZF199" s="2"/>
      <c r="CZG199" s="2"/>
      <c r="CZH199" s="2"/>
      <c r="CZI199" s="2"/>
      <c r="CZJ199" s="2"/>
      <c r="CZK199" s="2"/>
      <c r="CZL199" s="2"/>
      <c r="CZM199" s="2"/>
      <c r="CZN199" s="2"/>
      <c r="CZO199" s="2"/>
      <c r="CZP199" s="2"/>
      <c r="CZQ199" s="2"/>
      <c r="CZR199" s="2"/>
      <c r="CZS199" s="2"/>
      <c r="CZT199" s="2"/>
      <c r="CZU199" s="2"/>
      <c r="CZV199" s="2"/>
      <c r="CZW199" s="2"/>
      <c r="CZX199" s="2"/>
      <c r="CZY199" s="2"/>
      <c r="CZZ199" s="2"/>
      <c r="DAA199" s="2"/>
      <c r="DAB199" s="2"/>
      <c r="DAC199" s="2"/>
      <c r="DAD199" s="2"/>
      <c r="DAE199" s="2"/>
      <c r="DAF199" s="2"/>
      <c r="DAG199" s="2"/>
      <c r="DAH199" s="2"/>
      <c r="DAI199" s="2"/>
      <c r="DAJ199" s="2"/>
      <c r="DAK199" s="2"/>
      <c r="DAL199" s="2"/>
      <c r="DAM199" s="2"/>
      <c r="DAN199" s="2"/>
      <c r="DAO199" s="2"/>
      <c r="DAP199" s="2"/>
      <c r="DAQ199" s="2"/>
      <c r="DAR199" s="2"/>
      <c r="DAS199" s="2"/>
      <c r="DAT199" s="2"/>
      <c r="DAU199" s="2"/>
      <c r="DAV199" s="2"/>
      <c r="DAW199" s="2"/>
      <c r="DAX199" s="2"/>
      <c r="DAY199" s="2"/>
      <c r="DAZ199" s="2"/>
      <c r="DBA199" s="2"/>
      <c r="DBB199" s="2"/>
      <c r="DBC199" s="2"/>
      <c r="DBD199" s="2"/>
      <c r="DBE199" s="2"/>
      <c r="DBF199" s="2"/>
      <c r="DBG199" s="2"/>
      <c r="DBH199" s="2"/>
      <c r="DBI199" s="2"/>
      <c r="DBJ199" s="2"/>
      <c r="DBK199" s="2"/>
      <c r="DBL199" s="2"/>
      <c r="DBM199" s="2"/>
      <c r="DBN199" s="2"/>
      <c r="DBO199" s="2"/>
      <c r="DBP199" s="2"/>
      <c r="DBQ199" s="2"/>
      <c r="DBR199" s="2"/>
      <c r="DBS199" s="2"/>
      <c r="DBT199" s="2"/>
      <c r="DBU199" s="2"/>
      <c r="DBV199" s="2"/>
      <c r="DBW199" s="2"/>
      <c r="DBX199" s="2"/>
      <c r="DBY199" s="2"/>
      <c r="DBZ199" s="2"/>
      <c r="DCA199" s="2"/>
      <c r="DCB199" s="2"/>
      <c r="DCC199" s="2"/>
      <c r="DCD199" s="2"/>
      <c r="DCE199" s="2"/>
      <c r="DCF199" s="2"/>
      <c r="DCG199" s="2"/>
      <c r="DCH199" s="2"/>
      <c r="DCI199" s="2"/>
      <c r="DCJ199" s="2"/>
      <c r="DCK199" s="2"/>
      <c r="DCL199" s="2"/>
      <c r="DCM199" s="2"/>
      <c r="DCN199" s="2"/>
      <c r="DCO199" s="2"/>
      <c r="DCP199" s="2"/>
      <c r="DCQ199" s="2"/>
      <c r="DCR199" s="2"/>
      <c r="DCS199" s="2"/>
      <c r="DCT199" s="2"/>
      <c r="DCU199" s="2"/>
      <c r="DCV199" s="2"/>
      <c r="DCW199" s="2"/>
      <c r="DCX199" s="2"/>
      <c r="DCY199" s="2"/>
      <c r="DCZ199" s="2"/>
      <c r="DDA199" s="2"/>
      <c r="DDB199" s="2"/>
      <c r="DDC199" s="2"/>
      <c r="DDD199" s="2"/>
      <c r="DDE199" s="2"/>
      <c r="DDF199" s="2"/>
      <c r="DDG199" s="2"/>
      <c r="DDH199" s="2"/>
      <c r="DDI199" s="2"/>
      <c r="DDJ199" s="2"/>
      <c r="DDK199" s="2"/>
      <c r="DDL199" s="2"/>
      <c r="DDM199" s="2"/>
      <c r="DDN199" s="2"/>
      <c r="DDO199" s="2"/>
      <c r="DDP199" s="2"/>
      <c r="DDQ199" s="2"/>
      <c r="DDR199" s="2"/>
      <c r="DDS199" s="2"/>
      <c r="DDT199" s="2"/>
      <c r="DDU199" s="2"/>
      <c r="DDV199" s="2"/>
      <c r="DDW199" s="2"/>
      <c r="DDX199" s="2"/>
      <c r="DDY199" s="2"/>
      <c r="DDZ199" s="2"/>
      <c r="DEA199" s="2"/>
      <c r="DEB199" s="2"/>
      <c r="DEC199" s="2"/>
      <c r="DED199" s="2"/>
      <c r="DEE199" s="2"/>
      <c r="DEF199" s="2"/>
      <c r="DEG199" s="2"/>
      <c r="DEH199" s="2"/>
      <c r="DEI199" s="2"/>
      <c r="DEJ199" s="2"/>
      <c r="DEK199" s="2"/>
      <c r="DEL199" s="2"/>
      <c r="DEM199" s="2"/>
      <c r="DEN199" s="2"/>
      <c r="DEO199" s="2"/>
      <c r="DEP199" s="2"/>
      <c r="DEQ199" s="2"/>
      <c r="DER199" s="2"/>
      <c r="DES199" s="2"/>
      <c r="DET199" s="2"/>
      <c r="DEU199" s="2"/>
      <c r="DEV199" s="2"/>
      <c r="DEW199" s="2"/>
      <c r="DEX199" s="2"/>
      <c r="DEY199" s="2"/>
      <c r="DEZ199" s="2"/>
      <c r="DFA199" s="2"/>
      <c r="DFB199" s="2"/>
      <c r="DFC199" s="2"/>
      <c r="DFD199" s="2"/>
      <c r="DFE199" s="2"/>
      <c r="DFF199" s="2"/>
      <c r="DFG199" s="2"/>
      <c r="DFH199" s="2"/>
      <c r="DFI199" s="2"/>
      <c r="DFJ199" s="2"/>
      <c r="DFK199" s="2"/>
      <c r="DFL199" s="2"/>
      <c r="DFM199" s="2"/>
      <c r="DFN199" s="2"/>
      <c r="DFO199" s="2"/>
      <c r="DFP199" s="2"/>
      <c r="DFQ199" s="2"/>
      <c r="DFR199" s="2"/>
      <c r="DFS199" s="2"/>
      <c r="DFT199" s="2"/>
      <c r="DFU199" s="2"/>
      <c r="DFV199" s="2"/>
      <c r="DFW199" s="2"/>
      <c r="DFX199" s="2"/>
      <c r="DFY199" s="2"/>
      <c r="DFZ199" s="2"/>
      <c r="DGA199" s="2"/>
      <c r="DGB199" s="2"/>
      <c r="DGC199" s="2"/>
      <c r="DGD199" s="2"/>
      <c r="DGE199" s="2"/>
      <c r="DGF199" s="2"/>
      <c r="DGG199" s="2"/>
      <c r="DGH199" s="2"/>
      <c r="DGI199" s="2"/>
      <c r="DGJ199" s="2"/>
      <c r="DGK199" s="2"/>
      <c r="DGL199" s="2"/>
      <c r="DGM199" s="2"/>
      <c r="DGN199" s="2"/>
      <c r="DGO199" s="2"/>
      <c r="DGP199" s="2"/>
      <c r="DGQ199" s="2"/>
      <c r="DGR199" s="2"/>
      <c r="DGS199" s="2"/>
      <c r="DGT199" s="2"/>
      <c r="DGU199" s="2"/>
      <c r="DGV199" s="2"/>
      <c r="DGW199" s="2"/>
      <c r="DGX199" s="2"/>
      <c r="DGY199" s="2"/>
      <c r="DGZ199" s="2"/>
      <c r="DHA199" s="2"/>
      <c r="DHB199" s="2"/>
      <c r="DHC199" s="2"/>
      <c r="DHD199" s="2"/>
      <c r="DHE199" s="2"/>
      <c r="DHF199" s="2"/>
      <c r="DHG199" s="2"/>
      <c r="DHH199" s="2"/>
      <c r="DHI199" s="2"/>
      <c r="DHJ199" s="2"/>
      <c r="DHK199" s="2"/>
      <c r="DHL199" s="2"/>
      <c r="DHM199" s="2"/>
      <c r="DHN199" s="2"/>
      <c r="DHO199" s="2"/>
      <c r="DHP199" s="2"/>
      <c r="DHQ199" s="2"/>
      <c r="DHR199" s="2"/>
      <c r="DHS199" s="2"/>
      <c r="DHT199" s="2"/>
      <c r="DHU199" s="2"/>
      <c r="DHV199" s="2"/>
      <c r="DHW199" s="2"/>
      <c r="DHX199" s="2"/>
      <c r="DHY199" s="2"/>
      <c r="DHZ199" s="2"/>
      <c r="DIA199" s="2"/>
      <c r="DIB199" s="2"/>
      <c r="DIC199" s="2"/>
      <c r="DID199" s="2"/>
      <c r="DIE199" s="2"/>
      <c r="DIF199" s="2"/>
      <c r="DIG199" s="2"/>
      <c r="DIH199" s="2"/>
      <c r="DII199" s="2"/>
      <c r="DIJ199" s="2"/>
      <c r="DIK199" s="2"/>
      <c r="DIL199" s="2"/>
      <c r="DIM199" s="2"/>
      <c r="DIN199" s="2"/>
      <c r="DIO199" s="2"/>
      <c r="DIP199" s="2"/>
      <c r="DIQ199" s="2"/>
      <c r="DIR199" s="2"/>
      <c r="DIS199" s="2"/>
      <c r="DIT199" s="2"/>
      <c r="DIU199" s="2"/>
      <c r="DIV199" s="2"/>
      <c r="DIW199" s="2"/>
      <c r="DIX199" s="2"/>
      <c r="DIY199" s="2"/>
      <c r="DIZ199" s="2"/>
      <c r="DJA199" s="2"/>
      <c r="DJB199" s="2"/>
      <c r="DJC199" s="2"/>
      <c r="DJD199" s="2"/>
      <c r="DJE199" s="2"/>
      <c r="DJF199" s="2"/>
      <c r="DJG199" s="2"/>
      <c r="DJH199" s="2"/>
      <c r="DJI199" s="2"/>
      <c r="DJJ199" s="2"/>
      <c r="DJK199" s="2"/>
      <c r="DJL199" s="2"/>
      <c r="DJM199" s="2"/>
      <c r="DJN199" s="2"/>
      <c r="DJO199" s="2"/>
      <c r="DJP199" s="2"/>
      <c r="DJQ199" s="2"/>
      <c r="DJR199" s="2"/>
      <c r="DJS199" s="2"/>
      <c r="DJT199" s="2"/>
      <c r="DJU199" s="2"/>
      <c r="DJV199" s="2"/>
      <c r="DJW199" s="2"/>
      <c r="DJX199" s="2"/>
      <c r="DJY199" s="2"/>
      <c r="DJZ199" s="2"/>
      <c r="DKA199" s="2"/>
      <c r="DKB199" s="2"/>
      <c r="DKC199" s="2"/>
      <c r="DKD199" s="2"/>
      <c r="DKE199" s="2"/>
      <c r="DKF199" s="2"/>
      <c r="DKG199" s="2"/>
      <c r="DKH199" s="2"/>
      <c r="DKI199" s="2"/>
      <c r="DKJ199" s="2"/>
      <c r="DKK199" s="2"/>
      <c r="DKL199" s="2"/>
      <c r="DKM199" s="2"/>
      <c r="DKN199" s="2"/>
      <c r="DKO199" s="2"/>
      <c r="DKP199" s="2"/>
      <c r="DKQ199" s="2"/>
      <c r="DKR199" s="2"/>
      <c r="DKS199" s="2"/>
      <c r="DKT199" s="2"/>
      <c r="DKU199" s="2"/>
      <c r="DKV199" s="2"/>
      <c r="DKW199" s="2"/>
      <c r="DKX199" s="2"/>
      <c r="DKY199" s="2"/>
      <c r="DKZ199" s="2"/>
      <c r="DLA199" s="2"/>
      <c r="DLB199" s="2"/>
      <c r="DLC199" s="2"/>
      <c r="DLD199" s="2"/>
      <c r="DLE199" s="2"/>
      <c r="DLF199" s="2"/>
      <c r="DLG199" s="2"/>
      <c r="DLH199" s="2"/>
      <c r="DLI199" s="2"/>
      <c r="DLJ199" s="2"/>
      <c r="DLK199" s="2"/>
      <c r="DLL199" s="2"/>
      <c r="DLM199" s="2"/>
      <c r="DLN199" s="2"/>
      <c r="DLO199" s="2"/>
      <c r="DLP199" s="2"/>
      <c r="DLQ199" s="2"/>
      <c r="DLR199" s="2"/>
      <c r="DLS199" s="2"/>
      <c r="DLT199" s="2"/>
      <c r="DLU199" s="2"/>
      <c r="DLV199" s="2"/>
      <c r="DLW199" s="2"/>
      <c r="DLX199" s="2"/>
      <c r="DLY199" s="2"/>
      <c r="DLZ199" s="2"/>
      <c r="DMA199" s="2"/>
      <c r="DMB199" s="2"/>
      <c r="DMC199" s="2"/>
      <c r="DMD199" s="2"/>
      <c r="DME199" s="2"/>
      <c r="DMF199" s="2"/>
      <c r="DMG199" s="2"/>
      <c r="DMH199" s="2"/>
      <c r="DMI199" s="2"/>
      <c r="DMJ199" s="2"/>
      <c r="DMK199" s="2"/>
      <c r="DML199" s="2"/>
      <c r="DMM199" s="2"/>
      <c r="DMN199" s="2"/>
      <c r="DMO199" s="2"/>
      <c r="DMP199" s="2"/>
      <c r="DMQ199" s="2"/>
      <c r="DMR199" s="2"/>
      <c r="DMS199" s="2"/>
      <c r="DMT199" s="2"/>
      <c r="DMU199" s="2"/>
      <c r="DMV199" s="2"/>
      <c r="DMW199" s="2"/>
      <c r="DMX199" s="2"/>
      <c r="DMY199" s="2"/>
      <c r="DMZ199" s="2"/>
      <c r="DNA199" s="2"/>
      <c r="DNB199" s="2"/>
      <c r="DNC199" s="2"/>
      <c r="DND199" s="2"/>
      <c r="DNE199" s="2"/>
      <c r="DNF199" s="2"/>
      <c r="DNG199" s="2"/>
      <c r="DNH199" s="2"/>
      <c r="DNI199" s="2"/>
      <c r="DNJ199" s="2"/>
      <c r="DNK199" s="2"/>
      <c r="DNL199" s="2"/>
      <c r="DNM199" s="2"/>
      <c r="DNN199" s="2"/>
      <c r="DNO199" s="2"/>
      <c r="DNP199" s="2"/>
      <c r="DNQ199" s="2"/>
      <c r="DNR199" s="2"/>
      <c r="DNS199" s="2"/>
      <c r="DNT199" s="2"/>
      <c r="DNU199" s="2"/>
      <c r="DNV199" s="2"/>
      <c r="DNW199" s="2"/>
      <c r="DNX199" s="2"/>
      <c r="DNY199" s="2"/>
      <c r="DNZ199" s="2"/>
      <c r="DOA199" s="2"/>
      <c r="DOB199" s="2"/>
      <c r="DOC199" s="2"/>
      <c r="DOD199" s="2"/>
      <c r="DOE199" s="2"/>
      <c r="DOF199" s="2"/>
      <c r="DOG199" s="2"/>
      <c r="DOH199" s="2"/>
      <c r="DOI199" s="2"/>
      <c r="DOJ199" s="2"/>
      <c r="DOK199" s="2"/>
      <c r="DOL199" s="2"/>
      <c r="DOM199" s="2"/>
      <c r="DON199" s="2"/>
      <c r="DOO199" s="2"/>
      <c r="DOP199" s="2"/>
      <c r="DOQ199" s="2"/>
      <c r="DOR199" s="2"/>
      <c r="DOS199" s="2"/>
      <c r="DOT199" s="2"/>
      <c r="DOU199" s="2"/>
      <c r="DOV199" s="2"/>
      <c r="DOW199" s="2"/>
      <c r="DOX199" s="2"/>
      <c r="DOY199" s="2"/>
      <c r="DOZ199" s="2"/>
      <c r="DPA199" s="2"/>
      <c r="DPB199" s="2"/>
      <c r="DPC199" s="2"/>
      <c r="DPD199" s="2"/>
      <c r="DPE199" s="2"/>
      <c r="DPF199" s="2"/>
      <c r="DPG199" s="2"/>
      <c r="DPH199" s="2"/>
      <c r="DPI199" s="2"/>
      <c r="DPJ199" s="2"/>
      <c r="DPK199" s="2"/>
      <c r="DPL199" s="2"/>
      <c r="DPM199" s="2"/>
      <c r="DPN199" s="2"/>
      <c r="DPO199" s="2"/>
      <c r="DPP199" s="2"/>
      <c r="DPQ199" s="2"/>
      <c r="DPR199" s="2"/>
      <c r="DPS199" s="2"/>
      <c r="DPT199" s="2"/>
      <c r="DPU199" s="2"/>
      <c r="DPV199" s="2"/>
      <c r="DPW199" s="2"/>
      <c r="DPX199" s="2"/>
      <c r="DPY199" s="2"/>
      <c r="DPZ199" s="2"/>
      <c r="DQA199" s="2"/>
      <c r="DQB199" s="2"/>
      <c r="DQC199" s="2"/>
      <c r="DQD199" s="2"/>
      <c r="DQE199" s="2"/>
      <c r="DQF199" s="2"/>
      <c r="DQG199" s="2"/>
      <c r="DQH199" s="2"/>
      <c r="DQI199" s="2"/>
      <c r="DQJ199" s="2"/>
      <c r="DQK199" s="2"/>
      <c r="DQL199" s="2"/>
      <c r="DQM199" s="2"/>
      <c r="DQN199" s="2"/>
      <c r="DQO199" s="2"/>
      <c r="DQP199" s="2"/>
      <c r="DQQ199" s="2"/>
      <c r="DQR199" s="2"/>
      <c r="DQS199" s="2"/>
      <c r="DQT199" s="2"/>
      <c r="DQU199" s="2"/>
      <c r="DQV199" s="2"/>
      <c r="DQW199" s="2"/>
      <c r="DQX199" s="2"/>
      <c r="DQY199" s="2"/>
      <c r="DQZ199" s="2"/>
      <c r="DRA199" s="2"/>
      <c r="DRB199" s="2"/>
      <c r="DRC199" s="2"/>
      <c r="DRD199" s="2"/>
      <c r="DRE199" s="2"/>
      <c r="DRF199" s="2"/>
      <c r="DRG199" s="2"/>
      <c r="DRH199" s="2"/>
      <c r="DRI199" s="2"/>
      <c r="DRJ199" s="2"/>
      <c r="DRK199" s="2"/>
      <c r="DRL199" s="2"/>
      <c r="DRM199" s="2"/>
      <c r="DRN199" s="2"/>
      <c r="DRO199" s="2"/>
      <c r="DRP199" s="2"/>
      <c r="DRQ199" s="2"/>
      <c r="DRR199" s="2"/>
      <c r="DRS199" s="2"/>
      <c r="DRT199" s="2"/>
      <c r="DRU199" s="2"/>
      <c r="DRV199" s="2"/>
      <c r="DRW199" s="2"/>
      <c r="DRX199" s="2"/>
      <c r="DRY199" s="2"/>
      <c r="DRZ199" s="2"/>
      <c r="DSA199" s="2"/>
      <c r="DSB199" s="2"/>
      <c r="DSC199" s="2"/>
      <c r="DSD199" s="2"/>
      <c r="DSE199" s="2"/>
      <c r="DSF199" s="2"/>
      <c r="DSG199" s="2"/>
      <c r="DSH199" s="2"/>
      <c r="DSI199" s="2"/>
      <c r="DSJ199" s="2"/>
      <c r="DSK199" s="2"/>
      <c r="DSL199" s="2"/>
      <c r="DSM199" s="2"/>
      <c r="DSN199" s="2"/>
      <c r="DSO199" s="2"/>
      <c r="DSP199" s="2"/>
      <c r="DSQ199" s="2"/>
      <c r="DSR199" s="2"/>
      <c r="DSS199" s="2"/>
      <c r="DST199" s="2"/>
      <c r="DSU199" s="2"/>
      <c r="DSV199" s="2"/>
      <c r="DSW199" s="2"/>
      <c r="DSX199" s="2"/>
      <c r="DSY199" s="2"/>
      <c r="DSZ199" s="2"/>
      <c r="DTA199" s="2"/>
      <c r="DTB199" s="2"/>
      <c r="DTC199" s="2"/>
      <c r="DTD199" s="2"/>
      <c r="DTE199" s="2"/>
      <c r="DTF199" s="2"/>
      <c r="DTG199" s="2"/>
      <c r="DTH199" s="2"/>
      <c r="DTI199" s="2"/>
      <c r="DTJ199" s="2"/>
      <c r="DTK199" s="2"/>
      <c r="DTL199" s="2"/>
      <c r="DTM199" s="2"/>
      <c r="DTN199" s="2"/>
      <c r="DTO199" s="2"/>
      <c r="DTP199" s="2"/>
      <c r="DTQ199" s="2"/>
      <c r="DTR199" s="2"/>
      <c r="DTS199" s="2"/>
      <c r="DTT199" s="2"/>
      <c r="DTU199" s="2"/>
      <c r="DTV199" s="2"/>
      <c r="DTW199" s="2"/>
      <c r="DTX199" s="2"/>
      <c r="DTY199" s="2"/>
      <c r="DTZ199" s="2"/>
      <c r="DUA199" s="2"/>
      <c r="DUB199" s="2"/>
      <c r="DUC199" s="2"/>
      <c r="DUD199" s="2"/>
      <c r="DUE199" s="2"/>
      <c r="DUF199" s="2"/>
      <c r="DUG199" s="2"/>
      <c r="DUH199" s="2"/>
      <c r="DUI199" s="2"/>
      <c r="DUJ199" s="2"/>
      <c r="DUK199" s="2"/>
      <c r="DUL199" s="2"/>
      <c r="DUM199" s="2"/>
      <c r="DUN199" s="2"/>
      <c r="DUO199" s="2"/>
      <c r="DUP199" s="2"/>
      <c r="DUQ199" s="2"/>
      <c r="DUR199" s="2"/>
      <c r="DUS199" s="2"/>
      <c r="DUT199" s="2"/>
      <c r="DUU199" s="2"/>
      <c r="DUV199" s="2"/>
      <c r="DUW199" s="2"/>
      <c r="DUX199" s="2"/>
      <c r="DUY199" s="2"/>
      <c r="DUZ199" s="2"/>
      <c r="DVA199" s="2"/>
      <c r="DVB199" s="2"/>
      <c r="DVC199" s="2"/>
      <c r="DVD199" s="2"/>
      <c r="DVE199" s="2"/>
      <c r="DVF199" s="2"/>
      <c r="DVG199" s="2"/>
      <c r="DVH199" s="2"/>
      <c r="DVI199" s="2"/>
      <c r="DVJ199" s="2"/>
      <c r="DVK199" s="2"/>
      <c r="DVL199" s="2"/>
      <c r="DVM199" s="2"/>
      <c r="DVN199" s="2"/>
      <c r="DVO199" s="2"/>
      <c r="DVP199" s="2"/>
      <c r="DVQ199" s="2"/>
      <c r="DVR199" s="2"/>
      <c r="DVS199" s="2"/>
      <c r="DVT199" s="2"/>
      <c r="DVU199" s="2"/>
      <c r="DVV199" s="2"/>
      <c r="DVW199" s="2"/>
      <c r="DVX199" s="2"/>
      <c r="DVY199" s="2"/>
      <c r="DVZ199" s="2"/>
      <c r="DWA199" s="2"/>
      <c r="DWB199" s="2"/>
      <c r="DWC199" s="2"/>
      <c r="DWD199" s="2"/>
      <c r="DWE199" s="2"/>
      <c r="DWF199" s="2"/>
      <c r="DWG199" s="2"/>
      <c r="DWH199" s="2"/>
      <c r="DWI199" s="2"/>
      <c r="DWJ199" s="2"/>
      <c r="DWK199" s="2"/>
      <c r="DWL199" s="2"/>
      <c r="DWM199" s="2"/>
      <c r="DWN199" s="2"/>
      <c r="DWO199" s="2"/>
      <c r="DWP199" s="2"/>
      <c r="DWQ199" s="2"/>
      <c r="DWR199" s="2"/>
      <c r="DWS199" s="2"/>
      <c r="DWT199" s="2"/>
      <c r="DWU199" s="2"/>
      <c r="DWV199" s="2"/>
      <c r="DWW199" s="2"/>
      <c r="DWX199" s="2"/>
      <c r="DWY199" s="2"/>
      <c r="DWZ199" s="2"/>
      <c r="DXA199" s="2"/>
      <c r="DXB199" s="2"/>
      <c r="DXC199" s="2"/>
      <c r="DXD199" s="2"/>
      <c r="DXE199" s="2"/>
      <c r="DXF199" s="2"/>
      <c r="DXG199" s="2"/>
      <c r="DXH199" s="2"/>
      <c r="DXI199" s="2"/>
      <c r="DXJ199" s="2"/>
      <c r="DXK199" s="2"/>
      <c r="DXL199" s="2"/>
      <c r="DXM199" s="2"/>
      <c r="DXN199" s="2"/>
      <c r="DXO199" s="2"/>
      <c r="DXP199" s="2"/>
      <c r="DXQ199" s="2"/>
      <c r="DXR199" s="2"/>
      <c r="DXS199" s="2"/>
      <c r="DXT199" s="2"/>
      <c r="DXU199" s="2"/>
      <c r="DXV199" s="2"/>
      <c r="DXW199" s="2"/>
      <c r="DXX199" s="2"/>
      <c r="DXY199" s="2"/>
      <c r="DXZ199" s="2"/>
      <c r="DYA199" s="2"/>
      <c r="DYB199" s="2"/>
      <c r="DYC199" s="2"/>
      <c r="DYD199" s="2"/>
      <c r="DYE199" s="2"/>
      <c r="DYF199" s="2"/>
      <c r="DYG199" s="2"/>
      <c r="DYH199" s="2"/>
      <c r="DYI199" s="2"/>
      <c r="DYJ199" s="2"/>
      <c r="DYK199" s="2"/>
      <c r="DYL199" s="2"/>
      <c r="DYM199" s="2"/>
      <c r="DYN199" s="2"/>
      <c r="DYO199" s="2"/>
      <c r="DYP199" s="2"/>
      <c r="DYQ199" s="2"/>
      <c r="DYR199" s="2"/>
      <c r="DYS199" s="2"/>
      <c r="DYT199" s="2"/>
      <c r="DYU199" s="2"/>
      <c r="DYV199" s="2"/>
      <c r="DYW199" s="2"/>
      <c r="DYX199" s="2"/>
      <c r="DYY199" s="2"/>
      <c r="DYZ199" s="2"/>
      <c r="DZA199" s="2"/>
      <c r="DZB199" s="2"/>
      <c r="DZC199" s="2"/>
      <c r="DZD199" s="2"/>
      <c r="DZE199" s="2"/>
      <c r="DZF199" s="2"/>
      <c r="DZG199" s="2"/>
      <c r="DZH199" s="2"/>
      <c r="DZI199" s="2"/>
      <c r="DZJ199" s="2"/>
      <c r="DZK199" s="2"/>
      <c r="DZL199" s="2"/>
      <c r="DZM199" s="2"/>
      <c r="DZN199" s="2"/>
      <c r="DZO199" s="2"/>
      <c r="DZP199" s="2"/>
      <c r="DZQ199" s="2"/>
      <c r="DZR199" s="2"/>
      <c r="DZS199" s="2"/>
      <c r="DZT199" s="2"/>
      <c r="DZU199" s="2"/>
      <c r="DZV199" s="2"/>
      <c r="DZW199" s="2"/>
      <c r="DZX199" s="2"/>
      <c r="DZY199" s="2"/>
      <c r="DZZ199" s="2"/>
      <c r="EAA199" s="2"/>
      <c r="EAB199" s="2"/>
      <c r="EAC199" s="2"/>
      <c r="EAD199" s="2"/>
      <c r="EAE199" s="2"/>
      <c r="EAF199" s="2"/>
      <c r="EAG199" s="2"/>
      <c r="EAH199" s="2"/>
      <c r="EAI199" s="2"/>
      <c r="EAJ199" s="2"/>
      <c r="EAK199" s="2"/>
      <c r="EAL199" s="2"/>
      <c r="EAM199" s="2"/>
      <c r="EAN199" s="2"/>
      <c r="EAO199" s="2"/>
      <c r="EAP199" s="2"/>
      <c r="EAQ199" s="2"/>
      <c r="EAR199" s="2"/>
      <c r="EAS199" s="2"/>
      <c r="EAT199" s="2"/>
      <c r="EAU199" s="2"/>
      <c r="EAV199" s="2"/>
      <c r="EAW199" s="2"/>
      <c r="EAX199" s="2"/>
      <c r="EAY199" s="2"/>
      <c r="EAZ199" s="2"/>
      <c r="EBA199" s="2"/>
      <c r="EBB199" s="2"/>
      <c r="EBC199" s="2"/>
      <c r="EBD199" s="2"/>
      <c r="EBE199" s="2"/>
      <c r="EBF199" s="2"/>
      <c r="EBG199" s="2"/>
      <c r="EBH199" s="2"/>
      <c r="EBI199" s="2"/>
      <c r="EBJ199" s="2"/>
      <c r="EBK199" s="2"/>
      <c r="EBL199" s="2"/>
      <c r="EBM199" s="2"/>
      <c r="EBN199" s="2"/>
      <c r="EBO199" s="2"/>
      <c r="EBP199" s="2"/>
      <c r="EBQ199" s="2"/>
      <c r="EBR199" s="2"/>
      <c r="EBS199" s="2"/>
      <c r="EBT199" s="2"/>
      <c r="EBU199" s="2"/>
      <c r="EBV199" s="2"/>
      <c r="EBW199" s="2"/>
      <c r="EBX199" s="2"/>
      <c r="EBY199" s="2"/>
      <c r="EBZ199" s="2"/>
      <c r="ECA199" s="2"/>
      <c r="ECB199" s="2"/>
      <c r="ECC199" s="2"/>
      <c r="ECD199" s="2"/>
      <c r="ECE199" s="2"/>
      <c r="ECF199" s="2"/>
      <c r="ECG199" s="2"/>
      <c r="ECH199" s="2"/>
      <c r="ECI199" s="2"/>
      <c r="ECJ199" s="2"/>
      <c r="ECK199" s="2"/>
      <c r="ECL199" s="2"/>
      <c r="ECM199" s="2"/>
      <c r="ECN199" s="2"/>
      <c r="ECO199" s="2"/>
      <c r="ECP199" s="2"/>
      <c r="ECQ199" s="2"/>
      <c r="ECR199" s="2"/>
      <c r="ECS199" s="2"/>
      <c r="ECT199" s="2"/>
      <c r="ECU199" s="2"/>
      <c r="ECV199" s="2"/>
      <c r="ECW199" s="2"/>
      <c r="ECX199" s="2"/>
      <c r="ECY199" s="2"/>
      <c r="ECZ199" s="2"/>
      <c r="EDA199" s="2"/>
      <c r="EDB199" s="2"/>
      <c r="EDC199" s="2"/>
      <c r="EDD199" s="2"/>
      <c r="EDE199" s="2"/>
      <c r="EDF199" s="2"/>
      <c r="EDG199" s="2"/>
      <c r="EDH199" s="2"/>
      <c r="EDI199" s="2"/>
      <c r="EDJ199" s="2"/>
      <c r="EDK199" s="2"/>
      <c r="EDL199" s="2"/>
      <c r="EDM199" s="2"/>
      <c r="EDN199" s="2"/>
      <c r="EDO199" s="2"/>
      <c r="EDP199" s="2"/>
      <c r="EDQ199" s="2"/>
      <c r="EDR199" s="2"/>
      <c r="EDS199" s="2"/>
      <c r="EDT199" s="2"/>
      <c r="EDU199" s="2"/>
      <c r="EDV199" s="2"/>
      <c r="EDW199" s="2"/>
      <c r="EDX199" s="2"/>
      <c r="EDY199" s="2"/>
      <c r="EDZ199" s="2"/>
      <c r="EEA199" s="2"/>
      <c r="EEB199" s="2"/>
      <c r="EEC199" s="2"/>
      <c r="EED199" s="2"/>
      <c r="EEE199" s="2"/>
      <c r="EEF199" s="2"/>
      <c r="EEG199" s="2"/>
      <c r="EEH199" s="2"/>
      <c r="EEI199" s="2"/>
      <c r="EEJ199" s="2"/>
      <c r="EEK199" s="2"/>
      <c r="EEL199" s="2"/>
      <c r="EEM199" s="2"/>
      <c r="EEN199" s="2"/>
      <c r="EEO199" s="2"/>
      <c r="EEP199" s="2"/>
      <c r="EEQ199" s="2"/>
      <c r="EER199" s="2"/>
      <c r="EES199" s="2"/>
      <c r="EET199" s="2"/>
      <c r="EEU199" s="2"/>
      <c r="EEV199" s="2"/>
      <c r="EEW199" s="2"/>
      <c r="EEX199" s="2"/>
      <c r="EEY199" s="2"/>
      <c r="EEZ199" s="2"/>
      <c r="EFA199" s="2"/>
      <c r="EFB199" s="2"/>
      <c r="EFC199" s="2"/>
      <c r="EFD199" s="2"/>
      <c r="EFE199" s="2"/>
      <c r="EFF199" s="2"/>
      <c r="EFG199" s="2"/>
      <c r="EFH199" s="2"/>
      <c r="EFI199" s="2"/>
      <c r="EFJ199" s="2"/>
      <c r="EFK199" s="2"/>
      <c r="EFL199" s="2"/>
      <c r="EFM199" s="2"/>
      <c r="EFN199" s="2"/>
      <c r="EFO199" s="2"/>
      <c r="EFP199" s="2"/>
      <c r="EFQ199" s="2"/>
      <c r="EFR199" s="2"/>
      <c r="EFS199" s="2"/>
      <c r="EFT199" s="2"/>
      <c r="EFU199" s="2"/>
      <c r="EFV199" s="2"/>
      <c r="EFW199" s="2"/>
      <c r="EFX199" s="2"/>
      <c r="EFY199" s="2"/>
      <c r="EFZ199" s="2"/>
      <c r="EGA199" s="2"/>
      <c r="EGB199" s="2"/>
      <c r="EGC199" s="2"/>
      <c r="EGD199" s="2"/>
      <c r="EGE199" s="2"/>
      <c r="EGF199" s="2"/>
      <c r="EGG199" s="2"/>
      <c r="EGH199" s="2"/>
      <c r="EGI199" s="2"/>
      <c r="EGJ199" s="2"/>
      <c r="EGK199" s="2"/>
      <c r="EGL199" s="2"/>
      <c r="EGM199" s="2"/>
      <c r="EGN199" s="2"/>
      <c r="EGO199" s="2"/>
      <c r="EGP199" s="2"/>
      <c r="EGQ199" s="2"/>
      <c r="EGR199" s="2"/>
      <c r="EGS199" s="2"/>
      <c r="EGT199" s="2"/>
      <c r="EGU199" s="2"/>
      <c r="EGV199" s="2"/>
      <c r="EGW199" s="2"/>
      <c r="EGX199" s="2"/>
      <c r="EGY199" s="2"/>
      <c r="EGZ199" s="2"/>
      <c r="EHA199" s="2"/>
      <c r="EHB199" s="2"/>
      <c r="EHC199" s="2"/>
      <c r="EHD199" s="2"/>
      <c r="EHE199" s="2"/>
      <c r="EHF199" s="2"/>
      <c r="EHG199" s="2"/>
      <c r="EHH199" s="2"/>
      <c r="EHI199" s="2"/>
      <c r="EHJ199" s="2"/>
      <c r="EHK199" s="2"/>
      <c r="EHL199" s="2"/>
      <c r="EHM199" s="2"/>
      <c r="EHN199" s="2"/>
      <c r="EHO199" s="2"/>
      <c r="EHP199" s="2"/>
      <c r="EHQ199" s="2"/>
      <c r="EHR199" s="2"/>
      <c r="EHS199" s="2"/>
      <c r="EHT199" s="2"/>
      <c r="EHU199" s="2"/>
      <c r="EHV199" s="2"/>
      <c r="EHW199" s="2"/>
      <c r="EHX199" s="2"/>
      <c r="EHY199" s="2"/>
      <c r="EHZ199" s="2"/>
      <c r="EIA199" s="2"/>
      <c r="EIB199" s="2"/>
      <c r="EIC199" s="2"/>
      <c r="EID199" s="2"/>
      <c r="EIE199" s="2"/>
      <c r="EIF199" s="2"/>
      <c r="EIG199" s="2"/>
      <c r="EIH199" s="2"/>
      <c r="EII199" s="2"/>
      <c r="EIJ199" s="2"/>
      <c r="EIK199" s="2"/>
      <c r="EIL199" s="2"/>
      <c r="EIM199" s="2"/>
      <c r="EIN199" s="2"/>
      <c r="EIO199" s="2"/>
      <c r="EIP199" s="2"/>
      <c r="EIQ199" s="2"/>
      <c r="EIR199" s="2"/>
      <c r="EIS199" s="2"/>
      <c r="EIT199" s="2"/>
      <c r="EIU199" s="2"/>
      <c r="EIV199" s="2"/>
      <c r="EIW199" s="2"/>
      <c r="EIX199" s="2"/>
      <c r="EIY199" s="2"/>
      <c r="EIZ199" s="2"/>
      <c r="EJA199" s="2"/>
      <c r="EJB199" s="2"/>
      <c r="EJC199" s="2"/>
      <c r="EJD199" s="2"/>
      <c r="EJE199" s="2"/>
      <c r="EJF199" s="2"/>
      <c r="EJG199" s="2"/>
      <c r="EJH199" s="2"/>
      <c r="EJI199" s="2"/>
      <c r="EJJ199" s="2"/>
      <c r="EJK199" s="2"/>
      <c r="EJL199" s="2"/>
      <c r="EJM199" s="2"/>
      <c r="EJN199" s="2"/>
      <c r="EJO199" s="2"/>
      <c r="EJP199" s="2"/>
      <c r="EJQ199" s="2"/>
      <c r="EJR199" s="2"/>
      <c r="EJS199" s="2"/>
      <c r="EJT199" s="2"/>
      <c r="EJU199" s="2"/>
      <c r="EJV199" s="2"/>
      <c r="EJW199" s="2"/>
      <c r="EJX199" s="2"/>
      <c r="EJY199" s="2"/>
      <c r="EJZ199" s="2"/>
      <c r="EKA199" s="2"/>
      <c r="EKB199" s="2"/>
      <c r="EKC199" s="2"/>
      <c r="EKD199" s="2"/>
      <c r="EKE199" s="2"/>
      <c r="EKF199" s="2"/>
      <c r="EKG199" s="2"/>
      <c r="EKH199" s="2"/>
      <c r="EKI199" s="2"/>
      <c r="EKJ199" s="2"/>
      <c r="EKK199" s="2"/>
      <c r="EKL199" s="2"/>
      <c r="EKM199" s="2"/>
      <c r="EKN199" s="2"/>
      <c r="EKO199" s="2"/>
      <c r="EKP199" s="2"/>
      <c r="EKQ199" s="2"/>
      <c r="EKR199" s="2"/>
      <c r="EKS199" s="2"/>
      <c r="EKT199" s="2"/>
      <c r="EKU199" s="2"/>
      <c r="EKV199" s="2"/>
      <c r="EKW199" s="2"/>
      <c r="EKX199" s="2"/>
      <c r="EKY199" s="2"/>
      <c r="EKZ199" s="2"/>
      <c r="ELA199" s="2"/>
      <c r="ELB199" s="2"/>
      <c r="ELC199" s="2"/>
      <c r="ELD199" s="2"/>
      <c r="ELE199" s="2"/>
      <c r="ELF199" s="2"/>
      <c r="ELG199" s="2"/>
      <c r="ELH199" s="2"/>
      <c r="ELI199" s="2"/>
      <c r="ELJ199" s="2"/>
      <c r="ELK199" s="2"/>
      <c r="ELL199" s="2"/>
      <c r="ELM199" s="2"/>
      <c r="ELN199" s="2"/>
      <c r="ELO199" s="2"/>
      <c r="ELP199" s="2"/>
      <c r="ELQ199" s="2"/>
      <c r="ELR199" s="2"/>
      <c r="ELS199" s="2"/>
      <c r="ELT199" s="2"/>
      <c r="ELU199" s="2"/>
      <c r="ELV199" s="2"/>
      <c r="ELW199" s="2"/>
      <c r="ELX199" s="2"/>
      <c r="ELY199" s="2"/>
      <c r="ELZ199" s="2"/>
      <c r="EMA199" s="2"/>
      <c r="EMB199" s="2"/>
      <c r="EMC199" s="2"/>
      <c r="EMD199" s="2"/>
      <c r="EME199" s="2"/>
      <c r="EMF199" s="2"/>
      <c r="EMG199" s="2"/>
      <c r="EMH199" s="2"/>
      <c r="EMI199" s="2"/>
      <c r="EMJ199" s="2"/>
      <c r="EMK199" s="2"/>
      <c r="EML199" s="2"/>
      <c r="EMM199" s="2"/>
      <c r="EMN199" s="2"/>
      <c r="EMO199" s="2"/>
      <c r="EMP199" s="2"/>
      <c r="EMQ199" s="2"/>
      <c r="EMR199" s="2"/>
      <c r="EMS199" s="2"/>
      <c r="EMT199" s="2"/>
      <c r="EMU199" s="2"/>
      <c r="EMV199" s="2"/>
      <c r="EMW199" s="2"/>
      <c r="EMX199" s="2"/>
      <c r="EMY199" s="2"/>
      <c r="EMZ199" s="2"/>
      <c r="ENA199" s="2"/>
      <c r="ENB199" s="2"/>
      <c r="ENC199" s="2"/>
      <c r="END199" s="2"/>
      <c r="ENE199" s="2"/>
      <c r="ENF199" s="2"/>
      <c r="ENG199" s="2"/>
      <c r="ENH199" s="2"/>
      <c r="ENI199" s="2"/>
      <c r="ENJ199" s="2"/>
      <c r="ENK199" s="2"/>
      <c r="ENL199" s="2"/>
      <c r="ENM199" s="2"/>
      <c r="ENN199" s="2"/>
      <c r="ENO199" s="2"/>
      <c r="ENP199" s="2"/>
      <c r="ENQ199" s="2"/>
      <c r="ENR199" s="2"/>
      <c r="ENS199" s="2"/>
      <c r="ENT199" s="2"/>
      <c r="ENU199" s="2"/>
      <c r="ENV199" s="2"/>
      <c r="ENW199" s="2"/>
      <c r="ENX199" s="2"/>
      <c r="ENY199" s="2"/>
      <c r="ENZ199" s="2"/>
      <c r="EOA199" s="2"/>
      <c r="EOB199" s="2"/>
      <c r="EOC199" s="2"/>
      <c r="EOD199" s="2"/>
      <c r="EOE199" s="2"/>
      <c r="EOF199" s="2"/>
      <c r="EOG199" s="2"/>
      <c r="EOH199" s="2"/>
      <c r="EOI199" s="2"/>
      <c r="EOJ199" s="2"/>
      <c r="EOK199" s="2"/>
      <c r="EOL199" s="2"/>
      <c r="EOM199" s="2"/>
      <c r="EON199" s="2"/>
      <c r="EOO199" s="2"/>
      <c r="EOP199" s="2"/>
      <c r="EOQ199" s="2"/>
      <c r="EOR199" s="2"/>
      <c r="EOS199" s="2"/>
      <c r="EOT199" s="2"/>
      <c r="EOU199" s="2"/>
      <c r="EOV199" s="2"/>
      <c r="EOW199" s="2"/>
      <c r="EOX199" s="2"/>
      <c r="EOY199" s="2"/>
      <c r="EOZ199" s="2"/>
      <c r="EPA199" s="2"/>
      <c r="EPB199" s="2"/>
      <c r="EPC199" s="2"/>
      <c r="EPD199" s="2"/>
      <c r="EPE199" s="2"/>
      <c r="EPF199" s="2"/>
      <c r="EPG199" s="2"/>
      <c r="EPH199" s="2"/>
      <c r="EPI199" s="2"/>
      <c r="EPJ199" s="2"/>
      <c r="EPK199" s="2"/>
      <c r="EPL199" s="2"/>
      <c r="EPM199" s="2"/>
      <c r="EPN199" s="2"/>
      <c r="EPO199" s="2"/>
      <c r="EPP199" s="2"/>
      <c r="EPQ199" s="2"/>
      <c r="EPR199" s="2"/>
      <c r="EPS199" s="2"/>
      <c r="EPT199" s="2"/>
      <c r="EPU199" s="2"/>
      <c r="EPV199" s="2"/>
      <c r="EPW199" s="2"/>
      <c r="EPX199" s="2"/>
      <c r="EPY199" s="2"/>
      <c r="EPZ199" s="2"/>
      <c r="EQA199" s="2"/>
      <c r="EQB199" s="2"/>
      <c r="EQC199" s="2"/>
      <c r="EQD199" s="2"/>
      <c r="EQE199" s="2"/>
      <c r="EQF199" s="2"/>
      <c r="EQG199" s="2"/>
      <c r="EQH199" s="2"/>
      <c r="EQI199" s="2"/>
      <c r="EQJ199" s="2"/>
      <c r="EQK199" s="2"/>
      <c r="EQL199" s="2"/>
      <c r="EQM199" s="2"/>
      <c r="EQN199" s="2"/>
      <c r="EQO199" s="2"/>
      <c r="EQP199" s="2"/>
      <c r="EQQ199" s="2"/>
      <c r="EQR199" s="2"/>
      <c r="EQS199" s="2"/>
      <c r="EQT199" s="2"/>
      <c r="EQU199" s="2"/>
      <c r="EQV199" s="2"/>
      <c r="EQW199" s="2"/>
      <c r="EQX199" s="2"/>
      <c r="EQY199" s="2"/>
      <c r="EQZ199" s="2"/>
      <c r="ERA199" s="2"/>
      <c r="ERB199" s="2"/>
      <c r="ERC199" s="2"/>
      <c r="ERD199" s="2"/>
      <c r="ERE199" s="2"/>
      <c r="ERF199" s="2"/>
      <c r="ERG199" s="2"/>
      <c r="ERH199" s="2"/>
      <c r="ERI199" s="2"/>
      <c r="ERJ199" s="2"/>
      <c r="ERK199" s="2"/>
      <c r="ERL199" s="2"/>
      <c r="ERM199" s="2"/>
      <c r="ERN199" s="2"/>
      <c r="ERO199" s="2"/>
      <c r="ERP199" s="2"/>
      <c r="ERQ199" s="2"/>
      <c r="ERR199" s="2"/>
      <c r="ERS199" s="2"/>
      <c r="ERT199" s="2"/>
      <c r="ERU199" s="2"/>
      <c r="ERV199" s="2"/>
      <c r="ERW199" s="2"/>
      <c r="ERX199" s="2"/>
      <c r="ERY199" s="2"/>
      <c r="ERZ199" s="2"/>
      <c r="ESA199" s="2"/>
      <c r="ESB199" s="2"/>
      <c r="ESC199" s="2"/>
      <c r="ESD199" s="2"/>
      <c r="ESE199" s="2"/>
      <c r="ESF199" s="2"/>
      <c r="ESG199" s="2"/>
      <c r="ESH199" s="2"/>
      <c r="ESI199" s="2"/>
      <c r="ESJ199" s="2"/>
      <c r="ESK199" s="2"/>
      <c r="ESL199" s="2"/>
      <c r="ESM199" s="2"/>
      <c r="ESN199" s="2"/>
      <c r="ESO199" s="2"/>
      <c r="ESP199" s="2"/>
      <c r="ESQ199" s="2"/>
      <c r="ESR199" s="2"/>
      <c r="ESS199" s="2"/>
      <c r="EST199" s="2"/>
      <c r="ESU199" s="2"/>
      <c r="ESV199" s="2"/>
      <c r="ESW199" s="2"/>
      <c r="ESX199" s="2"/>
      <c r="ESY199" s="2"/>
      <c r="ESZ199" s="2"/>
      <c r="ETA199" s="2"/>
      <c r="ETB199" s="2"/>
      <c r="ETC199" s="2"/>
      <c r="ETD199" s="2"/>
      <c r="ETE199" s="2"/>
      <c r="ETF199" s="2"/>
      <c r="ETG199" s="2"/>
      <c r="ETH199" s="2"/>
      <c r="ETI199" s="2"/>
      <c r="ETJ199" s="2"/>
      <c r="ETK199" s="2"/>
      <c r="ETL199" s="2"/>
      <c r="ETM199" s="2"/>
      <c r="ETN199" s="2"/>
      <c r="ETO199" s="2"/>
      <c r="ETP199" s="2"/>
      <c r="ETQ199" s="2"/>
      <c r="ETR199" s="2"/>
      <c r="ETS199" s="2"/>
      <c r="ETT199" s="2"/>
      <c r="ETU199" s="2"/>
      <c r="ETV199" s="2"/>
      <c r="ETW199" s="2"/>
      <c r="ETX199" s="2"/>
      <c r="ETY199" s="2"/>
      <c r="ETZ199" s="2"/>
      <c r="EUA199" s="2"/>
      <c r="EUB199" s="2"/>
      <c r="EUC199" s="2"/>
      <c r="EUD199" s="2"/>
      <c r="EUE199" s="2"/>
      <c r="EUF199" s="2"/>
      <c r="EUG199" s="2"/>
      <c r="EUH199" s="2"/>
      <c r="EUI199" s="2"/>
      <c r="EUJ199" s="2"/>
      <c r="EUK199" s="2"/>
      <c r="EUL199" s="2"/>
      <c r="EUM199" s="2"/>
      <c r="EUN199" s="2"/>
      <c r="EUO199" s="2"/>
      <c r="EUP199" s="2"/>
      <c r="EUQ199" s="2"/>
      <c r="EUR199" s="2"/>
      <c r="EUS199" s="2"/>
      <c r="EUT199" s="2"/>
      <c r="EUU199" s="2"/>
      <c r="EUV199" s="2"/>
      <c r="EUW199" s="2"/>
      <c r="EUX199" s="2"/>
      <c r="EUY199" s="2"/>
      <c r="EUZ199" s="2"/>
      <c r="EVA199" s="2"/>
      <c r="EVB199" s="2"/>
      <c r="EVC199" s="2"/>
      <c r="EVD199" s="2"/>
      <c r="EVE199" s="2"/>
      <c r="EVF199" s="2"/>
      <c r="EVG199" s="2"/>
      <c r="EVH199" s="2"/>
      <c r="EVI199" s="2"/>
      <c r="EVJ199" s="2"/>
      <c r="EVK199" s="2"/>
      <c r="EVL199" s="2"/>
      <c r="EVM199" s="2"/>
      <c r="EVN199" s="2"/>
      <c r="EVO199" s="2"/>
      <c r="EVP199" s="2"/>
      <c r="EVQ199" s="2"/>
      <c r="EVR199" s="2"/>
      <c r="EVS199" s="2"/>
      <c r="EVT199" s="2"/>
      <c r="EVU199" s="2"/>
      <c r="EVV199" s="2"/>
      <c r="EVW199" s="2"/>
      <c r="EVX199" s="2"/>
      <c r="EVY199" s="2"/>
      <c r="EVZ199" s="2"/>
      <c r="EWA199" s="2"/>
      <c r="EWB199" s="2"/>
      <c r="EWC199" s="2"/>
      <c r="EWD199" s="2"/>
      <c r="EWE199" s="2"/>
      <c r="EWF199" s="2"/>
      <c r="EWG199" s="2"/>
      <c r="EWH199" s="2"/>
      <c r="EWI199" s="2"/>
      <c r="EWJ199" s="2"/>
      <c r="EWK199" s="2"/>
      <c r="EWL199" s="2"/>
      <c r="EWM199" s="2"/>
      <c r="EWN199" s="2"/>
      <c r="EWO199" s="2"/>
      <c r="EWP199" s="2"/>
      <c r="EWQ199" s="2"/>
      <c r="EWR199" s="2"/>
      <c r="EWS199" s="2"/>
      <c r="EWT199" s="2"/>
      <c r="EWU199" s="2"/>
      <c r="EWV199" s="2"/>
      <c r="EWW199" s="2"/>
      <c r="EWX199" s="2"/>
      <c r="EWY199" s="2"/>
      <c r="EWZ199" s="2"/>
      <c r="EXA199" s="2"/>
      <c r="EXB199" s="2"/>
      <c r="EXC199" s="2"/>
      <c r="EXD199" s="2"/>
      <c r="EXE199" s="2"/>
      <c r="EXF199" s="2"/>
      <c r="EXG199" s="2"/>
      <c r="EXH199" s="2"/>
      <c r="EXI199" s="2"/>
      <c r="EXJ199" s="2"/>
      <c r="EXK199" s="2"/>
      <c r="EXL199" s="2"/>
      <c r="EXM199" s="2"/>
      <c r="EXN199" s="2"/>
      <c r="EXO199" s="2"/>
      <c r="EXP199" s="2"/>
      <c r="EXQ199" s="2"/>
      <c r="EXR199" s="2"/>
      <c r="EXS199" s="2"/>
      <c r="EXT199" s="2"/>
      <c r="EXU199" s="2"/>
      <c r="EXV199" s="2"/>
      <c r="EXW199" s="2"/>
      <c r="EXX199" s="2"/>
      <c r="EXY199" s="2"/>
      <c r="EXZ199" s="2"/>
      <c r="EYA199" s="2"/>
      <c r="EYB199" s="2"/>
      <c r="EYC199" s="2"/>
      <c r="EYD199" s="2"/>
      <c r="EYE199" s="2"/>
      <c r="EYF199" s="2"/>
      <c r="EYG199" s="2"/>
      <c r="EYH199" s="2"/>
      <c r="EYI199" s="2"/>
      <c r="EYJ199" s="2"/>
      <c r="EYK199" s="2"/>
      <c r="EYL199" s="2"/>
      <c r="EYM199" s="2"/>
      <c r="EYN199" s="2"/>
      <c r="EYO199" s="2"/>
      <c r="EYP199" s="2"/>
      <c r="EYQ199" s="2"/>
      <c r="EYR199" s="2"/>
      <c r="EYS199" s="2"/>
      <c r="EYT199" s="2"/>
      <c r="EYU199" s="2"/>
      <c r="EYV199" s="2"/>
      <c r="EYW199" s="2"/>
      <c r="EYX199" s="2"/>
      <c r="EYY199" s="2"/>
      <c r="EYZ199" s="2"/>
      <c r="EZA199" s="2"/>
      <c r="EZB199" s="2"/>
      <c r="EZC199" s="2"/>
      <c r="EZD199" s="2"/>
      <c r="EZE199" s="2"/>
      <c r="EZF199" s="2"/>
      <c r="EZG199" s="2"/>
      <c r="EZH199" s="2"/>
      <c r="EZI199" s="2"/>
      <c r="EZJ199" s="2"/>
      <c r="EZK199" s="2"/>
      <c r="EZL199" s="2"/>
      <c r="EZM199" s="2"/>
      <c r="EZN199" s="2"/>
      <c r="EZO199" s="2"/>
      <c r="EZP199" s="2"/>
      <c r="EZQ199" s="2"/>
      <c r="EZR199" s="2"/>
      <c r="EZS199" s="2"/>
      <c r="EZT199" s="2"/>
      <c r="EZU199" s="2"/>
      <c r="EZV199" s="2"/>
      <c r="EZW199" s="2"/>
      <c r="EZX199" s="2"/>
      <c r="EZY199" s="2"/>
      <c r="EZZ199" s="2"/>
      <c r="FAA199" s="2"/>
      <c r="FAB199" s="2"/>
      <c r="FAC199" s="2"/>
      <c r="FAD199" s="2"/>
      <c r="FAE199" s="2"/>
      <c r="FAF199" s="2"/>
      <c r="FAG199" s="2"/>
      <c r="FAH199" s="2"/>
      <c r="FAI199" s="2"/>
      <c r="FAJ199" s="2"/>
      <c r="FAK199" s="2"/>
      <c r="FAL199" s="2"/>
      <c r="FAM199" s="2"/>
      <c r="FAN199" s="2"/>
      <c r="FAO199" s="2"/>
      <c r="FAP199" s="2"/>
      <c r="FAQ199" s="2"/>
      <c r="FAR199" s="2"/>
      <c r="FAS199" s="2"/>
      <c r="FAT199" s="2"/>
      <c r="FAU199" s="2"/>
      <c r="FAV199" s="2"/>
      <c r="FAW199" s="2"/>
      <c r="FAX199" s="2"/>
      <c r="FAY199" s="2"/>
      <c r="FAZ199" s="2"/>
      <c r="FBA199" s="2"/>
      <c r="FBB199" s="2"/>
      <c r="FBC199" s="2"/>
      <c r="FBD199" s="2"/>
      <c r="FBE199" s="2"/>
      <c r="FBF199" s="2"/>
      <c r="FBG199" s="2"/>
      <c r="FBH199" s="2"/>
      <c r="FBI199" s="2"/>
      <c r="FBJ199" s="2"/>
      <c r="FBK199" s="2"/>
      <c r="FBL199" s="2"/>
      <c r="FBM199" s="2"/>
      <c r="FBN199" s="2"/>
      <c r="FBO199" s="2"/>
      <c r="FBP199" s="2"/>
      <c r="FBQ199" s="2"/>
      <c r="FBR199" s="2"/>
      <c r="FBS199" s="2"/>
      <c r="FBT199" s="2"/>
      <c r="FBU199" s="2"/>
      <c r="FBV199" s="2"/>
      <c r="FBW199" s="2"/>
      <c r="FBX199" s="2"/>
      <c r="FBY199" s="2"/>
      <c r="FBZ199" s="2"/>
      <c r="FCA199" s="2"/>
      <c r="FCB199" s="2"/>
      <c r="FCC199" s="2"/>
      <c r="FCD199" s="2"/>
      <c r="FCE199" s="2"/>
      <c r="FCF199" s="2"/>
      <c r="FCG199" s="2"/>
      <c r="FCH199" s="2"/>
      <c r="FCI199" s="2"/>
      <c r="FCJ199" s="2"/>
      <c r="FCK199" s="2"/>
      <c r="FCL199" s="2"/>
      <c r="FCM199" s="2"/>
      <c r="FCN199" s="2"/>
      <c r="FCO199" s="2"/>
      <c r="FCP199" s="2"/>
      <c r="FCQ199" s="2"/>
      <c r="FCR199" s="2"/>
      <c r="FCS199" s="2"/>
      <c r="FCT199" s="2"/>
      <c r="FCU199" s="2"/>
      <c r="FCV199" s="2"/>
      <c r="FCW199" s="2"/>
      <c r="FCX199" s="2"/>
      <c r="FCY199" s="2"/>
      <c r="FCZ199" s="2"/>
      <c r="FDA199" s="2"/>
      <c r="FDB199" s="2"/>
      <c r="FDC199" s="2"/>
      <c r="FDD199" s="2"/>
      <c r="FDE199" s="2"/>
      <c r="FDF199" s="2"/>
      <c r="FDG199" s="2"/>
      <c r="FDH199" s="2"/>
      <c r="FDI199" s="2"/>
      <c r="FDJ199" s="2"/>
      <c r="FDK199" s="2"/>
      <c r="FDL199" s="2"/>
      <c r="FDM199" s="2"/>
      <c r="FDN199" s="2"/>
      <c r="FDO199" s="2"/>
      <c r="FDP199" s="2"/>
      <c r="FDQ199" s="2"/>
      <c r="FDR199" s="2"/>
      <c r="FDS199" s="2"/>
      <c r="FDT199" s="2"/>
      <c r="FDU199" s="2"/>
      <c r="FDV199" s="2"/>
      <c r="FDW199" s="2"/>
      <c r="FDX199" s="2"/>
      <c r="FDY199" s="2"/>
      <c r="FDZ199" s="2"/>
      <c r="FEA199" s="2"/>
      <c r="FEB199" s="2"/>
      <c r="FEC199" s="2"/>
      <c r="FED199" s="2"/>
      <c r="FEE199" s="2"/>
      <c r="FEF199" s="2"/>
      <c r="FEG199" s="2"/>
      <c r="FEH199" s="2"/>
      <c r="FEI199" s="2"/>
      <c r="FEJ199" s="2"/>
      <c r="FEK199" s="2"/>
      <c r="FEL199" s="2"/>
      <c r="FEM199" s="2"/>
      <c r="FEN199" s="2"/>
      <c r="FEO199" s="2"/>
      <c r="FEP199" s="2"/>
      <c r="FEQ199" s="2"/>
      <c r="FER199" s="2"/>
      <c r="FES199" s="2"/>
      <c r="FET199" s="2"/>
      <c r="FEU199" s="2"/>
      <c r="FEV199" s="2"/>
      <c r="FEW199" s="2"/>
      <c r="FEX199" s="2"/>
      <c r="FEY199" s="2"/>
      <c r="FEZ199" s="2"/>
      <c r="FFA199" s="2"/>
      <c r="FFB199" s="2"/>
      <c r="FFC199" s="2"/>
      <c r="FFD199" s="2"/>
      <c r="FFE199" s="2"/>
      <c r="FFF199" s="2"/>
      <c r="FFG199" s="2"/>
      <c r="FFH199" s="2"/>
      <c r="FFI199" s="2"/>
      <c r="FFJ199" s="2"/>
      <c r="FFK199" s="2"/>
      <c r="FFL199" s="2"/>
      <c r="FFM199" s="2"/>
      <c r="FFN199" s="2"/>
      <c r="FFO199" s="2"/>
      <c r="FFP199" s="2"/>
      <c r="FFQ199" s="2"/>
      <c r="FFR199" s="2"/>
      <c r="FFS199" s="2"/>
      <c r="FFT199" s="2"/>
      <c r="FFU199" s="2"/>
      <c r="FFV199" s="2"/>
      <c r="FFW199" s="2"/>
      <c r="FFX199" s="2"/>
      <c r="FFY199" s="2"/>
      <c r="FFZ199" s="2"/>
      <c r="FGA199" s="2"/>
      <c r="FGB199" s="2"/>
      <c r="FGC199" s="2"/>
      <c r="FGD199" s="2"/>
      <c r="FGE199" s="2"/>
      <c r="FGF199" s="2"/>
      <c r="FGG199" s="2"/>
      <c r="FGH199" s="2"/>
      <c r="FGI199" s="2"/>
      <c r="FGJ199" s="2"/>
      <c r="FGK199" s="2"/>
      <c r="FGL199" s="2"/>
      <c r="FGM199" s="2"/>
      <c r="FGN199" s="2"/>
      <c r="FGO199" s="2"/>
      <c r="FGP199" s="2"/>
      <c r="FGQ199" s="2"/>
      <c r="FGR199" s="2"/>
      <c r="FGS199" s="2"/>
      <c r="FGT199" s="2"/>
      <c r="FGU199" s="2"/>
      <c r="FGV199" s="2"/>
      <c r="FGW199" s="2"/>
      <c r="FGX199" s="2"/>
      <c r="FGY199" s="2"/>
      <c r="FGZ199" s="2"/>
      <c r="FHA199" s="2"/>
      <c r="FHB199" s="2"/>
      <c r="FHC199" s="2"/>
      <c r="FHD199" s="2"/>
      <c r="FHE199" s="2"/>
      <c r="FHF199" s="2"/>
      <c r="FHG199" s="2"/>
      <c r="FHH199" s="2"/>
      <c r="FHI199" s="2"/>
      <c r="FHJ199" s="2"/>
      <c r="FHK199" s="2"/>
      <c r="FHL199" s="2"/>
      <c r="FHM199" s="2"/>
      <c r="FHN199" s="2"/>
      <c r="FHO199" s="2"/>
      <c r="FHP199" s="2"/>
      <c r="FHQ199" s="2"/>
      <c r="FHR199" s="2"/>
      <c r="FHS199" s="2"/>
      <c r="FHT199" s="2"/>
      <c r="FHU199" s="2"/>
      <c r="FHV199" s="2"/>
      <c r="FHW199" s="2"/>
      <c r="FHX199" s="2"/>
      <c r="FHY199" s="2"/>
      <c r="FHZ199" s="2"/>
      <c r="FIA199" s="2"/>
      <c r="FIB199" s="2"/>
      <c r="FIC199" s="2"/>
      <c r="FID199" s="2"/>
      <c r="FIE199" s="2"/>
      <c r="FIF199" s="2"/>
      <c r="FIG199" s="2"/>
      <c r="FIH199" s="2"/>
      <c r="FII199" s="2"/>
      <c r="FIJ199" s="2"/>
      <c r="FIK199" s="2"/>
      <c r="FIL199" s="2"/>
      <c r="FIM199" s="2"/>
      <c r="FIN199" s="2"/>
      <c r="FIO199" s="2"/>
      <c r="FIP199" s="2"/>
      <c r="FIQ199" s="2"/>
      <c r="FIR199" s="2"/>
      <c r="FIS199" s="2"/>
      <c r="FIT199" s="2"/>
      <c r="FIU199" s="2"/>
      <c r="FIV199" s="2"/>
      <c r="FIW199" s="2"/>
      <c r="FIX199" s="2"/>
      <c r="FIY199" s="2"/>
      <c r="FIZ199" s="2"/>
      <c r="FJA199" s="2"/>
      <c r="FJB199" s="2"/>
      <c r="FJC199" s="2"/>
      <c r="FJD199" s="2"/>
      <c r="FJE199" s="2"/>
      <c r="FJF199" s="2"/>
      <c r="FJG199" s="2"/>
      <c r="FJH199" s="2"/>
      <c r="FJI199" s="2"/>
      <c r="FJJ199" s="2"/>
      <c r="FJK199" s="2"/>
      <c r="FJL199" s="2"/>
      <c r="FJM199" s="2"/>
      <c r="FJN199" s="2"/>
      <c r="FJO199" s="2"/>
      <c r="FJP199" s="2"/>
      <c r="FJQ199" s="2"/>
      <c r="FJR199" s="2"/>
      <c r="FJS199" s="2"/>
      <c r="FJT199" s="2"/>
      <c r="FJU199" s="2"/>
      <c r="FJV199" s="2"/>
      <c r="FJW199" s="2"/>
      <c r="FJX199" s="2"/>
      <c r="FJY199" s="2"/>
      <c r="FJZ199" s="2"/>
      <c r="FKA199" s="2"/>
      <c r="FKB199" s="2"/>
      <c r="FKC199" s="2"/>
      <c r="FKD199" s="2"/>
      <c r="FKE199" s="2"/>
      <c r="FKF199" s="2"/>
      <c r="FKG199" s="2"/>
      <c r="FKH199" s="2"/>
      <c r="FKI199" s="2"/>
      <c r="FKJ199" s="2"/>
      <c r="FKK199" s="2"/>
      <c r="FKL199" s="2"/>
      <c r="FKM199" s="2"/>
      <c r="FKN199" s="2"/>
      <c r="FKO199" s="2"/>
      <c r="FKP199" s="2"/>
      <c r="FKQ199" s="2"/>
      <c r="FKR199" s="2"/>
      <c r="FKS199" s="2"/>
      <c r="FKT199" s="2"/>
      <c r="FKU199" s="2"/>
      <c r="FKV199" s="2"/>
      <c r="FKW199" s="2"/>
      <c r="FKX199" s="2"/>
      <c r="FKY199" s="2"/>
      <c r="FKZ199" s="2"/>
      <c r="FLA199" s="2"/>
      <c r="FLB199" s="2"/>
      <c r="FLC199" s="2"/>
      <c r="FLD199" s="2"/>
      <c r="FLE199" s="2"/>
      <c r="FLF199" s="2"/>
      <c r="FLG199" s="2"/>
      <c r="FLH199" s="2"/>
      <c r="FLI199" s="2"/>
      <c r="FLJ199" s="2"/>
      <c r="FLK199" s="2"/>
      <c r="FLL199" s="2"/>
      <c r="FLM199" s="2"/>
      <c r="FLN199" s="2"/>
      <c r="FLO199" s="2"/>
      <c r="FLP199" s="2"/>
      <c r="FLQ199" s="2"/>
      <c r="FLR199" s="2"/>
      <c r="FLS199" s="2"/>
      <c r="FLT199" s="2"/>
      <c r="FLU199" s="2"/>
      <c r="FLV199" s="2"/>
      <c r="FLW199" s="2"/>
      <c r="FLX199" s="2"/>
      <c r="FLY199" s="2"/>
      <c r="FLZ199" s="2"/>
      <c r="FMA199" s="2"/>
      <c r="FMB199" s="2"/>
      <c r="FMC199" s="2"/>
      <c r="FMD199" s="2"/>
      <c r="FME199" s="2"/>
      <c r="FMF199" s="2"/>
      <c r="FMG199" s="2"/>
      <c r="FMH199" s="2"/>
      <c r="FMI199" s="2"/>
      <c r="FMJ199" s="2"/>
      <c r="FMK199" s="2"/>
      <c r="FML199" s="2"/>
      <c r="FMM199" s="2"/>
      <c r="FMN199" s="2"/>
      <c r="FMO199" s="2"/>
      <c r="FMP199" s="2"/>
      <c r="FMQ199" s="2"/>
      <c r="FMR199" s="2"/>
      <c r="FMS199" s="2"/>
      <c r="FMT199" s="2"/>
      <c r="FMU199" s="2"/>
      <c r="FMV199" s="2"/>
      <c r="FMW199" s="2"/>
      <c r="FMX199" s="2"/>
      <c r="FMY199" s="2"/>
      <c r="FMZ199" s="2"/>
      <c r="FNA199" s="2"/>
      <c r="FNB199" s="2"/>
      <c r="FNC199" s="2"/>
      <c r="FND199" s="2"/>
      <c r="FNE199" s="2"/>
      <c r="FNF199" s="2"/>
      <c r="FNG199" s="2"/>
      <c r="FNH199" s="2"/>
      <c r="FNI199" s="2"/>
      <c r="FNJ199" s="2"/>
      <c r="FNK199" s="2"/>
      <c r="FNL199" s="2"/>
      <c r="FNM199" s="2"/>
      <c r="FNN199" s="2"/>
      <c r="FNO199" s="2"/>
      <c r="FNP199" s="2"/>
      <c r="FNQ199" s="2"/>
      <c r="FNR199" s="2"/>
      <c r="FNS199" s="2"/>
      <c r="FNT199" s="2"/>
      <c r="FNU199" s="2"/>
      <c r="FNV199" s="2"/>
      <c r="FNW199" s="2"/>
      <c r="FNX199" s="2"/>
      <c r="FNY199" s="2"/>
      <c r="FNZ199" s="2"/>
      <c r="FOA199" s="2"/>
      <c r="FOB199" s="2"/>
      <c r="FOC199" s="2"/>
      <c r="FOD199" s="2"/>
      <c r="FOE199" s="2"/>
      <c r="FOF199" s="2"/>
      <c r="FOG199" s="2"/>
      <c r="FOH199" s="2"/>
      <c r="FOI199" s="2"/>
      <c r="FOJ199" s="2"/>
      <c r="FOK199" s="2"/>
      <c r="FOL199" s="2"/>
      <c r="FOM199" s="2"/>
      <c r="FON199" s="2"/>
      <c r="FOO199" s="2"/>
      <c r="FOP199" s="2"/>
      <c r="FOQ199" s="2"/>
      <c r="FOR199" s="2"/>
      <c r="FOS199" s="2"/>
      <c r="FOT199" s="2"/>
      <c r="FOU199" s="2"/>
      <c r="FOV199" s="2"/>
      <c r="FOW199" s="2"/>
      <c r="FOX199" s="2"/>
      <c r="FOY199" s="2"/>
      <c r="FOZ199" s="2"/>
      <c r="FPA199" s="2"/>
      <c r="FPB199" s="2"/>
      <c r="FPC199" s="2"/>
      <c r="FPD199" s="2"/>
      <c r="FPE199" s="2"/>
      <c r="FPF199" s="2"/>
      <c r="FPG199" s="2"/>
      <c r="FPH199" s="2"/>
      <c r="FPI199" s="2"/>
      <c r="FPJ199" s="2"/>
      <c r="FPK199" s="2"/>
      <c r="FPL199" s="2"/>
      <c r="FPM199" s="2"/>
      <c r="FPN199" s="2"/>
      <c r="FPO199" s="2"/>
      <c r="FPP199" s="2"/>
      <c r="FPQ199" s="2"/>
      <c r="FPR199" s="2"/>
      <c r="FPS199" s="2"/>
      <c r="FPT199" s="2"/>
      <c r="FPU199" s="2"/>
      <c r="FPV199" s="2"/>
      <c r="FPW199" s="2"/>
      <c r="FPX199" s="2"/>
      <c r="FPY199" s="2"/>
      <c r="FPZ199" s="2"/>
      <c r="FQA199" s="2"/>
      <c r="FQB199" s="2"/>
      <c r="FQC199" s="2"/>
      <c r="FQD199" s="2"/>
      <c r="FQE199" s="2"/>
      <c r="FQF199" s="2"/>
      <c r="FQG199" s="2"/>
      <c r="FQH199" s="2"/>
      <c r="FQI199" s="2"/>
      <c r="FQJ199" s="2"/>
      <c r="FQK199" s="2"/>
      <c r="FQL199" s="2"/>
      <c r="FQM199" s="2"/>
      <c r="FQN199" s="2"/>
      <c r="FQO199" s="2"/>
      <c r="FQP199" s="2"/>
      <c r="FQQ199" s="2"/>
      <c r="FQR199" s="2"/>
      <c r="FQS199" s="2"/>
      <c r="FQT199" s="2"/>
      <c r="FQU199" s="2"/>
      <c r="FQV199" s="2"/>
      <c r="FQW199" s="2"/>
      <c r="FQX199" s="2"/>
      <c r="FQY199" s="2"/>
      <c r="FQZ199" s="2"/>
      <c r="FRA199" s="2"/>
      <c r="FRB199" s="2"/>
      <c r="FRC199" s="2"/>
      <c r="FRD199" s="2"/>
      <c r="FRE199" s="2"/>
      <c r="FRF199" s="2"/>
      <c r="FRG199" s="2"/>
      <c r="FRH199" s="2"/>
      <c r="FRI199" s="2"/>
      <c r="FRJ199" s="2"/>
      <c r="FRK199" s="2"/>
      <c r="FRL199" s="2"/>
      <c r="FRM199" s="2"/>
      <c r="FRN199" s="2"/>
      <c r="FRO199" s="2"/>
      <c r="FRP199" s="2"/>
      <c r="FRQ199" s="2"/>
      <c r="FRR199" s="2"/>
      <c r="FRS199" s="2"/>
      <c r="FRT199" s="2"/>
      <c r="FRU199" s="2"/>
      <c r="FRV199" s="2"/>
      <c r="FRW199" s="2"/>
      <c r="FRX199" s="2"/>
      <c r="FRY199" s="2"/>
      <c r="FRZ199" s="2"/>
      <c r="FSA199" s="2"/>
      <c r="FSB199" s="2"/>
      <c r="FSC199" s="2"/>
      <c r="FSD199" s="2"/>
      <c r="FSE199" s="2"/>
      <c r="FSF199" s="2"/>
      <c r="FSG199" s="2"/>
      <c r="FSH199" s="2"/>
      <c r="FSI199" s="2"/>
      <c r="FSJ199" s="2"/>
      <c r="FSK199" s="2"/>
      <c r="FSL199" s="2"/>
      <c r="FSM199" s="2"/>
      <c r="FSN199" s="2"/>
      <c r="FSO199" s="2"/>
      <c r="FSP199" s="2"/>
      <c r="FSQ199" s="2"/>
      <c r="FSR199" s="2"/>
      <c r="FSS199" s="2"/>
      <c r="FST199" s="2"/>
      <c r="FSU199" s="2"/>
      <c r="FSV199" s="2"/>
      <c r="FSW199" s="2"/>
      <c r="FSX199" s="2"/>
      <c r="FSY199" s="2"/>
      <c r="FSZ199" s="2"/>
      <c r="FTA199" s="2"/>
      <c r="FTB199" s="2"/>
      <c r="FTC199" s="2"/>
      <c r="FTD199" s="2"/>
      <c r="FTE199" s="2"/>
      <c r="FTF199" s="2"/>
      <c r="FTG199" s="2"/>
      <c r="FTH199" s="2"/>
      <c r="FTI199" s="2"/>
      <c r="FTJ199" s="2"/>
      <c r="FTK199" s="2"/>
      <c r="FTL199" s="2"/>
      <c r="FTM199" s="2"/>
      <c r="FTN199" s="2"/>
      <c r="FTO199" s="2"/>
      <c r="FTP199" s="2"/>
      <c r="FTQ199" s="2"/>
      <c r="FTR199" s="2"/>
      <c r="FTS199" s="2"/>
      <c r="FTT199" s="2"/>
      <c r="FTU199" s="2"/>
      <c r="FTV199" s="2"/>
      <c r="FTW199" s="2"/>
      <c r="FTX199" s="2"/>
      <c r="FTY199" s="2"/>
      <c r="FTZ199" s="2"/>
      <c r="FUA199" s="2"/>
      <c r="FUB199" s="2"/>
      <c r="FUC199" s="2"/>
      <c r="FUD199" s="2"/>
      <c r="FUE199" s="2"/>
      <c r="FUF199" s="2"/>
      <c r="FUG199" s="2"/>
      <c r="FUH199" s="2"/>
      <c r="FUI199" s="2"/>
      <c r="FUJ199" s="2"/>
      <c r="FUK199" s="2"/>
      <c r="FUL199" s="2"/>
      <c r="FUM199" s="2"/>
      <c r="FUN199" s="2"/>
      <c r="FUO199" s="2"/>
      <c r="FUP199" s="2"/>
      <c r="FUQ199" s="2"/>
      <c r="FUR199" s="2"/>
      <c r="FUS199" s="2"/>
      <c r="FUT199" s="2"/>
      <c r="FUU199" s="2"/>
      <c r="FUV199" s="2"/>
      <c r="FUW199" s="2"/>
      <c r="FUX199" s="2"/>
      <c r="FUY199" s="2"/>
      <c r="FUZ199" s="2"/>
      <c r="FVA199" s="2"/>
      <c r="FVB199" s="2"/>
      <c r="FVC199" s="2"/>
      <c r="FVD199" s="2"/>
      <c r="FVE199" s="2"/>
      <c r="FVF199" s="2"/>
      <c r="FVG199" s="2"/>
      <c r="FVH199" s="2"/>
      <c r="FVI199" s="2"/>
      <c r="FVJ199" s="2"/>
      <c r="FVK199" s="2"/>
      <c r="FVL199" s="2"/>
      <c r="FVM199" s="2"/>
      <c r="FVN199" s="2"/>
      <c r="FVO199" s="2"/>
      <c r="FVP199" s="2"/>
      <c r="FVQ199" s="2"/>
      <c r="FVR199" s="2"/>
      <c r="FVS199" s="2"/>
      <c r="FVT199" s="2"/>
      <c r="FVU199" s="2"/>
      <c r="FVV199" s="2"/>
      <c r="FVW199" s="2"/>
      <c r="FVX199" s="2"/>
      <c r="FVY199" s="2"/>
      <c r="FVZ199" s="2"/>
      <c r="FWA199" s="2"/>
      <c r="FWB199" s="2"/>
      <c r="FWC199" s="2"/>
      <c r="FWD199" s="2"/>
      <c r="FWE199" s="2"/>
      <c r="FWF199" s="2"/>
      <c r="FWG199" s="2"/>
      <c r="FWH199" s="2"/>
      <c r="FWI199" s="2"/>
      <c r="FWJ199" s="2"/>
      <c r="FWK199" s="2"/>
      <c r="FWL199" s="2"/>
      <c r="FWM199" s="2"/>
      <c r="FWN199" s="2"/>
      <c r="FWO199" s="2"/>
      <c r="FWP199" s="2"/>
      <c r="FWQ199" s="2"/>
      <c r="FWR199" s="2"/>
      <c r="FWS199" s="2"/>
      <c r="FWT199" s="2"/>
      <c r="FWU199" s="2"/>
      <c r="FWV199" s="2"/>
      <c r="FWW199" s="2"/>
      <c r="FWX199" s="2"/>
      <c r="FWY199" s="2"/>
      <c r="FWZ199" s="2"/>
      <c r="FXA199" s="2"/>
      <c r="FXB199" s="2"/>
      <c r="FXC199" s="2"/>
      <c r="FXD199" s="2"/>
      <c r="FXE199" s="2"/>
      <c r="FXF199" s="2"/>
      <c r="FXG199" s="2"/>
      <c r="FXH199" s="2"/>
      <c r="FXI199" s="2"/>
      <c r="FXJ199" s="2"/>
      <c r="FXK199" s="2"/>
      <c r="FXL199" s="2"/>
      <c r="FXM199" s="2"/>
      <c r="FXN199" s="2"/>
      <c r="FXO199" s="2"/>
      <c r="FXP199" s="2"/>
      <c r="FXQ199" s="2"/>
      <c r="FXR199" s="2"/>
      <c r="FXS199" s="2"/>
      <c r="FXT199" s="2"/>
      <c r="FXU199" s="2"/>
      <c r="FXV199" s="2"/>
      <c r="FXW199" s="2"/>
      <c r="FXX199" s="2"/>
      <c r="FXY199" s="2"/>
      <c r="FXZ199" s="2"/>
      <c r="FYA199" s="2"/>
      <c r="FYB199" s="2"/>
      <c r="FYC199" s="2"/>
      <c r="FYD199" s="2"/>
      <c r="FYE199" s="2"/>
      <c r="FYF199" s="2"/>
      <c r="FYG199" s="2"/>
      <c r="FYH199" s="2"/>
      <c r="FYI199" s="2"/>
      <c r="FYJ199" s="2"/>
      <c r="FYK199" s="2"/>
      <c r="FYL199" s="2"/>
      <c r="FYM199" s="2"/>
      <c r="FYN199" s="2"/>
      <c r="FYO199" s="2"/>
      <c r="FYP199" s="2"/>
      <c r="FYQ199" s="2"/>
      <c r="FYR199" s="2"/>
      <c r="FYS199" s="2"/>
      <c r="FYT199" s="2"/>
      <c r="FYU199" s="2"/>
      <c r="FYV199" s="2"/>
      <c r="FYW199" s="2"/>
      <c r="FYX199" s="2"/>
      <c r="FYY199" s="2"/>
      <c r="FYZ199" s="2"/>
      <c r="FZA199" s="2"/>
      <c r="FZB199" s="2"/>
      <c r="FZC199" s="2"/>
      <c r="FZD199" s="2"/>
      <c r="FZE199" s="2"/>
      <c r="FZF199" s="2"/>
      <c r="FZG199" s="2"/>
      <c r="FZH199" s="2"/>
      <c r="FZI199" s="2"/>
      <c r="FZJ199" s="2"/>
      <c r="FZK199" s="2"/>
      <c r="FZL199" s="2"/>
      <c r="FZM199" s="2"/>
      <c r="FZN199" s="2"/>
      <c r="FZO199" s="2"/>
      <c r="FZP199" s="2"/>
      <c r="FZQ199" s="2"/>
      <c r="FZR199" s="2"/>
      <c r="FZS199" s="2"/>
      <c r="FZT199" s="2"/>
      <c r="FZU199" s="2"/>
      <c r="FZV199" s="2"/>
      <c r="FZW199" s="2"/>
      <c r="FZX199" s="2"/>
      <c r="FZY199" s="2"/>
      <c r="FZZ199" s="2"/>
      <c r="GAA199" s="2"/>
      <c r="GAB199" s="2"/>
      <c r="GAC199" s="2"/>
      <c r="GAD199" s="2"/>
      <c r="GAE199" s="2"/>
      <c r="GAF199" s="2"/>
      <c r="GAG199" s="2"/>
      <c r="GAH199" s="2"/>
      <c r="GAI199" s="2"/>
      <c r="GAJ199" s="2"/>
      <c r="GAK199" s="2"/>
      <c r="GAL199" s="2"/>
      <c r="GAM199" s="2"/>
      <c r="GAN199" s="2"/>
      <c r="GAO199" s="2"/>
      <c r="GAP199" s="2"/>
      <c r="GAQ199" s="2"/>
      <c r="GAR199" s="2"/>
      <c r="GAS199" s="2"/>
      <c r="GAT199" s="2"/>
      <c r="GAU199" s="2"/>
      <c r="GAV199" s="2"/>
      <c r="GAW199" s="2"/>
      <c r="GAX199" s="2"/>
      <c r="GAY199" s="2"/>
      <c r="GAZ199" s="2"/>
      <c r="GBA199" s="2"/>
      <c r="GBB199" s="2"/>
      <c r="GBC199" s="2"/>
      <c r="GBD199" s="2"/>
      <c r="GBE199" s="2"/>
      <c r="GBF199" s="2"/>
      <c r="GBG199" s="2"/>
      <c r="GBH199" s="2"/>
      <c r="GBI199" s="2"/>
      <c r="GBJ199" s="2"/>
      <c r="GBK199" s="2"/>
      <c r="GBL199" s="2"/>
      <c r="GBM199" s="2"/>
      <c r="GBN199" s="2"/>
      <c r="GBO199" s="2"/>
      <c r="GBP199" s="2"/>
      <c r="GBQ199" s="2"/>
      <c r="GBR199" s="2"/>
      <c r="GBS199" s="2"/>
      <c r="GBT199" s="2"/>
      <c r="GBU199" s="2"/>
      <c r="GBV199" s="2"/>
      <c r="GBW199" s="2"/>
      <c r="GBX199" s="2"/>
      <c r="GBY199" s="2"/>
      <c r="GBZ199" s="2"/>
      <c r="GCA199" s="2"/>
      <c r="GCB199" s="2"/>
      <c r="GCC199" s="2"/>
      <c r="GCD199" s="2"/>
      <c r="GCE199" s="2"/>
      <c r="GCF199" s="2"/>
      <c r="GCG199" s="2"/>
      <c r="GCH199" s="2"/>
      <c r="GCI199" s="2"/>
      <c r="GCJ199" s="2"/>
      <c r="GCK199" s="2"/>
      <c r="GCL199" s="2"/>
      <c r="GCM199" s="2"/>
      <c r="GCN199" s="2"/>
      <c r="GCO199" s="2"/>
      <c r="GCP199" s="2"/>
      <c r="GCQ199" s="2"/>
      <c r="GCR199" s="2"/>
      <c r="GCS199" s="2"/>
      <c r="GCT199" s="2"/>
      <c r="GCU199" s="2"/>
      <c r="GCV199" s="2"/>
      <c r="GCW199" s="2"/>
      <c r="GCX199" s="2"/>
      <c r="GCY199" s="2"/>
      <c r="GCZ199" s="2"/>
      <c r="GDA199" s="2"/>
      <c r="GDB199" s="2"/>
      <c r="GDC199" s="2"/>
      <c r="GDD199" s="2"/>
      <c r="GDE199" s="2"/>
      <c r="GDF199" s="2"/>
      <c r="GDG199" s="2"/>
      <c r="GDH199" s="2"/>
      <c r="GDI199" s="2"/>
      <c r="GDJ199" s="2"/>
      <c r="GDK199" s="2"/>
      <c r="GDL199" s="2"/>
      <c r="GDM199" s="2"/>
      <c r="GDN199" s="2"/>
      <c r="GDO199" s="2"/>
      <c r="GDP199" s="2"/>
      <c r="GDQ199" s="2"/>
      <c r="GDR199" s="2"/>
      <c r="GDS199" s="2"/>
      <c r="GDT199" s="2"/>
      <c r="GDU199" s="2"/>
      <c r="GDV199" s="2"/>
      <c r="GDW199" s="2"/>
      <c r="GDX199" s="2"/>
      <c r="GDY199" s="2"/>
      <c r="GDZ199" s="2"/>
      <c r="GEA199" s="2"/>
      <c r="GEB199" s="2"/>
      <c r="GEC199" s="2"/>
      <c r="GED199" s="2"/>
      <c r="GEE199" s="2"/>
      <c r="GEF199" s="2"/>
      <c r="GEG199" s="2"/>
      <c r="GEH199" s="2"/>
      <c r="GEI199" s="2"/>
      <c r="GEJ199" s="2"/>
      <c r="GEK199" s="2"/>
      <c r="GEL199" s="2"/>
      <c r="GEM199" s="2"/>
      <c r="GEN199" s="2"/>
      <c r="GEO199" s="2"/>
      <c r="GEP199" s="2"/>
      <c r="GEQ199" s="2"/>
      <c r="GER199" s="2"/>
      <c r="GES199" s="2"/>
      <c r="GET199" s="2"/>
      <c r="GEU199" s="2"/>
      <c r="GEV199" s="2"/>
      <c r="GEW199" s="2"/>
      <c r="GEX199" s="2"/>
      <c r="GEY199" s="2"/>
      <c r="GEZ199" s="2"/>
      <c r="GFA199" s="2"/>
      <c r="GFB199" s="2"/>
      <c r="GFC199" s="2"/>
      <c r="GFD199" s="2"/>
      <c r="GFE199" s="2"/>
      <c r="GFF199" s="2"/>
      <c r="GFG199" s="2"/>
      <c r="GFH199" s="2"/>
      <c r="GFI199" s="2"/>
      <c r="GFJ199" s="2"/>
      <c r="GFK199" s="2"/>
      <c r="GFL199" s="2"/>
      <c r="GFM199" s="2"/>
      <c r="GFN199" s="2"/>
      <c r="GFO199" s="2"/>
      <c r="GFP199" s="2"/>
      <c r="GFQ199" s="2"/>
      <c r="GFR199" s="2"/>
      <c r="GFS199" s="2"/>
      <c r="GFT199" s="2"/>
      <c r="GFU199" s="2"/>
      <c r="GFV199" s="2"/>
      <c r="GFW199" s="2"/>
      <c r="GFX199" s="2"/>
      <c r="GFY199" s="2"/>
      <c r="GFZ199" s="2"/>
      <c r="GGA199" s="2"/>
      <c r="GGB199" s="2"/>
      <c r="GGC199" s="2"/>
      <c r="GGD199" s="2"/>
      <c r="GGE199" s="2"/>
      <c r="GGF199" s="2"/>
      <c r="GGG199" s="2"/>
      <c r="GGH199" s="2"/>
      <c r="GGI199" s="2"/>
      <c r="GGJ199" s="2"/>
      <c r="GGK199" s="2"/>
      <c r="GGL199" s="2"/>
      <c r="GGM199" s="2"/>
      <c r="GGN199" s="2"/>
      <c r="GGO199" s="2"/>
      <c r="GGP199" s="2"/>
      <c r="GGQ199" s="2"/>
      <c r="GGR199" s="2"/>
      <c r="GGS199" s="2"/>
      <c r="GGT199" s="2"/>
      <c r="GGU199" s="2"/>
      <c r="GGV199" s="2"/>
      <c r="GGW199" s="2"/>
      <c r="GGX199" s="2"/>
      <c r="GGY199" s="2"/>
      <c r="GGZ199" s="2"/>
      <c r="GHA199" s="2"/>
      <c r="GHB199" s="2"/>
      <c r="GHC199" s="2"/>
      <c r="GHD199" s="2"/>
      <c r="GHE199" s="2"/>
      <c r="GHF199" s="2"/>
      <c r="GHG199" s="2"/>
      <c r="GHH199" s="2"/>
      <c r="GHI199" s="2"/>
      <c r="GHJ199" s="2"/>
      <c r="GHK199" s="2"/>
      <c r="GHL199" s="2"/>
      <c r="GHM199" s="2"/>
      <c r="GHN199" s="2"/>
      <c r="GHO199" s="2"/>
      <c r="GHP199" s="2"/>
      <c r="GHQ199" s="2"/>
      <c r="GHR199" s="2"/>
      <c r="GHS199" s="2"/>
      <c r="GHT199" s="2"/>
      <c r="GHU199" s="2"/>
      <c r="GHV199" s="2"/>
      <c r="GHW199" s="2"/>
      <c r="GHX199" s="2"/>
      <c r="GHY199" s="2"/>
      <c r="GHZ199" s="2"/>
      <c r="GIA199" s="2"/>
      <c r="GIB199" s="2"/>
      <c r="GIC199" s="2"/>
      <c r="GID199" s="2"/>
      <c r="GIE199" s="2"/>
      <c r="GIF199" s="2"/>
      <c r="GIG199" s="2"/>
      <c r="GIH199" s="2"/>
      <c r="GII199" s="2"/>
      <c r="GIJ199" s="2"/>
      <c r="GIK199" s="2"/>
      <c r="GIL199" s="2"/>
      <c r="GIM199" s="2"/>
      <c r="GIN199" s="2"/>
      <c r="GIO199" s="2"/>
      <c r="GIP199" s="2"/>
      <c r="GIQ199" s="2"/>
      <c r="GIR199" s="2"/>
      <c r="GIS199" s="2"/>
      <c r="GIT199" s="2"/>
      <c r="GIU199" s="2"/>
      <c r="GIV199" s="2"/>
      <c r="GIW199" s="2"/>
      <c r="GIX199" s="2"/>
      <c r="GIY199" s="2"/>
      <c r="GIZ199" s="2"/>
      <c r="GJA199" s="2"/>
      <c r="GJB199" s="2"/>
      <c r="GJC199" s="2"/>
      <c r="GJD199" s="2"/>
      <c r="GJE199" s="2"/>
      <c r="GJF199" s="2"/>
      <c r="GJG199" s="2"/>
      <c r="GJH199" s="2"/>
      <c r="GJI199" s="2"/>
      <c r="GJJ199" s="2"/>
      <c r="GJK199" s="2"/>
      <c r="GJL199" s="2"/>
      <c r="GJM199" s="2"/>
      <c r="GJN199" s="2"/>
      <c r="GJO199" s="2"/>
      <c r="GJP199" s="2"/>
      <c r="GJQ199" s="2"/>
      <c r="GJR199" s="2"/>
      <c r="GJS199" s="2"/>
      <c r="GJT199" s="2"/>
      <c r="GJU199" s="2"/>
      <c r="GJV199" s="2"/>
      <c r="GJW199" s="2"/>
      <c r="GJX199" s="2"/>
      <c r="GJY199" s="2"/>
      <c r="GJZ199" s="2"/>
      <c r="GKA199" s="2"/>
      <c r="GKB199" s="2"/>
      <c r="GKC199" s="2"/>
      <c r="GKD199" s="2"/>
      <c r="GKE199" s="2"/>
      <c r="GKF199" s="2"/>
      <c r="GKG199" s="2"/>
      <c r="GKH199" s="2"/>
      <c r="GKI199" s="2"/>
      <c r="GKJ199" s="2"/>
      <c r="GKK199" s="2"/>
      <c r="GKL199" s="2"/>
      <c r="GKM199" s="2"/>
      <c r="GKN199" s="2"/>
      <c r="GKO199" s="2"/>
      <c r="GKP199" s="2"/>
      <c r="GKQ199" s="2"/>
      <c r="GKR199" s="2"/>
      <c r="GKS199" s="2"/>
      <c r="GKT199" s="2"/>
      <c r="GKU199" s="2"/>
      <c r="GKV199" s="2"/>
      <c r="GKW199" s="2"/>
      <c r="GKX199" s="2"/>
      <c r="GKY199" s="2"/>
      <c r="GKZ199" s="2"/>
      <c r="GLA199" s="2"/>
      <c r="GLB199" s="2"/>
      <c r="GLC199" s="2"/>
      <c r="GLD199" s="2"/>
      <c r="GLE199" s="2"/>
      <c r="GLF199" s="2"/>
      <c r="GLG199" s="2"/>
      <c r="GLH199" s="2"/>
      <c r="GLI199" s="2"/>
      <c r="GLJ199" s="2"/>
      <c r="GLK199" s="2"/>
      <c r="GLL199" s="2"/>
      <c r="GLM199" s="2"/>
      <c r="GLN199" s="2"/>
      <c r="GLO199" s="2"/>
      <c r="GLP199" s="2"/>
      <c r="GLQ199" s="2"/>
      <c r="GLR199" s="2"/>
      <c r="GLS199" s="2"/>
      <c r="GLT199" s="2"/>
      <c r="GLU199" s="2"/>
      <c r="GLV199" s="2"/>
      <c r="GLW199" s="2"/>
      <c r="GLX199" s="2"/>
      <c r="GLY199" s="2"/>
      <c r="GLZ199" s="2"/>
      <c r="GMA199" s="2"/>
      <c r="GMB199" s="2"/>
      <c r="GMC199" s="2"/>
      <c r="GMD199" s="2"/>
      <c r="GME199" s="2"/>
      <c r="GMF199" s="2"/>
      <c r="GMG199" s="2"/>
      <c r="GMH199" s="2"/>
      <c r="GMI199" s="2"/>
      <c r="GMJ199" s="2"/>
      <c r="GMK199" s="2"/>
      <c r="GML199" s="2"/>
      <c r="GMM199" s="2"/>
      <c r="GMN199" s="2"/>
      <c r="GMO199" s="2"/>
      <c r="GMP199" s="2"/>
      <c r="GMQ199" s="2"/>
      <c r="GMR199" s="2"/>
      <c r="GMS199" s="2"/>
      <c r="GMT199" s="2"/>
      <c r="GMU199" s="2"/>
      <c r="GMV199" s="2"/>
      <c r="GMW199" s="2"/>
      <c r="GMX199" s="2"/>
      <c r="GMY199" s="2"/>
      <c r="GMZ199" s="2"/>
      <c r="GNA199" s="2"/>
      <c r="GNB199" s="2"/>
      <c r="GNC199" s="2"/>
      <c r="GND199" s="2"/>
      <c r="GNE199" s="2"/>
      <c r="GNF199" s="2"/>
      <c r="GNG199" s="2"/>
      <c r="GNH199" s="2"/>
      <c r="GNI199" s="2"/>
      <c r="GNJ199" s="2"/>
      <c r="GNK199" s="2"/>
      <c r="GNL199" s="2"/>
      <c r="GNM199" s="2"/>
      <c r="GNN199" s="2"/>
      <c r="GNO199" s="2"/>
      <c r="GNP199" s="2"/>
      <c r="GNQ199" s="2"/>
      <c r="GNR199" s="2"/>
      <c r="GNS199" s="2"/>
      <c r="GNT199" s="2"/>
      <c r="GNU199" s="2"/>
      <c r="GNV199" s="2"/>
      <c r="GNW199" s="2"/>
      <c r="GNX199" s="2"/>
      <c r="GNY199" s="2"/>
      <c r="GNZ199" s="2"/>
      <c r="GOA199" s="2"/>
      <c r="GOB199" s="2"/>
      <c r="GOC199" s="2"/>
      <c r="GOD199" s="2"/>
      <c r="GOE199" s="2"/>
      <c r="GOF199" s="2"/>
      <c r="GOG199" s="2"/>
      <c r="GOH199" s="2"/>
      <c r="GOI199" s="2"/>
      <c r="GOJ199" s="2"/>
      <c r="GOK199" s="2"/>
      <c r="GOL199" s="2"/>
      <c r="GOM199" s="2"/>
      <c r="GON199" s="2"/>
      <c r="GOO199" s="2"/>
      <c r="GOP199" s="2"/>
      <c r="GOQ199" s="2"/>
      <c r="GOR199" s="2"/>
      <c r="GOS199" s="2"/>
      <c r="GOT199" s="2"/>
      <c r="GOU199" s="2"/>
      <c r="GOV199" s="2"/>
      <c r="GOW199" s="2"/>
      <c r="GOX199" s="2"/>
      <c r="GOY199" s="2"/>
      <c r="GOZ199" s="2"/>
      <c r="GPA199" s="2"/>
      <c r="GPB199" s="2"/>
      <c r="GPC199" s="2"/>
      <c r="GPD199" s="2"/>
      <c r="GPE199" s="2"/>
      <c r="GPF199" s="2"/>
      <c r="GPG199" s="2"/>
      <c r="GPH199" s="2"/>
      <c r="GPI199" s="2"/>
      <c r="GPJ199" s="2"/>
      <c r="GPK199" s="2"/>
      <c r="GPL199" s="2"/>
      <c r="GPM199" s="2"/>
      <c r="GPN199" s="2"/>
      <c r="GPO199" s="2"/>
      <c r="GPP199" s="2"/>
      <c r="GPQ199" s="2"/>
      <c r="GPR199" s="2"/>
      <c r="GPS199" s="2"/>
      <c r="GPT199" s="2"/>
      <c r="GPU199" s="2"/>
      <c r="GPV199" s="2"/>
      <c r="GPW199" s="2"/>
      <c r="GPX199" s="2"/>
      <c r="GPY199" s="2"/>
      <c r="GPZ199" s="2"/>
      <c r="GQA199" s="2"/>
      <c r="GQB199" s="2"/>
      <c r="GQC199" s="2"/>
      <c r="GQD199" s="2"/>
      <c r="GQE199" s="2"/>
      <c r="GQF199" s="2"/>
      <c r="GQG199" s="2"/>
      <c r="GQH199" s="2"/>
      <c r="GQI199" s="2"/>
      <c r="GQJ199" s="2"/>
      <c r="GQK199" s="2"/>
      <c r="GQL199" s="2"/>
      <c r="GQM199" s="2"/>
      <c r="GQN199" s="2"/>
      <c r="GQO199" s="2"/>
      <c r="GQP199" s="2"/>
      <c r="GQQ199" s="2"/>
      <c r="GQR199" s="2"/>
      <c r="GQS199" s="2"/>
      <c r="GQT199" s="2"/>
      <c r="GQU199" s="2"/>
      <c r="GQV199" s="2"/>
      <c r="GQW199" s="2"/>
      <c r="GQX199" s="2"/>
      <c r="GQY199" s="2"/>
      <c r="GQZ199" s="2"/>
      <c r="GRA199" s="2"/>
      <c r="GRB199" s="2"/>
      <c r="GRC199" s="2"/>
      <c r="GRD199" s="2"/>
      <c r="GRE199" s="2"/>
      <c r="GRF199" s="2"/>
      <c r="GRG199" s="2"/>
      <c r="GRH199" s="2"/>
      <c r="GRI199" s="2"/>
      <c r="GRJ199" s="2"/>
      <c r="GRK199" s="2"/>
      <c r="GRL199" s="2"/>
      <c r="GRM199" s="2"/>
      <c r="GRN199" s="2"/>
      <c r="GRO199" s="2"/>
      <c r="GRP199" s="2"/>
      <c r="GRQ199" s="2"/>
      <c r="GRR199" s="2"/>
      <c r="GRS199" s="2"/>
      <c r="GRT199" s="2"/>
      <c r="GRU199" s="2"/>
      <c r="GRV199" s="2"/>
      <c r="GRW199" s="2"/>
      <c r="GRX199" s="2"/>
      <c r="GRY199" s="2"/>
      <c r="GRZ199" s="2"/>
      <c r="GSA199" s="2"/>
      <c r="GSB199" s="2"/>
      <c r="GSC199" s="2"/>
      <c r="GSD199" s="2"/>
      <c r="GSE199" s="2"/>
      <c r="GSF199" s="2"/>
      <c r="GSG199" s="2"/>
      <c r="GSH199" s="2"/>
      <c r="GSI199" s="2"/>
      <c r="GSJ199" s="2"/>
      <c r="GSK199" s="2"/>
      <c r="GSL199" s="2"/>
      <c r="GSM199" s="2"/>
      <c r="GSN199" s="2"/>
      <c r="GSO199" s="2"/>
      <c r="GSP199" s="2"/>
      <c r="GSQ199" s="2"/>
      <c r="GSR199" s="2"/>
      <c r="GSS199" s="2"/>
      <c r="GST199" s="2"/>
      <c r="GSU199" s="2"/>
      <c r="GSV199" s="2"/>
      <c r="GSW199" s="2"/>
      <c r="GSX199" s="2"/>
      <c r="GSY199" s="2"/>
      <c r="GSZ199" s="2"/>
      <c r="GTA199" s="2"/>
      <c r="GTB199" s="2"/>
      <c r="GTC199" s="2"/>
      <c r="GTD199" s="2"/>
      <c r="GTE199" s="2"/>
      <c r="GTF199" s="2"/>
      <c r="GTG199" s="2"/>
      <c r="GTH199" s="2"/>
      <c r="GTI199" s="2"/>
      <c r="GTJ199" s="2"/>
      <c r="GTK199" s="2"/>
      <c r="GTL199" s="2"/>
      <c r="GTM199" s="2"/>
      <c r="GTN199" s="2"/>
      <c r="GTO199" s="2"/>
      <c r="GTP199" s="2"/>
      <c r="GTQ199" s="2"/>
      <c r="GTR199" s="2"/>
      <c r="GTS199" s="2"/>
      <c r="GTT199" s="2"/>
      <c r="GTU199" s="2"/>
      <c r="GTV199" s="2"/>
      <c r="GTW199" s="2"/>
      <c r="GTX199" s="2"/>
      <c r="GTY199" s="2"/>
      <c r="GTZ199" s="2"/>
      <c r="GUA199" s="2"/>
      <c r="GUB199" s="2"/>
      <c r="GUC199" s="2"/>
      <c r="GUD199" s="2"/>
      <c r="GUE199" s="2"/>
      <c r="GUF199" s="2"/>
      <c r="GUG199" s="2"/>
      <c r="GUH199" s="2"/>
      <c r="GUI199" s="2"/>
      <c r="GUJ199" s="2"/>
      <c r="GUK199" s="2"/>
      <c r="GUL199" s="2"/>
      <c r="GUM199" s="2"/>
      <c r="GUN199" s="2"/>
      <c r="GUO199" s="2"/>
      <c r="GUP199" s="2"/>
      <c r="GUQ199" s="2"/>
      <c r="GUR199" s="2"/>
      <c r="GUS199" s="2"/>
      <c r="GUT199" s="2"/>
      <c r="GUU199" s="2"/>
      <c r="GUV199" s="2"/>
      <c r="GUW199" s="2"/>
      <c r="GUX199" s="2"/>
      <c r="GUY199" s="2"/>
      <c r="GUZ199" s="2"/>
      <c r="GVA199" s="2"/>
      <c r="GVB199" s="2"/>
      <c r="GVC199" s="2"/>
      <c r="GVD199" s="2"/>
      <c r="GVE199" s="2"/>
      <c r="GVF199" s="2"/>
      <c r="GVG199" s="2"/>
      <c r="GVH199" s="2"/>
      <c r="GVI199" s="2"/>
      <c r="GVJ199" s="2"/>
      <c r="GVK199" s="2"/>
      <c r="GVL199" s="2"/>
      <c r="GVM199" s="2"/>
      <c r="GVN199" s="2"/>
      <c r="GVO199" s="2"/>
      <c r="GVP199" s="2"/>
      <c r="GVQ199" s="2"/>
      <c r="GVR199" s="2"/>
      <c r="GVS199" s="2"/>
      <c r="GVT199" s="2"/>
      <c r="GVU199" s="2"/>
      <c r="GVV199" s="2"/>
      <c r="GVW199" s="2"/>
      <c r="GVX199" s="2"/>
      <c r="GVY199" s="2"/>
      <c r="GVZ199" s="2"/>
      <c r="GWA199" s="2"/>
      <c r="GWB199" s="2"/>
      <c r="GWC199" s="2"/>
      <c r="GWD199" s="2"/>
      <c r="GWE199" s="2"/>
      <c r="GWF199" s="2"/>
      <c r="GWG199" s="2"/>
      <c r="GWH199" s="2"/>
      <c r="GWI199" s="2"/>
      <c r="GWJ199" s="2"/>
      <c r="GWK199" s="2"/>
      <c r="GWL199" s="2"/>
      <c r="GWM199" s="2"/>
      <c r="GWN199" s="2"/>
      <c r="GWO199" s="2"/>
      <c r="GWP199" s="2"/>
      <c r="GWQ199" s="2"/>
      <c r="GWR199" s="2"/>
      <c r="GWS199" s="2"/>
      <c r="GWT199" s="2"/>
      <c r="GWU199" s="2"/>
      <c r="GWV199" s="2"/>
      <c r="GWW199" s="2"/>
      <c r="GWX199" s="2"/>
      <c r="GWY199" s="2"/>
      <c r="GWZ199" s="2"/>
      <c r="GXA199" s="2"/>
      <c r="GXB199" s="2"/>
      <c r="GXC199" s="2"/>
      <c r="GXD199" s="2"/>
      <c r="GXE199" s="2"/>
      <c r="GXF199" s="2"/>
      <c r="GXG199" s="2"/>
      <c r="GXH199" s="2"/>
      <c r="GXI199" s="2"/>
      <c r="GXJ199" s="2"/>
      <c r="GXK199" s="2"/>
      <c r="GXL199" s="2"/>
      <c r="GXM199" s="2"/>
      <c r="GXN199" s="2"/>
      <c r="GXO199" s="2"/>
      <c r="GXP199" s="2"/>
      <c r="GXQ199" s="2"/>
      <c r="GXR199" s="2"/>
      <c r="GXS199" s="2"/>
      <c r="GXT199" s="2"/>
      <c r="GXU199" s="2"/>
      <c r="GXV199" s="2"/>
      <c r="GXW199" s="2"/>
      <c r="GXX199" s="2"/>
      <c r="GXY199" s="2"/>
      <c r="GXZ199" s="2"/>
      <c r="GYA199" s="2"/>
      <c r="GYB199" s="2"/>
      <c r="GYC199" s="2"/>
      <c r="GYD199" s="2"/>
      <c r="GYE199" s="2"/>
      <c r="GYF199" s="2"/>
      <c r="GYG199" s="2"/>
      <c r="GYH199" s="2"/>
      <c r="GYI199" s="2"/>
      <c r="GYJ199" s="2"/>
      <c r="GYK199" s="2"/>
      <c r="GYL199" s="2"/>
      <c r="GYM199" s="2"/>
      <c r="GYN199" s="2"/>
      <c r="GYO199" s="2"/>
      <c r="GYP199" s="2"/>
      <c r="GYQ199" s="2"/>
      <c r="GYR199" s="2"/>
      <c r="GYS199" s="2"/>
      <c r="GYT199" s="2"/>
      <c r="GYU199" s="2"/>
      <c r="GYV199" s="2"/>
      <c r="GYW199" s="2"/>
      <c r="GYX199" s="2"/>
      <c r="GYY199" s="2"/>
      <c r="GYZ199" s="2"/>
      <c r="GZA199" s="2"/>
      <c r="GZB199" s="2"/>
      <c r="GZC199" s="2"/>
      <c r="GZD199" s="2"/>
      <c r="GZE199" s="2"/>
      <c r="GZF199" s="2"/>
      <c r="GZG199" s="2"/>
      <c r="GZH199" s="2"/>
      <c r="GZI199" s="2"/>
      <c r="GZJ199" s="2"/>
      <c r="GZK199" s="2"/>
      <c r="GZL199" s="2"/>
      <c r="GZM199" s="2"/>
      <c r="GZN199" s="2"/>
      <c r="GZO199" s="2"/>
      <c r="GZP199" s="2"/>
      <c r="GZQ199" s="2"/>
      <c r="GZR199" s="2"/>
      <c r="GZS199" s="2"/>
      <c r="GZT199" s="2"/>
      <c r="GZU199" s="2"/>
      <c r="GZV199" s="2"/>
      <c r="GZW199" s="2"/>
      <c r="GZX199" s="2"/>
      <c r="GZY199" s="2"/>
      <c r="GZZ199" s="2"/>
      <c r="HAA199" s="2"/>
      <c r="HAB199" s="2"/>
      <c r="HAC199" s="2"/>
      <c r="HAD199" s="2"/>
      <c r="HAE199" s="2"/>
      <c r="HAF199" s="2"/>
      <c r="HAG199" s="2"/>
      <c r="HAH199" s="2"/>
      <c r="HAI199" s="2"/>
      <c r="HAJ199" s="2"/>
      <c r="HAK199" s="2"/>
      <c r="HAL199" s="2"/>
      <c r="HAM199" s="2"/>
      <c r="HAN199" s="2"/>
      <c r="HAO199" s="2"/>
      <c r="HAP199" s="2"/>
      <c r="HAQ199" s="2"/>
      <c r="HAR199" s="2"/>
      <c r="HAS199" s="2"/>
      <c r="HAT199" s="2"/>
      <c r="HAU199" s="2"/>
      <c r="HAV199" s="2"/>
      <c r="HAW199" s="2"/>
      <c r="HAX199" s="2"/>
      <c r="HAY199" s="2"/>
      <c r="HAZ199" s="2"/>
      <c r="HBA199" s="2"/>
      <c r="HBB199" s="2"/>
      <c r="HBC199" s="2"/>
      <c r="HBD199" s="2"/>
      <c r="HBE199" s="2"/>
      <c r="HBF199" s="2"/>
      <c r="HBG199" s="2"/>
      <c r="HBH199" s="2"/>
      <c r="HBI199" s="2"/>
      <c r="HBJ199" s="2"/>
      <c r="HBK199" s="2"/>
      <c r="HBL199" s="2"/>
      <c r="HBM199" s="2"/>
      <c r="HBN199" s="2"/>
      <c r="HBO199" s="2"/>
      <c r="HBP199" s="2"/>
      <c r="HBQ199" s="2"/>
      <c r="HBR199" s="2"/>
      <c r="HBS199" s="2"/>
      <c r="HBT199" s="2"/>
      <c r="HBU199" s="2"/>
      <c r="HBV199" s="2"/>
      <c r="HBW199" s="2"/>
      <c r="HBX199" s="2"/>
      <c r="HBY199" s="2"/>
      <c r="HBZ199" s="2"/>
      <c r="HCA199" s="2"/>
      <c r="HCB199" s="2"/>
      <c r="HCC199" s="2"/>
      <c r="HCD199" s="2"/>
      <c r="HCE199" s="2"/>
      <c r="HCF199" s="2"/>
      <c r="HCG199" s="2"/>
      <c r="HCH199" s="2"/>
      <c r="HCI199" s="2"/>
      <c r="HCJ199" s="2"/>
      <c r="HCK199" s="2"/>
      <c r="HCL199" s="2"/>
      <c r="HCM199" s="2"/>
      <c r="HCN199" s="2"/>
      <c r="HCO199" s="2"/>
      <c r="HCP199" s="2"/>
      <c r="HCQ199" s="2"/>
      <c r="HCR199" s="2"/>
      <c r="HCS199" s="2"/>
      <c r="HCT199" s="2"/>
      <c r="HCU199" s="2"/>
      <c r="HCV199" s="2"/>
      <c r="HCW199" s="2"/>
      <c r="HCX199" s="2"/>
      <c r="HCY199" s="2"/>
      <c r="HCZ199" s="2"/>
      <c r="HDA199" s="2"/>
      <c r="HDB199" s="2"/>
      <c r="HDC199" s="2"/>
      <c r="HDD199" s="2"/>
      <c r="HDE199" s="2"/>
      <c r="HDF199" s="2"/>
      <c r="HDG199" s="2"/>
      <c r="HDH199" s="2"/>
      <c r="HDI199" s="2"/>
      <c r="HDJ199" s="2"/>
      <c r="HDK199" s="2"/>
      <c r="HDL199" s="2"/>
      <c r="HDM199" s="2"/>
      <c r="HDN199" s="2"/>
      <c r="HDO199" s="2"/>
      <c r="HDP199" s="2"/>
      <c r="HDQ199" s="2"/>
      <c r="HDR199" s="2"/>
      <c r="HDS199" s="2"/>
      <c r="HDT199" s="2"/>
      <c r="HDU199" s="2"/>
      <c r="HDV199" s="2"/>
      <c r="HDW199" s="2"/>
      <c r="HDX199" s="2"/>
      <c r="HDY199" s="2"/>
      <c r="HDZ199" s="2"/>
      <c r="HEA199" s="2"/>
      <c r="HEB199" s="2"/>
      <c r="HEC199" s="2"/>
      <c r="HED199" s="2"/>
      <c r="HEE199" s="2"/>
      <c r="HEF199" s="2"/>
      <c r="HEG199" s="2"/>
      <c r="HEH199" s="2"/>
      <c r="HEI199" s="2"/>
      <c r="HEJ199" s="2"/>
      <c r="HEK199" s="2"/>
      <c r="HEL199" s="2"/>
      <c r="HEM199" s="2"/>
      <c r="HEN199" s="2"/>
      <c r="HEO199" s="2"/>
      <c r="HEP199" s="2"/>
      <c r="HEQ199" s="2"/>
      <c r="HER199" s="2"/>
      <c r="HES199" s="2"/>
      <c r="HET199" s="2"/>
      <c r="HEU199" s="2"/>
      <c r="HEV199" s="2"/>
      <c r="HEW199" s="2"/>
      <c r="HEX199" s="2"/>
      <c r="HEY199" s="2"/>
      <c r="HEZ199" s="2"/>
      <c r="HFA199" s="2"/>
      <c r="HFB199" s="2"/>
      <c r="HFC199" s="2"/>
      <c r="HFD199" s="2"/>
      <c r="HFE199" s="2"/>
      <c r="HFF199" s="2"/>
      <c r="HFG199" s="2"/>
      <c r="HFH199" s="2"/>
      <c r="HFI199" s="2"/>
      <c r="HFJ199" s="2"/>
      <c r="HFK199" s="2"/>
      <c r="HFL199" s="2"/>
      <c r="HFM199" s="2"/>
      <c r="HFN199" s="2"/>
      <c r="HFO199" s="2"/>
      <c r="HFP199" s="2"/>
      <c r="HFQ199" s="2"/>
      <c r="HFR199" s="2"/>
      <c r="HFS199" s="2"/>
      <c r="HFT199" s="2"/>
      <c r="HFU199" s="2"/>
      <c r="HFV199" s="2"/>
      <c r="HFW199" s="2"/>
      <c r="HFX199" s="2"/>
      <c r="HFY199" s="2"/>
      <c r="HFZ199" s="2"/>
      <c r="HGA199" s="2"/>
      <c r="HGB199" s="2"/>
      <c r="HGC199" s="2"/>
      <c r="HGD199" s="2"/>
      <c r="HGE199" s="2"/>
      <c r="HGF199" s="2"/>
      <c r="HGG199" s="2"/>
      <c r="HGH199" s="2"/>
      <c r="HGI199" s="2"/>
      <c r="HGJ199" s="2"/>
      <c r="HGK199" s="2"/>
      <c r="HGL199" s="2"/>
      <c r="HGM199" s="2"/>
      <c r="HGN199" s="2"/>
      <c r="HGO199" s="2"/>
      <c r="HGP199" s="2"/>
      <c r="HGQ199" s="2"/>
      <c r="HGR199" s="2"/>
      <c r="HGS199" s="2"/>
      <c r="HGT199" s="2"/>
      <c r="HGU199" s="2"/>
      <c r="HGV199" s="2"/>
      <c r="HGW199" s="2"/>
      <c r="HGX199" s="2"/>
      <c r="HGY199" s="2"/>
      <c r="HGZ199" s="2"/>
      <c r="HHA199" s="2"/>
      <c r="HHB199" s="2"/>
      <c r="HHC199" s="2"/>
      <c r="HHD199" s="2"/>
      <c r="HHE199" s="2"/>
      <c r="HHF199" s="2"/>
      <c r="HHG199" s="2"/>
      <c r="HHH199" s="2"/>
      <c r="HHI199" s="2"/>
      <c r="HHJ199" s="2"/>
      <c r="HHK199" s="2"/>
      <c r="HHL199" s="2"/>
      <c r="HHM199" s="2"/>
      <c r="HHN199" s="2"/>
      <c r="HHO199" s="2"/>
      <c r="HHP199" s="2"/>
      <c r="HHQ199" s="2"/>
      <c r="HHR199" s="2"/>
      <c r="HHS199" s="2"/>
      <c r="HHT199" s="2"/>
      <c r="HHU199" s="2"/>
      <c r="HHV199" s="2"/>
      <c r="HHW199" s="2"/>
      <c r="HHX199" s="2"/>
      <c r="HHY199" s="2"/>
      <c r="HHZ199" s="2"/>
      <c r="HIA199" s="2"/>
      <c r="HIB199" s="2"/>
      <c r="HIC199" s="2"/>
      <c r="HID199" s="2"/>
      <c r="HIE199" s="2"/>
      <c r="HIF199" s="2"/>
      <c r="HIG199" s="2"/>
      <c r="HIH199" s="2"/>
      <c r="HII199" s="2"/>
      <c r="HIJ199" s="2"/>
      <c r="HIK199" s="2"/>
      <c r="HIL199" s="2"/>
      <c r="HIM199" s="2"/>
      <c r="HIN199" s="2"/>
      <c r="HIO199" s="2"/>
      <c r="HIP199" s="2"/>
      <c r="HIQ199" s="2"/>
      <c r="HIR199" s="2"/>
      <c r="HIS199" s="2"/>
      <c r="HIT199" s="2"/>
      <c r="HIU199" s="2"/>
      <c r="HIV199" s="2"/>
      <c r="HIW199" s="2"/>
      <c r="HIX199" s="2"/>
      <c r="HIY199" s="2"/>
      <c r="HIZ199" s="2"/>
      <c r="HJA199" s="2"/>
      <c r="HJB199" s="2"/>
      <c r="HJC199" s="2"/>
      <c r="HJD199" s="2"/>
      <c r="HJE199" s="2"/>
      <c r="HJF199" s="2"/>
      <c r="HJG199" s="2"/>
      <c r="HJH199" s="2"/>
      <c r="HJI199" s="2"/>
      <c r="HJJ199" s="2"/>
      <c r="HJK199" s="2"/>
      <c r="HJL199" s="2"/>
      <c r="HJM199" s="2"/>
      <c r="HJN199" s="2"/>
      <c r="HJO199" s="2"/>
      <c r="HJP199" s="2"/>
      <c r="HJQ199" s="2"/>
      <c r="HJR199" s="2"/>
      <c r="HJS199" s="2"/>
      <c r="HJT199" s="2"/>
      <c r="HJU199" s="2"/>
      <c r="HJV199" s="2"/>
      <c r="HJW199" s="2"/>
      <c r="HJX199" s="2"/>
      <c r="HJY199" s="2"/>
      <c r="HJZ199" s="2"/>
      <c r="HKA199" s="2"/>
      <c r="HKB199" s="2"/>
      <c r="HKC199" s="2"/>
      <c r="HKD199" s="2"/>
      <c r="HKE199" s="2"/>
      <c r="HKF199" s="2"/>
      <c r="HKG199" s="2"/>
      <c r="HKH199" s="2"/>
      <c r="HKI199" s="2"/>
      <c r="HKJ199" s="2"/>
      <c r="HKK199" s="2"/>
      <c r="HKL199" s="2"/>
      <c r="HKM199" s="2"/>
      <c r="HKN199" s="2"/>
      <c r="HKO199" s="2"/>
      <c r="HKP199" s="2"/>
      <c r="HKQ199" s="2"/>
      <c r="HKR199" s="2"/>
      <c r="HKS199" s="2"/>
      <c r="HKT199" s="2"/>
      <c r="HKU199" s="2"/>
      <c r="HKV199" s="2"/>
      <c r="HKW199" s="2"/>
      <c r="HKX199" s="2"/>
      <c r="HKY199" s="2"/>
      <c r="HKZ199" s="2"/>
      <c r="HLA199" s="2"/>
      <c r="HLB199" s="2"/>
      <c r="HLC199" s="2"/>
      <c r="HLD199" s="2"/>
      <c r="HLE199" s="2"/>
      <c r="HLF199" s="2"/>
      <c r="HLG199" s="2"/>
      <c r="HLH199" s="2"/>
      <c r="HLI199" s="2"/>
      <c r="HLJ199" s="2"/>
      <c r="HLK199" s="2"/>
      <c r="HLL199" s="2"/>
      <c r="HLM199" s="2"/>
      <c r="HLN199" s="2"/>
      <c r="HLO199" s="2"/>
      <c r="HLP199" s="2"/>
      <c r="HLQ199" s="2"/>
      <c r="HLR199" s="2"/>
      <c r="HLS199" s="2"/>
      <c r="HLT199" s="2"/>
      <c r="HLU199" s="2"/>
      <c r="HLV199" s="2"/>
      <c r="HLW199" s="2"/>
      <c r="HLX199" s="2"/>
      <c r="HLY199" s="2"/>
      <c r="HLZ199" s="2"/>
      <c r="HMA199" s="2"/>
      <c r="HMB199" s="2"/>
      <c r="HMC199" s="2"/>
      <c r="HMD199" s="2"/>
      <c r="HME199" s="2"/>
      <c r="HMF199" s="2"/>
      <c r="HMG199" s="2"/>
      <c r="HMH199" s="2"/>
      <c r="HMI199" s="2"/>
      <c r="HMJ199" s="2"/>
      <c r="HMK199" s="2"/>
      <c r="HML199" s="2"/>
      <c r="HMM199" s="2"/>
      <c r="HMN199" s="2"/>
      <c r="HMO199" s="2"/>
      <c r="HMP199" s="2"/>
      <c r="HMQ199" s="2"/>
      <c r="HMR199" s="2"/>
      <c r="HMS199" s="2"/>
      <c r="HMT199" s="2"/>
      <c r="HMU199" s="2"/>
      <c r="HMV199" s="2"/>
      <c r="HMW199" s="2"/>
      <c r="HMX199" s="2"/>
      <c r="HMY199" s="2"/>
      <c r="HMZ199" s="2"/>
      <c r="HNA199" s="2"/>
      <c r="HNB199" s="2"/>
      <c r="HNC199" s="2"/>
      <c r="HND199" s="2"/>
      <c r="HNE199" s="2"/>
      <c r="HNF199" s="2"/>
      <c r="HNG199" s="2"/>
      <c r="HNH199" s="2"/>
      <c r="HNI199" s="2"/>
      <c r="HNJ199" s="2"/>
      <c r="HNK199" s="2"/>
      <c r="HNL199" s="2"/>
      <c r="HNM199" s="2"/>
      <c r="HNN199" s="2"/>
      <c r="HNO199" s="2"/>
      <c r="HNP199" s="2"/>
      <c r="HNQ199" s="2"/>
      <c r="HNR199" s="2"/>
      <c r="HNS199" s="2"/>
      <c r="HNT199" s="2"/>
      <c r="HNU199" s="2"/>
      <c r="HNV199" s="2"/>
      <c r="HNW199" s="2"/>
      <c r="HNX199" s="2"/>
      <c r="HNY199" s="2"/>
      <c r="HNZ199" s="2"/>
      <c r="HOA199" s="2"/>
      <c r="HOB199" s="2"/>
      <c r="HOC199" s="2"/>
      <c r="HOD199" s="2"/>
      <c r="HOE199" s="2"/>
      <c r="HOF199" s="2"/>
      <c r="HOG199" s="2"/>
      <c r="HOH199" s="2"/>
      <c r="HOI199" s="2"/>
      <c r="HOJ199" s="2"/>
      <c r="HOK199" s="2"/>
      <c r="HOL199" s="2"/>
      <c r="HOM199" s="2"/>
      <c r="HON199" s="2"/>
      <c r="HOO199" s="2"/>
      <c r="HOP199" s="2"/>
      <c r="HOQ199" s="2"/>
      <c r="HOR199" s="2"/>
      <c r="HOS199" s="2"/>
      <c r="HOT199" s="2"/>
      <c r="HOU199" s="2"/>
      <c r="HOV199" s="2"/>
      <c r="HOW199" s="2"/>
      <c r="HOX199" s="2"/>
      <c r="HOY199" s="2"/>
      <c r="HOZ199" s="2"/>
      <c r="HPA199" s="2"/>
      <c r="HPB199" s="2"/>
      <c r="HPC199" s="2"/>
      <c r="HPD199" s="2"/>
      <c r="HPE199" s="2"/>
      <c r="HPF199" s="2"/>
      <c r="HPG199" s="2"/>
      <c r="HPH199" s="2"/>
      <c r="HPI199" s="2"/>
      <c r="HPJ199" s="2"/>
      <c r="HPK199" s="2"/>
      <c r="HPL199" s="2"/>
      <c r="HPM199" s="2"/>
      <c r="HPN199" s="2"/>
      <c r="HPO199" s="2"/>
      <c r="HPP199" s="2"/>
      <c r="HPQ199" s="2"/>
      <c r="HPR199" s="2"/>
      <c r="HPS199" s="2"/>
      <c r="HPT199" s="2"/>
      <c r="HPU199" s="2"/>
      <c r="HPV199" s="2"/>
      <c r="HPW199" s="2"/>
      <c r="HPX199" s="2"/>
      <c r="HPY199" s="2"/>
      <c r="HPZ199" s="2"/>
      <c r="HQA199" s="2"/>
      <c r="HQB199" s="2"/>
      <c r="HQC199" s="2"/>
      <c r="HQD199" s="2"/>
      <c r="HQE199" s="2"/>
      <c r="HQF199" s="2"/>
      <c r="HQG199" s="2"/>
      <c r="HQH199" s="2"/>
      <c r="HQI199" s="2"/>
      <c r="HQJ199" s="2"/>
      <c r="HQK199" s="2"/>
      <c r="HQL199" s="2"/>
      <c r="HQM199" s="2"/>
      <c r="HQN199" s="2"/>
      <c r="HQO199" s="2"/>
      <c r="HQP199" s="2"/>
      <c r="HQQ199" s="2"/>
      <c r="HQR199" s="2"/>
      <c r="HQS199" s="2"/>
      <c r="HQT199" s="2"/>
      <c r="HQU199" s="2"/>
      <c r="HQV199" s="2"/>
      <c r="HQW199" s="2"/>
      <c r="HQX199" s="2"/>
      <c r="HQY199" s="2"/>
      <c r="HQZ199" s="2"/>
      <c r="HRA199" s="2"/>
      <c r="HRB199" s="2"/>
      <c r="HRC199" s="2"/>
      <c r="HRD199" s="2"/>
      <c r="HRE199" s="2"/>
      <c r="HRF199" s="2"/>
      <c r="HRG199" s="2"/>
      <c r="HRH199" s="2"/>
      <c r="HRI199" s="2"/>
      <c r="HRJ199" s="2"/>
      <c r="HRK199" s="2"/>
      <c r="HRL199" s="2"/>
      <c r="HRM199" s="2"/>
      <c r="HRN199" s="2"/>
      <c r="HRO199" s="2"/>
      <c r="HRP199" s="2"/>
      <c r="HRQ199" s="2"/>
      <c r="HRR199" s="2"/>
      <c r="HRS199" s="2"/>
      <c r="HRT199" s="2"/>
      <c r="HRU199" s="2"/>
      <c r="HRV199" s="2"/>
      <c r="HRW199" s="2"/>
      <c r="HRX199" s="2"/>
      <c r="HRY199" s="2"/>
      <c r="HRZ199" s="2"/>
      <c r="HSA199" s="2"/>
      <c r="HSB199" s="2"/>
      <c r="HSC199" s="2"/>
      <c r="HSD199" s="2"/>
      <c r="HSE199" s="2"/>
      <c r="HSF199" s="2"/>
      <c r="HSG199" s="2"/>
      <c r="HSH199" s="2"/>
      <c r="HSI199" s="2"/>
      <c r="HSJ199" s="2"/>
      <c r="HSK199" s="2"/>
      <c r="HSL199" s="2"/>
      <c r="HSM199" s="2"/>
      <c r="HSN199" s="2"/>
      <c r="HSO199" s="2"/>
      <c r="HSP199" s="2"/>
      <c r="HSQ199" s="2"/>
      <c r="HSR199" s="2"/>
      <c r="HSS199" s="2"/>
      <c r="HST199" s="2"/>
      <c r="HSU199" s="2"/>
      <c r="HSV199" s="2"/>
      <c r="HSW199" s="2"/>
      <c r="HSX199" s="2"/>
      <c r="HSY199" s="2"/>
      <c r="HSZ199" s="2"/>
      <c r="HTA199" s="2"/>
      <c r="HTB199" s="2"/>
      <c r="HTC199" s="2"/>
      <c r="HTD199" s="2"/>
      <c r="HTE199" s="2"/>
      <c r="HTF199" s="2"/>
      <c r="HTG199" s="2"/>
      <c r="HTH199" s="2"/>
      <c r="HTI199" s="2"/>
      <c r="HTJ199" s="2"/>
      <c r="HTK199" s="2"/>
      <c r="HTL199" s="2"/>
      <c r="HTM199" s="2"/>
      <c r="HTN199" s="2"/>
      <c r="HTO199" s="2"/>
      <c r="HTP199" s="2"/>
      <c r="HTQ199" s="2"/>
      <c r="HTR199" s="2"/>
      <c r="HTS199" s="2"/>
      <c r="HTT199" s="2"/>
      <c r="HTU199" s="2"/>
      <c r="HTV199" s="2"/>
      <c r="HTW199" s="2"/>
      <c r="HTX199" s="2"/>
      <c r="HTY199" s="2"/>
      <c r="HTZ199" s="2"/>
      <c r="HUA199" s="2"/>
      <c r="HUB199" s="2"/>
      <c r="HUC199" s="2"/>
      <c r="HUD199" s="2"/>
      <c r="HUE199" s="2"/>
      <c r="HUF199" s="2"/>
      <c r="HUG199" s="2"/>
      <c r="HUH199" s="2"/>
      <c r="HUI199" s="2"/>
      <c r="HUJ199" s="2"/>
      <c r="HUK199" s="2"/>
      <c r="HUL199" s="2"/>
      <c r="HUM199" s="2"/>
      <c r="HUN199" s="2"/>
      <c r="HUO199" s="2"/>
      <c r="HUP199" s="2"/>
      <c r="HUQ199" s="2"/>
      <c r="HUR199" s="2"/>
      <c r="HUS199" s="2"/>
      <c r="HUT199" s="2"/>
      <c r="HUU199" s="2"/>
      <c r="HUV199" s="2"/>
      <c r="HUW199" s="2"/>
      <c r="HUX199" s="2"/>
      <c r="HUY199" s="2"/>
      <c r="HUZ199" s="2"/>
      <c r="HVA199" s="2"/>
      <c r="HVB199" s="2"/>
      <c r="HVC199" s="2"/>
      <c r="HVD199" s="2"/>
      <c r="HVE199" s="2"/>
      <c r="HVF199" s="2"/>
      <c r="HVG199" s="2"/>
      <c r="HVH199" s="2"/>
      <c r="HVI199" s="2"/>
      <c r="HVJ199" s="2"/>
      <c r="HVK199" s="2"/>
      <c r="HVL199" s="2"/>
      <c r="HVM199" s="2"/>
      <c r="HVN199" s="2"/>
      <c r="HVO199" s="2"/>
      <c r="HVP199" s="2"/>
      <c r="HVQ199" s="2"/>
      <c r="HVR199" s="2"/>
      <c r="HVS199" s="2"/>
      <c r="HVT199" s="2"/>
      <c r="HVU199" s="2"/>
      <c r="HVV199" s="2"/>
      <c r="HVW199" s="2"/>
      <c r="HVX199" s="2"/>
      <c r="HVY199" s="2"/>
      <c r="HVZ199" s="2"/>
      <c r="HWA199" s="2"/>
      <c r="HWB199" s="2"/>
      <c r="HWC199" s="2"/>
      <c r="HWD199" s="2"/>
      <c r="HWE199" s="2"/>
      <c r="HWF199" s="2"/>
      <c r="HWG199" s="2"/>
      <c r="HWH199" s="2"/>
      <c r="HWI199" s="2"/>
      <c r="HWJ199" s="2"/>
      <c r="HWK199" s="2"/>
      <c r="HWL199" s="2"/>
      <c r="HWM199" s="2"/>
      <c r="HWN199" s="2"/>
      <c r="HWO199" s="2"/>
      <c r="HWP199" s="2"/>
      <c r="HWQ199" s="2"/>
      <c r="HWR199" s="2"/>
      <c r="HWS199" s="2"/>
      <c r="HWT199" s="2"/>
      <c r="HWU199" s="2"/>
      <c r="HWV199" s="2"/>
      <c r="HWW199" s="2"/>
      <c r="HWX199" s="2"/>
      <c r="HWY199" s="2"/>
      <c r="HWZ199" s="2"/>
      <c r="HXA199" s="2"/>
      <c r="HXB199" s="2"/>
      <c r="HXC199" s="2"/>
      <c r="HXD199" s="2"/>
      <c r="HXE199" s="2"/>
      <c r="HXF199" s="2"/>
      <c r="HXG199" s="2"/>
      <c r="HXH199" s="2"/>
      <c r="HXI199" s="2"/>
      <c r="HXJ199" s="2"/>
      <c r="HXK199" s="2"/>
      <c r="HXL199" s="2"/>
      <c r="HXM199" s="2"/>
      <c r="HXN199" s="2"/>
      <c r="HXO199" s="2"/>
      <c r="HXP199" s="2"/>
      <c r="HXQ199" s="2"/>
      <c r="HXR199" s="2"/>
      <c r="HXS199" s="2"/>
      <c r="HXT199" s="2"/>
      <c r="HXU199" s="2"/>
      <c r="HXV199" s="2"/>
      <c r="HXW199" s="2"/>
      <c r="HXX199" s="2"/>
      <c r="HXY199" s="2"/>
      <c r="HXZ199" s="2"/>
      <c r="HYA199" s="2"/>
      <c r="HYB199" s="2"/>
      <c r="HYC199" s="2"/>
      <c r="HYD199" s="2"/>
      <c r="HYE199" s="2"/>
      <c r="HYF199" s="2"/>
      <c r="HYG199" s="2"/>
      <c r="HYH199" s="2"/>
      <c r="HYI199" s="2"/>
      <c r="HYJ199" s="2"/>
      <c r="HYK199" s="2"/>
      <c r="HYL199" s="2"/>
      <c r="HYM199" s="2"/>
      <c r="HYN199" s="2"/>
      <c r="HYO199" s="2"/>
      <c r="HYP199" s="2"/>
      <c r="HYQ199" s="2"/>
      <c r="HYR199" s="2"/>
      <c r="HYS199" s="2"/>
      <c r="HYT199" s="2"/>
      <c r="HYU199" s="2"/>
      <c r="HYV199" s="2"/>
      <c r="HYW199" s="2"/>
      <c r="HYX199" s="2"/>
      <c r="HYY199" s="2"/>
      <c r="HYZ199" s="2"/>
      <c r="HZA199" s="2"/>
      <c r="HZB199" s="2"/>
      <c r="HZC199" s="2"/>
      <c r="HZD199" s="2"/>
      <c r="HZE199" s="2"/>
      <c r="HZF199" s="2"/>
      <c r="HZG199" s="2"/>
      <c r="HZH199" s="2"/>
      <c r="HZI199" s="2"/>
      <c r="HZJ199" s="2"/>
      <c r="HZK199" s="2"/>
      <c r="HZL199" s="2"/>
      <c r="HZM199" s="2"/>
      <c r="HZN199" s="2"/>
      <c r="HZO199" s="2"/>
      <c r="HZP199" s="2"/>
      <c r="HZQ199" s="2"/>
      <c r="HZR199" s="2"/>
      <c r="HZS199" s="2"/>
      <c r="HZT199" s="2"/>
      <c r="HZU199" s="2"/>
      <c r="HZV199" s="2"/>
      <c r="HZW199" s="2"/>
      <c r="HZX199" s="2"/>
      <c r="HZY199" s="2"/>
      <c r="HZZ199" s="2"/>
      <c r="IAA199" s="2"/>
      <c r="IAB199" s="2"/>
      <c r="IAC199" s="2"/>
      <c r="IAD199" s="2"/>
      <c r="IAE199" s="2"/>
      <c r="IAF199" s="2"/>
      <c r="IAG199" s="2"/>
      <c r="IAH199" s="2"/>
      <c r="IAI199" s="2"/>
      <c r="IAJ199" s="2"/>
      <c r="IAK199" s="2"/>
      <c r="IAL199" s="2"/>
      <c r="IAM199" s="2"/>
      <c r="IAN199" s="2"/>
      <c r="IAO199" s="2"/>
      <c r="IAP199" s="2"/>
      <c r="IAQ199" s="2"/>
      <c r="IAR199" s="2"/>
      <c r="IAS199" s="2"/>
      <c r="IAT199" s="2"/>
      <c r="IAU199" s="2"/>
      <c r="IAV199" s="2"/>
      <c r="IAW199" s="2"/>
      <c r="IAX199" s="2"/>
      <c r="IAY199" s="2"/>
      <c r="IAZ199" s="2"/>
      <c r="IBA199" s="2"/>
      <c r="IBB199" s="2"/>
      <c r="IBC199" s="2"/>
      <c r="IBD199" s="2"/>
      <c r="IBE199" s="2"/>
      <c r="IBF199" s="2"/>
      <c r="IBG199" s="2"/>
      <c r="IBH199" s="2"/>
      <c r="IBI199" s="2"/>
      <c r="IBJ199" s="2"/>
      <c r="IBK199" s="2"/>
      <c r="IBL199" s="2"/>
      <c r="IBM199" s="2"/>
      <c r="IBN199" s="2"/>
      <c r="IBO199" s="2"/>
      <c r="IBP199" s="2"/>
      <c r="IBQ199" s="2"/>
      <c r="IBR199" s="2"/>
      <c r="IBS199" s="2"/>
      <c r="IBT199" s="2"/>
      <c r="IBU199" s="2"/>
      <c r="IBV199" s="2"/>
      <c r="IBW199" s="2"/>
      <c r="IBX199" s="2"/>
      <c r="IBY199" s="2"/>
      <c r="IBZ199" s="2"/>
      <c r="ICA199" s="2"/>
      <c r="ICB199" s="2"/>
      <c r="ICC199" s="2"/>
      <c r="ICD199" s="2"/>
      <c r="ICE199" s="2"/>
      <c r="ICF199" s="2"/>
      <c r="ICG199" s="2"/>
      <c r="ICH199" s="2"/>
      <c r="ICI199" s="2"/>
      <c r="ICJ199" s="2"/>
      <c r="ICK199" s="2"/>
      <c r="ICL199" s="2"/>
      <c r="ICM199" s="2"/>
      <c r="ICN199" s="2"/>
      <c r="ICO199" s="2"/>
      <c r="ICP199" s="2"/>
      <c r="ICQ199" s="2"/>
      <c r="ICR199" s="2"/>
      <c r="ICS199" s="2"/>
      <c r="ICT199" s="2"/>
      <c r="ICU199" s="2"/>
      <c r="ICV199" s="2"/>
      <c r="ICW199" s="2"/>
      <c r="ICX199" s="2"/>
      <c r="ICY199" s="2"/>
      <c r="ICZ199" s="2"/>
      <c r="IDA199" s="2"/>
      <c r="IDB199" s="2"/>
      <c r="IDC199" s="2"/>
      <c r="IDD199" s="2"/>
      <c r="IDE199" s="2"/>
      <c r="IDF199" s="2"/>
      <c r="IDG199" s="2"/>
      <c r="IDH199" s="2"/>
      <c r="IDI199" s="2"/>
      <c r="IDJ199" s="2"/>
      <c r="IDK199" s="2"/>
      <c r="IDL199" s="2"/>
      <c r="IDM199" s="2"/>
      <c r="IDN199" s="2"/>
      <c r="IDO199" s="2"/>
      <c r="IDP199" s="2"/>
      <c r="IDQ199" s="2"/>
      <c r="IDR199" s="2"/>
      <c r="IDS199" s="2"/>
      <c r="IDT199" s="2"/>
      <c r="IDU199" s="2"/>
      <c r="IDV199" s="2"/>
      <c r="IDW199" s="2"/>
      <c r="IDX199" s="2"/>
      <c r="IDY199" s="2"/>
      <c r="IDZ199" s="2"/>
      <c r="IEA199" s="2"/>
      <c r="IEB199" s="2"/>
      <c r="IEC199" s="2"/>
      <c r="IED199" s="2"/>
      <c r="IEE199" s="2"/>
      <c r="IEF199" s="2"/>
      <c r="IEG199" s="2"/>
      <c r="IEH199" s="2"/>
      <c r="IEI199" s="2"/>
      <c r="IEJ199" s="2"/>
      <c r="IEK199" s="2"/>
      <c r="IEL199" s="2"/>
      <c r="IEM199" s="2"/>
      <c r="IEN199" s="2"/>
      <c r="IEO199" s="2"/>
      <c r="IEP199" s="2"/>
      <c r="IEQ199" s="2"/>
      <c r="IER199" s="2"/>
      <c r="IES199" s="2"/>
      <c r="IET199" s="2"/>
      <c r="IEU199" s="2"/>
      <c r="IEV199" s="2"/>
      <c r="IEW199" s="2"/>
      <c r="IEX199" s="2"/>
      <c r="IEY199" s="2"/>
      <c r="IEZ199" s="2"/>
      <c r="IFA199" s="2"/>
      <c r="IFB199" s="2"/>
      <c r="IFC199" s="2"/>
      <c r="IFD199" s="2"/>
      <c r="IFE199" s="2"/>
      <c r="IFF199" s="2"/>
      <c r="IFG199" s="2"/>
      <c r="IFH199" s="2"/>
      <c r="IFI199" s="2"/>
      <c r="IFJ199" s="2"/>
      <c r="IFK199" s="2"/>
      <c r="IFL199" s="2"/>
      <c r="IFM199" s="2"/>
      <c r="IFN199" s="2"/>
      <c r="IFO199" s="2"/>
      <c r="IFP199" s="2"/>
      <c r="IFQ199" s="2"/>
      <c r="IFR199" s="2"/>
      <c r="IFS199" s="2"/>
      <c r="IFT199" s="2"/>
      <c r="IFU199" s="2"/>
      <c r="IFV199" s="2"/>
      <c r="IFW199" s="2"/>
      <c r="IFX199" s="2"/>
      <c r="IFY199" s="2"/>
      <c r="IFZ199" s="2"/>
      <c r="IGA199" s="2"/>
      <c r="IGB199" s="2"/>
      <c r="IGC199" s="2"/>
      <c r="IGD199" s="2"/>
      <c r="IGE199" s="2"/>
      <c r="IGF199" s="2"/>
      <c r="IGG199" s="2"/>
      <c r="IGH199" s="2"/>
      <c r="IGI199" s="2"/>
      <c r="IGJ199" s="2"/>
      <c r="IGK199" s="2"/>
      <c r="IGL199" s="2"/>
      <c r="IGM199" s="2"/>
      <c r="IGN199" s="2"/>
      <c r="IGO199" s="2"/>
      <c r="IGP199" s="2"/>
      <c r="IGQ199" s="2"/>
      <c r="IGR199" s="2"/>
      <c r="IGS199" s="2"/>
      <c r="IGT199" s="2"/>
      <c r="IGU199" s="2"/>
      <c r="IGV199" s="2"/>
      <c r="IGW199" s="2"/>
      <c r="IGX199" s="2"/>
      <c r="IGY199" s="2"/>
      <c r="IGZ199" s="2"/>
      <c r="IHA199" s="2"/>
      <c r="IHB199" s="2"/>
      <c r="IHC199" s="2"/>
      <c r="IHD199" s="2"/>
      <c r="IHE199" s="2"/>
      <c r="IHF199" s="2"/>
      <c r="IHG199" s="2"/>
      <c r="IHH199" s="2"/>
      <c r="IHI199" s="2"/>
      <c r="IHJ199" s="2"/>
      <c r="IHK199" s="2"/>
      <c r="IHL199" s="2"/>
      <c r="IHM199" s="2"/>
      <c r="IHN199" s="2"/>
      <c r="IHO199" s="2"/>
      <c r="IHP199" s="2"/>
      <c r="IHQ199" s="2"/>
      <c r="IHR199" s="2"/>
      <c r="IHS199" s="2"/>
      <c r="IHT199" s="2"/>
      <c r="IHU199" s="2"/>
      <c r="IHV199" s="2"/>
      <c r="IHW199" s="2"/>
      <c r="IHX199" s="2"/>
      <c r="IHY199" s="2"/>
      <c r="IHZ199" s="2"/>
      <c r="IIA199" s="2"/>
      <c r="IIB199" s="2"/>
      <c r="IIC199" s="2"/>
      <c r="IID199" s="2"/>
      <c r="IIE199" s="2"/>
      <c r="IIF199" s="2"/>
      <c r="IIG199" s="2"/>
      <c r="IIH199" s="2"/>
      <c r="III199" s="2"/>
      <c r="IIJ199" s="2"/>
      <c r="IIK199" s="2"/>
      <c r="IIL199" s="2"/>
      <c r="IIM199" s="2"/>
      <c r="IIN199" s="2"/>
      <c r="IIO199" s="2"/>
      <c r="IIP199" s="2"/>
      <c r="IIQ199" s="2"/>
      <c r="IIR199" s="2"/>
      <c r="IIS199" s="2"/>
      <c r="IIT199" s="2"/>
      <c r="IIU199" s="2"/>
      <c r="IIV199" s="2"/>
      <c r="IIW199" s="2"/>
      <c r="IIX199" s="2"/>
      <c r="IIY199" s="2"/>
      <c r="IIZ199" s="2"/>
      <c r="IJA199" s="2"/>
      <c r="IJB199" s="2"/>
      <c r="IJC199" s="2"/>
      <c r="IJD199" s="2"/>
      <c r="IJE199" s="2"/>
      <c r="IJF199" s="2"/>
      <c r="IJG199" s="2"/>
      <c r="IJH199" s="2"/>
      <c r="IJI199" s="2"/>
      <c r="IJJ199" s="2"/>
      <c r="IJK199" s="2"/>
      <c r="IJL199" s="2"/>
      <c r="IJM199" s="2"/>
      <c r="IJN199" s="2"/>
      <c r="IJO199" s="2"/>
      <c r="IJP199" s="2"/>
      <c r="IJQ199" s="2"/>
      <c r="IJR199" s="2"/>
      <c r="IJS199" s="2"/>
      <c r="IJT199" s="2"/>
      <c r="IJU199" s="2"/>
      <c r="IJV199" s="2"/>
      <c r="IJW199" s="2"/>
      <c r="IJX199" s="2"/>
      <c r="IJY199" s="2"/>
      <c r="IJZ199" s="2"/>
      <c r="IKA199" s="2"/>
      <c r="IKB199" s="2"/>
      <c r="IKC199" s="2"/>
      <c r="IKD199" s="2"/>
      <c r="IKE199" s="2"/>
      <c r="IKF199" s="2"/>
      <c r="IKG199" s="2"/>
      <c r="IKH199" s="2"/>
      <c r="IKI199" s="2"/>
      <c r="IKJ199" s="2"/>
      <c r="IKK199" s="2"/>
      <c r="IKL199" s="2"/>
      <c r="IKM199" s="2"/>
      <c r="IKN199" s="2"/>
      <c r="IKO199" s="2"/>
      <c r="IKP199" s="2"/>
      <c r="IKQ199" s="2"/>
      <c r="IKR199" s="2"/>
      <c r="IKS199" s="2"/>
      <c r="IKT199" s="2"/>
      <c r="IKU199" s="2"/>
      <c r="IKV199" s="2"/>
      <c r="IKW199" s="2"/>
      <c r="IKX199" s="2"/>
      <c r="IKY199" s="2"/>
      <c r="IKZ199" s="2"/>
      <c r="ILA199" s="2"/>
      <c r="ILB199" s="2"/>
      <c r="ILC199" s="2"/>
      <c r="ILD199" s="2"/>
      <c r="ILE199" s="2"/>
      <c r="ILF199" s="2"/>
      <c r="ILG199" s="2"/>
      <c r="ILH199" s="2"/>
      <c r="ILI199" s="2"/>
      <c r="ILJ199" s="2"/>
      <c r="ILK199" s="2"/>
      <c r="ILL199" s="2"/>
      <c r="ILM199" s="2"/>
      <c r="ILN199" s="2"/>
      <c r="ILO199" s="2"/>
      <c r="ILP199" s="2"/>
      <c r="ILQ199" s="2"/>
      <c r="ILR199" s="2"/>
      <c r="ILS199" s="2"/>
      <c r="ILT199" s="2"/>
      <c r="ILU199" s="2"/>
      <c r="ILV199" s="2"/>
      <c r="ILW199" s="2"/>
      <c r="ILX199" s="2"/>
      <c r="ILY199" s="2"/>
      <c r="ILZ199" s="2"/>
      <c r="IMA199" s="2"/>
      <c r="IMB199" s="2"/>
      <c r="IMC199" s="2"/>
      <c r="IMD199" s="2"/>
      <c r="IME199" s="2"/>
      <c r="IMF199" s="2"/>
      <c r="IMG199" s="2"/>
      <c r="IMH199" s="2"/>
      <c r="IMI199" s="2"/>
      <c r="IMJ199" s="2"/>
      <c r="IMK199" s="2"/>
      <c r="IML199" s="2"/>
      <c r="IMM199" s="2"/>
      <c r="IMN199" s="2"/>
      <c r="IMO199" s="2"/>
      <c r="IMP199" s="2"/>
      <c r="IMQ199" s="2"/>
      <c r="IMR199" s="2"/>
      <c r="IMS199" s="2"/>
      <c r="IMT199" s="2"/>
      <c r="IMU199" s="2"/>
      <c r="IMV199" s="2"/>
      <c r="IMW199" s="2"/>
      <c r="IMX199" s="2"/>
      <c r="IMY199" s="2"/>
      <c r="IMZ199" s="2"/>
      <c r="INA199" s="2"/>
      <c r="INB199" s="2"/>
      <c r="INC199" s="2"/>
      <c r="IND199" s="2"/>
      <c r="INE199" s="2"/>
      <c r="INF199" s="2"/>
      <c r="ING199" s="2"/>
      <c r="INH199" s="2"/>
      <c r="INI199" s="2"/>
      <c r="INJ199" s="2"/>
      <c r="INK199" s="2"/>
      <c r="INL199" s="2"/>
      <c r="INM199" s="2"/>
      <c r="INN199" s="2"/>
      <c r="INO199" s="2"/>
      <c r="INP199" s="2"/>
      <c r="INQ199" s="2"/>
      <c r="INR199" s="2"/>
      <c r="INS199" s="2"/>
      <c r="INT199" s="2"/>
      <c r="INU199" s="2"/>
      <c r="INV199" s="2"/>
      <c r="INW199" s="2"/>
      <c r="INX199" s="2"/>
      <c r="INY199" s="2"/>
      <c r="INZ199" s="2"/>
      <c r="IOA199" s="2"/>
      <c r="IOB199" s="2"/>
      <c r="IOC199" s="2"/>
      <c r="IOD199" s="2"/>
      <c r="IOE199" s="2"/>
      <c r="IOF199" s="2"/>
      <c r="IOG199" s="2"/>
      <c r="IOH199" s="2"/>
      <c r="IOI199" s="2"/>
      <c r="IOJ199" s="2"/>
      <c r="IOK199" s="2"/>
      <c r="IOL199" s="2"/>
      <c r="IOM199" s="2"/>
      <c r="ION199" s="2"/>
      <c r="IOO199" s="2"/>
      <c r="IOP199" s="2"/>
      <c r="IOQ199" s="2"/>
      <c r="IOR199" s="2"/>
      <c r="IOS199" s="2"/>
      <c r="IOT199" s="2"/>
      <c r="IOU199" s="2"/>
      <c r="IOV199" s="2"/>
      <c r="IOW199" s="2"/>
      <c r="IOX199" s="2"/>
      <c r="IOY199" s="2"/>
      <c r="IOZ199" s="2"/>
      <c r="IPA199" s="2"/>
      <c r="IPB199" s="2"/>
      <c r="IPC199" s="2"/>
      <c r="IPD199" s="2"/>
      <c r="IPE199" s="2"/>
      <c r="IPF199" s="2"/>
      <c r="IPG199" s="2"/>
      <c r="IPH199" s="2"/>
      <c r="IPI199" s="2"/>
      <c r="IPJ199" s="2"/>
      <c r="IPK199" s="2"/>
      <c r="IPL199" s="2"/>
      <c r="IPM199" s="2"/>
      <c r="IPN199" s="2"/>
      <c r="IPO199" s="2"/>
      <c r="IPP199" s="2"/>
      <c r="IPQ199" s="2"/>
      <c r="IPR199" s="2"/>
      <c r="IPS199" s="2"/>
      <c r="IPT199" s="2"/>
      <c r="IPU199" s="2"/>
      <c r="IPV199" s="2"/>
      <c r="IPW199" s="2"/>
      <c r="IPX199" s="2"/>
      <c r="IPY199" s="2"/>
      <c r="IPZ199" s="2"/>
      <c r="IQA199" s="2"/>
      <c r="IQB199" s="2"/>
      <c r="IQC199" s="2"/>
      <c r="IQD199" s="2"/>
      <c r="IQE199" s="2"/>
      <c r="IQF199" s="2"/>
      <c r="IQG199" s="2"/>
      <c r="IQH199" s="2"/>
      <c r="IQI199" s="2"/>
      <c r="IQJ199" s="2"/>
      <c r="IQK199" s="2"/>
      <c r="IQL199" s="2"/>
      <c r="IQM199" s="2"/>
      <c r="IQN199" s="2"/>
      <c r="IQO199" s="2"/>
      <c r="IQP199" s="2"/>
      <c r="IQQ199" s="2"/>
      <c r="IQR199" s="2"/>
      <c r="IQS199" s="2"/>
      <c r="IQT199" s="2"/>
      <c r="IQU199" s="2"/>
      <c r="IQV199" s="2"/>
      <c r="IQW199" s="2"/>
      <c r="IQX199" s="2"/>
      <c r="IQY199" s="2"/>
      <c r="IQZ199" s="2"/>
      <c r="IRA199" s="2"/>
      <c r="IRB199" s="2"/>
      <c r="IRC199" s="2"/>
      <c r="IRD199" s="2"/>
      <c r="IRE199" s="2"/>
      <c r="IRF199" s="2"/>
      <c r="IRG199" s="2"/>
      <c r="IRH199" s="2"/>
      <c r="IRI199" s="2"/>
      <c r="IRJ199" s="2"/>
      <c r="IRK199" s="2"/>
      <c r="IRL199" s="2"/>
      <c r="IRM199" s="2"/>
      <c r="IRN199" s="2"/>
      <c r="IRO199" s="2"/>
      <c r="IRP199" s="2"/>
      <c r="IRQ199" s="2"/>
      <c r="IRR199" s="2"/>
      <c r="IRS199" s="2"/>
      <c r="IRT199" s="2"/>
      <c r="IRU199" s="2"/>
      <c r="IRV199" s="2"/>
      <c r="IRW199" s="2"/>
      <c r="IRX199" s="2"/>
      <c r="IRY199" s="2"/>
      <c r="IRZ199" s="2"/>
      <c r="ISA199" s="2"/>
      <c r="ISB199" s="2"/>
      <c r="ISC199" s="2"/>
      <c r="ISD199" s="2"/>
      <c r="ISE199" s="2"/>
      <c r="ISF199" s="2"/>
      <c r="ISG199" s="2"/>
      <c r="ISH199" s="2"/>
      <c r="ISI199" s="2"/>
      <c r="ISJ199" s="2"/>
      <c r="ISK199" s="2"/>
      <c r="ISL199" s="2"/>
      <c r="ISM199" s="2"/>
      <c r="ISN199" s="2"/>
      <c r="ISO199" s="2"/>
      <c r="ISP199" s="2"/>
      <c r="ISQ199" s="2"/>
      <c r="ISR199" s="2"/>
      <c r="ISS199" s="2"/>
      <c r="IST199" s="2"/>
      <c r="ISU199" s="2"/>
      <c r="ISV199" s="2"/>
      <c r="ISW199" s="2"/>
      <c r="ISX199" s="2"/>
      <c r="ISY199" s="2"/>
      <c r="ISZ199" s="2"/>
      <c r="ITA199" s="2"/>
      <c r="ITB199" s="2"/>
      <c r="ITC199" s="2"/>
      <c r="ITD199" s="2"/>
      <c r="ITE199" s="2"/>
      <c r="ITF199" s="2"/>
      <c r="ITG199" s="2"/>
      <c r="ITH199" s="2"/>
      <c r="ITI199" s="2"/>
      <c r="ITJ199" s="2"/>
      <c r="ITK199" s="2"/>
      <c r="ITL199" s="2"/>
      <c r="ITM199" s="2"/>
      <c r="ITN199" s="2"/>
      <c r="ITO199" s="2"/>
      <c r="ITP199" s="2"/>
      <c r="ITQ199" s="2"/>
      <c r="ITR199" s="2"/>
      <c r="ITS199" s="2"/>
      <c r="ITT199" s="2"/>
      <c r="ITU199" s="2"/>
      <c r="ITV199" s="2"/>
      <c r="ITW199" s="2"/>
      <c r="ITX199" s="2"/>
      <c r="ITY199" s="2"/>
      <c r="ITZ199" s="2"/>
      <c r="IUA199" s="2"/>
      <c r="IUB199" s="2"/>
      <c r="IUC199" s="2"/>
      <c r="IUD199" s="2"/>
      <c r="IUE199" s="2"/>
      <c r="IUF199" s="2"/>
      <c r="IUG199" s="2"/>
      <c r="IUH199" s="2"/>
      <c r="IUI199" s="2"/>
      <c r="IUJ199" s="2"/>
      <c r="IUK199" s="2"/>
      <c r="IUL199" s="2"/>
      <c r="IUM199" s="2"/>
      <c r="IUN199" s="2"/>
      <c r="IUO199" s="2"/>
      <c r="IUP199" s="2"/>
      <c r="IUQ199" s="2"/>
      <c r="IUR199" s="2"/>
      <c r="IUS199" s="2"/>
      <c r="IUT199" s="2"/>
      <c r="IUU199" s="2"/>
      <c r="IUV199" s="2"/>
      <c r="IUW199" s="2"/>
      <c r="IUX199" s="2"/>
      <c r="IUY199" s="2"/>
      <c r="IUZ199" s="2"/>
      <c r="IVA199" s="2"/>
      <c r="IVB199" s="2"/>
      <c r="IVC199" s="2"/>
      <c r="IVD199" s="2"/>
      <c r="IVE199" s="2"/>
      <c r="IVF199" s="2"/>
      <c r="IVG199" s="2"/>
      <c r="IVH199" s="2"/>
      <c r="IVI199" s="2"/>
      <c r="IVJ199" s="2"/>
      <c r="IVK199" s="2"/>
      <c r="IVL199" s="2"/>
      <c r="IVM199" s="2"/>
      <c r="IVN199" s="2"/>
      <c r="IVO199" s="2"/>
      <c r="IVP199" s="2"/>
      <c r="IVQ199" s="2"/>
      <c r="IVR199" s="2"/>
      <c r="IVS199" s="2"/>
      <c r="IVT199" s="2"/>
      <c r="IVU199" s="2"/>
      <c r="IVV199" s="2"/>
      <c r="IVW199" s="2"/>
      <c r="IVX199" s="2"/>
      <c r="IVY199" s="2"/>
      <c r="IVZ199" s="2"/>
      <c r="IWA199" s="2"/>
      <c r="IWB199" s="2"/>
      <c r="IWC199" s="2"/>
      <c r="IWD199" s="2"/>
      <c r="IWE199" s="2"/>
      <c r="IWF199" s="2"/>
      <c r="IWG199" s="2"/>
      <c r="IWH199" s="2"/>
      <c r="IWI199" s="2"/>
      <c r="IWJ199" s="2"/>
      <c r="IWK199" s="2"/>
      <c r="IWL199" s="2"/>
      <c r="IWM199" s="2"/>
      <c r="IWN199" s="2"/>
      <c r="IWO199" s="2"/>
      <c r="IWP199" s="2"/>
      <c r="IWQ199" s="2"/>
      <c r="IWR199" s="2"/>
      <c r="IWS199" s="2"/>
      <c r="IWT199" s="2"/>
      <c r="IWU199" s="2"/>
      <c r="IWV199" s="2"/>
      <c r="IWW199" s="2"/>
      <c r="IWX199" s="2"/>
      <c r="IWY199" s="2"/>
      <c r="IWZ199" s="2"/>
      <c r="IXA199" s="2"/>
      <c r="IXB199" s="2"/>
      <c r="IXC199" s="2"/>
      <c r="IXD199" s="2"/>
      <c r="IXE199" s="2"/>
      <c r="IXF199" s="2"/>
      <c r="IXG199" s="2"/>
      <c r="IXH199" s="2"/>
      <c r="IXI199" s="2"/>
      <c r="IXJ199" s="2"/>
      <c r="IXK199" s="2"/>
      <c r="IXL199" s="2"/>
      <c r="IXM199" s="2"/>
      <c r="IXN199" s="2"/>
      <c r="IXO199" s="2"/>
      <c r="IXP199" s="2"/>
      <c r="IXQ199" s="2"/>
      <c r="IXR199" s="2"/>
      <c r="IXS199" s="2"/>
      <c r="IXT199" s="2"/>
      <c r="IXU199" s="2"/>
      <c r="IXV199" s="2"/>
      <c r="IXW199" s="2"/>
      <c r="IXX199" s="2"/>
      <c r="IXY199" s="2"/>
      <c r="IXZ199" s="2"/>
      <c r="IYA199" s="2"/>
      <c r="IYB199" s="2"/>
      <c r="IYC199" s="2"/>
      <c r="IYD199" s="2"/>
      <c r="IYE199" s="2"/>
      <c r="IYF199" s="2"/>
      <c r="IYG199" s="2"/>
      <c r="IYH199" s="2"/>
      <c r="IYI199" s="2"/>
      <c r="IYJ199" s="2"/>
      <c r="IYK199" s="2"/>
      <c r="IYL199" s="2"/>
      <c r="IYM199" s="2"/>
      <c r="IYN199" s="2"/>
      <c r="IYO199" s="2"/>
      <c r="IYP199" s="2"/>
      <c r="IYQ199" s="2"/>
      <c r="IYR199" s="2"/>
      <c r="IYS199" s="2"/>
      <c r="IYT199" s="2"/>
      <c r="IYU199" s="2"/>
      <c r="IYV199" s="2"/>
      <c r="IYW199" s="2"/>
      <c r="IYX199" s="2"/>
      <c r="IYY199" s="2"/>
      <c r="IYZ199" s="2"/>
      <c r="IZA199" s="2"/>
      <c r="IZB199" s="2"/>
      <c r="IZC199" s="2"/>
      <c r="IZD199" s="2"/>
      <c r="IZE199" s="2"/>
      <c r="IZF199" s="2"/>
      <c r="IZG199" s="2"/>
      <c r="IZH199" s="2"/>
      <c r="IZI199" s="2"/>
      <c r="IZJ199" s="2"/>
      <c r="IZK199" s="2"/>
      <c r="IZL199" s="2"/>
      <c r="IZM199" s="2"/>
      <c r="IZN199" s="2"/>
      <c r="IZO199" s="2"/>
      <c r="IZP199" s="2"/>
      <c r="IZQ199" s="2"/>
      <c r="IZR199" s="2"/>
      <c r="IZS199" s="2"/>
      <c r="IZT199" s="2"/>
      <c r="IZU199" s="2"/>
      <c r="IZV199" s="2"/>
      <c r="IZW199" s="2"/>
      <c r="IZX199" s="2"/>
      <c r="IZY199" s="2"/>
      <c r="IZZ199" s="2"/>
      <c r="JAA199" s="2"/>
      <c r="JAB199" s="2"/>
      <c r="JAC199" s="2"/>
      <c r="JAD199" s="2"/>
      <c r="JAE199" s="2"/>
      <c r="JAF199" s="2"/>
      <c r="JAG199" s="2"/>
      <c r="JAH199" s="2"/>
      <c r="JAI199" s="2"/>
      <c r="JAJ199" s="2"/>
      <c r="JAK199" s="2"/>
      <c r="JAL199" s="2"/>
      <c r="JAM199" s="2"/>
      <c r="JAN199" s="2"/>
      <c r="JAO199" s="2"/>
      <c r="JAP199" s="2"/>
      <c r="JAQ199" s="2"/>
      <c r="JAR199" s="2"/>
      <c r="JAS199" s="2"/>
      <c r="JAT199" s="2"/>
      <c r="JAU199" s="2"/>
      <c r="JAV199" s="2"/>
      <c r="JAW199" s="2"/>
      <c r="JAX199" s="2"/>
      <c r="JAY199" s="2"/>
      <c r="JAZ199" s="2"/>
      <c r="JBA199" s="2"/>
      <c r="JBB199" s="2"/>
      <c r="JBC199" s="2"/>
      <c r="JBD199" s="2"/>
      <c r="JBE199" s="2"/>
      <c r="JBF199" s="2"/>
      <c r="JBG199" s="2"/>
      <c r="JBH199" s="2"/>
      <c r="JBI199" s="2"/>
      <c r="JBJ199" s="2"/>
      <c r="JBK199" s="2"/>
      <c r="JBL199" s="2"/>
      <c r="JBM199" s="2"/>
      <c r="JBN199" s="2"/>
      <c r="JBO199" s="2"/>
      <c r="JBP199" s="2"/>
      <c r="JBQ199" s="2"/>
      <c r="JBR199" s="2"/>
      <c r="JBS199" s="2"/>
      <c r="JBT199" s="2"/>
      <c r="JBU199" s="2"/>
      <c r="JBV199" s="2"/>
      <c r="JBW199" s="2"/>
      <c r="JBX199" s="2"/>
      <c r="JBY199" s="2"/>
      <c r="JBZ199" s="2"/>
      <c r="JCA199" s="2"/>
      <c r="JCB199" s="2"/>
      <c r="JCC199" s="2"/>
      <c r="JCD199" s="2"/>
      <c r="JCE199" s="2"/>
      <c r="JCF199" s="2"/>
      <c r="JCG199" s="2"/>
      <c r="JCH199" s="2"/>
      <c r="JCI199" s="2"/>
      <c r="JCJ199" s="2"/>
      <c r="JCK199" s="2"/>
      <c r="JCL199" s="2"/>
      <c r="JCM199" s="2"/>
      <c r="JCN199" s="2"/>
      <c r="JCO199" s="2"/>
      <c r="JCP199" s="2"/>
      <c r="JCQ199" s="2"/>
      <c r="JCR199" s="2"/>
      <c r="JCS199" s="2"/>
      <c r="JCT199" s="2"/>
      <c r="JCU199" s="2"/>
      <c r="JCV199" s="2"/>
      <c r="JCW199" s="2"/>
      <c r="JCX199" s="2"/>
      <c r="JCY199" s="2"/>
      <c r="JCZ199" s="2"/>
      <c r="JDA199" s="2"/>
      <c r="JDB199" s="2"/>
      <c r="JDC199" s="2"/>
      <c r="JDD199" s="2"/>
      <c r="JDE199" s="2"/>
      <c r="JDF199" s="2"/>
      <c r="JDG199" s="2"/>
      <c r="JDH199" s="2"/>
      <c r="JDI199" s="2"/>
      <c r="JDJ199" s="2"/>
      <c r="JDK199" s="2"/>
      <c r="JDL199" s="2"/>
      <c r="JDM199" s="2"/>
      <c r="JDN199" s="2"/>
      <c r="JDO199" s="2"/>
      <c r="JDP199" s="2"/>
      <c r="JDQ199" s="2"/>
      <c r="JDR199" s="2"/>
      <c r="JDS199" s="2"/>
      <c r="JDT199" s="2"/>
      <c r="JDU199" s="2"/>
      <c r="JDV199" s="2"/>
      <c r="JDW199" s="2"/>
      <c r="JDX199" s="2"/>
      <c r="JDY199" s="2"/>
      <c r="JDZ199" s="2"/>
      <c r="JEA199" s="2"/>
      <c r="JEB199" s="2"/>
      <c r="JEC199" s="2"/>
      <c r="JED199" s="2"/>
      <c r="JEE199" s="2"/>
      <c r="JEF199" s="2"/>
      <c r="JEG199" s="2"/>
      <c r="JEH199" s="2"/>
      <c r="JEI199" s="2"/>
      <c r="JEJ199" s="2"/>
      <c r="JEK199" s="2"/>
      <c r="JEL199" s="2"/>
      <c r="JEM199" s="2"/>
      <c r="JEN199" s="2"/>
      <c r="JEO199" s="2"/>
      <c r="JEP199" s="2"/>
      <c r="JEQ199" s="2"/>
      <c r="JER199" s="2"/>
      <c r="JES199" s="2"/>
      <c r="JET199" s="2"/>
      <c r="JEU199" s="2"/>
      <c r="JEV199" s="2"/>
      <c r="JEW199" s="2"/>
      <c r="JEX199" s="2"/>
      <c r="JEY199" s="2"/>
      <c r="JEZ199" s="2"/>
      <c r="JFA199" s="2"/>
      <c r="JFB199" s="2"/>
      <c r="JFC199" s="2"/>
      <c r="JFD199" s="2"/>
      <c r="JFE199" s="2"/>
      <c r="JFF199" s="2"/>
      <c r="JFG199" s="2"/>
      <c r="JFH199" s="2"/>
      <c r="JFI199" s="2"/>
      <c r="JFJ199" s="2"/>
      <c r="JFK199" s="2"/>
      <c r="JFL199" s="2"/>
      <c r="JFM199" s="2"/>
      <c r="JFN199" s="2"/>
      <c r="JFO199" s="2"/>
      <c r="JFP199" s="2"/>
      <c r="JFQ199" s="2"/>
      <c r="JFR199" s="2"/>
      <c r="JFS199" s="2"/>
      <c r="JFT199" s="2"/>
      <c r="JFU199" s="2"/>
      <c r="JFV199" s="2"/>
      <c r="JFW199" s="2"/>
      <c r="JFX199" s="2"/>
      <c r="JFY199" s="2"/>
      <c r="JFZ199" s="2"/>
      <c r="JGA199" s="2"/>
      <c r="JGB199" s="2"/>
      <c r="JGC199" s="2"/>
      <c r="JGD199" s="2"/>
      <c r="JGE199" s="2"/>
      <c r="JGF199" s="2"/>
      <c r="JGG199" s="2"/>
      <c r="JGH199" s="2"/>
      <c r="JGI199" s="2"/>
      <c r="JGJ199" s="2"/>
      <c r="JGK199" s="2"/>
      <c r="JGL199" s="2"/>
      <c r="JGM199" s="2"/>
      <c r="JGN199" s="2"/>
      <c r="JGO199" s="2"/>
      <c r="JGP199" s="2"/>
      <c r="JGQ199" s="2"/>
      <c r="JGR199" s="2"/>
      <c r="JGS199" s="2"/>
      <c r="JGT199" s="2"/>
      <c r="JGU199" s="2"/>
      <c r="JGV199" s="2"/>
      <c r="JGW199" s="2"/>
      <c r="JGX199" s="2"/>
      <c r="JGY199" s="2"/>
      <c r="JGZ199" s="2"/>
      <c r="JHA199" s="2"/>
      <c r="JHB199" s="2"/>
      <c r="JHC199" s="2"/>
      <c r="JHD199" s="2"/>
      <c r="JHE199" s="2"/>
      <c r="JHF199" s="2"/>
      <c r="JHG199" s="2"/>
      <c r="JHH199" s="2"/>
      <c r="JHI199" s="2"/>
      <c r="JHJ199" s="2"/>
      <c r="JHK199" s="2"/>
      <c r="JHL199" s="2"/>
      <c r="JHM199" s="2"/>
      <c r="JHN199" s="2"/>
      <c r="JHO199" s="2"/>
      <c r="JHP199" s="2"/>
      <c r="JHQ199" s="2"/>
      <c r="JHR199" s="2"/>
      <c r="JHS199" s="2"/>
      <c r="JHT199" s="2"/>
      <c r="JHU199" s="2"/>
      <c r="JHV199" s="2"/>
      <c r="JHW199" s="2"/>
      <c r="JHX199" s="2"/>
      <c r="JHY199" s="2"/>
      <c r="JHZ199" s="2"/>
      <c r="JIA199" s="2"/>
      <c r="JIB199" s="2"/>
      <c r="JIC199" s="2"/>
      <c r="JID199" s="2"/>
      <c r="JIE199" s="2"/>
      <c r="JIF199" s="2"/>
      <c r="JIG199" s="2"/>
      <c r="JIH199" s="2"/>
      <c r="JII199" s="2"/>
      <c r="JIJ199" s="2"/>
      <c r="JIK199" s="2"/>
      <c r="JIL199" s="2"/>
      <c r="JIM199" s="2"/>
      <c r="JIN199" s="2"/>
      <c r="JIO199" s="2"/>
      <c r="JIP199" s="2"/>
      <c r="JIQ199" s="2"/>
      <c r="JIR199" s="2"/>
      <c r="JIS199" s="2"/>
      <c r="JIT199" s="2"/>
      <c r="JIU199" s="2"/>
      <c r="JIV199" s="2"/>
      <c r="JIW199" s="2"/>
      <c r="JIX199" s="2"/>
      <c r="JIY199" s="2"/>
      <c r="JIZ199" s="2"/>
      <c r="JJA199" s="2"/>
      <c r="JJB199" s="2"/>
      <c r="JJC199" s="2"/>
      <c r="JJD199" s="2"/>
      <c r="JJE199" s="2"/>
      <c r="JJF199" s="2"/>
      <c r="JJG199" s="2"/>
      <c r="JJH199" s="2"/>
      <c r="JJI199" s="2"/>
      <c r="JJJ199" s="2"/>
      <c r="JJK199" s="2"/>
      <c r="JJL199" s="2"/>
      <c r="JJM199" s="2"/>
      <c r="JJN199" s="2"/>
      <c r="JJO199" s="2"/>
      <c r="JJP199" s="2"/>
      <c r="JJQ199" s="2"/>
      <c r="JJR199" s="2"/>
      <c r="JJS199" s="2"/>
      <c r="JJT199" s="2"/>
      <c r="JJU199" s="2"/>
      <c r="JJV199" s="2"/>
      <c r="JJW199" s="2"/>
      <c r="JJX199" s="2"/>
      <c r="JJY199" s="2"/>
      <c r="JJZ199" s="2"/>
      <c r="JKA199" s="2"/>
      <c r="JKB199" s="2"/>
      <c r="JKC199" s="2"/>
      <c r="JKD199" s="2"/>
      <c r="JKE199" s="2"/>
      <c r="JKF199" s="2"/>
      <c r="JKG199" s="2"/>
      <c r="JKH199" s="2"/>
      <c r="JKI199" s="2"/>
      <c r="JKJ199" s="2"/>
      <c r="JKK199" s="2"/>
      <c r="JKL199" s="2"/>
      <c r="JKM199" s="2"/>
      <c r="JKN199" s="2"/>
      <c r="JKO199" s="2"/>
      <c r="JKP199" s="2"/>
      <c r="JKQ199" s="2"/>
      <c r="JKR199" s="2"/>
      <c r="JKS199" s="2"/>
      <c r="JKT199" s="2"/>
      <c r="JKU199" s="2"/>
      <c r="JKV199" s="2"/>
      <c r="JKW199" s="2"/>
      <c r="JKX199" s="2"/>
      <c r="JKY199" s="2"/>
      <c r="JKZ199" s="2"/>
      <c r="JLA199" s="2"/>
      <c r="JLB199" s="2"/>
      <c r="JLC199" s="2"/>
      <c r="JLD199" s="2"/>
      <c r="JLE199" s="2"/>
      <c r="JLF199" s="2"/>
      <c r="JLG199" s="2"/>
      <c r="JLH199" s="2"/>
      <c r="JLI199" s="2"/>
      <c r="JLJ199" s="2"/>
      <c r="JLK199" s="2"/>
      <c r="JLL199" s="2"/>
      <c r="JLM199" s="2"/>
      <c r="JLN199" s="2"/>
      <c r="JLO199" s="2"/>
      <c r="JLP199" s="2"/>
      <c r="JLQ199" s="2"/>
      <c r="JLR199" s="2"/>
      <c r="JLS199" s="2"/>
      <c r="JLT199" s="2"/>
      <c r="JLU199" s="2"/>
      <c r="JLV199" s="2"/>
      <c r="JLW199" s="2"/>
      <c r="JLX199" s="2"/>
      <c r="JLY199" s="2"/>
      <c r="JLZ199" s="2"/>
      <c r="JMA199" s="2"/>
      <c r="JMB199" s="2"/>
      <c r="JMC199" s="2"/>
      <c r="JMD199" s="2"/>
      <c r="JME199" s="2"/>
      <c r="JMF199" s="2"/>
      <c r="JMG199" s="2"/>
      <c r="JMH199" s="2"/>
      <c r="JMI199" s="2"/>
      <c r="JMJ199" s="2"/>
      <c r="JMK199" s="2"/>
      <c r="JML199" s="2"/>
      <c r="JMM199" s="2"/>
      <c r="JMN199" s="2"/>
      <c r="JMO199" s="2"/>
      <c r="JMP199" s="2"/>
      <c r="JMQ199" s="2"/>
      <c r="JMR199" s="2"/>
      <c r="JMS199" s="2"/>
      <c r="JMT199" s="2"/>
      <c r="JMU199" s="2"/>
      <c r="JMV199" s="2"/>
      <c r="JMW199" s="2"/>
      <c r="JMX199" s="2"/>
      <c r="JMY199" s="2"/>
      <c r="JMZ199" s="2"/>
      <c r="JNA199" s="2"/>
      <c r="JNB199" s="2"/>
      <c r="JNC199" s="2"/>
      <c r="JND199" s="2"/>
      <c r="JNE199" s="2"/>
      <c r="JNF199" s="2"/>
      <c r="JNG199" s="2"/>
      <c r="JNH199" s="2"/>
      <c r="JNI199" s="2"/>
      <c r="JNJ199" s="2"/>
      <c r="JNK199" s="2"/>
      <c r="JNL199" s="2"/>
      <c r="JNM199" s="2"/>
      <c r="JNN199" s="2"/>
      <c r="JNO199" s="2"/>
      <c r="JNP199" s="2"/>
      <c r="JNQ199" s="2"/>
      <c r="JNR199" s="2"/>
      <c r="JNS199" s="2"/>
      <c r="JNT199" s="2"/>
      <c r="JNU199" s="2"/>
      <c r="JNV199" s="2"/>
      <c r="JNW199" s="2"/>
      <c r="JNX199" s="2"/>
      <c r="JNY199" s="2"/>
      <c r="JNZ199" s="2"/>
      <c r="JOA199" s="2"/>
      <c r="JOB199" s="2"/>
      <c r="JOC199" s="2"/>
      <c r="JOD199" s="2"/>
      <c r="JOE199" s="2"/>
      <c r="JOF199" s="2"/>
      <c r="JOG199" s="2"/>
      <c r="JOH199" s="2"/>
      <c r="JOI199" s="2"/>
      <c r="JOJ199" s="2"/>
      <c r="JOK199" s="2"/>
      <c r="JOL199" s="2"/>
      <c r="JOM199" s="2"/>
      <c r="JON199" s="2"/>
      <c r="JOO199" s="2"/>
      <c r="JOP199" s="2"/>
      <c r="JOQ199" s="2"/>
      <c r="JOR199" s="2"/>
      <c r="JOS199" s="2"/>
      <c r="JOT199" s="2"/>
      <c r="JOU199" s="2"/>
      <c r="JOV199" s="2"/>
      <c r="JOW199" s="2"/>
      <c r="JOX199" s="2"/>
      <c r="JOY199" s="2"/>
      <c r="JOZ199" s="2"/>
      <c r="JPA199" s="2"/>
      <c r="JPB199" s="2"/>
      <c r="JPC199" s="2"/>
      <c r="JPD199" s="2"/>
      <c r="JPE199" s="2"/>
      <c r="JPF199" s="2"/>
      <c r="JPG199" s="2"/>
      <c r="JPH199" s="2"/>
      <c r="JPI199" s="2"/>
      <c r="JPJ199" s="2"/>
      <c r="JPK199" s="2"/>
      <c r="JPL199" s="2"/>
      <c r="JPM199" s="2"/>
      <c r="JPN199" s="2"/>
      <c r="JPO199" s="2"/>
      <c r="JPP199" s="2"/>
      <c r="JPQ199" s="2"/>
      <c r="JPR199" s="2"/>
      <c r="JPS199" s="2"/>
      <c r="JPT199" s="2"/>
      <c r="JPU199" s="2"/>
      <c r="JPV199" s="2"/>
      <c r="JPW199" s="2"/>
      <c r="JPX199" s="2"/>
      <c r="JPY199" s="2"/>
      <c r="JPZ199" s="2"/>
      <c r="JQA199" s="2"/>
      <c r="JQB199" s="2"/>
      <c r="JQC199" s="2"/>
      <c r="JQD199" s="2"/>
      <c r="JQE199" s="2"/>
      <c r="JQF199" s="2"/>
      <c r="JQG199" s="2"/>
      <c r="JQH199" s="2"/>
      <c r="JQI199" s="2"/>
      <c r="JQJ199" s="2"/>
      <c r="JQK199" s="2"/>
      <c r="JQL199" s="2"/>
      <c r="JQM199" s="2"/>
      <c r="JQN199" s="2"/>
      <c r="JQO199" s="2"/>
      <c r="JQP199" s="2"/>
      <c r="JQQ199" s="2"/>
      <c r="JQR199" s="2"/>
      <c r="JQS199" s="2"/>
      <c r="JQT199" s="2"/>
      <c r="JQU199" s="2"/>
      <c r="JQV199" s="2"/>
      <c r="JQW199" s="2"/>
      <c r="JQX199" s="2"/>
      <c r="JQY199" s="2"/>
      <c r="JQZ199" s="2"/>
      <c r="JRA199" s="2"/>
      <c r="JRB199" s="2"/>
      <c r="JRC199" s="2"/>
      <c r="JRD199" s="2"/>
      <c r="JRE199" s="2"/>
      <c r="JRF199" s="2"/>
      <c r="JRG199" s="2"/>
      <c r="JRH199" s="2"/>
      <c r="JRI199" s="2"/>
      <c r="JRJ199" s="2"/>
      <c r="JRK199" s="2"/>
      <c r="JRL199" s="2"/>
      <c r="JRM199" s="2"/>
      <c r="JRN199" s="2"/>
      <c r="JRO199" s="2"/>
      <c r="JRP199" s="2"/>
      <c r="JRQ199" s="2"/>
      <c r="JRR199" s="2"/>
      <c r="JRS199" s="2"/>
      <c r="JRT199" s="2"/>
      <c r="JRU199" s="2"/>
      <c r="JRV199" s="2"/>
      <c r="JRW199" s="2"/>
      <c r="JRX199" s="2"/>
      <c r="JRY199" s="2"/>
      <c r="JRZ199" s="2"/>
      <c r="JSA199" s="2"/>
      <c r="JSB199" s="2"/>
      <c r="JSC199" s="2"/>
      <c r="JSD199" s="2"/>
      <c r="JSE199" s="2"/>
      <c r="JSF199" s="2"/>
      <c r="JSG199" s="2"/>
      <c r="JSH199" s="2"/>
      <c r="JSI199" s="2"/>
      <c r="JSJ199" s="2"/>
      <c r="JSK199" s="2"/>
      <c r="JSL199" s="2"/>
      <c r="JSM199" s="2"/>
      <c r="JSN199" s="2"/>
      <c r="JSO199" s="2"/>
      <c r="JSP199" s="2"/>
      <c r="JSQ199" s="2"/>
      <c r="JSR199" s="2"/>
      <c r="JSS199" s="2"/>
      <c r="JST199" s="2"/>
      <c r="JSU199" s="2"/>
      <c r="JSV199" s="2"/>
      <c r="JSW199" s="2"/>
      <c r="JSX199" s="2"/>
      <c r="JSY199" s="2"/>
      <c r="JSZ199" s="2"/>
      <c r="JTA199" s="2"/>
      <c r="JTB199" s="2"/>
      <c r="JTC199" s="2"/>
      <c r="JTD199" s="2"/>
      <c r="JTE199" s="2"/>
      <c r="JTF199" s="2"/>
      <c r="JTG199" s="2"/>
      <c r="JTH199" s="2"/>
      <c r="JTI199" s="2"/>
      <c r="JTJ199" s="2"/>
      <c r="JTK199" s="2"/>
      <c r="JTL199" s="2"/>
      <c r="JTM199" s="2"/>
      <c r="JTN199" s="2"/>
      <c r="JTO199" s="2"/>
      <c r="JTP199" s="2"/>
      <c r="JTQ199" s="2"/>
      <c r="JTR199" s="2"/>
      <c r="JTS199" s="2"/>
      <c r="JTT199" s="2"/>
      <c r="JTU199" s="2"/>
      <c r="JTV199" s="2"/>
      <c r="JTW199" s="2"/>
      <c r="JTX199" s="2"/>
      <c r="JTY199" s="2"/>
      <c r="JTZ199" s="2"/>
      <c r="JUA199" s="2"/>
      <c r="JUB199" s="2"/>
      <c r="JUC199" s="2"/>
      <c r="JUD199" s="2"/>
      <c r="JUE199" s="2"/>
      <c r="JUF199" s="2"/>
      <c r="JUG199" s="2"/>
      <c r="JUH199" s="2"/>
      <c r="JUI199" s="2"/>
      <c r="JUJ199" s="2"/>
      <c r="JUK199" s="2"/>
      <c r="JUL199" s="2"/>
      <c r="JUM199" s="2"/>
      <c r="JUN199" s="2"/>
      <c r="JUO199" s="2"/>
      <c r="JUP199" s="2"/>
      <c r="JUQ199" s="2"/>
      <c r="JUR199" s="2"/>
      <c r="JUS199" s="2"/>
      <c r="JUT199" s="2"/>
      <c r="JUU199" s="2"/>
      <c r="JUV199" s="2"/>
      <c r="JUW199" s="2"/>
      <c r="JUX199" s="2"/>
      <c r="JUY199" s="2"/>
      <c r="JUZ199" s="2"/>
      <c r="JVA199" s="2"/>
      <c r="JVB199" s="2"/>
      <c r="JVC199" s="2"/>
      <c r="JVD199" s="2"/>
      <c r="JVE199" s="2"/>
      <c r="JVF199" s="2"/>
      <c r="JVG199" s="2"/>
      <c r="JVH199" s="2"/>
      <c r="JVI199" s="2"/>
      <c r="JVJ199" s="2"/>
      <c r="JVK199" s="2"/>
      <c r="JVL199" s="2"/>
      <c r="JVM199" s="2"/>
      <c r="JVN199" s="2"/>
      <c r="JVO199" s="2"/>
      <c r="JVP199" s="2"/>
      <c r="JVQ199" s="2"/>
      <c r="JVR199" s="2"/>
      <c r="JVS199" s="2"/>
      <c r="JVT199" s="2"/>
      <c r="JVU199" s="2"/>
      <c r="JVV199" s="2"/>
      <c r="JVW199" s="2"/>
      <c r="JVX199" s="2"/>
      <c r="JVY199" s="2"/>
      <c r="JVZ199" s="2"/>
      <c r="JWA199" s="2"/>
      <c r="JWB199" s="2"/>
      <c r="JWC199" s="2"/>
      <c r="JWD199" s="2"/>
      <c r="JWE199" s="2"/>
      <c r="JWF199" s="2"/>
      <c r="JWG199" s="2"/>
      <c r="JWH199" s="2"/>
      <c r="JWI199" s="2"/>
      <c r="JWJ199" s="2"/>
      <c r="JWK199" s="2"/>
      <c r="JWL199" s="2"/>
      <c r="JWM199" s="2"/>
      <c r="JWN199" s="2"/>
      <c r="JWO199" s="2"/>
      <c r="JWP199" s="2"/>
      <c r="JWQ199" s="2"/>
      <c r="JWR199" s="2"/>
      <c r="JWS199" s="2"/>
      <c r="JWT199" s="2"/>
      <c r="JWU199" s="2"/>
      <c r="JWV199" s="2"/>
      <c r="JWW199" s="2"/>
      <c r="JWX199" s="2"/>
      <c r="JWY199" s="2"/>
      <c r="JWZ199" s="2"/>
      <c r="JXA199" s="2"/>
      <c r="JXB199" s="2"/>
      <c r="JXC199" s="2"/>
      <c r="JXD199" s="2"/>
      <c r="JXE199" s="2"/>
      <c r="JXF199" s="2"/>
      <c r="JXG199" s="2"/>
      <c r="JXH199" s="2"/>
      <c r="JXI199" s="2"/>
      <c r="JXJ199" s="2"/>
      <c r="JXK199" s="2"/>
      <c r="JXL199" s="2"/>
      <c r="JXM199" s="2"/>
      <c r="JXN199" s="2"/>
      <c r="JXO199" s="2"/>
      <c r="JXP199" s="2"/>
      <c r="JXQ199" s="2"/>
      <c r="JXR199" s="2"/>
      <c r="JXS199" s="2"/>
      <c r="JXT199" s="2"/>
      <c r="JXU199" s="2"/>
      <c r="JXV199" s="2"/>
      <c r="JXW199" s="2"/>
      <c r="JXX199" s="2"/>
      <c r="JXY199" s="2"/>
      <c r="JXZ199" s="2"/>
      <c r="JYA199" s="2"/>
      <c r="JYB199" s="2"/>
      <c r="JYC199" s="2"/>
      <c r="JYD199" s="2"/>
      <c r="JYE199" s="2"/>
      <c r="JYF199" s="2"/>
      <c r="JYG199" s="2"/>
      <c r="JYH199" s="2"/>
      <c r="JYI199" s="2"/>
      <c r="JYJ199" s="2"/>
      <c r="JYK199" s="2"/>
      <c r="JYL199" s="2"/>
      <c r="JYM199" s="2"/>
      <c r="JYN199" s="2"/>
      <c r="JYO199" s="2"/>
      <c r="JYP199" s="2"/>
      <c r="JYQ199" s="2"/>
      <c r="JYR199" s="2"/>
      <c r="JYS199" s="2"/>
      <c r="JYT199" s="2"/>
      <c r="JYU199" s="2"/>
      <c r="JYV199" s="2"/>
      <c r="JYW199" s="2"/>
      <c r="JYX199" s="2"/>
      <c r="JYY199" s="2"/>
      <c r="JYZ199" s="2"/>
      <c r="JZA199" s="2"/>
      <c r="JZB199" s="2"/>
      <c r="JZC199" s="2"/>
      <c r="JZD199" s="2"/>
      <c r="JZE199" s="2"/>
      <c r="JZF199" s="2"/>
      <c r="JZG199" s="2"/>
      <c r="JZH199" s="2"/>
      <c r="JZI199" s="2"/>
      <c r="JZJ199" s="2"/>
      <c r="JZK199" s="2"/>
      <c r="JZL199" s="2"/>
      <c r="JZM199" s="2"/>
      <c r="JZN199" s="2"/>
      <c r="JZO199" s="2"/>
      <c r="JZP199" s="2"/>
      <c r="JZQ199" s="2"/>
      <c r="JZR199" s="2"/>
      <c r="JZS199" s="2"/>
      <c r="JZT199" s="2"/>
      <c r="JZU199" s="2"/>
      <c r="JZV199" s="2"/>
      <c r="JZW199" s="2"/>
      <c r="JZX199" s="2"/>
      <c r="JZY199" s="2"/>
      <c r="JZZ199" s="2"/>
      <c r="KAA199" s="2"/>
      <c r="KAB199" s="2"/>
      <c r="KAC199" s="2"/>
      <c r="KAD199" s="2"/>
      <c r="KAE199" s="2"/>
      <c r="KAF199" s="2"/>
      <c r="KAG199" s="2"/>
      <c r="KAH199" s="2"/>
      <c r="KAI199" s="2"/>
      <c r="KAJ199" s="2"/>
      <c r="KAK199" s="2"/>
      <c r="KAL199" s="2"/>
      <c r="KAM199" s="2"/>
      <c r="KAN199" s="2"/>
      <c r="KAO199" s="2"/>
      <c r="KAP199" s="2"/>
      <c r="KAQ199" s="2"/>
      <c r="KAR199" s="2"/>
      <c r="KAS199" s="2"/>
      <c r="KAT199" s="2"/>
      <c r="KAU199" s="2"/>
      <c r="KAV199" s="2"/>
      <c r="KAW199" s="2"/>
      <c r="KAX199" s="2"/>
      <c r="KAY199" s="2"/>
      <c r="KAZ199" s="2"/>
      <c r="KBA199" s="2"/>
      <c r="KBB199" s="2"/>
      <c r="KBC199" s="2"/>
      <c r="KBD199" s="2"/>
      <c r="KBE199" s="2"/>
      <c r="KBF199" s="2"/>
      <c r="KBG199" s="2"/>
      <c r="KBH199" s="2"/>
      <c r="KBI199" s="2"/>
      <c r="KBJ199" s="2"/>
      <c r="KBK199" s="2"/>
      <c r="KBL199" s="2"/>
      <c r="KBM199" s="2"/>
      <c r="KBN199" s="2"/>
      <c r="KBO199" s="2"/>
      <c r="KBP199" s="2"/>
      <c r="KBQ199" s="2"/>
      <c r="KBR199" s="2"/>
      <c r="KBS199" s="2"/>
      <c r="KBT199" s="2"/>
      <c r="KBU199" s="2"/>
      <c r="KBV199" s="2"/>
      <c r="KBW199" s="2"/>
      <c r="KBX199" s="2"/>
      <c r="KBY199" s="2"/>
      <c r="KBZ199" s="2"/>
      <c r="KCA199" s="2"/>
      <c r="KCB199" s="2"/>
      <c r="KCC199" s="2"/>
      <c r="KCD199" s="2"/>
      <c r="KCE199" s="2"/>
      <c r="KCF199" s="2"/>
      <c r="KCG199" s="2"/>
      <c r="KCH199" s="2"/>
      <c r="KCI199" s="2"/>
      <c r="KCJ199" s="2"/>
      <c r="KCK199" s="2"/>
      <c r="KCL199" s="2"/>
      <c r="KCM199" s="2"/>
      <c r="KCN199" s="2"/>
      <c r="KCO199" s="2"/>
      <c r="KCP199" s="2"/>
      <c r="KCQ199" s="2"/>
      <c r="KCR199" s="2"/>
      <c r="KCS199" s="2"/>
      <c r="KCT199" s="2"/>
      <c r="KCU199" s="2"/>
      <c r="KCV199" s="2"/>
      <c r="KCW199" s="2"/>
      <c r="KCX199" s="2"/>
      <c r="KCY199" s="2"/>
      <c r="KCZ199" s="2"/>
      <c r="KDA199" s="2"/>
      <c r="KDB199" s="2"/>
      <c r="KDC199" s="2"/>
      <c r="KDD199" s="2"/>
      <c r="KDE199" s="2"/>
      <c r="KDF199" s="2"/>
      <c r="KDG199" s="2"/>
      <c r="KDH199" s="2"/>
      <c r="KDI199" s="2"/>
      <c r="KDJ199" s="2"/>
      <c r="KDK199" s="2"/>
      <c r="KDL199" s="2"/>
      <c r="KDM199" s="2"/>
      <c r="KDN199" s="2"/>
      <c r="KDO199" s="2"/>
      <c r="KDP199" s="2"/>
      <c r="KDQ199" s="2"/>
      <c r="KDR199" s="2"/>
      <c r="KDS199" s="2"/>
      <c r="KDT199" s="2"/>
      <c r="KDU199" s="2"/>
      <c r="KDV199" s="2"/>
      <c r="KDW199" s="2"/>
      <c r="KDX199" s="2"/>
      <c r="KDY199" s="2"/>
      <c r="KDZ199" s="2"/>
      <c r="KEA199" s="2"/>
      <c r="KEB199" s="2"/>
      <c r="KEC199" s="2"/>
      <c r="KED199" s="2"/>
      <c r="KEE199" s="2"/>
      <c r="KEF199" s="2"/>
      <c r="KEG199" s="2"/>
      <c r="KEH199" s="2"/>
      <c r="KEI199" s="2"/>
      <c r="KEJ199" s="2"/>
      <c r="KEK199" s="2"/>
      <c r="KEL199" s="2"/>
      <c r="KEM199" s="2"/>
      <c r="KEN199" s="2"/>
      <c r="KEO199" s="2"/>
      <c r="KEP199" s="2"/>
      <c r="KEQ199" s="2"/>
      <c r="KER199" s="2"/>
      <c r="KES199" s="2"/>
      <c r="KET199" s="2"/>
      <c r="KEU199" s="2"/>
      <c r="KEV199" s="2"/>
      <c r="KEW199" s="2"/>
      <c r="KEX199" s="2"/>
      <c r="KEY199" s="2"/>
      <c r="KEZ199" s="2"/>
      <c r="KFA199" s="2"/>
      <c r="KFB199" s="2"/>
      <c r="KFC199" s="2"/>
      <c r="KFD199" s="2"/>
      <c r="KFE199" s="2"/>
      <c r="KFF199" s="2"/>
      <c r="KFG199" s="2"/>
      <c r="KFH199" s="2"/>
      <c r="KFI199" s="2"/>
      <c r="KFJ199" s="2"/>
      <c r="KFK199" s="2"/>
      <c r="KFL199" s="2"/>
      <c r="KFM199" s="2"/>
      <c r="KFN199" s="2"/>
      <c r="KFO199" s="2"/>
      <c r="KFP199" s="2"/>
      <c r="KFQ199" s="2"/>
      <c r="KFR199" s="2"/>
      <c r="KFS199" s="2"/>
      <c r="KFT199" s="2"/>
      <c r="KFU199" s="2"/>
      <c r="KFV199" s="2"/>
      <c r="KFW199" s="2"/>
      <c r="KFX199" s="2"/>
      <c r="KFY199" s="2"/>
      <c r="KFZ199" s="2"/>
      <c r="KGA199" s="2"/>
      <c r="KGB199" s="2"/>
      <c r="KGC199" s="2"/>
      <c r="KGD199" s="2"/>
      <c r="KGE199" s="2"/>
      <c r="KGF199" s="2"/>
      <c r="KGG199" s="2"/>
      <c r="KGH199" s="2"/>
      <c r="KGI199" s="2"/>
      <c r="KGJ199" s="2"/>
      <c r="KGK199" s="2"/>
      <c r="KGL199" s="2"/>
      <c r="KGM199" s="2"/>
      <c r="KGN199" s="2"/>
      <c r="KGO199" s="2"/>
      <c r="KGP199" s="2"/>
      <c r="KGQ199" s="2"/>
      <c r="KGR199" s="2"/>
      <c r="KGS199" s="2"/>
      <c r="KGT199" s="2"/>
      <c r="KGU199" s="2"/>
      <c r="KGV199" s="2"/>
      <c r="KGW199" s="2"/>
      <c r="KGX199" s="2"/>
      <c r="KGY199" s="2"/>
      <c r="KGZ199" s="2"/>
      <c r="KHA199" s="2"/>
      <c r="KHB199" s="2"/>
      <c r="KHC199" s="2"/>
      <c r="KHD199" s="2"/>
      <c r="KHE199" s="2"/>
      <c r="KHF199" s="2"/>
      <c r="KHG199" s="2"/>
      <c r="KHH199" s="2"/>
      <c r="KHI199" s="2"/>
      <c r="KHJ199" s="2"/>
      <c r="KHK199" s="2"/>
      <c r="KHL199" s="2"/>
      <c r="KHM199" s="2"/>
      <c r="KHN199" s="2"/>
      <c r="KHO199" s="2"/>
      <c r="KHP199" s="2"/>
      <c r="KHQ199" s="2"/>
      <c r="KHR199" s="2"/>
      <c r="KHS199" s="2"/>
      <c r="KHT199" s="2"/>
      <c r="KHU199" s="2"/>
      <c r="KHV199" s="2"/>
      <c r="KHW199" s="2"/>
      <c r="KHX199" s="2"/>
      <c r="KHY199" s="2"/>
      <c r="KHZ199" s="2"/>
      <c r="KIA199" s="2"/>
      <c r="KIB199" s="2"/>
      <c r="KIC199" s="2"/>
      <c r="KID199" s="2"/>
      <c r="KIE199" s="2"/>
      <c r="KIF199" s="2"/>
      <c r="KIG199" s="2"/>
      <c r="KIH199" s="2"/>
      <c r="KII199" s="2"/>
      <c r="KIJ199" s="2"/>
      <c r="KIK199" s="2"/>
      <c r="KIL199" s="2"/>
      <c r="KIM199" s="2"/>
      <c r="KIN199" s="2"/>
      <c r="KIO199" s="2"/>
      <c r="KIP199" s="2"/>
      <c r="KIQ199" s="2"/>
      <c r="KIR199" s="2"/>
      <c r="KIS199" s="2"/>
      <c r="KIT199" s="2"/>
      <c r="KIU199" s="2"/>
      <c r="KIV199" s="2"/>
      <c r="KIW199" s="2"/>
      <c r="KIX199" s="2"/>
      <c r="KIY199" s="2"/>
      <c r="KIZ199" s="2"/>
      <c r="KJA199" s="2"/>
      <c r="KJB199" s="2"/>
      <c r="KJC199" s="2"/>
      <c r="KJD199" s="2"/>
      <c r="KJE199" s="2"/>
      <c r="KJF199" s="2"/>
      <c r="KJG199" s="2"/>
      <c r="KJH199" s="2"/>
      <c r="KJI199" s="2"/>
      <c r="KJJ199" s="2"/>
      <c r="KJK199" s="2"/>
      <c r="KJL199" s="2"/>
      <c r="KJM199" s="2"/>
      <c r="KJN199" s="2"/>
      <c r="KJO199" s="2"/>
      <c r="KJP199" s="2"/>
      <c r="KJQ199" s="2"/>
      <c r="KJR199" s="2"/>
      <c r="KJS199" s="2"/>
      <c r="KJT199" s="2"/>
      <c r="KJU199" s="2"/>
      <c r="KJV199" s="2"/>
      <c r="KJW199" s="2"/>
      <c r="KJX199" s="2"/>
      <c r="KJY199" s="2"/>
      <c r="KJZ199" s="2"/>
      <c r="KKA199" s="2"/>
      <c r="KKB199" s="2"/>
      <c r="KKC199" s="2"/>
      <c r="KKD199" s="2"/>
      <c r="KKE199" s="2"/>
      <c r="KKF199" s="2"/>
      <c r="KKG199" s="2"/>
      <c r="KKH199" s="2"/>
      <c r="KKI199" s="2"/>
      <c r="KKJ199" s="2"/>
      <c r="KKK199" s="2"/>
      <c r="KKL199" s="2"/>
      <c r="KKM199" s="2"/>
      <c r="KKN199" s="2"/>
      <c r="KKO199" s="2"/>
      <c r="KKP199" s="2"/>
      <c r="KKQ199" s="2"/>
      <c r="KKR199" s="2"/>
      <c r="KKS199" s="2"/>
      <c r="KKT199" s="2"/>
      <c r="KKU199" s="2"/>
      <c r="KKV199" s="2"/>
      <c r="KKW199" s="2"/>
      <c r="KKX199" s="2"/>
      <c r="KKY199" s="2"/>
      <c r="KKZ199" s="2"/>
      <c r="KLA199" s="2"/>
      <c r="KLB199" s="2"/>
      <c r="KLC199" s="2"/>
      <c r="KLD199" s="2"/>
      <c r="KLE199" s="2"/>
      <c r="KLF199" s="2"/>
      <c r="KLG199" s="2"/>
      <c r="KLH199" s="2"/>
      <c r="KLI199" s="2"/>
      <c r="KLJ199" s="2"/>
      <c r="KLK199" s="2"/>
      <c r="KLL199" s="2"/>
      <c r="KLM199" s="2"/>
      <c r="KLN199" s="2"/>
      <c r="KLO199" s="2"/>
      <c r="KLP199" s="2"/>
      <c r="KLQ199" s="2"/>
      <c r="KLR199" s="2"/>
      <c r="KLS199" s="2"/>
      <c r="KLT199" s="2"/>
      <c r="KLU199" s="2"/>
      <c r="KLV199" s="2"/>
      <c r="KLW199" s="2"/>
      <c r="KLX199" s="2"/>
      <c r="KLY199" s="2"/>
      <c r="KLZ199" s="2"/>
      <c r="KMA199" s="2"/>
      <c r="KMB199" s="2"/>
      <c r="KMC199" s="2"/>
      <c r="KMD199" s="2"/>
      <c r="KME199" s="2"/>
      <c r="KMF199" s="2"/>
      <c r="KMG199" s="2"/>
      <c r="KMH199" s="2"/>
      <c r="KMI199" s="2"/>
      <c r="KMJ199" s="2"/>
      <c r="KMK199" s="2"/>
      <c r="KML199" s="2"/>
      <c r="KMM199" s="2"/>
      <c r="KMN199" s="2"/>
      <c r="KMO199" s="2"/>
      <c r="KMP199" s="2"/>
      <c r="KMQ199" s="2"/>
      <c r="KMR199" s="2"/>
      <c r="KMS199" s="2"/>
      <c r="KMT199" s="2"/>
      <c r="KMU199" s="2"/>
      <c r="KMV199" s="2"/>
      <c r="KMW199" s="2"/>
      <c r="KMX199" s="2"/>
      <c r="KMY199" s="2"/>
      <c r="KMZ199" s="2"/>
      <c r="KNA199" s="2"/>
      <c r="KNB199" s="2"/>
      <c r="KNC199" s="2"/>
      <c r="KND199" s="2"/>
      <c r="KNE199" s="2"/>
      <c r="KNF199" s="2"/>
      <c r="KNG199" s="2"/>
      <c r="KNH199" s="2"/>
      <c r="KNI199" s="2"/>
      <c r="KNJ199" s="2"/>
      <c r="KNK199" s="2"/>
      <c r="KNL199" s="2"/>
      <c r="KNM199" s="2"/>
      <c r="KNN199" s="2"/>
      <c r="KNO199" s="2"/>
      <c r="KNP199" s="2"/>
      <c r="KNQ199" s="2"/>
      <c r="KNR199" s="2"/>
      <c r="KNS199" s="2"/>
      <c r="KNT199" s="2"/>
      <c r="KNU199" s="2"/>
      <c r="KNV199" s="2"/>
      <c r="KNW199" s="2"/>
      <c r="KNX199" s="2"/>
      <c r="KNY199" s="2"/>
      <c r="KNZ199" s="2"/>
      <c r="KOA199" s="2"/>
      <c r="KOB199" s="2"/>
      <c r="KOC199" s="2"/>
      <c r="KOD199" s="2"/>
      <c r="KOE199" s="2"/>
      <c r="KOF199" s="2"/>
      <c r="KOG199" s="2"/>
      <c r="KOH199" s="2"/>
      <c r="KOI199" s="2"/>
      <c r="KOJ199" s="2"/>
      <c r="KOK199" s="2"/>
      <c r="KOL199" s="2"/>
      <c r="KOM199" s="2"/>
      <c r="KON199" s="2"/>
      <c r="KOO199" s="2"/>
      <c r="KOP199" s="2"/>
      <c r="KOQ199" s="2"/>
      <c r="KOR199" s="2"/>
      <c r="KOS199" s="2"/>
      <c r="KOT199" s="2"/>
      <c r="KOU199" s="2"/>
      <c r="KOV199" s="2"/>
      <c r="KOW199" s="2"/>
      <c r="KOX199" s="2"/>
      <c r="KOY199" s="2"/>
      <c r="KOZ199" s="2"/>
      <c r="KPA199" s="2"/>
      <c r="KPB199" s="2"/>
      <c r="KPC199" s="2"/>
      <c r="KPD199" s="2"/>
      <c r="KPE199" s="2"/>
      <c r="KPF199" s="2"/>
      <c r="KPG199" s="2"/>
      <c r="KPH199" s="2"/>
      <c r="KPI199" s="2"/>
      <c r="KPJ199" s="2"/>
      <c r="KPK199" s="2"/>
      <c r="KPL199" s="2"/>
      <c r="KPM199" s="2"/>
      <c r="KPN199" s="2"/>
      <c r="KPO199" s="2"/>
      <c r="KPP199" s="2"/>
      <c r="KPQ199" s="2"/>
      <c r="KPR199" s="2"/>
      <c r="KPS199" s="2"/>
      <c r="KPT199" s="2"/>
      <c r="KPU199" s="2"/>
      <c r="KPV199" s="2"/>
      <c r="KPW199" s="2"/>
      <c r="KPX199" s="2"/>
      <c r="KPY199" s="2"/>
      <c r="KPZ199" s="2"/>
      <c r="KQA199" s="2"/>
      <c r="KQB199" s="2"/>
      <c r="KQC199" s="2"/>
      <c r="KQD199" s="2"/>
      <c r="KQE199" s="2"/>
      <c r="KQF199" s="2"/>
      <c r="KQG199" s="2"/>
      <c r="KQH199" s="2"/>
      <c r="KQI199" s="2"/>
      <c r="KQJ199" s="2"/>
      <c r="KQK199" s="2"/>
      <c r="KQL199" s="2"/>
      <c r="KQM199" s="2"/>
      <c r="KQN199" s="2"/>
      <c r="KQO199" s="2"/>
      <c r="KQP199" s="2"/>
      <c r="KQQ199" s="2"/>
      <c r="KQR199" s="2"/>
      <c r="KQS199" s="2"/>
      <c r="KQT199" s="2"/>
      <c r="KQU199" s="2"/>
      <c r="KQV199" s="2"/>
      <c r="KQW199" s="2"/>
      <c r="KQX199" s="2"/>
      <c r="KQY199" s="2"/>
      <c r="KQZ199" s="2"/>
      <c r="KRA199" s="2"/>
      <c r="KRB199" s="2"/>
      <c r="KRC199" s="2"/>
      <c r="KRD199" s="2"/>
      <c r="KRE199" s="2"/>
      <c r="KRF199" s="2"/>
      <c r="KRG199" s="2"/>
      <c r="KRH199" s="2"/>
      <c r="KRI199" s="2"/>
      <c r="KRJ199" s="2"/>
      <c r="KRK199" s="2"/>
      <c r="KRL199" s="2"/>
      <c r="KRM199" s="2"/>
      <c r="KRN199" s="2"/>
      <c r="KRO199" s="2"/>
      <c r="KRP199" s="2"/>
      <c r="KRQ199" s="2"/>
      <c r="KRR199" s="2"/>
      <c r="KRS199" s="2"/>
      <c r="KRT199" s="2"/>
      <c r="KRU199" s="2"/>
      <c r="KRV199" s="2"/>
      <c r="KRW199" s="2"/>
      <c r="KRX199" s="2"/>
      <c r="KRY199" s="2"/>
      <c r="KRZ199" s="2"/>
      <c r="KSA199" s="2"/>
      <c r="KSB199" s="2"/>
      <c r="KSC199" s="2"/>
      <c r="KSD199" s="2"/>
      <c r="KSE199" s="2"/>
      <c r="KSF199" s="2"/>
      <c r="KSG199" s="2"/>
      <c r="KSH199" s="2"/>
      <c r="KSI199" s="2"/>
      <c r="KSJ199" s="2"/>
      <c r="KSK199" s="2"/>
      <c r="KSL199" s="2"/>
      <c r="KSM199" s="2"/>
      <c r="KSN199" s="2"/>
      <c r="KSO199" s="2"/>
      <c r="KSP199" s="2"/>
      <c r="KSQ199" s="2"/>
      <c r="KSR199" s="2"/>
      <c r="KSS199" s="2"/>
      <c r="KST199" s="2"/>
      <c r="KSU199" s="2"/>
      <c r="KSV199" s="2"/>
      <c r="KSW199" s="2"/>
      <c r="KSX199" s="2"/>
      <c r="KSY199" s="2"/>
      <c r="KSZ199" s="2"/>
      <c r="KTA199" s="2"/>
      <c r="KTB199" s="2"/>
      <c r="KTC199" s="2"/>
      <c r="KTD199" s="2"/>
      <c r="KTE199" s="2"/>
      <c r="KTF199" s="2"/>
      <c r="KTG199" s="2"/>
      <c r="KTH199" s="2"/>
      <c r="KTI199" s="2"/>
      <c r="KTJ199" s="2"/>
      <c r="KTK199" s="2"/>
      <c r="KTL199" s="2"/>
      <c r="KTM199" s="2"/>
      <c r="KTN199" s="2"/>
      <c r="KTO199" s="2"/>
      <c r="KTP199" s="2"/>
      <c r="KTQ199" s="2"/>
      <c r="KTR199" s="2"/>
      <c r="KTS199" s="2"/>
      <c r="KTT199" s="2"/>
      <c r="KTU199" s="2"/>
      <c r="KTV199" s="2"/>
      <c r="KTW199" s="2"/>
      <c r="KTX199" s="2"/>
      <c r="KTY199" s="2"/>
      <c r="KTZ199" s="2"/>
      <c r="KUA199" s="2"/>
      <c r="KUB199" s="2"/>
      <c r="KUC199" s="2"/>
      <c r="KUD199" s="2"/>
      <c r="KUE199" s="2"/>
      <c r="KUF199" s="2"/>
      <c r="KUG199" s="2"/>
      <c r="KUH199" s="2"/>
      <c r="KUI199" s="2"/>
      <c r="KUJ199" s="2"/>
      <c r="KUK199" s="2"/>
      <c r="KUL199" s="2"/>
      <c r="KUM199" s="2"/>
      <c r="KUN199" s="2"/>
      <c r="KUO199" s="2"/>
      <c r="KUP199" s="2"/>
      <c r="KUQ199" s="2"/>
      <c r="KUR199" s="2"/>
      <c r="KUS199" s="2"/>
      <c r="KUT199" s="2"/>
      <c r="KUU199" s="2"/>
      <c r="KUV199" s="2"/>
      <c r="KUW199" s="2"/>
      <c r="KUX199" s="2"/>
      <c r="KUY199" s="2"/>
      <c r="KUZ199" s="2"/>
      <c r="KVA199" s="2"/>
      <c r="KVB199" s="2"/>
      <c r="KVC199" s="2"/>
      <c r="KVD199" s="2"/>
      <c r="KVE199" s="2"/>
      <c r="KVF199" s="2"/>
      <c r="KVG199" s="2"/>
      <c r="KVH199" s="2"/>
      <c r="KVI199" s="2"/>
      <c r="KVJ199" s="2"/>
      <c r="KVK199" s="2"/>
      <c r="KVL199" s="2"/>
      <c r="KVM199" s="2"/>
      <c r="KVN199" s="2"/>
      <c r="KVO199" s="2"/>
      <c r="KVP199" s="2"/>
      <c r="KVQ199" s="2"/>
      <c r="KVR199" s="2"/>
      <c r="KVS199" s="2"/>
      <c r="KVT199" s="2"/>
      <c r="KVU199" s="2"/>
      <c r="KVV199" s="2"/>
      <c r="KVW199" s="2"/>
      <c r="KVX199" s="2"/>
      <c r="KVY199" s="2"/>
      <c r="KVZ199" s="2"/>
      <c r="KWA199" s="2"/>
      <c r="KWB199" s="2"/>
      <c r="KWC199" s="2"/>
      <c r="KWD199" s="2"/>
      <c r="KWE199" s="2"/>
      <c r="KWF199" s="2"/>
      <c r="KWG199" s="2"/>
      <c r="KWH199" s="2"/>
      <c r="KWI199" s="2"/>
      <c r="KWJ199" s="2"/>
      <c r="KWK199" s="2"/>
      <c r="KWL199" s="2"/>
      <c r="KWM199" s="2"/>
      <c r="KWN199" s="2"/>
      <c r="KWO199" s="2"/>
      <c r="KWP199" s="2"/>
      <c r="KWQ199" s="2"/>
      <c r="KWR199" s="2"/>
      <c r="KWS199" s="2"/>
      <c r="KWT199" s="2"/>
      <c r="KWU199" s="2"/>
      <c r="KWV199" s="2"/>
      <c r="KWW199" s="2"/>
      <c r="KWX199" s="2"/>
      <c r="KWY199" s="2"/>
      <c r="KWZ199" s="2"/>
      <c r="KXA199" s="2"/>
      <c r="KXB199" s="2"/>
      <c r="KXC199" s="2"/>
      <c r="KXD199" s="2"/>
      <c r="KXE199" s="2"/>
      <c r="KXF199" s="2"/>
      <c r="KXG199" s="2"/>
      <c r="KXH199" s="2"/>
      <c r="KXI199" s="2"/>
      <c r="KXJ199" s="2"/>
      <c r="KXK199" s="2"/>
      <c r="KXL199" s="2"/>
      <c r="KXM199" s="2"/>
      <c r="KXN199" s="2"/>
      <c r="KXO199" s="2"/>
      <c r="KXP199" s="2"/>
      <c r="KXQ199" s="2"/>
      <c r="KXR199" s="2"/>
      <c r="KXS199" s="2"/>
      <c r="KXT199" s="2"/>
      <c r="KXU199" s="2"/>
      <c r="KXV199" s="2"/>
      <c r="KXW199" s="2"/>
      <c r="KXX199" s="2"/>
      <c r="KXY199" s="2"/>
      <c r="KXZ199" s="2"/>
      <c r="KYA199" s="2"/>
      <c r="KYB199" s="2"/>
      <c r="KYC199" s="2"/>
      <c r="KYD199" s="2"/>
      <c r="KYE199" s="2"/>
      <c r="KYF199" s="2"/>
      <c r="KYG199" s="2"/>
      <c r="KYH199" s="2"/>
      <c r="KYI199" s="2"/>
      <c r="KYJ199" s="2"/>
      <c r="KYK199" s="2"/>
      <c r="KYL199" s="2"/>
      <c r="KYM199" s="2"/>
      <c r="KYN199" s="2"/>
      <c r="KYO199" s="2"/>
      <c r="KYP199" s="2"/>
      <c r="KYQ199" s="2"/>
      <c r="KYR199" s="2"/>
      <c r="KYS199" s="2"/>
      <c r="KYT199" s="2"/>
      <c r="KYU199" s="2"/>
      <c r="KYV199" s="2"/>
      <c r="KYW199" s="2"/>
      <c r="KYX199" s="2"/>
      <c r="KYY199" s="2"/>
      <c r="KYZ199" s="2"/>
      <c r="KZA199" s="2"/>
      <c r="KZB199" s="2"/>
      <c r="KZC199" s="2"/>
      <c r="KZD199" s="2"/>
      <c r="KZE199" s="2"/>
      <c r="KZF199" s="2"/>
      <c r="KZG199" s="2"/>
      <c r="KZH199" s="2"/>
      <c r="KZI199" s="2"/>
      <c r="KZJ199" s="2"/>
      <c r="KZK199" s="2"/>
      <c r="KZL199" s="2"/>
      <c r="KZM199" s="2"/>
      <c r="KZN199" s="2"/>
      <c r="KZO199" s="2"/>
      <c r="KZP199" s="2"/>
      <c r="KZQ199" s="2"/>
      <c r="KZR199" s="2"/>
      <c r="KZS199" s="2"/>
      <c r="KZT199" s="2"/>
      <c r="KZU199" s="2"/>
      <c r="KZV199" s="2"/>
      <c r="KZW199" s="2"/>
      <c r="KZX199" s="2"/>
      <c r="KZY199" s="2"/>
      <c r="KZZ199" s="2"/>
      <c r="LAA199" s="2"/>
      <c r="LAB199" s="2"/>
      <c r="LAC199" s="2"/>
      <c r="LAD199" s="2"/>
      <c r="LAE199" s="2"/>
      <c r="LAF199" s="2"/>
      <c r="LAG199" s="2"/>
      <c r="LAH199" s="2"/>
      <c r="LAI199" s="2"/>
      <c r="LAJ199" s="2"/>
      <c r="LAK199" s="2"/>
      <c r="LAL199" s="2"/>
      <c r="LAM199" s="2"/>
      <c r="LAN199" s="2"/>
      <c r="LAO199" s="2"/>
      <c r="LAP199" s="2"/>
      <c r="LAQ199" s="2"/>
      <c r="LAR199" s="2"/>
      <c r="LAS199" s="2"/>
      <c r="LAT199" s="2"/>
      <c r="LAU199" s="2"/>
      <c r="LAV199" s="2"/>
      <c r="LAW199" s="2"/>
      <c r="LAX199" s="2"/>
      <c r="LAY199" s="2"/>
      <c r="LAZ199" s="2"/>
      <c r="LBA199" s="2"/>
      <c r="LBB199" s="2"/>
      <c r="LBC199" s="2"/>
      <c r="LBD199" s="2"/>
      <c r="LBE199" s="2"/>
      <c r="LBF199" s="2"/>
      <c r="LBG199" s="2"/>
      <c r="LBH199" s="2"/>
      <c r="LBI199" s="2"/>
      <c r="LBJ199" s="2"/>
      <c r="LBK199" s="2"/>
      <c r="LBL199" s="2"/>
      <c r="LBM199" s="2"/>
      <c r="LBN199" s="2"/>
      <c r="LBO199" s="2"/>
      <c r="LBP199" s="2"/>
      <c r="LBQ199" s="2"/>
      <c r="LBR199" s="2"/>
      <c r="LBS199" s="2"/>
      <c r="LBT199" s="2"/>
      <c r="LBU199" s="2"/>
      <c r="LBV199" s="2"/>
      <c r="LBW199" s="2"/>
      <c r="LBX199" s="2"/>
      <c r="LBY199" s="2"/>
      <c r="LBZ199" s="2"/>
      <c r="LCA199" s="2"/>
      <c r="LCB199" s="2"/>
      <c r="LCC199" s="2"/>
      <c r="LCD199" s="2"/>
      <c r="LCE199" s="2"/>
      <c r="LCF199" s="2"/>
      <c r="LCG199" s="2"/>
      <c r="LCH199" s="2"/>
      <c r="LCI199" s="2"/>
      <c r="LCJ199" s="2"/>
      <c r="LCK199" s="2"/>
      <c r="LCL199" s="2"/>
      <c r="LCM199" s="2"/>
      <c r="LCN199" s="2"/>
      <c r="LCO199" s="2"/>
      <c r="LCP199" s="2"/>
      <c r="LCQ199" s="2"/>
      <c r="LCR199" s="2"/>
      <c r="LCS199" s="2"/>
      <c r="LCT199" s="2"/>
      <c r="LCU199" s="2"/>
      <c r="LCV199" s="2"/>
      <c r="LCW199" s="2"/>
      <c r="LCX199" s="2"/>
      <c r="LCY199" s="2"/>
      <c r="LCZ199" s="2"/>
      <c r="LDA199" s="2"/>
      <c r="LDB199" s="2"/>
      <c r="LDC199" s="2"/>
      <c r="LDD199" s="2"/>
      <c r="LDE199" s="2"/>
      <c r="LDF199" s="2"/>
      <c r="LDG199" s="2"/>
      <c r="LDH199" s="2"/>
      <c r="LDI199" s="2"/>
      <c r="LDJ199" s="2"/>
      <c r="LDK199" s="2"/>
      <c r="LDL199" s="2"/>
      <c r="LDM199" s="2"/>
      <c r="LDN199" s="2"/>
      <c r="LDO199" s="2"/>
      <c r="LDP199" s="2"/>
      <c r="LDQ199" s="2"/>
      <c r="LDR199" s="2"/>
      <c r="LDS199" s="2"/>
      <c r="LDT199" s="2"/>
      <c r="LDU199" s="2"/>
      <c r="LDV199" s="2"/>
      <c r="LDW199" s="2"/>
      <c r="LDX199" s="2"/>
      <c r="LDY199" s="2"/>
      <c r="LDZ199" s="2"/>
      <c r="LEA199" s="2"/>
      <c r="LEB199" s="2"/>
      <c r="LEC199" s="2"/>
      <c r="LED199" s="2"/>
      <c r="LEE199" s="2"/>
      <c r="LEF199" s="2"/>
      <c r="LEG199" s="2"/>
      <c r="LEH199" s="2"/>
      <c r="LEI199" s="2"/>
      <c r="LEJ199" s="2"/>
      <c r="LEK199" s="2"/>
      <c r="LEL199" s="2"/>
      <c r="LEM199" s="2"/>
      <c r="LEN199" s="2"/>
      <c r="LEO199" s="2"/>
      <c r="LEP199" s="2"/>
      <c r="LEQ199" s="2"/>
      <c r="LER199" s="2"/>
      <c r="LES199" s="2"/>
      <c r="LET199" s="2"/>
      <c r="LEU199" s="2"/>
      <c r="LEV199" s="2"/>
      <c r="LEW199" s="2"/>
      <c r="LEX199" s="2"/>
      <c r="LEY199" s="2"/>
      <c r="LEZ199" s="2"/>
      <c r="LFA199" s="2"/>
      <c r="LFB199" s="2"/>
      <c r="LFC199" s="2"/>
      <c r="LFD199" s="2"/>
      <c r="LFE199" s="2"/>
      <c r="LFF199" s="2"/>
      <c r="LFG199" s="2"/>
      <c r="LFH199" s="2"/>
      <c r="LFI199" s="2"/>
      <c r="LFJ199" s="2"/>
      <c r="LFK199" s="2"/>
      <c r="LFL199" s="2"/>
      <c r="LFM199" s="2"/>
      <c r="LFN199" s="2"/>
      <c r="LFO199" s="2"/>
      <c r="LFP199" s="2"/>
      <c r="LFQ199" s="2"/>
      <c r="LFR199" s="2"/>
      <c r="LFS199" s="2"/>
      <c r="LFT199" s="2"/>
      <c r="LFU199" s="2"/>
      <c r="LFV199" s="2"/>
      <c r="LFW199" s="2"/>
      <c r="LFX199" s="2"/>
      <c r="LFY199" s="2"/>
      <c r="LFZ199" s="2"/>
      <c r="LGA199" s="2"/>
      <c r="LGB199" s="2"/>
      <c r="LGC199" s="2"/>
      <c r="LGD199" s="2"/>
      <c r="LGE199" s="2"/>
      <c r="LGF199" s="2"/>
      <c r="LGG199" s="2"/>
      <c r="LGH199" s="2"/>
      <c r="LGI199" s="2"/>
      <c r="LGJ199" s="2"/>
      <c r="LGK199" s="2"/>
      <c r="LGL199" s="2"/>
      <c r="LGM199" s="2"/>
      <c r="LGN199" s="2"/>
      <c r="LGO199" s="2"/>
      <c r="LGP199" s="2"/>
      <c r="LGQ199" s="2"/>
      <c r="LGR199" s="2"/>
      <c r="LGS199" s="2"/>
      <c r="LGT199" s="2"/>
      <c r="LGU199" s="2"/>
      <c r="LGV199" s="2"/>
      <c r="LGW199" s="2"/>
      <c r="LGX199" s="2"/>
      <c r="LGY199" s="2"/>
      <c r="LGZ199" s="2"/>
      <c r="LHA199" s="2"/>
      <c r="LHB199" s="2"/>
      <c r="LHC199" s="2"/>
      <c r="LHD199" s="2"/>
      <c r="LHE199" s="2"/>
      <c r="LHF199" s="2"/>
      <c r="LHG199" s="2"/>
      <c r="LHH199" s="2"/>
      <c r="LHI199" s="2"/>
      <c r="LHJ199" s="2"/>
      <c r="LHK199" s="2"/>
      <c r="LHL199" s="2"/>
      <c r="LHM199" s="2"/>
      <c r="LHN199" s="2"/>
      <c r="LHO199" s="2"/>
      <c r="LHP199" s="2"/>
      <c r="LHQ199" s="2"/>
      <c r="LHR199" s="2"/>
      <c r="LHS199" s="2"/>
      <c r="LHT199" s="2"/>
      <c r="LHU199" s="2"/>
      <c r="LHV199" s="2"/>
      <c r="LHW199" s="2"/>
      <c r="LHX199" s="2"/>
      <c r="LHY199" s="2"/>
      <c r="LHZ199" s="2"/>
      <c r="LIA199" s="2"/>
      <c r="LIB199" s="2"/>
      <c r="LIC199" s="2"/>
      <c r="LID199" s="2"/>
      <c r="LIE199" s="2"/>
      <c r="LIF199" s="2"/>
      <c r="LIG199" s="2"/>
      <c r="LIH199" s="2"/>
      <c r="LII199" s="2"/>
      <c r="LIJ199" s="2"/>
      <c r="LIK199" s="2"/>
      <c r="LIL199" s="2"/>
      <c r="LIM199" s="2"/>
      <c r="LIN199" s="2"/>
      <c r="LIO199" s="2"/>
      <c r="LIP199" s="2"/>
      <c r="LIQ199" s="2"/>
      <c r="LIR199" s="2"/>
      <c r="LIS199" s="2"/>
      <c r="LIT199" s="2"/>
      <c r="LIU199" s="2"/>
      <c r="LIV199" s="2"/>
      <c r="LIW199" s="2"/>
      <c r="LIX199" s="2"/>
      <c r="LIY199" s="2"/>
      <c r="LIZ199" s="2"/>
      <c r="LJA199" s="2"/>
      <c r="LJB199" s="2"/>
      <c r="LJC199" s="2"/>
      <c r="LJD199" s="2"/>
      <c r="LJE199" s="2"/>
      <c r="LJF199" s="2"/>
      <c r="LJG199" s="2"/>
      <c r="LJH199" s="2"/>
      <c r="LJI199" s="2"/>
      <c r="LJJ199" s="2"/>
      <c r="LJK199" s="2"/>
      <c r="LJL199" s="2"/>
      <c r="LJM199" s="2"/>
      <c r="LJN199" s="2"/>
      <c r="LJO199" s="2"/>
      <c r="LJP199" s="2"/>
      <c r="LJQ199" s="2"/>
      <c r="LJR199" s="2"/>
      <c r="LJS199" s="2"/>
      <c r="LJT199" s="2"/>
      <c r="LJU199" s="2"/>
      <c r="LJV199" s="2"/>
      <c r="LJW199" s="2"/>
      <c r="LJX199" s="2"/>
      <c r="LJY199" s="2"/>
      <c r="LJZ199" s="2"/>
      <c r="LKA199" s="2"/>
      <c r="LKB199" s="2"/>
      <c r="LKC199" s="2"/>
      <c r="LKD199" s="2"/>
      <c r="LKE199" s="2"/>
      <c r="LKF199" s="2"/>
      <c r="LKG199" s="2"/>
      <c r="LKH199" s="2"/>
      <c r="LKI199" s="2"/>
      <c r="LKJ199" s="2"/>
      <c r="LKK199" s="2"/>
      <c r="LKL199" s="2"/>
      <c r="LKM199" s="2"/>
      <c r="LKN199" s="2"/>
      <c r="LKO199" s="2"/>
      <c r="LKP199" s="2"/>
      <c r="LKQ199" s="2"/>
      <c r="LKR199" s="2"/>
      <c r="LKS199" s="2"/>
      <c r="LKT199" s="2"/>
      <c r="LKU199" s="2"/>
      <c r="LKV199" s="2"/>
      <c r="LKW199" s="2"/>
      <c r="LKX199" s="2"/>
      <c r="LKY199" s="2"/>
      <c r="LKZ199" s="2"/>
      <c r="LLA199" s="2"/>
      <c r="LLB199" s="2"/>
      <c r="LLC199" s="2"/>
      <c r="LLD199" s="2"/>
      <c r="LLE199" s="2"/>
      <c r="LLF199" s="2"/>
      <c r="LLG199" s="2"/>
      <c r="LLH199" s="2"/>
      <c r="LLI199" s="2"/>
      <c r="LLJ199" s="2"/>
      <c r="LLK199" s="2"/>
      <c r="LLL199" s="2"/>
      <c r="LLM199" s="2"/>
      <c r="LLN199" s="2"/>
      <c r="LLO199" s="2"/>
      <c r="LLP199" s="2"/>
      <c r="LLQ199" s="2"/>
      <c r="LLR199" s="2"/>
      <c r="LLS199" s="2"/>
      <c r="LLT199" s="2"/>
      <c r="LLU199" s="2"/>
      <c r="LLV199" s="2"/>
      <c r="LLW199" s="2"/>
      <c r="LLX199" s="2"/>
      <c r="LLY199" s="2"/>
      <c r="LLZ199" s="2"/>
      <c r="LMA199" s="2"/>
      <c r="LMB199" s="2"/>
      <c r="LMC199" s="2"/>
      <c r="LMD199" s="2"/>
      <c r="LME199" s="2"/>
      <c r="LMF199" s="2"/>
      <c r="LMG199" s="2"/>
      <c r="LMH199" s="2"/>
      <c r="LMI199" s="2"/>
      <c r="LMJ199" s="2"/>
      <c r="LMK199" s="2"/>
      <c r="LML199" s="2"/>
      <c r="LMM199" s="2"/>
      <c r="LMN199" s="2"/>
      <c r="LMO199" s="2"/>
      <c r="LMP199" s="2"/>
      <c r="LMQ199" s="2"/>
      <c r="LMR199" s="2"/>
      <c r="LMS199" s="2"/>
      <c r="LMT199" s="2"/>
      <c r="LMU199" s="2"/>
      <c r="LMV199" s="2"/>
      <c r="LMW199" s="2"/>
      <c r="LMX199" s="2"/>
      <c r="LMY199" s="2"/>
      <c r="LMZ199" s="2"/>
      <c r="LNA199" s="2"/>
      <c r="LNB199" s="2"/>
      <c r="LNC199" s="2"/>
      <c r="LND199" s="2"/>
      <c r="LNE199" s="2"/>
      <c r="LNF199" s="2"/>
      <c r="LNG199" s="2"/>
      <c r="LNH199" s="2"/>
      <c r="LNI199" s="2"/>
      <c r="LNJ199" s="2"/>
      <c r="LNK199" s="2"/>
      <c r="LNL199" s="2"/>
      <c r="LNM199" s="2"/>
      <c r="LNN199" s="2"/>
      <c r="LNO199" s="2"/>
      <c r="LNP199" s="2"/>
      <c r="LNQ199" s="2"/>
      <c r="LNR199" s="2"/>
      <c r="LNS199" s="2"/>
      <c r="LNT199" s="2"/>
      <c r="LNU199" s="2"/>
      <c r="LNV199" s="2"/>
      <c r="LNW199" s="2"/>
      <c r="LNX199" s="2"/>
      <c r="LNY199" s="2"/>
      <c r="LNZ199" s="2"/>
      <c r="LOA199" s="2"/>
      <c r="LOB199" s="2"/>
      <c r="LOC199" s="2"/>
      <c r="LOD199" s="2"/>
      <c r="LOE199" s="2"/>
      <c r="LOF199" s="2"/>
      <c r="LOG199" s="2"/>
      <c r="LOH199" s="2"/>
      <c r="LOI199" s="2"/>
      <c r="LOJ199" s="2"/>
      <c r="LOK199" s="2"/>
      <c r="LOL199" s="2"/>
      <c r="LOM199" s="2"/>
      <c r="LON199" s="2"/>
      <c r="LOO199" s="2"/>
      <c r="LOP199" s="2"/>
      <c r="LOQ199" s="2"/>
      <c r="LOR199" s="2"/>
      <c r="LOS199" s="2"/>
      <c r="LOT199" s="2"/>
      <c r="LOU199" s="2"/>
      <c r="LOV199" s="2"/>
      <c r="LOW199" s="2"/>
      <c r="LOX199" s="2"/>
      <c r="LOY199" s="2"/>
      <c r="LOZ199" s="2"/>
      <c r="LPA199" s="2"/>
      <c r="LPB199" s="2"/>
      <c r="LPC199" s="2"/>
      <c r="LPD199" s="2"/>
      <c r="LPE199" s="2"/>
      <c r="LPF199" s="2"/>
      <c r="LPG199" s="2"/>
      <c r="LPH199" s="2"/>
      <c r="LPI199" s="2"/>
      <c r="LPJ199" s="2"/>
      <c r="LPK199" s="2"/>
      <c r="LPL199" s="2"/>
      <c r="LPM199" s="2"/>
      <c r="LPN199" s="2"/>
      <c r="LPO199" s="2"/>
      <c r="LPP199" s="2"/>
      <c r="LPQ199" s="2"/>
      <c r="LPR199" s="2"/>
      <c r="LPS199" s="2"/>
      <c r="LPT199" s="2"/>
      <c r="LPU199" s="2"/>
      <c r="LPV199" s="2"/>
      <c r="LPW199" s="2"/>
      <c r="LPX199" s="2"/>
      <c r="LPY199" s="2"/>
      <c r="LPZ199" s="2"/>
      <c r="LQA199" s="2"/>
      <c r="LQB199" s="2"/>
      <c r="LQC199" s="2"/>
      <c r="LQD199" s="2"/>
      <c r="LQE199" s="2"/>
      <c r="LQF199" s="2"/>
      <c r="LQG199" s="2"/>
      <c r="LQH199" s="2"/>
      <c r="LQI199" s="2"/>
      <c r="LQJ199" s="2"/>
      <c r="LQK199" s="2"/>
      <c r="LQL199" s="2"/>
      <c r="LQM199" s="2"/>
      <c r="LQN199" s="2"/>
      <c r="LQO199" s="2"/>
      <c r="LQP199" s="2"/>
      <c r="LQQ199" s="2"/>
      <c r="LQR199" s="2"/>
      <c r="LQS199" s="2"/>
      <c r="LQT199" s="2"/>
      <c r="LQU199" s="2"/>
      <c r="LQV199" s="2"/>
      <c r="LQW199" s="2"/>
      <c r="LQX199" s="2"/>
      <c r="LQY199" s="2"/>
      <c r="LQZ199" s="2"/>
      <c r="LRA199" s="2"/>
      <c r="LRB199" s="2"/>
      <c r="LRC199" s="2"/>
      <c r="LRD199" s="2"/>
      <c r="LRE199" s="2"/>
      <c r="LRF199" s="2"/>
      <c r="LRG199" s="2"/>
      <c r="LRH199" s="2"/>
      <c r="LRI199" s="2"/>
      <c r="LRJ199" s="2"/>
      <c r="LRK199" s="2"/>
      <c r="LRL199" s="2"/>
      <c r="LRM199" s="2"/>
      <c r="LRN199" s="2"/>
      <c r="LRO199" s="2"/>
      <c r="LRP199" s="2"/>
      <c r="LRQ199" s="2"/>
      <c r="LRR199" s="2"/>
      <c r="LRS199" s="2"/>
      <c r="LRT199" s="2"/>
      <c r="LRU199" s="2"/>
      <c r="LRV199" s="2"/>
      <c r="LRW199" s="2"/>
      <c r="LRX199" s="2"/>
      <c r="LRY199" s="2"/>
      <c r="LRZ199" s="2"/>
      <c r="LSA199" s="2"/>
      <c r="LSB199" s="2"/>
      <c r="LSC199" s="2"/>
      <c r="LSD199" s="2"/>
      <c r="LSE199" s="2"/>
      <c r="LSF199" s="2"/>
      <c r="LSG199" s="2"/>
      <c r="LSH199" s="2"/>
      <c r="LSI199" s="2"/>
      <c r="LSJ199" s="2"/>
      <c r="LSK199" s="2"/>
      <c r="LSL199" s="2"/>
      <c r="LSM199" s="2"/>
      <c r="LSN199" s="2"/>
      <c r="LSO199" s="2"/>
      <c r="LSP199" s="2"/>
      <c r="LSQ199" s="2"/>
      <c r="LSR199" s="2"/>
      <c r="LSS199" s="2"/>
      <c r="LST199" s="2"/>
      <c r="LSU199" s="2"/>
      <c r="LSV199" s="2"/>
      <c r="LSW199" s="2"/>
      <c r="LSX199" s="2"/>
      <c r="LSY199" s="2"/>
      <c r="LSZ199" s="2"/>
      <c r="LTA199" s="2"/>
      <c r="LTB199" s="2"/>
      <c r="LTC199" s="2"/>
      <c r="LTD199" s="2"/>
      <c r="LTE199" s="2"/>
      <c r="LTF199" s="2"/>
      <c r="LTG199" s="2"/>
      <c r="LTH199" s="2"/>
      <c r="LTI199" s="2"/>
      <c r="LTJ199" s="2"/>
      <c r="LTK199" s="2"/>
      <c r="LTL199" s="2"/>
      <c r="LTM199" s="2"/>
      <c r="LTN199" s="2"/>
      <c r="LTO199" s="2"/>
      <c r="LTP199" s="2"/>
      <c r="LTQ199" s="2"/>
      <c r="LTR199" s="2"/>
      <c r="LTS199" s="2"/>
      <c r="LTT199" s="2"/>
      <c r="LTU199" s="2"/>
      <c r="LTV199" s="2"/>
      <c r="LTW199" s="2"/>
      <c r="LTX199" s="2"/>
      <c r="LTY199" s="2"/>
      <c r="LTZ199" s="2"/>
      <c r="LUA199" s="2"/>
      <c r="LUB199" s="2"/>
      <c r="LUC199" s="2"/>
      <c r="LUD199" s="2"/>
      <c r="LUE199" s="2"/>
      <c r="LUF199" s="2"/>
      <c r="LUG199" s="2"/>
      <c r="LUH199" s="2"/>
      <c r="LUI199" s="2"/>
      <c r="LUJ199" s="2"/>
      <c r="LUK199" s="2"/>
      <c r="LUL199" s="2"/>
      <c r="LUM199" s="2"/>
      <c r="LUN199" s="2"/>
      <c r="LUO199" s="2"/>
      <c r="LUP199" s="2"/>
      <c r="LUQ199" s="2"/>
      <c r="LUR199" s="2"/>
      <c r="LUS199" s="2"/>
      <c r="LUT199" s="2"/>
      <c r="LUU199" s="2"/>
      <c r="LUV199" s="2"/>
      <c r="LUW199" s="2"/>
      <c r="LUX199" s="2"/>
      <c r="LUY199" s="2"/>
      <c r="LUZ199" s="2"/>
      <c r="LVA199" s="2"/>
      <c r="LVB199" s="2"/>
      <c r="LVC199" s="2"/>
      <c r="LVD199" s="2"/>
      <c r="LVE199" s="2"/>
      <c r="LVF199" s="2"/>
      <c r="LVG199" s="2"/>
      <c r="LVH199" s="2"/>
      <c r="LVI199" s="2"/>
      <c r="LVJ199" s="2"/>
      <c r="LVK199" s="2"/>
      <c r="LVL199" s="2"/>
      <c r="LVM199" s="2"/>
      <c r="LVN199" s="2"/>
      <c r="LVO199" s="2"/>
      <c r="LVP199" s="2"/>
      <c r="LVQ199" s="2"/>
      <c r="LVR199" s="2"/>
      <c r="LVS199" s="2"/>
      <c r="LVT199" s="2"/>
      <c r="LVU199" s="2"/>
      <c r="LVV199" s="2"/>
      <c r="LVW199" s="2"/>
      <c r="LVX199" s="2"/>
      <c r="LVY199" s="2"/>
      <c r="LVZ199" s="2"/>
      <c r="LWA199" s="2"/>
      <c r="LWB199" s="2"/>
      <c r="LWC199" s="2"/>
      <c r="LWD199" s="2"/>
      <c r="LWE199" s="2"/>
      <c r="LWF199" s="2"/>
      <c r="LWG199" s="2"/>
      <c r="LWH199" s="2"/>
      <c r="LWI199" s="2"/>
      <c r="LWJ199" s="2"/>
      <c r="LWK199" s="2"/>
      <c r="LWL199" s="2"/>
      <c r="LWM199" s="2"/>
      <c r="LWN199" s="2"/>
      <c r="LWO199" s="2"/>
      <c r="LWP199" s="2"/>
      <c r="LWQ199" s="2"/>
      <c r="LWR199" s="2"/>
      <c r="LWS199" s="2"/>
      <c r="LWT199" s="2"/>
      <c r="LWU199" s="2"/>
      <c r="LWV199" s="2"/>
      <c r="LWW199" s="2"/>
      <c r="LWX199" s="2"/>
      <c r="LWY199" s="2"/>
      <c r="LWZ199" s="2"/>
      <c r="LXA199" s="2"/>
      <c r="LXB199" s="2"/>
      <c r="LXC199" s="2"/>
      <c r="LXD199" s="2"/>
      <c r="LXE199" s="2"/>
      <c r="LXF199" s="2"/>
      <c r="LXG199" s="2"/>
      <c r="LXH199" s="2"/>
      <c r="LXI199" s="2"/>
      <c r="LXJ199" s="2"/>
      <c r="LXK199" s="2"/>
      <c r="LXL199" s="2"/>
      <c r="LXM199" s="2"/>
      <c r="LXN199" s="2"/>
      <c r="LXO199" s="2"/>
      <c r="LXP199" s="2"/>
      <c r="LXQ199" s="2"/>
      <c r="LXR199" s="2"/>
      <c r="LXS199" s="2"/>
      <c r="LXT199" s="2"/>
      <c r="LXU199" s="2"/>
      <c r="LXV199" s="2"/>
      <c r="LXW199" s="2"/>
      <c r="LXX199" s="2"/>
      <c r="LXY199" s="2"/>
      <c r="LXZ199" s="2"/>
      <c r="LYA199" s="2"/>
      <c r="LYB199" s="2"/>
      <c r="LYC199" s="2"/>
      <c r="LYD199" s="2"/>
      <c r="LYE199" s="2"/>
      <c r="LYF199" s="2"/>
      <c r="LYG199" s="2"/>
      <c r="LYH199" s="2"/>
      <c r="LYI199" s="2"/>
      <c r="LYJ199" s="2"/>
      <c r="LYK199" s="2"/>
      <c r="LYL199" s="2"/>
      <c r="LYM199" s="2"/>
      <c r="LYN199" s="2"/>
      <c r="LYO199" s="2"/>
      <c r="LYP199" s="2"/>
      <c r="LYQ199" s="2"/>
      <c r="LYR199" s="2"/>
      <c r="LYS199" s="2"/>
      <c r="LYT199" s="2"/>
      <c r="LYU199" s="2"/>
      <c r="LYV199" s="2"/>
      <c r="LYW199" s="2"/>
      <c r="LYX199" s="2"/>
      <c r="LYY199" s="2"/>
      <c r="LYZ199" s="2"/>
      <c r="LZA199" s="2"/>
      <c r="LZB199" s="2"/>
      <c r="LZC199" s="2"/>
      <c r="LZD199" s="2"/>
      <c r="LZE199" s="2"/>
      <c r="LZF199" s="2"/>
      <c r="LZG199" s="2"/>
      <c r="LZH199" s="2"/>
      <c r="LZI199" s="2"/>
      <c r="LZJ199" s="2"/>
      <c r="LZK199" s="2"/>
      <c r="LZL199" s="2"/>
      <c r="LZM199" s="2"/>
      <c r="LZN199" s="2"/>
      <c r="LZO199" s="2"/>
      <c r="LZP199" s="2"/>
      <c r="LZQ199" s="2"/>
      <c r="LZR199" s="2"/>
      <c r="LZS199" s="2"/>
      <c r="LZT199" s="2"/>
      <c r="LZU199" s="2"/>
      <c r="LZV199" s="2"/>
      <c r="LZW199" s="2"/>
      <c r="LZX199" s="2"/>
      <c r="LZY199" s="2"/>
      <c r="LZZ199" s="2"/>
      <c r="MAA199" s="2"/>
      <c r="MAB199" s="2"/>
      <c r="MAC199" s="2"/>
      <c r="MAD199" s="2"/>
      <c r="MAE199" s="2"/>
      <c r="MAF199" s="2"/>
      <c r="MAG199" s="2"/>
      <c r="MAH199" s="2"/>
      <c r="MAI199" s="2"/>
      <c r="MAJ199" s="2"/>
      <c r="MAK199" s="2"/>
      <c r="MAL199" s="2"/>
      <c r="MAM199" s="2"/>
      <c r="MAN199" s="2"/>
      <c r="MAO199" s="2"/>
      <c r="MAP199" s="2"/>
      <c r="MAQ199" s="2"/>
      <c r="MAR199" s="2"/>
      <c r="MAS199" s="2"/>
      <c r="MAT199" s="2"/>
      <c r="MAU199" s="2"/>
      <c r="MAV199" s="2"/>
      <c r="MAW199" s="2"/>
      <c r="MAX199" s="2"/>
      <c r="MAY199" s="2"/>
      <c r="MAZ199" s="2"/>
      <c r="MBA199" s="2"/>
      <c r="MBB199" s="2"/>
      <c r="MBC199" s="2"/>
      <c r="MBD199" s="2"/>
      <c r="MBE199" s="2"/>
      <c r="MBF199" s="2"/>
      <c r="MBG199" s="2"/>
      <c r="MBH199" s="2"/>
      <c r="MBI199" s="2"/>
      <c r="MBJ199" s="2"/>
      <c r="MBK199" s="2"/>
      <c r="MBL199" s="2"/>
      <c r="MBM199" s="2"/>
      <c r="MBN199" s="2"/>
      <c r="MBO199" s="2"/>
      <c r="MBP199" s="2"/>
      <c r="MBQ199" s="2"/>
      <c r="MBR199" s="2"/>
      <c r="MBS199" s="2"/>
      <c r="MBT199" s="2"/>
      <c r="MBU199" s="2"/>
      <c r="MBV199" s="2"/>
      <c r="MBW199" s="2"/>
      <c r="MBX199" s="2"/>
      <c r="MBY199" s="2"/>
      <c r="MBZ199" s="2"/>
      <c r="MCA199" s="2"/>
      <c r="MCB199" s="2"/>
      <c r="MCC199" s="2"/>
      <c r="MCD199" s="2"/>
      <c r="MCE199" s="2"/>
      <c r="MCF199" s="2"/>
      <c r="MCG199" s="2"/>
      <c r="MCH199" s="2"/>
      <c r="MCI199" s="2"/>
      <c r="MCJ199" s="2"/>
      <c r="MCK199" s="2"/>
      <c r="MCL199" s="2"/>
      <c r="MCM199" s="2"/>
      <c r="MCN199" s="2"/>
      <c r="MCO199" s="2"/>
      <c r="MCP199" s="2"/>
      <c r="MCQ199" s="2"/>
      <c r="MCR199" s="2"/>
      <c r="MCS199" s="2"/>
      <c r="MCT199" s="2"/>
      <c r="MCU199" s="2"/>
      <c r="MCV199" s="2"/>
      <c r="MCW199" s="2"/>
      <c r="MCX199" s="2"/>
      <c r="MCY199" s="2"/>
      <c r="MCZ199" s="2"/>
      <c r="MDA199" s="2"/>
      <c r="MDB199" s="2"/>
      <c r="MDC199" s="2"/>
      <c r="MDD199" s="2"/>
      <c r="MDE199" s="2"/>
      <c r="MDF199" s="2"/>
      <c r="MDG199" s="2"/>
      <c r="MDH199" s="2"/>
      <c r="MDI199" s="2"/>
      <c r="MDJ199" s="2"/>
      <c r="MDK199" s="2"/>
      <c r="MDL199" s="2"/>
      <c r="MDM199" s="2"/>
      <c r="MDN199" s="2"/>
      <c r="MDO199" s="2"/>
      <c r="MDP199" s="2"/>
      <c r="MDQ199" s="2"/>
      <c r="MDR199" s="2"/>
      <c r="MDS199" s="2"/>
      <c r="MDT199" s="2"/>
      <c r="MDU199" s="2"/>
      <c r="MDV199" s="2"/>
      <c r="MDW199" s="2"/>
      <c r="MDX199" s="2"/>
      <c r="MDY199" s="2"/>
      <c r="MDZ199" s="2"/>
      <c r="MEA199" s="2"/>
      <c r="MEB199" s="2"/>
      <c r="MEC199" s="2"/>
      <c r="MED199" s="2"/>
      <c r="MEE199" s="2"/>
      <c r="MEF199" s="2"/>
      <c r="MEG199" s="2"/>
      <c r="MEH199" s="2"/>
      <c r="MEI199" s="2"/>
      <c r="MEJ199" s="2"/>
      <c r="MEK199" s="2"/>
      <c r="MEL199" s="2"/>
      <c r="MEM199" s="2"/>
      <c r="MEN199" s="2"/>
      <c r="MEO199" s="2"/>
      <c r="MEP199" s="2"/>
      <c r="MEQ199" s="2"/>
      <c r="MER199" s="2"/>
      <c r="MES199" s="2"/>
      <c r="MET199" s="2"/>
      <c r="MEU199" s="2"/>
      <c r="MEV199" s="2"/>
      <c r="MEW199" s="2"/>
      <c r="MEX199" s="2"/>
      <c r="MEY199" s="2"/>
      <c r="MEZ199" s="2"/>
      <c r="MFA199" s="2"/>
      <c r="MFB199" s="2"/>
      <c r="MFC199" s="2"/>
      <c r="MFD199" s="2"/>
      <c r="MFE199" s="2"/>
      <c r="MFF199" s="2"/>
      <c r="MFG199" s="2"/>
      <c r="MFH199" s="2"/>
      <c r="MFI199" s="2"/>
      <c r="MFJ199" s="2"/>
      <c r="MFK199" s="2"/>
      <c r="MFL199" s="2"/>
      <c r="MFM199" s="2"/>
      <c r="MFN199" s="2"/>
      <c r="MFO199" s="2"/>
      <c r="MFP199" s="2"/>
      <c r="MFQ199" s="2"/>
      <c r="MFR199" s="2"/>
      <c r="MFS199" s="2"/>
      <c r="MFT199" s="2"/>
      <c r="MFU199" s="2"/>
      <c r="MFV199" s="2"/>
      <c r="MFW199" s="2"/>
      <c r="MFX199" s="2"/>
      <c r="MFY199" s="2"/>
      <c r="MFZ199" s="2"/>
      <c r="MGA199" s="2"/>
      <c r="MGB199" s="2"/>
      <c r="MGC199" s="2"/>
      <c r="MGD199" s="2"/>
      <c r="MGE199" s="2"/>
      <c r="MGF199" s="2"/>
      <c r="MGG199" s="2"/>
      <c r="MGH199" s="2"/>
      <c r="MGI199" s="2"/>
      <c r="MGJ199" s="2"/>
      <c r="MGK199" s="2"/>
      <c r="MGL199" s="2"/>
      <c r="MGM199" s="2"/>
      <c r="MGN199" s="2"/>
      <c r="MGO199" s="2"/>
      <c r="MGP199" s="2"/>
      <c r="MGQ199" s="2"/>
      <c r="MGR199" s="2"/>
      <c r="MGS199" s="2"/>
      <c r="MGT199" s="2"/>
      <c r="MGU199" s="2"/>
      <c r="MGV199" s="2"/>
      <c r="MGW199" s="2"/>
      <c r="MGX199" s="2"/>
      <c r="MGY199" s="2"/>
      <c r="MGZ199" s="2"/>
      <c r="MHA199" s="2"/>
      <c r="MHB199" s="2"/>
      <c r="MHC199" s="2"/>
      <c r="MHD199" s="2"/>
      <c r="MHE199" s="2"/>
      <c r="MHF199" s="2"/>
      <c r="MHG199" s="2"/>
      <c r="MHH199" s="2"/>
      <c r="MHI199" s="2"/>
      <c r="MHJ199" s="2"/>
      <c r="MHK199" s="2"/>
      <c r="MHL199" s="2"/>
      <c r="MHM199" s="2"/>
      <c r="MHN199" s="2"/>
      <c r="MHO199" s="2"/>
      <c r="MHP199" s="2"/>
      <c r="MHQ199" s="2"/>
      <c r="MHR199" s="2"/>
      <c r="MHS199" s="2"/>
      <c r="MHT199" s="2"/>
      <c r="MHU199" s="2"/>
      <c r="MHV199" s="2"/>
      <c r="MHW199" s="2"/>
      <c r="MHX199" s="2"/>
      <c r="MHY199" s="2"/>
      <c r="MHZ199" s="2"/>
      <c r="MIA199" s="2"/>
      <c r="MIB199" s="2"/>
      <c r="MIC199" s="2"/>
      <c r="MID199" s="2"/>
      <c r="MIE199" s="2"/>
      <c r="MIF199" s="2"/>
      <c r="MIG199" s="2"/>
      <c r="MIH199" s="2"/>
      <c r="MII199" s="2"/>
      <c r="MIJ199" s="2"/>
      <c r="MIK199" s="2"/>
      <c r="MIL199" s="2"/>
      <c r="MIM199" s="2"/>
      <c r="MIN199" s="2"/>
      <c r="MIO199" s="2"/>
      <c r="MIP199" s="2"/>
      <c r="MIQ199" s="2"/>
      <c r="MIR199" s="2"/>
      <c r="MIS199" s="2"/>
      <c r="MIT199" s="2"/>
      <c r="MIU199" s="2"/>
      <c r="MIV199" s="2"/>
      <c r="MIW199" s="2"/>
      <c r="MIX199" s="2"/>
      <c r="MIY199" s="2"/>
      <c r="MIZ199" s="2"/>
      <c r="MJA199" s="2"/>
      <c r="MJB199" s="2"/>
      <c r="MJC199" s="2"/>
      <c r="MJD199" s="2"/>
      <c r="MJE199" s="2"/>
      <c r="MJF199" s="2"/>
      <c r="MJG199" s="2"/>
      <c r="MJH199" s="2"/>
      <c r="MJI199" s="2"/>
      <c r="MJJ199" s="2"/>
      <c r="MJK199" s="2"/>
      <c r="MJL199" s="2"/>
      <c r="MJM199" s="2"/>
      <c r="MJN199" s="2"/>
      <c r="MJO199" s="2"/>
      <c r="MJP199" s="2"/>
      <c r="MJQ199" s="2"/>
      <c r="MJR199" s="2"/>
      <c r="MJS199" s="2"/>
      <c r="MJT199" s="2"/>
      <c r="MJU199" s="2"/>
      <c r="MJV199" s="2"/>
      <c r="MJW199" s="2"/>
      <c r="MJX199" s="2"/>
      <c r="MJY199" s="2"/>
      <c r="MJZ199" s="2"/>
      <c r="MKA199" s="2"/>
      <c r="MKB199" s="2"/>
      <c r="MKC199" s="2"/>
      <c r="MKD199" s="2"/>
      <c r="MKE199" s="2"/>
      <c r="MKF199" s="2"/>
      <c r="MKG199" s="2"/>
      <c r="MKH199" s="2"/>
      <c r="MKI199" s="2"/>
      <c r="MKJ199" s="2"/>
      <c r="MKK199" s="2"/>
      <c r="MKL199" s="2"/>
      <c r="MKM199" s="2"/>
      <c r="MKN199" s="2"/>
      <c r="MKO199" s="2"/>
      <c r="MKP199" s="2"/>
      <c r="MKQ199" s="2"/>
      <c r="MKR199" s="2"/>
      <c r="MKS199" s="2"/>
      <c r="MKT199" s="2"/>
      <c r="MKU199" s="2"/>
      <c r="MKV199" s="2"/>
      <c r="MKW199" s="2"/>
      <c r="MKX199" s="2"/>
      <c r="MKY199" s="2"/>
      <c r="MKZ199" s="2"/>
      <c r="MLA199" s="2"/>
      <c r="MLB199" s="2"/>
      <c r="MLC199" s="2"/>
      <c r="MLD199" s="2"/>
      <c r="MLE199" s="2"/>
      <c r="MLF199" s="2"/>
      <c r="MLG199" s="2"/>
      <c r="MLH199" s="2"/>
      <c r="MLI199" s="2"/>
      <c r="MLJ199" s="2"/>
      <c r="MLK199" s="2"/>
      <c r="MLL199" s="2"/>
      <c r="MLM199" s="2"/>
      <c r="MLN199" s="2"/>
      <c r="MLO199" s="2"/>
      <c r="MLP199" s="2"/>
      <c r="MLQ199" s="2"/>
      <c r="MLR199" s="2"/>
      <c r="MLS199" s="2"/>
      <c r="MLT199" s="2"/>
      <c r="MLU199" s="2"/>
      <c r="MLV199" s="2"/>
      <c r="MLW199" s="2"/>
      <c r="MLX199" s="2"/>
      <c r="MLY199" s="2"/>
      <c r="MLZ199" s="2"/>
      <c r="MMA199" s="2"/>
      <c r="MMB199" s="2"/>
      <c r="MMC199" s="2"/>
      <c r="MMD199" s="2"/>
      <c r="MME199" s="2"/>
      <c r="MMF199" s="2"/>
      <c r="MMG199" s="2"/>
      <c r="MMH199" s="2"/>
      <c r="MMI199" s="2"/>
      <c r="MMJ199" s="2"/>
      <c r="MMK199" s="2"/>
      <c r="MML199" s="2"/>
      <c r="MMM199" s="2"/>
      <c r="MMN199" s="2"/>
      <c r="MMO199" s="2"/>
      <c r="MMP199" s="2"/>
      <c r="MMQ199" s="2"/>
      <c r="MMR199" s="2"/>
      <c r="MMS199" s="2"/>
      <c r="MMT199" s="2"/>
      <c r="MMU199" s="2"/>
      <c r="MMV199" s="2"/>
      <c r="MMW199" s="2"/>
      <c r="MMX199" s="2"/>
      <c r="MMY199" s="2"/>
      <c r="MMZ199" s="2"/>
      <c r="MNA199" s="2"/>
      <c r="MNB199" s="2"/>
      <c r="MNC199" s="2"/>
      <c r="MND199" s="2"/>
      <c r="MNE199" s="2"/>
      <c r="MNF199" s="2"/>
      <c r="MNG199" s="2"/>
      <c r="MNH199" s="2"/>
      <c r="MNI199" s="2"/>
      <c r="MNJ199" s="2"/>
      <c r="MNK199" s="2"/>
      <c r="MNL199" s="2"/>
      <c r="MNM199" s="2"/>
      <c r="MNN199" s="2"/>
      <c r="MNO199" s="2"/>
      <c r="MNP199" s="2"/>
      <c r="MNQ199" s="2"/>
      <c r="MNR199" s="2"/>
      <c r="MNS199" s="2"/>
      <c r="MNT199" s="2"/>
      <c r="MNU199" s="2"/>
      <c r="MNV199" s="2"/>
      <c r="MNW199" s="2"/>
      <c r="MNX199" s="2"/>
      <c r="MNY199" s="2"/>
      <c r="MNZ199" s="2"/>
      <c r="MOA199" s="2"/>
      <c r="MOB199" s="2"/>
      <c r="MOC199" s="2"/>
      <c r="MOD199" s="2"/>
      <c r="MOE199" s="2"/>
      <c r="MOF199" s="2"/>
      <c r="MOG199" s="2"/>
      <c r="MOH199" s="2"/>
      <c r="MOI199" s="2"/>
      <c r="MOJ199" s="2"/>
      <c r="MOK199" s="2"/>
      <c r="MOL199" s="2"/>
      <c r="MOM199" s="2"/>
      <c r="MON199" s="2"/>
      <c r="MOO199" s="2"/>
      <c r="MOP199" s="2"/>
      <c r="MOQ199" s="2"/>
      <c r="MOR199" s="2"/>
      <c r="MOS199" s="2"/>
      <c r="MOT199" s="2"/>
      <c r="MOU199" s="2"/>
      <c r="MOV199" s="2"/>
      <c r="MOW199" s="2"/>
      <c r="MOX199" s="2"/>
      <c r="MOY199" s="2"/>
      <c r="MOZ199" s="2"/>
      <c r="MPA199" s="2"/>
      <c r="MPB199" s="2"/>
      <c r="MPC199" s="2"/>
      <c r="MPD199" s="2"/>
      <c r="MPE199" s="2"/>
      <c r="MPF199" s="2"/>
      <c r="MPG199" s="2"/>
      <c r="MPH199" s="2"/>
      <c r="MPI199" s="2"/>
      <c r="MPJ199" s="2"/>
      <c r="MPK199" s="2"/>
      <c r="MPL199" s="2"/>
      <c r="MPM199" s="2"/>
      <c r="MPN199" s="2"/>
      <c r="MPO199" s="2"/>
      <c r="MPP199" s="2"/>
      <c r="MPQ199" s="2"/>
      <c r="MPR199" s="2"/>
      <c r="MPS199" s="2"/>
      <c r="MPT199" s="2"/>
      <c r="MPU199" s="2"/>
      <c r="MPV199" s="2"/>
      <c r="MPW199" s="2"/>
      <c r="MPX199" s="2"/>
      <c r="MPY199" s="2"/>
      <c r="MPZ199" s="2"/>
      <c r="MQA199" s="2"/>
      <c r="MQB199" s="2"/>
      <c r="MQC199" s="2"/>
      <c r="MQD199" s="2"/>
      <c r="MQE199" s="2"/>
      <c r="MQF199" s="2"/>
      <c r="MQG199" s="2"/>
      <c r="MQH199" s="2"/>
      <c r="MQI199" s="2"/>
      <c r="MQJ199" s="2"/>
      <c r="MQK199" s="2"/>
      <c r="MQL199" s="2"/>
      <c r="MQM199" s="2"/>
      <c r="MQN199" s="2"/>
      <c r="MQO199" s="2"/>
      <c r="MQP199" s="2"/>
      <c r="MQQ199" s="2"/>
      <c r="MQR199" s="2"/>
      <c r="MQS199" s="2"/>
      <c r="MQT199" s="2"/>
      <c r="MQU199" s="2"/>
      <c r="MQV199" s="2"/>
      <c r="MQW199" s="2"/>
      <c r="MQX199" s="2"/>
      <c r="MQY199" s="2"/>
      <c r="MQZ199" s="2"/>
      <c r="MRA199" s="2"/>
      <c r="MRB199" s="2"/>
      <c r="MRC199" s="2"/>
      <c r="MRD199" s="2"/>
      <c r="MRE199" s="2"/>
      <c r="MRF199" s="2"/>
      <c r="MRG199" s="2"/>
      <c r="MRH199" s="2"/>
      <c r="MRI199" s="2"/>
      <c r="MRJ199" s="2"/>
      <c r="MRK199" s="2"/>
      <c r="MRL199" s="2"/>
      <c r="MRM199" s="2"/>
      <c r="MRN199" s="2"/>
      <c r="MRO199" s="2"/>
      <c r="MRP199" s="2"/>
      <c r="MRQ199" s="2"/>
      <c r="MRR199" s="2"/>
      <c r="MRS199" s="2"/>
      <c r="MRT199" s="2"/>
      <c r="MRU199" s="2"/>
      <c r="MRV199" s="2"/>
      <c r="MRW199" s="2"/>
      <c r="MRX199" s="2"/>
      <c r="MRY199" s="2"/>
      <c r="MRZ199" s="2"/>
      <c r="MSA199" s="2"/>
      <c r="MSB199" s="2"/>
      <c r="MSC199" s="2"/>
      <c r="MSD199" s="2"/>
      <c r="MSE199" s="2"/>
      <c r="MSF199" s="2"/>
      <c r="MSG199" s="2"/>
      <c r="MSH199" s="2"/>
      <c r="MSI199" s="2"/>
      <c r="MSJ199" s="2"/>
      <c r="MSK199" s="2"/>
      <c r="MSL199" s="2"/>
      <c r="MSM199" s="2"/>
      <c r="MSN199" s="2"/>
      <c r="MSO199" s="2"/>
      <c r="MSP199" s="2"/>
      <c r="MSQ199" s="2"/>
      <c r="MSR199" s="2"/>
      <c r="MSS199" s="2"/>
      <c r="MST199" s="2"/>
      <c r="MSU199" s="2"/>
      <c r="MSV199" s="2"/>
      <c r="MSW199" s="2"/>
      <c r="MSX199" s="2"/>
      <c r="MSY199" s="2"/>
      <c r="MSZ199" s="2"/>
      <c r="MTA199" s="2"/>
      <c r="MTB199" s="2"/>
      <c r="MTC199" s="2"/>
      <c r="MTD199" s="2"/>
      <c r="MTE199" s="2"/>
      <c r="MTF199" s="2"/>
      <c r="MTG199" s="2"/>
      <c r="MTH199" s="2"/>
      <c r="MTI199" s="2"/>
      <c r="MTJ199" s="2"/>
      <c r="MTK199" s="2"/>
      <c r="MTL199" s="2"/>
      <c r="MTM199" s="2"/>
      <c r="MTN199" s="2"/>
      <c r="MTO199" s="2"/>
      <c r="MTP199" s="2"/>
      <c r="MTQ199" s="2"/>
      <c r="MTR199" s="2"/>
      <c r="MTS199" s="2"/>
      <c r="MTT199" s="2"/>
      <c r="MTU199" s="2"/>
      <c r="MTV199" s="2"/>
      <c r="MTW199" s="2"/>
      <c r="MTX199" s="2"/>
      <c r="MTY199" s="2"/>
      <c r="MTZ199" s="2"/>
      <c r="MUA199" s="2"/>
      <c r="MUB199" s="2"/>
      <c r="MUC199" s="2"/>
      <c r="MUD199" s="2"/>
      <c r="MUE199" s="2"/>
      <c r="MUF199" s="2"/>
      <c r="MUG199" s="2"/>
      <c r="MUH199" s="2"/>
      <c r="MUI199" s="2"/>
      <c r="MUJ199" s="2"/>
      <c r="MUK199" s="2"/>
      <c r="MUL199" s="2"/>
      <c r="MUM199" s="2"/>
      <c r="MUN199" s="2"/>
      <c r="MUO199" s="2"/>
      <c r="MUP199" s="2"/>
      <c r="MUQ199" s="2"/>
      <c r="MUR199" s="2"/>
      <c r="MUS199" s="2"/>
      <c r="MUT199" s="2"/>
      <c r="MUU199" s="2"/>
      <c r="MUV199" s="2"/>
      <c r="MUW199" s="2"/>
      <c r="MUX199" s="2"/>
      <c r="MUY199" s="2"/>
      <c r="MUZ199" s="2"/>
      <c r="MVA199" s="2"/>
      <c r="MVB199" s="2"/>
      <c r="MVC199" s="2"/>
      <c r="MVD199" s="2"/>
      <c r="MVE199" s="2"/>
      <c r="MVF199" s="2"/>
      <c r="MVG199" s="2"/>
      <c r="MVH199" s="2"/>
      <c r="MVI199" s="2"/>
      <c r="MVJ199" s="2"/>
      <c r="MVK199" s="2"/>
      <c r="MVL199" s="2"/>
      <c r="MVM199" s="2"/>
      <c r="MVN199" s="2"/>
      <c r="MVO199" s="2"/>
      <c r="MVP199" s="2"/>
      <c r="MVQ199" s="2"/>
      <c r="MVR199" s="2"/>
      <c r="MVS199" s="2"/>
      <c r="MVT199" s="2"/>
      <c r="MVU199" s="2"/>
      <c r="MVV199" s="2"/>
      <c r="MVW199" s="2"/>
      <c r="MVX199" s="2"/>
      <c r="MVY199" s="2"/>
      <c r="MVZ199" s="2"/>
      <c r="MWA199" s="2"/>
      <c r="MWB199" s="2"/>
      <c r="MWC199" s="2"/>
      <c r="MWD199" s="2"/>
      <c r="MWE199" s="2"/>
      <c r="MWF199" s="2"/>
      <c r="MWG199" s="2"/>
      <c r="MWH199" s="2"/>
      <c r="MWI199" s="2"/>
      <c r="MWJ199" s="2"/>
      <c r="MWK199" s="2"/>
      <c r="MWL199" s="2"/>
      <c r="MWM199" s="2"/>
      <c r="MWN199" s="2"/>
      <c r="MWO199" s="2"/>
      <c r="MWP199" s="2"/>
      <c r="MWQ199" s="2"/>
      <c r="MWR199" s="2"/>
      <c r="MWS199" s="2"/>
      <c r="MWT199" s="2"/>
      <c r="MWU199" s="2"/>
      <c r="MWV199" s="2"/>
      <c r="MWW199" s="2"/>
      <c r="MWX199" s="2"/>
      <c r="MWY199" s="2"/>
      <c r="MWZ199" s="2"/>
      <c r="MXA199" s="2"/>
      <c r="MXB199" s="2"/>
      <c r="MXC199" s="2"/>
      <c r="MXD199" s="2"/>
      <c r="MXE199" s="2"/>
      <c r="MXF199" s="2"/>
      <c r="MXG199" s="2"/>
      <c r="MXH199" s="2"/>
      <c r="MXI199" s="2"/>
      <c r="MXJ199" s="2"/>
      <c r="MXK199" s="2"/>
      <c r="MXL199" s="2"/>
      <c r="MXM199" s="2"/>
      <c r="MXN199" s="2"/>
      <c r="MXO199" s="2"/>
      <c r="MXP199" s="2"/>
      <c r="MXQ199" s="2"/>
      <c r="MXR199" s="2"/>
      <c r="MXS199" s="2"/>
      <c r="MXT199" s="2"/>
      <c r="MXU199" s="2"/>
      <c r="MXV199" s="2"/>
      <c r="MXW199" s="2"/>
      <c r="MXX199" s="2"/>
      <c r="MXY199" s="2"/>
      <c r="MXZ199" s="2"/>
      <c r="MYA199" s="2"/>
      <c r="MYB199" s="2"/>
      <c r="MYC199" s="2"/>
      <c r="MYD199" s="2"/>
      <c r="MYE199" s="2"/>
      <c r="MYF199" s="2"/>
      <c r="MYG199" s="2"/>
      <c r="MYH199" s="2"/>
      <c r="MYI199" s="2"/>
      <c r="MYJ199" s="2"/>
      <c r="MYK199" s="2"/>
      <c r="MYL199" s="2"/>
      <c r="MYM199" s="2"/>
      <c r="MYN199" s="2"/>
      <c r="MYO199" s="2"/>
      <c r="MYP199" s="2"/>
      <c r="MYQ199" s="2"/>
      <c r="MYR199" s="2"/>
      <c r="MYS199" s="2"/>
      <c r="MYT199" s="2"/>
      <c r="MYU199" s="2"/>
      <c r="MYV199" s="2"/>
      <c r="MYW199" s="2"/>
      <c r="MYX199" s="2"/>
      <c r="MYY199" s="2"/>
      <c r="MYZ199" s="2"/>
      <c r="MZA199" s="2"/>
      <c r="MZB199" s="2"/>
      <c r="MZC199" s="2"/>
      <c r="MZD199" s="2"/>
      <c r="MZE199" s="2"/>
      <c r="MZF199" s="2"/>
      <c r="MZG199" s="2"/>
      <c r="MZH199" s="2"/>
      <c r="MZI199" s="2"/>
      <c r="MZJ199" s="2"/>
      <c r="MZK199" s="2"/>
      <c r="MZL199" s="2"/>
      <c r="MZM199" s="2"/>
      <c r="MZN199" s="2"/>
      <c r="MZO199" s="2"/>
      <c r="MZP199" s="2"/>
      <c r="MZQ199" s="2"/>
      <c r="MZR199" s="2"/>
      <c r="MZS199" s="2"/>
      <c r="MZT199" s="2"/>
      <c r="MZU199" s="2"/>
      <c r="MZV199" s="2"/>
      <c r="MZW199" s="2"/>
      <c r="MZX199" s="2"/>
      <c r="MZY199" s="2"/>
      <c r="MZZ199" s="2"/>
      <c r="NAA199" s="2"/>
      <c r="NAB199" s="2"/>
      <c r="NAC199" s="2"/>
      <c r="NAD199" s="2"/>
      <c r="NAE199" s="2"/>
      <c r="NAF199" s="2"/>
      <c r="NAG199" s="2"/>
      <c r="NAH199" s="2"/>
      <c r="NAI199" s="2"/>
      <c r="NAJ199" s="2"/>
      <c r="NAK199" s="2"/>
      <c r="NAL199" s="2"/>
      <c r="NAM199" s="2"/>
      <c r="NAN199" s="2"/>
      <c r="NAO199" s="2"/>
      <c r="NAP199" s="2"/>
      <c r="NAQ199" s="2"/>
      <c r="NAR199" s="2"/>
      <c r="NAS199" s="2"/>
      <c r="NAT199" s="2"/>
      <c r="NAU199" s="2"/>
      <c r="NAV199" s="2"/>
      <c r="NAW199" s="2"/>
      <c r="NAX199" s="2"/>
      <c r="NAY199" s="2"/>
      <c r="NAZ199" s="2"/>
      <c r="NBA199" s="2"/>
      <c r="NBB199" s="2"/>
      <c r="NBC199" s="2"/>
      <c r="NBD199" s="2"/>
      <c r="NBE199" s="2"/>
      <c r="NBF199" s="2"/>
      <c r="NBG199" s="2"/>
      <c r="NBH199" s="2"/>
      <c r="NBI199" s="2"/>
      <c r="NBJ199" s="2"/>
      <c r="NBK199" s="2"/>
      <c r="NBL199" s="2"/>
      <c r="NBM199" s="2"/>
      <c r="NBN199" s="2"/>
      <c r="NBO199" s="2"/>
      <c r="NBP199" s="2"/>
      <c r="NBQ199" s="2"/>
      <c r="NBR199" s="2"/>
      <c r="NBS199" s="2"/>
      <c r="NBT199" s="2"/>
      <c r="NBU199" s="2"/>
      <c r="NBV199" s="2"/>
      <c r="NBW199" s="2"/>
      <c r="NBX199" s="2"/>
      <c r="NBY199" s="2"/>
      <c r="NBZ199" s="2"/>
      <c r="NCA199" s="2"/>
      <c r="NCB199" s="2"/>
      <c r="NCC199" s="2"/>
      <c r="NCD199" s="2"/>
      <c r="NCE199" s="2"/>
      <c r="NCF199" s="2"/>
      <c r="NCG199" s="2"/>
      <c r="NCH199" s="2"/>
      <c r="NCI199" s="2"/>
      <c r="NCJ199" s="2"/>
      <c r="NCK199" s="2"/>
      <c r="NCL199" s="2"/>
      <c r="NCM199" s="2"/>
      <c r="NCN199" s="2"/>
      <c r="NCO199" s="2"/>
      <c r="NCP199" s="2"/>
      <c r="NCQ199" s="2"/>
      <c r="NCR199" s="2"/>
      <c r="NCS199" s="2"/>
      <c r="NCT199" s="2"/>
      <c r="NCU199" s="2"/>
      <c r="NCV199" s="2"/>
      <c r="NCW199" s="2"/>
      <c r="NCX199" s="2"/>
      <c r="NCY199" s="2"/>
      <c r="NCZ199" s="2"/>
      <c r="NDA199" s="2"/>
      <c r="NDB199" s="2"/>
      <c r="NDC199" s="2"/>
      <c r="NDD199" s="2"/>
      <c r="NDE199" s="2"/>
      <c r="NDF199" s="2"/>
      <c r="NDG199" s="2"/>
      <c r="NDH199" s="2"/>
      <c r="NDI199" s="2"/>
      <c r="NDJ199" s="2"/>
      <c r="NDK199" s="2"/>
      <c r="NDL199" s="2"/>
      <c r="NDM199" s="2"/>
      <c r="NDN199" s="2"/>
      <c r="NDO199" s="2"/>
      <c r="NDP199" s="2"/>
      <c r="NDQ199" s="2"/>
      <c r="NDR199" s="2"/>
      <c r="NDS199" s="2"/>
      <c r="NDT199" s="2"/>
      <c r="NDU199" s="2"/>
      <c r="NDV199" s="2"/>
      <c r="NDW199" s="2"/>
      <c r="NDX199" s="2"/>
      <c r="NDY199" s="2"/>
      <c r="NDZ199" s="2"/>
      <c r="NEA199" s="2"/>
      <c r="NEB199" s="2"/>
      <c r="NEC199" s="2"/>
      <c r="NED199" s="2"/>
      <c r="NEE199" s="2"/>
      <c r="NEF199" s="2"/>
      <c r="NEG199" s="2"/>
      <c r="NEH199" s="2"/>
      <c r="NEI199" s="2"/>
      <c r="NEJ199" s="2"/>
      <c r="NEK199" s="2"/>
      <c r="NEL199" s="2"/>
      <c r="NEM199" s="2"/>
      <c r="NEN199" s="2"/>
      <c r="NEO199" s="2"/>
      <c r="NEP199" s="2"/>
      <c r="NEQ199" s="2"/>
      <c r="NER199" s="2"/>
      <c r="NES199" s="2"/>
      <c r="NET199" s="2"/>
      <c r="NEU199" s="2"/>
      <c r="NEV199" s="2"/>
      <c r="NEW199" s="2"/>
      <c r="NEX199" s="2"/>
      <c r="NEY199" s="2"/>
      <c r="NEZ199" s="2"/>
      <c r="NFA199" s="2"/>
      <c r="NFB199" s="2"/>
      <c r="NFC199" s="2"/>
      <c r="NFD199" s="2"/>
      <c r="NFE199" s="2"/>
      <c r="NFF199" s="2"/>
      <c r="NFG199" s="2"/>
      <c r="NFH199" s="2"/>
      <c r="NFI199" s="2"/>
      <c r="NFJ199" s="2"/>
      <c r="NFK199" s="2"/>
      <c r="NFL199" s="2"/>
      <c r="NFM199" s="2"/>
      <c r="NFN199" s="2"/>
      <c r="NFO199" s="2"/>
      <c r="NFP199" s="2"/>
      <c r="NFQ199" s="2"/>
      <c r="NFR199" s="2"/>
      <c r="NFS199" s="2"/>
      <c r="NFT199" s="2"/>
      <c r="NFU199" s="2"/>
      <c r="NFV199" s="2"/>
      <c r="NFW199" s="2"/>
      <c r="NFX199" s="2"/>
      <c r="NFY199" s="2"/>
      <c r="NFZ199" s="2"/>
      <c r="NGA199" s="2"/>
      <c r="NGB199" s="2"/>
      <c r="NGC199" s="2"/>
      <c r="NGD199" s="2"/>
      <c r="NGE199" s="2"/>
      <c r="NGF199" s="2"/>
      <c r="NGG199" s="2"/>
      <c r="NGH199" s="2"/>
      <c r="NGI199" s="2"/>
      <c r="NGJ199" s="2"/>
      <c r="NGK199" s="2"/>
      <c r="NGL199" s="2"/>
      <c r="NGM199" s="2"/>
      <c r="NGN199" s="2"/>
      <c r="NGO199" s="2"/>
      <c r="NGP199" s="2"/>
      <c r="NGQ199" s="2"/>
      <c r="NGR199" s="2"/>
      <c r="NGS199" s="2"/>
      <c r="NGT199" s="2"/>
      <c r="NGU199" s="2"/>
      <c r="NGV199" s="2"/>
      <c r="NGW199" s="2"/>
      <c r="NGX199" s="2"/>
      <c r="NGY199" s="2"/>
      <c r="NGZ199" s="2"/>
      <c r="NHA199" s="2"/>
      <c r="NHB199" s="2"/>
      <c r="NHC199" s="2"/>
      <c r="NHD199" s="2"/>
      <c r="NHE199" s="2"/>
      <c r="NHF199" s="2"/>
      <c r="NHG199" s="2"/>
      <c r="NHH199" s="2"/>
      <c r="NHI199" s="2"/>
      <c r="NHJ199" s="2"/>
      <c r="NHK199" s="2"/>
      <c r="NHL199" s="2"/>
      <c r="NHM199" s="2"/>
      <c r="NHN199" s="2"/>
      <c r="NHO199" s="2"/>
      <c r="NHP199" s="2"/>
      <c r="NHQ199" s="2"/>
      <c r="NHR199" s="2"/>
      <c r="NHS199" s="2"/>
      <c r="NHT199" s="2"/>
      <c r="NHU199" s="2"/>
      <c r="NHV199" s="2"/>
      <c r="NHW199" s="2"/>
      <c r="NHX199" s="2"/>
      <c r="NHY199" s="2"/>
      <c r="NHZ199" s="2"/>
      <c r="NIA199" s="2"/>
      <c r="NIB199" s="2"/>
      <c r="NIC199" s="2"/>
      <c r="NID199" s="2"/>
      <c r="NIE199" s="2"/>
      <c r="NIF199" s="2"/>
      <c r="NIG199" s="2"/>
      <c r="NIH199" s="2"/>
      <c r="NII199" s="2"/>
      <c r="NIJ199" s="2"/>
      <c r="NIK199" s="2"/>
      <c r="NIL199" s="2"/>
      <c r="NIM199" s="2"/>
      <c r="NIN199" s="2"/>
      <c r="NIO199" s="2"/>
      <c r="NIP199" s="2"/>
      <c r="NIQ199" s="2"/>
      <c r="NIR199" s="2"/>
      <c r="NIS199" s="2"/>
      <c r="NIT199" s="2"/>
      <c r="NIU199" s="2"/>
      <c r="NIV199" s="2"/>
      <c r="NIW199" s="2"/>
      <c r="NIX199" s="2"/>
      <c r="NIY199" s="2"/>
      <c r="NIZ199" s="2"/>
      <c r="NJA199" s="2"/>
      <c r="NJB199" s="2"/>
      <c r="NJC199" s="2"/>
      <c r="NJD199" s="2"/>
      <c r="NJE199" s="2"/>
      <c r="NJF199" s="2"/>
      <c r="NJG199" s="2"/>
      <c r="NJH199" s="2"/>
      <c r="NJI199" s="2"/>
      <c r="NJJ199" s="2"/>
      <c r="NJK199" s="2"/>
      <c r="NJL199" s="2"/>
      <c r="NJM199" s="2"/>
      <c r="NJN199" s="2"/>
      <c r="NJO199" s="2"/>
      <c r="NJP199" s="2"/>
      <c r="NJQ199" s="2"/>
      <c r="NJR199" s="2"/>
      <c r="NJS199" s="2"/>
      <c r="NJT199" s="2"/>
      <c r="NJU199" s="2"/>
      <c r="NJV199" s="2"/>
      <c r="NJW199" s="2"/>
      <c r="NJX199" s="2"/>
      <c r="NJY199" s="2"/>
      <c r="NJZ199" s="2"/>
      <c r="NKA199" s="2"/>
      <c r="NKB199" s="2"/>
      <c r="NKC199" s="2"/>
      <c r="NKD199" s="2"/>
      <c r="NKE199" s="2"/>
      <c r="NKF199" s="2"/>
      <c r="NKG199" s="2"/>
      <c r="NKH199" s="2"/>
      <c r="NKI199" s="2"/>
      <c r="NKJ199" s="2"/>
      <c r="NKK199" s="2"/>
      <c r="NKL199" s="2"/>
      <c r="NKM199" s="2"/>
      <c r="NKN199" s="2"/>
      <c r="NKO199" s="2"/>
      <c r="NKP199" s="2"/>
      <c r="NKQ199" s="2"/>
      <c r="NKR199" s="2"/>
      <c r="NKS199" s="2"/>
      <c r="NKT199" s="2"/>
      <c r="NKU199" s="2"/>
      <c r="NKV199" s="2"/>
      <c r="NKW199" s="2"/>
      <c r="NKX199" s="2"/>
      <c r="NKY199" s="2"/>
      <c r="NKZ199" s="2"/>
      <c r="NLA199" s="2"/>
      <c r="NLB199" s="2"/>
      <c r="NLC199" s="2"/>
      <c r="NLD199" s="2"/>
      <c r="NLE199" s="2"/>
      <c r="NLF199" s="2"/>
      <c r="NLG199" s="2"/>
      <c r="NLH199" s="2"/>
      <c r="NLI199" s="2"/>
      <c r="NLJ199" s="2"/>
      <c r="NLK199" s="2"/>
      <c r="NLL199" s="2"/>
      <c r="NLM199" s="2"/>
      <c r="NLN199" s="2"/>
      <c r="NLO199" s="2"/>
      <c r="NLP199" s="2"/>
      <c r="NLQ199" s="2"/>
      <c r="NLR199" s="2"/>
      <c r="NLS199" s="2"/>
      <c r="NLT199" s="2"/>
      <c r="NLU199" s="2"/>
      <c r="NLV199" s="2"/>
      <c r="NLW199" s="2"/>
      <c r="NLX199" s="2"/>
      <c r="NLY199" s="2"/>
      <c r="NLZ199" s="2"/>
      <c r="NMA199" s="2"/>
      <c r="NMB199" s="2"/>
      <c r="NMC199" s="2"/>
      <c r="NMD199" s="2"/>
      <c r="NME199" s="2"/>
      <c r="NMF199" s="2"/>
      <c r="NMG199" s="2"/>
      <c r="NMH199" s="2"/>
      <c r="NMI199" s="2"/>
      <c r="NMJ199" s="2"/>
      <c r="NMK199" s="2"/>
      <c r="NML199" s="2"/>
      <c r="NMM199" s="2"/>
      <c r="NMN199" s="2"/>
      <c r="NMO199" s="2"/>
      <c r="NMP199" s="2"/>
      <c r="NMQ199" s="2"/>
      <c r="NMR199" s="2"/>
      <c r="NMS199" s="2"/>
      <c r="NMT199" s="2"/>
      <c r="NMU199" s="2"/>
      <c r="NMV199" s="2"/>
      <c r="NMW199" s="2"/>
      <c r="NMX199" s="2"/>
      <c r="NMY199" s="2"/>
      <c r="NMZ199" s="2"/>
      <c r="NNA199" s="2"/>
      <c r="NNB199" s="2"/>
      <c r="NNC199" s="2"/>
      <c r="NND199" s="2"/>
      <c r="NNE199" s="2"/>
      <c r="NNF199" s="2"/>
      <c r="NNG199" s="2"/>
      <c r="NNH199" s="2"/>
      <c r="NNI199" s="2"/>
      <c r="NNJ199" s="2"/>
      <c r="NNK199" s="2"/>
      <c r="NNL199" s="2"/>
      <c r="NNM199" s="2"/>
      <c r="NNN199" s="2"/>
      <c r="NNO199" s="2"/>
      <c r="NNP199" s="2"/>
      <c r="NNQ199" s="2"/>
      <c r="NNR199" s="2"/>
      <c r="NNS199" s="2"/>
      <c r="NNT199" s="2"/>
      <c r="NNU199" s="2"/>
      <c r="NNV199" s="2"/>
      <c r="NNW199" s="2"/>
      <c r="NNX199" s="2"/>
      <c r="NNY199" s="2"/>
      <c r="NNZ199" s="2"/>
      <c r="NOA199" s="2"/>
      <c r="NOB199" s="2"/>
      <c r="NOC199" s="2"/>
      <c r="NOD199" s="2"/>
      <c r="NOE199" s="2"/>
      <c r="NOF199" s="2"/>
      <c r="NOG199" s="2"/>
      <c r="NOH199" s="2"/>
      <c r="NOI199" s="2"/>
      <c r="NOJ199" s="2"/>
      <c r="NOK199" s="2"/>
      <c r="NOL199" s="2"/>
      <c r="NOM199" s="2"/>
      <c r="NON199" s="2"/>
      <c r="NOO199" s="2"/>
      <c r="NOP199" s="2"/>
      <c r="NOQ199" s="2"/>
      <c r="NOR199" s="2"/>
      <c r="NOS199" s="2"/>
      <c r="NOT199" s="2"/>
      <c r="NOU199" s="2"/>
      <c r="NOV199" s="2"/>
      <c r="NOW199" s="2"/>
      <c r="NOX199" s="2"/>
      <c r="NOY199" s="2"/>
      <c r="NOZ199" s="2"/>
      <c r="NPA199" s="2"/>
      <c r="NPB199" s="2"/>
      <c r="NPC199" s="2"/>
      <c r="NPD199" s="2"/>
      <c r="NPE199" s="2"/>
      <c r="NPF199" s="2"/>
      <c r="NPG199" s="2"/>
      <c r="NPH199" s="2"/>
      <c r="NPI199" s="2"/>
      <c r="NPJ199" s="2"/>
      <c r="NPK199" s="2"/>
      <c r="NPL199" s="2"/>
      <c r="NPM199" s="2"/>
      <c r="NPN199" s="2"/>
      <c r="NPO199" s="2"/>
      <c r="NPP199" s="2"/>
      <c r="NPQ199" s="2"/>
      <c r="NPR199" s="2"/>
      <c r="NPS199" s="2"/>
      <c r="NPT199" s="2"/>
      <c r="NPU199" s="2"/>
      <c r="NPV199" s="2"/>
      <c r="NPW199" s="2"/>
      <c r="NPX199" s="2"/>
      <c r="NPY199" s="2"/>
      <c r="NPZ199" s="2"/>
      <c r="NQA199" s="2"/>
      <c r="NQB199" s="2"/>
      <c r="NQC199" s="2"/>
      <c r="NQD199" s="2"/>
      <c r="NQE199" s="2"/>
      <c r="NQF199" s="2"/>
      <c r="NQG199" s="2"/>
      <c r="NQH199" s="2"/>
      <c r="NQI199" s="2"/>
      <c r="NQJ199" s="2"/>
      <c r="NQK199" s="2"/>
      <c r="NQL199" s="2"/>
      <c r="NQM199" s="2"/>
      <c r="NQN199" s="2"/>
      <c r="NQO199" s="2"/>
      <c r="NQP199" s="2"/>
      <c r="NQQ199" s="2"/>
      <c r="NQR199" s="2"/>
      <c r="NQS199" s="2"/>
      <c r="NQT199" s="2"/>
      <c r="NQU199" s="2"/>
      <c r="NQV199" s="2"/>
      <c r="NQW199" s="2"/>
      <c r="NQX199" s="2"/>
      <c r="NQY199" s="2"/>
      <c r="NQZ199" s="2"/>
      <c r="NRA199" s="2"/>
      <c r="NRB199" s="2"/>
      <c r="NRC199" s="2"/>
      <c r="NRD199" s="2"/>
      <c r="NRE199" s="2"/>
      <c r="NRF199" s="2"/>
      <c r="NRG199" s="2"/>
      <c r="NRH199" s="2"/>
      <c r="NRI199" s="2"/>
      <c r="NRJ199" s="2"/>
      <c r="NRK199" s="2"/>
      <c r="NRL199" s="2"/>
      <c r="NRM199" s="2"/>
      <c r="NRN199" s="2"/>
      <c r="NRO199" s="2"/>
      <c r="NRP199" s="2"/>
      <c r="NRQ199" s="2"/>
      <c r="NRR199" s="2"/>
      <c r="NRS199" s="2"/>
      <c r="NRT199" s="2"/>
      <c r="NRU199" s="2"/>
      <c r="NRV199" s="2"/>
      <c r="NRW199" s="2"/>
      <c r="NRX199" s="2"/>
      <c r="NRY199" s="2"/>
      <c r="NRZ199" s="2"/>
      <c r="NSA199" s="2"/>
      <c r="NSB199" s="2"/>
      <c r="NSC199" s="2"/>
      <c r="NSD199" s="2"/>
      <c r="NSE199" s="2"/>
      <c r="NSF199" s="2"/>
      <c r="NSG199" s="2"/>
      <c r="NSH199" s="2"/>
      <c r="NSI199" s="2"/>
      <c r="NSJ199" s="2"/>
      <c r="NSK199" s="2"/>
      <c r="NSL199" s="2"/>
      <c r="NSM199" s="2"/>
      <c r="NSN199" s="2"/>
      <c r="NSO199" s="2"/>
      <c r="NSP199" s="2"/>
      <c r="NSQ199" s="2"/>
      <c r="NSR199" s="2"/>
      <c r="NSS199" s="2"/>
      <c r="NST199" s="2"/>
      <c r="NSU199" s="2"/>
      <c r="NSV199" s="2"/>
      <c r="NSW199" s="2"/>
      <c r="NSX199" s="2"/>
      <c r="NSY199" s="2"/>
      <c r="NSZ199" s="2"/>
      <c r="NTA199" s="2"/>
      <c r="NTB199" s="2"/>
      <c r="NTC199" s="2"/>
      <c r="NTD199" s="2"/>
      <c r="NTE199" s="2"/>
      <c r="NTF199" s="2"/>
      <c r="NTG199" s="2"/>
      <c r="NTH199" s="2"/>
      <c r="NTI199" s="2"/>
      <c r="NTJ199" s="2"/>
      <c r="NTK199" s="2"/>
      <c r="NTL199" s="2"/>
      <c r="NTM199" s="2"/>
      <c r="NTN199" s="2"/>
      <c r="NTO199" s="2"/>
      <c r="NTP199" s="2"/>
      <c r="NTQ199" s="2"/>
      <c r="NTR199" s="2"/>
      <c r="NTS199" s="2"/>
      <c r="NTT199" s="2"/>
      <c r="NTU199" s="2"/>
      <c r="NTV199" s="2"/>
      <c r="NTW199" s="2"/>
      <c r="NTX199" s="2"/>
      <c r="NTY199" s="2"/>
      <c r="NTZ199" s="2"/>
      <c r="NUA199" s="2"/>
      <c r="NUB199" s="2"/>
      <c r="NUC199" s="2"/>
      <c r="NUD199" s="2"/>
      <c r="NUE199" s="2"/>
      <c r="NUF199" s="2"/>
      <c r="NUG199" s="2"/>
      <c r="NUH199" s="2"/>
      <c r="NUI199" s="2"/>
      <c r="NUJ199" s="2"/>
      <c r="NUK199" s="2"/>
      <c r="NUL199" s="2"/>
      <c r="NUM199" s="2"/>
      <c r="NUN199" s="2"/>
      <c r="NUO199" s="2"/>
      <c r="NUP199" s="2"/>
      <c r="NUQ199" s="2"/>
      <c r="NUR199" s="2"/>
      <c r="NUS199" s="2"/>
      <c r="NUT199" s="2"/>
      <c r="NUU199" s="2"/>
      <c r="NUV199" s="2"/>
      <c r="NUW199" s="2"/>
      <c r="NUX199" s="2"/>
      <c r="NUY199" s="2"/>
      <c r="NUZ199" s="2"/>
      <c r="NVA199" s="2"/>
      <c r="NVB199" s="2"/>
      <c r="NVC199" s="2"/>
      <c r="NVD199" s="2"/>
      <c r="NVE199" s="2"/>
      <c r="NVF199" s="2"/>
      <c r="NVG199" s="2"/>
      <c r="NVH199" s="2"/>
      <c r="NVI199" s="2"/>
      <c r="NVJ199" s="2"/>
      <c r="NVK199" s="2"/>
      <c r="NVL199" s="2"/>
      <c r="NVM199" s="2"/>
      <c r="NVN199" s="2"/>
      <c r="NVO199" s="2"/>
      <c r="NVP199" s="2"/>
      <c r="NVQ199" s="2"/>
      <c r="NVR199" s="2"/>
      <c r="NVS199" s="2"/>
      <c r="NVT199" s="2"/>
      <c r="NVU199" s="2"/>
      <c r="NVV199" s="2"/>
      <c r="NVW199" s="2"/>
      <c r="NVX199" s="2"/>
      <c r="NVY199" s="2"/>
      <c r="NVZ199" s="2"/>
      <c r="NWA199" s="2"/>
      <c r="NWB199" s="2"/>
      <c r="NWC199" s="2"/>
      <c r="NWD199" s="2"/>
      <c r="NWE199" s="2"/>
      <c r="NWF199" s="2"/>
      <c r="NWG199" s="2"/>
      <c r="NWH199" s="2"/>
      <c r="NWI199" s="2"/>
      <c r="NWJ199" s="2"/>
      <c r="NWK199" s="2"/>
      <c r="NWL199" s="2"/>
      <c r="NWM199" s="2"/>
      <c r="NWN199" s="2"/>
      <c r="NWO199" s="2"/>
      <c r="NWP199" s="2"/>
      <c r="NWQ199" s="2"/>
      <c r="NWR199" s="2"/>
      <c r="NWS199" s="2"/>
      <c r="NWT199" s="2"/>
      <c r="NWU199" s="2"/>
      <c r="NWV199" s="2"/>
      <c r="NWW199" s="2"/>
      <c r="NWX199" s="2"/>
      <c r="NWY199" s="2"/>
      <c r="NWZ199" s="2"/>
      <c r="NXA199" s="2"/>
      <c r="NXB199" s="2"/>
      <c r="NXC199" s="2"/>
      <c r="NXD199" s="2"/>
      <c r="NXE199" s="2"/>
      <c r="NXF199" s="2"/>
      <c r="NXG199" s="2"/>
      <c r="NXH199" s="2"/>
      <c r="NXI199" s="2"/>
      <c r="NXJ199" s="2"/>
      <c r="NXK199" s="2"/>
      <c r="NXL199" s="2"/>
      <c r="NXM199" s="2"/>
      <c r="NXN199" s="2"/>
      <c r="NXO199" s="2"/>
      <c r="NXP199" s="2"/>
      <c r="NXQ199" s="2"/>
      <c r="NXR199" s="2"/>
      <c r="NXS199" s="2"/>
      <c r="NXT199" s="2"/>
      <c r="NXU199" s="2"/>
      <c r="NXV199" s="2"/>
      <c r="NXW199" s="2"/>
      <c r="NXX199" s="2"/>
      <c r="NXY199" s="2"/>
      <c r="NXZ199" s="2"/>
      <c r="NYA199" s="2"/>
      <c r="NYB199" s="2"/>
      <c r="NYC199" s="2"/>
      <c r="NYD199" s="2"/>
      <c r="NYE199" s="2"/>
      <c r="NYF199" s="2"/>
      <c r="NYG199" s="2"/>
      <c r="NYH199" s="2"/>
      <c r="NYI199" s="2"/>
      <c r="NYJ199" s="2"/>
      <c r="NYK199" s="2"/>
      <c r="NYL199" s="2"/>
      <c r="NYM199" s="2"/>
      <c r="NYN199" s="2"/>
      <c r="NYO199" s="2"/>
      <c r="NYP199" s="2"/>
      <c r="NYQ199" s="2"/>
      <c r="NYR199" s="2"/>
      <c r="NYS199" s="2"/>
      <c r="NYT199" s="2"/>
      <c r="NYU199" s="2"/>
      <c r="NYV199" s="2"/>
      <c r="NYW199" s="2"/>
      <c r="NYX199" s="2"/>
      <c r="NYY199" s="2"/>
      <c r="NYZ199" s="2"/>
      <c r="NZA199" s="2"/>
      <c r="NZB199" s="2"/>
      <c r="NZC199" s="2"/>
      <c r="NZD199" s="2"/>
      <c r="NZE199" s="2"/>
      <c r="NZF199" s="2"/>
      <c r="NZG199" s="2"/>
      <c r="NZH199" s="2"/>
      <c r="NZI199" s="2"/>
      <c r="NZJ199" s="2"/>
      <c r="NZK199" s="2"/>
      <c r="NZL199" s="2"/>
      <c r="NZM199" s="2"/>
      <c r="NZN199" s="2"/>
      <c r="NZO199" s="2"/>
      <c r="NZP199" s="2"/>
      <c r="NZQ199" s="2"/>
      <c r="NZR199" s="2"/>
      <c r="NZS199" s="2"/>
      <c r="NZT199" s="2"/>
      <c r="NZU199" s="2"/>
      <c r="NZV199" s="2"/>
      <c r="NZW199" s="2"/>
      <c r="NZX199" s="2"/>
      <c r="NZY199" s="2"/>
      <c r="NZZ199" s="2"/>
      <c r="OAA199" s="2"/>
      <c r="OAB199" s="2"/>
      <c r="OAC199" s="2"/>
      <c r="OAD199" s="2"/>
      <c r="OAE199" s="2"/>
      <c r="OAF199" s="2"/>
      <c r="OAG199" s="2"/>
      <c r="OAH199" s="2"/>
      <c r="OAI199" s="2"/>
      <c r="OAJ199" s="2"/>
      <c r="OAK199" s="2"/>
      <c r="OAL199" s="2"/>
      <c r="OAM199" s="2"/>
      <c r="OAN199" s="2"/>
      <c r="OAO199" s="2"/>
      <c r="OAP199" s="2"/>
      <c r="OAQ199" s="2"/>
      <c r="OAR199" s="2"/>
      <c r="OAS199" s="2"/>
      <c r="OAT199" s="2"/>
      <c r="OAU199" s="2"/>
      <c r="OAV199" s="2"/>
      <c r="OAW199" s="2"/>
      <c r="OAX199" s="2"/>
      <c r="OAY199" s="2"/>
      <c r="OAZ199" s="2"/>
      <c r="OBA199" s="2"/>
      <c r="OBB199" s="2"/>
      <c r="OBC199" s="2"/>
      <c r="OBD199" s="2"/>
      <c r="OBE199" s="2"/>
      <c r="OBF199" s="2"/>
      <c r="OBG199" s="2"/>
      <c r="OBH199" s="2"/>
      <c r="OBI199" s="2"/>
      <c r="OBJ199" s="2"/>
      <c r="OBK199" s="2"/>
      <c r="OBL199" s="2"/>
      <c r="OBM199" s="2"/>
      <c r="OBN199" s="2"/>
      <c r="OBO199" s="2"/>
      <c r="OBP199" s="2"/>
      <c r="OBQ199" s="2"/>
      <c r="OBR199" s="2"/>
      <c r="OBS199" s="2"/>
      <c r="OBT199" s="2"/>
      <c r="OBU199" s="2"/>
      <c r="OBV199" s="2"/>
      <c r="OBW199" s="2"/>
      <c r="OBX199" s="2"/>
      <c r="OBY199" s="2"/>
      <c r="OBZ199" s="2"/>
      <c r="OCA199" s="2"/>
      <c r="OCB199" s="2"/>
      <c r="OCC199" s="2"/>
      <c r="OCD199" s="2"/>
      <c r="OCE199" s="2"/>
      <c r="OCF199" s="2"/>
      <c r="OCG199" s="2"/>
      <c r="OCH199" s="2"/>
      <c r="OCI199" s="2"/>
      <c r="OCJ199" s="2"/>
      <c r="OCK199" s="2"/>
      <c r="OCL199" s="2"/>
      <c r="OCM199" s="2"/>
      <c r="OCN199" s="2"/>
      <c r="OCO199" s="2"/>
      <c r="OCP199" s="2"/>
      <c r="OCQ199" s="2"/>
      <c r="OCR199" s="2"/>
      <c r="OCS199" s="2"/>
      <c r="OCT199" s="2"/>
      <c r="OCU199" s="2"/>
      <c r="OCV199" s="2"/>
      <c r="OCW199" s="2"/>
      <c r="OCX199" s="2"/>
      <c r="OCY199" s="2"/>
      <c r="OCZ199" s="2"/>
      <c r="ODA199" s="2"/>
      <c r="ODB199" s="2"/>
      <c r="ODC199" s="2"/>
      <c r="ODD199" s="2"/>
      <c r="ODE199" s="2"/>
      <c r="ODF199" s="2"/>
      <c r="ODG199" s="2"/>
      <c r="ODH199" s="2"/>
      <c r="ODI199" s="2"/>
      <c r="ODJ199" s="2"/>
      <c r="ODK199" s="2"/>
      <c r="ODL199" s="2"/>
      <c r="ODM199" s="2"/>
      <c r="ODN199" s="2"/>
      <c r="ODO199" s="2"/>
      <c r="ODP199" s="2"/>
      <c r="ODQ199" s="2"/>
      <c r="ODR199" s="2"/>
      <c r="ODS199" s="2"/>
      <c r="ODT199" s="2"/>
      <c r="ODU199" s="2"/>
      <c r="ODV199" s="2"/>
      <c r="ODW199" s="2"/>
      <c r="ODX199" s="2"/>
      <c r="ODY199" s="2"/>
      <c r="ODZ199" s="2"/>
      <c r="OEA199" s="2"/>
      <c r="OEB199" s="2"/>
      <c r="OEC199" s="2"/>
      <c r="OED199" s="2"/>
      <c r="OEE199" s="2"/>
      <c r="OEF199" s="2"/>
      <c r="OEG199" s="2"/>
      <c r="OEH199" s="2"/>
      <c r="OEI199" s="2"/>
      <c r="OEJ199" s="2"/>
      <c r="OEK199" s="2"/>
      <c r="OEL199" s="2"/>
      <c r="OEM199" s="2"/>
      <c r="OEN199" s="2"/>
      <c r="OEO199" s="2"/>
      <c r="OEP199" s="2"/>
      <c r="OEQ199" s="2"/>
      <c r="OER199" s="2"/>
      <c r="OES199" s="2"/>
      <c r="OET199" s="2"/>
      <c r="OEU199" s="2"/>
      <c r="OEV199" s="2"/>
      <c r="OEW199" s="2"/>
      <c r="OEX199" s="2"/>
      <c r="OEY199" s="2"/>
      <c r="OEZ199" s="2"/>
      <c r="OFA199" s="2"/>
      <c r="OFB199" s="2"/>
      <c r="OFC199" s="2"/>
      <c r="OFD199" s="2"/>
      <c r="OFE199" s="2"/>
      <c r="OFF199" s="2"/>
      <c r="OFG199" s="2"/>
      <c r="OFH199" s="2"/>
      <c r="OFI199" s="2"/>
      <c r="OFJ199" s="2"/>
      <c r="OFK199" s="2"/>
      <c r="OFL199" s="2"/>
      <c r="OFM199" s="2"/>
      <c r="OFN199" s="2"/>
      <c r="OFO199" s="2"/>
      <c r="OFP199" s="2"/>
      <c r="OFQ199" s="2"/>
      <c r="OFR199" s="2"/>
      <c r="OFS199" s="2"/>
      <c r="OFT199" s="2"/>
      <c r="OFU199" s="2"/>
      <c r="OFV199" s="2"/>
      <c r="OFW199" s="2"/>
      <c r="OFX199" s="2"/>
      <c r="OFY199" s="2"/>
      <c r="OFZ199" s="2"/>
      <c r="OGA199" s="2"/>
      <c r="OGB199" s="2"/>
      <c r="OGC199" s="2"/>
      <c r="OGD199" s="2"/>
      <c r="OGE199" s="2"/>
      <c r="OGF199" s="2"/>
      <c r="OGG199" s="2"/>
      <c r="OGH199" s="2"/>
      <c r="OGI199" s="2"/>
      <c r="OGJ199" s="2"/>
      <c r="OGK199" s="2"/>
      <c r="OGL199" s="2"/>
      <c r="OGM199" s="2"/>
      <c r="OGN199" s="2"/>
      <c r="OGO199" s="2"/>
      <c r="OGP199" s="2"/>
      <c r="OGQ199" s="2"/>
      <c r="OGR199" s="2"/>
      <c r="OGS199" s="2"/>
      <c r="OGT199" s="2"/>
      <c r="OGU199" s="2"/>
      <c r="OGV199" s="2"/>
      <c r="OGW199" s="2"/>
      <c r="OGX199" s="2"/>
      <c r="OGY199" s="2"/>
      <c r="OGZ199" s="2"/>
      <c r="OHA199" s="2"/>
      <c r="OHB199" s="2"/>
      <c r="OHC199" s="2"/>
      <c r="OHD199" s="2"/>
      <c r="OHE199" s="2"/>
      <c r="OHF199" s="2"/>
      <c r="OHG199" s="2"/>
      <c r="OHH199" s="2"/>
      <c r="OHI199" s="2"/>
      <c r="OHJ199" s="2"/>
      <c r="OHK199" s="2"/>
      <c r="OHL199" s="2"/>
      <c r="OHM199" s="2"/>
      <c r="OHN199" s="2"/>
      <c r="OHO199" s="2"/>
      <c r="OHP199" s="2"/>
      <c r="OHQ199" s="2"/>
      <c r="OHR199" s="2"/>
      <c r="OHS199" s="2"/>
      <c r="OHT199" s="2"/>
      <c r="OHU199" s="2"/>
      <c r="OHV199" s="2"/>
      <c r="OHW199" s="2"/>
      <c r="OHX199" s="2"/>
      <c r="OHY199" s="2"/>
      <c r="OHZ199" s="2"/>
      <c r="OIA199" s="2"/>
      <c r="OIB199" s="2"/>
      <c r="OIC199" s="2"/>
      <c r="OID199" s="2"/>
      <c r="OIE199" s="2"/>
      <c r="OIF199" s="2"/>
      <c r="OIG199" s="2"/>
      <c r="OIH199" s="2"/>
      <c r="OII199" s="2"/>
      <c r="OIJ199" s="2"/>
      <c r="OIK199" s="2"/>
      <c r="OIL199" s="2"/>
      <c r="OIM199" s="2"/>
      <c r="OIN199" s="2"/>
      <c r="OIO199" s="2"/>
      <c r="OIP199" s="2"/>
      <c r="OIQ199" s="2"/>
      <c r="OIR199" s="2"/>
      <c r="OIS199" s="2"/>
      <c r="OIT199" s="2"/>
      <c r="OIU199" s="2"/>
      <c r="OIV199" s="2"/>
      <c r="OIW199" s="2"/>
      <c r="OIX199" s="2"/>
      <c r="OIY199" s="2"/>
      <c r="OIZ199" s="2"/>
      <c r="OJA199" s="2"/>
      <c r="OJB199" s="2"/>
      <c r="OJC199" s="2"/>
      <c r="OJD199" s="2"/>
      <c r="OJE199" s="2"/>
      <c r="OJF199" s="2"/>
      <c r="OJG199" s="2"/>
      <c r="OJH199" s="2"/>
      <c r="OJI199" s="2"/>
      <c r="OJJ199" s="2"/>
      <c r="OJK199" s="2"/>
      <c r="OJL199" s="2"/>
      <c r="OJM199" s="2"/>
      <c r="OJN199" s="2"/>
      <c r="OJO199" s="2"/>
      <c r="OJP199" s="2"/>
      <c r="OJQ199" s="2"/>
      <c r="OJR199" s="2"/>
      <c r="OJS199" s="2"/>
      <c r="OJT199" s="2"/>
      <c r="OJU199" s="2"/>
      <c r="OJV199" s="2"/>
      <c r="OJW199" s="2"/>
      <c r="OJX199" s="2"/>
      <c r="OJY199" s="2"/>
      <c r="OJZ199" s="2"/>
      <c r="OKA199" s="2"/>
      <c r="OKB199" s="2"/>
      <c r="OKC199" s="2"/>
      <c r="OKD199" s="2"/>
      <c r="OKE199" s="2"/>
      <c r="OKF199" s="2"/>
      <c r="OKG199" s="2"/>
      <c r="OKH199" s="2"/>
      <c r="OKI199" s="2"/>
      <c r="OKJ199" s="2"/>
      <c r="OKK199" s="2"/>
      <c r="OKL199" s="2"/>
      <c r="OKM199" s="2"/>
      <c r="OKN199" s="2"/>
      <c r="OKO199" s="2"/>
      <c r="OKP199" s="2"/>
      <c r="OKQ199" s="2"/>
      <c r="OKR199" s="2"/>
      <c r="OKS199" s="2"/>
      <c r="OKT199" s="2"/>
      <c r="OKU199" s="2"/>
      <c r="OKV199" s="2"/>
      <c r="OKW199" s="2"/>
      <c r="OKX199" s="2"/>
      <c r="OKY199" s="2"/>
      <c r="OKZ199" s="2"/>
      <c r="OLA199" s="2"/>
      <c r="OLB199" s="2"/>
      <c r="OLC199" s="2"/>
      <c r="OLD199" s="2"/>
      <c r="OLE199" s="2"/>
      <c r="OLF199" s="2"/>
      <c r="OLG199" s="2"/>
      <c r="OLH199" s="2"/>
      <c r="OLI199" s="2"/>
      <c r="OLJ199" s="2"/>
      <c r="OLK199" s="2"/>
      <c r="OLL199" s="2"/>
      <c r="OLM199" s="2"/>
      <c r="OLN199" s="2"/>
      <c r="OLO199" s="2"/>
      <c r="OLP199" s="2"/>
      <c r="OLQ199" s="2"/>
      <c r="OLR199" s="2"/>
      <c r="OLS199" s="2"/>
      <c r="OLT199" s="2"/>
      <c r="OLU199" s="2"/>
      <c r="OLV199" s="2"/>
      <c r="OLW199" s="2"/>
      <c r="OLX199" s="2"/>
      <c r="OLY199" s="2"/>
      <c r="OLZ199" s="2"/>
      <c r="OMA199" s="2"/>
      <c r="OMB199" s="2"/>
      <c r="OMC199" s="2"/>
      <c r="OMD199" s="2"/>
      <c r="OME199" s="2"/>
      <c r="OMF199" s="2"/>
      <c r="OMG199" s="2"/>
      <c r="OMH199" s="2"/>
      <c r="OMI199" s="2"/>
      <c r="OMJ199" s="2"/>
      <c r="OMK199" s="2"/>
      <c r="OML199" s="2"/>
      <c r="OMM199" s="2"/>
      <c r="OMN199" s="2"/>
      <c r="OMO199" s="2"/>
      <c r="OMP199" s="2"/>
      <c r="OMQ199" s="2"/>
      <c r="OMR199" s="2"/>
      <c r="OMS199" s="2"/>
      <c r="OMT199" s="2"/>
      <c r="OMU199" s="2"/>
      <c r="OMV199" s="2"/>
      <c r="OMW199" s="2"/>
      <c r="OMX199" s="2"/>
      <c r="OMY199" s="2"/>
      <c r="OMZ199" s="2"/>
      <c r="ONA199" s="2"/>
      <c r="ONB199" s="2"/>
      <c r="ONC199" s="2"/>
      <c r="OND199" s="2"/>
      <c r="ONE199" s="2"/>
      <c r="ONF199" s="2"/>
      <c r="ONG199" s="2"/>
      <c r="ONH199" s="2"/>
      <c r="ONI199" s="2"/>
      <c r="ONJ199" s="2"/>
      <c r="ONK199" s="2"/>
      <c r="ONL199" s="2"/>
      <c r="ONM199" s="2"/>
      <c r="ONN199" s="2"/>
      <c r="ONO199" s="2"/>
      <c r="ONP199" s="2"/>
      <c r="ONQ199" s="2"/>
      <c r="ONR199" s="2"/>
      <c r="ONS199" s="2"/>
      <c r="ONT199" s="2"/>
      <c r="ONU199" s="2"/>
      <c r="ONV199" s="2"/>
      <c r="ONW199" s="2"/>
      <c r="ONX199" s="2"/>
      <c r="ONY199" s="2"/>
      <c r="ONZ199" s="2"/>
      <c r="OOA199" s="2"/>
      <c r="OOB199" s="2"/>
      <c r="OOC199" s="2"/>
      <c r="OOD199" s="2"/>
      <c r="OOE199" s="2"/>
      <c r="OOF199" s="2"/>
      <c r="OOG199" s="2"/>
      <c r="OOH199" s="2"/>
      <c r="OOI199" s="2"/>
      <c r="OOJ199" s="2"/>
      <c r="OOK199" s="2"/>
      <c r="OOL199" s="2"/>
      <c r="OOM199" s="2"/>
      <c r="OON199" s="2"/>
      <c r="OOO199" s="2"/>
      <c r="OOP199" s="2"/>
      <c r="OOQ199" s="2"/>
      <c r="OOR199" s="2"/>
      <c r="OOS199" s="2"/>
      <c r="OOT199" s="2"/>
      <c r="OOU199" s="2"/>
      <c r="OOV199" s="2"/>
      <c r="OOW199" s="2"/>
      <c r="OOX199" s="2"/>
      <c r="OOY199" s="2"/>
      <c r="OOZ199" s="2"/>
      <c r="OPA199" s="2"/>
      <c r="OPB199" s="2"/>
      <c r="OPC199" s="2"/>
      <c r="OPD199" s="2"/>
      <c r="OPE199" s="2"/>
      <c r="OPF199" s="2"/>
      <c r="OPG199" s="2"/>
      <c r="OPH199" s="2"/>
      <c r="OPI199" s="2"/>
      <c r="OPJ199" s="2"/>
      <c r="OPK199" s="2"/>
      <c r="OPL199" s="2"/>
      <c r="OPM199" s="2"/>
      <c r="OPN199" s="2"/>
      <c r="OPO199" s="2"/>
      <c r="OPP199" s="2"/>
      <c r="OPQ199" s="2"/>
      <c r="OPR199" s="2"/>
      <c r="OPS199" s="2"/>
      <c r="OPT199" s="2"/>
      <c r="OPU199" s="2"/>
      <c r="OPV199" s="2"/>
      <c r="OPW199" s="2"/>
      <c r="OPX199" s="2"/>
      <c r="OPY199" s="2"/>
      <c r="OPZ199" s="2"/>
      <c r="OQA199" s="2"/>
      <c r="OQB199" s="2"/>
      <c r="OQC199" s="2"/>
      <c r="OQD199" s="2"/>
      <c r="OQE199" s="2"/>
      <c r="OQF199" s="2"/>
      <c r="OQG199" s="2"/>
      <c r="OQH199" s="2"/>
      <c r="OQI199" s="2"/>
      <c r="OQJ199" s="2"/>
      <c r="OQK199" s="2"/>
      <c r="OQL199" s="2"/>
      <c r="OQM199" s="2"/>
      <c r="OQN199" s="2"/>
      <c r="OQO199" s="2"/>
      <c r="OQP199" s="2"/>
      <c r="OQQ199" s="2"/>
      <c r="OQR199" s="2"/>
      <c r="OQS199" s="2"/>
      <c r="OQT199" s="2"/>
      <c r="OQU199" s="2"/>
      <c r="OQV199" s="2"/>
      <c r="OQW199" s="2"/>
      <c r="OQX199" s="2"/>
      <c r="OQY199" s="2"/>
      <c r="OQZ199" s="2"/>
      <c r="ORA199" s="2"/>
      <c r="ORB199" s="2"/>
      <c r="ORC199" s="2"/>
      <c r="ORD199" s="2"/>
      <c r="ORE199" s="2"/>
      <c r="ORF199" s="2"/>
      <c r="ORG199" s="2"/>
      <c r="ORH199" s="2"/>
      <c r="ORI199" s="2"/>
      <c r="ORJ199" s="2"/>
      <c r="ORK199" s="2"/>
      <c r="ORL199" s="2"/>
      <c r="ORM199" s="2"/>
      <c r="ORN199" s="2"/>
      <c r="ORO199" s="2"/>
      <c r="ORP199" s="2"/>
      <c r="ORQ199" s="2"/>
      <c r="ORR199" s="2"/>
      <c r="ORS199" s="2"/>
      <c r="ORT199" s="2"/>
      <c r="ORU199" s="2"/>
      <c r="ORV199" s="2"/>
      <c r="ORW199" s="2"/>
      <c r="ORX199" s="2"/>
      <c r="ORY199" s="2"/>
      <c r="ORZ199" s="2"/>
      <c r="OSA199" s="2"/>
      <c r="OSB199" s="2"/>
      <c r="OSC199" s="2"/>
      <c r="OSD199" s="2"/>
      <c r="OSE199" s="2"/>
      <c r="OSF199" s="2"/>
      <c r="OSG199" s="2"/>
      <c r="OSH199" s="2"/>
      <c r="OSI199" s="2"/>
      <c r="OSJ199" s="2"/>
      <c r="OSK199" s="2"/>
      <c r="OSL199" s="2"/>
      <c r="OSM199" s="2"/>
      <c r="OSN199" s="2"/>
      <c r="OSO199" s="2"/>
      <c r="OSP199" s="2"/>
      <c r="OSQ199" s="2"/>
      <c r="OSR199" s="2"/>
      <c r="OSS199" s="2"/>
      <c r="OST199" s="2"/>
      <c r="OSU199" s="2"/>
      <c r="OSV199" s="2"/>
      <c r="OSW199" s="2"/>
      <c r="OSX199" s="2"/>
      <c r="OSY199" s="2"/>
      <c r="OSZ199" s="2"/>
      <c r="OTA199" s="2"/>
      <c r="OTB199" s="2"/>
      <c r="OTC199" s="2"/>
      <c r="OTD199" s="2"/>
      <c r="OTE199" s="2"/>
      <c r="OTF199" s="2"/>
      <c r="OTG199" s="2"/>
      <c r="OTH199" s="2"/>
      <c r="OTI199" s="2"/>
      <c r="OTJ199" s="2"/>
      <c r="OTK199" s="2"/>
      <c r="OTL199" s="2"/>
      <c r="OTM199" s="2"/>
      <c r="OTN199" s="2"/>
      <c r="OTO199" s="2"/>
      <c r="OTP199" s="2"/>
      <c r="OTQ199" s="2"/>
      <c r="OTR199" s="2"/>
      <c r="OTS199" s="2"/>
      <c r="OTT199" s="2"/>
      <c r="OTU199" s="2"/>
      <c r="OTV199" s="2"/>
      <c r="OTW199" s="2"/>
      <c r="OTX199" s="2"/>
      <c r="OTY199" s="2"/>
      <c r="OTZ199" s="2"/>
      <c r="OUA199" s="2"/>
      <c r="OUB199" s="2"/>
      <c r="OUC199" s="2"/>
      <c r="OUD199" s="2"/>
      <c r="OUE199" s="2"/>
      <c r="OUF199" s="2"/>
      <c r="OUG199" s="2"/>
      <c r="OUH199" s="2"/>
      <c r="OUI199" s="2"/>
      <c r="OUJ199" s="2"/>
      <c r="OUK199" s="2"/>
      <c r="OUL199" s="2"/>
      <c r="OUM199" s="2"/>
      <c r="OUN199" s="2"/>
      <c r="OUO199" s="2"/>
      <c r="OUP199" s="2"/>
      <c r="OUQ199" s="2"/>
      <c r="OUR199" s="2"/>
      <c r="OUS199" s="2"/>
      <c r="OUT199" s="2"/>
      <c r="OUU199" s="2"/>
      <c r="OUV199" s="2"/>
      <c r="OUW199" s="2"/>
      <c r="OUX199" s="2"/>
      <c r="OUY199" s="2"/>
      <c r="OUZ199" s="2"/>
      <c r="OVA199" s="2"/>
      <c r="OVB199" s="2"/>
      <c r="OVC199" s="2"/>
      <c r="OVD199" s="2"/>
      <c r="OVE199" s="2"/>
      <c r="OVF199" s="2"/>
      <c r="OVG199" s="2"/>
      <c r="OVH199" s="2"/>
      <c r="OVI199" s="2"/>
      <c r="OVJ199" s="2"/>
      <c r="OVK199" s="2"/>
      <c r="OVL199" s="2"/>
      <c r="OVM199" s="2"/>
      <c r="OVN199" s="2"/>
      <c r="OVO199" s="2"/>
      <c r="OVP199" s="2"/>
      <c r="OVQ199" s="2"/>
      <c r="OVR199" s="2"/>
      <c r="OVS199" s="2"/>
      <c r="OVT199" s="2"/>
      <c r="OVU199" s="2"/>
      <c r="OVV199" s="2"/>
      <c r="OVW199" s="2"/>
      <c r="OVX199" s="2"/>
      <c r="OVY199" s="2"/>
      <c r="OVZ199" s="2"/>
      <c r="OWA199" s="2"/>
      <c r="OWB199" s="2"/>
      <c r="OWC199" s="2"/>
      <c r="OWD199" s="2"/>
      <c r="OWE199" s="2"/>
      <c r="OWF199" s="2"/>
      <c r="OWG199" s="2"/>
      <c r="OWH199" s="2"/>
      <c r="OWI199" s="2"/>
      <c r="OWJ199" s="2"/>
      <c r="OWK199" s="2"/>
      <c r="OWL199" s="2"/>
      <c r="OWM199" s="2"/>
      <c r="OWN199" s="2"/>
      <c r="OWO199" s="2"/>
      <c r="OWP199" s="2"/>
      <c r="OWQ199" s="2"/>
      <c r="OWR199" s="2"/>
      <c r="OWS199" s="2"/>
      <c r="OWT199" s="2"/>
      <c r="OWU199" s="2"/>
      <c r="OWV199" s="2"/>
      <c r="OWW199" s="2"/>
      <c r="OWX199" s="2"/>
      <c r="OWY199" s="2"/>
      <c r="OWZ199" s="2"/>
      <c r="OXA199" s="2"/>
      <c r="OXB199" s="2"/>
      <c r="OXC199" s="2"/>
      <c r="OXD199" s="2"/>
      <c r="OXE199" s="2"/>
      <c r="OXF199" s="2"/>
      <c r="OXG199" s="2"/>
      <c r="OXH199" s="2"/>
      <c r="OXI199" s="2"/>
      <c r="OXJ199" s="2"/>
      <c r="OXK199" s="2"/>
      <c r="OXL199" s="2"/>
      <c r="OXM199" s="2"/>
      <c r="OXN199" s="2"/>
      <c r="OXO199" s="2"/>
      <c r="OXP199" s="2"/>
      <c r="OXQ199" s="2"/>
      <c r="OXR199" s="2"/>
      <c r="OXS199" s="2"/>
      <c r="OXT199" s="2"/>
      <c r="OXU199" s="2"/>
      <c r="OXV199" s="2"/>
      <c r="OXW199" s="2"/>
      <c r="OXX199" s="2"/>
      <c r="OXY199" s="2"/>
      <c r="OXZ199" s="2"/>
      <c r="OYA199" s="2"/>
      <c r="OYB199" s="2"/>
      <c r="OYC199" s="2"/>
      <c r="OYD199" s="2"/>
      <c r="OYE199" s="2"/>
      <c r="OYF199" s="2"/>
      <c r="OYG199" s="2"/>
      <c r="OYH199" s="2"/>
      <c r="OYI199" s="2"/>
      <c r="OYJ199" s="2"/>
      <c r="OYK199" s="2"/>
      <c r="OYL199" s="2"/>
      <c r="OYM199" s="2"/>
      <c r="OYN199" s="2"/>
      <c r="OYO199" s="2"/>
      <c r="OYP199" s="2"/>
      <c r="OYQ199" s="2"/>
      <c r="OYR199" s="2"/>
      <c r="OYS199" s="2"/>
      <c r="OYT199" s="2"/>
      <c r="OYU199" s="2"/>
      <c r="OYV199" s="2"/>
      <c r="OYW199" s="2"/>
      <c r="OYX199" s="2"/>
      <c r="OYY199" s="2"/>
      <c r="OYZ199" s="2"/>
      <c r="OZA199" s="2"/>
      <c r="OZB199" s="2"/>
      <c r="OZC199" s="2"/>
      <c r="OZD199" s="2"/>
      <c r="OZE199" s="2"/>
      <c r="OZF199" s="2"/>
      <c r="OZG199" s="2"/>
      <c r="OZH199" s="2"/>
      <c r="OZI199" s="2"/>
      <c r="OZJ199" s="2"/>
      <c r="OZK199" s="2"/>
      <c r="OZL199" s="2"/>
      <c r="OZM199" s="2"/>
      <c r="OZN199" s="2"/>
      <c r="OZO199" s="2"/>
      <c r="OZP199" s="2"/>
      <c r="OZQ199" s="2"/>
      <c r="OZR199" s="2"/>
      <c r="OZS199" s="2"/>
      <c r="OZT199" s="2"/>
      <c r="OZU199" s="2"/>
      <c r="OZV199" s="2"/>
      <c r="OZW199" s="2"/>
      <c r="OZX199" s="2"/>
      <c r="OZY199" s="2"/>
      <c r="OZZ199" s="2"/>
      <c r="PAA199" s="2"/>
      <c r="PAB199" s="2"/>
      <c r="PAC199" s="2"/>
      <c r="PAD199" s="2"/>
      <c r="PAE199" s="2"/>
      <c r="PAF199" s="2"/>
      <c r="PAG199" s="2"/>
      <c r="PAH199" s="2"/>
      <c r="PAI199" s="2"/>
      <c r="PAJ199" s="2"/>
      <c r="PAK199" s="2"/>
      <c r="PAL199" s="2"/>
      <c r="PAM199" s="2"/>
      <c r="PAN199" s="2"/>
      <c r="PAO199" s="2"/>
      <c r="PAP199" s="2"/>
      <c r="PAQ199" s="2"/>
      <c r="PAR199" s="2"/>
      <c r="PAS199" s="2"/>
      <c r="PAT199" s="2"/>
      <c r="PAU199" s="2"/>
      <c r="PAV199" s="2"/>
      <c r="PAW199" s="2"/>
      <c r="PAX199" s="2"/>
      <c r="PAY199" s="2"/>
      <c r="PAZ199" s="2"/>
      <c r="PBA199" s="2"/>
      <c r="PBB199" s="2"/>
      <c r="PBC199" s="2"/>
      <c r="PBD199" s="2"/>
      <c r="PBE199" s="2"/>
      <c r="PBF199" s="2"/>
      <c r="PBG199" s="2"/>
      <c r="PBH199" s="2"/>
      <c r="PBI199" s="2"/>
      <c r="PBJ199" s="2"/>
      <c r="PBK199" s="2"/>
      <c r="PBL199" s="2"/>
      <c r="PBM199" s="2"/>
      <c r="PBN199" s="2"/>
      <c r="PBO199" s="2"/>
      <c r="PBP199" s="2"/>
      <c r="PBQ199" s="2"/>
      <c r="PBR199" s="2"/>
      <c r="PBS199" s="2"/>
      <c r="PBT199" s="2"/>
      <c r="PBU199" s="2"/>
      <c r="PBV199" s="2"/>
      <c r="PBW199" s="2"/>
      <c r="PBX199" s="2"/>
      <c r="PBY199" s="2"/>
      <c r="PBZ199" s="2"/>
      <c r="PCA199" s="2"/>
      <c r="PCB199" s="2"/>
      <c r="PCC199" s="2"/>
      <c r="PCD199" s="2"/>
      <c r="PCE199" s="2"/>
      <c r="PCF199" s="2"/>
      <c r="PCG199" s="2"/>
      <c r="PCH199" s="2"/>
      <c r="PCI199" s="2"/>
      <c r="PCJ199" s="2"/>
      <c r="PCK199" s="2"/>
      <c r="PCL199" s="2"/>
      <c r="PCM199" s="2"/>
      <c r="PCN199" s="2"/>
      <c r="PCO199" s="2"/>
      <c r="PCP199" s="2"/>
      <c r="PCQ199" s="2"/>
      <c r="PCR199" s="2"/>
      <c r="PCS199" s="2"/>
      <c r="PCT199" s="2"/>
      <c r="PCU199" s="2"/>
      <c r="PCV199" s="2"/>
      <c r="PCW199" s="2"/>
      <c r="PCX199" s="2"/>
      <c r="PCY199" s="2"/>
      <c r="PCZ199" s="2"/>
      <c r="PDA199" s="2"/>
      <c r="PDB199" s="2"/>
      <c r="PDC199" s="2"/>
      <c r="PDD199" s="2"/>
      <c r="PDE199" s="2"/>
      <c r="PDF199" s="2"/>
      <c r="PDG199" s="2"/>
      <c r="PDH199" s="2"/>
      <c r="PDI199" s="2"/>
      <c r="PDJ199" s="2"/>
      <c r="PDK199" s="2"/>
      <c r="PDL199" s="2"/>
      <c r="PDM199" s="2"/>
      <c r="PDN199" s="2"/>
      <c r="PDO199" s="2"/>
      <c r="PDP199" s="2"/>
      <c r="PDQ199" s="2"/>
      <c r="PDR199" s="2"/>
      <c r="PDS199" s="2"/>
      <c r="PDT199" s="2"/>
      <c r="PDU199" s="2"/>
      <c r="PDV199" s="2"/>
      <c r="PDW199" s="2"/>
      <c r="PDX199" s="2"/>
      <c r="PDY199" s="2"/>
      <c r="PDZ199" s="2"/>
      <c r="PEA199" s="2"/>
      <c r="PEB199" s="2"/>
      <c r="PEC199" s="2"/>
      <c r="PED199" s="2"/>
      <c r="PEE199" s="2"/>
      <c r="PEF199" s="2"/>
      <c r="PEG199" s="2"/>
      <c r="PEH199" s="2"/>
      <c r="PEI199" s="2"/>
      <c r="PEJ199" s="2"/>
      <c r="PEK199" s="2"/>
      <c r="PEL199" s="2"/>
      <c r="PEM199" s="2"/>
      <c r="PEN199" s="2"/>
      <c r="PEO199" s="2"/>
      <c r="PEP199" s="2"/>
      <c r="PEQ199" s="2"/>
      <c r="PER199" s="2"/>
      <c r="PES199" s="2"/>
      <c r="PET199" s="2"/>
      <c r="PEU199" s="2"/>
      <c r="PEV199" s="2"/>
      <c r="PEW199" s="2"/>
      <c r="PEX199" s="2"/>
      <c r="PEY199" s="2"/>
      <c r="PEZ199" s="2"/>
      <c r="PFA199" s="2"/>
      <c r="PFB199" s="2"/>
      <c r="PFC199" s="2"/>
      <c r="PFD199" s="2"/>
      <c r="PFE199" s="2"/>
      <c r="PFF199" s="2"/>
      <c r="PFG199" s="2"/>
      <c r="PFH199" s="2"/>
      <c r="PFI199" s="2"/>
      <c r="PFJ199" s="2"/>
      <c r="PFK199" s="2"/>
      <c r="PFL199" s="2"/>
      <c r="PFM199" s="2"/>
      <c r="PFN199" s="2"/>
      <c r="PFO199" s="2"/>
      <c r="PFP199" s="2"/>
      <c r="PFQ199" s="2"/>
      <c r="PFR199" s="2"/>
      <c r="PFS199" s="2"/>
      <c r="PFT199" s="2"/>
      <c r="PFU199" s="2"/>
      <c r="PFV199" s="2"/>
      <c r="PFW199" s="2"/>
      <c r="PFX199" s="2"/>
      <c r="PFY199" s="2"/>
      <c r="PFZ199" s="2"/>
      <c r="PGA199" s="2"/>
      <c r="PGB199" s="2"/>
      <c r="PGC199" s="2"/>
      <c r="PGD199" s="2"/>
      <c r="PGE199" s="2"/>
      <c r="PGF199" s="2"/>
      <c r="PGG199" s="2"/>
      <c r="PGH199" s="2"/>
      <c r="PGI199" s="2"/>
      <c r="PGJ199" s="2"/>
      <c r="PGK199" s="2"/>
      <c r="PGL199" s="2"/>
      <c r="PGM199" s="2"/>
      <c r="PGN199" s="2"/>
      <c r="PGO199" s="2"/>
      <c r="PGP199" s="2"/>
      <c r="PGQ199" s="2"/>
      <c r="PGR199" s="2"/>
      <c r="PGS199" s="2"/>
      <c r="PGT199" s="2"/>
      <c r="PGU199" s="2"/>
      <c r="PGV199" s="2"/>
      <c r="PGW199" s="2"/>
      <c r="PGX199" s="2"/>
      <c r="PGY199" s="2"/>
      <c r="PGZ199" s="2"/>
      <c r="PHA199" s="2"/>
      <c r="PHB199" s="2"/>
      <c r="PHC199" s="2"/>
      <c r="PHD199" s="2"/>
      <c r="PHE199" s="2"/>
      <c r="PHF199" s="2"/>
      <c r="PHG199" s="2"/>
      <c r="PHH199" s="2"/>
      <c r="PHI199" s="2"/>
      <c r="PHJ199" s="2"/>
      <c r="PHK199" s="2"/>
      <c r="PHL199" s="2"/>
      <c r="PHM199" s="2"/>
      <c r="PHN199" s="2"/>
      <c r="PHO199" s="2"/>
      <c r="PHP199" s="2"/>
      <c r="PHQ199" s="2"/>
      <c r="PHR199" s="2"/>
      <c r="PHS199" s="2"/>
      <c r="PHT199" s="2"/>
      <c r="PHU199" s="2"/>
      <c r="PHV199" s="2"/>
      <c r="PHW199" s="2"/>
      <c r="PHX199" s="2"/>
      <c r="PHY199" s="2"/>
      <c r="PHZ199" s="2"/>
      <c r="PIA199" s="2"/>
      <c r="PIB199" s="2"/>
      <c r="PIC199" s="2"/>
      <c r="PID199" s="2"/>
      <c r="PIE199" s="2"/>
      <c r="PIF199" s="2"/>
      <c r="PIG199" s="2"/>
      <c r="PIH199" s="2"/>
      <c r="PII199" s="2"/>
      <c r="PIJ199" s="2"/>
      <c r="PIK199" s="2"/>
      <c r="PIL199" s="2"/>
      <c r="PIM199" s="2"/>
      <c r="PIN199" s="2"/>
      <c r="PIO199" s="2"/>
      <c r="PIP199" s="2"/>
      <c r="PIQ199" s="2"/>
      <c r="PIR199" s="2"/>
      <c r="PIS199" s="2"/>
      <c r="PIT199" s="2"/>
      <c r="PIU199" s="2"/>
      <c r="PIV199" s="2"/>
      <c r="PIW199" s="2"/>
      <c r="PIX199" s="2"/>
      <c r="PIY199" s="2"/>
      <c r="PIZ199" s="2"/>
      <c r="PJA199" s="2"/>
      <c r="PJB199" s="2"/>
      <c r="PJC199" s="2"/>
      <c r="PJD199" s="2"/>
      <c r="PJE199" s="2"/>
      <c r="PJF199" s="2"/>
      <c r="PJG199" s="2"/>
      <c r="PJH199" s="2"/>
      <c r="PJI199" s="2"/>
      <c r="PJJ199" s="2"/>
      <c r="PJK199" s="2"/>
      <c r="PJL199" s="2"/>
      <c r="PJM199" s="2"/>
      <c r="PJN199" s="2"/>
      <c r="PJO199" s="2"/>
      <c r="PJP199" s="2"/>
      <c r="PJQ199" s="2"/>
      <c r="PJR199" s="2"/>
      <c r="PJS199" s="2"/>
      <c r="PJT199" s="2"/>
      <c r="PJU199" s="2"/>
      <c r="PJV199" s="2"/>
      <c r="PJW199" s="2"/>
      <c r="PJX199" s="2"/>
      <c r="PJY199" s="2"/>
      <c r="PJZ199" s="2"/>
      <c r="PKA199" s="2"/>
      <c r="PKB199" s="2"/>
      <c r="PKC199" s="2"/>
      <c r="PKD199" s="2"/>
      <c r="PKE199" s="2"/>
      <c r="PKF199" s="2"/>
      <c r="PKG199" s="2"/>
      <c r="PKH199" s="2"/>
      <c r="PKI199" s="2"/>
      <c r="PKJ199" s="2"/>
      <c r="PKK199" s="2"/>
      <c r="PKL199" s="2"/>
      <c r="PKM199" s="2"/>
      <c r="PKN199" s="2"/>
      <c r="PKO199" s="2"/>
      <c r="PKP199" s="2"/>
      <c r="PKQ199" s="2"/>
      <c r="PKR199" s="2"/>
      <c r="PKS199" s="2"/>
      <c r="PKT199" s="2"/>
      <c r="PKU199" s="2"/>
      <c r="PKV199" s="2"/>
      <c r="PKW199" s="2"/>
      <c r="PKX199" s="2"/>
      <c r="PKY199" s="2"/>
      <c r="PKZ199" s="2"/>
      <c r="PLA199" s="2"/>
      <c r="PLB199" s="2"/>
      <c r="PLC199" s="2"/>
      <c r="PLD199" s="2"/>
      <c r="PLE199" s="2"/>
      <c r="PLF199" s="2"/>
      <c r="PLG199" s="2"/>
      <c r="PLH199" s="2"/>
      <c r="PLI199" s="2"/>
      <c r="PLJ199" s="2"/>
      <c r="PLK199" s="2"/>
      <c r="PLL199" s="2"/>
      <c r="PLM199" s="2"/>
      <c r="PLN199" s="2"/>
      <c r="PLO199" s="2"/>
      <c r="PLP199" s="2"/>
      <c r="PLQ199" s="2"/>
      <c r="PLR199" s="2"/>
      <c r="PLS199" s="2"/>
      <c r="PLT199" s="2"/>
      <c r="PLU199" s="2"/>
      <c r="PLV199" s="2"/>
      <c r="PLW199" s="2"/>
      <c r="PLX199" s="2"/>
      <c r="PLY199" s="2"/>
      <c r="PLZ199" s="2"/>
      <c r="PMA199" s="2"/>
      <c r="PMB199" s="2"/>
      <c r="PMC199" s="2"/>
      <c r="PMD199" s="2"/>
      <c r="PME199" s="2"/>
      <c r="PMF199" s="2"/>
      <c r="PMG199" s="2"/>
      <c r="PMH199" s="2"/>
      <c r="PMI199" s="2"/>
      <c r="PMJ199" s="2"/>
      <c r="PMK199" s="2"/>
      <c r="PML199" s="2"/>
      <c r="PMM199" s="2"/>
      <c r="PMN199" s="2"/>
      <c r="PMO199" s="2"/>
      <c r="PMP199" s="2"/>
      <c r="PMQ199" s="2"/>
      <c r="PMR199" s="2"/>
      <c r="PMS199" s="2"/>
      <c r="PMT199" s="2"/>
      <c r="PMU199" s="2"/>
      <c r="PMV199" s="2"/>
      <c r="PMW199" s="2"/>
      <c r="PMX199" s="2"/>
      <c r="PMY199" s="2"/>
      <c r="PMZ199" s="2"/>
      <c r="PNA199" s="2"/>
      <c r="PNB199" s="2"/>
      <c r="PNC199" s="2"/>
      <c r="PND199" s="2"/>
      <c r="PNE199" s="2"/>
      <c r="PNF199" s="2"/>
      <c r="PNG199" s="2"/>
      <c r="PNH199" s="2"/>
      <c r="PNI199" s="2"/>
      <c r="PNJ199" s="2"/>
      <c r="PNK199" s="2"/>
      <c r="PNL199" s="2"/>
      <c r="PNM199" s="2"/>
      <c r="PNN199" s="2"/>
      <c r="PNO199" s="2"/>
      <c r="PNP199" s="2"/>
      <c r="PNQ199" s="2"/>
      <c r="PNR199" s="2"/>
      <c r="PNS199" s="2"/>
      <c r="PNT199" s="2"/>
      <c r="PNU199" s="2"/>
      <c r="PNV199" s="2"/>
      <c r="PNW199" s="2"/>
      <c r="PNX199" s="2"/>
      <c r="PNY199" s="2"/>
      <c r="PNZ199" s="2"/>
      <c r="POA199" s="2"/>
      <c r="POB199" s="2"/>
      <c r="POC199" s="2"/>
      <c r="POD199" s="2"/>
      <c r="POE199" s="2"/>
      <c r="POF199" s="2"/>
      <c r="POG199" s="2"/>
      <c r="POH199" s="2"/>
      <c r="POI199" s="2"/>
      <c r="POJ199" s="2"/>
      <c r="POK199" s="2"/>
      <c r="POL199" s="2"/>
      <c r="POM199" s="2"/>
      <c r="PON199" s="2"/>
      <c r="POO199" s="2"/>
      <c r="POP199" s="2"/>
      <c r="POQ199" s="2"/>
      <c r="POR199" s="2"/>
      <c r="POS199" s="2"/>
      <c r="POT199" s="2"/>
      <c r="POU199" s="2"/>
      <c r="POV199" s="2"/>
      <c r="POW199" s="2"/>
      <c r="POX199" s="2"/>
      <c r="POY199" s="2"/>
      <c r="POZ199" s="2"/>
      <c r="PPA199" s="2"/>
      <c r="PPB199" s="2"/>
      <c r="PPC199" s="2"/>
      <c r="PPD199" s="2"/>
      <c r="PPE199" s="2"/>
      <c r="PPF199" s="2"/>
      <c r="PPG199" s="2"/>
      <c r="PPH199" s="2"/>
      <c r="PPI199" s="2"/>
      <c r="PPJ199" s="2"/>
      <c r="PPK199" s="2"/>
      <c r="PPL199" s="2"/>
      <c r="PPM199" s="2"/>
      <c r="PPN199" s="2"/>
      <c r="PPO199" s="2"/>
      <c r="PPP199" s="2"/>
      <c r="PPQ199" s="2"/>
      <c r="PPR199" s="2"/>
      <c r="PPS199" s="2"/>
      <c r="PPT199" s="2"/>
      <c r="PPU199" s="2"/>
      <c r="PPV199" s="2"/>
      <c r="PPW199" s="2"/>
      <c r="PPX199" s="2"/>
      <c r="PPY199" s="2"/>
      <c r="PPZ199" s="2"/>
      <c r="PQA199" s="2"/>
      <c r="PQB199" s="2"/>
      <c r="PQC199" s="2"/>
      <c r="PQD199" s="2"/>
      <c r="PQE199" s="2"/>
      <c r="PQF199" s="2"/>
      <c r="PQG199" s="2"/>
      <c r="PQH199" s="2"/>
      <c r="PQI199" s="2"/>
      <c r="PQJ199" s="2"/>
      <c r="PQK199" s="2"/>
      <c r="PQL199" s="2"/>
      <c r="PQM199" s="2"/>
      <c r="PQN199" s="2"/>
      <c r="PQO199" s="2"/>
      <c r="PQP199" s="2"/>
      <c r="PQQ199" s="2"/>
      <c r="PQR199" s="2"/>
      <c r="PQS199" s="2"/>
      <c r="PQT199" s="2"/>
      <c r="PQU199" s="2"/>
      <c r="PQV199" s="2"/>
      <c r="PQW199" s="2"/>
      <c r="PQX199" s="2"/>
      <c r="PQY199" s="2"/>
      <c r="PQZ199" s="2"/>
      <c r="PRA199" s="2"/>
      <c r="PRB199" s="2"/>
      <c r="PRC199" s="2"/>
      <c r="PRD199" s="2"/>
      <c r="PRE199" s="2"/>
      <c r="PRF199" s="2"/>
      <c r="PRG199" s="2"/>
      <c r="PRH199" s="2"/>
      <c r="PRI199" s="2"/>
      <c r="PRJ199" s="2"/>
      <c r="PRK199" s="2"/>
      <c r="PRL199" s="2"/>
      <c r="PRM199" s="2"/>
      <c r="PRN199" s="2"/>
      <c r="PRO199" s="2"/>
      <c r="PRP199" s="2"/>
      <c r="PRQ199" s="2"/>
      <c r="PRR199" s="2"/>
      <c r="PRS199" s="2"/>
      <c r="PRT199" s="2"/>
      <c r="PRU199" s="2"/>
      <c r="PRV199" s="2"/>
      <c r="PRW199" s="2"/>
      <c r="PRX199" s="2"/>
      <c r="PRY199" s="2"/>
      <c r="PRZ199" s="2"/>
      <c r="PSA199" s="2"/>
      <c r="PSB199" s="2"/>
      <c r="PSC199" s="2"/>
      <c r="PSD199" s="2"/>
      <c r="PSE199" s="2"/>
      <c r="PSF199" s="2"/>
      <c r="PSG199" s="2"/>
      <c r="PSH199" s="2"/>
      <c r="PSI199" s="2"/>
      <c r="PSJ199" s="2"/>
      <c r="PSK199" s="2"/>
      <c r="PSL199" s="2"/>
      <c r="PSM199" s="2"/>
      <c r="PSN199" s="2"/>
      <c r="PSO199" s="2"/>
      <c r="PSP199" s="2"/>
      <c r="PSQ199" s="2"/>
      <c r="PSR199" s="2"/>
      <c r="PSS199" s="2"/>
      <c r="PST199" s="2"/>
      <c r="PSU199" s="2"/>
      <c r="PSV199" s="2"/>
      <c r="PSW199" s="2"/>
      <c r="PSX199" s="2"/>
      <c r="PSY199" s="2"/>
      <c r="PSZ199" s="2"/>
      <c r="PTA199" s="2"/>
      <c r="PTB199" s="2"/>
      <c r="PTC199" s="2"/>
      <c r="PTD199" s="2"/>
      <c r="PTE199" s="2"/>
      <c r="PTF199" s="2"/>
      <c r="PTG199" s="2"/>
      <c r="PTH199" s="2"/>
      <c r="PTI199" s="2"/>
      <c r="PTJ199" s="2"/>
      <c r="PTK199" s="2"/>
      <c r="PTL199" s="2"/>
      <c r="PTM199" s="2"/>
      <c r="PTN199" s="2"/>
      <c r="PTO199" s="2"/>
      <c r="PTP199" s="2"/>
      <c r="PTQ199" s="2"/>
      <c r="PTR199" s="2"/>
      <c r="PTS199" s="2"/>
      <c r="PTT199" s="2"/>
      <c r="PTU199" s="2"/>
      <c r="PTV199" s="2"/>
      <c r="PTW199" s="2"/>
      <c r="PTX199" s="2"/>
      <c r="PTY199" s="2"/>
      <c r="PTZ199" s="2"/>
      <c r="PUA199" s="2"/>
      <c r="PUB199" s="2"/>
      <c r="PUC199" s="2"/>
      <c r="PUD199" s="2"/>
      <c r="PUE199" s="2"/>
      <c r="PUF199" s="2"/>
      <c r="PUG199" s="2"/>
      <c r="PUH199" s="2"/>
      <c r="PUI199" s="2"/>
      <c r="PUJ199" s="2"/>
      <c r="PUK199" s="2"/>
      <c r="PUL199" s="2"/>
      <c r="PUM199" s="2"/>
      <c r="PUN199" s="2"/>
      <c r="PUO199" s="2"/>
      <c r="PUP199" s="2"/>
      <c r="PUQ199" s="2"/>
      <c r="PUR199" s="2"/>
      <c r="PUS199" s="2"/>
      <c r="PUT199" s="2"/>
      <c r="PUU199" s="2"/>
      <c r="PUV199" s="2"/>
      <c r="PUW199" s="2"/>
      <c r="PUX199" s="2"/>
      <c r="PUY199" s="2"/>
      <c r="PUZ199" s="2"/>
      <c r="PVA199" s="2"/>
      <c r="PVB199" s="2"/>
      <c r="PVC199" s="2"/>
      <c r="PVD199" s="2"/>
      <c r="PVE199" s="2"/>
      <c r="PVF199" s="2"/>
      <c r="PVG199" s="2"/>
      <c r="PVH199" s="2"/>
      <c r="PVI199" s="2"/>
      <c r="PVJ199" s="2"/>
      <c r="PVK199" s="2"/>
      <c r="PVL199" s="2"/>
      <c r="PVM199" s="2"/>
      <c r="PVN199" s="2"/>
      <c r="PVO199" s="2"/>
      <c r="PVP199" s="2"/>
      <c r="PVQ199" s="2"/>
      <c r="PVR199" s="2"/>
      <c r="PVS199" s="2"/>
      <c r="PVT199" s="2"/>
      <c r="PVU199" s="2"/>
      <c r="PVV199" s="2"/>
      <c r="PVW199" s="2"/>
      <c r="PVX199" s="2"/>
      <c r="PVY199" s="2"/>
      <c r="PVZ199" s="2"/>
      <c r="PWA199" s="2"/>
      <c r="PWB199" s="2"/>
      <c r="PWC199" s="2"/>
      <c r="PWD199" s="2"/>
      <c r="PWE199" s="2"/>
      <c r="PWF199" s="2"/>
      <c r="PWG199" s="2"/>
      <c r="PWH199" s="2"/>
      <c r="PWI199" s="2"/>
      <c r="PWJ199" s="2"/>
      <c r="PWK199" s="2"/>
      <c r="PWL199" s="2"/>
      <c r="PWM199" s="2"/>
      <c r="PWN199" s="2"/>
      <c r="PWO199" s="2"/>
      <c r="PWP199" s="2"/>
      <c r="PWQ199" s="2"/>
      <c r="PWR199" s="2"/>
      <c r="PWS199" s="2"/>
      <c r="PWT199" s="2"/>
      <c r="PWU199" s="2"/>
      <c r="PWV199" s="2"/>
      <c r="PWW199" s="2"/>
      <c r="PWX199" s="2"/>
      <c r="PWY199" s="2"/>
      <c r="PWZ199" s="2"/>
      <c r="PXA199" s="2"/>
      <c r="PXB199" s="2"/>
      <c r="PXC199" s="2"/>
      <c r="PXD199" s="2"/>
      <c r="PXE199" s="2"/>
      <c r="PXF199" s="2"/>
      <c r="PXG199" s="2"/>
      <c r="PXH199" s="2"/>
      <c r="PXI199" s="2"/>
      <c r="PXJ199" s="2"/>
      <c r="PXK199" s="2"/>
      <c r="PXL199" s="2"/>
      <c r="PXM199" s="2"/>
      <c r="PXN199" s="2"/>
      <c r="PXO199" s="2"/>
      <c r="PXP199" s="2"/>
      <c r="PXQ199" s="2"/>
      <c r="PXR199" s="2"/>
      <c r="PXS199" s="2"/>
      <c r="PXT199" s="2"/>
      <c r="PXU199" s="2"/>
      <c r="PXV199" s="2"/>
      <c r="PXW199" s="2"/>
      <c r="PXX199" s="2"/>
      <c r="PXY199" s="2"/>
      <c r="PXZ199" s="2"/>
      <c r="PYA199" s="2"/>
      <c r="PYB199" s="2"/>
      <c r="PYC199" s="2"/>
      <c r="PYD199" s="2"/>
      <c r="PYE199" s="2"/>
      <c r="PYF199" s="2"/>
      <c r="PYG199" s="2"/>
      <c r="PYH199" s="2"/>
      <c r="PYI199" s="2"/>
      <c r="PYJ199" s="2"/>
      <c r="PYK199" s="2"/>
      <c r="PYL199" s="2"/>
      <c r="PYM199" s="2"/>
      <c r="PYN199" s="2"/>
      <c r="PYO199" s="2"/>
      <c r="PYP199" s="2"/>
      <c r="PYQ199" s="2"/>
      <c r="PYR199" s="2"/>
      <c r="PYS199" s="2"/>
      <c r="PYT199" s="2"/>
      <c r="PYU199" s="2"/>
      <c r="PYV199" s="2"/>
      <c r="PYW199" s="2"/>
      <c r="PYX199" s="2"/>
      <c r="PYY199" s="2"/>
      <c r="PYZ199" s="2"/>
      <c r="PZA199" s="2"/>
      <c r="PZB199" s="2"/>
      <c r="PZC199" s="2"/>
      <c r="PZD199" s="2"/>
      <c r="PZE199" s="2"/>
      <c r="PZF199" s="2"/>
      <c r="PZG199" s="2"/>
      <c r="PZH199" s="2"/>
      <c r="PZI199" s="2"/>
      <c r="PZJ199" s="2"/>
      <c r="PZK199" s="2"/>
      <c r="PZL199" s="2"/>
      <c r="PZM199" s="2"/>
      <c r="PZN199" s="2"/>
      <c r="PZO199" s="2"/>
      <c r="PZP199" s="2"/>
      <c r="PZQ199" s="2"/>
      <c r="PZR199" s="2"/>
      <c r="PZS199" s="2"/>
      <c r="PZT199" s="2"/>
      <c r="PZU199" s="2"/>
      <c r="PZV199" s="2"/>
      <c r="PZW199" s="2"/>
      <c r="PZX199" s="2"/>
      <c r="PZY199" s="2"/>
      <c r="PZZ199" s="2"/>
      <c r="QAA199" s="2"/>
      <c r="QAB199" s="2"/>
      <c r="QAC199" s="2"/>
      <c r="QAD199" s="2"/>
      <c r="QAE199" s="2"/>
      <c r="QAF199" s="2"/>
      <c r="QAG199" s="2"/>
      <c r="QAH199" s="2"/>
      <c r="QAI199" s="2"/>
      <c r="QAJ199" s="2"/>
      <c r="QAK199" s="2"/>
      <c r="QAL199" s="2"/>
      <c r="QAM199" s="2"/>
      <c r="QAN199" s="2"/>
      <c r="QAO199" s="2"/>
      <c r="QAP199" s="2"/>
      <c r="QAQ199" s="2"/>
      <c r="QAR199" s="2"/>
      <c r="QAS199" s="2"/>
      <c r="QAT199" s="2"/>
      <c r="QAU199" s="2"/>
      <c r="QAV199" s="2"/>
      <c r="QAW199" s="2"/>
      <c r="QAX199" s="2"/>
      <c r="QAY199" s="2"/>
      <c r="QAZ199" s="2"/>
      <c r="QBA199" s="2"/>
      <c r="QBB199" s="2"/>
      <c r="QBC199" s="2"/>
      <c r="QBD199" s="2"/>
      <c r="QBE199" s="2"/>
      <c r="QBF199" s="2"/>
      <c r="QBG199" s="2"/>
      <c r="QBH199" s="2"/>
      <c r="QBI199" s="2"/>
      <c r="QBJ199" s="2"/>
      <c r="QBK199" s="2"/>
      <c r="QBL199" s="2"/>
      <c r="QBM199" s="2"/>
      <c r="QBN199" s="2"/>
      <c r="QBO199" s="2"/>
      <c r="QBP199" s="2"/>
      <c r="QBQ199" s="2"/>
      <c r="QBR199" s="2"/>
      <c r="QBS199" s="2"/>
      <c r="QBT199" s="2"/>
      <c r="QBU199" s="2"/>
      <c r="QBV199" s="2"/>
      <c r="QBW199" s="2"/>
      <c r="QBX199" s="2"/>
      <c r="QBY199" s="2"/>
      <c r="QBZ199" s="2"/>
      <c r="QCA199" s="2"/>
      <c r="QCB199" s="2"/>
      <c r="QCC199" s="2"/>
      <c r="QCD199" s="2"/>
      <c r="QCE199" s="2"/>
      <c r="QCF199" s="2"/>
      <c r="QCG199" s="2"/>
      <c r="QCH199" s="2"/>
      <c r="QCI199" s="2"/>
      <c r="QCJ199" s="2"/>
      <c r="QCK199" s="2"/>
      <c r="QCL199" s="2"/>
      <c r="QCM199" s="2"/>
      <c r="QCN199" s="2"/>
      <c r="QCO199" s="2"/>
      <c r="QCP199" s="2"/>
      <c r="QCQ199" s="2"/>
      <c r="QCR199" s="2"/>
      <c r="QCS199" s="2"/>
      <c r="QCT199" s="2"/>
      <c r="QCU199" s="2"/>
      <c r="QCV199" s="2"/>
      <c r="QCW199" s="2"/>
      <c r="QCX199" s="2"/>
      <c r="QCY199" s="2"/>
      <c r="QCZ199" s="2"/>
      <c r="QDA199" s="2"/>
      <c r="QDB199" s="2"/>
      <c r="QDC199" s="2"/>
      <c r="QDD199" s="2"/>
      <c r="QDE199" s="2"/>
      <c r="QDF199" s="2"/>
      <c r="QDG199" s="2"/>
      <c r="QDH199" s="2"/>
      <c r="QDI199" s="2"/>
      <c r="QDJ199" s="2"/>
      <c r="QDK199" s="2"/>
      <c r="QDL199" s="2"/>
      <c r="QDM199" s="2"/>
      <c r="QDN199" s="2"/>
      <c r="QDO199" s="2"/>
      <c r="QDP199" s="2"/>
      <c r="QDQ199" s="2"/>
      <c r="QDR199" s="2"/>
      <c r="QDS199" s="2"/>
      <c r="QDT199" s="2"/>
      <c r="QDU199" s="2"/>
      <c r="QDV199" s="2"/>
      <c r="QDW199" s="2"/>
      <c r="QDX199" s="2"/>
      <c r="QDY199" s="2"/>
      <c r="QDZ199" s="2"/>
      <c r="QEA199" s="2"/>
      <c r="QEB199" s="2"/>
      <c r="QEC199" s="2"/>
      <c r="QED199" s="2"/>
      <c r="QEE199" s="2"/>
      <c r="QEF199" s="2"/>
      <c r="QEG199" s="2"/>
      <c r="QEH199" s="2"/>
      <c r="QEI199" s="2"/>
      <c r="QEJ199" s="2"/>
      <c r="QEK199" s="2"/>
      <c r="QEL199" s="2"/>
      <c r="QEM199" s="2"/>
      <c r="QEN199" s="2"/>
      <c r="QEO199" s="2"/>
      <c r="QEP199" s="2"/>
      <c r="QEQ199" s="2"/>
      <c r="QER199" s="2"/>
      <c r="QES199" s="2"/>
      <c r="QET199" s="2"/>
      <c r="QEU199" s="2"/>
      <c r="QEV199" s="2"/>
      <c r="QEW199" s="2"/>
      <c r="QEX199" s="2"/>
      <c r="QEY199" s="2"/>
      <c r="QEZ199" s="2"/>
      <c r="QFA199" s="2"/>
      <c r="QFB199" s="2"/>
      <c r="QFC199" s="2"/>
      <c r="QFD199" s="2"/>
      <c r="QFE199" s="2"/>
      <c r="QFF199" s="2"/>
      <c r="QFG199" s="2"/>
      <c r="QFH199" s="2"/>
      <c r="QFI199" s="2"/>
      <c r="QFJ199" s="2"/>
      <c r="QFK199" s="2"/>
      <c r="QFL199" s="2"/>
      <c r="QFM199" s="2"/>
      <c r="QFN199" s="2"/>
      <c r="QFO199" s="2"/>
      <c r="QFP199" s="2"/>
      <c r="QFQ199" s="2"/>
      <c r="QFR199" s="2"/>
      <c r="QFS199" s="2"/>
      <c r="QFT199" s="2"/>
      <c r="QFU199" s="2"/>
      <c r="QFV199" s="2"/>
      <c r="QFW199" s="2"/>
      <c r="QFX199" s="2"/>
      <c r="QFY199" s="2"/>
      <c r="QFZ199" s="2"/>
      <c r="QGA199" s="2"/>
      <c r="QGB199" s="2"/>
      <c r="QGC199" s="2"/>
      <c r="QGD199" s="2"/>
      <c r="QGE199" s="2"/>
      <c r="QGF199" s="2"/>
      <c r="QGG199" s="2"/>
      <c r="QGH199" s="2"/>
      <c r="QGI199" s="2"/>
      <c r="QGJ199" s="2"/>
      <c r="QGK199" s="2"/>
      <c r="QGL199" s="2"/>
      <c r="QGM199" s="2"/>
      <c r="QGN199" s="2"/>
      <c r="QGO199" s="2"/>
      <c r="QGP199" s="2"/>
      <c r="QGQ199" s="2"/>
      <c r="QGR199" s="2"/>
      <c r="QGS199" s="2"/>
      <c r="QGT199" s="2"/>
      <c r="QGU199" s="2"/>
      <c r="QGV199" s="2"/>
      <c r="QGW199" s="2"/>
      <c r="QGX199" s="2"/>
      <c r="QGY199" s="2"/>
      <c r="QGZ199" s="2"/>
      <c r="QHA199" s="2"/>
      <c r="QHB199" s="2"/>
      <c r="QHC199" s="2"/>
      <c r="QHD199" s="2"/>
      <c r="QHE199" s="2"/>
      <c r="QHF199" s="2"/>
      <c r="QHG199" s="2"/>
      <c r="QHH199" s="2"/>
      <c r="QHI199" s="2"/>
      <c r="QHJ199" s="2"/>
      <c r="QHK199" s="2"/>
      <c r="QHL199" s="2"/>
      <c r="QHM199" s="2"/>
      <c r="QHN199" s="2"/>
      <c r="QHO199" s="2"/>
      <c r="QHP199" s="2"/>
      <c r="QHQ199" s="2"/>
      <c r="QHR199" s="2"/>
      <c r="QHS199" s="2"/>
      <c r="QHT199" s="2"/>
      <c r="QHU199" s="2"/>
      <c r="QHV199" s="2"/>
      <c r="QHW199" s="2"/>
      <c r="QHX199" s="2"/>
      <c r="QHY199" s="2"/>
      <c r="QHZ199" s="2"/>
      <c r="QIA199" s="2"/>
      <c r="QIB199" s="2"/>
      <c r="QIC199" s="2"/>
      <c r="QID199" s="2"/>
      <c r="QIE199" s="2"/>
      <c r="QIF199" s="2"/>
      <c r="QIG199" s="2"/>
      <c r="QIH199" s="2"/>
      <c r="QII199" s="2"/>
      <c r="QIJ199" s="2"/>
      <c r="QIK199" s="2"/>
      <c r="QIL199" s="2"/>
      <c r="QIM199" s="2"/>
      <c r="QIN199" s="2"/>
      <c r="QIO199" s="2"/>
      <c r="QIP199" s="2"/>
      <c r="QIQ199" s="2"/>
      <c r="QIR199" s="2"/>
      <c r="QIS199" s="2"/>
      <c r="QIT199" s="2"/>
      <c r="QIU199" s="2"/>
      <c r="QIV199" s="2"/>
      <c r="QIW199" s="2"/>
      <c r="QIX199" s="2"/>
      <c r="QIY199" s="2"/>
      <c r="QIZ199" s="2"/>
      <c r="QJA199" s="2"/>
      <c r="QJB199" s="2"/>
      <c r="QJC199" s="2"/>
      <c r="QJD199" s="2"/>
      <c r="QJE199" s="2"/>
      <c r="QJF199" s="2"/>
      <c r="QJG199" s="2"/>
      <c r="QJH199" s="2"/>
      <c r="QJI199" s="2"/>
      <c r="QJJ199" s="2"/>
      <c r="QJK199" s="2"/>
      <c r="QJL199" s="2"/>
      <c r="QJM199" s="2"/>
      <c r="QJN199" s="2"/>
      <c r="QJO199" s="2"/>
      <c r="QJP199" s="2"/>
      <c r="QJQ199" s="2"/>
      <c r="QJR199" s="2"/>
      <c r="QJS199" s="2"/>
      <c r="QJT199" s="2"/>
      <c r="QJU199" s="2"/>
      <c r="QJV199" s="2"/>
      <c r="QJW199" s="2"/>
      <c r="QJX199" s="2"/>
      <c r="QJY199" s="2"/>
      <c r="QJZ199" s="2"/>
      <c r="QKA199" s="2"/>
      <c r="QKB199" s="2"/>
      <c r="QKC199" s="2"/>
      <c r="QKD199" s="2"/>
      <c r="QKE199" s="2"/>
      <c r="QKF199" s="2"/>
      <c r="QKG199" s="2"/>
      <c r="QKH199" s="2"/>
      <c r="QKI199" s="2"/>
      <c r="QKJ199" s="2"/>
      <c r="QKK199" s="2"/>
      <c r="QKL199" s="2"/>
      <c r="QKM199" s="2"/>
      <c r="QKN199" s="2"/>
      <c r="QKO199" s="2"/>
      <c r="QKP199" s="2"/>
      <c r="QKQ199" s="2"/>
      <c r="QKR199" s="2"/>
      <c r="QKS199" s="2"/>
      <c r="QKT199" s="2"/>
      <c r="QKU199" s="2"/>
      <c r="QKV199" s="2"/>
      <c r="QKW199" s="2"/>
      <c r="QKX199" s="2"/>
      <c r="QKY199" s="2"/>
      <c r="QKZ199" s="2"/>
      <c r="QLA199" s="2"/>
      <c r="QLB199" s="2"/>
      <c r="QLC199" s="2"/>
      <c r="QLD199" s="2"/>
      <c r="QLE199" s="2"/>
      <c r="QLF199" s="2"/>
      <c r="QLG199" s="2"/>
      <c r="QLH199" s="2"/>
      <c r="QLI199" s="2"/>
      <c r="QLJ199" s="2"/>
      <c r="QLK199" s="2"/>
      <c r="QLL199" s="2"/>
      <c r="QLM199" s="2"/>
      <c r="QLN199" s="2"/>
      <c r="QLO199" s="2"/>
      <c r="QLP199" s="2"/>
      <c r="QLQ199" s="2"/>
      <c r="QLR199" s="2"/>
      <c r="QLS199" s="2"/>
      <c r="QLT199" s="2"/>
      <c r="QLU199" s="2"/>
      <c r="QLV199" s="2"/>
      <c r="QLW199" s="2"/>
      <c r="QLX199" s="2"/>
      <c r="QLY199" s="2"/>
      <c r="QLZ199" s="2"/>
      <c r="QMA199" s="2"/>
      <c r="QMB199" s="2"/>
      <c r="QMC199" s="2"/>
      <c r="QMD199" s="2"/>
      <c r="QME199" s="2"/>
      <c r="QMF199" s="2"/>
      <c r="QMG199" s="2"/>
      <c r="QMH199" s="2"/>
      <c r="QMI199" s="2"/>
      <c r="QMJ199" s="2"/>
      <c r="QMK199" s="2"/>
      <c r="QML199" s="2"/>
      <c r="QMM199" s="2"/>
      <c r="QMN199" s="2"/>
      <c r="QMO199" s="2"/>
      <c r="QMP199" s="2"/>
      <c r="QMQ199" s="2"/>
      <c r="QMR199" s="2"/>
      <c r="QMS199" s="2"/>
      <c r="QMT199" s="2"/>
      <c r="QMU199" s="2"/>
      <c r="QMV199" s="2"/>
      <c r="QMW199" s="2"/>
      <c r="QMX199" s="2"/>
      <c r="QMY199" s="2"/>
      <c r="QMZ199" s="2"/>
      <c r="QNA199" s="2"/>
      <c r="QNB199" s="2"/>
      <c r="QNC199" s="2"/>
      <c r="QND199" s="2"/>
      <c r="QNE199" s="2"/>
      <c r="QNF199" s="2"/>
      <c r="QNG199" s="2"/>
      <c r="QNH199" s="2"/>
      <c r="QNI199" s="2"/>
      <c r="QNJ199" s="2"/>
      <c r="QNK199" s="2"/>
      <c r="QNL199" s="2"/>
      <c r="QNM199" s="2"/>
      <c r="QNN199" s="2"/>
      <c r="QNO199" s="2"/>
      <c r="QNP199" s="2"/>
      <c r="QNQ199" s="2"/>
      <c r="QNR199" s="2"/>
      <c r="QNS199" s="2"/>
      <c r="QNT199" s="2"/>
      <c r="QNU199" s="2"/>
      <c r="QNV199" s="2"/>
      <c r="QNW199" s="2"/>
      <c r="QNX199" s="2"/>
      <c r="QNY199" s="2"/>
      <c r="QNZ199" s="2"/>
      <c r="QOA199" s="2"/>
      <c r="QOB199" s="2"/>
      <c r="QOC199" s="2"/>
      <c r="QOD199" s="2"/>
      <c r="QOE199" s="2"/>
      <c r="QOF199" s="2"/>
      <c r="QOG199" s="2"/>
      <c r="QOH199" s="2"/>
      <c r="QOI199" s="2"/>
      <c r="QOJ199" s="2"/>
      <c r="QOK199" s="2"/>
      <c r="QOL199" s="2"/>
      <c r="QOM199" s="2"/>
      <c r="QON199" s="2"/>
      <c r="QOO199" s="2"/>
      <c r="QOP199" s="2"/>
      <c r="QOQ199" s="2"/>
      <c r="QOR199" s="2"/>
      <c r="QOS199" s="2"/>
      <c r="QOT199" s="2"/>
      <c r="QOU199" s="2"/>
      <c r="QOV199" s="2"/>
      <c r="QOW199" s="2"/>
      <c r="QOX199" s="2"/>
      <c r="QOY199" s="2"/>
      <c r="QOZ199" s="2"/>
      <c r="QPA199" s="2"/>
      <c r="QPB199" s="2"/>
      <c r="QPC199" s="2"/>
      <c r="QPD199" s="2"/>
      <c r="QPE199" s="2"/>
      <c r="QPF199" s="2"/>
      <c r="QPG199" s="2"/>
      <c r="QPH199" s="2"/>
      <c r="QPI199" s="2"/>
      <c r="QPJ199" s="2"/>
      <c r="QPK199" s="2"/>
      <c r="QPL199" s="2"/>
      <c r="QPM199" s="2"/>
      <c r="QPN199" s="2"/>
      <c r="QPO199" s="2"/>
      <c r="QPP199" s="2"/>
      <c r="QPQ199" s="2"/>
      <c r="QPR199" s="2"/>
      <c r="QPS199" s="2"/>
      <c r="QPT199" s="2"/>
      <c r="QPU199" s="2"/>
      <c r="QPV199" s="2"/>
      <c r="QPW199" s="2"/>
      <c r="QPX199" s="2"/>
      <c r="QPY199" s="2"/>
      <c r="QPZ199" s="2"/>
      <c r="QQA199" s="2"/>
      <c r="QQB199" s="2"/>
      <c r="QQC199" s="2"/>
      <c r="QQD199" s="2"/>
      <c r="QQE199" s="2"/>
      <c r="QQF199" s="2"/>
      <c r="QQG199" s="2"/>
      <c r="QQH199" s="2"/>
      <c r="QQI199" s="2"/>
      <c r="QQJ199" s="2"/>
      <c r="QQK199" s="2"/>
      <c r="QQL199" s="2"/>
      <c r="QQM199" s="2"/>
      <c r="QQN199" s="2"/>
      <c r="QQO199" s="2"/>
      <c r="QQP199" s="2"/>
      <c r="QQQ199" s="2"/>
      <c r="QQR199" s="2"/>
      <c r="QQS199" s="2"/>
      <c r="QQT199" s="2"/>
      <c r="QQU199" s="2"/>
      <c r="QQV199" s="2"/>
      <c r="QQW199" s="2"/>
      <c r="QQX199" s="2"/>
      <c r="QQY199" s="2"/>
      <c r="QQZ199" s="2"/>
      <c r="QRA199" s="2"/>
      <c r="QRB199" s="2"/>
      <c r="QRC199" s="2"/>
      <c r="QRD199" s="2"/>
      <c r="QRE199" s="2"/>
      <c r="QRF199" s="2"/>
      <c r="QRG199" s="2"/>
      <c r="QRH199" s="2"/>
      <c r="QRI199" s="2"/>
      <c r="QRJ199" s="2"/>
      <c r="QRK199" s="2"/>
      <c r="QRL199" s="2"/>
      <c r="QRM199" s="2"/>
      <c r="QRN199" s="2"/>
      <c r="QRO199" s="2"/>
      <c r="QRP199" s="2"/>
      <c r="QRQ199" s="2"/>
      <c r="QRR199" s="2"/>
      <c r="QRS199" s="2"/>
      <c r="QRT199" s="2"/>
      <c r="QRU199" s="2"/>
      <c r="QRV199" s="2"/>
      <c r="QRW199" s="2"/>
      <c r="QRX199" s="2"/>
      <c r="QRY199" s="2"/>
      <c r="QRZ199" s="2"/>
      <c r="QSA199" s="2"/>
      <c r="QSB199" s="2"/>
      <c r="QSC199" s="2"/>
      <c r="QSD199" s="2"/>
      <c r="QSE199" s="2"/>
      <c r="QSF199" s="2"/>
      <c r="QSG199" s="2"/>
      <c r="QSH199" s="2"/>
      <c r="QSI199" s="2"/>
      <c r="QSJ199" s="2"/>
      <c r="QSK199" s="2"/>
      <c r="QSL199" s="2"/>
      <c r="QSM199" s="2"/>
      <c r="QSN199" s="2"/>
      <c r="QSO199" s="2"/>
      <c r="QSP199" s="2"/>
      <c r="QSQ199" s="2"/>
      <c r="QSR199" s="2"/>
      <c r="QSS199" s="2"/>
      <c r="QST199" s="2"/>
      <c r="QSU199" s="2"/>
      <c r="QSV199" s="2"/>
      <c r="QSW199" s="2"/>
      <c r="QSX199" s="2"/>
      <c r="QSY199" s="2"/>
      <c r="QSZ199" s="2"/>
      <c r="QTA199" s="2"/>
      <c r="QTB199" s="2"/>
      <c r="QTC199" s="2"/>
      <c r="QTD199" s="2"/>
      <c r="QTE199" s="2"/>
      <c r="QTF199" s="2"/>
      <c r="QTG199" s="2"/>
      <c r="QTH199" s="2"/>
      <c r="QTI199" s="2"/>
      <c r="QTJ199" s="2"/>
      <c r="QTK199" s="2"/>
      <c r="QTL199" s="2"/>
      <c r="QTM199" s="2"/>
      <c r="QTN199" s="2"/>
      <c r="QTO199" s="2"/>
      <c r="QTP199" s="2"/>
      <c r="QTQ199" s="2"/>
      <c r="QTR199" s="2"/>
      <c r="QTS199" s="2"/>
      <c r="QTT199" s="2"/>
      <c r="QTU199" s="2"/>
      <c r="QTV199" s="2"/>
      <c r="QTW199" s="2"/>
      <c r="QTX199" s="2"/>
      <c r="QTY199" s="2"/>
      <c r="QTZ199" s="2"/>
      <c r="QUA199" s="2"/>
      <c r="QUB199" s="2"/>
      <c r="QUC199" s="2"/>
      <c r="QUD199" s="2"/>
      <c r="QUE199" s="2"/>
      <c r="QUF199" s="2"/>
      <c r="QUG199" s="2"/>
      <c r="QUH199" s="2"/>
      <c r="QUI199" s="2"/>
      <c r="QUJ199" s="2"/>
      <c r="QUK199" s="2"/>
      <c r="QUL199" s="2"/>
      <c r="QUM199" s="2"/>
      <c r="QUN199" s="2"/>
      <c r="QUO199" s="2"/>
      <c r="QUP199" s="2"/>
      <c r="QUQ199" s="2"/>
      <c r="QUR199" s="2"/>
      <c r="QUS199" s="2"/>
      <c r="QUT199" s="2"/>
      <c r="QUU199" s="2"/>
      <c r="QUV199" s="2"/>
      <c r="QUW199" s="2"/>
      <c r="QUX199" s="2"/>
      <c r="QUY199" s="2"/>
      <c r="QUZ199" s="2"/>
      <c r="QVA199" s="2"/>
      <c r="QVB199" s="2"/>
      <c r="QVC199" s="2"/>
      <c r="QVD199" s="2"/>
      <c r="QVE199" s="2"/>
      <c r="QVF199" s="2"/>
      <c r="QVG199" s="2"/>
      <c r="QVH199" s="2"/>
      <c r="QVI199" s="2"/>
      <c r="QVJ199" s="2"/>
      <c r="QVK199" s="2"/>
      <c r="QVL199" s="2"/>
      <c r="QVM199" s="2"/>
      <c r="QVN199" s="2"/>
      <c r="QVO199" s="2"/>
      <c r="QVP199" s="2"/>
      <c r="QVQ199" s="2"/>
      <c r="QVR199" s="2"/>
      <c r="QVS199" s="2"/>
      <c r="QVT199" s="2"/>
      <c r="QVU199" s="2"/>
      <c r="QVV199" s="2"/>
      <c r="QVW199" s="2"/>
      <c r="QVX199" s="2"/>
      <c r="QVY199" s="2"/>
      <c r="QVZ199" s="2"/>
      <c r="QWA199" s="2"/>
      <c r="QWB199" s="2"/>
      <c r="QWC199" s="2"/>
      <c r="QWD199" s="2"/>
      <c r="QWE199" s="2"/>
      <c r="QWF199" s="2"/>
      <c r="QWG199" s="2"/>
      <c r="QWH199" s="2"/>
      <c r="QWI199" s="2"/>
      <c r="QWJ199" s="2"/>
      <c r="QWK199" s="2"/>
      <c r="QWL199" s="2"/>
      <c r="QWM199" s="2"/>
      <c r="QWN199" s="2"/>
      <c r="QWO199" s="2"/>
      <c r="QWP199" s="2"/>
      <c r="QWQ199" s="2"/>
      <c r="QWR199" s="2"/>
      <c r="QWS199" s="2"/>
      <c r="QWT199" s="2"/>
      <c r="QWU199" s="2"/>
      <c r="QWV199" s="2"/>
      <c r="QWW199" s="2"/>
      <c r="QWX199" s="2"/>
      <c r="QWY199" s="2"/>
      <c r="QWZ199" s="2"/>
      <c r="QXA199" s="2"/>
      <c r="QXB199" s="2"/>
      <c r="QXC199" s="2"/>
      <c r="QXD199" s="2"/>
      <c r="QXE199" s="2"/>
      <c r="QXF199" s="2"/>
      <c r="QXG199" s="2"/>
      <c r="QXH199" s="2"/>
      <c r="QXI199" s="2"/>
      <c r="QXJ199" s="2"/>
      <c r="QXK199" s="2"/>
      <c r="QXL199" s="2"/>
      <c r="QXM199" s="2"/>
      <c r="QXN199" s="2"/>
      <c r="QXO199" s="2"/>
      <c r="QXP199" s="2"/>
      <c r="QXQ199" s="2"/>
      <c r="QXR199" s="2"/>
      <c r="QXS199" s="2"/>
      <c r="QXT199" s="2"/>
      <c r="QXU199" s="2"/>
      <c r="QXV199" s="2"/>
      <c r="QXW199" s="2"/>
      <c r="QXX199" s="2"/>
      <c r="QXY199" s="2"/>
      <c r="QXZ199" s="2"/>
      <c r="QYA199" s="2"/>
      <c r="QYB199" s="2"/>
      <c r="QYC199" s="2"/>
      <c r="QYD199" s="2"/>
      <c r="QYE199" s="2"/>
      <c r="QYF199" s="2"/>
      <c r="QYG199" s="2"/>
      <c r="QYH199" s="2"/>
      <c r="QYI199" s="2"/>
      <c r="QYJ199" s="2"/>
      <c r="QYK199" s="2"/>
      <c r="QYL199" s="2"/>
      <c r="QYM199" s="2"/>
      <c r="QYN199" s="2"/>
      <c r="QYO199" s="2"/>
      <c r="QYP199" s="2"/>
      <c r="QYQ199" s="2"/>
      <c r="QYR199" s="2"/>
      <c r="QYS199" s="2"/>
      <c r="QYT199" s="2"/>
      <c r="QYU199" s="2"/>
      <c r="QYV199" s="2"/>
      <c r="QYW199" s="2"/>
      <c r="QYX199" s="2"/>
      <c r="QYY199" s="2"/>
      <c r="QYZ199" s="2"/>
      <c r="QZA199" s="2"/>
      <c r="QZB199" s="2"/>
      <c r="QZC199" s="2"/>
      <c r="QZD199" s="2"/>
      <c r="QZE199" s="2"/>
      <c r="QZF199" s="2"/>
      <c r="QZG199" s="2"/>
      <c r="QZH199" s="2"/>
      <c r="QZI199" s="2"/>
      <c r="QZJ199" s="2"/>
      <c r="QZK199" s="2"/>
      <c r="QZL199" s="2"/>
      <c r="QZM199" s="2"/>
      <c r="QZN199" s="2"/>
      <c r="QZO199" s="2"/>
      <c r="QZP199" s="2"/>
      <c r="QZQ199" s="2"/>
      <c r="QZR199" s="2"/>
      <c r="QZS199" s="2"/>
      <c r="QZT199" s="2"/>
      <c r="QZU199" s="2"/>
      <c r="QZV199" s="2"/>
      <c r="QZW199" s="2"/>
      <c r="QZX199" s="2"/>
      <c r="QZY199" s="2"/>
      <c r="QZZ199" s="2"/>
      <c r="RAA199" s="2"/>
      <c r="RAB199" s="2"/>
      <c r="RAC199" s="2"/>
      <c r="RAD199" s="2"/>
      <c r="RAE199" s="2"/>
      <c r="RAF199" s="2"/>
      <c r="RAG199" s="2"/>
      <c r="RAH199" s="2"/>
      <c r="RAI199" s="2"/>
      <c r="RAJ199" s="2"/>
      <c r="RAK199" s="2"/>
      <c r="RAL199" s="2"/>
      <c r="RAM199" s="2"/>
      <c r="RAN199" s="2"/>
      <c r="RAO199" s="2"/>
      <c r="RAP199" s="2"/>
      <c r="RAQ199" s="2"/>
      <c r="RAR199" s="2"/>
      <c r="RAS199" s="2"/>
      <c r="RAT199" s="2"/>
      <c r="RAU199" s="2"/>
      <c r="RAV199" s="2"/>
      <c r="RAW199" s="2"/>
      <c r="RAX199" s="2"/>
      <c r="RAY199" s="2"/>
      <c r="RAZ199" s="2"/>
      <c r="RBA199" s="2"/>
      <c r="RBB199" s="2"/>
      <c r="RBC199" s="2"/>
      <c r="RBD199" s="2"/>
      <c r="RBE199" s="2"/>
      <c r="RBF199" s="2"/>
      <c r="RBG199" s="2"/>
      <c r="RBH199" s="2"/>
      <c r="RBI199" s="2"/>
      <c r="RBJ199" s="2"/>
      <c r="RBK199" s="2"/>
      <c r="RBL199" s="2"/>
      <c r="RBM199" s="2"/>
      <c r="RBN199" s="2"/>
      <c r="RBO199" s="2"/>
      <c r="RBP199" s="2"/>
      <c r="RBQ199" s="2"/>
      <c r="RBR199" s="2"/>
      <c r="RBS199" s="2"/>
      <c r="RBT199" s="2"/>
      <c r="RBU199" s="2"/>
      <c r="RBV199" s="2"/>
      <c r="RBW199" s="2"/>
      <c r="RBX199" s="2"/>
      <c r="RBY199" s="2"/>
      <c r="RBZ199" s="2"/>
      <c r="RCA199" s="2"/>
      <c r="RCB199" s="2"/>
      <c r="RCC199" s="2"/>
      <c r="RCD199" s="2"/>
      <c r="RCE199" s="2"/>
      <c r="RCF199" s="2"/>
      <c r="RCG199" s="2"/>
      <c r="RCH199" s="2"/>
      <c r="RCI199" s="2"/>
      <c r="RCJ199" s="2"/>
      <c r="RCK199" s="2"/>
      <c r="RCL199" s="2"/>
      <c r="RCM199" s="2"/>
      <c r="RCN199" s="2"/>
      <c r="RCO199" s="2"/>
      <c r="RCP199" s="2"/>
      <c r="RCQ199" s="2"/>
      <c r="RCR199" s="2"/>
      <c r="RCS199" s="2"/>
      <c r="RCT199" s="2"/>
      <c r="RCU199" s="2"/>
      <c r="RCV199" s="2"/>
      <c r="RCW199" s="2"/>
      <c r="RCX199" s="2"/>
      <c r="RCY199" s="2"/>
      <c r="RCZ199" s="2"/>
      <c r="RDA199" s="2"/>
      <c r="RDB199" s="2"/>
      <c r="RDC199" s="2"/>
      <c r="RDD199" s="2"/>
      <c r="RDE199" s="2"/>
      <c r="RDF199" s="2"/>
      <c r="RDG199" s="2"/>
      <c r="RDH199" s="2"/>
      <c r="RDI199" s="2"/>
      <c r="RDJ199" s="2"/>
      <c r="RDK199" s="2"/>
      <c r="RDL199" s="2"/>
      <c r="RDM199" s="2"/>
      <c r="RDN199" s="2"/>
      <c r="RDO199" s="2"/>
      <c r="RDP199" s="2"/>
      <c r="RDQ199" s="2"/>
      <c r="RDR199" s="2"/>
      <c r="RDS199" s="2"/>
      <c r="RDT199" s="2"/>
      <c r="RDU199" s="2"/>
      <c r="RDV199" s="2"/>
      <c r="RDW199" s="2"/>
      <c r="RDX199" s="2"/>
      <c r="RDY199" s="2"/>
      <c r="RDZ199" s="2"/>
      <c r="REA199" s="2"/>
      <c r="REB199" s="2"/>
      <c r="REC199" s="2"/>
      <c r="RED199" s="2"/>
      <c r="REE199" s="2"/>
      <c r="REF199" s="2"/>
      <c r="REG199" s="2"/>
      <c r="REH199" s="2"/>
      <c r="REI199" s="2"/>
      <c r="REJ199" s="2"/>
      <c r="REK199" s="2"/>
      <c r="REL199" s="2"/>
      <c r="REM199" s="2"/>
      <c r="REN199" s="2"/>
      <c r="REO199" s="2"/>
      <c r="REP199" s="2"/>
      <c r="REQ199" s="2"/>
      <c r="RER199" s="2"/>
      <c r="RES199" s="2"/>
      <c r="RET199" s="2"/>
      <c r="REU199" s="2"/>
      <c r="REV199" s="2"/>
      <c r="REW199" s="2"/>
      <c r="REX199" s="2"/>
      <c r="REY199" s="2"/>
      <c r="REZ199" s="2"/>
      <c r="RFA199" s="2"/>
      <c r="RFB199" s="2"/>
      <c r="RFC199" s="2"/>
      <c r="RFD199" s="2"/>
      <c r="RFE199" s="2"/>
      <c r="RFF199" s="2"/>
      <c r="RFG199" s="2"/>
      <c r="RFH199" s="2"/>
      <c r="RFI199" s="2"/>
      <c r="RFJ199" s="2"/>
      <c r="RFK199" s="2"/>
      <c r="RFL199" s="2"/>
      <c r="RFM199" s="2"/>
      <c r="RFN199" s="2"/>
      <c r="RFO199" s="2"/>
      <c r="RFP199" s="2"/>
      <c r="RFQ199" s="2"/>
      <c r="RFR199" s="2"/>
      <c r="RFS199" s="2"/>
      <c r="RFT199" s="2"/>
      <c r="RFU199" s="2"/>
      <c r="RFV199" s="2"/>
      <c r="RFW199" s="2"/>
      <c r="RFX199" s="2"/>
      <c r="RFY199" s="2"/>
      <c r="RFZ199" s="2"/>
      <c r="RGA199" s="2"/>
      <c r="RGB199" s="2"/>
      <c r="RGC199" s="2"/>
      <c r="RGD199" s="2"/>
      <c r="RGE199" s="2"/>
      <c r="RGF199" s="2"/>
      <c r="RGG199" s="2"/>
      <c r="RGH199" s="2"/>
      <c r="RGI199" s="2"/>
      <c r="RGJ199" s="2"/>
      <c r="RGK199" s="2"/>
      <c r="RGL199" s="2"/>
      <c r="RGM199" s="2"/>
      <c r="RGN199" s="2"/>
      <c r="RGO199" s="2"/>
      <c r="RGP199" s="2"/>
      <c r="RGQ199" s="2"/>
      <c r="RGR199" s="2"/>
      <c r="RGS199" s="2"/>
      <c r="RGT199" s="2"/>
      <c r="RGU199" s="2"/>
      <c r="RGV199" s="2"/>
      <c r="RGW199" s="2"/>
      <c r="RGX199" s="2"/>
      <c r="RGY199" s="2"/>
      <c r="RGZ199" s="2"/>
      <c r="RHA199" s="2"/>
      <c r="RHB199" s="2"/>
      <c r="RHC199" s="2"/>
      <c r="RHD199" s="2"/>
      <c r="RHE199" s="2"/>
      <c r="RHF199" s="2"/>
      <c r="RHG199" s="2"/>
      <c r="RHH199" s="2"/>
      <c r="RHI199" s="2"/>
      <c r="RHJ199" s="2"/>
      <c r="RHK199" s="2"/>
      <c r="RHL199" s="2"/>
      <c r="RHM199" s="2"/>
      <c r="RHN199" s="2"/>
      <c r="RHO199" s="2"/>
      <c r="RHP199" s="2"/>
      <c r="RHQ199" s="2"/>
      <c r="RHR199" s="2"/>
      <c r="RHS199" s="2"/>
      <c r="RHT199" s="2"/>
      <c r="RHU199" s="2"/>
      <c r="RHV199" s="2"/>
      <c r="RHW199" s="2"/>
      <c r="RHX199" s="2"/>
      <c r="RHY199" s="2"/>
      <c r="RHZ199" s="2"/>
      <c r="RIA199" s="2"/>
      <c r="RIB199" s="2"/>
      <c r="RIC199" s="2"/>
      <c r="RID199" s="2"/>
      <c r="RIE199" s="2"/>
      <c r="RIF199" s="2"/>
      <c r="RIG199" s="2"/>
      <c r="RIH199" s="2"/>
      <c r="RII199" s="2"/>
      <c r="RIJ199" s="2"/>
      <c r="RIK199" s="2"/>
      <c r="RIL199" s="2"/>
      <c r="RIM199" s="2"/>
      <c r="RIN199" s="2"/>
      <c r="RIO199" s="2"/>
      <c r="RIP199" s="2"/>
      <c r="RIQ199" s="2"/>
      <c r="RIR199" s="2"/>
      <c r="RIS199" s="2"/>
      <c r="RIT199" s="2"/>
      <c r="RIU199" s="2"/>
      <c r="RIV199" s="2"/>
      <c r="RIW199" s="2"/>
      <c r="RIX199" s="2"/>
      <c r="RIY199" s="2"/>
      <c r="RIZ199" s="2"/>
      <c r="RJA199" s="2"/>
      <c r="RJB199" s="2"/>
      <c r="RJC199" s="2"/>
      <c r="RJD199" s="2"/>
      <c r="RJE199" s="2"/>
      <c r="RJF199" s="2"/>
      <c r="RJG199" s="2"/>
      <c r="RJH199" s="2"/>
      <c r="RJI199" s="2"/>
      <c r="RJJ199" s="2"/>
      <c r="RJK199" s="2"/>
      <c r="RJL199" s="2"/>
      <c r="RJM199" s="2"/>
      <c r="RJN199" s="2"/>
      <c r="RJO199" s="2"/>
      <c r="RJP199" s="2"/>
      <c r="RJQ199" s="2"/>
      <c r="RJR199" s="2"/>
      <c r="RJS199" s="2"/>
      <c r="RJT199" s="2"/>
      <c r="RJU199" s="2"/>
      <c r="RJV199" s="2"/>
      <c r="RJW199" s="2"/>
      <c r="RJX199" s="2"/>
      <c r="RJY199" s="2"/>
      <c r="RJZ199" s="2"/>
      <c r="RKA199" s="2"/>
      <c r="RKB199" s="2"/>
      <c r="RKC199" s="2"/>
      <c r="RKD199" s="2"/>
      <c r="RKE199" s="2"/>
      <c r="RKF199" s="2"/>
      <c r="RKG199" s="2"/>
      <c r="RKH199" s="2"/>
      <c r="RKI199" s="2"/>
      <c r="RKJ199" s="2"/>
      <c r="RKK199" s="2"/>
      <c r="RKL199" s="2"/>
      <c r="RKM199" s="2"/>
      <c r="RKN199" s="2"/>
      <c r="RKO199" s="2"/>
      <c r="RKP199" s="2"/>
      <c r="RKQ199" s="2"/>
      <c r="RKR199" s="2"/>
      <c r="RKS199" s="2"/>
      <c r="RKT199" s="2"/>
      <c r="RKU199" s="2"/>
      <c r="RKV199" s="2"/>
      <c r="RKW199" s="2"/>
      <c r="RKX199" s="2"/>
      <c r="RKY199" s="2"/>
      <c r="RKZ199" s="2"/>
      <c r="RLA199" s="2"/>
      <c r="RLB199" s="2"/>
      <c r="RLC199" s="2"/>
      <c r="RLD199" s="2"/>
      <c r="RLE199" s="2"/>
      <c r="RLF199" s="2"/>
      <c r="RLG199" s="2"/>
      <c r="RLH199" s="2"/>
      <c r="RLI199" s="2"/>
      <c r="RLJ199" s="2"/>
      <c r="RLK199" s="2"/>
      <c r="RLL199" s="2"/>
      <c r="RLM199" s="2"/>
      <c r="RLN199" s="2"/>
      <c r="RLO199" s="2"/>
      <c r="RLP199" s="2"/>
      <c r="RLQ199" s="2"/>
      <c r="RLR199" s="2"/>
      <c r="RLS199" s="2"/>
      <c r="RLT199" s="2"/>
      <c r="RLU199" s="2"/>
      <c r="RLV199" s="2"/>
      <c r="RLW199" s="2"/>
      <c r="RLX199" s="2"/>
      <c r="RLY199" s="2"/>
      <c r="RLZ199" s="2"/>
      <c r="RMA199" s="2"/>
      <c r="RMB199" s="2"/>
      <c r="RMC199" s="2"/>
      <c r="RMD199" s="2"/>
      <c r="RME199" s="2"/>
      <c r="RMF199" s="2"/>
      <c r="RMG199" s="2"/>
      <c r="RMH199" s="2"/>
      <c r="RMI199" s="2"/>
      <c r="RMJ199" s="2"/>
      <c r="RMK199" s="2"/>
      <c r="RML199" s="2"/>
      <c r="RMM199" s="2"/>
      <c r="RMN199" s="2"/>
      <c r="RMO199" s="2"/>
      <c r="RMP199" s="2"/>
      <c r="RMQ199" s="2"/>
      <c r="RMR199" s="2"/>
      <c r="RMS199" s="2"/>
      <c r="RMT199" s="2"/>
      <c r="RMU199" s="2"/>
      <c r="RMV199" s="2"/>
      <c r="RMW199" s="2"/>
      <c r="RMX199" s="2"/>
      <c r="RMY199" s="2"/>
      <c r="RMZ199" s="2"/>
      <c r="RNA199" s="2"/>
      <c r="RNB199" s="2"/>
      <c r="RNC199" s="2"/>
      <c r="RND199" s="2"/>
      <c r="RNE199" s="2"/>
      <c r="RNF199" s="2"/>
      <c r="RNG199" s="2"/>
      <c r="RNH199" s="2"/>
      <c r="RNI199" s="2"/>
      <c r="RNJ199" s="2"/>
      <c r="RNK199" s="2"/>
      <c r="RNL199" s="2"/>
      <c r="RNM199" s="2"/>
      <c r="RNN199" s="2"/>
      <c r="RNO199" s="2"/>
      <c r="RNP199" s="2"/>
      <c r="RNQ199" s="2"/>
      <c r="RNR199" s="2"/>
      <c r="RNS199" s="2"/>
      <c r="RNT199" s="2"/>
      <c r="RNU199" s="2"/>
      <c r="RNV199" s="2"/>
      <c r="RNW199" s="2"/>
      <c r="RNX199" s="2"/>
      <c r="RNY199" s="2"/>
      <c r="RNZ199" s="2"/>
      <c r="ROA199" s="2"/>
      <c r="ROB199" s="2"/>
      <c r="ROC199" s="2"/>
      <c r="ROD199" s="2"/>
      <c r="ROE199" s="2"/>
      <c r="ROF199" s="2"/>
      <c r="ROG199" s="2"/>
      <c r="ROH199" s="2"/>
      <c r="ROI199" s="2"/>
      <c r="ROJ199" s="2"/>
      <c r="ROK199" s="2"/>
      <c r="ROL199" s="2"/>
      <c r="ROM199" s="2"/>
      <c r="RON199" s="2"/>
      <c r="ROO199" s="2"/>
      <c r="ROP199" s="2"/>
      <c r="ROQ199" s="2"/>
      <c r="ROR199" s="2"/>
      <c r="ROS199" s="2"/>
      <c r="ROT199" s="2"/>
      <c r="ROU199" s="2"/>
      <c r="ROV199" s="2"/>
      <c r="ROW199" s="2"/>
      <c r="ROX199" s="2"/>
      <c r="ROY199" s="2"/>
      <c r="ROZ199" s="2"/>
      <c r="RPA199" s="2"/>
      <c r="RPB199" s="2"/>
      <c r="RPC199" s="2"/>
      <c r="RPD199" s="2"/>
      <c r="RPE199" s="2"/>
      <c r="RPF199" s="2"/>
      <c r="RPG199" s="2"/>
      <c r="RPH199" s="2"/>
      <c r="RPI199" s="2"/>
      <c r="RPJ199" s="2"/>
      <c r="RPK199" s="2"/>
      <c r="RPL199" s="2"/>
      <c r="RPM199" s="2"/>
      <c r="RPN199" s="2"/>
      <c r="RPO199" s="2"/>
      <c r="RPP199" s="2"/>
      <c r="RPQ199" s="2"/>
      <c r="RPR199" s="2"/>
      <c r="RPS199" s="2"/>
      <c r="RPT199" s="2"/>
      <c r="RPU199" s="2"/>
      <c r="RPV199" s="2"/>
      <c r="RPW199" s="2"/>
      <c r="RPX199" s="2"/>
      <c r="RPY199" s="2"/>
      <c r="RPZ199" s="2"/>
      <c r="RQA199" s="2"/>
      <c r="RQB199" s="2"/>
      <c r="RQC199" s="2"/>
      <c r="RQD199" s="2"/>
      <c r="RQE199" s="2"/>
      <c r="RQF199" s="2"/>
      <c r="RQG199" s="2"/>
      <c r="RQH199" s="2"/>
      <c r="RQI199" s="2"/>
      <c r="RQJ199" s="2"/>
      <c r="RQK199" s="2"/>
      <c r="RQL199" s="2"/>
      <c r="RQM199" s="2"/>
      <c r="RQN199" s="2"/>
      <c r="RQO199" s="2"/>
      <c r="RQP199" s="2"/>
      <c r="RQQ199" s="2"/>
      <c r="RQR199" s="2"/>
      <c r="RQS199" s="2"/>
      <c r="RQT199" s="2"/>
      <c r="RQU199" s="2"/>
      <c r="RQV199" s="2"/>
      <c r="RQW199" s="2"/>
      <c r="RQX199" s="2"/>
      <c r="RQY199" s="2"/>
      <c r="RQZ199" s="2"/>
      <c r="RRA199" s="2"/>
      <c r="RRB199" s="2"/>
      <c r="RRC199" s="2"/>
      <c r="RRD199" s="2"/>
      <c r="RRE199" s="2"/>
      <c r="RRF199" s="2"/>
      <c r="RRG199" s="2"/>
      <c r="RRH199" s="2"/>
      <c r="RRI199" s="2"/>
      <c r="RRJ199" s="2"/>
      <c r="RRK199" s="2"/>
      <c r="RRL199" s="2"/>
      <c r="RRM199" s="2"/>
      <c r="RRN199" s="2"/>
      <c r="RRO199" s="2"/>
      <c r="RRP199" s="2"/>
      <c r="RRQ199" s="2"/>
      <c r="RRR199" s="2"/>
      <c r="RRS199" s="2"/>
      <c r="RRT199" s="2"/>
      <c r="RRU199" s="2"/>
      <c r="RRV199" s="2"/>
      <c r="RRW199" s="2"/>
      <c r="RRX199" s="2"/>
      <c r="RRY199" s="2"/>
      <c r="RRZ199" s="2"/>
      <c r="RSA199" s="2"/>
      <c r="RSB199" s="2"/>
      <c r="RSC199" s="2"/>
      <c r="RSD199" s="2"/>
      <c r="RSE199" s="2"/>
      <c r="RSF199" s="2"/>
      <c r="RSG199" s="2"/>
      <c r="RSH199" s="2"/>
      <c r="RSI199" s="2"/>
      <c r="RSJ199" s="2"/>
      <c r="RSK199" s="2"/>
      <c r="RSL199" s="2"/>
      <c r="RSM199" s="2"/>
      <c r="RSN199" s="2"/>
      <c r="RSO199" s="2"/>
      <c r="RSP199" s="2"/>
      <c r="RSQ199" s="2"/>
      <c r="RSR199" s="2"/>
      <c r="RSS199" s="2"/>
      <c r="RST199" s="2"/>
      <c r="RSU199" s="2"/>
      <c r="RSV199" s="2"/>
      <c r="RSW199" s="2"/>
      <c r="RSX199" s="2"/>
      <c r="RSY199" s="2"/>
      <c r="RSZ199" s="2"/>
      <c r="RTA199" s="2"/>
      <c r="RTB199" s="2"/>
      <c r="RTC199" s="2"/>
      <c r="RTD199" s="2"/>
      <c r="RTE199" s="2"/>
      <c r="RTF199" s="2"/>
      <c r="RTG199" s="2"/>
      <c r="RTH199" s="2"/>
      <c r="RTI199" s="2"/>
      <c r="RTJ199" s="2"/>
      <c r="RTK199" s="2"/>
      <c r="RTL199" s="2"/>
      <c r="RTM199" s="2"/>
      <c r="RTN199" s="2"/>
      <c r="RTO199" s="2"/>
      <c r="RTP199" s="2"/>
      <c r="RTQ199" s="2"/>
      <c r="RTR199" s="2"/>
      <c r="RTS199" s="2"/>
      <c r="RTT199" s="2"/>
      <c r="RTU199" s="2"/>
      <c r="RTV199" s="2"/>
      <c r="RTW199" s="2"/>
      <c r="RTX199" s="2"/>
      <c r="RTY199" s="2"/>
      <c r="RTZ199" s="2"/>
      <c r="RUA199" s="2"/>
      <c r="RUB199" s="2"/>
      <c r="RUC199" s="2"/>
      <c r="RUD199" s="2"/>
      <c r="RUE199" s="2"/>
      <c r="RUF199" s="2"/>
      <c r="RUG199" s="2"/>
      <c r="RUH199" s="2"/>
      <c r="RUI199" s="2"/>
      <c r="RUJ199" s="2"/>
      <c r="RUK199" s="2"/>
      <c r="RUL199" s="2"/>
      <c r="RUM199" s="2"/>
      <c r="RUN199" s="2"/>
      <c r="RUO199" s="2"/>
      <c r="RUP199" s="2"/>
      <c r="RUQ199" s="2"/>
      <c r="RUR199" s="2"/>
      <c r="RUS199" s="2"/>
      <c r="RUT199" s="2"/>
      <c r="RUU199" s="2"/>
      <c r="RUV199" s="2"/>
      <c r="RUW199" s="2"/>
      <c r="RUX199" s="2"/>
      <c r="RUY199" s="2"/>
      <c r="RUZ199" s="2"/>
      <c r="RVA199" s="2"/>
      <c r="RVB199" s="2"/>
      <c r="RVC199" s="2"/>
      <c r="RVD199" s="2"/>
      <c r="RVE199" s="2"/>
      <c r="RVF199" s="2"/>
      <c r="RVG199" s="2"/>
      <c r="RVH199" s="2"/>
      <c r="RVI199" s="2"/>
      <c r="RVJ199" s="2"/>
      <c r="RVK199" s="2"/>
      <c r="RVL199" s="2"/>
      <c r="RVM199" s="2"/>
      <c r="RVN199" s="2"/>
      <c r="RVO199" s="2"/>
      <c r="RVP199" s="2"/>
      <c r="RVQ199" s="2"/>
      <c r="RVR199" s="2"/>
      <c r="RVS199" s="2"/>
      <c r="RVT199" s="2"/>
      <c r="RVU199" s="2"/>
      <c r="RVV199" s="2"/>
      <c r="RVW199" s="2"/>
      <c r="RVX199" s="2"/>
      <c r="RVY199" s="2"/>
      <c r="RVZ199" s="2"/>
      <c r="RWA199" s="2"/>
      <c r="RWB199" s="2"/>
      <c r="RWC199" s="2"/>
      <c r="RWD199" s="2"/>
      <c r="RWE199" s="2"/>
      <c r="RWF199" s="2"/>
      <c r="RWG199" s="2"/>
      <c r="RWH199" s="2"/>
      <c r="RWI199" s="2"/>
      <c r="RWJ199" s="2"/>
      <c r="RWK199" s="2"/>
      <c r="RWL199" s="2"/>
      <c r="RWM199" s="2"/>
      <c r="RWN199" s="2"/>
      <c r="RWO199" s="2"/>
      <c r="RWP199" s="2"/>
      <c r="RWQ199" s="2"/>
      <c r="RWR199" s="2"/>
      <c r="RWS199" s="2"/>
      <c r="RWT199" s="2"/>
      <c r="RWU199" s="2"/>
      <c r="RWV199" s="2"/>
      <c r="RWW199" s="2"/>
      <c r="RWX199" s="2"/>
      <c r="RWY199" s="2"/>
      <c r="RWZ199" s="2"/>
      <c r="RXA199" s="2"/>
      <c r="RXB199" s="2"/>
      <c r="RXC199" s="2"/>
      <c r="RXD199" s="2"/>
      <c r="RXE199" s="2"/>
      <c r="RXF199" s="2"/>
      <c r="RXG199" s="2"/>
      <c r="RXH199" s="2"/>
      <c r="RXI199" s="2"/>
      <c r="RXJ199" s="2"/>
      <c r="RXK199" s="2"/>
      <c r="RXL199" s="2"/>
      <c r="RXM199" s="2"/>
      <c r="RXN199" s="2"/>
      <c r="RXO199" s="2"/>
      <c r="RXP199" s="2"/>
      <c r="RXQ199" s="2"/>
      <c r="RXR199" s="2"/>
      <c r="RXS199" s="2"/>
      <c r="RXT199" s="2"/>
      <c r="RXU199" s="2"/>
      <c r="RXV199" s="2"/>
      <c r="RXW199" s="2"/>
      <c r="RXX199" s="2"/>
      <c r="RXY199" s="2"/>
      <c r="RXZ199" s="2"/>
      <c r="RYA199" s="2"/>
      <c r="RYB199" s="2"/>
      <c r="RYC199" s="2"/>
      <c r="RYD199" s="2"/>
      <c r="RYE199" s="2"/>
      <c r="RYF199" s="2"/>
      <c r="RYG199" s="2"/>
      <c r="RYH199" s="2"/>
      <c r="RYI199" s="2"/>
      <c r="RYJ199" s="2"/>
      <c r="RYK199" s="2"/>
      <c r="RYL199" s="2"/>
      <c r="RYM199" s="2"/>
      <c r="RYN199" s="2"/>
      <c r="RYO199" s="2"/>
      <c r="RYP199" s="2"/>
      <c r="RYQ199" s="2"/>
      <c r="RYR199" s="2"/>
      <c r="RYS199" s="2"/>
      <c r="RYT199" s="2"/>
      <c r="RYU199" s="2"/>
      <c r="RYV199" s="2"/>
      <c r="RYW199" s="2"/>
      <c r="RYX199" s="2"/>
      <c r="RYY199" s="2"/>
      <c r="RYZ199" s="2"/>
      <c r="RZA199" s="2"/>
      <c r="RZB199" s="2"/>
      <c r="RZC199" s="2"/>
      <c r="RZD199" s="2"/>
      <c r="RZE199" s="2"/>
      <c r="RZF199" s="2"/>
      <c r="RZG199" s="2"/>
      <c r="RZH199" s="2"/>
      <c r="RZI199" s="2"/>
      <c r="RZJ199" s="2"/>
      <c r="RZK199" s="2"/>
      <c r="RZL199" s="2"/>
      <c r="RZM199" s="2"/>
      <c r="RZN199" s="2"/>
      <c r="RZO199" s="2"/>
      <c r="RZP199" s="2"/>
      <c r="RZQ199" s="2"/>
      <c r="RZR199" s="2"/>
      <c r="RZS199" s="2"/>
      <c r="RZT199" s="2"/>
      <c r="RZU199" s="2"/>
      <c r="RZV199" s="2"/>
      <c r="RZW199" s="2"/>
      <c r="RZX199" s="2"/>
      <c r="RZY199" s="2"/>
      <c r="RZZ199" s="2"/>
      <c r="SAA199" s="2"/>
      <c r="SAB199" s="2"/>
      <c r="SAC199" s="2"/>
      <c r="SAD199" s="2"/>
      <c r="SAE199" s="2"/>
      <c r="SAF199" s="2"/>
      <c r="SAG199" s="2"/>
      <c r="SAH199" s="2"/>
      <c r="SAI199" s="2"/>
      <c r="SAJ199" s="2"/>
      <c r="SAK199" s="2"/>
      <c r="SAL199" s="2"/>
      <c r="SAM199" s="2"/>
      <c r="SAN199" s="2"/>
      <c r="SAO199" s="2"/>
      <c r="SAP199" s="2"/>
      <c r="SAQ199" s="2"/>
      <c r="SAR199" s="2"/>
      <c r="SAS199" s="2"/>
      <c r="SAT199" s="2"/>
      <c r="SAU199" s="2"/>
      <c r="SAV199" s="2"/>
      <c r="SAW199" s="2"/>
      <c r="SAX199" s="2"/>
      <c r="SAY199" s="2"/>
      <c r="SAZ199" s="2"/>
      <c r="SBA199" s="2"/>
      <c r="SBB199" s="2"/>
      <c r="SBC199" s="2"/>
      <c r="SBD199" s="2"/>
      <c r="SBE199" s="2"/>
      <c r="SBF199" s="2"/>
      <c r="SBG199" s="2"/>
      <c r="SBH199" s="2"/>
      <c r="SBI199" s="2"/>
      <c r="SBJ199" s="2"/>
      <c r="SBK199" s="2"/>
      <c r="SBL199" s="2"/>
      <c r="SBM199" s="2"/>
      <c r="SBN199" s="2"/>
      <c r="SBO199" s="2"/>
      <c r="SBP199" s="2"/>
      <c r="SBQ199" s="2"/>
      <c r="SBR199" s="2"/>
      <c r="SBS199" s="2"/>
      <c r="SBT199" s="2"/>
      <c r="SBU199" s="2"/>
      <c r="SBV199" s="2"/>
      <c r="SBW199" s="2"/>
      <c r="SBX199" s="2"/>
      <c r="SBY199" s="2"/>
      <c r="SBZ199" s="2"/>
      <c r="SCA199" s="2"/>
      <c r="SCB199" s="2"/>
      <c r="SCC199" s="2"/>
      <c r="SCD199" s="2"/>
      <c r="SCE199" s="2"/>
      <c r="SCF199" s="2"/>
      <c r="SCG199" s="2"/>
      <c r="SCH199" s="2"/>
      <c r="SCI199" s="2"/>
      <c r="SCJ199" s="2"/>
      <c r="SCK199" s="2"/>
      <c r="SCL199" s="2"/>
      <c r="SCM199" s="2"/>
      <c r="SCN199" s="2"/>
      <c r="SCO199" s="2"/>
      <c r="SCP199" s="2"/>
      <c r="SCQ199" s="2"/>
      <c r="SCR199" s="2"/>
      <c r="SCS199" s="2"/>
      <c r="SCT199" s="2"/>
      <c r="SCU199" s="2"/>
      <c r="SCV199" s="2"/>
      <c r="SCW199" s="2"/>
      <c r="SCX199" s="2"/>
      <c r="SCY199" s="2"/>
      <c r="SCZ199" s="2"/>
      <c r="SDA199" s="2"/>
      <c r="SDB199" s="2"/>
      <c r="SDC199" s="2"/>
      <c r="SDD199" s="2"/>
      <c r="SDE199" s="2"/>
      <c r="SDF199" s="2"/>
      <c r="SDG199" s="2"/>
      <c r="SDH199" s="2"/>
      <c r="SDI199" s="2"/>
      <c r="SDJ199" s="2"/>
      <c r="SDK199" s="2"/>
      <c r="SDL199" s="2"/>
      <c r="SDM199" s="2"/>
      <c r="SDN199" s="2"/>
      <c r="SDO199" s="2"/>
      <c r="SDP199" s="2"/>
      <c r="SDQ199" s="2"/>
      <c r="SDR199" s="2"/>
      <c r="SDS199" s="2"/>
      <c r="SDT199" s="2"/>
      <c r="SDU199" s="2"/>
      <c r="SDV199" s="2"/>
      <c r="SDW199" s="2"/>
      <c r="SDX199" s="2"/>
      <c r="SDY199" s="2"/>
      <c r="SDZ199" s="2"/>
      <c r="SEA199" s="2"/>
      <c r="SEB199" s="2"/>
      <c r="SEC199" s="2"/>
      <c r="SED199" s="2"/>
      <c r="SEE199" s="2"/>
      <c r="SEF199" s="2"/>
      <c r="SEG199" s="2"/>
      <c r="SEH199" s="2"/>
      <c r="SEI199" s="2"/>
      <c r="SEJ199" s="2"/>
      <c r="SEK199" s="2"/>
      <c r="SEL199" s="2"/>
      <c r="SEM199" s="2"/>
      <c r="SEN199" s="2"/>
      <c r="SEO199" s="2"/>
      <c r="SEP199" s="2"/>
      <c r="SEQ199" s="2"/>
      <c r="SER199" s="2"/>
      <c r="SES199" s="2"/>
      <c r="SET199" s="2"/>
      <c r="SEU199" s="2"/>
      <c r="SEV199" s="2"/>
      <c r="SEW199" s="2"/>
      <c r="SEX199" s="2"/>
      <c r="SEY199" s="2"/>
      <c r="SEZ199" s="2"/>
      <c r="SFA199" s="2"/>
      <c r="SFB199" s="2"/>
      <c r="SFC199" s="2"/>
      <c r="SFD199" s="2"/>
      <c r="SFE199" s="2"/>
      <c r="SFF199" s="2"/>
      <c r="SFG199" s="2"/>
      <c r="SFH199" s="2"/>
      <c r="SFI199" s="2"/>
      <c r="SFJ199" s="2"/>
      <c r="SFK199" s="2"/>
      <c r="SFL199" s="2"/>
      <c r="SFM199" s="2"/>
      <c r="SFN199" s="2"/>
      <c r="SFO199" s="2"/>
      <c r="SFP199" s="2"/>
      <c r="SFQ199" s="2"/>
      <c r="SFR199" s="2"/>
      <c r="SFS199" s="2"/>
      <c r="SFT199" s="2"/>
      <c r="SFU199" s="2"/>
      <c r="SFV199" s="2"/>
      <c r="SFW199" s="2"/>
      <c r="SFX199" s="2"/>
      <c r="SFY199" s="2"/>
      <c r="SFZ199" s="2"/>
      <c r="SGA199" s="2"/>
      <c r="SGB199" s="2"/>
      <c r="SGC199" s="2"/>
      <c r="SGD199" s="2"/>
      <c r="SGE199" s="2"/>
      <c r="SGF199" s="2"/>
      <c r="SGG199" s="2"/>
      <c r="SGH199" s="2"/>
      <c r="SGI199" s="2"/>
      <c r="SGJ199" s="2"/>
      <c r="SGK199" s="2"/>
      <c r="SGL199" s="2"/>
      <c r="SGM199" s="2"/>
      <c r="SGN199" s="2"/>
      <c r="SGO199" s="2"/>
      <c r="SGP199" s="2"/>
      <c r="SGQ199" s="2"/>
      <c r="SGR199" s="2"/>
      <c r="SGS199" s="2"/>
      <c r="SGT199" s="2"/>
      <c r="SGU199" s="2"/>
      <c r="SGV199" s="2"/>
      <c r="SGW199" s="2"/>
      <c r="SGX199" s="2"/>
      <c r="SGY199" s="2"/>
      <c r="SGZ199" s="2"/>
      <c r="SHA199" s="2"/>
      <c r="SHB199" s="2"/>
      <c r="SHC199" s="2"/>
      <c r="SHD199" s="2"/>
      <c r="SHE199" s="2"/>
      <c r="SHF199" s="2"/>
      <c r="SHG199" s="2"/>
      <c r="SHH199" s="2"/>
      <c r="SHI199" s="2"/>
      <c r="SHJ199" s="2"/>
      <c r="SHK199" s="2"/>
      <c r="SHL199" s="2"/>
      <c r="SHM199" s="2"/>
      <c r="SHN199" s="2"/>
      <c r="SHO199" s="2"/>
      <c r="SHP199" s="2"/>
      <c r="SHQ199" s="2"/>
      <c r="SHR199" s="2"/>
      <c r="SHS199" s="2"/>
      <c r="SHT199" s="2"/>
      <c r="SHU199" s="2"/>
      <c r="SHV199" s="2"/>
      <c r="SHW199" s="2"/>
      <c r="SHX199" s="2"/>
      <c r="SHY199" s="2"/>
      <c r="SHZ199" s="2"/>
      <c r="SIA199" s="2"/>
      <c r="SIB199" s="2"/>
      <c r="SIC199" s="2"/>
      <c r="SID199" s="2"/>
      <c r="SIE199" s="2"/>
      <c r="SIF199" s="2"/>
      <c r="SIG199" s="2"/>
      <c r="SIH199" s="2"/>
      <c r="SII199" s="2"/>
      <c r="SIJ199" s="2"/>
      <c r="SIK199" s="2"/>
      <c r="SIL199" s="2"/>
      <c r="SIM199" s="2"/>
      <c r="SIN199" s="2"/>
      <c r="SIO199" s="2"/>
      <c r="SIP199" s="2"/>
      <c r="SIQ199" s="2"/>
      <c r="SIR199" s="2"/>
      <c r="SIS199" s="2"/>
      <c r="SIT199" s="2"/>
      <c r="SIU199" s="2"/>
      <c r="SIV199" s="2"/>
      <c r="SIW199" s="2"/>
      <c r="SIX199" s="2"/>
      <c r="SIY199" s="2"/>
      <c r="SIZ199" s="2"/>
      <c r="SJA199" s="2"/>
      <c r="SJB199" s="2"/>
      <c r="SJC199" s="2"/>
      <c r="SJD199" s="2"/>
      <c r="SJE199" s="2"/>
      <c r="SJF199" s="2"/>
      <c r="SJG199" s="2"/>
      <c r="SJH199" s="2"/>
      <c r="SJI199" s="2"/>
      <c r="SJJ199" s="2"/>
      <c r="SJK199" s="2"/>
      <c r="SJL199" s="2"/>
      <c r="SJM199" s="2"/>
      <c r="SJN199" s="2"/>
      <c r="SJO199" s="2"/>
      <c r="SJP199" s="2"/>
      <c r="SJQ199" s="2"/>
      <c r="SJR199" s="2"/>
      <c r="SJS199" s="2"/>
      <c r="SJT199" s="2"/>
      <c r="SJU199" s="2"/>
      <c r="SJV199" s="2"/>
      <c r="SJW199" s="2"/>
      <c r="SJX199" s="2"/>
      <c r="SJY199" s="2"/>
      <c r="SJZ199" s="2"/>
      <c r="SKA199" s="2"/>
      <c r="SKB199" s="2"/>
      <c r="SKC199" s="2"/>
      <c r="SKD199" s="2"/>
      <c r="SKE199" s="2"/>
      <c r="SKF199" s="2"/>
      <c r="SKG199" s="2"/>
      <c r="SKH199" s="2"/>
      <c r="SKI199" s="2"/>
      <c r="SKJ199" s="2"/>
      <c r="SKK199" s="2"/>
      <c r="SKL199" s="2"/>
      <c r="SKM199" s="2"/>
      <c r="SKN199" s="2"/>
      <c r="SKO199" s="2"/>
      <c r="SKP199" s="2"/>
      <c r="SKQ199" s="2"/>
      <c r="SKR199" s="2"/>
      <c r="SKS199" s="2"/>
      <c r="SKT199" s="2"/>
      <c r="SKU199" s="2"/>
      <c r="SKV199" s="2"/>
      <c r="SKW199" s="2"/>
      <c r="SKX199" s="2"/>
      <c r="SKY199" s="2"/>
      <c r="SKZ199" s="2"/>
      <c r="SLA199" s="2"/>
      <c r="SLB199" s="2"/>
      <c r="SLC199" s="2"/>
      <c r="SLD199" s="2"/>
      <c r="SLE199" s="2"/>
      <c r="SLF199" s="2"/>
      <c r="SLG199" s="2"/>
      <c r="SLH199" s="2"/>
      <c r="SLI199" s="2"/>
      <c r="SLJ199" s="2"/>
      <c r="SLK199" s="2"/>
      <c r="SLL199" s="2"/>
      <c r="SLM199" s="2"/>
      <c r="SLN199" s="2"/>
      <c r="SLO199" s="2"/>
      <c r="SLP199" s="2"/>
      <c r="SLQ199" s="2"/>
      <c r="SLR199" s="2"/>
      <c r="SLS199" s="2"/>
      <c r="SLT199" s="2"/>
      <c r="SLU199" s="2"/>
      <c r="SLV199" s="2"/>
      <c r="SLW199" s="2"/>
      <c r="SLX199" s="2"/>
      <c r="SLY199" s="2"/>
      <c r="SLZ199" s="2"/>
      <c r="SMA199" s="2"/>
      <c r="SMB199" s="2"/>
      <c r="SMC199" s="2"/>
      <c r="SMD199" s="2"/>
      <c r="SME199" s="2"/>
      <c r="SMF199" s="2"/>
      <c r="SMG199" s="2"/>
      <c r="SMH199" s="2"/>
      <c r="SMI199" s="2"/>
      <c r="SMJ199" s="2"/>
      <c r="SMK199" s="2"/>
      <c r="SML199" s="2"/>
      <c r="SMM199" s="2"/>
      <c r="SMN199" s="2"/>
      <c r="SMO199" s="2"/>
      <c r="SMP199" s="2"/>
      <c r="SMQ199" s="2"/>
      <c r="SMR199" s="2"/>
      <c r="SMS199" s="2"/>
      <c r="SMT199" s="2"/>
      <c r="SMU199" s="2"/>
      <c r="SMV199" s="2"/>
      <c r="SMW199" s="2"/>
      <c r="SMX199" s="2"/>
      <c r="SMY199" s="2"/>
      <c r="SMZ199" s="2"/>
      <c r="SNA199" s="2"/>
      <c r="SNB199" s="2"/>
      <c r="SNC199" s="2"/>
      <c r="SND199" s="2"/>
      <c r="SNE199" s="2"/>
      <c r="SNF199" s="2"/>
      <c r="SNG199" s="2"/>
      <c r="SNH199" s="2"/>
      <c r="SNI199" s="2"/>
      <c r="SNJ199" s="2"/>
      <c r="SNK199" s="2"/>
      <c r="SNL199" s="2"/>
      <c r="SNM199" s="2"/>
      <c r="SNN199" s="2"/>
      <c r="SNO199" s="2"/>
      <c r="SNP199" s="2"/>
      <c r="SNQ199" s="2"/>
      <c r="SNR199" s="2"/>
      <c r="SNS199" s="2"/>
      <c r="SNT199" s="2"/>
      <c r="SNU199" s="2"/>
      <c r="SNV199" s="2"/>
      <c r="SNW199" s="2"/>
      <c r="SNX199" s="2"/>
      <c r="SNY199" s="2"/>
      <c r="SNZ199" s="2"/>
      <c r="SOA199" s="2"/>
      <c r="SOB199" s="2"/>
      <c r="SOC199" s="2"/>
      <c r="SOD199" s="2"/>
      <c r="SOE199" s="2"/>
      <c r="SOF199" s="2"/>
      <c r="SOG199" s="2"/>
      <c r="SOH199" s="2"/>
      <c r="SOI199" s="2"/>
      <c r="SOJ199" s="2"/>
      <c r="SOK199" s="2"/>
      <c r="SOL199" s="2"/>
      <c r="SOM199" s="2"/>
      <c r="SON199" s="2"/>
      <c r="SOO199" s="2"/>
      <c r="SOP199" s="2"/>
      <c r="SOQ199" s="2"/>
      <c r="SOR199" s="2"/>
      <c r="SOS199" s="2"/>
      <c r="SOT199" s="2"/>
      <c r="SOU199" s="2"/>
      <c r="SOV199" s="2"/>
      <c r="SOW199" s="2"/>
      <c r="SOX199" s="2"/>
      <c r="SOY199" s="2"/>
      <c r="SOZ199" s="2"/>
      <c r="SPA199" s="2"/>
      <c r="SPB199" s="2"/>
      <c r="SPC199" s="2"/>
      <c r="SPD199" s="2"/>
      <c r="SPE199" s="2"/>
      <c r="SPF199" s="2"/>
      <c r="SPG199" s="2"/>
      <c r="SPH199" s="2"/>
      <c r="SPI199" s="2"/>
      <c r="SPJ199" s="2"/>
      <c r="SPK199" s="2"/>
      <c r="SPL199" s="2"/>
      <c r="SPM199" s="2"/>
      <c r="SPN199" s="2"/>
      <c r="SPO199" s="2"/>
      <c r="SPP199" s="2"/>
      <c r="SPQ199" s="2"/>
      <c r="SPR199" s="2"/>
      <c r="SPS199" s="2"/>
      <c r="SPT199" s="2"/>
      <c r="SPU199" s="2"/>
      <c r="SPV199" s="2"/>
      <c r="SPW199" s="2"/>
      <c r="SPX199" s="2"/>
      <c r="SPY199" s="2"/>
      <c r="SPZ199" s="2"/>
      <c r="SQA199" s="2"/>
      <c r="SQB199" s="2"/>
      <c r="SQC199" s="2"/>
      <c r="SQD199" s="2"/>
      <c r="SQE199" s="2"/>
      <c r="SQF199" s="2"/>
      <c r="SQG199" s="2"/>
      <c r="SQH199" s="2"/>
      <c r="SQI199" s="2"/>
      <c r="SQJ199" s="2"/>
      <c r="SQK199" s="2"/>
      <c r="SQL199" s="2"/>
      <c r="SQM199" s="2"/>
      <c r="SQN199" s="2"/>
      <c r="SQO199" s="2"/>
      <c r="SQP199" s="2"/>
      <c r="SQQ199" s="2"/>
      <c r="SQR199" s="2"/>
      <c r="SQS199" s="2"/>
      <c r="SQT199" s="2"/>
      <c r="SQU199" s="2"/>
      <c r="SQV199" s="2"/>
      <c r="SQW199" s="2"/>
      <c r="SQX199" s="2"/>
      <c r="SQY199" s="2"/>
      <c r="SQZ199" s="2"/>
      <c r="SRA199" s="2"/>
      <c r="SRB199" s="2"/>
      <c r="SRC199" s="2"/>
      <c r="SRD199" s="2"/>
      <c r="SRE199" s="2"/>
      <c r="SRF199" s="2"/>
      <c r="SRG199" s="2"/>
      <c r="SRH199" s="2"/>
      <c r="SRI199" s="2"/>
      <c r="SRJ199" s="2"/>
      <c r="SRK199" s="2"/>
      <c r="SRL199" s="2"/>
      <c r="SRM199" s="2"/>
      <c r="SRN199" s="2"/>
      <c r="SRO199" s="2"/>
      <c r="SRP199" s="2"/>
      <c r="SRQ199" s="2"/>
      <c r="SRR199" s="2"/>
      <c r="SRS199" s="2"/>
      <c r="SRT199" s="2"/>
      <c r="SRU199" s="2"/>
      <c r="SRV199" s="2"/>
      <c r="SRW199" s="2"/>
      <c r="SRX199" s="2"/>
      <c r="SRY199" s="2"/>
      <c r="SRZ199" s="2"/>
      <c r="SSA199" s="2"/>
      <c r="SSB199" s="2"/>
      <c r="SSC199" s="2"/>
      <c r="SSD199" s="2"/>
      <c r="SSE199" s="2"/>
      <c r="SSF199" s="2"/>
      <c r="SSG199" s="2"/>
      <c r="SSH199" s="2"/>
      <c r="SSI199" s="2"/>
      <c r="SSJ199" s="2"/>
      <c r="SSK199" s="2"/>
      <c r="SSL199" s="2"/>
      <c r="SSM199" s="2"/>
      <c r="SSN199" s="2"/>
      <c r="SSO199" s="2"/>
      <c r="SSP199" s="2"/>
      <c r="SSQ199" s="2"/>
      <c r="SSR199" s="2"/>
      <c r="SSS199" s="2"/>
      <c r="SST199" s="2"/>
      <c r="SSU199" s="2"/>
      <c r="SSV199" s="2"/>
      <c r="SSW199" s="2"/>
      <c r="SSX199" s="2"/>
      <c r="SSY199" s="2"/>
      <c r="SSZ199" s="2"/>
      <c r="STA199" s="2"/>
      <c r="STB199" s="2"/>
      <c r="STC199" s="2"/>
      <c r="STD199" s="2"/>
      <c r="STE199" s="2"/>
      <c r="STF199" s="2"/>
      <c r="STG199" s="2"/>
      <c r="STH199" s="2"/>
      <c r="STI199" s="2"/>
      <c r="STJ199" s="2"/>
      <c r="STK199" s="2"/>
      <c r="STL199" s="2"/>
      <c r="STM199" s="2"/>
      <c r="STN199" s="2"/>
      <c r="STO199" s="2"/>
      <c r="STP199" s="2"/>
      <c r="STQ199" s="2"/>
      <c r="STR199" s="2"/>
      <c r="STS199" s="2"/>
      <c r="STT199" s="2"/>
      <c r="STU199" s="2"/>
      <c r="STV199" s="2"/>
      <c r="STW199" s="2"/>
      <c r="STX199" s="2"/>
      <c r="STY199" s="2"/>
      <c r="STZ199" s="2"/>
      <c r="SUA199" s="2"/>
      <c r="SUB199" s="2"/>
      <c r="SUC199" s="2"/>
      <c r="SUD199" s="2"/>
      <c r="SUE199" s="2"/>
      <c r="SUF199" s="2"/>
      <c r="SUG199" s="2"/>
      <c r="SUH199" s="2"/>
      <c r="SUI199" s="2"/>
      <c r="SUJ199" s="2"/>
      <c r="SUK199" s="2"/>
      <c r="SUL199" s="2"/>
      <c r="SUM199" s="2"/>
      <c r="SUN199" s="2"/>
      <c r="SUO199" s="2"/>
      <c r="SUP199" s="2"/>
      <c r="SUQ199" s="2"/>
      <c r="SUR199" s="2"/>
      <c r="SUS199" s="2"/>
      <c r="SUT199" s="2"/>
      <c r="SUU199" s="2"/>
      <c r="SUV199" s="2"/>
      <c r="SUW199" s="2"/>
      <c r="SUX199" s="2"/>
      <c r="SUY199" s="2"/>
      <c r="SUZ199" s="2"/>
      <c r="SVA199" s="2"/>
      <c r="SVB199" s="2"/>
      <c r="SVC199" s="2"/>
      <c r="SVD199" s="2"/>
      <c r="SVE199" s="2"/>
      <c r="SVF199" s="2"/>
      <c r="SVG199" s="2"/>
      <c r="SVH199" s="2"/>
      <c r="SVI199" s="2"/>
      <c r="SVJ199" s="2"/>
      <c r="SVK199" s="2"/>
      <c r="SVL199" s="2"/>
      <c r="SVM199" s="2"/>
      <c r="SVN199" s="2"/>
      <c r="SVO199" s="2"/>
      <c r="SVP199" s="2"/>
      <c r="SVQ199" s="2"/>
      <c r="SVR199" s="2"/>
      <c r="SVS199" s="2"/>
      <c r="SVT199" s="2"/>
      <c r="SVU199" s="2"/>
      <c r="SVV199" s="2"/>
      <c r="SVW199" s="2"/>
      <c r="SVX199" s="2"/>
      <c r="SVY199" s="2"/>
      <c r="SVZ199" s="2"/>
      <c r="SWA199" s="2"/>
      <c r="SWB199" s="2"/>
      <c r="SWC199" s="2"/>
      <c r="SWD199" s="2"/>
      <c r="SWE199" s="2"/>
      <c r="SWF199" s="2"/>
      <c r="SWG199" s="2"/>
      <c r="SWH199" s="2"/>
      <c r="SWI199" s="2"/>
      <c r="SWJ199" s="2"/>
      <c r="SWK199" s="2"/>
      <c r="SWL199" s="2"/>
      <c r="SWM199" s="2"/>
      <c r="SWN199" s="2"/>
      <c r="SWO199" s="2"/>
      <c r="SWP199" s="2"/>
      <c r="SWQ199" s="2"/>
      <c r="SWR199" s="2"/>
      <c r="SWS199" s="2"/>
      <c r="SWT199" s="2"/>
      <c r="SWU199" s="2"/>
      <c r="SWV199" s="2"/>
      <c r="SWW199" s="2"/>
      <c r="SWX199" s="2"/>
      <c r="SWY199" s="2"/>
      <c r="SWZ199" s="2"/>
      <c r="SXA199" s="2"/>
      <c r="SXB199" s="2"/>
      <c r="SXC199" s="2"/>
      <c r="SXD199" s="2"/>
      <c r="SXE199" s="2"/>
      <c r="SXF199" s="2"/>
      <c r="SXG199" s="2"/>
      <c r="SXH199" s="2"/>
      <c r="SXI199" s="2"/>
      <c r="SXJ199" s="2"/>
      <c r="SXK199" s="2"/>
      <c r="SXL199" s="2"/>
      <c r="SXM199" s="2"/>
      <c r="SXN199" s="2"/>
      <c r="SXO199" s="2"/>
      <c r="SXP199" s="2"/>
      <c r="SXQ199" s="2"/>
      <c r="SXR199" s="2"/>
      <c r="SXS199" s="2"/>
      <c r="SXT199" s="2"/>
      <c r="SXU199" s="2"/>
      <c r="SXV199" s="2"/>
      <c r="SXW199" s="2"/>
      <c r="SXX199" s="2"/>
      <c r="SXY199" s="2"/>
      <c r="SXZ199" s="2"/>
      <c r="SYA199" s="2"/>
      <c r="SYB199" s="2"/>
      <c r="SYC199" s="2"/>
      <c r="SYD199" s="2"/>
      <c r="SYE199" s="2"/>
      <c r="SYF199" s="2"/>
      <c r="SYG199" s="2"/>
      <c r="SYH199" s="2"/>
      <c r="SYI199" s="2"/>
      <c r="SYJ199" s="2"/>
      <c r="SYK199" s="2"/>
      <c r="SYL199" s="2"/>
      <c r="SYM199" s="2"/>
      <c r="SYN199" s="2"/>
      <c r="SYO199" s="2"/>
      <c r="SYP199" s="2"/>
      <c r="SYQ199" s="2"/>
      <c r="SYR199" s="2"/>
      <c r="SYS199" s="2"/>
      <c r="SYT199" s="2"/>
      <c r="SYU199" s="2"/>
      <c r="SYV199" s="2"/>
      <c r="SYW199" s="2"/>
      <c r="SYX199" s="2"/>
      <c r="SYY199" s="2"/>
      <c r="SYZ199" s="2"/>
      <c r="SZA199" s="2"/>
      <c r="SZB199" s="2"/>
      <c r="SZC199" s="2"/>
      <c r="SZD199" s="2"/>
      <c r="SZE199" s="2"/>
      <c r="SZF199" s="2"/>
      <c r="SZG199" s="2"/>
      <c r="SZH199" s="2"/>
      <c r="SZI199" s="2"/>
      <c r="SZJ199" s="2"/>
      <c r="SZK199" s="2"/>
      <c r="SZL199" s="2"/>
      <c r="SZM199" s="2"/>
      <c r="SZN199" s="2"/>
      <c r="SZO199" s="2"/>
      <c r="SZP199" s="2"/>
      <c r="SZQ199" s="2"/>
      <c r="SZR199" s="2"/>
      <c r="SZS199" s="2"/>
      <c r="SZT199" s="2"/>
      <c r="SZU199" s="2"/>
      <c r="SZV199" s="2"/>
      <c r="SZW199" s="2"/>
      <c r="SZX199" s="2"/>
      <c r="SZY199" s="2"/>
      <c r="SZZ199" s="2"/>
      <c r="TAA199" s="2"/>
      <c r="TAB199" s="2"/>
      <c r="TAC199" s="2"/>
      <c r="TAD199" s="2"/>
      <c r="TAE199" s="2"/>
      <c r="TAF199" s="2"/>
      <c r="TAG199" s="2"/>
      <c r="TAH199" s="2"/>
      <c r="TAI199" s="2"/>
      <c r="TAJ199" s="2"/>
      <c r="TAK199" s="2"/>
      <c r="TAL199" s="2"/>
      <c r="TAM199" s="2"/>
      <c r="TAN199" s="2"/>
      <c r="TAO199" s="2"/>
      <c r="TAP199" s="2"/>
      <c r="TAQ199" s="2"/>
      <c r="TAR199" s="2"/>
      <c r="TAS199" s="2"/>
      <c r="TAT199" s="2"/>
      <c r="TAU199" s="2"/>
      <c r="TAV199" s="2"/>
      <c r="TAW199" s="2"/>
      <c r="TAX199" s="2"/>
      <c r="TAY199" s="2"/>
      <c r="TAZ199" s="2"/>
      <c r="TBA199" s="2"/>
      <c r="TBB199" s="2"/>
      <c r="TBC199" s="2"/>
      <c r="TBD199" s="2"/>
      <c r="TBE199" s="2"/>
      <c r="TBF199" s="2"/>
      <c r="TBG199" s="2"/>
      <c r="TBH199" s="2"/>
      <c r="TBI199" s="2"/>
      <c r="TBJ199" s="2"/>
      <c r="TBK199" s="2"/>
      <c r="TBL199" s="2"/>
      <c r="TBM199" s="2"/>
      <c r="TBN199" s="2"/>
      <c r="TBO199" s="2"/>
      <c r="TBP199" s="2"/>
      <c r="TBQ199" s="2"/>
      <c r="TBR199" s="2"/>
      <c r="TBS199" s="2"/>
      <c r="TBT199" s="2"/>
      <c r="TBU199" s="2"/>
      <c r="TBV199" s="2"/>
      <c r="TBW199" s="2"/>
      <c r="TBX199" s="2"/>
      <c r="TBY199" s="2"/>
      <c r="TBZ199" s="2"/>
      <c r="TCA199" s="2"/>
      <c r="TCB199" s="2"/>
      <c r="TCC199" s="2"/>
      <c r="TCD199" s="2"/>
      <c r="TCE199" s="2"/>
      <c r="TCF199" s="2"/>
      <c r="TCG199" s="2"/>
      <c r="TCH199" s="2"/>
      <c r="TCI199" s="2"/>
      <c r="TCJ199" s="2"/>
      <c r="TCK199" s="2"/>
      <c r="TCL199" s="2"/>
      <c r="TCM199" s="2"/>
      <c r="TCN199" s="2"/>
      <c r="TCO199" s="2"/>
      <c r="TCP199" s="2"/>
      <c r="TCQ199" s="2"/>
      <c r="TCR199" s="2"/>
      <c r="TCS199" s="2"/>
      <c r="TCT199" s="2"/>
      <c r="TCU199" s="2"/>
      <c r="TCV199" s="2"/>
      <c r="TCW199" s="2"/>
      <c r="TCX199" s="2"/>
      <c r="TCY199" s="2"/>
      <c r="TCZ199" s="2"/>
      <c r="TDA199" s="2"/>
      <c r="TDB199" s="2"/>
      <c r="TDC199" s="2"/>
      <c r="TDD199" s="2"/>
      <c r="TDE199" s="2"/>
      <c r="TDF199" s="2"/>
      <c r="TDG199" s="2"/>
      <c r="TDH199" s="2"/>
      <c r="TDI199" s="2"/>
      <c r="TDJ199" s="2"/>
      <c r="TDK199" s="2"/>
      <c r="TDL199" s="2"/>
      <c r="TDM199" s="2"/>
      <c r="TDN199" s="2"/>
      <c r="TDO199" s="2"/>
      <c r="TDP199" s="2"/>
      <c r="TDQ199" s="2"/>
      <c r="TDR199" s="2"/>
      <c r="TDS199" s="2"/>
      <c r="TDT199" s="2"/>
      <c r="TDU199" s="2"/>
      <c r="TDV199" s="2"/>
      <c r="TDW199" s="2"/>
      <c r="TDX199" s="2"/>
      <c r="TDY199" s="2"/>
      <c r="TDZ199" s="2"/>
      <c r="TEA199" s="2"/>
      <c r="TEB199" s="2"/>
      <c r="TEC199" s="2"/>
      <c r="TED199" s="2"/>
      <c r="TEE199" s="2"/>
      <c r="TEF199" s="2"/>
      <c r="TEG199" s="2"/>
      <c r="TEH199" s="2"/>
      <c r="TEI199" s="2"/>
      <c r="TEJ199" s="2"/>
      <c r="TEK199" s="2"/>
      <c r="TEL199" s="2"/>
      <c r="TEM199" s="2"/>
      <c r="TEN199" s="2"/>
      <c r="TEO199" s="2"/>
      <c r="TEP199" s="2"/>
      <c r="TEQ199" s="2"/>
      <c r="TER199" s="2"/>
      <c r="TES199" s="2"/>
      <c r="TET199" s="2"/>
      <c r="TEU199" s="2"/>
      <c r="TEV199" s="2"/>
      <c r="TEW199" s="2"/>
      <c r="TEX199" s="2"/>
      <c r="TEY199" s="2"/>
      <c r="TEZ199" s="2"/>
      <c r="TFA199" s="2"/>
      <c r="TFB199" s="2"/>
      <c r="TFC199" s="2"/>
      <c r="TFD199" s="2"/>
      <c r="TFE199" s="2"/>
      <c r="TFF199" s="2"/>
      <c r="TFG199" s="2"/>
      <c r="TFH199" s="2"/>
      <c r="TFI199" s="2"/>
      <c r="TFJ199" s="2"/>
      <c r="TFK199" s="2"/>
      <c r="TFL199" s="2"/>
      <c r="TFM199" s="2"/>
      <c r="TFN199" s="2"/>
      <c r="TFO199" s="2"/>
      <c r="TFP199" s="2"/>
      <c r="TFQ199" s="2"/>
      <c r="TFR199" s="2"/>
      <c r="TFS199" s="2"/>
      <c r="TFT199" s="2"/>
      <c r="TFU199" s="2"/>
      <c r="TFV199" s="2"/>
      <c r="TFW199" s="2"/>
      <c r="TFX199" s="2"/>
      <c r="TFY199" s="2"/>
      <c r="TFZ199" s="2"/>
      <c r="TGA199" s="2"/>
      <c r="TGB199" s="2"/>
      <c r="TGC199" s="2"/>
      <c r="TGD199" s="2"/>
      <c r="TGE199" s="2"/>
      <c r="TGF199" s="2"/>
      <c r="TGG199" s="2"/>
      <c r="TGH199" s="2"/>
      <c r="TGI199" s="2"/>
      <c r="TGJ199" s="2"/>
      <c r="TGK199" s="2"/>
      <c r="TGL199" s="2"/>
      <c r="TGM199" s="2"/>
      <c r="TGN199" s="2"/>
      <c r="TGO199" s="2"/>
      <c r="TGP199" s="2"/>
      <c r="TGQ199" s="2"/>
      <c r="TGR199" s="2"/>
      <c r="TGS199" s="2"/>
      <c r="TGT199" s="2"/>
      <c r="TGU199" s="2"/>
      <c r="TGV199" s="2"/>
      <c r="TGW199" s="2"/>
      <c r="TGX199" s="2"/>
      <c r="TGY199" s="2"/>
      <c r="TGZ199" s="2"/>
      <c r="THA199" s="2"/>
      <c r="THB199" s="2"/>
      <c r="THC199" s="2"/>
      <c r="THD199" s="2"/>
      <c r="THE199" s="2"/>
      <c r="THF199" s="2"/>
      <c r="THG199" s="2"/>
      <c r="THH199" s="2"/>
      <c r="THI199" s="2"/>
      <c r="THJ199" s="2"/>
      <c r="THK199" s="2"/>
      <c r="THL199" s="2"/>
      <c r="THM199" s="2"/>
      <c r="THN199" s="2"/>
      <c r="THO199" s="2"/>
      <c r="THP199" s="2"/>
      <c r="THQ199" s="2"/>
      <c r="THR199" s="2"/>
      <c r="THS199" s="2"/>
      <c r="THT199" s="2"/>
      <c r="THU199" s="2"/>
      <c r="THV199" s="2"/>
      <c r="THW199" s="2"/>
      <c r="THX199" s="2"/>
      <c r="THY199" s="2"/>
      <c r="THZ199" s="2"/>
      <c r="TIA199" s="2"/>
      <c r="TIB199" s="2"/>
      <c r="TIC199" s="2"/>
      <c r="TID199" s="2"/>
      <c r="TIE199" s="2"/>
      <c r="TIF199" s="2"/>
      <c r="TIG199" s="2"/>
      <c r="TIH199" s="2"/>
      <c r="TII199" s="2"/>
      <c r="TIJ199" s="2"/>
      <c r="TIK199" s="2"/>
      <c r="TIL199" s="2"/>
      <c r="TIM199" s="2"/>
      <c r="TIN199" s="2"/>
      <c r="TIO199" s="2"/>
      <c r="TIP199" s="2"/>
      <c r="TIQ199" s="2"/>
      <c r="TIR199" s="2"/>
      <c r="TIS199" s="2"/>
      <c r="TIT199" s="2"/>
      <c r="TIU199" s="2"/>
      <c r="TIV199" s="2"/>
      <c r="TIW199" s="2"/>
      <c r="TIX199" s="2"/>
      <c r="TIY199" s="2"/>
      <c r="TIZ199" s="2"/>
      <c r="TJA199" s="2"/>
      <c r="TJB199" s="2"/>
      <c r="TJC199" s="2"/>
      <c r="TJD199" s="2"/>
      <c r="TJE199" s="2"/>
      <c r="TJF199" s="2"/>
      <c r="TJG199" s="2"/>
      <c r="TJH199" s="2"/>
      <c r="TJI199" s="2"/>
      <c r="TJJ199" s="2"/>
      <c r="TJK199" s="2"/>
      <c r="TJL199" s="2"/>
      <c r="TJM199" s="2"/>
      <c r="TJN199" s="2"/>
      <c r="TJO199" s="2"/>
      <c r="TJP199" s="2"/>
      <c r="TJQ199" s="2"/>
      <c r="TJR199" s="2"/>
      <c r="TJS199" s="2"/>
      <c r="TJT199" s="2"/>
      <c r="TJU199" s="2"/>
      <c r="TJV199" s="2"/>
      <c r="TJW199" s="2"/>
      <c r="TJX199" s="2"/>
      <c r="TJY199" s="2"/>
      <c r="TJZ199" s="2"/>
      <c r="TKA199" s="2"/>
      <c r="TKB199" s="2"/>
      <c r="TKC199" s="2"/>
      <c r="TKD199" s="2"/>
      <c r="TKE199" s="2"/>
      <c r="TKF199" s="2"/>
      <c r="TKG199" s="2"/>
      <c r="TKH199" s="2"/>
      <c r="TKI199" s="2"/>
      <c r="TKJ199" s="2"/>
      <c r="TKK199" s="2"/>
      <c r="TKL199" s="2"/>
      <c r="TKM199" s="2"/>
      <c r="TKN199" s="2"/>
      <c r="TKO199" s="2"/>
      <c r="TKP199" s="2"/>
      <c r="TKQ199" s="2"/>
      <c r="TKR199" s="2"/>
      <c r="TKS199" s="2"/>
      <c r="TKT199" s="2"/>
      <c r="TKU199" s="2"/>
      <c r="TKV199" s="2"/>
      <c r="TKW199" s="2"/>
      <c r="TKX199" s="2"/>
      <c r="TKY199" s="2"/>
      <c r="TKZ199" s="2"/>
      <c r="TLA199" s="2"/>
      <c r="TLB199" s="2"/>
      <c r="TLC199" s="2"/>
      <c r="TLD199" s="2"/>
      <c r="TLE199" s="2"/>
      <c r="TLF199" s="2"/>
      <c r="TLG199" s="2"/>
      <c r="TLH199" s="2"/>
      <c r="TLI199" s="2"/>
      <c r="TLJ199" s="2"/>
      <c r="TLK199" s="2"/>
      <c r="TLL199" s="2"/>
      <c r="TLM199" s="2"/>
      <c r="TLN199" s="2"/>
      <c r="TLO199" s="2"/>
      <c r="TLP199" s="2"/>
      <c r="TLQ199" s="2"/>
      <c r="TLR199" s="2"/>
      <c r="TLS199" s="2"/>
      <c r="TLT199" s="2"/>
      <c r="TLU199" s="2"/>
      <c r="TLV199" s="2"/>
      <c r="TLW199" s="2"/>
      <c r="TLX199" s="2"/>
      <c r="TLY199" s="2"/>
      <c r="TLZ199" s="2"/>
      <c r="TMA199" s="2"/>
      <c r="TMB199" s="2"/>
      <c r="TMC199" s="2"/>
      <c r="TMD199" s="2"/>
      <c r="TME199" s="2"/>
      <c r="TMF199" s="2"/>
      <c r="TMG199" s="2"/>
      <c r="TMH199" s="2"/>
      <c r="TMI199" s="2"/>
      <c r="TMJ199" s="2"/>
      <c r="TMK199" s="2"/>
      <c r="TML199" s="2"/>
      <c r="TMM199" s="2"/>
      <c r="TMN199" s="2"/>
      <c r="TMO199" s="2"/>
      <c r="TMP199" s="2"/>
      <c r="TMQ199" s="2"/>
      <c r="TMR199" s="2"/>
      <c r="TMS199" s="2"/>
      <c r="TMT199" s="2"/>
      <c r="TMU199" s="2"/>
      <c r="TMV199" s="2"/>
      <c r="TMW199" s="2"/>
      <c r="TMX199" s="2"/>
      <c r="TMY199" s="2"/>
      <c r="TMZ199" s="2"/>
      <c r="TNA199" s="2"/>
      <c r="TNB199" s="2"/>
      <c r="TNC199" s="2"/>
      <c r="TND199" s="2"/>
      <c r="TNE199" s="2"/>
      <c r="TNF199" s="2"/>
      <c r="TNG199" s="2"/>
      <c r="TNH199" s="2"/>
      <c r="TNI199" s="2"/>
      <c r="TNJ199" s="2"/>
      <c r="TNK199" s="2"/>
      <c r="TNL199" s="2"/>
      <c r="TNM199" s="2"/>
      <c r="TNN199" s="2"/>
      <c r="TNO199" s="2"/>
      <c r="TNP199" s="2"/>
      <c r="TNQ199" s="2"/>
      <c r="TNR199" s="2"/>
      <c r="TNS199" s="2"/>
      <c r="TNT199" s="2"/>
      <c r="TNU199" s="2"/>
      <c r="TNV199" s="2"/>
      <c r="TNW199" s="2"/>
      <c r="TNX199" s="2"/>
      <c r="TNY199" s="2"/>
      <c r="TNZ199" s="2"/>
      <c r="TOA199" s="2"/>
      <c r="TOB199" s="2"/>
      <c r="TOC199" s="2"/>
      <c r="TOD199" s="2"/>
      <c r="TOE199" s="2"/>
      <c r="TOF199" s="2"/>
      <c r="TOG199" s="2"/>
      <c r="TOH199" s="2"/>
      <c r="TOI199" s="2"/>
      <c r="TOJ199" s="2"/>
      <c r="TOK199" s="2"/>
      <c r="TOL199" s="2"/>
      <c r="TOM199" s="2"/>
      <c r="TON199" s="2"/>
      <c r="TOO199" s="2"/>
      <c r="TOP199" s="2"/>
      <c r="TOQ199" s="2"/>
      <c r="TOR199" s="2"/>
      <c r="TOS199" s="2"/>
      <c r="TOT199" s="2"/>
      <c r="TOU199" s="2"/>
      <c r="TOV199" s="2"/>
      <c r="TOW199" s="2"/>
      <c r="TOX199" s="2"/>
      <c r="TOY199" s="2"/>
      <c r="TOZ199" s="2"/>
      <c r="TPA199" s="2"/>
      <c r="TPB199" s="2"/>
      <c r="TPC199" s="2"/>
      <c r="TPD199" s="2"/>
      <c r="TPE199" s="2"/>
      <c r="TPF199" s="2"/>
      <c r="TPG199" s="2"/>
      <c r="TPH199" s="2"/>
      <c r="TPI199" s="2"/>
      <c r="TPJ199" s="2"/>
      <c r="TPK199" s="2"/>
      <c r="TPL199" s="2"/>
      <c r="TPM199" s="2"/>
      <c r="TPN199" s="2"/>
      <c r="TPO199" s="2"/>
      <c r="TPP199" s="2"/>
      <c r="TPQ199" s="2"/>
      <c r="TPR199" s="2"/>
      <c r="TPS199" s="2"/>
      <c r="TPT199" s="2"/>
      <c r="TPU199" s="2"/>
      <c r="TPV199" s="2"/>
      <c r="TPW199" s="2"/>
      <c r="TPX199" s="2"/>
      <c r="TPY199" s="2"/>
      <c r="TPZ199" s="2"/>
      <c r="TQA199" s="2"/>
      <c r="TQB199" s="2"/>
      <c r="TQC199" s="2"/>
      <c r="TQD199" s="2"/>
      <c r="TQE199" s="2"/>
      <c r="TQF199" s="2"/>
      <c r="TQG199" s="2"/>
      <c r="TQH199" s="2"/>
      <c r="TQI199" s="2"/>
      <c r="TQJ199" s="2"/>
      <c r="TQK199" s="2"/>
      <c r="TQL199" s="2"/>
      <c r="TQM199" s="2"/>
      <c r="TQN199" s="2"/>
      <c r="TQO199" s="2"/>
      <c r="TQP199" s="2"/>
      <c r="TQQ199" s="2"/>
      <c r="TQR199" s="2"/>
      <c r="TQS199" s="2"/>
      <c r="TQT199" s="2"/>
      <c r="TQU199" s="2"/>
      <c r="TQV199" s="2"/>
      <c r="TQW199" s="2"/>
      <c r="TQX199" s="2"/>
      <c r="TQY199" s="2"/>
      <c r="TQZ199" s="2"/>
      <c r="TRA199" s="2"/>
      <c r="TRB199" s="2"/>
      <c r="TRC199" s="2"/>
      <c r="TRD199" s="2"/>
      <c r="TRE199" s="2"/>
      <c r="TRF199" s="2"/>
      <c r="TRG199" s="2"/>
      <c r="TRH199" s="2"/>
      <c r="TRI199" s="2"/>
      <c r="TRJ199" s="2"/>
      <c r="TRK199" s="2"/>
      <c r="TRL199" s="2"/>
      <c r="TRM199" s="2"/>
      <c r="TRN199" s="2"/>
      <c r="TRO199" s="2"/>
      <c r="TRP199" s="2"/>
      <c r="TRQ199" s="2"/>
      <c r="TRR199" s="2"/>
      <c r="TRS199" s="2"/>
      <c r="TRT199" s="2"/>
      <c r="TRU199" s="2"/>
      <c r="TRV199" s="2"/>
      <c r="TRW199" s="2"/>
      <c r="TRX199" s="2"/>
      <c r="TRY199" s="2"/>
      <c r="TRZ199" s="2"/>
      <c r="TSA199" s="2"/>
      <c r="TSB199" s="2"/>
      <c r="TSC199" s="2"/>
      <c r="TSD199" s="2"/>
      <c r="TSE199" s="2"/>
      <c r="TSF199" s="2"/>
      <c r="TSG199" s="2"/>
      <c r="TSH199" s="2"/>
      <c r="TSI199" s="2"/>
      <c r="TSJ199" s="2"/>
      <c r="TSK199" s="2"/>
      <c r="TSL199" s="2"/>
      <c r="TSM199" s="2"/>
      <c r="TSN199" s="2"/>
      <c r="TSO199" s="2"/>
      <c r="TSP199" s="2"/>
      <c r="TSQ199" s="2"/>
      <c r="TSR199" s="2"/>
      <c r="TSS199" s="2"/>
      <c r="TST199" s="2"/>
      <c r="TSU199" s="2"/>
      <c r="TSV199" s="2"/>
      <c r="TSW199" s="2"/>
      <c r="TSX199" s="2"/>
      <c r="TSY199" s="2"/>
      <c r="TSZ199" s="2"/>
      <c r="TTA199" s="2"/>
      <c r="TTB199" s="2"/>
      <c r="TTC199" s="2"/>
      <c r="TTD199" s="2"/>
      <c r="TTE199" s="2"/>
      <c r="TTF199" s="2"/>
      <c r="TTG199" s="2"/>
      <c r="TTH199" s="2"/>
      <c r="TTI199" s="2"/>
      <c r="TTJ199" s="2"/>
      <c r="TTK199" s="2"/>
      <c r="TTL199" s="2"/>
      <c r="TTM199" s="2"/>
      <c r="TTN199" s="2"/>
      <c r="TTO199" s="2"/>
      <c r="TTP199" s="2"/>
      <c r="TTQ199" s="2"/>
      <c r="TTR199" s="2"/>
      <c r="TTS199" s="2"/>
      <c r="TTT199" s="2"/>
      <c r="TTU199" s="2"/>
      <c r="TTV199" s="2"/>
      <c r="TTW199" s="2"/>
      <c r="TTX199" s="2"/>
      <c r="TTY199" s="2"/>
      <c r="TTZ199" s="2"/>
      <c r="TUA199" s="2"/>
      <c r="TUB199" s="2"/>
      <c r="TUC199" s="2"/>
      <c r="TUD199" s="2"/>
      <c r="TUE199" s="2"/>
      <c r="TUF199" s="2"/>
      <c r="TUG199" s="2"/>
      <c r="TUH199" s="2"/>
      <c r="TUI199" s="2"/>
      <c r="TUJ199" s="2"/>
      <c r="TUK199" s="2"/>
      <c r="TUL199" s="2"/>
      <c r="TUM199" s="2"/>
      <c r="TUN199" s="2"/>
      <c r="TUO199" s="2"/>
      <c r="TUP199" s="2"/>
      <c r="TUQ199" s="2"/>
      <c r="TUR199" s="2"/>
      <c r="TUS199" s="2"/>
      <c r="TUT199" s="2"/>
      <c r="TUU199" s="2"/>
      <c r="TUV199" s="2"/>
      <c r="TUW199" s="2"/>
      <c r="TUX199" s="2"/>
      <c r="TUY199" s="2"/>
      <c r="TUZ199" s="2"/>
      <c r="TVA199" s="2"/>
      <c r="TVB199" s="2"/>
      <c r="TVC199" s="2"/>
      <c r="TVD199" s="2"/>
      <c r="TVE199" s="2"/>
      <c r="TVF199" s="2"/>
      <c r="TVG199" s="2"/>
      <c r="TVH199" s="2"/>
      <c r="TVI199" s="2"/>
      <c r="TVJ199" s="2"/>
      <c r="TVK199" s="2"/>
      <c r="TVL199" s="2"/>
      <c r="TVM199" s="2"/>
      <c r="TVN199" s="2"/>
      <c r="TVO199" s="2"/>
      <c r="TVP199" s="2"/>
      <c r="TVQ199" s="2"/>
      <c r="TVR199" s="2"/>
      <c r="TVS199" s="2"/>
      <c r="TVT199" s="2"/>
      <c r="TVU199" s="2"/>
      <c r="TVV199" s="2"/>
      <c r="TVW199" s="2"/>
      <c r="TVX199" s="2"/>
      <c r="TVY199" s="2"/>
      <c r="TVZ199" s="2"/>
      <c r="TWA199" s="2"/>
      <c r="TWB199" s="2"/>
      <c r="TWC199" s="2"/>
      <c r="TWD199" s="2"/>
      <c r="TWE199" s="2"/>
      <c r="TWF199" s="2"/>
      <c r="TWG199" s="2"/>
      <c r="TWH199" s="2"/>
      <c r="TWI199" s="2"/>
      <c r="TWJ199" s="2"/>
      <c r="TWK199" s="2"/>
      <c r="TWL199" s="2"/>
      <c r="TWM199" s="2"/>
      <c r="TWN199" s="2"/>
      <c r="TWO199" s="2"/>
      <c r="TWP199" s="2"/>
      <c r="TWQ199" s="2"/>
      <c r="TWR199" s="2"/>
      <c r="TWS199" s="2"/>
      <c r="TWT199" s="2"/>
      <c r="TWU199" s="2"/>
      <c r="TWV199" s="2"/>
      <c r="TWW199" s="2"/>
      <c r="TWX199" s="2"/>
      <c r="TWY199" s="2"/>
      <c r="TWZ199" s="2"/>
      <c r="TXA199" s="2"/>
      <c r="TXB199" s="2"/>
      <c r="TXC199" s="2"/>
      <c r="TXD199" s="2"/>
      <c r="TXE199" s="2"/>
      <c r="TXF199" s="2"/>
      <c r="TXG199" s="2"/>
      <c r="TXH199" s="2"/>
      <c r="TXI199" s="2"/>
      <c r="TXJ199" s="2"/>
      <c r="TXK199" s="2"/>
      <c r="TXL199" s="2"/>
      <c r="TXM199" s="2"/>
      <c r="TXN199" s="2"/>
      <c r="TXO199" s="2"/>
      <c r="TXP199" s="2"/>
      <c r="TXQ199" s="2"/>
      <c r="TXR199" s="2"/>
      <c r="TXS199" s="2"/>
      <c r="TXT199" s="2"/>
      <c r="TXU199" s="2"/>
      <c r="TXV199" s="2"/>
      <c r="TXW199" s="2"/>
      <c r="TXX199" s="2"/>
      <c r="TXY199" s="2"/>
      <c r="TXZ199" s="2"/>
      <c r="TYA199" s="2"/>
      <c r="TYB199" s="2"/>
      <c r="TYC199" s="2"/>
      <c r="TYD199" s="2"/>
      <c r="TYE199" s="2"/>
      <c r="TYF199" s="2"/>
      <c r="TYG199" s="2"/>
      <c r="TYH199" s="2"/>
      <c r="TYI199" s="2"/>
      <c r="TYJ199" s="2"/>
      <c r="TYK199" s="2"/>
      <c r="TYL199" s="2"/>
      <c r="TYM199" s="2"/>
      <c r="TYN199" s="2"/>
      <c r="TYO199" s="2"/>
      <c r="TYP199" s="2"/>
      <c r="TYQ199" s="2"/>
      <c r="TYR199" s="2"/>
      <c r="TYS199" s="2"/>
      <c r="TYT199" s="2"/>
      <c r="TYU199" s="2"/>
      <c r="TYV199" s="2"/>
      <c r="TYW199" s="2"/>
      <c r="TYX199" s="2"/>
      <c r="TYY199" s="2"/>
      <c r="TYZ199" s="2"/>
      <c r="TZA199" s="2"/>
      <c r="TZB199" s="2"/>
      <c r="TZC199" s="2"/>
      <c r="TZD199" s="2"/>
      <c r="TZE199" s="2"/>
      <c r="TZF199" s="2"/>
      <c r="TZG199" s="2"/>
      <c r="TZH199" s="2"/>
      <c r="TZI199" s="2"/>
      <c r="TZJ199" s="2"/>
      <c r="TZK199" s="2"/>
      <c r="TZL199" s="2"/>
      <c r="TZM199" s="2"/>
      <c r="TZN199" s="2"/>
      <c r="TZO199" s="2"/>
      <c r="TZP199" s="2"/>
      <c r="TZQ199" s="2"/>
      <c r="TZR199" s="2"/>
      <c r="TZS199" s="2"/>
      <c r="TZT199" s="2"/>
      <c r="TZU199" s="2"/>
      <c r="TZV199" s="2"/>
      <c r="TZW199" s="2"/>
      <c r="TZX199" s="2"/>
      <c r="TZY199" s="2"/>
      <c r="TZZ199" s="2"/>
      <c r="UAA199" s="2"/>
      <c r="UAB199" s="2"/>
      <c r="UAC199" s="2"/>
      <c r="UAD199" s="2"/>
      <c r="UAE199" s="2"/>
      <c r="UAF199" s="2"/>
      <c r="UAG199" s="2"/>
      <c r="UAH199" s="2"/>
      <c r="UAI199" s="2"/>
      <c r="UAJ199" s="2"/>
      <c r="UAK199" s="2"/>
      <c r="UAL199" s="2"/>
      <c r="UAM199" s="2"/>
      <c r="UAN199" s="2"/>
      <c r="UAO199" s="2"/>
      <c r="UAP199" s="2"/>
      <c r="UAQ199" s="2"/>
      <c r="UAR199" s="2"/>
      <c r="UAS199" s="2"/>
      <c r="UAT199" s="2"/>
      <c r="UAU199" s="2"/>
      <c r="UAV199" s="2"/>
      <c r="UAW199" s="2"/>
      <c r="UAX199" s="2"/>
      <c r="UAY199" s="2"/>
      <c r="UAZ199" s="2"/>
      <c r="UBA199" s="2"/>
      <c r="UBB199" s="2"/>
      <c r="UBC199" s="2"/>
      <c r="UBD199" s="2"/>
      <c r="UBE199" s="2"/>
      <c r="UBF199" s="2"/>
      <c r="UBG199" s="2"/>
      <c r="UBH199" s="2"/>
      <c r="UBI199" s="2"/>
      <c r="UBJ199" s="2"/>
      <c r="UBK199" s="2"/>
      <c r="UBL199" s="2"/>
      <c r="UBM199" s="2"/>
      <c r="UBN199" s="2"/>
      <c r="UBO199" s="2"/>
      <c r="UBP199" s="2"/>
      <c r="UBQ199" s="2"/>
      <c r="UBR199" s="2"/>
      <c r="UBS199" s="2"/>
      <c r="UBT199" s="2"/>
      <c r="UBU199" s="2"/>
      <c r="UBV199" s="2"/>
      <c r="UBW199" s="2"/>
      <c r="UBX199" s="2"/>
      <c r="UBY199" s="2"/>
      <c r="UBZ199" s="2"/>
      <c r="UCA199" s="2"/>
      <c r="UCB199" s="2"/>
      <c r="UCC199" s="2"/>
      <c r="UCD199" s="2"/>
      <c r="UCE199" s="2"/>
      <c r="UCF199" s="2"/>
      <c r="UCG199" s="2"/>
      <c r="UCH199" s="2"/>
      <c r="UCI199" s="2"/>
      <c r="UCJ199" s="2"/>
      <c r="UCK199" s="2"/>
      <c r="UCL199" s="2"/>
      <c r="UCM199" s="2"/>
      <c r="UCN199" s="2"/>
      <c r="UCO199" s="2"/>
      <c r="UCP199" s="2"/>
      <c r="UCQ199" s="2"/>
      <c r="UCR199" s="2"/>
      <c r="UCS199" s="2"/>
      <c r="UCT199" s="2"/>
      <c r="UCU199" s="2"/>
      <c r="UCV199" s="2"/>
      <c r="UCW199" s="2"/>
      <c r="UCX199" s="2"/>
      <c r="UCY199" s="2"/>
      <c r="UCZ199" s="2"/>
      <c r="UDA199" s="2"/>
      <c r="UDB199" s="2"/>
      <c r="UDC199" s="2"/>
      <c r="UDD199" s="2"/>
      <c r="UDE199" s="2"/>
      <c r="UDF199" s="2"/>
      <c r="UDG199" s="2"/>
      <c r="UDH199" s="2"/>
      <c r="UDI199" s="2"/>
      <c r="UDJ199" s="2"/>
      <c r="UDK199" s="2"/>
      <c r="UDL199" s="2"/>
      <c r="UDM199" s="2"/>
      <c r="UDN199" s="2"/>
      <c r="UDO199" s="2"/>
      <c r="UDP199" s="2"/>
      <c r="UDQ199" s="2"/>
      <c r="UDR199" s="2"/>
      <c r="UDS199" s="2"/>
      <c r="UDT199" s="2"/>
      <c r="UDU199" s="2"/>
      <c r="UDV199" s="2"/>
      <c r="UDW199" s="2"/>
      <c r="UDX199" s="2"/>
      <c r="UDY199" s="2"/>
      <c r="UDZ199" s="2"/>
      <c r="UEA199" s="2"/>
      <c r="UEB199" s="2"/>
      <c r="UEC199" s="2"/>
      <c r="UED199" s="2"/>
      <c r="UEE199" s="2"/>
      <c r="UEF199" s="2"/>
      <c r="UEG199" s="2"/>
      <c r="UEH199" s="2"/>
      <c r="UEI199" s="2"/>
      <c r="UEJ199" s="2"/>
      <c r="UEK199" s="2"/>
      <c r="UEL199" s="2"/>
      <c r="UEM199" s="2"/>
      <c r="UEN199" s="2"/>
      <c r="UEO199" s="2"/>
      <c r="UEP199" s="2"/>
      <c r="UEQ199" s="2"/>
      <c r="UER199" s="2"/>
      <c r="UES199" s="2"/>
      <c r="UET199" s="2"/>
      <c r="UEU199" s="2"/>
      <c r="UEV199" s="2"/>
      <c r="UEW199" s="2"/>
      <c r="UEX199" s="2"/>
      <c r="UEY199" s="2"/>
      <c r="UEZ199" s="2"/>
      <c r="UFA199" s="2"/>
      <c r="UFB199" s="2"/>
      <c r="UFC199" s="2"/>
      <c r="UFD199" s="2"/>
      <c r="UFE199" s="2"/>
      <c r="UFF199" s="2"/>
      <c r="UFG199" s="2"/>
      <c r="UFH199" s="2"/>
      <c r="UFI199" s="2"/>
      <c r="UFJ199" s="2"/>
      <c r="UFK199" s="2"/>
      <c r="UFL199" s="2"/>
      <c r="UFM199" s="2"/>
      <c r="UFN199" s="2"/>
      <c r="UFO199" s="2"/>
      <c r="UFP199" s="2"/>
      <c r="UFQ199" s="2"/>
      <c r="UFR199" s="2"/>
      <c r="UFS199" s="2"/>
      <c r="UFT199" s="2"/>
      <c r="UFU199" s="2"/>
      <c r="UFV199" s="2"/>
      <c r="UFW199" s="2"/>
      <c r="UFX199" s="2"/>
      <c r="UFY199" s="2"/>
      <c r="UFZ199" s="2"/>
      <c r="UGA199" s="2"/>
      <c r="UGB199" s="2"/>
      <c r="UGC199" s="2"/>
      <c r="UGD199" s="2"/>
      <c r="UGE199" s="2"/>
      <c r="UGF199" s="2"/>
      <c r="UGG199" s="2"/>
      <c r="UGH199" s="2"/>
      <c r="UGI199" s="2"/>
      <c r="UGJ199" s="2"/>
      <c r="UGK199" s="2"/>
      <c r="UGL199" s="2"/>
      <c r="UGM199" s="2"/>
      <c r="UGN199" s="2"/>
      <c r="UGO199" s="2"/>
      <c r="UGP199" s="2"/>
      <c r="UGQ199" s="2"/>
      <c r="UGR199" s="2"/>
      <c r="UGS199" s="2"/>
      <c r="UGT199" s="2"/>
      <c r="UGU199" s="2"/>
      <c r="UGV199" s="2"/>
      <c r="UGW199" s="2"/>
      <c r="UGX199" s="2"/>
      <c r="UGY199" s="2"/>
      <c r="UGZ199" s="2"/>
      <c r="UHA199" s="2"/>
      <c r="UHB199" s="2"/>
      <c r="UHC199" s="2"/>
      <c r="UHD199" s="2"/>
      <c r="UHE199" s="2"/>
      <c r="UHF199" s="2"/>
      <c r="UHG199" s="2"/>
      <c r="UHH199" s="2"/>
      <c r="UHI199" s="2"/>
      <c r="UHJ199" s="2"/>
      <c r="UHK199" s="2"/>
      <c r="UHL199" s="2"/>
      <c r="UHM199" s="2"/>
      <c r="UHN199" s="2"/>
      <c r="UHO199" s="2"/>
      <c r="UHP199" s="2"/>
      <c r="UHQ199" s="2"/>
      <c r="UHR199" s="2"/>
      <c r="UHS199" s="2"/>
      <c r="UHT199" s="2"/>
      <c r="UHU199" s="2"/>
      <c r="UHV199" s="2"/>
      <c r="UHW199" s="2"/>
      <c r="UHX199" s="2"/>
      <c r="UHY199" s="2"/>
      <c r="UHZ199" s="2"/>
      <c r="UIA199" s="2"/>
      <c r="UIB199" s="2"/>
      <c r="UIC199" s="2"/>
      <c r="UID199" s="2"/>
      <c r="UIE199" s="2"/>
      <c r="UIF199" s="2"/>
      <c r="UIG199" s="2"/>
      <c r="UIH199" s="2"/>
      <c r="UII199" s="2"/>
      <c r="UIJ199" s="2"/>
      <c r="UIK199" s="2"/>
      <c r="UIL199" s="2"/>
      <c r="UIM199" s="2"/>
      <c r="UIN199" s="2"/>
      <c r="UIO199" s="2"/>
      <c r="UIP199" s="2"/>
      <c r="UIQ199" s="2"/>
      <c r="UIR199" s="2"/>
      <c r="UIS199" s="2"/>
      <c r="UIT199" s="2"/>
      <c r="UIU199" s="2"/>
      <c r="UIV199" s="2"/>
      <c r="UIW199" s="2"/>
      <c r="UIX199" s="2"/>
      <c r="UIY199" s="2"/>
      <c r="UIZ199" s="2"/>
      <c r="UJA199" s="2"/>
      <c r="UJB199" s="2"/>
      <c r="UJC199" s="2"/>
      <c r="UJD199" s="2"/>
      <c r="UJE199" s="2"/>
      <c r="UJF199" s="2"/>
      <c r="UJG199" s="2"/>
      <c r="UJH199" s="2"/>
      <c r="UJI199" s="2"/>
      <c r="UJJ199" s="2"/>
      <c r="UJK199" s="2"/>
      <c r="UJL199" s="2"/>
      <c r="UJM199" s="2"/>
      <c r="UJN199" s="2"/>
      <c r="UJO199" s="2"/>
      <c r="UJP199" s="2"/>
      <c r="UJQ199" s="2"/>
      <c r="UJR199" s="2"/>
      <c r="UJS199" s="2"/>
      <c r="UJT199" s="2"/>
      <c r="UJU199" s="2"/>
      <c r="UJV199" s="2"/>
      <c r="UJW199" s="2"/>
      <c r="UJX199" s="2"/>
      <c r="UJY199" s="2"/>
      <c r="UJZ199" s="2"/>
      <c r="UKA199" s="2"/>
      <c r="UKB199" s="2"/>
      <c r="UKC199" s="2"/>
      <c r="UKD199" s="2"/>
      <c r="UKE199" s="2"/>
      <c r="UKF199" s="2"/>
      <c r="UKG199" s="2"/>
      <c r="UKH199" s="2"/>
      <c r="UKI199" s="2"/>
      <c r="UKJ199" s="2"/>
      <c r="UKK199" s="2"/>
      <c r="UKL199" s="2"/>
      <c r="UKM199" s="2"/>
      <c r="UKN199" s="2"/>
      <c r="UKO199" s="2"/>
      <c r="UKP199" s="2"/>
      <c r="UKQ199" s="2"/>
      <c r="UKR199" s="2"/>
      <c r="UKS199" s="2"/>
      <c r="UKT199" s="2"/>
      <c r="UKU199" s="2"/>
      <c r="UKV199" s="2"/>
      <c r="UKW199" s="2"/>
      <c r="UKX199" s="2"/>
      <c r="UKY199" s="2"/>
      <c r="UKZ199" s="2"/>
      <c r="ULA199" s="2"/>
      <c r="ULB199" s="2"/>
      <c r="ULC199" s="2"/>
      <c r="ULD199" s="2"/>
      <c r="ULE199" s="2"/>
      <c r="ULF199" s="2"/>
      <c r="ULG199" s="2"/>
      <c r="ULH199" s="2"/>
      <c r="ULI199" s="2"/>
      <c r="ULJ199" s="2"/>
      <c r="ULK199" s="2"/>
      <c r="ULL199" s="2"/>
      <c r="ULM199" s="2"/>
      <c r="ULN199" s="2"/>
      <c r="ULO199" s="2"/>
      <c r="ULP199" s="2"/>
      <c r="ULQ199" s="2"/>
      <c r="ULR199" s="2"/>
      <c r="ULS199" s="2"/>
      <c r="ULT199" s="2"/>
      <c r="ULU199" s="2"/>
      <c r="ULV199" s="2"/>
      <c r="ULW199" s="2"/>
      <c r="ULX199" s="2"/>
      <c r="ULY199" s="2"/>
      <c r="ULZ199" s="2"/>
      <c r="UMA199" s="2"/>
      <c r="UMB199" s="2"/>
      <c r="UMC199" s="2"/>
      <c r="UMD199" s="2"/>
      <c r="UME199" s="2"/>
      <c r="UMF199" s="2"/>
      <c r="UMG199" s="2"/>
      <c r="UMH199" s="2"/>
      <c r="UMI199" s="2"/>
      <c r="UMJ199" s="2"/>
      <c r="UMK199" s="2"/>
      <c r="UML199" s="2"/>
      <c r="UMM199" s="2"/>
      <c r="UMN199" s="2"/>
      <c r="UMO199" s="2"/>
      <c r="UMP199" s="2"/>
      <c r="UMQ199" s="2"/>
      <c r="UMR199" s="2"/>
      <c r="UMS199" s="2"/>
      <c r="UMT199" s="2"/>
      <c r="UMU199" s="2"/>
      <c r="UMV199" s="2"/>
      <c r="UMW199" s="2"/>
      <c r="UMX199" s="2"/>
      <c r="UMY199" s="2"/>
      <c r="UMZ199" s="2"/>
      <c r="UNA199" s="2"/>
      <c r="UNB199" s="2"/>
      <c r="UNC199" s="2"/>
      <c r="UND199" s="2"/>
      <c r="UNE199" s="2"/>
      <c r="UNF199" s="2"/>
      <c r="UNG199" s="2"/>
      <c r="UNH199" s="2"/>
      <c r="UNI199" s="2"/>
      <c r="UNJ199" s="2"/>
      <c r="UNK199" s="2"/>
      <c r="UNL199" s="2"/>
      <c r="UNM199" s="2"/>
      <c r="UNN199" s="2"/>
      <c r="UNO199" s="2"/>
      <c r="UNP199" s="2"/>
      <c r="UNQ199" s="2"/>
      <c r="UNR199" s="2"/>
      <c r="UNS199" s="2"/>
      <c r="UNT199" s="2"/>
      <c r="UNU199" s="2"/>
      <c r="UNV199" s="2"/>
      <c r="UNW199" s="2"/>
      <c r="UNX199" s="2"/>
      <c r="UNY199" s="2"/>
      <c r="UNZ199" s="2"/>
      <c r="UOA199" s="2"/>
      <c r="UOB199" s="2"/>
      <c r="UOC199" s="2"/>
      <c r="UOD199" s="2"/>
      <c r="UOE199" s="2"/>
      <c r="UOF199" s="2"/>
      <c r="UOG199" s="2"/>
      <c r="UOH199" s="2"/>
      <c r="UOI199" s="2"/>
      <c r="UOJ199" s="2"/>
      <c r="UOK199" s="2"/>
      <c r="UOL199" s="2"/>
      <c r="UOM199" s="2"/>
      <c r="UON199" s="2"/>
      <c r="UOO199" s="2"/>
      <c r="UOP199" s="2"/>
      <c r="UOQ199" s="2"/>
      <c r="UOR199" s="2"/>
      <c r="UOS199" s="2"/>
      <c r="UOT199" s="2"/>
      <c r="UOU199" s="2"/>
      <c r="UOV199" s="2"/>
      <c r="UOW199" s="2"/>
      <c r="UOX199" s="2"/>
      <c r="UOY199" s="2"/>
      <c r="UOZ199" s="2"/>
      <c r="UPA199" s="2"/>
      <c r="UPB199" s="2"/>
      <c r="UPC199" s="2"/>
      <c r="UPD199" s="2"/>
      <c r="UPE199" s="2"/>
      <c r="UPF199" s="2"/>
      <c r="UPG199" s="2"/>
      <c r="UPH199" s="2"/>
      <c r="UPI199" s="2"/>
      <c r="UPJ199" s="2"/>
      <c r="UPK199" s="2"/>
      <c r="UPL199" s="2"/>
      <c r="UPM199" s="2"/>
      <c r="UPN199" s="2"/>
      <c r="UPO199" s="2"/>
      <c r="UPP199" s="2"/>
      <c r="UPQ199" s="2"/>
      <c r="UPR199" s="2"/>
      <c r="UPS199" s="2"/>
      <c r="UPT199" s="2"/>
      <c r="UPU199" s="2"/>
      <c r="UPV199" s="2"/>
      <c r="UPW199" s="2"/>
      <c r="UPX199" s="2"/>
      <c r="UPY199" s="2"/>
      <c r="UPZ199" s="2"/>
      <c r="UQA199" s="2"/>
      <c r="UQB199" s="2"/>
      <c r="UQC199" s="2"/>
      <c r="UQD199" s="2"/>
      <c r="UQE199" s="2"/>
      <c r="UQF199" s="2"/>
      <c r="UQG199" s="2"/>
      <c r="UQH199" s="2"/>
      <c r="UQI199" s="2"/>
      <c r="UQJ199" s="2"/>
      <c r="UQK199" s="2"/>
      <c r="UQL199" s="2"/>
      <c r="UQM199" s="2"/>
      <c r="UQN199" s="2"/>
      <c r="UQO199" s="2"/>
      <c r="UQP199" s="2"/>
      <c r="UQQ199" s="2"/>
      <c r="UQR199" s="2"/>
      <c r="UQS199" s="2"/>
      <c r="UQT199" s="2"/>
      <c r="UQU199" s="2"/>
      <c r="UQV199" s="2"/>
      <c r="UQW199" s="2"/>
      <c r="UQX199" s="2"/>
      <c r="UQY199" s="2"/>
      <c r="UQZ199" s="2"/>
      <c r="URA199" s="2"/>
      <c r="URB199" s="2"/>
      <c r="URC199" s="2"/>
      <c r="URD199" s="2"/>
      <c r="URE199" s="2"/>
      <c r="URF199" s="2"/>
      <c r="URG199" s="2"/>
      <c r="URH199" s="2"/>
      <c r="URI199" s="2"/>
      <c r="URJ199" s="2"/>
      <c r="URK199" s="2"/>
      <c r="URL199" s="2"/>
      <c r="URM199" s="2"/>
      <c r="URN199" s="2"/>
      <c r="URO199" s="2"/>
      <c r="URP199" s="2"/>
      <c r="URQ199" s="2"/>
      <c r="URR199" s="2"/>
      <c r="URS199" s="2"/>
      <c r="URT199" s="2"/>
      <c r="URU199" s="2"/>
      <c r="URV199" s="2"/>
      <c r="URW199" s="2"/>
      <c r="URX199" s="2"/>
      <c r="URY199" s="2"/>
      <c r="URZ199" s="2"/>
      <c r="USA199" s="2"/>
      <c r="USB199" s="2"/>
      <c r="USC199" s="2"/>
      <c r="USD199" s="2"/>
      <c r="USE199" s="2"/>
      <c r="USF199" s="2"/>
      <c r="USG199" s="2"/>
      <c r="USH199" s="2"/>
      <c r="USI199" s="2"/>
      <c r="USJ199" s="2"/>
      <c r="USK199" s="2"/>
      <c r="USL199" s="2"/>
      <c r="USM199" s="2"/>
      <c r="USN199" s="2"/>
      <c r="USO199" s="2"/>
      <c r="USP199" s="2"/>
      <c r="USQ199" s="2"/>
      <c r="USR199" s="2"/>
      <c r="USS199" s="2"/>
      <c r="UST199" s="2"/>
      <c r="USU199" s="2"/>
      <c r="USV199" s="2"/>
      <c r="USW199" s="2"/>
      <c r="USX199" s="2"/>
      <c r="USY199" s="2"/>
      <c r="USZ199" s="2"/>
      <c r="UTA199" s="2"/>
      <c r="UTB199" s="2"/>
      <c r="UTC199" s="2"/>
      <c r="UTD199" s="2"/>
      <c r="UTE199" s="2"/>
      <c r="UTF199" s="2"/>
      <c r="UTG199" s="2"/>
      <c r="UTH199" s="2"/>
      <c r="UTI199" s="2"/>
      <c r="UTJ199" s="2"/>
      <c r="UTK199" s="2"/>
      <c r="UTL199" s="2"/>
      <c r="UTM199" s="2"/>
      <c r="UTN199" s="2"/>
      <c r="UTO199" s="2"/>
      <c r="UTP199" s="2"/>
      <c r="UTQ199" s="2"/>
      <c r="UTR199" s="2"/>
      <c r="UTS199" s="2"/>
      <c r="UTT199" s="2"/>
      <c r="UTU199" s="2"/>
      <c r="UTV199" s="2"/>
      <c r="UTW199" s="2"/>
      <c r="UTX199" s="2"/>
      <c r="UTY199" s="2"/>
      <c r="UTZ199" s="2"/>
      <c r="UUA199" s="2"/>
      <c r="UUB199" s="2"/>
      <c r="UUC199" s="2"/>
      <c r="UUD199" s="2"/>
      <c r="UUE199" s="2"/>
      <c r="UUF199" s="2"/>
      <c r="UUG199" s="2"/>
      <c r="UUH199" s="2"/>
      <c r="UUI199" s="2"/>
      <c r="UUJ199" s="2"/>
      <c r="UUK199" s="2"/>
      <c r="UUL199" s="2"/>
      <c r="UUM199" s="2"/>
      <c r="UUN199" s="2"/>
      <c r="UUO199" s="2"/>
      <c r="UUP199" s="2"/>
      <c r="UUQ199" s="2"/>
      <c r="UUR199" s="2"/>
      <c r="UUS199" s="2"/>
      <c r="UUT199" s="2"/>
      <c r="UUU199" s="2"/>
      <c r="UUV199" s="2"/>
      <c r="UUW199" s="2"/>
      <c r="UUX199" s="2"/>
      <c r="UUY199" s="2"/>
      <c r="UUZ199" s="2"/>
      <c r="UVA199" s="2"/>
      <c r="UVB199" s="2"/>
      <c r="UVC199" s="2"/>
      <c r="UVD199" s="2"/>
      <c r="UVE199" s="2"/>
      <c r="UVF199" s="2"/>
      <c r="UVG199" s="2"/>
      <c r="UVH199" s="2"/>
      <c r="UVI199" s="2"/>
      <c r="UVJ199" s="2"/>
      <c r="UVK199" s="2"/>
      <c r="UVL199" s="2"/>
      <c r="UVM199" s="2"/>
      <c r="UVN199" s="2"/>
      <c r="UVO199" s="2"/>
      <c r="UVP199" s="2"/>
      <c r="UVQ199" s="2"/>
      <c r="UVR199" s="2"/>
      <c r="UVS199" s="2"/>
      <c r="UVT199" s="2"/>
      <c r="UVU199" s="2"/>
      <c r="UVV199" s="2"/>
      <c r="UVW199" s="2"/>
      <c r="UVX199" s="2"/>
      <c r="UVY199" s="2"/>
      <c r="UVZ199" s="2"/>
      <c r="UWA199" s="2"/>
      <c r="UWB199" s="2"/>
      <c r="UWC199" s="2"/>
      <c r="UWD199" s="2"/>
      <c r="UWE199" s="2"/>
      <c r="UWF199" s="2"/>
      <c r="UWG199" s="2"/>
      <c r="UWH199" s="2"/>
      <c r="UWI199" s="2"/>
      <c r="UWJ199" s="2"/>
      <c r="UWK199" s="2"/>
      <c r="UWL199" s="2"/>
      <c r="UWM199" s="2"/>
      <c r="UWN199" s="2"/>
      <c r="UWO199" s="2"/>
      <c r="UWP199" s="2"/>
      <c r="UWQ199" s="2"/>
      <c r="UWR199" s="2"/>
      <c r="UWS199" s="2"/>
      <c r="UWT199" s="2"/>
      <c r="UWU199" s="2"/>
      <c r="UWV199" s="2"/>
      <c r="UWW199" s="2"/>
      <c r="UWX199" s="2"/>
      <c r="UWY199" s="2"/>
      <c r="UWZ199" s="2"/>
      <c r="UXA199" s="2"/>
      <c r="UXB199" s="2"/>
      <c r="UXC199" s="2"/>
      <c r="UXD199" s="2"/>
      <c r="UXE199" s="2"/>
      <c r="UXF199" s="2"/>
      <c r="UXG199" s="2"/>
      <c r="UXH199" s="2"/>
      <c r="UXI199" s="2"/>
      <c r="UXJ199" s="2"/>
      <c r="UXK199" s="2"/>
      <c r="UXL199" s="2"/>
      <c r="UXM199" s="2"/>
      <c r="UXN199" s="2"/>
      <c r="UXO199" s="2"/>
      <c r="UXP199" s="2"/>
      <c r="UXQ199" s="2"/>
      <c r="UXR199" s="2"/>
      <c r="UXS199" s="2"/>
      <c r="UXT199" s="2"/>
      <c r="UXU199" s="2"/>
      <c r="UXV199" s="2"/>
      <c r="UXW199" s="2"/>
      <c r="UXX199" s="2"/>
      <c r="UXY199" s="2"/>
      <c r="UXZ199" s="2"/>
      <c r="UYA199" s="2"/>
      <c r="UYB199" s="2"/>
      <c r="UYC199" s="2"/>
      <c r="UYD199" s="2"/>
      <c r="UYE199" s="2"/>
      <c r="UYF199" s="2"/>
      <c r="UYG199" s="2"/>
      <c r="UYH199" s="2"/>
      <c r="UYI199" s="2"/>
      <c r="UYJ199" s="2"/>
      <c r="UYK199" s="2"/>
      <c r="UYL199" s="2"/>
      <c r="UYM199" s="2"/>
      <c r="UYN199" s="2"/>
      <c r="UYO199" s="2"/>
      <c r="UYP199" s="2"/>
      <c r="UYQ199" s="2"/>
      <c r="UYR199" s="2"/>
      <c r="UYS199" s="2"/>
      <c r="UYT199" s="2"/>
      <c r="UYU199" s="2"/>
      <c r="UYV199" s="2"/>
      <c r="UYW199" s="2"/>
      <c r="UYX199" s="2"/>
      <c r="UYY199" s="2"/>
      <c r="UYZ199" s="2"/>
      <c r="UZA199" s="2"/>
      <c r="UZB199" s="2"/>
      <c r="UZC199" s="2"/>
      <c r="UZD199" s="2"/>
      <c r="UZE199" s="2"/>
      <c r="UZF199" s="2"/>
      <c r="UZG199" s="2"/>
      <c r="UZH199" s="2"/>
      <c r="UZI199" s="2"/>
      <c r="UZJ199" s="2"/>
      <c r="UZK199" s="2"/>
      <c r="UZL199" s="2"/>
      <c r="UZM199" s="2"/>
      <c r="UZN199" s="2"/>
      <c r="UZO199" s="2"/>
      <c r="UZP199" s="2"/>
      <c r="UZQ199" s="2"/>
      <c r="UZR199" s="2"/>
      <c r="UZS199" s="2"/>
      <c r="UZT199" s="2"/>
      <c r="UZU199" s="2"/>
      <c r="UZV199" s="2"/>
      <c r="UZW199" s="2"/>
      <c r="UZX199" s="2"/>
      <c r="UZY199" s="2"/>
      <c r="UZZ199" s="2"/>
      <c r="VAA199" s="2"/>
      <c r="VAB199" s="2"/>
      <c r="VAC199" s="2"/>
      <c r="VAD199" s="2"/>
      <c r="VAE199" s="2"/>
      <c r="VAF199" s="2"/>
      <c r="VAG199" s="2"/>
      <c r="VAH199" s="2"/>
      <c r="VAI199" s="2"/>
      <c r="VAJ199" s="2"/>
      <c r="VAK199" s="2"/>
      <c r="VAL199" s="2"/>
      <c r="VAM199" s="2"/>
      <c r="VAN199" s="2"/>
      <c r="VAO199" s="2"/>
      <c r="VAP199" s="2"/>
      <c r="VAQ199" s="2"/>
      <c r="VAR199" s="2"/>
      <c r="VAS199" s="2"/>
      <c r="VAT199" s="2"/>
      <c r="VAU199" s="2"/>
      <c r="VAV199" s="2"/>
      <c r="VAW199" s="2"/>
      <c r="VAX199" s="2"/>
      <c r="VAY199" s="2"/>
      <c r="VAZ199" s="2"/>
      <c r="VBA199" s="2"/>
      <c r="VBB199" s="2"/>
      <c r="VBC199" s="2"/>
      <c r="VBD199" s="2"/>
      <c r="VBE199" s="2"/>
      <c r="VBF199" s="2"/>
      <c r="VBG199" s="2"/>
      <c r="VBH199" s="2"/>
      <c r="VBI199" s="2"/>
      <c r="VBJ199" s="2"/>
      <c r="VBK199" s="2"/>
      <c r="VBL199" s="2"/>
      <c r="VBM199" s="2"/>
      <c r="VBN199" s="2"/>
      <c r="VBO199" s="2"/>
      <c r="VBP199" s="2"/>
      <c r="VBQ199" s="2"/>
      <c r="VBR199" s="2"/>
      <c r="VBS199" s="2"/>
      <c r="VBT199" s="2"/>
      <c r="VBU199" s="2"/>
      <c r="VBV199" s="2"/>
      <c r="VBW199" s="2"/>
      <c r="VBX199" s="2"/>
      <c r="VBY199" s="2"/>
      <c r="VBZ199" s="2"/>
      <c r="VCA199" s="2"/>
      <c r="VCB199" s="2"/>
      <c r="VCC199" s="2"/>
      <c r="VCD199" s="2"/>
      <c r="VCE199" s="2"/>
      <c r="VCF199" s="2"/>
      <c r="VCG199" s="2"/>
      <c r="VCH199" s="2"/>
      <c r="VCI199" s="2"/>
      <c r="VCJ199" s="2"/>
      <c r="VCK199" s="2"/>
      <c r="VCL199" s="2"/>
      <c r="VCM199" s="2"/>
      <c r="VCN199" s="2"/>
      <c r="VCO199" s="2"/>
      <c r="VCP199" s="2"/>
      <c r="VCQ199" s="2"/>
      <c r="VCR199" s="2"/>
      <c r="VCS199" s="2"/>
      <c r="VCT199" s="2"/>
      <c r="VCU199" s="2"/>
      <c r="VCV199" s="2"/>
      <c r="VCW199" s="2"/>
    </row>
    <row r="206" spans="5:14973" s="3" customFormat="1" x14ac:dyDescent="0.3"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72"/>
      <c r="AN206" s="72"/>
      <c r="AO206" s="72"/>
      <c r="AP206" s="2"/>
      <c r="AQ206" s="2"/>
      <c r="AR206" s="2"/>
      <c r="AT206" s="4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2"/>
      <c r="TD206" s="2"/>
      <c r="TE206" s="2"/>
      <c r="TF206" s="2"/>
      <c r="TG206" s="2"/>
      <c r="TH206" s="2"/>
      <c r="TI206" s="2"/>
      <c r="TJ206" s="2"/>
      <c r="TK206" s="2"/>
      <c r="TL206" s="2"/>
      <c r="TM206" s="2"/>
      <c r="TN206" s="2"/>
      <c r="TO206" s="2"/>
      <c r="TP206" s="2"/>
      <c r="TQ206" s="2"/>
      <c r="TR206" s="2"/>
      <c r="TS206" s="2"/>
      <c r="TT206" s="2"/>
      <c r="TU206" s="2"/>
      <c r="TV206" s="2"/>
      <c r="TW206" s="2"/>
      <c r="TX206" s="2"/>
      <c r="TY206" s="2"/>
      <c r="TZ206" s="2"/>
      <c r="UA206" s="2"/>
      <c r="UB206" s="2"/>
      <c r="UC206" s="2"/>
      <c r="UD206" s="2"/>
      <c r="UE206" s="2"/>
      <c r="UF206" s="2"/>
      <c r="UG206" s="2"/>
      <c r="UH206" s="2"/>
      <c r="UI206" s="2"/>
      <c r="UJ206" s="2"/>
      <c r="UK206" s="2"/>
      <c r="UL206" s="2"/>
      <c r="UM206" s="2"/>
      <c r="UN206" s="2"/>
      <c r="UO206" s="2"/>
      <c r="UP206" s="2"/>
      <c r="UQ206" s="2"/>
      <c r="UR206" s="2"/>
      <c r="US206" s="2"/>
      <c r="UT206" s="2"/>
      <c r="UU206" s="2"/>
      <c r="UV206" s="2"/>
      <c r="UW206" s="2"/>
      <c r="UX206" s="2"/>
      <c r="UY206" s="2"/>
      <c r="UZ206" s="2"/>
      <c r="VA206" s="2"/>
      <c r="VB206" s="2"/>
      <c r="VC206" s="2"/>
      <c r="VD206" s="2"/>
      <c r="VE206" s="2"/>
      <c r="VF206" s="2"/>
      <c r="VG206" s="2"/>
      <c r="VH206" s="2"/>
      <c r="VI206" s="2"/>
      <c r="VJ206" s="2"/>
      <c r="VK206" s="2"/>
      <c r="VL206" s="2"/>
      <c r="VM206" s="2"/>
      <c r="VN206" s="2"/>
      <c r="VO206" s="2"/>
      <c r="VP206" s="2"/>
      <c r="VQ206" s="2"/>
      <c r="VR206" s="2"/>
      <c r="VS206" s="2"/>
      <c r="VT206" s="2"/>
      <c r="VU206" s="2"/>
      <c r="VV206" s="2"/>
      <c r="VW206" s="2"/>
      <c r="VX206" s="2"/>
      <c r="VY206" s="2"/>
      <c r="VZ206" s="2"/>
      <c r="WA206" s="2"/>
      <c r="WB206" s="2"/>
      <c r="WC206" s="2"/>
      <c r="WD206" s="2"/>
      <c r="WE206" s="2"/>
      <c r="WF206" s="2"/>
      <c r="WG206" s="2"/>
      <c r="WH206" s="2"/>
      <c r="WI206" s="2"/>
      <c r="WJ206" s="2"/>
      <c r="WK206" s="2"/>
      <c r="WL206" s="2"/>
      <c r="WM206" s="2"/>
      <c r="WN206" s="2"/>
      <c r="WO206" s="2"/>
      <c r="WP206" s="2"/>
      <c r="WQ206" s="2"/>
      <c r="WR206" s="2"/>
      <c r="WS206" s="2"/>
      <c r="WT206" s="2"/>
      <c r="WU206" s="2"/>
      <c r="WV206" s="2"/>
      <c r="WW206" s="2"/>
      <c r="WX206" s="2"/>
      <c r="WY206" s="2"/>
      <c r="WZ206" s="2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2"/>
      <c r="XL206" s="2"/>
      <c r="XM206" s="2"/>
      <c r="XN206" s="2"/>
      <c r="XO206" s="2"/>
      <c r="XP206" s="2"/>
      <c r="XQ206" s="2"/>
      <c r="XR206" s="2"/>
      <c r="XS206" s="2"/>
      <c r="XT206" s="2"/>
      <c r="XU206" s="2"/>
      <c r="XV206" s="2"/>
      <c r="XW206" s="2"/>
      <c r="XX206" s="2"/>
      <c r="XY206" s="2"/>
      <c r="XZ206" s="2"/>
      <c r="YA206" s="2"/>
      <c r="YB206" s="2"/>
      <c r="YC206" s="2"/>
      <c r="YD206" s="2"/>
      <c r="YE206" s="2"/>
      <c r="YF206" s="2"/>
      <c r="YG206" s="2"/>
      <c r="YH206" s="2"/>
      <c r="YI206" s="2"/>
      <c r="YJ206" s="2"/>
      <c r="YK206" s="2"/>
      <c r="YL206" s="2"/>
      <c r="YM206" s="2"/>
      <c r="YN206" s="2"/>
      <c r="YO206" s="2"/>
      <c r="YP206" s="2"/>
      <c r="YQ206" s="2"/>
      <c r="YR206" s="2"/>
      <c r="YS206" s="2"/>
      <c r="YT206" s="2"/>
      <c r="YU206" s="2"/>
      <c r="YV206" s="2"/>
      <c r="YW206" s="2"/>
      <c r="YX206" s="2"/>
      <c r="YY206" s="2"/>
      <c r="YZ206" s="2"/>
      <c r="ZA206" s="2"/>
      <c r="ZB206" s="2"/>
      <c r="ZC206" s="2"/>
      <c r="ZD206" s="2"/>
      <c r="ZE206" s="2"/>
      <c r="ZF206" s="2"/>
      <c r="ZG206" s="2"/>
      <c r="ZH206" s="2"/>
      <c r="ZI206" s="2"/>
      <c r="ZJ206" s="2"/>
      <c r="ZK206" s="2"/>
      <c r="ZL206" s="2"/>
      <c r="ZM206" s="2"/>
      <c r="ZN206" s="2"/>
      <c r="ZO206" s="2"/>
      <c r="ZP206" s="2"/>
      <c r="ZQ206" s="2"/>
      <c r="ZR206" s="2"/>
      <c r="ZS206" s="2"/>
      <c r="ZT206" s="2"/>
      <c r="ZU206" s="2"/>
      <c r="ZV206" s="2"/>
      <c r="ZW206" s="2"/>
      <c r="ZX206" s="2"/>
      <c r="ZY206" s="2"/>
      <c r="ZZ206" s="2"/>
      <c r="AAA206" s="2"/>
      <c r="AAB206" s="2"/>
      <c r="AAC206" s="2"/>
      <c r="AAD206" s="2"/>
      <c r="AAE206" s="2"/>
      <c r="AAF206" s="2"/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  <c r="ABE206" s="2"/>
      <c r="ABF206" s="2"/>
      <c r="ABG206" s="2"/>
      <c r="ABH206" s="2"/>
      <c r="ABI206" s="2"/>
      <c r="ABJ206" s="2"/>
      <c r="ABK206" s="2"/>
      <c r="ABL206" s="2"/>
      <c r="ABM206" s="2"/>
      <c r="ABN206" s="2"/>
      <c r="ABO206" s="2"/>
      <c r="ABP206" s="2"/>
      <c r="ABQ206" s="2"/>
      <c r="ABR206" s="2"/>
      <c r="ABS206" s="2"/>
      <c r="ABT206" s="2"/>
      <c r="ABU206" s="2"/>
      <c r="ABV206" s="2"/>
      <c r="ABW206" s="2"/>
      <c r="ABX206" s="2"/>
      <c r="ABY206" s="2"/>
      <c r="ABZ206" s="2"/>
      <c r="ACA206" s="2"/>
      <c r="ACB206" s="2"/>
      <c r="ACC206" s="2"/>
      <c r="ACD206" s="2"/>
      <c r="ACE206" s="2"/>
      <c r="ACF206" s="2"/>
      <c r="ACG206" s="2"/>
      <c r="ACH206" s="2"/>
      <c r="ACI206" s="2"/>
      <c r="ACJ206" s="2"/>
      <c r="ACK206" s="2"/>
      <c r="ACL206" s="2"/>
      <c r="ACM206" s="2"/>
      <c r="ACN206" s="2"/>
      <c r="ACO206" s="2"/>
      <c r="ACP206" s="2"/>
      <c r="ACQ206" s="2"/>
      <c r="ACR206" s="2"/>
      <c r="ACS206" s="2"/>
      <c r="ACT206" s="2"/>
      <c r="ACU206" s="2"/>
      <c r="ACV206" s="2"/>
      <c r="ACW206" s="2"/>
      <c r="ACX206" s="2"/>
      <c r="ACY206" s="2"/>
      <c r="ACZ206" s="2"/>
      <c r="ADA206" s="2"/>
      <c r="ADB206" s="2"/>
      <c r="ADC206" s="2"/>
      <c r="ADD206" s="2"/>
      <c r="ADE206" s="2"/>
      <c r="ADF206" s="2"/>
      <c r="ADG206" s="2"/>
      <c r="ADH206" s="2"/>
      <c r="ADI206" s="2"/>
      <c r="ADJ206" s="2"/>
      <c r="ADK206" s="2"/>
      <c r="ADL206" s="2"/>
      <c r="ADM206" s="2"/>
      <c r="ADN206" s="2"/>
      <c r="ADO206" s="2"/>
      <c r="ADP206" s="2"/>
      <c r="ADQ206" s="2"/>
      <c r="ADR206" s="2"/>
      <c r="ADS206" s="2"/>
      <c r="ADT206" s="2"/>
      <c r="ADU206" s="2"/>
      <c r="ADV206" s="2"/>
      <c r="ADW206" s="2"/>
      <c r="ADX206" s="2"/>
      <c r="ADY206" s="2"/>
      <c r="ADZ206" s="2"/>
      <c r="AEA206" s="2"/>
      <c r="AEB206" s="2"/>
      <c r="AEC206" s="2"/>
      <c r="AED206" s="2"/>
      <c r="AEE206" s="2"/>
      <c r="AEF206" s="2"/>
      <c r="AEG206" s="2"/>
      <c r="AEH206" s="2"/>
      <c r="AEI206" s="2"/>
      <c r="AEJ206" s="2"/>
      <c r="AEK206" s="2"/>
      <c r="AEL206" s="2"/>
      <c r="AEM206" s="2"/>
      <c r="AEN206" s="2"/>
      <c r="AEO206" s="2"/>
      <c r="AEP206" s="2"/>
      <c r="AEQ206" s="2"/>
      <c r="AER206" s="2"/>
      <c r="AES206" s="2"/>
      <c r="AET206" s="2"/>
      <c r="AEU206" s="2"/>
      <c r="AEV206" s="2"/>
      <c r="AEW206" s="2"/>
      <c r="AEX206" s="2"/>
      <c r="AEY206" s="2"/>
      <c r="AEZ206" s="2"/>
      <c r="AFA206" s="2"/>
      <c r="AFB206" s="2"/>
      <c r="AFC206" s="2"/>
      <c r="AFD206" s="2"/>
      <c r="AFE206" s="2"/>
      <c r="AFF206" s="2"/>
      <c r="AFG206" s="2"/>
      <c r="AFH206" s="2"/>
      <c r="AFI206" s="2"/>
      <c r="AFJ206" s="2"/>
      <c r="AFK206" s="2"/>
      <c r="AFL206" s="2"/>
      <c r="AFM206" s="2"/>
      <c r="AFN206" s="2"/>
      <c r="AFO206" s="2"/>
      <c r="AFP206" s="2"/>
      <c r="AFQ206" s="2"/>
      <c r="AFR206" s="2"/>
      <c r="AFS206" s="2"/>
      <c r="AFT206" s="2"/>
      <c r="AFU206" s="2"/>
      <c r="AFV206" s="2"/>
      <c r="AFW206" s="2"/>
      <c r="AFX206" s="2"/>
      <c r="AFY206" s="2"/>
      <c r="AFZ206" s="2"/>
      <c r="AGA206" s="2"/>
      <c r="AGB206" s="2"/>
      <c r="AGC206" s="2"/>
      <c r="AGD206" s="2"/>
      <c r="AGE206" s="2"/>
      <c r="AGF206" s="2"/>
      <c r="AGG206" s="2"/>
      <c r="AGH206" s="2"/>
      <c r="AGI206" s="2"/>
      <c r="AGJ206" s="2"/>
      <c r="AGK206" s="2"/>
      <c r="AGL206" s="2"/>
      <c r="AGM206" s="2"/>
      <c r="AGN206" s="2"/>
      <c r="AGO206" s="2"/>
      <c r="AGP206" s="2"/>
      <c r="AGQ206" s="2"/>
      <c r="AGR206" s="2"/>
      <c r="AGS206" s="2"/>
      <c r="AGT206" s="2"/>
      <c r="AGU206" s="2"/>
      <c r="AGV206" s="2"/>
      <c r="AGW206" s="2"/>
      <c r="AGX206" s="2"/>
      <c r="AGY206" s="2"/>
      <c r="AGZ206" s="2"/>
      <c r="AHA206" s="2"/>
      <c r="AHB206" s="2"/>
      <c r="AHC206" s="2"/>
      <c r="AHD206" s="2"/>
      <c r="AHE206" s="2"/>
      <c r="AHF206" s="2"/>
      <c r="AHG206" s="2"/>
      <c r="AHH206" s="2"/>
      <c r="AHI206" s="2"/>
      <c r="AHJ206" s="2"/>
      <c r="AHK206" s="2"/>
      <c r="AHL206" s="2"/>
      <c r="AHM206" s="2"/>
      <c r="AHN206" s="2"/>
      <c r="AHO206" s="2"/>
      <c r="AHP206" s="2"/>
      <c r="AHQ206" s="2"/>
      <c r="AHR206" s="2"/>
      <c r="AHS206" s="2"/>
      <c r="AHT206" s="2"/>
      <c r="AHU206" s="2"/>
      <c r="AHV206" s="2"/>
      <c r="AHW206" s="2"/>
      <c r="AHX206" s="2"/>
      <c r="AHY206" s="2"/>
      <c r="AHZ206" s="2"/>
      <c r="AIA206" s="2"/>
      <c r="AIB206" s="2"/>
      <c r="AIC206" s="2"/>
      <c r="AID206" s="2"/>
      <c r="AIE206" s="2"/>
      <c r="AIF206" s="2"/>
      <c r="AIG206" s="2"/>
      <c r="AIH206" s="2"/>
      <c r="AII206" s="2"/>
      <c r="AIJ206" s="2"/>
      <c r="AIK206" s="2"/>
      <c r="AIL206" s="2"/>
      <c r="AIM206" s="2"/>
      <c r="AIN206" s="2"/>
      <c r="AIO206" s="2"/>
      <c r="AIP206" s="2"/>
      <c r="AIQ206" s="2"/>
      <c r="AIR206" s="2"/>
      <c r="AIS206" s="2"/>
      <c r="AIT206" s="2"/>
      <c r="AIU206" s="2"/>
      <c r="AIV206" s="2"/>
      <c r="AIW206" s="2"/>
      <c r="AIX206" s="2"/>
      <c r="AIY206" s="2"/>
      <c r="AIZ206" s="2"/>
      <c r="AJA206" s="2"/>
      <c r="AJB206" s="2"/>
      <c r="AJC206" s="2"/>
      <c r="AJD206" s="2"/>
      <c r="AJE206" s="2"/>
      <c r="AJF206" s="2"/>
      <c r="AJG206" s="2"/>
      <c r="AJH206" s="2"/>
      <c r="AJI206" s="2"/>
      <c r="AJJ206" s="2"/>
      <c r="AJK206" s="2"/>
      <c r="AJL206" s="2"/>
      <c r="AJM206" s="2"/>
      <c r="AJN206" s="2"/>
      <c r="AJO206" s="2"/>
      <c r="AJP206" s="2"/>
      <c r="AJQ206" s="2"/>
      <c r="AJR206" s="2"/>
      <c r="AJS206" s="2"/>
      <c r="AJT206" s="2"/>
      <c r="AJU206" s="2"/>
      <c r="AJV206" s="2"/>
      <c r="AJW206" s="2"/>
      <c r="AJX206" s="2"/>
      <c r="AJY206" s="2"/>
      <c r="AJZ206" s="2"/>
      <c r="AKA206" s="2"/>
      <c r="AKB206" s="2"/>
      <c r="AKC206" s="2"/>
      <c r="AKD206" s="2"/>
      <c r="AKE206" s="2"/>
      <c r="AKF206" s="2"/>
      <c r="AKG206" s="2"/>
      <c r="AKH206" s="2"/>
      <c r="AKI206" s="2"/>
      <c r="AKJ206" s="2"/>
      <c r="AKK206" s="2"/>
      <c r="AKL206" s="2"/>
      <c r="AKM206" s="2"/>
      <c r="AKN206" s="2"/>
      <c r="AKO206" s="2"/>
      <c r="AKP206" s="2"/>
      <c r="AKQ206" s="2"/>
      <c r="AKR206" s="2"/>
      <c r="AKS206" s="2"/>
      <c r="AKT206" s="2"/>
      <c r="AKU206" s="2"/>
      <c r="AKV206" s="2"/>
      <c r="AKW206" s="2"/>
      <c r="AKX206" s="2"/>
      <c r="AKY206" s="2"/>
      <c r="AKZ206" s="2"/>
      <c r="ALA206" s="2"/>
      <c r="ALB206" s="2"/>
      <c r="ALC206" s="2"/>
      <c r="ALD206" s="2"/>
      <c r="ALE206" s="2"/>
      <c r="ALF206" s="2"/>
      <c r="ALG206" s="2"/>
      <c r="ALH206" s="2"/>
      <c r="ALI206" s="2"/>
      <c r="ALJ206" s="2"/>
      <c r="ALK206" s="2"/>
      <c r="ALL206" s="2"/>
      <c r="ALM206" s="2"/>
      <c r="ALN206" s="2"/>
      <c r="ALO206" s="2"/>
      <c r="ALP206" s="2"/>
      <c r="ALQ206" s="2"/>
      <c r="ALR206" s="2"/>
      <c r="ALS206" s="2"/>
      <c r="ALT206" s="2"/>
      <c r="ALU206" s="2"/>
      <c r="ALV206" s="2"/>
      <c r="ALW206" s="2"/>
      <c r="ALX206" s="2"/>
      <c r="ALY206" s="2"/>
      <c r="ALZ206" s="2"/>
      <c r="AMA206" s="2"/>
      <c r="AMB206" s="2"/>
      <c r="AMC206" s="2"/>
      <c r="AMD206" s="2"/>
      <c r="AME206" s="2"/>
      <c r="AMF206" s="2"/>
      <c r="AMG206" s="2"/>
      <c r="AMH206" s="2"/>
      <c r="AMI206" s="2"/>
      <c r="AMJ206" s="2"/>
      <c r="AMK206" s="2"/>
      <c r="AML206" s="2"/>
      <c r="AMM206" s="2"/>
      <c r="AMN206" s="2"/>
      <c r="AMO206" s="2"/>
      <c r="AMP206" s="2"/>
      <c r="AMQ206" s="2"/>
      <c r="AMR206" s="2"/>
      <c r="AMS206" s="2"/>
      <c r="AMT206" s="2"/>
      <c r="AMU206" s="2"/>
      <c r="AMV206" s="2"/>
      <c r="AMW206" s="2"/>
      <c r="AMX206" s="2"/>
      <c r="AMY206" s="2"/>
      <c r="AMZ206" s="2"/>
      <c r="ANA206" s="2"/>
      <c r="ANB206" s="2"/>
      <c r="ANC206" s="2"/>
      <c r="AND206" s="2"/>
      <c r="ANE206" s="2"/>
      <c r="ANF206" s="2"/>
      <c r="ANG206" s="2"/>
      <c r="ANH206" s="2"/>
      <c r="ANI206" s="2"/>
      <c r="ANJ206" s="2"/>
      <c r="ANK206" s="2"/>
      <c r="ANL206" s="2"/>
      <c r="ANM206" s="2"/>
      <c r="ANN206" s="2"/>
      <c r="ANO206" s="2"/>
      <c r="ANP206" s="2"/>
      <c r="ANQ206" s="2"/>
      <c r="ANR206" s="2"/>
      <c r="ANS206" s="2"/>
      <c r="ANT206" s="2"/>
      <c r="ANU206" s="2"/>
      <c r="ANV206" s="2"/>
      <c r="ANW206" s="2"/>
      <c r="ANX206" s="2"/>
      <c r="ANY206" s="2"/>
      <c r="ANZ206" s="2"/>
      <c r="AOA206" s="2"/>
      <c r="AOB206" s="2"/>
      <c r="AOC206" s="2"/>
      <c r="AOD206" s="2"/>
      <c r="AOE206" s="2"/>
      <c r="AOF206" s="2"/>
      <c r="AOG206" s="2"/>
      <c r="AOH206" s="2"/>
      <c r="AOI206" s="2"/>
      <c r="AOJ206" s="2"/>
      <c r="AOK206" s="2"/>
      <c r="AOL206" s="2"/>
      <c r="AOM206" s="2"/>
      <c r="AON206" s="2"/>
      <c r="AOO206" s="2"/>
      <c r="AOP206" s="2"/>
      <c r="AOQ206" s="2"/>
      <c r="AOR206" s="2"/>
      <c r="AOS206" s="2"/>
      <c r="AOT206" s="2"/>
      <c r="AOU206" s="2"/>
      <c r="AOV206" s="2"/>
      <c r="AOW206" s="2"/>
      <c r="AOX206" s="2"/>
      <c r="AOY206" s="2"/>
      <c r="AOZ206" s="2"/>
      <c r="APA206" s="2"/>
      <c r="APB206" s="2"/>
      <c r="APC206" s="2"/>
      <c r="APD206" s="2"/>
      <c r="APE206" s="2"/>
      <c r="APF206" s="2"/>
      <c r="APG206" s="2"/>
      <c r="APH206" s="2"/>
      <c r="API206" s="2"/>
      <c r="APJ206" s="2"/>
      <c r="APK206" s="2"/>
      <c r="APL206" s="2"/>
      <c r="APM206" s="2"/>
      <c r="APN206" s="2"/>
      <c r="APO206" s="2"/>
      <c r="APP206" s="2"/>
      <c r="APQ206" s="2"/>
      <c r="APR206" s="2"/>
      <c r="APS206" s="2"/>
      <c r="APT206" s="2"/>
      <c r="APU206" s="2"/>
      <c r="APV206" s="2"/>
      <c r="APW206" s="2"/>
      <c r="APX206" s="2"/>
      <c r="APY206" s="2"/>
      <c r="APZ206" s="2"/>
      <c r="AQA206" s="2"/>
      <c r="AQB206" s="2"/>
      <c r="AQC206" s="2"/>
      <c r="AQD206" s="2"/>
      <c r="AQE206" s="2"/>
      <c r="AQF206" s="2"/>
      <c r="AQG206" s="2"/>
      <c r="AQH206" s="2"/>
      <c r="AQI206" s="2"/>
      <c r="AQJ206" s="2"/>
      <c r="AQK206" s="2"/>
      <c r="AQL206" s="2"/>
      <c r="AQM206" s="2"/>
      <c r="AQN206" s="2"/>
      <c r="AQO206" s="2"/>
      <c r="AQP206" s="2"/>
      <c r="AQQ206" s="2"/>
      <c r="AQR206" s="2"/>
      <c r="AQS206" s="2"/>
      <c r="AQT206" s="2"/>
      <c r="AQU206" s="2"/>
      <c r="AQV206" s="2"/>
      <c r="AQW206" s="2"/>
      <c r="AQX206" s="2"/>
      <c r="AQY206" s="2"/>
      <c r="AQZ206" s="2"/>
      <c r="ARA206" s="2"/>
      <c r="ARB206" s="2"/>
      <c r="ARC206" s="2"/>
      <c r="ARD206" s="2"/>
      <c r="ARE206" s="2"/>
      <c r="ARF206" s="2"/>
      <c r="ARG206" s="2"/>
      <c r="ARH206" s="2"/>
      <c r="ARI206" s="2"/>
      <c r="ARJ206" s="2"/>
      <c r="ARK206" s="2"/>
      <c r="ARL206" s="2"/>
      <c r="ARM206" s="2"/>
      <c r="ARN206" s="2"/>
      <c r="ARO206" s="2"/>
      <c r="ARP206" s="2"/>
      <c r="ARQ206" s="2"/>
      <c r="ARR206" s="2"/>
      <c r="ARS206" s="2"/>
      <c r="ART206" s="2"/>
      <c r="ARU206" s="2"/>
      <c r="ARV206" s="2"/>
      <c r="ARW206" s="2"/>
      <c r="ARX206" s="2"/>
      <c r="ARY206" s="2"/>
      <c r="ARZ206" s="2"/>
      <c r="ASA206" s="2"/>
      <c r="ASB206" s="2"/>
      <c r="ASC206" s="2"/>
      <c r="ASD206" s="2"/>
      <c r="ASE206" s="2"/>
      <c r="ASF206" s="2"/>
      <c r="ASG206" s="2"/>
      <c r="ASH206" s="2"/>
      <c r="ASI206" s="2"/>
      <c r="ASJ206" s="2"/>
      <c r="ASK206" s="2"/>
      <c r="ASL206" s="2"/>
      <c r="ASM206" s="2"/>
      <c r="ASN206" s="2"/>
      <c r="ASO206" s="2"/>
      <c r="ASP206" s="2"/>
      <c r="ASQ206" s="2"/>
      <c r="ASR206" s="2"/>
      <c r="ASS206" s="2"/>
      <c r="AST206" s="2"/>
      <c r="ASU206" s="2"/>
      <c r="ASV206" s="2"/>
      <c r="ASW206" s="2"/>
      <c r="ASX206" s="2"/>
      <c r="ASY206" s="2"/>
      <c r="ASZ206" s="2"/>
      <c r="ATA206" s="2"/>
      <c r="ATB206" s="2"/>
      <c r="ATC206" s="2"/>
      <c r="ATD206" s="2"/>
      <c r="ATE206" s="2"/>
      <c r="ATF206" s="2"/>
      <c r="ATG206" s="2"/>
      <c r="ATH206" s="2"/>
      <c r="ATI206" s="2"/>
      <c r="ATJ206" s="2"/>
      <c r="ATK206" s="2"/>
      <c r="ATL206" s="2"/>
      <c r="ATM206" s="2"/>
      <c r="ATN206" s="2"/>
      <c r="ATO206" s="2"/>
      <c r="ATP206" s="2"/>
      <c r="ATQ206" s="2"/>
      <c r="ATR206" s="2"/>
      <c r="ATS206" s="2"/>
      <c r="ATT206" s="2"/>
      <c r="ATU206" s="2"/>
      <c r="ATV206" s="2"/>
      <c r="ATW206" s="2"/>
      <c r="ATX206" s="2"/>
      <c r="ATY206" s="2"/>
      <c r="ATZ206" s="2"/>
      <c r="AUA206" s="2"/>
      <c r="AUB206" s="2"/>
      <c r="AUC206" s="2"/>
      <c r="AUD206" s="2"/>
      <c r="AUE206" s="2"/>
      <c r="AUF206" s="2"/>
      <c r="AUG206" s="2"/>
      <c r="AUH206" s="2"/>
      <c r="AUI206" s="2"/>
      <c r="AUJ206" s="2"/>
      <c r="AUK206" s="2"/>
      <c r="AUL206" s="2"/>
      <c r="AUM206" s="2"/>
      <c r="AUN206" s="2"/>
      <c r="AUO206" s="2"/>
      <c r="AUP206" s="2"/>
      <c r="AUQ206" s="2"/>
      <c r="AUR206" s="2"/>
      <c r="AUS206" s="2"/>
      <c r="AUT206" s="2"/>
      <c r="AUU206" s="2"/>
      <c r="AUV206" s="2"/>
      <c r="AUW206" s="2"/>
      <c r="AUX206" s="2"/>
      <c r="AUY206" s="2"/>
      <c r="AUZ206" s="2"/>
      <c r="AVA206" s="2"/>
      <c r="AVB206" s="2"/>
      <c r="AVC206" s="2"/>
      <c r="AVD206" s="2"/>
      <c r="AVE206" s="2"/>
      <c r="AVF206" s="2"/>
      <c r="AVG206" s="2"/>
      <c r="AVH206" s="2"/>
      <c r="AVI206" s="2"/>
      <c r="AVJ206" s="2"/>
      <c r="AVK206" s="2"/>
      <c r="AVL206" s="2"/>
      <c r="AVM206" s="2"/>
      <c r="AVN206" s="2"/>
      <c r="AVO206" s="2"/>
      <c r="AVP206" s="2"/>
      <c r="AVQ206" s="2"/>
      <c r="AVR206" s="2"/>
      <c r="AVS206" s="2"/>
      <c r="AVT206" s="2"/>
      <c r="AVU206" s="2"/>
      <c r="AVV206" s="2"/>
      <c r="AVW206" s="2"/>
      <c r="AVX206" s="2"/>
      <c r="AVY206" s="2"/>
      <c r="AVZ206" s="2"/>
      <c r="AWA206" s="2"/>
      <c r="AWB206" s="2"/>
      <c r="AWC206" s="2"/>
      <c r="AWD206" s="2"/>
      <c r="AWE206" s="2"/>
      <c r="AWF206" s="2"/>
      <c r="AWG206" s="2"/>
      <c r="AWH206" s="2"/>
      <c r="AWI206" s="2"/>
      <c r="AWJ206" s="2"/>
      <c r="AWK206" s="2"/>
      <c r="AWL206" s="2"/>
      <c r="AWM206" s="2"/>
      <c r="AWN206" s="2"/>
      <c r="AWO206" s="2"/>
      <c r="AWP206" s="2"/>
      <c r="AWQ206" s="2"/>
      <c r="AWR206" s="2"/>
      <c r="AWS206" s="2"/>
      <c r="AWT206" s="2"/>
      <c r="AWU206" s="2"/>
      <c r="AWV206" s="2"/>
      <c r="AWW206" s="2"/>
      <c r="AWX206" s="2"/>
      <c r="AWY206" s="2"/>
      <c r="AWZ206" s="2"/>
      <c r="AXA206" s="2"/>
      <c r="AXB206" s="2"/>
      <c r="AXC206" s="2"/>
      <c r="AXD206" s="2"/>
      <c r="AXE206" s="2"/>
      <c r="AXF206" s="2"/>
      <c r="AXG206" s="2"/>
      <c r="AXH206" s="2"/>
      <c r="AXI206" s="2"/>
      <c r="AXJ206" s="2"/>
      <c r="AXK206" s="2"/>
      <c r="AXL206" s="2"/>
      <c r="AXM206" s="2"/>
      <c r="AXN206" s="2"/>
      <c r="AXO206" s="2"/>
      <c r="AXP206" s="2"/>
      <c r="AXQ206" s="2"/>
      <c r="AXR206" s="2"/>
      <c r="AXS206" s="2"/>
      <c r="AXT206" s="2"/>
      <c r="AXU206" s="2"/>
      <c r="AXV206" s="2"/>
      <c r="AXW206" s="2"/>
      <c r="AXX206" s="2"/>
      <c r="AXY206" s="2"/>
      <c r="AXZ206" s="2"/>
      <c r="AYA206" s="2"/>
      <c r="AYB206" s="2"/>
      <c r="AYC206" s="2"/>
      <c r="AYD206" s="2"/>
      <c r="AYE206" s="2"/>
      <c r="AYF206" s="2"/>
      <c r="AYG206" s="2"/>
      <c r="AYH206" s="2"/>
      <c r="AYI206" s="2"/>
      <c r="AYJ206" s="2"/>
      <c r="AYK206" s="2"/>
      <c r="AYL206" s="2"/>
      <c r="AYM206" s="2"/>
      <c r="AYN206" s="2"/>
      <c r="AYO206" s="2"/>
      <c r="AYP206" s="2"/>
      <c r="AYQ206" s="2"/>
      <c r="AYR206" s="2"/>
      <c r="AYS206" s="2"/>
      <c r="AYT206" s="2"/>
      <c r="AYU206" s="2"/>
      <c r="AYV206" s="2"/>
      <c r="AYW206" s="2"/>
      <c r="AYX206" s="2"/>
      <c r="AYY206" s="2"/>
      <c r="AYZ206" s="2"/>
      <c r="AZA206" s="2"/>
      <c r="AZB206" s="2"/>
      <c r="AZC206" s="2"/>
      <c r="AZD206" s="2"/>
      <c r="AZE206" s="2"/>
      <c r="AZF206" s="2"/>
      <c r="AZG206" s="2"/>
      <c r="AZH206" s="2"/>
      <c r="AZI206" s="2"/>
      <c r="AZJ206" s="2"/>
      <c r="AZK206" s="2"/>
      <c r="AZL206" s="2"/>
      <c r="AZM206" s="2"/>
      <c r="AZN206" s="2"/>
      <c r="AZO206" s="2"/>
      <c r="AZP206" s="2"/>
      <c r="AZQ206" s="2"/>
      <c r="AZR206" s="2"/>
      <c r="AZS206" s="2"/>
      <c r="AZT206" s="2"/>
      <c r="AZU206" s="2"/>
      <c r="AZV206" s="2"/>
      <c r="AZW206" s="2"/>
      <c r="AZX206" s="2"/>
      <c r="AZY206" s="2"/>
      <c r="AZZ206" s="2"/>
      <c r="BAA206" s="2"/>
      <c r="BAB206" s="2"/>
      <c r="BAC206" s="2"/>
      <c r="BAD206" s="2"/>
      <c r="BAE206" s="2"/>
      <c r="BAF206" s="2"/>
      <c r="BAG206" s="2"/>
      <c r="BAH206" s="2"/>
      <c r="BAI206" s="2"/>
      <c r="BAJ206" s="2"/>
      <c r="BAK206" s="2"/>
      <c r="BAL206" s="2"/>
      <c r="BAM206" s="2"/>
      <c r="BAN206" s="2"/>
      <c r="BAO206" s="2"/>
      <c r="BAP206" s="2"/>
      <c r="BAQ206" s="2"/>
      <c r="BAR206" s="2"/>
      <c r="BAS206" s="2"/>
      <c r="BAT206" s="2"/>
      <c r="BAU206" s="2"/>
      <c r="BAV206" s="2"/>
      <c r="BAW206" s="2"/>
      <c r="BAX206" s="2"/>
      <c r="BAY206" s="2"/>
      <c r="BAZ206" s="2"/>
      <c r="BBA206" s="2"/>
      <c r="BBB206" s="2"/>
      <c r="BBC206" s="2"/>
      <c r="BBD206" s="2"/>
      <c r="BBE206" s="2"/>
      <c r="BBF206" s="2"/>
      <c r="BBG206" s="2"/>
      <c r="BBH206" s="2"/>
      <c r="BBI206" s="2"/>
      <c r="BBJ206" s="2"/>
      <c r="BBK206" s="2"/>
      <c r="BBL206" s="2"/>
      <c r="BBM206" s="2"/>
      <c r="BBN206" s="2"/>
      <c r="BBO206" s="2"/>
      <c r="BBP206" s="2"/>
      <c r="BBQ206" s="2"/>
      <c r="BBR206" s="2"/>
      <c r="BBS206" s="2"/>
      <c r="BBT206" s="2"/>
      <c r="BBU206" s="2"/>
      <c r="BBV206" s="2"/>
      <c r="BBW206" s="2"/>
      <c r="BBX206" s="2"/>
      <c r="BBY206" s="2"/>
      <c r="BBZ206" s="2"/>
      <c r="BCA206" s="2"/>
      <c r="BCB206" s="2"/>
      <c r="BCC206" s="2"/>
      <c r="BCD206" s="2"/>
      <c r="BCE206" s="2"/>
      <c r="BCF206" s="2"/>
      <c r="BCG206" s="2"/>
      <c r="BCH206" s="2"/>
      <c r="BCI206" s="2"/>
      <c r="BCJ206" s="2"/>
      <c r="BCK206" s="2"/>
      <c r="BCL206" s="2"/>
      <c r="BCM206" s="2"/>
      <c r="BCN206" s="2"/>
      <c r="BCO206" s="2"/>
      <c r="BCP206" s="2"/>
      <c r="BCQ206" s="2"/>
      <c r="BCR206" s="2"/>
      <c r="BCS206" s="2"/>
      <c r="BCT206" s="2"/>
      <c r="BCU206" s="2"/>
      <c r="BCV206" s="2"/>
      <c r="BCW206" s="2"/>
      <c r="BCX206" s="2"/>
      <c r="BCY206" s="2"/>
      <c r="BCZ206" s="2"/>
      <c r="BDA206" s="2"/>
      <c r="BDB206" s="2"/>
      <c r="BDC206" s="2"/>
      <c r="BDD206" s="2"/>
      <c r="BDE206" s="2"/>
      <c r="BDF206" s="2"/>
      <c r="BDG206" s="2"/>
      <c r="BDH206" s="2"/>
      <c r="BDI206" s="2"/>
      <c r="BDJ206" s="2"/>
      <c r="BDK206" s="2"/>
      <c r="BDL206" s="2"/>
      <c r="BDM206" s="2"/>
      <c r="BDN206" s="2"/>
      <c r="BDO206" s="2"/>
      <c r="BDP206" s="2"/>
      <c r="BDQ206" s="2"/>
      <c r="BDR206" s="2"/>
      <c r="BDS206" s="2"/>
      <c r="BDT206" s="2"/>
      <c r="BDU206" s="2"/>
      <c r="BDV206" s="2"/>
      <c r="BDW206" s="2"/>
      <c r="BDX206" s="2"/>
      <c r="BDY206" s="2"/>
      <c r="BDZ206" s="2"/>
      <c r="BEA206" s="2"/>
      <c r="BEB206" s="2"/>
      <c r="BEC206" s="2"/>
      <c r="BED206" s="2"/>
      <c r="BEE206" s="2"/>
      <c r="BEF206" s="2"/>
      <c r="BEG206" s="2"/>
      <c r="BEH206" s="2"/>
      <c r="BEI206" s="2"/>
      <c r="BEJ206" s="2"/>
      <c r="BEK206" s="2"/>
      <c r="BEL206" s="2"/>
      <c r="BEM206" s="2"/>
      <c r="BEN206" s="2"/>
      <c r="BEO206" s="2"/>
      <c r="BEP206" s="2"/>
      <c r="BEQ206" s="2"/>
      <c r="BER206" s="2"/>
      <c r="BES206" s="2"/>
      <c r="BET206" s="2"/>
      <c r="BEU206" s="2"/>
      <c r="BEV206" s="2"/>
      <c r="BEW206" s="2"/>
      <c r="BEX206" s="2"/>
      <c r="BEY206" s="2"/>
      <c r="BEZ206" s="2"/>
      <c r="BFA206" s="2"/>
      <c r="BFB206" s="2"/>
      <c r="BFC206" s="2"/>
      <c r="BFD206" s="2"/>
      <c r="BFE206" s="2"/>
      <c r="BFF206" s="2"/>
      <c r="BFG206" s="2"/>
      <c r="BFH206" s="2"/>
      <c r="BFI206" s="2"/>
      <c r="BFJ206" s="2"/>
      <c r="BFK206" s="2"/>
      <c r="BFL206" s="2"/>
      <c r="BFM206" s="2"/>
      <c r="BFN206" s="2"/>
      <c r="BFO206" s="2"/>
      <c r="BFP206" s="2"/>
      <c r="BFQ206" s="2"/>
      <c r="BFR206" s="2"/>
      <c r="BFS206" s="2"/>
      <c r="BFT206" s="2"/>
      <c r="BFU206" s="2"/>
      <c r="BFV206" s="2"/>
      <c r="BFW206" s="2"/>
      <c r="BFX206" s="2"/>
      <c r="BFY206" s="2"/>
      <c r="BFZ206" s="2"/>
      <c r="BGA206" s="2"/>
      <c r="BGB206" s="2"/>
      <c r="BGC206" s="2"/>
      <c r="BGD206" s="2"/>
      <c r="BGE206" s="2"/>
      <c r="BGF206" s="2"/>
      <c r="BGG206" s="2"/>
      <c r="BGH206" s="2"/>
      <c r="BGI206" s="2"/>
      <c r="BGJ206" s="2"/>
      <c r="BGK206" s="2"/>
      <c r="BGL206" s="2"/>
      <c r="BGM206" s="2"/>
      <c r="BGN206" s="2"/>
      <c r="BGO206" s="2"/>
      <c r="BGP206" s="2"/>
      <c r="BGQ206" s="2"/>
      <c r="BGR206" s="2"/>
      <c r="BGS206" s="2"/>
      <c r="BGT206" s="2"/>
      <c r="BGU206" s="2"/>
      <c r="BGV206" s="2"/>
      <c r="BGW206" s="2"/>
      <c r="BGX206" s="2"/>
      <c r="BGY206" s="2"/>
      <c r="BGZ206" s="2"/>
      <c r="BHA206" s="2"/>
      <c r="BHB206" s="2"/>
      <c r="BHC206" s="2"/>
      <c r="BHD206" s="2"/>
      <c r="BHE206" s="2"/>
      <c r="BHF206" s="2"/>
      <c r="BHG206" s="2"/>
      <c r="BHH206" s="2"/>
      <c r="BHI206" s="2"/>
      <c r="BHJ206" s="2"/>
      <c r="BHK206" s="2"/>
      <c r="BHL206" s="2"/>
      <c r="BHM206" s="2"/>
      <c r="BHN206" s="2"/>
      <c r="BHO206" s="2"/>
      <c r="BHP206" s="2"/>
      <c r="BHQ206" s="2"/>
      <c r="BHR206" s="2"/>
      <c r="BHS206" s="2"/>
      <c r="BHT206" s="2"/>
      <c r="BHU206" s="2"/>
      <c r="BHV206" s="2"/>
      <c r="BHW206" s="2"/>
      <c r="BHX206" s="2"/>
      <c r="BHY206" s="2"/>
      <c r="BHZ206" s="2"/>
      <c r="BIA206" s="2"/>
      <c r="BIB206" s="2"/>
      <c r="BIC206" s="2"/>
      <c r="BID206" s="2"/>
      <c r="BIE206" s="2"/>
      <c r="BIF206" s="2"/>
      <c r="BIG206" s="2"/>
      <c r="BIH206" s="2"/>
      <c r="BII206" s="2"/>
      <c r="BIJ206" s="2"/>
      <c r="BIK206" s="2"/>
      <c r="BIL206" s="2"/>
      <c r="BIM206" s="2"/>
      <c r="BIN206" s="2"/>
      <c r="BIO206" s="2"/>
      <c r="BIP206" s="2"/>
      <c r="BIQ206" s="2"/>
      <c r="BIR206" s="2"/>
      <c r="BIS206" s="2"/>
      <c r="BIT206" s="2"/>
      <c r="BIU206" s="2"/>
      <c r="BIV206" s="2"/>
      <c r="BIW206" s="2"/>
      <c r="BIX206" s="2"/>
      <c r="BIY206" s="2"/>
      <c r="BIZ206" s="2"/>
      <c r="BJA206" s="2"/>
      <c r="BJB206" s="2"/>
      <c r="BJC206" s="2"/>
      <c r="BJD206" s="2"/>
      <c r="BJE206" s="2"/>
      <c r="BJF206" s="2"/>
      <c r="BJG206" s="2"/>
      <c r="BJH206" s="2"/>
      <c r="BJI206" s="2"/>
      <c r="BJJ206" s="2"/>
      <c r="BJK206" s="2"/>
      <c r="BJL206" s="2"/>
      <c r="BJM206" s="2"/>
      <c r="BJN206" s="2"/>
      <c r="BJO206" s="2"/>
      <c r="BJP206" s="2"/>
      <c r="BJQ206" s="2"/>
      <c r="BJR206" s="2"/>
      <c r="BJS206" s="2"/>
      <c r="BJT206" s="2"/>
      <c r="BJU206" s="2"/>
      <c r="BJV206" s="2"/>
      <c r="BJW206" s="2"/>
      <c r="BJX206" s="2"/>
      <c r="BJY206" s="2"/>
      <c r="BJZ206" s="2"/>
      <c r="BKA206" s="2"/>
      <c r="BKB206" s="2"/>
      <c r="BKC206" s="2"/>
      <c r="BKD206" s="2"/>
      <c r="BKE206" s="2"/>
      <c r="BKF206" s="2"/>
      <c r="BKG206" s="2"/>
      <c r="BKH206" s="2"/>
      <c r="BKI206" s="2"/>
      <c r="BKJ206" s="2"/>
      <c r="BKK206" s="2"/>
      <c r="BKL206" s="2"/>
      <c r="BKM206" s="2"/>
      <c r="BKN206" s="2"/>
      <c r="BKO206" s="2"/>
      <c r="BKP206" s="2"/>
      <c r="BKQ206" s="2"/>
      <c r="BKR206" s="2"/>
      <c r="BKS206" s="2"/>
      <c r="BKT206" s="2"/>
      <c r="BKU206" s="2"/>
      <c r="BKV206" s="2"/>
      <c r="BKW206" s="2"/>
      <c r="BKX206" s="2"/>
      <c r="BKY206" s="2"/>
      <c r="BKZ206" s="2"/>
      <c r="BLA206" s="2"/>
      <c r="BLB206" s="2"/>
      <c r="BLC206" s="2"/>
      <c r="BLD206" s="2"/>
      <c r="BLE206" s="2"/>
      <c r="BLF206" s="2"/>
      <c r="BLG206" s="2"/>
      <c r="BLH206" s="2"/>
      <c r="BLI206" s="2"/>
      <c r="BLJ206" s="2"/>
      <c r="BLK206" s="2"/>
      <c r="BLL206" s="2"/>
      <c r="BLM206" s="2"/>
      <c r="BLN206" s="2"/>
      <c r="BLO206" s="2"/>
      <c r="BLP206" s="2"/>
      <c r="BLQ206" s="2"/>
      <c r="BLR206" s="2"/>
      <c r="BLS206" s="2"/>
      <c r="BLT206" s="2"/>
      <c r="BLU206" s="2"/>
      <c r="BLV206" s="2"/>
      <c r="BLW206" s="2"/>
      <c r="BLX206" s="2"/>
      <c r="BLY206" s="2"/>
      <c r="BLZ206" s="2"/>
      <c r="BMA206" s="2"/>
      <c r="BMB206" s="2"/>
      <c r="BMC206" s="2"/>
      <c r="BMD206" s="2"/>
      <c r="BME206" s="2"/>
      <c r="BMF206" s="2"/>
      <c r="BMG206" s="2"/>
      <c r="BMH206" s="2"/>
      <c r="BMI206" s="2"/>
      <c r="BMJ206" s="2"/>
      <c r="BMK206" s="2"/>
      <c r="BML206" s="2"/>
      <c r="BMM206" s="2"/>
      <c r="BMN206" s="2"/>
      <c r="BMO206" s="2"/>
      <c r="BMP206" s="2"/>
      <c r="BMQ206" s="2"/>
      <c r="BMR206" s="2"/>
      <c r="BMS206" s="2"/>
      <c r="BMT206" s="2"/>
      <c r="BMU206" s="2"/>
      <c r="BMV206" s="2"/>
      <c r="BMW206" s="2"/>
      <c r="BMX206" s="2"/>
      <c r="BMY206" s="2"/>
      <c r="BMZ206" s="2"/>
      <c r="BNA206" s="2"/>
      <c r="BNB206" s="2"/>
      <c r="BNC206" s="2"/>
      <c r="BND206" s="2"/>
      <c r="BNE206" s="2"/>
      <c r="BNF206" s="2"/>
      <c r="BNG206" s="2"/>
      <c r="BNH206" s="2"/>
      <c r="BNI206" s="2"/>
      <c r="BNJ206" s="2"/>
      <c r="BNK206" s="2"/>
      <c r="BNL206" s="2"/>
      <c r="BNM206" s="2"/>
      <c r="BNN206" s="2"/>
      <c r="BNO206" s="2"/>
      <c r="BNP206" s="2"/>
      <c r="BNQ206" s="2"/>
      <c r="BNR206" s="2"/>
      <c r="BNS206" s="2"/>
      <c r="BNT206" s="2"/>
      <c r="BNU206" s="2"/>
      <c r="BNV206" s="2"/>
      <c r="BNW206" s="2"/>
      <c r="BNX206" s="2"/>
      <c r="BNY206" s="2"/>
      <c r="BNZ206" s="2"/>
      <c r="BOA206" s="2"/>
      <c r="BOB206" s="2"/>
      <c r="BOC206" s="2"/>
      <c r="BOD206" s="2"/>
      <c r="BOE206" s="2"/>
      <c r="BOF206" s="2"/>
      <c r="BOG206" s="2"/>
      <c r="BOH206" s="2"/>
      <c r="BOI206" s="2"/>
      <c r="BOJ206" s="2"/>
      <c r="BOK206" s="2"/>
      <c r="BOL206" s="2"/>
      <c r="BOM206" s="2"/>
      <c r="BON206" s="2"/>
      <c r="BOO206" s="2"/>
      <c r="BOP206" s="2"/>
      <c r="BOQ206" s="2"/>
      <c r="BOR206" s="2"/>
      <c r="BOS206" s="2"/>
      <c r="BOT206" s="2"/>
      <c r="BOU206" s="2"/>
      <c r="BOV206" s="2"/>
      <c r="BOW206" s="2"/>
      <c r="BOX206" s="2"/>
      <c r="BOY206" s="2"/>
      <c r="BOZ206" s="2"/>
      <c r="BPA206" s="2"/>
      <c r="BPB206" s="2"/>
      <c r="BPC206" s="2"/>
      <c r="BPD206" s="2"/>
      <c r="BPE206" s="2"/>
      <c r="BPF206" s="2"/>
      <c r="BPG206" s="2"/>
      <c r="BPH206" s="2"/>
      <c r="BPI206" s="2"/>
      <c r="BPJ206" s="2"/>
      <c r="BPK206" s="2"/>
      <c r="BPL206" s="2"/>
      <c r="BPM206" s="2"/>
      <c r="BPN206" s="2"/>
      <c r="BPO206" s="2"/>
      <c r="BPP206" s="2"/>
      <c r="BPQ206" s="2"/>
      <c r="BPR206" s="2"/>
      <c r="BPS206" s="2"/>
      <c r="BPT206" s="2"/>
      <c r="BPU206" s="2"/>
      <c r="BPV206" s="2"/>
      <c r="BPW206" s="2"/>
      <c r="BPX206" s="2"/>
      <c r="BPY206" s="2"/>
      <c r="BPZ206" s="2"/>
      <c r="BQA206" s="2"/>
      <c r="BQB206" s="2"/>
      <c r="BQC206" s="2"/>
      <c r="BQD206" s="2"/>
      <c r="BQE206" s="2"/>
      <c r="BQF206" s="2"/>
      <c r="BQG206" s="2"/>
      <c r="BQH206" s="2"/>
      <c r="BQI206" s="2"/>
      <c r="BQJ206" s="2"/>
      <c r="BQK206" s="2"/>
      <c r="BQL206" s="2"/>
      <c r="BQM206" s="2"/>
      <c r="BQN206" s="2"/>
      <c r="BQO206" s="2"/>
      <c r="BQP206" s="2"/>
      <c r="BQQ206" s="2"/>
      <c r="BQR206" s="2"/>
      <c r="BQS206" s="2"/>
      <c r="BQT206" s="2"/>
      <c r="BQU206" s="2"/>
      <c r="BQV206" s="2"/>
      <c r="BQW206" s="2"/>
      <c r="BQX206" s="2"/>
      <c r="BQY206" s="2"/>
      <c r="BQZ206" s="2"/>
      <c r="BRA206" s="2"/>
      <c r="BRB206" s="2"/>
      <c r="BRC206" s="2"/>
      <c r="BRD206" s="2"/>
      <c r="BRE206" s="2"/>
      <c r="BRF206" s="2"/>
      <c r="BRG206" s="2"/>
      <c r="BRH206" s="2"/>
      <c r="BRI206" s="2"/>
      <c r="BRJ206" s="2"/>
      <c r="BRK206" s="2"/>
      <c r="BRL206" s="2"/>
      <c r="BRM206" s="2"/>
      <c r="BRN206" s="2"/>
      <c r="BRO206" s="2"/>
      <c r="BRP206" s="2"/>
      <c r="BRQ206" s="2"/>
      <c r="BRR206" s="2"/>
      <c r="BRS206" s="2"/>
      <c r="BRT206" s="2"/>
      <c r="BRU206" s="2"/>
      <c r="BRV206" s="2"/>
      <c r="BRW206" s="2"/>
      <c r="BRX206" s="2"/>
      <c r="BRY206" s="2"/>
      <c r="BRZ206" s="2"/>
      <c r="BSA206" s="2"/>
      <c r="BSB206" s="2"/>
      <c r="BSC206" s="2"/>
      <c r="BSD206" s="2"/>
      <c r="BSE206" s="2"/>
      <c r="BSF206" s="2"/>
      <c r="BSG206" s="2"/>
      <c r="BSH206" s="2"/>
      <c r="BSI206" s="2"/>
      <c r="BSJ206" s="2"/>
      <c r="BSK206" s="2"/>
      <c r="BSL206" s="2"/>
      <c r="BSM206" s="2"/>
      <c r="BSN206" s="2"/>
      <c r="BSO206" s="2"/>
      <c r="BSP206" s="2"/>
      <c r="BSQ206" s="2"/>
      <c r="BSR206" s="2"/>
      <c r="BSS206" s="2"/>
      <c r="BST206" s="2"/>
      <c r="BSU206" s="2"/>
      <c r="BSV206" s="2"/>
      <c r="BSW206" s="2"/>
      <c r="BSX206" s="2"/>
      <c r="BSY206" s="2"/>
      <c r="BSZ206" s="2"/>
      <c r="BTA206" s="2"/>
      <c r="BTB206" s="2"/>
      <c r="BTC206" s="2"/>
      <c r="BTD206" s="2"/>
      <c r="BTE206" s="2"/>
      <c r="BTF206" s="2"/>
      <c r="BTG206" s="2"/>
      <c r="BTH206" s="2"/>
      <c r="BTI206" s="2"/>
      <c r="BTJ206" s="2"/>
      <c r="BTK206" s="2"/>
      <c r="BTL206" s="2"/>
      <c r="BTM206" s="2"/>
      <c r="BTN206" s="2"/>
      <c r="BTO206" s="2"/>
      <c r="BTP206" s="2"/>
      <c r="BTQ206" s="2"/>
      <c r="BTR206" s="2"/>
      <c r="BTS206" s="2"/>
      <c r="BTT206" s="2"/>
      <c r="BTU206" s="2"/>
      <c r="BTV206" s="2"/>
      <c r="BTW206" s="2"/>
      <c r="BTX206" s="2"/>
      <c r="BTY206" s="2"/>
      <c r="BTZ206" s="2"/>
      <c r="BUA206" s="2"/>
      <c r="BUB206" s="2"/>
      <c r="BUC206" s="2"/>
      <c r="BUD206" s="2"/>
      <c r="BUE206" s="2"/>
      <c r="BUF206" s="2"/>
      <c r="BUG206" s="2"/>
      <c r="BUH206" s="2"/>
      <c r="BUI206" s="2"/>
      <c r="BUJ206" s="2"/>
      <c r="BUK206" s="2"/>
      <c r="BUL206" s="2"/>
      <c r="BUM206" s="2"/>
      <c r="BUN206" s="2"/>
      <c r="BUO206" s="2"/>
      <c r="BUP206" s="2"/>
      <c r="BUQ206" s="2"/>
      <c r="BUR206" s="2"/>
      <c r="BUS206" s="2"/>
      <c r="BUT206" s="2"/>
      <c r="BUU206" s="2"/>
      <c r="BUV206" s="2"/>
      <c r="BUW206" s="2"/>
      <c r="BUX206" s="2"/>
      <c r="BUY206" s="2"/>
      <c r="BUZ206" s="2"/>
      <c r="BVA206" s="2"/>
      <c r="BVB206" s="2"/>
      <c r="BVC206" s="2"/>
      <c r="BVD206" s="2"/>
      <c r="BVE206" s="2"/>
      <c r="BVF206" s="2"/>
      <c r="BVG206" s="2"/>
      <c r="BVH206" s="2"/>
      <c r="BVI206" s="2"/>
      <c r="BVJ206" s="2"/>
      <c r="BVK206" s="2"/>
      <c r="BVL206" s="2"/>
      <c r="BVM206" s="2"/>
      <c r="BVN206" s="2"/>
      <c r="BVO206" s="2"/>
      <c r="BVP206" s="2"/>
      <c r="BVQ206" s="2"/>
      <c r="BVR206" s="2"/>
      <c r="BVS206" s="2"/>
      <c r="BVT206" s="2"/>
      <c r="BVU206" s="2"/>
      <c r="BVV206" s="2"/>
      <c r="BVW206" s="2"/>
      <c r="BVX206" s="2"/>
      <c r="BVY206" s="2"/>
      <c r="BVZ206" s="2"/>
      <c r="BWA206" s="2"/>
      <c r="BWB206" s="2"/>
      <c r="BWC206" s="2"/>
      <c r="BWD206" s="2"/>
      <c r="BWE206" s="2"/>
      <c r="BWF206" s="2"/>
      <c r="BWG206" s="2"/>
      <c r="BWH206" s="2"/>
      <c r="BWI206" s="2"/>
      <c r="BWJ206" s="2"/>
      <c r="BWK206" s="2"/>
      <c r="BWL206" s="2"/>
      <c r="BWM206" s="2"/>
      <c r="BWN206" s="2"/>
      <c r="BWO206" s="2"/>
      <c r="BWP206" s="2"/>
      <c r="BWQ206" s="2"/>
      <c r="BWR206" s="2"/>
      <c r="BWS206" s="2"/>
      <c r="BWT206" s="2"/>
      <c r="BWU206" s="2"/>
      <c r="BWV206" s="2"/>
      <c r="BWW206" s="2"/>
      <c r="BWX206" s="2"/>
      <c r="BWY206" s="2"/>
      <c r="BWZ206" s="2"/>
      <c r="BXA206" s="2"/>
      <c r="BXB206" s="2"/>
      <c r="BXC206" s="2"/>
      <c r="BXD206" s="2"/>
      <c r="BXE206" s="2"/>
      <c r="BXF206" s="2"/>
      <c r="BXG206" s="2"/>
      <c r="BXH206" s="2"/>
      <c r="BXI206" s="2"/>
      <c r="BXJ206" s="2"/>
      <c r="BXK206" s="2"/>
      <c r="BXL206" s="2"/>
      <c r="BXM206" s="2"/>
      <c r="BXN206" s="2"/>
      <c r="BXO206" s="2"/>
      <c r="BXP206" s="2"/>
      <c r="BXQ206" s="2"/>
      <c r="BXR206" s="2"/>
      <c r="BXS206" s="2"/>
      <c r="BXT206" s="2"/>
      <c r="BXU206" s="2"/>
      <c r="BXV206" s="2"/>
      <c r="BXW206" s="2"/>
      <c r="BXX206" s="2"/>
      <c r="BXY206" s="2"/>
      <c r="BXZ206" s="2"/>
      <c r="BYA206" s="2"/>
      <c r="BYB206" s="2"/>
      <c r="BYC206" s="2"/>
      <c r="BYD206" s="2"/>
      <c r="BYE206" s="2"/>
      <c r="BYF206" s="2"/>
      <c r="BYG206" s="2"/>
      <c r="BYH206" s="2"/>
      <c r="BYI206" s="2"/>
      <c r="BYJ206" s="2"/>
      <c r="BYK206" s="2"/>
      <c r="BYL206" s="2"/>
      <c r="BYM206" s="2"/>
      <c r="BYN206" s="2"/>
      <c r="BYO206" s="2"/>
      <c r="BYP206" s="2"/>
      <c r="BYQ206" s="2"/>
      <c r="BYR206" s="2"/>
      <c r="BYS206" s="2"/>
      <c r="BYT206" s="2"/>
      <c r="BYU206" s="2"/>
      <c r="BYV206" s="2"/>
      <c r="BYW206" s="2"/>
      <c r="BYX206" s="2"/>
      <c r="BYY206" s="2"/>
      <c r="BYZ206" s="2"/>
      <c r="BZA206" s="2"/>
      <c r="BZB206" s="2"/>
      <c r="BZC206" s="2"/>
      <c r="BZD206" s="2"/>
      <c r="BZE206" s="2"/>
      <c r="BZF206" s="2"/>
      <c r="BZG206" s="2"/>
      <c r="BZH206" s="2"/>
      <c r="BZI206" s="2"/>
      <c r="BZJ206" s="2"/>
      <c r="BZK206" s="2"/>
      <c r="BZL206" s="2"/>
      <c r="BZM206" s="2"/>
      <c r="BZN206" s="2"/>
      <c r="BZO206" s="2"/>
      <c r="BZP206" s="2"/>
      <c r="BZQ206" s="2"/>
      <c r="BZR206" s="2"/>
      <c r="BZS206" s="2"/>
      <c r="BZT206" s="2"/>
      <c r="BZU206" s="2"/>
      <c r="BZV206" s="2"/>
      <c r="BZW206" s="2"/>
      <c r="BZX206" s="2"/>
      <c r="BZY206" s="2"/>
      <c r="BZZ206" s="2"/>
      <c r="CAA206" s="2"/>
      <c r="CAB206" s="2"/>
      <c r="CAC206" s="2"/>
      <c r="CAD206" s="2"/>
      <c r="CAE206" s="2"/>
      <c r="CAF206" s="2"/>
      <c r="CAG206" s="2"/>
      <c r="CAH206" s="2"/>
      <c r="CAI206" s="2"/>
      <c r="CAJ206" s="2"/>
      <c r="CAK206" s="2"/>
      <c r="CAL206" s="2"/>
      <c r="CAM206" s="2"/>
      <c r="CAN206" s="2"/>
      <c r="CAO206" s="2"/>
      <c r="CAP206" s="2"/>
      <c r="CAQ206" s="2"/>
      <c r="CAR206" s="2"/>
      <c r="CAS206" s="2"/>
      <c r="CAT206" s="2"/>
      <c r="CAU206" s="2"/>
      <c r="CAV206" s="2"/>
      <c r="CAW206" s="2"/>
      <c r="CAX206" s="2"/>
      <c r="CAY206" s="2"/>
      <c r="CAZ206" s="2"/>
      <c r="CBA206" s="2"/>
      <c r="CBB206" s="2"/>
      <c r="CBC206" s="2"/>
      <c r="CBD206" s="2"/>
      <c r="CBE206" s="2"/>
      <c r="CBF206" s="2"/>
      <c r="CBG206" s="2"/>
      <c r="CBH206" s="2"/>
      <c r="CBI206" s="2"/>
      <c r="CBJ206" s="2"/>
      <c r="CBK206" s="2"/>
      <c r="CBL206" s="2"/>
      <c r="CBM206" s="2"/>
      <c r="CBN206" s="2"/>
      <c r="CBO206" s="2"/>
      <c r="CBP206" s="2"/>
      <c r="CBQ206" s="2"/>
      <c r="CBR206" s="2"/>
      <c r="CBS206" s="2"/>
      <c r="CBT206" s="2"/>
      <c r="CBU206" s="2"/>
      <c r="CBV206" s="2"/>
      <c r="CBW206" s="2"/>
      <c r="CBX206" s="2"/>
      <c r="CBY206" s="2"/>
      <c r="CBZ206" s="2"/>
      <c r="CCA206" s="2"/>
      <c r="CCB206" s="2"/>
      <c r="CCC206" s="2"/>
      <c r="CCD206" s="2"/>
      <c r="CCE206" s="2"/>
      <c r="CCF206" s="2"/>
      <c r="CCG206" s="2"/>
      <c r="CCH206" s="2"/>
      <c r="CCI206" s="2"/>
      <c r="CCJ206" s="2"/>
      <c r="CCK206" s="2"/>
      <c r="CCL206" s="2"/>
      <c r="CCM206" s="2"/>
      <c r="CCN206" s="2"/>
      <c r="CCO206" s="2"/>
      <c r="CCP206" s="2"/>
      <c r="CCQ206" s="2"/>
      <c r="CCR206" s="2"/>
      <c r="CCS206" s="2"/>
      <c r="CCT206" s="2"/>
      <c r="CCU206" s="2"/>
      <c r="CCV206" s="2"/>
      <c r="CCW206" s="2"/>
      <c r="CCX206" s="2"/>
      <c r="CCY206" s="2"/>
      <c r="CCZ206" s="2"/>
      <c r="CDA206" s="2"/>
      <c r="CDB206" s="2"/>
      <c r="CDC206" s="2"/>
      <c r="CDD206" s="2"/>
      <c r="CDE206" s="2"/>
      <c r="CDF206" s="2"/>
      <c r="CDG206" s="2"/>
      <c r="CDH206" s="2"/>
      <c r="CDI206" s="2"/>
      <c r="CDJ206" s="2"/>
      <c r="CDK206" s="2"/>
      <c r="CDL206" s="2"/>
      <c r="CDM206" s="2"/>
      <c r="CDN206" s="2"/>
      <c r="CDO206" s="2"/>
      <c r="CDP206" s="2"/>
      <c r="CDQ206" s="2"/>
      <c r="CDR206" s="2"/>
      <c r="CDS206" s="2"/>
      <c r="CDT206" s="2"/>
      <c r="CDU206" s="2"/>
      <c r="CDV206" s="2"/>
      <c r="CDW206" s="2"/>
      <c r="CDX206" s="2"/>
      <c r="CDY206" s="2"/>
      <c r="CDZ206" s="2"/>
      <c r="CEA206" s="2"/>
      <c r="CEB206" s="2"/>
      <c r="CEC206" s="2"/>
      <c r="CED206" s="2"/>
      <c r="CEE206" s="2"/>
      <c r="CEF206" s="2"/>
      <c r="CEG206" s="2"/>
      <c r="CEH206" s="2"/>
      <c r="CEI206" s="2"/>
      <c r="CEJ206" s="2"/>
      <c r="CEK206" s="2"/>
      <c r="CEL206" s="2"/>
      <c r="CEM206" s="2"/>
      <c r="CEN206" s="2"/>
      <c r="CEO206" s="2"/>
      <c r="CEP206" s="2"/>
      <c r="CEQ206" s="2"/>
      <c r="CER206" s="2"/>
      <c r="CES206" s="2"/>
      <c r="CET206" s="2"/>
      <c r="CEU206" s="2"/>
      <c r="CEV206" s="2"/>
      <c r="CEW206" s="2"/>
      <c r="CEX206" s="2"/>
      <c r="CEY206" s="2"/>
      <c r="CEZ206" s="2"/>
      <c r="CFA206" s="2"/>
      <c r="CFB206" s="2"/>
      <c r="CFC206" s="2"/>
      <c r="CFD206" s="2"/>
      <c r="CFE206" s="2"/>
      <c r="CFF206" s="2"/>
      <c r="CFG206" s="2"/>
      <c r="CFH206" s="2"/>
      <c r="CFI206" s="2"/>
      <c r="CFJ206" s="2"/>
      <c r="CFK206" s="2"/>
      <c r="CFL206" s="2"/>
      <c r="CFM206" s="2"/>
      <c r="CFN206" s="2"/>
      <c r="CFO206" s="2"/>
      <c r="CFP206" s="2"/>
      <c r="CFQ206" s="2"/>
      <c r="CFR206" s="2"/>
      <c r="CFS206" s="2"/>
      <c r="CFT206" s="2"/>
      <c r="CFU206" s="2"/>
      <c r="CFV206" s="2"/>
      <c r="CFW206" s="2"/>
      <c r="CFX206" s="2"/>
      <c r="CFY206" s="2"/>
      <c r="CFZ206" s="2"/>
      <c r="CGA206" s="2"/>
      <c r="CGB206" s="2"/>
      <c r="CGC206" s="2"/>
      <c r="CGD206" s="2"/>
      <c r="CGE206" s="2"/>
      <c r="CGF206" s="2"/>
      <c r="CGG206" s="2"/>
      <c r="CGH206" s="2"/>
      <c r="CGI206" s="2"/>
      <c r="CGJ206" s="2"/>
      <c r="CGK206" s="2"/>
      <c r="CGL206" s="2"/>
      <c r="CGM206" s="2"/>
      <c r="CGN206" s="2"/>
      <c r="CGO206" s="2"/>
      <c r="CGP206" s="2"/>
      <c r="CGQ206" s="2"/>
      <c r="CGR206" s="2"/>
      <c r="CGS206" s="2"/>
      <c r="CGT206" s="2"/>
      <c r="CGU206" s="2"/>
      <c r="CGV206" s="2"/>
      <c r="CGW206" s="2"/>
      <c r="CGX206" s="2"/>
      <c r="CGY206" s="2"/>
      <c r="CGZ206" s="2"/>
      <c r="CHA206" s="2"/>
      <c r="CHB206" s="2"/>
      <c r="CHC206" s="2"/>
      <c r="CHD206" s="2"/>
      <c r="CHE206" s="2"/>
      <c r="CHF206" s="2"/>
      <c r="CHG206" s="2"/>
      <c r="CHH206" s="2"/>
      <c r="CHI206" s="2"/>
      <c r="CHJ206" s="2"/>
      <c r="CHK206" s="2"/>
      <c r="CHL206" s="2"/>
      <c r="CHM206" s="2"/>
      <c r="CHN206" s="2"/>
      <c r="CHO206" s="2"/>
      <c r="CHP206" s="2"/>
      <c r="CHQ206" s="2"/>
      <c r="CHR206" s="2"/>
      <c r="CHS206" s="2"/>
      <c r="CHT206" s="2"/>
      <c r="CHU206" s="2"/>
      <c r="CHV206" s="2"/>
      <c r="CHW206" s="2"/>
      <c r="CHX206" s="2"/>
      <c r="CHY206" s="2"/>
      <c r="CHZ206" s="2"/>
      <c r="CIA206" s="2"/>
      <c r="CIB206" s="2"/>
      <c r="CIC206" s="2"/>
      <c r="CID206" s="2"/>
      <c r="CIE206" s="2"/>
      <c r="CIF206" s="2"/>
      <c r="CIG206" s="2"/>
      <c r="CIH206" s="2"/>
      <c r="CII206" s="2"/>
      <c r="CIJ206" s="2"/>
      <c r="CIK206" s="2"/>
      <c r="CIL206" s="2"/>
      <c r="CIM206" s="2"/>
      <c r="CIN206" s="2"/>
      <c r="CIO206" s="2"/>
      <c r="CIP206" s="2"/>
      <c r="CIQ206" s="2"/>
      <c r="CIR206" s="2"/>
      <c r="CIS206" s="2"/>
      <c r="CIT206" s="2"/>
      <c r="CIU206" s="2"/>
      <c r="CIV206" s="2"/>
      <c r="CIW206" s="2"/>
      <c r="CIX206" s="2"/>
      <c r="CIY206" s="2"/>
      <c r="CIZ206" s="2"/>
      <c r="CJA206" s="2"/>
      <c r="CJB206" s="2"/>
      <c r="CJC206" s="2"/>
      <c r="CJD206" s="2"/>
      <c r="CJE206" s="2"/>
      <c r="CJF206" s="2"/>
      <c r="CJG206" s="2"/>
      <c r="CJH206" s="2"/>
      <c r="CJI206" s="2"/>
      <c r="CJJ206" s="2"/>
      <c r="CJK206" s="2"/>
      <c r="CJL206" s="2"/>
      <c r="CJM206" s="2"/>
      <c r="CJN206" s="2"/>
      <c r="CJO206" s="2"/>
      <c r="CJP206" s="2"/>
      <c r="CJQ206" s="2"/>
      <c r="CJR206" s="2"/>
      <c r="CJS206" s="2"/>
      <c r="CJT206" s="2"/>
      <c r="CJU206" s="2"/>
      <c r="CJV206" s="2"/>
      <c r="CJW206" s="2"/>
      <c r="CJX206" s="2"/>
      <c r="CJY206" s="2"/>
      <c r="CJZ206" s="2"/>
      <c r="CKA206" s="2"/>
      <c r="CKB206" s="2"/>
      <c r="CKC206" s="2"/>
      <c r="CKD206" s="2"/>
      <c r="CKE206" s="2"/>
      <c r="CKF206" s="2"/>
      <c r="CKG206" s="2"/>
      <c r="CKH206" s="2"/>
      <c r="CKI206" s="2"/>
      <c r="CKJ206" s="2"/>
      <c r="CKK206" s="2"/>
      <c r="CKL206" s="2"/>
      <c r="CKM206" s="2"/>
      <c r="CKN206" s="2"/>
      <c r="CKO206" s="2"/>
      <c r="CKP206" s="2"/>
      <c r="CKQ206" s="2"/>
      <c r="CKR206" s="2"/>
      <c r="CKS206" s="2"/>
      <c r="CKT206" s="2"/>
      <c r="CKU206" s="2"/>
      <c r="CKV206" s="2"/>
      <c r="CKW206" s="2"/>
      <c r="CKX206" s="2"/>
      <c r="CKY206" s="2"/>
      <c r="CKZ206" s="2"/>
      <c r="CLA206" s="2"/>
      <c r="CLB206" s="2"/>
      <c r="CLC206" s="2"/>
      <c r="CLD206" s="2"/>
      <c r="CLE206" s="2"/>
      <c r="CLF206" s="2"/>
      <c r="CLG206" s="2"/>
      <c r="CLH206" s="2"/>
      <c r="CLI206" s="2"/>
      <c r="CLJ206" s="2"/>
      <c r="CLK206" s="2"/>
      <c r="CLL206" s="2"/>
      <c r="CLM206" s="2"/>
      <c r="CLN206" s="2"/>
      <c r="CLO206" s="2"/>
      <c r="CLP206" s="2"/>
      <c r="CLQ206" s="2"/>
      <c r="CLR206" s="2"/>
      <c r="CLS206" s="2"/>
      <c r="CLT206" s="2"/>
      <c r="CLU206" s="2"/>
      <c r="CLV206" s="2"/>
      <c r="CLW206" s="2"/>
      <c r="CLX206" s="2"/>
      <c r="CLY206" s="2"/>
      <c r="CLZ206" s="2"/>
      <c r="CMA206" s="2"/>
      <c r="CMB206" s="2"/>
      <c r="CMC206" s="2"/>
      <c r="CMD206" s="2"/>
      <c r="CME206" s="2"/>
      <c r="CMF206" s="2"/>
      <c r="CMG206" s="2"/>
      <c r="CMH206" s="2"/>
      <c r="CMI206" s="2"/>
      <c r="CMJ206" s="2"/>
      <c r="CMK206" s="2"/>
      <c r="CML206" s="2"/>
      <c r="CMM206" s="2"/>
      <c r="CMN206" s="2"/>
      <c r="CMO206" s="2"/>
      <c r="CMP206" s="2"/>
      <c r="CMQ206" s="2"/>
      <c r="CMR206" s="2"/>
      <c r="CMS206" s="2"/>
      <c r="CMT206" s="2"/>
      <c r="CMU206" s="2"/>
      <c r="CMV206" s="2"/>
      <c r="CMW206" s="2"/>
      <c r="CMX206" s="2"/>
      <c r="CMY206" s="2"/>
      <c r="CMZ206" s="2"/>
      <c r="CNA206" s="2"/>
      <c r="CNB206" s="2"/>
      <c r="CNC206" s="2"/>
      <c r="CND206" s="2"/>
      <c r="CNE206" s="2"/>
      <c r="CNF206" s="2"/>
      <c r="CNG206" s="2"/>
      <c r="CNH206" s="2"/>
      <c r="CNI206" s="2"/>
      <c r="CNJ206" s="2"/>
      <c r="CNK206" s="2"/>
      <c r="CNL206" s="2"/>
      <c r="CNM206" s="2"/>
      <c r="CNN206" s="2"/>
      <c r="CNO206" s="2"/>
      <c r="CNP206" s="2"/>
      <c r="CNQ206" s="2"/>
      <c r="CNR206" s="2"/>
      <c r="CNS206" s="2"/>
      <c r="CNT206" s="2"/>
      <c r="CNU206" s="2"/>
      <c r="CNV206" s="2"/>
      <c r="CNW206" s="2"/>
      <c r="CNX206" s="2"/>
      <c r="CNY206" s="2"/>
      <c r="CNZ206" s="2"/>
      <c r="COA206" s="2"/>
      <c r="COB206" s="2"/>
      <c r="COC206" s="2"/>
      <c r="COD206" s="2"/>
      <c r="COE206" s="2"/>
      <c r="COF206" s="2"/>
      <c r="COG206" s="2"/>
      <c r="COH206" s="2"/>
      <c r="COI206" s="2"/>
      <c r="COJ206" s="2"/>
      <c r="COK206" s="2"/>
      <c r="COL206" s="2"/>
      <c r="COM206" s="2"/>
      <c r="CON206" s="2"/>
      <c r="COO206" s="2"/>
      <c r="COP206" s="2"/>
      <c r="COQ206" s="2"/>
      <c r="COR206" s="2"/>
      <c r="COS206" s="2"/>
      <c r="COT206" s="2"/>
      <c r="COU206" s="2"/>
      <c r="COV206" s="2"/>
      <c r="COW206" s="2"/>
      <c r="COX206" s="2"/>
      <c r="COY206" s="2"/>
      <c r="COZ206" s="2"/>
      <c r="CPA206" s="2"/>
      <c r="CPB206" s="2"/>
      <c r="CPC206" s="2"/>
      <c r="CPD206" s="2"/>
      <c r="CPE206" s="2"/>
      <c r="CPF206" s="2"/>
      <c r="CPG206" s="2"/>
      <c r="CPH206" s="2"/>
      <c r="CPI206" s="2"/>
      <c r="CPJ206" s="2"/>
      <c r="CPK206" s="2"/>
      <c r="CPL206" s="2"/>
      <c r="CPM206" s="2"/>
      <c r="CPN206" s="2"/>
      <c r="CPO206" s="2"/>
      <c r="CPP206" s="2"/>
      <c r="CPQ206" s="2"/>
      <c r="CPR206" s="2"/>
      <c r="CPS206" s="2"/>
      <c r="CPT206" s="2"/>
      <c r="CPU206" s="2"/>
      <c r="CPV206" s="2"/>
      <c r="CPW206" s="2"/>
      <c r="CPX206" s="2"/>
      <c r="CPY206" s="2"/>
      <c r="CPZ206" s="2"/>
      <c r="CQA206" s="2"/>
      <c r="CQB206" s="2"/>
      <c r="CQC206" s="2"/>
      <c r="CQD206" s="2"/>
      <c r="CQE206" s="2"/>
      <c r="CQF206" s="2"/>
      <c r="CQG206" s="2"/>
      <c r="CQH206" s="2"/>
      <c r="CQI206" s="2"/>
      <c r="CQJ206" s="2"/>
      <c r="CQK206" s="2"/>
      <c r="CQL206" s="2"/>
      <c r="CQM206" s="2"/>
      <c r="CQN206" s="2"/>
      <c r="CQO206" s="2"/>
      <c r="CQP206" s="2"/>
      <c r="CQQ206" s="2"/>
      <c r="CQR206" s="2"/>
      <c r="CQS206" s="2"/>
      <c r="CQT206" s="2"/>
      <c r="CQU206" s="2"/>
      <c r="CQV206" s="2"/>
      <c r="CQW206" s="2"/>
      <c r="CQX206" s="2"/>
      <c r="CQY206" s="2"/>
      <c r="CQZ206" s="2"/>
      <c r="CRA206" s="2"/>
      <c r="CRB206" s="2"/>
      <c r="CRC206" s="2"/>
      <c r="CRD206" s="2"/>
      <c r="CRE206" s="2"/>
      <c r="CRF206" s="2"/>
      <c r="CRG206" s="2"/>
      <c r="CRH206" s="2"/>
      <c r="CRI206" s="2"/>
      <c r="CRJ206" s="2"/>
      <c r="CRK206" s="2"/>
      <c r="CRL206" s="2"/>
      <c r="CRM206" s="2"/>
      <c r="CRN206" s="2"/>
      <c r="CRO206" s="2"/>
      <c r="CRP206" s="2"/>
      <c r="CRQ206" s="2"/>
      <c r="CRR206" s="2"/>
      <c r="CRS206" s="2"/>
      <c r="CRT206" s="2"/>
      <c r="CRU206" s="2"/>
      <c r="CRV206" s="2"/>
      <c r="CRW206" s="2"/>
      <c r="CRX206" s="2"/>
      <c r="CRY206" s="2"/>
      <c r="CRZ206" s="2"/>
      <c r="CSA206" s="2"/>
      <c r="CSB206" s="2"/>
      <c r="CSC206" s="2"/>
      <c r="CSD206" s="2"/>
      <c r="CSE206" s="2"/>
      <c r="CSF206" s="2"/>
      <c r="CSG206" s="2"/>
      <c r="CSH206" s="2"/>
      <c r="CSI206" s="2"/>
      <c r="CSJ206" s="2"/>
      <c r="CSK206" s="2"/>
      <c r="CSL206" s="2"/>
      <c r="CSM206" s="2"/>
      <c r="CSN206" s="2"/>
      <c r="CSO206" s="2"/>
      <c r="CSP206" s="2"/>
      <c r="CSQ206" s="2"/>
      <c r="CSR206" s="2"/>
      <c r="CSS206" s="2"/>
      <c r="CST206" s="2"/>
      <c r="CSU206" s="2"/>
      <c r="CSV206" s="2"/>
      <c r="CSW206" s="2"/>
      <c r="CSX206" s="2"/>
      <c r="CSY206" s="2"/>
      <c r="CSZ206" s="2"/>
      <c r="CTA206" s="2"/>
      <c r="CTB206" s="2"/>
      <c r="CTC206" s="2"/>
      <c r="CTD206" s="2"/>
      <c r="CTE206" s="2"/>
      <c r="CTF206" s="2"/>
      <c r="CTG206" s="2"/>
      <c r="CTH206" s="2"/>
      <c r="CTI206" s="2"/>
      <c r="CTJ206" s="2"/>
      <c r="CTK206" s="2"/>
      <c r="CTL206" s="2"/>
      <c r="CTM206" s="2"/>
      <c r="CTN206" s="2"/>
      <c r="CTO206" s="2"/>
      <c r="CTP206" s="2"/>
      <c r="CTQ206" s="2"/>
      <c r="CTR206" s="2"/>
      <c r="CTS206" s="2"/>
      <c r="CTT206" s="2"/>
      <c r="CTU206" s="2"/>
      <c r="CTV206" s="2"/>
      <c r="CTW206" s="2"/>
      <c r="CTX206" s="2"/>
      <c r="CTY206" s="2"/>
      <c r="CTZ206" s="2"/>
      <c r="CUA206" s="2"/>
      <c r="CUB206" s="2"/>
      <c r="CUC206" s="2"/>
      <c r="CUD206" s="2"/>
      <c r="CUE206" s="2"/>
      <c r="CUF206" s="2"/>
      <c r="CUG206" s="2"/>
      <c r="CUH206" s="2"/>
      <c r="CUI206" s="2"/>
      <c r="CUJ206" s="2"/>
      <c r="CUK206" s="2"/>
      <c r="CUL206" s="2"/>
      <c r="CUM206" s="2"/>
      <c r="CUN206" s="2"/>
      <c r="CUO206" s="2"/>
      <c r="CUP206" s="2"/>
      <c r="CUQ206" s="2"/>
      <c r="CUR206" s="2"/>
      <c r="CUS206" s="2"/>
      <c r="CUT206" s="2"/>
      <c r="CUU206" s="2"/>
      <c r="CUV206" s="2"/>
      <c r="CUW206" s="2"/>
      <c r="CUX206" s="2"/>
      <c r="CUY206" s="2"/>
      <c r="CUZ206" s="2"/>
      <c r="CVA206" s="2"/>
      <c r="CVB206" s="2"/>
      <c r="CVC206" s="2"/>
      <c r="CVD206" s="2"/>
      <c r="CVE206" s="2"/>
      <c r="CVF206" s="2"/>
      <c r="CVG206" s="2"/>
      <c r="CVH206" s="2"/>
      <c r="CVI206" s="2"/>
      <c r="CVJ206" s="2"/>
      <c r="CVK206" s="2"/>
      <c r="CVL206" s="2"/>
      <c r="CVM206" s="2"/>
      <c r="CVN206" s="2"/>
      <c r="CVO206" s="2"/>
      <c r="CVP206" s="2"/>
      <c r="CVQ206" s="2"/>
      <c r="CVR206" s="2"/>
      <c r="CVS206" s="2"/>
      <c r="CVT206" s="2"/>
      <c r="CVU206" s="2"/>
      <c r="CVV206" s="2"/>
      <c r="CVW206" s="2"/>
      <c r="CVX206" s="2"/>
      <c r="CVY206" s="2"/>
      <c r="CVZ206" s="2"/>
      <c r="CWA206" s="2"/>
      <c r="CWB206" s="2"/>
      <c r="CWC206" s="2"/>
      <c r="CWD206" s="2"/>
      <c r="CWE206" s="2"/>
      <c r="CWF206" s="2"/>
      <c r="CWG206" s="2"/>
      <c r="CWH206" s="2"/>
      <c r="CWI206" s="2"/>
      <c r="CWJ206" s="2"/>
      <c r="CWK206" s="2"/>
      <c r="CWL206" s="2"/>
      <c r="CWM206" s="2"/>
      <c r="CWN206" s="2"/>
      <c r="CWO206" s="2"/>
      <c r="CWP206" s="2"/>
      <c r="CWQ206" s="2"/>
      <c r="CWR206" s="2"/>
      <c r="CWS206" s="2"/>
      <c r="CWT206" s="2"/>
      <c r="CWU206" s="2"/>
      <c r="CWV206" s="2"/>
      <c r="CWW206" s="2"/>
      <c r="CWX206" s="2"/>
      <c r="CWY206" s="2"/>
      <c r="CWZ206" s="2"/>
      <c r="CXA206" s="2"/>
      <c r="CXB206" s="2"/>
      <c r="CXC206" s="2"/>
      <c r="CXD206" s="2"/>
      <c r="CXE206" s="2"/>
      <c r="CXF206" s="2"/>
      <c r="CXG206" s="2"/>
      <c r="CXH206" s="2"/>
      <c r="CXI206" s="2"/>
      <c r="CXJ206" s="2"/>
      <c r="CXK206" s="2"/>
      <c r="CXL206" s="2"/>
      <c r="CXM206" s="2"/>
      <c r="CXN206" s="2"/>
      <c r="CXO206" s="2"/>
      <c r="CXP206" s="2"/>
      <c r="CXQ206" s="2"/>
      <c r="CXR206" s="2"/>
      <c r="CXS206" s="2"/>
      <c r="CXT206" s="2"/>
      <c r="CXU206" s="2"/>
      <c r="CXV206" s="2"/>
      <c r="CXW206" s="2"/>
      <c r="CXX206" s="2"/>
      <c r="CXY206" s="2"/>
      <c r="CXZ206" s="2"/>
      <c r="CYA206" s="2"/>
      <c r="CYB206" s="2"/>
      <c r="CYC206" s="2"/>
      <c r="CYD206" s="2"/>
      <c r="CYE206" s="2"/>
      <c r="CYF206" s="2"/>
      <c r="CYG206" s="2"/>
      <c r="CYH206" s="2"/>
      <c r="CYI206" s="2"/>
      <c r="CYJ206" s="2"/>
      <c r="CYK206" s="2"/>
      <c r="CYL206" s="2"/>
      <c r="CYM206" s="2"/>
      <c r="CYN206" s="2"/>
      <c r="CYO206" s="2"/>
      <c r="CYP206" s="2"/>
      <c r="CYQ206" s="2"/>
      <c r="CYR206" s="2"/>
      <c r="CYS206" s="2"/>
      <c r="CYT206" s="2"/>
      <c r="CYU206" s="2"/>
      <c r="CYV206" s="2"/>
      <c r="CYW206" s="2"/>
      <c r="CYX206" s="2"/>
      <c r="CYY206" s="2"/>
      <c r="CYZ206" s="2"/>
      <c r="CZA206" s="2"/>
      <c r="CZB206" s="2"/>
      <c r="CZC206" s="2"/>
      <c r="CZD206" s="2"/>
      <c r="CZE206" s="2"/>
      <c r="CZF206" s="2"/>
      <c r="CZG206" s="2"/>
      <c r="CZH206" s="2"/>
      <c r="CZI206" s="2"/>
      <c r="CZJ206" s="2"/>
      <c r="CZK206" s="2"/>
      <c r="CZL206" s="2"/>
      <c r="CZM206" s="2"/>
      <c r="CZN206" s="2"/>
      <c r="CZO206" s="2"/>
      <c r="CZP206" s="2"/>
      <c r="CZQ206" s="2"/>
      <c r="CZR206" s="2"/>
      <c r="CZS206" s="2"/>
      <c r="CZT206" s="2"/>
      <c r="CZU206" s="2"/>
      <c r="CZV206" s="2"/>
      <c r="CZW206" s="2"/>
      <c r="CZX206" s="2"/>
      <c r="CZY206" s="2"/>
      <c r="CZZ206" s="2"/>
      <c r="DAA206" s="2"/>
      <c r="DAB206" s="2"/>
      <c r="DAC206" s="2"/>
      <c r="DAD206" s="2"/>
      <c r="DAE206" s="2"/>
      <c r="DAF206" s="2"/>
      <c r="DAG206" s="2"/>
      <c r="DAH206" s="2"/>
      <c r="DAI206" s="2"/>
      <c r="DAJ206" s="2"/>
      <c r="DAK206" s="2"/>
      <c r="DAL206" s="2"/>
      <c r="DAM206" s="2"/>
      <c r="DAN206" s="2"/>
      <c r="DAO206" s="2"/>
      <c r="DAP206" s="2"/>
      <c r="DAQ206" s="2"/>
      <c r="DAR206" s="2"/>
      <c r="DAS206" s="2"/>
      <c r="DAT206" s="2"/>
      <c r="DAU206" s="2"/>
      <c r="DAV206" s="2"/>
      <c r="DAW206" s="2"/>
      <c r="DAX206" s="2"/>
      <c r="DAY206" s="2"/>
      <c r="DAZ206" s="2"/>
      <c r="DBA206" s="2"/>
      <c r="DBB206" s="2"/>
      <c r="DBC206" s="2"/>
      <c r="DBD206" s="2"/>
      <c r="DBE206" s="2"/>
      <c r="DBF206" s="2"/>
      <c r="DBG206" s="2"/>
      <c r="DBH206" s="2"/>
      <c r="DBI206" s="2"/>
      <c r="DBJ206" s="2"/>
      <c r="DBK206" s="2"/>
      <c r="DBL206" s="2"/>
      <c r="DBM206" s="2"/>
      <c r="DBN206" s="2"/>
      <c r="DBO206" s="2"/>
      <c r="DBP206" s="2"/>
      <c r="DBQ206" s="2"/>
      <c r="DBR206" s="2"/>
      <c r="DBS206" s="2"/>
      <c r="DBT206" s="2"/>
      <c r="DBU206" s="2"/>
      <c r="DBV206" s="2"/>
      <c r="DBW206" s="2"/>
      <c r="DBX206" s="2"/>
      <c r="DBY206" s="2"/>
      <c r="DBZ206" s="2"/>
      <c r="DCA206" s="2"/>
      <c r="DCB206" s="2"/>
      <c r="DCC206" s="2"/>
      <c r="DCD206" s="2"/>
      <c r="DCE206" s="2"/>
      <c r="DCF206" s="2"/>
      <c r="DCG206" s="2"/>
      <c r="DCH206" s="2"/>
      <c r="DCI206" s="2"/>
      <c r="DCJ206" s="2"/>
      <c r="DCK206" s="2"/>
      <c r="DCL206" s="2"/>
      <c r="DCM206" s="2"/>
      <c r="DCN206" s="2"/>
      <c r="DCO206" s="2"/>
      <c r="DCP206" s="2"/>
      <c r="DCQ206" s="2"/>
      <c r="DCR206" s="2"/>
      <c r="DCS206" s="2"/>
      <c r="DCT206" s="2"/>
      <c r="DCU206" s="2"/>
      <c r="DCV206" s="2"/>
      <c r="DCW206" s="2"/>
      <c r="DCX206" s="2"/>
      <c r="DCY206" s="2"/>
      <c r="DCZ206" s="2"/>
      <c r="DDA206" s="2"/>
      <c r="DDB206" s="2"/>
      <c r="DDC206" s="2"/>
      <c r="DDD206" s="2"/>
      <c r="DDE206" s="2"/>
      <c r="DDF206" s="2"/>
      <c r="DDG206" s="2"/>
      <c r="DDH206" s="2"/>
      <c r="DDI206" s="2"/>
      <c r="DDJ206" s="2"/>
      <c r="DDK206" s="2"/>
      <c r="DDL206" s="2"/>
      <c r="DDM206" s="2"/>
      <c r="DDN206" s="2"/>
      <c r="DDO206" s="2"/>
      <c r="DDP206" s="2"/>
      <c r="DDQ206" s="2"/>
      <c r="DDR206" s="2"/>
      <c r="DDS206" s="2"/>
      <c r="DDT206" s="2"/>
      <c r="DDU206" s="2"/>
      <c r="DDV206" s="2"/>
      <c r="DDW206" s="2"/>
      <c r="DDX206" s="2"/>
      <c r="DDY206" s="2"/>
      <c r="DDZ206" s="2"/>
      <c r="DEA206" s="2"/>
      <c r="DEB206" s="2"/>
      <c r="DEC206" s="2"/>
      <c r="DED206" s="2"/>
      <c r="DEE206" s="2"/>
      <c r="DEF206" s="2"/>
      <c r="DEG206" s="2"/>
      <c r="DEH206" s="2"/>
      <c r="DEI206" s="2"/>
      <c r="DEJ206" s="2"/>
      <c r="DEK206" s="2"/>
      <c r="DEL206" s="2"/>
      <c r="DEM206" s="2"/>
      <c r="DEN206" s="2"/>
      <c r="DEO206" s="2"/>
      <c r="DEP206" s="2"/>
      <c r="DEQ206" s="2"/>
      <c r="DER206" s="2"/>
      <c r="DES206" s="2"/>
      <c r="DET206" s="2"/>
      <c r="DEU206" s="2"/>
      <c r="DEV206" s="2"/>
      <c r="DEW206" s="2"/>
      <c r="DEX206" s="2"/>
      <c r="DEY206" s="2"/>
      <c r="DEZ206" s="2"/>
      <c r="DFA206" s="2"/>
      <c r="DFB206" s="2"/>
      <c r="DFC206" s="2"/>
      <c r="DFD206" s="2"/>
      <c r="DFE206" s="2"/>
      <c r="DFF206" s="2"/>
      <c r="DFG206" s="2"/>
      <c r="DFH206" s="2"/>
      <c r="DFI206" s="2"/>
      <c r="DFJ206" s="2"/>
      <c r="DFK206" s="2"/>
      <c r="DFL206" s="2"/>
      <c r="DFM206" s="2"/>
      <c r="DFN206" s="2"/>
      <c r="DFO206" s="2"/>
      <c r="DFP206" s="2"/>
      <c r="DFQ206" s="2"/>
      <c r="DFR206" s="2"/>
      <c r="DFS206" s="2"/>
      <c r="DFT206" s="2"/>
      <c r="DFU206" s="2"/>
      <c r="DFV206" s="2"/>
      <c r="DFW206" s="2"/>
      <c r="DFX206" s="2"/>
      <c r="DFY206" s="2"/>
      <c r="DFZ206" s="2"/>
      <c r="DGA206" s="2"/>
      <c r="DGB206" s="2"/>
      <c r="DGC206" s="2"/>
      <c r="DGD206" s="2"/>
      <c r="DGE206" s="2"/>
      <c r="DGF206" s="2"/>
      <c r="DGG206" s="2"/>
      <c r="DGH206" s="2"/>
      <c r="DGI206" s="2"/>
      <c r="DGJ206" s="2"/>
      <c r="DGK206" s="2"/>
      <c r="DGL206" s="2"/>
      <c r="DGM206" s="2"/>
      <c r="DGN206" s="2"/>
      <c r="DGO206" s="2"/>
      <c r="DGP206" s="2"/>
      <c r="DGQ206" s="2"/>
      <c r="DGR206" s="2"/>
      <c r="DGS206" s="2"/>
      <c r="DGT206" s="2"/>
      <c r="DGU206" s="2"/>
      <c r="DGV206" s="2"/>
      <c r="DGW206" s="2"/>
      <c r="DGX206" s="2"/>
      <c r="DGY206" s="2"/>
      <c r="DGZ206" s="2"/>
      <c r="DHA206" s="2"/>
      <c r="DHB206" s="2"/>
      <c r="DHC206" s="2"/>
      <c r="DHD206" s="2"/>
      <c r="DHE206" s="2"/>
      <c r="DHF206" s="2"/>
      <c r="DHG206" s="2"/>
      <c r="DHH206" s="2"/>
      <c r="DHI206" s="2"/>
      <c r="DHJ206" s="2"/>
      <c r="DHK206" s="2"/>
      <c r="DHL206" s="2"/>
      <c r="DHM206" s="2"/>
      <c r="DHN206" s="2"/>
      <c r="DHO206" s="2"/>
      <c r="DHP206" s="2"/>
      <c r="DHQ206" s="2"/>
      <c r="DHR206" s="2"/>
      <c r="DHS206" s="2"/>
      <c r="DHT206" s="2"/>
      <c r="DHU206" s="2"/>
      <c r="DHV206" s="2"/>
      <c r="DHW206" s="2"/>
      <c r="DHX206" s="2"/>
      <c r="DHY206" s="2"/>
      <c r="DHZ206" s="2"/>
      <c r="DIA206" s="2"/>
      <c r="DIB206" s="2"/>
      <c r="DIC206" s="2"/>
      <c r="DID206" s="2"/>
      <c r="DIE206" s="2"/>
      <c r="DIF206" s="2"/>
      <c r="DIG206" s="2"/>
      <c r="DIH206" s="2"/>
      <c r="DII206" s="2"/>
      <c r="DIJ206" s="2"/>
      <c r="DIK206" s="2"/>
      <c r="DIL206" s="2"/>
      <c r="DIM206" s="2"/>
      <c r="DIN206" s="2"/>
      <c r="DIO206" s="2"/>
      <c r="DIP206" s="2"/>
      <c r="DIQ206" s="2"/>
      <c r="DIR206" s="2"/>
      <c r="DIS206" s="2"/>
      <c r="DIT206" s="2"/>
      <c r="DIU206" s="2"/>
      <c r="DIV206" s="2"/>
      <c r="DIW206" s="2"/>
      <c r="DIX206" s="2"/>
      <c r="DIY206" s="2"/>
      <c r="DIZ206" s="2"/>
      <c r="DJA206" s="2"/>
      <c r="DJB206" s="2"/>
      <c r="DJC206" s="2"/>
      <c r="DJD206" s="2"/>
      <c r="DJE206" s="2"/>
      <c r="DJF206" s="2"/>
      <c r="DJG206" s="2"/>
      <c r="DJH206" s="2"/>
      <c r="DJI206" s="2"/>
      <c r="DJJ206" s="2"/>
      <c r="DJK206" s="2"/>
      <c r="DJL206" s="2"/>
      <c r="DJM206" s="2"/>
      <c r="DJN206" s="2"/>
      <c r="DJO206" s="2"/>
      <c r="DJP206" s="2"/>
      <c r="DJQ206" s="2"/>
      <c r="DJR206" s="2"/>
      <c r="DJS206" s="2"/>
      <c r="DJT206" s="2"/>
      <c r="DJU206" s="2"/>
      <c r="DJV206" s="2"/>
      <c r="DJW206" s="2"/>
      <c r="DJX206" s="2"/>
      <c r="DJY206" s="2"/>
      <c r="DJZ206" s="2"/>
      <c r="DKA206" s="2"/>
      <c r="DKB206" s="2"/>
      <c r="DKC206" s="2"/>
      <c r="DKD206" s="2"/>
      <c r="DKE206" s="2"/>
      <c r="DKF206" s="2"/>
      <c r="DKG206" s="2"/>
      <c r="DKH206" s="2"/>
      <c r="DKI206" s="2"/>
      <c r="DKJ206" s="2"/>
      <c r="DKK206" s="2"/>
      <c r="DKL206" s="2"/>
      <c r="DKM206" s="2"/>
      <c r="DKN206" s="2"/>
      <c r="DKO206" s="2"/>
      <c r="DKP206" s="2"/>
      <c r="DKQ206" s="2"/>
      <c r="DKR206" s="2"/>
      <c r="DKS206" s="2"/>
      <c r="DKT206" s="2"/>
      <c r="DKU206" s="2"/>
      <c r="DKV206" s="2"/>
      <c r="DKW206" s="2"/>
      <c r="DKX206" s="2"/>
      <c r="DKY206" s="2"/>
      <c r="DKZ206" s="2"/>
      <c r="DLA206" s="2"/>
      <c r="DLB206" s="2"/>
      <c r="DLC206" s="2"/>
      <c r="DLD206" s="2"/>
      <c r="DLE206" s="2"/>
      <c r="DLF206" s="2"/>
      <c r="DLG206" s="2"/>
      <c r="DLH206" s="2"/>
      <c r="DLI206" s="2"/>
      <c r="DLJ206" s="2"/>
      <c r="DLK206" s="2"/>
      <c r="DLL206" s="2"/>
      <c r="DLM206" s="2"/>
      <c r="DLN206" s="2"/>
      <c r="DLO206" s="2"/>
      <c r="DLP206" s="2"/>
      <c r="DLQ206" s="2"/>
      <c r="DLR206" s="2"/>
      <c r="DLS206" s="2"/>
      <c r="DLT206" s="2"/>
      <c r="DLU206" s="2"/>
      <c r="DLV206" s="2"/>
      <c r="DLW206" s="2"/>
      <c r="DLX206" s="2"/>
      <c r="DLY206" s="2"/>
      <c r="DLZ206" s="2"/>
      <c r="DMA206" s="2"/>
      <c r="DMB206" s="2"/>
      <c r="DMC206" s="2"/>
      <c r="DMD206" s="2"/>
      <c r="DME206" s="2"/>
      <c r="DMF206" s="2"/>
      <c r="DMG206" s="2"/>
      <c r="DMH206" s="2"/>
      <c r="DMI206" s="2"/>
      <c r="DMJ206" s="2"/>
      <c r="DMK206" s="2"/>
      <c r="DML206" s="2"/>
      <c r="DMM206" s="2"/>
      <c r="DMN206" s="2"/>
      <c r="DMO206" s="2"/>
      <c r="DMP206" s="2"/>
      <c r="DMQ206" s="2"/>
      <c r="DMR206" s="2"/>
      <c r="DMS206" s="2"/>
      <c r="DMT206" s="2"/>
      <c r="DMU206" s="2"/>
      <c r="DMV206" s="2"/>
      <c r="DMW206" s="2"/>
      <c r="DMX206" s="2"/>
      <c r="DMY206" s="2"/>
      <c r="DMZ206" s="2"/>
      <c r="DNA206" s="2"/>
      <c r="DNB206" s="2"/>
      <c r="DNC206" s="2"/>
      <c r="DND206" s="2"/>
      <c r="DNE206" s="2"/>
      <c r="DNF206" s="2"/>
      <c r="DNG206" s="2"/>
      <c r="DNH206" s="2"/>
      <c r="DNI206" s="2"/>
      <c r="DNJ206" s="2"/>
      <c r="DNK206" s="2"/>
      <c r="DNL206" s="2"/>
      <c r="DNM206" s="2"/>
      <c r="DNN206" s="2"/>
      <c r="DNO206" s="2"/>
      <c r="DNP206" s="2"/>
      <c r="DNQ206" s="2"/>
      <c r="DNR206" s="2"/>
      <c r="DNS206" s="2"/>
      <c r="DNT206" s="2"/>
      <c r="DNU206" s="2"/>
      <c r="DNV206" s="2"/>
      <c r="DNW206" s="2"/>
      <c r="DNX206" s="2"/>
      <c r="DNY206" s="2"/>
      <c r="DNZ206" s="2"/>
      <c r="DOA206" s="2"/>
      <c r="DOB206" s="2"/>
      <c r="DOC206" s="2"/>
      <c r="DOD206" s="2"/>
      <c r="DOE206" s="2"/>
      <c r="DOF206" s="2"/>
      <c r="DOG206" s="2"/>
      <c r="DOH206" s="2"/>
      <c r="DOI206" s="2"/>
      <c r="DOJ206" s="2"/>
      <c r="DOK206" s="2"/>
      <c r="DOL206" s="2"/>
      <c r="DOM206" s="2"/>
      <c r="DON206" s="2"/>
      <c r="DOO206" s="2"/>
      <c r="DOP206" s="2"/>
      <c r="DOQ206" s="2"/>
      <c r="DOR206" s="2"/>
      <c r="DOS206" s="2"/>
      <c r="DOT206" s="2"/>
      <c r="DOU206" s="2"/>
      <c r="DOV206" s="2"/>
      <c r="DOW206" s="2"/>
      <c r="DOX206" s="2"/>
      <c r="DOY206" s="2"/>
      <c r="DOZ206" s="2"/>
      <c r="DPA206" s="2"/>
      <c r="DPB206" s="2"/>
      <c r="DPC206" s="2"/>
      <c r="DPD206" s="2"/>
      <c r="DPE206" s="2"/>
      <c r="DPF206" s="2"/>
      <c r="DPG206" s="2"/>
      <c r="DPH206" s="2"/>
      <c r="DPI206" s="2"/>
      <c r="DPJ206" s="2"/>
      <c r="DPK206" s="2"/>
      <c r="DPL206" s="2"/>
      <c r="DPM206" s="2"/>
      <c r="DPN206" s="2"/>
      <c r="DPO206" s="2"/>
      <c r="DPP206" s="2"/>
      <c r="DPQ206" s="2"/>
      <c r="DPR206" s="2"/>
      <c r="DPS206" s="2"/>
      <c r="DPT206" s="2"/>
      <c r="DPU206" s="2"/>
      <c r="DPV206" s="2"/>
      <c r="DPW206" s="2"/>
      <c r="DPX206" s="2"/>
      <c r="DPY206" s="2"/>
      <c r="DPZ206" s="2"/>
      <c r="DQA206" s="2"/>
      <c r="DQB206" s="2"/>
      <c r="DQC206" s="2"/>
      <c r="DQD206" s="2"/>
      <c r="DQE206" s="2"/>
      <c r="DQF206" s="2"/>
      <c r="DQG206" s="2"/>
      <c r="DQH206" s="2"/>
      <c r="DQI206" s="2"/>
      <c r="DQJ206" s="2"/>
      <c r="DQK206" s="2"/>
      <c r="DQL206" s="2"/>
      <c r="DQM206" s="2"/>
      <c r="DQN206" s="2"/>
      <c r="DQO206" s="2"/>
      <c r="DQP206" s="2"/>
      <c r="DQQ206" s="2"/>
      <c r="DQR206" s="2"/>
      <c r="DQS206" s="2"/>
      <c r="DQT206" s="2"/>
      <c r="DQU206" s="2"/>
      <c r="DQV206" s="2"/>
      <c r="DQW206" s="2"/>
      <c r="DQX206" s="2"/>
      <c r="DQY206" s="2"/>
      <c r="DQZ206" s="2"/>
      <c r="DRA206" s="2"/>
      <c r="DRB206" s="2"/>
      <c r="DRC206" s="2"/>
      <c r="DRD206" s="2"/>
      <c r="DRE206" s="2"/>
      <c r="DRF206" s="2"/>
      <c r="DRG206" s="2"/>
      <c r="DRH206" s="2"/>
      <c r="DRI206" s="2"/>
      <c r="DRJ206" s="2"/>
      <c r="DRK206" s="2"/>
      <c r="DRL206" s="2"/>
      <c r="DRM206" s="2"/>
      <c r="DRN206" s="2"/>
      <c r="DRO206" s="2"/>
      <c r="DRP206" s="2"/>
      <c r="DRQ206" s="2"/>
      <c r="DRR206" s="2"/>
      <c r="DRS206" s="2"/>
      <c r="DRT206" s="2"/>
      <c r="DRU206" s="2"/>
      <c r="DRV206" s="2"/>
      <c r="DRW206" s="2"/>
      <c r="DRX206" s="2"/>
      <c r="DRY206" s="2"/>
      <c r="DRZ206" s="2"/>
      <c r="DSA206" s="2"/>
      <c r="DSB206" s="2"/>
      <c r="DSC206" s="2"/>
      <c r="DSD206" s="2"/>
      <c r="DSE206" s="2"/>
      <c r="DSF206" s="2"/>
      <c r="DSG206" s="2"/>
      <c r="DSH206" s="2"/>
      <c r="DSI206" s="2"/>
      <c r="DSJ206" s="2"/>
      <c r="DSK206" s="2"/>
      <c r="DSL206" s="2"/>
      <c r="DSM206" s="2"/>
      <c r="DSN206" s="2"/>
      <c r="DSO206" s="2"/>
      <c r="DSP206" s="2"/>
      <c r="DSQ206" s="2"/>
      <c r="DSR206" s="2"/>
      <c r="DSS206" s="2"/>
      <c r="DST206" s="2"/>
      <c r="DSU206" s="2"/>
      <c r="DSV206" s="2"/>
      <c r="DSW206" s="2"/>
      <c r="DSX206" s="2"/>
      <c r="DSY206" s="2"/>
      <c r="DSZ206" s="2"/>
      <c r="DTA206" s="2"/>
      <c r="DTB206" s="2"/>
      <c r="DTC206" s="2"/>
      <c r="DTD206" s="2"/>
      <c r="DTE206" s="2"/>
      <c r="DTF206" s="2"/>
      <c r="DTG206" s="2"/>
      <c r="DTH206" s="2"/>
      <c r="DTI206" s="2"/>
      <c r="DTJ206" s="2"/>
      <c r="DTK206" s="2"/>
      <c r="DTL206" s="2"/>
      <c r="DTM206" s="2"/>
      <c r="DTN206" s="2"/>
      <c r="DTO206" s="2"/>
      <c r="DTP206" s="2"/>
      <c r="DTQ206" s="2"/>
      <c r="DTR206" s="2"/>
      <c r="DTS206" s="2"/>
      <c r="DTT206" s="2"/>
      <c r="DTU206" s="2"/>
      <c r="DTV206" s="2"/>
      <c r="DTW206" s="2"/>
      <c r="DTX206" s="2"/>
      <c r="DTY206" s="2"/>
      <c r="DTZ206" s="2"/>
      <c r="DUA206" s="2"/>
      <c r="DUB206" s="2"/>
      <c r="DUC206" s="2"/>
      <c r="DUD206" s="2"/>
      <c r="DUE206" s="2"/>
      <c r="DUF206" s="2"/>
      <c r="DUG206" s="2"/>
      <c r="DUH206" s="2"/>
      <c r="DUI206" s="2"/>
      <c r="DUJ206" s="2"/>
      <c r="DUK206" s="2"/>
      <c r="DUL206" s="2"/>
      <c r="DUM206" s="2"/>
      <c r="DUN206" s="2"/>
      <c r="DUO206" s="2"/>
      <c r="DUP206" s="2"/>
      <c r="DUQ206" s="2"/>
      <c r="DUR206" s="2"/>
      <c r="DUS206" s="2"/>
      <c r="DUT206" s="2"/>
      <c r="DUU206" s="2"/>
      <c r="DUV206" s="2"/>
      <c r="DUW206" s="2"/>
      <c r="DUX206" s="2"/>
      <c r="DUY206" s="2"/>
      <c r="DUZ206" s="2"/>
      <c r="DVA206" s="2"/>
      <c r="DVB206" s="2"/>
      <c r="DVC206" s="2"/>
      <c r="DVD206" s="2"/>
      <c r="DVE206" s="2"/>
      <c r="DVF206" s="2"/>
      <c r="DVG206" s="2"/>
      <c r="DVH206" s="2"/>
      <c r="DVI206" s="2"/>
      <c r="DVJ206" s="2"/>
      <c r="DVK206" s="2"/>
      <c r="DVL206" s="2"/>
      <c r="DVM206" s="2"/>
      <c r="DVN206" s="2"/>
      <c r="DVO206" s="2"/>
      <c r="DVP206" s="2"/>
      <c r="DVQ206" s="2"/>
      <c r="DVR206" s="2"/>
      <c r="DVS206" s="2"/>
      <c r="DVT206" s="2"/>
      <c r="DVU206" s="2"/>
      <c r="DVV206" s="2"/>
      <c r="DVW206" s="2"/>
      <c r="DVX206" s="2"/>
      <c r="DVY206" s="2"/>
      <c r="DVZ206" s="2"/>
      <c r="DWA206" s="2"/>
      <c r="DWB206" s="2"/>
      <c r="DWC206" s="2"/>
      <c r="DWD206" s="2"/>
      <c r="DWE206" s="2"/>
      <c r="DWF206" s="2"/>
      <c r="DWG206" s="2"/>
      <c r="DWH206" s="2"/>
      <c r="DWI206" s="2"/>
      <c r="DWJ206" s="2"/>
      <c r="DWK206" s="2"/>
      <c r="DWL206" s="2"/>
      <c r="DWM206" s="2"/>
      <c r="DWN206" s="2"/>
      <c r="DWO206" s="2"/>
      <c r="DWP206" s="2"/>
      <c r="DWQ206" s="2"/>
      <c r="DWR206" s="2"/>
      <c r="DWS206" s="2"/>
      <c r="DWT206" s="2"/>
      <c r="DWU206" s="2"/>
      <c r="DWV206" s="2"/>
      <c r="DWW206" s="2"/>
      <c r="DWX206" s="2"/>
      <c r="DWY206" s="2"/>
      <c r="DWZ206" s="2"/>
      <c r="DXA206" s="2"/>
      <c r="DXB206" s="2"/>
      <c r="DXC206" s="2"/>
      <c r="DXD206" s="2"/>
      <c r="DXE206" s="2"/>
      <c r="DXF206" s="2"/>
      <c r="DXG206" s="2"/>
      <c r="DXH206" s="2"/>
      <c r="DXI206" s="2"/>
      <c r="DXJ206" s="2"/>
      <c r="DXK206" s="2"/>
      <c r="DXL206" s="2"/>
      <c r="DXM206" s="2"/>
      <c r="DXN206" s="2"/>
      <c r="DXO206" s="2"/>
      <c r="DXP206" s="2"/>
      <c r="DXQ206" s="2"/>
      <c r="DXR206" s="2"/>
      <c r="DXS206" s="2"/>
      <c r="DXT206" s="2"/>
      <c r="DXU206" s="2"/>
      <c r="DXV206" s="2"/>
      <c r="DXW206" s="2"/>
      <c r="DXX206" s="2"/>
      <c r="DXY206" s="2"/>
      <c r="DXZ206" s="2"/>
      <c r="DYA206" s="2"/>
      <c r="DYB206" s="2"/>
      <c r="DYC206" s="2"/>
      <c r="DYD206" s="2"/>
      <c r="DYE206" s="2"/>
      <c r="DYF206" s="2"/>
      <c r="DYG206" s="2"/>
      <c r="DYH206" s="2"/>
      <c r="DYI206" s="2"/>
      <c r="DYJ206" s="2"/>
      <c r="DYK206" s="2"/>
      <c r="DYL206" s="2"/>
      <c r="DYM206" s="2"/>
      <c r="DYN206" s="2"/>
      <c r="DYO206" s="2"/>
      <c r="DYP206" s="2"/>
      <c r="DYQ206" s="2"/>
      <c r="DYR206" s="2"/>
      <c r="DYS206" s="2"/>
      <c r="DYT206" s="2"/>
      <c r="DYU206" s="2"/>
      <c r="DYV206" s="2"/>
      <c r="DYW206" s="2"/>
      <c r="DYX206" s="2"/>
      <c r="DYY206" s="2"/>
      <c r="DYZ206" s="2"/>
      <c r="DZA206" s="2"/>
      <c r="DZB206" s="2"/>
      <c r="DZC206" s="2"/>
      <c r="DZD206" s="2"/>
      <c r="DZE206" s="2"/>
      <c r="DZF206" s="2"/>
      <c r="DZG206" s="2"/>
      <c r="DZH206" s="2"/>
      <c r="DZI206" s="2"/>
      <c r="DZJ206" s="2"/>
      <c r="DZK206" s="2"/>
      <c r="DZL206" s="2"/>
      <c r="DZM206" s="2"/>
      <c r="DZN206" s="2"/>
      <c r="DZO206" s="2"/>
      <c r="DZP206" s="2"/>
      <c r="DZQ206" s="2"/>
      <c r="DZR206" s="2"/>
      <c r="DZS206" s="2"/>
      <c r="DZT206" s="2"/>
      <c r="DZU206" s="2"/>
      <c r="DZV206" s="2"/>
      <c r="DZW206" s="2"/>
      <c r="DZX206" s="2"/>
      <c r="DZY206" s="2"/>
      <c r="DZZ206" s="2"/>
      <c r="EAA206" s="2"/>
      <c r="EAB206" s="2"/>
      <c r="EAC206" s="2"/>
      <c r="EAD206" s="2"/>
      <c r="EAE206" s="2"/>
      <c r="EAF206" s="2"/>
      <c r="EAG206" s="2"/>
      <c r="EAH206" s="2"/>
      <c r="EAI206" s="2"/>
      <c r="EAJ206" s="2"/>
      <c r="EAK206" s="2"/>
      <c r="EAL206" s="2"/>
      <c r="EAM206" s="2"/>
      <c r="EAN206" s="2"/>
      <c r="EAO206" s="2"/>
      <c r="EAP206" s="2"/>
      <c r="EAQ206" s="2"/>
      <c r="EAR206" s="2"/>
      <c r="EAS206" s="2"/>
      <c r="EAT206" s="2"/>
      <c r="EAU206" s="2"/>
      <c r="EAV206" s="2"/>
      <c r="EAW206" s="2"/>
      <c r="EAX206" s="2"/>
      <c r="EAY206" s="2"/>
      <c r="EAZ206" s="2"/>
      <c r="EBA206" s="2"/>
      <c r="EBB206" s="2"/>
      <c r="EBC206" s="2"/>
      <c r="EBD206" s="2"/>
      <c r="EBE206" s="2"/>
      <c r="EBF206" s="2"/>
      <c r="EBG206" s="2"/>
      <c r="EBH206" s="2"/>
      <c r="EBI206" s="2"/>
      <c r="EBJ206" s="2"/>
      <c r="EBK206" s="2"/>
      <c r="EBL206" s="2"/>
      <c r="EBM206" s="2"/>
      <c r="EBN206" s="2"/>
      <c r="EBO206" s="2"/>
      <c r="EBP206" s="2"/>
      <c r="EBQ206" s="2"/>
      <c r="EBR206" s="2"/>
      <c r="EBS206" s="2"/>
      <c r="EBT206" s="2"/>
      <c r="EBU206" s="2"/>
      <c r="EBV206" s="2"/>
      <c r="EBW206" s="2"/>
      <c r="EBX206" s="2"/>
      <c r="EBY206" s="2"/>
      <c r="EBZ206" s="2"/>
      <c r="ECA206" s="2"/>
      <c r="ECB206" s="2"/>
      <c r="ECC206" s="2"/>
      <c r="ECD206" s="2"/>
      <c r="ECE206" s="2"/>
      <c r="ECF206" s="2"/>
      <c r="ECG206" s="2"/>
      <c r="ECH206" s="2"/>
      <c r="ECI206" s="2"/>
      <c r="ECJ206" s="2"/>
      <c r="ECK206" s="2"/>
      <c r="ECL206" s="2"/>
      <c r="ECM206" s="2"/>
      <c r="ECN206" s="2"/>
      <c r="ECO206" s="2"/>
      <c r="ECP206" s="2"/>
      <c r="ECQ206" s="2"/>
      <c r="ECR206" s="2"/>
      <c r="ECS206" s="2"/>
      <c r="ECT206" s="2"/>
      <c r="ECU206" s="2"/>
      <c r="ECV206" s="2"/>
      <c r="ECW206" s="2"/>
      <c r="ECX206" s="2"/>
      <c r="ECY206" s="2"/>
      <c r="ECZ206" s="2"/>
      <c r="EDA206" s="2"/>
      <c r="EDB206" s="2"/>
      <c r="EDC206" s="2"/>
      <c r="EDD206" s="2"/>
      <c r="EDE206" s="2"/>
      <c r="EDF206" s="2"/>
      <c r="EDG206" s="2"/>
      <c r="EDH206" s="2"/>
      <c r="EDI206" s="2"/>
      <c r="EDJ206" s="2"/>
      <c r="EDK206" s="2"/>
      <c r="EDL206" s="2"/>
      <c r="EDM206" s="2"/>
      <c r="EDN206" s="2"/>
      <c r="EDO206" s="2"/>
      <c r="EDP206" s="2"/>
      <c r="EDQ206" s="2"/>
      <c r="EDR206" s="2"/>
      <c r="EDS206" s="2"/>
      <c r="EDT206" s="2"/>
      <c r="EDU206" s="2"/>
      <c r="EDV206" s="2"/>
      <c r="EDW206" s="2"/>
      <c r="EDX206" s="2"/>
      <c r="EDY206" s="2"/>
      <c r="EDZ206" s="2"/>
      <c r="EEA206" s="2"/>
      <c r="EEB206" s="2"/>
      <c r="EEC206" s="2"/>
      <c r="EED206" s="2"/>
      <c r="EEE206" s="2"/>
      <c r="EEF206" s="2"/>
      <c r="EEG206" s="2"/>
      <c r="EEH206" s="2"/>
      <c r="EEI206" s="2"/>
      <c r="EEJ206" s="2"/>
      <c r="EEK206" s="2"/>
      <c r="EEL206" s="2"/>
      <c r="EEM206" s="2"/>
      <c r="EEN206" s="2"/>
      <c r="EEO206" s="2"/>
      <c r="EEP206" s="2"/>
      <c r="EEQ206" s="2"/>
      <c r="EER206" s="2"/>
      <c r="EES206" s="2"/>
      <c r="EET206" s="2"/>
      <c r="EEU206" s="2"/>
      <c r="EEV206" s="2"/>
      <c r="EEW206" s="2"/>
      <c r="EEX206" s="2"/>
      <c r="EEY206" s="2"/>
      <c r="EEZ206" s="2"/>
      <c r="EFA206" s="2"/>
      <c r="EFB206" s="2"/>
      <c r="EFC206" s="2"/>
      <c r="EFD206" s="2"/>
      <c r="EFE206" s="2"/>
      <c r="EFF206" s="2"/>
      <c r="EFG206" s="2"/>
      <c r="EFH206" s="2"/>
      <c r="EFI206" s="2"/>
      <c r="EFJ206" s="2"/>
      <c r="EFK206" s="2"/>
      <c r="EFL206" s="2"/>
      <c r="EFM206" s="2"/>
      <c r="EFN206" s="2"/>
      <c r="EFO206" s="2"/>
      <c r="EFP206" s="2"/>
      <c r="EFQ206" s="2"/>
      <c r="EFR206" s="2"/>
      <c r="EFS206" s="2"/>
      <c r="EFT206" s="2"/>
      <c r="EFU206" s="2"/>
      <c r="EFV206" s="2"/>
      <c r="EFW206" s="2"/>
      <c r="EFX206" s="2"/>
      <c r="EFY206" s="2"/>
      <c r="EFZ206" s="2"/>
      <c r="EGA206" s="2"/>
      <c r="EGB206" s="2"/>
      <c r="EGC206" s="2"/>
      <c r="EGD206" s="2"/>
      <c r="EGE206" s="2"/>
      <c r="EGF206" s="2"/>
      <c r="EGG206" s="2"/>
      <c r="EGH206" s="2"/>
      <c r="EGI206" s="2"/>
      <c r="EGJ206" s="2"/>
      <c r="EGK206" s="2"/>
      <c r="EGL206" s="2"/>
      <c r="EGM206" s="2"/>
      <c r="EGN206" s="2"/>
      <c r="EGO206" s="2"/>
      <c r="EGP206" s="2"/>
      <c r="EGQ206" s="2"/>
      <c r="EGR206" s="2"/>
      <c r="EGS206" s="2"/>
      <c r="EGT206" s="2"/>
      <c r="EGU206" s="2"/>
      <c r="EGV206" s="2"/>
      <c r="EGW206" s="2"/>
      <c r="EGX206" s="2"/>
      <c r="EGY206" s="2"/>
      <c r="EGZ206" s="2"/>
      <c r="EHA206" s="2"/>
      <c r="EHB206" s="2"/>
      <c r="EHC206" s="2"/>
      <c r="EHD206" s="2"/>
      <c r="EHE206" s="2"/>
      <c r="EHF206" s="2"/>
      <c r="EHG206" s="2"/>
      <c r="EHH206" s="2"/>
      <c r="EHI206" s="2"/>
      <c r="EHJ206" s="2"/>
      <c r="EHK206" s="2"/>
      <c r="EHL206" s="2"/>
      <c r="EHM206" s="2"/>
      <c r="EHN206" s="2"/>
      <c r="EHO206" s="2"/>
      <c r="EHP206" s="2"/>
      <c r="EHQ206" s="2"/>
      <c r="EHR206" s="2"/>
      <c r="EHS206" s="2"/>
      <c r="EHT206" s="2"/>
      <c r="EHU206" s="2"/>
      <c r="EHV206" s="2"/>
      <c r="EHW206" s="2"/>
      <c r="EHX206" s="2"/>
      <c r="EHY206" s="2"/>
      <c r="EHZ206" s="2"/>
      <c r="EIA206" s="2"/>
      <c r="EIB206" s="2"/>
      <c r="EIC206" s="2"/>
      <c r="EID206" s="2"/>
      <c r="EIE206" s="2"/>
      <c r="EIF206" s="2"/>
      <c r="EIG206" s="2"/>
      <c r="EIH206" s="2"/>
      <c r="EII206" s="2"/>
      <c r="EIJ206" s="2"/>
      <c r="EIK206" s="2"/>
      <c r="EIL206" s="2"/>
      <c r="EIM206" s="2"/>
      <c r="EIN206" s="2"/>
      <c r="EIO206" s="2"/>
      <c r="EIP206" s="2"/>
      <c r="EIQ206" s="2"/>
      <c r="EIR206" s="2"/>
      <c r="EIS206" s="2"/>
      <c r="EIT206" s="2"/>
      <c r="EIU206" s="2"/>
      <c r="EIV206" s="2"/>
      <c r="EIW206" s="2"/>
      <c r="EIX206" s="2"/>
      <c r="EIY206" s="2"/>
      <c r="EIZ206" s="2"/>
      <c r="EJA206" s="2"/>
      <c r="EJB206" s="2"/>
      <c r="EJC206" s="2"/>
      <c r="EJD206" s="2"/>
      <c r="EJE206" s="2"/>
      <c r="EJF206" s="2"/>
      <c r="EJG206" s="2"/>
      <c r="EJH206" s="2"/>
      <c r="EJI206" s="2"/>
      <c r="EJJ206" s="2"/>
      <c r="EJK206" s="2"/>
      <c r="EJL206" s="2"/>
      <c r="EJM206" s="2"/>
      <c r="EJN206" s="2"/>
      <c r="EJO206" s="2"/>
      <c r="EJP206" s="2"/>
      <c r="EJQ206" s="2"/>
      <c r="EJR206" s="2"/>
      <c r="EJS206" s="2"/>
      <c r="EJT206" s="2"/>
      <c r="EJU206" s="2"/>
      <c r="EJV206" s="2"/>
      <c r="EJW206" s="2"/>
      <c r="EJX206" s="2"/>
      <c r="EJY206" s="2"/>
      <c r="EJZ206" s="2"/>
      <c r="EKA206" s="2"/>
      <c r="EKB206" s="2"/>
      <c r="EKC206" s="2"/>
      <c r="EKD206" s="2"/>
      <c r="EKE206" s="2"/>
      <c r="EKF206" s="2"/>
      <c r="EKG206" s="2"/>
      <c r="EKH206" s="2"/>
      <c r="EKI206" s="2"/>
      <c r="EKJ206" s="2"/>
      <c r="EKK206" s="2"/>
      <c r="EKL206" s="2"/>
      <c r="EKM206" s="2"/>
      <c r="EKN206" s="2"/>
      <c r="EKO206" s="2"/>
      <c r="EKP206" s="2"/>
      <c r="EKQ206" s="2"/>
      <c r="EKR206" s="2"/>
      <c r="EKS206" s="2"/>
      <c r="EKT206" s="2"/>
      <c r="EKU206" s="2"/>
      <c r="EKV206" s="2"/>
      <c r="EKW206" s="2"/>
      <c r="EKX206" s="2"/>
      <c r="EKY206" s="2"/>
      <c r="EKZ206" s="2"/>
      <c r="ELA206" s="2"/>
      <c r="ELB206" s="2"/>
      <c r="ELC206" s="2"/>
      <c r="ELD206" s="2"/>
      <c r="ELE206" s="2"/>
      <c r="ELF206" s="2"/>
      <c r="ELG206" s="2"/>
      <c r="ELH206" s="2"/>
      <c r="ELI206" s="2"/>
      <c r="ELJ206" s="2"/>
      <c r="ELK206" s="2"/>
      <c r="ELL206" s="2"/>
      <c r="ELM206" s="2"/>
      <c r="ELN206" s="2"/>
      <c r="ELO206" s="2"/>
      <c r="ELP206" s="2"/>
      <c r="ELQ206" s="2"/>
      <c r="ELR206" s="2"/>
      <c r="ELS206" s="2"/>
      <c r="ELT206" s="2"/>
      <c r="ELU206" s="2"/>
      <c r="ELV206" s="2"/>
      <c r="ELW206" s="2"/>
      <c r="ELX206" s="2"/>
      <c r="ELY206" s="2"/>
      <c r="ELZ206" s="2"/>
      <c r="EMA206" s="2"/>
      <c r="EMB206" s="2"/>
      <c r="EMC206" s="2"/>
      <c r="EMD206" s="2"/>
      <c r="EME206" s="2"/>
      <c r="EMF206" s="2"/>
      <c r="EMG206" s="2"/>
      <c r="EMH206" s="2"/>
      <c r="EMI206" s="2"/>
      <c r="EMJ206" s="2"/>
      <c r="EMK206" s="2"/>
      <c r="EML206" s="2"/>
      <c r="EMM206" s="2"/>
      <c r="EMN206" s="2"/>
      <c r="EMO206" s="2"/>
      <c r="EMP206" s="2"/>
      <c r="EMQ206" s="2"/>
      <c r="EMR206" s="2"/>
      <c r="EMS206" s="2"/>
      <c r="EMT206" s="2"/>
      <c r="EMU206" s="2"/>
      <c r="EMV206" s="2"/>
      <c r="EMW206" s="2"/>
      <c r="EMX206" s="2"/>
      <c r="EMY206" s="2"/>
      <c r="EMZ206" s="2"/>
      <c r="ENA206" s="2"/>
      <c r="ENB206" s="2"/>
      <c r="ENC206" s="2"/>
      <c r="END206" s="2"/>
      <c r="ENE206" s="2"/>
      <c r="ENF206" s="2"/>
      <c r="ENG206" s="2"/>
      <c r="ENH206" s="2"/>
      <c r="ENI206" s="2"/>
      <c r="ENJ206" s="2"/>
      <c r="ENK206" s="2"/>
      <c r="ENL206" s="2"/>
      <c r="ENM206" s="2"/>
      <c r="ENN206" s="2"/>
      <c r="ENO206" s="2"/>
      <c r="ENP206" s="2"/>
      <c r="ENQ206" s="2"/>
      <c r="ENR206" s="2"/>
      <c r="ENS206" s="2"/>
      <c r="ENT206" s="2"/>
      <c r="ENU206" s="2"/>
      <c r="ENV206" s="2"/>
      <c r="ENW206" s="2"/>
      <c r="ENX206" s="2"/>
      <c r="ENY206" s="2"/>
      <c r="ENZ206" s="2"/>
      <c r="EOA206" s="2"/>
      <c r="EOB206" s="2"/>
      <c r="EOC206" s="2"/>
      <c r="EOD206" s="2"/>
      <c r="EOE206" s="2"/>
      <c r="EOF206" s="2"/>
      <c r="EOG206" s="2"/>
      <c r="EOH206" s="2"/>
      <c r="EOI206" s="2"/>
      <c r="EOJ206" s="2"/>
      <c r="EOK206" s="2"/>
      <c r="EOL206" s="2"/>
      <c r="EOM206" s="2"/>
      <c r="EON206" s="2"/>
      <c r="EOO206" s="2"/>
      <c r="EOP206" s="2"/>
      <c r="EOQ206" s="2"/>
      <c r="EOR206" s="2"/>
      <c r="EOS206" s="2"/>
      <c r="EOT206" s="2"/>
      <c r="EOU206" s="2"/>
      <c r="EOV206" s="2"/>
      <c r="EOW206" s="2"/>
      <c r="EOX206" s="2"/>
      <c r="EOY206" s="2"/>
      <c r="EOZ206" s="2"/>
      <c r="EPA206" s="2"/>
      <c r="EPB206" s="2"/>
      <c r="EPC206" s="2"/>
      <c r="EPD206" s="2"/>
      <c r="EPE206" s="2"/>
      <c r="EPF206" s="2"/>
      <c r="EPG206" s="2"/>
      <c r="EPH206" s="2"/>
      <c r="EPI206" s="2"/>
      <c r="EPJ206" s="2"/>
      <c r="EPK206" s="2"/>
      <c r="EPL206" s="2"/>
      <c r="EPM206" s="2"/>
      <c r="EPN206" s="2"/>
      <c r="EPO206" s="2"/>
      <c r="EPP206" s="2"/>
      <c r="EPQ206" s="2"/>
      <c r="EPR206" s="2"/>
      <c r="EPS206" s="2"/>
      <c r="EPT206" s="2"/>
      <c r="EPU206" s="2"/>
      <c r="EPV206" s="2"/>
      <c r="EPW206" s="2"/>
      <c r="EPX206" s="2"/>
      <c r="EPY206" s="2"/>
      <c r="EPZ206" s="2"/>
      <c r="EQA206" s="2"/>
      <c r="EQB206" s="2"/>
      <c r="EQC206" s="2"/>
      <c r="EQD206" s="2"/>
      <c r="EQE206" s="2"/>
      <c r="EQF206" s="2"/>
      <c r="EQG206" s="2"/>
      <c r="EQH206" s="2"/>
      <c r="EQI206" s="2"/>
      <c r="EQJ206" s="2"/>
      <c r="EQK206" s="2"/>
      <c r="EQL206" s="2"/>
      <c r="EQM206" s="2"/>
      <c r="EQN206" s="2"/>
      <c r="EQO206" s="2"/>
      <c r="EQP206" s="2"/>
      <c r="EQQ206" s="2"/>
      <c r="EQR206" s="2"/>
      <c r="EQS206" s="2"/>
      <c r="EQT206" s="2"/>
      <c r="EQU206" s="2"/>
      <c r="EQV206" s="2"/>
      <c r="EQW206" s="2"/>
      <c r="EQX206" s="2"/>
      <c r="EQY206" s="2"/>
      <c r="EQZ206" s="2"/>
      <c r="ERA206" s="2"/>
      <c r="ERB206" s="2"/>
      <c r="ERC206" s="2"/>
      <c r="ERD206" s="2"/>
      <c r="ERE206" s="2"/>
      <c r="ERF206" s="2"/>
      <c r="ERG206" s="2"/>
      <c r="ERH206" s="2"/>
      <c r="ERI206" s="2"/>
      <c r="ERJ206" s="2"/>
      <c r="ERK206" s="2"/>
      <c r="ERL206" s="2"/>
      <c r="ERM206" s="2"/>
      <c r="ERN206" s="2"/>
      <c r="ERO206" s="2"/>
      <c r="ERP206" s="2"/>
      <c r="ERQ206" s="2"/>
      <c r="ERR206" s="2"/>
      <c r="ERS206" s="2"/>
      <c r="ERT206" s="2"/>
      <c r="ERU206" s="2"/>
      <c r="ERV206" s="2"/>
      <c r="ERW206" s="2"/>
      <c r="ERX206" s="2"/>
      <c r="ERY206" s="2"/>
      <c r="ERZ206" s="2"/>
      <c r="ESA206" s="2"/>
      <c r="ESB206" s="2"/>
      <c r="ESC206" s="2"/>
      <c r="ESD206" s="2"/>
      <c r="ESE206" s="2"/>
      <c r="ESF206" s="2"/>
      <c r="ESG206" s="2"/>
      <c r="ESH206" s="2"/>
      <c r="ESI206" s="2"/>
      <c r="ESJ206" s="2"/>
      <c r="ESK206" s="2"/>
      <c r="ESL206" s="2"/>
      <c r="ESM206" s="2"/>
      <c r="ESN206" s="2"/>
      <c r="ESO206" s="2"/>
      <c r="ESP206" s="2"/>
      <c r="ESQ206" s="2"/>
      <c r="ESR206" s="2"/>
      <c r="ESS206" s="2"/>
      <c r="EST206" s="2"/>
      <c r="ESU206" s="2"/>
      <c r="ESV206" s="2"/>
      <c r="ESW206" s="2"/>
      <c r="ESX206" s="2"/>
      <c r="ESY206" s="2"/>
      <c r="ESZ206" s="2"/>
      <c r="ETA206" s="2"/>
      <c r="ETB206" s="2"/>
      <c r="ETC206" s="2"/>
      <c r="ETD206" s="2"/>
      <c r="ETE206" s="2"/>
      <c r="ETF206" s="2"/>
      <c r="ETG206" s="2"/>
      <c r="ETH206" s="2"/>
      <c r="ETI206" s="2"/>
      <c r="ETJ206" s="2"/>
      <c r="ETK206" s="2"/>
      <c r="ETL206" s="2"/>
      <c r="ETM206" s="2"/>
      <c r="ETN206" s="2"/>
      <c r="ETO206" s="2"/>
      <c r="ETP206" s="2"/>
      <c r="ETQ206" s="2"/>
      <c r="ETR206" s="2"/>
      <c r="ETS206" s="2"/>
      <c r="ETT206" s="2"/>
      <c r="ETU206" s="2"/>
      <c r="ETV206" s="2"/>
      <c r="ETW206" s="2"/>
      <c r="ETX206" s="2"/>
      <c r="ETY206" s="2"/>
      <c r="ETZ206" s="2"/>
      <c r="EUA206" s="2"/>
      <c r="EUB206" s="2"/>
      <c r="EUC206" s="2"/>
      <c r="EUD206" s="2"/>
      <c r="EUE206" s="2"/>
      <c r="EUF206" s="2"/>
      <c r="EUG206" s="2"/>
      <c r="EUH206" s="2"/>
      <c r="EUI206" s="2"/>
      <c r="EUJ206" s="2"/>
      <c r="EUK206" s="2"/>
      <c r="EUL206" s="2"/>
      <c r="EUM206" s="2"/>
      <c r="EUN206" s="2"/>
      <c r="EUO206" s="2"/>
      <c r="EUP206" s="2"/>
      <c r="EUQ206" s="2"/>
      <c r="EUR206" s="2"/>
      <c r="EUS206" s="2"/>
      <c r="EUT206" s="2"/>
      <c r="EUU206" s="2"/>
      <c r="EUV206" s="2"/>
      <c r="EUW206" s="2"/>
      <c r="EUX206" s="2"/>
      <c r="EUY206" s="2"/>
      <c r="EUZ206" s="2"/>
      <c r="EVA206" s="2"/>
      <c r="EVB206" s="2"/>
      <c r="EVC206" s="2"/>
      <c r="EVD206" s="2"/>
      <c r="EVE206" s="2"/>
      <c r="EVF206" s="2"/>
      <c r="EVG206" s="2"/>
      <c r="EVH206" s="2"/>
      <c r="EVI206" s="2"/>
      <c r="EVJ206" s="2"/>
      <c r="EVK206" s="2"/>
      <c r="EVL206" s="2"/>
      <c r="EVM206" s="2"/>
      <c r="EVN206" s="2"/>
      <c r="EVO206" s="2"/>
      <c r="EVP206" s="2"/>
      <c r="EVQ206" s="2"/>
      <c r="EVR206" s="2"/>
      <c r="EVS206" s="2"/>
      <c r="EVT206" s="2"/>
      <c r="EVU206" s="2"/>
      <c r="EVV206" s="2"/>
      <c r="EVW206" s="2"/>
      <c r="EVX206" s="2"/>
      <c r="EVY206" s="2"/>
      <c r="EVZ206" s="2"/>
      <c r="EWA206" s="2"/>
      <c r="EWB206" s="2"/>
      <c r="EWC206" s="2"/>
      <c r="EWD206" s="2"/>
      <c r="EWE206" s="2"/>
      <c r="EWF206" s="2"/>
      <c r="EWG206" s="2"/>
      <c r="EWH206" s="2"/>
      <c r="EWI206" s="2"/>
      <c r="EWJ206" s="2"/>
      <c r="EWK206" s="2"/>
      <c r="EWL206" s="2"/>
      <c r="EWM206" s="2"/>
      <c r="EWN206" s="2"/>
      <c r="EWO206" s="2"/>
      <c r="EWP206" s="2"/>
      <c r="EWQ206" s="2"/>
      <c r="EWR206" s="2"/>
      <c r="EWS206" s="2"/>
      <c r="EWT206" s="2"/>
      <c r="EWU206" s="2"/>
      <c r="EWV206" s="2"/>
      <c r="EWW206" s="2"/>
      <c r="EWX206" s="2"/>
      <c r="EWY206" s="2"/>
      <c r="EWZ206" s="2"/>
      <c r="EXA206" s="2"/>
      <c r="EXB206" s="2"/>
      <c r="EXC206" s="2"/>
      <c r="EXD206" s="2"/>
      <c r="EXE206" s="2"/>
      <c r="EXF206" s="2"/>
      <c r="EXG206" s="2"/>
      <c r="EXH206" s="2"/>
      <c r="EXI206" s="2"/>
      <c r="EXJ206" s="2"/>
      <c r="EXK206" s="2"/>
      <c r="EXL206" s="2"/>
      <c r="EXM206" s="2"/>
      <c r="EXN206" s="2"/>
      <c r="EXO206" s="2"/>
      <c r="EXP206" s="2"/>
      <c r="EXQ206" s="2"/>
      <c r="EXR206" s="2"/>
      <c r="EXS206" s="2"/>
      <c r="EXT206" s="2"/>
      <c r="EXU206" s="2"/>
      <c r="EXV206" s="2"/>
      <c r="EXW206" s="2"/>
      <c r="EXX206" s="2"/>
      <c r="EXY206" s="2"/>
      <c r="EXZ206" s="2"/>
      <c r="EYA206" s="2"/>
      <c r="EYB206" s="2"/>
      <c r="EYC206" s="2"/>
      <c r="EYD206" s="2"/>
      <c r="EYE206" s="2"/>
      <c r="EYF206" s="2"/>
      <c r="EYG206" s="2"/>
      <c r="EYH206" s="2"/>
      <c r="EYI206" s="2"/>
      <c r="EYJ206" s="2"/>
      <c r="EYK206" s="2"/>
      <c r="EYL206" s="2"/>
      <c r="EYM206" s="2"/>
      <c r="EYN206" s="2"/>
      <c r="EYO206" s="2"/>
      <c r="EYP206" s="2"/>
      <c r="EYQ206" s="2"/>
      <c r="EYR206" s="2"/>
      <c r="EYS206" s="2"/>
      <c r="EYT206" s="2"/>
      <c r="EYU206" s="2"/>
      <c r="EYV206" s="2"/>
      <c r="EYW206" s="2"/>
      <c r="EYX206" s="2"/>
      <c r="EYY206" s="2"/>
      <c r="EYZ206" s="2"/>
      <c r="EZA206" s="2"/>
      <c r="EZB206" s="2"/>
      <c r="EZC206" s="2"/>
      <c r="EZD206" s="2"/>
      <c r="EZE206" s="2"/>
      <c r="EZF206" s="2"/>
      <c r="EZG206" s="2"/>
      <c r="EZH206" s="2"/>
      <c r="EZI206" s="2"/>
      <c r="EZJ206" s="2"/>
      <c r="EZK206" s="2"/>
      <c r="EZL206" s="2"/>
      <c r="EZM206" s="2"/>
      <c r="EZN206" s="2"/>
      <c r="EZO206" s="2"/>
      <c r="EZP206" s="2"/>
      <c r="EZQ206" s="2"/>
      <c r="EZR206" s="2"/>
      <c r="EZS206" s="2"/>
      <c r="EZT206" s="2"/>
      <c r="EZU206" s="2"/>
      <c r="EZV206" s="2"/>
      <c r="EZW206" s="2"/>
      <c r="EZX206" s="2"/>
      <c r="EZY206" s="2"/>
      <c r="EZZ206" s="2"/>
      <c r="FAA206" s="2"/>
      <c r="FAB206" s="2"/>
      <c r="FAC206" s="2"/>
      <c r="FAD206" s="2"/>
      <c r="FAE206" s="2"/>
      <c r="FAF206" s="2"/>
      <c r="FAG206" s="2"/>
      <c r="FAH206" s="2"/>
      <c r="FAI206" s="2"/>
      <c r="FAJ206" s="2"/>
      <c r="FAK206" s="2"/>
      <c r="FAL206" s="2"/>
      <c r="FAM206" s="2"/>
      <c r="FAN206" s="2"/>
      <c r="FAO206" s="2"/>
      <c r="FAP206" s="2"/>
      <c r="FAQ206" s="2"/>
      <c r="FAR206" s="2"/>
      <c r="FAS206" s="2"/>
      <c r="FAT206" s="2"/>
      <c r="FAU206" s="2"/>
      <c r="FAV206" s="2"/>
      <c r="FAW206" s="2"/>
      <c r="FAX206" s="2"/>
      <c r="FAY206" s="2"/>
      <c r="FAZ206" s="2"/>
      <c r="FBA206" s="2"/>
      <c r="FBB206" s="2"/>
      <c r="FBC206" s="2"/>
      <c r="FBD206" s="2"/>
      <c r="FBE206" s="2"/>
      <c r="FBF206" s="2"/>
      <c r="FBG206" s="2"/>
      <c r="FBH206" s="2"/>
      <c r="FBI206" s="2"/>
      <c r="FBJ206" s="2"/>
      <c r="FBK206" s="2"/>
      <c r="FBL206" s="2"/>
      <c r="FBM206" s="2"/>
      <c r="FBN206" s="2"/>
      <c r="FBO206" s="2"/>
      <c r="FBP206" s="2"/>
      <c r="FBQ206" s="2"/>
      <c r="FBR206" s="2"/>
      <c r="FBS206" s="2"/>
      <c r="FBT206" s="2"/>
      <c r="FBU206" s="2"/>
      <c r="FBV206" s="2"/>
      <c r="FBW206" s="2"/>
      <c r="FBX206" s="2"/>
      <c r="FBY206" s="2"/>
      <c r="FBZ206" s="2"/>
      <c r="FCA206" s="2"/>
      <c r="FCB206" s="2"/>
      <c r="FCC206" s="2"/>
      <c r="FCD206" s="2"/>
      <c r="FCE206" s="2"/>
      <c r="FCF206" s="2"/>
      <c r="FCG206" s="2"/>
      <c r="FCH206" s="2"/>
      <c r="FCI206" s="2"/>
      <c r="FCJ206" s="2"/>
      <c r="FCK206" s="2"/>
      <c r="FCL206" s="2"/>
      <c r="FCM206" s="2"/>
      <c r="FCN206" s="2"/>
      <c r="FCO206" s="2"/>
      <c r="FCP206" s="2"/>
      <c r="FCQ206" s="2"/>
      <c r="FCR206" s="2"/>
      <c r="FCS206" s="2"/>
      <c r="FCT206" s="2"/>
      <c r="FCU206" s="2"/>
      <c r="FCV206" s="2"/>
      <c r="FCW206" s="2"/>
      <c r="FCX206" s="2"/>
      <c r="FCY206" s="2"/>
      <c r="FCZ206" s="2"/>
      <c r="FDA206" s="2"/>
      <c r="FDB206" s="2"/>
      <c r="FDC206" s="2"/>
      <c r="FDD206" s="2"/>
      <c r="FDE206" s="2"/>
      <c r="FDF206" s="2"/>
      <c r="FDG206" s="2"/>
      <c r="FDH206" s="2"/>
      <c r="FDI206" s="2"/>
      <c r="FDJ206" s="2"/>
      <c r="FDK206" s="2"/>
      <c r="FDL206" s="2"/>
      <c r="FDM206" s="2"/>
      <c r="FDN206" s="2"/>
      <c r="FDO206" s="2"/>
      <c r="FDP206" s="2"/>
      <c r="FDQ206" s="2"/>
      <c r="FDR206" s="2"/>
      <c r="FDS206" s="2"/>
      <c r="FDT206" s="2"/>
      <c r="FDU206" s="2"/>
      <c r="FDV206" s="2"/>
      <c r="FDW206" s="2"/>
      <c r="FDX206" s="2"/>
      <c r="FDY206" s="2"/>
      <c r="FDZ206" s="2"/>
      <c r="FEA206" s="2"/>
      <c r="FEB206" s="2"/>
      <c r="FEC206" s="2"/>
      <c r="FED206" s="2"/>
      <c r="FEE206" s="2"/>
      <c r="FEF206" s="2"/>
      <c r="FEG206" s="2"/>
      <c r="FEH206" s="2"/>
      <c r="FEI206" s="2"/>
      <c r="FEJ206" s="2"/>
      <c r="FEK206" s="2"/>
      <c r="FEL206" s="2"/>
      <c r="FEM206" s="2"/>
      <c r="FEN206" s="2"/>
      <c r="FEO206" s="2"/>
      <c r="FEP206" s="2"/>
      <c r="FEQ206" s="2"/>
      <c r="FER206" s="2"/>
      <c r="FES206" s="2"/>
      <c r="FET206" s="2"/>
      <c r="FEU206" s="2"/>
      <c r="FEV206" s="2"/>
      <c r="FEW206" s="2"/>
      <c r="FEX206" s="2"/>
      <c r="FEY206" s="2"/>
      <c r="FEZ206" s="2"/>
      <c r="FFA206" s="2"/>
      <c r="FFB206" s="2"/>
      <c r="FFC206" s="2"/>
      <c r="FFD206" s="2"/>
      <c r="FFE206" s="2"/>
      <c r="FFF206" s="2"/>
      <c r="FFG206" s="2"/>
      <c r="FFH206" s="2"/>
      <c r="FFI206" s="2"/>
      <c r="FFJ206" s="2"/>
      <c r="FFK206" s="2"/>
      <c r="FFL206" s="2"/>
      <c r="FFM206" s="2"/>
      <c r="FFN206" s="2"/>
      <c r="FFO206" s="2"/>
      <c r="FFP206" s="2"/>
      <c r="FFQ206" s="2"/>
      <c r="FFR206" s="2"/>
      <c r="FFS206" s="2"/>
      <c r="FFT206" s="2"/>
      <c r="FFU206" s="2"/>
      <c r="FFV206" s="2"/>
      <c r="FFW206" s="2"/>
      <c r="FFX206" s="2"/>
      <c r="FFY206" s="2"/>
      <c r="FFZ206" s="2"/>
      <c r="FGA206" s="2"/>
      <c r="FGB206" s="2"/>
      <c r="FGC206" s="2"/>
      <c r="FGD206" s="2"/>
      <c r="FGE206" s="2"/>
      <c r="FGF206" s="2"/>
      <c r="FGG206" s="2"/>
      <c r="FGH206" s="2"/>
      <c r="FGI206" s="2"/>
      <c r="FGJ206" s="2"/>
      <c r="FGK206" s="2"/>
      <c r="FGL206" s="2"/>
      <c r="FGM206" s="2"/>
      <c r="FGN206" s="2"/>
      <c r="FGO206" s="2"/>
      <c r="FGP206" s="2"/>
      <c r="FGQ206" s="2"/>
      <c r="FGR206" s="2"/>
      <c r="FGS206" s="2"/>
      <c r="FGT206" s="2"/>
      <c r="FGU206" s="2"/>
      <c r="FGV206" s="2"/>
      <c r="FGW206" s="2"/>
      <c r="FGX206" s="2"/>
      <c r="FGY206" s="2"/>
      <c r="FGZ206" s="2"/>
      <c r="FHA206" s="2"/>
      <c r="FHB206" s="2"/>
      <c r="FHC206" s="2"/>
      <c r="FHD206" s="2"/>
      <c r="FHE206" s="2"/>
      <c r="FHF206" s="2"/>
      <c r="FHG206" s="2"/>
      <c r="FHH206" s="2"/>
      <c r="FHI206" s="2"/>
      <c r="FHJ206" s="2"/>
      <c r="FHK206" s="2"/>
      <c r="FHL206" s="2"/>
      <c r="FHM206" s="2"/>
      <c r="FHN206" s="2"/>
      <c r="FHO206" s="2"/>
      <c r="FHP206" s="2"/>
      <c r="FHQ206" s="2"/>
      <c r="FHR206" s="2"/>
      <c r="FHS206" s="2"/>
      <c r="FHT206" s="2"/>
      <c r="FHU206" s="2"/>
      <c r="FHV206" s="2"/>
      <c r="FHW206" s="2"/>
      <c r="FHX206" s="2"/>
      <c r="FHY206" s="2"/>
      <c r="FHZ206" s="2"/>
      <c r="FIA206" s="2"/>
      <c r="FIB206" s="2"/>
      <c r="FIC206" s="2"/>
      <c r="FID206" s="2"/>
      <c r="FIE206" s="2"/>
      <c r="FIF206" s="2"/>
      <c r="FIG206" s="2"/>
      <c r="FIH206" s="2"/>
      <c r="FII206" s="2"/>
      <c r="FIJ206" s="2"/>
      <c r="FIK206" s="2"/>
      <c r="FIL206" s="2"/>
      <c r="FIM206" s="2"/>
      <c r="FIN206" s="2"/>
      <c r="FIO206" s="2"/>
      <c r="FIP206" s="2"/>
      <c r="FIQ206" s="2"/>
      <c r="FIR206" s="2"/>
      <c r="FIS206" s="2"/>
      <c r="FIT206" s="2"/>
      <c r="FIU206" s="2"/>
      <c r="FIV206" s="2"/>
      <c r="FIW206" s="2"/>
      <c r="FIX206" s="2"/>
      <c r="FIY206" s="2"/>
      <c r="FIZ206" s="2"/>
      <c r="FJA206" s="2"/>
      <c r="FJB206" s="2"/>
      <c r="FJC206" s="2"/>
      <c r="FJD206" s="2"/>
      <c r="FJE206" s="2"/>
      <c r="FJF206" s="2"/>
      <c r="FJG206" s="2"/>
      <c r="FJH206" s="2"/>
      <c r="FJI206" s="2"/>
      <c r="FJJ206" s="2"/>
      <c r="FJK206" s="2"/>
      <c r="FJL206" s="2"/>
      <c r="FJM206" s="2"/>
      <c r="FJN206" s="2"/>
      <c r="FJO206" s="2"/>
      <c r="FJP206" s="2"/>
      <c r="FJQ206" s="2"/>
      <c r="FJR206" s="2"/>
      <c r="FJS206" s="2"/>
      <c r="FJT206" s="2"/>
      <c r="FJU206" s="2"/>
      <c r="FJV206" s="2"/>
      <c r="FJW206" s="2"/>
      <c r="FJX206" s="2"/>
      <c r="FJY206" s="2"/>
      <c r="FJZ206" s="2"/>
      <c r="FKA206" s="2"/>
      <c r="FKB206" s="2"/>
      <c r="FKC206" s="2"/>
      <c r="FKD206" s="2"/>
      <c r="FKE206" s="2"/>
      <c r="FKF206" s="2"/>
      <c r="FKG206" s="2"/>
      <c r="FKH206" s="2"/>
      <c r="FKI206" s="2"/>
      <c r="FKJ206" s="2"/>
      <c r="FKK206" s="2"/>
      <c r="FKL206" s="2"/>
      <c r="FKM206" s="2"/>
      <c r="FKN206" s="2"/>
      <c r="FKO206" s="2"/>
      <c r="FKP206" s="2"/>
      <c r="FKQ206" s="2"/>
      <c r="FKR206" s="2"/>
      <c r="FKS206" s="2"/>
      <c r="FKT206" s="2"/>
      <c r="FKU206" s="2"/>
      <c r="FKV206" s="2"/>
      <c r="FKW206" s="2"/>
      <c r="FKX206" s="2"/>
      <c r="FKY206" s="2"/>
      <c r="FKZ206" s="2"/>
      <c r="FLA206" s="2"/>
      <c r="FLB206" s="2"/>
      <c r="FLC206" s="2"/>
      <c r="FLD206" s="2"/>
      <c r="FLE206" s="2"/>
      <c r="FLF206" s="2"/>
      <c r="FLG206" s="2"/>
      <c r="FLH206" s="2"/>
      <c r="FLI206" s="2"/>
      <c r="FLJ206" s="2"/>
      <c r="FLK206" s="2"/>
      <c r="FLL206" s="2"/>
      <c r="FLM206" s="2"/>
      <c r="FLN206" s="2"/>
      <c r="FLO206" s="2"/>
      <c r="FLP206" s="2"/>
      <c r="FLQ206" s="2"/>
      <c r="FLR206" s="2"/>
      <c r="FLS206" s="2"/>
      <c r="FLT206" s="2"/>
      <c r="FLU206" s="2"/>
      <c r="FLV206" s="2"/>
      <c r="FLW206" s="2"/>
      <c r="FLX206" s="2"/>
      <c r="FLY206" s="2"/>
      <c r="FLZ206" s="2"/>
      <c r="FMA206" s="2"/>
      <c r="FMB206" s="2"/>
      <c r="FMC206" s="2"/>
      <c r="FMD206" s="2"/>
      <c r="FME206" s="2"/>
      <c r="FMF206" s="2"/>
      <c r="FMG206" s="2"/>
      <c r="FMH206" s="2"/>
      <c r="FMI206" s="2"/>
      <c r="FMJ206" s="2"/>
      <c r="FMK206" s="2"/>
      <c r="FML206" s="2"/>
      <c r="FMM206" s="2"/>
      <c r="FMN206" s="2"/>
      <c r="FMO206" s="2"/>
      <c r="FMP206" s="2"/>
      <c r="FMQ206" s="2"/>
      <c r="FMR206" s="2"/>
      <c r="FMS206" s="2"/>
      <c r="FMT206" s="2"/>
      <c r="FMU206" s="2"/>
      <c r="FMV206" s="2"/>
      <c r="FMW206" s="2"/>
      <c r="FMX206" s="2"/>
      <c r="FMY206" s="2"/>
      <c r="FMZ206" s="2"/>
      <c r="FNA206" s="2"/>
      <c r="FNB206" s="2"/>
      <c r="FNC206" s="2"/>
      <c r="FND206" s="2"/>
      <c r="FNE206" s="2"/>
      <c r="FNF206" s="2"/>
      <c r="FNG206" s="2"/>
      <c r="FNH206" s="2"/>
      <c r="FNI206" s="2"/>
      <c r="FNJ206" s="2"/>
      <c r="FNK206" s="2"/>
      <c r="FNL206" s="2"/>
      <c r="FNM206" s="2"/>
      <c r="FNN206" s="2"/>
      <c r="FNO206" s="2"/>
      <c r="FNP206" s="2"/>
      <c r="FNQ206" s="2"/>
      <c r="FNR206" s="2"/>
      <c r="FNS206" s="2"/>
      <c r="FNT206" s="2"/>
      <c r="FNU206" s="2"/>
      <c r="FNV206" s="2"/>
      <c r="FNW206" s="2"/>
      <c r="FNX206" s="2"/>
      <c r="FNY206" s="2"/>
      <c r="FNZ206" s="2"/>
      <c r="FOA206" s="2"/>
      <c r="FOB206" s="2"/>
      <c r="FOC206" s="2"/>
      <c r="FOD206" s="2"/>
      <c r="FOE206" s="2"/>
      <c r="FOF206" s="2"/>
      <c r="FOG206" s="2"/>
      <c r="FOH206" s="2"/>
      <c r="FOI206" s="2"/>
      <c r="FOJ206" s="2"/>
      <c r="FOK206" s="2"/>
      <c r="FOL206" s="2"/>
      <c r="FOM206" s="2"/>
      <c r="FON206" s="2"/>
      <c r="FOO206" s="2"/>
      <c r="FOP206" s="2"/>
      <c r="FOQ206" s="2"/>
      <c r="FOR206" s="2"/>
      <c r="FOS206" s="2"/>
      <c r="FOT206" s="2"/>
      <c r="FOU206" s="2"/>
      <c r="FOV206" s="2"/>
      <c r="FOW206" s="2"/>
      <c r="FOX206" s="2"/>
      <c r="FOY206" s="2"/>
      <c r="FOZ206" s="2"/>
      <c r="FPA206" s="2"/>
      <c r="FPB206" s="2"/>
      <c r="FPC206" s="2"/>
      <c r="FPD206" s="2"/>
      <c r="FPE206" s="2"/>
      <c r="FPF206" s="2"/>
      <c r="FPG206" s="2"/>
      <c r="FPH206" s="2"/>
      <c r="FPI206" s="2"/>
      <c r="FPJ206" s="2"/>
      <c r="FPK206" s="2"/>
      <c r="FPL206" s="2"/>
      <c r="FPM206" s="2"/>
      <c r="FPN206" s="2"/>
      <c r="FPO206" s="2"/>
      <c r="FPP206" s="2"/>
      <c r="FPQ206" s="2"/>
      <c r="FPR206" s="2"/>
      <c r="FPS206" s="2"/>
      <c r="FPT206" s="2"/>
      <c r="FPU206" s="2"/>
      <c r="FPV206" s="2"/>
      <c r="FPW206" s="2"/>
      <c r="FPX206" s="2"/>
      <c r="FPY206" s="2"/>
      <c r="FPZ206" s="2"/>
      <c r="FQA206" s="2"/>
      <c r="FQB206" s="2"/>
      <c r="FQC206" s="2"/>
      <c r="FQD206" s="2"/>
      <c r="FQE206" s="2"/>
      <c r="FQF206" s="2"/>
      <c r="FQG206" s="2"/>
      <c r="FQH206" s="2"/>
      <c r="FQI206" s="2"/>
      <c r="FQJ206" s="2"/>
      <c r="FQK206" s="2"/>
      <c r="FQL206" s="2"/>
      <c r="FQM206" s="2"/>
      <c r="FQN206" s="2"/>
      <c r="FQO206" s="2"/>
      <c r="FQP206" s="2"/>
      <c r="FQQ206" s="2"/>
      <c r="FQR206" s="2"/>
      <c r="FQS206" s="2"/>
      <c r="FQT206" s="2"/>
      <c r="FQU206" s="2"/>
      <c r="FQV206" s="2"/>
      <c r="FQW206" s="2"/>
      <c r="FQX206" s="2"/>
      <c r="FQY206" s="2"/>
      <c r="FQZ206" s="2"/>
      <c r="FRA206" s="2"/>
      <c r="FRB206" s="2"/>
      <c r="FRC206" s="2"/>
      <c r="FRD206" s="2"/>
      <c r="FRE206" s="2"/>
      <c r="FRF206" s="2"/>
      <c r="FRG206" s="2"/>
      <c r="FRH206" s="2"/>
      <c r="FRI206" s="2"/>
      <c r="FRJ206" s="2"/>
      <c r="FRK206" s="2"/>
      <c r="FRL206" s="2"/>
      <c r="FRM206" s="2"/>
      <c r="FRN206" s="2"/>
      <c r="FRO206" s="2"/>
      <c r="FRP206" s="2"/>
      <c r="FRQ206" s="2"/>
      <c r="FRR206" s="2"/>
      <c r="FRS206" s="2"/>
      <c r="FRT206" s="2"/>
      <c r="FRU206" s="2"/>
      <c r="FRV206" s="2"/>
      <c r="FRW206" s="2"/>
      <c r="FRX206" s="2"/>
      <c r="FRY206" s="2"/>
      <c r="FRZ206" s="2"/>
      <c r="FSA206" s="2"/>
      <c r="FSB206" s="2"/>
      <c r="FSC206" s="2"/>
      <c r="FSD206" s="2"/>
      <c r="FSE206" s="2"/>
      <c r="FSF206" s="2"/>
      <c r="FSG206" s="2"/>
      <c r="FSH206" s="2"/>
      <c r="FSI206" s="2"/>
      <c r="FSJ206" s="2"/>
      <c r="FSK206" s="2"/>
      <c r="FSL206" s="2"/>
      <c r="FSM206" s="2"/>
      <c r="FSN206" s="2"/>
      <c r="FSO206" s="2"/>
      <c r="FSP206" s="2"/>
      <c r="FSQ206" s="2"/>
      <c r="FSR206" s="2"/>
      <c r="FSS206" s="2"/>
      <c r="FST206" s="2"/>
      <c r="FSU206" s="2"/>
      <c r="FSV206" s="2"/>
      <c r="FSW206" s="2"/>
      <c r="FSX206" s="2"/>
      <c r="FSY206" s="2"/>
      <c r="FSZ206" s="2"/>
      <c r="FTA206" s="2"/>
      <c r="FTB206" s="2"/>
      <c r="FTC206" s="2"/>
      <c r="FTD206" s="2"/>
      <c r="FTE206" s="2"/>
      <c r="FTF206" s="2"/>
      <c r="FTG206" s="2"/>
      <c r="FTH206" s="2"/>
      <c r="FTI206" s="2"/>
      <c r="FTJ206" s="2"/>
      <c r="FTK206" s="2"/>
      <c r="FTL206" s="2"/>
      <c r="FTM206" s="2"/>
      <c r="FTN206" s="2"/>
      <c r="FTO206" s="2"/>
      <c r="FTP206" s="2"/>
      <c r="FTQ206" s="2"/>
      <c r="FTR206" s="2"/>
      <c r="FTS206" s="2"/>
      <c r="FTT206" s="2"/>
      <c r="FTU206" s="2"/>
      <c r="FTV206" s="2"/>
      <c r="FTW206" s="2"/>
      <c r="FTX206" s="2"/>
      <c r="FTY206" s="2"/>
      <c r="FTZ206" s="2"/>
      <c r="FUA206" s="2"/>
      <c r="FUB206" s="2"/>
      <c r="FUC206" s="2"/>
      <c r="FUD206" s="2"/>
      <c r="FUE206" s="2"/>
      <c r="FUF206" s="2"/>
      <c r="FUG206" s="2"/>
      <c r="FUH206" s="2"/>
      <c r="FUI206" s="2"/>
      <c r="FUJ206" s="2"/>
      <c r="FUK206" s="2"/>
      <c r="FUL206" s="2"/>
      <c r="FUM206" s="2"/>
      <c r="FUN206" s="2"/>
      <c r="FUO206" s="2"/>
      <c r="FUP206" s="2"/>
      <c r="FUQ206" s="2"/>
      <c r="FUR206" s="2"/>
      <c r="FUS206" s="2"/>
      <c r="FUT206" s="2"/>
      <c r="FUU206" s="2"/>
      <c r="FUV206" s="2"/>
      <c r="FUW206" s="2"/>
      <c r="FUX206" s="2"/>
      <c r="FUY206" s="2"/>
      <c r="FUZ206" s="2"/>
      <c r="FVA206" s="2"/>
      <c r="FVB206" s="2"/>
      <c r="FVC206" s="2"/>
      <c r="FVD206" s="2"/>
      <c r="FVE206" s="2"/>
      <c r="FVF206" s="2"/>
      <c r="FVG206" s="2"/>
      <c r="FVH206" s="2"/>
      <c r="FVI206" s="2"/>
      <c r="FVJ206" s="2"/>
      <c r="FVK206" s="2"/>
      <c r="FVL206" s="2"/>
      <c r="FVM206" s="2"/>
      <c r="FVN206" s="2"/>
      <c r="FVO206" s="2"/>
      <c r="FVP206" s="2"/>
      <c r="FVQ206" s="2"/>
      <c r="FVR206" s="2"/>
      <c r="FVS206" s="2"/>
      <c r="FVT206" s="2"/>
      <c r="FVU206" s="2"/>
      <c r="FVV206" s="2"/>
      <c r="FVW206" s="2"/>
      <c r="FVX206" s="2"/>
      <c r="FVY206" s="2"/>
      <c r="FVZ206" s="2"/>
      <c r="FWA206" s="2"/>
      <c r="FWB206" s="2"/>
      <c r="FWC206" s="2"/>
      <c r="FWD206" s="2"/>
      <c r="FWE206" s="2"/>
      <c r="FWF206" s="2"/>
      <c r="FWG206" s="2"/>
      <c r="FWH206" s="2"/>
      <c r="FWI206" s="2"/>
      <c r="FWJ206" s="2"/>
      <c r="FWK206" s="2"/>
      <c r="FWL206" s="2"/>
      <c r="FWM206" s="2"/>
      <c r="FWN206" s="2"/>
      <c r="FWO206" s="2"/>
      <c r="FWP206" s="2"/>
      <c r="FWQ206" s="2"/>
      <c r="FWR206" s="2"/>
      <c r="FWS206" s="2"/>
      <c r="FWT206" s="2"/>
      <c r="FWU206" s="2"/>
      <c r="FWV206" s="2"/>
      <c r="FWW206" s="2"/>
      <c r="FWX206" s="2"/>
      <c r="FWY206" s="2"/>
      <c r="FWZ206" s="2"/>
      <c r="FXA206" s="2"/>
      <c r="FXB206" s="2"/>
      <c r="FXC206" s="2"/>
      <c r="FXD206" s="2"/>
      <c r="FXE206" s="2"/>
      <c r="FXF206" s="2"/>
      <c r="FXG206" s="2"/>
      <c r="FXH206" s="2"/>
      <c r="FXI206" s="2"/>
      <c r="FXJ206" s="2"/>
      <c r="FXK206" s="2"/>
      <c r="FXL206" s="2"/>
      <c r="FXM206" s="2"/>
      <c r="FXN206" s="2"/>
      <c r="FXO206" s="2"/>
      <c r="FXP206" s="2"/>
      <c r="FXQ206" s="2"/>
      <c r="FXR206" s="2"/>
      <c r="FXS206" s="2"/>
      <c r="FXT206" s="2"/>
      <c r="FXU206" s="2"/>
      <c r="FXV206" s="2"/>
      <c r="FXW206" s="2"/>
      <c r="FXX206" s="2"/>
      <c r="FXY206" s="2"/>
      <c r="FXZ206" s="2"/>
      <c r="FYA206" s="2"/>
      <c r="FYB206" s="2"/>
      <c r="FYC206" s="2"/>
      <c r="FYD206" s="2"/>
      <c r="FYE206" s="2"/>
      <c r="FYF206" s="2"/>
      <c r="FYG206" s="2"/>
      <c r="FYH206" s="2"/>
      <c r="FYI206" s="2"/>
      <c r="FYJ206" s="2"/>
      <c r="FYK206" s="2"/>
      <c r="FYL206" s="2"/>
      <c r="FYM206" s="2"/>
      <c r="FYN206" s="2"/>
      <c r="FYO206" s="2"/>
      <c r="FYP206" s="2"/>
      <c r="FYQ206" s="2"/>
      <c r="FYR206" s="2"/>
      <c r="FYS206" s="2"/>
      <c r="FYT206" s="2"/>
      <c r="FYU206" s="2"/>
      <c r="FYV206" s="2"/>
      <c r="FYW206" s="2"/>
      <c r="FYX206" s="2"/>
      <c r="FYY206" s="2"/>
      <c r="FYZ206" s="2"/>
      <c r="FZA206" s="2"/>
      <c r="FZB206" s="2"/>
      <c r="FZC206" s="2"/>
      <c r="FZD206" s="2"/>
      <c r="FZE206" s="2"/>
      <c r="FZF206" s="2"/>
      <c r="FZG206" s="2"/>
      <c r="FZH206" s="2"/>
      <c r="FZI206" s="2"/>
      <c r="FZJ206" s="2"/>
      <c r="FZK206" s="2"/>
      <c r="FZL206" s="2"/>
      <c r="FZM206" s="2"/>
      <c r="FZN206" s="2"/>
      <c r="FZO206" s="2"/>
      <c r="FZP206" s="2"/>
      <c r="FZQ206" s="2"/>
      <c r="FZR206" s="2"/>
      <c r="FZS206" s="2"/>
      <c r="FZT206" s="2"/>
      <c r="FZU206" s="2"/>
      <c r="FZV206" s="2"/>
      <c r="FZW206" s="2"/>
      <c r="FZX206" s="2"/>
      <c r="FZY206" s="2"/>
      <c r="FZZ206" s="2"/>
      <c r="GAA206" s="2"/>
      <c r="GAB206" s="2"/>
      <c r="GAC206" s="2"/>
      <c r="GAD206" s="2"/>
      <c r="GAE206" s="2"/>
      <c r="GAF206" s="2"/>
      <c r="GAG206" s="2"/>
      <c r="GAH206" s="2"/>
      <c r="GAI206" s="2"/>
      <c r="GAJ206" s="2"/>
      <c r="GAK206" s="2"/>
      <c r="GAL206" s="2"/>
      <c r="GAM206" s="2"/>
      <c r="GAN206" s="2"/>
      <c r="GAO206" s="2"/>
      <c r="GAP206" s="2"/>
      <c r="GAQ206" s="2"/>
      <c r="GAR206" s="2"/>
      <c r="GAS206" s="2"/>
      <c r="GAT206" s="2"/>
      <c r="GAU206" s="2"/>
      <c r="GAV206" s="2"/>
      <c r="GAW206" s="2"/>
      <c r="GAX206" s="2"/>
      <c r="GAY206" s="2"/>
      <c r="GAZ206" s="2"/>
      <c r="GBA206" s="2"/>
      <c r="GBB206" s="2"/>
      <c r="GBC206" s="2"/>
      <c r="GBD206" s="2"/>
      <c r="GBE206" s="2"/>
      <c r="GBF206" s="2"/>
      <c r="GBG206" s="2"/>
      <c r="GBH206" s="2"/>
      <c r="GBI206" s="2"/>
      <c r="GBJ206" s="2"/>
      <c r="GBK206" s="2"/>
      <c r="GBL206" s="2"/>
      <c r="GBM206" s="2"/>
      <c r="GBN206" s="2"/>
      <c r="GBO206" s="2"/>
      <c r="GBP206" s="2"/>
      <c r="GBQ206" s="2"/>
      <c r="GBR206" s="2"/>
      <c r="GBS206" s="2"/>
      <c r="GBT206" s="2"/>
      <c r="GBU206" s="2"/>
      <c r="GBV206" s="2"/>
      <c r="GBW206" s="2"/>
      <c r="GBX206" s="2"/>
      <c r="GBY206" s="2"/>
      <c r="GBZ206" s="2"/>
      <c r="GCA206" s="2"/>
      <c r="GCB206" s="2"/>
      <c r="GCC206" s="2"/>
      <c r="GCD206" s="2"/>
      <c r="GCE206" s="2"/>
      <c r="GCF206" s="2"/>
      <c r="GCG206" s="2"/>
      <c r="GCH206" s="2"/>
      <c r="GCI206" s="2"/>
      <c r="GCJ206" s="2"/>
      <c r="GCK206" s="2"/>
      <c r="GCL206" s="2"/>
      <c r="GCM206" s="2"/>
      <c r="GCN206" s="2"/>
      <c r="GCO206" s="2"/>
      <c r="GCP206" s="2"/>
      <c r="GCQ206" s="2"/>
      <c r="GCR206" s="2"/>
      <c r="GCS206" s="2"/>
      <c r="GCT206" s="2"/>
      <c r="GCU206" s="2"/>
      <c r="GCV206" s="2"/>
      <c r="GCW206" s="2"/>
      <c r="GCX206" s="2"/>
      <c r="GCY206" s="2"/>
      <c r="GCZ206" s="2"/>
      <c r="GDA206" s="2"/>
      <c r="GDB206" s="2"/>
      <c r="GDC206" s="2"/>
      <c r="GDD206" s="2"/>
      <c r="GDE206" s="2"/>
      <c r="GDF206" s="2"/>
      <c r="GDG206" s="2"/>
      <c r="GDH206" s="2"/>
      <c r="GDI206" s="2"/>
      <c r="GDJ206" s="2"/>
      <c r="GDK206" s="2"/>
      <c r="GDL206" s="2"/>
      <c r="GDM206" s="2"/>
      <c r="GDN206" s="2"/>
      <c r="GDO206" s="2"/>
      <c r="GDP206" s="2"/>
      <c r="GDQ206" s="2"/>
      <c r="GDR206" s="2"/>
      <c r="GDS206" s="2"/>
      <c r="GDT206" s="2"/>
      <c r="GDU206" s="2"/>
      <c r="GDV206" s="2"/>
      <c r="GDW206" s="2"/>
      <c r="GDX206" s="2"/>
      <c r="GDY206" s="2"/>
      <c r="GDZ206" s="2"/>
      <c r="GEA206" s="2"/>
      <c r="GEB206" s="2"/>
      <c r="GEC206" s="2"/>
      <c r="GED206" s="2"/>
      <c r="GEE206" s="2"/>
      <c r="GEF206" s="2"/>
      <c r="GEG206" s="2"/>
      <c r="GEH206" s="2"/>
      <c r="GEI206" s="2"/>
      <c r="GEJ206" s="2"/>
      <c r="GEK206" s="2"/>
      <c r="GEL206" s="2"/>
      <c r="GEM206" s="2"/>
      <c r="GEN206" s="2"/>
      <c r="GEO206" s="2"/>
      <c r="GEP206" s="2"/>
      <c r="GEQ206" s="2"/>
      <c r="GER206" s="2"/>
      <c r="GES206" s="2"/>
      <c r="GET206" s="2"/>
      <c r="GEU206" s="2"/>
      <c r="GEV206" s="2"/>
      <c r="GEW206" s="2"/>
      <c r="GEX206" s="2"/>
      <c r="GEY206" s="2"/>
      <c r="GEZ206" s="2"/>
      <c r="GFA206" s="2"/>
      <c r="GFB206" s="2"/>
      <c r="GFC206" s="2"/>
      <c r="GFD206" s="2"/>
      <c r="GFE206" s="2"/>
      <c r="GFF206" s="2"/>
      <c r="GFG206" s="2"/>
      <c r="GFH206" s="2"/>
      <c r="GFI206" s="2"/>
      <c r="GFJ206" s="2"/>
      <c r="GFK206" s="2"/>
      <c r="GFL206" s="2"/>
      <c r="GFM206" s="2"/>
      <c r="GFN206" s="2"/>
      <c r="GFO206" s="2"/>
      <c r="GFP206" s="2"/>
      <c r="GFQ206" s="2"/>
      <c r="GFR206" s="2"/>
      <c r="GFS206" s="2"/>
      <c r="GFT206" s="2"/>
      <c r="GFU206" s="2"/>
      <c r="GFV206" s="2"/>
      <c r="GFW206" s="2"/>
      <c r="GFX206" s="2"/>
      <c r="GFY206" s="2"/>
      <c r="GFZ206" s="2"/>
      <c r="GGA206" s="2"/>
      <c r="GGB206" s="2"/>
      <c r="GGC206" s="2"/>
      <c r="GGD206" s="2"/>
      <c r="GGE206" s="2"/>
      <c r="GGF206" s="2"/>
      <c r="GGG206" s="2"/>
      <c r="GGH206" s="2"/>
      <c r="GGI206" s="2"/>
      <c r="GGJ206" s="2"/>
      <c r="GGK206" s="2"/>
      <c r="GGL206" s="2"/>
      <c r="GGM206" s="2"/>
      <c r="GGN206" s="2"/>
      <c r="GGO206" s="2"/>
      <c r="GGP206" s="2"/>
      <c r="GGQ206" s="2"/>
      <c r="GGR206" s="2"/>
      <c r="GGS206" s="2"/>
      <c r="GGT206" s="2"/>
      <c r="GGU206" s="2"/>
      <c r="GGV206" s="2"/>
      <c r="GGW206" s="2"/>
      <c r="GGX206" s="2"/>
      <c r="GGY206" s="2"/>
      <c r="GGZ206" s="2"/>
      <c r="GHA206" s="2"/>
      <c r="GHB206" s="2"/>
      <c r="GHC206" s="2"/>
      <c r="GHD206" s="2"/>
      <c r="GHE206" s="2"/>
      <c r="GHF206" s="2"/>
      <c r="GHG206" s="2"/>
      <c r="GHH206" s="2"/>
      <c r="GHI206" s="2"/>
      <c r="GHJ206" s="2"/>
      <c r="GHK206" s="2"/>
      <c r="GHL206" s="2"/>
      <c r="GHM206" s="2"/>
      <c r="GHN206" s="2"/>
      <c r="GHO206" s="2"/>
      <c r="GHP206" s="2"/>
      <c r="GHQ206" s="2"/>
      <c r="GHR206" s="2"/>
      <c r="GHS206" s="2"/>
      <c r="GHT206" s="2"/>
      <c r="GHU206" s="2"/>
      <c r="GHV206" s="2"/>
      <c r="GHW206" s="2"/>
      <c r="GHX206" s="2"/>
      <c r="GHY206" s="2"/>
      <c r="GHZ206" s="2"/>
      <c r="GIA206" s="2"/>
      <c r="GIB206" s="2"/>
      <c r="GIC206" s="2"/>
      <c r="GID206" s="2"/>
      <c r="GIE206" s="2"/>
      <c r="GIF206" s="2"/>
      <c r="GIG206" s="2"/>
      <c r="GIH206" s="2"/>
      <c r="GII206" s="2"/>
      <c r="GIJ206" s="2"/>
      <c r="GIK206" s="2"/>
      <c r="GIL206" s="2"/>
      <c r="GIM206" s="2"/>
      <c r="GIN206" s="2"/>
      <c r="GIO206" s="2"/>
      <c r="GIP206" s="2"/>
      <c r="GIQ206" s="2"/>
      <c r="GIR206" s="2"/>
      <c r="GIS206" s="2"/>
      <c r="GIT206" s="2"/>
      <c r="GIU206" s="2"/>
      <c r="GIV206" s="2"/>
      <c r="GIW206" s="2"/>
      <c r="GIX206" s="2"/>
      <c r="GIY206" s="2"/>
      <c r="GIZ206" s="2"/>
      <c r="GJA206" s="2"/>
      <c r="GJB206" s="2"/>
      <c r="GJC206" s="2"/>
      <c r="GJD206" s="2"/>
      <c r="GJE206" s="2"/>
      <c r="GJF206" s="2"/>
      <c r="GJG206" s="2"/>
      <c r="GJH206" s="2"/>
      <c r="GJI206" s="2"/>
      <c r="GJJ206" s="2"/>
      <c r="GJK206" s="2"/>
      <c r="GJL206" s="2"/>
      <c r="GJM206" s="2"/>
      <c r="GJN206" s="2"/>
      <c r="GJO206" s="2"/>
      <c r="GJP206" s="2"/>
      <c r="GJQ206" s="2"/>
      <c r="GJR206" s="2"/>
      <c r="GJS206" s="2"/>
      <c r="GJT206" s="2"/>
      <c r="GJU206" s="2"/>
      <c r="GJV206" s="2"/>
      <c r="GJW206" s="2"/>
      <c r="GJX206" s="2"/>
      <c r="GJY206" s="2"/>
      <c r="GJZ206" s="2"/>
      <c r="GKA206" s="2"/>
      <c r="GKB206" s="2"/>
      <c r="GKC206" s="2"/>
      <c r="GKD206" s="2"/>
      <c r="GKE206" s="2"/>
      <c r="GKF206" s="2"/>
      <c r="GKG206" s="2"/>
      <c r="GKH206" s="2"/>
      <c r="GKI206" s="2"/>
      <c r="GKJ206" s="2"/>
      <c r="GKK206" s="2"/>
      <c r="GKL206" s="2"/>
      <c r="GKM206" s="2"/>
      <c r="GKN206" s="2"/>
      <c r="GKO206" s="2"/>
      <c r="GKP206" s="2"/>
      <c r="GKQ206" s="2"/>
      <c r="GKR206" s="2"/>
      <c r="GKS206" s="2"/>
      <c r="GKT206" s="2"/>
      <c r="GKU206" s="2"/>
      <c r="GKV206" s="2"/>
      <c r="GKW206" s="2"/>
      <c r="GKX206" s="2"/>
      <c r="GKY206" s="2"/>
      <c r="GKZ206" s="2"/>
      <c r="GLA206" s="2"/>
      <c r="GLB206" s="2"/>
      <c r="GLC206" s="2"/>
      <c r="GLD206" s="2"/>
      <c r="GLE206" s="2"/>
      <c r="GLF206" s="2"/>
      <c r="GLG206" s="2"/>
      <c r="GLH206" s="2"/>
      <c r="GLI206" s="2"/>
      <c r="GLJ206" s="2"/>
      <c r="GLK206" s="2"/>
      <c r="GLL206" s="2"/>
      <c r="GLM206" s="2"/>
      <c r="GLN206" s="2"/>
      <c r="GLO206" s="2"/>
      <c r="GLP206" s="2"/>
      <c r="GLQ206" s="2"/>
      <c r="GLR206" s="2"/>
      <c r="GLS206" s="2"/>
      <c r="GLT206" s="2"/>
      <c r="GLU206" s="2"/>
      <c r="GLV206" s="2"/>
      <c r="GLW206" s="2"/>
      <c r="GLX206" s="2"/>
      <c r="GLY206" s="2"/>
      <c r="GLZ206" s="2"/>
      <c r="GMA206" s="2"/>
      <c r="GMB206" s="2"/>
      <c r="GMC206" s="2"/>
      <c r="GMD206" s="2"/>
      <c r="GME206" s="2"/>
      <c r="GMF206" s="2"/>
      <c r="GMG206" s="2"/>
      <c r="GMH206" s="2"/>
      <c r="GMI206" s="2"/>
      <c r="GMJ206" s="2"/>
      <c r="GMK206" s="2"/>
      <c r="GML206" s="2"/>
      <c r="GMM206" s="2"/>
      <c r="GMN206" s="2"/>
      <c r="GMO206" s="2"/>
      <c r="GMP206" s="2"/>
      <c r="GMQ206" s="2"/>
      <c r="GMR206" s="2"/>
      <c r="GMS206" s="2"/>
      <c r="GMT206" s="2"/>
      <c r="GMU206" s="2"/>
      <c r="GMV206" s="2"/>
      <c r="GMW206" s="2"/>
      <c r="GMX206" s="2"/>
      <c r="GMY206" s="2"/>
      <c r="GMZ206" s="2"/>
      <c r="GNA206" s="2"/>
      <c r="GNB206" s="2"/>
      <c r="GNC206" s="2"/>
      <c r="GND206" s="2"/>
      <c r="GNE206" s="2"/>
      <c r="GNF206" s="2"/>
      <c r="GNG206" s="2"/>
      <c r="GNH206" s="2"/>
      <c r="GNI206" s="2"/>
      <c r="GNJ206" s="2"/>
      <c r="GNK206" s="2"/>
      <c r="GNL206" s="2"/>
      <c r="GNM206" s="2"/>
      <c r="GNN206" s="2"/>
      <c r="GNO206" s="2"/>
      <c r="GNP206" s="2"/>
      <c r="GNQ206" s="2"/>
      <c r="GNR206" s="2"/>
      <c r="GNS206" s="2"/>
      <c r="GNT206" s="2"/>
      <c r="GNU206" s="2"/>
      <c r="GNV206" s="2"/>
      <c r="GNW206" s="2"/>
      <c r="GNX206" s="2"/>
      <c r="GNY206" s="2"/>
      <c r="GNZ206" s="2"/>
      <c r="GOA206" s="2"/>
      <c r="GOB206" s="2"/>
      <c r="GOC206" s="2"/>
      <c r="GOD206" s="2"/>
      <c r="GOE206" s="2"/>
      <c r="GOF206" s="2"/>
      <c r="GOG206" s="2"/>
      <c r="GOH206" s="2"/>
      <c r="GOI206" s="2"/>
      <c r="GOJ206" s="2"/>
      <c r="GOK206" s="2"/>
      <c r="GOL206" s="2"/>
      <c r="GOM206" s="2"/>
      <c r="GON206" s="2"/>
      <c r="GOO206" s="2"/>
      <c r="GOP206" s="2"/>
      <c r="GOQ206" s="2"/>
      <c r="GOR206" s="2"/>
      <c r="GOS206" s="2"/>
      <c r="GOT206" s="2"/>
      <c r="GOU206" s="2"/>
      <c r="GOV206" s="2"/>
      <c r="GOW206" s="2"/>
      <c r="GOX206" s="2"/>
      <c r="GOY206" s="2"/>
      <c r="GOZ206" s="2"/>
      <c r="GPA206" s="2"/>
      <c r="GPB206" s="2"/>
      <c r="GPC206" s="2"/>
      <c r="GPD206" s="2"/>
      <c r="GPE206" s="2"/>
      <c r="GPF206" s="2"/>
      <c r="GPG206" s="2"/>
      <c r="GPH206" s="2"/>
      <c r="GPI206" s="2"/>
      <c r="GPJ206" s="2"/>
      <c r="GPK206" s="2"/>
      <c r="GPL206" s="2"/>
      <c r="GPM206" s="2"/>
      <c r="GPN206" s="2"/>
      <c r="GPO206" s="2"/>
      <c r="GPP206" s="2"/>
      <c r="GPQ206" s="2"/>
      <c r="GPR206" s="2"/>
      <c r="GPS206" s="2"/>
      <c r="GPT206" s="2"/>
      <c r="GPU206" s="2"/>
      <c r="GPV206" s="2"/>
      <c r="GPW206" s="2"/>
      <c r="GPX206" s="2"/>
      <c r="GPY206" s="2"/>
      <c r="GPZ206" s="2"/>
      <c r="GQA206" s="2"/>
      <c r="GQB206" s="2"/>
      <c r="GQC206" s="2"/>
      <c r="GQD206" s="2"/>
      <c r="GQE206" s="2"/>
      <c r="GQF206" s="2"/>
      <c r="GQG206" s="2"/>
      <c r="GQH206" s="2"/>
      <c r="GQI206" s="2"/>
      <c r="GQJ206" s="2"/>
      <c r="GQK206" s="2"/>
      <c r="GQL206" s="2"/>
      <c r="GQM206" s="2"/>
      <c r="GQN206" s="2"/>
      <c r="GQO206" s="2"/>
      <c r="GQP206" s="2"/>
      <c r="GQQ206" s="2"/>
      <c r="GQR206" s="2"/>
      <c r="GQS206" s="2"/>
      <c r="GQT206" s="2"/>
      <c r="GQU206" s="2"/>
      <c r="GQV206" s="2"/>
      <c r="GQW206" s="2"/>
      <c r="GQX206" s="2"/>
      <c r="GQY206" s="2"/>
      <c r="GQZ206" s="2"/>
      <c r="GRA206" s="2"/>
      <c r="GRB206" s="2"/>
      <c r="GRC206" s="2"/>
      <c r="GRD206" s="2"/>
      <c r="GRE206" s="2"/>
      <c r="GRF206" s="2"/>
      <c r="GRG206" s="2"/>
      <c r="GRH206" s="2"/>
      <c r="GRI206" s="2"/>
      <c r="GRJ206" s="2"/>
      <c r="GRK206" s="2"/>
      <c r="GRL206" s="2"/>
      <c r="GRM206" s="2"/>
      <c r="GRN206" s="2"/>
      <c r="GRO206" s="2"/>
      <c r="GRP206" s="2"/>
      <c r="GRQ206" s="2"/>
      <c r="GRR206" s="2"/>
      <c r="GRS206" s="2"/>
      <c r="GRT206" s="2"/>
      <c r="GRU206" s="2"/>
      <c r="GRV206" s="2"/>
      <c r="GRW206" s="2"/>
      <c r="GRX206" s="2"/>
      <c r="GRY206" s="2"/>
      <c r="GRZ206" s="2"/>
      <c r="GSA206" s="2"/>
      <c r="GSB206" s="2"/>
      <c r="GSC206" s="2"/>
      <c r="GSD206" s="2"/>
      <c r="GSE206" s="2"/>
      <c r="GSF206" s="2"/>
      <c r="GSG206" s="2"/>
      <c r="GSH206" s="2"/>
      <c r="GSI206" s="2"/>
      <c r="GSJ206" s="2"/>
      <c r="GSK206" s="2"/>
      <c r="GSL206" s="2"/>
      <c r="GSM206" s="2"/>
      <c r="GSN206" s="2"/>
      <c r="GSO206" s="2"/>
      <c r="GSP206" s="2"/>
      <c r="GSQ206" s="2"/>
      <c r="GSR206" s="2"/>
      <c r="GSS206" s="2"/>
      <c r="GST206" s="2"/>
      <c r="GSU206" s="2"/>
      <c r="GSV206" s="2"/>
      <c r="GSW206" s="2"/>
      <c r="GSX206" s="2"/>
      <c r="GSY206" s="2"/>
      <c r="GSZ206" s="2"/>
      <c r="GTA206" s="2"/>
      <c r="GTB206" s="2"/>
      <c r="GTC206" s="2"/>
      <c r="GTD206" s="2"/>
      <c r="GTE206" s="2"/>
      <c r="GTF206" s="2"/>
      <c r="GTG206" s="2"/>
      <c r="GTH206" s="2"/>
      <c r="GTI206" s="2"/>
      <c r="GTJ206" s="2"/>
      <c r="GTK206" s="2"/>
      <c r="GTL206" s="2"/>
      <c r="GTM206" s="2"/>
      <c r="GTN206" s="2"/>
      <c r="GTO206" s="2"/>
      <c r="GTP206" s="2"/>
      <c r="GTQ206" s="2"/>
      <c r="GTR206" s="2"/>
      <c r="GTS206" s="2"/>
      <c r="GTT206" s="2"/>
      <c r="GTU206" s="2"/>
      <c r="GTV206" s="2"/>
      <c r="GTW206" s="2"/>
      <c r="GTX206" s="2"/>
      <c r="GTY206" s="2"/>
      <c r="GTZ206" s="2"/>
      <c r="GUA206" s="2"/>
      <c r="GUB206" s="2"/>
      <c r="GUC206" s="2"/>
      <c r="GUD206" s="2"/>
      <c r="GUE206" s="2"/>
      <c r="GUF206" s="2"/>
      <c r="GUG206" s="2"/>
      <c r="GUH206" s="2"/>
      <c r="GUI206" s="2"/>
      <c r="GUJ206" s="2"/>
      <c r="GUK206" s="2"/>
      <c r="GUL206" s="2"/>
      <c r="GUM206" s="2"/>
      <c r="GUN206" s="2"/>
      <c r="GUO206" s="2"/>
      <c r="GUP206" s="2"/>
      <c r="GUQ206" s="2"/>
      <c r="GUR206" s="2"/>
      <c r="GUS206" s="2"/>
      <c r="GUT206" s="2"/>
      <c r="GUU206" s="2"/>
      <c r="GUV206" s="2"/>
      <c r="GUW206" s="2"/>
      <c r="GUX206" s="2"/>
      <c r="GUY206" s="2"/>
      <c r="GUZ206" s="2"/>
      <c r="GVA206" s="2"/>
      <c r="GVB206" s="2"/>
      <c r="GVC206" s="2"/>
      <c r="GVD206" s="2"/>
      <c r="GVE206" s="2"/>
      <c r="GVF206" s="2"/>
      <c r="GVG206" s="2"/>
      <c r="GVH206" s="2"/>
      <c r="GVI206" s="2"/>
      <c r="GVJ206" s="2"/>
      <c r="GVK206" s="2"/>
      <c r="GVL206" s="2"/>
      <c r="GVM206" s="2"/>
      <c r="GVN206" s="2"/>
      <c r="GVO206" s="2"/>
      <c r="GVP206" s="2"/>
      <c r="GVQ206" s="2"/>
      <c r="GVR206" s="2"/>
      <c r="GVS206" s="2"/>
      <c r="GVT206" s="2"/>
      <c r="GVU206" s="2"/>
      <c r="GVV206" s="2"/>
      <c r="GVW206" s="2"/>
      <c r="GVX206" s="2"/>
      <c r="GVY206" s="2"/>
      <c r="GVZ206" s="2"/>
      <c r="GWA206" s="2"/>
      <c r="GWB206" s="2"/>
      <c r="GWC206" s="2"/>
      <c r="GWD206" s="2"/>
      <c r="GWE206" s="2"/>
      <c r="GWF206" s="2"/>
      <c r="GWG206" s="2"/>
      <c r="GWH206" s="2"/>
      <c r="GWI206" s="2"/>
      <c r="GWJ206" s="2"/>
      <c r="GWK206" s="2"/>
      <c r="GWL206" s="2"/>
      <c r="GWM206" s="2"/>
      <c r="GWN206" s="2"/>
      <c r="GWO206" s="2"/>
      <c r="GWP206" s="2"/>
      <c r="GWQ206" s="2"/>
      <c r="GWR206" s="2"/>
      <c r="GWS206" s="2"/>
      <c r="GWT206" s="2"/>
      <c r="GWU206" s="2"/>
      <c r="GWV206" s="2"/>
      <c r="GWW206" s="2"/>
      <c r="GWX206" s="2"/>
      <c r="GWY206" s="2"/>
      <c r="GWZ206" s="2"/>
      <c r="GXA206" s="2"/>
      <c r="GXB206" s="2"/>
      <c r="GXC206" s="2"/>
      <c r="GXD206" s="2"/>
      <c r="GXE206" s="2"/>
      <c r="GXF206" s="2"/>
      <c r="GXG206" s="2"/>
      <c r="GXH206" s="2"/>
      <c r="GXI206" s="2"/>
      <c r="GXJ206" s="2"/>
      <c r="GXK206" s="2"/>
      <c r="GXL206" s="2"/>
      <c r="GXM206" s="2"/>
      <c r="GXN206" s="2"/>
      <c r="GXO206" s="2"/>
      <c r="GXP206" s="2"/>
      <c r="GXQ206" s="2"/>
      <c r="GXR206" s="2"/>
      <c r="GXS206" s="2"/>
      <c r="GXT206" s="2"/>
      <c r="GXU206" s="2"/>
      <c r="GXV206" s="2"/>
      <c r="GXW206" s="2"/>
      <c r="GXX206" s="2"/>
      <c r="GXY206" s="2"/>
      <c r="GXZ206" s="2"/>
      <c r="GYA206" s="2"/>
      <c r="GYB206" s="2"/>
      <c r="GYC206" s="2"/>
      <c r="GYD206" s="2"/>
      <c r="GYE206" s="2"/>
      <c r="GYF206" s="2"/>
      <c r="GYG206" s="2"/>
      <c r="GYH206" s="2"/>
      <c r="GYI206" s="2"/>
      <c r="GYJ206" s="2"/>
      <c r="GYK206" s="2"/>
      <c r="GYL206" s="2"/>
      <c r="GYM206" s="2"/>
      <c r="GYN206" s="2"/>
      <c r="GYO206" s="2"/>
      <c r="GYP206" s="2"/>
      <c r="GYQ206" s="2"/>
      <c r="GYR206" s="2"/>
      <c r="GYS206" s="2"/>
      <c r="GYT206" s="2"/>
      <c r="GYU206" s="2"/>
      <c r="GYV206" s="2"/>
      <c r="GYW206" s="2"/>
      <c r="GYX206" s="2"/>
      <c r="GYY206" s="2"/>
      <c r="GYZ206" s="2"/>
      <c r="GZA206" s="2"/>
      <c r="GZB206" s="2"/>
      <c r="GZC206" s="2"/>
      <c r="GZD206" s="2"/>
      <c r="GZE206" s="2"/>
      <c r="GZF206" s="2"/>
      <c r="GZG206" s="2"/>
      <c r="GZH206" s="2"/>
      <c r="GZI206" s="2"/>
      <c r="GZJ206" s="2"/>
      <c r="GZK206" s="2"/>
      <c r="GZL206" s="2"/>
      <c r="GZM206" s="2"/>
      <c r="GZN206" s="2"/>
      <c r="GZO206" s="2"/>
      <c r="GZP206" s="2"/>
      <c r="GZQ206" s="2"/>
      <c r="GZR206" s="2"/>
      <c r="GZS206" s="2"/>
      <c r="GZT206" s="2"/>
      <c r="GZU206" s="2"/>
      <c r="GZV206" s="2"/>
      <c r="GZW206" s="2"/>
      <c r="GZX206" s="2"/>
      <c r="GZY206" s="2"/>
      <c r="GZZ206" s="2"/>
      <c r="HAA206" s="2"/>
      <c r="HAB206" s="2"/>
      <c r="HAC206" s="2"/>
      <c r="HAD206" s="2"/>
      <c r="HAE206" s="2"/>
      <c r="HAF206" s="2"/>
      <c r="HAG206" s="2"/>
      <c r="HAH206" s="2"/>
      <c r="HAI206" s="2"/>
      <c r="HAJ206" s="2"/>
      <c r="HAK206" s="2"/>
      <c r="HAL206" s="2"/>
      <c r="HAM206" s="2"/>
      <c r="HAN206" s="2"/>
      <c r="HAO206" s="2"/>
      <c r="HAP206" s="2"/>
      <c r="HAQ206" s="2"/>
      <c r="HAR206" s="2"/>
      <c r="HAS206" s="2"/>
      <c r="HAT206" s="2"/>
      <c r="HAU206" s="2"/>
      <c r="HAV206" s="2"/>
      <c r="HAW206" s="2"/>
      <c r="HAX206" s="2"/>
      <c r="HAY206" s="2"/>
      <c r="HAZ206" s="2"/>
      <c r="HBA206" s="2"/>
      <c r="HBB206" s="2"/>
      <c r="HBC206" s="2"/>
      <c r="HBD206" s="2"/>
      <c r="HBE206" s="2"/>
      <c r="HBF206" s="2"/>
      <c r="HBG206" s="2"/>
      <c r="HBH206" s="2"/>
      <c r="HBI206" s="2"/>
      <c r="HBJ206" s="2"/>
      <c r="HBK206" s="2"/>
      <c r="HBL206" s="2"/>
      <c r="HBM206" s="2"/>
      <c r="HBN206" s="2"/>
      <c r="HBO206" s="2"/>
      <c r="HBP206" s="2"/>
      <c r="HBQ206" s="2"/>
      <c r="HBR206" s="2"/>
      <c r="HBS206" s="2"/>
      <c r="HBT206" s="2"/>
      <c r="HBU206" s="2"/>
      <c r="HBV206" s="2"/>
      <c r="HBW206" s="2"/>
      <c r="HBX206" s="2"/>
      <c r="HBY206" s="2"/>
      <c r="HBZ206" s="2"/>
      <c r="HCA206" s="2"/>
      <c r="HCB206" s="2"/>
      <c r="HCC206" s="2"/>
      <c r="HCD206" s="2"/>
      <c r="HCE206" s="2"/>
      <c r="HCF206" s="2"/>
      <c r="HCG206" s="2"/>
      <c r="HCH206" s="2"/>
      <c r="HCI206" s="2"/>
      <c r="HCJ206" s="2"/>
      <c r="HCK206" s="2"/>
      <c r="HCL206" s="2"/>
      <c r="HCM206" s="2"/>
      <c r="HCN206" s="2"/>
      <c r="HCO206" s="2"/>
      <c r="HCP206" s="2"/>
      <c r="HCQ206" s="2"/>
      <c r="HCR206" s="2"/>
      <c r="HCS206" s="2"/>
      <c r="HCT206" s="2"/>
      <c r="HCU206" s="2"/>
      <c r="HCV206" s="2"/>
      <c r="HCW206" s="2"/>
      <c r="HCX206" s="2"/>
      <c r="HCY206" s="2"/>
      <c r="HCZ206" s="2"/>
      <c r="HDA206" s="2"/>
      <c r="HDB206" s="2"/>
      <c r="HDC206" s="2"/>
      <c r="HDD206" s="2"/>
      <c r="HDE206" s="2"/>
      <c r="HDF206" s="2"/>
      <c r="HDG206" s="2"/>
      <c r="HDH206" s="2"/>
      <c r="HDI206" s="2"/>
      <c r="HDJ206" s="2"/>
      <c r="HDK206" s="2"/>
      <c r="HDL206" s="2"/>
      <c r="HDM206" s="2"/>
      <c r="HDN206" s="2"/>
      <c r="HDO206" s="2"/>
      <c r="HDP206" s="2"/>
      <c r="HDQ206" s="2"/>
      <c r="HDR206" s="2"/>
      <c r="HDS206" s="2"/>
      <c r="HDT206" s="2"/>
      <c r="HDU206" s="2"/>
      <c r="HDV206" s="2"/>
      <c r="HDW206" s="2"/>
      <c r="HDX206" s="2"/>
      <c r="HDY206" s="2"/>
      <c r="HDZ206" s="2"/>
      <c r="HEA206" s="2"/>
      <c r="HEB206" s="2"/>
      <c r="HEC206" s="2"/>
      <c r="HED206" s="2"/>
      <c r="HEE206" s="2"/>
      <c r="HEF206" s="2"/>
      <c r="HEG206" s="2"/>
      <c r="HEH206" s="2"/>
      <c r="HEI206" s="2"/>
      <c r="HEJ206" s="2"/>
      <c r="HEK206" s="2"/>
      <c r="HEL206" s="2"/>
      <c r="HEM206" s="2"/>
      <c r="HEN206" s="2"/>
      <c r="HEO206" s="2"/>
      <c r="HEP206" s="2"/>
      <c r="HEQ206" s="2"/>
      <c r="HER206" s="2"/>
      <c r="HES206" s="2"/>
      <c r="HET206" s="2"/>
      <c r="HEU206" s="2"/>
      <c r="HEV206" s="2"/>
      <c r="HEW206" s="2"/>
      <c r="HEX206" s="2"/>
      <c r="HEY206" s="2"/>
      <c r="HEZ206" s="2"/>
      <c r="HFA206" s="2"/>
      <c r="HFB206" s="2"/>
      <c r="HFC206" s="2"/>
      <c r="HFD206" s="2"/>
      <c r="HFE206" s="2"/>
      <c r="HFF206" s="2"/>
      <c r="HFG206" s="2"/>
      <c r="HFH206" s="2"/>
      <c r="HFI206" s="2"/>
      <c r="HFJ206" s="2"/>
      <c r="HFK206" s="2"/>
      <c r="HFL206" s="2"/>
      <c r="HFM206" s="2"/>
      <c r="HFN206" s="2"/>
      <c r="HFO206" s="2"/>
      <c r="HFP206" s="2"/>
      <c r="HFQ206" s="2"/>
      <c r="HFR206" s="2"/>
      <c r="HFS206" s="2"/>
      <c r="HFT206" s="2"/>
      <c r="HFU206" s="2"/>
      <c r="HFV206" s="2"/>
      <c r="HFW206" s="2"/>
      <c r="HFX206" s="2"/>
      <c r="HFY206" s="2"/>
      <c r="HFZ206" s="2"/>
      <c r="HGA206" s="2"/>
      <c r="HGB206" s="2"/>
      <c r="HGC206" s="2"/>
      <c r="HGD206" s="2"/>
      <c r="HGE206" s="2"/>
      <c r="HGF206" s="2"/>
      <c r="HGG206" s="2"/>
      <c r="HGH206" s="2"/>
      <c r="HGI206" s="2"/>
      <c r="HGJ206" s="2"/>
      <c r="HGK206" s="2"/>
      <c r="HGL206" s="2"/>
      <c r="HGM206" s="2"/>
      <c r="HGN206" s="2"/>
      <c r="HGO206" s="2"/>
      <c r="HGP206" s="2"/>
      <c r="HGQ206" s="2"/>
      <c r="HGR206" s="2"/>
      <c r="HGS206" s="2"/>
      <c r="HGT206" s="2"/>
      <c r="HGU206" s="2"/>
      <c r="HGV206" s="2"/>
      <c r="HGW206" s="2"/>
      <c r="HGX206" s="2"/>
      <c r="HGY206" s="2"/>
      <c r="HGZ206" s="2"/>
      <c r="HHA206" s="2"/>
      <c r="HHB206" s="2"/>
      <c r="HHC206" s="2"/>
      <c r="HHD206" s="2"/>
      <c r="HHE206" s="2"/>
      <c r="HHF206" s="2"/>
      <c r="HHG206" s="2"/>
      <c r="HHH206" s="2"/>
      <c r="HHI206" s="2"/>
      <c r="HHJ206" s="2"/>
      <c r="HHK206" s="2"/>
      <c r="HHL206" s="2"/>
      <c r="HHM206" s="2"/>
      <c r="HHN206" s="2"/>
      <c r="HHO206" s="2"/>
      <c r="HHP206" s="2"/>
      <c r="HHQ206" s="2"/>
      <c r="HHR206" s="2"/>
      <c r="HHS206" s="2"/>
      <c r="HHT206" s="2"/>
      <c r="HHU206" s="2"/>
      <c r="HHV206" s="2"/>
      <c r="HHW206" s="2"/>
      <c r="HHX206" s="2"/>
      <c r="HHY206" s="2"/>
      <c r="HHZ206" s="2"/>
      <c r="HIA206" s="2"/>
      <c r="HIB206" s="2"/>
      <c r="HIC206" s="2"/>
      <c r="HID206" s="2"/>
      <c r="HIE206" s="2"/>
      <c r="HIF206" s="2"/>
      <c r="HIG206" s="2"/>
      <c r="HIH206" s="2"/>
      <c r="HII206" s="2"/>
      <c r="HIJ206" s="2"/>
      <c r="HIK206" s="2"/>
      <c r="HIL206" s="2"/>
      <c r="HIM206" s="2"/>
      <c r="HIN206" s="2"/>
      <c r="HIO206" s="2"/>
      <c r="HIP206" s="2"/>
      <c r="HIQ206" s="2"/>
      <c r="HIR206" s="2"/>
      <c r="HIS206" s="2"/>
      <c r="HIT206" s="2"/>
      <c r="HIU206" s="2"/>
      <c r="HIV206" s="2"/>
      <c r="HIW206" s="2"/>
      <c r="HIX206" s="2"/>
      <c r="HIY206" s="2"/>
      <c r="HIZ206" s="2"/>
      <c r="HJA206" s="2"/>
      <c r="HJB206" s="2"/>
      <c r="HJC206" s="2"/>
      <c r="HJD206" s="2"/>
      <c r="HJE206" s="2"/>
      <c r="HJF206" s="2"/>
      <c r="HJG206" s="2"/>
      <c r="HJH206" s="2"/>
      <c r="HJI206" s="2"/>
      <c r="HJJ206" s="2"/>
      <c r="HJK206" s="2"/>
      <c r="HJL206" s="2"/>
      <c r="HJM206" s="2"/>
      <c r="HJN206" s="2"/>
      <c r="HJO206" s="2"/>
      <c r="HJP206" s="2"/>
      <c r="HJQ206" s="2"/>
      <c r="HJR206" s="2"/>
      <c r="HJS206" s="2"/>
      <c r="HJT206" s="2"/>
      <c r="HJU206" s="2"/>
      <c r="HJV206" s="2"/>
      <c r="HJW206" s="2"/>
      <c r="HJX206" s="2"/>
      <c r="HJY206" s="2"/>
      <c r="HJZ206" s="2"/>
      <c r="HKA206" s="2"/>
      <c r="HKB206" s="2"/>
      <c r="HKC206" s="2"/>
      <c r="HKD206" s="2"/>
      <c r="HKE206" s="2"/>
      <c r="HKF206" s="2"/>
      <c r="HKG206" s="2"/>
      <c r="HKH206" s="2"/>
      <c r="HKI206" s="2"/>
      <c r="HKJ206" s="2"/>
      <c r="HKK206" s="2"/>
      <c r="HKL206" s="2"/>
      <c r="HKM206" s="2"/>
      <c r="HKN206" s="2"/>
      <c r="HKO206" s="2"/>
      <c r="HKP206" s="2"/>
      <c r="HKQ206" s="2"/>
      <c r="HKR206" s="2"/>
      <c r="HKS206" s="2"/>
      <c r="HKT206" s="2"/>
      <c r="HKU206" s="2"/>
      <c r="HKV206" s="2"/>
      <c r="HKW206" s="2"/>
      <c r="HKX206" s="2"/>
      <c r="HKY206" s="2"/>
      <c r="HKZ206" s="2"/>
      <c r="HLA206" s="2"/>
      <c r="HLB206" s="2"/>
      <c r="HLC206" s="2"/>
      <c r="HLD206" s="2"/>
      <c r="HLE206" s="2"/>
      <c r="HLF206" s="2"/>
      <c r="HLG206" s="2"/>
      <c r="HLH206" s="2"/>
      <c r="HLI206" s="2"/>
      <c r="HLJ206" s="2"/>
      <c r="HLK206" s="2"/>
      <c r="HLL206" s="2"/>
      <c r="HLM206" s="2"/>
      <c r="HLN206" s="2"/>
      <c r="HLO206" s="2"/>
      <c r="HLP206" s="2"/>
      <c r="HLQ206" s="2"/>
      <c r="HLR206" s="2"/>
      <c r="HLS206" s="2"/>
      <c r="HLT206" s="2"/>
      <c r="HLU206" s="2"/>
      <c r="HLV206" s="2"/>
      <c r="HLW206" s="2"/>
      <c r="HLX206" s="2"/>
      <c r="HLY206" s="2"/>
      <c r="HLZ206" s="2"/>
      <c r="HMA206" s="2"/>
      <c r="HMB206" s="2"/>
      <c r="HMC206" s="2"/>
      <c r="HMD206" s="2"/>
      <c r="HME206" s="2"/>
      <c r="HMF206" s="2"/>
      <c r="HMG206" s="2"/>
      <c r="HMH206" s="2"/>
      <c r="HMI206" s="2"/>
      <c r="HMJ206" s="2"/>
      <c r="HMK206" s="2"/>
      <c r="HML206" s="2"/>
      <c r="HMM206" s="2"/>
      <c r="HMN206" s="2"/>
      <c r="HMO206" s="2"/>
      <c r="HMP206" s="2"/>
      <c r="HMQ206" s="2"/>
      <c r="HMR206" s="2"/>
      <c r="HMS206" s="2"/>
      <c r="HMT206" s="2"/>
      <c r="HMU206" s="2"/>
      <c r="HMV206" s="2"/>
      <c r="HMW206" s="2"/>
      <c r="HMX206" s="2"/>
      <c r="HMY206" s="2"/>
      <c r="HMZ206" s="2"/>
      <c r="HNA206" s="2"/>
      <c r="HNB206" s="2"/>
      <c r="HNC206" s="2"/>
      <c r="HND206" s="2"/>
      <c r="HNE206" s="2"/>
      <c r="HNF206" s="2"/>
      <c r="HNG206" s="2"/>
      <c r="HNH206" s="2"/>
      <c r="HNI206" s="2"/>
      <c r="HNJ206" s="2"/>
      <c r="HNK206" s="2"/>
      <c r="HNL206" s="2"/>
      <c r="HNM206" s="2"/>
      <c r="HNN206" s="2"/>
      <c r="HNO206" s="2"/>
      <c r="HNP206" s="2"/>
      <c r="HNQ206" s="2"/>
      <c r="HNR206" s="2"/>
      <c r="HNS206" s="2"/>
      <c r="HNT206" s="2"/>
      <c r="HNU206" s="2"/>
      <c r="HNV206" s="2"/>
      <c r="HNW206" s="2"/>
      <c r="HNX206" s="2"/>
      <c r="HNY206" s="2"/>
      <c r="HNZ206" s="2"/>
      <c r="HOA206" s="2"/>
      <c r="HOB206" s="2"/>
      <c r="HOC206" s="2"/>
      <c r="HOD206" s="2"/>
      <c r="HOE206" s="2"/>
      <c r="HOF206" s="2"/>
      <c r="HOG206" s="2"/>
      <c r="HOH206" s="2"/>
      <c r="HOI206" s="2"/>
      <c r="HOJ206" s="2"/>
      <c r="HOK206" s="2"/>
      <c r="HOL206" s="2"/>
      <c r="HOM206" s="2"/>
      <c r="HON206" s="2"/>
      <c r="HOO206" s="2"/>
      <c r="HOP206" s="2"/>
      <c r="HOQ206" s="2"/>
      <c r="HOR206" s="2"/>
      <c r="HOS206" s="2"/>
      <c r="HOT206" s="2"/>
      <c r="HOU206" s="2"/>
      <c r="HOV206" s="2"/>
      <c r="HOW206" s="2"/>
      <c r="HOX206" s="2"/>
      <c r="HOY206" s="2"/>
      <c r="HOZ206" s="2"/>
      <c r="HPA206" s="2"/>
      <c r="HPB206" s="2"/>
      <c r="HPC206" s="2"/>
      <c r="HPD206" s="2"/>
      <c r="HPE206" s="2"/>
      <c r="HPF206" s="2"/>
      <c r="HPG206" s="2"/>
      <c r="HPH206" s="2"/>
      <c r="HPI206" s="2"/>
      <c r="HPJ206" s="2"/>
      <c r="HPK206" s="2"/>
      <c r="HPL206" s="2"/>
      <c r="HPM206" s="2"/>
      <c r="HPN206" s="2"/>
      <c r="HPO206" s="2"/>
      <c r="HPP206" s="2"/>
      <c r="HPQ206" s="2"/>
      <c r="HPR206" s="2"/>
      <c r="HPS206" s="2"/>
      <c r="HPT206" s="2"/>
      <c r="HPU206" s="2"/>
      <c r="HPV206" s="2"/>
      <c r="HPW206" s="2"/>
      <c r="HPX206" s="2"/>
      <c r="HPY206" s="2"/>
      <c r="HPZ206" s="2"/>
      <c r="HQA206" s="2"/>
      <c r="HQB206" s="2"/>
      <c r="HQC206" s="2"/>
      <c r="HQD206" s="2"/>
      <c r="HQE206" s="2"/>
      <c r="HQF206" s="2"/>
      <c r="HQG206" s="2"/>
      <c r="HQH206" s="2"/>
      <c r="HQI206" s="2"/>
      <c r="HQJ206" s="2"/>
      <c r="HQK206" s="2"/>
      <c r="HQL206" s="2"/>
      <c r="HQM206" s="2"/>
      <c r="HQN206" s="2"/>
      <c r="HQO206" s="2"/>
      <c r="HQP206" s="2"/>
      <c r="HQQ206" s="2"/>
      <c r="HQR206" s="2"/>
      <c r="HQS206" s="2"/>
      <c r="HQT206" s="2"/>
      <c r="HQU206" s="2"/>
      <c r="HQV206" s="2"/>
      <c r="HQW206" s="2"/>
      <c r="HQX206" s="2"/>
      <c r="HQY206" s="2"/>
      <c r="HQZ206" s="2"/>
      <c r="HRA206" s="2"/>
      <c r="HRB206" s="2"/>
      <c r="HRC206" s="2"/>
      <c r="HRD206" s="2"/>
      <c r="HRE206" s="2"/>
      <c r="HRF206" s="2"/>
      <c r="HRG206" s="2"/>
      <c r="HRH206" s="2"/>
      <c r="HRI206" s="2"/>
      <c r="HRJ206" s="2"/>
      <c r="HRK206" s="2"/>
      <c r="HRL206" s="2"/>
      <c r="HRM206" s="2"/>
      <c r="HRN206" s="2"/>
      <c r="HRO206" s="2"/>
      <c r="HRP206" s="2"/>
      <c r="HRQ206" s="2"/>
      <c r="HRR206" s="2"/>
      <c r="HRS206" s="2"/>
      <c r="HRT206" s="2"/>
      <c r="HRU206" s="2"/>
      <c r="HRV206" s="2"/>
      <c r="HRW206" s="2"/>
      <c r="HRX206" s="2"/>
      <c r="HRY206" s="2"/>
      <c r="HRZ206" s="2"/>
      <c r="HSA206" s="2"/>
      <c r="HSB206" s="2"/>
      <c r="HSC206" s="2"/>
      <c r="HSD206" s="2"/>
      <c r="HSE206" s="2"/>
      <c r="HSF206" s="2"/>
      <c r="HSG206" s="2"/>
      <c r="HSH206" s="2"/>
      <c r="HSI206" s="2"/>
      <c r="HSJ206" s="2"/>
      <c r="HSK206" s="2"/>
      <c r="HSL206" s="2"/>
      <c r="HSM206" s="2"/>
      <c r="HSN206" s="2"/>
      <c r="HSO206" s="2"/>
      <c r="HSP206" s="2"/>
      <c r="HSQ206" s="2"/>
      <c r="HSR206" s="2"/>
      <c r="HSS206" s="2"/>
      <c r="HST206" s="2"/>
      <c r="HSU206" s="2"/>
      <c r="HSV206" s="2"/>
      <c r="HSW206" s="2"/>
      <c r="HSX206" s="2"/>
      <c r="HSY206" s="2"/>
      <c r="HSZ206" s="2"/>
      <c r="HTA206" s="2"/>
      <c r="HTB206" s="2"/>
      <c r="HTC206" s="2"/>
      <c r="HTD206" s="2"/>
      <c r="HTE206" s="2"/>
      <c r="HTF206" s="2"/>
      <c r="HTG206" s="2"/>
      <c r="HTH206" s="2"/>
      <c r="HTI206" s="2"/>
      <c r="HTJ206" s="2"/>
      <c r="HTK206" s="2"/>
      <c r="HTL206" s="2"/>
      <c r="HTM206" s="2"/>
      <c r="HTN206" s="2"/>
      <c r="HTO206" s="2"/>
      <c r="HTP206" s="2"/>
      <c r="HTQ206" s="2"/>
      <c r="HTR206" s="2"/>
      <c r="HTS206" s="2"/>
      <c r="HTT206" s="2"/>
      <c r="HTU206" s="2"/>
      <c r="HTV206" s="2"/>
      <c r="HTW206" s="2"/>
      <c r="HTX206" s="2"/>
      <c r="HTY206" s="2"/>
      <c r="HTZ206" s="2"/>
      <c r="HUA206" s="2"/>
      <c r="HUB206" s="2"/>
      <c r="HUC206" s="2"/>
      <c r="HUD206" s="2"/>
      <c r="HUE206" s="2"/>
      <c r="HUF206" s="2"/>
      <c r="HUG206" s="2"/>
      <c r="HUH206" s="2"/>
      <c r="HUI206" s="2"/>
      <c r="HUJ206" s="2"/>
      <c r="HUK206" s="2"/>
      <c r="HUL206" s="2"/>
      <c r="HUM206" s="2"/>
      <c r="HUN206" s="2"/>
      <c r="HUO206" s="2"/>
      <c r="HUP206" s="2"/>
      <c r="HUQ206" s="2"/>
      <c r="HUR206" s="2"/>
      <c r="HUS206" s="2"/>
      <c r="HUT206" s="2"/>
      <c r="HUU206" s="2"/>
      <c r="HUV206" s="2"/>
      <c r="HUW206" s="2"/>
      <c r="HUX206" s="2"/>
      <c r="HUY206" s="2"/>
      <c r="HUZ206" s="2"/>
      <c r="HVA206" s="2"/>
      <c r="HVB206" s="2"/>
      <c r="HVC206" s="2"/>
      <c r="HVD206" s="2"/>
      <c r="HVE206" s="2"/>
      <c r="HVF206" s="2"/>
      <c r="HVG206" s="2"/>
      <c r="HVH206" s="2"/>
      <c r="HVI206" s="2"/>
      <c r="HVJ206" s="2"/>
      <c r="HVK206" s="2"/>
      <c r="HVL206" s="2"/>
      <c r="HVM206" s="2"/>
      <c r="HVN206" s="2"/>
      <c r="HVO206" s="2"/>
      <c r="HVP206" s="2"/>
      <c r="HVQ206" s="2"/>
      <c r="HVR206" s="2"/>
      <c r="HVS206" s="2"/>
      <c r="HVT206" s="2"/>
      <c r="HVU206" s="2"/>
      <c r="HVV206" s="2"/>
      <c r="HVW206" s="2"/>
      <c r="HVX206" s="2"/>
      <c r="HVY206" s="2"/>
      <c r="HVZ206" s="2"/>
      <c r="HWA206" s="2"/>
      <c r="HWB206" s="2"/>
      <c r="HWC206" s="2"/>
      <c r="HWD206" s="2"/>
      <c r="HWE206" s="2"/>
      <c r="HWF206" s="2"/>
      <c r="HWG206" s="2"/>
      <c r="HWH206" s="2"/>
      <c r="HWI206" s="2"/>
      <c r="HWJ206" s="2"/>
      <c r="HWK206" s="2"/>
      <c r="HWL206" s="2"/>
      <c r="HWM206" s="2"/>
      <c r="HWN206" s="2"/>
      <c r="HWO206" s="2"/>
      <c r="HWP206" s="2"/>
      <c r="HWQ206" s="2"/>
      <c r="HWR206" s="2"/>
      <c r="HWS206" s="2"/>
      <c r="HWT206" s="2"/>
      <c r="HWU206" s="2"/>
      <c r="HWV206" s="2"/>
      <c r="HWW206" s="2"/>
      <c r="HWX206" s="2"/>
      <c r="HWY206" s="2"/>
      <c r="HWZ206" s="2"/>
      <c r="HXA206" s="2"/>
      <c r="HXB206" s="2"/>
      <c r="HXC206" s="2"/>
      <c r="HXD206" s="2"/>
      <c r="HXE206" s="2"/>
      <c r="HXF206" s="2"/>
      <c r="HXG206" s="2"/>
      <c r="HXH206" s="2"/>
      <c r="HXI206" s="2"/>
      <c r="HXJ206" s="2"/>
      <c r="HXK206" s="2"/>
      <c r="HXL206" s="2"/>
      <c r="HXM206" s="2"/>
      <c r="HXN206" s="2"/>
      <c r="HXO206" s="2"/>
      <c r="HXP206" s="2"/>
      <c r="HXQ206" s="2"/>
      <c r="HXR206" s="2"/>
      <c r="HXS206" s="2"/>
      <c r="HXT206" s="2"/>
      <c r="HXU206" s="2"/>
      <c r="HXV206" s="2"/>
      <c r="HXW206" s="2"/>
      <c r="HXX206" s="2"/>
      <c r="HXY206" s="2"/>
      <c r="HXZ206" s="2"/>
      <c r="HYA206" s="2"/>
      <c r="HYB206" s="2"/>
      <c r="HYC206" s="2"/>
      <c r="HYD206" s="2"/>
      <c r="HYE206" s="2"/>
      <c r="HYF206" s="2"/>
      <c r="HYG206" s="2"/>
      <c r="HYH206" s="2"/>
      <c r="HYI206" s="2"/>
      <c r="HYJ206" s="2"/>
      <c r="HYK206" s="2"/>
      <c r="HYL206" s="2"/>
      <c r="HYM206" s="2"/>
      <c r="HYN206" s="2"/>
      <c r="HYO206" s="2"/>
      <c r="HYP206" s="2"/>
      <c r="HYQ206" s="2"/>
      <c r="HYR206" s="2"/>
      <c r="HYS206" s="2"/>
      <c r="HYT206" s="2"/>
      <c r="HYU206" s="2"/>
      <c r="HYV206" s="2"/>
      <c r="HYW206" s="2"/>
      <c r="HYX206" s="2"/>
      <c r="HYY206" s="2"/>
      <c r="HYZ206" s="2"/>
      <c r="HZA206" s="2"/>
      <c r="HZB206" s="2"/>
      <c r="HZC206" s="2"/>
      <c r="HZD206" s="2"/>
      <c r="HZE206" s="2"/>
      <c r="HZF206" s="2"/>
      <c r="HZG206" s="2"/>
      <c r="HZH206" s="2"/>
      <c r="HZI206" s="2"/>
      <c r="HZJ206" s="2"/>
      <c r="HZK206" s="2"/>
      <c r="HZL206" s="2"/>
      <c r="HZM206" s="2"/>
      <c r="HZN206" s="2"/>
      <c r="HZO206" s="2"/>
      <c r="HZP206" s="2"/>
      <c r="HZQ206" s="2"/>
      <c r="HZR206" s="2"/>
      <c r="HZS206" s="2"/>
      <c r="HZT206" s="2"/>
      <c r="HZU206" s="2"/>
      <c r="HZV206" s="2"/>
      <c r="HZW206" s="2"/>
      <c r="HZX206" s="2"/>
      <c r="HZY206" s="2"/>
      <c r="HZZ206" s="2"/>
      <c r="IAA206" s="2"/>
      <c r="IAB206" s="2"/>
      <c r="IAC206" s="2"/>
      <c r="IAD206" s="2"/>
      <c r="IAE206" s="2"/>
      <c r="IAF206" s="2"/>
      <c r="IAG206" s="2"/>
      <c r="IAH206" s="2"/>
      <c r="IAI206" s="2"/>
      <c r="IAJ206" s="2"/>
      <c r="IAK206" s="2"/>
      <c r="IAL206" s="2"/>
      <c r="IAM206" s="2"/>
      <c r="IAN206" s="2"/>
      <c r="IAO206" s="2"/>
      <c r="IAP206" s="2"/>
      <c r="IAQ206" s="2"/>
      <c r="IAR206" s="2"/>
      <c r="IAS206" s="2"/>
      <c r="IAT206" s="2"/>
      <c r="IAU206" s="2"/>
      <c r="IAV206" s="2"/>
      <c r="IAW206" s="2"/>
      <c r="IAX206" s="2"/>
      <c r="IAY206" s="2"/>
      <c r="IAZ206" s="2"/>
      <c r="IBA206" s="2"/>
      <c r="IBB206" s="2"/>
      <c r="IBC206" s="2"/>
      <c r="IBD206" s="2"/>
      <c r="IBE206" s="2"/>
      <c r="IBF206" s="2"/>
      <c r="IBG206" s="2"/>
      <c r="IBH206" s="2"/>
      <c r="IBI206" s="2"/>
      <c r="IBJ206" s="2"/>
      <c r="IBK206" s="2"/>
      <c r="IBL206" s="2"/>
      <c r="IBM206" s="2"/>
      <c r="IBN206" s="2"/>
      <c r="IBO206" s="2"/>
      <c r="IBP206" s="2"/>
      <c r="IBQ206" s="2"/>
      <c r="IBR206" s="2"/>
      <c r="IBS206" s="2"/>
      <c r="IBT206" s="2"/>
      <c r="IBU206" s="2"/>
      <c r="IBV206" s="2"/>
      <c r="IBW206" s="2"/>
      <c r="IBX206" s="2"/>
      <c r="IBY206" s="2"/>
      <c r="IBZ206" s="2"/>
      <c r="ICA206" s="2"/>
      <c r="ICB206" s="2"/>
      <c r="ICC206" s="2"/>
      <c r="ICD206" s="2"/>
      <c r="ICE206" s="2"/>
      <c r="ICF206" s="2"/>
      <c r="ICG206" s="2"/>
      <c r="ICH206" s="2"/>
      <c r="ICI206" s="2"/>
      <c r="ICJ206" s="2"/>
      <c r="ICK206" s="2"/>
      <c r="ICL206" s="2"/>
      <c r="ICM206" s="2"/>
      <c r="ICN206" s="2"/>
      <c r="ICO206" s="2"/>
      <c r="ICP206" s="2"/>
      <c r="ICQ206" s="2"/>
      <c r="ICR206" s="2"/>
      <c r="ICS206" s="2"/>
      <c r="ICT206" s="2"/>
      <c r="ICU206" s="2"/>
      <c r="ICV206" s="2"/>
      <c r="ICW206" s="2"/>
      <c r="ICX206" s="2"/>
      <c r="ICY206" s="2"/>
      <c r="ICZ206" s="2"/>
      <c r="IDA206" s="2"/>
      <c r="IDB206" s="2"/>
      <c r="IDC206" s="2"/>
      <c r="IDD206" s="2"/>
      <c r="IDE206" s="2"/>
      <c r="IDF206" s="2"/>
      <c r="IDG206" s="2"/>
      <c r="IDH206" s="2"/>
      <c r="IDI206" s="2"/>
      <c r="IDJ206" s="2"/>
      <c r="IDK206" s="2"/>
      <c r="IDL206" s="2"/>
      <c r="IDM206" s="2"/>
      <c r="IDN206" s="2"/>
      <c r="IDO206" s="2"/>
      <c r="IDP206" s="2"/>
      <c r="IDQ206" s="2"/>
      <c r="IDR206" s="2"/>
      <c r="IDS206" s="2"/>
      <c r="IDT206" s="2"/>
      <c r="IDU206" s="2"/>
      <c r="IDV206" s="2"/>
      <c r="IDW206" s="2"/>
      <c r="IDX206" s="2"/>
      <c r="IDY206" s="2"/>
      <c r="IDZ206" s="2"/>
      <c r="IEA206" s="2"/>
      <c r="IEB206" s="2"/>
      <c r="IEC206" s="2"/>
      <c r="IED206" s="2"/>
      <c r="IEE206" s="2"/>
      <c r="IEF206" s="2"/>
      <c r="IEG206" s="2"/>
      <c r="IEH206" s="2"/>
      <c r="IEI206" s="2"/>
      <c r="IEJ206" s="2"/>
      <c r="IEK206" s="2"/>
      <c r="IEL206" s="2"/>
      <c r="IEM206" s="2"/>
      <c r="IEN206" s="2"/>
      <c r="IEO206" s="2"/>
      <c r="IEP206" s="2"/>
      <c r="IEQ206" s="2"/>
      <c r="IER206" s="2"/>
      <c r="IES206" s="2"/>
      <c r="IET206" s="2"/>
      <c r="IEU206" s="2"/>
      <c r="IEV206" s="2"/>
      <c r="IEW206" s="2"/>
      <c r="IEX206" s="2"/>
      <c r="IEY206" s="2"/>
      <c r="IEZ206" s="2"/>
      <c r="IFA206" s="2"/>
      <c r="IFB206" s="2"/>
      <c r="IFC206" s="2"/>
      <c r="IFD206" s="2"/>
      <c r="IFE206" s="2"/>
      <c r="IFF206" s="2"/>
      <c r="IFG206" s="2"/>
      <c r="IFH206" s="2"/>
      <c r="IFI206" s="2"/>
      <c r="IFJ206" s="2"/>
      <c r="IFK206" s="2"/>
      <c r="IFL206" s="2"/>
      <c r="IFM206" s="2"/>
      <c r="IFN206" s="2"/>
      <c r="IFO206" s="2"/>
      <c r="IFP206" s="2"/>
      <c r="IFQ206" s="2"/>
      <c r="IFR206" s="2"/>
      <c r="IFS206" s="2"/>
      <c r="IFT206" s="2"/>
      <c r="IFU206" s="2"/>
      <c r="IFV206" s="2"/>
      <c r="IFW206" s="2"/>
      <c r="IFX206" s="2"/>
      <c r="IFY206" s="2"/>
      <c r="IFZ206" s="2"/>
      <c r="IGA206" s="2"/>
      <c r="IGB206" s="2"/>
      <c r="IGC206" s="2"/>
      <c r="IGD206" s="2"/>
      <c r="IGE206" s="2"/>
      <c r="IGF206" s="2"/>
      <c r="IGG206" s="2"/>
      <c r="IGH206" s="2"/>
      <c r="IGI206" s="2"/>
      <c r="IGJ206" s="2"/>
      <c r="IGK206" s="2"/>
      <c r="IGL206" s="2"/>
      <c r="IGM206" s="2"/>
      <c r="IGN206" s="2"/>
      <c r="IGO206" s="2"/>
      <c r="IGP206" s="2"/>
      <c r="IGQ206" s="2"/>
      <c r="IGR206" s="2"/>
      <c r="IGS206" s="2"/>
      <c r="IGT206" s="2"/>
      <c r="IGU206" s="2"/>
      <c r="IGV206" s="2"/>
      <c r="IGW206" s="2"/>
      <c r="IGX206" s="2"/>
      <c r="IGY206" s="2"/>
      <c r="IGZ206" s="2"/>
      <c r="IHA206" s="2"/>
      <c r="IHB206" s="2"/>
      <c r="IHC206" s="2"/>
      <c r="IHD206" s="2"/>
      <c r="IHE206" s="2"/>
      <c r="IHF206" s="2"/>
      <c r="IHG206" s="2"/>
      <c r="IHH206" s="2"/>
      <c r="IHI206" s="2"/>
      <c r="IHJ206" s="2"/>
      <c r="IHK206" s="2"/>
      <c r="IHL206" s="2"/>
      <c r="IHM206" s="2"/>
      <c r="IHN206" s="2"/>
      <c r="IHO206" s="2"/>
      <c r="IHP206" s="2"/>
      <c r="IHQ206" s="2"/>
      <c r="IHR206" s="2"/>
      <c r="IHS206" s="2"/>
      <c r="IHT206" s="2"/>
      <c r="IHU206" s="2"/>
      <c r="IHV206" s="2"/>
      <c r="IHW206" s="2"/>
      <c r="IHX206" s="2"/>
      <c r="IHY206" s="2"/>
      <c r="IHZ206" s="2"/>
      <c r="IIA206" s="2"/>
      <c r="IIB206" s="2"/>
      <c r="IIC206" s="2"/>
      <c r="IID206" s="2"/>
      <c r="IIE206" s="2"/>
      <c r="IIF206" s="2"/>
      <c r="IIG206" s="2"/>
      <c r="IIH206" s="2"/>
      <c r="III206" s="2"/>
      <c r="IIJ206" s="2"/>
      <c r="IIK206" s="2"/>
      <c r="IIL206" s="2"/>
      <c r="IIM206" s="2"/>
      <c r="IIN206" s="2"/>
      <c r="IIO206" s="2"/>
      <c r="IIP206" s="2"/>
      <c r="IIQ206" s="2"/>
      <c r="IIR206" s="2"/>
      <c r="IIS206" s="2"/>
      <c r="IIT206" s="2"/>
      <c r="IIU206" s="2"/>
      <c r="IIV206" s="2"/>
      <c r="IIW206" s="2"/>
      <c r="IIX206" s="2"/>
      <c r="IIY206" s="2"/>
      <c r="IIZ206" s="2"/>
      <c r="IJA206" s="2"/>
      <c r="IJB206" s="2"/>
      <c r="IJC206" s="2"/>
      <c r="IJD206" s="2"/>
      <c r="IJE206" s="2"/>
      <c r="IJF206" s="2"/>
      <c r="IJG206" s="2"/>
      <c r="IJH206" s="2"/>
      <c r="IJI206" s="2"/>
      <c r="IJJ206" s="2"/>
      <c r="IJK206" s="2"/>
      <c r="IJL206" s="2"/>
      <c r="IJM206" s="2"/>
      <c r="IJN206" s="2"/>
      <c r="IJO206" s="2"/>
      <c r="IJP206" s="2"/>
      <c r="IJQ206" s="2"/>
      <c r="IJR206" s="2"/>
      <c r="IJS206" s="2"/>
      <c r="IJT206" s="2"/>
      <c r="IJU206" s="2"/>
      <c r="IJV206" s="2"/>
      <c r="IJW206" s="2"/>
      <c r="IJX206" s="2"/>
      <c r="IJY206" s="2"/>
      <c r="IJZ206" s="2"/>
      <c r="IKA206" s="2"/>
      <c r="IKB206" s="2"/>
      <c r="IKC206" s="2"/>
      <c r="IKD206" s="2"/>
      <c r="IKE206" s="2"/>
      <c r="IKF206" s="2"/>
      <c r="IKG206" s="2"/>
      <c r="IKH206" s="2"/>
      <c r="IKI206" s="2"/>
      <c r="IKJ206" s="2"/>
      <c r="IKK206" s="2"/>
      <c r="IKL206" s="2"/>
      <c r="IKM206" s="2"/>
      <c r="IKN206" s="2"/>
      <c r="IKO206" s="2"/>
      <c r="IKP206" s="2"/>
      <c r="IKQ206" s="2"/>
      <c r="IKR206" s="2"/>
      <c r="IKS206" s="2"/>
      <c r="IKT206" s="2"/>
      <c r="IKU206" s="2"/>
      <c r="IKV206" s="2"/>
      <c r="IKW206" s="2"/>
      <c r="IKX206" s="2"/>
      <c r="IKY206" s="2"/>
      <c r="IKZ206" s="2"/>
      <c r="ILA206" s="2"/>
      <c r="ILB206" s="2"/>
      <c r="ILC206" s="2"/>
      <c r="ILD206" s="2"/>
      <c r="ILE206" s="2"/>
      <c r="ILF206" s="2"/>
      <c r="ILG206" s="2"/>
      <c r="ILH206" s="2"/>
      <c r="ILI206" s="2"/>
      <c r="ILJ206" s="2"/>
      <c r="ILK206" s="2"/>
      <c r="ILL206" s="2"/>
      <c r="ILM206" s="2"/>
      <c r="ILN206" s="2"/>
      <c r="ILO206" s="2"/>
      <c r="ILP206" s="2"/>
      <c r="ILQ206" s="2"/>
      <c r="ILR206" s="2"/>
      <c r="ILS206" s="2"/>
      <c r="ILT206" s="2"/>
      <c r="ILU206" s="2"/>
      <c r="ILV206" s="2"/>
      <c r="ILW206" s="2"/>
      <c r="ILX206" s="2"/>
      <c r="ILY206" s="2"/>
      <c r="ILZ206" s="2"/>
      <c r="IMA206" s="2"/>
      <c r="IMB206" s="2"/>
      <c r="IMC206" s="2"/>
      <c r="IMD206" s="2"/>
      <c r="IME206" s="2"/>
      <c r="IMF206" s="2"/>
      <c r="IMG206" s="2"/>
      <c r="IMH206" s="2"/>
      <c r="IMI206" s="2"/>
      <c r="IMJ206" s="2"/>
      <c r="IMK206" s="2"/>
      <c r="IML206" s="2"/>
      <c r="IMM206" s="2"/>
      <c r="IMN206" s="2"/>
      <c r="IMO206" s="2"/>
      <c r="IMP206" s="2"/>
      <c r="IMQ206" s="2"/>
      <c r="IMR206" s="2"/>
      <c r="IMS206" s="2"/>
      <c r="IMT206" s="2"/>
      <c r="IMU206" s="2"/>
      <c r="IMV206" s="2"/>
      <c r="IMW206" s="2"/>
      <c r="IMX206" s="2"/>
      <c r="IMY206" s="2"/>
      <c r="IMZ206" s="2"/>
      <c r="INA206" s="2"/>
      <c r="INB206" s="2"/>
      <c r="INC206" s="2"/>
      <c r="IND206" s="2"/>
      <c r="INE206" s="2"/>
      <c r="INF206" s="2"/>
      <c r="ING206" s="2"/>
      <c r="INH206" s="2"/>
      <c r="INI206" s="2"/>
      <c r="INJ206" s="2"/>
      <c r="INK206" s="2"/>
      <c r="INL206" s="2"/>
      <c r="INM206" s="2"/>
      <c r="INN206" s="2"/>
      <c r="INO206" s="2"/>
      <c r="INP206" s="2"/>
      <c r="INQ206" s="2"/>
      <c r="INR206" s="2"/>
      <c r="INS206" s="2"/>
      <c r="INT206" s="2"/>
      <c r="INU206" s="2"/>
      <c r="INV206" s="2"/>
      <c r="INW206" s="2"/>
      <c r="INX206" s="2"/>
      <c r="INY206" s="2"/>
      <c r="INZ206" s="2"/>
      <c r="IOA206" s="2"/>
      <c r="IOB206" s="2"/>
      <c r="IOC206" s="2"/>
      <c r="IOD206" s="2"/>
      <c r="IOE206" s="2"/>
      <c r="IOF206" s="2"/>
      <c r="IOG206" s="2"/>
      <c r="IOH206" s="2"/>
      <c r="IOI206" s="2"/>
      <c r="IOJ206" s="2"/>
      <c r="IOK206" s="2"/>
      <c r="IOL206" s="2"/>
      <c r="IOM206" s="2"/>
      <c r="ION206" s="2"/>
      <c r="IOO206" s="2"/>
      <c r="IOP206" s="2"/>
      <c r="IOQ206" s="2"/>
      <c r="IOR206" s="2"/>
      <c r="IOS206" s="2"/>
      <c r="IOT206" s="2"/>
      <c r="IOU206" s="2"/>
      <c r="IOV206" s="2"/>
      <c r="IOW206" s="2"/>
      <c r="IOX206" s="2"/>
      <c r="IOY206" s="2"/>
      <c r="IOZ206" s="2"/>
      <c r="IPA206" s="2"/>
      <c r="IPB206" s="2"/>
      <c r="IPC206" s="2"/>
      <c r="IPD206" s="2"/>
      <c r="IPE206" s="2"/>
      <c r="IPF206" s="2"/>
      <c r="IPG206" s="2"/>
      <c r="IPH206" s="2"/>
      <c r="IPI206" s="2"/>
      <c r="IPJ206" s="2"/>
      <c r="IPK206" s="2"/>
      <c r="IPL206" s="2"/>
      <c r="IPM206" s="2"/>
      <c r="IPN206" s="2"/>
      <c r="IPO206" s="2"/>
      <c r="IPP206" s="2"/>
      <c r="IPQ206" s="2"/>
      <c r="IPR206" s="2"/>
      <c r="IPS206" s="2"/>
      <c r="IPT206" s="2"/>
      <c r="IPU206" s="2"/>
      <c r="IPV206" s="2"/>
      <c r="IPW206" s="2"/>
      <c r="IPX206" s="2"/>
      <c r="IPY206" s="2"/>
      <c r="IPZ206" s="2"/>
      <c r="IQA206" s="2"/>
      <c r="IQB206" s="2"/>
      <c r="IQC206" s="2"/>
      <c r="IQD206" s="2"/>
      <c r="IQE206" s="2"/>
      <c r="IQF206" s="2"/>
      <c r="IQG206" s="2"/>
      <c r="IQH206" s="2"/>
      <c r="IQI206" s="2"/>
      <c r="IQJ206" s="2"/>
      <c r="IQK206" s="2"/>
      <c r="IQL206" s="2"/>
      <c r="IQM206" s="2"/>
      <c r="IQN206" s="2"/>
      <c r="IQO206" s="2"/>
      <c r="IQP206" s="2"/>
      <c r="IQQ206" s="2"/>
      <c r="IQR206" s="2"/>
      <c r="IQS206" s="2"/>
      <c r="IQT206" s="2"/>
      <c r="IQU206" s="2"/>
      <c r="IQV206" s="2"/>
      <c r="IQW206" s="2"/>
      <c r="IQX206" s="2"/>
      <c r="IQY206" s="2"/>
      <c r="IQZ206" s="2"/>
      <c r="IRA206" s="2"/>
      <c r="IRB206" s="2"/>
      <c r="IRC206" s="2"/>
      <c r="IRD206" s="2"/>
      <c r="IRE206" s="2"/>
      <c r="IRF206" s="2"/>
      <c r="IRG206" s="2"/>
      <c r="IRH206" s="2"/>
      <c r="IRI206" s="2"/>
      <c r="IRJ206" s="2"/>
      <c r="IRK206" s="2"/>
      <c r="IRL206" s="2"/>
      <c r="IRM206" s="2"/>
      <c r="IRN206" s="2"/>
      <c r="IRO206" s="2"/>
      <c r="IRP206" s="2"/>
      <c r="IRQ206" s="2"/>
      <c r="IRR206" s="2"/>
      <c r="IRS206" s="2"/>
      <c r="IRT206" s="2"/>
      <c r="IRU206" s="2"/>
      <c r="IRV206" s="2"/>
      <c r="IRW206" s="2"/>
      <c r="IRX206" s="2"/>
      <c r="IRY206" s="2"/>
      <c r="IRZ206" s="2"/>
      <c r="ISA206" s="2"/>
      <c r="ISB206" s="2"/>
      <c r="ISC206" s="2"/>
      <c r="ISD206" s="2"/>
      <c r="ISE206" s="2"/>
      <c r="ISF206" s="2"/>
      <c r="ISG206" s="2"/>
      <c r="ISH206" s="2"/>
      <c r="ISI206" s="2"/>
      <c r="ISJ206" s="2"/>
      <c r="ISK206" s="2"/>
      <c r="ISL206" s="2"/>
      <c r="ISM206" s="2"/>
      <c r="ISN206" s="2"/>
      <c r="ISO206" s="2"/>
      <c r="ISP206" s="2"/>
      <c r="ISQ206" s="2"/>
      <c r="ISR206" s="2"/>
      <c r="ISS206" s="2"/>
      <c r="IST206" s="2"/>
      <c r="ISU206" s="2"/>
      <c r="ISV206" s="2"/>
      <c r="ISW206" s="2"/>
      <c r="ISX206" s="2"/>
      <c r="ISY206" s="2"/>
      <c r="ISZ206" s="2"/>
      <c r="ITA206" s="2"/>
      <c r="ITB206" s="2"/>
      <c r="ITC206" s="2"/>
      <c r="ITD206" s="2"/>
      <c r="ITE206" s="2"/>
      <c r="ITF206" s="2"/>
      <c r="ITG206" s="2"/>
      <c r="ITH206" s="2"/>
      <c r="ITI206" s="2"/>
      <c r="ITJ206" s="2"/>
      <c r="ITK206" s="2"/>
      <c r="ITL206" s="2"/>
      <c r="ITM206" s="2"/>
      <c r="ITN206" s="2"/>
      <c r="ITO206" s="2"/>
      <c r="ITP206" s="2"/>
      <c r="ITQ206" s="2"/>
      <c r="ITR206" s="2"/>
      <c r="ITS206" s="2"/>
      <c r="ITT206" s="2"/>
      <c r="ITU206" s="2"/>
      <c r="ITV206" s="2"/>
      <c r="ITW206" s="2"/>
      <c r="ITX206" s="2"/>
      <c r="ITY206" s="2"/>
      <c r="ITZ206" s="2"/>
      <c r="IUA206" s="2"/>
      <c r="IUB206" s="2"/>
      <c r="IUC206" s="2"/>
      <c r="IUD206" s="2"/>
      <c r="IUE206" s="2"/>
      <c r="IUF206" s="2"/>
      <c r="IUG206" s="2"/>
      <c r="IUH206" s="2"/>
      <c r="IUI206" s="2"/>
      <c r="IUJ206" s="2"/>
      <c r="IUK206" s="2"/>
      <c r="IUL206" s="2"/>
      <c r="IUM206" s="2"/>
      <c r="IUN206" s="2"/>
      <c r="IUO206" s="2"/>
      <c r="IUP206" s="2"/>
      <c r="IUQ206" s="2"/>
      <c r="IUR206" s="2"/>
      <c r="IUS206" s="2"/>
      <c r="IUT206" s="2"/>
      <c r="IUU206" s="2"/>
      <c r="IUV206" s="2"/>
      <c r="IUW206" s="2"/>
      <c r="IUX206" s="2"/>
      <c r="IUY206" s="2"/>
      <c r="IUZ206" s="2"/>
      <c r="IVA206" s="2"/>
      <c r="IVB206" s="2"/>
      <c r="IVC206" s="2"/>
      <c r="IVD206" s="2"/>
      <c r="IVE206" s="2"/>
      <c r="IVF206" s="2"/>
      <c r="IVG206" s="2"/>
      <c r="IVH206" s="2"/>
      <c r="IVI206" s="2"/>
      <c r="IVJ206" s="2"/>
      <c r="IVK206" s="2"/>
      <c r="IVL206" s="2"/>
      <c r="IVM206" s="2"/>
      <c r="IVN206" s="2"/>
      <c r="IVO206" s="2"/>
      <c r="IVP206" s="2"/>
      <c r="IVQ206" s="2"/>
      <c r="IVR206" s="2"/>
      <c r="IVS206" s="2"/>
      <c r="IVT206" s="2"/>
      <c r="IVU206" s="2"/>
      <c r="IVV206" s="2"/>
      <c r="IVW206" s="2"/>
      <c r="IVX206" s="2"/>
      <c r="IVY206" s="2"/>
      <c r="IVZ206" s="2"/>
      <c r="IWA206" s="2"/>
      <c r="IWB206" s="2"/>
      <c r="IWC206" s="2"/>
      <c r="IWD206" s="2"/>
      <c r="IWE206" s="2"/>
      <c r="IWF206" s="2"/>
      <c r="IWG206" s="2"/>
      <c r="IWH206" s="2"/>
      <c r="IWI206" s="2"/>
      <c r="IWJ206" s="2"/>
      <c r="IWK206" s="2"/>
      <c r="IWL206" s="2"/>
      <c r="IWM206" s="2"/>
      <c r="IWN206" s="2"/>
      <c r="IWO206" s="2"/>
      <c r="IWP206" s="2"/>
      <c r="IWQ206" s="2"/>
      <c r="IWR206" s="2"/>
      <c r="IWS206" s="2"/>
      <c r="IWT206" s="2"/>
      <c r="IWU206" s="2"/>
      <c r="IWV206" s="2"/>
      <c r="IWW206" s="2"/>
      <c r="IWX206" s="2"/>
      <c r="IWY206" s="2"/>
      <c r="IWZ206" s="2"/>
      <c r="IXA206" s="2"/>
      <c r="IXB206" s="2"/>
      <c r="IXC206" s="2"/>
      <c r="IXD206" s="2"/>
      <c r="IXE206" s="2"/>
      <c r="IXF206" s="2"/>
      <c r="IXG206" s="2"/>
      <c r="IXH206" s="2"/>
      <c r="IXI206" s="2"/>
      <c r="IXJ206" s="2"/>
      <c r="IXK206" s="2"/>
      <c r="IXL206" s="2"/>
      <c r="IXM206" s="2"/>
      <c r="IXN206" s="2"/>
      <c r="IXO206" s="2"/>
      <c r="IXP206" s="2"/>
      <c r="IXQ206" s="2"/>
      <c r="IXR206" s="2"/>
      <c r="IXS206" s="2"/>
      <c r="IXT206" s="2"/>
      <c r="IXU206" s="2"/>
      <c r="IXV206" s="2"/>
      <c r="IXW206" s="2"/>
      <c r="IXX206" s="2"/>
      <c r="IXY206" s="2"/>
      <c r="IXZ206" s="2"/>
      <c r="IYA206" s="2"/>
      <c r="IYB206" s="2"/>
      <c r="IYC206" s="2"/>
      <c r="IYD206" s="2"/>
      <c r="IYE206" s="2"/>
      <c r="IYF206" s="2"/>
      <c r="IYG206" s="2"/>
      <c r="IYH206" s="2"/>
      <c r="IYI206" s="2"/>
      <c r="IYJ206" s="2"/>
      <c r="IYK206" s="2"/>
      <c r="IYL206" s="2"/>
      <c r="IYM206" s="2"/>
      <c r="IYN206" s="2"/>
      <c r="IYO206" s="2"/>
      <c r="IYP206" s="2"/>
      <c r="IYQ206" s="2"/>
      <c r="IYR206" s="2"/>
      <c r="IYS206" s="2"/>
      <c r="IYT206" s="2"/>
      <c r="IYU206" s="2"/>
      <c r="IYV206" s="2"/>
      <c r="IYW206" s="2"/>
      <c r="IYX206" s="2"/>
      <c r="IYY206" s="2"/>
      <c r="IYZ206" s="2"/>
      <c r="IZA206" s="2"/>
      <c r="IZB206" s="2"/>
      <c r="IZC206" s="2"/>
      <c r="IZD206" s="2"/>
      <c r="IZE206" s="2"/>
      <c r="IZF206" s="2"/>
      <c r="IZG206" s="2"/>
      <c r="IZH206" s="2"/>
      <c r="IZI206" s="2"/>
      <c r="IZJ206" s="2"/>
      <c r="IZK206" s="2"/>
      <c r="IZL206" s="2"/>
      <c r="IZM206" s="2"/>
      <c r="IZN206" s="2"/>
      <c r="IZO206" s="2"/>
      <c r="IZP206" s="2"/>
      <c r="IZQ206" s="2"/>
      <c r="IZR206" s="2"/>
      <c r="IZS206" s="2"/>
      <c r="IZT206" s="2"/>
      <c r="IZU206" s="2"/>
      <c r="IZV206" s="2"/>
      <c r="IZW206" s="2"/>
      <c r="IZX206" s="2"/>
      <c r="IZY206" s="2"/>
      <c r="IZZ206" s="2"/>
      <c r="JAA206" s="2"/>
      <c r="JAB206" s="2"/>
      <c r="JAC206" s="2"/>
      <c r="JAD206" s="2"/>
      <c r="JAE206" s="2"/>
      <c r="JAF206" s="2"/>
      <c r="JAG206" s="2"/>
      <c r="JAH206" s="2"/>
      <c r="JAI206" s="2"/>
      <c r="JAJ206" s="2"/>
      <c r="JAK206" s="2"/>
      <c r="JAL206" s="2"/>
      <c r="JAM206" s="2"/>
      <c r="JAN206" s="2"/>
      <c r="JAO206" s="2"/>
      <c r="JAP206" s="2"/>
      <c r="JAQ206" s="2"/>
      <c r="JAR206" s="2"/>
      <c r="JAS206" s="2"/>
      <c r="JAT206" s="2"/>
      <c r="JAU206" s="2"/>
      <c r="JAV206" s="2"/>
      <c r="JAW206" s="2"/>
      <c r="JAX206" s="2"/>
      <c r="JAY206" s="2"/>
      <c r="JAZ206" s="2"/>
      <c r="JBA206" s="2"/>
      <c r="JBB206" s="2"/>
      <c r="JBC206" s="2"/>
      <c r="JBD206" s="2"/>
      <c r="JBE206" s="2"/>
      <c r="JBF206" s="2"/>
      <c r="JBG206" s="2"/>
      <c r="JBH206" s="2"/>
      <c r="JBI206" s="2"/>
      <c r="JBJ206" s="2"/>
      <c r="JBK206" s="2"/>
      <c r="JBL206" s="2"/>
      <c r="JBM206" s="2"/>
      <c r="JBN206" s="2"/>
      <c r="JBO206" s="2"/>
      <c r="JBP206" s="2"/>
      <c r="JBQ206" s="2"/>
      <c r="JBR206" s="2"/>
      <c r="JBS206" s="2"/>
      <c r="JBT206" s="2"/>
      <c r="JBU206" s="2"/>
      <c r="JBV206" s="2"/>
      <c r="JBW206" s="2"/>
      <c r="JBX206" s="2"/>
      <c r="JBY206" s="2"/>
      <c r="JBZ206" s="2"/>
      <c r="JCA206" s="2"/>
      <c r="JCB206" s="2"/>
      <c r="JCC206" s="2"/>
      <c r="JCD206" s="2"/>
      <c r="JCE206" s="2"/>
      <c r="JCF206" s="2"/>
      <c r="JCG206" s="2"/>
      <c r="JCH206" s="2"/>
      <c r="JCI206" s="2"/>
      <c r="JCJ206" s="2"/>
      <c r="JCK206" s="2"/>
      <c r="JCL206" s="2"/>
      <c r="JCM206" s="2"/>
      <c r="JCN206" s="2"/>
      <c r="JCO206" s="2"/>
      <c r="JCP206" s="2"/>
      <c r="JCQ206" s="2"/>
      <c r="JCR206" s="2"/>
      <c r="JCS206" s="2"/>
      <c r="JCT206" s="2"/>
      <c r="JCU206" s="2"/>
      <c r="JCV206" s="2"/>
      <c r="JCW206" s="2"/>
      <c r="JCX206" s="2"/>
      <c r="JCY206" s="2"/>
      <c r="JCZ206" s="2"/>
      <c r="JDA206" s="2"/>
      <c r="JDB206" s="2"/>
      <c r="JDC206" s="2"/>
      <c r="JDD206" s="2"/>
      <c r="JDE206" s="2"/>
      <c r="JDF206" s="2"/>
      <c r="JDG206" s="2"/>
      <c r="JDH206" s="2"/>
      <c r="JDI206" s="2"/>
      <c r="JDJ206" s="2"/>
      <c r="JDK206" s="2"/>
      <c r="JDL206" s="2"/>
      <c r="JDM206" s="2"/>
      <c r="JDN206" s="2"/>
      <c r="JDO206" s="2"/>
      <c r="JDP206" s="2"/>
      <c r="JDQ206" s="2"/>
      <c r="JDR206" s="2"/>
      <c r="JDS206" s="2"/>
      <c r="JDT206" s="2"/>
      <c r="JDU206" s="2"/>
      <c r="JDV206" s="2"/>
      <c r="JDW206" s="2"/>
      <c r="JDX206" s="2"/>
      <c r="JDY206" s="2"/>
      <c r="JDZ206" s="2"/>
      <c r="JEA206" s="2"/>
      <c r="JEB206" s="2"/>
      <c r="JEC206" s="2"/>
      <c r="JED206" s="2"/>
      <c r="JEE206" s="2"/>
      <c r="JEF206" s="2"/>
      <c r="JEG206" s="2"/>
      <c r="JEH206" s="2"/>
      <c r="JEI206" s="2"/>
      <c r="JEJ206" s="2"/>
      <c r="JEK206" s="2"/>
      <c r="JEL206" s="2"/>
      <c r="JEM206" s="2"/>
      <c r="JEN206" s="2"/>
      <c r="JEO206" s="2"/>
      <c r="JEP206" s="2"/>
      <c r="JEQ206" s="2"/>
      <c r="JER206" s="2"/>
      <c r="JES206" s="2"/>
      <c r="JET206" s="2"/>
      <c r="JEU206" s="2"/>
      <c r="JEV206" s="2"/>
      <c r="JEW206" s="2"/>
      <c r="JEX206" s="2"/>
      <c r="JEY206" s="2"/>
      <c r="JEZ206" s="2"/>
      <c r="JFA206" s="2"/>
      <c r="JFB206" s="2"/>
      <c r="JFC206" s="2"/>
      <c r="JFD206" s="2"/>
      <c r="JFE206" s="2"/>
      <c r="JFF206" s="2"/>
      <c r="JFG206" s="2"/>
      <c r="JFH206" s="2"/>
      <c r="JFI206" s="2"/>
      <c r="JFJ206" s="2"/>
      <c r="JFK206" s="2"/>
      <c r="JFL206" s="2"/>
      <c r="JFM206" s="2"/>
      <c r="JFN206" s="2"/>
      <c r="JFO206" s="2"/>
      <c r="JFP206" s="2"/>
      <c r="JFQ206" s="2"/>
      <c r="JFR206" s="2"/>
      <c r="JFS206" s="2"/>
      <c r="JFT206" s="2"/>
      <c r="JFU206" s="2"/>
      <c r="JFV206" s="2"/>
      <c r="JFW206" s="2"/>
      <c r="JFX206" s="2"/>
      <c r="JFY206" s="2"/>
      <c r="JFZ206" s="2"/>
      <c r="JGA206" s="2"/>
      <c r="JGB206" s="2"/>
      <c r="JGC206" s="2"/>
      <c r="JGD206" s="2"/>
      <c r="JGE206" s="2"/>
      <c r="JGF206" s="2"/>
      <c r="JGG206" s="2"/>
      <c r="JGH206" s="2"/>
      <c r="JGI206" s="2"/>
      <c r="JGJ206" s="2"/>
      <c r="JGK206" s="2"/>
      <c r="JGL206" s="2"/>
      <c r="JGM206" s="2"/>
      <c r="JGN206" s="2"/>
      <c r="JGO206" s="2"/>
      <c r="JGP206" s="2"/>
      <c r="JGQ206" s="2"/>
      <c r="JGR206" s="2"/>
      <c r="JGS206" s="2"/>
      <c r="JGT206" s="2"/>
      <c r="JGU206" s="2"/>
      <c r="JGV206" s="2"/>
      <c r="JGW206" s="2"/>
      <c r="JGX206" s="2"/>
      <c r="JGY206" s="2"/>
      <c r="JGZ206" s="2"/>
      <c r="JHA206" s="2"/>
      <c r="JHB206" s="2"/>
      <c r="JHC206" s="2"/>
      <c r="JHD206" s="2"/>
      <c r="JHE206" s="2"/>
      <c r="JHF206" s="2"/>
      <c r="JHG206" s="2"/>
      <c r="JHH206" s="2"/>
      <c r="JHI206" s="2"/>
      <c r="JHJ206" s="2"/>
      <c r="JHK206" s="2"/>
      <c r="JHL206" s="2"/>
      <c r="JHM206" s="2"/>
      <c r="JHN206" s="2"/>
      <c r="JHO206" s="2"/>
      <c r="JHP206" s="2"/>
      <c r="JHQ206" s="2"/>
      <c r="JHR206" s="2"/>
      <c r="JHS206" s="2"/>
      <c r="JHT206" s="2"/>
      <c r="JHU206" s="2"/>
      <c r="JHV206" s="2"/>
      <c r="JHW206" s="2"/>
      <c r="JHX206" s="2"/>
      <c r="JHY206" s="2"/>
      <c r="JHZ206" s="2"/>
      <c r="JIA206" s="2"/>
      <c r="JIB206" s="2"/>
      <c r="JIC206" s="2"/>
      <c r="JID206" s="2"/>
      <c r="JIE206" s="2"/>
      <c r="JIF206" s="2"/>
      <c r="JIG206" s="2"/>
      <c r="JIH206" s="2"/>
      <c r="JII206" s="2"/>
      <c r="JIJ206" s="2"/>
      <c r="JIK206" s="2"/>
      <c r="JIL206" s="2"/>
      <c r="JIM206" s="2"/>
      <c r="JIN206" s="2"/>
      <c r="JIO206" s="2"/>
      <c r="JIP206" s="2"/>
      <c r="JIQ206" s="2"/>
      <c r="JIR206" s="2"/>
      <c r="JIS206" s="2"/>
      <c r="JIT206" s="2"/>
      <c r="JIU206" s="2"/>
      <c r="JIV206" s="2"/>
      <c r="JIW206" s="2"/>
      <c r="JIX206" s="2"/>
      <c r="JIY206" s="2"/>
      <c r="JIZ206" s="2"/>
      <c r="JJA206" s="2"/>
      <c r="JJB206" s="2"/>
      <c r="JJC206" s="2"/>
      <c r="JJD206" s="2"/>
      <c r="JJE206" s="2"/>
      <c r="JJF206" s="2"/>
      <c r="JJG206" s="2"/>
      <c r="JJH206" s="2"/>
      <c r="JJI206" s="2"/>
      <c r="JJJ206" s="2"/>
      <c r="JJK206" s="2"/>
      <c r="JJL206" s="2"/>
      <c r="JJM206" s="2"/>
      <c r="JJN206" s="2"/>
      <c r="JJO206" s="2"/>
      <c r="JJP206" s="2"/>
      <c r="JJQ206" s="2"/>
      <c r="JJR206" s="2"/>
      <c r="JJS206" s="2"/>
      <c r="JJT206" s="2"/>
      <c r="JJU206" s="2"/>
      <c r="JJV206" s="2"/>
      <c r="JJW206" s="2"/>
      <c r="JJX206" s="2"/>
      <c r="JJY206" s="2"/>
      <c r="JJZ206" s="2"/>
      <c r="JKA206" s="2"/>
      <c r="JKB206" s="2"/>
      <c r="JKC206" s="2"/>
      <c r="JKD206" s="2"/>
      <c r="JKE206" s="2"/>
      <c r="JKF206" s="2"/>
      <c r="JKG206" s="2"/>
      <c r="JKH206" s="2"/>
      <c r="JKI206" s="2"/>
      <c r="JKJ206" s="2"/>
      <c r="JKK206" s="2"/>
      <c r="JKL206" s="2"/>
      <c r="JKM206" s="2"/>
      <c r="JKN206" s="2"/>
      <c r="JKO206" s="2"/>
      <c r="JKP206" s="2"/>
      <c r="JKQ206" s="2"/>
      <c r="JKR206" s="2"/>
      <c r="JKS206" s="2"/>
      <c r="JKT206" s="2"/>
      <c r="JKU206" s="2"/>
      <c r="JKV206" s="2"/>
      <c r="JKW206" s="2"/>
      <c r="JKX206" s="2"/>
      <c r="JKY206" s="2"/>
      <c r="JKZ206" s="2"/>
      <c r="JLA206" s="2"/>
      <c r="JLB206" s="2"/>
      <c r="JLC206" s="2"/>
      <c r="JLD206" s="2"/>
      <c r="JLE206" s="2"/>
      <c r="JLF206" s="2"/>
      <c r="JLG206" s="2"/>
      <c r="JLH206" s="2"/>
      <c r="JLI206" s="2"/>
      <c r="JLJ206" s="2"/>
      <c r="JLK206" s="2"/>
      <c r="JLL206" s="2"/>
      <c r="JLM206" s="2"/>
      <c r="JLN206" s="2"/>
      <c r="JLO206" s="2"/>
      <c r="JLP206" s="2"/>
      <c r="JLQ206" s="2"/>
      <c r="JLR206" s="2"/>
      <c r="JLS206" s="2"/>
      <c r="JLT206" s="2"/>
      <c r="JLU206" s="2"/>
      <c r="JLV206" s="2"/>
      <c r="JLW206" s="2"/>
      <c r="JLX206" s="2"/>
      <c r="JLY206" s="2"/>
      <c r="JLZ206" s="2"/>
      <c r="JMA206" s="2"/>
      <c r="JMB206" s="2"/>
      <c r="JMC206" s="2"/>
      <c r="JMD206" s="2"/>
      <c r="JME206" s="2"/>
      <c r="JMF206" s="2"/>
      <c r="JMG206" s="2"/>
      <c r="JMH206" s="2"/>
      <c r="JMI206" s="2"/>
      <c r="JMJ206" s="2"/>
      <c r="JMK206" s="2"/>
      <c r="JML206" s="2"/>
      <c r="JMM206" s="2"/>
      <c r="JMN206" s="2"/>
      <c r="JMO206" s="2"/>
      <c r="JMP206" s="2"/>
      <c r="JMQ206" s="2"/>
      <c r="JMR206" s="2"/>
      <c r="JMS206" s="2"/>
      <c r="JMT206" s="2"/>
      <c r="JMU206" s="2"/>
      <c r="JMV206" s="2"/>
      <c r="JMW206" s="2"/>
      <c r="JMX206" s="2"/>
      <c r="JMY206" s="2"/>
      <c r="JMZ206" s="2"/>
      <c r="JNA206" s="2"/>
      <c r="JNB206" s="2"/>
      <c r="JNC206" s="2"/>
      <c r="JND206" s="2"/>
      <c r="JNE206" s="2"/>
      <c r="JNF206" s="2"/>
      <c r="JNG206" s="2"/>
      <c r="JNH206" s="2"/>
      <c r="JNI206" s="2"/>
      <c r="JNJ206" s="2"/>
      <c r="JNK206" s="2"/>
      <c r="JNL206" s="2"/>
      <c r="JNM206" s="2"/>
      <c r="JNN206" s="2"/>
      <c r="JNO206" s="2"/>
      <c r="JNP206" s="2"/>
      <c r="JNQ206" s="2"/>
      <c r="JNR206" s="2"/>
      <c r="JNS206" s="2"/>
      <c r="JNT206" s="2"/>
      <c r="JNU206" s="2"/>
      <c r="JNV206" s="2"/>
      <c r="JNW206" s="2"/>
      <c r="JNX206" s="2"/>
      <c r="JNY206" s="2"/>
      <c r="JNZ206" s="2"/>
      <c r="JOA206" s="2"/>
      <c r="JOB206" s="2"/>
      <c r="JOC206" s="2"/>
      <c r="JOD206" s="2"/>
      <c r="JOE206" s="2"/>
      <c r="JOF206" s="2"/>
      <c r="JOG206" s="2"/>
      <c r="JOH206" s="2"/>
      <c r="JOI206" s="2"/>
      <c r="JOJ206" s="2"/>
      <c r="JOK206" s="2"/>
      <c r="JOL206" s="2"/>
      <c r="JOM206" s="2"/>
      <c r="JON206" s="2"/>
      <c r="JOO206" s="2"/>
      <c r="JOP206" s="2"/>
      <c r="JOQ206" s="2"/>
      <c r="JOR206" s="2"/>
      <c r="JOS206" s="2"/>
      <c r="JOT206" s="2"/>
      <c r="JOU206" s="2"/>
      <c r="JOV206" s="2"/>
      <c r="JOW206" s="2"/>
      <c r="JOX206" s="2"/>
      <c r="JOY206" s="2"/>
      <c r="JOZ206" s="2"/>
      <c r="JPA206" s="2"/>
      <c r="JPB206" s="2"/>
      <c r="JPC206" s="2"/>
      <c r="JPD206" s="2"/>
      <c r="JPE206" s="2"/>
      <c r="JPF206" s="2"/>
      <c r="JPG206" s="2"/>
      <c r="JPH206" s="2"/>
      <c r="JPI206" s="2"/>
      <c r="JPJ206" s="2"/>
      <c r="JPK206" s="2"/>
      <c r="JPL206" s="2"/>
      <c r="JPM206" s="2"/>
      <c r="JPN206" s="2"/>
      <c r="JPO206" s="2"/>
      <c r="JPP206" s="2"/>
      <c r="JPQ206" s="2"/>
      <c r="JPR206" s="2"/>
      <c r="JPS206" s="2"/>
      <c r="JPT206" s="2"/>
      <c r="JPU206" s="2"/>
      <c r="JPV206" s="2"/>
      <c r="JPW206" s="2"/>
      <c r="JPX206" s="2"/>
      <c r="JPY206" s="2"/>
      <c r="JPZ206" s="2"/>
      <c r="JQA206" s="2"/>
      <c r="JQB206" s="2"/>
      <c r="JQC206" s="2"/>
      <c r="JQD206" s="2"/>
      <c r="JQE206" s="2"/>
      <c r="JQF206" s="2"/>
      <c r="JQG206" s="2"/>
      <c r="JQH206" s="2"/>
      <c r="JQI206" s="2"/>
      <c r="JQJ206" s="2"/>
      <c r="JQK206" s="2"/>
      <c r="JQL206" s="2"/>
      <c r="JQM206" s="2"/>
      <c r="JQN206" s="2"/>
      <c r="JQO206" s="2"/>
      <c r="JQP206" s="2"/>
      <c r="JQQ206" s="2"/>
      <c r="JQR206" s="2"/>
      <c r="JQS206" s="2"/>
      <c r="JQT206" s="2"/>
      <c r="JQU206" s="2"/>
      <c r="JQV206" s="2"/>
      <c r="JQW206" s="2"/>
      <c r="JQX206" s="2"/>
      <c r="JQY206" s="2"/>
      <c r="JQZ206" s="2"/>
      <c r="JRA206" s="2"/>
      <c r="JRB206" s="2"/>
      <c r="JRC206" s="2"/>
      <c r="JRD206" s="2"/>
      <c r="JRE206" s="2"/>
      <c r="JRF206" s="2"/>
      <c r="JRG206" s="2"/>
      <c r="JRH206" s="2"/>
      <c r="JRI206" s="2"/>
      <c r="JRJ206" s="2"/>
      <c r="JRK206" s="2"/>
      <c r="JRL206" s="2"/>
      <c r="JRM206" s="2"/>
      <c r="JRN206" s="2"/>
      <c r="JRO206" s="2"/>
      <c r="JRP206" s="2"/>
      <c r="JRQ206" s="2"/>
      <c r="JRR206" s="2"/>
      <c r="JRS206" s="2"/>
      <c r="JRT206" s="2"/>
      <c r="JRU206" s="2"/>
      <c r="JRV206" s="2"/>
      <c r="JRW206" s="2"/>
      <c r="JRX206" s="2"/>
      <c r="JRY206" s="2"/>
      <c r="JRZ206" s="2"/>
      <c r="JSA206" s="2"/>
      <c r="JSB206" s="2"/>
      <c r="JSC206" s="2"/>
      <c r="JSD206" s="2"/>
      <c r="JSE206" s="2"/>
      <c r="JSF206" s="2"/>
      <c r="JSG206" s="2"/>
      <c r="JSH206" s="2"/>
      <c r="JSI206" s="2"/>
      <c r="JSJ206" s="2"/>
      <c r="JSK206" s="2"/>
      <c r="JSL206" s="2"/>
      <c r="JSM206" s="2"/>
      <c r="JSN206" s="2"/>
      <c r="JSO206" s="2"/>
      <c r="JSP206" s="2"/>
      <c r="JSQ206" s="2"/>
      <c r="JSR206" s="2"/>
      <c r="JSS206" s="2"/>
      <c r="JST206" s="2"/>
      <c r="JSU206" s="2"/>
      <c r="JSV206" s="2"/>
      <c r="JSW206" s="2"/>
      <c r="JSX206" s="2"/>
      <c r="JSY206" s="2"/>
      <c r="JSZ206" s="2"/>
      <c r="JTA206" s="2"/>
      <c r="JTB206" s="2"/>
      <c r="JTC206" s="2"/>
      <c r="JTD206" s="2"/>
      <c r="JTE206" s="2"/>
      <c r="JTF206" s="2"/>
      <c r="JTG206" s="2"/>
      <c r="JTH206" s="2"/>
      <c r="JTI206" s="2"/>
      <c r="JTJ206" s="2"/>
      <c r="JTK206" s="2"/>
      <c r="JTL206" s="2"/>
      <c r="JTM206" s="2"/>
      <c r="JTN206" s="2"/>
      <c r="JTO206" s="2"/>
      <c r="JTP206" s="2"/>
      <c r="JTQ206" s="2"/>
      <c r="JTR206" s="2"/>
      <c r="JTS206" s="2"/>
      <c r="JTT206" s="2"/>
      <c r="JTU206" s="2"/>
      <c r="JTV206" s="2"/>
      <c r="JTW206" s="2"/>
      <c r="JTX206" s="2"/>
      <c r="JTY206" s="2"/>
      <c r="JTZ206" s="2"/>
      <c r="JUA206" s="2"/>
      <c r="JUB206" s="2"/>
      <c r="JUC206" s="2"/>
      <c r="JUD206" s="2"/>
      <c r="JUE206" s="2"/>
      <c r="JUF206" s="2"/>
      <c r="JUG206" s="2"/>
      <c r="JUH206" s="2"/>
      <c r="JUI206" s="2"/>
      <c r="JUJ206" s="2"/>
      <c r="JUK206" s="2"/>
      <c r="JUL206" s="2"/>
      <c r="JUM206" s="2"/>
      <c r="JUN206" s="2"/>
      <c r="JUO206" s="2"/>
      <c r="JUP206" s="2"/>
      <c r="JUQ206" s="2"/>
      <c r="JUR206" s="2"/>
      <c r="JUS206" s="2"/>
      <c r="JUT206" s="2"/>
      <c r="JUU206" s="2"/>
      <c r="JUV206" s="2"/>
      <c r="JUW206" s="2"/>
      <c r="JUX206" s="2"/>
      <c r="JUY206" s="2"/>
      <c r="JUZ206" s="2"/>
      <c r="JVA206" s="2"/>
      <c r="JVB206" s="2"/>
      <c r="JVC206" s="2"/>
      <c r="JVD206" s="2"/>
      <c r="JVE206" s="2"/>
      <c r="JVF206" s="2"/>
      <c r="JVG206" s="2"/>
      <c r="JVH206" s="2"/>
      <c r="JVI206" s="2"/>
      <c r="JVJ206" s="2"/>
      <c r="JVK206" s="2"/>
      <c r="JVL206" s="2"/>
      <c r="JVM206" s="2"/>
      <c r="JVN206" s="2"/>
      <c r="JVO206" s="2"/>
      <c r="JVP206" s="2"/>
      <c r="JVQ206" s="2"/>
      <c r="JVR206" s="2"/>
      <c r="JVS206" s="2"/>
      <c r="JVT206" s="2"/>
      <c r="JVU206" s="2"/>
      <c r="JVV206" s="2"/>
      <c r="JVW206" s="2"/>
      <c r="JVX206" s="2"/>
      <c r="JVY206" s="2"/>
      <c r="JVZ206" s="2"/>
      <c r="JWA206" s="2"/>
      <c r="JWB206" s="2"/>
      <c r="JWC206" s="2"/>
      <c r="JWD206" s="2"/>
      <c r="JWE206" s="2"/>
      <c r="JWF206" s="2"/>
      <c r="JWG206" s="2"/>
      <c r="JWH206" s="2"/>
      <c r="JWI206" s="2"/>
      <c r="JWJ206" s="2"/>
      <c r="JWK206" s="2"/>
      <c r="JWL206" s="2"/>
      <c r="JWM206" s="2"/>
      <c r="JWN206" s="2"/>
      <c r="JWO206" s="2"/>
      <c r="JWP206" s="2"/>
      <c r="JWQ206" s="2"/>
      <c r="JWR206" s="2"/>
      <c r="JWS206" s="2"/>
      <c r="JWT206" s="2"/>
      <c r="JWU206" s="2"/>
      <c r="JWV206" s="2"/>
      <c r="JWW206" s="2"/>
      <c r="JWX206" s="2"/>
      <c r="JWY206" s="2"/>
      <c r="JWZ206" s="2"/>
      <c r="JXA206" s="2"/>
      <c r="JXB206" s="2"/>
      <c r="JXC206" s="2"/>
      <c r="JXD206" s="2"/>
      <c r="JXE206" s="2"/>
      <c r="JXF206" s="2"/>
      <c r="JXG206" s="2"/>
      <c r="JXH206" s="2"/>
      <c r="JXI206" s="2"/>
      <c r="JXJ206" s="2"/>
      <c r="JXK206" s="2"/>
      <c r="JXL206" s="2"/>
      <c r="JXM206" s="2"/>
      <c r="JXN206" s="2"/>
      <c r="JXO206" s="2"/>
      <c r="JXP206" s="2"/>
      <c r="JXQ206" s="2"/>
      <c r="JXR206" s="2"/>
      <c r="JXS206" s="2"/>
      <c r="JXT206" s="2"/>
      <c r="JXU206" s="2"/>
      <c r="JXV206" s="2"/>
      <c r="JXW206" s="2"/>
      <c r="JXX206" s="2"/>
      <c r="JXY206" s="2"/>
      <c r="JXZ206" s="2"/>
      <c r="JYA206" s="2"/>
      <c r="JYB206" s="2"/>
      <c r="JYC206" s="2"/>
      <c r="JYD206" s="2"/>
      <c r="JYE206" s="2"/>
      <c r="JYF206" s="2"/>
      <c r="JYG206" s="2"/>
      <c r="JYH206" s="2"/>
      <c r="JYI206" s="2"/>
      <c r="JYJ206" s="2"/>
      <c r="JYK206" s="2"/>
      <c r="JYL206" s="2"/>
      <c r="JYM206" s="2"/>
      <c r="JYN206" s="2"/>
      <c r="JYO206" s="2"/>
      <c r="JYP206" s="2"/>
      <c r="JYQ206" s="2"/>
      <c r="JYR206" s="2"/>
      <c r="JYS206" s="2"/>
      <c r="JYT206" s="2"/>
      <c r="JYU206" s="2"/>
      <c r="JYV206" s="2"/>
      <c r="JYW206" s="2"/>
      <c r="JYX206" s="2"/>
      <c r="JYY206" s="2"/>
      <c r="JYZ206" s="2"/>
      <c r="JZA206" s="2"/>
      <c r="JZB206" s="2"/>
      <c r="JZC206" s="2"/>
      <c r="JZD206" s="2"/>
      <c r="JZE206" s="2"/>
      <c r="JZF206" s="2"/>
      <c r="JZG206" s="2"/>
      <c r="JZH206" s="2"/>
      <c r="JZI206" s="2"/>
      <c r="JZJ206" s="2"/>
      <c r="JZK206" s="2"/>
      <c r="JZL206" s="2"/>
      <c r="JZM206" s="2"/>
      <c r="JZN206" s="2"/>
      <c r="JZO206" s="2"/>
      <c r="JZP206" s="2"/>
      <c r="JZQ206" s="2"/>
      <c r="JZR206" s="2"/>
      <c r="JZS206" s="2"/>
      <c r="JZT206" s="2"/>
      <c r="JZU206" s="2"/>
      <c r="JZV206" s="2"/>
      <c r="JZW206" s="2"/>
      <c r="JZX206" s="2"/>
      <c r="JZY206" s="2"/>
      <c r="JZZ206" s="2"/>
      <c r="KAA206" s="2"/>
      <c r="KAB206" s="2"/>
      <c r="KAC206" s="2"/>
      <c r="KAD206" s="2"/>
      <c r="KAE206" s="2"/>
      <c r="KAF206" s="2"/>
      <c r="KAG206" s="2"/>
      <c r="KAH206" s="2"/>
      <c r="KAI206" s="2"/>
      <c r="KAJ206" s="2"/>
      <c r="KAK206" s="2"/>
      <c r="KAL206" s="2"/>
      <c r="KAM206" s="2"/>
      <c r="KAN206" s="2"/>
      <c r="KAO206" s="2"/>
      <c r="KAP206" s="2"/>
      <c r="KAQ206" s="2"/>
      <c r="KAR206" s="2"/>
      <c r="KAS206" s="2"/>
      <c r="KAT206" s="2"/>
      <c r="KAU206" s="2"/>
      <c r="KAV206" s="2"/>
      <c r="KAW206" s="2"/>
      <c r="KAX206" s="2"/>
      <c r="KAY206" s="2"/>
      <c r="KAZ206" s="2"/>
      <c r="KBA206" s="2"/>
      <c r="KBB206" s="2"/>
      <c r="KBC206" s="2"/>
      <c r="KBD206" s="2"/>
      <c r="KBE206" s="2"/>
      <c r="KBF206" s="2"/>
      <c r="KBG206" s="2"/>
      <c r="KBH206" s="2"/>
      <c r="KBI206" s="2"/>
      <c r="KBJ206" s="2"/>
      <c r="KBK206" s="2"/>
      <c r="KBL206" s="2"/>
      <c r="KBM206" s="2"/>
      <c r="KBN206" s="2"/>
      <c r="KBO206" s="2"/>
      <c r="KBP206" s="2"/>
      <c r="KBQ206" s="2"/>
      <c r="KBR206" s="2"/>
      <c r="KBS206" s="2"/>
      <c r="KBT206" s="2"/>
      <c r="KBU206" s="2"/>
      <c r="KBV206" s="2"/>
      <c r="KBW206" s="2"/>
      <c r="KBX206" s="2"/>
      <c r="KBY206" s="2"/>
      <c r="KBZ206" s="2"/>
      <c r="KCA206" s="2"/>
      <c r="KCB206" s="2"/>
      <c r="KCC206" s="2"/>
      <c r="KCD206" s="2"/>
      <c r="KCE206" s="2"/>
      <c r="KCF206" s="2"/>
      <c r="KCG206" s="2"/>
      <c r="KCH206" s="2"/>
      <c r="KCI206" s="2"/>
      <c r="KCJ206" s="2"/>
      <c r="KCK206" s="2"/>
      <c r="KCL206" s="2"/>
      <c r="KCM206" s="2"/>
      <c r="KCN206" s="2"/>
      <c r="KCO206" s="2"/>
      <c r="KCP206" s="2"/>
      <c r="KCQ206" s="2"/>
      <c r="KCR206" s="2"/>
      <c r="KCS206" s="2"/>
      <c r="KCT206" s="2"/>
      <c r="KCU206" s="2"/>
      <c r="KCV206" s="2"/>
      <c r="KCW206" s="2"/>
      <c r="KCX206" s="2"/>
      <c r="KCY206" s="2"/>
      <c r="KCZ206" s="2"/>
      <c r="KDA206" s="2"/>
      <c r="KDB206" s="2"/>
      <c r="KDC206" s="2"/>
      <c r="KDD206" s="2"/>
      <c r="KDE206" s="2"/>
      <c r="KDF206" s="2"/>
      <c r="KDG206" s="2"/>
      <c r="KDH206" s="2"/>
      <c r="KDI206" s="2"/>
      <c r="KDJ206" s="2"/>
      <c r="KDK206" s="2"/>
      <c r="KDL206" s="2"/>
      <c r="KDM206" s="2"/>
      <c r="KDN206" s="2"/>
      <c r="KDO206" s="2"/>
      <c r="KDP206" s="2"/>
      <c r="KDQ206" s="2"/>
      <c r="KDR206" s="2"/>
      <c r="KDS206" s="2"/>
      <c r="KDT206" s="2"/>
      <c r="KDU206" s="2"/>
      <c r="KDV206" s="2"/>
      <c r="KDW206" s="2"/>
      <c r="KDX206" s="2"/>
      <c r="KDY206" s="2"/>
      <c r="KDZ206" s="2"/>
      <c r="KEA206" s="2"/>
      <c r="KEB206" s="2"/>
      <c r="KEC206" s="2"/>
      <c r="KED206" s="2"/>
      <c r="KEE206" s="2"/>
      <c r="KEF206" s="2"/>
      <c r="KEG206" s="2"/>
      <c r="KEH206" s="2"/>
      <c r="KEI206" s="2"/>
      <c r="KEJ206" s="2"/>
      <c r="KEK206" s="2"/>
      <c r="KEL206" s="2"/>
      <c r="KEM206" s="2"/>
      <c r="KEN206" s="2"/>
      <c r="KEO206" s="2"/>
      <c r="KEP206" s="2"/>
      <c r="KEQ206" s="2"/>
      <c r="KER206" s="2"/>
      <c r="KES206" s="2"/>
      <c r="KET206" s="2"/>
      <c r="KEU206" s="2"/>
      <c r="KEV206" s="2"/>
      <c r="KEW206" s="2"/>
      <c r="KEX206" s="2"/>
      <c r="KEY206" s="2"/>
      <c r="KEZ206" s="2"/>
      <c r="KFA206" s="2"/>
      <c r="KFB206" s="2"/>
      <c r="KFC206" s="2"/>
      <c r="KFD206" s="2"/>
      <c r="KFE206" s="2"/>
      <c r="KFF206" s="2"/>
      <c r="KFG206" s="2"/>
      <c r="KFH206" s="2"/>
      <c r="KFI206" s="2"/>
      <c r="KFJ206" s="2"/>
      <c r="KFK206" s="2"/>
      <c r="KFL206" s="2"/>
      <c r="KFM206" s="2"/>
      <c r="KFN206" s="2"/>
      <c r="KFO206" s="2"/>
      <c r="KFP206" s="2"/>
      <c r="KFQ206" s="2"/>
      <c r="KFR206" s="2"/>
      <c r="KFS206" s="2"/>
      <c r="KFT206" s="2"/>
      <c r="KFU206" s="2"/>
      <c r="KFV206" s="2"/>
      <c r="KFW206" s="2"/>
      <c r="KFX206" s="2"/>
      <c r="KFY206" s="2"/>
      <c r="KFZ206" s="2"/>
      <c r="KGA206" s="2"/>
      <c r="KGB206" s="2"/>
      <c r="KGC206" s="2"/>
      <c r="KGD206" s="2"/>
      <c r="KGE206" s="2"/>
      <c r="KGF206" s="2"/>
      <c r="KGG206" s="2"/>
      <c r="KGH206" s="2"/>
      <c r="KGI206" s="2"/>
      <c r="KGJ206" s="2"/>
      <c r="KGK206" s="2"/>
      <c r="KGL206" s="2"/>
      <c r="KGM206" s="2"/>
      <c r="KGN206" s="2"/>
      <c r="KGO206" s="2"/>
      <c r="KGP206" s="2"/>
      <c r="KGQ206" s="2"/>
      <c r="KGR206" s="2"/>
      <c r="KGS206" s="2"/>
      <c r="KGT206" s="2"/>
      <c r="KGU206" s="2"/>
      <c r="KGV206" s="2"/>
      <c r="KGW206" s="2"/>
      <c r="KGX206" s="2"/>
      <c r="KGY206" s="2"/>
      <c r="KGZ206" s="2"/>
      <c r="KHA206" s="2"/>
      <c r="KHB206" s="2"/>
      <c r="KHC206" s="2"/>
      <c r="KHD206" s="2"/>
      <c r="KHE206" s="2"/>
      <c r="KHF206" s="2"/>
      <c r="KHG206" s="2"/>
      <c r="KHH206" s="2"/>
      <c r="KHI206" s="2"/>
      <c r="KHJ206" s="2"/>
      <c r="KHK206" s="2"/>
      <c r="KHL206" s="2"/>
      <c r="KHM206" s="2"/>
      <c r="KHN206" s="2"/>
      <c r="KHO206" s="2"/>
      <c r="KHP206" s="2"/>
      <c r="KHQ206" s="2"/>
      <c r="KHR206" s="2"/>
      <c r="KHS206" s="2"/>
      <c r="KHT206" s="2"/>
      <c r="KHU206" s="2"/>
      <c r="KHV206" s="2"/>
      <c r="KHW206" s="2"/>
      <c r="KHX206" s="2"/>
      <c r="KHY206" s="2"/>
      <c r="KHZ206" s="2"/>
      <c r="KIA206" s="2"/>
      <c r="KIB206" s="2"/>
      <c r="KIC206" s="2"/>
      <c r="KID206" s="2"/>
      <c r="KIE206" s="2"/>
      <c r="KIF206" s="2"/>
      <c r="KIG206" s="2"/>
      <c r="KIH206" s="2"/>
      <c r="KII206" s="2"/>
      <c r="KIJ206" s="2"/>
      <c r="KIK206" s="2"/>
      <c r="KIL206" s="2"/>
      <c r="KIM206" s="2"/>
      <c r="KIN206" s="2"/>
      <c r="KIO206" s="2"/>
      <c r="KIP206" s="2"/>
      <c r="KIQ206" s="2"/>
      <c r="KIR206" s="2"/>
      <c r="KIS206" s="2"/>
      <c r="KIT206" s="2"/>
      <c r="KIU206" s="2"/>
      <c r="KIV206" s="2"/>
      <c r="KIW206" s="2"/>
      <c r="KIX206" s="2"/>
      <c r="KIY206" s="2"/>
      <c r="KIZ206" s="2"/>
      <c r="KJA206" s="2"/>
      <c r="KJB206" s="2"/>
      <c r="KJC206" s="2"/>
      <c r="KJD206" s="2"/>
      <c r="KJE206" s="2"/>
      <c r="KJF206" s="2"/>
      <c r="KJG206" s="2"/>
      <c r="KJH206" s="2"/>
      <c r="KJI206" s="2"/>
      <c r="KJJ206" s="2"/>
      <c r="KJK206" s="2"/>
      <c r="KJL206" s="2"/>
      <c r="KJM206" s="2"/>
      <c r="KJN206" s="2"/>
      <c r="KJO206" s="2"/>
      <c r="KJP206" s="2"/>
      <c r="KJQ206" s="2"/>
      <c r="KJR206" s="2"/>
      <c r="KJS206" s="2"/>
      <c r="KJT206" s="2"/>
      <c r="KJU206" s="2"/>
      <c r="KJV206" s="2"/>
      <c r="KJW206" s="2"/>
      <c r="KJX206" s="2"/>
      <c r="KJY206" s="2"/>
      <c r="KJZ206" s="2"/>
      <c r="KKA206" s="2"/>
      <c r="KKB206" s="2"/>
      <c r="KKC206" s="2"/>
      <c r="KKD206" s="2"/>
      <c r="KKE206" s="2"/>
      <c r="KKF206" s="2"/>
      <c r="KKG206" s="2"/>
      <c r="KKH206" s="2"/>
      <c r="KKI206" s="2"/>
      <c r="KKJ206" s="2"/>
      <c r="KKK206" s="2"/>
      <c r="KKL206" s="2"/>
      <c r="KKM206" s="2"/>
      <c r="KKN206" s="2"/>
      <c r="KKO206" s="2"/>
      <c r="KKP206" s="2"/>
      <c r="KKQ206" s="2"/>
      <c r="KKR206" s="2"/>
      <c r="KKS206" s="2"/>
      <c r="KKT206" s="2"/>
      <c r="KKU206" s="2"/>
      <c r="KKV206" s="2"/>
      <c r="KKW206" s="2"/>
      <c r="KKX206" s="2"/>
      <c r="KKY206" s="2"/>
      <c r="KKZ206" s="2"/>
      <c r="KLA206" s="2"/>
      <c r="KLB206" s="2"/>
      <c r="KLC206" s="2"/>
      <c r="KLD206" s="2"/>
      <c r="KLE206" s="2"/>
      <c r="KLF206" s="2"/>
      <c r="KLG206" s="2"/>
      <c r="KLH206" s="2"/>
      <c r="KLI206" s="2"/>
      <c r="KLJ206" s="2"/>
      <c r="KLK206" s="2"/>
      <c r="KLL206" s="2"/>
      <c r="KLM206" s="2"/>
      <c r="KLN206" s="2"/>
      <c r="KLO206" s="2"/>
      <c r="KLP206" s="2"/>
      <c r="KLQ206" s="2"/>
      <c r="KLR206" s="2"/>
      <c r="KLS206" s="2"/>
      <c r="KLT206" s="2"/>
      <c r="KLU206" s="2"/>
      <c r="KLV206" s="2"/>
      <c r="KLW206" s="2"/>
      <c r="KLX206" s="2"/>
      <c r="KLY206" s="2"/>
      <c r="KLZ206" s="2"/>
      <c r="KMA206" s="2"/>
      <c r="KMB206" s="2"/>
      <c r="KMC206" s="2"/>
      <c r="KMD206" s="2"/>
      <c r="KME206" s="2"/>
      <c r="KMF206" s="2"/>
      <c r="KMG206" s="2"/>
      <c r="KMH206" s="2"/>
      <c r="KMI206" s="2"/>
      <c r="KMJ206" s="2"/>
      <c r="KMK206" s="2"/>
      <c r="KML206" s="2"/>
      <c r="KMM206" s="2"/>
      <c r="KMN206" s="2"/>
      <c r="KMO206" s="2"/>
      <c r="KMP206" s="2"/>
      <c r="KMQ206" s="2"/>
      <c r="KMR206" s="2"/>
      <c r="KMS206" s="2"/>
      <c r="KMT206" s="2"/>
      <c r="KMU206" s="2"/>
      <c r="KMV206" s="2"/>
      <c r="KMW206" s="2"/>
      <c r="KMX206" s="2"/>
      <c r="KMY206" s="2"/>
      <c r="KMZ206" s="2"/>
      <c r="KNA206" s="2"/>
      <c r="KNB206" s="2"/>
      <c r="KNC206" s="2"/>
      <c r="KND206" s="2"/>
      <c r="KNE206" s="2"/>
      <c r="KNF206" s="2"/>
      <c r="KNG206" s="2"/>
      <c r="KNH206" s="2"/>
      <c r="KNI206" s="2"/>
      <c r="KNJ206" s="2"/>
      <c r="KNK206" s="2"/>
      <c r="KNL206" s="2"/>
      <c r="KNM206" s="2"/>
      <c r="KNN206" s="2"/>
      <c r="KNO206" s="2"/>
      <c r="KNP206" s="2"/>
      <c r="KNQ206" s="2"/>
      <c r="KNR206" s="2"/>
      <c r="KNS206" s="2"/>
      <c r="KNT206" s="2"/>
      <c r="KNU206" s="2"/>
      <c r="KNV206" s="2"/>
      <c r="KNW206" s="2"/>
      <c r="KNX206" s="2"/>
      <c r="KNY206" s="2"/>
      <c r="KNZ206" s="2"/>
      <c r="KOA206" s="2"/>
      <c r="KOB206" s="2"/>
      <c r="KOC206" s="2"/>
      <c r="KOD206" s="2"/>
      <c r="KOE206" s="2"/>
      <c r="KOF206" s="2"/>
      <c r="KOG206" s="2"/>
      <c r="KOH206" s="2"/>
      <c r="KOI206" s="2"/>
      <c r="KOJ206" s="2"/>
      <c r="KOK206" s="2"/>
      <c r="KOL206" s="2"/>
      <c r="KOM206" s="2"/>
      <c r="KON206" s="2"/>
      <c r="KOO206" s="2"/>
      <c r="KOP206" s="2"/>
      <c r="KOQ206" s="2"/>
      <c r="KOR206" s="2"/>
      <c r="KOS206" s="2"/>
      <c r="KOT206" s="2"/>
      <c r="KOU206" s="2"/>
      <c r="KOV206" s="2"/>
      <c r="KOW206" s="2"/>
      <c r="KOX206" s="2"/>
      <c r="KOY206" s="2"/>
      <c r="KOZ206" s="2"/>
      <c r="KPA206" s="2"/>
      <c r="KPB206" s="2"/>
      <c r="KPC206" s="2"/>
      <c r="KPD206" s="2"/>
      <c r="KPE206" s="2"/>
      <c r="KPF206" s="2"/>
      <c r="KPG206" s="2"/>
      <c r="KPH206" s="2"/>
      <c r="KPI206" s="2"/>
      <c r="KPJ206" s="2"/>
      <c r="KPK206" s="2"/>
      <c r="KPL206" s="2"/>
      <c r="KPM206" s="2"/>
      <c r="KPN206" s="2"/>
      <c r="KPO206" s="2"/>
      <c r="KPP206" s="2"/>
      <c r="KPQ206" s="2"/>
      <c r="KPR206" s="2"/>
      <c r="KPS206" s="2"/>
      <c r="KPT206" s="2"/>
      <c r="KPU206" s="2"/>
      <c r="KPV206" s="2"/>
      <c r="KPW206" s="2"/>
      <c r="KPX206" s="2"/>
      <c r="KPY206" s="2"/>
      <c r="KPZ206" s="2"/>
      <c r="KQA206" s="2"/>
      <c r="KQB206" s="2"/>
      <c r="KQC206" s="2"/>
      <c r="KQD206" s="2"/>
      <c r="KQE206" s="2"/>
      <c r="KQF206" s="2"/>
      <c r="KQG206" s="2"/>
      <c r="KQH206" s="2"/>
      <c r="KQI206" s="2"/>
      <c r="KQJ206" s="2"/>
      <c r="KQK206" s="2"/>
      <c r="KQL206" s="2"/>
      <c r="KQM206" s="2"/>
      <c r="KQN206" s="2"/>
      <c r="KQO206" s="2"/>
      <c r="KQP206" s="2"/>
      <c r="KQQ206" s="2"/>
      <c r="KQR206" s="2"/>
      <c r="KQS206" s="2"/>
      <c r="KQT206" s="2"/>
      <c r="KQU206" s="2"/>
      <c r="KQV206" s="2"/>
      <c r="KQW206" s="2"/>
      <c r="KQX206" s="2"/>
      <c r="KQY206" s="2"/>
      <c r="KQZ206" s="2"/>
      <c r="KRA206" s="2"/>
      <c r="KRB206" s="2"/>
      <c r="KRC206" s="2"/>
      <c r="KRD206" s="2"/>
      <c r="KRE206" s="2"/>
      <c r="KRF206" s="2"/>
      <c r="KRG206" s="2"/>
      <c r="KRH206" s="2"/>
      <c r="KRI206" s="2"/>
      <c r="KRJ206" s="2"/>
      <c r="KRK206" s="2"/>
      <c r="KRL206" s="2"/>
      <c r="KRM206" s="2"/>
      <c r="KRN206" s="2"/>
      <c r="KRO206" s="2"/>
      <c r="KRP206" s="2"/>
      <c r="KRQ206" s="2"/>
      <c r="KRR206" s="2"/>
      <c r="KRS206" s="2"/>
      <c r="KRT206" s="2"/>
      <c r="KRU206" s="2"/>
      <c r="KRV206" s="2"/>
      <c r="KRW206" s="2"/>
      <c r="KRX206" s="2"/>
      <c r="KRY206" s="2"/>
      <c r="KRZ206" s="2"/>
      <c r="KSA206" s="2"/>
      <c r="KSB206" s="2"/>
      <c r="KSC206" s="2"/>
      <c r="KSD206" s="2"/>
      <c r="KSE206" s="2"/>
      <c r="KSF206" s="2"/>
      <c r="KSG206" s="2"/>
      <c r="KSH206" s="2"/>
      <c r="KSI206" s="2"/>
      <c r="KSJ206" s="2"/>
      <c r="KSK206" s="2"/>
      <c r="KSL206" s="2"/>
      <c r="KSM206" s="2"/>
      <c r="KSN206" s="2"/>
      <c r="KSO206" s="2"/>
      <c r="KSP206" s="2"/>
      <c r="KSQ206" s="2"/>
      <c r="KSR206" s="2"/>
      <c r="KSS206" s="2"/>
      <c r="KST206" s="2"/>
      <c r="KSU206" s="2"/>
      <c r="KSV206" s="2"/>
      <c r="KSW206" s="2"/>
      <c r="KSX206" s="2"/>
      <c r="KSY206" s="2"/>
      <c r="KSZ206" s="2"/>
      <c r="KTA206" s="2"/>
      <c r="KTB206" s="2"/>
      <c r="KTC206" s="2"/>
      <c r="KTD206" s="2"/>
      <c r="KTE206" s="2"/>
      <c r="KTF206" s="2"/>
      <c r="KTG206" s="2"/>
      <c r="KTH206" s="2"/>
      <c r="KTI206" s="2"/>
      <c r="KTJ206" s="2"/>
      <c r="KTK206" s="2"/>
      <c r="KTL206" s="2"/>
      <c r="KTM206" s="2"/>
      <c r="KTN206" s="2"/>
      <c r="KTO206" s="2"/>
      <c r="KTP206" s="2"/>
      <c r="KTQ206" s="2"/>
      <c r="KTR206" s="2"/>
      <c r="KTS206" s="2"/>
      <c r="KTT206" s="2"/>
      <c r="KTU206" s="2"/>
      <c r="KTV206" s="2"/>
      <c r="KTW206" s="2"/>
      <c r="KTX206" s="2"/>
      <c r="KTY206" s="2"/>
      <c r="KTZ206" s="2"/>
      <c r="KUA206" s="2"/>
      <c r="KUB206" s="2"/>
      <c r="KUC206" s="2"/>
      <c r="KUD206" s="2"/>
      <c r="KUE206" s="2"/>
      <c r="KUF206" s="2"/>
      <c r="KUG206" s="2"/>
      <c r="KUH206" s="2"/>
      <c r="KUI206" s="2"/>
      <c r="KUJ206" s="2"/>
      <c r="KUK206" s="2"/>
      <c r="KUL206" s="2"/>
      <c r="KUM206" s="2"/>
      <c r="KUN206" s="2"/>
      <c r="KUO206" s="2"/>
      <c r="KUP206" s="2"/>
      <c r="KUQ206" s="2"/>
      <c r="KUR206" s="2"/>
      <c r="KUS206" s="2"/>
      <c r="KUT206" s="2"/>
      <c r="KUU206" s="2"/>
      <c r="KUV206" s="2"/>
      <c r="KUW206" s="2"/>
      <c r="KUX206" s="2"/>
      <c r="KUY206" s="2"/>
      <c r="KUZ206" s="2"/>
      <c r="KVA206" s="2"/>
      <c r="KVB206" s="2"/>
      <c r="KVC206" s="2"/>
      <c r="KVD206" s="2"/>
      <c r="KVE206" s="2"/>
      <c r="KVF206" s="2"/>
      <c r="KVG206" s="2"/>
      <c r="KVH206" s="2"/>
      <c r="KVI206" s="2"/>
      <c r="KVJ206" s="2"/>
      <c r="KVK206" s="2"/>
      <c r="KVL206" s="2"/>
      <c r="KVM206" s="2"/>
      <c r="KVN206" s="2"/>
      <c r="KVO206" s="2"/>
      <c r="KVP206" s="2"/>
      <c r="KVQ206" s="2"/>
      <c r="KVR206" s="2"/>
      <c r="KVS206" s="2"/>
      <c r="KVT206" s="2"/>
      <c r="KVU206" s="2"/>
      <c r="KVV206" s="2"/>
      <c r="KVW206" s="2"/>
      <c r="KVX206" s="2"/>
      <c r="KVY206" s="2"/>
      <c r="KVZ206" s="2"/>
      <c r="KWA206" s="2"/>
      <c r="KWB206" s="2"/>
      <c r="KWC206" s="2"/>
      <c r="KWD206" s="2"/>
      <c r="KWE206" s="2"/>
      <c r="KWF206" s="2"/>
      <c r="KWG206" s="2"/>
      <c r="KWH206" s="2"/>
      <c r="KWI206" s="2"/>
      <c r="KWJ206" s="2"/>
      <c r="KWK206" s="2"/>
      <c r="KWL206" s="2"/>
      <c r="KWM206" s="2"/>
      <c r="KWN206" s="2"/>
      <c r="KWO206" s="2"/>
      <c r="KWP206" s="2"/>
      <c r="KWQ206" s="2"/>
      <c r="KWR206" s="2"/>
      <c r="KWS206" s="2"/>
      <c r="KWT206" s="2"/>
      <c r="KWU206" s="2"/>
      <c r="KWV206" s="2"/>
      <c r="KWW206" s="2"/>
      <c r="KWX206" s="2"/>
      <c r="KWY206" s="2"/>
      <c r="KWZ206" s="2"/>
      <c r="KXA206" s="2"/>
      <c r="KXB206" s="2"/>
      <c r="KXC206" s="2"/>
      <c r="KXD206" s="2"/>
      <c r="KXE206" s="2"/>
      <c r="KXF206" s="2"/>
      <c r="KXG206" s="2"/>
      <c r="KXH206" s="2"/>
      <c r="KXI206" s="2"/>
      <c r="KXJ206" s="2"/>
      <c r="KXK206" s="2"/>
      <c r="KXL206" s="2"/>
      <c r="KXM206" s="2"/>
      <c r="KXN206" s="2"/>
      <c r="KXO206" s="2"/>
      <c r="KXP206" s="2"/>
      <c r="KXQ206" s="2"/>
      <c r="KXR206" s="2"/>
      <c r="KXS206" s="2"/>
      <c r="KXT206" s="2"/>
      <c r="KXU206" s="2"/>
      <c r="KXV206" s="2"/>
      <c r="KXW206" s="2"/>
      <c r="KXX206" s="2"/>
      <c r="KXY206" s="2"/>
      <c r="KXZ206" s="2"/>
      <c r="KYA206" s="2"/>
      <c r="KYB206" s="2"/>
      <c r="KYC206" s="2"/>
      <c r="KYD206" s="2"/>
      <c r="KYE206" s="2"/>
      <c r="KYF206" s="2"/>
      <c r="KYG206" s="2"/>
      <c r="KYH206" s="2"/>
      <c r="KYI206" s="2"/>
      <c r="KYJ206" s="2"/>
      <c r="KYK206" s="2"/>
      <c r="KYL206" s="2"/>
      <c r="KYM206" s="2"/>
      <c r="KYN206" s="2"/>
      <c r="KYO206" s="2"/>
      <c r="KYP206" s="2"/>
      <c r="KYQ206" s="2"/>
      <c r="KYR206" s="2"/>
      <c r="KYS206" s="2"/>
      <c r="KYT206" s="2"/>
      <c r="KYU206" s="2"/>
      <c r="KYV206" s="2"/>
      <c r="KYW206" s="2"/>
      <c r="KYX206" s="2"/>
      <c r="KYY206" s="2"/>
      <c r="KYZ206" s="2"/>
      <c r="KZA206" s="2"/>
      <c r="KZB206" s="2"/>
      <c r="KZC206" s="2"/>
      <c r="KZD206" s="2"/>
      <c r="KZE206" s="2"/>
      <c r="KZF206" s="2"/>
      <c r="KZG206" s="2"/>
      <c r="KZH206" s="2"/>
      <c r="KZI206" s="2"/>
      <c r="KZJ206" s="2"/>
      <c r="KZK206" s="2"/>
      <c r="KZL206" s="2"/>
      <c r="KZM206" s="2"/>
      <c r="KZN206" s="2"/>
      <c r="KZO206" s="2"/>
      <c r="KZP206" s="2"/>
      <c r="KZQ206" s="2"/>
      <c r="KZR206" s="2"/>
      <c r="KZS206" s="2"/>
      <c r="KZT206" s="2"/>
      <c r="KZU206" s="2"/>
      <c r="KZV206" s="2"/>
      <c r="KZW206" s="2"/>
      <c r="KZX206" s="2"/>
      <c r="KZY206" s="2"/>
      <c r="KZZ206" s="2"/>
      <c r="LAA206" s="2"/>
      <c r="LAB206" s="2"/>
      <c r="LAC206" s="2"/>
      <c r="LAD206" s="2"/>
      <c r="LAE206" s="2"/>
      <c r="LAF206" s="2"/>
      <c r="LAG206" s="2"/>
      <c r="LAH206" s="2"/>
      <c r="LAI206" s="2"/>
      <c r="LAJ206" s="2"/>
      <c r="LAK206" s="2"/>
      <c r="LAL206" s="2"/>
      <c r="LAM206" s="2"/>
      <c r="LAN206" s="2"/>
      <c r="LAO206" s="2"/>
      <c r="LAP206" s="2"/>
      <c r="LAQ206" s="2"/>
      <c r="LAR206" s="2"/>
      <c r="LAS206" s="2"/>
      <c r="LAT206" s="2"/>
      <c r="LAU206" s="2"/>
      <c r="LAV206" s="2"/>
      <c r="LAW206" s="2"/>
      <c r="LAX206" s="2"/>
      <c r="LAY206" s="2"/>
      <c r="LAZ206" s="2"/>
      <c r="LBA206" s="2"/>
      <c r="LBB206" s="2"/>
      <c r="LBC206" s="2"/>
      <c r="LBD206" s="2"/>
      <c r="LBE206" s="2"/>
      <c r="LBF206" s="2"/>
      <c r="LBG206" s="2"/>
      <c r="LBH206" s="2"/>
      <c r="LBI206" s="2"/>
      <c r="LBJ206" s="2"/>
      <c r="LBK206" s="2"/>
      <c r="LBL206" s="2"/>
      <c r="LBM206" s="2"/>
      <c r="LBN206" s="2"/>
      <c r="LBO206" s="2"/>
      <c r="LBP206" s="2"/>
      <c r="LBQ206" s="2"/>
      <c r="LBR206" s="2"/>
      <c r="LBS206" s="2"/>
      <c r="LBT206" s="2"/>
      <c r="LBU206" s="2"/>
      <c r="LBV206" s="2"/>
      <c r="LBW206" s="2"/>
      <c r="LBX206" s="2"/>
      <c r="LBY206" s="2"/>
      <c r="LBZ206" s="2"/>
      <c r="LCA206" s="2"/>
      <c r="LCB206" s="2"/>
      <c r="LCC206" s="2"/>
      <c r="LCD206" s="2"/>
      <c r="LCE206" s="2"/>
      <c r="LCF206" s="2"/>
      <c r="LCG206" s="2"/>
      <c r="LCH206" s="2"/>
      <c r="LCI206" s="2"/>
      <c r="LCJ206" s="2"/>
      <c r="LCK206" s="2"/>
      <c r="LCL206" s="2"/>
      <c r="LCM206" s="2"/>
      <c r="LCN206" s="2"/>
      <c r="LCO206" s="2"/>
      <c r="LCP206" s="2"/>
      <c r="LCQ206" s="2"/>
      <c r="LCR206" s="2"/>
      <c r="LCS206" s="2"/>
      <c r="LCT206" s="2"/>
      <c r="LCU206" s="2"/>
      <c r="LCV206" s="2"/>
      <c r="LCW206" s="2"/>
      <c r="LCX206" s="2"/>
      <c r="LCY206" s="2"/>
      <c r="LCZ206" s="2"/>
      <c r="LDA206" s="2"/>
      <c r="LDB206" s="2"/>
      <c r="LDC206" s="2"/>
      <c r="LDD206" s="2"/>
      <c r="LDE206" s="2"/>
      <c r="LDF206" s="2"/>
      <c r="LDG206" s="2"/>
      <c r="LDH206" s="2"/>
      <c r="LDI206" s="2"/>
      <c r="LDJ206" s="2"/>
      <c r="LDK206" s="2"/>
      <c r="LDL206" s="2"/>
      <c r="LDM206" s="2"/>
      <c r="LDN206" s="2"/>
      <c r="LDO206" s="2"/>
      <c r="LDP206" s="2"/>
      <c r="LDQ206" s="2"/>
      <c r="LDR206" s="2"/>
      <c r="LDS206" s="2"/>
      <c r="LDT206" s="2"/>
      <c r="LDU206" s="2"/>
      <c r="LDV206" s="2"/>
      <c r="LDW206" s="2"/>
      <c r="LDX206" s="2"/>
      <c r="LDY206" s="2"/>
      <c r="LDZ206" s="2"/>
      <c r="LEA206" s="2"/>
      <c r="LEB206" s="2"/>
      <c r="LEC206" s="2"/>
      <c r="LED206" s="2"/>
      <c r="LEE206" s="2"/>
      <c r="LEF206" s="2"/>
      <c r="LEG206" s="2"/>
      <c r="LEH206" s="2"/>
      <c r="LEI206" s="2"/>
      <c r="LEJ206" s="2"/>
      <c r="LEK206" s="2"/>
      <c r="LEL206" s="2"/>
      <c r="LEM206" s="2"/>
      <c r="LEN206" s="2"/>
      <c r="LEO206" s="2"/>
      <c r="LEP206" s="2"/>
      <c r="LEQ206" s="2"/>
      <c r="LER206" s="2"/>
      <c r="LES206" s="2"/>
      <c r="LET206" s="2"/>
      <c r="LEU206" s="2"/>
      <c r="LEV206" s="2"/>
      <c r="LEW206" s="2"/>
      <c r="LEX206" s="2"/>
      <c r="LEY206" s="2"/>
      <c r="LEZ206" s="2"/>
      <c r="LFA206" s="2"/>
      <c r="LFB206" s="2"/>
      <c r="LFC206" s="2"/>
      <c r="LFD206" s="2"/>
      <c r="LFE206" s="2"/>
      <c r="LFF206" s="2"/>
      <c r="LFG206" s="2"/>
      <c r="LFH206" s="2"/>
      <c r="LFI206" s="2"/>
      <c r="LFJ206" s="2"/>
      <c r="LFK206" s="2"/>
      <c r="LFL206" s="2"/>
      <c r="LFM206" s="2"/>
      <c r="LFN206" s="2"/>
      <c r="LFO206" s="2"/>
      <c r="LFP206" s="2"/>
      <c r="LFQ206" s="2"/>
      <c r="LFR206" s="2"/>
      <c r="LFS206" s="2"/>
      <c r="LFT206" s="2"/>
      <c r="LFU206" s="2"/>
      <c r="LFV206" s="2"/>
      <c r="LFW206" s="2"/>
      <c r="LFX206" s="2"/>
      <c r="LFY206" s="2"/>
      <c r="LFZ206" s="2"/>
      <c r="LGA206" s="2"/>
      <c r="LGB206" s="2"/>
      <c r="LGC206" s="2"/>
      <c r="LGD206" s="2"/>
      <c r="LGE206" s="2"/>
      <c r="LGF206" s="2"/>
      <c r="LGG206" s="2"/>
      <c r="LGH206" s="2"/>
      <c r="LGI206" s="2"/>
      <c r="LGJ206" s="2"/>
      <c r="LGK206" s="2"/>
      <c r="LGL206" s="2"/>
      <c r="LGM206" s="2"/>
      <c r="LGN206" s="2"/>
      <c r="LGO206" s="2"/>
      <c r="LGP206" s="2"/>
      <c r="LGQ206" s="2"/>
      <c r="LGR206" s="2"/>
      <c r="LGS206" s="2"/>
      <c r="LGT206" s="2"/>
      <c r="LGU206" s="2"/>
      <c r="LGV206" s="2"/>
      <c r="LGW206" s="2"/>
      <c r="LGX206" s="2"/>
      <c r="LGY206" s="2"/>
      <c r="LGZ206" s="2"/>
      <c r="LHA206" s="2"/>
      <c r="LHB206" s="2"/>
      <c r="LHC206" s="2"/>
      <c r="LHD206" s="2"/>
      <c r="LHE206" s="2"/>
      <c r="LHF206" s="2"/>
      <c r="LHG206" s="2"/>
      <c r="LHH206" s="2"/>
      <c r="LHI206" s="2"/>
      <c r="LHJ206" s="2"/>
      <c r="LHK206" s="2"/>
      <c r="LHL206" s="2"/>
      <c r="LHM206" s="2"/>
      <c r="LHN206" s="2"/>
      <c r="LHO206" s="2"/>
      <c r="LHP206" s="2"/>
      <c r="LHQ206" s="2"/>
      <c r="LHR206" s="2"/>
      <c r="LHS206" s="2"/>
      <c r="LHT206" s="2"/>
      <c r="LHU206" s="2"/>
      <c r="LHV206" s="2"/>
      <c r="LHW206" s="2"/>
      <c r="LHX206" s="2"/>
      <c r="LHY206" s="2"/>
      <c r="LHZ206" s="2"/>
      <c r="LIA206" s="2"/>
      <c r="LIB206" s="2"/>
      <c r="LIC206" s="2"/>
      <c r="LID206" s="2"/>
      <c r="LIE206" s="2"/>
      <c r="LIF206" s="2"/>
      <c r="LIG206" s="2"/>
      <c r="LIH206" s="2"/>
      <c r="LII206" s="2"/>
      <c r="LIJ206" s="2"/>
      <c r="LIK206" s="2"/>
      <c r="LIL206" s="2"/>
      <c r="LIM206" s="2"/>
      <c r="LIN206" s="2"/>
      <c r="LIO206" s="2"/>
      <c r="LIP206" s="2"/>
      <c r="LIQ206" s="2"/>
      <c r="LIR206" s="2"/>
      <c r="LIS206" s="2"/>
      <c r="LIT206" s="2"/>
      <c r="LIU206" s="2"/>
      <c r="LIV206" s="2"/>
      <c r="LIW206" s="2"/>
      <c r="LIX206" s="2"/>
      <c r="LIY206" s="2"/>
      <c r="LIZ206" s="2"/>
      <c r="LJA206" s="2"/>
      <c r="LJB206" s="2"/>
      <c r="LJC206" s="2"/>
      <c r="LJD206" s="2"/>
      <c r="LJE206" s="2"/>
      <c r="LJF206" s="2"/>
      <c r="LJG206" s="2"/>
      <c r="LJH206" s="2"/>
      <c r="LJI206" s="2"/>
      <c r="LJJ206" s="2"/>
      <c r="LJK206" s="2"/>
      <c r="LJL206" s="2"/>
      <c r="LJM206" s="2"/>
      <c r="LJN206" s="2"/>
      <c r="LJO206" s="2"/>
      <c r="LJP206" s="2"/>
      <c r="LJQ206" s="2"/>
      <c r="LJR206" s="2"/>
      <c r="LJS206" s="2"/>
      <c r="LJT206" s="2"/>
      <c r="LJU206" s="2"/>
      <c r="LJV206" s="2"/>
      <c r="LJW206" s="2"/>
      <c r="LJX206" s="2"/>
      <c r="LJY206" s="2"/>
      <c r="LJZ206" s="2"/>
      <c r="LKA206" s="2"/>
      <c r="LKB206" s="2"/>
      <c r="LKC206" s="2"/>
      <c r="LKD206" s="2"/>
      <c r="LKE206" s="2"/>
      <c r="LKF206" s="2"/>
      <c r="LKG206" s="2"/>
      <c r="LKH206" s="2"/>
      <c r="LKI206" s="2"/>
      <c r="LKJ206" s="2"/>
      <c r="LKK206" s="2"/>
      <c r="LKL206" s="2"/>
      <c r="LKM206" s="2"/>
      <c r="LKN206" s="2"/>
      <c r="LKO206" s="2"/>
      <c r="LKP206" s="2"/>
      <c r="LKQ206" s="2"/>
      <c r="LKR206" s="2"/>
      <c r="LKS206" s="2"/>
      <c r="LKT206" s="2"/>
      <c r="LKU206" s="2"/>
      <c r="LKV206" s="2"/>
      <c r="LKW206" s="2"/>
      <c r="LKX206" s="2"/>
      <c r="LKY206" s="2"/>
      <c r="LKZ206" s="2"/>
      <c r="LLA206" s="2"/>
      <c r="LLB206" s="2"/>
      <c r="LLC206" s="2"/>
      <c r="LLD206" s="2"/>
      <c r="LLE206" s="2"/>
      <c r="LLF206" s="2"/>
      <c r="LLG206" s="2"/>
      <c r="LLH206" s="2"/>
      <c r="LLI206" s="2"/>
      <c r="LLJ206" s="2"/>
      <c r="LLK206" s="2"/>
      <c r="LLL206" s="2"/>
      <c r="LLM206" s="2"/>
      <c r="LLN206" s="2"/>
      <c r="LLO206" s="2"/>
      <c r="LLP206" s="2"/>
      <c r="LLQ206" s="2"/>
      <c r="LLR206" s="2"/>
      <c r="LLS206" s="2"/>
      <c r="LLT206" s="2"/>
      <c r="LLU206" s="2"/>
      <c r="LLV206" s="2"/>
      <c r="LLW206" s="2"/>
      <c r="LLX206" s="2"/>
      <c r="LLY206" s="2"/>
      <c r="LLZ206" s="2"/>
      <c r="LMA206" s="2"/>
      <c r="LMB206" s="2"/>
      <c r="LMC206" s="2"/>
      <c r="LMD206" s="2"/>
      <c r="LME206" s="2"/>
      <c r="LMF206" s="2"/>
      <c r="LMG206" s="2"/>
      <c r="LMH206" s="2"/>
      <c r="LMI206" s="2"/>
      <c r="LMJ206" s="2"/>
      <c r="LMK206" s="2"/>
      <c r="LML206" s="2"/>
      <c r="LMM206" s="2"/>
      <c r="LMN206" s="2"/>
      <c r="LMO206" s="2"/>
      <c r="LMP206" s="2"/>
      <c r="LMQ206" s="2"/>
      <c r="LMR206" s="2"/>
      <c r="LMS206" s="2"/>
      <c r="LMT206" s="2"/>
      <c r="LMU206" s="2"/>
      <c r="LMV206" s="2"/>
      <c r="LMW206" s="2"/>
      <c r="LMX206" s="2"/>
      <c r="LMY206" s="2"/>
      <c r="LMZ206" s="2"/>
      <c r="LNA206" s="2"/>
      <c r="LNB206" s="2"/>
      <c r="LNC206" s="2"/>
      <c r="LND206" s="2"/>
      <c r="LNE206" s="2"/>
      <c r="LNF206" s="2"/>
      <c r="LNG206" s="2"/>
      <c r="LNH206" s="2"/>
      <c r="LNI206" s="2"/>
      <c r="LNJ206" s="2"/>
      <c r="LNK206" s="2"/>
      <c r="LNL206" s="2"/>
      <c r="LNM206" s="2"/>
      <c r="LNN206" s="2"/>
      <c r="LNO206" s="2"/>
      <c r="LNP206" s="2"/>
      <c r="LNQ206" s="2"/>
      <c r="LNR206" s="2"/>
      <c r="LNS206" s="2"/>
      <c r="LNT206" s="2"/>
      <c r="LNU206" s="2"/>
      <c r="LNV206" s="2"/>
      <c r="LNW206" s="2"/>
      <c r="LNX206" s="2"/>
      <c r="LNY206" s="2"/>
      <c r="LNZ206" s="2"/>
      <c r="LOA206" s="2"/>
      <c r="LOB206" s="2"/>
      <c r="LOC206" s="2"/>
      <c r="LOD206" s="2"/>
      <c r="LOE206" s="2"/>
      <c r="LOF206" s="2"/>
      <c r="LOG206" s="2"/>
      <c r="LOH206" s="2"/>
      <c r="LOI206" s="2"/>
      <c r="LOJ206" s="2"/>
      <c r="LOK206" s="2"/>
      <c r="LOL206" s="2"/>
      <c r="LOM206" s="2"/>
      <c r="LON206" s="2"/>
      <c r="LOO206" s="2"/>
      <c r="LOP206" s="2"/>
      <c r="LOQ206" s="2"/>
      <c r="LOR206" s="2"/>
      <c r="LOS206" s="2"/>
      <c r="LOT206" s="2"/>
      <c r="LOU206" s="2"/>
      <c r="LOV206" s="2"/>
      <c r="LOW206" s="2"/>
      <c r="LOX206" s="2"/>
      <c r="LOY206" s="2"/>
      <c r="LOZ206" s="2"/>
      <c r="LPA206" s="2"/>
      <c r="LPB206" s="2"/>
      <c r="LPC206" s="2"/>
      <c r="LPD206" s="2"/>
      <c r="LPE206" s="2"/>
      <c r="LPF206" s="2"/>
      <c r="LPG206" s="2"/>
      <c r="LPH206" s="2"/>
      <c r="LPI206" s="2"/>
      <c r="LPJ206" s="2"/>
      <c r="LPK206" s="2"/>
      <c r="LPL206" s="2"/>
      <c r="LPM206" s="2"/>
      <c r="LPN206" s="2"/>
      <c r="LPO206" s="2"/>
      <c r="LPP206" s="2"/>
      <c r="LPQ206" s="2"/>
      <c r="LPR206" s="2"/>
      <c r="LPS206" s="2"/>
      <c r="LPT206" s="2"/>
      <c r="LPU206" s="2"/>
      <c r="LPV206" s="2"/>
      <c r="LPW206" s="2"/>
      <c r="LPX206" s="2"/>
      <c r="LPY206" s="2"/>
      <c r="LPZ206" s="2"/>
      <c r="LQA206" s="2"/>
      <c r="LQB206" s="2"/>
      <c r="LQC206" s="2"/>
      <c r="LQD206" s="2"/>
      <c r="LQE206" s="2"/>
      <c r="LQF206" s="2"/>
      <c r="LQG206" s="2"/>
      <c r="LQH206" s="2"/>
      <c r="LQI206" s="2"/>
      <c r="LQJ206" s="2"/>
      <c r="LQK206" s="2"/>
      <c r="LQL206" s="2"/>
      <c r="LQM206" s="2"/>
      <c r="LQN206" s="2"/>
      <c r="LQO206" s="2"/>
      <c r="LQP206" s="2"/>
      <c r="LQQ206" s="2"/>
      <c r="LQR206" s="2"/>
      <c r="LQS206" s="2"/>
      <c r="LQT206" s="2"/>
      <c r="LQU206" s="2"/>
      <c r="LQV206" s="2"/>
      <c r="LQW206" s="2"/>
      <c r="LQX206" s="2"/>
      <c r="LQY206" s="2"/>
      <c r="LQZ206" s="2"/>
      <c r="LRA206" s="2"/>
      <c r="LRB206" s="2"/>
      <c r="LRC206" s="2"/>
      <c r="LRD206" s="2"/>
      <c r="LRE206" s="2"/>
      <c r="LRF206" s="2"/>
      <c r="LRG206" s="2"/>
      <c r="LRH206" s="2"/>
      <c r="LRI206" s="2"/>
      <c r="LRJ206" s="2"/>
      <c r="LRK206" s="2"/>
      <c r="LRL206" s="2"/>
      <c r="LRM206" s="2"/>
      <c r="LRN206" s="2"/>
      <c r="LRO206" s="2"/>
      <c r="LRP206" s="2"/>
      <c r="LRQ206" s="2"/>
      <c r="LRR206" s="2"/>
      <c r="LRS206" s="2"/>
      <c r="LRT206" s="2"/>
      <c r="LRU206" s="2"/>
      <c r="LRV206" s="2"/>
      <c r="LRW206" s="2"/>
      <c r="LRX206" s="2"/>
      <c r="LRY206" s="2"/>
      <c r="LRZ206" s="2"/>
      <c r="LSA206" s="2"/>
      <c r="LSB206" s="2"/>
      <c r="LSC206" s="2"/>
      <c r="LSD206" s="2"/>
      <c r="LSE206" s="2"/>
      <c r="LSF206" s="2"/>
      <c r="LSG206" s="2"/>
      <c r="LSH206" s="2"/>
      <c r="LSI206" s="2"/>
      <c r="LSJ206" s="2"/>
      <c r="LSK206" s="2"/>
      <c r="LSL206" s="2"/>
      <c r="LSM206" s="2"/>
      <c r="LSN206" s="2"/>
      <c r="LSO206" s="2"/>
      <c r="LSP206" s="2"/>
      <c r="LSQ206" s="2"/>
      <c r="LSR206" s="2"/>
      <c r="LSS206" s="2"/>
      <c r="LST206" s="2"/>
      <c r="LSU206" s="2"/>
      <c r="LSV206" s="2"/>
      <c r="LSW206" s="2"/>
      <c r="LSX206" s="2"/>
      <c r="LSY206" s="2"/>
      <c r="LSZ206" s="2"/>
      <c r="LTA206" s="2"/>
      <c r="LTB206" s="2"/>
      <c r="LTC206" s="2"/>
      <c r="LTD206" s="2"/>
      <c r="LTE206" s="2"/>
      <c r="LTF206" s="2"/>
      <c r="LTG206" s="2"/>
      <c r="LTH206" s="2"/>
      <c r="LTI206" s="2"/>
      <c r="LTJ206" s="2"/>
      <c r="LTK206" s="2"/>
      <c r="LTL206" s="2"/>
      <c r="LTM206" s="2"/>
      <c r="LTN206" s="2"/>
      <c r="LTO206" s="2"/>
      <c r="LTP206" s="2"/>
      <c r="LTQ206" s="2"/>
      <c r="LTR206" s="2"/>
      <c r="LTS206" s="2"/>
      <c r="LTT206" s="2"/>
      <c r="LTU206" s="2"/>
      <c r="LTV206" s="2"/>
      <c r="LTW206" s="2"/>
      <c r="LTX206" s="2"/>
      <c r="LTY206" s="2"/>
      <c r="LTZ206" s="2"/>
      <c r="LUA206" s="2"/>
      <c r="LUB206" s="2"/>
      <c r="LUC206" s="2"/>
      <c r="LUD206" s="2"/>
      <c r="LUE206" s="2"/>
      <c r="LUF206" s="2"/>
      <c r="LUG206" s="2"/>
      <c r="LUH206" s="2"/>
      <c r="LUI206" s="2"/>
      <c r="LUJ206" s="2"/>
      <c r="LUK206" s="2"/>
      <c r="LUL206" s="2"/>
      <c r="LUM206" s="2"/>
      <c r="LUN206" s="2"/>
      <c r="LUO206" s="2"/>
      <c r="LUP206" s="2"/>
      <c r="LUQ206" s="2"/>
      <c r="LUR206" s="2"/>
      <c r="LUS206" s="2"/>
      <c r="LUT206" s="2"/>
      <c r="LUU206" s="2"/>
      <c r="LUV206" s="2"/>
      <c r="LUW206" s="2"/>
      <c r="LUX206" s="2"/>
      <c r="LUY206" s="2"/>
      <c r="LUZ206" s="2"/>
      <c r="LVA206" s="2"/>
      <c r="LVB206" s="2"/>
      <c r="LVC206" s="2"/>
      <c r="LVD206" s="2"/>
      <c r="LVE206" s="2"/>
      <c r="LVF206" s="2"/>
      <c r="LVG206" s="2"/>
      <c r="LVH206" s="2"/>
      <c r="LVI206" s="2"/>
      <c r="LVJ206" s="2"/>
      <c r="LVK206" s="2"/>
      <c r="LVL206" s="2"/>
      <c r="LVM206" s="2"/>
      <c r="LVN206" s="2"/>
      <c r="LVO206" s="2"/>
      <c r="LVP206" s="2"/>
      <c r="LVQ206" s="2"/>
      <c r="LVR206" s="2"/>
      <c r="LVS206" s="2"/>
      <c r="LVT206" s="2"/>
      <c r="LVU206" s="2"/>
      <c r="LVV206" s="2"/>
      <c r="LVW206" s="2"/>
      <c r="LVX206" s="2"/>
      <c r="LVY206" s="2"/>
      <c r="LVZ206" s="2"/>
      <c r="LWA206" s="2"/>
      <c r="LWB206" s="2"/>
      <c r="LWC206" s="2"/>
      <c r="LWD206" s="2"/>
      <c r="LWE206" s="2"/>
      <c r="LWF206" s="2"/>
      <c r="LWG206" s="2"/>
      <c r="LWH206" s="2"/>
      <c r="LWI206" s="2"/>
      <c r="LWJ206" s="2"/>
      <c r="LWK206" s="2"/>
      <c r="LWL206" s="2"/>
      <c r="LWM206" s="2"/>
      <c r="LWN206" s="2"/>
      <c r="LWO206" s="2"/>
      <c r="LWP206" s="2"/>
      <c r="LWQ206" s="2"/>
      <c r="LWR206" s="2"/>
      <c r="LWS206" s="2"/>
      <c r="LWT206" s="2"/>
      <c r="LWU206" s="2"/>
      <c r="LWV206" s="2"/>
      <c r="LWW206" s="2"/>
      <c r="LWX206" s="2"/>
      <c r="LWY206" s="2"/>
      <c r="LWZ206" s="2"/>
      <c r="LXA206" s="2"/>
      <c r="LXB206" s="2"/>
      <c r="LXC206" s="2"/>
      <c r="LXD206" s="2"/>
      <c r="LXE206" s="2"/>
      <c r="LXF206" s="2"/>
      <c r="LXG206" s="2"/>
      <c r="LXH206" s="2"/>
      <c r="LXI206" s="2"/>
      <c r="LXJ206" s="2"/>
      <c r="LXK206" s="2"/>
      <c r="LXL206" s="2"/>
      <c r="LXM206" s="2"/>
      <c r="LXN206" s="2"/>
      <c r="LXO206" s="2"/>
      <c r="LXP206" s="2"/>
      <c r="LXQ206" s="2"/>
      <c r="LXR206" s="2"/>
      <c r="LXS206" s="2"/>
      <c r="LXT206" s="2"/>
      <c r="LXU206" s="2"/>
      <c r="LXV206" s="2"/>
      <c r="LXW206" s="2"/>
      <c r="LXX206" s="2"/>
      <c r="LXY206" s="2"/>
      <c r="LXZ206" s="2"/>
      <c r="LYA206" s="2"/>
      <c r="LYB206" s="2"/>
      <c r="LYC206" s="2"/>
      <c r="LYD206" s="2"/>
      <c r="LYE206" s="2"/>
      <c r="LYF206" s="2"/>
      <c r="LYG206" s="2"/>
      <c r="LYH206" s="2"/>
      <c r="LYI206" s="2"/>
      <c r="LYJ206" s="2"/>
      <c r="LYK206" s="2"/>
      <c r="LYL206" s="2"/>
      <c r="LYM206" s="2"/>
      <c r="LYN206" s="2"/>
      <c r="LYO206" s="2"/>
      <c r="LYP206" s="2"/>
      <c r="LYQ206" s="2"/>
      <c r="LYR206" s="2"/>
      <c r="LYS206" s="2"/>
      <c r="LYT206" s="2"/>
      <c r="LYU206" s="2"/>
      <c r="LYV206" s="2"/>
      <c r="LYW206" s="2"/>
      <c r="LYX206" s="2"/>
      <c r="LYY206" s="2"/>
      <c r="LYZ206" s="2"/>
      <c r="LZA206" s="2"/>
      <c r="LZB206" s="2"/>
      <c r="LZC206" s="2"/>
      <c r="LZD206" s="2"/>
      <c r="LZE206" s="2"/>
      <c r="LZF206" s="2"/>
      <c r="LZG206" s="2"/>
      <c r="LZH206" s="2"/>
      <c r="LZI206" s="2"/>
      <c r="LZJ206" s="2"/>
      <c r="LZK206" s="2"/>
      <c r="LZL206" s="2"/>
      <c r="LZM206" s="2"/>
      <c r="LZN206" s="2"/>
      <c r="LZO206" s="2"/>
      <c r="LZP206" s="2"/>
      <c r="LZQ206" s="2"/>
      <c r="LZR206" s="2"/>
      <c r="LZS206" s="2"/>
      <c r="LZT206" s="2"/>
      <c r="LZU206" s="2"/>
      <c r="LZV206" s="2"/>
      <c r="LZW206" s="2"/>
      <c r="LZX206" s="2"/>
      <c r="LZY206" s="2"/>
      <c r="LZZ206" s="2"/>
      <c r="MAA206" s="2"/>
      <c r="MAB206" s="2"/>
      <c r="MAC206" s="2"/>
      <c r="MAD206" s="2"/>
      <c r="MAE206" s="2"/>
      <c r="MAF206" s="2"/>
      <c r="MAG206" s="2"/>
      <c r="MAH206" s="2"/>
      <c r="MAI206" s="2"/>
      <c r="MAJ206" s="2"/>
      <c r="MAK206" s="2"/>
      <c r="MAL206" s="2"/>
      <c r="MAM206" s="2"/>
      <c r="MAN206" s="2"/>
      <c r="MAO206" s="2"/>
      <c r="MAP206" s="2"/>
      <c r="MAQ206" s="2"/>
      <c r="MAR206" s="2"/>
      <c r="MAS206" s="2"/>
      <c r="MAT206" s="2"/>
      <c r="MAU206" s="2"/>
      <c r="MAV206" s="2"/>
      <c r="MAW206" s="2"/>
      <c r="MAX206" s="2"/>
      <c r="MAY206" s="2"/>
      <c r="MAZ206" s="2"/>
      <c r="MBA206" s="2"/>
      <c r="MBB206" s="2"/>
      <c r="MBC206" s="2"/>
      <c r="MBD206" s="2"/>
      <c r="MBE206" s="2"/>
      <c r="MBF206" s="2"/>
      <c r="MBG206" s="2"/>
      <c r="MBH206" s="2"/>
      <c r="MBI206" s="2"/>
      <c r="MBJ206" s="2"/>
      <c r="MBK206" s="2"/>
      <c r="MBL206" s="2"/>
      <c r="MBM206" s="2"/>
      <c r="MBN206" s="2"/>
      <c r="MBO206" s="2"/>
      <c r="MBP206" s="2"/>
      <c r="MBQ206" s="2"/>
      <c r="MBR206" s="2"/>
      <c r="MBS206" s="2"/>
      <c r="MBT206" s="2"/>
      <c r="MBU206" s="2"/>
      <c r="MBV206" s="2"/>
      <c r="MBW206" s="2"/>
      <c r="MBX206" s="2"/>
      <c r="MBY206" s="2"/>
      <c r="MBZ206" s="2"/>
      <c r="MCA206" s="2"/>
      <c r="MCB206" s="2"/>
      <c r="MCC206" s="2"/>
      <c r="MCD206" s="2"/>
      <c r="MCE206" s="2"/>
      <c r="MCF206" s="2"/>
      <c r="MCG206" s="2"/>
      <c r="MCH206" s="2"/>
      <c r="MCI206" s="2"/>
      <c r="MCJ206" s="2"/>
      <c r="MCK206" s="2"/>
      <c r="MCL206" s="2"/>
      <c r="MCM206" s="2"/>
      <c r="MCN206" s="2"/>
      <c r="MCO206" s="2"/>
      <c r="MCP206" s="2"/>
      <c r="MCQ206" s="2"/>
      <c r="MCR206" s="2"/>
      <c r="MCS206" s="2"/>
      <c r="MCT206" s="2"/>
      <c r="MCU206" s="2"/>
      <c r="MCV206" s="2"/>
      <c r="MCW206" s="2"/>
      <c r="MCX206" s="2"/>
      <c r="MCY206" s="2"/>
      <c r="MCZ206" s="2"/>
      <c r="MDA206" s="2"/>
      <c r="MDB206" s="2"/>
      <c r="MDC206" s="2"/>
      <c r="MDD206" s="2"/>
      <c r="MDE206" s="2"/>
      <c r="MDF206" s="2"/>
      <c r="MDG206" s="2"/>
      <c r="MDH206" s="2"/>
      <c r="MDI206" s="2"/>
      <c r="MDJ206" s="2"/>
      <c r="MDK206" s="2"/>
      <c r="MDL206" s="2"/>
      <c r="MDM206" s="2"/>
      <c r="MDN206" s="2"/>
      <c r="MDO206" s="2"/>
      <c r="MDP206" s="2"/>
      <c r="MDQ206" s="2"/>
      <c r="MDR206" s="2"/>
      <c r="MDS206" s="2"/>
      <c r="MDT206" s="2"/>
      <c r="MDU206" s="2"/>
      <c r="MDV206" s="2"/>
      <c r="MDW206" s="2"/>
      <c r="MDX206" s="2"/>
      <c r="MDY206" s="2"/>
      <c r="MDZ206" s="2"/>
      <c r="MEA206" s="2"/>
      <c r="MEB206" s="2"/>
      <c r="MEC206" s="2"/>
      <c r="MED206" s="2"/>
      <c r="MEE206" s="2"/>
      <c r="MEF206" s="2"/>
      <c r="MEG206" s="2"/>
      <c r="MEH206" s="2"/>
      <c r="MEI206" s="2"/>
      <c r="MEJ206" s="2"/>
      <c r="MEK206" s="2"/>
      <c r="MEL206" s="2"/>
      <c r="MEM206" s="2"/>
      <c r="MEN206" s="2"/>
      <c r="MEO206" s="2"/>
      <c r="MEP206" s="2"/>
      <c r="MEQ206" s="2"/>
      <c r="MER206" s="2"/>
      <c r="MES206" s="2"/>
      <c r="MET206" s="2"/>
      <c r="MEU206" s="2"/>
      <c r="MEV206" s="2"/>
      <c r="MEW206" s="2"/>
      <c r="MEX206" s="2"/>
      <c r="MEY206" s="2"/>
      <c r="MEZ206" s="2"/>
      <c r="MFA206" s="2"/>
      <c r="MFB206" s="2"/>
      <c r="MFC206" s="2"/>
      <c r="MFD206" s="2"/>
      <c r="MFE206" s="2"/>
      <c r="MFF206" s="2"/>
      <c r="MFG206" s="2"/>
      <c r="MFH206" s="2"/>
      <c r="MFI206" s="2"/>
      <c r="MFJ206" s="2"/>
      <c r="MFK206" s="2"/>
      <c r="MFL206" s="2"/>
      <c r="MFM206" s="2"/>
      <c r="MFN206" s="2"/>
      <c r="MFO206" s="2"/>
      <c r="MFP206" s="2"/>
      <c r="MFQ206" s="2"/>
      <c r="MFR206" s="2"/>
      <c r="MFS206" s="2"/>
      <c r="MFT206" s="2"/>
      <c r="MFU206" s="2"/>
      <c r="MFV206" s="2"/>
      <c r="MFW206" s="2"/>
      <c r="MFX206" s="2"/>
      <c r="MFY206" s="2"/>
      <c r="MFZ206" s="2"/>
      <c r="MGA206" s="2"/>
      <c r="MGB206" s="2"/>
      <c r="MGC206" s="2"/>
      <c r="MGD206" s="2"/>
      <c r="MGE206" s="2"/>
      <c r="MGF206" s="2"/>
      <c r="MGG206" s="2"/>
      <c r="MGH206" s="2"/>
      <c r="MGI206" s="2"/>
      <c r="MGJ206" s="2"/>
      <c r="MGK206" s="2"/>
      <c r="MGL206" s="2"/>
      <c r="MGM206" s="2"/>
      <c r="MGN206" s="2"/>
      <c r="MGO206" s="2"/>
      <c r="MGP206" s="2"/>
      <c r="MGQ206" s="2"/>
      <c r="MGR206" s="2"/>
      <c r="MGS206" s="2"/>
      <c r="MGT206" s="2"/>
      <c r="MGU206" s="2"/>
      <c r="MGV206" s="2"/>
      <c r="MGW206" s="2"/>
      <c r="MGX206" s="2"/>
      <c r="MGY206" s="2"/>
      <c r="MGZ206" s="2"/>
      <c r="MHA206" s="2"/>
      <c r="MHB206" s="2"/>
      <c r="MHC206" s="2"/>
      <c r="MHD206" s="2"/>
      <c r="MHE206" s="2"/>
      <c r="MHF206" s="2"/>
      <c r="MHG206" s="2"/>
      <c r="MHH206" s="2"/>
      <c r="MHI206" s="2"/>
      <c r="MHJ206" s="2"/>
      <c r="MHK206" s="2"/>
      <c r="MHL206" s="2"/>
      <c r="MHM206" s="2"/>
      <c r="MHN206" s="2"/>
      <c r="MHO206" s="2"/>
      <c r="MHP206" s="2"/>
      <c r="MHQ206" s="2"/>
      <c r="MHR206" s="2"/>
      <c r="MHS206" s="2"/>
      <c r="MHT206" s="2"/>
      <c r="MHU206" s="2"/>
      <c r="MHV206" s="2"/>
      <c r="MHW206" s="2"/>
      <c r="MHX206" s="2"/>
      <c r="MHY206" s="2"/>
      <c r="MHZ206" s="2"/>
      <c r="MIA206" s="2"/>
      <c r="MIB206" s="2"/>
      <c r="MIC206" s="2"/>
      <c r="MID206" s="2"/>
      <c r="MIE206" s="2"/>
      <c r="MIF206" s="2"/>
      <c r="MIG206" s="2"/>
      <c r="MIH206" s="2"/>
      <c r="MII206" s="2"/>
      <c r="MIJ206" s="2"/>
      <c r="MIK206" s="2"/>
      <c r="MIL206" s="2"/>
      <c r="MIM206" s="2"/>
      <c r="MIN206" s="2"/>
      <c r="MIO206" s="2"/>
      <c r="MIP206" s="2"/>
      <c r="MIQ206" s="2"/>
      <c r="MIR206" s="2"/>
      <c r="MIS206" s="2"/>
      <c r="MIT206" s="2"/>
      <c r="MIU206" s="2"/>
      <c r="MIV206" s="2"/>
      <c r="MIW206" s="2"/>
      <c r="MIX206" s="2"/>
      <c r="MIY206" s="2"/>
      <c r="MIZ206" s="2"/>
      <c r="MJA206" s="2"/>
      <c r="MJB206" s="2"/>
      <c r="MJC206" s="2"/>
      <c r="MJD206" s="2"/>
      <c r="MJE206" s="2"/>
      <c r="MJF206" s="2"/>
      <c r="MJG206" s="2"/>
      <c r="MJH206" s="2"/>
      <c r="MJI206" s="2"/>
      <c r="MJJ206" s="2"/>
      <c r="MJK206" s="2"/>
      <c r="MJL206" s="2"/>
      <c r="MJM206" s="2"/>
      <c r="MJN206" s="2"/>
      <c r="MJO206" s="2"/>
      <c r="MJP206" s="2"/>
      <c r="MJQ206" s="2"/>
      <c r="MJR206" s="2"/>
      <c r="MJS206" s="2"/>
      <c r="MJT206" s="2"/>
      <c r="MJU206" s="2"/>
      <c r="MJV206" s="2"/>
      <c r="MJW206" s="2"/>
      <c r="MJX206" s="2"/>
      <c r="MJY206" s="2"/>
      <c r="MJZ206" s="2"/>
      <c r="MKA206" s="2"/>
      <c r="MKB206" s="2"/>
      <c r="MKC206" s="2"/>
      <c r="MKD206" s="2"/>
      <c r="MKE206" s="2"/>
      <c r="MKF206" s="2"/>
      <c r="MKG206" s="2"/>
      <c r="MKH206" s="2"/>
      <c r="MKI206" s="2"/>
      <c r="MKJ206" s="2"/>
      <c r="MKK206" s="2"/>
      <c r="MKL206" s="2"/>
      <c r="MKM206" s="2"/>
      <c r="MKN206" s="2"/>
      <c r="MKO206" s="2"/>
      <c r="MKP206" s="2"/>
      <c r="MKQ206" s="2"/>
      <c r="MKR206" s="2"/>
      <c r="MKS206" s="2"/>
      <c r="MKT206" s="2"/>
      <c r="MKU206" s="2"/>
      <c r="MKV206" s="2"/>
      <c r="MKW206" s="2"/>
      <c r="MKX206" s="2"/>
      <c r="MKY206" s="2"/>
      <c r="MKZ206" s="2"/>
      <c r="MLA206" s="2"/>
      <c r="MLB206" s="2"/>
      <c r="MLC206" s="2"/>
      <c r="MLD206" s="2"/>
      <c r="MLE206" s="2"/>
      <c r="MLF206" s="2"/>
      <c r="MLG206" s="2"/>
      <c r="MLH206" s="2"/>
      <c r="MLI206" s="2"/>
      <c r="MLJ206" s="2"/>
      <c r="MLK206" s="2"/>
      <c r="MLL206" s="2"/>
      <c r="MLM206" s="2"/>
      <c r="MLN206" s="2"/>
      <c r="MLO206" s="2"/>
      <c r="MLP206" s="2"/>
      <c r="MLQ206" s="2"/>
      <c r="MLR206" s="2"/>
      <c r="MLS206" s="2"/>
      <c r="MLT206" s="2"/>
      <c r="MLU206" s="2"/>
      <c r="MLV206" s="2"/>
      <c r="MLW206" s="2"/>
      <c r="MLX206" s="2"/>
      <c r="MLY206" s="2"/>
      <c r="MLZ206" s="2"/>
      <c r="MMA206" s="2"/>
      <c r="MMB206" s="2"/>
      <c r="MMC206" s="2"/>
      <c r="MMD206" s="2"/>
      <c r="MME206" s="2"/>
      <c r="MMF206" s="2"/>
      <c r="MMG206" s="2"/>
      <c r="MMH206" s="2"/>
      <c r="MMI206" s="2"/>
      <c r="MMJ206" s="2"/>
      <c r="MMK206" s="2"/>
      <c r="MML206" s="2"/>
      <c r="MMM206" s="2"/>
      <c r="MMN206" s="2"/>
      <c r="MMO206" s="2"/>
      <c r="MMP206" s="2"/>
      <c r="MMQ206" s="2"/>
      <c r="MMR206" s="2"/>
      <c r="MMS206" s="2"/>
      <c r="MMT206" s="2"/>
      <c r="MMU206" s="2"/>
      <c r="MMV206" s="2"/>
      <c r="MMW206" s="2"/>
      <c r="MMX206" s="2"/>
      <c r="MMY206" s="2"/>
      <c r="MMZ206" s="2"/>
      <c r="MNA206" s="2"/>
      <c r="MNB206" s="2"/>
      <c r="MNC206" s="2"/>
      <c r="MND206" s="2"/>
      <c r="MNE206" s="2"/>
      <c r="MNF206" s="2"/>
      <c r="MNG206" s="2"/>
      <c r="MNH206" s="2"/>
      <c r="MNI206" s="2"/>
      <c r="MNJ206" s="2"/>
      <c r="MNK206" s="2"/>
      <c r="MNL206" s="2"/>
      <c r="MNM206" s="2"/>
      <c r="MNN206" s="2"/>
      <c r="MNO206" s="2"/>
      <c r="MNP206" s="2"/>
      <c r="MNQ206" s="2"/>
      <c r="MNR206" s="2"/>
      <c r="MNS206" s="2"/>
      <c r="MNT206" s="2"/>
      <c r="MNU206" s="2"/>
      <c r="MNV206" s="2"/>
      <c r="MNW206" s="2"/>
      <c r="MNX206" s="2"/>
      <c r="MNY206" s="2"/>
      <c r="MNZ206" s="2"/>
      <c r="MOA206" s="2"/>
      <c r="MOB206" s="2"/>
      <c r="MOC206" s="2"/>
      <c r="MOD206" s="2"/>
      <c r="MOE206" s="2"/>
      <c r="MOF206" s="2"/>
      <c r="MOG206" s="2"/>
      <c r="MOH206" s="2"/>
      <c r="MOI206" s="2"/>
      <c r="MOJ206" s="2"/>
      <c r="MOK206" s="2"/>
      <c r="MOL206" s="2"/>
      <c r="MOM206" s="2"/>
      <c r="MON206" s="2"/>
      <c r="MOO206" s="2"/>
      <c r="MOP206" s="2"/>
      <c r="MOQ206" s="2"/>
      <c r="MOR206" s="2"/>
      <c r="MOS206" s="2"/>
      <c r="MOT206" s="2"/>
      <c r="MOU206" s="2"/>
      <c r="MOV206" s="2"/>
      <c r="MOW206" s="2"/>
      <c r="MOX206" s="2"/>
      <c r="MOY206" s="2"/>
      <c r="MOZ206" s="2"/>
      <c r="MPA206" s="2"/>
      <c r="MPB206" s="2"/>
      <c r="MPC206" s="2"/>
      <c r="MPD206" s="2"/>
      <c r="MPE206" s="2"/>
      <c r="MPF206" s="2"/>
      <c r="MPG206" s="2"/>
      <c r="MPH206" s="2"/>
      <c r="MPI206" s="2"/>
      <c r="MPJ206" s="2"/>
      <c r="MPK206" s="2"/>
      <c r="MPL206" s="2"/>
      <c r="MPM206" s="2"/>
      <c r="MPN206" s="2"/>
      <c r="MPO206" s="2"/>
      <c r="MPP206" s="2"/>
      <c r="MPQ206" s="2"/>
      <c r="MPR206" s="2"/>
      <c r="MPS206" s="2"/>
      <c r="MPT206" s="2"/>
      <c r="MPU206" s="2"/>
      <c r="MPV206" s="2"/>
      <c r="MPW206" s="2"/>
      <c r="MPX206" s="2"/>
      <c r="MPY206" s="2"/>
      <c r="MPZ206" s="2"/>
      <c r="MQA206" s="2"/>
      <c r="MQB206" s="2"/>
      <c r="MQC206" s="2"/>
      <c r="MQD206" s="2"/>
      <c r="MQE206" s="2"/>
      <c r="MQF206" s="2"/>
      <c r="MQG206" s="2"/>
      <c r="MQH206" s="2"/>
      <c r="MQI206" s="2"/>
      <c r="MQJ206" s="2"/>
      <c r="MQK206" s="2"/>
      <c r="MQL206" s="2"/>
      <c r="MQM206" s="2"/>
      <c r="MQN206" s="2"/>
      <c r="MQO206" s="2"/>
      <c r="MQP206" s="2"/>
      <c r="MQQ206" s="2"/>
      <c r="MQR206" s="2"/>
      <c r="MQS206" s="2"/>
      <c r="MQT206" s="2"/>
      <c r="MQU206" s="2"/>
      <c r="MQV206" s="2"/>
      <c r="MQW206" s="2"/>
      <c r="MQX206" s="2"/>
      <c r="MQY206" s="2"/>
      <c r="MQZ206" s="2"/>
      <c r="MRA206" s="2"/>
      <c r="MRB206" s="2"/>
      <c r="MRC206" s="2"/>
      <c r="MRD206" s="2"/>
      <c r="MRE206" s="2"/>
      <c r="MRF206" s="2"/>
      <c r="MRG206" s="2"/>
      <c r="MRH206" s="2"/>
      <c r="MRI206" s="2"/>
      <c r="MRJ206" s="2"/>
      <c r="MRK206" s="2"/>
      <c r="MRL206" s="2"/>
      <c r="MRM206" s="2"/>
      <c r="MRN206" s="2"/>
      <c r="MRO206" s="2"/>
      <c r="MRP206" s="2"/>
      <c r="MRQ206" s="2"/>
      <c r="MRR206" s="2"/>
      <c r="MRS206" s="2"/>
      <c r="MRT206" s="2"/>
      <c r="MRU206" s="2"/>
      <c r="MRV206" s="2"/>
      <c r="MRW206" s="2"/>
      <c r="MRX206" s="2"/>
      <c r="MRY206" s="2"/>
      <c r="MRZ206" s="2"/>
      <c r="MSA206" s="2"/>
      <c r="MSB206" s="2"/>
      <c r="MSC206" s="2"/>
      <c r="MSD206" s="2"/>
      <c r="MSE206" s="2"/>
      <c r="MSF206" s="2"/>
      <c r="MSG206" s="2"/>
      <c r="MSH206" s="2"/>
      <c r="MSI206" s="2"/>
      <c r="MSJ206" s="2"/>
      <c r="MSK206" s="2"/>
      <c r="MSL206" s="2"/>
      <c r="MSM206" s="2"/>
      <c r="MSN206" s="2"/>
      <c r="MSO206" s="2"/>
      <c r="MSP206" s="2"/>
      <c r="MSQ206" s="2"/>
      <c r="MSR206" s="2"/>
      <c r="MSS206" s="2"/>
      <c r="MST206" s="2"/>
      <c r="MSU206" s="2"/>
      <c r="MSV206" s="2"/>
      <c r="MSW206" s="2"/>
      <c r="MSX206" s="2"/>
      <c r="MSY206" s="2"/>
      <c r="MSZ206" s="2"/>
      <c r="MTA206" s="2"/>
      <c r="MTB206" s="2"/>
      <c r="MTC206" s="2"/>
      <c r="MTD206" s="2"/>
      <c r="MTE206" s="2"/>
      <c r="MTF206" s="2"/>
      <c r="MTG206" s="2"/>
      <c r="MTH206" s="2"/>
      <c r="MTI206" s="2"/>
      <c r="MTJ206" s="2"/>
      <c r="MTK206" s="2"/>
      <c r="MTL206" s="2"/>
      <c r="MTM206" s="2"/>
      <c r="MTN206" s="2"/>
      <c r="MTO206" s="2"/>
      <c r="MTP206" s="2"/>
      <c r="MTQ206" s="2"/>
      <c r="MTR206" s="2"/>
      <c r="MTS206" s="2"/>
      <c r="MTT206" s="2"/>
      <c r="MTU206" s="2"/>
      <c r="MTV206" s="2"/>
      <c r="MTW206" s="2"/>
      <c r="MTX206" s="2"/>
      <c r="MTY206" s="2"/>
      <c r="MTZ206" s="2"/>
      <c r="MUA206" s="2"/>
      <c r="MUB206" s="2"/>
      <c r="MUC206" s="2"/>
      <c r="MUD206" s="2"/>
      <c r="MUE206" s="2"/>
      <c r="MUF206" s="2"/>
      <c r="MUG206" s="2"/>
      <c r="MUH206" s="2"/>
      <c r="MUI206" s="2"/>
      <c r="MUJ206" s="2"/>
      <c r="MUK206" s="2"/>
      <c r="MUL206" s="2"/>
      <c r="MUM206" s="2"/>
      <c r="MUN206" s="2"/>
      <c r="MUO206" s="2"/>
      <c r="MUP206" s="2"/>
      <c r="MUQ206" s="2"/>
      <c r="MUR206" s="2"/>
      <c r="MUS206" s="2"/>
      <c r="MUT206" s="2"/>
      <c r="MUU206" s="2"/>
      <c r="MUV206" s="2"/>
      <c r="MUW206" s="2"/>
      <c r="MUX206" s="2"/>
      <c r="MUY206" s="2"/>
      <c r="MUZ206" s="2"/>
      <c r="MVA206" s="2"/>
      <c r="MVB206" s="2"/>
      <c r="MVC206" s="2"/>
      <c r="MVD206" s="2"/>
      <c r="MVE206" s="2"/>
      <c r="MVF206" s="2"/>
      <c r="MVG206" s="2"/>
      <c r="MVH206" s="2"/>
      <c r="MVI206" s="2"/>
      <c r="MVJ206" s="2"/>
      <c r="MVK206" s="2"/>
      <c r="MVL206" s="2"/>
      <c r="MVM206" s="2"/>
      <c r="MVN206" s="2"/>
      <c r="MVO206" s="2"/>
      <c r="MVP206" s="2"/>
      <c r="MVQ206" s="2"/>
      <c r="MVR206" s="2"/>
      <c r="MVS206" s="2"/>
      <c r="MVT206" s="2"/>
      <c r="MVU206" s="2"/>
      <c r="MVV206" s="2"/>
      <c r="MVW206" s="2"/>
      <c r="MVX206" s="2"/>
      <c r="MVY206" s="2"/>
      <c r="MVZ206" s="2"/>
      <c r="MWA206" s="2"/>
      <c r="MWB206" s="2"/>
      <c r="MWC206" s="2"/>
      <c r="MWD206" s="2"/>
      <c r="MWE206" s="2"/>
      <c r="MWF206" s="2"/>
      <c r="MWG206" s="2"/>
      <c r="MWH206" s="2"/>
      <c r="MWI206" s="2"/>
      <c r="MWJ206" s="2"/>
      <c r="MWK206" s="2"/>
      <c r="MWL206" s="2"/>
      <c r="MWM206" s="2"/>
      <c r="MWN206" s="2"/>
      <c r="MWO206" s="2"/>
      <c r="MWP206" s="2"/>
      <c r="MWQ206" s="2"/>
      <c r="MWR206" s="2"/>
      <c r="MWS206" s="2"/>
      <c r="MWT206" s="2"/>
      <c r="MWU206" s="2"/>
      <c r="MWV206" s="2"/>
      <c r="MWW206" s="2"/>
      <c r="MWX206" s="2"/>
      <c r="MWY206" s="2"/>
      <c r="MWZ206" s="2"/>
      <c r="MXA206" s="2"/>
      <c r="MXB206" s="2"/>
      <c r="MXC206" s="2"/>
      <c r="MXD206" s="2"/>
      <c r="MXE206" s="2"/>
      <c r="MXF206" s="2"/>
      <c r="MXG206" s="2"/>
      <c r="MXH206" s="2"/>
      <c r="MXI206" s="2"/>
      <c r="MXJ206" s="2"/>
      <c r="MXK206" s="2"/>
      <c r="MXL206" s="2"/>
      <c r="MXM206" s="2"/>
      <c r="MXN206" s="2"/>
      <c r="MXO206" s="2"/>
      <c r="MXP206" s="2"/>
      <c r="MXQ206" s="2"/>
      <c r="MXR206" s="2"/>
      <c r="MXS206" s="2"/>
      <c r="MXT206" s="2"/>
      <c r="MXU206" s="2"/>
      <c r="MXV206" s="2"/>
      <c r="MXW206" s="2"/>
      <c r="MXX206" s="2"/>
      <c r="MXY206" s="2"/>
      <c r="MXZ206" s="2"/>
      <c r="MYA206" s="2"/>
      <c r="MYB206" s="2"/>
      <c r="MYC206" s="2"/>
      <c r="MYD206" s="2"/>
      <c r="MYE206" s="2"/>
      <c r="MYF206" s="2"/>
      <c r="MYG206" s="2"/>
      <c r="MYH206" s="2"/>
      <c r="MYI206" s="2"/>
      <c r="MYJ206" s="2"/>
      <c r="MYK206" s="2"/>
      <c r="MYL206" s="2"/>
      <c r="MYM206" s="2"/>
      <c r="MYN206" s="2"/>
      <c r="MYO206" s="2"/>
      <c r="MYP206" s="2"/>
      <c r="MYQ206" s="2"/>
      <c r="MYR206" s="2"/>
      <c r="MYS206" s="2"/>
      <c r="MYT206" s="2"/>
      <c r="MYU206" s="2"/>
      <c r="MYV206" s="2"/>
      <c r="MYW206" s="2"/>
      <c r="MYX206" s="2"/>
      <c r="MYY206" s="2"/>
      <c r="MYZ206" s="2"/>
      <c r="MZA206" s="2"/>
      <c r="MZB206" s="2"/>
      <c r="MZC206" s="2"/>
      <c r="MZD206" s="2"/>
      <c r="MZE206" s="2"/>
      <c r="MZF206" s="2"/>
      <c r="MZG206" s="2"/>
      <c r="MZH206" s="2"/>
      <c r="MZI206" s="2"/>
      <c r="MZJ206" s="2"/>
      <c r="MZK206" s="2"/>
      <c r="MZL206" s="2"/>
      <c r="MZM206" s="2"/>
      <c r="MZN206" s="2"/>
      <c r="MZO206" s="2"/>
      <c r="MZP206" s="2"/>
      <c r="MZQ206" s="2"/>
      <c r="MZR206" s="2"/>
      <c r="MZS206" s="2"/>
      <c r="MZT206" s="2"/>
      <c r="MZU206" s="2"/>
      <c r="MZV206" s="2"/>
      <c r="MZW206" s="2"/>
      <c r="MZX206" s="2"/>
      <c r="MZY206" s="2"/>
      <c r="MZZ206" s="2"/>
      <c r="NAA206" s="2"/>
      <c r="NAB206" s="2"/>
      <c r="NAC206" s="2"/>
      <c r="NAD206" s="2"/>
      <c r="NAE206" s="2"/>
      <c r="NAF206" s="2"/>
      <c r="NAG206" s="2"/>
      <c r="NAH206" s="2"/>
      <c r="NAI206" s="2"/>
      <c r="NAJ206" s="2"/>
      <c r="NAK206" s="2"/>
      <c r="NAL206" s="2"/>
      <c r="NAM206" s="2"/>
      <c r="NAN206" s="2"/>
      <c r="NAO206" s="2"/>
      <c r="NAP206" s="2"/>
      <c r="NAQ206" s="2"/>
      <c r="NAR206" s="2"/>
      <c r="NAS206" s="2"/>
      <c r="NAT206" s="2"/>
      <c r="NAU206" s="2"/>
      <c r="NAV206" s="2"/>
      <c r="NAW206" s="2"/>
      <c r="NAX206" s="2"/>
      <c r="NAY206" s="2"/>
      <c r="NAZ206" s="2"/>
      <c r="NBA206" s="2"/>
      <c r="NBB206" s="2"/>
      <c r="NBC206" s="2"/>
      <c r="NBD206" s="2"/>
      <c r="NBE206" s="2"/>
      <c r="NBF206" s="2"/>
      <c r="NBG206" s="2"/>
      <c r="NBH206" s="2"/>
      <c r="NBI206" s="2"/>
      <c r="NBJ206" s="2"/>
      <c r="NBK206" s="2"/>
      <c r="NBL206" s="2"/>
      <c r="NBM206" s="2"/>
      <c r="NBN206" s="2"/>
      <c r="NBO206" s="2"/>
      <c r="NBP206" s="2"/>
      <c r="NBQ206" s="2"/>
      <c r="NBR206" s="2"/>
      <c r="NBS206" s="2"/>
      <c r="NBT206" s="2"/>
      <c r="NBU206" s="2"/>
      <c r="NBV206" s="2"/>
      <c r="NBW206" s="2"/>
      <c r="NBX206" s="2"/>
      <c r="NBY206" s="2"/>
      <c r="NBZ206" s="2"/>
      <c r="NCA206" s="2"/>
      <c r="NCB206" s="2"/>
      <c r="NCC206" s="2"/>
      <c r="NCD206" s="2"/>
      <c r="NCE206" s="2"/>
      <c r="NCF206" s="2"/>
      <c r="NCG206" s="2"/>
      <c r="NCH206" s="2"/>
      <c r="NCI206" s="2"/>
      <c r="NCJ206" s="2"/>
      <c r="NCK206" s="2"/>
      <c r="NCL206" s="2"/>
      <c r="NCM206" s="2"/>
      <c r="NCN206" s="2"/>
      <c r="NCO206" s="2"/>
      <c r="NCP206" s="2"/>
      <c r="NCQ206" s="2"/>
      <c r="NCR206" s="2"/>
      <c r="NCS206" s="2"/>
      <c r="NCT206" s="2"/>
      <c r="NCU206" s="2"/>
      <c r="NCV206" s="2"/>
      <c r="NCW206" s="2"/>
      <c r="NCX206" s="2"/>
      <c r="NCY206" s="2"/>
      <c r="NCZ206" s="2"/>
      <c r="NDA206" s="2"/>
      <c r="NDB206" s="2"/>
      <c r="NDC206" s="2"/>
      <c r="NDD206" s="2"/>
      <c r="NDE206" s="2"/>
      <c r="NDF206" s="2"/>
      <c r="NDG206" s="2"/>
      <c r="NDH206" s="2"/>
      <c r="NDI206" s="2"/>
      <c r="NDJ206" s="2"/>
      <c r="NDK206" s="2"/>
      <c r="NDL206" s="2"/>
      <c r="NDM206" s="2"/>
      <c r="NDN206" s="2"/>
      <c r="NDO206" s="2"/>
      <c r="NDP206" s="2"/>
      <c r="NDQ206" s="2"/>
      <c r="NDR206" s="2"/>
      <c r="NDS206" s="2"/>
      <c r="NDT206" s="2"/>
      <c r="NDU206" s="2"/>
      <c r="NDV206" s="2"/>
      <c r="NDW206" s="2"/>
      <c r="NDX206" s="2"/>
      <c r="NDY206" s="2"/>
      <c r="NDZ206" s="2"/>
      <c r="NEA206" s="2"/>
      <c r="NEB206" s="2"/>
      <c r="NEC206" s="2"/>
      <c r="NED206" s="2"/>
      <c r="NEE206" s="2"/>
      <c r="NEF206" s="2"/>
      <c r="NEG206" s="2"/>
      <c r="NEH206" s="2"/>
      <c r="NEI206" s="2"/>
      <c r="NEJ206" s="2"/>
      <c r="NEK206" s="2"/>
      <c r="NEL206" s="2"/>
      <c r="NEM206" s="2"/>
      <c r="NEN206" s="2"/>
      <c r="NEO206" s="2"/>
      <c r="NEP206" s="2"/>
      <c r="NEQ206" s="2"/>
      <c r="NER206" s="2"/>
      <c r="NES206" s="2"/>
      <c r="NET206" s="2"/>
      <c r="NEU206" s="2"/>
      <c r="NEV206" s="2"/>
      <c r="NEW206" s="2"/>
      <c r="NEX206" s="2"/>
      <c r="NEY206" s="2"/>
      <c r="NEZ206" s="2"/>
      <c r="NFA206" s="2"/>
      <c r="NFB206" s="2"/>
      <c r="NFC206" s="2"/>
      <c r="NFD206" s="2"/>
      <c r="NFE206" s="2"/>
      <c r="NFF206" s="2"/>
      <c r="NFG206" s="2"/>
      <c r="NFH206" s="2"/>
      <c r="NFI206" s="2"/>
      <c r="NFJ206" s="2"/>
      <c r="NFK206" s="2"/>
      <c r="NFL206" s="2"/>
      <c r="NFM206" s="2"/>
      <c r="NFN206" s="2"/>
      <c r="NFO206" s="2"/>
      <c r="NFP206" s="2"/>
      <c r="NFQ206" s="2"/>
      <c r="NFR206" s="2"/>
      <c r="NFS206" s="2"/>
      <c r="NFT206" s="2"/>
      <c r="NFU206" s="2"/>
      <c r="NFV206" s="2"/>
      <c r="NFW206" s="2"/>
      <c r="NFX206" s="2"/>
      <c r="NFY206" s="2"/>
      <c r="NFZ206" s="2"/>
      <c r="NGA206" s="2"/>
      <c r="NGB206" s="2"/>
      <c r="NGC206" s="2"/>
      <c r="NGD206" s="2"/>
      <c r="NGE206" s="2"/>
      <c r="NGF206" s="2"/>
      <c r="NGG206" s="2"/>
      <c r="NGH206" s="2"/>
      <c r="NGI206" s="2"/>
      <c r="NGJ206" s="2"/>
      <c r="NGK206" s="2"/>
      <c r="NGL206" s="2"/>
      <c r="NGM206" s="2"/>
      <c r="NGN206" s="2"/>
      <c r="NGO206" s="2"/>
      <c r="NGP206" s="2"/>
      <c r="NGQ206" s="2"/>
      <c r="NGR206" s="2"/>
      <c r="NGS206" s="2"/>
      <c r="NGT206" s="2"/>
      <c r="NGU206" s="2"/>
      <c r="NGV206" s="2"/>
      <c r="NGW206" s="2"/>
      <c r="NGX206" s="2"/>
      <c r="NGY206" s="2"/>
      <c r="NGZ206" s="2"/>
      <c r="NHA206" s="2"/>
      <c r="NHB206" s="2"/>
      <c r="NHC206" s="2"/>
      <c r="NHD206" s="2"/>
      <c r="NHE206" s="2"/>
      <c r="NHF206" s="2"/>
      <c r="NHG206" s="2"/>
      <c r="NHH206" s="2"/>
      <c r="NHI206" s="2"/>
      <c r="NHJ206" s="2"/>
      <c r="NHK206" s="2"/>
      <c r="NHL206" s="2"/>
      <c r="NHM206" s="2"/>
      <c r="NHN206" s="2"/>
      <c r="NHO206" s="2"/>
      <c r="NHP206" s="2"/>
      <c r="NHQ206" s="2"/>
      <c r="NHR206" s="2"/>
      <c r="NHS206" s="2"/>
      <c r="NHT206" s="2"/>
      <c r="NHU206" s="2"/>
      <c r="NHV206" s="2"/>
      <c r="NHW206" s="2"/>
      <c r="NHX206" s="2"/>
      <c r="NHY206" s="2"/>
      <c r="NHZ206" s="2"/>
      <c r="NIA206" s="2"/>
      <c r="NIB206" s="2"/>
      <c r="NIC206" s="2"/>
      <c r="NID206" s="2"/>
      <c r="NIE206" s="2"/>
      <c r="NIF206" s="2"/>
      <c r="NIG206" s="2"/>
      <c r="NIH206" s="2"/>
      <c r="NII206" s="2"/>
      <c r="NIJ206" s="2"/>
      <c r="NIK206" s="2"/>
      <c r="NIL206" s="2"/>
      <c r="NIM206" s="2"/>
      <c r="NIN206" s="2"/>
      <c r="NIO206" s="2"/>
      <c r="NIP206" s="2"/>
      <c r="NIQ206" s="2"/>
      <c r="NIR206" s="2"/>
      <c r="NIS206" s="2"/>
      <c r="NIT206" s="2"/>
      <c r="NIU206" s="2"/>
      <c r="NIV206" s="2"/>
      <c r="NIW206" s="2"/>
      <c r="NIX206" s="2"/>
      <c r="NIY206" s="2"/>
      <c r="NIZ206" s="2"/>
      <c r="NJA206" s="2"/>
      <c r="NJB206" s="2"/>
      <c r="NJC206" s="2"/>
      <c r="NJD206" s="2"/>
      <c r="NJE206" s="2"/>
      <c r="NJF206" s="2"/>
      <c r="NJG206" s="2"/>
      <c r="NJH206" s="2"/>
      <c r="NJI206" s="2"/>
      <c r="NJJ206" s="2"/>
      <c r="NJK206" s="2"/>
      <c r="NJL206" s="2"/>
      <c r="NJM206" s="2"/>
      <c r="NJN206" s="2"/>
      <c r="NJO206" s="2"/>
      <c r="NJP206" s="2"/>
      <c r="NJQ206" s="2"/>
      <c r="NJR206" s="2"/>
      <c r="NJS206" s="2"/>
      <c r="NJT206" s="2"/>
      <c r="NJU206" s="2"/>
      <c r="NJV206" s="2"/>
      <c r="NJW206" s="2"/>
      <c r="NJX206" s="2"/>
      <c r="NJY206" s="2"/>
      <c r="NJZ206" s="2"/>
      <c r="NKA206" s="2"/>
      <c r="NKB206" s="2"/>
      <c r="NKC206" s="2"/>
      <c r="NKD206" s="2"/>
      <c r="NKE206" s="2"/>
      <c r="NKF206" s="2"/>
      <c r="NKG206" s="2"/>
      <c r="NKH206" s="2"/>
      <c r="NKI206" s="2"/>
      <c r="NKJ206" s="2"/>
      <c r="NKK206" s="2"/>
      <c r="NKL206" s="2"/>
      <c r="NKM206" s="2"/>
      <c r="NKN206" s="2"/>
      <c r="NKO206" s="2"/>
      <c r="NKP206" s="2"/>
      <c r="NKQ206" s="2"/>
      <c r="NKR206" s="2"/>
      <c r="NKS206" s="2"/>
      <c r="NKT206" s="2"/>
      <c r="NKU206" s="2"/>
      <c r="NKV206" s="2"/>
      <c r="NKW206" s="2"/>
      <c r="NKX206" s="2"/>
      <c r="NKY206" s="2"/>
      <c r="NKZ206" s="2"/>
      <c r="NLA206" s="2"/>
      <c r="NLB206" s="2"/>
      <c r="NLC206" s="2"/>
      <c r="NLD206" s="2"/>
      <c r="NLE206" s="2"/>
      <c r="NLF206" s="2"/>
      <c r="NLG206" s="2"/>
      <c r="NLH206" s="2"/>
      <c r="NLI206" s="2"/>
      <c r="NLJ206" s="2"/>
      <c r="NLK206" s="2"/>
      <c r="NLL206" s="2"/>
      <c r="NLM206" s="2"/>
      <c r="NLN206" s="2"/>
      <c r="NLO206" s="2"/>
      <c r="NLP206" s="2"/>
      <c r="NLQ206" s="2"/>
      <c r="NLR206" s="2"/>
      <c r="NLS206" s="2"/>
      <c r="NLT206" s="2"/>
      <c r="NLU206" s="2"/>
      <c r="NLV206" s="2"/>
      <c r="NLW206" s="2"/>
      <c r="NLX206" s="2"/>
      <c r="NLY206" s="2"/>
      <c r="NLZ206" s="2"/>
      <c r="NMA206" s="2"/>
      <c r="NMB206" s="2"/>
      <c r="NMC206" s="2"/>
      <c r="NMD206" s="2"/>
      <c r="NME206" s="2"/>
      <c r="NMF206" s="2"/>
      <c r="NMG206" s="2"/>
      <c r="NMH206" s="2"/>
      <c r="NMI206" s="2"/>
      <c r="NMJ206" s="2"/>
      <c r="NMK206" s="2"/>
      <c r="NML206" s="2"/>
      <c r="NMM206" s="2"/>
      <c r="NMN206" s="2"/>
      <c r="NMO206" s="2"/>
      <c r="NMP206" s="2"/>
      <c r="NMQ206" s="2"/>
      <c r="NMR206" s="2"/>
      <c r="NMS206" s="2"/>
      <c r="NMT206" s="2"/>
      <c r="NMU206" s="2"/>
      <c r="NMV206" s="2"/>
      <c r="NMW206" s="2"/>
      <c r="NMX206" s="2"/>
      <c r="NMY206" s="2"/>
      <c r="NMZ206" s="2"/>
      <c r="NNA206" s="2"/>
      <c r="NNB206" s="2"/>
      <c r="NNC206" s="2"/>
      <c r="NND206" s="2"/>
      <c r="NNE206" s="2"/>
      <c r="NNF206" s="2"/>
      <c r="NNG206" s="2"/>
      <c r="NNH206" s="2"/>
      <c r="NNI206" s="2"/>
      <c r="NNJ206" s="2"/>
      <c r="NNK206" s="2"/>
      <c r="NNL206" s="2"/>
      <c r="NNM206" s="2"/>
      <c r="NNN206" s="2"/>
      <c r="NNO206" s="2"/>
      <c r="NNP206" s="2"/>
      <c r="NNQ206" s="2"/>
      <c r="NNR206" s="2"/>
      <c r="NNS206" s="2"/>
      <c r="NNT206" s="2"/>
      <c r="NNU206" s="2"/>
      <c r="NNV206" s="2"/>
      <c r="NNW206" s="2"/>
      <c r="NNX206" s="2"/>
      <c r="NNY206" s="2"/>
      <c r="NNZ206" s="2"/>
      <c r="NOA206" s="2"/>
      <c r="NOB206" s="2"/>
      <c r="NOC206" s="2"/>
      <c r="NOD206" s="2"/>
      <c r="NOE206" s="2"/>
      <c r="NOF206" s="2"/>
      <c r="NOG206" s="2"/>
      <c r="NOH206" s="2"/>
      <c r="NOI206" s="2"/>
      <c r="NOJ206" s="2"/>
      <c r="NOK206" s="2"/>
      <c r="NOL206" s="2"/>
      <c r="NOM206" s="2"/>
      <c r="NON206" s="2"/>
      <c r="NOO206" s="2"/>
      <c r="NOP206" s="2"/>
      <c r="NOQ206" s="2"/>
      <c r="NOR206" s="2"/>
      <c r="NOS206" s="2"/>
      <c r="NOT206" s="2"/>
      <c r="NOU206" s="2"/>
      <c r="NOV206" s="2"/>
      <c r="NOW206" s="2"/>
      <c r="NOX206" s="2"/>
      <c r="NOY206" s="2"/>
      <c r="NOZ206" s="2"/>
      <c r="NPA206" s="2"/>
      <c r="NPB206" s="2"/>
      <c r="NPC206" s="2"/>
      <c r="NPD206" s="2"/>
      <c r="NPE206" s="2"/>
      <c r="NPF206" s="2"/>
      <c r="NPG206" s="2"/>
      <c r="NPH206" s="2"/>
      <c r="NPI206" s="2"/>
      <c r="NPJ206" s="2"/>
      <c r="NPK206" s="2"/>
      <c r="NPL206" s="2"/>
      <c r="NPM206" s="2"/>
      <c r="NPN206" s="2"/>
      <c r="NPO206" s="2"/>
      <c r="NPP206" s="2"/>
      <c r="NPQ206" s="2"/>
      <c r="NPR206" s="2"/>
      <c r="NPS206" s="2"/>
      <c r="NPT206" s="2"/>
      <c r="NPU206" s="2"/>
      <c r="NPV206" s="2"/>
      <c r="NPW206" s="2"/>
      <c r="NPX206" s="2"/>
      <c r="NPY206" s="2"/>
      <c r="NPZ206" s="2"/>
      <c r="NQA206" s="2"/>
      <c r="NQB206" s="2"/>
      <c r="NQC206" s="2"/>
      <c r="NQD206" s="2"/>
      <c r="NQE206" s="2"/>
      <c r="NQF206" s="2"/>
      <c r="NQG206" s="2"/>
      <c r="NQH206" s="2"/>
      <c r="NQI206" s="2"/>
      <c r="NQJ206" s="2"/>
      <c r="NQK206" s="2"/>
      <c r="NQL206" s="2"/>
      <c r="NQM206" s="2"/>
      <c r="NQN206" s="2"/>
      <c r="NQO206" s="2"/>
      <c r="NQP206" s="2"/>
      <c r="NQQ206" s="2"/>
      <c r="NQR206" s="2"/>
      <c r="NQS206" s="2"/>
      <c r="NQT206" s="2"/>
      <c r="NQU206" s="2"/>
      <c r="NQV206" s="2"/>
      <c r="NQW206" s="2"/>
      <c r="NQX206" s="2"/>
      <c r="NQY206" s="2"/>
      <c r="NQZ206" s="2"/>
      <c r="NRA206" s="2"/>
      <c r="NRB206" s="2"/>
      <c r="NRC206" s="2"/>
      <c r="NRD206" s="2"/>
      <c r="NRE206" s="2"/>
      <c r="NRF206" s="2"/>
      <c r="NRG206" s="2"/>
      <c r="NRH206" s="2"/>
      <c r="NRI206" s="2"/>
      <c r="NRJ206" s="2"/>
      <c r="NRK206" s="2"/>
      <c r="NRL206" s="2"/>
      <c r="NRM206" s="2"/>
      <c r="NRN206" s="2"/>
      <c r="NRO206" s="2"/>
      <c r="NRP206" s="2"/>
      <c r="NRQ206" s="2"/>
      <c r="NRR206" s="2"/>
      <c r="NRS206" s="2"/>
      <c r="NRT206" s="2"/>
      <c r="NRU206" s="2"/>
      <c r="NRV206" s="2"/>
      <c r="NRW206" s="2"/>
      <c r="NRX206" s="2"/>
      <c r="NRY206" s="2"/>
      <c r="NRZ206" s="2"/>
      <c r="NSA206" s="2"/>
      <c r="NSB206" s="2"/>
      <c r="NSC206" s="2"/>
      <c r="NSD206" s="2"/>
      <c r="NSE206" s="2"/>
      <c r="NSF206" s="2"/>
      <c r="NSG206" s="2"/>
      <c r="NSH206" s="2"/>
      <c r="NSI206" s="2"/>
      <c r="NSJ206" s="2"/>
      <c r="NSK206" s="2"/>
      <c r="NSL206" s="2"/>
      <c r="NSM206" s="2"/>
      <c r="NSN206" s="2"/>
      <c r="NSO206" s="2"/>
      <c r="NSP206" s="2"/>
      <c r="NSQ206" s="2"/>
      <c r="NSR206" s="2"/>
      <c r="NSS206" s="2"/>
      <c r="NST206" s="2"/>
      <c r="NSU206" s="2"/>
      <c r="NSV206" s="2"/>
      <c r="NSW206" s="2"/>
      <c r="NSX206" s="2"/>
      <c r="NSY206" s="2"/>
      <c r="NSZ206" s="2"/>
      <c r="NTA206" s="2"/>
      <c r="NTB206" s="2"/>
      <c r="NTC206" s="2"/>
      <c r="NTD206" s="2"/>
      <c r="NTE206" s="2"/>
      <c r="NTF206" s="2"/>
      <c r="NTG206" s="2"/>
      <c r="NTH206" s="2"/>
      <c r="NTI206" s="2"/>
      <c r="NTJ206" s="2"/>
      <c r="NTK206" s="2"/>
      <c r="NTL206" s="2"/>
      <c r="NTM206" s="2"/>
      <c r="NTN206" s="2"/>
      <c r="NTO206" s="2"/>
      <c r="NTP206" s="2"/>
      <c r="NTQ206" s="2"/>
      <c r="NTR206" s="2"/>
      <c r="NTS206" s="2"/>
      <c r="NTT206" s="2"/>
      <c r="NTU206" s="2"/>
      <c r="NTV206" s="2"/>
      <c r="NTW206" s="2"/>
      <c r="NTX206" s="2"/>
      <c r="NTY206" s="2"/>
      <c r="NTZ206" s="2"/>
      <c r="NUA206" s="2"/>
      <c r="NUB206" s="2"/>
      <c r="NUC206" s="2"/>
      <c r="NUD206" s="2"/>
      <c r="NUE206" s="2"/>
      <c r="NUF206" s="2"/>
      <c r="NUG206" s="2"/>
      <c r="NUH206" s="2"/>
      <c r="NUI206" s="2"/>
      <c r="NUJ206" s="2"/>
      <c r="NUK206" s="2"/>
      <c r="NUL206" s="2"/>
      <c r="NUM206" s="2"/>
      <c r="NUN206" s="2"/>
      <c r="NUO206" s="2"/>
      <c r="NUP206" s="2"/>
      <c r="NUQ206" s="2"/>
      <c r="NUR206" s="2"/>
      <c r="NUS206" s="2"/>
      <c r="NUT206" s="2"/>
      <c r="NUU206" s="2"/>
      <c r="NUV206" s="2"/>
      <c r="NUW206" s="2"/>
      <c r="NUX206" s="2"/>
      <c r="NUY206" s="2"/>
      <c r="NUZ206" s="2"/>
      <c r="NVA206" s="2"/>
      <c r="NVB206" s="2"/>
      <c r="NVC206" s="2"/>
      <c r="NVD206" s="2"/>
      <c r="NVE206" s="2"/>
      <c r="NVF206" s="2"/>
      <c r="NVG206" s="2"/>
      <c r="NVH206" s="2"/>
      <c r="NVI206" s="2"/>
      <c r="NVJ206" s="2"/>
      <c r="NVK206" s="2"/>
      <c r="NVL206" s="2"/>
      <c r="NVM206" s="2"/>
      <c r="NVN206" s="2"/>
      <c r="NVO206" s="2"/>
      <c r="NVP206" s="2"/>
      <c r="NVQ206" s="2"/>
      <c r="NVR206" s="2"/>
      <c r="NVS206" s="2"/>
      <c r="NVT206" s="2"/>
      <c r="NVU206" s="2"/>
      <c r="NVV206" s="2"/>
      <c r="NVW206" s="2"/>
      <c r="NVX206" s="2"/>
      <c r="NVY206" s="2"/>
      <c r="NVZ206" s="2"/>
      <c r="NWA206" s="2"/>
      <c r="NWB206" s="2"/>
      <c r="NWC206" s="2"/>
      <c r="NWD206" s="2"/>
      <c r="NWE206" s="2"/>
      <c r="NWF206" s="2"/>
      <c r="NWG206" s="2"/>
      <c r="NWH206" s="2"/>
      <c r="NWI206" s="2"/>
      <c r="NWJ206" s="2"/>
      <c r="NWK206" s="2"/>
      <c r="NWL206" s="2"/>
      <c r="NWM206" s="2"/>
      <c r="NWN206" s="2"/>
      <c r="NWO206" s="2"/>
      <c r="NWP206" s="2"/>
      <c r="NWQ206" s="2"/>
      <c r="NWR206" s="2"/>
      <c r="NWS206" s="2"/>
      <c r="NWT206" s="2"/>
      <c r="NWU206" s="2"/>
      <c r="NWV206" s="2"/>
      <c r="NWW206" s="2"/>
      <c r="NWX206" s="2"/>
      <c r="NWY206" s="2"/>
      <c r="NWZ206" s="2"/>
      <c r="NXA206" s="2"/>
      <c r="NXB206" s="2"/>
      <c r="NXC206" s="2"/>
      <c r="NXD206" s="2"/>
      <c r="NXE206" s="2"/>
      <c r="NXF206" s="2"/>
      <c r="NXG206" s="2"/>
      <c r="NXH206" s="2"/>
      <c r="NXI206" s="2"/>
      <c r="NXJ206" s="2"/>
      <c r="NXK206" s="2"/>
      <c r="NXL206" s="2"/>
      <c r="NXM206" s="2"/>
      <c r="NXN206" s="2"/>
      <c r="NXO206" s="2"/>
      <c r="NXP206" s="2"/>
      <c r="NXQ206" s="2"/>
      <c r="NXR206" s="2"/>
      <c r="NXS206" s="2"/>
      <c r="NXT206" s="2"/>
      <c r="NXU206" s="2"/>
      <c r="NXV206" s="2"/>
      <c r="NXW206" s="2"/>
      <c r="NXX206" s="2"/>
      <c r="NXY206" s="2"/>
      <c r="NXZ206" s="2"/>
      <c r="NYA206" s="2"/>
      <c r="NYB206" s="2"/>
      <c r="NYC206" s="2"/>
      <c r="NYD206" s="2"/>
      <c r="NYE206" s="2"/>
      <c r="NYF206" s="2"/>
      <c r="NYG206" s="2"/>
      <c r="NYH206" s="2"/>
      <c r="NYI206" s="2"/>
      <c r="NYJ206" s="2"/>
      <c r="NYK206" s="2"/>
      <c r="NYL206" s="2"/>
      <c r="NYM206" s="2"/>
      <c r="NYN206" s="2"/>
      <c r="NYO206" s="2"/>
      <c r="NYP206" s="2"/>
      <c r="NYQ206" s="2"/>
      <c r="NYR206" s="2"/>
      <c r="NYS206" s="2"/>
      <c r="NYT206" s="2"/>
      <c r="NYU206" s="2"/>
      <c r="NYV206" s="2"/>
      <c r="NYW206" s="2"/>
      <c r="NYX206" s="2"/>
      <c r="NYY206" s="2"/>
      <c r="NYZ206" s="2"/>
      <c r="NZA206" s="2"/>
      <c r="NZB206" s="2"/>
      <c r="NZC206" s="2"/>
      <c r="NZD206" s="2"/>
      <c r="NZE206" s="2"/>
      <c r="NZF206" s="2"/>
      <c r="NZG206" s="2"/>
      <c r="NZH206" s="2"/>
      <c r="NZI206" s="2"/>
      <c r="NZJ206" s="2"/>
      <c r="NZK206" s="2"/>
      <c r="NZL206" s="2"/>
      <c r="NZM206" s="2"/>
      <c r="NZN206" s="2"/>
      <c r="NZO206" s="2"/>
      <c r="NZP206" s="2"/>
      <c r="NZQ206" s="2"/>
      <c r="NZR206" s="2"/>
      <c r="NZS206" s="2"/>
      <c r="NZT206" s="2"/>
      <c r="NZU206" s="2"/>
      <c r="NZV206" s="2"/>
      <c r="NZW206" s="2"/>
      <c r="NZX206" s="2"/>
      <c r="NZY206" s="2"/>
      <c r="NZZ206" s="2"/>
      <c r="OAA206" s="2"/>
      <c r="OAB206" s="2"/>
      <c r="OAC206" s="2"/>
      <c r="OAD206" s="2"/>
      <c r="OAE206" s="2"/>
      <c r="OAF206" s="2"/>
      <c r="OAG206" s="2"/>
      <c r="OAH206" s="2"/>
      <c r="OAI206" s="2"/>
      <c r="OAJ206" s="2"/>
      <c r="OAK206" s="2"/>
      <c r="OAL206" s="2"/>
      <c r="OAM206" s="2"/>
      <c r="OAN206" s="2"/>
      <c r="OAO206" s="2"/>
      <c r="OAP206" s="2"/>
      <c r="OAQ206" s="2"/>
      <c r="OAR206" s="2"/>
      <c r="OAS206" s="2"/>
      <c r="OAT206" s="2"/>
      <c r="OAU206" s="2"/>
      <c r="OAV206" s="2"/>
      <c r="OAW206" s="2"/>
      <c r="OAX206" s="2"/>
      <c r="OAY206" s="2"/>
      <c r="OAZ206" s="2"/>
      <c r="OBA206" s="2"/>
      <c r="OBB206" s="2"/>
      <c r="OBC206" s="2"/>
      <c r="OBD206" s="2"/>
      <c r="OBE206" s="2"/>
      <c r="OBF206" s="2"/>
      <c r="OBG206" s="2"/>
      <c r="OBH206" s="2"/>
      <c r="OBI206" s="2"/>
      <c r="OBJ206" s="2"/>
      <c r="OBK206" s="2"/>
      <c r="OBL206" s="2"/>
      <c r="OBM206" s="2"/>
      <c r="OBN206" s="2"/>
      <c r="OBO206" s="2"/>
      <c r="OBP206" s="2"/>
      <c r="OBQ206" s="2"/>
      <c r="OBR206" s="2"/>
      <c r="OBS206" s="2"/>
      <c r="OBT206" s="2"/>
      <c r="OBU206" s="2"/>
      <c r="OBV206" s="2"/>
      <c r="OBW206" s="2"/>
      <c r="OBX206" s="2"/>
      <c r="OBY206" s="2"/>
      <c r="OBZ206" s="2"/>
      <c r="OCA206" s="2"/>
      <c r="OCB206" s="2"/>
      <c r="OCC206" s="2"/>
      <c r="OCD206" s="2"/>
      <c r="OCE206" s="2"/>
      <c r="OCF206" s="2"/>
      <c r="OCG206" s="2"/>
      <c r="OCH206" s="2"/>
      <c r="OCI206" s="2"/>
      <c r="OCJ206" s="2"/>
      <c r="OCK206" s="2"/>
      <c r="OCL206" s="2"/>
      <c r="OCM206" s="2"/>
      <c r="OCN206" s="2"/>
      <c r="OCO206" s="2"/>
      <c r="OCP206" s="2"/>
      <c r="OCQ206" s="2"/>
      <c r="OCR206" s="2"/>
      <c r="OCS206" s="2"/>
      <c r="OCT206" s="2"/>
      <c r="OCU206" s="2"/>
      <c r="OCV206" s="2"/>
      <c r="OCW206" s="2"/>
      <c r="OCX206" s="2"/>
      <c r="OCY206" s="2"/>
      <c r="OCZ206" s="2"/>
      <c r="ODA206" s="2"/>
      <c r="ODB206" s="2"/>
      <c r="ODC206" s="2"/>
      <c r="ODD206" s="2"/>
      <c r="ODE206" s="2"/>
      <c r="ODF206" s="2"/>
      <c r="ODG206" s="2"/>
      <c r="ODH206" s="2"/>
      <c r="ODI206" s="2"/>
      <c r="ODJ206" s="2"/>
      <c r="ODK206" s="2"/>
      <c r="ODL206" s="2"/>
      <c r="ODM206" s="2"/>
      <c r="ODN206" s="2"/>
      <c r="ODO206" s="2"/>
      <c r="ODP206" s="2"/>
      <c r="ODQ206" s="2"/>
      <c r="ODR206" s="2"/>
      <c r="ODS206" s="2"/>
      <c r="ODT206" s="2"/>
      <c r="ODU206" s="2"/>
      <c r="ODV206" s="2"/>
      <c r="ODW206" s="2"/>
      <c r="ODX206" s="2"/>
      <c r="ODY206" s="2"/>
      <c r="ODZ206" s="2"/>
      <c r="OEA206" s="2"/>
      <c r="OEB206" s="2"/>
      <c r="OEC206" s="2"/>
      <c r="OED206" s="2"/>
      <c r="OEE206" s="2"/>
      <c r="OEF206" s="2"/>
      <c r="OEG206" s="2"/>
      <c r="OEH206" s="2"/>
      <c r="OEI206" s="2"/>
      <c r="OEJ206" s="2"/>
      <c r="OEK206" s="2"/>
      <c r="OEL206" s="2"/>
      <c r="OEM206" s="2"/>
      <c r="OEN206" s="2"/>
      <c r="OEO206" s="2"/>
      <c r="OEP206" s="2"/>
      <c r="OEQ206" s="2"/>
      <c r="OER206" s="2"/>
      <c r="OES206" s="2"/>
      <c r="OET206" s="2"/>
      <c r="OEU206" s="2"/>
      <c r="OEV206" s="2"/>
      <c r="OEW206" s="2"/>
      <c r="OEX206" s="2"/>
      <c r="OEY206" s="2"/>
      <c r="OEZ206" s="2"/>
      <c r="OFA206" s="2"/>
      <c r="OFB206" s="2"/>
      <c r="OFC206" s="2"/>
      <c r="OFD206" s="2"/>
      <c r="OFE206" s="2"/>
      <c r="OFF206" s="2"/>
      <c r="OFG206" s="2"/>
      <c r="OFH206" s="2"/>
      <c r="OFI206" s="2"/>
      <c r="OFJ206" s="2"/>
      <c r="OFK206" s="2"/>
      <c r="OFL206" s="2"/>
      <c r="OFM206" s="2"/>
      <c r="OFN206" s="2"/>
      <c r="OFO206" s="2"/>
      <c r="OFP206" s="2"/>
      <c r="OFQ206" s="2"/>
      <c r="OFR206" s="2"/>
      <c r="OFS206" s="2"/>
      <c r="OFT206" s="2"/>
      <c r="OFU206" s="2"/>
      <c r="OFV206" s="2"/>
      <c r="OFW206" s="2"/>
      <c r="OFX206" s="2"/>
      <c r="OFY206" s="2"/>
      <c r="OFZ206" s="2"/>
      <c r="OGA206" s="2"/>
      <c r="OGB206" s="2"/>
      <c r="OGC206" s="2"/>
      <c r="OGD206" s="2"/>
      <c r="OGE206" s="2"/>
      <c r="OGF206" s="2"/>
      <c r="OGG206" s="2"/>
      <c r="OGH206" s="2"/>
      <c r="OGI206" s="2"/>
      <c r="OGJ206" s="2"/>
      <c r="OGK206" s="2"/>
      <c r="OGL206" s="2"/>
      <c r="OGM206" s="2"/>
      <c r="OGN206" s="2"/>
      <c r="OGO206" s="2"/>
      <c r="OGP206" s="2"/>
      <c r="OGQ206" s="2"/>
      <c r="OGR206" s="2"/>
      <c r="OGS206" s="2"/>
      <c r="OGT206" s="2"/>
      <c r="OGU206" s="2"/>
      <c r="OGV206" s="2"/>
      <c r="OGW206" s="2"/>
      <c r="OGX206" s="2"/>
      <c r="OGY206" s="2"/>
      <c r="OGZ206" s="2"/>
      <c r="OHA206" s="2"/>
      <c r="OHB206" s="2"/>
      <c r="OHC206" s="2"/>
      <c r="OHD206" s="2"/>
      <c r="OHE206" s="2"/>
      <c r="OHF206" s="2"/>
      <c r="OHG206" s="2"/>
      <c r="OHH206" s="2"/>
      <c r="OHI206" s="2"/>
      <c r="OHJ206" s="2"/>
      <c r="OHK206" s="2"/>
      <c r="OHL206" s="2"/>
      <c r="OHM206" s="2"/>
      <c r="OHN206" s="2"/>
      <c r="OHO206" s="2"/>
      <c r="OHP206" s="2"/>
      <c r="OHQ206" s="2"/>
      <c r="OHR206" s="2"/>
      <c r="OHS206" s="2"/>
      <c r="OHT206" s="2"/>
      <c r="OHU206" s="2"/>
      <c r="OHV206" s="2"/>
      <c r="OHW206" s="2"/>
      <c r="OHX206" s="2"/>
      <c r="OHY206" s="2"/>
      <c r="OHZ206" s="2"/>
      <c r="OIA206" s="2"/>
      <c r="OIB206" s="2"/>
      <c r="OIC206" s="2"/>
      <c r="OID206" s="2"/>
      <c r="OIE206" s="2"/>
      <c r="OIF206" s="2"/>
      <c r="OIG206" s="2"/>
      <c r="OIH206" s="2"/>
      <c r="OII206" s="2"/>
      <c r="OIJ206" s="2"/>
      <c r="OIK206" s="2"/>
      <c r="OIL206" s="2"/>
      <c r="OIM206" s="2"/>
      <c r="OIN206" s="2"/>
      <c r="OIO206" s="2"/>
      <c r="OIP206" s="2"/>
      <c r="OIQ206" s="2"/>
      <c r="OIR206" s="2"/>
      <c r="OIS206" s="2"/>
      <c r="OIT206" s="2"/>
      <c r="OIU206" s="2"/>
      <c r="OIV206" s="2"/>
      <c r="OIW206" s="2"/>
      <c r="OIX206" s="2"/>
      <c r="OIY206" s="2"/>
      <c r="OIZ206" s="2"/>
      <c r="OJA206" s="2"/>
      <c r="OJB206" s="2"/>
      <c r="OJC206" s="2"/>
      <c r="OJD206" s="2"/>
      <c r="OJE206" s="2"/>
      <c r="OJF206" s="2"/>
      <c r="OJG206" s="2"/>
      <c r="OJH206" s="2"/>
      <c r="OJI206" s="2"/>
      <c r="OJJ206" s="2"/>
      <c r="OJK206" s="2"/>
      <c r="OJL206" s="2"/>
      <c r="OJM206" s="2"/>
      <c r="OJN206" s="2"/>
      <c r="OJO206" s="2"/>
      <c r="OJP206" s="2"/>
      <c r="OJQ206" s="2"/>
      <c r="OJR206" s="2"/>
      <c r="OJS206" s="2"/>
      <c r="OJT206" s="2"/>
      <c r="OJU206" s="2"/>
      <c r="OJV206" s="2"/>
      <c r="OJW206" s="2"/>
      <c r="OJX206" s="2"/>
      <c r="OJY206" s="2"/>
      <c r="OJZ206" s="2"/>
      <c r="OKA206" s="2"/>
      <c r="OKB206" s="2"/>
      <c r="OKC206" s="2"/>
      <c r="OKD206" s="2"/>
      <c r="OKE206" s="2"/>
      <c r="OKF206" s="2"/>
      <c r="OKG206" s="2"/>
      <c r="OKH206" s="2"/>
      <c r="OKI206" s="2"/>
      <c r="OKJ206" s="2"/>
      <c r="OKK206" s="2"/>
      <c r="OKL206" s="2"/>
      <c r="OKM206" s="2"/>
      <c r="OKN206" s="2"/>
      <c r="OKO206" s="2"/>
      <c r="OKP206" s="2"/>
      <c r="OKQ206" s="2"/>
      <c r="OKR206" s="2"/>
      <c r="OKS206" s="2"/>
      <c r="OKT206" s="2"/>
      <c r="OKU206" s="2"/>
      <c r="OKV206" s="2"/>
      <c r="OKW206" s="2"/>
      <c r="OKX206" s="2"/>
      <c r="OKY206" s="2"/>
      <c r="OKZ206" s="2"/>
      <c r="OLA206" s="2"/>
      <c r="OLB206" s="2"/>
      <c r="OLC206" s="2"/>
      <c r="OLD206" s="2"/>
      <c r="OLE206" s="2"/>
      <c r="OLF206" s="2"/>
      <c r="OLG206" s="2"/>
      <c r="OLH206" s="2"/>
      <c r="OLI206" s="2"/>
      <c r="OLJ206" s="2"/>
      <c r="OLK206" s="2"/>
      <c r="OLL206" s="2"/>
      <c r="OLM206" s="2"/>
      <c r="OLN206" s="2"/>
      <c r="OLO206" s="2"/>
      <c r="OLP206" s="2"/>
      <c r="OLQ206" s="2"/>
      <c r="OLR206" s="2"/>
      <c r="OLS206" s="2"/>
      <c r="OLT206" s="2"/>
      <c r="OLU206" s="2"/>
      <c r="OLV206" s="2"/>
      <c r="OLW206" s="2"/>
      <c r="OLX206" s="2"/>
      <c r="OLY206" s="2"/>
      <c r="OLZ206" s="2"/>
      <c r="OMA206" s="2"/>
      <c r="OMB206" s="2"/>
      <c r="OMC206" s="2"/>
      <c r="OMD206" s="2"/>
      <c r="OME206" s="2"/>
      <c r="OMF206" s="2"/>
      <c r="OMG206" s="2"/>
      <c r="OMH206" s="2"/>
      <c r="OMI206" s="2"/>
      <c r="OMJ206" s="2"/>
      <c r="OMK206" s="2"/>
      <c r="OML206" s="2"/>
      <c r="OMM206" s="2"/>
      <c r="OMN206" s="2"/>
      <c r="OMO206" s="2"/>
      <c r="OMP206" s="2"/>
      <c r="OMQ206" s="2"/>
      <c r="OMR206" s="2"/>
      <c r="OMS206" s="2"/>
      <c r="OMT206" s="2"/>
      <c r="OMU206" s="2"/>
      <c r="OMV206" s="2"/>
      <c r="OMW206" s="2"/>
      <c r="OMX206" s="2"/>
      <c r="OMY206" s="2"/>
      <c r="OMZ206" s="2"/>
      <c r="ONA206" s="2"/>
      <c r="ONB206" s="2"/>
      <c r="ONC206" s="2"/>
      <c r="OND206" s="2"/>
      <c r="ONE206" s="2"/>
      <c r="ONF206" s="2"/>
      <c r="ONG206" s="2"/>
      <c r="ONH206" s="2"/>
      <c r="ONI206" s="2"/>
      <c r="ONJ206" s="2"/>
      <c r="ONK206" s="2"/>
      <c r="ONL206" s="2"/>
      <c r="ONM206" s="2"/>
      <c r="ONN206" s="2"/>
      <c r="ONO206" s="2"/>
      <c r="ONP206" s="2"/>
      <c r="ONQ206" s="2"/>
      <c r="ONR206" s="2"/>
      <c r="ONS206" s="2"/>
      <c r="ONT206" s="2"/>
      <c r="ONU206" s="2"/>
      <c r="ONV206" s="2"/>
      <c r="ONW206" s="2"/>
      <c r="ONX206" s="2"/>
      <c r="ONY206" s="2"/>
      <c r="ONZ206" s="2"/>
      <c r="OOA206" s="2"/>
      <c r="OOB206" s="2"/>
      <c r="OOC206" s="2"/>
      <c r="OOD206" s="2"/>
      <c r="OOE206" s="2"/>
      <c r="OOF206" s="2"/>
      <c r="OOG206" s="2"/>
      <c r="OOH206" s="2"/>
      <c r="OOI206" s="2"/>
      <c r="OOJ206" s="2"/>
      <c r="OOK206" s="2"/>
      <c r="OOL206" s="2"/>
      <c r="OOM206" s="2"/>
      <c r="OON206" s="2"/>
      <c r="OOO206" s="2"/>
      <c r="OOP206" s="2"/>
      <c r="OOQ206" s="2"/>
      <c r="OOR206" s="2"/>
      <c r="OOS206" s="2"/>
      <c r="OOT206" s="2"/>
      <c r="OOU206" s="2"/>
      <c r="OOV206" s="2"/>
      <c r="OOW206" s="2"/>
      <c r="OOX206" s="2"/>
      <c r="OOY206" s="2"/>
      <c r="OOZ206" s="2"/>
      <c r="OPA206" s="2"/>
      <c r="OPB206" s="2"/>
      <c r="OPC206" s="2"/>
      <c r="OPD206" s="2"/>
      <c r="OPE206" s="2"/>
      <c r="OPF206" s="2"/>
      <c r="OPG206" s="2"/>
      <c r="OPH206" s="2"/>
      <c r="OPI206" s="2"/>
      <c r="OPJ206" s="2"/>
      <c r="OPK206" s="2"/>
      <c r="OPL206" s="2"/>
      <c r="OPM206" s="2"/>
      <c r="OPN206" s="2"/>
      <c r="OPO206" s="2"/>
      <c r="OPP206" s="2"/>
      <c r="OPQ206" s="2"/>
      <c r="OPR206" s="2"/>
      <c r="OPS206" s="2"/>
      <c r="OPT206" s="2"/>
      <c r="OPU206" s="2"/>
      <c r="OPV206" s="2"/>
      <c r="OPW206" s="2"/>
      <c r="OPX206" s="2"/>
      <c r="OPY206" s="2"/>
      <c r="OPZ206" s="2"/>
      <c r="OQA206" s="2"/>
      <c r="OQB206" s="2"/>
      <c r="OQC206" s="2"/>
      <c r="OQD206" s="2"/>
      <c r="OQE206" s="2"/>
      <c r="OQF206" s="2"/>
      <c r="OQG206" s="2"/>
      <c r="OQH206" s="2"/>
      <c r="OQI206" s="2"/>
      <c r="OQJ206" s="2"/>
      <c r="OQK206" s="2"/>
      <c r="OQL206" s="2"/>
      <c r="OQM206" s="2"/>
      <c r="OQN206" s="2"/>
      <c r="OQO206" s="2"/>
      <c r="OQP206" s="2"/>
      <c r="OQQ206" s="2"/>
      <c r="OQR206" s="2"/>
      <c r="OQS206" s="2"/>
      <c r="OQT206" s="2"/>
      <c r="OQU206" s="2"/>
      <c r="OQV206" s="2"/>
      <c r="OQW206" s="2"/>
      <c r="OQX206" s="2"/>
      <c r="OQY206" s="2"/>
      <c r="OQZ206" s="2"/>
      <c r="ORA206" s="2"/>
      <c r="ORB206" s="2"/>
      <c r="ORC206" s="2"/>
      <c r="ORD206" s="2"/>
      <c r="ORE206" s="2"/>
      <c r="ORF206" s="2"/>
      <c r="ORG206" s="2"/>
      <c r="ORH206" s="2"/>
      <c r="ORI206" s="2"/>
      <c r="ORJ206" s="2"/>
      <c r="ORK206" s="2"/>
      <c r="ORL206" s="2"/>
      <c r="ORM206" s="2"/>
      <c r="ORN206" s="2"/>
      <c r="ORO206" s="2"/>
      <c r="ORP206" s="2"/>
      <c r="ORQ206" s="2"/>
      <c r="ORR206" s="2"/>
      <c r="ORS206" s="2"/>
      <c r="ORT206" s="2"/>
      <c r="ORU206" s="2"/>
      <c r="ORV206" s="2"/>
      <c r="ORW206" s="2"/>
      <c r="ORX206" s="2"/>
      <c r="ORY206" s="2"/>
      <c r="ORZ206" s="2"/>
      <c r="OSA206" s="2"/>
      <c r="OSB206" s="2"/>
      <c r="OSC206" s="2"/>
      <c r="OSD206" s="2"/>
      <c r="OSE206" s="2"/>
      <c r="OSF206" s="2"/>
      <c r="OSG206" s="2"/>
      <c r="OSH206" s="2"/>
      <c r="OSI206" s="2"/>
      <c r="OSJ206" s="2"/>
      <c r="OSK206" s="2"/>
      <c r="OSL206" s="2"/>
      <c r="OSM206" s="2"/>
      <c r="OSN206" s="2"/>
      <c r="OSO206" s="2"/>
      <c r="OSP206" s="2"/>
      <c r="OSQ206" s="2"/>
      <c r="OSR206" s="2"/>
      <c r="OSS206" s="2"/>
      <c r="OST206" s="2"/>
      <c r="OSU206" s="2"/>
      <c r="OSV206" s="2"/>
      <c r="OSW206" s="2"/>
      <c r="OSX206" s="2"/>
      <c r="OSY206" s="2"/>
      <c r="OSZ206" s="2"/>
      <c r="OTA206" s="2"/>
      <c r="OTB206" s="2"/>
      <c r="OTC206" s="2"/>
      <c r="OTD206" s="2"/>
      <c r="OTE206" s="2"/>
      <c r="OTF206" s="2"/>
      <c r="OTG206" s="2"/>
      <c r="OTH206" s="2"/>
      <c r="OTI206" s="2"/>
      <c r="OTJ206" s="2"/>
      <c r="OTK206" s="2"/>
      <c r="OTL206" s="2"/>
      <c r="OTM206" s="2"/>
      <c r="OTN206" s="2"/>
      <c r="OTO206" s="2"/>
      <c r="OTP206" s="2"/>
      <c r="OTQ206" s="2"/>
      <c r="OTR206" s="2"/>
      <c r="OTS206" s="2"/>
      <c r="OTT206" s="2"/>
      <c r="OTU206" s="2"/>
      <c r="OTV206" s="2"/>
      <c r="OTW206" s="2"/>
      <c r="OTX206" s="2"/>
      <c r="OTY206" s="2"/>
      <c r="OTZ206" s="2"/>
      <c r="OUA206" s="2"/>
      <c r="OUB206" s="2"/>
      <c r="OUC206" s="2"/>
      <c r="OUD206" s="2"/>
      <c r="OUE206" s="2"/>
      <c r="OUF206" s="2"/>
      <c r="OUG206" s="2"/>
      <c r="OUH206" s="2"/>
      <c r="OUI206" s="2"/>
      <c r="OUJ206" s="2"/>
      <c r="OUK206" s="2"/>
      <c r="OUL206" s="2"/>
      <c r="OUM206" s="2"/>
      <c r="OUN206" s="2"/>
      <c r="OUO206" s="2"/>
      <c r="OUP206" s="2"/>
      <c r="OUQ206" s="2"/>
      <c r="OUR206" s="2"/>
      <c r="OUS206" s="2"/>
      <c r="OUT206" s="2"/>
      <c r="OUU206" s="2"/>
      <c r="OUV206" s="2"/>
      <c r="OUW206" s="2"/>
      <c r="OUX206" s="2"/>
      <c r="OUY206" s="2"/>
      <c r="OUZ206" s="2"/>
      <c r="OVA206" s="2"/>
      <c r="OVB206" s="2"/>
      <c r="OVC206" s="2"/>
      <c r="OVD206" s="2"/>
      <c r="OVE206" s="2"/>
      <c r="OVF206" s="2"/>
      <c r="OVG206" s="2"/>
      <c r="OVH206" s="2"/>
      <c r="OVI206" s="2"/>
      <c r="OVJ206" s="2"/>
      <c r="OVK206" s="2"/>
      <c r="OVL206" s="2"/>
      <c r="OVM206" s="2"/>
      <c r="OVN206" s="2"/>
      <c r="OVO206" s="2"/>
      <c r="OVP206" s="2"/>
      <c r="OVQ206" s="2"/>
      <c r="OVR206" s="2"/>
      <c r="OVS206" s="2"/>
      <c r="OVT206" s="2"/>
      <c r="OVU206" s="2"/>
      <c r="OVV206" s="2"/>
      <c r="OVW206" s="2"/>
      <c r="OVX206" s="2"/>
      <c r="OVY206" s="2"/>
      <c r="OVZ206" s="2"/>
      <c r="OWA206" s="2"/>
      <c r="OWB206" s="2"/>
      <c r="OWC206" s="2"/>
      <c r="OWD206" s="2"/>
      <c r="OWE206" s="2"/>
      <c r="OWF206" s="2"/>
      <c r="OWG206" s="2"/>
      <c r="OWH206" s="2"/>
      <c r="OWI206" s="2"/>
      <c r="OWJ206" s="2"/>
      <c r="OWK206" s="2"/>
      <c r="OWL206" s="2"/>
      <c r="OWM206" s="2"/>
      <c r="OWN206" s="2"/>
      <c r="OWO206" s="2"/>
      <c r="OWP206" s="2"/>
      <c r="OWQ206" s="2"/>
      <c r="OWR206" s="2"/>
      <c r="OWS206" s="2"/>
      <c r="OWT206" s="2"/>
      <c r="OWU206" s="2"/>
      <c r="OWV206" s="2"/>
      <c r="OWW206" s="2"/>
      <c r="OWX206" s="2"/>
      <c r="OWY206" s="2"/>
      <c r="OWZ206" s="2"/>
      <c r="OXA206" s="2"/>
      <c r="OXB206" s="2"/>
      <c r="OXC206" s="2"/>
      <c r="OXD206" s="2"/>
      <c r="OXE206" s="2"/>
      <c r="OXF206" s="2"/>
      <c r="OXG206" s="2"/>
      <c r="OXH206" s="2"/>
      <c r="OXI206" s="2"/>
      <c r="OXJ206" s="2"/>
      <c r="OXK206" s="2"/>
      <c r="OXL206" s="2"/>
      <c r="OXM206" s="2"/>
      <c r="OXN206" s="2"/>
      <c r="OXO206" s="2"/>
      <c r="OXP206" s="2"/>
      <c r="OXQ206" s="2"/>
      <c r="OXR206" s="2"/>
      <c r="OXS206" s="2"/>
      <c r="OXT206" s="2"/>
      <c r="OXU206" s="2"/>
      <c r="OXV206" s="2"/>
      <c r="OXW206" s="2"/>
      <c r="OXX206" s="2"/>
      <c r="OXY206" s="2"/>
      <c r="OXZ206" s="2"/>
      <c r="OYA206" s="2"/>
      <c r="OYB206" s="2"/>
      <c r="OYC206" s="2"/>
      <c r="OYD206" s="2"/>
      <c r="OYE206" s="2"/>
      <c r="OYF206" s="2"/>
      <c r="OYG206" s="2"/>
      <c r="OYH206" s="2"/>
      <c r="OYI206" s="2"/>
      <c r="OYJ206" s="2"/>
      <c r="OYK206" s="2"/>
      <c r="OYL206" s="2"/>
      <c r="OYM206" s="2"/>
      <c r="OYN206" s="2"/>
      <c r="OYO206" s="2"/>
      <c r="OYP206" s="2"/>
      <c r="OYQ206" s="2"/>
      <c r="OYR206" s="2"/>
      <c r="OYS206" s="2"/>
      <c r="OYT206" s="2"/>
      <c r="OYU206" s="2"/>
      <c r="OYV206" s="2"/>
      <c r="OYW206" s="2"/>
      <c r="OYX206" s="2"/>
      <c r="OYY206" s="2"/>
      <c r="OYZ206" s="2"/>
      <c r="OZA206" s="2"/>
      <c r="OZB206" s="2"/>
      <c r="OZC206" s="2"/>
      <c r="OZD206" s="2"/>
      <c r="OZE206" s="2"/>
      <c r="OZF206" s="2"/>
      <c r="OZG206" s="2"/>
      <c r="OZH206" s="2"/>
      <c r="OZI206" s="2"/>
      <c r="OZJ206" s="2"/>
      <c r="OZK206" s="2"/>
      <c r="OZL206" s="2"/>
      <c r="OZM206" s="2"/>
      <c r="OZN206" s="2"/>
      <c r="OZO206" s="2"/>
      <c r="OZP206" s="2"/>
      <c r="OZQ206" s="2"/>
      <c r="OZR206" s="2"/>
      <c r="OZS206" s="2"/>
      <c r="OZT206" s="2"/>
      <c r="OZU206" s="2"/>
      <c r="OZV206" s="2"/>
      <c r="OZW206" s="2"/>
      <c r="OZX206" s="2"/>
      <c r="OZY206" s="2"/>
      <c r="OZZ206" s="2"/>
      <c r="PAA206" s="2"/>
      <c r="PAB206" s="2"/>
      <c r="PAC206" s="2"/>
      <c r="PAD206" s="2"/>
      <c r="PAE206" s="2"/>
      <c r="PAF206" s="2"/>
      <c r="PAG206" s="2"/>
      <c r="PAH206" s="2"/>
      <c r="PAI206" s="2"/>
      <c r="PAJ206" s="2"/>
      <c r="PAK206" s="2"/>
      <c r="PAL206" s="2"/>
      <c r="PAM206" s="2"/>
      <c r="PAN206" s="2"/>
      <c r="PAO206" s="2"/>
      <c r="PAP206" s="2"/>
      <c r="PAQ206" s="2"/>
      <c r="PAR206" s="2"/>
      <c r="PAS206" s="2"/>
      <c r="PAT206" s="2"/>
      <c r="PAU206" s="2"/>
      <c r="PAV206" s="2"/>
      <c r="PAW206" s="2"/>
      <c r="PAX206" s="2"/>
      <c r="PAY206" s="2"/>
      <c r="PAZ206" s="2"/>
      <c r="PBA206" s="2"/>
      <c r="PBB206" s="2"/>
      <c r="PBC206" s="2"/>
      <c r="PBD206" s="2"/>
      <c r="PBE206" s="2"/>
      <c r="PBF206" s="2"/>
      <c r="PBG206" s="2"/>
      <c r="PBH206" s="2"/>
      <c r="PBI206" s="2"/>
      <c r="PBJ206" s="2"/>
      <c r="PBK206" s="2"/>
      <c r="PBL206" s="2"/>
      <c r="PBM206" s="2"/>
      <c r="PBN206" s="2"/>
      <c r="PBO206" s="2"/>
      <c r="PBP206" s="2"/>
      <c r="PBQ206" s="2"/>
      <c r="PBR206" s="2"/>
      <c r="PBS206" s="2"/>
      <c r="PBT206" s="2"/>
      <c r="PBU206" s="2"/>
      <c r="PBV206" s="2"/>
      <c r="PBW206" s="2"/>
      <c r="PBX206" s="2"/>
      <c r="PBY206" s="2"/>
      <c r="PBZ206" s="2"/>
      <c r="PCA206" s="2"/>
      <c r="PCB206" s="2"/>
      <c r="PCC206" s="2"/>
      <c r="PCD206" s="2"/>
      <c r="PCE206" s="2"/>
      <c r="PCF206" s="2"/>
      <c r="PCG206" s="2"/>
      <c r="PCH206" s="2"/>
      <c r="PCI206" s="2"/>
      <c r="PCJ206" s="2"/>
      <c r="PCK206" s="2"/>
      <c r="PCL206" s="2"/>
      <c r="PCM206" s="2"/>
      <c r="PCN206" s="2"/>
      <c r="PCO206" s="2"/>
      <c r="PCP206" s="2"/>
      <c r="PCQ206" s="2"/>
      <c r="PCR206" s="2"/>
      <c r="PCS206" s="2"/>
      <c r="PCT206" s="2"/>
      <c r="PCU206" s="2"/>
      <c r="PCV206" s="2"/>
      <c r="PCW206" s="2"/>
      <c r="PCX206" s="2"/>
      <c r="PCY206" s="2"/>
      <c r="PCZ206" s="2"/>
      <c r="PDA206" s="2"/>
      <c r="PDB206" s="2"/>
      <c r="PDC206" s="2"/>
      <c r="PDD206" s="2"/>
      <c r="PDE206" s="2"/>
      <c r="PDF206" s="2"/>
      <c r="PDG206" s="2"/>
      <c r="PDH206" s="2"/>
      <c r="PDI206" s="2"/>
      <c r="PDJ206" s="2"/>
      <c r="PDK206" s="2"/>
      <c r="PDL206" s="2"/>
      <c r="PDM206" s="2"/>
      <c r="PDN206" s="2"/>
      <c r="PDO206" s="2"/>
      <c r="PDP206" s="2"/>
      <c r="PDQ206" s="2"/>
      <c r="PDR206" s="2"/>
      <c r="PDS206" s="2"/>
      <c r="PDT206" s="2"/>
      <c r="PDU206" s="2"/>
      <c r="PDV206" s="2"/>
      <c r="PDW206" s="2"/>
      <c r="PDX206" s="2"/>
      <c r="PDY206" s="2"/>
      <c r="PDZ206" s="2"/>
      <c r="PEA206" s="2"/>
      <c r="PEB206" s="2"/>
      <c r="PEC206" s="2"/>
      <c r="PED206" s="2"/>
      <c r="PEE206" s="2"/>
      <c r="PEF206" s="2"/>
      <c r="PEG206" s="2"/>
      <c r="PEH206" s="2"/>
      <c r="PEI206" s="2"/>
      <c r="PEJ206" s="2"/>
      <c r="PEK206" s="2"/>
      <c r="PEL206" s="2"/>
      <c r="PEM206" s="2"/>
      <c r="PEN206" s="2"/>
      <c r="PEO206" s="2"/>
      <c r="PEP206" s="2"/>
      <c r="PEQ206" s="2"/>
      <c r="PER206" s="2"/>
      <c r="PES206" s="2"/>
      <c r="PET206" s="2"/>
      <c r="PEU206" s="2"/>
      <c r="PEV206" s="2"/>
      <c r="PEW206" s="2"/>
      <c r="PEX206" s="2"/>
      <c r="PEY206" s="2"/>
      <c r="PEZ206" s="2"/>
      <c r="PFA206" s="2"/>
      <c r="PFB206" s="2"/>
      <c r="PFC206" s="2"/>
      <c r="PFD206" s="2"/>
      <c r="PFE206" s="2"/>
      <c r="PFF206" s="2"/>
      <c r="PFG206" s="2"/>
      <c r="PFH206" s="2"/>
      <c r="PFI206" s="2"/>
      <c r="PFJ206" s="2"/>
      <c r="PFK206" s="2"/>
      <c r="PFL206" s="2"/>
      <c r="PFM206" s="2"/>
      <c r="PFN206" s="2"/>
      <c r="PFO206" s="2"/>
      <c r="PFP206" s="2"/>
      <c r="PFQ206" s="2"/>
      <c r="PFR206" s="2"/>
      <c r="PFS206" s="2"/>
      <c r="PFT206" s="2"/>
      <c r="PFU206" s="2"/>
      <c r="PFV206" s="2"/>
      <c r="PFW206" s="2"/>
      <c r="PFX206" s="2"/>
      <c r="PFY206" s="2"/>
      <c r="PFZ206" s="2"/>
      <c r="PGA206" s="2"/>
      <c r="PGB206" s="2"/>
      <c r="PGC206" s="2"/>
      <c r="PGD206" s="2"/>
      <c r="PGE206" s="2"/>
      <c r="PGF206" s="2"/>
      <c r="PGG206" s="2"/>
      <c r="PGH206" s="2"/>
      <c r="PGI206" s="2"/>
      <c r="PGJ206" s="2"/>
      <c r="PGK206" s="2"/>
      <c r="PGL206" s="2"/>
      <c r="PGM206" s="2"/>
      <c r="PGN206" s="2"/>
      <c r="PGO206" s="2"/>
      <c r="PGP206" s="2"/>
      <c r="PGQ206" s="2"/>
      <c r="PGR206" s="2"/>
      <c r="PGS206" s="2"/>
      <c r="PGT206" s="2"/>
      <c r="PGU206" s="2"/>
      <c r="PGV206" s="2"/>
      <c r="PGW206" s="2"/>
      <c r="PGX206" s="2"/>
      <c r="PGY206" s="2"/>
      <c r="PGZ206" s="2"/>
      <c r="PHA206" s="2"/>
      <c r="PHB206" s="2"/>
      <c r="PHC206" s="2"/>
      <c r="PHD206" s="2"/>
      <c r="PHE206" s="2"/>
      <c r="PHF206" s="2"/>
      <c r="PHG206" s="2"/>
      <c r="PHH206" s="2"/>
      <c r="PHI206" s="2"/>
      <c r="PHJ206" s="2"/>
      <c r="PHK206" s="2"/>
      <c r="PHL206" s="2"/>
      <c r="PHM206" s="2"/>
      <c r="PHN206" s="2"/>
      <c r="PHO206" s="2"/>
      <c r="PHP206" s="2"/>
      <c r="PHQ206" s="2"/>
      <c r="PHR206" s="2"/>
      <c r="PHS206" s="2"/>
      <c r="PHT206" s="2"/>
      <c r="PHU206" s="2"/>
      <c r="PHV206" s="2"/>
      <c r="PHW206" s="2"/>
      <c r="PHX206" s="2"/>
      <c r="PHY206" s="2"/>
      <c r="PHZ206" s="2"/>
      <c r="PIA206" s="2"/>
      <c r="PIB206" s="2"/>
      <c r="PIC206" s="2"/>
      <c r="PID206" s="2"/>
      <c r="PIE206" s="2"/>
      <c r="PIF206" s="2"/>
      <c r="PIG206" s="2"/>
      <c r="PIH206" s="2"/>
      <c r="PII206" s="2"/>
      <c r="PIJ206" s="2"/>
      <c r="PIK206" s="2"/>
      <c r="PIL206" s="2"/>
      <c r="PIM206" s="2"/>
      <c r="PIN206" s="2"/>
      <c r="PIO206" s="2"/>
      <c r="PIP206" s="2"/>
      <c r="PIQ206" s="2"/>
      <c r="PIR206" s="2"/>
      <c r="PIS206" s="2"/>
      <c r="PIT206" s="2"/>
      <c r="PIU206" s="2"/>
      <c r="PIV206" s="2"/>
      <c r="PIW206" s="2"/>
      <c r="PIX206" s="2"/>
      <c r="PIY206" s="2"/>
      <c r="PIZ206" s="2"/>
      <c r="PJA206" s="2"/>
      <c r="PJB206" s="2"/>
      <c r="PJC206" s="2"/>
      <c r="PJD206" s="2"/>
      <c r="PJE206" s="2"/>
      <c r="PJF206" s="2"/>
      <c r="PJG206" s="2"/>
      <c r="PJH206" s="2"/>
      <c r="PJI206" s="2"/>
      <c r="PJJ206" s="2"/>
      <c r="PJK206" s="2"/>
      <c r="PJL206" s="2"/>
      <c r="PJM206" s="2"/>
      <c r="PJN206" s="2"/>
      <c r="PJO206" s="2"/>
      <c r="PJP206" s="2"/>
      <c r="PJQ206" s="2"/>
      <c r="PJR206" s="2"/>
      <c r="PJS206" s="2"/>
      <c r="PJT206" s="2"/>
      <c r="PJU206" s="2"/>
      <c r="PJV206" s="2"/>
      <c r="PJW206" s="2"/>
      <c r="PJX206" s="2"/>
      <c r="PJY206" s="2"/>
      <c r="PJZ206" s="2"/>
      <c r="PKA206" s="2"/>
      <c r="PKB206" s="2"/>
      <c r="PKC206" s="2"/>
      <c r="PKD206" s="2"/>
      <c r="PKE206" s="2"/>
      <c r="PKF206" s="2"/>
      <c r="PKG206" s="2"/>
      <c r="PKH206" s="2"/>
      <c r="PKI206" s="2"/>
      <c r="PKJ206" s="2"/>
      <c r="PKK206" s="2"/>
      <c r="PKL206" s="2"/>
      <c r="PKM206" s="2"/>
      <c r="PKN206" s="2"/>
      <c r="PKO206" s="2"/>
      <c r="PKP206" s="2"/>
      <c r="PKQ206" s="2"/>
      <c r="PKR206" s="2"/>
      <c r="PKS206" s="2"/>
      <c r="PKT206" s="2"/>
      <c r="PKU206" s="2"/>
      <c r="PKV206" s="2"/>
      <c r="PKW206" s="2"/>
      <c r="PKX206" s="2"/>
      <c r="PKY206" s="2"/>
      <c r="PKZ206" s="2"/>
      <c r="PLA206" s="2"/>
      <c r="PLB206" s="2"/>
      <c r="PLC206" s="2"/>
      <c r="PLD206" s="2"/>
      <c r="PLE206" s="2"/>
      <c r="PLF206" s="2"/>
      <c r="PLG206" s="2"/>
      <c r="PLH206" s="2"/>
      <c r="PLI206" s="2"/>
      <c r="PLJ206" s="2"/>
      <c r="PLK206" s="2"/>
      <c r="PLL206" s="2"/>
      <c r="PLM206" s="2"/>
      <c r="PLN206" s="2"/>
      <c r="PLO206" s="2"/>
      <c r="PLP206" s="2"/>
      <c r="PLQ206" s="2"/>
      <c r="PLR206" s="2"/>
      <c r="PLS206" s="2"/>
      <c r="PLT206" s="2"/>
      <c r="PLU206" s="2"/>
      <c r="PLV206" s="2"/>
      <c r="PLW206" s="2"/>
      <c r="PLX206" s="2"/>
      <c r="PLY206" s="2"/>
      <c r="PLZ206" s="2"/>
      <c r="PMA206" s="2"/>
      <c r="PMB206" s="2"/>
      <c r="PMC206" s="2"/>
      <c r="PMD206" s="2"/>
      <c r="PME206" s="2"/>
      <c r="PMF206" s="2"/>
      <c r="PMG206" s="2"/>
      <c r="PMH206" s="2"/>
      <c r="PMI206" s="2"/>
      <c r="PMJ206" s="2"/>
      <c r="PMK206" s="2"/>
      <c r="PML206" s="2"/>
      <c r="PMM206" s="2"/>
      <c r="PMN206" s="2"/>
      <c r="PMO206" s="2"/>
      <c r="PMP206" s="2"/>
      <c r="PMQ206" s="2"/>
      <c r="PMR206" s="2"/>
      <c r="PMS206" s="2"/>
      <c r="PMT206" s="2"/>
      <c r="PMU206" s="2"/>
      <c r="PMV206" s="2"/>
      <c r="PMW206" s="2"/>
      <c r="PMX206" s="2"/>
      <c r="PMY206" s="2"/>
      <c r="PMZ206" s="2"/>
      <c r="PNA206" s="2"/>
      <c r="PNB206" s="2"/>
      <c r="PNC206" s="2"/>
      <c r="PND206" s="2"/>
      <c r="PNE206" s="2"/>
      <c r="PNF206" s="2"/>
      <c r="PNG206" s="2"/>
      <c r="PNH206" s="2"/>
      <c r="PNI206" s="2"/>
      <c r="PNJ206" s="2"/>
      <c r="PNK206" s="2"/>
      <c r="PNL206" s="2"/>
      <c r="PNM206" s="2"/>
      <c r="PNN206" s="2"/>
      <c r="PNO206" s="2"/>
      <c r="PNP206" s="2"/>
      <c r="PNQ206" s="2"/>
      <c r="PNR206" s="2"/>
      <c r="PNS206" s="2"/>
      <c r="PNT206" s="2"/>
      <c r="PNU206" s="2"/>
      <c r="PNV206" s="2"/>
      <c r="PNW206" s="2"/>
      <c r="PNX206" s="2"/>
      <c r="PNY206" s="2"/>
      <c r="PNZ206" s="2"/>
      <c r="POA206" s="2"/>
      <c r="POB206" s="2"/>
      <c r="POC206" s="2"/>
      <c r="POD206" s="2"/>
      <c r="POE206" s="2"/>
      <c r="POF206" s="2"/>
      <c r="POG206" s="2"/>
      <c r="POH206" s="2"/>
      <c r="POI206" s="2"/>
      <c r="POJ206" s="2"/>
      <c r="POK206" s="2"/>
      <c r="POL206" s="2"/>
      <c r="POM206" s="2"/>
      <c r="PON206" s="2"/>
      <c r="POO206" s="2"/>
      <c r="POP206" s="2"/>
      <c r="POQ206" s="2"/>
      <c r="POR206" s="2"/>
      <c r="POS206" s="2"/>
      <c r="POT206" s="2"/>
      <c r="POU206" s="2"/>
      <c r="POV206" s="2"/>
      <c r="POW206" s="2"/>
      <c r="POX206" s="2"/>
      <c r="POY206" s="2"/>
      <c r="POZ206" s="2"/>
      <c r="PPA206" s="2"/>
      <c r="PPB206" s="2"/>
      <c r="PPC206" s="2"/>
      <c r="PPD206" s="2"/>
      <c r="PPE206" s="2"/>
      <c r="PPF206" s="2"/>
      <c r="PPG206" s="2"/>
      <c r="PPH206" s="2"/>
      <c r="PPI206" s="2"/>
      <c r="PPJ206" s="2"/>
      <c r="PPK206" s="2"/>
      <c r="PPL206" s="2"/>
      <c r="PPM206" s="2"/>
      <c r="PPN206" s="2"/>
      <c r="PPO206" s="2"/>
      <c r="PPP206" s="2"/>
      <c r="PPQ206" s="2"/>
      <c r="PPR206" s="2"/>
      <c r="PPS206" s="2"/>
      <c r="PPT206" s="2"/>
      <c r="PPU206" s="2"/>
      <c r="PPV206" s="2"/>
      <c r="PPW206" s="2"/>
      <c r="PPX206" s="2"/>
      <c r="PPY206" s="2"/>
      <c r="PPZ206" s="2"/>
      <c r="PQA206" s="2"/>
      <c r="PQB206" s="2"/>
      <c r="PQC206" s="2"/>
      <c r="PQD206" s="2"/>
      <c r="PQE206" s="2"/>
      <c r="PQF206" s="2"/>
      <c r="PQG206" s="2"/>
      <c r="PQH206" s="2"/>
      <c r="PQI206" s="2"/>
      <c r="PQJ206" s="2"/>
      <c r="PQK206" s="2"/>
      <c r="PQL206" s="2"/>
      <c r="PQM206" s="2"/>
      <c r="PQN206" s="2"/>
      <c r="PQO206" s="2"/>
      <c r="PQP206" s="2"/>
      <c r="PQQ206" s="2"/>
      <c r="PQR206" s="2"/>
      <c r="PQS206" s="2"/>
      <c r="PQT206" s="2"/>
      <c r="PQU206" s="2"/>
      <c r="PQV206" s="2"/>
      <c r="PQW206" s="2"/>
      <c r="PQX206" s="2"/>
      <c r="PQY206" s="2"/>
      <c r="PQZ206" s="2"/>
      <c r="PRA206" s="2"/>
      <c r="PRB206" s="2"/>
      <c r="PRC206" s="2"/>
      <c r="PRD206" s="2"/>
      <c r="PRE206" s="2"/>
      <c r="PRF206" s="2"/>
      <c r="PRG206" s="2"/>
      <c r="PRH206" s="2"/>
      <c r="PRI206" s="2"/>
      <c r="PRJ206" s="2"/>
      <c r="PRK206" s="2"/>
      <c r="PRL206" s="2"/>
      <c r="PRM206" s="2"/>
      <c r="PRN206" s="2"/>
      <c r="PRO206" s="2"/>
      <c r="PRP206" s="2"/>
      <c r="PRQ206" s="2"/>
      <c r="PRR206" s="2"/>
      <c r="PRS206" s="2"/>
      <c r="PRT206" s="2"/>
      <c r="PRU206" s="2"/>
      <c r="PRV206" s="2"/>
      <c r="PRW206" s="2"/>
      <c r="PRX206" s="2"/>
      <c r="PRY206" s="2"/>
      <c r="PRZ206" s="2"/>
      <c r="PSA206" s="2"/>
      <c r="PSB206" s="2"/>
      <c r="PSC206" s="2"/>
      <c r="PSD206" s="2"/>
      <c r="PSE206" s="2"/>
      <c r="PSF206" s="2"/>
      <c r="PSG206" s="2"/>
      <c r="PSH206" s="2"/>
      <c r="PSI206" s="2"/>
      <c r="PSJ206" s="2"/>
      <c r="PSK206" s="2"/>
      <c r="PSL206" s="2"/>
      <c r="PSM206" s="2"/>
      <c r="PSN206" s="2"/>
      <c r="PSO206" s="2"/>
      <c r="PSP206" s="2"/>
      <c r="PSQ206" s="2"/>
      <c r="PSR206" s="2"/>
      <c r="PSS206" s="2"/>
      <c r="PST206" s="2"/>
      <c r="PSU206" s="2"/>
      <c r="PSV206" s="2"/>
      <c r="PSW206" s="2"/>
      <c r="PSX206" s="2"/>
      <c r="PSY206" s="2"/>
      <c r="PSZ206" s="2"/>
      <c r="PTA206" s="2"/>
      <c r="PTB206" s="2"/>
      <c r="PTC206" s="2"/>
      <c r="PTD206" s="2"/>
      <c r="PTE206" s="2"/>
      <c r="PTF206" s="2"/>
      <c r="PTG206" s="2"/>
      <c r="PTH206" s="2"/>
      <c r="PTI206" s="2"/>
      <c r="PTJ206" s="2"/>
      <c r="PTK206" s="2"/>
      <c r="PTL206" s="2"/>
      <c r="PTM206" s="2"/>
      <c r="PTN206" s="2"/>
      <c r="PTO206" s="2"/>
      <c r="PTP206" s="2"/>
      <c r="PTQ206" s="2"/>
      <c r="PTR206" s="2"/>
      <c r="PTS206" s="2"/>
      <c r="PTT206" s="2"/>
      <c r="PTU206" s="2"/>
      <c r="PTV206" s="2"/>
      <c r="PTW206" s="2"/>
      <c r="PTX206" s="2"/>
      <c r="PTY206" s="2"/>
      <c r="PTZ206" s="2"/>
      <c r="PUA206" s="2"/>
      <c r="PUB206" s="2"/>
      <c r="PUC206" s="2"/>
      <c r="PUD206" s="2"/>
      <c r="PUE206" s="2"/>
      <c r="PUF206" s="2"/>
      <c r="PUG206" s="2"/>
      <c r="PUH206" s="2"/>
      <c r="PUI206" s="2"/>
      <c r="PUJ206" s="2"/>
      <c r="PUK206" s="2"/>
      <c r="PUL206" s="2"/>
      <c r="PUM206" s="2"/>
      <c r="PUN206" s="2"/>
      <c r="PUO206" s="2"/>
      <c r="PUP206" s="2"/>
      <c r="PUQ206" s="2"/>
      <c r="PUR206" s="2"/>
      <c r="PUS206" s="2"/>
      <c r="PUT206" s="2"/>
      <c r="PUU206" s="2"/>
      <c r="PUV206" s="2"/>
      <c r="PUW206" s="2"/>
      <c r="PUX206" s="2"/>
      <c r="PUY206" s="2"/>
      <c r="PUZ206" s="2"/>
      <c r="PVA206" s="2"/>
      <c r="PVB206" s="2"/>
      <c r="PVC206" s="2"/>
      <c r="PVD206" s="2"/>
      <c r="PVE206" s="2"/>
      <c r="PVF206" s="2"/>
      <c r="PVG206" s="2"/>
      <c r="PVH206" s="2"/>
      <c r="PVI206" s="2"/>
      <c r="PVJ206" s="2"/>
      <c r="PVK206" s="2"/>
      <c r="PVL206" s="2"/>
      <c r="PVM206" s="2"/>
      <c r="PVN206" s="2"/>
      <c r="PVO206" s="2"/>
      <c r="PVP206" s="2"/>
      <c r="PVQ206" s="2"/>
      <c r="PVR206" s="2"/>
      <c r="PVS206" s="2"/>
      <c r="PVT206" s="2"/>
      <c r="PVU206" s="2"/>
      <c r="PVV206" s="2"/>
      <c r="PVW206" s="2"/>
      <c r="PVX206" s="2"/>
      <c r="PVY206" s="2"/>
      <c r="PVZ206" s="2"/>
      <c r="PWA206" s="2"/>
      <c r="PWB206" s="2"/>
      <c r="PWC206" s="2"/>
      <c r="PWD206" s="2"/>
      <c r="PWE206" s="2"/>
      <c r="PWF206" s="2"/>
      <c r="PWG206" s="2"/>
      <c r="PWH206" s="2"/>
      <c r="PWI206" s="2"/>
      <c r="PWJ206" s="2"/>
      <c r="PWK206" s="2"/>
      <c r="PWL206" s="2"/>
      <c r="PWM206" s="2"/>
      <c r="PWN206" s="2"/>
      <c r="PWO206" s="2"/>
      <c r="PWP206" s="2"/>
      <c r="PWQ206" s="2"/>
      <c r="PWR206" s="2"/>
      <c r="PWS206" s="2"/>
      <c r="PWT206" s="2"/>
      <c r="PWU206" s="2"/>
      <c r="PWV206" s="2"/>
      <c r="PWW206" s="2"/>
      <c r="PWX206" s="2"/>
      <c r="PWY206" s="2"/>
      <c r="PWZ206" s="2"/>
      <c r="PXA206" s="2"/>
      <c r="PXB206" s="2"/>
      <c r="PXC206" s="2"/>
      <c r="PXD206" s="2"/>
      <c r="PXE206" s="2"/>
      <c r="PXF206" s="2"/>
      <c r="PXG206" s="2"/>
      <c r="PXH206" s="2"/>
      <c r="PXI206" s="2"/>
      <c r="PXJ206" s="2"/>
      <c r="PXK206" s="2"/>
      <c r="PXL206" s="2"/>
      <c r="PXM206" s="2"/>
      <c r="PXN206" s="2"/>
      <c r="PXO206" s="2"/>
      <c r="PXP206" s="2"/>
      <c r="PXQ206" s="2"/>
      <c r="PXR206" s="2"/>
      <c r="PXS206" s="2"/>
      <c r="PXT206" s="2"/>
      <c r="PXU206" s="2"/>
      <c r="PXV206" s="2"/>
      <c r="PXW206" s="2"/>
      <c r="PXX206" s="2"/>
      <c r="PXY206" s="2"/>
      <c r="PXZ206" s="2"/>
      <c r="PYA206" s="2"/>
      <c r="PYB206" s="2"/>
      <c r="PYC206" s="2"/>
      <c r="PYD206" s="2"/>
      <c r="PYE206" s="2"/>
      <c r="PYF206" s="2"/>
      <c r="PYG206" s="2"/>
      <c r="PYH206" s="2"/>
      <c r="PYI206" s="2"/>
      <c r="PYJ206" s="2"/>
      <c r="PYK206" s="2"/>
      <c r="PYL206" s="2"/>
      <c r="PYM206" s="2"/>
      <c r="PYN206" s="2"/>
      <c r="PYO206" s="2"/>
      <c r="PYP206" s="2"/>
      <c r="PYQ206" s="2"/>
      <c r="PYR206" s="2"/>
      <c r="PYS206" s="2"/>
      <c r="PYT206" s="2"/>
      <c r="PYU206" s="2"/>
      <c r="PYV206" s="2"/>
      <c r="PYW206" s="2"/>
      <c r="PYX206" s="2"/>
      <c r="PYY206" s="2"/>
      <c r="PYZ206" s="2"/>
      <c r="PZA206" s="2"/>
      <c r="PZB206" s="2"/>
      <c r="PZC206" s="2"/>
      <c r="PZD206" s="2"/>
      <c r="PZE206" s="2"/>
      <c r="PZF206" s="2"/>
      <c r="PZG206" s="2"/>
      <c r="PZH206" s="2"/>
      <c r="PZI206" s="2"/>
      <c r="PZJ206" s="2"/>
      <c r="PZK206" s="2"/>
      <c r="PZL206" s="2"/>
      <c r="PZM206" s="2"/>
      <c r="PZN206" s="2"/>
      <c r="PZO206" s="2"/>
      <c r="PZP206" s="2"/>
      <c r="PZQ206" s="2"/>
      <c r="PZR206" s="2"/>
      <c r="PZS206" s="2"/>
      <c r="PZT206" s="2"/>
      <c r="PZU206" s="2"/>
      <c r="PZV206" s="2"/>
      <c r="PZW206" s="2"/>
      <c r="PZX206" s="2"/>
      <c r="PZY206" s="2"/>
      <c r="PZZ206" s="2"/>
      <c r="QAA206" s="2"/>
      <c r="QAB206" s="2"/>
      <c r="QAC206" s="2"/>
      <c r="QAD206" s="2"/>
      <c r="QAE206" s="2"/>
      <c r="QAF206" s="2"/>
      <c r="QAG206" s="2"/>
      <c r="QAH206" s="2"/>
      <c r="QAI206" s="2"/>
      <c r="QAJ206" s="2"/>
      <c r="QAK206" s="2"/>
      <c r="QAL206" s="2"/>
      <c r="QAM206" s="2"/>
      <c r="QAN206" s="2"/>
      <c r="QAO206" s="2"/>
      <c r="QAP206" s="2"/>
      <c r="QAQ206" s="2"/>
      <c r="QAR206" s="2"/>
      <c r="QAS206" s="2"/>
      <c r="QAT206" s="2"/>
      <c r="QAU206" s="2"/>
      <c r="QAV206" s="2"/>
      <c r="QAW206" s="2"/>
      <c r="QAX206" s="2"/>
      <c r="QAY206" s="2"/>
      <c r="QAZ206" s="2"/>
      <c r="QBA206" s="2"/>
      <c r="QBB206" s="2"/>
      <c r="QBC206" s="2"/>
      <c r="QBD206" s="2"/>
      <c r="QBE206" s="2"/>
      <c r="QBF206" s="2"/>
      <c r="QBG206" s="2"/>
      <c r="QBH206" s="2"/>
      <c r="QBI206" s="2"/>
      <c r="QBJ206" s="2"/>
      <c r="QBK206" s="2"/>
      <c r="QBL206" s="2"/>
      <c r="QBM206" s="2"/>
      <c r="QBN206" s="2"/>
      <c r="QBO206" s="2"/>
      <c r="QBP206" s="2"/>
      <c r="QBQ206" s="2"/>
      <c r="QBR206" s="2"/>
      <c r="QBS206" s="2"/>
      <c r="QBT206" s="2"/>
      <c r="QBU206" s="2"/>
      <c r="QBV206" s="2"/>
      <c r="QBW206" s="2"/>
      <c r="QBX206" s="2"/>
      <c r="QBY206" s="2"/>
      <c r="QBZ206" s="2"/>
      <c r="QCA206" s="2"/>
      <c r="QCB206" s="2"/>
      <c r="QCC206" s="2"/>
      <c r="QCD206" s="2"/>
      <c r="QCE206" s="2"/>
      <c r="QCF206" s="2"/>
      <c r="QCG206" s="2"/>
      <c r="QCH206" s="2"/>
      <c r="QCI206" s="2"/>
      <c r="QCJ206" s="2"/>
      <c r="QCK206" s="2"/>
      <c r="QCL206" s="2"/>
      <c r="QCM206" s="2"/>
      <c r="QCN206" s="2"/>
      <c r="QCO206" s="2"/>
      <c r="QCP206" s="2"/>
      <c r="QCQ206" s="2"/>
      <c r="QCR206" s="2"/>
      <c r="QCS206" s="2"/>
      <c r="QCT206" s="2"/>
      <c r="QCU206" s="2"/>
      <c r="QCV206" s="2"/>
      <c r="QCW206" s="2"/>
      <c r="QCX206" s="2"/>
      <c r="QCY206" s="2"/>
      <c r="QCZ206" s="2"/>
      <c r="QDA206" s="2"/>
      <c r="QDB206" s="2"/>
      <c r="QDC206" s="2"/>
      <c r="QDD206" s="2"/>
      <c r="QDE206" s="2"/>
      <c r="QDF206" s="2"/>
      <c r="QDG206" s="2"/>
      <c r="QDH206" s="2"/>
      <c r="QDI206" s="2"/>
      <c r="QDJ206" s="2"/>
      <c r="QDK206" s="2"/>
      <c r="QDL206" s="2"/>
      <c r="QDM206" s="2"/>
      <c r="QDN206" s="2"/>
      <c r="QDO206" s="2"/>
      <c r="QDP206" s="2"/>
      <c r="QDQ206" s="2"/>
      <c r="QDR206" s="2"/>
      <c r="QDS206" s="2"/>
      <c r="QDT206" s="2"/>
      <c r="QDU206" s="2"/>
      <c r="QDV206" s="2"/>
      <c r="QDW206" s="2"/>
      <c r="QDX206" s="2"/>
      <c r="QDY206" s="2"/>
      <c r="QDZ206" s="2"/>
      <c r="QEA206" s="2"/>
      <c r="QEB206" s="2"/>
      <c r="QEC206" s="2"/>
      <c r="QED206" s="2"/>
      <c r="QEE206" s="2"/>
      <c r="QEF206" s="2"/>
      <c r="QEG206" s="2"/>
      <c r="QEH206" s="2"/>
      <c r="QEI206" s="2"/>
      <c r="QEJ206" s="2"/>
      <c r="QEK206" s="2"/>
      <c r="QEL206" s="2"/>
      <c r="QEM206" s="2"/>
      <c r="QEN206" s="2"/>
      <c r="QEO206" s="2"/>
      <c r="QEP206" s="2"/>
      <c r="QEQ206" s="2"/>
      <c r="QER206" s="2"/>
      <c r="QES206" s="2"/>
      <c r="QET206" s="2"/>
      <c r="QEU206" s="2"/>
      <c r="QEV206" s="2"/>
      <c r="QEW206" s="2"/>
      <c r="QEX206" s="2"/>
      <c r="QEY206" s="2"/>
      <c r="QEZ206" s="2"/>
      <c r="QFA206" s="2"/>
      <c r="QFB206" s="2"/>
      <c r="QFC206" s="2"/>
      <c r="QFD206" s="2"/>
      <c r="QFE206" s="2"/>
      <c r="QFF206" s="2"/>
      <c r="QFG206" s="2"/>
      <c r="QFH206" s="2"/>
      <c r="QFI206" s="2"/>
      <c r="QFJ206" s="2"/>
      <c r="QFK206" s="2"/>
      <c r="QFL206" s="2"/>
      <c r="QFM206" s="2"/>
      <c r="QFN206" s="2"/>
      <c r="QFO206" s="2"/>
      <c r="QFP206" s="2"/>
      <c r="QFQ206" s="2"/>
      <c r="QFR206" s="2"/>
      <c r="QFS206" s="2"/>
      <c r="QFT206" s="2"/>
      <c r="QFU206" s="2"/>
      <c r="QFV206" s="2"/>
      <c r="QFW206" s="2"/>
      <c r="QFX206" s="2"/>
      <c r="QFY206" s="2"/>
      <c r="QFZ206" s="2"/>
      <c r="QGA206" s="2"/>
      <c r="QGB206" s="2"/>
      <c r="QGC206" s="2"/>
      <c r="QGD206" s="2"/>
      <c r="QGE206" s="2"/>
      <c r="QGF206" s="2"/>
      <c r="QGG206" s="2"/>
      <c r="QGH206" s="2"/>
      <c r="QGI206" s="2"/>
      <c r="QGJ206" s="2"/>
      <c r="QGK206" s="2"/>
      <c r="QGL206" s="2"/>
      <c r="QGM206" s="2"/>
      <c r="QGN206" s="2"/>
      <c r="QGO206" s="2"/>
      <c r="QGP206" s="2"/>
      <c r="QGQ206" s="2"/>
      <c r="QGR206" s="2"/>
      <c r="QGS206" s="2"/>
      <c r="QGT206" s="2"/>
      <c r="QGU206" s="2"/>
      <c r="QGV206" s="2"/>
      <c r="QGW206" s="2"/>
      <c r="QGX206" s="2"/>
      <c r="QGY206" s="2"/>
      <c r="QGZ206" s="2"/>
      <c r="QHA206" s="2"/>
      <c r="QHB206" s="2"/>
      <c r="QHC206" s="2"/>
      <c r="QHD206" s="2"/>
      <c r="QHE206" s="2"/>
      <c r="QHF206" s="2"/>
      <c r="QHG206" s="2"/>
      <c r="QHH206" s="2"/>
      <c r="QHI206" s="2"/>
      <c r="QHJ206" s="2"/>
      <c r="QHK206" s="2"/>
      <c r="QHL206" s="2"/>
      <c r="QHM206" s="2"/>
      <c r="QHN206" s="2"/>
      <c r="QHO206" s="2"/>
      <c r="QHP206" s="2"/>
      <c r="QHQ206" s="2"/>
      <c r="QHR206" s="2"/>
      <c r="QHS206" s="2"/>
      <c r="QHT206" s="2"/>
      <c r="QHU206" s="2"/>
      <c r="QHV206" s="2"/>
      <c r="QHW206" s="2"/>
      <c r="QHX206" s="2"/>
      <c r="QHY206" s="2"/>
      <c r="QHZ206" s="2"/>
      <c r="QIA206" s="2"/>
      <c r="QIB206" s="2"/>
      <c r="QIC206" s="2"/>
      <c r="QID206" s="2"/>
      <c r="QIE206" s="2"/>
      <c r="QIF206" s="2"/>
      <c r="QIG206" s="2"/>
      <c r="QIH206" s="2"/>
      <c r="QII206" s="2"/>
      <c r="QIJ206" s="2"/>
      <c r="QIK206" s="2"/>
      <c r="QIL206" s="2"/>
      <c r="QIM206" s="2"/>
      <c r="QIN206" s="2"/>
      <c r="QIO206" s="2"/>
      <c r="QIP206" s="2"/>
      <c r="QIQ206" s="2"/>
      <c r="QIR206" s="2"/>
      <c r="QIS206" s="2"/>
      <c r="QIT206" s="2"/>
      <c r="QIU206" s="2"/>
      <c r="QIV206" s="2"/>
      <c r="QIW206" s="2"/>
      <c r="QIX206" s="2"/>
      <c r="QIY206" s="2"/>
      <c r="QIZ206" s="2"/>
      <c r="QJA206" s="2"/>
      <c r="QJB206" s="2"/>
      <c r="QJC206" s="2"/>
      <c r="QJD206" s="2"/>
      <c r="QJE206" s="2"/>
      <c r="QJF206" s="2"/>
      <c r="QJG206" s="2"/>
      <c r="QJH206" s="2"/>
      <c r="QJI206" s="2"/>
      <c r="QJJ206" s="2"/>
      <c r="QJK206" s="2"/>
      <c r="QJL206" s="2"/>
      <c r="QJM206" s="2"/>
      <c r="QJN206" s="2"/>
      <c r="QJO206" s="2"/>
      <c r="QJP206" s="2"/>
      <c r="QJQ206" s="2"/>
      <c r="QJR206" s="2"/>
      <c r="QJS206" s="2"/>
      <c r="QJT206" s="2"/>
      <c r="QJU206" s="2"/>
      <c r="QJV206" s="2"/>
      <c r="QJW206" s="2"/>
      <c r="QJX206" s="2"/>
      <c r="QJY206" s="2"/>
      <c r="QJZ206" s="2"/>
      <c r="QKA206" s="2"/>
      <c r="QKB206" s="2"/>
      <c r="QKC206" s="2"/>
      <c r="QKD206" s="2"/>
      <c r="QKE206" s="2"/>
      <c r="QKF206" s="2"/>
      <c r="QKG206" s="2"/>
      <c r="QKH206" s="2"/>
      <c r="QKI206" s="2"/>
      <c r="QKJ206" s="2"/>
      <c r="QKK206" s="2"/>
      <c r="QKL206" s="2"/>
      <c r="QKM206" s="2"/>
      <c r="QKN206" s="2"/>
      <c r="QKO206" s="2"/>
      <c r="QKP206" s="2"/>
      <c r="QKQ206" s="2"/>
      <c r="QKR206" s="2"/>
      <c r="QKS206" s="2"/>
      <c r="QKT206" s="2"/>
      <c r="QKU206" s="2"/>
      <c r="QKV206" s="2"/>
      <c r="QKW206" s="2"/>
      <c r="QKX206" s="2"/>
      <c r="QKY206" s="2"/>
      <c r="QKZ206" s="2"/>
      <c r="QLA206" s="2"/>
      <c r="QLB206" s="2"/>
      <c r="QLC206" s="2"/>
      <c r="QLD206" s="2"/>
      <c r="QLE206" s="2"/>
      <c r="QLF206" s="2"/>
      <c r="QLG206" s="2"/>
      <c r="QLH206" s="2"/>
      <c r="QLI206" s="2"/>
      <c r="QLJ206" s="2"/>
      <c r="QLK206" s="2"/>
      <c r="QLL206" s="2"/>
      <c r="QLM206" s="2"/>
      <c r="QLN206" s="2"/>
      <c r="QLO206" s="2"/>
      <c r="QLP206" s="2"/>
      <c r="QLQ206" s="2"/>
      <c r="QLR206" s="2"/>
      <c r="QLS206" s="2"/>
      <c r="QLT206" s="2"/>
      <c r="QLU206" s="2"/>
      <c r="QLV206" s="2"/>
      <c r="QLW206" s="2"/>
      <c r="QLX206" s="2"/>
      <c r="QLY206" s="2"/>
      <c r="QLZ206" s="2"/>
      <c r="QMA206" s="2"/>
      <c r="QMB206" s="2"/>
      <c r="QMC206" s="2"/>
      <c r="QMD206" s="2"/>
      <c r="QME206" s="2"/>
      <c r="QMF206" s="2"/>
      <c r="QMG206" s="2"/>
      <c r="QMH206" s="2"/>
      <c r="QMI206" s="2"/>
      <c r="QMJ206" s="2"/>
      <c r="QMK206" s="2"/>
      <c r="QML206" s="2"/>
      <c r="QMM206" s="2"/>
      <c r="QMN206" s="2"/>
      <c r="QMO206" s="2"/>
      <c r="QMP206" s="2"/>
      <c r="QMQ206" s="2"/>
      <c r="QMR206" s="2"/>
      <c r="QMS206" s="2"/>
      <c r="QMT206" s="2"/>
      <c r="QMU206" s="2"/>
      <c r="QMV206" s="2"/>
      <c r="QMW206" s="2"/>
      <c r="QMX206" s="2"/>
      <c r="QMY206" s="2"/>
      <c r="QMZ206" s="2"/>
      <c r="QNA206" s="2"/>
      <c r="QNB206" s="2"/>
      <c r="QNC206" s="2"/>
      <c r="QND206" s="2"/>
      <c r="QNE206" s="2"/>
      <c r="QNF206" s="2"/>
      <c r="QNG206" s="2"/>
      <c r="QNH206" s="2"/>
      <c r="QNI206" s="2"/>
      <c r="QNJ206" s="2"/>
      <c r="QNK206" s="2"/>
      <c r="QNL206" s="2"/>
      <c r="QNM206" s="2"/>
      <c r="QNN206" s="2"/>
      <c r="QNO206" s="2"/>
      <c r="QNP206" s="2"/>
      <c r="QNQ206" s="2"/>
      <c r="QNR206" s="2"/>
      <c r="QNS206" s="2"/>
      <c r="QNT206" s="2"/>
      <c r="QNU206" s="2"/>
      <c r="QNV206" s="2"/>
      <c r="QNW206" s="2"/>
      <c r="QNX206" s="2"/>
      <c r="QNY206" s="2"/>
      <c r="QNZ206" s="2"/>
      <c r="QOA206" s="2"/>
      <c r="QOB206" s="2"/>
      <c r="QOC206" s="2"/>
      <c r="QOD206" s="2"/>
      <c r="QOE206" s="2"/>
      <c r="QOF206" s="2"/>
      <c r="QOG206" s="2"/>
      <c r="QOH206" s="2"/>
      <c r="QOI206" s="2"/>
      <c r="QOJ206" s="2"/>
      <c r="QOK206" s="2"/>
      <c r="QOL206" s="2"/>
      <c r="QOM206" s="2"/>
      <c r="QON206" s="2"/>
      <c r="QOO206" s="2"/>
      <c r="QOP206" s="2"/>
      <c r="QOQ206" s="2"/>
      <c r="QOR206" s="2"/>
      <c r="QOS206" s="2"/>
      <c r="QOT206" s="2"/>
      <c r="QOU206" s="2"/>
      <c r="QOV206" s="2"/>
      <c r="QOW206" s="2"/>
      <c r="QOX206" s="2"/>
      <c r="QOY206" s="2"/>
      <c r="QOZ206" s="2"/>
      <c r="QPA206" s="2"/>
      <c r="QPB206" s="2"/>
      <c r="QPC206" s="2"/>
      <c r="QPD206" s="2"/>
      <c r="QPE206" s="2"/>
      <c r="QPF206" s="2"/>
      <c r="QPG206" s="2"/>
      <c r="QPH206" s="2"/>
      <c r="QPI206" s="2"/>
      <c r="QPJ206" s="2"/>
      <c r="QPK206" s="2"/>
      <c r="QPL206" s="2"/>
      <c r="QPM206" s="2"/>
      <c r="QPN206" s="2"/>
      <c r="QPO206" s="2"/>
      <c r="QPP206" s="2"/>
      <c r="QPQ206" s="2"/>
      <c r="QPR206" s="2"/>
      <c r="QPS206" s="2"/>
      <c r="QPT206" s="2"/>
      <c r="QPU206" s="2"/>
      <c r="QPV206" s="2"/>
      <c r="QPW206" s="2"/>
      <c r="QPX206" s="2"/>
      <c r="QPY206" s="2"/>
      <c r="QPZ206" s="2"/>
      <c r="QQA206" s="2"/>
      <c r="QQB206" s="2"/>
      <c r="QQC206" s="2"/>
      <c r="QQD206" s="2"/>
      <c r="QQE206" s="2"/>
      <c r="QQF206" s="2"/>
      <c r="QQG206" s="2"/>
      <c r="QQH206" s="2"/>
      <c r="QQI206" s="2"/>
      <c r="QQJ206" s="2"/>
      <c r="QQK206" s="2"/>
      <c r="QQL206" s="2"/>
      <c r="QQM206" s="2"/>
      <c r="QQN206" s="2"/>
      <c r="QQO206" s="2"/>
      <c r="QQP206" s="2"/>
      <c r="QQQ206" s="2"/>
      <c r="QQR206" s="2"/>
      <c r="QQS206" s="2"/>
      <c r="QQT206" s="2"/>
      <c r="QQU206" s="2"/>
      <c r="QQV206" s="2"/>
      <c r="QQW206" s="2"/>
      <c r="QQX206" s="2"/>
      <c r="QQY206" s="2"/>
      <c r="QQZ206" s="2"/>
      <c r="QRA206" s="2"/>
      <c r="QRB206" s="2"/>
      <c r="QRC206" s="2"/>
      <c r="QRD206" s="2"/>
      <c r="QRE206" s="2"/>
      <c r="QRF206" s="2"/>
      <c r="QRG206" s="2"/>
      <c r="QRH206" s="2"/>
      <c r="QRI206" s="2"/>
      <c r="QRJ206" s="2"/>
      <c r="QRK206" s="2"/>
      <c r="QRL206" s="2"/>
      <c r="QRM206" s="2"/>
      <c r="QRN206" s="2"/>
      <c r="QRO206" s="2"/>
      <c r="QRP206" s="2"/>
      <c r="QRQ206" s="2"/>
      <c r="QRR206" s="2"/>
      <c r="QRS206" s="2"/>
      <c r="QRT206" s="2"/>
      <c r="QRU206" s="2"/>
      <c r="QRV206" s="2"/>
      <c r="QRW206" s="2"/>
      <c r="QRX206" s="2"/>
      <c r="QRY206" s="2"/>
      <c r="QRZ206" s="2"/>
      <c r="QSA206" s="2"/>
      <c r="QSB206" s="2"/>
      <c r="QSC206" s="2"/>
      <c r="QSD206" s="2"/>
      <c r="QSE206" s="2"/>
      <c r="QSF206" s="2"/>
      <c r="QSG206" s="2"/>
      <c r="QSH206" s="2"/>
      <c r="QSI206" s="2"/>
      <c r="QSJ206" s="2"/>
      <c r="QSK206" s="2"/>
      <c r="QSL206" s="2"/>
      <c r="QSM206" s="2"/>
      <c r="QSN206" s="2"/>
      <c r="QSO206" s="2"/>
      <c r="QSP206" s="2"/>
      <c r="QSQ206" s="2"/>
      <c r="QSR206" s="2"/>
      <c r="QSS206" s="2"/>
      <c r="QST206" s="2"/>
      <c r="QSU206" s="2"/>
      <c r="QSV206" s="2"/>
      <c r="QSW206" s="2"/>
      <c r="QSX206" s="2"/>
      <c r="QSY206" s="2"/>
      <c r="QSZ206" s="2"/>
      <c r="QTA206" s="2"/>
      <c r="QTB206" s="2"/>
      <c r="QTC206" s="2"/>
      <c r="QTD206" s="2"/>
      <c r="QTE206" s="2"/>
      <c r="QTF206" s="2"/>
      <c r="QTG206" s="2"/>
      <c r="QTH206" s="2"/>
      <c r="QTI206" s="2"/>
      <c r="QTJ206" s="2"/>
      <c r="QTK206" s="2"/>
      <c r="QTL206" s="2"/>
      <c r="QTM206" s="2"/>
      <c r="QTN206" s="2"/>
      <c r="QTO206" s="2"/>
      <c r="QTP206" s="2"/>
      <c r="QTQ206" s="2"/>
      <c r="QTR206" s="2"/>
      <c r="QTS206" s="2"/>
      <c r="QTT206" s="2"/>
      <c r="QTU206" s="2"/>
      <c r="QTV206" s="2"/>
      <c r="QTW206" s="2"/>
      <c r="QTX206" s="2"/>
      <c r="QTY206" s="2"/>
      <c r="QTZ206" s="2"/>
      <c r="QUA206" s="2"/>
      <c r="QUB206" s="2"/>
      <c r="QUC206" s="2"/>
      <c r="QUD206" s="2"/>
      <c r="QUE206" s="2"/>
      <c r="QUF206" s="2"/>
      <c r="QUG206" s="2"/>
      <c r="QUH206" s="2"/>
      <c r="QUI206" s="2"/>
      <c r="QUJ206" s="2"/>
      <c r="QUK206" s="2"/>
      <c r="QUL206" s="2"/>
      <c r="QUM206" s="2"/>
      <c r="QUN206" s="2"/>
      <c r="QUO206" s="2"/>
      <c r="QUP206" s="2"/>
      <c r="QUQ206" s="2"/>
      <c r="QUR206" s="2"/>
      <c r="QUS206" s="2"/>
      <c r="QUT206" s="2"/>
      <c r="QUU206" s="2"/>
      <c r="QUV206" s="2"/>
      <c r="QUW206" s="2"/>
      <c r="QUX206" s="2"/>
      <c r="QUY206" s="2"/>
      <c r="QUZ206" s="2"/>
      <c r="QVA206" s="2"/>
      <c r="QVB206" s="2"/>
      <c r="QVC206" s="2"/>
      <c r="QVD206" s="2"/>
      <c r="QVE206" s="2"/>
      <c r="QVF206" s="2"/>
      <c r="QVG206" s="2"/>
      <c r="QVH206" s="2"/>
      <c r="QVI206" s="2"/>
      <c r="QVJ206" s="2"/>
      <c r="QVK206" s="2"/>
      <c r="QVL206" s="2"/>
      <c r="QVM206" s="2"/>
      <c r="QVN206" s="2"/>
      <c r="QVO206" s="2"/>
      <c r="QVP206" s="2"/>
      <c r="QVQ206" s="2"/>
      <c r="QVR206" s="2"/>
      <c r="QVS206" s="2"/>
      <c r="QVT206" s="2"/>
      <c r="QVU206" s="2"/>
      <c r="QVV206" s="2"/>
      <c r="QVW206" s="2"/>
      <c r="QVX206" s="2"/>
      <c r="QVY206" s="2"/>
      <c r="QVZ206" s="2"/>
      <c r="QWA206" s="2"/>
      <c r="QWB206" s="2"/>
      <c r="QWC206" s="2"/>
      <c r="QWD206" s="2"/>
      <c r="QWE206" s="2"/>
      <c r="QWF206" s="2"/>
      <c r="QWG206" s="2"/>
      <c r="QWH206" s="2"/>
      <c r="QWI206" s="2"/>
      <c r="QWJ206" s="2"/>
      <c r="QWK206" s="2"/>
      <c r="QWL206" s="2"/>
      <c r="QWM206" s="2"/>
      <c r="QWN206" s="2"/>
      <c r="QWO206" s="2"/>
      <c r="QWP206" s="2"/>
      <c r="QWQ206" s="2"/>
      <c r="QWR206" s="2"/>
      <c r="QWS206" s="2"/>
      <c r="QWT206" s="2"/>
      <c r="QWU206" s="2"/>
      <c r="QWV206" s="2"/>
      <c r="QWW206" s="2"/>
      <c r="QWX206" s="2"/>
      <c r="QWY206" s="2"/>
      <c r="QWZ206" s="2"/>
      <c r="QXA206" s="2"/>
      <c r="QXB206" s="2"/>
      <c r="QXC206" s="2"/>
      <c r="QXD206" s="2"/>
      <c r="QXE206" s="2"/>
      <c r="QXF206" s="2"/>
      <c r="QXG206" s="2"/>
      <c r="QXH206" s="2"/>
      <c r="QXI206" s="2"/>
      <c r="QXJ206" s="2"/>
      <c r="QXK206" s="2"/>
      <c r="QXL206" s="2"/>
      <c r="QXM206" s="2"/>
      <c r="QXN206" s="2"/>
      <c r="QXO206" s="2"/>
      <c r="QXP206" s="2"/>
      <c r="QXQ206" s="2"/>
      <c r="QXR206" s="2"/>
      <c r="QXS206" s="2"/>
      <c r="QXT206" s="2"/>
      <c r="QXU206" s="2"/>
      <c r="QXV206" s="2"/>
      <c r="QXW206" s="2"/>
      <c r="QXX206" s="2"/>
      <c r="QXY206" s="2"/>
      <c r="QXZ206" s="2"/>
      <c r="QYA206" s="2"/>
      <c r="QYB206" s="2"/>
      <c r="QYC206" s="2"/>
      <c r="QYD206" s="2"/>
      <c r="QYE206" s="2"/>
      <c r="QYF206" s="2"/>
      <c r="QYG206" s="2"/>
      <c r="QYH206" s="2"/>
      <c r="QYI206" s="2"/>
      <c r="QYJ206" s="2"/>
      <c r="QYK206" s="2"/>
      <c r="QYL206" s="2"/>
      <c r="QYM206" s="2"/>
      <c r="QYN206" s="2"/>
      <c r="QYO206" s="2"/>
      <c r="QYP206" s="2"/>
      <c r="QYQ206" s="2"/>
      <c r="QYR206" s="2"/>
      <c r="QYS206" s="2"/>
      <c r="QYT206" s="2"/>
      <c r="QYU206" s="2"/>
      <c r="QYV206" s="2"/>
      <c r="QYW206" s="2"/>
      <c r="QYX206" s="2"/>
      <c r="QYY206" s="2"/>
      <c r="QYZ206" s="2"/>
      <c r="QZA206" s="2"/>
      <c r="QZB206" s="2"/>
      <c r="QZC206" s="2"/>
      <c r="QZD206" s="2"/>
      <c r="QZE206" s="2"/>
      <c r="QZF206" s="2"/>
      <c r="QZG206" s="2"/>
      <c r="QZH206" s="2"/>
      <c r="QZI206" s="2"/>
      <c r="QZJ206" s="2"/>
      <c r="QZK206" s="2"/>
      <c r="QZL206" s="2"/>
      <c r="QZM206" s="2"/>
      <c r="QZN206" s="2"/>
      <c r="QZO206" s="2"/>
      <c r="QZP206" s="2"/>
      <c r="QZQ206" s="2"/>
      <c r="QZR206" s="2"/>
      <c r="QZS206" s="2"/>
      <c r="QZT206" s="2"/>
      <c r="QZU206" s="2"/>
      <c r="QZV206" s="2"/>
      <c r="QZW206" s="2"/>
      <c r="QZX206" s="2"/>
      <c r="QZY206" s="2"/>
      <c r="QZZ206" s="2"/>
      <c r="RAA206" s="2"/>
      <c r="RAB206" s="2"/>
      <c r="RAC206" s="2"/>
      <c r="RAD206" s="2"/>
      <c r="RAE206" s="2"/>
      <c r="RAF206" s="2"/>
      <c r="RAG206" s="2"/>
      <c r="RAH206" s="2"/>
      <c r="RAI206" s="2"/>
      <c r="RAJ206" s="2"/>
      <c r="RAK206" s="2"/>
      <c r="RAL206" s="2"/>
      <c r="RAM206" s="2"/>
      <c r="RAN206" s="2"/>
      <c r="RAO206" s="2"/>
      <c r="RAP206" s="2"/>
      <c r="RAQ206" s="2"/>
      <c r="RAR206" s="2"/>
      <c r="RAS206" s="2"/>
      <c r="RAT206" s="2"/>
      <c r="RAU206" s="2"/>
      <c r="RAV206" s="2"/>
      <c r="RAW206" s="2"/>
      <c r="RAX206" s="2"/>
      <c r="RAY206" s="2"/>
      <c r="RAZ206" s="2"/>
      <c r="RBA206" s="2"/>
      <c r="RBB206" s="2"/>
      <c r="RBC206" s="2"/>
      <c r="RBD206" s="2"/>
      <c r="RBE206" s="2"/>
      <c r="RBF206" s="2"/>
      <c r="RBG206" s="2"/>
      <c r="RBH206" s="2"/>
      <c r="RBI206" s="2"/>
      <c r="RBJ206" s="2"/>
      <c r="RBK206" s="2"/>
      <c r="RBL206" s="2"/>
      <c r="RBM206" s="2"/>
      <c r="RBN206" s="2"/>
      <c r="RBO206" s="2"/>
      <c r="RBP206" s="2"/>
      <c r="RBQ206" s="2"/>
      <c r="RBR206" s="2"/>
      <c r="RBS206" s="2"/>
      <c r="RBT206" s="2"/>
      <c r="RBU206" s="2"/>
      <c r="RBV206" s="2"/>
      <c r="RBW206" s="2"/>
      <c r="RBX206" s="2"/>
      <c r="RBY206" s="2"/>
      <c r="RBZ206" s="2"/>
      <c r="RCA206" s="2"/>
      <c r="RCB206" s="2"/>
      <c r="RCC206" s="2"/>
      <c r="RCD206" s="2"/>
      <c r="RCE206" s="2"/>
      <c r="RCF206" s="2"/>
      <c r="RCG206" s="2"/>
      <c r="RCH206" s="2"/>
      <c r="RCI206" s="2"/>
      <c r="RCJ206" s="2"/>
      <c r="RCK206" s="2"/>
      <c r="RCL206" s="2"/>
      <c r="RCM206" s="2"/>
      <c r="RCN206" s="2"/>
      <c r="RCO206" s="2"/>
      <c r="RCP206" s="2"/>
      <c r="RCQ206" s="2"/>
      <c r="RCR206" s="2"/>
      <c r="RCS206" s="2"/>
      <c r="RCT206" s="2"/>
      <c r="RCU206" s="2"/>
      <c r="RCV206" s="2"/>
      <c r="RCW206" s="2"/>
      <c r="RCX206" s="2"/>
      <c r="RCY206" s="2"/>
      <c r="RCZ206" s="2"/>
      <c r="RDA206" s="2"/>
      <c r="RDB206" s="2"/>
      <c r="RDC206" s="2"/>
      <c r="RDD206" s="2"/>
      <c r="RDE206" s="2"/>
      <c r="RDF206" s="2"/>
      <c r="RDG206" s="2"/>
      <c r="RDH206" s="2"/>
      <c r="RDI206" s="2"/>
      <c r="RDJ206" s="2"/>
      <c r="RDK206" s="2"/>
      <c r="RDL206" s="2"/>
      <c r="RDM206" s="2"/>
      <c r="RDN206" s="2"/>
      <c r="RDO206" s="2"/>
      <c r="RDP206" s="2"/>
      <c r="RDQ206" s="2"/>
      <c r="RDR206" s="2"/>
      <c r="RDS206" s="2"/>
      <c r="RDT206" s="2"/>
      <c r="RDU206" s="2"/>
      <c r="RDV206" s="2"/>
      <c r="RDW206" s="2"/>
      <c r="RDX206" s="2"/>
      <c r="RDY206" s="2"/>
      <c r="RDZ206" s="2"/>
      <c r="REA206" s="2"/>
      <c r="REB206" s="2"/>
      <c r="REC206" s="2"/>
      <c r="RED206" s="2"/>
      <c r="REE206" s="2"/>
      <c r="REF206" s="2"/>
      <c r="REG206" s="2"/>
      <c r="REH206" s="2"/>
      <c r="REI206" s="2"/>
      <c r="REJ206" s="2"/>
      <c r="REK206" s="2"/>
      <c r="REL206" s="2"/>
      <c r="REM206" s="2"/>
      <c r="REN206" s="2"/>
      <c r="REO206" s="2"/>
      <c r="REP206" s="2"/>
      <c r="REQ206" s="2"/>
      <c r="RER206" s="2"/>
      <c r="RES206" s="2"/>
      <c r="RET206" s="2"/>
      <c r="REU206" s="2"/>
      <c r="REV206" s="2"/>
      <c r="REW206" s="2"/>
      <c r="REX206" s="2"/>
      <c r="REY206" s="2"/>
      <c r="REZ206" s="2"/>
      <c r="RFA206" s="2"/>
      <c r="RFB206" s="2"/>
      <c r="RFC206" s="2"/>
      <c r="RFD206" s="2"/>
      <c r="RFE206" s="2"/>
      <c r="RFF206" s="2"/>
      <c r="RFG206" s="2"/>
      <c r="RFH206" s="2"/>
      <c r="RFI206" s="2"/>
      <c r="RFJ206" s="2"/>
      <c r="RFK206" s="2"/>
      <c r="RFL206" s="2"/>
      <c r="RFM206" s="2"/>
      <c r="RFN206" s="2"/>
      <c r="RFO206" s="2"/>
      <c r="RFP206" s="2"/>
      <c r="RFQ206" s="2"/>
      <c r="RFR206" s="2"/>
      <c r="RFS206" s="2"/>
      <c r="RFT206" s="2"/>
      <c r="RFU206" s="2"/>
      <c r="RFV206" s="2"/>
      <c r="RFW206" s="2"/>
      <c r="RFX206" s="2"/>
      <c r="RFY206" s="2"/>
      <c r="RFZ206" s="2"/>
      <c r="RGA206" s="2"/>
      <c r="RGB206" s="2"/>
      <c r="RGC206" s="2"/>
      <c r="RGD206" s="2"/>
      <c r="RGE206" s="2"/>
      <c r="RGF206" s="2"/>
      <c r="RGG206" s="2"/>
      <c r="RGH206" s="2"/>
      <c r="RGI206" s="2"/>
      <c r="RGJ206" s="2"/>
      <c r="RGK206" s="2"/>
      <c r="RGL206" s="2"/>
      <c r="RGM206" s="2"/>
      <c r="RGN206" s="2"/>
      <c r="RGO206" s="2"/>
      <c r="RGP206" s="2"/>
      <c r="RGQ206" s="2"/>
      <c r="RGR206" s="2"/>
      <c r="RGS206" s="2"/>
      <c r="RGT206" s="2"/>
      <c r="RGU206" s="2"/>
      <c r="RGV206" s="2"/>
      <c r="RGW206" s="2"/>
      <c r="RGX206" s="2"/>
      <c r="RGY206" s="2"/>
      <c r="RGZ206" s="2"/>
      <c r="RHA206" s="2"/>
      <c r="RHB206" s="2"/>
      <c r="RHC206" s="2"/>
      <c r="RHD206" s="2"/>
      <c r="RHE206" s="2"/>
      <c r="RHF206" s="2"/>
      <c r="RHG206" s="2"/>
      <c r="RHH206" s="2"/>
      <c r="RHI206" s="2"/>
      <c r="RHJ206" s="2"/>
      <c r="RHK206" s="2"/>
      <c r="RHL206" s="2"/>
      <c r="RHM206" s="2"/>
      <c r="RHN206" s="2"/>
      <c r="RHO206" s="2"/>
      <c r="RHP206" s="2"/>
      <c r="RHQ206" s="2"/>
      <c r="RHR206" s="2"/>
      <c r="RHS206" s="2"/>
      <c r="RHT206" s="2"/>
      <c r="RHU206" s="2"/>
      <c r="RHV206" s="2"/>
      <c r="RHW206" s="2"/>
      <c r="RHX206" s="2"/>
      <c r="RHY206" s="2"/>
      <c r="RHZ206" s="2"/>
      <c r="RIA206" s="2"/>
      <c r="RIB206" s="2"/>
      <c r="RIC206" s="2"/>
      <c r="RID206" s="2"/>
      <c r="RIE206" s="2"/>
      <c r="RIF206" s="2"/>
      <c r="RIG206" s="2"/>
      <c r="RIH206" s="2"/>
      <c r="RII206" s="2"/>
      <c r="RIJ206" s="2"/>
      <c r="RIK206" s="2"/>
      <c r="RIL206" s="2"/>
      <c r="RIM206" s="2"/>
      <c r="RIN206" s="2"/>
      <c r="RIO206" s="2"/>
      <c r="RIP206" s="2"/>
      <c r="RIQ206" s="2"/>
      <c r="RIR206" s="2"/>
      <c r="RIS206" s="2"/>
      <c r="RIT206" s="2"/>
      <c r="RIU206" s="2"/>
      <c r="RIV206" s="2"/>
      <c r="RIW206" s="2"/>
      <c r="RIX206" s="2"/>
      <c r="RIY206" s="2"/>
      <c r="RIZ206" s="2"/>
      <c r="RJA206" s="2"/>
      <c r="RJB206" s="2"/>
      <c r="RJC206" s="2"/>
      <c r="RJD206" s="2"/>
      <c r="RJE206" s="2"/>
      <c r="RJF206" s="2"/>
      <c r="RJG206" s="2"/>
      <c r="RJH206" s="2"/>
      <c r="RJI206" s="2"/>
      <c r="RJJ206" s="2"/>
      <c r="RJK206" s="2"/>
      <c r="RJL206" s="2"/>
      <c r="RJM206" s="2"/>
      <c r="RJN206" s="2"/>
      <c r="RJO206" s="2"/>
      <c r="RJP206" s="2"/>
      <c r="RJQ206" s="2"/>
      <c r="RJR206" s="2"/>
      <c r="RJS206" s="2"/>
      <c r="RJT206" s="2"/>
      <c r="RJU206" s="2"/>
      <c r="RJV206" s="2"/>
      <c r="RJW206" s="2"/>
      <c r="RJX206" s="2"/>
      <c r="RJY206" s="2"/>
      <c r="RJZ206" s="2"/>
      <c r="RKA206" s="2"/>
      <c r="RKB206" s="2"/>
      <c r="RKC206" s="2"/>
      <c r="RKD206" s="2"/>
      <c r="RKE206" s="2"/>
      <c r="RKF206" s="2"/>
      <c r="RKG206" s="2"/>
      <c r="RKH206" s="2"/>
      <c r="RKI206" s="2"/>
      <c r="RKJ206" s="2"/>
      <c r="RKK206" s="2"/>
      <c r="RKL206" s="2"/>
      <c r="RKM206" s="2"/>
      <c r="RKN206" s="2"/>
      <c r="RKO206" s="2"/>
      <c r="RKP206" s="2"/>
      <c r="RKQ206" s="2"/>
      <c r="RKR206" s="2"/>
      <c r="RKS206" s="2"/>
      <c r="RKT206" s="2"/>
      <c r="RKU206" s="2"/>
      <c r="RKV206" s="2"/>
      <c r="RKW206" s="2"/>
      <c r="RKX206" s="2"/>
      <c r="RKY206" s="2"/>
      <c r="RKZ206" s="2"/>
      <c r="RLA206" s="2"/>
      <c r="RLB206" s="2"/>
      <c r="RLC206" s="2"/>
      <c r="RLD206" s="2"/>
      <c r="RLE206" s="2"/>
      <c r="RLF206" s="2"/>
      <c r="RLG206" s="2"/>
      <c r="RLH206" s="2"/>
      <c r="RLI206" s="2"/>
      <c r="RLJ206" s="2"/>
      <c r="RLK206" s="2"/>
      <c r="RLL206" s="2"/>
      <c r="RLM206" s="2"/>
      <c r="RLN206" s="2"/>
      <c r="RLO206" s="2"/>
      <c r="RLP206" s="2"/>
      <c r="RLQ206" s="2"/>
      <c r="RLR206" s="2"/>
      <c r="RLS206" s="2"/>
      <c r="RLT206" s="2"/>
      <c r="RLU206" s="2"/>
      <c r="RLV206" s="2"/>
      <c r="RLW206" s="2"/>
      <c r="RLX206" s="2"/>
      <c r="RLY206" s="2"/>
      <c r="RLZ206" s="2"/>
      <c r="RMA206" s="2"/>
      <c r="RMB206" s="2"/>
      <c r="RMC206" s="2"/>
      <c r="RMD206" s="2"/>
      <c r="RME206" s="2"/>
      <c r="RMF206" s="2"/>
      <c r="RMG206" s="2"/>
      <c r="RMH206" s="2"/>
      <c r="RMI206" s="2"/>
      <c r="RMJ206" s="2"/>
      <c r="RMK206" s="2"/>
      <c r="RML206" s="2"/>
      <c r="RMM206" s="2"/>
      <c r="RMN206" s="2"/>
      <c r="RMO206" s="2"/>
      <c r="RMP206" s="2"/>
      <c r="RMQ206" s="2"/>
      <c r="RMR206" s="2"/>
      <c r="RMS206" s="2"/>
      <c r="RMT206" s="2"/>
      <c r="RMU206" s="2"/>
      <c r="RMV206" s="2"/>
      <c r="RMW206" s="2"/>
      <c r="RMX206" s="2"/>
      <c r="RMY206" s="2"/>
      <c r="RMZ206" s="2"/>
      <c r="RNA206" s="2"/>
      <c r="RNB206" s="2"/>
      <c r="RNC206" s="2"/>
      <c r="RND206" s="2"/>
      <c r="RNE206" s="2"/>
      <c r="RNF206" s="2"/>
      <c r="RNG206" s="2"/>
      <c r="RNH206" s="2"/>
      <c r="RNI206" s="2"/>
      <c r="RNJ206" s="2"/>
      <c r="RNK206" s="2"/>
      <c r="RNL206" s="2"/>
      <c r="RNM206" s="2"/>
      <c r="RNN206" s="2"/>
      <c r="RNO206" s="2"/>
      <c r="RNP206" s="2"/>
      <c r="RNQ206" s="2"/>
      <c r="RNR206" s="2"/>
      <c r="RNS206" s="2"/>
      <c r="RNT206" s="2"/>
      <c r="RNU206" s="2"/>
      <c r="RNV206" s="2"/>
      <c r="RNW206" s="2"/>
      <c r="RNX206" s="2"/>
      <c r="RNY206" s="2"/>
      <c r="RNZ206" s="2"/>
      <c r="ROA206" s="2"/>
      <c r="ROB206" s="2"/>
      <c r="ROC206" s="2"/>
      <c r="ROD206" s="2"/>
      <c r="ROE206" s="2"/>
      <c r="ROF206" s="2"/>
      <c r="ROG206" s="2"/>
      <c r="ROH206" s="2"/>
      <c r="ROI206" s="2"/>
      <c r="ROJ206" s="2"/>
      <c r="ROK206" s="2"/>
      <c r="ROL206" s="2"/>
      <c r="ROM206" s="2"/>
      <c r="RON206" s="2"/>
      <c r="ROO206" s="2"/>
      <c r="ROP206" s="2"/>
      <c r="ROQ206" s="2"/>
      <c r="ROR206" s="2"/>
      <c r="ROS206" s="2"/>
      <c r="ROT206" s="2"/>
      <c r="ROU206" s="2"/>
      <c r="ROV206" s="2"/>
      <c r="ROW206" s="2"/>
      <c r="ROX206" s="2"/>
      <c r="ROY206" s="2"/>
      <c r="ROZ206" s="2"/>
      <c r="RPA206" s="2"/>
      <c r="RPB206" s="2"/>
      <c r="RPC206" s="2"/>
      <c r="RPD206" s="2"/>
      <c r="RPE206" s="2"/>
      <c r="RPF206" s="2"/>
      <c r="RPG206" s="2"/>
      <c r="RPH206" s="2"/>
      <c r="RPI206" s="2"/>
      <c r="RPJ206" s="2"/>
      <c r="RPK206" s="2"/>
      <c r="RPL206" s="2"/>
      <c r="RPM206" s="2"/>
      <c r="RPN206" s="2"/>
      <c r="RPO206" s="2"/>
      <c r="RPP206" s="2"/>
      <c r="RPQ206" s="2"/>
      <c r="RPR206" s="2"/>
      <c r="RPS206" s="2"/>
      <c r="RPT206" s="2"/>
      <c r="RPU206" s="2"/>
      <c r="RPV206" s="2"/>
      <c r="RPW206" s="2"/>
      <c r="RPX206" s="2"/>
      <c r="RPY206" s="2"/>
      <c r="RPZ206" s="2"/>
      <c r="RQA206" s="2"/>
      <c r="RQB206" s="2"/>
      <c r="RQC206" s="2"/>
      <c r="RQD206" s="2"/>
      <c r="RQE206" s="2"/>
      <c r="RQF206" s="2"/>
      <c r="RQG206" s="2"/>
      <c r="RQH206" s="2"/>
      <c r="RQI206" s="2"/>
      <c r="RQJ206" s="2"/>
      <c r="RQK206" s="2"/>
      <c r="RQL206" s="2"/>
      <c r="RQM206" s="2"/>
      <c r="RQN206" s="2"/>
      <c r="RQO206" s="2"/>
      <c r="RQP206" s="2"/>
      <c r="RQQ206" s="2"/>
      <c r="RQR206" s="2"/>
      <c r="RQS206" s="2"/>
      <c r="RQT206" s="2"/>
      <c r="RQU206" s="2"/>
      <c r="RQV206" s="2"/>
      <c r="RQW206" s="2"/>
      <c r="RQX206" s="2"/>
      <c r="RQY206" s="2"/>
      <c r="RQZ206" s="2"/>
      <c r="RRA206" s="2"/>
      <c r="RRB206" s="2"/>
      <c r="RRC206" s="2"/>
      <c r="RRD206" s="2"/>
      <c r="RRE206" s="2"/>
      <c r="RRF206" s="2"/>
      <c r="RRG206" s="2"/>
      <c r="RRH206" s="2"/>
      <c r="RRI206" s="2"/>
      <c r="RRJ206" s="2"/>
      <c r="RRK206" s="2"/>
      <c r="RRL206" s="2"/>
      <c r="RRM206" s="2"/>
      <c r="RRN206" s="2"/>
      <c r="RRO206" s="2"/>
      <c r="RRP206" s="2"/>
      <c r="RRQ206" s="2"/>
      <c r="RRR206" s="2"/>
      <c r="RRS206" s="2"/>
      <c r="RRT206" s="2"/>
      <c r="RRU206" s="2"/>
      <c r="RRV206" s="2"/>
      <c r="RRW206" s="2"/>
      <c r="RRX206" s="2"/>
      <c r="RRY206" s="2"/>
      <c r="RRZ206" s="2"/>
      <c r="RSA206" s="2"/>
      <c r="RSB206" s="2"/>
      <c r="RSC206" s="2"/>
      <c r="RSD206" s="2"/>
      <c r="RSE206" s="2"/>
      <c r="RSF206" s="2"/>
      <c r="RSG206" s="2"/>
      <c r="RSH206" s="2"/>
      <c r="RSI206" s="2"/>
      <c r="RSJ206" s="2"/>
      <c r="RSK206" s="2"/>
      <c r="RSL206" s="2"/>
      <c r="RSM206" s="2"/>
      <c r="RSN206" s="2"/>
      <c r="RSO206" s="2"/>
      <c r="RSP206" s="2"/>
      <c r="RSQ206" s="2"/>
      <c r="RSR206" s="2"/>
      <c r="RSS206" s="2"/>
      <c r="RST206" s="2"/>
      <c r="RSU206" s="2"/>
      <c r="RSV206" s="2"/>
      <c r="RSW206" s="2"/>
      <c r="RSX206" s="2"/>
      <c r="RSY206" s="2"/>
      <c r="RSZ206" s="2"/>
      <c r="RTA206" s="2"/>
      <c r="RTB206" s="2"/>
      <c r="RTC206" s="2"/>
      <c r="RTD206" s="2"/>
      <c r="RTE206" s="2"/>
      <c r="RTF206" s="2"/>
      <c r="RTG206" s="2"/>
      <c r="RTH206" s="2"/>
      <c r="RTI206" s="2"/>
      <c r="RTJ206" s="2"/>
      <c r="RTK206" s="2"/>
      <c r="RTL206" s="2"/>
      <c r="RTM206" s="2"/>
      <c r="RTN206" s="2"/>
      <c r="RTO206" s="2"/>
      <c r="RTP206" s="2"/>
      <c r="RTQ206" s="2"/>
      <c r="RTR206" s="2"/>
      <c r="RTS206" s="2"/>
      <c r="RTT206" s="2"/>
      <c r="RTU206" s="2"/>
      <c r="RTV206" s="2"/>
      <c r="RTW206" s="2"/>
      <c r="RTX206" s="2"/>
      <c r="RTY206" s="2"/>
      <c r="RTZ206" s="2"/>
      <c r="RUA206" s="2"/>
      <c r="RUB206" s="2"/>
      <c r="RUC206" s="2"/>
      <c r="RUD206" s="2"/>
      <c r="RUE206" s="2"/>
      <c r="RUF206" s="2"/>
      <c r="RUG206" s="2"/>
      <c r="RUH206" s="2"/>
      <c r="RUI206" s="2"/>
      <c r="RUJ206" s="2"/>
      <c r="RUK206" s="2"/>
      <c r="RUL206" s="2"/>
      <c r="RUM206" s="2"/>
      <c r="RUN206" s="2"/>
      <c r="RUO206" s="2"/>
      <c r="RUP206" s="2"/>
      <c r="RUQ206" s="2"/>
      <c r="RUR206" s="2"/>
      <c r="RUS206" s="2"/>
      <c r="RUT206" s="2"/>
      <c r="RUU206" s="2"/>
      <c r="RUV206" s="2"/>
      <c r="RUW206" s="2"/>
      <c r="RUX206" s="2"/>
      <c r="RUY206" s="2"/>
      <c r="RUZ206" s="2"/>
      <c r="RVA206" s="2"/>
      <c r="RVB206" s="2"/>
      <c r="RVC206" s="2"/>
      <c r="RVD206" s="2"/>
      <c r="RVE206" s="2"/>
      <c r="RVF206" s="2"/>
      <c r="RVG206" s="2"/>
      <c r="RVH206" s="2"/>
      <c r="RVI206" s="2"/>
      <c r="RVJ206" s="2"/>
      <c r="RVK206" s="2"/>
      <c r="RVL206" s="2"/>
      <c r="RVM206" s="2"/>
      <c r="RVN206" s="2"/>
      <c r="RVO206" s="2"/>
      <c r="RVP206" s="2"/>
      <c r="RVQ206" s="2"/>
      <c r="RVR206" s="2"/>
      <c r="RVS206" s="2"/>
      <c r="RVT206" s="2"/>
      <c r="RVU206" s="2"/>
      <c r="RVV206" s="2"/>
      <c r="RVW206" s="2"/>
      <c r="RVX206" s="2"/>
      <c r="RVY206" s="2"/>
      <c r="RVZ206" s="2"/>
      <c r="RWA206" s="2"/>
      <c r="RWB206" s="2"/>
      <c r="RWC206" s="2"/>
      <c r="RWD206" s="2"/>
      <c r="RWE206" s="2"/>
      <c r="RWF206" s="2"/>
      <c r="RWG206" s="2"/>
      <c r="RWH206" s="2"/>
      <c r="RWI206" s="2"/>
      <c r="RWJ206" s="2"/>
      <c r="RWK206" s="2"/>
      <c r="RWL206" s="2"/>
      <c r="RWM206" s="2"/>
      <c r="RWN206" s="2"/>
      <c r="RWO206" s="2"/>
      <c r="RWP206" s="2"/>
      <c r="RWQ206" s="2"/>
      <c r="RWR206" s="2"/>
      <c r="RWS206" s="2"/>
      <c r="RWT206" s="2"/>
      <c r="RWU206" s="2"/>
      <c r="RWV206" s="2"/>
      <c r="RWW206" s="2"/>
      <c r="RWX206" s="2"/>
      <c r="RWY206" s="2"/>
      <c r="RWZ206" s="2"/>
      <c r="RXA206" s="2"/>
      <c r="RXB206" s="2"/>
      <c r="RXC206" s="2"/>
      <c r="RXD206" s="2"/>
      <c r="RXE206" s="2"/>
      <c r="RXF206" s="2"/>
      <c r="RXG206" s="2"/>
      <c r="RXH206" s="2"/>
      <c r="RXI206" s="2"/>
      <c r="RXJ206" s="2"/>
      <c r="RXK206" s="2"/>
      <c r="RXL206" s="2"/>
      <c r="RXM206" s="2"/>
      <c r="RXN206" s="2"/>
      <c r="RXO206" s="2"/>
      <c r="RXP206" s="2"/>
      <c r="RXQ206" s="2"/>
      <c r="RXR206" s="2"/>
      <c r="RXS206" s="2"/>
      <c r="RXT206" s="2"/>
      <c r="RXU206" s="2"/>
      <c r="RXV206" s="2"/>
      <c r="RXW206" s="2"/>
      <c r="RXX206" s="2"/>
      <c r="RXY206" s="2"/>
      <c r="RXZ206" s="2"/>
      <c r="RYA206" s="2"/>
      <c r="RYB206" s="2"/>
      <c r="RYC206" s="2"/>
      <c r="RYD206" s="2"/>
      <c r="RYE206" s="2"/>
      <c r="RYF206" s="2"/>
      <c r="RYG206" s="2"/>
      <c r="RYH206" s="2"/>
      <c r="RYI206" s="2"/>
      <c r="RYJ206" s="2"/>
      <c r="RYK206" s="2"/>
      <c r="RYL206" s="2"/>
      <c r="RYM206" s="2"/>
      <c r="RYN206" s="2"/>
      <c r="RYO206" s="2"/>
      <c r="RYP206" s="2"/>
      <c r="RYQ206" s="2"/>
      <c r="RYR206" s="2"/>
      <c r="RYS206" s="2"/>
      <c r="RYT206" s="2"/>
      <c r="RYU206" s="2"/>
      <c r="RYV206" s="2"/>
      <c r="RYW206" s="2"/>
      <c r="RYX206" s="2"/>
      <c r="RYY206" s="2"/>
      <c r="RYZ206" s="2"/>
      <c r="RZA206" s="2"/>
      <c r="RZB206" s="2"/>
      <c r="RZC206" s="2"/>
      <c r="RZD206" s="2"/>
      <c r="RZE206" s="2"/>
      <c r="RZF206" s="2"/>
      <c r="RZG206" s="2"/>
      <c r="RZH206" s="2"/>
      <c r="RZI206" s="2"/>
      <c r="RZJ206" s="2"/>
      <c r="RZK206" s="2"/>
      <c r="RZL206" s="2"/>
      <c r="RZM206" s="2"/>
      <c r="RZN206" s="2"/>
      <c r="RZO206" s="2"/>
      <c r="RZP206" s="2"/>
      <c r="RZQ206" s="2"/>
      <c r="RZR206" s="2"/>
      <c r="RZS206" s="2"/>
      <c r="RZT206" s="2"/>
      <c r="RZU206" s="2"/>
      <c r="RZV206" s="2"/>
      <c r="RZW206" s="2"/>
      <c r="RZX206" s="2"/>
      <c r="RZY206" s="2"/>
      <c r="RZZ206" s="2"/>
      <c r="SAA206" s="2"/>
      <c r="SAB206" s="2"/>
      <c r="SAC206" s="2"/>
      <c r="SAD206" s="2"/>
      <c r="SAE206" s="2"/>
      <c r="SAF206" s="2"/>
      <c r="SAG206" s="2"/>
      <c r="SAH206" s="2"/>
      <c r="SAI206" s="2"/>
      <c r="SAJ206" s="2"/>
      <c r="SAK206" s="2"/>
      <c r="SAL206" s="2"/>
      <c r="SAM206" s="2"/>
      <c r="SAN206" s="2"/>
      <c r="SAO206" s="2"/>
      <c r="SAP206" s="2"/>
      <c r="SAQ206" s="2"/>
      <c r="SAR206" s="2"/>
      <c r="SAS206" s="2"/>
      <c r="SAT206" s="2"/>
      <c r="SAU206" s="2"/>
      <c r="SAV206" s="2"/>
      <c r="SAW206" s="2"/>
      <c r="SAX206" s="2"/>
      <c r="SAY206" s="2"/>
      <c r="SAZ206" s="2"/>
      <c r="SBA206" s="2"/>
      <c r="SBB206" s="2"/>
      <c r="SBC206" s="2"/>
      <c r="SBD206" s="2"/>
      <c r="SBE206" s="2"/>
      <c r="SBF206" s="2"/>
      <c r="SBG206" s="2"/>
      <c r="SBH206" s="2"/>
      <c r="SBI206" s="2"/>
      <c r="SBJ206" s="2"/>
      <c r="SBK206" s="2"/>
      <c r="SBL206" s="2"/>
      <c r="SBM206" s="2"/>
      <c r="SBN206" s="2"/>
      <c r="SBO206" s="2"/>
      <c r="SBP206" s="2"/>
      <c r="SBQ206" s="2"/>
      <c r="SBR206" s="2"/>
      <c r="SBS206" s="2"/>
      <c r="SBT206" s="2"/>
      <c r="SBU206" s="2"/>
      <c r="SBV206" s="2"/>
      <c r="SBW206" s="2"/>
      <c r="SBX206" s="2"/>
      <c r="SBY206" s="2"/>
      <c r="SBZ206" s="2"/>
      <c r="SCA206" s="2"/>
      <c r="SCB206" s="2"/>
      <c r="SCC206" s="2"/>
      <c r="SCD206" s="2"/>
      <c r="SCE206" s="2"/>
      <c r="SCF206" s="2"/>
      <c r="SCG206" s="2"/>
      <c r="SCH206" s="2"/>
      <c r="SCI206" s="2"/>
      <c r="SCJ206" s="2"/>
      <c r="SCK206" s="2"/>
      <c r="SCL206" s="2"/>
      <c r="SCM206" s="2"/>
      <c r="SCN206" s="2"/>
      <c r="SCO206" s="2"/>
      <c r="SCP206" s="2"/>
      <c r="SCQ206" s="2"/>
      <c r="SCR206" s="2"/>
      <c r="SCS206" s="2"/>
      <c r="SCT206" s="2"/>
      <c r="SCU206" s="2"/>
      <c r="SCV206" s="2"/>
      <c r="SCW206" s="2"/>
      <c r="SCX206" s="2"/>
      <c r="SCY206" s="2"/>
      <c r="SCZ206" s="2"/>
      <c r="SDA206" s="2"/>
      <c r="SDB206" s="2"/>
      <c r="SDC206" s="2"/>
      <c r="SDD206" s="2"/>
      <c r="SDE206" s="2"/>
      <c r="SDF206" s="2"/>
      <c r="SDG206" s="2"/>
      <c r="SDH206" s="2"/>
      <c r="SDI206" s="2"/>
      <c r="SDJ206" s="2"/>
      <c r="SDK206" s="2"/>
      <c r="SDL206" s="2"/>
      <c r="SDM206" s="2"/>
      <c r="SDN206" s="2"/>
      <c r="SDO206" s="2"/>
      <c r="SDP206" s="2"/>
      <c r="SDQ206" s="2"/>
      <c r="SDR206" s="2"/>
      <c r="SDS206" s="2"/>
      <c r="SDT206" s="2"/>
      <c r="SDU206" s="2"/>
      <c r="SDV206" s="2"/>
      <c r="SDW206" s="2"/>
      <c r="SDX206" s="2"/>
      <c r="SDY206" s="2"/>
      <c r="SDZ206" s="2"/>
      <c r="SEA206" s="2"/>
      <c r="SEB206" s="2"/>
      <c r="SEC206" s="2"/>
      <c r="SED206" s="2"/>
      <c r="SEE206" s="2"/>
      <c r="SEF206" s="2"/>
      <c r="SEG206" s="2"/>
      <c r="SEH206" s="2"/>
      <c r="SEI206" s="2"/>
      <c r="SEJ206" s="2"/>
      <c r="SEK206" s="2"/>
      <c r="SEL206" s="2"/>
      <c r="SEM206" s="2"/>
      <c r="SEN206" s="2"/>
      <c r="SEO206" s="2"/>
      <c r="SEP206" s="2"/>
      <c r="SEQ206" s="2"/>
      <c r="SER206" s="2"/>
      <c r="SES206" s="2"/>
      <c r="SET206" s="2"/>
      <c r="SEU206" s="2"/>
      <c r="SEV206" s="2"/>
      <c r="SEW206" s="2"/>
      <c r="SEX206" s="2"/>
      <c r="SEY206" s="2"/>
      <c r="SEZ206" s="2"/>
      <c r="SFA206" s="2"/>
      <c r="SFB206" s="2"/>
      <c r="SFC206" s="2"/>
      <c r="SFD206" s="2"/>
      <c r="SFE206" s="2"/>
      <c r="SFF206" s="2"/>
      <c r="SFG206" s="2"/>
      <c r="SFH206" s="2"/>
      <c r="SFI206" s="2"/>
      <c r="SFJ206" s="2"/>
      <c r="SFK206" s="2"/>
      <c r="SFL206" s="2"/>
      <c r="SFM206" s="2"/>
      <c r="SFN206" s="2"/>
      <c r="SFO206" s="2"/>
      <c r="SFP206" s="2"/>
      <c r="SFQ206" s="2"/>
      <c r="SFR206" s="2"/>
      <c r="SFS206" s="2"/>
      <c r="SFT206" s="2"/>
      <c r="SFU206" s="2"/>
      <c r="SFV206" s="2"/>
      <c r="SFW206" s="2"/>
      <c r="SFX206" s="2"/>
      <c r="SFY206" s="2"/>
      <c r="SFZ206" s="2"/>
      <c r="SGA206" s="2"/>
      <c r="SGB206" s="2"/>
      <c r="SGC206" s="2"/>
      <c r="SGD206" s="2"/>
      <c r="SGE206" s="2"/>
      <c r="SGF206" s="2"/>
      <c r="SGG206" s="2"/>
      <c r="SGH206" s="2"/>
      <c r="SGI206" s="2"/>
      <c r="SGJ206" s="2"/>
      <c r="SGK206" s="2"/>
      <c r="SGL206" s="2"/>
      <c r="SGM206" s="2"/>
      <c r="SGN206" s="2"/>
      <c r="SGO206" s="2"/>
      <c r="SGP206" s="2"/>
      <c r="SGQ206" s="2"/>
      <c r="SGR206" s="2"/>
      <c r="SGS206" s="2"/>
      <c r="SGT206" s="2"/>
      <c r="SGU206" s="2"/>
      <c r="SGV206" s="2"/>
      <c r="SGW206" s="2"/>
      <c r="SGX206" s="2"/>
      <c r="SGY206" s="2"/>
      <c r="SGZ206" s="2"/>
      <c r="SHA206" s="2"/>
      <c r="SHB206" s="2"/>
      <c r="SHC206" s="2"/>
      <c r="SHD206" s="2"/>
      <c r="SHE206" s="2"/>
      <c r="SHF206" s="2"/>
      <c r="SHG206" s="2"/>
      <c r="SHH206" s="2"/>
      <c r="SHI206" s="2"/>
      <c r="SHJ206" s="2"/>
      <c r="SHK206" s="2"/>
      <c r="SHL206" s="2"/>
      <c r="SHM206" s="2"/>
      <c r="SHN206" s="2"/>
      <c r="SHO206" s="2"/>
      <c r="SHP206" s="2"/>
      <c r="SHQ206" s="2"/>
      <c r="SHR206" s="2"/>
      <c r="SHS206" s="2"/>
      <c r="SHT206" s="2"/>
      <c r="SHU206" s="2"/>
      <c r="SHV206" s="2"/>
      <c r="SHW206" s="2"/>
      <c r="SHX206" s="2"/>
      <c r="SHY206" s="2"/>
      <c r="SHZ206" s="2"/>
      <c r="SIA206" s="2"/>
      <c r="SIB206" s="2"/>
      <c r="SIC206" s="2"/>
      <c r="SID206" s="2"/>
      <c r="SIE206" s="2"/>
      <c r="SIF206" s="2"/>
      <c r="SIG206" s="2"/>
      <c r="SIH206" s="2"/>
      <c r="SII206" s="2"/>
      <c r="SIJ206" s="2"/>
      <c r="SIK206" s="2"/>
      <c r="SIL206" s="2"/>
      <c r="SIM206" s="2"/>
      <c r="SIN206" s="2"/>
      <c r="SIO206" s="2"/>
      <c r="SIP206" s="2"/>
      <c r="SIQ206" s="2"/>
      <c r="SIR206" s="2"/>
      <c r="SIS206" s="2"/>
      <c r="SIT206" s="2"/>
      <c r="SIU206" s="2"/>
      <c r="SIV206" s="2"/>
      <c r="SIW206" s="2"/>
      <c r="SIX206" s="2"/>
      <c r="SIY206" s="2"/>
      <c r="SIZ206" s="2"/>
      <c r="SJA206" s="2"/>
      <c r="SJB206" s="2"/>
      <c r="SJC206" s="2"/>
      <c r="SJD206" s="2"/>
      <c r="SJE206" s="2"/>
      <c r="SJF206" s="2"/>
      <c r="SJG206" s="2"/>
      <c r="SJH206" s="2"/>
      <c r="SJI206" s="2"/>
      <c r="SJJ206" s="2"/>
      <c r="SJK206" s="2"/>
      <c r="SJL206" s="2"/>
      <c r="SJM206" s="2"/>
      <c r="SJN206" s="2"/>
      <c r="SJO206" s="2"/>
      <c r="SJP206" s="2"/>
      <c r="SJQ206" s="2"/>
      <c r="SJR206" s="2"/>
      <c r="SJS206" s="2"/>
      <c r="SJT206" s="2"/>
      <c r="SJU206" s="2"/>
      <c r="SJV206" s="2"/>
      <c r="SJW206" s="2"/>
      <c r="SJX206" s="2"/>
      <c r="SJY206" s="2"/>
      <c r="SJZ206" s="2"/>
      <c r="SKA206" s="2"/>
      <c r="SKB206" s="2"/>
      <c r="SKC206" s="2"/>
      <c r="SKD206" s="2"/>
      <c r="SKE206" s="2"/>
      <c r="SKF206" s="2"/>
      <c r="SKG206" s="2"/>
      <c r="SKH206" s="2"/>
      <c r="SKI206" s="2"/>
      <c r="SKJ206" s="2"/>
      <c r="SKK206" s="2"/>
      <c r="SKL206" s="2"/>
      <c r="SKM206" s="2"/>
      <c r="SKN206" s="2"/>
      <c r="SKO206" s="2"/>
      <c r="SKP206" s="2"/>
      <c r="SKQ206" s="2"/>
      <c r="SKR206" s="2"/>
      <c r="SKS206" s="2"/>
      <c r="SKT206" s="2"/>
      <c r="SKU206" s="2"/>
      <c r="SKV206" s="2"/>
      <c r="SKW206" s="2"/>
      <c r="SKX206" s="2"/>
      <c r="SKY206" s="2"/>
      <c r="SKZ206" s="2"/>
      <c r="SLA206" s="2"/>
      <c r="SLB206" s="2"/>
      <c r="SLC206" s="2"/>
      <c r="SLD206" s="2"/>
      <c r="SLE206" s="2"/>
      <c r="SLF206" s="2"/>
      <c r="SLG206" s="2"/>
      <c r="SLH206" s="2"/>
      <c r="SLI206" s="2"/>
      <c r="SLJ206" s="2"/>
      <c r="SLK206" s="2"/>
      <c r="SLL206" s="2"/>
      <c r="SLM206" s="2"/>
      <c r="SLN206" s="2"/>
      <c r="SLO206" s="2"/>
      <c r="SLP206" s="2"/>
      <c r="SLQ206" s="2"/>
      <c r="SLR206" s="2"/>
      <c r="SLS206" s="2"/>
      <c r="SLT206" s="2"/>
      <c r="SLU206" s="2"/>
      <c r="SLV206" s="2"/>
      <c r="SLW206" s="2"/>
      <c r="SLX206" s="2"/>
      <c r="SLY206" s="2"/>
      <c r="SLZ206" s="2"/>
      <c r="SMA206" s="2"/>
      <c r="SMB206" s="2"/>
      <c r="SMC206" s="2"/>
      <c r="SMD206" s="2"/>
      <c r="SME206" s="2"/>
      <c r="SMF206" s="2"/>
      <c r="SMG206" s="2"/>
      <c r="SMH206" s="2"/>
      <c r="SMI206" s="2"/>
      <c r="SMJ206" s="2"/>
      <c r="SMK206" s="2"/>
      <c r="SML206" s="2"/>
      <c r="SMM206" s="2"/>
      <c r="SMN206" s="2"/>
      <c r="SMO206" s="2"/>
      <c r="SMP206" s="2"/>
      <c r="SMQ206" s="2"/>
      <c r="SMR206" s="2"/>
      <c r="SMS206" s="2"/>
      <c r="SMT206" s="2"/>
      <c r="SMU206" s="2"/>
      <c r="SMV206" s="2"/>
      <c r="SMW206" s="2"/>
      <c r="SMX206" s="2"/>
      <c r="SMY206" s="2"/>
      <c r="SMZ206" s="2"/>
      <c r="SNA206" s="2"/>
      <c r="SNB206" s="2"/>
      <c r="SNC206" s="2"/>
      <c r="SND206" s="2"/>
      <c r="SNE206" s="2"/>
      <c r="SNF206" s="2"/>
      <c r="SNG206" s="2"/>
      <c r="SNH206" s="2"/>
      <c r="SNI206" s="2"/>
      <c r="SNJ206" s="2"/>
      <c r="SNK206" s="2"/>
      <c r="SNL206" s="2"/>
      <c r="SNM206" s="2"/>
      <c r="SNN206" s="2"/>
      <c r="SNO206" s="2"/>
      <c r="SNP206" s="2"/>
      <c r="SNQ206" s="2"/>
      <c r="SNR206" s="2"/>
      <c r="SNS206" s="2"/>
      <c r="SNT206" s="2"/>
      <c r="SNU206" s="2"/>
      <c r="SNV206" s="2"/>
      <c r="SNW206" s="2"/>
      <c r="SNX206" s="2"/>
      <c r="SNY206" s="2"/>
      <c r="SNZ206" s="2"/>
      <c r="SOA206" s="2"/>
      <c r="SOB206" s="2"/>
      <c r="SOC206" s="2"/>
      <c r="SOD206" s="2"/>
      <c r="SOE206" s="2"/>
      <c r="SOF206" s="2"/>
      <c r="SOG206" s="2"/>
      <c r="SOH206" s="2"/>
      <c r="SOI206" s="2"/>
      <c r="SOJ206" s="2"/>
      <c r="SOK206" s="2"/>
      <c r="SOL206" s="2"/>
      <c r="SOM206" s="2"/>
      <c r="SON206" s="2"/>
      <c r="SOO206" s="2"/>
      <c r="SOP206" s="2"/>
      <c r="SOQ206" s="2"/>
      <c r="SOR206" s="2"/>
      <c r="SOS206" s="2"/>
      <c r="SOT206" s="2"/>
      <c r="SOU206" s="2"/>
      <c r="SOV206" s="2"/>
      <c r="SOW206" s="2"/>
      <c r="SOX206" s="2"/>
      <c r="SOY206" s="2"/>
      <c r="SOZ206" s="2"/>
      <c r="SPA206" s="2"/>
      <c r="SPB206" s="2"/>
      <c r="SPC206" s="2"/>
      <c r="SPD206" s="2"/>
      <c r="SPE206" s="2"/>
      <c r="SPF206" s="2"/>
      <c r="SPG206" s="2"/>
      <c r="SPH206" s="2"/>
      <c r="SPI206" s="2"/>
      <c r="SPJ206" s="2"/>
      <c r="SPK206" s="2"/>
      <c r="SPL206" s="2"/>
      <c r="SPM206" s="2"/>
      <c r="SPN206" s="2"/>
      <c r="SPO206" s="2"/>
      <c r="SPP206" s="2"/>
      <c r="SPQ206" s="2"/>
      <c r="SPR206" s="2"/>
      <c r="SPS206" s="2"/>
      <c r="SPT206" s="2"/>
      <c r="SPU206" s="2"/>
      <c r="SPV206" s="2"/>
      <c r="SPW206" s="2"/>
      <c r="SPX206" s="2"/>
      <c r="SPY206" s="2"/>
      <c r="SPZ206" s="2"/>
      <c r="SQA206" s="2"/>
      <c r="SQB206" s="2"/>
      <c r="SQC206" s="2"/>
      <c r="SQD206" s="2"/>
      <c r="SQE206" s="2"/>
      <c r="SQF206" s="2"/>
      <c r="SQG206" s="2"/>
      <c r="SQH206" s="2"/>
      <c r="SQI206" s="2"/>
      <c r="SQJ206" s="2"/>
      <c r="SQK206" s="2"/>
      <c r="SQL206" s="2"/>
      <c r="SQM206" s="2"/>
      <c r="SQN206" s="2"/>
      <c r="SQO206" s="2"/>
      <c r="SQP206" s="2"/>
      <c r="SQQ206" s="2"/>
      <c r="SQR206" s="2"/>
      <c r="SQS206" s="2"/>
      <c r="SQT206" s="2"/>
      <c r="SQU206" s="2"/>
      <c r="SQV206" s="2"/>
      <c r="SQW206" s="2"/>
      <c r="SQX206" s="2"/>
      <c r="SQY206" s="2"/>
      <c r="SQZ206" s="2"/>
      <c r="SRA206" s="2"/>
      <c r="SRB206" s="2"/>
      <c r="SRC206" s="2"/>
      <c r="SRD206" s="2"/>
      <c r="SRE206" s="2"/>
      <c r="SRF206" s="2"/>
      <c r="SRG206" s="2"/>
      <c r="SRH206" s="2"/>
      <c r="SRI206" s="2"/>
      <c r="SRJ206" s="2"/>
      <c r="SRK206" s="2"/>
      <c r="SRL206" s="2"/>
      <c r="SRM206" s="2"/>
      <c r="SRN206" s="2"/>
      <c r="SRO206" s="2"/>
      <c r="SRP206" s="2"/>
      <c r="SRQ206" s="2"/>
      <c r="SRR206" s="2"/>
      <c r="SRS206" s="2"/>
      <c r="SRT206" s="2"/>
      <c r="SRU206" s="2"/>
      <c r="SRV206" s="2"/>
      <c r="SRW206" s="2"/>
      <c r="SRX206" s="2"/>
      <c r="SRY206" s="2"/>
      <c r="SRZ206" s="2"/>
      <c r="SSA206" s="2"/>
      <c r="SSB206" s="2"/>
      <c r="SSC206" s="2"/>
      <c r="SSD206" s="2"/>
      <c r="SSE206" s="2"/>
      <c r="SSF206" s="2"/>
      <c r="SSG206" s="2"/>
      <c r="SSH206" s="2"/>
      <c r="SSI206" s="2"/>
      <c r="SSJ206" s="2"/>
      <c r="SSK206" s="2"/>
      <c r="SSL206" s="2"/>
      <c r="SSM206" s="2"/>
      <c r="SSN206" s="2"/>
      <c r="SSO206" s="2"/>
      <c r="SSP206" s="2"/>
      <c r="SSQ206" s="2"/>
      <c r="SSR206" s="2"/>
      <c r="SSS206" s="2"/>
      <c r="SST206" s="2"/>
      <c r="SSU206" s="2"/>
      <c r="SSV206" s="2"/>
      <c r="SSW206" s="2"/>
      <c r="SSX206" s="2"/>
      <c r="SSY206" s="2"/>
      <c r="SSZ206" s="2"/>
      <c r="STA206" s="2"/>
      <c r="STB206" s="2"/>
      <c r="STC206" s="2"/>
      <c r="STD206" s="2"/>
      <c r="STE206" s="2"/>
      <c r="STF206" s="2"/>
      <c r="STG206" s="2"/>
      <c r="STH206" s="2"/>
      <c r="STI206" s="2"/>
      <c r="STJ206" s="2"/>
      <c r="STK206" s="2"/>
      <c r="STL206" s="2"/>
      <c r="STM206" s="2"/>
      <c r="STN206" s="2"/>
      <c r="STO206" s="2"/>
      <c r="STP206" s="2"/>
      <c r="STQ206" s="2"/>
      <c r="STR206" s="2"/>
      <c r="STS206" s="2"/>
      <c r="STT206" s="2"/>
      <c r="STU206" s="2"/>
      <c r="STV206" s="2"/>
      <c r="STW206" s="2"/>
      <c r="STX206" s="2"/>
      <c r="STY206" s="2"/>
      <c r="STZ206" s="2"/>
      <c r="SUA206" s="2"/>
      <c r="SUB206" s="2"/>
      <c r="SUC206" s="2"/>
      <c r="SUD206" s="2"/>
      <c r="SUE206" s="2"/>
      <c r="SUF206" s="2"/>
      <c r="SUG206" s="2"/>
      <c r="SUH206" s="2"/>
      <c r="SUI206" s="2"/>
      <c r="SUJ206" s="2"/>
      <c r="SUK206" s="2"/>
      <c r="SUL206" s="2"/>
      <c r="SUM206" s="2"/>
      <c r="SUN206" s="2"/>
      <c r="SUO206" s="2"/>
      <c r="SUP206" s="2"/>
      <c r="SUQ206" s="2"/>
      <c r="SUR206" s="2"/>
      <c r="SUS206" s="2"/>
      <c r="SUT206" s="2"/>
      <c r="SUU206" s="2"/>
      <c r="SUV206" s="2"/>
      <c r="SUW206" s="2"/>
      <c r="SUX206" s="2"/>
      <c r="SUY206" s="2"/>
      <c r="SUZ206" s="2"/>
      <c r="SVA206" s="2"/>
      <c r="SVB206" s="2"/>
      <c r="SVC206" s="2"/>
      <c r="SVD206" s="2"/>
      <c r="SVE206" s="2"/>
      <c r="SVF206" s="2"/>
      <c r="SVG206" s="2"/>
      <c r="SVH206" s="2"/>
      <c r="SVI206" s="2"/>
      <c r="SVJ206" s="2"/>
      <c r="SVK206" s="2"/>
      <c r="SVL206" s="2"/>
      <c r="SVM206" s="2"/>
      <c r="SVN206" s="2"/>
      <c r="SVO206" s="2"/>
      <c r="SVP206" s="2"/>
      <c r="SVQ206" s="2"/>
      <c r="SVR206" s="2"/>
      <c r="SVS206" s="2"/>
      <c r="SVT206" s="2"/>
      <c r="SVU206" s="2"/>
      <c r="SVV206" s="2"/>
      <c r="SVW206" s="2"/>
      <c r="SVX206" s="2"/>
      <c r="SVY206" s="2"/>
      <c r="SVZ206" s="2"/>
      <c r="SWA206" s="2"/>
      <c r="SWB206" s="2"/>
      <c r="SWC206" s="2"/>
      <c r="SWD206" s="2"/>
      <c r="SWE206" s="2"/>
      <c r="SWF206" s="2"/>
      <c r="SWG206" s="2"/>
      <c r="SWH206" s="2"/>
      <c r="SWI206" s="2"/>
      <c r="SWJ206" s="2"/>
      <c r="SWK206" s="2"/>
      <c r="SWL206" s="2"/>
      <c r="SWM206" s="2"/>
      <c r="SWN206" s="2"/>
      <c r="SWO206" s="2"/>
      <c r="SWP206" s="2"/>
      <c r="SWQ206" s="2"/>
      <c r="SWR206" s="2"/>
      <c r="SWS206" s="2"/>
      <c r="SWT206" s="2"/>
      <c r="SWU206" s="2"/>
      <c r="SWV206" s="2"/>
      <c r="SWW206" s="2"/>
      <c r="SWX206" s="2"/>
      <c r="SWY206" s="2"/>
      <c r="SWZ206" s="2"/>
      <c r="SXA206" s="2"/>
      <c r="SXB206" s="2"/>
      <c r="SXC206" s="2"/>
      <c r="SXD206" s="2"/>
      <c r="SXE206" s="2"/>
      <c r="SXF206" s="2"/>
      <c r="SXG206" s="2"/>
      <c r="SXH206" s="2"/>
      <c r="SXI206" s="2"/>
      <c r="SXJ206" s="2"/>
      <c r="SXK206" s="2"/>
      <c r="SXL206" s="2"/>
      <c r="SXM206" s="2"/>
      <c r="SXN206" s="2"/>
      <c r="SXO206" s="2"/>
      <c r="SXP206" s="2"/>
      <c r="SXQ206" s="2"/>
      <c r="SXR206" s="2"/>
      <c r="SXS206" s="2"/>
      <c r="SXT206" s="2"/>
      <c r="SXU206" s="2"/>
      <c r="SXV206" s="2"/>
      <c r="SXW206" s="2"/>
      <c r="SXX206" s="2"/>
      <c r="SXY206" s="2"/>
      <c r="SXZ206" s="2"/>
      <c r="SYA206" s="2"/>
      <c r="SYB206" s="2"/>
      <c r="SYC206" s="2"/>
      <c r="SYD206" s="2"/>
      <c r="SYE206" s="2"/>
      <c r="SYF206" s="2"/>
      <c r="SYG206" s="2"/>
      <c r="SYH206" s="2"/>
      <c r="SYI206" s="2"/>
      <c r="SYJ206" s="2"/>
      <c r="SYK206" s="2"/>
      <c r="SYL206" s="2"/>
      <c r="SYM206" s="2"/>
      <c r="SYN206" s="2"/>
      <c r="SYO206" s="2"/>
      <c r="SYP206" s="2"/>
      <c r="SYQ206" s="2"/>
      <c r="SYR206" s="2"/>
      <c r="SYS206" s="2"/>
      <c r="SYT206" s="2"/>
      <c r="SYU206" s="2"/>
      <c r="SYV206" s="2"/>
      <c r="SYW206" s="2"/>
      <c r="SYX206" s="2"/>
      <c r="SYY206" s="2"/>
      <c r="SYZ206" s="2"/>
      <c r="SZA206" s="2"/>
      <c r="SZB206" s="2"/>
      <c r="SZC206" s="2"/>
      <c r="SZD206" s="2"/>
      <c r="SZE206" s="2"/>
      <c r="SZF206" s="2"/>
      <c r="SZG206" s="2"/>
      <c r="SZH206" s="2"/>
      <c r="SZI206" s="2"/>
      <c r="SZJ206" s="2"/>
      <c r="SZK206" s="2"/>
      <c r="SZL206" s="2"/>
      <c r="SZM206" s="2"/>
      <c r="SZN206" s="2"/>
      <c r="SZO206" s="2"/>
      <c r="SZP206" s="2"/>
      <c r="SZQ206" s="2"/>
      <c r="SZR206" s="2"/>
      <c r="SZS206" s="2"/>
      <c r="SZT206" s="2"/>
      <c r="SZU206" s="2"/>
      <c r="SZV206" s="2"/>
      <c r="SZW206" s="2"/>
      <c r="SZX206" s="2"/>
      <c r="SZY206" s="2"/>
      <c r="SZZ206" s="2"/>
      <c r="TAA206" s="2"/>
      <c r="TAB206" s="2"/>
      <c r="TAC206" s="2"/>
      <c r="TAD206" s="2"/>
      <c r="TAE206" s="2"/>
      <c r="TAF206" s="2"/>
      <c r="TAG206" s="2"/>
      <c r="TAH206" s="2"/>
      <c r="TAI206" s="2"/>
      <c r="TAJ206" s="2"/>
      <c r="TAK206" s="2"/>
      <c r="TAL206" s="2"/>
      <c r="TAM206" s="2"/>
      <c r="TAN206" s="2"/>
      <c r="TAO206" s="2"/>
      <c r="TAP206" s="2"/>
      <c r="TAQ206" s="2"/>
      <c r="TAR206" s="2"/>
      <c r="TAS206" s="2"/>
      <c r="TAT206" s="2"/>
      <c r="TAU206" s="2"/>
      <c r="TAV206" s="2"/>
      <c r="TAW206" s="2"/>
      <c r="TAX206" s="2"/>
      <c r="TAY206" s="2"/>
      <c r="TAZ206" s="2"/>
      <c r="TBA206" s="2"/>
      <c r="TBB206" s="2"/>
      <c r="TBC206" s="2"/>
      <c r="TBD206" s="2"/>
      <c r="TBE206" s="2"/>
      <c r="TBF206" s="2"/>
      <c r="TBG206" s="2"/>
      <c r="TBH206" s="2"/>
      <c r="TBI206" s="2"/>
      <c r="TBJ206" s="2"/>
      <c r="TBK206" s="2"/>
      <c r="TBL206" s="2"/>
      <c r="TBM206" s="2"/>
      <c r="TBN206" s="2"/>
      <c r="TBO206" s="2"/>
      <c r="TBP206" s="2"/>
      <c r="TBQ206" s="2"/>
      <c r="TBR206" s="2"/>
      <c r="TBS206" s="2"/>
      <c r="TBT206" s="2"/>
      <c r="TBU206" s="2"/>
      <c r="TBV206" s="2"/>
      <c r="TBW206" s="2"/>
      <c r="TBX206" s="2"/>
      <c r="TBY206" s="2"/>
      <c r="TBZ206" s="2"/>
      <c r="TCA206" s="2"/>
      <c r="TCB206" s="2"/>
      <c r="TCC206" s="2"/>
      <c r="TCD206" s="2"/>
      <c r="TCE206" s="2"/>
      <c r="TCF206" s="2"/>
      <c r="TCG206" s="2"/>
      <c r="TCH206" s="2"/>
      <c r="TCI206" s="2"/>
      <c r="TCJ206" s="2"/>
      <c r="TCK206" s="2"/>
      <c r="TCL206" s="2"/>
      <c r="TCM206" s="2"/>
      <c r="TCN206" s="2"/>
      <c r="TCO206" s="2"/>
      <c r="TCP206" s="2"/>
      <c r="TCQ206" s="2"/>
      <c r="TCR206" s="2"/>
      <c r="TCS206" s="2"/>
      <c r="TCT206" s="2"/>
      <c r="TCU206" s="2"/>
      <c r="TCV206" s="2"/>
      <c r="TCW206" s="2"/>
      <c r="TCX206" s="2"/>
      <c r="TCY206" s="2"/>
      <c r="TCZ206" s="2"/>
      <c r="TDA206" s="2"/>
      <c r="TDB206" s="2"/>
      <c r="TDC206" s="2"/>
      <c r="TDD206" s="2"/>
      <c r="TDE206" s="2"/>
      <c r="TDF206" s="2"/>
      <c r="TDG206" s="2"/>
      <c r="TDH206" s="2"/>
      <c r="TDI206" s="2"/>
      <c r="TDJ206" s="2"/>
      <c r="TDK206" s="2"/>
      <c r="TDL206" s="2"/>
      <c r="TDM206" s="2"/>
      <c r="TDN206" s="2"/>
      <c r="TDO206" s="2"/>
      <c r="TDP206" s="2"/>
      <c r="TDQ206" s="2"/>
      <c r="TDR206" s="2"/>
      <c r="TDS206" s="2"/>
      <c r="TDT206" s="2"/>
      <c r="TDU206" s="2"/>
      <c r="TDV206" s="2"/>
      <c r="TDW206" s="2"/>
      <c r="TDX206" s="2"/>
      <c r="TDY206" s="2"/>
      <c r="TDZ206" s="2"/>
      <c r="TEA206" s="2"/>
      <c r="TEB206" s="2"/>
      <c r="TEC206" s="2"/>
      <c r="TED206" s="2"/>
      <c r="TEE206" s="2"/>
      <c r="TEF206" s="2"/>
      <c r="TEG206" s="2"/>
      <c r="TEH206" s="2"/>
      <c r="TEI206" s="2"/>
      <c r="TEJ206" s="2"/>
      <c r="TEK206" s="2"/>
      <c r="TEL206" s="2"/>
      <c r="TEM206" s="2"/>
      <c r="TEN206" s="2"/>
      <c r="TEO206" s="2"/>
      <c r="TEP206" s="2"/>
      <c r="TEQ206" s="2"/>
      <c r="TER206" s="2"/>
      <c r="TES206" s="2"/>
      <c r="TET206" s="2"/>
      <c r="TEU206" s="2"/>
      <c r="TEV206" s="2"/>
      <c r="TEW206" s="2"/>
      <c r="TEX206" s="2"/>
      <c r="TEY206" s="2"/>
      <c r="TEZ206" s="2"/>
      <c r="TFA206" s="2"/>
      <c r="TFB206" s="2"/>
      <c r="TFC206" s="2"/>
      <c r="TFD206" s="2"/>
      <c r="TFE206" s="2"/>
      <c r="TFF206" s="2"/>
      <c r="TFG206" s="2"/>
      <c r="TFH206" s="2"/>
      <c r="TFI206" s="2"/>
      <c r="TFJ206" s="2"/>
      <c r="TFK206" s="2"/>
      <c r="TFL206" s="2"/>
      <c r="TFM206" s="2"/>
      <c r="TFN206" s="2"/>
      <c r="TFO206" s="2"/>
      <c r="TFP206" s="2"/>
      <c r="TFQ206" s="2"/>
      <c r="TFR206" s="2"/>
      <c r="TFS206" s="2"/>
      <c r="TFT206" s="2"/>
      <c r="TFU206" s="2"/>
      <c r="TFV206" s="2"/>
      <c r="TFW206" s="2"/>
      <c r="TFX206" s="2"/>
      <c r="TFY206" s="2"/>
      <c r="TFZ206" s="2"/>
      <c r="TGA206" s="2"/>
      <c r="TGB206" s="2"/>
      <c r="TGC206" s="2"/>
      <c r="TGD206" s="2"/>
      <c r="TGE206" s="2"/>
      <c r="TGF206" s="2"/>
      <c r="TGG206" s="2"/>
      <c r="TGH206" s="2"/>
      <c r="TGI206" s="2"/>
      <c r="TGJ206" s="2"/>
      <c r="TGK206" s="2"/>
      <c r="TGL206" s="2"/>
      <c r="TGM206" s="2"/>
      <c r="TGN206" s="2"/>
      <c r="TGO206" s="2"/>
      <c r="TGP206" s="2"/>
      <c r="TGQ206" s="2"/>
      <c r="TGR206" s="2"/>
      <c r="TGS206" s="2"/>
      <c r="TGT206" s="2"/>
      <c r="TGU206" s="2"/>
      <c r="TGV206" s="2"/>
      <c r="TGW206" s="2"/>
      <c r="TGX206" s="2"/>
      <c r="TGY206" s="2"/>
      <c r="TGZ206" s="2"/>
      <c r="THA206" s="2"/>
      <c r="THB206" s="2"/>
      <c r="THC206" s="2"/>
      <c r="THD206" s="2"/>
      <c r="THE206" s="2"/>
      <c r="THF206" s="2"/>
      <c r="THG206" s="2"/>
      <c r="THH206" s="2"/>
      <c r="THI206" s="2"/>
      <c r="THJ206" s="2"/>
      <c r="THK206" s="2"/>
      <c r="THL206" s="2"/>
      <c r="THM206" s="2"/>
      <c r="THN206" s="2"/>
      <c r="THO206" s="2"/>
      <c r="THP206" s="2"/>
      <c r="THQ206" s="2"/>
      <c r="THR206" s="2"/>
      <c r="THS206" s="2"/>
      <c r="THT206" s="2"/>
      <c r="THU206" s="2"/>
      <c r="THV206" s="2"/>
      <c r="THW206" s="2"/>
      <c r="THX206" s="2"/>
      <c r="THY206" s="2"/>
      <c r="THZ206" s="2"/>
      <c r="TIA206" s="2"/>
      <c r="TIB206" s="2"/>
      <c r="TIC206" s="2"/>
      <c r="TID206" s="2"/>
      <c r="TIE206" s="2"/>
      <c r="TIF206" s="2"/>
      <c r="TIG206" s="2"/>
      <c r="TIH206" s="2"/>
      <c r="TII206" s="2"/>
      <c r="TIJ206" s="2"/>
      <c r="TIK206" s="2"/>
      <c r="TIL206" s="2"/>
      <c r="TIM206" s="2"/>
      <c r="TIN206" s="2"/>
      <c r="TIO206" s="2"/>
      <c r="TIP206" s="2"/>
      <c r="TIQ206" s="2"/>
      <c r="TIR206" s="2"/>
      <c r="TIS206" s="2"/>
      <c r="TIT206" s="2"/>
      <c r="TIU206" s="2"/>
      <c r="TIV206" s="2"/>
      <c r="TIW206" s="2"/>
      <c r="TIX206" s="2"/>
      <c r="TIY206" s="2"/>
      <c r="TIZ206" s="2"/>
      <c r="TJA206" s="2"/>
      <c r="TJB206" s="2"/>
      <c r="TJC206" s="2"/>
      <c r="TJD206" s="2"/>
      <c r="TJE206" s="2"/>
      <c r="TJF206" s="2"/>
      <c r="TJG206" s="2"/>
      <c r="TJH206" s="2"/>
      <c r="TJI206" s="2"/>
      <c r="TJJ206" s="2"/>
      <c r="TJK206" s="2"/>
      <c r="TJL206" s="2"/>
      <c r="TJM206" s="2"/>
      <c r="TJN206" s="2"/>
      <c r="TJO206" s="2"/>
      <c r="TJP206" s="2"/>
      <c r="TJQ206" s="2"/>
      <c r="TJR206" s="2"/>
      <c r="TJS206" s="2"/>
      <c r="TJT206" s="2"/>
      <c r="TJU206" s="2"/>
      <c r="TJV206" s="2"/>
      <c r="TJW206" s="2"/>
      <c r="TJX206" s="2"/>
      <c r="TJY206" s="2"/>
      <c r="TJZ206" s="2"/>
      <c r="TKA206" s="2"/>
      <c r="TKB206" s="2"/>
      <c r="TKC206" s="2"/>
      <c r="TKD206" s="2"/>
      <c r="TKE206" s="2"/>
      <c r="TKF206" s="2"/>
      <c r="TKG206" s="2"/>
      <c r="TKH206" s="2"/>
      <c r="TKI206" s="2"/>
      <c r="TKJ206" s="2"/>
      <c r="TKK206" s="2"/>
      <c r="TKL206" s="2"/>
      <c r="TKM206" s="2"/>
      <c r="TKN206" s="2"/>
      <c r="TKO206" s="2"/>
      <c r="TKP206" s="2"/>
      <c r="TKQ206" s="2"/>
      <c r="TKR206" s="2"/>
      <c r="TKS206" s="2"/>
      <c r="TKT206" s="2"/>
      <c r="TKU206" s="2"/>
      <c r="TKV206" s="2"/>
      <c r="TKW206" s="2"/>
      <c r="TKX206" s="2"/>
      <c r="TKY206" s="2"/>
      <c r="TKZ206" s="2"/>
      <c r="TLA206" s="2"/>
      <c r="TLB206" s="2"/>
      <c r="TLC206" s="2"/>
      <c r="TLD206" s="2"/>
      <c r="TLE206" s="2"/>
      <c r="TLF206" s="2"/>
      <c r="TLG206" s="2"/>
      <c r="TLH206" s="2"/>
      <c r="TLI206" s="2"/>
      <c r="TLJ206" s="2"/>
      <c r="TLK206" s="2"/>
      <c r="TLL206" s="2"/>
      <c r="TLM206" s="2"/>
      <c r="TLN206" s="2"/>
      <c r="TLO206" s="2"/>
      <c r="TLP206" s="2"/>
      <c r="TLQ206" s="2"/>
      <c r="TLR206" s="2"/>
      <c r="TLS206" s="2"/>
      <c r="TLT206" s="2"/>
      <c r="TLU206" s="2"/>
      <c r="TLV206" s="2"/>
      <c r="TLW206" s="2"/>
      <c r="TLX206" s="2"/>
      <c r="TLY206" s="2"/>
      <c r="TLZ206" s="2"/>
      <c r="TMA206" s="2"/>
      <c r="TMB206" s="2"/>
      <c r="TMC206" s="2"/>
      <c r="TMD206" s="2"/>
      <c r="TME206" s="2"/>
      <c r="TMF206" s="2"/>
      <c r="TMG206" s="2"/>
      <c r="TMH206" s="2"/>
      <c r="TMI206" s="2"/>
      <c r="TMJ206" s="2"/>
      <c r="TMK206" s="2"/>
      <c r="TML206" s="2"/>
      <c r="TMM206" s="2"/>
      <c r="TMN206" s="2"/>
      <c r="TMO206" s="2"/>
      <c r="TMP206" s="2"/>
      <c r="TMQ206" s="2"/>
      <c r="TMR206" s="2"/>
      <c r="TMS206" s="2"/>
      <c r="TMT206" s="2"/>
      <c r="TMU206" s="2"/>
      <c r="TMV206" s="2"/>
      <c r="TMW206" s="2"/>
      <c r="TMX206" s="2"/>
      <c r="TMY206" s="2"/>
      <c r="TMZ206" s="2"/>
      <c r="TNA206" s="2"/>
      <c r="TNB206" s="2"/>
      <c r="TNC206" s="2"/>
      <c r="TND206" s="2"/>
      <c r="TNE206" s="2"/>
      <c r="TNF206" s="2"/>
      <c r="TNG206" s="2"/>
      <c r="TNH206" s="2"/>
      <c r="TNI206" s="2"/>
      <c r="TNJ206" s="2"/>
      <c r="TNK206" s="2"/>
      <c r="TNL206" s="2"/>
      <c r="TNM206" s="2"/>
      <c r="TNN206" s="2"/>
      <c r="TNO206" s="2"/>
      <c r="TNP206" s="2"/>
      <c r="TNQ206" s="2"/>
      <c r="TNR206" s="2"/>
      <c r="TNS206" s="2"/>
      <c r="TNT206" s="2"/>
      <c r="TNU206" s="2"/>
      <c r="TNV206" s="2"/>
      <c r="TNW206" s="2"/>
      <c r="TNX206" s="2"/>
      <c r="TNY206" s="2"/>
      <c r="TNZ206" s="2"/>
      <c r="TOA206" s="2"/>
      <c r="TOB206" s="2"/>
      <c r="TOC206" s="2"/>
      <c r="TOD206" s="2"/>
      <c r="TOE206" s="2"/>
      <c r="TOF206" s="2"/>
      <c r="TOG206" s="2"/>
      <c r="TOH206" s="2"/>
      <c r="TOI206" s="2"/>
      <c r="TOJ206" s="2"/>
      <c r="TOK206" s="2"/>
      <c r="TOL206" s="2"/>
      <c r="TOM206" s="2"/>
      <c r="TON206" s="2"/>
      <c r="TOO206" s="2"/>
      <c r="TOP206" s="2"/>
      <c r="TOQ206" s="2"/>
      <c r="TOR206" s="2"/>
      <c r="TOS206" s="2"/>
      <c r="TOT206" s="2"/>
      <c r="TOU206" s="2"/>
      <c r="TOV206" s="2"/>
      <c r="TOW206" s="2"/>
      <c r="TOX206" s="2"/>
      <c r="TOY206" s="2"/>
      <c r="TOZ206" s="2"/>
      <c r="TPA206" s="2"/>
      <c r="TPB206" s="2"/>
      <c r="TPC206" s="2"/>
      <c r="TPD206" s="2"/>
      <c r="TPE206" s="2"/>
      <c r="TPF206" s="2"/>
      <c r="TPG206" s="2"/>
      <c r="TPH206" s="2"/>
      <c r="TPI206" s="2"/>
      <c r="TPJ206" s="2"/>
      <c r="TPK206" s="2"/>
      <c r="TPL206" s="2"/>
      <c r="TPM206" s="2"/>
      <c r="TPN206" s="2"/>
      <c r="TPO206" s="2"/>
      <c r="TPP206" s="2"/>
      <c r="TPQ206" s="2"/>
      <c r="TPR206" s="2"/>
      <c r="TPS206" s="2"/>
      <c r="TPT206" s="2"/>
      <c r="TPU206" s="2"/>
      <c r="TPV206" s="2"/>
      <c r="TPW206" s="2"/>
      <c r="TPX206" s="2"/>
      <c r="TPY206" s="2"/>
      <c r="TPZ206" s="2"/>
      <c r="TQA206" s="2"/>
      <c r="TQB206" s="2"/>
      <c r="TQC206" s="2"/>
      <c r="TQD206" s="2"/>
      <c r="TQE206" s="2"/>
      <c r="TQF206" s="2"/>
      <c r="TQG206" s="2"/>
      <c r="TQH206" s="2"/>
      <c r="TQI206" s="2"/>
      <c r="TQJ206" s="2"/>
      <c r="TQK206" s="2"/>
      <c r="TQL206" s="2"/>
      <c r="TQM206" s="2"/>
      <c r="TQN206" s="2"/>
      <c r="TQO206" s="2"/>
      <c r="TQP206" s="2"/>
      <c r="TQQ206" s="2"/>
      <c r="TQR206" s="2"/>
      <c r="TQS206" s="2"/>
      <c r="TQT206" s="2"/>
      <c r="TQU206" s="2"/>
      <c r="TQV206" s="2"/>
      <c r="TQW206" s="2"/>
      <c r="TQX206" s="2"/>
      <c r="TQY206" s="2"/>
      <c r="TQZ206" s="2"/>
      <c r="TRA206" s="2"/>
      <c r="TRB206" s="2"/>
      <c r="TRC206" s="2"/>
      <c r="TRD206" s="2"/>
      <c r="TRE206" s="2"/>
      <c r="TRF206" s="2"/>
      <c r="TRG206" s="2"/>
      <c r="TRH206" s="2"/>
      <c r="TRI206" s="2"/>
      <c r="TRJ206" s="2"/>
      <c r="TRK206" s="2"/>
      <c r="TRL206" s="2"/>
      <c r="TRM206" s="2"/>
      <c r="TRN206" s="2"/>
      <c r="TRO206" s="2"/>
      <c r="TRP206" s="2"/>
      <c r="TRQ206" s="2"/>
      <c r="TRR206" s="2"/>
      <c r="TRS206" s="2"/>
      <c r="TRT206" s="2"/>
      <c r="TRU206" s="2"/>
      <c r="TRV206" s="2"/>
      <c r="TRW206" s="2"/>
      <c r="TRX206" s="2"/>
      <c r="TRY206" s="2"/>
      <c r="TRZ206" s="2"/>
      <c r="TSA206" s="2"/>
      <c r="TSB206" s="2"/>
      <c r="TSC206" s="2"/>
      <c r="TSD206" s="2"/>
      <c r="TSE206" s="2"/>
      <c r="TSF206" s="2"/>
      <c r="TSG206" s="2"/>
      <c r="TSH206" s="2"/>
      <c r="TSI206" s="2"/>
      <c r="TSJ206" s="2"/>
      <c r="TSK206" s="2"/>
      <c r="TSL206" s="2"/>
      <c r="TSM206" s="2"/>
      <c r="TSN206" s="2"/>
      <c r="TSO206" s="2"/>
      <c r="TSP206" s="2"/>
      <c r="TSQ206" s="2"/>
      <c r="TSR206" s="2"/>
      <c r="TSS206" s="2"/>
      <c r="TST206" s="2"/>
      <c r="TSU206" s="2"/>
      <c r="TSV206" s="2"/>
      <c r="TSW206" s="2"/>
      <c r="TSX206" s="2"/>
      <c r="TSY206" s="2"/>
      <c r="TSZ206" s="2"/>
      <c r="TTA206" s="2"/>
      <c r="TTB206" s="2"/>
      <c r="TTC206" s="2"/>
      <c r="TTD206" s="2"/>
      <c r="TTE206" s="2"/>
      <c r="TTF206" s="2"/>
      <c r="TTG206" s="2"/>
      <c r="TTH206" s="2"/>
      <c r="TTI206" s="2"/>
      <c r="TTJ206" s="2"/>
      <c r="TTK206" s="2"/>
      <c r="TTL206" s="2"/>
      <c r="TTM206" s="2"/>
      <c r="TTN206" s="2"/>
      <c r="TTO206" s="2"/>
      <c r="TTP206" s="2"/>
      <c r="TTQ206" s="2"/>
      <c r="TTR206" s="2"/>
      <c r="TTS206" s="2"/>
      <c r="TTT206" s="2"/>
      <c r="TTU206" s="2"/>
      <c r="TTV206" s="2"/>
      <c r="TTW206" s="2"/>
      <c r="TTX206" s="2"/>
      <c r="TTY206" s="2"/>
      <c r="TTZ206" s="2"/>
      <c r="TUA206" s="2"/>
      <c r="TUB206" s="2"/>
      <c r="TUC206" s="2"/>
      <c r="TUD206" s="2"/>
      <c r="TUE206" s="2"/>
      <c r="TUF206" s="2"/>
      <c r="TUG206" s="2"/>
      <c r="TUH206" s="2"/>
      <c r="TUI206" s="2"/>
      <c r="TUJ206" s="2"/>
      <c r="TUK206" s="2"/>
      <c r="TUL206" s="2"/>
      <c r="TUM206" s="2"/>
      <c r="TUN206" s="2"/>
      <c r="TUO206" s="2"/>
      <c r="TUP206" s="2"/>
      <c r="TUQ206" s="2"/>
      <c r="TUR206" s="2"/>
      <c r="TUS206" s="2"/>
      <c r="TUT206" s="2"/>
      <c r="TUU206" s="2"/>
      <c r="TUV206" s="2"/>
      <c r="TUW206" s="2"/>
      <c r="TUX206" s="2"/>
      <c r="TUY206" s="2"/>
      <c r="TUZ206" s="2"/>
      <c r="TVA206" s="2"/>
      <c r="TVB206" s="2"/>
      <c r="TVC206" s="2"/>
      <c r="TVD206" s="2"/>
      <c r="TVE206" s="2"/>
      <c r="TVF206" s="2"/>
      <c r="TVG206" s="2"/>
      <c r="TVH206" s="2"/>
      <c r="TVI206" s="2"/>
      <c r="TVJ206" s="2"/>
      <c r="TVK206" s="2"/>
      <c r="TVL206" s="2"/>
      <c r="TVM206" s="2"/>
      <c r="TVN206" s="2"/>
      <c r="TVO206" s="2"/>
      <c r="TVP206" s="2"/>
      <c r="TVQ206" s="2"/>
      <c r="TVR206" s="2"/>
      <c r="TVS206" s="2"/>
      <c r="TVT206" s="2"/>
      <c r="TVU206" s="2"/>
      <c r="TVV206" s="2"/>
      <c r="TVW206" s="2"/>
      <c r="TVX206" s="2"/>
      <c r="TVY206" s="2"/>
      <c r="TVZ206" s="2"/>
      <c r="TWA206" s="2"/>
      <c r="TWB206" s="2"/>
      <c r="TWC206" s="2"/>
      <c r="TWD206" s="2"/>
      <c r="TWE206" s="2"/>
      <c r="TWF206" s="2"/>
      <c r="TWG206" s="2"/>
      <c r="TWH206" s="2"/>
      <c r="TWI206" s="2"/>
      <c r="TWJ206" s="2"/>
      <c r="TWK206" s="2"/>
      <c r="TWL206" s="2"/>
      <c r="TWM206" s="2"/>
      <c r="TWN206" s="2"/>
      <c r="TWO206" s="2"/>
      <c r="TWP206" s="2"/>
      <c r="TWQ206" s="2"/>
      <c r="TWR206" s="2"/>
      <c r="TWS206" s="2"/>
      <c r="TWT206" s="2"/>
      <c r="TWU206" s="2"/>
      <c r="TWV206" s="2"/>
      <c r="TWW206" s="2"/>
      <c r="TWX206" s="2"/>
      <c r="TWY206" s="2"/>
      <c r="TWZ206" s="2"/>
      <c r="TXA206" s="2"/>
      <c r="TXB206" s="2"/>
      <c r="TXC206" s="2"/>
      <c r="TXD206" s="2"/>
      <c r="TXE206" s="2"/>
      <c r="TXF206" s="2"/>
      <c r="TXG206" s="2"/>
      <c r="TXH206" s="2"/>
      <c r="TXI206" s="2"/>
      <c r="TXJ206" s="2"/>
      <c r="TXK206" s="2"/>
      <c r="TXL206" s="2"/>
      <c r="TXM206" s="2"/>
      <c r="TXN206" s="2"/>
      <c r="TXO206" s="2"/>
      <c r="TXP206" s="2"/>
      <c r="TXQ206" s="2"/>
      <c r="TXR206" s="2"/>
      <c r="TXS206" s="2"/>
      <c r="TXT206" s="2"/>
      <c r="TXU206" s="2"/>
      <c r="TXV206" s="2"/>
      <c r="TXW206" s="2"/>
      <c r="TXX206" s="2"/>
      <c r="TXY206" s="2"/>
      <c r="TXZ206" s="2"/>
      <c r="TYA206" s="2"/>
      <c r="TYB206" s="2"/>
      <c r="TYC206" s="2"/>
      <c r="TYD206" s="2"/>
      <c r="TYE206" s="2"/>
      <c r="TYF206" s="2"/>
      <c r="TYG206" s="2"/>
      <c r="TYH206" s="2"/>
      <c r="TYI206" s="2"/>
      <c r="TYJ206" s="2"/>
      <c r="TYK206" s="2"/>
      <c r="TYL206" s="2"/>
      <c r="TYM206" s="2"/>
      <c r="TYN206" s="2"/>
      <c r="TYO206" s="2"/>
      <c r="TYP206" s="2"/>
      <c r="TYQ206" s="2"/>
      <c r="TYR206" s="2"/>
      <c r="TYS206" s="2"/>
      <c r="TYT206" s="2"/>
      <c r="TYU206" s="2"/>
      <c r="TYV206" s="2"/>
      <c r="TYW206" s="2"/>
      <c r="TYX206" s="2"/>
      <c r="TYY206" s="2"/>
      <c r="TYZ206" s="2"/>
      <c r="TZA206" s="2"/>
      <c r="TZB206" s="2"/>
      <c r="TZC206" s="2"/>
      <c r="TZD206" s="2"/>
      <c r="TZE206" s="2"/>
      <c r="TZF206" s="2"/>
      <c r="TZG206" s="2"/>
      <c r="TZH206" s="2"/>
      <c r="TZI206" s="2"/>
      <c r="TZJ206" s="2"/>
      <c r="TZK206" s="2"/>
      <c r="TZL206" s="2"/>
      <c r="TZM206" s="2"/>
      <c r="TZN206" s="2"/>
      <c r="TZO206" s="2"/>
      <c r="TZP206" s="2"/>
      <c r="TZQ206" s="2"/>
      <c r="TZR206" s="2"/>
      <c r="TZS206" s="2"/>
      <c r="TZT206" s="2"/>
      <c r="TZU206" s="2"/>
      <c r="TZV206" s="2"/>
      <c r="TZW206" s="2"/>
      <c r="TZX206" s="2"/>
      <c r="TZY206" s="2"/>
      <c r="TZZ206" s="2"/>
      <c r="UAA206" s="2"/>
      <c r="UAB206" s="2"/>
      <c r="UAC206" s="2"/>
      <c r="UAD206" s="2"/>
      <c r="UAE206" s="2"/>
      <c r="UAF206" s="2"/>
      <c r="UAG206" s="2"/>
      <c r="UAH206" s="2"/>
      <c r="UAI206" s="2"/>
      <c r="UAJ206" s="2"/>
      <c r="UAK206" s="2"/>
      <c r="UAL206" s="2"/>
      <c r="UAM206" s="2"/>
      <c r="UAN206" s="2"/>
      <c r="UAO206" s="2"/>
      <c r="UAP206" s="2"/>
      <c r="UAQ206" s="2"/>
      <c r="UAR206" s="2"/>
      <c r="UAS206" s="2"/>
      <c r="UAT206" s="2"/>
      <c r="UAU206" s="2"/>
      <c r="UAV206" s="2"/>
      <c r="UAW206" s="2"/>
      <c r="UAX206" s="2"/>
      <c r="UAY206" s="2"/>
      <c r="UAZ206" s="2"/>
      <c r="UBA206" s="2"/>
      <c r="UBB206" s="2"/>
      <c r="UBC206" s="2"/>
      <c r="UBD206" s="2"/>
      <c r="UBE206" s="2"/>
      <c r="UBF206" s="2"/>
      <c r="UBG206" s="2"/>
      <c r="UBH206" s="2"/>
      <c r="UBI206" s="2"/>
      <c r="UBJ206" s="2"/>
      <c r="UBK206" s="2"/>
      <c r="UBL206" s="2"/>
      <c r="UBM206" s="2"/>
      <c r="UBN206" s="2"/>
      <c r="UBO206" s="2"/>
      <c r="UBP206" s="2"/>
      <c r="UBQ206" s="2"/>
      <c r="UBR206" s="2"/>
      <c r="UBS206" s="2"/>
      <c r="UBT206" s="2"/>
      <c r="UBU206" s="2"/>
      <c r="UBV206" s="2"/>
      <c r="UBW206" s="2"/>
      <c r="UBX206" s="2"/>
      <c r="UBY206" s="2"/>
      <c r="UBZ206" s="2"/>
      <c r="UCA206" s="2"/>
      <c r="UCB206" s="2"/>
      <c r="UCC206" s="2"/>
      <c r="UCD206" s="2"/>
      <c r="UCE206" s="2"/>
      <c r="UCF206" s="2"/>
      <c r="UCG206" s="2"/>
      <c r="UCH206" s="2"/>
      <c r="UCI206" s="2"/>
      <c r="UCJ206" s="2"/>
      <c r="UCK206" s="2"/>
      <c r="UCL206" s="2"/>
      <c r="UCM206" s="2"/>
      <c r="UCN206" s="2"/>
      <c r="UCO206" s="2"/>
      <c r="UCP206" s="2"/>
      <c r="UCQ206" s="2"/>
      <c r="UCR206" s="2"/>
      <c r="UCS206" s="2"/>
      <c r="UCT206" s="2"/>
      <c r="UCU206" s="2"/>
      <c r="UCV206" s="2"/>
      <c r="UCW206" s="2"/>
      <c r="UCX206" s="2"/>
      <c r="UCY206" s="2"/>
      <c r="UCZ206" s="2"/>
      <c r="UDA206" s="2"/>
      <c r="UDB206" s="2"/>
      <c r="UDC206" s="2"/>
      <c r="UDD206" s="2"/>
      <c r="UDE206" s="2"/>
      <c r="UDF206" s="2"/>
      <c r="UDG206" s="2"/>
      <c r="UDH206" s="2"/>
      <c r="UDI206" s="2"/>
      <c r="UDJ206" s="2"/>
      <c r="UDK206" s="2"/>
      <c r="UDL206" s="2"/>
      <c r="UDM206" s="2"/>
      <c r="UDN206" s="2"/>
      <c r="UDO206" s="2"/>
      <c r="UDP206" s="2"/>
      <c r="UDQ206" s="2"/>
      <c r="UDR206" s="2"/>
      <c r="UDS206" s="2"/>
      <c r="UDT206" s="2"/>
      <c r="UDU206" s="2"/>
      <c r="UDV206" s="2"/>
      <c r="UDW206" s="2"/>
      <c r="UDX206" s="2"/>
      <c r="UDY206" s="2"/>
      <c r="UDZ206" s="2"/>
      <c r="UEA206" s="2"/>
      <c r="UEB206" s="2"/>
      <c r="UEC206" s="2"/>
      <c r="UED206" s="2"/>
      <c r="UEE206" s="2"/>
      <c r="UEF206" s="2"/>
      <c r="UEG206" s="2"/>
      <c r="UEH206" s="2"/>
      <c r="UEI206" s="2"/>
      <c r="UEJ206" s="2"/>
      <c r="UEK206" s="2"/>
      <c r="UEL206" s="2"/>
      <c r="UEM206" s="2"/>
      <c r="UEN206" s="2"/>
      <c r="UEO206" s="2"/>
      <c r="UEP206" s="2"/>
      <c r="UEQ206" s="2"/>
      <c r="UER206" s="2"/>
      <c r="UES206" s="2"/>
      <c r="UET206" s="2"/>
      <c r="UEU206" s="2"/>
      <c r="UEV206" s="2"/>
      <c r="UEW206" s="2"/>
      <c r="UEX206" s="2"/>
      <c r="UEY206" s="2"/>
      <c r="UEZ206" s="2"/>
      <c r="UFA206" s="2"/>
      <c r="UFB206" s="2"/>
      <c r="UFC206" s="2"/>
      <c r="UFD206" s="2"/>
      <c r="UFE206" s="2"/>
      <c r="UFF206" s="2"/>
      <c r="UFG206" s="2"/>
      <c r="UFH206" s="2"/>
      <c r="UFI206" s="2"/>
      <c r="UFJ206" s="2"/>
      <c r="UFK206" s="2"/>
      <c r="UFL206" s="2"/>
      <c r="UFM206" s="2"/>
      <c r="UFN206" s="2"/>
      <c r="UFO206" s="2"/>
      <c r="UFP206" s="2"/>
      <c r="UFQ206" s="2"/>
      <c r="UFR206" s="2"/>
      <c r="UFS206" s="2"/>
      <c r="UFT206" s="2"/>
      <c r="UFU206" s="2"/>
      <c r="UFV206" s="2"/>
      <c r="UFW206" s="2"/>
      <c r="UFX206" s="2"/>
      <c r="UFY206" s="2"/>
      <c r="UFZ206" s="2"/>
      <c r="UGA206" s="2"/>
      <c r="UGB206" s="2"/>
      <c r="UGC206" s="2"/>
      <c r="UGD206" s="2"/>
      <c r="UGE206" s="2"/>
      <c r="UGF206" s="2"/>
      <c r="UGG206" s="2"/>
      <c r="UGH206" s="2"/>
      <c r="UGI206" s="2"/>
      <c r="UGJ206" s="2"/>
      <c r="UGK206" s="2"/>
      <c r="UGL206" s="2"/>
      <c r="UGM206" s="2"/>
      <c r="UGN206" s="2"/>
      <c r="UGO206" s="2"/>
      <c r="UGP206" s="2"/>
      <c r="UGQ206" s="2"/>
      <c r="UGR206" s="2"/>
      <c r="UGS206" s="2"/>
      <c r="UGT206" s="2"/>
      <c r="UGU206" s="2"/>
      <c r="UGV206" s="2"/>
      <c r="UGW206" s="2"/>
      <c r="UGX206" s="2"/>
      <c r="UGY206" s="2"/>
      <c r="UGZ206" s="2"/>
      <c r="UHA206" s="2"/>
      <c r="UHB206" s="2"/>
      <c r="UHC206" s="2"/>
      <c r="UHD206" s="2"/>
      <c r="UHE206" s="2"/>
      <c r="UHF206" s="2"/>
      <c r="UHG206" s="2"/>
      <c r="UHH206" s="2"/>
      <c r="UHI206" s="2"/>
      <c r="UHJ206" s="2"/>
      <c r="UHK206" s="2"/>
      <c r="UHL206" s="2"/>
      <c r="UHM206" s="2"/>
      <c r="UHN206" s="2"/>
      <c r="UHO206" s="2"/>
      <c r="UHP206" s="2"/>
      <c r="UHQ206" s="2"/>
      <c r="UHR206" s="2"/>
      <c r="UHS206" s="2"/>
      <c r="UHT206" s="2"/>
      <c r="UHU206" s="2"/>
      <c r="UHV206" s="2"/>
      <c r="UHW206" s="2"/>
      <c r="UHX206" s="2"/>
      <c r="UHY206" s="2"/>
      <c r="UHZ206" s="2"/>
      <c r="UIA206" s="2"/>
      <c r="UIB206" s="2"/>
      <c r="UIC206" s="2"/>
      <c r="UID206" s="2"/>
      <c r="UIE206" s="2"/>
      <c r="UIF206" s="2"/>
      <c r="UIG206" s="2"/>
      <c r="UIH206" s="2"/>
      <c r="UII206" s="2"/>
      <c r="UIJ206" s="2"/>
      <c r="UIK206" s="2"/>
      <c r="UIL206" s="2"/>
      <c r="UIM206" s="2"/>
      <c r="UIN206" s="2"/>
      <c r="UIO206" s="2"/>
      <c r="UIP206" s="2"/>
      <c r="UIQ206" s="2"/>
      <c r="UIR206" s="2"/>
      <c r="UIS206" s="2"/>
      <c r="UIT206" s="2"/>
      <c r="UIU206" s="2"/>
      <c r="UIV206" s="2"/>
      <c r="UIW206" s="2"/>
      <c r="UIX206" s="2"/>
      <c r="UIY206" s="2"/>
      <c r="UIZ206" s="2"/>
      <c r="UJA206" s="2"/>
      <c r="UJB206" s="2"/>
      <c r="UJC206" s="2"/>
      <c r="UJD206" s="2"/>
      <c r="UJE206" s="2"/>
      <c r="UJF206" s="2"/>
      <c r="UJG206" s="2"/>
      <c r="UJH206" s="2"/>
      <c r="UJI206" s="2"/>
      <c r="UJJ206" s="2"/>
      <c r="UJK206" s="2"/>
      <c r="UJL206" s="2"/>
      <c r="UJM206" s="2"/>
      <c r="UJN206" s="2"/>
      <c r="UJO206" s="2"/>
      <c r="UJP206" s="2"/>
      <c r="UJQ206" s="2"/>
      <c r="UJR206" s="2"/>
      <c r="UJS206" s="2"/>
      <c r="UJT206" s="2"/>
      <c r="UJU206" s="2"/>
      <c r="UJV206" s="2"/>
      <c r="UJW206" s="2"/>
      <c r="UJX206" s="2"/>
      <c r="UJY206" s="2"/>
      <c r="UJZ206" s="2"/>
      <c r="UKA206" s="2"/>
      <c r="UKB206" s="2"/>
      <c r="UKC206" s="2"/>
      <c r="UKD206" s="2"/>
      <c r="UKE206" s="2"/>
      <c r="UKF206" s="2"/>
      <c r="UKG206" s="2"/>
      <c r="UKH206" s="2"/>
      <c r="UKI206" s="2"/>
      <c r="UKJ206" s="2"/>
      <c r="UKK206" s="2"/>
      <c r="UKL206" s="2"/>
      <c r="UKM206" s="2"/>
      <c r="UKN206" s="2"/>
      <c r="UKO206" s="2"/>
      <c r="UKP206" s="2"/>
      <c r="UKQ206" s="2"/>
      <c r="UKR206" s="2"/>
      <c r="UKS206" s="2"/>
      <c r="UKT206" s="2"/>
      <c r="UKU206" s="2"/>
      <c r="UKV206" s="2"/>
      <c r="UKW206" s="2"/>
      <c r="UKX206" s="2"/>
      <c r="UKY206" s="2"/>
      <c r="UKZ206" s="2"/>
      <c r="ULA206" s="2"/>
      <c r="ULB206" s="2"/>
      <c r="ULC206" s="2"/>
      <c r="ULD206" s="2"/>
      <c r="ULE206" s="2"/>
      <c r="ULF206" s="2"/>
      <c r="ULG206" s="2"/>
      <c r="ULH206" s="2"/>
      <c r="ULI206" s="2"/>
      <c r="ULJ206" s="2"/>
      <c r="ULK206" s="2"/>
      <c r="ULL206" s="2"/>
      <c r="ULM206" s="2"/>
      <c r="ULN206" s="2"/>
      <c r="ULO206" s="2"/>
      <c r="ULP206" s="2"/>
      <c r="ULQ206" s="2"/>
      <c r="ULR206" s="2"/>
      <c r="ULS206" s="2"/>
      <c r="ULT206" s="2"/>
      <c r="ULU206" s="2"/>
      <c r="ULV206" s="2"/>
      <c r="ULW206" s="2"/>
      <c r="ULX206" s="2"/>
      <c r="ULY206" s="2"/>
      <c r="ULZ206" s="2"/>
      <c r="UMA206" s="2"/>
      <c r="UMB206" s="2"/>
      <c r="UMC206" s="2"/>
      <c r="UMD206" s="2"/>
      <c r="UME206" s="2"/>
      <c r="UMF206" s="2"/>
      <c r="UMG206" s="2"/>
      <c r="UMH206" s="2"/>
      <c r="UMI206" s="2"/>
      <c r="UMJ206" s="2"/>
      <c r="UMK206" s="2"/>
      <c r="UML206" s="2"/>
      <c r="UMM206" s="2"/>
      <c r="UMN206" s="2"/>
      <c r="UMO206" s="2"/>
      <c r="UMP206" s="2"/>
      <c r="UMQ206" s="2"/>
      <c r="UMR206" s="2"/>
      <c r="UMS206" s="2"/>
      <c r="UMT206" s="2"/>
      <c r="UMU206" s="2"/>
      <c r="UMV206" s="2"/>
      <c r="UMW206" s="2"/>
      <c r="UMX206" s="2"/>
      <c r="UMY206" s="2"/>
      <c r="UMZ206" s="2"/>
      <c r="UNA206" s="2"/>
      <c r="UNB206" s="2"/>
      <c r="UNC206" s="2"/>
      <c r="UND206" s="2"/>
      <c r="UNE206" s="2"/>
      <c r="UNF206" s="2"/>
      <c r="UNG206" s="2"/>
      <c r="UNH206" s="2"/>
      <c r="UNI206" s="2"/>
      <c r="UNJ206" s="2"/>
      <c r="UNK206" s="2"/>
      <c r="UNL206" s="2"/>
      <c r="UNM206" s="2"/>
      <c r="UNN206" s="2"/>
      <c r="UNO206" s="2"/>
      <c r="UNP206" s="2"/>
      <c r="UNQ206" s="2"/>
      <c r="UNR206" s="2"/>
      <c r="UNS206" s="2"/>
      <c r="UNT206" s="2"/>
      <c r="UNU206" s="2"/>
      <c r="UNV206" s="2"/>
      <c r="UNW206" s="2"/>
      <c r="UNX206" s="2"/>
      <c r="UNY206" s="2"/>
      <c r="UNZ206" s="2"/>
      <c r="UOA206" s="2"/>
      <c r="UOB206" s="2"/>
      <c r="UOC206" s="2"/>
      <c r="UOD206" s="2"/>
      <c r="UOE206" s="2"/>
      <c r="UOF206" s="2"/>
      <c r="UOG206" s="2"/>
      <c r="UOH206" s="2"/>
      <c r="UOI206" s="2"/>
      <c r="UOJ206" s="2"/>
      <c r="UOK206" s="2"/>
      <c r="UOL206" s="2"/>
      <c r="UOM206" s="2"/>
      <c r="UON206" s="2"/>
      <c r="UOO206" s="2"/>
      <c r="UOP206" s="2"/>
      <c r="UOQ206" s="2"/>
      <c r="UOR206" s="2"/>
      <c r="UOS206" s="2"/>
      <c r="UOT206" s="2"/>
      <c r="UOU206" s="2"/>
      <c r="UOV206" s="2"/>
      <c r="UOW206" s="2"/>
      <c r="UOX206" s="2"/>
      <c r="UOY206" s="2"/>
      <c r="UOZ206" s="2"/>
      <c r="UPA206" s="2"/>
      <c r="UPB206" s="2"/>
      <c r="UPC206" s="2"/>
      <c r="UPD206" s="2"/>
      <c r="UPE206" s="2"/>
      <c r="UPF206" s="2"/>
      <c r="UPG206" s="2"/>
      <c r="UPH206" s="2"/>
      <c r="UPI206" s="2"/>
      <c r="UPJ206" s="2"/>
      <c r="UPK206" s="2"/>
      <c r="UPL206" s="2"/>
      <c r="UPM206" s="2"/>
      <c r="UPN206" s="2"/>
      <c r="UPO206" s="2"/>
      <c r="UPP206" s="2"/>
      <c r="UPQ206" s="2"/>
      <c r="UPR206" s="2"/>
      <c r="UPS206" s="2"/>
      <c r="UPT206" s="2"/>
      <c r="UPU206" s="2"/>
      <c r="UPV206" s="2"/>
      <c r="UPW206" s="2"/>
      <c r="UPX206" s="2"/>
      <c r="UPY206" s="2"/>
      <c r="UPZ206" s="2"/>
      <c r="UQA206" s="2"/>
      <c r="UQB206" s="2"/>
      <c r="UQC206" s="2"/>
      <c r="UQD206" s="2"/>
      <c r="UQE206" s="2"/>
      <c r="UQF206" s="2"/>
      <c r="UQG206" s="2"/>
      <c r="UQH206" s="2"/>
      <c r="UQI206" s="2"/>
      <c r="UQJ206" s="2"/>
      <c r="UQK206" s="2"/>
      <c r="UQL206" s="2"/>
      <c r="UQM206" s="2"/>
      <c r="UQN206" s="2"/>
      <c r="UQO206" s="2"/>
      <c r="UQP206" s="2"/>
      <c r="UQQ206" s="2"/>
      <c r="UQR206" s="2"/>
      <c r="UQS206" s="2"/>
      <c r="UQT206" s="2"/>
      <c r="UQU206" s="2"/>
      <c r="UQV206" s="2"/>
      <c r="UQW206" s="2"/>
      <c r="UQX206" s="2"/>
      <c r="UQY206" s="2"/>
      <c r="UQZ206" s="2"/>
      <c r="URA206" s="2"/>
      <c r="URB206" s="2"/>
      <c r="URC206" s="2"/>
      <c r="URD206" s="2"/>
      <c r="URE206" s="2"/>
      <c r="URF206" s="2"/>
      <c r="URG206" s="2"/>
      <c r="URH206" s="2"/>
      <c r="URI206" s="2"/>
      <c r="URJ206" s="2"/>
      <c r="URK206" s="2"/>
      <c r="URL206" s="2"/>
      <c r="URM206" s="2"/>
      <c r="URN206" s="2"/>
      <c r="URO206" s="2"/>
      <c r="URP206" s="2"/>
      <c r="URQ206" s="2"/>
      <c r="URR206" s="2"/>
      <c r="URS206" s="2"/>
      <c r="URT206" s="2"/>
      <c r="URU206" s="2"/>
      <c r="URV206" s="2"/>
      <c r="URW206" s="2"/>
      <c r="URX206" s="2"/>
      <c r="URY206" s="2"/>
      <c r="URZ206" s="2"/>
      <c r="USA206" s="2"/>
      <c r="USB206" s="2"/>
      <c r="USC206" s="2"/>
      <c r="USD206" s="2"/>
      <c r="USE206" s="2"/>
      <c r="USF206" s="2"/>
      <c r="USG206" s="2"/>
      <c r="USH206" s="2"/>
      <c r="USI206" s="2"/>
      <c r="USJ206" s="2"/>
      <c r="USK206" s="2"/>
      <c r="USL206" s="2"/>
      <c r="USM206" s="2"/>
      <c r="USN206" s="2"/>
      <c r="USO206" s="2"/>
      <c r="USP206" s="2"/>
      <c r="USQ206" s="2"/>
      <c r="USR206" s="2"/>
      <c r="USS206" s="2"/>
      <c r="UST206" s="2"/>
      <c r="USU206" s="2"/>
      <c r="USV206" s="2"/>
      <c r="USW206" s="2"/>
      <c r="USX206" s="2"/>
      <c r="USY206" s="2"/>
      <c r="USZ206" s="2"/>
      <c r="UTA206" s="2"/>
      <c r="UTB206" s="2"/>
      <c r="UTC206" s="2"/>
      <c r="UTD206" s="2"/>
      <c r="UTE206" s="2"/>
      <c r="UTF206" s="2"/>
      <c r="UTG206" s="2"/>
      <c r="UTH206" s="2"/>
      <c r="UTI206" s="2"/>
      <c r="UTJ206" s="2"/>
      <c r="UTK206" s="2"/>
      <c r="UTL206" s="2"/>
      <c r="UTM206" s="2"/>
      <c r="UTN206" s="2"/>
      <c r="UTO206" s="2"/>
      <c r="UTP206" s="2"/>
      <c r="UTQ206" s="2"/>
      <c r="UTR206" s="2"/>
      <c r="UTS206" s="2"/>
      <c r="UTT206" s="2"/>
      <c r="UTU206" s="2"/>
      <c r="UTV206" s="2"/>
      <c r="UTW206" s="2"/>
      <c r="UTX206" s="2"/>
      <c r="UTY206" s="2"/>
      <c r="UTZ206" s="2"/>
      <c r="UUA206" s="2"/>
      <c r="UUB206" s="2"/>
      <c r="UUC206" s="2"/>
      <c r="UUD206" s="2"/>
      <c r="UUE206" s="2"/>
      <c r="UUF206" s="2"/>
      <c r="UUG206" s="2"/>
      <c r="UUH206" s="2"/>
      <c r="UUI206" s="2"/>
      <c r="UUJ206" s="2"/>
      <c r="UUK206" s="2"/>
      <c r="UUL206" s="2"/>
      <c r="UUM206" s="2"/>
      <c r="UUN206" s="2"/>
      <c r="UUO206" s="2"/>
      <c r="UUP206" s="2"/>
      <c r="UUQ206" s="2"/>
      <c r="UUR206" s="2"/>
      <c r="UUS206" s="2"/>
      <c r="UUT206" s="2"/>
      <c r="UUU206" s="2"/>
      <c r="UUV206" s="2"/>
      <c r="UUW206" s="2"/>
      <c r="UUX206" s="2"/>
      <c r="UUY206" s="2"/>
      <c r="UUZ206" s="2"/>
      <c r="UVA206" s="2"/>
      <c r="UVB206" s="2"/>
      <c r="UVC206" s="2"/>
      <c r="UVD206" s="2"/>
      <c r="UVE206" s="2"/>
      <c r="UVF206" s="2"/>
      <c r="UVG206" s="2"/>
      <c r="UVH206" s="2"/>
      <c r="UVI206" s="2"/>
      <c r="UVJ206" s="2"/>
      <c r="UVK206" s="2"/>
      <c r="UVL206" s="2"/>
      <c r="UVM206" s="2"/>
      <c r="UVN206" s="2"/>
      <c r="UVO206" s="2"/>
      <c r="UVP206" s="2"/>
      <c r="UVQ206" s="2"/>
      <c r="UVR206" s="2"/>
      <c r="UVS206" s="2"/>
      <c r="UVT206" s="2"/>
      <c r="UVU206" s="2"/>
      <c r="UVV206" s="2"/>
      <c r="UVW206" s="2"/>
      <c r="UVX206" s="2"/>
      <c r="UVY206" s="2"/>
      <c r="UVZ206" s="2"/>
      <c r="UWA206" s="2"/>
      <c r="UWB206" s="2"/>
      <c r="UWC206" s="2"/>
      <c r="UWD206" s="2"/>
      <c r="UWE206" s="2"/>
      <c r="UWF206" s="2"/>
      <c r="UWG206" s="2"/>
      <c r="UWH206" s="2"/>
      <c r="UWI206" s="2"/>
      <c r="UWJ206" s="2"/>
      <c r="UWK206" s="2"/>
      <c r="UWL206" s="2"/>
      <c r="UWM206" s="2"/>
      <c r="UWN206" s="2"/>
      <c r="UWO206" s="2"/>
      <c r="UWP206" s="2"/>
      <c r="UWQ206" s="2"/>
      <c r="UWR206" s="2"/>
      <c r="UWS206" s="2"/>
      <c r="UWT206" s="2"/>
      <c r="UWU206" s="2"/>
      <c r="UWV206" s="2"/>
      <c r="UWW206" s="2"/>
      <c r="UWX206" s="2"/>
      <c r="UWY206" s="2"/>
      <c r="UWZ206" s="2"/>
      <c r="UXA206" s="2"/>
      <c r="UXB206" s="2"/>
      <c r="UXC206" s="2"/>
      <c r="UXD206" s="2"/>
      <c r="UXE206" s="2"/>
      <c r="UXF206" s="2"/>
      <c r="UXG206" s="2"/>
      <c r="UXH206" s="2"/>
      <c r="UXI206" s="2"/>
      <c r="UXJ206" s="2"/>
      <c r="UXK206" s="2"/>
      <c r="UXL206" s="2"/>
      <c r="UXM206" s="2"/>
      <c r="UXN206" s="2"/>
      <c r="UXO206" s="2"/>
      <c r="UXP206" s="2"/>
      <c r="UXQ206" s="2"/>
      <c r="UXR206" s="2"/>
      <c r="UXS206" s="2"/>
      <c r="UXT206" s="2"/>
      <c r="UXU206" s="2"/>
      <c r="UXV206" s="2"/>
      <c r="UXW206" s="2"/>
      <c r="UXX206" s="2"/>
      <c r="UXY206" s="2"/>
      <c r="UXZ206" s="2"/>
      <c r="UYA206" s="2"/>
      <c r="UYB206" s="2"/>
      <c r="UYC206" s="2"/>
      <c r="UYD206" s="2"/>
      <c r="UYE206" s="2"/>
      <c r="UYF206" s="2"/>
      <c r="UYG206" s="2"/>
      <c r="UYH206" s="2"/>
      <c r="UYI206" s="2"/>
      <c r="UYJ206" s="2"/>
      <c r="UYK206" s="2"/>
      <c r="UYL206" s="2"/>
      <c r="UYM206" s="2"/>
      <c r="UYN206" s="2"/>
      <c r="UYO206" s="2"/>
      <c r="UYP206" s="2"/>
      <c r="UYQ206" s="2"/>
      <c r="UYR206" s="2"/>
      <c r="UYS206" s="2"/>
      <c r="UYT206" s="2"/>
      <c r="UYU206" s="2"/>
      <c r="UYV206" s="2"/>
      <c r="UYW206" s="2"/>
      <c r="UYX206" s="2"/>
      <c r="UYY206" s="2"/>
      <c r="UYZ206" s="2"/>
      <c r="UZA206" s="2"/>
      <c r="UZB206" s="2"/>
      <c r="UZC206" s="2"/>
      <c r="UZD206" s="2"/>
      <c r="UZE206" s="2"/>
      <c r="UZF206" s="2"/>
      <c r="UZG206" s="2"/>
      <c r="UZH206" s="2"/>
      <c r="UZI206" s="2"/>
      <c r="UZJ206" s="2"/>
      <c r="UZK206" s="2"/>
      <c r="UZL206" s="2"/>
      <c r="UZM206" s="2"/>
      <c r="UZN206" s="2"/>
      <c r="UZO206" s="2"/>
      <c r="UZP206" s="2"/>
      <c r="UZQ206" s="2"/>
      <c r="UZR206" s="2"/>
      <c r="UZS206" s="2"/>
      <c r="UZT206" s="2"/>
      <c r="UZU206" s="2"/>
      <c r="UZV206" s="2"/>
      <c r="UZW206" s="2"/>
      <c r="UZX206" s="2"/>
      <c r="UZY206" s="2"/>
      <c r="UZZ206" s="2"/>
      <c r="VAA206" s="2"/>
      <c r="VAB206" s="2"/>
      <c r="VAC206" s="2"/>
      <c r="VAD206" s="2"/>
      <c r="VAE206" s="2"/>
      <c r="VAF206" s="2"/>
      <c r="VAG206" s="2"/>
      <c r="VAH206" s="2"/>
      <c r="VAI206" s="2"/>
      <c r="VAJ206" s="2"/>
      <c r="VAK206" s="2"/>
      <c r="VAL206" s="2"/>
      <c r="VAM206" s="2"/>
      <c r="VAN206" s="2"/>
      <c r="VAO206" s="2"/>
      <c r="VAP206" s="2"/>
      <c r="VAQ206" s="2"/>
      <c r="VAR206" s="2"/>
      <c r="VAS206" s="2"/>
      <c r="VAT206" s="2"/>
      <c r="VAU206" s="2"/>
      <c r="VAV206" s="2"/>
      <c r="VAW206" s="2"/>
      <c r="VAX206" s="2"/>
      <c r="VAY206" s="2"/>
      <c r="VAZ206" s="2"/>
      <c r="VBA206" s="2"/>
      <c r="VBB206" s="2"/>
      <c r="VBC206" s="2"/>
      <c r="VBD206" s="2"/>
      <c r="VBE206" s="2"/>
      <c r="VBF206" s="2"/>
      <c r="VBG206" s="2"/>
      <c r="VBH206" s="2"/>
      <c r="VBI206" s="2"/>
      <c r="VBJ206" s="2"/>
      <c r="VBK206" s="2"/>
      <c r="VBL206" s="2"/>
      <c r="VBM206" s="2"/>
      <c r="VBN206" s="2"/>
      <c r="VBO206" s="2"/>
      <c r="VBP206" s="2"/>
      <c r="VBQ206" s="2"/>
      <c r="VBR206" s="2"/>
      <c r="VBS206" s="2"/>
      <c r="VBT206" s="2"/>
      <c r="VBU206" s="2"/>
      <c r="VBV206" s="2"/>
      <c r="VBW206" s="2"/>
      <c r="VBX206" s="2"/>
      <c r="VBY206" s="2"/>
      <c r="VBZ206" s="2"/>
      <c r="VCA206" s="2"/>
      <c r="VCB206" s="2"/>
      <c r="VCC206" s="2"/>
      <c r="VCD206" s="2"/>
      <c r="VCE206" s="2"/>
      <c r="VCF206" s="2"/>
      <c r="VCG206" s="2"/>
      <c r="VCH206" s="2"/>
      <c r="VCI206" s="2"/>
      <c r="VCJ206" s="2"/>
      <c r="VCK206" s="2"/>
      <c r="VCL206" s="2"/>
      <c r="VCM206" s="2"/>
      <c r="VCN206" s="2"/>
      <c r="VCO206" s="2"/>
      <c r="VCP206" s="2"/>
      <c r="VCQ206" s="2"/>
      <c r="VCR206" s="2"/>
      <c r="VCS206" s="2"/>
      <c r="VCT206" s="2"/>
      <c r="VCU206" s="2"/>
      <c r="VCV206" s="2"/>
      <c r="VCW206" s="2"/>
    </row>
    <row r="207" spans="5:14973" s="3" customFormat="1" x14ac:dyDescent="0.3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72"/>
      <c r="AN207" s="72"/>
      <c r="AO207" s="72"/>
      <c r="AP207" s="2"/>
      <c r="AQ207" s="2"/>
      <c r="AR207" s="2"/>
      <c r="AT207" s="4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2"/>
      <c r="TR207" s="2"/>
      <c r="TS207" s="2"/>
      <c r="TT207" s="2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2"/>
      <c r="UF207" s="2"/>
      <c r="UG207" s="2"/>
      <c r="UH207" s="2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2"/>
      <c r="UT207" s="2"/>
      <c r="UU207" s="2"/>
      <c r="UV207" s="2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2"/>
      <c r="VH207" s="2"/>
      <c r="VI207" s="2"/>
      <c r="VJ207" s="2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2"/>
      <c r="VV207" s="2"/>
      <c r="VW207" s="2"/>
      <c r="VX207" s="2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2"/>
      <c r="WJ207" s="2"/>
      <c r="WK207" s="2"/>
      <c r="WL207" s="2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2"/>
      <c r="XN207" s="2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2"/>
      <c r="XZ207" s="2"/>
      <c r="YA207" s="2"/>
      <c r="YB207" s="2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2"/>
      <c r="YN207" s="2"/>
      <c r="YO207" s="2"/>
      <c r="YP207" s="2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2"/>
      <c r="ZB207" s="2"/>
      <c r="ZC207" s="2"/>
      <c r="ZD207" s="2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2"/>
      <c r="ZP207" s="2"/>
      <c r="ZQ207" s="2"/>
      <c r="ZR207" s="2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2"/>
      <c r="AAD207" s="2"/>
      <c r="AAE207" s="2"/>
      <c r="AAF207" s="2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  <c r="ABE207" s="2"/>
      <c r="ABF207" s="2"/>
      <c r="ABG207" s="2"/>
      <c r="ABH207" s="2"/>
      <c r="ABI207" s="2"/>
      <c r="ABJ207" s="2"/>
      <c r="ABK207" s="2"/>
      <c r="ABL207" s="2"/>
      <c r="ABM207" s="2"/>
      <c r="ABN207" s="2"/>
      <c r="ABO207" s="2"/>
      <c r="ABP207" s="2"/>
      <c r="ABQ207" s="2"/>
      <c r="ABR207" s="2"/>
      <c r="ABS207" s="2"/>
      <c r="ABT207" s="2"/>
      <c r="ABU207" s="2"/>
      <c r="ABV207" s="2"/>
      <c r="ABW207" s="2"/>
      <c r="ABX207" s="2"/>
      <c r="ABY207" s="2"/>
      <c r="ABZ207" s="2"/>
      <c r="ACA207" s="2"/>
      <c r="ACB207" s="2"/>
      <c r="ACC207" s="2"/>
      <c r="ACD207" s="2"/>
      <c r="ACE207" s="2"/>
      <c r="ACF207" s="2"/>
      <c r="ACG207" s="2"/>
      <c r="ACH207" s="2"/>
      <c r="ACI207" s="2"/>
      <c r="ACJ207" s="2"/>
      <c r="ACK207" s="2"/>
      <c r="ACL207" s="2"/>
      <c r="ACM207" s="2"/>
      <c r="ACN207" s="2"/>
      <c r="ACO207" s="2"/>
      <c r="ACP207" s="2"/>
      <c r="ACQ207" s="2"/>
      <c r="ACR207" s="2"/>
      <c r="ACS207" s="2"/>
      <c r="ACT207" s="2"/>
      <c r="ACU207" s="2"/>
      <c r="ACV207" s="2"/>
      <c r="ACW207" s="2"/>
      <c r="ACX207" s="2"/>
      <c r="ACY207" s="2"/>
      <c r="ACZ207" s="2"/>
      <c r="ADA207" s="2"/>
      <c r="ADB207" s="2"/>
      <c r="ADC207" s="2"/>
      <c r="ADD207" s="2"/>
      <c r="ADE207" s="2"/>
      <c r="ADF207" s="2"/>
      <c r="ADG207" s="2"/>
      <c r="ADH207" s="2"/>
      <c r="ADI207" s="2"/>
      <c r="ADJ207" s="2"/>
      <c r="ADK207" s="2"/>
      <c r="ADL207" s="2"/>
      <c r="ADM207" s="2"/>
      <c r="ADN207" s="2"/>
      <c r="ADO207" s="2"/>
      <c r="ADP207" s="2"/>
      <c r="ADQ207" s="2"/>
      <c r="ADR207" s="2"/>
      <c r="ADS207" s="2"/>
      <c r="ADT207" s="2"/>
      <c r="ADU207" s="2"/>
      <c r="ADV207" s="2"/>
      <c r="ADW207" s="2"/>
      <c r="ADX207" s="2"/>
      <c r="ADY207" s="2"/>
      <c r="ADZ207" s="2"/>
      <c r="AEA207" s="2"/>
      <c r="AEB207" s="2"/>
      <c r="AEC207" s="2"/>
      <c r="AED207" s="2"/>
      <c r="AEE207" s="2"/>
      <c r="AEF207" s="2"/>
      <c r="AEG207" s="2"/>
      <c r="AEH207" s="2"/>
      <c r="AEI207" s="2"/>
      <c r="AEJ207" s="2"/>
      <c r="AEK207" s="2"/>
      <c r="AEL207" s="2"/>
      <c r="AEM207" s="2"/>
      <c r="AEN207" s="2"/>
      <c r="AEO207" s="2"/>
      <c r="AEP207" s="2"/>
      <c r="AEQ207" s="2"/>
      <c r="AER207" s="2"/>
      <c r="AES207" s="2"/>
      <c r="AET207" s="2"/>
      <c r="AEU207" s="2"/>
      <c r="AEV207" s="2"/>
      <c r="AEW207" s="2"/>
      <c r="AEX207" s="2"/>
      <c r="AEY207" s="2"/>
      <c r="AEZ207" s="2"/>
      <c r="AFA207" s="2"/>
      <c r="AFB207" s="2"/>
      <c r="AFC207" s="2"/>
      <c r="AFD207" s="2"/>
      <c r="AFE207" s="2"/>
      <c r="AFF207" s="2"/>
      <c r="AFG207" s="2"/>
      <c r="AFH207" s="2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"/>
      <c r="AFT207" s="2"/>
      <c r="AFU207" s="2"/>
      <c r="AFV207" s="2"/>
      <c r="AFW207" s="2"/>
      <c r="AFX207" s="2"/>
      <c r="AFY207" s="2"/>
      <c r="AFZ207" s="2"/>
      <c r="AGA207" s="2"/>
      <c r="AGB207" s="2"/>
      <c r="AGC207" s="2"/>
      <c r="AGD207" s="2"/>
      <c r="AGE207" s="2"/>
      <c r="AGF207" s="2"/>
      <c r="AGG207" s="2"/>
      <c r="AGH207" s="2"/>
      <c r="AGI207" s="2"/>
      <c r="AGJ207" s="2"/>
      <c r="AGK207" s="2"/>
      <c r="AGL207" s="2"/>
      <c r="AGM207" s="2"/>
      <c r="AGN207" s="2"/>
      <c r="AGO207" s="2"/>
      <c r="AGP207" s="2"/>
      <c r="AGQ207" s="2"/>
      <c r="AGR207" s="2"/>
      <c r="AGS207" s="2"/>
      <c r="AGT207" s="2"/>
      <c r="AGU207" s="2"/>
      <c r="AGV207" s="2"/>
      <c r="AGW207" s="2"/>
      <c r="AGX207" s="2"/>
      <c r="AGY207" s="2"/>
      <c r="AGZ207" s="2"/>
      <c r="AHA207" s="2"/>
      <c r="AHB207" s="2"/>
      <c r="AHC207" s="2"/>
      <c r="AHD207" s="2"/>
      <c r="AHE207" s="2"/>
      <c r="AHF207" s="2"/>
      <c r="AHG207" s="2"/>
      <c r="AHH207" s="2"/>
      <c r="AHI207" s="2"/>
      <c r="AHJ207" s="2"/>
      <c r="AHK207" s="2"/>
      <c r="AHL207" s="2"/>
      <c r="AHM207" s="2"/>
      <c r="AHN207" s="2"/>
      <c r="AHO207" s="2"/>
      <c r="AHP207" s="2"/>
      <c r="AHQ207" s="2"/>
      <c r="AHR207" s="2"/>
      <c r="AHS207" s="2"/>
      <c r="AHT207" s="2"/>
      <c r="AHU207" s="2"/>
      <c r="AHV207" s="2"/>
      <c r="AHW207" s="2"/>
      <c r="AHX207" s="2"/>
      <c r="AHY207" s="2"/>
      <c r="AHZ207" s="2"/>
      <c r="AIA207" s="2"/>
      <c r="AIB207" s="2"/>
      <c r="AIC207" s="2"/>
      <c r="AID207" s="2"/>
      <c r="AIE207" s="2"/>
      <c r="AIF207" s="2"/>
      <c r="AIG207" s="2"/>
      <c r="AIH207" s="2"/>
      <c r="AII207" s="2"/>
      <c r="AIJ207" s="2"/>
      <c r="AIK207" s="2"/>
      <c r="AIL207" s="2"/>
      <c r="AIM207" s="2"/>
      <c r="AIN207" s="2"/>
      <c r="AIO207" s="2"/>
      <c r="AIP207" s="2"/>
      <c r="AIQ207" s="2"/>
      <c r="AIR207" s="2"/>
      <c r="AIS207" s="2"/>
      <c r="AIT207" s="2"/>
      <c r="AIU207" s="2"/>
      <c r="AIV207" s="2"/>
      <c r="AIW207" s="2"/>
      <c r="AIX207" s="2"/>
      <c r="AIY207" s="2"/>
      <c r="AIZ207" s="2"/>
      <c r="AJA207" s="2"/>
      <c r="AJB207" s="2"/>
      <c r="AJC207" s="2"/>
      <c r="AJD207" s="2"/>
      <c r="AJE207" s="2"/>
      <c r="AJF207" s="2"/>
      <c r="AJG207" s="2"/>
      <c r="AJH207" s="2"/>
      <c r="AJI207" s="2"/>
      <c r="AJJ207" s="2"/>
      <c r="AJK207" s="2"/>
      <c r="AJL207" s="2"/>
      <c r="AJM207" s="2"/>
      <c r="AJN207" s="2"/>
      <c r="AJO207" s="2"/>
      <c r="AJP207" s="2"/>
      <c r="AJQ207" s="2"/>
      <c r="AJR207" s="2"/>
      <c r="AJS207" s="2"/>
      <c r="AJT207" s="2"/>
      <c r="AJU207" s="2"/>
      <c r="AJV207" s="2"/>
      <c r="AJW207" s="2"/>
      <c r="AJX207" s="2"/>
      <c r="AJY207" s="2"/>
      <c r="AJZ207" s="2"/>
      <c r="AKA207" s="2"/>
      <c r="AKB207" s="2"/>
      <c r="AKC207" s="2"/>
      <c r="AKD207" s="2"/>
      <c r="AKE207" s="2"/>
      <c r="AKF207" s="2"/>
      <c r="AKG207" s="2"/>
      <c r="AKH207" s="2"/>
      <c r="AKI207" s="2"/>
      <c r="AKJ207" s="2"/>
      <c r="AKK207" s="2"/>
      <c r="AKL207" s="2"/>
      <c r="AKM207" s="2"/>
      <c r="AKN207" s="2"/>
      <c r="AKO207" s="2"/>
      <c r="AKP207" s="2"/>
      <c r="AKQ207" s="2"/>
      <c r="AKR207" s="2"/>
      <c r="AKS207" s="2"/>
      <c r="AKT207" s="2"/>
      <c r="AKU207" s="2"/>
      <c r="AKV207" s="2"/>
      <c r="AKW207" s="2"/>
      <c r="AKX207" s="2"/>
      <c r="AKY207" s="2"/>
      <c r="AKZ207" s="2"/>
      <c r="ALA207" s="2"/>
      <c r="ALB207" s="2"/>
      <c r="ALC207" s="2"/>
      <c r="ALD207" s="2"/>
      <c r="ALE207" s="2"/>
      <c r="ALF207" s="2"/>
      <c r="ALG207" s="2"/>
      <c r="ALH207" s="2"/>
      <c r="ALI207" s="2"/>
      <c r="ALJ207" s="2"/>
      <c r="ALK207" s="2"/>
      <c r="ALL207" s="2"/>
      <c r="ALM207" s="2"/>
      <c r="ALN207" s="2"/>
      <c r="ALO207" s="2"/>
      <c r="ALP207" s="2"/>
      <c r="ALQ207" s="2"/>
      <c r="ALR207" s="2"/>
      <c r="ALS207" s="2"/>
      <c r="ALT207" s="2"/>
      <c r="ALU207" s="2"/>
      <c r="ALV207" s="2"/>
      <c r="ALW207" s="2"/>
      <c r="ALX207" s="2"/>
      <c r="ALY207" s="2"/>
      <c r="ALZ207" s="2"/>
      <c r="AMA207" s="2"/>
      <c r="AMB207" s="2"/>
      <c r="AMC207" s="2"/>
      <c r="AMD207" s="2"/>
      <c r="AME207" s="2"/>
      <c r="AMF207" s="2"/>
      <c r="AMG207" s="2"/>
      <c r="AMH207" s="2"/>
      <c r="AMI207" s="2"/>
      <c r="AMJ207" s="2"/>
      <c r="AMK207" s="2"/>
      <c r="AML207" s="2"/>
      <c r="AMM207" s="2"/>
      <c r="AMN207" s="2"/>
      <c r="AMO207" s="2"/>
      <c r="AMP207" s="2"/>
      <c r="AMQ207" s="2"/>
      <c r="AMR207" s="2"/>
      <c r="AMS207" s="2"/>
      <c r="AMT207" s="2"/>
      <c r="AMU207" s="2"/>
      <c r="AMV207" s="2"/>
      <c r="AMW207" s="2"/>
      <c r="AMX207" s="2"/>
      <c r="AMY207" s="2"/>
      <c r="AMZ207" s="2"/>
      <c r="ANA207" s="2"/>
      <c r="ANB207" s="2"/>
      <c r="ANC207" s="2"/>
      <c r="AND207" s="2"/>
      <c r="ANE207" s="2"/>
      <c r="ANF207" s="2"/>
      <c r="ANG207" s="2"/>
      <c r="ANH207" s="2"/>
      <c r="ANI207" s="2"/>
      <c r="ANJ207" s="2"/>
      <c r="ANK207" s="2"/>
      <c r="ANL207" s="2"/>
      <c r="ANM207" s="2"/>
      <c r="ANN207" s="2"/>
      <c r="ANO207" s="2"/>
      <c r="ANP207" s="2"/>
      <c r="ANQ207" s="2"/>
      <c r="ANR207" s="2"/>
      <c r="ANS207" s="2"/>
      <c r="ANT207" s="2"/>
      <c r="ANU207" s="2"/>
      <c r="ANV207" s="2"/>
      <c r="ANW207" s="2"/>
      <c r="ANX207" s="2"/>
      <c r="ANY207" s="2"/>
      <c r="ANZ207" s="2"/>
      <c r="AOA207" s="2"/>
      <c r="AOB207" s="2"/>
      <c r="AOC207" s="2"/>
      <c r="AOD207" s="2"/>
      <c r="AOE207" s="2"/>
      <c r="AOF207" s="2"/>
      <c r="AOG207" s="2"/>
      <c r="AOH207" s="2"/>
      <c r="AOI207" s="2"/>
      <c r="AOJ207" s="2"/>
      <c r="AOK207" s="2"/>
      <c r="AOL207" s="2"/>
      <c r="AOM207" s="2"/>
      <c r="AON207" s="2"/>
      <c r="AOO207" s="2"/>
      <c r="AOP207" s="2"/>
      <c r="AOQ207" s="2"/>
      <c r="AOR207" s="2"/>
      <c r="AOS207" s="2"/>
      <c r="AOT207" s="2"/>
      <c r="AOU207" s="2"/>
      <c r="AOV207" s="2"/>
      <c r="AOW207" s="2"/>
      <c r="AOX207" s="2"/>
      <c r="AOY207" s="2"/>
      <c r="AOZ207" s="2"/>
      <c r="APA207" s="2"/>
      <c r="APB207" s="2"/>
      <c r="APC207" s="2"/>
      <c r="APD207" s="2"/>
      <c r="APE207" s="2"/>
      <c r="APF207" s="2"/>
      <c r="APG207" s="2"/>
      <c r="APH207" s="2"/>
      <c r="API207" s="2"/>
      <c r="APJ207" s="2"/>
      <c r="APK207" s="2"/>
      <c r="APL207" s="2"/>
      <c r="APM207" s="2"/>
      <c r="APN207" s="2"/>
      <c r="APO207" s="2"/>
      <c r="APP207" s="2"/>
      <c r="APQ207" s="2"/>
      <c r="APR207" s="2"/>
      <c r="APS207" s="2"/>
      <c r="APT207" s="2"/>
      <c r="APU207" s="2"/>
      <c r="APV207" s="2"/>
      <c r="APW207" s="2"/>
      <c r="APX207" s="2"/>
      <c r="APY207" s="2"/>
      <c r="APZ207" s="2"/>
      <c r="AQA207" s="2"/>
      <c r="AQB207" s="2"/>
      <c r="AQC207" s="2"/>
      <c r="AQD207" s="2"/>
      <c r="AQE207" s="2"/>
      <c r="AQF207" s="2"/>
      <c r="AQG207" s="2"/>
      <c r="AQH207" s="2"/>
      <c r="AQI207" s="2"/>
      <c r="AQJ207" s="2"/>
      <c r="AQK207" s="2"/>
      <c r="AQL207" s="2"/>
      <c r="AQM207" s="2"/>
      <c r="AQN207" s="2"/>
      <c r="AQO207" s="2"/>
      <c r="AQP207" s="2"/>
      <c r="AQQ207" s="2"/>
      <c r="AQR207" s="2"/>
      <c r="AQS207" s="2"/>
      <c r="AQT207" s="2"/>
      <c r="AQU207" s="2"/>
      <c r="AQV207" s="2"/>
      <c r="AQW207" s="2"/>
      <c r="AQX207" s="2"/>
      <c r="AQY207" s="2"/>
      <c r="AQZ207" s="2"/>
      <c r="ARA207" s="2"/>
      <c r="ARB207" s="2"/>
      <c r="ARC207" s="2"/>
      <c r="ARD207" s="2"/>
      <c r="ARE207" s="2"/>
      <c r="ARF207" s="2"/>
      <c r="ARG207" s="2"/>
      <c r="ARH207" s="2"/>
      <c r="ARI207" s="2"/>
      <c r="ARJ207" s="2"/>
      <c r="ARK207" s="2"/>
      <c r="ARL207" s="2"/>
      <c r="ARM207" s="2"/>
      <c r="ARN207" s="2"/>
      <c r="ARO207" s="2"/>
      <c r="ARP207" s="2"/>
      <c r="ARQ207" s="2"/>
      <c r="ARR207" s="2"/>
      <c r="ARS207" s="2"/>
      <c r="ART207" s="2"/>
      <c r="ARU207" s="2"/>
      <c r="ARV207" s="2"/>
      <c r="ARW207" s="2"/>
      <c r="ARX207" s="2"/>
      <c r="ARY207" s="2"/>
      <c r="ARZ207" s="2"/>
      <c r="ASA207" s="2"/>
      <c r="ASB207" s="2"/>
      <c r="ASC207" s="2"/>
      <c r="ASD207" s="2"/>
      <c r="ASE207" s="2"/>
      <c r="ASF207" s="2"/>
      <c r="ASG207" s="2"/>
      <c r="ASH207" s="2"/>
      <c r="ASI207" s="2"/>
      <c r="ASJ207" s="2"/>
      <c r="ASK207" s="2"/>
      <c r="ASL207" s="2"/>
      <c r="ASM207" s="2"/>
      <c r="ASN207" s="2"/>
      <c r="ASO207" s="2"/>
      <c r="ASP207" s="2"/>
      <c r="ASQ207" s="2"/>
      <c r="ASR207" s="2"/>
      <c r="ASS207" s="2"/>
      <c r="AST207" s="2"/>
      <c r="ASU207" s="2"/>
      <c r="ASV207" s="2"/>
      <c r="ASW207" s="2"/>
      <c r="ASX207" s="2"/>
      <c r="ASY207" s="2"/>
      <c r="ASZ207" s="2"/>
      <c r="ATA207" s="2"/>
      <c r="ATB207" s="2"/>
      <c r="ATC207" s="2"/>
      <c r="ATD207" s="2"/>
      <c r="ATE207" s="2"/>
      <c r="ATF207" s="2"/>
      <c r="ATG207" s="2"/>
      <c r="ATH207" s="2"/>
      <c r="ATI207" s="2"/>
      <c r="ATJ207" s="2"/>
      <c r="ATK207" s="2"/>
      <c r="ATL207" s="2"/>
      <c r="ATM207" s="2"/>
      <c r="ATN207" s="2"/>
      <c r="ATO207" s="2"/>
      <c r="ATP207" s="2"/>
      <c r="ATQ207" s="2"/>
      <c r="ATR207" s="2"/>
      <c r="ATS207" s="2"/>
      <c r="ATT207" s="2"/>
      <c r="ATU207" s="2"/>
      <c r="ATV207" s="2"/>
      <c r="ATW207" s="2"/>
      <c r="ATX207" s="2"/>
      <c r="ATY207" s="2"/>
      <c r="ATZ207" s="2"/>
      <c r="AUA207" s="2"/>
      <c r="AUB207" s="2"/>
      <c r="AUC207" s="2"/>
      <c r="AUD207" s="2"/>
      <c r="AUE207" s="2"/>
      <c r="AUF207" s="2"/>
      <c r="AUG207" s="2"/>
      <c r="AUH207" s="2"/>
      <c r="AUI207" s="2"/>
      <c r="AUJ207" s="2"/>
      <c r="AUK207" s="2"/>
      <c r="AUL207" s="2"/>
      <c r="AUM207" s="2"/>
      <c r="AUN207" s="2"/>
      <c r="AUO207" s="2"/>
      <c r="AUP207" s="2"/>
      <c r="AUQ207" s="2"/>
      <c r="AUR207" s="2"/>
      <c r="AUS207" s="2"/>
      <c r="AUT207" s="2"/>
      <c r="AUU207" s="2"/>
      <c r="AUV207" s="2"/>
      <c r="AUW207" s="2"/>
      <c r="AUX207" s="2"/>
      <c r="AUY207" s="2"/>
      <c r="AUZ207" s="2"/>
      <c r="AVA207" s="2"/>
      <c r="AVB207" s="2"/>
      <c r="AVC207" s="2"/>
      <c r="AVD207" s="2"/>
      <c r="AVE207" s="2"/>
      <c r="AVF207" s="2"/>
      <c r="AVG207" s="2"/>
      <c r="AVH207" s="2"/>
      <c r="AVI207" s="2"/>
      <c r="AVJ207" s="2"/>
      <c r="AVK207" s="2"/>
      <c r="AVL207" s="2"/>
      <c r="AVM207" s="2"/>
      <c r="AVN207" s="2"/>
      <c r="AVO207" s="2"/>
      <c r="AVP207" s="2"/>
      <c r="AVQ207" s="2"/>
      <c r="AVR207" s="2"/>
      <c r="AVS207" s="2"/>
      <c r="AVT207" s="2"/>
      <c r="AVU207" s="2"/>
      <c r="AVV207" s="2"/>
      <c r="AVW207" s="2"/>
      <c r="AVX207" s="2"/>
      <c r="AVY207" s="2"/>
      <c r="AVZ207" s="2"/>
      <c r="AWA207" s="2"/>
      <c r="AWB207" s="2"/>
      <c r="AWC207" s="2"/>
      <c r="AWD207" s="2"/>
      <c r="AWE207" s="2"/>
      <c r="AWF207" s="2"/>
      <c r="AWG207" s="2"/>
      <c r="AWH207" s="2"/>
      <c r="AWI207" s="2"/>
      <c r="AWJ207" s="2"/>
      <c r="AWK207" s="2"/>
      <c r="AWL207" s="2"/>
      <c r="AWM207" s="2"/>
      <c r="AWN207" s="2"/>
      <c r="AWO207" s="2"/>
      <c r="AWP207" s="2"/>
      <c r="AWQ207" s="2"/>
      <c r="AWR207" s="2"/>
      <c r="AWS207" s="2"/>
      <c r="AWT207" s="2"/>
      <c r="AWU207" s="2"/>
      <c r="AWV207" s="2"/>
      <c r="AWW207" s="2"/>
      <c r="AWX207" s="2"/>
      <c r="AWY207" s="2"/>
      <c r="AWZ207" s="2"/>
      <c r="AXA207" s="2"/>
      <c r="AXB207" s="2"/>
      <c r="AXC207" s="2"/>
      <c r="AXD207" s="2"/>
      <c r="AXE207" s="2"/>
      <c r="AXF207" s="2"/>
      <c r="AXG207" s="2"/>
      <c r="AXH207" s="2"/>
      <c r="AXI207" s="2"/>
      <c r="AXJ207" s="2"/>
      <c r="AXK207" s="2"/>
      <c r="AXL207" s="2"/>
      <c r="AXM207" s="2"/>
      <c r="AXN207" s="2"/>
      <c r="AXO207" s="2"/>
      <c r="AXP207" s="2"/>
      <c r="AXQ207" s="2"/>
      <c r="AXR207" s="2"/>
      <c r="AXS207" s="2"/>
      <c r="AXT207" s="2"/>
      <c r="AXU207" s="2"/>
      <c r="AXV207" s="2"/>
      <c r="AXW207" s="2"/>
      <c r="AXX207" s="2"/>
      <c r="AXY207" s="2"/>
      <c r="AXZ207" s="2"/>
      <c r="AYA207" s="2"/>
      <c r="AYB207" s="2"/>
      <c r="AYC207" s="2"/>
      <c r="AYD207" s="2"/>
      <c r="AYE207" s="2"/>
      <c r="AYF207" s="2"/>
      <c r="AYG207" s="2"/>
      <c r="AYH207" s="2"/>
      <c r="AYI207" s="2"/>
      <c r="AYJ207" s="2"/>
      <c r="AYK207" s="2"/>
      <c r="AYL207" s="2"/>
      <c r="AYM207" s="2"/>
      <c r="AYN207" s="2"/>
      <c r="AYO207" s="2"/>
      <c r="AYP207" s="2"/>
      <c r="AYQ207" s="2"/>
      <c r="AYR207" s="2"/>
      <c r="AYS207" s="2"/>
      <c r="AYT207" s="2"/>
      <c r="AYU207" s="2"/>
      <c r="AYV207" s="2"/>
      <c r="AYW207" s="2"/>
      <c r="AYX207" s="2"/>
      <c r="AYY207" s="2"/>
      <c r="AYZ207" s="2"/>
      <c r="AZA207" s="2"/>
      <c r="AZB207" s="2"/>
      <c r="AZC207" s="2"/>
      <c r="AZD207" s="2"/>
      <c r="AZE207" s="2"/>
      <c r="AZF207" s="2"/>
      <c r="AZG207" s="2"/>
      <c r="AZH207" s="2"/>
      <c r="AZI207" s="2"/>
      <c r="AZJ207" s="2"/>
      <c r="AZK207" s="2"/>
      <c r="AZL207" s="2"/>
      <c r="AZM207" s="2"/>
      <c r="AZN207" s="2"/>
      <c r="AZO207" s="2"/>
      <c r="AZP207" s="2"/>
      <c r="AZQ207" s="2"/>
      <c r="AZR207" s="2"/>
      <c r="AZS207" s="2"/>
      <c r="AZT207" s="2"/>
      <c r="AZU207" s="2"/>
      <c r="AZV207" s="2"/>
      <c r="AZW207" s="2"/>
      <c r="AZX207" s="2"/>
      <c r="AZY207" s="2"/>
      <c r="AZZ207" s="2"/>
      <c r="BAA207" s="2"/>
      <c r="BAB207" s="2"/>
      <c r="BAC207" s="2"/>
      <c r="BAD207" s="2"/>
      <c r="BAE207" s="2"/>
      <c r="BAF207" s="2"/>
      <c r="BAG207" s="2"/>
      <c r="BAH207" s="2"/>
      <c r="BAI207" s="2"/>
      <c r="BAJ207" s="2"/>
      <c r="BAK207" s="2"/>
      <c r="BAL207" s="2"/>
      <c r="BAM207" s="2"/>
      <c r="BAN207" s="2"/>
      <c r="BAO207" s="2"/>
      <c r="BAP207" s="2"/>
      <c r="BAQ207" s="2"/>
      <c r="BAR207" s="2"/>
      <c r="BAS207" s="2"/>
      <c r="BAT207" s="2"/>
      <c r="BAU207" s="2"/>
      <c r="BAV207" s="2"/>
      <c r="BAW207" s="2"/>
      <c r="BAX207" s="2"/>
      <c r="BAY207" s="2"/>
      <c r="BAZ207" s="2"/>
      <c r="BBA207" s="2"/>
      <c r="BBB207" s="2"/>
      <c r="BBC207" s="2"/>
      <c r="BBD207" s="2"/>
      <c r="BBE207" s="2"/>
      <c r="BBF207" s="2"/>
      <c r="BBG207" s="2"/>
      <c r="BBH207" s="2"/>
      <c r="BBI207" s="2"/>
      <c r="BBJ207" s="2"/>
      <c r="BBK207" s="2"/>
      <c r="BBL207" s="2"/>
      <c r="BBM207" s="2"/>
      <c r="BBN207" s="2"/>
      <c r="BBO207" s="2"/>
      <c r="BBP207" s="2"/>
      <c r="BBQ207" s="2"/>
      <c r="BBR207" s="2"/>
      <c r="BBS207" s="2"/>
      <c r="BBT207" s="2"/>
      <c r="BBU207" s="2"/>
      <c r="BBV207" s="2"/>
      <c r="BBW207" s="2"/>
      <c r="BBX207" s="2"/>
      <c r="BBY207" s="2"/>
      <c r="BBZ207" s="2"/>
      <c r="BCA207" s="2"/>
      <c r="BCB207" s="2"/>
      <c r="BCC207" s="2"/>
      <c r="BCD207" s="2"/>
      <c r="BCE207" s="2"/>
      <c r="BCF207" s="2"/>
      <c r="BCG207" s="2"/>
      <c r="BCH207" s="2"/>
      <c r="BCI207" s="2"/>
      <c r="BCJ207" s="2"/>
      <c r="BCK207" s="2"/>
      <c r="BCL207" s="2"/>
      <c r="BCM207" s="2"/>
      <c r="BCN207" s="2"/>
      <c r="BCO207" s="2"/>
      <c r="BCP207" s="2"/>
      <c r="BCQ207" s="2"/>
      <c r="BCR207" s="2"/>
      <c r="BCS207" s="2"/>
      <c r="BCT207" s="2"/>
      <c r="BCU207" s="2"/>
      <c r="BCV207" s="2"/>
      <c r="BCW207" s="2"/>
      <c r="BCX207" s="2"/>
      <c r="BCY207" s="2"/>
      <c r="BCZ207" s="2"/>
      <c r="BDA207" s="2"/>
      <c r="BDB207" s="2"/>
      <c r="BDC207" s="2"/>
      <c r="BDD207" s="2"/>
      <c r="BDE207" s="2"/>
      <c r="BDF207" s="2"/>
      <c r="BDG207" s="2"/>
      <c r="BDH207" s="2"/>
      <c r="BDI207" s="2"/>
      <c r="BDJ207" s="2"/>
      <c r="BDK207" s="2"/>
      <c r="BDL207" s="2"/>
      <c r="BDM207" s="2"/>
      <c r="BDN207" s="2"/>
      <c r="BDO207" s="2"/>
      <c r="BDP207" s="2"/>
      <c r="BDQ207" s="2"/>
      <c r="BDR207" s="2"/>
      <c r="BDS207" s="2"/>
      <c r="BDT207" s="2"/>
      <c r="BDU207" s="2"/>
      <c r="BDV207" s="2"/>
      <c r="BDW207" s="2"/>
      <c r="BDX207" s="2"/>
      <c r="BDY207" s="2"/>
      <c r="BDZ207" s="2"/>
      <c r="BEA207" s="2"/>
      <c r="BEB207" s="2"/>
      <c r="BEC207" s="2"/>
      <c r="BED207" s="2"/>
      <c r="BEE207" s="2"/>
      <c r="BEF207" s="2"/>
      <c r="BEG207" s="2"/>
      <c r="BEH207" s="2"/>
      <c r="BEI207" s="2"/>
      <c r="BEJ207" s="2"/>
      <c r="BEK207" s="2"/>
      <c r="BEL207" s="2"/>
      <c r="BEM207" s="2"/>
      <c r="BEN207" s="2"/>
      <c r="BEO207" s="2"/>
      <c r="BEP207" s="2"/>
      <c r="BEQ207" s="2"/>
      <c r="BER207" s="2"/>
      <c r="BES207" s="2"/>
      <c r="BET207" s="2"/>
      <c r="BEU207" s="2"/>
      <c r="BEV207" s="2"/>
      <c r="BEW207" s="2"/>
      <c r="BEX207" s="2"/>
      <c r="BEY207" s="2"/>
      <c r="BEZ207" s="2"/>
      <c r="BFA207" s="2"/>
      <c r="BFB207" s="2"/>
      <c r="BFC207" s="2"/>
      <c r="BFD207" s="2"/>
      <c r="BFE207" s="2"/>
      <c r="BFF207" s="2"/>
      <c r="BFG207" s="2"/>
      <c r="BFH207" s="2"/>
      <c r="BFI207" s="2"/>
      <c r="BFJ207" s="2"/>
      <c r="BFK207" s="2"/>
      <c r="BFL207" s="2"/>
      <c r="BFM207" s="2"/>
      <c r="BFN207" s="2"/>
      <c r="BFO207" s="2"/>
      <c r="BFP207" s="2"/>
      <c r="BFQ207" s="2"/>
      <c r="BFR207" s="2"/>
      <c r="BFS207" s="2"/>
      <c r="BFT207" s="2"/>
      <c r="BFU207" s="2"/>
      <c r="BFV207" s="2"/>
      <c r="BFW207" s="2"/>
      <c r="BFX207" s="2"/>
      <c r="BFY207" s="2"/>
      <c r="BFZ207" s="2"/>
      <c r="BGA207" s="2"/>
      <c r="BGB207" s="2"/>
      <c r="BGC207" s="2"/>
      <c r="BGD207" s="2"/>
      <c r="BGE207" s="2"/>
      <c r="BGF207" s="2"/>
      <c r="BGG207" s="2"/>
      <c r="BGH207" s="2"/>
      <c r="BGI207" s="2"/>
      <c r="BGJ207" s="2"/>
      <c r="BGK207" s="2"/>
      <c r="BGL207" s="2"/>
      <c r="BGM207" s="2"/>
      <c r="BGN207" s="2"/>
      <c r="BGO207" s="2"/>
      <c r="BGP207" s="2"/>
      <c r="BGQ207" s="2"/>
      <c r="BGR207" s="2"/>
      <c r="BGS207" s="2"/>
      <c r="BGT207" s="2"/>
      <c r="BGU207" s="2"/>
      <c r="BGV207" s="2"/>
      <c r="BGW207" s="2"/>
      <c r="BGX207" s="2"/>
      <c r="BGY207" s="2"/>
      <c r="BGZ207" s="2"/>
      <c r="BHA207" s="2"/>
      <c r="BHB207" s="2"/>
      <c r="BHC207" s="2"/>
      <c r="BHD207" s="2"/>
      <c r="BHE207" s="2"/>
      <c r="BHF207" s="2"/>
      <c r="BHG207" s="2"/>
      <c r="BHH207" s="2"/>
      <c r="BHI207" s="2"/>
      <c r="BHJ207" s="2"/>
      <c r="BHK207" s="2"/>
      <c r="BHL207" s="2"/>
      <c r="BHM207" s="2"/>
      <c r="BHN207" s="2"/>
      <c r="BHO207" s="2"/>
      <c r="BHP207" s="2"/>
      <c r="BHQ207" s="2"/>
      <c r="BHR207" s="2"/>
      <c r="BHS207" s="2"/>
      <c r="BHT207" s="2"/>
      <c r="BHU207" s="2"/>
      <c r="BHV207" s="2"/>
      <c r="BHW207" s="2"/>
      <c r="BHX207" s="2"/>
      <c r="BHY207" s="2"/>
      <c r="BHZ207" s="2"/>
      <c r="BIA207" s="2"/>
      <c r="BIB207" s="2"/>
      <c r="BIC207" s="2"/>
      <c r="BID207" s="2"/>
      <c r="BIE207" s="2"/>
      <c r="BIF207" s="2"/>
      <c r="BIG207" s="2"/>
      <c r="BIH207" s="2"/>
      <c r="BII207" s="2"/>
      <c r="BIJ207" s="2"/>
      <c r="BIK207" s="2"/>
      <c r="BIL207" s="2"/>
      <c r="BIM207" s="2"/>
      <c r="BIN207" s="2"/>
      <c r="BIO207" s="2"/>
      <c r="BIP207" s="2"/>
      <c r="BIQ207" s="2"/>
      <c r="BIR207" s="2"/>
      <c r="BIS207" s="2"/>
      <c r="BIT207" s="2"/>
      <c r="BIU207" s="2"/>
      <c r="BIV207" s="2"/>
      <c r="BIW207" s="2"/>
      <c r="BIX207" s="2"/>
      <c r="BIY207" s="2"/>
      <c r="BIZ207" s="2"/>
      <c r="BJA207" s="2"/>
      <c r="BJB207" s="2"/>
      <c r="BJC207" s="2"/>
      <c r="BJD207" s="2"/>
      <c r="BJE207" s="2"/>
      <c r="BJF207" s="2"/>
      <c r="BJG207" s="2"/>
      <c r="BJH207" s="2"/>
      <c r="BJI207" s="2"/>
      <c r="BJJ207" s="2"/>
      <c r="BJK207" s="2"/>
      <c r="BJL207" s="2"/>
      <c r="BJM207" s="2"/>
      <c r="BJN207" s="2"/>
      <c r="BJO207" s="2"/>
      <c r="BJP207" s="2"/>
      <c r="BJQ207" s="2"/>
      <c r="BJR207" s="2"/>
      <c r="BJS207" s="2"/>
      <c r="BJT207" s="2"/>
      <c r="BJU207" s="2"/>
      <c r="BJV207" s="2"/>
      <c r="BJW207" s="2"/>
      <c r="BJX207" s="2"/>
      <c r="BJY207" s="2"/>
      <c r="BJZ207" s="2"/>
      <c r="BKA207" s="2"/>
      <c r="BKB207" s="2"/>
      <c r="BKC207" s="2"/>
      <c r="BKD207" s="2"/>
      <c r="BKE207" s="2"/>
      <c r="BKF207" s="2"/>
      <c r="BKG207" s="2"/>
      <c r="BKH207" s="2"/>
      <c r="BKI207" s="2"/>
      <c r="BKJ207" s="2"/>
      <c r="BKK207" s="2"/>
      <c r="BKL207" s="2"/>
      <c r="BKM207" s="2"/>
      <c r="BKN207" s="2"/>
      <c r="BKO207" s="2"/>
      <c r="BKP207" s="2"/>
      <c r="BKQ207" s="2"/>
      <c r="BKR207" s="2"/>
      <c r="BKS207" s="2"/>
      <c r="BKT207" s="2"/>
      <c r="BKU207" s="2"/>
      <c r="BKV207" s="2"/>
      <c r="BKW207" s="2"/>
      <c r="BKX207" s="2"/>
      <c r="BKY207" s="2"/>
      <c r="BKZ207" s="2"/>
      <c r="BLA207" s="2"/>
      <c r="BLB207" s="2"/>
      <c r="BLC207" s="2"/>
      <c r="BLD207" s="2"/>
      <c r="BLE207" s="2"/>
      <c r="BLF207" s="2"/>
      <c r="BLG207" s="2"/>
      <c r="BLH207" s="2"/>
      <c r="BLI207" s="2"/>
      <c r="BLJ207" s="2"/>
      <c r="BLK207" s="2"/>
      <c r="BLL207" s="2"/>
      <c r="BLM207" s="2"/>
      <c r="BLN207" s="2"/>
      <c r="BLO207" s="2"/>
      <c r="BLP207" s="2"/>
      <c r="BLQ207" s="2"/>
      <c r="BLR207" s="2"/>
      <c r="BLS207" s="2"/>
      <c r="BLT207" s="2"/>
      <c r="BLU207" s="2"/>
      <c r="BLV207" s="2"/>
      <c r="BLW207" s="2"/>
      <c r="BLX207" s="2"/>
      <c r="BLY207" s="2"/>
      <c r="BLZ207" s="2"/>
      <c r="BMA207" s="2"/>
      <c r="BMB207" s="2"/>
      <c r="BMC207" s="2"/>
      <c r="BMD207" s="2"/>
      <c r="BME207" s="2"/>
      <c r="BMF207" s="2"/>
      <c r="BMG207" s="2"/>
      <c r="BMH207" s="2"/>
      <c r="BMI207" s="2"/>
      <c r="BMJ207" s="2"/>
      <c r="BMK207" s="2"/>
      <c r="BML207" s="2"/>
      <c r="BMM207" s="2"/>
      <c r="BMN207" s="2"/>
      <c r="BMO207" s="2"/>
      <c r="BMP207" s="2"/>
      <c r="BMQ207" s="2"/>
      <c r="BMR207" s="2"/>
      <c r="BMS207" s="2"/>
      <c r="BMT207" s="2"/>
      <c r="BMU207" s="2"/>
      <c r="BMV207" s="2"/>
      <c r="BMW207" s="2"/>
      <c r="BMX207" s="2"/>
      <c r="BMY207" s="2"/>
      <c r="BMZ207" s="2"/>
      <c r="BNA207" s="2"/>
      <c r="BNB207" s="2"/>
      <c r="BNC207" s="2"/>
      <c r="BND207" s="2"/>
      <c r="BNE207" s="2"/>
      <c r="BNF207" s="2"/>
      <c r="BNG207" s="2"/>
      <c r="BNH207" s="2"/>
      <c r="BNI207" s="2"/>
      <c r="BNJ207" s="2"/>
      <c r="BNK207" s="2"/>
      <c r="BNL207" s="2"/>
      <c r="BNM207" s="2"/>
      <c r="BNN207" s="2"/>
      <c r="BNO207" s="2"/>
      <c r="BNP207" s="2"/>
      <c r="BNQ207" s="2"/>
      <c r="BNR207" s="2"/>
      <c r="BNS207" s="2"/>
      <c r="BNT207" s="2"/>
      <c r="BNU207" s="2"/>
      <c r="BNV207" s="2"/>
      <c r="BNW207" s="2"/>
      <c r="BNX207" s="2"/>
      <c r="BNY207" s="2"/>
      <c r="BNZ207" s="2"/>
      <c r="BOA207" s="2"/>
      <c r="BOB207" s="2"/>
      <c r="BOC207" s="2"/>
      <c r="BOD207" s="2"/>
      <c r="BOE207" s="2"/>
      <c r="BOF207" s="2"/>
      <c r="BOG207" s="2"/>
      <c r="BOH207" s="2"/>
      <c r="BOI207" s="2"/>
      <c r="BOJ207" s="2"/>
      <c r="BOK207" s="2"/>
      <c r="BOL207" s="2"/>
      <c r="BOM207" s="2"/>
      <c r="BON207" s="2"/>
      <c r="BOO207" s="2"/>
      <c r="BOP207" s="2"/>
      <c r="BOQ207" s="2"/>
      <c r="BOR207" s="2"/>
      <c r="BOS207" s="2"/>
      <c r="BOT207" s="2"/>
      <c r="BOU207" s="2"/>
      <c r="BOV207" s="2"/>
      <c r="BOW207" s="2"/>
      <c r="BOX207" s="2"/>
      <c r="BOY207" s="2"/>
      <c r="BOZ207" s="2"/>
      <c r="BPA207" s="2"/>
      <c r="BPB207" s="2"/>
      <c r="BPC207" s="2"/>
      <c r="BPD207" s="2"/>
      <c r="BPE207" s="2"/>
      <c r="BPF207" s="2"/>
      <c r="BPG207" s="2"/>
      <c r="BPH207" s="2"/>
      <c r="BPI207" s="2"/>
      <c r="BPJ207" s="2"/>
      <c r="BPK207" s="2"/>
      <c r="BPL207" s="2"/>
      <c r="BPM207" s="2"/>
      <c r="BPN207" s="2"/>
      <c r="BPO207" s="2"/>
      <c r="BPP207" s="2"/>
      <c r="BPQ207" s="2"/>
      <c r="BPR207" s="2"/>
      <c r="BPS207" s="2"/>
      <c r="BPT207" s="2"/>
      <c r="BPU207" s="2"/>
      <c r="BPV207" s="2"/>
      <c r="BPW207" s="2"/>
      <c r="BPX207" s="2"/>
      <c r="BPY207" s="2"/>
      <c r="BPZ207" s="2"/>
      <c r="BQA207" s="2"/>
      <c r="BQB207" s="2"/>
      <c r="BQC207" s="2"/>
      <c r="BQD207" s="2"/>
      <c r="BQE207" s="2"/>
      <c r="BQF207" s="2"/>
      <c r="BQG207" s="2"/>
      <c r="BQH207" s="2"/>
      <c r="BQI207" s="2"/>
      <c r="BQJ207" s="2"/>
      <c r="BQK207" s="2"/>
      <c r="BQL207" s="2"/>
      <c r="BQM207" s="2"/>
      <c r="BQN207" s="2"/>
      <c r="BQO207" s="2"/>
      <c r="BQP207" s="2"/>
      <c r="BQQ207" s="2"/>
      <c r="BQR207" s="2"/>
      <c r="BQS207" s="2"/>
      <c r="BQT207" s="2"/>
      <c r="BQU207" s="2"/>
      <c r="BQV207" s="2"/>
      <c r="BQW207" s="2"/>
      <c r="BQX207" s="2"/>
      <c r="BQY207" s="2"/>
      <c r="BQZ207" s="2"/>
      <c r="BRA207" s="2"/>
      <c r="BRB207" s="2"/>
      <c r="BRC207" s="2"/>
      <c r="BRD207" s="2"/>
      <c r="BRE207" s="2"/>
      <c r="BRF207" s="2"/>
      <c r="BRG207" s="2"/>
      <c r="BRH207" s="2"/>
      <c r="BRI207" s="2"/>
      <c r="BRJ207" s="2"/>
      <c r="BRK207" s="2"/>
      <c r="BRL207" s="2"/>
      <c r="BRM207" s="2"/>
      <c r="BRN207" s="2"/>
      <c r="BRO207" s="2"/>
      <c r="BRP207" s="2"/>
      <c r="BRQ207" s="2"/>
      <c r="BRR207" s="2"/>
      <c r="BRS207" s="2"/>
      <c r="BRT207" s="2"/>
      <c r="BRU207" s="2"/>
      <c r="BRV207" s="2"/>
      <c r="BRW207" s="2"/>
      <c r="BRX207" s="2"/>
      <c r="BRY207" s="2"/>
      <c r="BRZ207" s="2"/>
      <c r="BSA207" s="2"/>
      <c r="BSB207" s="2"/>
      <c r="BSC207" s="2"/>
      <c r="BSD207" s="2"/>
      <c r="BSE207" s="2"/>
      <c r="BSF207" s="2"/>
      <c r="BSG207" s="2"/>
      <c r="BSH207" s="2"/>
      <c r="BSI207" s="2"/>
      <c r="BSJ207" s="2"/>
      <c r="BSK207" s="2"/>
      <c r="BSL207" s="2"/>
      <c r="BSM207" s="2"/>
      <c r="BSN207" s="2"/>
      <c r="BSO207" s="2"/>
      <c r="BSP207" s="2"/>
      <c r="BSQ207" s="2"/>
      <c r="BSR207" s="2"/>
      <c r="BSS207" s="2"/>
      <c r="BST207" s="2"/>
      <c r="BSU207" s="2"/>
      <c r="BSV207" s="2"/>
      <c r="BSW207" s="2"/>
      <c r="BSX207" s="2"/>
      <c r="BSY207" s="2"/>
      <c r="BSZ207" s="2"/>
      <c r="BTA207" s="2"/>
      <c r="BTB207" s="2"/>
      <c r="BTC207" s="2"/>
      <c r="BTD207" s="2"/>
      <c r="BTE207" s="2"/>
      <c r="BTF207" s="2"/>
      <c r="BTG207" s="2"/>
      <c r="BTH207" s="2"/>
      <c r="BTI207" s="2"/>
      <c r="BTJ207" s="2"/>
      <c r="BTK207" s="2"/>
      <c r="BTL207" s="2"/>
      <c r="BTM207" s="2"/>
      <c r="BTN207" s="2"/>
      <c r="BTO207" s="2"/>
      <c r="BTP207" s="2"/>
      <c r="BTQ207" s="2"/>
      <c r="BTR207" s="2"/>
      <c r="BTS207" s="2"/>
      <c r="BTT207" s="2"/>
      <c r="BTU207" s="2"/>
      <c r="BTV207" s="2"/>
      <c r="BTW207" s="2"/>
      <c r="BTX207" s="2"/>
      <c r="BTY207" s="2"/>
      <c r="BTZ207" s="2"/>
      <c r="BUA207" s="2"/>
      <c r="BUB207" s="2"/>
      <c r="BUC207" s="2"/>
      <c r="BUD207" s="2"/>
      <c r="BUE207" s="2"/>
      <c r="BUF207" s="2"/>
      <c r="BUG207" s="2"/>
      <c r="BUH207" s="2"/>
      <c r="BUI207" s="2"/>
      <c r="BUJ207" s="2"/>
      <c r="BUK207" s="2"/>
      <c r="BUL207" s="2"/>
      <c r="BUM207" s="2"/>
      <c r="BUN207" s="2"/>
      <c r="BUO207" s="2"/>
      <c r="BUP207" s="2"/>
      <c r="BUQ207" s="2"/>
      <c r="BUR207" s="2"/>
      <c r="BUS207" s="2"/>
      <c r="BUT207" s="2"/>
      <c r="BUU207" s="2"/>
      <c r="BUV207" s="2"/>
      <c r="BUW207" s="2"/>
      <c r="BUX207" s="2"/>
      <c r="BUY207" s="2"/>
      <c r="BUZ207" s="2"/>
      <c r="BVA207" s="2"/>
      <c r="BVB207" s="2"/>
      <c r="BVC207" s="2"/>
      <c r="BVD207" s="2"/>
      <c r="BVE207" s="2"/>
      <c r="BVF207" s="2"/>
      <c r="BVG207" s="2"/>
      <c r="BVH207" s="2"/>
      <c r="BVI207" s="2"/>
      <c r="BVJ207" s="2"/>
      <c r="BVK207" s="2"/>
      <c r="BVL207" s="2"/>
      <c r="BVM207" s="2"/>
      <c r="BVN207" s="2"/>
      <c r="BVO207" s="2"/>
      <c r="BVP207" s="2"/>
      <c r="BVQ207" s="2"/>
      <c r="BVR207" s="2"/>
      <c r="BVS207" s="2"/>
      <c r="BVT207" s="2"/>
      <c r="BVU207" s="2"/>
      <c r="BVV207" s="2"/>
      <c r="BVW207" s="2"/>
      <c r="BVX207" s="2"/>
      <c r="BVY207" s="2"/>
      <c r="BVZ207" s="2"/>
      <c r="BWA207" s="2"/>
      <c r="BWB207" s="2"/>
      <c r="BWC207" s="2"/>
      <c r="BWD207" s="2"/>
      <c r="BWE207" s="2"/>
      <c r="BWF207" s="2"/>
      <c r="BWG207" s="2"/>
      <c r="BWH207" s="2"/>
      <c r="BWI207" s="2"/>
      <c r="BWJ207" s="2"/>
      <c r="BWK207" s="2"/>
      <c r="BWL207" s="2"/>
      <c r="BWM207" s="2"/>
      <c r="BWN207" s="2"/>
      <c r="BWO207" s="2"/>
      <c r="BWP207" s="2"/>
      <c r="BWQ207" s="2"/>
      <c r="BWR207" s="2"/>
      <c r="BWS207" s="2"/>
      <c r="BWT207" s="2"/>
      <c r="BWU207" s="2"/>
      <c r="BWV207" s="2"/>
      <c r="BWW207" s="2"/>
      <c r="BWX207" s="2"/>
      <c r="BWY207" s="2"/>
      <c r="BWZ207" s="2"/>
      <c r="BXA207" s="2"/>
      <c r="BXB207" s="2"/>
      <c r="BXC207" s="2"/>
      <c r="BXD207" s="2"/>
      <c r="BXE207" s="2"/>
      <c r="BXF207" s="2"/>
      <c r="BXG207" s="2"/>
      <c r="BXH207" s="2"/>
      <c r="BXI207" s="2"/>
      <c r="BXJ207" s="2"/>
      <c r="BXK207" s="2"/>
      <c r="BXL207" s="2"/>
      <c r="BXM207" s="2"/>
      <c r="BXN207" s="2"/>
      <c r="BXO207" s="2"/>
      <c r="BXP207" s="2"/>
      <c r="BXQ207" s="2"/>
      <c r="BXR207" s="2"/>
      <c r="BXS207" s="2"/>
      <c r="BXT207" s="2"/>
      <c r="BXU207" s="2"/>
      <c r="BXV207" s="2"/>
      <c r="BXW207" s="2"/>
      <c r="BXX207" s="2"/>
      <c r="BXY207" s="2"/>
      <c r="BXZ207" s="2"/>
      <c r="BYA207" s="2"/>
      <c r="BYB207" s="2"/>
      <c r="BYC207" s="2"/>
      <c r="BYD207" s="2"/>
      <c r="BYE207" s="2"/>
      <c r="BYF207" s="2"/>
      <c r="BYG207" s="2"/>
      <c r="BYH207" s="2"/>
      <c r="BYI207" s="2"/>
      <c r="BYJ207" s="2"/>
      <c r="BYK207" s="2"/>
      <c r="BYL207" s="2"/>
      <c r="BYM207" s="2"/>
      <c r="BYN207" s="2"/>
      <c r="BYO207" s="2"/>
      <c r="BYP207" s="2"/>
      <c r="BYQ207" s="2"/>
      <c r="BYR207" s="2"/>
      <c r="BYS207" s="2"/>
      <c r="BYT207" s="2"/>
      <c r="BYU207" s="2"/>
      <c r="BYV207" s="2"/>
      <c r="BYW207" s="2"/>
      <c r="BYX207" s="2"/>
      <c r="BYY207" s="2"/>
      <c r="BYZ207" s="2"/>
      <c r="BZA207" s="2"/>
      <c r="BZB207" s="2"/>
      <c r="BZC207" s="2"/>
      <c r="BZD207" s="2"/>
      <c r="BZE207" s="2"/>
      <c r="BZF207" s="2"/>
      <c r="BZG207" s="2"/>
      <c r="BZH207" s="2"/>
      <c r="BZI207" s="2"/>
      <c r="BZJ207" s="2"/>
      <c r="BZK207" s="2"/>
      <c r="BZL207" s="2"/>
      <c r="BZM207" s="2"/>
      <c r="BZN207" s="2"/>
      <c r="BZO207" s="2"/>
      <c r="BZP207" s="2"/>
      <c r="BZQ207" s="2"/>
      <c r="BZR207" s="2"/>
      <c r="BZS207" s="2"/>
      <c r="BZT207" s="2"/>
      <c r="BZU207" s="2"/>
      <c r="BZV207" s="2"/>
      <c r="BZW207" s="2"/>
      <c r="BZX207" s="2"/>
      <c r="BZY207" s="2"/>
      <c r="BZZ207" s="2"/>
      <c r="CAA207" s="2"/>
      <c r="CAB207" s="2"/>
      <c r="CAC207" s="2"/>
      <c r="CAD207" s="2"/>
      <c r="CAE207" s="2"/>
      <c r="CAF207" s="2"/>
      <c r="CAG207" s="2"/>
      <c r="CAH207" s="2"/>
      <c r="CAI207" s="2"/>
      <c r="CAJ207" s="2"/>
      <c r="CAK207" s="2"/>
      <c r="CAL207" s="2"/>
      <c r="CAM207" s="2"/>
      <c r="CAN207" s="2"/>
      <c r="CAO207" s="2"/>
      <c r="CAP207" s="2"/>
      <c r="CAQ207" s="2"/>
      <c r="CAR207" s="2"/>
      <c r="CAS207" s="2"/>
      <c r="CAT207" s="2"/>
      <c r="CAU207" s="2"/>
      <c r="CAV207" s="2"/>
      <c r="CAW207" s="2"/>
      <c r="CAX207" s="2"/>
      <c r="CAY207" s="2"/>
      <c r="CAZ207" s="2"/>
      <c r="CBA207" s="2"/>
      <c r="CBB207" s="2"/>
      <c r="CBC207" s="2"/>
      <c r="CBD207" s="2"/>
      <c r="CBE207" s="2"/>
      <c r="CBF207" s="2"/>
      <c r="CBG207" s="2"/>
      <c r="CBH207" s="2"/>
      <c r="CBI207" s="2"/>
      <c r="CBJ207" s="2"/>
      <c r="CBK207" s="2"/>
      <c r="CBL207" s="2"/>
      <c r="CBM207" s="2"/>
      <c r="CBN207" s="2"/>
      <c r="CBO207" s="2"/>
      <c r="CBP207" s="2"/>
      <c r="CBQ207" s="2"/>
      <c r="CBR207" s="2"/>
      <c r="CBS207" s="2"/>
      <c r="CBT207" s="2"/>
      <c r="CBU207" s="2"/>
      <c r="CBV207" s="2"/>
      <c r="CBW207" s="2"/>
      <c r="CBX207" s="2"/>
      <c r="CBY207" s="2"/>
      <c r="CBZ207" s="2"/>
      <c r="CCA207" s="2"/>
      <c r="CCB207" s="2"/>
      <c r="CCC207" s="2"/>
      <c r="CCD207" s="2"/>
      <c r="CCE207" s="2"/>
      <c r="CCF207" s="2"/>
      <c r="CCG207" s="2"/>
      <c r="CCH207" s="2"/>
      <c r="CCI207" s="2"/>
      <c r="CCJ207" s="2"/>
      <c r="CCK207" s="2"/>
      <c r="CCL207" s="2"/>
      <c r="CCM207" s="2"/>
      <c r="CCN207" s="2"/>
      <c r="CCO207" s="2"/>
      <c r="CCP207" s="2"/>
      <c r="CCQ207" s="2"/>
      <c r="CCR207" s="2"/>
      <c r="CCS207" s="2"/>
      <c r="CCT207" s="2"/>
      <c r="CCU207" s="2"/>
      <c r="CCV207" s="2"/>
      <c r="CCW207" s="2"/>
      <c r="CCX207" s="2"/>
      <c r="CCY207" s="2"/>
      <c r="CCZ207" s="2"/>
      <c r="CDA207" s="2"/>
      <c r="CDB207" s="2"/>
      <c r="CDC207" s="2"/>
      <c r="CDD207" s="2"/>
      <c r="CDE207" s="2"/>
      <c r="CDF207" s="2"/>
      <c r="CDG207" s="2"/>
      <c r="CDH207" s="2"/>
      <c r="CDI207" s="2"/>
      <c r="CDJ207" s="2"/>
      <c r="CDK207" s="2"/>
      <c r="CDL207" s="2"/>
      <c r="CDM207" s="2"/>
      <c r="CDN207" s="2"/>
      <c r="CDO207" s="2"/>
      <c r="CDP207" s="2"/>
      <c r="CDQ207" s="2"/>
      <c r="CDR207" s="2"/>
      <c r="CDS207" s="2"/>
      <c r="CDT207" s="2"/>
      <c r="CDU207" s="2"/>
      <c r="CDV207" s="2"/>
      <c r="CDW207" s="2"/>
      <c r="CDX207" s="2"/>
      <c r="CDY207" s="2"/>
      <c r="CDZ207" s="2"/>
      <c r="CEA207" s="2"/>
      <c r="CEB207" s="2"/>
      <c r="CEC207" s="2"/>
      <c r="CED207" s="2"/>
      <c r="CEE207" s="2"/>
      <c r="CEF207" s="2"/>
      <c r="CEG207" s="2"/>
      <c r="CEH207" s="2"/>
      <c r="CEI207" s="2"/>
      <c r="CEJ207" s="2"/>
      <c r="CEK207" s="2"/>
      <c r="CEL207" s="2"/>
      <c r="CEM207" s="2"/>
      <c r="CEN207" s="2"/>
      <c r="CEO207" s="2"/>
      <c r="CEP207" s="2"/>
      <c r="CEQ207" s="2"/>
      <c r="CER207" s="2"/>
      <c r="CES207" s="2"/>
      <c r="CET207" s="2"/>
      <c r="CEU207" s="2"/>
      <c r="CEV207" s="2"/>
      <c r="CEW207" s="2"/>
      <c r="CEX207" s="2"/>
      <c r="CEY207" s="2"/>
      <c r="CEZ207" s="2"/>
      <c r="CFA207" s="2"/>
      <c r="CFB207" s="2"/>
      <c r="CFC207" s="2"/>
      <c r="CFD207" s="2"/>
      <c r="CFE207" s="2"/>
      <c r="CFF207" s="2"/>
      <c r="CFG207" s="2"/>
      <c r="CFH207" s="2"/>
      <c r="CFI207" s="2"/>
      <c r="CFJ207" s="2"/>
      <c r="CFK207" s="2"/>
      <c r="CFL207" s="2"/>
      <c r="CFM207" s="2"/>
      <c r="CFN207" s="2"/>
      <c r="CFO207" s="2"/>
      <c r="CFP207" s="2"/>
      <c r="CFQ207" s="2"/>
      <c r="CFR207" s="2"/>
      <c r="CFS207" s="2"/>
      <c r="CFT207" s="2"/>
      <c r="CFU207" s="2"/>
      <c r="CFV207" s="2"/>
      <c r="CFW207" s="2"/>
      <c r="CFX207" s="2"/>
      <c r="CFY207" s="2"/>
      <c r="CFZ207" s="2"/>
      <c r="CGA207" s="2"/>
      <c r="CGB207" s="2"/>
      <c r="CGC207" s="2"/>
      <c r="CGD207" s="2"/>
      <c r="CGE207" s="2"/>
      <c r="CGF207" s="2"/>
      <c r="CGG207" s="2"/>
      <c r="CGH207" s="2"/>
      <c r="CGI207" s="2"/>
      <c r="CGJ207" s="2"/>
      <c r="CGK207" s="2"/>
      <c r="CGL207" s="2"/>
      <c r="CGM207" s="2"/>
      <c r="CGN207" s="2"/>
      <c r="CGO207" s="2"/>
      <c r="CGP207" s="2"/>
      <c r="CGQ207" s="2"/>
      <c r="CGR207" s="2"/>
      <c r="CGS207" s="2"/>
      <c r="CGT207" s="2"/>
      <c r="CGU207" s="2"/>
      <c r="CGV207" s="2"/>
      <c r="CGW207" s="2"/>
      <c r="CGX207" s="2"/>
      <c r="CGY207" s="2"/>
      <c r="CGZ207" s="2"/>
      <c r="CHA207" s="2"/>
      <c r="CHB207" s="2"/>
      <c r="CHC207" s="2"/>
      <c r="CHD207" s="2"/>
      <c r="CHE207" s="2"/>
      <c r="CHF207" s="2"/>
      <c r="CHG207" s="2"/>
      <c r="CHH207" s="2"/>
      <c r="CHI207" s="2"/>
      <c r="CHJ207" s="2"/>
      <c r="CHK207" s="2"/>
      <c r="CHL207" s="2"/>
      <c r="CHM207" s="2"/>
      <c r="CHN207" s="2"/>
      <c r="CHO207" s="2"/>
      <c r="CHP207" s="2"/>
      <c r="CHQ207" s="2"/>
      <c r="CHR207" s="2"/>
      <c r="CHS207" s="2"/>
      <c r="CHT207" s="2"/>
      <c r="CHU207" s="2"/>
      <c r="CHV207" s="2"/>
      <c r="CHW207" s="2"/>
      <c r="CHX207" s="2"/>
      <c r="CHY207" s="2"/>
      <c r="CHZ207" s="2"/>
      <c r="CIA207" s="2"/>
      <c r="CIB207" s="2"/>
      <c r="CIC207" s="2"/>
      <c r="CID207" s="2"/>
      <c r="CIE207" s="2"/>
      <c r="CIF207" s="2"/>
      <c r="CIG207" s="2"/>
      <c r="CIH207" s="2"/>
      <c r="CII207" s="2"/>
      <c r="CIJ207" s="2"/>
      <c r="CIK207" s="2"/>
      <c r="CIL207" s="2"/>
      <c r="CIM207" s="2"/>
      <c r="CIN207" s="2"/>
      <c r="CIO207" s="2"/>
      <c r="CIP207" s="2"/>
      <c r="CIQ207" s="2"/>
      <c r="CIR207" s="2"/>
      <c r="CIS207" s="2"/>
      <c r="CIT207" s="2"/>
      <c r="CIU207" s="2"/>
      <c r="CIV207" s="2"/>
      <c r="CIW207" s="2"/>
      <c r="CIX207" s="2"/>
      <c r="CIY207" s="2"/>
      <c r="CIZ207" s="2"/>
      <c r="CJA207" s="2"/>
      <c r="CJB207" s="2"/>
      <c r="CJC207" s="2"/>
      <c r="CJD207" s="2"/>
      <c r="CJE207" s="2"/>
      <c r="CJF207" s="2"/>
      <c r="CJG207" s="2"/>
      <c r="CJH207" s="2"/>
      <c r="CJI207" s="2"/>
      <c r="CJJ207" s="2"/>
      <c r="CJK207" s="2"/>
      <c r="CJL207" s="2"/>
      <c r="CJM207" s="2"/>
      <c r="CJN207" s="2"/>
      <c r="CJO207" s="2"/>
      <c r="CJP207" s="2"/>
      <c r="CJQ207" s="2"/>
      <c r="CJR207" s="2"/>
      <c r="CJS207" s="2"/>
      <c r="CJT207" s="2"/>
      <c r="CJU207" s="2"/>
      <c r="CJV207" s="2"/>
      <c r="CJW207" s="2"/>
      <c r="CJX207" s="2"/>
      <c r="CJY207" s="2"/>
      <c r="CJZ207" s="2"/>
      <c r="CKA207" s="2"/>
      <c r="CKB207" s="2"/>
      <c r="CKC207" s="2"/>
      <c r="CKD207" s="2"/>
      <c r="CKE207" s="2"/>
      <c r="CKF207" s="2"/>
      <c r="CKG207" s="2"/>
      <c r="CKH207" s="2"/>
      <c r="CKI207" s="2"/>
      <c r="CKJ207" s="2"/>
      <c r="CKK207" s="2"/>
      <c r="CKL207" s="2"/>
      <c r="CKM207" s="2"/>
      <c r="CKN207" s="2"/>
      <c r="CKO207" s="2"/>
      <c r="CKP207" s="2"/>
      <c r="CKQ207" s="2"/>
      <c r="CKR207" s="2"/>
      <c r="CKS207" s="2"/>
      <c r="CKT207" s="2"/>
      <c r="CKU207" s="2"/>
      <c r="CKV207" s="2"/>
      <c r="CKW207" s="2"/>
      <c r="CKX207" s="2"/>
      <c r="CKY207" s="2"/>
      <c r="CKZ207" s="2"/>
      <c r="CLA207" s="2"/>
      <c r="CLB207" s="2"/>
      <c r="CLC207" s="2"/>
      <c r="CLD207" s="2"/>
      <c r="CLE207" s="2"/>
      <c r="CLF207" s="2"/>
      <c r="CLG207" s="2"/>
      <c r="CLH207" s="2"/>
      <c r="CLI207" s="2"/>
      <c r="CLJ207" s="2"/>
      <c r="CLK207" s="2"/>
      <c r="CLL207" s="2"/>
      <c r="CLM207" s="2"/>
      <c r="CLN207" s="2"/>
      <c r="CLO207" s="2"/>
      <c r="CLP207" s="2"/>
      <c r="CLQ207" s="2"/>
      <c r="CLR207" s="2"/>
      <c r="CLS207" s="2"/>
      <c r="CLT207" s="2"/>
      <c r="CLU207" s="2"/>
      <c r="CLV207" s="2"/>
      <c r="CLW207" s="2"/>
      <c r="CLX207" s="2"/>
      <c r="CLY207" s="2"/>
      <c r="CLZ207" s="2"/>
      <c r="CMA207" s="2"/>
      <c r="CMB207" s="2"/>
      <c r="CMC207" s="2"/>
      <c r="CMD207" s="2"/>
      <c r="CME207" s="2"/>
      <c r="CMF207" s="2"/>
      <c r="CMG207" s="2"/>
      <c r="CMH207" s="2"/>
      <c r="CMI207" s="2"/>
      <c r="CMJ207" s="2"/>
      <c r="CMK207" s="2"/>
      <c r="CML207" s="2"/>
      <c r="CMM207" s="2"/>
      <c r="CMN207" s="2"/>
      <c r="CMO207" s="2"/>
      <c r="CMP207" s="2"/>
      <c r="CMQ207" s="2"/>
      <c r="CMR207" s="2"/>
      <c r="CMS207" s="2"/>
      <c r="CMT207" s="2"/>
      <c r="CMU207" s="2"/>
      <c r="CMV207" s="2"/>
      <c r="CMW207" s="2"/>
      <c r="CMX207" s="2"/>
      <c r="CMY207" s="2"/>
      <c r="CMZ207" s="2"/>
      <c r="CNA207" s="2"/>
      <c r="CNB207" s="2"/>
      <c r="CNC207" s="2"/>
      <c r="CND207" s="2"/>
      <c r="CNE207" s="2"/>
      <c r="CNF207" s="2"/>
      <c r="CNG207" s="2"/>
      <c r="CNH207" s="2"/>
      <c r="CNI207" s="2"/>
      <c r="CNJ207" s="2"/>
      <c r="CNK207" s="2"/>
      <c r="CNL207" s="2"/>
      <c r="CNM207" s="2"/>
      <c r="CNN207" s="2"/>
      <c r="CNO207" s="2"/>
      <c r="CNP207" s="2"/>
      <c r="CNQ207" s="2"/>
      <c r="CNR207" s="2"/>
      <c r="CNS207" s="2"/>
      <c r="CNT207" s="2"/>
      <c r="CNU207" s="2"/>
      <c r="CNV207" s="2"/>
      <c r="CNW207" s="2"/>
      <c r="CNX207" s="2"/>
      <c r="CNY207" s="2"/>
      <c r="CNZ207" s="2"/>
      <c r="COA207" s="2"/>
      <c r="COB207" s="2"/>
      <c r="COC207" s="2"/>
      <c r="COD207" s="2"/>
      <c r="COE207" s="2"/>
      <c r="COF207" s="2"/>
      <c r="COG207" s="2"/>
      <c r="COH207" s="2"/>
      <c r="COI207" s="2"/>
      <c r="COJ207" s="2"/>
      <c r="COK207" s="2"/>
      <c r="COL207" s="2"/>
      <c r="COM207" s="2"/>
      <c r="CON207" s="2"/>
      <c r="COO207" s="2"/>
      <c r="COP207" s="2"/>
      <c r="COQ207" s="2"/>
      <c r="COR207" s="2"/>
      <c r="COS207" s="2"/>
      <c r="COT207" s="2"/>
      <c r="COU207" s="2"/>
      <c r="COV207" s="2"/>
      <c r="COW207" s="2"/>
      <c r="COX207" s="2"/>
      <c r="COY207" s="2"/>
      <c r="COZ207" s="2"/>
      <c r="CPA207" s="2"/>
      <c r="CPB207" s="2"/>
      <c r="CPC207" s="2"/>
      <c r="CPD207" s="2"/>
      <c r="CPE207" s="2"/>
      <c r="CPF207" s="2"/>
      <c r="CPG207" s="2"/>
      <c r="CPH207" s="2"/>
      <c r="CPI207" s="2"/>
      <c r="CPJ207" s="2"/>
      <c r="CPK207" s="2"/>
      <c r="CPL207" s="2"/>
      <c r="CPM207" s="2"/>
      <c r="CPN207" s="2"/>
      <c r="CPO207" s="2"/>
      <c r="CPP207" s="2"/>
      <c r="CPQ207" s="2"/>
      <c r="CPR207" s="2"/>
      <c r="CPS207" s="2"/>
      <c r="CPT207" s="2"/>
      <c r="CPU207" s="2"/>
      <c r="CPV207" s="2"/>
      <c r="CPW207" s="2"/>
      <c r="CPX207" s="2"/>
      <c r="CPY207" s="2"/>
      <c r="CPZ207" s="2"/>
      <c r="CQA207" s="2"/>
      <c r="CQB207" s="2"/>
      <c r="CQC207" s="2"/>
      <c r="CQD207" s="2"/>
      <c r="CQE207" s="2"/>
      <c r="CQF207" s="2"/>
      <c r="CQG207" s="2"/>
      <c r="CQH207" s="2"/>
      <c r="CQI207" s="2"/>
      <c r="CQJ207" s="2"/>
      <c r="CQK207" s="2"/>
      <c r="CQL207" s="2"/>
      <c r="CQM207" s="2"/>
      <c r="CQN207" s="2"/>
      <c r="CQO207" s="2"/>
      <c r="CQP207" s="2"/>
      <c r="CQQ207" s="2"/>
      <c r="CQR207" s="2"/>
      <c r="CQS207" s="2"/>
      <c r="CQT207" s="2"/>
      <c r="CQU207" s="2"/>
      <c r="CQV207" s="2"/>
      <c r="CQW207" s="2"/>
      <c r="CQX207" s="2"/>
      <c r="CQY207" s="2"/>
      <c r="CQZ207" s="2"/>
      <c r="CRA207" s="2"/>
      <c r="CRB207" s="2"/>
      <c r="CRC207" s="2"/>
      <c r="CRD207" s="2"/>
      <c r="CRE207" s="2"/>
      <c r="CRF207" s="2"/>
      <c r="CRG207" s="2"/>
      <c r="CRH207" s="2"/>
      <c r="CRI207" s="2"/>
      <c r="CRJ207" s="2"/>
      <c r="CRK207" s="2"/>
      <c r="CRL207" s="2"/>
      <c r="CRM207" s="2"/>
      <c r="CRN207" s="2"/>
      <c r="CRO207" s="2"/>
      <c r="CRP207" s="2"/>
      <c r="CRQ207" s="2"/>
      <c r="CRR207" s="2"/>
      <c r="CRS207" s="2"/>
      <c r="CRT207" s="2"/>
      <c r="CRU207" s="2"/>
      <c r="CRV207" s="2"/>
      <c r="CRW207" s="2"/>
      <c r="CRX207" s="2"/>
      <c r="CRY207" s="2"/>
      <c r="CRZ207" s="2"/>
      <c r="CSA207" s="2"/>
      <c r="CSB207" s="2"/>
      <c r="CSC207" s="2"/>
      <c r="CSD207" s="2"/>
      <c r="CSE207" s="2"/>
      <c r="CSF207" s="2"/>
      <c r="CSG207" s="2"/>
      <c r="CSH207" s="2"/>
      <c r="CSI207" s="2"/>
      <c r="CSJ207" s="2"/>
      <c r="CSK207" s="2"/>
      <c r="CSL207" s="2"/>
      <c r="CSM207" s="2"/>
      <c r="CSN207" s="2"/>
      <c r="CSO207" s="2"/>
      <c r="CSP207" s="2"/>
      <c r="CSQ207" s="2"/>
      <c r="CSR207" s="2"/>
      <c r="CSS207" s="2"/>
      <c r="CST207" s="2"/>
      <c r="CSU207" s="2"/>
      <c r="CSV207" s="2"/>
      <c r="CSW207" s="2"/>
      <c r="CSX207" s="2"/>
      <c r="CSY207" s="2"/>
      <c r="CSZ207" s="2"/>
      <c r="CTA207" s="2"/>
      <c r="CTB207" s="2"/>
      <c r="CTC207" s="2"/>
      <c r="CTD207" s="2"/>
      <c r="CTE207" s="2"/>
      <c r="CTF207" s="2"/>
      <c r="CTG207" s="2"/>
      <c r="CTH207" s="2"/>
      <c r="CTI207" s="2"/>
      <c r="CTJ207" s="2"/>
      <c r="CTK207" s="2"/>
      <c r="CTL207" s="2"/>
      <c r="CTM207" s="2"/>
      <c r="CTN207" s="2"/>
      <c r="CTO207" s="2"/>
      <c r="CTP207" s="2"/>
      <c r="CTQ207" s="2"/>
      <c r="CTR207" s="2"/>
      <c r="CTS207" s="2"/>
      <c r="CTT207" s="2"/>
      <c r="CTU207" s="2"/>
      <c r="CTV207" s="2"/>
      <c r="CTW207" s="2"/>
      <c r="CTX207" s="2"/>
      <c r="CTY207" s="2"/>
      <c r="CTZ207" s="2"/>
      <c r="CUA207" s="2"/>
      <c r="CUB207" s="2"/>
      <c r="CUC207" s="2"/>
      <c r="CUD207" s="2"/>
      <c r="CUE207" s="2"/>
      <c r="CUF207" s="2"/>
      <c r="CUG207" s="2"/>
      <c r="CUH207" s="2"/>
      <c r="CUI207" s="2"/>
      <c r="CUJ207" s="2"/>
      <c r="CUK207" s="2"/>
      <c r="CUL207" s="2"/>
      <c r="CUM207" s="2"/>
      <c r="CUN207" s="2"/>
      <c r="CUO207" s="2"/>
      <c r="CUP207" s="2"/>
      <c r="CUQ207" s="2"/>
      <c r="CUR207" s="2"/>
      <c r="CUS207" s="2"/>
      <c r="CUT207" s="2"/>
      <c r="CUU207" s="2"/>
      <c r="CUV207" s="2"/>
      <c r="CUW207" s="2"/>
      <c r="CUX207" s="2"/>
      <c r="CUY207" s="2"/>
      <c r="CUZ207" s="2"/>
      <c r="CVA207" s="2"/>
      <c r="CVB207" s="2"/>
      <c r="CVC207" s="2"/>
      <c r="CVD207" s="2"/>
      <c r="CVE207" s="2"/>
      <c r="CVF207" s="2"/>
      <c r="CVG207" s="2"/>
      <c r="CVH207" s="2"/>
      <c r="CVI207" s="2"/>
      <c r="CVJ207" s="2"/>
      <c r="CVK207" s="2"/>
      <c r="CVL207" s="2"/>
      <c r="CVM207" s="2"/>
      <c r="CVN207" s="2"/>
      <c r="CVO207" s="2"/>
      <c r="CVP207" s="2"/>
      <c r="CVQ207" s="2"/>
      <c r="CVR207" s="2"/>
      <c r="CVS207" s="2"/>
      <c r="CVT207" s="2"/>
      <c r="CVU207" s="2"/>
      <c r="CVV207" s="2"/>
      <c r="CVW207" s="2"/>
      <c r="CVX207" s="2"/>
      <c r="CVY207" s="2"/>
      <c r="CVZ207" s="2"/>
      <c r="CWA207" s="2"/>
      <c r="CWB207" s="2"/>
      <c r="CWC207" s="2"/>
      <c r="CWD207" s="2"/>
      <c r="CWE207" s="2"/>
      <c r="CWF207" s="2"/>
      <c r="CWG207" s="2"/>
      <c r="CWH207" s="2"/>
      <c r="CWI207" s="2"/>
      <c r="CWJ207" s="2"/>
      <c r="CWK207" s="2"/>
      <c r="CWL207" s="2"/>
      <c r="CWM207" s="2"/>
      <c r="CWN207" s="2"/>
      <c r="CWO207" s="2"/>
      <c r="CWP207" s="2"/>
      <c r="CWQ207" s="2"/>
      <c r="CWR207" s="2"/>
      <c r="CWS207" s="2"/>
      <c r="CWT207" s="2"/>
      <c r="CWU207" s="2"/>
      <c r="CWV207" s="2"/>
      <c r="CWW207" s="2"/>
      <c r="CWX207" s="2"/>
      <c r="CWY207" s="2"/>
      <c r="CWZ207" s="2"/>
      <c r="CXA207" s="2"/>
      <c r="CXB207" s="2"/>
      <c r="CXC207" s="2"/>
      <c r="CXD207" s="2"/>
      <c r="CXE207" s="2"/>
      <c r="CXF207" s="2"/>
      <c r="CXG207" s="2"/>
      <c r="CXH207" s="2"/>
      <c r="CXI207" s="2"/>
      <c r="CXJ207" s="2"/>
      <c r="CXK207" s="2"/>
      <c r="CXL207" s="2"/>
      <c r="CXM207" s="2"/>
      <c r="CXN207" s="2"/>
      <c r="CXO207" s="2"/>
      <c r="CXP207" s="2"/>
      <c r="CXQ207" s="2"/>
      <c r="CXR207" s="2"/>
      <c r="CXS207" s="2"/>
      <c r="CXT207" s="2"/>
      <c r="CXU207" s="2"/>
      <c r="CXV207" s="2"/>
      <c r="CXW207" s="2"/>
      <c r="CXX207" s="2"/>
      <c r="CXY207" s="2"/>
      <c r="CXZ207" s="2"/>
      <c r="CYA207" s="2"/>
      <c r="CYB207" s="2"/>
      <c r="CYC207" s="2"/>
      <c r="CYD207" s="2"/>
      <c r="CYE207" s="2"/>
      <c r="CYF207" s="2"/>
      <c r="CYG207" s="2"/>
      <c r="CYH207" s="2"/>
      <c r="CYI207" s="2"/>
      <c r="CYJ207" s="2"/>
      <c r="CYK207" s="2"/>
      <c r="CYL207" s="2"/>
      <c r="CYM207" s="2"/>
      <c r="CYN207" s="2"/>
      <c r="CYO207" s="2"/>
      <c r="CYP207" s="2"/>
      <c r="CYQ207" s="2"/>
      <c r="CYR207" s="2"/>
      <c r="CYS207" s="2"/>
      <c r="CYT207" s="2"/>
      <c r="CYU207" s="2"/>
      <c r="CYV207" s="2"/>
      <c r="CYW207" s="2"/>
      <c r="CYX207" s="2"/>
      <c r="CYY207" s="2"/>
      <c r="CYZ207" s="2"/>
      <c r="CZA207" s="2"/>
      <c r="CZB207" s="2"/>
      <c r="CZC207" s="2"/>
      <c r="CZD207" s="2"/>
      <c r="CZE207" s="2"/>
      <c r="CZF207" s="2"/>
      <c r="CZG207" s="2"/>
      <c r="CZH207" s="2"/>
      <c r="CZI207" s="2"/>
      <c r="CZJ207" s="2"/>
      <c r="CZK207" s="2"/>
      <c r="CZL207" s="2"/>
      <c r="CZM207" s="2"/>
      <c r="CZN207" s="2"/>
      <c r="CZO207" s="2"/>
      <c r="CZP207" s="2"/>
      <c r="CZQ207" s="2"/>
      <c r="CZR207" s="2"/>
      <c r="CZS207" s="2"/>
      <c r="CZT207" s="2"/>
      <c r="CZU207" s="2"/>
      <c r="CZV207" s="2"/>
      <c r="CZW207" s="2"/>
      <c r="CZX207" s="2"/>
      <c r="CZY207" s="2"/>
      <c r="CZZ207" s="2"/>
      <c r="DAA207" s="2"/>
      <c r="DAB207" s="2"/>
      <c r="DAC207" s="2"/>
      <c r="DAD207" s="2"/>
      <c r="DAE207" s="2"/>
      <c r="DAF207" s="2"/>
      <c r="DAG207" s="2"/>
      <c r="DAH207" s="2"/>
      <c r="DAI207" s="2"/>
      <c r="DAJ207" s="2"/>
      <c r="DAK207" s="2"/>
      <c r="DAL207" s="2"/>
      <c r="DAM207" s="2"/>
      <c r="DAN207" s="2"/>
      <c r="DAO207" s="2"/>
      <c r="DAP207" s="2"/>
      <c r="DAQ207" s="2"/>
      <c r="DAR207" s="2"/>
      <c r="DAS207" s="2"/>
      <c r="DAT207" s="2"/>
      <c r="DAU207" s="2"/>
      <c r="DAV207" s="2"/>
      <c r="DAW207" s="2"/>
      <c r="DAX207" s="2"/>
      <c r="DAY207" s="2"/>
      <c r="DAZ207" s="2"/>
      <c r="DBA207" s="2"/>
      <c r="DBB207" s="2"/>
      <c r="DBC207" s="2"/>
      <c r="DBD207" s="2"/>
      <c r="DBE207" s="2"/>
      <c r="DBF207" s="2"/>
      <c r="DBG207" s="2"/>
      <c r="DBH207" s="2"/>
      <c r="DBI207" s="2"/>
      <c r="DBJ207" s="2"/>
      <c r="DBK207" s="2"/>
      <c r="DBL207" s="2"/>
      <c r="DBM207" s="2"/>
      <c r="DBN207" s="2"/>
      <c r="DBO207" s="2"/>
      <c r="DBP207" s="2"/>
      <c r="DBQ207" s="2"/>
      <c r="DBR207" s="2"/>
      <c r="DBS207" s="2"/>
      <c r="DBT207" s="2"/>
      <c r="DBU207" s="2"/>
      <c r="DBV207" s="2"/>
      <c r="DBW207" s="2"/>
      <c r="DBX207" s="2"/>
      <c r="DBY207" s="2"/>
      <c r="DBZ207" s="2"/>
      <c r="DCA207" s="2"/>
      <c r="DCB207" s="2"/>
      <c r="DCC207" s="2"/>
      <c r="DCD207" s="2"/>
      <c r="DCE207" s="2"/>
      <c r="DCF207" s="2"/>
      <c r="DCG207" s="2"/>
      <c r="DCH207" s="2"/>
      <c r="DCI207" s="2"/>
      <c r="DCJ207" s="2"/>
      <c r="DCK207" s="2"/>
      <c r="DCL207" s="2"/>
      <c r="DCM207" s="2"/>
      <c r="DCN207" s="2"/>
      <c r="DCO207" s="2"/>
      <c r="DCP207" s="2"/>
      <c r="DCQ207" s="2"/>
      <c r="DCR207" s="2"/>
      <c r="DCS207" s="2"/>
      <c r="DCT207" s="2"/>
      <c r="DCU207" s="2"/>
      <c r="DCV207" s="2"/>
      <c r="DCW207" s="2"/>
      <c r="DCX207" s="2"/>
      <c r="DCY207" s="2"/>
      <c r="DCZ207" s="2"/>
      <c r="DDA207" s="2"/>
      <c r="DDB207" s="2"/>
      <c r="DDC207" s="2"/>
      <c r="DDD207" s="2"/>
      <c r="DDE207" s="2"/>
      <c r="DDF207" s="2"/>
      <c r="DDG207" s="2"/>
      <c r="DDH207" s="2"/>
      <c r="DDI207" s="2"/>
      <c r="DDJ207" s="2"/>
      <c r="DDK207" s="2"/>
      <c r="DDL207" s="2"/>
      <c r="DDM207" s="2"/>
      <c r="DDN207" s="2"/>
      <c r="DDO207" s="2"/>
      <c r="DDP207" s="2"/>
      <c r="DDQ207" s="2"/>
      <c r="DDR207" s="2"/>
      <c r="DDS207" s="2"/>
      <c r="DDT207" s="2"/>
      <c r="DDU207" s="2"/>
      <c r="DDV207" s="2"/>
      <c r="DDW207" s="2"/>
      <c r="DDX207" s="2"/>
      <c r="DDY207" s="2"/>
      <c r="DDZ207" s="2"/>
      <c r="DEA207" s="2"/>
      <c r="DEB207" s="2"/>
      <c r="DEC207" s="2"/>
      <c r="DED207" s="2"/>
      <c r="DEE207" s="2"/>
      <c r="DEF207" s="2"/>
      <c r="DEG207" s="2"/>
      <c r="DEH207" s="2"/>
      <c r="DEI207" s="2"/>
      <c r="DEJ207" s="2"/>
      <c r="DEK207" s="2"/>
      <c r="DEL207" s="2"/>
      <c r="DEM207" s="2"/>
      <c r="DEN207" s="2"/>
      <c r="DEO207" s="2"/>
      <c r="DEP207" s="2"/>
      <c r="DEQ207" s="2"/>
      <c r="DER207" s="2"/>
      <c r="DES207" s="2"/>
      <c r="DET207" s="2"/>
      <c r="DEU207" s="2"/>
      <c r="DEV207" s="2"/>
      <c r="DEW207" s="2"/>
      <c r="DEX207" s="2"/>
      <c r="DEY207" s="2"/>
      <c r="DEZ207" s="2"/>
      <c r="DFA207" s="2"/>
      <c r="DFB207" s="2"/>
      <c r="DFC207" s="2"/>
      <c r="DFD207" s="2"/>
      <c r="DFE207" s="2"/>
      <c r="DFF207" s="2"/>
      <c r="DFG207" s="2"/>
      <c r="DFH207" s="2"/>
      <c r="DFI207" s="2"/>
      <c r="DFJ207" s="2"/>
      <c r="DFK207" s="2"/>
      <c r="DFL207" s="2"/>
      <c r="DFM207" s="2"/>
      <c r="DFN207" s="2"/>
      <c r="DFO207" s="2"/>
      <c r="DFP207" s="2"/>
      <c r="DFQ207" s="2"/>
      <c r="DFR207" s="2"/>
      <c r="DFS207" s="2"/>
      <c r="DFT207" s="2"/>
      <c r="DFU207" s="2"/>
      <c r="DFV207" s="2"/>
      <c r="DFW207" s="2"/>
      <c r="DFX207" s="2"/>
      <c r="DFY207" s="2"/>
      <c r="DFZ207" s="2"/>
      <c r="DGA207" s="2"/>
      <c r="DGB207" s="2"/>
      <c r="DGC207" s="2"/>
      <c r="DGD207" s="2"/>
      <c r="DGE207" s="2"/>
      <c r="DGF207" s="2"/>
      <c r="DGG207" s="2"/>
      <c r="DGH207" s="2"/>
      <c r="DGI207" s="2"/>
      <c r="DGJ207" s="2"/>
      <c r="DGK207" s="2"/>
      <c r="DGL207" s="2"/>
      <c r="DGM207" s="2"/>
      <c r="DGN207" s="2"/>
      <c r="DGO207" s="2"/>
      <c r="DGP207" s="2"/>
      <c r="DGQ207" s="2"/>
      <c r="DGR207" s="2"/>
      <c r="DGS207" s="2"/>
      <c r="DGT207" s="2"/>
      <c r="DGU207" s="2"/>
      <c r="DGV207" s="2"/>
      <c r="DGW207" s="2"/>
      <c r="DGX207" s="2"/>
      <c r="DGY207" s="2"/>
      <c r="DGZ207" s="2"/>
      <c r="DHA207" s="2"/>
      <c r="DHB207" s="2"/>
      <c r="DHC207" s="2"/>
      <c r="DHD207" s="2"/>
      <c r="DHE207" s="2"/>
      <c r="DHF207" s="2"/>
      <c r="DHG207" s="2"/>
      <c r="DHH207" s="2"/>
      <c r="DHI207" s="2"/>
      <c r="DHJ207" s="2"/>
      <c r="DHK207" s="2"/>
      <c r="DHL207" s="2"/>
      <c r="DHM207" s="2"/>
      <c r="DHN207" s="2"/>
      <c r="DHO207" s="2"/>
      <c r="DHP207" s="2"/>
      <c r="DHQ207" s="2"/>
      <c r="DHR207" s="2"/>
      <c r="DHS207" s="2"/>
      <c r="DHT207" s="2"/>
      <c r="DHU207" s="2"/>
      <c r="DHV207" s="2"/>
      <c r="DHW207" s="2"/>
      <c r="DHX207" s="2"/>
      <c r="DHY207" s="2"/>
      <c r="DHZ207" s="2"/>
      <c r="DIA207" s="2"/>
      <c r="DIB207" s="2"/>
      <c r="DIC207" s="2"/>
      <c r="DID207" s="2"/>
      <c r="DIE207" s="2"/>
      <c r="DIF207" s="2"/>
      <c r="DIG207" s="2"/>
      <c r="DIH207" s="2"/>
      <c r="DII207" s="2"/>
      <c r="DIJ207" s="2"/>
      <c r="DIK207" s="2"/>
      <c r="DIL207" s="2"/>
      <c r="DIM207" s="2"/>
      <c r="DIN207" s="2"/>
      <c r="DIO207" s="2"/>
      <c r="DIP207" s="2"/>
      <c r="DIQ207" s="2"/>
      <c r="DIR207" s="2"/>
      <c r="DIS207" s="2"/>
      <c r="DIT207" s="2"/>
      <c r="DIU207" s="2"/>
      <c r="DIV207" s="2"/>
      <c r="DIW207" s="2"/>
      <c r="DIX207" s="2"/>
      <c r="DIY207" s="2"/>
      <c r="DIZ207" s="2"/>
      <c r="DJA207" s="2"/>
      <c r="DJB207" s="2"/>
      <c r="DJC207" s="2"/>
      <c r="DJD207" s="2"/>
      <c r="DJE207" s="2"/>
      <c r="DJF207" s="2"/>
      <c r="DJG207" s="2"/>
      <c r="DJH207" s="2"/>
      <c r="DJI207" s="2"/>
      <c r="DJJ207" s="2"/>
      <c r="DJK207" s="2"/>
      <c r="DJL207" s="2"/>
      <c r="DJM207" s="2"/>
      <c r="DJN207" s="2"/>
      <c r="DJO207" s="2"/>
      <c r="DJP207" s="2"/>
      <c r="DJQ207" s="2"/>
      <c r="DJR207" s="2"/>
      <c r="DJS207" s="2"/>
      <c r="DJT207" s="2"/>
      <c r="DJU207" s="2"/>
      <c r="DJV207" s="2"/>
      <c r="DJW207" s="2"/>
      <c r="DJX207" s="2"/>
      <c r="DJY207" s="2"/>
      <c r="DJZ207" s="2"/>
      <c r="DKA207" s="2"/>
      <c r="DKB207" s="2"/>
      <c r="DKC207" s="2"/>
      <c r="DKD207" s="2"/>
      <c r="DKE207" s="2"/>
      <c r="DKF207" s="2"/>
      <c r="DKG207" s="2"/>
      <c r="DKH207" s="2"/>
      <c r="DKI207" s="2"/>
      <c r="DKJ207" s="2"/>
      <c r="DKK207" s="2"/>
      <c r="DKL207" s="2"/>
      <c r="DKM207" s="2"/>
      <c r="DKN207" s="2"/>
      <c r="DKO207" s="2"/>
      <c r="DKP207" s="2"/>
      <c r="DKQ207" s="2"/>
      <c r="DKR207" s="2"/>
      <c r="DKS207" s="2"/>
      <c r="DKT207" s="2"/>
      <c r="DKU207" s="2"/>
      <c r="DKV207" s="2"/>
      <c r="DKW207" s="2"/>
      <c r="DKX207" s="2"/>
      <c r="DKY207" s="2"/>
      <c r="DKZ207" s="2"/>
      <c r="DLA207" s="2"/>
      <c r="DLB207" s="2"/>
      <c r="DLC207" s="2"/>
      <c r="DLD207" s="2"/>
      <c r="DLE207" s="2"/>
      <c r="DLF207" s="2"/>
      <c r="DLG207" s="2"/>
      <c r="DLH207" s="2"/>
      <c r="DLI207" s="2"/>
      <c r="DLJ207" s="2"/>
      <c r="DLK207" s="2"/>
      <c r="DLL207" s="2"/>
      <c r="DLM207" s="2"/>
      <c r="DLN207" s="2"/>
      <c r="DLO207" s="2"/>
      <c r="DLP207" s="2"/>
      <c r="DLQ207" s="2"/>
      <c r="DLR207" s="2"/>
      <c r="DLS207" s="2"/>
      <c r="DLT207" s="2"/>
      <c r="DLU207" s="2"/>
      <c r="DLV207" s="2"/>
      <c r="DLW207" s="2"/>
      <c r="DLX207" s="2"/>
      <c r="DLY207" s="2"/>
      <c r="DLZ207" s="2"/>
      <c r="DMA207" s="2"/>
      <c r="DMB207" s="2"/>
      <c r="DMC207" s="2"/>
      <c r="DMD207" s="2"/>
      <c r="DME207" s="2"/>
      <c r="DMF207" s="2"/>
      <c r="DMG207" s="2"/>
      <c r="DMH207" s="2"/>
      <c r="DMI207" s="2"/>
      <c r="DMJ207" s="2"/>
      <c r="DMK207" s="2"/>
      <c r="DML207" s="2"/>
      <c r="DMM207" s="2"/>
      <c r="DMN207" s="2"/>
      <c r="DMO207" s="2"/>
      <c r="DMP207" s="2"/>
      <c r="DMQ207" s="2"/>
      <c r="DMR207" s="2"/>
      <c r="DMS207" s="2"/>
      <c r="DMT207" s="2"/>
      <c r="DMU207" s="2"/>
      <c r="DMV207" s="2"/>
      <c r="DMW207" s="2"/>
      <c r="DMX207" s="2"/>
      <c r="DMY207" s="2"/>
      <c r="DMZ207" s="2"/>
      <c r="DNA207" s="2"/>
      <c r="DNB207" s="2"/>
      <c r="DNC207" s="2"/>
      <c r="DND207" s="2"/>
      <c r="DNE207" s="2"/>
      <c r="DNF207" s="2"/>
      <c r="DNG207" s="2"/>
      <c r="DNH207" s="2"/>
      <c r="DNI207" s="2"/>
      <c r="DNJ207" s="2"/>
      <c r="DNK207" s="2"/>
      <c r="DNL207" s="2"/>
      <c r="DNM207" s="2"/>
      <c r="DNN207" s="2"/>
      <c r="DNO207" s="2"/>
      <c r="DNP207" s="2"/>
      <c r="DNQ207" s="2"/>
      <c r="DNR207" s="2"/>
      <c r="DNS207" s="2"/>
      <c r="DNT207" s="2"/>
      <c r="DNU207" s="2"/>
      <c r="DNV207" s="2"/>
      <c r="DNW207" s="2"/>
      <c r="DNX207" s="2"/>
      <c r="DNY207" s="2"/>
      <c r="DNZ207" s="2"/>
      <c r="DOA207" s="2"/>
      <c r="DOB207" s="2"/>
      <c r="DOC207" s="2"/>
      <c r="DOD207" s="2"/>
      <c r="DOE207" s="2"/>
      <c r="DOF207" s="2"/>
      <c r="DOG207" s="2"/>
      <c r="DOH207" s="2"/>
      <c r="DOI207" s="2"/>
      <c r="DOJ207" s="2"/>
      <c r="DOK207" s="2"/>
      <c r="DOL207" s="2"/>
      <c r="DOM207" s="2"/>
      <c r="DON207" s="2"/>
      <c r="DOO207" s="2"/>
      <c r="DOP207" s="2"/>
      <c r="DOQ207" s="2"/>
      <c r="DOR207" s="2"/>
      <c r="DOS207" s="2"/>
      <c r="DOT207" s="2"/>
      <c r="DOU207" s="2"/>
      <c r="DOV207" s="2"/>
      <c r="DOW207" s="2"/>
      <c r="DOX207" s="2"/>
      <c r="DOY207" s="2"/>
      <c r="DOZ207" s="2"/>
      <c r="DPA207" s="2"/>
      <c r="DPB207" s="2"/>
      <c r="DPC207" s="2"/>
      <c r="DPD207" s="2"/>
      <c r="DPE207" s="2"/>
      <c r="DPF207" s="2"/>
      <c r="DPG207" s="2"/>
      <c r="DPH207" s="2"/>
      <c r="DPI207" s="2"/>
      <c r="DPJ207" s="2"/>
      <c r="DPK207" s="2"/>
      <c r="DPL207" s="2"/>
      <c r="DPM207" s="2"/>
      <c r="DPN207" s="2"/>
      <c r="DPO207" s="2"/>
      <c r="DPP207" s="2"/>
      <c r="DPQ207" s="2"/>
      <c r="DPR207" s="2"/>
      <c r="DPS207" s="2"/>
      <c r="DPT207" s="2"/>
      <c r="DPU207" s="2"/>
      <c r="DPV207" s="2"/>
      <c r="DPW207" s="2"/>
      <c r="DPX207" s="2"/>
      <c r="DPY207" s="2"/>
      <c r="DPZ207" s="2"/>
      <c r="DQA207" s="2"/>
      <c r="DQB207" s="2"/>
      <c r="DQC207" s="2"/>
      <c r="DQD207" s="2"/>
      <c r="DQE207" s="2"/>
      <c r="DQF207" s="2"/>
      <c r="DQG207" s="2"/>
      <c r="DQH207" s="2"/>
      <c r="DQI207" s="2"/>
      <c r="DQJ207" s="2"/>
      <c r="DQK207" s="2"/>
      <c r="DQL207" s="2"/>
      <c r="DQM207" s="2"/>
      <c r="DQN207" s="2"/>
      <c r="DQO207" s="2"/>
      <c r="DQP207" s="2"/>
      <c r="DQQ207" s="2"/>
      <c r="DQR207" s="2"/>
      <c r="DQS207" s="2"/>
      <c r="DQT207" s="2"/>
      <c r="DQU207" s="2"/>
      <c r="DQV207" s="2"/>
      <c r="DQW207" s="2"/>
      <c r="DQX207" s="2"/>
      <c r="DQY207" s="2"/>
      <c r="DQZ207" s="2"/>
      <c r="DRA207" s="2"/>
      <c r="DRB207" s="2"/>
      <c r="DRC207" s="2"/>
      <c r="DRD207" s="2"/>
      <c r="DRE207" s="2"/>
      <c r="DRF207" s="2"/>
      <c r="DRG207" s="2"/>
      <c r="DRH207" s="2"/>
      <c r="DRI207" s="2"/>
      <c r="DRJ207" s="2"/>
      <c r="DRK207" s="2"/>
      <c r="DRL207" s="2"/>
      <c r="DRM207" s="2"/>
      <c r="DRN207" s="2"/>
      <c r="DRO207" s="2"/>
      <c r="DRP207" s="2"/>
      <c r="DRQ207" s="2"/>
      <c r="DRR207" s="2"/>
      <c r="DRS207" s="2"/>
      <c r="DRT207" s="2"/>
      <c r="DRU207" s="2"/>
      <c r="DRV207" s="2"/>
      <c r="DRW207" s="2"/>
      <c r="DRX207" s="2"/>
      <c r="DRY207" s="2"/>
      <c r="DRZ207" s="2"/>
      <c r="DSA207" s="2"/>
      <c r="DSB207" s="2"/>
      <c r="DSC207" s="2"/>
      <c r="DSD207" s="2"/>
      <c r="DSE207" s="2"/>
      <c r="DSF207" s="2"/>
      <c r="DSG207" s="2"/>
      <c r="DSH207" s="2"/>
      <c r="DSI207" s="2"/>
      <c r="DSJ207" s="2"/>
      <c r="DSK207" s="2"/>
      <c r="DSL207" s="2"/>
      <c r="DSM207" s="2"/>
      <c r="DSN207" s="2"/>
      <c r="DSO207" s="2"/>
      <c r="DSP207" s="2"/>
      <c r="DSQ207" s="2"/>
      <c r="DSR207" s="2"/>
      <c r="DSS207" s="2"/>
      <c r="DST207" s="2"/>
      <c r="DSU207" s="2"/>
      <c r="DSV207" s="2"/>
      <c r="DSW207" s="2"/>
      <c r="DSX207" s="2"/>
      <c r="DSY207" s="2"/>
      <c r="DSZ207" s="2"/>
      <c r="DTA207" s="2"/>
      <c r="DTB207" s="2"/>
      <c r="DTC207" s="2"/>
      <c r="DTD207" s="2"/>
      <c r="DTE207" s="2"/>
      <c r="DTF207" s="2"/>
      <c r="DTG207" s="2"/>
      <c r="DTH207" s="2"/>
      <c r="DTI207" s="2"/>
      <c r="DTJ207" s="2"/>
      <c r="DTK207" s="2"/>
      <c r="DTL207" s="2"/>
      <c r="DTM207" s="2"/>
      <c r="DTN207" s="2"/>
      <c r="DTO207" s="2"/>
      <c r="DTP207" s="2"/>
      <c r="DTQ207" s="2"/>
      <c r="DTR207" s="2"/>
      <c r="DTS207" s="2"/>
      <c r="DTT207" s="2"/>
      <c r="DTU207" s="2"/>
      <c r="DTV207" s="2"/>
      <c r="DTW207" s="2"/>
      <c r="DTX207" s="2"/>
      <c r="DTY207" s="2"/>
      <c r="DTZ207" s="2"/>
      <c r="DUA207" s="2"/>
      <c r="DUB207" s="2"/>
      <c r="DUC207" s="2"/>
      <c r="DUD207" s="2"/>
      <c r="DUE207" s="2"/>
      <c r="DUF207" s="2"/>
      <c r="DUG207" s="2"/>
      <c r="DUH207" s="2"/>
      <c r="DUI207" s="2"/>
      <c r="DUJ207" s="2"/>
      <c r="DUK207" s="2"/>
      <c r="DUL207" s="2"/>
      <c r="DUM207" s="2"/>
      <c r="DUN207" s="2"/>
      <c r="DUO207" s="2"/>
      <c r="DUP207" s="2"/>
      <c r="DUQ207" s="2"/>
      <c r="DUR207" s="2"/>
      <c r="DUS207" s="2"/>
      <c r="DUT207" s="2"/>
      <c r="DUU207" s="2"/>
      <c r="DUV207" s="2"/>
      <c r="DUW207" s="2"/>
      <c r="DUX207" s="2"/>
      <c r="DUY207" s="2"/>
      <c r="DUZ207" s="2"/>
      <c r="DVA207" s="2"/>
      <c r="DVB207" s="2"/>
      <c r="DVC207" s="2"/>
      <c r="DVD207" s="2"/>
      <c r="DVE207" s="2"/>
      <c r="DVF207" s="2"/>
      <c r="DVG207" s="2"/>
      <c r="DVH207" s="2"/>
      <c r="DVI207" s="2"/>
      <c r="DVJ207" s="2"/>
      <c r="DVK207" s="2"/>
      <c r="DVL207" s="2"/>
      <c r="DVM207" s="2"/>
      <c r="DVN207" s="2"/>
      <c r="DVO207" s="2"/>
      <c r="DVP207" s="2"/>
      <c r="DVQ207" s="2"/>
      <c r="DVR207" s="2"/>
      <c r="DVS207" s="2"/>
      <c r="DVT207" s="2"/>
      <c r="DVU207" s="2"/>
      <c r="DVV207" s="2"/>
      <c r="DVW207" s="2"/>
      <c r="DVX207" s="2"/>
      <c r="DVY207" s="2"/>
      <c r="DVZ207" s="2"/>
      <c r="DWA207" s="2"/>
      <c r="DWB207" s="2"/>
      <c r="DWC207" s="2"/>
      <c r="DWD207" s="2"/>
      <c r="DWE207" s="2"/>
      <c r="DWF207" s="2"/>
      <c r="DWG207" s="2"/>
      <c r="DWH207" s="2"/>
      <c r="DWI207" s="2"/>
      <c r="DWJ207" s="2"/>
      <c r="DWK207" s="2"/>
      <c r="DWL207" s="2"/>
      <c r="DWM207" s="2"/>
      <c r="DWN207" s="2"/>
      <c r="DWO207" s="2"/>
      <c r="DWP207" s="2"/>
      <c r="DWQ207" s="2"/>
      <c r="DWR207" s="2"/>
      <c r="DWS207" s="2"/>
      <c r="DWT207" s="2"/>
      <c r="DWU207" s="2"/>
      <c r="DWV207" s="2"/>
      <c r="DWW207" s="2"/>
      <c r="DWX207" s="2"/>
      <c r="DWY207" s="2"/>
      <c r="DWZ207" s="2"/>
      <c r="DXA207" s="2"/>
      <c r="DXB207" s="2"/>
      <c r="DXC207" s="2"/>
      <c r="DXD207" s="2"/>
      <c r="DXE207" s="2"/>
      <c r="DXF207" s="2"/>
      <c r="DXG207" s="2"/>
      <c r="DXH207" s="2"/>
      <c r="DXI207" s="2"/>
      <c r="DXJ207" s="2"/>
      <c r="DXK207" s="2"/>
      <c r="DXL207" s="2"/>
      <c r="DXM207" s="2"/>
      <c r="DXN207" s="2"/>
      <c r="DXO207" s="2"/>
      <c r="DXP207" s="2"/>
      <c r="DXQ207" s="2"/>
      <c r="DXR207" s="2"/>
      <c r="DXS207" s="2"/>
      <c r="DXT207" s="2"/>
      <c r="DXU207" s="2"/>
      <c r="DXV207" s="2"/>
      <c r="DXW207" s="2"/>
      <c r="DXX207" s="2"/>
      <c r="DXY207" s="2"/>
      <c r="DXZ207" s="2"/>
      <c r="DYA207" s="2"/>
      <c r="DYB207" s="2"/>
      <c r="DYC207" s="2"/>
      <c r="DYD207" s="2"/>
      <c r="DYE207" s="2"/>
      <c r="DYF207" s="2"/>
      <c r="DYG207" s="2"/>
      <c r="DYH207" s="2"/>
      <c r="DYI207" s="2"/>
      <c r="DYJ207" s="2"/>
      <c r="DYK207" s="2"/>
      <c r="DYL207" s="2"/>
      <c r="DYM207" s="2"/>
      <c r="DYN207" s="2"/>
      <c r="DYO207" s="2"/>
      <c r="DYP207" s="2"/>
      <c r="DYQ207" s="2"/>
      <c r="DYR207" s="2"/>
      <c r="DYS207" s="2"/>
      <c r="DYT207" s="2"/>
      <c r="DYU207" s="2"/>
      <c r="DYV207" s="2"/>
      <c r="DYW207" s="2"/>
      <c r="DYX207" s="2"/>
      <c r="DYY207" s="2"/>
      <c r="DYZ207" s="2"/>
      <c r="DZA207" s="2"/>
      <c r="DZB207" s="2"/>
      <c r="DZC207" s="2"/>
      <c r="DZD207" s="2"/>
      <c r="DZE207" s="2"/>
      <c r="DZF207" s="2"/>
      <c r="DZG207" s="2"/>
      <c r="DZH207" s="2"/>
      <c r="DZI207" s="2"/>
      <c r="DZJ207" s="2"/>
      <c r="DZK207" s="2"/>
      <c r="DZL207" s="2"/>
      <c r="DZM207" s="2"/>
      <c r="DZN207" s="2"/>
      <c r="DZO207" s="2"/>
      <c r="DZP207" s="2"/>
      <c r="DZQ207" s="2"/>
      <c r="DZR207" s="2"/>
      <c r="DZS207" s="2"/>
      <c r="DZT207" s="2"/>
      <c r="DZU207" s="2"/>
      <c r="DZV207" s="2"/>
      <c r="DZW207" s="2"/>
      <c r="DZX207" s="2"/>
      <c r="DZY207" s="2"/>
      <c r="DZZ207" s="2"/>
      <c r="EAA207" s="2"/>
      <c r="EAB207" s="2"/>
      <c r="EAC207" s="2"/>
      <c r="EAD207" s="2"/>
      <c r="EAE207" s="2"/>
      <c r="EAF207" s="2"/>
      <c r="EAG207" s="2"/>
      <c r="EAH207" s="2"/>
      <c r="EAI207" s="2"/>
      <c r="EAJ207" s="2"/>
      <c r="EAK207" s="2"/>
      <c r="EAL207" s="2"/>
      <c r="EAM207" s="2"/>
      <c r="EAN207" s="2"/>
      <c r="EAO207" s="2"/>
      <c r="EAP207" s="2"/>
      <c r="EAQ207" s="2"/>
      <c r="EAR207" s="2"/>
      <c r="EAS207" s="2"/>
      <c r="EAT207" s="2"/>
      <c r="EAU207" s="2"/>
      <c r="EAV207" s="2"/>
      <c r="EAW207" s="2"/>
      <c r="EAX207" s="2"/>
      <c r="EAY207" s="2"/>
      <c r="EAZ207" s="2"/>
      <c r="EBA207" s="2"/>
      <c r="EBB207" s="2"/>
      <c r="EBC207" s="2"/>
      <c r="EBD207" s="2"/>
      <c r="EBE207" s="2"/>
      <c r="EBF207" s="2"/>
      <c r="EBG207" s="2"/>
      <c r="EBH207" s="2"/>
      <c r="EBI207" s="2"/>
      <c r="EBJ207" s="2"/>
      <c r="EBK207" s="2"/>
      <c r="EBL207" s="2"/>
      <c r="EBM207" s="2"/>
      <c r="EBN207" s="2"/>
      <c r="EBO207" s="2"/>
      <c r="EBP207" s="2"/>
      <c r="EBQ207" s="2"/>
      <c r="EBR207" s="2"/>
      <c r="EBS207" s="2"/>
      <c r="EBT207" s="2"/>
      <c r="EBU207" s="2"/>
      <c r="EBV207" s="2"/>
      <c r="EBW207" s="2"/>
      <c r="EBX207" s="2"/>
      <c r="EBY207" s="2"/>
      <c r="EBZ207" s="2"/>
      <c r="ECA207" s="2"/>
      <c r="ECB207" s="2"/>
      <c r="ECC207" s="2"/>
      <c r="ECD207" s="2"/>
      <c r="ECE207" s="2"/>
      <c r="ECF207" s="2"/>
      <c r="ECG207" s="2"/>
      <c r="ECH207" s="2"/>
      <c r="ECI207" s="2"/>
      <c r="ECJ207" s="2"/>
      <c r="ECK207" s="2"/>
      <c r="ECL207" s="2"/>
      <c r="ECM207" s="2"/>
      <c r="ECN207" s="2"/>
      <c r="ECO207" s="2"/>
      <c r="ECP207" s="2"/>
      <c r="ECQ207" s="2"/>
      <c r="ECR207" s="2"/>
      <c r="ECS207" s="2"/>
      <c r="ECT207" s="2"/>
      <c r="ECU207" s="2"/>
      <c r="ECV207" s="2"/>
      <c r="ECW207" s="2"/>
      <c r="ECX207" s="2"/>
      <c r="ECY207" s="2"/>
      <c r="ECZ207" s="2"/>
      <c r="EDA207" s="2"/>
      <c r="EDB207" s="2"/>
      <c r="EDC207" s="2"/>
      <c r="EDD207" s="2"/>
      <c r="EDE207" s="2"/>
      <c r="EDF207" s="2"/>
      <c r="EDG207" s="2"/>
      <c r="EDH207" s="2"/>
      <c r="EDI207" s="2"/>
      <c r="EDJ207" s="2"/>
      <c r="EDK207" s="2"/>
      <c r="EDL207" s="2"/>
      <c r="EDM207" s="2"/>
      <c r="EDN207" s="2"/>
      <c r="EDO207" s="2"/>
      <c r="EDP207" s="2"/>
      <c r="EDQ207" s="2"/>
      <c r="EDR207" s="2"/>
      <c r="EDS207" s="2"/>
      <c r="EDT207" s="2"/>
      <c r="EDU207" s="2"/>
      <c r="EDV207" s="2"/>
      <c r="EDW207" s="2"/>
      <c r="EDX207" s="2"/>
      <c r="EDY207" s="2"/>
      <c r="EDZ207" s="2"/>
      <c r="EEA207" s="2"/>
      <c r="EEB207" s="2"/>
      <c r="EEC207" s="2"/>
      <c r="EED207" s="2"/>
      <c r="EEE207" s="2"/>
      <c r="EEF207" s="2"/>
      <c r="EEG207" s="2"/>
      <c r="EEH207" s="2"/>
      <c r="EEI207" s="2"/>
      <c r="EEJ207" s="2"/>
      <c r="EEK207" s="2"/>
      <c r="EEL207" s="2"/>
      <c r="EEM207" s="2"/>
      <c r="EEN207" s="2"/>
      <c r="EEO207" s="2"/>
      <c r="EEP207" s="2"/>
      <c r="EEQ207" s="2"/>
      <c r="EER207" s="2"/>
      <c r="EES207" s="2"/>
      <c r="EET207" s="2"/>
      <c r="EEU207" s="2"/>
      <c r="EEV207" s="2"/>
      <c r="EEW207" s="2"/>
      <c r="EEX207" s="2"/>
      <c r="EEY207" s="2"/>
      <c r="EEZ207" s="2"/>
      <c r="EFA207" s="2"/>
      <c r="EFB207" s="2"/>
      <c r="EFC207" s="2"/>
      <c r="EFD207" s="2"/>
      <c r="EFE207" s="2"/>
      <c r="EFF207" s="2"/>
      <c r="EFG207" s="2"/>
      <c r="EFH207" s="2"/>
      <c r="EFI207" s="2"/>
      <c r="EFJ207" s="2"/>
      <c r="EFK207" s="2"/>
      <c r="EFL207" s="2"/>
      <c r="EFM207" s="2"/>
      <c r="EFN207" s="2"/>
      <c r="EFO207" s="2"/>
      <c r="EFP207" s="2"/>
      <c r="EFQ207" s="2"/>
      <c r="EFR207" s="2"/>
      <c r="EFS207" s="2"/>
      <c r="EFT207" s="2"/>
      <c r="EFU207" s="2"/>
      <c r="EFV207" s="2"/>
      <c r="EFW207" s="2"/>
      <c r="EFX207" s="2"/>
      <c r="EFY207" s="2"/>
      <c r="EFZ207" s="2"/>
      <c r="EGA207" s="2"/>
      <c r="EGB207" s="2"/>
      <c r="EGC207" s="2"/>
      <c r="EGD207" s="2"/>
      <c r="EGE207" s="2"/>
      <c r="EGF207" s="2"/>
      <c r="EGG207" s="2"/>
      <c r="EGH207" s="2"/>
      <c r="EGI207" s="2"/>
      <c r="EGJ207" s="2"/>
      <c r="EGK207" s="2"/>
      <c r="EGL207" s="2"/>
      <c r="EGM207" s="2"/>
      <c r="EGN207" s="2"/>
      <c r="EGO207" s="2"/>
      <c r="EGP207" s="2"/>
      <c r="EGQ207" s="2"/>
      <c r="EGR207" s="2"/>
      <c r="EGS207" s="2"/>
      <c r="EGT207" s="2"/>
      <c r="EGU207" s="2"/>
      <c r="EGV207" s="2"/>
      <c r="EGW207" s="2"/>
      <c r="EGX207" s="2"/>
      <c r="EGY207" s="2"/>
      <c r="EGZ207" s="2"/>
      <c r="EHA207" s="2"/>
      <c r="EHB207" s="2"/>
      <c r="EHC207" s="2"/>
      <c r="EHD207" s="2"/>
      <c r="EHE207" s="2"/>
      <c r="EHF207" s="2"/>
      <c r="EHG207" s="2"/>
      <c r="EHH207" s="2"/>
      <c r="EHI207" s="2"/>
      <c r="EHJ207" s="2"/>
      <c r="EHK207" s="2"/>
      <c r="EHL207" s="2"/>
      <c r="EHM207" s="2"/>
      <c r="EHN207" s="2"/>
      <c r="EHO207" s="2"/>
      <c r="EHP207" s="2"/>
      <c r="EHQ207" s="2"/>
      <c r="EHR207" s="2"/>
      <c r="EHS207" s="2"/>
      <c r="EHT207" s="2"/>
      <c r="EHU207" s="2"/>
      <c r="EHV207" s="2"/>
      <c r="EHW207" s="2"/>
      <c r="EHX207" s="2"/>
      <c r="EHY207" s="2"/>
      <c r="EHZ207" s="2"/>
      <c r="EIA207" s="2"/>
      <c r="EIB207" s="2"/>
      <c r="EIC207" s="2"/>
      <c r="EID207" s="2"/>
      <c r="EIE207" s="2"/>
      <c r="EIF207" s="2"/>
      <c r="EIG207" s="2"/>
      <c r="EIH207" s="2"/>
      <c r="EII207" s="2"/>
      <c r="EIJ207" s="2"/>
      <c r="EIK207" s="2"/>
      <c r="EIL207" s="2"/>
      <c r="EIM207" s="2"/>
      <c r="EIN207" s="2"/>
      <c r="EIO207" s="2"/>
      <c r="EIP207" s="2"/>
      <c r="EIQ207" s="2"/>
      <c r="EIR207" s="2"/>
      <c r="EIS207" s="2"/>
      <c r="EIT207" s="2"/>
      <c r="EIU207" s="2"/>
      <c r="EIV207" s="2"/>
      <c r="EIW207" s="2"/>
      <c r="EIX207" s="2"/>
      <c r="EIY207" s="2"/>
      <c r="EIZ207" s="2"/>
      <c r="EJA207" s="2"/>
      <c r="EJB207" s="2"/>
      <c r="EJC207" s="2"/>
      <c r="EJD207" s="2"/>
      <c r="EJE207" s="2"/>
      <c r="EJF207" s="2"/>
      <c r="EJG207" s="2"/>
      <c r="EJH207" s="2"/>
      <c r="EJI207" s="2"/>
      <c r="EJJ207" s="2"/>
      <c r="EJK207" s="2"/>
      <c r="EJL207" s="2"/>
      <c r="EJM207" s="2"/>
      <c r="EJN207" s="2"/>
      <c r="EJO207" s="2"/>
      <c r="EJP207" s="2"/>
      <c r="EJQ207" s="2"/>
      <c r="EJR207" s="2"/>
      <c r="EJS207" s="2"/>
      <c r="EJT207" s="2"/>
      <c r="EJU207" s="2"/>
      <c r="EJV207" s="2"/>
      <c r="EJW207" s="2"/>
      <c r="EJX207" s="2"/>
      <c r="EJY207" s="2"/>
      <c r="EJZ207" s="2"/>
      <c r="EKA207" s="2"/>
      <c r="EKB207" s="2"/>
      <c r="EKC207" s="2"/>
      <c r="EKD207" s="2"/>
      <c r="EKE207" s="2"/>
      <c r="EKF207" s="2"/>
      <c r="EKG207" s="2"/>
      <c r="EKH207" s="2"/>
      <c r="EKI207" s="2"/>
      <c r="EKJ207" s="2"/>
      <c r="EKK207" s="2"/>
      <c r="EKL207" s="2"/>
      <c r="EKM207" s="2"/>
      <c r="EKN207" s="2"/>
      <c r="EKO207" s="2"/>
      <c r="EKP207" s="2"/>
      <c r="EKQ207" s="2"/>
      <c r="EKR207" s="2"/>
      <c r="EKS207" s="2"/>
      <c r="EKT207" s="2"/>
      <c r="EKU207" s="2"/>
      <c r="EKV207" s="2"/>
      <c r="EKW207" s="2"/>
      <c r="EKX207" s="2"/>
      <c r="EKY207" s="2"/>
      <c r="EKZ207" s="2"/>
      <c r="ELA207" s="2"/>
      <c r="ELB207" s="2"/>
      <c r="ELC207" s="2"/>
      <c r="ELD207" s="2"/>
      <c r="ELE207" s="2"/>
      <c r="ELF207" s="2"/>
      <c r="ELG207" s="2"/>
      <c r="ELH207" s="2"/>
      <c r="ELI207" s="2"/>
      <c r="ELJ207" s="2"/>
      <c r="ELK207" s="2"/>
      <c r="ELL207" s="2"/>
      <c r="ELM207" s="2"/>
      <c r="ELN207" s="2"/>
      <c r="ELO207" s="2"/>
      <c r="ELP207" s="2"/>
      <c r="ELQ207" s="2"/>
      <c r="ELR207" s="2"/>
      <c r="ELS207" s="2"/>
      <c r="ELT207" s="2"/>
      <c r="ELU207" s="2"/>
      <c r="ELV207" s="2"/>
      <c r="ELW207" s="2"/>
      <c r="ELX207" s="2"/>
      <c r="ELY207" s="2"/>
      <c r="ELZ207" s="2"/>
      <c r="EMA207" s="2"/>
      <c r="EMB207" s="2"/>
      <c r="EMC207" s="2"/>
      <c r="EMD207" s="2"/>
      <c r="EME207" s="2"/>
      <c r="EMF207" s="2"/>
      <c r="EMG207" s="2"/>
      <c r="EMH207" s="2"/>
      <c r="EMI207" s="2"/>
      <c r="EMJ207" s="2"/>
      <c r="EMK207" s="2"/>
      <c r="EML207" s="2"/>
      <c r="EMM207" s="2"/>
      <c r="EMN207" s="2"/>
      <c r="EMO207" s="2"/>
      <c r="EMP207" s="2"/>
      <c r="EMQ207" s="2"/>
      <c r="EMR207" s="2"/>
      <c r="EMS207" s="2"/>
      <c r="EMT207" s="2"/>
      <c r="EMU207" s="2"/>
      <c r="EMV207" s="2"/>
      <c r="EMW207" s="2"/>
      <c r="EMX207" s="2"/>
      <c r="EMY207" s="2"/>
      <c r="EMZ207" s="2"/>
      <c r="ENA207" s="2"/>
      <c r="ENB207" s="2"/>
      <c r="ENC207" s="2"/>
      <c r="END207" s="2"/>
      <c r="ENE207" s="2"/>
      <c r="ENF207" s="2"/>
      <c r="ENG207" s="2"/>
      <c r="ENH207" s="2"/>
      <c r="ENI207" s="2"/>
      <c r="ENJ207" s="2"/>
      <c r="ENK207" s="2"/>
      <c r="ENL207" s="2"/>
      <c r="ENM207" s="2"/>
      <c r="ENN207" s="2"/>
      <c r="ENO207" s="2"/>
      <c r="ENP207" s="2"/>
      <c r="ENQ207" s="2"/>
      <c r="ENR207" s="2"/>
      <c r="ENS207" s="2"/>
      <c r="ENT207" s="2"/>
      <c r="ENU207" s="2"/>
      <c r="ENV207" s="2"/>
      <c r="ENW207" s="2"/>
      <c r="ENX207" s="2"/>
      <c r="ENY207" s="2"/>
      <c r="ENZ207" s="2"/>
      <c r="EOA207" s="2"/>
      <c r="EOB207" s="2"/>
      <c r="EOC207" s="2"/>
      <c r="EOD207" s="2"/>
      <c r="EOE207" s="2"/>
      <c r="EOF207" s="2"/>
      <c r="EOG207" s="2"/>
      <c r="EOH207" s="2"/>
      <c r="EOI207" s="2"/>
      <c r="EOJ207" s="2"/>
      <c r="EOK207" s="2"/>
      <c r="EOL207" s="2"/>
      <c r="EOM207" s="2"/>
      <c r="EON207" s="2"/>
      <c r="EOO207" s="2"/>
      <c r="EOP207" s="2"/>
      <c r="EOQ207" s="2"/>
      <c r="EOR207" s="2"/>
      <c r="EOS207" s="2"/>
      <c r="EOT207" s="2"/>
      <c r="EOU207" s="2"/>
      <c r="EOV207" s="2"/>
      <c r="EOW207" s="2"/>
      <c r="EOX207" s="2"/>
      <c r="EOY207" s="2"/>
      <c r="EOZ207" s="2"/>
      <c r="EPA207" s="2"/>
      <c r="EPB207" s="2"/>
      <c r="EPC207" s="2"/>
      <c r="EPD207" s="2"/>
      <c r="EPE207" s="2"/>
      <c r="EPF207" s="2"/>
      <c r="EPG207" s="2"/>
      <c r="EPH207" s="2"/>
      <c r="EPI207" s="2"/>
      <c r="EPJ207" s="2"/>
      <c r="EPK207" s="2"/>
      <c r="EPL207" s="2"/>
      <c r="EPM207" s="2"/>
      <c r="EPN207" s="2"/>
      <c r="EPO207" s="2"/>
      <c r="EPP207" s="2"/>
      <c r="EPQ207" s="2"/>
      <c r="EPR207" s="2"/>
      <c r="EPS207" s="2"/>
      <c r="EPT207" s="2"/>
      <c r="EPU207" s="2"/>
      <c r="EPV207" s="2"/>
      <c r="EPW207" s="2"/>
      <c r="EPX207" s="2"/>
      <c r="EPY207" s="2"/>
      <c r="EPZ207" s="2"/>
      <c r="EQA207" s="2"/>
      <c r="EQB207" s="2"/>
      <c r="EQC207" s="2"/>
      <c r="EQD207" s="2"/>
      <c r="EQE207" s="2"/>
      <c r="EQF207" s="2"/>
      <c r="EQG207" s="2"/>
      <c r="EQH207" s="2"/>
      <c r="EQI207" s="2"/>
      <c r="EQJ207" s="2"/>
      <c r="EQK207" s="2"/>
      <c r="EQL207" s="2"/>
      <c r="EQM207" s="2"/>
      <c r="EQN207" s="2"/>
      <c r="EQO207" s="2"/>
      <c r="EQP207" s="2"/>
      <c r="EQQ207" s="2"/>
      <c r="EQR207" s="2"/>
      <c r="EQS207" s="2"/>
      <c r="EQT207" s="2"/>
      <c r="EQU207" s="2"/>
      <c r="EQV207" s="2"/>
      <c r="EQW207" s="2"/>
      <c r="EQX207" s="2"/>
      <c r="EQY207" s="2"/>
      <c r="EQZ207" s="2"/>
      <c r="ERA207" s="2"/>
      <c r="ERB207" s="2"/>
      <c r="ERC207" s="2"/>
      <c r="ERD207" s="2"/>
      <c r="ERE207" s="2"/>
      <c r="ERF207" s="2"/>
      <c r="ERG207" s="2"/>
      <c r="ERH207" s="2"/>
      <c r="ERI207" s="2"/>
      <c r="ERJ207" s="2"/>
      <c r="ERK207" s="2"/>
      <c r="ERL207" s="2"/>
      <c r="ERM207" s="2"/>
      <c r="ERN207" s="2"/>
      <c r="ERO207" s="2"/>
      <c r="ERP207" s="2"/>
      <c r="ERQ207" s="2"/>
      <c r="ERR207" s="2"/>
      <c r="ERS207" s="2"/>
      <c r="ERT207" s="2"/>
      <c r="ERU207" s="2"/>
      <c r="ERV207" s="2"/>
      <c r="ERW207" s="2"/>
      <c r="ERX207" s="2"/>
      <c r="ERY207" s="2"/>
      <c r="ERZ207" s="2"/>
      <c r="ESA207" s="2"/>
      <c r="ESB207" s="2"/>
      <c r="ESC207" s="2"/>
      <c r="ESD207" s="2"/>
      <c r="ESE207" s="2"/>
      <c r="ESF207" s="2"/>
      <c r="ESG207" s="2"/>
      <c r="ESH207" s="2"/>
      <c r="ESI207" s="2"/>
      <c r="ESJ207" s="2"/>
      <c r="ESK207" s="2"/>
      <c r="ESL207" s="2"/>
      <c r="ESM207" s="2"/>
      <c r="ESN207" s="2"/>
      <c r="ESO207" s="2"/>
      <c r="ESP207" s="2"/>
      <c r="ESQ207" s="2"/>
      <c r="ESR207" s="2"/>
      <c r="ESS207" s="2"/>
      <c r="EST207" s="2"/>
      <c r="ESU207" s="2"/>
      <c r="ESV207" s="2"/>
      <c r="ESW207" s="2"/>
      <c r="ESX207" s="2"/>
      <c r="ESY207" s="2"/>
      <c r="ESZ207" s="2"/>
      <c r="ETA207" s="2"/>
      <c r="ETB207" s="2"/>
      <c r="ETC207" s="2"/>
      <c r="ETD207" s="2"/>
      <c r="ETE207" s="2"/>
      <c r="ETF207" s="2"/>
      <c r="ETG207" s="2"/>
      <c r="ETH207" s="2"/>
      <c r="ETI207" s="2"/>
      <c r="ETJ207" s="2"/>
      <c r="ETK207" s="2"/>
      <c r="ETL207" s="2"/>
      <c r="ETM207" s="2"/>
      <c r="ETN207" s="2"/>
      <c r="ETO207" s="2"/>
      <c r="ETP207" s="2"/>
      <c r="ETQ207" s="2"/>
      <c r="ETR207" s="2"/>
      <c r="ETS207" s="2"/>
      <c r="ETT207" s="2"/>
      <c r="ETU207" s="2"/>
      <c r="ETV207" s="2"/>
      <c r="ETW207" s="2"/>
      <c r="ETX207" s="2"/>
      <c r="ETY207" s="2"/>
      <c r="ETZ207" s="2"/>
      <c r="EUA207" s="2"/>
      <c r="EUB207" s="2"/>
      <c r="EUC207" s="2"/>
      <c r="EUD207" s="2"/>
      <c r="EUE207" s="2"/>
      <c r="EUF207" s="2"/>
      <c r="EUG207" s="2"/>
      <c r="EUH207" s="2"/>
      <c r="EUI207" s="2"/>
      <c r="EUJ207" s="2"/>
      <c r="EUK207" s="2"/>
      <c r="EUL207" s="2"/>
      <c r="EUM207" s="2"/>
      <c r="EUN207" s="2"/>
      <c r="EUO207" s="2"/>
      <c r="EUP207" s="2"/>
      <c r="EUQ207" s="2"/>
      <c r="EUR207" s="2"/>
      <c r="EUS207" s="2"/>
      <c r="EUT207" s="2"/>
      <c r="EUU207" s="2"/>
      <c r="EUV207" s="2"/>
      <c r="EUW207" s="2"/>
      <c r="EUX207" s="2"/>
      <c r="EUY207" s="2"/>
      <c r="EUZ207" s="2"/>
      <c r="EVA207" s="2"/>
      <c r="EVB207" s="2"/>
      <c r="EVC207" s="2"/>
      <c r="EVD207" s="2"/>
      <c r="EVE207" s="2"/>
      <c r="EVF207" s="2"/>
      <c r="EVG207" s="2"/>
      <c r="EVH207" s="2"/>
      <c r="EVI207" s="2"/>
      <c r="EVJ207" s="2"/>
      <c r="EVK207" s="2"/>
      <c r="EVL207" s="2"/>
      <c r="EVM207" s="2"/>
      <c r="EVN207" s="2"/>
      <c r="EVO207" s="2"/>
      <c r="EVP207" s="2"/>
      <c r="EVQ207" s="2"/>
      <c r="EVR207" s="2"/>
      <c r="EVS207" s="2"/>
      <c r="EVT207" s="2"/>
      <c r="EVU207" s="2"/>
      <c r="EVV207" s="2"/>
      <c r="EVW207" s="2"/>
      <c r="EVX207" s="2"/>
      <c r="EVY207" s="2"/>
      <c r="EVZ207" s="2"/>
      <c r="EWA207" s="2"/>
      <c r="EWB207" s="2"/>
      <c r="EWC207" s="2"/>
      <c r="EWD207" s="2"/>
      <c r="EWE207" s="2"/>
      <c r="EWF207" s="2"/>
      <c r="EWG207" s="2"/>
      <c r="EWH207" s="2"/>
      <c r="EWI207" s="2"/>
      <c r="EWJ207" s="2"/>
      <c r="EWK207" s="2"/>
      <c r="EWL207" s="2"/>
      <c r="EWM207" s="2"/>
      <c r="EWN207" s="2"/>
      <c r="EWO207" s="2"/>
      <c r="EWP207" s="2"/>
      <c r="EWQ207" s="2"/>
      <c r="EWR207" s="2"/>
      <c r="EWS207" s="2"/>
      <c r="EWT207" s="2"/>
      <c r="EWU207" s="2"/>
      <c r="EWV207" s="2"/>
      <c r="EWW207" s="2"/>
      <c r="EWX207" s="2"/>
      <c r="EWY207" s="2"/>
      <c r="EWZ207" s="2"/>
      <c r="EXA207" s="2"/>
      <c r="EXB207" s="2"/>
      <c r="EXC207" s="2"/>
      <c r="EXD207" s="2"/>
      <c r="EXE207" s="2"/>
      <c r="EXF207" s="2"/>
      <c r="EXG207" s="2"/>
      <c r="EXH207" s="2"/>
      <c r="EXI207" s="2"/>
      <c r="EXJ207" s="2"/>
      <c r="EXK207" s="2"/>
      <c r="EXL207" s="2"/>
      <c r="EXM207" s="2"/>
      <c r="EXN207" s="2"/>
      <c r="EXO207" s="2"/>
      <c r="EXP207" s="2"/>
      <c r="EXQ207" s="2"/>
      <c r="EXR207" s="2"/>
      <c r="EXS207" s="2"/>
      <c r="EXT207" s="2"/>
      <c r="EXU207" s="2"/>
      <c r="EXV207" s="2"/>
      <c r="EXW207" s="2"/>
      <c r="EXX207" s="2"/>
      <c r="EXY207" s="2"/>
      <c r="EXZ207" s="2"/>
      <c r="EYA207" s="2"/>
      <c r="EYB207" s="2"/>
      <c r="EYC207" s="2"/>
      <c r="EYD207" s="2"/>
      <c r="EYE207" s="2"/>
      <c r="EYF207" s="2"/>
      <c r="EYG207" s="2"/>
      <c r="EYH207" s="2"/>
      <c r="EYI207" s="2"/>
      <c r="EYJ207" s="2"/>
      <c r="EYK207" s="2"/>
      <c r="EYL207" s="2"/>
      <c r="EYM207" s="2"/>
      <c r="EYN207" s="2"/>
      <c r="EYO207" s="2"/>
      <c r="EYP207" s="2"/>
      <c r="EYQ207" s="2"/>
      <c r="EYR207" s="2"/>
      <c r="EYS207" s="2"/>
      <c r="EYT207" s="2"/>
      <c r="EYU207" s="2"/>
      <c r="EYV207" s="2"/>
      <c r="EYW207" s="2"/>
      <c r="EYX207" s="2"/>
      <c r="EYY207" s="2"/>
      <c r="EYZ207" s="2"/>
      <c r="EZA207" s="2"/>
      <c r="EZB207" s="2"/>
      <c r="EZC207" s="2"/>
      <c r="EZD207" s="2"/>
      <c r="EZE207" s="2"/>
      <c r="EZF207" s="2"/>
      <c r="EZG207" s="2"/>
      <c r="EZH207" s="2"/>
      <c r="EZI207" s="2"/>
      <c r="EZJ207" s="2"/>
      <c r="EZK207" s="2"/>
      <c r="EZL207" s="2"/>
      <c r="EZM207" s="2"/>
      <c r="EZN207" s="2"/>
      <c r="EZO207" s="2"/>
      <c r="EZP207" s="2"/>
      <c r="EZQ207" s="2"/>
      <c r="EZR207" s="2"/>
      <c r="EZS207" s="2"/>
      <c r="EZT207" s="2"/>
      <c r="EZU207" s="2"/>
      <c r="EZV207" s="2"/>
      <c r="EZW207" s="2"/>
      <c r="EZX207" s="2"/>
      <c r="EZY207" s="2"/>
      <c r="EZZ207" s="2"/>
      <c r="FAA207" s="2"/>
      <c r="FAB207" s="2"/>
      <c r="FAC207" s="2"/>
      <c r="FAD207" s="2"/>
      <c r="FAE207" s="2"/>
      <c r="FAF207" s="2"/>
      <c r="FAG207" s="2"/>
      <c r="FAH207" s="2"/>
      <c r="FAI207" s="2"/>
      <c r="FAJ207" s="2"/>
      <c r="FAK207" s="2"/>
      <c r="FAL207" s="2"/>
      <c r="FAM207" s="2"/>
      <c r="FAN207" s="2"/>
      <c r="FAO207" s="2"/>
      <c r="FAP207" s="2"/>
      <c r="FAQ207" s="2"/>
      <c r="FAR207" s="2"/>
      <c r="FAS207" s="2"/>
      <c r="FAT207" s="2"/>
      <c r="FAU207" s="2"/>
      <c r="FAV207" s="2"/>
      <c r="FAW207" s="2"/>
      <c r="FAX207" s="2"/>
      <c r="FAY207" s="2"/>
      <c r="FAZ207" s="2"/>
      <c r="FBA207" s="2"/>
      <c r="FBB207" s="2"/>
      <c r="FBC207" s="2"/>
      <c r="FBD207" s="2"/>
      <c r="FBE207" s="2"/>
      <c r="FBF207" s="2"/>
      <c r="FBG207" s="2"/>
      <c r="FBH207" s="2"/>
      <c r="FBI207" s="2"/>
      <c r="FBJ207" s="2"/>
      <c r="FBK207" s="2"/>
      <c r="FBL207" s="2"/>
      <c r="FBM207" s="2"/>
      <c r="FBN207" s="2"/>
      <c r="FBO207" s="2"/>
      <c r="FBP207" s="2"/>
      <c r="FBQ207" s="2"/>
      <c r="FBR207" s="2"/>
      <c r="FBS207" s="2"/>
      <c r="FBT207" s="2"/>
      <c r="FBU207" s="2"/>
      <c r="FBV207" s="2"/>
      <c r="FBW207" s="2"/>
      <c r="FBX207" s="2"/>
      <c r="FBY207" s="2"/>
      <c r="FBZ207" s="2"/>
      <c r="FCA207" s="2"/>
      <c r="FCB207" s="2"/>
      <c r="FCC207" s="2"/>
      <c r="FCD207" s="2"/>
      <c r="FCE207" s="2"/>
      <c r="FCF207" s="2"/>
      <c r="FCG207" s="2"/>
      <c r="FCH207" s="2"/>
      <c r="FCI207" s="2"/>
      <c r="FCJ207" s="2"/>
      <c r="FCK207" s="2"/>
      <c r="FCL207" s="2"/>
      <c r="FCM207" s="2"/>
      <c r="FCN207" s="2"/>
      <c r="FCO207" s="2"/>
      <c r="FCP207" s="2"/>
      <c r="FCQ207" s="2"/>
      <c r="FCR207" s="2"/>
      <c r="FCS207" s="2"/>
      <c r="FCT207" s="2"/>
      <c r="FCU207" s="2"/>
      <c r="FCV207" s="2"/>
      <c r="FCW207" s="2"/>
      <c r="FCX207" s="2"/>
      <c r="FCY207" s="2"/>
      <c r="FCZ207" s="2"/>
      <c r="FDA207" s="2"/>
      <c r="FDB207" s="2"/>
      <c r="FDC207" s="2"/>
      <c r="FDD207" s="2"/>
      <c r="FDE207" s="2"/>
      <c r="FDF207" s="2"/>
      <c r="FDG207" s="2"/>
      <c r="FDH207" s="2"/>
      <c r="FDI207" s="2"/>
      <c r="FDJ207" s="2"/>
      <c r="FDK207" s="2"/>
      <c r="FDL207" s="2"/>
      <c r="FDM207" s="2"/>
      <c r="FDN207" s="2"/>
      <c r="FDO207" s="2"/>
      <c r="FDP207" s="2"/>
      <c r="FDQ207" s="2"/>
      <c r="FDR207" s="2"/>
      <c r="FDS207" s="2"/>
      <c r="FDT207" s="2"/>
      <c r="FDU207" s="2"/>
      <c r="FDV207" s="2"/>
      <c r="FDW207" s="2"/>
      <c r="FDX207" s="2"/>
      <c r="FDY207" s="2"/>
      <c r="FDZ207" s="2"/>
      <c r="FEA207" s="2"/>
      <c r="FEB207" s="2"/>
      <c r="FEC207" s="2"/>
      <c r="FED207" s="2"/>
      <c r="FEE207" s="2"/>
      <c r="FEF207" s="2"/>
      <c r="FEG207" s="2"/>
      <c r="FEH207" s="2"/>
      <c r="FEI207" s="2"/>
      <c r="FEJ207" s="2"/>
      <c r="FEK207" s="2"/>
      <c r="FEL207" s="2"/>
      <c r="FEM207" s="2"/>
      <c r="FEN207" s="2"/>
      <c r="FEO207" s="2"/>
      <c r="FEP207" s="2"/>
      <c r="FEQ207" s="2"/>
      <c r="FER207" s="2"/>
      <c r="FES207" s="2"/>
      <c r="FET207" s="2"/>
      <c r="FEU207" s="2"/>
      <c r="FEV207" s="2"/>
      <c r="FEW207" s="2"/>
      <c r="FEX207" s="2"/>
      <c r="FEY207" s="2"/>
      <c r="FEZ207" s="2"/>
      <c r="FFA207" s="2"/>
      <c r="FFB207" s="2"/>
      <c r="FFC207" s="2"/>
      <c r="FFD207" s="2"/>
      <c r="FFE207" s="2"/>
      <c r="FFF207" s="2"/>
      <c r="FFG207" s="2"/>
      <c r="FFH207" s="2"/>
      <c r="FFI207" s="2"/>
      <c r="FFJ207" s="2"/>
      <c r="FFK207" s="2"/>
      <c r="FFL207" s="2"/>
      <c r="FFM207" s="2"/>
      <c r="FFN207" s="2"/>
      <c r="FFO207" s="2"/>
      <c r="FFP207" s="2"/>
      <c r="FFQ207" s="2"/>
      <c r="FFR207" s="2"/>
      <c r="FFS207" s="2"/>
      <c r="FFT207" s="2"/>
      <c r="FFU207" s="2"/>
      <c r="FFV207" s="2"/>
      <c r="FFW207" s="2"/>
      <c r="FFX207" s="2"/>
      <c r="FFY207" s="2"/>
      <c r="FFZ207" s="2"/>
      <c r="FGA207" s="2"/>
      <c r="FGB207" s="2"/>
      <c r="FGC207" s="2"/>
      <c r="FGD207" s="2"/>
      <c r="FGE207" s="2"/>
      <c r="FGF207" s="2"/>
      <c r="FGG207" s="2"/>
      <c r="FGH207" s="2"/>
      <c r="FGI207" s="2"/>
      <c r="FGJ207" s="2"/>
      <c r="FGK207" s="2"/>
      <c r="FGL207" s="2"/>
      <c r="FGM207" s="2"/>
      <c r="FGN207" s="2"/>
      <c r="FGO207" s="2"/>
      <c r="FGP207" s="2"/>
      <c r="FGQ207" s="2"/>
      <c r="FGR207" s="2"/>
      <c r="FGS207" s="2"/>
      <c r="FGT207" s="2"/>
      <c r="FGU207" s="2"/>
      <c r="FGV207" s="2"/>
      <c r="FGW207" s="2"/>
      <c r="FGX207" s="2"/>
      <c r="FGY207" s="2"/>
      <c r="FGZ207" s="2"/>
      <c r="FHA207" s="2"/>
      <c r="FHB207" s="2"/>
      <c r="FHC207" s="2"/>
      <c r="FHD207" s="2"/>
      <c r="FHE207" s="2"/>
      <c r="FHF207" s="2"/>
      <c r="FHG207" s="2"/>
      <c r="FHH207" s="2"/>
      <c r="FHI207" s="2"/>
      <c r="FHJ207" s="2"/>
      <c r="FHK207" s="2"/>
      <c r="FHL207" s="2"/>
      <c r="FHM207" s="2"/>
      <c r="FHN207" s="2"/>
      <c r="FHO207" s="2"/>
      <c r="FHP207" s="2"/>
      <c r="FHQ207" s="2"/>
      <c r="FHR207" s="2"/>
      <c r="FHS207" s="2"/>
      <c r="FHT207" s="2"/>
      <c r="FHU207" s="2"/>
      <c r="FHV207" s="2"/>
      <c r="FHW207" s="2"/>
      <c r="FHX207" s="2"/>
      <c r="FHY207" s="2"/>
      <c r="FHZ207" s="2"/>
      <c r="FIA207" s="2"/>
      <c r="FIB207" s="2"/>
      <c r="FIC207" s="2"/>
      <c r="FID207" s="2"/>
      <c r="FIE207" s="2"/>
      <c r="FIF207" s="2"/>
      <c r="FIG207" s="2"/>
      <c r="FIH207" s="2"/>
      <c r="FII207" s="2"/>
      <c r="FIJ207" s="2"/>
      <c r="FIK207" s="2"/>
      <c r="FIL207" s="2"/>
      <c r="FIM207" s="2"/>
      <c r="FIN207" s="2"/>
      <c r="FIO207" s="2"/>
      <c r="FIP207" s="2"/>
      <c r="FIQ207" s="2"/>
      <c r="FIR207" s="2"/>
      <c r="FIS207" s="2"/>
      <c r="FIT207" s="2"/>
      <c r="FIU207" s="2"/>
      <c r="FIV207" s="2"/>
      <c r="FIW207" s="2"/>
      <c r="FIX207" s="2"/>
      <c r="FIY207" s="2"/>
      <c r="FIZ207" s="2"/>
      <c r="FJA207" s="2"/>
      <c r="FJB207" s="2"/>
      <c r="FJC207" s="2"/>
      <c r="FJD207" s="2"/>
      <c r="FJE207" s="2"/>
      <c r="FJF207" s="2"/>
      <c r="FJG207" s="2"/>
      <c r="FJH207" s="2"/>
      <c r="FJI207" s="2"/>
      <c r="FJJ207" s="2"/>
      <c r="FJK207" s="2"/>
      <c r="FJL207" s="2"/>
      <c r="FJM207" s="2"/>
      <c r="FJN207" s="2"/>
      <c r="FJO207" s="2"/>
      <c r="FJP207" s="2"/>
      <c r="FJQ207" s="2"/>
      <c r="FJR207" s="2"/>
      <c r="FJS207" s="2"/>
      <c r="FJT207" s="2"/>
      <c r="FJU207" s="2"/>
      <c r="FJV207" s="2"/>
      <c r="FJW207" s="2"/>
      <c r="FJX207" s="2"/>
      <c r="FJY207" s="2"/>
      <c r="FJZ207" s="2"/>
      <c r="FKA207" s="2"/>
      <c r="FKB207" s="2"/>
      <c r="FKC207" s="2"/>
      <c r="FKD207" s="2"/>
      <c r="FKE207" s="2"/>
      <c r="FKF207" s="2"/>
      <c r="FKG207" s="2"/>
      <c r="FKH207" s="2"/>
      <c r="FKI207" s="2"/>
      <c r="FKJ207" s="2"/>
      <c r="FKK207" s="2"/>
      <c r="FKL207" s="2"/>
      <c r="FKM207" s="2"/>
      <c r="FKN207" s="2"/>
      <c r="FKO207" s="2"/>
      <c r="FKP207" s="2"/>
      <c r="FKQ207" s="2"/>
      <c r="FKR207" s="2"/>
      <c r="FKS207" s="2"/>
      <c r="FKT207" s="2"/>
      <c r="FKU207" s="2"/>
      <c r="FKV207" s="2"/>
      <c r="FKW207" s="2"/>
      <c r="FKX207" s="2"/>
      <c r="FKY207" s="2"/>
      <c r="FKZ207" s="2"/>
      <c r="FLA207" s="2"/>
      <c r="FLB207" s="2"/>
      <c r="FLC207" s="2"/>
      <c r="FLD207" s="2"/>
      <c r="FLE207" s="2"/>
      <c r="FLF207" s="2"/>
      <c r="FLG207" s="2"/>
      <c r="FLH207" s="2"/>
      <c r="FLI207" s="2"/>
      <c r="FLJ207" s="2"/>
      <c r="FLK207" s="2"/>
      <c r="FLL207" s="2"/>
      <c r="FLM207" s="2"/>
      <c r="FLN207" s="2"/>
      <c r="FLO207" s="2"/>
      <c r="FLP207" s="2"/>
      <c r="FLQ207" s="2"/>
      <c r="FLR207" s="2"/>
      <c r="FLS207" s="2"/>
      <c r="FLT207" s="2"/>
      <c r="FLU207" s="2"/>
      <c r="FLV207" s="2"/>
      <c r="FLW207" s="2"/>
      <c r="FLX207" s="2"/>
      <c r="FLY207" s="2"/>
      <c r="FLZ207" s="2"/>
      <c r="FMA207" s="2"/>
      <c r="FMB207" s="2"/>
      <c r="FMC207" s="2"/>
      <c r="FMD207" s="2"/>
      <c r="FME207" s="2"/>
      <c r="FMF207" s="2"/>
      <c r="FMG207" s="2"/>
      <c r="FMH207" s="2"/>
      <c r="FMI207" s="2"/>
      <c r="FMJ207" s="2"/>
      <c r="FMK207" s="2"/>
      <c r="FML207" s="2"/>
      <c r="FMM207" s="2"/>
      <c r="FMN207" s="2"/>
      <c r="FMO207" s="2"/>
      <c r="FMP207" s="2"/>
      <c r="FMQ207" s="2"/>
      <c r="FMR207" s="2"/>
      <c r="FMS207" s="2"/>
      <c r="FMT207" s="2"/>
      <c r="FMU207" s="2"/>
      <c r="FMV207" s="2"/>
      <c r="FMW207" s="2"/>
      <c r="FMX207" s="2"/>
      <c r="FMY207" s="2"/>
      <c r="FMZ207" s="2"/>
      <c r="FNA207" s="2"/>
      <c r="FNB207" s="2"/>
      <c r="FNC207" s="2"/>
      <c r="FND207" s="2"/>
      <c r="FNE207" s="2"/>
      <c r="FNF207" s="2"/>
      <c r="FNG207" s="2"/>
      <c r="FNH207" s="2"/>
      <c r="FNI207" s="2"/>
      <c r="FNJ207" s="2"/>
      <c r="FNK207" s="2"/>
      <c r="FNL207" s="2"/>
      <c r="FNM207" s="2"/>
      <c r="FNN207" s="2"/>
      <c r="FNO207" s="2"/>
      <c r="FNP207" s="2"/>
      <c r="FNQ207" s="2"/>
      <c r="FNR207" s="2"/>
      <c r="FNS207" s="2"/>
      <c r="FNT207" s="2"/>
      <c r="FNU207" s="2"/>
      <c r="FNV207" s="2"/>
      <c r="FNW207" s="2"/>
      <c r="FNX207" s="2"/>
      <c r="FNY207" s="2"/>
      <c r="FNZ207" s="2"/>
      <c r="FOA207" s="2"/>
      <c r="FOB207" s="2"/>
      <c r="FOC207" s="2"/>
      <c r="FOD207" s="2"/>
      <c r="FOE207" s="2"/>
      <c r="FOF207" s="2"/>
      <c r="FOG207" s="2"/>
      <c r="FOH207" s="2"/>
      <c r="FOI207" s="2"/>
      <c r="FOJ207" s="2"/>
      <c r="FOK207" s="2"/>
      <c r="FOL207" s="2"/>
      <c r="FOM207" s="2"/>
      <c r="FON207" s="2"/>
      <c r="FOO207" s="2"/>
      <c r="FOP207" s="2"/>
      <c r="FOQ207" s="2"/>
      <c r="FOR207" s="2"/>
      <c r="FOS207" s="2"/>
      <c r="FOT207" s="2"/>
      <c r="FOU207" s="2"/>
      <c r="FOV207" s="2"/>
      <c r="FOW207" s="2"/>
      <c r="FOX207" s="2"/>
      <c r="FOY207" s="2"/>
      <c r="FOZ207" s="2"/>
      <c r="FPA207" s="2"/>
      <c r="FPB207" s="2"/>
      <c r="FPC207" s="2"/>
      <c r="FPD207" s="2"/>
      <c r="FPE207" s="2"/>
      <c r="FPF207" s="2"/>
      <c r="FPG207" s="2"/>
      <c r="FPH207" s="2"/>
      <c r="FPI207" s="2"/>
      <c r="FPJ207" s="2"/>
      <c r="FPK207" s="2"/>
      <c r="FPL207" s="2"/>
      <c r="FPM207" s="2"/>
      <c r="FPN207" s="2"/>
      <c r="FPO207" s="2"/>
      <c r="FPP207" s="2"/>
      <c r="FPQ207" s="2"/>
      <c r="FPR207" s="2"/>
      <c r="FPS207" s="2"/>
      <c r="FPT207" s="2"/>
      <c r="FPU207" s="2"/>
      <c r="FPV207" s="2"/>
      <c r="FPW207" s="2"/>
      <c r="FPX207" s="2"/>
      <c r="FPY207" s="2"/>
      <c r="FPZ207" s="2"/>
      <c r="FQA207" s="2"/>
      <c r="FQB207" s="2"/>
      <c r="FQC207" s="2"/>
      <c r="FQD207" s="2"/>
      <c r="FQE207" s="2"/>
      <c r="FQF207" s="2"/>
      <c r="FQG207" s="2"/>
      <c r="FQH207" s="2"/>
      <c r="FQI207" s="2"/>
      <c r="FQJ207" s="2"/>
      <c r="FQK207" s="2"/>
      <c r="FQL207" s="2"/>
      <c r="FQM207" s="2"/>
      <c r="FQN207" s="2"/>
      <c r="FQO207" s="2"/>
      <c r="FQP207" s="2"/>
      <c r="FQQ207" s="2"/>
      <c r="FQR207" s="2"/>
      <c r="FQS207" s="2"/>
      <c r="FQT207" s="2"/>
      <c r="FQU207" s="2"/>
      <c r="FQV207" s="2"/>
      <c r="FQW207" s="2"/>
      <c r="FQX207" s="2"/>
      <c r="FQY207" s="2"/>
      <c r="FQZ207" s="2"/>
      <c r="FRA207" s="2"/>
      <c r="FRB207" s="2"/>
      <c r="FRC207" s="2"/>
      <c r="FRD207" s="2"/>
      <c r="FRE207" s="2"/>
      <c r="FRF207" s="2"/>
      <c r="FRG207" s="2"/>
      <c r="FRH207" s="2"/>
      <c r="FRI207" s="2"/>
      <c r="FRJ207" s="2"/>
      <c r="FRK207" s="2"/>
      <c r="FRL207" s="2"/>
      <c r="FRM207" s="2"/>
      <c r="FRN207" s="2"/>
      <c r="FRO207" s="2"/>
      <c r="FRP207" s="2"/>
      <c r="FRQ207" s="2"/>
      <c r="FRR207" s="2"/>
      <c r="FRS207" s="2"/>
      <c r="FRT207" s="2"/>
      <c r="FRU207" s="2"/>
      <c r="FRV207" s="2"/>
      <c r="FRW207" s="2"/>
      <c r="FRX207" s="2"/>
      <c r="FRY207" s="2"/>
      <c r="FRZ207" s="2"/>
      <c r="FSA207" s="2"/>
      <c r="FSB207" s="2"/>
      <c r="FSC207" s="2"/>
      <c r="FSD207" s="2"/>
      <c r="FSE207" s="2"/>
      <c r="FSF207" s="2"/>
      <c r="FSG207" s="2"/>
      <c r="FSH207" s="2"/>
      <c r="FSI207" s="2"/>
      <c r="FSJ207" s="2"/>
      <c r="FSK207" s="2"/>
      <c r="FSL207" s="2"/>
      <c r="FSM207" s="2"/>
      <c r="FSN207" s="2"/>
      <c r="FSO207" s="2"/>
      <c r="FSP207" s="2"/>
      <c r="FSQ207" s="2"/>
      <c r="FSR207" s="2"/>
      <c r="FSS207" s="2"/>
      <c r="FST207" s="2"/>
      <c r="FSU207" s="2"/>
      <c r="FSV207" s="2"/>
      <c r="FSW207" s="2"/>
      <c r="FSX207" s="2"/>
      <c r="FSY207" s="2"/>
      <c r="FSZ207" s="2"/>
      <c r="FTA207" s="2"/>
      <c r="FTB207" s="2"/>
      <c r="FTC207" s="2"/>
      <c r="FTD207" s="2"/>
      <c r="FTE207" s="2"/>
      <c r="FTF207" s="2"/>
      <c r="FTG207" s="2"/>
      <c r="FTH207" s="2"/>
      <c r="FTI207" s="2"/>
      <c r="FTJ207" s="2"/>
      <c r="FTK207" s="2"/>
      <c r="FTL207" s="2"/>
      <c r="FTM207" s="2"/>
      <c r="FTN207" s="2"/>
      <c r="FTO207" s="2"/>
      <c r="FTP207" s="2"/>
      <c r="FTQ207" s="2"/>
      <c r="FTR207" s="2"/>
      <c r="FTS207" s="2"/>
      <c r="FTT207" s="2"/>
      <c r="FTU207" s="2"/>
      <c r="FTV207" s="2"/>
      <c r="FTW207" s="2"/>
      <c r="FTX207" s="2"/>
      <c r="FTY207" s="2"/>
      <c r="FTZ207" s="2"/>
      <c r="FUA207" s="2"/>
      <c r="FUB207" s="2"/>
      <c r="FUC207" s="2"/>
      <c r="FUD207" s="2"/>
      <c r="FUE207" s="2"/>
      <c r="FUF207" s="2"/>
      <c r="FUG207" s="2"/>
      <c r="FUH207" s="2"/>
      <c r="FUI207" s="2"/>
      <c r="FUJ207" s="2"/>
      <c r="FUK207" s="2"/>
      <c r="FUL207" s="2"/>
      <c r="FUM207" s="2"/>
      <c r="FUN207" s="2"/>
      <c r="FUO207" s="2"/>
      <c r="FUP207" s="2"/>
      <c r="FUQ207" s="2"/>
      <c r="FUR207" s="2"/>
      <c r="FUS207" s="2"/>
      <c r="FUT207" s="2"/>
      <c r="FUU207" s="2"/>
      <c r="FUV207" s="2"/>
      <c r="FUW207" s="2"/>
      <c r="FUX207" s="2"/>
      <c r="FUY207" s="2"/>
      <c r="FUZ207" s="2"/>
      <c r="FVA207" s="2"/>
      <c r="FVB207" s="2"/>
      <c r="FVC207" s="2"/>
      <c r="FVD207" s="2"/>
      <c r="FVE207" s="2"/>
      <c r="FVF207" s="2"/>
      <c r="FVG207" s="2"/>
      <c r="FVH207" s="2"/>
      <c r="FVI207" s="2"/>
      <c r="FVJ207" s="2"/>
      <c r="FVK207" s="2"/>
      <c r="FVL207" s="2"/>
      <c r="FVM207" s="2"/>
      <c r="FVN207" s="2"/>
      <c r="FVO207" s="2"/>
      <c r="FVP207" s="2"/>
      <c r="FVQ207" s="2"/>
      <c r="FVR207" s="2"/>
      <c r="FVS207" s="2"/>
      <c r="FVT207" s="2"/>
      <c r="FVU207" s="2"/>
      <c r="FVV207" s="2"/>
      <c r="FVW207" s="2"/>
      <c r="FVX207" s="2"/>
      <c r="FVY207" s="2"/>
      <c r="FVZ207" s="2"/>
      <c r="FWA207" s="2"/>
      <c r="FWB207" s="2"/>
      <c r="FWC207" s="2"/>
      <c r="FWD207" s="2"/>
      <c r="FWE207" s="2"/>
      <c r="FWF207" s="2"/>
      <c r="FWG207" s="2"/>
      <c r="FWH207" s="2"/>
      <c r="FWI207" s="2"/>
      <c r="FWJ207" s="2"/>
      <c r="FWK207" s="2"/>
      <c r="FWL207" s="2"/>
      <c r="FWM207" s="2"/>
      <c r="FWN207" s="2"/>
      <c r="FWO207" s="2"/>
      <c r="FWP207" s="2"/>
      <c r="FWQ207" s="2"/>
      <c r="FWR207" s="2"/>
      <c r="FWS207" s="2"/>
      <c r="FWT207" s="2"/>
      <c r="FWU207" s="2"/>
      <c r="FWV207" s="2"/>
      <c r="FWW207" s="2"/>
      <c r="FWX207" s="2"/>
      <c r="FWY207" s="2"/>
      <c r="FWZ207" s="2"/>
      <c r="FXA207" s="2"/>
      <c r="FXB207" s="2"/>
      <c r="FXC207" s="2"/>
      <c r="FXD207" s="2"/>
      <c r="FXE207" s="2"/>
      <c r="FXF207" s="2"/>
      <c r="FXG207" s="2"/>
      <c r="FXH207" s="2"/>
      <c r="FXI207" s="2"/>
      <c r="FXJ207" s="2"/>
      <c r="FXK207" s="2"/>
      <c r="FXL207" s="2"/>
      <c r="FXM207" s="2"/>
      <c r="FXN207" s="2"/>
      <c r="FXO207" s="2"/>
      <c r="FXP207" s="2"/>
      <c r="FXQ207" s="2"/>
      <c r="FXR207" s="2"/>
      <c r="FXS207" s="2"/>
      <c r="FXT207" s="2"/>
      <c r="FXU207" s="2"/>
      <c r="FXV207" s="2"/>
      <c r="FXW207" s="2"/>
      <c r="FXX207" s="2"/>
      <c r="FXY207" s="2"/>
      <c r="FXZ207" s="2"/>
      <c r="FYA207" s="2"/>
      <c r="FYB207" s="2"/>
      <c r="FYC207" s="2"/>
      <c r="FYD207" s="2"/>
      <c r="FYE207" s="2"/>
      <c r="FYF207" s="2"/>
      <c r="FYG207" s="2"/>
      <c r="FYH207" s="2"/>
      <c r="FYI207" s="2"/>
      <c r="FYJ207" s="2"/>
      <c r="FYK207" s="2"/>
      <c r="FYL207" s="2"/>
      <c r="FYM207" s="2"/>
      <c r="FYN207" s="2"/>
      <c r="FYO207" s="2"/>
      <c r="FYP207" s="2"/>
      <c r="FYQ207" s="2"/>
      <c r="FYR207" s="2"/>
      <c r="FYS207" s="2"/>
      <c r="FYT207" s="2"/>
      <c r="FYU207" s="2"/>
      <c r="FYV207" s="2"/>
      <c r="FYW207" s="2"/>
      <c r="FYX207" s="2"/>
      <c r="FYY207" s="2"/>
      <c r="FYZ207" s="2"/>
      <c r="FZA207" s="2"/>
      <c r="FZB207" s="2"/>
      <c r="FZC207" s="2"/>
      <c r="FZD207" s="2"/>
      <c r="FZE207" s="2"/>
      <c r="FZF207" s="2"/>
      <c r="FZG207" s="2"/>
      <c r="FZH207" s="2"/>
      <c r="FZI207" s="2"/>
      <c r="FZJ207" s="2"/>
      <c r="FZK207" s="2"/>
      <c r="FZL207" s="2"/>
      <c r="FZM207" s="2"/>
      <c r="FZN207" s="2"/>
      <c r="FZO207" s="2"/>
      <c r="FZP207" s="2"/>
      <c r="FZQ207" s="2"/>
      <c r="FZR207" s="2"/>
      <c r="FZS207" s="2"/>
      <c r="FZT207" s="2"/>
      <c r="FZU207" s="2"/>
      <c r="FZV207" s="2"/>
      <c r="FZW207" s="2"/>
      <c r="FZX207" s="2"/>
      <c r="FZY207" s="2"/>
      <c r="FZZ207" s="2"/>
      <c r="GAA207" s="2"/>
      <c r="GAB207" s="2"/>
      <c r="GAC207" s="2"/>
      <c r="GAD207" s="2"/>
      <c r="GAE207" s="2"/>
      <c r="GAF207" s="2"/>
      <c r="GAG207" s="2"/>
      <c r="GAH207" s="2"/>
      <c r="GAI207" s="2"/>
      <c r="GAJ207" s="2"/>
      <c r="GAK207" s="2"/>
      <c r="GAL207" s="2"/>
      <c r="GAM207" s="2"/>
      <c r="GAN207" s="2"/>
      <c r="GAO207" s="2"/>
      <c r="GAP207" s="2"/>
      <c r="GAQ207" s="2"/>
      <c r="GAR207" s="2"/>
      <c r="GAS207" s="2"/>
      <c r="GAT207" s="2"/>
      <c r="GAU207" s="2"/>
      <c r="GAV207" s="2"/>
      <c r="GAW207" s="2"/>
      <c r="GAX207" s="2"/>
      <c r="GAY207" s="2"/>
      <c r="GAZ207" s="2"/>
      <c r="GBA207" s="2"/>
      <c r="GBB207" s="2"/>
      <c r="GBC207" s="2"/>
      <c r="GBD207" s="2"/>
      <c r="GBE207" s="2"/>
      <c r="GBF207" s="2"/>
      <c r="GBG207" s="2"/>
      <c r="GBH207" s="2"/>
      <c r="GBI207" s="2"/>
      <c r="GBJ207" s="2"/>
      <c r="GBK207" s="2"/>
      <c r="GBL207" s="2"/>
      <c r="GBM207" s="2"/>
      <c r="GBN207" s="2"/>
      <c r="GBO207" s="2"/>
      <c r="GBP207" s="2"/>
      <c r="GBQ207" s="2"/>
      <c r="GBR207" s="2"/>
      <c r="GBS207" s="2"/>
      <c r="GBT207" s="2"/>
      <c r="GBU207" s="2"/>
      <c r="GBV207" s="2"/>
      <c r="GBW207" s="2"/>
      <c r="GBX207" s="2"/>
      <c r="GBY207" s="2"/>
      <c r="GBZ207" s="2"/>
      <c r="GCA207" s="2"/>
      <c r="GCB207" s="2"/>
      <c r="GCC207" s="2"/>
      <c r="GCD207" s="2"/>
      <c r="GCE207" s="2"/>
      <c r="GCF207" s="2"/>
      <c r="GCG207" s="2"/>
      <c r="GCH207" s="2"/>
      <c r="GCI207" s="2"/>
      <c r="GCJ207" s="2"/>
      <c r="GCK207" s="2"/>
      <c r="GCL207" s="2"/>
      <c r="GCM207" s="2"/>
      <c r="GCN207" s="2"/>
      <c r="GCO207" s="2"/>
      <c r="GCP207" s="2"/>
      <c r="GCQ207" s="2"/>
      <c r="GCR207" s="2"/>
      <c r="GCS207" s="2"/>
      <c r="GCT207" s="2"/>
      <c r="GCU207" s="2"/>
      <c r="GCV207" s="2"/>
      <c r="GCW207" s="2"/>
      <c r="GCX207" s="2"/>
      <c r="GCY207" s="2"/>
      <c r="GCZ207" s="2"/>
      <c r="GDA207" s="2"/>
      <c r="GDB207" s="2"/>
      <c r="GDC207" s="2"/>
      <c r="GDD207" s="2"/>
      <c r="GDE207" s="2"/>
      <c r="GDF207" s="2"/>
      <c r="GDG207" s="2"/>
      <c r="GDH207" s="2"/>
      <c r="GDI207" s="2"/>
      <c r="GDJ207" s="2"/>
      <c r="GDK207" s="2"/>
      <c r="GDL207" s="2"/>
      <c r="GDM207" s="2"/>
      <c r="GDN207" s="2"/>
      <c r="GDO207" s="2"/>
      <c r="GDP207" s="2"/>
      <c r="GDQ207" s="2"/>
      <c r="GDR207" s="2"/>
      <c r="GDS207" s="2"/>
      <c r="GDT207" s="2"/>
      <c r="GDU207" s="2"/>
      <c r="GDV207" s="2"/>
      <c r="GDW207" s="2"/>
      <c r="GDX207" s="2"/>
      <c r="GDY207" s="2"/>
      <c r="GDZ207" s="2"/>
      <c r="GEA207" s="2"/>
      <c r="GEB207" s="2"/>
      <c r="GEC207" s="2"/>
      <c r="GED207" s="2"/>
      <c r="GEE207" s="2"/>
      <c r="GEF207" s="2"/>
      <c r="GEG207" s="2"/>
      <c r="GEH207" s="2"/>
      <c r="GEI207" s="2"/>
      <c r="GEJ207" s="2"/>
      <c r="GEK207" s="2"/>
      <c r="GEL207" s="2"/>
      <c r="GEM207" s="2"/>
      <c r="GEN207" s="2"/>
      <c r="GEO207" s="2"/>
      <c r="GEP207" s="2"/>
      <c r="GEQ207" s="2"/>
      <c r="GER207" s="2"/>
      <c r="GES207" s="2"/>
      <c r="GET207" s="2"/>
      <c r="GEU207" s="2"/>
      <c r="GEV207" s="2"/>
      <c r="GEW207" s="2"/>
      <c r="GEX207" s="2"/>
      <c r="GEY207" s="2"/>
      <c r="GEZ207" s="2"/>
      <c r="GFA207" s="2"/>
      <c r="GFB207" s="2"/>
      <c r="GFC207" s="2"/>
      <c r="GFD207" s="2"/>
      <c r="GFE207" s="2"/>
      <c r="GFF207" s="2"/>
      <c r="GFG207" s="2"/>
      <c r="GFH207" s="2"/>
      <c r="GFI207" s="2"/>
      <c r="GFJ207" s="2"/>
      <c r="GFK207" s="2"/>
      <c r="GFL207" s="2"/>
      <c r="GFM207" s="2"/>
      <c r="GFN207" s="2"/>
      <c r="GFO207" s="2"/>
      <c r="GFP207" s="2"/>
      <c r="GFQ207" s="2"/>
      <c r="GFR207" s="2"/>
      <c r="GFS207" s="2"/>
      <c r="GFT207" s="2"/>
      <c r="GFU207" s="2"/>
      <c r="GFV207" s="2"/>
      <c r="GFW207" s="2"/>
      <c r="GFX207" s="2"/>
      <c r="GFY207" s="2"/>
      <c r="GFZ207" s="2"/>
      <c r="GGA207" s="2"/>
      <c r="GGB207" s="2"/>
      <c r="GGC207" s="2"/>
      <c r="GGD207" s="2"/>
      <c r="GGE207" s="2"/>
      <c r="GGF207" s="2"/>
      <c r="GGG207" s="2"/>
      <c r="GGH207" s="2"/>
      <c r="GGI207" s="2"/>
      <c r="GGJ207" s="2"/>
      <c r="GGK207" s="2"/>
      <c r="GGL207" s="2"/>
      <c r="GGM207" s="2"/>
      <c r="GGN207" s="2"/>
      <c r="GGO207" s="2"/>
      <c r="GGP207" s="2"/>
      <c r="GGQ207" s="2"/>
      <c r="GGR207" s="2"/>
      <c r="GGS207" s="2"/>
      <c r="GGT207" s="2"/>
      <c r="GGU207" s="2"/>
      <c r="GGV207" s="2"/>
      <c r="GGW207" s="2"/>
      <c r="GGX207" s="2"/>
      <c r="GGY207" s="2"/>
      <c r="GGZ207" s="2"/>
      <c r="GHA207" s="2"/>
      <c r="GHB207" s="2"/>
      <c r="GHC207" s="2"/>
      <c r="GHD207" s="2"/>
      <c r="GHE207" s="2"/>
      <c r="GHF207" s="2"/>
      <c r="GHG207" s="2"/>
      <c r="GHH207" s="2"/>
      <c r="GHI207" s="2"/>
      <c r="GHJ207" s="2"/>
      <c r="GHK207" s="2"/>
      <c r="GHL207" s="2"/>
      <c r="GHM207" s="2"/>
      <c r="GHN207" s="2"/>
      <c r="GHO207" s="2"/>
      <c r="GHP207" s="2"/>
      <c r="GHQ207" s="2"/>
      <c r="GHR207" s="2"/>
      <c r="GHS207" s="2"/>
      <c r="GHT207" s="2"/>
      <c r="GHU207" s="2"/>
      <c r="GHV207" s="2"/>
      <c r="GHW207" s="2"/>
      <c r="GHX207" s="2"/>
      <c r="GHY207" s="2"/>
      <c r="GHZ207" s="2"/>
      <c r="GIA207" s="2"/>
      <c r="GIB207" s="2"/>
      <c r="GIC207" s="2"/>
      <c r="GID207" s="2"/>
      <c r="GIE207" s="2"/>
      <c r="GIF207" s="2"/>
      <c r="GIG207" s="2"/>
      <c r="GIH207" s="2"/>
      <c r="GII207" s="2"/>
      <c r="GIJ207" s="2"/>
      <c r="GIK207" s="2"/>
      <c r="GIL207" s="2"/>
      <c r="GIM207" s="2"/>
      <c r="GIN207" s="2"/>
      <c r="GIO207" s="2"/>
      <c r="GIP207" s="2"/>
      <c r="GIQ207" s="2"/>
      <c r="GIR207" s="2"/>
      <c r="GIS207" s="2"/>
      <c r="GIT207" s="2"/>
      <c r="GIU207" s="2"/>
      <c r="GIV207" s="2"/>
      <c r="GIW207" s="2"/>
      <c r="GIX207" s="2"/>
      <c r="GIY207" s="2"/>
      <c r="GIZ207" s="2"/>
      <c r="GJA207" s="2"/>
      <c r="GJB207" s="2"/>
      <c r="GJC207" s="2"/>
      <c r="GJD207" s="2"/>
      <c r="GJE207" s="2"/>
      <c r="GJF207" s="2"/>
      <c r="GJG207" s="2"/>
      <c r="GJH207" s="2"/>
      <c r="GJI207" s="2"/>
      <c r="GJJ207" s="2"/>
      <c r="GJK207" s="2"/>
      <c r="GJL207" s="2"/>
      <c r="GJM207" s="2"/>
      <c r="GJN207" s="2"/>
      <c r="GJO207" s="2"/>
      <c r="GJP207" s="2"/>
      <c r="GJQ207" s="2"/>
      <c r="GJR207" s="2"/>
      <c r="GJS207" s="2"/>
      <c r="GJT207" s="2"/>
      <c r="GJU207" s="2"/>
      <c r="GJV207" s="2"/>
      <c r="GJW207" s="2"/>
      <c r="GJX207" s="2"/>
      <c r="GJY207" s="2"/>
      <c r="GJZ207" s="2"/>
      <c r="GKA207" s="2"/>
      <c r="GKB207" s="2"/>
      <c r="GKC207" s="2"/>
      <c r="GKD207" s="2"/>
      <c r="GKE207" s="2"/>
      <c r="GKF207" s="2"/>
      <c r="GKG207" s="2"/>
      <c r="GKH207" s="2"/>
      <c r="GKI207" s="2"/>
      <c r="GKJ207" s="2"/>
      <c r="GKK207" s="2"/>
      <c r="GKL207" s="2"/>
      <c r="GKM207" s="2"/>
      <c r="GKN207" s="2"/>
      <c r="GKO207" s="2"/>
      <c r="GKP207" s="2"/>
      <c r="GKQ207" s="2"/>
      <c r="GKR207" s="2"/>
      <c r="GKS207" s="2"/>
      <c r="GKT207" s="2"/>
      <c r="GKU207" s="2"/>
      <c r="GKV207" s="2"/>
      <c r="GKW207" s="2"/>
      <c r="GKX207" s="2"/>
      <c r="GKY207" s="2"/>
      <c r="GKZ207" s="2"/>
      <c r="GLA207" s="2"/>
      <c r="GLB207" s="2"/>
      <c r="GLC207" s="2"/>
      <c r="GLD207" s="2"/>
      <c r="GLE207" s="2"/>
      <c r="GLF207" s="2"/>
      <c r="GLG207" s="2"/>
      <c r="GLH207" s="2"/>
      <c r="GLI207" s="2"/>
      <c r="GLJ207" s="2"/>
      <c r="GLK207" s="2"/>
      <c r="GLL207" s="2"/>
      <c r="GLM207" s="2"/>
      <c r="GLN207" s="2"/>
      <c r="GLO207" s="2"/>
      <c r="GLP207" s="2"/>
      <c r="GLQ207" s="2"/>
      <c r="GLR207" s="2"/>
      <c r="GLS207" s="2"/>
      <c r="GLT207" s="2"/>
      <c r="GLU207" s="2"/>
      <c r="GLV207" s="2"/>
      <c r="GLW207" s="2"/>
      <c r="GLX207" s="2"/>
      <c r="GLY207" s="2"/>
      <c r="GLZ207" s="2"/>
      <c r="GMA207" s="2"/>
      <c r="GMB207" s="2"/>
      <c r="GMC207" s="2"/>
      <c r="GMD207" s="2"/>
      <c r="GME207" s="2"/>
      <c r="GMF207" s="2"/>
      <c r="GMG207" s="2"/>
      <c r="GMH207" s="2"/>
      <c r="GMI207" s="2"/>
      <c r="GMJ207" s="2"/>
      <c r="GMK207" s="2"/>
      <c r="GML207" s="2"/>
      <c r="GMM207" s="2"/>
      <c r="GMN207" s="2"/>
      <c r="GMO207" s="2"/>
      <c r="GMP207" s="2"/>
      <c r="GMQ207" s="2"/>
      <c r="GMR207" s="2"/>
      <c r="GMS207" s="2"/>
      <c r="GMT207" s="2"/>
      <c r="GMU207" s="2"/>
      <c r="GMV207" s="2"/>
      <c r="GMW207" s="2"/>
      <c r="GMX207" s="2"/>
      <c r="GMY207" s="2"/>
      <c r="GMZ207" s="2"/>
      <c r="GNA207" s="2"/>
      <c r="GNB207" s="2"/>
      <c r="GNC207" s="2"/>
      <c r="GND207" s="2"/>
      <c r="GNE207" s="2"/>
      <c r="GNF207" s="2"/>
      <c r="GNG207" s="2"/>
      <c r="GNH207" s="2"/>
      <c r="GNI207" s="2"/>
      <c r="GNJ207" s="2"/>
      <c r="GNK207" s="2"/>
      <c r="GNL207" s="2"/>
      <c r="GNM207" s="2"/>
      <c r="GNN207" s="2"/>
      <c r="GNO207" s="2"/>
      <c r="GNP207" s="2"/>
      <c r="GNQ207" s="2"/>
      <c r="GNR207" s="2"/>
      <c r="GNS207" s="2"/>
      <c r="GNT207" s="2"/>
      <c r="GNU207" s="2"/>
      <c r="GNV207" s="2"/>
      <c r="GNW207" s="2"/>
      <c r="GNX207" s="2"/>
      <c r="GNY207" s="2"/>
      <c r="GNZ207" s="2"/>
      <c r="GOA207" s="2"/>
      <c r="GOB207" s="2"/>
      <c r="GOC207" s="2"/>
      <c r="GOD207" s="2"/>
      <c r="GOE207" s="2"/>
      <c r="GOF207" s="2"/>
      <c r="GOG207" s="2"/>
      <c r="GOH207" s="2"/>
      <c r="GOI207" s="2"/>
      <c r="GOJ207" s="2"/>
      <c r="GOK207" s="2"/>
      <c r="GOL207" s="2"/>
      <c r="GOM207" s="2"/>
      <c r="GON207" s="2"/>
      <c r="GOO207" s="2"/>
      <c r="GOP207" s="2"/>
      <c r="GOQ207" s="2"/>
      <c r="GOR207" s="2"/>
      <c r="GOS207" s="2"/>
      <c r="GOT207" s="2"/>
      <c r="GOU207" s="2"/>
      <c r="GOV207" s="2"/>
      <c r="GOW207" s="2"/>
      <c r="GOX207" s="2"/>
      <c r="GOY207" s="2"/>
      <c r="GOZ207" s="2"/>
      <c r="GPA207" s="2"/>
      <c r="GPB207" s="2"/>
      <c r="GPC207" s="2"/>
      <c r="GPD207" s="2"/>
      <c r="GPE207" s="2"/>
      <c r="GPF207" s="2"/>
      <c r="GPG207" s="2"/>
      <c r="GPH207" s="2"/>
      <c r="GPI207" s="2"/>
      <c r="GPJ207" s="2"/>
      <c r="GPK207" s="2"/>
      <c r="GPL207" s="2"/>
      <c r="GPM207" s="2"/>
      <c r="GPN207" s="2"/>
      <c r="GPO207" s="2"/>
      <c r="GPP207" s="2"/>
      <c r="GPQ207" s="2"/>
      <c r="GPR207" s="2"/>
      <c r="GPS207" s="2"/>
      <c r="GPT207" s="2"/>
      <c r="GPU207" s="2"/>
      <c r="GPV207" s="2"/>
      <c r="GPW207" s="2"/>
      <c r="GPX207" s="2"/>
      <c r="GPY207" s="2"/>
      <c r="GPZ207" s="2"/>
      <c r="GQA207" s="2"/>
      <c r="GQB207" s="2"/>
      <c r="GQC207" s="2"/>
      <c r="GQD207" s="2"/>
      <c r="GQE207" s="2"/>
      <c r="GQF207" s="2"/>
      <c r="GQG207" s="2"/>
      <c r="GQH207" s="2"/>
      <c r="GQI207" s="2"/>
      <c r="GQJ207" s="2"/>
      <c r="GQK207" s="2"/>
      <c r="GQL207" s="2"/>
      <c r="GQM207" s="2"/>
      <c r="GQN207" s="2"/>
      <c r="GQO207" s="2"/>
      <c r="GQP207" s="2"/>
      <c r="GQQ207" s="2"/>
      <c r="GQR207" s="2"/>
      <c r="GQS207" s="2"/>
      <c r="GQT207" s="2"/>
      <c r="GQU207" s="2"/>
      <c r="GQV207" s="2"/>
      <c r="GQW207" s="2"/>
      <c r="GQX207" s="2"/>
      <c r="GQY207" s="2"/>
      <c r="GQZ207" s="2"/>
      <c r="GRA207" s="2"/>
      <c r="GRB207" s="2"/>
      <c r="GRC207" s="2"/>
      <c r="GRD207" s="2"/>
      <c r="GRE207" s="2"/>
      <c r="GRF207" s="2"/>
      <c r="GRG207" s="2"/>
      <c r="GRH207" s="2"/>
      <c r="GRI207" s="2"/>
      <c r="GRJ207" s="2"/>
      <c r="GRK207" s="2"/>
      <c r="GRL207" s="2"/>
      <c r="GRM207" s="2"/>
      <c r="GRN207" s="2"/>
      <c r="GRO207" s="2"/>
      <c r="GRP207" s="2"/>
      <c r="GRQ207" s="2"/>
      <c r="GRR207" s="2"/>
      <c r="GRS207" s="2"/>
      <c r="GRT207" s="2"/>
      <c r="GRU207" s="2"/>
      <c r="GRV207" s="2"/>
      <c r="GRW207" s="2"/>
      <c r="GRX207" s="2"/>
      <c r="GRY207" s="2"/>
      <c r="GRZ207" s="2"/>
      <c r="GSA207" s="2"/>
      <c r="GSB207" s="2"/>
      <c r="GSC207" s="2"/>
      <c r="GSD207" s="2"/>
      <c r="GSE207" s="2"/>
      <c r="GSF207" s="2"/>
      <c r="GSG207" s="2"/>
      <c r="GSH207" s="2"/>
      <c r="GSI207" s="2"/>
      <c r="GSJ207" s="2"/>
      <c r="GSK207" s="2"/>
      <c r="GSL207" s="2"/>
      <c r="GSM207" s="2"/>
      <c r="GSN207" s="2"/>
      <c r="GSO207" s="2"/>
      <c r="GSP207" s="2"/>
      <c r="GSQ207" s="2"/>
      <c r="GSR207" s="2"/>
      <c r="GSS207" s="2"/>
      <c r="GST207" s="2"/>
      <c r="GSU207" s="2"/>
      <c r="GSV207" s="2"/>
      <c r="GSW207" s="2"/>
      <c r="GSX207" s="2"/>
      <c r="GSY207" s="2"/>
      <c r="GSZ207" s="2"/>
      <c r="GTA207" s="2"/>
      <c r="GTB207" s="2"/>
      <c r="GTC207" s="2"/>
      <c r="GTD207" s="2"/>
      <c r="GTE207" s="2"/>
      <c r="GTF207" s="2"/>
      <c r="GTG207" s="2"/>
      <c r="GTH207" s="2"/>
      <c r="GTI207" s="2"/>
      <c r="GTJ207" s="2"/>
      <c r="GTK207" s="2"/>
      <c r="GTL207" s="2"/>
      <c r="GTM207" s="2"/>
      <c r="GTN207" s="2"/>
      <c r="GTO207" s="2"/>
      <c r="GTP207" s="2"/>
      <c r="GTQ207" s="2"/>
      <c r="GTR207" s="2"/>
      <c r="GTS207" s="2"/>
      <c r="GTT207" s="2"/>
      <c r="GTU207" s="2"/>
      <c r="GTV207" s="2"/>
      <c r="GTW207" s="2"/>
      <c r="GTX207" s="2"/>
      <c r="GTY207" s="2"/>
      <c r="GTZ207" s="2"/>
      <c r="GUA207" s="2"/>
      <c r="GUB207" s="2"/>
      <c r="GUC207" s="2"/>
      <c r="GUD207" s="2"/>
      <c r="GUE207" s="2"/>
      <c r="GUF207" s="2"/>
      <c r="GUG207" s="2"/>
      <c r="GUH207" s="2"/>
      <c r="GUI207" s="2"/>
      <c r="GUJ207" s="2"/>
      <c r="GUK207" s="2"/>
      <c r="GUL207" s="2"/>
      <c r="GUM207" s="2"/>
      <c r="GUN207" s="2"/>
      <c r="GUO207" s="2"/>
      <c r="GUP207" s="2"/>
      <c r="GUQ207" s="2"/>
      <c r="GUR207" s="2"/>
      <c r="GUS207" s="2"/>
      <c r="GUT207" s="2"/>
      <c r="GUU207" s="2"/>
      <c r="GUV207" s="2"/>
      <c r="GUW207" s="2"/>
      <c r="GUX207" s="2"/>
      <c r="GUY207" s="2"/>
      <c r="GUZ207" s="2"/>
      <c r="GVA207" s="2"/>
      <c r="GVB207" s="2"/>
      <c r="GVC207" s="2"/>
      <c r="GVD207" s="2"/>
      <c r="GVE207" s="2"/>
      <c r="GVF207" s="2"/>
      <c r="GVG207" s="2"/>
      <c r="GVH207" s="2"/>
      <c r="GVI207" s="2"/>
      <c r="GVJ207" s="2"/>
      <c r="GVK207" s="2"/>
      <c r="GVL207" s="2"/>
      <c r="GVM207" s="2"/>
      <c r="GVN207" s="2"/>
      <c r="GVO207" s="2"/>
      <c r="GVP207" s="2"/>
      <c r="GVQ207" s="2"/>
      <c r="GVR207" s="2"/>
      <c r="GVS207" s="2"/>
      <c r="GVT207" s="2"/>
      <c r="GVU207" s="2"/>
      <c r="GVV207" s="2"/>
      <c r="GVW207" s="2"/>
      <c r="GVX207" s="2"/>
      <c r="GVY207" s="2"/>
      <c r="GVZ207" s="2"/>
      <c r="GWA207" s="2"/>
      <c r="GWB207" s="2"/>
      <c r="GWC207" s="2"/>
      <c r="GWD207" s="2"/>
      <c r="GWE207" s="2"/>
      <c r="GWF207" s="2"/>
      <c r="GWG207" s="2"/>
      <c r="GWH207" s="2"/>
      <c r="GWI207" s="2"/>
      <c r="GWJ207" s="2"/>
      <c r="GWK207" s="2"/>
      <c r="GWL207" s="2"/>
      <c r="GWM207" s="2"/>
      <c r="GWN207" s="2"/>
      <c r="GWO207" s="2"/>
      <c r="GWP207" s="2"/>
      <c r="GWQ207" s="2"/>
      <c r="GWR207" s="2"/>
      <c r="GWS207" s="2"/>
      <c r="GWT207" s="2"/>
      <c r="GWU207" s="2"/>
      <c r="GWV207" s="2"/>
      <c r="GWW207" s="2"/>
      <c r="GWX207" s="2"/>
      <c r="GWY207" s="2"/>
      <c r="GWZ207" s="2"/>
      <c r="GXA207" s="2"/>
      <c r="GXB207" s="2"/>
      <c r="GXC207" s="2"/>
      <c r="GXD207" s="2"/>
      <c r="GXE207" s="2"/>
      <c r="GXF207" s="2"/>
      <c r="GXG207" s="2"/>
      <c r="GXH207" s="2"/>
      <c r="GXI207" s="2"/>
      <c r="GXJ207" s="2"/>
      <c r="GXK207" s="2"/>
      <c r="GXL207" s="2"/>
      <c r="GXM207" s="2"/>
      <c r="GXN207" s="2"/>
      <c r="GXO207" s="2"/>
      <c r="GXP207" s="2"/>
      <c r="GXQ207" s="2"/>
      <c r="GXR207" s="2"/>
      <c r="GXS207" s="2"/>
      <c r="GXT207" s="2"/>
      <c r="GXU207" s="2"/>
      <c r="GXV207" s="2"/>
      <c r="GXW207" s="2"/>
      <c r="GXX207" s="2"/>
      <c r="GXY207" s="2"/>
      <c r="GXZ207" s="2"/>
      <c r="GYA207" s="2"/>
      <c r="GYB207" s="2"/>
      <c r="GYC207" s="2"/>
      <c r="GYD207" s="2"/>
      <c r="GYE207" s="2"/>
      <c r="GYF207" s="2"/>
      <c r="GYG207" s="2"/>
      <c r="GYH207" s="2"/>
      <c r="GYI207" s="2"/>
      <c r="GYJ207" s="2"/>
      <c r="GYK207" s="2"/>
      <c r="GYL207" s="2"/>
      <c r="GYM207" s="2"/>
      <c r="GYN207" s="2"/>
      <c r="GYO207" s="2"/>
      <c r="GYP207" s="2"/>
      <c r="GYQ207" s="2"/>
      <c r="GYR207" s="2"/>
      <c r="GYS207" s="2"/>
      <c r="GYT207" s="2"/>
      <c r="GYU207" s="2"/>
      <c r="GYV207" s="2"/>
      <c r="GYW207" s="2"/>
      <c r="GYX207" s="2"/>
      <c r="GYY207" s="2"/>
      <c r="GYZ207" s="2"/>
      <c r="GZA207" s="2"/>
      <c r="GZB207" s="2"/>
      <c r="GZC207" s="2"/>
      <c r="GZD207" s="2"/>
      <c r="GZE207" s="2"/>
      <c r="GZF207" s="2"/>
      <c r="GZG207" s="2"/>
      <c r="GZH207" s="2"/>
      <c r="GZI207" s="2"/>
      <c r="GZJ207" s="2"/>
      <c r="GZK207" s="2"/>
      <c r="GZL207" s="2"/>
      <c r="GZM207" s="2"/>
      <c r="GZN207" s="2"/>
      <c r="GZO207" s="2"/>
      <c r="GZP207" s="2"/>
      <c r="GZQ207" s="2"/>
      <c r="GZR207" s="2"/>
      <c r="GZS207" s="2"/>
      <c r="GZT207" s="2"/>
      <c r="GZU207" s="2"/>
      <c r="GZV207" s="2"/>
      <c r="GZW207" s="2"/>
      <c r="GZX207" s="2"/>
      <c r="GZY207" s="2"/>
      <c r="GZZ207" s="2"/>
      <c r="HAA207" s="2"/>
      <c r="HAB207" s="2"/>
      <c r="HAC207" s="2"/>
      <c r="HAD207" s="2"/>
      <c r="HAE207" s="2"/>
      <c r="HAF207" s="2"/>
      <c r="HAG207" s="2"/>
      <c r="HAH207" s="2"/>
      <c r="HAI207" s="2"/>
      <c r="HAJ207" s="2"/>
      <c r="HAK207" s="2"/>
      <c r="HAL207" s="2"/>
      <c r="HAM207" s="2"/>
      <c r="HAN207" s="2"/>
      <c r="HAO207" s="2"/>
      <c r="HAP207" s="2"/>
      <c r="HAQ207" s="2"/>
      <c r="HAR207" s="2"/>
      <c r="HAS207" s="2"/>
      <c r="HAT207" s="2"/>
      <c r="HAU207" s="2"/>
      <c r="HAV207" s="2"/>
      <c r="HAW207" s="2"/>
      <c r="HAX207" s="2"/>
      <c r="HAY207" s="2"/>
      <c r="HAZ207" s="2"/>
      <c r="HBA207" s="2"/>
      <c r="HBB207" s="2"/>
      <c r="HBC207" s="2"/>
      <c r="HBD207" s="2"/>
      <c r="HBE207" s="2"/>
      <c r="HBF207" s="2"/>
      <c r="HBG207" s="2"/>
      <c r="HBH207" s="2"/>
      <c r="HBI207" s="2"/>
      <c r="HBJ207" s="2"/>
      <c r="HBK207" s="2"/>
      <c r="HBL207" s="2"/>
      <c r="HBM207" s="2"/>
      <c r="HBN207" s="2"/>
      <c r="HBO207" s="2"/>
      <c r="HBP207" s="2"/>
      <c r="HBQ207" s="2"/>
      <c r="HBR207" s="2"/>
      <c r="HBS207" s="2"/>
      <c r="HBT207" s="2"/>
      <c r="HBU207" s="2"/>
      <c r="HBV207" s="2"/>
      <c r="HBW207" s="2"/>
      <c r="HBX207" s="2"/>
      <c r="HBY207" s="2"/>
      <c r="HBZ207" s="2"/>
      <c r="HCA207" s="2"/>
      <c r="HCB207" s="2"/>
      <c r="HCC207" s="2"/>
      <c r="HCD207" s="2"/>
      <c r="HCE207" s="2"/>
      <c r="HCF207" s="2"/>
      <c r="HCG207" s="2"/>
      <c r="HCH207" s="2"/>
      <c r="HCI207" s="2"/>
      <c r="HCJ207" s="2"/>
      <c r="HCK207" s="2"/>
      <c r="HCL207" s="2"/>
      <c r="HCM207" s="2"/>
      <c r="HCN207" s="2"/>
      <c r="HCO207" s="2"/>
      <c r="HCP207" s="2"/>
      <c r="HCQ207" s="2"/>
      <c r="HCR207" s="2"/>
      <c r="HCS207" s="2"/>
      <c r="HCT207" s="2"/>
      <c r="HCU207" s="2"/>
      <c r="HCV207" s="2"/>
      <c r="HCW207" s="2"/>
      <c r="HCX207" s="2"/>
      <c r="HCY207" s="2"/>
      <c r="HCZ207" s="2"/>
      <c r="HDA207" s="2"/>
      <c r="HDB207" s="2"/>
      <c r="HDC207" s="2"/>
      <c r="HDD207" s="2"/>
      <c r="HDE207" s="2"/>
      <c r="HDF207" s="2"/>
      <c r="HDG207" s="2"/>
      <c r="HDH207" s="2"/>
      <c r="HDI207" s="2"/>
      <c r="HDJ207" s="2"/>
      <c r="HDK207" s="2"/>
      <c r="HDL207" s="2"/>
      <c r="HDM207" s="2"/>
      <c r="HDN207" s="2"/>
      <c r="HDO207" s="2"/>
      <c r="HDP207" s="2"/>
      <c r="HDQ207" s="2"/>
      <c r="HDR207" s="2"/>
      <c r="HDS207" s="2"/>
      <c r="HDT207" s="2"/>
      <c r="HDU207" s="2"/>
      <c r="HDV207" s="2"/>
      <c r="HDW207" s="2"/>
      <c r="HDX207" s="2"/>
      <c r="HDY207" s="2"/>
      <c r="HDZ207" s="2"/>
      <c r="HEA207" s="2"/>
      <c r="HEB207" s="2"/>
      <c r="HEC207" s="2"/>
      <c r="HED207" s="2"/>
      <c r="HEE207" s="2"/>
      <c r="HEF207" s="2"/>
      <c r="HEG207" s="2"/>
      <c r="HEH207" s="2"/>
      <c r="HEI207" s="2"/>
      <c r="HEJ207" s="2"/>
      <c r="HEK207" s="2"/>
      <c r="HEL207" s="2"/>
      <c r="HEM207" s="2"/>
      <c r="HEN207" s="2"/>
      <c r="HEO207" s="2"/>
      <c r="HEP207" s="2"/>
      <c r="HEQ207" s="2"/>
      <c r="HER207" s="2"/>
      <c r="HES207" s="2"/>
      <c r="HET207" s="2"/>
      <c r="HEU207" s="2"/>
      <c r="HEV207" s="2"/>
      <c r="HEW207" s="2"/>
      <c r="HEX207" s="2"/>
      <c r="HEY207" s="2"/>
      <c r="HEZ207" s="2"/>
      <c r="HFA207" s="2"/>
      <c r="HFB207" s="2"/>
      <c r="HFC207" s="2"/>
      <c r="HFD207" s="2"/>
      <c r="HFE207" s="2"/>
      <c r="HFF207" s="2"/>
      <c r="HFG207" s="2"/>
      <c r="HFH207" s="2"/>
      <c r="HFI207" s="2"/>
      <c r="HFJ207" s="2"/>
      <c r="HFK207" s="2"/>
      <c r="HFL207" s="2"/>
      <c r="HFM207" s="2"/>
      <c r="HFN207" s="2"/>
      <c r="HFO207" s="2"/>
      <c r="HFP207" s="2"/>
      <c r="HFQ207" s="2"/>
      <c r="HFR207" s="2"/>
      <c r="HFS207" s="2"/>
      <c r="HFT207" s="2"/>
      <c r="HFU207" s="2"/>
      <c r="HFV207" s="2"/>
      <c r="HFW207" s="2"/>
      <c r="HFX207" s="2"/>
      <c r="HFY207" s="2"/>
      <c r="HFZ207" s="2"/>
      <c r="HGA207" s="2"/>
      <c r="HGB207" s="2"/>
      <c r="HGC207" s="2"/>
      <c r="HGD207" s="2"/>
      <c r="HGE207" s="2"/>
      <c r="HGF207" s="2"/>
      <c r="HGG207" s="2"/>
      <c r="HGH207" s="2"/>
      <c r="HGI207" s="2"/>
      <c r="HGJ207" s="2"/>
      <c r="HGK207" s="2"/>
      <c r="HGL207" s="2"/>
      <c r="HGM207" s="2"/>
      <c r="HGN207" s="2"/>
      <c r="HGO207" s="2"/>
      <c r="HGP207" s="2"/>
      <c r="HGQ207" s="2"/>
      <c r="HGR207" s="2"/>
      <c r="HGS207" s="2"/>
      <c r="HGT207" s="2"/>
      <c r="HGU207" s="2"/>
      <c r="HGV207" s="2"/>
      <c r="HGW207" s="2"/>
      <c r="HGX207" s="2"/>
      <c r="HGY207" s="2"/>
      <c r="HGZ207" s="2"/>
      <c r="HHA207" s="2"/>
      <c r="HHB207" s="2"/>
      <c r="HHC207" s="2"/>
      <c r="HHD207" s="2"/>
      <c r="HHE207" s="2"/>
      <c r="HHF207" s="2"/>
      <c r="HHG207" s="2"/>
      <c r="HHH207" s="2"/>
      <c r="HHI207" s="2"/>
      <c r="HHJ207" s="2"/>
      <c r="HHK207" s="2"/>
      <c r="HHL207" s="2"/>
      <c r="HHM207" s="2"/>
      <c r="HHN207" s="2"/>
      <c r="HHO207" s="2"/>
      <c r="HHP207" s="2"/>
      <c r="HHQ207" s="2"/>
      <c r="HHR207" s="2"/>
      <c r="HHS207" s="2"/>
      <c r="HHT207" s="2"/>
      <c r="HHU207" s="2"/>
      <c r="HHV207" s="2"/>
      <c r="HHW207" s="2"/>
      <c r="HHX207" s="2"/>
      <c r="HHY207" s="2"/>
      <c r="HHZ207" s="2"/>
      <c r="HIA207" s="2"/>
      <c r="HIB207" s="2"/>
      <c r="HIC207" s="2"/>
      <c r="HID207" s="2"/>
      <c r="HIE207" s="2"/>
      <c r="HIF207" s="2"/>
      <c r="HIG207" s="2"/>
      <c r="HIH207" s="2"/>
      <c r="HII207" s="2"/>
      <c r="HIJ207" s="2"/>
      <c r="HIK207" s="2"/>
      <c r="HIL207" s="2"/>
      <c r="HIM207" s="2"/>
      <c r="HIN207" s="2"/>
      <c r="HIO207" s="2"/>
      <c r="HIP207" s="2"/>
      <c r="HIQ207" s="2"/>
      <c r="HIR207" s="2"/>
      <c r="HIS207" s="2"/>
      <c r="HIT207" s="2"/>
      <c r="HIU207" s="2"/>
      <c r="HIV207" s="2"/>
      <c r="HIW207" s="2"/>
      <c r="HIX207" s="2"/>
      <c r="HIY207" s="2"/>
      <c r="HIZ207" s="2"/>
      <c r="HJA207" s="2"/>
      <c r="HJB207" s="2"/>
      <c r="HJC207" s="2"/>
      <c r="HJD207" s="2"/>
      <c r="HJE207" s="2"/>
      <c r="HJF207" s="2"/>
      <c r="HJG207" s="2"/>
      <c r="HJH207" s="2"/>
      <c r="HJI207" s="2"/>
      <c r="HJJ207" s="2"/>
      <c r="HJK207" s="2"/>
      <c r="HJL207" s="2"/>
      <c r="HJM207" s="2"/>
      <c r="HJN207" s="2"/>
      <c r="HJO207" s="2"/>
      <c r="HJP207" s="2"/>
      <c r="HJQ207" s="2"/>
      <c r="HJR207" s="2"/>
      <c r="HJS207" s="2"/>
      <c r="HJT207" s="2"/>
      <c r="HJU207" s="2"/>
      <c r="HJV207" s="2"/>
      <c r="HJW207" s="2"/>
      <c r="HJX207" s="2"/>
      <c r="HJY207" s="2"/>
      <c r="HJZ207" s="2"/>
      <c r="HKA207" s="2"/>
      <c r="HKB207" s="2"/>
      <c r="HKC207" s="2"/>
      <c r="HKD207" s="2"/>
      <c r="HKE207" s="2"/>
      <c r="HKF207" s="2"/>
      <c r="HKG207" s="2"/>
      <c r="HKH207" s="2"/>
      <c r="HKI207" s="2"/>
      <c r="HKJ207" s="2"/>
      <c r="HKK207" s="2"/>
      <c r="HKL207" s="2"/>
      <c r="HKM207" s="2"/>
      <c r="HKN207" s="2"/>
      <c r="HKO207" s="2"/>
      <c r="HKP207" s="2"/>
      <c r="HKQ207" s="2"/>
      <c r="HKR207" s="2"/>
      <c r="HKS207" s="2"/>
      <c r="HKT207" s="2"/>
      <c r="HKU207" s="2"/>
      <c r="HKV207" s="2"/>
      <c r="HKW207" s="2"/>
      <c r="HKX207" s="2"/>
      <c r="HKY207" s="2"/>
      <c r="HKZ207" s="2"/>
      <c r="HLA207" s="2"/>
      <c r="HLB207" s="2"/>
      <c r="HLC207" s="2"/>
      <c r="HLD207" s="2"/>
      <c r="HLE207" s="2"/>
      <c r="HLF207" s="2"/>
      <c r="HLG207" s="2"/>
      <c r="HLH207" s="2"/>
      <c r="HLI207" s="2"/>
      <c r="HLJ207" s="2"/>
      <c r="HLK207" s="2"/>
      <c r="HLL207" s="2"/>
      <c r="HLM207" s="2"/>
      <c r="HLN207" s="2"/>
      <c r="HLO207" s="2"/>
      <c r="HLP207" s="2"/>
      <c r="HLQ207" s="2"/>
      <c r="HLR207" s="2"/>
      <c r="HLS207" s="2"/>
      <c r="HLT207" s="2"/>
      <c r="HLU207" s="2"/>
      <c r="HLV207" s="2"/>
      <c r="HLW207" s="2"/>
      <c r="HLX207" s="2"/>
      <c r="HLY207" s="2"/>
      <c r="HLZ207" s="2"/>
      <c r="HMA207" s="2"/>
      <c r="HMB207" s="2"/>
      <c r="HMC207" s="2"/>
      <c r="HMD207" s="2"/>
      <c r="HME207" s="2"/>
      <c r="HMF207" s="2"/>
      <c r="HMG207" s="2"/>
      <c r="HMH207" s="2"/>
      <c r="HMI207" s="2"/>
      <c r="HMJ207" s="2"/>
      <c r="HMK207" s="2"/>
      <c r="HML207" s="2"/>
      <c r="HMM207" s="2"/>
      <c r="HMN207" s="2"/>
      <c r="HMO207" s="2"/>
      <c r="HMP207" s="2"/>
      <c r="HMQ207" s="2"/>
      <c r="HMR207" s="2"/>
      <c r="HMS207" s="2"/>
      <c r="HMT207" s="2"/>
      <c r="HMU207" s="2"/>
      <c r="HMV207" s="2"/>
      <c r="HMW207" s="2"/>
      <c r="HMX207" s="2"/>
      <c r="HMY207" s="2"/>
      <c r="HMZ207" s="2"/>
      <c r="HNA207" s="2"/>
      <c r="HNB207" s="2"/>
      <c r="HNC207" s="2"/>
      <c r="HND207" s="2"/>
      <c r="HNE207" s="2"/>
      <c r="HNF207" s="2"/>
      <c r="HNG207" s="2"/>
      <c r="HNH207" s="2"/>
      <c r="HNI207" s="2"/>
      <c r="HNJ207" s="2"/>
      <c r="HNK207" s="2"/>
      <c r="HNL207" s="2"/>
      <c r="HNM207" s="2"/>
      <c r="HNN207" s="2"/>
      <c r="HNO207" s="2"/>
      <c r="HNP207" s="2"/>
      <c r="HNQ207" s="2"/>
      <c r="HNR207" s="2"/>
      <c r="HNS207" s="2"/>
      <c r="HNT207" s="2"/>
      <c r="HNU207" s="2"/>
      <c r="HNV207" s="2"/>
      <c r="HNW207" s="2"/>
      <c r="HNX207" s="2"/>
      <c r="HNY207" s="2"/>
      <c r="HNZ207" s="2"/>
      <c r="HOA207" s="2"/>
      <c r="HOB207" s="2"/>
      <c r="HOC207" s="2"/>
      <c r="HOD207" s="2"/>
      <c r="HOE207" s="2"/>
      <c r="HOF207" s="2"/>
      <c r="HOG207" s="2"/>
      <c r="HOH207" s="2"/>
      <c r="HOI207" s="2"/>
      <c r="HOJ207" s="2"/>
      <c r="HOK207" s="2"/>
      <c r="HOL207" s="2"/>
      <c r="HOM207" s="2"/>
      <c r="HON207" s="2"/>
      <c r="HOO207" s="2"/>
      <c r="HOP207" s="2"/>
      <c r="HOQ207" s="2"/>
      <c r="HOR207" s="2"/>
      <c r="HOS207" s="2"/>
      <c r="HOT207" s="2"/>
      <c r="HOU207" s="2"/>
      <c r="HOV207" s="2"/>
      <c r="HOW207" s="2"/>
      <c r="HOX207" s="2"/>
      <c r="HOY207" s="2"/>
      <c r="HOZ207" s="2"/>
      <c r="HPA207" s="2"/>
      <c r="HPB207" s="2"/>
      <c r="HPC207" s="2"/>
      <c r="HPD207" s="2"/>
      <c r="HPE207" s="2"/>
      <c r="HPF207" s="2"/>
      <c r="HPG207" s="2"/>
      <c r="HPH207" s="2"/>
      <c r="HPI207" s="2"/>
      <c r="HPJ207" s="2"/>
      <c r="HPK207" s="2"/>
      <c r="HPL207" s="2"/>
      <c r="HPM207" s="2"/>
      <c r="HPN207" s="2"/>
      <c r="HPO207" s="2"/>
      <c r="HPP207" s="2"/>
      <c r="HPQ207" s="2"/>
      <c r="HPR207" s="2"/>
      <c r="HPS207" s="2"/>
      <c r="HPT207" s="2"/>
      <c r="HPU207" s="2"/>
      <c r="HPV207" s="2"/>
      <c r="HPW207" s="2"/>
      <c r="HPX207" s="2"/>
      <c r="HPY207" s="2"/>
      <c r="HPZ207" s="2"/>
      <c r="HQA207" s="2"/>
      <c r="HQB207" s="2"/>
      <c r="HQC207" s="2"/>
      <c r="HQD207" s="2"/>
      <c r="HQE207" s="2"/>
      <c r="HQF207" s="2"/>
      <c r="HQG207" s="2"/>
      <c r="HQH207" s="2"/>
      <c r="HQI207" s="2"/>
      <c r="HQJ207" s="2"/>
      <c r="HQK207" s="2"/>
      <c r="HQL207" s="2"/>
      <c r="HQM207" s="2"/>
      <c r="HQN207" s="2"/>
      <c r="HQO207" s="2"/>
      <c r="HQP207" s="2"/>
      <c r="HQQ207" s="2"/>
      <c r="HQR207" s="2"/>
      <c r="HQS207" s="2"/>
      <c r="HQT207" s="2"/>
      <c r="HQU207" s="2"/>
      <c r="HQV207" s="2"/>
      <c r="HQW207" s="2"/>
      <c r="HQX207" s="2"/>
      <c r="HQY207" s="2"/>
      <c r="HQZ207" s="2"/>
      <c r="HRA207" s="2"/>
      <c r="HRB207" s="2"/>
      <c r="HRC207" s="2"/>
      <c r="HRD207" s="2"/>
      <c r="HRE207" s="2"/>
      <c r="HRF207" s="2"/>
      <c r="HRG207" s="2"/>
      <c r="HRH207" s="2"/>
      <c r="HRI207" s="2"/>
      <c r="HRJ207" s="2"/>
      <c r="HRK207" s="2"/>
      <c r="HRL207" s="2"/>
      <c r="HRM207" s="2"/>
      <c r="HRN207" s="2"/>
      <c r="HRO207" s="2"/>
      <c r="HRP207" s="2"/>
      <c r="HRQ207" s="2"/>
      <c r="HRR207" s="2"/>
      <c r="HRS207" s="2"/>
      <c r="HRT207" s="2"/>
      <c r="HRU207" s="2"/>
      <c r="HRV207" s="2"/>
      <c r="HRW207" s="2"/>
      <c r="HRX207" s="2"/>
      <c r="HRY207" s="2"/>
      <c r="HRZ207" s="2"/>
      <c r="HSA207" s="2"/>
      <c r="HSB207" s="2"/>
      <c r="HSC207" s="2"/>
      <c r="HSD207" s="2"/>
      <c r="HSE207" s="2"/>
      <c r="HSF207" s="2"/>
      <c r="HSG207" s="2"/>
      <c r="HSH207" s="2"/>
      <c r="HSI207" s="2"/>
      <c r="HSJ207" s="2"/>
      <c r="HSK207" s="2"/>
      <c r="HSL207" s="2"/>
      <c r="HSM207" s="2"/>
      <c r="HSN207" s="2"/>
      <c r="HSO207" s="2"/>
      <c r="HSP207" s="2"/>
      <c r="HSQ207" s="2"/>
      <c r="HSR207" s="2"/>
      <c r="HSS207" s="2"/>
      <c r="HST207" s="2"/>
      <c r="HSU207" s="2"/>
      <c r="HSV207" s="2"/>
      <c r="HSW207" s="2"/>
      <c r="HSX207" s="2"/>
      <c r="HSY207" s="2"/>
      <c r="HSZ207" s="2"/>
      <c r="HTA207" s="2"/>
      <c r="HTB207" s="2"/>
      <c r="HTC207" s="2"/>
      <c r="HTD207" s="2"/>
      <c r="HTE207" s="2"/>
      <c r="HTF207" s="2"/>
      <c r="HTG207" s="2"/>
      <c r="HTH207" s="2"/>
      <c r="HTI207" s="2"/>
      <c r="HTJ207" s="2"/>
      <c r="HTK207" s="2"/>
      <c r="HTL207" s="2"/>
      <c r="HTM207" s="2"/>
      <c r="HTN207" s="2"/>
      <c r="HTO207" s="2"/>
      <c r="HTP207" s="2"/>
      <c r="HTQ207" s="2"/>
      <c r="HTR207" s="2"/>
      <c r="HTS207" s="2"/>
      <c r="HTT207" s="2"/>
      <c r="HTU207" s="2"/>
      <c r="HTV207" s="2"/>
      <c r="HTW207" s="2"/>
      <c r="HTX207" s="2"/>
      <c r="HTY207" s="2"/>
      <c r="HTZ207" s="2"/>
      <c r="HUA207" s="2"/>
      <c r="HUB207" s="2"/>
      <c r="HUC207" s="2"/>
      <c r="HUD207" s="2"/>
      <c r="HUE207" s="2"/>
      <c r="HUF207" s="2"/>
      <c r="HUG207" s="2"/>
      <c r="HUH207" s="2"/>
      <c r="HUI207" s="2"/>
      <c r="HUJ207" s="2"/>
      <c r="HUK207" s="2"/>
      <c r="HUL207" s="2"/>
      <c r="HUM207" s="2"/>
      <c r="HUN207" s="2"/>
      <c r="HUO207" s="2"/>
      <c r="HUP207" s="2"/>
      <c r="HUQ207" s="2"/>
      <c r="HUR207" s="2"/>
      <c r="HUS207" s="2"/>
      <c r="HUT207" s="2"/>
      <c r="HUU207" s="2"/>
      <c r="HUV207" s="2"/>
      <c r="HUW207" s="2"/>
      <c r="HUX207" s="2"/>
      <c r="HUY207" s="2"/>
      <c r="HUZ207" s="2"/>
      <c r="HVA207" s="2"/>
      <c r="HVB207" s="2"/>
      <c r="HVC207" s="2"/>
      <c r="HVD207" s="2"/>
      <c r="HVE207" s="2"/>
      <c r="HVF207" s="2"/>
      <c r="HVG207" s="2"/>
      <c r="HVH207" s="2"/>
      <c r="HVI207" s="2"/>
      <c r="HVJ207" s="2"/>
      <c r="HVK207" s="2"/>
      <c r="HVL207" s="2"/>
      <c r="HVM207" s="2"/>
      <c r="HVN207" s="2"/>
      <c r="HVO207" s="2"/>
      <c r="HVP207" s="2"/>
      <c r="HVQ207" s="2"/>
      <c r="HVR207" s="2"/>
      <c r="HVS207" s="2"/>
      <c r="HVT207" s="2"/>
      <c r="HVU207" s="2"/>
      <c r="HVV207" s="2"/>
      <c r="HVW207" s="2"/>
      <c r="HVX207" s="2"/>
      <c r="HVY207" s="2"/>
      <c r="HVZ207" s="2"/>
      <c r="HWA207" s="2"/>
      <c r="HWB207" s="2"/>
      <c r="HWC207" s="2"/>
      <c r="HWD207" s="2"/>
      <c r="HWE207" s="2"/>
      <c r="HWF207" s="2"/>
      <c r="HWG207" s="2"/>
      <c r="HWH207" s="2"/>
      <c r="HWI207" s="2"/>
      <c r="HWJ207" s="2"/>
      <c r="HWK207" s="2"/>
      <c r="HWL207" s="2"/>
      <c r="HWM207" s="2"/>
      <c r="HWN207" s="2"/>
      <c r="HWO207" s="2"/>
      <c r="HWP207" s="2"/>
      <c r="HWQ207" s="2"/>
      <c r="HWR207" s="2"/>
      <c r="HWS207" s="2"/>
      <c r="HWT207" s="2"/>
      <c r="HWU207" s="2"/>
      <c r="HWV207" s="2"/>
      <c r="HWW207" s="2"/>
      <c r="HWX207" s="2"/>
      <c r="HWY207" s="2"/>
      <c r="HWZ207" s="2"/>
      <c r="HXA207" s="2"/>
      <c r="HXB207" s="2"/>
      <c r="HXC207" s="2"/>
      <c r="HXD207" s="2"/>
      <c r="HXE207" s="2"/>
      <c r="HXF207" s="2"/>
      <c r="HXG207" s="2"/>
      <c r="HXH207" s="2"/>
      <c r="HXI207" s="2"/>
      <c r="HXJ207" s="2"/>
      <c r="HXK207" s="2"/>
      <c r="HXL207" s="2"/>
      <c r="HXM207" s="2"/>
      <c r="HXN207" s="2"/>
      <c r="HXO207" s="2"/>
      <c r="HXP207" s="2"/>
      <c r="HXQ207" s="2"/>
      <c r="HXR207" s="2"/>
      <c r="HXS207" s="2"/>
      <c r="HXT207" s="2"/>
      <c r="HXU207" s="2"/>
      <c r="HXV207" s="2"/>
      <c r="HXW207" s="2"/>
      <c r="HXX207" s="2"/>
      <c r="HXY207" s="2"/>
      <c r="HXZ207" s="2"/>
      <c r="HYA207" s="2"/>
      <c r="HYB207" s="2"/>
      <c r="HYC207" s="2"/>
      <c r="HYD207" s="2"/>
      <c r="HYE207" s="2"/>
      <c r="HYF207" s="2"/>
      <c r="HYG207" s="2"/>
      <c r="HYH207" s="2"/>
      <c r="HYI207" s="2"/>
      <c r="HYJ207" s="2"/>
      <c r="HYK207" s="2"/>
      <c r="HYL207" s="2"/>
      <c r="HYM207" s="2"/>
      <c r="HYN207" s="2"/>
      <c r="HYO207" s="2"/>
      <c r="HYP207" s="2"/>
      <c r="HYQ207" s="2"/>
      <c r="HYR207" s="2"/>
      <c r="HYS207" s="2"/>
      <c r="HYT207" s="2"/>
      <c r="HYU207" s="2"/>
      <c r="HYV207" s="2"/>
      <c r="HYW207" s="2"/>
      <c r="HYX207" s="2"/>
      <c r="HYY207" s="2"/>
      <c r="HYZ207" s="2"/>
      <c r="HZA207" s="2"/>
      <c r="HZB207" s="2"/>
      <c r="HZC207" s="2"/>
      <c r="HZD207" s="2"/>
      <c r="HZE207" s="2"/>
      <c r="HZF207" s="2"/>
      <c r="HZG207" s="2"/>
      <c r="HZH207" s="2"/>
      <c r="HZI207" s="2"/>
      <c r="HZJ207" s="2"/>
      <c r="HZK207" s="2"/>
      <c r="HZL207" s="2"/>
      <c r="HZM207" s="2"/>
      <c r="HZN207" s="2"/>
      <c r="HZO207" s="2"/>
      <c r="HZP207" s="2"/>
      <c r="HZQ207" s="2"/>
      <c r="HZR207" s="2"/>
      <c r="HZS207" s="2"/>
      <c r="HZT207" s="2"/>
      <c r="HZU207" s="2"/>
      <c r="HZV207" s="2"/>
      <c r="HZW207" s="2"/>
      <c r="HZX207" s="2"/>
      <c r="HZY207" s="2"/>
      <c r="HZZ207" s="2"/>
      <c r="IAA207" s="2"/>
      <c r="IAB207" s="2"/>
      <c r="IAC207" s="2"/>
      <c r="IAD207" s="2"/>
      <c r="IAE207" s="2"/>
      <c r="IAF207" s="2"/>
      <c r="IAG207" s="2"/>
      <c r="IAH207" s="2"/>
      <c r="IAI207" s="2"/>
      <c r="IAJ207" s="2"/>
      <c r="IAK207" s="2"/>
      <c r="IAL207" s="2"/>
      <c r="IAM207" s="2"/>
      <c r="IAN207" s="2"/>
      <c r="IAO207" s="2"/>
      <c r="IAP207" s="2"/>
      <c r="IAQ207" s="2"/>
      <c r="IAR207" s="2"/>
      <c r="IAS207" s="2"/>
      <c r="IAT207" s="2"/>
      <c r="IAU207" s="2"/>
      <c r="IAV207" s="2"/>
      <c r="IAW207" s="2"/>
      <c r="IAX207" s="2"/>
      <c r="IAY207" s="2"/>
      <c r="IAZ207" s="2"/>
      <c r="IBA207" s="2"/>
      <c r="IBB207" s="2"/>
      <c r="IBC207" s="2"/>
      <c r="IBD207" s="2"/>
      <c r="IBE207" s="2"/>
      <c r="IBF207" s="2"/>
      <c r="IBG207" s="2"/>
      <c r="IBH207" s="2"/>
      <c r="IBI207" s="2"/>
      <c r="IBJ207" s="2"/>
      <c r="IBK207" s="2"/>
      <c r="IBL207" s="2"/>
      <c r="IBM207" s="2"/>
      <c r="IBN207" s="2"/>
      <c r="IBO207" s="2"/>
      <c r="IBP207" s="2"/>
      <c r="IBQ207" s="2"/>
      <c r="IBR207" s="2"/>
      <c r="IBS207" s="2"/>
      <c r="IBT207" s="2"/>
      <c r="IBU207" s="2"/>
      <c r="IBV207" s="2"/>
      <c r="IBW207" s="2"/>
      <c r="IBX207" s="2"/>
      <c r="IBY207" s="2"/>
      <c r="IBZ207" s="2"/>
      <c r="ICA207" s="2"/>
      <c r="ICB207" s="2"/>
      <c r="ICC207" s="2"/>
      <c r="ICD207" s="2"/>
      <c r="ICE207" s="2"/>
      <c r="ICF207" s="2"/>
      <c r="ICG207" s="2"/>
      <c r="ICH207" s="2"/>
      <c r="ICI207" s="2"/>
      <c r="ICJ207" s="2"/>
      <c r="ICK207" s="2"/>
      <c r="ICL207" s="2"/>
      <c r="ICM207" s="2"/>
      <c r="ICN207" s="2"/>
      <c r="ICO207" s="2"/>
      <c r="ICP207" s="2"/>
      <c r="ICQ207" s="2"/>
      <c r="ICR207" s="2"/>
      <c r="ICS207" s="2"/>
      <c r="ICT207" s="2"/>
      <c r="ICU207" s="2"/>
      <c r="ICV207" s="2"/>
      <c r="ICW207" s="2"/>
      <c r="ICX207" s="2"/>
      <c r="ICY207" s="2"/>
      <c r="ICZ207" s="2"/>
      <c r="IDA207" s="2"/>
      <c r="IDB207" s="2"/>
      <c r="IDC207" s="2"/>
      <c r="IDD207" s="2"/>
      <c r="IDE207" s="2"/>
      <c r="IDF207" s="2"/>
      <c r="IDG207" s="2"/>
      <c r="IDH207" s="2"/>
      <c r="IDI207" s="2"/>
      <c r="IDJ207" s="2"/>
      <c r="IDK207" s="2"/>
      <c r="IDL207" s="2"/>
      <c r="IDM207" s="2"/>
      <c r="IDN207" s="2"/>
      <c r="IDO207" s="2"/>
      <c r="IDP207" s="2"/>
      <c r="IDQ207" s="2"/>
      <c r="IDR207" s="2"/>
      <c r="IDS207" s="2"/>
      <c r="IDT207" s="2"/>
      <c r="IDU207" s="2"/>
      <c r="IDV207" s="2"/>
      <c r="IDW207" s="2"/>
      <c r="IDX207" s="2"/>
      <c r="IDY207" s="2"/>
      <c r="IDZ207" s="2"/>
      <c r="IEA207" s="2"/>
      <c r="IEB207" s="2"/>
      <c r="IEC207" s="2"/>
      <c r="IED207" s="2"/>
      <c r="IEE207" s="2"/>
      <c r="IEF207" s="2"/>
      <c r="IEG207" s="2"/>
      <c r="IEH207" s="2"/>
      <c r="IEI207" s="2"/>
      <c r="IEJ207" s="2"/>
      <c r="IEK207" s="2"/>
      <c r="IEL207" s="2"/>
      <c r="IEM207" s="2"/>
      <c r="IEN207" s="2"/>
      <c r="IEO207" s="2"/>
      <c r="IEP207" s="2"/>
      <c r="IEQ207" s="2"/>
      <c r="IER207" s="2"/>
      <c r="IES207" s="2"/>
      <c r="IET207" s="2"/>
      <c r="IEU207" s="2"/>
      <c r="IEV207" s="2"/>
      <c r="IEW207" s="2"/>
      <c r="IEX207" s="2"/>
      <c r="IEY207" s="2"/>
      <c r="IEZ207" s="2"/>
      <c r="IFA207" s="2"/>
      <c r="IFB207" s="2"/>
      <c r="IFC207" s="2"/>
      <c r="IFD207" s="2"/>
      <c r="IFE207" s="2"/>
      <c r="IFF207" s="2"/>
      <c r="IFG207" s="2"/>
      <c r="IFH207" s="2"/>
      <c r="IFI207" s="2"/>
      <c r="IFJ207" s="2"/>
      <c r="IFK207" s="2"/>
      <c r="IFL207" s="2"/>
      <c r="IFM207" s="2"/>
      <c r="IFN207" s="2"/>
      <c r="IFO207" s="2"/>
      <c r="IFP207" s="2"/>
      <c r="IFQ207" s="2"/>
      <c r="IFR207" s="2"/>
      <c r="IFS207" s="2"/>
      <c r="IFT207" s="2"/>
      <c r="IFU207" s="2"/>
      <c r="IFV207" s="2"/>
      <c r="IFW207" s="2"/>
      <c r="IFX207" s="2"/>
      <c r="IFY207" s="2"/>
      <c r="IFZ207" s="2"/>
      <c r="IGA207" s="2"/>
      <c r="IGB207" s="2"/>
      <c r="IGC207" s="2"/>
      <c r="IGD207" s="2"/>
      <c r="IGE207" s="2"/>
      <c r="IGF207" s="2"/>
      <c r="IGG207" s="2"/>
      <c r="IGH207" s="2"/>
      <c r="IGI207" s="2"/>
      <c r="IGJ207" s="2"/>
      <c r="IGK207" s="2"/>
      <c r="IGL207" s="2"/>
      <c r="IGM207" s="2"/>
      <c r="IGN207" s="2"/>
      <c r="IGO207" s="2"/>
      <c r="IGP207" s="2"/>
      <c r="IGQ207" s="2"/>
      <c r="IGR207" s="2"/>
      <c r="IGS207" s="2"/>
      <c r="IGT207" s="2"/>
      <c r="IGU207" s="2"/>
      <c r="IGV207" s="2"/>
      <c r="IGW207" s="2"/>
      <c r="IGX207" s="2"/>
      <c r="IGY207" s="2"/>
      <c r="IGZ207" s="2"/>
      <c r="IHA207" s="2"/>
      <c r="IHB207" s="2"/>
      <c r="IHC207" s="2"/>
      <c r="IHD207" s="2"/>
      <c r="IHE207" s="2"/>
      <c r="IHF207" s="2"/>
      <c r="IHG207" s="2"/>
      <c r="IHH207" s="2"/>
      <c r="IHI207" s="2"/>
      <c r="IHJ207" s="2"/>
      <c r="IHK207" s="2"/>
      <c r="IHL207" s="2"/>
      <c r="IHM207" s="2"/>
      <c r="IHN207" s="2"/>
      <c r="IHO207" s="2"/>
      <c r="IHP207" s="2"/>
      <c r="IHQ207" s="2"/>
      <c r="IHR207" s="2"/>
      <c r="IHS207" s="2"/>
      <c r="IHT207" s="2"/>
      <c r="IHU207" s="2"/>
      <c r="IHV207" s="2"/>
      <c r="IHW207" s="2"/>
      <c r="IHX207" s="2"/>
      <c r="IHY207" s="2"/>
      <c r="IHZ207" s="2"/>
      <c r="IIA207" s="2"/>
      <c r="IIB207" s="2"/>
      <c r="IIC207" s="2"/>
      <c r="IID207" s="2"/>
      <c r="IIE207" s="2"/>
      <c r="IIF207" s="2"/>
      <c r="IIG207" s="2"/>
      <c r="IIH207" s="2"/>
      <c r="III207" s="2"/>
      <c r="IIJ207" s="2"/>
      <c r="IIK207" s="2"/>
      <c r="IIL207" s="2"/>
      <c r="IIM207" s="2"/>
      <c r="IIN207" s="2"/>
      <c r="IIO207" s="2"/>
      <c r="IIP207" s="2"/>
      <c r="IIQ207" s="2"/>
      <c r="IIR207" s="2"/>
      <c r="IIS207" s="2"/>
      <c r="IIT207" s="2"/>
      <c r="IIU207" s="2"/>
      <c r="IIV207" s="2"/>
      <c r="IIW207" s="2"/>
      <c r="IIX207" s="2"/>
      <c r="IIY207" s="2"/>
      <c r="IIZ207" s="2"/>
      <c r="IJA207" s="2"/>
      <c r="IJB207" s="2"/>
      <c r="IJC207" s="2"/>
      <c r="IJD207" s="2"/>
      <c r="IJE207" s="2"/>
      <c r="IJF207" s="2"/>
      <c r="IJG207" s="2"/>
      <c r="IJH207" s="2"/>
      <c r="IJI207" s="2"/>
      <c r="IJJ207" s="2"/>
      <c r="IJK207" s="2"/>
      <c r="IJL207" s="2"/>
      <c r="IJM207" s="2"/>
      <c r="IJN207" s="2"/>
      <c r="IJO207" s="2"/>
      <c r="IJP207" s="2"/>
      <c r="IJQ207" s="2"/>
      <c r="IJR207" s="2"/>
      <c r="IJS207" s="2"/>
      <c r="IJT207" s="2"/>
      <c r="IJU207" s="2"/>
      <c r="IJV207" s="2"/>
      <c r="IJW207" s="2"/>
      <c r="IJX207" s="2"/>
      <c r="IJY207" s="2"/>
      <c r="IJZ207" s="2"/>
      <c r="IKA207" s="2"/>
      <c r="IKB207" s="2"/>
      <c r="IKC207" s="2"/>
      <c r="IKD207" s="2"/>
      <c r="IKE207" s="2"/>
      <c r="IKF207" s="2"/>
      <c r="IKG207" s="2"/>
      <c r="IKH207" s="2"/>
      <c r="IKI207" s="2"/>
      <c r="IKJ207" s="2"/>
      <c r="IKK207" s="2"/>
      <c r="IKL207" s="2"/>
      <c r="IKM207" s="2"/>
      <c r="IKN207" s="2"/>
      <c r="IKO207" s="2"/>
      <c r="IKP207" s="2"/>
      <c r="IKQ207" s="2"/>
      <c r="IKR207" s="2"/>
      <c r="IKS207" s="2"/>
      <c r="IKT207" s="2"/>
      <c r="IKU207" s="2"/>
      <c r="IKV207" s="2"/>
      <c r="IKW207" s="2"/>
      <c r="IKX207" s="2"/>
      <c r="IKY207" s="2"/>
      <c r="IKZ207" s="2"/>
      <c r="ILA207" s="2"/>
      <c r="ILB207" s="2"/>
      <c r="ILC207" s="2"/>
      <c r="ILD207" s="2"/>
      <c r="ILE207" s="2"/>
      <c r="ILF207" s="2"/>
      <c r="ILG207" s="2"/>
      <c r="ILH207" s="2"/>
      <c r="ILI207" s="2"/>
      <c r="ILJ207" s="2"/>
      <c r="ILK207" s="2"/>
      <c r="ILL207" s="2"/>
      <c r="ILM207" s="2"/>
      <c r="ILN207" s="2"/>
      <c r="ILO207" s="2"/>
      <c r="ILP207" s="2"/>
      <c r="ILQ207" s="2"/>
      <c r="ILR207" s="2"/>
      <c r="ILS207" s="2"/>
      <c r="ILT207" s="2"/>
      <c r="ILU207" s="2"/>
      <c r="ILV207" s="2"/>
      <c r="ILW207" s="2"/>
      <c r="ILX207" s="2"/>
      <c r="ILY207" s="2"/>
      <c r="ILZ207" s="2"/>
      <c r="IMA207" s="2"/>
      <c r="IMB207" s="2"/>
      <c r="IMC207" s="2"/>
      <c r="IMD207" s="2"/>
      <c r="IME207" s="2"/>
      <c r="IMF207" s="2"/>
      <c r="IMG207" s="2"/>
      <c r="IMH207" s="2"/>
      <c r="IMI207" s="2"/>
      <c r="IMJ207" s="2"/>
      <c r="IMK207" s="2"/>
      <c r="IML207" s="2"/>
      <c r="IMM207" s="2"/>
      <c r="IMN207" s="2"/>
      <c r="IMO207" s="2"/>
      <c r="IMP207" s="2"/>
      <c r="IMQ207" s="2"/>
      <c r="IMR207" s="2"/>
      <c r="IMS207" s="2"/>
      <c r="IMT207" s="2"/>
      <c r="IMU207" s="2"/>
      <c r="IMV207" s="2"/>
      <c r="IMW207" s="2"/>
      <c r="IMX207" s="2"/>
      <c r="IMY207" s="2"/>
      <c r="IMZ207" s="2"/>
      <c r="INA207" s="2"/>
      <c r="INB207" s="2"/>
      <c r="INC207" s="2"/>
      <c r="IND207" s="2"/>
      <c r="INE207" s="2"/>
      <c r="INF207" s="2"/>
      <c r="ING207" s="2"/>
      <c r="INH207" s="2"/>
      <c r="INI207" s="2"/>
      <c r="INJ207" s="2"/>
      <c r="INK207" s="2"/>
      <c r="INL207" s="2"/>
      <c r="INM207" s="2"/>
      <c r="INN207" s="2"/>
      <c r="INO207" s="2"/>
      <c r="INP207" s="2"/>
      <c r="INQ207" s="2"/>
      <c r="INR207" s="2"/>
      <c r="INS207" s="2"/>
      <c r="INT207" s="2"/>
      <c r="INU207" s="2"/>
      <c r="INV207" s="2"/>
      <c r="INW207" s="2"/>
      <c r="INX207" s="2"/>
      <c r="INY207" s="2"/>
      <c r="INZ207" s="2"/>
      <c r="IOA207" s="2"/>
      <c r="IOB207" s="2"/>
      <c r="IOC207" s="2"/>
      <c r="IOD207" s="2"/>
      <c r="IOE207" s="2"/>
      <c r="IOF207" s="2"/>
      <c r="IOG207" s="2"/>
      <c r="IOH207" s="2"/>
      <c r="IOI207" s="2"/>
      <c r="IOJ207" s="2"/>
      <c r="IOK207" s="2"/>
      <c r="IOL207" s="2"/>
      <c r="IOM207" s="2"/>
      <c r="ION207" s="2"/>
      <c r="IOO207" s="2"/>
      <c r="IOP207" s="2"/>
      <c r="IOQ207" s="2"/>
      <c r="IOR207" s="2"/>
      <c r="IOS207" s="2"/>
      <c r="IOT207" s="2"/>
      <c r="IOU207" s="2"/>
      <c r="IOV207" s="2"/>
      <c r="IOW207" s="2"/>
      <c r="IOX207" s="2"/>
      <c r="IOY207" s="2"/>
      <c r="IOZ207" s="2"/>
      <c r="IPA207" s="2"/>
      <c r="IPB207" s="2"/>
      <c r="IPC207" s="2"/>
      <c r="IPD207" s="2"/>
      <c r="IPE207" s="2"/>
      <c r="IPF207" s="2"/>
      <c r="IPG207" s="2"/>
      <c r="IPH207" s="2"/>
      <c r="IPI207" s="2"/>
      <c r="IPJ207" s="2"/>
      <c r="IPK207" s="2"/>
      <c r="IPL207" s="2"/>
      <c r="IPM207" s="2"/>
      <c r="IPN207" s="2"/>
      <c r="IPO207" s="2"/>
      <c r="IPP207" s="2"/>
      <c r="IPQ207" s="2"/>
      <c r="IPR207" s="2"/>
      <c r="IPS207" s="2"/>
      <c r="IPT207" s="2"/>
      <c r="IPU207" s="2"/>
      <c r="IPV207" s="2"/>
      <c r="IPW207" s="2"/>
      <c r="IPX207" s="2"/>
      <c r="IPY207" s="2"/>
      <c r="IPZ207" s="2"/>
      <c r="IQA207" s="2"/>
      <c r="IQB207" s="2"/>
      <c r="IQC207" s="2"/>
      <c r="IQD207" s="2"/>
      <c r="IQE207" s="2"/>
      <c r="IQF207" s="2"/>
      <c r="IQG207" s="2"/>
      <c r="IQH207" s="2"/>
      <c r="IQI207" s="2"/>
      <c r="IQJ207" s="2"/>
      <c r="IQK207" s="2"/>
      <c r="IQL207" s="2"/>
      <c r="IQM207" s="2"/>
      <c r="IQN207" s="2"/>
      <c r="IQO207" s="2"/>
      <c r="IQP207" s="2"/>
      <c r="IQQ207" s="2"/>
      <c r="IQR207" s="2"/>
      <c r="IQS207" s="2"/>
      <c r="IQT207" s="2"/>
      <c r="IQU207" s="2"/>
      <c r="IQV207" s="2"/>
      <c r="IQW207" s="2"/>
      <c r="IQX207" s="2"/>
      <c r="IQY207" s="2"/>
      <c r="IQZ207" s="2"/>
      <c r="IRA207" s="2"/>
      <c r="IRB207" s="2"/>
      <c r="IRC207" s="2"/>
      <c r="IRD207" s="2"/>
      <c r="IRE207" s="2"/>
      <c r="IRF207" s="2"/>
      <c r="IRG207" s="2"/>
      <c r="IRH207" s="2"/>
      <c r="IRI207" s="2"/>
      <c r="IRJ207" s="2"/>
      <c r="IRK207" s="2"/>
      <c r="IRL207" s="2"/>
      <c r="IRM207" s="2"/>
      <c r="IRN207" s="2"/>
      <c r="IRO207" s="2"/>
      <c r="IRP207" s="2"/>
      <c r="IRQ207" s="2"/>
      <c r="IRR207" s="2"/>
      <c r="IRS207" s="2"/>
      <c r="IRT207" s="2"/>
      <c r="IRU207" s="2"/>
      <c r="IRV207" s="2"/>
      <c r="IRW207" s="2"/>
      <c r="IRX207" s="2"/>
      <c r="IRY207" s="2"/>
      <c r="IRZ207" s="2"/>
      <c r="ISA207" s="2"/>
      <c r="ISB207" s="2"/>
      <c r="ISC207" s="2"/>
      <c r="ISD207" s="2"/>
      <c r="ISE207" s="2"/>
      <c r="ISF207" s="2"/>
      <c r="ISG207" s="2"/>
      <c r="ISH207" s="2"/>
      <c r="ISI207" s="2"/>
      <c r="ISJ207" s="2"/>
      <c r="ISK207" s="2"/>
      <c r="ISL207" s="2"/>
      <c r="ISM207" s="2"/>
      <c r="ISN207" s="2"/>
      <c r="ISO207" s="2"/>
      <c r="ISP207" s="2"/>
      <c r="ISQ207" s="2"/>
      <c r="ISR207" s="2"/>
      <c r="ISS207" s="2"/>
      <c r="IST207" s="2"/>
      <c r="ISU207" s="2"/>
      <c r="ISV207" s="2"/>
      <c r="ISW207" s="2"/>
      <c r="ISX207" s="2"/>
      <c r="ISY207" s="2"/>
      <c r="ISZ207" s="2"/>
      <c r="ITA207" s="2"/>
      <c r="ITB207" s="2"/>
      <c r="ITC207" s="2"/>
      <c r="ITD207" s="2"/>
      <c r="ITE207" s="2"/>
      <c r="ITF207" s="2"/>
      <c r="ITG207" s="2"/>
      <c r="ITH207" s="2"/>
      <c r="ITI207" s="2"/>
      <c r="ITJ207" s="2"/>
      <c r="ITK207" s="2"/>
      <c r="ITL207" s="2"/>
      <c r="ITM207" s="2"/>
      <c r="ITN207" s="2"/>
      <c r="ITO207" s="2"/>
      <c r="ITP207" s="2"/>
      <c r="ITQ207" s="2"/>
      <c r="ITR207" s="2"/>
      <c r="ITS207" s="2"/>
      <c r="ITT207" s="2"/>
      <c r="ITU207" s="2"/>
      <c r="ITV207" s="2"/>
      <c r="ITW207" s="2"/>
      <c r="ITX207" s="2"/>
      <c r="ITY207" s="2"/>
      <c r="ITZ207" s="2"/>
      <c r="IUA207" s="2"/>
      <c r="IUB207" s="2"/>
      <c r="IUC207" s="2"/>
      <c r="IUD207" s="2"/>
      <c r="IUE207" s="2"/>
      <c r="IUF207" s="2"/>
      <c r="IUG207" s="2"/>
      <c r="IUH207" s="2"/>
      <c r="IUI207" s="2"/>
      <c r="IUJ207" s="2"/>
      <c r="IUK207" s="2"/>
      <c r="IUL207" s="2"/>
      <c r="IUM207" s="2"/>
      <c r="IUN207" s="2"/>
      <c r="IUO207" s="2"/>
      <c r="IUP207" s="2"/>
      <c r="IUQ207" s="2"/>
      <c r="IUR207" s="2"/>
      <c r="IUS207" s="2"/>
      <c r="IUT207" s="2"/>
      <c r="IUU207" s="2"/>
      <c r="IUV207" s="2"/>
      <c r="IUW207" s="2"/>
      <c r="IUX207" s="2"/>
      <c r="IUY207" s="2"/>
      <c r="IUZ207" s="2"/>
      <c r="IVA207" s="2"/>
      <c r="IVB207" s="2"/>
      <c r="IVC207" s="2"/>
      <c r="IVD207" s="2"/>
      <c r="IVE207" s="2"/>
      <c r="IVF207" s="2"/>
      <c r="IVG207" s="2"/>
      <c r="IVH207" s="2"/>
      <c r="IVI207" s="2"/>
      <c r="IVJ207" s="2"/>
      <c r="IVK207" s="2"/>
      <c r="IVL207" s="2"/>
      <c r="IVM207" s="2"/>
      <c r="IVN207" s="2"/>
      <c r="IVO207" s="2"/>
      <c r="IVP207" s="2"/>
      <c r="IVQ207" s="2"/>
      <c r="IVR207" s="2"/>
      <c r="IVS207" s="2"/>
      <c r="IVT207" s="2"/>
      <c r="IVU207" s="2"/>
      <c r="IVV207" s="2"/>
      <c r="IVW207" s="2"/>
      <c r="IVX207" s="2"/>
      <c r="IVY207" s="2"/>
      <c r="IVZ207" s="2"/>
      <c r="IWA207" s="2"/>
      <c r="IWB207" s="2"/>
      <c r="IWC207" s="2"/>
      <c r="IWD207" s="2"/>
      <c r="IWE207" s="2"/>
      <c r="IWF207" s="2"/>
      <c r="IWG207" s="2"/>
      <c r="IWH207" s="2"/>
      <c r="IWI207" s="2"/>
      <c r="IWJ207" s="2"/>
      <c r="IWK207" s="2"/>
      <c r="IWL207" s="2"/>
      <c r="IWM207" s="2"/>
      <c r="IWN207" s="2"/>
      <c r="IWO207" s="2"/>
      <c r="IWP207" s="2"/>
      <c r="IWQ207" s="2"/>
      <c r="IWR207" s="2"/>
      <c r="IWS207" s="2"/>
      <c r="IWT207" s="2"/>
      <c r="IWU207" s="2"/>
      <c r="IWV207" s="2"/>
      <c r="IWW207" s="2"/>
      <c r="IWX207" s="2"/>
      <c r="IWY207" s="2"/>
      <c r="IWZ207" s="2"/>
      <c r="IXA207" s="2"/>
      <c r="IXB207" s="2"/>
      <c r="IXC207" s="2"/>
      <c r="IXD207" s="2"/>
      <c r="IXE207" s="2"/>
      <c r="IXF207" s="2"/>
      <c r="IXG207" s="2"/>
      <c r="IXH207" s="2"/>
      <c r="IXI207" s="2"/>
      <c r="IXJ207" s="2"/>
      <c r="IXK207" s="2"/>
      <c r="IXL207" s="2"/>
      <c r="IXM207" s="2"/>
      <c r="IXN207" s="2"/>
      <c r="IXO207" s="2"/>
      <c r="IXP207" s="2"/>
      <c r="IXQ207" s="2"/>
      <c r="IXR207" s="2"/>
      <c r="IXS207" s="2"/>
      <c r="IXT207" s="2"/>
      <c r="IXU207" s="2"/>
      <c r="IXV207" s="2"/>
      <c r="IXW207" s="2"/>
      <c r="IXX207" s="2"/>
      <c r="IXY207" s="2"/>
      <c r="IXZ207" s="2"/>
      <c r="IYA207" s="2"/>
      <c r="IYB207" s="2"/>
      <c r="IYC207" s="2"/>
      <c r="IYD207" s="2"/>
      <c r="IYE207" s="2"/>
      <c r="IYF207" s="2"/>
      <c r="IYG207" s="2"/>
      <c r="IYH207" s="2"/>
      <c r="IYI207" s="2"/>
      <c r="IYJ207" s="2"/>
      <c r="IYK207" s="2"/>
      <c r="IYL207" s="2"/>
      <c r="IYM207" s="2"/>
      <c r="IYN207" s="2"/>
      <c r="IYO207" s="2"/>
      <c r="IYP207" s="2"/>
      <c r="IYQ207" s="2"/>
      <c r="IYR207" s="2"/>
      <c r="IYS207" s="2"/>
      <c r="IYT207" s="2"/>
      <c r="IYU207" s="2"/>
      <c r="IYV207" s="2"/>
      <c r="IYW207" s="2"/>
      <c r="IYX207" s="2"/>
      <c r="IYY207" s="2"/>
      <c r="IYZ207" s="2"/>
      <c r="IZA207" s="2"/>
      <c r="IZB207" s="2"/>
      <c r="IZC207" s="2"/>
      <c r="IZD207" s="2"/>
      <c r="IZE207" s="2"/>
      <c r="IZF207" s="2"/>
      <c r="IZG207" s="2"/>
      <c r="IZH207" s="2"/>
      <c r="IZI207" s="2"/>
      <c r="IZJ207" s="2"/>
      <c r="IZK207" s="2"/>
      <c r="IZL207" s="2"/>
      <c r="IZM207" s="2"/>
      <c r="IZN207" s="2"/>
      <c r="IZO207" s="2"/>
      <c r="IZP207" s="2"/>
      <c r="IZQ207" s="2"/>
      <c r="IZR207" s="2"/>
      <c r="IZS207" s="2"/>
      <c r="IZT207" s="2"/>
      <c r="IZU207" s="2"/>
      <c r="IZV207" s="2"/>
      <c r="IZW207" s="2"/>
      <c r="IZX207" s="2"/>
      <c r="IZY207" s="2"/>
      <c r="IZZ207" s="2"/>
      <c r="JAA207" s="2"/>
      <c r="JAB207" s="2"/>
      <c r="JAC207" s="2"/>
      <c r="JAD207" s="2"/>
      <c r="JAE207" s="2"/>
      <c r="JAF207" s="2"/>
      <c r="JAG207" s="2"/>
      <c r="JAH207" s="2"/>
      <c r="JAI207" s="2"/>
      <c r="JAJ207" s="2"/>
      <c r="JAK207" s="2"/>
      <c r="JAL207" s="2"/>
      <c r="JAM207" s="2"/>
      <c r="JAN207" s="2"/>
      <c r="JAO207" s="2"/>
      <c r="JAP207" s="2"/>
      <c r="JAQ207" s="2"/>
      <c r="JAR207" s="2"/>
      <c r="JAS207" s="2"/>
      <c r="JAT207" s="2"/>
      <c r="JAU207" s="2"/>
      <c r="JAV207" s="2"/>
      <c r="JAW207" s="2"/>
      <c r="JAX207" s="2"/>
      <c r="JAY207" s="2"/>
      <c r="JAZ207" s="2"/>
      <c r="JBA207" s="2"/>
      <c r="JBB207" s="2"/>
      <c r="JBC207" s="2"/>
      <c r="JBD207" s="2"/>
      <c r="JBE207" s="2"/>
      <c r="JBF207" s="2"/>
      <c r="JBG207" s="2"/>
      <c r="JBH207" s="2"/>
      <c r="JBI207" s="2"/>
      <c r="JBJ207" s="2"/>
      <c r="JBK207" s="2"/>
      <c r="JBL207" s="2"/>
      <c r="JBM207" s="2"/>
      <c r="JBN207" s="2"/>
      <c r="JBO207" s="2"/>
      <c r="JBP207" s="2"/>
      <c r="JBQ207" s="2"/>
      <c r="JBR207" s="2"/>
      <c r="JBS207" s="2"/>
      <c r="JBT207" s="2"/>
      <c r="JBU207" s="2"/>
      <c r="JBV207" s="2"/>
      <c r="JBW207" s="2"/>
      <c r="JBX207" s="2"/>
      <c r="JBY207" s="2"/>
      <c r="JBZ207" s="2"/>
      <c r="JCA207" s="2"/>
      <c r="JCB207" s="2"/>
      <c r="JCC207" s="2"/>
      <c r="JCD207" s="2"/>
      <c r="JCE207" s="2"/>
      <c r="JCF207" s="2"/>
      <c r="JCG207" s="2"/>
      <c r="JCH207" s="2"/>
      <c r="JCI207" s="2"/>
      <c r="JCJ207" s="2"/>
      <c r="JCK207" s="2"/>
      <c r="JCL207" s="2"/>
      <c r="JCM207" s="2"/>
      <c r="JCN207" s="2"/>
      <c r="JCO207" s="2"/>
      <c r="JCP207" s="2"/>
      <c r="JCQ207" s="2"/>
      <c r="JCR207" s="2"/>
      <c r="JCS207" s="2"/>
      <c r="JCT207" s="2"/>
      <c r="JCU207" s="2"/>
      <c r="JCV207" s="2"/>
      <c r="JCW207" s="2"/>
      <c r="JCX207" s="2"/>
      <c r="JCY207" s="2"/>
      <c r="JCZ207" s="2"/>
      <c r="JDA207" s="2"/>
      <c r="JDB207" s="2"/>
      <c r="JDC207" s="2"/>
      <c r="JDD207" s="2"/>
      <c r="JDE207" s="2"/>
      <c r="JDF207" s="2"/>
      <c r="JDG207" s="2"/>
      <c r="JDH207" s="2"/>
      <c r="JDI207" s="2"/>
      <c r="JDJ207" s="2"/>
      <c r="JDK207" s="2"/>
      <c r="JDL207" s="2"/>
      <c r="JDM207" s="2"/>
      <c r="JDN207" s="2"/>
      <c r="JDO207" s="2"/>
      <c r="JDP207" s="2"/>
      <c r="JDQ207" s="2"/>
      <c r="JDR207" s="2"/>
      <c r="JDS207" s="2"/>
      <c r="JDT207" s="2"/>
      <c r="JDU207" s="2"/>
      <c r="JDV207" s="2"/>
      <c r="JDW207" s="2"/>
      <c r="JDX207" s="2"/>
      <c r="JDY207" s="2"/>
      <c r="JDZ207" s="2"/>
      <c r="JEA207" s="2"/>
      <c r="JEB207" s="2"/>
      <c r="JEC207" s="2"/>
      <c r="JED207" s="2"/>
      <c r="JEE207" s="2"/>
      <c r="JEF207" s="2"/>
      <c r="JEG207" s="2"/>
      <c r="JEH207" s="2"/>
      <c r="JEI207" s="2"/>
      <c r="JEJ207" s="2"/>
      <c r="JEK207" s="2"/>
      <c r="JEL207" s="2"/>
      <c r="JEM207" s="2"/>
      <c r="JEN207" s="2"/>
      <c r="JEO207" s="2"/>
      <c r="JEP207" s="2"/>
      <c r="JEQ207" s="2"/>
      <c r="JER207" s="2"/>
      <c r="JES207" s="2"/>
      <c r="JET207" s="2"/>
      <c r="JEU207" s="2"/>
      <c r="JEV207" s="2"/>
      <c r="JEW207" s="2"/>
      <c r="JEX207" s="2"/>
      <c r="JEY207" s="2"/>
      <c r="JEZ207" s="2"/>
      <c r="JFA207" s="2"/>
      <c r="JFB207" s="2"/>
      <c r="JFC207" s="2"/>
      <c r="JFD207" s="2"/>
      <c r="JFE207" s="2"/>
      <c r="JFF207" s="2"/>
      <c r="JFG207" s="2"/>
      <c r="JFH207" s="2"/>
      <c r="JFI207" s="2"/>
      <c r="JFJ207" s="2"/>
      <c r="JFK207" s="2"/>
      <c r="JFL207" s="2"/>
      <c r="JFM207" s="2"/>
      <c r="JFN207" s="2"/>
      <c r="JFO207" s="2"/>
      <c r="JFP207" s="2"/>
      <c r="JFQ207" s="2"/>
      <c r="JFR207" s="2"/>
      <c r="JFS207" s="2"/>
      <c r="JFT207" s="2"/>
      <c r="JFU207" s="2"/>
      <c r="JFV207" s="2"/>
      <c r="JFW207" s="2"/>
      <c r="JFX207" s="2"/>
      <c r="JFY207" s="2"/>
      <c r="JFZ207" s="2"/>
      <c r="JGA207" s="2"/>
      <c r="JGB207" s="2"/>
      <c r="JGC207" s="2"/>
      <c r="JGD207" s="2"/>
      <c r="JGE207" s="2"/>
      <c r="JGF207" s="2"/>
      <c r="JGG207" s="2"/>
      <c r="JGH207" s="2"/>
      <c r="JGI207" s="2"/>
      <c r="JGJ207" s="2"/>
      <c r="JGK207" s="2"/>
      <c r="JGL207" s="2"/>
      <c r="JGM207" s="2"/>
      <c r="JGN207" s="2"/>
      <c r="JGO207" s="2"/>
      <c r="JGP207" s="2"/>
      <c r="JGQ207" s="2"/>
      <c r="JGR207" s="2"/>
      <c r="JGS207" s="2"/>
      <c r="JGT207" s="2"/>
      <c r="JGU207" s="2"/>
      <c r="JGV207" s="2"/>
      <c r="JGW207" s="2"/>
      <c r="JGX207" s="2"/>
      <c r="JGY207" s="2"/>
      <c r="JGZ207" s="2"/>
      <c r="JHA207" s="2"/>
      <c r="JHB207" s="2"/>
      <c r="JHC207" s="2"/>
      <c r="JHD207" s="2"/>
      <c r="JHE207" s="2"/>
      <c r="JHF207" s="2"/>
      <c r="JHG207" s="2"/>
      <c r="JHH207" s="2"/>
      <c r="JHI207" s="2"/>
      <c r="JHJ207" s="2"/>
      <c r="JHK207" s="2"/>
      <c r="JHL207" s="2"/>
      <c r="JHM207" s="2"/>
      <c r="JHN207" s="2"/>
      <c r="JHO207" s="2"/>
      <c r="JHP207" s="2"/>
      <c r="JHQ207" s="2"/>
      <c r="JHR207" s="2"/>
      <c r="JHS207" s="2"/>
      <c r="JHT207" s="2"/>
      <c r="JHU207" s="2"/>
      <c r="JHV207" s="2"/>
      <c r="JHW207" s="2"/>
      <c r="JHX207" s="2"/>
      <c r="JHY207" s="2"/>
      <c r="JHZ207" s="2"/>
      <c r="JIA207" s="2"/>
      <c r="JIB207" s="2"/>
      <c r="JIC207" s="2"/>
      <c r="JID207" s="2"/>
      <c r="JIE207" s="2"/>
      <c r="JIF207" s="2"/>
      <c r="JIG207" s="2"/>
      <c r="JIH207" s="2"/>
      <c r="JII207" s="2"/>
      <c r="JIJ207" s="2"/>
      <c r="JIK207" s="2"/>
      <c r="JIL207" s="2"/>
      <c r="JIM207" s="2"/>
      <c r="JIN207" s="2"/>
      <c r="JIO207" s="2"/>
      <c r="JIP207" s="2"/>
      <c r="JIQ207" s="2"/>
      <c r="JIR207" s="2"/>
      <c r="JIS207" s="2"/>
      <c r="JIT207" s="2"/>
      <c r="JIU207" s="2"/>
      <c r="JIV207" s="2"/>
      <c r="JIW207" s="2"/>
      <c r="JIX207" s="2"/>
      <c r="JIY207" s="2"/>
      <c r="JIZ207" s="2"/>
      <c r="JJA207" s="2"/>
      <c r="JJB207" s="2"/>
      <c r="JJC207" s="2"/>
      <c r="JJD207" s="2"/>
      <c r="JJE207" s="2"/>
      <c r="JJF207" s="2"/>
      <c r="JJG207" s="2"/>
      <c r="JJH207" s="2"/>
      <c r="JJI207" s="2"/>
      <c r="JJJ207" s="2"/>
      <c r="JJK207" s="2"/>
      <c r="JJL207" s="2"/>
      <c r="JJM207" s="2"/>
      <c r="JJN207" s="2"/>
      <c r="JJO207" s="2"/>
      <c r="JJP207" s="2"/>
      <c r="JJQ207" s="2"/>
      <c r="JJR207" s="2"/>
      <c r="JJS207" s="2"/>
      <c r="JJT207" s="2"/>
      <c r="JJU207" s="2"/>
      <c r="JJV207" s="2"/>
      <c r="JJW207" s="2"/>
      <c r="JJX207" s="2"/>
      <c r="JJY207" s="2"/>
      <c r="JJZ207" s="2"/>
      <c r="JKA207" s="2"/>
      <c r="JKB207" s="2"/>
      <c r="JKC207" s="2"/>
      <c r="JKD207" s="2"/>
      <c r="JKE207" s="2"/>
      <c r="JKF207" s="2"/>
      <c r="JKG207" s="2"/>
      <c r="JKH207" s="2"/>
      <c r="JKI207" s="2"/>
      <c r="JKJ207" s="2"/>
      <c r="JKK207" s="2"/>
      <c r="JKL207" s="2"/>
      <c r="JKM207" s="2"/>
      <c r="JKN207" s="2"/>
      <c r="JKO207" s="2"/>
      <c r="JKP207" s="2"/>
      <c r="JKQ207" s="2"/>
      <c r="JKR207" s="2"/>
      <c r="JKS207" s="2"/>
      <c r="JKT207" s="2"/>
      <c r="JKU207" s="2"/>
      <c r="JKV207" s="2"/>
      <c r="JKW207" s="2"/>
      <c r="JKX207" s="2"/>
      <c r="JKY207" s="2"/>
      <c r="JKZ207" s="2"/>
      <c r="JLA207" s="2"/>
      <c r="JLB207" s="2"/>
      <c r="JLC207" s="2"/>
      <c r="JLD207" s="2"/>
      <c r="JLE207" s="2"/>
      <c r="JLF207" s="2"/>
      <c r="JLG207" s="2"/>
      <c r="JLH207" s="2"/>
      <c r="JLI207" s="2"/>
      <c r="JLJ207" s="2"/>
      <c r="JLK207" s="2"/>
      <c r="JLL207" s="2"/>
      <c r="JLM207" s="2"/>
      <c r="JLN207" s="2"/>
      <c r="JLO207" s="2"/>
      <c r="JLP207" s="2"/>
      <c r="JLQ207" s="2"/>
      <c r="JLR207" s="2"/>
      <c r="JLS207" s="2"/>
      <c r="JLT207" s="2"/>
      <c r="JLU207" s="2"/>
      <c r="JLV207" s="2"/>
      <c r="JLW207" s="2"/>
      <c r="JLX207" s="2"/>
      <c r="JLY207" s="2"/>
      <c r="JLZ207" s="2"/>
      <c r="JMA207" s="2"/>
      <c r="JMB207" s="2"/>
      <c r="JMC207" s="2"/>
      <c r="JMD207" s="2"/>
      <c r="JME207" s="2"/>
      <c r="JMF207" s="2"/>
      <c r="JMG207" s="2"/>
      <c r="JMH207" s="2"/>
      <c r="JMI207" s="2"/>
      <c r="JMJ207" s="2"/>
      <c r="JMK207" s="2"/>
      <c r="JML207" s="2"/>
      <c r="JMM207" s="2"/>
      <c r="JMN207" s="2"/>
      <c r="JMO207" s="2"/>
      <c r="JMP207" s="2"/>
      <c r="JMQ207" s="2"/>
      <c r="JMR207" s="2"/>
      <c r="JMS207" s="2"/>
      <c r="JMT207" s="2"/>
      <c r="JMU207" s="2"/>
      <c r="JMV207" s="2"/>
      <c r="JMW207" s="2"/>
      <c r="JMX207" s="2"/>
      <c r="JMY207" s="2"/>
      <c r="JMZ207" s="2"/>
      <c r="JNA207" s="2"/>
      <c r="JNB207" s="2"/>
      <c r="JNC207" s="2"/>
      <c r="JND207" s="2"/>
      <c r="JNE207" s="2"/>
      <c r="JNF207" s="2"/>
      <c r="JNG207" s="2"/>
      <c r="JNH207" s="2"/>
      <c r="JNI207" s="2"/>
      <c r="JNJ207" s="2"/>
      <c r="JNK207" s="2"/>
      <c r="JNL207" s="2"/>
      <c r="JNM207" s="2"/>
      <c r="JNN207" s="2"/>
      <c r="JNO207" s="2"/>
      <c r="JNP207" s="2"/>
      <c r="JNQ207" s="2"/>
      <c r="JNR207" s="2"/>
      <c r="JNS207" s="2"/>
      <c r="JNT207" s="2"/>
      <c r="JNU207" s="2"/>
      <c r="JNV207" s="2"/>
      <c r="JNW207" s="2"/>
      <c r="JNX207" s="2"/>
      <c r="JNY207" s="2"/>
      <c r="JNZ207" s="2"/>
      <c r="JOA207" s="2"/>
      <c r="JOB207" s="2"/>
      <c r="JOC207" s="2"/>
      <c r="JOD207" s="2"/>
      <c r="JOE207" s="2"/>
      <c r="JOF207" s="2"/>
      <c r="JOG207" s="2"/>
      <c r="JOH207" s="2"/>
      <c r="JOI207" s="2"/>
      <c r="JOJ207" s="2"/>
      <c r="JOK207" s="2"/>
      <c r="JOL207" s="2"/>
      <c r="JOM207" s="2"/>
      <c r="JON207" s="2"/>
      <c r="JOO207" s="2"/>
      <c r="JOP207" s="2"/>
      <c r="JOQ207" s="2"/>
      <c r="JOR207" s="2"/>
      <c r="JOS207" s="2"/>
      <c r="JOT207" s="2"/>
      <c r="JOU207" s="2"/>
      <c r="JOV207" s="2"/>
      <c r="JOW207" s="2"/>
      <c r="JOX207" s="2"/>
      <c r="JOY207" s="2"/>
      <c r="JOZ207" s="2"/>
      <c r="JPA207" s="2"/>
      <c r="JPB207" s="2"/>
      <c r="JPC207" s="2"/>
      <c r="JPD207" s="2"/>
      <c r="JPE207" s="2"/>
      <c r="JPF207" s="2"/>
      <c r="JPG207" s="2"/>
      <c r="JPH207" s="2"/>
      <c r="JPI207" s="2"/>
      <c r="JPJ207" s="2"/>
      <c r="JPK207" s="2"/>
      <c r="JPL207" s="2"/>
      <c r="JPM207" s="2"/>
      <c r="JPN207" s="2"/>
      <c r="JPO207" s="2"/>
      <c r="JPP207" s="2"/>
      <c r="JPQ207" s="2"/>
      <c r="JPR207" s="2"/>
      <c r="JPS207" s="2"/>
      <c r="JPT207" s="2"/>
      <c r="JPU207" s="2"/>
      <c r="JPV207" s="2"/>
      <c r="JPW207" s="2"/>
      <c r="JPX207" s="2"/>
      <c r="JPY207" s="2"/>
      <c r="JPZ207" s="2"/>
      <c r="JQA207" s="2"/>
      <c r="JQB207" s="2"/>
      <c r="JQC207" s="2"/>
      <c r="JQD207" s="2"/>
      <c r="JQE207" s="2"/>
      <c r="JQF207" s="2"/>
      <c r="JQG207" s="2"/>
      <c r="JQH207" s="2"/>
      <c r="JQI207" s="2"/>
      <c r="JQJ207" s="2"/>
      <c r="JQK207" s="2"/>
      <c r="JQL207" s="2"/>
      <c r="JQM207" s="2"/>
      <c r="JQN207" s="2"/>
      <c r="JQO207" s="2"/>
      <c r="JQP207" s="2"/>
      <c r="JQQ207" s="2"/>
      <c r="JQR207" s="2"/>
      <c r="JQS207" s="2"/>
      <c r="JQT207" s="2"/>
      <c r="JQU207" s="2"/>
      <c r="JQV207" s="2"/>
      <c r="JQW207" s="2"/>
      <c r="JQX207" s="2"/>
      <c r="JQY207" s="2"/>
      <c r="JQZ207" s="2"/>
      <c r="JRA207" s="2"/>
      <c r="JRB207" s="2"/>
      <c r="JRC207" s="2"/>
      <c r="JRD207" s="2"/>
      <c r="JRE207" s="2"/>
      <c r="JRF207" s="2"/>
      <c r="JRG207" s="2"/>
      <c r="JRH207" s="2"/>
      <c r="JRI207" s="2"/>
      <c r="JRJ207" s="2"/>
      <c r="JRK207" s="2"/>
      <c r="JRL207" s="2"/>
      <c r="JRM207" s="2"/>
      <c r="JRN207" s="2"/>
      <c r="JRO207" s="2"/>
      <c r="JRP207" s="2"/>
      <c r="JRQ207" s="2"/>
      <c r="JRR207" s="2"/>
      <c r="JRS207" s="2"/>
      <c r="JRT207" s="2"/>
      <c r="JRU207" s="2"/>
      <c r="JRV207" s="2"/>
      <c r="JRW207" s="2"/>
      <c r="JRX207" s="2"/>
      <c r="JRY207" s="2"/>
      <c r="JRZ207" s="2"/>
      <c r="JSA207" s="2"/>
      <c r="JSB207" s="2"/>
      <c r="JSC207" s="2"/>
      <c r="JSD207" s="2"/>
      <c r="JSE207" s="2"/>
      <c r="JSF207" s="2"/>
      <c r="JSG207" s="2"/>
      <c r="JSH207" s="2"/>
      <c r="JSI207" s="2"/>
      <c r="JSJ207" s="2"/>
      <c r="JSK207" s="2"/>
      <c r="JSL207" s="2"/>
      <c r="JSM207" s="2"/>
      <c r="JSN207" s="2"/>
      <c r="JSO207" s="2"/>
      <c r="JSP207" s="2"/>
      <c r="JSQ207" s="2"/>
      <c r="JSR207" s="2"/>
      <c r="JSS207" s="2"/>
      <c r="JST207" s="2"/>
      <c r="JSU207" s="2"/>
      <c r="JSV207" s="2"/>
      <c r="JSW207" s="2"/>
      <c r="JSX207" s="2"/>
      <c r="JSY207" s="2"/>
      <c r="JSZ207" s="2"/>
      <c r="JTA207" s="2"/>
      <c r="JTB207" s="2"/>
      <c r="JTC207" s="2"/>
      <c r="JTD207" s="2"/>
      <c r="JTE207" s="2"/>
      <c r="JTF207" s="2"/>
      <c r="JTG207" s="2"/>
      <c r="JTH207" s="2"/>
      <c r="JTI207" s="2"/>
      <c r="JTJ207" s="2"/>
      <c r="JTK207" s="2"/>
      <c r="JTL207" s="2"/>
      <c r="JTM207" s="2"/>
      <c r="JTN207" s="2"/>
      <c r="JTO207" s="2"/>
      <c r="JTP207" s="2"/>
      <c r="JTQ207" s="2"/>
      <c r="JTR207" s="2"/>
      <c r="JTS207" s="2"/>
      <c r="JTT207" s="2"/>
      <c r="JTU207" s="2"/>
      <c r="JTV207" s="2"/>
      <c r="JTW207" s="2"/>
      <c r="JTX207" s="2"/>
      <c r="JTY207" s="2"/>
      <c r="JTZ207" s="2"/>
      <c r="JUA207" s="2"/>
      <c r="JUB207" s="2"/>
      <c r="JUC207" s="2"/>
      <c r="JUD207" s="2"/>
      <c r="JUE207" s="2"/>
      <c r="JUF207" s="2"/>
      <c r="JUG207" s="2"/>
      <c r="JUH207" s="2"/>
      <c r="JUI207" s="2"/>
      <c r="JUJ207" s="2"/>
      <c r="JUK207" s="2"/>
      <c r="JUL207" s="2"/>
      <c r="JUM207" s="2"/>
      <c r="JUN207" s="2"/>
      <c r="JUO207" s="2"/>
      <c r="JUP207" s="2"/>
      <c r="JUQ207" s="2"/>
      <c r="JUR207" s="2"/>
      <c r="JUS207" s="2"/>
      <c r="JUT207" s="2"/>
      <c r="JUU207" s="2"/>
      <c r="JUV207" s="2"/>
      <c r="JUW207" s="2"/>
      <c r="JUX207" s="2"/>
      <c r="JUY207" s="2"/>
      <c r="JUZ207" s="2"/>
      <c r="JVA207" s="2"/>
      <c r="JVB207" s="2"/>
      <c r="JVC207" s="2"/>
      <c r="JVD207" s="2"/>
      <c r="JVE207" s="2"/>
      <c r="JVF207" s="2"/>
      <c r="JVG207" s="2"/>
      <c r="JVH207" s="2"/>
      <c r="JVI207" s="2"/>
      <c r="JVJ207" s="2"/>
      <c r="JVK207" s="2"/>
      <c r="JVL207" s="2"/>
      <c r="JVM207" s="2"/>
      <c r="JVN207" s="2"/>
      <c r="JVO207" s="2"/>
      <c r="JVP207" s="2"/>
      <c r="JVQ207" s="2"/>
      <c r="JVR207" s="2"/>
      <c r="JVS207" s="2"/>
      <c r="JVT207" s="2"/>
      <c r="JVU207" s="2"/>
      <c r="JVV207" s="2"/>
      <c r="JVW207" s="2"/>
      <c r="JVX207" s="2"/>
      <c r="JVY207" s="2"/>
      <c r="JVZ207" s="2"/>
      <c r="JWA207" s="2"/>
      <c r="JWB207" s="2"/>
      <c r="JWC207" s="2"/>
      <c r="JWD207" s="2"/>
      <c r="JWE207" s="2"/>
      <c r="JWF207" s="2"/>
      <c r="JWG207" s="2"/>
      <c r="JWH207" s="2"/>
      <c r="JWI207" s="2"/>
      <c r="JWJ207" s="2"/>
      <c r="JWK207" s="2"/>
      <c r="JWL207" s="2"/>
      <c r="JWM207" s="2"/>
      <c r="JWN207" s="2"/>
      <c r="JWO207" s="2"/>
      <c r="JWP207" s="2"/>
      <c r="JWQ207" s="2"/>
      <c r="JWR207" s="2"/>
      <c r="JWS207" s="2"/>
      <c r="JWT207" s="2"/>
      <c r="JWU207" s="2"/>
      <c r="JWV207" s="2"/>
      <c r="JWW207" s="2"/>
      <c r="JWX207" s="2"/>
      <c r="JWY207" s="2"/>
      <c r="JWZ207" s="2"/>
      <c r="JXA207" s="2"/>
      <c r="JXB207" s="2"/>
      <c r="JXC207" s="2"/>
      <c r="JXD207" s="2"/>
      <c r="JXE207" s="2"/>
      <c r="JXF207" s="2"/>
      <c r="JXG207" s="2"/>
      <c r="JXH207" s="2"/>
      <c r="JXI207" s="2"/>
      <c r="JXJ207" s="2"/>
      <c r="JXK207" s="2"/>
      <c r="JXL207" s="2"/>
      <c r="JXM207" s="2"/>
      <c r="JXN207" s="2"/>
      <c r="JXO207" s="2"/>
      <c r="JXP207" s="2"/>
      <c r="JXQ207" s="2"/>
      <c r="JXR207" s="2"/>
      <c r="JXS207" s="2"/>
      <c r="JXT207" s="2"/>
      <c r="JXU207" s="2"/>
      <c r="JXV207" s="2"/>
      <c r="JXW207" s="2"/>
      <c r="JXX207" s="2"/>
      <c r="JXY207" s="2"/>
      <c r="JXZ207" s="2"/>
      <c r="JYA207" s="2"/>
      <c r="JYB207" s="2"/>
      <c r="JYC207" s="2"/>
      <c r="JYD207" s="2"/>
      <c r="JYE207" s="2"/>
      <c r="JYF207" s="2"/>
      <c r="JYG207" s="2"/>
      <c r="JYH207" s="2"/>
      <c r="JYI207" s="2"/>
      <c r="JYJ207" s="2"/>
      <c r="JYK207" s="2"/>
      <c r="JYL207" s="2"/>
      <c r="JYM207" s="2"/>
      <c r="JYN207" s="2"/>
      <c r="JYO207" s="2"/>
      <c r="JYP207" s="2"/>
      <c r="JYQ207" s="2"/>
      <c r="JYR207" s="2"/>
      <c r="JYS207" s="2"/>
      <c r="JYT207" s="2"/>
      <c r="JYU207" s="2"/>
      <c r="JYV207" s="2"/>
      <c r="JYW207" s="2"/>
      <c r="JYX207" s="2"/>
      <c r="JYY207" s="2"/>
      <c r="JYZ207" s="2"/>
      <c r="JZA207" s="2"/>
      <c r="JZB207" s="2"/>
      <c r="JZC207" s="2"/>
      <c r="JZD207" s="2"/>
      <c r="JZE207" s="2"/>
      <c r="JZF207" s="2"/>
      <c r="JZG207" s="2"/>
      <c r="JZH207" s="2"/>
      <c r="JZI207" s="2"/>
      <c r="JZJ207" s="2"/>
      <c r="JZK207" s="2"/>
      <c r="JZL207" s="2"/>
      <c r="JZM207" s="2"/>
      <c r="JZN207" s="2"/>
      <c r="JZO207" s="2"/>
      <c r="JZP207" s="2"/>
      <c r="JZQ207" s="2"/>
      <c r="JZR207" s="2"/>
      <c r="JZS207" s="2"/>
      <c r="JZT207" s="2"/>
      <c r="JZU207" s="2"/>
      <c r="JZV207" s="2"/>
      <c r="JZW207" s="2"/>
      <c r="JZX207" s="2"/>
      <c r="JZY207" s="2"/>
      <c r="JZZ207" s="2"/>
      <c r="KAA207" s="2"/>
      <c r="KAB207" s="2"/>
      <c r="KAC207" s="2"/>
      <c r="KAD207" s="2"/>
      <c r="KAE207" s="2"/>
      <c r="KAF207" s="2"/>
      <c r="KAG207" s="2"/>
      <c r="KAH207" s="2"/>
      <c r="KAI207" s="2"/>
      <c r="KAJ207" s="2"/>
      <c r="KAK207" s="2"/>
      <c r="KAL207" s="2"/>
      <c r="KAM207" s="2"/>
      <c r="KAN207" s="2"/>
      <c r="KAO207" s="2"/>
      <c r="KAP207" s="2"/>
      <c r="KAQ207" s="2"/>
      <c r="KAR207" s="2"/>
      <c r="KAS207" s="2"/>
      <c r="KAT207" s="2"/>
      <c r="KAU207" s="2"/>
      <c r="KAV207" s="2"/>
      <c r="KAW207" s="2"/>
      <c r="KAX207" s="2"/>
      <c r="KAY207" s="2"/>
      <c r="KAZ207" s="2"/>
      <c r="KBA207" s="2"/>
      <c r="KBB207" s="2"/>
      <c r="KBC207" s="2"/>
      <c r="KBD207" s="2"/>
      <c r="KBE207" s="2"/>
      <c r="KBF207" s="2"/>
      <c r="KBG207" s="2"/>
      <c r="KBH207" s="2"/>
      <c r="KBI207" s="2"/>
      <c r="KBJ207" s="2"/>
      <c r="KBK207" s="2"/>
      <c r="KBL207" s="2"/>
      <c r="KBM207" s="2"/>
      <c r="KBN207" s="2"/>
      <c r="KBO207" s="2"/>
      <c r="KBP207" s="2"/>
      <c r="KBQ207" s="2"/>
      <c r="KBR207" s="2"/>
      <c r="KBS207" s="2"/>
      <c r="KBT207" s="2"/>
      <c r="KBU207" s="2"/>
      <c r="KBV207" s="2"/>
      <c r="KBW207" s="2"/>
      <c r="KBX207" s="2"/>
      <c r="KBY207" s="2"/>
      <c r="KBZ207" s="2"/>
      <c r="KCA207" s="2"/>
      <c r="KCB207" s="2"/>
      <c r="KCC207" s="2"/>
      <c r="KCD207" s="2"/>
      <c r="KCE207" s="2"/>
      <c r="KCF207" s="2"/>
      <c r="KCG207" s="2"/>
      <c r="KCH207" s="2"/>
      <c r="KCI207" s="2"/>
      <c r="KCJ207" s="2"/>
      <c r="KCK207" s="2"/>
      <c r="KCL207" s="2"/>
      <c r="KCM207" s="2"/>
      <c r="KCN207" s="2"/>
      <c r="KCO207" s="2"/>
      <c r="KCP207" s="2"/>
      <c r="KCQ207" s="2"/>
      <c r="KCR207" s="2"/>
      <c r="KCS207" s="2"/>
      <c r="KCT207" s="2"/>
      <c r="KCU207" s="2"/>
      <c r="KCV207" s="2"/>
      <c r="KCW207" s="2"/>
      <c r="KCX207" s="2"/>
      <c r="KCY207" s="2"/>
      <c r="KCZ207" s="2"/>
      <c r="KDA207" s="2"/>
      <c r="KDB207" s="2"/>
      <c r="KDC207" s="2"/>
      <c r="KDD207" s="2"/>
      <c r="KDE207" s="2"/>
      <c r="KDF207" s="2"/>
      <c r="KDG207" s="2"/>
      <c r="KDH207" s="2"/>
      <c r="KDI207" s="2"/>
      <c r="KDJ207" s="2"/>
      <c r="KDK207" s="2"/>
      <c r="KDL207" s="2"/>
      <c r="KDM207" s="2"/>
      <c r="KDN207" s="2"/>
      <c r="KDO207" s="2"/>
      <c r="KDP207" s="2"/>
      <c r="KDQ207" s="2"/>
      <c r="KDR207" s="2"/>
      <c r="KDS207" s="2"/>
      <c r="KDT207" s="2"/>
      <c r="KDU207" s="2"/>
      <c r="KDV207" s="2"/>
      <c r="KDW207" s="2"/>
      <c r="KDX207" s="2"/>
      <c r="KDY207" s="2"/>
      <c r="KDZ207" s="2"/>
      <c r="KEA207" s="2"/>
      <c r="KEB207" s="2"/>
      <c r="KEC207" s="2"/>
      <c r="KED207" s="2"/>
      <c r="KEE207" s="2"/>
      <c r="KEF207" s="2"/>
      <c r="KEG207" s="2"/>
      <c r="KEH207" s="2"/>
      <c r="KEI207" s="2"/>
      <c r="KEJ207" s="2"/>
      <c r="KEK207" s="2"/>
      <c r="KEL207" s="2"/>
      <c r="KEM207" s="2"/>
      <c r="KEN207" s="2"/>
      <c r="KEO207" s="2"/>
      <c r="KEP207" s="2"/>
      <c r="KEQ207" s="2"/>
      <c r="KER207" s="2"/>
      <c r="KES207" s="2"/>
      <c r="KET207" s="2"/>
      <c r="KEU207" s="2"/>
      <c r="KEV207" s="2"/>
      <c r="KEW207" s="2"/>
      <c r="KEX207" s="2"/>
      <c r="KEY207" s="2"/>
      <c r="KEZ207" s="2"/>
      <c r="KFA207" s="2"/>
      <c r="KFB207" s="2"/>
      <c r="KFC207" s="2"/>
      <c r="KFD207" s="2"/>
      <c r="KFE207" s="2"/>
      <c r="KFF207" s="2"/>
      <c r="KFG207" s="2"/>
      <c r="KFH207" s="2"/>
      <c r="KFI207" s="2"/>
      <c r="KFJ207" s="2"/>
      <c r="KFK207" s="2"/>
      <c r="KFL207" s="2"/>
      <c r="KFM207" s="2"/>
      <c r="KFN207" s="2"/>
      <c r="KFO207" s="2"/>
      <c r="KFP207" s="2"/>
      <c r="KFQ207" s="2"/>
      <c r="KFR207" s="2"/>
      <c r="KFS207" s="2"/>
      <c r="KFT207" s="2"/>
      <c r="KFU207" s="2"/>
      <c r="KFV207" s="2"/>
      <c r="KFW207" s="2"/>
      <c r="KFX207" s="2"/>
      <c r="KFY207" s="2"/>
      <c r="KFZ207" s="2"/>
      <c r="KGA207" s="2"/>
      <c r="KGB207" s="2"/>
      <c r="KGC207" s="2"/>
      <c r="KGD207" s="2"/>
      <c r="KGE207" s="2"/>
      <c r="KGF207" s="2"/>
      <c r="KGG207" s="2"/>
      <c r="KGH207" s="2"/>
      <c r="KGI207" s="2"/>
      <c r="KGJ207" s="2"/>
      <c r="KGK207" s="2"/>
      <c r="KGL207" s="2"/>
      <c r="KGM207" s="2"/>
      <c r="KGN207" s="2"/>
      <c r="KGO207" s="2"/>
      <c r="KGP207" s="2"/>
      <c r="KGQ207" s="2"/>
      <c r="KGR207" s="2"/>
      <c r="KGS207" s="2"/>
      <c r="KGT207" s="2"/>
      <c r="KGU207" s="2"/>
      <c r="KGV207" s="2"/>
      <c r="KGW207" s="2"/>
      <c r="KGX207" s="2"/>
      <c r="KGY207" s="2"/>
      <c r="KGZ207" s="2"/>
      <c r="KHA207" s="2"/>
      <c r="KHB207" s="2"/>
      <c r="KHC207" s="2"/>
      <c r="KHD207" s="2"/>
      <c r="KHE207" s="2"/>
      <c r="KHF207" s="2"/>
      <c r="KHG207" s="2"/>
      <c r="KHH207" s="2"/>
      <c r="KHI207" s="2"/>
      <c r="KHJ207" s="2"/>
      <c r="KHK207" s="2"/>
      <c r="KHL207" s="2"/>
      <c r="KHM207" s="2"/>
      <c r="KHN207" s="2"/>
      <c r="KHO207" s="2"/>
      <c r="KHP207" s="2"/>
      <c r="KHQ207" s="2"/>
      <c r="KHR207" s="2"/>
      <c r="KHS207" s="2"/>
      <c r="KHT207" s="2"/>
      <c r="KHU207" s="2"/>
      <c r="KHV207" s="2"/>
      <c r="KHW207" s="2"/>
      <c r="KHX207" s="2"/>
      <c r="KHY207" s="2"/>
      <c r="KHZ207" s="2"/>
      <c r="KIA207" s="2"/>
      <c r="KIB207" s="2"/>
      <c r="KIC207" s="2"/>
      <c r="KID207" s="2"/>
      <c r="KIE207" s="2"/>
      <c r="KIF207" s="2"/>
      <c r="KIG207" s="2"/>
      <c r="KIH207" s="2"/>
      <c r="KII207" s="2"/>
      <c r="KIJ207" s="2"/>
      <c r="KIK207" s="2"/>
      <c r="KIL207" s="2"/>
      <c r="KIM207" s="2"/>
      <c r="KIN207" s="2"/>
      <c r="KIO207" s="2"/>
      <c r="KIP207" s="2"/>
      <c r="KIQ207" s="2"/>
      <c r="KIR207" s="2"/>
      <c r="KIS207" s="2"/>
      <c r="KIT207" s="2"/>
      <c r="KIU207" s="2"/>
      <c r="KIV207" s="2"/>
      <c r="KIW207" s="2"/>
      <c r="KIX207" s="2"/>
      <c r="KIY207" s="2"/>
      <c r="KIZ207" s="2"/>
      <c r="KJA207" s="2"/>
      <c r="KJB207" s="2"/>
      <c r="KJC207" s="2"/>
      <c r="KJD207" s="2"/>
      <c r="KJE207" s="2"/>
      <c r="KJF207" s="2"/>
      <c r="KJG207" s="2"/>
      <c r="KJH207" s="2"/>
      <c r="KJI207" s="2"/>
      <c r="KJJ207" s="2"/>
      <c r="KJK207" s="2"/>
      <c r="KJL207" s="2"/>
      <c r="KJM207" s="2"/>
      <c r="KJN207" s="2"/>
      <c r="KJO207" s="2"/>
      <c r="KJP207" s="2"/>
      <c r="KJQ207" s="2"/>
      <c r="KJR207" s="2"/>
      <c r="KJS207" s="2"/>
      <c r="KJT207" s="2"/>
      <c r="KJU207" s="2"/>
      <c r="KJV207" s="2"/>
      <c r="KJW207" s="2"/>
      <c r="KJX207" s="2"/>
      <c r="KJY207" s="2"/>
      <c r="KJZ207" s="2"/>
      <c r="KKA207" s="2"/>
      <c r="KKB207" s="2"/>
      <c r="KKC207" s="2"/>
      <c r="KKD207" s="2"/>
      <c r="KKE207" s="2"/>
      <c r="KKF207" s="2"/>
      <c r="KKG207" s="2"/>
      <c r="KKH207" s="2"/>
      <c r="KKI207" s="2"/>
      <c r="KKJ207" s="2"/>
      <c r="KKK207" s="2"/>
      <c r="KKL207" s="2"/>
      <c r="KKM207" s="2"/>
      <c r="KKN207" s="2"/>
      <c r="KKO207" s="2"/>
      <c r="KKP207" s="2"/>
      <c r="KKQ207" s="2"/>
      <c r="KKR207" s="2"/>
      <c r="KKS207" s="2"/>
      <c r="KKT207" s="2"/>
      <c r="KKU207" s="2"/>
      <c r="KKV207" s="2"/>
      <c r="KKW207" s="2"/>
      <c r="KKX207" s="2"/>
      <c r="KKY207" s="2"/>
      <c r="KKZ207" s="2"/>
      <c r="KLA207" s="2"/>
      <c r="KLB207" s="2"/>
      <c r="KLC207" s="2"/>
      <c r="KLD207" s="2"/>
      <c r="KLE207" s="2"/>
      <c r="KLF207" s="2"/>
      <c r="KLG207" s="2"/>
      <c r="KLH207" s="2"/>
      <c r="KLI207" s="2"/>
      <c r="KLJ207" s="2"/>
      <c r="KLK207" s="2"/>
      <c r="KLL207" s="2"/>
      <c r="KLM207" s="2"/>
      <c r="KLN207" s="2"/>
      <c r="KLO207" s="2"/>
      <c r="KLP207" s="2"/>
      <c r="KLQ207" s="2"/>
      <c r="KLR207" s="2"/>
      <c r="KLS207" s="2"/>
      <c r="KLT207" s="2"/>
      <c r="KLU207" s="2"/>
      <c r="KLV207" s="2"/>
      <c r="KLW207" s="2"/>
      <c r="KLX207" s="2"/>
      <c r="KLY207" s="2"/>
      <c r="KLZ207" s="2"/>
      <c r="KMA207" s="2"/>
      <c r="KMB207" s="2"/>
      <c r="KMC207" s="2"/>
      <c r="KMD207" s="2"/>
      <c r="KME207" s="2"/>
      <c r="KMF207" s="2"/>
      <c r="KMG207" s="2"/>
      <c r="KMH207" s="2"/>
      <c r="KMI207" s="2"/>
      <c r="KMJ207" s="2"/>
      <c r="KMK207" s="2"/>
      <c r="KML207" s="2"/>
      <c r="KMM207" s="2"/>
      <c r="KMN207" s="2"/>
      <c r="KMO207" s="2"/>
      <c r="KMP207" s="2"/>
      <c r="KMQ207" s="2"/>
      <c r="KMR207" s="2"/>
      <c r="KMS207" s="2"/>
      <c r="KMT207" s="2"/>
      <c r="KMU207" s="2"/>
      <c r="KMV207" s="2"/>
      <c r="KMW207" s="2"/>
      <c r="KMX207" s="2"/>
      <c r="KMY207" s="2"/>
      <c r="KMZ207" s="2"/>
      <c r="KNA207" s="2"/>
      <c r="KNB207" s="2"/>
      <c r="KNC207" s="2"/>
      <c r="KND207" s="2"/>
      <c r="KNE207" s="2"/>
      <c r="KNF207" s="2"/>
      <c r="KNG207" s="2"/>
      <c r="KNH207" s="2"/>
      <c r="KNI207" s="2"/>
      <c r="KNJ207" s="2"/>
      <c r="KNK207" s="2"/>
      <c r="KNL207" s="2"/>
      <c r="KNM207" s="2"/>
      <c r="KNN207" s="2"/>
      <c r="KNO207" s="2"/>
      <c r="KNP207" s="2"/>
      <c r="KNQ207" s="2"/>
      <c r="KNR207" s="2"/>
      <c r="KNS207" s="2"/>
      <c r="KNT207" s="2"/>
      <c r="KNU207" s="2"/>
      <c r="KNV207" s="2"/>
      <c r="KNW207" s="2"/>
      <c r="KNX207" s="2"/>
      <c r="KNY207" s="2"/>
      <c r="KNZ207" s="2"/>
      <c r="KOA207" s="2"/>
      <c r="KOB207" s="2"/>
      <c r="KOC207" s="2"/>
      <c r="KOD207" s="2"/>
      <c r="KOE207" s="2"/>
      <c r="KOF207" s="2"/>
      <c r="KOG207" s="2"/>
      <c r="KOH207" s="2"/>
      <c r="KOI207" s="2"/>
      <c r="KOJ207" s="2"/>
      <c r="KOK207" s="2"/>
      <c r="KOL207" s="2"/>
      <c r="KOM207" s="2"/>
      <c r="KON207" s="2"/>
      <c r="KOO207" s="2"/>
      <c r="KOP207" s="2"/>
      <c r="KOQ207" s="2"/>
      <c r="KOR207" s="2"/>
      <c r="KOS207" s="2"/>
      <c r="KOT207" s="2"/>
      <c r="KOU207" s="2"/>
      <c r="KOV207" s="2"/>
      <c r="KOW207" s="2"/>
      <c r="KOX207" s="2"/>
      <c r="KOY207" s="2"/>
      <c r="KOZ207" s="2"/>
      <c r="KPA207" s="2"/>
      <c r="KPB207" s="2"/>
      <c r="KPC207" s="2"/>
      <c r="KPD207" s="2"/>
      <c r="KPE207" s="2"/>
      <c r="KPF207" s="2"/>
      <c r="KPG207" s="2"/>
      <c r="KPH207" s="2"/>
      <c r="KPI207" s="2"/>
      <c r="KPJ207" s="2"/>
      <c r="KPK207" s="2"/>
      <c r="KPL207" s="2"/>
      <c r="KPM207" s="2"/>
      <c r="KPN207" s="2"/>
      <c r="KPO207" s="2"/>
      <c r="KPP207" s="2"/>
      <c r="KPQ207" s="2"/>
      <c r="KPR207" s="2"/>
      <c r="KPS207" s="2"/>
      <c r="KPT207" s="2"/>
      <c r="KPU207" s="2"/>
      <c r="KPV207" s="2"/>
      <c r="KPW207" s="2"/>
      <c r="KPX207" s="2"/>
      <c r="KPY207" s="2"/>
      <c r="KPZ207" s="2"/>
      <c r="KQA207" s="2"/>
      <c r="KQB207" s="2"/>
      <c r="KQC207" s="2"/>
      <c r="KQD207" s="2"/>
      <c r="KQE207" s="2"/>
      <c r="KQF207" s="2"/>
      <c r="KQG207" s="2"/>
      <c r="KQH207" s="2"/>
      <c r="KQI207" s="2"/>
      <c r="KQJ207" s="2"/>
      <c r="KQK207" s="2"/>
      <c r="KQL207" s="2"/>
      <c r="KQM207" s="2"/>
      <c r="KQN207" s="2"/>
      <c r="KQO207" s="2"/>
      <c r="KQP207" s="2"/>
      <c r="KQQ207" s="2"/>
      <c r="KQR207" s="2"/>
      <c r="KQS207" s="2"/>
      <c r="KQT207" s="2"/>
      <c r="KQU207" s="2"/>
      <c r="KQV207" s="2"/>
      <c r="KQW207" s="2"/>
      <c r="KQX207" s="2"/>
      <c r="KQY207" s="2"/>
      <c r="KQZ207" s="2"/>
      <c r="KRA207" s="2"/>
      <c r="KRB207" s="2"/>
      <c r="KRC207" s="2"/>
      <c r="KRD207" s="2"/>
      <c r="KRE207" s="2"/>
      <c r="KRF207" s="2"/>
      <c r="KRG207" s="2"/>
      <c r="KRH207" s="2"/>
      <c r="KRI207" s="2"/>
      <c r="KRJ207" s="2"/>
      <c r="KRK207" s="2"/>
      <c r="KRL207" s="2"/>
      <c r="KRM207" s="2"/>
      <c r="KRN207" s="2"/>
      <c r="KRO207" s="2"/>
      <c r="KRP207" s="2"/>
      <c r="KRQ207" s="2"/>
      <c r="KRR207" s="2"/>
      <c r="KRS207" s="2"/>
      <c r="KRT207" s="2"/>
      <c r="KRU207" s="2"/>
      <c r="KRV207" s="2"/>
      <c r="KRW207" s="2"/>
      <c r="KRX207" s="2"/>
      <c r="KRY207" s="2"/>
      <c r="KRZ207" s="2"/>
      <c r="KSA207" s="2"/>
      <c r="KSB207" s="2"/>
      <c r="KSC207" s="2"/>
      <c r="KSD207" s="2"/>
      <c r="KSE207" s="2"/>
      <c r="KSF207" s="2"/>
      <c r="KSG207" s="2"/>
      <c r="KSH207" s="2"/>
      <c r="KSI207" s="2"/>
      <c r="KSJ207" s="2"/>
      <c r="KSK207" s="2"/>
      <c r="KSL207" s="2"/>
      <c r="KSM207" s="2"/>
      <c r="KSN207" s="2"/>
      <c r="KSO207" s="2"/>
      <c r="KSP207" s="2"/>
      <c r="KSQ207" s="2"/>
      <c r="KSR207" s="2"/>
      <c r="KSS207" s="2"/>
      <c r="KST207" s="2"/>
      <c r="KSU207" s="2"/>
      <c r="KSV207" s="2"/>
      <c r="KSW207" s="2"/>
      <c r="KSX207" s="2"/>
      <c r="KSY207" s="2"/>
      <c r="KSZ207" s="2"/>
      <c r="KTA207" s="2"/>
      <c r="KTB207" s="2"/>
      <c r="KTC207" s="2"/>
      <c r="KTD207" s="2"/>
      <c r="KTE207" s="2"/>
      <c r="KTF207" s="2"/>
      <c r="KTG207" s="2"/>
      <c r="KTH207" s="2"/>
      <c r="KTI207" s="2"/>
      <c r="KTJ207" s="2"/>
      <c r="KTK207" s="2"/>
      <c r="KTL207" s="2"/>
      <c r="KTM207" s="2"/>
      <c r="KTN207" s="2"/>
      <c r="KTO207" s="2"/>
      <c r="KTP207" s="2"/>
      <c r="KTQ207" s="2"/>
      <c r="KTR207" s="2"/>
      <c r="KTS207" s="2"/>
      <c r="KTT207" s="2"/>
      <c r="KTU207" s="2"/>
      <c r="KTV207" s="2"/>
      <c r="KTW207" s="2"/>
      <c r="KTX207" s="2"/>
      <c r="KTY207" s="2"/>
      <c r="KTZ207" s="2"/>
      <c r="KUA207" s="2"/>
      <c r="KUB207" s="2"/>
      <c r="KUC207" s="2"/>
      <c r="KUD207" s="2"/>
      <c r="KUE207" s="2"/>
      <c r="KUF207" s="2"/>
      <c r="KUG207" s="2"/>
      <c r="KUH207" s="2"/>
      <c r="KUI207" s="2"/>
      <c r="KUJ207" s="2"/>
      <c r="KUK207" s="2"/>
      <c r="KUL207" s="2"/>
      <c r="KUM207" s="2"/>
      <c r="KUN207" s="2"/>
      <c r="KUO207" s="2"/>
      <c r="KUP207" s="2"/>
      <c r="KUQ207" s="2"/>
      <c r="KUR207" s="2"/>
      <c r="KUS207" s="2"/>
      <c r="KUT207" s="2"/>
      <c r="KUU207" s="2"/>
      <c r="KUV207" s="2"/>
      <c r="KUW207" s="2"/>
      <c r="KUX207" s="2"/>
      <c r="KUY207" s="2"/>
      <c r="KUZ207" s="2"/>
      <c r="KVA207" s="2"/>
      <c r="KVB207" s="2"/>
      <c r="KVC207" s="2"/>
      <c r="KVD207" s="2"/>
      <c r="KVE207" s="2"/>
      <c r="KVF207" s="2"/>
      <c r="KVG207" s="2"/>
      <c r="KVH207" s="2"/>
      <c r="KVI207" s="2"/>
      <c r="KVJ207" s="2"/>
      <c r="KVK207" s="2"/>
      <c r="KVL207" s="2"/>
      <c r="KVM207" s="2"/>
      <c r="KVN207" s="2"/>
      <c r="KVO207" s="2"/>
      <c r="KVP207" s="2"/>
      <c r="KVQ207" s="2"/>
      <c r="KVR207" s="2"/>
      <c r="KVS207" s="2"/>
      <c r="KVT207" s="2"/>
      <c r="KVU207" s="2"/>
      <c r="KVV207" s="2"/>
      <c r="KVW207" s="2"/>
      <c r="KVX207" s="2"/>
      <c r="KVY207" s="2"/>
      <c r="KVZ207" s="2"/>
      <c r="KWA207" s="2"/>
      <c r="KWB207" s="2"/>
      <c r="KWC207" s="2"/>
      <c r="KWD207" s="2"/>
      <c r="KWE207" s="2"/>
      <c r="KWF207" s="2"/>
      <c r="KWG207" s="2"/>
      <c r="KWH207" s="2"/>
      <c r="KWI207" s="2"/>
      <c r="KWJ207" s="2"/>
      <c r="KWK207" s="2"/>
      <c r="KWL207" s="2"/>
      <c r="KWM207" s="2"/>
      <c r="KWN207" s="2"/>
      <c r="KWO207" s="2"/>
      <c r="KWP207" s="2"/>
      <c r="KWQ207" s="2"/>
      <c r="KWR207" s="2"/>
      <c r="KWS207" s="2"/>
      <c r="KWT207" s="2"/>
      <c r="KWU207" s="2"/>
      <c r="KWV207" s="2"/>
      <c r="KWW207" s="2"/>
      <c r="KWX207" s="2"/>
      <c r="KWY207" s="2"/>
      <c r="KWZ207" s="2"/>
      <c r="KXA207" s="2"/>
      <c r="KXB207" s="2"/>
      <c r="KXC207" s="2"/>
      <c r="KXD207" s="2"/>
      <c r="KXE207" s="2"/>
      <c r="KXF207" s="2"/>
      <c r="KXG207" s="2"/>
      <c r="KXH207" s="2"/>
      <c r="KXI207" s="2"/>
      <c r="KXJ207" s="2"/>
      <c r="KXK207" s="2"/>
      <c r="KXL207" s="2"/>
      <c r="KXM207" s="2"/>
      <c r="KXN207" s="2"/>
      <c r="KXO207" s="2"/>
      <c r="KXP207" s="2"/>
      <c r="KXQ207" s="2"/>
      <c r="KXR207" s="2"/>
      <c r="KXS207" s="2"/>
      <c r="KXT207" s="2"/>
      <c r="KXU207" s="2"/>
      <c r="KXV207" s="2"/>
      <c r="KXW207" s="2"/>
      <c r="KXX207" s="2"/>
      <c r="KXY207" s="2"/>
      <c r="KXZ207" s="2"/>
      <c r="KYA207" s="2"/>
      <c r="KYB207" s="2"/>
      <c r="KYC207" s="2"/>
      <c r="KYD207" s="2"/>
      <c r="KYE207" s="2"/>
      <c r="KYF207" s="2"/>
      <c r="KYG207" s="2"/>
      <c r="KYH207" s="2"/>
      <c r="KYI207" s="2"/>
      <c r="KYJ207" s="2"/>
      <c r="KYK207" s="2"/>
      <c r="KYL207" s="2"/>
      <c r="KYM207" s="2"/>
      <c r="KYN207" s="2"/>
      <c r="KYO207" s="2"/>
      <c r="KYP207" s="2"/>
      <c r="KYQ207" s="2"/>
      <c r="KYR207" s="2"/>
      <c r="KYS207" s="2"/>
      <c r="KYT207" s="2"/>
      <c r="KYU207" s="2"/>
      <c r="KYV207" s="2"/>
      <c r="KYW207" s="2"/>
      <c r="KYX207" s="2"/>
      <c r="KYY207" s="2"/>
      <c r="KYZ207" s="2"/>
      <c r="KZA207" s="2"/>
      <c r="KZB207" s="2"/>
      <c r="KZC207" s="2"/>
      <c r="KZD207" s="2"/>
      <c r="KZE207" s="2"/>
      <c r="KZF207" s="2"/>
      <c r="KZG207" s="2"/>
      <c r="KZH207" s="2"/>
      <c r="KZI207" s="2"/>
      <c r="KZJ207" s="2"/>
      <c r="KZK207" s="2"/>
      <c r="KZL207" s="2"/>
      <c r="KZM207" s="2"/>
      <c r="KZN207" s="2"/>
      <c r="KZO207" s="2"/>
      <c r="KZP207" s="2"/>
      <c r="KZQ207" s="2"/>
      <c r="KZR207" s="2"/>
      <c r="KZS207" s="2"/>
      <c r="KZT207" s="2"/>
      <c r="KZU207" s="2"/>
      <c r="KZV207" s="2"/>
      <c r="KZW207" s="2"/>
      <c r="KZX207" s="2"/>
      <c r="KZY207" s="2"/>
      <c r="KZZ207" s="2"/>
      <c r="LAA207" s="2"/>
      <c r="LAB207" s="2"/>
      <c r="LAC207" s="2"/>
      <c r="LAD207" s="2"/>
      <c r="LAE207" s="2"/>
      <c r="LAF207" s="2"/>
      <c r="LAG207" s="2"/>
      <c r="LAH207" s="2"/>
      <c r="LAI207" s="2"/>
      <c r="LAJ207" s="2"/>
      <c r="LAK207" s="2"/>
      <c r="LAL207" s="2"/>
      <c r="LAM207" s="2"/>
      <c r="LAN207" s="2"/>
      <c r="LAO207" s="2"/>
      <c r="LAP207" s="2"/>
      <c r="LAQ207" s="2"/>
      <c r="LAR207" s="2"/>
      <c r="LAS207" s="2"/>
      <c r="LAT207" s="2"/>
      <c r="LAU207" s="2"/>
      <c r="LAV207" s="2"/>
      <c r="LAW207" s="2"/>
      <c r="LAX207" s="2"/>
      <c r="LAY207" s="2"/>
      <c r="LAZ207" s="2"/>
      <c r="LBA207" s="2"/>
      <c r="LBB207" s="2"/>
      <c r="LBC207" s="2"/>
      <c r="LBD207" s="2"/>
      <c r="LBE207" s="2"/>
      <c r="LBF207" s="2"/>
      <c r="LBG207" s="2"/>
      <c r="LBH207" s="2"/>
      <c r="LBI207" s="2"/>
      <c r="LBJ207" s="2"/>
      <c r="LBK207" s="2"/>
      <c r="LBL207" s="2"/>
      <c r="LBM207" s="2"/>
      <c r="LBN207" s="2"/>
      <c r="LBO207" s="2"/>
      <c r="LBP207" s="2"/>
      <c r="LBQ207" s="2"/>
      <c r="LBR207" s="2"/>
      <c r="LBS207" s="2"/>
      <c r="LBT207" s="2"/>
      <c r="LBU207" s="2"/>
      <c r="LBV207" s="2"/>
      <c r="LBW207" s="2"/>
      <c r="LBX207" s="2"/>
      <c r="LBY207" s="2"/>
      <c r="LBZ207" s="2"/>
      <c r="LCA207" s="2"/>
      <c r="LCB207" s="2"/>
      <c r="LCC207" s="2"/>
      <c r="LCD207" s="2"/>
      <c r="LCE207" s="2"/>
      <c r="LCF207" s="2"/>
      <c r="LCG207" s="2"/>
      <c r="LCH207" s="2"/>
      <c r="LCI207" s="2"/>
      <c r="LCJ207" s="2"/>
      <c r="LCK207" s="2"/>
      <c r="LCL207" s="2"/>
      <c r="LCM207" s="2"/>
      <c r="LCN207" s="2"/>
      <c r="LCO207" s="2"/>
      <c r="LCP207" s="2"/>
      <c r="LCQ207" s="2"/>
      <c r="LCR207" s="2"/>
      <c r="LCS207" s="2"/>
      <c r="LCT207" s="2"/>
      <c r="LCU207" s="2"/>
      <c r="LCV207" s="2"/>
      <c r="LCW207" s="2"/>
      <c r="LCX207" s="2"/>
      <c r="LCY207" s="2"/>
      <c r="LCZ207" s="2"/>
      <c r="LDA207" s="2"/>
      <c r="LDB207" s="2"/>
      <c r="LDC207" s="2"/>
      <c r="LDD207" s="2"/>
      <c r="LDE207" s="2"/>
      <c r="LDF207" s="2"/>
      <c r="LDG207" s="2"/>
      <c r="LDH207" s="2"/>
      <c r="LDI207" s="2"/>
      <c r="LDJ207" s="2"/>
      <c r="LDK207" s="2"/>
      <c r="LDL207" s="2"/>
      <c r="LDM207" s="2"/>
      <c r="LDN207" s="2"/>
      <c r="LDO207" s="2"/>
      <c r="LDP207" s="2"/>
      <c r="LDQ207" s="2"/>
      <c r="LDR207" s="2"/>
      <c r="LDS207" s="2"/>
      <c r="LDT207" s="2"/>
      <c r="LDU207" s="2"/>
      <c r="LDV207" s="2"/>
      <c r="LDW207" s="2"/>
      <c r="LDX207" s="2"/>
      <c r="LDY207" s="2"/>
      <c r="LDZ207" s="2"/>
      <c r="LEA207" s="2"/>
      <c r="LEB207" s="2"/>
      <c r="LEC207" s="2"/>
      <c r="LED207" s="2"/>
      <c r="LEE207" s="2"/>
      <c r="LEF207" s="2"/>
      <c r="LEG207" s="2"/>
      <c r="LEH207" s="2"/>
      <c r="LEI207" s="2"/>
      <c r="LEJ207" s="2"/>
      <c r="LEK207" s="2"/>
      <c r="LEL207" s="2"/>
      <c r="LEM207" s="2"/>
      <c r="LEN207" s="2"/>
      <c r="LEO207" s="2"/>
      <c r="LEP207" s="2"/>
      <c r="LEQ207" s="2"/>
      <c r="LER207" s="2"/>
      <c r="LES207" s="2"/>
      <c r="LET207" s="2"/>
      <c r="LEU207" s="2"/>
      <c r="LEV207" s="2"/>
      <c r="LEW207" s="2"/>
      <c r="LEX207" s="2"/>
      <c r="LEY207" s="2"/>
      <c r="LEZ207" s="2"/>
      <c r="LFA207" s="2"/>
      <c r="LFB207" s="2"/>
      <c r="LFC207" s="2"/>
      <c r="LFD207" s="2"/>
      <c r="LFE207" s="2"/>
      <c r="LFF207" s="2"/>
      <c r="LFG207" s="2"/>
      <c r="LFH207" s="2"/>
      <c r="LFI207" s="2"/>
      <c r="LFJ207" s="2"/>
      <c r="LFK207" s="2"/>
      <c r="LFL207" s="2"/>
      <c r="LFM207" s="2"/>
      <c r="LFN207" s="2"/>
      <c r="LFO207" s="2"/>
      <c r="LFP207" s="2"/>
      <c r="LFQ207" s="2"/>
      <c r="LFR207" s="2"/>
      <c r="LFS207" s="2"/>
      <c r="LFT207" s="2"/>
      <c r="LFU207" s="2"/>
      <c r="LFV207" s="2"/>
      <c r="LFW207" s="2"/>
      <c r="LFX207" s="2"/>
      <c r="LFY207" s="2"/>
      <c r="LFZ207" s="2"/>
      <c r="LGA207" s="2"/>
      <c r="LGB207" s="2"/>
      <c r="LGC207" s="2"/>
      <c r="LGD207" s="2"/>
      <c r="LGE207" s="2"/>
      <c r="LGF207" s="2"/>
      <c r="LGG207" s="2"/>
      <c r="LGH207" s="2"/>
      <c r="LGI207" s="2"/>
      <c r="LGJ207" s="2"/>
      <c r="LGK207" s="2"/>
      <c r="LGL207" s="2"/>
      <c r="LGM207" s="2"/>
      <c r="LGN207" s="2"/>
      <c r="LGO207" s="2"/>
      <c r="LGP207" s="2"/>
      <c r="LGQ207" s="2"/>
      <c r="LGR207" s="2"/>
      <c r="LGS207" s="2"/>
      <c r="LGT207" s="2"/>
      <c r="LGU207" s="2"/>
      <c r="LGV207" s="2"/>
      <c r="LGW207" s="2"/>
      <c r="LGX207" s="2"/>
      <c r="LGY207" s="2"/>
      <c r="LGZ207" s="2"/>
      <c r="LHA207" s="2"/>
      <c r="LHB207" s="2"/>
      <c r="LHC207" s="2"/>
      <c r="LHD207" s="2"/>
      <c r="LHE207" s="2"/>
      <c r="LHF207" s="2"/>
      <c r="LHG207" s="2"/>
      <c r="LHH207" s="2"/>
      <c r="LHI207" s="2"/>
      <c r="LHJ207" s="2"/>
      <c r="LHK207" s="2"/>
      <c r="LHL207" s="2"/>
      <c r="LHM207" s="2"/>
      <c r="LHN207" s="2"/>
      <c r="LHO207" s="2"/>
      <c r="LHP207" s="2"/>
      <c r="LHQ207" s="2"/>
      <c r="LHR207" s="2"/>
      <c r="LHS207" s="2"/>
      <c r="LHT207" s="2"/>
      <c r="LHU207" s="2"/>
      <c r="LHV207" s="2"/>
      <c r="LHW207" s="2"/>
      <c r="LHX207" s="2"/>
      <c r="LHY207" s="2"/>
      <c r="LHZ207" s="2"/>
      <c r="LIA207" s="2"/>
      <c r="LIB207" s="2"/>
      <c r="LIC207" s="2"/>
      <c r="LID207" s="2"/>
      <c r="LIE207" s="2"/>
      <c r="LIF207" s="2"/>
      <c r="LIG207" s="2"/>
      <c r="LIH207" s="2"/>
      <c r="LII207" s="2"/>
      <c r="LIJ207" s="2"/>
      <c r="LIK207" s="2"/>
      <c r="LIL207" s="2"/>
      <c r="LIM207" s="2"/>
      <c r="LIN207" s="2"/>
      <c r="LIO207" s="2"/>
      <c r="LIP207" s="2"/>
      <c r="LIQ207" s="2"/>
      <c r="LIR207" s="2"/>
      <c r="LIS207" s="2"/>
      <c r="LIT207" s="2"/>
      <c r="LIU207" s="2"/>
      <c r="LIV207" s="2"/>
      <c r="LIW207" s="2"/>
      <c r="LIX207" s="2"/>
      <c r="LIY207" s="2"/>
      <c r="LIZ207" s="2"/>
      <c r="LJA207" s="2"/>
      <c r="LJB207" s="2"/>
      <c r="LJC207" s="2"/>
      <c r="LJD207" s="2"/>
      <c r="LJE207" s="2"/>
      <c r="LJF207" s="2"/>
      <c r="LJG207" s="2"/>
      <c r="LJH207" s="2"/>
      <c r="LJI207" s="2"/>
      <c r="LJJ207" s="2"/>
      <c r="LJK207" s="2"/>
      <c r="LJL207" s="2"/>
      <c r="LJM207" s="2"/>
      <c r="LJN207" s="2"/>
      <c r="LJO207" s="2"/>
      <c r="LJP207" s="2"/>
      <c r="LJQ207" s="2"/>
      <c r="LJR207" s="2"/>
      <c r="LJS207" s="2"/>
      <c r="LJT207" s="2"/>
      <c r="LJU207" s="2"/>
      <c r="LJV207" s="2"/>
      <c r="LJW207" s="2"/>
      <c r="LJX207" s="2"/>
      <c r="LJY207" s="2"/>
      <c r="LJZ207" s="2"/>
      <c r="LKA207" s="2"/>
      <c r="LKB207" s="2"/>
      <c r="LKC207" s="2"/>
      <c r="LKD207" s="2"/>
      <c r="LKE207" s="2"/>
      <c r="LKF207" s="2"/>
      <c r="LKG207" s="2"/>
      <c r="LKH207" s="2"/>
      <c r="LKI207" s="2"/>
      <c r="LKJ207" s="2"/>
      <c r="LKK207" s="2"/>
      <c r="LKL207" s="2"/>
      <c r="LKM207" s="2"/>
      <c r="LKN207" s="2"/>
      <c r="LKO207" s="2"/>
      <c r="LKP207" s="2"/>
      <c r="LKQ207" s="2"/>
      <c r="LKR207" s="2"/>
      <c r="LKS207" s="2"/>
      <c r="LKT207" s="2"/>
      <c r="LKU207" s="2"/>
      <c r="LKV207" s="2"/>
      <c r="LKW207" s="2"/>
      <c r="LKX207" s="2"/>
      <c r="LKY207" s="2"/>
      <c r="LKZ207" s="2"/>
      <c r="LLA207" s="2"/>
      <c r="LLB207" s="2"/>
      <c r="LLC207" s="2"/>
      <c r="LLD207" s="2"/>
      <c r="LLE207" s="2"/>
      <c r="LLF207" s="2"/>
      <c r="LLG207" s="2"/>
      <c r="LLH207" s="2"/>
      <c r="LLI207" s="2"/>
      <c r="LLJ207" s="2"/>
      <c r="LLK207" s="2"/>
      <c r="LLL207" s="2"/>
      <c r="LLM207" s="2"/>
      <c r="LLN207" s="2"/>
      <c r="LLO207" s="2"/>
      <c r="LLP207" s="2"/>
      <c r="LLQ207" s="2"/>
      <c r="LLR207" s="2"/>
      <c r="LLS207" s="2"/>
      <c r="LLT207" s="2"/>
      <c r="LLU207" s="2"/>
      <c r="LLV207" s="2"/>
      <c r="LLW207" s="2"/>
      <c r="LLX207" s="2"/>
      <c r="LLY207" s="2"/>
      <c r="LLZ207" s="2"/>
      <c r="LMA207" s="2"/>
      <c r="LMB207" s="2"/>
      <c r="LMC207" s="2"/>
      <c r="LMD207" s="2"/>
      <c r="LME207" s="2"/>
      <c r="LMF207" s="2"/>
      <c r="LMG207" s="2"/>
      <c r="LMH207" s="2"/>
      <c r="LMI207" s="2"/>
      <c r="LMJ207" s="2"/>
      <c r="LMK207" s="2"/>
      <c r="LML207" s="2"/>
      <c r="LMM207" s="2"/>
      <c r="LMN207" s="2"/>
      <c r="LMO207" s="2"/>
      <c r="LMP207" s="2"/>
      <c r="LMQ207" s="2"/>
      <c r="LMR207" s="2"/>
      <c r="LMS207" s="2"/>
      <c r="LMT207" s="2"/>
      <c r="LMU207" s="2"/>
      <c r="LMV207" s="2"/>
      <c r="LMW207" s="2"/>
      <c r="LMX207" s="2"/>
      <c r="LMY207" s="2"/>
      <c r="LMZ207" s="2"/>
      <c r="LNA207" s="2"/>
      <c r="LNB207" s="2"/>
      <c r="LNC207" s="2"/>
      <c r="LND207" s="2"/>
      <c r="LNE207" s="2"/>
      <c r="LNF207" s="2"/>
      <c r="LNG207" s="2"/>
      <c r="LNH207" s="2"/>
      <c r="LNI207" s="2"/>
      <c r="LNJ207" s="2"/>
      <c r="LNK207" s="2"/>
      <c r="LNL207" s="2"/>
      <c r="LNM207" s="2"/>
      <c r="LNN207" s="2"/>
      <c r="LNO207" s="2"/>
      <c r="LNP207" s="2"/>
      <c r="LNQ207" s="2"/>
      <c r="LNR207" s="2"/>
      <c r="LNS207" s="2"/>
      <c r="LNT207" s="2"/>
      <c r="LNU207" s="2"/>
      <c r="LNV207" s="2"/>
      <c r="LNW207" s="2"/>
      <c r="LNX207" s="2"/>
      <c r="LNY207" s="2"/>
      <c r="LNZ207" s="2"/>
      <c r="LOA207" s="2"/>
      <c r="LOB207" s="2"/>
      <c r="LOC207" s="2"/>
      <c r="LOD207" s="2"/>
      <c r="LOE207" s="2"/>
      <c r="LOF207" s="2"/>
      <c r="LOG207" s="2"/>
      <c r="LOH207" s="2"/>
      <c r="LOI207" s="2"/>
      <c r="LOJ207" s="2"/>
      <c r="LOK207" s="2"/>
      <c r="LOL207" s="2"/>
      <c r="LOM207" s="2"/>
      <c r="LON207" s="2"/>
      <c r="LOO207" s="2"/>
      <c r="LOP207" s="2"/>
      <c r="LOQ207" s="2"/>
      <c r="LOR207" s="2"/>
      <c r="LOS207" s="2"/>
      <c r="LOT207" s="2"/>
      <c r="LOU207" s="2"/>
      <c r="LOV207" s="2"/>
      <c r="LOW207" s="2"/>
      <c r="LOX207" s="2"/>
      <c r="LOY207" s="2"/>
      <c r="LOZ207" s="2"/>
      <c r="LPA207" s="2"/>
      <c r="LPB207" s="2"/>
      <c r="LPC207" s="2"/>
      <c r="LPD207" s="2"/>
      <c r="LPE207" s="2"/>
      <c r="LPF207" s="2"/>
      <c r="LPG207" s="2"/>
      <c r="LPH207" s="2"/>
      <c r="LPI207" s="2"/>
      <c r="LPJ207" s="2"/>
      <c r="LPK207" s="2"/>
      <c r="LPL207" s="2"/>
      <c r="LPM207" s="2"/>
      <c r="LPN207" s="2"/>
      <c r="LPO207" s="2"/>
      <c r="LPP207" s="2"/>
      <c r="LPQ207" s="2"/>
      <c r="LPR207" s="2"/>
      <c r="LPS207" s="2"/>
      <c r="LPT207" s="2"/>
      <c r="LPU207" s="2"/>
      <c r="LPV207" s="2"/>
      <c r="LPW207" s="2"/>
      <c r="LPX207" s="2"/>
      <c r="LPY207" s="2"/>
      <c r="LPZ207" s="2"/>
      <c r="LQA207" s="2"/>
      <c r="LQB207" s="2"/>
      <c r="LQC207" s="2"/>
      <c r="LQD207" s="2"/>
      <c r="LQE207" s="2"/>
      <c r="LQF207" s="2"/>
      <c r="LQG207" s="2"/>
      <c r="LQH207" s="2"/>
      <c r="LQI207" s="2"/>
      <c r="LQJ207" s="2"/>
      <c r="LQK207" s="2"/>
      <c r="LQL207" s="2"/>
      <c r="LQM207" s="2"/>
      <c r="LQN207" s="2"/>
      <c r="LQO207" s="2"/>
      <c r="LQP207" s="2"/>
      <c r="LQQ207" s="2"/>
      <c r="LQR207" s="2"/>
      <c r="LQS207" s="2"/>
      <c r="LQT207" s="2"/>
      <c r="LQU207" s="2"/>
      <c r="LQV207" s="2"/>
      <c r="LQW207" s="2"/>
      <c r="LQX207" s="2"/>
      <c r="LQY207" s="2"/>
      <c r="LQZ207" s="2"/>
      <c r="LRA207" s="2"/>
      <c r="LRB207" s="2"/>
      <c r="LRC207" s="2"/>
      <c r="LRD207" s="2"/>
      <c r="LRE207" s="2"/>
      <c r="LRF207" s="2"/>
      <c r="LRG207" s="2"/>
      <c r="LRH207" s="2"/>
      <c r="LRI207" s="2"/>
      <c r="LRJ207" s="2"/>
      <c r="LRK207" s="2"/>
      <c r="LRL207" s="2"/>
      <c r="LRM207" s="2"/>
      <c r="LRN207" s="2"/>
      <c r="LRO207" s="2"/>
      <c r="LRP207" s="2"/>
      <c r="LRQ207" s="2"/>
      <c r="LRR207" s="2"/>
      <c r="LRS207" s="2"/>
      <c r="LRT207" s="2"/>
      <c r="LRU207" s="2"/>
      <c r="LRV207" s="2"/>
      <c r="LRW207" s="2"/>
      <c r="LRX207" s="2"/>
      <c r="LRY207" s="2"/>
      <c r="LRZ207" s="2"/>
      <c r="LSA207" s="2"/>
      <c r="LSB207" s="2"/>
      <c r="LSC207" s="2"/>
      <c r="LSD207" s="2"/>
      <c r="LSE207" s="2"/>
      <c r="LSF207" s="2"/>
      <c r="LSG207" s="2"/>
      <c r="LSH207" s="2"/>
      <c r="LSI207" s="2"/>
      <c r="LSJ207" s="2"/>
      <c r="LSK207" s="2"/>
      <c r="LSL207" s="2"/>
      <c r="LSM207" s="2"/>
      <c r="LSN207" s="2"/>
      <c r="LSO207" s="2"/>
      <c r="LSP207" s="2"/>
      <c r="LSQ207" s="2"/>
      <c r="LSR207" s="2"/>
      <c r="LSS207" s="2"/>
      <c r="LST207" s="2"/>
      <c r="LSU207" s="2"/>
      <c r="LSV207" s="2"/>
      <c r="LSW207" s="2"/>
      <c r="LSX207" s="2"/>
      <c r="LSY207" s="2"/>
      <c r="LSZ207" s="2"/>
      <c r="LTA207" s="2"/>
      <c r="LTB207" s="2"/>
      <c r="LTC207" s="2"/>
      <c r="LTD207" s="2"/>
      <c r="LTE207" s="2"/>
      <c r="LTF207" s="2"/>
      <c r="LTG207" s="2"/>
      <c r="LTH207" s="2"/>
      <c r="LTI207" s="2"/>
      <c r="LTJ207" s="2"/>
      <c r="LTK207" s="2"/>
      <c r="LTL207" s="2"/>
      <c r="LTM207" s="2"/>
      <c r="LTN207" s="2"/>
      <c r="LTO207" s="2"/>
      <c r="LTP207" s="2"/>
      <c r="LTQ207" s="2"/>
      <c r="LTR207" s="2"/>
      <c r="LTS207" s="2"/>
      <c r="LTT207" s="2"/>
      <c r="LTU207" s="2"/>
      <c r="LTV207" s="2"/>
      <c r="LTW207" s="2"/>
      <c r="LTX207" s="2"/>
      <c r="LTY207" s="2"/>
      <c r="LTZ207" s="2"/>
      <c r="LUA207" s="2"/>
      <c r="LUB207" s="2"/>
      <c r="LUC207" s="2"/>
      <c r="LUD207" s="2"/>
      <c r="LUE207" s="2"/>
      <c r="LUF207" s="2"/>
      <c r="LUG207" s="2"/>
      <c r="LUH207" s="2"/>
      <c r="LUI207" s="2"/>
      <c r="LUJ207" s="2"/>
      <c r="LUK207" s="2"/>
      <c r="LUL207" s="2"/>
      <c r="LUM207" s="2"/>
      <c r="LUN207" s="2"/>
      <c r="LUO207" s="2"/>
      <c r="LUP207" s="2"/>
      <c r="LUQ207" s="2"/>
      <c r="LUR207" s="2"/>
      <c r="LUS207" s="2"/>
      <c r="LUT207" s="2"/>
      <c r="LUU207" s="2"/>
      <c r="LUV207" s="2"/>
      <c r="LUW207" s="2"/>
      <c r="LUX207" s="2"/>
      <c r="LUY207" s="2"/>
      <c r="LUZ207" s="2"/>
      <c r="LVA207" s="2"/>
      <c r="LVB207" s="2"/>
      <c r="LVC207" s="2"/>
      <c r="LVD207" s="2"/>
      <c r="LVE207" s="2"/>
      <c r="LVF207" s="2"/>
      <c r="LVG207" s="2"/>
      <c r="LVH207" s="2"/>
      <c r="LVI207" s="2"/>
      <c r="LVJ207" s="2"/>
      <c r="LVK207" s="2"/>
      <c r="LVL207" s="2"/>
      <c r="LVM207" s="2"/>
      <c r="LVN207" s="2"/>
      <c r="LVO207" s="2"/>
      <c r="LVP207" s="2"/>
      <c r="LVQ207" s="2"/>
      <c r="LVR207" s="2"/>
      <c r="LVS207" s="2"/>
      <c r="LVT207" s="2"/>
      <c r="LVU207" s="2"/>
      <c r="LVV207" s="2"/>
      <c r="LVW207" s="2"/>
      <c r="LVX207" s="2"/>
      <c r="LVY207" s="2"/>
      <c r="LVZ207" s="2"/>
      <c r="LWA207" s="2"/>
      <c r="LWB207" s="2"/>
      <c r="LWC207" s="2"/>
      <c r="LWD207" s="2"/>
      <c r="LWE207" s="2"/>
      <c r="LWF207" s="2"/>
      <c r="LWG207" s="2"/>
      <c r="LWH207" s="2"/>
      <c r="LWI207" s="2"/>
      <c r="LWJ207" s="2"/>
      <c r="LWK207" s="2"/>
      <c r="LWL207" s="2"/>
      <c r="LWM207" s="2"/>
      <c r="LWN207" s="2"/>
      <c r="LWO207" s="2"/>
      <c r="LWP207" s="2"/>
      <c r="LWQ207" s="2"/>
      <c r="LWR207" s="2"/>
      <c r="LWS207" s="2"/>
      <c r="LWT207" s="2"/>
      <c r="LWU207" s="2"/>
      <c r="LWV207" s="2"/>
      <c r="LWW207" s="2"/>
      <c r="LWX207" s="2"/>
      <c r="LWY207" s="2"/>
      <c r="LWZ207" s="2"/>
      <c r="LXA207" s="2"/>
      <c r="LXB207" s="2"/>
      <c r="LXC207" s="2"/>
      <c r="LXD207" s="2"/>
      <c r="LXE207" s="2"/>
      <c r="LXF207" s="2"/>
      <c r="LXG207" s="2"/>
      <c r="LXH207" s="2"/>
      <c r="LXI207" s="2"/>
      <c r="LXJ207" s="2"/>
      <c r="LXK207" s="2"/>
      <c r="LXL207" s="2"/>
      <c r="LXM207" s="2"/>
      <c r="LXN207" s="2"/>
      <c r="LXO207" s="2"/>
      <c r="LXP207" s="2"/>
      <c r="LXQ207" s="2"/>
      <c r="LXR207" s="2"/>
      <c r="LXS207" s="2"/>
      <c r="LXT207" s="2"/>
      <c r="LXU207" s="2"/>
      <c r="LXV207" s="2"/>
      <c r="LXW207" s="2"/>
      <c r="LXX207" s="2"/>
      <c r="LXY207" s="2"/>
      <c r="LXZ207" s="2"/>
      <c r="LYA207" s="2"/>
      <c r="LYB207" s="2"/>
      <c r="LYC207" s="2"/>
      <c r="LYD207" s="2"/>
      <c r="LYE207" s="2"/>
      <c r="LYF207" s="2"/>
      <c r="LYG207" s="2"/>
      <c r="LYH207" s="2"/>
      <c r="LYI207" s="2"/>
      <c r="LYJ207" s="2"/>
      <c r="LYK207" s="2"/>
      <c r="LYL207" s="2"/>
      <c r="LYM207" s="2"/>
      <c r="LYN207" s="2"/>
      <c r="LYO207" s="2"/>
      <c r="LYP207" s="2"/>
      <c r="LYQ207" s="2"/>
      <c r="LYR207" s="2"/>
      <c r="LYS207" s="2"/>
      <c r="LYT207" s="2"/>
      <c r="LYU207" s="2"/>
      <c r="LYV207" s="2"/>
      <c r="LYW207" s="2"/>
      <c r="LYX207" s="2"/>
      <c r="LYY207" s="2"/>
      <c r="LYZ207" s="2"/>
      <c r="LZA207" s="2"/>
      <c r="LZB207" s="2"/>
      <c r="LZC207" s="2"/>
      <c r="LZD207" s="2"/>
      <c r="LZE207" s="2"/>
      <c r="LZF207" s="2"/>
      <c r="LZG207" s="2"/>
      <c r="LZH207" s="2"/>
      <c r="LZI207" s="2"/>
      <c r="LZJ207" s="2"/>
      <c r="LZK207" s="2"/>
      <c r="LZL207" s="2"/>
      <c r="LZM207" s="2"/>
      <c r="LZN207" s="2"/>
      <c r="LZO207" s="2"/>
      <c r="LZP207" s="2"/>
      <c r="LZQ207" s="2"/>
      <c r="LZR207" s="2"/>
      <c r="LZS207" s="2"/>
      <c r="LZT207" s="2"/>
      <c r="LZU207" s="2"/>
      <c r="LZV207" s="2"/>
      <c r="LZW207" s="2"/>
      <c r="LZX207" s="2"/>
      <c r="LZY207" s="2"/>
      <c r="LZZ207" s="2"/>
      <c r="MAA207" s="2"/>
      <c r="MAB207" s="2"/>
      <c r="MAC207" s="2"/>
      <c r="MAD207" s="2"/>
      <c r="MAE207" s="2"/>
      <c r="MAF207" s="2"/>
      <c r="MAG207" s="2"/>
      <c r="MAH207" s="2"/>
      <c r="MAI207" s="2"/>
      <c r="MAJ207" s="2"/>
      <c r="MAK207" s="2"/>
      <c r="MAL207" s="2"/>
      <c r="MAM207" s="2"/>
      <c r="MAN207" s="2"/>
      <c r="MAO207" s="2"/>
      <c r="MAP207" s="2"/>
      <c r="MAQ207" s="2"/>
      <c r="MAR207" s="2"/>
      <c r="MAS207" s="2"/>
      <c r="MAT207" s="2"/>
      <c r="MAU207" s="2"/>
      <c r="MAV207" s="2"/>
      <c r="MAW207" s="2"/>
      <c r="MAX207" s="2"/>
      <c r="MAY207" s="2"/>
      <c r="MAZ207" s="2"/>
      <c r="MBA207" s="2"/>
      <c r="MBB207" s="2"/>
      <c r="MBC207" s="2"/>
      <c r="MBD207" s="2"/>
      <c r="MBE207" s="2"/>
      <c r="MBF207" s="2"/>
      <c r="MBG207" s="2"/>
      <c r="MBH207" s="2"/>
      <c r="MBI207" s="2"/>
      <c r="MBJ207" s="2"/>
      <c r="MBK207" s="2"/>
      <c r="MBL207" s="2"/>
      <c r="MBM207" s="2"/>
      <c r="MBN207" s="2"/>
      <c r="MBO207" s="2"/>
      <c r="MBP207" s="2"/>
      <c r="MBQ207" s="2"/>
      <c r="MBR207" s="2"/>
      <c r="MBS207" s="2"/>
      <c r="MBT207" s="2"/>
      <c r="MBU207" s="2"/>
      <c r="MBV207" s="2"/>
      <c r="MBW207" s="2"/>
      <c r="MBX207" s="2"/>
      <c r="MBY207" s="2"/>
      <c r="MBZ207" s="2"/>
      <c r="MCA207" s="2"/>
      <c r="MCB207" s="2"/>
      <c r="MCC207" s="2"/>
      <c r="MCD207" s="2"/>
      <c r="MCE207" s="2"/>
      <c r="MCF207" s="2"/>
      <c r="MCG207" s="2"/>
      <c r="MCH207" s="2"/>
      <c r="MCI207" s="2"/>
      <c r="MCJ207" s="2"/>
      <c r="MCK207" s="2"/>
      <c r="MCL207" s="2"/>
      <c r="MCM207" s="2"/>
      <c r="MCN207" s="2"/>
      <c r="MCO207" s="2"/>
      <c r="MCP207" s="2"/>
      <c r="MCQ207" s="2"/>
      <c r="MCR207" s="2"/>
      <c r="MCS207" s="2"/>
      <c r="MCT207" s="2"/>
      <c r="MCU207" s="2"/>
      <c r="MCV207" s="2"/>
      <c r="MCW207" s="2"/>
      <c r="MCX207" s="2"/>
      <c r="MCY207" s="2"/>
      <c r="MCZ207" s="2"/>
      <c r="MDA207" s="2"/>
      <c r="MDB207" s="2"/>
      <c r="MDC207" s="2"/>
      <c r="MDD207" s="2"/>
      <c r="MDE207" s="2"/>
      <c r="MDF207" s="2"/>
      <c r="MDG207" s="2"/>
      <c r="MDH207" s="2"/>
      <c r="MDI207" s="2"/>
      <c r="MDJ207" s="2"/>
      <c r="MDK207" s="2"/>
      <c r="MDL207" s="2"/>
      <c r="MDM207" s="2"/>
      <c r="MDN207" s="2"/>
      <c r="MDO207" s="2"/>
      <c r="MDP207" s="2"/>
      <c r="MDQ207" s="2"/>
      <c r="MDR207" s="2"/>
      <c r="MDS207" s="2"/>
      <c r="MDT207" s="2"/>
      <c r="MDU207" s="2"/>
      <c r="MDV207" s="2"/>
      <c r="MDW207" s="2"/>
      <c r="MDX207" s="2"/>
      <c r="MDY207" s="2"/>
      <c r="MDZ207" s="2"/>
      <c r="MEA207" s="2"/>
      <c r="MEB207" s="2"/>
      <c r="MEC207" s="2"/>
      <c r="MED207" s="2"/>
      <c r="MEE207" s="2"/>
      <c r="MEF207" s="2"/>
      <c r="MEG207" s="2"/>
      <c r="MEH207" s="2"/>
      <c r="MEI207" s="2"/>
      <c r="MEJ207" s="2"/>
      <c r="MEK207" s="2"/>
      <c r="MEL207" s="2"/>
      <c r="MEM207" s="2"/>
      <c r="MEN207" s="2"/>
      <c r="MEO207" s="2"/>
      <c r="MEP207" s="2"/>
      <c r="MEQ207" s="2"/>
      <c r="MER207" s="2"/>
      <c r="MES207" s="2"/>
      <c r="MET207" s="2"/>
      <c r="MEU207" s="2"/>
      <c r="MEV207" s="2"/>
      <c r="MEW207" s="2"/>
      <c r="MEX207" s="2"/>
      <c r="MEY207" s="2"/>
      <c r="MEZ207" s="2"/>
      <c r="MFA207" s="2"/>
      <c r="MFB207" s="2"/>
      <c r="MFC207" s="2"/>
      <c r="MFD207" s="2"/>
      <c r="MFE207" s="2"/>
      <c r="MFF207" s="2"/>
      <c r="MFG207" s="2"/>
      <c r="MFH207" s="2"/>
      <c r="MFI207" s="2"/>
      <c r="MFJ207" s="2"/>
      <c r="MFK207" s="2"/>
      <c r="MFL207" s="2"/>
      <c r="MFM207" s="2"/>
      <c r="MFN207" s="2"/>
      <c r="MFO207" s="2"/>
      <c r="MFP207" s="2"/>
      <c r="MFQ207" s="2"/>
      <c r="MFR207" s="2"/>
      <c r="MFS207" s="2"/>
      <c r="MFT207" s="2"/>
      <c r="MFU207" s="2"/>
      <c r="MFV207" s="2"/>
      <c r="MFW207" s="2"/>
      <c r="MFX207" s="2"/>
      <c r="MFY207" s="2"/>
      <c r="MFZ207" s="2"/>
      <c r="MGA207" s="2"/>
      <c r="MGB207" s="2"/>
      <c r="MGC207" s="2"/>
      <c r="MGD207" s="2"/>
      <c r="MGE207" s="2"/>
      <c r="MGF207" s="2"/>
      <c r="MGG207" s="2"/>
      <c r="MGH207" s="2"/>
      <c r="MGI207" s="2"/>
      <c r="MGJ207" s="2"/>
      <c r="MGK207" s="2"/>
      <c r="MGL207" s="2"/>
      <c r="MGM207" s="2"/>
      <c r="MGN207" s="2"/>
      <c r="MGO207" s="2"/>
      <c r="MGP207" s="2"/>
      <c r="MGQ207" s="2"/>
      <c r="MGR207" s="2"/>
      <c r="MGS207" s="2"/>
      <c r="MGT207" s="2"/>
      <c r="MGU207" s="2"/>
      <c r="MGV207" s="2"/>
      <c r="MGW207" s="2"/>
      <c r="MGX207" s="2"/>
      <c r="MGY207" s="2"/>
      <c r="MGZ207" s="2"/>
      <c r="MHA207" s="2"/>
      <c r="MHB207" s="2"/>
      <c r="MHC207" s="2"/>
      <c r="MHD207" s="2"/>
      <c r="MHE207" s="2"/>
      <c r="MHF207" s="2"/>
      <c r="MHG207" s="2"/>
      <c r="MHH207" s="2"/>
      <c r="MHI207" s="2"/>
      <c r="MHJ207" s="2"/>
      <c r="MHK207" s="2"/>
      <c r="MHL207" s="2"/>
      <c r="MHM207" s="2"/>
      <c r="MHN207" s="2"/>
      <c r="MHO207" s="2"/>
      <c r="MHP207" s="2"/>
      <c r="MHQ207" s="2"/>
      <c r="MHR207" s="2"/>
      <c r="MHS207" s="2"/>
      <c r="MHT207" s="2"/>
      <c r="MHU207" s="2"/>
      <c r="MHV207" s="2"/>
      <c r="MHW207" s="2"/>
      <c r="MHX207" s="2"/>
      <c r="MHY207" s="2"/>
      <c r="MHZ207" s="2"/>
      <c r="MIA207" s="2"/>
      <c r="MIB207" s="2"/>
      <c r="MIC207" s="2"/>
      <c r="MID207" s="2"/>
      <c r="MIE207" s="2"/>
      <c r="MIF207" s="2"/>
      <c r="MIG207" s="2"/>
      <c r="MIH207" s="2"/>
      <c r="MII207" s="2"/>
      <c r="MIJ207" s="2"/>
      <c r="MIK207" s="2"/>
      <c r="MIL207" s="2"/>
      <c r="MIM207" s="2"/>
      <c r="MIN207" s="2"/>
      <c r="MIO207" s="2"/>
      <c r="MIP207" s="2"/>
      <c r="MIQ207" s="2"/>
      <c r="MIR207" s="2"/>
      <c r="MIS207" s="2"/>
      <c r="MIT207" s="2"/>
      <c r="MIU207" s="2"/>
      <c r="MIV207" s="2"/>
      <c r="MIW207" s="2"/>
      <c r="MIX207" s="2"/>
      <c r="MIY207" s="2"/>
      <c r="MIZ207" s="2"/>
      <c r="MJA207" s="2"/>
      <c r="MJB207" s="2"/>
      <c r="MJC207" s="2"/>
      <c r="MJD207" s="2"/>
      <c r="MJE207" s="2"/>
      <c r="MJF207" s="2"/>
      <c r="MJG207" s="2"/>
      <c r="MJH207" s="2"/>
      <c r="MJI207" s="2"/>
      <c r="MJJ207" s="2"/>
      <c r="MJK207" s="2"/>
      <c r="MJL207" s="2"/>
      <c r="MJM207" s="2"/>
      <c r="MJN207" s="2"/>
      <c r="MJO207" s="2"/>
      <c r="MJP207" s="2"/>
      <c r="MJQ207" s="2"/>
      <c r="MJR207" s="2"/>
      <c r="MJS207" s="2"/>
      <c r="MJT207" s="2"/>
      <c r="MJU207" s="2"/>
      <c r="MJV207" s="2"/>
      <c r="MJW207" s="2"/>
      <c r="MJX207" s="2"/>
      <c r="MJY207" s="2"/>
      <c r="MJZ207" s="2"/>
      <c r="MKA207" s="2"/>
      <c r="MKB207" s="2"/>
      <c r="MKC207" s="2"/>
      <c r="MKD207" s="2"/>
      <c r="MKE207" s="2"/>
      <c r="MKF207" s="2"/>
      <c r="MKG207" s="2"/>
      <c r="MKH207" s="2"/>
      <c r="MKI207" s="2"/>
      <c r="MKJ207" s="2"/>
      <c r="MKK207" s="2"/>
      <c r="MKL207" s="2"/>
      <c r="MKM207" s="2"/>
      <c r="MKN207" s="2"/>
      <c r="MKO207" s="2"/>
      <c r="MKP207" s="2"/>
      <c r="MKQ207" s="2"/>
      <c r="MKR207" s="2"/>
      <c r="MKS207" s="2"/>
      <c r="MKT207" s="2"/>
      <c r="MKU207" s="2"/>
      <c r="MKV207" s="2"/>
      <c r="MKW207" s="2"/>
      <c r="MKX207" s="2"/>
      <c r="MKY207" s="2"/>
      <c r="MKZ207" s="2"/>
      <c r="MLA207" s="2"/>
      <c r="MLB207" s="2"/>
      <c r="MLC207" s="2"/>
      <c r="MLD207" s="2"/>
      <c r="MLE207" s="2"/>
      <c r="MLF207" s="2"/>
      <c r="MLG207" s="2"/>
      <c r="MLH207" s="2"/>
      <c r="MLI207" s="2"/>
      <c r="MLJ207" s="2"/>
      <c r="MLK207" s="2"/>
      <c r="MLL207" s="2"/>
      <c r="MLM207" s="2"/>
      <c r="MLN207" s="2"/>
      <c r="MLO207" s="2"/>
      <c r="MLP207" s="2"/>
      <c r="MLQ207" s="2"/>
      <c r="MLR207" s="2"/>
      <c r="MLS207" s="2"/>
      <c r="MLT207" s="2"/>
      <c r="MLU207" s="2"/>
      <c r="MLV207" s="2"/>
      <c r="MLW207" s="2"/>
      <c r="MLX207" s="2"/>
      <c r="MLY207" s="2"/>
      <c r="MLZ207" s="2"/>
      <c r="MMA207" s="2"/>
      <c r="MMB207" s="2"/>
      <c r="MMC207" s="2"/>
      <c r="MMD207" s="2"/>
      <c r="MME207" s="2"/>
      <c r="MMF207" s="2"/>
      <c r="MMG207" s="2"/>
      <c r="MMH207" s="2"/>
      <c r="MMI207" s="2"/>
      <c r="MMJ207" s="2"/>
      <c r="MMK207" s="2"/>
      <c r="MML207" s="2"/>
      <c r="MMM207" s="2"/>
      <c r="MMN207" s="2"/>
      <c r="MMO207" s="2"/>
      <c r="MMP207" s="2"/>
      <c r="MMQ207" s="2"/>
      <c r="MMR207" s="2"/>
      <c r="MMS207" s="2"/>
      <c r="MMT207" s="2"/>
      <c r="MMU207" s="2"/>
      <c r="MMV207" s="2"/>
      <c r="MMW207" s="2"/>
      <c r="MMX207" s="2"/>
      <c r="MMY207" s="2"/>
      <c r="MMZ207" s="2"/>
      <c r="MNA207" s="2"/>
      <c r="MNB207" s="2"/>
      <c r="MNC207" s="2"/>
      <c r="MND207" s="2"/>
      <c r="MNE207" s="2"/>
      <c r="MNF207" s="2"/>
      <c r="MNG207" s="2"/>
      <c r="MNH207" s="2"/>
      <c r="MNI207" s="2"/>
      <c r="MNJ207" s="2"/>
      <c r="MNK207" s="2"/>
      <c r="MNL207" s="2"/>
      <c r="MNM207" s="2"/>
      <c r="MNN207" s="2"/>
      <c r="MNO207" s="2"/>
      <c r="MNP207" s="2"/>
      <c r="MNQ207" s="2"/>
      <c r="MNR207" s="2"/>
      <c r="MNS207" s="2"/>
      <c r="MNT207" s="2"/>
      <c r="MNU207" s="2"/>
      <c r="MNV207" s="2"/>
      <c r="MNW207" s="2"/>
      <c r="MNX207" s="2"/>
      <c r="MNY207" s="2"/>
      <c r="MNZ207" s="2"/>
      <c r="MOA207" s="2"/>
      <c r="MOB207" s="2"/>
      <c r="MOC207" s="2"/>
      <c r="MOD207" s="2"/>
      <c r="MOE207" s="2"/>
      <c r="MOF207" s="2"/>
      <c r="MOG207" s="2"/>
      <c r="MOH207" s="2"/>
      <c r="MOI207" s="2"/>
      <c r="MOJ207" s="2"/>
      <c r="MOK207" s="2"/>
      <c r="MOL207" s="2"/>
      <c r="MOM207" s="2"/>
      <c r="MON207" s="2"/>
      <c r="MOO207" s="2"/>
      <c r="MOP207" s="2"/>
      <c r="MOQ207" s="2"/>
      <c r="MOR207" s="2"/>
      <c r="MOS207" s="2"/>
      <c r="MOT207" s="2"/>
      <c r="MOU207" s="2"/>
      <c r="MOV207" s="2"/>
      <c r="MOW207" s="2"/>
      <c r="MOX207" s="2"/>
      <c r="MOY207" s="2"/>
      <c r="MOZ207" s="2"/>
      <c r="MPA207" s="2"/>
      <c r="MPB207" s="2"/>
      <c r="MPC207" s="2"/>
      <c r="MPD207" s="2"/>
      <c r="MPE207" s="2"/>
      <c r="MPF207" s="2"/>
      <c r="MPG207" s="2"/>
      <c r="MPH207" s="2"/>
      <c r="MPI207" s="2"/>
      <c r="MPJ207" s="2"/>
      <c r="MPK207" s="2"/>
      <c r="MPL207" s="2"/>
      <c r="MPM207" s="2"/>
      <c r="MPN207" s="2"/>
      <c r="MPO207" s="2"/>
      <c r="MPP207" s="2"/>
      <c r="MPQ207" s="2"/>
      <c r="MPR207" s="2"/>
      <c r="MPS207" s="2"/>
      <c r="MPT207" s="2"/>
      <c r="MPU207" s="2"/>
      <c r="MPV207" s="2"/>
      <c r="MPW207" s="2"/>
      <c r="MPX207" s="2"/>
      <c r="MPY207" s="2"/>
      <c r="MPZ207" s="2"/>
      <c r="MQA207" s="2"/>
      <c r="MQB207" s="2"/>
      <c r="MQC207" s="2"/>
      <c r="MQD207" s="2"/>
      <c r="MQE207" s="2"/>
      <c r="MQF207" s="2"/>
      <c r="MQG207" s="2"/>
      <c r="MQH207" s="2"/>
      <c r="MQI207" s="2"/>
      <c r="MQJ207" s="2"/>
      <c r="MQK207" s="2"/>
      <c r="MQL207" s="2"/>
      <c r="MQM207" s="2"/>
      <c r="MQN207" s="2"/>
      <c r="MQO207" s="2"/>
      <c r="MQP207" s="2"/>
      <c r="MQQ207" s="2"/>
      <c r="MQR207" s="2"/>
      <c r="MQS207" s="2"/>
      <c r="MQT207" s="2"/>
      <c r="MQU207" s="2"/>
      <c r="MQV207" s="2"/>
      <c r="MQW207" s="2"/>
      <c r="MQX207" s="2"/>
      <c r="MQY207" s="2"/>
      <c r="MQZ207" s="2"/>
      <c r="MRA207" s="2"/>
      <c r="MRB207" s="2"/>
      <c r="MRC207" s="2"/>
      <c r="MRD207" s="2"/>
      <c r="MRE207" s="2"/>
      <c r="MRF207" s="2"/>
      <c r="MRG207" s="2"/>
      <c r="MRH207" s="2"/>
      <c r="MRI207" s="2"/>
      <c r="MRJ207" s="2"/>
      <c r="MRK207" s="2"/>
      <c r="MRL207" s="2"/>
      <c r="MRM207" s="2"/>
      <c r="MRN207" s="2"/>
      <c r="MRO207" s="2"/>
      <c r="MRP207" s="2"/>
      <c r="MRQ207" s="2"/>
      <c r="MRR207" s="2"/>
      <c r="MRS207" s="2"/>
      <c r="MRT207" s="2"/>
      <c r="MRU207" s="2"/>
      <c r="MRV207" s="2"/>
      <c r="MRW207" s="2"/>
      <c r="MRX207" s="2"/>
      <c r="MRY207" s="2"/>
      <c r="MRZ207" s="2"/>
      <c r="MSA207" s="2"/>
      <c r="MSB207" s="2"/>
      <c r="MSC207" s="2"/>
      <c r="MSD207" s="2"/>
      <c r="MSE207" s="2"/>
      <c r="MSF207" s="2"/>
      <c r="MSG207" s="2"/>
      <c r="MSH207" s="2"/>
      <c r="MSI207" s="2"/>
      <c r="MSJ207" s="2"/>
      <c r="MSK207" s="2"/>
      <c r="MSL207" s="2"/>
      <c r="MSM207" s="2"/>
      <c r="MSN207" s="2"/>
      <c r="MSO207" s="2"/>
      <c r="MSP207" s="2"/>
      <c r="MSQ207" s="2"/>
      <c r="MSR207" s="2"/>
      <c r="MSS207" s="2"/>
      <c r="MST207" s="2"/>
      <c r="MSU207" s="2"/>
      <c r="MSV207" s="2"/>
      <c r="MSW207" s="2"/>
      <c r="MSX207" s="2"/>
      <c r="MSY207" s="2"/>
      <c r="MSZ207" s="2"/>
      <c r="MTA207" s="2"/>
      <c r="MTB207" s="2"/>
      <c r="MTC207" s="2"/>
      <c r="MTD207" s="2"/>
      <c r="MTE207" s="2"/>
      <c r="MTF207" s="2"/>
      <c r="MTG207" s="2"/>
      <c r="MTH207" s="2"/>
      <c r="MTI207" s="2"/>
      <c r="MTJ207" s="2"/>
      <c r="MTK207" s="2"/>
      <c r="MTL207" s="2"/>
      <c r="MTM207" s="2"/>
      <c r="MTN207" s="2"/>
      <c r="MTO207" s="2"/>
      <c r="MTP207" s="2"/>
      <c r="MTQ207" s="2"/>
      <c r="MTR207" s="2"/>
      <c r="MTS207" s="2"/>
      <c r="MTT207" s="2"/>
      <c r="MTU207" s="2"/>
      <c r="MTV207" s="2"/>
      <c r="MTW207" s="2"/>
      <c r="MTX207" s="2"/>
      <c r="MTY207" s="2"/>
      <c r="MTZ207" s="2"/>
      <c r="MUA207" s="2"/>
      <c r="MUB207" s="2"/>
      <c r="MUC207" s="2"/>
      <c r="MUD207" s="2"/>
      <c r="MUE207" s="2"/>
      <c r="MUF207" s="2"/>
      <c r="MUG207" s="2"/>
      <c r="MUH207" s="2"/>
      <c r="MUI207" s="2"/>
      <c r="MUJ207" s="2"/>
      <c r="MUK207" s="2"/>
      <c r="MUL207" s="2"/>
      <c r="MUM207" s="2"/>
      <c r="MUN207" s="2"/>
      <c r="MUO207" s="2"/>
      <c r="MUP207" s="2"/>
      <c r="MUQ207" s="2"/>
      <c r="MUR207" s="2"/>
      <c r="MUS207" s="2"/>
      <c r="MUT207" s="2"/>
      <c r="MUU207" s="2"/>
      <c r="MUV207" s="2"/>
      <c r="MUW207" s="2"/>
      <c r="MUX207" s="2"/>
      <c r="MUY207" s="2"/>
      <c r="MUZ207" s="2"/>
      <c r="MVA207" s="2"/>
      <c r="MVB207" s="2"/>
      <c r="MVC207" s="2"/>
      <c r="MVD207" s="2"/>
      <c r="MVE207" s="2"/>
      <c r="MVF207" s="2"/>
      <c r="MVG207" s="2"/>
      <c r="MVH207" s="2"/>
      <c r="MVI207" s="2"/>
      <c r="MVJ207" s="2"/>
      <c r="MVK207" s="2"/>
      <c r="MVL207" s="2"/>
      <c r="MVM207" s="2"/>
      <c r="MVN207" s="2"/>
      <c r="MVO207" s="2"/>
      <c r="MVP207" s="2"/>
      <c r="MVQ207" s="2"/>
      <c r="MVR207" s="2"/>
      <c r="MVS207" s="2"/>
      <c r="MVT207" s="2"/>
      <c r="MVU207" s="2"/>
      <c r="MVV207" s="2"/>
      <c r="MVW207" s="2"/>
      <c r="MVX207" s="2"/>
      <c r="MVY207" s="2"/>
      <c r="MVZ207" s="2"/>
      <c r="MWA207" s="2"/>
      <c r="MWB207" s="2"/>
      <c r="MWC207" s="2"/>
      <c r="MWD207" s="2"/>
      <c r="MWE207" s="2"/>
      <c r="MWF207" s="2"/>
      <c r="MWG207" s="2"/>
      <c r="MWH207" s="2"/>
      <c r="MWI207" s="2"/>
      <c r="MWJ207" s="2"/>
      <c r="MWK207" s="2"/>
      <c r="MWL207" s="2"/>
      <c r="MWM207" s="2"/>
      <c r="MWN207" s="2"/>
      <c r="MWO207" s="2"/>
      <c r="MWP207" s="2"/>
      <c r="MWQ207" s="2"/>
      <c r="MWR207" s="2"/>
      <c r="MWS207" s="2"/>
      <c r="MWT207" s="2"/>
      <c r="MWU207" s="2"/>
      <c r="MWV207" s="2"/>
      <c r="MWW207" s="2"/>
      <c r="MWX207" s="2"/>
      <c r="MWY207" s="2"/>
      <c r="MWZ207" s="2"/>
      <c r="MXA207" s="2"/>
      <c r="MXB207" s="2"/>
      <c r="MXC207" s="2"/>
      <c r="MXD207" s="2"/>
      <c r="MXE207" s="2"/>
      <c r="MXF207" s="2"/>
      <c r="MXG207" s="2"/>
      <c r="MXH207" s="2"/>
      <c r="MXI207" s="2"/>
      <c r="MXJ207" s="2"/>
      <c r="MXK207" s="2"/>
      <c r="MXL207" s="2"/>
      <c r="MXM207" s="2"/>
      <c r="MXN207" s="2"/>
      <c r="MXO207" s="2"/>
      <c r="MXP207" s="2"/>
      <c r="MXQ207" s="2"/>
      <c r="MXR207" s="2"/>
      <c r="MXS207" s="2"/>
      <c r="MXT207" s="2"/>
      <c r="MXU207" s="2"/>
      <c r="MXV207" s="2"/>
      <c r="MXW207" s="2"/>
      <c r="MXX207" s="2"/>
      <c r="MXY207" s="2"/>
      <c r="MXZ207" s="2"/>
      <c r="MYA207" s="2"/>
      <c r="MYB207" s="2"/>
      <c r="MYC207" s="2"/>
      <c r="MYD207" s="2"/>
      <c r="MYE207" s="2"/>
      <c r="MYF207" s="2"/>
      <c r="MYG207" s="2"/>
      <c r="MYH207" s="2"/>
      <c r="MYI207" s="2"/>
      <c r="MYJ207" s="2"/>
      <c r="MYK207" s="2"/>
      <c r="MYL207" s="2"/>
      <c r="MYM207" s="2"/>
      <c r="MYN207" s="2"/>
      <c r="MYO207" s="2"/>
      <c r="MYP207" s="2"/>
      <c r="MYQ207" s="2"/>
      <c r="MYR207" s="2"/>
      <c r="MYS207" s="2"/>
      <c r="MYT207" s="2"/>
      <c r="MYU207" s="2"/>
      <c r="MYV207" s="2"/>
      <c r="MYW207" s="2"/>
      <c r="MYX207" s="2"/>
      <c r="MYY207" s="2"/>
      <c r="MYZ207" s="2"/>
      <c r="MZA207" s="2"/>
      <c r="MZB207" s="2"/>
      <c r="MZC207" s="2"/>
      <c r="MZD207" s="2"/>
      <c r="MZE207" s="2"/>
      <c r="MZF207" s="2"/>
      <c r="MZG207" s="2"/>
      <c r="MZH207" s="2"/>
      <c r="MZI207" s="2"/>
      <c r="MZJ207" s="2"/>
      <c r="MZK207" s="2"/>
      <c r="MZL207" s="2"/>
      <c r="MZM207" s="2"/>
      <c r="MZN207" s="2"/>
      <c r="MZO207" s="2"/>
      <c r="MZP207" s="2"/>
      <c r="MZQ207" s="2"/>
      <c r="MZR207" s="2"/>
      <c r="MZS207" s="2"/>
      <c r="MZT207" s="2"/>
      <c r="MZU207" s="2"/>
      <c r="MZV207" s="2"/>
      <c r="MZW207" s="2"/>
      <c r="MZX207" s="2"/>
      <c r="MZY207" s="2"/>
      <c r="MZZ207" s="2"/>
      <c r="NAA207" s="2"/>
      <c r="NAB207" s="2"/>
      <c r="NAC207" s="2"/>
      <c r="NAD207" s="2"/>
      <c r="NAE207" s="2"/>
      <c r="NAF207" s="2"/>
      <c r="NAG207" s="2"/>
      <c r="NAH207" s="2"/>
      <c r="NAI207" s="2"/>
      <c r="NAJ207" s="2"/>
      <c r="NAK207" s="2"/>
      <c r="NAL207" s="2"/>
      <c r="NAM207" s="2"/>
      <c r="NAN207" s="2"/>
      <c r="NAO207" s="2"/>
      <c r="NAP207" s="2"/>
      <c r="NAQ207" s="2"/>
      <c r="NAR207" s="2"/>
      <c r="NAS207" s="2"/>
      <c r="NAT207" s="2"/>
      <c r="NAU207" s="2"/>
      <c r="NAV207" s="2"/>
      <c r="NAW207" s="2"/>
      <c r="NAX207" s="2"/>
      <c r="NAY207" s="2"/>
      <c r="NAZ207" s="2"/>
      <c r="NBA207" s="2"/>
      <c r="NBB207" s="2"/>
      <c r="NBC207" s="2"/>
      <c r="NBD207" s="2"/>
      <c r="NBE207" s="2"/>
      <c r="NBF207" s="2"/>
      <c r="NBG207" s="2"/>
      <c r="NBH207" s="2"/>
      <c r="NBI207" s="2"/>
      <c r="NBJ207" s="2"/>
      <c r="NBK207" s="2"/>
      <c r="NBL207" s="2"/>
      <c r="NBM207" s="2"/>
      <c r="NBN207" s="2"/>
      <c r="NBO207" s="2"/>
      <c r="NBP207" s="2"/>
      <c r="NBQ207" s="2"/>
      <c r="NBR207" s="2"/>
      <c r="NBS207" s="2"/>
      <c r="NBT207" s="2"/>
      <c r="NBU207" s="2"/>
      <c r="NBV207" s="2"/>
      <c r="NBW207" s="2"/>
      <c r="NBX207" s="2"/>
      <c r="NBY207" s="2"/>
      <c r="NBZ207" s="2"/>
      <c r="NCA207" s="2"/>
      <c r="NCB207" s="2"/>
      <c r="NCC207" s="2"/>
      <c r="NCD207" s="2"/>
      <c r="NCE207" s="2"/>
      <c r="NCF207" s="2"/>
      <c r="NCG207" s="2"/>
      <c r="NCH207" s="2"/>
      <c r="NCI207" s="2"/>
      <c r="NCJ207" s="2"/>
      <c r="NCK207" s="2"/>
      <c r="NCL207" s="2"/>
      <c r="NCM207" s="2"/>
      <c r="NCN207" s="2"/>
      <c r="NCO207" s="2"/>
      <c r="NCP207" s="2"/>
      <c r="NCQ207" s="2"/>
      <c r="NCR207" s="2"/>
      <c r="NCS207" s="2"/>
      <c r="NCT207" s="2"/>
      <c r="NCU207" s="2"/>
      <c r="NCV207" s="2"/>
      <c r="NCW207" s="2"/>
      <c r="NCX207" s="2"/>
      <c r="NCY207" s="2"/>
      <c r="NCZ207" s="2"/>
      <c r="NDA207" s="2"/>
      <c r="NDB207" s="2"/>
      <c r="NDC207" s="2"/>
      <c r="NDD207" s="2"/>
      <c r="NDE207" s="2"/>
      <c r="NDF207" s="2"/>
      <c r="NDG207" s="2"/>
      <c r="NDH207" s="2"/>
      <c r="NDI207" s="2"/>
      <c r="NDJ207" s="2"/>
      <c r="NDK207" s="2"/>
      <c r="NDL207" s="2"/>
      <c r="NDM207" s="2"/>
      <c r="NDN207" s="2"/>
      <c r="NDO207" s="2"/>
      <c r="NDP207" s="2"/>
      <c r="NDQ207" s="2"/>
      <c r="NDR207" s="2"/>
      <c r="NDS207" s="2"/>
      <c r="NDT207" s="2"/>
      <c r="NDU207" s="2"/>
      <c r="NDV207" s="2"/>
      <c r="NDW207" s="2"/>
      <c r="NDX207" s="2"/>
      <c r="NDY207" s="2"/>
      <c r="NDZ207" s="2"/>
      <c r="NEA207" s="2"/>
      <c r="NEB207" s="2"/>
      <c r="NEC207" s="2"/>
      <c r="NED207" s="2"/>
      <c r="NEE207" s="2"/>
      <c r="NEF207" s="2"/>
      <c r="NEG207" s="2"/>
      <c r="NEH207" s="2"/>
      <c r="NEI207" s="2"/>
      <c r="NEJ207" s="2"/>
      <c r="NEK207" s="2"/>
      <c r="NEL207" s="2"/>
      <c r="NEM207" s="2"/>
      <c r="NEN207" s="2"/>
      <c r="NEO207" s="2"/>
      <c r="NEP207" s="2"/>
      <c r="NEQ207" s="2"/>
      <c r="NER207" s="2"/>
      <c r="NES207" s="2"/>
      <c r="NET207" s="2"/>
      <c r="NEU207" s="2"/>
      <c r="NEV207" s="2"/>
      <c r="NEW207" s="2"/>
      <c r="NEX207" s="2"/>
      <c r="NEY207" s="2"/>
      <c r="NEZ207" s="2"/>
      <c r="NFA207" s="2"/>
      <c r="NFB207" s="2"/>
      <c r="NFC207" s="2"/>
      <c r="NFD207" s="2"/>
      <c r="NFE207" s="2"/>
      <c r="NFF207" s="2"/>
      <c r="NFG207" s="2"/>
      <c r="NFH207" s="2"/>
      <c r="NFI207" s="2"/>
      <c r="NFJ207" s="2"/>
      <c r="NFK207" s="2"/>
      <c r="NFL207" s="2"/>
      <c r="NFM207" s="2"/>
      <c r="NFN207" s="2"/>
      <c r="NFO207" s="2"/>
      <c r="NFP207" s="2"/>
      <c r="NFQ207" s="2"/>
      <c r="NFR207" s="2"/>
      <c r="NFS207" s="2"/>
      <c r="NFT207" s="2"/>
      <c r="NFU207" s="2"/>
      <c r="NFV207" s="2"/>
      <c r="NFW207" s="2"/>
      <c r="NFX207" s="2"/>
      <c r="NFY207" s="2"/>
      <c r="NFZ207" s="2"/>
      <c r="NGA207" s="2"/>
      <c r="NGB207" s="2"/>
      <c r="NGC207" s="2"/>
      <c r="NGD207" s="2"/>
      <c r="NGE207" s="2"/>
      <c r="NGF207" s="2"/>
      <c r="NGG207" s="2"/>
      <c r="NGH207" s="2"/>
      <c r="NGI207" s="2"/>
      <c r="NGJ207" s="2"/>
      <c r="NGK207" s="2"/>
      <c r="NGL207" s="2"/>
      <c r="NGM207" s="2"/>
      <c r="NGN207" s="2"/>
      <c r="NGO207" s="2"/>
      <c r="NGP207" s="2"/>
      <c r="NGQ207" s="2"/>
      <c r="NGR207" s="2"/>
      <c r="NGS207" s="2"/>
      <c r="NGT207" s="2"/>
      <c r="NGU207" s="2"/>
      <c r="NGV207" s="2"/>
      <c r="NGW207" s="2"/>
      <c r="NGX207" s="2"/>
      <c r="NGY207" s="2"/>
      <c r="NGZ207" s="2"/>
      <c r="NHA207" s="2"/>
      <c r="NHB207" s="2"/>
      <c r="NHC207" s="2"/>
      <c r="NHD207" s="2"/>
      <c r="NHE207" s="2"/>
      <c r="NHF207" s="2"/>
      <c r="NHG207" s="2"/>
      <c r="NHH207" s="2"/>
      <c r="NHI207" s="2"/>
      <c r="NHJ207" s="2"/>
      <c r="NHK207" s="2"/>
      <c r="NHL207" s="2"/>
      <c r="NHM207" s="2"/>
      <c r="NHN207" s="2"/>
      <c r="NHO207" s="2"/>
      <c r="NHP207" s="2"/>
      <c r="NHQ207" s="2"/>
      <c r="NHR207" s="2"/>
      <c r="NHS207" s="2"/>
      <c r="NHT207" s="2"/>
      <c r="NHU207" s="2"/>
      <c r="NHV207" s="2"/>
      <c r="NHW207" s="2"/>
      <c r="NHX207" s="2"/>
      <c r="NHY207" s="2"/>
      <c r="NHZ207" s="2"/>
      <c r="NIA207" s="2"/>
      <c r="NIB207" s="2"/>
      <c r="NIC207" s="2"/>
      <c r="NID207" s="2"/>
      <c r="NIE207" s="2"/>
      <c r="NIF207" s="2"/>
      <c r="NIG207" s="2"/>
      <c r="NIH207" s="2"/>
      <c r="NII207" s="2"/>
      <c r="NIJ207" s="2"/>
      <c r="NIK207" s="2"/>
      <c r="NIL207" s="2"/>
      <c r="NIM207" s="2"/>
      <c r="NIN207" s="2"/>
      <c r="NIO207" s="2"/>
      <c r="NIP207" s="2"/>
      <c r="NIQ207" s="2"/>
      <c r="NIR207" s="2"/>
      <c r="NIS207" s="2"/>
      <c r="NIT207" s="2"/>
      <c r="NIU207" s="2"/>
      <c r="NIV207" s="2"/>
      <c r="NIW207" s="2"/>
      <c r="NIX207" s="2"/>
      <c r="NIY207" s="2"/>
      <c r="NIZ207" s="2"/>
      <c r="NJA207" s="2"/>
      <c r="NJB207" s="2"/>
      <c r="NJC207" s="2"/>
      <c r="NJD207" s="2"/>
      <c r="NJE207" s="2"/>
      <c r="NJF207" s="2"/>
      <c r="NJG207" s="2"/>
      <c r="NJH207" s="2"/>
      <c r="NJI207" s="2"/>
      <c r="NJJ207" s="2"/>
      <c r="NJK207" s="2"/>
      <c r="NJL207" s="2"/>
      <c r="NJM207" s="2"/>
      <c r="NJN207" s="2"/>
      <c r="NJO207" s="2"/>
      <c r="NJP207" s="2"/>
      <c r="NJQ207" s="2"/>
      <c r="NJR207" s="2"/>
      <c r="NJS207" s="2"/>
      <c r="NJT207" s="2"/>
      <c r="NJU207" s="2"/>
      <c r="NJV207" s="2"/>
      <c r="NJW207" s="2"/>
      <c r="NJX207" s="2"/>
      <c r="NJY207" s="2"/>
      <c r="NJZ207" s="2"/>
      <c r="NKA207" s="2"/>
      <c r="NKB207" s="2"/>
      <c r="NKC207" s="2"/>
      <c r="NKD207" s="2"/>
      <c r="NKE207" s="2"/>
      <c r="NKF207" s="2"/>
      <c r="NKG207" s="2"/>
      <c r="NKH207" s="2"/>
      <c r="NKI207" s="2"/>
      <c r="NKJ207" s="2"/>
      <c r="NKK207" s="2"/>
      <c r="NKL207" s="2"/>
      <c r="NKM207" s="2"/>
      <c r="NKN207" s="2"/>
      <c r="NKO207" s="2"/>
      <c r="NKP207" s="2"/>
      <c r="NKQ207" s="2"/>
      <c r="NKR207" s="2"/>
      <c r="NKS207" s="2"/>
      <c r="NKT207" s="2"/>
      <c r="NKU207" s="2"/>
      <c r="NKV207" s="2"/>
      <c r="NKW207" s="2"/>
      <c r="NKX207" s="2"/>
      <c r="NKY207" s="2"/>
      <c r="NKZ207" s="2"/>
      <c r="NLA207" s="2"/>
      <c r="NLB207" s="2"/>
      <c r="NLC207" s="2"/>
      <c r="NLD207" s="2"/>
      <c r="NLE207" s="2"/>
      <c r="NLF207" s="2"/>
      <c r="NLG207" s="2"/>
      <c r="NLH207" s="2"/>
      <c r="NLI207" s="2"/>
      <c r="NLJ207" s="2"/>
      <c r="NLK207" s="2"/>
      <c r="NLL207" s="2"/>
      <c r="NLM207" s="2"/>
      <c r="NLN207" s="2"/>
      <c r="NLO207" s="2"/>
      <c r="NLP207" s="2"/>
      <c r="NLQ207" s="2"/>
      <c r="NLR207" s="2"/>
      <c r="NLS207" s="2"/>
      <c r="NLT207" s="2"/>
      <c r="NLU207" s="2"/>
      <c r="NLV207" s="2"/>
      <c r="NLW207" s="2"/>
      <c r="NLX207" s="2"/>
      <c r="NLY207" s="2"/>
      <c r="NLZ207" s="2"/>
      <c r="NMA207" s="2"/>
      <c r="NMB207" s="2"/>
      <c r="NMC207" s="2"/>
      <c r="NMD207" s="2"/>
      <c r="NME207" s="2"/>
      <c r="NMF207" s="2"/>
      <c r="NMG207" s="2"/>
      <c r="NMH207" s="2"/>
      <c r="NMI207" s="2"/>
      <c r="NMJ207" s="2"/>
      <c r="NMK207" s="2"/>
      <c r="NML207" s="2"/>
      <c r="NMM207" s="2"/>
      <c r="NMN207" s="2"/>
      <c r="NMO207" s="2"/>
      <c r="NMP207" s="2"/>
      <c r="NMQ207" s="2"/>
      <c r="NMR207" s="2"/>
      <c r="NMS207" s="2"/>
      <c r="NMT207" s="2"/>
      <c r="NMU207" s="2"/>
      <c r="NMV207" s="2"/>
      <c r="NMW207" s="2"/>
      <c r="NMX207" s="2"/>
      <c r="NMY207" s="2"/>
      <c r="NMZ207" s="2"/>
      <c r="NNA207" s="2"/>
      <c r="NNB207" s="2"/>
      <c r="NNC207" s="2"/>
      <c r="NND207" s="2"/>
      <c r="NNE207" s="2"/>
      <c r="NNF207" s="2"/>
      <c r="NNG207" s="2"/>
      <c r="NNH207" s="2"/>
      <c r="NNI207" s="2"/>
      <c r="NNJ207" s="2"/>
      <c r="NNK207" s="2"/>
      <c r="NNL207" s="2"/>
      <c r="NNM207" s="2"/>
      <c r="NNN207" s="2"/>
      <c r="NNO207" s="2"/>
      <c r="NNP207" s="2"/>
      <c r="NNQ207" s="2"/>
      <c r="NNR207" s="2"/>
      <c r="NNS207" s="2"/>
      <c r="NNT207" s="2"/>
      <c r="NNU207" s="2"/>
      <c r="NNV207" s="2"/>
      <c r="NNW207" s="2"/>
      <c r="NNX207" s="2"/>
      <c r="NNY207" s="2"/>
      <c r="NNZ207" s="2"/>
      <c r="NOA207" s="2"/>
      <c r="NOB207" s="2"/>
      <c r="NOC207" s="2"/>
      <c r="NOD207" s="2"/>
      <c r="NOE207" s="2"/>
      <c r="NOF207" s="2"/>
      <c r="NOG207" s="2"/>
      <c r="NOH207" s="2"/>
      <c r="NOI207" s="2"/>
      <c r="NOJ207" s="2"/>
      <c r="NOK207" s="2"/>
      <c r="NOL207" s="2"/>
      <c r="NOM207" s="2"/>
      <c r="NON207" s="2"/>
      <c r="NOO207" s="2"/>
      <c r="NOP207" s="2"/>
      <c r="NOQ207" s="2"/>
      <c r="NOR207" s="2"/>
      <c r="NOS207" s="2"/>
      <c r="NOT207" s="2"/>
      <c r="NOU207" s="2"/>
      <c r="NOV207" s="2"/>
      <c r="NOW207" s="2"/>
      <c r="NOX207" s="2"/>
      <c r="NOY207" s="2"/>
      <c r="NOZ207" s="2"/>
      <c r="NPA207" s="2"/>
      <c r="NPB207" s="2"/>
      <c r="NPC207" s="2"/>
      <c r="NPD207" s="2"/>
      <c r="NPE207" s="2"/>
      <c r="NPF207" s="2"/>
      <c r="NPG207" s="2"/>
      <c r="NPH207" s="2"/>
      <c r="NPI207" s="2"/>
      <c r="NPJ207" s="2"/>
      <c r="NPK207" s="2"/>
      <c r="NPL207" s="2"/>
      <c r="NPM207" s="2"/>
      <c r="NPN207" s="2"/>
      <c r="NPO207" s="2"/>
      <c r="NPP207" s="2"/>
      <c r="NPQ207" s="2"/>
      <c r="NPR207" s="2"/>
      <c r="NPS207" s="2"/>
      <c r="NPT207" s="2"/>
      <c r="NPU207" s="2"/>
      <c r="NPV207" s="2"/>
      <c r="NPW207" s="2"/>
      <c r="NPX207" s="2"/>
      <c r="NPY207" s="2"/>
      <c r="NPZ207" s="2"/>
      <c r="NQA207" s="2"/>
      <c r="NQB207" s="2"/>
      <c r="NQC207" s="2"/>
      <c r="NQD207" s="2"/>
      <c r="NQE207" s="2"/>
      <c r="NQF207" s="2"/>
      <c r="NQG207" s="2"/>
      <c r="NQH207" s="2"/>
      <c r="NQI207" s="2"/>
      <c r="NQJ207" s="2"/>
      <c r="NQK207" s="2"/>
      <c r="NQL207" s="2"/>
      <c r="NQM207" s="2"/>
      <c r="NQN207" s="2"/>
      <c r="NQO207" s="2"/>
      <c r="NQP207" s="2"/>
      <c r="NQQ207" s="2"/>
      <c r="NQR207" s="2"/>
      <c r="NQS207" s="2"/>
      <c r="NQT207" s="2"/>
      <c r="NQU207" s="2"/>
      <c r="NQV207" s="2"/>
      <c r="NQW207" s="2"/>
      <c r="NQX207" s="2"/>
      <c r="NQY207" s="2"/>
      <c r="NQZ207" s="2"/>
      <c r="NRA207" s="2"/>
      <c r="NRB207" s="2"/>
      <c r="NRC207" s="2"/>
      <c r="NRD207" s="2"/>
      <c r="NRE207" s="2"/>
      <c r="NRF207" s="2"/>
      <c r="NRG207" s="2"/>
      <c r="NRH207" s="2"/>
      <c r="NRI207" s="2"/>
      <c r="NRJ207" s="2"/>
      <c r="NRK207" s="2"/>
      <c r="NRL207" s="2"/>
      <c r="NRM207" s="2"/>
      <c r="NRN207" s="2"/>
      <c r="NRO207" s="2"/>
      <c r="NRP207" s="2"/>
      <c r="NRQ207" s="2"/>
      <c r="NRR207" s="2"/>
      <c r="NRS207" s="2"/>
      <c r="NRT207" s="2"/>
      <c r="NRU207" s="2"/>
      <c r="NRV207" s="2"/>
      <c r="NRW207" s="2"/>
      <c r="NRX207" s="2"/>
      <c r="NRY207" s="2"/>
      <c r="NRZ207" s="2"/>
      <c r="NSA207" s="2"/>
      <c r="NSB207" s="2"/>
      <c r="NSC207" s="2"/>
      <c r="NSD207" s="2"/>
      <c r="NSE207" s="2"/>
      <c r="NSF207" s="2"/>
      <c r="NSG207" s="2"/>
      <c r="NSH207" s="2"/>
      <c r="NSI207" s="2"/>
      <c r="NSJ207" s="2"/>
      <c r="NSK207" s="2"/>
      <c r="NSL207" s="2"/>
      <c r="NSM207" s="2"/>
      <c r="NSN207" s="2"/>
      <c r="NSO207" s="2"/>
      <c r="NSP207" s="2"/>
      <c r="NSQ207" s="2"/>
      <c r="NSR207" s="2"/>
      <c r="NSS207" s="2"/>
      <c r="NST207" s="2"/>
      <c r="NSU207" s="2"/>
      <c r="NSV207" s="2"/>
      <c r="NSW207" s="2"/>
      <c r="NSX207" s="2"/>
      <c r="NSY207" s="2"/>
      <c r="NSZ207" s="2"/>
      <c r="NTA207" s="2"/>
      <c r="NTB207" s="2"/>
      <c r="NTC207" s="2"/>
      <c r="NTD207" s="2"/>
      <c r="NTE207" s="2"/>
      <c r="NTF207" s="2"/>
      <c r="NTG207" s="2"/>
      <c r="NTH207" s="2"/>
      <c r="NTI207" s="2"/>
      <c r="NTJ207" s="2"/>
      <c r="NTK207" s="2"/>
      <c r="NTL207" s="2"/>
      <c r="NTM207" s="2"/>
      <c r="NTN207" s="2"/>
      <c r="NTO207" s="2"/>
      <c r="NTP207" s="2"/>
      <c r="NTQ207" s="2"/>
      <c r="NTR207" s="2"/>
      <c r="NTS207" s="2"/>
      <c r="NTT207" s="2"/>
      <c r="NTU207" s="2"/>
      <c r="NTV207" s="2"/>
      <c r="NTW207" s="2"/>
      <c r="NTX207" s="2"/>
      <c r="NTY207" s="2"/>
      <c r="NTZ207" s="2"/>
      <c r="NUA207" s="2"/>
      <c r="NUB207" s="2"/>
      <c r="NUC207" s="2"/>
      <c r="NUD207" s="2"/>
      <c r="NUE207" s="2"/>
      <c r="NUF207" s="2"/>
      <c r="NUG207" s="2"/>
      <c r="NUH207" s="2"/>
      <c r="NUI207" s="2"/>
      <c r="NUJ207" s="2"/>
      <c r="NUK207" s="2"/>
      <c r="NUL207" s="2"/>
      <c r="NUM207" s="2"/>
      <c r="NUN207" s="2"/>
      <c r="NUO207" s="2"/>
      <c r="NUP207" s="2"/>
      <c r="NUQ207" s="2"/>
      <c r="NUR207" s="2"/>
      <c r="NUS207" s="2"/>
      <c r="NUT207" s="2"/>
      <c r="NUU207" s="2"/>
      <c r="NUV207" s="2"/>
      <c r="NUW207" s="2"/>
      <c r="NUX207" s="2"/>
      <c r="NUY207" s="2"/>
      <c r="NUZ207" s="2"/>
      <c r="NVA207" s="2"/>
      <c r="NVB207" s="2"/>
      <c r="NVC207" s="2"/>
      <c r="NVD207" s="2"/>
      <c r="NVE207" s="2"/>
      <c r="NVF207" s="2"/>
      <c r="NVG207" s="2"/>
      <c r="NVH207" s="2"/>
      <c r="NVI207" s="2"/>
      <c r="NVJ207" s="2"/>
      <c r="NVK207" s="2"/>
      <c r="NVL207" s="2"/>
      <c r="NVM207" s="2"/>
      <c r="NVN207" s="2"/>
      <c r="NVO207" s="2"/>
      <c r="NVP207" s="2"/>
      <c r="NVQ207" s="2"/>
      <c r="NVR207" s="2"/>
      <c r="NVS207" s="2"/>
      <c r="NVT207" s="2"/>
      <c r="NVU207" s="2"/>
      <c r="NVV207" s="2"/>
      <c r="NVW207" s="2"/>
      <c r="NVX207" s="2"/>
      <c r="NVY207" s="2"/>
      <c r="NVZ207" s="2"/>
      <c r="NWA207" s="2"/>
      <c r="NWB207" s="2"/>
      <c r="NWC207" s="2"/>
      <c r="NWD207" s="2"/>
      <c r="NWE207" s="2"/>
      <c r="NWF207" s="2"/>
      <c r="NWG207" s="2"/>
      <c r="NWH207" s="2"/>
      <c r="NWI207" s="2"/>
      <c r="NWJ207" s="2"/>
      <c r="NWK207" s="2"/>
      <c r="NWL207" s="2"/>
      <c r="NWM207" s="2"/>
      <c r="NWN207" s="2"/>
      <c r="NWO207" s="2"/>
      <c r="NWP207" s="2"/>
      <c r="NWQ207" s="2"/>
      <c r="NWR207" s="2"/>
      <c r="NWS207" s="2"/>
      <c r="NWT207" s="2"/>
      <c r="NWU207" s="2"/>
      <c r="NWV207" s="2"/>
      <c r="NWW207" s="2"/>
      <c r="NWX207" s="2"/>
      <c r="NWY207" s="2"/>
      <c r="NWZ207" s="2"/>
      <c r="NXA207" s="2"/>
      <c r="NXB207" s="2"/>
      <c r="NXC207" s="2"/>
      <c r="NXD207" s="2"/>
      <c r="NXE207" s="2"/>
      <c r="NXF207" s="2"/>
      <c r="NXG207" s="2"/>
      <c r="NXH207" s="2"/>
      <c r="NXI207" s="2"/>
      <c r="NXJ207" s="2"/>
      <c r="NXK207" s="2"/>
      <c r="NXL207" s="2"/>
      <c r="NXM207" s="2"/>
      <c r="NXN207" s="2"/>
      <c r="NXO207" s="2"/>
      <c r="NXP207" s="2"/>
      <c r="NXQ207" s="2"/>
      <c r="NXR207" s="2"/>
      <c r="NXS207" s="2"/>
      <c r="NXT207" s="2"/>
      <c r="NXU207" s="2"/>
      <c r="NXV207" s="2"/>
      <c r="NXW207" s="2"/>
      <c r="NXX207" s="2"/>
      <c r="NXY207" s="2"/>
      <c r="NXZ207" s="2"/>
      <c r="NYA207" s="2"/>
      <c r="NYB207" s="2"/>
      <c r="NYC207" s="2"/>
      <c r="NYD207" s="2"/>
      <c r="NYE207" s="2"/>
      <c r="NYF207" s="2"/>
      <c r="NYG207" s="2"/>
      <c r="NYH207" s="2"/>
      <c r="NYI207" s="2"/>
      <c r="NYJ207" s="2"/>
      <c r="NYK207" s="2"/>
      <c r="NYL207" s="2"/>
      <c r="NYM207" s="2"/>
      <c r="NYN207" s="2"/>
      <c r="NYO207" s="2"/>
      <c r="NYP207" s="2"/>
      <c r="NYQ207" s="2"/>
      <c r="NYR207" s="2"/>
      <c r="NYS207" s="2"/>
      <c r="NYT207" s="2"/>
      <c r="NYU207" s="2"/>
      <c r="NYV207" s="2"/>
      <c r="NYW207" s="2"/>
      <c r="NYX207" s="2"/>
      <c r="NYY207" s="2"/>
      <c r="NYZ207" s="2"/>
      <c r="NZA207" s="2"/>
      <c r="NZB207" s="2"/>
      <c r="NZC207" s="2"/>
      <c r="NZD207" s="2"/>
      <c r="NZE207" s="2"/>
      <c r="NZF207" s="2"/>
      <c r="NZG207" s="2"/>
      <c r="NZH207" s="2"/>
      <c r="NZI207" s="2"/>
      <c r="NZJ207" s="2"/>
      <c r="NZK207" s="2"/>
      <c r="NZL207" s="2"/>
      <c r="NZM207" s="2"/>
      <c r="NZN207" s="2"/>
      <c r="NZO207" s="2"/>
      <c r="NZP207" s="2"/>
      <c r="NZQ207" s="2"/>
      <c r="NZR207" s="2"/>
      <c r="NZS207" s="2"/>
      <c r="NZT207" s="2"/>
      <c r="NZU207" s="2"/>
      <c r="NZV207" s="2"/>
      <c r="NZW207" s="2"/>
      <c r="NZX207" s="2"/>
      <c r="NZY207" s="2"/>
      <c r="NZZ207" s="2"/>
      <c r="OAA207" s="2"/>
      <c r="OAB207" s="2"/>
      <c r="OAC207" s="2"/>
      <c r="OAD207" s="2"/>
      <c r="OAE207" s="2"/>
      <c r="OAF207" s="2"/>
      <c r="OAG207" s="2"/>
      <c r="OAH207" s="2"/>
      <c r="OAI207" s="2"/>
      <c r="OAJ207" s="2"/>
      <c r="OAK207" s="2"/>
      <c r="OAL207" s="2"/>
      <c r="OAM207" s="2"/>
      <c r="OAN207" s="2"/>
      <c r="OAO207" s="2"/>
      <c r="OAP207" s="2"/>
      <c r="OAQ207" s="2"/>
      <c r="OAR207" s="2"/>
      <c r="OAS207" s="2"/>
      <c r="OAT207" s="2"/>
      <c r="OAU207" s="2"/>
      <c r="OAV207" s="2"/>
      <c r="OAW207" s="2"/>
      <c r="OAX207" s="2"/>
      <c r="OAY207" s="2"/>
      <c r="OAZ207" s="2"/>
      <c r="OBA207" s="2"/>
      <c r="OBB207" s="2"/>
      <c r="OBC207" s="2"/>
      <c r="OBD207" s="2"/>
      <c r="OBE207" s="2"/>
      <c r="OBF207" s="2"/>
      <c r="OBG207" s="2"/>
      <c r="OBH207" s="2"/>
      <c r="OBI207" s="2"/>
      <c r="OBJ207" s="2"/>
      <c r="OBK207" s="2"/>
      <c r="OBL207" s="2"/>
      <c r="OBM207" s="2"/>
      <c r="OBN207" s="2"/>
      <c r="OBO207" s="2"/>
      <c r="OBP207" s="2"/>
      <c r="OBQ207" s="2"/>
      <c r="OBR207" s="2"/>
      <c r="OBS207" s="2"/>
      <c r="OBT207" s="2"/>
      <c r="OBU207" s="2"/>
      <c r="OBV207" s="2"/>
      <c r="OBW207" s="2"/>
      <c r="OBX207" s="2"/>
      <c r="OBY207" s="2"/>
      <c r="OBZ207" s="2"/>
      <c r="OCA207" s="2"/>
      <c r="OCB207" s="2"/>
      <c r="OCC207" s="2"/>
      <c r="OCD207" s="2"/>
      <c r="OCE207" s="2"/>
      <c r="OCF207" s="2"/>
      <c r="OCG207" s="2"/>
      <c r="OCH207" s="2"/>
      <c r="OCI207" s="2"/>
      <c r="OCJ207" s="2"/>
      <c r="OCK207" s="2"/>
      <c r="OCL207" s="2"/>
      <c r="OCM207" s="2"/>
      <c r="OCN207" s="2"/>
      <c r="OCO207" s="2"/>
      <c r="OCP207" s="2"/>
      <c r="OCQ207" s="2"/>
      <c r="OCR207" s="2"/>
      <c r="OCS207" s="2"/>
      <c r="OCT207" s="2"/>
      <c r="OCU207" s="2"/>
      <c r="OCV207" s="2"/>
      <c r="OCW207" s="2"/>
      <c r="OCX207" s="2"/>
      <c r="OCY207" s="2"/>
      <c r="OCZ207" s="2"/>
      <c r="ODA207" s="2"/>
      <c r="ODB207" s="2"/>
      <c r="ODC207" s="2"/>
      <c r="ODD207" s="2"/>
      <c r="ODE207" s="2"/>
      <c r="ODF207" s="2"/>
      <c r="ODG207" s="2"/>
      <c r="ODH207" s="2"/>
      <c r="ODI207" s="2"/>
      <c r="ODJ207" s="2"/>
      <c r="ODK207" s="2"/>
      <c r="ODL207" s="2"/>
      <c r="ODM207" s="2"/>
      <c r="ODN207" s="2"/>
      <c r="ODO207" s="2"/>
      <c r="ODP207" s="2"/>
      <c r="ODQ207" s="2"/>
      <c r="ODR207" s="2"/>
      <c r="ODS207" s="2"/>
      <c r="ODT207" s="2"/>
      <c r="ODU207" s="2"/>
      <c r="ODV207" s="2"/>
      <c r="ODW207" s="2"/>
      <c r="ODX207" s="2"/>
      <c r="ODY207" s="2"/>
      <c r="ODZ207" s="2"/>
      <c r="OEA207" s="2"/>
      <c r="OEB207" s="2"/>
      <c r="OEC207" s="2"/>
      <c r="OED207" s="2"/>
      <c r="OEE207" s="2"/>
      <c r="OEF207" s="2"/>
      <c r="OEG207" s="2"/>
      <c r="OEH207" s="2"/>
      <c r="OEI207" s="2"/>
      <c r="OEJ207" s="2"/>
      <c r="OEK207" s="2"/>
      <c r="OEL207" s="2"/>
      <c r="OEM207" s="2"/>
      <c r="OEN207" s="2"/>
      <c r="OEO207" s="2"/>
      <c r="OEP207" s="2"/>
      <c r="OEQ207" s="2"/>
      <c r="OER207" s="2"/>
      <c r="OES207" s="2"/>
      <c r="OET207" s="2"/>
      <c r="OEU207" s="2"/>
      <c r="OEV207" s="2"/>
      <c r="OEW207" s="2"/>
      <c r="OEX207" s="2"/>
      <c r="OEY207" s="2"/>
      <c r="OEZ207" s="2"/>
      <c r="OFA207" s="2"/>
      <c r="OFB207" s="2"/>
      <c r="OFC207" s="2"/>
      <c r="OFD207" s="2"/>
      <c r="OFE207" s="2"/>
      <c r="OFF207" s="2"/>
      <c r="OFG207" s="2"/>
      <c r="OFH207" s="2"/>
      <c r="OFI207" s="2"/>
      <c r="OFJ207" s="2"/>
      <c r="OFK207" s="2"/>
      <c r="OFL207" s="2"/>
      <c r="OFM207" s="2"/>
      <c r="OFN207" s="2"/>
      <c r="OFO207" s="2"/>
      <c r="OFP207" s="2"/>
      <c r="OFQ207" s="2"/>
      <c r="OFR207" s="2"/>
      <c r="OFS207" s="2"/>
      <c r="OFT207" s="2"/>
      <c r="OFU207" s="2"/>
      <c r="OFV207" s="2"/>
      <c r="OFW207" s="2"/>
      <c r="OFX207" s="2"/>
      <c r="OFY207" s="2"/>
      <c r="OFZ207" s="2"/>
      <c r="OGA207" s="2"/>
      <c r="OGB207" s="2"/>
      <c r="OGC207" s="2"/>
      <c r="OGD207" s="2"/>
      <c r="OGE207" s="2"/>
      <c r="OGF207" s="2"/>
      <c r="OGG207" s="2"/>
      <c r="OGH207" s="2"/>
      <c r="OGI207" s="2"/>
      <c r="OGJ207" s="2"/>
      <c r="OGK207" s="2"/>
      <c r="OGL207" s="2"/>
      <c r="OGM207" s="2"/>
      <c r="OGN207" s="2"/>
      <c r="OGO207" s="2"/>
      <c r="OGP207" s="2"/>
      <c r="OGQ207" s="2"/>
      <c r="OGR207" s="2"/>
      <c r="OGS207" s="2"/>
      <c r="OGT207" s="2"/>
      <c r="OGU207" s="2"/>
      <c r="OGV207" s="2"/>
      <c r="OGW207" s="2"/>
      <c r="OGX207" s="2"/>
      <c r="OGY207" s="2"/>
      <c r="OGZ207" s="2"/>
      <c r="OHA207" s="2"/>
      <c r="OHB207" s="2"/>
      <c r="OHC207" s="2"/>
      <c r="OHD207" s="2"/>
      <c r="OHE207" s="2"/>
      <c r="OHF207" s="2"/>
      <c r="OHG207" s="2"/>
      <c r="OHH207" s="2"/>
      <c r="OHI207" s="2"/>
      <c r="OHJ207" s="2"/>
      <c r="OHK207" s="2"/>
      <c r="OHL207" s="2"/>
      <c r="OHM207" s="2"/>
      <c r="OHN207" s="2"/>
      <c r="OHO207" s="2"/>
      <c r="OHP207" s="2"/>
      <c r="OHQ207" s="2"/>
      <c r="OHR207" s="2"/>
      <c r="OHS207" s="2"/>
      <c r="OHT207" s="2"/>
      <c r="OHU207" s="2"/>
      <c r="OHV207" s="2"/>
      <c r="OHW207" s="2"/>
      <c r="OHX207" s="2"/>
      <c r="OHY207" s="2"/>
      <c r="OHZ207" s="2"/>
      <c r="OIA207" s="2"/>
      <c r="OIB207" s="2"/>
      <c r="OIC207" s="2"/>
      <c r="OID207" s="2"/>
      <c r="OIE207" s="2"/>
      <c r="OIF207" s="2"/>
      <c r="OIG207" s="2"/>
      <c r="OIH207" s="2"/>
      <c r="OII207" s="2"/>
      <c r="OIJ207" s="2"/>
      <c r="OIK207" s="2"/>
      <c r="OIL207" s="2"/>
      <c r="OIM207" s="2"/>
      <c r="OIN207" s="2"/>
      <c r="OIO207" s="2"/>
      <c r="OIP207" s="2"/>
      <c r="OIQ207" s="2"/>
      <c r="OIR207" s="2"/>
      <c r="OIS207" s="2"/>
      <c r="OIT207" s="2"/>
      <c r="OIU207" s="2"/>
      <c r="OIV207" s="2"/>
      <c r="OIW207" s="2"/>
      <c r="OIX207" s="2"/>
      <c r="OIY207" s="2"/>
      <c r="OIZ207" s="2"/>
      <c r="OJA207" s="2"/>
      <c r="OJB207" s="2"/>
      <c r="OJC207" s="2"/>
      <c r="OJD207" s="2"/>
      <c r="OJE207" s="2"/>
      <c r="OJF207" s="2"/>
      <c r="OJG207" s="2"/>
      <c r="OJH207" s="2"/>
      <c r="OJI207" s="2"/>
      <c r="OJJ207" s="2"/>
      <c r="OJK207" s="2"/>
      <c r="OJL207" s="2"/>
      <c r="OJM207" s="2"/>
      <c r="OJN207" s="2"/>
      <c r="OJO207" s="2"/>
      <c r="OJP207" s="2"/>
      <c r="OJQ207" s="2"/>
      <c r="OJR207" s="2"/>
      <c r="OJS207" s="2"/>
      <c r="OJT207" s="2"/>
      <c r="OJU207" s="2"/>
      <c r="OJV207" s="2"/>
      <c r="OJW207" s="2"/>
      <c r="OJX207" s="2"/>
      <c r="OJY207" s="2"/>
      <c r="OJZ207" s="2"/>
      <c r="OKA207" s="2"/>
      <c r="OKB207" s="2"/>
      <c r="OKC207" s="2"/>
      <c r="OKD207" s="2"/>
      <c r="OKE207" s="2"/>
      <c r="OKF207" s="2"/>
      <c r="OKG207" s="2"/>
      <c r="OKH207" s="2"/>
      <c r="OKI207" s="2"/>
      <c r="OKJ207" s="2"/>
      <c r="OKK207" s="2"/>
      <c r="OKL207" s="2"/>
      <c r="OKM207" s="2"/>
      <c r="OKN207" s="2"/>
      <c r="OKO207" s="2"/>
      <c r="OKP207" s="2"/>
      <c r="OKQ207" s="2"/>
      <c r="OKR207" s="2"/>
      <c r="OKS207" s="2"/>
      <c r="OKT207" s="2"/>
      <c r="OKU207" s="2"/>
      <c r="OKV207" s="2"/>
      <c r="OKW207" s="2"/>
      <c r="OKX207" s="2"/>
      <c r="OKY207" s="2"/>
      <c r="OKZ207" s="2"/>
      <c r="OLA207" s="2"/>
      <c r="OLB207" s="2"/>
      <c r="OLC207" s="2"/>
      <c r="OLD207" s="2"/>
      <c r="OLE207" s="2"/>
      <c r="OLF207" s="2"/>
      <c r="OLG207" s="2"/>
      <c r="OLH207" s="2"/>
      <c r="OLI207" s="2"/>
      <c r="OLJ207" s="2"/>
      <c r="OLK207" s="2"/>
      <c r="OLL207" s="2"/>
      <c r="OLM207" s="2"/>
      <c r="OLN207" s="2"/>
      <c r="OLO207" s="2"/>
      <c r="OLP207" s="2"/>
      <c r="OLQ207" s="2"/>
      <c r="OLR207" s="2"/>
      <c r="OLS207" s="2"/>
      <c r="OLT207" s="2"/>
      <c r="OLU207" s="2"/>
      <c r="OLV207" s="2"/>
      <c r="OLW207" s="2"/>
      <c r="OLX207" s="2"/>
      <c r="OLY207" s="2"/>
      <c r="OLZ207" s="2"/>
      <c r="OMA207" s="2"/>
      <c r="OMB207" s="2"/>
      <c r="OMC207" s="2"/>
      <c r="OMD207" s="2"/>
      <c r="OME207" s="2"/>
      <c r="OMF207" s="2"/>
      <c r="OMG207" s="2"/>
      <c r="OMH207" s="2"/>
      <c r="OMI207" s="2"/>
      <c r="OMJ207" s="2"/>
      <c r="OMK207" s="2"/>
      <c r="OML207" s="2"/>
      <c r="OMM207" s="2"/>
      <c r="OMN207" s="2"/>
      <c r="OMO207" s="2"/>
      <c r="OMP207" s="2"/>
      <c r="OMQ207" s="2"/>
      <c r="OMR207" s="2"/>
      <c r="OMS207" s="2"/>
      <c r="OMT207" s="2"/>
      <c r="OMU207" s="2"/>
      <c r="OMV207" s="2"/>
      <c r="OMW207" s="2"/>
      <c r="OMX207" s="2"/>
      <c r="OMY207" s="2"/>
      <c r="OMZ207" s="2"/>
      <c r="ONA207" s="2"/>
      <c r="ONB207" s="2"/>
      <c r="ONC207" s="2"/>
      <c r="OND207" s="2"/>
      <c r="ONE207" s="2"/>
      <c r="ONF207" s="2"/>
      <c r="ONG207" s="2"/>
      <c r="ONH207" s="2"/>
      <c r="ONI207" s="2"/>
      <c r="ONJ207" s="2"/>
      <c r="ONK207" s="2"/>
      <c r="ONL207" s="2"/>
      <c r="ONM207" s="2"/>
      <c r="ONN207" s="2"/>
      <c r="ONO207" s="2"/>
      <c r="ONP207" s="2"/>
      <c r="ONQ207" s="2"/>
      <c r="ONR207" s="2"/>
      <c r="ONS207" s="2"/>
      <c r="ONT207" s="2"/>
      <c r="ONU207" s="2"/>
      <c r="ONV207" s="2"/>
      <c r="ONW207" s="2"/>
      <c r="ONX207" s="2"/>
      <c r="ONY207" s="2"/>
      <c r="ONZ207" s="2"/>
      <c r="OOA207" s="2"/>
      <c r="OOB207" s="2"/>
      <c r="OOC207" s="2"/>
      <c r="OOD207" s="2"/>
      <c r="OOE207" s="2"/>
      <c r="OOF207" s="2"/>
      <c r="OOG207" s="2"/>
      <c r="OOH207" s="2"/>
      <c r="OOI207" s="2"/>
      <c r="OOJ207" s="2"/>
      <c r="OOK207" s="2"/>
      <c r="OOL207" s="2"/>
      <c r="OOM207" s="2"/>
      <c r="OON207" s="2"/>
      <c r="OOO207" s="2"/>
      <c r="OOP207" s="2"/>
      <c r="OOQ207" s="2"/>
      <c r="OOR207" s="2"/>
      <c r="OOS207" s="2"/>
      <c r="OOT207" s="2"/>
      <c r="OOU207" s="2"/>
      <c r="OOV207" s="2"/>
      <c r="OOW207" s="2"/>
      <c r="OOX207" s="2"/>
      <c r="OOY207" s="2"/>
      <c r="OOZ207" s="2"/>
      <c r="OPA207" s="2"/>
      <c r="OPB207" s="2"/>
      <c r="OPC207" s="2"/>
      <c r="OPD207" s="2"/>
      <c r="OPE207" s="2"/>
      <c r="OPF207" s="2"/>
      <c r="OPG207" s="2"/>
      <c r="OPH207" s="2"/>
      <c r="OPI207" s="2"/>
      <c r="OPJ207" s="2"/>
      <c r="OPK207" s="2"/>
      <c r="OPL207" s="2"/>
      <c r="OPM207" s="2"/>
      <c r="OPN207" s="2"/>
      <c r="OPO207" s="2"/>
      <c r="OPP207" s="2"/>
      <c r="OPQ207" s="2"/>
      <c r="OPR207" s="2"/>
      <c r="OPS207" s="2"/>
      <c r="OPT207" s="2"/>
      <c r="OPU207" s="2"/>
      <c r="OPV207" s="2"/>
      <c r="OPW207" s="2"/>
      <c r="OPX207" s="2"/>
      <c r="OPY207" s="2"/>
      <c r="OPZ207" s="2"/>
      <c r="OQA207" s="2"/>
      <c r="OQB207" s="2"/>
      <c r="OQC207" s="2"/>
      <c r="OQD207" s="2"/>
      <c r="OQE207" s="2"/>
      <c r="OQF207" s="2"/>
      <c r="OQG207" s="2"/>
      <c r="OQH207" s="2"/>
      <c r="OQI207" s="2"/>
      <c r="OQJ207" s="2"/>
      <c r="OQK207" s="2"/>
      <c r="OQL207" s="2"/>
      <c r="OQM207" s="2"/>
      <c r="OQN207" s="2"/>
      <c r="OQO207" s="2"/>
      <c r="OQP207" s="2"/>
      <c r="OQQ207" s="2"/>
      <c r="OQR207" s="2"/>
      <c r="OQS207" s="2"/>
      <c r="OQT207" s="2"/>
      <c r="OQU207" s="2"/>
      <c r="OQV207" s="2"/>
      <c r="OQW207" s="2"/>
      <c r="OQX207" s="2"/>
      <c r="OQY207" s="2"/>
      <c r="OQZ207" s="2"/>
      <c r="ORA207" s="2"/>
      <c r="ORB207" s="2"/>
      <c r="ORC207" s="2"/>
      <c r="ORD207" s="2"/>
      <c r="ORE207" s="2"/>
      <c r="ORF207" s="2"/>
      <c r="ORG207" s="2"/>
      <c r="ORH207" s="2"/>
      <c r="ORI207" s="2"/>
      <c r="ORJ207" s="2"/>
      <c r="ORK207" s="2"/>
      <c r="ORL207" s="2"/>
      <c r="ORM207" s="2"/>
      <c r="ORN207" s="2"/>
      <c r="ORO207" s="2"/>
      <c r="ORP207" s="2"/>
      <c r="ORQ207" s="2"/>
      <c r="ORR207" s="2"/>
      <c r="ORS207" s="2"/>
      <c r="ORT207" s="2"/>
      <c r="ORU207" s="2"/>
      <c r="ORV207" s="2"/>
      <c r="ORW207" s="2"/>
      <c r="ORX207" s="2"/>
      <c r="ORY207" s="2"/>
      <c r="ORZ207" s="2"/>
      <c r="OSA207" s="2"/>
      <c r="OSB207" s="2"/>
      <c r="OSC207" s="2"/>
      <c r="OSD207" s="2"/>
      <c r="OSE207" s="2"/>
      <c r="OSF207" s="2"/>
      <c r="OSG207" s="2"/>
      <c r="OSH207" s="2"/>
      <c r="OSI207" s="2"/>
      <c r="OSJ207" s="2"/>
      <c r="OSK207" s="2"/>
      <c r="OSL207" s="2"/>
      <c r="OSM207" s="2"/>
      <c r="OSN207" s="2"/>
      <c r="OSO207" s="2"/>
      <c r="OSP207" s="2"/>
      <c r="OSQ207" s="2"/>
      <c r="OSR207" s="2"/>
      <c r="OSS207" s="2"/>
      <c r="OST207" s="2"/>
      <c r="OSU207" s="2"/>
      <c r="OSV207" s="2"/>
      <c r="OSW207" s="2"/>
      <c r="OSX207" s="2"/>
      <c r="OSY207" s="2"/>
      <c r="OSZ207" s="2"/>
      <c r="OTA207" s="2"/>
      <c r="OTB207" s="2"/>
      <c r="OTC207" s="2"/>
      <c r="OTD207" s="2"/>
      <c r="OTE207" s="2"/>
      <c r="OTF207" s="2"/>
      <c r="OTG207" s="2"/>
      <c r="OTH207" s="2"/>
      <c r="OTI207" s="2"/>
      <c r="OTJ207" s="2"/>
      <c r="OTK207" s="2"/>
      <c r="OTL207" s="2"/>
      <c r="OTM207" s="2"/>
      <c r="OTN207" s="2"/>
      <c r="OTO207" s="2"/>
      <c r="OTP207" s="2"/>
      <c r="OTQ207" s="2"/>
      <c r="OTR207" s="2"/>
      <c r="OTS207" s="2"/>
      <c r="OTT207" s="2"/>
      <c r="OTU207" s="2"/>
      <c r="OTV207" s="2"/>
      <c r="OTW207" s="2"/>
      <c r="OTX207" s="2"/>
      <c r="OTY207" s="2"/>
      <c r="OTZ207" s="2"/>
      <c r="OUA207" s="2"/>
      <c r="OUB207" s="2"/>
      <c r="OUC207" s="2"/>
      <c r="OUD207" s="2"/>
      <c r="OUE207" s="2"/>
      <c r="OUF207" s="2"/>
      <c r="OUG207" s="2"/>
      <c r="OUH207" s="2"/>
      <c r="OUI207" s="2"/>
      <c r="OUJ207" s="2"/>
      <c r="OUK207" s="2"/>
      <c r="OUL207" s="2"/>
      <c r="OUM207" s="2"/>
      <c r="OUN207" s="2"/>
      <c r="OUO207" s="2"/>
      <c r="OUP207" s="2"/>
      <c r="OUQ207" s="2"/>
      <c r="OUR207" s="2"/>
      <c r="OUS207" s="2"/>
      <c r="OUT207" s="2"/>
      <c r="OUU207" s="2"/>
      <c r="OUV207" s="2"/>
      <c r="OUW207" s="2"/>
      <c r="OUX207" s="2"/>
      <c r="OUY207" s="2"/>
      <c r="OUZ207" s="2"/>
      <c r="OVA207" s="2"/>
      <c r="OVB207" s="2"/>
      <c r="OVC207" s="2"/>
      <c r="OVD207" s="2"/>
      <c r="OVE207" s="2"/>
      <c r="OVF207" s="2"/>
      <c r="OVG207" s="2"/>
      <c r="OVH207" s="2"/>
      <c r="OVI207" s="2"/>
      <c r="OVJ207" s="2"/>
      <c r="OVK207" s="2"/>
      <c r="OVL207" s="2"/>
      <c r="OVM207" s="2"/>
      <c r="OVN207" s="2"/>
      <c r="OVO207" s="2"/>
      <c r="OVP207" s="2"/>
      <c r="OVQ207" s="2"/>
      <c r="OVR207" s="2"/>
      <c r="OVS207" s="2"/>
      <c r="OVT207" s="2"/>
      <c r="OVU207" s="2"/>
      <c r="OVV207" s="2"/>
      <c r="OVW207" s="2"/>
      <c r="OVX207" s="2"/>
      <c r="OVY207" s="2"/>
      <c r="OVZ207" s="2"/>
      <c r="OWA207" s="2"/>
      <c r="OWB207" s="2"/>
      <c r="OWC207" s="2"/>
      <c r="OWD207" s="2"/>
      <c r="OWE207" s="2"/>
      <c r="OWF207" s="2"/>
      <c r="OWG207" s="2"/>
      <c r="OWH207" s="2"/>
      <c r="OWI207" s="2"/>
      <c r="OWJ207" s="2"/>
      <c r="OWK207" s="2"/>
      <c r="OWL207" s="2"/>
      <c r="OWM207" s="2"/>
      <c r="OWN207" s="2"/>
      <c r="OWO207" s="2"/>
      <c r="OWP207" s="2"/>
      <c r="OWQ207" s="2"/>
      <c r="OWR207" s="2"/>
      <c r="OWS207" s="2"/>
      <c r="OWT207" s="2"/>
      <c r="OWU207" s="2"/>
      <c r="OWV207" s="2"/>
      <c r="OWW207" s="2"/>
      <c r="OWX207" s="2"/>
      <c r="OWY207" s="2"/>
      <c r="OWZ207" s="2"/>
      <c r="OXA207" s="2"/>
      <c r="OXB207" s="2"/>
      <c r="OXC207" s="2"/>
      <c r="OXD207" s="2"/>
      <c r="OXE207" s="2"/>
      <c r="OXF207" s="2"/>
      <c r="OXG207" s="2"/>
      <c r="OXH207" s="2"/>
      <c r="OXI207" s="2"/>
      <c r="OXJ207" s="2"/>
      <c r="OXK207" s="2"/>
      <c r="OXL207" s="2"/>
      <c r="OXM207" s="2"/>
      <c r="OXN207" s="2"/>
      <c r="OXO207" s="2"/>
      <c r="OXP207" s="2"/>
      <c r="OXQ207" s="2"/>
      <c r="OXR207" s="2"/>
      <c r="OXS207" s="2"/>
      <c r="OXT207" s="2"/>
      <c r="OXU207" s="2"/>
      <c r="OXV207" s="2"/>
      <c r="OXW207" s="2"/>
      <c r="OXX207" s="2"/>
      <c r="OXY207" s="2"/>
      <c r="OXZ207" s="2"/>
      <c r="OYA207" s="2"/>
      <c r="OYB207" s="2"/>
      <c r="OYC207" s="2"/>
      <c r="OYD207" s="2"/>
      <c r="OYE207" s="2"/>
      <c r="OYF207" s="2"/>
      <c r="OYG207" s="2"/>
      <c r="OYH207" s="2"/>
      <c r="OYI207" s="2"/>
      <c r="OYJ207" s="2"/>
      <c r="OYK207" s="2"/>
      <c r="OYL207" s="2"/>
      <c r="OYM207" s="2"/>
      <c r="OYN207" s="2"/>
      <c r="OYO207" s="2"/>
      <c r="OYP207" s="2"/>
      <c r="OYQ207" s="2"/>
      <c r="OYR207" s="2"/>
      <c r="OYS207" s="2"/>
      <c r="OYT207" s="2"/>
      <c r="OYU207" s="2"/>
      <c r="OYV207" s="2"/>
      <c r="OYW207" s="2"/>
      <c r="OYX207" s="2"/>
      <c r="OYY207" s="2"/>
      <c r="OYZ207" s="2"/>
      <c r="OZA207" s="2"/>
      <c r="OZB207" s="2"/>
      <c r="OZC207" s="2"/>
      <c r="OZD207" s="2"/>
      <c r="OZE207" s="2"/>
      <c r="OZF207" s="2"/>
      <c r="OZG207" s="2"/>
      <c r="OZH207" s="2"/>
      <c r="OZI207" s="2"/>
      <c r="OZJ207" s="2"/>
      <c r="OZK207" s="2"/>
      <c r="OZL207" s="2"/>
      <c r="OZM207" s="2"/>
      <c r="OZN207" s="2"/>
      <c r="OZO207" s="2"/>
      <c r="OZP207" s="2"/>
      <c r="OZQ207" s="2"/>
      <c r="OZR207" s="2"/>
      <c r="OZS207" s="2"/>
      <c r="OZT207" s="2"/>
      <c r="OZU207" s="2"/>
      <c r="OZV207" s="2"/>
      <c r="OZW207" s="2"/>
      <c r="OZX207" s="2"/>
      <c r="OZY207" s="2"/>
      <c r="OZZ207" s="2"/>
      <c r="PAA207" s="2"/>
      <c r="PAB207" s="2"/>
      <c r="PAC207" s="2"/>
      <c r="PAD207" s="2"/>
      <c r="PAE207" s="2"/>
      <c r="PAF207" s="2"/>
      <c r="PAG207" s="2"/>
      <c r="PAH207" s="2"/>
      <c r="PAI207" s="2"/>
      <c r="PAJ207" s="2"/>
      <c r="PAK207" s="2"/>
      <c r="PAL207" s="2"/>
      <c r="PAM207" s="2"/>
      <c r="PAN207" s="2"/>
      <c r="PAO207" s="2"/>
      <c r="PAP207" s="2"/>
      <c r="PAQ207" s="2"/>
      <c r="PAR207" s="2"/>
      <c r="PAS207" s="2"/>
      <c r="PAT207" s="2"/>
      <c r="PAU207" s="2"/>
      <c r="PAV207" s="2"/>
      <c r="PAW207" s="2"/>
      <c r="PAX207" s="2"/>
      <c r="PAY207" s="2"/>
      <c r="PAZ207" s="2"/>
      <c r="PBA207" s="2"/>
      <c r="PBB207" s="2"/>
      <c r="PBC207" s="2"/>
      <c r="PBD207" s="2"/>
      <c r="PBE207" s="2"/>
      <c r="PBF207" s="2"/>
      <c r="PBG207" s="2"/>
      <c r="PBH207" s="2"/>
      <c r="PBI207" s="2"/>
      <c r="PBJ207" s="2"/>
      <c r="PBK207" s="2"/>
      <c r="PBL207" s="2"/>
      <c r="PBM207" s="2"/>
      <c r="PBN207" s="2"/>
      <c r="PBO207" s="2"/>
      <c r="PBP207" s="2"/>
      <c r="PBQ207" s="2"/>
      <c r="PBR207" s="2"/>
      <c r="PBS207" s="2"/>
      <c r="PBT207" s="2"/>
      <c r="PBU207" s="2"/>
      <c r="PBV207" s="2"/>
      <c r="PBW207" s="2"/>
      <c r="PBX207" s="2"/>
      <c r="PBY207" s="2"/>
      <c r="PBZ207" s="2"/>
      <c r="PCA207" s="2"/>
      <c r="PCB207" s="2"/>
      <c r="PCC207" s="2"/>
      <c r="PCD207" s="2"/>
      <c r="PCE207" s="2"/>
      <c r="PCF207" s="2"/>
      <c r="PCG207" s="2"/>
      <c r="PCH207" s="2"/>
      <c r="PCI207" s="2"/>
      <c r="PCJ207" s="2"/>
      <c r="PCK207" s="2"/>
      <c r="PCL207" s="2"/>
      <c r="PCM207" s="2"/>
      <c r="PCN207" s="2"/>
      <c r="PCO207" s="2"/>
      <c r="PCP207" s="2"/>
      <c r="PCQ207" s="2"/>
      <c r="PCR207" s="2"/>
      <c r="PCS207" s="2"/>
      <c r="PCT207" s="2"/>
      <c r="PCU207" s="2"/>
      <c r="PCV207" s="2"/>
      <c r="PCW207" s="2"/>
      <c r="PCX207" s="2"/>
      <c r="PCY207" s="2"/>
      <c r="PCZ207" s="2"/>
      <c r="PDA207" s="2"/>
      <c r="PDB207" s="2"/>
      <c r="PDC207" s="2"/>
      <c r="PDD207" s="2"/>
      <c r="PDE207" s="2"/>
      <c r="PDF207" s="2"/>
      <c r="PDG207" s="2"/>
      <c r="PDH207" s="2"/>
      <c r="PDI207" s="2"/>
      <c r="PDJ207" s="2"/>
      <c r="PDK207" s="2"/>
      <c r="PDL207" s="2"/>
      <c r="PDM207" s="2"/>
      <c r="PDN207" s="2"/>
      <c r="PDO207" s="2"/>
      <c r="PDP207" s="2"/>
      <c r="PDQ207" s="2"/>
      <c r="PDR207" s="2"/>
      <c r="PDS207" s="2"/>
      <c r="PDT207" s="2"/>
      <c r="PDU207" s="2"/>
      <c r="PDV207" s="2"/>
      <c r="PDW207" s="2"/>
      <c r="PDX207" s="2"/>
      <c r="PDY207" s="2"/>
      <c r="PDZ207" s="2"/>
      <c r="PEA207" s="2"/>
      <c r="PEB207" s="2"/>
      <c r="PEC207" s="2"/>
      <c r="PED207" s="2"/>
      <c r="PEE207" s="2"/>
      <c r="PEF207" s="2"/>
      <c r="PEG207" s="2"/>
      <c r="PEH207" s="2"/>
      <c r="PEI207" s="2"/>
      <c r="PEJ207" s="2"/>
      <c r="PEK207" s="2"/>
      <c r="PEL207" s="2"/>
      <c r="PEM207" s="2"/>
      <c r="PEN207" s="2"/>
      <c r="PEO207" s="2"/>
      <c r="PEP207" s="2"/>
      <c r="PEQ207" s="2"/>
      <c r="PER207" s="2"/>
      <c r="PES207" s="2"/>
      <c r="PET207" s="2"/>
      <c r="PEU207" s="2"/>
      <c r="PEV207" s="2"/>
      <c r="PEW207" s="2"/>
      <c r="PEX207" s="2"/>
      <c r="PEY207" s="2"/>
      <c r="PEZ207" s="2"/>
      <c r="PFA207" s="2"/>
      <c r="PFB207" s="2"/>
      <c r="PFC207" s="2"/>
      <c r="PFD207" s="2"/>
      <c r="PFE207" s="2"/>
      <c r="PFF207" s="2"/>
      <c r="PFG207" s="2"/>
      <c r="PFH207" s="2"/>
      <c r="PFI207" s="2"/>
      <c r="PFJ207" s="2"/>
      <c r="PFK207" s="2"/>
      <c r="PFL207" s="2"/>
      <c r="PFM207" s="2"/>
      <c r="PFN207" s="2"/>
      <c r="PFO207" s="2"/>
      <c r="PFP207" s="2"/>
      <c r="PFQ207" s="2"/>
      <c r="PFR207" s="2"/>
      <c r="PFS207" s="2"/>
      <c r="PFT207" s="2"/>
      <c r="PFU207" s="2"/>
      <c r="PFV207" s="2"/>
      <c r="PFW207" s="2"/>
      <c r="PFX207" s="2"/>
      <c r="PFY207" s="2"/>
      <c r="PFZ207" s="2"/>
      <c r="PGA207" s="2"/>
      <c r="PGB207" s="2"/>
      <c r="PGC207" s="2"/>
      <c r="PGD207" s="2"/>
      <c r="PGE207" s="2"/>
      <c r="PGF207" s="2"/>
      <c r="PGG207" s="2"/>
      <c r="PGH207" s="2"/>
      <c r="PGI207" s="2"/>
      <c r="PGJ207" s="2"/>
      <c r="PGK207" s="2"/>
      <c r="PGL207" s="2"/>
      <c r="PGM207" s="2"/>
      <c r="PGN207" s="2"/>
      <c r="PGO207" s="2"/>
      <c r="PGP207" s="2"/>
      <c r="PGQ207" s="2"/>
      <c r="PGR207" s="2"/>
      <c r="PGS207" s="2"/>
      <c r="PGT207" s="2"/>
      <c r="PGU207" s="2"/>
      <c r="PGV207" s="2"/>
      <c r="PGW207" s="2"/>
      <c r="PGX207" s="2"/>
      <c r="PGY207" s="2"/>
      <c r="PGZ207" s="2"/>
      <c r="PHA207" s="2"/>
      <c r="PHB207" s="2"/>
      <c r="PHC207" s="2"/>
      <c r="PHD207" s="2"/>
      <c r="PHE207" s="2"/>
      <c r="PHF207" s="2"/>
      <c r="PHG207" s="2"/>
      <c r="PHH207" s="2"/>
      <c r="PHI207" s="2"/>
      <c r="PHJ207" s="2"/>
      <c r="PHK207" s="2"/>
      <c r="PHL207" s="2"/>
      <c r="PHM207" s="2"/>
      <c r="PHN207" s="2"/>
      <c r="PHO207" s="2"/>
      <c r="PHP207" s="2"/>
      <c r="PHQ207" s="2"/>
      <c r="PHR207" s="2"/>
      <c r="PHS207" s="2"/>
      <c r="PHT207" s="2"/>
      <c r="PHU207" s="2"/>
      <c r="PHV207" s="2"/>
      <c r="PHW207" s="2"/>
      <c r="PHX207" s="2"/>
      <c r="PHY207" s="2"/>
      <c r="PHZ207" s="2"/>
      <c r="PIA207" s="2"/>
      <c r="PIB207" s="2"/>
      <c r="PIC207" s="2"/>
      <c r="PID207" s="2"/>
      <c r="PIE207" s="2"/>
      <c r="PIF207" s="2"/>
      <c r="PIG207" s="2"/>
      <c r="PIH207" s="2"/>
      <c r="PII207" s="2"/>
      <c r="PIJ207" s="2"/>
      <c r="PIK207" s="2"/>
      <c r="PIL207" s="2"/>
      <c r="PIM207" s="2"/>
      <c r="PIN207" s="2"/>
      <c r="PIO207" s="2"/>
      <c r="PIP207" s="2"/>
      <c r="PIQ207" s="2"/>
      <c r="PIR207" s="2"/>
      <c r="PIS207" s="2"/>
      <c r="PIT207" s="2"/>
      <c r="PIU207" s="2"/>
      <c r="PIV207" s="2"/>
      <c r="PIW207" s="2"/>
      <c r="PIX207" s="2"/>
      <c r="PIY207" s="2"/>
      <c r="PIZ207" s="2"/>
      <c r="PJA207" s="2"/>
      <c r="PJB207" s="2"/>
      <c r="PJC207" s="2"/>
      <c r="PJD207" s="2"/>
      <c r="PJE207" s="2"/>
      <c r="PJF207" s="2"/>
      <c r="PJG207" s="2"/>
      <c r="PJH207" s="2"/>
      <c r="PJI207" s="2"/>
      <c r="PJJ207" s="2"/>
      <c r="PJK207" s="2"/>
      <c r="PJL207" s="2"/>
      <c r="PJM207" s="2"/>
      <c r="PJN207" s="2"/>
      <c r="PJO207" s="2"/>
      <c r="PJP207" s="2"/>
      <c r="PJQ207" s="2"/>
      <c r="PJR207" s="2"/>
      <c r="PJS207" s="2"/>
      <c r="PJT207" s="2"/>
      <c r="PJU207" s="2"/>
      <c r="PJV207" s="2"/>
      <c r="PJW207" s="2"/>
      <c r="PJX207" s="2"/>
      <c r="PJY207" s="2"/>
      <c r="PJZ207" s="2"/>
      <c r="PKA207" s="2"/>
      <c r="PKB207" s="2"/>
      <c r="PKC207" s="2"/>
      <c r="PKD207" s="2"/>
      <c r="PKE207" s="2"/>
      <c r="PKF207" s="2"/>
      <c r="PKG207" s="2"/>
      <c r="PKH207" s="2"/>
      <c r="PKI207" s="2"/>
      <c r="PKJ207" s="2"/>
      <c r="PKK207" s="2"/>
      <c r="PKL207" s="2"/>
      <c r="PKM207" s="2"/>
      <c r="PKN207" s="2"/>
      <c r="PKO207" s="2"/>
      <c r="PKP207" s="2"/>
      <c r="PKQ207" s="2"/>
      <c r="PKR207" s="2"/>
      <c r="PKS207" s="2"/>
      <c r="PKT207" s="2"/>
      <c r="PKU207" s="2"/>
      <c r="PKV207" s="2"/>
      <c r="PKW207" s="2"/>
      <c r="PKX207" s="2"/>
      <c r="PKY207" s="2"/>
      <c r="PKZ207" s="2"/>
      <c r="PLA207" s="2"/>
      <c r="PLB207" s="2"/>
      <c r="PLC207" s="2"/>
      <c r="PLD207" s="2"/>
      <c r="PLE207" s="2"/>
      <c r="PLF207" s="2"/>
      <c r="PLG207" s="2"/>
      <c r="PLH207" s="2"/>
      <c r="PLI207" s="2"/>
      <c r="PLJ207" s="2"/>
      <c r="PLK207" s="2"/>
      <c r="PLL207" s="2"/>
      <c r="PLM207" s="2"/>
      <c r="PLN207" s="2"/>
      <c r="PLO207" s="2"/>
      <c r="PLP207" s="2"/>
      <c r="PLQ207" s="2"/>
      <c r="PLR207" s="2"/>
      <c r="PLS207" s="2"/>
      <c r="PLT207" s="2"/>
      <c r="PLU207" s="2"/>
      <c r="PLV207" s="2"/>
      <c r="PLW207" s="2"/>
      <c r="PLX207" s="2"/>
      <c r="PLY207" s="2"/>
      <c r="PLZ207" s="2"/>
      <c r="PMA207" s="2"/>
      <c r="PMB207" s="2"/>
      <c r="PMC207" s="2"/>
      <c r="PMD207" s="2"/>
      <c r="PME207" s="2"/>
      <c r="PMF207" s="2"/>
      <c r="PMG207" s="2"/>
      <c r="PMH207" s="2"/>
      <c r="PMI207" s="2"/>
      <c r="PMJ207" s="2"/>
      <c r="PMK207" s="2"/>
      <c r="PML207" s="2"/>
      <c r="PMM207" s="2"/>
      <c r="PMN207" s="2"/>
      <c r="PMO207" s="2"/>
      <c r="PMP207" s="2"/>
      <c r="PMQ207" s="2"/>
      <c r="PMR207" s="2"/>
      <c r="PMS207" s="2"/>
      <c r="PMT207" s="2"/>
      <c r="PMU207" s="2"/>
      <c r="PMV207" s="2"/>
      <c r="PMW207" s="2"/>
      <c r="PMX207" s="2"/>
      <c r="PMY207" s="2"/>
      <c r="PMZ207" s="2"/>
      <c r="PNA207" s="2"/>
      <c r="PNB207" s="2"/>
      <c r="PNC207" s="2"/>
      <c r="PND207" s="2"/>
      <c r="PNE207" s="2"/>
      <c r="PNF207" s="2"/>
      <c r="PNG207" s="2"/>
      <c r="PNH207" s="2"/>
      <c r="PNI207" s="2"/>
      <c r="PNJ207" s="2"/>
      <c r="PNK207" s="2"/>
      <c r="PNL207" s="2"/>
      <c r="PNM207" s="2"/>
      <c r="PNN207" s="2"/>
      <c r="PNO207" s="2"/>
      <c r="PNP207" s="2"/>
      <c r="PNQ207" s="2"/>
      <c r="PNR207" s="2"/>
      <c r="PNS207" s="2"/>
      <c r="PNT207" s="2"/>
      <c r="PNU207" s="2"/>
      <c r="PNV207" s="2"/>
      <c r="PNW207" s="2"/>
      <c r="PNX207" s="2"/>
      <c r="PNY207" s="2"/>
      <c r="PNZ207" s="2"/>
      <c r="POA207" s="2"/>
      <c r="POB207" s="2"/>
      <c r="POC207" s="2"/>
      <c r="POD207" s="2"/>
      <c r="POE207" s="2"/>
      <c r="POF207" s="2"/>
      <c r="POG207" s="2"/>
      <c r="POH207" s="2"/>
      <c r="POI207" s="2"/>
      <c r="POJ207" s="2"/>
      <c r="POK207" s="2"/>
      <c r="POL207" s="2"/>
      <c r="POM207" s="2"/>
      <c r="PON207" s="2"/>
      <c r="POO207" s="2"/>
      <c r="POP207" s="2"/>
      <c r="POQ207" s="2"/>
      <c r="POR207" s="2"/>
      <c r="POS207" s="2"/>
      <c r="POT207" s="2"/>
      <c r="POU207" s="2"/>
      <c r="POV207" s="2"/>
      <c r="POW207" s="2"/>
      <c r="POX207" s="2"/>
      <c r="POY207" s="2"/>
      <c r="POZ207" s="2"/>
      <c r="PPA207" s="2"/>
      <c r="PPB207" s="2"/>
      <c r="PPC207" s="2"/>
      <c r="PPD207" s="2"/>
      <c r="PPE207" s="2"/>
      <c r="PPF207" s="2"/>
      <c r="PPG207" s="2"/>
      <c r="PPH207" s="2"/>
      <c r="PPI207" s="2"/>
      <c r="PPJ207" s="2"/>
      <c r="PPK207" s="2"/>
      <c r="PPL207" s="2"/>
      <c r="PPM207" s="2"/>
      <c r="PPN207" s="2"/>
      <c r="PPO207" s="2"/>
      <c r="PPP207" s="2"/>
      <c r="PPQ207" s="2"/>
      <c r="PPR207" s="2"/>
      <c r="PPS207" s="2"/>
      <c r="PPT207" s="2"/>
      <c r="PPU207" s="2"/>
      <c r="PPV207" s="2"/>
      <c r="PPW207" s="2"/>
      <c r="PPX207" s="2"/>
      <c r="PPY207" s="2"/>
      <c r="PPZ207" s="2"/>
      <c r="PQA207" s="2"/>
      <c r="PQB207" s="2"/>
      <c r="PQC207" s="2"/>
      <c r="PQD207" s="2"/>
      <c r="PQE207" s="2"/>
      <c r="PQF207" s="2"/>
      <c r="PQG207" s="2"/>
      <c r="PQH207" s="2"/>
      <c r="PQI207" s="2"/>
      <c r="PQJ207" s="2"/>
      <c r="PQK207" s="2"/>
      <c r="PQL207" s="2"/>
      <c r="PQM207" s="2"/>
      <c r="PQN207" s="2"/>
      <c r="PQO207" s="2"/>
      <c r="PQP207" s="2"/>
      <c r="PQQ207" s="2"/>
      <c r="PQR207" s="2"/>
      <c r="PQS207" s="2"/>
      <c r="PQT207" s="2"/>
      <c r="PQU207" s="2"/>
      <c r="PQV207" s="2"/>
      <c r="PQW207" s="2"/>
      <c r="PQX207" s="2"/>
      <c r="PQY207" s="2"/>
      <c r="PQZ207" s="2"/>
      <c r="PRA207" s="2"/>
      <c r="PRB207" s="2"/>
      <c r="PRC207" s="2"/>
      <c r="PRD207" s="2"/>
      <c r="PRE207" s="2"/>
      <c r="PRF207" s="2"/>
      <c r="PRG207" s="2"/>
      <c r="PRH207" s="2"/>
      <c r="PRI207" s="2"/>
      <c r="PRJ207" s="2"/>
      <c r="PRK207" s="2"/>
      <c r="PRL207" s="2"/>
      <c r="PRM207" s="2"/>
      <c r="PRN207" s="2"/>
      <c r="PRO207" s="2"/>
      <c r="PRP207" s="2"/>
      <c r="PRQ207" s="2"/>
      <c r="PRR207" s="2"/>
      <c r="PRS207" s="2"/>
      <c r="PRT207" s="2"/>
      <c r="PRU207" s="2"/>
      <c r="PRV207" s="2"/>
      <c r="PRW207" s="2"/>
      <c r="PRX207" s="2"/>
      <c r="PRY207" s="2"/>
      <c r="PRZ207" s="2"/>
      <c r="PSA207" s="2"/>
      <c r="PSB207" s="2"/>
      <c r="PSC207" s="2"/>
      <c r="PSD207" s="2"/>
      <c r="PSE207" s="2"/>
      <c r="PSF207" s="2"/>
      <c r="PSG207" s="2"/>
      <c r="PSH207" s="2"/>
      <c r="PSI207" s="2"/>
      <c r="PSJ207" s="2"/>
      <c r="PSK207" s="2"/>
      <c r="PSL207" s="2"/>
      <c r="PSM207" s="2"/>
      <c r="PSN207" s="2"/>
      <c r="PSO207" s="2"/>
      <c r="PSP207" s="2"/>
      <c r="PSQ207" s="2"/>
      <c r="PSR207" s="2"/>
      <c r="PSS207" s="2"/>
      <c r="PST207" s="2"/>
      <c r="PSU207" s="2"/>
      <c r="PSV207" s="2"/>
      <c r="PSW207" s="2"/>
      <c r="PSX207" s="2"/>
      <c r="PSY207" s="2"/>
      <c r="PSZ207" s="2"/>
      <c r="PTA207" s="2"/>
      <c r="PTB207" s="2"/>
      <c r="PTC207" s="2"/>
      <c r="PTD207" s="2"/>
      <c r="PTE207" s="2"/>
      <c r="PTF207" s="2"/>
      <c r="PTG207" s="2"/>
      <c r="PTH207" s="2"/>
      <c r="PTI207" s="2"/>
      <c r="PTJ207" s="2"/>
      <c r="PTK207" s="2"/>
      <c r="PTL207" s="2"/>
      <c r="PTM207" s="2"/>
      <c r="PTN207" s="2"/>
      <c r="PTO207" s="2"/>
      <c r="PTP207" s="2"/>
      <c r="PTQ207" s="2"/>
      <c r="PTR207" s="2"/>
      <c r="PTS207" s="2"/>
      <c r="PTT207" s="2"/>
      <c r="PTU207" s="2"/>
      <c r="PTV207" s="2"/>
      <c r="PTW207" s="2"/>
      <c r="PTX207" s="2"/>
      <c r="PTY207" s="2"/>
      <c r="PTZ207" s="2"/>
      <c r="PUA207" s="2"/>
      <c r="PUB207" s="2"/>
      <c r="PUC207" s="2"/>
      <c r="PUD207" s="2"/>
      <c r="PUE207" s="2"/>
      <c r="PUF207" s="2"/>
      <c r="PUG207" s="2"/>
      <c r="PUH207" s="2"/>
      <c r="PUI207" s="2"/>
      <c r="PUJ207" s="2"/>
      <c r="PUK207" s="2"/>
      <c r="PUL207" s="2"/>
      <c r="PUM207" s="2"/>
      <c r="PUN207" s="2"/>
      <c r="PUO207" s="2"/>
      <c r="PUP207" s="2"/>
      <c r="PUQ207" s="2"/>
      <c r="PUR207" s="2"/>
      <c r="PUS207" s="2"/>
      <c r="PUT207" s="2"/>
      <c r="PUU207" s="2"/>
      <c r="PUV207" s="2"/>
      <c r="PUW207" s="2"/>
      <c r="PUX207" s="2"/>
      <c r="PUY207" s="2"/>
      <c r="PUZ207" s="2"/>
      <c r="PVA207" s="2"/>
      <c r="PVB207" s="2"/>
      <c r="PVC207" s="2"/>
      <c r="PVD207" s="2"/>
      <c r="PVE207" s="2"/>
      <c r="PVF207" s="2"/>
      <c r="PVG207" s="2"/>
      <c r="PVH207" s="2"/>
      <c r="PVI207" s="2"/>
      <c r="PVJ207" s="2"/>
      <c r="PVK207" s="2"/>
      <c r="PVL207" s="2"/>
      <c r="PVM207" s="2"/>
      <c r="PVN207" s="2"/>
      <c r="PVO207" s="2"/>
      <c r="PVP207" s="2"/>
      <c r="PVQ207" s="2"/>
      <c r="PVR207" s="2"/>
      <c r="PVS207" s="2"/>
      <c r="PVT207" s="2"/>
      <c r="PVU207" s="2"/>
      <c r="PVV207" s="2"/>
      <c r="PVW207" s="2"/>
      <c r="PVX207" s="2"/>
      <c r="PVY207" s="2"/>
      <c r="PVZ207" s="2"/>
      <c r="PWA207" s="2"/>
      <c r="PWB207" s="2"/>
      <c r="PWC207" s="2"/>
      <c r="PWD207" s="2"/>
      <c r="PWE207" s="2"/>
      <c r="PWF207" s="2"/>
      <c r="PWG207" s="2"/>
      <c r="PWH207" s="2"/>
      <c r="PWI207" s="2"/>
      <c r="PWJ207" s="2"/>
      <c r="PWK207" s="2"/>
      <c r="PWL207" s="2"/>
      <c r="PWM207" s="2"/>
      <c r="PWN207" s="2"/>
      <c r="PWO207" s="2"/>
      <c r="PWP207" s="2"/>
      <c r="PWQ207" s="2"/>
      <c r="PWR207" s="2"/>
      <c r="PWS207" s="2"/>
      <c r="PWT207" s="2"/>
      <c r="PWU207" s="2"/>
      <c r="PWV207" s="2"/>
      <c r="PWW207" s="2"/>
      <c r="PWX207" s="2"/>
      <c r="PWY207" s="2"/>
      <c r="PWZ207" s="2"/>
      <c r="PXA207" s="2"/>
      <c r="PXB207" s="2"/>
      <c r="PXC207" s="2"/>
      <c r="PXD207" s="2"/>
      <c r="PXE207" s="2"/>
      <c r="PXF207" s="2"/>
      <c r="PXG207" s="2"/>
      <c r="PXH207" s="2"/>
      <c r="PXI207" s="2"/>
      <c r="PXJ207" s="2"/>
      <c r="PXK207" s="2"/>
      <c r="PXL207" s="2"/>
      <c r="PXM207" s="2"/>
      <c r="PXN207" s="2"/>
      <c r="PXO207" s="2"/>
      <c r="PXP207" s="2"/>
      <c r="PXQ207" s="2"/>
      <c r="PXR207" s="2"/>
      <c r="PXS207" s="2"/>
      <c r="PXT207" s="2"/>
      <c r="PXU207" s="2"/>
      <c r="PXV207" s="2"/>
      <c r="PXW207" s="2"/>
      <c r="PXX207" s="2"/>
      <c r="PXY207" s="2"/>
      <c r="PXZ207" s="2"/>
      <c r="PYA207" s="2"/>
      <c r="PYB207" s="2"/>
      <c r="PYC207" s="2"/>
      <c r="PYD207" s="2"/>
      <c r="PYE207" s="2"/>
      <c r="PYF207" s="2"/>
      <c r="PYG207" s="2"/>
      <c r="PYH207" s="2"/>
      <c r="PYI207" s="2"/>
      <c r="PYJ207" s="2"/>
      <c r="PYK207" s="2"/>
      <c r="PYL207" s="2"/>
      <c r="PYM207" s="2"/>
      <c r="PYN207" s="2"/>
      <c r="PYO207" s="2"/>
      <c r="PYP207" s="2"/>
      <c r="PYQ207" s="2"/>
      <c r="PYR207" s="2"/>
      <c r="PYS207" s="2"/>
      <c r="PYT207" s="2"/>
      <c r="PYU207" s="2"/>
      <c r="PYV207" s="2"/>
      <c r="PYW207" s="2"/>
      <c r="PYX207" s="2"/>
      <c r="PYY207" s="2"/>
      <c r="PYZ207" s="2"/>
      <c r="PZA207" s="2"/>
      <c r="PZB207" s="2"/>
      <c r="PZC207" s="2"/>
      <c r="PZD207" s="2"/>
      <c r="PZE207" s="2"/>
      <c r="PZF207" s="2"/>
      <c r="PZG207" s="2"/>
      <c r="PZH207" s="2"/>
      <c r="PZI207" s="2"/>
      <c r="PZJ207" s="2"/>
      <c r="PZK207" s="2"/>
      <c r="PZL207" s="2"/>
      <c r="PZM207" s="2"/>
      <c r="PZN207" s="2"/>
      <c r="PZO207" s="2"/>
      <c r="PZP207" s="2"/>
      <c r="PZQ207" s="2"/>
      <c r="PZR207" s="2"/>
      <c r="PZS207" s="2"/>
      <c r="PZT207" s="2"/>
      <c r="PZU207" s="2"/>
      <c r="PZV207" s="2"/>
      <c r="PZW207" s="2"/>
      <c r="PZX207" s="2"/>
      <c r="PZY207" s="2"/>
      <c r="PZZ207" s="2"/>
      <c r="QAA207" s="2"/>
      <c r="QAB207" s="2"/>
      <c r="QAC207" s="2"/>
      <c r="QAD207" s="2"/>
      <c r="QAE207" s="2"/>
      <c r="QAF207" s="2"/>
      <c r="QAG207" s="2"/>
      <c r="QAH207" s="2"/>
      <c r="QAI207" s="2"/>
      <c r="QAJ207" s="2"/>
      <c r="QAK207" s="2"/>
      <c r="QAL207" s="2"/>
      <c r="QAM207" s="2"/>
      <c r="QAN207" s="2"/>
      <c r="QAO207" s="2"/>
      <c r="QAP207" s="2"/>
      <c r="QAQ207" s="2"/>
      <c r="QAR207" s="2"/>
      <c r="QAS207" s="2"/>
      <c r="QAT207" s="2"/>
      <c r="QAU207" s="2"/>
      <c r="QAV207" s="2"/>
      <c r="QAW207" s="2"/>
      <c r="QAX207" s="2"/>
      <c r="QAY207" s="2"/>
      <c r="QAZ207" s="2"/>
      <c r="QBA207" s="2"/>
      <c r="QBB207" s="2"/>
      <c r="QBC207" s="2"/>
      <c r="QBD207" s="2"/>
      <c r="QBE207" s="2"/>
      <c r="QBF207" s="2"/>
      <c r="QBG207" s="2"/>
      <c r="QBH207" s="2"/>
      <c r="QBI207" s="2"/>
      <c r="QBJ207" s="2"/>
      <c r="QBK207" s="2"/>
      <c r="QBL207" s="2"/>
      <c r="QBM207" s="2"/>
      <c r="QBN207" s="2"/>
      <c r="QBO207" s="2"/>
      <c r="QBP207" s="2"/>
      <c r="QBQ207" s="2"/>
      <c r="QBR207" s="2"/>
      <c r="QBS207" s="2"/>
      <c r="QBT207" s="2"/>
      <c r="QBU207" s="2"/>
      <c r="QBV207" s="2"/>
      <c r="QBW207" s="2"/>
      <c r="QBX207" s="2"/>
      <c r="QBY207" s="2"/>
      <c r="QBZ207" s="2"/>
      <c r="QCA207" s="2"/>
      <c r="QCB207" s="2"/>
      <c r="QCC207" s="2"/>
      <c r="QCD207" s="2"/>
      <c r="QCE207" s="2"/>
      <c r="QCF207" s="2"/>
      <c r="QCG207" s="2"/>
      <c r="QCH207" s="2"/>
      <c r="QCI207" s="2"/>
      <c r="QCJ207" s="2"/>
      <c r="QCK207" s="2"/>
      <c r="QCL207" s="2"/>
      <c r="QCM207" s="2"/>
      <c r="QCN207" s="2"/>
      <c r="QCO207" s="2"/>
      <c r="QCP207" s="2"/>
      <c r="QCQ207" s="2"/>
      <c r="QCR207" s="2"/>
      <c r="QCS207" s="2"/>
      <c r="QCT207" s="2"/>
      <c r="QCU207" s="2"/>
      <c r="QCV207" s="2"/>
      <c r="QCW207" s="2"/>
      <c r="QCX207" s="2"/>
      <c r="QCY207" s="2"/>
      <c r="QCZ207" s="2"/>
      <c r="QDA207" s="2"/>
      <c r="QDB207" s="2"/>
      <c r="QDC207" s="2"/>
      <c r="QDD207" s="2"/>
      <c r="QDE207" s="2"/>
      <c r="QDF207" s="2"/>
      <c r="QDG207" s="2"/>
      <c r="QDH207" s="2"/>
      <c r="QDI207" s="2"/>
      <c r="QDJ207" s="2"/>
      <c r="QDK207" s="2"/>
      <c r="QDL207" s="2"/>
      <c r="QDM207" s="2"/>
      <c r="QDN207" s="2"/>
      <c r="QDO207" s="2"/>
      <c r="QDP207" s="2"/>
      <c r="QDQ207" s="2"/>
      <c r="QDR207" s="2"/>
      <c r="QDS207" s="2"/>
      <c r="QDT207" s="2"/>
      <c r="QDU207" s="2"/>
      <c r="QDV207" s="2"/>
      <c r="QDW207" s="2"/>
      <c r="QDX207" s="2"/>
      <c r="QDY207" s="2"/>
      <c r="QDZ207" s="2"/>
      <c r="QEA207" s="2"/>
      <c r="QEB207" s="2"/>
      <c r="QEC207" s="2"/>
      <c r="QED207" s="2"/>
      <c r="QEE207" s="2"/>
      <c r="QEF207" s="2"/>
      <c r="QEG207" s="2"/>
      <c r="QEH207" s="2"/>
      <c r="QEI207" s="2"/>
      <c r="QEJ207" s="2"/>
      <c r="QEK207" s="2"/>
      <c r="QEL207" s="2"/>
      <c r="QEM207" s="2"/>
      <c r="QEN207" s="2"/>
      <c r="QEO207" s="2"/>
      <c r="QEP207" s="2"/>
      <c r="QEQ207" s="2"/>
      <c r="QER207" s="2"/>
      <c r="QES207" s="2"/>
      <c r="QET207" s="2"/>
      <c r="QEU207" s="2"/>
      <c r="QEV207" s="2"/>
      <c r="QEW207" s="2"/>
      <c r="QEX207" s="2"/>
      <c r="QEY207" s="2"/>
      <c r="QEZ207" s="2"/>
      <c r="QFA207" s="2"/>
      <c r="QFB207" s="2"/>
      <c r="QFC207" s="2"/>
      <c r="QFD207" s="2"/>
      <c r="QFE207" s="2"/>
      <c r="QFF207" s="2"/>
      <c r="QFG207" s="2"/>
      <c r="QFH207" s="2"/>
      <c r="QFI207" s="2"/>
      <c r="QFJ207" s="2"/>
      <c r="QFK207" s="2"/>
      <c r="QFL207" s="2"/>
      <c r="QFM207" s="2"/>
      <c r="QFN207" s="2"/>
      <c r="QFO207" s="2"/>
      <c r="QFP207" s="2"/>
      <c r="QFQ207" s="2"/>
      <c r="QFR207" s="2"/>
      <c r="QFS207" s="2"/>
      <c r="QFT207" s="2"/>
      <c r="QFU207" s="2"/>
      <c r="QFV207" s="2"/>
      <c r="QFW207" s="2"/>
      <c r="QFX207" s="2"/>
      <c r="QFY207" s="2"/>
      <c r="QFZ207" s="2"/>
      <c r="QGA207" s="2"/>
      <c r="QGB207" s="2"/>
      <c r="QGC207" s="2"/>
      <c r="QGD207" s="2"/>
      <c r="QGE207" s="2"/>
      <c r="QGF207" s="2"/>
      <c r="QGG207" s="2"/>
      <c r="QGH207" s="2"/>
      <c r="QGI207" s="2"/>
      <c r="QGJ207" s="2"/>
      <c r="QGK207" s="2"/>
      <c r="QGL207" s="2"/>
      <c r="QGM207" s="2"/>
      <c r="QGN207" s="2"/>
      <c r="QGO207" s="2"/>
      <c r="QGP207" s="2"/>
      <c r="QGQ207" s="2"/>
      <c r="QGR207" s="2"/>
      <c r="QGS207" s="2"/>
      <c r="QGT207" s="2"/>
      <c r="QGU207" s="2"/>
      <c r="QGV207" s="2"/>
      <c r="QGW207" s="2"/>
      <c r="QGX207" s="2"/>
      <c r="QGY207" s="2"/>
      <c r="QGZ207" s="2"/>
      <c r="QHA207" s="2"/>
      <c r="QHB207" s="2"/>
      <c r="QHC207" s="2"/>
      <c r="QHD207" s="2"/>
      <c r="QHE207" s="2"/>
      <c r="QHF207" s="2"/>
      <c r="QHG207" s="2"/>
      <c r="QHH207" s="2"/>
      <c r="QHI207" s="2"/>
      <c r="QHJ207" s="2"/>
      <c r="QHK207" s="2"/>
      <c r="QHL207" s="2"/>
      <c r="QHM207" s="2"/>
      <c r="QHN207" s="2"/>
      <c r="QHO207" s="2"/>
      <c r="QHP207" s="2"/>
      <c r="QHQ207" s="2"/>
      <c r="QHR207" s="2"/>
      <c r="QHS207" s="2"/>
      <c r="QHT207" s="2"/>
      <c r="QHU207" s="2"/>
      <c r="QHV207" s="2"/>
      <c r="QHW207" s="2"/>
      <c r="QHX207" s="2"/>
      <c r="QHY207" s="2"/>
      <c r="QHZ207" s="2"/>
      <c r="QIA207" s="2"/>
      <c r="QIB207" s="2"/>
      <c r="QIC207" s="2"/>
      <c r="QID207" s="2"/>
      <c r="QIE207" s="2"/>
      <c r="QIF207" s="2"/>
      <c r="QIG207" s="2"/>
      <c r="QIH207" s="2"/>
      <c r="QII207" s="2"/>
      <c r="QIJ207" s="2"/>
      <c r="QIK207" s="2"/>
      <c r="QIL207" s="2"/>
      <c r="QIM207" s="2"/>
      <c r="QIN207" s="2"/>
      <c r="QIO207" s="2"/>
      <c r="QIP207" s="2"/>
      <c r="QIQ207" s="2"/>
      <c r="QIR207" s="2"/>
      <c r="QIS207" s="2"/>
      <c r="QIT207" s="2"/>
      <c r="QIU207" s="2"/>
      <c r="QIV207" s="2"/>
      <c r="QIW207" s="2"/>
      <c r="QIX207" s="2"/>
      <c r="QIY207" s="2"/>
      <c r="QIZ207" s="2"/>
      <c r="QJA207" s="2"/>
      <c r="QJB207" s="2"/>
      <c r="QJC207" s="2"/>
      <c r="QJD207" s="2"/>
      <c r="QJE207" s="2"/>
      <c r="QJF207" s="2"/>
      <c r="QJG207" s="2"/>
      <c r="QJH207" s="2"/>
      <c r="QJI207" s="2"/>
      <c r="QJJ207" s="2"/>
      <c r="QJK207" s="2"/>
      <c r="QJL207" s="2"/>
      <c r="QJM207" s="2"/>
      <c r="QJN207" s="2"/>
      <c r="QJO207" s="2"/>
      <c r="QJP207" s="2"/>
      <c r="QJQ207" s="2"/>
      <c r="QJR207" s="2"/>
      <c r="QJS207" s="2"/>
      <c r="QJT207" s="2"/>
      <c r="QJU207" s="2"/>
      <c r="QJV207" s="2"/>
      <c r="QJW207" s="2"/>
      <c r="QJX207" s="2"/>
      <c r="QJY207" s="2"/>
      <c r="QJZ207" s="2"/>
      <c r="QKA207" s="2"/>
      <c r="QKB207" s="2"/>
      <c r="QKC207" s="2"/>
      <c r="QKD207" s="2"/>
      <c r="QKE207" s="2"/>
      <c r="QKF207" s="2"/>
      <c r="QKG207" s="2"/>
      <c r="QKH207" s="2"/>
      <c r="QKI207" s="2"/>
      <c r="QKJ207" s="2"/>
      <c r="QKK207" s="2"/>
      <c r="QKL207" s="2"/>
      <c r="QKM207" s="2"/>
      <c r="QKN207" s="2"/>
      <c r="QKO207" s="2"/>
      <c r="QKP207" s="2"/>
      <c r="QKQ207" s="2"/>
      <c r="QKR207" s="2"/>
      <c r="QKS207" s="2"/>
      <c r="QKT207" s="2"/>
      <c r="QKU207" s="2"/>
      <c r="QKV207" s="2"/>
      <c r="QKW207" s="2"/>
      <c r="QKX207" s="2"/>
      <c r="QKY207" s="2"/>
      <c r="QKZ207" s="2"/>
      <c r="QLA207" s="2"/>
      <c r="QLB207" s="2"/>
      <c r="QLC207" s="2"/>
      <c r="QLD207" s="2"/>
      <c r="QLE207" s="2"/>
      <c r="QLF207" s="2"/>
      <c r="QLG207" s="2"/>
      <c r="QLH207" s="2"/>
      <c r="QLI207" s="2"/>
      <c r="QLJ207" s="2"/>
      <c r="QLK207" s="2"/>
      <c r="QLL207" s="2"/>
      <c r="QLM207" s="2"/>
      <c r="QLN207" s="2"/>
      <c r="QLO207" s="2"/>
      <c r="QLP207" s="2"/>
      <c r="QLQ207" s="2"/>
      <c r="QLR207" s="2"/>
      <c r="QLS207" s="2"/>
      <c r="QLT207" s="2"/>
      <c r="QLU207" s="2"/>
      <c r="QLV207" s="2"/>
      <c r="QLW207" s="2"/>
      <c r="QLX207" s="2"/>
      <c r="QLY207" s="2"/>
      <c r="QLZ207" s="2"/>
      <c r="QMA207" s="2"/>
      <c r="QMB207" s="2"/>
      <c r="QMC207" s="2"/>
      <c r="QMD207" s="2"/>
      <c r="QME207" s="2"/>
      <c r="QMF207" s="2"/>
      <c r="QMG207" s="2"/>
      <c r="QMH207" s="2"/>
      <c r="QMI207" s="2"/>
      <c r="QMJ207" s="2"/>
      <c r="QMK207" s="2"/>
      <c r="QML207" s="2"/>
      <c r="QMM207" s="2"/>
      <c r="QMN207" s="2"/>
      <c r="QMO207" s="2"/>
      <c r="QMP207" s="2"/>
      <c r="QMQ207" s="2"/>
      <c r="QMR207" s="2"/>
      <c r="QMS207" s="2"/>
      <c r="QMT207" s="2"/>
      <c r="QMU207" s="2"/>
      <c r="QMV207" s="2"/>
      <c r="QMW207" s="2"/>
      <c r="QMX207" s="2"/>
      <c r="QMY207" s="2"/>
      <c r="QMZ207" s="2"/>
      <c r="QNA207" s="2"/>
      <c r="QNB207" s="2"/>
      <c r="QNC207" s="2"/>
      <c r="QND207" s="2"/>
      <c r="QNE207" s="2"/>
      <c r="QNF207" s="2"/>
      <c r="QNG207" s="2"/>
      <c r="QNH207" s="2"/>
      <c r="QNI207" s="2"/>
      <c r="QNJ207" s="2"/>
      <c r="QNK207" s="2"/>
      <c r="QNL207" s="2"/>
      <c r="QNM207" s="2"/>
      <c r="QNN207" s="2"/>
      <c r="QNO207" s="2"/>
      <c r="QNP207" s="2"/>
      <c r="QNQ207" s="2"/>
      <c r="QNR207" s="2"/>
      <c r="QNS207" s="2"/>
      <c r="QNT207" s="2"/>
      <c r="QNU207" s="2"/>
      <c r="QNV207" s="2"/>
      <c r="QNW207" s="2"/>
      <c r="QNX207" s="2"/>
      <c r="QNY207" s="2"/>
      <c r="QNZ207" s="2"/>
      <c r="QOA207" s="2"/>
      <c r="QOB207" s="2"/>
      <c r="QOC207" s="2"/>
      <c r="QOD207" s="2"/>
      <c r="QOE207" s="2"/>
      <c r="QOF207" s="2"/>
      <c r="QOG207" s="2"/>
      <c r="QOH207" s="2"/>
      <c r="QOI207" s="2"/>
      <c r="QOJ207" s="2"/>
      <c r="QOK207" s="2"/>
      <c r="QOL207" s="2"/>
      <c r="QOM207" s="2"/>
      <c r="QON207" s="2"/>
      <c r="QOO207" s="2"/>
      <c r="QOP207" s="2"/>
      <c r="QOQ207" s="2"/>
      <c r="QOR207" s="2"/>
      <c r="QOS207" s="2"/>
      <c r="QOT207" s="2"/>
      <c r="QOU207" s="2"/>
      <c r="QOV207" s="2"/>
      <c r="QOW207" s="2"/>
      <c r="QOX207" s="2"/>
      <c r="QOY207" s="2"/>
      <c r="QOZ207" s="2"/>
      <c r="QPA207" s="2"/>
      <c r="QPB207" s="2"/>
      <c r="QPC207" s="2"/>
      <c r="QPD207" s="2"/>
      <c r="QPE207" s="2"/>
      <c r="QPF207" s="2"/>
      <c r="QPG207" s="2"/>
      <c r="QPH207" s="2"/>
      <c r="QPI207" s="2"/>
      <c r="QPJ207" s="2"/>
      <c r="QPK207" s="2"/>
      <c r="QPL207" s="2"/>
      <c r="QPM207" s="2"/>
      <c r="QPN207" s="2"/>
      <c r="QPO207" s="2"/>
      <c r="QPP207" s="2"/>
      <c r="QPQ207" s="2"/>
      <c r="QPR207" s="2"/>
      <c r="QPS207" s="2"/>
      <c r="QPT207" s="2"/>
      <c r="QPU207" s="2"/>
      <c r="QPV207" s="2"/>
      <c r="QPW207" s="2"/>
      <c r="QPX207" s="2"/>
      <c r="QPY207" s="2"/>
      <c r="QPZ207" s="2"/>
      <c r="QQA207" s="2"/>
      <c r="QQB207" s="2"/>
      <c r="QQC207" s="2"/>
      <c r="QQD207" s="2"/>
      <c r="QQE207" s="2"/>
      <c r="QQF207" s="2"/>
      <c r="QQG207" s="2"/>
      <c r="QQH207" s="2"/>
      <c r="QQI207" s="2"/>
      <c r="QQJ207" s="2"/>
      <c r="QQK207" s="2"/>
      <c r="QQL207" s="2"/>
      <c r="QQM207" s="2"/>
      <c r="QQN207" s="2"/>
      <c r="QQO207" s="2"/>
      <c r="QQP207" s="2"/>
      <c r="QQQ207" s="2"/>
      <c r="QQR207" s="2"/>
      <c r="QQS207" s="2"/>
      <c r="QQT207" s="2"/>
      <c r="QQU207" s="2"/>
      <c r="QQV207" s="2"/>
      <c r="QQW207" s="2"/>
      <c r="QQX207" s="2"/>
      <c r="QQY207" s="2"/>
      <c r="QQZ207" s="2"/>
      <c r="QRA207" s="2"/>
      <c r="QRB207" s="2"/>
      <c r="QRC207" s="2"/>
      <c r="QRD207" s="2"/>
      <c r="QRE207" s="2"/>
      <c r="QRF207" s="2"/>
      <c r="QRG207" s="2"/>
      <c r="QRH207" s="2"/>
      <c r="QRI207" s="2"/>
      <c r="QRJ207" s="2"/>
      <c r="QRK207" s="2"/>
      <c r="QRL207" s="2"/>
      <c r="QRM207" s="2"/>
      <c r="QRN207" s="2"/>
      <c r="QRO207" s="2"/>
      <c r="QRP207" s="2"/>
      <c r="QRQ207" s="2"/>
      <c r="QRR207" s="2"/>
      <c r="QRS207" s="2"/>
      <c r="QRT207" s="2"/>
      <c r="QRU207" s="2"/>
      <c r="QRV207" s="2"/>
      <c r="QRW207" s="2"/>
      <c r="QRX207" s="2"/>
      <c r="QRY207" s="2"/>
      <c r="QRZ207" s="2"/>
      <c r="QSA207" s="2"/>
      <c r="QSB207" s="2"/>
      <c r="QSC207" s="2"/>
      <c r="QSD207" s="2"/>
      <c r="QSE207" s="2"/>
      <c r="QSF207" s="2"/>
      <c r="QSG207" s="2"/>
      <c r="QSH207" s="2"/>
      <c r="QSI207" s="2"/>
      <c r="QSJ207" s="2"/>
      <c r="QSK207" s="2"/>
      <c r="QSL207" s="2"/>
      <c r="QSM207" s="2"/>
      <c r="QSN207" s="2"/>
      <c r="QSO207" s="2"/>
      <c r="QSP207" s="2"/>
      <c r="QSQ207" s="2"/>
      <c r="QSR207" s="2"/>
      <c r="QSS207" s="2"/>
      <c r="QST207" s="2"/>
      <c r="QSU207" s="2"/>
      <c r="QSV207" s="2"/>
      <c r="QSW207" s="2"/>
      <c r="QSX207" s="2"/>
      <c r="QSY207" s="2"/>
      <c r="QSZ207" s="2"/>
      <c r="QTA207" s="2"/>
      <c r="QTB207" s="2"/>
      <c r="QTC207" s="2"/>
      <c r="QTD207" s="2"/>
      <c r="QTE207" s="2"/>
      <c r="QTF207" s="2"/>
      <c r="QTG207" s="2"/>
      <c r="QTH207" s="2"/>
      <c r="QTI207" s="2"/>
      <c r="QTJ207" s="2"/>
      <c r="QTK207" s="2"/>
      <c r="QTL207" s="2"/>
      <c r="QTM207" s="2"/>
      <c r="QTN207" s="2"/>
      <c r="QTO207" s="2"/>
      <c r="QTP207" s="2"/>
      <c r="QTQ207" s="2"/>
      <c r="QTR207" s="2"/>
      <c r="QTS207" s="2"/>
      <c r="QTT207" s="2"/>
      <c r="QTU207" s="2"/>
      <c r="QTV207" s="2"/>
      <c r="QTW207" s="2"/>
      <c r="QTX207" s="2"/>
      <c r="QTY207" s="2"/>
      <c r="QTZ207" s="2"/>
      <c r="QUA207" s="2"/>
      <c r="QUB207" s="2"/>
      <c r="QUC207" s="2"/>
      <c r="QUD207" s="2"/>
      <c r="QUE207" s="2"/>
      <c r="QUF207" s="2"/>
      <c r="QUG207" s="2"/>
      <c r="QUH207" s="2"/>
      <c r="QUI207" s="2"/>
      <c r="QUJ207" s="2"/>
      <c r="QUK207" s="2"/>
      <c r="QUL207" s="2"/>
      <c r="QUM207" s="2"/>
      <c r="QUN207" s="2"/>
      <c r="QUO207" s="2"/>
      <c r="QUP207" s="2"/>
      <c r="QUQ207" s="2"/>
      <c r="QUR207" s="2"/>
      <c r="QUS207" s="2"/>
      <c r="QUT207" s="2"/>
      <c r="QUU207" s="2"/>
      <c r="QUV207" s="2"/>
      <c r="QUW207" s="2"/>
      <c r="QUX207" s="2"/>
      <c r="QUY207" s="2"/>
      <c r="QUZ207" s="2"/>
      <c r="QVA207" s="2"/>
      <c r="QVB207" s="2"/>
      <c r="QVC207" s="2"/>
      <c r="QVD207" s="2"/>
      <c r="QVE207" s="2"/>
      <c r="QVF207" s="2"/>
      <c r="QVG207" s="2"/>
      <c r="QVH207" s="2"/>
      <c r="QVI207" s="2"/>
      <c r="QVJ207" s="2"/>
      <c r="QVK207" s="2"/>
      <c r="QVL207" s="2"/>
      <c r="QVM207" s="2"/>
      <c r="QVN207" s="2"/>
      <c r="QVO207" s="2"/>
      <c r="QVP207" s="2"/>
      <c r="QVQ207" s="2"/>
      <c r="QVR207" s="2"/>
      <c r="QVS207" s="2"/>
      <c r="QVT207" s="2"/>
      <c r="QVU207" s="2"/>
      <c r="QVV207" s="2"/>
      <c r="QVW207" s="2"/>
      <c r="QVX207" s="2"/>
      <c r="QVY207" s="2"/>
      <c r="QVZ207" s="2"/>
      <c r="QWA207" s="2"/>
      <c r="QWB207" s="2"/>
      <c r="QWC207" s="2"/>
      <c r="QWD207" s="2"/>
      <c r="QWE207" s="2"/>
      <c r="QWF207" s="2"/>
      <c r="QWG207" s="2"/>
      <c r="QWH207" s="2"/>
      <c r="QWI207" s="2"/>
      <c r="QWJ207" s="2"/>
      <c r="QWK207" s="2"/>
      <c r="QWL207" s="2"/>
      <c r="QWM207" s="2"/>
      <c r="QWN207" s="2"/>
      <c r="QWO207" s="2"/>
      <c r="QWP207" s="2"/>
      <c r="QWQ207" s="2"/>
      <c r="QWR207" s="2"/>
      <c r="QWS207" s="2"/>
      <c r="QWT207" s="2"/>
      <c r="QWU207" s="2"/>
      <c r="QWV207" s="2"/>
      <c r="QWW207" s="2"/>
      <c r="QWX207" s="2"/>
      <c r="QWY207" s="2"/>
      <c r="QWZ207" s="2"/>
      <c r="QXA207" s="2"/>
      <c r="QXB207" s="2"/>
      <c r="QXC207" s="2"/>
      <c r="QXD207" s="2"/>
      <c r="QXE207" s="2"/>
      <c r="QXF207" s="2"/>
      <c r="QXG207" s="2"/>
      <c r="QXH207" s="2"/>
      <c r="QXI207" s="2"/>
      <c r="QXJ207" s="2"/>
      <c r="QXK207" s="2"/>
      <c r="QXL207" s="2"/>
      <c r="QXM207" s="2"/>
      <c r="QXN207" s="2"/>
      <c r="QXO207" s="2"/>
      <c r="QXP207" s="2"/>
      <c r="QXQ207" s="2"/>
      <c r="QXR207" s="2"/>
      <c r="QXS207" s="2"/>
      <c r="QXT207" s="2"/>
      <c r="QXU207" s="2"/>
      <c r="QXV207" s="2"/>
      <c r="QXW207" s="2"/>
      <c r="QXX207" s="2"/>
      <c r="QXY207" s="2"/>
      <c r="QXZ207" s="2"/>
      <c r="QYA207" s="2"/>
      <c r="QYB207" s="2"/>
      <c r="QYC207" s="2"/>
      <c r="QYD207" s="2"/>
      <c r="QYE207" s="2"/>
      <c r="QYF207" s="2"/>
      <c r="QYG207" s="2"/>
      <c r="QYH207" s="2"/>
      <c r="QYI207" s="2"/>
      <c r="QYJ207" s="2"/>
      <c r="QYK207" s="2"/>
      <c r="QYL207" s="2"/>
      <c r="QYM207" s="2"/>
      <c r="QYN207" s="2"/>
      <c r="QYO207" s="2"/>
      <c r="QYP207" s="2"/>
      <c r="QYQ207" s="2"/>
      <c r="QYR207" s="2"/>
      <c r="QYS207" s="2"/>
      <c r="QYT207" s="2"/>
      <c r="QYU207" s="2"/>
      <c r="QYV207" s="2"/>
      <c r="QYW207" s="2"/>
      <c r="QYX207" s="2"/>
      <c r="QYY207" s="2"/>
      <c r="QYZ207" s="2"/>
      <c r="QZA207" s="2"/>
      <c r="QZB207" s="2"/>
      <c r="QZC207" s="2"/>
      <c r="QZD207" s="2"/>
      <c r="QZE207" s="2"/>
      <c r="QZF207" s="2"/>
      <c r="QZG207" s="2"/>
      <c r="QZH207" s="2"/>
      <c r="QZI207" s="2"/>
      <c r="QZJ207" s="2"/>
      <c r="QZK207" s="2"/>
      <c r="QZL207" s="2"/>
      <c r="QZM207" s="2"/>
      <c r="QZN207" s="2"/>
      <c r="QZO207" s="2"/>
      <c r="QZP207" s="2"/>
      <c r="QZQ207" s="2"/>
      <c r="QZR207" s="2"/>
      <c r="QZS207" s="2"/>
      <c r="QZT207" s="2"/>
      <c r="QZU207" s="2"/>
      <c r="QZV207" s="2"/>
      <c r="QZW207" s="2"/>
      <c r="QZX207" s="2"/>
      <c r="QZY207" s="2"/>
      <c r="QZZ207" s="2"/>
      <c r="RAA207" s="2"/>
      <c r="RAB207" s="2"/>
      <c r="RAC207" s="2"/>
      <c r="RAD207" s="2"/>
      <c r="RAE207" s="2"/>
      <c r="RAF207" s="2"/>
      <c r="RAG207" s="2"/>
      <c r="RAH207" s="2"/>
      <c r="RAI207" s="2"/>
      <c r="RAJ207" s="2"/>
      <c r="RAK207" s="2"/>
      <c r="RAL207" s="2"/>
      <c r="RAM207" s="2"/>
      <c r="RAN207" s="2"/>
      <c r="RAO207" s="2"/>
      <c r="RAP207" s="2"/>
      <c r="RAQ207" s="2"/>
      <c r="RAR207" s="2"/>
      <c r="RAS207" s="2"/>
      <c r="RAT207" s="2"/>
      <c r="RAU207" s="2"/>
      <c r="RAV207" s="2"/>
      <c r="RAW207" s="2"/>
      <c r="RAX207" s="2"/>
      <c r="RAY207" s="2"/>
      <c r="RAZ207" s="2"/>
      <c r="RBA207" s="2"/>
      <c r="RBB207" s="2"/>
      <c r="RBC207" s="2"/>
      <c r="RBD207" s="2"/>
      <c r="RBE207" s="2"/>
      <c r="RBF207" s="2"/>
      <c r="RBG207" s="2"/>
      <c r="RBH207" s="2"/>
      <c r="RBI207" s="2"/>
      <c r="RBJ207" s="2"/>
      <c r="RBK207" s="2"/>
      <c r="RBL207" s="2"/>
      <c r="RBM207" s="2"/>
      <c r="RBN207" s="2"/>
      <c r="RBO207" s="2"/>
      <c r="RBP207" s="2"/>
      <c r="RBQ207" s="2"/>
      <c r="RBR207" s="2"/>
      <c r="RBS207" s="2"/>
      <c r="RBT207" s="2"/>
      <c r="RBU207" s="2"/>
      <c r="RBV207" s="2"/>
      <c r="RBW207" s="2"/>
      <c r="RBX207" s="2"/>
      <c r="RBY207" s="2"/>
      <c r="RBZ207" s="2"/>
      <c r="RCA207" s="2"/>
      <c r="RCB207" s="2"/>
      <c r="RCC207" s="2"/>
      <c r="RCD207" s="2"/>
      <c r="RCE207" s="2"/>
      <c r="RCF207" s="2"/>
      <c r="RCG207" s="2"/>
      <c r="RCH207" s="2"/>
      <c r="RCI207" s="2"/>
      <c r="RCJ207" s="2"/>
      <c r="RCK207" s="2"/>
      <c r="RCL207" s="2"/>
      <c r="RCM207" s="2"/>
      <c r="RCN207" s="2"/>
      <c r="RCO207" s="2"/>
      <c r="RCP207" s="2"/>
      <c r="RCQ207" s="2"/>
      <c r="RCR207" s="2"/>
      <c r="RCS207" s="2"/>
      <c r="RCT207" s="2"/>
      <c r="RCU207" s="2"/>
      <c r="RCV207" s="2"/>
      <c r="RCW207" s="2"/>
      <c r="RCX207" s="2"/>
      <c r="RCY207" s="2"/>
      <c r="RCZ207" s="2"/>
      <c r="RDA207" s="2"/>
      <c r="RDB207" s="2"/>
      <c r="RDC207" s="2"/>
      <c r="RDD207" s="2"/>
      <c r="RDE207" s="2"/>
      <c r="RDF207" s="2"/>
      <c r="RDG207" s="2"/>
      <c r="RDH207" s="2"/>
      <c r="RDI207" s="2"/>
      <c r="RDJ207" s="2"/>
      <c r="RDK207" s="2"/>
      <c r="RDL207" s="2"/>
      <c r="RDM207" s="2"/>
      <c r="RDN207" s="2"/>
      <c r="RDO207" s="2"/>
      <c r="RDP207" s="2"/>
      <c r="RDQ207" s="2"/>
      <c r="RDR207" s="2"/>
      <c r="RDS207" s="2"/>
      <c r="RDT207" s="2"/>
      <c r="RDU207" s="2"/>
      <c r="RDV207" s="2"/>
      <c r="RDW207" s="2"/>
      <c r="RDX207" s="2"/>
      <c r="RDY207" s="2"/>
      <c r="RDZ207" s="2"/>
      <c r="REA207" s="2"/>
      <c r="REB207" s="2"/>
      <c r="REC207" s="2"/>
      <c r="RED207" s="2"/>
      <c r="REE207" s="2"/>
      <c r="REF207" s="2"/>
      <c r="REG207" s="2"/>
      <c r="REH207" s="2"/>
      <c r="REI207" s="2"/>
      <c r="REJ207" s="2"/>
      <c r="REK207" s="2"/>
      <c r="REL207" s="2"/>
      <c r="REM207" s="2"/>
      <c r="REN207" s="2"/>
      <c r="REO207" s="2"/>
      <c r="REP207" s="2"/>
      <c r="REQ207" s="2"/>
      <c r="RER207" s="2"/>
      <c r="RES207" s="2"/>
      <c r="RET207" s="2"/>
      <c r="REU207" s="2"/>
      <c r="REV207" s="2"/>
      <c r="REW207" s="2"/>
      <c r="REX207" s="2"/>
      <c r="REY207" s="2"/>
      <c r="REZ207" s="2"/>
      <c r="RFA207" s="2"/>
      <c r="RFB207" s="2"/>
      <c r="RFC207" s="2"/>
      <c r="RFD207" s="2"/>
      <c r="RFE207" s="2"/>
      <c r="RFF207" s="2"/>
      <c r="RFG207" s="2"/>
      <c r="RFH207" s="2"/>
      <c r="RFI207" s="2"/>
      <c r="RFJ207" s="2"/>
      <c r="RFK207" s="2"/>
      <c r="RFL207" s="2"/>
      <c r="RFM207" s="2"/>
      <c r="RFN207" s="2"/>
      <c r="RFO207" s="2"/>
      <c r="RFP207" s="2"/>
      <c r="RFQ207" s="2"/>
      <c r="RFR207" s="2"/>
      <c r="RFS207" s="2"/>
      <c r="RFT207" s="2"/>
      <c r="RFU207" s="2"/>
      <c r="RFV207" s="2"/>
      <c r="RFW207" s="2"/>
      <c r="RFX207" s="2"/>
      <c r="RFY207" s="2"/>
      <c r="RFZ207" s="2"/>
      <c r="RGA207" s="2"/>
      <c r="RGB207" s="2"/>
      <c r="RGC207" s="2"/>
      <c r="RGD207" s="2"/>
      <c r="RGE207" s="2"/>
      <c r="RGF207" s="2"/>
      <c r="RGG207" s="2"/>
      <c r="RGH207" s="2"/>
      <c r="RGI207" s="2"/>
      <c r="RGJ207" s="2"/>
      <c r="RGK207" s="2"/>
      <c r="RGL207" s="2"/>
      <c r="RGM207" s="2"/>
      <c r="RGN207" s="2"/>
      <c r="RGO207" s="2"/>
      <c r="RGP207" s="2"/>
      <c r="RGQ207" s="2"/>
      <c r="RGR207" s="2"/>
      <c r="RGS207" s="2"/>
      <c r="RGT207" s="2"/>
      <c r="RGU207" s="2"/>
      <c r="RGV207" s="2"/>
      <c r="RGW207" s="2"/>
      <c r="RGX207" s="2"/>
      <c r="RGY207" s="2"/>
      <c r="RGZ207" s="2"/>
      <c r="RHA207" s="2"/>
      <c r="RHB207" s="2"/>
      <c r="RHC207" s="2"/>
      <c r="RHD207" s="2"/>
      <c r="RHE207" s="2"/>
      <c r="RHF207" s="2"/>
      <c r="RHG207" s="2"/>
      <c r="RHH207" s="2"/>
      <c r="RHI207" s="2"/>
      <c r="RHJ207" s="2"/>
      <c r="RHK207" s="2"/>
      <c r="RHL207" s="2"/>
      <c r="RHM207" s="2"/>
      <c r="RHN207" s="2"/>
      <c r="RHO207" s="2"/>
      <c r="RHP207" s="2"/>
      <c r="RHQ207" s="2"/>
      <c r="RHR207" s="2"/>
      <c r="RHS207" s="2"/>
      <c r="RHT207" s="2"/>
      <c r="RHU207" s="2"/>
      <c r="RHV207" s="2"/>
      <c r="RHW207" s="2"/>
      <c r="RHX207" s="2"/>
      <c r="RHY207" s="2"/>
      <c r="RHZ207" s="2"/>
      <c r="RIA207" s="2"/>
      <c r="RIB207" s="2"/>
      <c r="RIC207" s="2"/>
      <c r="RID207" s="2"/>
      <c r="RIE207" s="2"/>
      <c r="RIF207" s="2"/>
      <c r="RIG207" s="2"/>
      <c r="RIH207" s="2"/>
      <c r="RII207" s="2"/>
      <c r="RIJ207" s="2"/>
      <c r="RIK207" s="2"/>
      <c r="RIL207" s="2"/>
      <c r="RIM207" s="2"/>
      <c r="RIN207" s="2"/>
      <c r="RIO207" s="2"/>
      <c r="RIP207" s="2"/>
      <c r="RIQ207" s="2"/>
      <c r="RIR207" s="2"/>
      <c r="RIS207" s="2"/>
      <c r="RIT207" s="2"/>
      <c r="RIU207" s="2"/>
      <c r="RIV207" s="2"/>
      <c r="RIW207" s="2"/>
      <c r="RIX207" s="2"/>
      <c r="RIY207" s="2"/>
      <c r="RIZ207" s="2"/>
      <c r="RJA207" s="2"/>
      <c r="RJB207" s="2"/>
      <c r="RJC207" s="2"/>
      <c r="RJD207" s="2"/>
      <c r="RJE207" s="2"/>
      <c r="RJF207" s="2"/>
      <c r="RJG207" s="2"/>
      <c r="RJH207" s="2"/>
      <c r="RJI207" s="2"/>
      <c r="RJJ207" s="2"/>
      <c r="RJK207" s="2"/>
      <c r="RJL207" s="2"/>
      <c r="RJM207" s="2"/>
      <c r="RJN207" s="2"/>
      <c r="RJO207" s="2"/>
      <c r="RJP207" s="2"/>
      <c r="RJQ207" s="2"/>
      <c r="RJR207" s="2"/>
      <c r="RJS207" s="2"/>
      <c r="RJT207" s="2"/>
      <c r="RJU207" s="2"/>
      <c r="RJV207" s="2"/>
      <c r="RJW207" s="2"/>
      <c r="RJX207" s="2"/>
      <c r="RJY207" s="2"/>
      <c r="RJZ207" s="2"/>
      <c r="RKA207" s="2"/>
      <c r="RKB207" s="2"/>
      <c r="RKC207" s="2"/>
      <c r="RKD207" s="2"/>
      <c r="RKE207" s="2"/>
      <c r="RKF207" s="2"/>
      <c r="RKG207" s="2"/>
      <c r="RKH207" s="2"/>
      <c r="RKI207" s="2"/>
      <c r="RKJ207" s="2"/>
      <c r="RKK207" s="2"/>
      <c r="RKL207" s="2"/>
      <c r="RKM207" s="2"/>
      <c r="RKN207" s="2"/>
      <c r="RKO207" s="2"/>
      <c r="RKP207" s="2"/>
      <c r="RKQ207" s="2"/>
      <c r="RKR207" s="2"/>
      <c r="RKS207" s="2"/>
      <c r="RKT207" s="2"/>
      <c r="RKU207" s="2"/>
      <c r="RKV207" s="2"/>
      <c r="RKW207" s="2"/>
      <c r="RKX207" s="2"/>
      <c r="RKY207" s="2"/>
      <c r="RKZ207" s="2"/>
      <c r="RLA207" s="2"/>
      <c r="RLB207" s="2"/>
      <c r="RLC207" s="2"/>
      <c r="RLD207" s="2"/>
      <c r="RLE207" s="2"/>
      <c r="RLF207" s="2"/>
      <c r="RLG207" s="2"/>
      <c r="RLH207" s="2"/>
      <c r="RLI207" s="2"/>
      <c r="RLJ207" s="2"/>
      <c r="RLK207" s="2"/>
      <c r="RLL207" s="2"/>
      <c r="RLM207" s="2"/>
      <c r="RLN207" s="2"/>
      <c r="RLO207" s="2"/>
      <c r="RLP207" s="2"/>
      <c r="RLQ207" s="2"/>
      <c r="RLR207" s="2"/>
      <c r="RLS207" s="2"/>
      <c r="RLT207" s="2"/>
      <c r="RLU207" s="2"/>
      <c r="RLV207" s="2"/>
      <c r="RLW207" s="2"/>
      <c r="RLX207" s="2"/>
      <c r="RLY207" s="2"/>
      <c r="RLZ207" s="2"/>
      <c r="RMA207" s="2"/>
      <c r="RMB207" s="2"/>
      <c r="RMC207" s="2"/>
      <c r="RMD207" s="2"/>
      <c r="RME207" s="2"/>
      <c r="RMF207" s="2"/>
      <c r="RMG207" s="2"/>
      <c r="RMH207" s="2"/>
      <c r="RMI207" s="2"/>
      <c r="RMJ207" s="2"/>
      <c r="RMK207" s="2"/>
      <c r="RML207" s="2"/>
      <c r="RMM207" s="2"/>
      <c r="RMN207" s="2"/>
      <c r="RMO207" s="2"/>
      <c r="RMP207" s="2"/>
      <c r="RMQ207" s="2"/>
      <c r="RMR207" s="2"/>
      <c r="RMS207" s="2"/>
      <c r="RMT207" s="2"/>
      <c r="RMU207" s="2"/>
      <c r="RMV207" s="2"/>
      <c r="RMW207" s="2"/>
      <c r="RMX207" s="2"/>
      <c r="RMY207" s="2"/>
      <c r="RMZ207" s="2"/>
      <c r="RNA207" s="2"/>
      <c r="RNB207" s="2"/>
      <c r="RNC207" s="2"/>
      <c r="RND207" s="2"/>
      <c r="RNE207" s="2"/>
      <c r="RNF207" s="2"/>
      <c r="RNG207" s="2"/>
      <c r="RNH207" s="2"/>
      <c r="RNI207" s="2"/>
      <c r="RNJ207" s="2"/>
      <c r="RNK207" s="2"/>
      <c r="RNL207" s="2"/>
      <c r="RNM207" s="2"/>
      <c r="RNN207" s="2"/>
      <c r="RNO207" s="2"/>
      <c r="RNP207" s="2"/>
      <c r="RNQ207" s="2"/>
      <c r="RNR207" s="2"/>
      <c r="RNS207" s="2"/>
      <c r="RNT207" s="2"/>
      <c r="RNU207" s="2"/>
      <c r="RNV207" s="2"/>
      <c r="RNW207" s="2"/>
      <c r="RNX207" s="2"/>
      <c r="RNY207" s="2"/>
      <c r="RNZ207" s="2"/>
      <c r="ROA207" s="2"/>
      <c r="ROB207" s="2"/>
      <c r="ROC207" s="2"/>
      <c r="ROD207" s="2"/>
      <c r="ROE207" s="2"/>
      <c r="ROF207" s="2"/>
      <c r="ROG207" s="2"/>
      <c r="ROH207" s="2"/>
      <c r="ROI207" s="2"/>
      <c r="ROJ207" s="2"/>
      <c r="ROK207" s="2"/>
      <c r="ROL207" s="2"/>
      <c r="ROM207" s="2"/>
      <c r="RON207" s="2"/>
      <c r="ROO207" s="2"/>
      <c r="ROP207" s="2"/>
      <c r="ROQ207" s="2"/>
      <c r="ROR207" s="2"/>
      <c r="ROS207" s="2"/>
      <c r="ROT207" s="2"/>
      <c r="ROU207" s="2"/>
      <c r="ROV207" s="2"/>
      <c r="ROW207" s="2"/>
      <c r="ROX207" s="2"/>
      <c r="ROY207" s="2"/>
      <c r="ROZ207" s="2"/>
      <c r="RPA207" s="2"/>
      <c r="RPB207" s="2"/>
      <c r="RPC207" s="2"/>
      <c r="RPD207" s="2"/>
      <c r="RPE207" s="2"/>
      <c r="RPF207" s="2"/>
      <c r="RPG207" s="2"/>
      <c r="RPH207" s="2"/>
      <c r="RPI207" s="2"/>
      <c r="RPJ207" s="2"/>
      <c r="RPK207" s="2"/>
      <c r="RPL207" s="2"/>
      <c r="RPM207" s="2"/>
      <c r="RPN207" s="2"/>
      <c r="RPO207" s="2"/>
      <c r="RPP207" s="2"/>
      <c r="RPQ207" s="2"/>
      <c r="RPR207" s="2"/>
      <c r="RPS207" s="2"/>
      <c r="RPT207" s="2"/>
      <c r="RPU207" s="2"/>
      <c r="RPV207" s="2"/>
      <c r="RPW207" s="2"/>
      <c r="RPX207" s="2"/>
      <c r="RPY207" s="2"/>
      <c r="RPZ207" s="2"/>
      <c r="RQA207" s="2"/>
      <c r="RQB207" s="2"/>
      <c r="RQC207" s="2"/>
      <c r="RQD207" s="2"/>
      <c r="RQE207" s="2"/>
      <c r="RQF207" s="2"/>
      <c r="RQG207" s="2"/>
      <c r="RQH207" s="2"/>
      <c r="RQI207" s="2"/>
      <c r="RQJ207" s="2"/>
      <c r="RQK207" s="2"/>
      <c r="RQL207" s="2"/>
      <c r="RQM207" s="2"/>
      <c r="RQN207" s="2"/>
      <c r="RQO207" s="2"/>
      <c r="RQP207" s="2"/>
      <c r="RQQ207" s="2"/>
      <c r="RQR207" s="2"/>
      <c r="RQS207" s="2"/>
      <c r="RQT207" s="2"/>
      <c r="RQU207" s="2"/>
      <c r="RQV207" s="2"/>
      <c r="RQW207" s="2"/>
      <c r="RQX207" s="2"/>
      <c r="RQY207" s="2"/>
      <c r="RQZ207" s="2"/>
      <c r="RRA207" s="2"/>
      <c r="RRB207" s="2"/>
      <c r="RRC207" s="2"/>
      <c r="RRD207" s="2"/>
      <c r="RRE207" s="2"/>
      <c r="RRF207" s="2"/>
      <c r="RRG207" s="2"/>
      <c r="RRH207" s="2"/>
      <c r="RRI207" s="2"/>
      <c r="RRJ207" s="2"/>
      <c r="RRK207" s="2"/>
      <c r="RRL207" s="2"/>
      <c r="RRM207" s="2"/>
      <c r="RRN207" s="2"/>
      <c r="RRO207" s="2"/>
      <c r="RRP207" s="2"/>
      <c r="RRQ207" s="2"/>
      <c r="RRR207" s="2"/>
      <c r="RRS207" s="2"/>
      <c r="RRT207" s="2"/>
      <c r="RRU207" s="2"/>
      <c r="RRV207" s="2"/>
      <c r="RRW207" s="2"/>
      <c r="RRX207" s="2"/>
      <c r="RRY207" s="2"/>
      <c r="RRZ207" s="2"/>
      <c r="RSA207" s="2"/>
      <c r="RSB207" s="2"/>
      <c r="RSC207" s="2"/>
      <c r="RSD207" s="2"/>
      <c r="RSE207" s="2"/>
      <c r="RSF207" s="2"/>
      <c r="RSG207" s="2"/>
      <c r="RSH207" s="2"/>
      <c r="RSI207" s="2"/>
      <c r="RSJ207" s="2"/>
      <c r="RSK207" s="2"/>
      <c r="RSL207" s="2"/>
      <c r="RSM207" s="2"/>
      <c r="RSN207" s="2"/>
      <c r="RSO207" s="2"/>
      <c r="RSP207" s="2"/>
      <c r="RSQ207" s="2"/>
      <c r="RSR207" s="2"/>
      <c r="RSS207" s="2"/>
      <c r="RST207" s="2"/>
      <c r="RSU207" s="2"/>
      <c r="RSV207" s="2"/>
      <c r="RSW207" s="2"/>
      <c r="RSX207" s="2"/>
      <c r="RSY207" s="2"/>
      <c r="RSZ207" s="2"/>
      <c r="RTA207" s="2"/>
      <c r="RTB207" s="2"/>
      <c r="RTC207" s="2"/>
      <c r="RTD207" s="2"/>
      <c r="RTE207" s="2"/>
      <c r="RTF207" s="2"/>
      <c r="RTG207" s="2"/>
      <c r="RTH207" s="2"/>
      <c r="RTI207" s="2"/>
      <c r="RTJ207" s="2"/>
      <c r="RTK207" s="2"/>
      <c r="RTL207" s="2"/>
      <c r="RTM207" s="2"/>
      <c r="RTN207" s="2"/>
      <c r="RTO207" s="2"/>
      <c r="RTP207" s="2"/>
      <c r="RTQ207" s="2"/>
      <c r="RTR207" s="2"/>
      <c r="RTS207" s="2"/>
      <c r="RTT207" s="2"/>
      <c r="RTU207" s="2"/>
      <c r="RTV207" s="2"/>
      <c r="RTW207" s="2"/>
      <c r="RTX207" s="2"/>
      <c r="RTY207" s="2"/>
      <c r="RTZ207" s="2"/>
      <c r="RUA207" s="2"/>
      <c r="RUB207" s="2"/>
      <c r="RUC207" s="2"/>
      <c r="RUD207" s="2"/>
      <c r="RUE207" s="2"/>
      <c r="RUF207" s="2"/>
      <c r="RUG207" s="2"/>
      <c r="RUH207" s="2"/>
      <c r="RUI207" s="2"/>
      <c r="RUJ207" s="2"/>
      <c r="RUK207" s="2"/>
      <c r="RUL207" s="2"/>
      <c r="RUM207" s="2"/>
      <c r="RUN207" s="2"/>
      <c r="RUO207" s="2"/>
      <c r="RUP207" s="2"/>
      <c r="RUQ207" s="2"/>
      <c r="RUR207" s="2"/>
      <c r="RUS207" s="2"/>
      <c r="RUT207" s="2"/>
      <c r="RUU207" s="2"/>
      <c r="RUV207" s="2"/>
      <c r="RUW207" s="2"/>
      <c r="RUX207" s="2"/>
      <c r="RUY207" s="2"/>
      <c r="RUZ207" s="2"/>
      <c r="RVA207" s="2"/>
      <c r="RVB207" s="2"/>
      <c r="RVC207" s="2"/>
      <c r="RVD207" s="2"/>
      <c r="RVE207" s="2"/>
      <c r="RVF207" s="2"/>
      <c r="RVG207" s="2"/>
      <c r="RVH207" s="2"/>
      <c r="RVI207" s="2"/>
      <c r="RVJ207" s="2"/>
      <c r="RVK207" s="2"/>
      <c r="RVL207" s="2"/>
      <c r="RVM207" s="2"/>
      <c r="RVN207" s="2"/>
      <c r="RVO207" s="2"/>
      <c r="RVP207" s="2"/>
      <c r="RVQ207" s="2"/>
      <c r="RVR207" s="2"/>
      <c r="RVS207" s="2"/>
      <c r="RVT207" s="2"/>
      <c r="RVU207" s="2"/>
      <c r="RVV207" s="2"/>
      <c r="RVW207" s="2"/>
      <c r="RVX207" s="2"/>
      <c r="RVY207" s="2"/>
      <c r="RVZ207" s="2"/>
      <c r="RWA207" s="2"/>
      <c r="RWB207" s="2"/>
      <c r="RWC207" s="2"/>
      <c r="RWD207" s="2"/>
      <c r="RWE207" s="2"/>
      <c r="RWF207" s="2"/>
      <c r="RWG207" s="2"/>
      <c r="RWH207" s="2"/>
      <c r="RWI207" s="2"/>
      <c r="RWJ207" s="2"/>
      <c r="RWK207" s="2"/>
      <c r="RWL207" s="2"/>
      <c r="RWM207" s="2"/>
      <c r="RWN207" s="2"/>
      <c r="RWO207" s="2"/>
      <c r="RWP207" s="2"/>
      <c r="RWQ207" s="2"/>
      <c r="RWR207" s="2"/>
      <c r="RWS207" s="2"/>
      <c r="RWT207" s="2"/>
      <c r="RWU207" s="2"/>
      <c r="RWV207" s="2"/>
      <c r="RWW207" s="2"/>
      <c r="RWX207" s="2"/>
      <c r="RWY207" s="2"/>
      <c r="RWZ207" s="2"/>
      <c r="RXA207" s="2"/>
      <c r="RXB207" s="2"/>
      <c r="RXC207" s="2"/>
      <c r="RXD207" s="2"/>
      <c r="RXE207" s="2"/>
      <c r="RXF207" s="2"/>
      <c r="RXG207" s="2"/>
      <c r="RXH207" s="2"/>
      <c r="RXI207" s="2"/>
      <c r="RXJ207" s="2"/>
      <c r="RXK207" s="2"/>
      <c r="RXL207" s="2"/>
      <c r="RXM207" s="2"/>
      <c r="RXN207" s="2"/>
      <c r="RXO207" s="2"/>
      <c r="RXP207" s="2"/>
      <c r="RXQ207" s="2"/>
      <c r="RXR207" s="2"/>
      <c r="RXS207" s="2"/>
      <c r="RXT207" s="2"/>
      <c r="RXU207" s="2"/>
      <c r="RXV207" s="2"/>
      <c r="RXW207" s="2"/>
      <c r="RXX207" s="2"/>
      <c r="RXY207" s="2"/>
      <c r="RXZ207" s="2"/>
      <c r="RYA207" s="2"/>
      <c r="RYB207" s="2"/>
      <c r="RYC207" s="2"/>
      <c r="RYD207" s="2"/>
      <c r="RYE207" s="2"/>
      <c r="RYF207" s="2"/>
      <c r="RYG207" s="2"/>
      <c r="RYH207" s="2"/>
      <c r="RYI207" s="2"/>
      <c r="RYJ207" s="2"/>
      <c r="RYK207" s="2"/>
      <c r="RYL207" s="2"/>
      <c r="RYM207" s="2"/>
      <c r="RYN207" s="2"/>
      <c r="RYO207" s="2"/>
      <c r="RYP207" s="2"/>
      <c r="RYQ207" s="2"/>
      <c r="RYR207" s="2"/>
      <c r="RYS207" s="2"/>
      <c r="RYT207" s="2"/>
      <c r="RYU207" s="2"/>
      <c r="RYV207" s="2"/>
      <c r="RYW207" s="2"/>
      <c r="RYX207" s="2"/>
      <c r="RYY207" s="2"/>
      <c r="RYZ207" s="2"/>
      <c r="RZA207" s="2"/>
      <c r="RZB207" s="2"/>
      <c r="RZC207" s="2"/>
      <c r="RZD207" s="2"/>
      <c r="RZE207" s="2"/>
      <c r="RZF207" s="2"/>
      <c r="RZG207" s="2"/>
      <c r="RZH207" s="2"/>
      <c r="RZI207" s="2"/>
      <c r="RZJ207" s="2"/>
      <c r="RZK207" s="2"/>
      <c r="RZL207" s="2"/>
      <c r="RZM207" s="2"/>
      <c r="RZN207" s="2"/>
      <c r="RZO207" s="2"/>
      <c r="RZP207" s="2"/>
      <c r="RZQ207" s="2"/>
      <c r="RZR207" s="2"/>
      <c r="RZS207" s="2"/>
      <c r="RZT207" s="2"/>
      <c r="RZU207" s="2"/>
      <c r="RZV207" s="2"/>
      <c r="RZW207" s="2"/>
      <c r="RZX207" s="2"/>
      <c r="RZY207" s="2"/>
      <c r="RZZ207" s="2"/>
      <c r="SAA207" s="2"/>
      <c r="SAB207" s="2"/>
      <c r="SAC207" s="2"/>
      <c r="SAD207" s="2"/>
      <c r="SAE207" s="2"/>
      <c r="SAF207" s="2"/>
      <c r="SAG207" s="2"/>
      <c r="SAH207" s="2"/>
      <c r="SAI207" s="2"/>
      <c r="SAJ207" s="2"/>
      <c r="SAK207" s="2"/>
      <c r="SAL207" s="2"/>
      <c r="SAM207" s="2"/>
      <c r="SAN207" s="2"/>
      <c r="SAO207" s="2"/>
      <c r="SAP207" s="2"/>
      <c r="SAQ207" s="2"/>
      <c r="SAR207" s="2"/>
      <c r="SAS207" s="2"/>
      <c r="SAT207" s="2"/>
      <c r="SAU207" s="2"/>
      <c r="SAV207" s="2"/>
      <c r="SAW207" s="2"/>
      <c r="SAX207" s="2"/>
      <c r="SAY207" s="2"/>
      <c r="SAZ207" s="2"/>
      <c r="SBA207" s="2"/>
      <c r="SBB207" s="2"/>
      <c r="SBC207" s="2"/>
      <c r="SBD207" s="2"/>
      <c r="SBE207" s="2"/>
      <c r="SBF207" s="2"/>
      <c r="SBG207" s="2"/>
      <c r="SBH207" s="2"/>
      <c r="SBI207" s="2"/>
      <c r="SBJ207" s="2"/>
      <c r="SBK207" s="2"/>
      <c r="SBL207" s="2"/>
      <c r="SBM207" s="2"/>
      <c r="SBN207" s="2"/>
      <c r="SBO207" s="2"/>
      <c r="SBP207" s="2"/>
      <c r="SBQ207" s="2"/>
      <c r="SBR207" s="2"/>
      <c r="SBS207" s="2"/>
      <c r="SBT207" s="2"/>
      <c r="SBU207" s="2"/>
      <c r="SBV207" s="2"/>
      <c r="SBW207" s="2"/>
      <c r="SBX207" s="2"/>
      <c r="SBY207" s="2"/>
      <c r="SBZ207" s="2"/>
      <c r="SCA207" s="2"/>
      <c r="SCB207" s="2"/>
      <c r="SCC207" s="2"/>
      <c r="SCD207" s="2"/>
      <c r="SCE207" s="2"/>
      <c r="SCF207" s="2"/>
      <c r="SCG207" s="2"/>
      <c r="SCH207" s="2"/>
      <c r="SCI207" s="2"/>
      <c r="SCJ207" s="2"/>
      <c r="SCK207" s="2"/>
      <c r="SCL207" s="2"/>
      <c r="SCM207" s="2"/>
      <c r="SCN207" s="2"/>
      <c r="SCO207" s="2"/>
      <c r="SCP207" s="2"/>
      <c r="SCQ207" s="2"/>
      <c r="SCR207" s="2"/>
      <c r="SCS207" s="2"/>
      <c r="SCT207" s="2"/>
      <c r="SCU207" s="2"/>
      <c r="SCV207" s="2"/>
      <c r="SCW207" s="2"/>
      <c r="SCX207" s="2"/>
      <c r="SCY207" s="2"/>
      <c r="SCZ207" s="2"/>
      <c r="SDA207" s="2"/>
      <c r="SDB207" s="2"/>
      <c r="SDC207" s="2"/>
      <c r="SDD207" s="2"/>
      <c r="SDE207" s="2"/>
      <c r="SDF207" s="2"/>
      <c r="SDG207" s="2"/>
      <c r="SDH207" s="2"/>
      <c r="SDI207" s="2"/>
      <c r="SDJ207" s="2"/>
      <c r="SDK207" s="2"/>
      <c r="SDL207" s="2"/>
      <c r="SDM207" s="2"/>
      <c r="SDN207" s="2"/>
      <c r="SDO207" s="2"/>
      <c r="SDP207" s="2"/>
      <c r="SDQ207" s="2"/>
      <c r="SDR207" s="2"/>
      <c r="SDS207" s="2"/>
      <c r="SDT207" s="2"/>
      <c r="SDU207" s="2"/>
      <c r="SDV207" s="2"/>
      <c r="SDW207" s="2"/>
      <c r="SDX207" s="2"/>
      <c r="SDY207" s="2"/>
      <c r="SDZ207" s="2"/>
      <c r="SEA207" s="2"/>
      <c r="SEB207" s="2"/>
      <c r="SEC207" s="2"/>
      <c r="SED207" s="2"/>
      <c r="SEE207" s="2"/>
      <c r="SEF207" s="2"/>
      <c r="SEG207" s="2"/>
      <c r="SEH207" s="2"/>
      <c r="SEI207" s="2"/>
      <c r="SEJ207" s="2"/>
      <c r="SEK207" s="2"/>
      <c r="SEL207" s="2"/>
      <c r="SEM207" s="2"/>
      <c r="SEN207" s="2"/>
      <c r="SEO207" s="2"/>
      <c r="SEP207" s="2"/>
      <c r="SEQ207" s="2"/>
      <c r="SER207" s="2"/>
      <c r="SES207" s="2"/>
      <c r="SET207" s="2"/>
      <c r="SEU207" s="2"/>
      <c r="SEV207" s="2"/>
      <c r="SEW207" s="2"/>
      <c r="SEX207" s="2"/>
      <c r="SEY207" s="2"/>
      <c r="SEZ207" s="2"/>
      <c r="SFA207" s="2"/>
      <c r="SFB207" s="2"/>
      <c r="SFC207" s="2"/>
      <c r="SFD207" s="2"/>
      <c r="SFE207" s="2"/>
      <c r="SFF207" s="2"/>
      <c r="SFG207" s="2"/>
      <c r="SFH207" s="2"/>
      <c r="SFI207" s="2"/>
      <c r="SFJ207" s="2"/>
      <c r="SFK207" s="2"/>
      <c r="SFL207" s="2"/>
      <c r="SFM207" s="2"/>
      <c r="SFN207" s="2"/>
      <c r="SFO207" s="2"/>
      <c r="SFP207" s="2"/>
      <c r="SFQ207" s="2"/>
      <c r="SFR207" s="2"/>
      <c r="SFS207" s="2"/>
      <c r="SFT207" s="2"/>
      <c r="SFU207" s="2"/>
      <c r="SFV207" s="2"/>
      <c r="SFW207" s="2"/>
      <c r="SFX207" s="2"/>
      <c r="SFY207" s="2"/>
      <c r="SFZ207" s="2"/>
      <c r="SGA207" s="2"/>
      <c r="SGB207" s="2"/>
      <c r="SGC207" s="2"/>
      <c r="SGD207" s="2"/>
      <c r="SGE207" s="2"/>
      <c r="SGF207" s="2"/>
      <c r="SGG207" s="2"/>
      <c r="SGH207" s="2"/>
      <c r="SGI207" s="2"/>
      <c r="SGJ207" s="2"/>
      <c r="SGK207" s="2"/>
      <c r="SGL207" s="2"/>
      <c r="SGM207" s="2"/>
      <c r="SGN207" s="2"/>
      <c r="SGO207" s="2"/>
      <c r="SGP207" s="2"/>
      <c r="SGQ207" s="2"/>
      <c r="SGR207" s="2"/>
      <c r="SGS207" s="2"/>
      <c r="SGT207" s="2"/>
      <c r="SGU207" s="2"/>
      <c r="SGV207" s="2"/>
      <c r="SGW207" s="2"/>
      <c r="SGX207" s="2"/>
      <c r="SGY207" s="2"/>
      <c r="SGZ207" s="2"/>
      <c r="SHA207" s="2"/>
      <c r="SHB207" s="2"/>
      <c r="SHC207" s="2"/>
      <c r="SHD207" s="2"/>
      <c r="SHE207" s="2"/>
      <c r="SHF207" s="2"/>
      <c r="SHG207" s="2"/>
      <c r="SHH207" s="2"/>
      <c r="SHI207" s="2"/>
      <c r="SHJ207" s="2"/>
      <c r="SHK207" s="2"/>
      <c r="SHL207" s="2"/>
      <c r="SHM207" s="2"/>
      <c r="SHN207" s="2"/>
      <c r="SHO207" s="2"/>
      <c r="SHP207" s="2"/>
      <c r="SHQ207" s="2"/>
      <c r="SHR207" s="2"/>
      <c r="SHS207" s="2"/>
      <c r="SHT207" s="2"/>
      <c r="SHU207" s="2"/>
      <c r="SHV207" s="2"/>
      <c r="SHW207" s="2"/>
      <c r="SHX207" s="2"/>
      <c r="SHY207" s="2"/>
      <c r="SHZ207" s="2"/>
      <c r="SIA207" s="2"/>
      <c r="SIB207" s="2"/>
      <c r="SIC207" s="2"/>
      <c r="SID207" s="2"/>
      <c r="SIE207" s="2"/>
      <c r="SIF207" s="2"/>
      <c r="SIG207" s="2"/>
      <c r="SIH207" s="2"/>
      <c r="SII207" s="2"/>
      <c r="SIJ207" s="2"/>
      <c r="SIK207" s="2"/>
      <c r="SIL207" s="2"/>
      <c r="SIM207" s="2"/>
      <c r="SIN207" s="2"/>
      <c r="SIO207" s="2"/>
      <c r="SIP207" s="2"/>
      <c r="SIQ207" s="2"/>
      <c r="SIR207" s="2"/>
      <c r="SIS207" s="2"/>
      <c r="SIT207" s="2"/>
      <c r="SIU207" s="2"/>
      <c r="SIV207" s="2"/>
      <c r="SIW207" s="2"/>
      <c r="SIX207" s="2"/>
      <c r="SIY207" s="2"/>
      <c r="SIZ207" s="2"/>
      <c r="SJA207" s="2"/>
      <c r="SJB207" s="2"/>
      <c r="SJC207" s="2"/>
      <c r="SJD207" s="2"/>
      <c r="SJE207" s="2"/>
      <c r="SJF207" s="2"/>
      <c r="SJG207" s="2"/>
      <c r="SJH207" s="2"/>
      <c r="SJI207" s="2"/>
      <c r="SJJ207" s="2"/>
      <c r="SJK207" s="2"/>
      <c r="SJL207" s="2"/>
      <c r="SJM207" s="2"/>
      <c r="SJN207" s="2"/>
      <c r="SJO207" s="2"/>
      <c r="SJP207" s="2"/>
      <c r="SJQ207" s="2"/>
      <c r="SJR207" s="2"/>
      <c r="SJS207" s="2"/>
      <c r="SJT207" s="2"/>
      <c r="SJU207" s="2"/>
      <c r="SJV207" s="2"/>
      <c r="SJW207" s="2"/>
      <c r="SJX207" s="2"/>
      <c r="SJY207" s="2"/>
      <c r="SJZ207" s="2"/>
      <c r="SKA207" s="2"/>
      <c r="SKB207" s="2"/>
      <c r="SKC207" s="2"/>
      <c r="SKD207" s="2"/>
      <c r="SKE207" s="2"/>
      <c r="SKF207" s="2"/>
      <c r="SKG207" s="2"/>
      <c r="SKH207" s="2"/>
      <c r="SKI207" s="2"/>
      <c r="SKJ207" s="2"/>
      <c r="SKK207" s="2"/>
      <c r="SKL207" s="2"/>
      <c r="SKM207" s="2"/>
      <c r="SKN207" s="2"/>
      <c r="SKO207" s="2"/>
      <c r="SKP207" s="2"/>
      <c r="SKQ207" s="2"/>
      <c r="SKR207" s="2"/>
      <c r="SKS207" s="2"/>
      <c r="SKT207" s="2"/>
      <c r="SKU207" s="2"/>
      <c r="SKV207" s="2"/>
      <c r="SKW207" s="2"/>
      <c r="SKX207" s="2"/>
      <c r="SKY207" s="2"/>
      <c r="SKZ207" s="2"/>
      <c r="SLA207" s="2"/>
      <c r="SLB207" s="2"/>
      <c r="SLC207" s="2"/>
      <c r="SLD207" s="2"/>
      <c r="SLE207" s="2"/>
      <c r="SLF207" s="2"/>
      <c r="SLG207" s="2"/>
      <c r="SLH207" s="2"/>
      <c r="SLI207" s="2"/>
      <c r="SLJ207" s="2"/>
      <c r="SLK207" s="2"/>
      <c r="SLL207" s="2"/>
      <c r="SLM207" s="2"/>
      <c r="SLN207" s="2"/>
      <c r="SLO207" s="2"/>
      <c r="SLP207" s="2"/>
      <c r="SLQ207" s="2"/>
      <c r="SLR207" s="2"/>
      <c r="SLS207" s="2"/>
      <c r="SLT207" s="2"/>
      <c r="SLU207" s="2"/>
      <c r="SLV207" s="2"/>
      <c r="SLW207" s="2"/>
      <c r="SLX207" s="2"/>
      <c r="SLY207" s="2"/>
      <c r="SLZ207" s="2"/>
      <c r="SMA207" s="2"/>
      <c r="SMB207" s="2"/>
      <c r="SMC207" s="2"/>
      <c r="SMD207" s="2"/>
      <c r="SME207" s="2"/>
      <c r="SMF207" s="2"/>
      <c r="SMG207" s="2"/>
      <c r="SMH207" s="2"/>
      <c r="SMI207" s="2"/>
      <c r="SMJ207" s="2"/>
      <c r="SMK207" s="2"/>
      <c r="SML207" s="2"/>
      <c r="SMM207" s="2"/>
      <c r="SMN207" s="2"/>
      <c r="SMO207" s="2"/>
      <c r="SMP207" s="2"/>
      <c r="SMQ207" s="2"/>
      <c r="SMR207" s="2"/>
      <c r="SMS207" s="2"/>
      <c r="SMT207" s="2"/>
      <c r="SMU207" s="2"/>
      <c r="SMV207" s="2"/>
      <c r="SMW207" s="2"/>
      <c r="SMX207" s="2"/>
      <c r="SMY207" s="2"/>
      <c r="SMZ207" s="2"/>
      <c r="SNA207" s="2"/>
      <c r="SNB207" s="2"/>
      <c r="SNC207" s="2"/>
      <c r="SND207" s="2"/>
      <c r="SNE207" s="2"/>
      <c r="SNF207" s="2"/>
      <c r="SNG207" s="2"/>
      <c r="SNH207" s="2"/>
      <c r="SNI207" s="2"/>
      <c r="SNJ207" s="2"/>
      <c r="SNK207" s="2"/>
      <c r="SNL207" s="2"/>
      <c r="SNM207" s="2"/>
      <c r="SNN207" s="2"/>
      <c r="SNO207" s="2"/>
      <c r="SNP207" s="2"/>
      <c r="SNQ207" s="2"/>
      <c r="SNR207" s="2"/>
      <c r="SNS207" s="2"/>
      <c r="SNT207" s="2"/>
      <c r="SNU207" s="2"/>
      <c r="SNV207" s="2"/>
      <c r="SNW207" s="2"/>
      <c r="SNX207" s="2"/>
      <c r="SNY207" s="2"/>
      <c r="SNZ207" s="2"/>
      <c r="SOA207" s="2"/>
      <c r="SOB207" s="2"/>
      <c r="SOC207" s="2"/>
      <c r="SOD207" s="2"/>
      <c r="SOE207" s="2"/>
      <c r="SOF207" s="2"/>
      <c r="SOG207" s="2"/>
      <c r="SOH207" s="2"/>
      <c r="SOI207" s="2"/>
      <c r="SOJ207" s="2"/>
      <c r="SOK207" s="2"/>
      <c r="SOL207" s="2"/>
      <c r="SOM207" s="2"/>
      <c r="SON207" s="2"/>
      <c r="SOO207" s="2"/>
      <c r="SOP207" s="2"/>
      <c r="SOQ207" s="2"/>
      <c r="SOR207" s="2"/>
      <c r="SOS207" s="2"/>
      <c r="SOT207" s="2"/>
      <c r="SOU207" s="2"/>
      <c r="SOV207" s="2"/>
      <c r="SOW207" s="2"/>
      <c r="SOX207" s="2"/>
      <c r="SOY207" s="2"/>
      <c r="SOZ207" s="2"/>
      <c r="SPA207" s="2"/>
      <c r="SPB207" s="2"/>
      <c r="SPC207" s="2"/>
      <c r="SPD207" s="2"/>
      <c r="SPE207" s="2"/>
      <c r="SPF207" s="2"/>
      <c r="SPG207" s="2"/>
      <c r="SPH207" s="2"/>
      <c r="SPI207" s="2"/>
      <c r="SPJ207" s="2"/>
      <c r="SPK207" s="2"/>
      <c r="SPL207" s="2"/>
      <c r="SPM207" s="2"/>
      <c r="SPN207" s="2"/>
      <c r="SPO207" s="2"/>
      <c r="SPP207" s="2"/>
      <c r="SPQ207" s="2"/>
      <c r="SPR207" s="2"/>
      <c r="SPS207" s="2"/>
      <c r="SPT207" s="2"/>
      <c r="SPU207" s="2"/>
      <c r="SPV207" s="2"/>
      <c r="SPW207" s="2"/>
      <c r="SPX207" s="2"/>
      <c r="SPY207" s="2"/>
      <c r="SPZ207" s="2"/>
      <c r="SQA207" s="2"/>
      <c r="SQB207" s="2"/>
      <c r="SQC207" s="2"/>
      <c r="SQD207" s="2"/>
      <c r="SQE207" s="2"/>
      <c r="SQF207" s="2"/>
      <c r="SQG207" s="2"/>
      <c r="SQH207" s="2"/>
      <c r="SQI207" s="2"/>
      <c r="SQJ207" s="2"/>
      <c r="SQK207" s="2"/>
      <c r="SQL207" s="2"/>
      <c r="SQM207" s="2"/>
      <c r="SQN207" s="2"/>
      <c r="SQO207" s="2"/>
      <c r="SQP207" s="2"/>
      <c r="SQQ207" s="2"/>
      <c r="SQR207" s="2"/>
      <c r="SQS207" s="2"/>
      <c r="SQT207" s="2"/>
      <c r="SQU207" s="2"/>
      <c r="SQV207" s="2"/>
      <c r="SQW207" s="2"/>
      <c r="SQX207" s="2"/>
      <c r="SQY207" s="2"/>
      <c r="SQZ207" s="2"/>
      <c r="SRA207" s="2"/>
      <c r="SRB207" s="2"/>
      <c r="SRC207" s="2"/>
      <c r="SRD207" s="2"/>
      <c r="SRE207" s="2"/>
      <c r="SRF207" s="2"/>
      <c r="SRG207" s="2"/>
      <c r="SRH207" s="2"/>
      <c r="SRI207" s="2"/>
      <c r="SRJ207" s="2"/>
      <c r="SRK207" s="2"/>
      <c r="SRL207" s="2"/>
      <c r="SRM207" s="2"/>
      <c r="SRN207" s="2"/>
      <c r="SRO207" s="2"/>
      <c r="SRP207" s="2"/>
      <c r="SRQ207" s="2"/>
      <c r="SRR207" s="2"/>
      <c r="SRS207" s="2"/>
      <c r="SRT207" s="2"/>
      <c r="SRU207" s="2"/>
      <c r="SRV207" s="2"/>
      <c r="SRW207" s="2"/>
      <c r="SRX207" s="2"/>
      <c r="SRY207" s="2"/>
      <c r="SRZ207" s="2"/>
      <c r="SSA207" s="2"/>
      <c r="SSB207" s="2"/>
      <c r="SSC207" s="2"/>
      <c r="SSD207" s="2"/>
      <c r="SSE207" s="2"/>
      <c r="SSF207" s="2"/>
      <c r="SSG207" s="2"/>
      <c r="SSH207" s="2"/>
      <c r="SSI207" s="2"/>
      <c r="SSJ207" s="2"/>
      <c r="SSK207" s="2"/>
      <c r="SSL207" s="2"/>
      <c r="SSM207" s="2"/>
      <c r="SSN207" s="2"/>
      <c r="SSO207" s="2"/>
      <c r="SSP207" s="2"/>
      <c r="SSQ207" s="2"/>
      <c r="SSR207" s="2"/>
      <c r="SSS207" s="2"/>
      <c r="SST207" s="2"/>
      <c r="SSU207" s="2"/>
      <c r="SSV207" s="2"/>
      <c r="SSW207" s="2"/>
      <c r="SSX207" s="2"/>
      <c r="SSY207" s="2"/>
      <c r="SSZ207" s="2"/>
      <c r="STA207" s="2"/>
      <c r="STB207" s="2"/>
      <c r="STC207" s="2"/>
      <c r="STD207" s="2"/>
      <c r="STE207" s="2"/>
      <c r="STF207" s="2"/>
      <c r="STG207" s="2"/>
      <c r="STH207" s="2"/>
      <c r="STI207" s="2"/>
      <c r="STJ207" s="2"/>
      <c r="STK207" s="2"/>
      <c r="STL207" s="2"/>
      <c r="STM207" s="2"/>
      <c r="STN207" s="2"/>
      <c r="STO207" s="2"/>
      <c r="STP207" s="2"/>
      <c r="STQ207" s="2"/>
      <c r="STR207" s="2"/>
      <c r="STS207" s="2"/>
      <c r="STT207" s="2"/>
      <c r="STU207" s="2"/>
      <c r="STV207" s="2"/>
      <c r="STW207" s="2"/>
      <c r="STX207" s="2"/>
      <c r="STY207" s="2"/>
      <c r="STZ207" s="2"/>
      <c r="SUA207" s="2"/>
      <c r="SUB207" s="2"/>
      <c r="SUC207" s="2"/>
      <c r="SUD207" s="2"/>
      <c r="SUE207" s="2"/>
      <c r="SUF207" s="2"/>
      <c r="SUG207" s="2"/>
      <c r="SUH207" s="2"/>
      <c r="SUI207" s="2"/>
      <c r="SUJ207" s="2"/>
      <c r="SUK207" s="2"/>
      <c r="SUL207" s="2"/>
      <c r="SUM207" s="2"/>
      <c r="SUN207" s="2"/>
      <c r="SUO207" s="2"/>
      <c r="SUP207" s="2"/>
      <c r="SUQ207" s="2"/>
      <c r="SUR207" s="2"/>
      <c r="SUS207" s="2"/>
      <c r="SUT207" s="2"/>
      <c r="SUU207" s="2"/>
      <c r="SUV207" s="2"/>
      <c r="SUW207" s="2"/>
      <c r="SUX207" s="2"/>
      <c r="SUY207" s="2"/>
      <c r="SUZ207" s="2"/>
      <c r="SVA207" s="2"/>
      <c r="SVB207" s="2"/>
      <c r="SVC207" s="2"/>
      <c r="SVD207" s="2"/>
      <c r="SVE207" s="2"/>
      <c r="SVF207" s="2"/>
      <c r="SVG207" s="2"/>
      <c r="SVH207" s="2"/>
      <c r="SVI207" s="2"/>
      <c r="SVJ207" s="2"/>
      <c r="SVK207" s="2"/>
      <c r="SVL207" s="2"/>
      <c r="SVM207" s="2"/>
      <c r="SVN207" s="2"/>
      <c r="SVO207" s="2"/>
      <c r="SVP207" s="2"/>
      <c r="SVQ207" s="2"/>
      <c r="SVR207" s="2"/>
      <c r="SVS207" s="2"/>
      <c r="SVT207" s="2"/>
      <c r="SVU207" s="2"/>
      <c r="SVV207" s="2"/>
      <c r="SVW207" s="2"/>
      <c r="SVX207" s="2"/>
      <c r="SVY207" s="2"/>
      <c r="SVZ207" s="2"/>
      <c r="SWA207" s="2"/>
      <c r="SWB207" s="2"/>
      <c r="SWC207" s="2"/>
      <c r="SWD207" s="2"/>
      <c r="SWE207" s="2"/>
      <c r="SWF207" s="2"/>
      <c r="SWG207" s="2"/>
      <c r="SWH207" s="2"/>
      <c r="SWI207" s="2"/>
      <c r="SWJ207" s="2"/>
      <c r="SWK207" s="2"/>
      <c r="SWL207" s="2"/>
      <c r="SWM207" s="2"/>
      <c r="SWN207" s="2"/>
      <c r="SWO207" s="2"/>
      <c r="SWP207" s="2"/>
      <c r="SWQ207" s="2"/>
      <c r="SWR207" s="2"/>
      <c r="SWS207" s="2"/>
      <c r="SWT207" s="2"/>
      <c r="SWU207" s="2"/>
      <c r="SWV207" s="2"/>
      <c r="SWW207" s="2"/>
      <c r="SWX207" s="2"/>
      <c r="SWY207" s="2"/>
      <c r="SWZ207" s="2"/>
      <c r="SXA207" s="2"/>
      <c r="SXB207" s="2"/>
      <c r="SXC207" s="2"/>
      <c r="SXD207" s="2"/>
      <c r="SXE207" s="2"/>
      <c r="SXF207" s="2"/>
      <c r="SXG207" s="2"/>
      <c r="SXH207" s="2"/>
      <c r="SXI207" s="2"/>
      <c r="SXJ207" s="2"/>
      <c r="SXK207" s="2"/>
      <c r="SXL207" s="2"/>
      <c r="SXM207" s="2"/>
      <c r="SXN207" s="2"/>
      <c r="SXO207" s="2"/>
      <c r="SXP207" s="2"/>
      <c r="SXQ207" s="2"/>
      <c r="SXR207" s="2"/>
      <c r="SXS207" s="2"/>
      <c r="SXT207" s="2"/>
      <c r="SXU207" s="2"/>
      <c r="SXV207" s="2"/>
      <c r="SXW207" s="2"/>
      <c r="SXX207" s="2"/>
      <c r="SXY207" s="2"/>
      <c r="SXZ207" s="2"/>
      <c r="SYA207" s="2"/>
      <c r="SYB207" s="2"/>
      <c r="SYC207" s="2"/>
      <c r="SYD207" s="2"/>
      <c r="SYE207" s="2"/>
      <c r="SYF207" s="2"/>
      <c r="SYG207" s="2"/>
      <c r="SYH207" s="2"/>
      <c r="SYI207" s="2"/>
      <c r="SYJ207" s="2"/>
      <c r="SYK207" s="2"/>
      <c r="SYL207" s="2"/>
      <c r="SYM207" s="2"/>
      <c r="SYN207" s="2"/>
      <c r="SYO207" s="2"/>
      <c r="SYP207" s="2"/>
      <c r="SYQ207" s="2"/>
      <c r="SYR207" s="2"/>
      <c r="SYS207" s="2"/>
      <c r="SYT207" s="2"/>
      <c r="SYU207" s="2"/>
      <c r="SYV207" s="2"/>
      <c r="SYW207" s="2"/>
      <c r="SYX207" s="2"/>
      <c r="SYY207" s="2"/>
      <c r="SYZ207" s="2"/>
      <c r="SZA207" s="2"/>
      <c r="SZB207" s="2"/>
      <c r="SZC207" s="2"/>
      <c r="SZD207" s="2"/>
      <c r="SZE207" s="2"/>
      <c r="SZF207" s="2"/>
      <c r="SZG207" s="2"/>
      <c r="SZH207" s="2"/>
      <c r="SZI207" s="2"/>
      <c r="SZJ207" s="2"/>
      <c r="SZK207" s="2"/>
      <c r="SZL207" s="2"/>
      <c r="SZM207" s="2"/>
      <c r="SZN207" s="2"/>
      <c r="SZO207" s="2"/>
      <c r="SZP207" s="2"/>
      <c r="SZQ207" s="2"/>
      <c r="SZR207" s="2"/>
      <c r="SZS207" s="2"/>
      <c r="SZT207" s="2"/>
      <c r="SZU207" s="2"/>
      <c r="SZV207" s="2"/>
      <c r="SZW207" s="2"/>
      <c r="SZX207" s="2"/>
      <c r="SZY207" s="2"/>
      <c r="SZZ207" s="2"/>
      <c r="TAA207" s="2"/>
      <c r="TAB207" s="2"/>
      <c r="TAC207" s="2"/>
      <c r="TAD207" s="2"/>
      <c r="TAE207" s="2"/>
      <c r="TAF207" s="2"/>
      <c r="TAG207" s="2"/>
      <c r="TAH207" s="2"/>
      <c r="TAI207" s="2"/>
      <c r="TAJ207" s="2"/>
      <c r="TAK207" s="2"/>
      <c r="TAL207" s="2"/>
      <c r="TAM207" s="2"/>
      <c r="TAN207" s="2"/>
      <c r="TAO207" s="2"/>
      <c r="TAP207" s="2"/>
      <c r="TAQ207" s="2"/>
      <c r="TAR207" s="2"/>
      <c r="TAS207" s="2"/>
      <c r="TAT207" s="2"/>
      <c r="TAU207" s="2"/>
      <c r="TAV207" s="2"/>
      <c r="TAW207" s="2"/>
      <c r="TAX207" s="2"/>
      <c r="TAY207" s="2"/>
      <c r="TAZ207" s="2"/>
      <c r="TBA207" s="2"/>
      <c r="TBB207" s="2"/>
      <c r="TBC207" s="2"/>
      <c r="TBD207" s="2"/>
      <c r="TBE207" s="2"/>
      <c r="TBF207" s="2"/>
      <c r="TBG207" s="2"/>
      <c r="TBH207" s="2"/>
      <c r="TBI207" s="2"/>
      <c r="TBJ207" s="2"/>
      <c r="TBK207" s="2"/>
      <c r="TBL207" s="2"/>
      <c r="TBM207" s="2"/>
      <c r="TBN207" s="2"/>
      <c r="TBO207" s="2"/>
      <c r="TBP207" s="2"/>
      <c r="TBQ207" s="2"/>
      <c r="TBR207" s="2"/>
      <c r="TBS207" s="2"/>
      <c r="TBT207" s="2"/>
      <c r="TBU207" s="2"/>
      <c r="TBV207" s="2"/>
      <c r="TBW207" s="2"/>
      <c r="TBX207" s="2"/>
      <c r="TBY207" s="2"/>
      <c r="TBZ207" s="2"/>
      <c r="TCA207" s="2"/>
      <c r="TCB207" s="2"/>
      <c r="TCC207" s="2"/>
      <c r="TCD207" s="2"/>
      <c r="TCE207" s="2"/>
      <c r="TCF207" s="2"/>
      <c r="TCG207" s="2"/>
      <c r="TCH207" s="2"/>
      <c r="TCI207" s="2"/>
      <c r="TCJ207" s="2"/>
      <c r="TCK207" s="2"/>
      <c r="TCL207" s="2"/>
      <c r="TCM207" s="2"/>
      <c r="TCN207" s="2"/>
      <c r="TCO207" s="2"/>
      <c r="TCP207" s="2"/>
      <c r="TCQ207" s="2"/>
      <c r="TCR207" s="2"/>
      <c r="TCS207" s="2"/>
      <c r="TCT207" s="2"/>
      <c r="TCU207" s="2"/>
      <c r="TCV207" s="2"/>
      <c r="TCW207" s="2"/>
      <c r="TCX207" s="2"/>
      <c r="TCY207" s="2"/>
      <c r="TCZ207" s="2"/>
      <c r="TDA207" s="2"/>
      <c r="TDB207" s="2"/>
      <c r="TDC207" s="2"/>
      <c r="TDD207" s="2"/>
      <c r="TDE207" s="2"/>
      <c r="TDF207" s="2"/>
      <c r="TDG207" s="2"/>
      <c r="TDH207" s="2"/>
      <c r="TDI207" s="2"/>
      <c r="TDJ207" s="2"/>
      <c r="TDK207" s="2"/>
      <c r="TDL207" s="2"/>
      <c r="TDM207" s="2"/>
      <c r="TDN207" s="2"/>
      <c r="TDO207" s="2"/>
      <c r="TDP207" s="2"/>
      <c r="TDQ207" s="2"/>
      <c r="TDR207" s="2"/>
      <c r="TDS207" s="2"/>
      <c r="TDT207" s="2"/>
      <c r="TDU207" s="2"/>
      <c r="TDV207" s="2"/>
      <c r="TDW207" s="2"/>
      <c r="TDX207" s="2"/>
      <c r="TDY207" s="2"/>
      <c r="TDZ207" s="2"/>
      <c r="TEA207" s="2"/>
      <c r="TEB207" s="2"/>
      <c r="TEC207" s="2"/>
      <c r="TED207" s="2"/>
      <c r="TEE207" s="2"/>
      <c r="TEF207" s="2"/>
      <c r="TEG207" s="2"/>
      <c r="TEH207" s="2"/>
      <c r="TEI207" s="2"/>
      <c r="TEJ207" s="2"/>
      <c r="TEK207" s="2"/>
      <c r="TEL207" s="2"/>
      <c r="TEM207" s="2"/>
      <c r="TEN207" s="2"/>
      <c r="TEO207" s="2"/>
      <c r="TEP207" s="2"/>
      <c r="TEQ207" s="2"/>
      <c r="TER207" s="2"/>
      <c r="TES207" s="2"/>
      <c r="TET207" s="2"/>
      <c r="TEU207" s="2"/>
      <c r="TEV207" s="2"/>
      <c r="TEW207" s="2"/>
      <c r="TEX207" s="2"/>
      <c r="TEY207" s="2"/>
      <c r="TEZ207" s="2"/>
      <c r="TFA207" s="2"/>
      <c r="TFB207" s="2"/>
      <c r="TFC207" s="2"/>
      <c r="TFD207" s="2"/>
      <c r="TFE207" s="2"/>
      <c r="TFF207" s="2"/>
      <c r="TFG207" s="2"/>
      <c r="TFH207" s="2"/>
      <c r="TFI207" s="2"/>
      <c r="TFJ207" s="2"/>
      <c r="TFK207" s="2"/>
      <c r="TFL207" s="2"/>
      <c r="TFM207" s="2"/>
      <c r="TFN207" s="2"/>
      <c r="TFO207" s="2"/>
      <c r="TFP207" s="2"/>
      <c r="TFQ207" s="2"/>
      <c r="TFR207" s="2"/>
      <c r="TFS207" s="2"/>
      <c r="TFT207" s="2"/>
      <c r="TFU207" s="2"/>
      <c r="TFV207" s="2"/>
      <c r="TFW207" s="2"/>
      <c r="TFX207" s="2"/>
      <c r="TFY207" s="2"/>
      <c r="TFZ207" s="2"/>
      <c r="TGA207" s="2"/>
      <c r="TGB207" s="2"/>
      <c r="TGC207" s="2"/>
      <c r="TGD207" s="2"/>
      <c r="TGE207" s="2"/>
      <c r="TGF207" s="2"/>
      <c r="TGG207" s="2"/>
      <c r="TGH207" s="2"/>
      <c r="TGI207" s="2"/>
      <c r="TGJ207" s="2"/>
      <c r="TGK207" s="2"/>
      <c r="TGL207" s="2"/>
      <c r="TGM207" s="2"/>
      <c r="TGN207" s="2"/>
      <c r="TGO207" s="2"/>
      <c r="TGP207" s="2"/>
      <c r="TGQ207" s="2"/>
      <c r="TGR207" s="2"/>
      <c r="TGS207" s="2"/>
      <c r="TGT207" s="2"/>
      <c r="TGU207" s="2"/>
      <c r="TGV207" s="2"/>
      <c r="TGW207" s="2"/>
      <c r="TGX207" s="2"/>
      <c r="TGY207" s="2"/>
      <c r="TGZ207" s="2"/>
      <c r="THA207" s="2"/>
      <c r="THB207" s="2"/>
      <c r="THC207" s="2"/>
      <c r="THD207" s="2"/>
      <c r="THE207" s="2"/>
      <c r="THF207" s="2"/>
      <c r="THG207" s="2"/>
      <c r="THH207" s="2"/>
      <c r="THI207" s="2"/>
      <c r="THJ207" s="2"/>
      <c r="THK207" s="2"/>
      <c r="THL207" s="2"/>
      <c r="THM207" s="2"/>
      <c r="THN207" s="2"/>
      <c r="THO207" s="2"/>
      <c r="THP207" s="2"/>
      <c r="THQ207" s="2"/>
      <c r="THR207" s="2"/>
      <c r="THS207" s="2"/>
      <c r="THT207" s="2"/>
      <c r="THU207" s="2"/>
      <c r="THV207" s="2"/>
      <c r="THW207" s="2"/>
      <c r="THX207" s="2"/>
      <c r="THY207" s="2"/>
      <c r="THZ207" s="2"/>
      <c r="TIA207" s="2"/>
      <c r="TIB207" s="2"/>
      <c r="TIC207" s="2"/>
      <c r="TID207" s="2"/>
      <c r="TIE207" s="2"/>
      <c r="TIF207" s="2"/>
      <c r="TIG207" s="2"/>
      <c r="TIH207" s="2"/>
      <c r="TII207" s="2"/>
      <c r="TIJ207" s="2"/>
      <c r="TIK207" s="2"/>
      <c r="TIL207" s="2"/>
      <c r="TIM207" s="2"/>
      <c r="TIN207" s="2"/>
      <c r="TIO207" s="2"/>
      <c r="TIP207" s="2"/>
      <c r="TIQ207" s="2"/>
      <c r="TIR207" s="2"/>
      <c r="TIS207" s="2"/>
      <c r="TIT207" s="2"/>
      <c r="TIU207" s="2"/>
      <c r="TIV207" s="2"/>
      <c r="TIW207" s="2"/>
      <c r="TIX207" s="2"/>
      <c r="TIY207" s="2"/>
      <c r="TIZ207" s="2"/>
      <c r="TJA207" s="2"/>
      <c r="TJB207" s="2"/>
      <c r="TJC207" s="2"/>
      <c r="TJD207" s="2"/>
      <c r="TJE207" s="2"/>
      <c r="TJF207" s="2"/>
      <c r="TJG207" s="2"/>
      <c r="TJH207" s="2"/>
      <c r="TJI207" s="2"/>
      <c r="TJJ207" s="2"/>
      <c r="TJK207" s="2"/>
      <c r="TJL207" s="2"/>
      <c r="TJM207" s="2"/>
      <c r="TJN207" s="2"/>
      <c r="TJO207" s="2"/>
      <c r="TJP207" s="2"/>
      <c r="TJQ207" s="2"/>
      <c r="TJR207" s="2"/>
      <c r="TJS207" s="2"/>
      <c r="TJT207" s="2"/>
      <c r="TJU207" s="2"/>
      <c r="TJV207" s="2"/>
      <c r="TJW207" s="2"/>
      <c r="TJX207" s="2"/>
      <c r="TJY207" s="2"/>
      <c r="TJZ207" s="2"/>
      <c r="TKA207" s="2"/>
      <c r="TKB207" s="2"/>
      <c r="TKC207" s="2"/>
      <c r="TKD207" s="2"/>
      <c r="TKE207" s="2"/>
      <c r="TKF207" s="2"/>
      <c r="TKG207" s="2"/>
      <c r="TKH207" s="2"/>
      <c r="TKI207" s="2"/>
      <c r="TKJ207" s="2"/>
      <c r="TKK207" s="2"/>
      <c r="TKL207" s="2"/>
      <c r="TKM207" s="2"/>
      <c r="TKN207" s="2"/>
      <c r="TKO207" s="2"/>
      <c r="TKP207" s="2"/>
      <c r="TKQ207" s="2"/>
      <c r="TKR207" s="2"/>
      <c r="TKS207" s="2"/>
      <c r="TKT207" s="2"/>
      <c r="TKU207" s="2"/>
      <c r="TKV207" s="2"/>
      <c r="TKW207" s="2"/>
      <c r="TKX207" s="2"/>
      <c r="TKY207" s="2"/>
      <c r="TKZ207" s="2"/>
      <c r="TLA207" s="2"/>
      <c r="TLB207" s="2"/>
      <c r="TLC207" s="2"/>
      <c r="TLD207" s="2"/>
      <c r="TLE207" s="2"/>
      <c r="TLF207" s="2"/>
      <c r="TLG207" s="2"/>
      <c r="TLH207" s="2"/>
      <c r="TLI207" s="2"/>
      <c r="TLJ207" s="2"/>
      <c r="TLK207" s="2"/>
      <c r="TLL207" s="2"/>
      <c r="TLM207" s="2"/>
      <c r="TLN207" s="2"/>
      <c r="TLO207" s="2"/>
      <c r="TLP207" s="2"/>
      <c r="TLQ207" s="2"/>
      <c r="TLR207" s="2"/>
      <c r="TLS207" s="2"/>
      <c r="TLT207" s="2"/>
      <c r="TLU207" s="2"/>
      <c r="TLV207" s="2"/>
      <c r="TLW207" s="2"/>
      <c r="TLX207" s="2"/>
      <c r="TLY207" s="2"/>
      <c r="TLZ207" s="2"/>
      <c r="TMA207" s="2"/>
      <c r="TMB207" s="2"/>
      <c r="TMC207" s="2"/>
      <c r="TMD207" s="2"/>
      <c r="TME207" s="2"/>
      <c r="TMF207" s="2"/>
      <c r="TMG207" s="2"/>
      <c r="TMH207" s="2"/>
      <c r="TMI207" s="2"/>
      <c r="TMJ207" s="2"/>
      <c r="TMK207" s="2"/>
      <c r="TML207" s="2"/>
      <c r="TMM207" s="2"/>
      <c r="TMN207" s="2"/>
      <c r="TMO207" s="2"/>
      <c r="TMP207" s="2"/>
      <c r="TMQ207" s="2"/>
      <c r="TMR207" s="2"/>
      <c r="TMS207" s="2"/>
      <c r="TMT207" s="2"/>
      <c r="TMU207" s="2"/>
      <c r="TMV207" s="2"/>
      <c r="TMW207" s="2"/>
      <c r="TMX207" s="2"/>
      <c r="TMY207" s="2"/>
      <c r="TMZ207" s="2"/>
      <c r="TNA207" s="2"/>
      <c r="TNB207" s="2"/>
      <c r="TNC207" s="2"/>
      <c r="TND207" s="2"/>
      <c r="TNE207" s="2"/>
      <c r="TNF207" s="2"/>
      <c r="TNG207" s="2"/>
      <c r="TNH207" s="2"/>
      <c r="TNI207" s="2"/>
      <c r="TNJ207" s="2"/>
      <c r="TNK207" s="2"/>
      <c r="TNL207" s="2"/>
      <c r="TNM207" s="2"/>
      <c r="TNN207" s="2"/>
      <c r="TNO207" s="2"/>
      <c r="TNP207" s="2"/>
      <c r="TNQ207" s="2"/>
      <c r="TNR207" s="2"/>
      <c r="TNS207" s="2"/>
      <c r="TNT207" s="2"/>
      <c r="TNU207" s="2"/>
      <c r="TNV207" s="2"/>
      <c r="TNW207" s="2"/>
      <c r="TNX207" s="2"/>
      <c r="TNY207" s="2"/>
      <c r="TNZ207" s="2"/>
      <c r="TOA207" s="2"/>
      <c r="TOB207" s="2"/>
      <c r="TOC207" s="2"/>
      <c r="TOD207" s="2"/>
      <c r="TOE207" s="2"/>
      <c r="TOF207" s="2"/>
      <c r="TOG207" s="2"/>
      <c r="TOH207" s="2"/>
      <c r="TOI207" s="2"/>
      <c r="TOJ207" s="2"/>
      <c r="TOK207" s="2"/>
      <c r="TOL207" s="2"/>
      <c r="TOM207" s="2"/>
      <c r="TON207" s="2"/>
      <c r="TOO207" s="2"/>
      <c r="TOP207" s="2"/>
      <c r="TOQ207" s="2"/>
      <c r="TOR207" s="2"/>
      <c r="TOS207" s="2"/>
      <c r="TOT207" s="2"/>
      <c r="TOU207" s="2"/>
      <c r="TOV207" s="2"/>
      <c r="TOW207" s="2"/>
      <c r="TOX207" s="2"/>
      <c r="TOY207" s="2"/>
      <c r="TOZ207" s="2"/>
      <c r="TPA207" s="2"/>
      <c r="TPB207" s="2"/>
      <c r="TPC207" s="2"/>
      <c r="TPD207" s="2"/>
      <c r="TPE207" s="2"/>
      <c r="TPF207" s="2"/>
      <c r="TPG207" s="2"/>
      <c r="TPH207" s="2"/>
      <c r="TPI207" s="2"/>
      <c r="TPJ207" s="2"/>
      <c r="TPK207" s="2"/>
      <c r="TPL207" s="2"/>
      <c r="TPM207" s="2"/>
      <c r="TPN207" s="2"/>
      <c r="TPO207" s="2"/>
      <c r="TPP207" s="2"/>
      <c r="TPQ207" s="2"/>
      <c r="TPR207" s="2"/>
      <c r="TPS207" s="2"/>
      <c r="TPT207" s="2"/>
      <c r="TPU207" s="2"/>
      <c r="TPV207" s="2"/>
      <c r="TPW207" s="2"/>
      <c r="TPX207" s="2"/>
      <c r="TPY207" s="2"/>
      <c r="TPZ207" s="2"/>
      <c r="TQA207" s="2"/>
      <c r="TQB207" s="2"/>
      <c r="TQC207" s="2"/>
      <c r="TQD207" s="2"/>
      <c r="TQE207" s="2"/>
      <c r="TQF207" s="2"/>
      <c r="TQG207" s="2"/>
      <c r="TQH207" s="2"/>
      <c r="TQI207" s="2"/>
      <c r="TQJ207" s="2"/>
      <c r="TQK207" s="2"/>
      <c r="TQL207" s="2"/>
      <c r="TQM207" s="2"/>
      <c r="TQN207" s="2"/>
      <c r="TQO207" s="2"/>
      <c r="TQP207" s="2"/>
      <c r="TQQ207" s="2"/>
      <c r="TQR207" s="2"/>
      <c r="TQS207" s="2"/>
      <c r="TQT207" s="2"/>
      <c r="TQU207" s="2"/>
      <c r="TQV207" s="2"/>
      <c r="TQW207" s="2"/>
      <c r="TQX207" s="2"/>
      <c r="TQY207" s="2"/>
      <c r="TQZ207" s="2"/>
      <c r="TRA207" s="2"/>
      <c r="TRB207" s="2"/>
      <c r="TRC207" s="2"/>
      <c r="TRD207" s="2"/>
      <c r="TRE207" s="2"/>
      <c r="TRF207" s="2"/>
      <c r="TRG207" s="2"/>
      <c r="TRH207" s="2"/>
      <c r="TRI207" s="2"/>
      <c r="TRJ207" s="2"/>
      <c r="TRK207" s="2"/>
      <c r="TRL207" s="2"/>
      <c r="TRM207" s="2"/>
      <c r="TRN207" s="2"/>
      <c r="TRO207" s="2"/>
      <c r="TRP207" s="2"/>
      <c r="TRQ207" s="2"/>
      <c r="TRR207" s="2"/>
      <c r="TRS207" s="2"/>
      <c r="TRT207" s="2"/>
      <c r="TRU207" s="2"/>
      <c r="TRV207" s="2"/>
      <c r="TRW207" s="2"/>
      <c r="TRX207" s="2"/>
      <c r="TRY207" s="2"/>
      <c r="TRZ207" s="2"/>
      <c r="TSA207" s="2"/>
      <c r="TSB207" s="2"/>
      <c r="TSC207" s="2"/>
      <c r="TSD207" s="2"/>
      <c r="TSE207" s="2"/>
      <c r="TSF207" s="2"/>
      <c r="TSG207" s="2"/>
      <c r="TSH207" s="2"/>
      <c r="TSI207" s="2"/>
      <c r="TSJ207" s="2"/>
      <c r="TSK207" s="2"/>
      <c r="TSL207" s="2"/>
      <c r="TSM207" s="2"/>
      <c r="TSN207" s="2"/>
      <c r="TSO207" s="2"/>
      <c r="TSP207" s="2"/>
      <c r="TSQ207" s="2"/>
      <c r="TSR207" s="2"/>
      <c r="TSS207" s="2"/>
      <c r="TST207" s="2"/>
      <c r="TSU207" s="2"/>
      <c r="TSV207" s="2"/>
      <c r="TSW207" s="2"/>
      <c r="TSX207" s="2"/>
      <c r="TSY207" s="2"/>
      <c r="TSZ207" s="2"/>
      <c r="TTA207" s="2"/>
      <c r="TTB207" s="2"/>
      <c r="TTC207" s="2"/>
      <c r="TTD207" s="2"/>
      <c r="TTE207" s="2"/>
      <c r="TTF207" s="2"/>
      <c r="TTG207" s="2"/>
      <c r="TTH207" s="2"/>
      <c r="TTI207" s="2"/>
      <c r="TTJ207" s="2"/>
      <c r="TTK207" s="2"/>
      <c r="TTL207" s="2"/>
      <c r="TTM207" s="2"/>
      <c r="TTN207" s="2"/>
      <c r="TTO207" s="2"/>
      <c r="TTP207" s="2"/>
      <c r="TTQ207" s="2"/>
      <c r="TTR207" s="2"/>
      <c r="TTS207" s="2"/>
      <c r="TTT207" s="2"/>
      <c r="TTU207" s="2"/>
      <c r="TTV207" s="2"/>
      <c r="TTW207" s="2"/>
      <c r="TTX207" s="2"/>
      <c r="TTY207" s="2"/>
      <c r="TTZ207" s="2"/>
      <c r="TUA207" s="2"/>
      <c r="TUB207" s="2"/>
      <c r="TUC207" s="2"/>
      <c r="TUD207" s="2"/>
      <c r="TUE207" s="2"/>
      <c r="TUF207" s="2"/>
      <c r="TUG207" s="2"/>
      <c r="TUH207" s="2"/>
      <c r="TUI207" s="2"/>
      <c r="TUJ207" s="2"/>
      <c r="TUK207" s="2"/>
      <c r="TUL207" s="2"/>
      <c r="TUM207" s="2"/>
      <c r="TUN207" s="2"/>
      <c r="TUO207" s="2"/>
      <c r="TUP207" s="2"/>
      <c r="TUQ207" s="2"/>
      <c r="TUR207" s="2"/>
      <c r="TUS207" s="2"/>
      <c r="TUT207" s="2"/>
      <c r="TUU207" s="2"/>
      <c r="TUV207" s="2"/>
      <c r="TUW207" s="2"/>
      <c r="TUX207" s="2"/>
      <c r="TUY207" s="2"/>
      <c r="TUZ207" s="2"/>
      <c r="TVA207" s="2"/>
      <c r="TVB207" s="2"/>
      <c r="TVC207" s="2"/>
      <c r="TVD207" s="2"/>
      <c r="TVE207" s="2"/>
      <c r="TVF207" s="2"/>
      <c r="TVG207" s="2"/>
      <c r="TVH207" s="2"/>
      <c r="TVI207" s="2"/>
      <c r="TVJ207" s="2"/>
      <c r="TVK207" s="2"/>
      <c r="TVL207" s="2"/>
      <c r="TVM207" s="2"/>
      <c r="TVN207" s="2"/>
      <c r="TVO207" s="2"/>
      <c r="TVP207" s="2"/>
      <c r="TVQ207" s="2"/>
      <c r="TVR207" s="2"/>
      <c r="TVS207" s="2"/>
      <c r="TVT207" s="2"/>
      <c r="TVU207" s="2"/>
      <c r="TVV207" s="2"/>
      <c r="TVW207" s="2"/>
      <c r="TVX207" s="2"/>
      <c r="TVY207" s="2"/>
      <c r="TVZ207" s="2"/>
      <c r="TWA207" s="2"/>
      <c r="TWB207" s="2"/>
      <c r="TWC207" s="2"/>
      <c r="TWD207" s="2"/>
      <c r="TWE207" s="2"/>
      <c r="TWF207" s="2"/>
      <c r="TWG207" s="2"/>
      <c r="TWH207" s="2"/>
      <c r="TWI207" s="2"/>
      <c r="TWJ207" s="2"/>
      <c r="TWK207" s="2"/>
      <c r="TWL207" s="2"/>
      <c r="TWM207" s="2"/>
      <c r="TWN207" s="2"/>
      <c r="TWO207" s="2"/>
      <c r="TWP207" s="2"/>
      <c r="TWQ207" s="2"/>
      <c r="TWR207" s="2"/>
      <c r="TWS207" s="2"/>
      <c r="TWT207" s="2"/>
      <c r="TWU207" s="2"/>
      <c r="TWV207" s="2"/>
      <c r="TWW207" s="2"/>
      <c r="TWX207" s="2"/>
      <c r="TWY207" s="2"/>
      <c r="TWZ207" s="2"/>
      <c r="TXA207" s="2"/>
      <c r="TXB207" s="2"/>
      <c r="TXC207" s="2"/>
      <c r="TXD207" s="2"/>
      <c r="TXE207" s="2"/>
      <c r="TXF207" s="2"/>
      <c r="TXG207" s="2"/>
      <c r="TXH207" s="2"/>
      <c r="TXI207" s="2"/>
      <c r="TXJ207" s="2"/>
      <c r="TXK207" s="2"/>
      <c r="TXL207" s="2"/>
      <c r="TXM207" s="2"/>
      <c r="TXN207" s="2"/>
      <c r="TXO207" s="2"/>
      <c r="TXP207" s="2"/>
      <c r="TXQ207" s="2"/>
      <c r="TXR207" s="2"/>
      <c r="TXS207" s="2"/>
      <c r="TXT207" s="2"/>
      <c r="TXU207" s="2"/>
      <c r="TXV207" s="2"/>
      <c r="TXW207" s="2"/>
      <c r="TXX207" s="2"/>
      <c r="TXY207" s="2"/>
      <c r="TXZ207" s="2"/>
      <c r="TYA207" s="2"/>
      <c r="TYB207" s="2"/>
      <c r="TYC207" s="2"/>
      <c r="TYD207" s="2"/>
      <c r="TYE207" s="2"/>
      <c r="TYF207" s="2"/>
      <c r="TYG207" s="2"/>
      <c r="TYH207" s="2"/>
      <c r="TYI207" s="2"/>
      <c r="TYJ207" s="2"/>
      <c r="TYK207" s="2"/>
      <c r="TYL207" s="2"/>
      <c r="TYM207" s="2"/>
      <c r="TYN207" s="2"/>
      <c r="TYO207" s="2"/>
      <c r="TYP207" s="2"/>
      <c r="TYQ207" s="2"/>
      <c r="TYR207" s="2"/>
      <c r="TYS207" s="2"/>
      <c r="TYT207" s="2"/>
      <c r="TYU207" s="2"/>
      <c r="TYV207" s="2"/>
      <c r="TYW207" s="2"/>
      <c r="TYX207" s="2"/>
      <c r="TYY207" s="2"/>
      <c r="TYZ207" s="2"/>
      <c r="TZA207" s="2"/>
      <c r="TZB207" s="2"/>
      <c r="TZC207" s="2"/>
      <c r="TZD207" s="2"/>
      <c r="TZE207" s="2"/>
      <c r="TZF207" s="2"/>
      <c r="TZG207" s="2"/>
      <c r="TZH207" s="2"/>
      <c r="TZI207" s="2"/>
      <c r="TZJ207" s="2"/>
      <c r="TZK207" s="2"/>
      <c r="TZL207" s="2"/>
      <c r="TZM207" s="2"/>
      <c r="TZN207" s="2"/>
      <c r="TZO207" s="2"/>
      <c r="TZP207" s="2"/>
      <c r="TZQ207" s="2"/>
      <c r="TZR207" s="2"/>
      <c r="TZS207" s="2"/>
      <c r="TZT207" s="2"/>
      <c r="TZU207" s="2"/>
      <c r="TZV207" s="2"/>
      <c r="TZW207" s="2"/>
      <c r="TZX207" s="2"/>
      <c r="TZY207" s="2"/>
      <c r="TZZ207" s="2"/>
      <c r="UAA207" s="2"/>
      <c r="UAB207" s="2"/>
      <c r="UAC207" s="2"/>
      <c r="UAD207" s="2"/>
      <c r="UAE207" s="2"/>
      <c r="UAF207" s="2"/>
      <c r="UAG207" s="2"/>
      <c r="UAH207" s="2"/>
      <c r="UAI207" s="2"/>
      <c r="UAJ207" s="2"/>
      <c r="UAK207" s="2"/>
      <c r="UAL207" s="2"/>
      <c r="UAM207" s="2"/>
      <c r="UAN207" s="2"/>
      <c r="UAO207" s="2"/>
      <c r="UAP207" s="2"/>
      <c r="UAQ207" s="2"/>
      <c r="UAR207" s="2"/>
      <c r="UAS207" s="2"/>
      <c r="UAT207" s="2"/>
      <c r="UAU207" s="2"/>
      <c r="UAV207" s="2"/>
      <c r="UAW207" s="2"/>
      <c r="UAX207" s="2"/>
      <c r="UAY207" s="2"/>
      <c r="UAZ207" s="2"/>
      <c r="UBA207" s="2"/>
      <c r="UBB207" s="2"/>
      <c r="UBC207" s="2"/>
      <c r="UBD207" s="2"/>
      <c r="UBE207" s="2"/>
      <c r="UBF207" s="2"/>
      <c r="UBG207" s="2"/>
      <c r="UBH207" s="2"/>
      <c r="UBI207" s="2"/>
      <c r="UBJ207" s="2"/>
      <c r="UBK207" s="2"/>
      <c r="UBL207" s="2"/>
      <c r="UBM207" s="2"/>
      <c r="UBN207" s="2"/>
      <c r="UBO207" s="2"/>
      <c r="UBP207" s="2"/>
      <c r="UBQ207" s="2"/>
      <c r="UBR207" s="2"/>
      <c r="UBS207" s="2"/>
      <c r="UBT207" s="2"/>
      <c r="UBU207" s="2"/>
      <c r="UBV207" s="2"/>
      <c r="UBW207" s="2"/>
      <c r="UBX207" s="2"/>
      <c r="UBY207" s="2"/>
      <c r="UBZ207" s="2"/>
      <c r="UCA207" s="2"/>
      <c r="UCB207" s="2"/>
      <c r="UCC207" s="2"/>
      <c r="UCD207" s="2"/>
      <c r="UCE207" s="2"/>
      <c r="UCF207" s="2"/>
      <c r="UCG207" s="2"/>
      <c r="UCH207" s="2"/>
      <c r="UCI207" s="2"/>
      <c r="UCJ207" s="2"/>
      <c r="UCK207" s="2"/>
      <c r="UCL207" s="2"/>
      <c r="UCM207" s="2"/>
      <c r="UCN207" s="2"/>
      <c r="UCO207" s="2"/>
      <c r="UCP207" s="2"/>
      <c r="UCQ207" s="2"/>
      <c r="UCR207" s="2"/>
      <c r="UCS207" s="2"/>
      <c r="UCT207" s="2"/>
      <c r="UCU207" s="2"/>
      <c r="UCV207" s="2"/>
      <c r="UCW207" s="2"/>
      <c r="UCX207" s="2"/>
      <c r="UCY207" s="2"/>
      <c r="UCZ207" s="2"/>
      <c r="UDA207" s="2"/>
      <c r="UDB207" s="2"/>
      <c r="UDC207" s="2"/>
      <c r="UDD207" s="2"/>
      <c r="UDE207" s="2"/>
      <c r="UDF207" s="2"/>
      <c r="UDG207" s="2"/>
      <c r="UDH207" s="2"/>
      <c r="UDI207" s="2"/>
      <c r="UDJ207" s="2"/>
      <c r="UDK207" s="2"/>
      <c r="UDL207" s="2"/>
      <c r="UDM207" s="2"/>
      <c r="UDN207" s="2"/>
      <c r="UDO207" s="2"/>
      <c r="UDP207" s="2"/>
      <c r="UDQ207" s="2"/>
      <c r="UDR207" s="2"/>
      <c r="UDS207" s="2"/>
      <c r="UDT207" s="2"/>
      <c r="UDU207" s="2"/>
      <c r="UDV207" s="2"/>
      <c r="UDW207" s="2"/>
      <c r="UDX207" s="2"/>
      <c r="UDY207" s="2"/>
      <c r="UDZ207" s="2"/>
      <c r="UEA207" s="2"/>
      <c r="UEB207" s="2"/>
      <c r="UEC207" s="2"/>
      <c r="UED207" s="2"/>
      <c r="UEE207" s="2"/>
      <c r="UEF207" s="2"/>
      <c r="UEG207" s="2"/>
      <c r="UEH207" s="2"/>
      <c r="UEI207" s="2"/>
      <c r="UEJ207" s="2"/>
      <c r="UEK207" s="2"/>
      <c r="UEL207" s="2"/>
      <c r="UEM207" s="2"/>
      <c r="UEN207" s="2"/>
      <c r="UEO207" s="2"/>
      <c r="UEP207" s="2"/>
      <c r="UEQ207" s="2"/>
      <c r="UER207" s="2"/>
      <c r="UES207" s="2"/>
      <c r="UET207" s="2"/>
      <c r="UEU207" s="2"/>
      <c r="UEV207" s="2"/>
      <c r="UEW207" s="2"/>
      <c r="UEX207" s="2"/>
      <c r="UEY207" s="2"/>
      <c r="UEZ207" s="2"/>
      <c r="UFA207" s="2"/>
      <c r="UFB207" s="2"/>
      <c r="UFC207" s="2"/>
      <c r="UFD207" s="2"/>
      <c r="UFE207" s="2"/>
      <c r="UFF207" s="2"/>
      <c r="UFG207" s="2"/>
      <c r="UFH207" s="2"/>
      <c r="UFI207" s="2"/>
      <c r="UFJ207" s="2"/>
      <c r="UFK207" s="2"/>
      <c r="UFL207" s="2"/>
      <c r="UFM207" s="2"/>
      <c r="UFN207" s="2"/>
      <c r="UFO207" s="2"/>
      <c r="UFP207" s="2"/>
      <c r="UFQ207" s="2"/>
      <c r="UFR207" s="2"/>
      <c r="UFS207" s="2"/>
      <c r="UFT207" s="2"/>
      <c r="UFU207" s="2"/>
      <c r="UFV207" s="2"/>
      <c r="UFW207" s="2"/>
      <c r="UFX207" s="2"/>
      <c r="UFY207" s="2"/>
      <c r="UFZ207" s="2"/>
      <c r="UGA207" s="2"/>
      <c r="UGB207" s="2"/>
      <c r="UGC207" s="2"/>
      <c r="UGD207" s="2"/>
      <c r="UGE207" s="2"/>
      <c r="UGF207" s="2"/>
      <c r="UGG207" s="2"/>
      <c r="UGH207" s="2"/>
      <c r="UGI207" s="2"/>
      <c r="UGJ207" s="2"/>
      <c r="UGK207" s="2"/>
      <c r="UGL207" s="2"/>
      <c r="UGM207" s="2"/>
      <c r="UGN207" s="2"/>
      <c r="UGO207" s="2"/>
      <c r="UGP207" s="2"/>
      <c r="UGQ207" s="2"/>
      <c r="UGR207" s="2"/>
      <c r="UGS207" s="2"/>
      <c r="UGT207" s="2"/>
      <c r="UGU207" s="2"/>
      <c r="UGV207" s="2"/>
      <c r="UGW207" s="2"/>
      <c r="UGX207" s="2"/>
      <c r="UGY207" s="2"/>
      <c r="UGZ207" s="2"/>
      <c r="UHA207" s="2"/>
      <c r="UHB207" s="2"/>
      <c r="UHC207" s="2"/>
      <c r="UHD207" s="2"/>
      <c r="UHE207" s="2"/>
      <c r="UHF207" s="2"/>
      <c r="UHG207" s="2"/>
      <c r="UHH207" s="2"/>
      <c r="UHI207" s="2"/>
      <c r="UHJ207" s="2"/>
      <c r="UHK207" s="2"/>
      <c r="UHL207" s="2"/>
      <c r="UHM207" s="2"/>
      <c r="UHN207" s="2"/>
      <c r="UHO207" s="2"/>
      <c r="UHP207" s="2"/>
      <c r="UHQ207" s="2"/>
      <c r="UHR207" s="2"/>
      <c r="UHS207" s="2"/>
      <c r="UHT207" s="2"/>
      <c r="UHU207" s="2"/>
      <c r="UHV207" s="2"/>
      <c r="UHW207" s="2"/>
      <c r="UHX207" s="2"/>
      <c r="UHY207" s="2"/>
      <c r="UHZ207" s="2"/>
      <c r="UIA207" s="2"/>
      <c r="UIB207" s="2"/>
      <c r="UIC207" s="2"/>
      <c r="UID207" s="2"/>
      <c r="UIE207" s="2"/>
      <c r="UIF207" s="2"/>
      <c r="UIG207" s="2"/>
      <c r="UIH207" s="2"/>
      <c r="UII207" s="2"/>
      <c r="UIJ207" s="2"/>
      <c r="UIK207" s="2"/>
      <c r="UIL207" s="2"/>
      <c r="UIM207" s="2"/>
      <c r="UIN207" s="2"/>
      <c r="UIO207" s="2"/>
      <c r="UIP207" s="2"/>
      <c r="UIQ207" s="2"/>
      <c r="UIR207" s="2"/>
      <c r="UIS207" s="2"/>
      <c r="UIT207" s="2"/>
      <c r="UIU207" s="2"/>
      <c r="UIV207" s="2"/>
      <c r="UIW207" s="2"/>
      <c r="UIX207" s="2"/>
      <c r="UIY207" s="2"/>
      <c r="UIZ207" s="2"/>
      <c r="UJA207" s="2"/>
      <c r="UJB207" s="2"/>
      <c r="UJC207" s="2"/>
      <c r="UJD207" s="2"/>
      <c r="UJE207" s="2"/>
      <c r="UJF207" s="2"/>
      <c r="UJG207" s="2"/>
      <c r="UJH207" s="2"/>
      <c r="UJI207" s="2"/>
      <c r="UJJ207" s="2"/>
      <c r="UJK207" s="2"/>
      <c r="UJL207" s="2"/>
      <c r="UJM207" s="2"/>
      <c r="UJN207" s="2"/>
      <c r="UJO207" s="2"/>
      <c r="UJP207" s="2"/>
      <c r="UJQ207" s="2"/>
      <c r="UJR207" s="2"/>
      <c r="UJS207" s="2"/>
      <c r="UJT207" s="2"/>
      <c r="UJU207" s="2"/>
      <c r="UJV207" s="2"/>
      <c r="UJW207" s="2"/>
      <c r="UJX207" s="2"/>
      <c r="UJY207" s="2"/>
      <c r="UJZ207" s="2"/>
      <c r="UKA207" s="2"/>
      <c r="UKB207" s="2"/>
      <c r="UKC207" s="2"/>
      <c r="UKD207" s="2"/>
      <c r="UKE207" s="2"/>
      <c r="UKF207" s="2"/>
      <c r="UKG207" s="2"/>
      <c r="UKH207" s="2"/>
      <c r="UKI207" s="2"/>
      <c r="UKJ207" s="2"/>
      <c r="UKK207" s="2"/>
      <c r="UKL207" s="2"/>
      <c r="UKM207" s="2"/>
      <c r="UKN207" s="2"/>
      <c r="UKO207" s="2"/>
      <c r="UKP207" s="2"/>
      <c r="UKQ207" s="2"/>
      <c r="UKR207" s="2"/>
      <c r="UKS207" s="2"/>
      <c r="UKT207" s="2"/>
      <c r="UKU207" s="2"/>
      <c r="UKV207" s="2"/>
      <c r="UKW207" s="2"/>
      <c r="UKX207" s="2"/>
      <c r="UKY207" s="2"/>
      <c r="UKZ207" s="2"/>
      <c r="ULA207" s="2"/>
      <c r="ULB207" s="2"/>
      <c r="ULC207" s="2"/>
      <c r="ULD207" s="2"/>
      <c r="ULE207" s="2"/>
      <c r="ULF207" s="2"/>
      <c r="ULG207" s="2"/>
      <c r="ULH207" s="2"/>
      <c r="ULI207" s="2"/>
      <c r="ULJ207" s="2"/>
      <c r="ULK207" s="2"/>
      <c r="ULL207" s="2"/>
      <c r="ULM207" s="2"/>
      <c r="ULN207" s="2"/>
      <c r="ULO207" s="2"/>
      <c r="ULP207" s="2"/>
      <c r="ULQ207" s="2"/>
      <c r="ULR207" s="2"/>
      <c r="ULS207" s="2"/>
      <c r="ULT207" s="2"/>
      <c r="ULU207" s="2"/>
      <c r="ULV207" s="2"/>
      <c r="ULW207" s="2"/>
      <c r="ULX207" s="2"/>
      <c r="ULY207" s="2"/>
      <c r="ULZ207" s="2"/>
      <c r="UMA207" s="2"/>
      <c r="UMB207" s="2"/>
      <c r="UMC207" s="2"/>
      <c r="UMD207" s="2"/>
      <c r="UME207" s="2"/>
      <c r="UMF207" s="2"/>
      <c r="UMG207" s="2"/>
      <c r="UMH207" s="2"/>
      <c r="UMI207" s="2"/>
      <c r="UMJ207" s="2"/>
      <c r="UMK207" s="2"/>
      <c r="UML207" s="2"/>
      <c r="UMM207" s="2"/>
      <c r="UMN207" s="2"/>
      <c r="UMO207" s="2"/>
      <c r="UMP207" s="2"/>
      <c r="UMQ207" s="2"/>
      <c r="UMR207" s="2"/>
      <c r="UMS207" s="2"/>
      <c r="UMT207" s="2"/>
      <c r="UMU207" s="2"/>
      <c r="UMV207" s="2"/>
      <c r="UMW207" s="2"/>
      <c r="UMX207" s="2"/>
      <c r="UMY207" s="2"/>
      <c r="UMZ207" s="2"/>
      <c r="UNA207" s="2"/>
      <c r="UNB207" s="2"/>
      <c r="UNC207" s="2"/>
      <c r="UND207" s="2"/>
      <c r="UNE207" s="2"/>
      <c r="UNF207" s="2"/>
      <c r="UNG207" s="2"/>
      <c r="UNH207" s="2"/>
      <c r="UNI207" s="2"/>
      <c r="UNJ207" s="2"/>
      <c r="UNK207" s="2"/>
      <c r="UNL207" s="2"/>
      <c r="UNM207" s="2"/>
      <c r="UNN207" s="2"/>
      <c r="UNO207" s="2"/>
      <c r="UNP207" s="2"/>
      <c r="UNQ207" s="2"/>
      <c r="UNR207" s="2"/>
      <c r="UNS207" s="2"/>
      <c r="UNT207" s="2"/>
      <c r="UNU207" s="2"/>
      <c r="UNV207" s="2"/>
      <c r="UNW207" s="2"/>
      <c r="UNX207" s="2"/>
      <c r="UNY207" s="2"/>
      <c r="UNZ207" s="2"/>
      <c r="UOA207" s="2"/>
      <c r="UOB207" s="2"/>
      <c r="UOC207" s="2"/>
      <c r="UOD207" s="2"/>
      <c r="UOE207" s="2"/>
      <c r="UOF207" s="2"/>
      <c r="UOG207" s="2"/>
      <c r="UOH207" s="2"/>
      <c r="UOI207" s="2"/>
      <c r="UOJ207" s="2"/>
      <c r="UOK207" s="2"/>
      <c r="UOL207" s="2"/>
      <c r="UOM207" s="2"/>
      <c r="UON207" s="2"/>
      <c r="UOO207" s="2"/>
      <c r="UOP207" s="2"/>
      <c r="UOQ207" s="2"/>
      <c r="UOR207" s="2"/>
      <c r="UOS207" s="2"/>
      <c r="UOT207" s="2"/>
      <c r="UOU207" s="2"/>
      <c r="UOV207" s="2"/>
      <c r="UOW207" s="2"/>
      <c r="UOX207" s="2"/>
      <c r="UOY207" s="2"/>
      <c r="UOZ207" s="2"/>
      <c r="UPA207" s="2"/>
      <c r="UPB207" s="2"/>
      <c r="UPC207" s="2"/>
      <c r="UPD207" s="2"/>
      <c r="UPE207" s="2"/>
      <c r="UPF207" s="2"/>
      <c r="UPG207" s="2"/>
      <c r="UPH207" s="2"/>
      <c r="UPI207" s="2"/>
      <c r="UPJ207" s="2"/>
      <c r="UPK207" s="2"/>
      <c r="UPL207" s="2"/>
      <c r="UPM207" s="2"/>
      <c r="UPN207" s="2"/>
      <c r="UPO207" s="2"/>
      <c r="UPP207" s="2"/>
      <c r="UPQ207" s="2"/>
      <c r="UPR207" s="2"/>
      <c r="UPS207" s="2"/>
      <c r="UPT207" s="2"/>
      <c r="UPU207" s="2"/>
      <c r="UPV207" s="2"/>
      <c r="UPW207" s="2"/>
      <c r="UPX207" s="2"/>
      <c r="UPY207" s="2"/>
      <c r="UPZ207" s="2"/>
      <c r="UQA207" s="2"/>
      <c r="UQB207" s="2"/>
      <c r="UQC207" s="2"/>
      <c r="UQD207" s="2"/>
      <c r="UQE207" s="2"/>
      <c r="UQF207" s="2"/>
      <c r="UQG207" s="2"/>
      <c r="UQH207" s="2"/>
      <c r="UQI207" s="2"/>
      <c r="UQJ207" s="2"/>
      <c r="UQK207" s="2"/>
      <c r="UQL207" s="2"/>
      <c r="UQM207" s="2"/>
      <c r="UQN207" s="2"/>
      <c r="UQO207" s="2"/>
      <c r="UQP207" s="2"/>
      <c r="UQQ207" s="2"/>
      <c r="UQR207" s="2"/>
      <c r="UQS207" s="2"/>
      <c r="UQT207" s="2"/>
      <c r="UQU207" s="2"/>
      <c r="UQV207" s="2"/>
      <c r="UQW207" s="2"/>
      <c r="UQX207" s="2"/>
      <c r="UQY207" s="2"/>
      <c r="UQZ207" s="2"/>
      <c r="URA207" s="2"/>
      <c r="URB207" s="2"/>
      <c r="URC207" s="2"/>
      <c r="URD207" s="2"/>
      <c r="URE207" s="2"/>
      <c r="URF207" s="2"/>
      <c r="URG207" s="2"/>
      <c r="URH207" s="2"/>
      <c r="URI207" s="2"/>
      <c r="URJ207" s="2"/>
      <c r="URK207" s="2"/>
      <c r="URL207" s="2"/>
      <c r="URM207" s="2"/>
      <c r="URN207" s="2"/>
      <c r="URO207" s="2"/>
      <c r="URP207" s="2"/>
      <c r="URQ207" s="2"/>
      <c r="URR207" s="2"/>
      <c r="URS207" s="2"/>
      <c r="URT207" s="2"/>
      <c r="URU207" s="2"/>
      <c r="URV207" s="2"/>
      <c r="URW207" s="2"/>
      <c r="URX207" s="2"/>
      <c r="URY207" s="2"/>
      <c r="URZ207" s="2"/>
      <c r="USA207" s="2"/>
      <c r="USB207" s="2"/>
      <c r="USC207" s="2"/>
      <c r="USD207" s="2"/>
      <c r="USE207" s="2"/>
      <c r="USF207" s="2"/>
      <c r="USG207" s="2"/>
      <c r="USH207" s="2"/>
      <c r="USI207" s="2"/>
      <c r="USJ207" s="2"/>
      <c r="USK207" s="2"/>
      <c r="USL207" s="2"/>
      <c r="USM207" s="2"/>
      <c r="USN207" s="2"/>
      <c r="USO207" s="2"/>
      <c r="USP207" s="2"/>
      <c r="USQ207" s="2"/>
      <c r="USR207" s="2"/>
      <c r="USS207" s="2"/>
      <c r="UST207" s="2"/>
      <c r="USU207" s="2"/>
      <c r="USV207" s="2"/>
      <c r="USW207" s="2"/>
      <c r="USX207" s="2"/>
      <c r="USY207" s="2"/>
      <c r="USZ207" s="2"/>
      <c r="UTA207" s="2"/>
      <c r="UTB207" s="2"/>
      <c r="UTC207" s="2"/>
      <c r="UTD207" s="2"/>
      <c r="UTE207" s="2"/>
      <c r="UTF207" s="2"/>
      <c r="UTG207" s="2"/>
      <c r="UTH207" s="2"/>
      <c r="UTI207" s="2"/>
      <c r="UTJ207" s="2"/>
      <c r="UTK207" s="2"/>
      <c r="UTL207" s="2"/>
      <c r="UTM207" s="2"/>
      <c r="UTN207" s="2"/>
      <c r="UTO207" s="2"/>
      <c r="UTP207" s="2"/>
      <c r="UTQ207" s="2"/>
      <c r="UTR207" s="2"/>
      <c r="UTS207" s="2"/>
      <c r="UTT207" s="2"/>
      <c r="UTU207" s="2"/>
      <c r="UTV207" s="2"/>
      <c r="UTW207" s="2"/>
      <c r="UTX207" s="2"/>
      <c r="UTY207" s="2"/>
      <c r="UTZ207" s="2"/>
      <c r="UUA207" s="2"/>
      <c r="UUB207" s="2"/>
      <c r="UUC207" s="2"/>
      <c r="UUD207" s="2"/>
      <c r="UUE207" s="2"/>
      <c r="UUF207" s="2"/>
      <c r="UUG207" s="2"/>
      <c r="UUH207" s="2"/>
      <c r="UUI207" s="2"/>
      <c r="UUJ207" s="2"/>
      <c r="UUK207" s="2"/>
      <c r="UUL207" s="2"/>
      <c r="UUM207" s="2"/>
      <c r="UUN207" s="2"/>
      <c r="UUO207" s="2"/>
      <c r="UUP207" s="2"/>
      <c r="UUQ207" s="2"/>
      <c r="UUR207" s="2"/>
      <c r="UUS207" s="2"/>
      <c r="UUT207" s="2"/>
      <c r="UUU207" s="2"/>
      <c r="UUV207" s="2"/>
      <c r="UUW207" s="2"/>
      <c r="UUX207" s="2"/>
      <c r="UUY207" s="2"/>
      <c r="UUZ207" s="2"/>
      <c r="UVA207" s="2"/>
      <c r="UVB207" s="2"/>
      <c r="UVC207" s="2"/>
      <c r="UVD207" s="2"/>
      <c r="UVE207" s="2"/>
      <c r="UVF207" s="2"/>
      <c r="UVG207" s="2"/>
      <c r="UVH207" s="2"/>
      <c r="UVI207" s="2"/>
      <c r="UVJ207" s="2"/>
      <c r="UVK207" s="2"/>
      <c r="UVL207" s="2"/>
      <c r="UVM207" s="2"/>
      <c r="UVN207" s="2"/>
      <c r="UVO207" s="2"/>
      <c r="UVP207" s="2"/>
      <c r="UVQ207" s="2"/>
      <c r="UVR207" s="2"/>
      <c r="UVS207" s="2"/>
      <c r="UVT207" s="2"/>
      <c r="UVU207" s="2"/>
      <c r="UVV207" s="2"/>
      <c r="UVW207" s="2"/>
      <c r="UVX207" s="2"/>
      <c r="UVY207" s="2"/>
      <c r="UVZ207" s="2"/>
      <c r="UWA207" s="2"/>
      <c r="UWB207" s="2"/>
      <c r="UWC207" s="2"/>
      <c r="UWD207" s="2"/>
      <c r="UWE207" s="2"/>
      <c r="UWF207" s="2"/>
      <c r="UWG207" s="2"/>
      <c r="UWH207" s="2"/>
      <c r="UWI207" s="2"/>
      <c r="UWJ207" s="2"/>
      <c r="UWK207" s="2"/>
      <c r="UWL207" s="2"/>
      <c r="UWM207" s="2"/>
      <c r="UWN207" s="2"/>
      <c r="UWO207" s="2"/>
      <c r="UWP207" s="2"/>
      <c r="UWQ207" s="2"/>
      <c r="UWR207" s="2"/>
      <c r="UWS207" s="2"/>
      <c r="UWT207" s="2"/>
      <c r="UWU207" s="2"/>
      <c r="UWV207" s="2"/>
      <c r="UWW207" s="2"/>
      <c r="UWX207" s="2"/>
      <c r="UWY207" s="2"/>
      <c r="UWZ207" s="2"/>
      <c r="UXA207" s="2"/>
      <c r="UXB207" s="2"/>
      <c r="UXC207" s="2"/>
      <c r="UXD207" s="2"/>
      <c r="UXE207" s="2"/>
      <c r="UXF207" s="2"/>
      <c r="UXG207" s="2"/>
      <c r="UXH207" s="2"/>
      <c r="UXI207" s="2"/>
      <c r="UXJ207" s="2"/>
      <c r="UXK207" s="2"/>
      <c r="UXL207" s="2"/>
      <c r="UXM207" s="2"/>
      <c r="UXN207" s="2"/>
      <c r="UXO207" s="2"/>
      <c r="UXP207" s="2"/>
      <c r="UXQ207" s="2"/>
      <c r="UXR207" s="2"/>
      <c r="UXS207" s="2"/>
      <c r="UXT207" s="2"/>
      <c r="UXU207" s="2"/>
      <c r="UXV207" s="2"/>
      <c r="UXW207" s="2"/>
      <c r="UXX207" s="2"/>
      <c r="UXY207" s="2"/>
      <c r="UXZ207" s="2"/>
      <c r="UYA207" s="2"/>
      <c r="UYB207" s="2"/>
      <c r="UYC207" s="2"/>
      <c r="UYD207" s="2"/>
      <c r="UYE207" s="2"/>
      <c r="UYF207" s="2"/>
      <c r="UYG207" s="2"/>
      <c r="UYH207" s="2"/>
      <c r="UYI207" s="2"/>
      <c r="UYJ207" s="2"/>
      <c r="UYK207" s="2"/>
      <c r="UYL207" s="2"/>
      <c r="UYM207" s="2"/>
      <c r="UYN207" s="2"/>
      <c r="UYO207" s="2"/>
      <c r="UYP207" s="2"/>
      <c r="UYQ207" s="2"/>
      <c r="UYR207" s="2"/>
      <c r="UYS207" s="2"/>
      <c r="UYT207" s="2"/>
      <c r="UYU207" s="2"/>
      <c r="UYV207" s="2"/>
      <c r="UYW207" s="2"/>
      <c r="UYX207" s="2"/>
      <c r="UYY207" s="2"/>
      <c r="UYZ207" s="2"/>
      <c r="UZA207" s="2"/>
      <c r="UZB207" s="2"/>
      <c r="UZC207" s="2"/>
      <c r="UZD207" s="2"/>
      <c r="UZE207" s="2"/>
      <c r="UZF207" s="2"/>
      <c r="UZG207" s="2"/>
      <c r="UZH207" s="2"/>
      <c r="UZI207" s="2"/>
      <c r="UZJ207" s="2"/>
      <c r="UZK207" s="2"/>
      <c r="UZL207" s="2"/>
      <c r="UZM207" s="2"/>
      <c r="UZN207" s="2"/>
      <c r="UZO207" s="2"/>
      <c r="UZP207" s="2"/>
      <c r="UZQ207" s="2"/>
      <c r="UZR207" s="2"/>
      <c r="UZS207" s="2"/>
      <c r="UZT207" s="2"/>
      <c r="UZU207" s="2"/>
      <c r="UZV207" s="2"/>
      <c r="UZW207" s="2"/>
      <c r="UZX207" s="2"/>
      <c r="UZY207" s="2"/>
      <c r="UZZ207" s="2"/>
      <c r="VAA207" s="2"/>
      <c r="VAB207" s="2"/>
      <c r="VAC207" s="2"/>
      <c r="VAD207" s="2"/>
      <c r="VAE207" s="2"/>
      <c r="VAF207" s="2"/>
      <c r="VAG207" s="2"/>
      <c r="VAH207" s="2"/>
      <c r="VAI207" s="2"/>
      <c r="VAJ207" s="2"/>
      <c r="VAK207" s="2"/>
      <c r="VAL207" s="2"/>
      <c r="VAM207" s="2"/>
      <c r="VAN207" s="2"/>
      <c r="VAO207" s="2"/>
      <c r="VAP207" s="2"/>
      <c r="VAQ207" s="2"/>
      <c r="VAR207" s="2"/>
      <c r="VAS207" s="2"/>
      <c r="VAT207" s="2"/>
      <c r="VAU207" s="2"/>
      <c r="VAV207" s="2"/>
      <c r="VAW207" s="2"/>
      <c r="VAX207" s="2"/>
      <c r="VAY207" s="2"/>
      <c r="VAZ207" s="2"/>
      <c r="VBA207" s="2"/>
      <c r="VBB207" s="2"/>
      <c r="VBC207" s="2"/>
      <c r="VBD207" s="2"/>
      <c r="VBE207" s="2"/>
      <c r="VBF207" s="2"/>
      <c r="VBG207" s="2"/>
      <c r="VBH207" s="2"/>
      <c r="VBI207" s="2"/>
      <c r="VBJ207" s="2"/>
      <c r="VBK207" s="2"/>
      <c r="VBL207" s="2"/>
      <c r="VBM207" s="2"/>
      <c r="VBN207" s="2"/>
      <c r="VBO207" s="2"/>
      <c r="VBP207" s="2"/>
      <c r="VBQ207" s="2"/>
      <c r="VBR207" s="2"/>
      <c r="VBS207" s="2"/>
      <c r="VBT207" s="2"/>
      <c r="VBU207" s="2"/>
      <c r="VBV207" s="2"/>
      <c r="VBW207" s="2"/>
      <c r="VBX207" s="2"/>
      <c r="VBY207" s="2"/>
      <c r="VBZ207" s="2"/>
      <c r="VCA207" s="2"/>
      <c r="VCB207" s="2"/>
      <c r="VCC207" s="2"/>
      <c r="VCD207" s="2"/>
      <c r="VCE207" s="2"/>
      <c r="VCF207" s="2"/>
      <c r="VCG207" s="2"/>
      <c r="VCH207" s="2"/>
      <c r="VCI207" s="2"/>
      <c r="VCJ207" s="2"/>
      <c r="VCK207" s="2"/>
      <c r="VCL207" s="2"/>
      <c r="VCM207" s="2"/>
      <c r="VCN207" s="2"/>
      <c r="VCO207" s="2"/>
      <c r="VCP207" s="2"/>
      <c r="VCQ207" s="2"/>
      <c r="VCR207" s="2"/>
      <c r="VCS207" s="2"/>
      <c r="VCT207" s="2"/>
      <c r="VCU207" s="2"/>
      <c r="VCV207" s="2"/>
      <c r="VCW207" s="2"/>
    </row>
    <row r="208" spans="5:14973" s="3" customFormat="1" x14ac:dyDescent="0.3"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72"/>
      <c r="AN208" s="72"/>
      <c r="AO208" s="72"/>
      <c r="AP208" s="2"/>
      <c r="AQ208" s="2"/>
      <c r="AR208" s="2"/>
      <c r="AT208" s="4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2"/>
      <c r="TR208" s="2"/>
      <c r="TS208" s="2"/>
      <c r="TT208" s="2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2"/>
      <c r="UF208" s="2"/>
      <c r="UG208" s="2"/>
      <c r="UH208" s="2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2"/>
      <c r="UT208" s="2"/>
      <c r="UU208" s="2"/>
      <c r="UV208" s="2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2"/>
      <c r="VH208" s="2"/>
      <c r="VI208" s="2"/>
      <c r="VJ208" s="2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2"/>
      <c r="VV208" s="2"/>
      <c r="VW208" s="2"/>
      <c r="VX208" s="2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2"/>
      <c r="WJ208" s="2"/>
      <c r="WK208" s="2"/>
      <c r="WL208" s="2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2"/>
      <c r="WX208" s="2"/>
      <c r="WY208" s="2"/>
      <c r="WZ208" s="2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2"/>
      <c r="XL208" s="2"/>
      <c r="XM208" s="2"/>
      <c r="XN208" s="2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2"/>
      <c r="XZ208" s="2"/>
      <c r="YA208" s="2"/>
      <c r="YB208" s="2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2"/>
      <c r="YN208" s="2"/>
      <c r="YO208" s="2"/>
      <c r="YP208" s="2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2"/>
      <c r="ZB208" s="2"/>
      <c r="ZC208" s="2"/>
      <c r="ZD208" s="2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2"/>
      <c r="ZP208" s="2"/>
      <c r="ZQ208" s="2"/>
      <c r="ZR208" s="2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2"/>
      <c r="AAD208" s="2"/>
      <c r="AAE208" s="2"/>
      <c r="AAF208" s="2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  <c r="ABE208" s="2"/>
      <c r="ABF208" s="2"/>
      <c r="ABG208" s="2"/>
      <c r="ABH208" s="2"/>
      <c r="ABI208" s="2"/>
      <c r="ABJ208" s="2"/>
      <c r="ABK208" s="2"/>
      <c r="ABL208" s="2"/>
      <c r="ABM208" s="2"/>
      <c r="ABN208" s="2"/>
      <c r="ABO208" s="2"/>
      <c r="ABP208" s="2"/>
      <c r="ABQ208" s="2"/>
      <c r="ABR208" s="2"/>
      <c r="ABS208" s="2"/>
      <c r="ABT208" s="2"/>
      <c r="ABU208" s="2"/>
      <c r="ABV208" s="2"/>
      <c r="ABW208" s="2"/>
      <c r="ABX208" s="2"/>
      <c r="ABY208" s="2"/>
      <c r="ABZ208" s="2"/>
      <c r="ACA208" s="2"/>
      <c r="ACB208" s="2"/>
      <c r="ACC208" s="2"/>
      <c r="ACD208" s="2"/>
      <c r="ACE208" s="2"/>
      <c r="ACF208" s="2"/>
      <c r="ACG208" s="2"/>
      <c r="ACH208" s="2"/>
      <c r="ACI208" s="2"/>
      <c r="ACJ208" s="2"/>
      <c r="ACK208" s="2"/>
      <c r="ACL208" s="2"/>
      <c r="ACM208" s="2"/>
      <c r="ACN208" s="2"/>
      <c r="ACO208" s="2"/>
      <c r="ACP208" s="2"/>
      <c r="ACQ208" s="2"/>
      <c r="ACR208" s="2"/>
      <c r="ACS208" s="2"/>
      <c r="ACT208" s="2"/>
      <c r="ACU208" s="2"/>
      <c r="ACV208" s="2"/>
      <c r="ACW208" s="2"/>
      <c r="ACX208" s="2"/>
      <c r="ACY208" s="2"/>
      <c r="ACZ208" s="2"/>
      <c r="ADA208" s="2"/>
      <c r="ADB208" s="2"/>
      <c r="ADC208" s="2"/>
      <c r="ADD208" s="2"/>
      <c r="ADE208" s="2"/>
      <c r="ADF208" s="2"/>
      <c r="ADG208" s="2"/>
      <c r="ADH208" s="2"/>
      <c r="ADI208" s="2"/>
      <c r="ADJ208" s="2"/>
      <c r="ADK208" s="2"/>
      <c r="ADL208" s="2"/>
      <c r="ADM208" s="2"/>
      <c r="ADN208" s="2"/>
      <c r="ADO208" s="2"/>
      <c r="ADP208" s="2"/>
      <c r="ADQ208" s="2"/>
      <c r="ADR208" s="2"/>
      <c r="ADS208" s="2"/>
      <c r="ADT208" s="2"/>
      <c r="ADU208" s="2"/>
      <c r="ADV208" s="2"/>
      <c r="ADW208" s="2"/>
      <c r="ADX208" s="2"/>
      <c r="ADY208" s="2"/>
      <c r="ADZ208" s="2"/>
      <c r="AEA208" s="2"/>
      <c r="AEB208" s="2"/>
      <c r="AEC208" s="2"/>
      <c r="AED208" s="2"/>
      <c r="AEE208" s="2"/>
      <c r="AEF208" s="2"/>
      <c r="AEG208" s="2"/>
      <c r="AEH208" s="2"/>
      <c r="AEI208" s="2"/>
      <c r="AEJ208" s="2"/>
      <c r="AEK208" s="2"/>
      <c r="AEL208" s="2"/>
      <c r="AEM208" s="2"/>
      <c r="AEN208" s="2"/>
      <c r="AEO208" s="2"/>
      <c r="AEP208" s="2"/>
      <c r="AEQ208" s="2"/>
      <c r="AER208" s="2"/>
      <c r="AES208" s="2"/>
      <c r="AET208" s="2"/>
      <c r="AEU208" s="2"/>
      <c r="AEV208" s="2"/>
      <c r="AEW208" s="2"/>
      <c r="AEX208" s="2"/>
      <c r="AEY208" s="2"/>
      <c r="AEZ208" s="2"/>
      <c r="AFA208" s="2"/>
      <c r="AFB208" s="2"/>
      <c r="AFC208" s="2"/>
      <c r="AFD208" s="2"/>
      <c r="AFE208" s="2"/>
      <c r="AFF208" s="2"/>
      <c r="AFG208" s="2"/>
      <c r="AFH208" s="2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2"/>
      <c r="AGB208" s="2"/>
      <c r="AGC208" s="2"/>
      <c r="AGD208" s="2"/>
      <c r="AGE208" s="2"/>
      <c r="AGF208" s="2"/>
      <c r="AGG208" s="2"/>
      <c r="AGH208" s="2"/>
      <c r="AGI208" s="2"/>
      <c r="AGJ208" s="2"/>
      <c r="AGK208" s="2"/>
      <c r="AGL208" s="2"/>
      <c r="AGM208" s="2"/>
      <c r="AGN208" s="2"/>
      <c r="AGO208" s="2"/>
      <c r="AGP208" s="2"/>
      <c r="AGQ208" s="2"/>
      <c r="AGR208" s="2"/>
      <c r="AGS208" s="2"/>
      <c r="AGT208" s="2"/>
      <c r="AGU208" s="2"/>
      <c r="AGV208" s="2"/>
      <c r="AGW208" s="2"/>
      <c r="AGX208" s="2"/>
      <c r="AGY208" s="2"/>
      <c r="AGZ208" s="2"/>
      <c r="AHA208" s="2"/>
      <c r="AHB208" s="2"/>
      <c r="AHC208" s="2"/>
      <c r="AHD208" s="2"/>
      <c r="AHE208" s="2"/>
      <c r="AHF208" s="2"/>
      <c r="AHG208" s="2"/>
      <c r="AHH208" s="2"/>
      <c r="AHI208" s="2"/>
      <c r="AHJ208" s="2"/>
      <c r="AHK208" s="2"/>
      <c r="AHL208" s="2"/>
      <c r="AHM208" s="2"/>
      <c r="AHN208" s="2"/>
      <c r="AHO208" s="2"/>
      <c r="AHP208" s="2"/>
      <c r="AHQ208" s="2"/>
      <c r="AHR208" s="2"/>
      <c r="AHS208" s="2"/>
      <c r="AHT208" s="2"/>
      <c r="AHU208" s="2"/>
      <c r="AHV208" s="2"/>
      <c r="AHW208" s="2"/>
      <c r="AHX208" s="2"/>
      <c r="AHY208" s="2"/>
      <c r="AHZ208" s="2"/>
      <c r="AIA208" s="2"/>
      <c r="AIB208" s="2"/>
      <c r="AIC208" s="2"/>
      <c r="AID208" s="2"/>
      <c r="AIE208" s="2"/>
      <c r="AIF208" s="2"/>
      <c r="AIG208" s="2"/>
      <c r="AIH208" s="2"/>
      <c r="AII208" s="2"/>
      <c r="AIJ208" s="2"/>
      <c r="AIK208" s="2"/>
      <c r="AIL208" s="2"/>
      <c r="AIM208" s="2"/>
      <c r="AIN208" s="2"/>
      <c r="AIO208" s="2"/>
      <c r="AIP208" s="2"/>
      <c r="AIQ208" s="2"/>
      <c r="AIR208" s="2"/>
      <c r="AIS208" s="2"/>
      <c r="AIT208" s="2"/>
      <c r="AIU208" s="2"/>
      <c r="AIV208" s="2"/>
      <c r="AIW208" s="2"/>
      <c r="AIX208" s="2"/>
      <c r="AIY208" s="2"/>
      <c r="AIZ208" s="2"/>
      <c r="AJA208" s="2"/>
      <c r="AJB208" s="2"/>
      <c r="AJC208" s="2"/>
      <c r="AJD208" s="2"/>
      <c r="AJE208" s="2"/>
      <c r="AJF208" s="2"/>
      <c r="AJG208" s="2"/>
      <c r="AJH208" s="2"/>
      <c r="AJI208" s="2"/>
      <c r="AJJ208" s="2"/>
      <c r="AJK208" s="2"/>
      <c r="AJL208" s="2"/>
      <c r="AJM208" s="2"/>
      <c r="AJN208" s="2"/>
      <c r="AJO208" s="2"/>
      <c r="AJP208" s="2"/>
      <c r="AJQ208" s="2"/>
      <c r="AJR208" s="2"/>
      <c r="AJS208" s="2"/>
      <c r="AJT208" s="2"/>
      <c r="AJU208" s="2"/>
      <c r="AJV208" s="2"/>
      <c r="AJW208" s="2"/>
      <c r="AJX208" s="2"/>
      <c r="AJY208" s="2"/>
      <c r="AJZ208" s="2"/>
      <c r="AKA208" s="2"/>
      <c r="AKB208" s="2"/>
      <c r="AKC208" s="2"/>
      <c r="AKD208" s="2"/>
      <c r="AKE208" s="2"/>
      <c r="AKF208" s="2"/>
      <c r="AKG208" s="2"/>
      <c r="AKH208" s="2"/>
      <c r="AKI208" s="2"/>
      <c r="AKJ208" s="2"/>
      <c r="AKK208" s="2"/>
      <c r="AKL208" s="2"/>
      <c r="AKM208" s="2"/>
      <c r="AKN208" s="2"/>
      <c r="AKO208" s="2"/>
      <c r="AKP208" s="2"/>
      <c r="AKQ208" s="2"/>
      <c r="AKR208" s="2"/>
      <c r="AKS208" s="2"/>
      <c r="AKT208" s="2"/>
      <c r="AKU208" s="2"/>
      <c r="AKV208" s="2"/>
      <c r="AKW208" s="2"/>
      <c r="AKX208" s="2"/>
      <c r="AKY208" s="2"/>
      <c r="AKZ208" s="2"/>
      <c r="ALA208" s="2"/>
      <c r="ALB208" s="2"/>
      <c r="ALC208" s="2"/>
      <c r="ALD208" s="2"/>
      <c r="ALE208" s="2"/>
      <c r="ALF208" s="2"/>
      <c r="ALG208" s="2"/>
      <c r="ALH208" s="2"/>
      <c r="ALI208" s="2"/>
      <c r="ALJ208" s="2"/>
      <c r="ALK208" s="2"/>
      <c r="ALL208" s="2"/>
      <c r="ALM208" s="2"/>
      <c r="ALN208" s="2"/>
      <c r="ALO208" s="2"/>
      <c r="ALP208" s="2"/>
      <c r="ALQ208" s="2"/>
      <c r="ALR208" s="2"/>
      <c r="ALS208" s="2"/>
      <c r="ALT208" s="2"/>
      <c r="ALU208" s="2"/>
      <c r="ALV208" s="2"/>
      <c r="ALW208" s="2"/>
      <c r="ALX208" s="2"/>
      <c r="ALY208" s="2"/>
      <c r="ALZ208" s="2"/>
      <c r="AMA208" s="2"/>
      <c r="AMB208" s="2"/>
      <c r="AMC208" s="2"/>
      <c r="AMD208" s="2"/>
      <c r="AME208" s="2"/>
      <c r="AMF208" s="2"/>
      <c r="AMG208" s="2"/>
      <c r="AMH208" s="2"/>
      <c r="AMI208" s="2"/>
      <c r="AMJ208" s="2"/>
      <c r="AMK208" s="2"/>
      <c r="AML208" s="2"/>
      <c r="AMM208" s="2"/>
      <c r="AMN208" s="2"/>
      <c r="AMO208" s="2"/>
      <c r="AMP208" s="2"/>
      <c r="AMQ208" s="2"/>
      <c r="AMR208" s="2"/>
      <c r="AMS208" s="2"/>
      <c r="AMT208" s="2"/>
      <c r="AMU208" s="2"/>
      <c r="AMV208" s="2"/>
      <c r="AMW208" s="2"/>
      <c r="AMX208" s="2"/>
      <c r="AMY208" s="2"/>
      <c r="AMZ208" s="2"/>
      <c r="ANA208" s="2"/>
      <c r="ANB208" s="2"/>
      <c r="ANC208" s="2"/>
      <c r="AND208" s="2"/>
      <c r="ANE208" s="2"/>
      <c r="ANF208" s="2"/>
      <c r="ANG208" s="2"/>
      <c r="ANH208" s="2"/>
      <c r="ANI208" s="2"/>
      <c r="ANJ208" s="2"/>
      <c r="ANK208" s="2"/>
      <c r="ANL208" s="2"/>
      <c r="ANM208" s="2"/>
      <c r="ANN208" s="2"/>
      <c r="ANO208" s="2"/>
      <c r="ANP208" s="2"/>
      <c r="ANQ208" s="2"/>
      <c r="ANR208" s="2"/>
      <c r="ANS208" s="2"/>
      <c r="ANT208" s="2"/>
      <c r="ANU208" s="2"/>
      <c r="ANV208" s="2"/>
      <c r="ANW208" s="2"/>
      <c r="ANX208" s="2"/>
      <c r="ANY208" s="2"/>
      <c r="ANZ208" s="2"/>
      <c r="AOA208" s="2"/>
      <c r="AOB208" s="2"/>
      <c r="AOC208" s="2"/>
      <c r="AOD208" s="2"/>
      <c r="AOE208" s="2"/>
      <c r="AOF208" s="2"/>
      <c r="AOG208" s="2"/>
      <c r="AOH208" s="2"/>
      <c r="AOI208" s="2"/>
      <c r="AOJ208" s="2"/>
      <c r="AOK208" s="2"/>
      <c r="AOL208" s="2"/>
      <c r="AOM208" s="2"/>
      <c r="AON208" s="2"/>
      <c r="AOO208" s="2"/>
      <c r="AOP208" s="2"/>
      <c r="AOQ208" s="2"/>
      <c r="AOR208" s="2"/>
      <c r="AOS208" s="2"/>
      <c r="AOT208" s="2"/>
      <c r="AOU208" s="2"/>
      <c r="AOV208" s="2"/>
      <c r="AOW208" s="2"/>
      <c r="AOX208" s="2"/>
      <c r="AOY208" s="2"/>
      <c r="AOZ208" s="2"/>
      <c r="APA208" s="2"/>
      <c r="APB208" s="2"/>
      <c r="APC208" s="2"/>
      <c r="APD208" s="2"/>
      <c r="APE208" s="2"/>
      <c r="APF208" s="2"/>
      <c r="APG208" s="2"/>
      <c r="APH208" s="2"/>
      <c r="API208" s="2"/>
      <c r="APJ208" s="2"/>
      <c r="APK208" s="2"/>
      <c r="APL208" s="2"/>
      <c r="APM208" s="2"/>
      <c r="APN208" s="2"/>
      <c r="APO208" s="2"/>
      <c r="APP208" s="2"/>
      <c r="APQ208" s="2"/>
      <c r="APR208" s="2"/>
      <c r="APS208" s="2"/>
      <c r="APT208" s="2"/>
      <c r="APU208" s="2"/>
      <c r="APV208" s="2"/>
      <c r="APW208" s="2"/>
      <c r="APX208" s="2"/>
      <c r="APY208" s="2"/>
      <c r="APZ208" s="2"/>
      <c r="AQA208" s="2"/>
      <c r="AQB208" s="2"/>
      <c r="AQC208" s="2"/>
      <c r="AQD208" s="2"/>
      <c r="AQE208" s="2"/>
      <c r="AQF208" s="2"/>
      <c r="AQG208" s="2"/>
      <c r="AQH208" s="2"/>
      <c r="AQI208" s="2"/>
      <c r="AQJ208" s="2"/>
      <c r="AQK208" s="2"/>
      <c r="AQL208" s="2"/>
      <c r="AQM208" s="2"/>
      <c r="AQN208" s="2"/>
      <c r="AQO208" s="2"/>
      <c r="AQP208" s="2"/>
      <c r="AQQ208" s="2"/>
      <c r="AQR208" s="2"/>
      <c r="AQS208" s="2"/>
      <c r="AQT208" s="2"/>
      <c r="AQU208" s="2"/>
      <c r="AQV208" s="2"/>
      <c r="AQW208" s="2"/>
      <c r="AQX208" s="2"/>
      <c r="AQY208" s="2"/>
      <c r="AQZ208" s="2"/>
      <c r="ARA208" s="2"/>
      <c r="ARB208" s="2"/>
      <c r="ARC208" s="2"/>
      <c r="ARD208" s="2"/>
      <c r="ARE208" s="2"/>
      <c r="ARF208" s="2"/>
      <c r="ARG208" s="2"/>
      <c r="ARH208" s="2"/>
      <c r="ARI208" s="2"/>
      <c r="ARJ208" s="2"/>
      <c r="ARK208" s="2"/>
      <c r="ARL208" s="2"/>
      <c r="ARM208" s="2"/>
      <c r="ARN208" s="2"/>
      <c r="ARO208" s="2"/>
      <c r="ARP208" s="2"/>
      <c r="ARQ208" s="2"/>
      <c r="ARR208" s="2"/>
      <c r="ARS208" s="2"/>
      <c r="ART208" s="2"/>
      <c r="ARU208" s="2"/>
      <c r="ARV208" s="2"/>
      <c r="ARW208" s="2"/>
      <c r="ARX208" s="2"/>
      <c r="ARY208" s="2"/>
      <c r="ARZ208" s="2"/>
      <c r="ASA208" s="2"/>
      <c r="ASB208" s="2"/>
      <c r="ASC208" s="2"/>
      <c r="ASD208" s="2"/>
      <c r="ASE208" s="2"/>
      <c r="ASF208" s="2"/>
      <c r="ASG208" s="2"/>
      <c r="ASH208" s="2"/>
      <c r="ASI208" s="2"/>
      <c r="ASJ208" s="2"/>
      <c r="ASK208" s="2"/>
      <c r="ASL208" s="2"/>
      <c r="ASM208" s="2"/>
      <c r="ASN208" s="2"/>
      <c r="ASO208" s="2"/>
      <c r="ASP208" s="2"/>
      <c r="ASQ208" s="2"/>
      <c r="ASR208" s="2"/>
      <c r="ASS208" s="2"/>
      <c r="AST208" s="2"/>
      <c r="ASU208" s="2"/>
      <c r="ASV208" s="2"/>
      <c r="ASW208" s="2"/>
      <c r="ASX208" s="2"/>
      <c r="ASY208" s="2"/>
      <c r="ASZ208" s="2"/>
      <c r="ATA208" s="2"/>
      <c r="ATB208" s="2"/>
      <c r="ATC208" s="2"/>
      <c r="ATD208" s="2"/>
      <c r="ATE208" s="2"/>
      <c r="ATF208" s="2"/>
      <c r="ATG208" s="2"/>
      <c r="ATH208" s="2"/>
      <c r="ATI208" s="2"/>
      <c r="ATJ208" s="2"/>
      <c r="ATK208" s="2"/>
      <c r="ATL208" s="2"/>
      <c r="ATM208" s="2"/>
      <c r="ATN208" s="2"/>
      <c r="ATO208" s="2"/>
      <c r="ATP208" s="2"/>
      <c r="ATQ208" s="2"/>
      <c r="ATR208" s="2"/>
      <c r="ATS208" s="2"/>
      <c r="ATT208" s="2"/>
      <c r="ATU208" s="2"/>
      <c r="ATV208" s="2"/>
      <c r="ATW208" s="2"/>
      <c r="ATX208" s="2"/>
      <c r="ATY208" s="2"/>
      <c r="ATZ208" s="2"/>
      <c r="AUA208" s="2"/>
      <c r="AUB208" s="2"/>
      <c r="AUC208" s="2"/>
      <c r="AUD208" s="2"/>
      <c r="AUE208" s="2"/>
      <c r="AUF208" s="2"/>
      <c r="AUG208" s="2"/>
      <c r="AUH208" s="2"/>
      <c r="AUI208" s="2"/>
      <c r="AUJ208" s="2"/>
      <c r="AUK208" s="2"/>
      <c r="AUL208" s="2"/>
      <c r="AUM208" s="2"/>
      <c r="AUN208" s="2"/>
      <c r="AUO208" s="2"/>
      <c r="AUP208" s="2"/>
      <c r="AUQ208" s="2"/>
      <c r="AUR208" s="2"/>
      <c r="AUS208" s="2"/>
      <c r="AUT208" s="2"/>
      <c r="AUU208" s="2"/>
      <c r="AUV208" s="2"/>
      <c r="AUW208" s="2"/>
      <c r="AUX208" s="2"/>
      <c r="AUY208" s="2"/>
      <c r="AUZ208" s="2"/>
      <c r="AVA208" s="2"/>
      <c r="AVB208" s="2"/>
      <c r="AVC208" s="2"/>
      <c r="AVD208" s="2"/>
      <c r="AVE208" s="2"/>
      <c r="AVF208" s="2"/>
      <c r="AVG208" s="2"/>
      <c r="AVH208" s="2"/>
      <c r="AVI208" s="2"/>
      <c r="AVJ208" s="2"/>
      <c r="AVK208" s="2"/>
      <c r="AVL208" s="2"/>
      <c r="AVM208" s="2"/>
      <c r="AVN208" s="2"/>
      <c r="AVO208" s="2"/>
      <c r="AVP208" s="2"/>
      <c r="AVQ208" s="2"/>
      <c r="AVR208" s="2"/>
      <c r="AVS208" s="2"/>
      <c r="AVT208" s="2"/>
      <c r="AVU208" s="2"/>
      <c r="AVV208" s="2"/>
      <c r="AVW208" s="2"/>
      <c r="AVX208" s="2"/>
      <c r="AVY208" s="2"/>
      <c r="AVZ208" s="2"/>
      <c r="AWA208" s="2"/>
      <c r="AWB208" s="2"/>
      <c r="AWC208" s="2"/>
      <c r="AWD208" s="2"/>
      <c r="AWE208" s="2"/>
      <c r="AWF208" s="2"/>
      <c r="AWG208" s="2"/>
      <c r="AWH208" s="2"/>
      <c r="AWI208" s="2"/>
      <c r="AWJ208" s="2"/>
      <c r="AWK208" s="2"/>
      <c r="AWL208" s="2"/>
      <c r="AWM208" s="2"/>
      <c r="AWN208" s="2"/>
      <c r="AWO208" s="2"/>
      <c r="AWP208" s="2"/>
      <c r="AWQ208" s="2"/>
      <c r="AWR208" s="2"/>
      <c r="AWS208" s="2"/>
      <c r="AWT208" s="2"/>
      <c r="AWU208" s="2"/>
      <c r="AWV208" s="2"/>
      <c r="AWW208" s="2"/>
      <c r="AWX208" s="2"/>
      <c r="AWY208" s="2"/>
      <c r="AWZ208" s="2"/>
      <c r="AXA208" s="2"/>
      <c r="AXB208" s="2"/>
      <c r="AXC208" s="2"/>
      <c r="AXD208" s="2"/>
      <c r="AXE208" s="2"/>
      <c r="AXF208" s="2"/>
      <c r="AXG208" s="2"/>
      <c r="AXH208" s="2"/>
      <c r="AXI208" s="2"/>
      <c r="AXJ208" s="2"/>
      <c r="AXK208" s="2"/>
      <c r="AXL208" s="2"/>
      <c r="AXM208" s="2"/>
      <c r="AXN208" s="2"/>
      <c r="AXO208" s="2"/>
      <c r="AXP208" s="2"/>
      <c r="AXQ208" s="2"/>
      <c r="AXR208" s="2"/>
      <c r="AXS208" s="2"/>
      <c r="AXT208" s="2"/>
      <c r="AXU208" s="2"/>
      <c r="AXV208" s="2"/>
      <c r="AXW208" s="2"/>
      <c r="AXX208" s="2"/>
      <c r="AXY208" s="2"/>
      <c r="AXZ208" s="2"/>
      <c r="AYA208" s="2"/>
      <c r="AYB208" s="2"/>
      <c r="AYC208" s="2"/>
      <c r="AYD208" s="2"/>
      <c r="AYE208" s="2"/>
      <c r="AYF208" s="2"/>
      <c r="AYG208" s="2"/>
      <c r="AYH208" s="2"/>
      <c r="AYI208" s="2"/>
      <c r="AYJ208" s="2"/>
      <c r="AYK208" s="2"/>
      <c r="AYL208" s="2"/>
      <c r="AYM208" s="2"/>
      <c r="AYN208" s="2"/>
      <c r="AYO208" s="2"/>
      <c r="AYP208" s="2"/>
      <c r="AYQ208" s="2"/>
      <c r="AYR208" s="2"/>
      <c r="AYS208" s="2"/>
      <c r="AYT208" s="2"/>
      <c r="AYU208" s="2"/>
      <c r="AYV208" s="2"/>
      <c r="AYW208" s="2"/>
      <c r="AYX208" s="2"/>
      <c r="AYY208" s="2"/>
      <c r="AYZ208" s="2"/>
      <c r="AZA208" s="2"/>
      <c r="AZB208" s="2"/>
      <c r="AZC208" s="2"/>
      <c r="AZD208" s="2"/>
      <c r="AZE208" s="2"/>
      <c r="AZF208" s="2"/>
      <c r="AZG208" s="2"/>
      <c r="AZH208" s="2"/>
      <c r="AZI208" s="2"/>
      <c r="AZJ208" s="2"/>
      <c r="AZK208" s="2"/>
      <c r="AZL208" s="2"/>
      <c r="AZM208" s="2"/>
      <c r="AZN208" s="2"/>
      <c r="AZO208" s="2"/>
      <c r="AZP208" s="2"/>
      <c r="AZQ208" s="2"/>
      <c r="AZR208" s="2"/>
      <c r="AZS208" s="2"/>
      <c r="AZT208" s="2"/>
      <c r="AZU208" s="2"/>
      <c r="AZV208" s="2"/>
      <c r="AZW208" s="2"/>
      <c r="AZX208" s="2"/>
      <c r="AZY208" s="2"/>
      <c r="AZZ208" s="2"/>
      <c r="BAA208" s="2"/>
      <c r="BAB208" s="2"/>
      <c r="BAC208" s="2"/>
      <c r="BAD208" s="2"/>
      <c r="BAE208" s="2"/>
      <c r="BAF208" s="2"/>
      <c r="BAG208" s="2"/>
      <c r="BAH208" s="2"/>
      <c r="BAI208" s="2"/>
      <c r="BAJ208" s="2"/>
      <c r="BAK208" s="2"/>
      <c r="BAL208" s="2"/>
      <c r="BAM208" s="2"/>
      <c r="BAN208" s="2"/>
      <c r="BAO208" s="2"/>
      <c r="BAP208" s="2"/>
      <c r="BAQ208" s="2"/>
      <c r="BAR208" s="2"/>
      <c r="BAS208" s="2"/>
      <c r="BAT208" s="2"/>
      <c r="BAU208" s="2"/>
      <c r="BAV208" s="2"/>
      <c r="BAW208" s="2"/>
      <c r="BAX208" s="2"/>
      <c r="BAY208" s="2"/>
      <c r="BAZ208" s="2"/>
      <c r="BBA208" s="2"/>
      <c r="BBB208" s="2"/>
      <c r="BBC208" s="2"/>
      <c r="BBD208" s="2"/>
      <c r="BBE208" s="2"/>
      <c r="BBF208" s="2"/>
      <c r="BBG208" s="2"/>
      <c r="BBH208" s="2"/>
      <c r="BBI208" s="2"/>
      <c r="BBJ208" s="2"/>
      <c r="BBK208" s="2"/>
      <c r="BBL208" s="2"/>
      <c r="BBM208" s="2"/>
      <c r="BBN208" s="2"/>
      <c r="BBO208" s="2"/>
      <c r="BBP208" s="2"/>
      <c r="BBQ208" s="2"/>
      <c r="BBR208" s="2"/>
      <c r="BBS208" s="2"/>
      <c r="BBT208" s="2"/>
      <c r="BBU208" s="2"/>
      <c r="BBV208" s="2"/>
      <c r="BBW208" s="2"/>
      <c r="BBX208" s="2"/>
      <c r="BBY208" s="2"/>
      <c r="BBZ208" s="2"/>
      <c r="BCA208" s="2"/>
      <c r="BCB208" s="2"/>
      <c r="BCC208" s="2"/>
      <c r="BCD208" s="2"/>
      <c r="BCE208" s="2"/>
      <c r="BCF208" s="2"/>
      <c r="BCG208" s="2"/>
      <c r="BCH208" s="2"/>
      <c r="BCI208" s="2"/>
      <c r="BCJ208" s="2"/>
      <c r="BCK208" s="2"/>
      <c r="BCL208" s="2"/>
      <c r="BCM208" s="2"/>
      <c r="BCN208" s="2"/>
      <c r="BCO208" s="2"/>
      <c r="BCP208" s="2"/>
      <c r="BCQ208" s="2"/>
      <c r="BCR208" s="2"/>
      <c r="BCS208" s="2"/>
      <c r="BCT208" s="2"/>
      <c r="BCU208" s="2"/>
      <c r="BCV208" s="2"/>
      <c r="BCW208" s="2"/>
      <c r="BCX208" s="2"/>
      <c r="BCY208" s="2"/>
      <c r="BCZ208" s="2"/>
      <c r="BDA208" s="2"/>
      <c r="BDB208" s="2"/>
      <c r="BDC208" s="2"/>
      <c r="BDD208" s="2"/>
      <c r="BDE208" s="2"/>
      <c r="BDF208" s="2"/>
      <c r="BDG208" s="2"/>
      <c r="BDH208" s="2"/>
      <c r="BDI208" s="2"/>
      <c r="BDJ208" s="2"/>
      <c r="BDK208" s="2"/>
      <c r="BDL208" s="2"/>
      <c r="BDM208" s="2"/>
      <c r="BDN208" s="2"/>
      <c r="BDO208" s="2"/>
      <c r="BDP208" s="2"/>
      <c r="BDQ208" s="2"/>
      <c r="BDR208" s="2"/>
      <c r="BDS208" s="2"/>
      <c r="BDT208" s="2"/>
      <c r="BDU208" s="2"/>
      <c r="BDV208" s="2"/>
      <c r="BDW208" s="2"/>
      <c r="BDX208" s="2"/>
      <c r="BDY208" s="2"/>
      <c r="BDZ208" s="2"/>
      <c r="BEA208" s="2"/>
      <c r="BEB208" s="2"/>
      <c r="BEC208" s="2"/>
      <c r="BED208" s="2"/>
      <c r="BEE208" s="2"/>
      <c r="BEF208" s="2"/>
      <c r="BEG208" s="2"/>
      <c r="BEH208" s="2"/>
      <c r="BEI208" s="2"/>
      <c r="BEJ208" s="2"/>
      <c r="BEK208" s="2"/>
      <c r="BEL208" s="2"/>
      <c r="BEM208" s="2"/>
      <c r="BEN208" s="2"/>
      <c r="BEO208" s="2"/>
      <c r="BEP208" s="2"/>
      <c r="BEQ208" s="2"/>
      <c r="BER208" s="2"/>
      <c r="BES208" s="2"/>
      <c r="BET208" s="2"/>
      <c r="BEU208" s="2"/>
      <c r="BEV208" s="2"/>
      <c r="BEW208" s="2"/>
      <c r="BEX208" s="2"/>
      <c r="BEY208" s="2"/>
      <c r="BEZ208" s="2"/>
      <c r="BFA208" s="2"/>
      <c r="BFB208" s="2"/>
      <c r="BFC208" s="2"/>
      <c r="BFD208" s="2"/>
      <c r="BFE208" s="2"/>
      <c r="BFF208" s="2"/>
      <c r="BFG208" s="2"/>
      <c r="BFH208" s="2"/>
      <c r="BFI208" s="2"/>
      <c r="BFJ208" s="2"/>
      <c r="BFK208" s="2"/>
      <c r="BFL208" s="2"/>
      <c r="BFM208" s="2"/>
      <c r="BFN208" s="2"/>
      <c r="BFO208" s="2"/>
      <c r="BFP208" s="2"/>
      <c r="BFQ208" s="2"/>
      <c r="BFR208" s="2"/>
      <c r="BFS208" s="2"/>
      <c r="BFT208" s="2"/>
      <c r="BFU208" s="2"/>
      <c r="BFV208" s="2"/>
      <c r="BFW208" s="2"/>
      <c r="BFX208" s="2"/>
      <c r="BFY208" s="2"/>
      <c r="BFZ208" s="2"/>
      <c r="BGA208" s="2"/>
      <c r="BGB208" s="2"/>
      <c r="BGC208" s="2"/>
      <c r="BGD208" s="2"/>
      <c r="BGE208" s="2"/>
      <c r="BGF208" s="2"/>
      <c r="BGG208" s="2"/>
      <c r="BGH208" s="2"/>
      <c r="BGI208" s="2"/>
      <c r="BGJ208" s="2"/>
      <c r="BGK208" s="2"/>
      <c r="BGL208" s="2"/>
      <c r="BGM208" s="2"/>
      <c r="BGN208" s="2"/>
      <c r="BGO208" s="2"/>
      <c r="BGP208" s="2"/>
      <c r="BGQ208" s="2"/>
      <c r="BGR208" s="2"/>
      <c r="BGS208" s="2"/>
      <c r="BGT208" s="2"/>
      <c r="BGU208" s="2"/>
      <c r="BGV208" s="2"/>
      <c r="BGW208" s="2"/>
      <c r="BGX208" s="2"/>
      <c r="BGY208" s="2"/>
      <c r="BGZ208" s="2"/>
      <c r="BHA208" s="2"/>
      <c r="BHB208" s="2"/>
      <c r="BHC208" s="2"/>
      <c r="BHD208" s="2"/>
      <c r="BHE208" s="2"/>
      <c r="BHF208" s="2"/>
      <c r="BHG208" s="2"/>
      <c r="BHH208" s="2"/>
      <c r="BHI208" s="2"/>
      <c r="BHJ208" s="2"/>
      <c r="BHK208" s="2"/>
      <c r="BHL208" s="2"/>
      <c r="BHM208" s="2"/>
      <c r="BHN208" s="2"/>
      <c r="BHO208" s="2"/>
      <c r="BHP208" s="2"/>
      <c r="BHQ208" s="2"/>
      <c r="BHR208" s="2"/>
      <c r="BHS208" s="2"/>
      <c r="BHT208" s="2"/>
      <c r="BHU208" s="2"/>
      <c r="BHV208" s="2"/>
      <c r="BHW208" s="2"/>
      <c r="BHX208" s="2"/>
      <c r="BHY208" s="2"/>
      <c r="BHZ208" s="2"/>
      <c r="BIA208" s="2"/>
      <c r="BIB208" s="2"/>
      <c r="BIC208" s="2"/>
      <c r="BID208" s="2"/>
      <c r="BIE208" s="2"/>
      <c r="BIF208" s="2"/>
      <c r="BIG208" s="2"/>
      <c r="BIH208" s="2"/>
      <c r="BII208" s="2"/>
      <c r="BIJ208" s="2"/>
      <c r="BIK208" s="2"/>
      <c r="BIL208" s="2"/>
      <c r="BIM208" s="2"/>
      <c r="BIN208" s="2"/>
      <c r="BIO208" s="2"/>
      <c r="BIP208" s="2"/>
      <c r="BIQ208" s="2"/>
      <c r="BIR208" s="2"/>
      <c r="BIS208" s="2"/>
      <c r="BIT208" s="2"/>
      <c r="BIU208" s="2"/>
      <c r="BIV208" s="2"/>
      <c r="BIW208" s="2"/>
      <c r="BIX208" s="2"/>
      <c r="BIY208" s="2"/>
      <c r="BIZ208" s="2"/>
      <c r="BJA208" s="2"/>
      <c r="BJB208" s="2"/>
      <c r="BJC208" s="2"/>
      <c r="BJD208" s="2"/>
      <c r="BJE208" s="2"/>
      <c r="BJF208" s="2"/>
      <c r="BJG208" s="2"/>
      <c r="BJH208" s="2"/>
      <c r="BJI208" s="2"/>
      <c r="BJJ208" s="2"/>
      <c r="BJK208" s="2"/>
      <c r="BJL208" s="2"/>
      <c r="BJM208" s="2"/>
      <c r="BJN208" s="2"/>
      <c r="BJO208" s="2"/>
      <c r="BJP208" s="2"/>
      <c r="BJQ208" s="2"/>
      <c r="BJR208" s="2"/>
      <c r="BJS208" s="2"/>
      <c r="BJT208" s="2"/>
      <c r="BJU208" s="2"/>
      <c r="BJV208" s="2"/>
      <c r="BJW208" s="2"/>
      <c r="BJX208" s="2"/>
      <c r="BJY208" s="2"/>
      <c r="BJZ208" s="2"/>
      <c r="BKA208" s="2"/>
      <c r="BKB208" s="2"/>
      <c r="BKC208" s="2"/>
      <c r="BKD208" s="2"/>
      <c r="BKE208" s="2"/>
      <c r="BKF208" s="2"/>
      <c r="BKG208" s="2"/>
      <c r="BKH208" s="2"/>
      <c r="BKI208" s="2"/>
      <c r="BKJ208" s="2"/>
      <c r="BKK208" s="2"/>
      <c r="BKL208" s="2"/>
      <c r="BKM208" s="2"/>
      <c r="BKN208" s="2"/>
      <c r="BKO208" s="2"/>
      <c r="BKP208" s="2"/>
      <c r="BKQ208" s="2"/>
      <c r="BKR208" s="2"/>
      <c r="BKS208" s="2"/>
      <c r="BKT208" s="2"/>
      <c r="BKU208" s="2"/>
      <c r="BKV208" s="2"/>
      <c r="BKW208" s="2"/>
      <c r="BKX208" s="2"/>
      <c r="BKY208" s="2"/>
      <c r="BKZ208" s="2"/>
      <c r="BLA208" s="2"/>
      <c r="BLB208" s="2"/>
      <c r="BLC208" s="2"/>
      <c r="BLD208" s="2"/>
      <c r="BLE208" s="2"/>
      <c r="BLF208" s="2"/>
      <c r="BLG208" s="2"/>
      <c r="BLH208" s="2"/>
      <c r="BLI208" s="2"/>
      <c r="BLJ208" s="2"/>
      <c r="BLK208" s="2"/>
      <c r="BLL208" s="2"/>
      <c r="BLM208" s="2"/>
      <c r="BLN208" s="2"/>
      <c r="BLO208" s="2"/>
      <c r="BLP208" s="2"/>
      <c r="BLQ208" s="2"/>
      <c r="BLR208" s="2"/>
      <c r="BLS208" s="2"/>
      <c r="BLT208" s="2"/>
      <c r="BLU208" s="2"/>
      <c r="BLV208" s="2"/>
      <c r="BLW208" s="2"/>
      <c r="BLX208" s="2"/>
      <c r="BLY208" s="2"/>
      <c r="BLZ208" s="2"/>
      <c r="BMA208" s="2"/>
      <c r="BMB208" s="2"/>
      <c r="BMC208" s="2"/>
      <c r="BMD208" s="2"/>
      <c r="BME208" s="2"/>
      <c r="BMF208" s="2"/>
      <c r="BMG208" s="2"/>
      <c r="BMH208" s="2"/>
      <c r="BMI208" s="2"/>
      <c r="BMJ208" s="2"/>
      <c r="BMK208" s="2"/>
      <c r="BML208" s="2"/>
      <c r="BMM208" s="2"/>
      <c r="BMN208" s="2"/>
      <c r="BMO208" s="2"/>
      <c r="BMP208" s="2"/>
      <c r="BMQ208" s="2"/>
      <c r="BMR208" s="2"/>
      <c r="BMS208" s="2"/>
      <c r="BMT208" s="2"/>
      <c r="BMU208" s="2"/>
      <c r="BMV208" s="2"/>
      <c r="BMW208" s="2"/>
      <c r="BMX208" s="2"/>
      <c r="BMY208" s="2"/>
      <c r="BMZ208" s="2"/>
      <c r="BNA208" s="2"/>
      <c r="BNB208" s="2"/>
      <c r="BNC208" s="2"/>
      <c r="BND208" s="2"/>
      <c r="BNE208" s="2"/>
      <c r="BNF208" s="2"/>
      <c r="BNG208" s="2"/>
      <c r="BNH208" s="2"/>
      <c r="BNI208" s="2"/>
      <c r="BNJ208" s="2"/>
      <c r="BNK208" s="2"/>
      <c r="BNL208" s="2"/>
      <c r="BNM208" s="2"/>
      <c r="BNN208" s="2"/>
      <c r="BNO208" s="2"/>
      <c r="BNP208" s="2"/>
      <c r="BNQ208" s="2"/>
      <c r="BNR208" s="2"/>
      <c r="BNS208" s="2"/>
      <c r="BNT208" s="2"/>
      <c r="BNU208" s="2"/>
      <c r="BNV208" s="2"/>
      <c r="BNW208" s="2"/>
      <c r="BNX208" s="2"/>
      <c r="BNY208" s="2"/>
      <c r="BNZ208" s="2"/>
      <c r="BOA208" s="2"/>
      <c r="BOB208" s="2"/>
      <c r="BOC208" s="2"/>
      <c r="BOD208" s="2"/>
      <c r="BOE208" s="2"/>
      <c r="BOF208" s="2"/>
      <c r="BOG208" s="2"/>
      <c r="BOH208" s="2"/>
      <c r="BOI208" s="2"/>
      <c r="BOJ208" s="2"/>
      <c r="BOK208" s="2"/>
      <c r="BOL208" s="2"/>
      <c r="BOM208" s="2"/>
      <c r="BON208" s="2"/>
      <c r="BOO208" s="2"/>
      <c r="BOP208" s="2"/>
      <c r="BOQ208" s="2"/>
      <c r="BOR208" s="2"/>
      <c r="BOS208" s="2"/>
      <c r="BOT208" s="2"/>
      <c r="BOU208" s="2"/>
      <c r="BOV208" s="2"/>
      <c r="BOW208" s="2"/>
      <c r="BOX208" s="2"/>
      <c r="BOY208" s="2"/>
      <c r="BOZ208" s="2"/>
      <c r="BPA208" s="2"/>
      <c r="BPB208" s="2"/>
      <c r="BPC208" s="2"/>
      <c r="BPD208" s="2"/>
      <c r="BPE208" s="2"/>
      <c r="BPF208" s="2"/>
      <c r="BPG208" s="2"/>
      <c r="BPH208" s="2"/>
      <c r="BPI208" s="2"/>
      <c r="BPJ208" s="2"/>
      <c r="BPK208" s="2"/>
      <c r="BPL208" s="2"/>
      <c r="BPM208" s="2"/>
      <c r="BPN208" s="2"/>
      <c r="BPO208" s="2"/>
      <c r="BPP208" s="2"/>
      <c r="BPQ208" s="2"/>
      <c r="BPR208" s="2"/>
      <c r="BPS208" s="2"/>
      <c r="BPT208" s="2"/>
      <c r="BPU208" s="2"/>
      <c r="BPV208" s="2"/>
      <c r="BPW208" s="2"/>
      <c r="BPX208" s="2"/>
      <c r="BPY208" s="2"/>
      <c r="BPZ208" s="2"/>
      <c r="BQA208" s="2"/>
      <c r="BQB208" s="2"/>
      <c r="BQC208" s="2"/>
      <c r="BQD208" s="2"/>
      <c r="BQE208" s="2"/>
      <c r="BQF208" s="2"/>
      <c r="BQG208" s="2"/>
      <c r="BQH208" s="2"/>
      <c r="BQI208" s="2"/>
      <c r="BQJ208" s="2"/>
      <c r="BQK208" s="2"/>
      <c r="BQL208" s="2"/>
      <c r="BQM208" s="2"/>
      <c r="BQN208" s="2"/>
      <c r="BQO208" s="2"/>
      <c r="BQP208" s="2"/>
      <c r="BQQ208" s="2"/>
      <c r="BQR208" s="2"/>
      <c r="BQS208" s="2"/>
      <c r="BQT208" s="2"/>
      <c r="BQU208" s="2"/>
      <c r="BQV208" s="2"/>
      <c r="BQW208" s="2"/>
      <c r="BQX208" s="2"/>
      <c r="BQY208" s="2"/>
      <c r="BQZ208" s="2"/>
      <c r="BRA208" s="2"/>
      <c r="BRB208" s="2"/>
      <c r="BRC208" s="2"/>
      <c r="BRD208" s="2"/>
      <c r="BRE208" s="2"/>
      <c r="BRF208" s="2"/>
      <c r="BRG208" s="2"/>
      <c r="BRH208" s="2"/>
      <c r="BRI208" s="2"/>
      <c r="BRJ208" s="2"/>
      <c r="BRK208" s="2"/>
      <c r="BRL208" s="2"/>
      <c r="BRM208" s="2"/>
      <c r="BRN208" s="2"/>
      <c r="BRO208" s="2"/>
      <c r="BRP208" s="2"/>
      <c r="BRQ208" s="2"/>
      <c r="BRR208" s="2"/>
      <c r="BRS208" s="2"/>
      <c r="BRT208" s="2"/>
      <c r="BRU208" s="2"/>
      <c r="BRV208" s="2"/>
      <c r="BRW208" s="2"/>
      <c r="BRX208" s="2"/>
      <c r="BRY208" s="2"/>
      <c r="BRZ208" s="2"/>
      <c r="BSA208" s="2"/>
      <c r="BSB208" s="2"/>
      <c r="BSC208" s="2"/>
      <c r="BSD208" s="2"/>
      <c r="BSE208" s="2"/>
      <c r="BSF208" s="2"/>
      <c r="BSG208" s="2"/>
      <c r="BSH208" s="2"/>
      <c r="BSI208" s="2"/>
      <c r="BSJ208" s="2"/>
      <c r="BSK208" s="2"/>
      <c r="BSL208" s="2"/>
      <c r="BSM208" s="2"/>
      <c r="BSN208" s="2"/>
      <c r="BSO208" s="2"/>
      <c r="BSP208" s="2"/>
      <c r="BSQ208" s="2"/>
      <c r="BSR208" s="2"/>
      <c r="BSS208" s="2"/>
      <c r="BST208" s="2"/>
      <c r="BSU208" s="2"/>
      <c r="BSV208" s="2"/>
      <c r="BSW208" s="2"/>
      <c r="BSX208" s="2"/>
      <c r="BSY208" s="2"/>
      <c r="BSZ208" s="2"/>
      <c r="BTA208" s="2"/>
      <c r="BTB208" s="2"/>
      <c r="BTC208" s="2"/>
      <c r="BTD208" s="2"/>
      <c r="BTE208" s="2"/>
      <c r="BTF208" s="2"/>
      <c r="BTG208" s="2"/>
      <c r="BTH208" s="2"/>
      <c r="BTI208" s="2"/>
      <c r="BTJ208" s="2"/>
      <c r="BTK208" s="2"/>
      <c r="BTL208" s="2"/>
      <c r="BTM208" s="2"/>
      <c r="BTN208" s="2"/>
      <c r="BTO208" s="2"/>
      <c r="BTP208" s="2"/>
      <c r="BTQ208" s="2"/>
      <c r="BTR208" s="2"/>
      <c r="BTS208" s="2"/>
      <c r="BTT208" s="2"/>
      <c r="BTU208" s="2"/>
      <c r="BTV208" s="2"/>
      <c r="BTW208" s="2"/>
      <c r="BTX208" s="2"/>
      <c r="BTY208" s="2"/>
      <c r="BTZ208" s="2"/>
      <c r="BUA208" s="2"/>
      <c r="BUB208" s="2"/>
      <c r="BUC208" s="2"/>
      <c r="BUD208" s="2"/>
      <c r="BUE208" s="2"/>
      <c r="BUF208" s="2"/>
      <c r="BUG208" s="2"/>
      <c r="BUH208" s="2"/>
      <c r="BUI208" s="2"/>
      <c r="BUJ208" s="2"/>
      <c r="BUK208" s="2"/>
      <c r="BUL208" s="2"/>
      <c r="BUM208" s="2"/>
      <c r="BUN208" s="2"/>
      <c r="BUO208" s="2"/>
      <c r="BUP208" s="2"/>
      <c r="BUQ208" s="2"/>
      <c r="BUR208" s="2"/>
      <c r="BUS208" s="2"/>
      <c r="BUT208" s="2"/>
      <c r="BUU208" s="2"/>
      <c r="BUV208" s="2"/>
      <c r="BUW208" s="2"/>
      <c r="BUX208" s="2"/>
      <c r="BUY208" s="2"/>
      <c r="BUZ208" s="2"/>
      <c r="BVA208" s="2"/>
      <c r="BVB208" s="2"/>
      <c r="BVC208" s="2"/>
      <c r="BVD208" s="2"/>
      <c r="BVE208" s="2"/>
      <c r="BVF208" s="2"/>
      <c r="BVG208" s="2"/>
      <c r="BVH208" s="2"/>
      <c r="BVI208" s="2"/>
      <c r="BVJ208" s="2"/>
      <c r="BVK208" s="2"/>
      <c r="BVL208" s="2"/>
      <c r="BVM208" s="2"/>
      <c r="BVN208" s="2"/>
      <c r="BVO208" s="2"/>
      <c r="BVP208" s="2"/>
      <c r="BVQ208" s="2"/>
      <c r="BVR208" s="2"/>
      <c r="BVS208" s="2"/>
      <c r="BVT208" s="2"/>
      <c r="BVU208" s="2"/>
      <c r="BVV208" s="2"/>
      <c r="BVW208" s="2"/>
      <c r="BVX208" s="2"/>
      <c r="BVY208" s="2"/>
      <c r="BVZ208" s="2"/>
      <c r="BWA208" s="2"/>
      <c r="BWB208" s="2"/>
      <c r="BWC208" s="2"/>
      <c r="BWD208" s="2"/>
      <c r="BWE208" s="2"/>
      <c r="BWF208" s="2"/>
      <c r="BWG208" s="2"/>
      <c r="BWH208" s="2"/>
      <c r="BWI208" s="2"/>
      <c r="BWJ208" s="2"/>
      <c r="BWK208" s="2"/>
      <c r="BWL208" s="2"/>
      <c r="BWM208" s="2"/>
      <c r="BWN208" s="2"/>
      <c r="BWO208" s="2"/>
      <c r="BWP208" s="2"/>
      <c r="BWQ208" s="2"/>
      <c r="BWR208" s="2"/>
      <c r="BWS208" s="2"/>
      <c r="BWT208" s="2"/>
      <c r="BWU208" s="2"/>
      <c r="BWV208" s="2"/>
      <c r="BWW208" s="2"/>
      <c r="BWX208" s="2"/>
      <c r="BWY208" s="2"/>
      <c r="BWZ208" s="2"/>
      <c r="BXA208" s="2"/>
      <c r="BXB208" s="2"/>
      <c r="BXC208" s="2"/>
      <c r="BXD208" s="2"/>
      <c r="BXE208" s="2"/>
      <c r="BXF208" s="2"/>
      <c r="BXG208" s="2"/>
      <c r="BXH208" s="2"/>
      <c r="BXI208" s="2"/>
      <c r="BXJ208" s="2"/>
      <c r="BXK208" s="2"/>
      <c r="BXL208" s="2"/>
      <c r="BXM208" s="2"/>
      <c r="BXN208" s="2"/>
      <c r="BXO208" s="2"/>
      <c r="BXP208" s="2"/>
      <c r="BXQ208" s="2"/>
      <c r="BXR208" s="2"/>
      <c r="BXS208" s="2"/>
      <c r="BXT208" s="2"/>
      <c r="BXU208" s="2"/>
      <c r="BXV208" s="2"/>
      <c r="BXW208" s="2"/>
      <c r="BXX208" s="2"/>
      <c r="BXY208" s="2"/>
      <c r="BXZ208" s="2"/>
      <c r="BYA208" s="2"/>
      <c r="BYB208" s="2"/>
      <c r="BYC208" s="2"/>
      <c r="BYD208" s="2"/>
      <c r="BYE208" s="2"/>
      <c r="BYF208" s="2"/>
      <c r="BYG208" s="2"/>
      <c r="BYH208" s="2"/>
      <c r="BYI208" s="2"/>
      <c r="BYJ208" s="2"/>
      <c r="BYK208" s="2"/>
      <c r="BYL208" s="2"/>
      <c r="BYM208" s="2"/>
      <c r="BYN208" s="2"/>
      <c r="BYO208" s="2"/>
      <c r="BYP208" s="2"/>
      <c r="BYQ208" s="2"/>
      <c r="BYR208" s="2"/>
      <c r="BYS208" s="2"/>
      <c r="BYT208" s="2"/>
      <c r="BYU208" s="2"/>
      <c r="BYV208" s="2"/>
      <c r="BYW208" s="2"/>
      <c r="BYX208" s="2"/>
      <c r="BYY208" s="2"/>
      <c r="BYZ208" s="2"/>
      <c r="BZA208" s="2"/>
      <c r="BZB208" s="2"/>
      <c r="BZC208" s="2"/>
      <c r="BZD208" s="2"/>
      <c r="BZE208" s="2"/>
      <c r="BZF208" s="2"/>
      <c r="BZG208" s="2"/>
      <c r="BZH208" s="2"/>
      <c r="BZI208" s="2"/>
      <c r="BZJ208" s="2"/>
      <c r="BZK208" s="2"/>
      <c r="BZL208" s="2"/>
      <c r="BZM208" s="2"/>
      <c r="BZN208" s="2"/>
      <c r="BZO208" s="2"/>
      <c r="BZP208" s="2"/>
      <c r="BZQ208" s="2"/>
      <c r="BZR208" s="2"/>
      <c r="BZS208" s="2"/>
      <c r="BZT208" s="2"/>
      <c r="BZU208" s="2"/>
      <c r="BZV208" s="2"/>
      <c r="BZW208" s="2"/>
      <c r="BZX208" s="2"/>
      <c r="BZY208" s="2"/>
      <c r="BZZ208" s="2"/>
      <c r="CAA208" s="2"/>
      <c r="CAB208" s="2"/>
      <c r="CAC208" s="2"/>
      <c r="CAD208" s="2"/>
      <c r="CAE208" s="2"/>
      <c r="CAF208" s="2"/>
      <c r="CAG208" s="2"/>
      <c r="CAH208" s="2"/>
      <c r="CAI208" s="2"/>
      <c r="CAJ208" s="2"/>
      <c r="CAK208" s="2"/>
      <c r="CAL208" s="2"/>
      <c r="CAM208" s="2"/>
      <c r="CAN208" s="2"/>
      <c r="CAO208" s="2"/>
      <c r="CAP208" s="2"/>
      <c r="CAQ208" s="2"/>
      <c r="CAR208" s="2"/>
      <c r="CAS208" s="2"/>
      <c r="CAT208" s="2"/>
      <c r="CAU208" s="2"/>
      <c r="CAV208" s="2"/>
      <c r="CAW208" s="2"/>
      <c r="CAX208" s="2"/>
      <c r="CAY208" s="2"/>
      <c r="CAZ208" s="2"/>
      <c r="CBA208" s="2"/>
      <c r="CBB208" s="2"/>
      <c r="CBC208" s="2"/>
      <c r="CBD208" s="2"/>
      <c r="CBE208" s="2"/>
      <c r="CBF208" s="2"/>
      <c r="CBG208" s="2"/>
      <c r="CBH208" s="2"/>
      <c r="CBI208" s="2"/>
      <c r="CBJ208" s="2"/>
      <c r="CBK208" s="2"/>
      <c r="CBL208" s="2"/>
      <c r="CBM208" s="2"/>
      <c r="CBN208" s="2"/>
      <c r="CBO208" s="2"/>
      <c r="CBP208" s="2"/>
      <c r="CBQ208" s="2"/>
      <c r="CBR208" s="2"/>
      <c r="CBS208" s="2"/>
      <c r="CBT208" s="2"/>
      <c r="CBU208" s="2"/>
      <c r="CBV208" s="2"/>
      <c r="CBW208" s="2"/>
      <c r="CBX208" s="2"/>
      <c r="CBY208" s="2"/>
      <c r="CBZ208" s="2"/>
      <c r="CCA208" s="2"/>
      <c r="CCB208" s="2"/>
      <c r="CCC208" s="2"/>
      <c r="CCD208" s="2"/>
      <c r="CCE208" s="2"/>
      <c r="CCF208" s="2"/>
      <c r="CCG208" s="2"/>
      <c r="CCH208" s="2"/>
      <c r="CCI208" s="2"/>
      <c r="CCJ208" s="2"/>
      <c r="CCK208" s="2"/>
      <c r="CCL208" s="2"/>
      <c r="CCM208" s="2"/>
      <c r="CCN208" s="2"/>
      <c r="CCO208" s="2"/>
      <c r="CCP208" s="2"/>
      <c r="CCQ208" s="2"/>
      <c r="CCR208" s="2"/>
      <c r="CCS208" s="2"/>
      <c r="CCT208" s="2"/>
      <c r="CCU208" s="2"/>
      <c r="CCV208" s="2"/>
      <c r="CCW208" s="2"/>
      <c r="CCX208" s="2"/>
      <c r="CCY208" s="2"/>
      <c r="CCZ208" s="2"/>
      <c r="CDA208" s="2"/>
      <c r="CDB208" s="2"/>
      <c r="CDC208" s="2"/>
      <c r="CDD208" s="2"/>
      <c r="CDE208" s="2"/>
      <c r="CDF208" s="2"/>
      <c r="CDG208" s="2"/>
      <c r="CDH208" s="2"/>
      <c r="CDI208" s="2"/>
      <c r="CDJ208" s="2"/>
      <c r="CDK208" s="2"/>
      <c r="CDL208" s="2"/>
      <c r="CDM208" s="2"/>
      <c r="CDN208" s="2"/>
      <c r="CDO208" s="2"/>
      <c r="CDP208" s="2"/>
      <c r="CDQ208" s="2"/>
      <c r="CDR208" s="2"/>
      <c r="CDS208" s="2"/>
      <c r="CDT208" s="2"/>
      <c r="CDU208" s="2"/>
      <c r="CDV208" s="2"/>
      <c r="CDW208" s="2"/>
      <c r="CDX208" s="2"/>
      <c r="CDY208" s="2"/>
      <c r="CDZ208" s="2"/>
      <c r="CEA208" s="2"/>
      <c r="CEB208" s="2"/>
      <c r="CEC208" s="2"/>
      <c r="CED208" s="2"/>
      <c r="CEE208" s="2"/>
      <c r="CEF208" s="2"/>
      <c r="CEG208" s="2"/>
      <c r="CEH208" s="2"/>
      <c r="CEI208" s="2"/>
      <c r="CEJ208" s="2"/>
      <c r="CEK208" s="2"/>
      <c r="CEL208" s="2"/>
      <c r="CEM208" s="2"/>
      <c r="CEN208" s="2"/>
      <c r="CEO208" s="2"/>
      <c r="CEP208" s="2"/>
      <c r="CEQ208" s="2"/>
      <c r="CER208" s="2"/>
      <c r="CES208" s="2"/>
      <c r="CET208" s="2"/>
      <c r="CEU208" s="2"/>
      <c r="CEV208" s="2"/>
      <c r="CEW208" s="2"/>
      <c r="CEX208" s="2"/>
      <c r="CEY208" s="2"/>
      <c r="CEZ208" s="2"/>
      <c r="CFA208" s="2"/>
      <c r="CFB208" s="2"/>
      <c r="CFC208" s="2"/>
      <c r="CFD208" s="2"/>
      <c r="CFE208" s="2"/>
      <c r="CFF208" s="2"/>
      <c r="CFG208" s="2"/>
      <c r="CFH208" s="2"/>
      <c r="CFI208" s="2"/>
      <c r="CFJ208" s="2"/>
      <c r="CFK208" s="2"/>
      <c r="CFL208" s="2"/>
      <c r="CFM208" s="2"/>
      <c r="CFN208" s="2"/>
      <c r="CFO208" s="2"/>
      <c r="CFP208" s="2"/>
      <c r="CFQ208" s="2"/>
      <c r="CFR208" s="2"/>
      <c r="CFS208" s="2"/>
      <c r="CFT208" s="2"/>
      <c r="CFU208" s="2"/>
      <c r="CFV208" s="2"/>
      <c r="CFW208" s="2"/>
      <c r="CFX208" s="2"/>
      <c r="CFY208" s="2"/>
      <c r="CFZ208" s="2"/>
      <c r="CGA208" s="2"/>
      <c r="CGB208" s="2"/>
      <c r="CGC208" s="2"/>
      <c r="CGD208" s="2"/>
      <c r="CGE208" s="2"/>
      <c r="CGF208" s="2"/>
      <c r="CGG208" s="2"/>
      <c r="CGH208" s="2"/>
      <c r="CGI208" s="2"/>
      <c r="CGJ208" s="2"/>
      <c r="CGK208" s="2"/>
      <c r="CGL208" s="2"/>
      <c r="CGM208" s="2"/>
      <c r="CGN208" s="2"/>
      <c r="CGO208" s="2"/>
      <c r="CGP208" s="2"/>
      <c r="CGQ208" s="2"/>
      <c r="CGR208" s="2"/>
      <c r="CGS208" s="2"/>
      <c r="CGT208" s="2"/>
      <c r="CGU208" s="2"/>
      <c r="CGV208" s="2"/>
      <c r="CGW208" s="2"/>
      <c r="CGX208" s="2"/>
      <c r="CGY208" s="2"/>
      <c r="CGZ208" s="2"/>
      <c r="CHA208" s="2"/>
      <c r="CHB208" s="2"/>
      <c r="CHC208" s="2"/>
      <c r="CHD208" s="2"/>
      <c r="CHE208" s="2"/>
      <c r="CHF208" s="2"/>
      <c r="CHG208" s="2"/>
      <c r="CHH208" s="2"/>
      <c r="CHI208" s="2"/>
      <c r="CHJ208" s="2"/>
      <c r="CHK208" s="2"/>
      <c r="CHL208" s="2"/>
      <c r="CHM208" s="2"/>
      <c r="CHN208" s="2"/>
      <c r="CHO208" s="2"/>
      <c r="CHP208" s="2"/>
      <c r="CHQ208" s="2"/>
      <c r="CHR208" s="2"/>
      <c r="CHS208" s="2"/>
      <c r="CHT208" s="2"/>
      <c r="CHU208" s="2"/>
      <c r="CHV208" s="2"/>
      <c r="CHW208" s="2"/>
      <c r="CHX208" s="2"/>
      <c r="CHY208" s="2"/>
      <c r="CHZ208" s="2"/>
      <c r="CIA208" s="2"/>
      <c r="CIB208" s="2"/>
      <c r="CIC208" s="2"/>
      <c r="CID208" s="2"/>
      <c r="CIE208" s="2"/>
      <c r="CIF208" s="2"/>
      <c r="CIG208" s="2"/>
      <c r="CIH208" s="2"/>
      <c r="CII208" s="2"/>
      <c r="CIJ208" s="2"/>
      <c r="CIK208" s="2"/>
      <c r="CIL208" s="2"/>
      <c r="CIM208" s="2"/>
      <c r="CIN208" s="2"/>
      <c r="CIO208" s="2"/>
      <c r="CIP208" s="2"/>
      <c r="CIQ208" s="2"/>
      <c r="CIR208" s="2"/>
      <c r="CIS208" s="2"/>
      <c r="CIT208" s="2"/>
      <c r="CIU208" s="2"/>
      <c r="CIV208" s="2"/>
      <c r="CIW208" s="2"/>
      <c r="CIX208" s="2"/>
      <c r="CIY208" s="2"/>
      <c r="CIZ208" s="2"/>
      <c r="CJA208" s="2"/>
      <c r="CJB208" s="2"/>
      <c r="CJC208" s="2"/>
      <c r="CJD208" s="2"/>
      <c r="CJE208" s="2"/>
      <c r="CJF208" s="2"/>
      <c r="CJG208" s="2"/>
      <c r="CJH208" s="2"/>
      <c r="CJI208" s="2"/>
      <c r="CJJ208" s="2"/>
      <c r="CJK208" s="2"/>
      <c r="CJL208" s="2"/>
      <c r="CJM208" s="2"/>
      <c r="CJN208" s="2"/>
      <c r="CJO208" s="2"/>
      <c r="CJP208" s="2"/>
      <c r="CJQ208" s="2"/>
      <c r="CJR208" s="2"/>
      <c r="CJS208" s="2"/>
      <c r="CJT208" s="2"/>
      <c r="CJU208" s="2"/>
      <c r="CJV208" s="2"/>
      <c r="CJW208" s="2"/>
      <c r="CJX208" s="2"/>
      <c r="CJY208" s="2"/>
      <c r="CJZ208" s="2"/>
      <c r="CKA208" s="2"/>
      <c r="CKB208" s="2"/>
      <c r="CKC208" s="2"/>
      <c r="CKD208" s="2"/>
      <c r="CKE208" s="2"/>
      <c r="CKF208" s="2"/>
      <c r="CKG208" s="2"/>
      <c r="CKH208" s="2"/>
      <c r="CKI208" s="2"/>
      <c r="CKJ208" s="2"/>
      <c r="CKK208" s="2"/>
      <c r="CKL208" s="2"/>
      <c r="CKM208" s="2"/>
      <c r="CKN208" s="2"/>
      <c r="CKO208" s="2"/>
      <c r="CKP208" s="2"/>
      <c r="CKQ208" s="2"/>
      <c r="CKR208" s="2"/>
      <c r="CKS208" s="2"/>
      <c r="CKT208" s="2"/>
      <c r="CKU208" s="2"/>
      <c r="CKV208" s="2"/>
      <c r="CKW208" s="2"/>
      <c r="CKX208" s="2"/>
      <c r="CKY208" s="2"/>
      <c r="CKZ208" s="2"/>
      <c r="CLA208" s="2"/>
      <c r="CLB208" s="2"/>
      <c r="CLC208" s="2"/>
      <c r="CLD208" s="2"/>
      <c r="CLE208" s="2"/>
      <c r="CLF208" s="2"/>
      <c r="CLG208" s="2"/>
      <c r="CLH208" s="2"/>
      <c r="CLI208" s="2"/>
      <c r="CLJ208" s="2"/>
      <c r="CLK208" s="2"/>
      <c r="CLL208" s="2"/>
      <c r="CLM208" s="2"/>
      <c r="CLN208" s="2"/>
      <c r="CLO208" s="2"/>
      <c r="CLP208" s="2"/>
      <c r="CLQ208" s="2"/>
      <c r="CLR208" s="2"/>
      <c r="CLS208" s="2"/>
      <c r="CLT208" s="2"/>
      <c r="CLU208" s="2"/>
      <c r="CLV208" s="2"/>
      <c r="CLW208" s="2"/>
      <c r="CLX208" s="2"/>
      <c r="CLY208" s="2"/>
      <c r="CLZ208" s="2"/>
      <c r="CMA208" s="2"/>
      <c r="CMB208" s="2"/>
      <c r="CMC208" s="2"/>
      <c r="CMD208" s="2"/>
      <c r="CME208" s="2"/>
      <c r="CMF208" s="2"/>
      <c r="CMG208" s="2"/>
      <c r="CMH208" s="2"/>
      <c r="CMI208" s="2"/>
      <c r="CMJ208" s="2"/>
      <c r="CMK208" s="2"/>
      <c r="CML208" s="2"/>
      <c r="CMM208" s="2"/>
      <c r="CMN208" s="2"/>
      <c r="CMO208" s="2"/>
      <c r="CMP208" s="2"/>
      <c r="CMQ208" s="2"/>
      <c r="CMR208" s="2"/>
      <c r="CMS208" s="2"/>
      <c r="CMT208" s="2"/>
      <c r="CMU208" s="2"/>
      <c r="CMV208" s="2"/>
      <c r="CMW208" s="2"/>
      <c r="CMX208" s="2"/>
      <c r="CMY208" s="2"/>
      <c r="CMZ208" s="2"/>
      <c r="CNA208" s="2"/>
      <c r="CNB208" s="2"/>
      <c r="CNC208" s="2"/>
      <c r="CND208" s="2"/>
      <c r="CNE208" s="2"/>
      <c r="CNF208" s="2"/>
      <c r="CNG208" s="2"/>
      <c r="CNH208" s="2"/>
      <c r="CNI208" s="2"/>
      <c r="CNJ208" s="2"/>
      <c r="CNK208" s="2"/>
      <c r="CNL208" s="2"/>
      <c r="CNM208" s="2"/>
      <c r="CNN208" s="2"/>
      <c r="CNO208" s="2"/>
      <c r="CNP208" s="2"/>
      <c r="CNQ208" s="2"/>
      <c r="CNR208" s="2"/>
      <c r="CNS208" s="2"/>
      <c r="CNT208" s="2"/>
      <c r="CNU208" s="2"/>
      <c r="CNV208" s="2"/>
      <c r="CNW208" s="2"/>
      <c r="CNX208" s="2"/>
      <c r="CNY208" s="2"/>
      <c r="CNZ208" s="2"/>
      <c r="COA208" s="2"/>
      <c r="COB208" s="2"/>
      <c r="COC208" s="2"/>
      <c r="COD208" s="2"/>
      <c r="COE208" s="2"/>
      <c r="COF208" s="2"/>
      <c r="COG208" s="2"/>
      <c r="COH208" s="2"/>
      <c r="COI208" s="2"/>
      <c r="COJ208" s="2"/>
      <c r="COK208" s="2"/>
      <c r="COL208" s="2"/>
      <c r="COM208" s="2"/>
      <c r="CON208" s="2"/>
      <c r="COO208" s="2"/>
      <c r="COP208" s="2"/>
      <c r="COQ208" s="2"/>
      <c r="COR208" s="2"/>
      <c r="COS208" s="2"/>
      <c r="COT208" s="2"/>
      <c r="COU208" s="2"/>
      <c r="COV208" s="2"/>
      <c r="COW208" s="2"/>
      <c r="COX208" s="2"/>
      <c r="COY208" s="2"/>
      <c r="COZ208" s="2"/>
      <c r="CPA208" s="2"/>
      <c r="CPB208" s="2"/>
      <c r="CPC208" s="2"/>
      <c r="CPD208" s="2"/>
      <c r="CPE208" s="2"/>
      <c r="CPF208" s="2"/>
      <c r="CPG208" s="2"/>
      <c r="CPH208" s="2"/>
      <c r="CPI208" s="2"/>
      <c r="CPJ208" s="2"/>
      <c r="CPK208" s="2"/>
      <c r="CPL208" s="2"/>
      <c r="CPM208" s="2"/>
      <c r="CPN208" s="2"/>
      <c r="CPO208" s="2"/>
      <c r="CPP208" s="2"/>
      <c r="CPQ208" s="2"/>
      <c r="CPR208" s="2"/>
      <c r="CPS208" s="2"/>
      <c r="CPT208" s="2"/>
      <c r="CPU208" s="2"/>
      <c r="CPV208" s="2"/>
      <c r="CPW208" s="2"/>
      <c r="CPX208" s="2"/>
      <c r="CPY208" s="2"/>
      <c r="CPZ208" s="2"/>
      <c r="CQA208" s="2"/>
      <c r="CQB208" s="2"/>
      <c r="CQC208" s="2"/>
      <c r="CQD208" s="2"/>
      <c r="CQE208" s="2"/>
      <c r="CQF208" s="2"/>
      <c r="CQG208" s="2"/>
      <c r="CQH208" s="2"/>
      <c r="CQI208" s="2"/>
      <c r="CQJ208" s="2"/>
      <c r="CQK208" s="2"/>
      <c r="CQL208" s="2"/>
      <c r="CQM208" s="2"/>
      <c r="CQN208" s="2"/>
      <c r="CQO208" s="2"/>
      <c r="CQP208" s="2"/>
      <c r="CQQ208" s="2"/>
      <c r="CQR208" s="2"/>
      <c r="CQS208" s="2"/>
      <c r="CQT208" s="2"/>
      <c r="CQU208" s="2"/>
      <c r="CQV208" s="2"/>
      <c r="CQW208" s="2"/>
      <c r="CQX208" s="2"/>
      <c r="CQY208" s="2"/>
      <c r="CQZ208" s="2"/>
      <c r="CRA208" s="2"/>
      <c r="CRB208" s="2"/>
      <c r="CRC208" s="2"/>
      <c r="CRD208" s="2"/>
      <c r="CRE208" s="2"/>
      <c r="CRF208" s="2"/>
      <c r="CRG208" s="2"/>
      <c r="CRH208" s="2"/>
      <c r="CRI208" s="2"/>
      <c r="CRJ208" s="2"/>
      <c r="CRK208" s="2"/>
      <c r="CRL208" s="2"/>
      <c r="CRM208" s="2"/>
      <c r="CRN208" s="2"/>
      <c r="CRO208" s="2"/>
      <c r="CRP208" s="2"/>
      <c r="CRQ208" s="2"/>
      <c r="CRR208" s="2"/>
      <c r="CRS208" s="2"/>
      <c r="CRT208" s="2"/>
      <c r="CRU208" s="2"/>
      <c r="CRV208" s="2"/>
      <c r="CRW208" s="2"/>
      <c r="CRX208" s="2"/>
      <c r="CRY208" s="2"/>
      <c r="CRZ208" s="2"/>
      <c r="CSA208" s="2"/>
      <c r="CSB208" s="2"/>
      <c r="CSC208" s="2"/>
      <c r="CSD208" s="2"/>
      <c r="CSE208" s="2"/>
      <c r="CSF208" s="2"/>
      <c r="CSG208" s="2"/>
      <c r="CSH208" s="2"/>
      <c r="CSI208" s="2"/>
      <c r="CSJ208" s="2"/>
      <c r="CSK208" s="2"/>
      <c r="CSL208" s="2"/>
      <c r="CSM208" s="2"/>
      <c r="CSN208" s="2"/>
      <c r="CSO208" s="2"/>
      <c r="CSP208" s="2"/>
      <c r="CSQ208" s="2"/>
      <c r="CSR208" s="2"/>
      <c r="CSS208" s="2"/>
      <c r="CST208" s="2"/>
      <c r="CSU208" s="2"/>
      <c r="CSV208" s="2"/>
      <c r="CSW208" s="2"/>
      <c r="CSX208" s="2"/>
      <c r="CSY208" s="2"/>
      <c r="CSZ208" s="2"/>
      <c r="CTA208" s="2"/>
      <c r="CTB208" s="2"/>
      <c r="CTC208" s="2"/>
      <c r="CTD208" s="2"/>
      <c r="CTE208" s="2"/>
      <c r="CTF208" s="2"/>
      <c r="CTG208" s="2"/>
      <c r="CTH208" s="2"/>
      <c r="CTI208" s="2"/>
      <c r="CTJ208" s="2"/>
      <c r="CTK208" s="2"/>
      <c r="CTL208" s="2"/>
      <c r="CTM208" s="2"/>
      <c r="CTN208" s="2"/>
      <c r="CTO208" s="2"/>
      <c r="CTP208" s="2"/>
      <c r="CTQ208" s="2"/>
      <c r="CTR208" s="2"/>
      <c r="CTS208" s="2"/>
      <c r="CTT208" s="2"/>
      <c r="CTU208" s="2"/>
      <c r="CTV208" s="2"/>
      <c r="CTW208" s="2"/>
      <c r="CTX208" s="2"/>
      <c r="CTY208" s="2"/>
      <c r="CTZ208" s="2"/>
      <c r="CUA208" s="2"/>
      <c r="CUB208" s="2"/>
      <c r="CUC208" s="2"/>
      <c r="CUD208" s="2"/>
      <c r="CUE208" s="2"/>
      <c r="CUF208" s="2"/>
      <c r="CUG208" s="2"/>
      <c r="CUH208" s="2"/>
      <c r="CUI208" s="2"/>
      <c r="CUJ208" s="2"/>
      <c r="CUK208" s="2"/>
      <c r="CUL208" s="2"/>
      <c r="CUM208" s="2"/>
      <c r="CUN208" s="2"/>
      <c r="CUO208" s="2"/>
      <c r="CUP208" s="2"/>
      <c r="CUQ208" s="2"/>
      <c r="CUR208" s="2"/>
      <c r="CUS208" s="2"/>
      <c r="CUT208" s="2"/>
      <c r="CUU208" s="2"/>
      <c r="CUV208" s="2"/>
      <c r="CUW208" s="2"/>
      <c r="CUX208" s="2"/>
      <c r="CUY208" s="2"/>
      <c r="CUZ208" s="2"/>
      <c r="CVA208" s="2"/>
      <c r="CVB208" s="2"/>
      <c r="CVC208" s="2"/>
      <c r="CVD208" s="2"/>
      <c r="CVE208" s="2"/>
      <c r="CVF208" s="2"/>
      <c r="CVG208" s="2"/>
      <c r="CVH208" s="2"/>
      <c r="CVI208" s="2"/>
      <c r="CVJ208" s="2"/>
      <c r="CVK208" s="2"/>
      <c r="CVL208" s="2"/>
      <c r="CVM208" s="2"/>
      <c r="CVN208" s="2"/>
      <c r="CVO208" s="2"/>
      <c r="CVP208" s="2"/>
      <c r="CVQ208" s="2"/>
      <c r="CVR208" s="2"/>
      <c r="CVS208" s="2"/>
      <c r="CVT208" s="2"/>
      <c r="CVU208" s="2"/>
      <c r="CVV208" s="2"/>
      <c r="CVW208" s="2"/>
      <c r="CVX208" s="2"/>
      <c r="CVY208" s="2"/>
      <c r="CVZ208" s="2"/>
      <c r="CWA208" s="2"/>
      <c r="CWB208" s="2"/>
      <c r="CWC208" s="2"/>
      <c r="CWD208" s="2"/>
      <c r="CWE208" s="2"/>
      <c r="CWF208" s="2"/>
      <c r="CWG208" s="2"/>
      <c r="CWH208" s="2"/>
      <c r="CWI208" s="2"/>
      <c r="CWJ208" s="2"/>
      <c r="CWK208" s="2"/>
      <c r="CWL208" s="2"/>
      <c r="CWM208" s="2"/>
      <c r="CWN208" s="2"/>
      <c r="CWO208" s="2"/>
      <c r="CWP208" s="2"/>
      <c r="CWQ208" s="2"/>
      <c r="CWR208" s="2"/>
      <c r="CWS208" s="2"/>
      <c r="CWT208" s="2"/>
      <c r="CWU208" s="2"/>
      <c r="CWV208" s="2"/>
      <c r="CWW208" s="2"/>
      <c r="CWX208" s="2"/>
      <c r="CWY208" s="2"/>
      <c r="CWZ208" s="2"/>
      <c r="CXA208" s="2"/>
      <c r="CXB208" s="2"/>
      <c r="CXC208" s="2"/>
      <c r="CXD208" s="2"/>
      <c r="CXE208" s="2"/>
      <c r="CXF208" s="2"/>
      <c r="CXG208" s="2"/>
      <c r="CXH208" s="2"/>
      <c r="CXI208" s="2"/>
      <c r="CXJ208" s="2"/>
      <c r="CXK208" s="2"/>
      <c r="CXL208" s="2"/>
      <c r="CXM208" s="2"/>
      <c r="CXN208" s="2"/>
      <c r="CXO208" s="2"/>
      <c r="CXP208" s="2"/>
      <c r="CXQ208" s="2"/>
      <c r="CXR208" s="2"/>
      <c r="CXS208" s="2"/>
      <c r="CXT208" s="2"/>
      <c r="CXU208" s="2"/>
      <c r="CXV208" s="2"/>
      <c r="CXW208" s="2"/>
      <c r="CXX208" s="2"/>
      <c r="CXY208" s="2"/>
      <c r="CXZ208" s="2"/>
      <c r="CYA208" s="2"/>
      <c r="CYB208" s="2"/>
      <c r="CYC208" s="2"/>
      <c r="CYD208" s="2"/>
      <c r="CYE208" s="2"/>
      <c r="CYF208" s="2"/>
      <c r="CYG208" s="2"/>
      <c r="CYH208" s="2"/>
      <c r="CYI208" s="2"/>
      <c r="CYJ208" s="2"/>
      <c r="CYK208" s="2"/>
      <c r="CYL208" s="2"/>
      <c r="CYM208" s="2"/>
      <c r="CYN208" s="2"/>
      <c r="CYO208" s="2"/>
      <c r="CYP208" s="2"/>
      <c r="CYQ208" s="2"/>
      <c r="CYR208" s="2"/>
      <c r="CYS208" s="2"/>
      <c r="CYT208" s="2"/>
      <c r="CYU208" s="2"/>
      <c r="CYV208" s="2"/>
      <c r="CYW208" s="2"/>
      <c r="CYX208" s="2"/>
      <c r="CYY208" s="2"/>
      <c r="CYZ208" s="2"/>
      <c r="CZA208" s="2"/>
      <c r="CZB208" s="2"/>
      <c r="CZC208" s="2"/>
      <c r="CZD208" s="2"/>
      <c r="CZE208" s="2"/>
      <c r="CZF208" s="2"/>
      <c r="CZG208" s="2"/>
      <c r="CZH208" s="2"/>
      <c r="CZI208" s="2"/>
      <c r="CZJ208" s="2"/>
      <c r="CZK208" s="2"/>
      <c r="CZL208" s="2"/>
      <c r="CZM208" s="2"/>
      <c r="CZN208" s="2"/>
      <c r="CZO208" s="2"/>
      <c r="CZP208" s="2"/>
      <c r="CZQ208" s="2"/>
      <c r="CZR208" s="2"/>
      <c r="CZS208" s="2"/>
      <c r="CZT208" s="2"/>
      <c r="CZU208" s="2"/>
      <c r="CZV208" s="2"/>
      <c r="CZW208" s="2"/>
      <c r="CZX208" s="2"/>
      <c r="CZY208" s="2"/>
      <c r="CZZ208" s="2"/>
      <c r="DAA208" s="2"/>
      <c r="DAB208" s="2"/>
      <c r="DAC208" s="2"/>
      <c r="DAD208" s="2"/>
      <c r="DAE208" s="2"/>
      <c r="DAF208" s="2"/>
      <c r="DAG208" s="2"/>
      <c r="DAH208" s="2"/>
      <c r="DAI208" s="2"/>
      <c r="DAJ208" s="2"/>
      <c r="DAK208" s="2"/>
      <c r="DAL208" s="2"/>
      <c r="DAM208" s="2"/>
      <c r="DAN208" s="2"/>
      <c r="DAO208" s="2"/>
      <c r="DAP208" s="2"/>
      <c r="DAQ208" s="2"/>
      <c r="DAR208" s="2"/>
      <c r="DAS208" s="2"/>
      <c r="DAT208" s="2"/>
      <c r="DAU208" s="2"/>
      <c r="DAV208" s="2"/>
      <c r="DAW208" s="2"/>
      <c r="DAX208" s="2"/>
      <c r="DAY208" s="2"/>
      <c r="DAZ208" s="2"/>
      <c r="DBA208" s="2"/>
      <c r="DBB208" s="2"/>
      <c r="DBC208" s="2"/>
      <c r="DBD208" s="2"/>
      <c r="DBE208" s="2"/>
      <c r="DBF208" s="2"/>
      <c r="DBG208" s="2"/>
      <c r="DBH208" s="2"/>
      <c r="DBI208" s="2"/>
      <c r="DBJ208" s="2"/>
      <c r="DBK208" s="2"/>
      <c r="DBL208" s="2"/>
      <c r="DBM208" s="2"/>
      <c r="DBN208" s="2"/>
      <c r="DBO208" s="2"/>
      <c r="DBP208" s="2"/>
      <c r="DBQ208" s="2"/>
      <c r="DBR208" s="2"/>
      <c r="DBS208" s="2"/>
      <c r="DBT208" s="2"/>
      <c r="DBU208" s="2"/>
      <c r="DBV208" s="2"/>
      <c r="DBW208" s="2"/>
      <c r="DBX208" s="2"/>
      <c r="DBY208" s="2"/>
      <c r="DBZ208" s="2"/>
      <c r="DCA208" s="2"/>
      <c r="DCB208" s="2"/>
      <c r="DCC208" s="2"/>
      <c r="DCD208" s="2"/>
      <c r="DCE208" s="2"/>
      <c r="DCF208" s="2"/>
      <c r="DCG208" s="2"/>
      <c r="DCH208" s="2"/>
      <c r="DCI208" s="2"/>
      <c r="DCJ208" s="2"/>
      <c r="DCK208" s="2"/>
      <c r="DCL208" s="2"/>
      <c r="DCM208" s="2"/>
      <c r="DCN208" s="2"/>
      <c r="DCO208" s="2"/>
      <c r="DCP208" s="2"/>
      <c r="DCQ208" s="2"/>
      <c r="DCR208" s="2"/>
      <c r="DCS208" s="2"/>
      <c r="DCT208" s="2"/>
      <c r="DCU208" s="2"/>
      <c r="DCV208" s="2"/>
      <c r="DCW208" s="2"/>
      <c r="DCX208" s="2"/>
      <c r="DCY208" s="2"/>
      <c r="DCZ208" s="2"/>
      <c r="DDA208" s="2"/>
      <c r="DDB208" s="2"/>
      <c r="DDC208" s="2"/>
      <c r="DDD208" s="2"/>
      <c r="DDE208" s="2"/>
      <c r="DDF208" s="2"/>
      <c r="DDG208" s="2"/>
      <c r="DDH208" s="2"/>
      <c r="DDI208" s="2"/>
      <c r="DDJ208" s="2"/>
      <c r="DDK208" s="2"/>
      <c r="DDL208" s="2"/>
      <c r="DDM208" s="2"/>
      <c r="DDN208" s="2"/>
      <c r="DDO208" s="2"/>
      <c r="DDP208" s="2"/>
      <c r="DDQ208" s="2"/>
      <c r="DDR208" s="2"/>
      <c r="DDS208" s="2"/>
      <c r="DDT208" s="2"/>
      <c r="DDU208" s="2"/>
      <c r="DDV208" s="2"/>
      <c r="DDW208" s="2"/>
      <c r="DDX208" s="2"/>
      <c r="DDY208" s="2"/>
      <c r="DDZ208" s="2"/>
      <c r="DEA208" s="2"/>
      <c r="DEB208" s="2"/>
      <c r="DEC208" s="2"/>
      <c r="DED208" s="2"/>
      <c r="DEE208" s="2"/>
      <c r="DEF208" s="2"/>
      <c r="DEG208" s="2"/>
      <c r="DEH208" s="2"/>
      <c r="DEI208" s="2"/>
      <c r="DEJ208" s="2"/>
      <c r="DEK208" s="2"/>
      <c r="DEL208" s="2"/>
      <c r="DEM208" s="2"/>
      <c r="DEN208" s="2"/>
      <c r="DEO208" s="2"/>
      <c r="DEP208" s="2"/>
      <c r="DEQ208" s="2"/>
      <c r="DER208" s="2"/>
      <c r="DES208" s="2"/>
      <c r="DET208" s="2"/>
      <c r="DEU208" s="2"/>
      <c r="DEV208" s="2"/>
      <c r="DEW208" s="2"/>
      <c r="DEX208" s="2"/>
      <c r="DEY208" s="2"/>
      <c r="DEZ208" s="2"/>
      <c r="DFA208" s="2"/>
      <c r="DFB208" s="2"/>
      <c r="DFC208" s="2"/>
      <c r="DFD208" s="2"/>
      <c r="DFE208" s="2"/>
      <c r="DFF208" s="2"/>
      <c r="DFG208" s="2"/>
      <c r="DFH208" s="2"/>
      <c r="DFI208" s="2"/>
      <c r="DFJ208" s="2"/>
      <c r="DFK208" s="2"/>
      <c r="DFL208" s="2"/>
      <c r="DFM208" s="2"/>
      <c r="DFN208" s="2"/>
      <c r="DFO208" s="2"/>
      <c r="DFP208" s="2"/>
      <c r="DFQ208" s="2"/>
      <c r="DFR208" s="2"/>
      <c r="DFS208" s="2"/>
      <c r="DFT208" s="2"/>
      <c r="DFU208" s="2"/>
      <c r="DFV208" s="2"/>
      <c r="DFW208" s="2"/>
      <c r="DFX208" s="2"/>
      <c r="DFY208" s="2"/>
      <c r="DFZ208" s="2"/>
      <c r="DGA208" s="2"/>
      <c r="DGB208" s="2"/>
      <c r="DGC208" s="2"/>
      <c r="DGD208" s="2"/>
      <c r="DGE208" s="2"/>
      <c r="DGF208" s="2"/>
      <c r="DGG208" s="2"/>
      <c r="DGH208" s="2"/>
      <c r="DGI208" s="2"/>
      <c r="DGJ208" s="2"/>
      <c r="DGK208" s="2"/>
      <c r="DGL208" s="2"/>
      <c r="DGM208" s="2"/>
      <c r="DGN208" s="2"/>
      <c r="DGO208" s="2"/>
      <c r="DGP208" s="2"/>
      <c r="DGQ208" s="2"/>
      <c r="DGR208" s="2"/>
      <c r="DGS208" s="2"/>
      <c r="DGT208" s="2"/>
      <c r="DGU208" s="2"/>
      <c r="DGV208" s="2"/>
      <c r="DGW208" s="2"/>
      <c r="DGX208" s="2"/>
      <c r="DGY208" s="2"/>
      <c r="DGZ208" s="2"/>
      <c r="DHA208" s="2"/>
      <c r="DHB208" s="2"/>
      <c r="DHC208" s="2"/>
      <c r="DHD208" s="2"/>
      <c r="DHE208" s="2"/>
      <c r="DHF208" s="2"/>
      <c r="DHG208" s="2"/>
      <c r="DHH208" s="2"/>
      <c r="DHI208" s="2"/>
      <c r="DHJ208" s="2"/>
      <c r="DHK208" s="2"/>
      <c r="DHL208" s="2"/>
      <c r="DHM208" s="2"/>
      <c r="DHN208" s="2"/>
      <c r="DHO208" s="2"/>
      <c r="DHP208" s="2"/>
      <c r="DHQ208" s="2"/>
      <c r="DHR208" s="2"/>
      <c r="DHS208" s="2"/>
      <c r="DHT208" s="2"/>
      <c r="DHU208" s="2"/>
      <c r="DHV208" s="2"/>
      <c r="DHW208" s="2"/>
      <c r="DHX208" s="2"/>
      <c r="DHY208" s="2"/>
      <c r="DHZ208" s="2"/>
      <c r="DIA208" s="2"/>
      <c r="DIB208" s="2"/>
      <c r="DIC208" s="2"/>
      <c r="DID208" s="2"/>
      <c r="DIE208" s="2"/>
      <c r="DIF208" s="2"/>
      <c r="DIG208" s="2"/>
      <c r="DIH208" s="2"/>
      <c r="DII208" s="2"/>
      <c r="DIJ208" s="2"/>
      <c r="DIK208" s="2"/>
      <c r="DIL208" s="2"/>
      <c r="DIM208" s="2"/>
      <c r="DIN208" s="2"/>
      <c r="DIO208" s="2"/>
      <c r="DIP208" s="2"/>
      <c r="DIQ208" s="2"/>
      <c r="DIR208" s="2"/>
      <c r="DIS208" s="2"/>
      <c r="DIT208" s="2"/>
      <c r="DIU208" s="2"/>
      <c r="DIV208" s="2"/>
      <c r="DIW208" s="2"/>
      <c r="DIX208" s="2"/>
      <c r="DIY208" s="2"/>
      <c r="DIZ208" s="2"/>
      <c r="DJA208" s="2"/>
      <c r="DJB208" s="2"/>
      <c r="DJC208" s="2"/>
      <c r="DJD208" s="2"/>
      <c r="DJE208" s="2"/>
      <c r="DJF208" s="2"/>
      <c r="DJG208" s="2"/>
      <c r="DJH208" s="2"/>
      <c r="DJI208" s="2"/>
      <c r="DJJ208" s="2"/>
      <c r="DJK208" s="2"/>
      <c r="DJL208" s="2"/>
      <c r="DJM208" s="2"/>
      <c r="DJN208" s="2"/>
      <c r="DJO208" s="2"/>
      <c r="DJP208" s="2"/>
      <c r="DJQ208" s="2"/>
      <c r="DJR208" s="2"/>
      <c r="DJS208" s="2"/>
      <c r="DJT208" s="2"/>
      <c r="DJU208" s="2"/>
      <c r="DJV208" s="2"/>
      <c r="DJW208" s="2"/>
      <c r="DJX208" s="2"/>
      <c r="DJY208" s="2"/>
      <c r="DJZ208" s="2"/>
      <c r="DKA208" s="2"/>
      <c r="DKB208" s="2"/>
      <c r="DKC208" s="2"/>
      <c r="DKD208" s="2"/>
      <c r="DKE208" s="2"/>
      <c r="DKF208" s="2"/>
      <c r="DKG208" s="2"/>
      <c r="DKH208" s="2"/>
      <c r="DKI208" s="2"/>
      <c r="DKJ208" s="2"/>
      <c r="DKK208" s="2"/>
      <c r="DKL208" s="2"/>
      <c r="DKM208" s="2"/>
      <c r="DKN208" s="2"/>
      <c r="DKO208" s="2"/>
      <c r="DKP208" s="2"/>
      <c r="DKQ208" s="2"/>
      <c r="DKR208" s="2"/>
      <c r="DKS208" s="2"/>
      <c r="DKT208" s="2"/>
      <c r="DKU208" s="2"/>
      <c r="DKV208" s="2"/>
      <c r="DKW208" s="2"/>
      <c r="DKX208" s="2"/>
      <c r="DKY208" s="2"/>
      <c r="DKZ208" s="2"/>
      <c r="DLA208" s="2"/>
      <c r="DLB208" s="2"/>
      <c r="DLC208" s="2"/>
      <c r="DLD208" s="2"/>
      <c r="DLE208" s="2"/>
      <c r="DLF208" s="2"/>
      <c r="DLG208" s="2"/>
      <c r="DLH208" s="2"/>
      <c r="DLI208" s="2"/>
      <c r="DLJ208" s="2"/>
      <c r="DLK208" s="2"/>
      <c r="DLL208" s="2"/>
      <c r="DLM208" s="2"/>
      <c r="DLN208" s="2"/>
      <c r="DLO208" s="2"/>
      <c r="DLP208" s="2"/>
      <c r="DLQ208" s="2"/>
      <c r="DLR208" s="2"/>
      <c r="DLS208" s="2"/>
      <c r="DLT208" s="2"/>
      <c r="DLU208" s="2"/>
      <c r="DLV208" s="2"/>
      <c r="DLW208" s="2"/>
      <c r="DLX208" s="2"/>
      <c r="DLY208" s="2"/>
      <c r="DLZ208" s="2"/>
      <c r="DMA208" s="2"/>
      <c r="DMB208" s="2"/>
      <c r="DMC208" s="2"/>
      <c r="DMD208" s="2"/>
      <c r="DME208" s="2"/>
      <c r="DMF208" s="2"/>
      <c r="DMG208" s="2"/>
      <c r="DMH208" s="2"/>
      <c r="DMI208" s="2"/>
      <c r="DMJ208" s="2"/>
      <c r="DMK208" s="2"/>
      <c r="DML208" s="2"/>
      <c r="DMM208" s="2"/>
      <c r="DMN208" s="2"/>
      <c r="DMO208" s="2"/>
      <c r="DMP208" s="2"/>
      <c r="DMQ208" s="2"/>
      <c r="DMR208" s="2"/>
      <c r="DMS208" s="2"/>
      <c r="DMT208" s="2"/>
      <c r="DMU208" s="2"/>
      <c r="DMV208" s="2"/>
      <c r="DMW208" s="2"/>
      <c r="DMX208" s="2"/>
      <c r="DMY208" s="2"/>
      <c r="DMZ208" s="2"/>
      <c r="DNA208" s="2"/>
      <c r="DNB208" s="2"/>
      <c r="DNC208" s="2"/>
      <c r="DND208" s="2"/>
      <c r="DNE208" s="2"/>
      <c r="DNF208" s="2"/>
      <c r="DNG208" s="2"/>
      <c r="DNH208" s="2"/>
      <c r="DNI208" s="2"/>
      <c r="DNJ208" s="2"/>
      <c r="DNK208" s="2"/>
      <c r="DNL208" s="2"/>
      <c r="DNM208" s="2"/>
      <c r="DNN208" s="2"/>
      <c r="DNO208" s="2"/>
      <c r="DNP208" s="2"/>
      <c r="DNQ208" s="2"/>
      <c r="DNR208" s="2"/>
      <c r="DNS208" s="2"/>
      <c r="DNT208" s="2"/>
      <c r="DNU208" s="2"/>
      <c r="DNV208" s="2"/>
      <c r="DNW208" s="2"/>
      <c r="DNX208" s="2"/>
      <c r="DNY208" s="2"/>
      <c r="DNZ208" s="2"/>
      <c r="DOA208" s="2"/>
      <c r="DOB208" s="2"/>
      <c r="DOC208" s="2"/>
      <c r="DOD208" s="2"/>
      <c r="DOE208" s="2"/>
      <c r="DOF208" s="2"/>
      <c r="DOG208" s="2"/>
      <c r="DOH208" s="2"/>
      <c r="DOI208" s="2"/>
      <c r="DOJ208" s="2"/>
      <c r="DOK208" s="2"/>
      <c r="DOL208" s="2"/>
      <c r="DOM208" s="2"/>
      <c r="DON208" s="2"/>
      <c r="DOO208" s="2"/>
      <c r="DOP208" s="2"/>
      <c r="DOQ208" s="2"/>
      <c r="DOR208" s="2"/>
      <c r="DOS208" s="2"/>
      <c r="DOT208" s="2"/>
      <c r="DOU208" s="2"/>
      <c r="DOV208" s="2"/>
      <c r="DOW208" s="2"/>
      <c r="DOX208" s="2"/>
      <c r="DOY208" s="2"/>
      <c r="DOZ208" s="2"/>
      <c r="DPA208" s="2"/>
      <c r="DPB208" s="2"/>
      <c r="DPC208" s="2"/>
      <c r="DPD208" s="2"/>
      <c r="DPE208" s="2"/>
      <c r="DPF208" s="2"/>
      <c r="DPG208" s="2"/>
      <c r="DPH208" s="2"/>
      <c r="DPI208" s="2"/>
      <c r="DPJ208" s="2"/>
      <c r="DPK208" s="2"/>
      <c r="DPL208" s="2"/>
      <c r="DPM208" s="2"/>
      <c r="DPN208" s="2"/>
      <c r="DPO208" s="2"/>
      <c r="DPP208" s="2"/>
      <c r="DPQ208" s="2"/>
      <c r="DPR208" s="2"/>
      <c r="DPS208" s="2"/>
      <c r="DPT208" s="2"/>
      <c r="DPU208" s="2"/>
      <c r="DPV208" s="2"/>
      <c r="DPW208" s="2"/>
      <c r="DPX208" s="2"/>
      <c r="DPY208" s="2"/>
      <c r="DPZ208" s="2"/>
      <c r="DQA208" s="2"/>
      <c r="DQB208" s="2"/>
      <c r="DQC208" s="2"/>
      <c r="DQD208" s="2"/>
      <c r="DQE208" s="2"/>
      <c r="DQF208" s="2"/>
      <c r="DQG208" s="2"/>
      <c r="DQH208" s="2"/>
      <c r="DQI208" s="2"/>
      <c r="DQJ208" s="2"/>
      <c r="DQK208" s="2"/>
      <c r="DQL208" s="2"/>
      <c r="DQM208" s="2"/>
      <c r="DQN208" s="2"/>
      <c r="DQO208" s="2"/>
      <c r="DQP208" s="2"/>
      <c r="DQQ208" s="2"/>
      <c r="DQR208" s="2"/>
      <c r="DQS208" s="2"/>
      <c r="DQT208" s="2"/>
      <c r="DQU208" s="2"/>
      <c r="DQV208" s="2"/>
      <c r="DQW208" s="2"/>
      <c r="DQX208" s="2"/>
      <c r="DQY208" s="2"/>
      <c r="DQZ208" s="2"/>
      <c r="DRA208" s="2"/>
      <c r="DRB208" s="2"/>
      <c r="DRC208" s="2"/>
      <c r="DRD208" s="2"/>
      <c r="DRE208" s="2"/>
      <c r="DRF208" s="2"/>
      <c r="DRG208" s="2"/>
      <c r="DRH208" s="2"/>
      <c r="DRI208" s="2"/>
      <c r="DRJ208" s="2"/>
      <c r="DRK208" s="2"/>
      <c r="DRL208" s="2"/>
      <c r="DRM208" s="2"/>
      <c r="DRN208" s="2"/>
      <c r="DRO208" s="2"/>
      <c r="DRP208" s="2"/>
      <c r="DRQ208" s="2"/>
      <c r="DRR208" s="2"/>
      <c r="DRS208" s="2"/>
      <c r="DRT208" s="2"/>
      <c r="DRU208" s="2"/>
      <c r="DRV208" s="2"/>
      <c r="DRW208" s="2"/>
      <c r="DRX208" s="2"/>
      <c r="DRY208" s="2"/>
      <c r="DRZ208" s="2"/>
      <c r="DSA208" s="2"/>
      <c r="DSB208" s="2"/>
      <c r="DSC208" s="2"/>
      <c r="DSD208" s="2"/>
      <c r="DSE208" s="2"/>
      <c r="DSF208" s="2"/>
      <c r="DSG208" s="2"/>
      <c r="DSH208" s="2"/>
      <c r="DSI208" s="2"/>
      <c r="DSJ208" s="2"/>
      <c r="DSK208" s="2"/>
      <c r="DSL208" s="2"/>
      <c r="DSM208" s="2"/>
      <c r="DSN208" s="2"/>
      <c r="DSO208" s="2"/>
      <c r="DSP208" s="2"/>
      <c r="DSQ208" s="2"/>
      <c r="DSR208" s="2"/>
      <c r="DSS208" s="2"/>
      <c r="DST208" s="2"/>
      <c r="DSU208" s="2"/>
      <c r="DSV208" s="2"/>
      <c r="DSW208" s="2"/>
      <c r="DSX208" s="2"/>
      <c r="DSY208" s="2"/>
      <c r="DSZ208" s="2"/>
      <c r="DTA208" s="2"/>
      <c r="DTB208" s="2"/>
      <c r="DTC208" s="2"/>
      <c r="DTD208" s="2"/>
      <c r="DTE208" s="2"/>
      <c r="DTF208" s="2"/>
      <c r="DTG208" s="2"/>
      <c r="DTH208" s="2"/>
      <c r="DTI208" s="2"/>
      <c r="DTJ208" s="2"/>
      <c r="DTK208" s="2"/>
      <c r="DTL208" s="2"/>
      <c r="DTM208" s="2"/>
      <c r="DTN208" s="2"/>
      <c r="DTO208" s="2"/>
      <c r="DTP208" s="2"/>
      <c r="DTQ208" s="2"/>
      <c r="DTR208" s="2"/>
      <c r="DTS208" s="2"/>
      <c r="DTT208" s="2"/>
      <c r="DTU208" s="2"/>
      <c r="DTV208" s="2"/>
      <c r="DTW208" s="2"/>
      <c r="DTX208" s="2"/>
      <c r="DTY208" s="2"/>
      <c r="DTZ208" s="2"/>
      <c r="DUA208" s="2"/>
      <c r="DUB208" s="2"/>
      <c r="DUC208" s="2"/>
      <c r="DUD208" s="2"/>
      <c r="DUE208" s="2"/>
      <c r="DUF208" s="2"/>
      <c r="DUG208" s="2"/>
      <c r="DUH208" s="2"/>
      <c r="DUI208" s="2"/>
      <c r="DUJ208" s="2"/>
      <c r="DUK208" s="2"/>
      <c r="DUL208" s="2"/>
      <c r="DUM208" s="2"/>
      <c r="DUN208" s="2"/>
      <c r="DUO208" s="2"/>
      <c r="DUP208" s="2"/>
      <c r="DUQ208" s="2"/>
      <c r="DUR208" s="2"/>
      <c r="DUS208" s="2"/>
      <c r="DUT208" s="2"/>
      <c r="DUU208" s="2"/>
      <c r="DUV208" s="2"/>
      <c r="DUW208" s="2"/>
      <c r="DUX208" s="2"/>
      <c r="DUY208" s="2"/>
      <c r="DUZ208" s="2"/>
      <c r="DVA208" s="2"/>
      <c r="DVB208" s="2"/>
      <c r="DVC208" s="2"/>
      <c r="DVD208" s="2"/>
      <c r="DVE208" s="2"/>
      <c r="DVF208" s="2"/>
      <c r="DVG208" s="2"/>
      <c r="DVH208" s="2"/>
      <c r="DVI208" s="2"/>
      <c r="DVJ208" s="2"/>
      <c r="DVK208" s="2"/>
      <c r="DVL208" s="2"/>
      <c r="DVM208" s="2"/>
      <c r="DVN208" s="2"/>
      <c r="DVO208" s="2"/>
      <c r="DVP208" s="2"/>
      <c r="DVQ208" s="2"/>
      <c r="DVR208" s="2"/>
      <c r="DVS208" s="2"/>
      <c r="DVT208" s="2"/>
      <c r="DVU208" s="2"/>
      <c r="DVV208" s="2"/>
      <c r="DVW208" s="2"/>
      <c r="DVX208" s="2"/>
      <c r="DVY208" s="2"/>
      <c r="DVZ208" s="2"/>
      <c r="DWA208" s="2"/>
      <c r="DWB208" s="2"/>
      <c r="DWC208" s="2"/>
      <c r="DWD208" s="2"/>
      <c r="DWE208" s="2"/>
      <c r="DWF208" s="2"/>
      <c r="DWG208" s="2"/>
      <c r="DWH208" s="2"/>
      <c r="DWI208" s="2"/>
      <c r="DWJ208" s="2"/>
      <c r="DWK208" s="2"/>
      <c r="DWL208" s="2"/>
      <c r="DWM208" s="2"/>
      <c r="DWN208" s="2"/>
      <c r="DWO208" s="2"/>
      <c r="DWP208" s="2"/>
      <c r="DWQ208" s="2"/>
      <c r="DWR208" s="2"/>
      <c r="DWS208" s="2"/>
      <c r="DWT208" s="2"/>
      <c r="DWU208" s="2"/>
      <c r="DWV208" s="2"/>
      <c r="DWW208" s="2"/>
      <c r="DWX208" s="2"/>
      <c r="DWY208" s="2"/>
      <c r="DWZ208" s="2"/>
      <c r="DXA208" s="2"/>
      <c r="DXB208" s="2"/>
      <c r="DXC208" s="2"/>
      <c r="DXD208" s="2"/>
      <c r="DXE208" s="2"/>
      <c r="DXF208" s="2"/>
      <c r="DXG208" s="2"/>
      <c r="DXH208" s="2"/>
      <c r="DXI208" s="2"/>
      <c r="DXJ208" s="2"/>
      <c r="DXK208" s="2"/>
      <c r="DXL208" s="2"/>
      <c r="DXM208" s="2"/>
      <c r="DXN208" s="2"/>
      <c r="DXO208" s="2"/>
      <c r="DXP208" s="2"/>
      <c r="DXQ208" s="2"/>
      <c r="DXR208" s="2"/>
      <c r="DXS208" s="2"/>
      <c r="DXT208" s="2"/>
      <c r="DXU208" s="2"/>
      <c r="DXV208" s="2"/>
      <c r="DXW208" s="2"/>
      <c r="DXX208" s="2"/>
      <c r="DXY208" s="2"/>
      <c r="DXZ208" s="2"/>
      <c r="DYA208" s="2"/>
      <c r="DYB208" s="2"/>
      <c r="DYC208" s="2"/>
      <c r="DYD208" s="2"/>
      <c r="DYE208" s="2"/>
      <c r="DYF208" s="2"/>
      <c r="DYG208" s="2"/>
      <c r="DYH208" s="2"/>
      <c r="DYI208" s="2"/>
      <c r="DYJ208" s="2"/>
      <c r="DYK208" s="2"/>
      <c r="DYL208" s="2"/>
      <c r="DYM208" s="2"/>
      <c r="DYN208" s="2"/>
      <c r="DYO208" s="2"/>
      <c r="DYP208" s="2"/>
      <c r="DYQ208" s="2"/>
      <c r="DYR208" s="2"/>
      <c r="DYS208" s="2"/>
      <c r="DYT208" s="2"/>
      <c r="DYU208" s="2"/>
      <c r="DYV208" s="2"/>
      <c r="DYW208" s="2"/>
      <c r="DYX208" s="2"/>
      <c r="DYY208" s="2"/>
      <c r="DYZ208" s="2"/>
      <c r="DZA208" s="2"/>
      <c r="DZB208" s="2"/>
      <c r="DZC208" s="2"/>
      <c r="DZD208" s="2"/>
      <c r="DZE208" s="2"/>
      <c r="DZF208" s="2"/>
      <c r="DZG208" s="2"/>
      <c r="DZH208" s="2"/>
      <c r="DZI208" s="2"/>
      <c r="DZJ208" s="2"/>
      <c r="DZK208" s="2"/>
      <c r="DZL208" s="2"/>
      <c r="DZM208" s="2"/>
      <c r="DZN208" s="2"/>
      <c r="DZO208" s="2"/>
      <c r="DZP208" s="2"/>
      <c r="DZQ208" s="2"/>
      <c r="DZR208" s="2"/>
      <c r="DZS208" s="2"/>
      <c r="DZT208" s="2"/>
      <c r="DZU208" s="2"/>
      <c r="DZV208" s="2"/>
      <c r="DZW208" s="2"/>
      <c r="DZX208" s="2"/>
      <c r="DZY208" s="2"/>
      <c r="DZZ208" s="2"/>
      <c r="EAA208" s="2"/>
      <c r="EAB208" s="2"/>
      <c r="EAC208" s="2"/>
      <c r="EAD208" s="2"/>
      <c r="EAE208" s="2"/>
      <c r="EAF208" s="2"/>
      <c r="EAG208" s="2"/>
      <c r="EAH208" s="2"/>
      <c r="EAI208" s="2"/>
      <c r="EAJ208" s="2"/>
      <c r="EAK208" s="2"/>
      <c r="EAL208" s="2"/>
      <c r="EAM208" s="2"/>
      <c r="EAN208" s="2"/>
      <c r="EAO208" s="2"/>
      <c r="EAP208" s="2"/>
      <c r="EAQ208" s="2"/>
      <c r="EAR208" s="2"/>
      <c r="EAS208" s="2"/>
      <c r="EAT208" s="2"/>
      <c r="EAU208" s="2"/>
      <c r="EAV208" s="2"/>
      <c r="EAW208" s="2"/>
      <c r="EAX208" s="2"/>
      <c r="EAY208" s="2"/>
      <c r="EAZ208" s="2"/>
      <c r="EBA208" s="2"/>
      <c r="EBB208" s="2"/>
      <c r="EBC208" s="2"/>
      <c r="EBD208" s="2"/>
      <c r="EBE208" s="2"/>
      <c r="EBF208" s="2"/>
      <c r="EBG208" s="2"/>
      <c r="EBH208" s="2"/>
      <c r="EBI208" s="2"/>
      <c r="EBJ208" s="2"/>
      <c r="EBK208" s="2"/>
      <c r="EBL208" s="2"/>
      <c r="EBM208" s="2"/>
      <c r="EBN208" s="2"/>
      <c r="EBO208" s="2"/>
      <c r="EBP208" s="2"/>
      <c r="EBQ208" s="2"/>
      <c r="EBR208" s="2"/>
      <c r="EBS208" s="2"/>
      <c r="EBT208" s="2"/>
      <c r="EBU208" s="2"/>
      <c r="EBV208" s="2"/>
      <c r="EBW208" s="2"/>
      <c r="EBX208" s="2"/>
      <c r="EBY208" s="2"/>
      <c r="EBZ208" s="2"/>
      <c r="ECA208" s="2"/>
      <c r="ECB208" s="2"/>
      <c r="ECC208" s="2"/>
      <c r="ECD208" s="2"/>
      <c r="ECE208" s="2"/>
      <c r="ECF208" s="2"/>
      <c r="ECG208" s="2"/>
      <c r="ECH208" s="2"/>
      <c r="ECI208" s="2"/>
      <c r="ECJ208" s="2"/>
      <c r="ECK208" s="2"/>
      <c r="ECL208" s="2"/>
      <c r="ECM208" s="2"/>
      <c r="ECN208" s="2"/>
      <c r="ECO208" s="2"/>
      <c r="ECP208" s="2"/>
      <c r="ECQ208" s="2"/>
      <c r="ECR208" s="2"/>
      <c r="ECS208" s="2"/>
      <c r="ECT208" s="2"/>
      <c r="ECU208" s="2"/>
      <c r="ECV208" s="2"/>
      <c r="ECW208" s="2"/>
      <c r="ECX208" s="2"/>
      <c r="ECY208" s="2"/>
      <c r="ECZ208" s="2"/>
      <c r="EDA208" s="2"/>
      <c r="EDB208" s="2"/>
      <c r="EDC208" s="2"/>
      <c r="EDD208" s="2"/>
      <c r="EDE208" s="2"/>
      <c r="EDF208" s="2"/>
      <c r="EDG208" s="2"/>
      <c r="EDH208" s="2"/>
      <c r="EDI208" s="2"/>
      <c r="EDJ208" s="2"/>
      <c r="EDK208" s="2"/>
      <c r="EDL208" s="2"/>
      <c r="EDM208" s="2"/>
      <c r="EDN208" s="2"/>
      <c r="EDO208" s="2"/>
      <c r="EDP208" s="2"/>
      <c r="EDQ208" s="2"/>
      <c r="EDR208" s="2"/>
      <c r="EDS208" s="2"/>
      <c r="EDT208" s="2"/>
      <c r="EDU208" s="2"/>
      <c r="EDV208" s="2"/>
      <c r="EDW208" s="2"/>
      <c r="EDX208" s="2"/>
      <c r="EDY208" s="2"/>
      <c r="EDZ208" s="2"/>
      <c r="EEA208" s="2"/>
      <c r="EEB208" s="2"/>
      <c r="EEC208" s="2"/>
      <c r="EED208" s="2"/>
      <c r="EEE208" s="2"/>
      <c r="EEF208" s="2"/>
      <c r="EEG208" s="2"/>
      <c r="EEH208" s="2"/>
      <c r="EEI208" s="2"/>
      <c r="EEJ208" s="2"/>
      <c r="EEK208" s="2"/>
      <c r="EEL208" s="2"/>
      <c r="EEM208" s="2"/>
      <c r="EEN208" s="2"/>
      <c r="EEO208" s="2"/>
      <c r="EEP208" s="2"/>
      <c r="EEQ208" s="2"/>
      <c r="EER208" s="2"/>
      <c r="EES208" s="2"/>
      <c r="EET208" s="2"/>
      <c r="EEU208" s="2"/>
      <c r="EEV208" s="2"/>
      <c r="EEW208" s="2"/>
      <c r="EEX208" s="2"/>
      <c r="EEY208" s="2"/>
      <c r="EEZ208" s="2"/>
      <c r="EFA208" s="2"/>
      <c r="EFB208" s="2"/>
      <c r="EFC208" s="2"/>
      <c r="EFD208" s="2"/>
      <c r="EFE208" s="2"/>
      <c r="EFF208" s="2"/>
      <c r="EFG208" s="2"/>
      <c r="EFH208" s="2"/>
      <c r="EFI208" s="2"/>
      <c r="EFJ208" s="2"/>
      <c r="EFK208" s="2"/>
      <c r="EFL208" s="2"/>
      <c r="EFM208" s="2"/>
      <c r="EFN208" s="2"/>
      <c r="EFO208" s="2"/>
      <c r="EFP208" s="2"/>
      <c r="EFQ208" s="2"/>
      <c r="EFR208" s="2"/>
      <c r="EFS208" s="2"/>
      <c r="EFT208" s="2"/>
      <c r="EFU208" s="2"/>
      <c r="EFV208" s="2"/>
      <c r="EFW208" s="2"/>
      <c r="EFX208" s="2"/>
      <c r="EFY208" s="2"/>
      <c r="EFZ208" s="2"/>
      <c r="EGA208" s="2"/>
      <c r="EGB208" s="2"/>
      <c r="EGC208" s="2"/>
      <c r="EGD208" s="2"/>
      <c r="EGE208" s="2"/>
      <c r="EGF208" s="2"/>
      <c r="EGG208" s="2"/>
      <c r="EGH208" s="2"/>
      <c r="EGI208" s="2"/>
      <c r="EGJ208" s="2"/>
      <c r="EGK208" s="2"/>
      <c r="EGL208" s="2"/>
      <c r="EGM208" s="2"/>
      <c r="EGN208" s="2"/>
      <c r="EGO208" s="2"/>
      <c r="EGP208" s="2"/>
      <c r="EGQ208" s="2"/>
      <c r="EGR208" s="2"/>
      <c r="EGS208" s="2"/>
      <c r="EGT208" s="2"/>
      <c r="EGU208" s="2"/>
      <c r="EGV208" s="2"/>
      <c r="EGW208" s="2"/>
      <c r="EGX208" s="2"/>
      <c r="EGY208" s="2"/>
      <c r="EGZ208" s="2"/>
      <c r="EHA208" s="2"/>
      <c r="EHB208" s="2"/>
      <c r="EHC208" s="2"/>
      <c r="EHD208" s="2"/>
      <c r="EHE208" s="2"/>
      <c r="EHF208" s="2"/>
      <c r="EHG208" s="2"/>
      <c r="EHH208" s="2"/>
      <c r="EHI208" s="2"/>
      <c r="EHJ208" s="2"/>
      <c r="EHK208" s="2"/>
      <c r="EHL208" s="2"/>
      <c r="EHM208" s="2"/>
      <c r="EHN208" s="2"/>
      <c r="EHO208" s="2"/>
      <c r="EHP208" s="2"/>
      <c r="EHQ208" s="2"/>
      <c r="EHR208" s="2"/>
      <c r="EHS208" s="2"/>
      <c r="EHT208" s="2"/>
      <c r="EHU208" s="2"/>
      <c r="EHV208" s="2"/>
      <c r="EHW208" s="2"/>
      <c r="EHX208" s="2"/>
      <c r="EHY208" s="2"/>
      <c r="EHZ208" s="2"/>
      <c r="EIA208" s="2"/>
      <c r="EIB208" s="2"/>
      <c r="EIC208" s="2"/>
      <c r="EID208" s="2"/>
      <c r="EIE208" s="2"/>
      <c r="EIF208" s="2"/>
      <c r="EIG208" s="2"/>
      <c r="EIH208" s="2"/>
      <c r="EII208" s="2"/>
      <c r="EIJ208" s="2"/>
      <c r="EIK208" s="2"/>
      <c r="EIL208" s="2"/>
      <c r="EIM208" s="2"/>
      <c r="EIN208" s="2"/>
      <c r="EIO208" s="2"/>
      <c r="EIP208" s="2"/>
      <c r="EIQ208" s="2"/>
      <c r="EIR208" s="2"/>
      <c r="EIS208" s="2"/>
      <c r="EIT208" s="2"/>
      <c r="EIU208" s="2"/>
      <c r="EIV208" s="2"/>
      <c r="EIW208" s="2"/>
      <c r="EIX208" s="2"/>
      <c r="EIY208" s="2"/>
      <c r="EIZ208" s="2"/>
      <c r="EJA208" s="2"/>
      <c r="EJB208" s="2"/>
      <c r="EJC208" s="2"/>
      <c r="EJD208" s="2"/>
      <c r="EJE208" s="2"/>
      <c r="EJF208" s="2"/>
      <c r="EJG208" s="2"/>
      <c r="EJH208" s="2"/>
      <c r="EJI208" s="2"/>
      <c r="EJJ208" s="2"/>
      <c r="EJK208" s="2"/>
      <c r="EJL208" s="2"/>
      <c r="EJM208" s="2"/>
      <c r="EJN208" s="2"/>
      <c r="EJO208" s="2"/>
      <c r="EJP208" s="2"/>
      <c r="EJQ208" s="2"/>
      <c r="EJR208" s="2"/>
      <c r="EJS208" s="2"/>
      <c r="EJT208" s="2"/>
      <c r="EJU208" s="2"/>
      <c r="EJV208" s="2"/>
      <c r="EJW208" s="2"/>
      <c r="EJX208" s="2"/>
      <c r="EJY208" s="2"/>
      <c r="EJZ208" s="2"/>
      <c r="EKA208" s="2"/>
      <c r="EKB208" s="2"/>
      <c r="EKC208" s="2"/>
      <c r="EKD208" s="2"/>
      <c r="EKE208" s="2"/>
      <c r="EKF208" s="2"/>
      <c r="EKG208" s="2"/>
      <c r="EKH208" s="2"/>
      <c r="EKI208" s="2"/>
      <c r="EKJ208" s="2"/>
      <c r="EKK208" s="2"/>
      <c r="EKL208" s="2"/>
      <c r="EKM208" s="2"/>
      <c r="EKN208" s="2"/>
      <c r="EKO208" s="2"/>
      <c r="EKP208" s="2"/>
      <c r="EKQ208" s="2"/>
      <c r="EKR208" s="2"/>
      <c r="EKS208" s="2"/>
      <c r="EKT208" s="2"/>
      <c r="EKU208" s="2"/>
      <c r="EKV208" s="2"/>
      <c r="EKW208" s="2"/>
      <c r="EKX208" s="2"/>
      <c r="EKY208" s="2"/>
      <c r="EKZ208" s="2"/>
      <c r="ELA208" s="2"/>
      <c r="ELB208" s="2"/>
      <c r="ELC208" s="2"/>
      <c r="ELD208" s="2"/>
      <c r="ELE208" s="2"/>
      <c r="ELF208" s="2"/>
      <c r="ELG208" s="2"/>
      <c r="ELH208" s="2"/>
      <c r="ELI208" s="2"/>
      <c r="ELJ208" s="2"/>
      <c r="ELK208" s="2"/>
      <c r="ELL208" s="2"/>
      <c r="ELM208" s="2"/>
      <c r="ELN208" s="2"/>
      <c r="ELO208" s="2"/>
      <c r="ELP208" s="2"/>
      <c r="ELQ208" s="2"/>
      <c r="ELR208" s="2"/>
      <c r="ELS208" s="2"/>
      <c r="ELT208" s="2"/>
      <c r="ELU208" s="2"/>
      <c r="ELV208" s="2"/>
      <c r="ELW208" s="2"/>
      <c r="ELX208" s="2"/>
      <c r="ELY208" s="2"/>
      <c r="ELZ208" s="2"/>
      <c r="EMA208" s="2"/>
      <c r="EMB208" s="2"/>
      <c r="EMC208" s="2"/>
      <c r="EMD208" s="2"/>
      <c r="EME208" s="2"/>
      <c r="EMF208" s="2"/>
      <c r="EMG208" s="2"/>
      <c r="EMH208" s="2"/>
      <c r="EMI208" s="2"/>
      <c r="EMJ208" s="2"/>
      <c r="EMK208" s="2"/>
      <c r="EML208" s="2"/>
      <c r="EMM208" s="2"/>
      <c r="EMN208" s="2"/>
      <c r="EMO208" s="2"/>
      <c r="EMP208" s="2"/>
      <c r="EMQ208" s="2"/>
      <c r="EMR208" s="2"/>
      <c r="EMS208" s="2"/>
      <c r="EMT208" s="2"/>
      <c r="EMU208" s="2"/>
      <c r="EMV208" s="2"/>
      <c r="EMW208" s="2"/>
      <c r="EMX208" s="2"/>
      <c r="EMY208" s="2"/>
      <c r="EMZ208" s="2"/>
      <c r="ENA208" s="2"/>
      <c r="ENB208" s="2"/>
      <c r="ENC208" s="2"/>
      <c r="END208" s="2"/>
      <c r="ENE208" s="2"/>
      <c r="ENF208" s="2"/>
      <c r="ENG208" s="2"/>
      <c r="ENH208" s="2"/>
      <c r="ENI208" s="2"/>
      <c r="ENJ208" s="2"/>
      <c r="ENK208" s="2"/>
      <c r="ENL208" s="2"/>
      <c r="ENM208" s="2"/>
      <c r="ENN208" s="2"/>
      <c r="ENO208" s="2"/>
      <c r="ENP208" s="2"/>
      <c r="ENQ208" s="2"/>
      <c r="ENR208" s="2"/>
      <c r="ENS208" s="2"/>
      <c r="ENT208" s="2"/>
      <c r="ENU208" s="2"/>
      <c r="ENV208" s="2"/>
      <c r="ENW208" s="2"/>
      <c r="ENX208" s="2"/>
      <c r="ENY208" s="2"/>
      <c r="ENZ208" s="2"/>
      <c r="EOA208" s="2"/>
      <c r="EOB208" s="2"/>
      <c r="EOC208" s="2"/>
      <c r="EOD208" s="2"/>
      <c r="EOE208" s="2"/>
      <c r="EOF208" s="2"/>
      <c r="EOG208" s="2"/>
      <c r="EOH208" s="2"/>
      <c r="EOI208" s="2"/>
      <c r="EOJ208" s="2"/>
      <c r="EOK208" s="2"/>
      <c r="EOL208" s="2"/>
      <c r="EOM208" s="2"/>
      <c r="EON208" s="2"/>
      <c r="EOO208" s="2"/>
      <c r="EOP208" s="2"/>
      <c r="EOQ208" s="2"/>
      <c r="EOR208" s="2"/>
      <c r="EOS208" s="2"/>
      <c r="EOT208" s="2"/>
      <c r="EOU208" s="2"/>
      <c r="EOV208" s="2"/>
      <c r="EOW208" s="2"/>
      <c r="EOX208" s="2"/>
      <c r="EOY208" s="2"/>
      <c r="EOZ208" s="2"/>
      <c r="EPA208" s="2"/>
      <c r="EPB208" s="2"/>
      <c r="EPC208" s="2"/>
      <c r="EPD208" s="2"/>
      <c r="EPE208" s="2"/>
      <c r="EPF208" s="2"/>
      <c r="EPG208" s="2"/>
      <c r="EPH208" s="2"/>
      <c r="EPI208" s="2"/>
      <c r="EPJ208" s="2"/>
      <c r="EPK208" s="2"/>
      <c r="EPL208" s="2"/>
      <c r="EPM208" s="2"/>
      <c r="EPN208" s="2"/>
      <c r="EPO208" s="2"/>
      <c r="EPP208" s="2"/>
      <c r="EPQ208" s="2"/>
      <c r="EPR208" s="2"/>
      <c r="EPS208" s="2"/>
      <c r="EPT208" s="2"/>
      <c r="EPU208" s="2"/>
      <c r="EPV208" s="2"/>
      <c r="EPW208" s="2"/>
      <c r="EPX208" s="2"/>
      <c r="EPY208" s="2"/>
      <c r="EPZ208" s="2"/>
      <c r="EQA208" s="2"/>
      <c r="EQB208" s="2"/>
      <c r="EQC208" s="2"/>
      <c r="EQD208" s="2"/>
      <c r="EQE208" s="2"/>
      <c r="EQF208" s="2"/>
      <c r="EQG208" s="2"/>
      <c r="EQH208" s="2"/>
      <c r="EQI208" s="2"/>
      <c r="EQJ208" s="2"/>
      <c r="EQK208" s="2"/>
      <c r="EQL208" s="2"/>
      <c r="EQM208" s="2"/>
      <c r="EQN208" s="2"/>
      <c r="EQO208" s="2"/>
      <c r="EQP208" s="2"/>
      <c r="EQQ208" s="2"/>
      <c r="EQR208" s="2"/>
      <c r="EQS208" s="2"/>
      <c r="EQT208" s="2"/>
      <c r="EQU208" s="2"/>
      <c r="EQV208" s="2"/>
      <c r="EQW208" s="2"/>
      <c r="EQX208" s="2"/>
      <c r="EQY208" s="2"/>
      <c r="EQZ208" s="2"/>
      <c r="ERA208" s="2"/>
      <c r="ERB208" s="2"/>
      <c r="ERC208" s="2"/>
      <c r="ERD208" s="2"/>
      <c r="ERE208" s="2"/>
      <c r="ERF208" s="2"/>
      <c r="ERG208" s="2"/>
      <c r="ERH208" s="2"/>
      <c r="ERI208" s="2"/>
      <c r="ERJ208" s="2"/>
      <c r="ERK208" s="2"/>
      <c r="ERL208" s="2"/>
      <c r="ERM208" s="2"/>
      <c r="ERN208" s="2"/>
      <c r="ERO208" s="2"/>
      <c r="ERP208" s="2"/>
      <c r="ERQ208" s="2"/>
      <c r="ERR208" s="2"/>
      <c r="ERS208" s="2"/>
      <c r="ERT208" s="2"/>
      <c r="ERU208" s="2"/>
      <c r="ERV208" s="2"/>
      <c r="ERW208" s="2"/>
      <c r="ERX208" s="2"/>
      <c r="ERY208" s="2"/>
      <c r="ERZ208" s="2"/>
      <c r="ESA208" s="2"/>
      <c r="ESB208" s="2"/>
      <c r="ESC208" s="2"/>
      <c r="ESD208" s="2"/>
      <c r="ESE208" s="2"/>
      <c r="ESF208" s="2"/>
      <c r="ESG208" s="2"/>
      <c r="ESH208" s="2"/>
      <c r="ESI208" s="2"/>
      <c r="ESJ208" s="2"/>
      <c r="ESK208" s="2"/>
      <c r="ESL208" s="2"/>
      <c r="ESM208" s="2"/>
      <c r="ESN208" s="2"/>
      <c r="ESO208" s="2"/>
      <c r="ESP208" s="2"/>
      <c r="ESQ208" s="2"/>
      <c r="ESR208" s="2"/>
      <c r="ESS208" s="2"/>
      <c r="EST208" s="2"/>
      <c r="ESU208" s="2"/>
      <c r="ESV208" s="2"/>
      <c r="ESW208" s="2"/>
      <c r="ESX208" s="2"/>
      <c r="ESY208" s="2"/>
      <c r="ESZ208" s="2"/>
      <c r="ETA208" s="2"/>
      <c r="ETB208" s="2"/>
      <c r="ETC208" s="2"/>
      <c r="ETD208" s="2"/>
      <c r="ETE208" s="2"/>
      <c r="ETF208" s="2"/>
      <c r="ETG208" s="2"/>
      <c r="ETH208" s="2"/>
      <c r="ETI208" s="2"/>
      <c r="ETJ208" s="2"/>
      <c r="ETK208" s="2"/>
      <c r="ETL208" s="2"/>
      <c r="ETM208" s="2"/>
      <c r="ETN208" s="2"/>
      <c r="ETO208" s="2"/>
      <c r="ETP208" s="2"/>
      <c r="ETQ208" s="2"/>
      <c r="ETR208" s="2"/>
      <c r="ETS208" s="2"/>
      <c r="ETT208" s="2"/>
      <c r="ETU208" s="2"/>
      <c r="ETV208" s="2"/>
      <c r="ETW208" s="2"/>
      <c r="ETX208" s="2"/>
      <c r="ETY208" s="2"/>
      <c r="ETZ208" s="2"/>
      <c r="EUA208" s="2"/>
      <c r="EUB208" s="2"/>
      <c r="EUC208" s="2"/>
      <c r="EUD208" s="2"/>
      <c r="EUE208" s="2"/>
      <c r="EUF208" s="2"/>
      <c r="EUG208" s="2"/>
      <c r="EUH208" s="2"/>
      <c r="EUI208" s="2"/>
      <c r="EUJ208" s="2"/>
      <c r="EUK208" s="2"/>
      <c r="EUL208" s="2"/>
      <c r="EUM208" s="2"/>
      <c r="EUN208" s="2"/>
      <c r="EUO208" s="2"/>
      <c r="EUP208" s="2"/>
      <c r="EUQ208" s="2"/>
      <c r="EUR208" s="2"/>
      <c r="EUS208" s="2"/>
      <c r="EUT208" s="2"/>
      <c r="EUU208" s="2"/>
      <c r="EUV208" s="2"/>
      <c r="EUW208" s="2"/>
      <c r="EUX208" s="2"/>
      <c r="EUY208" s="2"/>
      <c r="EUZ208" s="2"/>
      <c r="EVA208" s="2"/>
      <c r="EVB208" s="2"/>
      <c r="EVC208" s="2"/>
      <c r="EVD208" s="2"/>
      <c r="EVE208" s="2"/>
      <c r="EVF208" s="2"/>
      <c r="EVG208" s="2"/>
      <c r="EVH208" s="2"/>
      <c r="EVI208" s="2"/>
      <c r="EVJ208" s="2"/>
      <c r="EVK208" s="2"/>
      <c r="EVL208" s="2"/>
      <c r="EVM208" s="2"/>
      <c r="EVN208" s="2"/>
      <c r="EVO208" s="2"/>
      <c r="EVP208" s="2"/>
      <c r="EVQ208" s="2"/>
      <c r="EVR208" s="2"/>
      <c r="EVS208" s="2"/>
      <c r="EVT208" s="2"/>
      <c r="EVU208" s="2"/>
      <c r="EVV208" s="2"/>
      <c r="EVW208" s="2"/>
      <c r="EVX208" s="2"/>
      <c r="EVY208" s="2"/>
      <c r="EVZ208" s="2"/>
      <c r="EWA208" s="2"/>
      <c r="EWB208" s="2"/>
      <c r="EWC208" s="2"/>
      <c r="EWD208" s="2"/>
      <c r="EWE208" s="2"/>
      <c r="EWF208" s="2"/>
      <c r="EWG208" s="2"/>
      <c r="EWH208" s="2"/>
      <c r="EWI208" s="2"/>
      <c r="EWJ208" s="2"/>
      <c r="EWK208" s="2"/>
      <c r="EWL208" s="2"/>
      <c r="EWM208" s="2"/>
      <c r="EWN208" s="2"/>
      <c r="EWO208" s="2"/>
      <c r="EWP208" s="2"/>
      <c r="EWQ208" s="2"/>
      <c r="EWR208" s="2"/>
      <c r="EWS208" s="2"/>
      <c r="EWT208" s="2"/>
      <c r="EWU208" s="2"/>
      <c r="EWV208" s="2"/>
      <c r="EWW208" s="2"/>
      <c r="EWX208" s="2"/>
      <c r="EWY208" s="2"/>
      <c r="EWZ208" s="2"/>
      <c r="EXA208" s="2"/>
      <c r="EXB208" s="2"/>
      <c r="EXC208" s="2"/>
      <c r="EXD208" s="2"/>
      <c r="EXE208" s="2"/>
      <c r="EXF208" s="2"/>
      <c r="EXG208" s="2"/>
      <c r="EXH208" s="2"/>
      <c r="EXI208" s="2"/>
      <c r="EXJ208" s="2"/>
      <c r="EXK208" s="2"/>
      <c r="EXL208" s="2"/>
      <c r="EXM208" s="2"/>
      <c r="EXN208" s="2"/>
      <c r="EXO208" s="2"/>
      <c r="EXP208" s="2"/>
      <c r="EXQ208" s="2"/>
      <c r="EXR208" s="2"/>
      <c r="EXS208" s="2"/>
      <c r="EXT208" s="2"/>
      <c r="EXU208" s="2"/>
      <c r="EXV208" s="2"/>
      <c r="EXW208" s="2"/>
      <c r="EXX208" s="2"/>
      <c r="EXY208" s="2"/>
      <c r="EXZ208" s="2"/>
      <c r="EYA208" s="2"/>
      <c r="EYB208" s="2"/>
      <c r="EYC208" s="2"/>
      <c r="EYD208" s="2"/>
      <c r="EYE208" s="2"/>
      <c r="EYF208" s="2"/>
      <c r="EYG208" s="2"/>
      <c r="EYH208" s="2"/>
      <c r="EYI208" s="2"/>
      <c r="EYJ208" s="2"/>
      <c r="EYK208" s="2"/>
      <c r="EYL208" s="2"/>
      <c r="EYM208" s="2"/>
      <c r="EYN208" s="2"/>
      <c r="EYO208" s="2"/>
      <c r="EYP208" s="2"/>
      <c r="EYQ208" s="2"/>
      <c r="EYR208" s="2"/>
      <c r="EYS208" s="2"/>
      <c r="EYT208" s="2"/>
      <c r="EYU208" s="2"/>
      <c r="EYV208" s="2"/>
      <c r="EYW208" s="2"/>
      <c r="EYX208" s="2"/>
      <c r="EYY208" s="2"/>
      <c r="EYZ208" s="2"/>
      <c r="EZA208" s="2"/>
      <c r="EZB208" s="2"/>
      <c r="EZC208" s="2"/>
      <c r="EZD208" s="2"/>
      <c r="EZE208" s="2"/>
      <c r="EZF208" s="2"/>
      <c r="EZG208" s="2"/>
      <c r="EZH208" s="2"/>
      <c r="EZI208" s="2"/>
      <c r="EZJ208" s="2"/>
      <c r="EZK208" s="2"/>
      <c r="EZL208" s="2"/>
      <c r="EZM208" s="2"/>
      <c r="EZN208" s="2"/>
      <c r="EZO208" s="2"/>
      <c r="EZP208" s="2"/>
      <c r="EZQ208" s="2"/>
      <c r="EZR208" s="2"/>
      <c r="EZS208" s="2"/>
      <c r="EZT208" s="2"/>
      <c r="EZU208" s="2"/>
      <c r="EZV208" s="2"/>
      <c r="EZW208" s="2"/>
      <c r="EZX208" s="2"/>
      <c r="EZY208" s="2"/>
      <c r="EZZ208" s="2"/>
      <c r="FAA208" s="2"/>
      <c r="FAB208" s="2"/>
      <c r="FAC208" s="2"/>
      <c r="FAD208" s="2"/>
      <c r="FAE208" s="2"/>
      <c r="FAF208" s="2"/>
      <c r="FAG208" s="2"/>
      <c r="FAH208" s="2"/>
      <c r="FAI208" s="2"/>
      <c r="FAJ208" s="2"/>
      <c r="FAK208" s="2"/>
      <c r="FAL208" s="2"/>
      <c r="FAM208" s="2"/>
      <c r="FAN208" s="2"/>
      <c r="FAO208" s="2"/>
      <c r="FAP208" s="2"/>
      <c r="FAQ208" s="2"/>
      <c r="FAR208" s="2"/>
      <c r="FAS208" s="2"/>
      <c r="FAT208" s="2"/>
      <c r="FAU208" s="2"/>
      <c r="FAV208" s="2"/>
      <c r="FAW208" s="2"/>
      <c r="FAX208" s="2"/>
      <c r="FAY208" s="2"/>
      <c r="FAZ208" s="2"/>
      <c r="FBA208" s="2"/>
      <c r="FBB208" s="2"/>
      <c r="FBC208" s="2"/>
      <c r="FBD208" s="2"/>
      <c r="FBE208" s="2"/>
      <c r="FBF208" s="2"/>
      <c r="FBG208" s="2"/>
      <c r="FBH208" s="2"/>
      <c r="FBI208" s="2"/>
      <c r="FBJ208" s="2"/>
      <c r="FBK208" s="2"/>
      <c r="FBL208" s="2"/>
      <c r="FBM208" s="2"/>
      <c r="FBN208" s="2"/>
      <c r="FBO208" s="2"/>
      <c r="FBP208" s="2"/>
      <c r="FBQ208" s="2"/>
      <c r="FBR208" s="2"/>
      <c r="FBS208" s="2"/>
      <c r="FBT208" s="2"/>
      <c r="FBU208" s="2"/>
      <c r="FBV208" s="2"/>
      <c r="FBW208" s="2"/>
      <c r="FBX208" s="2"/>
      <c r="FBY208" s="2"/>
      <c r="FBZ208" s="2"/>
      <c r="FCA208" s="2"/>
      <c r="FCB208" s="2"/>
      <c r="FCC208" s="2"/>
      <c r="FCD208" s="2"/>
      <c r="FCE208" s="2"/>
      <c r="FCF208" s="2"/>
      <c r="FCG208" s="2"/>
      <c r="FCH208" s="2"/>
      <c r="FCI208" s="2"/>
      <c r="FCJ208" s="2"/>
      <c r="FCK208" s="2"/>
      <c r="FCL208" s="2"/>
      <c r="FCM208" s="2"/>
      <c r="FCN208" s="2"/>
      <c r="FCO208" s="2"/>
      <c r="FCP208" s="2"/>
      <c r="FCQ208" s="2"/>
      <c r="FCR208" s="2"/>
      <c r="FCS208" s="2"/>
      <c r="FCT208" s="2"/>
      <c r="FCU208" s="2"/>
      <c r="FCV208" s="2"/>
      <c r="FCW208" s="2"/>
      <c r="FCX208" s="2"/>
      <c r="FCY208" s="2"/>
      <c r="FCZ208" s="2"/>
      <c r="FDA208" s="2"/>
      <c r="FDB208" s="2"/>
      <c r="FDC208" s="2"/>
      <c r="FDD208" s="2"/>
      <c r="FDE208" s="2"/>
      <c r="FDF208" s="2"/>
      <c r="FDG208" s="2"/>
      <c r="FDH208" s="2"/>
      <c r="FDI208" s="2"/>
      <c r="FDJ208" s="2"/>
      <c r="FDK208" s="2"/>
      <c r="FDL208" s="2"/>
      <c r="FDM208" s="2"/>
      <c r="FDN208" s="2"/>
      <c r="FDO208" s="2"/>
      <c r="FDP208" s="2"/>
      <c r="FDQ208" s="2"/>
      <c r="FDR208" s="2"/>
      <c r="FDS208" s="2"/>
      <c r="FDT208" s="2"/>
      <c r="FDU208" s="2"/>
      <c r="FDV208" s="2"/>
      <c r="FDW208" s="2"/>
      <c r="FDX208" s="2"/>
      <c r="FDY208" s="2"/>
      <c r="FDZ208" s="2"/>
      <c r="FEA208" s="2"/>
      <c r="FEB208" s="2"/>
      <c r="FEC208" s="2"/>
      <c r="FED208" s="2"/>
      <c r="FEE208" s="2"/>
      <c r="FEF208" s="2"/>
      <c r="FEG208" s="2"/>
      <c r="FEH208" s="2"/>
      <c r="FEI208" s="2"/>
      <c r="FEJ208" s="2"/>
      <c r="FEK208" s="2"/>
      <c r="FEL208" s="2"/>
      <c r="FEM208" s="2"/>
      <c r="FEN208" s="2"/>
      <c r="FEO208" s="2"/>
      <c r="FEP208" s="2"/>
      <c r="FEQ208" s="2"/>
      <c r="FER208" s="2"/>
      <c r="FES208" s="2"/>
      <c r="FET208" s="2"/>
      <c r="FEU208" s="2"/>
      <c r="FEV208" s="2"/>
      <c r="FEW208" s="2"/>
      <c r="FEX208" s="2"/>
      <c r="FEY208" s="2"/>
      <c r="FEZ208" s="2"/>
      <c r="FFA208" s="2"/>
      <c r="FFB208" s="2"/>
      <c r="FFC208" s="2"/>
      <c r="FFD208" s="2"/>
      <c r="FFE208" s="2"/>
      <c r="FFF208" s="2"/>
      <c r="FFG208" s="2"/>
      <c r="FFH208" s="2"/>
      <c r="FFI208" s="2"/>
      <c r="FFJ208" s="2"/>
      <c r="FFK208" s="2"/>
      <c r="FFL208" s="2"/>
      <c r="FFM208" s="2"/>
      <c r="FFN208" s="2"/>
      <c r="FFO208" s="2"/>
      <c r="FFP208" s="2"/>
      <c r="FFQ208" s="2"/>
      <c r="FFR208" s="2"/>
      <c r="FFS208" s="2"/>
      <c r="FFT208" s="2"/>
      <c r="FFU208" s="2"/>
      <c r="FFV208" s="2"/>
      <c r="FFW208" s="2"/>
      <c r="FFX208" s="2"/>
      <c r="FFY208" s="2"/>
      <c r="FFZ208" s="2"/>
      <c r="FGA208" s="2"/>
      <c r="FGB208" s="2"/>
      <c r="FGC208" s="2"/>
      <c r="FGD208" s="2"/>
      <c r="FGE208" s="2"/>
      <c r="FGF208" s="2"/>
      <c r="FGG208" s="2"/>
      <c r="FGH208" s="2"/>
      <c r="FGI208" s="2"/>
      <c r="FGJ208" s="2"/>
      <c r="FGK208" s="2"/>
      <c r="FGL208" s="2"/>
      <c r="FGM208" s="2"/>
      <c r="FGN208" s="2"/>
      <c r="FGO208" s="2"/>
      <c r="FGP208" s="2"/>
      <c r="FGQ208" s="2"/>
      <c r="FGR208" s="2"/>
      <c r="FGS208" s="2"/>
      <c r="FGT208" s="2"/>
      <c r="FGU208" s="2"/>
      <c r="FGV208" s="2"/>
      <c r="FGW208" s="2"/>
      <c r="FGX208" s="2"/>
      <c r="FGY208" s="2"/>
      <c r="FGZ208" s="2"/>
      <c r="FHA208" s="2"/>
      <c r="FHB208" s="2"/>
      <c r="FHC208" s="2"/>
      <c r="FHD208" s="2"/>
      <c r="FHE208" s="2"/>
      <c r="FHF208" s="2"/>
      <c r="FHG208" s="2"/>
      <c r="FHH208" s="2"/>
      <c r="FHI208" s="2"/>
      <c r="FHJ208" s="2"/>
      <c r="FHK208" s="2"/>
      <c r="FHL208" s="2"/>
      <c r="FHM208" s="2"/>
      <c r="FHN208" s="2"/>
      <c r="FHO208" s="2"/>
      <c r="FHP208" s="2"/>
      <c r="FHQ208" s="2"/>
      <c r="FHR208" s="2"/>
      <c r="FHS208" s="2"/>
      <c r="FHT208" s="2"/>
      <c r="FHU208" s="2"/>
      <c r="FHV208" s="2"/>
      <c r="FHW208" s="2"/>
      <c r="FHX208" s="2"/>
      <c r="FHY208" s="2"/>
      <c r="FHZ208" s="2"/>
      <c r="FIA208" s="2"/>
      <c r="FIB208" s="2"/>
      <c r="FIC208" s="2"/>
      <c r="FID208" s="2"/>
      <c r="FIE208" s="2"/>
      <c r="FIF208" s="2"/>
      <c r="FIG208" s="2"/>
      <c r="FIH208" s="2"/>
      <c r="FII208" s="2"/>
      <c r="FIJ208" s="2"/>
      <c r="FIK208" s="2"/>
      <c r="FIL208" s="2"/>
      <c r="FIM208" s="2"/>
      <c r="FIN208" s="2"/>
      <c r="FIO208" s="2"/>
      <c r="FIP208" s="2"/>
      <c r="FIQ208" s="2"/>
      <c r="FIR208" s="2"/>
      <c r="FIS208" s="2"/>
      <c r="FIT208" s="2"/>
      <c r="FIU208" s="2"/>
      <c r="FIV208" s="2"/>
      <c r="FIW208" s="2"/>
      <c r="FIX208" s="2"/>
      <c r="FIY208" s="2"/>
      <c r="FIZ208" s="2"/>
      <c r="FJA208" s="2"/>
      <c r="FJB208" s="2"/>
      <c r="FJC208" s="2"/>
      <c r="FJD208" s="2"/>
      <c r="FJE208" s="2"/>
      <c r="FJF208" s="2"/>
      <c r="FJG208" s="2"/>
      <c r="FJH208" s="2"/>
      <c r="FJI208" s="2"/>
      <c r="FJJ208" s="2"/>
      <c r="FJK208" s="2"/>
      <c r="FJL208" s="2"/>
      <c r="FJM208" s="2"/>
      <c r="FJN208" s="2"/>
      <c r="FJO208" s="2"/>
      <c r="FJP208" s="2"/>
      <c r="FJQ208" s="2"/>
      <c r="FJR208" s="2"/>
      <c r="FJS208" s="2"/>
      <c r="FJT208" s="2"/>
      <c r="FJU208" s="2"/>
      <c r="FJV208" s="2"/>
      <c r="FJW208" s="2"/>
      <c r="FJX208" s="2"/>
      <c r="FJY208" s="2"/>
      <c r="FJZ208" s="2"/>
      <c r="FKA208" s="2"/>
      <c r="FKB208" s="2"/>
      <c r="FKC208" s="2"/>
      <c r="FKD208" s="2"/>
      <c r="FKE208" s="2"/>
      <c r="FKF208" s="2"/>
      <c r="FKG208" s="2"/>
      <c r="FKH208" s="2"/>
      <c r="FKI208" s="2"/>
      <c r="FKJ208" s="2"/>
      <c r="FKK208" s="2"/>
      <c r="FKL208" s="2"/>
      <c r="FKM208" s="2"/>
      <c r="FKN208" s="2"/>
      <c r="FKO208" s="2"/>
      <c r="FKP208" s="2"/>
      <c r="FKQ208" s="2"/>
      <c r="FKR208" s="2"/>
      <c r="FKS208" s="2"/>
      <c r="FKT208" s="2"/>
      <c r="FKU208" s="2"/>
      <c r="FKV208" s="2"/>
      <c r="FKW208" s="2"/>
      <c r="FKX208" s="2"/>
      <c r="FKY208" s="2"/>
      <c r="FKZ208" s="2"/>
      <c r="FLA208" s="2"/>
      <c r="FLB208" s="2"/>
      <c r="FLC208" s="2"/>
      <c r="FLD208" s="2"/>
      <c r="FLE208" s="2"/>
      <c r="FLF208" s="2"/>
      <c r="FLG208" s="2"/>
      <c r="FLH208" s="2"/>
      <c r="FLI208" s="2"/>
      <c r="FLJ208" s="2"/>
      <c r="FLK208" s="2"/>
      <c r="FLL208" s="2"/>
      <c r="FLM208" s="2"/>
      <c r="FLN208" s="2"/>
      <c r="FLO208" s="2"/>
      <c r="FLP208" s="2"/>
      <c r="FLQ208" s="2"/>
      <c r="FLR208" s="2"/>
      <c r="FLS208" s="2"/>
      <c r="FLT208" s="2"/>
      <c r="FLU208" s="2"/>
      <c r="FLV208" s="2"/>
      <c r="FLW208" s="2"/>
      <c r="FLX208" s="2"/>
      <c r="FLY208" s="2"/>
      <c r="FLZ208" s="2"/>
      <c r="FMA208" s="2"/>
      <c r="FMB208" s="2"/>
      <c r="FMC208" s="2"/>
      <c r="FMD208" s="2"/>
      <c r="FME208" s="2"/>
      <c r="FMF208" s="2"/>
      <c r="FMG208" s="2"/>
      <c r="FMH208" s="2"/>
      <c r="FMI208" s="2"/>
      <c r="FMJ208" s="2"/>
      <c r="FMK208" s="2"/>
      <c r="FML208" s="2"/>
      <c r="FMM208" s="2"/>
      <c r="FMN208" s="2"/>
      <c r="FMO208" s="2"/>
      <c r="FMP208" s="2"/>
      <c r="FMQ208" s="2"/>
      <c r="FMR208" s="2"/>
      <c r="FMS208" s="2"/>
      <c r="FMT208" s="2"/>
      <c r="FMU208" s="2"/>
      <c r="FMV208" s="2"/>
      <c r="FMW208" s="2"/>
      <c r="FMX208" s="2"/>
      <c r="FMY208" s="2"/>
      <c r="FMZ208" s="2"/>
      <c r="FNA208" s="2"/>
      <c r="FNB208" s="2"/>
      <c r="FNC208" s="2"/>
      <c r="FND208" s="2"/>
      <c r="FNE208" s="2"/>
      <c r="FNF208" s="2"/>
      <c r="FNG208" s="2"/>
      <c r="FNH208" s="2"/>
      <c r="FNI208" s="2"/>
      <c r="FNJ208" s="2"/>
      <c r="FNK208" s="2"/>
      <c r="FNL208" s="2"/>
      <c r="FNM208" s="2"/>
      <c r="FNN208" s="2"/>
      <c r="FNO208" s="2"/>
      <c r="FNP208" s="2"/>
      <c r="FNQ208" s="2"/>
      <c r="FNR208" s="2"/>
      <c r="FNS208" s="2"/>
      <c r="FNT208" s="2"/>
      <c r="FNU208" s="2"/>
      <c r="FNV208" s="2"/>
      <c r="FNW208" s="2"/>
      <c r="FNX208" s="2"/>
      <c r="FNY208" s="2"/>
      <c r="FNZ208" s="2"/>
      <c r="FOA208" s="2"/>
      <c r="FOB208" s="2"/>
      <c r="FOC208" s="2"/>
      <c r="FOD208" s="2"/>
      <c r="FOE208" s="2"/>
      <c r="FOF208" s="2"/>
      <c r="FOG208" s="2"/>
      <c r="FOH208" s="2"/>
      <c r="FOI208" s="2"/>
      <c r="FOJ208" s="2"/>
      <c r="FOK208" s="2"/>
      <c r="FOL208" s="2"/>
      <c r="FOM208" s="2"/>
      <c r="FON208" s="2"/>
      <c r="FOO208" s="2"/>
      <c r="FOP208" s="2"/>
      <c r="FOQ208" s="2"/>
      <c r="FOR208" s="2"/>
      <c r="FOS208" s="2"/>
      <c r="FOT208" s="2"/>
      <c r="FOU208" s="2"/>
      <c r="FOV208" s="2"/>
      <c r="FOW208" s="2"/>
      <c r="FOX208" s="2"/>
      <c r="FOY208" s="2"/>
      <c r="FOZ208" s="2"/>
      <c r="FPA208" s="2"/>
      <c r="FPB208" s="2"/>
      <c r="FPC208" s="2"/>
      <c r="FPD208" s="2"/>
      <c r="FPE208" s="2"/>
      <c r="FPF208" s="2"/>
      <c r="FPG208" s="2"/>
      <c r="FPH208" s="2"/>
      <c r="FPI208" s="2"/>
      <c r="FPJ208" s="2"/>
      <c r="FPK208" s="2"/>
      <c r="FPL208" s="2"/>
      <c r="FPM208" s="2"/>
      <c r="FPN208" s="2"/>
      <c r="FPO208" s="2"/>
      <c r="FPP208" s="2"/>
      <c r="FPQ208" s="2"/>
      <c r="FPR208" s="2"/>
      <c r="FPS208" s="2"/>
      <c r="FPT208" s="2"/>
      <c r="FPU208" s="2"/>
      <c r="FPV208" s="2"/>
      <c r="FPW208" s="2"/>
      <c r="FPX208" s="2"/>
      <c r="FPY208" s="2"/>
      <c r="FPZ208" s="2"/>
      <c r="FQA208" s="2"/>
      <c r="FQB208" s="2"/>
      <c r="FQC208" s="2"/>
      <c r="FQD208" s="2"/>
      <c r="FQE208" s="2"/>
      <c r="FQF208" s="2"/>
      <c r="FQG208" s="2"/>
      <c r="FQH208" s="2"/>
      <c r="FQI208" s="2"/>
      <c r="FQJ208" s="2"/>
      <c r="FQK208" s="2"/>
      <c r="FQL208" s="2"/>
      <c r="FQM208" s="2"/>
      <c r="FQN208" s="2"/>
      <c r="FQO208" s="2"/>
      <c r="FQP208" s="2"/>
      <c r="FQQ208" s="2"/>
      <c r="FQR208" s="2"/>
      <c r="FQS208" s="2"/>
      <c r="FQT208" s="2"/>
      <c r="FQU208" s="2"/>
      <c r="FQV208" s="2"/>
      <c r="FQW208" s="2"/>
      <c r="FQX208" s="2"/>
      <c r="FQY208" s="2"/>
      <c r="FQZ208" s="2"/>
      <c r="FRA208" s="2"/>
      <c r="FRB208" s="2"/>
      <c r="FRC208" s="2"/>
      <c r="FRD208" s="2"/>
      <c r="FRE208" s="2"/>
      <c r="FRF208" s="2"/>
      <c r="FRG208" s="2"/>
      <c r="FRH208" s="2"/>
      <c r="FRI208" s="2"/>
      <c r="FRJ208" s="2"/>
      <c r="FRK208" s="2"/>
      <c r="FRL208" s="2"/>
      <c r="FRM208" s="2"/>
      <c r="FRN208" s="2"/>
      <c r="FRO208" s="2"/>
      <c r="FRP208" s="2"/>
      <c r="FRQ208" s="2"/>
      <c r="FRR208" s="2"/>
      <c r="FRS208" s="2"/>
      <c r="FRT208" s="2"/>
      <c r="FRU208" s="2"/>
      <c r="FRV208" s="2"/>
      <c r="FRW208" s="2"/>
      <c r="FRX208" s="2"/>
      <c r="FRY208" s="2"/>
      <c r="FRZ208" s="2"/>
      <c r="FSA208" s="2"/>
      <c r="FSB208" s="2"/>
      <c r="FSC208" s="2"/>
      <c r="FSD208" s="2"/>
      <c r="FSE208" s="2"/>
      <c r="FSF208" s="2"/>
      <c r="FSG208" s="2"/>
      <c r="FSH208" s="2"/>
      <c r="FSI208" s="2"/>
      <c r="FSJ208" s="2"/>
      <c r="FSK208" s="2"/>
      <c r="FSL208" s="2"/>
      <c r="FSM208" s="2"/>
      <c r="FSN208" s="2"/>
      <c r="FSO208" s="2"/>
      <c r="FSP208" s="2"/>
      <c r="FSQ208" s="2"/>
      <c r="FSR208" s="2"/>
      <c r="FSS208" s="2"/>
      <c r="FST208" s="2"/>
      <c r="FSU208" s="2"/>
      <c r="FSV208" s="2"/>
      <c r="FSW208" s="2"/>
      <c r="FSX208" s="2"/>
      <c r="FSY208" s="2"/>
      <c r="FSZ208" s="2"/>
      <c r="FTA208" s="2"/>
      <c r="FTB208" s="2"/>
      <c r="FTC208" s="2"/>
      <c r="FTD208" s="2"/>
      <c r="FTE208" s="2"/>
      <c r="FTF208" s="2"/>
      <c r="FTG208" s="2"/>
      <c r="FTH208" s="2"/>
      <c r="FTI208" s="2"/>
      <c r="FTJ208" s="2"/>
      <c r="FTK208" s="2"/>
      <c r="FTL208" s="2"/>
      <c r="FTM208" s="2"/>
      <c r="FTN208" s="2"/>
      <c r="FTO208" s="2"/>
      <c r="FTP208" s="2"/>
      <c r="FTQ208" s="2"/>
      <c r="FTR208" s="2"/>
      <c r="FTS208" s="2"/>
      <c r="FTT208" s="2"/>
      <c r="FTU208" s="2"/>
      <c r="FTV208" s="2"/>
      <c r="FTW208" s="2"/>
      <c r="FTX208" s="2"/>
      <c r="FTY208" s="2"/>
      <c r="FTZ208" s="2"/>
      <c r="FUA208" s="2"/>
      <c r="FUB208" s="2"/>
      <c r="FUC208" s="2"/>
      <c r="FUD208" s="2"/>
      <c r="FUE208" s="2"/>
      <c r="FUF208" s="2"/>
      <c r="FUG208" s="2"/>
      <c r="FUH208" s="2"/>
      <c r="FUI208" s="2"/>
      <c r="FUJ208" s="2"/>
      <c r="FUK208" s="2"/>
      <c r="FUL208" s="2"/>
      <c r="FUM208" s="2"/>
      <c r="FUN208" s="2"/>
      <c r="FUO208" s="2"/>
      <c r="FUP208" s="2"/>
      <c r="FUQ208" s="2"/>
      <c r="FUR208" s="2"/>
      <c r="FUS208" s="2"/>
      <c r="FUT208" s="2"/>
      <c r="FUU208" s="2"/>
      <c r="FUV208" s="2"/>
      <c r="FUW208" s="2"/>
      <c r="FUX208" s="2"/>
      <c r="FUY208" s="2"/>
      <c r="FUZ208" s="2"/>
      <c r="FVA208" s="2"/>
      <c r="FVB208" s="2"/>
      <c r="FVC208" s="2"/>
      <c r="FVD208" s="2"/>
      <c r="FVE208" s="2"/>
      <c r="FVF208" s="2"/>
      <c r="FVG208" s="2"/>
      <c r="FVH208" s="2"/>
      <c r="FVI208" s="2"/>
      <c r="FVJ208" s="2"/>
      <c r="FVK208" s="2"/>
      <c r="FVL208" s="2"/>
      <c r="FVM208" s="2"/>
      <c r="FVN208" s="2"/>
      <c r="FVO208" s="2"/>
      <c r="FVP208" s="2"/>
      <c r="FVQ208" s="2"/>
      <c r="FVR208" s="2"/>
      <c r="FVS208" s="2"/>
      <c r="FVT208" s="2"/>
      <c r="FVU208" s="2"/>
      <c r="FVV208" s="2"/>
      <c r="FVW208" s="2"/>
      <c r="FVX208" s="2"/>
      <c r="FVY208" s="2"/>
      <c r="FVZ208" s="2"/>
      <c r="FWA208" s="2"/>
      <c r="FWB208" s="2"/>
      <c r="FWC208" s="2"/>
      <c r="FWD208" s="2"/>
      <c r="FWE208" s="2"/>
      <c r="FWF208" s="2"/>
      <c r="FWG208" s="2"/>
      <c r="FWH208" s="2"/>
      <c r="FWI208" s="2"/>
      <c r="FWJ208" s="2"/>
      <c r="FWK208" s="2"/>
      <c r="FWL208" s="2"/>
      <c r="FWM208" s="2"/>
      <c r="FWN208" s="2"/>
      <c r="FWO208" s="2"/>
      <c r="FWP208" s="2"/>
      <c r="FWQ208" s="2"/>
      <c r="FWR208" s="2"/>
      <c r="FWS208" s="2"/>
      <c r="FWT208" s="2"/>
      <c r="FWU208" s="2"/>
      <c r="FWV208" s="2"/>
      <c r="FWW208" s="2"/>
      <c r="FWX208" s="2"/>
      <c r="FWY208" s="2"/>
      <c r="FWZ208" s="2"/>
      <c r="FXA208" s="2"/>
      <c r="FXB208" s="2"/>
      <c r="FXC208" s="2"/>
      <c r="FXD208" s="2"/>
      <c r="FXE208" s="2"/>
      <c r="FXF208" s="2"/>
      <c r="FXG208" s="2"/>
      <c r="FXH208" s="2"/>
      <c r="FXI208" s="2"/>
      <c r="FXJ208" s="2"/>
      <c r="FXK208" s="2"/>
      <c r="FXL208" s="2"/>
      <c r="FXM208" s="2"/>
      <c r="FXN208" s="2"/>
      <c r="FXO208" s="2"/>
      <c r="FXP208" s="2"/>
      <c r="FXQ208" s="2"/>
      <c r="FXR208" s="2"/>
      <c r="FXS208" s="2"/>
      <c r="FXT208" s="2"/>
      <c r="FXU208" s="2"/>
      <c r="FXV208" s="2"/>
      <c r="FXW208" s="2"/>
      <c r="FXX208" s="2"/>
      <c r="FXY208" s="2"/>
      <c r="FXZ208" s="2"/>
      <c r="FYA208" s="2"/>
      <c r="FYB208" s="2"/>
      <c r="FYC208" s="2"/>
      <c r="FYD208" s="2"/>
      <c r="FYE208" s="2"/>
      <c r="FYF208" s="2"/>
      <c r="FYG208" s="2"/>
      <c r="FYH208" s="2"/>
      <c r="FYI208" s="2"/>
      <c r="FYJ208" s="2"/>
      <c r="FYK208" s="2"/>
      <c r="FYL208" s="2"/>
      <c r="FYM208" s="2"/>
      <c r="FYN208" s="2"/>
      <c r="FYO208" s="2"/>
      <c r="FYP208" s="2"/>
      <c r="FYQ208" s="2"/>
      <c r="FYR208" s="2"/>
      <c r="FYS208" s="2"/>
      <c r="FYT208" s="2"/>
      <c r="FYU208" s="2"/>
      <c r="FYV208" s="2"/>
      <c r="FYW208" s="2"/>
      <c r="FYX208" s="2"/>
      <c r="FYY208" s="2"/>
      <c r="FYZ208" s="2"/>
      <c r="FZA208" s="2"/>
      <c r="FZB208" s="2"/>
      <c r="FZC208" s="2"/>
      <c r="FZD208" s="2"/>
      <c r="FZE208" s="2"/>
      <c r="FZF208" s="2"/>
      <c r="FZG208" s="2"/>
      <c r="FZH208" s="2"/>
      <c r="FZI208" s="2"/>
      <c r="FZJ208" s="2"/>
      <c r="FZK208" s="2"/>
      <c r="FZL208" s="2"/>
      <c r="FZM208" s="2"/>
      <c r="FZN208" s="2"/>
      <c r="FZO208" s="2"/>
      <c r="FZP208" s="2"/>
      <c r="FZQ208" s="2"/>
      <c r="FZR208" s="2"/>
      <c r="FZS208" s="2"/>
      <c r="FZT208" s="2"/>
      <c r="FZU208" s="2"/>
      <c r="FZV208" s="2"/>
      <c r="FZW208" s="2"/>
      <c r="FZX208" s="2"/>
      <c r="FZY208" s="2"/>
      <c r="FZZ208" s="2"/>
      <c r="GAA208" s="2"/>
      <c r="GAB208" s="2"/>
      <c r="GAC208" s="2"/>
      <c r="GAD208" s="2"/>
      <c r="GAE208" s="2"/>
      <c r="GAF208" s="2"/>
      <c r="GAG208" s="2"/>
      <c r="GAH208" s="2"/>
      <c r="GAI208" s="2"/>
      <c r="GAJ208" s="2"/>
      <c r="GAK208" s="2"/>
      <c r="GAL208" s="2"/>
      <c r="GAM208" s="2"/>
      <c r="GAN208" s="2"/>
      <c r="GAO208" s="2"/>
      <c r="GAP208" s="2"/>
      <c r="GAQ208" s="2"/>
      <c r="GAR208" s="2"/>
      <c r="GAS208" s="2"/>
      <c r="GAT208" s="2"/>
      <c r="GAU208" s="2"/>
      <c r="GAV208" s="2"/>
      <c r="GAW208" s="2"/>
      <c r="GAX208" s="2"/>
      <c r="GAY208" s="2"/>
      <c r="GAZ208" s="2"/>
      <c r="GBA208" s="2"/>
      <c r="GBB208" s="2"/>
      <c r="GBC208" s="2"/>
      <c r="GBD208" s="2"/>
      <c r="GBE208" s="2"/>
      <c r="GBF208" s="2"/>
      <c r="GBG208" s="2"/>
      <c r="GBH208" s="2"/>
      <c r="GBI208" s="2"/>
      <c r="GBJ208" s="2"/>
      <c r="GBK208" s="2"/>
      <c r="GBL208" s="2"/>
      <c r="GBM208" s="2"/>
      <c r="GBN208" s="2"/>
      <c r="GBO208" s="2"/>
      <c r="GBP208" s="2"/>
      <c r="GBQ208" s="2"/>
      <c r="GBR208" s="2"/>
      <c r="GBS208" s="2"/>
      <c r="GBT208" s="2"/>
      <c r="GBU208" s="2"/>
      <c r="GBV208" s="2"/>
      <c r="GBW208" s="2"/>
      <c r="GBX208" s="2"/>
      <c r="GBY208" s="2"/>
      <c r="GBZ208" s="2"/>
      <c r="GCA208" s="2"/>
      <c r="GCB208" s="2"/>
      <c r="GCC208" s="2"/>
      <c r="GCD208" s="2"/>
      <c r="GCE208" s="2"/>
      <c r="GCF208" s="2"/>
      <c r="GCG208" s="2"/>
      <c r="GCH208" s="2"/>
      <c r="GCI208" s="2"/>
      <c r="GCJ208" s="2"/>
      <c r="GCK208" s="2"/>
      <c r="GCL208" s="2"/>
      <c r="GCM208" s="2"/>
      <c r="GCN208" s="2"/>
      <c r="GCO208" s="2"/>
      <c r="GCP208" s="2"/>
      <c r="GCQ208" s="2"/>
      <c r="GCR208" s="2"/>
      <c r="GCS208" s="2"/>
      <c r="GCT208" s="2"/>
      <c r="GCU208" s="2"/>
      <c r="GCV208" s="2"/>
      <c r="GCW208" s="2"/>
      <c r="GCX208" s="2"/>
      <c r="GCY208" s="2"/>
      <c r="GCZ208" s="2"/>
      <c r="GDA208" s="2"/>
      <c r="GDB208" s="2"/>
      <c r="GDC208" s="2"/>
      <c r="GDD208" s="2"/>
      <c r="GDE208" s="2"/>
      <c r="GDF208" s="2"/>
      <c r="GDG208" s="2"/>
      <c r="GDH208" s="2"/>
      <c r="GDI208" s="2"/>
      <c r="GDJ208" s="2"/>
      <c r="GDK208" s="2"/>
      <c r="GDL208" s="2"/>
      <c r="GDM208" s="2"/>
      <c r="GDN208" s="2"/>
      <c r="GDO208" s="2"/>
      <c r="GDP208" s="2"/>
      <c r="GDQ208" s="2"/>
      <c r="GDR208" s="2"/>
      <c r="GDS208" s="2"/>
      <c r="GDT208" s="2"/>
      <c r="GDU208" s="2"/>
      <c r="GDV208" s="2"/>
      <c r="GDW208" s="2"/>
      <c r="GDX208" s="2"/>
      <c r="GDY208" s="2"/>
      <c r="GDZ208" s="2"/>
      <c r="GEA208" s="2"/>
      <c r="GEB208" s="2"/>
      <c r="GEC208" s="2"/>
      <c r="GED208" s="2"/>
      <c r="GEE208" s="2"/>
      <c r="GEF208" s="2"/>
      <c r="GEG208" s="2"/>
      <c r="GEH208" s="2"/>
      <c r="GEI208" s="2"/>
      <c r="GEJ208" s="2"/>
      <c r="GEK208" s="2"/>
      <c r="GEL208" s="2"/>
      <c r="GEM208" s="2"/>
      <c r="GEN208" s="2"/>
      <c r="GEO208" s="2"/>
      <c r="GEP208" s="2"/>
      <c r="GEQ208" s="2"/>
      <c r="GER208" s="2"/>
      <c r="GES208" s="2"/>
      <c r="GET208" s="2"/>
      <c r="GEU208" s="2"/>
      <c r="GEV208" s="2"/>
      <c r="GEW208" s="2"/>
      <c r="GEX208" s="2"/>
      <c r="GEY208" s="2"/>
      <c r="GEZ208" s="2"/>
      <c r="GFA208" s="2"/>
      <c r="GFB208" s="2"/>
      <c r="GFC208" s="2"/>
      <c r="GFD208" s="2"/>
      <c r="GFE208" s="2"/>
      <c r="GFF208" s="2"/>
      <c r="GFG208" s="2"/>
      <c r="GFH208" s="2"/>
      <c r="GFI208" s="2"/>
      <c r="GFJ208" s="2"/>
      <c r="GFK208" s="2"/>
      <c r="GFL208" s="2"/>
      <c r="GFM208" s="2"/>
      <c r="GFN208" s="2"/>
      <c r="GFO208" s="2"/>
      <c r="GFP208" s="2"/>
      <c r="GFQ208" s="2"/>
      <c r="GFR208" s="2"/>
      <c r="GFS208" s="2"/>
      <c r="GFT208" s="2"/>
      <c r="GFU208" s="2"/>
      <c r="GFV208" s="2"/>
      <c r="GFW208" s="2"/>
      <c r="GFX208" s="2"/>
      <c r="GFY208" s="2"/>
      <c r="GFZ208" s="2"/>
      <c r="GGA208" s="2"/>
      <c r="GGB208" s="2"/>
      <c r="GGC208" s="2"/>
      <c r="GGD208" s="2"/>
      <c r="GGE208" s="2"/>
      <c r="GGF208" s="2"/>
      <c r="GGG208" s="2"/>
      <c r="GGH208" s="2"/>
      <c r="GGI208" s="2"/>
      <c r="GGJ208" s="2"/>
      <c r="GGK208" s="2"/>
      <c r="GGL208" s="2"/>
      <c r="GGM208" s="2"/>
      <c r="GGN208" s="2"/>
      <c r="GGO208" s="2"/>
      <c r="GGP208" s="2"/>
      <c r="GGQ208" s="2"/>
      <c r="GGR208" s="2"/>
      <c r="GGS208" s="2"/>
      <c r="GGT208" s="2"/>
      <c r="GGU208" s="2"/>
      <c r="GGV208" s="2"/>
      <c r="GGW208" s="2"/>
      <c r="GGX208" s="2"/>
      <c r="GGY208" s="2"/>
      <c r="GGZ208" s="2"/>
      <c r="GHA208" s="2"/>
      <c r="GHB208" s="2"/>
      <c r="GHC208" s="2"/>
      <c r="GHD208" s="2"/>
      <c r="GHE208" s="2"/>
      <c r="GHF208" s="2"/>
      <c r="GHG208" s="2"/>
      <c r="GHH208" s="2"/>
      <c r="GHI208" s="2"/>
      <c r="GHJ208" s="2"/>
      <c r="GHK208" s="2"/>
      <c r="GHL208" s="2"/>
      <c r="GHM208" s="2"/>
      <c r="GHN208" s="2"/>
      <c r="GHO208" s="2"/>
      <c r="GHP208" s="2"/>
      <c r="GHQ208" s="2"/>
      <c r="GHR208" s="2"/>
      <c r="GHS208" s="2"/>
      <c r="GHT208" s="2"/>
      <c r="GHU208" s="2"/>
      <c r="GHV208" s="2"/>
      <c r="GHW208" s="2"/>
      <c r="GHX208" s="2"/>
      <c r="GHY208" s="2"/>
      <c r="GHZ208" s="2"/>
      <c r="GIA208" s="2"/>
      <c r="GIB208" s="2"/>
      <c r="GIC208" s="2"/>
      <c r="GID208" s="2"/>
      <c r="GIE208" s="2"/>
      <c r="GIF208" s="2"/>
      <c r="GIG208" s="2"/>
      <c r="GIH208" s="2"/>
      <c r="GII208" s="2"/>
      <c r="GIJ208" s="2"/>
      <c r="GIK208" s="2"/>
      <c r="GIL208" s="2"/>
      <c r="GIM208" s="2"/>
      <c r="GIN208" s="2"/>
      <c r="GIO208" s="2"/>
      <c r="GIP208" s="2"/>
      <c r="GIQ208" s="2"/>
      <c r="GIR208" s="2"/>
      <c r="GIS208" s="2"/>
      <c r="GIT208" s="2"/>
      <c r="GIU208" s="2"/>
      <c r="GIV208" s="2"/>
      <c r="GIW208" s="2"/>
      <c r="GIX208" s="2"/>
      <c r="GIY208" s="2"/>
      <c r="GIZ208" s="2"/>
      <c r="GJA208" s="2"/>
      <c r="GJB208" s="2"/>
      <c r="GJC208" s="2"/>
      <c r="GJD208" s="2"/>
      <c r="GJE208" s="2"/>
      <c r="GJF208" s="2"/>
      <c r="GJG208" s="2"/>
      <c r="GJH208" s="2"/>
      <c r="GJI208" s="2"/>
      <c r="GJJ208" s="2"/>
      <c r="GJK208" s="2"/>
      <c r="GJL208" s="2"/>
      <c r="GJM208" s="2"/>
      <c r="GJN208" s="2"/>
      <c r="GJO208" s="2"/>
      <c r="GJP208" s="2"/>
      <c r="GJQ208" s="2"/>
      <c r="GJR208" s="2"/>
      <c r="GJS208" s="2"/>
      <c r="GJT208" s="2"/>
      <c r="GJU208" s="2"/>
      <c r="GJV208" s="2"/>
      <c r="GJW208" s="2"/>
      <c r="GJX208" s="2"/>
      <c r="GJY208" s="2"/>
      <c r="GJZ208" s="2"/>
      <c r="GKA208" s="2"/>
      <c r="GKB208" s="2"/>
      <c r="GKC208" s="2"/>
      <c r="GKD208" s="2"/>
      <c r="GKE208" s="2"/>
      <c r="GKF208" s="2"/>
      <c r="GKG208" s="2"/>
      <c r="GKH208" s="2"/>
      <c r="GKI208" s="2"/>
      <c r="GKJ208" s="2"/>
      <c r="GKK208" s="2"/>
      <c r="GKL208" s="2"/>
      <c r="GKM208" s="2"/>
      <c r="GKN208" s="2"/>
      <c r="GKO208" s="2"/>
      <c r="GKP208" s="2"/>
      <c r="GKQ208" s="2"/>
      <c r="GKR208" s="2"/>
      <c r="GKS208" s="2"/>
      <c r="GKT208" s="2"/>
      <c r="GKU208" s="2"/>
      <c r="GKV208" s="2"/>
      <c r="GKW208" s="2"/>
      <c r="GKX208" s="2"/>
      <c r="GKY208" s="2"/>
      <c r="GKZ208" s="2"/>
      <c r="GLA208" s="2"/>
      <c r="GLB208" s="2"/>
      <c r="GLC208" s="2"/>
      <c r="GLD208" s="2"/>
      <c r="GLE208" s="2"/>
      <c r="GLF208" s="2"/>
      <c r="GLG208" s="2"/>
      <c r="GLH208" s="2"/>
      <c r="GLI208" s="2"/>
      <c r="GLJ208" s="2"/>
      <c r="GLK208" s="2"/>
      <c r="GLL208" s="2"/>
      <c r="GLM208" s="2"/>
      <c r="GLN208" s="2"/>
      <c r="GLO208" s="2"/>
      <c r="GLP208" s="2"/>
      <c r="GLQ208" s="2"/>
      <c r="GLR208" s="2"/>
      <c r="GLS208" s="2"/>
      <c r="GLT208" s="2"/>
      <c r="GLU208" s="2"/>
      <c r="GLV208" s="2"/>
      <c r="GLW208" s="2"/>
      <c r="GLX208" s="2"/>
      <c r="GLY208" s="2"/>
      <c r="GLZ208" s="2"/>
      <c r="GMA208" s="2"/>
      <c r="GMB208" s="2"/>
      <c r="GMC208" s="2"/>
      <c r="GMD208" s="2"/>
      <c r="GME208" s="2"/>
      <c r="GMF208" s="2"/>
      <c r="GMG208" s="2"/>
      <c r="GMH208" s="2"/>
      <c r="GMI208" s="2"/>
      <c r="GMJ208" s="2"/>
      <c r="GMK208" s="2"/>
      <c r="GML208" s="2"/>
      <c r="GMM208" s="2"/>
      <c r="GMN208" s="2"/>
      <c r="GMO208" s="2"/>
      <c r="GMP208" s="2"/>
      <c r="GMQ208" s="2"/>
      <c r="GMR208" s="2"/>
      <c r="GMS208" s="2"/>
      <c r="GMT208" s="2"/>
      <c r="GMU208" s="2"/>
      <c r="GMV208" s="2"/>
      <c r="GMW208" s="2"/>
      <c r="GMX208" s="2"/>
      <c r="GMY208" s="2"/>
      <c r="GMZ208" s="2"/>
      <c r="GNA208" s="2"/>
      <c r="GNB208" s="2"/>
      <c r="GNC208" s="2"/>
      <c r="GND208" s="2"/>
      <c r="GNE208" s="2"/>
      <c r="GNF208" s="2"/>
      <c r="GNG208" s="2"/>
      <c r="GNH208" s="2"/>
      <c r="GNI208" s="2"/>
      <c r="GNJ208" s="2"/>
      <c r="GNK208" s="2"/>
      <c r="GNL208" s="2"/>
      <c r="GNM208" s="2"/>
      <c r="GNN208" s="2"/>
      <c r="GNO208" s="2"/>
      <c r="GNP208" s="2"/>
      <c r="GNQ208" s="2"/>
      <c r="GNR208" s="2"/>
      <c r="GNS208" s="2"/>
      <c r="GNT208" s="2"/>
      <c r="GNU208" s="2"/>
      <c r="GNV208" s="2"/>
      <c r="GNW208" s="2"/>
      <c r="GNX208" s="2"/>
      <c r="GNY208" s="2"/>
      <c r="GNZ208" s="2"/>
      <c r="GOA208" s="2"/>
      <c r="GOB208" s="2"/>
      <c r="GOC208" s="2"/>
      <c r="GOD208" s="2"/>
      <c r="GOE208" s="2"/>
      <c r="GOF208" s="2"/>
      <c r="GOG208" s="2"/>
      <c r="GOH208" s="2"/>
      <c r="GOI208" s="2"/>
      <c r="GOJ208" s="2"/>
      <c r="GOK208" s="2"/>
      <c r="GOL208" s="2"/>
      <c r="GOM208" s="2"/>
      <c r="GON208" s="2"/>
      <c r="GOO208" s="2"/>
      <c r="GOP208" s="2"/>
      <c r="GOQ208" s="2"/>
      <c r="GOR208" s="2"/>
      <c r="GOS208" s="2"/>
      <c r="GOT208" s="2"/>
      <c r="GOU208" s="2"/>
      <c r="GOV208" s="2"/>
      <c r="GOW208" s="2"/>
      <c r="GOX208" s="2"/>
      <c r="GOY208" s="2"/>
      <c r="GOZ208" s="2"/>
      <c r="GPA208" s="2"/>
      <c r="GPB208" s="2"/>
      <c r="GPC208" s="2"/>
      <c r="GPD208" s="2"/>
      <c r="GPE208" s="2"/>
      <c r="GPF208" s="2"/>
      <c r="GPG208" s="2"/>
      <c r="GPH208" s="2"/>
      <c r="GPI208" s="2"/>
      <c r="GPJ208" s="2"/>
      <c r="GPK208" s="2"/>
      <c r="GPL208" s="2"/>
      <c r="GPM208" s="2"/>
      <c r="GPN208" s="2"/>
      <c r="GPO208" s="2"/>
      <c r="GPP208" s="2"/>
      <c r="GPQ208" s="2"/>
      <c r="GPR208" s="2"/>
      <c r="GPS208" s="2"/>
      <c r="GPT208" s="2"/>
      <c r="GPU208" s="2"/>
      <c r="GPV208" s="2"/>
      <c r="GPW208" s="2"/>
      <c r="GPX208" s="2"/>
      <c r="GPY208" s="2"/>
      <c r="GPZ208" s="2"/>
      <c r="GQA208" s="2"/>
      <c r="GQB208" s="2"/>
      <c r="GQC208" s="2"/>
      <c r="GQD208" s="2"/>
      <c r="GQE208" s="2"/>
      <c r="GQF208" s="2"/>
      <c r="GQG208" s="2"/>
      <c r="GQH208" s="2"/>
      <c r="GQI208" s="2"/>
      <c r="GQJ208" s="2"/>
      <c r="GQK208" s="2"/>
      <c r="GQL208" s="2"/>
      <c r="GQM208" s="2"/>
      <c r="GQN208" s="2"/>
      <c r="GQO208" s="2"/>
      <c r="GQP208" s="2"/>
      <c r="GQQ208" s="2"/>
      <c r="GQR208" s="2"/>
      <c r="GQS208" s="2"/>
      <c r="GQT208" s="2"/>
      <c r="GQU208" s="2"/>
      <c r="GQV208" s="2"/>
      <c r="GQW208" s="2"/>
      <c r="GQX208" s="2"/>
      <c r="GQY208" s="2"/>
      <c r="GQZ208" s="2"/>
      <c r="GRA208" s="2"/>
      <c r="GRB208" s="2"/>
      <c r="GRC208" s="2"/>
      <c r="GRD208" s="2"/>
      <c r="GRE208" s="2"/>
      <c r="GRF208" s="2"/>
      <c r="GRG208" s="2"/>
      <c r="GRH208" s="2"/>
      <c r="GRI208" s="2"/>
      <c r="GRJ208" s="2"/>
      <c r="GRK208" s="2"/>
      <c r="GRL208" s="2"/>
      <c r="GRM208" s="2"/>
      <c r="GRN208" s="2"/>
      <c r="GRO208" s="2"/>
      <c r="GRP208" s="2"/>
      <c r="GRQ208" s="2"/>
      <c r="GRR208" s="2"/>
      <c r="GRS208" s="2"/>
      <c r="GRT208" s="2"/>
      <c r="GRU208" s="2"/>
      <c r="GRV208" s="2"/>
      <c r="GRW208" s="2"/>
      <c r="GRX208" s="2"/>
      <c r="GRY208" s="2"/>
      <c r="GRZ208" s="2"/>
      <c r="GSA208" s="2"/>
      <c r="GSB208" s="2"/>
      <c r="GSC208" s="2"/>
      <c r="GSD208" s="2"/>
      <c r="GSE208" s="2"/>
      <c r="GSF208" s="2"/>
      <c r="GSG208" s="2"/>
      <c r="GSH208" s="2"/>
      <c r="GSI208" s="2"/>
      <c r="GSJ208" s="2"/>
      <c r="GSK208" s="2"/>
      <c r="GSL208" s="2"/>
      <c r="GSM208" s="2"/>
      <c r="GSN208" s="2"/>
      <c r="GSO208" s="2"/>
      <c r="GSP208" s="2"/>
      <c r="GSQ208" s="2"/>
      <c r="GSR208" s="2"/>
      <c r="GSS208" s="2"/>
      <c r="GST208" s="2"/>
      <c r="GSU208" s="2"/>
      <c r="GSV208" s="2"/>
      <c r="GSW208" s="2"/>
      <c r="GSX208" s="2"/>
      <c r="GSY208" s="2"/>
      <c r="GSZ208" s="2"/>
      <c r="GTA208" s="2"/>
      <c r="GTB208" s="2"/>
      <c r="GTC208" s="2"/>
      <c r="GTD208" s="2"/>
      <c r="GTE208" s="2"/>
      <c r="GTF208" s="2"/>
      <c r="GTG208" s="2"/>
      <c r="GTH208" s="2"/>
      <c r="GTI208" s="2"/>
      <c r="GTJ208" s="2"/>
      <c r="GTK208" s="2"/>
      <c r="GTL208" s="2"/>
      <c r="GTM208" s="2"/>
      <c r="GTN208" s="2"/>
      <c r="GTO208" s="2"/>
      <c r="GTP208" s="2"/>
      <c r="GTQ208" s="2"/>
      <c r="GTR208" s="2"/>
      <c r="GTS208" s="2"/>
      <c r="GTT208" s="2"/>
      <c r="GTU208" s="2"/>
      <c r="GTV208" s="2"/>
      <c r="GTW208" s="2"/>
      <c r="GTX208" s="2"/>
      <c r="GTY208" s="2"/>
      <c r="GTZ208" s="2"/>
      <c r="GUA208" s="2"/>
      <c r="GUB208" s="2"/>
      <c r="GUC208" s="2"/>
      <c r="GUD208" s="2"/>
      <c r="GUE208" s="2"/>
      <c r="GUF208" s="2"/>
      <c r="GUG208" s="2"/>
      <c r="GUH208" s="2"/>
      <c r="GUI208" s="2"/>
      <c r="GUJ208" s="2"/>
      <c r="GUK208" s="2"/>
      <c r="GUL208" s="2"/>
      <c r="GUM208" s="2"/>
      <c r="GUN208" s="2"/>
      <c r="GUO208" s="2"/>
      <c r="GUP208" s="2"/>
      <c r="GUQ208" s="2"/>
      <c r="GUR208" s="2"/>
      <c r="GUS208" s="2"/>
      <c r="GUT208" s="2"/>
      <c r="GUU208" s="2"/>
      <c r="GUV208" s="2"/>
      <c r="GUW208" s="2"/>
      <c r="GUX208" s="2"/>
      <c r="GUY208" s="2"/>
      <c r="GUZ208" s="2"/>
      <c r="GVA208" s="2"/>
      <c r="GVB208" s="2"/>
      <c r="GVC208" s="2"/>
      <c r="GVD208" s="2"/>
      <c r="GVE208" s="2"/>
      <c r="GVF208" s="2"/>
      <c r="GVG208" s="2"/>
      <c r="GVH208" s="2"/>
      <c r="GVI208" s="2"/>
      <c r="GVJ208" s="2"/>
      <c r="GVK208" s="2"/>
      <c r="GVL208" s="2"/>
      <c r="GVM208" s="2"/>
      <c r="GVN208" s="2"/>
      <c r="GVO208" s="2"/>
      <c r="GVP208" s="2"/>
      <c r="GVQ208" s="2"/>
      <c r="GVR208" s="2"/>
      <c r="GVS208" s="2"/>
      <c r="GVT208" s="2"/>
      <c r="GVU208" s="2"/>
      <c r="GVV208" s="2"/>
      <c r="GVW208" s="2"/>
      <c r="GVX208" s="2"/>
      <c r="GVY208" s="2"/>
      <c r="GVZ208" s="2"/>
      <c r="GWA208" s="2"/>
      <c r="GWB208" s="2"/>
      <c r="GWC208" s="2"/>
      <c r="GWD208" s="2"/>
      <c r="GWE208" s="2"/>
      <c r="GWF208" s="2"/>
      <c r="GWG208" s="2"/>
      <c r="GWH208" s="2"/>
      <c r="GWI208" s="2"/>
      <c r="GWJ208" s="2"/>
      <c r="GWK208" s="2"/>
      <c r="GWL208" s="2"/>
      <c r="GWM208" s="2"/>
      <c r="GWN208" s="2"/>
      <c r="GWO208" s="2"/>
      <c r="GWP208" s="2"/>
      <c r="GWQ208" s="2"/>
      <c r="GWR208" s="2"/>
      <c r="GWS208" s="2"/>
      <c r="GWT208" s="2"/>
      <c r="GWU208" s="2"/>
      <c r="GWV208" s="2"/>
      <c r="GWW208" s="2"/>
      <c r="GWX208" s="2"/>
      <c r="GWY208" s="2"/>
      <c r="GWZ208" s="2"/>
      <c r="GXA208" s="2"/>
      <c r="GXB208" s="2"/>
      <c r="GXC208" s="2"/>
      <c r="GXD208" s="2"/>
      <c r="GXE208" s="2"/>
      <c r="GXF208" s="2"/>
      <c r="GXG208" s="2"/>
      <c r="GXH208" s="2"/>
      <c r="GXI208" s="2"/>
      <c r="GXJ208" s="2"/>
      <c r="GXK208" s="2"/>
      <c r="GXL208" s="2"/>
      <c r="GXM208" s="2"/>
      <c r="GXN208" s="2"/>
      <c r="GXO208" s="2"/>
      <c r="GXP208" s="2"/>
      <c r="GXQ208" s="2"/>
      <c r="GXR208" s="2"/>
      <c r="GXS208" s="2"/>
      <c r="GXT208" s="2"/>
      <c r="GXU208" s="2"/>
      <c r="GXV208" s="2"/>
      <c r="GXW208" s="2"/>
      <c r="GXX208" s="2"/>
      <c r="GXY208" s="2"/>
      <c r="GXZ208" s="2"/>
      <c r="GYA208" s="2"/>
      <c r="GYB208" s="2"/>
      <c r="GYC208" s="2"/>
      <c r="GYD208" s="2"/>
      <c r="GYE208" s="2"/>
      <c r="GYF208" s="2"/>
      <c r="GYG208" s="2"/>
      <c r="GYH208" s="2"/>
      <c r="GYI208" s="2"/>
      <c r="GYJ208" s="2"/>
      <c r="GYK208" s="2"/>
      <c r="GYL208" s="2"/>
      <c r="GYM208" s="2"/>
      <c r="GYN208" s="2"/>
      <c r="GYO208" s="2"/>
      <c r="GYP208" s="2"/>
      <c r="GYQ208" s="2"/>
      <c r="GYR208" s="2"/>
      <c r="GYS208" s="2"/>
      <c r="GYT208" s="2"/>
      <c r="GYU208" s="2"/>
      <c r="GYV208" s="2"/>
      <c r="GYW208" s="2"/>
      <c r="GYX208" s="2"/>
      <c r="GYY208" s="2"/>
      <c r="GYZ208" s="2"/>
      <c r="GZA208" s="2"/>
      <c r="GZB208" s="2"/>
      <c r="GZC208" s="2"/>
      <c r="GZD208" s="2"/>
      <c r="GZE208" s="2"/>
      <c r="GZF208" s="2"/>
      <c r="GZG208" s="2"/>
      <c r="GZH208" s="2"/>
      <c r="GZI208" s="2"/>
      <c r="GZJ208" s="2"/>
      <c r="GZK208" s="2"/>
      <c r="GZL208" s="2"/>
      <c r="GZM208" s="2"/>
      <c r="GZN208" s="2"/>
      <c r="GZO208" s="2"/>
      <c r="GZP208" s="2"/>
      <c r="GZQ208" s="2"/>
      <c r="GZR208" s="2"/>
      <c r="GZS208" s="2"/>
      <c r="GZT208" s="2"/>
      <c r="GZU208" s="2"/>
      <c r="GZV208" s="2"/>
      <c r="GZW208" s="2"/>
      <c r="GZX208" s="2"/>
      <c r="GZY208" s="2"/>
      <c r="GZZ208" s="2"/>
      <c r="HAA208" s="2"/>
      <c r="HAB208" s="2"/>
      <c r="HAC208" s="2"/>
      <c r="HAD208" s="2"/>
      <c r="HAE208" s="2"/>
      <c r="HAF208" s="2"/>
      <c r="HAG208" s="2"/>
      <c r="HAH208" s="2"/>
      <c r="HAI208" s="2"/>
      <c r="HAJ208" s="2"/>
      <c r="HAK208" s="2"/>
      <c r="HAL208" s="2"/>
      <c r="HAM208" s="2"/>
      <c r="HAN208" s="2"/>
      <c r="HAO208" s="2"/>
      <c r="HAP208" s="2"/>
      <c r="HAQ208" s="2"/>
      <c r="HAR208" s="2"/>
      <c r="HAS208" s="2"/>
      <c r="HAT208" s="2"/>
      <c r="HAU208" s="2"/>
      <c r="HAV208" s="2"/>
      <c r="HAW208" s="2"/>
      <c r="HAX208" s="2"/>
      <c r="HAY208" s="2"/>
      <c r="HAZ208" s="2"/>
      <c r="HBA208" s="2"/>
      <c r="HBB208" s="2"/>
      <c r="HBC208" s="2"/>
      <c r="HBD208" s="2"/>
      <c r="HBE208" s="2"/>
      <c r="HBF208" s="2"/>
      <c r="HBG208" s="2"/>
      <c r="HBH208" s="2"/>
      <c r="HBI208" s="2"/>
      <c r="HBJ208" s="2"/>
      <c r="HBK208" s="2"/>
      <c r="HBL208" s="2"/>
      <c r="HBM208" s="2"/>
      <c r="HBN208" s="2"/>
      <c r="HBO208" s="2"/>
      <c r="HBP208" s="2"/>
      <c r="HBQ208" s="2"/>
      <c r="HBR208" s="2"/>
      <c r="HBS208" s="2"/>
      <c r="HBT208" s="2"/>
      <c r="HBU208" s="2"/>
      <c r="HBV208" s="2"/>
      <c r="HBW208" s="2"/>
      <c r="HBX208" s="2"/>
      <c r="HBY208" s="2"/>
      <c r="HBZ208" s="2"/>
      <c r="HCA208" s="2"/>
      <c r="HCB208" s="2"/>
      <c r="HCC208" s="2"/>
      <c r="HCD208" s="2"/>
      <c r="HCE208" s="2"/>
      <c r="HCF208" s="2"/>
      <c r="HCG208" s="2"/>
      <c r="HCH208" s="2"/>
      <c r="HCI208" s="2"/>
      <c r="HCJ208" s="2"/>
      <c r="HCK208" s="2"/>
      <c r="HCL208" s="2"/>
      <c r="HCM208" s="2"/>
      <c r="HCN208" s="2"/>
      <c r="HCO208" s="2"/>
      <c r="HCP208" s="2"/>
      <c r="HCQ208" s="2"/>
      <c r="HCR208" s="2"/>
      <c r="HCS208" s="2"/>
      <c r="HCT208" s="2"/>
      <c r="HCU208" s="2"/>
      <c r="HCV208" s="2"/>
      <c r="HCW208" s="2"/>
      <c r="HCX208" s="2"/>
      <c r="HCY208" s="2"/>
      <c r="HCZ208" s="2"/>
      <c r="HDA208" s="2"/>
      <c r="HDB208" s="2"/>
      <c r="HDC208" s="2"/>
      <c r="HDD208" s="2"/>
      <c r="HDE208" s="2"/>
      <c r="HDF208" s="2"/>
      <c r="HDG208" s="2"/>
      <c r="HDH208" s="2"/>
      <c r="HDI208" s="2"/>
      <c r="HDJ208" s="2"/>
      <c r="HDK208" s="2"/>
      <c r="HDL208" s="2"/>
      <c r="HDM208" s="2"/>
      <c r="HDN208" s="2"/>
      <c r="HDO208" s="2"/>
      <c r="HDP208" s="2"/>
      <c r="HDQ208" s="2"/>
      <c r="HDR208" s="2"/>
      <c r="HDS208" s="2"/>
      <c r="HDT208" s="2"/>
      <c r="HDU208" s="2"/>
      <c r="HDV208" s="2"/>
      <c r="HDW208" s="2"/>
      <c r="HDX208" s="2"/>
      <c r="HDY208" s="2"/>
      <c r="HDZ208" s="2"/>
      <c r="HEA208" s="2"/>
      <c r="HEB208" s="2"/>
      <c r="HEC208" s="2"/>
      <c r="HED208" s="2"/>
      <c r="HEE208" s="2"/>
      <c r="HEF208" s="2"/>
      <c r="HEG208" s="2"/>
      <c r="HEH208" s="2"/>
      <c r="HEI208" s="2"/>
      <c r="HEJ208" s="2"/>
      <c r="HEK208" s="2"/>
      <c r="HEL208" s="2"/>
      <c r="HEM208" s="2"/>
      <c r="HEN208" s="2"/>
      <c r="HEO208" s="2"/>
      <c r="HEP208" s="2"/>
      <c r="HEQ208" s="2"/>
      <c r="HER208" s="2"/>
      <c r="HES208" s="2"/>
      <c r="HET208" s="2"/>
      <c r="HEU208" s="2"/>
      <c r="HEV208" s="2"/>
      <c r="HEW208" s="2"/>
      <c r="HEX208" s="2"/>
      <c r="HEY208" s="2"/>
      <c r="HEZ208" s="2"/>
      <c r="HFA208" s="2"/>
      <c r="HFB208" s="2"/>
      <c r="HFC208" s="2"/>
      <c r="HFD208" s="2"/>
      <c r="HFE208" s="2"/>
      <c r="HFF208" s="2"/>
      <c r="HFG208" s="2"/>
      <c r="HFH208" s="2"/>
      <c r="HFI208" s="2"/>
      <c r="HFJ208" s="2"/>
      <c r="HFK208" s="2"/>
      <c r="HFL208" s="2"/>
      <c r="HFM208" s="2"/>
      <c r="HFN208" s="2"/>
      <c r="HFO208" s="2"/>
      <c r="HFP208" s="2"/>
      <c r="HFQ208" s="2"/>
      <c r="HFR208" s="2"/>
      <c r="HFS208" s="2"/>
      <c r="HFT208" s="2"/>
      <c r="HFU208" s="2"/>
      <c r="HFV208" s="2"/>
      <c r="HFW208" s="2"/>
      <c r="HFX208" s="2"/>
      <c r="HFY208" s="2"/>
      <c r="HFZ208" s="2"/>
      <c r="HGA208" s="2"/>
      <c r="HGB208" s="2"/>
      <c r="HGC208" s="2"/>
      <c r="HGD208" s="2"/>
      <c r="HGE208" s="2"/>
      <c r="HGF208" s="2"/>
      <c r="HGG208" s="2"/>
      <c r="HGH208" s="2"/>
      <c r="HGI208" s="2"/>
      <c r="HGJ208" s="2"/>
      <c r="HGK208" s="2"/>
      <c r="HGL208" s="2"/>
      <c r="HGM208" s="2"/>
      <c r="HGN208" s="2"/>
      <c r="HGO208" s="2"/>
      <c r="HGP208" s="2"/>
      <c r="HGQ208" s="2"/>
      <c r="HGR208" s="2"/>
      <c r="HGS208" s="2"/>
      <c r="HGT208" s="2"/>
      <c r="HGU208" s="2"/>
      <c r="HGV208" s="2"/>
      <c r="HGW208" s="2"/>
      <c r="HGX208" s="2"/>
      <c r="HGY208" s="2"/>
      <c r="HGZ208" s="2"/>
      <c r="HHA208" s="2"/>
      <c r="HHB208" s="2"/>
      <c r="HHC208" s="2"/>
      <c r="HHD208" s="2"/>
      <c r="HHE208" s="2"/>
      <c r="HHF208" s="2"/>
      <c r="HHG208" s="2"/>
      <c r="HHH208" s="2"/>
      <c r="HHI208" s="2"/>
      <c r="HHJ208" s="2"/>
      <c r="HHK208" s="2"/>
      <c r="HHL208" s="2"/>
      <c r="HHM208" s="2"/>
      <c r="HHN208" s="2"/>
      <c r="HHO208" s="2"/>
      <c r="HHP208" s="2"/>
      <c r="HHQ208" s="2"/>
      <c r="HHR208" s="2"/>
      <c r="HHS208" s="2"/>
      <c r="HHT208" s="2"/>
      <c r="HHU208" s="2"/>
      <c r="HHV208" s="2"/>
      <c r="HHW208" s="2"/>
      <c r="HHX208" s="2"/>
      <c r="HHY208" s="2"/>
      <c r="HHZ208" s="2"/>
      <c r="HIA208" s="2"/>
      <c r="HIB208" s="2"/>
      <c r="HIC208" s="2"/>
      <c r="HID208" s="2"/>
      <c r="HIE208" s="2"/>
      <c r="HIF208" s="2"/>
      <c r="HIG208" s="2"/>
      <c r="HIH208" s="2"/>
      <c r="HII208" s="2"/>
      <c r="HIJ208" s="2"/>
      <c r="HIK208" s="2"/>
      <c r="HIL208" s="2"/>
      <c r="HIM208" s="2"/>
      <c r="HIN208" s="2"/>
      <c r="HIO208" s="2"/>
      <c r="HIP208" s="2"/>
      <c r="HIQ208" s="2"/>
      <c r="HIR208" s="2"/>
      <c r="HIS208" s="2"/>
      <c r="HIT208" s="2"/>
      <c r="HIU208" s="2"/>
      <c r="HIV208" s="2"/>
      <c r="HIW208" s="2"/>
      <c r="HIX208" s="2"/>
      <c r="HIY208" s="2"/>
      <c r="HIZ208" s="2"/>
      <c r="HJA208" s="2"/>
      <c r="HJB208" s="2"/>
      <c r="HJC208" s="2"/>
      <c r="HJD208" s="2"/>
      <c r="HJE208" s="2"/>
      <c r="HJF208" s="2"/>
      <c r="HJG208" s="2"/>
      <c r="HJH208" s="2"/>
      <c r="HJI208" s="2"/>
      <c r="HJJ208" s="2"/>
      <c r="HJK208" s="2"/>
      <c r="HJL208" s="2"/>
      <c r="HJM208" s="2"/>
      <c r="HJN208" s="2"/>
      <c r="HJO208" s="2"/>
      <c r="HJP208" s="2"/>
      <c r="HJQ208" s="2"/>
      <c r="HJR208" s="2"/>
      <c r="HJS208" s="2"/>
      <c r="HJT208" s="2"/>
      <c r="HJU208" s="2"/>
      <c r="HJV208" s="2"/>
      <c r="HJW208" s="2"/>
      <c r="HJX208" s="2"/>
      <c r="HJY208" s="2"/>
      <c r="HJZ208" s="2"/>
      <c r="HKA208" s="2"/>
      <c r="HKB208" s="2"/>
      <c r="HKC208" s="2"/>
      <c r="HKD208" s="2"/>
      <c r="HKE208" s="2"/>
      <c r="HKF208" s="2"/>
      <c r="HKG208" s="2"/>
      <c r="HKH208" s="2"/>
      <c r="HKI208" s="2"/>
      <c r="HKJ208" s="2"/>
      <c r="HKK208" s="2"/>
      <c r="HKL208" s="2"/>
      <c r="HKM208" s="2"/>
      <c r="HKN208" s="2"/>
      <c r="HKO208" s="2"/>
      <c r="HKP208" s="2"/>
      <c r="HKQ208" s="2"/>
      <c r="HKR208" s="2"/>
      <c r="HKS208" s="2"/>
      <c r="HKT208" s="2"/>
      <c r="HKU208" s="2"/>
      <c r="HKV208" s="2"/>
      <c r="HKW208" s="2"/>
      <c r="HKX208" s="2"/>
      <c r="HKY208" s="2"/>
      <c r="HKZ208" s="2"/>
      <c r="HLA208" s="2"/>
      <c r="HLB208" s="2"/>
      <c r="HLC208" s="2"/>
      <c r="HLD208" s="2"/>
      <c r="HLE208" s="2"/>
      <c r="HLF208" s="2"/>
      <c r="HLG208" s="2"/>
      <c r="HLH208" s="2"/>
      <c r="HLI208" s="2"/>
      <c r="HLJ208" s="2"/>
      <c r="HLK208" s="2"/>
      <c r="HLL208" s="2"/>
      <c r="HLM208" s="2"/>
      <c r="HLN208" s="2"/>
      <c r="HLO208" s="2"/>
      <c r="HLP208" s="2"/>
      <c r="HLQ208" s="2"/>
      <c r="HLR208" s="2"/>
      <c r="HLS208" s="2"/>
      <c r="HLT208" s="2"/>
      <c r="HLU208" s="2"/>
      <c r="HLV208" s="2"/>
      <c r="HLW208" s="2"/>
      <c r="HLX208" s="2"/>
      <c r="HLY208" s="2"/>
      <c r="HLZ208" s="2"/>
      <c r="HMA208" s="2"/>
      <c r="HMB208" s="2"/>
      <c r="HMC208" s="2"/>
      <c r="HMD208" s="2"/>
      <c r="HME208" s="2"/>
      <c r="HMF208" s="2"/>
      <c r="HMG208" s="2"/>
      <c r="HMH208" s="2"/>
      <c r="HMI208" s="2"/>
      <c r="HMJ208" s="2"/>
      <c r="HMK208" s="2"/>
      <c r="HML208" s="2"/>
      <c r="HMM208" s="2"/>
      <c r="HMN208" s="2"/>
      <c r="HMO208" s="2"/>
      <c r="HMP208" s="2"/>
      <c r="HMQ208" s="2"/>
      <c r="HMR208" s="2"/>
      <c r="HMS208" s="2"/>
      <c r="HMT208" s="2"/>
      <c r="HMU208" s="2"/>
      <c r="HMV208" s="2"/>
      <c r="HMW208" s="2"/>
      <c r="HMX208" s="2"/>
      <c r="HMY208" s="2"/>
      <c r="HMZ208" s="2"/>
      <c r="HNA208" s="2"/>
      <c r="HNB208" s="2"/>
      <c r="HNC208" s="2"/>
      <c r="HND208" s="2"/>
      <c r="HNE208" s="2"/>
      <c r="HNF208" s="2"/>
      <c r="HNG208" s="2"/>
      <c r="HNH208" s="2"/>
      <c r="HNI208" s="2"/>
      <c r="HNJ208" s="2"/>
      <c r="HNK208" s="2"/>
      <c r="HNL208" s="2"/>
      <c r="HNM208" s="2"/>
      <c r="HNN208" s="2"/>
      <c r="HNO208" s="2"/>
      <c r="HNP208" s="2"/>
      <c r="HNQ208" s="2"/>
      <c r="HNR208" s="2"/>
      <c r="HNS208" s="2"/>
      <c r="HNT208" s="2"/>
      <c r="HNU208" s="2"/>
      <c r="HNV208" s="2"/>
      <c r="HNW208" s="2"/>
      <c r="HNX208" s="2"/>
      <c r="HNY208" s="2"/>
      <c r="HNZ208" s="2"/>
      <c r="HOA208" s="2"/>
      <c r="HOB208" s="2"/>
      <c r="HOC208" s="2"/>
      <c r="HOD208" s="2"/>
      <c r="HOE208" s="2"/>
      <c r="HOF208" s="2"/>
      <c r="HOG208" s="2"/>
      <c r="HOH208" s="2"/>
      <c r="HOI208" s="2"/>
      <c r="HOJ208" s="2"/>
      <c r="HOK208" s="2"/>
      <c r="HOL208" s="2"/>
      <c r="HOM208" s="2"/>
      <c r="HON208" s="2"/>
      <c r="HOO208" s="2"/>
      <c r="HOP208" s="2"/>
      <c r="HOQ208" s="2"/>
      <c r="HOR208" s="2"/>
      <c r="HOS208" s="2"/>
      <c r="HOT208" s="2"/>
      <c r="HOU208" s="2"/>
      <c r="HOV208" s="2"/>
      <c r="HOW208" s="2"/>
      <c r="HOX208" s="2"/>
      <c r="HOY208" s="2"/>
      <c r="HOZ208" s="2"/>
      <c r="HPA208" s="2"/>
      <c r="HPB208" s="2"/>
      <c r="HPC208" s="2"/>
      <c r="HPD208" s="2"/>
      <c r="HPE208" s="2"/>
      <c r="HPF208" s="2"/>
      <c r="HPG208" s="2"/>
      <c r="HPH208" s="2"/>
      <c r="HPI208" s="2"/>
      <c r="HPJ208" s="2"/>
      <c r="HPK208" s="2"/>
      <c r="HPL208" s="2"/>
      <c r="HPM208" s="2"/>
      <c r="HPN208" s="2"/>
      <c r="HPO208" s="2"/>
      <c r="HPP208" s="2"/>
      <c r="HPQ208" s="2"/>
      <c r="HPR208" s="2"/>
      <c r="HPS208" s="2"/>
      <c r="HPT208" s="2"/>
      <c r="HPU208" s="2"/>
      <c r="HPV208" s="2"/>
      <c r="HPW208" s="2"/>
      <c r="HPX208" s="2"/>
      <c r="HPY208" s="2"/>
      <c r="HPZ208" s="2"/>
      <c r="HQA208" s="2"/>
      <c r="HQB208" s="2"/>
      <c r="HQC208" s="2"/>
      <c r="HQD208" s="2"/>
      <c r="HQE208" s="2"/>
      <c r="HQF208" s="2"/>
      <c r="HQG208" s="2"/>
      <c r="HQH208" s="2"/>
      <c r="HQI208" s="2"/>
      <c r="HQJ208" s="2"/>
      <c r="HQK208" s="2"/>
      <c r="HQL208" s="2"/>
      <c r="HQM208" s="2"/>
      <c r="HQN208" s="2"/>
      <c r="HQO208" s="2"/>
      <c r="HQP208" s="2"/>
      <c r="HQQ208" s="2"/>
      <c r="HQR208" s="2"/>
      <c r="HQS208" s="2"/>
      <c r="HQT208" s="2"/>
      <c r="HQU208" s="2"/>
      <c r="HQV208" s="2"/>
      <c r="HQW208" s="2"/>
      <c r="HQX208" s="2"/>
      <c r="HQY208" s="2"/>
      <c r="HQZ208" s="2"/>
      <c r="HRA208" s="2"/>
      <c r="HRB208" s="2"/>
      <c r="HRC208" s="2"/>
      <c r="HRD208" s="2"/>
      <c r="HRE208" s="2"/>
      <c r="HRF208" s="2"/>
      <c r="HRG208" s="2"/>
      <c r="HRH208" s="2"/>
      <c r="HRI208" s="2"/>
      <c r="HRJ208" s="2"/>
      <c r="HRK208" s="2"/>
      <c r="HRL208" s="2"/>
      <c r="HRM208" s="2"/>
      <c r="HRN208" s="2"/>
      <c r="HRO208" s="2"/>
      <c r="HRP208" s="2"/>
      <c r="HRQ208" s="2"/>
      <c r="HRR208" s="2"/>
      <c r="HRS208" s="2"/>
      <c r="HRT208" s="2"/>
      <c r="HRU208" s="2"/>
      <c r="HRV208" s="2"/>
      <c r="HRW208" s="2"/>
      <c r="HRX208" s="2"/>
      <c r="HRY208" s="2"/>
      <c r="HRZ208" s="2"/>
      <c r="HSA208" s="2"/>
      <c r="HSB208" s="2"/>
      <c r="HSC208" s="2"/>
      <c r="HSD208" s="2"/>
      <c r="HSE208" s="2"/>
      <c r="HSF208" s="2"/>
      <c r="HSG208" s="2"/>
      <c r="HSH208" s="2"/>
      <c r="HSI208" s="2"/>
      <c r="HSJ208" s="2"/>
      <c r="HSK208" s="2"/>
      <c r="HSL208" s="2"/>
      <c r="HSM208" s="2"/>
      <c r="HSN208" s="2"/>
      <c r="HSO208" s="2"/>
      <c r="HSP208" s="2"/>
      <c r="HSQ208" s="2"/>
      <c r="HSR208" s="2"/>
      <c r="HSS208" s="2"/>
      <c r="HST208" s="2"/>
      <c r="HSU208" s="2"/>
      <c r="HSV208" s="2"/>
      <c r="HSW208" s="2"/>
      <c r="HSX208" s="2"/>
      <c r="HSY208" s="2"/>
      <c r="HSZ208" s="2"/>
      <c r="HTA208" s="2"/>
      <c r="HTB208" s="2"/>
      <c r="HTC208" s="2"/>
      <c r="HTD208" s="2"/>
      <c r="HTE208" s="2"/>
      <c r="HTF208" s="2"/>
      <c r="HTG208" s="2"/>
      <c r="HTH208" s="2"/>
      <c r="HTI208" s="2"/>
      <c r="HTJ208" s="2"/>
      <c r="HTK208" s="2"/>
      <c r="HTL208" s="2"/>
      <c r="HTM208" s="2"/>
      <c r="HTN208" s="2"/>
      <c r="HTO208" s="2"/>
      <c r="HTP208" s="2"/>
      <c r="HTQ208" s="2"/>
      <c r="HTR208" s="2"/>
      <c r="HTS208" s="2"/>
      <c r="HTT208" s="2"/>
      <c r="HTU208" s="2"/>
      <c r="HTV208" s="2"/>
      <c r="HTW208" s="2"/>
      <c r="HTX208" s="2"/>
      <c r="HTY208" s="2"/>
      <c r="HTZ208" s="2"/>
      <c r="HUA208" s="2"/>
      <c r="HUB208" s="2"/>
      <c r="HUC208" s="2"/>
      <c r="HUD208" s="2"/>
      <c r="HUE208" s="2"/>
      <c r="HUF208" s="2"/>
      <c r="HUG208" s="2"/>
      <c r="HUH208" s="2"/>
      <c r="HUI208" s="2"/>
      <c r="HUJ208" s="2"/>
      <c r="HUK208" s="2"/>
      <c r="HUL208" s="2"/>
      <c r="HUM208" s="2"/>
      <c r="HUN208" s="2"/>
      <c r="HUO208" s="2"/>
      <c r="HUP208" s="2"/>
      <c r="HUQ208" s="2"/>
      <c r="HUR208" s="2"/>
      <c r="HUS208" s="2"/>
      <c r="HUT208" s="2"/>
      <c r="HUU208" s="2"/>
      <c r="HUV208" s="2"/>
      <c r="HUW208" s="2"/>
      <c r="HUX208" s="2"/>
      <c r="HUY208" s="2"/>
      <c r="HUZ208" s="2"/>
      <c r="HVA208" s="2"/>
      <c r="HVB208" s="2"/>
      <c r="HVC208" s="2"/>
      <c r="HVD208" s="2"/>
      <c r="HVE208" s="2"/>
      <c r="HVF208" s="2"/>
      <c r="HVG208" s="2"/>
      <c r="HVH208" s="2"/>
      <c r="HVI208" s="2"/>
      <c r="HVJ208" s="2"/>
      <c r="HVK208" s="2"/>
      <c r="HVL208" s="2"/>
      <c r="HVM208" s="2"/>
      <c r="HVN208" s="2"/>
      <c r="HVO208" s="2"/>
      <c r="HVP208" s="2"/>
      <c r="HVQ208" s="2"/>
      <c r="HVR208" s="2"/>
      <c r="HVS208" s="2"/>
      <c r="HVT208" s="2"/>
      <c r="HVU208" s="2"/>
      <c r="HVV208" s="2"/>
      <c r="HVW208" s="2"/>
      <c r="HVX208" s="2"/>
      <c r="HVY208" s="2"/>
      <c r="HVZ208" s="2"/>
      <c r="HWA208" s="2"/>
      <c r="HWB208" s="2"/>
      <c r="HWC208" s="2"/>
      <c r="HWD208" s="2"/>
      <c r="HWE208" s="2"/>
      <c r="HWF208" s="2"/>
      <c r="HWG208" s="2"/>
      <c r="HWH208" s="2"/>
      <c r="HWI208" s="2"/>
      <c r="HWJ208" s="2"/>
      <c r="HWK208" s="2"/>
      <c r="HWL208" s="2"/>
      <c r="HWM208" s="2"/>
      <c r="HWN208" s="2"/>
      <c r="HWO208" s="2"/>
      <c r="HWP208" s="2"/>
      <c r="HWQ208" s="2"/>
      <c r="HWR208" s="2"/>
      <c r="HWS208" s="2"/>
      <c r="HWT208" s="2"/>
      <c r="HWU208" s="2"/>
      <c r="HWV208" s="2"/>
      <c r="HWW208" s="2"/>
      <c r="HWX208" s="2"/>
      <c r="HWY208" s="2"/>
      <c r="HWZ208" s="2"/>
      <c r="HXA208" s="2"/>
      <c r="HXB208" s="2"/>
      <c r="HXC208" s="2"/>
      <c r="HXD208" s="2"/>
      <c r="HXE208" s="2"/>
      <c r="HXF208" s="2"/>
      <c r="HXG208" s="2"/>
      <c r="HXH208" s="2"/>
      <c r="HXI208" s="2"/>
      <c r="HXJ208" s="2"/>
      <c r="HXK208" s="2"/>
      <c r="HXL208" s="2"/>
      <c r="HXM208" s="2"/>
      <c r="HXN208" s="2"/>
      <c r="HXO208" s="2"/>
      <c r="HXP208" s="2"/>
      <c r="HXQ208" s="2"/>
      <c r="HXR208" s="2"/>
      <c r="HXS208" s="2"/>
      <c r="HXT208" s="2"/>
      <c r="HXU208" s="2"/>
      <c r="HXV208" s="2"/>
      <c r="HXW208" s="2"/>
      <c r="HXX208" s="2"/>
      <c r="HXY208" s="2"/>
      <c r="HXZ208" s="2"/>
      <c r="HYA208" s="2"/>
      <c r="HYB208" s="2"/>
      <c r="HYC208" s="2"/>
      <c r="HYD208" s="2"/>
      <c r="HYE208" s="2"/>
      <c r="HYF208" s="2"/>
      <c r="HYG208" s="2"/>
      <c r="HYH208" s="2"/>
      <c r="HYI208" s="2"/>
      <c r="HYJ208" s="2"/>
      <c r="HYK208" s="2"/>
      <c r="HYL208" s="2"/>
      <c r="HYM208" s="2"/>
      <c r="HYN208" s="2"/>
      <c r="HYO208" s="2"/>
      <c r="HYP208" s="2"/>
      <c r="HYQ208" s="2"/>
      <c r="HYR208" s="2"/>
      <c r="HYS208" s="2"/>
      <c r="HYT208" s="2"/>
      <c r="HYU208" s="2"/>
      <c r="HYV208" s="2"/>
      <c r="HYW208" s="2"/>
      <c r="HYX208" s="2"/>
      <c r="HYY208" s="2"/>
      <c r="HYZ208" s="2"/>
      <c r="HZA208" s="2"/>
      <c r="HZB208" s="2"/>
      <c r="HZC208" s="2"/>
      <c r="HZD208" s="2"/>
      <c r="HZE208" s="2"/>
      <c r="HZF208" s="2"/>
      <c r="HZG208" s="2"/>
      <c r="HZH208" s="2"/>
      <c r="HZI208" s="2"/>
      <c r="HZJ208" s="2"/>
      <c r="HZK208" s="2"/>
      <c r="HZL208" s="2"/>
      <c r="HZM208" s="2"/>
      <c r="HZN208" s="2"/>
      <c r="HZO208" s="2"/>
      <c r="HZP208" s="2"/>
      <c r="HZQ208" s="2"/>
      <c r="HZR208" s="2"/>
      <c r="HZS208" s="2"/>
      <c r="HZT208" s="2"/>
      <c r="HZU208" s="2"/>
      <c r="HZV208" s="2"/>
      <c r="HZW208" s="2"/>
      <c r="HZX208" s="2"/>
      <c r="HZY208" s="2"/>
      <c r="HZZ208" s="2"/>
      <c r="IAA208" s="2"/>
      <c r="IAB208" s="2"/>
      <c r="IAC208" s="2"/>
      <c r="IAD208" s="2"/>
      <c r="IAE208" s="2"/>
      <c r="IAF208" s="2"/>
      <c r="IAG208" s="2"/>
      <c r="IAH208" s="2"/>
      <c r="IAI208" s="2"/>
      <c r="IAJ208" s="2"/>
      <c r="IAK208" s="2"/>
      <c r="IAL208" s="2"/>
      <c r="IAM208" s="2"/>
      <c r="IAN208" s="2"/>
      <c r="IAO208" s="2"/>
      <c r="IAP208" s="2"/>
      <c r="IAQ208" s="2"/>
      <c r="IAR208" s="2"/>
      <c r="IAS208" s="2"/>
      <c r="IAT208" s="2"/>
      <c r="IAU208" s="2"/>
      <c r="IAV208" s="2"/>
      <c r="IAW208" s="2"/>
      <c r="IAX208" s="2"/>
      <c r="IAY208" s="2"/>
      <c r="IAZ208" s="2"/>
      <c r="IBA208" s="2"/>
      <c r="IBB208" s="2"/>
      <c r="IBC208" s="2"/>
      <c r="IBD208" s="2"/>
      <c r="IBE208" s="2"/>
      <c r="IBF208" s="2"/>
      <c r="IBG208" s="2"/>
      <c r="IBH208" s="2"/>
      <c r="IBI208" s="2"/>
      <c r="IBJ208" s="2"/>
      <c r="IBK208" s="2"/>
      <c r="IBL208" s="2"/>
      <c r="IBM208" s="2"/>
      <c r="IBN208" s="2"/>
      <c r="IBO208" s="2"/>
      <c r="IBP208" s="2"/>
      <c r="IBQ208" s="2"/>
      <c r="IBR208" s="2"/>
      <c r="IBS208" s="2"/>
      <c r="IBT208" s="2"/>
      <c r="IBU208" s="2"/>
      <c r="IBV208" s="2"/>
      <c r="IBW208" s="2"/>
      <c r="IBX208" s="2"/>
      <c r="IBY208" s="2"/>
      <c r="IBZ208" s="2"/>
      <c r="ICA208" s="2"/>
      <c r="ICB208" s="2"/>
      <c r="ICC208" s="2"/>
      <c r="ICD208" s="2"/>
      <c r="ICE208" s="2"/>
      <c r="ICF208" s="2"/>
      <c r="ICG208" s="2"/>
      <c r="ICH208" s="2"/>
      <c r="ICI208" s="2"/>
      <c r="ICJ208" s="2"/>
      <c r="ICK208" s="2"/>
      <c r="ICL208" s="2"/>
      <c r="ICM208" s="2"/>
      <c r="ICN208" s="2"/>
      <c r="ICO208" s="2"/>
      <c r="ICP208" s="2"/>
      <c r="ICQ208" s="2"/>
      <c r="ICR208" s="2"/>
      <c r="ICS208" s="2"/>
      <c r="ICT208" s="2"/>
      <c r="ICU208" s="2"/>
      <c r="ICV208" s="2"/>
      <c r="ICW208" s="2"/>
      <c r="ICX208" s="2"/>
      <c r="ICY208" s="2"/>
      <c r="ICZ208" s="2"/>
      <c r="IDA208" s="2"/>
      <c r="IDB208" s="2"/>
      <c r="IDC208" s="2"/>
      <c r="IDD208" s="2"/>
      <c r="IDE208" s="2"/>
      <c r="IDF208" s="2"/>
      <c r="IDG208" s="2"/>
      <c r="IDH208" s="2"/>
      <c r="IDI208" s="2"/>
      <c r="IDJ208" s="2"/>
      <c r="IDK208" s="2"/>
      <c r="IDL208" s="2"/>
      <c r="IDM208" s="2"/>
      <c r="IDN208" s="2"/>
      <c r="IDO208" s="2"/>
      <c r="IDP208" s="2"/>
      <c r="IDQ208" s="2"/>
      <c r="IDR208" s="2"/>
      <c r="IDS208" s="2"/>
      <c r="IDT208" s="2"/>
      <c r="IDU208" s="2"/>
      <c r="IDV208" s="2"/>
      <c r="IDW208" s="2"/>
      <c r="IDX208" s="2"/>
      <c r="IDY208" s="2"/>
      <c r="IDZ208" s="2"/>
      <c r="IEA208" s="2"/>
      <c r="IEB208" s="2"/>
      <c r="IEC208" s="2"/>
      <c r="IED208" s="2"/>
      <c r="IEE208" s="2"/>
      <c r="IEF208" s="2"/>
      <c r="IEG208" s="2"/>
      <c r="IEH208" s="2"/>
      <c r="IEI208" s="2"/>
      <c r="IEJ208" s="2"/>
      <c r="IEK208" s="2"/>
      <c r="IEL208" s="2"/>
      <c r="IEM208" s="2"/>
      <c r="IEN208" s="2"/>
      <c r="IEO208" s="2"/>
      <c r="IEP208" s="2"/>
      <c r="IEQ208" s="2"/>
      <c r="IER208" s="2"/>
      <c r="IES208" s="2"/>
      <c r="IET208" s="2"/>
      <c r="IEU208" s="2"/>
      <c r="IEV208" s="2"/>
      <c r="IEW208" s="2"/>
      <c r="IEX208" s="2"/>
      <c r="IEY208" s="2"/>
      <c r="IEZ208" s="2"/>
      <c r="IFA208" s="2"/>
      <c r="IFB208" s="2"/>
      <c r="IFC208" s="2"/>
      <c r="IFD208" s="2"/>
      <c r="IFE208" s="2"/>
      <c r="IFF208" s="2"/>
      <c r="IFG208" s="2"/>
      <c r="IFH208" s="2"/>
      <c r="IFI208" s="2"/>
      <c r="IFJ208" s="2"/>
      <c r="IFK208" s="2"/>
      <c r="IFL208" s="2"/>
      <c r="IFM208" s="2"/>
      <c r="IFN208" s="2"/>
      <c r="IFO208" s="2"/>
      <c r="IFP208" s="2"/>
      <c r="IFQ208" s="2"/>
      <c r="IFR208" s="2"/>
      <c r="IFS208" s="2"/>
      <c r="IFT208" s="2"/>
      <c r="IFU208" s="2"/>
      <c r="IFV208" s="2"/>
      <c r="IFW208" s="2"/>
      <c r="IFX208" s="2"/>
      <c r="IFY208" s="2"/>
      <c r="IFZ208" s="2"/>
      <c r="IGA208" s="2"/>
      <c r="IGB208" s="2"/>
      <c r="IGC208" s="2"/>
      <c r="IGD208" s="2"/>
      <c r="IGE208" s="2"/>
      <c r="IGF208" s="2"/>
      <c r="IGG208" s="2"/>
      <c r="IGH208" s="2"/>
      <c r="IGI208" s="2"/>
      <c r="IGJ208" s="2"/>
      <c r="IGK208" s="2"/>
      <c r="IGL208" s="2"/>
      <c r="IGM208" s="2"/>
      <c r="IGN208" s="2"/>
      <c r="IGO208" s="2"/>
      <c r="IGP208" s="2"/>
      <c r="IGQ208" s="2"/>
      <c r="IGR208" s="2"/>
      <c r="IGS208" s="2"/>
      <c r="IGT208" s="2"/>
      <c r="IGU208" s="2"/>
      <c r="IGV208" s="2"/>
      <c r="IGW208" s="2"/>
      <c r="IGX208" s="2"/>
      <c r="IGY208" s="2"/>
      <c r="IGZ208" s="2"/>
      <c r="IHA208" s="2"/>
      <c r="IHB208" s="2"/>
      <c r="IHC208" s="2"/>
      <c r="IHD208" s="2"/>
      <c r="IHE208" s="2"/>
      <c r="IHF208" s="2"/>
      <c r="IHG208" s="2"/>
      <c r="IHH208" s="2"/>
      <c r="IHI208" s="2"/>
      <c r="IHJ208" s="2"/>
      <c r="IHK208" s="2"/>
      <c r="IHL208" s="2"/>
      <c r="IHM208" s="2"/>
      <c r="IHN208" s="2"/>
      <c r="IHO208" s="2"/>
      <c r="IHP208" s="2"/>
      <c r="IHQ208" s="2"/>
      <c r="IHR208" s="2"/>
      <c r="IHS208" s="2"/>
      <c r="IHT208" s="2"/>
      <c r="IHU208" s="2"/>
      <c r="IHV208" s="2"/>
      <c r="IHW208" s="2"/>
      <c r="IHX208" s="2"/>
      <c r="IHY208" s="2"/>
      <c r="IHZ208" s="2"/>
      <c r="IIA208" s="2"/>
      <c r="IIB208" s="2"/>
      <c r="IIC208" s="2"/>
      <c r="IID208" s="2"/>
      <c r="IIE208" s="2"/>
      <c r="IIF208" s="2"/>
      <c r="IIG208" s="2"/>
      <c r="IIH208" s="2"/>
      <c r="III208" s="2"/>
      <c r="IIJ208" s="2"/>
      <c r="IIK208" s="2"/>
      <c r="IIL208" s="2"/>
      <c r="IIM208" s="2"/>
      <c r="IIN208" s="2"/>
      <c r="IIO208" s="2"/>
      <c r="IIP208" s="2"/>
      <c r="IIQ208" s="2"/>
      <c r="IIR208" s="2"/>
      <c r="IIS208" s="2"/>
      <c r="IIT208" s="2"/>
      <c r="IIU208" s="2"/>
      <c r="IIV208" s="2"/>
      <c r="IIW208" s="2"/>
      <c r="IIX208" s="2"/>
      <c r="IIY208" s="2"/>
      <c r="IIZ208" s="2"/>
      <c r="IJA208" s="2"/>
      <c r="IJB208" s="2"/>
      <c r="IJC208" s="2"/>
      <c r="IJD208" s="2"/>
      <c r="IJE208" s="2"/>
      <c r="IJF208" s="2"/>
      <c r="IJG208" s="2"/>
      <c r="IJH208" s="2"/>
      <c r="IJI208" s="2"/>
      <c r="IJJ208" s="2"/>
      <c r="IJK208" s="2"/>
      <c r="IJL208" s="2"/>
      <c r="IJM208" s="2"/>
      <c r="IJN208" s="2"/>
      <c r="IJO208" s="2"/>
      <c r="IJP208" s="2"/>
      <c r="IJQ208" s="2"/>
      <c r="IJR208" s="2"/>
      <c r="IJS208" s="2"/>
      <c r="IJT208" s="2"/>
      <c r="IJU208" s="2"/>
      <c r="IJV208" s="2"/>
      <c r="IJW208" s="2"/>
      <c r="IJX208" s="2"/>
      <c r="IJY208" s="2"/>
      <c r="IJZ208" s="2"/>
      <c r="IKA208" s="2"/>
      <c r="IKB208" s="2"/>
      <c r="IKC208" s="2"/>
      <c r="IKD208" s="2"/>
      <c r="IKE208" s="2"/>
      <c r="IKF208" s="2"/>
      <c r="IKG208" s="2"/>
      <c r="IKH208" s="2"/>
      <c r="IKI208" s="2"/>
      <c r="IKJ208" s="2"/>
      <c r="IKK208" s="2"/>
      <c r="IKL208" s="2"/>
      <c r="IKM208" s="2"/>
      <c r="IKN208" s="2"/>
      <c r="IKO208" s="2"/>
      <c r="IKP208" s="2"/>
      <c r="IKQ208" s="2"/>
      <c r="IKR208" s="2"/>
      <c r="IKS208" s="2"/>
      <c r="IKT208" s="2"/>
      <c r="IKU208" s="2"/>
      <c r="IKV208" s="2"/>
      <c r="IKW208" s="2"/>
      <c r="IKX208" s="2"/>
      <c r="IKY208" s="2"/>
      <c r="IKZ208" s="2"/>
      <c r="ILA208" s="2"/>
      <c r="ILB208" s="2"/>
      <c r="ILC208" s="2"/>
      <c r="ILD208" s="2"/>
      <c r="ILE208" s="2"/>
      <c r="ILF208" s="2"/>
      <c r="ILG208" s="2"/>
      <c r="ILH208" s="2"/>
      <c r="ILI208" s="2"/>
      <c r="ILJ208" s="2"/>
      <c r="ILK208" s="2"/>
      <c r="ILL208" s="2"/>
      <c r="ILM208" s="2"/>
      <c r="ILN208" s="2"/>
      <c r="ILO208" s="2"/>
      <c r="ILP208" s="2"/>
      <c r="ILQ208" s="2"/>
      <c r="ILR208" s="2"/>
      <c r="ILS208" s="2"/>
      <c r="ILT208" s="2"/>
      <c r="ILU208" s="2"/>
      <c r="ILV208" s="2"/>
      <c r="ILW208" s="2"/>
      <c r="ILX208" s="2"/>
      <c r="ILY208" s="2"/>
      <c r="ILZ208" s="2"/>
      <c r="IMA208" s="2"/>
      <c r="IMB208" s="2"/>
      <c r="IMC208" s="2"/>
      <c r="IMD208" s="2"/>
      <c r="IME208" s="2"/>
      <c r="IMF208" s="2"/>
      <c r="IMG208" s="2"/>
      <c r="IMH208" s="2"/>
      <c r="IMI208" s="2"/>
      <c r="IMJ208" s="2"/>
      <c r="IMK208" s="2"/>
      <c r="IML208" s="2"/>
      <c r="IMM208" s="2"/>
      <c r="IMN208" s="2"/>
      <c r="IMO208" s="2"/>
      <c r="IMP208" s="2"/>
      <c r="IMQ208" s="2"/>
      <c r="IMR208" s="2"/>
      <c r="IMS208" s="2"/>
      <c r="IMT208" s="2"/>
      <c r="IMU208" s="2"/>
      <c r="IMV208" s="2"/>
      <c r="IMW208" s="2"/>
      <c r="IMX208" s="2"/>
      <c r="IMY208" s="2"/>
      <c r="IMZ208" s="2"/>
      <c r="INA208" s="2"/>
      <c r="INB208" s="2"/>
      <c r="INC208" s="2"/>
      <c r="IND208" s="2"/>
      <c r="INE208" s="2"/>
      <c r="INF208" s="2"/>
      <c r="ING208" s="2"/>
      <c r="INH208" s="2"/>
      <c r="INI208" s="2"/>
      <c r="INJ208" s="2"/>
      <c r="INK208" s="2"/>
      <c r="INL208" s="2"/>
      <c r="INM208" s="2"/>
      <c r="INN208" s="2"/>
      <c r="INO208" s="2"/>
      <c r="INP208" s="2"/>
      <c r="INQ208" s="2"/>
      <c r="INR208" s="2"/>
      <c r="INS208" s="2"/>
      <c r="INT208" s="2"/>
      <c r="INU208" s="2"/>
      <c r="INV208" s="2"/>
      <c r="INW208" s="2"/>
      <c r="INX208" s="2"/>
      <c r="INY208" s="2"/>
      <c r="INZ208" s="2"/>
      <c r="IOA208" s="2"/>
      <c r="IOB208" s="2"/>
      <c r="IOC208" s="2"/>
      <c r="IOD208" s="2"/>
      <c r="IOE208" s="2"/>
      <c r="IOF208" s="2"/>
      <c r="IOG208" s="2"/>
      <c r="IOH208" s="2"/>
      <c r="IOI208" s="2"/>
      <c r="IOJ208" s="2"/>
      <c r="IOK208" s="2"/>
      <c r="IOL208" s="2"/>
      <c r="IOM208" s="2"/>
      <c r="ION208" s="2"/>
      <c r="IOO208" s="2"/>
      <c r="IOP208" s="2"/>
      <c r="IOQ208" s="2"/>
      <c r="IOR208" s="2"/>
      <c r="IOS208" s="2"/>
      <c r="IOT208" s="2"/>
      <c r="IOU208" s="2"/>
      <c r="IOV208" s="2"/>
      <c r="IOW208" s="2"/>
      <c r="IOX208" s="2"/>
      <c r="IOY208" s="2"/>
      <c r="IOZ208" s="2"/>
      <c r="IPA208" s="2"/>
      <c r="IPB208" s="2"/>
      <c r="IPC208" s="2"/>
      <c r="IPD208" s="2"/>
      <c r="IPE208" s="2"/>
      <c r="IPF208" s="2"/>
      <c r="IPG208" s="2"/>
      <c r="IPH208" s="2"/>
      <c r="IPI208" s="2"/>
      <c r="IPJ208" s="2"/>
      <c r="IPK208" s="2"/>
      <c r="IPL208" s="2"/>
      <c r="IPM208" s="2"/>
      <c r="IPN208" s="2"/>
      <c r="IPO208" s="2"/>
      <c r="IPP208" s="2"/>
      <c r="IPQ208" s="2"/>
      <c r="IPR208" s="2"/>
      <c r="IPS208" s="2"/>
      <c r="IPT208" s="2"/>
      <c r="IPU208" s="2"/>
      <c r="IPV208" s="2"/>
      <c r="IPW208" s="2"/>
      <c r="IPX208" s="2"/>
      <c r="IPY208" s="2"/>
      <c r="IPZ208" s="2"/>
      <c r="IQA208" s="2"/>
      <c r="IQB208" s="2"/>
      <c r="IQC208" s="2"/>
      <c r="IQD208" s="2"/>
      <c r="IQE208" s="2"/>
      <c r="IQF208" s="2"/>
      <c r="IQG208" s="2"/>
      <c r="IQH208" s="2"/>
      <c r="IQI208" s="2"/>
      <c r="IQJ208" s="2"/>
      <c r="IQK208" s="2"/>
      <c r="IQL208" s="2"/>
      <c r="IQM208" s="2"/>
      <c r="IQN208" s="2"/>
      <c r="IQO208" s="2"/>
      <c r="IQP208" s="2"/>
      <c r="IQQ208" s="2"/>
      <c r="IQR208" s="2"/>
      <c r="IQS208" s="2"/>
      <c r="IQT208" s="2"/>
      <c r="IQU208" s="2"/>
      <c r="IQV208" s="2"/>
      <c r="IQW208" s="2"/>
      <c r="IQX208" s="2"/>
      <c r="IQY208" s="2"/>
      <c r="IQZ208" s="2"/>
      <c r="IRA208" s="2"/>
      <c r="IRB208" s="2"/>
      <c r="IRC208" s="2"/>
      <c r="IRD208" s="2"/>
      <c r="IRE208" s="2"/>
      <c r="IRF208" s="2"/>
      <c r="IRG208" s="2"/>
      <c r="IRH208" s="2"/>
      <c r="IRI208" s="2"/>
      <c r="IRJ208" s="2"/>
      <c r="IRK208" s="2"/>
      <c r="IRL208" s="2"/>
      <c r="IRM208" s="2"/>
      <c r="IRN208" s="2"/>
      <c r="IRO208" s="2"/>
      <c r="IRP208" s="2"/>
      <c r="IRQ208" s="2"/>
      <c r="IRR208" s="2"/>
      <c r="IRS208" s="2"/>
      <c r="IRT208" s="2"/>
      <c r="IRU208" s="2"/>
      <c r="IRV208" s="2"/>
      <c r="IRW208" s="2"/>
      <c r="IRX208" s="2"/>
      <c r="IRY208" s="2"/>
      <c r="IRZ208" s="2"/>
      <c r="ISA208" s="2"/>
      <c r="ISB208" s="2"/>
      <c r="ISC208" s="2"/>
      <c r="ISD208" s="2"/>
      <c r="ISE208" s="2"/>
      <c r="ISF208" s="2"/>
      <c r="ISG208" s="2"/>
      <c r="ISH208" s="2"/>
      <c r="ISI208" s="2"/>
      <c r="ISJ208" s="2"/>
      <c r="ISK208" s="2"/>
      <c r="ISL208" s="2"/>
      <c r="ISM208" s="2"/>
      <c r="ISN208" s="2"/>
      <c r="ISO208" s="2"/>
      <c r="ISP208" s="2"/>
      <c r="ISQ208" s="2"/>
      <c r="ISR208" s="2"/>
      <c r="ISS208" s="2"/>
      <c r="IST208" s="2"/>
      <c r="ISU208" s="2"/>
      <c r="ISV208" s="2"/>
      <c r="ISW208" s="2"/>
      <c r="ISX208" s="2"/>
      <c r="ISY208" s="2"/>
      <c r="ISZ208" s="2"/>
      <c r="ITA208" s="2"/>
      <c r="ITB208" s="2"/>
      <c r="ITC208" s="2"/>
      <c r="ITD208" s="2"/>
      <c r="ITE208" s="2"/>
      <c r="ITF208" s="2"/>
      <c r="ITG208" s="2"/>
      <c r="ITH208" s="2"/>
      <c r="ITI208" s="2"/>
      <c r="ITJ208" s="2"/>
      <c r="ITK208" s="2"/>
      <c r="ITL208" s="2"/>
      <c r="ITM208" s="2"/>
      <c r="ITN208" s="2"/>
      <c r="ITO208" s="2"/>
      <c r="ITP208" s="2"/>
      <c r="ITQ208" s="2"/>
      <c r="ITR208" s="2"/>
      <c r="ITS208" s="2"/>
      <c r="ITT208" s="2"/>
      <c r="ITU208" s="2"/>
      <c r="ITV208" s="2"/>
      <c r="ITW208" s="2"/>
      <c r="ITX208" s="2"/>
      <c r="ITY208" s="2"/>
      <c r="ITZ208" s="2"/>
      <c r="IUA208" s="2"/>
      <c r="IUB208" s="2"/>
      <c r="IUC208" s="2"/>
      <c r="IUD208" s="2"/>
      <c r="IUE208" s="2"/>
      <c r="IUF208" s="2"/>
      <c r="IUG208" s="2"/>
      <c r="IUH208" s="2"/>
      <c r="IUI208" s="2"/>
      <c r="IUJ208" s="2"/>
      <c r="IUK208" s="2"/>
      <c r="IUL208" s="2"/>
      <c r="IUM208" s="2"/>
      <c r="IUN208" s="2"/>
      <c r="IUO208" s="2"/>
      <c r="IUP208" s="2"/>
      <c r="IUQ208" s="2"/>
      <c r="IUR208" s="2"/>
      <c r="IUS208" s="2"/>
      <c r="IUT208" s="2"/>
      <c r="IUU208" s="2"/>
      <c r="IUV208" s="2"/>
      <c r="IUW208" s="2"/>
      <c r="IUX208" s="2"/>
      <c r="IUY208" s="2"/>
      <c r="IUZ208" s="2"/>
      <c r="IVA208" s="2"/>
      <c r="IVB208" s="2"/>
      <c r="IVC208" s="2"/>
      <c r="IVD208" s="2"/>
      <c r="IVE208" s="2"/>
      <c r="IVF208" s="2"/>
      <c r="IVG208" s="2"/>
      <c r="IVH208" s="2"/>
      <c r="IVI208" s="2"/>
      <c r="IVJ208" s="2"/>
      <c r="IVK208" s="2"/>
      <c r="IVL208" s="2"/>
      <c r="IVM208" s="2"/>
      <c r="IVN208" s="2"/>
      <c r="IVO208" s="2"/>
      <c r="IVP208" s="2"/>
      <c r="IVQ208" s="2"/>
      <c r="IVR208" s="2"/>
      <c r="IVS208" s="2"/>
      <c r="IVT208" s="2"/>
      <c r="IVU208" s="2"/>
      <c r="IVV208" s="2"/>
      <c r="IVW208" s="2"/>
      <c r="IVX208" s="2"/>
      <c r="IVY208" s="2"/>
      <c r="IVZ208" s="2"/>
      <c r="IWA208" s="2"/>
      <c r="IWB208" s="2"/>
      <c r="IWC208" s="2"/>
      <c r="IWD208" s="2"/>
      <c r="IWE208" s="2"/>
      <c r="IWF208" s="2"/>
      <c r="IWG208" s="2"/>
      <c r="IWH208" s="2"/>
      <c r="IWI208" s="2"/>
      <c r="IWJ208" s="2"/>
      <c r="IWK208" s="2"/>
      <c r="IWL208" s="2"/>
      <c r="IWM208" s="2"/>
      <c r="IWN208" s="2"/>
      <c r="IWO208" s="2"/>
      <c r="IWP208" s="2"/>
      <c r="IWQ208" s="2"/>
      <c r="IWR208" s="2"/>
      <c r="IWS208" s="2"/>
      <c r="IWT208" s="2"/>
      <c r="IWU208" s="2"/>
      <c r="IWV208" s="2"/>
      <c r="IWW208" s="2"/>
      <c r="IWX208" s="2"/>
      <c r="IWY208" s="2"/>
      <c r="IWZ208" s="2"/>
      <c r="IXA208" s="2"/>
      <c r="IXB208" s="2"/>
      <c r="IXC208" s="2"/>
      <c r="IXD208" s="2"/>
      <c r="IXE208" s="2"/>
      <c r="IXF208" s="2"/>
      <c r="IXG208" s="2"/>
      <c r="IXH208" s="2"/>
      <c r="IXI208" s="2"/>
      <c r="IXJ208" s="2"/>
      <c r="IXK208" s="2"/>
      <c r="IXL208" s="2"/>
      <c r="IXM208" s="2"/>
      <c r="IXN208" s="2"/>
      <c r="IXO208" s="2"/>
      <c r="IXP208" s="2"/>
      <c r="IXQ208" s="2"/>
      <c r="IXR208" s="2"/>
      <c r="IXS208" s="2"/>
      <c r="IXT208" s="2"/>
      <c r="IXU208" s="2"/>
      <c r="IXV208" s="2"/>
      <c r="IXW208" s="2"/>
      <c r="IXX208" s="2"/>
      <c r="IXY208" s="2"/>
      <c r="IXZ208" s="2"/>
      <c r="IYA208" s="2"/>
      <c r="IYB208" s="2"/>
      <c r="IYC208" s="2"/>
      <c r="IYD208" s="2"/>
      <c r="IYE208" s="2"/>
      <c r="IYF208" s="2"/>
      <c r="IYG208" s="2"/>
      <c r="IYH208" s="2"/>
      <c r="IYI208" s="2"/>
      <c r="IYJ208" s="2"/>
      <c r="IYK208" s="2"/>
      <c r="IYL208" s="2"/>
      <c r="IYM208" s="2"/>
      <c r="IYN208" s="2"/>
      <c r="IYO208" s="2"/>
      <c r="IYP208" s="2"/>
      <c r="IYQ208" s="2"/>
      <c r="IYR208" s="2"/>
      <c r="IYS208" s="2"/>
      <c r="IYT208" s="2"/>
      <c r="IYU208" s="2"/>
      <c r="IYV208" s="2"/>
      <c r="IYW208" s="2"/>
      <c r="IYX208" s="2"/>
      <c r="IYY208" s="2"/>
      <c r="IYZ208" s="2"/>
      <c r="IZA208" s="2"/>
      <c r="IZB208" s="2"/>
      <c r="IZC208" s="2"/>
      <c r="IZD208" s="2"/>
      <c r="IZE208" s="2"/>
      <c r="IZF208" s="2"/>
      <c r="IZG208" s="2"/>
      <c r="IZH208" s="2"/>
      <c r="IZI208" s="2"/>
      <c r="IZJ208" s="2"/>
      <c r="IZK208" s="2"/>
      <c r="IZL208" s="2"/>
      <c r="IZM208" s="2"/>
      <c r="IZN208" s="2"/>
      <c r="IZO208" s="2"/>
      <c r="IZP208" s="2"/>
      <c r="IZQ208" s="2"/>
      <c r="IZR208" s="2"/>
      <c r="IZS208" s="2"/>
      <c r="IZT208" s="2"/>
      <c r="IZU208" s="2"/>
      <c r="IZV208" s="2"/>
      <c r="IZW208" s="2"/>
      <c r="IZX208" s="2"/>
      <c r="IZY208" s="2"/>
      <c r="IZZ208" s="2"/>
      <c r="JAA208" s="2"/>
      <c r="JAB208" s="2"/>
      <c r="JAC208" s="2"/>
      <c r="JAD208" s="2"/>
      <c r="JAE208" s="2"/>
      <c r="JAF208" s="2"/>
      <c r="JAG208" s="2"/>
      <c r="JAH208" s="2"/>
      <c r="JAI208" s="2"/>
      <c r="JAJ208" s="2"/>
      <c r="JAK208" s="2"/>
      <c r="JAL208" s="2"/>
      <c r="JAM208" s="2"/>
      <c r="JAN208" s="2"/>
      <c r="JAO208" s="2"/>
      <c r="JAP208" s="2"/>
      <c r="JAQ208" s="2"/>
      <c r="JAR208" s="2"/>
      <c r="JAS208" s="2"/>
      <c r="JAT208" s="2"/>
      <c r="JAU208" s="2"/>
      <c r="JAV208" s="2"/>
      <c r="JAW208" s="2"/>
      <c r="JAX208" s="2"/>
      <c r="JAY208" s="2"/>
      <c r="JAZ208" s="2"/>
      <c r="JBA208" s="2"/>
      <c r="JBB208" s="2"/>
      <c r="JBC208" s="2"/>
      <c r="JBD208" s="2"/>
      <c r="JBE208" s="2"/>
      <c r="JBF208" s="2"/>
      <c r="JBG208" s="2"/>
      <c r="JBH208" s="2"/>
      <c r="JBI208" s="2"/>
      <c r="JBJ208" s="2"/>
      <c r="JBK208" s="2"/>
      <c r="JBL208" s="2"/>
      <c r="JBM208" s="2"/>
      <c r="JBN208" s="2"/>
      <c r="JBO208" s="2"/>
      <c r="JBP208" s="2"/>
      <c r="JBQ208" s="2"/>
      <c r="JBR208" s="2"/>
      <c r="JBS208" s="2"/>
      <c r="JBT208" s="2"/>
      <c r="JBU208" s="2"/>
      <c r="JBV208" s="2"/>
      <c r="JBW208" s="2"/>
      <c r="JBX208" s="2"/>
      <c r="JBY208" s="2"/>
      <c r="JBZ208" s="2"/>
      <c r="JCA208" s="2"/>
      <c r="JCB208" s="2"/>
      <c r="JCC208" s="2"/>
      <c r="JCD208" s="2"/>
      <c r="JCE208" s="2"/>
      <c r="JCF208" s="2"/>
      <c r="JCG208" s="2"/>
      <c r="JCH208" s="2"/>
      <c r="JCI208" s="2"/>
      <c r="JCJ208" s="2"/>
      <c r="JCK208" s="2"/>
      <c r="JCL208" s="2"/>
      <c r="JCM208" s="2"/>
      <c r="JCN208" s="2"/>
      <c r="JCO208" s="2"/>
      <c r="JCP208" s="2"/>
      <c r="JCQ208" s="2"/>
      <c r="JCR208" s="2"/>
      <c r="JCS208" s="2"/>
      <c r="JCT208" s="2"/>
      <c r="JCU208" s="2"/>
      <c r="JCV208" s="2"/>
      <c r="JCW208" s="2"/>
      <c r="JCX208" s="2"/>
      <c r="JCY208" s="2"/>
      <c r="JCZ208" s="2"/>
      <c r="JDA208" s="2"/>
      <c r="JDB208" s="2"/>
      <c r="JDC208" s="2"/>
      <c r="JDD208" s="2"/>
      <c r="JDE208" s="2"/>
      <c r="JDF208" s="2"/>
      <c r="JDG208" s="2"/>
      <c r="JDH208" s="2"/>
      <c r="JDI208" s="2"/>
      <c r="JDJ208" s="2"/>
      <c r="JDK208" s="2"/>
      <c r="JDL208" s="2"/>
      <c r="JDM208" s="2"/>
      <c r="JDN208" s="2"/>
      <c r="JDO208" s="2"/>
      <c r="JDP208" s="2"/>
      <c r="JDQ208" s="2"/>
      <c r="JDR208" s="2"/>
      <c r="JDS208" s="2"/>
      <c r="JDT208" s="2"/>
      <c r="JDU208" s="2"/>
      <c r="JDV208" s="2"/>
      <c r="JDW208" s="2"/>
      <c r="JDX208" s="2"/>
      <c r="JDY208" s="2"/>
      <c r="JDZ208" s="2"/>
      <c r="JEA208" s="2"/>
      <c r="JEB208" s="2"/>
      <c r="JEC208" s="2"/>
      <c r="JED208" s="2"/>
      <c r="JEE208" s="2"/>
      <c r="JEF208" s="2"/>
      <c r="JEG208" s="2"/>
      <c r="JEH208" s="2"/>
      <c r="JEI208" s="2"/>
      <c r="JEJ208" s="2"/>
      <c r="JEK208" s="2"/>
      <c r="JEL208" s="2"/>
      <c r="JEM208" s="2"/>
      <c r="JEN208" s="2"/>
      <c r="JEO208" s="2"/>
      <c r="JEP208" s="2"/>
      <c r="JEQ208" s="2"/>
      <c r="JER208" s="2"/>
      <c r="JES208" s="2"/>
      <c r="JET208" s="2"/>
      <c r="JEU208" s="2"/>
      <c r="JEV208" s="2"/>
      <c r="JEW208" s="2"/>
      <c r="JEX208" s="2"/>
      <c r="JEY208" s="2"/>
      <c r="JEZ208" s="2"/>
      <c r="JFA208" s="2"/>
      <c r="JFB208" s="2"/>
      <c r="JFC208" s="2"/>
      <c r="JFD208" s="2"/>
      <c r="JFE208" s="2"/>
      <c r="JFF208" s="2"/>
      <c r="JFG208" s="2"/>
      <c r="JFH208" s="2"/>
      <c r="JFI208" s="2"/>
      <c r="JFJ208" s="2"/>
      <c r="JFK208" s="2"/>
      <c r="JFL208" s="2"/>
      <c r="JFM208" s="2"/>
      <c r="JFN208" s="2"/>
      <c r="JFO208" s="2"/>
      <c r="JFP208" s="2"/>
      <c r="JFQ208" s="2"/>
      <c r="JFR208" s="2"/>
      <c r="JFS208" s="2"/>
      <c r="JFT208" s="2"/>
      <c r="JFU208" s="2"/>
      <c r="JFV208" s="2"/>
      <c r="JFW208" s="2"/>
      <c r="JFX208" s="2"/>
      <c r="JFY208" s="2"/>
      <c r="JFZ208" s="2"/>
      <c r="JGA208" s="2"/>
      <c r="JGB208" s="2"/>
      <c r="JGC208" s="2"/>
      <c r="JGD208" s="2"/>
      <c r="JGE208" s="2"/>
      <c r="JGF208" s="2"/>
      <c r="JGG208" s="2"/>
      <c r="JGH208" s="2"/>
      <c r="JGI208" s="2"/>
      <c r="JGJ208" s="2"/>
      <c r="JGK208" s="2"/>
      <c r="JGL208" s="2"/>
      <c r="JGM208" s="2"/>
      <c r="JGN208" s="2"/>
      <c r="JGO208" s="2"/>
      <c r="JGP208" s="2"/>
      <c r="JGQ208" s="2"/>
      <c r="JGR208" s="2"/>
      <c r="JGS208" s="2"/>
      <c r="JGT208" s="2"/>
      <c r="JGU208" s="2"/>
      <c r="JGV208" s="2"/>
      <c r="JGW208" s="2"/>
      <c r="JGX208" s="2"/>
      <c r="JGY208" s="2"/>
      <c r="JGZ208" s="2"/>
      <c r="JHA208" s="2"/>
      <c r="JHB208" s="2"/>
      <c r="JHC208" s="2"/>
      <c r="JHD208" s="2"/>
      <c r="JHE208" s="2"/>
      <c r="JHF208" s="2"/>
      <c r="JHG208" s="2"/>
      <c r="JHH208" s="2"/>
      <c r="JHI208" s="2"/>
      <c r="JHJ208" s="2"/>
      <c r="JHK208" s="2"/>
      <c r="JHL208" s="2"/>
      <c r="JHM208" s="2"/>
      <c r="JHN208" s="2"/>
      <c r="JHO208" s="2"/>
      <c r="JHP208" s="2"/>
      <c r="JHQ208" s="2"/>
      <c r="JHR208" s="2"/>
      <c r="JHS208" s="2"/>
      <c r="JHT208" s="2"/>
      <c r="JHU208" s="2"/>
      <c r="JHV208" s="2"/>
      <c r="JHW208" s="2"/>
      <c r="JHX208" s="2"/>
      <c r="JHY208" s="2"/>
      <c r="JHZ208" s="2"/>
      <c r="JIA208" s="2"/>
      <c r="JIB208" s="2"/>
      <c r="JIC208" s="2"/>
      <c r="JID208" s="2"/>
      <c r="JIE208" s="2"/>
      <c r="JIF208" s="2"/>
      <c r="JIG208" s="2"/>
      <c r="JIH208" s="2"/>
      <c r="JII208" s="2"/>
      <c r="JIJ208" s="2"/>
      <c r="JIK208" s="2"/>
      <c r="JIL208" s="2"/>
      <c r="JIM208" s="2"/>
      <c r="JIN208" s="2"/>
      <c r="JIO208" s="2"/>
      <c r="JIP208" s="2"/>
      <c r="JIQ208" s="2"/>
      <c r="JIR208" s="2"/>
      <c r="JIS208" s="2"/>
      <c r="JIT208" s="2"/>
      <c r="JIU208" s="2"/>
      <c r="JIV208" s="2"/>
      <c r="JIW208" s="2"/>
      <c r="JIX208" s="2"/>
      <c r="JIY208" s="2"/>
      <c r="JIZ208" s="2"/>
      <c r="JJA208" s="2"/>
      <c r="JJB208" s="2"/>
      <c r="JJC208" s="2"/>
      <c r="JJD208" s="2"/>
      <c r="JJE208" s="2"/>
      <c r="JJF208" s="2"/>
      <c r="JJG208" s="2"/>
      <c r="JJH208" s="2"/>
      <c r="JJI208" s="2"/>
      <c r="JJJ208" s="2"/>
      <c r="JJK208" s="2"/>
      <c r="JJL208" s="2"/>
      <c r="JJM208" s="2"/>
      <c r="JJN208" s="2"/>
      <c r="JJO208" s="2"/>
      <c r="JJP208" s="2"/>
      <c r="JJQ208" s="2"/>
      <c r="JJR208" s="2"/>
      <c r="JJS208" s="2"/>
      <c r="JJT208" s="2"/>
      <c r="JJU208" s="2"/>
      <c r="JJV208" s="2"/>
      <c r="JJW208" s="2"/>
      <c r="JJX208" s="2"/>
      <c r="JJY208" s="2"/>
      <c r="JJZ208" s="2"/>
      <c r="JKA208" s="2"/>
      <c r="JKB208" s="2"/>
      <c r="JKC208" s="2"/>
      <c r="JKD208" s="2"/>
      <c r="JKE208" s="2"/>
      <c r="JKF208" s="2"/>
      <c r="JKG208" s="2"/>
      <c r="JKH208" s="2"/>
      <c r="JKI208" s="2"/>
      <c r="JKJ208" s="2"/>
      <c r="JKK208" s="2"/>
      <c r="JKL208" s="2"/>
      <c r="JKM208" s="2"/>
      <c r="JKN208" s="2"/>
      <c r="JKO208" s="2"/>
      <c r="JKP208" s="2"/>
      <c r="JKQ208" s="2"/>
      <c r="JKR208" s="2"/>
      <c r="JKS208" s="2"/>
      <c r="JKT208" s="2"/>
      <c r="JKU208" s="2"/>
      <c r="JKV208" s="2"/>
      <c r="JKW208" s="2"/>
      <c r="JKX208" s="2"/>
      <c r="JKY208" s="2"/>
      <c r="JKZ208" s="2"/>
      <c r="JLA208" s="2"/>
      <c r="JLB208" s="2"/>
      <c r="JLC208" s="2"/>
      <c r="JLD208" s="2"/>
      <c r="JLE208" s="2"/>
      <c r="JLF208" s="2"/>
      <c r="JLG208" s="2"/>
      <c r="JLH208" s="2"/>
      <c r="JLI208" s="2"/>
      <c r="JLJ208" s="2"/>
      <c r="JLK208" s="2"/>
      <c r="JLL208" s="2"/>
      <c r="JLM208" s="2"/>
      <c r="JLN208" s="2"/>
      <c r="JLO208" s="2"/>
      <c r="JLP208" s="2"/>
      <c r="JLQ208" s="2"/>
      <c r="JLR208" s="2"/>
      <c r="JLS208" s="2"/>
      <c r="JLT208" s="2"/>
      <c r="JLU208" s="2"/>
      <c r="JLV208" s="2"/>
      <c r="JLW208" s="2"/>
      <c r="JLX208" s="2"/>
      <c r="JLY208" s="2"/>
      <c r="JLZ208" s="2"/>
      <c r="JMA208" s="2"/>
      <c r="JMB208" s="2"/>
      <c r="JMC208" s="2"/>
      <c r="JMD208" s="2"/>
      <c r="JME208" s="2"/>
      <c r="JMF208" s="2"/>
      <c r="JMG208" s="2"/>
      <c r="JMH208" s="2"/>
      <c r="JMI208" s="2"/>
      <c r="JMJ208" s="2"/>
      <c r="JMK208" s="2"/>
      <c r="JML208" s="2"/>
      <c r="JMM208" s="2"/>
      <c r="JMN208" s="2"/>
      <c r="JMO208" s="2"/>
      <c r="JMP208" s="2"/>
      <c r="JMQ208" s="2"/>
      <c r="JMR208" s="2"/>
      <c r="JMS208" s="2"/>
      <c r="JMT208" s="2"/>
      <c r="JMU208" s="2"/>
      <c r="JMV208" s="2"/>
      <c r="JMW208" s="2"/>
      <c r="JMX208" s="2"/>
      <c r="JMY208" s="2"/>
      <c r="JMZ208" s="2"/>
      <c r="JNA208" s="2"/>
      <c r="JNB208" s="2"/>
      <c r="JNC208" s="2"/>
      <c r="JND208" s="2"/>
      <c r="JNE208" s="2"/>
      <c r="JNF208" s="2"/>
      <c r="JNG208" s="2"/>
      <c r="JNH208" s="2"/>
      <c r="JNI208" s="2"/>
      <c r="JNJ208" s="2"/>
      <c r="JNK208" s="2"/>
      <c r="JNL208" s="2"/>
      <c r="JNM208" s="2"/>
      <c r="JNN208" s="2"/>
      <c r="JNO208" s="2"/>
      <c r="JNP208" s="2"/>
      <c r="JNQ208" s="2"/>
      <c r="JNR208" s="2"/>
      <c r="JNS208" s="2"/>
      <c r="JNT208" s="2"/>
      <c r="JNU208" s="2"/>
      <c r="JNV208" s="2"/>
      <c r="JNW208" s="2"/>
      <c r="JNX208" s="2"/>
      <c r="JNY208" s="2"/>
      <c r="JNZ208" s="2"/>
      <c r="JOA208" s="2"/>
      <c r="JOB208" s="2"/>
      <c r="JOC208" s="2"/>
      <c r="JOD208" s="2"/>
      <c r="JOE208" s="2"/>
      <c r="JOF208" s="2"/>
      <c r="JOG208" s="2"/>
      <c r="JOH208" s="2"/>
      <c r="JOI208" s="2"/>
      <c r="JOJ208" s="2"/>
      <c r="JOK208" s="2"/>
      <c r="JOL208" s="2"/>
      <c r="JOM208" s="2"/>
      <c r="JON208" s="2"/>
      <c r="JOO208" s="2"/>
      <c r="JOP208" s="2"/>
      <c r="JOQ208" s="2"/>
      <c r="JOR208" s="2"/>
      <c r="JOS208" s="2"/>
      <c r="JOT208" s="2"/>
      <c r="JOU208" s="2"/>
      <c r="JOV208" s="2"/>
      <c r="JOW208" s="2"/>
      <c r="JOX208" s="2"/>
      <c r="JOY208" s="2"/>
      <c r="JOZ208" s="2"/>
      <c r="JPA208" s="2"/>
      <c r="JPB208" s="2"/>
      <c r="JPC208" s="2"/>
      <c r="JPD208" s="2"/>
      <c r="JPE208" s="2"/>
      <c r="JPF208" s="2"/>
      <c r="JPG208" s="2"/>
      <c r="JPH208" s="2"/>
      <c r="JPI208" s="2"/>
      <c r="JPJ208" s="2"/>
      <c r="JPK208" s="2"/>
      <c r="JPL208" s="2"/>
      <c r="JPM208" s="2"/>
      <c r="JPN208" s="2"/>
      <c r="JPO208" s="2"/>
      <c r="JPP208" s="2"/>
      <c r="JPQ208" s="2"/>
      <c r="JPR208" s="2"/>
      <c r="JPS208" s="2"/>
      <c r="JPT208" s="2"/>
      <c r="JPU208" s="2"/>
      <c r="JPV208" s="2"/>
      <c r="JPW208" s="2"/>
      <c r="JPX208" s="2"/>
      <c r="JPY208" s="2"/>
      <c r="JPZ208" s="2"/>
      <c r="JQA208" s="2"/>
      <c r="JQB208" s="2"/>
      <c r="JQC208" s="2"/>
      <c r="JQD208" s="2"/>
      <c r="JQE208" s="2"/>
      <c r="JQF208" s="2"/>
      <c r="JQG208" s="2"/>
      <c r="JQH208" s="2"/>
      <c r="JQI208" s="2"/>
      <c r="JQJ208" s="2"/>
      <c r="JQK208" s="2"/>
      <c r="JQL208" s="2"/>
      <c r="JQM208" s="2"/>
      <c r="JQN208" s="2"/>
      <c r="JQO208" s="2"/>
      <c r="JQP208" s="2"/>
      <c r="JQQ208" s="2"/>
      <c r="JQR208" s="2"/>
      <c r="JQS208" s="2"/>
      <c r="JQT208" s="2"/>
      <c r="JQU208" s="2"/>
      <c r="JQV208" s="2"/>
      <c r="JQW208" s="2"/>
      <c r="JQX208" s="2"/>
      <c r="JQY208" s="2"/>
      <c r="JQZ208" s="2"/>
      <c r="JRA208" s="2"/>
      <c r="JRB208" s="2"/>
      <c r="JRC208" s="2"/>
      <c r="JRD208" s="2"/>
      <c r="JRE208" s="2"/>
      <c r="JRF208" s="2"/>
      <c r="JRG208" s="2"/>
      <c r="JRH208" s="2"/>
      <c r="JRI208" s="2"/>
      <c r="JRJ208" s="2"/>
      <c r="JRK208" s="2"/>
      <c r="JRL208" s="2"/>
      <c r="JRM208" s="2"/>
      <c r="JRN208" s="2"/>
      <c r="JRO208" s="2"/>
      <c r="JRP208" s="2"/>
      <c r="JRQ208" s="2"/>
      <c r="JRR208" s="2"/>
      <c r="JRS208" s="2"/>
      <c r="JRT208" s="2"/>
      <c r="JRU208" s="2"/>
      <c r="JRV208" s="2"/>
      <c r="JRW208" s="2"/>
      <c r="JRX208" s="2"/>
      <c r="JRY208" s="2"/>
      <c r="JRZ208" s="2"/>
      <c r="JSA208" s="2"/>
      <c r="JSB208" s="2"/>
      <c r="JSC208" s="2"/>
      <c r="JSD208" s="2"/>
      <c r="JSE208" s="2"/>
      <c r="JSF208" s="2"/>
      <c r="JSG208" s="2"/>
      <c r="JSH208" s="2"/>
      <c r="JSI208" s="2"/>
      <c r="JSJ208" s="2"/>
      <c r="JSK208" s="2"/>
      <c r="JSL208" s="2"/>
      <c r="JSM208" s="2"/>
      <c r="JSN208" s="2"/>
      <c r="JSO208" s="2"/>
      <c r="JSP208" s="2"/>
      <c r="JSQ208" s="2"/>
      <c r="JSR208" s="2"/>
      <c r="JSS208" s="2"/>
      <c r="JST208" s="2"/>
      <c r="JSU208" s="2"/>
      <c r="JSV208" s="2"/>
      <c r="JSW208" s="2"/>
      <c r="JSX208" s="2"/>
      <c r="JSY208" s="2"/>
      <c r="JSZ208" s="2"/>
      <c r="JTA208" s="2"/>
      <c r="JTB208" s="2"/>
      <c r="JTC208" s="2"/>
      <c r="JTD208" s="2"/>
      <c r="JTE208" s="2"/>
      <c r="JTF208" s="2"/>
      <c r="JTG208" s="2"/>
      <c r="JTH208" s="2"/>
      <c r="JTI208" s="2"/>
      <c r="JTJ208" s="2"/>
      <c r="JTK208" s="2"/>
      <c r="JTL208" s="2"/>
      <c r="JTM208" s="2"/>
      <c r="JTN208" s="2"/>
      <c r="JTO208" s="2"/>
      <c r="JTP208" s="2"/>
      <c r="JTQ208" s="2"/>
      <c r="JTR208" s="2"/>
      <c r="JTS208" s="2"/>
      <c r="JTT208" s="2"/>
      <c r="JTU208" s="2"/>
      <c r="JTV208" s="2"/>
      <c r="JTW208" s="2"/>
      <c r="JTX208" s="2"/>
      <c r="JTY208" s="2"/>
      <c r="JTZ208" s="2"/>
      <c r="JUA208" s="2"/>
      <c r="JUB208" s="2"/>
      <c r="JUC208" s="2"/>
      <c r="JUD208" s="2"/>
      <c r="JUE208" s="2"/>
      <c r="JUF208" s="2"/>
      <c r="JUG208" s="2"/>
      <c r="JUH208" s="2"/>
      <c r="JUI208" s="2"/>
      <c r="JUJ208" s="2"/>
      <c r="JUK208" s="2"/>
      <c r="JUL208" s="2"/>
      <c r="JUM208" s="2"/>
      <c r="JUN208" s="2"/>
      <c r="JUO208" s="2"/>
      <c r="JUP208" s="2"/>
      <c r="JUQ208" s="2"/>
      <c r="JUR208" s="2"/>
      <c r="JUS208" s="2"/>
      <c r="JUT208" s="2"/>
      <c r="JUU208" s="2"/>
      <c r="JUV208" s="2"/>
      <c r="JUW208" s="2"/>
      <c r="JUX208" s="2"/>
      <c r="JUY208" s="2"/>
      <c r="JUZ208" s="2"/>
      <c r="JVA208" s="2"/>
      <c r="JVB208" s="2"/>
      <c r="JVC208" s="2"/>
      <c r="JVD208" s="2"/>
      <c r="JVE208" s="2"/>
      <c r="JVF208" s="2"/>
      <c r="JVG208" s="2"/>
      <c r="JVH208" s="2"/>
      <c r="JVI208" s="2"/>
      <c r="JVJ208" s="2"/>
      <c r="JVK208" s="2"/>
      <c r="JVL208" s="2"/>
      <c r="JVM208" s="2"/>
      <c r="JVN208" s="2"/>
      <c r="JVO208" s="2"/>
      <c r="JVP208" s="2"/>
      <c r="JVQ208" s="2"/>
      <c r="JVR208" s="2"/>
      <c r="JVS208" s="2"/>
      <c r="JVT208" s="2"/>
      <c r="JVU208" s="2"/>
      <c r="JVV208" s="2"/>
      <c r="JVW208" s="2"/>
      <c r="JVX208" s="2"/>
      <c r="JVY208" s="2"/>
      <c r="JVZ208" s="2"/>
      <c r="JWA208" s="2"/>
      <c r="JWB208" s="2"/>
      <c r="JWC208" s="2"/>
      <c r="JWD208" s="2"/>
      <c r="JWE208" s="2"/>
      <c r="JWF208" s="2"/>
      <c r="JWG208" s="2"/>
      <c r="JWH208" s="2"/>
      <c r="JWI208" s="2"/>
      <c r="JWJ208" s="2"/>
      <c r="JWK208" s="2"/>
      <c r="JWL208" s="2"/>
      <c r="JWM208" s="2"/>
      <c r="JWN208" s="2"/>
      <c r="JWO208" s="2"/>
      <c r="JWP208" s="2"/>
      <c r="JWQ208" s="2"/>
      <c r="JWR208" s="2"/>
      <c r="JWS208" s="2"/>
      <c r="JWT208" s="2"/>
      <c r="JWU208" s="2"/>
      <c r="JWV208" s="2"/>
      <c r="JWW208" s="2"/>
      <c r="JWX208" s="2"/>
      <c r="JWY208" s="2"/>
      <c r="JWZ208" s="2"/>
      <c r="JXA208" s="2"/>
      <c r="JXB208" s="2"/>
      <c r="JXC208" s="2"/>
      <c r="JXD208" s="2"/>
      <c r="JXE208" s="2"/>
      <c r="JXF208" s="2"/>
      <c r="JXG208" s="2"/>
      <c r="JXH208" s="2"/>
      <c r="JXI208" s="2"/>
      <c r="JXJ208" s="2"/>
      <c r="JXK208" s="2"/>
      <c r="JXL208" s="2"/>
      <c r="JXM208" s="2"/>
      <c r="JXN208" s="2"/>
      <c r="JXO208" s="2"/>
      <c r="JXP208" s="2"/>
      <c r="JXQ208" s="2"/>
      <c r="JXR208" s="2"/>
      <c r="JXS208" s="2"/>
      <c r="JXT208" s="2"/>
      <c r="JXU208" s="2"/>
      <c r="JXV208" s="2"/>
      <c r="JXW208" s="2"/>
      <c r="JXX208" s="2"/>
      <c r="JXY208" s="2"/>
      <c r="JXZ208" s="2"/>
      <c r="JYA208" s="2"/>
      <c r="JYB208" s="2"/>
      <c r="JYC208" s="2"/>
      <c r="JYD208" s="2"/>
      <c r="JYE208" s="2"/>
      <c r="JYF208" s="2"/>
      <c r="JYG208" s="2"/>
      <c r="JYH208" s="2"/>
      <c r="JYI208" s="2"/>
      <c r="JYJ208" s="2"/>
      <c r="JYK208" s="2"/>
      <c r="JYL208" s="2"/>
      <c r="JYM208" s="2"/>
      <c r="JYN208" s="2"/>
      <c r="JYO208" s="2"/>
      <c r="JYP208" s="2"/>
      <c r="JYQ208" s="2"/>
      <c r="JYR208" s="2"/>
      <c r="JYS208" s="2"/>
      <c r="JYT208" s="2"/>
      <c r="JYU208" s="2"/>
      <c r="JYV208" s="2"/>
      <c r="JYW208" s="2"/>
      <c r="JYX208" s="2"/>
      <c r="JYY208" s="2"/>
      <c r="JYZ208" s="2"/>
      <c r="JZA208" s="2"/>
      <c r="JZB208" s="2"/>
      <c r="JZC208" s="2"/>
      <c r="JZD208" s="2"/>
      <c r="JZE208" s="2"/>
      <c r="JZF208" s="2"/>
      <c r="JZG208" s="2"/>
      <c r="JZH208" s="2"/>
      <c r="JZI208" s="2"/>
      <c r="JZJ208" s="2"/>
      <c r="JZK208" s="2"/>
      <c r="JZL208" s="2"/>
      <c r="JZM208" s="2"/>
      <c r="JZN208" s="2"/>
      <c r="JZO208" s="2"/>
      <c r="JZP208" s="2"/>
      <c r="JZQ208" s="2"/>
      <c r="JZR208" s="2"/>
      <c r="JZS208" s="2"/>
      <c r="JZT208" s="2"/>
      <c r="JZU208" s="2"/>
      <c r="JZV208" s="2"/>
      <c r="JZW208" s="2"/>
      <c r="JZX208" s="2"/>
      <c r="JZY208" s="2"/>
      <c r="JZZ208" s="2"/>
      <c r="KAA208" s="2"/>
      <c r="KAB208" s="2"/>
      <c r="KAC208" s="2"/>
      <c r="KAD208" s="2"/>
      <c r="KAE208" s="2"/>
      <c r="KAF208" s="2"/>
      <c r="KAG208" s="2"/>
      <c r="KAH208" s="2"/>
      <c r="KAI208" s="2"/>
      <c r="KAJ208" s="2"/>
      <c r="KAK208" s="2"/>
      <c r="KAL208" s="2"/>
      <c r="KAM208" s="2"/>
      <c r="KAN208" s="2"/>
      <c r="KAO208" s="2"/>
      <c r="KAP208" s="2"/>
      <c r="KAQ208" s="2"/>
      <c r="KAR208" s="2"/>
      <c r="KAS208" s="2"/>
      <c r="KAT208" s="2"/>
      <c r="KAU208" s="2"/>
      <c r="KAV208" s="2"/>
      <c r="KAW208" s="2"/>
      <c r="KAX208" s="2"/>
      <c r="KAY208" s="2"/>
      <c r="KAZ208" s="2"/>
      <c r="KBA208" s="2"/>
      <c r="KBB208" s="2"/>
      <c r="KBC208" s="2"/>
      <c r="KBD208" s="2"/>
      <c r="KBE208" s="2"/>
      <c r="KBF208" s="2"/>
      <c r="KBG208" s="2"/>
      <c r="KBH208" s="2"/>
      <c r="KBI208" s="2"/>
      <c r="KBJ208" s="2"/>
      <c r="KBK208" s="2"/>
      <c r="KBL208" s="2"/>
      <c r="KBM208" s="2"/>
      <c r="KBN208" s="2"/>
      <c r="KBO208" s="2"/>
      <c r="KBP208" s="2"/>
      <c r="KBQ208" s="2"/>
      <c r="KBR208" s="2"/>
      <c r="KBS208" s="2"/>
      <c r="KBT208" s="2"/>
      <c r="KBU208" s="2"/>
      <c r="KBV208" s="2"/>
      <c r="KBW208" s="2"/>
      <c r="KBX208" s="2"/>
      <c r="KBY208" s="2"/>
      <c r="KBZ208" s="2"/>
      <c r="KCA208" s="2"/>
      <c r="KCB208" s="2"/>
      <c r="KCC208" s="2"/>
      <c r="KCD208" s="2"/>
      <c r="KCE208" s="2"/>
      <c r="KCF208" s="2"/>
      <c r="KCG208" s="2"/>
      <c r="KCH208" s="2"/>
      <c r="KCI208" s="2"/>
      <c r="KCJ208" s="2"/>
      <c r="KCK208" s="2"/>
      <c r="KCL208" s="2"/>
      <c r="KCM208" s="2"/>
      <c r="KCN208" s="2"/>
      <c r="KCO208" s="2"/>
      <c r="KCP208" s="2"/>
      <c r="KCQ208" s="2"/>
      <c r="KCR208" s="2"/>
      <c r="KCS208" s="2"/>
      <c r="KCT208" s="2"/>
      <c r="KCU208" s="2"/>
      <c r="KCV208" s="2"/>
      <c r="KCW208" s="2"/>
      <c r="KCX208" s="2"/>
      <c r="KCY208" s="2"/>
      <c r="KCZ208" s="2"/>
      <c r="KDA208" s="2"/>
      <c r="KDB208" s="2"/>
      <c r="KDC208" s="2"/>
      <c r="KDD208" s="2"/>
      <c r="KDE208" s="2"/>
      <c r="KDF208" s="2"/>
      <c r="KDG208" s="2"/>
      <c r="KDH208" s="2"/>
      <c r="KDI208" s="2"/>
      <c r="KDJ208" s="2"/>
      <c r="KDK208" s="2"/>
      <c r="KDL208" s="2"/>
      <c r="KDM208" s="2"/>
      <c r="KDN208" s="2"/>
      <c r="KDO208" s="2"/>
      <c r="KDP208" s="2"/>
      <c r="KDQ208" s="2"/>
      <c r="KDR208" s="2"/>
      <c r="KDS208" s="2"/>
      <c r="KDT208" s="2"/>
      <c r="KDU208" s="2"/>
      <c r="KDV208" s="2"/>
      <c r="KDW208" s="2"/>
      <c r="KDX208" s="2"/>
      <c r="KDY208" s="2"/>
      <c r="KDZ208" s="2"/>
      <c r="KEA208" s="2"/>
      <c r="KEB208" s="2"/>
      <c r="KEC208" s="2"/>
      <c r="KED208" s="2"/>
      <c r="KEE208" s="2"/>
      <c r="KEF208" s="2"/>
      <c r="KEG208" s="2"/>
      <c r="KEH208" s="2"/>
      <c r="KEI208" s="2"/>
      <c r="KEJ208" s="2"/>
      <c r="KEK208" s="2"/>
      <c r="KEL208" s="2"/>
      <c r="KEM208" s="2"/>
      <c r="KEN208" s="2"/>
      <c r="KEO208" s="2"/>
      <c r="KEP208" s="2"/>
      <c r="KEQ208" s="2"/>
      <c r="KER208" s="2"/>
      <c r="KES208" s="2"/>
      <c r="KET208" s="2"/>
      <c r="KEU208" s="2"/>
      <c r="KEV208" s="2"/>
      <c r="KEW208" s="2"/>
      <c r="KEX208" s="2"/>
      <c r="KEY208" s="2"/>
      <c r="KEZ208" s="2"/>
      <c r="KFA208" s="2"/>
      <c r="KFB208" s="2"/>
      <c r="KFC208" s="2"/>
      <c r="KFD208" s="2"/>
      <c r="KFE208" s="2"/>
      <c r="KFF208" s="2"/>
      <c r="KFG208" s="2"/>
      <c r="KFH208" s="2"/>
      <c r="KFI208" s="2"/>
      <c r="KFJ208" s="2"/>
      <c r="KFK208" s="2"/>
      <c r="KFL208" s="2"/>
      <c r="KFM208" s="2"/>
      <c r="KFN208" s="2"/>
      <c r="KFO208" s="2"/>
      <c r="KFP208" s="2"/>
      <c r="KFQ208" s="2"/>
      <c r="KFR208" s="2"/>
      <c r="KFS208" s="2"/>
      <c r="KFT208" s="2"/>
      <c r="KFU208" s="2"/>
      <c r="KFV208" s="2"/>
      <c r="KFW208" s="2"/>
      <c r="KFX208" s="2"/>
      <c r="KFY208" s="2"/>
      <c r="KFZ208" s="2"/>
      <c r="KGA208" s="2"/>
      <c r="KGB208" s="2"/>
      <c r="KGC208" s="2"/>
      <c r="KGD208" s="2"/>
      <c r="KGE208" s="2"/>
      <c r="KGF208" s="2"/>
      <c r="KGG208" s="2"/>
      <c r="KGH208" s="2"/>
      <c r="KGI208" s="2"/>
      <c r="KGJ208" s="2"/>
      <c r="KGK208" s="2"/>
      <c r="KGL208" s="2"/>
      <c r="KGM208" s="2"/>
      <c r="KGN208" s="2"/>
      <c r="KGO208" s="2"/>
      <c r="KGP208" s="2"/>
      <c r="KGQ208" s="2"/>
      <c r="KGR208" s="2"/>
      <c r="KGS208" s="2"/>
      <c r="KGT208" s="2"/>
      <c r="KGU208" s="2"/>
      <c r="KGV208" s="2"/>
      <c r="KGW208" s="2"/>
      <c r="KGX208" s="2"/>
      <c r="KGY208" s="2"/>
      <c r="KGZ208" s="2"/>
      <c r="KHA208" s="2"/>
      <c r="KHB208" s="2"/>
      <c r="KHC208" s="2"/>
      <c r="KHD208" s="2"/>
      <c r="KHE208" s="2"/>
      <c r="KHF208" s="2"/>
      <c r="KHG208" s="2"/>
      <c r="KHH208" s="2"/>
      <c r="KHI208" s="2"/>
      <c r="KHJ208" s="2"/>
      <c r="KHK208" s="2"/>
      <c r="KHL208" s="2"/>
      <c r="KHM208" s="2"/>
      <c r="KHN208" s="2"/>
      <c r="KHO208" s="2"/>
      <c r="KHP208" s="2"/>
      <c r="KHQ208" s="2"/>
      <c r="KHR208" s="2"/>
      <c r="KHS208" s="2"/>
      <c r="KHT208" s="2"/>
      <c r="KHU208" s="2"/>
      <c r="KHV208" s="2"/>
      <c r="KHW208" s="2"/>
      <c r="KHX208" s="2"/>
      <c r="KHY208" s="2"/>
      <c r="KHZ208" s="2"/>
      <c r="KIA208" s="2"/>
      <c r="KIB208" s="2"/>
      <c r="KIC208" s="2"/>
      <c r="KID208" s="2"/>
      <c r="KIE208" s="2"/>
      <c r="KIF208" s="2"/>
      <c r="KIG208" s="2"/>
      <c r="KIH208" s="2"/>
      <c r="KII208" s="2"/>
      <c r="KIJ208" s="2"/>
      <c r="KIK208" s="2"/>
      <c r="KIL208" s="2"/>
      <c r="KIM208" s="2"/>
      <c r="KIN208" s="2"/>
      <c r="KIO208" s="2"/>
      <c r="KIP208" s="2"/>
      <c r="KIQ208" s="2"/>
      <c r="KIR208" s="2"/>
      <c r="KIS208" s="2"/>
      <c r="KIT208" s="2"/>
      <c r="KIU208" s="2"/>
      <c r="KIV208" s="2"/>
      <c r="KIW208" s="2"/>
      <c r="KIX208" s="2"/>
      <c r="KIY208" s="2"/>
      <c r="KIZ208" s="2"/>
      <c r="KJA208" s="2"/>
      <c r="KJB208" s="2"/>
      <c r="KJC208" s="2"/>
      <c r="KJD208" s="2"/>
      <c r="KJE208" s="2"/>
      <c r="KJF208" s="2"/>
      <c r="KJG208" s="2"/>
      <c r="KJH208" s="2"/>
      <c r="KJI208" s="2"/>
      <c r="KJJ208" s="2"/>
      <c r="KJK208" s="2"/>
      <c r="KJL208" s="2"/>
      <c r="KJM208" s="2"/>
      <c r="KJN208" s="2"/>
      <c r="KJO208" s="2"/>
      <c r="KJP208" s="2"/>
      <c r="KJQ208" s="2"/>
      <c r="KJR208" s="2"/>
      <c r="KJS208" s="2"/>
      <c r="KJT208" s="2"/>
      <c r="KJU208" s="2"/>
      <c r="KJV208" s="2"/>
      <c r="KJW208" s="2"/>
      <c r="KJX208" s="2"/>
      <c r="KJY208" s="2"/>
      <c r="KJZ208" s="2"/>
      <c r="KKA208" s="2"/>
      <c r="KKB208" s="2"/>
      <c r="KKC208" s="2"/>
      <c r="KKD208" s="2"/>
      <c r="KKE208" s="2"/>
      <c r="KKF208" s="2"/>
      <c r="KKG208" s="2"/>
      <c r="KKH208" s="2"/>
      <c r="KKI208" s="2"/>
      <c r="KKJ208" s="2"/>
      <c r="KKK208" s="2"/>
      <c r="KKL208" s="2"/>
      <c r="KKM208" s="2"/>
      <c r="KKN208" s="2"/>
      <c r="KKO208" s="2"/>
      <c r="KKP208" s="2"/>
      <c r="KKQ208" s="2"/>
      <c r="KKR208" s="2"/>
      <c r="KKS208" s="2"/>
      <c r="KKT208" s="2"/>
      <c r="KKU208" s="2"/>
      <c r="KKV208" s="2"/>
      <c r="KKW208" s="2"/>
      <c r="KKX208" s="2"/>
      <c r="KKY208" s="2"/>
      <c r="KKZ208" s="2"/>
      <c r="KLA208" s="2"/>
      <c r="KLB208" s="2"/>
      <c r="KLC208" s="2"/>
      <c r="KLD208" s="2"/>
      <c r="KLE208" s="2"/>
      <c r="KLF208" s="2"/>
      <c r="KLG208" s="2"/>
      <c r="KLH208" s="2"/>
      <c r="KLI208" s="2"/>
      <c r="KLJ208" s="2"/>
      <c r="KLK208" s="2"/>
      <c r="KLL208" s="2"/>
      <c r="KLM208" s="2"/>
      <c r="KLN208" s="2"/>
      <c r="KLO208" s="2"/>
      <c r="KLP208" s="2"/>
      <c r="KLQ208" s="2"/>
      <c r="KLR208" s="2"/>
      <c r="KLS208" s="2"/>
      <c r="KLT208" s="2"/>
      <c r="KLU208" s="2"/>
      <c r="KLV208" s="2"/>
      <c r="KLW208" s="2"/>
      <c r="KLX208" s="2"/>
      <c r="KLY208" s="2"/>
      <c r="KLZ208" s="2"/>
      <c r="KMA208" s="2"/>
      <c r="KMB208" s="2"/>
      <c r="KMC208" s="2"/>
      <c r="KMD208" s="2"/>
      <c r="KME208" s="2"/>
      <c r="KMF208" s="2"/>
      <c r="KMG208" s="2"/>
      <c r="KMH208" s="2"/>
      <c r="KMI208" s="2"/>
      <c r="KMJ208" s="2"/>
      <c r="KMK208" s="2"/>
      <c r="KML208" s="2"/>
      <c r="KMM208" s="2"/>
      <c r="KMN208" s="2"/>
      <c r="KMO208" s="2"/>
      <c r="KMP208" s="2"/>
      <c r="KMQ208" s="2"/>
      <c r="KMR208" s="2"/>
      <c r="KMS208" s="2"/>
      <c r="KMT208" s="2"/>
      <c r="KMU208" s="2"/>
      <c r="KMV208" s="2"/>
      <c r="KMW208" s="2"/>
      <c r="KMX208" s="2"/>
      <c r="KMY208" s="2"/>
      <c r="KMZ208" s="2"/>
      <c r="KNA208" s="2"/>
      <c r="KNB208" s="2"/>
      <c r="KNC208" s="2"/>
      <c r="KND208" s="2"/>
      <c r="KNE208" s="2"/>
      <c r="KNF208" s="2"/>
      <c r="KNG208" s="2"/>
      <c r="KNH208" s="2"/>
      <c r="KNI208" s="2"/>
      <c r="KNJ208" s="2"/>
      <c r="KNK208" s="2"/>
      <c r="KNL208" s="2"/>
      <c r="KNM208" s="2"/>
      <c r="KNN208" s="2"/>
      <c r="KNO208" s="2"/>
      <c r="KNP208" s="2"/>
      <c r="KNQ208" s="2"/>
      <c r="KNR208" s="2"/>
      <c r="KNS208" s="2"/>
      <c r="KNT208" s="2"/>
      <c r="KNU208" s="2"/>
      <c r="KNV208" s="2"/>
      <c r="KNW208" s="2"/>
      <c r="KNX208" s="2"/>
      <c r="KNY208" s="2"/>
      <c r="KNZ208" s="2"/>
      <c r="KOA208" s="2"/>
      <c r="KOB208" s="2"/>
      <c r="KOC208" s="2"/>
      <c r="KOD208" s="2"/>
      <c r="KOE208" s="2"/>
      <c r="KOF208" s="2"/>
      <c r="KOG208" s="2"/>
      <c r="KOH208" s="2"/>
      <c r="KOI208" s="2"/>
      <c r="KOJ208" s="2"/>
      <c r="KOK208" s="2"/>
      <c r="KOL208" s="2"/>
      <c r="KOM208" s="2"/>
      <c r="KON208" s="2"/>
      <c r="KOO208" s="2"/>
      <c r="KOP208" s="2"/>
      <c r="KOQ208" s="2"/>
      <c r="KOR208" s="2"/>
      <c r="KOS208" s="2"/>
      <c r="KOT208" s="2"/>
      <c r="KOU208" s="2"/>
      <c r="KOV208" s="2"/>
      <c r="KOW208" s="2"/>
      <c r="KOX208" s="2"/>
      <c r="KOY208" s="2"/>
      <c r="KOZ208" s="2"/>
      <c r="KPA208" s="2"/>
      <c r="KPB208" s="2"/>
      <c r="KPC208" s="2"/>
      <c r="KPD208" s="2"/>
      <c r="KPE208" s="2"/>
      <c r="KPF208" s="2"/>
      <c r="KPG208" s="2"/>
      <c r="KPH208" s="2"/>
      <c r="KPI208" s="2"/>
      <c r="KPJ208" s="2"/>
      <c r="KPK208" s="2"/>
      <c r="KPL208" s="2"/>
      <c r="KPM208" s="2"/>
      <c r="KPN208" s="2"/>
      <c r="KPO208" s="2"/>
      <c r="KPP208" s="2"/>
      <c r="KPQ208" s="2"/>
      <c r="KPR208" s="2"/>
      <c r="KPS208" s="2"/>
      <c r="KPT208" s="2"/>
      <c r="KPU208" s="2"/>
      <c r="KPV208" s="2"/>
      <c r="KPW208" s="2"/>
      <c r="KPX208" s="2"/>
      <c r="KPY208" s="2"/>
      <c r="KPZ208" s="2"/>
      <c r="KQA208" s="2"/>
      <c r="KQB208" s="2"/>
      <c r="KQC208" s="2"/>
      <c r="KQD208" s="2"/>
      <c r="KQE208" s="2"/>
      <c r="KQF208" s="2"/>
      <c r="KQG208" s="2"/>
      <c r="KQH208" s="2"/>
      <c r="KQI208" s="2"/>
      <c r="KQJ208" s="2"/>
      <c r="KQK208" s="2"/>
      <c r="KQL208" s="2"/>
      <c r="KQM208" s="2"/>
      <c r="KQN208" s="2"/>
      <c r="KQO208" s="2"/>
      <c r="KQP208" s="2"/>
      <c r="KQQ208" s="2"/>
      <c r="KQR208" s="2"/>
      <c r="KQS208" s="2"/>
      <c r="KQT208" s="2"/>
      <c r="KQU208" s="2"/>
      <c r="KQV208" s="2"/>
      <c r="KQW208" s="2"/>
      <c r="KQX208" s="2"/>
      <c r="KQY208" s="2"/>
      <c r="KQZ208" s="2"/>
      <c r="KRA208" s="2"/>
      <c r="KRB208" s="2"/>
      <c r="KRC208" s="2"/>
      <c r="KRD208" s="2"/>
      <c r="KRE208" s="2"/>
      <c r="KRF208" s="2"/>
      <c r="KRG208" s="2"/>
      <c r="KRH208" s="2"/>
      <c r="KRI208" s="2"/>
      <c r="KRJ208" s="2"/>
      <c r="KRK208" s="2"/>
      <c r="KRL208" s="2"/>
      <c r="KRM208" s="2"/>
      <c r="KRN208" s="2"/>
      <c r="KRO208" s="2"/>
      <c r="KRP208" s="2"/>
      <c r="KRQ208" s="2"/>
      <c r="KRR208" s="2"/>
      <c r="KRS208" s="2"/>
      <c r="KRT208" s="2"/>
      <c r="KRU208" s="2"/>
      <c r="KRV208" s="2"/>
      <c r="KRW208" s="2"/>
      <c r="KRX208" s="2"/>
      <c r="KRY208" s="2"/>
      <c r="KRZ208" s="2"/>
      <c r="KSA208" s="2"/>
      <c r="KSB208" s="2"/>
      <c r="KSC208" s="2"/>
      <c r="KSD208" s="2"/>
      <c r="KSE208" s="2"/>
      <c r="KSF208" s="2"/>
      <c r="KSG208" s="2"/>
      <c r="KSH208" s="2"/>
      <c r="KSI208" s="2"/>
      <c r="KSJ208" s="2"/>
      <c r="KSK208" s="2"/>
      <c r="KSL208" s="2"/>
      <c r="KSM208" s="2"/>
      <c r="KSN208" s="2"/>
      <c r="KSO208" s="2"/>
      <c r="KSP208" s="2"/>
      <c r="KSQ208" s="2"/>
      <c r="KSR208" s="2"/>
      <c r="KSS208" s="2"/>
      <c r="KST208" s="2"/>
      <c r="KSU208" s="2"/>
      <c r="KSV208" s="2"/>
      <c r="KSW208" s="2"/>
      <c r="KSX208" s="2"/>
      <c r="KSY208" s="2"/>
      <c r="KSZ208" s="2"/>
      <c r="KTA208" s="2"/>
      <c r="KTB208" s="2"/>
      <c r="KTC208" s="2"/>
      <c r="KTD208" s="2"/>
      <c r="KTE208" s="2"/>
      <c r="KTF208" s="2"/>
      <c r="KTG208" s="2"/>
      <c r="KTH208" s="2"/>
      <c r="KTI208" s="2"/>
      <c r="KTJ208" s="2"/>
      <c r="KTK208" s="2"/>
      <c r="KTL208" s="2"/>
      <c r="KTM208" s="2"/>
      <c r="KTN208" s="2"/>
      <c r="KTO208" s="2"/>
      <c r="KTP208" s="2"/>
      <c r="KTQ208" s="2"/>
      <c r="KTR208" s="2"/>
      <c r="KTS208" s="2"/>
      <c r="KTT208" s="2"/>
      <c r="KTU208" s="2"/>
      <c r="KTV208" s="2"/>
      <c r="KTW208" s="2"/>
      <c r="KTX208" s="2"/>
      <c r="KTY208" s="2"/>
      <c r="KTZ208" s="2"/>
      <c r="KUA208" s="2"/>
      <c r="KUB208" s="2"/>
      <c r="KUC208" s="2"/>
      <c r="KUD208" s="2"/>
      <c r="KUE208" s="2"/>
      <c r="KUF208" s="2"/>
      <c r="KUG208" s="2"/>
      <c r="KUH208" s="2"/>
      <c r="KUI208" s="2"/>
      <c r="KUJ208" s="2"/>
      <c r="KUK208" s="2"/>
      <c r="KUL208" s="2"/>
      <c r="KUM208" s="2"/>
      <c r="KUN208" s="2"/>
      <c r="KUO208" s="2"/>
      <c r="KUP208" s="2"/>
      <c r="KUQ208" s="2"/>
      <c r="KUR208" s="2"/>
      <c r="KUS208" s="2"/>
      <c r="KUT208" s="2"/>
      <c r="KUU208" s="2"/>
      <c r="KUV208" s="2"/>
      <c r="KUW208" s="2"/>
      <c r="KUX208" s="2"/>
      <c r="KUY208" s="2"/>
      <c r="KUZ208" s="2"/>
      <c r="KVA208" s="2"/>
      <c r="KVB208" s="2"/>
      <c r="KVC208" s="2"/>
      <c r="KVD208" s="2"/>
      <c r="KVE208" s="2"/>
      <c r="KVF208" s="2"/>
      <c r="KVG208" s="2"/>
      <c r="KVH208" s="2"/>
      <c r="KVI208" s="2"/>
      <c r="KVJ208" s="2"/>
      <c r="KVK208" s="2"/>
      <c r="KVL208" s="2"/>
      <c r="KVM208" s="2"/>
      <c r="KVN208" s="2"/>
      <c r="KVO208" s="2"/>
      <c r="KVP208" s="2"/>
      <c r="KVQ208" s="2"/>
      <c r="KVR208" s="2"/>
      <c r="KVS208" s="2"/>
      <c r="KVT208" s="2"/>
      <c r="KVU208" s="2"/>
      <c r="KVV208" s="2"/>
      <c r="KVW208" s="2"/>
      <c r="KVX208" s="2"/>
      <c r="KVY208" s="2"/>
      <c r="KVZ208" s="2"/>
      <c r="KWA208" s="2"/>
      <c r="KWB208" s="2"/>
      <c r="KWC208" s="2"/>
      <c r="KWD208" s="2"/>
      <c r="KWE208" s="2"/>
      <c r="KWF208" s="2"/>
      <c r="KWG208" s="2"/>
      <c r="KWH208" s="2"/>
      <c r="KWI208" s="2"/>
      <c r="KWJ208" s="2"/>
      <c r="KWK208" s="2"/>
      <c r="KWL208" s="2"/>
      <c r="KWM208" s="2"/>
      <c r="KWN208" s="2"/>
      <c r="KWO208" s="2"/>
      <c r="KWP208" s="2"/>
      <c r="KWQ208" s="2"/>
      <c r="KWR208" s="2"/>
      <c r="KWS208" s="2"/>
      <c r="KWT208" s="2"/>
      <c r="KWU208" s="2"/>
      <c r="KWV208" s="2"/>
      <c r="KWW208" s="2"/>
      <c r="KWX208" s="2"/>
      <c r="KWY208" s="2"/>
      <c r="KWZ208" s="2"/>
      <c r="KXA208" s="2"/>
      <c r="KXB208" s="2"/>
      <c r="KXC208" s="2"/>
      <c r="KXD208" s="2"/>
      <c r="KXE208" s="2"/>
      <c r="KXF208" s="2"/>
      <c r="KXG208" s="2"/>
      <c r="KXH208" s="2"/>
      <c r="KXI208" s="2"/>
      <c r="KXJ208" s="2"/>
      <c r="KXK208" s="2"/>
      <c r="KXL208" s="2"/>
      <c r="KXM208" s="2"/>
      <c r="KXN208" s="2"/>
      <c r="KXO208" s="2"/>
      <c r="KXP208" s="2"/>
      <c r="KXQ208" s="2"/>
      <c r="KXR208" s="2"/>
      <c r="KXS208" s="2"/>
      <c r="KXT208" s="2"/>
      <c r="KXU208" s="2"/>
      <c r="KXV208" s="2"/>
      <c r="KXW208" s="2"/>
      <c r="KXX208" s="2"/>
      <c r="KXY208" s="2"/>
      <c r="KXZ208" s="2"/>
      <c r="KYA208" s="2"/>
      <c r="KYB208" s="2"/>
      <c r="KYC208" s="2"/>
      <c r="KYD208" s="2"/>
      <c r="KYE208" s="2"/>
      <c r="KYF208" s="2"/>
      <c r="KYG208" s="2"/>
      <c r="KYH208" s="2"/>
      <c r="KYI208" s="2"/>
      <c r="KYJ208" s="2"/>
      <c r="KYK208" s="2"/>
      <c r="KYL208" s="2"/>
      <c r="KYM208" s="2"/>
      <c r="KYN208" s="2"/>
      <c r="KYO208" s="2"/>
      <c r="KYP208" s="2"/>
      <c r="KYQ208" s="2"/>
      <c r="KYR208" s="2"/>
      <c r="KYS208" s="2"/>
      <c r="KYT208" s="2"/>
      <c r="KYU208" s="2"/>
      <c r="KYV208" s="2"/>
      <c r="KYW208" s="2"/>
      <c r="KYX208" s="2"/>
      <c r="KYY208" s="2"/>
      <c r="KYZ208" s="2"/>
      <c r="KZA208" s="2"/>
      <c r="KZB208" s="2"/>
      <c r="KZC208" s="2"/>
      <c r="KZD208" s="2"/>
      <c r="KZE208" s="2"/>
      <c r="KZF208" s="2"/>
      <c r="KZG208" s="2"/>
      <c r="KZH208" s="2"/>
      <c r="KZI208" s="2"/>
      <c r="KZJ208" s="2"/>
      <c r="KZK208" s="2"/>
      <c r="KZL208" s="2"/>
      <c r="KZM208" s="2"/>
      <c r="KZN208" s="2"/>
      <c r="KZO208" s="2"/>
      <c r="KZP208" s="2"/>
      <c r="KZQ208" s="2"/>
      <c r="KZR208" s="2"/>
      <c r="KZS208" s="2"/>
      <c r="KZT208" s="2"/>
      <c r="KZU208" s="2"/>
      <c r="KZV208" s="2"/>
      <c r="KZW208" s="2"/>
      <c r="KZX208" s="2"/>
      <c r="KZY208" s="2"/>
      <c r="KZZ208" s="2"/>
      <c r="LAA208" s="2"/>
      <c r="LAB208" s="2"/>
      <c r="LAC208" s="2"/>
      <c r="LAD208" s="2"/>
      <c r="LAE208" s="2"/>
      <c r="LAF208" s="2"/>
      <c r="LAG208" s="2"/>
      <c r="LAH208" s="2"/>
      <c r="LAI208" s="2"/>
      <c r="LAJ208" s="2"/>
      <c r="LAK208" s="2"/>
      <c r="LAL208" s="2"/>
      <c r="LAM208" s="2"/>
      <c r="LAN208" s="2"/>
      <c r="LAO208" s="2"/>
      <c r="LAP208" s="2"/>
      <c r="LAQ208" s="2"/>
      <c r="LAR208" s="2"/>
      <c r="LAS208" s="2"/>
      <c r="LAT208" s="2"/>
      <c r="LAU208" s="2"/>
      <c r="LAV208" s="2"/>
      <c r="LAW208" s="2"/>
      <c r="LAX208" s="2"/>
      <c r="LAY208" s="2"/>
      <c r="LAZ208" s="2"/>
      <c r="LBA208" s="2"/>
      <c r="LBB208" s="2"/>
      <c r="LBC208" s="2"/>
      <c r="LBD208" s="2"/>
      <c r="LBE208" s="2"/>
      <c r="LBF208" s="2"/>
      <c r="LBG208" s="2"/>
      <c r="LBH208" s="2"/>
      <c r="LBI208" s="2"/>
      <c r="LBJ208" s="2"/>
      <c r="LBK208" s="2"/>
      <c r="LBL208" s="2"/>
      <c r="LBM208" s="2"/>
      <c r="LBN208" s="2"/>
      <c r="LBO208" s="2"/>
      <c r="LBP208" s="2"/>
      <c r="LBQ208" s="2"/>
      <c r="LBR208" s="2"/>
      <c r="LBS208" s="2"/>
      <c r="LBT208" s="2"/>
      <c r="LBU208" s="2"/>
      <c r="LBV208" s="2"/>
      <c r="LBW208" s="2"/>
      <c r="LBX208" s="2"/>
      <c r="LBY208" s="2"/>
      <c r="LBZ208" s="2"/>
      <c r="LCA208" s="2"/>
      <c r="LCB208" s="2"/>
      <c r="LCC208" s="2"/>
      <c r="LCD208" s="2"/>
      <c r="LCE208" s="2"/>
      <c r="LCF208" s="2"/>
      <c r="LCG208" s="2"/>
      <c r="LCH208" s="2"/>
      <c r="LCI208" s="2"/>
      <c r="LCJ208" s="2"/>
      <c r="LCK208" s="2"/>
      <c r="LCL208" s="2"/>
      <c r="LCM208" s="2"/>
      <c r="LCN208" s="2"/>
      <c r="LCO208" s="2"/>
      <c r="LCP208" s="2"/>
      <c r="LCQ208" s="2"/>
      <c r="LCR208" s="2"/>
      <c r="LCS208" s="2"/>
      <c r="LCT208" s="2"/>
      <c r="LCU208" s="2"/>
      <c r="LCV208" s="2"/>
      <c r="LCW208" s="2"/>
      <c r="LCX208" s="2"/>
      <c r="LCY208" s="2"/>
      <c r="LCZ208" s="2"/>
      <c r="LDA208" s="2"/>
      <c r="LDB208" s="2"/>
      <c r="LDC208" s="2"/>
      <c r="LDD208" s="2"/>
      <c r="LDE208" s="2"/>
      <c r="LDF208" s="2"/>
      <c r="LDG208" s="2"/>
      <c r="LDH208" s="2"/>
      <c r="LDI208" s="2"/>
      <c r="LDJ208" s="2"/>
      <c r="LDK208" s="2"/>
      <c r="LDL208" s="2"/>
      <c r="LDM208" s="2"/>
      <c r="LDN208" s="2"/>
      <c r="LDO208" s="2"/>
      <c r="LDP208" s="2"/>
      <c r="LDQ208" s="2"/>
      <c r="LDR208" s="2"/>
      <c r="LDS208" s="2"/>
      <c r="LDT208" s="2"/>
      <c r="LDU208" s="2"/>
      <c r="LDV208" s="2"/>
      <c r="LDW208" s="2"/>
      <c r="LDX208" s="2"/>
      <c r="LDY208" s="2"/>
      <c r="LDZ208" s="2"/>
      <c r="LEA208" s="2"/>
      <c r="LEB208" s="2"/>
      <c r="LEC208" s="2"/>
      <c r="LED208" s="2"/>
      <c r="LEE208" s="2"/>
      <c r="LEF208" s="2"/>
      <c r="LEG208" s="2"/>
      <c r="LEH208" s="2"/>
      <c r="LEI208" s="2"/>
      <c r="LEJ208" s="2"/>
      <c r="LEK208" s="2"/>
      <c r="LEL208" s="2"/>
      <c r="LEM208" s="2"/>
      <c r="LEN208" s="2"/>
      <c r="LEO208" s="2"/>
      <c r="LEP208" s="2"/>
      <c r="LEQ208" s="2"/>
      <c r="LER208" s="2"/>
      <c r="LES208" s="2"/>
      <c r="LET208" s="2"/>
      <c r="LEU208" s="2"/>
      <c r="LEV208" s="2"/>
      <c r="LEW208" s="2"/>
      <c r="LEX208" s="2"/>
      <c r="LEY208" s="2"/>
      <c r="LEZ208" s="2"/>
      <c r="LFA208" s="2"/>
      <c r="LFB208" s="2"/>
      <c r="LFC208" s="2"/>
      <c r="LFD208" s="2"/>
      <c r="LFE208" s="2"/>
      <c r="LFF208" s="2"/>
      <c r="LFG208" s="2"/>
      <c r="LFH208" s="2"/>
      <c r="LFI208" s="2"/>
      <c r="LFJ208" s="2"/>
      <c r="LFK208" s="2"/>
      <c r="LFL208" s="2"/>
      <c r="LFM208" s="2"/>
      <c r="LFN208" s="2"/>
      <c r="LFO208" s="2"/>
      <c r="LFP208" s="2"/>
      <c r="LFQ208" s="2"/>
      <c r="LFR208" s="2"/>
      <c r="LFS208" s="2"/>
      <c r="LFT208" s="2"/>
      <c r="LFU208" s="2"/>
      <c r="LFV208" s="2"/>
      <c r="LFW208" s="2"/>
      <c r="LFX208" s="2"/>
      <c r="LFY208" s="2"/>
      <c r="LFZ208" s="2"/>
      <c r="LGA208" s="2"/>
      <c r="LGB208" s="2"/>
      <c r="LGC208" s="2"/>
      <c r="LGD208" s="2"/>
      <c r="LGE208" s="2"/>
      <c r="LGF208" s="2"/>
      <c r="LGG208" s="2"/>
      <c r="LGH208" s="2"/>
      <c r="LGI208" s="2"/>
      <c r="LGJ208" s="2"/>
      <c r="LGK208" s="2"/>
      <c r="LGL208" s="2"/>
      <c r="LGM208" s="2"/>
      <c r="LGN208" s="2"/>
      <c r="LGO208" s="2"/>
      <c r="LGP208" s="2"/>
      <c r="LGQ208" s="2"/>
      <c r="LGR208" s="2"/>
      <c r="LGS208" s="2"/>
      <c r="LGT208" s="2"/>
      <c r="LGU208" s="2"/>
      <c r="LGV208" s="2"/>
      <c r="LGW208" s="2"/>
      <c r="LGX208" s="2"/>
      <c r="LGY208" s="2"/>
      <c r="LGZ208" s="2"/>
      <c r="LHA208" s="2"/>
      <c r="LHB208" s="2"/>
      <c r="LHC208" s="2"/>
      <c r="LHD208" s="2"/>
      <c r="LHE208" s="2"/>
      <c r="LHF208" s="2"/>
      <c r="LHG208" s="2"/>
      <c r="LHH208" s="2"/>
      <c r="LHI208" s="2"/>
      <c r="LHJ208" s="2"/>
      <c r="LHK208" s="2"/>
      <c r="LHL208" s="2"/>
      <c r="LHM208" s="2"/>
      <c r="LHN208" s="2"/>
      <c r="LHO208" s="2"/>
      <c r="LHP208" s="2"/>
      <c r="LHQ208" s="2"/>
      <c r="LHR208" s="2"/>
      <c r="LHS208" s="2"/>
      <c r="LHT208" s="2"/>
      <c r="LHU208" s="2"/>
      <c r="LHV208" s="2"/>
      <c r="LHW208" s="2"/>
      <c r="LHX208" s="2"/>
      <c r="LHY208" s="2"/>
      <c r="LHZ208" s="2"/>
      <c r="LIA208" s="2"/>
      <c r="LIB208" s="2"/>
      <c r="LIC208" s="2"/>
      <c r="LID208" s="2"/>
      <c r="LIE208" s="2"/>
      <c r="LIF208" s="2"/>
      <c r="LIG208" s="2"/>
      <c r="LIH208" s="2"/>
      <c r="LII208" s="2"/>
      <c r="LIJ208" s="2"/>
      <c r="LIK208" s="2"/>
      <c r="LIL208" s="2"/>
      <c r="LIM208" s="2"/>
      <c r="LIN208" s="2"/>
      <c r="LIO208" s="2"/>
      <c r="LIP208" s="2"/>
      <c r="LIQ208" s="2"/>
      <c r="LIR208" s="2"/>
      <c r="LIS208" s="2"/>
      <c r="LIT208" s="2"/>
      <c r="LIU208" s="2"/>
      <c r="LIV208" s="2"/>
      <c r="LIW208" s="2"/>
      <c r="LIX208" s="2"/>
      <c r="LIY208" s="2"/>
      <c r="LIZ208" s="2"/>
      <c r="LJA208" s="2"/>
      <c r="LJB208" s="2"/>
      <c r="LJC208" s="2"/>
      <c r="LJD208" s="2"/>
      <c r="LJE208" s="2"/>
      <c r="LJF208" s="2"/>
      <c r="LJG208" s="2"/>
      <c r="LJH208" s="2"/>
      <c r="LJI208" s="2"/>
      <c r="LJJ208" s="2"/>
      <c r="LJK208" s="2"/>
      <c r="LJL208" s="2"/>
      <c r="LJM208" s="2"/>
      <c r="LJN208" s="2"/>
      <c r="LJO208" s="2"/>
      <c r="LJP208" s="2"/>
      <c r="LJQ208" s="2"/>
      <c r="LJR208" s="2"/>
      <c r="LJS208" s="2"/>
      <c r="LJT208" s="2"/>
      <c r="LJU208" s="2"/>
      <c r="LJV208" s="2"/>
      <c r="LJW208" s="2"/>
      <c r="LJX208" s="2"/>
      <c r="LJY208" s="2"/>
      <c r="LJZ208" s="2"/>
      <c r="LKA208" s="2"/>
      <c r="LKB208" s="2"/>
      <c r="LKC208" s="2"/>
      <c r="LKD208" s="2"/>
      <c r="LKE208" s="2"/>
      <c r="LKF208" s="2"/>
      <c r="LKG208" s="2"/>
      <c r="LKH208" s="2"/>
      <c r="LKI208" s="2"/>
      <c r="LKJ208" s="2"/>
      <c r="LKK208" s="2"/>
      <c r="LKL208" s="2"/>
      <c r="LKM208" s="2"/>
      <c r="LKN208" s="2"/>
      <c r="LKO208" s="2"/>
      <c r="LKP208" s="2"/>
      <c r="LKQ208" s="2"/>
      <c r="LKR208" s="2"/>
      <c r="LKS208" s="2"/>
      <c r="LKT208" s="2"/>
      <c r="LKU208" s="2"/>
      <c r="LKV208" s="2"/>
      <c r="LKW208" s="2"/>
      <c r="LKX208" s="2"/>
      <c r="LKY208" s="2"/>
      <c r="LKZ208" s="2"/>
      <c r="LLA208" s="2"/>
      <c r="LLB208" s="2"/>
      <c r="LLC208" s="2"/>
      <c r="LLD208" s="2"/>
      <c r="LLE208" s="2"/>
      <c r="LLF208" s="2"/>
      <c r="LLG208" s="2"/>
      <c r="LLH208" s="2"/>
      <c r="LLI208" s="2"/>
      <c r="LLJ208" s="2"/>
      <c r="LLK208" s="2"/>
      <c r="LLL208" s="2"/>
      <c r="LLM208" s="2"/>
      <c r="LLN208" s="2"/>
      <c r="LLO208" s="2"/>
      <c r="LLP208" s="2"/>
      <c r="LLQ208" s="2"/>
      <c r="LLR208" s="2"/>
      <c r="LLS208" s="2"/>
      <c r="LLT208" s="2"/>
      <c r="LLU208" s="2"/>
      <c r="LLV208" s="2"/>
      <c r="LLW208" s="2"/>
      <c r="LLX208" s="2"/>
      <c r="LLY208" s="2"/>
      <c r="LLZ208" s="2"/>
      <c r="LMA208" s="2"/>
      <c r="LMB208" s="2"/>
      <c r="LMC208" s="2"/>
      <c r="LMD208" s="2"/>
      <c r="LME208" s="2"/>
      <c r="LMF208" s="2"/>
      <c r="LMG208" s="2"/>
      <c r="LMH208" s="2"/>
      <c r="LMI208" s="2"/>
      <c r="LMJ208" s="2"/>
      <c r="LMK208" s="2"/>
      <c r="LML208" s="2"/>
      <c r="LMM208" s="2"/>
      <c r="LMN208" s="2"/>
      <c r="LMO208" s="2"/>
      <c r="LMP208" s="2"/>
      <c r="LMQ208" s="2"/>
      <c r="LMR208" s="2"/>
      <c r="LMS208" s="2"/>
      <c r="LMT208" s="2"/>
      <c r="LMU208" s="2"/>
      <c r="LMV208" s="2"/>
      <c r="LMW208" s="2"/>
      <c r="LMX208" s="2"/>
      <c r="LMY208" s="2"/>
      <c r="LMZ208" s="2"/>
      <c r="LNA208" s="2"/>
      <c r="LNB208" s="2"/>
      <c r="LNC208" s="2"/>
      <c r="LND208" s="2"/>
      <c r="LNE208" s="2"/>
      <c r="LNF208" s="2"/>
      <c r="LNG208" s="2"/>
      <c r="LNH208" s="2"/>
      <c r="LNI208" s="2"/>
      <c r="LNJ208" s="2"/>
      <c r="LNK208" s="2"/>
      <c r="LNL208" s="2"/>
      <c r="LNM208" s="2"/>
      <c r="LNN208" s="2"/>
      <c r="LNO208" s="2"/>
      <c r="LNP208" s="2"/>
      <c r="LNQ208" s="2"/>
      <c r="LNR208" s="2"/>
      <c r="LNS208" s="2"/>
      <c r="LNT208" s="2"/>
      <c r="LNU208" s="2"/>
      <c r="LNV208" s="2"/>
      <c r="LNW208" s="2"/>
      <c r="LNX208" s="2"/>
      <c r="LNY208" s="2"/>
      <c r="LNZ208" s="2"/>
      <c r="LOA208" s="2"/>
      <c r="LOB208" s="2"/>
      <c r="LOC208" s="2"/>
      <c r="LOD208" s="2"/>
      <c r="LOE208" s="2"/>
      <c r="LOF208" s="2"/>
      <c r="LOG208" s="2"/>
      <c r="LOH208" s="2"/>
      <c r="LOI208" s="2"/>
      <c r="LOJ208" s="2"/>
      <c r="LOK208" s="2"/>
      <c r="LOL208" s="2"/>
      <c r="LOM208" s="2"/>
      <c r="LON208" s="2"/>
      <c r="LOO208" s="2"/>
      <c r="LOP208" s="2"/>
      <c r="LOQ208" s="2"/>
      <c r="LOR208" s="2"/>
      <c r="LOS208" s="2"/>
      <c r="LOT208" s="2"/>
      <c r="LOU208" s="2"/>
      <c r="LOV208" s="2"/>
      <c r="LOW208" s="2"/>
      <c r="LOX208" s="2"/>
      <c r="LOY208" s="2"/>
      <c r="LOZ208" s="2"/>
      <c r="LPA208" s="2"/>
      <c r="LPB208" s="2"/>
      <c r="LPC208" s="2"/>
      <c r="LPD208" s="2"/>
      <c r="LPE208" s="2"/>
      <c r="LPF208" s="2"/>
      <c r="LPG208" s="2"/>
      <c r="LPH208" s="2"/>
      <c r="LPI208" s="2"/>
      <c r="LPJ208" s="2"/>
      <c r="LPK208" s="2"/>
      <c r="LPL208" s="2"/>
      <c r="LPM208" s="2"/>
      <c r="LPN208" s="2"/>
      <c r="LPO208" s="2"/>
      <c r="LPP208" s="2"/>
      <c r="LPQ208" s="2"/>
      <c r="LPR208" s="2"/>
      <c r="LPS208" s="2"/>
      <c r="LPT208" s="2"/>
      <c r="LPU208" s="2"/>
      <c r="LPV208" s="2"/>
      <c r="LPW208" s="2"/>
      <c r="LPX208" s="2"/>
      <c r="LPY208" s="2"/>
      <c r="LPZ208" s="2"/>
      <c r="LQA208" s="2"/>
      <c r="LQB208" s="2"/>
      <c r="LQC208" s="2"/>
      <c r="LQD208" s="2"/>
      <c r="LQE208" s="2"/>
      <c r="LQF208" s="2"/>
      <c r="LQG208" s="2"/>
      <c r="LQH208" s="2"/>
      <c r="LQI208" s="2"/>
      <c r="LQJ208" s="2"/>
      <c r="LQK208" s="2"/>
      <c r="LQL208" s="2"/>
      <c r="LQM208" s="2"/>
      <c r="LQN208" s="2"/>
      <c r="LQO208" s="2"/>
      <c r="LQP208" s="2"/>
      <c r="LQQ208" s="2"/>
      <c r="LQR208" s="2"/>
      <c r="LQS208" s="2"/>
      <c r="LQT208" s="2"/>
      <c r="LQU208" s="2"/>
      <c r="LQV208" s="2"/>
      <c r="LQW208" s="2"/>
      <c r="LQX208" s="2"/>
      <c r="LQY208" s="2"/>
      <c r="LQZ208" s="2"/>
      <c r="LRA208" s="2"/>
      <c r="LRB208" s="2"/>
      <c r="LRC208" s="2"/>
      <c r="LRD208" s="2"/>
      <c r="LRE208" s="2"/>
      <c r="LRF208" s="2"/>
      <c r="LRG208" s="2"/>
      <c r="LRH208" s="2"/>
      <c r="LRI208" s="2"/>
      <c r="LRJ208" s="2"/>
      <c r="LRK208" s="2"/>
      <c r="LRL208" s="2"/>
      <c r="LRM208" s="2"/>
      <c r="LRN208" s="2"/>
      <c r="LRO208" s="2"/>
      <c r="LRP208" s="2"/>
      <c r="LRQ208" s="2"/>
      <c r="LRR208" s="2"/>
      <c r="LRS208" s="2"/>
      <c r="LRT208" s="2"/>
      <c r="LRU208" s="2"/>
      <c r="LRV208" s="2"/>
      <c r="LRW208" s="2"/>
      <c r="LRX208" s="2"/>
      <c r="LRY208" s="2"/>
      <c r="LRZ208" s="2"/>
      <c r="LSA208" s="2"/>
      <c r="LSB208" s="2"/>
      <c r="LSC208" s="2"/>
      <c r="LSD208" s="2"/>
      <c r="LSE208" s="2"/>
      <c r="LSF208" s="2"/>
      <c r="LSG208" s="2"/>
      <c r="LSH208" s="2"/>
      <c r="LSI208" s="2"/>
      <c r="LSJ208" s="2"/>
      <c r="LSK208" s="2"/>
      <c r="LSL208" s="2"/>
      <c r="LSM208" s="2"/>
      <c r="LSN208" s="2"/>
      <c r="LSO208" s="2"/>
      <c r="LSP208" s="2"/>
      <c r="LSQ208" s="2"/>
      <c r="LSR208" s="2"/>
      <c r="LSS208" s="2"/>
      <c r="LST208" s="2"/>
      <c r="LSU208" s="2"/>
      <c r="LSV208" s="2"/>
      <c r="LSW208" s="2"/>
      <c r="LSX208" s="2"/>
      <c r="LSY208" s="2"/>
      <c r="LSZ208" s="2"/>
      <c r="LTA208" s="2"/>
      <c r="LTB208" s="2"/>
      <c r="LTC208" s="2"/>
      <c r="LTD208" s="2"/>
      <c r="LTE208" s="2"/>
      <c r="LTF208" s="2"/>
      <c r="LTG208" s="2"/>
      <c r="LTH208" s="2"/>
      <c r="LTI208" s="2"/>
      <c r="LTJ208" s="2"/>
      <c r="LTK208" s="2"/>
      <c r="LTL208" s="2"/>
      <c r="LTM208" s="2"/>
      <c r="LTN208" s="2"/>
      <c r="LTO208" s="2"/>
      <c r="LTP208" s="2"/>
      <c r="LTQ208" s="2"/>
      <c r="LTR208" s="2"/>
      <c r="LTS208" s="2"/>
      <c r="LTT208" s="2"/>
      <c r="LTU208" s="2"/>
      <c r="LTV208" s="2"/>
      <c r="LTW208" s="2"/>
      <c r="LTX208" s="2"/>
      <c r="LTY208" s="2"/>
      <c r="LTZ208" s="2"/>
      <c r="LUA208" s="2"/>
      <c r="LUB208" s="2"/>
      <c r="LUC208" s="2"/>
      <c r="LUD208" s="2"/>
      <c r="LUE208" s="2"/>
      <c r="LUF208" s="2"/>
      <c r="LUG208" s="2"/>
      <c r="LUH208" s="2"/>
      <c r="LUI208" s="2"/>
      <c r="LUJ208" s="2"/>
      <c r="LUK208" s="2"/>
      <c r="LUL208" s="2"/>
      <c r="LUM208" s="2"/>
      <c r="LUN208" s="2"/>
      <c r="LUO208" s="2"/>
      <c r="LUP208" s="2"/>
      <c r="LUQ208" s="2"/>
      <c r="LUR208" s="2"/>
      <c r="LUS208" s="2"/>
      <c r="LUT208" s="2"/>
      <c r="LUU208" s="2"/>
      <c r="LUV208" s="2"/>
      <c r="LUW208" s="2"/>
      <c r="LUX208" s="2"/>
      <c r="LUY208" s="2"/>
      <c r="LUZ208" s="2"/>
      <c r="LVA208" s="2"/>
      <c r="LVB208" s="2"/>
      <c r="LVC208" s="2"/>
      <c r="LVD208" s="2"/>
      <c r="LVE208" s="2"/>
      <c r="LVF208" s="2"/>
      <c r="LVG208" s="2"/>
      <c r="LVH208" s="2"/>
      <c r="LVI208" s="2"/>
      <c r="LVJ208" s="2"/>
      <c r="LVK208" s="2"/>
      <c r="LVL208" s="2"/>
      <c r="LVM208" s="2"/>
      <c r="LVN208" s="2"/>
      <c r="LVO208" s="2"/>
      <c r="LVP208" s="2"/>
      <c r="LVQ208" s="2"/>
      <c r="LVR208" s="2"/>
      <c r="LVS208" s="2"/>
      <c r="LVT208" s="2"/>
      <c r="LVU208" s="2"/>
      <c r="LVV208" s="2"/>
      <c r="LVW208" s="2"/>
      <c r="LVX208" s="2"/>
      <c r="LVY208" s="2"/>
      <c r="LVZ208" s="2"/>
      <c r="LWA208" s="2"/>
      <c r="LWB208" s="2"/>
      <c r="LWC208" s="2"/>
      <c r="LWD208" s="2"/>
      <c r="LWE208" s="2"/>
      <c r="LWF208" s="2"/>
      <c r="LWG208" s="2"/>
      <c r="LWH208" s="2"/>
      <c r="LWI208" s="2"/>
      <c r="LWJ208" s="2"/>
      <c r="LWK208" s="2"/>
      <c r="LWL208" s="2"/>
      <c r="LWM208" s="2"/>
      <c r="LWN208" s="2"/>
      <c r="LWO208" s="2"/>
      <c r="LWP208" s="2"/>
      <c r="LWQ208" s="2"/>
      <c r="LWR208" s="2"/>
      <c r="LWS208" s="2"/>
      <c r="LWT208" s="2"/>
      <c r="LWU208" s="2"/>
      <c r="LWV208" s="2"/>
      <c r="LWW208" s="2"/>
      <c r="LWX208" s="2"/>
      <c r="LWY208" s="2"/>
      <c r="LWZ208" s="2"/>
      <c r="LXA208" s="2"/>
      <c r="LXB208" s="2"/>
      <c r="LXC208" s="2"/>
      <c r="LXD208" s="2"/>
      <c r="LXE208" s="2"/>
      <c r="LXF208" s="2"/>
      <c r="LXG208" s="2"/>
      <c r="LXH208" s="2"/>
      <c r="LXI208" s="2"/>
      <c r="LXJ208" s="2"/>
      <c r="LXK208" s="2"/>
      <c r="LXL208" s="2"/>
      <c r="LXM208" s="2"/>
      <c r="LXN208" s="2"/>
      <c r="LXO208" s="2"/>
      <c r="LXP208" s="2"/>
      <c r="LXQ208" s="2"/>
      <c r="LXR208" s="2"/>
      <c r="LXS208" s="2"/>
      <c r="LXT208" s="2"/>
      <c r="LXU208" s="2"/>
      <c r="LXV208" s="2"/>
      <c r="LXW208" s="2"/>
      <c r="LXX208" s="2"/>
      <c r="LXY208" s="2"/>
      <c r="LXZ208" s="2"/>
      <c r="LYA208" s="2"/>
      <c r="LYB208" s="2"/>
      <c r="LYC208" s="2"/>
      <c r="LYD208" s="2"/>
      <c r="LYE208" s="2"/>
      <c r="LYF208" s="2"/>
      <c r="LYG208" s="2"/>
      <c r="LYH208" s="2"/>
      <c r="LYI208" s="2"/>
      <c r="LYJ208" s="2"/>
      <c r="LYK208" s="2"/>
      <c r="LYL208" s="2"/>
      <c r="LYM208" s="2"/>
      <c r="LYN208" s="2"/>
      <c r="LYO208" s="2"/>
      <c r="LYP208" s="2"/>
      <c r="LYQ208" s="2"/>
      <c r="LYR208" s="2"/>
      <c r="LYS208" s="2"/>
      <c r="LYT208" s="2"/>
      <c r="LYU208" s="2"/>
      <c r="LYV208" s="2"/>
      <c r="LYW208" s="2"/>
      <c r="LYX208" s="2"/>
      <c r="LYY208" s="2"/>
      <c r="LYZ208" s="2"/>
      <c r="LZA208" s="2"/>
      <c r="LZB208" s="2"/>
      <c r="LZC208" s="2"/>
      <c r="LZD208" s="2"/>
      <c r="LZE208" s="2"/>
      <c r="LZF208" s="2"/>
      <c r="LZG208" s="2"/>
      <c r="LZH208" s="2"/>
      <c r="LZI208" s="2"/>
      <c r="LZJ208" s="2"/>
      <c r="LZK208" s="2"/>
      <c r="LZL208" s="2"/>
      <c r="LZM208" s="2"/>
      <c r="LZN208" s="2"/>
      <c r="LZO208" s="2"/>
      <c r="LZP208" s="2"/>
      <c r="LZQ208" s="2"/>
      <c r="LZR208" s="2"/>
      <c r="LZS208" s="2"/>
      <c r="LZT208" s="2"/>
      <c r="LZU208" s="2"/>
      <c r="LZV208" s="2"/>
      <c r="LZW208" s="2"/>
      <c r="LZX208" s="2"/>
      <c r="LZY208" s="2"/>
      <c r="LZZ208" s="2"/>
      <c r="MAA208" s="2"/>
      <c r="MAB208" s="2"/>
      <c r="MAC208" s="2"/>
      <c r="MAD208" s="2"/>
      <c r="MAE208" s="2"/>
      <c r="MAF208" s="2"/>
      <c r="MAG208" s="2"/>
      <c r="MAH208" s="2"/>
      <c r="MAI208" s="2"/>
      <c r="MAJ208" s="2"/>
      <c r="MAK208" s="2"/>
      <c r="MAL208" s="2"/>
      <c r="MAM208" s="2"/>
      <c r="MAN208" s="2"/>
      <c r="MAO208" s="2"/>
      <c r="MAP208" s="2"/>
      <c r="MAQ208" s="2"/>
      <c r="MAR208" s="2"/>
      <c r="MAS208" s="2"/>
      <c r="MAT208" s="2"/>
      <c r="MAU208" s="2"/>
      <c r="MAV208" s="2"/>
      <c r="MAW208" s="2"/>
      <c r="MAX208" s="2"/>
      <c r="MAY208" s="2"/>
      <c r="MAZ208" s="2"/>
      <c r="MBA208" s="2"/>
      <c r="MBB208" s="2"/>
      <c r="MBC208" s="2"/>
      <c r="MBD208" s="2"/>
      <c r="MBE208" s="2"/>
      <c r="MBF208" s="2"/>
      <c r="MBG208" s="2"/>
      <c r="MBH208" s="2"/>
      <c r="MBI208" s="2"/>
      <c r="MBJ208" s="2"/>
      <c r="MBK208" s="2"/>
      <c r="MBL208" s="2"/>
      <c r="MBM208" s="2"/>
      <c r="MBN208" s="2"/>
      <c r="MBO208" s="2"/>
      <c r="MBP208" s="2"/>
      <c r="MBQ208" s="2"/>
      <c r="MBR208" s="2"/>
      <c r="MBS208" s="2"/>
      <c r="MBT208" s="2"/>
      <c r="MBU208" s="2"/>
      <c r="MBV208" s="2"/>
      <c r="MBW208" s="2"/>
      <c r="MBX208" s="2"/>
      <c r="MBY208" s="2"/>
      <c r="MBZ208" s="2"/>
      <c r="MCA208" s="2"/>
      <c r="MCB208" s="2"/>
      <c r="MCC208" s="2"/>
      <c r="MCD208" s="2"/>
      <c r="MCE208" s="2"/>
      <c r="MCF208" s="2"/>
      <c r="MCG208" s="2"/>
      <c r="MCH208" s="2"/>
      <c r="MCI208" s="2"/>
      <c r="MCJ208" s="2"/>
      <c r="MCK208" s="2"/>
      <c r="MCL208" s="2"/>
      <c r="MCM208" s="2"/>
      <c r="MCN208" s="2"/>
      <c r="MCO208" s="2"/>
      <c r="MCP208" s="2"/>
      <c r="MCQ208" s="2"/>
      <c r="MCR208" s="2"/>
      <c r="MCS208" s="2"/>
      <c r="MCT208" s="2"/>
      <c r="MCU208" s="2"/>
      <c r="MCV208" s="2"/>
      <c r="MCW208" s="2"/>
      <c r="MCX208" s="2"/>
      <c r="MCY208" s="2"/>
      <c r="MCZ208" s="2"/>
      <c r="MDA208" s="2"/>
      <c r="MDB208" s="2"/>
      <c r="MDC208" s="2"/>
      <c r="MDD208" s="2"/>
      <c r="MDE208" s="2"/>
      <c r="MDF208" s="2"/>
      <c r="MDG208" s="2"/>
      <c r="MDH208" s="2"/>
      <c r="MDI208" s="2"/>
      <c r="MDJ208" s="2"/>
      <c r="MDK208" s="2"/>
      <c r="MDL208" s="2"/>
      <c r="MDM208" s="2"/>
      <c r="MDN208" s="2"/>
      <c r="MDO208" s="2"/>
      <c r="MDP208" s="2"/>
      <c r="MDQ208" s="2"/>
      <c r="MDR208" s="2"/>
      <c r="MDS208" s="2"/>
      <c r="MDT208" s="2"/>
      <c r="MDU208" s="2"/>
      <c r="MDV208" s="2"/>
      <c r="MDW208" s="2"/>
      <c r="MDX208" s="2"/>
      <c r="MDY208" s="2"/>
      <c r="MDZ208" s="2"/>
      <c r="MEA208" s="2"/>
      <c r="MEB208" s="2"/>
      <c r="MEC208" s="2"/>
      <c r="MED208" s="2"/>
      <c r="MEE208" s="2"/>
      <c r="MEF208" s="2"/>
      <c r="MEG208" s="2"/>
      <c r="MEH208" s="2"/>
      <c r="MEI208" s="2"/>
      <c r="MEJ208" s="2"/>
      <c r="MEK208" s="2"/>
      <c r="MEL208" s="2"/>
      <c r="MEM208" s="2"/>
      <c r="MEN208" s="2"/>
      <c r="MEO208" s="2"/>
      <c r="MEP208" s="2"/>
      <c r="MEQ208" s="2"/>
      <c r="MER208" s="2"/>
      <c r="MES208" s="2"/>
      <c r="MET208" s="2"/>
      <c r="MEU208" s="2"/>
      <c r="MEV208" s="2"/>
      <c r="MEW208" s="2"/>
      <c r="MEX208" s="2"/>
      <c r="MEY208" s="2"/>
      <c r="MEZ208" s="2"/>
      <c r="MFA208" s="2"/>
      <c r="MFB208" s="2"/>
      <c r="MFC208" s="2"/>
      <c r="MFD208" s="2"/>
      <c r="MFE208" s="2"/>
      <c r="MFF208" s="2"/>
      <c r="MFG208" s="2"/>
      <c r="MFH208" s="2"/>
      <c r="MFI208" s="2"/>
      <c r="MFJ208" s="2"/>
      <c r="MFK208" s="2"/>
      <c r="MFL208" s="2"/>
      <c r="MFM208" s="2"/>
      <c r="MFN208" s="2"/>
      <c r="MFO208" s="2"/>
      <c r="MFP208" s="2"/>
      <c r="MFQ208" s="2"/>
      <c r="MFR208" s="2"/>
      <c r="MFS208" s="2"/>
      <c r="MFT208" s="2"/>
      <c r="MFU208" s="2"/>
      <c r="MFV208" s="2"/>
      <c r="MFW208" s="2"/>
      <c r="MFX208" s="2"/>
      <c r="MFY208" s="2"/>
      <c r="MFZ208" s="2"/>
      <c r="MGA208" s="2"/>
      <c r="MGB208" s="2"/>
      <c r="MGC208" s="2"/>
      <c r="MGD208" s="2"/>
      <c r="MGE208" s="2"/>
      <c r="MGF208" s="2"/>
      <c r="MGG208" s="2"/>
      <c r="MGH208" s="2"/>
      <c r="MGI208" s="2"/>
      <c r="MGJ208" s="2"/>
      <c r="MGK208" s="2"/>
      <c r="MGL208" s="2"/>
      <c r="MGM208" s="2"/>
      <c r="MGN208" s="2"/>
      <c r="MGO208" s="2"/>
      <c r="MGP208" s="2"/>
      <c r="MGQ208" s="2"/>
      <c r="MGR208" s="2"/>
      <c r="MGS208" s="2"/>
      <c r="MGT208" s="2"/>
      <c r="MGU208" s="2"/>
      <c r="MGV208" s="2"/>
      <c r="MGW208" s="2"/>
      <c r="MGX208" s="2"/>
      <c r="MGY208" s="2"/>
      <c r="MGZ208" s="2"/>
      <c r="MHA208" s="2"/>
      <c r="MHB208" s="2"/>
      <c r="MHC208" s="2"/>
      <c r="MHD208" s="2"/>
      <c r="MHE208" s="2"/>
      <c r="MHF208" s="2"/>
      <c r="MHG208" s="2"/>
      <c r="MHH208" s="2"/>
      <c r="MHI208" s="2"/>
      <c r="MHJ208" s="2"/>
      <c r="MHK208" s="2"/>
      <c r="MHL208" s="2"/>
      <c r="MHM208" s="2"/>
      <c r="MHN208" s="2"/>
      <c r="MHO208" s="2"/>
      <c r="MHP208" s="2"/>
      <c r="MHQ208" s="2"/>
      <c r="MHR208" s="2"/>
      <c r="MHS208" s="2"/>
      <c r="MHT208" s="2"/>
      <c r="MHU208" s="2"/>
      <c r="MHV208" s="2"/>
      <c r="MHW208" s="2"/>
      <c r="MHX208" s="2"/>
      <c r="MHY208" s="2"/>
      <c r="MHZ208" s="2"/>
      <c r="MIA208" s="2"/>
      <c r="MIB208" s="2"/>
      <c r="MIC208" s="2"/>
      <c r="MID208" s="2"/>
      <c r="MIE208" s="2"/>
      <c r="MIF208" s="2"/>
      <c r="MIG208" s="2"/>
      <c r="MIH208" s="2"/>
      <c r="MII208" s="2"/>
      <c r="MIJ208" s="2"/>
      <c r="MIK208" s="2"/>
      <c r="MIL208" s="2"/>
      <c r="MIM208" s="2"/>
      <c r="MIN208" s="2"/>
      <c r="MIO208" s="2"/>
      <c r="MIP208" s="2"/>
      <c r="MIQ208" s="2"/>
      <c r="MIR208" s="2"/>
      <c r="MIS208" s="2"/>
      <c r="MIT208" s="2"/>
      <c r="MIU208" s="2"/>
      <c r="MIV208" s="2"/>
      <c r="MIW208" s="2"/>
      <c r="MIX208" s="2"/>
      <c r="MIY208" s="2"/>
      <c r="MIZ208" s="2"/>
      <c r="MJA208" s="2"/>
      <c r="MJB208" s="2"/>
      <c r="MJC208" s="2"/>
      <c r="MJD208" s="2"/>
      <c r="MJE208" s="2"/>
      <c r="MJF208" s="2"/>
      <c r="MJG208" s="2"/>
      <c r="MJH208" s="2"/>
      <c r="MJI208" s="2"/>
      <c r="MJJ208" s="2"/>
      <c r="MJK208" s="2"/>
      <c r="MJL208" s="2"/>
      <c r="MJM208" s="2"/>
      <c r="MJN208" s="2"/>
      <c r="MJO208" s="2"/>
      <c r="MJP208" s="2"/>
      <c r="MJQ208" s="2"/>
      <c r="MJR208" s="2"/>
      <c r="MJS208" s="2"/>
      <c r="MJT208" s="2"/>
      <c r="MJU208" s="2"/>
      <c r="MJV208" s="2"/>
      <c r="MJW208" s="2"/>
      <c r="MJX208" s="2"/>
      <c r="MJY208" s="2"/>
      <c r="MJZ208" s="2"/>
      <c r="MKA208" s="2"/>
      <c r="MKB208" s="2"/>
      <c r="MKC208" s="2"/>
      <c r="MKD208" s="2"/>
      <c r="MKE208" s="2"/>
      <c r="MKF208" s="2"/>
      <c r="MKG208" s="2"/>
      <c r="MKH208" s="2"/>
      <c r="MKI208" s="2"/>
      <c r="MKJ208" s="2"/>
      <c r="MKK208" s="2"/>
      <c r="MKL208" s="2"/>
      <c r="MKM208" s="2"/>
      <c r="MKN208" s="2"/>
      <c r="MKO208" s="2"/>
      <c r="MKP208" s="2"/>
      <c r="MKQ208" s="2"/>
      <c r="MKR208" s="2"/>
      <c r="MKS208" s="2"/>
      <c r="MKT208" s="2"/>
      <c r="MKU208" s="2"/>
      <c r="MKV208" s="2"/>
      <c r="MKW208" s="2"/>
      <c r="MKX208" s="2"/>
      <c r="MKY208" s="2"/>
      <c r="MKZ208" s="2"/>
      <c r="MLA208" s="2"/>
      <c r="MLB208" s="2"/>
      <c r="MLC208" s="2"/>
      <c r="MLD208" s="2"/>
      <c r="MLE208" s="2"/>
      <c r="MLF208" s="2"/>
      <c r="MLG208" s="2"/>
      <c r="MLH208" s="2"/>
      <c r="MLI208" s="2"/>
      <c r="MLJ208" s="2"/>
      <c r="MLK208" s="2"/>
      <c r="MLL208" s="2"/>
      <c r="MLM208" s="2"/>
      <c r="MLN208" s="2"/>
      <c r="MLO208" s="2"/>
      <c r="MLP208" s="2"/>
      <c r="MLQ208" s="2"/>
      <c r="MLR208" s="2"/>
      <c r="MLS208" s="2"/>
      <c r="MLT208" s="2"/>
      <c r="MLU208" s="2"/>
      <c r="MLV208" s="2"/>
      <c r="MLW208" s="2"/>
      <c r="MLX208" s="2"/>
      <c r="MLY208" s="2"/>
      <c r="MLZ208" s="2"/>
      <c r="MMA208" s="2"/>
      <c r="MMB208" s="2"/>
      <c r="MMC208" s="2"/>
      <c r="MMD208" s="2"/>
      <c r="MME208" s="2"/>
      <c r="MMF208" s="2"/>
      <c r="MMG208" s="2"/>
      <c r="MMH208" s="2"/>
      <c r="MMI208" s="2"/>
      <c r="MMJ208" s="2"/>
      <c r="MMK208" s="2"/>
      <c r="MML208" s="2"/>
      <c r="MMM208" s="2"/>
      <c r="MMN208" s="2"/>
      <c r="MMO208" s="2"/>
      <c r="MMP208" s="2"/>
      <c r="MMQ208" s="2"/>
      <c r="MMR208" s="2"/>
      <c r="MMS208" s="2"/>
      <c r="MMT208" s="2"/>
      <c r="MMU208" s="2"/>
      <c r="MMV208" s="2"/>
      <c r="MMW208" s="2"/>
      <c r="MMX208" s="2"/>
      <c r="MMY208" s="2"/>
      <c r="MMZ208" s="2"/>
      <c r="MNA208" s="2"/>
      <c r="MNB208" s="2"/>
      <c r="MNC208" s="2"/>
      <c r="MND208" s="2"/>
      <c r="MNE208" s="2"/>
      <c r="MNF208" s="2"/>
      <c r="MNG208" s="2"/>
      <c r="MNH208" s="2"/>
      <c r="MNI208" s="2"/>
      <c r="MNJ208" s="2"/>
      <c r="MNK208" s="2"/>
      <c r="MNL208" s="2"/>
      <c r="MNM208" s="2"/>
      <c r="MNN208" s="2"/>
      <c r="MNO208" s="2"/>
      <c r="MNP208" s="2"/>
      <c r="MNQ208" s="2"/>
      <c r="MNR208" s="2"/>
      <c r="MNS208" s="2"/>
      <c r="MNT208" s="2"/>
      <c r="MNU208" s="2"/>
      <c r="MNV208" s="2"/>
      <c r="MNW208" s="2"/>
      <c r="MNX208" s="2"/>
      <c r="MNY208" s="2"/>
      <c r="MNZ208" s="2"/>
      <c r="MOA208" s="2"/>
      <c r="MOB208" s="2"/>
      <c r="MOC208" s="2"/>
      <c r="MOD208" s="2"/>
      <c r="MOE208" s="2"/>
      <c r="MOF208" s="2"/>
      <c r="MOG208" s="2"/>
      <c r="MOH208" s="2"/>
      <c r="MOI208" s="2"/>
      <c r="MOJ208" s="2"/>
      <c r="MOK208" s="2"/>
      <c r="MOL208" s="2"/>
      <c r="MOM208" s="2"/>
      <c r="MON208" s="2"/>
      <c r="MOO208" s="2"/>
      <c r="MOP208" s="2"/>
      <c r="MOQ208" s="2"/>
      <c r="MOR208" s="2"/>
      <c r="MOS208" s="2"/>
      <c r="MOT208" s="2"/>
      <c r="MOU208" s="2"/>
      <c r="MOV208" s="2"/>
      <c r="MOW208" s="2"/>
      <c r="MOX208" s="2"/>
      <c r="MOY208" s="2"/>
      <c r="MOZ208" s="2"/>
      <c r="MPA208" s="2"/>
      <c r="MPB208" s="2"/>
      <c r="MPC208" s="2"/>
      <c r="MPD208" s="2"/>
      <c r="MPE208" s="2"/>
      <c r="MPF208" s="2"/>
      <c r="MPG208" s="2"/>
      <c r="MPH208" s="2"/>
      <c r="MPI208" s="2"/>
      <c r="MPJ208" s="2"/>
      <c r="MPK208" s="2"/>
      <c r="MPL208" s="2"/>
      <c r="MPM208" s="2"/>
      <c r="MPN208" s="2"/>
      <c r="MPO208" s="2"/>
      <c r="MPP208" s="2"/>
      <c r="MPQ208" s="2"/>
      <c r="MPR208" s="2"/>
      <c r="MPS208" s="2"/>
      <c r="MPT208" s="2"/>
      <c r="MPU208" s="2"/>
      <c r="MPV208" s="2"/>
      <c r="MPW208" s="2"/>
      <c r="MPX208" s="2"/>
      <c r="MPY208" s="2"/>
      <c r="MPZ208" s="2"/>
      <c r="MQA208" s="2"/>
      <c r="MQB208" s="2"/>
      <c r="MQC208" s="2"/>
      <c r="MQD208" s="2"/>
      <c r="MQE208" s="2"/>
      <c r="MQF208" s="2"/>
      <c r="MQG208" s="2"/>
      <c r="MQH208" s="2"/>
      <c r="MQI208" s="2"/>
      <c r="MQJ208" s="2"/>
      <c r="MQK208" s="2"/>
      <c r="MQL208" s="2"/>
      <c r="MQM208" s="2"/>
      <c r="MQN208" s="2"/>
      <c r="MQO208" s="2"/>
      <c r="MQP208" s="2"/>
      <c r="MQQ208" s="2"/>
      <c r="MQR208" s="2"/>
      <c r="MQS208" s="2"/>
      <c r="MQT208" s="2"/>
      <c r="MQU208" s="2"/>
      <c r="MQV208" s="2"/>
      <c r="MQW208" s="2"/>
      <c r="MQX208" s="2"/>
      <c r="MQY208" s="2"/>
      <c r="MQZ208" s="2"/>
      <c r="MRA208" s="2"/>
      <c r="MRB208" s="2"/>
      <c r="MRC208" s="2"/>
      <c r="MRD208" s="2"/>
      <c r="MRE208" s="2"/>
      <c r="MRF208" s="2"/>
      <c r="MRG208" s="2"/>
      <c r="MRH208" s="2"/>
      <c r="MRI208" s="2"/>
      <c r="MRJ208" s="2"/>
      <c r="MRK208" s="2"/>
      <c r="MRL208" s="2"/>
      <c r="MRM208" s="2"/>
      <c r="MRN208" s="2"/>
      <c r="MRO208" s="2"/>
      <c r="MRP208" s="2"/>
      <c r="MRQ208" s="2"/>
      <c r="MRR208" s="2"/>
      <c r="MRS208" s="2"/>
      <c r="MRT208" s="2"/>
      <c r="MRU208" s="2"/>
      <c r="MRV208" s="2"/>
      <c r="MRW208" s="2"/>
      <c r="MRX208" s="2"/>
      <c r="MRY208" s="2"/>
      <c r="MRZ208" s="2"/>
      <c r="MSA208" s="2"/>
      <c r="MSB208" s="2"/>
      <c r="MSC208" s="2"/>
      <c r="MSD208" s="2"/>
      <c r="MSE208" s="2"/>
      <c r="MSF208" s="2"/>
      <c r="MSG208" s="2"/>
      <c r="MSH208" s="2"/>
      <c r="MSI208" s="2"/>
      <c r="MSJ208" s="2"/>
      <c r="MSK208" s="2"/>
      <c r="MSL208" s="2"/>
      <c r="MSM208" s="2"/>
      <c r="MSN208" s="2"/>
      <c r="MSO208" s="2"/>
      <c r="MSP208" s="2"/>
      <c r="MSQ208" s="2"/>
      <c r="MSR208" s="2"/>
      <c r="MSS208" s="2"/>
      <c r="MST208" s="2"/>
      <c r="MSU208" s="2"/>
      <c r="MSV208" s="2"/>
      <c r="MSW208" s="2"/>
      <c r="MSX208" s="2"/>
      <c r="MSY208" s="2"/>
      <c r="MSZ208" s="2"/>
      <c r="MTA208" s="2"/>
      <c r="MTB208" s="2"/>
      <c r="MTC208" s="2"/>
      <c r="MTD208" s="2"/>
      <c r="MTE208" s="2"/>
      <c r="MTF208" s="2"/>
      <c r="MTG208" s="2"/>
      <c r="MTH208" s="2"/>
      <c r="MTI208" s="2"/>
      <c r="MTJ208" s="2"/>
      <c r="MTK208" s="2"/>
      <c r="MTL208" s="2"/>
      <c r="MTM208" s="2"/>
      <c r="MTN208" s="2"/>
      <c r="MTO208" s="2"/>
      <c r="MTP208" s="2"/>
      <c r="MTQ208" s="2"/>
      <c r="MTR208" s="2"/>
      <c r="MTS208" s="2"/>
      <c r="MTT208" s="2"/>
      <c r="MTU208" s="2"/>
      <c r="MTV208" s="2"/>
      <c r="MTW208" s="2"/>
      <c r="MTX208" s="2"/>
      <c r="MTY208" s="2"/>
      <c r="MTZ208" s="2"/>
      <c r="MUA208" s="2"/>
      <c r="MUB208" s="2"/>
      <c r="MUC208" s="2"/>
      <c r="MUD208" s="2"/>
      <c r="MUE208" s="2"/>
      <c r="MUF208" s="2"/>
      <c r="MUG208" s="2"/>
      <c r="MUH208" s="2"/>
      <c r="MUI208" s="2"/>
      <c r="MUJ208" s="2"/>
      <c r="MUK208" s="2"/>
      <c r="MUL208" s="2"/>
      <c r="MUM208" s="2"/>
      <c r="MUN208" s="2"/>
      <c r="MUO208" s="2"/>
      <c r="MUP208" s="2"/>
      <c r="MUQ208" s="2"/>
      <c r="MUR208" s="2"/>
      <c r="MUS208" s="2"/>
      <c r="MUT208" s="2"/>
      <c r="MUU208" s="2"/>
      <c r="MUV208" s="2"/>
      <c r="MUW208" s="2"/>
      <c r="MUX208" s="2"/>
      <c r="MUY208" s="2"/>
      <c r="MUZ208" s="2"/>
      <c r="MVA208" s="2"/>
      <c r="MVB208" s="2"/>
      <c r="MVC208" s="2"/>
      <c r="MVD208" s="2"/>
      <c r="MVE208" s="2"/>
      <c r="MVF208" s="2"/>
      <c r="MVG208" s="2"/>
      <c r="MVH208" s="2"/>
      <c r="MVI208" s="2"/>
      <c r="MVJ208" s="2"/>
      <c r="MVK208" s="2"/>
      <c r="MVL208" s="2"/>
      <c r="MVM208" s="2"/>
      <c r="MVN208" s="2"/>
      <c r="MVO208" s="2"/>
      <c r="MVP208" s="2"/>
      <c r="MVQ208" s="2"/>
      <c r="MVR208" s="2"/>
      <c r="MVS208" s="2"/>
      <c r="MVT208" s="2"/>
      <c r="MVU208" s="2"/>
      <c r="MVV208" s="2"/>
      <c r="MVW208" s="2"/>
      <c r="MVX208" s="2"/>
      <c r="MVY208" s="2"/>
      <c r="MVZ208" s="2"/>
      <c r="MWA208" s="2"/>
      <c r="MWB208" s="2"/>
      <c r="MWC208" s="2"/>
      <c r="MWD208" s="2"/>
      <c r="MWE208" s="2"/>
      <c r="MWF208" s="2"/>
      <c r="MWG208" s="2"/>
      <c r="MWH208" s="2"/>
      <c r="MWI208" s="2"/>
      <c r="MWJ208" s="2"/>
      <c r="MWK208" s="2"/>
      <c r="MWL208" s="2"/>
      <c r="MWM208" s="2"/>
      <c r="MWN208" s="2"/>
      <c r="MWO208" s="2"/>
      <c r="MWP208" s="2"/>
      <c r="MWQ208" s="2"/>
      <c r="MWR208" s="2"/>
      <c r="MWS208" s="2"/>
      <c r="MWT208" s="2"/>
      <c r="MWU208" s="2"/>
      <c r="MWV208" s="2"/>
      <c r="MWW208" s="2"/>
      <c r="MWX208" s="2"/>
      <c r="MWY208" s="2"/>
      <c r="MWZ208" s="2"/>
      <c r="MXA208" s="2"/>
      <c r="MXB208" s="2"/>
      <c r="MXC208" s="2"/>
      <c r="MXD208" s="2"/>
      <c r="MXE208" s="2"/>
      <c r="MXF208" s="2"/>
      <c r="MXG208" s="2"/>
      <c r="MXH208" s="2"/>
      <c r="MXI208" s="2"/>
      <c r="MXJ208" s="2"/>
      <c r="MXK208" s="2"/>
      <c r="MXL208" s="2"/>
      <c r="MXM208" s="2"/>
      <c r="MXN208" s="2"/>
      <c r="MXO208" s="2"/>
      <c r="MXP208" s="2"/>
      <c r="MXQ208" s="2"/>
      <c r="MXR208" s="2"/>
      <c r="MXS208" s="2"/>
      <c r="MXT208" s="2"/>
      <c r="MXU208" s="2"/>
      <c r="MXV208" s="2"/>
      <c r="MXW208" s="2"/>
      <c r="MXX208" s="2"/>
      <c r="MXY208" s="2"/>
      <c r="MXZ208" s="2"/>
      <c r="MYA208" s="2"/>
      <c r="MYB208" s="2"/>
      <c r="MYC208" s="2"/>
      <c r="MYD208" s="2"/>
      <c r="MYE208" s="2"/>
      <c r="MYF208" s="2"/>
      <c r="MYG208" s="2"/>
      <c r="MYH208" s="2"/>
      <c r="MYI208" s="2"/>
      <c r="MYJ208" s="2"/>
      <c r="MYK208" s="2"/>
      <c r="MYL208" s="2"/>
      <c r="MYM208" s="2"/>
      <c r="MYN208" s="2"/>
      <c r="MYO208" s="2"/>
      <c r="MYP208" s="2"/>
      <c r="MYQ208" s="2"/>
      <c r="MYR208" s="2"/>
      <c r="MYS208" s="2"/>
      <c r="MYT208" s="2"/>
      <c r="MYU208" s="2"/>
      <c r="MYV208" s="2"/>
      <c r="MYW208" s="2"/>
      <c r="MYX208" s="2"/>
      <c r="MYY208" s="2"/>
      <c r="MYZ208" s="2"/>
      <c r="MZA208" s="2"/>
      <c r="MZB208" s="2"/>
      <c r="MZC208" s="2"/>
      <c r="MZD208" s="2"/>
      <c r="MZE208" s="2"/>
      <c r="MZF208" s="2"/>
      <c r="MZG208" s="2"/>
      <c r="MZH208" s="2"/>
      <c r="MZI208" s="2"/>
      <c r="MZJ208" s="2"/>
      <c r="MZK208" s="2"/>
      <c r="MZL208" s="2"/>
      <c r="MZM208" s="2"/>
      <c r="MZN208" s="2"/>
      <c r="MZO208" s="2"/>
      <c r="MZP208" s="2"/>
      <c r="MZQ208" s="2"/>
      <c r="MZR208" s="2"/>
      <c r="MZS208" s="2"/>
      <c r="MZT208" s="2"/>
      <c r="MZU208" s="2"/>
      <c r="MZV208" s="2"/>
      <c r="MZW208" s="2"/>
      <c r="MZX208" s="2"/>
      <c r="MZY208" s="2"/>
      <c r="MZZ208" s="2"/>
      <c r="NAA208" s="2"/>
      <c r="NAB208" s="2"/>
      <c r="NAC208" s="2"/>
      <c r="NAD208" s="2"/>
      <c r="NAE208" s="2"/>
      <c r="NAF208" s="2"/>
      <c r="NAG208" s="2"/>
      <c r="NAH208" s="2"/>
      <c r="NAI208" s="2"/>
      <c r="NAJ208" s="2"/>
      <c r="NAK208" s="2"/>
      <c r="NAL208" s="2"/>
      <c r="NAM208" s="2"/>
      <c r="NAN208" s="2"/>
      <c r="NAO208" s="2"/>
      <c r="NAP208" s="2"/>
      <c r="NAQ208" s="2"/>
      <c r="NAR208" s="2"/>
      <c r="NAS208" s="2"/>
      <c r="NAT208" s="2"/>
      <c r="NAU208" s="2"/>
      <c r="NAV208" s="2"/>
      <c r="NAW208" s="2"/>
      <c r="NAX208" s="2"/>
      <c r="NAY208" s="2"/>
      <c r="NAZ208" s="2"/>
      <c r="NBA208" s="2"/>
      <c r="NBB208" s="2"/>
      <c r="NBC208" s="2"/>
      <c r="NBD208" s="2"/>
      <c r="NBE208" s="2"/>
      <c r="NBF208" s="2"/>
      <c r="NBG208" s="2"/>
      <c r="NBH208" s="2"/>
      <c r="NBI208" s="2"/>
      <c r="NBJ208" s="2"/>
      <c r="NBK208" s="2"/>
      <c r="NBL208" s="2"/>
      <c r="NBM208" s="2"/>
      <c r="NBN208" s="2"/>
      <c r="NBO208" s="2"/>
      <c r="NBP208" s="2"/>
      <c r="NBQ208" s="2"/>
      <c r="NBR208" s="2"/>
      <c r="NBS208" s="2"/>
      <c r="NBT208" s="2"/>
      <c r="NBU208" s="2"/>
      <c r="NBV208" s="2"/>
      <c r="NBW208" s="2"/>
      <c r="NBX208" s="2"/>
      <c r="NBY208" s="2"/>
      <c r="NBZ208" s="2"/>
      <c r="NCA208" s="2"/>
      <c r="NCB208" s="2"/>
      <c r="NCC208" s="2"/>
      <c r="NCD208" s="2"/>
      <c r="NCE208" s="2"/>
      <c r="NCF208" s="2"/>
      <c r="NCG208" s="2"/>
      <c r="NCH208" s="2"/>
      <c r="NCI208" s="2"/>
      <c r="NCJ208" s="2"/>
      <c r="NCK208" s="2"/>
      <c r="NCL208" s="2"/>
      <c r="NCM208" s="2"/>
      <c r="NCN208" s="2"/>
      <c r="NCO208" s="2"/>
      <c r="NCP208" s="2"/>
      <c r="NCQ208" s="2"/>
      <c r="NCR208" s="2"/>
      <c r="NCS208" s="2"/>
      <c r="NCT208" s="2"/>
      <c r="NCU208" s="2"/>
      <c r="NCV208" s="2"/>
      <c r="NCW208" s="2"/>
      <c r="NCX208" s="2"/>
      <c r="NCY208" s="2"/>
      <c r="NCZ208" s="2"/>
      <c r="NDA208" s="2"/>
      <c r="NDB208" s="2"/>
      <c r="NDC208" s="2"/>
      <c r="NDD208" s="2"/>
      <c r="NDE208" s="2"/>
      <c r="NDF208" s="2"/>
      <c r="NDG208" s="2"/>
      <c r="NDH208" s="2"/>
      <c r="NDI208" s="2"/>
      <c r="NDJ208" s="2"/>
      <c r="NDK208" s="2"/>
      <c r="NDL208" s="2"/>
      <c r="NDM208" s="2"/>
      <c r="NDN208" s="2"/>
      <c r="NDO208" s="2"/>
      <c r="NDP208" s="2"/>
      <c r="NDQ208" s="2"/>
      <c r="NDR208" s="2"/>
      <c r="NDS208" s="2"/>
      <c r="NDT208" s="2"/>
      <c r="NDU208" s="2"/>
      <c r="NDV208" s="2"/>
      <c r="NDW208" s="2"/>
      <c r="NDX208" s="2"/>
      <c r="NDY208" s="2"/>
      <c r="NDZ208" s="2"/>
      <c r="NEA208" s="2"/>
      <c r="NEB208" s="2"/>
      <c r="NEC208" s="2"/>
      <c r="NED208" s="2"/>
      <c r="NEE208" s="2"/>
      <c r="NEF208" s="2"/>
      <c r="NEG208" s="2"/>
      <c r="NEH208" s="2"/>
      <c r="NEI208" s="2"/>
      <c r="NEJ208" s="2"/>
      <c r="NEK208" s="2"/>
      <c r="NEL208" s="2"/>
      <c r="NEM208" s="2"/>
      <c r="NEN208" s="2"/>
      <c r="NEO208" s="2"/>
      <c r="NEP208" s="2"/>
      <c r="NEQ208" s="2"/>
      <c r="NER208" s="2"/>
      <c r="NES208" s="2"/>
      <c r="NET208" s="2"/>
      <c r="NEU208" s="2"/>
      <c r="NEV208" s="2"/>
      <c r="NEW208" s="2"/>
      <c r="NEX208" s="2"/>
      <c r="NEY208" s="2"/>
      <c r="NEZ208" s="2"/>
      <c r="NFA208" s="2"/>
      <c r="NFB208" s="2"/>
      <c r="NFC208" s="2"/>
      <c r="NFD208" s="2"/>
      <c r="NFE208" s="2"/>
      <c r="NFF208" s="2"/>
      <c r="NFG208" s="2"/>
      <c r="NFH208" s="2"/>
      <c r="NFI208" s="2"/>
      <c r="NFJ208" s="2"/>
      <c r="NFK208" s="2"/>
      <c r="NFL208" s="2"/>
      <c r="NFM208" s="2"/>
      <c r="NFN208" s="2"/>
      <c r="NFO208" s="2"/>
      <c r="NFP208" s="2"/>
      <c r="NFQ208" s="2"/>
      <c r="NFR208" s="2"/>
      <c r="NFS208" s="2"/>
      <c r="NFT208" s="2"/>
      <c r="NFU208" s="2"/>
      <c r="NFV208" s="2"/>
      <c r="NFW208" s="2"/>
      <c r="NFX208" s="2"/>
      <c r="NFY208" s="2"/>
      <c r="NFZ208" s="2"/>
      <c r="NGA208" s="2"/>
      <c r="NGB208" s="2"/>
      <c r="NGC208" s="2"/>
      <c r="NGD208" s="2"/>
      <c r="NGE208" s="2"/>
      <c r="NGF208" s="2"/>
      <c r="NGG208" s="2"/>
      <c r="NGH208" s="2"/>
      <c r="NGI208" s="2"/>
      <c r="NGJ208" s="2"/>
      <c r="NGK208" s="2"/>
      <c r="NGL208" s="2"/>
      <c r="NGM208" s="2"/>
      <c r="NGN208" s="2"/>
      <c r="NGO208" s="2"/>
      <c r="NGP208" s="2"/>
      <c r="NGQ208" s="2"/>
      <c r="NGR208" s="2"/>
      <c r="NGS208" s="2"/>
      <c r="NGT208" s="2"/>
      <c r="NGU208" s="2"/>
      <c r="NGV208" s="2"/>
      <c r="NGW208" s="2"/>
      <c r="NGX208" s="2"/>
      <c r="NGY208" s="2"/>
      <c r="NGZ208" s="2"/>
      <c r="NHA208" s="2"/>
      <c r="NHB208" s="2"/>
      <c r="NHC208" s="2"/>
      <c r="NHD208" s="2"/>
      <c r="NHE208" s="2"/>
      <c r="NHF208" s="2"/>
      <c r="NHG208" s="2"/>
      <c r="NHH208" s="2"/>
      <c r="NHI208" s="2"/>
      <c r="NHJ208" s="2"/>
      <c r="NHK208" s="2"/>
      <c r="NHL208" s="2"/>
      <c r="NHM208" s="2"/>
      <c r="NHN208" s="2"/>
      <c r="NHO208" s="2"/>
      <c r="NHP208" s="2"/>
      <c r="NHQ208" s="2"/>
      <c r="NHR208" s="2"/>
      <c r="NHS208" s="2"/>
      <c r="NHT208" s="2"/>
      <c r="NHU208" s="2"/>
      <c r="NHV208" s="2"/>
      <c r="NHW208" s="2"/>
      <c r="NHX208" s="2"/>
      <c r="NHY208" s="2"/>
      <c r="NHZ208" s="2"/>
      <c r="NIA208" s="2"/>
      <c r="NIB208" s="2"/>
      <c r="NIC208" s="2"/>
      <c r="NID208" s="2"/>
      <c r="NIE208" s="2"/>
      <c r="NIF208" s="2"/>
      <c r="NIG208" s="2"/>
      <c r="NIH208" s="2"/>
      <c r="NII208" s="2"/>
      <c r="NIJ208" s="2"/>
      <c r="NIK208" s="2"/>
      <c r="NIL208" s="2"/>
      <c r="NIM208" s="2"/>
      <c r="NIN208" s="2"/>
      <c r="NIO208" s="2"/>
      <c r="NIP208" s="2"/>
      <c r="NIQ208" s="2"/>
      <c r="NIR208" s="2"/>
      <c r="NIS208" s="2"/>
      <c r="NIT208" s="2"/>
      <c r="NIU208" s="2"/>
      <c r="NIV208" s="2"/>
      <c r="NIW208" s="2"/>
      <c r="NIX208" s="2"/>
      <c r="NIY208" s="2"/>
      <c r="NIZ208" s="2"/>
      <c r="NJA208" s="2"/>
      <c r="NJB208" s="2"/>
      <c r="NJC208" s="2"/>
      <c r="NJD208" s="2"/>
      <c r="NJE208" s="2"/>
      <c r="NJF208" s="2"/>
      <c r="NJG208" s="2"/>
      <c r="NJH208" s="2"/>
      <c r="NJI208" s="2"/>
      <c r="NJJ208" s="2"/>
      <c r="NJK208" s="2"/>
      <c r="NJL208" s="2"/>
      <c r="NJM208" s="2"/>
      <c r="NJN208" s="2"/>
      <c r="NJO208" s="2"/>
      <c r="NJP208" s="2"/>
      <c r="NJQ208" s="2"/>
      <c r="NJR208" s="2"/>
      <c r="NJS208" s="2"/>
      <c r="NJT208" s="2"/>
      <c r="NJU208" s="2"/>
      <c r="NJV208" s="2"/>
      <c r="NJW208" s="2"/>
      <c r="NJX208" s="2"/>
      <c r="NJY208" s="2"/>
      <c r="NJZ208" s="2"/>
      <c r="NKA208" s="2"/>
      <c r="NKB208" s="2"/>
      <c r="NKC208" s="2"/>
      <c r="NKD208" s="2"/>
      <c r="NKE208" s="2"/>
      <c r="NKF208" s="2"/>
      <c r="NKG208" s="2"/>
      <c r="NKH208" s="2"/>
      <c r="NKI208" s="2"/>
      <c r="NKJ208" s="2"/>
      <c r="NKK208" s="2"/>
      <c r="NKL208" s="2"/>
      <c r="NKM208" s="2"/>
      <c r="NKN208" s="2"/>
      <c r="NKO208" s="2"/>
      <c r="NKP208" s="2"/>
      <c r="NKQ208" s="2"/>
      <c r="NKR208" s="2"/>
      <c r="NKS208" s="2"/>
      <c r="NKT208" s="2"/>
      <c r="NKU208" s="2"/>
      <c r="NKV208" s="2"/>
      <c r="NKW208" s="2"/>
      <c r="NKX208" s="2"/>
      <c r="NKY208" s="2"/>
      <c r="NKZ208" s="2"/>
      <c r="NLA208" s="2"/>
      <c r="NLB208" s="2"/>
      <c r="NLC208" s="2"/>
      <c r="NLD208" s="2"/>
      <c r="NLE208" s="2"/>
      <c r="NLF208" s="2"/>
      <c r="NLG208" s="2"/>
      <c r="NLH208" s="2"/>
      <c r="NLI208" s="2"/>
      <c r="NLJ208" s="2"/>
      <c r="NLK208" s="2"/>
      <c r="NLL208" s="2"/>
      <c r="NLM208" s="2"/>
      <c r="NLN208" s="2"/>
      <c r="NLO208" s="2"/>
      <c r="NLP208" s="2"/>
      <c r="NLQ208" s="2"/>
      <c r="NLR208" s="2"/>
      <c r="NLS208" s="2"/>
      <c r="NLT208" s="2"/>
      <c r="NLU208" s="2"/>
      <c r="NLV208" s="2"/>
      <c r="NLW208" s="2"/>
      <c r="NLX208" s="2"/>
      <c r="NLY208" s="2"/>
      <c r="NLZ208" s="2"/>
      <c r="NMA208" s="2"/>
      <c r="NMB208" s="2"/>
      <c r="NMC208" s="2"/>
      <c r="NMD208" s="2"/>
      <c r="NME208" s="2"/>
      <c r="NMF208" s="2"/>
      <c r="NMG208" s="2"/>
      <c r="NMH208" s="2"/>
      <c r="NMI208" s="2"/>
      <c r="NMJ208" s="2"/>
      <c r="NMK208" s="2"/>
      <c r="NML208" s="2"/>
      <c r="NMM208" s="2"/>
      <c r="NMN208" s="2"/>
      <c r="NMO208" s="2"/>
      <c r="NMP208" s="2"/>
      <c r="NMQ208" s="2"/>
      <c r="NMR208" s="2"/>
      <c r="NMS208" s="2"/>
      <c r="NMT208" s="2"/>
      <c r="NMU208" s="2"/>
      <c r="NMV208" s="2"/>
      <c r="NMW208" s="2"/>
      <c r="NMX208" s="2"/>
      <c r="NMY208" s="2"/>
      <c r="NMZ208" s="2"/>
      <c r="NNA208" s="2"/>
      <c r="NNB208" s="2"/>
      <c r="NNC208" s="2"/>
      <c r="NND208" s="2"/>
      <c r="NNE208" s="2"/>
      <c r="NNF208" s="2"/>
      <c r="NNG208" s="2"/>
      <c r="NNH208" s="2"/>
      <c r="NNI208" s="2"/>
      <c r="NNJ208" s="2"/>
      <c r="NNK208" s="2"/>
      <c r="NNL208" s="2"/>
      <c r="NNM208" s="2"/>
      <c r="NNN208" s="2"/>
      <c r="NNO208" s="2"/>
      <c r="NNP208" s="2"/>
      <c r="NNQ208" s="2"/>
      <c r="NNR208" s="2"/>
      <c r="NNS208" s="2"/>
      <c r="NNT208" s="2"/>
      <c r="NNU208" s="2"/>
      <c r="NNV208" s="2"/>
      <c r="NNW208" s="2"/>
      <c r="NNX208" s="2"/>
      <c r="NNY208" s="2"/>
      <c r="NNZ208" s="2"/>
      <c r="NOA208" s="2"/>
      <c r="NOB208" s="2"/>
      <c r="NOC208" s="2"/>
      <c r="NOD208" s="2"/>
      <c r="NOE208" s="2"/>
      <c r="NOF208" s="2"/>
      <c r="NOG208" s="2"/>
      <c r="NOH208" s="2"/>
      <c r="NOI208" s="2"/>
      <c r="NOJ208" s="2"/>
      <c r="NOK208" s="2"/>
      <c r="NOL208" s="2"/>
      <c r="NOM208" s="2"/>
      <c r="NON208" s="2"/>
      <c r="NOO208" s="2"/>
      <c r="NOP208" s="2"/>
      <c r="NOQ208" s="2"/>
      <c r="NOR208" s="2"/>
      <c r="NOS208" s="2"/>
      <c r="NOT208" s="2"/>
      <c r="NOU208" s="2"/>
      <c r="NOV208" s="2"/>
      <c r="NOW208" s="2"/>
      <c r="NOX208" s="2"/>
      <c r="NOY208" s="2"/>
      <c r="NOZ208" s="2"/>
      <c r="NPA208" s="2"/>
      <c r="NPB208" s="2"/>
      <c r="NPC208" s="2"/>
      <c r="NPD208" s="2"/>
      <c r="NPE208" s="2"/>
      <c r="NPF208" s="2"/>
      <c r="NPG208" s="2"/>
      <c r="NPH208" s="2"/>
      <c r="NPI208" s="2"/>
      <c r="NPJ208" s="2"/>
      <c r="NPK208" s="2"/>
      <c r="NPL208" s="2"/>
      <c r="NPM208" s="2"/>
      <c r="NPN208" s="2"/>
      <c r="NPO208" s="2"/>
      <c r="NPP208" s="2"/>
      <c r="NPQ208" s="2"/>
      <c r="NPR208" s="2"/>
      <c r="NPS208" s="2"/>
      <c r="NPT208" s="2"/>
      <c r="NPU208" s="2"/>
      <c r="NPV208" s="2"/>
      <c r="NPW208" s="2"/>
      <c r="NPX208" s="2"/>
      <c r="NPY208" s="2"/>
      <c r="NPZ208" s="2"/>
      <c r="NQA208" s="2"/>
      <c r="NQB208" s="2"/>
      <c r="NQC208" s="2"/>
      <c r="NQD208" s="2"/>
      <c r="NQE208" s="2"/>
      <c r="NQF208" s="2"/>
      <c r="NQG208" s="2"/>
      <c r="NQH208" s="2"/>
      <c r="NQI208" s="2"/>
      <c r="NQJ208" s="2"/>
      <c r="NQK208" s="2"/>
      <c r="NQL208" s="2"/>
      <c r="NQM208" s="2"/>
      <c r="NQN208" s="2"/>
      <c r="NQO208" s="2"/>
      <c r="NQP208" s="2"/>
      <c r="NQQ208" s="2"/>
      <c r="NQR208" s="2"/>
      <c r="NQS208" s="2"/>
      <c r="NQT208" s="2"/>
      <c r="NQU208" s="2"/>
      <c r="NQV208" s="2"/>
      <c r="NQW208" s="2"/>
      <c r="NQX208" s="2"/>
      <c r="NQY208" s="2"/>
      <c r="NQZ208" s="2"/>
      <c r="NRA208" s="2"/>
      <c r="NRB208" s="2"/>
      <c r="NRC208" s="2"/>
      <c r="NRD208" s="2"/>
      <c r="NRE208" s="2"/>
      <c r="NRF208" s="2"/>
      <c r="NRG208" s="2"/>
      <c r="NRH208" s="2"/>
      <c r="NRI208" s="2"/>
      <c r="NRJ208" s="2"/>
      <c r="NRK208" s="2"/>
      <c r="NRL208" s="2"/>
      <c r="NRM208" s="2"/>
      <c r="NRN208" s="2"/>
      <c r="NRO208" s="2"/>
      <c r="NRP208" s="2"/>
      <c r="NRQ208" s="2"/>
      <c r="NRR208" s="2"/>
      <c r="NRS208" s="2"/>
      <c r="NRT208" s="2"/>
      <c r="NRU208" s="2"/>
      <c r="NRV208" s="2"/>
      <c r="NRW208" s="2"/>
      <c r="NRX208" s="2"/>
      <c r="NRY208" s="2"/>
      <c r="NRZ208" s="2"/>
      <c r="NSA208" s="2"/>
      <c r="NSB208" s="2"/>
      <c r="NSC208" s="2"/>
      <c r="NSD208" s="2"/>
      <c r="NSE208" s="2"/>
      <c r="NSF208" s="2"/>
      <c r="NSG208" s="2"/>
      <c r="NSH208" s="2"/>
      <c r="NSI208" s="2"/>
      <c r="NSJ208" s="2"/>
      <c r="NSK208" s="2"/>
      <c r="NSL208" s="2"/>
      <c r="NSM208" s="2"/>
      <c r="NSN208" s="2"/>
      <c r="NSO208" s="2"/>
      <c r="NSP208" s="2"/>
      <c r="NSQ208" s="2"/>
      <c r="NSR208" s="2"/>
      <c r="NSS208" s="2"/>
      <c r="NST208" s="2"/>
      <c r="NSU208" s="2"/>
      <c r="NSV208" s="2"/>
      <c r="NSW208" s="2"/>
      <c r="NSX208" s="2"/>
      <c r="NSY208" s="2"/>
      <c r="NSZ208" s="2"/>
      <c r="NTA208" s="2"/>
      <c r="NTB208" s="2"/>
      <c r="NTC208" s="2"/>
      <c r="NTD208" s="2"/>
      <c r="NTE208" s="2"/>
      <c r="NTF208" s="2"/>
      <c r="NTG208" s="2"/>
      <c r="NTH208" s="2"/>
      <c r="NTI208" s="2"/>
      <c r="NTJ208" s="2"/>
      <c r="NTK208" s="2"/>
      <c r="NTL208" s="2"/>
      <c r="NTM208" s="2"/>
      <c r="NTN208" s="2"/>
      <c r="NTO208" s="2"/>
      <c r="NTP208" s="2"/>
      <c r="NTQ208" s="2"/>
      <c r="NTR208" s="2"/>
      <c r="NTS208" s="2"/>
      <c r="NTT208" s="2"/>
      <c r="NTU208" s="2"/>
      <c r="NTV208" s="2"/>
      <c r="NTW208" s="2"/>
      <c r="NTX208" s="2"/>
      <c r="NTY208" s="2"/>
      <c r="NTZ208" s="2"/>
      <c r="NUA208" s="2"/>
      <c r="NUB208" s="2"/>
      <c r="NUC208" s="2"/>
      <c r="NUD208" s="2"/>
      <c r="NUE208" s="2"/>
      <c r="NUF208" s="2"/>
      <c r="NUG208" s="2"/>
      <c r="NUH208" s="2"/>
      <c r="NUI208" s="2"/>
      <c r="NUJ208" s="2"/>
      <c r="NUK208" s="2"/>
      <c r="NUL208" s="2"/>
      <c r="NUM208" s="2"/>
      <c r="NUN208" s="2"/>
      <c r="NUO208" s="2"/>
      <c r="NUP208" s="2"/>
      <c r="NUQ208" s="2"/>
      <c r="NUR208" s="2"/>
      <c r="NUS208" s="2"/>
      <c r="NUT208" s="2"/>
      <c r="NUU208" s="2"/>
      <c r="NUV208" s="2"/>
      <c r="NUW208" s="2"/>
      <c r="NUX208" s="2"/>
      <c r="NUY208" s="2"/>
      <c r="NUZ208" s="2"/>
      <c r="NVA208" s="2"/>
      <c r="NVB208" s="2"/>
      <c r="NVC208" s="2"/>
      <c r="NVD208" s="2"/>
      <c r="NVE208" s="2"/>
      <c r="NVF208" s="2"/>
      <c r="NVG208" s="2"/>
      <c r="NVH208" s="2"/>
      <c r="NVI208" s="2"/>
      <c r="NVJ208" s="2"/>
      <c r="NVK208" s="2"/>
      <c r="NVL208" s="2"/>
      <c r="NVM208" s="2"/>
      <c r="NVN208" s="2"/>
      <c r="NVO208" s="2"/>
      <c r="NVP208" s="2"/>
      <c r="NVQ208" s="2"/>
      <c r="NVR208" s="2"/>
      <c r="NVS208" s="2"/>
      <c r="NVT208" s="2"/>
      <c r="NVU208" s="2"/>
      <c r="NVV208" s="2"/>
      <c r="NVW208" s="2"/>
      <c r="NVX208" s="2"/>
      <c r="NVY208" s="2"/>
      <c r="NVZ208" s="2"/>
      <c r="NWA208" s="2"/>
      <c r="NWB208" s="2"/>
      <c r="NWC208" s="2"/>
      <c r="NWD208" s="2"/>
      <c r="NWE208" s="2"/>
      <c r="NWF208" s="2"/>
      <c r="NWG208" s="2"/>
      <c r="NWH208" s="2"/>
      <c r="NWI208" s="2"/>
      <c r="NWJ208" s="2"/>
      <c r="NWK208" s="2"/>
      <c r="NWL208" s="2"/>
      <c r="NWM208" s="2"/>
      <c r="NWN208" s="2"/>
      <c r="NWO208" s="2"/>
      <c r="NWP208" s="2"/>
      <c r="NWQ208" s="2"/>
      <c r="NWR208" s="2"/>
      <c r="NWS208" s="2"/>
      <c r="NWT208" s="2"/>
      <c r="NWU208" s="2"/>
      <c r="NWV208" s="2"/>
      <c r="NWW208" s="2"/>
      <c r="NWX208" s="2"/>
      <c r="NWY208" s="2"/>
      <c r="NWZ208" s="2"/>
      <c r="NXA208" s="2"/>
      <c r="NXB208" s="2"/>
      <c r="NXC208" s="2"/>
      <c r="NXD208" s="2"/>
      <c r="NXE208" s="2"/>
      <c r="NXF208" s="2"/>
      <c r="NXG208" s="2"/>
      <c r="NXH208" s="2"/>
      <c r="NXI208" s="2"/>
      <c r="NXJ208" s="2"/>
      <c r="NXK208" s="2"/>
      <c r="NXL208" s="2"/>
      <c r="NXM208" s="2"/>
      <c r="NXN208" s="2"/>
      <c r="NXO208" s="2"/>
      <c r="NXP208" s="2"/>
      <c r="NXQ208" s="2"/>
      <c r="NXR208" s="2"/>
      <c r="NXS208" s="2"/>
      <c r="NXT208" s="2"/>
      <c r="NXU208" s="2"/>
      <c r="NXV208" s="2"/>
      <c r="NXW208" s="2"/>
      <c r="NXX208" s="2"/>
      <c r="NXY208" s="2"/>
      <c r="NXZ208" s="2"/>
      <c r="NYA208" s="2"/>
      <c r="NYB208" s="2"/>
      <c r="NYC208" s="2"/>
      <c r="NYD208" s="2"/>
      <c r="NYE208" s="2"/>
      <c r="NYF208" s="2"/>
      <c r="NYG208" s="2"/>
      <c r="NYH208" s="2"/>
      <c r="NYI208" s="2"/>
      <c r="NYJ208" s="2"/>
      <c r="NYK208" s="2"/>
      <c r="NYL208" s="2"/>
      <c r="NYM208" s="2"/>
      <c r="NYN208" s="2"/>
      <c r="NYO208" s="2"/>
      <c r="NYP208" s="2"/>
      <c r="NYQ208" s="2"/>
      <c r="NYR208" s="2"/>
      <c r="NYS208" s="2"/>
      <c r="NYT208" s="2"/>
      <c r="NYU208" s="2"/>
      <c r="NYV208" s="2"/>
      <c r="NYW208" s="2"/>
      <c r="NYX208" s="2"/>
      <c r="NYY208" s="2"/>
      <c r="NYZ208" s="2"/>
      <c r="NZA208" s="2"/>
      <c r="NZB208" s="2"/>
      <c r="NZC208" s="2"/>
      <c r="NZD208" s="2"/>
      <c r="NZE208" s="2"/>
      <c r="NZF208" s="2"/>
      <c r="NZG208" s="2"/>
      <c r="NZH208" s="2"/>
      <c r="NZI208" s="2"/>
      <c r="NZJ208" s="2"/>
      <c r="NZK208" s="2"/>
      <c r="NZL208" s="2"/>
      <c r="NZM208" s="2"/>
      <c r="NZN208" s="2"/>
      <c r="NZO208" s="2"/>
      <c r="NZP208" s="2"/>
      <c r="NZQ208" s="2"/>
      <c r="NZR208" s="2"/>
      <c r="NZS208" s="2"/>
      <c r="NZT208" s="2"/>
      <c r="NZU208" s="2"/>
      <c r="NZV208" s="2"/>
      <c r="NZW208" s="2"/>
      <c r="NZX208" s="2"/>
      <c r="NZY208" s="2"/>
      <c r="NZZ208" s="2"/>
      <c r="OAA208" s="2"/>
      <c r="OAB208" s="2"/>
      <c r="OAC208" s="2"/>
      <c r="OAD208" s="2"/>
      <c r="OAE208" s="2"/>
      <c r="OAF208" s="2"/>
      <c r="OAG208" s="2"/>
      <c r="OAH208" s="2"/>
      <c r="OAI208" s="2"/>
      <c r="OAJ208" s="2"/>
      <c r="OAK208" s="2"/>
      <c r="OAL208" s="2"/>
      <c r="OAM208" s="2"/>
      <c r="OAN208" s="2"/>
      <c r="OAO208" s="2"/>
      <c r="OAP208" s="2"/>
      <c r="OAQ208" s="2"/>
      <c r="OAR208" s="2"/>
      <c r="OAS208" s="2"/>
      <c r="OAT208" s="2"/>
      <c r="OAU208" s="2"/>
      <c r="OAV208" s="2"/>
      <c r="OAW208" s="2"/>
      <c r="OAX208" s="2"/>
      <c r="OAY208" s="2"/>
      <c r="OAZ208" s="2"/>
      <c r="OBA208" s="2"/>
      <c r="OBB208" s="2"/>
      <c r="OBC208" s="2"/>
      <c r="OBD208" s="2"/>
      <c r="OBE208" s="2"/>
      <c r="OBF208" s="2"/>
      <c r="OBG208" s="2"/>
      <c r="OBH208" s="2"/>
      <c r="OBI208" s="2"/>
      <c r="OBJ208" s="2"/>
      <c r="OBK208" s="2"/>
      <c r="OBL208" s="2"/>
      <c r="OBM208" s="2"/>
      <c r="OBN208" s="2"/>
      <c r="OBO208" s="2"/>
      <c r="OBP208" s="2"/>
      <c r="OBQ208" s="2"/>
      <c r="OBR208" s="2"/>
      <c r="OBS208" s="2"/>
      <c r="OBT208" s="2"/>
      <c r="OBU208" s="2"/>
      <c r="OBV208" s="2"/>
      <c r="OBW208" s="2"/>
      <c r="OBX208" s="2"/>
      <c r="OBY208" s="2"/>
      <c r="OBZ208" s="2"/>
      <c r="OCA208" s="2"/>
      <c r="OCB208" s="2"/>
      <c r="OCC208" s="2"/>
      <c r="OCD208" s="2"/>
      <c r="OCE208" s="2"/>
      <c r="OCF208" s="2"/>
      <c r="OCG208" s="2"/>
      <c r="OCH208" s="2"/>
      <c r="OCI208" s="2"/>
      <c r="OCJ208" s="2"/>
      <c r="OCK208" s="2"/>
      <c r="OCL208" s="2"/>
      <c r="OCM208" s="2"/>
      <c r="OCN208" s="2"/>
      <c r="OCO208" s="2"/>
      <c r="OCP208" s="2"/>
      <c r="OCQ208" s="2"/>
      <c r="OCR208" s="2"/>
      <c r="OCS208" s="2"/>
      <c r="OCT208" s="2"/>
      <c r="OCU208" s="2"/>
      <c r="OCV208" s="2"/>
      <c r="OCW208" s="2"/>
      <c r="OCX208" s="2"/>
      <c r="OCY208" s="2"/>
      <c r="OCZ208" s="2"/>
      <c r="ODA208" s="2"/>
      <c r="ODB208" s="2"/>
      <c r="ODC208" s="2"/>
      <c r="ODD208" s="2"/>
      <c r="ODE208" s="2"/>
      <c r="ODF208" s="2"/>
      <c r="ODG208" s="2"/>
      <c r="ODH208" s="2"/>
      <c r="ODI208" s="2"/>
      <c r="ODJ208" s="2"/>
      <c r="ODK208" s="2"/>
      <c r="ODL208" s="2"/>
      <c r="ODM208" s="2"/>
      <c r="ODN208" s="2"/>
      <c r="ODO208" s="2"/>
      <c r="ODP208" s="2"/>
      <c r="ODQ208" s="2"/>
      <c r="ODR208" s="2"/>
      <c r="ODS208" s="2"/>
      <c r="ODT208" s="2"/>
      <c r="ODU208" s="2"/>
      <c r="ODV208" s="2"/>
      <c r="ODW208" s="2"/>
      <c r="ODX208" s="2"/>
      <c r="ODY208" s="2"/>
      <c r="ODZ208" s="2"/>
      <c r="OEA208" s="2"/>
      <c r="OEB208" s="2"/>
      <c r="OEC208" s="2"/>
      <c r="OED208" s="2"/>
      <c r="OEE208" s="2"/>
      <c r="OEF208" s="2"/>
      <c r="OEG208" s="2"/>
      <c r="OEH208" s="2"/>
      <c r="OEI208" s="2"/>
      <c r="OEJ208" s="2"/>
      <c r="OEK208" s="2"/>
      <c r="OEL208" s="2"/>
      <c r="OEM208" s="2"/>
      <c r="OEN208" s="2"/>
      <c r="OEO208" s="2"/>
      <c r="OEP208" s="2"/>
      <c r="OEQ208" s="2"/>
      <c r="OER208" s="2"/>
      <c r="OES208" s="2"/>
      <c r="OET208" s="2"/>
      <c r="OEU208" s="2"/>
      <c r="OEV208" s="2"/>
      <c r="OEW208" s="2"/>
      <c r="OEX208" s="2"/>
      <c r="OEY208" s="2"/>
      <c r="OEZ208" s="2"/>
      <c r="OFA208" s="2"/>
      <c r="OFB208" s="2"/>
      <c r="OFC208" s="2"/>
      <c r="OFD208" s="2"/>
      <c r="OFE208" s="2"/>
      <c r="OFF208" s="2"/>
      <c r="OFG208" s="2"/>
      <c r="OFH208" s="2"/>
      <c r="OFI208" s="2"/>
      <c r="OFJ208" s="2"/>
      <c r="OFK208" s="2"/>
      <c r="OFL208" s="2"/>
      <c r="OFM208" s="2"/>
      <c r="OFN208" s="2"/>
      <c r="OFO208" s="2"/>
      <c r="OFP208" s="2"/>
      <c r="OFQ208" s="2"/>
      <c r="OFR208" s="2"/>
      <c r="OFS208" s="2"/>
      <c r="OFT208" s="2"/>
      <c r="OFU208" s="2"/>
      <c r="OFV208" s="2"/>
      <c r="OFW208" s="2"/>
      <c r="OFX208" s="2"/>
      <c r="OFY208" s="2"/>
      <c r="OFZ208" s="2"/>
      <c r="OGA208" s="2"/>
      <c r="OGB208" s="2"/>
      <c r="OGC208" s="2"/>
      <c r="OGD208" s="2"/>
      <c r="OGE208" s="2"/>
      <c r="OGF208" s="2"/>
      <c r="OGG208" s="2"/>
      <c r="OGH208" s="2"/>
      <c r="OGI208" s="2"/>
      <c r="OGJ208" s="2"/>
      <c r="OGK208" s="2"/>
      <c r="OGL208" s="2"/>
      <c r="OGM208" s="2"/>
      <c r="OGN208" s="2"/>
      <c r="OGO208" s="2"/>
      <c r="OGP208" s="2"/>
      <c r="OGQ208" s="2"/>
      <c r="OGR208" s="2"/>
      <c r="OGS208" s="2"/>
      <c r="OGT208" s="2"/>
      <c r="OGU208" s="2"/>
      <c r="OGV208" s="2"/>
      <c r="OGW208" s="2"/>
      <c r="OGX208" s="2"/>
      <c r="OGY208" s="2"/>
      <c r="OGZ208" s="2"/>
      <c r="OHA208" s="2"/>
      <c r="OHB208" s="2"/>
      <c r="OHC208" s="2"/>
      <c r="OHD208" s="2"/>
      <c r="OHE208" s="2"/>
      <c r="OHF208" s="2"/>
      <c r="OHG208" s="2"/>
      <c r="OHH208" s="2"/>
      <c r="OHI208" s="2"/>
      <c r="OHJ208" s="2"/>
      <c r="OHK208" s="2"/>
      <c r="OHL208" s="2"/>
      <c r="OHM208" s="2"/>
      <c r="OHN208" s="2"/>
      <c r="OHO208" s="2"/>
      <c r="OHP208" s="2"/>
      <c r="OHQ208" s="2"/>
      <c r="OHR208" s="2"/>
      <c r="OHS208" s="2"/>
      <c r="OHT208" s="2"/>
      <c r="OHU208" s="2"/>
      <c r="OHV208" s="2"/>
      <c r="OHW208" s="2"/>
      <c r="OHX208" s="2"/>
      <c r="OHY208" s="2"/>
      <c r="OHZ208" s="2"/>
      <c r="OIA208" s="2"/>
      <c r="OIB208" s="2"/>
      <c r="OIC208" s="2"/>
      <c r="OID208" s="2"/>
      <c r="OIE208" s="2"/>
      <c r="OIF208" s="2"/>
      <c r="OIG208" s="2"/>
      <c r="OIH208" s="2"/>
      <c r="OII208" s="2"/>
      <c r="OIJ208" s="2"/>
      <c r="OIK208" s="2"/>
      <c r="OIL208" s="2"/>
      <c r="OIM208" s="2"/>
      <c r="OIN208" s="2"/>
      <c r="OIO208" s="2"/>
      <c r="OIP208" s="2"/>
      <c r="OIQ208" s="2"/>
      <c r="OIR208" s="2"/>
      <c r="OIS208" s="2"/>
      <c r="OIT208" s="2"/>
      <c r="OIU208" s="2"/>
      <c r="OIV208" s="2"/>
      <c r="OIW208" s="2"/>
      <c r="OIX208" s="2"/>
      <c r="OIY208" s="2"/>
      <c r="OIZ208" s="2"/>
      <c r="OJA208" s="2"/>
      <c r="OJB208" s="2"/>
      <c r="OJC208" s="2"/>
      <c r="OJD208" s="2"/>
      <c r="OJE208" s="2"/>
      <c r="OJF208" s="2"/>
      <c r="OJG208" s="2"/>
      <c r="OJH208" s="2"/>
      <c r="OJI208" s="2"/>
      <c r="OJJ208" s="2"/>
      <c r="OJK208" s="2"/>
      <c r="OJL208" s="2"/>
      <c r="OJM208" s="2"/>
      <c r="OJN208" s="2"/>
      <c r="OJO208" s="2"/>
      <c r="OJP208" s="2"/>
      <c r="OJQ208" s="2"/>
      <c r="OJR208" s="2"/>
      <c r="OJS208" s="2"/>
      <c r="OJT208" s="2"/>
      <c r="OJU208" s="2"/>
      <c r="OJV208" s="2"/>
      <c r="OJW208" s="2"/>
      <c r="OJX208" s="2"/>
      <c r="OJY208" s="2"/>
      <c r="OJZ208" s="2"/>
      <c r="OKA208" s="2"/>
      <c r="OKB208" s="2"/>
      <c r="OKC208" s="2"/>
      <c r="OKD208" s="2"/>
      <c r="OKE208" s="2"/>
      <c r="OKF208" s="2"/>
      <c r="OKG208" s="2"/>
      <c r="OKH208" s="2"/>
      <c r="OKI208" s="2"/>
      <c r="OKJ208" s="2"/>
      <c r="OKK208" s="2"/>
      <c r="OKL208" s="2"/>
      <c r="OKM208" s="2"/>
      <c r="OKN208" s="2"/>
      <c r="OKO208" s="2"/>
      <c r="OKP208" s="2"/>
      <c r="OKQ208" s="2"/>
      <c r="OKR208" s="2"/>
      <c r="OKS208" s="2"/>
      <c r="OKT208" s="2"/>
      <c r="OKU208" s="2"/>
      <c r="OKV208" s="2"/>
      <c r="OKW208" s="2"/>
      <c r="OKX208" s="2"/>
      <c r="OKY208" s="2"/>
      <c r="OKZ208" s="2"/>
      <c r="OLA208" s="2"/>
      <c r="OLB208" s="2"/>
      <c r="OLC208" s="2"/>
      <c r="OLD208" s="2"/>
      <c r="OLE208" s="2"/>
      <c r="OLF208" s="2"/>
      <c r="OLG208" s="2"/>
      <c r="OLH208" s="2"/>
      <c r="OLI208" s="2"/>
      <c r="OLJ208" s="2"/>
      <c r="OLK208" s="2"/>
      <c r="OLL208" s="2"/>
      <c r="OLM208" s="2"/>
      <c r="OLN208" s="2"/>
      <c r="OLO208" s="2"/>
      <c r="OLP208" s="2"/>
      <c r="OLQ208" s="2"/>
      <c r="OLR208" s="2"/>
      <c r="OLS208" s="2"/>
      <c r="OLT208" s="2"/>
      <c r="OLU208" s="2"/>
      <c r="OLV208" s="2"/>
      <c r="OLW208" s="2"/>
      <c r="OLX208" s="2"/>
      <c r="OLY208" s="2"/>
      <c r="OLZ208" s="2"/>
      <c r="OMA208" s="2"/>
      <c r="OMB208" s="2"/>
      <c r="OMC208" s="2"/>
      <c r="OMD208" s="2"/>
      <c r="OME208" s="2"/>
      <c r="OMF208" s="2"/>
      <c r="OMG208" s="2"/>
      <c r="OMH208" s="2"/>
      <c r="OMI208" s="2"/>
      <c r="OMJ208" s="2"/>
      <c r="OMK208" s="2"/>
      <c r="OML208" s="2"/>
      <c r="OMM208" s="2"/>
      <c r="OMN208" s="2"/>
      <c r="OMO208" s="2"/>
      <c r="OMP208" s="2"/>
      <c r="OMQ208" s="2"/>
      <c r="OMR208" s="2"/>
      <c r="OMS208" s="2"/>
      <c r="OMT208" s="2"/>
      <c r="OMU208" s="2"/>
      <c r="OMV208" s="2"/>
      <c r="OMW208" s="2"/>
      <c r="OMX208" s="2"/>
      <c r="OMY208" s="2"/>
      <c r="OMZ208" s="2"/>
      <c r="ONA208" s="2"/>
      <c r="ONB208" s="2"/>
      <c r="ONC208" s="2"/>
      <c r="OND208" s="2"/>
      <c r="ONE208" s="2"/>
      <c r="ONF208" s="2"/>
      <c r="ONG208" s="2"/>
      <c r="ONH208" s="2"/>
      <c r="ONI208" s="2"/>
      <c r="ONJ208" s="2"/>
      <c r="ONK208" s="2"/>
      <c r="ONL208" s="2"/>
      <c r="ONM208" s="2"/>
      <c r="ONN208" s="2"/>
      <c r="ONO208" s="2"/>
      <c r="ONP208" s="2"/>
      <c r="ONQ208" s="2"/>
      <c r="ONR208" s="2"/>
      <c r="ONS208" s="2"/>
      <c r="ONT208" s="2"/>
      <c r="ONU208" s="2"/>
      <c r="ONV208" s="2"/>
      <c r="ONW208" s="2"/>
      <c r="ONX208" s="2"/>
      <c r="ONY208" s="2"/>
      <c r="ONZ208" s="2"/>
      <c r="OOA208" s="2"/>
      <c r="OOB208" s="2"/>
      <c r="OOC208" s="2"/>
      <c r="OOD208" s="2"/>
      <c r="OOE208" s="2"/>
      <c r="OOF208" s="2"/>
      <c r="OOG208" s="2"/>
      <c r="OOH208" s="2"/>
      <c r="OOI208" s="2"/>
      <c r="OOJ208" s="2"/>
      <c r="OOK208" s="2"/>
      <c r="OOL208" s="2"/>
      <c r="OOM208" s="2"/>
      <c r="OON208" s="2"/>
      <c r="OOO208" s="2"/>
      <c r="OOP208" s="2"/>
      <c r="OOQ208" s="2"/>
      <c r="OOR208" s="2"/>
      <c r="OOS208" s="2"/>
      <c r="OOT208" s="2"/>
      <c r="OOU208" s="2"/>
      <c r="OOV208" s="2"/>
      <c r="OOW208" s="2"/>
      <c r="OOX208" s="2"/>
      <c r="OOY208" s="2"/>
      <c r="OOZ208" s="2"/>
      <c r="OPA208" s="2"/>
      <c r="OPB208" s="2"/>
      <c r="OPC208" s="2"/>
      <c r="OPD208" s="2"/>
      <c r="OPE208" s="2"/>
      <c r="OPF208" s="2"/>
      <c r="OPG208" s="2"/>
      <c r="OPH208" s="2"/>
      <c r="OPI208" s="2"/>
      <c r="OPJ208" s="2"/>
      <c r="OPK208" s="2"/>
      <c r="OPL208" s="2"/>
      <c r="OPM208" s="2"/>
      <c r="OPN208" s="2"/>
      <c r="OPO208" s="2"/>
      <c r="OPP208" s="2"/>
      <c r="OPQ208" s="2"/>
      <c r="OPR208" s="2"/>
      <c r="OPS208" s="2"/>
      <c r="OPT208" s="2"/>
      <c r="OPU208" s="2"/>
      <c r="OPV208" s="2"/>
      <c r="OPW208" s="2"/>
      <c r="OPX208" s="2"/>
      <c r="OPY208" s="2"/>
      <c r="OPZ208" s="2"/>
      <c r="OQA208" s="2"/>
      <c r="OQB208" s="2"/>
      <c r="OQC208" s="2"/>
      <c r="OQD208" s="2"/>
      <c r="OQE208" s="2"/>
      <c r="OQF208" s="2"/>
      <c r="OQG208" s="2"/>
      <c r="OQH208" s="2"/>
      <c r="OQI208" s="2"/>
      <c r="OQJ208" s="2"/>
      <c r="OQK208" s="2"/>
      <c r="OQL208" s="2"/>
      <c r="OQM208" s="2"/>
      <c r="OQN208" s="2"/>
      <c r="OQO208" s="2"/>
      <c r="OQP208" s="2"/>
      <c r="OQQ208" s="2"/>
      <c r="OQR208" s="2"/>
      <c r="OQS208" s="2"/>
      <c r="OQT208" s="2"/>
      <c r="OQU208" s="2"/>
      <c r="OQV208" s="2"/>
      <c r="OQW208" s="2"/>
      <c r="OQX208" s="2"/>
      <c r="OQY208" s="2"/>
      <c r="OQZ208" s="2"/>
      <c r="ORA208" s="2"/>
      <c r="ORB208" s="2"/>
      <c r="ORC208" s="2"/>
      <c r="ORD208" s="2"/>
      <c r="ORE208" s="2"/>
      <c r="ORF208" s="2"/>
      <c r="ORG208" s="2"/>
      <c r="ORH208" s="2"/>
      <c r="ORI208" s="2"/>
      <c r="ORJ208" s="2"/>
      <c r="ORK208" s="2"/>
      <c r="ORL208" s="2"/>
      <c r="ORM208" s="2"/>
      <c r="ORN208" s="2"/>
      <c r="ORO208" s="2"/>
      <c r="ORP208" s="2"/>
      <c r="ORQ208" s="2"/>
      <c r="ORR208" s="2"/>
      <c r="ORS208" s="2"/>
      <c r="ORT208" s="2"/>
      <c r="ORU208" s="2"/>
      <c r="ORV208" s="2"/>
      <c r="ORW208" s="2"/>
      <c r="ORX208" s="2"/>
      <c r="ORY208" s="2"/>
      <c r="ORZ208" s="2"/>
      <c r="OSA208" s="2"/>
      <c r="OSB208" s="2"/>
      <c r="OSC208" s="2"/>
      <c r="OSD208" s="2"/>
      <c r="OSE208" s="2"/>
      <c r="OSF208" s="2"/>
      <c r="OSG208" s="2"/>
      <c r="OSH208" s="2"/>
      <c r="OSI208" s="2"/>
      <c r="OSJ208" s="2"/>
      <c r="OSK208" s="2"/>
      <c r="OSL208" s="2"/>
      <c r="OSM208" s="2"/>
      <c r="OSN208" s="2"/>
      <c r="OSO208" s="2"/>
      <c r="OSP208" s="2"/>
      <c r="OSQ208" s="2"/>
      <c r="OSR208" s="2"/>
      <c r="OSS208" s="2"/>
      <c r="OST208" s="2"/>
      <c r="OSU208" s="2"/>
      <c r="OSV208" s="2"/>
      <c r="OSW208" s="2"/>
      <c r="OSX208" s="2"/>
      <c r="OSY208" s="2"/>
      <c r="OSZ208" s="2"/>
      <c r="OTA208" s="2"/>
      <c r="OTB208" s="2"/>
      <c r="OTC208" s="2"/>
      <c r="OTD208" s="2"/>
      <c r="OTE208" s="2"/>
      <c r="OTF208" s="2"/>
      <c r="OTG208" s="2"/>
      <c r="OTH208" s="2"/>
      <c r="OTI208" s="2"/>
      <c r="OTJ208" s="2"/>
      <c r="OTK208" s="2"/>
      <c r="OTL208" s="2"/>
      <c r="OTM208" s="2"/>
      <c r="OTN208" s="2"/>
      <c r="OTO208" s="2"/>
      <c r="OTP208" s="2"/>
      <c r="OTQ208" s="2"/>
      <c r="OTR208" s="2"/>
      <c r="OTS208" s="2"/>
      <c r="OTT208" s="2"/>
      <c r="OTU208" s="2"/>
      <c r="OTV208" s="2"/>
      <c r="OTW208" s="2"/>
      <c r="OTX208" s="2"/>
      <c r="OTY208" s="2"/>
      <c r="OTZ208" s="2"/>
      <c r="OUA208" s="2"/>
      <c r="OUB208" s="2"/>
      <c r="OUC208" s="2"/>
      <c r="OUD208" s="2"/>
      <c r="OUE208" s="2"/>
      <c r="OUF208" s="2"/>
      <c r="OUG208" s="2"/>
      <c r="OUH208" s="2"/>
      <c r="OUI208" s="2"/>
      <c r="OUJ208" s="2"/>
      <c r="OUK208" s="2"/>
      <c r="OUL208" s="2"/>
      <c r="OUM208" s="2"/>
      <c r="OUN208" s="2"/>
      <c r="OUO208" s="2"/>
      <c r="OUP208" s="2"/>
      <c r="OUQ208" s="2"/>
      <c r="OUR208" s="2"/>
      <c r="OUS208" s="2"/>
      <c r="OUT208" s="2"/>
      <c r="OUU208" s="2"/>
      <c r="OUV208" s="2"/>
      <c r="OUW208" s="2"/>
      <c r="OUX208" s="2"/>
      <c r="OUY208" s="2"/>
      <c r="OUZ208" s="2"/>
      <c r="OVA208" s="2"/>
      <c r="OVB208" s="2"/>
      <c r="OVC208" s="2"/>
      <c r="OVD208" s="2"/>
      <c r="OVE208" s="2"/>
      <c r="OVF208" s="2"/>
      <c r="OVG208" s="2"/>
      <c r="OVH208" s="2"/>
      <c r="OVI208" s="2"/>
      <c r="OVJ208" s="2"/>
      <c r="OVK208" s="2"/>
      <c r="OVL208" s="2"/>
      <c r="OVM208" s="2"/>
      <c r="OVN208" s="2"/>
      <c r="OVO208" s="2"/>
      <c r="OVP208" s="2"/>
      <c r="OVQ208" s="2"/>
      <c r="OVR208" s="2"/>
      <c r="OVS208" s="2"/>
      <c r="OVT208" s="2"/>
      <c r="OVU208" s="2"/>
      <c r="OVV208" s="2"/>
      <c r="OVW208" s="2"/>
      <c r="OVX208" s="2"/>
      <c r="OVY208" s="2"/>
      <c r="OVZ208" s="2"/>
      <c r="OWA208" s="2"/>
      <c r="OWB208" s="2"/>
      <c r="OWC208" s="2"/>
      <c r="OWD208" s="2"/>
      <c r="OWE208" s="2"/>
      <c r="OWF208" s="2"/>
      <c r="OWG208" s="2"/>
      <c r="OWH208" s="2"/>
      <c r="OWI208" s="2"/>
      <c r="OWJ208" s="2"/>
      <c r="OWK208" s="2"/>
      <c r="OWL208" s="2"/>
      <c r="OWM208" s="2"/>
      <c r="OWN208" s="2"/>
      <c r="OWO208" s="2"/>
      <c r="OWP208" s="2"/>
      <c r="OWQ208" s="2"/>
      <c r="OWR208" s="2"/>
      <c r="OWS208" s="2"/>
      <c r="OWT208" s="2"/>
      <c r="OWU208" s="2"/>
      <c r="OWV208" s="2"/>
      <c r="OWW208" s="2"/>
      <c r="OWX208" s="2"/>
      <c r="OWY208" s="2"/>
      <c r="OWZ208" s="2"/>
      <c r="OXA208" s="2"/>
      <c r="OXB208" s="2"/>
      <c r="OXC208" s="2"/>
      <c r="OXD208" s="2"/>
      <c r="OXE208" s="2"/>
      <c r="OXF208" s="2"/>
      <c r="OXG208" s="2"/>
      <c r="OXH208" s="2"/>
      <c r="OXI208" s="2"/>
      <c r="OXJ208" s="2"/>
      <c r="OXK208" s="2"/>
      <c r="OXL208" s="2"/>
      <c r="OXM208" s="2"/>
      <c r="OXN208" s="2"/>
      <c r="OXO208" s="2"/>
      <c r="OXP208" s="2"/>
      <c r="OXQ208" s="2"/>
      <c r="OXR208" s="2"/>
      <c r="OXS208" s="2"/>
      <c r="OXT208" s="2"/>
      <c r="OXU208" s="2"/>
      <c r="OXV208" s="2"/>
      <c r="OXW208" s="2"/>
      <c r="OXX208" s="2"/>
      <c r="OXY208" s="2"/>
      <c r="OXZ208" s="2"/>
      <c r="OYA208" s="2"/>
      <c r="OYB208" s="2"/>
      <c r="OYC208" s="2"/>
      <c r="OYD208" s="2"/>
      <c r="OYE208" s="2"/>
      <c r="OYF208" s="2"/>
      <c r="OYG208" s="2"/>
      <c r="OYH208" s="2"/>
      <c r="OYI208" s="2"/>
      <c r="OYJ208" s="2"/>
      <c r="OYK208" s="2"/>
      <c r="OYL208" s="2"/>
      <c r="OYM208" s="2"/>
      <c r="OYN208" s="2"/>
      <c r="OYO208" s="2"/>
      <c r="OYP208" s="2"/>
      <c r="OYQ208" s="2"/>
      <c r="OYR208" s="2"/>
      <c r="OYS208" s="2"/>
      <c r="OYT208" s="2"/>
      <c r="OYU208" s="2"/>
      <c r="OYV208" s="2"/>
      <c r="OYW208" s="2"/>
      <c r="OYX208" s="2"/>
      <c r="OYY208" s="2"/>
      <c r="OYZ208" s="2"/>
      <c r="OZA208" s="2"/>
      <c r="OZB208" s="2"/>
      <c r="OZC208" s="2"/>
      <c r="OZD208" s="2"/>
      <c r="OZE208" s="2"/>
      <c r="OZF208" s="2"/>
      <c r="OZG208" s="2"/>
      <c r="OZH208" s="2"/>
      <c r="OZI208" s="2"/>
      <c r="OZJ208" s="2"/>
      <c r="OZK208" s="2"/>
      <c r="OZL208" s="2"/>
      <c r="OZM208" s="2"/>
      <c r="OZN208" s="2"/>
      <c r="OZO208" s="2"/>
      <c r="OZP208" s="2"/>
      <c r="OZQ208" s="2"/>
      <c r="OZR208" s="2"/>
      <c r="OZS208" s="2"/>
      <c r="OZT208" s="2"/>
      <c r="OZU208" s="2"/>
      <c r="OZV208" s="2"/>
      <c r="OZW208" s="2"/>
      <c r="OZX208" s="2"/>
      <c r="OZY208" s="2"/>
      <c r="OZZ208" s="2"/>
      <c r="PAA208" s="2"/>
      <c r="PAB208" s="2"/>
      <c r="PAC208" s="2"/>
      <c r="PAD208" s="2"/>
      <c r="PAE208" s="2"/>
      <c r="PAF208" s="2"/>
      <c r="PAG208" s="2"/>
      <c r="PAH208" s="2"/>
      <c r="PAI208" s="2"/>
      <c r="PAJ208" s="2"/>
      <c r="PAK208" s="2"/>
      <c r="PAL208" s="2"/>
      <c r="PAM208" s="2"/>
      <c r="PAN208" s="2"/>
      <c r="PAO208" s="2"/>
      <c r="PAP208" s="2"/>
      <c r="PAQ208" s="2"/>
      <c r="PAR208" s="2"/>
      <c r="PAS208" s="2"/>
      <c r="PAT208" s="2"/>
      <c r="PAU208" s="2"/>
      <c r="PAV208" s="2"/>
      <c r="PAW208" s="2"/>
      <c r="PAX208" s="2"/>
      <c r="PAY208" s="2"/>
      <c r="PAZ208" s="2"/>
      <c r="PBA208" s="2"/>
      <c r="PBB208" s="2"/>
      <c r="PBC208" s="2"/>
      <c r="PBD208" s="2"/>
      <c r="PBE208" s="2"/>
      <c r="PBF208" s="2"/>
      <c r="PBG208" s="2"/>
      <c r="PBH208" s="2"/>
      <c r="PBI208" s="2"/>
      <c r="PBJ208" s="2"/>
      <c r="PBK208" s="2"/>
      <c r="PBL208" s="2"/>
      <c r="PBM208" s="2"/>
      <c r="PBN208" s="2"/>
      <c r="PBO208" s="2"/>
      <c r="PBP208" s="2"/>
      <c r="PBQ208" s="2"/>
      <c r="PBR208" s="2"/>
      <c r="PBS208" s="2"/>
      <c r="PBT208" s="2"/>
      <c r="PBU208" s="2"/>
      <c r="PBV208" s="2"/>
      <c r="PBW208" s="2"/>
      <c r="PBX208" s="2"/>
      <c r="PBY208" s="2"/>
      <c r="PBZ208" s="2"/>
      <c r="PCA208" s="2"/>
      <c r="PCB208" s="2"/>
      <c r="PCC208" s="2"/>
      <c r="PCD208" s="2"/>
      <c r="PCE208" s="2"/>
      <c r="PCF208" s="2"/>
      <c r="PCG208" s="2"/>
      <c r="PCH208" s="2"/>
      <c r="PCI208" s="2"/>
      <c r="PCJ208" s="2"/>
      <c r="PCK208" s="2"/>
      <c r="PCL208" s="2"/>
      <c r="PCM208" s="2"/>
      <c r="PCN208" s="2"/>
      <c r="PCO208" s="2"/>
      <c r="PCP208" s="2"/>
      <c r="PCQ208" s="2"/>
      <c r="PCR208" s="2"/>
      <c r="PCS208" s="2"/>
      <c r="PCT208" s="2"/>
      <c r="PCU208" s="2"/>
      <c r="PCV208" s="2"/>
      <c r="PCW208" s="2"/>
      <c r="PCX208" s="2"/>
      <c r="PCY208" s="2"/>
      <c r="PCZ208" s="2"/>
      <c r="PDA208" s="2"/>
      <c r="PDB208" s="2"/>
      <c r="PDC208" s="2"/>
      <c r="PDD208" s="2"/>
      <c r="PDE208" s="2"/>
      <c r="PDF208" s="2"/>
      <c r="PDG208" s="2"/>
      <c r="PDH208" s="2"/>
      <c r="PDI208" s="2"/>
      <c r="PDJ208" s="2"/>
      <c r="PDK208" s="2"/>
      <c r="PDL208" s="2"/>
      <c r="PDM208" s="2"/>
      <c r="PDN208" s="2"/>
      <c r="PDO208" s="2"/>
      <c r="PDP208" s="2"/>
      <c r="PDQ208" s="2"/>
      <c r="PDR208" s="2"/>
      <c r="PDS208" s="2"/>
      <c r="PDT208" s="2"/>
      <c r="PDU208" s="2"/>
      <c r="PDV208" s="2"/>
      <c r="PDW208" s="2"/>
      <c r="PDX208" s="2"/>
      <c r="PDY208" s="2"/>
      <c r="PDZ208" s="2"/>
      <c r="PEA208" s="2"/>
      <c r="PEB208" s="2"/>
      <c r="PEC208" s="2"/>
      <c r="PED208" s="2"/>
      <c r="PEE208" s="2"/>
      <c r="PEF208" s="2"/>
      <c r="PEG208" s="2"/>
      <c r="PEH208" s="2"/>
      <c r="PEI208" s="2"/>
      <c r="PEJ208" s="2"/>
      <c r="PEK208" s="2"/>
      <c r="PEL208" s="2"/>
      <c r="PEM208" s="2"/>
      <c r="PEN208" s="2"/>
      <c r="PEO208" s="2"/>
      <c r="PEP208" s="2"/>
      <c r="PEQ208" s="2"/>
      <c r="PER208" s="2"/>
      <c r="PES208" s="2"/>
      <c r="PET208" s="2"/>
      <c r="PEU208" s="2"/>
      <c r="PEV208" s="2"/>
      <c r="PEW208" s="2"/>
      <c r="PEX208" s="2"/>
      <c r="PEY208" s="2"/>
      <c r="PEZ208" s="2"/>
      <c r="PFA208" s="2"/>
      <c r="PFB208" s="2"/>
      <c r="PFC208" s="2"/>
      <c r="PFD208" s="2"/>
      <c r="PFE208" s="2"/>
      <c r="PFF208" s="2"/>
      <c r="PFG208" s="2"/>
      <c r="PFH208" s="2"/>
      <c r="PFI208" s="2"/>
      <c r="PFJ208" s="2"/>
      <c r="PFK208" s="2"/>
      <c r="PFL208" s="2"/>
      <c r="PFM208" s="2"/>
      <c r="PFN208" s="2"/>
      <c r="PFO208" s="2"/>
      <c r="PFP208" s="2"/>
      <c r="PFQ208" s="2"/>
      <c r="PFR208" s="2"/>
      <c r="PFS208" s="2"/>
      <c r="PFT208" s="2"/>
      <c r="PFU208" s="2"/>
      <c r="PFV208" s="2"/>
      <c r="PFW208" s="2"/>
      <c r="PFX208" s="2"/>
      <c r="PFY208" s="2"/>
      <c r="PFZ208" s="2"/>
      <c r="PGA208" s="2"/>
      <c r="PGB208" s="2"/>
      <c r="PGC208" s="2"/>
      <c r="PGD208" s="2"/>
      <c r="PGE208" s="2"/>
      <c r="PGF208" s="2"/>
      <c r="PGG208" s="2"/>
      <c r="PGH208" s="2"/>
      <c r="PGI208" s="2"/>
      <c r="PGJ208" s="2"/>
      <c r="PGK208" s="2"/>
      <c r="PGL208" s="2"/>
      <c r="PGM208" s="2"/>
      <c r="PGN208" s="2"/>
      <c r="PGO208" s="2"/>
      <c r="PGP208" s="2"/>
      <c r="PGQ208" s="2"/>
      <c r="PGR208" s="2"/>
      <c r="PGS208" s="2"/>
      <c r="PGT208" s="2"/>
      <c r="PGU208" s="2"/>
      <c r="PGV208" s="2"/>
      <c r="PGW208" s="2"/>
      <c r="PGX208" s="2"/>
      <c r="PGY208" s="2"/>
      <c r="PGZ208" s="2"/>
      <c r="PHA208" s="2"/>
      <c r="PHB208" s="2"/>
      <c r="PHC208" s="2"/>
      <c r="PHD208" s="2"/>
      <c r="PHE208" s="2"/>
      <c r="PHF208" s="2"/>
      <c r="PHG208" s="2"/>
      <c r="PHH208" s="2"/>
      <c r="PHI208" s="2"/>
      <c r="PHJ208" s="2"/>
      <c r="PHK208" s="2"/>
      <c r="PHL208" s="2"/>
      <c r="PHM208" s="2"/>
      <c r="PHN208" s="2"/>
      <c r="PHO208" s="2"/>
      <c r="PHP208" s="2"/>
      <c r="PHQ208" s="2"/>
      <c r="PHR208" s="2"/>
      <c r="PHS208" s="2"/>
      <c r="PHT208" s="2"/>
      <c r="PHU208" s="2"/>
      <c r="PHV208" s="2"/>
      <c r="PHW208" s="2"/>
      <c r="PHX208" s="2"/>
      <c r="PHY208" s="2"/>
      <c r="PHZ208" s="2"/>
      <c r="PIA208" s="2"/>
      <c r="PIB208" s="2"/>
      <c r="PIC208" s="2"/>
      <c r="PID208" s="2"/>
      <c r="PIE208" s="2"/>
      <c r="PIF208" s="2"/>
      <c r="PIG208" s="2"/>
      <c r="PIH208" s="2"/>
      <c r="PII208" s="2"/>
      <c r="PIJ208" s="2"/>
      <c r="PIK208" s="2"/>
      <c r="PIL208" s="2"/>
      <c r="PIM208" s="2"/>
      <c r="PIN208" s="2"/>
      <c r="PIO208" s="2"/>
      <c r="PIP208" s="2"/>
      <c r="PIQ208" s="2"/>
      <c r="PIR208" s="2"/>
      <c r="PIS208" s="2"/>
      <c r="PIT208" s="2"/>
      <c r="PIU208" s="2"/>
      <c r="PIV208" s="2"/>
      <c r="PIW208" s="2"/>
      <c r="PIX208" s="2"/>
      <c r="PIY208" s="2"/>
      <c r="PIZ208" s="2"/>
      <c r="PJA208" s="2"/>
      <c r="PJB208" s="2"/>
      <c r="PJC208" s="2"/>
      <c r="PJD208" s="2"/>
      <c r="PJE208" s="2"/>
      <c r="PJF208" s="2"/>
      <c r="PJG208" s="2"/>
      <c r="PJH208" s="2"/>
      <c r="PJI208" s="2"/>
      <c r="PJJ208" s="2"/>
      <c r="PJK208" s="2"/>
      <c r="PJL208" s="2"/>
      <c r="PJM208" s="2"/>
      <c r="PJN208" s="2"/>
      <c r="PJO208" s="2"/>
      <c r="PJP208" s="2"/>
      <c r="PJQ208" s="2"/>
      <c r="PJR208" s="2"/>
      <c r="PJS208" s="2"/>
      <c r="PJT208" s="2"/>
      <c r="PJU208" s="2"/>
      <c r="PJV208" s="2"/>
      <c r="PJW208" s="2"/>
      <c r="PJX208" s="2"/>
      <c r="PJY208" s="2"/>
      <c r="PJZ208" s="2"/>
      <c r="PKA208" s="2"/>
      <c r="PKB208" s="2"/>
      <c r="PKC208" s="2"/>
      <c r="PKD208" s="2"/>
      <c r="PKE208" s="2"/>
      <c r="PKF208" s="2"/>
      <c r="PKG208" s="2"/>
      <c r="PKH208" s="2"/>
      <c r="PKI208" s="2"/>
      <c r="PKJ208" s="2"/>
      <c r="PKK208" s="2"/>
      <c r="PKL208" s="2"/>
      <c r="PKM208" s="2"/>
      <c r="PKN208" s="2"/>
      <c r="PKO208" s="2"/>
      <c r="PKP208" s="2"/>
      <c r="PKQ208" s="2"/>
      <c r="PKR208" s="2"/>
      <c r="PKS208" s="2"/>
      <c r="PKT208" s="2"/>
      <c r="PKU208" s="2"/>
      <c r="PKV208" s="2"/>
      <c r="PKW208" s="2"/>
      <c r="PKX208" s="2"/>
      <c r="PKY208" s="2"/>
      <c r="PKZ208" s="2"/>
      <c r="PLA208" s="2"/>
      <c r="PLB208" s="2"/>
      <c r="PLC208" s="2"/>
      <c r="PLD208" s="2"/>
      <c r="PLE208" s="2"/>
      <c r="PLF208" s="2"/>
      <c r="PLG208" s="2"/>
      <c r="PLH208" s="2"/>
      <c r="PLI208" s="2"/>
      <c r="PLJ208" s="2"/>
      <c r="PLK208" s="2"/>
      <c r="PLL208" s="2"/>
      <c r="PLM208" s="2"/>
      <c r="PLN208" s="2"/>
      <c r="PLO208" s="2"/>
      <c r="PLP208" s="2"/>
      <c r="PLQ208" s="2"/>
      <c r="PLR208" s="2"/>
      <c r="PLS208" s="2"/>
      <c r="PLT208" s="2"/>
      <c r="PLU208" s="2"/>
      <c r="PLV208" s="2"/>
      <c r="PLW208" s="2"/>
      <c r="PLX208" s="2"/>
      <c r="PLY208" s="2"/>
      <c r="PLZ208" s="2"/>
      <c r="PMA208" s="2"/>
      <c r="PMB208" s="2"/>
      <c r="PMC208" s="2"/>
      <c r="PMD208" s="2"/>
      <c r="PME208" s="2"/>
      <c r="PMF208" s="2"/>
      <c r="PMG208" s="2"/>
      <c r="PMH208" s="2"/>
      <c r="PMI208" s="2"/>
      <c r="PMJ208" s="2"/>
      <c r="PMK208" s="2"/>
      <c r="PML208" s="2"/>
      <c r="PMM208" s="2"/>
      <c r="PMN208" s="2"/>
      <c r="PMO208" s="2"/>
      <c r="PMP208" s="2"/>
      <c r="PMQ208" s="2"/>
      <c r="PMR208" s="2"/>
      <c r="PMS208" s="2"/>
      <c r="PMT208" s="2"/>
      <c r="PMU208" s="2"/>
      <c r="PMV208" s="2"/>
      <c r="PMW208" s="2"/>
      <c r="PMX208" s="2"/>
      <c r="PMY208" s="2"/>
      <c r="PMZ208" s="2"/>
      <c r="PNA208" s="2"/>
      <c r="PNB208" s="2"/>
      <c r="PNC208" s="2"/>
      <c r="PND208" s="2"/>
      <c r="PNE208" s="2"/>
      <c r="PNF208" s="2"/>
      <c r="PNG208" s="2"/>
      <c r="PNH208" s="2"/>
      <c r="PNI208" s="2"/>
      <c r="PNJ208" s="2"/>
      <c r="PNK208" s="2"/>
      <c r="PNL208" s="2"/>
      <c r="PNM208" s="2"/>
      <c r="PNN208" s="2"/>
      <c r="PNO208" s="2"/>
      <c r="PNP208" s="2"/>
      <c r="PNQ208" s="2"/>
      <c r="PNR208" s="2"/>
      <c r="PNS208" s="2"/>
      <c r="PNT208" s="2"/>
      <c r="PNU208" s="2"/>
      <c r="PNV208" s="2"/>
      <c r="PNW208" s="2"/>
      <c r="PNX208" s="2"/>
      <c r="PNY208" s="2"/>
      <c r="PNZ208" s="2"/>
      <c r="POA208" s="2"/>
      <c r="POB208" s="2"/>
      <c r="POC208" s="2"/>
      <c r="POD208" s="2"/>
      <c r="POE208" s="2"/>
      <c r="POF208" s="2"/>
      <c r="POG208" s="2"/>
      <c r="POH208" s="2"/>
      <c r="POI208" s="2"/>
      <c r="POJ208" s="2"/>
      <c r="POK208" s="2"/>
      <c r="POL208" s="2"/>
      <c r="POM208" s="2"/>
      <c r="PON208" s="2"/>
      <c r="POO208" s="2"/>
      <c r="POP208" s="2"/>
      <c r="POQ208" s="2"/>
      <c r="POR208" s="2"/>
      <c r="POS208" s="2"/>
      <c r="POT208" s="2"/>
      <c r="POU208" s="2"/>
      <c r="POV208" s="2"/>
      <c r="POW208" s="2"/>
      <c r="POX208" s="2"/>
      <c r="POY208" s="2"/>
      <c r="POZ208" s="2"/>
      <c r="PPA208" s="2"/>
      <c r="PPB208" s="2"/>
      <c r="PPC208" s="2"/>
      <c r="PPD208" s="2"/>
      <c r="PPE208" s="2"/>
      <c r="PPF208" s="2"/>
      <c r="PPG208" s="2"/>
      <c r="PPH208" s="2"/>
      <c r="PPI208" s="2"/>
      <c r="PPJ208" s="2"/>
      <c r="PPK208" s="2"/>
      <c r="PPL208" s="2"/>
      <c r="PPM208" s="2"/>
      <c r="PPN208" s="2"/>
      <c r="PPO208" s="2"/>
      <c r="PPP208" s="2"/>
      <c r="PPQ208" s="2"/>
      <c r="PPR208" s="2"/>
      <c r="PPS208" s="2"/>
      <c r="PPT208" s="2"/>
      <c r="PPU208" s="2"/>
      <c r="PPV208" s="2"/>
      <c r="PPW208" s="2"/>
      <c r="PPX208" s="2"/>
      <c r="PPY208" s="2"/>
      <c r="PPZ208" s="2"/>
      <c r="PQA208" s="2"/>
      <c r="PQB208" s="2"/>
      <c r="PQC208" s="2"/>
      <c r="PQD208" s="2"/>
      <c r="PQE208" s="2"/>
      <c r="PQF208" s="2"/>
      <c r="PQG208" s="2"/>
      <c r="PQH208" s="2"/>
      <c r="PQI208" s="2"/>
      <c r="PQJ208" s="2"/>
      <c r="PQK208" s="2"/>
      <c r="PQL208" s="2"/>
      <c r="PQM208" s="2"/>
      <c r="PQN208" s="2"/>
      <c r="PQO208" s="2"/>
      <c r="PQP208" s="2"/>
      <c r="PQQ208" s="2"/>
      <c r="PQR208" s="2"/>
      <c r="PQS208" s="2"/>
      <c r="PQT208" s="2"/>
      <c r="PQU208" s="2"/>
      <c r="PQV208" s="2"/>
      <c r="PQW208" s="2"/>
      <c r="PQX208" s="2"/>
      <c r="PQY208" s="2"/>
      <c r="PQZ208" s="2"/>
      <c r="PRA208" s="2"/>
      <c r="PRB208" s="2"/>
      <c r="PRC208" s="2"/>
      <c r="PRD208" s="2"/>
      <c r="PRE208" s="2"/>
      <c r="PRF208" s="2"/>
      <c r="PRG208" s="2"/>
      <c r="PRH208" s="2"/>
      <c r="PRI208" s="2"/>
      <c r="PRJ208" s="2"/>
      <c r="PRK208" s="2"/>
      <c r="PRL208" s="2"/>
      <c r="PRM208" s="2"/>
      <c r="PRN208" s="2"/>
      <c r="PRO208" s="2"/>
      <c r="PRP208" s="2"/>
      <c r="PRQ208" s="2"/>
      <c r="PRR208" s="2"/>
      <c r="PRS208" s="2"/>
      <c r="PRT208" s="2"/>
      <c r="PRU208" s="2"/>
      <c r="PRV208" s="2"/>
      <c r="PRW208" s="2"/>
      <c r="PRX208" s="2"/>
      <c r="PRY208" s="2"/>
      <c r="PRZ208" s="2"/>
      <c r="PSA208" s="2"/>
      <c r="PSB208" s="2"/>
      <c r="PSC208" s="2"/>
      <c r="PSD208" s="2"/>
      <c r="PSE208" s="2"/>
      <c r="PSF208" s="2"/>
      <c r="PSG208" s="2"/>
      <c r="PSH208" s="2"/>
      <c r="PSI208" s="2"/>
      <c r="PSJ208" s="2"/>
      <c r="PSK208" s="2"/>
      <c r="PSL208" s="2"/>
      <c r="PSM208" s="2"/>
      <c r="PSN208" s="2"/>
      <c r="PSO208" s="2"/>
      <c r="PSP208" s="2"/>
      <c r="PSQ208" s="2"/>
      <c r="PSR208" s="2"/>
      <c r="PSS208" s="2"/>
      <c r="PST208" s="2"/>
      <c r="PSU208" s="2"/>
      <c r="PSV208" s="2"/>
      <c r="PSW208" s="2"/>
      <c r="PSX208" s="2"/>
      <c r="PSY208" s="2"/>
      <c r="PSZ208" s="2"/>
      <c r="PTA208" s="2"/>
      <c r="PTB208" s="2"/>
      <c r="PTC208" s="2"/>
      <c r="PTD208" s="2"/>
      <c r="PTE208" s="2"/>
      <c r="PTF208" s="2"/>
      <c r="PTG208" s="2"/>
      <c r="PTH208" s="2"/>
      <c r="PTI208" s="2"/>
      <c r="PTJ208" s="2"/>
      <c r="PTK208" s="2"/>
      <c r="PTL208" s="2"/>
      <c r="PTM208" s="2"/>
      <c r="PTN208" s="2"/>
      <c r="PTO208" s="2"/>
      <c r="PTP208" s="2"/>
      <c r="PTQ208" s="2"/>
      <c r="PTR208" s="2"/>
      <c r="PTS208" s="2"/>
      <c r="PTT208" s="2"/>
      <c r="PTU208" s="2"/>
      <c r="PTV208" s="2"/>
      <c r="PTW208" s="2"/>
      <c r="PTX208" s="2"/>
      <c r="PTY208" s="2"/>
      <c r="PTZ208" s="2"/>
      <c r="PUA208" s="2"/>
      <c r="PUB208" s="2"/>
      <c r="PUC208" s="2"/>
      <c r="PUD208" s="2"/>
      <c r="PUE208" s="2"/>
      <c r="PUF208" s="2"/>
      <c r="PUG208" s="2"/>
      <c r="PUH208" s="2"/>
      <c r="PUI208" s="2"/>
      <c r="PUJ208" s="2"/>
      <c r="PUK208" s="2"/>
      <c r="PUL208" s="2"/>
      <c r="PUM208" s="2"/>
      <c r="PUN208" s="2"/>
      <c r="PUO208" s="2"/>
      <c r="PUP208" s="2"/>
      <c r="PUQ208" s="2"/>
      <c r="PUR208" s="2"/>
      <c r="PUS208" s="2"/>
      <c r="PUT208" s="2"/>
      <c r="PUU208" s="2"/>
      <c r="PUV208" s="2"/>
      <c r="PUW208" s="2"/>
      <c r="PUX208" s="2"/>
      <c r="PUY208" s="2"/>
      <c r="PUZ208" s="2"/>
      <c r="PVA208" s="2"/>
      <c r="PVB208" s="2"/>
      <c r="PVC208" s="2"/>
      <c r="PVD208" s="2"/>
      <c r="PVE208" s="2"/>
      <c r="PVF208" s="2"/>
      <c r="PVG208" s="2"/>
      <c r="PVH208" s="2"/>
      <c r="PVI208" s="2"/>
      <c r="PVJ208" s="2"/>
      <c r="PVK208" s="2"/>
      <c r="PVL208" s="2"/>
      <c r="PVM208" s="2"/>
      <c r="PVN208" s="2"/>
      <c r="PVO208" s="2"/>
      <c r="PVP208" s="2"/>
      <c r="PVQ208" s="2"/>
      <c r="PVR208" s="2"/>
      <c r="PVS208" s="2"/>
      <c r="PVT208" s="2"/>
      <c r="PVU208" s="2"/>
      <c r="PVV208" s="2"/>
      <c r="PVW208" s="2"/>
      <c r="PVX208" s="2"/>
      <c r="PVY208" s="2"/>
      <c r="PVZ208" s="2"/>
      <c r="PWA208" s="2"/>
      <c r="PWB208" s="2"/>
      <c r="PWC208" s="2"/>
      <c r="PWD208" s="2"/>
      <c r="PWE208" s="2"/>
      <c r="PWF208" s="2"/>
      <c r="PWG208" s="2"/>
      <c r="PWH208" s="2"/>
      <c r="PWI208" s="2"/>
      <c r="PWJ208" s="2"/>
      <c r="PWK208" s="2"/>
      <c r="PWL208" s="2"/>
      <c r="PWM208" s="2"/>
      <c r="PWN208" s="2"/>
      <c r="PWO208" s="2"/>
      <c r="PWP208" s="2"/>
      <c r="PWQ208" s="2"/>
      <c r="PWR208" s="2"/>
      <c r="PWS208" s="2"/>
      <c r="PWT208" s="2"/>
      <c r="PWU208" s="2"/>
      <c r="PWV208" s="2"/>
      <c r="PWW208" s="2"/>
      <c r="PWX208" s="2"/>
      <c r="PWY208" s="2"/>
      <c r="PWZ208" s="2"/>
      <c r="PXA208" s="2"/>
      <c r="PXB208" s="2"/>
      <c r="PXC208" s="2"/>
      <c r="PXD208" s="2"/>
      <c r="PXE208" s="2"/>
      <c r="PXF208" s="2"/>
      <c r="PXG208" s="2"/>
      <c r="PXH208" s="2"/>
      <c r="PXI208" s="2"/>
      <c r="PXJ208" s="2"/>
      <c r="PXK208" s="2"/>
      <c r="PXL208" s="2"/>
      <c r="PXM208" s="2"/>
      <c r="PXN208" s="2"/>
      <c r="PXO208" s="2"/>
      <c r="PXP208" s="2"/>
      <c r="PXQ208" s="2"/>
      <c r="PXR208" s="2"/>
      <c r="PXS208" s="2"/>
      <c r="PXT208" s="2"/>
      <c r="PXU208" s="2"/>
      <c r="PXV208" s="2"/>
      <c r="PXW208" s="2"/>
      <c r="PXX208" s="2"/>
      <c r="PXY208" s="2"/>
      <c r="PXZ208" s="2"/>
      <c r="PYA208" s="2"/>
      <c r="PYB208" s="2"/>
      <c r="PYC208" s="2"/>
      <c r="PYD208" s="2"/>
      <c r="PYE208" s="2"/>
      <c r="PYF208" s="2"/>
      <c r="PYG208" s="2"/>
      <c r="PYH208" s="2"/>
      <c r="PYI208" s="2"/>
      <c r="PYJ208" s="2"/>
      <c r="PYK208" s="2"/>
      <c r="PYL208" s="2"/>
      <c r="PYM208" s="2"/>
      <c r="PYN208" s="2"/>
      <c r="PYO208" s="2"/>
      <c r="PYP208" s="2"/>
      <c r="PYQ208" s="2"/>
      <c r="PYR208" s="2"/>
      <c r="PYS208" s="2"/>
      <c r="PYT208" s="2"/>
      <c r="PYU208" s="2"/>
      <c r="PYV208" s="2"/>
      <c r="PYW208" s="2"/>
      <c r="PYX208" s="2"/>
      <c r="PYY208" s="2"/>
      <c r="PYZ208" s="2"/>
      <c r="PZA208" s="2"/>
      <c r="PZB208" s="2"/>
      <c r="PZC208" s="2"/>
      <c r="PZD208" s="2"/>
      <c r="PZE208" s="2"/>
      <c r="PZF208" s="2"/>
      <c r="PZG208" s="2"/>
      <c r="PZH208" s="2"/>
      <c r="PZI208" s="2"/>
      <c r="PZJ208" s="2"/>
      <c r="PZK208" s="2"/>
      <c r="PZL208" s="2"/>
      <c r="PZM208" s="2"/>
      <c r="PZN208" s="2"/>
      <c r="PZO208" s="2"/>
      <c r="PZP208" s="2"/>
      <c r="PZQ208" s="2"/>
      <c r="PZR208" s="2"/>
      <c r="PZS208" s="2"/>
      <c r="PZT208" s="2"/>
      <c r="PZU208" s="2"/>
      <c r="PZV208" s="2"/>
      <c r="PZW208" s="2"/>
      <c r="PZX208" s="2"/>
      <c r="PZY208" s="2"/>
      <c r="PZZ208" s="2"/>
      <c r="QAA208" s="2"/>
      <c r="QAB208" s="2"/>
      <c r="QAC208" s="2"/>
      <c r="QAD208" s="2"/>
      <c r="QAE208" s="2"/>
      <c r="QAF208" s="2"/>
      <c r="QAG208" s="2"/>
      <c r="QAH208" s="2"/>
      <c r="QAI208" s="2"/>
      <c r="QAJ208" s="2"/>
      <c r="QAK208" s="2"/>
      <c r="QAL208" s="2"/>
      <c r="QAM208" s="2"/>
      <c r="QAN208" s="2"/>
      <c r="QAO208" s="2"/>
      <c r="QAP208" s="2"/>
      <c r="QAQ208" s="2"/>
      <c r="QAR208" s="2"/>
      <c r="QAS208" s="2"/>
      <c r="QAT208" s="2"/>
      <c r="QAU208" s="2"/>
      <c r="QAV208" s="2"/>
      <c r="QAW208" s="2"/>
      <c r="QAX208" s="2"/>
      <c r="QAY208" s="2"/>
      <c r="QAZ208" s="2"/>
      <c r="QBA208" s="2"/>
      <c r="QBB208" s="2"/>
      <c r="QBC208" s="2"/>
      <c r="QBD208" s="2"/>
      <c r="QBE208" s="2"/>
      <c r="QBF208" s="2"/>
      <c r="QBG208" s="2"/>
      <c r="QBH208" s="2"/>
      <c r="QBI208" s="2"/>
      <c r="QBJ208" s="2"/>
      <c r="QBK208" s="2"/>
      <c r="QBL208" s="2"/>
      <c r="QBM208" s="2"/>
      <c r="QBN208" s="2"/>
      <c r="QBO208" s="2"/>
      <c r="QBP208" s="2"/>
      <c r="QBQ208" s="2"/>
      <c r="QBR208" s="2"/>
      <c r="QBS208" s="2"/>
      <c r="QBT208" s="2"/>
      <c r="QBU208" s="2"/>
      <c r="QBV208" s="2"/>
      <c r="QBW208" s="2"/>
      <c r="QBX208" s="2"/>
      <c r="QBY208" s="2"/>
      <c r="QBZ208" s="2"/>
      <c r="QCA208" s="2"/>
      <c r="QCB208" s="2"/>
      <c r="QCC208" s="2"/>
      <c r="QCD208" s="2"/>
      <c r="QCE208" s="2"/>
      <c r="QCF208" s="2"/>
      <c r="QCG208" s="2"/>
      <c r="QCH208" s="2"/>
      <c r="QCI208" s="2"/>
      <c r="QCJ208" s="2"/>
      <c r="QCK208" s="2"/>
      <c r="QCL208" s="2"/>
      <c r="QCM208" s="2"/>
      <c r="QCN208" s="2"/>
      <c r="QCO208" s="2"/>
      <c r="QCP208" s="2"/>
      <c r="QCQ208" s="2"/>
      <c r="QCR208" s="2"/>
      <c r="QCS208" s="2"/>
      <c r="QCT208" s="2"/>
      <c r="QCU208" s="2"/>
      <c r="QCV208" s="2"/>
      <c r="QCW208" s="2"/>
      <c r="QCX208" s="2"/>
      <c r="QCY208" s="2"/>
      <c r="QCZ208" s="2"/>
      <c r="QDA208" s="2"/>
      <c r="QDB208" s="2"/>
      <c r="QDC208" s="2"/>
      <c r="QDD208" s="2"/>
      <c r="QDE208" s="2"/>
      <c r="QDF208" s="2"/>
      <c r="QDG208" s="2"/>
      <c r="QDH208" s="2"/>
      <c r="QDI208" s="2"/>
      <c r="QDJ208" s="2"/>
      <c r="QDK208" s="2"/>
      <c r="QDL208" s="2"/>
      <c r="QDM208" s="2"/>
      <c r="QDN208" s="2"/>
      <c r="QDO208" s="2"/>
      <c r="QDP208" s="2"/>
      <c r="QDQ208" s="2"/>
      <c r="QDR208" s="2"/>
      <c r="QDS208" s="2"/>
      <c r="QDT208" s="2"/>
      <c r="QDU208" s="2"/>
      <c r="QDV208" s="2"/>
      <c r="QDW208" s="2"/>
      <c r="QDX208" s="2"/>
      <c r="QDY208" s="2"/>
      <c r="QDZ208" s="2"/>
      <c r="QEA208" s="2"/>
      <c r="QEB208" s="2"/>
      <c r="QEC208" s="2"/>
      <c r="QED208" s="2"/>
      <c r="QEE208" s="2"/>
      <c r="QEF208" s="2"/>
      <c r="QEG208" s="2"/>
      <c r="QEH208" s="2"/>
      <c r="QEI208" s="2"/>
      <c r="QEJ208" s="2"/>
      <c r="QEK208" s="2"/>
      <c r="QEL208" s="2"/>
      <c r="QEM208" s="2"/>
      <c r="QEN208" s="2"/>
      <c r="QEO208" s="2"/>
      <c r="QEP208" s="2"/>
      <c r="QEQ208" s="2"/>
      <c r="QER208" s="2"/>
      <c r="QES208" s="2"/>
      <c r="QET208" s="2"/>
      <c r="QEU208" s="2"/>
      <c r="QEV208" s="2"/>
      <c r="QEW208" s="2"/>
      <c r="QEX208" s="2"/>
      <c r="QEY208" s="2"/>
      <c r="QEZ208" s="2"/>
      <c r="QFA208" s="2"/>
      <c r="QFB208" s="2"/>
      <c r="QFC208" s="2"/>
      <c r="QFD208" s="2"/>
      <c r="QFE208" s="2"/>
      <c r="QFF208" s="2"/>
      <c r="QFG208" s="2"/>
      <c r="QFH208" s="2"/>
      <c r="QFI208" s="2"/>
      <c r="QFJ208" s="2"/>
      <c r="QFK208" s="2"/>
      <c r="QFL208" s="2"/>
      <c r="QFM208" s="2"/>
      <c r="QFN208" s="2"/>
      <c r="QFO208" s="2"/>
      <c r="QFP208" s="2"/>
      <c r="QFQ208" s="2"/>
      <c r="QFR208" s="2"/>
      <c r="QFS208" s="2"/>
      <c r="QFT208" s="2"/>
      <c r="QFU208" s="2"/>
      <c r="QFV208" s="2"/>
      <c r="QFW208" s="2"/>
      <c r="QFX208" s="2"/>
      <c r="QFY208" s="2"/>
      <c r="QFZ208" s="2"/>
      <c r="QGA208" s="2"/>
      <c r="QGB208" s="2"/>
      <c r="QGC208" s="2"/>
      <c r="QGD208" s="2"/>
      <c r="QGE208" s="2"/>
      <c r="QGF208" s="2"/>
      <c r="QGG208" s="2"/>
      <c r="QGH208" s="2"/>
      <c r="QGI208" s="2"/>
      <c r="QGJ208" s="2"/>
      <c r="QGK208" s="2"/>
      <c r="QGL208" s="2"/>
      <c r="QGM208" s="2"/>
      <c r="QGN208" s="2"/>
      <c r="QGO208" s="2"/>
      <c r="QGP208" s="2"/>
      <c r="QGQ208" s="2"/>
      <c r="QGR208" s="2"/>
      <c r="QGS208" s="2"/>
      <c r="QGT208" s="2"/>
      <c r="QGU208" s="2"/>
      <c r="QGV208" s="2"/>
      <c r="QGW208" s="2"/>
      <c r="QGX208" s="2"/>
      <c r="QGY208" s="2"/>
      <c r="QGZ208" s="2"/>
      <c r="QHA208" s="2"/>
      <c r="QHB208" s="2"/>
      <c r="QHC208" s="2"/>
      <c r="QHD208" s="2"/>
      <c r="QHE208" s="2"/>
      <c r="QHF208" s="2"/>
      <c r="QHG208" s="2"/>
      <c r="QHH208" s="2"/>
      <c r="QHI208" s="2"/>
      <c r="QHJ208" s="2"/>
      <c r="QHK208" s="2"/>
      <c r="QHL208" s="2"/>
      <c r="QHM208" s="2"/>
      <c r="QHN208" s="2"/>
      <c r="QHO208" s="2"/>
      <c r="QHP208" s="2"/>
      <c r="QHQ208" s="2"/>
      <c r="QHR208" s="2"/>
      <c r="QHS208" s="2"/>
      <c r="QHT208" s="2"/>
      <c r="QHU208" s="2"/>
      <c r="QHV208" s="2"/>
      <c r="QHW208" s="2"/>
      <c r="QHX208" s="2"/>
      <c r="QHY208" s="2"/>
      <c r="QHZ208" s="2"/>
      <c r="QIA208" s="2"/>
      <c r="QIB208" s="2"/>
      <c r="QIC208" s="2"/>
      <c r="QID208" s="2"/>
      <c r="QIE208" s="2"/>
      <c r="QIF208" s="2"/>
      <c r="QIG208" s="2"/>
      <c r="QIH208" s="2"/>
      <c r="QII208" s="2"/>
      <c r="QIJ208" s="2"/>
      <c r="QIK208" s="2"/>
      <c r="QIL208" s="2"/>
      <c r="QIM208" s="2"/>
      <c r="QIN208" s="2"/>
      <c r="QIO208" s="2"/>
      <c r="QIP208" s="2"/>
      <c r="QIQ208" s="2"/>
      <c r="QIR208" s="2"/>
      <c r="QIS208" s="2"/>
      <c r="QIT208" s="2"/>
      <c r="QIU208" s="2"/>
      <c r="QIV208" s="2"/>
      <c r="QIW208" s="2"/>
      <c r="QIX208" s="2"/>
      <c r="QIY208" s="2"/>
      <c r="QIZ208" s="2"/>
      <c r="QJA208" s="2"/>
      <c r="QJB208" s="2"/>
      <c r="QJC208" s="2"/>
      <c r="QJD208" s="2"/>
      <c r="QJE208" s="2"/>
      <c r="QJF208" s="2"/>
      <c r="QJG208" s="2"/>
      <c r="QJH208" s="2"/>
      <c r="QJI208" s="2"/>
      <c r="QJJ208" s="2"/>
      <c r="QJK208" s="2"/>
      <c r="QJL208" s="2"/>
      <c r="QJM208" s="2"/>
      <c r="QJN208" s="2"/>
      <c r="QJO208" s="2"/>
      <c r="QJP208" s="2"/>
      <c r="QJQ208" s="2"/>
      <c r="QJR208" s="2"/>
      <c r="QJS208" s="2"/>
      <c r="QJT208" s="2"/>
      <c r="QJU208" s="2"/>
      <c r="QJV208" s="2"/>
      <c r="QJW208" s="2"/>
      <c r="QJX208" s="2"/>
      <c r="QJY208" s="2"/>
      <c r="QJZ208" s="2"/>
      <c r="QKA208" s="2"/>
      <c r="QKB208" s="2"/>
      <c r="QKC208" s="2"/>
      <c r="QKD208" s="2"/>
      <c r="QKE208" s="2"/>
      <c r="QKF208" s="2"/>
      <c r="QKG208" s="2"/>
      <c r="QKH208" s="2"/>
      <c r="QKI208" s="2"/>
      <c r="QKJ208" s="2"/>
      <c r="QKK208" s="2"/>
      <c r="QKL208" s="2"/>
      <c r="QKM208" s="2"/>
      <c r="QKN208" s="2"/>
      <c r="QKO208" s="2"/>
      <c r="QKP208" s="2"/>
      <c r="QKQ208" s="2"/>
      <c r="QKR208" s="2"/>
      <c r="QKS208" s="2"/>
      <c r="QKT208" s="2"/>
      <c r="QKU208" s="2"/>
      <c r="QKV208" s="2"/>
      <c r="QKW208" s="2"/>
      <c r="QKX208" s="2"/>
      <c r="QKY208" s="2"/>
      <c r="QKZ208" s="2"/>
      <c r="QLA208" s="2"/>
      <c r="QLB208" s="2"/>
      <c r="QLC208" s="2"/>
      <c r="QLD208" s="2"/>
      <c r="QLE208" s="2"/>
      <c r="QLF208" s="2"/>
      <c r="QLG208" s="2"/>
      <c r="QLH208" s="2"/>
      <c r="QLI208" s="2"/>
      <c r="QLJ208" s="2"/>
      <c r="QLK208" s="2"/>
      <c r="QLL208" s="2"/>
      <c r="QLM208" s="2"/>
      <c r="QLN208" s="2"/>
      <c r="QLO208" s="2"/>
      <c r="QLP208" s="2"/>
      <c r="QLQ208" s="2"/>
      <c r="QLR208" s="2"/>
      <c r="QLS208" s="2"/>
      <c r="QLT208" s="2"/>
      <c r="QLU208" s="2"/>
      <c r="QLV208" s="2"/>
      <c r="QLW208" s="2"/>
      <c r="QLX208" s="2"/>
      <c r="QLY208" s="2"/>
      <c r="QLZ208" s="2"/>
      <c r="QMA208" s="2"/>
      <c r="QMB208" s="2"/>
      <c r="QMC208" s="2"/>
      <c r="QMD208" s="2"/>
      <c r="QME208" s="2"/>
      <c r="QMF208" s="2"/>
      <c r="QMG208" s="2"/>
      <c r="QMH208" s="2"/>
      <c r="QMI208" s="2"/>
      <c r="QMJ208" s="2"/>
      <c r="QMK208" s="2"/>
      <c r="QML208" s="2"/>
      <c r="QMM208" s="2"/>
      <c r="QMN208" s="2"/>
      <c r="QMO208" s="2"/>
      <c r="QMP208" s="2"/>
      <c r="QMQ208" s="2"/>
      <c r="QMR208" s="2"/>
      <c r="QMS208" s="2"/>
      <c r="QMT208" s="2"/>
      <c r="QMU208" s="2"/>
      <c r="QMV208" s="2"/>
      <c r="QMW208" s="2"/>
      <c r="QMX208" s="2"/>
      <c r="QMY208" s="2"/>
      <c r="QMZ208" s="2"/>
      <c r="QNA208" s="2"/>
      <c r="QNB208" s="2"/>
      <c r="QNC208" s="2"/>
      <c r="QND208" s="2"/>
      <c r="QNE208" s="2"/>
      <c r="QNF208" s="2"/>
      <c r="QNG208" s="2"/>
      <c r="QNH208" s="2"/>
      <c r="QNI208" s="2"/>
      <c r="QNJ208" s="2"/>
      <c r="QNK208" s="2"/>
      <c r="QNL208" s="2"/>
      <c r="QNM208" s="2"/>
      <c r="QNN208" s="2"/>
      <c r="QNO208" s="2"/>
      <c r="QNP208" s="2"/>
      <c r="QNQ208" s="2"/>
      <c r="QNR208" s="2"/>
      <c r="QNS208" s="2"/>
      <c r="QNT208" s="2"/>
      <c r="QNU208" s="2"/>
      <c r="QNV208" s="2"/>
      <c r="QNW208" s="2"/>
      <c r="QNX208" s="2"/>
      <c r="QNY208" s="2"/>
      <c r="QNZ208" s="2"/>
      <c r="QOA208" s="2"/>
      <c r="QOB208" s="2"/>
      <c r="QOC208" s="2"/>
      <c r="QOD208" s="2"/>
      <c r="QOE208" s="2"/>
      <c r="QOF208" s="2"/>
      <c r="QOG208" s="2"/>
      <c r="QOH208" s="2"/>
      <c r="QOI208" s="2"/>
      <c r="QOJ208" s="2"/>
      <c r="QOK208" s="2"/>
      <c r="QOL208" s="2"/>
      <c r="QOM208" s="2"/>
      <c r="QON208" s="2"/>
      <c r="QOO208" s="2"/>
      <c r="QOP208" s="2"/>
      <c r="QOQ208" s="2"/>
      <c r="QOR208" s="2"/>
      <c r="QOS208" s="2"/>
      <c r="QOT208" s="2"/>
      <c r="QOU208" s="2"/>
      <c r="QOV208" s="2"/>
      <c r="QOW208" s="2"/>
      <c r="QOX208" s="2"/>
      <c r="QOY208" s="2"/>
      <c r="QOZ208" s="2"/>
      <c r="QPA208" s="2"/>
      <c r="QPB208" s="2"/>
      <c r="QPC208" s="2"/>
      <c r="QPD208" s="2"/>
      <c r="QPE208" s="2"/>
      <c r="QPF208" s="2"/>
      <c r="QPG208" s="2"/>
      <c r="QPH208" s="2"/>
      <c r="QPI208" s="2"/>
      <c r="QPJ208" s="2"/>
      <c r="QPK208" s="2"/>
      <c r="QPL208" s="2"/>
      <c r="QPM208" s="2"/>
      <c r="QPN208" s="2"/>
      <c r="QPO208" s="2"/>
      <c r="QPP208" s="2"/>
      <c r="QPQ208" s="2"/>
      <c r="QPR208" s="2"/>
      <c r="QPS208" s="2"/>
      <c r="QPT208" s="2"/>
      <c r="QPU208" s="2"/>
      <c r="QPV208" s="2"/>
      <c r="QPW208" s="2"/>
      <c r="QPX208" s="2"/>
      <c r="QPY208" s="2"/>
      <c r="QPZ208" s="2"/>
      <c r="QQA208" s="2"/>
      <c r="QQB208" s="2"/>
      <c r="QQC208" s="2"/>
      <c r="QQD208" s="2"/>
      <c r="QQE208" s="2"/>
      <c r="QQF208" s="2"/>
      <c r="QQG208" s="2"/>
      <c r="QQH208" s="2"/>
      <c r="QQI208" s="2"/>
      <c r="QQJ208" s="2"/>
      <c r="QQK208" s="2"/>
      <c r="QQL208" s="2"/>
      <c r="QQM208" s="2"/>
      <c r="QQN208" s="2"/>
      <c r="QQO208" s="2"/>
      <c r="QQP208" s="2"/>
      <c r="QQQ208" s="2"/>
      <c r="QQR208" s="2"/>
      <c r="QQS208" s="2"/>
      <c r="QQT208" s="2"/>
      <c r="QQU208" s="2"/>
      <c r="QQV208" s="2"/>
      <c r="QQW208" s="2"/>
      <c r="QQX208" s="2"/>
      <c r="QQY208" s="2"/>
      <c r="QQZ208" s="2"/>
      <c r="QRA208" s="2"/>
      <c r="QRB208" s="2"/>
      <c r="QRC208" s="2"/>
      <c r="QRD208" s="2"/>
      <c r="QRE208" s="2"/>
      <c r="QRF208" s="2"/>
      <c r="QRG208" s="2"/>
      <c r="QRH208" s="2"/>
      <c r="QRI208" s="2"/>
      <c r="QRJ208" s="2"/>
      <c r="QRK208" s="2"/>
      <c r="QRL208" s="2"/>
      <c r="QRM208" s="2"/>
      <c r="QRN208" s="2"/>
      <c r="QRO208" s="2"/>
      <c r="QRP208" s="2"/>
      <c r="QRQ208" s="2"/>
      <c r="QRR208" s="2"/>
      <c r="QRS208" s="2"/>
      <c r="QRT208" s="2"/>
      <c r="QRU208" s="2"/>
      <c r="QRV208" s="2"/>
      <c r="QRW208" s="2"/>
      <c r="QRX208" s="2"/>
      <c r="QRY208" s="2"/>
      <c r="QRZ208" s="2"/>
      <c r="QSA208" s="2"/>
      <c r="QSB208" s="2"/>
      <c r="QSC208" s="2"/>
      <c r="QSD208" s="2"/>
      <c r="QSE208" s="2"/>
      <c r="QSF208" s="2"/>
      <c r="QSG208" s="2"/>
      <c r="QSH208" s="2"/>
      <c r="QSI208" s="2"/>
      <c r="QSJ208" s="2"/>
      <c r="QSK208" s="2"/>
      <c r="QSL208" s="2"/>
      <c r="QSM208" s="2"/>
      <c r="QSN208" s="2"/>
      <c r="QSO208" s="2"/>
      <c r="QSP208" s="2"/>
      <c r="QSQ208" s="2"/>
      <c r="QSR208" s="2"/>
      <c r="QSS208" s="2"/>
      <c r="QST208" s="2"/>
      <c r="QSU208" s="2"/>
      <c r="QSV208" s="2"/>
      <c r="QSW208" s="2"/>
      <c r="QSX208" s="2"/>
      <c r="QSY208" s="2"/>
      <c r="QSZ208" s="2"/>
      <c r="QTA208" s="2"/>
      <c r="QTB208" s="2"/>
      <c r="QTC208" s="2"/>
      <c r="QTD208" s="2"/>
      <c r="QTE208" s="2"/>
      <c r="QTF208" s="2"/>
      <c r="QTG208" s="2"/>
      <c r="QTH208" s="2"/>
      <c r="QTI208" s="2"/>
      <c r="QTJ208" s="2"/>
      <c r="QTK208" s="2"/>
      <c r="QTL208" s="2"/>
      <c r="QTM208" s="2"/>
      <c r="QTN208" s="2"/>
      <c r="QTO208" s="2"/>
      <c r="QTP208" s="2"/>
      <c r="QTQ208" s="2"/>
      <c r="QTR208" s="2"/>
      <c r="QTS208" s="2"/>
      <c r="QTT208" s="2"/>
      <c r="QTU208" s="2"/>
      <c r="QTV208" s="2"/>
      <c r="QTW208" s="2"/>
      <c r="QTX208" s="2"/>
      <c r="QTY208" s="2"/>
      <c r="QTZ208" s="2"/>
      <c r="QUA208" s="2"/>
      <c r="QUB208" s="2"/>
      <c r="QUC208" s="2"/>
      <c r="QUD208" s="2"/>
      <c r="QUE208" s="2"/>
      <c r="QUF208" s="2"/>
      <c r="QUG208" s="2"/>
      <c r="QUH208" s="2"/>
      <c r="QUI208" s="2"/>
      <c r="QUJ208" s="2"/>
      <c r="QUK208" s="2"/>
      <c r="QUL208" s="2"/>
      <c r="QUM208" s="2"/>
      <c r="QUN208" s="2"/>
      <c r="QUO208" s="2"/>
      <c r="QUP208" s="2"/>
      <c r="QUQ208" s="2"/>
      <c r="QUR208" s="2"/>
      <c r="QUS208" s="2"/>
      <c r="QUT208" s="2"/>
      <c r="QUU208" s="2"/>
      <c r="QUV208" s="2"/>
      <c r="QUW208" s="2"/>
      <c r="QUX208" s="2"/>
      <c r="QUY208" s="2"/>
      <c r="QUZ208" s="2"/>
      <c r="QVA208" s="2"/>
      <c r="QVB208" s="2"/>
      <c r="QVC208" s="2"/>
      <c r="QVD208" s="2"/>
      <c r="QVE208" s="2"/>
      <c r="QVF208" s="2"/>
      <c r="QVG208" s="2"/>
      <c r="QVH208" s="2"/>
      <c r="QVI208" s="2"/>
      <c r="QVJ208" s="2"/>
      <c r="QVK208" s="2"/>
      <c r="QVL208" s="2"/>
      <c r="QVM208" s="2"/>
      <c r="QVN208" s="2"/>
      <c r="QVO208" s="2"/>
      <c r="QVP208" s="2"/>
      <c r="QVQ208" s="2"/>
      <c r="QVR208" s="2"/>
      <c r="QVS208" s="2"/>
      <c r="QVT208" s="2"/>
      <c r="QVU208" s="2"/>
      <c r="QVV208" s="2"/>
      <c r="QVW208" s="2"/>
      <c r="QVX208" s="2"/>
      <c r="QVY208" s="2"/>
      <c r="QVZ208" s="2"/>
      <c r="QWA208" s="2"/>
      <c r="QWB208" s="2"/>
      <c r="QWC208" s="2"/>
      <c r="QWD208" s="2"/>
      <c r="QWE208" s="2"/>
      <c r="QWF208" s="2"/>
      <c r="QWG208" s="2"/>
      <c r="QWH208" s="2"/>
      <c r="QWI208" s="2"/>
      <c r="QWJ208" s="2"/>
      <c r="QWK208" s="2"/>
      <c r="QWL208" s="2"/>
      <c r="QWM208" s="2"/>
      <c r="QWN208" s="2"/>
      <c r="QWO208" s="2"/>
      <c r="QWP208" s="2"/>
      <c r="QWQ208" s="2"/>
      <c r="QWR208" s="2"/>
      <c r="QWS208" s="2"/>
      <c r="QWT208" s="2"/>
      <c r="QWU208" s="2"/>
      <c r="QWV208" s="2"/>
      <c r="QWW208" s="2"/>
      <c r="QWX208" s="2"/>
      <c r="QWY208" s="2"/>
      <c r="QWZ208" s="2"/>
      <c r="QXA208" s="2"/>
      <c r="QXB208" s="2"/>
      <c r="QXC208" s="2"/>
      <c r="QXD208" s="2"/>
      <c r="QXE208" s="2"/>
      <c r="QXF208" s="2"/>
      <c r="QXG208" s="2"/>
      <c r="QXH208" s="2"/>
      <c r="QXI208" s="2"/>
      <c r="QXJ208" s="2"/>
      <c r="QXK208" s="2"/>
      <c r="QXL208" s="2"/>
      <c r="QXM208" s="2"/>
      <c r="QXN208" s="2"/>
      <c r="QXO208" s="2"/>
      <c r="QXP208" s="2"/>
      <c r="QXQ208" s="2"/>
      <c r="QXR208" s="2"/>
      <c r="QXS208" s="2"/>
      <c r="QXT208" s="2"/>
      <c r="QXU208" s="2"/>
      <c r="QXV208" s="2"/>
      <c r="QXW208" s="2"/>
      <c r="QXX208" s="2"/>
      <c r="QXY208" s="2"/>
      <c r="QXZ208" s="2"/>
      <c r="QYA208" s="2"/>
      <c r="QYB208" s="2"/>
      <c r="QYC208" s="2"/>
      <c r="QYD208" s="2"/>
      <c r="QYE208" s="2"/>
      <c r="QYF208" s="2"/>
      <c r="QYG208" s="2"/>
      <c r="QYH208" s="2"/>
      <c r="QYI208" s="2"/>
      <c r="QYJ208" s="2"/>
      <c r="QYK208" s="2"/>
      <c r="QYL208" s="2"/>
      <c r="QYM208" s="2"/>
      <c r="QYN208" s="2"/>
      <c r="QYO208" s="2"/>
      <c r="QYP208" s="2"/>
      <c r="QYQ208" s="2"/>
      <c r="QYR208" s="2"/>
      <c r="QYS208" s="2"/>
      <c r="QYT208" s="2"/>
      <c r="QYU208" s="2"/>
      <c r="QYV208" s="2"/>
      <c r="QYW208" s="2"/>
      <c r="QYX208" s="2"/>
      <c r="QYY208" s="2"/>
      <c r="QYZ208" s="2"/>
      <c r="QZA208" s="2"/>
      <c r="QZB208" s="2"/>
      <c r="QZC208" s="2"/>
      <c r="QZD208" s="2"/>
      <c r="QZE208" s="2"/>
      <c r="QZF208" s="2"/>
      <c r="QZG208" s="2"/>
      <c r="QZH208" s="2"/>
      <c r="QZI208" s="2"/>
      <c r="QZJ208" s="2"/>
      <c r="QZK208" s="2"/>
      <c r="QZL208" s="2"/>
      <c r="QZM208" s="2"/>
      <c r="QZN208" s="2"/>
      <c r="QZO208" s="2"/>
      <c r="QZP208" s="2"/>
      <c r="QZQ208" s="2"/>
      <c r="QZR208" s="2"/>
      <c r="QZS208" s="2"/>
      <c r="QZT208" s="2"/>
      <c r="QZU208" s="2"/>
      <c r="QZV208" s="2"/>
      <c r="QZW208" s="2"/>
      <c r="QZX208" s="2"/>
      <c r="QZY208" s="2"/>
      <c r="QZZ208" s="2"/>
      <c r="RAA208" s="2"/>
      <c r="RAB208" s="2"/>
      <c r="RAC208" s="2"/>
      <c r="RAD208" s="2"/>
      <c r="RAE208" s="2"/>
      <c r="RAF208" s="2"/>
      <c r="RAG208" s="2"/>
      <c r="RAH208" s="2"/>
      <c r="RAI208" s="2"/>
      <c r="RAJ208" s="2"/>
      <c r="RAK208" s="2"/>
      <c r="RAL208" s="2"/>
      <c r="RAM208" s="2"/>
      <c r="RAN208" s="2"/>
      <c r="RAO208" s="2"/>
      <c r="RAP208" s="2"/>
      <c r="RAQ208" s="2"/>
      <c r="RAR208" s="2"/>
      <c r="RAS208" s="2"/>
      <c r="RAT208" s="2"/>
      <c r="RAU208" s="2"/>
      <c r="RAV208" s="2"/>
      <c r="RAW208" s="2"/>
      <c r="RAX208" s="2"/>
      <c r="RAY208" s="2"/>
      <c r="RAZ208" s="2"/>
      <c r="RBA208" s="2"/>
      <c r="RBB208" s="2"/>
      <c r="RBC208" s="2"/>
      <c r="RBD208" s="2"/>
      <c r="RBE208" s="2"/>
      <c r="RBF208" s="2"/>
      <c r="RBG208" s="2"/>
      <c r="RBH208" s="2"/>
      <c r="RBI208" s="2"/>
      <c r="RBJ208" s="2"/>
      <c r="RBK208" s="2"/>
      <c r="RBL208" s="2"/>
      <c r="RBM208" s="2"/>
      <c r="RBN208" s="2"/>
      <c r="RBO208" s="2"/>
      <c r="RBP208" s="2"/>
      <c r="RBQ208" s="2"/>
      <c r="RBR208" s="2"/>
      <c r="RBS208" s="2"/>
      <c r="RBT208" s="2"/>
      <c r="RBU208" s="2"/>
      <c r="RBV208" s="2"/>
      <c r="RBW208" s="2"/>
      <c r="RBX208" s="2"/>
      <c r="RBY208" s="2"/>
      <c r="RBZ208" s="2"/>
      <c r="RCA208" s="2"/>
      <c r="RCB208" s="2"/>
      <c r="RCC208" s="2"/>
      <c r="RCD208" s="2"/>
      <c r="RCE208" s="2"/>
      <c r="RCF208" s="2"/>
      <c r="RCG208" s="2"/>
      <c r="RCH208" s="2"/>
      <c r="RCI208" s="2"/>
      <c r="RCJ208" s="2"/>
      <c r="RCK208" s="2"/>
      <c r="RCL208" s="2"/>
      <c r="RCM208" s="2"/>
      <c r="RCN208" s="2"/>
      <c r="RCO208" s="2"/>
      <c r="RCP208" s="2"/>
      <c r="RCQ208" s="2"/>
      <c r="RCR208" s="2"/>
      <c r="RCS208" s="2"/>
      <c r="RCT208" s="2"/>
      <c r="RCU208" s="2"/>
      <c r="RCV208" s="2"/>
      <c r="RCW208" s="2"/>
      <c r="RCX208" s="2"/>
      <c r="RCY208" s="2"/>
      <c r="RCZ208" s="2"/>
      <c r="RDA208" s="2"/>
      <c r="RDB208" s="2"/>
      <c r="RDC208" s="2"/>
      <c r="RDD208" s="2"/>
      <c r="RDE208" s="2"/>
      <c r="RDF208" s="2"/>
      <c r="RDG208" s="2"/>
      <c r="RDH208" s="2"/>
      <c r="RDI208" s="2"/>
      <c r="RDJ208" s="2"/>
      <c r="RDK208" s="2"/>
      <c r="RDL208" s="2"/>
      <c r="RDM208" s="2"/>
      <c r="RDN208" s="2"/>
      <c r="RDO208" s="2"/>
      <c r="RDP208" s="2"/>
      <c r="RDQ208" s="2"/>
      <c r="RDR208" s="2"/>
      <c r="RDS208" s="2"/>
      <c r="RDT208" s="2"/>
      <c r="RDU208" s="2"/>
      <c r="RDV208" s="2"/>
      <c r="RDW208" s="2"/>
      <c r="RDX208" s="2"/>
      <c r="RDY208" s="2"/>
      <c r="RDZ208" s="2"/>
      <c r="REA208" s="2"/>
      <c r="REB208" s="2"/>
      <c r="REC208" s="2"/>
      <c r="RED208" s="2"/>
      <c r="REE208" s="2"/>
      <c r="REF208" s="2"/>
      <c r="REG208" s="2"/>
      <c r="REH208" s="2"/>
      <c r="REI208" s="2"/>
      <c r="REJ208" s="2"/>
      <c r="REK208" s="2"/>
      <c r="REL208" s="2"/>
      <c r="REM208" s="2"/>
      <c r="REN208" s="2"/>
      <c r="REO208" s="2"/>
      <c r="REP208" s="2"/>
      <c r="REQ208" s="2"/>
      <c r="RER208" s="2"/>
      <c r="RES208" s="2"/>
      <c r="RET208" s="2"/>
      <c r="REU208" s="2"/>
      <c r="REV208" s="2"/>
      <c r="REW208" s="2"/>
      <c r="REX208" s="2"/>
      <c r="REY208" s="2"/>
      <c r="REZ208" s="2"/>
      <c r="RFA208" s="2"/>
      <c r="RFB208" s="2"/>
      <c r="RFC208" s="2"/>
      <c r="RFD208" s="2"/>
      <c r="RFE208" s="2"/>
      <c r="RFF208" s="2"/>
      <c r="RFG208" s="2"/>
      <c r="RFH208" s="2"/>
      <c r="RFI208" s="2"/>
      <c r="RFJ208" s="2"/>
      <c r="RFK208" s="2"/>
      <c r="RFL208" s="2"/>
      <c r="RFM208" s="2"/>
      <c r="RFN208" s="2"/>
      <c r="RFO208" s="2"/>
      <c r="RFP208" s="2"/>
      <c r="RFQ208" s="2"/>
      <c r="RFR208" s="2"/>
      <c r="RFS208" s="2"/>
      <c r="RFT208" s="2"/>
      <c r="RFU208" s="2"/>
      <c r="RFV208" s="2"/>
      <c r="RFW208" s="2"/>
      <c r="RFX208" s="2"/>
      <c r="RFY208" s="2"/>
      <c r="RFZ208" s="2"/>
      <c r="RGA208" s="2"/>
      <c r="RGB208" s="2"/>
      <c r="RGC208" s="2"/>
      <c r="RGD208" s="2"/>
      <c r="RGE208" s="2"/>
      <c r="RGF208" s="2"/>
      <c r="RGG208" s="2"/>
      <c r="RGH208" s="2"/>
      <c r="RGI208" s="2"/>
      <c r="RGJ208" s="2"/>
      <c r="RGK208" s="2"/>
      <c r="RGL208" s="2"/>
      <c r="RGM208" s="2"/>
      <c r="RGN208" s="2"/>
      <c r="RGO208" s="2"/>
      <c r="RGP208" s="2"/>
      <c r="RGQ208" s="2"/>
      <c r="RGR208" s="2"/>
      <c r="RGS208" s="2"/>
      <c r="RGT208" s="2"/>
      <c r="RGU208" s="2"/>
      <c r="RGV208" s="2"/>
      <c r="RGW208" s="2"/>
      <c r="RGX208" s="2"/>
      <c r="RGY208" s="2"/>
      <c r="RGZ208" s="2"/>
      <c r="RHA208" s="2"/>
      <c r="RHB208" s="2"/>
      <c r="RHC208" s="2"/>
      <c r="RHD208" s="2"/>
      <c r="RHE208" s="2"/>
      <c r="RHF208" s="2"/>
      <c r="RHG208" s="2"/>
      <c r="RHH208" s="2"/>
      <c r="RHI208" s="2"/>
      <c r="RHJ208" s="2"/>
      <c r="RHK208" s="2"/>
      <c r="RHL208" s="2"/>
      <c r="RHM208" s="2"/>
      <c r="RHN208" s="2"/>
      <c r="RHO208" s="2"/>
      <c r="RHP208" s="2"/>
      <c r="RHQ208" s="2"/>
      <c r="RHR208" s="2"/>
      <c r="RHS208" s="2"/>
      <c r="RHT208" s="2"/>
      <c r="RHU208" s="2"/>
      <c r="RHV208" s="2"/>
      <c r="RHW208" s="2"/>
      <c r="RHX208" s="2"/>
      <c r="RHY208" s="2"/>
      <c r="RHZ208" s="2"/>
      <c r="RIA208" s="2"/>
      <c r="RIB208" s="2"/>
      <c r="RIC208" s="2"/>
      <c r="RID208" s="2"/>
      <c r="RIE208" s="2"/>
      <c r="RIF208" s="2"/>
      <c r="RIG208" s="2"/>
      <c r="RIH208" s="2"/>
      <c r="RII208" s="2"/>
      <c r="RIJ208" s="2"/>
      <c r="RIK208" s="2"/>
      <c r="RIL208" s="2"/>
      <c r="RIM208" s="2"/>
      <c r="RIN208" s="2"/>
      <c r="RIO208" s="2"/>
      <c r="RIP208" s="2"/>
      <c r="RIQ208" s="2"/>
      <c r="RIR208" s="2"/>
      <c r="RIS208" s="2"/>
      <c r="RIT208" s="2"/>
      <c r="RIU208" s="2"/>
      <c r="RIV208" s="2"/>
      <c r="RIW208" s="2"/>
      <c r="RIX208" s="2"/>
      <c r="RIY208" s="2"/>
      <c r="RIZ208" s="2"/>
      <c r="RJA208" s="2"/>
      <c r="RJB208" s="2"/>
      <c r="RJC208" s="2"/>
      <c r="RJD208" s="2"/>
      <c r="RJE208" s="2"/>
      <c r="RJF208" s="2"/>
      <c r="RJG208" s="2"/>
      <c r="RJH208" s="2"/>
      <c r="RJI208" s="2"/>
      <c r="RJJ208" s="2"/>
      <c r="RJK208" s="2"/>
      <c r="RJL208" s="2"/>
      <c r="RJM208" s="2"/>
      <c r="RJN208" s="2"/>
      <c r="RJO208" s="2"/>
      <c r="RJP208" s="2"/>
      <c r="RJQ208" s="2"/>
      <c r="RJR208" s="2"/>
      <c r="RJS208" s="2"/>
      <c r="RJT208" s="2"/>
      <c r="RJU208" s="2"/>
      <c r="RJV208" s="2"/>
      <c r="RJW208" s="2"/>
      <c r="RJX208" s="2"/>
      <c r="RJY208" s="2"/>
      <c r="RJZ208" s="2"/>
      <c r="RKA208" s="2"/>
      <c r="RKB208" s="2"/>
      <c r="RKC208" s="2"/>
      <c r="RKD208" s="2"/>
      <c r="RKE208" s="2"/>
      <c r="RKF208" s="2"/>
      <c r="RKG208" s="2"/>
      <c r="RKH208" s="2"/>
      <c r="RKI208" s="2"/>
      <c r="RKJ208" s="2"/>
      <c r="RKK208" s="2"/>
      <c r="RKL208" s="2"/>
      <c r="RKM208" s="2"/>
      <c r="RKN208" s="2"/>
      <c r="RKO208" s="2"/>
      <c r="RKP208" s="2"/>
      <c r="RKQ208" s="2"/>
      <c r="RKR208" s="2"/>
      <c r="RKS208" s="2"/>
      <c r="RKT208" s="2"/>
      <c r="RKU208" s="2"/>
      <c r="RKV208" s="2"/>
      <c r="RKW208" s="2"/>
      <c r="RKX208" s="2"/>
      <c r="RKY208" s="2"/>
      <c r="RKZ208" s="2"/>
      <c r="RLA208" s="2"/>
      <c r="RLB208" s="2"/>
      <c r="RLC208" s="2"/>
      <c r="RLD208" s="2"/>
      <c r="RLE208" s="2"/>
      <c r="RLF208" s="2"/>
      <c r="RLG208" s="2"/>
      <c r="RLH208" s="2"/>
      <c r="RLI208" s="2"/>
      <c r="RLJ208" s="2"/>
      <c r="RLK208" s="2"/>
      <c r="RLL208" s="2"/>
      <c r="RLM208" s="2"/>
      <c r="RLN208" s="2"/>
      <c r="RLO208" s="2"/>
      <c r="RLP208" s="2"/>
      <c r="RLQ208" s="2"/>
      <c r="RLR208" s="2"/>
      <c r="RLS208" s="2"/>
      <c r="RLT208" s="2"/>
      <c r="RLU208" s="2"/>
      <c r="RLV208" s="2"/>
      <c r="RLW208" s="2"/>
      <c r="RLX208" s="2"/>
      <c r="RLY208" s="2"/>
      <c r="RLZ208" s="2"/>
      <c r="RMA208" s="2"/>
      <c r="RMB208" s="2"/>
      <c r="RMC208" s="2"/>
      <c r="RMD208" s="2"/>
      <c r="RME208" s="2"/>
      <c r="RMF208" s="2"/>
      <c r="RMG208" s="2"/>
      <c r="RMH208" s="2"/>
      <c r="RMI208" s="2"/>
      <c r="RMJ208" s="2"/>
      <c r="RMK208" s="2"/>
      <c r="RML208" s="2"/>
      <c r="RMM208" s="2"/>
      <c r="RMN208" s="2"/>
      <c r="RMO208" s="2"/>
      <c r="RMP208" s="2"/>
      <c r="RMQ208" s="2"/>
      <c r="RMR208" s="2"/>
      <c r="RMS208" s="2"/>
      <c r="RMT208" s="2"/>
      <c r="RMU208" s="2"/>
      <c r="RMV208" s="2"/>
      <c r="RMW208" s="2"/>
      <c r="RMX208" s="2"/>
      <c r="RMY208" s="2"/>
      <c r="RMZ208" s="2"/>
      <c r="RNA208" s="2"/>
      <c r="RNB208" s="2"/>
      <c r="RNC208" s="2"/>
      <c r="RND208" s="2"/>
      <c r="RNE208" s="2"/>
      <c r="RNF208" s="2"/>
      <c r="RNG208" s="2"/>
      <c r="RNH208" s="2"/>
      <c r="RNI208" s="2"/>
      <c r="RNJ208" s="2"/>
      <c r="RNK208" s="2"/>
      <c r="RNL208" s="2"/>
      <c r="RNM208" s="2"/>
      <c r="RNN208" s="2"/>
      <c r="RNO208" s="2"/>
      <c r="RNP208" s="2"/>
      <c r="RNQ208" s="2"/>
      <c r="RNR208" s="2"/>
      <c r="RNS208" s="2"/>
      <c r="RNT208" s="2"/>
      <c r="RNU208" s="2"/>
      <c r="RNV208" s="2"/>
      <c r="RNW208" s="2"/>
      <c r="RNX208" s="2"/>
      <c r="RNY208" s="2"/>
      <c r="RNZ208" s="2"/>
      <c r="ROA208" s="2"/>
      <c r="ROB208" s="2"/>
      <c r="ROC208" s="2"/>
      <c r="ROD208" s="2"/>
      <c r="ROE208" s="2"/>
      <c r="ROF208" s="2"/>
      <c r="ROG208" s="2"/>
      <c r="ROH208" s="2"/>
      <c r="ROI208" s="2"/>
      <c r="ROJ208" s="2"/>
      <c r="ROK208" s="2"/>
      <c r="ROL208" s="2"/>
      <c r="ROM208" s="2"/>
      <c r="RON208" s="2"/>
      <c r="ROO208" s="2"/>
      <c r="ROP208" s="2"/>
      <c r="ROQ208" s="2"/>
      <c r="ROR208" s="2"/>
      <c r="ROS208" s="2"/>
      <c r="ROT208" s="2"/>
      <c r="ROU208" s="2"/>
      <c r="ROV208" s="2"/>
      <c r="ROW208" s="2"/>
      <c r="ROX208" s="2"/>
      <c r="ROY208" s="2"/>
      <c r="ROZ208" s="2"/>
      <c r="RPA208" s="2"/>
      <c r="RPB208" s="2"/>
      <c r="RPC208" s="2"/>
      <c r="RPD208" s="2"/>
      <c r="RPE208" s="2"/>
      <c r="RPF208" s="2"/>
      <c r="RPG208" s="2"/>
      <c r="RPH208" s="2"/>
      <c r="RPI208" s="2"/>
      <c r="RPJ208" s="2"/>
      <c r="RPK208" s="2"/>
      <c r="RPL208" s="2"/>
      <c r="RPM208" s="2"/>
      <c r="RPN208" s="2"/>
      <c r="RPO208" s="2"/>
      <c r="RPP208" s="2"/>
      <c r="RPQ208" s="2"/>
      <c r="RPR208" s="2"/>
      <c r="RPS208" s="2"/>
      <c r="RPT208" s="2"/>
      <c r="RPU208" s="2"/>
      <c r="RPV208" s="2"/>
      <c r="RPW208" s="2"/>
      <c r="RPX208" s="2"/>
      <c r="RPY208" s="2"/>
      <c r="RPZ208" s="2"/>
      <c r="RQA208" s="2"/>
      <c r="RQB208" s="2"/>
      <c r="RQC208" s="2"/>
      <c r="RQD208" s="2"/>
      <c r="RQE208" s="2"/>
      <c r="RQF208" s="2"/>
      <c r="RQG208" s="2"/>
      <c r="RQH208" s="2"/>
      <c r="RQI208" s="2"/>
      <c r="RQJ208" s="2"/>
      <c r="RQK208" s="2"/>
      <c r="RQL208" s="2"/>
      <c r="RQM208" s="2"/>
      <c r="RQN208" s="2"/>
      <c r="RQO208" s="2"/>
      <c r="RQP208" s="2"/>
      <c r="RQQ208" s="2"/>
      <c r="RQR208" s="2"/>
      <c r="RQS208" s="2"/>
      <c r="RQT208" s="2"/>
      <c r="RQU208" s="2"/>
      <c r="RQV208" s="2"/>
      <c r="RQW208" s="2"/>
      <c r="RQX208" s="2"/>
      <c r="RQY208" s="2"/>
      <c r="RQZ208" s="2"/>
      <c r="RRA208" s="2"/>
      <c r="RRB208" s="2"/>
      <c r="RRC208" s="2"/>
      <c r="RRD208" s="2"/>
      <c r="RRE208" s="2"/>
      <c r="RRF208" s="2"/>
      <c r="RRG208" s="2"/>
      <c r="RRH208" s="2"/>
      <c r="RRI208" s="2"/>
      <c r="RRJ208" s="2"/>
      <c r="RRK208" s="2"/>
      <c r="RRL208" s="2"/>
      <c r="RRM208" s="2"/>
      <c r="RRN208" s="2"/>
      <c r="RRO208" s="2"/>
      <c r="RRP208" s="2"/>
      <c r="RRQ208" s="2"/>
      <c r="RRR208" s="2"/>
      <c r="RRS208" s="2"/>
      <c r="RRT208" s="2"/>
      <c r="RRU208" s="2"/>
      <c r="RRV208" s="2"/>
      <c r="RRW208" s="2"/>
      <c r="RRX208" s="2"/>
      <c r="RRY208" s="2"/>
      <c r="RRZ208" s="2"/>
      <c r="RSA208" s="2"/>
      <c r="RSB208" s="2"/>
      <c r="RSC208" s="2"/>
      <c r="RSD208" s="2"/>
      <c r="RSE208" s="2"/>
      <c r="RSF208" s="2"/>
      <c r="RSG208" s="2"/>
      <c r="RSH208" s="2"/>
      <c r="RSI208" s="2"/>
      <c r="RSJ208" s="2"/>
      <c r="RSK208" s="2"/>
      <c r="RSL208" s="2"/>
      <c r="RSM208" s="2"/>
      <c r="RSN208" s="2"/>
      <c r="RSO208" s="2"/>
      <c r="RSP208" s="2"/>
      <c r="RSQ208" s="2"/>
      <c r="RSR208" s="2"/>
      <c r="RSS208" s="2"/>
      <c r="RST208" s="2"/>
      <c r="RSU208" s="2"/>
      <c r="RSV208" s="2"/>
      <c r="RSW208" s="2"/>
      <c r="RSX208" s="2"/>
      <c r="RSY208" s="2"/>
      <c r="RSZ208" s="2"/>
      <c r="RTA208" s="2"/>
      <c r="RTB208" s="2"/>
      <c r="RTC208" s="2"/>
      <c r="RTD208" s="2"/>
      <c r="RTE208" s="2"/>
      <c r="RTF208" s="2"/>
      <c r="RTG208" s="2"/>
      <c r="RTH208" s="2"/>
      <c r="RTI208" s="2"/>
      <c r="RTJ208" s="2"/>
      <c r="RTK208" s="2"/>
      <c r="RTL208" s="2"/>
      <c r="RTM208" s="2"/>
      <c r="RTN208" s="2"/>
      <c r="RTO208" s="2"/>
      <c r="RTP208" s="2"/>
      <c r="RTQ208" s="2"/>
      <c r="RTR208" s="2"/>
      <c r="RTS208" s="2"/>
      <c r="RTT208" s="2"/>
      <c r="RTU208" s="2"/>
      <c r="RTV208" s="2"/>
      <c r="RTW208" s="2"/>
      <c r="RTX208" s="2"/>
      <c r="RTY208" s="2"/>
      <c r="RTZ208" s="2"/>
      <c r="RUA208" s="2"/>
      <c r="RUB208" s="2"/>
      <c r="RUC208" s="2"/>
      <c r="RUD208" s="2"/>
      <c r="RUE208" s="2"/>
      <c r="RUF208" s="2"/>
      <c r="RUG208" s="2"/>
      <c r="RUH208" s="2"/>
      <c r="RUI208" s="2"/>
      <c r="RUJ208" s="2"/>
      <c r="RUK208" s="2"/>
      <c r="RUL208" s="2"/>
      <c r="RUM208" s="2"/>
      <c r="RUN208" s="2"/>
      <c r="RUO208" s="2"/>
      <c r="RUP208" s="2"/>
      <c r="RUQ208" s="2"/>
      <c r="RUR208" s="2"/>
      <c r="RUS208" s="2"/>
      <c r="RUT208" s="2"/>
      <c r="RUU208" s="2"/>
      <c r="RUV208" s="2"/>
      <c r="RUW208" s="2"/>
      <c r="RUX208" s="2"/>
      <c r="RUY208" s="2"/>
      <c r="RUZ208" s="2"/>
      <c r="RVA208" s="2"/>
      <c r="RVB208" s="2"/>
      <c r="RVC208" s="2"/>
      <c r="RVD208" s="2"/>
      <c r="RVE208" s="2"/>
      <c r="RVF208" s="2"/>
      <c r="RVG208" s="2"/>
      <c r="RVH208" s="2"/>
      <c r="RVI208" s="2"/>
      <c r="RVJ208" s="2"/>
      <c r="RVK208" s="2"/>
      <c r="RVL208" s="2"/>
      <c r="RVM208" s="2"/>
      <c r="RVN208" s="2"/>
      <c r="RVO208" s="2"/>
      <c r="RVP208" s="2"/>
      <c r="RVQ208" s="2"/>
      <c r="RVR208" s="2"/>
      <c r="RVS208" s="2"/>
      <c r="RVT208" s="2"/>
      <c r="RVU208" s="2"/>
      <c r="RVV208" s="2"/>
      <c r="RVW208" s="2"/>
      <c r="RVX208" s="2"/>
      <c r="RVY208" s="2"/>
      <c r="RVZ208" s="2"/>
      <c r="RWA208" s="2"/>
      <c r="RWB208" s="2"/>
      <c r="RWC208" s="2"/>
      <c r="RWD208" s="2"/>
      <c r="RWE208" s="2"/>
      <c r="RWF208" s="2"/>
      <c r="RWG208" s="2"/>
      <c r="RWH208" s="2"/>
      <c r="RWI208" s="2"/>
      <c r="RWJ208" s="2"/>
      <c r="RWK208" s="2"/>
      <c r="RWL208" s="2"/>
      <c r="RWM208" s="2"/>
      <c r="RWN208" s="2"/>
      <c r="RWO208" s="2"/>
      <c r="RWP208" s="2"/>
      <c r="RWQ208" s="2"/>
      <c r="RWR208" s="2"/>
      <c r="RWS208" s="2"/>
      <c r="RWT208" s="2"/>
      <c r="RWU208" s="2"/>
      <c r="RWV208" s="2"/>
      <c r="RWW208" s="2"/>
      <c r="RWX208" s="2"/>
      <c r="RWY208" s="2"/>
      <c r="RWZ208" s="2"/>
      <c r="RXA208" s="2"/>
      <c r="RXB208" s="2"/>
      <c r="RXC208" s="2"/>
      <c r="RXD208" s="2"/>
      <c r="RXE208" s="2"/>
      <c r="RXF208" s="2"/>
      <c r="RXG208" s="2"/>
      <c r="RXH208" s="2"/>
      <c r="RXI208" s="2"/>
      <c r="RXJ208" s="2"/>
      <c r="RXK208" s="2"/>
      <c r="RXL208" s="2"/>
      <c r="RXM208" s="2"/>
      <c r="RXN208" s="2"/>
      <c r="RXO208" s="2"/>
      <c r="RXP208" s="2"/>
      <c r="RXQ208" s="2"/>
      <c r="RXR208" s="2"/>
      <c r="RXS208" s="2"/>
      <c r="RXT208" s="2"/>
      <c r="RXU208" s="2"/>
      <c r="RXV208" s="2"/>
      <c r="RXW208" s="2"/>
      <c r="RXX208" s="2"/>
      <c r="RXY208" s="2"/>
      <c r="RXZ208" s="2"/>
      <c r="RYA208" s="2"/>
      <c r="RYB208" s="2"/>
      <c r="RYC208" s="2"/>
      <c r="RYD208" s="2"/>
      <c r="RYE208" s="2"/>
      <c r="RYF208" s="2"/>
      <c r="RYG208" s="2"/>
      <c r="RYH208" s="2"/>
      <c r="RYI208" s="2"/>
      <c r="RYJ208" s="2"/>
      <c r="RYK208" s="2"/>
      <c r="RYL208" s="2"/>
      <c r="RYM208" s="2"/>
      <c r="RYN208" s="2"/>
      <c r="RYO208" s="2"/>
      <c r="RYP208" s="2"/>
      <c r="RYQ208" s="2"/>
      <c r="RYR208" s="2"/>
      <c r="RYS208" s="2"/>
      <c r="RYT208" s="2"/>
      <c r="RYU208" s="2"/>
      <c r="RYV208" s="2"/>
      <c r="RYW208" s="2"/>
      <c r="RYX208" s="2"/>
      <c r="RYY208" s="2"/>
      <c r="RYZ208" s="2"/>
      <c r="RZA208" s="2"/>
      <c r="RZB208" s="2"/>
      <c r="RZC208" s="2"/>
      <c r="RZD208" s="2"/>
      <c r="RZE208" s="2"/>
      <c r="RZF208" s="2"/>
      <c r="RZG208" s="2"/>
      <c r="RZH208" s="2"/>
      <c r="RZI208" s="2"/>
      <c r="RZJ208" s="2"/>
      <c r="RZK208" s="2"/>
      <c r="RZL208" s="2"/>
      <c r="RZM208" s="2"/>
      <c r="RZN208" s="2"/>
      <c r="RZO208" s="2"/>
      <c r="RZP208" s="2"/>
      <c r="RZQ208" s="2"/>
      <c r="RZR208" s="2"/>
      <c r="RZS208" s="2"/>
      <c r="RZT208" s="2"/>
      <c r="RZU208" s="2"/>
      <c r="RZV208" s="2"/>
      <c r="RZW208" s="2"/>
      <c r="RZX208" s="2"/>
      <c r="RZY208" s="2"/>
      <c r="RZZ208" s="2"/>
      <c r="SAA208" s="2"/>
      <c r="SAB208" s="2"/>
      <c r="SAC208" s="2"/>
      <c r="SAD208" s="2"/>
      <c r="SAE208" s="2"/>
      <c r="SAF208" s="2"/>
      <c r="SAG208" s="2"/>
      <c r="SAH208" s="2"/>
      <c r="SAI208" s="2"/>
      <c r="SAJ208" s="2"/>
      <c r="SAK208" s="2"/>
      <c r="SAL208" s="2"/>
      <c r="SAM208" s="2"/>
      <c r="SAN208" s="2"/>
      <c r="SAO208" s="2"/>
      <c r="SAP208" s="2"/>
      <c r="SAQ208" s="2"/>
      <c r="SAR208" s="2"/>
      <c r="SAS208" s="2"/>
      <c r="SAT208" s="2"/>
      <c r="SAU208" s="2"/>
      <c r="SAV208" s="2"/>
      <c r="SAW208" s="2"/>
      <c r="SAX208" s="2"/>
      <c r="SAY208" s="2"/>
      <c r="SAZ208" s="2"/>
      <c r="SBA208" s="2"/>
      <c r="SBB208" s="2"/>
      <c r="SBC208" s="2"/>
      <c r="SBD208" s="2"/>
      <c r="SBE208" s="2"/>
      <c r="SBF208" s="2"/>
      <c r="SBG208" s="2"/>
      <c r="SBH208" s="2"/>
      <c r="SBI208" s="2"/>
      <c r="SBJ208" s="2"/>
      <c r="SBK208" s="2"/>
      <c r="SBL208" s="2"/>
      <c r="SBM208" s="2"/>
      <c r="SBN208" s="2"/>
      <c r="SBO208" s="2"/>
      <c r="SBP208" s="2"/>
      <c r="SBQ208" s="2"/>
      <c r="SBR208" s="2"/>
      <c r="SBS208" s="2"/>
      <c r="SBT208" s="2"/>
      <c r="SBU208" s="2"/>
      <c r="SBV208" s="2"/>
      <c r="SBW208" s="2"/>
      <c r="SBX208" s="2"/>
      <c r="SBY208" s="2"/>
      <c r="SBZ208" s="2"/>
      <c r="SCA208" s="2"/>
      <c r="SCB208" s="2"/>
      <c r="SCC208" s="2"/>
      <c r="SCD208" s="2"/>
      <c r="SCE208" s="2"/>
      <c r="SCF208" s="2"/>
      <c r="SCG208" s="2"/>
      <c r="SCH208" s="2"/>
      <c r="SCI208" s="2"/>
      <c r="SCJ208" s="2"/>
      <c r="SCK208" s="2"/>
      <c r="SCL208" s="2"/>
      <c r="SCM208" s="2"/>
      <c r="SCN208" s="2"/>
      <c r="SCO208" s="2"/>
      <c r="SCP208" s="2"/>
      <c r="SCQ208" s="2"/>
      <c r="SCR208" s="2"/>
      <c r="SCS208" s="2"/>
      <c r="SCT208" s="2"/>
      <c r="SCU208" s="2"/>
      <c r="SCV208" s="2"/>
      <c r="SCW208" s="2"/>
      <c r="SCX208" s="2"/>
      <c r="SCY208" s="2"/>
      <c r="SCZ208" s="2"/>
      <c r="SDA208" s="2"/>
      <c r="SDB208" s="2"/>
      <c r="SDC208" s="2"/>
      <c r="SDD208" s="2"/>
      <c r="SDE208" s="2"/>
      <c r="SDF208" s="2"/>
      <c r="SDG208" s="2"/>
      <c r="SDH208" s="2"/>
      <c r="SDI208" s="2"/>
      <c r="SDJ208" s="2"/>
      <c r="SDK208" s="2"/>
      <c r="SDL208" s="2"/>
      <c r="SDM208" s="2"/>
      <c r="SDN208" s="2"/>
      <c r="SDO208" s="2"/>
      <c r="SDP208" s="2"/>
      <c r="SDQ208" s="2"/>
      <c r="SDR208" s="2"/>
      <c r="SDS208" s="2"/>
      <c r="SDT208" s="2"/>
      <c r="SDU208" s="2"/>
      <c r="SDV208" s="2"/>
      <c r="SDW208" s="2"/>
      <c r="SDX208" s="2"/>
      <c r="SDY208" s="2"/>
      <c r="SDZ208" s="2"/>
      <c r="SEA208" s="2"/>
      <c r="SEB208" s="2"/>
      <c r="SEC208" s="2"/>
      <c r="SED208" s="2"/>
      <c r="SEE208" s="2"/>
      <c r="SEF208" s="2"/>
      <c r="SEG208" s="2"/>
      <c r="SEH208" s="2"/>
      <c r="SEI208" s="2"/>
      <c r="SEJ208" s="2"/>
      <c r="SEK208" s="2"/>
      <c r="SEL208" s="2"/>
      <c r="SEM208" s="2"/>
      <c r="SEN208" s="2"/>
      <c r="SEO208" s="2"/>
      <c r="SEP208" s="2"/>
      <c r="SEQ208" s="2"/>
      <c r="SER208" s="2"/>
      <c r="SES208" s="2"/>
      <c r="SET208" s="2"/>
      <c r="SEU208" s="2"/>
      <c r="SEV208" s="2"/>
      <c r="SEW208" s="2"/>
      <c r="SEX208" s="2"/>
      <c r="SEY208" s="2"/>
      <c r="SEZ208" s="2"/>
      <c r="SFA208" s="2"/>
      <c r="SFB208" s="2"/>
      <c r="SFC208" s="2"/>
      <c r="SFD208" s="2"/>
      <c r="SFE208" s="2"/>
      <c r="SFF208" s="2"/>
      <c r="SFG208" s="2"/>
      <c r="SFH208" s="2"/>
      <c r="SFI208" s="2"/>
      <c r="SFJ208" s="2"/>
      <c r="SFK208" s="2"/>
      <c r="SFL208" s="2"/>
      <c r="SFM208" s="2"/>
      <c r="SFN208" s="2"/>
      <c r="SFO208" s="2"/>
      <c r="SFP208" s="2"/>
      <c r="SFQ208" s="2"/>
      <c r="SFR208" s="2"/>
      <c r="SFS208" s="2"/>
      <c r="SFT208" s="2"/>
      <c r="SFU208" s="2"/>
      <c r="SFV208" s="2"/>
      <c r="SFW208" s="2"/>
      <c r="SFX208" s="2"/>
      <c r="SFY208" s="2"/>
      <c r="SFZ208" s="2"/>
      <c r="SGA208" s="2"/>
      <c r="SGB208" s="2"/>
      <c r="SGC208" s="2"/>
      <c r="SGD208" s="2"/>
      <c r="SGE208" s="2"/>
      <c r="SGF208" s="2"/>
      <c r="SGG208" s="2"/>
      <c r="SGH208" s="2"/>
      <c r="SGI208" s="2"/>
      <c r="SGJ208" s="2"/>
      <c r="SGK208" s="2"/>
      <c r="SGL208" s="2"/>
      <c r="SGM208" s="2"/>
      <c r="SGN208" s="2"/>
      <c r="SGO208" s="2"/>
      <c r="SGP208" s="2"/>
      <c r="SGQ208" s="2"/>
      <c r="SGR208" s="2"/>
      <c r="SGS208" s="2"/>
      <c r="SGT208" s="2"/>
      <c r="SGU208" s="2"/>
      <c r="SGV208" s="2"/>
      <c r="SGW208" s="2"/>
      <c r="SGX208" s="2"/>
      <c r="SGY208" s="2"/>
      <c r="SGZ208" s="2"/>
      <c r="SHA208" s="2"/>
      <c r="SHB208" s="2"/>
      <c r="SHC208" s="2"/>
      <c r="SHD208" s="2"/>
      <c r="SHE208" s="2"/>
      <c r="SHF208" s="2"/>
      <c r="SHG208" s="2"/>
      <c r="SHH208" s="2"/>
      <c r="SHI208" s="2"/>
      <c r="SHJ208" s="2"/>
      <c r="SHK208" s="2"/>
      <c r="SHL208" s="2"/>
      <c r="SHM208" s="2"/>
      <c r="SHN208" s="2"/>
      <c r="SHO208" s="2"/>
      <c r="SHP208" s="2"/>
      <c r="SHQ208" s="2"/>
      <c r="SHR208" s="2"/>
      <c r="SHS208" s="2"/>
      <c r="SHT208" s="2"/>
      <c r="SHU208" s="2"/>
      <c r="SHV208" s="2"/>
      <c r="SHW208" s="2"/>
      <c r="SHX208" s="2"/>
      <c r="SHY208" s="2"/>
      <c r="SHZ208" s="2"/>
      <c r="SIA208" s="2"/>
      <c r="SIB208" s="2"/>
      <c r="SIC208" s="2"/>
      <c r="SID208" s="2"/>
      <c r="SIE208" s="2"/>
      <c r="SIF208" s="2"/>
      <c r="SIG208" s="2"/>
      <c r="SIH208" s="2"/>
      <c r="SII208" s="2"/>
      <c r="SIJ208" s="2"/>
      <c r="SIK208" s="2"/>
      <c r="SIL208" s="2"/>
      <c r="SIM208" s="2"/>
      <c r="SIN208" s="2"/>
      <c r="SIO208" s="2"/>
      <c r="SIP208" s="2"/>
      <c r="SIQ208" s="2"/>
      <c r="SIR208" s="2"/>
      <c r="SIS208" s="2"/>
      <c r="SIT208" s="2"/>
      <c r="SIU208" s="2"/>
      <c r="SIV208" s="2"/>
      <c r="SIW208" s="2"/>
      <c r="SIX208" s="2"/>
      <c r="SIY208" s="2"/>
      <c r="SIZ208" s="2"/>
      <c r="SJA208" s="2"/>
      <c r="SJB208" s="2"/>
      <c r="SJC208" s="2"/>
      <c r="SJD208" s="2"/>
      <c r="SJE208" s="2"/>
      <c r="SJF208" s="2"/>
      <c r="SJG208" s="2"/>
      <c r="SJH208" s="2"/>
      <c r="SJI208" s="2"/>
      <c r="SJJ208" s="2"/>
      <c r="SJK208" s="2"/>
      <c r="SJL208" s="2"/>
      <c r="SJM208" s="2"/>
      <c r="SJN208" s="2"/>
      <c r="SJO208" s="2"/>
      <c r="SJP208" s="2"/>
      <c r="SJQ208" s="2"/>
      <c r="SJR208" s="2"/>
      <c r="SJS208" s="2"/>
      <c r="SJT208" s="2"/>
      <c r="SJU208" s="2"/>
      <c r="SJV208" s="2"/>
      <c r="SJW208" s="2"/>
      <c r="SJX208" s="2"/>
      <c r="SJY208" s="2"/>
      <c r="SJZ208" s="2"/>
      <c r="SKA208" s="2"/>
      <c r="SKB208" s="2"/>
      <c r="SKC208" s="2"/>
      <c r="SKD208" s="2"/>
      <c r="SKE208" s="2"/>
      <c r="SKF208" s="2"/>
      <c r="SKG208" s="2"/>
      <c r="SKH208" s="2"/>
      <c r="SKI208" s="2"/>
      <c r="SKJ208" s="2"/>
      <c r="SKK208" s="2"/>
      <c r="SKL208" s="2"/>
      <c r="SKM208" s="2"/>
      <c r="SKN208" s="2"/>
      <c r="SKO208" s="2"/>
      <c r="SKP208" s="2"/>
      <c r="SKQ208" s="2"/>
      <c r="SKR208" s="2"/>
      <c r="SKS208" s="2"/>
      <c r="SKT208" s="2"/>
      <c r="SKU208" s="2"/>
      <c r="SKV208" s="2"/>
      <c r="SKW208" s="2"/>
      <c r="SKX208" s="2"/>
      <c r="SKY208" s="2"/>
      <c r="SKZ208" s="2"/>
      <c r="SLA208" s="2"/>
      <c r="SLB208" s="2"/>
      <c r="SLC208" s="2"/>
      <c r="SLD208" s="2"/>
      <c r="SLE208" s="2"/>
      <c r="SLF208" s="2"/>
      <c r="SLG208" s="2"/>
      <c r="SLH208" s="2"/>
      <c r="SLI208" s="2"/>
      <c r="SLJ208" s="2"/>
      <c r="SLK208" s="2"/>
      <c r="SLL208" s="2"/>
      <c r="SLM208" s="2"/>
      <c r="SLN208" s="2"/>
      <c r="SLO208" s="2"/>
      <c r="SLP208" s="2"/>
      <c r="SLQ208" s="2"/>
      <c r="SLR208" s="2"/>
      <c r="SLS208" s="2"/>
      <c r="SLT208" s="2"/>
      <c r="SLU208" s="2"/>
      <c r="SLV208" s="2"/>
      <c r="SLW208" s="2"/>
      <c r="SLX208" s="2"/>
      <c r="SLY208" s="2"/>
      <c r="SLZ208" s="2"/>
      <c r="SMA208" s="2"/>
      <c r="SMB208" s="2"/>
      <c r="SMC208" s="2"/>
      <c r="SMD208" s="2"/>
      <c r="SME208" s="2"/>
      <c r="SMF208" s="2"/>
      <c r="SMG208" s="2"/>
      <c r="SMH208" s="2"/>
      <c r="SMI208" s="2"/>
      <c r="SMJ208" s="2"/>
      <c r="SMK208" s="2"/>
      <c r="SML208" s="2"/>
      <c r="SMM208" s="2"/>
      <c r="SMN208" s="2"/>
      <c r="SMO208" s="2"/>
      <c r="SMP208" s="2"/>
      <c r="SMQ208" s="2"/>
      <c r="SMR208" s="2"/>
      <c r="SMS208" s="2"/>
      <c r="SMT208" s="2"/>
      <c r="SMU208" s="2"/>
      <c r="SMV208" s="2"/>
      <c r="SMW208" s="2"/>
      <c r="SMX208" s="2"/>
      <c r="SMY208" s="2"/>
      <c r="SMZ208" s="2"/>
      <c r="SNA208" s="2"/>
      <c r="SNB208" s="2"/>
      <c r="SNC208" s="2"/>
      <c r="SND208" s="2"/>
      <c r="SNE208" s="2"/>
      <c r="SNF208" s="2"/>
      <c r="SNG208" s="2"/>
      <c r="SNH208" s="2"/>
      <c r="SNI208" s="2"/>
      <c r="SNJ208" s="2"/>
      <c r="SNK208" s="2"/>
      <c r="SNL208" s="2"/>
      <c r="SNM208" s="2"/>
      <c r="SNN208" s="2"/>
      <c r="SNO208" s="2"/>
      <c r="SNP208" s="2"/>
      <c r="SNQ208" s="2"/>
      <c r="SNR208" s="2"/>
      <c r="SNS208" s="2"/>
      <c r="SNT208" s="2"/>
      <c r="SNU208" s="2"/>
      <c r="SNV208" s="2"/>
      <c r="SNW208" s="2"/>
      <c r="SNX208" s="2"/>
      <c r="SNY208" s="2"/>
      <c r="SNZ208" s="2"/>
      <c r="SOA208" s="2"/>
      <c r="SOB208" s="2"/>
      <c r="SOC208" s="2"/>
      <c r="SOD208" s="2"/>
      <c r="SOE208" s="2"/>
      <c r="SOF208" s="2"/>
      <c r="SOG208" s="2"/>
      <c r="SOH208" s="2"/>
      <c r="SOI208" s="2"/>
      <c r="SOJ208" s="2"/>
      <c r="SOK208" s="2"/>
      <c r="SOL208" s="2"/>
      <c r="SOM208" s="2"/>
      <c r="SON208" s="2"/>
      <c r="SOO208" s="2"/>
      <c r="SOP208" s="2"/>
      <c r="SOQ208" s="2"/>
      <c r="SOR208" s="2"/>
      <c r="SOS208" s="2"/>
      <c r="SOT208" s="2"/>
      <c r="SOU208" s="2"/>
      <c r="SOV208" s="2"/>
      <c r="SOW208" s="2"/>
      <c r="SOX208" s="2"/>
      <c r="SOY208" s="2"/>
      <c r="SOZ208" s="2"/>
      <c r="SPA208" s="2"/>
      <c r="SPB208" s="2"/>
      <c r="SPC208" s="2"/>
      <c r="SPD208" s="2"/>
      <c r="SPE208" s="2"/>
      <c r="SPF208" s="2"/>
      <c r="SPG208" s="2"/>
      <c r="SPH208" s="2"/>
      <c r="SPI208" s="2"/>
      <c r="SPJ208" s="2"/>
      <c r="SPK208" s="2"/>
      <c r="SPL208" s="2"/>
      <c r="SPM208" s="2"/>
      <c r="SPN208" s="2"/>
      <c r="SPO208" s="2"/>
      <c r="SPP208" s="2"/>
      <c r="SPQ208" s="2"/>
      <c r="SPR208" s="2"/>
      <c r="SPS208" s="2"/>
      <c r="SPT208" s="2"/>
      <c r="SPU208" s="2"/>
      <c r="SPV208" s="2"/>
      <c r="SPW208" s="2"/>
      <c r="SPX208" s="2"/>
      <c r="SPY208" s="2"/>
      <c r="SPZ208" s="2"/>
      <c r="SQA208" s="2"/>
      <c r="SQB208" s="2"/>
      <c r="SQC208" s="2"/>
      <c r="SQD208" s="2"/>
      <c r="SQE208" s="2"/>
      <c r="SQF208" s="2"/>
      <c r="SQG208" s="2"/>
      <c r="SQH208" s="2"/>
      <c r="SQI208" s="2"/>
      <c r="SQJ208" s="2"/>
      <c r="SQK208" s="2"/>
      <c r="SQL208" s="2"/>
      <c r="SQM208" s="2"/>
      <c r="SQN208" s="2"/>
      <c r="SQO208" s="2"/>
      <c r="SQP208" s="2"/>
      <c r="SQQ208" s="2"/>
      <c r="SQR208" s="2"/>
      <c r="SQS208" s="2"/>
      <c r="SQT208" s="2"/>
      <c r="SQU208" s="2"/>
      <c r="SQV208" s="2"/>
      <c r="SQW208" s="2"/>
      <c r="SQX208" s="2"/>
      <c r="SQY208" s="2"/>
      <c r="SQZ208" s="2"/>
      <c r="SRA208" s="2"/>
      <c r="SRB208" s="2"/>
      <c r="SRC208" s="2"/>
      <c r="SRD208" s="2"/>
      <c r="SRE208" s="2"/>
      <c r="SRF208" s="2"/>
      <c r="SRG208" s="2"/>
      <c r="SRH208" s="2"/>
      <c r="SRI208" s="2"/>
      <c r="SRJ208" s="2"/>
      <c r="SRK208" s="2"/>
      <c r="SRL208" s="2"/>
      <c r="SRM208" s="2"/>
      <c r="SRN208" s="2"/>
      <c r="SRO208" s="2"/>
      <c r="SRP208" s="2"/>
      <c r="SRQ208" s="2"/>
      <c r="SRR208" s="2"/>
      <c r="SRS208" s="2"/>
      <c r="SRT208" s="2"/>
      <c r="SRU208" s="2"/>
      <c r="SRV208" s="2"/>
      <c r="SRW208" s="2"/>
      <c r="SRX208" s="2"/>
      <c r="SRY208" s="2"/>
      <c r="SRZ208" s="2"/>
      <c r="SSA208" s="2"/>
      <c r="SSB208" s="2"/>
      <c r="SSC208" s="2"/>
      <c r="SSD208" s="2"/>
      <c r="SSE208" s="2"/>
      <c r="SSF208" s="2"/>
      <c r="SSG208" s="2"/>
      <c r="SSH208" s="2"/>
      <c r="SSI208" s="2"/>
      <c r="SSJ208" s="2"/>
      <c r="SSK208" s="2"/>
      <c r="SSL208" s="2"/>
      <c r="SSM208" s="2"/>
      <c r="SSN208" s="2"/>
      <c r="SSO208" s="2"/>
      <c r="SSP208" s="2"/>
      <c r="SSQ208" s="2"/>
      <c r="SSR208" s="2"/>
      <c r="SSS208" s="2"/>
      <c r="SST208" s="2"/>
      <c r="SSU208" s="2"/>
      <c r="SSV208" s="2"/>
      <c r="SSW208" s="2"/>
      <c r="SSX208" s="2"/>
      <c r="SSY208" s="2"/>
      <c r="SSZ208" s="2"/>
      <c r="STA208" s="2"/>
      <c r="STB208" s="2"/>
      <c r="STC208" s="2"/>
      <c r="STD208" s="2"/>
      <c r="STE208" s="2"/>
      <c r="STF208" s="2"/>
      <c r="STG208" s="2"/>
      <c r="STH208" s="2"/>
      <c r="STI208" s="2"/>
      <c r="STJ208" s="2"/>
      <c r="STK208" s="2"/>
      <c r="STL208" s="2"/>
      <c r="STM208" s="2"/>
      <c r="STN208" s="2"/>
      <c r="STO208" s="2"/>
      <c r="STP208" s="2"/>
      <c r="STQ208" s="2"/>
      <c r="STR208" s="2"/>
      <c r="STS208" s="2"/>
      <c r="STT208" s="2"/>
      <c r="STU208" s="2"/>
      <c r="STV208" s="2"/>
      <c r="STW208" s="2"/>
      <c r="STX208" s="2"/>
      <c r="STY208" s="2"/>
      <c r="STZ208" s="2"/>
      <c r="SUA208" s="2"/>
      <c r="SUB208" s="2"/>
      <c r="SUC208" s="2"/>
      <c r="SUD208" s="2"/>
      <c r="SUE208" s="2"/>
      <c r="SUF208" s="2"/>
      <c r="SUG208" s="2"/>
      <c r="SUH208" s="2"/>
      <c r="SUI208" s="2"/>
      <c r="SUJ208" s="2"/>
      <c r="SUK208" s="2"/>
      <c r="SUL208" s="2"/>
      <c r="SUM208" s="2"/>
      <c r="SUN208" s="2"/>
      <c r="SUO208" s="2"/>
      <c r="SUP208" s="2"/>
      <c r="SUQ208" s="2"/>
      <c r="SUR208" s="2"/>
      <c r="SUS208" s="2"/>
      <c r="SUT208" s="2"/>
      <c r="SUU208" s="2"/>
      <c r="SUV208" s="2"/>
      <c r="SUW208" s="2"/>
      <c r="SUX208" s="2"/>
      <c r="SUY208" s="2"/>
      <c r="SUZ208" s="2"/>
      <c r="SVA208" s="2"/>
      <c r="SVB208" s="2"/>
      <c r="SVC208" s="2"/>
      <c r="SVD208" s="2"/>
      <c r="SVE208" s="2"/>
      <c r="SVF208" s="2"/>
      <c r="SVG208" s="2"/>
      <c r="SVH208" s="2"/>
      <c r="SVI208" s="2"/>
      <c r="SVJ208" s="2"/>
      <c r="SVK208" s="2"/>
      <c r="SVL208" s="2"/>
      <c r="SVM208" s="2"/>
      <c r="SVN208" s="2"/>
      <c r="SVO208" s="2"/>
      <c r="SVP208" s="2"/>
      <c r="SVQ208" s="2"/>
      <c r="SVR208" s="2"/>
      <c r="SVS208" s="2"/>
      <c r="SVT208" s="2"/>
      <c r="SVU208" s="2"/>
      <c r="SVV208" s="2"/>
      <c r="SVW208" s="2"/>
      <c r="SVX208" s="2"/>
      <c r="SVY208" s="2"/>
      <c r="SVZ208" s="2"/>
      <c r="SWA208" s="2"/>
      <c r="SWB208" s="2"/>
      <c r="SWC208" s="2"/>
      <c r="SWD208" s="2"/>
      <c r="SWE208" s="2"/>
      <c r="SWF208" s="2"/>
      <c r="SWG208" s="2"/>
      <c r="SWH208" s="2"/>
      <c r="SWI208" s="2"/>
      <c r="SWJ208" s="2"/>
      <c r="SWK208" s="2"/>
      <c r="SWL208" s="2"/>
      <c r="SWM208" s="2"/>
      <c r="SWN208" s="2"/>
      <c r="SWO208" s="2"/>
      <c r="SWP208" s="2"/>
      <c r="SWQ208" s="2"/>
      <c r="SWR208" s="2"/>
      <c r="SWS208" s="2"/>
      <c r="SWT208" s="2"/>
      <c r="SWU208" s="2"/>
      <c r="SWV208" s="2"/>
      <c r="SWW208" s="2"/>
      <c r="SWX208" s="2"/>
      <c r="SWY208" s="2"/>
      <c r="SWZ208" s="2"/>
      <c r="SXA208" s="2"/>
      <c r="SXB208" s="2"/>
      <c r="SXC208" s="2"/>
      <c r="SXD208" s="2"/>
      <c r="SXE208" s="2"/>
      <c r="SXF208" s="2"/>
      <c r="SXG208" s="2"/>
      <c r="SXH208" s="2"/>
      <c r="SXI208" s="2"/>
      <c r="SXJ208" s="2"/>
      <c r="SXK208" s="2"/>
      <c r="SXL208" s="2"/>
      <c r="SXM208" s="2"/>
      <c r="SXN208" s="2"/>
      <c r="SXO208" s="2"/>
      <c r="SXP208" s="2"/>
      <c r="SXQ208" s="2"/>
      <c r="SXR208" s="2"/>
      <c r="SXS208" s="2"/>
      <c r="SXT208" s="2"/>
      <c r="SXU208" s="2"/>
      <c r="SXV208" s="2"/>
      <c r="SXW208" s="2"/>
      <c r="SXX208" s="2"/>
      <c r="SXY208" s="2"/>
      <c r="SXZ208" s="2"/>
      <c r="SYA208" s="2"/>
      <c r="SYB208" s="2"/>
      <c r="SYC208" s="2"/>
      <c r="SYD208" s="2"/>
      <c r="SYE208" s="2"/>
      <c r="SYF208" s="2"/>
      <c r="SYG208" s="2"/>
      <c r="SYH208" s="2"/>
      <c r="SYI208" s="2"/>
      <c r="SYJ208" s="2"/>
      <c r="SYK208" s="2"/>
      <c r="SYL208" s="2"/>
      <c r="SYM208" s="2"/>
      <c r="SYN208" s="2"/>
      <c r="SYO208" s="2"/>
      <c r="SYP208" s="2"/>
      <c r="SYQ208" s="2"/>
      <c r="SYR208" s="2"/>
      <c r="SYS208" s="2"/>
      <c r="SYT208" s="2"/>
      <c r="SYU208" s="2"/>
      <c r="SYV208" s="2"/>
      <c r="SYW208" s="2"/>
      <c r="SYX208" s="2"/>
      <c r="SYY208" s="2"/>
      <c r="SYZ208" s="2"/>
      <c r="SZA208" s="2"/>
      <c r="SZB208" s="2"/>
      <c r="SZC208" s="2"/>
      <c r="SZD208" s="2"/>
      <c r="SZE208" s="2"/>
      <c r="SZF208" s="2"/>
      <c r="SZG208" s="2"/>
      <c r="SZH208" s="2"/>
      <c r="SZI208" s="2"/>
      <c r="SZJ208" s="2"/>
      <c r="SZK208" s="2"/>
      <c r="SZL208" s="2"/>
      <c r="SZM208" s="2"/>
      <c r="SZN208" s="2"/>
      <c r="SZO208" s="2"/>
      <c r="SZP208" s="2"/>
      <c r="SZQ208" s="2"/>
      <c r="SZR208" s="2"/>
      <c r="SZS208" s="2"/>
      <c r="SZT208" s="2"/>
      <c r="SZU208" s="2"/>
      <c r="SZV208" s="2"/>
      <c r="SZW208" s="2"/>
      <c r="SZX208" s="2"/>
      <c r="SZY208" s="2"/>
      <c r="SZZ208" s="2"/>
      <c r="TAA208" s="2"/>
      <c r="TAB208" s="2"/>
      <c r="TAC208" s="2"/>
      <c r="TAD208" s="2"/>
      <c r="TAE208" s="2"/>
      <c r="TAF208" s="2"/>
      <c r="TAG208" s="2"/>
      <c r="TAH208" s="2"/>
      <c r="TAI208" s="2"/>
      <c r="TAJ208" s="2"/>
      <c r="TAK208" s="2"/>
      <c r="TAL208" s="2"/>
      <c r="TAM208" s="2"/>
      <c r="TAN208" s="2"/>
      <c r="TAO208" s="2"/>
      <c r="TAP208" s="2"/>
      <c r="TAQ208" s="2"/>
      <c r="TAR208" s="2"/>
      <c r="TAS208" s="2"/>
      <c r="TAT208" s="2"/>
      <c r="TAU208" s="2"/>
      <c r="TAV208" s="2"/>
      <c r="TAW208" s="2"/>
      <c r="TAX208" s="2"/>
      <c r="TAY208" s="2"/>
      <c r="TAZ208" s="2"/>
      <c r="TBA208" s="2"/>
      <c r="TBB208" s="2"/>
      <c r="TBC208" s="2"/>
      <c r="TBD208" s="2"/>
      <c r="TBE208" s="2"/>
      <c r="TBF208" s="2"/>
      <c r="TBG208" s="2"/>
      <c r="TBH208" s="2"/>
      <c r="TBI208" s="2"/>
      <c r="TBJ208" s="2"/>
      <c r="TBK208" s="2"/>
      <c r="TBL208" s="2"/>
      <c r="TBM208" s="2"/>
      <c r="TBN208" s="2"/>
      <c r="TBO208" s="2"/>
      <c r="TBP208" s="2"/>
      <c r="TBQ208" s="2"/>
      <c r="TBR208" s="2"/>
      <c r="TBS208" s="2"/>
      <c r="TBT208" s="2"/>
      <c r="TBU208" s="2"/>
      <c r="TBV208" s="2"/>
      <c r="TBW208" s="2"/>
      <c r="TBX208" s="2"/>
      <c r="TBY208" s="2"/>
      <c r="TBZ208" s="2"/>
      <c r="TCA208" s="2"/>
      <c r="TCB208" s="2"/>
      <c r="TCC208" s="2"/>
      <c r="TCD208" s="2"/>
      <c r="TCE208" s="2"/>
      <c r="TCF208" s="2"/>
      <c r="TCG208" s="2"/>
      <c r="TCH208" s="2"/>
      <c r="TCI208" s="2"/>
      <c r="TCJ208" s="2"/>
      <c r="TCK208" s="2"/>
      <c r="TCL208" s="2"/>
      <c r="TCM208" s="2"/>
      <c r="TCN208" s="2"/>
      <c r="TCO208" s="2"/>
      <c r="TCP208" s="2"/>
      <c r="TCQ208" s="2"/>
      <c r="TCR208" s="2"/>
      <c r="TCS208" s="2"/>
      <c r="TCT208" s="2"/>
      <c r="TCU208" s="2"/>
      <c r="TCV208" s="2"/>
      <c r="TCW208" s="2"/>
      <c r="TCX208" s="2"/>
      <c r="TCY208" s="2"/>
      <c r="TCZ208" s="2"/>
      <c r="TDA208" s="2"/>
      <c r="TDB208" s="2"/>
      <c r="TDC208" s="2"/>
      <c r="TDD208" s="2"/>
      <c r="TDE208" s="2"/>
      <c r="TDF208" s="2"/>
      <c r="TDG208" s="2"/>
      <c r="TDH208" s="2"/>
      <c r="TDI208" s="2"/>
      <c r="TDJ208" s="2"/>
      <c r="TDK208" s="2"/>
      <c r="TDL208" s="2"/>
      <c r="TDM208" s="2"/>
      <c r="TDN208" s="2"/>
      <c r="TDO208" s="2"/>
      <c r="TDP208" s="2"/>
      <c r="TDQ208" s="2"/>
      <c r="TDR208" s="2"/>
      <c r="TDS208" s="2"/>
      <c r="TDT208" s="2"/>
      <c r="TDU208" s="2"/>
      <c r="TDV208" s="2"/>
      <c r="TDW208" s="2"/>
      <c r="TDX208" s="2"/>
      <c r="TDY208" s="2"/>
      <c r="TDZ208" s="2"/>
      <c r="TEA208" s="2"/>
      <c r="TEB208" s="2"/>
      <c r="TEC208" s="2"/>
      <c r="TED208" s="2"/>
      <c r="TEE208" s="2"/>
      <c r="TEF208" s="2"/>
      <c r="TEG208" s="2"/>
      <c r="TEH208" s="2"/>
      <c r="TEI208" s="2"/>
      <c r="TEJ208" s="2"/>
      <c r="TEK208" s="2"/>
      <c r="TEL208" s="2"/>
      <c r="TEM208" s="2"/>
      <c r="TEN208" s="2"/>
      <c r="TEO208" s="2"/>
      <c r="TEP208" s="2"/>
      <c r="TEQ208" s="2"/>
      <c r="TER208" s="2"/>
      <c r="TES208" s="2"/>
      <c r="TET208" s="2"/>
      <c r="TEU208" s="2"/>
      <c r="TEV208" s="2"/>
      <c r="TEW208" s="2"/>
      <c r="TEX208" s="2"/>
      <c r="TEY208" s="2"/>
      <c r="TEZ208" s="2"/>
      <c r="TFA208" s="2"/>
      <c r="TFB208" s="2"/>
      <c r="TFC208" s="2"/>
      <c r="TFD208" s="2"/>
      <c r="TFE208" s="2"/>
      <c r="TFF208" s="2"/>
      <c r="TFG208" s="2"/>
      <c r="TFH208" s="2"/>
      <c r="TFI208" s="2"/>
      <c r="TFJ208" s="2"/>
      <c r="TFK208" s="2"/>
      <c r="TFL208" s="2"/>
      <c r="TFM208" s="2"/>
      <c r="TFN208" s="2"/>
      <c r="TFO208" s="2"/>
      <c r="TFP208" s="2"/>
      <c r="TFQ208" s="2"/>
      <c r="TFR208" s="2"/>
      <c r="TFS208" s="2"/>
      <c r="TFT208" s="2"/>
      <c r="TFU208" s="2"/>
      <c r="TFV208" s="2"/>
      <c r="TFW208" s="2"/>
      <c r="TFX208" s="2"/>
      <c r="TFY208" s="2"/>
      <c r="TFZ208" s="2"/>
      <c r="TGA208" s="2"/>
      <c r="TGB208" s="2"/>
      <c r="TGC208" s="2"/>
      <c r="TGD208" s="2"/>
      <c r="TGE208" s="2"/>
      <c r="TGF208" s="2"/>
      <c r="TGG208" s="2"/>
      <c r="TGH208" s="2"/>
      <c r="TGI208" s="2"/>
      <c r="TGJ208" s="2"/>
      <c r="TGK208" s="2"/>
      <c r="TGL208" s="2"/>
      <c r="TGM208" s="2"/>
      <c r="TGN208" s="2"/>
      <c r="TGO208" s="2"/>
      <c r="TGP208" s="2"/>
      <c r="TGQ208" s="2"/>
      <c r="TGR208" s="2"/>
      <c r="TGS208" s="2"/>
      <c r="TGT208" s="2"/>
      <c r="TGU208" s="2"/>
      <c r="TGV208" s="2"/>
      <c r="TGW208" s="2"/>
      <c r="TGX208" s="2"/>
      <c r="TGY208" s="2"/>
      <c r="TGZ208" s="2"/>
      <c r="THA208" s="2"/>
      <c r="THB208" s="2"/>
      <c r="THC208" s="2"/>
      <c r="THD208" s="2"/>
      <c r="THE208" s="2"/>
      <c r="THF208" s="2"/>
      <c r="THG208" s="2"/>
      <c r="THH208" s="2"/>
      <c r="THI208" s="2"/>
      <c r="THJ208" s="2"/>
      <c r="THK208" s="2"/>
      <c r="THL208" s="2"/>
      <c r="THM208" s="2"/>
      <c r="THN208" s="2"/>
      <c r="THO208" s="2"/>
      <c r="THP208" s="2"/>
      <c r="THQ208" s="2"/>
      <c r="THR208" s="2"/>
      <c r="THS208" s="2"/>
      <c r="THT208" s="2"/>
      <c r="THU208" s="2"/>
      <c r="THV208" s="2"/>
      <c r="THW208" s="2"/>
      <c r="THX208" s="2"/>
      <c r="THY208" s="2"/>
      <c r="THZ208" s="2"/>
      <c r="TIA208" s="2"/>
      <c r="TIB208" s="2"/>
      <c r="TIC208" s="2"/>
      <c r="TID208" s="2"/>
      <c r="TIE208" s="2"/>
      <c r="TIF208" s="2"/>
      <c r="TIG208" s="2"/>
      <c r="TIH208" s="2"/>
      <c r="TII208" s="2"/>
      <c r="TIJ208" s="2"/>
      <c r="TIK208" s="2"/>
      <c r="TIL208" s="2"/>
      <c r="TIM208" s="2"/>
      <c r="TIN208" s="2"/>
      <c r="TIO208" s="2"/>
      <c r="TIP208" s="2"/>
      <c r="TIQ208" s="2"/>
      <c r="TIR208" s="2"/>
      <c r="TIS208" s="2"/>
      <c r="TIT208" s="2"/>
      <c r="TIU208" s="2"/>
      <c r="TIV208" s="2"/>
      <c r="TIW208" s="2"/>
      <c r="TIX208" s="2"/>
      <c r="TIY208" s="2"/>
      <c r="TIZ208" s="2"/>
      <c r="TJA208" s="2"/>
      <c r="TJB208" s="2"/>
      <c r="TJC208" s="2"/>
      <c r="TJD208" s="2"/>
      <c r="TJE208" s="2"/>
      <c r="TJF208" s="2"/>
      <c r="TJG208" s="2"/>
      <c r="TJH208" s="2"/>
      <c r="TJI208" s="2"/>
      <c r="TJJ208" s="2"/>
      <c r="TJK208" s="2"/>
      <c r="TJL208" s="2"/>
      <c r="TJM208" s="2"/>
      <c r="TJN208" s="2"/>
      <c r="TJO208" s="2"/>
      <c r="TJP208" s="2"/>
      <c r="TJQ208" s="2"/>
      <c r="TJR208" s="2"/>
      <c r="TJS208" s="2"/>
      <c r="TJT208" s="2"/>
      <c r="TJU208" s="2"/>
      <c r="TJV208" s="2"/>
      <c r="TJW208" s="2"/>
      <c r="TJX208" s="2"/>
      <c r="TJY208" s="2"/>
      <c r="TJZ208" s="2"/>
      <c r="TKA208" s="2"/>
      <c r="TKB208" s="2"/>
      <c r="TKC208" s="2"/>
      <c r="TKD208" s="2"/>
      <c r="TKE208" s="2"/>
      <c r="TKF208" s="2"/>
      <c r="TKG208" s="2"/>
      <c r="TKH208" s="2"/>
      <c r="TKI208" s="2"/>
      <c r="TKJ208" s="2"/>
      <c r="TKK208" s="2"/>
      <c r="TKL208" s="2"/>
      <c r="TKM208" s="2"/>
      <c r="TKN208" s="2"/>
      <c r="TKO208" s="2"/>
      <c r="TKP208" s="2"/>
      <c r="TKQ208" s="2"/>
      <c r="TKR208" s="2"/>
      <c r="TKS208" s="2"/>
      <c r="TKT208" s="2"/>
      <c r="TKU208" s="2"/>
      <c r="TKV208" s="2"/>
      <c r="TKW208" s="2"/>
      <c r="TKX208" s="2"/>
      <c r="TKY208" s="2"/>
      <c r="TKZ208" s="2"/>
      <c r="TLA208" s="2"/>
      <c r="TLB208" s="2"/>
      <c r="TLC208" s="2"/>
      <c r="TLD208" s="2"/>
      <c r="TLE208" s="2"/>
      <c r="TLF208" s="2"/>
      <c r="TLG208" s="2"/>
      <c r="TLH208" s="2"/>
      <c r="TLI208" s="2"/>
      <c r="TLJ208" s="2"/>
      <c r="TLK208" s="2"/>
      <c r="TLL208" s="2"/>
      <c r="TLM208" s="2"/>
      <c r="TLN208" s="2"/>
      <c r="TLO208" s="2"/>
      <c r="TLP208" s="2"/>
      <c r="TLQ208" s="2"/>
      <c r="TLR208" s="2"/>
      <c r="TLS208" s="2"/>
      <c r="TLT208" s="2"/>
      <c r="TLU208" s="2"/>
      <c r="TLV208" s="2"/>
      <c r="TLW208" s="2"/>
      <c r="TLX208" s="2"/>
      <c r="TLY208" s="2"/>
      <c r="TLZ208" s="2"/>
      <c r="TMA208" s="2"/>
      <c r="TMB208" s="2"/>
      <c r="TMC208" s="2"/>
      <c r="TMD208" s="2"/>
      <c r="TME208" s="2"/>
      <c r="TMF208" s="2"/>
      <c r="TMG208" s="2"/>
      <c r="TMH208" s="2"/>
      <c r="TMI208" s="2"/>
      <c r="TMJ208" s="2"/>
      <c r="TMK208" s="2"/>
      <c r="TML208" s="2"/>
      <c r="TMM208" s="2"/>
      <c r="TMN208" s="2"/>
      <c r="TMO208" s="2"/>
      <c r="TMP208" s="2"/>
      <c r="TMQ208" s="2"/>
      <c r="TMR208" s="2"/>
      <c r="TMS208" s="2"/>
      <c r="TMT208" s="2"/>
      <c r="TMU208" s="2"/>
      <c r="TMV208" s="2"/>
      <c r="TMW208" s="2"/>
      <c r="TMX208" s="2"/>
      <c r="TMY208" s="2"/>
      <c r="TMZ208" s="2"/>
      <c r="TNA208" s="2"/>
      <c r="TNB208" s="2"/>
      <c r="TNC208" s="2"/>
      <c r="TND208" s="2"/>
      <c r="TNE208" s="2"/>
      <c r="TNF208" s="2"/>
      <c r="TNG208" s="2"/>
      <c r="TNH208" s="2"/>
      <c r="TNI208" s="2"/>
      <c r="TNJ208" s="2"/>
      <c r="TNK208" s="2"/>
      <c r="TNL208" s="2"/>
      <c r="TNM208" s="2"/>
      <c r="TNN208" s="2"/>
      <c r="TNO208" s="2"/>
      <c r="TNP208" s="2"/>
      <c r="TNQ208" s="2"/>
      <c r="TNR208" s="2"/>
      <c r="TNS208" s="2"/>
      <c r="TNT208" s="2"/>
      <c r="TNU208" s="2"/>
      <c r="TNV208" s="2"/>
      <c r="TNW208" s="2"/>
      <c r="TNX208" s="2"/>
      <c r="TNY208" s="2"/>
      <c r="TNZ208" s="2"/>
      <c r="TOA208" s="2"/>
      <c r="TOB208" s="2"/>
      <c r="TOC208" s="2"/>
      <c r="TOD208" s="2"/>
      <c r="TOE208" s="2"/>
      <c r="TOF208" s="2"/>
      <c r="TOG208" s="2"/>
      <c r="TOH208" s="2"/>
      <c r="TOI208" s="2"/>
      <c r="TOJ208" s="2"/>
      <c r="TOK208" s="2"/>
      <c r="TOL208" s="2"/>
      <c r="TOM208" s="2"/>
      <c r="TON208" s="2"/>
      <c r="TOO208" s="2"/>
      <c r="TOP208" s="2"/>
      <c r="TOQ208" s="2"/>
      <c r="TOR208" s="2"/>
      <c r="TOS208" s="2"/>
      <c r="TOT208" s="2"/>
      <c r="TOU208" s="2"/>
      <c r="TOV208" s="2"/>
      <c r="TOW208" s="2"/>
      <c r="TOX208" s="2"/>
      <c r="TOY208" s="2"/>
      <c r="TOZ208" s="2"/>
      <c r="TPA208" s="2"/>
      <c r="TPB208" s="2"/>
      <c r="TPC208" s="2"/>
      <c r="TPD208" s="2"/>
      <c r="TPE208" s="2"/>
      <c r="TPF208" s="2"/>
      <c r="TPG208" s="2"/>
      <c r="TPH208" s="2"/>
      <c r="TPI208" s="2"/>
      <c r="TPJ208" s="2"/>
      <c r="TPK208" s="2"/>
      <c r="TPL208" s="2"/>
      <c r="TPM208" s="2"/>
      <c r="TPN208" s="2"/>
      <c r="TPO208" s="2"/>
      <c r="TPP208" s="2"/>
      <c r="TPQ208" s="2"/>
      <c r="TPR208" s="2"/>
      <c r="TPS208" s="2"/>
      <c r="TPT208" s="2"/>
      <c r="TPU208" s="2"/>
      <c r="TPV208" s="2"/>
      <c r="TPW208" s="2"/>
      <c r="TPX208" s="2"/>
      <c r="TPY208" s="2"/>
      <c r="TPZ208" s="2"/>
      <c r="TQA208" s="2"/>
      <c r="TQB208" s="2"/>
      <c r="TQC208" s="2"/>
      <c r="TQD208" s="2"/>
      <c r="TQE208" s="2"/>
      <c r="TQF208" s="2"/>
      <c r="TQG208" s="2"/>
      <c r="TQH208" s="2"/>
      <c r="TQI208" s="2"/>
      <c r="TQJ208" s="2"/>
      <c r="TQK208" s="2"/>
      <c r="TQL208" s="2"/>
      <c r="TQM208" s="2"/>
      <c r="TQN208" s="2"/>
      <c r="TQO208" s="2"/>
      <c r="TQP208" s="2"/>
      <c r="TQQ208" s="2"/>
      <c r="TQR208" s="2"/>
      <c r="TQS208" s="2"/>
      <c r="TQT208" s="2"/>
      <c r="TQU208" s="2"/>
      <c r="TQV208" s="2"/>
      <c r="TQW208" s="2"/>
      <c r="TQX208" s="2"/>
      <c r="TQY208" s="2"/>
      <c r="TQZ208" s="2"/>
      <c r="TRA208" s="2"/>
      <c r="TRB208" s="2"/>
      <c r="TRC208" s="2"/>
      <c r="TRD208" s="2"/>
      <c r="TRE208" s="2"/>
      <c r="TRF208" s="2"/>
      <c r="TRG208" s="2"/>
      <c r="TRH208" s="2"/>
      <c r="TRI208" s="2"/>
      <c r="TRJ208" s="2"/>
      <c r="TRK208" s="2"/>
      <c r="TRL208" s="2"/>
      <c r="TRM208" s="2"/>
      <c r="TRN208" s="2"/>
      <c r="TRO208" s="2"/>
      <c r="TRP208" s="2"/>
      <c r="TRQ208" s="2"/>
      <c r="TRR208" s="2"/>
      <c r="TRS208" s="2"/>
      <c r="TRT208" s="2"/>
      <c r="TRU208" s="2"/>
      <c r="TRV208" s="2"/>
      <c r="TRW208" s="2"/>
      <c r="TRX208" s="2"/>
      <c r="TRY208" s="2"/>
      <c r="TRZ208" s="2"/>
      <c r="TSA208" s="2"/>
      <c r="TSB208" s="2"/>
      <c r="TSC208" s="2"/>
      <c r="TSD208" s="2"/>
      <c r="TSE208" s="2"/>
      <c r="TSF208" s="2"/>
      <c r="TSG208" s="2"/>
      <c r="TSH208" s="2"/>
      <c r="TSI208" s="2"/>
      <c r="TSJ208" s="2"/>
      <c r="TSK208" s="2"/>
      <c r="TSL208" s="2"/>
      <c r="TSM208" s="2"/>
      <c r="TSN208" s="2"/>
      <c r="TSO208" s="2"/>
      <c r="TSP208" s="2"/>
      <c r="TSQ208" s="2"/>
      <c r="TSR208" s="2"/>
      <c r="TSS208" s="2"/>
      <c r="TST208" s="2"/>
      <c r="TSU208" s="2"/>
      <c r="TSV208" s="2"/>
      <c r="TSW208" s="2"/>
      <c r="TSX208" s="2"/>
      <c r="TSY208" s="2"/>
      <c r="TSZ208" s="2"/>
      <c r="TTA208" s="2"/>
      <c r="TTB208" s="2"/>
      <c r="TTC208" s="2"/>
      <c r="TTD208" s="2"/>
      <c r="TTE208" s="2"/>
      <c r="TTF208" s="2"/>
      <c r="TTG208" s="2"/>
      <c r="TTH208" s="2"/>
      <c r="TTI208" s="2"/>
      <c r="TTJ208" s="2"/>
      <c r="TTK208" s="2"/>
      <c r="TTL208" s="2"/>
      <c r="TTM208" s="2"/>
      <c r="TTN208" s="2"/>
      <c r="TTO208" s="2"/>
      <c r="TTP208" s="2"/>
      <c r="TTQ208" s="2"/>
      <c r="TTR208" s="2"/>
      <c r="TTS208" s="2"/>
      <c r="TTT208" s="2"/>
      <c r="TTU208" s="2"/>
      <c r="TTV208" s="2"/>
      <c r="TTW208" s="2"/>
      <c r="TTX208" s="2"/>
      <c r="TTY208" s="2"/>
      <c r="TTZ208" s="2"/>
      <c r="TUA208" s="2"/>
      <c r="TUB208" s="2"/>
      <c r="TUC208" s="2"/>
      <c r="TUD208" s="2"/>
      <c r="TUE208" s="2"/>
      <c r="TUF208" s="2"/>
      <c r="TUG208" s="2"/>
      <c r="TUH208" s="2"/>
      <c r="TUI208" s="2"/>
      <c r="TUJ208" s="2"/>
      <c r="TUK208" s="2"/>
      <c r="TUL208" s="2"/>
      <c r="TUM208" s="2"/>
      <c r="TUN208" s="2"/>
      <c r="TUO208" s="2"/>
      <c r="TUP208" s="2"/>
      <c r="TUQ208" s="2"/>
      <c r="TUR208" s="2"/>
      <c r="TUS208" s="2"/>
      <c r="TUT208" s="2"/>
      <c r="TUU208" s="2"/>
      <c r="TUV208" s="2"/>
      <c r="TUW208" s="2"/>
      <c r="TUX208" s="2"/>
      <c r="TUY208" s="2"/>
      <c r="TUZ208" s="2"/>
      <c r="TVA208" s="2"/>
      <c r="TVB208" s="2"/>
      <c r="TVC208" s="2"/>
      <c r="TVD208" s="2"/>
      <c r="TVE208" s="2"/>
      <c r="TVF208" s="2"/>
      <c r="TVG208" s="2"/>
      <c r="TVH208" s="2"/>
      <c r="TVI208" s="2"/>
      <c r="TVJ208" s="2"/>
      <c r="TVK208" s="2"/>
      <c r="TVL208" s="2"/>
      <c r="TVM208" s="2"/>
      <c r="TVN208" s="2"/>
      <c r="TVO208" s="2"/>
      <c r="TVP208" s="2"/>
      <c r="TVQ208" s="2"/>
      <c r="TVR208" s="2"/>
      <c r="TVS208" s="2"/>
      <c r="TVT208" s="2"/>
      <c r="TVU208" s="2"/>
      <c r="TVV208" s="2"/>
      <c r="TVW208" s="2"/>
      <c r="TVX208" s="2"/>
      <c r="TVY208" s="2"/>
      <c r="TVZ208" s="2"/>
      <c r="TWA208" s="2"/>
      <c r="TWB208" s="2"/>
      <c r="TWC208" s="2"/>
      <c r="TWD208" s="2"/>
      <c r="TWE208" s="2"/>
      <c r="TWF208" s="2"/>
      <c r="TWG208" s="2"/>
      <c r="TWH208" s="2"/>
      <c r="TWI208" s="2"/>
      <c r="TWJ208" s="2"/>
      <c r="TWK208" s="2"/>
      <c r="TWL208" s="2"/>
      <c r="TWM208" s="2"/>
      <c r="TWN208" s="2"/>
      <c r="TWO208" s="2"/>
      <c r="TWP208" s="2"/>
      <c r="TWQ208" s="2"/>
      <c r="TWR208" s="2"/>
      <c r="TWS208" s="2"/>
      <c r="TWT208" s="2"/>
      <c r="TWU208" s="2"/>
      <c r="TWV208" s="2"/>
      <c r="TWW208" s="2"/>
      <c r="TWX208" s="2"/>
      <c r="TWY208" s="2"/>
      <c r="TWZ208" s="2"/>
      <c r="TXA208" s="2"/>
      <c r="TXB208" s="2"/>
      <c r="TXC208" s="2"/>
      <c r="TXD208" s="2"/>
      <c r="TXE208" s="2"/>
      <c r="TXF208" s="2"/>
      <c r="TXG208" s="2"/>
      <c r="TXH208" s="2"/>
      <c r="TXI208" s="2"/>
      <c r="TXJ208" s="2"/>
      <c r="TXK208" s="2"/>
      <c r="TXL208" s="2"/>
      <c r="TXM208" s="2"/>
      <c r="TXN208" s="2"/>
      <c r="TXO208" s="2"/>
      <c r="TXP208" s="2"/>
      <c r="TXQ208" s="2"/>
      <c r="TXR208" s="2"/>
      <c r="TXS208" s="2"/>
      <c r="TXT208" s="2"/>
      <c r="TXU208" s="2"/>
      <c r="TXV208" s="2"/>
      <c r="TXW208" s="2"/>
      <c r="TXX208" s="2"/>
      <c r="TXY208" s="2"/>
      <c r="TXZ208" s="2"/>
      <c r="TYA208" s="2"/>
      <c r="TYB208" s="2"/>
      <c r="TYC208" s="2"/>
      <c r="TYD208" s="2"/>
      <c r="TYE208" s="2"/>
      <c r="TYF208" s="2"/>
      <c r="TYG208" s="2"/>
      <c r="TYH208" s="2"/>
      <c r="TYI208" s="2"/>
      <c r="TYJ208" s="2"/>
      <c r="TYK208" s="2"/>
      <c r="TYL208" s="2"/>
      <c r="TYM208" s="2"/>
      <c r="TYN208" s="2"/>
      <c r="TYO208" s="2"/>
      <c r="TYP208" s="2"/>
      <c r="TYQ208" s="2"/>
      <c r="TYR208" s="2"/>
      <c r="TYS208" s="2"/>
      <c r="TYT208" s="2"/>
      <c r="TYU208" s="2"/>
      <c r="TYV208" s="2"/>
      <c r="TYW208" s="2"/>
      <c r="TYX208" s="2"/>
      <c r="TYY208" s="2"/>
      <c r="TYZ208" s="2"/>
      <c r="TZA208" s="2"/>
      <c r="TZB208" s="2"/>
      <c r="TZC208" s="2"/>
      <c r="TZD208" s="2"/>
      <c r="TZE208" s="2"/>
      <c r="TZF208" s="2"/>
      <c r="TZG208" s="2"/>
      <c r="TZH208" s="2"/>
      <c r="TZI208" s="2"/>
      <c r="TZJ208" s="2"/>
      <c r="TZK208" s="2"/>
      <c r="TZL208" s="2"/>
      <c r="TZM208" s="2"/>
      <c r="TZN208" s="2"/>
      <c r="TZO208" s="2"/>
      <c r="TZP208" s="2"/>
      <c r="TZQ208" s="2"/>
      <c r="TZR208" s="2"/>
      <c r="TZS208" s="2"/>
      <c r="TZT208" s="2"/>
      <c r="TZU208" s="2"/>
      <c r="TZV208" s="2"/>
      <c r="TZW208" s="2"/>
      <c r="TZX208" s="2"/>
      <c r="TZY208" s="2"/>
      <c r="TZZ208" s="2"/>
      <c r="UAA208" s="2"/>
      <c r="UAB208" s="2"/>
      <c r="UAC208" s="2"/>
      <c r="UAD208" s="2"/>
      <c r="UAE208" s="2"/>
      <c r="UAF208" s="2"/>
      <c r="UAG208" s="2"/>
      <c r="UAH208" s="2"/>
      <c r="UAI208" s="2"/>
      <c r="UAJ208" s="2"/>
      <c r="UAK208" s="2"/>
      <c r="UAL208" s="2"/>
      <c r="UAM208" s="2"/>
      <c r="UAN208" s="2"/>
      <c r="UAO208" s="2"/>
      <c r="UAP208" s="2"/>
      <c r="UAQ208" s="2"/>
      <c r="UAR208" s="2"/>
      <c r="UAS208" s="2"/>
      <c r="UAT208" s="2"/>
      <c r="UAU208" s="2"/>
      <c r="UAV208" s="2"/>
      <c r="UAW208" s="2"/>
      <c r="UAX208" s="2"/>
      <c r="UAY208" s="2"/>
      <c r="UAZ208" s="2"/>
      <c r="UBA208" s="2"/>
      <c r="UBB208" s="2"/>
      <c r="UBC208" s="2"/>
      <c r="UBD208" s="2"/>
      <c r="UBE208" s="2"/>
      <c r="UBF208" s="2"/>
      <c r="UBG208" s="2"/>
      <c r="UBH208" s="2"/>
      <c r="UBI208" s="2"/>
      <c r="UBJ208" s="2"/>
      <c r="UBK208" s="2"/>
      <c r="UBL208" s="2"/>
      <c r="UBM208" s="2"/>
      <c r="UBN208" s="2"/>
      <c r="UBO208" s="2"/>
      <c r="UBP208" s="2"/>
      <c r="UBQ208" s="2"/>
      <c r="UBR208" s="2"/>
      <c r="UBS208" s="2"/>
      <c r="UBT208" s="2"/>
      <c r="UBU208" s="2"/>
      <c r="UBV208" s="2"/>
      <c r="UBW208" s="2"/>
      <c r="UBX208" s="2"/>
      <c r="UBY208" s="2"/>
      <c r="UBZ208" s="2"/>
      <c r="UCA208" s="2"/>
      <c r="UCB208" s="2"/>
      <c r="UCC208" s="2"/>
      <c r="UCD208" s="2"/>
      <c r="UCE208" s="2"/>
      <c r="UCF208" s="2"/>
      <c r="UCG208" s="2"/>
      <c r="UCH208" s="2"/>
      <c r="UCI208" s="2"/>
      <c r="UCJ208" s="2"/>
      <c r="UCK208" s="2"/>
      <c r="UCL208" s="2"/>
      <c r="UCM208" s="2"/>
      <c r="UCN208" s="2"/>
      <c r="UCO208" s="2"/>
      <c r="UCP208" s="2"/>
      <c r="UCQ208" s="2"/>
      <c r="UCR208" s="2"/>
      <c r="UCS208" s="2"/>
      <c r="UCT208" s="2"/>
      <c r="UCU208" s="2"/>
      <c r="UCV208" s="2"/>
      <c r="UCW208" s="2"/>
      <c r="UCX208" s="2"/>
      <c r="UCY208" s="2"/>
      <c r="UCZ208" s="2"/>
      <c r="UDA208" s="2"/>
      <c r="UDB208" s="2"/>
      <c r="UDC208" s="2"/>
      <c r="UDD208" s="2"/>
      <c r="UDE208" s="2"/>
      <c r="UDF208" s="2"/>
      <c r="UDG208" s="2"/>
      <c r="UDH208" s="2"/>
      <c r="UDI208" s="2"/>
      <c r="UDJ208" s="2"/>
      <c r="UDK208" s="2"/>
      <c r="UDL208" s="2"/>
      <c r="UDM208" s="2"/>
      <c r="UDN208" s="2"/>
      <c r="UDO208" s="2"/>
      <c r="UDP208" s="2"/>
      <c r="UDQ208" s="2"/>
      <c r="UDR208" s="2"/>
      <c r="UDS208" s="2"/>
      <c r="UDT208" s="2"/>
      <c r="UDU208" s="2"/>
      <c r="UDV208" s="2"/>
      <c r="UDW208" s="2"/>
      <c r="UDX208" s="2"/>
      <c r="UDY208" s="2"/>
      <c r="UDZ208" s="2"/>
      <c r="UEA208" s="2"/>
      <c r="UEB208" s="2"/>
      <c r="UEC208" s="2"/>
      <c r="UED208" s="2"/>
      <c r="UEE208" s="2"/>
      <c r="UEF208" s="2"/>
      <c r="UEG208" s="2"/>
      <c r="UEH208" s="2"/>
      <c r="UEI208" s="2"/>
      <c r="UEJ208" s="2"/>
      <c r="UEK208" s="2"/>
      <c r="UEL208" s="2"/>
      <c r="UEM208" s="2"/>
      <c r="UEN208" s="2"/>
      <c r="UEO208" s="2"/>
      <c r="UEP208" s="2"/>
      <c r="UEQ208" s="2"/>
      <c r="UER208" s="2"/>
      <c r="UES208" s="2"/>
      <c r="UET208" s="2"/>
      <c r="UEU208" s="2"/>
      <c r="UEV208" s="2"/>
      <c r="UEW208" s="2"/>
      <c r="UEX208" s="2"/>
      <c r="UEY208" s="2"/>
      <c r="UEZ208" s="2"/>
      <c r="UFA208" s="2"/>
      <c r="UFB208" s="2"/>
      <c r="UFC208" s="2"/>
      <c r="UFD208" s="2"/>
      <c r="UFE208" s="2"/>
      <c r="UFF208" s="2"/>
      <c r="UFG208" s="2"/>
      <c r="UFH208" s="2"/>
      <c r="UFI208" s="2"/>
      <c r="UFJ208" s="2"/>
      <c r="UFK208" s="2"/>
      <c r="UFL208" s="2"/>
      <c r="UFM208" s="2"/>
      <c r="UFN208" s="2"/>
      <c r="UFO208" s="2"/>
      <c r="UFP208" s="2"/>
      <c r="UFQ208" s="2"/>
      <c r="UFR208" s="2"/>
      <c r="UFS208" s="2"/>
      <c r="UFT208" s="2"/>
      <c r="UFU208" s="2"/>
      <c r="UFV208" s="2"/>
      <c r="UFW208" s="2"/>
      <c r="UFX208" s="2"/>
      <c r="UFY208" s="2"/>
      <c r="UFZ208" s="2"/>
      <c r="UGA208" s="2"/>
      <c r="UGB208" s="2"/>
      <c r="UGC208" s="2"/>
      <c r="UGD208" s="2"/>
      <c r="UGE208" s="2"/>
      <c r="UGF208" s="2"/>
      <c r="UGG208" s="2"/>
      <c r="UGH208" s="2"/>
      <c r="UGI208" s="2"/>
      <c r="UGJ208" s="2"/>
      <c r="UGK208" s="2"/>
      <c r="UGL208" s="2"/>
      <c r="UGM208" s="2"/>
      <c r="UGN208" s="2"/>
      <c r="UGO208" s="2"/>
      <c r="UGP208" s="2"/>
      <c r="UGQ208" s="2"/>
      <c r="UGR208" s="2"/>
      <c r="UGS208" s="2"/>
      <c r="UGT208" s="2"/>
      <c r="UGU208" s="2"/>
      <c r="UGV208" s="2"/>
      <c r="UGW208" s="2"/>
      <c r="UGX208" s="2"/>
      <c r="UGY208" s="2"/>
      <c r="UGZ208" s="2"/>
      <c r="UHA208" s="2"/>
      <c r="UHB208" s="2"/>
      <c r="UHC208" s="2"/>
      <c r="UHD208" s="2"/>
      <c r="UHE208" s="2"/>
      <c r="UHF208" s="2"/>
      <c r="UHG208" s="2"/>
      <c r="UHH208" s="2"/>
      <c r="UHI208" s="2"/>
      <c r="UHJ208" s="2"/>
      <c r="UHK208" s="2"/>
      <c r="UHL208" s="2"/>
      <c r="UHM208" s="2"/>
      <c r="UHN208" s="2"/>
      <c r="UHO208" s="2"/>
      <c r="UHP208" s="2"/>
      <c r="UHQ208" s="2"/>
      <c r="UHR208" s="2"/>
      <c r="UHS208" s="2"/>
      <c r="UHT208" s="2"/>
      <c r="UHU208" s="2"/>
      <c r="UHV208" s="2"/>
      <c r="UHW208" s="2"/>
      <c r="UHX208" s="2"/>
      <c r="UHY208" s="2"/>
      <c r="UHZ208" s="2"/>
      <c r="UIA208" s="2"/>
      <c r="UIB208" s="2"/>
      <c r="UIC208" s="2"/>
      <c r="UID208" s="2"/>
      <c r="UIE208" s="2"/>
      <c r="UIF208" s="2"/>
      <c r="UIG208" s="2"/>
      <c r="UIH208" s="2"/>
      <c r="UII208" s="2"/>
      <c r="UIJ208" s="2"/>
      <c r="UIK208" s="2"/>
      <c r="UIL208" s="2"/>
      <c r="UIM208" s="2"/>
      <c r="UIN208" s="2"/>
      <c r="UIO208" s="2"/>
      <c r="UIP208" s="2"/>
      <c r="UIQ208" s="2"/>
      <c r="UIR208" s="2"/>
      <c r="UIS208" s="2"/>
      <c r="UIT208" s="2"/>
      <c r="UIU208" s="2"/>
      <c r="UIV208" s="2"/>
      <c r="UIW208" s="2"/>
      <c r="UIX208" s="2"/>
      <c r="UIY208" s="2"/>
      <c r="UIZ208" s="2"/>
      <c r="UJA208" s="2"/>
      <c r="UJB208" s="2"/>
      <c r="UJC208" s="2"/>
      <c r="UJD208" s="2"/>
      <c r="UJE208" s="2"/>
      <c r="UJF208" s="2"/>
      <c r="UJG208" s="2"/>
      <c r="UJH208" s="2"/>
      <c r="UJI208" s="2"/>
      <c r="UJJ208" s="2"/>
      <c r="UJK208" s="2"/>
      <c r="UJL208" s="2"/>
      <c r="UJM208" s="2"/>
      <c r="UJN208" s="2"/>
      <c r="UJO208" s="2"/>
      <c r="UJP208" s="2"/>
      <c r="UJQ208" s="2"/>
      <c r="UJR208" s="2"/>
      <c r="UJS208" s="2"/>
      <c r="UJT208" s="2"/>
      <c r="UJU208" s="2"/>
      <c r="UJV208" s="2"/>
      <c r="UJW208" s="2"/>
      <c r="UJX208" s="2"/>
      <c r="UJY208" s="2"/>
      <c r="UJZ208" s="2"/>
      <c r="UKA208" s="2"/>
      <c r="UKB208" s="2"/>
      <c r="UKC208" s="2"/>
      <c r="UKD208" s="2"/>
      <c r="UKE208" s="2"/>
      <c r="UKF208" s="2"/>
      <c r="UKG208" s="2"/>
      <c r="UKH208" s="2"/>
      <c r="UKI208" s="2"/>
      <c r="UKJ208" s="2"/>
      <c r="UKK208" s="2"/>
      <c r="UKL208" s="2"/>
      <c r="UKM208" s="2"/>
      <c r="UKN208" s="2"/>
      <c r="UKO208" s="2"/>
      <c r="UKP208" s="2"/>
      <c r="UKQ208" s="2"/>
      <c r="UKR208" s="2"/>
      <c r="UKS208" s="2"/>
      <c r="UKT208" s="2"/>
      <c r="UKU208" s="2"/>
      <c r="UKV208" s="2"/>
      <c r="UKW208" s="2"/>
      <c r="UKX208" s="2"/>
      <c r="UKY208" s="2"/>
      <c r="UKZ208" s="2"/>
      <c r="ULA208" s="2"/>
      <c r="ULB208" s="2"/>
      <c r="ULC208" s="2"/>
      <c r="ULD208" s="2"/>
      <c r="ULE208" s="2"/>
      <c r="ULF208" s="2"/>
      <c r="ULG208" s="2"/>
      <c r="ULH208" s="2"/>
      <c r="ULI208" s="2"/>
      <c r="ULJ208" s="2"/>
      <c r="ULK208" s="2"/>
      <c r="ULL208" s="2"/>
      <c r="ULM208" s="2"/>
      <c r="ULN208" s="2"/>
      <c r="ULO208" s="2"/>
      <c r="ULP208" s="2"/>
      <c r="ULQ208" s="2"/>
      <c r="ULR208" s="2"/>
      <c r="ULS208" s="2"/>
      <c r="ULT208" s="2"/>
      <c r="ULU208" s="2"/>
      <c r="ULV208" s="2"/>
      <c r="ULW208" s="2"/>
      <c r="ULX208" s="2"/>
      <c r="ULY208" s="2"/>
      <c r="ULZ208" s="2"/>
      <c r="UMA208" s="2"/>
      <c r="UMB208" s="2"/>
      <c r="UMC208" s="2"/>
      <c r="UMD208" s="2"/>
      <c r="UME208" s="2"/>
      <c r="UMF208" s="2"/>
      <c r="UMG208" s="2"/>
      <c r="UMH208" s="2"/>
      <c r="UMI208" s="2"/>
      <c r="UMJ208" s="2"/>
      <c r="UMK208" s="2"/>
      <c r="UML208" s="2"/>
      <c r="UMM208" s="2"/>
      <c r="UMN208" s="2"/>
      <c r="UMO208" s="2"/>
      <c r="UMP208" s="2"/>
      <c r="UMQ208" s="2"/>
      <c r="UMR208" s="2"/>
      <c r="UMS208" s="2"/>
      <c r="UMT208" s="2"/>
      <c r="UMU208" s="2"/>
      <c r="UMV208" s="2"/>
      <c r="UMW208" s="2"/>
      <c r="UMX208" s="2"/>
      <c r="UMY208" s="2"/>
      <c r="UMZ208" s="2"/>
      <c r="UNA208" s="2"/>
      <c r="UNB208" s="2"/>
      <c r="UNC208" s="2"/>
      <c r="UND208" s="2"/>
      <c r="UNE208" s="2"/>
      <c r="UNF208" s="2"/>
      <c r="UNG208" s="2"/>
      <c r="UNH208" s="2"/>
      <c r="UNI208" s="2"/>
      <c r="UNJ208" s="2"/>
      <c r="UNK208" s="2"/>
      <c r="UNL208" s="2"/>
      <c r="UNM208" s="2"/>
      <c r="UNN208" s="2"/>
      <c r="UNO208" s="2"/>
      <c r="UNP208" s="2"/>
      <c r="UNQ208" s="2"/>
      <c r="UNR208" s="2"/>
      <c r="UNS208" s="2"/>
      <c r="UNT208" s="2"/>
      <c r="UNU208" s="2"/>
      <c r="UNV208" s="2"/>
      <c r="UNW208" s="2"/>
      <c r="UNX208" s="2"/>
      <c r="UNY208" s="2"/>
      <c r="UNZ208" s="2"/>
      <c r="UOA208" s="2"/>
      <c r="UOB208" s="2"/>
      <c r="UOC208" s="2"/>
      <c r="UOD208" s="2"/>
      <c r="UOE208" s="2"/>
      <c r="UOF208" s="2"/>
      <c r="UOG208" s="2"/>
      <c r="UOH208" s="2"/>
      <c r="UOI208" s="2"/>
      <c r="UOJ208" s="2"/>
      <c r="UOK208" s="2"/>
      <c r="UOL208" s="2"/>
      <c r="UOM208" s="2"/>
      <c r="UON208" s="2"/>
      <c r="UOO208" s="2"/>
      <c r="UOP208" s="2"/>
      <c r="UOQ208" s="2"/>
      <c r="UOR208" s="2"/>
      <c r="UOS208" s="2"/>
      <c r="UOT208" s="2"/>
      <c r="UOU208" s="2"/>
      <c r="UOV208" s="2"/>
      <c r="UOW208" s="2"/>
      <c r="UOX208" s="2"/>
      <c r="UOY208" s="2"/>
      <c r="UOZ208" s="2"/>
      <c r="UPA208" s="2"/>
      <c r="UPB208" s="2"/>
      <c r="UPC208" s="2"/>
      <c r="UPD208" s="2"/>
      <c r="UPE208" s="2"/>
      <c r="UPF208" s="2"/>
      <c r="UPG208" s="2"/>
      <c r="UPH208" s="2"/>
      <c r="UPI208" s="2"/>
      <c r="UPJ208" s="2"/>
      <c r="UPK208" s="2"/>
      <c r="UPL208" s="2"/>
      <c r="UPM208" s="2"/>
      <c r="UPN208" s="2"/>
      <c r="UPO208" s="2"/>
      <c r="UPP208" s="2"/>
      <c r="UPQ208" s="2"/>
      <c r="UPR208" s="2"/>
      <c r="UPS208" s="2"/>
      <c r="UPT208" s="2"/>
      <c r="UPU208" s="2"/>
      <c r="UPV208" s="2"/>
      <c r="UPW208" s="2"/>
      <c r="UPX208" s="2"/>
      <c r="UPY208" s="2"/>
      <c r="UPZ208" s="2"/>
      <c r="UQA208" s="2"/>
      <c r="UQB208" s="2"/>
      <c r="UQC208" s="2"/>
      <c r="UQD208" s="2"/>
      <c r="UQE208" s="2"/>
      <c r="UQF208" s="2"/>
      <c r="UQG208" s="2"/>
      <c r="UQH208" s="2"/>
      <c r="UQI208" s="2"/>
      <c r="UQJ208" s="2"/>
      <c r="UQK208" s="2"/>
      <c r="UQL208" s="2"/>
      <c r="UQM208" s="2"/>
      <c r="UQN208" s="2"/>
      <c r="UQO208" s="2"/>
      <c r="UQP208" s="2"/>
      <c r="UQQ208" s="2"/>
      <c r="UQR208" s="2"/>
      <c r="UQS208" s="2"/>
      <c r="UQT208" s="2"/>
      <c r="UQU208" s="2"/>
      <c r="UQV208" s="2"/>
      <c r="UQW208" s="2"/>
      <c r="UQX208" s="2"/>
      <c r="UQY208" s="2"/>
      <c r="UQZ208" s="2"/>
      <c r="URA208" s="2"/>
      <c r="URB208" s="2"/>
      <c r="URC208" s="2"/>
      <c r="URD208" s="2"/>
      <c r="URE208" s="2"/>
      <c r="URF208" s="2"/>
      <c r="URG208" s="2"/>
      <c r="URH208" s="2"/>
      <c r="URI208" s="2"/>
      <c r="URJ208" s="2"/>
      <c r="URK208" s="2"/>
      <c r="URL208" s="2"/>
      <c r="URM208" s="2"/>
      <c r="URN208" s="2"/>
      <c r="URO208" s="2"/>
      <c r="URP208" s="2"/>
      <c r="URQ208" s="2"/>
      <c r="URR208" s="2"/>
      <c r="URS208" s="2"/>
      <c r="URT208" s="2"/>
      <c r="URU208" s="2"/>
      <c r="URV208" s="2"/>
      <c r="URW208" s="2"/>
      <c r="URX208" s="2"/>
      <c r="URY208" s="2"/>
      <c r="URZ208" s="2"/>
      <c r="USA208" s="2"/>
      <c r="USB208" s="2"/>
      <c r="USC208" s="2"/>
      <c r="USD208" s="2"/>
      <c r="USE208" s="2"/>
      <c r="USF208" s="2"/>
      <c r="USG208" s="2"/>
      <c r="USH208" s="2"/>
      <c r="USI208" s="2"/>
      <c r="USJ208" s="2"/>
      <c r="USK208" s="2"/>
      <c r="USL208" s="2"/>
      <c r="USM208" s="2"/>
      <c r="USN208" s="2"/>
      <c r="USO208" s="2"/>
      <c r="USP208" s="2"/>
      <c r="USQ208" s="2"/>
      <c r="USR208" s="2"/>
      <c r="USS208" s="2"/>
      <c r="UST208" s="2"/>
      <c r="USU208" s="2"/>
      <c r="USV208" s="2"/>
      <c r="USW208" s="2"/>
      <c r="USX208" s="2"/>
      <c r="USY208" s="2"/>
      <c r="USZ208" s="2"/>
      <c r="UTA208" s="2"/>
      <c r="UTB208" s="2"/>
      <c r="UTC208" s="2"/>
      <c r="UTD208" s="2"/>
      <c r="UTE208" s="2"/>
      <c r="UTF208" s="2"/>
      <c r="UTG208" s="2"/>
      <c r="UTH208" s="2"/>
      <c r="UTI208" s="2"/>
      <c r="UTJ208" s="2"/>
      <c r="UTK208" s="2"/>
      <c r="UTL208" s="2"/>
      <c r="UTM208" s="2"/>
      <c r="UTN208" s="2"/>
      <c r="UTO208" s="2"/>
      <c r="UTP208" s="2"/>
      <c r="UTQ208" s="2"/>
      <c r="UTR208" s="2"/>
      <c r="UTS208" s="2"/>
      <c r="UTT208" s="2"/>
      <c r="UTU208" s="2"/>
      <c r="UTV208" s="2"/>
      <c r="UTW208" s="2"/>
      <c r="UTX208" s="2"/>
      <c r="UTY208" s="2"/>
      <c r="UTZ208" s="2"/>
      <c r="UUA208" s="2"/>
      <c r="UUB208" s="2"/>
      <c r="UUC208" s="2"/>
      <c r="UUD208" s="2"/>
      <c r="UUE208" s="2"/>
      <c r="UUF208" s="2"/>
      <c r="UUG208" s="2"/>
      <c r="UUH208" s="2"/>
      <c r="UUI208" s="2"/>
      <c r="UUJ208" s="2"/>
      <c r="UUK208" s="2"/>
      <c r="UUL208" s="2"/>
      <c r="UUM208" s="2"/>
      <c r="UUN208" s="2"/>
      <c r="UUO208" s="2"/>
      <c r="UUP208" s="2"/>
      <c r="UUQ208" s="2"/>
      <c r="UUR208" s="2"/>
      <c r="UUS208" s="2"/>
      <c r="UUT208" s="2"/>
      <c r="UUU208" s="2"/>
      <c r="UUV208" s="2"/>
      <c r="UUW208" s="2"/>
      <c r="UUX208" s="2"/>
      <c r="UUY208" s="2"/>
      <c r="UUZ208" s="2"/>
      <c r="UVA208" s="2"/>
      <c r="UVB208" s="2"/>
      <c r="UVC208" s="2"/>
      <c r="UVD208" s="2"/>
      <c r="UVE208" s="2"/>
      <c r="UVF208" s="2"/>
      <c r="UVG208" s="2"/>
      <c r="UVH208" s="2"/>
      <c r="UVI208" s="2"/>
      <c r="UVJ208" s="2"/>
      <c r="UVK208" s="2"/>
      <c r="UVL208" s="2"/>
      <c r="UVM208" s="2"/>
      <c r="UVN208" s="2"/>
      <c r="UVO208" s="2"/>
      <c r="UVP208" s="2"/>
      <c r="UVQ208" s="2"/>
      <c r="UVR208" s="2"/>
      <c r="UVS208" s="2"/>
      <c r="UVT208" s="2"/>
      <c r="UVU208" s="2"/>
      <c r="UVV208" s="2"/>
      <c r="UVW208" s="2"/>
      <c r="UVX208" s="2"/>
      <c r="UVY208" s="2"/>
      <c r="UVZ208" s="2"/>
      <c r="UWA208" s="2"/>
      <c r="UWB208" s="2"/>
      <c r="UWC208" s="2"/>
      <c r="UWD208" s="2"/>
      <c r="UWE208" s="2"/>
      <c r="UWF208" s="2"/>
      <c r="UWG208" s="2"/>
      <c r="UWH208" s="2"/>
      <c r="UWI208" s="2"/>
      <c r="UWJ208" s="2"/>
      <c r="UWK208" s="2"/>
      <c r="UWL208" s="2"/>
      <c r="UWM208" s="2"/>
      <c r="UWN208" s="2"/>
      <c r="UWO208" s="2"/>
      <c r="UWP208" s="2"/>
      <c r="UWQ208" s="2"/>
      <c r="UWR208" s="2"/>
      <c r="UWS208" s="2"/>
      <c r="UWT208" s="2"/>
      <c r="UWU208" s="2"/>
      <c r="UWV208" s="2"/>
      <c r="UWW208" s="2"/>
      <c r="UWX208" s="2"/>
      <c r="UWY208" s="2"/>
      <c r="UWZ208" s="2"/>
      <c r="UXA208" s="2"/>
      <c r="UXB208" s="2"/>
      <c r="UXC208" s="2"/>
      <c r="UXD208" s="2"/>
      <c r="UXE208" s="2"/>
      <c r="UXF208" s="2"/>
      <c r="UXG208" s="2"/>
      <c r="UXH208" s="2"/>
      <c r="UXI208" s="2"/>
      <c r="UXJ208" s="2"/>
      <c r="UXK208" s="2"/>
      <c r="UXL208" s="2"/>
      <c r="UXM208" s="2"/>
      <c r="UXN208" s="2"/>
      <c r="UXO208" s="2"/>
      <c r="UXP208" s="2"/>
      <c r="UXQ208" s="2"/>
      <c r="UXR208" s="2"/>
      <c r="UXS208" s="2"/>
      <c r="UXT208" s="2"/>
      <c r="UXU208" s="2"/>
      <c r="UXV208" s="2"/>
      <c r="UXW208" s="2"/>
      <c r="UXX208" s="2"/>
      <c r="UXY208" s="2"/>
      <c r="UXZ208" s="2"/>
      <c r="UYA208" s="2"/>
      <c r="UYB208" s="2"/>
      <c r="UYC208" s="2"/>
      <c r="UYD208" s="2"/>
      <c r="UYE208" s="2"/>
      <c r="UYF208" s="2"/>
      <c r="UYG208" s="2"/>
      <c r="UYH208" s="2"/>
      <c r="UYI208" s="2"/>
      <c r="UYJ208" s="2"/>
      <c r="UYK208" s="2"/>
      <c r="UYL208" s="2"/>
      <c r="UYM208" s="2"/>
      <c r="UYN208" s="2"/>
      <c r="UYO208" s="2"/>
      <c r="UYP208" s="2"/>
      <c r="UYQ208" s="2"/>
      <c r="UYR208" s="2"/>
      <c r="UYS208" s="2"/>
      <c r="UYT208" s="2"/>
      <c r="UYU208" s="2"/>
      <c r="UYV208" s="2"/>
      <c r="UYW208" s="2"/>
      <c r="UYX208" s="2"/>
      <c r="UYY208" s="2"/>
      <c r="UYZ208" s="2"/>
      <c r="UZA208" s="2"/>
      <c r="UZB208" s="2"/>
      <c r="UZC208" s="2"/>
      <c r="UZD208" s="2"/>
      <c r="UZE208" s="2"/>
      <c r="UZF208" s="2"/>
      <c r="UZG208" s="2"/>
      <c r="UZH208" s="2"/>
      <c r="UZI208" s="2"/>
      <c r="UZJ208" s="2"/>
      <c r="UZK208" s="2"/>
      <c r="UZL208" s="2"/>
      <c r="UZM208" s="2"/>
      <c r="UZN208" s="2"/>
      <c r="UZO208" s="2"/>
      <c r="UZP208" s="2"/>
      <c r="UZQ208" s="2"/>
      <c r="UZR208" s="2"/>
      <c r="UZS208" s="2"/>
      <c r="UZT208" s="2"/>
      <c r="UZU208" s="2"/>
      <c r="UZV208" s="2"/>
      <c r="UZW208" s="2"/>
      <c r="UZX208" s="2"/>
      <c r="UZY208" s="2"/>
      <c r="UZZ208" s="2"/>
      <c r="VAA208" s="2"/>
      <c r="VAB208" s="2"/>
      <c r="VAC208" s="2"/>
      <c r="VAD208" s="2"/>
      <c r="VAE208" s="2"/>
      <c r="VAF208" s="2"/>
      <c r="VAG208" s="2"/>
      <c r="VAH208" s="2"/>
      <c r="VAI208" s="2"/>
      <c r="VAJ208" s="2"/>
      <c r="VAK208" s="2"/>
      <c r="VAL208" s="2"/>
      <c r="VAM208" s="2"/>
      <c r="VAN208" s="2"/>
      <c r="VAO208" s="2"/>
      <c r="VAP208" s="2"/>
      <c r="VAQ208" s="2"/>
      <c r="VAR208" s="2"/>
      <c r="VAS208" s="2"/>
      <c r="VAT208" s="2"/>
      <c r="VAU208" s="2"/>
      <c r="VAV208" s="2"/>
      <c r="VAW208" s="2"/>
      <c r="VAX208" s="2"/>
      <c r="VAY208" s="2"/>
      <c r="VAZ208" s="2"/>
      <c r="VBA208" s="2"/>
      <c r="VBB208" s="2"/>
      <c r="VBC208" s="2"/>
      <c r="VBD208" s="2"/>
      <c r="VBE208" s="2"/>
      <c r="VBF208" s="2"/>
      <c r="VBG208" s="2"/>
      <c r="VBH208" s="2"/>
      <c r="VBI208" s="2"/>
      <c r="VBJ208" s="2"/>
      <c r="VBK208" s="2"/>
      <c r="VBL208" s="2"/>
      <c r="VBM208" s="2"/>
      <c r="VBN208" s="2"/>
      <c r="VBO208" s="2"/>
      <c r="VBP208" s="2"/>
      <c r="VBQ208" s="2"/>
      <c r="VBR208" s="2"/>
      <c r="VBS208" s="2"/>
      <c r="VBT208" s="2"/>
      <c r="VBU208" s="2"/>
      <c r="VBV208" s="2"/>
      <c r="VBW208" s="2"/>
      <c r="VBX208" s="2"/>
      <c r="VBY208" s="2"/>
      <c r="VBZ208" s="2"/>
      <c r="VCA208" s="2"/>
      <c r="VCB208" s="2"/>
      <c r="VCC208" s="2"/>
      <c r="VCD208" s="2"/>
      <c r="VCE208" s="2"/>
      <c r="VCF208" s="2"/>
      <c r="VCG208" s="2"/>
      <c r="VCH208" s="2"/>
      <c r="VCI208" s="2"/>
      <c r="VCJ208" s="2"/>
      <c r="VCK208" s="2"/>
      <c r="VCL208" s="2"/>
      <c r="VCM208" s="2"/>
      <c r="VCN208" s="2"/>
      <c r="VCO208" s="2"/>
      <c r="VCP208" s="2"/>
      <c r="VCQ208" s="2"/>
      <c r="VCR208" s="2"/>
      <c r="VCS208" s="2"/>
      <c r="VCT208" s="2"/>
      <c r="VCU208" s="2"/>
      <c r="VCV208" s="2"/>
      <c r="VCW208" s="2"/>
    </row>
    <row r="209" spans="5:14973" s="3" customFormat="1" x14ac:dyDescent="0.3"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74"/>
      <c r="AN209" s="74"/>
      <c r="AO209" s="2"/>
      <c r="AP209" s="2"/>
      <c r="AQ209" s="2"/>
      <c r="AR209" s="2"/>
      <c r="AT209" s="4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2"/>
      <c r="TR209" s="2"/>
      <c r="TS209" s="2"/>
      <c r="TT209" s="2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2"/>
      <c r="UF209" s="2"/>
      <c r="UG209" s="2"/>
      <c r="UH209" s="2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2"/>
      <c r="UT209" s="2"/>
      <c r="UU209" s="2"/>
      <c r="UV209" s="2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2"/>
      <c r="VH209" s="2"/>
      <c r="VI209" s="2"/>
      <c r="VJ209" s="2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2"/>
      <c r="VV209" s="2"/>
      <c r="VW209" s="2"/>
      <c r="VX209" s="2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2"/>
      <c r="WJ209" s="2"/>
      <c r="WK209" s="2"/>
      <c r="WL209" s="2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2"/>
      <c r="WX209" s="2"/>
      <c r="WY209" s="2"/>
      <c r="WZ209" s="2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2"/>
      <c r="XL209" s="2"/>
      <c r="XM209" s="2"/>
      <c r="XN209" s="2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2"/>
      <c r="XZ209" s="2"/>
      <c r="YA209" s="2"/>
      <c r="YB209" s="2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2"/>
      <c r="YN209" s="2"/>
      <c r="YO209" s="2"/>
      <c r="YP209" s="2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2"/>
      <c r="ZB209" s="2"/>
      <c r="ZC209" s="2"/>
      <c r="ZD209" s="2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2"/>
      <c r="ZP209" s="2"/>
      <c r="ZQ209" s="2"/>
      <c r="ZR209" s="2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2"/>
      <c r="AAD209" s="2"/>
      <c r="AAE209" s="2"/>
      <c r="AAF209" s="2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  <c r="ABE209" s="2"/>
      <c r="ABF209" s="2"/>
      <c r="ABG209" s="2"/>
      <c r="ABH209" s="2"/>
      <c r="ABI209" s="2"/>
      <c r="ABJ209" s="2"/>
      <c r="ABK209" s="2"/>
      <c r="ABL209" s="2"/>
      <c r="ABM209" s="2"/>
      <c r="ABN209" s="2"/>
      <c r="ABO209" s="2"/>
      <c r="ABP209" s="2"/>
      <c r="ABQ209" s="2"/>
      <c r="ABR209" s="2"/>
      <c r="ABS209" s="2"/>
      <c r="ABT209" s="2"/>
      <c r="ABU209" s="2"/>
      <c r="ABV209" s="2"/>
      <c r="ABW209" s="2"/>
      <c r="ABX209" s="2"/>
      <c r="ABY209" s="2"/>
      <c r="ABZ209" s="2"/>
      <c r="ACA209" s="2"/>
      <c r="ACB209" s="2"/>
      <c r="ACC209" s="2"/>
      <c r="ACD209" s="2"/>
      <c r="ACE209" s="2"/>
      <c r="ACF209" s="2"/>
      <c r="ACG209" s="2"/>
      <c r="ACH209" s="2"/>
      <c r="ACI209" s="2"/>
      <c r="ACJ209" s="2"/>
      <c r="ACK209" s="2"/>
      <c r="ACL209" s="2"/>
      <c r="ACM209" s="2"/>
      <c r="ACN209" s="2"/>
      <c r="ACO209" s="2"/>
      <c r="ACP209" s="2"/>
      <c r="ACQ209" s="2"/>
      <c r="ACR209" s="2"/>
      <c r="ACS209" s="2"/>
      <c r="ACT209" s="2"/>
      <c r="ACU209" s="2"/>
      <c r="ACV209" s="2"/>
      <c r="ACW209" s="2"/>
      <c r="ACX209" s="2"/>
      <c r="ACY209" s="2"/>
      <c r="ACZ209" s="2"/>
      <c r="ADA209" s="2"/>
      <c r="ADB209" s="2"/>
      <c r="ADC209" s="2"/>
      <c r="ADD209" s="2"/>
      <c r="ADE209" s="2"/>
      <c r="ADF209" s="2"/>
      <c r="ADG209" s="2"/>
      <c r="ADH209" s="2"/>
      <c r="ADI209" s="2"/>
      <c r="ADJ209" s="2"/>
      <c r="ADK209" s="2"/>
      <c r="ADL209" s="2"/>
      <c r="ADM209" s="2"/>
      <c r="ADN209" s="2"/>
      <c r="ADO209" s="2"/>
      <c r="ADP209" s="2"/>
      <c r="ADQ209" s="2"/>
      <c r="ADR209" s="2"/>
      <c r="ADS209" s="2"/>
      <c r="ADT209" s="2"/>
      <c r="ADU209" s="2"/>
      <c r="ADV209" s="2"/>
      <c r="ADW209" s="2"/>
      <c r="ADX209" s="2"/>
      <c r="ADY209" s="2"/>
      <c r="ADZ209" s="2"/>
      <c r="AEA209" s="2"/>
      <c r="AEB209" s="2"/>
      <c r="AEC209" s="2"/>
      <c r="AED209" s="2"/>
      <c r="AEE209" s="2"/>
      <c r="AEF209" s="2"/>
      <c r="AEG209" s="2"/>
      <c r="AEH209" s="2"/>
      <c r="AEI209" s="2"/>
      <c r="AEJ209" s="2"/>
      <c r="AEK209" s="2"/>
      <c r="AEL209" s="2"/>
      <c r="AEM209" s="2"/>
      <c r="AEN209" s="2"/>
      <c r="AEO209" s="2"/>
      <c r="AEP209" s="2"/>
      <c r="AEQ209" s="2"/>
      <c r="AER209" s="2"/>
      <c r="AES209" s="2"/>
      <c r="AET209" s="2"/>
      <c r="AEU209" s="2"/>
      <c r="AEV209" s="2"/>
      <c r="AEW209" s="2"/>
      <c r="AEX209" s="2"/>
      <c r="AEY209" s="2"/>
      <c r="AEZ209" s="2"/>
      <c r="AFA209" s="2"/>
      <c r="AFB209" s="2"/>
      <c r="AFC209" s="2"/>
      <c r="AFD209" s="2"/>
      <c r="AFE209" s="2"/>
      <c r="AFF209" s="2"/>
      <c r="AFG209" s="2"/>
      <c r="AFH209" s="2"/>
      <c r="AFI209" s="2"/>
      <c r="AFJ209" s="2"/>
      <c r="AFK209" s="2"/>
      <c r="AFL209" s="2"/>
      <c r="AFM209" s="2"/>
      <c r="AFN209" s="2"/>
      <c r="AFO209" s="2"/>
      <c r="AFP209" s="2"/>
      <c r="AFQ209" s="2"/>
      <c r="AFR209" s="2"/>
      <c r="AFS209" s="2"/>
      <c r="AFT209" s="2"/>
      <c r="AFU209" s="2"/>
      <c r="AFV209" s="2"/>
      <c r="AFW209" s="2"/>
      <c r="AFX209" s="2"/>
      <c r="AFY209" s="2"/>
      <c r="AFZ209" s="2"/>
      <c r="AGA209" s="2"/>
      <c r="AGB209" s="2"/>
      <c r="AGC209" s="2"/>
      <c r="AGD209" s="2"/>
      <c r="AGE209" s="2"/>
      <c r="AGF209" s="2"/>
      <c r="AGG209" s="2"/>
      <c r="AGH209" s="2"/>
      <c r="AGI209" s="2"/>
      <c r="AGJ209" s="2"/>
      <c r="AGK209" s="2"/>
      <c r="AGL209" s="2"/>
      <c r="AGM209" s="2"/>
      <c r="AGN209" s="2"/>
      <c r="AGO209" s="2"/>
      <c r="AGP209" s="2"/>
      <c r="AGQ209" s="2"/>
      <c r="AGR209" s="2"/>
      <c r="AGS209" s="2"/>
      <c r="AGT209" s="2"/>
      <c r="AGU209" s="2"/>
      <c r="AGV209" s="2"/>
      <c r="AGW209" s="2"/>
      <c r="AGX209" s="2"/>
      <c r="AGY209" s="2"/>
      <c r="AGZ209" s="2"/>
      <c r="AHA209" s="2"/>
      <c r="AHB209" s="2"/>
      <c r="AHC209" s="2"/>
      <c r="AHD209" s="2"/>
      <c r="AHE209" s="2"/>
      <c r="AHF209" s="2"/>
      <c r="AHG209" s="2"/>
      <c r="AHH209" s="2"/>
      <c r="AHI209" s="2"/>
      <c r="AHJ209" s="2"/>
      <c r="AHK209" s="2"/>
      <c r="AHL209" s="2"/>
      <c r="AHM209" s="2"/>
      <c r="AHN209" s="2"/>
      <c r="AHO209" s="2"/>
      <c r="AHP209" s="2"/>
      <c r="AHQ209" s="2"/>
      <c r="AHR209" s="2"/>
      <c r="AHS209" s="2"/>
      <c r="AHT209" s="2"/>
      <c r="AHU209" s="2"/>
      <c r="AHV209" s="2"/>
      <c r="AHW209" s="2"/>
      <c r="AHX209" s="2"/>
      <c r="AHY209" s="2"/>
      <c r="AHZ209" s="2"/>
      <c r="AIA209" s="2"/>
      <c r="AIB209" s="2"/>
      <c r="AIC209" s="2"/>
      <c r="AID209" s="2"/>
      <c r="AIE209" s="2"/>
      <c r="AIF209" s="2"/>
      <c r="AIG209" s="2"/>
      <c r="AIH209" s="2"/>
      <c r="AII209" s="2"/>
      <c r="AIJ209" s="2"/>
      <c r="AIK209" s="2"/>
      <c r="AIL209" s="2"/>
      <c r="AIM209" s="2"/>
      <c r="AIN209" s="2"/>
      <c r="AIO209" s="2"/>
      <c r="AIP209" s="2"/>
      <c r="AIQ209" s="2"/>
      <c r="AIR209" s="2"/>
      <c r="AIS209" s="2"/>
      <c r="AIT209" s="2"/>
      <c r="AIU209" s="2"/>
      <c r="AIV209" s="2"/>
      <c r="AIW209" s="2"/>
      <c r="AIX209" s="2"/>
      <c r="AIY209" s="2"/>
      <c r="AIZ209" s="2"/>
      <c r="AJA209" s="2"/>
      <c r="AJB209" s="2"/>
      <c r="AJC209" s="2"/>
      <c r="AJD209" s="2"/>
      <c r="AJE209" s="2"/>
      <c r="AJF209" s="2"/>
      <c r="AJG209" s="2"/>
      <c r="AJH209" s="2"/>
      <c r="AJI209" s="2"/>
      <c r="AJJ209" s="2"/>
      <c r="AJK209" s="2"/>
      <c r="AJL209" s="2"/>
      <c r="AJM209" s="2"/>
      <c r="AJN209" s="2"/>
      <c r="AJO209" s="2"/>
      <c r="AJP209" s="2"/>
      <c r="AJQ209" s="2"/>
      <c r="AJR209" s="2"/>
      <c r="AJS209" s="2"/>
      <c r="AJT209" s="2"/>
      <c r="AJU209" s="2"/>
      <c r="AJV209" s="2"/>
      <c r="AJW209" s="2"/>
      <c r="AJX209" s="2"/>
      <c r="AJY209" s="2"/>
      <c r="AJZ209" s="2"/>
      <c r="AKA209" s="2"/>
      <c r="AKB209" s="2"/>
      <c r="AKC209" s="2"/>
      <c r="AKD209" s="2"/>
      <c r="AKE209" s="2"/>
      <c r="AKF209" s="2"/>
      <c r="AKG209" s="2"/>
      <c r="AKH209" s="2"/>
      <c r="AKI209" s="2"/>
      <c r="AKJ209" s="2"/>
      <c r="AKK209" s="2"/>
      <c r="AKL209" s="2"/>
      <c r="AKM209" s="2"/>
      <c r="AKN209" s="2"/>
      <c r="AKO209" s="2"/>
      <c r="AKP209" s="2"/>
      <c r="AKQ209" s="2"/>
      <c r="AKR209" s="2"/>
      <c r="AKS209" s="2"/>
      <c r="AKT209" s="2"/>
      <c r="AKU209" s="2"/>
      <c r="AKV209" s="2"/>
      <c r="AKW209" s="2"/>
      <c r="AKX209" s="2"/>
      <c r="AKY209" s="2"/>
      <c r="AKZ209" s="2"/>
      <c r="ALA209" s="2"/>
      <c r="ALB209" s="2"/>
      <c r="ALC209" s="2"/>
      <c r="ALD209" s="2"/>
      <c r="ALE209" s="2"/>
      <c r="ALF209" s="2"/>
      <c r="ALG209" s="2"/>
      <c r="ALH209" s="2"/>
      <c r="ALI209" s="2"/>
      <c r="ALJ209" s="2"/>
      <c r="ALK209" s="2"/>
      <c r="ALL209" s="2"/>
      <c r="ALM209" s="2"/>
      <c r="ALN209" s="2"/>
      <c r="ALO209" s="2"/>
      <c r="ALP209" s="2"/>
      <c r="ALQ209" s="2"/>
      <c r="ALR209" s="2"/>
      <c r="ALS209" s="2"/>
      <c r="ALT209" s="2"/>
      <c r="ALU209" s="2"/>
      <c r="ALV209" s="2"/>
      <c r="ALW209" s="2"/>
      <c r="ALX209" s="2"/>
      <c r="ALY209" s="2"/>
      <c r="ALZ209" s="2"/>
      <c r="AMA209" s="2"/>
      <c r="AMB209" s="2"/>
      <c r="AMC209" s="2"/>
      <c r="AMD209" s="2"/>
      <c r="AME209" s="2"/>
      <c r="AMF209" s="2"/>
      <c r="AMG209" s="2"/>
      <c r="AMH209" s="2"/>
      <c r="AMI209" s="2"/>
      <c r="AMJ209" s="2"/>
      <c r="AMK209" s="2"/>
      <c r="AML209" s="2"/>
      <c r="AMM209" s="2"/>
      <c r="AMN209" s="2"/>
      <c r="AMO209" s="2"/>
      <c r="AMP209" s="2"/>
      <c r="AMQ209" s="2"/>
      <c r="AMR209" s="2"/>
      <c r="AMS209" s="2"/>
      <c r="AMT209" s="2"/>
      <c r="AMU209" s="2"/>
      <c r="AMV209" s="2"/>
      <c r="AMW209" s="2"/>
      <c r="AMX209" s="2"/>
      <c r="AMY209" s="2"/>
      <c r="AMZ209" s="2"/>
      <c r="ANA209" s="2"/>
      <c r="ANB209" s="2"/>
      <c r="ANC209" s="2"/>
      <c r="AND209" s="2"/>
      <c r="ANE209" s="2"/>
      <c r="ANF209" s="2"/>
      <c r="ANG209" s="2"/>
      <c r="ANH209" s="2"/>
      <c r="ANI209" s="2"/>
      <c r="ANJ209" s="2"/>
      <c r="ANK209" s="2"/>
      <c r="ANL209" s="2"/>
      <c r="ANM209" s="2"/>
      <c r="ANN209" s="2"/>
      <c r="ANO209" s="2"/>
      <c r="ANP209" s="2"/>
      <c r="ANQ209" s="2"/>
      <c r="ANR209" s="2"/>
      <c r="ANS209" s="2"/>
      <c r="ANT209" s="2"/>
      <c r="ANU209" s="2"/>
      <c r="ANV209" s="2"/>
      <c r="ANW209" s="2"/>
      <c r="ANX209" s="2"/>
      <c r="ANY209" s="2"/>
      <c r="ANZ209" s="2"/>
      <c r="AOA209" s="2"/>
      <c r="AOB209" s="2"/>
      <c r="AOC209" s="2"/>
      <c r="AOD209" s="2"/>
      <c r="AOE209" s="2"/>
      <c r="AOF209" s="2"/>
      <c r="AOG209" s="2"/>
      <c r="AOH209" s="2"/>
      <c r="AOI209" s="2"/>
      <c r="AOJ209" s="2"/>
      <c r="AOK209" s="2"/>
      <c r="AOL209" s="2"/>
      <c r="AOM209" s="2"/>
      <c r="AON209" s="2"/>
      <c r="AOO209" s="2"/>
      <c r="AOP209" s="2"/>
      <c r="AOQ209" s="2"/>
      <c r="AOR209" s="2"/>
      <c r="AOS209" s="2"/>
      <c r="AOT209" s="2"/>
      <c r="AOU209" s="2"/>
      <c r="AOV209" s="2"/>
      <c r="AOW209" s="2"/>
      <c r="AOX209" s="2"/>
      <c r="AOY209" s="2"/>
      <c r="AOZ209" s="2"/>
      <c r="APA209" s="2"/>
      <c r="APB209" s="2"/>
      <c r="APC209" s="2"/>
      <c r="APD209" s="2"/>
      <c r="APE209" s="2"/>
      <c r="APF209" s="2"/>
      <c r="APG209" s="2"/>
      <c r="APH209" s="2"/>
      <c r="API209" s="2"/>
      <c r="APJ209" s="2"/>
      <c r="APK209" s="2"/>
      <c r="APL209" s="2"/>
      <c r="APM209" s="2"/>
      <c r="APN209" s="2"/>
      <c r="APO209" s="2"/>
      <c r="APP209" s="2"/>
      <c r="APQ209" s="2"/>
      <c r="APR209" s="2"/>
      <c r="APS209" s="2"/>
      <c r="APT209" s="2"/>
      <c r="APU209" s="2"/>
      <c r="APV209" s="2"/>
      <c r="APW209" s="2"/>
      <c r="APX209" s="2"/>
      <c r="APY209" s="2"/>
      <c r="APZ209" s="2"/>
      <c r="AQA209" s="2"/>
      <c r="AQB209" s="2"/>
      <c r="AQC209" s="2"/>
      <c r="AQD209" s="2"/>
      <c r="AQE209" s="2"/>
      <c r="AQF209" s="2"/>
      <c r="AQG209" s="2"/>
      <c r="AQH209" s="2"/>
      <c r="AQI209" s="2"/>
      <c r="AQJ209" s="2"/>
      <c r="AQK209" s="2"/>
      <c r="AQL209" s="2"/>
      <c r="AQM209" s="2"/>
      <c r="AQN209" s="2"/>
      <c r="AQO209" s="2"/>
      <c r="AQP209" s="2"/>
      <c r="AQQ209" s="2"/>
      <c r="AQR209" s="2"/>
      <c r="AQS209" s="2"/>
      <c r="AQT209" s="2"/>
      <c r="AQU209" s="2"/>
      <c r="AQV209" s="2"/>
      <c r="AQW209" s="2"/>
      <c r="AQX209" s="2"/>
      <c r="AQY209" s="2"/>
      <c r="AQZ209" s="2"/>
      <c r="ARA209" s="2"/>
      <c r="ARB209" s="2"/>
      <c r="ARC209" s="2"/>
      <c r="ARD209" s="2"/>
      <c r="ARE209" s="2"/>
      <c r="ARF209" s="2"/>
      <c r="ARG209" s="2"/>
      <c r="ARH209" s="2"/>
      <c r="ARI209" s="2"/>
      <c r="ARJ209" s="2"/>
      <c r="ARK209" s="2"/>
      <c r="ARL209" s="2"/>
      <c r="ARM209" s="2"/>
      <c r="ARN209" s="2"/>
      <c r="ARO209" s="2"/>
      <c r="ARP209" s="2"/>
      <c r="ARQ209" s="2"/>
      <c r="ARR209" s="2"/>
      <c r="ARS209" s="2"/>
      <c r="ART209" s="2"/>
      <c r="ARU209" s="2"/>
      <c r="ARV209" s="2"/>
      <c r="ARW209" s="2"/>
      <c r="ARX209" s="2"/>
      <c r="ARY209" s="2"/>
      <c r="ARZ209" s="2"/>
      <c r="ASA209" s="2"/>
      <c r="ASB209" s="2"/>
      <c r="ASC209" s="2"/>
      <c r="ASD209" s="2"/>
      <c r="ASE209" s="2"/>
      <c r="ASF209" s="2"/>
      <c r="ASG209" s="2"/>
      <c r="ASH209" s="2"/>
      <c r="ASI209" s="2"/>
      <c r="ASJ209" s="2"/>
      <c r="ASK209" s="2"/>
      <c r="ASL209" s="2"/>
      <c r="ASM209" s="2"/>
      <c r="ASN209" s="2"/>
      <c r="ASO209" s="2"/>
      <c r="ASP209" s="2"/>
      <c r="ASQ209" s="2"/>
      <c r="ASR209" s="2"/>
      <c r="ASS209" s="2"/>
      <c r="AST209" s="2"/>
      <c r="ASU209" s="2"/>
      <c r="ASV209" s="2"/>
      <c r="ASW209" s="2"/>
      <c r="ASX209" s="2"/>
      <c r="ASY209" s="2"/>
      <c r="ASZ209" s="2"/>
      <c r="ATA209" s="2"/>
      <c r="ATB209" s="2"/>
      <c r="ATC209" s="2"/>
      <c r="ATD209" s="2"/>
      <c r="ATE209" s="2"/>
      <c r="ATF209" s="2"/>
      <c r="ATG209" s="2"/>
      <c r="ATH209" s="2"/>
      <c r="ATI209" s="2"/>
      <c r="ATJ209" s="2"/>
      <c r="ATK209" s="2"/>
      <c r="ATL209" s="2"/>
      <c r="ATM209" s="2"/>
      <c r="ATN209" s="2"/>
      <c r="ATO209" s="2"/>
      <c r="ATP209" s="2"/>
      <c r="ATQ209" s="2"/>
      <c r="ATR209" s="2"/>
      <c r="ATS209" s="2"/>
      <c r="ATT209" s="2"/>
      <c r="ATU209" s="2"/>
      <c r="ATV209" s="2"/>
      <c r="ATW209" s="2"/>
      <c r="ATX209" s="2"/>
      <c r="ATY209" s="2"/>
      <c r="ATZ209" s="2"/>
      <c r="AUA209" s="2"/>
      <c r="AUB209" s="2"/>
      <c r="AUC209" s="2"/>
      <c r="AUD209" s="2"/>
      <c r="AUE209" s="2"/>
      <c r="AUF209" s="2"/>
      <c r="AUG209" s="2"/>
      <c r="AUH209" s="2"/>
      <c r="AUI209" s="2"/>
      <c r="AUJ209" s="2"/>
      <c r="AUK209" s="2"/>
      <c r="AUL209" s="2"/>
      <c r="AUM209" s="2"/>
      <c r="AUN209" s="2"/>
      <c r="AUO209" s="2"/>
      <c r="AUP209" s="2"/>
      <c r="AUQ209" s="2"/>
      <c r="AUR209" s="2"/>
      <c r="AUS209" s="2"/>
      <c r="AUT209" s="2"/>
      <c r="AUU209" s="2"/>
      <c r="AUV209" s="2"/>
      <c r="AUW209" s="2"/>
      <c r="AUX209" s="2"/>
      <c r="AUY209" s="2"/>
      <c r="AUZ209" s="2"/>
      <c r="AVA209" s="2"/>
      <c r="AVB209" s="2"/>
      <c r="AVC209" s="2"/>
      <c r="AVD209" s="2"/>
      <c r="AVE209" s="2"/>
      <c r="AVF209" s="2"/>
      <c r="AVG209" s="2"/>
      <c r="AVH209" s="2"/>
      <c r="AVI209" s="2"/>
      <c r="AVJ209" s="2"/>
      <c r="AVK209" s="2"/>
      <c r="AVL209" s="2"/>
      <c r="AVM209" s="2"/>
      <c r="AVN209" s="2"/>
      <c r="AVO209" s="2"/>
      <c r="AVP209" s="2"/>
      <c r="AVQ209" s="2"/>
      <c r="AVR209" s="2"/>
      <c r="AVS209" s="2"/>
      <c r="AVT209" s="2"/>
      <c r="AVU209" s="2"/>
      <c r="AVV209" s="2"/>
      <c r="AVW209" s="2"/>
      <c r="AVX209" s="2"/>
      <c r="AVY209" s="2"/>
      <c r="AVZ209" s="2"/>
      <c r="AWA209" s="2"/>
      <c r="AWB209" s="2"/>
      <c r="AWC209" s="2"/>
      <c r="AWD209" s="2"/>
      <c r="AWE209" s="2"/>
      <c r="AWF209" s="2"/>
      <c r="AWG209" s="2"/>
      <c r="AWH209" s="2"/>
      <c r="AWI209" s="2"/>
      <c r="AWJ209" s="2"/>
      <c r="AWK209" s="2"/>
      <c r="AWL209" s="2"/>
      <c r="AWM209" s="2"/>
      <c r="AWN209" s="2"/>
      <c r="AWO209" s="2"/>
      <c r="AWP209" s="2"/>
      <c r="AWQ209" s="2"/>
      <c r="AWR209" s="2"/>
      <c r="AWS209" s="2"/>
      <c r="AWT209" s="2"/>
      <c r="AWU209" s="2"/>
      <c r="AWV209" s="2"/>
      <c r="AWW209" s="2"/>
      <c r="AWX209" s="2"/>
      <c r="AWY209" s="2"/>
      <c r="AWZ209" s="2"/>
      <c r="AXA209" s="2"/>
      <c r="AXB209" s="2"/>
      <c r="AXC209" s="2"/>
      <c r="AXD209" s="2"/>
      <c r="AXE209" s="2"/>
      <c r="AXF209" s="2"/>
      <c r="AXG209" s="2"/>
      <c r="AXH209" s="2"/>
      <c r="AXI209" s="2"/>
      <c r="AXJ209" s="2"/>
      <c r="AXK209" s="2"/>
      <c r="AXL209" s="2"/>
      <c r="AXM209" s="2"/>
      <c r="AXN209" s="2"/>
      <c r="AXO209" s="2"/>
      <c r="AXP209" s="2"/>
      <c r="AXQ209" s="2"/>
      <c r="AXR209" s="2"/>
      <c r="AXS209" s="2"/>
      <c r="AXT209" s="2"/>
      <c r="AXU209" s="2"/>
      <c r="AXV209" s="2"/>
      <c r="AXW209" s="2"/>
      <c r="AXX209" s="2"/>
      <c r="AXY209" s="2"/>
      <c r="AXZ209" s="2"/>
      <c r="AYA209" s="2"/>
      <c r="AYB209" s="2"/>
      <c r="AYC209" s="2"/>
      <c r="AYD209" s="2"/>
      <c r="AYE209" s="2"/>
      <c r="AYF209" s="2"/>
      <c r="AYG209" s="2"/>
      <c r="AYH209" s="2"/>
      <c r="AYI209" s="2"/>
      <c r="AYJ209" s="2"/>
      <c r="AYK209" s="2"/>
      <c r="AYL209" s="2"/>
      <c r="AYM209" s="2"/>
      <c r="AYN209" s="2"/>
      <c r="AYO209" s="2"/>
      <c r="AYP209" s="2"/>
      <c r="AYQ209" s="2"/>
      <c r="AYR209" s="2"/>
      <c r="AYS209" s="2"/>
      <c r="AYT209" s="2"/>
      <c r="AYU209" s="2"/>
      <c r="AYV209" s="2"/>
      <c r="AYW209" s="2"/>
      <c r="AYX209" s="2"/>
      <c r="AYY209" s="2"/>
      <c r="AYZ209" s="2"/>
      <c r="AZA209" s="2"/>
      <c r="AZB209" s="2"/>
      <c r="AZC209" s="2"/>
      <c r="AZD209" s="2"/>
      <c r="AZE209" s="2"/>
      <c r="AZF209" s="2"/>
      <c r="AZG209" s="2"/>
      <c r="AZH209" s="2"/>
      <c r="AZI209" s="2"/>
      <c r="AZJ209" s="2"/>
      <c r="AZK209" s="2"/>
      <c r="AZL209" s="2"/>
      <c r="AZM209" s="2"/>
      <c r="AZN209" s="2"/>
      <c r="AZO209" s="2"/>
      <c r="AZP209" s="2"/>
      <c r="AZQ209" s="2"/>
      <c r="AZR209" s="2"/>
      <c r="AZS209" s="2"/>
      <c r="AZT209" s="2"/>
      <c r="AZU209" s="2"/>
      <c r="AZV209" s="2"/>
      <c r="AZW209" s="2"/>
      <c r="AZX209" s="2"/>
      <c r="AZY209" s="2"/>
      <c r="AZZ209" s="2"/>
      <c r="BAA209" s="2"/>
      <c r="BAB209" s="2"/>
      <c r="BAC209" s="2"/>
      <c r="BAD209" s="2"/>
      <c r="BAE209" s="2"/>
      <c r="BAF209" s="2"/>
      <c r="BAG209" s="2"/>
      <c r="BAH209" s="2"/>
      <c r="BAI209" s="2"/>
      <c r="BAJ209" s="2"/>
      <c r="BAK209" s="2"/>
      <c r="BAL209" s="2"/>
      <c r="BAM209" s="2"/>
      <c r="BAN209" s="2"/>
      <c r="BAO209" s="2"/>
      <c r="BAP209" s="2"/>
      <c r="BAQ209" s="2"/>
      <c r="BAR209" s="2"/>
      <c r="BAS209" s="2"/>
      <c r="BAT209" s="2"/>
      <c r="BAU209" s="2"/>
      <c r="BAV209" s="2"/>
      <c r="BAW209" s="2"/>
      <c r="BAX209" s="2"/>
      <c r="BAY209" s="2"/>
      <c r="BAZ209" s="2"/>
      <c r="BBA209" s="2"/>
      <c r="BBB209" s="2"/>
      <c r="BBC209" s="2"/>
      <c r="BBD209" s="2"/>
      <c r="BBE209" s="2"/>
      <c r="BBF209" s="2"/>
      <c r="BBG209" s="2"/>
      <c r="BBH209" s="2"/>
      <c r="BBI209" s="2"/>
      <c r="BBJ209" s="2"/>
      <c r="BBK209" s="2"/>
      <c r="BBL209" s="2"/>
      <c r="BBM209" s="2"/>
      <c r="BBN209" s="2"/>
      <c r="BBO209" s="2"/>
      <c r="BBP209" s="2"/>
      <c r="BBQ209" s="2"/>
      <c r="BBR209" s="2"/>
      <c r="BBS209" s="2"/>
      <c r="BBT209" s="2"/>
      <c r="BBU209" s="2"/>
      <c r="BBV209" s="2"/>
      <c r="BBW209" s="2"/>
      <c r="BBX209" s="2"/>
      <c r="BBY209" s="2"/>
      <c r="BBZ209" s="2"/>
      <c r="BCA209" s="2"/>
      <c r="BCB209" s="2"/>
      <c r="BCC209" s="2"/>
      <c r="BCD209" s="2"/>
      <c r="BCE209" s="2"/>
      <c r="BCF209" s="2"/>
      <c r="BCG209" s="2"/>
      <c r="BCH209" s="2"/>
      <c r="BCI209" s="2"/>
      <c r="BCJ209" s="2"/>
      <c r="BCK209" s="2"/>
      <c r="BCL209" s="2"/>
      <c r="BCM209" s="2"/>
      <c r="BCN209" s="2"/>
      <c r="BCO209" s="2"/>
      <c r="BCP209" s="2"/>
      <c r="BCQ209" s="2"/>
      <c r="BCR209" s="2"/>
      <c r="BCS209" s="2"/>
      <c r="BCT209" s="2"/>
      <c r="BCU209" s="2"/>
      <c r="BCV209" s="2"/>
      <c r="BCW209" s="2"/>
      <c r="BCX209" s="2"/>
      <c r="BCY209" s="2"/>
      <c r="BCZ209" s="2"/>
      <c r="BDA209" s="2"/>
      <c r="BDB209" s="2"/>
      <c r="BDC209" s="2"/>
      <c r="BDD209" s="2"/>
      <c r="BDE209" s="2"/>
      <c r="BDF209" s="2"/>
      <c r="BDG209" s="2"/>
      <c r="BDH209" s="2"/>
      <c r="BDI209" s="2"/>
      <c r="BDJ209" s="2"/>
      <c r="BDK209" s="2"/>
      <c r="BDL209" s="2"/>
      <c r="BDM209" s="2"/>
      <c r="BDN209" s="2"/>
      <c r="BDO209" s="2"/>
      <c r="BDP209" s="2"/>
      <c r="BDQ209" s="2"/>
      <c r="BDR209" s="2"/>
      <c r="BDS209" s="2"/>
      <c r="BDT209" s="2"/>
      <c r="BDU209" s="2"/>
      <c r="BDV209" s="2"/>
      <c r="BDW209" s="2"/>
      <c r="BDX209" s="2"/>
      <c r="BDY209" s="2"/>
      <c r="BDZ209" s="2"/>
      <c r="BEA209" s="2"/>
      <c r="BEB209" s="2"/>
      <c r="BEC209" s="2"/>
      <c r="BED209" s="2"/>
      <c r="BEE209" s="2"/>
      <c r="BEF209" s="2"/>
      <c r="BEG209" s="2"/>
      <c r="BEH209" s="2"/>
      <c r="BEI209" s="2"/>
      <c r="BEJ209" s="2"/>
      <c r="BEK209" s="2"/>
      <c r="BEL209" s="2"/>
      <c r="BEM209" s="2"/>
      <c r="BEN209" s="2"/>
      <c r="BEO209" s="2"/>
      <c r="BEP209" s="2"/>
      <c r="BEQ209" s="2"/>
      <c r="BER209" s="2"/>
      <c r="BES209" s="2"/>
      <c r="BET209" s="2"/>
      <c r="BEU209" s="2"/>
      <c r="BEV209" s="2"/>
      <c r="BEW209" s="2"/>
      <c r="BEX209" s="2"/>
      <c r="BEY209" s="2"/>
      <c r="BEZ209" s="2"/>
      <c r="BFA209" s="2"/>
      <c r="BFB209" s="2"/>
      <c r="BFC209" s="2"/>
      <c r="BFD209" s="2"/>
      <c r="BFE209" s="2"/>
      <c r="BFF209" s="2"/>
      <c r="BFG209" s="2"/>
      <c r="BFH209" s="2"/>
      <c r="BFI209" s="2"/>
      <c r="BFJ209" s="2"/>
      <c r="BFK209" s="2"/>
      <c r="BFL209" s="2"/>
      <c r="BFM209" s="2"/>
      <c r="BFN209" s="2"/>
      <c r="BFO209" s="2"/>
      <c r="BFP209" s="2"/>
      <c r="BFQ209" s="2"/>
      <c r="BFR209" s="2"/>
      <c r="BFS209" s="2"/>
      <c r="BFT209" s="2"/>
      <c r="BFU209" s="2"/>
      <c r="BFV209" s="2"/>
      <c r="BFW209" s="2"/>
      <c r="BFX209" s="2"/>
      <c r="BFY209" s="2"/>
      <c r="BFZ209" s="2"/>
      <c r="BGA209" s="2"/>
      <c r="BGB209" s="2"/>
      <c r="BGC209" s="2"/>
      <c r="BGD209" s="2"/>
      <c r="BGE209" s="2"/>
      <c r="BGF209" s="2"/>
      <c r="BGG209" s="2"/>
      <c r="BGH209" s="2"/>
      <c r="BGI209" s="2"/>
      <c r="BGJ209" s="2"/>
      <c r="BGK209" s="2"/>
      <c r="BGL209" s="2"/>
      <c r="BGM209" s="2"/>
      <c r="BGN209" s="2"/>
      <c r="BGO209" s="2"/>
      <c r="BGP209" s="2"/>
      <c r="BGQ209" s="2"/>
      <c r="BGR209" s="2"/>
      <c r="BGS209" s="2"/>
      <c r="BGT209" s="2"/>
      <c r="BGU209" s="2"/>
      <c r="BGV209" s="2"/>
      <c r="BGW209" s="2"/>
      <c r="BGX209" s="2"/>
      <c r="BGY209" s="2"/>
      <c r="BGZ209" s="2"/>
      <c r="BHA209" s="2"/>
      <c r="BHB209" s="2"/>
      <c r="BHC209" s="2"/>
      <c r="BHD209" s="2"/>
      <c r="BHE209" s="2"/>
      <c r="BHF209" s="2"/>
      <c r="BHG209" s="2"/>
      <c r="BHH209" s="2"/>
      <c r="BHI209" s="2"/>
      <c r="BHJ209" s="2"/>
      <c r="BHK209" s="2"/>
      <c r="BHL209" s="2"/>
      <c r="BHM209" s="2"/>
      <c r="BHN209" s="2"/>
      <c r="BHO209" s="2"/>
      <c r="BHP209" s="2"/>
      <c r="BHQ209" s="2"/>
      <c r="BHR209" s="2"/>
      <c r="BHS209" s="2"/>
      <c r="BHT209" s="2"/>
      <c r="BHU209" s="2"/>
      <c r="BHV209" s="2"/>
      <c r="BHW209" s="2"/>
      <c r="BHX209" s="2"/>
      <c r="BHY209" s="2"/>
      <c r="BHZ209" s="2"/>
      <c r="BIA209" s="2"/>
      <c r="BIB209" s="2"/>
      <c r="BIC209" s="2"/>
      <c r="BID209" s="2"/>
      <c r="BIE209" s="2"/>
      <c r="BIF209" s="2"/>
      <c r="BIG209" s="2"/>
      <c r="BIH209" s="2"/>
      <c r="BII209" s="2"/>
      <c r="BIJ209" s="2"/>
      <c r="BIK209" s="2"/>
      <c r="BIL209" s="2"/>
      <c r="BIM209" s="2"/>
      <c r="BIN209" s="2"/>
      <c r="BIO209" s="2"/>
      <c r="BIP209" s="2"/>
      <c r="BIQ209" s="2"/>
      <c r="BIR209" s="2"/>
      <c r="BIS209" s="2"/>
      <c r="BIT209" s="2"/>
      <c r="BIU209" s="2"/>
      <c r="BIV209" s="2"/>
      <c r="BIW209" s="2"/>
      <c r="BIX209" s="2"/>
      <c r="BIY209" s="2"/>
      <c r="BIZ209" s="2"/>
      <c r="BJA209" s="2"/>
      <c r="BJB209" s="2"/>
      <c r="BJC209" s="2"/>
      <c r="BJD209" s="2"/>
      <c r="BJE209" s="2"/>
      <c r="BJF209" s="2"/>
      <c r="BJG209" s="2"/>
      <c r="BJH209" s="2"/>
      <c r="BJI209" s="2"/>
      <c r="BJJ209" s="2"/>
      <c r="BJK209" s="2"/>
      <c r="BJL209" s="2"/>
      <c r="BJM209" s="2"/>
      <c r="BJN209" s="2"/>
      <c r="BJO209" s="2"/>
      <c r="BJP209" s="2"/>
      <c r="BJQ209" s="2"/>
      <c r="BJR209" s="2"/>
      <c r="BJS209" s="2"/>
      <c r="BJT209" s="2"/>
      <c r="BJU209" s="2"/>
      <c r="BJV209" s="2"/>
      <c r="BJW209" s="2"/>
      <c r="BJX209" s="2"/>
      <c r="BJY209" s="2"/>
      <c r="BJZ209" s="2"/>
      <c r="BKA209" s="2"/>
      <c r="BKB209" s="2"/>
      <c r="BKC209" s="2"/>
      <c r="BKD209" s="2"/>
      <c r="BKE209" s="2"/>
      <c r="BKF209" s="2"/>
      <c r="BKG209" s="2"/>
      <c r="BKH209" s="2"/>
      <c r="BKI209" s="2"/>
      <c r="BKJ209" s="2"/>
      <c r="BKK209" s="2"/>
      <c r="BKL209" s="2"/>
      <c r="BKM209" s="2"/>
      <c r="BKN209" s="2"/>
      <c r="BKO209" s="2"/>
      <c r="BKP209" s="2"/>
      <c r="BKQ209" s="2"/>
      <c r="BKR209" s="2"/>
      <c r="BKS209" s="2"/>
      <c r="BKT209" s="2"/>
      <c r="BKU209" s="2"/>
      <c r="BKV209" s="2"/>
      <c r="BKW209" s="2"/>
      <c r="BKX209" s="2"/>
      <c r="BKY209" s="2"/>
      <c r="BKZ209" s="2"/>
      <c r="BLA209" s="2"/>
      <c r="BLB209" s="2"/>
      <c r="BLC209" s="2"/>
      <c r="BLD209" s="2"/>
      <c r="BLE209" s="2"/>
      <c r="BLF209" s="2"/>
      <c r="BLG209" s="2"/>
      <c r="BLH209" s="2"/>
      <c r="BLI209" s="2"/>
      <c r="BLJ209" s="2"/>
      <c r="BLK209" s="2"/>
      <c r="BLL209" s="2"/>
      <c r="BLM209" s="2"/>
      <c r="BLN209" s="2"/>
      <c r="BLO209" s="2"/>
      <c r="BLP209" s="2"/>
      <c r="BLQ209" s="2"/>
      <c r="BLR209" s="2"/>
      <c r="BLS209" s="2"/>
      <c r="BLT209" s="2"/>
      <c r="BLU209" s="2"/>
      <c r="BLV209" s="2"/>
      <c r="BLW209" s="2"/>
      <c r="BLX209" s="2"/>
      <c r="BLY209" s="2"/>
      <c r="BLZ209" s="2"/>
      <c r="BMA209" s="2"/>
      <c r="BMB209" s="2"/>
      <c r="BMC209" s="2"/>
      <c r="BMD209" s="2"/>
      <c r="BME209" s="2"/>
      <c r="BMF209" s="2"/>
      <c r="BMG209" s="2"/>
      <c r="BMH209" s="2"/>
      <c r="BMI209" s="2"/>
      <c r="BMJ209" s="2"/>
      <c r="BMK209" s="2"/>
      <c r="BML209" s="2"/>
      <c r="BMM209" s="2"/>
      <c r="BMN209" s="2"/>
      <c r="BMO209" s="2"/>
      <c r="BMP209" s="2"/>
      <c r="BMQ209" s="2"/>
      <c r="BMR209" s="2"/>
      <c r="BMS209" s="2"/>
      <c r="BMT209" s="2"/>
      <c r="BMU209" s="2"/>
      <c r="BMV209" s="2"/>
      <c r="BMW209" s="2"/>
      <c r="BMX209" s="2"/>
      <c r="BMY209" s="2"/>
      <c r="BMZ209" s="2"/>
      <c r="BNA209" s="2"/>
      <c r="BNB209" s="2"/>
      <c r="BNC209" s="2"/>
      <c r="BND209" s="2"/>
      <c r="BNE209" s="2"/>
      <c r="BNF209" s="2"/>
      <c r="BNG209" s="2"/>
      <c r="BNH209" s="2"/>
      <c r="BNI209" s="2"/>
      <c r="BNJ209" s="2"/>
      <c r="BNK209" s="2"/>
      <c r="BNL209" s="2"/>
      <c r="BNM209" s="2"/>
      <c r="BNN209" s="2"/>
      <c r="BNO209" s="2"/>
      <c r="BNP209" s="2"/>
      <c r="BNQ209" s="2"/>
      <c r="BNR209" s="2"/>
      <c r="BNS209" s="2"/>
      <c r="BNT209" s="2"/>
      <c r="BNU209" s="2"/>
      <c r="BNV209" s="2"/>
      <c r="BNW209" s="2"/>
      <c r="BNX209" s="2"/>
      <c r="BNY209" s="2"/>
      <c r="BNZ209" s="2"/>
      <c r="BOA209" s="2"/>
      <c r="BOB209" s="2"/>
      <c r="BOC209" s="2"/>
      <c r="BOD209" s="2"/>
      <c r="BOE209" s="2"/>
      <c r="BOF209" s="2"/>
      <c r="BOG209" s="2"/>
      <c r="BOH209" s="2"/>
      <c r="BOI209" s="2"/>
      <c r="BOJ209" s="2"/>
      <c r="BOK209" s="2"/>
      <c r="BOL209" s="2"/>
      <c r="BOM209" s="2"/>
      <c r="BON209" s="2"/>
      <c r="BOO209" s="2"/>
      <c r="BOP209" s="2"/>
      <c r="BOQ209" s="2"/>
      <c r="BOR209" s="2"/>
      <c r="BOS209" s="2"/>
      <c r="BOT209" s="2"/>
      <c r="BOU209" s="2"/>
      <c r="BOV209" s="2"/>
      <c r="BOW209" s="2"/>
      <c r="BOX209" s="2"/>
      <c r="BOY209" s="2"/>
      <c r="BOZ209" s="2"/>
      <c r="BPA209" s="2"/>
      <c r="BPB209" s="2"/>
      <c r="BPC209" s="2"/>
      <c r="BPD209" s="2"/>
      <c r="BPE209" s="2"/>
      <c r="BPF209" s="2"/>
      <c r="BPG209" s="2"/>
      <c r="BPH209" s="2"/>
      <c r="BPI209" s="2"/>
      <c r="BPJ209" s="2"/>
      <c r="BPK209" s="2"/>
      <c r="BPL209" s="2"/>
      <c r="BPM209" s="2"/>
      <c r="BPN209" s="2"/>
      <c r="BPO209" s="2"/>
      <c r="BPP209" s="2"/>
      <c r="BPQ209" s="2"/>
      <c r="BPR209" s="2"/>
      <c r="BPS209" s="2"/>
      <c r="BPT209" s="2"/>
      <c r="BPU209" s="2"/>
      <c r="BPV209" s="2"/>
      <c r="BPW209" s="2"/>
      <c r="BPX209" s="2"/>
      <c r="BPY209" s="2"/>
      <c r="BPZ209" s="2"/>
      <c r="BQA209" s="2"/>
      <c r="BQB209" s="2"/>
      <c r="BQC209" s="2"/>
      <c r="BQD209" s="2"/>
      <c r="BQE209" s="2"/>
      <c r="BQF209" s="2"/>
      <c r="BQG209" s="2"/>
      <c r="BQH209" s="2"/>
      <c r="BQI209" s="2"/>
      <c r="BQJ209" s="2"/>
      <c r="BQK209" s="2"/>
      <c r="BQL209" s="2"/>
      <c r="BQM209" s="2"/>
      <c r="BQN209" s="2"/>
      <c r="BQO209" s="2"/>
      <c r="BQP209" s="2"/>
      <c r="BQQ209" s="2"/>
      <c r="BQR209" s="2"/>
      <c r="BQS209" s="2"/>
      <c r="BQT209" s="2"/>
      <c r="BQU209" s="2"/>
      <c r="BQV209" s="2"/>
      <c r="BQW209" s="2"/>
      <c r="BQX209" s="2"/>
      <c r="BQY209" s="2"/>
      <c r="BQZ209" s="2"/>
      <c r="BRA209" s="2"/>
      <c r="BRB209" s="2"/>
      <c r="BRC209" s="2"/>
      <c r="BRD209" s="2"/>
      <c r="BRE209" s="2"/>
      <c r="BRF209" s="2"/>
      <c r="BRG209" s="2"/>
      <c r="BRH209" s="2"/>
      <c r="BRI209" s="2"/>
      <c r="BRJ209" s="2"/>
      <c r="BRK209" s="2"/>
      <c r="BRL209" s="2"/>
      <c r="BRM209" s="2"/>
      <c r="BRN209" s="2"/>
      <c r="BRO209" s="2"/>
      <c r="BRP209" s="2"/>
      <c r="BRQ209" s="2"/>
      <c r="BRR209" s="2"/>
      <c r="BRS209" s="2"/>
      <c r="BRT209" s="2"/>
      <c r="BRU209" s="2"/>
      <c r="BRV209" s="2"/>
      <c r="BRW209" s="2"/>
      <c r="BRX209" s="2"/>
      <c r="BRY209" s="2"/>
      <c r="BRZ209" s="2"/>
      <c r="BSA209" s="2"/>
      <c r="BSB209" s="2"/>
      <c r="BSC209" s="2"/>
      <c r="BSD209" s="2"/>
      <c r="BSE209" s="2"/>
      <c r="BSF209" s="2"/>
      <c r="BSG209" s="2"/>
      <c r="BSH209" s="2"/>
      <c r="BSI209" s="2"/>
      <c r="BSJ209" s="2"/>
      <c r="BSK209" s="2"/>
      <c r="BSL209" s="2"/>
      <c r="BSM209" s="2"/>
      <c r="BSN209" s="2"/>
      <c r="BSO209" s="2"/>
      <c r="BSP209" s="2"/>
      <c r="BSQ209" s="2"/>
      <c r="BSR209" s="2"/>
      <c r="BSS209" s="2"/>
      <c r="BST209" s="2"/>
      <c r="BSU209" s="2"/>
      <c r="BSV209" s="2"/>
      <c r="BSW209" s="2"/>
      <c r="BSX209" s="2"/>
      <c r="BSY209" s="2"/>
      <c r="BSZ209" s="2"/>
      <c r="BTA209" s="2"/>
      <c r="BTB209" s="2"/>
      <c r="BTC209" s="2"/>
      <c r="BTD209" s="2"/>
      <c r="BTE209" s="2"/>
      <c r="BTF209" s="2"/>
      <c r="BTG209" s="2"/>
      <c r="BTH209" s="2"/>
      <c r="BTI209" s="2"/>
      <c r="BTJ209" s="2"/>
      <c r="BTK209" s="2"/>
      <c r="BTL209" s="2"/>
      <c r="BTM209" s="2"/>
      <c r="BTN209" s="2"/>
      <c r="BTO209" s="2"/>
      <c r="BTP209" s="2"/>
      <c r="BTQ209" s="2"/>
      <c r="BTR209" s="2"/>
      <c r="BTS209" s="2"/>
      <c r="BTT209" s="2"/>
      <c r="BTU209" s="2"/>
      <c r="BTV209" s="2"/>
      <c r="BTW209" s="2"/>
      <c r="BTX209" s="2"/>
      <c r="BTY209" s="2"/>
      <c r="BTZ209" s="2"/>
      <c r="BUA209" s="2"/>
      <c r="BUB209" s="2"/>
      <c r="BUC209" s="2"/>
      <c r="BUD209" s="2"/>
      <c r="BUE209" s="2"/>
      <c r="BUF209" s="2"/>
      <c r="BUG209" s="2"/>
      <c r="BUH209" s="2"/>
      <c r="BUI209" s="2"/>
      <c r="BUJ209" s="2"/>
      <c r="BUK209" s="2"/>
      <c r="BUL209" s="2"/>
      <c r="BUM209" s="2"/>
      <c r="BUN209" s="2"/>
      <c r="BUO209" s="2"/>
      <c r="BUP209" s="2"/>
      <c r="BUQ209" s="2"/>
      <c r="BUR209" s="2"/>
      <c r="BUS209" s="2"/>
      <c r="BUT209" s="2"/>
      <c r="BUU209" s="2"/>
      <c r="BUV209" s="2"/>
      <c r="BUW209" s="2"/>
      <c r="BUX209" s="2"/>
      <c r="BUY209" s="2"/>
      <c r="BUZ209" s="2"/>
      <c r="BVA209" s="2"/>
      <c r="BVB209" s="2"/>
      <c r="BVC209" s="2"/>
      <c r="BVD209" s="2"/>
      <c r="BVE209" s="2"/>
      <c r="BVF209" s="2"/>
      <c r="BVG209" s="2"/>
      <c r="BVH209" s="2"/>
      <c r="BVI209" s="2"/>
      <c r="BVJ209" s="2"/>
      <c r="BVK209" s="2"/>
      <c r="BVL209" s="2"/>
      <c r="BVM209" s="2"/>
      <c r="BVN209" s="2"/>
      <c r="BVO209" s="2"/>
      <c r="BVP209" s="2"/>
      <c r="BVQ209" s="2"/>
      <c r="BVR209" s="2"/>
      <c r="BVS209" s="2"/>
      <c r="BVT209" s="2"/>
      <c r="BVU209" s="2"/>
      <c r="BVV209" s="2"/>
      <c r="BVW209" s="2"/>
      <c r="BVX209" s="2"/>
      <c r="BVY209" s="2"/>
      <c r="BVZ209" s="2"/>
      <c r="BWA209" s="2"/>
      <c r="BWB209" s="2"/>
      <c r="BWC209" s="2"/>
      <c r="BWD209" s="2"/>
      <c r="BWE209" s="2"/>
      <c r="BWF209" s="2"/>
      <c r="BWG209" s="2"/>
      <c r="BWH209" s="2"/>
      <c r="BWI209" s="2"/>
      <c r="BWJ209" s="2"/>
      <c r="BWK209" s="2"/>
      <c r="BWL209" s="2"/>
      <c r="BWM209" s="2"/>
      <c r="BWN209" s="2"/>
      <c r="BWO209" s="2"/>
      <c r="BWP209" s="2"/>
      <c r="BWQ209" s="2"/>
      <c r="BWR209" s="2"/>
      <c r="BWS209" s="2"/>
      <c r="BWT209" s="2"/>
      <c r="BWU209" s="2"/>
      <c r="BWV209" s="2"/>
      <c r="BWW209" s="2"/>
      <c r="BWX209" s="2"/>
      <c r="BWY209" s="2"/>
      <c r="BWZ209" s="2"/>
      <c r="BXA209" s="2"/>
      <c r="BXB209" s="2"/>
      <c r="BXC209" s="2"/>
      <c r="BXD209" s="2"/>
      <c r="BXE209" s="2"/>
      <c r="BXF209" s="2"/>
      <c r="BXG209" s="2"/>
      <c r="BXH209" s="2"/>
      <c r="BXI209" s="2"/>
      <c r="BXJ209" s="2"/>
      <c r="BXK209" s="2"/>
      <c r="BXL209" s="2"/>
      <c r="BXM209" s="2"/>
      <c r="BXN209" s="2"/>
      <c r="BXO209" s="2"/>
      <c r="BXP209" s="2"/>
      <c r="BXQ209" s="2"/>
      <c r="BXR209" s="2"/>
      <c r="BXS209" s="2"/>
      <c r="BXT209" s="2"/>
      <c r="BXU209" s="2"/>
      <c r="BXV209" s="2"/>
      <c r="BXW209" s="2"/>
      <c r="BXX209" s="2"/>
      <c r="BXY209" s="2"/>
      <c r="BXZ209" s="2"/>
      <c r="BYA209" s="2"/>
      <c r="BYB209" s="2"/>
      <c r="BYC209" s="2"/>
      <c r="BYD209" s="2"/>
      <c r="BYE209" s="2"/>
      <c r="BYF209" s="2"/>
      <c r="BYG209" s="2"/>
      <c r="BYH209" s="2"/>
      <c r="BYI209" s="2"/>
      <c r="BYJ209" s="2"/>
      <c r="BYK209" s="2"/>
      <c r="BYL209" s="2"/>
      <c r="BYM209" s="2"/>
      <c r="BYN209" s="2"/>
      <c r="BYO209" s="2"/>
      <c r="BYP209" s="2"/>
      <c r="BYQ209" s="2"/>
      <c r="BYR209" s="2"/>
      <c r="BYS209" s="2"/>
      <c r="BYT209" s="2"/>
      <c r="BYU209" s="2"/>
      <c r="BYV209" s="2"/>
      <c r="BYW209" s="2"/>
      <c r="BYX209" s="2"/>
      <c r="BYY209" s="2"/>
      <c r="BYZ209" s="2"/>
      <c r="BZA209" s="2"/>
      <c r="BZB209" s="2"/>
      <c r="BZC209" s="2"/>
      <c r="BZD209" s="2"/>
      <c r="BZE209" s="2"/>
      <c r="BZF209" s="2"/>
      <c r="BZG209" s="2"/>
      <c r="BZH209" s="2"/>
      <c r="BZI209" s="2"/>
      <c r="BZJ209" s="2"/>
      <c r="BZK209" s="2"/>
      <c r="BZL209" s="2"/>
      <c r="BZM209" s="2"/>
      <c r="BZN209" s="2"/>
      <c r="BZO209" s="2"/>
      <c r="BZP209" s="2"/>
      <c r="BZQ209" s="2"/>
      <c r="BZR209" s="2"/>
      <c r="BZS209" s="2"/>
      <c r="BZT209" s="2"/>
      <c r="BZU209" s="2"/>
      <c r="BZV209" s="2"/>
      <c r="BZW209" s="2"/>
      <c r="BZX209" s="2"/>
      <c r="BZY209" s="2"/>
      <c r="BZZ209" s="2"/>
      <c r="CAA209" s="2"/>
      <c r="CAB209" s="2"/>
      <c r="CAC209" s="2"/>
      <c r="CAD209" s="2"/>
      <c r="CAE209" s="2"/>
      <c r="CAF209" s="2"/>
      <c r="CAG209" s="2"/>
      <c r="CAH209" s="2"/>
      <c r="CAI209" s="2"/>
      <c r="CAJ209" s="2"/>
      <c r="CAK209" s="2"/>
      <c r="CAL209" s="2"/>
      <c r="CAM209" s="2"/>
      <c r="CAN209" s="2"/>
      <c r="CAO209" s="2"/>
      <c r="CAP209" s="2"/>
      <c r="CAQ209" s="2"/>
      <c r="CAR209" s="2"/>
      <c r="CAS209" s="2"/>
      <c r="CAT209" s="2"/>
      <c r="CAU209" s="2"/>
      <c r="CAV209" s="2"/>
      <c r="CAW209" s="2"/>
      <c r="CAX209" s="2"/>
      <c r="CAY209" s="2"/>
      <c r="CAZ209" s="2"/>
      <c r="CBA209" s="2"/>
      <c r="CBB209" s="2"/>
      <c r="CBC209" s="2"/>
      <c r="CBD209" s="2"/>
      <c r="CBE209" s="2"/>
      <c r="CBF209" s="2"/>
      <c r="CBG209" s="2"/>
      <c r="CBH209" s="2"/>
      <c r="CBI209" s="2"/>
      <c r="CBJ209" s="2"/>
      <c r="CBK209" s="2"/>
      <c r="CBL209" s="2"/>
      <c r="CBM209" s="2"/>
      <c r="CBN209" s="2"/>
      <c r="CBO209" s="2"/>
      <c r="CBP209" s="2"/>
      <c r="CBQ209" s="2"/>
      <c r="CBR209" s="2"/>
      <c r="CBS209" s="2"/>
      <c r="CBT209" s="2"/>
      <c r="CBU209" s="2"/>
      <c r="CBV209" s="2"/>
      <c r="CBW209" s="2"/>
      <c r="CBX209" s="2"/>
      <c r="CBY209" s="2"/>
      <c r="CBZ209" s="2"/>
      <c r="CCA209" s="2"/>
      <c r="CCB209" s="2"/>
      <c r="CCC209" s="2"/>
      <c r="CCD209" s="2"/>
      <c r="CCE209" s="2"/>
      <c r="CCF209" s="2"/>
      <c r="CCG209" s="2"/>
      <c r="CCH209" s="2"/>
      <c r="CCI209" s="2"/>
      <c r="CCJ209" s="2"/>
      <c r="CCK209" s="2"/>
      <c r="CCL209" s="2"/>
      <c r="CCM209" s="2"/>
      <c r="CCN209" s="2"/>
      <c r="CCO209" s="2"/>
      <c r="CCP209" s="2"/>
      <c r="CCQ209" s="2"/>
      <c r="CCR209" s="2"/>
      <c r="CCS209" s="2"/>
      <c r="CCT209" s="2"/>
      <c r="CCU209" s="2"/>
      <c r="CCV209" s="2"/>
      <c r="CCW209" s="2"/>
      <c r="CCX209" s="2"/>
      <c r="CCY209" s="2"/>
      <c r="CCZ209" s="2"/>
      <c r="CDA209" s="2"/>
      <c r="CDB209" s="2"/>
      <c r="CDC209" s="2"/>
      <c r="CDD209" s="2"/>
      <c r="CDE209" s="2"/>
      <c r="CDF209" s="2"/>
      <c r="CDG209" s="2"/>
      <c r="CDH209" s="2"/>
      <c r="CDI209" s="2"/>
      <c r="CDJ209" s="2"/>
      <c r="CDK209" s="2"/>
      <c r="CDL209" s="2"/>
      <c r="CDM209" s="2"/>
      <c r="CDN209" s="2"/>
      <c r="CDO209" s="2"/>
      <c r="CDP209" s="2"/>
      <c r="CDQ209" s="2"/>
      <c r="CDR209" s="2"/>
      <c r="CDS209" s="2"/>
      <c r="CDT209" s="2"/>
      <c r="CDU209" s="2"/>
      <c r="CDV209" s="2"/>
      <c r="CDW209" s="2"/>
      <c r="CDX209" s="2"/>
      <c r="CDY209" s="2"/>
      <c r="CDZ209" s="2"/>
      <c r="CEA209" s="2"/>
      <c r="CEB209" s="2"/>
      <c r="CEC209" s="2"/>
      <c r="CED209" s="2"/>
      <c r="CEE209" s="2"/>
      <c r="CEF209" s="2"/>
      <c r="CEG209" s="2"/>
      <c r="CEH209" s="2"/>
      <c r="CEI209" s="2"/>
      <c r="CEJ209" s="2"/>
      <c r="CEK209" s="2"/>
      <c r="CEL209" s="2"/>
      <c r="CEM209" s="2"/>
      <c r="CEN209" s="2"/>
      <c r="CEO209" s="2"/>
      <c r="CEP209" s="2"/>
      <c r="CEQ209" s="2"/>
      <c r="CER209" s="2"/>
      <c r="CES209" s="2"/>
      <c r="CET209" s="2"/>
      <c r="CEU209" s="2"/>
      <c r="CEV209" s="2"/>
      <c r="CEW209" s="2"/>
      <c r="CEX209" s="2"/>
      <c r="CEY209" s="2"/>
      <c r="CEZ209" s="2"/>
      <c r="CFA209" s="2"/>
      <c r="CFB209" s="2"/>
      <c r="CFC209" s="2"/>
      <c r="CFD209" s="2"/>
      <c r="CFE209" s="2"/>
      <c r="CFF209" s="2"/>
      <c r="CFG209" s="2"/>
      <c r="CFH209" s="2"/>
      <c r="CFI209" s="2"/>
      <c r="CFJ209" s="2"/>
      <c r="CFK209" s="2"/>
      <c r="CFL209" s="2"/>
      <c r="CFM209" s="2"/>
      <c r="CFN209" s="2"/>
      <c r="CFO209" s="2"/>
      <c r="CFP209" s="2"/>
      <c r="CFQ209" s="2"/>
      <c r="CFR209" s="2"/>
      <c r="CFS209" s="2"/>
      <c r="CFT209" s="2"/>
      <c r="CFU209" s="2"/>
      <c r="CFV209" s="2"/>
      <c r="CFW209" s="2"/>
      <c r="CFX209" s="2"/>
      <c r="CFY209" s="2"/>
      <c r="CFZ209" s="2"/>
      <c r="CGA209" s="2"/>
      <c r="CGB209" s="2"/>
      <c r="CGC209" s="2"/>
      <c r="CGD209" s="2"/>
      <c r="CGE209" s="2"/>
      <c r="CGF209" s="2"/>
      <c r="CGG209" s="2"/>
      <c r="CGH209" s="2"/>
      <c r="CGI209" s="2"/>
      <c r="CGJ209" s="2"/>
      <c r="CGK209" s="2"/>
      <c r="CGL209" s="2"/>
      <c r="CGM209" s="2"/>
      <c r="CGN209" s="2"/>
      <c r="CGO209" s="2"/>
      <c r="CGP209" s="2"/>
      <c r="CGQ209" s="2"/>
      <c r="CGR209" s="2"/>
      <c r="CGS209" s="2"/>
      <c r="CGT209" s="2"/>
      <c r="CGU209" s="2"/>
      <c r="CGV209" s="2"/>
      <c r="CGW209" s="2"/>
      <c r="CGX209" s="2"/>
      <c r="CGY209" s="2"/>
      <c r="CGZ209" s="2"/>
      <c r="CHA209" s="2"/>
      <c r="CHB209" s="2"/>
      <c r="CHC209" s="2"/>
      <c r="CHD209" s="2"/>
      <c r="CHE209" s="2"/>
      <c r="CHF209" s="2"/>
      <c r="CHG209" s="2"/>
      <c r="CHH209" s="2"/>
      <c r="CHI209" s="2"/>
      <c r="CHJ209" s="2"/>
      <c r="CHK209" s="2"/>
      <c r="CHL209" s="2"/>
      <c r="CHM209" s="2"/>
      <c r="CHN209" s="2"/>
      <c r="CHO209" s="2"/>
      <c r="CHP209" s="2"/>
      <c r="CHQ209" s="2"/>
      <c r="CHR209" s="2"/>
      <c r="CHS209" s="2"/>
      <c r="CHT209" s="2"/>
      <c r="CHU209" s="2"/>
      <c r="CHV209" s="2"/>
      <c r="CHW209" s="2"/>
      <c r="CHX209" s="2"/>
      <c r="CHY209" s="2"/>
      <c r="CHZ209" s="2"/>
      <c r="CIA209" s="2"/>
      <c r="CIB209" s="2"/>
      <c r="CIC209" s="2"/>
      <c r="CID209" s="2"/>
      <c r="CIE209" s="2"/>
      <c r="CIF209" s="2"/>
      <c r="CIG209" s="2"/>
      <c r="CIH209" s="2"/>
      <c r="CII209" s="2"/>
      <c r="CIJ209" s="2"/>
      <c r="CIK209" s="2"/>
      <c r="CIL209" s="2"/>
      <c r="CIM209" s="2"/>
      <c r="CIN209" s="2"/>
      <c r="CIO209" s="2"/>
      <c r="CIP209" s="2"/>
      <c r="CIQ209" s="2"/>
      <c r="CIR209" s="2"/>
      <c r="CIS209" s="2"/>
      <c r="CIT209" s="2"/>
      <c r="CIU209" s="2"/>
      <c r="CIV209" s="2"/>
      <c r="CIW209" s="2"/>
      <c r="CIX209" s="2"/>
      <c r="CIY209" s="2"/>
      <c r="CIZ209" s="2"/>
      <c r="CJA209" s="2"/>
      <c r="CJB209" s="2"/>
      <c r="CJC209" s="2"/>
      <c r="CJD209" s="2"/>
      <c r="CJE209" s="2"/>
      <c r="CJF209" s="2"/>
      <c r="CJG209" s="2"/>
      <c r="CJH209" s="2"/>
      <c r="CJI209" s="2"/>
      <c r="CJJ209" s="2"/>
      <c r="CJK209" s="2"/>
      <c r="CJL209" s="2"/>
      <c r="CJM209" s="2"/>
      <c r="CJN209" s="2"/>
      <c r="CJO209" s="2"/>
      <c r="CJP209" s="2"/>
      <c r="CJQ209" s="2"/>
      <c r="CJR209" s="2"/>
      <c r="CJS209" s="2"/>
      <c r="CJT209" s="2"/>
      <c r="CJU209" s="2"/>
      <c r="CJV209" s="2"/>
      <c r="CJW209" s="2"/>
      <c r="CJX209" s="2"/>
      <c r="CJY209" s="2"/>
      <c r="CJZ209" s="2"/>
      <c r="CKA209" s="2"/>
      <c r="CKB209" s="2"/>
      <c r="CKC209" s="2"/>
      <c r="CKD209" s="2"/>
      <c r="CKE209" s="2"/>
      <c r="CKF209" s="2"/>
      <c r="CKG209" s="2"/>
      <c r="CKH209" s="2"/>
      <c r="CKI209" s="2"/>
      <c r="CKJ209" s="2"/>
      <c r="CKK209" s="2"/>
      <c r="CKL209" s="2"/>
      <c r="CKM209" s="2"/>
      <c r="CKN209" s="2"/>
      <c r="CKO209" s="2"/>
      <c r="CKP209" s="2"/>
      <c r="CKQ209" s="2"/>
      <c r="CKR209" s="2"/>
      <c r="CKS209" s="2"/>
      <c r="CKT209" s="2"/>
      <c r="CKU209" s="2"/>
      <c r="CKV209" s="2"/>
      <c r="CKW209" s="2"/>
      <c r="CKX209" s="2"/>
      <c r="CKY209" s="2"/>
      <c r="CKZ209" s="2"/>
      <c r="CLA209" s="2"/>
      <c r="CLB209" s="2"/>
      <c r="CLC209" s="2"/>
      <c r="CLD209" s="2"/>
      <c r="CLE209" s="2"/>
      <c r="CLF209" s="2"/>
      <c r="CLG209" s="2"/>
      <c r="CLH209" s="2"/>
      <c r="CLI209" s="2"/>
      <c r="CLJ209" s="2"/>
      <c r="CLK209" s="2"/>
      <c r="CLL209" s="2"/>
      <c r="CLM209" s="2"/>
      <c r="CLN209" s="2"/>
      <c r="CLO209" s="2"/>
      <c r="CLP209" s="2"/>
      <c r="CLQ209" s="2"/>
      <c r="CLR209" s="2"/>
      <c r="CLS209" s="2"/>
      <c r="CLT209" s="2"/>
      <c r="CLU209" s="2"/>
      <c r="CLV209" s="2"/>
      <c r="CLW209" s="2"/>
      <c r="CLX209" s="2"/>
      <c r="CLY209" s="2"/>
      <c r="CLZ209" s="2"/>
      <c r="CMA209" s="2"/>
      <c r="CMB209" s="2"/>
      <c r="CMC209" s="2"/>
      <c r="CMD209" s="2"/>
      <c r="CME209" s="2"/>
      <c r="CMF209" s="2"/>
      <c r="CMG209" s="2"/>
      <c r="CMH209" s="2"/>
      <c r="CMI209" s="2"/>
      <c r="CMJ209" s="2"/>
      <c r="CMK209" s="2"/>
      <c r="CML209" s="2"/>
      <c r="CMM209" s="2"/>
      <c r="CMN209" s="2"/>
      <c r="CMO209" s="2"/>
      <c r="CMP209" s="2"/>
      <c r="CMQ209" s="2"/>
      <c r="CMR209" s="2"/>
      <c r="CMS209" s="2"/>
      <c r="CMT209" s="2"/>
      <c r="CMU209" s="2"/>
      <c r="CMV209" s="2"/>
      <c r="CMW209" s="2"/>
      <c r="CMX209" s="2"/>
      <c r="CMY209" s="2"/>
      <c r="CMZ209" s="2"/>
      <c r="CNA209" s="2"/>
      <c r="CNB209" s="2"/>
      <c r="CNC209" s="2"/>
      <c r="CND209" s="2"/>
      <c r="CNE209" s="2"/>
      <c r="CNF209" s="2"/>
      <c r="CNG209" s="2"/>
      <c r="CNH209" s="2"/>
      <c r="CNI209" s="2"/>
      <c r="CNJ209" s="2"/>
      <c r="CNK209" s="2"/>
      <c r="CNL209" s="2"/>
      <c r="CNM209" s="2"/>
      <c r="CNN209" s="2"/>
      <c r="CNO209" s="2"/>
      <c r="CNP209" s="2"/>
      <c r="CNQ209" s="2"/>
      <c r="CNR209" s="2"/>
      <c r="CNS209" s="2"/>
      <c r="CNT209" s="2"/>
      <c r="CNU209" s="2"/>
      <c r="CNV209" s="2"/>
      <c r="CNW209" s="2"/>
      <c r="CNX209" s="2"/>
      <c r="CNY209" s="2"/>
      <c r="CNZ209" s="2"/>
      <c r="COA209" s="2"/>
      <c r="COB209" s="2"/>
      <c r="COC209" s="2"/>
      <c r="COD209" s="2"/>
      <c r="COE209" s="2"/>
      <c r="COF209" s="2"/>
      <c r="COG209" s="2"/>
      <c r="COH209" s="2"/>
      <c r="COI209" s="2"/>
      <c r="COJ209" s="2"/>
      <c r="COK209" s="2"/>
      <c r="COL209" s="2"/>
      <c r="COM209" s="2"/>
      <c r="CON209" s="2"/>
      <c r="COO209" s="2"/>
      <c r="COP209" s="2"/>
      <c r="COQ209" s="2"/>
      <c r="COR209" s="2"/>
      <c r="COS209" s="2"/>
      <c r="COT209" s="2"/>
      <c r="COU209" s="2"/>
      <c r="COV209" s="2"/>
      <c r="COW209" s="2"/>
      <c r="COX209" s="2"/>
      <c r="COY209" s="2"/>
      <c r="COZ209" s="2"/>
      <c r="CPA209" s="2"/>
      <c r="CPB209" s="2"/>
      <c r="CPC209" s="2"/>
      <c r="CPD209" s="2"/>
      <c r="CPE209" s="2"/>
      <c r="CPF209" s="2"/>
      <c r="CPG209" s="2"/>
      <c r="CPH209" s="2"/>
      <c r="CPI209" s="2"/>
      <c r="CPJ209" s="2"/>
      <c r="CPK209" s="2"/>
      <c r="CPL209" s="2"/>
      <c r="CPM209" s="2"/>
      <c r="CPN209" s="2"/>
      <c r="CPO209" s="2"/>
      <c r="CPP209" s="2"/>
      <c r="CPQ209" s="2"/>
      <c r="CPR209" s="2"/>
      <c r="CPS209" s="2"/>
      <c r="CPT209" s="2"/>
      <c r="CPU209" s="2"/>
      <c r="CPV209" s="2"/>
      <c r="CPW209" s="2"/>
      <c r="CPX209" s="2"/>
      <c r="CPY209" s="2"/>
      <c r="CPZ209" s="2"/>
      <c r="CQA209" s="2"/>
      <c r="CQB209" s="2"/>
      <c r="CQC209" s="2"/>
      <c r="CQD209" s="2"/>
      <c r="CQE209" s="2"/>
      <c r="CQF209" s="2"/>
      <c r="CQG209" s="2"/>
      <c r="CQH209" s="2"/>
      <c r="CQI209" s="2"/>
      <c r="CQJ209" s="2"/>
      <c r="CQK209" s="2"/>
      <c r="CQL209" s="2"/>
      <c r="CQM209" s="2"/>
      <c r="CQN209" s="2"/>
      <c r="CQO209" s="2"/>
      <c r="CQP209" s="2"/>
      <c r="CQQ209" s="2"/>
      <c r="CQR209" s="2"/>
      <c r="CQS209" s="2"/>
      <c r="CQT209" s="2"/>
      <c r="CQU209" s="2"/>
      <c r="CQV209" s="2"/>
      <c r="CQW209" s="2"/>
      <c r="CQX209" s="2"/>
      <c r="CQY209" s="2"/>
      <c r="CQZ209" s="2"/>
      <c r="CRA209" s="2"/>
      <c r="CRB209" s="2"/>
      <c r="CRC209" s="2"/>
      <c r="CRD209" s="2"/>
      <c r="CRE209" s="2"/>
      <c r="CRF209" s="2"/>
      <c r="CRG209" s="2"/>
      <c r="CRH209" s="2"/>
      <c r="CRI209" s="2"/>
      <c r="CRJ209" s="2"/>
      <c r="CRK209" s="2"/>
      <c r="CRL209" s="2"/>
      <c r="CRM209" s="2"/>
      <c r="CRN209" s="2"/>
      <c r="CRO209" s="2"/>
      <c r="CRP209" s="2"/>
      <c r="CRQ209" s="2"/>
      <c r="CRR209" s="2"/>
      <c r="CRS209" s="2"/>
      <c r="CRT209" s="2"/>
      <c r="CRU209" s="2"/>
      <c r="CRV209" s="2"/>
      <c r="CRW209" s="2"/>
      <c r="CRX209" s="2"/>
      <c r="CRY209" s="2"/>
      <c r="CRZ209" s="2"/>
      <c r="CSA209" s="2"/>
      <c r="CSB209" s="2"/>
      <c r="CSC209" s="2"/>
      <c r="CSD209" s="2"/>
      <c r="CSE209" s="2"/>
      <c r="CSF209" s="2"/>
      <c r="CSG209" s="2"/>
      <c r="CSH209" s="2"/>
      <c r="CSI209" s="2"/>
      <c r="CSJ209" s="2"/>
      <c r="CSK209" s="2"/>
      <c r="CSL209" s="2"/>
      <c r="CSM209" s="2"/>
      <c r="CSN209" s="2"/>
      <c r="CSO209" s="2"/>
      <c r="CSP209" s="2"/>
      <c r="CSQ209" s="2"/>
      <c r="CSR209" s="2"/>
      <c r="CSS209" s="2"/>
      <c r="CST209" s="2"/>
      <c r="CSU209" s="2"/>
      <c r="CSV209" s="2"/>
      <c r="CSW209" s="2"/>
      <c r="CSX209" s="2"/>
      <c r="CSY209" s="2"/>
      <c r="CSZ209" s="2"/>
      <c r="CTA209" s="2"/>
      <c r="CTB209" s="2"/>
      <c r="CTC209" s="2"/>
      <c r="CTD209" s="2"/>
      <c r="CTE209" s="2"/>
      <c r="CTF209" s="2"/>
      <c r="CTG209" s="2"/>
      <c r="CTH209" s="2"/>
      <c r="CTI209" s="2"/>
      <c r="CTJ209" s="2"/>
      <c r="CTK209" s="2"/>
      <c r="CTL209" s="2"/>
      <c r="CTM209" s="2"/>
      <c r="CTN209" s="2"/>
      <c r="CTO209" s="2"/>
      <c r="CTP209" s="2"/>
      <c r="CTQ209" s="2"/>
      <c r="CTR209" s="2"/>
      <c r="CTS209" s="2"/>
      <c r="CTT209" s="2"/>
      <c r="CTU209" s="2"/>
      <c r="CTV209" s="2"/>
      <c r="CTW209" s="2"/>
      <c r="CTX209" s="2"/>
      <c r="CTY209" s="2"/>
      <c r="CTZ209" s="2"/>
      <c r="CUA209" s="2"/>
      <c r="CUB209" s="2"/>
      <c r="CUC209" s="2"/>
      <c r="CUD209" s="2"/>
      <c r="CUE209" s="2"/>
      <c r="CUF209" s="2"/>
      <c r="CUG209" s="2"/>
      <c r="CUH209" s="2"/>
      <c r="CUI209" s="2"/>
      <c r="CUJ209" s="2"/>
      <c r="CUK209" s="2"/>
      <c r="CUL209" s="2"/>
      <c r="CUM209" s="2"/>
      <c r="CUN209" s="2"/>
      <c r="CUO209" s="2"/>
      <c r="CUP209" s="2"/>
      <c r="CUQ209" s="2"/>
      <c r="CUR209" s="2"/>
      <c r="CUS209" s="2"/>
      <c r="CUT209" s="2"/>
      <c r="CUU209" s="2"/>
      <c r="CUV209" s="2"/>
      <c r="CUW209" s="2"/>
      <c r="CUX209" s="2"/>
      <c r="CUY209" s="2"/>
      <c r="CUZ209" s="2"/>
      <c r="CVA209" s="2"/>
      <c r="CVB209" s="2"/>
      <c r="CVC209" s="2"/>
      <c r="CVD209" s="2"/>
      <c r="CVE209" s="2"/>
      <c r="CVF209" s="2"/>
      <c r="CVG209" s="2"/>
      <c r="CVH209" s="2"/>
      <c r="CVI209" s="2"/>
      <c r="CVJ209" s="2"/>
      <c r="CVK209" s="2"/>
      <c r="CVL209" s="2"/>
      <c r="CVM209" s="2"/>
      <c r="CVN209" s="2"/>
      <c r="CVO209" s="2"/>
      <c r="CVP209" s="2"/>
      <c r="CVQ209" s="2"/>
      <c r="CVR209" s="2"/>
      <c r="CVS209" s="2"/>
      <c r="CVT209" s="2"/>
      <c r="CVU209" s="2"/>
      <c r="CVV209" s="2"/>
      <c r="CVW209" s="2"/>
      <c r="CVX209" s="2"/>
      <c r="CVY209" s="2"/>
      <c r="CVZ209" s="2"/>
      <c r="CWA209" s="2"/>
      <c r="CWB209" s="2"/>
      <c r="CWC209" s="2"/>
      <c r="CWD209" s="2"/>
      <c r="CWE209" s="2"/>
      <c r="CWF209" s="2"/>
      <c r="CWG209" s="2"/>
      <c r="CWH209" s="2"/>
      <c r="CWI209" s="2"/>
      <c r="CWJ209" s="2"/>
      <c r="CWK209" s="2"/>
      <c r="CWL209" s="2"/>
      <c r="CWM209" s="2"/>
      <c r="CWN209" s="2"/>
      <c r="CWO209" s="2"/>
      <c r="CWP209" s="2"/>
      <c r="CWQ209" s="2"/>
      <c r="CWR209" s="2"/>
      <c r="CWS209" s="2"/>
      <c r="CWT209" s="2"/>
      <c r="CWU209" s="2"/>
      <c r="CWV209" s="2"/>
      <c r="CWW209" s="2"/>
      <c r="CWX209" s="2"/>
      <c r="CWY209" s="2"/>
      <c r="CWZ209" s="2"/>
      <c r="CXA209" s="2"/>
      <c r="CXB209" s="2"/>
      <c r="CXC209" s="2"/>
      <c r="CXD209" s="2"/>
      <c r="CXE209" s="2"/>
      <c r="CXF209" s="2"/>
      <c r="CXG209" s="2"/>
      <c r="CXH209" s="2"/>
      <c r="CXI209" s="2"/>
      <c r="CXJ209" s="2"/>
      <c r="CXK209" s="2"/>
      <c r="CXL209" s="2"/>
      <c r="CXM209" s="2"/>
      <c r="CXN209" s="2"/>
      <c r="CXO209" s="2"/>
      <c r="CXP209" s="2"/>
      <c r="CXQ209" s="2"/>
      <c r="CXR209" s="2"/>
      <c r="CXS209" s="2"/>
      <c r="CXT209" s="2"/>
      <c r="CXU209" s="2"/>
      <c r="CXV209" s="2"/>
      <c r="CXW209" s="2"/>
      <c r="CXX209" s="2"/>
      <c r="CXY209" s="2"/>
      <c r="CXZ209" s="2"/>
      <c r="CYA209" s="2"/>
      <c r="CYB209" s="2"/>
      <c r="CYC209" s="2"/>
      <c r="CYD209" s="2"/>
      <c r="CYE209" s="2"/>
      <c r="CYF209" s="2"/>
      <c r="CYG209" s="2"/>
      <c r="CYH209" s="2"/>
      <c r="CYI209" s="2"/>
      <c r="CYJ209" s="2"/>
      <c r="CYK209" s="2"/>
      <c r="CYL209" s="2"/>
      <c r="CYM209" s="2"/>
      <c r="CYN209" s="2"/>
      <c r="CYO209" s="2"/>
      <c r="CYP209" s="2"/>
      <c r="CYQ209" s="2"/>
      <c r="CYR209" s="2"/>
      <c r="CYS209" s="2"/>
      <c r="CYT209" s="2"/>
      <c r="CYU209" s="2"/>
      <c r="CYV209" s="2"/>
      <c r="CYW209" s="2"/>
      <c r="CYX209" s="2"/>
      <c r="CYY209" s="2"/>
      <c r="CYZ209" s="2"/>
      <c r="CZA209" s="2"/>
      <c r="CZB209" s="2"/>
      <c r="CZC209" s="2"/>
      <c r="CZD209" s="2"/>
      <c r="CZE209" s="2"/>
      <c r="CZF209" s="2"/>
      <c r="CZG209" s="2"/>
      <c r="CZH209" s="2"/>
      <c r="CZI209" s="2"/>
      <c r="CZJ209" s="2"/>
      <c r="CZK209" s="2"/>
      <c r="CZL209" s="2"/>
      <c r="CZM209" s="2"/>
      <c r="CZN209" s="2"/>
      <c r="CZO209" s="2"/>
      <c r="CZP209" s="2"/>
      <c r="CZQ209" s="2"/>
      <c r="CZR209" s="2"/>
      <c r="CZS209" s="2"/>
      <c r="CZT209" s="2"/>
      <c r="CZU209" s="2"/>
      <c r="CZV209" s="2"/>
      <c r="CZW209" s="2"/>
      <c r="CZX209" s="2"/>
      <c r="CZY209" s="2"/>
      <c r="CZZ209" s="2"/>
      <c r="DAA209" s="2"/>
      <c r="DAB209" s="2"/>
      <c r="DAC209" s="2"/>
      <c r="DAD209" s="2"/>
      <c r="DAE209" s="2"/>
      <c r="DAF209" s="2"/>
      <c r="DAG209" s="2"/>
      <c r="DAH209" s="2"/>
      <c r="DAI209" s="2"/>
      <c r="DAJ209" s="2"/>
      <c r="DAK209" s="2"/>
      <c r="DAL209" s="2"/>
      <c r="DAM209" s="2"/>
      <c r="DAN209" s="2"/>
      <c r="DAO209" s="2"/>
      <c r="DAP209" s="2"/>
      <c r="DAQ209" s="2"/>
      <c r="DAR209" s="2"/>
      <c r="DAS209" s="2"/>
      <c r="DAT209" s="2"/>
      <c r="DAU209" s="2"/>
      <c r="DAV209" s="2"/>
      <c r="DAW209" s="2"/>
      <c r="DAX209" s="2"/>
      <c r="DAY209" s="2"/>
      <c r="DAZ209" s="2"/>
      <c r="DBA209" s="2"/>
      <c r="DBB209" s="2"/>
      <c r="DBC209" s="2"/>
      <c r="DBD209" s="2"/>
      <c r="DBE209" s="2"/>
      <c r="DBF209" s="2"/>
      <c r="DBG209" s="2"/>
      <c r="DBH209" s="2"/>
      <c r="DBI209" s="2"/>
      <c r="DBJ209" s="2"/>
      <c r="DBK209" s="2"/>
      <c r="DBL209" s="2"/>
      <c r="DBM209" s="2"/>
      <c r="DBN209" s="2"/>
      <c r="DBO209" s="2"/>
      <c r="DBP209" s="2"/>
      <c r="DBQ209" s="2"/>
      <c r="DBR209" s="2"/>
      <c r="DBS209" s="2"/>
      <c r="DBT209" s="2"/>
      <c r="DBU209" s="2"/>
      <c r="DBV209" s="2"/>
      <c r="DBW209" s="2"/>
      <c r="DBX209" s="2"/>
      <c r="DBY209" s="2"/>
      <c r="DBZ209" s="2"/>
      <c r="DCA209" s="2"/>
      <c r="DCB209" s="2"/>
      <c r="DCC209" s="2"/>
      <c r="DCD209" s="2"/>
      <c r="DCE209" s="2"/>
      <c r="DCF209" s="2"/>
      <c r="DCG209" s="2"/>
      <c r="DCH209" s="2"/>
      <c r="DCI209" s="2"/>
      <c r="DCJ209" s="2"/>
      <c r="DCK209" s="2"/>
      <c r="DCL209" s="2"/>
      <c r="DCM209" s="2"/>
      <c r="DCN209" s="2"/>
      <c r="DCO209" s="2"/>
      <c r="DCP209" s="2"/>
      <c r="DCQ209" s="2"/>
      <c r="DCR209" s="2"/>
      <c r="DCS209" s="2"/>
      <c r="DCT209" s="2"/>
      <c r="DCU209" s="2"/>
      <c r="DCV209" s="2"/>
      <c r="DCW209" s="2"/>
      <c r="DCX209" s="2"/>
      <c r="DCY209" s="2"/>
      <c r="DCZ209" s="2"/>
      <c r="DDA209" s="2"/>
      <c r="DDB209" s="2"/>
      <c r="DDC209" s="2"/>
      <c r="DDD209" s="2"/>
      <c r="DDE209" s="2"/>
      <c r="DDF209" s="2"/>
      <c r="DDG209" s="2"/>
      <c r="DDH209" s="2"/>
      <c r="DDI209" s="2"/>
      <c r="DDJ209" s="2"/>
      <c r="DDK209" s="2"/>
      <c r="DDL209" s="2"/>
      <c r="DDM209" s="2"/>
      <c r="DDN209" s="2"/>
      <c r="DDO209" s="2"/>
      <c r="DDP209" s="2"/>
      <c r="DDQ209" s="2"/>
      <c r="DDR209" s="2"/>
      <c r="DDS209" s="2"/>
      <c r="DDT209" s="2"/>
      <c r="DDU209" s="2"/>
      <c r="DDV209" s="2"/>
      <c r="DDW209" s="2"/>
      <c r="DDX209" s="2"/>
      <c r="DDY209" s="2"/>
      <c r="DDZ209" s="2"/>
      <c r="DEA209" s="2"/>
      <c r="DEB209" s="2"/>
      <c r="DEC209" s="2"/>
      <c r="DED209" s="2"/>
      <c r="DEE209" s="2"/>
      <c r="DEF209" s="2"/>
      <c r="DEG209" s="2"/>
      <c r="DEH209" s="2"/>
      <c r="DEI209" s="2"/>
      <c r="DEJ209" s="2"/>
      <c r="DEK209" s="2"/>
      <c r="DEL209" s="2"/>
      <c r="DEM209" s="2"/>
      <c r="DEN209" s="2"/>
      <c r="DEO209" s="2"/>
      <c r="DEP209" s="2"/>
      <c r="DEQ209" s="2"/>
      <c r="DER209" s="2"/>
      <c r="DES209" s="2"/>
      <c r="DET209" s="2"/>
      <c r="DEU209" s="2"/>
      <c r="DEV209" s="2"/>
      <c r="DEW209" s="2"/>
      <c r="DEX209" s="2"/>
      <c r="DEY209" s="2"/>
      <c r="DEZ209" s="2"/>
      <c r="DFA209" s="2"/>
      <c r="DFB209" s="2"/>
      <c r="DFC209" s="2"/>
      <c r="DFD209" s="2"/>
      <c r="DFE209" s="2"/>
      <c r="DFF209" s="2"/>
      <c r="DFG209" s="2"/>
      <c r="DFH209" s="2"/>
      <c r="DFI209" s="2"/>
      <c r="DFJ209" s="2"/>
      <c r="DFK209" s="2"/>
      <c r="DFL209" s="2"/>
      <c r="DFM209" s="2"/>
      <c r="DFN209" s="2"/>
      <c r="DFO209" s="2"/>
      <c r="DFP209" s="2"/>
      <c r="DFQ209" s="2"/>
      <c r="DFR209" s="2"/>
      <c r="DFS209" s="2"/>
      <c r="DFT209" s="2"/>
      <c r="DFU209" s="2"/>
      <c r="DFV209" s="2"/>
      <c r="DFW209" s="2"/>
      <c r="DFX209" s="2"/>
      <c r="DFY209" s="2"/>
      <c r="DFZ209" s="2"/>
      <c r="DGA209" s="2"/>
      <c r="DGB209" s="2"/>
      <c r="DGC209" s="2"/>
      <c r="DGD209" s="2"/>
      <c r="DGE209" s="2"/>
      <c r="DGF209" s="2"/>
      <c r="DGG209" s="2"/>
      <c r="DGH209" s="2"/>
      <c r="DGI209" s="2"/>
      <c r="DGJ209" s="2"/>
      <c r="DGK209" s="2"/>
      <c r="DGL209" s="2"/>
      <c r="DGM209" s="2"/>
      <c r="DGN209" s="2"/>
      <c r="DGO209" s="2"/>
      <c r="DGP209" s="2"/>
      <c r="DGQ209" s="2"/>
      <c r="DGR209" s="2"/>
      <c r="DGS209" s="2"/>
      <c r="DGT209" s="2"/>
      <c r="DGU209" s="2"/>
      <c r="DGV209" s="2"/>
      <c r="DGW209" s="2"/>
      <c r="DGX209" s="2"/>
      <c r="DGY209" s="2"/>
      <c r="DGZ209" s="2"/>
      <c r="DHA209" s="2"/>
      <c r="DHB209" s="2"/>
      <c r="DHC209" s="2"/>
      <c r="DHD209" s="2"/>
      <c r="DHE209" s="2"/>
      <c r="DHF209" s="2"/>
      <c r="DHG209" s="2"/>
      <c r="DHH209" s="2"/>
      <c r="DHI209" s="2"/>
      <c r="DHJ209" s="2"/>
      <c r="DHK209" s="2"/>
      <c r="DHL209" s="2"/>
      <c r="DHM209" s="2"/>
      <c r="DHN209" s="2"/>
      <c r="DHO209" s="2"/>
      <c r="DHP209" s="2"/>
      <c r="DHQ209" s="2"/>
      <c r="DHR209" s="2"/>
      <c r="DHS209" s="2"/>
      <c r="DHT209" s="2"/>
      <c r="DHU209" s="2"/>
      <c r="DHV209" s="2"/>
      <c r="DHW209" s="2"/>
      <c r="DHX209" s="2"/>
      <c r="DHY209" s="2"/>
      <c r="DHZ209" s="2"/>
      <c r="DIA209" s="2"/>
      <c r="DIB209" s="2"/>
      <c r="DIC209" s="2"/>
      <c r="DID209" s="2"/>
      <c r="DIE209" s="2"/>
      <c r="DIF209" s="2"/>
      <c r="DIG209" s="2"/>
      <c r="DIH209" s="2"/>
      <c r="DII209" s="2"/>
      <c r="DIJ209" s="2"/>
      <c r="DIK209" s="2"/>
      <c r="DIL209" s="2"/>
      <c r="DIM209" s="2"/>
      <c r="DIN209" s="2"/>
      <c r="DIO209" s="2"/>
      <c r="DIP209" s="2"/>
      <c r="DIQ209" s="2"/>
      <c r="DIR209" s="2"/>
      <c r="DIS209" s="2"/>
      <c r="DIT209" s="2"/>
      <c r="DIU209" s="2"/>
      <c r="DIV209" s="2"/>
      <c r="DIW209" s="2"/>
      <c r="DIX209" s="2"/>
      <c r="DIY209" s="2"/>
      <c r="DIZ209" s="2"/>
      <c r="DJA209" s="2"/>
      <c r="DJB209" s="2"/>
      <c r="DJC209" s="2"/>
      <c r="DJD209" s="2"/>
      <c r="DJE209" s="2"/>
      <c r="DJF209" s="2"/>
      <c r="DJG209" s="2"/>
      <c r="DJH209" s="2"/>
      <c r="DJI209" s="2"/>
      <c r="DJJ209" s="2"/>
      <c r="DJK209" s="2"/>
      <c r="DJL209" s="2"/>
      <c r="DJM209" s="2"/>
      <c r="DJN209" s="2"/>
      <c r="DJO209" s="2"/>
      <c r="DJP209" s="2"/>
      <c r="DJQ209" s="2"/>
      <c r="DJR209" s="2"/>
      <c r="DJS209" s="2"/>
      <c r="DJT209" s="2"/>
      <c r="DJU209" s="2"/>
      <c r="DJV209" s="2"/>
      <c r="DJW209" s="2"/>
      <c r="DJX209" s="2"/>
      <c r="DJY209" s="2"/>
      <c r="DJZ209" s="2"/>
      <c r="DKA209" s="2"/>
      <c r="DKB209" s="2"/>
      <c r="DKC209" s="2"/>
      <c r="DKD209" s="2"/>
      <c r="DKE209" s="2"/>
      <c r="DKF209" s="2"/>
      <c r="DKG209" s="2"/>
      <c r="DKH209" s="2"/>
      <c r="DKI209" s="2"/>
      <c r="DKJ209" s="2"/>
      <c r="DKK209" s="2"/>
      <c r="DKL209" s="2"/>
      <c r="DKM209" s="2"/>
      <c r="DKN209" s="2"/>
      <c r="DKO209" s="2"/>
      <c r="DKP209" s="2"/>
      <c r="DKQ209" s="2"/>
      <c r="DKR209" s="2"/>
      <c r="DKS209" s="2"/>
      <c r="DKT209" s="2"/>
      <c r="DKU209" s="2"/>
      <c r="DKV209" s="2"/>
      <c r="DKW209" s="2"/>
      <c r="DKX209" s="2"/>
      <c r="DKY209" s="2"/>
      <c r="DKZ209" s="2"/>
      <c r="DLA209" s="2"/>
      <c r="DLB209" s="2"/>
      <c r="DLC209" s="2"/>
      <c r="DLD209" s="2"/>
      <c r="DLE209" s="2"/>
      <c r="DLF209" s="2"/>
      <c r="DLG209" s="2"/>
      <c r="DLH209" s="2"/>
      <c r="DLI209" s="2"/>
      <c r="DLJ209" s="2"/>
      <c r="DLK209" s="2"/>
      <c r="DLL209" s="2"/>
      <c r="DLM209" s="2"/>
      <c r="DLN209" s="2"/>
      <c r="DLO209" s="2"/>
      <c r="DLP209" s="2"/>
      <c r="DLQ209" s="2"/>
      <c r="DLR209" s="2"/>
      <c r="DLS209" s="2"/>
      <c r="DLT209" s="2"/>
      <c r="DLU209" s="2"/>
      <c r="DLV209" s="2"/>
      <c r="DLW209" s="2"/>
      <c r="DLX209" s="2"/>
      <c r="DLY209" s="2"/>
      <c r="DLZ209" s="2"/>
      <c r="DMA209" s="2"/>
      <c r="DMB209" s="2"/>
      <c r="DMC209" s="2"/>
      <c r="DMD209" s="2"/>
      <c r="DME209" s="2"/>
      <c r="DMF209" s="2"/>
      <c r="DMG209" s="2"/>
      <c r="DMH209" s="2"/>
      <c r="DMI209" s="2"/>
      <c r="DMJ209" s="2"/>
      <c r="DMK209" s="2"/>
      <c r="DML209" s="2"/>
      <c r="DMM209" s="2"/>
      <c r="DMN209" s="2"/>
      <c r="DMO209" s="2"/>
      <c r="DMP209" s="2"/>
      <c r="DMQ209" s="2"/>
      <c r="DMR209" s="2"/>
      <c r="DMS209" s="2"/>
      <c r="DMT209" s="2"/>
      <c r="DMU209" s="2"/>
      <c r="DMV209" s="2"/>
      <c r="DMW209" s="2"/>
      <c r="DMX209" s="2"/>
      <c r="DMY209" s="2"/>
      <c r="DMZ209" s="2"/>
      <c r="DNA209" s="2"/>
      <c r="DNB209" s="2"/>
      <c r="DNC209" s="2"/>
      <c r="DND209" s="2"/>
      <c r="DNE209" s="2"/>
      <c r="DNF209" s="2"/>
      <c r="DNG209" s="2"/>
      <c r="DNH209" s="2"/>
      <c r="DNI209" s="2"/>
      <c r="DNJ209" s="2"/>
      <c r="DNK209" s="2"/>
      <c r="DNL209" s="2"/>
      <c r="DNM209" s="2"/>
      <c r="DNN209" s="2"/>
      <c r="DNO209" s="2"/>
      <c r="DNP209" s="2"/>
      <c r="DNQ209" s="2"/>
      <c r="DNR209" s="2"/>
      <c r="DNS209" s="2"/>
      <c r="DNT209" s="2"/>
      <c r="DNU209" s="2"/>
      <c r="DNV209" s="2"/>
      <c r="DNW209" s="2"/>
      <c r="DNX209" s="2"/>
      <c r="DNY209" s="2"/>
      <c r="DNZ209" s="2"/>
      <c r="DOA209" s="2"/>
      <c r="DOB209" s="2"/>
      <c r="DOC209" s="2"/>
      <c r="DOD209" s="2"/>
      <c r="DOE209" s="2"/>
      <c r="DOF209" s="2"/>
      <c r="DOG209" s="2"/>
      <c r="DOH209" s="2"/>
      <c r="DOI209" s="2"/>
      <c r="DOJ209" s="2"/>
      <c r="DOK209" s="2"/>
      <c r="DOL209" s="2"/>
      <c r="DOM209" s="2"/>
      <c r="DON209" s="2"/>
      <c r="DOO209" s="2"/>
      <c r="DOP209" s="2"/>
      <c r="DOQ209" s="2"/>
      <c r="DOR209" s="2"/>
      <c r="DOS209" s="2"/>
      <c r="DOT209" s="2"/>
      <c r="DOU209" s="2"/>
      <c r="DOV209" s="2"/>
      <c r="DOW209" s="2"/>
      <c r="DOX209" s="2"/>
      <c r="DOY209" s="2"/>
      <c r="DOZ209" s="2"/>
      <c r="DPA209" s="2"/>
      <c r="DPB209" s="2"/>
      <c r="DPC209" s="2"/>
      <c r="DPD209" s="2"/>
      <c r="DPE209" s="2"/>
      <c r="DPF209" s="2"/>
      <c r="DPG209" s="2"/>
      <c r="DPH209" s="2"/>
      <c r="DPI209" s="2"/>
      <c r="DPJ209" s="2"/>
      <c r="DPK209" s="2"/>
      <c r="DPL209" s="2"/>
      <c r="DPM209" s="2"/>
      <c r="DPN209" s="2"/>
      <c r="DPO209" s="2"/>
      <c r="DPP209" s="2"/>
      <c r="DPQ209" s="2"/>
      <c r="DPR209" s="2"/>
      <c r="DPS209" s="2"/>
      <c r="DPT209" s="2"/>
      <c r="DPU209" s="2"/>
      <c r="DPV209" s="2"/>
      <c r="DPW209" s="2"/>
      <c r="DPX209" s="2"/>
      <c r="DPY209" s="2"/>
      <c r="DPZ209" s="2"/>
      <c r="DQA209" s="2"/>
      <c r="DQB209" s="2"/>
      <c r="DQC209" s="2"/>
      <c r="DQD209" s="2"/>
      <c r="DQE209" s="2"/>
      <c r="DQF209" s="2"/>
      <c r="DQG209" s="2"/>
      <c r="DQH209" s="2"/>
      <c r="DQI209" s="2"/>
      <c r="DQJ209" s="2"/>
      <c r="DQK209" s="2"/>
      <c r="DQL209" s="2"/>
      <c r="DQM209" s="2"/>
      <c r="DQN209" s="2"/>
      <c r="DQO209" s="2"/>
      <c r="DQP209" s="2"/>
      <c r="DQQ209" s="2"/>
      <c r="DQR209" s="2"/>
      <c r="DQS209" s="2"/>
      <c r="DQT209" s="2"/>
      <c r="DQU209" s="2"/>
      <c r="DQV209" s="2"/>
      <c r="DQW209" s="2"/>
      <c r="DQX209" s="2"/>
      <c r="DQY209" s="2"/>
      <c r="DQZ209" s="2"/>
      <c r="DRA209" s="2"/>
      <c r="DRB209" s="2"/>
      <c r="DRC209" s="2"/>
      <c r="DRD209" s="2"/>
      <c r="DRE209" s="2"/>
      <c r="DRF209" s="2"/>
      <c r="DRG209" s="2"/>
      <c r="DRH209" s="2"/>
      <c r="DRI209" s="2"/>
      <c r="DRJ209" s="2"/>
      <c r="DRK209" s="2"/>
      <c r="DRL209" s="2"/>
      <c r="DRM209" s="2"/>
      <c r="DRN209" s="2"/>
      <c r="DRO209" s="2"/>
      <c r="DRP209" s="2"/>
      <c r="DRQ209" s="2"/>
      <c r="DRR209" s="2"/>
      <c r="DRS209" s="2"/>
      <c r="DRT209" s="2"/>
      <c r="DRU209" s="2"/>
      <c r="DRV209" s="2"/>
      <c r="DRW209" s="2"/>
      <c r="DRX209" s="2"/>
      <c r="DRY209" s="2"/>
      <c r="DRZ209" s="2"/>
      <c r="DSA209" s="2"/>
      <c r="DSB209" s="2"/>
      <c r="DSC209" s="2"/>
      <c r="DSD209" s="2"/>
      <c r="DSE209" s="2"/>
      <c r="DSF209" s="2"/>
      <c r="DSG209" s="2"/>
      <c r="DSH209" s="2"/>
      <c r="DSI209" s="2"/>
      <c r="DSJ209" s="2"/>
      <c r="DSK209" s="2"/>
      <c r="DSL209" s="2"/>
      <c r="DSM209" s="2"/>
      <c r="DSN209" s="2"/>
      <c r="DSO209" s="2"/>
      <c r="DSP209" s="2"/>
      <c r="DSQ209" s="2"/>
      <c r="DSR209" s="2"/>
      <c r="DSS209" s="2"/>
      <c r="DST209" s="2"/>
      <c r="DSU209" s="2"/>
      <c r="DSV209" s="2"/>
      <c r="DSW209" s="2"/>
      <c r="DSX209" s="2"/>
      <c r="DSY209" s="2"/>
      <c r="DSZ209" s="2"/>
      <c r="DTA209" s="2"/>
      <c r="DTB209" s="2"/>
      <c r="DTC209" s="2"/>
      <c r="DTD209" s="2"/>
      <c r="DTE209" s="2"/>
      <c r="DTF209" s="2"/>
      <c r="DTG209" s="2"/>
      <c r="DTH209" s="2"/>
      <c r="DTI209" s="2"/>
      <c r="DTJ209" s="2"/>
      <c r="DTK209" s="2"/>
      <c r="DTL209" s="2"/>
      <c r="DTM209" s="2"/>
      <c r="DTN209" s="2"/>
      <c r="DTO209" s="2"/>
      <c r="DTP209" s="2"/>
      <c r="DTQ209" s="2"/>
      <c r="DTR209" s="2"/>
      <c r="DTS209" s="2"/>
      <c r="DTT209" s="2"/>
      <c r="DTU209" s="2"/>
      <c r="DTV209" s="2"/>
      <c r="DTW209" s="2"/>
      <c r="DTX209" s="2"/>
      <c r="DTY209" s="2"/>
      <c r="DTZ209" s="2"/>
      <c r="DUA209" s="2"/>
      <c r="DUB209" s="2"/>
      <c r="DUC209" s="2"/>
      <c r="DUD209" s="2"/>
      <c r="DUE209" s="2"/>
      <c r="DUF209" s="2"/>
      <c r="DUG209" s="2"/>
      <c r="DUH209" s="2"/>
      <c r="DUI209" s="2"/>
      <c r="DUJ209" s="2"/>
      <c r="DUK209" s="2"/>
      <c r="DUL209" s="2"/>
      <c r="DUM209" s="2"/>
      <c r="DUN209" s="2"/>
      <c r="DUO209" s="2"/>
      <c r="DUP209" s="2"/>
      <c r="DUQ209" s="2"/>
      <c r="DUR209" s="2"/>
      <c r="DUS209" s="2"/>
      <c r="DUT209" s="2"/>
      <c r="DUU209" s="2"/>
      <c r="DUV209" s="2"/>
      <c r="DUW209" s="2"/>
      <c r="DUX209" s="2"/>
      <c r="DUY209" s="2"/>
      <c r="DUZ209" s="2"/>
      <c r="DVA209" s="2"/>
      <c r="DVB209" s="2"/>
      <c r="DVC209" s="2"/>
      <c r="DVD209" s="2"/>
      <c r="DVE209" s="2"/>
      <c r="DVF209" s="2"/>
      <c r="DVG209" s="2"/>
      <c r="DVH209" s="2"/>
      <c r="DVI209" s="2"/>
      <c r="DVJ209" s="2"/>
      <c r="DVK209" s="2"/>
      <c r="DVL209" s="2"/>
      <c r="DVM209" s="2"/>
      <c r="DVN209" s="2"/>
      <c r="DVO209" s="2"/>
      <c r="DVP209" s="2"/>
      <c r="DVQ209" s="2"/>
      <c r="DVR209" s="2"/>
      <c r="DVS209" s="2"/>
      <c r="DVT209" s="2"/>
      <c r="DVU209" s="2"/>
      <c r="DVV209" s="2"/>
      <c r="DVW209" s="2"/>
      <c r="DVX209" s="2"/>
      <c r="DVY209" s="2"/>
      <c r="DVZ209" s="2"/>
      <c r="DWA209" s="2"/>
      <c r="DWB209" s="2"/>
      <c r="DWC209" s="2"/>
      <c r="DWD209" s="2"/>
      <c r="DWE209" s="2"/>
      <c r="DWF209" s="2"/>
      <c r="DWG209" s="2"/>
      <c r="DWH209" s="2"/>
      <c r="DWI209" s="2"/>
      <c r="DWJ209" s="2"/>
      <c r="DWK209" s="2"/>
      <c r="DWL209" s="2"/>
      <c r="DWM209" s="2"/>
      <c r="DWN209" s="2"/>
      <c r="DWO209" s="2"/>
      <c r="DWP209" s="2"/>
      <c r="DWQ209" s="2"/>
      <c r="DWR209" s="2"/>
      <c r="DWS209" s="2"/>
      <c r="DWT209" s="2"/>
      <c r="DWU209" s="2"/>
      <c r="DWV209" s="2"/>
      <c r="DWW209" s="2"/>
      <c r="DWX209" s="2"/>
      <c r="DWY209" s="2"/>
      <c r="DWZ209" s="2"/>
      <c r="DXA209" s="2"/>
      <c r="DXB209" s="2"/>
      <c r="DXC209" s="2"/>
      <c r="DXD209" s="2"/>
      <c r="DXE209" s="2"/>
      <c r="DXF209" s="2"/>
      <c r="DXG209" s="2"/>
      <c r="DXH209" s="2"/>
      <c r="DXI209" s="2"/>
      <c r="DXJ209" s="2"/>
      <c r="DXK209" s="2"/>
      <c r="DXL209" s="2"/>
      <c r="DXM209" s="2"/>
      <c r="DXN209" s="2"/>
      <c r="DXO209" s="2"/>
      <c r="DXP209" s="2"/>
      <c r="DXQ209" s="2"/>
      <c r="DXR209" s="2"/>
      <c r="DXS209" s="2"/>
      <c r="DXT209" s="2"/>
      <c r="DXU209" s="2"/>
      <c r="DXV209" s="2"/>
      <c r="DXW209" s="2"/>
      <c r="DXX209" s="2"/>
      <c r="DXY209" s="2"/>
      <c r="DXZ209" s="2"/>
      <c r="DYA209" s="2"/>
      <c r="DYB209" s="2"/>
      <c r="DYC209" s="2"/>
      <c r="DYD209" s="2"/>
      <c r="DYE209" s="2"/>
      <c r="DYF209" s="2"/>
      <c r="DYG209" s="2"/>
      <c r="DYH209" s="2"/>
      <c r="DYI209" s="2"/>
      <c r="DYJ209" s="2"/>
      <c r="DYK209" s="2"/>
      <c r="DYL209" s="2"/>
      <c r="DYM209" s="2"/>
      <c r="DYN209" s="2"/>
      <c r="DYO209" s="2"/>
      <c r="DYP209" s="2"/>
      <c r="DYQ209" s="2"/>
      <c r="DYR209" s="2"/>
      <c r="DYS209" s="2"/>
      <c r="DYT209" s="2"/>
      <c r="DYU209" s="2"/>
      <c r="DYV209" s="2"/>
      <c r="DYW209" s="2"/>
      <c r="DYX209" s="2"/>
      <c r="DYY209" s="2"/>
      <c r="DYZ209" s="2"/>
      <c r="DZA209" s="2"/>
      <c r="DZB209" s="2"/>
      <c r="DZC209" s="2"/>
      <c r="DZD209" s="2"/>
      <c r="DZE209" s="2"/>
      <c r="DZF209" s="2"/>
      <c r="DZG209" s="2"/>
      <c r="DZH209" s="2"/>
      <c r="DZI209" s="2"/>
      <c r="DZJ209" s="2"/>
      <c r="DZK209" s="2"/>
      <c r="DZL209" s="2"/>
      <c r="DZM209" s="2"/>
      <c r="DZN209" s="2"/>
      <c r="DZO209" s="2"/>
      <c r="DZP209" s="2"/>
      <c r="DZQ209" s="2"/>
      <c r="DZR209" s="2"/>
      <c r="DZS209" s="2"/>
      <c r="DZT209" s="2"/>
      <c r="DZU209" s="2"/>
      <c r="DZV209" s="2"/>
      <c r="DZW209" s="2"/>
      <c r="DZX209" s="2"/>
      <c r="DZY209" s="2"/>
      <c r="DZZ209" s="2"/>
      <c r="EAA209" s="2"/>
      <c r="EAB209" s="2"/>
      <c r="EAC209" s="2"/>
      <c r="EAD209" s="2"/>
      <c r="EAE209" s="2"/>
      <c r="EAF209" s="2"/>
      <c r="EAG209" s="2"/>
      <c r="EAH209" s="2"/>
      <c r="EAI209" s="2"/>
      <c r="EAJ209" s="2"/>
      <c r="EAK209" s="2"/>
      <c r="EAL209" s="2"/>
      <c r="EAM209" s="2"/>
      <c r="EAN209" s="2"/>
      <c r="EAO209" s="2"/>
      <c r="EAP209" s="2"/>
      <c r="EAQ209" s="2"/>
      <c r="EAR209" s="2"/>
      <c r="EAS209" s="2"/>
      <c r="EAT209" s="2"/>
      <c r="EAU209" s="2"/>
      <c r="EAV209" s="2"/>
      <c r="EAW209" s="2"/>
      <c r="EAX209" s="2"/>
      <c r="EAY209" s="2"/>
      <c r="EAZ209" s="2"/>
      <c r="EBA209" s="2"/>
      <c r="EBB209" s="2"/>
      <c r="EBC209" s="2"/>
      <c r="EBD209" s="2"/>
      <c r="EBE209" s="2"/>
      <c r="EBF209" s="2"/>
      <c r="EBG209" s="2"/>
      <c r="EBH209" s="2"/>
      <c r="EBI209" s="2"/>
      <c r="EBJ209" s="2"/>
      <c r="EBK209" s="2"/>
      <c r="EBL209" s="2"/>
      <c r="EBM209" s="2"/>
      <c r="EBN209" s="2"/>
      <c r="EBO209" s="2"/>
      <c r="EBP209" s="2"/>
      <c r="EBQ209" s="2"/>
      <c r="EBR209" s="2"/>
      <c r="EBS209" s="2"/>
      <c r="EBT209" s="2"/>
      <c r="EBU209" s="2"/>
      <c r="EBV209" s="2"/>
      <c r="EBW209" s="2"/>
      <c r="EBX209" s="2"/>
      <c r="EBY209" s="2"/>
      <c r="EBZ209" s="2"/>
      <c r="ECA209" s="2"/>
      <c r="ECB209" s="2"/>
      <c r="ECC209" s="2"/>
      <c r="ECD209" s="2"/>
      <c r="ECE209" s="2"/>
      <c r="ECF209" s="2"/>
      <c r="ECG209" s="2"/>
      <c r="ECH209" s="2"/>
      <c r="ECI209" s="2"/>
      <c r="ECJ209" s="2"/>
      <c r="ECK209" s="2"/>
      <c r="ECL209" s="2"/>
      <c r="ECM209" s="2"/>
      <c r="ECN209" s="2"/>
      <c r="ECO209" s="2"/>
      <c r="ECP209" s="2"/>
      <c r="ECQ209" s="2"/>
      <c r="ECR209" s="2"/>
      <c r="ECS209" s="2"/>
      <c r="ECT209" s="2"/>
      <c r="ECU209" s="2"/>
      <c r="ECV209" s="2"/>
      <c r="ECW209" s="2"/>
      <c r="ECX209" s="2"/>
      <c r="ECY209" s="2"/>
      <c r="ECZ209" s="2"/>
      <c r="EDA209" s="2"/>
      <c r="EDB209" s="2"/>
      <c r="EDC209" s="2"/>
      <c r="EDD209" s="2"/>
      <c r="EDE209" s="2"/>
      <c r="EDF209" s="2"/>
      <c r="EDG209" s="2"/>
      <c r="EDH209" s="2"/>
      <c r="EDI209" s="2"/>
      <c r="EDJ209" s="2"/>
      <c r="EDK209" s="2"/>
      <c r="EDL209" s="2"/>
      <c r="EDM209" s="2"/>
      <c r="EDN209" s="2"/>
      <c r="EDO209" s="2"/>
      <c r="EDP209" s="2"/>
      <c r="EDQ209" s="2"/>
      <c r="EDR209" s="2"/>
      <c r="EDS209" s="2"/>
      <c r="EDT209" s="2"/>
      <c r="EDU209" s="2"/>
      <c r="EDV209" s="2"/>
      <c r="EDW209" s="2"/>
      <c r="EDX209" s="2"/>
      <c r="EDY209" s="2"/>
      <c r="EDZ209" s="2"/>
      <c r="EEA209" s="2"/>
      <c r="EEB209" s="2"/>
      <c r="EEC209" s="2"/>
      <c r="EED209" s="2"/>
      <c r="EEE209" s="2"/>
      <c r="EEF209" s="2"/>
      <c r="EEG209" s="2"/>
      <c r="EEH209" s="2"/>
      <c r="EEI209" s="2"/>
      <c r="EEJ209" s="2"/>
      <c r="EEK209" s="2"/>
      <c r="EEL209" s="2"/>
      <c r="EEM209" s="2"/>
      <c r="EEN209" s="2"/>
      <c r="EEO209" s="2"/>
      <c r="EEP209" s="2"/>
      <c r="EEQ209" s="2"/>
      <c r="EER209" s="2"/>
      <c r="EES209" s="2"/>
      <c r="EET209" s="2"/>
      <c r="EEU209" s="2"/>
      <c r="EEV209" s="2"/>
      <c r="EEW209" s="2"/>
      <c r="EEX209" s="2"/>
      <c r="EEY209" s="2"/>
      <c r="EEZ209" s="2"/>
      <c r="EFA209" s="2"/>
      <c r="EFB209" s="2"/>
      <c r="EFC209" s="2"/>
      <c r="EFD209" s="2"/>
      <c r="EFE209" s="2"/>
      <c r="EFF209" s="2"/>
      <c r="EFG209" s="2"/>
      <c r="EFH209" s="2"/>
      <c r="EFI209" s="2"/>
      <c r="EFJ209" s="2"/>
      <c r="EFK209" s="2"/>
      <c r="EFL209" s="2"/>
      <c r="EFM209" s="2"/>
      <c r="EFN209" s="2"/>
      <c r="EFO209" s="2"/>
      <c r="EFP209" s="2"/>
      <c r="EFQ209" s="2"/>
      <c r="EFR209" s="2"/>
      <c r="EFS209" s="2"/>
      <c r="EFT209" s="2"/>
      <c r="EFU209" s="2"/>
      <c r="EFV209" s="2"/>
      <c r="EFW209" s="2"/>
      <c r="EFX209" s="2"/>
      <c r="EFY209" s="2"/>
      <c r="EFZ209" s="2"/>
      <c r="EGA209" s="2"/>
      <c r="EGB209" s="2"/>
      <c r="EGC209" s="2"/>
      <c r="EGD209" s="2"/>
      <c r="EGE209" s="2"/>
      <c r="EGF209" s="2"/>
      <c r="EGG209" s="2"/>
      <c r="EGH209" s="2"/>
      <c r="EGI209" s="2"/>
      <c r="EGJ209" s="2"/>
      <c r="EGK209" s="2"/>
      <c r="EGL209" s="2"/>
      <c r="EGM209" s="2"/>
      <c r="EGN209" s="2"/>
      <c r="EGO209" s="2"/>
      <c r="EGP209" s="2"/>
      <c r="EGQ209" s="2"/>
      <c r="EGR209" s="2"/>
      <c r="EGS209" s="2"/>
      <c r="EGT209" s="2"/>
      <c r="EGU209" s="2"/>
      <c r="EGV209" s="2"/>
      <c r="EGW209" s="2"/>
      <c r="EGX209" s="2"/>
      <c r="EGY209" s="2"/>
      <c r="EGZ209" s="2"/>
      <c r="EHA209" s="2"/>
      <c r="EHB209" s="2"/>
      <c r="EHC209" s="2"/>
      <c r="EHD209" s="2"/>
      <c r="EHE209" s="2"/>
      <c r="EHF209" s="2"/>
      <c r="EHG209" s="2"/>
      <c r="EHH209" s="2"/>
      <c r="EHI209" s="2"/>
      <c r="EHJ209" s="2"/>
      <c r="EHK209" s="2"/>
      <c r="EHL209" s="2"/>
      <c r="EHM209" s="2"/>
      <c r="EHN209" s="2"/>
      <c r="EHO209" s="2"/>
      <c r="EHP209" s="2"/>
      <c r="EHQ209" s="2"/>
      <c r="EHR209" s="2"/>
      <c r="EHS209" s="2"/>
      <c r="EHT209" s="2"/>
      <c r="EHU209" s="2"/>
      <c r="EHV209" s="2"/>
      <c r="EHW209" s="2"/>
      <c r="EHX209" s="2"/>
      <c r="EHY209" s="2"/>
      <c r="EHZ209" s="2"/>
      <c r="EIA209" s="2"/>
      <c r="EIB209" s="2"/>
      <c r="EIC209" s="2"/>
      <c r="EID209" s="2"/>
      <c r="EIE209" s="2"/>
      <c r="EIF209" s="2"/>
      <c r="EIG209" s="2"/>
      <c r="EIH209" s="2"/>
      <c r="EII209" s="2"/>
      <c r="EIJ209" s="2"/>
      <c r="EIK209" s="2"/>
      <c r="EIL209" s="2"/>
      <c r="EIM209" s="2"/>
      <c r="EIN209" s="2"/>
      <c r="EIO209" s="2"/>
      <c r="EIP209" s="2"/>
      <c r="EIQ209" s="2"/>
      <c r="EIR209" s="2"/>
      <c r="EIS209" s="2"/>
      <c r="EIT209" s="2"/>
      <c r="EIU209" s="2"/>
      <c r="EIV209" s="2"/>
      <c r="EIW209" s="2"/>
      <c r="EIX209" s="2"/>
      <c r="EIY209" s="2"/>
      <c r="EIZ209" s="2"/>
      <c r="EJA209" s="2"/>
      <c r="EJB209" s="2"/>
      <c r="EJC209" s="2"/>
      <c r="EJD209" s="2"/>
      <c r="EJE209" s="2"/>
      <c r="EJF209" s="2"/>
      <c r="EJG209" s="2"/>
      <c r="EJH209" s="2"/>
      <c r="EJI209" s="2"/>
      <c r="EJJ209" s="2"/>
      <c r="EJK209" s="2"/>
      <c r="EJL209" s="2"/>
      <c r="EJM209" s="2"/>
      <c r="EJN209" s="2"/>
      <c r="EJO209" s="2"/>
      <c r="EJP209" s="2"/>
      <c r="EJQ209" s="2"/>
      <c r="EJR209" s="2"/>
      <c r="EJS209" s="2"/>
      <c r="EJT209" s="2"/>
      <c r="EJU209" s="2"/>
      <c r="EJV209" s="2"/>
      <c r="EJW209" s="2"/>
      <c r="EJX209" s="2"/>
      <c r="EJY209" s="2"/>
      <c r="EJZ209" s="2"/>
      <c r="EKA209" s="2"/>
      <c r="EKB209" s="2"/>
      <c r="EKC209" s="2"/>
      <c r="EKD209" s="2"/>
      <c r="EKE209" s="2"/>
      <c r="EKF209" s="2"/>
      <c r="EKG209" s="2"/>
      <c r="EKH209" s="2"/>
      <c r="EKI209" s="2"/>
      <c r="EKJ209" s="2"/>
      <c r="EKK209" s="2"/>
      <c r="EKL209" s="2"/>
      <c r="EKM209" s="2"/>
      <c r="EKN209" s="2"/>
      <c r="EKO209" s="2"/>
      <c r="EKP209" s="2"/>
      <c r="EKQ209" s="2"/>
      <c r="EKR209" s="2"/>
      <c r="EKS209" s="2"/>
      <c r="EKT209" s="2"/>
      <c r="EKU209" s="2"/>
      <c r="EKV209" s="2"/>
      <c r="EKW209" s="2"/>
      <c r="EKX209" s="2"/>
      <c r="EKY209" s="2"/>
      <c r="EKZ209" s="2"/>
      <c r="ELA209" s="2"/>
      <c r="ELB209" s="2"/>
      <c r="ELC209" s="2"/>
      <c r="ELD209" s="2"/>
      <c r="ELE209" s="2"/>
      <c r="ELF209" s="2"/>
      <c r="ELG209" s="2"/>
      <c r="ELH209" s="2"/>
      <c r="ELI209" s="2"/>
      <c r="ELJ209" s="2"/>
      <c r="ELK209" s="2"/>
      <c r="ELL209" s="2"/>
      <c r="ELM209" s="2"/>
      <c r="ELN209" s="2"/>
      <c r="ELO209" s="2"/>
      <c r="ELP209" s="2"/>
      <c r="ELQ209" s="2"/>
      <c r="ELR209" s="2"/>
      <c r="ELS209" s="2"/>
      <c r="ELT209" s="2"/>
      <c r="ELU209" s="2"/>
      <c r="ELV209" s="2"/>
      <c r="ELW209" s="2"/>
      <c r="ELX209" s="2"/>
      <c r="ELY209" s="2"/>
      <c r="ELZ209" s="2"/>
      <c r="EMA209" s="2"/>
      <c r="EMB209" s="2"/>
      <c r="EMC209" s="2"/>
      <c r="EMD209" s="2"/>
      <c r="EME209" s="2"/>
      <c r="EMF209" s="2"/>
      <c r="EMG209" s="2"/>
      <c r="EMH209" s="2"/>
      <c r="EMI209" s="2"/>
      <c r="EMJ209" s="2"/>
      <c r="EMK209" s="2"/>
      <c r="EML209" s="2"/>
      <c r="EMM209" s="2"/>
      <c r="EMN209" s="2"/>
      <c r="EMO209" s="2"/>
      <c r="EMP209" s="2"/>
      <c r="EMQ209" s="2"/>
      <c r="EMR209" s="2"/>
      <c r="EMS209" s="2"/>
      <c r="EMT209" s="2"/>
      <c r="EMU209" s="2"/>
      <c r="EMV209" s="2"/>
      <c r="EMW209" s="2"/>
      <c r="EMX209" s="2"/>
      <c r="EMY209" s="2"/>
      <c r="EMZ209" s="2"/>
      <c r="ENA209" s="2"/>
      <c r="ENB209" s="2"/>
      <c r="ENC209" s="2"/>
      <c r="END209" s="2"/>
      <c r="ENE209" s="2"/>
      <c r="ENF209" s="2"/>
      <c r="ENG209" s="2"/>
      <c r="ENH209" s="2"/>
      <c r="ENI209" s="2"/>
      <c r="ENJ209" s="2"/>
      <c r="ENK209" s="2"/>
      <c r="ENL209" s="2"/>
      <c r="ENM209" s="2"/>
      <c r="ENN209" s="2"/>
      <c r="ENO209" s="2"/>
      <c r="ENP209" s="2"/>
      <c r="ENQ209" s="2"/>
      <c r="ENR209" s="2"/>
      <c r="ENS209" s="2"/>
      <c r="ENT209" s="2"/>
      <c r="ENU209" s="2"/>
      <c r="ENV209" s="2"/>
      <c r="ENW209" s="2"/>
      <c r="ENX209" s="2"/>
      <c r="ENY209" s="2"/>
      <c r="ENZ209" s="2"/>
      <c r="EOA209" s="2"/>
      <c r="EOB209" s="2"/>
      <c r="EOC209" s="2"/>
      <c r="EOD209" s="2"/>
      <c r="EOE209" s="2"/>
      <c r="EOF209" s="2"/>
      <c r="EOG209" s="2"/>
      <c r="EOH209" s="2"/>
      <c r="EOI209" s="2"/>
      <c r="EOJ209" s="2"/>
      <c r="EOK209" s="2"/>
      <c r="EOL209" s="2"/>
      <c r="EOM209" s="2"/>
      <c r="EON209" s="2"/>
      <c r="EOO209" s="2"/>
      <c r="EOP209" s="2"/>
      <c r="EOQ209" s="2"/>
      <c r="EOR209" s="2"/>
      <c r="EOS209" s="2"/>
      <c r="EOT209" s="2"/>
      <c r="EOU209" s="2"/>
      <c r="EOV209" s="2"/>
      <c r="EOW209" s="2"/>
      <c r="EOX209" s="2"/>
      <c r="EOY209" s="2"/>
      <c r="EOZ209" s="2"/>
      <c r="EPA209" s="2"/>
      <c r="EPB209" s="2"/>
      <c r="EPC209" s="2"/>
      <c r="EPD209" s="2"/>
      <c r="EPE209" s="2"/>
      <c r="EPF209" s="2"/>
      <c r="EPG209" s="2"/>
      <c r="EPH209" s="2"/>
      <c r="EPI209" s="2"/>
      <c r="EPJ209" s="2"/>
      <c r="EPK209" s="2"/>
      <c r="EPL209" s="2"/>
      <c r="EPM209" s="2"/>
      <c r="EPN209" s="2"/>
      <c r="EPO209" s="2"/>
      <c r="EPP209" s="2"/>
      <c r="EPQ209" s="2"/>
      <c r="EPR209" s="2"/>
      <c r="EPS209" s="2"/>
      <c r="EPT209" s="2"/>
      <c r="EPU209" s="2"/>
      <c r="EPV209" s="2"/>
      <c r="EPW209" s="2"/>
      <c r="EPX209" s="2"/>
      <c r="EPY209" s="2"/>
      <c r="EPZ209" s="2"/>
      <c r="EQA209" s="2"/>
      <c r="EQB209" s="2"/>
      <c r="EQC209" s="2"/>
      <c r="EQD209" s="2"/>
      <c r="EQE209" s="2"/>
      <c r="EQF209" s="2"/>
      <c r="EQG209" s="2"/>
      <c r="EQH209" s="2"/>
      <c r="EQI209" s="2"/>
      <c r="EQJ209" s="2"/>
      <c r="EQK209" s="2"/>
      <c r="EQL209" s="2"/>
      <c r="EQM209" s="2"/>
      <c r="EQN209" s="2"/>
      <c r="EQO209" s="2"/>
      <c r="EQP209" s="2"/>
      <c r="EQQ209" s="2"/>
      <c r="EQR209" s="2"/>
      <c r="EQS209" s="2"/>
      <c r="EQT209" s="2"/>
      <c r="EQU209" s="2"/>
      <c r="EQV209" s="2"/>
      <c r="EQW209" s="2"/>
      <c r="EQX209" s="2"/>
      <c r="EQY209" s="2"/>
      <c r="EQZ209" s="2"/>
      <c r="ERA209" s="2"/>
      <c r="ERB209" s="2"/>
      <c r="ERC209" s="2"/>
      <c r="ERD209" s="2"/>
      <c r="ERE209" s="2"/>
      <c r="ERF209" s="2"/>
      <c r="ERG209" s="2"/>
      <c r="ERH209" s="2"/>
      <c r="ERI209" s="2"/>
      <c r="ERJ209" s="2"/>
      <c r="ERK209" s="2"/>
      <c r="ERL209" s="2"/>
      <c r="ERM209" s="2"/>
      <c r="ERN209" s="2"/>
      <c r="ERO209" s="2"/>
      <c r="ERP209" s="2"/>
      <c r="ERQ209" s="2"/>
      <c r="ERR209" s="2"/>
      <c r="ERS209" s="2"/>
      <c r="ERT209" s="2"/>
      <c r="ERU209" s="2"/>
      <c r="ERV209" s="2"/>
      <c r="ERW209" s="2"/>
      <c r="ERX209" s="2"/>
      <c r="ERY209" s="2"/>
      <c r="ERZ209" s="2"/>
      <c r="ESA209" s="2"/>
      <c r="ESB209" s="2"/>
      <c r="ESC209" s="2"/>
      <c r="ESD209" s="2"/>
      <c r="ESE209" s="2"/>
      <c r="ESF209" s="2"/>
      <c r="ESG209" s="2"/>
      <c r="ESH209" s="2"/>
      <c r="ESI209" s="2"/>
      <c r="ESJ209" s="2"/>
      <c r="ESK209" s="2"/>
      <c r="ESL209" s="2"/>
      <c r="ESM209" s="2"/>
      <c r="ESN209" s="2"/>
      <c r="ESO209" s="2"/>
      <c r="ESP209" s="2"/>
      <c r="ESQ209" s="2"/>
      <c r="ESR209" s="2"/>
      <c r="ESS209" s="2"/>
      <c r="EST209" s="2"/>
      <c r="ESU209" s="2"/>
      <c r="ESV209" s="2"/>
      <c r="ESW209" s="2"/>
      <c r="ESX209" s="2"/>
      <c r="ESY209" s="2"/>
      <c r="ESZ209" s="2"/>
      <c r="ETA209" s="2"/>
      <c r="ETB209" s="2"/>
      <c r="ETC209" s="2"/>
      <c r="ETD209" s="2"/>
      <c r="ETE209" s="2"/>
      <c r="ETF209" s="2"/>
      <c r="ETG209" s="2"/>
      <c r="ETH209" s="2"/>
      <c r="ETI209" s="2"/>
      <c r="ETJ209" s="2"/>
      <c r="ETK209" s="2"/>
      <c r="ETL209" s="2"/>
      <c r="ETM209" s="2"/>
      <c r="ETN209" s="2"/>
      <c r="ETO209" s="2"/>
      <c r="ETP209" s="2"/>
      <c r="ETQ209" s="2"/>
      <c r="ETR209" s="2"/>
      <c r="ETS209" s="2"/>
      <c r="ETT209" s="2"/>
      <c r="ETU209" s="2"/>
      <c r="ETV209" s="2"/>
      <c r="ETW209" s="2"/>
      <c r="ETX209" s="2"/>
      <c r="ETY209" s="2"/>
      <c r="ETZ209" s="2"/>
      <c r="EUA209" s="2"/>
      <c r="EUB209" s="2"/>
      <c r="EUC209" s="2"/>
      <c r="EUD209" s="2"/>
      <c r="EUE209" s="2"/>
      <c r="EUF209" s="2"/>
      <c r="EUG209" s="2"/>
      <c r="EUH209" s="2"/>
      <c r="EUI209" s="2"/>
      <c r="EUJ209" s="2"/>
      <c r="EUK209" s="2"/>
      <c r="EUL209" s="2"/>
      <c r="EUM209" s="2"/>
      <c r="EUN209" s="2"/>
      <c r="EUO209" s="2"/>
      <c r="EUP209" s="2"/>
      <c r="EUQ209" s="2"/>
      <c r="EUR209" s="2"/>
      <c r="EUS209" s="2"/>
      <c r="EUT209" s="2"/>
      <c r="EUU209" s="2"/>
      <c r="EUV209" s="2"/>
      <c r="EUW209" s="2"/>
      <c r="EUX209" s="2"/>
      <c r="EUY209" s="2"/>
      <c r="EUZ209" s="2"/>
      <c r="EVA209" s="2"/>
      <c r="EVB209" s="2"/>
      <c r="EVC209" s="2"/>
      <c r="EVD209" s="2"/>
      <c r="EVE209" s="2"/>
      <c r="EVF209" s="2"/>
      <c r="EVG209" s="2"/>
      <c r="EVH209" s="2"/>
      <c r="EVI209" s="2"/>
      <c r="EVJ209" s="2"/>
      <c r="EVK209" s="2"/>
      <c r="EVL209" s="2"/>
      <c r="EVM209" s="2"/>
      <c r="EVN209" s="2"/>
      <c r="EVO209" s="2"/>
      <c r="EVP209" s="2"/>
      <c r="EVQ209" s="2"/>
      <c r="EVR209" s="2"/>
      <c r="EVS209" s="2"/>
      <c r="EVT209" s="2"/>
      <c r="EVU209" s="2"/>
      <c r="EVV209" s="2"/>
      <c r="EVW209" s="2"/>
      <c r="EVX209" s="2"/>
      <c r="EVY209" s="2"/>
      <c r="EVZ209" s="2"/>
      <c r="EWA209" s="2"/>
      <c r="EWB209" s="2"/>
      <c r="EWC209" s="2"/>
      <c r="EWD209" s="2"/>
      <c r="EWE209" s="2"/>
      <c r="EWF209" s="2"/>
      <c r="EWG209" s="2"/>
      <c r="EWH209" s="2"/>
      <c r="EWI209" s="2"/>
      <c r="EWJ209" s="2"/>
      <c r="EWK209" s="2"/>
      <c r="EWL209" s="2"/>
      <c r="EWM209" s="2"/>
      <c r="EWN209" s="2"/>
      <c r="EWO209" s="2"/>
      <c r="EWP209" s="2"/>
      <c r="EWQ209" s="2"/>
      <c r="EWR209" s="2"/>
      <c r="EWS209" s="2"/>
      <c r="EWT209" s="2"/>
      <c r="EWU209" s="2"/>
      <c r="EWV209" s="2"/>
      <c r="EWW209" s="2"/>
      <c r="EWX209" s="2"/>
      <c r="EWY209" s="2"/>
      <c r="EWZ209" s="2"/>
      <c r="EXA209" s="2"/>
      <c r="EXB209" s="2"/>
      <c r="EXC209" s="2"/>
      <c r="EXD209" s="2"/>
      <c r="EXE209" s="2"/>
      <c r="EXF209" s="2"/>
      <c r="EXG209" s="2"/>
      <c r="EXH209" s="2"/>
      <c r="EXI209" s="2"/>
      <c r="EXJ209" s="2"/>
      <c r="EXK209" s="2"/>
      <c r="EXL209" s="2"/>
      <c r="EXM209" s="2"/>
      <c r="EXN209" s="2"/>
      <c r="EXO209" s="2"/>
      <c r="EXP209" s="2"/>
      <c r="EXQ209" s="2"/>
      <c r="EXR209" s="2"/>
      <c r="EXS209" s="2"/>
      <c r="EXT209" s="2"/>
      <c r="EXU209" s="2"/>
      <c r="EXV209" s="2"/>
      <c r="EXW209" s="2"/>
      <c r="EXX209" s="2"/>
      <c r="EXY209" s="2"/>
      <c r="EXZ209" s="2"/>
      <c r="EYA209" s="2"/>
      <c r="EYB209" s="2"/>
      <c r="EYC209" s="2"/>
      <c r="EYD209" s="2"/>
      <c r="EYE209" s="2"/>
      <c r="EYF209" s="2"/>
      <c r="EYG209" s="2"/>
      <c r="EYH209" s="2"/>
      <c r="EYI209" s="2"/>
      <c r="EYJ209" s="2"/>
      <c r="EYK209" s="2"/>
      <c r="EYL209" s="2"/>
      <c r="EYM209" s="2"/>
      <c r="EYN209" s="2"/>
      <c r="EYO209" s="2"/>
      <c r="EYP209" s="2"/>
      <c r="EYQ209" s="2"/>
      <c r="EYR209" s="2"/>
      <c r="EYS209" s="2"/>
      <c r="EYT209" s="2"/>
      <c r="EYU209" s="2"/>
      <c r="EYV209" s="2"/>
      <c r="EYW209" s="2"/>
      <c r="EYX209" s="2"/>
      <c r="EYY209" s="2"/>
      <c r="EYZ209" s="2"/>
      <c r="EZA209" s="2"/>
      <c r="EZB209" s="2"/>
      <c r="EZC209" s="2"/>
      <c r="EZD209" s="2"/>
      <c r="EZE209" s="2"/>
      <c r="EZF209" s="2"/>
      <c r="EZG209" s="2"/>
      <c r="EZH209" s="2"/>
      <c r="EZI209" s="2"/>
      <c r="EZJ209" s="2"/>
      <c r="EZK209" s="2"/>
      <c r="EZL209" s="2"/>
      <c r="EZM209" s="2"/>
      <c r="EZN209" s="2"/>
      <c r="EZO209" s="2"/>
      <c r="EZP209" s="2"/>
      <c r="EZQ209" s="2"/>
      <c r="EZR209" s="2"/>
      <c r="EZS209" s="2"/>
      <c r="EZT209" s="2"/>
      <c r="EZU209" s="2"/>
      <c r="EZV209" s="2"/>
      <c r="EZW209" s="2"/>
      <c r="EZX209" s="2"/>
      <c r="EZY209" s="2"/>
      <c r="EZZ209" s="2"/>
      <c r="FAA209" s="2"/>
      <c r="FAB209" s="2"/>
      <c r="FAC209" s="2"/>
      <c r="FAD209" s="2"/>
      <c r="FAE209" s="2"/>
      <c r="FAF209" s="2"/>
      <c r="FAG209" s="2"/>
      <c r="FAH209" s="2"/>
      <c r="FAI209" s="2"/>
      <c r="FAJ209" s="2"/>
      <c r="FAK209" s="2"/>
      <c r="FAL209" s="2"/>
      <c r="FAM209" s="2"/>
      <c r="FAN209" s="2"/>
      <c r="FAO209" s="2"/>
      <c r="FAP209" s="2"/>
      <c r="FAQ209" s="2"/>
      <c r="FAR209" s="2"/>
      <c r="FAS209" s="2"/>
      <c r="FAT209" s="2"/>
      <c r="FAU209" s="2"/>
      <c r="FAV209" s="2"/>
      <c r="FAW209" s="2"/>
      <c r="FAX209" s="2"/>
      <c r="FAY209" s="2"/>
      <c r="FAZ209" s="2"/>
      <c r="FBA209" s="2"/>
      <c r="FBB209" s="2"/>
      <c r="FBC209" s="2"/>
      <c r="FBD209" s="2"/>
      <c r="FBE209" s="2"/>
      <c r="FBF209" s="2"/>
      <c r="FBG209" s="2"/>
      <c r="FBH209" s="2"/>
      <c r="FBI209" s="2"/>
      <c r="FBJ209" s="2"/>
      <c r="FBK209" s="2"/>
      <c r="FBL209" s="2"/>
      <c r="FBM209" s="2"/>
      <c r="FBN209" s="2"/>
      <c r="FBO209" s="2"/>
      <c r="FBP209" s="2"/>
      <c r="FBQ209" s="2"/>
      <c r="FBR209" s="2"/>
      <c r="FBS209" s="2"/>
      <c r="FBT209" s="2"/>
      <c r="FBU209" s="2"/>
      <c r="FBV209" s="2"/>
      <c r="FBW209" s="2"/>
      <c r="FBX209" s="2"/>
      <c r="FBY209" s="2"/>
      <c r="FBZ209" s="2"/>
      <c r="FCA209" s="2"/>
      <c r="FCB209" s="2"/>
      <c r="FCC209" s="2"/>
      <c r="FCD209" s="2"/>
      <c r="FCE209" s="2"/>
      <c r="FCF209" s="2"/>
      <c r="FCG209" s="2"/>
      <c r="FCH209" s="2"/>
      <c r="FCI209" s="2"/>
      <c r="FCJ209" s="2"/>
      <c r="FCK209" s="2"/>
      <c r="FCL209" s="2"/>
      <c r="FCM209" s="2"/>
      <c r="FCN209" s="2"/>
      <c r="FCO209" s="2"/>
      <c r="FCP209" s="2"/>
      <c r="FCQ209" s="2"/>
      <c r="FCR209" s="2"/>
      <c r="FCS209" s="2"/>
      <c r="FCT209" s="2"/>
      <c r="FCU209" s="2"/>
      <c r="FCV209" s="2"/>
      <c r="FCW209" s="2"/>
      <c r="FCX209" s="2"/>
      <c r="FCY209" s="2"/>
      <c r="FCZ209" s="2"/>
      <c r="FDA209" s="2"/>
      <c r="FDB209" s="2"/>
      <c r="FDC209" s="2"/>
      <c r="FDD209" s="2"/>
      <c r="FDE209" s="2"/>
      <c r="FDF209" s="2"/>
      <c r="FDG209" s="2"/>
      <c r="FDH209" s="2"/>
      <c r="FDI209" s="2"/>
      <c r="FDJ209" s="2"/>
      <c r="FDK209" s="2"/>
      <c r="FDL209" s="2"/>
      <c r="FDM209" s="2"/>
      <c r="FDN209" s="2"/>
      <c r="FDO209" s="2"/>
      <c r="FDP209" s="2"/>
      <c r="FDQ209" s="2"/>
      <c r="FDR209" s="2"/>
      <c r="FDS209" s="2"/>
      <c r="FDT209" s="2"/>
      <c r="FDU209" s="2"/>
      <c r="FDV209" s="2"/>
      <c r="FDW209" s="2"/>
      <c r="FDX209" s="2"/>
      <c r="FDY209" s="2"/>
      <c r="FDZ209" s="2"/>
      <c r="FEA209" s="2"/>
      <c r="FEB209" s="2"/>
      <c r="FEC209" s="2"/>
      <c r="FED209" s="2"/>
      <c r="FEE209" s="2"/>
      <c r="FEF209" s="2"/>
      <c r="FEG209" s="2"/>
      <c r="FEH209" s="2"/>
      <c r="FEI209" s="2"/>
      <c r="FEJ209" s="2"/>
      <c r="FEK209" s="2"/>
      <c r="FEL209" s="2"/>
      <c r="FEM209" s="2"/>
      <c r="FEN209" s="2"/>
      <c r="FEO209" s="2"/>
      <c r="FEP209" s="2"/>
      <c r="FEQ209" s="2"/>
      <c r="FER209" s="2"/>
      <c r="FES209" s="2"/>
      <c r="FET209" s="2"/>
      <c r="FEU209" s="2"/>
      <c r="FEV209" s="2"/>
      <c r="FEW209" s="2"/>
      <c r="FEX209" s="2"/>
      <c r="FEY209" s="2"/>
      <c r="FEZ209" s="2"/>
      <c r="FFA209" s="2"/>
      <c r="FFB209" s="2"/>
      <c r="FFC209" s="2"/>
      <c r="FFD209" s="2"/>
      <c r="FFE209" s="2"/>
      <c r="FFF209" s="2"/>
      <c r="FFG209" s="2"/>
      <c r="FFH209" s="2"/>
      <c r="FFI209" s="2"/>
      <c r="FFJ209" s="2"/>
      <c r="FFK209" s="2"/>
      <c r="FFL209" s="2"/>
      <c r="FFM209" s="2"/>
      <c r="FFN209" s="2"/>
      <c r="FFO209" s="2"/>
      <c r="FFP209" s="2"/>
      <c r="FFQ209" s="2"/>
      <c r="FFR209" s="2"/>
      <c r="FFS209" s="2"/>
      <c r="FFT209" s="2"/>
      <c r="FFU209" s="2"/>
      <c r="FFV209" s="2"/>
      <c r="FFW209" s="2"/>
      <c r="FFX209" s="2"/>
      <c r="FFY209" s="2"/>
      <c r="FFZ209" s="2"/>
      <c r="FGA209" s="2"/>
      <c r="FGB209" s="2"/>
      <c r="FGC209" s="2"/>
      <c r="FGD209" s="2"/>
      <c r="FGE209" s="2"/>
      <c r="FGF209" s="2"/>
      <c r="FGG209" s="2"/>
      <c r="FGH209" s="2"/>
      <c r="FGI209" s="2"/>
      <c r="FGJ209" s="2"/>
      <c r="FGK209" s="2"/>
      <c r="FGL209" s="2"/>
      <c r="FGM209" s="2"/>
      <c r="FGN209" s="2"/>
      <c r="FGO209" s="2"/>
      <c r="FGP209" s="2"/>
      <c r="FGQ209" s="2"/>
      <c r="FGR209" s="2"/>
      <c r="FGS209" s="2"/>
      <c r="FGT209" s="2"/>
      <c r="FGU209" s="2"/>
      <c r="FGV209" s="2"/>
      <c r="FGW209" s="2"/>
      <c r="FGX209" s="2"/>
      <c r="FGY209" s="2"/>
      <c r="FGZ209" s="2"/>
      <c r="FHA209" s="2"/>
      <c r="FHB209" s="2"/>
      <c r="FHC209" s="2"/>
      <c r="FHD209" s="2"/>
      <c r="FHE209" s="2"/>
      <c r="FHF209" s="2"/>
      <c r="FHG209" s="2"/>
      <c r="FHH209" s="2"/>
      <c r="FHI209" s="2"/>
      <c r="FHJ209" s="2"/>
      <c r="FHK209" s="2"/>
      <c r="FHL209" s="2"/>
      <c r="FHM209" s="2"/>
      <c r="FHN209" s="2"/>
      <c r="FHO209" s="2"/>
      <c r="FHP209" s="2"/>
      <c r="FHQ209" s="2"/>
      <c r="FHR209" s="2"/>
      <c r="FHS209" s="2"/>
      <c r="FHT209" s="2"/>
      <c r="FHU209" s="2"/>
      <c r="FHV209" s="2"/>
      <c r="FHW209" s="2"/>
      <c r="FHX209" s="2"/>
      <c r="FHY209" s="2"/>
      <c r="FHZ209" s="2"/>
      <c r="FIA209" s="2"/>
      <c r="FIB209" s="2"/>
      <c r="FIC209" s="2"/>
      <c r="FID209" s="2"/>
      <c r="FIE209" s="2"/>
      <c r="FIF209" s="2"/>
      <c r="FIG209" s="2"/>
      <c r="FIH209" s="2"/>
      <c r="FII209" s="2"/>
      <c r="FIJ209" s="2"/>
      <c r="FIK209" s="2"/>
      <c r="FIL209" s="2"/>
      <c r="FIM209" s="2"/>
      <c r="FIN209" s="2"/>
      <c r="FIO209" s="2"/>
      <c r="FIP209" s="2"/>
      <c r="FIQ209" s="2"/>
      <c r="FIR209" s="2"/>
      <c r="FIS209" s="2"/>
      <c r="FIT209" s="2"/>
      <c r="FIU209" s="2"/>
      <c r="FIV209" s="2"/>
      <c r="FIW209" s="2"/>
      <c r="FIX209" s="2"/>
      <c r="FIY209" s="2"/>
      <c r="FIZ209" s="2"/>
      <c r="FJA209" s="2"/>
      <c r="FJB209" s="2"/>
      <c r="FJC209" s="2"/>
      <c r="FJD209" s="2"/>
      <c r="FJE209" s="2"/>
      <c r="FJF209" s="2"/>
      <c r="FJG209" s="2"/>
      <c r="FJH209" s="2"/>
      <c r="FJI209" s="2"/>
      <c r="FJJ209" s="2"/>
      <c r="FJK209" s="2"/>
      <c r="FJL209" s="2"/>
      <c r="FJM209" s="2"/>
      <c r="FJN209" s="2"/>
      <c r="FJO209" s="2"/>
      <c r="FJP209" s="2"/>
      <c r="FJQ209" s="2"/>
      <c r="FJR209" s="2"/>
      <c r="FJS209" s="2"/>
      <c r="FJT209" s="2"/>
      <c r="FJU209" s="2"/>
      <c r="FJV209" s="2"/>
      <c r="FJW209" s="2"/>
      <c r="FJX209" s="2"/>
      <c r="FJY209" s="2"/>
      <c r="FJZ209" s="2"/>
      <c r="FKA209" s="2"/>
      <c r="FKB209" s="2"/>
      <c r="FKC209" s="2"/>
      <c r="FKD209" s="2"/>
      <c r="FKE209" s="2"/>
      <c r="FKF209" s="2"/>
      <c r="FKG209" s="2"/>
      <c r="FKH209" s="2"/>
      <c r="FKI209" s="2"/>
      <c r="FKJ209" s="2"/>
      <c r="FKK209" s="2"/>
      <c r="FKL209" s="2"/>
      <c r="FKM209" s="2"/>
      <c r="FKN209" s="2"/>
      <c r="FKO209" s="2"/>
      <c r="FKP209" s="2"/>
      <c r="FKQ209" s="2"/>
      <c r="FKR209" s="2"/>
      <c r="FKS209" s="2"/>
      <c r="FKT209" s="2"/>
      <c r="FKU209" s="2"/>
      <c r="FKV209" s="2"/>
      <c r="FKW209" s="2"/>
      <c r="FKX209" s="2"/>
      <c r="FKY209" s="2"/>
      <c r="FKZ209" s="2"/>
      <c r="FLA209" s="2"/>
      <c r="FLB209" s="2"/>
      <c r="FLC209" s="2"/>
      <c r="FLD209" s="2"/>
      <c r="FLE209" s="2"/>
      <c r="FLF209" s="2"/>
      <c r="FLG209" s="2"/>
      <c r="FLH209" s="2"/>
      <c r="FLI209" s="2"/>
      <c r="FLJ209" s="2"/>
      <c r="FLK209" s="2"/>
      <c r="FLL209" s="2"/>
      <c r="FLM209" s="2"/>
      <c r="FLN209" s="2"/>
      <c r="FLO209" s="2"/>
      <c r="FLP209" s="2"/>
      <c r="FLQ209" s="2"/>
      <c r="FLR209" s="2"/>
      <c r="FLS209" s="2"/>
      <c r="FLT209" s="2"/>
      <c r="FLU209" s="2"/>
      <c r="FLV209" s="2"/>
      <c r="FLW209" s="2"/>
      <c r="FLX209" s="2"/>
      <c r="FLY209" s="2"/>
      <c r="FLZ209" s="2"/>
      <c r="FMA209" s="2"/>
      <c r="FMB209" s="2"/>
      <c r="FMC209" s="2"/>
      <c r="FMD209" s="2"/>
      <c r="FME209" s="2"/>
      <c r="FMF209" s="2"/>
      <c r="FMG209" s="2"/>
      <c r="FMH209" s="2"/>
      <c r="FMI209" s="2"/>
      <c r="FMJ209" s="2"/>
      <c r="FMK209" s="2"/>
      <c r="FML209" s="2"/>
      <c r="FMM209" s="2"/>
      <c r="FMN209" s="2"/>
      <c r="FMO209" s="2"/>
      <c r="FMP209" s="2"/>
      <c r="FMQ209" s="2"/>
      <c r="FMR209" s="2"/>
      <c r="FMS209" s="2"/>
      <c r="FMT209" s="2"/>
      <c r="FMU209" s="2"/>
      <c r="FMV209" s="2"/>
      <c r="FMW209" s="2"/>
      <c r="FMX209" s="2"/>
      <c r="FMY209" s="2"/>
      <c r="FMZ209" s="2"/>
      <c r="FNA209" s="2"/>
      <c r="FNB209" s="2"/>
      <c r="FNC209" s="2"/>
      <c r="FND209" s="2"/>
      <c r="FNE209" s="2"/>
      <c r="FNF209" s="2"/>
      <c r="FNG209" s="2"/>
      <c r="FNH209" s="2"/>
      <c r="FNI209" s="2"/>
      <c r="FNJ209" s="2"/>
      <c r="FNK209" s="2"/>
      <c r="FNL209" s="2"/>
      <c r="FNM209" s="2"/>
      <c r="FNN209" s="2"/>
      <c r="FNO209" s="2"/>
      <c r="FNP209" s="2"/>
      <c r="FNQ209" s="2"/>
      <c r="FNR209" s="2"/>
      <c r="FNS209" s="2"/>
      <c r="FNT209" s="2"/>
      <c r="FNU209" s="2"/>
      <c r="FNV209" s="2"/>
      <c r="FNW209" s="2"/>
      <c r="FNX209" s="2"/>
      <c r="FNY209" s="2"/>
      <c r="FNZ209" s="2"/>
      <c r="FOA209" s="2"/>
      <c r="FOB209" s="2"/>
      <c r="FOC209" s="2"/>
      <c r="FOD209" s="2"/>
      <c r="FOE209" s="2"/>
      <c r="FOF209" s="2"/>
      <c r="FOG209" s="2"/>
      <c r="FOH209" s="2"/>
      <c r="FOI209" s="2"/>
      <c r="FOJ209" s="2"/>
      <c r="FOK209" s="2"/>
      <c r="FOL209" s="2"/>
      <c r="FOM209" s="2"/>
      <c r="FON209" s="2"/>
      <c r="FOO209" s="2"/>
      <c r="FOP209" s="2"/>
      <c r="FOQ209" s="2"/>
      <c r="FOR209" s="2"/>
      <c r="FOS209" s="2"/>
      <c r="FOT209" s="2"/>
      <c r="FOU209" s="2"/>
      <c r="FOV209" s="2"/>
      <c r="FOW209" s="2"/>
      <c r="FOX209" s="2"/>
      <c r="FOY209" s="2"/>
      <c r="FOZ209" s="2"/>
      <c r="FPA209" s="2"/>
      <c r="FPB209" s="2"/>
      <c r="FPC209" s="2"/>
      <c r="FPD209" s="2"/>
      <c r="FPE209" s="2"/>
      <c r="FPF209" s="2"/>
      <c r="FPG209" s="2"/>
      <c r="FPH209" s="2"/>
      <c r="FPI209" s="2"/>
      <c r="FPJ209" s="2"/>
      <c r="FPK209" s="2"/>
      <c r="FPL209" s="2"/>
      <c r="FPM209" s="2"/>
      <c r="FPN209" s="2"/>
      <c r="FPO209" s="2"/>
      <c r="FPP209" s="2"/>
      <c r="FPQ209" s="2"/>
      <c r="FPR209" s="2"/>
      <c r="FPS209" s="2"/>
      <c r="FPT209" s="2"/>
      <c r="FPU209" s="2"/>
      <c r="FPV209" s="2"/>
      <c r="FPW209" s="2"/>
      <c r="FPX209" s="2"/>
      <c r="FPY209" s="2"/>
      <c r="FPZ209" s="2"/>
      <c r="FQA209" s="2"/>
      <c r="FQB209" s="2"/>
      <c r="FQC209" s="2"/>
      <c r="FQD209" s="2"/>
      <c r="FQE209" s="2"/>
      <c r="FQF209" s="2"/>
      <c r="FQG209" s="2"/>
      <c r="FQH209" s="2"/>
      <c r="FQI209" s="2"/>
      <c r="FQJ209" s="2"/>
      <c r="FQK209" s="2"/>
      <c r="FQL209" s="2"/>
      <c r="FQM209" s="2"/>
      <c r="FQN209" s="2"/>
      <c r="FQO209" s="2"/>
      <c r="FQP209" s="2"/>
      <c r="FQQ209" s="2"/>
      <c r="FQR209" s="2"/>
      <c r="FQS209" s="2"/>
      <c r="FQT209" s="2"/>
      <c r="FQU209" s="2"/>
      <c r="FQV209" s="2"/>
      <c r="FQW209" s="2"/>
      <c r="FQX209" s="2"/>
      <c r="FQY209" s="2"/>
      <c r="FQZ209" s="2"/>
      <c r="FRA209" s="2"/>
      <c r="FRB209" s="2"/>
      <c r="FRC209" s="2"/>
      <c r="FRD209" s="2"/>
      <c r="FRE209" s="2"/>
      <c r="FRF209" s="2"/>
      <c r="FRG209" s="2"/>
      <c r="FRH209" s="2"/>
      <c r="FRI209" s="2"/>
      <c r="FRJ209" s="2"/>
      <c r="FRK209" s="2"/>
      <c r="FRL209" s="2"/>
      <c r="FRM209" s="2"/>
      <c r="FRN209" s="2"/>
      <c r="FRO209" s="2"/>
      <c r="FRP209" s="2"/>
      <c r="FRQ209" s="2"/>
      <c r="FRR209" s="2"/>
      <c r="FRS209" s="2"/>
      <c r="FRT209" s="2"/>
      <c r="FRU209" s="2"/>
      <c r="FRV209" s="2"/>
      <c r="FRW209" s="2"/>
      <c r="FRX209" s="2"/>
      <c r="FRY209" s="2"/>
      <c r="FRZ209" s="2"/>
      <c r="FSA209" s="2"/>
      <c r="FSB209" s="2"/>
      <c r="FSC209" s="2"/>
      <c r="FSD209" s="2"/>
      <c r="FSE209" s="2"/>
      <c r="FSF209" s="2"/>
      <c r="FSG209" s="2"/>
      <c r="FSH209" s="2"/>
      <c r="FSI209" s="2"/>
      <c r="FSJ209" s="2"/>
      <c r="FSK209" s="2"/>
      <c r="FSL209" s="2"/>
      <c r="FSM209" s="2"/>
      <c r="FSN209" s="2"/>
      <c r="FSO209" s="2"/>
      <c r="FSP209" s="2"/>
      <c r="FSQ209" s="2"/>
      <c r="FSR209" s="2"/>
      <c r="FSS209" s="2"/>
      <c r="FST209" s="2"/>
      <c r="FSU209" s="2"/>
      <c r="FSV209" s="2"/>
      <c r="FSW209" s="2"/>
      <c r="FSX209" s="2"/>
      <c r="FSY209" s="2"/>
      <c r="FSZ209" s="2"/>
      <c r="FTA209" s="2"/>
      <c r="FTB209" s="2"/>
      <c r="FTC209" s="2"/>
      <c r="FTD209" s="2"/>
      <c r="FTE209" s="2"/>
      <c r="FTF209" s="2"/>
      <c r="FTG209" s="2"/>
      <c r="FTH209" s="2"/>
      <c r="FTI209" s="2"/>
      <c r="FTJ209" s="2"/>
      <c r="FTK209" s="2"/>
      <c r="FTL209" s="2"/>
      <c r="FTM209" s="2"/>
      <c r="FTN209" s="2"/>
      <c r="FTO209" s="2"/>
      <c r="FTP209" s="2"/>
      <c r="FTQ209" s="2"/>
      <c r="FTR209" s="2"/>
      <c r="FTS209" s="2"/>
      <c r="FTT209" s="2"/>
      <c r="FTU209" s="2"/>
      <c r="FTV209" s="2"/>
      <c r="FTW209" s="2"/>
      <c r="FTX209" s="2"/>
      <c r="FTY209" s="2"/>
      <c r="FTZ209" s="2"/>
      <c r="FUA209" s="2"/>
      <c r="FUB209" s="2"/>
      <c r="FUC209" s="2"/>
      <c r="FUD209" s="2"/>
      <c r="FUE209" s="2"/>
      <c r="FUF209" s="2"/>
      <c r="FUG209" s="2"/>
      <c r="FUH209" s="2"/>
      <c r="FUI209" s="2"/>
      <c r="FUJ209" s="2"/>
      <c r="FUK209" s="2"/>
      <c r="FUL209" s="2"/>
      <c r="FUM209" s="2"/>
      <c r="FUN209" s="2"/>
      <c r="FUO209" s="2"/>
      <c r="FUP209" s="2"/>
      <c r="FUQ209" s="2"/>
      <c r="FUR209" s="2"/>
      <c r="FUS209" s="2"/>
      <c r="FUT209" s="2"/>
      <c r="FUU209" s="2"/>
      <c r="FUV209" s="2"/>
      <c r="FUW209" s="2"/>
      <c r="FUX209" s="2"/>
      <c r="FUY209" s="2"/>
      <c r="FUZ209" s="2"/>
      <c r="FVA209" s="2"/>
      <c r="FVB209" s="2"/>
      <c r="FVC209" s="2"/>
      <c r="FVD209" s="2"/>
      <c r="FVE209" s="2"/>
      <c r="FVF209" s="2"/>
      <c r="FVG209" s="2"/>
      <c r="FVH209" s="2"/>
      <c r="FVI209" s="2"/>
      <c r="FVJ209" s="2"/>
      <c r="FVK209" s="2"/>
      <c r="FVL209" s="2"/>
      <c r="FVM209" s="2"/>
      <c r="FVN209" s="2"/>
      <c r="FVO209" s="2"/>
      <c r="FVP209" s="2"/>
      <c r="FVQ209" s="2"/>
      <c r="FVR209" s="2"/>
      <c r="FVS209" s="2"/>
      <c r="FVT209" s="2"/>
      <c r="FVU209" s="2"/>
      <c r="FVV209" s="2"/>
      <c r="FVW209" s="2"/>
      <c r="FVX209" s="2"/>
      <c r="FVY209" s="2"/>
      <c r="FVZ209" s="2"/>
      <c r="FWA209" s="2"/>
      <c r="FWB209" s="2"/>
      <c r="FWC209" s="2"/>
      <c r="FWD209" s="2"/>
      <c r="FWE209" s="2"/>
      <c r="FWF209" s="2"/>
      <c r="FWG209" s="2"/>
      <c r="FWH209" s="2"/>
      <c r="FWI209" s="2"/>
      <c r="FWJ209" s="2"/>
      <c r="FWK209" s="2"/>
      <c r="FWL209" s="2"/>
      <c r="FWM209" s="2"/>
      <c r="FWN209" s="2"/>
      <c r="FWO209" s="2"/>
      <c r="FWP209" s="2"/>
      <c r="FWQ209" s="2"/>
      <c r="FWR209" s="2"/>
      <c r="FWS209" s="2"/>
      <c r="FWT209" s="2"/>
      <c r="FWU209" s="2"/>
      <c r="FWV209" s="2"/>
      <c r="FWW209" s="2"/>
      <c r="FWX209" s="2"/>
      <c r="FWY209" s="2"/>
      <c r="FWZ209" s="2"/>
      <c r="FXA209" s="2"/>
      <c r="FXB209" s="2"/>
      <c r="FXC209" s="2"/>
      <c r="FXD209" s="2"/>
      <c r="FXE209" s="2"/>
      <c r="FXF209" s="2"/>
      <c r="FXG209" s="2"/>
      <c r="FXH209" s="2"/>
      <c r="FXI209" s="2"/>
      <c r="FXJ209" s="2"/>
      <c r="FXK209" s="2"/>
      <c r="FXL209" s="2"/>
      <c r="FXM209" s="2"/>
      <c r="FXN209" s="2"/>
      <c r="FXO209" s="2"/>
      <c r="FXP209" s="2"/>
      <c r="FXQ209" s="2"/>
      <c r="FXR209" s="2"/>
      <c r="FXS209" s="2"/>
      <c r="FXT209" s="2"/>
      <c r="FXU209" s="2"/>
      <c r="FXV209" s="2"/>
      <c r="FXW209" s="2"/>
      <c r="FXX209" s="2"/>
      <c r="FXY209" s="2"/>
      <c r="FXZ209" s="2"/>
      <c r="FYA209" s="2"/>
      <c r="FYB209" s="2"/>
      <c r="FYC209" s="2"/>
      <c r="FYD209" s="2"/>
      <c r="FYE209" s="2"/>
      <c r="FYF209" s="2"/>
      <c r="FYG209" s="2"/>
      <c r="FYH209" s="2"/>
      <c r="FYI209" s="2"/>
      <c r="FYJ209" s="2"/>
      <c r="FYK209" s="2"/>
      <c r="FYL209" s="2"/>
      <c r="FYM209" s="2"/>
      <c r="FYN209" s="2"/>
      <c r="FYO209" s="2"/>
      <c r="FYP209" s="2"/>
      <c r="FYQ209" s="2"/>
      <c r="FYR209" s="2"/>
      <c r="FYS209" s="2"/>
      <c r="FYT209" s="2"/>
      <c r="FYU209" s="2"/>
      <c r="FYV209" s="2"/>
      <c r="FYW209" s="2"/>
      <c r="FYX209" s="2"/>
      <c r="FYY209" s="2"/>
      <c r="FYZ209" s="2"/>
      <c r="FZA209" s="2"/>
      <c r="FZB209" s="2"/>
      <c r="FZC209" s="2"/>
      <c r="FZD209" s="2"/>
      <c r="FZE209" s="2"/>
      <c r="FZF209" s="2"/>
      <c r="FZG209" s="2"/>
      <c r="FZH209" s="2"/>
      <c r="FZI209" s="2"/>
      <c r="FZJ209" s="2"/>
      <c r="FZK209" s="2"/>
      <c r="FZL209" s="2"/>
      <c r="FZM209" s="2"/>
      <c r="FZN209" s="2"/>
      <c r="FZO209" s="2"/>
      <c r="FZP209" s="2"/>
      <c r="FZQ209" s="2"/>
      <c r="FZR209" s="2"/>
      <c r="FZS209" s="2"/>
      <c r="FZT209" s="2"/>
      <c r="FZU209" s="2"/>
      <c r="FZV209" s="2"/>
      <c r="FZW209" s="2"/>
      <c r="FZX209" s="2"/>
      <c r="FZY209" s="2"/>
      <c r="FZZ209" s="2"/>
      <c r="GAA209" s="2"/>
      <c r="GAB209" s="2"/>
      <c r="GAC209" s="2"/>
      <c r="GAD209" s="2"/>
      <c r="GAE209" s="2"/>
      <c r="GAF209" s="2"/>
      <c r="GAG209" s="2"/>
      <c r="GAH209" s="2"/>
      <c r="GAI209" s="2"/>
      <c r="GAJ209" s="2"/>
      <c r="GAK209" s="2"/>
      <c r="GAL209" s="2"/>
      <c r="GAM209" s="2"/>
      <c r="GAN209" s="2"/>
      <c r="GAO209" s="2"/>
      <c r="GAP209" s="2"/>
      <c r="GAQ209" s="2"/>
      <c r="GAR209" s="2"/>
      <c r="GAS209" s="2"/>
      <c r="GAT209" s="2"/>
      <c r="GAU209" s="2"/>
      <c r="GAV209" s="2"/>
      <c r="GAW209" s="2"/>
      <c r="GAX209" s="2"/>
      <c r="GAY209" s="2"/>
      <c r="GAZ209" s="2"/>
      <c r="GBA209" s="2"/>
      <c r="GBB209" s="2"/>
      <c r="GBC209" s="2"/>
      <c r="GBD209" s="2"/>
      <c r="GBE209" s="2"/>
      <c r="GBF209" s="2"/>
      <c r="GBG209" s="2"/>
      <c r="GBH209" s="2"/>
      <c r="GBI209" s="2"/>
      <c r="GBJ209" s="2"/>
      <c r="GBK209" s="2"/>
      <c r="GBL209" s="2"/>
      <c r="GBM209" s="2"/>
      <c r="GBN209" s="2"/>
      <c r="GBO209" s="2"/>
      <c r="GBP209" s="2"/>
      <c r="GBQ209" s="2"/>
      <c r="GBR209" s="2"/>
      <c r="GBS209" s="2"/>
      <c r="GBT209" s="2"/>
      <c r="GBU209" s="2"/>
      <c r="GBV209" s="2"/>
      <c r="GBW209" s="2"/>
      <c r="GBX209" s="2"/>
      <c r="GBY209" s="2"/>
      <c r="GBZ209" s="2"/>
      <c r="GCA209" s="2"/>
      <c r="GCB209" s="2"/>
      <c r="GCC209" s="2"/>
      <c r="GCD209" s="2"/>
      <c r="GCE209" s="2"/>
      <c r="GCF209" s="2"/>
      <c r="GCG209" s="2"/>
      <c r="GCH209" s="2"/>
      <c r="GCI209" s="2"/>
      <c r="GCJ209" s="2"/>
      <c r="GCK209" s="2"/>
      <c r="GCL209" s="2"/>
      <c r="GCM209" s="2"/>
      <c r="GCN209" s="2"/>
      <c r="GCO209" s="2"/>
      <c r="GCP209" s="2"/>
      <c r="GCQ209" s="2"/>
      <c r="GCR209" s="2"/>
      <c r="GCS209" s="2"/>
      <c r="GCT209" s="2"/>
      <c r="GCU209" s="2"/>
      <c r="GCV209" s="2"/>
      <c r="GCW209" s="2"/>
      <c r="GCX209" s="2"/>
      <c r="GCY209" s="2"/>
      <c r="GCZ209" s="2"/>
      <c r="GDA209" s="2"/>
      <c r="GDB209" s="2"/>
      <c r="GDC209" s="2"/>
      <c r="GDD209" s="2"/>
      <c r="GDE209" s="2"/>
      <c r="GDF209" s="2"/>
      <c r="GDG209" s="2"/>
      <c r="GDH209" s="2"/>
      <c r="GDI209" s="2"/>
      <c r="GDJ209" s="2"/>
      <c r="GDK209" s="2"/>
      <c r="GDL209" s="2"/>
      <c r="GDM209" s="2"/>
      <c r="GDN209" s="2"/>
      <c r="GDO209" s="2"/>
      <c r="GDP209" s="2"/>
      <c r="GDQ209" s="2"/>
      <c r="GDR209" s="2"/>
      <c r="GDS209" s="2"/>
      <c r="GDT209" s="2"/>
      <c r="GDU209" s="2"/>
      <c r="GDV209" s="2"/>
      <c r="GDW209" s="2"/>
      <c r="GDX209" s="2"/>
      <c r="GDY209" s="2"/>
      <c r="GDZ209" s="2"/>
      <c r="GEA209" s="2"/>
      <c r="GEB209" s="2"/>
      <c r="GEC209" s="2"/>
      <c r="GED209" s="2"/>
      <c r="GEE209" s="2"/>
      <c r="GEF209" s="2"/>
      <c r="GEG209" s="2"/>
      <c r="GEH209" s="2"/>
      <c r="GEI209" s="2"/>
      <c r="GEJ209" s="2"/>
      <c r="GEK209" s="2"/>
      <c r="GEL209" s="2"/>
      <c r="GEM209" s="2"/>
      <c r="GEN209" s="2"/>
      <c r="GEO209" s="2"/>
      <c r="GEP209" s="2"/>
      <c r="GEQ209" s="2"/>
      <c r="GER209" s="2"/>
      <c r="GES209" s="2"/>
      <c r="GET209" s="2"/>
      <c r="GEU209" s="2"/>
      <c r="GEV209" s="2"/>
      <c r="GEW209" s="2"/>
      <c r="GEX209" s="2"/>
      <c r="GEY209" s="2"/>
      <c r="GEZ209" s="2"/>
      <c r="GFA209" s="2"/>
      <c r="GFB209" s="2"/>
      <c r="GFC209" s="2"/>
      <c r="GFD209" s="2"/>
      <c r="GFE209" s="2"/>
      <c r="GFF209" s="2"/>
      <c r="GFG209" s="2"/>
      <c r="GFH209" s="2"/>
      <c r="GFI209" s="2"/>
      <c r="GFJ209" s="2"/>
      <c r="GFK209" s="2"/>
      <c r="GFL209" s="2"/>
      <c r="GFM209" s="2"/>
      <c r="GFN209" s="2"/>
      <c r="GFO209" s="2"/>
      <c r="GFP209" s="2"/>
      <c r="GFQ209" s="2"/>
      <c r="GFR209" s="2"/>
      <c r="GFS209" s="2"/>
      <c r="GFT209" s="2"/>
      <c r="GFU209" s="2"/>
      <c r="GFV209" s="2"/>
      <c r="GFW209" s="2"/>
      <c r="GFX209" s="2"/>
      <c r="GFY209" s="2"/>
      <c r="GFZ209" s="2"/>
      <c r="GGA209" s="2"/>
      <c r="GGB209" s="2"/>
      <c r="GGC209" s="2"/>
      <c r="GGD209" s="2"/>
      <c r="GGE209" s="2"/>
      <c r="GGF209" s="2"/>
      <c r="GGG209" s="2"/>
      <c r="GGH209" s="2"/>
      <c r="GGI209" s="2"/>
      <c r="GGJ209" s="2"/>
      <c r="GGK209" s="2"/>
      <c r="GGL209" s="2"/>
      <c r="GGM209" s="2"/>
      <c r="GGN209" s="2"/>
      <c r="GGO209" s="2"/>
      <c r="GGP209" s="2"/>
      <c r="GGQ209" s="2"/>
      <c r="GGR209" s="2"/>
      <c r="GGS209" s="2"/>
      <c r="GGT209" s="2"/>
      <c r="GGU209" s="2"/>
      <c r="GGV209" s="2"/>
      <c r="GGW209" s="2"/>
      <c r="GGX209" s="2"/>
      <c r="GGY209" s="2"/>
      <c r="GGZ209" s="2"/>
      <c r="GHA209" s="2"/>
      <c r="GHB209" s="2"/>
      <c r="GHC209" s="2"/>
      <c r="GHD209" s="2"/>
      <c r="GHE209" s="2"/>
      <c r="GHF209" s="2"/>
      <c r="GHG209" s="2"/>
      <c r="GHH209" s="2"/>
      <c r="GHI209" s="2"/>
      <c r="GHJ209" s="2"/>
      <c r="GHK209" s="2"/>
      <c r="GHL209" s="2"/>
      <c r="GHM209" s="2"/>
      <c r="GHN209" s="2"/>
      <c r="GHO209" s="2"/>
      <c r="GHP209" s="2"/>
      <c r="GHQ209" s="2"/>
      <c r="GHR209" s="2"/>
      <c r="GHS209" s="2"/>
      <c r="GHT209" s="2"/>
      <c r="GHU209" s="2"/>
      <c r="GHV209" s="2"/>
      <c r="GHW209" s="2"/>
      <c r="GHX209" s="2"/>
      <c r="GHY209" s="2"/>
      <c r="GHZ209" s="2"/>
      <c r="GIA209" s="2"/>
      <c r="GIB209" s="2"/>
      <c r="GIC209" s="2"/>
      <c r="GID209" s="2"/>
      <c r="GIE209" s="2"/>
      <c r="GIF209" s="2"/>
      <c r="GIG209" s="2"/>
      <c r="GIH209" s="2"/>
      <c r="GII209" s="2"/>
      <c r="GIJ209" s="2"/>
      <c r="GIK209" s="2"/>
      <c r="GIL209" s="2"/>
      <c r="GIM209" s="2"/>
      <c r="GIN209" s="2"/>
      <c r="GIO209" s="2"/>
      <c r="GIP209" s="2"/>
      <c r="GIQ209" s="2"/>
      <c r="GIR209" s="2"/>
      <c r="GIS209" s="2"/>
      <c r="GIT209" s="2"/>
      <c r="GIU209" s="2"/>
      <c r="GIV209" s="2"/>
      <c r="GIW209" s="2"/>
      <c r="GIX209" s="2"/>
      <c r="GIY209" s="2"/>
      <c r="GIZ209" s="2"/>
      <c r="GJA209" s="2"/>
      <c r="GJB209" s="2"/>
      <c r="GJC209" s="2"/>
      <c r="GJD209" s="2"/>
      <c r="GJE209" s="2"/>
      <c r="GJF209" s="2"/>
      <c r="GJG209" s="2"/>
      <c r="GJH209" s="2"/>
      <c r="GJI209" s="2"/>
      <c r="GJJ209" s="2"/>
      <c r="GJK209" s="2"/>
      <c r="GJL209" s="2"/>
      <c r="GJM209" s="2"/>
      <c r="GJN209" s="2"/>
      <c r="GJO209" s="2"/>
      <c r="GJP209" s="2"/>
      <c r="GJQ209" s="2"/>
      <c r="GJR209" s="2"/>
      <c r="GJS209" s="2"/>
      <c r="GJT209" s="2"/>
      <c r="GJU209" s="2"/>
      <c r="GJV209" s="2"/>
      <c r="GJW209" s="2"/>
      <c r="GJX209" s="2"/>
      <c r="GJY209" s="2"/>
      <c r="GJZ209" s="2"/>
      <c r="GKA209" s="2"/>
      <c r="GKB209" s="2"/>
      <c r="GKC209" s="2"/>
      <c r="GKD209" s="2"/>
      <c r="GKE209" s="2"/>
      <c r="GKF209" s="2"/>
      <c r="GKG209" s="2"/>
      <c r="GKH209" s="2"/>
      <c r="GKI209" s="2"/>
      <c r="GKJ209" s="2"/>
      <c r="GKK209" s="2"/>
      <c r="GKL209" s="2"/>
      <c r="GKM209" s="2"/>
      <c r="GKN209" s="2"/>
      <c r="GKO209" s="2"/>
      <c r="GKP209" s="2"/>
      <c r="GKQ209" s="2"/>
      <c r="GKR209" s="2"/>
      <c r="GKS209" s="2"/>
      <c r="GKT209" s="2"/>
      <c r="GKU209" s="2"/>
      <c r="GKV209" s="2"/>
      <c r="GKW209" s="2"/>
      <c r="GKX209" s="2"/>
      <c r="GKY209" s="2"/>
      <c r="GKZ209" s="2"/>
      <c r="GLA209" s="2"/>
      <c r="GLB209" s="2"/>
      <c r="GLC209" s="2"/>
      <c r="GLD209" s="2"/>
      <c r="GLE209" s="2"/>
      <c r="GLF209" s="2"/>
      <c r="GLG209" s="2"/>
      <c r="GLH209" s="2"/>
      <c r="GLI209" s="2"/>
      <c r="GLJ209" s="2"/>
      <c r="GLK209" s="2"/>
      <c r="GLL209" s="2"/>
      <c r="GLM209" s="2"/>
      <c r="GLN209" s="2"/>
      <c r="GLO209" s="2"/>
      <c r="GLP209" s="2"/>
      <c r="GLQ209" s="2"/>
      <c r="GLR209" s="2"/>
      <c r="GLS209" s="2"/>
      <c r="GLT209" s="2"/>
      <c r="GLU209" s="2"/>
      <c r="GLV209" s="2"/>
      <c r="GLW209" s="2"/>
      <c r="GLX209" s="2"/>
      <c r="GLY209" s="2"/>
      <c r="GLZ209" s="2"/>
      <c r="GMA209" s="2"/>
      <c r="GMB209" s="2"/>
      <c r="GMC209" s="2"/>
      <c r="GMD209" s="2"/>
      <c r="GME209" s="2"/>
      <c r="GMF209" s="2"/>
      <c r="GMG209" s="2"/>
      <c r="GMH209" s="2"/>
      <c r="GMI209" s="2"/>
      <c r="GMJ209" s="2"/>
      <c r="GMK209" s="2"/>
      <c r="GML209" s="2"/>
      <c r="GMM209" s="2"/>
      <c r="GMN209" s="2"/>
      <c r="GMO209" s="2"/>
      <c r="GMP209" s="2"/>
      <c r="GMQ209" s="2"/>
      <c r="GMR209" s="2"/>
      <c r="GMS209" s="2"/>
      <c r="GMT209" s="2"/>
      <c r="GMU209" s="2"/>
      <c r="GMV209" s="2"/>
      <c r="GMW209" s="2"/>
      <c r="GMX209" s="2"/>
      <c r="GMY209" s="2"/>
      <c r="GMZ209" s="2"/>
      <c r="GNA209" s="2"/>
      <c r="GNB209" s="2"/>
      <c r="GNC209" s="2"/>
      <c r="GND209" s="2"/>
      <c r="GNE209" s="2"/>
      <c r="GNF209" s="2"/>
      <c r="GNG209" s="2"/>
      <c r="GNH209" s="2"/>
      <c r="GNI209" s="2"/>
      <c r="GNJ209" s="2"/>
      <c r="GNK209" s="2"/>
      <c r="GNL209" s="2"/>
      <c r="GNM209" s="2"/>
      <c r="GNN209" s="2"/>
      <c r="GNO209" s="2"/>
      <c r="GNP209" s="2"/>
      <c r="GNQ209" s="2"/>
      <c r="GNR209" s="2"/>
      <c r="GNS209" s="2"/>
      <c r="GNT209" s="2"/>
      <c r="GNU209" s="2"/>
      <c r="GNV209" s="2"/>
      <c r="GNW209" s="2"/>
      <c r="GNX209" s="2"/>
      <c r="GNY209" s="2"/>
      <c r="GNZ209" s="2"/>
      <c r="GOA209" s="2"/>
      <c r="GOB209" s="2"/>
      <c r="GOC209" s="2"/>
      <c r="GOD209" s="2"/>
      <c r="GOE209" s="2"/>
      <c r="GOF209" s="2"/>
      <c r="GOG209" s="2"/>
      <c r="GOH209" s="2"/>
      <c r="GOI209" s="2"/>
      <c r="GOJ209" s="2"/>
      <c r="GOK209" s="2"/>
      <c r="GOL209" s="2"/>
      <c r="GOM209" s="2"/>
      <c r="GON209" s="2"/>
      <c r="GOO209" s="2"/>
      <c r="GOP209" s="2"/>
      <c r="GOQ209" s="2"/>
      <c r="GOR209" s="2"/>
      <c r="GOS209" s="2"/>
      <c r="GOT209" s="2"/>
      <c r="GOU209" s="2"/>
      <c r="GOV209" s="2"/>
      <c r="GOW209" s="2"/>
      <c r="GOX209" s="2"/>
      <c r="GOY209" s="2"/>
      <c r="GOZ209" s="2"/>
      <c r="GPA209" s="2"/>
      <c r="GPB209" s="2"/>
      <c r="GPC209" s="2"/>
      <c r="GPD209" s="2"/>
      <c r="GPE209" s="2"/>
      <c r="GPF209" s="2"/>
      <c r="GPG209" s="2"/>
      <c r="GPH209" s="2"/>
      <c r="GPI209" s="2"/>
      <c r="GPJ209" s="2"/>
      <c r="GPK209" s="2"/>
      <c r="GPL209" s="2"/>
      <c r="GPM209" s="2"/>
      <c r="GPN209" s="2"/>
      <c r="GPO209" s="2"/>
      <c r="GPP209" s="2"/>
      <c r="GPQ209" s="2"/>
      <c r="GPR209" s="2"/>
      <c r="GPS209" s="2"/>
      <c r="GPT209" s="2"/>
      <c r="GPU209" s="2"/>
      <c r="GPV209" s="2"/>
      <c r="GPW209" s="2"/>
      <c r="GPX209" s="2"/>
      <c r="GPY209" s="2"/>
      <c r="GPZ209" s="2"/>
      <c r="GQA209" s="2"/>
      <c r="GQB209" s="2"/>
      <c r="GQC209" s="2"/>
      <c r="GQD209" s="2"/>
      <c r="GQE209" s="2"/>
      <c r="GQF209" s="2"/>
      <c r="GQG209" s="2"/>
      <c r="GQH209" s="2"/>
      <c r="GQI209" s="2"/>
      <c r="GQJ209" s="2"/>
      <c r="GQK209" s="2"/>
      <c r="GQL209" s="2"/>
      <c r="GQM209" s="2"/>
      <c r="GQN209" s="2"/>
      <c r="GQO209" s="2"/>
      <c r="GQP209" s="2"/>
      <c r="GQQ209" s="2"/>
      <c r="GQR209" s="2"/>
      <c r="GQS209" s="2"/>
      <c r="GQT209" s="2"/>
      <c r="GQU209" s="2"/>
      <c r="GQV209" s="2"/>
      <c r="GQW209" s="2"/>
      <c r="GQX209" s="2"/>
      <c r="GQY209" s="2"/>
      <c r="GQZ209" s="2"/>
      <c r="GRA209" s="2"/>
      <c r="GRB209" s="2"/>
      <c r="GRC209" s="2"/>
      <c r="GRD209" s="2"/>
      <c r="GRE209" s="2"/>
      <c r="GRF209" s="2"/>
      <c r="GRG209" s="2"/>
      <c r="GRH209" s="2"/>
      <c r="GRI209" s="2"/>
      <c r="GRJ209" s="2"/>
      <c r="GRK209" s="2"/>
      <c r="GRL209" s="2"/>
      <c r="GRM209" s="2"/>
      <c r="GRN209" s="2"/>
      <c r="GRO209" s="2"/>
      <c r="GRP209" s="2"/>
      <c r="GRQ209" s="2"/>
      <c r="GRR209" s="2"/>
      <c r="GRS209" s="2"/>
      <c r="GRT209" s="2"/>
      <c r="GRU209" s="2"/>
      <c r="GRV209" s="2"/>
      <c r="GRW209" s="2"/>
      <c r="GRX209" s="2"/>
      <c r="GRY209" s="2"/>
      <c r="GRZ209" s="2"/>
      <c r="GSA209" s="2"/>
      <c r="GSB209" s="2"/>
      <c r="GSC209" s="2"/>
      <c r="GSD209" s="2"/>
      <c r="GSE209" s="2"/>
      <c r="GSF209" s="2"/>
      <c r="GSG209" s="2"/>
      <c r="GSH209" s="2"/>
      <c r="GSI209" s="2"/>
      <c r="GSJ209" s="2"/>
      <c r="GSK209" s="2"/>
      <c r="GSL209" s="2"/>
      <c r="GSM209" s="2"/>
      <c r="GSN209" s="2"/>
      <c r="GSO209" s="2"/>
      <c r="GSP209" s="2"/>
      <c r="GSQ209" s="2"/>
      <c r="GSR209" s="2"/>
      <c r="GSS209" s="2"/>
      <c r="GST209" s="2"/>
      <c r="GSU209" s="2"/>
      <c r="GSV209" s="2"/>
      <c r="GSW209" s="2"/>
      <c r="GSX209" s="2"/>
      <c r="GSY209" s="2"/>
      <c r="GSZ209" s="2"/>
      <c r="GTA209" s="2"/>
      <c r="GTB209" s="2"/>
      <c r="GTC209" s="2"/>
      <c r="GTD209" s="2"/>
      <c r="GTE209" s="2"/>
      <c r="GTF209" s="2"/>
      <c r="GTG209" s="2"/>
      <c r="GTH209" s="2"/>
      <c r="GTI209" s="2"/>
      <c r="GTJ209" s="2"/>
      <c r="GTK209" s="2"/>
      <c r="GTL209" s="2"/>
      <c r="GTM209" s="2"/>
      <c r="GTN209" s="2"/>
      <c r="GTO209" s="2"/>
      <c r="GTP209" s="2"/>
      <c r="GTQ209" s="2"/>
      <c r="GTR209" s="2"/>
      <c r="GTS209" s="2"/>
      <c r="GTT209" s="2"/>
      <c r="GTU209" s="2"/>
      <c r="GTV209" s="2"/>
      <c r="GTW209" s="2"/>
      <c r="GTX209" s="2"/>
      <c r="GTY209" s="2"/>
      <c r="GTZ209" s="2"/>
      <c r="GUA209" s="2"/>
      <c r="GUB209" s="2"/>
      <c r="GUC209" s="2"/>
      <c r="GUD209" s="2"/>
      <c r="GUE209" s="2"/>
      <c r="GUF209" s="2"/>
      <c r="GUG209" s="2"/>
      <c r="GUH209" s="2"/>
      <c r="GUI209" s="2"/>
      <c r="GUJ209" s="2"/>
      <c r="GUK209" s="2"/>
      <c r="GUL209" s="2"/>
      <c r="GUM209" s="2"/>
      <c r="GUN209" s="2"/>
      <c r="GUO209" s="2"/>
      <c r="GUP209" s="2"/>
      <c r="GUQ209" s="2"/>
      <c r="GUR209" s="2"/>
      <c r="GUS209" s="2"/>
      <c r="GUT209" s="2"/>
      <c r="GUU209" s="2"/>
      <c r="GUV209" s="2"/>
      <c r="GUW209" s="2"/>
      <c r="GUX209" s="2"/>
      <c r="GUY209" s="2"/>
      <c r="GUZ209" s="2"/>
      <c r="GVA209" s="2"/>
      <c r="GVB209" s="2"/>
      <c r="GVC209" s="2"/>
      <c r="GVD209" s="2"/>
      <c r="GVE209" s="2"/>
      <c r="GVF209" s="2"/>
      <c r="GVG209" s="2"/>
      <c r="GVH209" s="2"/>
      <c r="GVI209" s="2"/>
      <c r="GVJ209" s="2"/>
      <c r="GVK209" s="2"/>
      <c r="GVL209" s="2"/>
      <c r="GVM209" s="2"/>
      <c r="GVN209" s="2"/>
      <c r="GVO209" s="2"/>
      <c r="GVP209" s="2"/>
      <c r="GVQ209" s="2"/>
      <c r="GVR209" s="2"/>
      <c r="GVS209" s="2"/>
      <c r="GVT209" s="2"/>
      <c r="GVU209" s="2"/>
      <c r="GVV209" s="2"/>
      <c r="GVW209" s="2"/>
      <c r="GVX209" s="2"/>
      <c r="GVY209" s="2"/>
      <c r="GVZ209" s="2"/>
      <c r="GWA209" s="2"/>
      <c r="GWB209" s="2"/>
      <c r="GWC209" s="2"/>
      <c r="GWD209" s="2"/>
      <c r="GWE209" s="2"/>
      <c r="GWF209" s="2"/>
      <c r="GWG209" s="2"/>
      <c r="GWH209" s="2"/>
      <c r="GWI209" s="2"/>
      <c r="GWJ209" s="2"/>
      <c r="GWK209" s="2"/>
      <c r="GWL209" s="2"/>
      <c r="GWM209" s="2"/>
      <c r="GWN209" s="2"/>
      <c r="GWO209" s="2"/>
      <c r="GWP209" s="2"/>
      <c r="GWQ209" s="2"/>
      <c r="GWR209" s="2"/>
      <c r="GWS209" s="2"/>
      <c r="GWT209" s="2"/>
      <c r="GWU209" s="2"/>
      <c r="GWV209" s="2"/>
      <c r="GWW209" s="2"/>
      <c r="GWX209" s="2"/>
      <c r="GWY209" s="2"/>
      <c r="GWZ209" s="2"/>
      <c r="GXA209" s="2"/>
      <c r="GXB209" s="2"/>
      <c r="GXC209" s="2"/>
      <c r="GXD209" s="2"/>
      <c r="GXE209" s="2"/>
      <c r="GXF209" s="2"/>
      <c r="GXG209" s="2"/>
      <c r="GXH209" s="2"/>
      <c r="GXI209" s="2"/>
      <c r="GXJ209" s="2"/>
      <c r="GXK209" s="2"/>
      <c r="GXL209" s="2"/>
      <c r="GXM209" s="2"/>
      <c r="GXN209" s="2"/>
      <c r="GXO209" s="2"/>
      <c r="GXP209" s="2"/>
      <c r="GXQ209" s="2"/>
      <c r="GXR209" s="2"/>
      <c r="GXS209" s="2"/>
      <c r="GXT209" s="2"/>
      <c r="GXU209" s="2"/>
      <c r="GXV209" s="2"/>
      <c r="GXW209" s="2"/>
      <c r="GXX209" s="2"/>
      <c r="GXY209" s="2"/>
      <c r="GXZ209" s="2"/>
      <c r="GYA209" s="2"/>
      <c r="GYB209" s="2"/>
      <c r="GYC209" s="2"/>
      <c r="GYD209" s="2"/>
      <c r="GYE209" s="2"/>
      <c r="GYF209" s="2"/>
      <c r="GYG209" s="2"/>
      <c r="GYH209" s="2"/>
      <c r="GYI209" s="2"/>
      <c r="GYJ209" s="2"/>
      <c r="GYK209" s="2"/>
      <c r="GYL209" s="2"/>
      <c r="GYM209" s="2"/>
      <c r="GYN209" s="2"/>
      <c r="GYO209" s="2"/>
      <c r="GYP209" s="2"/>
      <c r="GYQ209" s="2"/>
      <c r="GYR209" s="2"/>
      <c r="GYS209" s="2"/>
      <c r="GYT209" s="2"/>
      <c r="GYU209" s="2"/>
      <c r="GYV209" s="2"/>
      <c r="GYW209" s="2"/>
      <c r="GYX209" s="2"/>
      <c r="GYY209" s="2"/>
      <c r="GYZ209" s="2"/>
      <c r="GZA209" s="2"/>
      <c r="GZB209" s="2"/>
      <c r="GZC209" s="2"/>
      <c r="GZD209" s="2"/>
      <c r="GZE209" s="2"/>
      <c r="GZF209" s="2"/>
      <c r="GZG209" s="2"/>
      <c r="GZH209" s="2"/>
      <c r="GZI209" s="2"/>
      <c r="GZJ209" s="2"/>
      <c r="GZK209" s="2"/>
      <c r="GZL209" s="2"/>
      <c r="GZM209" s="2"/>
      <c r="GZN209" s="2"/>
      <c r="GZO209" s="2"/>
      <c r="GZP209" s="2"/>
      <c r="GZQ209" s="2"/>
      <c r="GZR209" s="2"/>
      <c r="GZS209" s="2"/>
      <c r="GZT209" s="2"/>
      <c r="GZU209" s="2"/>
      <c r="GZV209" s="2"/>
      <c r="GZW209" s="2"/>
      <c r="GZX209" s="2"/>
      <c r="GZY209" s="2"/>
      <c r="GZZ209" s="2"/>
      <c r="HAA209" s="2"/>
      <c r="HAB209" s="2"/>
      <c r="HAC209" s="2"/>
      <c r="HAD209" s="2"/>
      <c r="HAE209" s="2"/>
      <c r="HAF209" s="2"/>
      <c r="HAG209" s="2"/>
      <c r="HAH209" s="2"/>
      <c r="HAI209" s="2"/>
      <c r="HAJ209" s="2"/>
      <c r="HAK209" s="2"/>
      <c r="HAL209" s="2"/>
      <c r="HAM209" s="2"/>
      <c r="HAN209" s="2"/>
      <c r="HAO209" s="2"/>
      <c r="HAP209" s="2"/>
      <c r="HAQ209" s="2"/>
      <c r="HAR209" s="2"/>
      <c r="HAS209" s="2"/>
      <c r="HAT209" s="2"/>
      <c r="HAU209" s="2"/>
      <c r="HAV209" s="2"/>
      <c r="HAW209" s="2"/>
      <c r="HAX209" s="2"/>
      <c r="HAY209" s="2"/>
      <c r="HAZ209" s="2"/>
      <c r="HBA209" s="2"/>
      <c r="HBB209" s="2"/>
      <c r="HBC209" s="2"/>
      <c r="HBD209" s="2"/>
      <c r="HBE209" s="2"/>
      <c r="HBF209" s="2"/>
      <c r="HBG209" s="2"/>
      <c r="HBH209" s="2"/>
      <c r="HBI209" s="2"/>
      <c r="HBJ209" s="2"/>
      <c r="HBK209" s="2"/>
      <c r="HBL209" s="2"/>
      <c r="HBM209" s="2"/>
      <c r="HBN209" s="2"/>
      <c r="HBO209" s="2"/>
      <c r="HBP209" s="2"/>
      <c r="HBQ209" s="2"/>
      <c r="HBR209" s="2"/>
      <c r="HBS209" s="2"/>
      <c r="HBT209" s="2"/>
      <c r="HBU209" s="2"/>
      <c r="HBV209" s="2"/>
      <c r="HBW209" s="2"/>
      <c r="HBX209" s="2"/>
      <c r="HBY209" s="2"/>
      <c r="HBZ209" s="2"/>
      <c r="HCA209" s="2"/>
      <c r="HCB209" s="2"/>
      <c r="HCC209" s="2"/>
      <c r="HCD209" s="2"/>
      <c r="HCE209" s="2"/>
      <c r="HCF209" s="2"/>
      <c r="HCG209" s="2"/>
      <c r="HCH209" s="2"/>
      <c r="HCI209" s="2"/>
      <c r="HCJ209" s="2"/>
      <c r="HCK209" s="2"/>
      <c r="HCL209" s="2"/>
      <c r="HCM209" s="2"/>
      <c r="HCN209" s="2"/>
      <c r="HCO209" s="2"/>
      <c r="HCP209" s="2"/>
      <c r="HCQ209" s="2"/>
      <c r="HCR209" s="2"/>
      <c r="HCS209" s="2"/>
      <c r="HCT209" s="2"/>
      <c r="HCU209" s="2"/>
      <c r="HCV209" s="2"/>
      <c r="HCW209" s="2"/>
      <c r="HCX209" s="2"/>
      <c r="HCY209" s="2"/>
      <c r="HCZ209" s="2"/>
      <c r="HDA209" s="2"/>
      <c r="HDB209" s="2"/>
      <c r="HDC209" s="2"/>
      <c r="HDD209" s="2"/>
      <c r="HDE209" s="2"/>
      <c r="HDF209" s="2"/>
      <c r="HDG209" s="2"/>
      <c r="HDH209" s="2"/>
      <c r="HDI209" s="2"/>
      <c r="HDJ209" s="2"/>
      <c r="HDK209" s="2"/>
      <c r="HDL209" s="2"/>
      <c r="HDM209" s="2"/>
      <c r="HDN209" s="2"/>
      <c r="HDO209" s="2"/>
      <c r="HDP209" s="2"/>
      <c r="HDQ209" s="2"/>
      <c r="HDR209" s="2"/>
      <c r="HDS209" s="2"/>
      <c r="HDT209" s="2"/>
      <c r="HDU209" s="2"/>
      <c r="HDV209" s="2"/>
      <c r="HDW209" s="2"/>
      <c r="HDX209" s="2"/>
      <c r="HDY209" s="2"/>
      <c r="HDZ209" s="2"/>
      <c r="HEA209" s="2"/>
      <c r="HEB209" s="2"/>
      <c r="HEC209" s="2"/>
      <c r="HED209" s="2"/>
      <c r="HEE209" s="2"/>
      <c r="HEF209" s="2"/>
      <c r="HEG209" s="2"/>
      <c r="HEH209" s="2"/>
      <c r="HEI209" s="2"/>
      <c r="HEJ209" s="2"/>
      <c r="HEK209" s="2"/>
      <c r="HEL209" s="2"/>
      <c r="HEM209" s="2"/>
      <c r="HEN209" s="2"/>
      <c r="HEO209" s="2"/>
      <c r="HEP209" s="2"/>
      <c r="HEQ209" s="2"/>
      <c r="HER209" s="2"/>
      <c r="HES209" s="2"/>
      <c r="HET209" s="2"/>
      <c r="HEU209" s="2"/>
      <c r="HEV209" s="2"/>
      <c r="HEW209" s="2"/>
      <c r="HEX209" s="2"/>
      <c r="HEY209" s="2"/>
      <c r="HEZ209" s="2"/>
      <c r="HFA209" s="2"/>
      <c r="HFB209" s="2"/>
      <c r="HFC209" s="2"/>
      <c r="HFD209" s="2"/>
      <c r="HFE209" s="2"/>
      <c r="HFF209" s="2"/>
      <c r="HFG209" s="2"/>
      <c r="HFH209" s="2"/>
      <c r="HFI209" s="2"/>
      <c r="HFJ209" s="2"/>
      <c r="HFK209" s="2"/>
      <c r="HFL209" s="2"/>
      <c r="HFM209" s="2"/>
      <c r="HFN209" s="2"/>
      <c r="HFO209" s="2"/>
      <c r="HFP209" s="2"/>
      <c r="HFQ209" s="2"/>
      <c r="HFR209" s="2"/>
      <c r="HFS209" s="2"/>
      <c r="HFT209" s="2"/>
      <c r="HFU209" s="2"/>
      <c r="HFV209" s="2"/>
      <c r="HFW209" s="2"/>
      <c r="HFX209" s="2"/>
      <c r="HFY209" s="2"/>
      <c r="HFZ209" s="2"/>
      <c r="HGA209" s="2"/>
      <c r="HGB209" s="2"/>
      <c r="HGC209" s="2"/>
      <c r="HGD209" s="2"/>
      <c r="HGE209" s="2"/>
      <c r="HGF209" s="2"/>
      <c r="HGG209" s="2"/>
      <c r="HGH209" s="2"/>
      <c r="HGI209" s="2"/>
      <c r="HGJ209" s="2"/>
      <c r="HGK209" s="2"/>
      <c r="HGL209" s="2"/>
      <c r="HGM209" s="2"/>
      <c r="HGN209" s="2"/>
      <c r="HGO209" s="2"/>
      <c r="HGP209" s="2"/>
      <c r="HGQ209" s="2"/>
      <c r="HGR209" s="2"/>
      <c r="HGS209" s="2"/>
      <c r="HGT209" s="2"/>
      <c r="HGU209" s="2"/>
      <c r="HGV209" s="2"/>
      <c r="HGW209" s="2"/>
      <c r="HGX209" s="2"/>
      <c r="HGY209" s="2"/>
      <c r="HGZ209" s="2"/>
      <c r="HHA209" s="2"/>
      <c r="HHB209" s="2"/>
      <c r="HHC209" s="2"/>
      <c r="HHD209" s="2"/>
      <c r="HHE209" s="2"/>
      <c r="HHF209" s="2"/>
      <c r="HHG209" s="2"/>
      <c r="HHH209" s="2"/>
      <c r="HHI209" s="2"/>
      <c r="HHJ209" s="2"/>
      <c r="HHK209" s="2"/>
      <c r="HHL209" s="2"/>
      <c r="HHM209" s="2"/>
      <c r="HHN209" s="2"/>
      <c r="HHO209" s="2"/>
      <c r="HHP209" s="2"/>
      <c r="HHQ209" s="2"/>
      <c r="HHR209" s="2"/>
      <c r="HHS209" s="2"/>
      <c r="HHT209" s="2"/>
      <c r="HHU209" s="2"/>
      <c r="HHV209" s="2"/>
      <c r="HHW209" s="2"/>
      <c r="HHX209" s="2"/>
      <c r="HHY209" s="2"/>
      <c r="HHZ209" s="2"/>
      <c r="HIA209" s="2"/>
      <c r="HIB209" s="2"/>
      <c r="HIC209" s="2"/>
      <c r="HID209" s="2"/>
      <c r="HIE209" s="2"/>
      <c r="HIF209" s="2"/>
      <c r="HIG209" s="2"/>
      <c r="HIH209" s="2"/>
      <c r="HII209" s="2"/>
      <c r="HIJ209" s="2"/>
      <c r="HIK209" s="2"/>
      <c r="HIL209" s="2"/>
      <c r="HIM209" s="2"/>
      <c r="HIN209" s="2"/>
      <c r="HIO209" s="2"/>
      <c r="HIP209" s="2"/>
      <c r="HIQ209" s="2"/>
      <c r="HIR209" s="2"/>
      <c r="HIS209" s="2"/>
      <c r="HIT209" s="2"/>
      <c r="HIU209" s="2"/>
      <c r="HIV209" s="2"/>
      <c r="HIW209" s="2"/>
      <c r="HIX209" s="2"/>
      <c r="HIY209" s="2"/>
      <c r="HIZ209" s="2"/>
      <c r="HJA209" s="2"/>
      <c r="HJB209" s="2"/>
      <c r="HJC209" s="2"/>
      <c r="HJD209" s="2"/>
      <c r="HJE209" s="2"/>
      <c r="HJF209" s="2"/>
      <c r="HJG209" s="2"/>
      <c r="HJH209" s="2"/>
      <c r="HJI209" s="2"/>
      <c r="HJJ209" s="2"/>
      <c r="HJK209" s="2"/>
      <c r="HJL209" s="2"/>
      <c r="HJM209" s="2"/>
      <c r="HJN209" s="2"/>
      <c r="HJO209" s="2"/>
      <c r="HJP209" s="2"/>
      <c r="HJQ209" s="2"/>
      <c r="HJR209" s="2"/>
      <c r="HJS209" s="2"/>
      <c r="HJT209" s="2"/>
      <c r="HJU209" s="2"/>
      <c r="HJV209" s="2"/>
      <c r="HJW209" s="2"/>
      <c r="HJX209" s="2"/>
      <c r="HJY209" s="2"/>
      <c r="HJZ209" s="2"/>
      <c r="HKA209" s="2"/>
      <c r="HKB209" s="2"/>
      <c r="HKC209" s="2"/>
      <c r="HKD209" s="2"/>
      <c r="HKE209" s="2"/>
      <c r="HKF209" s="2"/>
      <c r="HKG209" s="2"/>
      <c r="HKH209" s="2"/>
      <c r="HKI209" s="2"/>
      <c r="HKJ209" s="2"/>
      <c r="HKK209" s="2"/>
      <c r="HKL209" s="2"/>
      <c r="HKM209" s="2"/>
      <c r="HKN209" s="2"/>
      <c r="HKO209" s="2"/>
      <c r="HKP209" s="2"/>
      <c r="HKQ209" s="2"/>
      <c r="HKR209" s="2"/>
      <c r="HKS209" s="2"/>
      <c r="HKT209" s="2"/>
      <c r="HKU209" s="2"/>
      <c r="HKV209" s="2"/>
      <c r="HKW209" s="2"/>
      <c r="HKX209" s="2"/>
      <c r="HKY209" s="2"/>
      <c r="HKZ209" s="2"/>
      <c r="HLA209" s="2"/>
      <c r="HLB209" s="2"/>
      <c r="HLC209" s="2"/>
      <c r="HLD209" s="2"/>
      <c r="HLE209" s="2"/>
      <c r="HLF209" s="2"/>
      <c r="HLG209" s="2"/>
      <c r="HLH209" s="2"/>
      <c r="HLI209" s="2"/>
      <c r="HLJ209" s="2"/>
      <c r="HLK209" s="2"/>
      <c r="HLL209" s="2"/>
      <c r="HLM209" s="2"/>
      <c r="HLN209" s="2"/>
      <c r="HLO209" s="2"/>
      <c r="HLP209" s="2"/>
      <c r="HLQ209" s="2"/>
      <c r="HLR209" s="2"/>
      <c r="HLS209" s="2"/>
      <c r="HLT209" s="2"/>
      <c r="HLU209" s="2"/>
      <c r="HLV209" s="2"/>
      <c r="HLW209" s="2"/>
      <c r="HLX209" s="2"/>
      <c r="HLY209" s="2"/>
      <c r="HLZ209" s="2"/>
      <c r="HMA209" s="2"/>
      <c r="HMB209" s="2"/>
      <c r="HMC209" s="2"/>
      <c r="HMD209" s="2"/>
      <c r="HME209" s="2"/>
      <c r="HMF209" s="2"/>
      <c r="HMG209" s="2"/>
      <c r="HMH209" s="2"/>
      <c r="HMI209" s="2"/>
      <c r="HMJ209" s="2"/>
      <c r="HMK209" s="2"/>
      <c r="HML209" s="2"/>
      <c r="HMM209" s="2"/>
      <c r="HMN209" s="2"/>
      <c r="HMO209" s="2"/>
      <c r="HMP209" s="2"/>
      <c r="HMQ209" s="2"/>
      <c r="HMR209" s="2"/>
      <c r="HMS209" s="2"/>
      <c r="HMT209" s="2"/>
      <c r="HMU209" s="2"/>
      <c r="HMV209" s="2"/>
      <c r="HMW209" s="2"/>
      <c r="HMX209" s="2"/>
      <c r="HMY209" s="2"/>
      <c r="HMZ209" s="2"/>
      <c r="HNA209" s="2"/>
      <c r="HNB209" s="2"/>
      <c r="HNC209" s="2"/>
      <c r="HND209" s="2"/>
      <c r="HNE209" s="2"/>
      <c r="HNF209" s="2"/>
      <c r="HNG209" s="2"/>
      <c r="HNH209" s="2"/>
      <c r="HNI209" s="2"/>
      <c r="HNJ209" s="2"/>
      <c r="HNK209" s="2"/>
      <c r="HNL209" s="2"/>
      <c r="HNM209" s="2"/>
      <c r="HNN209" s="2"/>
      <c r="HNO209" s="2"/>
      <c r="HNP209" s="2"/>
      <c r="HNQ209" s="2"/>
      <c r="HNR209" s="2"/>
      <c r="HNS209" s="2"/>
      <c r="HNT209" s="2"/>
      <c r="HNU209" s="2"/>
      <c r="HNV209" s="2"/>
      <c r="HNW209" s="2"/>
      <c r="HNX209" s="2"/>
      <c r="HNY209" s="2"/>
      <c r="HNZ209" s="2"/>
      <c r="HOA209" s="2"/>
      <c r="HOB209" s="2"/>
      <c r="HOC209" s="2"/>
      <c r="HOD209" s="2"/>
      <c r="HOE209" s="2"/>
      <c r="HOF209" s="2"/>
      <c r="HOG209" s="2"/>
      <c r="HOH209" s="2"/>
      <c r="HOI209" s="2"/>
      <c r="HOJ209" s="2"/>
      <c r="HOK209" s="2"/>
      <c r="HOL209" s="2"/>
      <c r="HOM209" s="2"/>
      <c r="HON209" s="2"/>
      <c r="HOO209" s="2"/>
      <c r="HOP209" s="2"/>
      <c r="HOQ209" s="2"/>
      <c r="HOR209" s="2"/>
      <c r="HOS209" s="2"/>
      <c r="HOT209" s="2"/>
      <c r="HOU209" s="2"/>
      <c r="HOV209" s="2"/>
      <c r="HOW209" s="2"/>
      <c r="HOX209" s="2"/>
      <c r="HOY209" s="2"/>
      <c r="HOZ209" s="2"/>
      <c r="HPA209" s="2"/>
      <c r="HPB209" s="2"/>
      <c r="HPC209" s="2"/>
      <c r="HPD209" s="2"/>
      <c r="HPE209" s="2"/>
      <c r="HPF209" s="2"/>
      <c r="HPG209" s="2"/>
      <c r="HPH209" s="2"/>
      <c r="HPI209" s="2"/>
      <c r="HPJ209" s="2"/>
      <c r="HPK209" s="2"/>
      <c r="HPL209" s="2"/>
      <c r="HPM209" s="2"/>
      <c r="HPN209" s="2"/>
      <c r="HPO209" s="2"/>
      <c r="HPP209" s="2"/>
      <c r="HPQ209" s="2"/>
      <c r="HPR209" s="2"/>
      <c r="HPS209" s="2"/>
      <c r="HPT209" s="2"/>
      <c r="HPU209" s="2"/>
      <c r="HPV209" s="2"/>
      <c r="HPW209" s="2"/>
      <c r="HPX209" s="2"/>
      <c r="HPY209" s="2"/>
      <c r="HPZ209" s="2"/>
      <c r="HQA209" s="2"/>
      <c r="HQB209" s="2"/>
      <c r="HQC209" s="2"/>
      <c r="HQD209" s="2"/>
      <c r="HQE209" s="2"/>
      <c r="HQF209" s="2"/>
      <c r="HQG209" s="2"/>
      <c r="HQH209" s="2"/>
      <c r="HQI209" s="2"/>
      <c r="HQJ209" s="2"/>
      <c r="HQK209" s="2"/>
      <c r="HQL209" s="2"/>
      <c r="HQM209" s="2"/>
      <c r="HQN209" s="2"/>
      <c r="HQO209" s="2"/>
      <c r="HQP209" s="2"/>
      <c r="HQQ209" s="2"/>
      <c r="HQR209" s="2"/>
      <c r="HQS209" s="2"/>
      <c r="HQT209" s="2"/>
      <c r="HQU209" s="2"/>
      <c r="HQV209" s="2"/>
      <c r="HQW209" s="2"/>
      <c r="HQX209" s="2"/>
      <c r="HQY209" s="2"/>
      <c r="HQZ209" s="2"/>
      <c r="HRA209" s="2"/>
      <c r="HRB209" s="2"/>
      <c r="HRC209" s="2"/>
      <c r="HRD209" s="2"/>
      <c r="HRE209" s="2"/>
      <c r="HRF209" s="2"/>
      <c r="HRG209" s="2"/>
      <c r="HRH209" s="2"/>
      <c r="HRI209" s="2"/>
      <c r="HRJ209" s="2"/>
      <c r="HRK209" s="2"/>
      <c r="HRL209" s="2"/>
      <c r="HRM209" s="2"/>
      <c r="HRN209" s="2"/>
      <c r="HRO209" s="2"/>
      <c r="HRP209" s="2"/>
      <c r="HRQ209" s="2"/>
      <c r="HRR209" s="2"/>
      <c r="HRS209" s="2"/>
      <c r="HRT209" s="2"/>
      <c r="HRU209" s="2"/>
      <c r="HRV209" s="2"/>
      <c r="HRW209" s="2"/>
      <c r="HRX209" s="2"/>
      <c r="HRY209" s="2"/>
      <c r="HRZ209" s="2"/>
      <c r="HSA209" s="2"/>
      <c r="HSB209" s="2"/>
      <c r="HSC209" s="2"/>
      <c r="HSD209" s="2"/>
      <c r="HSE209" s="2"/>
      <c r="HSF209" s="2"/>
      <c r="HSG209" s="2"/>
      <c r="HSH209" s="2"/>
      <c r="HSI209" s="2"/>
      <c r="HSJ209" s="2"/>
      <c r="HSK209" s="2"/>
      <c r="HSL209" s="2"/>
      <c r="HSM209" s="2"/>
      <c r="HSN209" s="2"/>
      <c r="HSO209" s="2"/>
      <c r="HSP209" s="2"/>
      <c r="HSQ209" s="2"/>
      <c r="HSR209" s="2"/>
      <c r="HSS209" s="2"/>
      <c r="HST209" s="2"/>
      <c r="HSU209" s="2"/>
      <c r="HSV209" s="2"/>
      <c r="HSW209" s="2"/>
      <c r="HSX209" s="2"/>
      <c r="HSY209" s="2"/>
      <c r="HSZ209" s="2"/>
      <c r="HTA209" s="2"/>
      <c r="HTB209" s="2"/>
      <c r="HTC209" s="2"/>
      <c r="HTD209" s="2"/>
      <c r="HTE209" s="2"/>
      <c r="HTF209" s="2"/>
      <c r="HTG209" s="2"/>
      <c r="HTH209" s="2"/>
      <c r="HTI209" s="2"/>
      <c r="HTJ209" s="2"/>
      <c r="HTK209" s="2"/>
      <c r="HTL209" s="2"/>
      <c r="HTM209" s="2"/>
      <c r="HTN209" s="2"/>
      <c r="HTO209" s="2"/>
      <c r="HTP209" s="2"/>
      <c r="HTQ209" s="2"/>
      <c r="HTR209" s="2"/>
      <c r="HTS209" s="2"/>
      <c r="HTT209" s="2"/>
      <c r="HTU209" s="2"/>
      <c r="HTV209" s="2"/>
      <c r="HTW209" s="2"/>
      <c r="HTX209" s="2"/>
      <c r="HTY209" s="2"/>
      <c r="HTZ209" s="2"/>
      <c r="HUA209" s="2"/>
      <c r="HUB209" s="2"/>
      <c r="HUC209" s="2"/>
      <c r="HUD209" s="2"/>
      <c r="HUE209" s="2"/>
      <c r="HUF209" s="2"/>
      <c r="HUG209" s="2"/>
      <c r="HUH209" s="2"/>
      <c r="HUI209" s="2"/>
      <c r="HUJ209" s="2"/>
      <c r="HUK209" s="2"/>
      <c r="HUL209" s="2"/>
      <c r="HUM209" s="2"/>
      <c r="HUN209" s="2"/>
      <c r="HUO209" s="2"/>
      <c r="HUP209" s="2"/>
      <c r="HUQ209" s="2"/>
      <c r="HUR209" s="2"/>
      <c r="HUS209" s="2"/>
      <c r="HUT209" s="2"/>
      <c r="HUU209" s="2"/>
      <c r="HUV209" s="2"/>
      <c r="HUW209" s="2"/>
      <c r="HUX209" s="2"/>
      <c r="HUY209" s="2"/>
      <c r="HUZ209" s="2"/>
      <c r="HVA209" s="2"/>
      <c r="HVB209" s="2"/>
      <c r="HVC209" s="2"/>
      <c r="HVD209" s="2"/>
      <c r="HVE209" s="2"/>
      <c r="HVF209" s="2"/>
      <c r="HVG209" s="2"/>
      <c r="HVH209" s="2"/>
      <c r="HVI209" s="2"/>
      <c r="HVJ209" s="2"/>
      <c r="HVK209" s="2"/>
      <c r="HVL209" s="2"/>
      <c r="HVM209" s="2"/>
      <c r="HVN209" s="2"/>
      <c r="HVO209" s="2"/>
      <c r="HVP209" s="2"/>
      <c r="HVQ209" s="2"/>
      <c r="HVR209" s="2"/>
      <c r="HVS209" s="2"/>
      <c r="HVT209" s="2"/>
      <c r="HVU209" s="2"/>
      <c r="HVV209" s="2"/>
      <c r="HVW209" s="2"/>
      <c r="HVX209" s="2"/>
      <c r="HVY209" s="2"/>
      <c r="HVZ209" s="2"/>
      <c r="HWA209" s="2"/>
      <c r="HWB209" s="2"/>
      <c r="HWC209" s="2"/>
      <c r="HWD209" s="2"/>
      <c r="HWE209" s="2"/>
      <c r="HWF209" s="2"/>
      <c r="HWG209" s="2"/>
      <c r="HWH209" s="2"/>
      <c r="HWI209" s="2"/>
      <c r="HWJ209" s="2"/>
      <c r="HWK209" s="2"/>
      <c r="HWL209" s="2"/>
      <c r="HWM209" s="2"/>
      <c r="HWN209" s="2"/>
      <c r="HWO209" s="2"/>
      <c r="HWP209" s="2"/>
      <c r="HWQ209" s="2"/>
      <c r="HWR209" s="2"/>
      <c r="HWS209" s="2"/>
      <c r="HWT209" s="2"/>
      <c r="HWU209" s="2"/>
      <c r="HWV209" s="2"/>
      <c r="HWW209" s="2"/>
      <c r="HWX209" s="2"/>
      <c r="HWY209" s="2"/>
      <c r="HWZ209" s="2"/>
      <c r="HXA209" s="2"/>
      <c r="HXB209" s="2"/>
      <c r="HXC209" s="2"/>
      <c r="HXD209" s="2"/>
      <c r="HXE209" s="2"/>
      <c r="HXF209" s="2"/>
      <c r="HXG209" s="2"/>
      <c r="HXH209" s="2"/>
      <c r="HXI209" s="2"/>
      <c r="HXJ209" s="2"/>
      <c r="HXK209" s="2"/>
      <c r="HXL209" s="2"/>
      <c r="HXM209" s="2"/>
      <c r="HXN209" s="2"/>
      <c r="HXO209" s="2"/>
      <c r="HXP209" s="2"/>
      <c r="HXQ209" s="2"/>
      <c r="HXR209" s="2"/>
      <c r="HXS209" s="2"/>
      <c r="HXT209" s="2"/>
      <c r="HXU209" s="2"/>
      <c r="HXV209" s="2"/>
      <c r="HXW209" s="2"/>
      <c r="HXX209" s="2"/>
      <c r="HXY209" s="2"/>
      <c r="HXZ209" s="2"/>
      <c r="HYA209" s="2"/>
      <c r="HYB209" s="2"/>
      <c r="HYC209" s="2"/>
      <c r="HYD209" s="2"/>
      <c r="HYE209" s="2"/>
      <c r="HYF209" s="2"/>
      <c r="HYG209" s="2"/>
      <c r="HYH209" s="2"/>
      <c r="HYI209" s="2"/>
      <c r="HYJ209" s="2"/>
      <c r="HYK209" s="2"/>
      <c r="HYL209" s="2"/>
      <c r="HYM209" s="2"/>
      <c r="HYN209" s="2"/>
      <c r="HYO209" s="2"/>
      <c r="HYP209" s="2"/>
      <c r="HYQ209" s="2"/>
      <c r="HYR209" s="2"/>
      <c r="HYS209" s="2"/>
      <c r="HYT209" s="2"/>
      <c r="HYU209" s="2"/>
      <c r="HYV209" s="2"/>
      <c r="HYW209" s="2"/>
      <c r="HYX209" s="2"/>
      <c r="HYY209" s="2"/>
      <c r="HYZ209" s="2"/>
      <c r="HZA209" s="2"/>
      <c r="HZB209" s="2"/>
      <c r="HZC209" s="2"/>
      <c r="HZD209" s="2"/>
      <c r="HZE209" s="2"/>
      <c r="HZF209" s="2"/>
      <c r="HZG209" s="2"/>
      <c r="HZH209" s="2"/>
      <c r="HZI209" s="2"/>
      <c r="HZJ209" s="2"/>
      <c r="HZK209" s="2"/>
      <c r="HZL209" s="2"/>
      <c r="HZM209" s="2"/>
      <c r="HZN209" s="2"/>
      <c r="HZO209" s="2"/>
      <c r="HZP209" s="2"/>
      <c r="HZQ209" s="2"/>
      <c r="HZR209" s="2"/>
      <c r="HZS209" s="2"/>
      <c r="HZT209" s="2"/>
      <c r="HZU209" s="2"/>
      <c r="HZV209" s="2"/>
      <c r="HZW209" s="2"/>
      <c r="HZX209" s="2"/>
      <c r="HZY209" s="2"/>
      <c r="HZZ209" s="2"/>
      <c r="IAA209" s="2"/>
      <c r="IAB209" s="2"/>
      <c r="IAC209" s="2"/>
      <c r="IAD209" s="2"/>
      <c r="IAE209" s="2"/>
      <c r="IAF209" s="2"/>
      <c r="IAG209" s="2"/>
      <c r="IAH209" s="2"/>
      <c r="IAI209" s="2"/>
      <c r="IAJ209" s="2"/>
      <c r="IAK209" s="2"/>
      <c r="IAL209" s="2"/>
      <c r="IAM209" s="2"/>
      <c r="IAN209" s="2"/>
      <c r="IAO209" s="2"/>
      <c r="IAP209" s="2"/>
      <c r="IAQ209" s="2"/>
      <c r="IAR209" s="2"/>
      <c r="IAS209" s="2"/>
      <c r="IAT209" s="2"/>
      <c r="IAU209" s="2"/>
      <c r="IAV209" s="2"/>
      <c r="IAW209" s="2"/>
      <c r="IAX209" s="2"/>
      <c r="IAY209" s="2"/>
      <c r="IAZ209" s="2"/>
      <c r="IBA209" s="2"/>
      <c r="IBB209" s="2"/>
      <c r="IBC209" s="2"/>
      <c r="IBD209" s="2"/>
      <c r="IBE209" s="2"/>
      <c r="IBF209" s="2"/>
      <c r="IBG209" s="2"/>
      <c r="IBH209" s="2"/>
      <c r="IBI209" s="2"/>
      <c r="IBJ209" s="2"/>
      <c r="IBK209" s="2"/>
      <c r="IBL209" s="2"/>
      <c r="IBM209" s="2"/>
      <c r="IBN209" s="2"/>
      <c r="IBO209" s="2"/>
      <c r="IBP209" s="2"/>
      <c r="IBQ209" s="2"/>
      <c r="IBR209" s="2"/>
      <c r="IBS209" s="2"/>
      <c r="IBT209" s="2"/>
      <c r="IBU209" s="2"/>
      <c r="IBV209" s="2"/>
      <c r="IBW209" s="2"/>
      <c r="IBX209" s="2"/>
      <c r="IBY209" s="2"/>
      <c r="IBZ209" s="2"/>
      <c r="ICA209" s="2"/>
      <c r="ICB209" s="2"/>
      <c r="ICC209" s="2"/>
      <c r="ICD209" s="2"/>
      <c r="ICE209" s="2"/>
      <c r="ICF209" s="2"/>
      <c r="ICG209" s="2"/>
      <c r="ICH209" s="2"/>
      <c r="ICI209" s="2"/>
      <c r="ICJ209" s="2"/>
      <c r="ICK209" s="2"/>
      <c r="ICL209" s="2"/>
      <c r="ICM209" s="2"/>
      <c r="ICN209" s="2"/>
      <c r="ICO209" s="2"/>
      <c r="ICP209" s="2"/>
      <c r="ICQ209" s="2"/>
      <c r="ICR209" s="2"/>
      <c r="ICS209" s="2"/>
      <c r="ICT209" s="2"/>
      <c r="ICU209" s="2"/>
      <c r="ICV209" s="2"/>
      <c r="ICW209" s="2"/>
      <c r="ICX209" s="2"/>
      <c r="ICY209" s="2"/>
      <c r="ICZ209" s="2"/>
      <c r="IDA209" s="2"/>
      <c r="IDB209" s="2"/>
      <c r="IDC209" s="2"/>
      <c r="IDD209" s="2"/>
      <c r="IDE209" s="2"/>
      <c r="IDF209" s="2"/>
      <c r="IDG209" s="2"/>
      <c r="IDH209" s="2"/>
      <c r="IDI209" s="2"/>
      <c r="IDJ209" s="2"/>
      <c r="IDK209" s="2"/>
      <c r="IDL209" s="2"/>
      <c r="IDM209" s="2"/>
      <c r="IDN209" s="2"/>
      <c r="IDO209" s="2"/>
      <c r="IDP209" s="2"/>
      <c r="IDQ209" s="2"/>
      <c r="IDR209" s="2"/>
      <c r="IDS209" s="2"/>
      <c r="IDT209" s="2"/>
      <c r="IDU209" s="2"/>
      <c r="IDV209" s="2"/>
      <c r="IDW209" s="2"/>
      <c r="IDX209" s="2"/>
      <c r="IDY209" s="2"/>
      <c r="IDZ209" s="2"/>
      <c r="IEA209" s="2"/>
      <c r="IEB209" s="2"/>
      <c r="IEC209" s="2"/>
      <c r="IED209" s="2"/>
      <c r="IEE209" s="2"/>
      <c r="IEF209" s="2"/>
      <c r="IEG209" s="2"/>
      <c r="IEH209" s="2"/>
      <c r="IEI209" s="2"/>
      <c r="IEJ209" s="2"/>
      <c r="IEK209" s="2"/>
      <c r="IEL209" s="2"/>
      <c r="IEM209" s="2"/>
      <c r="IEN209" s="2"/>
      <c r="IEO209" s="2"/>
      <c r="IEP209" s="2"/>
      <c r="IEQ209" s="2"/>
      <c r="IER209" s="2"/>
      <c r="IES209" s="2"/>
      <c r="IET209" s="2"/>
      <c r="IEU209" s="2"/>
      <c r="IEV209" s="2"/>
      <c r="IEW209" s="2"/>
      <c r="IEX209" s="2"/>
      <c r="IEY209" s="2"/>
      <c r="IEZ209" s="2"/>
      <c r="IFA209" s="2"/>
      <c r="IFB209" s="2"/>
      <c r="IFC209" s="2"/>
      <c r="IFD209" s="2"/>
      <c r="IFE209" s="2"/>
      <c r="IFF209" s="2"/>
      <c r="IFG209" s="2"/>
      <c r="IFH209" s="2"/>
      <c r="IFI209" s="2"/>
      <c r="IFJ209" s="2"/>
      <c r="IFK209" s="2"/>
      <c r="IFL209" s="2"/>
      <c r="IFM209" s="2"/>
      <c r="IFN209" s="2"/>
      <c r="IFO209" s="2"/>
      <c r="IFP209" s="2"/>
      <c r="IFQ209" s="2"/>
      <c r="IFR209" s="2"/>
      <c r="IFS209" s="2"/>
      <c r="IFT209" s="2"/>
      <c r="IFU209" s="2"/>
      <c r="IFV209" s="2"/>
      <c r="IFW209" s="2"/>
      <c r="IFX209" s="2"/>
      <c r="IFY209" s="2"/>
      <c r="IFZ209" s="2"/>
      <c r="IGA209" s="2"/>
      <c r="IGB209" s="2"/>
      <c r="IGC209" s="2"/>
      <c r="IGD209" s="2"/>
      <c r="IGE209" s="2"/>
      <c r="IGF209" s="2"/>
      <c r="IGG209" s="2"/>
      <c r="IGH209" s="2"/>
      <c r="IGI209" s="2"/>
      <c r="IGJ209" s="2"/>
      <c r="IGK209" s="2"/>
      <c r="IGL209" s="2"/>
      <c r="IGM209" s="2"/>
      <c r="IGN209" s="2"/>
      <c r="IGO209" s="2"/>
      <c r="IGP209" s="2"/>
      <c r="IGQ209" s="2"/>
      <c r="IGR209" s="2"/>
      <c r="IGS209" s="2"/>
      <c r="IGT209" s="2"/>
      <c r="IGU209" s="2"/>
      <c r="IGV209" s="2"/>
      <c r="IGW209" s="2"/>
      <c r="IGX209" s="2"/>
      <c r="IGY209" s="2"/>
      <c r="IGZ209" s="2"/>
      <c r="IHA209" s="2"/>
      <c r="IHB209" s="2"/>
      <c r="IHC209" s="2"/>
      <c r="IHD209" s="2"/>
      <c r="IHE209" s="2"/>
      <c r="IHF209" s="2"/>
      <c r="IHG209" s="2"/>
      <c r="IHH209" s="2"/>
      <c r="IHI209" s="2"/>
      <c r="IHJ209" s="2"/>
      <c r="IHK209" s="2"/>
      <c r="IHL209" s="2"/>
      <c r="IHM209" s="2"/>
      <c r="IHN209" s="2"/>
      <c r="IHO209" s="2"/>
      <c r="IHP209" s="2"/>
      <c r="IHQ209" s="2"/>
      <c r="IHR209" s="2"/>
      <c r="IHS209" s="2"/>
      <c r="IHT209" s="2"/>
      <c r="IHU209" s="2"/>
      <c r="IHV209" s="2"/>
      <c r="IHW209" s="2"/>
      <c r="IHX209" s="2"/>
      <c r="IHY209" s="2"/>
      <c r="IHZ209" s="2"/>
      <c r="IIA209" s="2"/>
      <c r="IIB209" s="2"/>
      <c r="IIC209" s="2"/>
      <c r="IID209" s="2"/>
      <c r="IIE209" s="2"/>
      <c r="IIF209" s="2"/>
      <c r="IIG209" s="2"/>
      <c r="IIH209" s="2"/>
      <c r="III209" s="2"/>
      <c r="IIJ209" s="2"/>
      <c r="IIK209" s="2"/>
      <c r="IIL209" s="2"/>
      <c r="IIM209" s="2"/>
      <c r="IIN209" s="2"/>
      <c r="IIO209" s="2"/>
      <c r="IIP209" s="2"/>
      <c r="IIQ209" s="2"/>
      <c r="IIR209" s="2"/>
      <c r="IIS209" s="2"/>
      <c r="IIT209" s="2"/>
      <c r="IIU209" s="2"/>
      <c r="IIV209" s="2"/>
      <c r="IIW209" s="2"/>
      <c r="IIX209" s="2"/>
      <c r="IIY209" s="2"/>
      <c r="IIZ209" s="2"/>
      <c r="IJA209" s="2"/>
      <c r="IJB209" s="2"/>
      <c r="IJC209" s="2"/>
      <c r="IJD209" s="2"/>
      <c r="IJE209" s="2"/>
      <c r="IJF209" s="2"/>
      <c r="IJG209" s="2"/>
      <c r="IJH209" s="2"/>
      <c r="IJI209" s="2"/>
      <c r="IJJ209" s="2"/>
      <c r="IJK209" s="2"/>
      <c r="IJL209" s="2"/>
      <c r="IJM209" s="2"/>
      <c r="IJN209" s="2"/>
      <c r="IJO209" s="2"/>
      <c r="IJP209" s="2"/>
      <c r="IJQ209" s="2"/>
      <c r="IJR209" s="2"/>
      <c r="IJS209" s="2"/>
      <c r="IJT209" s="2"/>
      <c r="IJU209" s="2"/>
      <c r="IJV209" s="2"/>
      <c r="IJW209" s="2"/>
      <c r="IJX209" s="2"/>
      <c r="IJY209" s="2"/>
      <c r="IJZ209" s="2"/>
      <c r="IKA209" s="2"/>
      <c r="IKB209" s="2"/>
      <c r="IKC209" s="2"/>
      <c r="IKD209" s="2"/>
      <c r="IKE209" s="2"/>
      <c r="IKF209" s="2"/>
      <c r="IKG209" s="2"/>
      <c r="IKH209" s="2"/>
      <c r="IKI209" s="2"/>
      <c r="IKJ209" s="2"/>
      <c r="IKK209" s="2"/>
      <c r="IKL209" s="2"/>
      <c r="IKM209" s="2"/>
      <c r="IKN209" s="2"/>
      <c r="IKO209" s="2"/>
      <c r="IKP209" s="2"/>
      <c r="IKQ209" s="2"/>
      <c r="IKR209" s="2"/>
      <c r="IKS209" s="2"/>
      <c r="IKT209" s="2"/>
      <c r="IKU209" s="2"/>
      <c r="IKV209" s="2"/>
      <c r="IKW209" s="2"/>
      <c r="IKX209" s="2"/>
      <c r="IKY209" s="2"/>
      <c r="IKZ209" s="2"/>
      <c r="ILA209" s="2"/>
      <c r="ILB209" s="2"/>
      <c r="ILC209" s="2"/>
      <c r="ILD209" s="2"/>
      <c r="ILE209" s="2"/>
      <c r="ILF209" s="2"/>
      <c r="ILG209" s="2"/>
      <c r="ILH209" s="2"/>
      <c r="ILI209" s="2"/>
      <c r="ILJ209" s="2"/>
      <c r="ILK209" s="2"/>
      <c r="ILL209" s="2"/>
      <c r="ILM209" s="2"/>
      <c r="ILN209" s="2"/>
      <c r="ILO209" s="2"/>
      <c r="ILP209" s="2"/>
      <c r="ILQ209" s="2"/>
      <c r="ILR209" s="2"/>
      <c r="ILS209" s="2"/>
      <c r="ILT209" s="2"/>
      <c r="ILU209" s="2"/>
      <c r="ILV209" s="2"/>
      <c r="ILW209" s="2"/>
      <c r="ILX209" s="2"/>
      <c r="ILY209" s="2"/>
      <c r="ILZ209" s="2"/>
      <c r="IMA209" s="2"/>
      <c r="IMB209" s="2"/>
      <c r="IMC209" s="2"/>
      <c r="IMD209" s="2"/>
      <c r="IME209" s="2"/>
      <c r="IMF209" s="2"/>
      <c r="IMG209" s="2"/>
      <c r="IMH209" s="2"/>
      <c r="IMI209" s="2"/>
      <c r="IMJ209" s="2"/>
      <c r="IMK209" s="2"/>
      <c r="IML209" s="2"/>
      <c r="IMM209" s="2"/>
      <c r="IMN209" s="2"/>
      <c r="IMO209" s="2"/>
      <c r="IMP209" s="2"/>
      <c r="IMQ209" s="2"/>
      <c r="IMR209" s="2"/>
      <c r="IMS209" s="2"/>
      <c r="IMT209" s="2"/>
      <c r="IMU209" s="2"/>
      <c r="IMV209" s="2"/>
      <c r="IMW209" s="2"/>
      <c r="IMX209" s="2"/>
      <c r="IMY209" s="2"/>
      <c r="IMZ209" s="2"/>
      <c r="INA209" s="2"/>
      <c r="INB209" s="2"/>
      <c r="INC209" s="2"/>
      <c r="IND209" s="2"/>
      <c r="INE209" s="2"/>
      <c r="INF209" s="2"/>
      <c r="ING209" s="2"/>
      <c r="INH209" s="2"/>
      <c r="INI209" s="2"/>
      <c r="INJ209" s="2"/>
      <c r="INK209" s="2"/>
      <c r="INL209" s="2"/>
      <c r="INM209" s="2"/>
      <c r="INN209" s="2"/>
      <c r="INO209" s="2"/>
      <c r="INP209" s="2"/>
      <c r="INQ209" s="2"/>
      <c r="INR209" s="2"/>
      <c r="INS209" s="2"/>
      <c r="INT209" s="2"/>
      <c r="INU209" s="2"/>
      <c r="INV209" s="2"/>
      <c r="INW209" s="2"/>
      <c r="INX209" s="2"/>
      <c r="INY209" s="2"/>
      <c r="INZ209" s="2"/>
      <c r="IOA209" s="2"/>
      <c r="IOB209" s="2"/>
      <c r="IOC209" s="2"/>
      <c r="IOD209" s="2"/>
      <c r="IOE209" s="2"/>
      <c r="IOF209" s="2"/>
      <c r="IOG209" s="2"/>
      <c r="IOH209" s="2"/>
      <c r="IOI209" s="2"/>
      <c r="IOJ209" s="2"/>
      <c r="IOK209" s="2"/>
      <c r="IOL209" s="2"/>
      <c r="IOM209" s="2"/>
      <c r="ION209" s="2"/>
      <c r="IOO209" s="2"/>
      <c r="IOP209" s="2"/>
      <c r="IOQ209" s="2"/>
      <c r="IOR209" s="2"/>
      <c r="IOS209" s="2"/>
      <c r="IOT209" s="2"/>
      <c r="IOU209" s="2"/>
      <c r="IOV209" s="2"/>
      <c r="IOW209" s="2"/>
      <c r="IOX209" s="2"/>
      <c r="IOY209" s="2"/>
      <c r="IOZ209" s="2"/>
      <c r="IPA209" s="2"/>
      <c r="IPB209" s="2"/>
      <c r="IPC209" s="2"/>
      <c r="IPD209" s="2"/>
      <c r="IPE209" s="2"/>
      <c r="IPF209" s="2"/>
      <c r="IPG209" s="2"/>
      <c r="IPH209" s="2"/>
      <c r="IPI209" s="2"/>
      <c r="IPJ209" s="2"/>
      <c r="IPK209" s="2"/>
      <c r="IPL209" s="2"/>
      <c r="IPM209" s="2"/>
      <c r="IPN209" s="2"/>
      <c r="IPO209" s="2"/>
      <c r="IPP209" s="2"/>
      <c r="IPQ209" s="2"/>
      <c r="IPR209" s="2"/>
      <c r="IPS209" s="2"/>
      <c r="IPT209" s="2"/>
      <c r="IPU209" s="2"/>
      <c r="IPV209" s="2"/>
      <c r="IPW209" s="2"/>
      <c r="IPX209" s="2"/>
      <c r="IPY209" s="2"/>
      <c r="IPZ209" s="2"/>
      <c r="IQA209" s="2"/>
      <c r="IQB209" s="2"/>
      <c r="IQC209" s="2"/>
      <c r="IQD209" s="2"/>
      <c r="IQE209" s="2"/>
      <c r="IQF209" s="2"/>
      <c r="IQG209" s="2"/>
      <c r="IQH209" s="2"/>
      <c r="IQI209" s="2"/>
      <c r="IQJ209" s="2"/>
      <c r="IQK209" s="2"/>
      <c r="IQL209" s="2"/>
      <c r="IQM209" s="2"/>
      <c r="IQN209" s="2"/>
      <c r="IQO209" s="2"/>
      <c r="IQP209" s="2"/>
      <c r="IQQ209" s="2"/>
      <c r="IQR209" s="2"/>
      <c r="IQS209" s="2"/>
      <c r="IQT209" s="2"/>
      <c r="IQU209" s="2"/>
      <c r="IQV209" s="2"/>
      <c r="IQW209" s="2"/>
      <c r="IQX209" s="2"/>
      <c r="IQY209" s="2"/>
      <c r="IQZ209" s="2"/>
      <c r="IRA209" s="2"/>
      <c r="IRB209" s="2"/>
      <c r="IRC209" s="2"/>
      <c r="IRD209" s="2"/>
      <c r="IRE209" s="2"/>
      <c r="IRF209" s="2"/>
      <c r="IRG209" s="2"/>
      <c r="IRH209" s="2"/>
      <c r="IRI209" s="2"/>
      <c r="IRJ209" s="2"/>
      <c r="IRK209" s="2"/>
      <c r="IRL209" s="2"/>
      <c r="IRM209" s="2"/>
      <c r="IRN209" s="2"/>
      <c r="IRO209" s="2"/>
      <c r="IRP209" s="2"/>
      <c r="IRQ209" s="2"/>
      <c r="IRR209" s="2"/>
      <c r="IRS209" s="2"/>
      <c r="IRT209" s="2"/>
      <c r="IRU209" s="2"/>
      <c r="IRV209" s="2"/>
      <c r="IRW209" s="2"/>
      <c r="IRX209" s="2"/>
      <c r="IRY209" s="2"/>
      <c r="IRZ209" s="2"/>
      <c r="ISA209" s="2"/>
      <c r="ISB209" s="2"/>
      <c r="ISC209" s="2"/>
      <c r="ISD209" s="2"/>
      <c r="ISE209" s="2"/>
      <c r="ISF209" s="2"/>
      <c r="ISG209" s="2"/>
      <c r="ISH209" s="2"/>
      <c r="ISI209" s="2"/>
      <c r="ISJ209" s="2"/>
      <c r="ISK209" s="2"/>
      <c r="ISL209" s="2"/>
      <c r="ISM209" s="2"/>
      <c r="ISN209" s="2"/>
      <c r="ISO209" s="2"/>
      <c r="ISP209" s="2"/>
      <c r="ISQ209" s="2"/>
      <c r="ISR209" s="2"/>
      <c r="ISS209" s="2"/>
      <c r="IST209" s="2"/>
      <c r="ISU209" s="2"/>
      <c r="ISV209" s="2"/>
      <c r="ISW209" s="2"/>
      <c r="ISX209" s="2"/>
      <c r="ISY209" s="2"/>
      <c r="ISZ209" s="2"/>
      <c r="ITA209" s="2"/>
      <c r="ITB209" s="2"/>
      <c r="ITC209" s="2"/>
      <c r="ITD209" s="2"/>
      <c r="ITE209" s="2"/>
      <c r="ITF209" s="2"/>
      <c r="ITG209" s="2"/>
      <c r="ITH209" s="2"/>
      <c r="ITI209" s="2"/>
      <c r="ITJ209" s="2"/>
      <c r="ITK209" s="2"/>
      <c r="ITL209" s="2"/>
      <c r="ITM209" s="2"/>
      <c r="ITN209" s="2"/>
      <c r="ITO209" s="2"/>
      <c r="ITP209" s="2"/>
      <c r="ITQ209" s="2"/>
      <c r="ITR209" s="2"/>
      <c r="ITS209" s="2"/>
      <c r="ITT209" s="2"/>
      <c r="ITU209" s="2"/>
      <c r="ITV209" s="2"/>
      <c r="ITW209" s="2"/>
      <c r="ITX209" s="2"/>
      <c r="ITY209" s="2"/>
      <c r="ITZ209" s="2"/>
      <c r="IUA209" s="2"/>
      <c r="IUB209" s="2"/>
      <c r="IUC209" s="2"/>
      <c r="IUD209" s="2"/>
      <c r="IUE209" s="2"/>
      <c r="IUF209" s="2"/>
      <c r="IUG209" s="2"/>
      <c r="IUH209" s="2"/>
      <c r="IUI209" s="2"/>
      <c r="IUJ209" s="2"/>
      <c r="IUK209" s="2"/>
      <c r="IUL209" s="2"/>
      <c r="IUM209" s="2"/>
      <c r="IUN209" s="2"/>
      <c r="IUO209" s="2"/>
      <c r="IUP209" s="2"/>
      <c r="IUQ209" s="2"/>
      <c r="IUR209" s="2"/>
      <c r="IUS209" s="2"/>
      <c r="IUT209" s="2"/>
      <c r="IUU209" s="2"/>
      <c r="IUV209" s="2"/>
      <c r="IUW209" s="2"/>
      <c r="IUX209" s="2"/>
      <c r="IUY209" s="2"/>
      <c r="IUZ209" s="2"/>
      <c r="IVA209" s="2"/>
      <c r="IVB209" s="2"/>
      <c r="IVC209" s="2"/>
      <c r="IVD209" s="2"/>
      <c r="IVE209" s="2"/>
      <c r="IVF209" s="2"/>
      <c r="IVG209" s="2"/>
      <c r="IVH209" s="2"/>
      <c r="IVI209" s="2"/>
      <c r="IVJ209" s="2"/>
      <c r="IVK209" s="2"/>
      <c r="IVL209" s="2"/>
      <c r="IVM209" s="2"/>
      <c r="IVN209" s="2"/>
      <c r="IVO209" s="2"/>
      <c r="IVP209" s="2"/>
      <c r="IVQ209" s="2"/>
      <c r="IVR209" s="2"/>
      <c r="IVS209" s="2"/>
      <c r="IVT209" s="2"/>
      <c r="IVU209" s="2"/>
      <c r="IVV209" s="2"/>
      <c r="IVW209" s="2"/>
      <c r="IVX209" s="2"/>
      <c r="IVY209" s="2"/>
      <c r="IVZ209" s="2"/>
      <c r="IWA209" s="2"/>
      <c r="IWB209" s="2"/>
      <c r="IWC209" s="2"/>
      <c r="IWD209" s="2"/>
      <c r="IWE209" s="2"/>
      <c r="IWF209" s="2"/>
      <c r="IWG209" s="2"/>
      <c r="IWH209" s="2"/>
      <c r="IWI209" s="2"/>
      <c r="IWJ209" s="2"/>
      <c r="IWK209" s="2"/>
      <c r="IWL209" s="2"/>
      <c r="IWM209" s="2"/>
      <c r="IWN209" s="2"/>
      <c r="IWO209" s="2"/>
      <c r="IWP209" s="2"/>
      <c r="IWQ209" s="2"/>
      <c r="IWR209" s="2"/>
      <c r="IWS209" s="2"/>
      <c r="IWT209" s="2"/>
      <c r="IWU209" s="2"/>
      <c r="IWV209" s="2"/>
      <c r="IWW209" s="2"/>
      <c r="IWX209" s="2"/>
      <c r="IWY209" s="2"/>
      <c r="IWZ209" s="2"/>
      <c r="IXA209" s="2"/>
      <c r="IXB209" s="2"/>
      <c r="IXC209" s="2"/>
      <c r="IXD209" s="2"/>
      <c r="IXE209" s="2"/>
      <c r="IXF209" s="2"/>
      <c r="IXG209" s="2"/>
      <c r="IXH209" s="2"/>
      <c r="IXI209" s="2"/>
      <c r="IXJ209" s="2"/>
      <c r="IXK209" s="2"/>
      <c r="IXL209" s="2"/>
      <c r="IXM209" s="2"/>
      <c r="IXN209" s="2"/>
      <c r="IXO209" s="2"/>
      <c r="IXP209" s="2"/>
      <c r="IXQ209" s="2"/>
      <c r="IXR209" s="2"/>
      <c r="IXS209" s="2"/>
      <c r="IXT209" s="2"/>
      <c r="IXU209" s="2"/>
      <c r="IXV209" s="2"/>
      <c r="IXW209" s="2"/>
      <c r="IXX209" s="2"/>
      <c r="IXY209" s="2"/>
      <c r="IXZ209" s="2"/>
      <c r="IYA209" s="2"/>
      <c r="IYB209" s="2"/>
      <c r="IYC209" s="2"/>
      <c r="IYD209" s="2"/>
      <c r="IYE209" s="2"/>
      <c r="IYF209" s="2"/>
      <c r="IYG209" s="2"/>
      <c r="IYH209" s="2"/>
      <c r="IYI209" s="2"/>
      <c r="IYJ209" s="2"/>
      <c r="IYK209" s="2"/>
      <c r="IYL209" s="2"/>
      <c r="IYM209" s="2"/>
      <c r="IYN209" s="2"/>
      <c r="IYO209" s="2"/>
      <c r="IYP209" s="2"/>
      <c r="IYQ209" s="2"/>
      <c r="IYR209" s="2"/>
      <c r="IYS209" s="2"/>
      <c r="IYT209" s="2"/>
      <c r="IYU209" s="2"/>
      <c r="IYV209" s="2"/>
      <c r="IYW209" s="2"/>
      <c r="IYX209" s="2"/>
      <c r="IYY209" s="2"/>
      <c r="IYZ209" s="2"/>
      <c r="IZA209" s="2"/>
      <c r="IZB209" s="2"/>
      <c r="IZC209" s="2"/>
      <c r="IZD209" s="2"/>
      <c r="IZE209" s="2"/>
      <c r="IZF209" s="2"/>
      <c r="IZG209" s="2"/>
      <c r="IZH209" s="2"/>
      <c r="IZI209" s="2"/>
      <c r="IZJ209" s="2"/>
      <c r="IZK209" s="2"/>
      <c r="IZL209" s="2"/>
      <c r="IZM209" s="2"/>
      <c r="IZN209" s="2"/>
      <c r="IZO209" s="2"/>
      <c r="IZP209" s="2"/>
      <c r="IZQ209" s="2"/>
      <c r="IZR209" s="2"/>
      <c r="IZS209" s="2"/>
      <c r="IZT209" s="2"/>
      <c r="IZU209" s="2"/>
      <c r="IZV209" s="2"/>
      <c r="IZW209" s="2"/>
      <c r="IZX209" s="2"/>
      <c r="IZY209" s="2"/>
      <c r="IZZ209" s="2"/>
      <c r="JAA209" s="2"/>
      <c r="JAB209" s="2"/>
      <c r="JAC209" s="2"/>
      <c r="JAD209" s="2"/>
      <c r="JAE209" s="2"/>
      <c r="JAF209" s="2"/>
      <c r="JAG209" s="2"/>
      <c r="JAH209" s="2"/>
      <c r="JAI209" s="2"/>
      <c r="JAJ209" s="2"/>
      <c r="JAK209" s="2"/>
      <c r="JAL209" s="2"/>
      <c r="JAM209" s="2"/>
      <c r="JAN209" s="2"/>
      <c r="JAO209" s="2"/>
      <c r="JAP209" s="2"/>
      <c r="JAQ209" s="2"/>
      <c r="JAR209" s="2"/>
      <c r="JAS209" s="2"/>
      <c r="JAT209" s="2"/>
      <c r="JAU209" s="2"/>
      <c r="JAV209" s="2"/>
      <c r="JAW209" s="2"/>
      <c r="JAX209" s="2"/>
      <c r="JAY209" s="2"/>
      <c r="JAZ209" s="2"/>
      <c r="JBA209" s="2"/>
      <c r="JBB209" s="2"/>
      <c r="JBC209" s="2"/>
      <c r="JBD209" s="2"/>
      <c r="JBE209" s="2"/>
      <c r="JBF209" s="2"/>
      <c r="JBG209" s="2"/>
      <c r="JBH209" s="2"/>
      <c r="JBI209" s="2"/>
      <c r="JBJ209" s="2"/>
      <c r="JBK209" s="2"/>
      <c r="JBL209" s="2"/>
      <c r="JBM209" s="2"/>
      <c r="JBN209" s="2"/>
      <c r="JBO209" s="2"/>
      <c r="JBP209" s="2"/>
      <c r="JBQ209" s="2"/>
      <c r="JBR209" s="2"/>
      <c r="JBS209" s="2"/>
      <c r="JBT209" s="2"/>
      <c r="JBU209" s="2"/>
      <c r="JBV209" s="2"/>
      <c r="JBW209" s="2"/>
      <c r="JBX209" s="2"/>
      <c r="JBY209" s="2"/>
      <c r="JBZ209" s="2"/>
      <c r="JCA209" s="2"/>
      <c r="JCB209" s="2"/>
      <c r="JCC209" s="2"/>
      <c r="JCD209" s="2"/>
      <c r="JCE209" s="2"/>
      <c r="JCF209" s="2"/>
      <c r="JCG209" s="2"/>
      <c r="JCH209" s="2"/>
      <c r="JCI209" s="2"/>
      <c r="JCJ209" s="2"/>
      <c r="JCK209" s="2"/>
      <c r="JCL209" s="2"/>
      <c r="JCM209" s="2"/>
      <c r="JCN209" s="2"/>
      <c r="JCO209" s="2"/>
      <c r="JCP209" s="2"/>
      <c r="JCQ209" s="2"/>
      <c r="JCR209" s="2"/>
      <c r="JCS209" s="2"/>
      <c r="JCT209" s="2"/>
      <c r="JCU209" s="2"/>
      <c r="JCV209" s="2"/>
      <c r="JCW209" s="2"/>
      <c r="JCX209" s="2"/>
      <c r="JCY209" s="2"/>
      <c r="JCZ209" s="2"/>
      <c r="JDA209" s="2"/>
      <c r="JDB209" s="2"/>
      <c r="JDC209" s="2"/>
      <c r="JDD209" s="2"/>
      <c r="JDE209" s="2"/>
      <c r="JDF209" s="2"/>
      <c r="JDG209" s="2"/>
      <c r="JDH209" s="2"/>
      <c r="JDI209" s="2"/>
      <c r="JDJ209" s="2"/>
      <c r="JDK209" s="2"/>
      <c r="JDL209" s="2"/>
      <c r="JDM209" s="2"/>
      <c r="JDN209" s="2"/>
      <c r="JDO209" s="2"/>
      <c r="JDP209" s="2"/>
      <c r="JDQ209" s="2"/>
      <c r="JDR209" s="2"/>
      <c r="JDS209" s="2"/>
      <c r="JDT209" s="2"/>
      <c r="JDU209" s="2"/>
      <c r="JDV209" s="2"/>
      <c r="JDW209" s="2"/>
      <c r="JDX209" s="2"/>
      <c r="JDY209" s="2"/>
      <c r="JDZ209" s="2"/>
      <c r="JEA209" s="2"/>
      <c r="JEB209" s="2"/>
      <c r="JEC209" s="2"/>
      <c r="JED209" s="2"/>
      <c r="JEE209" s="2"/>
      <c r="JEF209" s="2"/>
      <c r="JEG209" s="2"/>
      <c r="JEH209" s="2"/>
      <c r="JEI209" s="2"/>
      <c r="JEJ209" s="2"/>
      <c r="JEK209" s="2"/>
      <c r="JEL209" s="2"/>
      <c r="JEM209" s="2"/>
      <c r="JEN209" s="2"/>
      <c r="JEO209" s="2"/>
      <c r="JEP209" s="2"/>
      <c r="JEQ209" s="2"/>
      <c r="JER209" s="2"/>
      <c r="JES209" s="2"/>
      <c r="JET209" s="2"/>
      <c r="JEU209" s="2"/>
      <c r="JEV209" s="2"/>
      <c r="JEW209" s="2"/>
      <c r="JEX209" s="2"/>
      <c r="JEY209" s="2"/>
      <c r="JEZ209" s="2"/>
      <c r="JFA209" s="2"/>
      <c r="JFB209" s="2"/>
      <c r="JFC209" s="2"/>
      <c r="JFD209" s="2"/>
      <c r="JFE209" s="2"/>
      <c r="JFF209" s="2"/>
      <c r="JFG209" s="2"/>
      <c r="JFH209" s="2"/>
      <c r="JFI209" s="2"/>
      <c r="JFJ209" s="2"/>
      <c r="JFK209" s="2"/>
      <c r="JFL209" s="2"/>
      <c r="JFM209" s="2"/>
      <c r="JFN209" s="2"/>
      <c r="JFO209" s="2"/>
      <c r="JFP209" s="2"/>
      <c r="JFQ209" s="2"/>
      <c r="JFR209" s="2"/>
      <c r="JFS209" s="2"/>
      <c r="JFT209" s="2"/>
      <c r="JFU209" s="2"/>
      <c r="JFV209" s="2"/>
      <c r="JFW209" s="2"/>
      <c r="JFX209" s="2"/>
      <c r="JFY209" s="2"/>
      <c r="JFZ209" s="2"/>
      <c r="JGA209" s="2"/>
      <c r="JGB209" s="2"/>
      <c r="JGC209" s="2"/>
      <c r="JGD209" s="2"/>
      <c r="JGE209" s="2"/>
      <c r="JGF209" s="2"/>
      <c r="JGG209" s="2"/>
      <c r="JGH209" s="2"/>
      <c r="JGI209" s="2"/>
      <c r="JGJ209" s="2"/>
      <c r="JGK209" s="2"/>
      <c r="JGL209" s="2"/>
      <c r="JGM209" s="2"/>
      <c r="JGN209" s="2"/>
      <c r="JGO209" s="2"/>
      <c r="JGP209" s="2"/>
      <c r="JGQ209" s="2"/>
      <c r="JGR209" s="2"/>
      <c r="JGS209" s="2"/>
      <c r="JGT209" s="2"/>
      <c r="JGU209" s="2"/>
      <c r="JGV209" s="2"/>
      <c r="JGW209" s="2"/>
      <c r="JGX209" s="2"/>
      <c r="JGY209" s="2"/>
      <c r="JGZ209" s="2"/>
      <c r="JHA209" s="2"/>
      <c r="JHB209" s="2"/>
      <c r="JHC209" s="2"/>
      <c r="JHD209" s="2"/>
      <c r="JHE209" s="2"/>
      <c r="JHF209" s="2"/>
      <c r="JHG209" s="2"/>
      <c r="JHH209" s="2"/>
      <c r="JHI209" s="2"/>
      <c r="JHJ209" s="2"/>
      <c r="JHK209" s="2"/>
      <c r="JHL209" s="2"/>
      <c r="JHM209" s="2"/>
      <c r="JHN209" s="2"/>
      <c r="JHO209" s="2"/>
      <c r="JHP209" s="2"/>
      <c r="JHQ209" s="2"/>
      <c r="JHR209" s="2"/>
      <c r="JHS209" s="2"/>
      <c r="JHT209" s="2"/>
      <c r="JHU209" s="2"/>
      <c r="JHV209" s="2"/>
      <c r="JHW209" s="2"/>
      <c r="JHX209" s="2"/>
      <c r="JHY209" s="2"/>
      <c r="JHZ209" s="2"/>
      <c r="JIA209" s="2"/>
      <c r="JIB209" s="2"/>
      <c r="JIC209" s="2"/>
      <c r="JID209" s="2"/>
      <c r="JIE209" s="2"/>
      <c r="JIF209" s="2"/>
      <c r="JIG209" s="2"/>
      <c r="JIH209" s="2"/>
      <c r="JII209" s="2"/>
      <c r="JIJ209" s="2"/>
      <c r="JIK209" s="2"/>
      <c r="JIL209" s="2"/>
      <c r="JIM209" s="2"/>
      <c r="JIN209" s="2"/>
      <c r="JIO209" s="2"/>
      <c r="JIP209" s="2"/>
      <c r="JIQ209" s="2"/>
      <c r="JIR209" s="2"/>
      <c r="JIS209" s="2"/>
      <c r="JIT209" s="2"/>
      <c r="JIU209" s="2"/>
      <c r="JIV209" s="2"/>
      <c r="JIW209" s="2"/>
      <c r="JIX209" s="2"/>
      <c r="JIY209" s="2"/>
      <c r="JIZ209" s="2"/>
      <c r="JJA209" s="2"/>
      <c r="JJB209" s="2"/>
      <c r="JJC209" s="2"/>
      <c r="JJD209" s="2"/>
      <c r="JJE209" s="2"/>
      <c r="JJF209" s="2"/>
      <c r="JJG209" s="2"/>
      <c r="JJH209" s="2"/>
      <c r="JJI209" s="2"/>
      <c r="JJJ209" s="2"/>
      <c r="JJK209" s="2"/>
      <c r="JJL209" s="2"/>
      <c r="JJM209" s="2"/>
      <c r="JJN209" s="2"/>
      <c r="JJO209" s="2"/>
      <c r="JJP209" s="2"/>
      <c r="JJQ209" s="2"/>
      <c r="JJR209" s="2"/>
      <c r="JJS209" s="2"/>
      <c r="JJT209" s="2"/>
      <c r="JJU209" s="2"/>
      <c r="JJV209" s="2"/>
      <c r="JJW209" s="2"/>
      <c r="JJX209" s="2"/>
      <c r="JJY209" s="2"/>
      <c r="JJZ209" s="2"/>
      <c r="JKA209" s="2"/>
      <c r="JKB209" s="2"/>
      <c r="JKC209" s="2"/>
      <c r="JKD209" s="2"/>
      <c r="JKE209" s="2"/>
      <c r="JKF209" s="2"/>
      <c r="JKG209" s="2"/>
      <c r="JKH209" s="2"/>
      <c r="JKI209" s="2"/>
      <c r="JKJ209" s="2"/>
      <c r="JKK209" s="2"/>
      <c r="JKL209" s="2"/>
      <c r="JKM209" s="2"/>
      <c r="JKN209" s="2"/>
      <c r="JKO209" s="2"/>
      <c r="JKP209" s="2"/>
      <c r="JKQ209" s="2"/>
      <c r="JKR209" s="2"/>
      <c r="JKS209" s="2"/>
      <c r="JKT209" s="2"/>
      <c r="JKU209" s="2"/>
      <c r="JKV209" s="2"/>
      <c r="JKW209" s="2"/>
      <c r="JKX209" s="2"/>
      <c r="JKY209" s="2"/>
      <c r="JKZ209" s="2"/>
      <c r="JLA209" s="2"/>
      <c r="JLB209" s="2"/>
      <c r="JLC209" s="2"/>
      <c r="JLD209" s="2"/>
      <c r="JLE209" s="2"/>
      <c r="JLF209" s="2"/>
      <c r="JLG209" s="2"/>
      <c r="JLH209" s="2"/>
      <c r="JLI209" s="2"/>
      <c r="JLJ209" s="2"/>
      <c r="JLK209" s="2"/>
      <c r="JLL209" s="2"/>
      <c r="JLM209" s="2"/>
      <c r="JLN209" s="2"/>
      <c r="JLO209" s="2"/>
      <c r="JLP209" s="2"/>
      <c r="JLQ209" s="2"/>
      <c r="JLR209" s="2"/>
      <c r="JLS209" s="2"/>
      <c r="JLT209" s="2"/>
      <c r="JLU209" s="2"/>
      <c r="JLV209" s="2"/>
      <c r="JLW209" s="2"/>
      <c r="JLX209" s="2"/>
      <c r="JLY209" s="2"/>
      <c r="JLZ209" s="2"/>
      <c r="JMA209" s="2"/>
      <c r="JMB209" s="2"/>
      <c r="JMC209" s="2"/>
      <c r="JMD209" s="2"/>
      <c r="JME209" s="2"/>
      <c r="JMF209" s="2"/>
      <c r="JMG209" s="2"/>
      <c r="JMH209" s="2"/>
      <c r="JMI209" s="2"/>
      <c r="JMJ209" s="2"/>
      <c r="JMK209" s="2"/>
      <c r="JML209" s="2"/>
      <c r="JMM209" s="2"/>
      <c r="JMN209" s="2"/>
      <c r="JMO209" s="2"/>
      <c r="JMP209" s="2"/>
      <c r="JMQ209" s="2"/>
      <c r="JMR209" s="2"/>
      <c r="JMS209" s="2"/>
      <c r="JMT209" s="2"/>
      <c r="JMU209" s="2"/>
      <c r="JMV209" s="2"/>
      <c r="JMW209" s="2"/>
      <c r="JMX209" s="2"/>
      <c r="JMY209" s="2"/>
      <c r="JMZ209" s="2"/>
      <c r="JNA209" s="2"/>
      <c r="JNB209" s="2"/>
      <c r="JNC209" s="2"/>
      <c r="JND209" s="2"/>
      <c r="JNE209" s="2"/>
      <c r="JNF209" s="2"/>
      <c r="JNG209" s="2"/>
      <c r="JNH209" s="2"/>
      <c r="JNI209" s="2"/>
      <c r="JNJ209" s="2"/>
      <c r="JNK209" s="2"/>
      <c r="JNL209" s="2"/>
      <c r="JNM209" s="2"/>
      <c r="JNN209" s="2"/>
      <c r="JNO209" s="2"/>
      <c r="JNP209" s="2"/>
      <c r="JNQ209" s="2"/>
      <c r="JNR209" s="2"/>
      <c r="JNS209" s="2"/>
      <c r="JNT209" s="2"/>
      <c r="JNU209" s="2"/>
      <c r="JNV209" s="2"/>
      <c r="JNW209" s="2"/>
      <c r="JNX209" s="2"/>
      <c r="JNY209" s="2"/>
      <c r="JNZ209" s="2"/>
      <c r="JOA209" s="2"/>
      <c r="JOB209" s="2"/>
      <c r="JOC209" s="2"/>
      <c r="JOD209" s="2"/>
      <c r="JOE209" s="2"/>
      <c r="JOF209" s="2"/>
      <c r="JOG209" s="2"/>
      <c r="JOH209" s="2"/>
      <c r="JOI209" s="2"/>
      <c r="JOJ209" s="2"/>
      <c r="JOK209" s="2"/>
      <c r="JOL209" s="2"/>
      <c r="JOM209" s="2"/>
      <c r="JON209" s="2"/>
      <c r="JOO209" s="2"/>
      <c r="JOP209" s="2"/>
      <c r="JOQ209" s="2"/>
      <c r="JOR209" s="2"/>
      <c r="JOS209" s="2"/>
      <c r="JOT209" s="2"/>
      <c r="JOU209" s="2"/>
      <c r="JOV209" s="2"/>
      <c r="JOW209" s="2"/>
      <c r="JOX209" s="2"/>
      <c r="JOY209" s="2"/>
      <c r="JOZ209" s="2"/>
      <c r="JPA209" s="2"/>
      <c r="JPB209" s="2"/>
      <c r="JPC209" s="2"/>
      <c r="JPD209" s="2"/>
      <c r="JPE209" s="2"/>
      <c r="JPF209" s="2"/>
      <c r="JPG209" s="2"/>
      <c r="JPH209" s="2"/>
      <c r="JPI209" s="2"/>
      <c r="JPJ209" s="2"/>
      <c r="JPK209" s="2"/>
      <c r="JPL209" s="2"/>
      <c r="JPM209" s="2"/>
      <c r="JPN209" s="2"/>
      <c r="JPO209" s="2"/>
      <c r="JPP209" s="2"/>
      <c r="JPQ209" s="2"/>
      <c r="JPR209" s="2"/>
      <c r="JPS209" s="2"/>
      <c r="JPT209" s="2"/>
      <c r="JPU209" s="2"/>
      <c r="JPV209" s="2"/>
      <c r="JPW209" s="2"/>
      <c r="JPX209" s="2"/>
      <c r="JPY209" s="2"/>
      <c r="JPZ209" s="2"/>
      <c r="JQA209" s="2"/>
      <c r="JQB209" s="2"/>
      <c r="JQC209" s="2"/>
      <c r="JQD209" s="2"/>
      <c r="JQE209" s="2"/>
      <c r="JQF209" s="2"/>
      <c r="JQG209" s="2"/>
      <c r="JQH209" s="2"/>
      <c r="JQI209" s="2"/>
      <c r="JQJ209" s="2"/>
      <c r="JQK209" s="2"/>
      <c r="JQL209" s="2"/>
      <c r="JQM209" s="2"/>
      <c r="JQN209" s="2"/>
      <c r="JQO209" s="2"/>
      <c r="JQP209" s="2"/>
      <c r="JQQ209" s="2"/>
      <c r="JQR209" s="2"/>
      <c r="JQS209" s="2"/>
      <c r="JQT209" s="2"/>
      <c r="JQU209" s="2"/>
      <c r="JQV209" s="2"/>
      <c r="JQW209" s="2"/>
      <c r="JQX209" s="2"/>
      <c r="JQY209" s="2"/>
      <c r="JQZ209" s="2"/>
      <c r="JRA209" s="2"/>
      <c r="JRB209" s="2"/>
      <c r="JRC209" s="2"/>
      <c r="JRD209" s="2"/>
      <c r="JRE209" s="2"/>
      <c r="JRF209" s="2"/>
      <c r="JRG209" s="2"/>
      <c r="JRH209" s="2"/>
      <c r="JRI209" s="2"/>
      <c r="JRJ209" s="2"/>
      <c r="JRK209" s="2"/>
      <c r="JRL209" s="2"/>
      <c r="JRM209" s="2"/>
      <c r="JRN209" s="2"/>
      <c r="JRO209" s="2"/>
      <c r="JRP209" s="2"/>
      <c r="JRQ209" s="2"/>
      <c r="JRR209" s="2"/>
      <c r="JRS209" s="2"/>
      <c r="JRT209" s="2"/>
      <c r="JRU209" s="2"/>
      <c r="JRV209" s="2"/>
      <c r="JRW209" s="2"/>
      <c r="JRX209" s="2"/>
      <c r="JRY209" s="2"/>
      <c r="JRZ209" s="2"/>
      <c r="JSA209" s="2"/>
      <c r="JSB209" s="2"/>
      <c r="JSC209" s="2"/>
      <c r="JSD209" s="2"/>
      <c r="JSE209" s="2"/>
      <c r="JSF209" s="2"/>
      <c r="JSG209" s="2"/>
      <c r="JSH209" s="2"/>
      <c r="JSI209" s="2"/>
      <c r="JSJ209" s="2"/>
      <c r="JSK209" s="2"/>
      <c r="JSL209" s="2"/>
      <c r="JSM209" s="2"/>
      <c r="JSN209" s="2"/>
      <c r="JSO209" s="2"/>
      <c r="JSP209" s="2"/>
      <c r="JSQ209" s="2"/>
      <c r="JSR209" s="2"/>
      <c r="JSS209" s="2"/>
      <c r="JST209" s="2"/>
      <c r="JSU209" s="2"/>
      <c r="JSV209" s="2"/>
      <c r="JSW209" s="2"/>
      <c r="JSX209" s="2"/>
      <c r="JSY209" s="2"/>
      <c r="JSZ209" s="2"/>
      <c r="JTA209" s="2"/>
      <c r="JTB209" s="2"/>
      <c r="JTC209" s="2"/>
      <c r="JTD209" s="2"/>
      <c r="JTE209" s="2"/>
      <c r="JTF209" s="2"/>
      <c r="JTG209" s="2"/>
      <c r="JTH209" s="2"/>
      <c r="JTI209" s="2"/>
      <c r="JTJ209" s="2"/>
      <c r="JTK209" s="2"/>
      <c r="JTL209" s="2"/>
      <c r="JTM209" s="2"/>
      <c r="JTN209" s="2"/>
      <c r="JTO209" s="2"/>
      <c r="JTP209" s="2"/>
      <c r="JTQ209" s="2"/>
      <c r="JTR209" s="2"/>
      <c r="JTS209" s="2"/>
      <c r="JTT209" s="2"/>
      <c r="JTU209" s="2"/>
      <c r="JTV209" s="2"/>
      <c r="JTW209" s="2"/>
      <c r="JTX209" s="2"/>
      <c r="JTY209" s="2"/>
      <c r="JTZ209" s="2"/>
      <c r="JUA209" s="2"/>
      <c r="JUB209" s="2"/>
      <c r="JUC209" s="2"/>
      <c r="JUD209" s="2"/>
      <c r="JUE209" s="2"/>
      <c r="JUF209" s="2"/>
      <c r="JUG209" s="2"/>
      <c r="JUH209" s="2"/>
      <c r="JUI209" s="2"/>
      <c r="JUJ209" s="2"/>
      <c r="JUK209" s="2"/>
      <c r="JUL209" s="2"/>
      <c r="JUM209" s="2"/>
      <c r="JUN209" s="2"/>
      <c r="JUO209" s="2"/>
      <c r="JUP209" s="2"/>
      <c r="JUQ209" s="2"/>
      <c r="JUR209" s="2"/>
      <c r="JUS209" s="2"/>
      <c r="JUT209" s="2"/>
      <c r="JUU209" s="2"/>
      <c r="JUV209" s="2"/>
      <c r="JUW209" s="2"/>
      <c r="JUX209" s="2"/>
      <c r="JUY209" s="2"/>
      <c r="JUZ209" s="2"/>
      <c r="JVA209" s="2"/>
      <c r="JVB209" s="2"/>
      <c r="JVC209" s="2"/>
      <c r="JVD209" s="2"/>
      <c r="JVE209" s="2"/>
      <c r="JVF209" s="2"/>
      <c r="JVG209" s="2"/>
      <c r="JVH209" s="2"/>
      <c r="JVI209" s="2"/>
      <c r="JVJ209" s="2"/>
      <c r="JVK209" s="2"/>
      <c r="JVL209" s="2"/>
      <c r="JVM209" s="2"/>
      <c r="JVN209" s="2"/>
      <c r="JVO209" s="2"/>
      <c r="JVP209" s="2"/>
      <c r="JVQ209" s="2"/>
      <c r="JVR209" s="2"/>
      <c r="JVS209" s="2"/>
      <c r="JVT209" s="2"/>
      <c r="JVU209" s="2"/>
      <c r="JVV209" s="2"/>
      <c r="JVW209" s="2"/>
      <c r="JVX209" s="2"/>
      <c r="JVY209" s="2"/>
      <c r="JVZ209" s="2"/>
      <c r="JWA209" s="2"/>
      <c r="JWB209" s="2"/>
      <c r="JWC209" s="2"/>
      <c r="JWD209" s="2"/>
      <c r="JWE209" s="2"/>
      <c r="JWF209" s="2"/>
      <c r="JWG209" s="2"/>
      <c r="JWH209" s="2"/>
      <c r="JWI209" s="2"/>
      <c r="JWJ209" s="2"/>
      <c r="JWK209" s="2"/>
      <c r="JWL209" s="2"/>
      <c r="JWM209" s="2"/>
      <c r="JWN209" s="2"/>
      <c r="JWO209" s="2"/>
      <c r="JWP209" s="2"/>
      <c r="JWQ209" s="2"/>
      <c r="JWR209" s="2"/>
      <c r="JWS209" s="2"/>
      <c r="JWT209" s="2"/>
      <c r="JWU209" s="2"/>
      <c r="JWV209" s="2"/>
      <c r="JWW209" s="2"/>
      <c r="JWX209" s="2"/>
      <c r="JWY209" s="2"/>
      <c r="JWZ209" s="2"/>
      <c r="JXA209" s="2"/>
      <c r="JXB209" s="2"/>
      <c r="JXC209" s="2"/>
      <c r="JXD209" s="2"/>
      <c r="JXE209" s="2"/>
      <c r="JXF209" s="2"/>
      <c r="JXG209" s="2"/>
      <c r="JXH209" s="2"/>
      <c r="JXI209" s="2"/>
      <c r="JXJ209" s="2"/>
      <c r="JXK209" s="2"/>
      <c r="JXL209" s="2"/>
      <c r="JXM209" s="2"/>
      <c r="JXN209" s="2"/>
      <c r="JXO209" s="2"/>
      <c r="JXP209" s="2"/>
      <c r="JXQ209" s="2"/>
      <c r="JXR209" s="2"/>
      <c r="JXS209" s="2"/>
      <c r="JXT209" s="2"/>
      <c r="JXU209" s="2"/>
      <c r="JXV209" s="2"/>
      <c r="JXW209" s="2"/>
      <c r="JXX209" s="2"/>
      <c r="JXY209" s="2"/>
      <c r="JXZ209" s="2"/>
      <c r="JYA209" s="2"/>
      <c r="JYB209" s="2"/>
      <c r="JYC209" s="2"/>
      <c r="JYD209" s="2"/>
      <c r="JYE209" s="2"/>
      <c r="JYF209" s="2"/>
      <c r="JYG209" s="2"/>
      <c r="JYH209" s="2"/>
      <c r="JYI209" s="2"/>
      <c r="JYJ209" s="2"/>
      <c r="JYK209" s="2"/>
      <c r="JYL209" s="2"/>
      <c r="JYM209" s="2"/>
      <c r="JYN209" s="2"/>
      <c r="JYO209" s="2"/>
      <c r="JYP209" s="2"/>
      <c r="JYQ209" s="2"/>
      <c r="JYR209" s="2"/>
      <c r="JYS209" s="2"/>
      <c r="JYT209" s="2"/>
      <c r="JYU209" s="2"/>
      <c r="JYV209" s="2"/>
      <c r="JYW209" s="2"/>
      <c r="JYX209" s="2"/>
      <c r="JYY209" s="2"/>
      <c r="JYZ209" s="2"/>
      <c r="JZA209" s="2"/>
      <c r="JZB209" s="2"/>
      <c r="JZC209" s="2"/>
      <c r="JZD209" s="2"/>
      <c r="JZE209" s="2"/>
      <c r="JZF209" s="2"/>
      <c r="JZG209" s="2"/>
      <c r="JZH209" s="2"/>
      <c r="JZI209" s="2"/>
      <c r="JZJ209" s="2"/>
      <c r="JZK209" s="2"/>
      <c r="JZL209" s="2"/>
      <c r="JZM209" s="2"/>
      <c r="JZN209" s="2"/>
      <c r="JZO209" s="2"/>
      <c r="JZP209" s="2"/>
      <c r="JZQ209" s="2"/>
      <c r="JZR209" s="2"/>
      <c r="JZS209" s="2"/>
      <c r="JZT209" s="2"/>
      <c r="JZU209" s="2"/>
      <c r="JZV209" s="2"/>
      <c r="JZW209" s="2"/>
      <c r="JZX209" s="2"/>
      <c r="JZY209" s="2"/>
      <c r="JZZ209" s="2"/>
      <c r="KAA209" s="2"/>
      <c r="KAB209" s="2"/>
      <c r="KAC209" s="2"/>
      <c r="KAD209" s="2"/>
      <c r="KAE209" s="2"/>
      <c r="KAF209" s="2"/>
      <c r="KAG209" s="2"/>
      <c r="KAH209" s="2"/>
      <c r="KAI209" s="2"/>
      <c r="KAJ209" s="2"/>
      <c r="KAK209" s="2"/>
      <c r="KAL209" s="2"/>
      <c r="KAM209" s="2"/>
      <c r="KAN209" s="2"/>
      <c r="KAO209" s="2"/>
      <c r="KAP209" s="2"/>
      <c r="KAQ209" s="2"/>
      <c r="KAR209" s="2"/>
      <c r="KAS209" s="2"/>
      <c r="KAT209" s="2"/>
      <c r="KAU209" s="2"/>
      <c r="KAV209" s="2"/>
      <c r="KAW209" s="2"/>
      <c r="KAX209" s="2"/>
      <c r="KAY209" s="2"/>
      <c r="KAZ209" s="2"/>
      <c r="KBA209" s="2"/>
      <c r="KBB209" s="2"/>
      <c r="KBC209" s="2"/>
      <c r="KBD209" s="2"/>
      <c r="KBE209" s="2"/>
      <c r="KBF209" s="2"/>
      <c r="KBG209" s="2"/>
      <c r="KBH209" s="2"/>
      <c r="KBI209" s="2"/>
      <c r="KBJ209" s="2"/>
      <c r="KBK209" s="2"/>
      <c r="KBL209" s="2"/>
      <c r="KBM209" s="2"/>
      <c r="KBN209" s="2"/>
      <c r="KBO209" s="2"/>
      <c r="KBP209" s="2"/>
      <c r="KBQ209" s="2"/>
      <c r="KBR209" s="2"/>
      <c r="KBS209" s="2"/>
      <c r="KBT209" s="2"/>
      <c r="KBU209" s="2"/>
      <c r="KBV209" s="2"/>
      <c r="KBW209" s="2"/>
      <c r="KBX209" s="2"/>
      <c r="KBY209" s="2"/>
      <c r="KBZ209" s="2"/>
      <c r="KCA209" s="2"/>
      <c r="KCB209" s="2"/>
      <c r="KCC209" s="2"/>
      <c r="KCD209" s="2"/>
      <c r="KCE209" s="2"/>
      <c r="KCF209" s="2"/>
      <c r="KCG209" s="2"/>
      <c r="KCH209" s="2"/>
      <c r="KCI209" s="2"/>
      <c r="KCJ209" s="2"/>
      <c r="KCK209" s="2"/>
      <c r="KCL209" s="2"/>
      <c r="KCM209" s="2"/>
      <c r="KCN209" s="2"/>
      <c r="KCO209" s="2"/>
      <c r="KCP209" s="2"/>
      <c r="KCQ209" s="2"/>
      <c r="KCR209" s="2"/>
      <c r="KCS209" s="2"/>
      <c r="KCT209" s="2"/>
      <c r="KCU209" s="2"/>
      <c r="KCV209" s="2"/>
      <c r="KCW209" s="2"/>
      <c r="KCX209" s="2"/>
      <c r="KCY209" s="2"/>
      <c r="KCZ209" s="2"/>
      <c r="KDA209" s="2"/>
      <c r="KDB209" s="2"/>
      <c r="KDC209" s="2"/>
      <c r="KDD209" s="2"/>
      <c r="KDE209" s="2"/>
      <c r="KDF209" s="2"/>
      <c r="KDG209" s="2"/>
      <c r="KDH209" s="2"/>
      <c r="KDI209" s="2"/>
      <c r="KDJ209" s="2"/>
      <c r="KDK209" s="2"/>
      <c r="KDL209" s="2"/>
      <c r="KDM209" s="2"/>
      <c r="KDN209" s="2"/>
      <c r="KDO209" s="2"/>
      <c r="KDP209" s="2"/>
      <c r="KDQ209" s="2"/>
      <c r="KDR209" s="2"/>
      <c r="KDS209" s="2"/>
      <c r="KDT209" s="2"/>
      <c r="KDU209" s="2"/>
      <c r="KDV209" s="2"/>
      <c r="KDW209" s="2"/>
      <c r="KDX209" s="2"/>
      <c r="KDY209" s="2"/>
      <c r="KDZ209" s="2"/>
      <c r="KEA209" s="2"/>
      <c r="KEB209" s="2"/>
      <c r="KEC209" s="2"/>
      <c r="KED209" s="2"/>
      <c r="KEE209" s="2"/>
      <c r="KEF209" s="2"/>
      <c r="KEG209" s="2"/>
      <c r="KEH209" s="2"/>
      <c r="KEI209" s="2"/>
      <c r="KEJ209" s="2"/>
      <c r="KEK209" s="2"/>
      <c r="KEL209" s="2"/>
      <c r="KEM209" s="2"/>
      <c r="KEN209" s="2"/>
      <c r="KEO209" s="2"/>
      <c r="KEP209" s="2"/>
      <c r="KEQ209" s="2"/>
      <c r="KER209" s="2"/>
      <c r="KES209" s="2"/>
      <c r="KET209" s="2"/>
      <c r="KEU209" s="2"/>
      <c r="KEV209" s="2"/>
      <c r="KEW209" s="2"/>
      <c r="KEX209" s="2"/>
      <c r="KEY209" s="2"/>
      <c r="KEZ209" s="2"/>
      <c r="KFA209" s="2"/>
      <c r="KFB209" s="2"/>
      <c r="KFC209" s="2"/>
      <c r="KFD209" s="2"/>
      <c r="KFE209" s="2"/>
      <c r="KFF209" s="2"/>
      <c r="KFG209" s="2"/>
      <c r="KFH209" s="2"/>
      <c r="KFI209" s="2"/>
      <c r="KFJ209" s="2"/>
      <c r="KFK209" s="2"/>
      <c r="KFL209" s="2"/>
      <c r="KFM209" s="2"/>
      <c r="KFN209" s="2"/>
      <c r="KFO209" s="2"/>
      <c r="KFP209" s="2"/>
      <c r="KFQ209" s="2"/>
      <c r="KFR209" s="2"/>
      <c r="KFS209" s="2"/>
      <c r="KFT209" s="2"/>
      <c r="KFU209" s="2"/>
      <c r="KFV209" s="2"/>
      <c r="KFW209" s="2"/>
      <c r="KFX209" s="2"/>
      <c r="KFY209" s="2"/>
      <c r="KFZ209" s="2"/>
      <c r="KGA209" s="2"/>
      <c r="KGB209" s="2"/>
      <c r="KGC209" s="2"/>
      <c r="KGD209" s="2"/>
      <c r="KGE209" s="2"/>
      <c r="KGF209" s="2"/>
      <c r="KGG209" s="2"/>
      <c r="KGH209" s="2"/>
      <c r="KGI209" s="2"/>
      <c r="KGJ209" s="2"/>
      <c r="KGK209" s="2"/>
      <c r="KGL209" s="2"/>
      <c r="KGM209" s="2"/>
      <c r="KGN209" s="2"/>
      <c r="KGO209" s="2"/>
      <c r="KGP209" s="2"/>
      <c r="KGQ209" s="2"/>
      <c r="KGR209" s="2"/>
      <c r="KGS209" s="2"/>
      <c r="KGT209" s="2"/>
      <c r="KGU209" s="2"/>
      <c r="KGV209" s="2"/>
      <c r="KGW209" s="2"/>
      <c r="KGX209" s="2"/>
      <c r="KGY209" s="2"/>
      <c r="KGZ209" s="2"/>
      <c r="KHA209" s="2"/>
      <c r="KHB209" s="2"/>
      <c r="KHC209" s="2"/>
      <c r="KHD209" s="2"/>
      <c r="KHE209" s="2"/>
      <c r="KHF209" s="2"/>
      <c r="KHG209" s="2"/>
      <c r="KHH209" s="2"/>
      <c r="KHI209" s="2"/>
      <c r="KHJ209" s="2"/>
      <c r="KHK209" s="2"/>
      <c r="KHL209" s="2"/>
      <c r="KHM209" s="2"/>
      <c r="KHN209" s="2"/>
      <c r="KHO209" s="2"/>
      <c r="KHP209" s="2"/>
      <c r="KHQ209" s="2"/>
      <c r="KHR209" s="2"/>
      <c r="KHS209" s="2"/>
      <c r="KHT209" s="2"/>
      <c r="KHU209" s="2"/>
      <c r="KHV209" s="2"/>
      <c r="KHW209" s="2"/>
      <c r="KHX209" s="2"/>
      <c r="KHY209" s="2"/>
      <c r="KHZ209" s="2"/>
      <c r="KIA209" s="2"/>
      <c r="KIB209" s="2"/>
      <c r="KIC209" s="2"/>
      <c r="KID209" s="2"/>
      <c r="KIE209" s="2"/>
      <c r="KIF209" s="2"/>
      <c r="KIG209" s="2"/>
      <c r="KIH209" s="2"/>
      <c r="KII209" s="2"/>
      <c r="KIJ209" s="2"/>
      <c r="KIK209" s="2"/>
      <c r="KIL209" s="2"/>
      <c r="KIM209" s="2"/>
      <c r="KIN209" s="2"/>
      <c r="KIO209" s="2"/>
      <c r="KIP209" s="2"/>
      <c r="KIQ209" s="2"/>
      <c r="KIR209" s="2"/>
      <c r="KIS209" s="2"/>
      <c r="KIT209" s="2"/>
      <c r="KIU209" s="2"/>
      <c r="KIV209" s="2"/>
      <c r="KIW209" s="2"/>
      <c r="KIX209" s="2"/>
      <c r="KIY209" s="2"/>
      <c r="KIZ209" s="2"/>
      <c r="KJA209" s="2"/>
      <c r="KJB209" s="2"/>
      <c r="KJC209" s="2"/>
      <c r="KJD209" s="2"/>
      <c r="KJE209" s="2"/>
      <c r="KJF209" s="2"/>
      <c r="KJG209" s="2"/>
      <c r="KJH209" s="2"/>
      <c r="KJI209" s="2"/>
      <c r="KJJ209" s="2"/>
      <c r="KJK209" s="2"/>
      <c r="KJL209" s="2"/>
      <c r="KJM209" s="2"/>
      <c r="KJN209" s="2"/>
      <c r="KJO209" s="2"/>
      <c r="KJP209" s="2"/>
      <c r="KJQ209" s="2"/>
      <c r="KJR209" s="2"/>
      <c r="KJS209" s="2"/>
      <c r="KJT209" s="2"/>
      <c r="KJU209" s="2"/>
      <c r="KJV209" s="2"/>
      <c r="KJW209" s="2"/>
      <c r="KJX209" s="2"/>
      <c r="KJY209" s="2"/>
      <c r="KJZ209" s="2"/>
      <c r="KKA209" s="2"/>
      <c r="KKB209" s="2"/>
      <c r="KKC209" s="2"/>
      <c r="KKD209" s="2"/>
      <c r="KKE209" s="2"/>
      <c r="KKF209" s="2"/>
      <c r="KKG209" s="2"/>
      <c r="KKH209" s="2"/>
      <c r="KKI209" s="2"/>
      <c r="KKJ209" s="2"/>
      <c r="KKK209" s="2"/>
      <c r="KKL209" s="2"/>
      <c r="KKM209" s="2"/>
      <c r="KKN209" s="2"/>
      <c r="KKO209" s="2"/>
      <c r="KKP209" s="2"/>
      <c r="KKQ209" s="2"/>
      <c r="KKR209" s="2"/>
      <c r="KKS209" s="2"/>
      <c r="KKT209" s="2"/>
      <c r="KKU209" s="2"/>
      <c r="KKV209" s="2"/>
      <c r="KKW209" s="2"/>
      <c r="KKX209" s="2"/>
      <c r="KKY209" s="2"/>
      <c r="KKZ209" s="2"/>
      <c r="KLA209" s="2"/>
      <c r="KLB209" s="2"/>
      <c r="KLC209" s="2"/>
      <c r="KLD209" s="2"/>
      <c r="KLE209" s="2"/>
      <c r="KLF209" s="2"/>
      <c r="KLG209" s="2"/>
      <c r="KLH209" s="2"/>
      <c r="KLI209" s="2"/>
      <c r="KLJ209" s="2"/>
      <c r="KLK209" s="2"/>
      <c r="KLL209" s="2"/>
      <c r="KLM209" s="2"/>
      <c r="KLN209" s="2"/>
      <c r="KLO209" s="2"/>
      <c r="KLP209" s="2"/>
      <c r="KLQ209" s="2"/>
      <c r="KLR209" s="2"/>
      <c r="KLS209" s="2"/>
      <c r="KLT209" s="2"/>
      <c r="KLU209" s="2"/>
      <c r="KLV209" s="2"/>
      <c r="KLW209" s="2"/>
      <c r="KLX209" s="2"/>
      <c r="KLY209" s="2"/>
      <c r="KLZ209" s="2"/>
      <c r="KMA209" s="2"/>
      <c r="KMB209" s="2"/>
      <c r="KMC209" s="2"/>
      <c r="KMD209" s="2"/>
      <c r="KME209" s="2"/>
      <c r="KMF209" s="2"/>
      <c r="KMG209" s="2"/>
      <c r="KMH209" s="2"/>
      <c r="KMI209" s="2"/>
      <c r="KMJ209" s="2"/>
      <c r="KMK209" s="2"/>
      <c r="KML209" s="2"/>
      <c r="KMM209" s="2"/>
      <c r="KMN209" s="2"/>
      <c r="KMO209" s="2"/>
      <c r="KMP209" s="2"/>
      <c r="KMQ209" s="2"/>
      <c r="KMR209" s="2"/>
      <c r="KMS209" s="2"/>
      <c r="KMT209" s="2"/>
      <c r="KMU209" s="2"/>
      <c r="KMV209" s="2"/>
      <c r="KMW209" s="2"/>
      <c r="KMX209" s="2"/>
      <c r="KMY209" s="2"/>
      <c r="KMZ209" s="2"/>
      <c r="KNA209" s="2"/>
      <c r="KNB209" s="2"/>
      <c r="KNC209" s="2"/>
      <c r="KND209" s="2"/>
      <c r="KNE209" s="2"/>
      <c r="KNF209" s="2"/>
      <c r="KNG209" s="2"/>
      <c r="KNH209" s="2"/>
      <c r="KNI209" s="2"/>
      <c r="KNJ209" s="2"/>
      <c r="KNK209" s="2"/>
      <c r="KNL209" s="2"/>
      <c r="KNM209" s="2"/>
      <c r="KNN209" s="2"/>
      <c r="KNO209" s="2"/>
      <c r="KNP209" s="2"/>
      <c r="KNQ209" s="2"/>
      <c r="KNR209" s="2"/>
      <c r="KNS209" s="2"/>
      <c r="KNT209" s="2"/>
      <c r="KNU209" s="2"/>
      <c r="KNV209" s="2"/>
      <c r="KNW209" s="2"/>
      <c r="KNX209" s="2"/>
      <c r="KNY209" s="2"/>
      <c r="KNZ209" s="2"/>
      <c r="KOA209" s="2"/>
      <c r="KOB209" s="2"/>
      <c r="KOC209" s="2"/>
      <c r="KOD209" s="2"/>
      <c r="KOE209" s="2"/>
      <c r="KOF209" s="2"/>
      <c r="KOG209" s="2"/>
      <c r="KOH209" s="2"/>
      <c r="KOI209" s="2"/>
      <c r="KOJ209" s="2"/>
      <c r="KOK209" s="2"/>
      <c r="KOL209" s="2"/>
      <c r="KOM209" s="2"/>
      <c r="KON209" s="2"/>
      <c r="KOO209" s="2"/>
      <c r="KOP209" s="2"/>
      <c r="KOQ209" s="2"/>
      <c r="KOR209" s="2"/>
      <c r="KOS209" s="2"/>
      <c r="KOT209" s="2"/>
      <c r="KOU209" s="2"/>
      <c r="KOV209" s="2"/>
      <c r="KOW209" s="2"/>
      <c r="KOX209" s="2"/>
      <c r="KOY209" s="2"/>
      <c r="KOZ209" s="2"/>
      <c r="KPA209" s="2"/>
      <c r="KPB209" s="2"/>
      <c r="KPC209" s="2"/>
      <c r="KPD209" s="2"/>
      <c r="KPE209" s="2"/>
      <c r="KPF209" s="2"/>
      <c r="KPG209" s="2"/>
      <c r="KPH209" s="2"/>
      <c r="KPI209" s="2"/>
      <c r="KPJ209" s="2"/>
      <c r="KPK209" s="2"/>
      <c r="KPL209" s="2"/>
      <c r="KPM209" s="2"/>
      <c r="KPN209" s="2"/>
      <c r="KPO209" s="2"/>
      <c r="KPP209" s="2"/>
      <c r="KPQ209" s="2"/>
      <c r="KPR209" s="2"/>
      <c r="KPS209" s="2"/>
      <c r="KPT209" s="2"/>
      <c r="KPU209" s="2"/>
      <c r="KPV209" s="2"/>
      <c r="KPW209" s="2"/>
      <c r="KPX209" s="2"/>
      <c r="KPY209" s="2"/>
      <c r="KPZ209" s="2"/>
      <c r="KQA209" s="2"/>
      <c r="KQB209" s="2"/>
      <c r="KQC209" s="2"/>
      <c r="KQD209" s="2"/>
      <c r="KQE209" s="2"/>
      <c r="KQF209" s="2"/>
      <c r="KQG209" s="2"/>
      <c r="KQH209" s="2"/>
      <c r="KQI209" s="2"/>
      <c r="KQJ209" s="2"/>
      <c r="KQK209" s="2"/>
      <c r="KQL209" s="2"/>
      <c r="KQM209" s="2"/>
      <c r="KQN209" s="2"/>
      <c r="KQO209" s="2"/>
      <c r="KQP209" s="2"/>
      <c r="KQQ209" s="2"/>
      <c r="KQR209" s="2"/>
      <c r="KQS209" s="2"/>
      <c r="KQT209" s="2"/>
      <c r="KQU209" s="2"/>
      <c r="KQV209" s="2"/>
      <c r="KQW209" s="2"/>
      <c r="KQX209" s="2"/>
      <c r="KQY209" s="2"/>
      <c r="KQZ209" s="2"/>
      <c r="KRA209" s="2"/>
      <c r="KRB209" s="2"/>
      <c r="KRC209" s="2"/>
      <c r="KRD209" s="2"/>
      <c r="KRE209" s="2"/>
      <c r="KRF209" s="2"/>
      <c r="KRG209" s="2"/>
      <c r="KRH209" s="2"/>
      <c r="KRI209" s="2"/>
      <c r="KRJ209" s="2"/>
      <c r="KRK209" s="2"/>
      <c r="KRL209" s="2"/>
      <c r="KRM209" s="2"/>
      <c r="KRN209" s="2"/>
      <c r="KRO209" s="2"/>
      <c r="KRP209" s="2"/>
      <c r="KRQ209" s="2"/>
      <c r="KRR209" s="2"/>
      <c r="KRS209" s="2"/>
      <c r="KRT209" s="2"/>
      <c r="KRU209" s="2"/>
      <c r="KRV209" s="2"/>
      <c r="KRW209" s="2"/>
      <c r="KRX209" s="2"/>
      <c r="KRY209" s="2"/>
      <c r="KRZ209" s="2"/>
      <c r="KSA209" s="2"/>
      <c r="KSB209" s="2"/>
      <c r="KSC209" s="2"/>
      <c r="KSD209" s="2"/>
      <c r="KSE209" s="2"/>
      <c r="KSF209" s="2"/>
      <c r="KSG209" s="2"/>
      <c r="KSH209" s="2"/>
      <c r="KSI209" s="2"/>
      <c r="KSJ209" s="2"/>
      <c r="KSK209" s="2"/>
      <c r="KSL209" s="2"/>
      <c r="KSM209" s="2"/>
      <c r="KSN209" s="2"/>
      <c r="KSO209" s="2"/>
      <c r="KSP209" s="2"/>
      <c r="KSQ209" s="2"/>
      <c r="KSR209" s="2"/>
      <c r="KSS209" s="2"/>
      <c r="KST209" s="2"/>
      <c r="KSU209" s="2"/>
      <c r="KSV209" s="2"/>
      <c r="KSW209" s="2"/>
      <c r="KSX209" s="2"/>
      <c r="KSY209" s="2"/>
      <c r="KSZ209" s="2"/>
      <c r="KTA209" s="2"/>
      <c r="KTB209" s="2"/>
      <c r="KTC209" s="2"/>
      <c r="KTD209" s="2"/>
      <c r="KTE209" s="2"/>
      <c r="KTF209" s="2"/>
      <c r="KTG209" s="2"/>
      <c r="KTH209" s="2"/>
      <c r="KTI209" s="2"/>
      <c r="KTJ209" s="2"/>
      <c r="KTK209" s="2"/>
      <c r="KTL209" s="2"/>
      <c r="KTM209" s="2"/>
      <c r="KTN209" s="2"/>
      <c r="KTO209" s="2"/>
      <c r="KTP209" s="2"/>
      <c r="KTQ209" s="2"/>
      <c r="KTR209" s="2"/>
      <c r="KTS209" s="2"/>
      <c r="KTT209" s="2"/>
      <c r="KTU209" s="2"/>
      <c r="KTV209" s="2"/>
      <c r="KTW209" s="2"/>
      <c r="KTX209" s="2"/>
      <c r="KTY209" s="2"/>
      <c r="KTZ209" s="2"/>
      <c r="KUA209" s="2"/>
      <c r="KUB209" s="2"/>
      <c r="KUC209" s="2"/>
      <c r="KUD209" s="2"/>
      <c r="KUE209" s="2"/>
      <c r="KUF209" s="2"/>
      <c r="KUG209" s="2"/>
      <c r="KUH209" s="2"/>
      <c r="KUI209" s="2"/>
      <c r="KUJ209" s="2"/>
      <c r="KUK209" s="2"/>
      <c r="KUL209" s="2"/>
      <c r="KUM209" s="2"/>
      <c r="KUN209" s="2"/>
      <c r="KUO209" s="2"/>
      <c r="KUP209" s="2"/>
      <c r="KUQ209" s="2"/>
      <c r="KUR209" s="2"/>
      <c r="KUS209" s="2"/>
      <c r="KUT209" s="2"/>
      <c r="KUU209" s="2"/>
      <c r="KUV209" s="2"/>
      <c r="KUW209" s="2"/>
      <c r="KUX209" s="2"/>
      <c r="KUY209" s="2"/>
      <c r="KUZ209" s="2"/>
      <c r="KVA209" s="2"/>
      <c r="KVB209" s="2"/>
      <c r="KVC209" s="2"/>
      <c r="KVD209" s="2"/>
      <c r="KVE209" s="2"/>
      <c r="KVF209" s="2"/>
      <c r="KVG209" s="2"/>
      <c r="KVH209" s="2"/>
      <c r="KVI209" s="2"/>
      <c r="KVJ209" s="2"/>
      <c r="KVK209" s="2"/>
      <c r="KVL209" s="2"/>
      <c r="KVM209" s="2"/>
      <c r="KVN209" s="2"/>
      <c r="KVO209" s="2"/>
      <c r="KVP209" s="2"/>
      <c r="KVQ209" s="2"/>
      <c r="KVR209" s="2"/>
      <c r="KVS209" s="2"/>
      <c r="KVT209" s="2"/>
      <c r="KVU209" s="2"/>
      <c r="KVV209" s="2"/>
      <c r="KVW209" s="2"/>
      <c r="KVX209" s="2"/>
      <c r="KVY209" s="2"/>
      <c r="KVZ209" s="2"/>
      <c r="KWA209" s="2"/>
      <c r="KWB209" s="2"/>
      <c r="KWC209" s="2"/>
      <c r="KWD209" s="2"/>
      <c r="KWE209" s="2"/>
      <c r="KWF209" s="2"/>
      <c r="KWG209" s="2"/>
      <c r="KWH209" s="2"/>
      <c r="KWI209" s="2"/>
      <c r="KWJ209" s="2"/>
      <c r="KWK209" s="2"/>
      <c r="KWL209" s="2"/>
      <c r="KWM209" s="2"/>
      <c r="KWN209" s="2"/>
      <c r="KWO209" s="2"/>
      <c r="KWP209" s="2"/>
      <c r="KWQ209" s="2"/>
      <c r="KWR209" s="2"/>
      <c r="KWS209" s="2"/>
      <c r="KWT209" s="2"/>
      <c r="KWU209" s="2"/>
      <c r="KWV209" s="2"/>
      <c r="KWW209" s="2"/>
      <c r="KWX209" s="2"/>
      <c r="KWY209" s="2"/>
      <c r="KWZ209" s="2"/>
      <c r="KXA209" s="2"/>
      <c r="KXB209" s="2"/>
      <c r="KXC209" s="2"/>
      <c r="KXD209" s="2"/>
      <c r="KXE209" s="2"/>
      <c r="KXF209" s="2"/>
      <c r="KXG209" s="2"/>
      <c r="KXH209" s="2"/>
      <c r="KXI209" s="2"/>
      <c r="KXJ209" s="2"/>
      <c r="KXK209" s="2"/>
      <c r="KXL209" s="2"/>
      <c r="KXM209" s="2"/>
      <c r="KXN209" s="2"/>
      <c r="KXO209" s="2"/>
      <c r="KXP209" s="2"/>
      <c r="KXQ209" s="2"/>
      <c r="KXR209" s="2"/>
      <c r="KXS209" s="2"/>
      <c r="KXT209" s="2"/>
      <c r="KXU209" s="2"/>
      <c r="KXV209" s="2"/>
      <c r="KXW209" s="2"/>
      <c r="KXX209" s="2"/>
      <c r="KXY209" s="2"/>
      <c r="KXZ209" s="2"/>
      <c r="KYA209" s="2"/>
      <c r="KYB209" s="2"/>
      <c r="KYC209" s="2"/>
      <c r="KYD209" s="2"/>
      <c r="KYE209" s="2"/>
      <c r="KYF209" s="2"/>
      <c r="KYG209" s="2"/>
      <c r="KYH209" s="2"/>
      <c r="KYI209" s="2"/>
      <c r="KYJ209" s="2"/>
      <c r="KYK209" s="2"/>
      <c r="KYL209" s="2"/>
      <c r="KYM209" s="2"/>
      <c r="KYN209" s="2"/>
      <c r="KYO209" s="2"/>
      <c r="KYP209" s="2"/>
      <c r="KYQ209" s="2"/>
      <c r="KYR209" s="2"/>
      <c r="KYS209" s="2"/>
      <c r="KYT209" s="2"/>
      <c r="KYU209" s="2"/>
      <c r="KYV209" s="2"/>
      <c r="KYW209" s="2"/>
      <c r="KYX209" s="2"/>
      <c r="KYY209" s="2"/>
      <c r="KYZ209" s="2"/>
      <c r="KZA209" s="2"/>
      <c r="KZB209" s="2"/>
      <c r="KZC209" s="2"/>
      <c r="KZD209" s="2"/>
      <c r="KZE209" s="2"/>
      <c r="KZF209" s="2"/>
      <c r="KZG209" s="2"/>
      <c r="KZH209" s="2"/>
      <c r="KZI209" s="2"/>
      <c r="KZJ209" s="2"/>
      <c r="KZK209" s="2"/>
      <c r="KZL209" s="2"/>
      <c r="KZM209" s="2"/>
      <c r="KZN209" s="2"/>
      <c r="KZO209" s="2"/>
      <c r="KZP209" s="2"/>
      <c r="KZQ209" s="2"/>
      <c r="KZR209" s="2"/>
      <c r="KZS209" s="2"/>
      <c r="KZT209" s="2"/>
      <c r="KZU209" s="2"/>
      <c r="KZV209" s="2"/>
      <c r="KZW209" s="2"/>
      <c r="KZX209" s="2"/>
      <c r="KZY209" s="2"/>
      <c r="KZZ209" s="2"/>
      <c r="LAA209" s="2"/>
      <c r="LAB209" s="2"/>
      <c r="LAC209" s="2"/>
      <c r="LAD209" s="2"/>
      <c r="LAE209" s="2"/>
      <c r="LAF209" s="2"/>
      <c r="LAG209" s="2"/>
      <c r="LAH209" s="2"/>
      <c r="LAI209" s="2"/>
      <c r="LAJ209" s="2"/>
      <c r="LAK209" s="2"/>
      <c r="LAL209" s="2"/>
      <c r="LAM209" s="2"/>
      <c r="LAN209" s="2"/>
      <c r="LAO209" s="2"/>
      <c r="LAP209" s="2"/>
      <c r="LAQ209" s="2"/>
      <c r="LAR209" s="2"/>
      <c r="LAS209" s="2"/>
      <c r="LAT209" s="2"/>
      <c r="LAU209" s="2"/>
      <c r="LAV209" s="2"/>
      <c r="LAW209" s="2"/>
      <c r="LAX209" s="2"/>
      <c r="LAY209" s="2"/>
      <c r="LAZ209" s="2"/>
      <c r="LBA209" s="2"/>
      <c r="LBB209" s="2"/>
      <c r="LBC209" s="2"/>
      <c r="LBD209" s="2"/>
      <c r="LBE209" s="2"/>
      <c r="LBF209" s="2"/>
      <c r="LBG209" s="2"/>
      <c r="LBH209" s="2"/>
      <c r="LBI209" s="2"/>
      <c r="LBJ209" s="2"/>
      <c r="LBK209" s="2"/>
      <c r="LBL209" s="2"/>
      <c r="LBM209" s="2"/>
      <c r="LBN209" s="2"/>
      <c r="LBO209" s="2"/>
      <c r="LBP209" s="2"/>
      <c r="LBQ209" s="2"/>
      <c r="LBR209" s="2"/>
      <c r="LBS209" s="2"/>
      <c r="LBT209" s="2"/>
      <c r="LBU209" s="2"/>
      <c r="LBV209" s="2"/>
      <c r="LBW209" s="2"/>
      <c r="LBX209" s="2"/>
      <c r="LBY209" s="2"/>
      <c r="LBZ209" s="2"/>
      <c r="LCA209" s="2"/>
      <c r="LCB209" s="2"/>
      <c r="LCC209" s="2"/>
      <c r="LCD209" s="2"/>
      <c r="LCE209" s="2"/>
      <c r="LCF209" s="2"/>
      <c r="LCG209" s="2"/>
      <c r="LCH209" s="2"/>
      <c r="LCI209" s="2"/>
      <c r="LCJ209" s="2"/>
      <c r="LCK209" s="2"/>
      <c r="LCL209" s="2"/>
      <c r="LCM209" s="2"/>
      <c r="LCN209" s="2"/>
      <c r="LCO209" s="2"/>
      <c r="LCP209" s="2"/>
      <c r="LCQ209" s="2"/>
      <c r="LCR209" s="2"/>
      <c r="LCS209" s="2"/>
      <c r="LCT209" s="2"/>
      <c r="LCU209" s="2"/>
      <c r="LCV209" s="2"/>
      <c r="LCW209" s="2"/>
      <c r="LCX209" s="2"/>
      <c r="LCY209" s="2"/>
      <c r="LCZ209" s="2"/>
      <c r="LDA209" s="2"/>
      <c r="LDB209" s="2"/>
      <c r="LDC209" s="2"/>
      <c r="LDD209" s="2"/>
      <c r="LDE209" s="2"/>
      <c r="LDF209" s="2"/>
      <c r="LDG209" s="2"/>
      <c r="LDH209" s="2"/>
      <c r="LDI209" s="2"/>
      <c r="LDJ209" s="2"/>
      <c r="LDK209" s="2"/>
      <c r="LDL209" s="2"/>
      <c r="LDM209" s="2"/>
      <c r="LDN209" s="2"/>
      <c r="LDO209" s="2"/>
      <c r="LDP209" s="2"/>
      <c r="LDQ209" s="2"/>
      <c r="LDR209" s="2"/>
      <c r="LDS209" s="2"/>
      <c r="LDT209" s="2"/>
      <c r="LDU209" s="2"/>
      <c r="LDV209" s="2"/>
      <c r="LDW209" s="2"/>
      <c r="LDX209" s="2"/>
      <c r="LDY209" s="2"/>
      <c r="LDZ209" s="2"/>
      <c r="LEA209" s="2"/>
      <c r="LEB209" s="2"/>
      <c r="LEC209" s="2"/>
      <c r="LED209" s="2"/>
      <c r="LEE209" s="2"/>
      <c r="LEF209" s="2"/>
      <c r="LEG209" s="2"/>
      <c r="LEH209" s="2"/>
      <c r="LEI209" s="2"/>
      <c r="LEJ209" s="2"/>
      <c r="LEK209" s="2"/>
      <c r="LEL209" s="2"/>
      <c r="LEM209" s="2"/>
      <c r="LEN209" s="2"/>
      <c r="LEO209" s="2"/>
      <c r="LEP209" s="2"/>
      <c r="LEQ209" s="2"/>
      <c r="LER209" s="2"/>
      <c r="LES209" s="2"/>
      <c r="LET209" s="2"/>
      <c r="LEU209" s="2"/>
      <c r="LEV209" s="2"/>
      <c r="LEW209" s="2"/>
      <c r="LEX209" s="2"/>
      <c r="LEY209" s="2"/>
      <c r="LEZ209" s="2"/>
      <c r="LFA209" s="2"/>
      <c r="LFB209" s="2"/>
      <c r="LFC209" s="2"/>
      <c r="LFD209" s="2"/>
      <c r="LFE209" s="2"/>
      <c r="LFF209" s="2"/>
      <c r="LFG209" s="2"/>
      <c r="LFH209" s="2"/>
      <c r="LFI209" s="2"/>
      <c r="LFJ209" s="2"/>
      <c r="LFK209" s="2"/>
      <c r="LFL209" s="2"/>
      <c r="LFM209" s="2"/>
      <c r="LFN209" s="2"/>
      <c r="LFO209" s="2"/>
      <c r="LFP209" s="2"/>
      <c r="LFQ209" s="2"/>
      <c r="LFR209" s="2"/>
      <c r="LFS209" s="2"/>
      <c r="LFT209" s="2"/>
      <c r="LFU209" s="2"/>
      <c r="LFV209" s="2"/>
      <c r="LFW209" s="2"/>
      <c r="LFX209" s="2"/>
      <c r="LFY209" s="2"/>
      <c r="LFZ209" s="2"/>
      <c r="LGA209" s="2"/>
      <c r="LGB209" s="2"/>
      <c r="LGC209" s="2"/>
      <c r="LGD209" s="2"/>
      <c r="LGE209" s="2"/>
      <c r="LGF209" s="2"/>
      <c r="LGG209" s="2"/>
      <c r="LGH209" s="2"/>
      <c r="LGI209" s="2"/>
      <c r="LGJ209" s="2"/>
      <c r="LGK209" s="2"/>
      <c r="LGL209" s="2"/>
      <c r="LGM209" s="2"/>
      <c r="LGN209" s="2"/>
      <c r="LGO209" s="2"/>
      <c r="LGP209" s="2"/>
      <c r="LGQ209" s="2"/>
      <c r="LGR209" s="2"/>
      <c r="LGS209" s="2"/>
      <c r="LGT209" s="2"/>
      <c r="LGU209" s="2"/>
      <c r="LGV209" s="2"/>
      <c r="LGW209" s="2"/>
      <c r="LGX209" s="2"/>
      <c r="LGY209" s="2"/>
      <c r="LGZ209" s="2"/>
      <c r="LHA209" s="2"/>
      <c r="LHB209" s="2"/>
      <c r="LHC209" s="2"/>
      <c r="LHD209" s="2"/>
      <c r="LHE209" s="2"/>
      <c r="LHF209" s="2"/>
      <c r="LHG209" s="2"/>
      <c r="LHH209" s="2"/>
      <c r="LHI209" s="2"/>
      <c r="LHJ209" s="2"/>
      <c r="LHK209" s="2"/>
      <c r="LHL209" s="2"/>
      <c r="LHM209" s="2"/>
      <c r="LHN209" s="2"/>
      <c r="LHO209" s="2"/>
      <c r="LHP209" s="2"/>
      <c r="LHQ209" s="2"/>
      <c r="LHR209" s="2"/>
      <c r="LHS209" s="2"/>
      <c r="LHT209" s="2"/>
      <c r="LHU209" s="2"/>
      <c r="LHV209" s="2"/>
      <c r="LHW209" s="2"/>
      <c r="LHX209" s="2"/>
      <c r="LHY209" s="2"/>
      <c r="LHZ209" s="2"/>
      <c r="LIA209" s="2"/>
      <c r="LIB209" s="2"/>
      <c r="LIC209" s="2"/>
      <c r="LID209" s="2"/>
      <c r="LIE209" s="2"/>
      <c r="LIF209" s="2"/>
      <c r="LIG209" s="2"/>
      <c r="LIH209" s="2"/>
      <c r="LII209" s="2"/>
      <c r="LIJ209" s="2"/>
      <c r="LIK209" s="2"/>
      <c r="LIL209" s="2"/>
      <c r="LIM209" s="2"/>
      <c r="LIN209" s="2"/>
      <c r="LIO209" s="2"/>
      <c r="LIP209" s="2"/>
      <c r="LIQ209" s="2"/>
      <c r="LIR209" s="2"/>
      <c r="LIS209" s="2"/>
      <c r="LIT209" s="2"/>
      <c r="LIU209" s="2"/>
      <c r="LIV209" s="2"/>
      <c r="LIW209" s="2"/>
      <c r="LIX209" s="2"/>
      <c r="LIY209" s="2"/>
      <c r="LIZ209" s="2"/>
      <c r="LJA209" s="2"/>
      <c r="LJB209" s="2"/>
      <c r="LJC209" s="2"/>
      <c r="LJD209" s="2"/>
      <c r="LJE209" s="2"/>
      <c r="LJF209" s="2"/>
      <c r="LJG209" s="2"/>
      <c r="LJH209" s="2"/>
      <c r="LJI209" s="2"/>
      <c r="LJJ209" s="2"/>
      <c r="LJK209" s="2"/>
      <c r="LJL209" s="2"/>
      <c r="LJM209" s="2"/>
      <c r="LJN209" s="2"/>
      <c r="LJO209" s="2"/>
      <c r="LJP209" s="2"/>
      <c r="LJQ209" s="2"/>
      <c r="LJR209" s="2"/>
      <c r="LJS209" s="2"/>
      <c r="LJT209" s="2"/>
      <c r="LJU209" s="2"/>
      <c r="LJV209" s="2"/>
      <c r="LJW209" s="2"/>
      <c r="LJX209" s="2"/>
      <c r="LJY209" s="2"/>
      <c r="LJZ209" s="2"/>
      <c r="LKA209" s="2"/>
      <c r="LKB209" s="2"/>
      <c r="LKC209" s="2"/>
      <c r="LKD209" s="2"/>
      <c r="LKE209" s="2"/>
      <c r="LKF209" s="2"/>
      <c r="LKG209" s="2"/>
      <c r="LKH209" s="2"/>
      <c r="LKI209" s="2"/>
      <c r="LKJ209" s="2"/>
      <c r="LKK209" s="2"/>
      <c r="LKL209" s="2"/>
      <c r="LKM209" s="2"/>
      <c r="LKN209" s="2"/>
      <c r="LKO209" s="2"/>
      <c r="LKP209" s="2"/>
      <c r="LKQ209" s="2"/>
      <c r="LKR209" s="2"/>
      <c r="LKS209" s="2"/>
      <c r="LKT209" s="2"/>
      <c r="LKU209" s="2"/>
      <c r="LKV209" s="2"/>
      <c r="LKW209" s="2"/>
      <c r="LKX209" s="2"/>
      <c r="LKY209" s="2"/>
      <c r="LKZ209" s="2"/>
      <c r="LLA209" s="2"/>
      <c r="LLB209" s="2"/>
      <c r="LLC209" s="2"/>
      <c r="LLD209" s="2"/>
      <c r="LLE209" s="2"/>
      <c r="LLF209" s="2"/>
      <c r="LLG209" s="2"/>
      <c r="LLH209" s="2"/>
      <c r="LLI209" s="2"/>
      <c r="LLJ209" s="2"/>
      <c r="LLK209" s="2"/>
      <c r="LLL209" s="2"/>
      <c r="LLM209" s="2"/>
      <c r="LLN209" s="2"/>
      <c r="LLO209" s="2"/>
      <c r="LLP209" s="2"/>
      <c r="LLQ209" s="2"/>
      <c r="LLR209" s="2"/>
      <c r="LLS209" s="2"/>
      <c r="LLT209" s="2"/>
      <c r="LLU209" s="2"/>
      <c r="LLV209" s="2"/>
      <c r="LLW209" s="2"/>
      <c r="LLX209" s="2"/>
      <c r="LLY209" s="2"/>
      <c r="LLZ209" s="2"/>
      <c r="LMA209" s="2"/>
      <c r="LMB209" s="2"/>
      <c r="LMC209" s="2"/>
      <c r="LMD209" s="2"/>
      <c r="LME209" s="2"/>
      <c r="LMF209" s="2"/>
      <c r="LMG209" s="2"/>
      <c r="LMH209" s="2"/>
      <c r="LMI209" s="2"/>
      <c r="LMJ209" s="2"/>
      <c r="LMK209" s="2"/>
      <c r="LML209" s="2"/>
      <c r="LMM209" s="2"/>
      <c r="LMN209" s="2"/>
      <c r="LMO209" s="2"/>
      <c r="LMP209" s="2"/>
      <c r="LMQ209" s="2"/>
      <c r="LMR209" s="2"/>
      <c r="LMS209" s="2"/>
      <c r="LMT209" s="2"/>
      <c r="LMU209" s="2"/>
      <c r="LMV209" s="2"/>
      <c r="LMW209" s="2"/>
      <c r="LMX209" s="2"/>
      <c r="LMY209" s="2"/>
      <c r="LMZ209" s="2"/>
      <c r="LNA209" s="2"/>
      <c r="LNB209" s="2"/>
      <c r="LNC209" s="2"/>
      <c r="LND209" s="2"/>
      <c r="LNE209" s="2"/>
      <c r="LNF209" s="2"/>
      <c r="LNG209" s="2"/>
      <c r="LNH209" s="2"/>
      <c r="LNI209" s="2"/>
      <c r="LNJ209" s="2"/>
      <c r="LNK209" s="2"/>
      <c r="LNL209" s="2"/>
      <c r="LNM209" s="2"/>
      <c r="LNN209" s="2"/>
      <c r="LNO209" s="2"/>
      <c r="LNP209" s="2"/>
      <c r="LNQ209" s="2"/>
      <c r="LNR209" s="2"/>
      <c r="LNS209" s="2"/>
      <c r="LNT209" s="2"/>
      <c r="LNU209" s="2"/>
      <c r="LNV209" s="2"/>
      <c r="LNW209" s="2"/>
      <c r="LNX209" s="2"/>
      <c r="LNY209" s="2"/>
      <c r="LNZ209" s="2"/>
      <c r="LOA209" s="2"/>
      <c r="LOB209" s="2"/>
      <c r="LOC209" s="2"/>
      <c r="LOD209" s="2"/>
      <c r="LOE209" s="2"/>
      <c r="LOF209" s="2"/>
      <c r="LOG209" s="2"/>
      <c r="LOH209" s="2"/>
      <c r="LOI209" s="2"/>
      <c r="LOJ209" s="2"/>
      <c r="LOK209" s="2"/>
      <c r="LOL209" s="2"/>
      <c r="LOM209" s="2"/>
      <c r="LON209" s="2"/>
      <c r="LOO209" s="2"/>
      <c r="LOP209" s="2"/>
      <c r="LOQ209" s="2"/>
      <c r="LOR209" s="2"/>
      <c r="LOS209" s="2"/>
      <c r="LOT209" s="2"/>
      <c r="LOU209" s="2"/>
      <c r="LOV209" s="2"/>
      <c r="LOW209" s="2"/>
      <c r="LOX209" s="2"/>
      <c r="LOY209" s="2"/>
      <c r="LOZ209" s="2"/>
      <c r="LPA209" s="2"/>
      <c r="LPB209" s="2"/>
      <c r="LPC209" s="2"/>
      <c r="LPD209" s="2"/>
      <c r="LPE209" s="2"/>
      <c r="LPF209" s="2"/>
      <c r="LPG209" s="2"/>
      <c r="LPH209" s="2"/>
      <c r="LPI209" s="2"/>
      <c r="LPJ209" s="2"/>
      <c r="LPK209" s="2"/>
      <c r="LPL209" s="2"/>
      <c r="LPM209" s="2"/>
      <c r="LPN209" s="2"/>
      <c r="LPO209" s="2"/>
      <c r="LPP209" s="2"/>
      <c r="LPQ209" s="2"/>
      <c r="LPR209" s="2"/>
      <c r="LPS209" s="2"/>
      <c r="LPT209" s="2"/>
      <c r="LPU209" s="2"/>
      <c r="LPV209" s="2"/>
      <c r="LPW209" s="2"/>
      <c r="LPX209" s="2"/>
      <c r="LPY209" s="2"/>
      <c r="LPZ209" s="2"/>
      <c r="LQA209" s="2"/>
      <c r="LQB209" s="2"/>
      <c r="LQC209" s="2"/>
      <c r="LQD209" s="2"/>
      <c r="LQE209" s="2"/>
      <c r="LQF209" s="2"/>
      <c r="LQG209" s="2"/>
      <c r="LQH209" s="2"/>
      <c r="LQI209" s="2"/>
      <c r="LQJ209" s="2"/>
      <c r="LQK209" s="2"/>
      <c r="LQL209" s="2"/>
      <c r="LQM209" s="2"/>
      <c r="LQN209" s="2"/>
      <c r="LQO209" s="2"/>
      <c r="LQP209" s="2"/>
      <c r="LQQ209" s="2"/>
      <c r="LQR209" s="2"/>
      <c r="LQS209" s="2"/>
      <c r="LQT209" s="2"/>
      <c r="LQU209" s="2"/>
      <c r="LQV209" s="2"/>
      <c r="LQW209" s="2"/>
      <c r="LQX209" s="2"/>
      <c r="LQY209" s="2"/>
      <c r="LQZ209" s="2"/>
      <c r="LRA209" s="2"/>
      <c r="LRB209" s="2"/>
      <c r="LRC209" s="2"/>
      <c r="LRD209" s="2"/>
      <c r="LRE209" s="2"/>
      <c r="LRF209" s="2"/>
      <c r="LRG209" s="2"/>
      <c r="LRH209" s="2"/>
      <c r="LRI209" s="2"/>
      <c r="LRJ209" s="2"/>
      <c r="LRK209" s="2"/>
      <c r="LRL209" s="2"/>
      <c r="LRM209" s="2"/>
      <c r="LRN209" s="2"/>
      <c r="LRO209" s="2"/>
      <c r="LRP209" s="2"/>
      <c r="LRQ209" s="2"/>
      <c r="LRR209" s="2"/>
      <c r="LRS209" s="2"/>
      <c r="LRT209" s="2"/>
      <c r="LRU209" s="2"/>
      <c r="LRV209" s="2"/>
      <c r="LRW209" s="2"/>
      <c r="LRX209" s="2"/>
      <c r="LRY209" s="2"/>
      <c r="LRZ209" s="2"/>
      <c r="LSA209" s="2"/>
      <c r="LSB209" s="2"/>
      <c r="LSC209" s="2"/>
      <c r="LSD209" s="2"/>
      <c r="LSE209" s="2"/>
      <c r="LSF209" s="2"/>
      <c r="LSG209" s="2"/>
      <c r="LSH209" s="2"/>
      <c r="LSI209" s="2"/>
      <c r="LSJ209" s="2"/>
      <c r="LSK209" s="2"/>
      <c r="LSL209" s="2"/>
      <c r="LSM209" s="2"/>
      <c r="LSN209" s="2"/>
      <c r="LSO209" s="2"/>
      <c r="LSP209" s="2"/>
      <c r="LSQ209" s="2"/>
      <c r="LSR209" s="2"/>
      <c r="LSS209" s="2"/>
      <c r="LST209" s="2"/>
      <c r="LSU209" s="2"/>
      <c r="LSV209" s="2"/>
      <c r="LSW209" s="2"/>
      <c r="LSX209" s="2"/>
      <c r="LSY209" s="2"/>
      <c r="LSZ209" s="2"/>
      <c r="LTA209" s="2"/>
      <c r="LTB209" s="2"/>
      <c r="LTC209" s="2"/>
      <c r="LTD209" s="2"/>
      <c r="LTE209" s="2"/>
      <c r="LTF209" s="2"/>
      <c r="LTG209" s="2"/>
      <c r="LTH209" s="2"/>
      <c r="LTI209" s="2"/>
      <c r="LTJ209" s="2"/>
      <c r="LTK209" s="2"/>
      <c r="LTL209" s="2"/>
      <c r="LTM209" s="2"/>
      <c r="LTN209" s="2"/>
      <c r="LTO209" s="2"/>
      <c r="LTP209" s="2"/>
      <c r="LTQ209" s="2"/>
      <c r="LTR209" s="2"/>
      <c r="LTS209" s="2"/>
      <c r="LTT209" s="2"/>
      <c r="LTU209" s="2"/>
      <c r="LTV209" s="2"/>
      <c r="LTW209" s="2"/>
      <c r="LTX209" s="2"/>
      <c r="LTY209" s="2"/>
      <c r="LTZ209" s="2"/>
      <c r="LUA209" s="2"/>
      <c r="LUB209" s="2"/>
      <c r="LUC209" s="2"/>
      <c r="LUD209" s="2"/>
      <c r="LUE209" s="2"/>
      <c r="LUF209" s="2"/>
      <c r="LUG209" s="2"/>
      <c r="LUH209" s="2"/>
      <c r="LUI209" s="2"/>
      <c r="LUJ209" s="2"/>
      <c r="LUK209" s="2"/>
      <c r="LUL209" s="2"/>
      <c r="LUM209" s="2"/>
      <c r="LUN209" s="2"/>
      <c r="LUO209" s="2"/>
      <c r="LUP209" s="2"/>
      <c r="LUQ209" s="2"/>
      <c r="LUR209" s="2"/>
      <c r="LUS209" s="2"/>
      <c r="LUT209" s="2"/>
      <c r="LUU209" s="2"/>
      <c r="LUV209" s="2"/>
      <c r="LUW209" s="2"/>
      <c r="LUX209" s="2"/>
      <c r="LUY209" s="2"/>
      <c r="LUZ209" s="2"/>
      <c r="LVA209" s="2"/>
      <c r="LVB209" s="2"/>
      <c r="LVC209" s="2"/>
      <c r="LVD209" s="2"/>
      <c r="LVE209" s="2"/>
      <c r="LVF209" s="2"/>
      <c r="LVG209" s="2"/>
      <c r="LVH209" s="2"/>
      <c r="LVI209" s="2"/>
      <c r="LVJ209" s="2"/>
      <c r="LVK209" s="2"/>
      <c r="LVL209" s="2"/>
      <c r="LVM209" s="2"/>
      <c r="LVN209" s="2"/>
      <c r="LVO209" s="2"/>
      <c r="LVP209" s="2"/>
      <c r="LVQ209" s="2"/>
      <c r="LVR209" s="2"/>
      <c r="LVS209" s="2"/>
      <c r="LVT209" s="2"/>
      <c r="LVU209" s="2"/>
      <c r="LVV209" s="2"/>
      <c r="LVW209" s="2"/>
      <c r="LVX209" s="2"/>
      <c r="LVY209" s="2"/>
      <c r="LVZ209" s="2"/>
      <c r="LWA209" s="2"/>
      <c r="LWB209" s="2"/>
      <c r="LWC209" s="2"/>
      <c r="LWD209" s="2"/>
      <c r="LWE209" s="2"/>
      <c r="LWF209" s="2"/>
      <c r="LWG209" s="2"/>
      <c r="LWH209" s="2"/>
      <c r="LWI209" s="2"/>
      <c r="LWJ209" s="2"/>
      <c r="LWK209" s="2"/>
      <c r="LWL209" s="2"/>
      <c r="LWM209" s="2"/>
      <c r="LWN209" s="2"/>
      <c r="LWO209" s="2"/>
      <c r="LWP209" s="2"/>
      <c r="LWQ209" s="2"/>
      <c r="LWR209" s="2"/>
      <c r="LWS209" s="2"/>
      <c r="LWT209" s="2"/>
      <c r="LWU209" s="2"/>
      <c r="LWV209" s="2"/>
      <c r="LWW209" s="2"/>
      <c r="LWX209" s="2"/>
      <c r="LWY209" s="2"/>
      <c r="LWZ209" s="2"/>
      <c r="LXA209" s="2"/>
      <c r="LXB209" s="2"/>
      <c r="LXC209" s="2"/>
      <c r="LXD209" s="2"/>
      <c r="LXE209" s="2"/>
      <c r="LXF209" s="2"/>
      <c r="LXG209" s="2"/>
      <c r="LXH209" s="2"/>
      <c r="LXI209" s="2"/>
      <c r="LXJ209" s="2"/>
      <c r="LXK209" s="2"/>
      <c r="LXL209" s="2"/>
      <c r="LXM209" s="2"/>
      <c r="LXN209" s="2"/>
      <c r="LXO209" s="2"/>
      <c r="LXP209" s="2"/>
      <c r="LXQ209" s="2"/>
      <c r="LXR209" s="2"/>
      <c r="LXS209" s="2"/>
      <c r="LXT209" s="2"/>
      <c r="LXU209" s="2"/>
      <c r="LXV209" s="2"/>
      <c r="LXW209" s="2"/>
      <c r="LXX209" s="2"/>
      <c r="LXY209" s="2"/>
      <c r="LXZ209" s="2"/>
      <c r="LYA209" s="2"/>
      <c r="LYB209" s="2"/>
      <c r="LYC209" s="2"/>
      <c r="LYD209" s="2"/>
      <c r="LYE209" s="2"/>
      <c r="LYF209" s="2"/>
      <c r="LYG209" s="2"/>
      <c r="LYH209" s="2"/>
      <c r="LYI209" s="2"/>
      <c r="LYJ209" s="2"/>
      <c r="LYK209" s="2"/>
      <c r="LYL209" s="2"/>
      <c r="LYM209" s="2"/>
      <c r="LYN209" s="2"/>
      <c r="LYO209" s="2"/>
      <c r="LYP209" s="2"/>
      <c r="LYQ209" s="2"/>
      <c r="LYR209" s="2"/>
      <c r="LYS209" s="2"/>
      <c r="LYT209" s="2"/>
      <c r="LYU209" s="2"/>
      <c r="LYV209" s="2"/>
      <c r="LYW209" s="2"/>
      <c r="LYX209" s="2"/>
      <c r="LYY209" s="2"/>
      <c r="LYZ209" s="2"/>
      <c r="LZA209" s="2"/>
      <c r="LZB209" s="2"/>
      <c r="LZC209" s="2"/>
      <c r="LZD209" s="2"/>
      <c r="LZE209" s="2"/>
      <c r="LZF209" s="2"/>
      <c r="LZG209" s="2"/>
      <c r="LZH209" s="2"/>
      <c r="LZI209" s="2"/>
      <c r="LZJ209" s="2"/>
      <c r="LZK209" s="2"/>
      <c r="LZL209" s="2"/>
      <c r="LZM209" s="2"/>
      <c r="LZN209" s="2"/>
      <c r="LZO209" s="2"/>
      <c r="LZP209" s="2"/>
      <c r="LZQ209" s="2"/>
      <c r="LZR209" s="2"/>
      <c r="LZS209" s="2"/>
      <c r="LZT209" s="2"/>
      <c r="LZU209" s="2"/>
      <c r="LZV209" s="2"/>
      <c r="LZW209" s="2"/>
      <c r="LZX209" s="2"/>
      <c r="LZY209" s="2"/>
      <c r="LZZ209" s="2"/>
      <c r="MAA209" s="2"/>
      <c r="MAB209" s="2"/>
      <c r="MAC209" s="2"/>
      <c r="MAD209" s="2"/>
      <c r="MAE209" s="2"/>
      <c r="MAF209" s="2"/>
      <c r="MAG209" s="2"/>
      <c r="MAH209" s="2"/>
      <c r="MAI209" s="2"/>
      <c r="MAJ209" s="2"/>
      <c r="MAK209" s="2"/>
      <c r="MAL209" s="2"/>
      <c r="MAM209" s="2"/>
      <c r="MAN209" s="2"/>
      <c r="MAO209" s="2"/>
      <c r="MAP209" s="2"/>
      <c r="MAQ209" s="2"/>
      <c r="MAR209" s="2"/>
      <c r="MAS209" s="2"/>
      <c r="MAT209" s="2"/>
      <c r="MAU209" s="2"/>
      <c r="MAV209" s="2"/>
      <c r="MAW209" s="2"/>
      <c r="MAX209" s="2"/>
      <c r="MAY209" s="2"/>
      <c r="MAZ209" s="2"/>
      <c r="MBA209" s="2"/>
      <c r="MBB209" s="2"/>
      <c r="MBC209" s="2"/>
      <c r="MBD209" s="2"/>
      <c r="MBE209" s="2"/>
      <c r="MBF209" s="2"/>
      <c r="MBG209" s="2"/>
      <c r="MBH209" s="2"/>
      <c r="MBI209" s="2"/>
      <c r="MBJ209" s="2"/>
      <c r="MBK209" s="2"/>
      <c r="MBL209" s="2"/>
      <c r="MBM209" s="2"/>
      <c r="MBN209" s="2"/>
      <c r="MBO209" s="2"/>
      <c r="MBP209" s="2"/>
      <c r="MBQ209" s="2"/>
      <c r="MBR209" s="2"/>
      <c r="MBS209" s="2"/>
      <c r="MBT209" s="2"/>
      <c r="MBU209" s="2"/>
      <c r="MBV209" s="2"/>
      <c r="MBW209" s="2"/>
      <c r="MBX209" s="2"/>
      <c r="MBY209" s="2"/>
      <c r="MBZ209" s="2"/>
      <c r="MCA209" s="2"/>
      <c r="MCB209" s="2"/>
      <c r="MCC209" s="2"/>
      <c r="MCD209" s="2"/>
      <c r="MCE209" s="2"/>
      <c r="MCF209" s="2"/>
      <c r="MCG209" s="2"/>
      <c r="MCH209" s="2"/>
      <c r="MCI209" s="2"/>
      <c r="MCJ209" s="2"/>
      <c r="MCK209" s="2"/>
      <c r="MCL209" s="2"/>
      <c r="MCM209" s="2"/>
      <c r="MCN209" s="2"/>
      <c r="MCO209" s="2"/>
      <c r="MCP209" s="2"/>
      <c r="MCQ209" s="2"/>
      <c r="MCR209" s="2"/>
      <c r="MCS209" s="2"/>
      <c r="MCT209" s="2"/>
      <c r="MCU209" s="2"/>
      <c r="MCV209" s="2"/>
      <c r="MCW209" s="2"/>
      <c r="MCX209" s="2"/>
      <c r="MCY209" s="2"/>
      <c r="MCZ209" s="2"/>
      <c r="MDA209" s="2"/>
      <c r="MDB209" s="2"/>
      <c r="MDC209" s="2"/>
      <c r="MDD209" s="2"/>
      <c r="MDE209" s="2"/>
      <c r="MDF209" s="2"/>
      <c r="MDG209" s="2"/>
      <c r="MDH209" s="2"/>
      <c r="MDI209" s="2"/>
      <c r="MDJ209" s="2"/>
      <c r="MDK209" s="2"/>
      <c r="MDL209" s="2"/>
      <c r="MDM209" s="2"/>
      <c r="MDN209" s="2"/>
      <c r="MDO209" s="2"/>
      <c r="MDP209" s="2"/>
      <c r="MDQ209" s="2"/>
      <c r="MDR209" s="2"/>
      <c r="MDS209" s="2"/>
      <c r="MDT209" s="2"/>
      <c r="MDU209" s="2"/>
      <c r="MDV209" s="2"/>
      <c r="MDW209" s="2"/>
      <c r="MDX209" s="2"/>
      <c r="MDY209" s="2"/>
      <c r="MDZ209" s="2"/>
      <c r="MEA209" s="2"/>
      <c r="MEB209" s="2"/>
      <c r="MEC209" s="2"/>
      <c r="MED209" s="2"/>
      <c r="MEE209" s="2"/>
      <c r="MEF209" s="2"/>
      <c r="MEG209" s="2"/>
      <c r="MEH209" s="2"/>
      <c r="MEI209" s="2"/>
      <c r="MEJ209" s="2"/>
      <c r="MEK209" s="2"/>
      <c r="MEL209" s="2"/>
      <c r="MEM209" s="2"/>
      <c r="MEN209" s="2"/>
      <c r="MEO209" s="2"/>
      <c r="MEP209" s="2"/>
      <c r="MEQ209" s="2"/>
      <c r="MER209" s="2"/>
      <c r="MES209" s="2"/>
      <c r="MET209" s="2"/>
      <c r="MEU209" s="2"/>
      <c r="MEV209" s="2"/>
      <c r="MEW209" s="2"/>
      <c r="MEX209" s="2"/>
      <c r="MEY209" s="2"/>
      <c r="MEZ209" s="2"/>
      <c r="MFA209" s="2"/>
      <c r="MFB209" s="2"/>
      <c r="MFC209" s="2"/>
      <c r="MFD209" s="2"/>
      <c r="MFE209" s="2"/>
      <c r="MFF209" s="2"/>
      <c r="MFG209" s="2"/>
      <c r="MFH209" s="2"/>
      <c r="MFI209" s="2"/>
      <c r="MFJ209" s="2"/>
      <c r="MFK209" s="2"/>
      <c r="MFL209" s="2"/>
      <c r="MFM209" s="2"/>
      <c r="MFN209" s="2"/>
      <c r="MFO209" s="2"/>
      <c r="MFP209" s="2"/>
      <c r="MFQ209" s="2"/>
      <c r="MFR209" s="2"/>
      <c r="MFS209" s="2"/>
      <c r="MFT209" s="2"/>
      <c r="MFU209" s="2"/>
      <c r="MFV209" s="2"/>
      <c r="MFW209" s="2"/>
      <c r="MFX209" s="2"/>
      <c r="MFY209" s="2"/>
      <c r="MFZ209" s="2"/>
      <c r="MGA209" s="2"/>
      <c r="MGB209" s="2"/>
      <c r="MGC209" s="2"/>
      <c r="MGD209" s="2"/>
      <c r="MGE209" s="2"/>
      <c r="MGF209" s="2"/>
      <c r="MGG209" s="2"/>
      <c r="MGH209" s="2"/>
      <c r="MGI209" s="2"/>
      <c r="MGJ209" s="2"/>
      <c r="MGK209" s="2"/>
      <c r="MGL209" s="2"/>
      <c r="MGM209" s="2"/>
      <c r="MGN209" s="2"/>
      <c r="MGO209" s="2"/>
      <c r="MGP209" s="2"/>
      <c r="MGQ209" s="2"/>
      <c r="MGR209" s="2"/>
      <c r="MGS209" s="2"/>
      <c r="MGT209" s="2"/>
      <c r="MGU209" s="2"/>
      <c r="MGV209" s="2"/>
      <c r="MGW209" s="2"/>
      <c r="MGX209" s="2"/>
      <c r="MGY209" s="2"/>
      <c r="MGZ209" s="2"/>
      <c r="MHA209" s="2"/>
      <c r="MHB209" s="2"/>
      <c r="MHC209" s="2"/>
      <c r="MHD209" s="2"/>
      <c r="MHE209" s="2"/>
      <c r="MHF209" s="2"/>
      <c r="MHG209" s="2"/>
      <c r="MHH209" s="2"/>
      <c r="MHI209" s="2"/>
      <c r="MHJ209" s="2"/>
      <c r="MHK209" s="2"/>
      <c r="MHL209" s="2"/>
      <c r="MHM209" s="2"/>
      <c r="MHN209" s="2"/>
      <c r="MHO209" s="2"/>
      <c r="MHP209" s="2"/>
      <c r="MHQ209" s="2"/>
      <c r="MHR209" s="2"/>
      <c r="MHS209" s="2"/>
      <c r="MHT209" s="2"/>
      <c r="MHU209" s="2"/>
      <c r="MHV209" s="2"/>
      <c r="MHW209" s="2"/>
      <c r="MHX209" s="2"/>
      <c r="MHY209" s="2"/>
      <c r="MHZ209" s="2"/>
      <c r="MIA209" s="2"/>
      <c r="MIB209" s="2"/>
      <c r="MIC209" s="2"/>
      <c r="MID209" s="2"/>
      <c r="MIE209" s="2"/>
      <c r="MIF209" s="2"/>
      <c r="MIG209" s="2"/>
      <c r="MIH209" s="2"/>
      <c r="MII209" s="2"/>
      <c r="MIJ209" s="2"/>
      <c r="MIK209" s="2"/>
      <c r="MIL209" s="2"/>
      <c r="MIM209" s="2"/>
      <c r="MIN209" s="2"/>
      <c r="MIO209" s="2"/>
      <c r="MIP209" s="2"/>
      <c r="MIQ209" s="2"/>
      <c r="MIR209" s="2"/>
      <c r="MIS209" s="2"/>
      <c r="MIT209" s="2"/>
      <c r="MIU209" s="2"/>
      <c r="MIV209" s="2"/>
      <c r="MIW209" s="2"/>
      <c r="MIX209" s="2"/>
      <c r="MIY209" s="2"/>
      <c r="MIZ209" s="2"/>
      <c r="MJA209" s="2"/>
      <c r="MJB209" s="2"/>
      <c r="MJC209" s="2"/>
      <c r="MJD209" s="2"/>
      <c r="MJE209" s="2"/>
      <c r="MJF209" s="2"/>
      <c r="MJG209" s="2"/>
      <c r="MJH209" s="2"/>
      <c r="MJI209" s="2"/>
      <c r="MJJ209" s="2"/>
      <c r="MJK209" s="2"/>
      <c r="MJL209" s="2"/>
      <c r="MJM209" s="2"/>
      <c r="MJN209" s="2"/>
      <c r="MJO209" s="2"/>
      <c r="MJP209" s="2"/>
      <c r="MJQ209" s="2"/>
      <c r="MJR209" s="2"/>
      <c r="MJS209" s="2"/>
      <c r="MJT209" s="2"/>
      <c r="MJU209" s="2"/>
      <c r="MJV209" s="2"/>
      <c r="MJW209" s="2"/>
      <c r="MJX209" s="2"/>
      <c r="MJY209" s="2"/>
      <c r="MJZ209" s="2"/>
      <c r="MKA209" s="2"/>
      <c r="MKB209" s="2"/>
      <c r="MKC209" s="2"/>
      <c r="MKD209" s="2"/>
      <c r="MKE209" s="2"/>
      <c r="MKF209" s="2"/>
      <c r="MKG209" s="2"/>
      <c r="MKH209" s="2"/>
      <c r="MKI209" s="2"/>
      <c r="MKJ209" s="2"/>
      <c r="MKK209" s="2"/>
      <c r="MKL209" s="2"/>
      <c r="MKM209" s="2"/>
      <c r="MKN209" s="2"/>
      <c r="MKO209" s="2"/>
      <c r="MKP209" s="2"/>
      <c r="MKQ209" s="2"/>
      <c r="MKR209" s="2"/>
      <c r="MKS209" s="2"/>
      <c r="MKT209" s="2"/>
      <c r="MKU209" s="2"/>
      <c r="MKV209" s="2"/>
      <c r="MKW209" s="2"/>
      <c r="MKX209" s="2"/>
      <c r="MKY209" s="2"/>
      <c r="MKZ209" s="2"/>
      <c r="MLA209" s="2"/>
      <c r="MLB209" s="2"/>
      <c r="MLC209" s="2"/>
      <c r="MLD209" s="2"/>
      <c r="MLE209" s="2"/>
      <c r="MLF209" s="2"/>
      <c r="MLG209" s="2"/>
      <c r="MLH209" s="2"/>
      <c r="MLI209" s="2"/>
      <c r="MLJ209" s="2"/>
      <c r="MLK209" s="2"/>
      <c r="MLL209" s="2"/>
      <c r="MLM209" s="2"/>
      <c r="MLN209" s="2"/>
      <c r="MLO209" s="2"/>
      <c r="MLP209" s="2"/>
      <c r="MLQ209" s="2"/>
      <c r="MLR209" s="2"/>
      <c r="MLS209" s="2"/>
      <c r="MLT209" s="2"/>
      <c r="MLU209" s="2"/>
      <c r="MLV209" s="2"/>
      <c r="MLW209" s="2"/>
      <c r="MLX209" s="2"/>
      <c r="MLY209" s="2"/>
      <c r="MLZ209" s="2"/>
      <c r="MMA209" s="2"/>
      <c r="MMB209" s="2"/>
      <c r="MMC209" s="2"/>
      <c r="MMD209" s="2"/>
      <c r="MME209" s="2"/>
      <c r="MMF209" s="2"/>
      <c r="MMG209" s="2"/>
      <c r="MMH209" s="2"/>
      <c r="MMI209" s="2"/>
      <c r="MMJ209" s="2"/>
      <c r="MMK209" s="2"/>
      <c r="MML209" s="2"/>
      <c r="MMM209" s="2"/>
      <c r="MMN209" s="2"/>
      <c r="MMO209" s="2"/>
      <c r="MMP209" s="2"/>
      <c r="MMQ209" s="2"/>
      <c r="MMR209" s="2"/>
      <c r="MMS209" s="2"/>
      <c r="MMT209" s="2"/>
      <c r="MMU209" s="2"/>
      <c r="MMV209" s="2"/>
      <c r="MMW209" s="2"/>
      <c r="MMX209" s="2"/>
      <c r="MMY209" s="2"/>
      <c r="MMZ209" s="2"/>
      <c r="MNA209" s="2"/>
      <c r="MNB209" s="2"/>
      <c r="MNC209" s="2"/>
      <c r="MND209" s="2"/>
      <c r="MNE209" s="2"/>
      <c r="MNF209" s="2"/>
      <c r="MNG209" s="2"/>
      <c r="MNH209" s="2"/>
      <c r="MNI209" s="2"/>
      <c r="MNJ209" s="2"/>
      <c r="MNK209" s="2"/>
      <c r="MNL209" s="2"/>
      <c r="MNM209" s="2"/>
      <c r="MNN209" s="2"/>
      <c r="MNO209" s="2"/>
      <c r="MNP209" s="2"/>
      <c r="MNQ209" s="2"/>
      <c r="MNR209" s="2"/>
      <c r="MNS209" s="2"/>
      <c r="MNT209" s="2"/>
      <c r="MNU209" s="2"/>
      <c r="MNV209" s="2"/>
      <c r="MNW209" s="2"/>
      <c r="MNX209" s="2"/>
      <c r="MNY209" s="2"/>
      <c r="MNZ209" s="2"/>
      <c r="MOA209" s="2"/>
      <c r="MOB209" s="2"/>
      <c r="MOC209" s="2"/>
      <c r="MOD209" s="2"/>
      <c r="MOE209" s="2"/>
      <c r="MOF209" s="2"/>
      <c r="MOG209" s="2"/>
      <c r="MOH209" s="2"/>
      <c r="MOI209" s="2"/>
      <c r="MOJ209" s="2"/>
      <c r="MOK209" s="2"/>
      <c r="MOL209" s="2"/>
      <c r="MOM209" s="2"/>
      <c r="MON209" s="2"/>
      <c r="MOO209" s="2"/>
      <c r="MOP209" s="2"/>
      <c r="MOQ209" s="2"/>
      <c r="MOR209" s="2"/>
      <c r="MOS209" s="2"/>
      <c r="MOT209" s="2"/>
      <c r="MOU209" s="2"/>
      <c r="MOV209" s="2"/>
      <c r="MOW209" s="2"/>
      <c r="MOX209" s="2"/>
      <c r="MOY209" s="2"/>
      <c r="MOZ209" s="2"/>
      <c r="MPA209" s="2"/>
      <c r="MPB209" s="2"/>
      <c r="MPC209" s="2"/>
      <c r="MPD209" s="2"/>
      <c r="MPE209" s="2"/>
      <c r="MPF209" s="2"/>
      <c r="MPG209" s="2"/>
      <c r="MPH209" s="2"/>
      <c r="MPI209" s="2"/>
      <c r="MPJ209" s="2"/>
      <c r="MPK209" s="2"/>
      <c r="MPL209" s="2"/>
      <c r="MPM209" s="2"/>
      <c r="MPN209" s="2"/>
      <c r="MPO209" s="2"/>
      <c r="MPP209" s="2"/>
      <c r="MPQ209" s="2"/>
      <c r="MPR209" s="2"/>
      <c r="MPS209" s="2"/>
      <c r="MPT209" s="2"/>
      <c r="MPU209" s="2"/>
      <c r="MPV209" s="2"/>
      <c r="MPW209" s="2"/>
      <c r="MPX209" s="2"/>
      <c r="MPY209" s="2"/>
      <c r="MPZ209" s="2"/>
      <c r="MQA209" s="2"/>
      <c r="MQB209" s="2"/>
      <c r="MQC209" s="2"/>
      <c r="MQD209" s="2"/>
      <c r="MQE209" s="2"/>
      <c r="MQF209" s="2"/>
      <c r="MQG209" s="2"/>
      <c r="MQH209" s="2"/>
      <c r="MQI209" s="2"/>
      <c r="MQJ209" s="2"/>
      <c r="MQK209" s="2"/>
      <c r="MQL209" s="2"/>
      <c r="MQM209" s="2"/>
      <c r="MQN209" s="2"/>
      <c r="MQO209" s="2"/>
      <c r="MQP209" s="2"/>
      <c r="MQQ209" s="2"/>
      <c r="MQR209" s="2"/>
      <c r="MQS209" s="2"/>
      <c r="MQT209" s="2"/>
      <c r="MQU209" s="2"/>
      <c r="MQV209" s="2"/>
      <c r="MQW209" s="2"/>
      <c r="MQX209" s="2"/>
      <c r="MQY209" s="2"/>
      <c r="MQZ209" s="2"/>
      <c r="MRA209" s="2"/>
      <c r="MRB209" s="2"/>
      <c r="MRC209" s="2"/>
      <c r="MRD209" s="2"/>
      <c r="MRE209" s="2"/>
      <c r="MRF209" s="2"/>
      <c r="MRG209" s="2"/>
      <c r="MRH209" s="2"/>
      <c r="MRI209" s="2"/>
      <c r="MRJ209" s="2"/>
      <c r="MRK209" s="2"/>
      <c r="MRL209" s="2"/>
      <c r="MRM209" s="2"/>
      <c r="MRN209" s="2"/>
      <c r="MRO209" s="2"/>
      <c r="MRP209" s="2"/>
      <c r="MRQ209" s="2"/>
      <c r="MRR209" s="2"/>
      <c r="MRS209" s="2"/>
      <c r="MRT209" s="2"/>
      <c r="MRU209" s="2"/>
      <c r="MRV209" s="2"/>
      <c r="MRW209" s="2"/>
      <c r="MRX209" s="2"/>
      <c r="MRY209" s="2"/>
      <c r="MRZ209" s="2"/>
      <c r="MSA209" s="2"/>
      <c r="MSB209" s="2"/>
      <c r="MSC209" s="2"/>
      <c r="MSD209" s="2"/>
      <c r="MSE209" s="2"/>
      <c r="MSF209" s="2"/>
      <c r="MSG209" s="2"/>
      <c r="MSH209" s="2"/>
      <c r="MSI209" s="2"/>
      <c r="MSJ209" s="2"/>
      <c r="MSK209" s="2"/>
      <c r="MSL209" s="2"/>
      <c r="MSM209" s="2"/>
      <c r="MSN209" s="2"/>
      <c r="MSO209" s="2"/>
      <c r="MSP209" s="2"/>
      <c r="MSQ209" s="2"/>
      <c r="MSR209" s="2"/>
      <c r="MSS209" s="2"/>
      <c r="MST209" s="2"/>
      <c r="MSU209" s="2"/>
      <c r="MSV209" s="2"/>
      <c r="MSW209" s="2"/>
      <c r="MSX209" s="2"/>
      <c r="MSY209" s="2"/>
      <c r="MSZ209" s="2"/>
      <c r="MTA209" s="2"/>
      <c r="MTB209" s="2"/>
      <c r="MTC209" s="2"/>
      <c r="MTD209" s="2"/>
      <c r="MTE209" s="2"/>
      <c r="MTF209" s="2"/>
      <c r="MTG209" s="2"/>
      <c r="MTH209" s="2"/>
      <c r="MTI209" s="2"/>
      <c r="MTJ209" s="2"/>
      <c r="MTK209" s="2"/>
      <c r="MTL209" s="2"/>
      <c r="MTM209" s="2"/>
      <c r="MTN209" s="2"/>
      <c r="MTO209" s="2"/>
      <c r="MTP209" s="2"/>
      <c r="MTQ209" s="2"/>
      <c r="MTR209" s="2"/>
      <c r="MTS209" s="2"/>
      <c r="MTT209" s="2"/>
      <c r="MTU209" s="2"/>
      <c r="MTV209" s="2"/>
      <c r="MTW209" s="2"/>
      <c r="MTX209" s="2"/>
      <c r="MTY209" s="2"/>
      <c r="MTZ209" s="2"/>
      <c r="MUA209" s="2"/>
      <c r="MUB209" s="2"/>
      <c r="MUC209" s="2"/>
      <c r="MUD209" s="2"/>
      <c r="MUE209" s="2"/>
      <c r="MUF209" s="2"/>
      <c r="MUG209" s="2"/>
      <c r="MUH209" s="2"/>
      <c r="MUI209" s="2"/>
      <c r="MUJ209" s="2"/>
      <c r="MUK209" s="2"/>
      <c r="MUL209" s="2"/>
      <c r="MUM209" s="2"/>
      <c r="MUN209" s="2"/>
      <c r="MUO209" s="2"/>
      <c r="MUP209" s="2"/>
      <c r="MUQ209" s="2"/>
      <c r="MUR209" s="2"/>
      <c r="MUS209" s="2"/>
      <c r="MUT209" s="2"/>
      <c r="MUU209" s="2"/>
      <c r="MUV209" s="2"/>
      <c r="MUW209" s="2"/>
      <c r="MUX209" s="2"/>
      <c r="MUY209" s="2"/>
      <c r="MUZ209" s="2"/>
      <c r="MVA209" s="2"/>
      <c r="MVB209" s="2"/>
      <c r="MVC209" s="2"/>
      <c r="MVD209" s="2"/>
      <c r="MVE209" s="2"/>
      <c r="MVF209" s="2"/>
      <c r="MVG209" s="2"/>
      <c r="MVH209" s="2"/>
      <c r="MVI209" s="2"/>
      <c r="MVJ209" s="2"/>
      <c r="MVK209" s="2"/>
      <c r="MVL209" s="2"/>
      <c r="MVM209" s="2"/>
      <c r="MVN209" s="2"/>
      <c r="MVO209" s="2"/>
      <c r="MVP209" s="2"/>
      <c r="MVQ209" s="2"/>
      <c r="MVR209" s="2"/>
      <c r="MVS209" s="2"/>
      <c r="MVT209" s="2"/>
      <c r="MVU209" s="2"/>
      <c r="MVV209" s="2"/>
      <c r="MVW209" s="2"/>
      <c r="MVX209" s="2"/>
      <c r="MVY209" s="2"/>
      <c r="MVZ209" s="2"/>
      <c r="MWA209" s="2"/>
      <c r="MWB209" s="2"/>
      <c r="MWC209" s="2"/>
      <c r="MWD209" s="2"/>
      <c r="MWE209" s="2"/>
      <c r="MWF209" s="2"/>
      <c r="MWG209" s="2"/>
      <c r="MWH209" s="2"/>
      <c r="MWI209" s="2"/>
      <c r="MWJ209" s="2"/>
      <c r="MWK209" s="2"/>
      <c r="MWL209" s="2"/>
      <c r="MWM209" s="2"/>
      <c r="MWN209" s="2"/>
      <c r="MWO209" s="2"/>
      <c r="MWP209" s="2"/>
      <c r="MWQ209" s="2"/>
      <c r="MWR209" s="2"/>
      <c r="MWS209" s="2"/>
      <c r="MWT209" s="2"/>
      <c r="MWU209" s="2"/>
      <c r="MWV209" s="2"/>
      <c r="MWW209" s="2"/>
      <c r="MWX209" s="2"/>
      <c r="MWY209" s="2"/>
      <c r="MWZ209" s="2"/>
      <c r="MXA209" s="2"/>
      <c r="MXB209" s="2"/>
      <c r="MXC209" s="2"/>
      <c r="MXD209" s="2"/>
      <c r="MXE209" s="2"/>
      <c r="MXF209" s="2"/>
      <c r="MXG209" s="2"/>
      <c r="MXH209" s="2"/>
      <c r="MXI209" s="2"/>
      <c r="MXJ209" s="2"/>
      <c r="MXK209" s="2"/>
      <c r="MXL209" s="2"/>
      <c r="MXM209" s="2"/>
      <c r="MXN209" s="2"/>
      <c r="MXO209" s="2"/>
      <c r="MXP209" s="2"/>
      <c r="MXQ209" s="2"/>
      <c r="MXR209" s="2"/>
      <c r="MXS209" s="2"/>
      <c r="MXT209" s="2"/>
      <c r="MXU209" s="2"/>
      <c r="MXV209" s="2"/>
      <c r="MXW209" s="2"/>
      <c r="MXX209" s="2"/>
      <c r="MXY209" s="2"/>
      <c r="MXZ209" s="2"/>
      <c r="MYA209" s="2"/>
      <c r="MYB209" s="2"/>
      <c r="MYC209" s="2"/>
      <c r="MYD209" s="2"/>
      <c r="MYE209" s="2"/>
      <c r="MYF209" s="2"/>
      <c r="MYG209" s="2"/>
      <c r="MYH209" s="2"/>
      <c r="MYI209" s="2"/>
      <c r="MYJ209" s="2"/>
      <c r="MYK209" s="2"/>
      <c r="MYL209" s="2"/>
      <c r="MYM209" s="2"/>
      <c r="MYN209" s="2"/>
      <c r="MYO209" s="2"/>
      <c r="MYP209" s="2"/>
      <c r="MYQ209" s="2"/>
      <c r="MYR209" s="2"/>
      <c r="MYS209" s="2"/>
      <c r="MYT209" s="2"/>
      <c r="MYU209" s="2"/>
      <c r="MYV209" s="2"/>
      <c r="MYW209" s="2"/>
      <c r="MYX209" s="2"/>
      <c r="MYY209" s="2"/>
      <c r="MYZ209" s="2"/>
      <c r="MZA209" s="2"/>
      <c r="MZB209" s="2"/>
      <c r="MZC209" s="2"/>
      <c r="MZD209" s="2"/>
      <c r="MZE209" s="2"/>
      <c r="MZF209" s="2"/>
      <c r="MZG209" s="2"/>
      <c r="MZH209" s="2"/>
      <c r="MZI209" s="2"/>
      <c r="MZJ209" s="2"/>
      <c r="MZK209" s="2"/>
      <c r="MZL209" s="2"/>
      <c r="MZM209" s="2"/>
      <c r="MZN209" s="2"/>
      <c r="MZO209" s="2"/>
      <c r="MZP209" s="2"/>
      <c r="MZQ209" s="2"/>
      <c r="MZR209" s="2"/>
      <c r="MZS209" s="2"/>
      <c r="MZT209" s="2"/>
      <c r="MZU209" s="2"/>
      <c r="MZV209" s="2"/>
      <c r="MZW209" s="2"/>
      <c r="MZX209" s="2"/>
      <c r="MZY209" s="2"/>
      <c r="MZZ209" s="2"/>
      <c r="NAA209" s="2"/>
      <c r="NAB209" s="2"/>
      <c r="NAC209" s="2"/>
      <c r="NAD209" s="2"/>
      <c r="NAE209" s="2"/>
      <c r="NAF209" s="2"/>
      <c r="NAG209" s="2"/>
      <c r="NAH209" s="2"/>
      <c r="NAI209" s="2"/>
      <c r="NAJ209" s="2"/>
      <c r="NAK209" s="2"/>
      <c r="NAL209" s="2"/>
      <c r="NAM209" s="2"/>
      <c r="NAN209" s="2"/>
      <c r="NAO209" s="2"/>
      <c r="NAP209" s="2"/>
      <c r="NAQ209" s="2"/>
      <c r="NAR209" s="2"/>
      <c r="NAS209" s="2"/>
      <c r="NAT209" s="2"/>
      <c r="NAU209" s="2"/>
      <c r="NAV209" s="2"/>
      <c r="NAW209" s="2"/>
      <c r="NAX209" s="2"/>
      <c r="NAY209" s="2"/>
      <c r="NAZ209" s="2"/>
      <c r="NBA209" s="2"/>
      <c r="NBB209" s="2"/>
      <c r="NBC209" s="2"/>
      <c r="NBD209" s="2"/>
      <c r="NBE209" s="2"/>
      <c r="NBF209" s="2"/>
      <c r="NBG209" s="2"/>
      <c r="NBH209" s="2"/>
      <c r="NBI209" s="2"/>
      <c r="NBJ209" s="2"/>
      <c r="NBK209" s="2"/>
      <c r="NBL209" s="2"/>
      <c r="NBM209" s="2"/>
      <c r="NBN209" s="2"/>
      <c r="NBO209" s="2"/>
      <c r="NBP209" s="2"/>
      <c r="NBQ209" s="2"/>
      <c r="NBR209" s="2"/>
      <c r="NBS209" s="2"/>
      <c r="NBT209" s="2"/>
      <c r="NBU209" s="2"/>
      <c r="NBV209" s="2"/>
      <c r="NBW209" s="2"/>
      <c r="NBX209" s="2"/>
      <c r="NBY209" s="2"/>
      <c r="NBZ209" s="2"/>
      <c r="NCA209" s="2"/>
      <c r="NCB209" s="2"/>
      <c r="NCC209" s="2"/>
      <c r="NCD209" s="2"/>
      <c r="NCE209" s="2"/>
      <c r="NCF209" s="2"/>
      <c r="NCG209" s="2"/>
      <c r="NCH209" s="2"/>
      <c r="NCI209" s="2"/>
      <c r="NCJ209" s="2"/>
      <c r="NCK209" s="2"/>
      <c r="NCL209" s="2"/>
      <c r="NCM209" s="2"/>
      <c r="NCN209" s="2"/>
      <c r="NCO209" s="2"/>
      <c r="NCP209" s="2"/>
      <c r="NCQ209" s="2"/>
      <c r="NCR209" s="2"/>
      <c r="NCS209" s="2"/>
      <c r="NCT209" s="2"/>
      <c r="NCU209" s="2"/>
      <c r="NCV209" s="2"/>
      <c r="NCW209" s="2"/>
      <c r="NCX209" s="2"/>
      <c r="NCY209" s="2"/>
      <c r="NCZ209" s="2"/>
      <c r="NDA209" s="2"/>
      <c r="NDB209" s="2"/>
      <c r="NDC209" s="2"/>
      <c r="NDD209" s="2"/>
      <c r="NDE209" s="2"/>
      <c r="NDF209" s="2"/>
      <c r="NDG209" s="2"/>
      <c r="NDH209" s="2"/>
      <c r="NDI209" s="2"/>
      <c r="NDJ209" s="2"/>
      <c r="NDK209" s="2"/>
      <c r="NDL209" s="2"/>
      <c r="NDM209" s="2"/>
      <c r="NDN209" s="2"/>
      <c r="NDO209" s="2"/>
      <c r="NDP209" s="2"/>
      <c r="NDQ209" s="2"/>
      <c r="NDR209" s="2"/>
      <c r="NDS209" s="2"/>
      <c r="NDT209" s="2"/>
      <c r="NDU209" s="2"/>
      <c r="NDV209" s="2"/>
      <c r="NDW209" s="2"/>
      <c r="NDX209" s="2"/>
      <c r="NDY209" s="2"/>
      <c r="NDZ209" s="2"/>
      <c r="NEA209" s="2"/>
      <c r="NEB209" s="2"/>
      <c r="NEC209" s="2"/>
      <c r="NED209" s="2"/>
      <c r="NEE209" s="2"/>
      <c r="NEF209" s="2"/>
      <c r="NEG209" s="2"/>
      <c r="NEH209" s="2"/>
      <c r="NEI209" s="2"/>
      <c r="NEJ209" s="2"/>
      <c r="NEK209" s="2"/>
      <c r="NEL209" s="2"/>
      <c r="NEM209" s="2"/>
      <c r="NEN209" s="2"/>
      <c r="NEO209" s="2"/>
      <c r="NEP209" s="2"/>
      <c r="NEQ209" s="2"/>
      <c r="NER209" s="2"/>
      <c r="NES209" s="2"/>
      <c r="NET209" s="2"/>
      <c r="NEU209" s="2"/>
      <c r="NEV209" s="2"/>
      <c r="NEW209" s="2"/>
      <c r="NEX209" s="2"/>
      <c r="NEY209" s="2"/>
      <c r="NEZ209" s="2"/>
      <c r="NFA209" s="2"/>
      <c r="NFB209" s="2"/>
      <c r="NFC209" s="2"/>
      <c r="NFD209" s="2"/>
      <c r="NFE209" s="2"/>
      <c r="NFF209" s="2"/>
      <c r="NFG209" s="2"/>
      <c r="NFH209" s="2"/>
      <c r="NFI209" s="2"/>
      <c r="NFJ209" s="2"/>
      <c r="NFK209" s="2"/>
      <c r="NFL209" s="2"/>
      <c r="NFM209" s="2"/>
      <c r="NFN209" s="2"/>
      <c r="NFO209" s="2"/>
      <c r="NFP209" s="2"/>
      <c r="NFQ209" s="2"/>
      <c r="NFR209" s="2"/>
      <c r="NFS209" s="2"/>
      <c r="NFT209" s="2"/>
      <c r="NFU209" s="2"/>
      <c r="NFV209" s="2"/>
      <c r="NFW209" s="2"/>
      <c r="NFX209" s="2"/>
      <c r="NFY209" s="2"/>
      <c r="NFZ209" s="2"/>
      <c r="NGA209" s="2"/>
      <c r="NGB209" s="2"/>
      <c r="NGC209" s="2"/>
      <c r="NGD209" s="2"/>
      <c r="NGE209" s="2"/>
      <c r="NGF209" s="2"/>
      <c r="NGG209" s="2"/>
      <c r="NGH209" s="2"/>
      <c r="NGI209" s="2"/>
      <c r="NGJ209" s="2"/>
      <c r="NGK209" s="2"/>
      <c r="NGL209" s="2"/>
      <c r="NGM209" s="2"/>
      <c r="NGN209" s="2"/>
      <c r="NGO209" s="2"/>
      <c r="NGP209" s="2"/>
      <c r="NGQ209" s="2"/>
      <c r="NGR209" s="2"/>
      <c r="NGS209" s="2"/>
      <c r="NGT209" s="2"/>
      <c r="NGU209" s="2"/>
      <c r="NGV209" s="2"/>
      <c r="NGW209" s="2"/>
      <c r="NGX209" s="2"/>
      <c r="NGY209" s="2"/>
      <c r="NGZ209" s="2"/>
      <c r="NHA209" s="2"/>
      <c r="NHB209" s="2"/>
      <c r="NHC209" s="2"/>
      <c r="NHD209" s="2"/>
      <c r="NHE209" s="2"/>
      <c r="NHF209" s="2"/>
      <c r="NHG209" s="2"/>
      <c r="NHH209" s="2"/>
      <c r="NHI209" s="2"/>
      <c r="NHJ209" s="2"/>
      <c r="NHK209" s="2"/>
      <c r="NHL209" s="2"/>
      <c r="NHM209" s="2"/>
      <c r="NHN209" s="2"/>
      <c r="NHO209" s="2"/>
      <c r="NHP209" s="2"/>
      <c r="NHQ209" s="2"/>
      <c r="NHR209" s="2"/>
      <c r="NHS209" s="2"/>
      <c r="NHT209" s="2"/>
      <c r="NHU209" s="2"/>
      <c r="NHV209" s="2"/>
      <c r="NHW209" s="2"/>
      <c r="NHX209" s="2"/>
      <c r="NHY209" s="2"/>
      <c r="NHZ209" s="2"/>
      <c r="NIA209" s="2"/>
      <c r="NIB209" s="2"/>
      <c r="NIC209" s="2"/>
      <c r="NID209" s="2"/>
      <c r="NIE209" s="2"/>
      <c r="NIF209" s="2"/>
      <c r="NIG209" s="2"/>
      <c r="NIH209" s="2"/>
      <c r="NII209" s="2"/>
      <c r="NIJ209" s="2"/>
      <c r="NIK209" s="2"/>
      <c r="NIL209" s="2"/>
      <c r="NIM209" s="2"/>
      <c r="NIN209" s="2"/>
      <c r="NIO209" s="2"/>
      <c r="NIP209" s="2"/>
      <c r="NIQ209" s="2"/>
      <c r="NIR209" s="2"/>
      <c r="NIS209" s="2"/>
      <c r="NIT209" s="2"/>
      <c r="NIU209" s="2"/>
      <c r="NIV209" s="2"/>
      <c r="NIW209" s="2"/>
      <c r="NIX209" s="2"/>
      <c r="NIY209" s="2"/>
      <c r="NIZ209" s="2"/>
      <c r="NJA209" s="2"/>
      <c r="NJB209" s="2"/>
      <c r="NJC209" s="2"/>
      <c r="NJD209" s="2"/>
      <c r="NJE209" s="2"/>
      <c r="NJF209" s="2"/>
      <c r="NJG209" s="2"/>
      <c r="NJH209" s="2"/>
      <c r="NJI209" s="2"/>
      <c r="NJJ209" s="2"/>
      <c r="NJK209" s="2"/>
      <c r="NJL209" s="2"/>
      <c r="NJM209" s="2"/>
      <c r="NJN209" s="2"/>
      <c r="NJO209" s="2"/>
      <c r="NJP209" s="2"/>
      <c r="NJQ209" s="2"/>
      <c r="NJR209" s="2"/>
      <c r="NJS209" s="2"/>
      <c r="NJT209" s="2"/>
      <c r="NJU209" s="2"/>
      <c r="NJV209" s="2"/>
      <c r="NJW209" s="2"/>
      <c r="NJX209" s="2"/>
      <c r="NJY209" s="2"/>
      <c r="NJZ209" s="2"/>
      <c r="NKA209" s="2"/>
      <c r="NKB209" s="2"/>
      <c r="NKC209" s="2"/>
      <c r="NKD209" s="2"/>
      <c r="NKE209" s="2"/>
      <c r="NKF209" s="2"/>
      <c r="NKG209" s="2"/>
      <c r="NKH209" s="2"/>
      <c r="NKI209" s="2"/>
      <c r="NKJ209" s="2"/>
      <c r="NKK209" s="2"/>
      <c r="NKL209" s="2"/>
      <c r="NKM209" s="2"/>
      <c r="NKN209" s="2"/>
      <c r="NKO209" s="2"/>
      <c r="NKP209" s="2"/>
      <c r="NKQ209" s="2"/>
      <c r="NKR209" s="2"/>
      <c r="NKS209" s="2"/>
      <c r="NKT209" s="2"/>
      <c r="NKU209" s="2"/>
      <c r="NKV209" s="2"/>
      <c r="NKW209" s="2"/>
      <c r="NKX209" s="2"/>
      <c r="NKY209" s="2"/>
      <c r="NKZ209" s="2"/>
      <c r="NLA209" s="2"/>
      <c r="NLB209" s="2"/>
      <c r="NLC209" s="2"/>
      <c r="NLD209" s="2"/>
      <c r="NLE209" s="2"/>
      <c r="NLF209" s="2"/>
      <c r="NLG209" s="2"/>
      <c r="NLH209" s="2"/>
      <c r="NLI209" s="2"/>
      <c r="NLJ209" s="2"/>
      <c r="NLK209" s="2"/>
      <c r="NLL209" s="2"/>
      <c r="NLM209" s="2"/>
      <c r="NLN209" s="2"/>
      <c r="NLO209" s="2"/>
      <c r="NLP209" s="2"/>
      <c r="NLQ209" s="2"/>
      <c r="NLR209" s="2"/>
      <c r="NLS209" s="2"/>
      <c r="NLT209" s="2"/>
      <c r="NLU209" s="2"/>
      <c r="NLV209" s="2"/>
      <c r="NLW209" s="2"/>
      <c r="NLX209" s="2"/>
      <c r="NLY209" s="2"/>
      <c r="NLZ209" s="2"/>
      <c r="NMA209" s="2"/>
      <c r="NMB209" s="2"/>
      <c r="NMC209" s="2"/>
      <c r="NMD209" s="2"/>
      <c r="NME209" s="2"/>
      <c r="NMF209" s="2"/>
      <c r="NMG209" s="2"/>
      <c r="NMH209" s="2"/>
      <c r="NMI209" s="2"/>
      <c r="NMJ209" s="2"/>
      <c r="NMK209" s="2"/>
      <c r="NML209" s="2"/>
      <c r="NMM209" s="2"/>
      <c r="NMN209" s="2"/>
      <c r="NMO209" s="2"/>
      <c r="NMP209" s="2"/>
      <c r="NMQ209" s="2"/>
      <c r="NMR209" s="2"/>
      <c r="NMS209" s="2"/>
      <c r="NMT209" s="2"/>
      <c r="NMU209" s="2"/>
      <c r="NMV209" s="2"/>
      <c r="NMW209" s="2"/>
      <c r="NMX209" s="2"/>
      <c r="NMY209" s="2"/>
      <c r="NMZ209" s="2"/>
      <c r="NNA209" s="2"/>
      <c r="NNB209" s="2"/>
      <c r="NNC209" s="2"/>
      <c r="NND209" s="2"/>
      <c r="NNE209" s="2"/>
      <c r="NNF209" s="2"/>
      <c r="NNG209" s="2"/>
      <c r="NNH209" s="2"/>
      <c r="NNI209" s="2"/>
      <c r="NNJ209" s="2"/>
      <c r="NNK209" s="2"/>
      <c r="NNL209" s="2"/>
      <c r="NNM209" s="2"/>
      <c r="NNN209" s="2"/>
      <c r="NNO209" s="2"/>
      <c r="NNP209" s="2"/>
      <c r="NNQ209" s="2"/>
      <c r="NNR209" s="2"/>
      <c r="NNS209" s="2"/>
      <c r="NNT209" s="2"/>
      <c r="NNU209" s="2"/>
      <c r="NNV209" s="2"/>
      <c r="NNW209" s="2"/>
      <c r="NNX209" s="2"/>
      <c r="NNY209" s="2"/>
      <c r="NNZ209" s="2"/>
      <c r="NOA209" s="2"/>
      <c r="NOB209" s="2"/>
      <c r="NOC209" s="2"/>
      <c r="NOD209" s="2"/>
      <c r="NOE209" s="2"/>
      <c r="NOF209" s="2"/>
      <c r="NOG209" s="2"/>
      <c r="NOH209" s="2"/>
      <c r="NOI209" s="2"/>
      <c r="NOJ209" s="2"/>
      <c r="NOK209" s="2"/>
      <c r="NOL209" s="2"/>
      <c r="NOM209" s="2"/>
      <c r="NON209" s="2"/>
      <c r="NOO209" s="2"/>
      <c r="NOP209" s="2"/>
      <c r="NOQ209" s="2"/>
      <c r="NOR209" s="2"/>
      <c r="NOS209" s="2"/>
      <c r="NOT209" s="2"/>
      <c r="NOU209" s="2"/>
      <c r="NOV209" s="2"/>
      <c r="NOW209" s="2"/>
      <c r="NOX209" s="2"/>
      <c r="NOY209" s="2"/>
      <c r="NOZ209" s="2"/>
      <c r="NPA209" s="2"/>
      <c r="NPB209" s="2"/>
      <c r="NPC209" s="2"/>
      <c r="NPD209" s="2"/>
      <c r="NPE209" s="2"/>
      <c r="NPF209" s="2"/>
      <c r="NPG209" s="2"/>
      <c r="NPH209" s="2"/>
      <c r="NPI209" s="2"/>
      <c r="NPJ209" s="2"/>
      <c r="NPK209" s="2"/>
      <c r="NPL209" s="2"/>
      <c r="NPM209" s="2"/>
      <c r="NPN209" s="2"/>
      <c r="NPO209" s="2"/>
      <c r="NPP209" s="2"/>
      <c r="NPQ209" s="2"/>
      <c r="NPR209" s="2"/>
      <c r="NPS209" s="2"/>
      <c r="NPT209" s="2"/>
      <c r="NPU209" s="2"/>
      <c r="NPV209" s="2"/>
      <c r="NPW209" s="2"/>
      <c r="NPX209" s="2"/>
      <c r="NPY209" s="2"/>
      <c r="NPZ209" s="2"/>
      <c r="NQA209" s="2"/>
      <c r="NQB209" s="2"/>
      <c r="NQC209" s="2"/>
      <c r="NQD209" s="2"/>
      <c r="NQE209" s="2"/>
      <c r="NQF209" s="2"/>
      <c r="NQG209" s="2"/>
      <c r="NQH209" s="2"/>
      <c r="NQI209" s="2"/>
      <c r="NQJ209" s="2"/>
      <c r="NQK209" s="2"/>
      <c r="NQL209" s="2"/>
      <c r="NQM209" s="2"/>
      <c r="NQN209" s="2"/>
      <c r="NQO209" s="2"/>
      <c r="NQP209" s="2"/>
      <c r="NQQ209" s="2"/>
      <c r="NQR209" s="2"/>
      <c r="NQS209" s="2"/>
      <c r="NQT209" s="2"/>
      <c r="NQU209" s="2"/>
      <c r="NQV209" s="2"/>
      <c r="NQW209" s="2"/>
      <c r="NQX209" s="2"/>
      <c r="NQY209" s="2"/>
      <c r="NQZ209" s="2"/>
      <c r="NRA209" s="2"/>
      <c r="NRB209" s="2"/>
      <c r="NRC209" s="2"/>
      <c r="NRD209" s="2"/>
      <c r="NRE209" s="2"/>
      <c r="NRF209" s="2"/>
      <c r="NRG209" s="2"/>
      <c r="NRH209" s="2"/>
      <c r="NRI209" s="2"/>
      <c r="NRJ209" s="2"/>
      <c r="NRK209" s="2"/>
      <c r="NRL209" s="2"/>
      <c r="NRM209" s="2"/>
      <c r="NRN209" s="2"/>
      <c r="NRO209" s="2"/>
      <c r="NRP209" s="2"/>
      <c r="NRQ209" s="2"/>
      <c r="NRR209" s="2"/>
      <c r="NRS209" s="2"/>
      <c r="NRT209" s="2"/>
      <c r="NRU209" s="2"/>
      <c r="NRV209" s="2"/>
      <c r="NRW209" s="2"/>
      <c r="NRX209" s="2"/>
      <c r="NRY209" s="2"/>
      <c r="NRZ209" s="2"/>
      <c r="NSA209" s="2"/>
      <c r="NSB209" s="2"/>
      <c r="NSC209" s="2"/>
      <c r="NSD209" s="2"/>
      <c r="NSE209" s="2"/>
      <c r="NSF209" s="2"/>
      <c r="NSG209" s="2"/>
      <c r="NSH209" s="2"/>
      <c r="NSI209" s="2"/>
      <c r="NSJ209" s="2"/>
      <c r="NSK209" s="2"/>
      <c r="NSL209" s="2"/>
      <c r="NSM209" s="2"/>
      <c r="NSN209" s="2"/>
      <c r="NSO209" s="2"/>
      <c r="NSP209" s="2"/>
      <c r="NSQ209" s="2"/>
      <c r="NSR209" s="2"/>
      <c r="NSS209" s="2"/>
      <c r="NST209" s="2"/>
      <c r="NSU209" s="2"/>
      <c r="NSV209" s="2"/>
      <c r="NSW209" s="2"/>
      <c r="NSX209" s="2"/>
      <c r="NSY209" s="2"/>
      <c r="NSZ209" s="2"/>
      <c r="NTA209" s="2"/>
      <c r="NTB209" s="2"/>
      <c r="NTC209" s="2"/>
      <c r="NTD209" s="2"/>
      <c r="NTE209" s="2"/>
      <c r="NTF209" s="2"/>
      <c r="NTG209" s="2"/>
      <c r="NTH209" s="2"/>
      <c r="NTI209" s="2"/>
      <c r="NTJ209" s="2"/>
      <c r="NTK209" s="2"/>
      <c r="NTL209" s="2"/>
      <c r="NTM209" s="2"/>
      <c r="NTN209" s="2"/>
      <c r="NTO209" s="2"/>
      <c r="NTP209" s="2"/>
      <c r="NTQ209" s="2"/>
      <c r="NTR209" s="2"/>
      <c r="NTS209" s="2"/>
      <c r="NTT209" s="2"/>
      <c r="NTU209" s="2"/>
      <c r="NTV209" s="2"/>
      <c r="NTW209" s="2"/>
      <c r="NTX209" s="2"/>
      <c r="NTY209" s="2"/>
      <c r="NTZ209" s="2"/>
      <c r="NUA209" s="2"/>
      <c r="NUB209" s="2"/>
      <c r="NUC209" s="2"/>
      <c r="NUD209" s="2"/>
      <c r="NUE209" s="2"/>
      <c r="NUF209" s="2"/>
      <c r="NUG209" s="2"/>
      <c r="NUH209" s="2"/>
      <c r="NUI209" s="2"/>
      <c r="NUJ209" s="2"/>
      <c r="NUK209" s="2"/>
      <c r="NUL209" s="2"/>
      <c r="NUM209" s="2"/>
      <c r="NUN209" s="2"/>
      <c r="NUO209" s="2"/>
      <c r="NUP209" s="2"/>
      <c r="NUQ209" s="2"/>
      <c r="NUR209" s="2"/>
      <c r="NUS209" s="2"/>
      <c r="NUT209" s="2"/>
      <c r="NUU209" s="2"/>
      <c r="NUV209" s="2"/>
      <c r="NUW209" s="2"/>
      <c r="NUX209" s="2"/>
      <c r="NUY209" s="2"/>
      <c r="NUZ209" s="2"/>
      <c r="NVA209" s="2"/>
      <c r="NVB209" s="2"/>
      <c r="NVC209" s="2"/>
      <c r="NVD209" s="2"/>
      <c r="NVE209" s="2"/>
      <c r="NVF209" s="2"/>
      <c r="NVG209" s="2"/>
      <c r="NVH209" s="2"/>
      <c r="NVI209" s="2"/>
      <c r="NVJ209" s="2"/>
      <c r="NVK209" s="2"/>
      <c r="NVL209" s="2"/>
      <c r="NVM209" s="2"/>
      <c r="NVN209" s="2"/>
      <c r="NVO209" s="2"/>
      <c r="NVP209" s="2"/>
      <c r="NVQ209" s="2"/>
      <c r="NVR209" s="2"/>
      <c r="NVS209" s="2"/>
      <c r="NVT209" s="2"/>
      <c r="NVU209" s="2"/>
      <c r="NVV209" s="2"/>
      <c r="NVW209" s="2"/>
      <c r="NVX209" s="2"/>
      <c r="NVY209" s="2"/>
      <c r="NVZ209" s="2"/>
      <c r="NWA209" s="2"/>
      <c r="NWB209" s="2"/>
      <c r="NWC209" s="2"/>
      <c r="NWD209" s="2"/>
      <c r="NWE209" s="2"/>
      <c r="NWF209" s="2"/>
      <c r="NWG209" s="2"/>
      <c r="NWH209" s="2"/>
      <c r="NWI209" s="2"/>
      <c r="NWJ209" s="2"/>
      <c r="NWK209" s="2"/>
      <c r="NWL209" s="2"/>
      <c r="NWM209" s="2"/>
      <c r="NWN209" s="2"/>
      <c r="NWO209" s="2"/>
      <c r="NWP209" s="2"/>
      <c r="NWQ209" s="2"/>
      <c r="NWR209" s="2"/>
      <c r="NWS209" s="2"/>
      <c r="NWT209" s="2"/>
      <c r="NWU209" s="2"/>
      <c r="NWV209" s="2"/>
      <c r="NWW209" s="2"/>
      <c r="NWX209" s="2"/>
      <c r="NWY209" s="2"/>
      <c r="NWZ209" s="2"/>
      <c r="NXA209" s="2"/>
      <c r="NXB209" s="2"/>
      <c r="NXC209" s="2"/>
      <c r="NXD209" s="2"/>
      <c r="NXE209" s="2"/>
      <c r="NXF209" s="2"/>
      <c r="NXG209" s="2"/>
      <c r="NXH209" s="2"/>
      <c r="NXI209" s="2"/>
      <c r="NXJ209" s="2"/>
      <c r="NXK209" s="2"/>
      <c r="NXL209" s="2"/>
      <c r="NXM209" s="2"/>
      <c r="NXN209" s="2"/>
      <c r="NXO209" s="2"/>
      <c r="NXP209" s="2"/>
      <c r="NXQ209" s="2"/>
      <c r="NXR209" s="2"/>
      <c r="NXS209" s="2"/>
      <c r="NXT209" s="2"/>
      <c r="NXU209" s="2"/>
      <c r="NXV209" s="2"/>
      <c r="NXW209" s="2"/>
      <c r="NXX209" s="2"/>
      <c r="NXY209" s="2"/>
      <c r="NXZ209" s="2"/>
      <c r="NYA209" s="2"/>
      <c r="NYB209" s="2"/>
      <c r="NYC209" s="2"/>
      <c r="NYD209" s="2"/>
      <c r="NYE209" s="2"/>
      <c r="NYF209" s="2"/>
      <c r="NYG209" s="2"/>
      <c r="NYH209" s="2"/>
      <c r="NYI209" s="2"/>
      <c r="NYJ209" s="2"/>
      <c r="NYK209" s="2"/>
      <c r="NYL209" s="2"/>
      <c r="NYM209" s="2"/>
      <c r="NYN209" s="2"/>
      <c r="NYO209" s="2"/>
      <c r="NYP209" s="2"/>
      <c r="NYQ209" s="2"/>
      <c r="NYR209" s="2"/>
      <c r="NYS209" s="2"/>
      <c r="NYT209" s="2"/>
      <c r="NYU209" s="2"/>
      <c r="NYV209" s="2"/>
      <c r="NYW209" s="2"/>
      <c r="NYX209" s="2"/>
      <c r="NYY209" s="2"/>
      <c r="NYZ209" s="2"/>
      <c r="NZA209" s="2"/>
      <c r="NZB209" s="2"/>
      <c r="NZC209" s="2"/>
      <c r="NZD209" s="2"/>
      <c r="NZE209" s="2"/>
      <c r="NZF209" s="2"/>
      <c r="NZG209" s="2"/>
      <c r="NZH209" s="2"/>
      <c r="NZI209" s="2"/>
      <c r="NZJ209" s="2"/>
      <c r="NZK209" s="2"/>
      <c r="NZL209" s="2"/>
      <c r="NZM209" s="2"/>
      <c r="NZN209" s="2"/>
      <c r="NZO209" s="2"/>
      <c r="NZP209" s="2"/>
      <c r="NZQ209" s="2"/>
      <c r="NZR209" s="2"/>
      <c r="NZS209" s="2"/>
      <c r="NZT209" s="2"/>
      <c r="NZU209" s="2"/>
      <c r="NZV209" s="2"/>
      <c r="NZW209" s="2"/>
      <c r="NZX209" s="2"/>
      <c r="NZY209" s="2"/>
      <c r="NZZ209" s="2"/>
      <c r="OAA209" s="2"/>
      <c r="OAB209" s="2"/>
      <c r="OAC209" s="2"/>
      <c r="OAD209" s="2"/>
      <c r="OAE209" s="2"/>
      <c r="OAF209" s="2"/>
      <c r="OAG209" s="2"/>
      <c r="OAH209" s="2"/>
      <c r="OAI209" s="2"/>
      <c r="OAJ209" s="2"/>
      <c r="OAK209" s="2"/>
      <c r="OAL209" s="2"/>
      <c r="OAM209" s="2"/>
      <c r="OAN209" s="2"/>
      <c r="OAO209" s="2"/>
      <c r="OAP209" s="2"/>
      <c r="OAQ209" s="2"/>
      <c r="OAR209" s="2"/>
      <c r="OAS209" s="2"/>
      <c r="OAT209" s="2"/>
      <c r="OAU209" s="2"/>
      <c r="OAV209" s="2"/>
      <c r="OAW209" s="2"/>
      <c r="OAX209" s="2"/>
      <c r="OAY209" s="2"/>
      <c r="OAZ209" s="2"/>
      <c r="OBA209" s="2"/>
      <c r="OBB209" s="2"/>
      <c r="OBC209" s="2"/>
      <c r="OBD209" s="2"/>
      <c r="OBE209" s="2"/>
      <c r="OBF209" s="2"/>
      <c r="OBG209" s="2"/>
      <c r="OBH209" s="2"/>
      <c r="OBI209" s="2"/>
      <c r="OBJ209" s="2"/>
      <c r="OBK209" s="2"/>
      <c r="OBL209" s="2"/>
      <c r="OBM209" s="2"/>
      <c r="OBN209" s="2"/>
      <c r="OBO209" s="2"/>
      <c r="OBP209" s="2"/>
      <c r="OBQ209" s="2"/>
      <c r="OBR209" s="2"/>
      <c r="OBS209" s="2"/>
      <c r="OBT209" s="2"/>
      <c r="OBU209" s="2"/>
      <c r="OBV209" s="2"/>
      <c r="OBW209" s="2"/>
      <c r="OBX209" s="2"/>
      <c r="OBY209" s="2"/>
      <c r="OBZ209" s="2"/>
      <c r="OCA209" s="2"/>
      <c r="OCB209" s="2"/>
      <c r="OCC209" s="2"/>
      <c r="OCD209" s="2"/>
      <c r="OCE209" s="2"/>
      <c r="OCF209" s="2"/>
      <c r="OCG209" s="2"/>
      <c r="OCH209" s="2"/>
      <c r="OCI209" s="2"/>
      <c r="OCJ209" s="2"/>
      <c r="OCK209" s="2"/>
      <c r="OCL209" s="2"/>
      <c r="OCM209" s="2"/>
      <c r="OCN209" s="2"/>
      <c r="OCO209" s="2"/>
      <c r="OCP209" s="2"/>
      <c r="OCQ209" s="2"/>
      <c r="OCR209" s="2"/>
      <c r="OCS209" s="2"/>
      <c r="OCT209" s="2"/>
      <c r="OCU209" s="2"/>
      <c r="OCV209" s="2"/>
      <c r="OCW209" s="2"/>
      <c r="OCX209" s="2"/>
      <c r="OCY209" s="2"/>
      <c r="OCZ209" s="2"/>
      <c r="ODA209" s="2"/>
      <c r="ODB209" s="2"/>
      <c r="ODC209" s="2"/>
      <c r="ODD209" s="2"/>
      <c r="ODE209" s="2"/>
      <c r="ODF209" s="2"/>
      <c r="ODG209" s="2"/>
      <c r="ODH209" s="2"/>
      <c r="ODI209" s="2"/>
      <c r="ODJ209" s="2"/>
      <c r="ODK209" s="2"/>
      <c r="ODL209" s="2"/>
      <c r="ODM209" s="2"/>
      <c r="ODN209" s="2"/>
      <c r="ODO209" s="2"/>
      <c r="ODP209" s="2"/>
      <c r="ODQ209" s="2"/>
      <c r="ODR209" s="2"/>
      <c r="ODS209" s="2"/>
      <c r="ODT209" s="2"/>
      <c r="ODU209" s="2"/>
      <c r="ODV209" s="2"/>
      <c r="ODW209" s="2"/>
      <c r="ODX209" s="2"/>
      <c r="ODY209" s="2"/>
      <c r="ODZ209" s="2"/>
      <c r="OEA209" s="2"/>
      <c r="OEB209" s="2"/>
      <c r="OEC209" s="2"/>
      <c r="OED209" s="2"/>
      <c r="OEE209" s="2"/>
      <c r="OEF209" s="2"/>
      <c r="OEG209" s="2"/>
      <c r="OEH209" s="2"/>
      <c r="OEI209" s="2"/>
      <c r="OEJ209" s="2"/>
      <c r="OEK209" s="2"/>
      <c r="OEL209" s="2"/>
      <c r="OEM209" s="2"/>
      <c r="OEN209" s="2"/>
      <c r="OEO209" s="2"/>
      <c r="OEP209" s="2"/>
      <c r="OEQ209" s="2"/>
      <c r="OER209" s="2"/>
      <c r="OES209" s="2"/>
      <c r="OET209" s="2"/>
      <c r="OEU209" s="2"/>
      <c r="OEV209" s="2"/>
      <c r="OEW209" s="2"/>
      <c r="OEX209" s="2"/>
      <c r="OEY209" s="2"/>
      <c r="OEZ209" s="2"/>
      <c r="OFA209" s="2"/>
      <c r="OFB209" s="2"/>
      <c r="OFC209" s="2"/>
      <c r="OFD209" s="2"/>
      <c r="OFE209" s="2"/>
      <c r="OFF209" s="2"/>
      <c r="OFG209" s="2"/>
      <c r="OFH209" s="2"/>
      <c r="OFI209" s="2"/>
      <c r="OFJ209" s="2"/>
      <c r="OFK209" s="2"/>
      <c r="OFL209" s="2"/>
      <c r="OFM209" s="2"/>
      <c r="OFN209" s="2"/>
      <c r="OFO209" s="2"/>
      <c r="OFP209" s="2"/>
      <c r="OFQ209" s="2"/>
      <c r="OFR209" s="2"/>
      <c r="OFS209" s="2"/>
      <c r="OFT209" s="2"/>
      <c r="OFU209" s="2"/>
      <c r="OFV209" s="2"/>
      <c r="OFW209" s="2"/>
      <c r="OFX209" s="2"/>
      <c r="OFY209" s="2"/>
      <c r="OFZ209" s="2"/>
      <c r="OGA209" s="2"/>
      <c r="OGB209" s="2"/>
      <c r="OGC209" s="2"/>
      <c r="OGD209" s="2"/>
      <c r="OGE209" s="2"/>
      <c r="OGF209" s="2"/>
      <c r="OGG209" s="2"/>
      <c r="OGH209" s="2"/>
      <c r="OGI209" s="2"/>
      <c r="OGJ209" s="2"/>
      <c r="OGK209" s="2"/>
      <c r="OGL209" s="2"/>
      <c r="OGM209" s="2"/>
      <c r="OGN209" s="2"/>
      <c r="OGO209" s="2"/>
      <c r="OGP209" s="2"/>
      <c r="OGQ209" s="2"/>
      <c r="OGR209" s="2"/>
      <c r="OGS209" s="2"/>
      <c r="OGT209" s="2"/>
      <c r="OGU209" s="2"/>
      <c r="OGV209" s="2"/>
      <c r="OGW209" s="2"/>
      <c r="OGX209" s="2"/>
      <c r="OGY209" s="2"/>
      <c r="OGZ209" s="2"/>
      <c r="OHA209" s="2"/>
      <c r="OHB209" s="2"/>
      <c r="OHC209" s="2"/>
      <c r="OHD209" s="2"/>
      <c r="OHE209" s="2"/>
      <c r="OHF209" s="2"/>
      <c r="OHG209" s="2"/>
      <c r="OHH209" s="2"/>
      <c r="OHI209" s="2"/>
      <c r="OHJ209" s="2"/>
      <c r="OHK209" s="2"/>
      <c r="OHL209" s="2"/>
      <c r="OHM209" s="2"/>
      <c r="OHN209" s="2"/>
      <c r="OHO209" s="2"/>
      <c r="OHP209" s="2"/>
      <c r="OHQ209" s="2"/>
      <c r="OHR209" s="2"/>
      <c r="OHS209" s="2"/>
      <c r="OHT209" s="2"/>
      <c r="OHU209" s="2"/>
      <c r="OHV209" s="2"/>
      <c r="OHW209" s="2"/>
      <c r="OHX209" s="2"/>
      <c r="OHY209" s="2"/>
      <c r="OHZ209" s="2"/>
      <c r="OIA209" s="2"/>
      <c r="OIB209" s="2"/>
      <c r="OIC209" s="2"/>
      <c r="OID209" s="2"/>
      <c r="OIE209" s="2"/>
      <c r="OIF209" s="2"/>
      <c r="OIG209" s="2"/>
      <c r="OIH209" s="2"/>
      <c r="OII209" s="2"/>
      <c r="OIJ209" s="2"/>
      <c r="OIK209" s="2"/>
      <c r="OIL209" s="2"/>
      <c r="OIM209" s="2"/>
      <c r="OIN209" s="2"/>
      <c r="OIO209" s="2"/>
      <c r="OIP209" s="2"/>
      <c r="OIQ209" s="2"/>
      <c r="OIR209" s="2"/>
      <c r="OIS209" s="2"/>
      <c r="OIT209" s="2"/>
      <c r="OIU209" s="2"/>
      <c r="OIV209" s="2"/>
      <c r="OIW209" s="2"/>
      <c r="OIX209" s="2"/>
      <c r="OIY209" s="2"/>
      <c r="OIZ209" s="2"/>
      <c r="OJA209" s="2"/>
      <c r="OJB209" s="2"/>
      <c r="OJC209" s="2"/>
      <c r="OJD209" s="2"/>
      <c r="OJE209" s="2"/>
      <c r="OJF209" s="2"/>
      <c r="OJG209" s="2"/>
      <c r="OJH209" s="2"/>
      <c r="OJI209" s="2"/>
      <c r="OJJ209" s="2"/>
      <c r="OJK209" s="2"/>
      <c r="OJL209" s="2"/>
      <c r="OJM209" s="2"/>
      <c r="OJN209" s="2"/>
      <c r="OJO209" s="2"/>
      <c r="OJP209" s="2"/>
      <c r="OJQ209" s="2"/>
      <c r="OJR209" s="2"/>
      <c r="OJS209" s="2"/>
      <c r="OJT209" s="2"/>
      <c r="OJU209" s="2"/>
      <c r="OJV209" s="2"/>
      <c r="OJW209" s="2"/>
      <c r="OJX209" s="2"/>
      <c r="OJY209" s="2"/>
      <c r="OJZ209" s="2"/>
      <c r="OKA209" s="2"/>
      <c r="OKB209" s="2"/>
      <c r="OKC209" s="2"/>
      <c r="OKD209" s="2"/>
      <c r="OKE209" s="2"/>
      <c r="OKF209" s="2"/>
      <c r="OKG209" s="2"/>
      <c r="OKH209" s="2"/>
      <c r="OKI209" s="2"/>
      <c r="OKJ209" s="2"/>
      <c r="OKK209" s="2"/>
      <c r="OKL209" s="2"/>
      <c r="OKM209" s="2"/>
      <c r="OKN209" s="2"/>
      <c r="OKO209" s="2"/>
      <c r="OKP209" s="2"/>
      <c r="OKQ209" s="2"/>
      <c r="OKR209" s="2"/>
      <c r="OKS209" s="2"/>
      <c r="OKT209" s="2"/>
      <c r="OKU209" s="2"/>
      <c r="OKV209" s="2"/>
      <c r="OKW209" s="2"/>
      <c r="OKX209" s="2"/>
      <c r="OKY209" s="2"/>
      <c r="OKZ209" s="2"/>
      <c r="OLA209" s="2"/>
      <c r="OLB209" s="2"/>
      <c r="OLC209" s="2"/>
      <c r="OLD209" s="2"/>
      <c r="OLE209" s="2"/>
      <c r="OLF209" s="2"/>
      <c r="OLG209" s="2"/>
      <c r="OLH209" s="2"/>
      <c r="OLI209" s="2"/>
      <c r="OLJ209" s="2"/>
      <c r="OLK209" s="2"/>
      <c r="OLL209" s="2"/>
      <c r="OLM209" s="2"/>
      <c r="OLN209" s="2"/>
      <c r="OLO209" s="2"/>
      <c r="OLP209" s="2"/>
      <c r="OLQ209" s="2"/>
      <c r="OLR209" s="2"/>
      <c r="OLS209" s="2"/>
      <c r="OLT209" s="2"/>
      <c r="OLU209" s="2"/>
      <c r="OLV209" s="2"/>
      <c r="OLW209" s="2"/>
      <c r="OLX209" s="2"/>
      <c r="OLY209" s="2"/>
      <c r="OLZ209" s="2"/>
      <c r="OMA209" s="2"/>
      <c r="OMB209" s="2"/>
      <c r="OMC209" s="2"/>
      <c r="OMD209" s="2"/>
      <c r="OME209" s="2"/>
      <c r="OMF209" s="2"/>
      <c r="OMG209" s="2"/>
      <c r="OMH209" s="2"/>
      <c r="OMI209" s="2"/>
      <c r="OMJ209" s="2"/>
      <c r="OMK209" s="2"/>
      <c r="OML209" s="2"/>
      <c r="OMM209" s="2"/>
      <c r="OMN209" s="2"/>
      <c r="OMO209" s="2"/>
      <c r="OMP209" s="2"/>
      <c r="OMQ209" s="2"/>
      <c r="OMR209" s="2"/>
      <c r="OMS209" s="2"/>
      <c r="OMT209" s="2"/>
      <c r="OMU209" s="2"/>
      <c r="OMV209" s="2"/>
      <c r="OMW209" s="2"/>
      <c r="OMX209" s="2"/>
      <c r="OMY209" s="2"/>
      <c r="OMZ209" s="2"/>
      <c r="ONA209" s="2"/>
      <c r="ONB209" s="2"/>
      <c r="ONC209" s="2"/>
      <c r="OND209" s="2"/>
      <c r="ONE209" s="2"/>
      <c r="ONF209" s="2"/>
      <c r="ONG209" s="2"/>
      <c r="ONH209" s="2"/>
      <c r="ONI209" s="2"/>
      <c r="ONJ209" s="2"/>
      <c r="ONK209" s="2"/>
      <c r="ONL209" s="2"/>
      <c r="ONM209" s="2"/>
      <c r="ONN209" s="2"/>
      <c r="ONO209" s="2"/>
      <c r="ONP209" s="2"/>
      <c r="ONQ209" s="2"/>
      <c r="ONR209" s="2"/>
      <c r="ONS209" s="2"/>
      <c r="ONT209" s="2"/>
      <c r="ONU209" s="2"/>
      <c r="ONV209" s="2"/>
      <c r="ONW209" s="2"/>
      <c r="ONX209" s="2"/>
      <c r="ONY209" s="2"/>
      <c r="ONZ209" s="2"/>
      <c r="OOA209" s="2"/>
      <c r="OOB209" s="2"/>
      <c r="OOC209" s="2"/>
      <c r="OOD209" s="2"/>
      <c r="OOE209" s="2"/>
      <c r="OOF209" s="2"/>
      <c r="OOG209" s="2"/>
      <c r="OOH209" s="2"/>
      <c r="OOI209" s="2"/>
      <c r="OOJ209" s="2"/>
      <c r="OOK209" s="2"/>
      <c r="OOL209" s="2"/>
      <c r="OOM209" s="2"/>
      <c r="OON209" s="2"/>
      <c r="OOO209" s="2"/>
      <c r="OOP209" s="2"/>
      <c r="OOQ209" s="2"/>
      <c r="OOR209" s="2"/>
      <c r="OOS209" s="2"/>
      <c r="OOT209" s="2"/>
      <c r="OOU209" s="2"/>
      <c r="OOV209" s="2"/>
      <c r="OOW209" s="2"/>
      <c r="OOX209" s="2"/>
      <c r="OOY209" s="2"/>
      <c r="OOZ209" s="2"/>
      <c r="OPA209" s="2"/>
      <c r="OPB209" s="2"/>
      <c r="OPC209" s="2"/>
      <c r="OPD209" s="2"/>
      <c r="OPE209" s="2"/>
      <c r="OPF209" s="2"/>
      <c r="OPG209" s="2"/>
      <c r="OPH209" s="2"/>
      <c r="OPI209" s="2"/>
      <c r="OPJ209" s="2"/>
      <c r="OPK209" s="2"/>
      <c r="OPL209" s="2"/>
      <c r="OPM209" s="2"/>
      <c r="OPN209" s="2"/>
      <c r="OPO209" s="2"/>
      <c r="OPP209" s="2"/>
      <c r="OPQ209" s="2"/>
      <c r="OPR209" s="2"/>
      <c r="OPS209" s="2"/>
      <c r="OPT209" s="2"/>
      <c r="OPU209" s="2"/>
      <c r="OPV209" s="2"/>
      <c r="OPW209" s="2"/>
      <c r="OPX209" s="2"/>
      <c r="OPY209" s="2"/>
      <c r="OPZ209" s="2"/>
      <c r="OQA209" s="2"/>
      <c r="OQB209" s="2"/>
      <c r="OQC209" s="2"/>
      <c r="OQD209" s="2"/>
      <c r="OQE209" s="2"/>
      <c r="OQF209" s="2"/>
      <c r="OQG209" s="2"/>
      <c r="OQH209" s="2"/>
      <c r="OQI209" s="2"/>
      <c r="OQJ209" s="2"/>
      <c r="OQK209" s="2"/>
      <c r="OQL209" s="2"/>
      <c r="OQM209" s="2"/>
      <c r="OQN209" s="2"/>
      <c r="OQO209" s="2"/>
      <c r="OQP209" s="2"/>
      <c r="OQQ209" s="2"/>
      <c r="OQR209" s="2"/>
      <c r="OQS209" s="2"/>
      <c r="OQT209" s="2"/>
      <c r="OQU209" s="2"/>
      <c r="OQV209" s="2"/>
      <c r="OQW209" s="2"/>
      <c r="OQX209" s="2"/>
      <c r="OQY209" s="2"/>
      <c r="OQZ209" s="2"/>
      <c r="ORA209" s="2"/>
      <c r="ORB209" s="2"/>
      <c r="ORC209" s="2"/>
      <c r="ORD209" s="2"/>
      <c r="ORE209" s="2"/>
      <c r="ORF209" s="2"/>
      <c r="ORG209" s="2"/>
      <c r="ORH209" s="2"/>
      <c r="ORI209" s="2"/>
      <c r="ORJ209" s="2"/>
      <c r="ORK209" s="2"/>
      <c r="ORL209" s="2"/>
      <c r="ORM209" s="2"/>
      <c r="ORN209" s="2"/>
      <c r="ORO209" s="2"/>
      <c r="ORP209" s="2"/>
      <c r="ORQ209" s="2"/>
      <c r="ORR209" s="2"/>
      <c r="ORS209" s="2"/>
      <c r="ORT209" s="2"/>
      <c r="ORU209" s="2"/>
      <c r="ORV209" s="2"/>
      <c r="ORW209" s="2"/>
      <c r="ORX209" s="2"/>
      <c r="ORY209" s="2"/>
      <c r="ORZ209" s="2"/>
      <c r="OSA209" s="2"/>
      <c r="OSB209" s="2"/>
      <c r="OSC209" s="2"/>
      <c r="OSD209" s="2"/>
      <c r="OSE209" s="2"/>
      <c r="OSF209" s="2"/>
      <c r="OSG209" s="2"/>
      <c r="OSH209" s="2"/>
      <c r="OSI209" s="2"/>
      <c r="OSJ209" s="2"/>
      <c r="OSK209" s="2"/>
      <c r="OSL209" s="2"/>
      <c r="OSM209" s="2"/>
      <c r="OSN209" s="2"/>
      <c r="OSO209" s="2"/>
      <c r="OSP209" s="2"/>
      <c r="OSQ209" s="2"/>
      <c r="OSR209" s="2"/>
      <c r="OSS209" s="2"/>
      <c r="OST209" s="2"/>
      <c r="OSU209" s="2"/>
      <c r="OSV209" s="2"/>
      <c r="OSW209" s="2"/>
      <c r="OSX209" s="2"/>
      <c r="OSY209" s="2"/>
      <c r="OSZ209" s="2"/>
      <c r="OTA209" s="2"/>
      <c r="OTB209" s="2"/>
      <c r="OTC209" s="2"/>
      <c r="OTD209" s="2"/>
      <c r="OTE209" s="2"/>
      <c r="OTF209" s="2"/>
      <c r="OTG209" s="2"/>
      <c r="OTH209" s="2"/>
      <c r="OTI209" s="2"/>
      <c r="OTJ209" s="2"/>
      <c r="OTK209" s="2"/>
      <c r="OTL209" s="2"/>
      <c r="OTM209" s="2"/>
      <c r="OTN209" s="2"/>
      <c r="OTO209" s="2"/>
      <c r="OTP209" s="2"/>
      <c r="OTQ209" s="2"/>
      <c r="OTR209" s="2"/>
      <c r="OTS209" s="2"/>
      <c r="OTT209" s="2"/>
      <c r="OTU209" s="2"/>
      <c r="OTV209" s="2"/>
      <c r="OTW209" s="2"/>
      <c r="OTX209" s="2"/>
      <c r="OTY209" s="2"/>
      <c r="OTZ209" s="2"/>
      <c r="OUA209" s="2"/>
      <c r="OUB209" s="2"/>
      <c r="OUC209" s="2"/>
      <c r="OUD209" s="2"/>
      <c r="OUE209" s="2"/>
      <c r="OUF209" s="2"/>
      <c r="OUG209" s="2"/>
      <c r="OUH209" s="2"/>
      <c r="OUI209" s="2"/>
      <c r="OUJ209" s="2"/>
      <c r="OUK209" s="2"/>
      <c r="OUL209" s="2"/>
      <c r="OUM209" s="2"/>
      <c r="OUN209" s="2"/>
      <c r="OUO209" s="2"/>
      <c r="OUP209" s="2"/>
      <c r="OUQ209" s="2"/>
      <c r="OUR209" s="2"/>
      <c r="OUS209" s="2"/>
      <c r="OUT209" s="2"/>
      <c r="OUU209" s="2"/>
      <c r="OUV209" s="2"/>
      <c r="OUW209" s="2"/>
      <c r="OUX209" s="2"/>
      <c r="OUY209" s="2"/>
      <c r="OUZ209" s="2"/>
      <c r="OVA209" s="2"/>
      <c r="OVB209" s="2"/>
      <c r="OVC209" s="2"/>
      <c r="OVD209" s="2"/>
      <c r="OVE209" s="2"/>
      <c r="OVF209" s="2"/>
      <c r="OVG209" s="2"/>
      <c r="OVH209" s="2"/>
      <c r="OVI209" s="2"/>
      <c r="OVJ209" s="2"/>
      <c r="OVK209" s="2"/>
      <c r="OVL209" s="2"/>
      <c r="OVM209" s="2"/>
      <c r="OVN209" s="2"/>
      <c r="OVO209" s="2"/>
      <c r="OVP209" s="2"/>
      <c r="OVQ209" s="2"/>
      <c r="OVR209" s="2"/>
      <c r="OVS209" s="2"/>
      <c r="OVT209" s="2"/>
      <c r="OVU209" s="2"/>
      <c r="OVV209" s="2"/>
      <c r="OVW209" s="2"/>
      <c r="OVX209" s="2"/>
      <c r="OVY209" s="2"/>
      <c r="OVZ209" s="2"/>
      <c r="OWA209" s="2"/>
      <c r="OWB209" s="2"/>
      <c r="OWC209" s="2"/>
      <c r="OWD209" s="2"/>
      <c r="OWE209" s="2"/>
      <c r="OWF209" s="2"/>
      <c r="OWG209" s="2"/>
      <c r="OWH209" s="2"/>
      <c r="OWI209" s="2"/>
      <c r="OWJ209" s="2"/>
      <c r="OWK209" s="2"/>
      <c r="OWL209" s="2"/>
      <c r="OWM209" s="2"/>
      <c r="OWN209" s="2"/>
      <c r="OWO209" s="2"/>
      <c r="OWP209" s="2"/>
      <c r="OWQ209" s="2"/>
      <c r="OWR209" s="2"/>
      <c r="OWS209" s="2"/>
      <c r="OWT209" s="2"/>
      <c r="OWU209" s="2"/>
      <c r="OWV209" s="2"/>
      <c r="OWW209" s="2"/>
      <c r="OWX209" s="2"/>
      <c r="OWY209" s="2"/>
      <c r="OWZ209" s="2"/>
      <c r="OXA209" s="2"/>
      <c r="OXB209" s="2"/>
      <c r="OXC209" s="2"/>
      <c r="OXD209" s="2"/>
      <c r="OXE209" s="2"/>
      <c r="OXF209" s="2"/>
      <c r="OXG209" s="2"/>
      <c r="OXH209" s="2"/>
      <c r="OXI209" s="2"/>
      <c r="OXJ209" s="2"/>
      <c r="OXK209" s="2"/>
      <c r="OXL209" s="2"/>
      <c r="OXM209" s="2"/>
      <c r="OXN209" s="2"/>
      <c r="OXO209" s="2"/>
      <c r="OXP209" s="2"/>
      <c r="OXQ209" s="2"/>
      <c r="OXR209" s="2"/>
      <c r="OXS209" s="2"/>
      <c r="OXT209" s="2"/>
      <c r="OXU209" s="2"/>
      <c r="OXV209" s="2"/>
      <c r="OXW209" s="2"/>
      <c r="OXX209" s="2"/>
      <c r="OXY209" s="2"/>
      <c r="OXZ209" s="2"/>
      <c r="OYA209" s="2"/>
      <c r="OYB209" s="2"/>
      <c r="OYC209" s="2"/>
      <c r="OYD209" s="2"/>
      <c r="OYE209" s="2"/>
      <c r="OYF209" s="2"/>
      <c r="OYG209" s="2"/>
      <c r="OYH209" s="2"/>
      <c r="OYI209" s="2"/>
      <c r="OYJ209" s="2"/>
      <c r="OYK209" s="2"/>
      <c r="OYL209" s="2"/>
      <c r="OYM209" s="2"/>
      <c r="OYN209" s="2"/>
      <c r="OYO209" s="2"/>
      <c r="OYP209" s="2"/>
      <c r="OYQ209" s="2"/>
      <c r="OYR209" s="2"/>
      <c r="OYS209" s="2"/>
      <c r="OYT209" s="2"/>
      <c r="OYU209" s="2"/>
      <c r="OYV209" s="2"/>
      <c r="OYW209" s="2"/>
      <c r="OYX209" s="2"/>
      <c r="OYY209" s="2"/>
      <c r="OYZ209" s="2"/>
      <c r="OZA209" s="2"/>
      <c r="OZB209" s="2"/>
      <c r="OZC209" s="2"/>
      <c r="OZD209" s="2"/>
      <c r="OZE209" s="2"/>
      <c r="OZF209" s="2"/>
      <c r="OZG209" s="2"/>
      <c r="OZH209" s="2"/>
      <c r="OZI209" s="2"/>
      <c r="OZJ209" s="2"/>
      <c r="OZK209" s="2"/>
      <c r="OZL209" s="2"/>
      <c r="OZM209" s="2"/>
      <c r="OZN209" s="2"/>
      <c r="OZO209" s="2"/>
      <c r="OZP209" s="2"/>
      <c r="OZQ209" s="2"/>
      <c r="OZR209" s="2"/>
      <c r="OZS209" s="2"/>
      <c r="OZT209" s="2"/>
      <c r="OZU209" s="2"/>
      <c r="OZV209" s="2"/>
      <c r="OZW209" s="2"/>
      <c r="OZX209" s="2"/>
      <c r="OZY209" s="2"/>
      <c r="OZZ209" s="2"/>
      <c r="PAA209" s="2"/>
      <c r="PAB209" s="2"/>
      <c r="PAC209" s="2"/>
      <c r="PAD209" s="2"/>
      <c r="PAE209" s="2"/>
      <c r="PAF209" s="2"/>
      <c r="PAG209" s="2"/>
      <c r="PAH209" s="2"/>
      <c r="PAI209" s="2"/>
      <c r="PAJ209" s="2"/>
      <c r="PAK209" s="2"/>
      <c r="PAL209" s="2"/>
      <c r="PAM209" s="2"/>
      <c r="PAN209" s="2"/>
      <c r="PAO209" s="2"/>
      <c r="PAP209" s="2"/>
      <c r="PAQ209" s="2"/>
      <c r="PAR209" s="2"/>
      <c r="PAS209" s="2"/>
      <c r="PAT209" s="2"/>
      <c r="PAU209" s="2"/>
      <c r="PAV209" s="2"/>
      <c r="PAW209" s="2"/>
      <c r="PAX209" s="2"/>
      <c r="PAY209" s="2"/>
      <c r="PAZ209" s="2"/>
      <c r="PBA209" s="2"/>
      <c r="PBB209" s="2"/>
      <c r="PBC209" s="2"/>
      <c r="PBD209" s="2"/>
      <c r="PBE209" s="2"/>
      <c r="PBF209" s="2"/>
      <c r="PBG209" s="2"/>
      <c r="PBH209" s="2"/>
      <c r="PBI209" s="2"/>
      <c r="PBJ209" s="2"/>
      <c r="PBK209" s="2"/>
      <c r="PBL209" s="2"/>
      <c r="PBM209" s="2"/>
      <c r="PBN209" s="2"/>
      <c r="PBO209" s="2"/>
      <c r="PBP209" s="2"/>
      <c r="PBQ209" s="2"/>
      <c r="PBR209" s="2"/>
      <c r="PBS209" s="2"/>
      <c r="PBT209" s="2"/>
      <c r="PBU209" s="2"/>
      <c r="PBV209" s="2"/>
      <c r="PBW209" s="2"/>
      <c r="PBX209" s="2"/>
      <c r="PBY209" s="2"/>
      <c r="PBZ209" s="2"/>
      <c r="PCA209" s="2"/>
      <c r="PCB209" s="2"/>
      <c r="PCC209" s="2"/>
      <c r="PCD209" s="2"/>
      <c r="PCE209" s="2"/>
      <c r="PCF209" s="2"/>
      <c r="PCG209" s="2"/>
      <c r="PCH209" s="2"/>
      <c r="PCI209" s="2"/>
      <c r="PCJ209" s="2"/>
      <c r="PCK209" s="2"/>
      <c r="PCL209" s="2"/>
      <c r="PCM209" s="2"/>
      <c r="PCN209" s="2"/>
      <c r="PCO209" s="2"/>
      <c r="PCP209" s="2"/>
      <c r="PCQ209" s="2"/>
      <c r="PCR209" s="2"/>
      <c r="PCS209" s="2"/>
      <c r="PCT209" s="2"/>
      <c r="PCU209" s="2"/>
      <c r="PCV209" s="2"/>
      <c r="PCW209" s="2"/>
      <c r="PCX209" s="2"/>
      <c r="PCY209" s="2"/>
      <c r="PCZ209" s="2"/>
      <c r="PDA209" s="2"/>
      <c r="PDB209" s="2"/>
      <c r="PDC209" s="2"/>
      <c r="PDD209" s="2"/>
      <c r="PDE209" s="2"/>
      <c r="PDF209" s="2"/>
      <c r="PDG209" s="2"/>
      <c r="PDH209" s="2"/>
      <c r="PDI209" s="2"/>
      <c r="PDJ209" s="2"/>
      <c r="PDK209" s="2"/>
      <c r="PDL209" s="2"/>
      <c r="PDM209" s="2"/>
      <c r="PDN209" s="2"/>
      <c r="PDO209" s="2"/>
      <c r="PDP209" s="2"/>
      <c r="PDQ209" s="2"/>
      <c r="PDR209" s="2"/>
      <c r="PDS209" s="2"/>
      <c r="PDT209" s="2"/>
      <c r="PDU209" s="2"/>
      <c r="PDV209" s="2"/>
      <c r="PDW209" s="2"/>
      <c r="PDX209" s="2"/>
      <c r="PDY209" s="2"/>
      <c r="PDZ209" s="2"/>
      <c r="PEA209" s="2"/>
      <c r="PEB209" s="2"/>
      <c r="PEC209" s="2"/>
      <c r="PED209" s="2"/>
      <c r="PEE209" s="2"/>
      <c r="PEF209" s="2"/>
      <c r="PEG209" s="2"/>
      <c r="PEH209" s="2"/>
      <c r="PEI209" s="2"/>
      <c r="PEJ209" s="2"/>
      <c r="PEK209" s="2"/>
      <c r="PEL209" s="2"/>
      <c r="PEM209" s="2"/>
      <c r="PEN209" s="2"/>
      <c r="PEO209" s="2"/>
      <c r="PEP209" s="2"/>
      <c r="PEQ209" s="2"/>
      <c r="PER209" s="2"/>
      <c r="PES209" s="2"/>
      <c r="PET209" s="2"/>
      <c r="PEU209" s="2"/>
      <c r="PEV209" s="2"/>
      <c r="PEW209" s="2"/>
      <c r="PEX209" s="2"/>
      <c r="PEY209" s="2"/>
      <c r="PEZ209" s="2"/>
      <c r="PFA209" s="2"/>
      <c r="PFB209" s="2"/>
      <c r="PFC209" s="2"/>
      <c r="PFD209" s="2"/>
      <c r="PFE209" s="2"/>
      <c r="PFF209" s="2"/>
      <c r="PFG209" s="2"/>
      <c r="PFH209" s="2"/>
      <c r="PFI209" s="2"/>
      <c r="PFJ209" s="2"/>
      <c r="PFK209" s="2"/>
      <c r="PFL209" s="2"/>
      <c r="PFM209" s="2"/>
      <c r="PFN209" s="2"/>
      <c r="PFO209" s="2"/>
      <c r="PFP209" s="2"/>
      <c r="PFQ209" s="2"/>
      <c r="PFR209" s="2"/>
      <c r="PFS209" s="2"/>
      <c r="PFT209" s="2"/>
      <c r="PFU209" s="2"/>
      <c r="PFV209" s="2"/>
      <c r="PFW209" s="2"/>
      <c r="PFX209" s="2"/>
      <c r="PFY209" s="2"/>
      <c r="PFZ209" s="2"/>
      <c r="PGA209" s="2"/>
      <c r="PGB209" s="2"/>
      <c r="PGC209" s="2"/>
      <c r="PGD209" s="2"/>
      <c r="PGE209" s="2"/>
      <c r="PGF209" s="2"/>
      <c r="PGG209" s="2"/>
      <c r="PGH209" s="2"/>
      <c r="PGI209" s="2"/>
      <c r="PGJ209" s="2"/>
      <c r="PGK209" s="2"/>
      <c r="PGL209" s="2"/>
      <c r="PGM209" s="2"/>
      <c r="PGN209" s="2"/>
      <c r="PGO209" s="2"/>
      <c r="PGP209" s="2"/>
      <c r="PGQ209" s="2"/>
      <c r="PGR209" s="2"/>
      <c r="PGS209" s="2"/>
      <c r="PGT209" s="2"/>
      <c r="PGU209" s="2"/>
      <c r="PGV209" s="2"/>
      <c r="PGW209" s="2"/>
      <c r="PGX209" s="2"/>
      <c r="PGY209" s="2"/>
      <c r="PGZ209" s="2"/>
      <c r="PHA209" s="2"/>
      <c r="PHB209" s="2"/>
      <c r="PHC209" s="2"/>
      <c r="PHD209" s="2"/>
      <c r="PHE209" s="2"/>
      <c r="PHF209" s="2"/>
      <c r="PHG209" s="2"/>
      <c r="PHH209" s="2"/>
      <c r="PHI209" s="2"/>
      <c r="PHJ209" s="2"/>
      <c r="PHK209" s="2"/>
      <c r="PHL209" s="2"/>
      <c r="PHM209" s="2"/>
      <c r="PHN209" s="2"/>
      <c r="PHO209" s="2"/>
      <c r="PHP209" s="2"/>
      <c r="PHQ209" s="2"/>
      <c r="PHR209" s="2"/>
      <c r="PHS209" s="2"/>
      <c r="PHT209" s="2"/>
      <c r="PHU209" s="2"/>
      <c r="PHV209" s="2"/>
      <c r="PHW209" s="2"/>
      <c r="PHX209" s="2"/>
      <c r="PHY209" s="2"/>
      <c r="PHZ209" s="2"/>
      <c r="PIA209" s="2"/>
      <c r="PIB209" s="2"/>
      <c r="PIC209" s="2"/>
      <c r="PID209" s="2"/>
      <c r="PIE209" s="2"/>
      <c r="PIF209" s="2"/>
      <c r="PIG209" s="2"/>
      <c r="PIH209" s="2"/>
      <c r="PII209" s="2"/>
      <c r="PIJ209" s="2"/>
      <c r="PIK209" s="2"/>
      <c r="PIL209" s="2"/>
      <c r="PIM209" s="2"/>
      <c r="PIN209" s="2"/>
      <c r="PIO209" s="2"/>
      <c r="PIP209" s="2"/>
      <c r="PIQ209" s="2"/>
      <c r="PIR209" s="2"/>
      <c r="PIS209" s="2"/>
      <c r="PIT209" s="2"/>
      <c r="PIU209" s="2"/>
      <c r="PIV209" s="2"/>
      <c r="PIW209" s="2"/>
      <c r="PIX209" s="2"/>
      <c r="PIY209" s="2"/>
      <c r="PIZ209" s="2"/>
      <c r="PJA209" s="2"/>
      <c r="PJB209" s="2"/>
      <c r="PJC209" s="2"/>
      <c r="PJD209" s="2"/>
      <c r="PJE209" s="2"/>
      <c r="PJF209" s="2"/>
      <c r="PJG209" s="2"/>
      <c r="PJH209" s="2"/>
      <c r="PJI209" s="2"/>
      <c r="PJJ209" s="2"/>
      <c r="PJK209" s="2"/>
      <c r="PJL209" s="2"/>
      <c r="PJM209" s="2"/>
      <c r="PJN209" s="2"/>
      <c r="PJO209" s="2"/>
      <c r="PJP209" s="2"/>
      <c r="PJQ209" s="2"/>
      <c r="PJR209" s="2"/>
      <c r="PJS209" s="2"/>
      <c r="PJT209" s="2"/>
      <c r="PJU209" s="2"/>
      <c r="PJV209" s="2"/>
      <c r="PJW209" s="2"/>
      <c r="PJX209" s="2"/>
      <c r="PJY209" s="2"/>
      <c r="PJZ209" s="2"/>
      <c r="PKA209" s="2"/>
      <c r="PKB209" s="2"/>
      <c r="PKC209" s="2"/>
      <c r="PKD209" s="2"/>
      <c r="PKE209" s="2"/>
      <c r="PKF209" s="2"/>
      <c r="PKG209" s="2"/>
      <c r="PKH209" s="2"/>
      <c r="PKI209" s="2"/>
      <c r="PKJ209" s="2"/>
      <c r="PKK209" s="2"/>
      <c r="PKL209" s="2"/>
      <c r="PKM209" s="2"/>
      <c r="PKN209" s="2"/>
      <c r="PKO209" s="2"/>
      <c r="PKP209" s="2"/>
      <c r="PKQ209" s="2"/>
      <c r="PKR209" s="2"/>
      <c r="PKS209" s="2"/>
      <c r="PKT209" s="2"/>
      <c r="PKU209" s="2"/>
      <c r="PKV209" s="2"/>
      <c r="PKW209" s="2"/>
      <c r="PKX209" s="2"/>
      <c r="PKY209" s="2"/>
      <c r="PKZ209" s="2"/>
      <c r="PLA209" s="2"/>
      <c r="PLB209" s="2"/>
      <c r="PLC209" s="2"/>
      <c r="PLD209" s="2"/>
      <c r="PLE209" s="2"/>
      <c r="PLF209" s="2"/>
      <c r="PLG209" s="2"/>
      <c r="PLH209" s="2"/>
      <c r="PLI209" s="2"/>
      <c r="PLJ209" s="2"/>
      <c r="PLK209" s="2"/>
      <c r="PLL209" s="2"/>
      <c r="PLM209" s="2"/>
      <c r="PLN209" s="2"/>
      <c r="PLO209" s="2"/>
      <c r="PLP209" s="2"/>
      <c r="PLQ209" s="2"/>
      <c r="PLR209" s="2"/>
      <c r="PLS209" s="2"/>
      <c r="PLT209" s="2"/>
      <c r="PLU209" s="2"/>
      <c r="PLV209" s="2"/>
      <c r="PLW209" s="2"/>
      <c r="PLX209" s="2"/>
      <c r="PLY209" s="2"/>
      <c r="PLZ209" s="2"/>
      <c r="PMA209" s="2"/>
      <c r="PMB209" s="2"/>
      <c r="PMC209" s="2"/>
      <c r="PMD209" s="2"/>
      <c r="PME209" s="2"/>
      <c r="PMF209" s="2"/>
      <c r="PMG209" s="2"/>
      <c r="PMH209" s="2"/>
      <c r="PMI209" s="2"/>
      <c r="PMJ209" s="2"/>
      <c r="PMK209" s="2"/>
      <c r="PML209" s="2"/>
      <c r="PMM209" s="2"/>
      <c r="PMN209" s="2"/>
      <c r="PMO209" s="2"/>
      <c r="PMP209" s="2"/>
      <c r="PMQ209" s="2"/>
      <c r="PMR209" s="2"/>
      <c r="PMS209" s="2"/>
      <c r="PMT209" s="2"/>
      <c r="PMU209" s="2"/>
      <c r="PMV209" s="2"/>
      <c r="PMW209" s="2"/>
      <c r="PMX209" s="2"/>
      <c r="PMY209" s="2"/>
      <c r="PMZ209" s="2"/>
      <c r="PNA209" s="2"/>
      <c r="PNB209" s="2"/>
      <c r="PNC209" s="2"/>
      <c r="PND209" s="2"/>
      <c r="PNE209" s="2"/>
      <c r="PNF209" s="2"/>
      <c r="PNG209" s="2"/>
      <c r="PNH209" s="2"/>
      <c r="PNI209" s="2"/>
      <c r="PNJ209" s="2"/>
      <c r="PNK209" s="2"/>
      <c r="PNL209" s="2"/>
      <c r="PNM209" s="2"/>
      <c r="PNN209" s="2"/>
      <c r="PNO209" s="2"/>
      <c r="PNP209" s="2"/>
      <c r="PNQ209" s="2"/>
      <c r="PNR209" s="2"/>
      <c r="PNS209" s="2"/>
      <c r="PNT209" s="2"/>
      <c r="PNU209" s="2"/>
      <c r="PNV209" s="2"/>
      <c r="PNW209" s="2"/>
      <c r="PNX209" s="2"/>
      <c r="PNY209" s="2"/>
      <c r="PNZ209" s="2"/>
      <c r="POA209" s="2"/>
      <c r="POB209" s="2"/>
      <c r="POC209" s="2"/>
      <c r="POD209" s="2"/>
      <c r="POE209" s="2"/>
      <c r="POF209" s="2"/>
      <c r="POG209" s="2"/>
      <c r="POH209" s="2"/>
      <c r="POI209" s="2"/>
      <c r="POJ209" s="2"/>
      <c r="POK209" s="2"/>
      <c r="POL209" s="2"/>
      <c r="POM209" s="2"/>
      <c r="PON209" s="2"/>
      <c r="POO209" s="2"/>
      <c r="POP209" s="2"/>
      <c r="POQ209" s="2"/>
      <c r="POR209" s="2"/>
      <c r="POS209" s="2"/>
      <c r="POT209" s="2"/>
      <c r="POU209" s="2"/>
      <c r="POV209" s="2"/>
      <c r="POW209" s="2"/>
      <c r="POX209" s="2"/>
      <c r="POY209" s="2"/>
      <c r="POZ209" s="2"/>
      <c r="PPA209" s="2"/>
      <c r="PPB209" s="2"/>
      <c r="PPC209" s="2"/>
      <c r="PPD209" s="2"/>
      <c r="PPE209" s="2"/>
      <c r="PPF209" s="2"/>
      <c r="PPG209" s="2"/>
      <c r="PPH209" s="2"/>
      <c r="PPI209" s="2"/>
      <c r="PPJ209" s="2"/>
      <c r="PPK209" s="2"/>
      <c r="PPL209" s="2"/>
      <c r="PPM209" s="2"/>
      <c r="PPN209" s="2"/>
      <c r="PPO209" s="2"/>
      <c r="PPP209" s="2"/>
      <c r="PPQ209" s="2"/>
      <c r="PPR209" s="2"/>
      <c r="PPS209" s="2"/>
      <c r="PPT209" s="2"/>
      <c r="PPU209" s="2"/>
      <c r="PPV209" s="2"/>
      <c r="PPW209" s="2"/>
      <c r="PPX209" s="2"/>
      <c r="PPY209" s="2"/>
      <c r="PPZ209" s="2"/>
      <c r="PQA209" s="2"/>
      <c r="PQB209" s="2"/>
      <c r="PQC209" s="2"/>
      <c r="PQD209" s="2"/>
      <c r="PQE209" s="2"/>
      <c r="PQF209" s="2"/>
      <c r="PQG209" s="2"/>
      <c r="PQH209" s="2"/>
      <c r="PQI209" s="2"/>
      <c r="PQJ209" s="2"/>
      <c r="PQK209" s="2"/>
      <c r="PQL209" s="2"/>
      <c r="PQM209" s="2"/>
      <c r="PQN209" s="2"/>
      <c r="PQO209" s="2"/>
      <c r="PQP209" s="2"/>
      <c r="PQQ209" s="2"/>
      <c r="PQR209" s="2"/>
      <c r="PQS209" s="2"/>
      <c r="PQT209" s="2"/>
      <c r="PQU209" s="2"/>
      <c r="PQV209" s="2"/>
      <c r="PQW209" s="2"/>
      <c r="PQX209" s="2"/>
      <c r="PQY209" s="2"/>
      <c r="PQZ209" s="2"/>
      <c r="PRA209" s="2"/>
      <c r="PRB209" s="2"/>
      <c r="PRC209" s="2"/>
      <c r="PRD209" s="2"/>
      <c r="PRE209" s="2"/>
      <c r="PRF209" s="2"/>
      <c r="PRG209" s="2"/>
      <c r="PRH209" s="2"/>
      <c r="PRI209" s="2"/>
      <c r="PRJ209" s="2"/>
      <c r="PRK209" s="2"/>
      <c r="PRL209" s="2"/>
      <c r="PRM209" s="2"/>
      <c r="PRN209" s="2"/>
      <c r="PRO209" s="2"/>
      <c r="PRP209" s="2"/>
      <c r="PRQ209" s="2"/>
      <c r="PRR209" s="2"/>
      <c r="PRS209" s="2"/>
      <c r="PRT209" s="2"/>
      <c r="PRU209" s="2"/>
      <c r="PRV209" s="2"/>
      <c r="PRW209" s="2"/>
      <c r="PRX209" s="2"/>
      <c r="PRY209" s="2"/>
      <c r="PRZ209" s="2"/>
      <c r="PSA209" s="2"/>
      <c r="PSB209" s="2"/>
      <c r="PSC209" s="2"/>
      <c r="PSD209" s="2"/>
      <c r="PSE209" s="2"/>
      <c r="PSF209" s="2"/>
      <c r="PSG209" s="2"/>
      <c r="PSH209" s="2"/>
      <c r="PSI209" s="2"/>
      <c r="PSJ209" s="2"/>
      <c r="PSK209" s="2"/>
      <c r="PSL209" s="2"/>
      <c r="PSM209" s="2"/>
      <c r="PSN209" s="2"/>
      <c r="PSO209" s="2"/>
      <c r="PSP209" s="2"/>
      <c r="PSQ209" s="2"/>
      <c r="PSR209" s="2"/>
      <c r="PSS209" s="2"/>
      <c r="PST209" s="2"/>
      <c r="PSU209" s="2"/>
      <c r="PSV209" s="2"/>
      <c r="PSW209" s="2"/>
      <c r="PSX209" s="2"/>
      <c r="PSY209" s="2"/>
      <c r="PSZ209" s="2"/>
      <c r="PTA209" s="2"/>
      <c r="PTB209" s="2"/>
      <c r="PTC209" s="2"/>
      <c r="PTD209" s="2"/>
      <c r="PTE209" s="2"/>
      <c r="PTF209" s="2"/>
      <c r="PTG209" s="2"/>
      <c r="PTH209" s="2"/>
      <c r="PTI209" s="2"/>
      <c r="PTJ209" s="2"/>
      <c r="PTK209" s="2"/>
      <c r="PTL209" s="2"/>
      <c r="PTM209" s="2"/>
      <c r="PTN209" s="2"/>
      <c r="PTO209" s="2"/>
      <c r="PTP209" s="2"/>
      <c r="PTQ209" s="2"/>
      <c r="PTR209" s="2"/>
      <c r="PTS209" s="2"/>
      <c r="PTT209" s="2"/>
      <c r="PTU209" s="2"/>
      <c r="PTV209" s="2"/>
      <c r="PTW209" s="2"/>
      <c r="PTX209" s="2"/>
      <c r="PTY209" s="2"/>
      <c r="PTZ209" s="2"/>
      <c r="PUA209" s="2"/>
      <c r="PUB209" s="2"/>
      <c r="PUC209" s="2"/>
      <c r="PUD209" s="2"/>
      <c r="PUE209" s="2"/>
      <c r="PUF209" s="2"/>
      <c r="PUG209" s="2"/>
      <c r="PUH209" s="2"/>
      <c r="PUI209" s="2"/>
      <c r="PUJ209" s="2"/>
      <c r="PUK209" s="2"/>
      <c r="PUL209" s="2"/>
      <c r="PUM209" s="2"/>
      <c r="PUN209" s="2"/>
      <c r="PUO209" s="2"/>
      <c r="PUP209" s="2"/>
      <c r="PUQ209" s="2"/>
      <c r="PUR209" s="2"/>
      <c r="PUS209" s="2"/>
      <c r="PUT209" s="2"/>
      <c r="PUU209" s="2"/>
      <c r="PUV209" s="2"/>
      <c r="PUW209" s="2"/>
      <c r="PUX209" s="2"/>
      <c r="PUY209" s="2"/>
      <c r="PUZ209" s="2"/>
      <c r="PVA209" s="2"/>
      <c r="PVB209" s="2"/>
      <c r="PVC209" s="2"/>
      <c r="PVD209" s="2"/>
      <c r="PVE209" s="2"/>
      <c r="PVF209" s="2"/>
      <c r="PVG209" s="2"/>
      <c r="PVH209" s="2"/>
      <c r="PVI209" s="2"/>
      <c r="PVJ209" s="2"/>
      <c r="PVK209" s="2"/>
      <c r="PVL209" s="2"/>
      <c r="PVM209" s="2"/>
      <c r="PVN209" s="2"/>
      <c r="PVO209" s="2"/>
      <c r="PVP209" s="2"/>
      <c r="PVQ209" s="2"/>
      <c r="PVR209" s="2"/>
      <c r="PVS209" s="2"/>
      <c r="PVT209" s="2"/>
      <c r="PVU209" s="2"/>
      <c r="PVV209" s="2"/>
      <c r="PVW209" s="2"/>
      <c r="PVX209" s="2"/>
      <c r="PVY209" s="2"/>
      <c r="PVZ209" s="2"/>
      <c r="PWA209" s="2"/>
      <c r="PWB209" s="2"/>
      <c r="PWC209" s="2"/>
      <c r="PWD209" s="2"/>
      <c r="PWE209" s="2"/>
      <c r="PWF209" s="2"/>
      <c r="PWG209" s="2"/>
      <c r="PWH209" s="2"/>
      <c r="PWI209" s="2"/>
      <c r="PWJ209" s="2"/>
      <c r="PWK209" s="2"/>
      <c r="PWL209" s="2"/>
      <c r="PWM209" s="2"/>
      <c r="PWN209" s="2"/>
      <c r="PWO209" s="2"/>
      <c r="PWP209" s="2"/>
      <c r="PWQ209" s="2"/>
      <c r="PWR209" s="2"/>
      <c r="PWS209" s="2"/>
      <c r="PWT209" s="2"/>
      <c r="PWU209" s="2"/>
      <c r="PWV209" s="2"/>
      <c r="PWW209" s="2"/>
      <c r="PWX209" s="2"/>
      <c r="PWY209" s="2"/>
      <c r="PWZ209" s="2"/>
      <c r="PXA209" s="2"/>
      <c r="PXB209" s="2"/>
      <c r="PXC209" s="2"/>
      <c r="PXD209" s="2"/>
      <c r="PXE209" s="2"/>
      <c r="PXF209" s="2"/>
      <c r="PXG209" s="2"/>
      <c r="PXH209" s="2"/>
      <c r="PXI209" s="2"/>
      <c r="PXJ209" s="2"/>
      <c r="PXK209" s="2"/>
      <c r="PXL209" s="2"/>
      <c r="PXM209" s="2"/>
      <c r="PXN209" s="2"/>
      <c r="PXO209" s="2"/>
      <c r="PXP209" s="2"/>
      <c r="PXQ209" s="2"/>
      <c r="PXR209" s="2"/>
      <c r="PXS209" s="2"/>
      <c r="PXT209" s="2"/>
      <c r="PXU209" s="2"/>
      <c r="PXV209" s="2"/>
      <c r="PXW209" s="2"/>
      <c r="PXX209" s="2"/>
      <c r="PXY209" s="2"/>
      <c r="PXZ209" s="2"/>
      <c r="PYA209" s="2"/>
      <c r="PYB209" s="2"/>
      <c r="PYC209" s="2"/>
      <c r="PYD209" s="2"/>
      <c r="PYE209" s="2"/>
      <c r="PYF209" s="2"/>
      <c r="PYG209" s="2"/>
      <c r="PYH209" s="2"/>
      <c r="PYI209" s="2"/>
      <c r="PYJ209" s="2"/>
      <c r="PYK209" s="2"/>
      <c r="PYL209" s="2"/>
      <c r="PYM209" s="2"/>
      <c r="PYN209" s="2"/>
      <c r="PYO209" s="2"/>
      <c r="PYP209" s="2"/>
      <c r="PYQ209" s="2"/>
      <c r="PYR209" s="2"/>
      <c r="PYS209" s="2"/>
      <c r="PYT209" s="2"/>
      <c r="PYU209" s="2"/>
      <c r="PYV209" s="2"/>
      <c r="PYW209" s="2"/>
      <c r="PYX209" s="2"/>
      <c r="PYY209" s="2"/>
      <c r="PYZ209" s="2"/>
      <c r="PZA209" s="2"/>
      <c r="PZB209" s="2"/>
      <c r="PZC209" s="2"/>
      <c r="PZD209" s="2"/>
      <c r="PZE209" s="2"/>
      <c r="PZF209" s="2"/>
      <c r="PZG209" s="2"/>
      <c r="PZH209" s="2"/>
      <c r="PZI209" s="2"/>
      <c r="PZJ209" s="2"/>
      <c r="PZK209" s="2"/>
      <c r="PZL209" s="2"/>
      <c r="PZM209" s="2"/>
      <c r="PZN209" s="2"/>
      <c r="PZO209" s="2"/>
      <c r="PZP209" s="2"/>
      <c r="PZQ209" s="2"/>
      <c r="PZR209" s="2"/>
      <c r="PZS209" s="2"/>
      <c r="PZT209" s="2"/>
      <c r="PZU209" s="2"/>
      <c r="PZV209" s="2"/>
      <c r="PZW209" s="2"/>
      <c r="PZX209" s="2"/>
      <c r="PZY209" s="2"/>
      <c r="PZZ209" s="2"/>
      <c r="QAA209" s="2"/>
      <c r="QAB209" s="2"/>
      <c r="QAC209" s="2"/>
      <c r="QAD209" s="2"/>
      <c r="QAE209" s="2"/>
      <c r="QAF209" s="2"/>
      <c r="QAG209" s="2"/>
      <c r="QAH209" s="2"/>
      <c r="QAI209" s="2"/>
      <c r="QAJ209" s="2"/>
      <c r="QAK209" s="2"/>
      <c r="QAL209" s="2"/>
      <c r="QAM209" s="2"/>
      <c r="QAN209" s="2"/>
      <c r="QAO209" s="2"/>
      <c r="QAP209" s="2"/>
      <c r="QAQ209" s="2"/>
      <c r="QAR209" s="2"/>
      <c r="QAS209" s="2"/>
      <c r="QAT209" s="2"/>
      <c r="QAU209" s="2"/>
      <c r="QAV209" s="2"/>
      <c r="QAW209" s="2"/>
      <c r="QAX209" s="2"/>
      <c r="QAY209" s="2"/>
      <c r="QAZ209" s="2"/>
      <c r="QBA209" s="2"/>
      <c r="QBB209" s="2"/>
      <c r="QBC209" s="2"/>
      <c r="QBD209" s="2"/>
      <c r="QBE209" s="2"/>
      <c r="QBF209" s="2"/>
      <c r="QBG209" s="2"/>
      <c r="QBH209" s="2"/>
      <c r="QBI209" s="2"/>
      <c r="QBJ209" s="2"/>
      <c r="QBK209" s="2"/>
      <c r="QBL209" s="2"/>
      <c r="QBM209" s="2"/>
      <c r="QBN209" s="2"/>
      <c r="QBO209" s="2"/>
      <c r="QBP209" s="2"/>
      <c r="QBQ209" s="2"/>
      <c r="QBR209" s="2"/>
      <c r="QBS209" s="2"/>
      <c r="QBT209" s="2"/>
      <c r="QBU209" s="2"/>
      <c r="QBV209" s="2"/>
      <c r="QBW209" s="2"/>
      <c r="QBX209" s="2"/>
      <c r="QBY209" s="2"/>
      <c r="QBZ209" s="2"/>
      <c r="QCA209" s="2"/>
      <c r="QCB209" s="2"/>
      <c r="QCC209" s="2"/>
      <c r="QCD209" s="2"/>
      <c r="QCE209" s="2"/>
      <c r="QCF209" s="2"/>
      <c r="QCG209" s="2"/>
      <c r="QCH209" s="2"/>
      <c r="QCI209" s="2"/>
      <c r="QCJ209" s="2"/>
      <c r="QCK209" s="2"/>
      <c r="QCL209" s="2"/>
      <c r="QCM209" s="2"/>
      <c r="QCN209" s="2"/>
      <c r="QCO209" s="2"/>
      <c r="QCP209" s="2"/>
      <c r="QCQ209" s="2"/>
      <c r="QCR209" s="2"/>
      <c r="QCS209" s="2"/>
      <c r="QCT209" s="2"/>
      <c r="QCU209" s="2"/>
      <c r="QCV209" s="2"/>
      <c r="QCW209" s="2"/>
      <c r="QCX209" s="2"/>
      <c r="QCY209" s="2"/>
      <c r="QCZ209" s="2"/>
      <c r="QDA209" s="2"/>
      <c r="QDB209" s="2"/>
      <c r="QDC209" s="2"/>
      <c r="QDD209" s="2"/>
      <c r="QDE209" s="2"/>
      <c r="QDF209" s="2"/>
      <c r="QDG209" s="2"/>
      <c r="QDH209" s="2"/>
      <c r="QDI209" s="2"/>
      <c r="QDJ209" s="2"/>
      <c r="QDK209" s="2"/>
      <c r="QDL209" s="2"/>
      <c r="QDM209" s="2"/>
      <c r="QDN209" s="2"/>
      <c r="QDO209" s="2"/>
      <c r="QDP209" s="2"/>
      <c r="QDQ209" s="2"/>
      <c r="QDR209" s="2"/>
      <c r="QDS209" s="2"/>
      <c r="QDT209" s="2"/>
      <c r="QDU209" s="2"/>
      <c r="QDV209" s="2"/>
      <c r="QDW209" s="2"/>
      <c r="QDX209" s="2"/>
      <c r="QDY209" s="2"/>
      <c r="QDZ209" s="2"/>
      <c r="QEA209" s="2"/>
      <c r="QEB209" s="2"/>
      <c r="QEC209" s="2"/>
      <c r="QED209" s="2"/>
      <c r="QEE209" s="2"/>
      <c r="QEF209" s="2"/>
      <c r="QEG209" s="2"/>
      <c r="QEH209" s="2"/>
      <c r="QEI209" s="2"/>
      <c r="QEJ209" s="2"/>
      <c r="QEK209" s="2"/>
      <c r="QEL209" s="2"/>
      <c r="QEM209" s="2"/>
      <c r="QEN209" s="2"/>
      <c r="QEO209" s="2"/>
      <c r="QEP209" s="2"/>
      <c r="QEQ209" s="2"/>
      <c r="QER209" s="2"/>
      <c r="QES209" s="2"/>
      <c r="QET209" s="2"/>
      <c r="QEU209" s="2"/>
      <c r="QEV209" s="2"/>
      <c r="QEW209" s="2"/>
      <c r="QEX209" s="2"/>
      <c r="QEY209" s="2"/>
      <c r="QEZ209" s="2"/>
      <c r="QFA209" s="2"/>
      <c r="QFB209" s="2"/>
      <c r="QFC209" s="2"/>
      <c r="QFD209" s="2"/>
      <c r="QFE209" s="2"/>
      <c r="QFF209" s="2"/>
      <c r="QFG209" s="2"/>
      <c r="QFH209" s="2"/>
      <c r="QFI209" s="2"/>
      <c r="QFJ209" s="2"/>
      <c r="QFK209" s="2"/>
      <c r="QFL209" s="2"/>
      <c r="QFM209" s="2"/>
      <c r="QFN209" s="2"/>
      <c r="QFO209" s="2"/>
      <c r="QFP209" s="2"/>
      <c r="QFQ209" s="2"/>
      <c r="QFR209" s="2"/>
      <c r="QFS209" s="2"/>
      <c r="QFT209" s="2"/>
      <c r="QFU209" s="2"/>
      <c r="QFV209" s="2"/>
      <c r="QFW209" s="2"/>
      <c r="QFX209" s="2"/>
      <c r="QFY209" s="2"/>
      <c r="QFZ209" s="2"/>
      <c r="QGA209" s="2"/>
      <c r="QGB209" s="2"/>
      <c r="QGC209" s="2"/>
      <c r="QGD209" s="2"/>
      <c r="QGE209" s="2"/>
      <c r="QGF209" s="2"/>
      <c r="QGG209" s="2"/>
      <c r="QGH209" s="2"/>
      <c r="QGI209" s="2"/>
      <c r="QGJ209" s="2"/>
      <c r="QGK209" s="2"/>
      <c r="QGL209" s="2"/>
      <c r="QGM209" s="2"/>
      <c r="QGN209" s="2"/>
      <c r="QGO209" s="2"/>
      <c r="QGP209" s="2"/>
      <c r="QGQ209" s="2"/>
      <c r="QGR209" s="2"/>
      <c r="QGS209" s="2"/>
      <c r="QGT209" s="2"/>
      <c r="QGU209" s="2"/>
      <c r="QGV209" s="2"/>
      <c r="QGW209" s="2"/>
      <c r="QGX209" s="2"/>
      <c r="QGY209" s="2"/>
      <c r="QGZ209" s="2"/>
      <c r="QHA209" s="2"/>
      <c r="QHB209" s="2"/>
      <c r="QHC209" s="2"/>
      <c r="QHD209" s="2"/>
      <c r="QHE209" s="2"/>
      <c r="QHF209" s="2"/>
      <c r="QHG209" s="2"/>
      <c r="QHH209" s="2"/>
      <c r="QHI209" s="2"/>
      <c r="QHJ209" s="2"/>
      <c r="QHK209" s="2"/>
      <c r="QHL209" s="2"/>
      <c r="QHM209" s="2"/>
      <c r="QHN209" s="2"/>
      <c r="QHO209" s="2"/>
      <c r="QHP209" s="2"/>
      <c r="QHQ209" s="2"/>
      <c r="QHR209" s="2"/>
      <c r="QHS209" s="2"/>
      <c r="QHT209" s="2"/>
      <c r="QHU209" s="2"/>
      <c r="QHV209" s="2"/>
      <c r="QHW209" s="2"/>
      <c r="QHX209" s="2"/>
      <c r="QHY209" s="2"/>
      <c r="QHZ209" s="2"/>
      <c r="QIA209" s="2"/>
      <c r="QIB209" s="2"/>
      <c r="QIC209" s="2"/>
      <c r="QID209" s="2"/>
      <c r="QIE209" s="2"/>
      <c r="QIF209" s="2"/>
      <c r="QIG209" s="2"/>
      <c r="QIH209" s="2"/>
      <c r="QII209" s="2"/>
      <c r="QIJ209" s="2"/>
      <c r="QIK209" s="2"/>
      <c r="QIL209" s="2"/>
      <c r="QIM209" s="2"/>
      <c r="QIN209" s="2"/>
      <c r="QIO209" s="2"/>
      <c r="QIP209" s="2"/>
      <c r="QIQ209" s="2"/>
      <c r="QIR209" s="2"/>
      <c r="QIS209" s="2"/>
      <c r="QIT209" s="2"/>
      <c r="QIU209" s="2"/>
      <c r="QIV209" s="2"/>
      <c r="QIW209" s="2"/>
      <c r="QIX209" s="2"/>
      <c r="QIY209" s="2"/>
      <c r="QIZ209" s="2"/>
      <c r="QJA209" s="2"/>
      <c r="QJB209" s="2"/>
      <c r="QJC209" s="2"/>
      <c r="QJD209" s="2"/>
      <c r="QJE209" s="2"/>
      <c r="QJF209" s="2"/>
      <c r="QJG209" s="2"/>
      <c r="QJH209" s="2"/>
      <c r="QJI209" s="2"/>
      <c r="QJJ209" s="2"/>
      <c r="QJK209" s="2"/>
      <c r="QJL209" s="2"/>
      <c r="QJM209" s="2"/>
      <c r="QJN209" s="2"/>
      <c r="QJO209" s="2"/>
      <c r="QJP209" s="2"/>
      <c r="QJQ209" s="2"/>
      <c r="QJR209" s="2"/>
      <c r="QJS209" s="2"/>
      <c r="QJT209" s="2"/>
      <c r="QJU209" s="2"/>
      <c r="QJV209" s="2"/>
      <c r="QJW209" s="2"/>
      <c r="QJX209" s="2"/>
      <c r="QJY209" s="2"/>
      <c r="QJZ209" s="2"/>
      <c r="QKA209" s="2"/>
      <c r="QKB209" s="2"/>
      <c r="QKC209" s="2"/>
      <c r="QKD209" s="2"/>
      <c r="QKE209" s="2"/>
      <c r="QKF209" s="2"/>
      <c r="QKG209" s="2"/>
      <c r="QKH209" s="2"/>
      <c r="QKI209" s="2"/>
      <c r="QKJ209" s="2"/>
      <c r="QKK209" s="2"/>
      <c r="QKL209" s="2"/>
      <c r="QKM209" s="2"/>
      <c r="QKN209" s="2"/>
      <c r="QKO209" s="2"/>
      <c r="QKP209" s="2"/>
      <c r="QKQ209" s="2"/>
      <c r="QKR209" s="2"/>
      <c r="QKS209" s="2"/>
      <c r="QKT209" s="2"/>
      <c r="QKU209" s="2"/>
      <c r="QKV209" s="2"/>
      <c r="QKW209" s="2"/>
      <c r="QKX209" s="2"/>
      <c r="QKY209" s="2"/>
      <c r="QKZ209" s="2"/>
      <c r="QLA209" s="2"/>
      <c r="QLB209" s="2"/>
      <c r="QLC209" s="2"/>
      <c r="QLD209" s="2"/>
      <c r="QLE209" s="2"/>
      <c r="QLF209" s="2"/>
      <c r="QLG209" s="2"/>
      <c r="QLH209" s="2"/>
      <c r="QLI209" s="2"/>
      <c r="QLJ209" s="2"/>
      <c r="QLK209" s="2"/>
      <c r="QLL209" s="2"/>
      <c r="QLM209" s="2"/>
      <c r="QLN209" s="2"/>
      <c r="QLO209" s="2"/>
      <c r="QLP209" s="2"/>
      <c r="QLQ209" s="2"/>
      <c r="QLR209" s="2"/>
      <c r="QLS209" s="2"/>
      <c r="QLT209" s="2"/>
      <c r="QLU209" s="2"/>
      <c r="QLV209" s="2"/>
      <c r="QLW209" s="2"/>
      <c r="QLX209" s="2"/>
      <c r="QLY209" s="2"/>
      <c r="QLZ209" s="2"/>
      <c r="QMA209" s="2"/>
      <c r="QMB209" s="2"/>
      <c r="QMC209" s="2"/>
      <c r="QMD209" s="2"/>
      <c r="QME209" s="2"/>
      <c r="QMF209" s="2"/>
      <c r="QMG209" s="2"/>
      <c r="QMH209" s="2"/>
      <c r="QMI209" s="2"/>
      <c r="QMJ209" s="2"/>
      <c r="QMK209" s="2"/>
      <c r="QML209" s="2"/>
      <c r="QMM209" s="2"/>
      <c r="QMN209" s="2"/>
      <c r="QMO209" s="2"/>
      <c r="QMP209" s="2"/>
      <c r="QMQ209" s="2"/>
      <c r="QMR209" s="2"/>
      <c r="QMS209" s="2"/>
      <c r="QMT209" s="2"/>
      <c r="QMU209" s="2"/>
      <c r="QMV209" s="2"/>
      <c r="QMW209" s="2"/>
      <c r="QMX209" s="2"/>
      <c r="QMY209" s="2"/>
      <c r="QMZ209" s="2"/>
      <c r="QNA209" s="2"/>
      <c r="QNB209" s="2"/>
      <c r="QNC209" s="2"/>
      <c r="QND209" s="2"/>
      <c r="QNE209" s="2"/>
      <c r="QNF209" s="2"/>
      <c r="QNG209" s="2"/>
      <c r="QNH209" s="2"/>
      <c r="QNI209" s="2"/>
      <c r="QNJ209" s="2"/>
      <c r="QNK209" s="2"/>
      <c r="QNL209" s="2"/>
      <c r="QNM209" s="2"/>
      <c r="QNN209" s="2"/>
      <c r="QNO209" s="2"/>
      <c r="QNP209" s="2"/>
      <c r="QNQ209" s="2"/>
      <c r="QNR209" s="2"/>
      <c r="QNS209" s="2"/>
      <c r="QNT209" s="2"/>
      <c r="QNU209" s="2"/>
      <c r="QNV209" s="2"/>
      <c r="QNW209" s="2"/>
      <c r="QNX209" s="2"/>
      <c r="QNY209" s="2"/>
      <c r="QNZ209" s="2"/>
      <c r="QOA209" s="2"/>
      <c r="QOB209" s="2"/>
      <c r="QOC209" s="2"/>
      <c r="QOD209" s="2"/>
      <c r="QOE209" s="2"/>
      <c r="QOF209" s="2"/>
      <c r="QOG209" s="2"/>
      <c r="QOH209" s="2"/>
      <c r="QOI209" s="2"/>
      <c r="QOJ209" s="2"/>
      <c r="QOK209" s="2"/>
      <c r="QOL209" s="2"/>
      <c r="QOM209" s="2"/>
      <c r="QON209" s="2"/>
      <c r="QOO209" s="2"/>
      <c r="QOP209" s="2"/>
      <c r="QOQ209" s="2"/>
      <c r="QOR209" s="2"/>
      <c r="QOS209" s="2"/>
      <c r="QOT209" s="2"/>
      <c r="QOU209" s="2"/>
      <c r="QOV209" s="2"/>
      <c r="QOW209" s="2"/>
      <c r="QOX209" s="2"/>
      <c r="QOY209" s="2"/>
      <c r="QOZ209" s="2"/>
      <c r="QPA209" s="2"/>
      <c r="QPB209" s="2"/>
      <c r="QPC209" s="2"/>
      <c r="QPD209" s="2"/>
      <c r="QPE209" s="2"/>
      <c r="QPF209" s="2"/>
      <c r="QPG209" s="2"/>
      <c r="QPH209" s="2"/>
      <c r="QPI209" s="2"/>
      <c r="QPJ209" s="2"/>
      <c r="QPK209" s="2"/>
      <c r="QPL209" s="2"/>
      <c r="QPM209" s="2"/>
      <c r="QPN209" s="2"/>
      <c r="QPO209" s="2"/>
      <c r="QPP209" s="2"/>
      <c r="QPQ209" s="2"/>
      <c r="QPR209" s="2"/>
      <c r="QPS209" s="2"/>
      <c r="QPT209" s="2"/>
      <c r="QPU209" s="2"/>
      <c r="QPV209" s="2"/>
      <c r="QPW209" s="2"/>
      <c r="QPX209" s="2"/>
      <c r="QPY209" s="2"/>
      <c r="QPZ209" s="2"/>
      <c r="QQA209" s="2"/>
      <c r="QQB209" s="2"/>
      <c r="QQC209" s="2"/>
      <c r="QQD209" s="2"/>
      <c r="QQE209" s="2"/>
      <c r="QQF209" s="2"/>
      <c r="QQG209" s="2"/>
      <c r="QQH209" s="2"/>
      <c r="QQI209" s="2"/>
      <c r="QQJ209" s="2"/>
      <c r="QQK209" s="2"/>
      <c r="QQL209" s="2"/>
      <c r="QQM209" s="2"/>
      <c r="QQN209" s="2"/>
      <c r="QQO209" s="2"/>
      <c r="QQP209" s="2"/>
      <c r="QQQ209" s="2"/>
      <c r="QQR209" s="2"/>
      <c r="QQS209" s="2"/>
      <c r="QQT209" s="2"/>
      <c r="QQU209" s="2"/>
      <c r="QQV209" s="2"/>
      <c r="QQW209" s="2"/>
      <c r="QQX209" s="2"/>
      <c r="QQY209" s="2"/>
      <c r="QQZ209" s="2"/>
      <c r="QRA209" s="2"/>
      <c r="QRB209" s="2"/>
      <c r="QRC209" s="2"/>
      <c r="QRD209" s="2"/>
      <c r="QRE209" s="2"/>
      <c r="QRF209" s="2"/>
      <c r="QRG209" s="2"/>
      <c r="QRH209" s="2"/>
      <c r="QRI209" s="2"/>
      <c r="QRJ209" s="2"/>
      <c r="QRK209" s="2"/>
      <c r="QRL209" s="2"/>
      <c r="QRM209" s="2"/>
      <c r="QRN209" s="2"/>
      <c r="QRO209" s="2"/>
      <c r="QRP209" s="2"/>
      <c r="QRQ209" s="2"/>
      <c r="QRR209" s="2"/>
      <c r="QRS209" s="2"/>
      <c r="QRT209" s="2"/>
      <c r="QRU209" s="2"/>
      <c r="QRV209" s="2"/>
      <c r="QRW209" s="2"/>
      <c r="QRX209" s="2"/>
      <c r="QRY209" s="2"/>
      <c r="QRZ209" s="2"/>
      <c r="QSA209" s="2"/>
      <c r="QSB209" s="2"/>
      <c r="QSC209" s="2"/>
      <c r="QSD209" s="2"/>
      <c r="QSE209" s="2"/>
      <c r="QSF209" s="2"/>
      <c r="QSG209" s="2"/>
      <c r="QSH209" s="2"/>
      <c r="QSI209" s="2"/>
      <c r="QSJ209" s="2"/>
      <c r="QSK209" s="2"/>
      <c r="QSL209" s="2"/>
      <c r="QSM209" s="2"/>
      <c r="QSN209" s="2"/>
      <c r="QSO209" s="2"/>
      <c r="QSP209" s="2"/>
      <c r="QSQ209" s="2"/>
      <c r="QSR209" s="2"/>
      <c r="QSS209" s="2"/>
      <c r="QST209" s="2"/>
      <c r="QSU209" s="2"/>
      <c r="QSV209" s="2"/>
      <c r="QSW209" s="2"/>
      <c r="QSX209" s="2"/>
      <c r="QSY209" s="2"/>
      <c r="QSZ209" s="2"/>
      <c r="QTA209" s="2"/>
      <c r="QTB209" s="2"/>
      <c r="QTC209" s="2"/>
      <c r="QTD209" s="2"/>
      <c r="QTE209" s="2"/>
      <c r="QTF209" s="2"/>
      <c r="QTG209" s="2"/>
      <c r="QTH209" s="2"/>
      <c r="QTI209" s="2"/>
      <c r="QTJ209" s="2"/>
      <c r="QTK209" s="2"/>
      <c r="QTL209" s="2"/>
      <c r="QTM209" s="2"/>
      <c r="QTN209" s="2"/>
      <c r="QTO209" s="2"/>
      <c r="QTP209" s="2"/>
      <c r="QTQ209" s="2"/>
      <c r="QTR209" s="2"/>
      <c r="QTS209" s="2"/>
      <c r="QTT209" s="2"/>
      <c r="QTU209" s="2"/>
      <c r="QTV209" s="2"/>
      <c r="QTW209" s="2"/>
      <c r="QTX209" s="2"/>
      <c r="QTY209" s="2"/>
      <c r="QTZ209" s="2"/>
      <c r="QUA209" s="2"/>
      <c r="QUB209" s="2"/>
      <c r="QUC209" s="2"/>
      <c r="QUD209" s="2"/>
      <c r="QUE209" s="2"/>
      <c r="QUF209" s="2"/>
      <c r="QUG209" s="2"/>
      <c r="QUH209" s="2"/>
      <c r="QUI209" s="2"/>
      <c r="QUJ209" s="2"/>
      <c r="QUK209" s="2"/>
      <c r="QUL209" s="2"/>
      <c r="QUM209" s="2"/>
      <c r="QUN209" s="2"/>
      <c r="QUO209" s="2"/>
      <c r="QUP209" s="2"/>
      <c r="QUQ209" s="2"/>
      <c r="QUR209" s="2"/>
      <c r="QUS209" s="2"/>
      <c r="QUT209" s="2"/>
      <c r="QUU209" s="2"/>
      <c r="QUV209" s="2"/>
      <c r="QUW209" s="2"/>
      <c r="QUX209" s="2"/>
      <c r="QUY209" s="2"/>
      <c r="QUZ209" s="2"/>
      <c r="QVA209" s="2"/>
      <c r="QVB209" s="2"/>
      <c r="QVC209" s="2"/>
      <c r="QVD209" s="2"/>
      <c r="QVE209" s="2"/>
      <c r="QVF209" s="2"/>
      <c r="QVG209" s="2"/>
      <c r="QVH209" s="2"/>
      <c r="QVI209" s="2"/>
      <c r="QVJ209" s="2"/>
      <c r="QVK209" s="2"/>
      <c r="QVL209" s="2"/>
      <c r="QVM209" s="2"/>
      <c r="QVN209" s="2"/>
      <c r="QVO209" s="2"/>
      <c r="QVP209" s="2"/>
      <c r="QVQ209" s="2"/>
      <c r="QVR209" s="2"/>
      <c r="QVS209" s="2"/>
      <c r="QVT209" s="2"/>
      <c r="QVU209" s="2"/>
      <c r="QVV209" s="2"/>
      <c r="QVW209" s="2"/>
      <c r="QVX209" s="2"/>
      <c r="QVY209" s="2"/>
      <c r="QVZ209" s="2"/>
      <c r="QWA209" s="2"/>
      <c r="QWB209" s="2"/>
      <c r="QWC209" s="2"/>
      <c r="QWD209" s="2"/>
      <c r="QWE209" s="2"/>
      <c r="QWF209" s="2"/>
      <c r="QWG209" s="2"/>
      <c r="QWH209" s="2"/>
      <c r="QWI209" s="2"/>
      <c r="QWJ209" s="2"/>
      <c r="QWK209" s="2"/>
      <c r="QWL209" s="2"/>
      <c r="QWM209" s="2"/>
      <c r="QWN209" s="2"/>
      <c r="QWO209" s="2"/>
      <c r="QWP209" s="2"/>
      <c r="QWQ209" s="2"/>
      <c r="QWR209" s="2"/>
      <c r="QWS209" s="2"/>
      <c r="QWT209" s="2"/>
      <c r="QWU209" s="2"/>
      <c r="QWV209" s="2"/>
      <c r="QWW209" s="2"/>
      <c r="QWX209" s="2"/>
      <c r="QWY209" s="2"/>
      <c r="QWZ209" s="2"/>
      <c r="QXA209" s="2"/>
      <c r="QXB209" s="2"/>
      <c r="QXC209" s="2"/>
      <c r="QXD209" s="2"/>
      <c r="QXE209" s="2"/>
      <c r="QXF209" s="2"/>
      <c r="QXG209" s="2"/>
      <c r="QXH209" s="2"/>
      <c r="QXI209" s="2"/>
      <c r="QXJ209" s="2"/>
      <c r="QXK209" s="2"/>
      <c r="QXL209" s="2"/>
      <c r="QXM209" s="2"/>
      <c r="QXN209" s="2"/>
      <c r="QXO209" s="2"/>
      <c r="QXP209" s="2"/>
      <c r="QXQ209" s="2"/>
      <c r="QXR209" s="2"/>
      <c r="QXS209" s="2"/>
      <c r="QXT209" s="2"/>
      <c r="QXU209" s="2"/>
      <c r="QXV209" s="2"/>
      <c r="QXW209" s="2"/>
      <c r="QXX209" s="2"/>
      <c r="QXY209" s="2"/>
      <c r="QXZ209" s="2"/>
      <c r="QYA209" s="2"/>
      <c r="QYB209" s="2"/>
      <c r="QYC209" s="2"/>
      <c r="QYD209" s="2"/>
      <c r="QYE209" s="2"/>
      <c r="QYF209" s="2"/>
      <c r="QYG209" s="2"/>
      <c r="QYH209" s="2"/>
      <c r="QYI209" s="2"/>
      <c r="QYJ209" s="2"/>
      <c r="QYK209" s="2"/>
      <c r="QYL209" s="2"/>
      <c r="QYM209" s="2"/>
      <c r="QYN209" s="2"/>
      <c r="QYO209" s="2"/>
      <c r="QYP209" s="2"/>
      <c r="QYQ209" s="2"/>
      <c r="QYR209" s="2"/>
      <c r="QYS209" s="2"/>
      <c r="QYT209" s="2"/>
      <c r="QYU209" s="2"/>
      <c r="QYV209" s="2"/>
      <c r="QYW209" s="2"/>
      <c r="QYX209" s="2"/>
      <c r="QYY209" s="2"/>
      <c r="QYZ209" s="2"/>
      <c r="QZA209" s="2"/>
      <c r="QZB209" s="2"/>
      <c r="QZC209" s="2"/>
      <c r="QZD209" s="2"/>
      <c r="QZE209" s="2"/>
      <c r="QZF209" s="2"/>
      <c r="QZG209" s="2"/>
      <c r="QZH209" s="2"/>
      <c r="QZI209" s="2"/>
      <c r="QZJ209" s="2"/>
      <c r="QZK209" s="2"/>
      <c r="QZL209" s="2"/>
      <c r="QZM209" s="2"/>
      <c r="QZN209" s="2"/>
      <c r="QZO209" s="2"/>
      <c r="QZP209" s="2"/>
      <c r="QZQ209" s="2"/>
      <c r="QZR209" s="2"/>
      <c r="QZS209" s="2"/>
      <c r="QZT209" s="2"/>
      <c r="QZU209" s="2"/>
      <c r="QZV209" s="2"/>
      <c r="QZW209" s="2"/>
      <c r="QZX209" s="2"/>
      <c r="QZY209" s="2"/>
      <c r="QZZ209" s="2"/>
      <c r="RAA209" s="2"/>
      <c r="RAB209" s="2"/>
      <c r="RAC209" s="2"/>
      <c r="RAD209" s="2"/>
      <c r="RAE209" s="2"/>
      <c r="RAF209" s="2"/>
      <c r="RAG209" s="2"/>
      <c r="RAH209" s="2"/>
      <c r="RAI209" s="2"/>
      <c r="RAJ209" s="2"/>
      <c r="RAK209" s="2"/>
      <c r="RAL209" s="2"/>
      <c r="RAM209" s="2"/>
      <c r="RAN209" s="2"/>
      <c r="RAO209" s="2"/>
      <c r="RAP209" s="2"/>
      <c r="RAQ209" s="2"/>
      <c r="RAR209" s="2"/>
      <c r="RAS209" s="2"/>
      <c r="RAT209" s="2"/>
      <c r="RAU209" s="2"/>
      <c r="RAV209" s="2"/>
      <c r="RAW209" s="2"/>
      <c r="RAX209" s="2"/>
      <c r="RAY209" s="2"/>
      <c r="RAZ209" s="2"/>
      <c r="RBA209" s="2"/>
      <c r="RBB209" s="2"/>
      <c r="RBC209" s="2"/>
      <c r="RBD209" s="2"/>
      <c r="RBE209" s="2"/>
      <c r="RBF209" s="2"/>
      <c r="RBG209" s="2"/>
      <c r="RBH209" s="2"/>
      <c r="RBI209" s="2"/>
      <c r="RBJ209" s="2"/>
      <c r="RBK209" s="2"/>
      <c r="RBL209" s="2"/>
      <c r="RBM209" s="2"/>
      <c r="RBN209" s="2"/>
      <c r="RBO209" s="2"/>
      <c r="RBP209" s="2"/>
      <c r="RBQ209" s="2"/>
      <c r="RBR209" s="2"/>
      <c r="RBS209" s="2"/>
      <c r="RBT209" s="2"/>
      <c r="RBU209" s="2"/>
      <c r="RBV209" s="2"/>
      <c r="RBW209" s="2"/>
      <c r="RBX209" s="2"/>
      <c r="RBY209" s="2"/>
      <c r="RBZ209" s="2"/>
      <c r="RCA209" s="2"/>
      <c r="RCB209" s="2"/>
      <c r="RCC209" s="2"/>
      <c r="RCD209" s="2"/>
      <c r="RCE209" s="2"/>
      <c r="RCF209" s="2"/>
      <c r="RCG209" s="2"/>
      <c r="RCH209" s="2"/>
      <c r="RCI209" s="2"/>
      <c r="RCJ209" s="2"/>
      <c r="RCK209" s="2"/>
      <c r="RCL209" s="2"/>
      <c r="RCM209" s="2"/>
      <c r="RCN209" s="2"/>
      <c r="RCO209" s="2"/>
      <c r="RCP209" s="2"/>
      <c r="RCQ209" s="2"/>
      <c r="RCR209" s="2"/>
      <c r="RCS209" s="2"/>
      <c r="RCT209" s="2"/>
      <c r="RCU209" s="2"/>
      <c r="RCV209" s="2"/>
      <c r="RCW209" s="2"/>
      <c r="RCX209" s="2"/>
      <c r="RCY209" s="2"/>
      <c r="RCZ209" s="2"/>
      <c r="RDA209" s="2"/>
      <c r="RDB209" s="2"/>
      <c r="RDC209" s="2"/>
      <c r="RDD209" s="2"/>
      <c r="RDE209" s="2"/>
      <c r="RDF209" s="2"/>
      <c r="RDG209" s="2"/>
      <c r="RDH209" s="2"/>
      <c r="RDI209" s="2"/>
      <c r="RDJ209" s="2"/>
      <c r="RDK209" s="2"/>
      <c r="RDL209" s="2"/>
      <c r="RDM209" s="2"/>
      <c r="RDN209" s="2"/>
      <c r="RDO209" s="2"/>
      <c r="RDP209" s="2"/>
      <c r="RDQ209" s="2"/>
      <c r="RDR209" s="2"/>
      <c r="RDS209" s="2"/>
      <c r="RDT209" s="2"/>
      <c r="RDU209" s="2"/>
      <c r="RDV209" s="2"/>
      <c r="RDW209" s="2"/>
      <c r="RDX209" s="2"/>
      <c r="RDY209" s="2"/>
      <c r="RDZ209" s="2"/>
      <c r="REA209" s="2"/>
      <c r="REB209" s="2"/>
      <c r="REC209" s="2"/>
      <c r="RED209" s="2"/>
      <c r="REE209" s="2"/>
      <c r="REF209" s="2"/>
      <c r="REG209" s="2"/>
      <c r="REH209" s="2"/>
      <c r="REI209" s="2"/>
      <c r="REJ209" s="2"/>
      <c r="REK209" s="2"/>
      <c r="REL209" s="2"/>
      <c r="REM209" s="2"/>
      <c r="REN209" s="2"/>
      <c r="REO209" s="2"/>
      <c r="REP209" s="2"/>
      <c r="REQ209" s="2"/>
      <c r="RER209" s="2"/>
      <c r="RES209" s="2"/>
      <c r="RET209" s="2"/>
      <c r="REU209" s="2"/>
      <c r="REV209" s="2"/>
      <c r="REW209" s="2"/>
      <c r="REX209" s="2"/>
      <c r="REY209" s="2"/>
      <c r="REZ209" s="2"/>
      <c r="RFA209" s="2"/>
      <c r="RFB209" s="2"/>
      <c r="RFC209" s="2"/>
      <c r="RFD209" s="2"/>
      <c r="RFE209" s="2"/>
      <c r="RFF209" s="2"/>
      <c r="RFG209" s="2"/>
      <c r="RFH209" s="2"/>
      <c r="RFI209" s="2"/>
      <c r="RFJ209" s="2"/>
      <c r="RFK209" s="2"/>
      <c r="RFL209" s="2"/>
      <c r="RFM209" s="2"/>
      <c r="RFN209" s="2"/>
      <c r="RFO209" s="2"/>
      <c r="RFP209" s="2"/>
      <c r="RFQ209" s="2"/>
      <c r="RFR209" s="2"/>
      <c r="RFS209" s="2"/>
      <c r="RFT209" s="2"/>
      <c r="RFU209" s="2"/>
      <c r="RFV209" s="2"/>
      <c r="RFW209" s="2"/>
      <c r="RFX209" s="2"/>
      <c r="RFY209" s="2"/>
      <c r="RFZ209" s="2"/>
      <c r="RGA209" s="2"/>
      <c r="RGB209" s="2"/>
      <c r="RGC209" s="2"/>
      <c r="RGD209" s="2"/>
      <c r="RGE209" s="2"/>
      <c r="RGF209" s="2"/>
      <c r="RGG209" s="2"/>
      <c r="RGH209" s="2"/>
      <c r="RGI209" s="2"/>
      <c r="RGJ209" s="2"/>
      <c r="RGK209" s="2"/>
      <c r="RGL209" s="2"/>
      <c r="RGM209" s="2"/>
      <c r="RGN209" s="2"/>
      <c r="RGO209" s="2"/>
      <c r="RGP209" s="2"/>
      <c r="RGQ209" s="2"/>
      <c r="RGR209" s="2"/>
      <c r="RGS209" s="2"/>
      <c r="RGT209" s="2"/>
      <c r="RGU209" s="2"/>
      <c r="RGV209" s="2"/>
      <c r="RGW209" s="2"/>
      <c r="RGX209" s="2"/>
      <c r="RGY209" s="2"/>
      <c r="RGZ209" s="2"/>
      <c r="RHA209" s="2"/>
      <c r="RHB209" s="2"/>
      <c r="RHC209" s="2"/>
      <c r="RHD209" s="2"/>
      <c r="RHE209" s="2"/>
      <c r="RHF209" s="2"/>
      <c r="RHG209" s="2"/>
      <c r="RHH209" s="2"/>
      <c r="RHI209" s="2"/>
      <c r="RHJ209" s="2"/>
      <c r="RHK209" s="2"/>
      <c r="RHL209" s="2"/>
      <c r="RHM209" s="2"/>
      <c r="RHN209" s="2"/>
      <c r="RHO209" s="2"/>
      <c r="RHP209" s="2"/>
      <c r="RHQ209" s="2"/>
      <c r="RHR209" s="2"/>
      <c r="RHS209" s="2"/>
      <c r="RHT209" s="2"/>
      <c r="RHU209" s="2"/>
      <c r="RHV209" s="2"/>
      <c r="RHW209" s="2"/>
      <c r="RHX209" s="2"/>
      <c r="RHY209" s="2"/>
      <c r="RHZ209" s="2"/>
      <c r="RIA209" s="2"/>
      <c r="RIB209" s="2"/>
      <c r="RIC209" s="2"/>
      <c r="RID209" s="2"/>
      <c r="RIE209" s="2"/>
      <c r="RIF209" s="2"/>
      <c r="RIG209" s="2"/>
      <c r="RIH209" s="2"/>
      <c r="RII209" s="2"/>
      <c r="RIJ209" s="2"/>
      <c r="RIK209" s="2"/>
      <c r="RIL209" s="2"/>
      <c r="RIM209" s="2"/>
      <c r="RIN209" s="2"/>
      <c r="RIO209" s="2"/>
      <c r="RIP209" s="2"/>
      <c r="RIQ209" s="2"/>
      <c r="RIR209" s="2"/>
      <c r="RIS209" s="2"/>
      <c r="RIT209" s="2"/>
      <c r="RIU209" s="2"/>
      <c r="RIV209" s="2"/>
      <c r="RIW209" s="2"/>
      <c r="RIX209" s="2"/>
      <c r="RIY209" s="2"/>
      <c r="RIZ209" s="2"/>
      <c r="RJA209" s="2"/>
      <c r="RJB209" s="2"/>
      <c r="RJC209" s="2"/>
      <c r="RJD209" s="2"/>
      <c r="RJE209" s="2"/>
      <c r="RJF209" s="2"/>
      <c r="RJG209" s="2"/>
      <c r="RJH209" s="2"/>
      <c r="RJI209" s="2"/>
      <c r="RJJ209" s="2"/>
      <c r="RJK209" s="2"/>
      <c r="RJL209" s="2"/>
      <c r="RJM209" s="2"/>
      <c r="RJN209" s="2"/>
      <c r="RJO209" s="2"/>
      <c r="RJP209" s="2"/>
      <c r="RJQ209" s="2"/>
      <c r="RJR209" s="2"/>
      <c r="RJS209" s="2"/>
      <c r="RJT209" s="2"/>
      <c r="RJU209" s="2"/>
      <c r="RJV209" s="2"/>
      <c r="RJW209" s="2"/>
      <c r="RJX209" s="2"/>
      <c r="RJY209" s="2"/>
      <c r="RJZ209" s="2"/>
      <c r="RKA209" s="2"/>
      <c r="RKB209" s="2"/>
      <c r="RKC209" s="2"/>
      <c r="RKD209" s="2"/>
      <c r="RKE209" s="2"/>
      <c r="RKF209" s="2"/>
      <c r="RKG209" s="2"/>
      <c r="RKH209" s="2"/>
      <c r="RKI209" s="2"/>
      <c r="RKJ209" s="2"/>
      <c r="RKK209" s="2"/>
      <c r="RKL209" s="2"/>
      <c r="RKM209" s="2"/>
      <c r="RKN209" s="2"/>
      <c r="RKO209" s="2"/>
      <c r="RKP209" s="2"/>
      <c r="RKQ209" s="2"/>
      <c r="RKR209" s="2"/>
      <c r="RKS209" s="2"/>
      <c r="RKT209" s="2"/>
      <c r="RKU209" s="2"/>
      <c r="RKV209" s="2"/>
      <c r="RKW209" s="2"/>
      <c r="RKX209" s="2"/>
      <c r="RKY209" s="2"/>
      <c r="RKZ209" s="2"/>
      <c r="RLA209" s="2"/>
      <c r="RLB209" s="2"/>
      <c r="RLC209" s="2"/>
      <c r="RLD209" s="2"/>
      <c r="RLE209" s="2"/>
      <c r="RLF209" s="2"/>
      <c r="RLG209" s="2"/>
      <c r="RLH209" s="2"/>
      <c r="RLI209" s="2"/>
      <c r="RLJ209" s="2"/>
      <c r="RLK209" s="2"/>
      <c r="RLL209" s="2"/>
      <c r="RLM209" s="2"/>
      <c r="RLN209" s="2"/>
      <c r="RLO209" s="2"/>
      <c r="RLP209" s="2"/>
      <c r="RLQ209" s="2"/>
      <c r="RLR209" s="2"/>
      <c r="RLS209" s="2"/>
      <c r="RLT209" s="2"/>
      <c r="RLU209" s="2"/>
      <c r="RLV209" s="2"/>
      <c r="RLW209" s="2"/>
      <c r="RLX209" s="2"/>
      <c r="RLY209" s="2"/>
      <c r="RLZ209" s="2"/>
      <c r="RMA209" s="2"/>
      <c r="RMB209" s="2"/>
      <c r="RMC209" s="2"/>
      <c r="RMD209" s="2"/>
      <c r="RME209" s="2"/>
      <c r="RMF209" s="2"/>
      <c r="RMG209" s="2"/>
      <c r="RMH209" s="2"/>
      <c r="RMI209" s="2"/>
      <c r="RMJ209" s="2"/>
      <c r="RMK209" s="2"/>
      <c r="RML209" s="2"/>
      <c r="RMM209" s="2"/>
      <c r="RMN209" s="2"/>
      <c r="RMO209" s="2"/>
      <c r="RMP209" s="2"/>
      <c r="RMQ209" s="2"/>
      <c r="RMR209" s="2"/>
      <c r="RMS209" s="2"/>
      <c r="RMT209" s="2"/>
      <c r="RMU209" s="2"/>
      <c r="RMV209" s="2"/>
      <c r="RMW209" s="2"/>
      <c r="RMX209" s="2"/>
      <c r="RMY209" s="2"/>
      <c r="RMZ209" s="2"/>
      <c r="RNA209" s="2"/>
      <c r="RNB209" s="2"/>
      <c r="RNC209" s="2"/>
      <c r="RND209" s="2"/>
      <c r="RNE209" s="2"/>
      <c r="RNF209" s="2"/>
      <c r="RNG209" s="2"/>
      <c r="RNH209" s="2"/>
      <c r="RNI209" s="2"/>
      <c r="RNJ209" s="2"/>
      <c r="RNK209" s="2"/>
      <c r="RNL209" s="2"/>
      <c r="RNM209" s="2"/>
      <c r="RNN209" s="2"/>
      <c r="RNO209" s="2"/>
      <c r="RNP209" s="2"/>
      <c r="RNQ209" s="2"/>
      <c r="RNR209" s="2"/>
      <c r="RNS209" s="2"/>
      <c r="RNT209" s="2"/>
      <c r="RNU209" s="2"/>
      <c r="RNV209" s="2"/>
      <c r="RNW209" s="2"/>
      <c r="RNX209" s="2"/>
      <c r="RNY209" s="2"/>
      <c r="RNZ209" s="2"/>
      <c r="ROA209" s="2"/>
      <c r="ROB209" s="2"/>
      <c r="ROC209" s="2"/>
      <c r="ROD209" s="2"/>
      <c r="ROE209" s="2"/>
      <c r="ROF209" s="2"/>
      <c r="ROG209" s="2"/>
      <c r="ROH209" s="2"/>
      <c r="ROI209" s="2"/>
      <c r="ROJ209" s="2"/>
      <c r="ROK209" s="2"/>
      <c r="ROL209" s="2"/>
      <c r="ROM209" s="2"/>
      <c r="RON209" s="2"/>
      <c r="ROO209" s="2"/>
      <c r="ROP209" s="2"/>
      <c r="ROQ209" s="2"/>
      <c r="ROR209" s="2"/>
      <c r="ROS209" s="2"/>
      <c r="ROT209" s="2"/>
      <c r="ROU209" s="2"/>
      <c r="ROV209" s="2"/>
      <c r="ROW209" s="2"/>
      <c r="ROX209" s="2"/>
      <c r="ROY209" s="2"/>
      <c r="ROZ209" s="2"/>
      <c r="RPA209" s="2"/>
      <c r="RPB209" s="2"/>
      <c r="RPC209" s="2"/>
      <c r="RPD209" s="2"/>
      <c r="RPE209" s="2"/>
      <c r="RPF209" s="2"/>
      <c r="RPG209" s="2"/>
      <c r="RPH209" s="2"/>
      <c r="RPI209" s="2"/>
      <c r="RPJ209" s="2"/>
      <c r="RPK209" s="2"/>
      <c r="RPL209" s="2"/>
      <c r="RPM209" s="2"/>
      <c r="RPN209" s="2"/>
      <c r="RPO209" s="2"/>
      <c r="RPP209" s="2"/>
      <c r="RPQ209" s="2"/>
      <c r="RPR209" s="2"/>
      <c r="RPS209" s="2"/>
      <c r="RPT209" s="2"/>
      <c r="RPU209" s="2"/>
      <c r="RPV209" s="2"/>
      <c r="RPW209" s="2"/>
      <c r="RPX209" s="2"/>
      <c r="RPY209" s="2"/>
      <c r="RPZ209" s="2"/>
      <c r="RQA209" s="2"/>
      <c r="RQB209" s="2"/>
      <c r="RQC209" s="2"/>
      <c r="RQD209" s="2"/>
      <c r="RQE209" s="2"/>
      <c r="RQF209" s="2"/>
      <c r="RQG209" s="2"/>
      <c r="RQH209" s="2"/>
      <c r="RQI209" s="2"/>
      <c r="RQJ209" s="2"/>
      <c r="RQK209" s="2"/>
      <c r="RQL209" s="2"/>
      <c r="RQM209" s="2"/>
      <c r="RQN209" s="2"/>
      <c r="RQO209" s="2"/>
      <c r="RQP209" s="2"/>
      <c r="RQQ209" s="2"/>
      <c r="RQR209" s="2"/>
      <c r="RQS209" s="2"/>
      <c r="RQT209" s="2"/>
      <c r="RQU209" s="2"/>
      <c r="RQV209" s="2"/>
      <c r="RQW209" s="2"/>
      <c r="RQX209" s="2"/>
      <c r="RQY209" s="2"/>
      <c r="RQZ209" s="2"/>
      <c r="RRA209" s="2"/>
      <c r="RRB209" s="2"/>
      <c r="RRC209" s="2"/>
      <c r="RRD209" s="2"/>
      <c r="RRE209" s="2"/>
      <c r="RRF209" s="2"/>
      <c r="RRG209" s="2"/>
      <c r="RRH209" s="2"/>
      <c r="RRI209" s="2"/>
      <c r="RRJ209" s="2"/>
      <c r="RRK209" s="2"/>
      <c r="RRL209" s="2"/>
      <c r="RRM209" s="2"/>
      <c r="RRN209" s="2"/>
      <c r="RRO209" s="2"/>
      <c r="RRP209" s="2"/>
      <c r="RRQ209" s="2"/>
      <c r="RRR209" s="2"/>
      <c r="RRS209" s="2"/>
      <c r="RRT209" s="2"/>
      <c r="RRU209" s="2"/>
      <c r="RRV209" s="2"/>
      <c r="RRW209" s="2"/>
      <c r="RRX209" s="2"/>
      <c r="RRY209" s="2"/>
      <c r="RRZ209" s="2"/>
      <c r="RSA209" s="2"/>
      <c r="RSB209" s="2"/>
      <c r="RSC209" s="2"/>
      <c r="RSD209" s="2"/>
      <c r="RSE209" s="2"/>
      <c r="RSF209" s="2"/>
      <c r="RSG209" s="2"/>
      <c r="RSH209" s="2"/>
      <c r="RSI209" s="2"/>
      <c r="RSJ209" s="2"/>
      <c r="RSK209" s="2"/>
      <c r="RSL209" s="2"/>
      <c r="RSM209" s="2"/>
      <c r="RSN209" s="2"/>
      <c r="RSO209" s="2"/>
      <c r="RSP209" s="2"/>
      <c r="RSQ209" s="2"/>
      <c r="RSR209" s="2"/>
      <c r="RSS209" s="2"/>
      <c r="RST209" s="2"/>
      <c r="RSU209" s="2"/>
      <c r="RSV209" s="2"/>
      <c r="RSW209" s="2"/>
      <c r="RSX209" s="2"/>
      <c r="RSY209" s="2"/>
      <c r="RSZ209" s="2"/>
      <c r="RTA209" s="2"/>
      <c r="RTB209" s="2"/>
      <c r="RTC209" s="2"/>
      <c r="RTD209" s="2"/>
      <c r="RTE209" s="2"/>
      <c r="RTF209" s="2"/>
      <c r="RTG209" s="2"/>
      <c r="RTH209" s="2"/>
      <c r="RTI209" s="2"/>
      <c r="RTJ209" s="2"/>
      <c r="RTK209" s="2"/>
      <c r="RTL209" s="2"/>
      <c r="RTM209" s="2"/>
      <c r="RTN209" s="2"/>
      <c r="RTO209" s="2"/>
      <c r="RTP209" s="2"/>
      <c r="RTQ209" s="2"/>
      <c r="RTR209" s="2"/>
      <c r="RTS209" s="2"/>
      <c r="RTT209" s="2"/>
      <c r="RTU209" s="2"/>
      <c r="RTV209" s="2"/>
      <c r="RTW209" s="2"/>
      <c r="RTX209" s="2"/>
      <c r="RTY209" s="2"/>
      <c r="RTZ209" s="2"/>
      <c r="RUA209" s="2"/>
      <c r="RUB209" s="2"/>
      <c r="RUC209" s="2"/>
      <c r="RUD209" s="2"/>
      <c r="RUE209" s="2"/>
      <c r="RUF209" s="2"/>
      <c r="RUG209" s="2"/>
      <c r="RUH209" s="2"/>
      <c r="RUI209" s="2"/>
      <c r="RUJ209" s="2"/>
      <c r="RUK209" s="2"/>
      <c r="RUL209" s="2"/>
      <c r="RUM209" s="2"/>
      <c r="RUN209" s="2"/>
      <c r="RUO209" s="2"/>
      <c r="RUP209" s="2"/>
      <c r="RUQ209" s="2"/>
      <c r="RUR209" s="2"/>
      <c r="RUS209" s="2"/>
      <c r="RUT209" s="2"/>
      <c r="RUU209" s="2"/>
      <c r="RUV209" s="2"/>
      <c r="RUW209" s="2"/>
      <c r="RUX209" s="2"/>
      <c r="RUY209" s="2"/>
      <c r="RUZ209" s="2"/>
      <c r="RVA209" s="2"/>
      <c r="RVB209" s="2"/>
      <c r="RVC209" s="2"/>
      <c r="RVD209" s="2"/>
      <c r="RVE209" s="2"/>
      <c r="RVF209" s="2"/>
      <c r="RVG209" s="2"/>
      <c r="RVH209" s="2"/>
      <c r="RVI209" s="2"/>
      <c r="RVJ209" s="2"/>
      <c r="RVK209" s="2"/>
      <c r="RVL209" s="2"/>
      <c r="RVM209" s="2"/>
      <c r="RVN209" s="2"/>
      <c r="RVO209" s="2"/>
      <c r="RVP209" s="2"/>
      <c r="RVQ209" s="2"/>
      <c r="RVR209" s="2"/>
      <c r="RVS209" s="2"/>
      <c r="RVT209" s="2"/>
      <c r="RVU209" s="2"/>
      <c r="RVV209" s="2"/>
      <c r="RVW209" s="2"/>
      <c r="RVX209" s="2"/>
      <c r="RVY209" s="2"/>
      <c r="RVZ209" s="2"/>
      <c r="RWA209" s="2"/>
      <c r="RWB209" s="2"/>
      <c r="RWC209" s="2"/>
      <c r="RWD209" s="2"/>
      <c r="RWE209" s="2"/>
      <c r="RWF209" s="2"/>
      <c r="RWG209" s="2"/>
      <c r="RWH209" s="2"/>
      <c r="RWI209" s="2"/>
      <c r="RWJ209" s="2"/>
      <c r="RWK209" s="2"/>
      <c r="RWL209" s="2"/>
      <c r="RWM209" s="2"/>
      <c r="RWN209" s="2"/>
      <c r="RWO209" s="2"/>
      <c r="RWP209" s="2"/>
      <c r="RWQ209" s="2"/>
      <c r="RWR209" s="2"/>
      <c r="RWS209" s="2"/>
      <c r="RWT209" s="2"/>
      <c r="RWU209" s="2"/>
      <c r="RWV209" s="2"/>
      <c r="RWW209" s="2"/>
      <c r="RWX209" s="2"/>
      <c r="RWY209" s="2"/>
      <c r="RWZ209" s="2"/>
      <c r="RXA209" s="2"/>
      <c r="RXB209" s="2"/>
      <c r="RXC209" s="2"/>
      <c r="RXD209" s="2"/>
      <c r="RXE209" s="2"/>
      <c r="RXF209" s="2"/>
      <c r="RXG209" s="2"/>
      <c r="RXH209" s="2"/>
      <c r="RXI209" s="2"/>
      <c r="RXJ209" s="2"/>
      <c r="RXK209" s="2"/>
      <c r="RXL209" s="2"/>
      <c r="RXM209" s="2"/>
      <c r="RXN209" s="2"/>
      <c r="RXO209" s="2"/>
      <c r="RXP209" s="2"/>
      <c r="RXQ209" s="2"/>
      <c r="RXR209" s="2"/>
      <c r="RXS209" s="2"/>
      <c r="RXT209" s="2"/>
      <c r="RXU209" s="2"/>
      <c r="RXV209" s="2"/>
      <c r="RXW209" s="2"/>
      <c r="RXX209" s="2"/>
      <c r="RXY209" s="2"/>
      <c r="RXZ209" s="2"/>
      <c r="RYA209" s="2"/>
      <c r="RYB209" s="2"/>
      <c r="RYC209" s="2"/>
      <c r="RYD209" s="2"/>
      <c r="RYE209" s="2"/>
      <c r="RYF209" s="2"/>
      <c r="RYG209" s="2"/>
      <c r="RYH209" s="2"/>
      <c r="RYI209" s="2"/>
      <c r="RYJ209" s="2"/>
      <c r="RYK209" s="2"/>
      <c r="RYL209" s="2"/>
      <c r="RYM209" s="2"/>
      <c r="RYN209" s="2"/>
      <c r="RYO209" s="2"/>
      <c r="RYP209" s="2"/>
      <c r="RYQ209" s="2"/>
      <c r="RYR209" s="2"/>
      <c r="RYS209" s="2"/>
      <c r="RYT209" s="2"/>
      <c r="RYU209" s="2"/>
      <c r="RYV209" s="2"/>
      <c r="RYW209" s="2"/>
      <c r="RYX209" s="2"/>
      <c r="RYY209" s="2"/>
      <c r="RYZ209" s="2"/>
      <c r="RZA209" s="2"/>
      <c r="RZB209" s="2"/>
      <c r="RZC209" s="2"/>
      <c r="RZD209" s="2"/>
      <c r="RZE209" s="2"/>
      <c r="RZF209" s="2"/>
      <c r="RZG209" s="2"/>
      <c r="RZH209" s="2"/>
      <c r="RZI209" s="2"/>
      <c r="RZJ209" s="2"/>
      <c r="RZK209" s="2"/>
      <c r="RZL209" s="2"/>
      <c r="RZM209" s="2"/>
      <c r="RZN209" s="2"/>
      <c r="RZO209" s="2"/>
      <c r="RZP209" s="2"/>
      <c r="RZQ209" s="2"/>
      <c r="RZR209" s="2"/>
      <c r="RZS209" s="2"/>
      <c r="RZT209" s="2"/>
      <c r="RZU209" s="2"/>
      <c r="RZV209" s="2"/>
      <c r="RZW209" s="2"/>
      <c r="RZX209" s="2"/>
      <c r="RZY209" s="2"/>
      <c r="RZZ209" s="2"/>
      <c r="SAA209" s="2"/>
      <c r="SAB209" s="2"/>
      <c r="SAC209" s="2"/>
      <c r="SAD209" s="2"/>
      <c r="SAE209" s="2"/>
      <c r="SAF209" s="2"/>
      <c r="SAG209" s="2"/>
      <c r="SAH209" s="2"/>
      <c r="SAI209" s="2"/>
      <c r="SAJ209" s="2"/>
      <c r="SAK209" s="2"/>
      <c r="SAL209" s="2"/>
      <c r="SAM209" s="2"/>
      <c r="SAN209" s="2"/>
      <c r="SAO209" s="2"/>
      <c r="SAP209" s="2"/>
      <c r="SAQ209" s="2"/>
      <c r="SAR209" s="2"/>
      <c r="SAS209" s="2"/>
      <c r="SAT209" s="2"/>
      <c r="SAU209" s="2"/>
      <c r="SAV209" s="2"/>
      <c r="SAW209" s="2"/>
      <c r="SAX209" s="2"/>
      <c r="SAY209" s="2"/>
      <c r="SAZ209" s="2"/>
      <c r="SBA209" s="2"/>
      <c r="SBB209" s="2"/>
      <c r="SBC209" s="2"/>
      <c r="SBD209" s="2"/>
      <c r="SBE209" s="2"/>
      <c r="SBF209" s="2"/>
      <c r="SBG209" s="2"/>
      <c r="SBH209" s="2"/>
      <c r="SBI209" s="2"/>
      <c r="SBJ209" s="2"/>
      <c r="SBK209" s="2"/>
      <c r="SBL209" s="2"/>
      <c r="SBM209" s="2"/>
      <c r="SBN209" s="2"/>
      <c r="SBO209" s="2"/>
      <c r="SBP209" s="2"/>
      <c r="SBQ209" s="2"/>
      <c r="SBR209" s="2"/>
      <c r="SBS209" s="2"/>
      <c r="SBT209" s="2"/>
      <c r="SBU209" s="2"/>
      <c r="SBV209" s="2"/>
      <c r="SBW209" s="2"/>
      <c r="SBX209" s="2"/>
      <c r="SBY209" s="2"/>
      <c r="SBZ209" s="2"/>
      <c r="SCA209" s="2"/>
      <c r="SCB209" s="2"/>
      <c r="SCC209" s="2"/>
      <c r="SCD209" s="2"/>
      <c r="SCE209" s="2"/>
      <c r="SCF209" s="2"/>
      <c r="SCG209" s="2"/>
      <c r="SCH209" s="2"/>
      <c r="SCI209" s="2"/>
      <c r="SCJ209" s="2"/>
      <c r="SCK209" s="2"/>
      <c r="SCL209" s="2"/>
      <c r="SCM209" s="2"/>
      <c r="SCN209" s="2"/>
      <c r="SCO209" s="2"/>
      <c r="SCP209" s="2"/>
      <c r="SCQ209" s="2"/>
      <c r="SCR209" s="2"/>
      <c r="SCS209" s="2"/>
      <c r="SCT209" s="2"/>
      <c r="SCU209" s="2"/>
      <c r="SCV209" s="2"/>
      <c r="SCW209" s="2"/>
      <c r="SCX209" s="2"/>
      <c r="SCY209" s="2"/>
      <c r="SCZ209" s="2"/>
      <c r="SDA209" s="2"/>
      <c r="SDB209" s="2"/>
      <c r="SDC209" s="2"/>
      <c r="SDD209" s="2"/>
      <c r="SDE209" s="2"/>
      <c r="SDF209" s="2"/>
      <c r="SDG209" s="2"/>
      <c r="SDH209" s="2"/>
      <c r="SDI209" s="2"/>
      <c r="SDJ209" s="2"/>
      <c r="SDK209" s="2"/>
      <c r="SDL209" s="2"/>
      <c r="SDM209" s="2"/>
      <c r="SDN209" s="2"/>
      <c r="SDO209" s="2"/>
      <c r="SDP209" s="2"/>
      <c r="SDQ209" s="2"/>
      <c r="SDR209" s="2"/>
      <c r="SDS209" s="2"/>
      <c r="SDT209" s="2"/>
      <c r="SDU209" s="2"/>
      <c r="SDV209" s="2"/>
      <c r="SDW209" s="2"/>
      <c r="SDX209" s="2"/>
      <c r="SDY209" s="2"/>
      <c r="SDZ209" s="2"/>
      <c r="SEA209" s="2"/>
      <c r="SEB209" s="2"/>
      <c r="SEC209" s="2"/>
      <c r="SED209" s="2"/>
      <c r="SEE209" s="2"/>
      <c r="SEF209" s="2"/>
      <c r="SEG209" s="2"/>
      <c r="SEH209" s="2"/>
      <c r="SEI209" s="2"/>
      <c r="SEJ209" s="2"/>
      <c r="SEK209" s="2"/>
      <c r="SEL209" s="2"/>
      <c r="SEM209" s="2"/>
      <c r="SEN209" s="2"/>
      <c r="SEO209" s="2"/>
      <c r="SEP209" s="2"/>
      <c r="SEQ209" s="2"/>
      <c r="SER209" s="2"/>
      <c r="SES209" s="2"/>
      <c r="SET209" s="2"/>
      <c r="SEU209" s="2"/>
      <c r="SEV209" s="2"/>
      <c r="SEW209" s="2"/>
      <c r="SEX209" s="2"/>
      <c r="SEY209" s="2"/>
      <c r="SEZ209" s="2"/>
      <c r="SFA209" s="2"/>
      <c r="SFB209" s="2"/>
      <c r="SFC209" s="2"/>
      <c r="SFD209" s="2"/>
      <c r="SFE209" s="2"/>
      <c r="SFF209" s="2"/>
      <c r="SFG209" s="2"/>
      <c r="SFH209" s="2"/>
      <c r="SFI209" s="2"/>
      <c r="SFJ209" s="2"/>
      <c r="SFK209" s="2"/>
      <c r="SFL209" s="2"/>
      <c r="SFM209" s="2"/>
      <c r="SFN209" s="2"/>
      <c r="SFO209" s="2"/>
      <c r="SFP209" s="2"/>
      <c r="SFQ209" s="2"/>
      <c r="SFR209" s="2"/>
      <c r="SFS209" s="2"/>
      <c r="SFT209" s="2"/>
      <c r="SFU209" s="2"/>
      <c r="SFV209" s="2"/>
      <c r="SFW209" s="2"/>
      <c r="SFX209" s="2"/>
      <c r="SFY209" s="2"/>
      <c r="SFZ209" s="2"/>
      <c r="SGA209" s="2"/>
      <c r="SGB209" s="2"/>
      <c r="SGC209" s="2"/>
      <c r="SGD209" s="2"/>
      <c r="SGE209" s="2"/>
      <c r="SGF209" s="2"/>
      <c r="SGG209" s="2"/>
      <c r="SGH209" s="2"/>
      <c r="SGI209" s="2"/>
      <c r="SGJ209" s="2"/>
      <c r="SGK209" s="2"/>
      <c r="SGL209" s="2"/>
      <c r="SGM209" s="2"/>
      <c r="SGN209" s="2"/>
      <c r="SGO209" s="2"/>
      <c r="SGP209" s="2"/>
      <c r="SGQ209" s="2"/>
      <c r="SGR209" s="2"/>
      <c r="SGS209" s="2"/>
      <c r="SGT209" s="2"/>
      <c r="SGU209" s="2"/>
      <c r="SGV209" s="2"/>
      <c r="SGW209" s="2"/>
      <c r="SGX209" s="2"/>
      <c r="SGY209" s="2"/>
      <c r="SGZ209" s="2"/>
      <c r="SHA209" s="2"/>
      <c r="SHB209" s="2"/>
      <c r="SHC209" s="2"/>
      <c r="SHD209" s="2"/>
      <c r="SHE209" s="2"/>
      <c r="SHF209" s="2"/>
      <c r="SHG209" s="2"/>
      <c r="SHH209" s="2"/>
      <c r="SHI209" s="2"/>
      <c r="SHJ209" s="2"/>
      <c r="SHK209" s="2"/>
      <c r="SHL209" s="2"/>
      <c r="SHM209" s="2"/>
      <c r="SHN209" s="2"/>
      <c r="SHO209" s="2"/>
      <c r="SHP209" s="2"/>
      <c r="SHQ209" s="2"/>
      <c r="SHR209" s="2"/>
      <c r="SHS209" s="2"/>
      <c r="SHT209" s="2"/>
      <c r="SHU209" s="2"/>
      <c r="SHV209" s="2"/>
      <c r="SHW209" s="2"/>
      <c r="SHX209" s="2"/>
      <c r="SHY209" s="2"/>
      <c r="SHZ209" s="2"/>
      <c r="SIA209" s="2"/>
      <c r="SIB209" s="2"/>
      <c r="SIC209" s="2"/>
      <c r="SID209" s="2"/>
      <c r="SIE209" s="2"/>
      <c r="SIF209" s="2"/>
      <c r="SIG209" s="2"/>
      <c r="SIH209" s="2"/>
      <c r="SII209" s="2"/>
      <c r="SIJ209" s="2"/>
      <c r="SIK209" s="2"/>
      <c r="SIL209" s="2"/>
      <c r="SIM209" s="2"/>
      <c r="SIN209" s="2"/>
      <c r="SIO209" s="2"/>
      <c r="SIP209" s="2"/>
      <c r="SIQ209" s="2"/>
      <c r="SIR209" s="2"/>
      <c r="SIS209" s="2"/>
      <c r="SIT209" s="2"/>
      <c r="SIU209" s="2"/>
      <c r="SIV209" s="2"/>
      <c r="SIW209" s="2"/>
      <c r="SIX209" s="2"/>
      <c r="SIY209" s="2"/>
      <c r="SIZ209" s="2"/>
      <c r="SJA209" s="2"/>
      <c r="SJB209" s="2"/>
      <c r="SJC209" s="2"/>
      <c r="SJD209" s="2"/>
      <c r="SJE209" s="2"/>
      <c r="SJF209" s="2"/>
      <c r="SJG209" s="2"/>
      <c r="SJH209" s="2"/>
      <c r="SJI209" s="2"/>
      <c r="SJJ209" s="2"/>
      <c r="SJK209" s="2"/>
      <c r="SJL209" s="2"/>
      <c r="SJM209" s="2"/>
      <c r="SJN209" s="2"/>
      <c r="SJO209" s="2"/>
      <c r="SJP209" s="2"/>
      <c r="SJQ209" s="2"/>
      <c r="SJR209" s="2"/>
      <c r="SJS209" s="2"/>
      <c r="SJT209" s="2"/>
      <c r="SJU209" s="2"/>
      <c r="SJV209" s="2"/>
      <c r="SJW209" s="2"/>
      <c r="SJX209" s="2"/>
      <c r="SJY209" s="2"/>
      <c r="SJZ209" s="2"/>
      <c r="SKA209" s="2"/>
      <c r="SKB209" s="2"/>
      <c r="SKC209" s="2"/>
      <c r="SKD209" s="2"/>
      <c r="SKE209" s="2"/>
      <c r="SKF209" s="2"/>
      <c r="SKG209" s="2"/>
      <c r="SKH209" s="2"/>
      <c r="SKI209" s="2"/>
      <c r="SKJ209" s="2"/>
      <c r="SKK209" s="2"/>
      <c r="SKL209" s="2"/>
      <c r="SKM209" s="2"/>
      <c r="SKN209" s="2"/>
      <c r="SKO209" s="2"/>
      <c r="SKP209" s="2"/>
      <c r="SKQ209" s="2"/>
      <c r="SKR209" s="2"/>
      <c r="SKS209" s="2"/>
      <c r="SKT209" s="2"/>
      <c r="SKU209" s="2"/>
      <c r="SKV209" s="2"/>
      <c r="SKW209" s="2"/>
      <c r="SKX209" s="2"/>
      <c r="SKY209" s="2"/>
      <c r="SKZ209" s="2"/>
      <c r="SLA209" s="2"/>
      <c r="SLB209" s="2"/>
      <c r="SLC209" s="2"/>
      <c r="SLD209" s="2"/>
      <c r="SLE209" s="2"/>
      <c r="SLF209" s="2"/>
      <c r="SLG209" s="2"/>
      <c r="SLH209" s="2"/>
      <c r="SLI209" s="2"/>
      <c r="SLJ209" s="2"/>
      <c r="SLK209" s="2"/>
      <c r="SLL209" s="2"/>
      <c r="SLM209" s="2"/>
      <c r="SLN209" s="2"/>
      <c r="SLO209" s="2"/>
      <c r="SLP209" s="2"/>
      <c r="SLQ209" s="2"/>
      <c r="SLR209" s="2"/>
      <c r="SLS209" s="2"/>
      <c r="SLT209" s="2"/>
      <c r="SLU209" s="2"/>
      <c r="SLV209" s="2"/>
      <c r="SLW209" s="2"/>
      <c r="SLX209" s="2"/>
      <c r="SLY209" s="2"/>
      <c r="SLZ209" s="2"/>
      <c r="SMA209" s="2"/>
      <c r="SMB209" s="2"/>
      <c r="SMC209" s="2"/>
      <c r="SMD209" s="2"/>
      <c r="SME209" s="2"/>
      <c r="SMF209" s="2"/>
      <c r="SMG209" s="2"/>
      <c r="SMH209" s="2"/>
      <c r="SMI209" s="2"/>
      <c r="SMJ209" s="2"/>
      <c r="SMK209" s="2"/>
      <c r="SML209" s="2"/>
      <c r="SMM209" s="2"/>
      <c r="SMN209" s="2"/>
      <c r="SMO209" s="2"/>
      <c r="SMP209" s="2"/>
      <c r="SMQ209" s="2"/>
      <c r="SMR209" s="2"/>
      <c r="SMS209" s="2"/>
      <c r="SMT209" s="2"/>
      <c r="SMU209" s="2"/>
      <c r="SMV209" s="2"/>
      <c r="SMW209" s="2"/>
      <c r="SMX209" s="2"/>
      <c r="SMY209" s="2"/>
      <c r="SMZ209" s="2"/>
      <c r="SNA209" s="2"/>
      <c r="SNB209" s="2"/>
      <c r="SNC209" s="2"/>
      <c r="SND209" s="2"/>
      <c r="SNE209" s="2"/>
      <c r="SNF209" s="2"/>
      <c r="SNG209" s="2"/>
      <c r="SNH209" s="2"/>
      <c r="SNI209" s="2"/>
      <c r="SNJ209" s="2"/>
      <c r="SNK209" s="2"/>
      <c r="SNL209" s="2"/>
      <c r="SNM209" s="2"/>
      <c r="SNN209" s="2"/>
      <c r="SNO209" s="2"/>
      <c r="SNP209" s="2"/>
      <c r="SNQ209" s="2"/>
      <c r="SNR209" s="2"/>
      <c r="SNS209" s="2"/>
      <c r="SNT209" s="2"/>
      <c r="SNU209" s="2"/>
      <c r="SNV209" s="2"/>
      <c r="SNW209" s="2"/>
      <c r="SNX209" s="2"/>
      <c r="SNY209" s="2"/>
      <c r="SNZ209" s="2"/>
      <c r="SOA209" s="2"/>
      <c r="SOB209" s="2"/>
      <c r="SOC209" s="2"/>
      <c r="SOD209" s="2"/>
      <c r="SOE209" s="2"/>
      <c r="SOF209" s="2"/>
      <c r="SOG209" s="2"/>
      <c r="SOH209" s="2"/>
      <c r="SOI209" s="2"/>
      <c r="SOJ209" s="2"/>
      <c r="SOK209" s="2"/>
      <c r="SOL209" s="2"/>
      <c r="SOM209" s="2"/>
      <c r="SON209" s="2"/>
      <c r="SOO209" s="2"/>
      <c r="SOP209" s="2"/>
      <c r="SOQ209" s="2"/>
      <c r="SOR209" s="2"/>
      <c r="SOS209" s="2"/>
      <c r="SOT209" s="2"/>
      <c r="SOU209" s="2"/>
      <c r="SOV209" s="2"/>
      <c r="SOW209" s="2"/>
      <c r="SOX209" s="2"/>
      <c r="SOY209" s="2"/>
      <c r="SOZ209" s="2"/>
      <c r="SPA209" s="2"/>
      <c r="SPB209" s="2"/>
      <c r="SPC209" s="2"/>
      <c r="SPD209" s="2"/>
      <c r="SPE209" s="2"/>
      <c r="SPF209" s="2"/>
      <c r="SPG209" s="2"/>
      <c r="SPH209" s="2"/>
      <c r="SPI209" s="2"/>
      <c r="SPJ209" s="2"/>
      <c r="SPK209" s="2"/>
      <c r="SPL209" s="2"/>
      <c r="SPM209" s="2"/>
      <c r="SPN209" s="2"/>
      <c r="SPO209" s="2"/>
      <c r="SPP209" s="2"/>
      <c r="SPQ209" s="2"/>
      <c r="SPR209" s="2"/>
      <c r="SPS209" s="2"/>
      <c r="SPT209" s="2"/>
      <c r="SPU209" s="2"/>
      <c r="SPV209" s="2"/>
      <c r="SPW209" s="2"/>
      <c r="SPX209" s="2"/>
      <c r="SPY209" s="2"/>
      <c r="SPZ209" s="2"/>
      <c r="SQA209" s="2"/>
      <c r="SQB209" s="2"/>
      <c r="SQC209" s="2"/>
      <c r="SQD209" s="2"/>
      <c r="SQE209" s="2"/>
      <c r="SQF209" s="2"/>
      <c r="SQG209" s="2"/>
      <c r="SQH209" s="2"/>
      <c r="SQI209" s="2"/>
      <c r="SQJ209" s="2"/>
      <c r="SQK209" s="2"/>
      <c r="SQL209" s="2"/>
      <c r="SQM209" s="2"/>
      <c r="SQN209" s="2"/>
      <c r="SQO209" s="2"/>
      <c r="SQP209" s="2"/>
      <c r="SQQ209" s="2"/>
      <c r="SQR209" s="2"/>
      <c r="SQS209" s="2"/>
      <c r="SQT209" s="2"/>
      <c r="SQU209" s="2"/>
      <c r="SQV209" s="2"/>
      <c r="SQW209" s="2"/>
      <c r="SQX209" s="2"/>
      <c r="SQY209" s="2"/>
      <c r="SQZ209" s="2"/>
      <c r="SRA209" s="2"/>
      <c r="SRB209" s="2"/>
      <c r="SRC209" s="2"/>
      <c r="SRD209" s="2"/>
      <c r="SRE209" s="2"/>
      <c r="SRF209" s="2"/>
      <c r="SRG209" s="2"/>
      <c r="SRH209" s="2"/>
      <c r="SRI209" s="2"/>
      <c r="SRJ209" s="2"/>
      <c r="SRK209" s="2"/>
      <c r="SRL209" s="2"/>
      <c r="SRM209" s="2"/>
      <c r="SRN209" s="2"/>
      <c r="SRO209" s="2"/>
      <c r="SRP209" s="2"/>
      <c r="SRQ209" s="2"/>
      <c r="SRR209" s="2"/>
      <c r="SRS209" s="2"/>
      <c r="SRT209" s="2"/>
      <c r="SRU209" s="2"/>
      <c r="SRV209" s="2"/>
      <c r="SRW209" s="2"/>
      <c r="SRX209" s="2"/>
      <c r="SRY209" s="2"/>
      <c r="SRZ209" s="2"/>
      <c r="SSA209" s="2"/>
      <c r="SSB209" s="2"/>
      <c r="SSC209" s="2"/>
      <c r="SSD209" s="2"/>
      <c r="SSE209" s="2"/>
      <c r="SSF209" s="2"/>
      <c r="SSG209" s="2"/>
      <c r="SSH209" s="2"/>
      <c r="SSI209" s="2"/>
      <c r="SSJ209" s="2"/>
      <c r="SSK209" s="2"/>
      <c r="SSL209" s="2"/>
      <c r="SSM209" s="2"/>
      <c r="SSN209" s="2"/>
      <c r="SSO209" s="2"/>
      <c r="SSP209" s="2"/>
      <c r="SSQ209" s="2"/>
      <c r="SSR209" s="2"/>
      <c r="SSS209" s="2"/>
      <c r="SST209" s="2"/>
      <c r="SSU209" s="2"/>
      <c r="SSV209" s="2"/>
      <c r="SSW209" s="2"/>
      <c r="SSX209" s="2"/>
      <c r="SSY209" s="2"/>
      <c r="SSZ209" s="2"/>
      <c r="STA209" s="2"/>
      <c r="STB209" s="2"/>
      <c r="STC209" s="2"/>
      <c r="STD209" s="2"/>
      <c r="STE209" s="2"/>
      <c r="STF209" s="2"/>
      <c r="STG209" s="2"/>
      <c r="STH209" s="2"/>
      <c r="STI209" s="2"/>
      <c r="STJ209" s="2"/>
      <c r="STK209" s="2"/>
      <c r="STL209" s="2"/>
      <c r="STM209" s="2"/>
      <c r="STN209" s="2"/>
      <c r="STO209" s="2"/>
      <c r="STP209" s="2"/>
      <c r="STQ209" s="2"/>
      <c r="STR209" s="2"/>
      <c r="STS209" s="2"/>
      <c r="STT209" s="2"/>
      <c r="STU209" s="2"/>
      <c r="STV209" s="2"/>
      <c r="STW209" s="2"/>
      <c r="STX209" s="2"/>
      <c r="STY209" s="2"/>
      <c r="STZ209" s="2"/>
      <c r="SUA209" s="2"/>
      <c r="SUB209" s="2"/>
      <c r="SUC209" s="2"/>
      <c r="SUD209" s="2"/>
      <c r="SUE209" s="2"/>
      <c r="SUF209" s="2"/>
      <c r="SUG209" s="2"/>
      <c r="SUH209" s="2"/>
      <c r="SUI209" s="2"/>
      <c r="SUJ209" s="2"/>
      <c r="SUK209" s="2"/>
      <c r="SUL209" s="2"/>
      <c r="SUM209" s="2"/>
      <c r="SUN209" s="2"/>
      <c r="SUO209" s="2"/>
      <c r="SUP209" s="2"/>
      <c r="SUQ209" s="2"/>
      <c r="SUR209" s="2"/>
      <c r="SUS209" s="2"/>
      <c r="SUT209" s="2"/>
      <c r="SUU209" s="2"/>
      <c r="SUV209" s="2"/>
      <c r="SUW209" s="2"/>
      <c r="SUX209" s="2"/>
      <c r="SUY209" s="2"/>
      <c r="SUZ209" s="2"/>
      <c r="SVA209" s="2"/>
      <c r="SVB209" s="2"/>
      <c r="SVC209" s="2"/>
      <c r="SVD209" s="2"/>
      <c r="SVE209" s="2"/>
      <c r="SVF209" s="2"/>
      <c r="SVG209" s="2"/>
      <c r="SVH209" s="2"/>
      <c r="SVI209" s="2"/>
      <c r="SVJ209" s="2"/>
      <c r="SVK209" s="2"/>
      <c r="SVL209" s="2"/>
      <c r="SVM209" s="2"/>
      <c r="SVN209" s="2"/>
      <c r="SVO209" s="2"/>
      <c r="SVP209" s="2"/>
      <c r="SVQ209" s="2"/>
      <c r="SVR209" s="2"/>
      <c r="SVS209" s="2"/>
      <c r="SVT209" s="2"/>
      <c r="SVU209" s="2"/>
      <c r="SVV209" s="2"/>
      <c r="SVW209" s="2"/>
      <c r="SVX209" s="2"/>
      <c r="SVY209" s="2"/>
      <c r="SVZ209" s="2"/>
      <c r="SWA209" s="2"/>
      <c r="SWB209" s="2"/>
      <c r="SWC209" s="2"/>
      <c r="SWD209" s="2"/>
      <c r="SWE209" s="2"/>
      <c r="SWF209" s="2"/>
      <c r="SWG209" s="2"/>
      <c r="SWH209" s="2"/>
      <c r="SWI209" s="2"/>
      <c r="SWJ209" s="2"/>
      <c r="SWK209" s="2"/>
      <c r="SWL209" s="2"/>
      <c r="SWM209" s="2"/>
      <c r="SWN209" s="2"/>
      <c r="SWO209" s="2"/>
      <c r="SWP209" s="2"/>
      <c r="SWQ209" s="2"/>
      <c r="SWR209" s="2"/>
      <c r="SWS209" s="2"/>
      <c r="SWT209" s="2"/>
      <c r="SWU209" s="2"/>
      <c r="SWV209" s="2"/>
      <c r="SWW209" s="2"/>
      <c r="SWX209" s="2"/>
      <c r="SWY209" s="2"/>
      <c r="SWZ209" s="2"/>
      <c r="SXA209" s="2"/>
      <c r="SXB209" s="2"/>
      <c r="SXC209" s="2"/>
      <c r="SXD209" s="2"/>
      <c r="SXE209" s="2"/>
      <c r="SXF209" s="2"/>
      <c r="SXG209" s="2"/>
      <c r="SXH209" s="2"/>
      <c r="SXI209" s="2"/>
      <c r="SXJ209" s="2"/>
      <c r="SXK209" s="2"/>
      <c r="SXL209" s="2"/>
      <c r="SXM209" s="2"/>
      <c r="SXN209" s="2"/>
      <c r="SXO209" s="2"/>
      <c r="SXP209" s="2"/>
      <c r="SXQ209" s="2"/>
      <c r="SXR209" s="2"/>
      <c r="SXS209" s="2"/>
      <c r="SXT209" s="2"/>
      <c r="SXU209" s="2"/>
      <c r="SXV209" s="2"/>
      <c r="SXW209" s="2"/>
      <c r="SXX209" s="2"/>
      <c r="SXY209" s="2"/>
      <c r="SXZ209" s="2"/>
      <c r="SYA209" s="2"/>
      <c r="SYB209" s="2"/>
      <c r="SYC209" s="2"/>
      <c r="SYD209" s="2"/>
      <c r="SYE209" s="2"/>
      <c r="SYF209" s="2"/>
      <c r="SYG209" s="2"/>
      <c r="SYH209" s="2"/>
      <c r="SYI209" s="2"/>
      <c r="SYJ209" s="2"/>
      <c r="SYK209" s="2"/>
      <c r="SYL209" s="2"/>
      <c r="SYM209" s="2"/>
      <c r="SYN209" s="2"/>
      <c r="SYO209" s="2"/>
      <c r="SYP209" s="2"/>
      <c r="SYQ209" s="2"/>
      <c r="SYR209" s="2"/>
      <c r="SYS209" s="2"/>
      <c r="SYT209" s="2"/>
      <c r="SYU209" s="2"/>
      <c r="SYV209" s="2"/>
      <c r="SYW209" s="2"/>
      <c r="SYX209" s="2"/>
      <c r="SYY209" s="2"/>
      <c r="SYZ209" s="2"/>
      <c r="SZA209" s="2"/>
      <c r="SZB209" s="2"/>
      <c r="SZC209" s="2"/>
      <c r="SZD209" s="2"/>
      <c r="SZE209" s="2"/>
      <c r="SZF209" s="2"/>
      <c r="SZG209" s="2"/>
      <c r="SZH209" s="2"/>
      <c r="SZI209" s="2"/>
      <c r="SZJ209" s="2"/>
      <c r="SZK209" s="2"/>
      <c r="SZL209" s="2"/>
      <c r="SZM209" s="2"/>
      <c r="SZN209" s="2"/>
      <c r="SZO209" s="2"/>
      <c r="SZP209" s="2"/>
      <c r="SZQ209" s="2"/>
      <c r="SZR209" s="2"/>
      <c r="SZS209" s="2"/>
      <c r="SZT209" s="2"/>
      <c r="SZU209" s="2"/>
      <c r="SZV209" s="2"/>
      <c r="SZW209" s="2"/>
      <c r="SZX209" s="2"/>
      <c r="SZY209" s="2"/>
      <c r="SZZ209" s="2"/>
      <c r="TAA209" s="2"/>
      <c r="TAB209" s="2"/>
      <c r="TAC209" s="2"/>
      <c r="TAD209" s="2"/>
      <c r="TAE209" s="2"/>
      <c r="TAF209" s="2"/>
      <c r="TAG209" s="2"/>
      <c r="TAH209" s="2"/>
      <c r="TAI209" s="2"/>
      <c r="TAJ209" s="2"/>
      <c r="TAK209" s="2"/>
      <c r="TAL209" s="2"/>
      <c r="TAM209" s="2"/>
      <c r="TAN209" s="2"/>
      <c r="TAO209" s="2"/>
      <c r="TAP209" s="2"/>
      <c r="TAQ209" s="2"/>
      <c r="TAR209" s="2"/>
      <c r="TAS209" s="2"/>
      <c r="TAT209" s="2"/>
      <c r="TAU209" s="2"/>
      <c r="TAV209" s="2"/>
      <c r="TAW209" s="2"/>
      <c r="TAX209" s="2"/>
      <c r="TAY209" s="2"/>
      <c r="TAZ209" s="2"/>
      <c r="TBA209" s="2"/>
      <c r="TBB209" s="2"/>
      <c r="TBC209" s="2"/>
      <c r="TBD209" s="2"/>
      <c r="TBE209" s="2"/>
      <c r="TBF209" s="2"/>
      <c r="TBG209" s="2"/>
      <c r="TBH209" s="2"/>
      <c r="TBI209" s="2"/>
      <c r="TBJ209" s="2"/>
      <c r="TBK209" s="2"/>
      <c r="TBL209" s="2"/>
      <c r="TBM209" s="2"/>
      <c r="TBN209" s="2"/>
      <c r="TBO209" s="2"/>
      <c r="TBP209" s="2"/>
      <c r="TBQ209" s="2"/>
      <c r="TBR209" s="2"/>
      <c r="TBS209" s="2"/>
      <c r="TBT209" s="2"/>
      <c r="TBU209" s="2"/>
      <c r="TBV209" s="2"/>
      <c r="TBW209" s="2"/>
      <c r="TBX209" s="2"/>
      <c r="TBY209" s="2"/>
      <c r="TBZ209" s="2"/>
      <c r="TCA209" s="2"/>
      <c r="TCB209" s="2"/>
      <c r="TCC209" s="2"/>
      <c r="TCD209" s="2"/>
      <c r="TCE209" s="2"/>
      <c r="TCF209" s="2"/>
      <c r="TCG209" s="2"/>
      <c r="TCH209" s="2"/>
      <c r="TCI209" s="2"/>
      <c r="TCJ209" s="2"/>
      <c r="TCK209" s="2"/>
      <c r="TCL209" s="2"/>
      <c r="TCM209" s="2"/>
      <c r="TCN209" s="2"/>
      <c r="TCO209" s="2"/>
      <c r="TCP209" s="2"/>
      <c r="TCQ209" s="2"/>
      <c r="TCR209" s="2"/>
      <c r="TCS209" s="2"/>
      <c r="TCT209" s="2"/>
      <c r="TCU209" s="2"/>
      <c r="TCV209" s="2"/>
      <c r="TCW209" s="2"/>
      <c r="TCX209" s="2"/>
      <c r="TCY209" s="2"/>
      <c r="TCZ209" s="2"/>
      <c r="TDA209" s="2"/>
      <c r="TDB209" s="2"/>
      <c r="TDC209" s="2"/>
      <c r="TDD209" s="2"/>
      <c r="TDE209" s="2"/>
      <c r="TDF209" s="2"/>
      <c r="TDG209" s="2"/>
      <c r="TDH209" s="2"/>
      <c r="TDI209" s="2"/>
      <c r="TDJ209" s="2"/>
      <c r="TDK209" s="2"/>
      <c r="TDL209" s="2"/>
      <c r="TDM209" s="2"/>
      <c r="TDN209" s="2"/>
      <c r="TDO209" s="2"/>
      <c r="TDP209" s="2"/>
      <c r="TDQ209" s="2"/>
      <c r="TDR209" s="2"/>
      <c r="TDS209" s="2"/>
      <c r="TDT209" s="2"/>
      <c r="TDU209" s="2"/>
      <c r="TDV209" s="2"/>
      <c r="TDW209" s="2"/>
      <c r="TDX209" s="2"/>
      <c r="TDY209" s="2"/>
      <c r="TDZ209" s="2"/>
      <c r="TEA209" s="2"/>
      <c r="TEB209" s="2"/>
      <c r="TEC209" s="2"/>
      <c r="TED209" s="2"/>
      <c r="TEE209" s="2"/>
      <c r="TEF209" s="2"/>
      <c r="TEG209" s="2"/>
      <c r="TEH209" s="2"/>
      <c r="TEI209" s="2"/>
      <c r="TEJ209" s="2"/>
      <c r="TEK209" s="2"/>
      <c r="TEL209" s="2"/>
      <c r="TEM209" s="2"/>
      <c r="TEN209" s="2"/>
      <c r="TEO209" s="2"/>
      <c r="TEP209" s="2"/>
      <c r="TEQ209" s="2"/>
      <c r="TER209" s="2"/>
      <c r="TES209" s="2"/>
      <c r="TET209" s="2"/>
      <c r="TEU209" s="2"/>
      <c r="TEV209" s="2"/>
      <c r="TEW209" s="2"/>
      <c r="TEX209" s="2"/>
      <c r="TEY209" s="2"/>
      <c r="TEZ209" s="2"/>
      <c r="TFA209" s="2"/>
      <c r="TFB209" s="2"/>
      <c r="TFC209" s="2"/>
      <c r="TFD209" s="2"/>
      <c r="TFE209" s="2"/>
      <c r="TFF209" s="2"/>
      <c r="TFG209" s="2"/>
      <c r="TFH209" s="2"/>
      <c r="TFI209" s="2"/>
      <c r="TFJ209" s="2"/>
      <c r="TFK209" s="2"/>
      <c r="TFL209" s="2"/>
      <c r="TFM209" s="2"/>
      <c r="TFN209" s="2"/>
      <c r="TFO209" s="2"/>
      <c r="TFP209" s="2"/>
      <c r="TFQ209" s="2"/>
      <c r="TFR209" s="2"/>
      <c r="TFS209" s="2"/>
      <c r="TFT209" s="2"/>
      <c r="TFU209" s="2"/>
      <c r="TFV209" s="2"/>
      <c r="TFW209" s="2"/>
      <c r="TFX209" s="2"/>
      <c r="TFY209" s="2"/>
      <c r="TFZ209" s="2"/>
      <c r="TGA209" s="2"/>
      <c r="TGB209" s="2"/>
      <c r="TGC209" s="2"/>
      <c r="TGD209" s="2"/>
      <c r="TGE209" s="2"/>
      <c r="TGF209" s="2"/>
      <c r="TGG209" s="2"/>
      <c r="TGH209" s="2"/>
      <c r="TGI209" s="2"/>
      <c r="TGJ209" s="2"/>
      <c r="TGK209" s="2"/>
      <c r="TGL209" s="2"/>
      <c r="TGM209" s="2"/>
      <c r="TGN209" s="2"/>
      <c r="TGO209" s="2"/>
      <c r="TGP209" s="2"/>
      <c r="TGQ209" s="2"/>
      <c r="TGR209" s="2"/>
      <c r="TGS209" s="2"/>
      <c r="TGT209" s="2"/>
      <c r="TGU209" s="2"/>
      <c r="TGV209" s="2"/>
      <c r="TGW209" s="2"/>
      <c r="TGX209" s="2"/>
      <c r="TGY209" s="2"/>
      <c r="TGZ209" s="2"/>
      <c r="THA209" s="2"/>
      <c r="THB209" s="2"/>
      <c r="THC209" s="2"/>
      <c r="THD209" s="2"/>
      <c r="THE209" s="2"/>
      <c r="THF209" s="2"/>
      <c r="THG209" s="2"/>
      <c r="THH209" s="2"/>
      <c r="THI209" s="2"/>
      <c r="THJ209" s="2"/>
      <c r="THK209" s="2"/>
      <c r="THL209" s="2"/>
      <c r="THM209" s="2"/>
      <c r="THN209" s="2"/>
      <c r="THO209" s="2"/>
      <c r="THP209" s="2"/>
      <c r="THQ209" s="2"/>
      <c r="THR209" s="2"/>
      <c r="THS209" s="2"/>
      <c r="THT209" s="2"/>
      <c r="THU209" s="2"/>
      <c r="THV209" s="2"/>
      <c r="THW209" s="2"/>
      <c r="THX209" s="2"/>
      <c r="THY209" s="2"/>
      <c r="THZ209" s="2"/>
      <c r="TIA209" s="2"/>
      <c r="TIB209" s="2"/>
      <c r="TIC209" s="2"/>
      <c r="TID209" s="2"/>
      <c r="TIE209" s="2"/>
      <c r="TIF209" s="2"/>
      <c r="TIG209" s="2"/>
      <c r="TIH209" s="2"/>
      <c r="TII209" s="2"/>
      <c r="TIJ209" s="2"/>
      <c r="TIK209" s="2"/>
      <c r="TIL209" s="2"/>
      <c r="TIM209" s="2"/>
      <c r="TIN209" s="2"/>
      <c r="TIO209" s="2"/>
      <c r="TIP209" s="2"/>
      <c r="TIQ209" s="2"/>
      <c r="TIR209" s="2"/>
      <c r="TIS209" s="2"/>
      <c r="TIT209" s="2"/>
      <c r="TIU209" s="2"/>
      <c r="TIV209" s="2"/>
      <c r="TIW209" s="2"/>
      <c r="TIX209" s="2"/>
      <c r="TIY209" s="2"/>
      <c r="TIZ209" s="2"/>
      <c r="TJA209" s="2"/>
      <c r="TJB209" s="2"/>
      <c r="TJC209" s="2"/>
      <c r="TJD209" s="2"/>
      <c r="TJE209" s="2"/>
      <c r="TJF209" s="2"/>
      <c r="TJG209" s="2"/>
      <c r="TJH209" s="2"/>
      <c r="TJI209" s="2"/>
      <c r="TJJ209" s="2"/>
      <c r="TJK209" s="2"/>
      <c r="TJL209" s="2"/>
      <c r="TJM209" s="2"/>
      <c r="TJN209" s="2"/>
      <c r="TJO209" s="2"/>
      <c r="TJP209" s="2"/>
      <c r="TJQ209" s="2"/>
      <c r="TJR209" s="2"/>
      <c r="TJS209" s="2"/>
      <c r="TJT209" s="2"/>
      <c r="TJU209" s="2"/>
      <c r="TJV209" s="2"/>
      <c r="TJW209" s="2"/>
      <c r="TJX209" s="2"/>
      <c r="TJY209" s="2"/>
      <c r="TJZ209" s="2"/>
      <c r="TKA209" s="2"/>
      <c r="TKB209" s="2"/>
      <c r="TKC209" s="2"/>
      <c r="TKD209" s="2"/>
      <c r="TKE209" s="2"/>
      <c r="TKF209" s="2"/>
      <c r="TKG209" s="2"/>
      <c r="TKH209" s="2"/>
      <c r="TKI209" s="2"/>
      <c r="TKJ209" s="2"/>
      <c r="TKK209" s="2"/>
      <c r="TKL209" s="2"/>
      <c r="TKM209" s="2"/>
      <c r="TKN209" s="2"/>
      <c r="TKO209" s="2"/>
      <c r="TKP209" s="2"/>
      <c r="TKQ209" s="2"/>
      <c r="TKR209" s="2"/>
      <c r="TKS209" s="2"/>
      <c r="TKT209" s="2"/>
      <c r="TKU209" s="2"/>
      <c r="TKV209" s="2"/>
      <c r="TKW209" s="2"/>
      <c r="TKX209" s="2"/>
      <c r="TKY209" s="2"/>
      <c r="TKZ209" s="2"/>
      <c r="TLA209" s="2"/>
      <c r="TLB209" s="2"/>
      <c r="TLC209" s="2"/>
      <c r="TLD209" s="2"/>
      <c r="TLE209" s="2"/>
      <c r="TLF209" s="2"/>
      <c r="TLG209" s="2"/>
      <c r="TLH209" s="2"/>
      <c r="TLI209" s="2"/>
      <c r="TLJ209" s="2"/>
      <c r="TLK209" s="2"/>
      <c r="TLL209" s="2"/>
      <c r="TLM209" s="2"/>
      <c r="TLN209" s="2"/>
      <c r="TLO209" s="2"/>
      <c r="TLP209" s="2"/>
      <c r="TLQ209" s="2"/>
      <c r="TLR209" s="2"/>
      <c r="TLS209" s="2"/>
      <c r="TLT209" s="2"/>
      <c r="TLU209" s="2"/>
      <c r="TLV209" s="2"/>
      <c r="TLW209" s="2"/>
      <c r="TLX209" s="2"/>
      <c r="TLY209" s="2"/>
      <c r="TLZ209" s="2"/>
      <c r="TMA209" s="2"/>
      <c r="TMB209" s="2"/>
      <c r="TMC209" s="2"/>
      <c r="TMD209" s="2"/>
      <c r="TME209" s="2"/>
      <c r="TMF209" s="2"/>
      <c r="TMG209" s="2"/>
      <c r="TMH209" s="2"/>
      <c r="TMI209" s="2"/>
      <c r="TMJ209" s="2"/>
      <c r="TMK209" s="2"/>
      <c r="TML209" s="2"/>
      <c r="TMM209" s="2"/>
      <c r="TMN209" s="2"/>
      <c r="TMO209" s="2"/>
      <c r="TMP209" s="2"/>
      <c r="TMQ209" s="2"/>
      <c r="TMR209" s="2"/>
      <c r="TMS209" s="2"/>
      <c r="TMT209" s="2"/>
      <c r="TMU209" s="2"/>
      <c r="TMV209" s="2"/>
      <c r="TMW209" s="2"/>
      <c r="TMX209" s="2"/>
      <c r="TMY209" s="2"/>
      <c r="TMZ209" s="2"/>
      <c r="TNA209" s="2"/>
      <c r="TNB209" s="2"/>
      <c r="TNC209" s="2"/>
      <c r="TND209" s="2"/>
      <c r="TNE209" s="2"/>
      <c r="TNF209" s="2"/>
      <c r="TNG209" s="2"/>
      <c r="TNH209" s="2"/>
      <c r="TNI209" s="2"/>
      <c r="TNJ209" s="2"/>
      <c r="TNK209" s="2"/>
      <c r="TNL209" s="2"/>
      <c r="TNM209" s="2"/>
      <c r="TNN209" s="2"/>
      <c r="TNO209" s="2"/>
      <c r="TNP209" s="2"/>
      <c r="TNQ209" s="2"/>
      <c r="TNR209" s="2"/>
      <c r="TNS209" s="2"/>
      <c r="TNT209" s="2"/>
      <c r="TNU209" s="2"/>
      <c r="TNV209" s="2"/>
      <c r="TNW209" s="2"/>
      <c r="TNX209" s="2"/>
      <c r="TNY209" s="2"/>
      <c r="TNZ209" s="2"/>
      <c r="TOA209" s="2"/>
      <c r="TOB209" s="2"/>
      <c r="TOC209" s="2"/>
      <c r="TOD209" s="2"/>
      <c r="TOE209" s="2"/>
      <c r="TOF209" s="2"/>
      <c r="TOG209" s="2"/>
      <c r="TOH209" s="2"/>
      <c r="TOI209" s="2"/>
      <c r="TOJ209" s="2"/>
      <c r="TOK209" s="2"/>
      <c r="TOL209" s="2"/>
      <c r="TOM209" s="2"/>
      <c r="TON209" s="2"/>
      <c r="TOO209" s="2"/>
      <c r="TOP209" s="2"/>
      <c r="TOQ209" s="2"/>
      <c r="TOR209" s="2"/>
      <c r="TOS209" s="2"/>
      <c r="TOT209" s="2"/>
      <c r="TOU209" s="2"/>
      <c r="TOV209" s="2"/>
      <c r="TOW209" s="2"/>
      <c r="TOX209" s="2"/>
      <c r="TOY209" s="2"/>
      <c r="TOZ209" s="2"/>
      <c r="TPA209" s="2"/>
      <c r="TPB209" s="2"/>
      <c r="TPC209" s="2"/>
      <c r="TPD209" s="2"/>
      <c r="TPE209" s="2"/>
      <c r="TPF209" s="2"/>
      <c r="TPG209" s="2"/>
      <c r="TPH209" s="2"/>
      <c r="TPI209" s="2"/>
      <c r="TPJ209" s="2"/>
      <c r="TPK209" s="2"/>
      <c r="TPL209" s="2"/>
      <c r="TPM209" s="2"/>
      <c r="TPN209" s="2"/>
      <c r="TPO209" s="2"/>
      <c r="TPP209" s="2"/>
      <c r="TPQ209" s="2"/>
      <c r="TPR209" s="2"/>
      <c r="TPS209" s="2"/>
      <c r="TPT209" s="2"/>
      <c r="TPU209" s="2"/>
      <c r="TPV209" s="2"/>
      <c r="TPW209" s="2"/>
      <c r="TPX209" s="2"/>
      <c r="TPY209" s="2"/>
      <c r="TPZ209" s="2"/>
      <c r="TQA209" s="2"/>
      <c r="TQB209" s="2"/>
      <c r="TQC209" s="2"/>
      <c r="TQD209" s="2"/>
      <c r="TQE209" s="2"/>
      <c r="TQF209" s="2"/>
      <c r="TQG209" s="2"/>
      <c r="TQH209" s="2"/>
      <c r="TQI209" s="2"/>
      <c r="TQJ209" s="2"/>
      <c r="TQK209" s="2"/>
      <c r="TQL209" s="2"/>
      <c r="TQM209" s="2"/>
      <c r="TQN209" s="2"/>
      <c r="TQO209" s="2"/>
      <c r="TQP209" s="2"/>
      <c r="TQQ209" s="2"/>
      <c r="TQR209" s="2"/>
      <c r="TQS209" s="2"/>
      <c r="TQT209" s="2"/>
      <c r="TQU209" s="2"/>
      <c r="TQV209" s="2"/>
      <c r="TQW209" s="2"/>
      <c r="TQX209" s="2"/>
      <c r="TQY209" s="2"/>
      <c r="TQZ209" s="2"/>
      <c r="TRA209" s="2"/>
      <c r="TRB209" s="2"/>
      <c r="TRC209" s="2"/>
      <c r="TRD209" s="2"/>
      <c r="TRE209" s="2"/>
      <c r="TRF209" s="2"/>
      <c r="TRG209" s="2"/>
      <c r="TRH209" s="2"/>
      <c r="TRI209" s="2"/>
      <c r="TRJ209" s="2"/>
      <c r="TRK209" s="2"/>
      <c r="TRL209" s="2"/>
      <c r="TRM209" s="2"/>
      <c r="TRN209" s="2"/>
      <c r="TRO209" s="2"/>
      <c r="TRP209" s="2"/>
      <c r="TRQ209" s="2"/>
      <c r="TRR209" s="2"/>
      <c r="TRS209" s="2"/>
      <c r="TRT209" s="2"/>
      <c r="TRU209" s="2"/>
      <c r="TRV209" s="2"/>
      <c r="TRW209" s="2"/>
      <c r="TRX209" s="2"/>
      <c r="TRY209" s="2"/>
      <c r="TRZ209" s="2"/>
      <c r="TSA209" s="2"/>
      <c r="TSB209" s="2"/>
      <c r="TSC209" s="2"/>
      <c r="TSD209" s="2"/>
      <c r="TSE209" s="2"/>
      <c r="TSF209" s="2"/>
      <c r="TSG209" s="2"/>
      <c r="TSH209" s="2"/>
      <c r="TSI209" s="2"/>
      <c r="TSJ209" s="2"/>
      <c r="TSK209" s="2"/>
      <c r="TSL209" s="2"/>
      <c r="TSM209" s="2"/>
      <c r="TSN209" s="2"/>
      <c r="TSO209" s="2"/>
      <c r="TSP209" s="2"/>
      <c r="TSQ209" s="2"/>
      <c r="TSR209" s="2"/>
      <c r="TSS209" s="2"/>
      <c r="TST209" s="2"/>
      <c r="TSU209" s="2"/>
      <c r="TSV209" s="2"/>
      <c r="TSW209" s="2"/>
      <c r="TSX209" s="2"/>
      <c r="TSY209" s="2"/>
      <c r="TSZ209" s="2"/>
      <c r="TTA209" s="2"/>
      <c r="TTB209" s="2"/>
      <c r="TTC209" s="2"/>
      <c r="TTD209" s="2"/>
      <c r="TTE209" s="2"/>
      <c r="TTF209" s="2"/>
      <c r="TTG209" s="2"/>
      <c r="TTH209" s="2"/>
      <c r="TTI209" s="2"/>
      <c r="TTJ209" s="2"/>
      <c r="TTK209" s="2"/>
      <c r="TTL209" s="2"/>
      <c r="TTM209" s="2"/>
      <c r="TTN209" s="2"/>
      <c r="TTO209" s="2"/>
      <c r="TTP209" s="2"/>
      <c r="TTQ209" s="2"/>
      <c r="TTR209" s="2"/>
      <c r="TTS209" s="2"/>
      <c r="TTT209" s="2"/>
      <c r="TTU209" s="2"/>
      <c r="TTV209" s="2"/>
      <c r="TTW209" s="2"/>
      <c r="TTX209" s="2"/>
      <c r="TTY209" s="2"/>
      <c r="TTZ209" s="2"/>
      <c r="TUA209" s="2"/>
      <c r="TUB209" s="2"/>
      <c r="TUC209" s="2"/>
      <c r="TUD209" s="2"/>
      <c r="TUE209" s="2"/>
      <c r="TUF209" s="2"/>
      <c r="TUG209" s="2"/>
      <c r="TUH209" s="2"/>
      <c r="TUI209" s="2"/>
      <c r="TUJ209" s="2"/>
      <c r="TUK209" s="2"/>
      <c r="TUL209" s="2"/>
      <c r="TUM209" s="2"/>
      <c r="TUN209" s="2"/>
      <c r="TUO209" s="2"/>
      <c r="TUP209" s="2"/>
      <c r="TUQ209" s="2"/>
      <c r="TUR209" s="2"/>
      <c r="TUS209" s="2"/>
      <c r="TUT209" s="2"/>
      <c r="TUU209" s="2"/>
      <c r="TUV209" s="2"/>
      <c r="TUW209" s="2"/>
      <c r="TUX209" s="2"/>
      <c r="TUY209" s="2"/>
      <c r="TUZ209" s="2"/>
      <c r="TVA209" s="2"/>
      <c r="TVB209" s="2"/>
      <c r="TVC209" s="2"/>
      <c r="TVD209" s="2"/>
      <c r="TVE209" s="2"/>
      <c r="TVF209" s="2"/>
      <c r="TVG209" s="2"/>
      <c r="TVH209" s="2"/>
      <c r="TVI209" s="2"/>
      <c r="TVJ209" s="2"/>
      <c r="TVK209" s="2"/>
      <c r="TVL209" s="2"/>
      <c r="TVM209" s="2"/>
      <c r="TVN209" s="2"/>
      <c r="TVO209" s="2"/>
      <c r="TVP209" s="2"/>
      <c r="TVQ209" s="2"/>
      <c r="TVR209" s="2"/>
      <c r="TVS209" s="2"/>
      <c r="TVT209" s="2"/>
      <c r="TVU209" s="2"/>
      <c r="TVV209" s="2"/>
      <c r="TVW209" s="2"/>
      <c r="TVX209" s="2"/>
      <c r="TVY209" s="2"/>
      <c r="TVZ209" s="2"/>
      <c r="TWA209" s="2"/>
      <c r="TWB209" s="2"/>
      <c r="TWC209" s="2"/>
      <c r="TWD209" s="2"/>
      <c r="TWE209" s="2"/>
      <c r="TWF209" s="2"/>
      <c r="TWG209" s="2"/>
      <c r="TWH209" s="2"/>
      <c r="TWI209" s="2"/>
      <c r="TWJ209" s="2"/>
      <c r="TWK209" s="2"/>
      <c r="TWL209" s="2"/>
      <c r="TWM209" s="2"/>
      <c r="TWN209" s="2"/>
      <c r="TWO209" s="2"/>
      <c r="TWP209" s="2"/>
      <c r="TWQ209" s="2"/>
      <c r="TWR209" s="2"/>
      <c r="TWS209" s="2"/>
      <c r="TWT209" s="2"/>
      <c r="TWU209" s="2"/>
      <c r="TWV209" s="2"/>
      <c r="TWW209" s="2"/>
      <c r="TWX209" s="2"/>
      <c r="TWY209" s="2"/>
      <c r="TWZ209" s="2"/>
      <c r="TXA209" s="2"/>
      <c r="TXB209" s="2"/>
      <c r="TXC209" s="2"/>
      <c r="TXD209" s="2"/>
      <c r="TXE209" s="2"/>
      <c r="TXF209" s="2"/>
      <c r="TXG209" s="2"/>
      <c r="TXH209" s="2"/>
      <c r="TXI209" s="2"/>
      <c r="TXJ209" s="2"/>
      <c r="TXK209" s="2"/>
      <c r="TXL209" s="2"/>
      <c r="TXM209" s="2"/>
      <c r="TXN209" s="2"/>
      <c r="TXO209" s="2"/>
      <c r="TXP209" s="2"/>
      <c r="TXQ209" s="2"/>
      <c r="TXR209" s="2"/>
      <c r="TXS209" s="2"/>
      <c r="TXT209" s="2"/>
      <c r="TXU209" s="2"/>
      <c r="TXV209" s="2"/>
      <c r="TXW209" s="2"/>
      <c r="TXX209" s="2"/>
      <c r="TXY209" s="2"/>
      <c r="TXZ209" s="2"/>
      <c r="TYA209" s="2"/>
      <c r="TYB209" s="2"/>
      <c r="TYC209" s="2"/>
      <c r="TYD209" s="2"/>
      <c r="TYE209" s="2"/>
      <c r="TYF209" s="2"/>
      <c r="TYG209" s="2"/>
      <c r="TYH209" s="2"/>
      <c r="TYI209" s="2"/>
      <c r="TYJ209" s="2"/>
      <c r="TYK209" s="2"/>
      <c r="TYL209" s="2"/>
      <c r="TYM209" s="2"/>
      <c r="TYN209" s="2"/>
      <c r="TYO209" s="2"/>
      <c r="TYP209" s="2"/>
      <c r="TYQ209" s="2"/>
      <c r="TYR209" s="2"/>
      <c r="TYS209" s="2"/>
      <c r="TYT209" s="2"/>
      <c r="TYU209" s="2"/>
      <c r="TYV209" s="2"/>
      <c r="TYW209" s="2"/>
      <c r="TYX209" s="2"/>
      <c r="TYY209" s="2"/>
      <c r="TYZ209" s="2"/>
      <c r="TZA209" s="2"/>
      <c r="TZB209" s="2"/>
      <c r="TZC209" s="2"/>
      <c r="TZD209" s="2"/>
      <c r="TZE209" s="2"/>
      <c r="TZF209" s="2"/>
      <c r="TZG209" s="2"/>
      <c r="TZH209" s="2"/>
      <c r="TZI209" s="2"/>
      <c r="TZJ209" s="2"/>
      <c r="TZK209" s="2"/>
      <c r="TZL209" s="2"/>
      <c r="TZM209" s="2"/>
      <c r="TZN209" s="2"/>
      <c r="TZO209" s="2"/>
      <c r="TZP209" s="2"/>
      <c r="TZQ209" s="2"/>
      <c r="TZR209" s="2"/>
      <c r="TZS209" s="2"/>
      <c r="TZT209" s="2"/>
      <c r="TZU209" s="2"/>
      <c r="TZV209" s="2"/>
      <c r="TZW209" s="2"/>
      <c r="TZX209" s="2"/>
      <c r="TZY209" s="2"/>
      <c r="TZZ209" s="2"/>
      <c r="UAA209" s="2"/>
      <c r="UAB209" s="2"/>
      <c r="UAC209" s="2"/>
      <c r="UAD209" s="2"/>
      <c r="UAE209" s="2"/>
      <c r="UAF209" s="2"/>
      <c r="UAG209" s="2"/>
      <c r="UAH209" s="2"/>
      <c r="UAI209" s="2"/>
      <c r="UAJ209" s="2"/>
      <c r="UAK209" s="2"/>
      <c r="UAL209" s="2"/>
      <c r="UAM209" s="2"/>
      <c r="UAN209" s="2"/>
      <c r="UAO209" s="2"/>
      <c r="UAP209" s="2"/>
      <c r="UAQ209" s="2"/>
      <c r="UAR209" s="2"/>
      <c r="UAS209" s="2"/>
      <c r="UAT209" s="2"/>
      <c r="UAU209" s="2"/>
      <c r="UAV209" s="2"/>
      <c r="UAW209" s="2"/>
      <c r="UAX209" s="2"/>
      <c r="UAY209" s="2"/>
      <c r="UAZ209" s="2"/>
      <c r="UBA209" s="2"/>
      <c r="UBB209" s="2"/>
      <c r="UBC209" s="2"/>
      <c r="UBD209" s="2"/>
      <c r="UBE209" s="2"/>
      <c r="UBF209" s="2"/>
      <c r="UBG209" s="2"/>
      <c r="UBH209" s="2"/>
      <c r="UBI209" s="2"/>
      <c r="UBJ209" s="2"/>
      <c r="UBK209" s="2"/>
      <c r="UBL209" s="2"/>
      <c r="UBM209" s="2"/>
      <c r="UBN209" s="2"/>
      <c r="UBO209" s="2"/>
      <c r="UBP209" s="2"/>
      <c r="UBQ209" s="2"/>
      <c r="UBR209" s="2"/>
      <c r="UBS209" s="2"/>
      <c r="UBT209" s="2"/>
      <c r="UBU209" s="2"/>
      <c r="UBV209" s="2"/>
      <c r="UBW209" s="2"/>
      <c r="UBX209" s="2"/>
      <c r="UBY209" s="2"/>
      <c r="UBZ209" s="2"/>
      <c r="UCA209" s="2"/>
      <c r="UCB209" s="2"/>
      <c r="UCC209" s="2"/>
      <c r="UCD209" s="2"/>
      <c r="UCE209" s="2"/>
      <c r="UCF209" s="2"/>
      <c r="UCG209" s="2"/>
      <c r="UCH209" s="2"/>
      <c r="UCI209" s="2"/>
      <c r="UCJ209" s="2"/>
      <c r="UCK209" s="2"/>
      <c r="UCL209" s="2"/>
      <c r="UCM209" s="2"/>
      <c r="UCN209" s="2"/>
      <c r="UCO209" s="2"/>
      <c r="UCP209" s="2"/>
      <c r="UCQ209" s="2"/>
      <c r="UCR209" s="2"/>
      <c r="UCS209" s="2"/>
      <c r="UCT209" s="2"/>
      <c r="UCU209" s="2"/>
      <c r="UCV209" s="2"/>
      <c r="UCW209" s="2"/>
      <c r="UCX209" s="2"/>
      <c r="UCY209" s="2"/>
      <c r="UCZ209" s="2"/>
      <c r="UDA209" s="2"/>
      <c r="UDB209" s="2"/>
      <c r="UDC209" s="2"/>
      <c r="UDD209" s="2"/>
      <c r="UDE209" s="2"/>
      <c r="UDF209" s="2"/>
      <c r="UDG209" s="2"/>
      <c r="UDH209" s="2"/>
      <c r="UDI209" s="2"/>
      <c r="UDJ209" s="2"/>
      <c r="UDK209" s="2"/>
      <c r="UDL209" s="2"/>
      <c r="UDM209" s="2"/>
      <c r="UDN209" s="2"/>
      <c r="UDO209" s="2"/>
      <c r="UDP209" s="2"/>
      <c r="UDQ209" s="2"/>
      <c r="UDR209" s="2"/>
      <c r="UDS209" s="2"/>
      <c r="UDT209" s="2"/>
      <c r="UDU209" s="2"/>
      <c r="UDV209" s="2"/>
      <c r="UDW209" s="2"/>
      <c r="UDX209" s="2"/>
      <c r="UDY209" s="2"/>
      <c r="UDZ209" s="2"/>
      <c r="UEA209" s="2"/>
      <c r="UEB209" s="2"/>
      <c r="UEC209" s="2"/>
      <c r="UED209" s="2"/>
      <c r="UEE209" s="2"/>
      <c r="UEF209" s="2"/>
      <c r="UEG209" s="2"/>
      <c r="UEH209" s="2"/>
      <c r="UEI209" s="2"/>
      <c r="UEJ209" s="2"/>
      <c r="UEK209" s="2"/>
      <c r="UEL209" s="2"/>
      <c r="UEM209" s="2"/>
      <c r="UEN209" s="2"/>
      <c r="UEO209" s="2"/>
      <c r="UEP209" s="2"/>
      <c r="UEQ209" s="2"/>
      <c r="UER209" s="2"/>
      <c r="UES209" s="2"/>
      <c r="UET209" s="2"/>
      <c r="UEU209" s="2"/>
      <c r="UEV209" s="2"/>
      <c r="UEW209" s="2"/>
      <c r="UEX209" s="2"/>
      <c r="UEY209" s="2"/>
      <c r="UEZ209" s="2"/>
      <c r="UFA209" s="2"/>
      <c r="UFB209" s="2"/>
      <c r="UFC209" s="2"/>
      <c r="UFD209" s="2"/>
      <c r="UFE209" s="2"/>
      <c r="UFF209" s="2"/>
      <c r="UFG209" s="2"/>
      <c r="UFH209" s="2"/>
      <c r="UFI209" s="2"/>
      <c r="UFJ209" s="2"/>
      <c r="UFK209" s="2"/>
      <c r="UFL209" s="2"/>
      <c r="UFM209" s="2"/>
      <c r="UFN209" s="2"/>
      <c r="UFO209" s="2"/>
      <c r="UFP209" s="2"/>
      <c r="UFQ209" s="2"/>
      <c r="UFR209" s="2"/>
      <c r="UFS209" s="2"/>
      <c r="UFT209" s="2"/>
      <c r="UFU209" s="2"/>
      <c r="UFV209" s="2"/>
      <c r="UFW209" s="2"/>
      <c r="UFX209" s="2"/>
      <c r="UFY209" s="2"/>
      <c r="UFZ209" s="2"/>
      <c r="UGA209" s="2"/>
      <c r="UGB209" s="2"/>
      <c r="UGC209" s="2"/>
      <c r="UGD209" s="2"/>
      <c r="UGE209" s="2"/>
      <c r="UGF209" s="2"/>
      <c r="UGG209" s="2"/>
      <c r="UGH209" s="2"/>
      <c r="UGI209" s="2"/>
      <c r="UGJ209" s="2"/>
      <c r="UGK209" s="2"/>
      <c r="UGL209" s="2"/>
      <c r="UGM209" s="2"/>
      <c r="UGN209" s="2"/>
      <c r="UGO209" s="2"/>
      <c r="UGP209" s="2"/>
      <c r="UGQ209" s="2"/>
      <c r="UGR209" s="2"/>
      <c r="UGS209" s="2"/>
      <c r="UGT209" s="2"/>
      <c r="UGU209" s="2"/>
      <c r="UGV209" s="2"/>
      <c r="UGW209" s="2"/>
      <c r="UGX209" s="2"/>
      <c r="UGY209" s="2"/>
      <c r="UGZ209" s="2"/>
      <c r="UHA209" s="2"/>
      <c r="UHB209" s="2"/>
      <c r="UHC209" s="2"/>
      <c r="UHD209" s="2"/>
      <c r="UHE209" s="2"/>
      <c r="UHF209" s="2"/>
      <c r="UHG209" s="2"/>
      <c r="UHH209" s="2"/>
      <c r="UHI209" s="2"/>
      <c r="UHJ209" s="2"/>
      <c r="UHK209" s="2"/>
      <c r="UHL209" s="2"/>
      <c r="UHM209" s="2"/>
      <c r="UHN209" s="2"/>
      <c r="UHO209" s="2"/>
      <c r="UHP209" s="2"/>
      <c r="UHQ209" s="2"/>
      <c r="UHR209" s="2"/>
      <c r="UHS209" s="2"/>
      <c r="UHT209" s="2"/>
      <c r="UHU209" s="2"/>
      <c r="UHV209" s="2"/>
      <c r="UHW209" s="2"/>
      <c r="UHX209" s="2"/>
      <c r="UHY209" s="2"/>
      <c r="UHZ209" s="2"/>
      <c r="UIA209" s="2"/>
      <c r="UIB209" s="2"/>
      <c r="UIC209" s="2"/>
      <c r="UID209" s="2"/>
      <c r="UIE209" s="2"/>
      <c r="UIF209" s="2"/>
      <c r="UIG209" s="2"/>
      <c r="UIH209" s="2"/>
      <c r="UII209" s="2"/>
      <c r="UIJ209" s="2"/>
      <c r="UIK209" s="2"/>
      <c r="UIL209" s="2"/>
      <c r="UIM209" s="2"/>
      <c r="UIN209" s="2"/>
      <c r="UIO209" s="2"/>
      <c r="UIP209" s="2"/>
      <c r="UIQ209" s="2"/>
      <c r="UIR209" s="2"/>
      <c r="UIS209" s="2"/>
      <c r="UIT209" s="2"/>
      <c r="UIU209" s="2"/>
      <c r="UIV209" s="2"/>
      <c r="UIW209" s="2"/>
      <c r="UIX209" s="2"/>
      <c r="UIY209" s="2"/>
      <c r="UIZ209" s="2"/>
      <c r="UJA209" s="2"/>
      <c r="UJB209" s="2"/>
      <c r="UJC209" s="2"/>
      <c r="UJD209" s="2"/>
      <c r="UJE209" s="2"/>
      <c r="UJF209" s="2"/>
      <c r="UJG209" s="2"/>
      <c r="UJH209" s="2"/>
      <c r="UJI209" s="2"/>
      <c r="UJJ209" s="2"/>
      <c r="UJK209" s="2"/>
      <c r="UJL209" s="2"/>
      <c r="UJM209" s="2"/>
      <c r="UJN209" s="2"/>
      <c r="UJO209" s="2"/>
      <c r="UJP209" s="2"/>
      <c r="UJQ209" s="2"/>
      <c r="UJR209" s="2"/>
      <c r="UJS209" s="2"/>
      <c r="UJT209" s="2"/>
      <c r="UJU209" s="2"/>
      <c r="UJV209" s="2"/>
      <c r="UJW209" s="2"/>
      <c r="UJX209" s="2"/>
      <c r="UJY209" s="2"/>
      <c r="UJZ209" s="2"/>
      <c r="UKA209" s="2"/>
      <c r="UKB209" s="2"/>
      <c r="UKC209" s="2"/>
      <c r="UKD209" s="2"/>
      <c r="UKE209" s="2"/>
      <c r="UKF209" s="2"/>
      <c r="UKG209" s="2"/>
      <c r="UKH209" s="2"/>
      <c r="UKI209" s="2"/>
      <c r="UKJ209" s="2"/>
      <c r="UKK209" s="2"/>
      <c r="UKL209" s="2"/>
      <c r="UKM209" s="2"/>
      <c r="UKN209" s="2"/>
      <c r="UKO209" s="2"/>
      <c r="UKP209" s="2"/>
      <c r="UKQ209" s="2"/>
      <c r="UKR209" s="2"/>
      <c r="UKS209" s="2"/>
      <c r="UKT209" s="2"/>
      <c r="UKU209" s="2"/>
      <c r="UKV209" s="2"/>
      <c r="UKW209" s="2"/>
      <c r="UKX209" s="2"/>
      <c r="UKY209" s="2"/>
      <c r="UKZ209" s="2"/>
      <c r="ULA209" s="2"/>
      <c r="ULB209" s="2"/>
      <c r="ULC209" s="2"/>
      <c r="ULD209" s="2"/>
      <c r="ULE209" s="2"/>
      <c r="ULF209" s="2"/>
      <c r="ULG209" s="2"/>
      <c r="ULH209" s="2"/>
      <c r="ULI209" s="2"/>
      <c r="ULJ209" s="2"/>
      <c r="ULK209" s="2"/>
      <c r="ULL209" s="2"/>
      <c r="ULM209" s="2"/>
      <c r="ULN209" s="2"/>
      <c r="ULO209" s="2"/>
      <c r="ULP209" s="2"/>
      <c r="ULQ209" s="2"/>
      <c r="ULR209" s="2"/>
      <c r="ULS209" s="2"/>
      <c r="ULT209" s="2"/>
      <c r="ULU209" s="2"/>
      <c r="ULV209" s="2"/>
      <c r="ULW209" s="2"/>
      <c r="ULX209" s="2"/>
      <c r="ULY209" s="2"/>
      <c r="ULZ209" s="2"/>
      <c r="UMA209" s="2"/>
      <c r="UMB209" s="2"/>
      <c r="UMC209" s="2"/>
      <c r="UMD209" s="2"/>
      <c r="UME209" s="2"/>
      <c r="UMF209" s="2"/>
      <c r="UMG209" s="2"/>
      <c r="UMH209" s="2"/>
      <c r="UMI209" s="2"/>
      <c r="UMJ209" s="2"/>
      <c r="UMK209" s="2"/>
      <c r="UML209" s="2"/>
      <c r="UMM209" s="2"/>
      <c r="UMN209" s="2"/>
      <c r="UMO209" s="2"/>
      <c r="UMP209" s="2"/>
      <c r="UMQ209" s="2"/>
      <c r="UMR209" s="2"/>
      <c r="UMS209" s="2"/>
      <c r="UMT209" s="2"/>
      <c r="UMU209" s="2"/>
      <c r="UMV209" s="2"/>
      <c r="UMW209" s="2"/>
      <c r="UMX209" s="2"/>
      <c r="UMY209" s="2"/>
      <c r="UMZ209" s="2"/>
      <c r="UNA209" s="2"/>
      <c r="UNB209" s="2"/>
      <c r="UNC209" s="2"/>
      <c r="UND209" s="2"/>
      <c r="UNE209" s="2"/>
      <c r="UNF209" s="2"/>
      <c r="UNG209" s="2"/>
      <c r="UNH209" s="2"/>
      <c r="UNI209" s="2"/>
      <c r="UNJ209" s="2"/>
      <c r="UNK209" s="2"/>
      <c r="UNL209" s="2"/>
      <c r="UNM209" s="2"/>
      <c r="UNN209" s="2"/>
      <c r="UNO209" s="2"/>
      <c r="UNP209" s="2"/>
      <c r="UNQ209" s="2"/>
      <c r="UNR209" s="2"/>
      <c r="UNS209" s="2"/>
      <c r="UNT209" s="2"/>
      <c r="UNU209" s="2"/>
      <c r="UNV209" s="2"/>
      <c r="UNW209" s="2"/>
      <c r="UNX209" s="2"/>
      <c r="UNY209" s="2"/>
      <c r="UNZ209" s="2"/>
      <c r="UOA209" s="2"/>
      <c r="UOB209" s="2"/>
      <c r="UOC209" s="2"/>
      <c r="UOD209" s="2"/>
      <c r="UOE209" s="2"/>
      <c r="UOF209" s="2"/>
      <c r="UOG209" s="2"/>
      <c r="UOH209" s="2"/>
      <c r="UOI209" s="2"/>
      <c r="UOJ209" s="2"/>
      <c r="UOK209" s="2"/>
      <c r="UOL209" s="2"/>
      <c r="UOM209" s="2"/>
      <c r="UON209" s="2"/>
      <c r="UOO209" s="2"/>
      <c r="UOP209" s="2"/>
      <c r="UOQ209" s="2"/>
      <c r="UOR209" s="2"/>
      <c r="UOS209" s="2"/>
      <c r="UOT209" s="2"/>
      <c r="UOU209" s="2"/>
      <c r="UOV209" s="2"/>
      <c r="UOW209" s="2"/>
      <c r="UOX209" s="2"/>
      <c r="UOY209" s="2"/>
      <c r="UOZ209" s="2"/>
      <c r="UPA209" s="2"/>
      <c r="UPB209" s="2"/>
      <c r="UPC209" s="2"/>
      <c r="UPD209" s="2"/>
      <c r="UPE209" s="2"/>
      <c r="UPF209" s="2"/>
      <c r="UPG209" s="2"/>
      <c r="UPH209" s="2"/>
      <c r="UPI209" s="2"/>
      <c r="UPJ209" s="2"/>
      <c r="UPK209" s="2"/>
      <c r="UPL209" s="2"/>
      <c r="UPM209" s="2"/>
      <c r="UPN209" s="2"/>
      <c r="UPO209" s="2"/>
      <c r="UPP209" s="2"/>
      <c r="UPQ209" s="2"/>
      <c r="UPR209" s="2"/>
      <c r="UPS209" s="2"/>
      <c r="UPT209" s="2"/>
      <c r="UPU209" s="2"/>
      <c r="UPV209" s="2"/>
      <c r="UPW209" s="2"/>
      <c r="UPX209" s="2"/>
      <c r="UPY209" s="2"/>
      <c r="UPZ209" s="2"/>
      <c r="UQA209" s="2"/>
      <c r="UQB209" s="2"/>
      <c r="UQC209" s="2"/>
      <c r="UQD209" s="2"/>
      <c r="UQE209" s="2"/>
      <c r="UQF209" s="2"/>
      <c r="UQG209" s="2"/>
      <c r="UQH209" s="2"/>
      <c r="UQI209" s="2"/>
      <c r="UQJ209" s="2"/>
      <c r="UQK209" s="2"/>
      <c r="UQL209" s="2"/>
      <c r="UQM209" s="2"/>
      <c r="UQN209" s="2"/>
      <c r="UQO209" s="2"/>
      <c r="UQP209" s="2"/>
      <c r="UQQ209" s="2"/>
      <c r="UQR209" s="2"/>
      <c r="UQS209" s="2"/>
      <c r="UQT209" s="2"/>
      <c r="UQU209" s="2"/>
      <c r="UQV209" s="2"/>
      <c r="UQW209" s="2"/>
      <c r="UQX209" s="2"/>
      <c r="UQY209" s="2"/>
      <c r="UQZ209" s="2"/>
      <c r="URA209" s="2"/>
      <c r="URB209" s="2"/>
      <c r="URC209" s="2"/>
      <c r="URD209" s="2"/>
      <c r="URE209" s="2"/>
      <c r="URF209" s="2"/>
      <c r="URG209" s="2"/>
      <c r="URH209" s="2"/>
      <c r="URI209" s="2"/>
      <c r="URJ209" s="2"/>
      <c r="URK209" s="2"/>
      <c r="URL209" s="2"/>
      <c r="URM209" s="2"/>
      <c r="URN209" s="2"/>
      <c r="URO209" s="2"/>
      <c r="URP209" s="2"/>
      <c r="URQ209" s="2"/>
      <c r="URR209" s="2"/>
      <c r="URS209" s="2"/>
      <c r="URT209" s="2"/>
      <c r="URU209" s="2"/>
      <c r="URV209" s="2"/>
      <c r="URW209" s="2"/>
      <c r="URX209" s="2"/>
      <c r="URY209" s="2"/>
      <c r="URZ209" s="2"/>
      <c r="USA209" s="2"/>
      <c r="USB209" s="2"/>
      <c r="USC209" s="2"/>
      <c r="USD209" s="2"/>
      <c r="USE209" s="2"/>
      <c r="USF209" s="2"/>
      <c r="USG209" s="2"/>
      <c r="USH209" s="2"/>
      <c r="USI209" s="2"/>
      <c r="USJ209" s="2"/>
      <c r="USK209" s="2"/>
      <c r="USL209" s="2"/>
      <c r="USM209" s="2"/>
      <c r="USN209" s="2"/>
      <c r="USO209" s="2"/>
      <c r="USP209" s="2"/>
      <c r="USQ209" s="2"/>
      <c r="USR209" s="2"/>
      <c r="USS209" s="2"/>
      <c r="UST209" s="2"/>
      <c r="USU209" s="2"/>
      <c r="USV209" s="2"/>
      <c r="USW209" s="2"/>
      <c r="USX209" s="2"/>
      <c r="USY209" s="2"/>
      <c r="USZ209" s="2"/>
      <c r="UTA209" s="2"/>
      <c r="UTB209" s="2"/>
      <c r="UTC209" s="2"/>
      <c r="UTD209" s="2"/>
      <c r="UTE209" s="2"/>
      <c r="UTF209" s="2"/>
      <c r="UTG209" s="2"/>
      <c r="UTH209" s="2"/>
      <c r="UTI209" s="2"/>
      <c r="UTJ209" s="2"/>
      <c r="UTK209" s="2"/>
      <c r="UTL209" s="2"/>
      <c r="UTM209" s="2"/>
      <c r="UTN209" s="2"/>
      <c r="UTO209" s="2"/>
      <c r="UTP209" s="2"/>
      <c r="UTQ209" s="2"/>
      <c r="UTR209" s="2"/>
      <c r="UTS209" s="2"/>
      <c r="UTT209" s="2"/>
      <c r="UTU209" s="2"/>
      <c r="UTV209" s="2"/>
      <c r="UTW209" s="2"/>
      <c r="UTX209" s="2"/>
      <c r="UTY209" s="2"/>
      <c r="UTZ209" s="2"/>
      <c r="UUA209" s="2"/>
      <c r="UUB209" s="2"/>
      <c r="UUC209" s="2"/>
      <c r="UUD209" s="2"/>
      <c r="UUE209" s="2"/>
      <c r="UUF209" s="2"/>
      <c r="UUG209" s="2"/>
      <c r="UUH209" s="2"/>
      <c r="UUI209" s="2"/>
      <c r="UUJ209" s="2"/>
      <c r="UUK209" s="2"/>
      <c r="UUL209" s="2"/>
      <c r="UUM209" s="2"/>
      <c r="UUN209" s="2"/>
      <c r="UUO209" s="2"/>
      <c r="UUP209" s="2"/>
      <c r="UUQ209" s="2"/>
      <c r="UUR209" s="2"/>
      <c r="UUS209" s="2"/>
      <c r="UUT209" s="2"/>
      <c r="UUU209" s="2"/>
      <c r="UUV209" s="2"/>
      <c r="UUW209" s="2"/>
      <c r="UUX209" s="2"/>
      <c r="UUY209" s="2"/>
      <c r="UUZ209" s="2"/>
      <c r="UVA209" s="2"/>
      <c r="UVB209" s="2"/>
      <c r="UVC209" s="2"/>
      <c r="UVD209" s="2"/>
      <c r="UVE209" s="2"/>
      <c r="UVF209" s="2"/>
      <c r="UVG209" s="2"/>
      <c r="UVH209" s="2"/>
      <c r="UVI209" s="2"/>
      <c r="UVJ209" s="2"/>
      <c r="UVK209" s="2"/>
      <c r="UVL209" s="2"/>
      <c r="UVM209" s="2"/>
      <c r="UVN209" s="2"/>
      <c r="UVO209" s="2"/>
      <c r="UVP209" s="2"/>
      <c r="UVQ209" s="2"/>
      <c r="UVR209" s="2"/>
      <c r="UVS209" s="2"/>
      <c r="UVT209" s="2"/>
      <c r="UVU209" s="2"/>
      <c r="UVV209" s="2"/>
      <c r="UVW209" s="2"/>
      <c r="UVX209" s="2"/>
      <c r="UVY209" s="2"/>
      <c r="UVZ209" s="2"/>
      <c r="UWA209" s="2"/>
      <c r="UWB209" s="2"/>
      <c r="UWC209" s="2"/>
      <c r="UWD209" s="2"/>
      <c r="UWE209" s="2"/>
      <c r="UWF209" s="2"/>
      <c r="UWG209" s="2"/>
      <c r="UWH209" s="2"/>
      <c r="UWI209" s="2"/>
      <c r="UWJ209" s="2"/>
      <c r="UWK209" s="2"/>
      <c r="UWL209" s="2"/>
      <c r="UWM209" s="2"/>
      <c r="UWN209" s="2"/>
      <c r="UWO209" s="2"/>
      <c r="UWP209" s="2"/>
      <c r="UWQ209" s="2"/>
      <c r="UWR209" s="2"/>
      <c r="UWS209" s="2"/>
      <c r="UWT209" s="2"/>
      <c r="UWU209" s="2"/>
      <c r="UWV209" s="2"/>
      <c r="UWW209" s="2"/>
      <c r="UWX209" s="2"/>
      <c r="UWY209" s="2"/>
      <c r="UWZ209" s="2"/>
      <c r="UXA209" s="2"/>
      <c r="UXB209" s="2"/>
      <c r="UXC209" s="2"/>
      <c r="UXD209" s="2"/>
      <c r="UXE209" s="2"/>
      <c r="UXF209" s="2"/>
      <c r="UXG209" s="2"/>
      <c r="UXH209" s="2"/>
      <c r="UXI209" s="2"/>
      <c r="UXJ209" s="2"/>
      <c r="UXK209" s="2"/>
      <c r="UXL209" s="2"/>
      <c r="UXM209" s="2"/>
      <c r="UXN209" s="2"/>
      <c r="UXO209" s="2"/>
      <c r="UXP209" s="2"/>
      <c r="UXQ209" s="2"/>
      <c r="UXR209" s="2"/>
      <c r="UXS209" s="2"/>
      <c r="UXT209" s="2"/>
      <c r="UXU209" s="2"/>
      <c r="UXV209" s="2"/>
      <c r="UXW209" s="2"/>
      <c r="UXX209" s="2"/>
      <c r="UXY209" s="2"/>
      <c r="UXZ209" s="2"/>
      <c r="UYA209" s="2"/>
      <c r="UYB209" s="2"/>
      <c r="UYC209" s="2"/>
      <c r="UYD209" s="2"/>
      <c r="UYE209" s="2"/>
      <c r="UYF209" s="2"/>
      <c r="UYG209" s="2"/>
      <c r="UYH209" s="2"/>
      <c r="UYI209" s="2"/>
      <c r="UYJ209" s="2"/>
      <c r="UYK209" s="2"/>
      <c r="UYL209" s="2"/>
      <c r="UYM209" s="2"/>
      <c r="UYN209" s="2"/>
      <c r="UYO209" s="2"/>
      <c r="UYP209" s="2"/>
      <c r="UYQ209" s="2"/>
      <c r="UYR209" s="2"/>
      <c r="UYS209" s="2"/>
      <c r="UYT209" s="2"/>
      <c r="UYU209" s="2"/>
      <c r="UYV209" s="2"/>
      <c r="UYW209" s="2"/>
      <c r="UYX209" s="2"/>
      <c r="UYY209" s="2"/>
      <c r="UYZ209" s="2"/>
      <c r="UZA209" s="2"/>
      <c r="UZB209" s="2"/>
      <c r="UZC209" s="2"/>
      <c r="UZD209" s="2"/>
      <c r="UZE209" s="2"/>
      <c r="UZF209" s="2"/>
      <c r="UZG209" s="2"/>
      <c r="UZH209" s="2"/>
      <c r="UZI209" s="2"/>
      <c r="UZJ209" s="2"/>
      <c r="UZK209" s="2"/>
      <c r="UZL209" s="2"/>
      <c r="UZM209" s="2"/>
      <c r="UZN209" s="2"/>
      <c r="UZO209" s="2"/>
      <c r="UZP209" s="2"/>
      <c r="UZQ209" s="2"/>
      <c r="UZR209" s="2"/>
      <c r="UZS209" s="2"/>
      <c r="UZT209" s="2"/>
      <c r="UZU209" s="2"/>
      <c r="UZV209" s="2"/>
      <c r="UZW209" s="2"/>
      <c r="UZX209" s="2"/>
      <c r="UZY209" s="2"/>
      <c r="UZZ209" s="2"/>
      <c r="VAA209" s="2"/>
      <c r="VAB209" s="2"/>
      <c r="VAC209" s="2"/>
      <c r="VAD209" s="2"/>
      <c r="VAE209" s="2"/>
      <c r="VAF209" s="2"/>
      <c r="VAG209" s="2"/>
      <c r="VAH209" s="2"/>
      <c r="VAI209" s="2"/>
      <c r="VAJ209" s="2"/>
      <c r="VAK209" s="2"/>
      <c r="VAL209" s="2"/>
      <c r="VAM209" s="2"/>
      <c r="VAN209" s="2"/>
      <c r="VAO209" s="2"/>
      <c r="VAP209" s="2"/>
      <c r="VAQ209" s="2"/>
      <c r="VAR209" s="2"/>
      <c r="VAS209" s="2"/>
      <c r="VAT209" s="2"/>
      <c r="VAU209" s="2"/>
      <c r="VAV209" s="2"/>
      <c r="VAW209" s="2"/>
      <c r="VAX209" s="2"/>
      <c r="VAY209" s="2"/>
      <c r="VAZ209" s="2"/>
      <c r="VBA209" s="2"/>
      <c r="VBB209" s="2"/>
      <c r="VBC209" s="2"/>
      <c r="VBD209" s="2"/>
      <c r="VBE209" s="2"/>
      <c r="VBF209" s="2"/>
      <c r="VBG209" s="2"/>
      <c r="VBH209" s="2"/>
      <c r="VBI209" s="2"/>
      <c r="VBJ209" s="2"/>
      <c r="VBK209" s="2"/>
      <c r="VBL209" s="2"/>
      <c r="VBM209" s="2"/>
      <c r="VBN209" s="2"/>
      <c r="VBO209" s="2"/>
      <c r="VBP209" s="2"/>
      <c r="VBQ209" s="2"/>
      <c r="VBR209" s="2"/>
      <c r="VBS209" s="2"/>
      <c r="VBT209" s="2"/>
      <c r="VBU209" s="2"/>
      <c r="VBV209" s="2"/>
      <c r="VBW209" s="2"/>
      <c r="VBX209" s="2"/>
      <c r="VBY209" s="2"/>
      <c r="VBZ209" s="2"/>
      <c r="VCA209" s="2"/>
      <c r="VCB209" s="2"/>
      <c r="VCC209" s="2"/>
      <c r="VCD209" s="2"/>
      <c r="VCE209" s="2"/>
      <c r="VCF209" s="2"/>
      <c r="VCG209" s="2"/>
      <c r="VCH209" s="2"/>
      <c r="VCI209" s="2"/>
      <c r="VCJ209" s="2"/>
      <c r="VCK209" s="2"/>
      <c r="VCL209" s="2"/>
      <c r="VCM209" s="2"/>
      <c r="VCN209" s="2"/>
      <c r="VCO209" s="2"/>
      <c r="VCP209" s="2"/>
      <c r="VCQ209" s="2"/>
      <c r="VCR209" s="2"/>
      <c r="VCS209" s="2"/>
      <c r="VCT209" s="2"/>
      <c r="VCU209" s="2"/>
      <c r="VCV209" s="2"/>
      <c r="VCW209" s="2"/>
    </row>
    <row r="210" spans="5:14973" s="3" customFormat="1" x14ac:dyDescent="0.3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74"/>
      <c r="AN210" s="74"/>
      <c r="AO210" s="2"/>
      <c r="AP210" s="2"/>
      <c r="AQ210" s="2"/>
      <c r="AR210" s="2"/>
      <c r="AT210" s="4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2"/>
      <c r="TD210" s="2"/>
      <c r="TE210" s="2"/>
      <c r="TF210" s="2"/>
      <c r="TG210" s="2"/>
      <c r="TH210" s="2"/>
      <c r="TI210" s="2"/>
      <c r="TJ210" s="2"/>
      <c r="TK210" s="2"/>
      <c r="TL210" s="2"/>
      <c r="TM210" s="2"/>
      <c r="TN210" s="2"/>
      <c r="TO210" s="2"/>
      <c r="TP210" s="2"/>
      <c r="TQ210" s="2"/>
      <c r="TR210" s="2"/>
      <c r="TS210" s="2"/>
      <c r="TT210" s="2"/>
      <c r="TU210" s="2"/>
      <c r="TV210" s="2"/>
      <c r="TW210" s="2"/>
      <c r="TX210" s="2"/>
      <c r="TY210" s="2"/>
      <c r="TZ210" s="2"/>
      <c r="UA210" s="2"/>
      <c r="UB210" s="2"/>
      <c r="UC210" s="2"/>
      <c r="UD210" s="2"/>
      <c r="UE210" s="2"/>
      <c r="UF210" s="2"/>
      <c r="UG210" s="2"/>
      <c r="UH210" s="2"/>
      <c r="UI210" s="2"/>
      <c r="UJ210" s="2"/>
      <c r="UK210" s="2"/>
      <c r="UL210" s="2"/>
      <c r="UM210" s="2"/>
      <c r="UN210" s="2"/>
      <c r="UO210" s="2"/>
      <c r="UP210" s="2"/>
      <c r="UQ210" s="2"/>
      <c r="UR210" s="2"/>
      <c r="US210" s="2"/>
      <c r="UT210" s="2"/>
      <c r="UU210" s="2"/>
      <c r="UV210" s="2"/>
      <c r="UW210" s="2"/>
      <c r="UX210" s="2"/>
      <c r="UY210" s="2"/>
      <c r="UZ210" s="2"/>
      <c r="VA210" s="2"/>
      <c r="VB210" s="2"/>
      <c r="VC210" s="2"/>
      <c r="VD210" s="2"/>
      <c r="VE210" s="2"/>
      <c r="VF210" s="2"/>
      <c r="VG210" s="2"/>
      <c r="VH210" s="2"/>
      <c r="VI210" s="2"/>
      <c r="VJ210" s="2"/>
      <c r="VK210" s="2"/>
      <c r="VL210" s="2"/>
      <c r="VM210" s="2"/>
      <c r="VN210" s="2"/>
      <c r="VO210" s="2"/>
      <c r="VP210" s="2"/>
      <c r="VQ210" s="2"/>
      <c r="VR210" s="2"/>
      <c r="VS210" s="2"/>
      <c r="VT210" s="2"/>
      <c r="VU210" s="2"/>
      <c r="VV210" s="2"/>
      <c r="VW210" s="2"/>
      <c r="VX210" s="2"/>
      <c r="VY210" s="2"/>
      <c r="VZ210" s="2"/>
      <c r="WA210" s="2"/>
      <c r="WB210" s="2"/>
      <c r="WC210" s="2"/>
      <c r="WD210" s="2"/>
      <c r="WE210" s="2"/>
      <c r="WF210" s="2"/>
      <c r="WG210" s="2"/>
      <c r="WH210" s="2"/>
      <c r="WI210" s="2"/>
      <c r="WJ210" s="2"/>
      <c r="WK210" s="2"/>
      <c r="WL210" s="2"/>
      <c r="WM210" s="2"/>
      <c r="WN210" s="2"/>
      <c r="WO210" s="2"/>
      <c r="WP210" s="2"/>
      <c r="WQ210" s="2"/>
      <c r="WR210" s="2"/>
      <c r="WS210" s="2"/>
      <c r="WT210" s="2"/>
      <c r="WU210" s="2"/>
      <c r="WV210" s="2"/>
      <c r="WW210" s="2"/>
      <c r="WX210" s="2"/>
      <c r="WY210" s="2"/>
      <c r="WZ210" s="2"/>
      <c r="XA210" s="2"/>
      <c r="XB210" s="2"/>
      <c r="XC210" s="2"/>
      <c r="XD210" s="2"/>
      <c r="XE210" s="2"/>
      <c r="XF210" s="2"/>
      <c r="XG210" s="2"/>
      <c r="XH210" s="2"/>
      <c r="XI210" s="2"/>
      <c r="XJ210" s="2"/>
      <c r="XK210" s="2"/>
      <c r="XL210" s="2"/>
      <c r="XM210" s="2"/>
      <c r="XN210" s="2"/>
      <c r="XO210" s="2"/>
      <c r="XP210" s="2"/>
      <c r="XQ210" s="2"/>
      <c r="XR210" s="2"/>
      <c r="XS210" s="2"/>
      <c r="XT210" s="2"/>
      <c r="XU210" s="2"/>
      <c r="XV210" s="2"/>
      <c r="XW210" s="2"/>
      <c r="XX210" s="2"/>
      <c r="XY210" s="2"/>
      <c r="XZ210" s="2"/>
      <c r="YA210" s="2"/>
      <c r="YB210" s="2"/>
      <c r="YC210" s="2"/>
      <c r="YD210" s="2"/>
      <c r="YE210" s="2"/>
      <c r="YF210" s="2"/>
      <c r="YG210" s="2"/>
      <c r="YH210" s="2"/>
      <c r="YI210" s="2"/>
      <c r="YJ210" s="2"/>
      <c r="YK210" s="2"/>
      <c r="YL210" s="2"/>
      <c r="YM210" s="2"/>
      <c r="YN210" s="2"/>
      <c r="YO210" s="2"/>
      <c r="YP210" s="2"/>
      <c r="YQ210" s="2"/>
      <c r="YR210" s="2"/>
      <c r="YS210" s="2"/>
      <c r="YT210" s="2"/>
      <c r="YU210" s="2"/>
      <c r="YV210" s="2"/>
      <c r="YW210" s="2"/>
      <c r="YX210" s="2"/>
      <c r="YY210" s="2"/>
      <c r="YZ210" s="2"/>
      <c r="ZA210" s="2"/>
      <c r="ZB210" s="2"/>
      <c r="ZC210" s="2"/>
      <c r="ZD210" s="2"/>
      <c r="ZE210" s="2"/>
      <c r="ZF210" s="2"/>
      <c r="ZG210" s="2"/>
      <c r="ZH210" s="2"/>
      <c r="ZI210" s="2"/>
      <c r="ZJ210" s="2"/>
      <c r="ZK210" s="2"/>
      <c r="ZL210" s="2"/>
      <c r="ZM210" s="2"/>
      <c r="ZN210" s="2"/>
      <c r="ZO210" s="2"/>
      <c r="ZP210" s="2"/>
      <c r="ZQ210" s="2"/>
      <c r="ZR210" s="2"/>
      <c r="ZS210" s="2"/>
      <c r="ZT210" s="2"/>
      <c r="ZU210" s="2"/>
      <c r="ZV210" s="2"/>
      <c r="ZW210" s="2"/>
      <c r="ZX210" s="2"/>
      <c r="ZY210" s="2"/>
      <c r="ZZ210" s="2"/>
      <c r="AAA210" s="2"/>
      <c r="AAB210" s="2"/>
      <c r="AAC210" s="2"/>
      <c r="AAD210" s="2"/>
      <c r="AAE210" s="2"/>
      <c r="AAF210" s="2"/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  <c r="ABE210" s="2"/>
      <c r="ABF210" s="2"/>
      <c r="ABG210" s="2"/>
      <c r="ABH210" s="2"/>
      <c r="ABI210" s="2"/>
      <c r="ABJ210" s="2"/>
      <c r="ABK210" s="2"/>
      <c r="ABL210" s="2"/>
      <c r="ABM210" s="2"/>
      <c r="ABN210" s="2"/>
      <c r="ABO210" s="2"/>
      <c r="ABP210" s="2"/>
      <c r="ABQ210" s="2"/>
      <c r="ABR210" s="2"/>
      <c r="ABS210" s="2"/>
      <c r="ABT210" s="2"/>
      <c r="ABU210" s="2"/>
      <c r="ABV210" s="2"/>
      <c r="ABW210" s="2"/>
      <c r="ABX210" s="2"/>
      <c r="ABY210" s="2"/>
      <c r="ABZ210" s="2"/>
      <c r="ACA210" s="2"/>
      <c r="ACB210" s="2"/>
      <c r="ACC210" s="2"/>
      <c r="ACD210" s="2"/>
      <c r="ACE210" s="2"/>
      <c r="ACF210" s="2"/>
      <c r="ACG210" s="2"/>
      <c r="ACH210" s="2"/>
      <c r="ACI210" s="2"/>
      <c r="ACJ210" s="2"/>
      <c r="ACK210" s="2"/>
      <c r="ACL210" s="2"/>
      <c r="ACM210" s="2"/>
      <c r="ACN210" s="2"/>
      <c r="ACO210" s="2"/>
      <c r="ACP210" s="2"/>
      <c r="ACQ210" s="2"/>
      <c r="ACR210" s="2"/>
      <c r="ACS210" s="2"/>
      <c r="ACT210" s="2"/>
      <c r="ACU210" s="2"/>
      <c r="ACV210" s="2"/>
      <c r="ACW210" s="2"/>
      <c r="ACX210" s="2"/>
      <c r="ACY210" s="2"/>
      <c r="ACZ210" s="2"/>
      <c r="ADA210" s="2"/>
      <c r="ADB210" s="2"/>
      <c r="ADC210" s="2"/>
      <c r="ADD210" s="2"/>
      <c r="ADE210" s="2"/>
      <c r="ADF210" s="2"/>
      <c r="ADG210" s="2"/>
      <c r="ADH210" s="2"/>
      <c r="ADI210" s="2"/>
      <c r="ADJ210" s="2"/>
      <c r="ADK210" s="2"/>
      <c r="ADL210" s="2"/>
      <c r="ADM210" s="2"/>
      <c r="ADN210" s="2"/>
      <c r="ADO210" s="2"/>
      <c r="ADP210" s="2"/>
      <c r="ADQ210" s="2"/>
      <c r="ADR210" s="2"/>
      <c r="ADS210" s="2"/>
      <c r="ADT210" s="2"/>
      <c r="ADU210" s="2"/>
      <c r="ADV210" s="2"/>
      <c r="ADW210" s="2"/>
      <c r="ADX210" s="2"/>
      <c r="ADY210" s="2"/>
      <c r="ADZ210" s="2"/>
      <c r="AEA210" s="2"/>
      <c r="AEB210" s="2"/>
      <c r="AEC210" s="2"/>
      <c r="AED210" s="2"/>
      <c r="AEE210" s="2"/>
      <c r="AEF210" s="2"/>
      <c r="AEG210" s="2"/>
      <c r="AEH210" s="2"/>
      <c r="AEI210" s="2"/>
      <c r="AEJ210" s="2"/>
      <c r="AEK210" s="2"/>
      <c r="AEL210" s="2"/>
      <c r="AEM210" s="2"/>
      <c r="AEN210" s="2"/>
      <c r="AEO210" s="2"/>
      <c r="AEP210" s="2"/>
      <c r="AEQ210" s="2"/>
      <c r="AER210" s="2"/>
      <c r="AES210" s="2"/>
      <c r="AET210" s="2"/>
      <c r="AEU210" s="2"/>
      <c r="AEV210" s="2"/>
      <c r="AEW210" s="2"/>
      <c r="AEX210" s="2"/>
      <c r="AEY210" s="2"/>
      <c r="AEZ210" s="2"/>
      <c r="AFA210" s="2"/>
      <c r="AFB210" s="2"/>
      <c r="AFC210" s="2"/>
      <c r="AFD210" s="2"/>
      <c r="AFE210" s="2"/>
      <c r="AFF210" s="2"/>
      <c r="AFG210" s="2"/>
      <c r="AFH210" s="2"/>
      <c r="AFI210" s="2"/>
      <c r="AFJ210" s="2"/>
      <c r="AFK210" s="2"/>
      <c r="AFL210" s="2"/>
      <c r="AFM210" s="2"/>
      <c r="AFN210" s="2"/>
      <c r="AFO210" s="2"/>
      <c r="AFP210" s="2"/>
      <c r="AFQ210" s="2"/>
      <c r="AFR210" s="2"/>
      <c r="AFS210" s="2"/>
      <c r="AFT210" s="2"/>
      <c r="AFU210" s="2"/>
      <c r="AFV210" s="2"/>
      <c r="AFW210" s="2"/>
      <c r="AFX210" s="2"/>
      <c r="AFY210" s="2"/>
      <c r="AFZ210" s="2"/>
      <c r="AGA210" s="2"/>
      <c r="AGB210" s="2"/>
      <c r="AGC210" s="2"/>
      <c r="AGD210" s="2"/>
      <c r="AGE210" s="2"/>
      <c r="AGF210" s="2"/>
      <c r="AGG210" s="2"/>
      <c r="AGH210" s="2"/>
      <c r="AGI210" s="2"/>
      <c r="AGJ210" s="2"/>
      <c r="AGK210" s="2"/>
      <c r="AGL210" s="2"/>
      <c r="AGM210" s="2"/>
      <c r="AGN210" s="2"/>
      <c r="AGO210" s="2"/>
      <c r="AGP210" s="2"/>
      <c r="AGQ210" s="2"/>
      <c r="AGR210" s="2"/>
      <c r="AGS210" s="2"/>
      <c r="AGT210" s="2"/>
      <c r="AGU210" s="2"/>
      <c r="AGV210" s="2"/>
      <c r="AGW210" s="2"/>
      <c r="AGX210" s="2"/>
      <c r="AGY210" s="2"/>
      <c r="AGZ210" s="2"/>
      <c r="AHA210" s="2"/>
      <c r="AHB210" s="2"/>
      <c r="AHC210" s="2"/>
      <c r="AHD210" s="2"/>
      <c r="AHE210" s="2"/>
      <c r="AHF210" s="2"/>
      <c r="AHG210" s="2"/>
      <c r="AHH210" s="2"/>
      <c r="AHI210" s="2"/>
      <c r="AHJ210" s="2"/>
      <c r="AHK210" s="2"/>
      <c r="AHL210" s="2"/>
      <c r="AHM210" s="2"/>
      <c r="AHN210" s="2"/>
      <c r="AHO210" s="2"/>
      <c r="AHP210" s="2"/>
      <c r="AHQ210" s="2"/>
      <c r="AHR210" s="2"/>
      <c r="AHS210" s="2"/>
      <c r="AHT210" s="2"/>
      <c r="AHU210" s="2"/>
      <c r="AHV210" s="2"/>
      <c r="AHW210" s="2"/>
      <c r="AHX210" s="2"/>
      <c r="AHY210" s="2"/>
      <c r="AHZ210" s="2"/>
      <c r="AIA210" s="2"/>
      <c r="AIB210" s="2"/>
      <c r="AIC210" s="2"/>
      <c r="AID210" s="2"/>
      <c r="AIE210" s="2"/>
      <c r="AIF210" s="2"/>
      <c r="AIG210" s="2"/>
      <c r="AIH210" s="2"/>
      <c r="AII210" s="2"/>
      <c r="AIJ210" s="2"/>
      <c r="AIK210" s="2"/>
      <c r="AIL210" s="2"/>
      <c r="AIM210" s="2"/>
      <c r="AIN210" s="2"/>
      <c r="AIO210" s="2"/>
      <c r="AIP210" s="2"/>
      <c r="AIQ210" s="2"/>
      <c r="AIR210" s="2"/>
      <c r="AIS210" s="2"/>
      <c r="AIT210" s="2"/>
      <c r="AIU210" s="2"/>
      <c r="AIV210" s="2"/>
      <c r="AIW210" s="2"/>
      <c r="AIX210" s="2"/>
      <c r="AIY210" s="2"/>
      <c r="AIZ210" s="2"/>
      <c r="AJA210" s="2"/>
      <c r="AJB210" s="2"/>
      <c r="AJC210" s="2"/>
      <c r="AJD210" s="2"/>
      <c r="AJE210" s="2"/>
      <c r="AJF210" s="2"/>
      <c r="AJG210" s="2"/>
      <c r="AJH210" s="2"/>
      <c r="AJI210" s="2"/>
      <c r="AJJ210" s="2"/>
      <c r="AJK210" s="2"/>
      <c r="AJL210" s="2"/>
      <c r="AJM210" s="2"/>
      <c r="AJN210" s="2"/>
      <c r="AJO210" s="2"/>
      <c r="AJP210" s="2"/>
      <c r="AJQ210" s="2"/>
      <c r="AJR210" s="2"/>
      <c r="AJS210" s="2"/>
      <c r="AJT210" s="2"/>
      <c r="AJU210" s="2"/>
      <c r="AJV210" s="2"/>
      <c r="AJW210" s="2"/>
      <c r="AJX210" s="2"/>
      <c r="AJY210" s="2"/>
      <c r="AJZ210" s="2"/>
      <c r="AKA210" s="2"/>
      <c r="AKB210" s="2"/>
      <c r="AKC210" s="2"/>
      <c r="AKD210" s="2"/>
      <c r="AKE210" s="2"/>
      <c r="AKF210" s="2"/>
      <c r="AKG210" s="2"/>
      <c r="AKH210" s="2"/>
      <c r="AKI210" s="2"/>
      <c r="AKJ210" s="2"/>
      <c r="AKK210" s="2"/>
      <c r="AKL210" s="2"/>
      <c r="AKM210" s="2"/>
      <c r="AKN210" s="2"/>
      <c r="AKO210" s="2"/>
      <c r="AKP210" s="2"/>
      <c r="AKQ210" s="2"/>
      <c r="AKR210" s="2"/>
      <c r="AKS210" s="2"/>
      <c r="AKT210" s="2"/>
      <c r="AKU210" s="2"/>
      <c r="AKV210" s="2"/>
      <c r="AKW210" s="2"/>
      <c r="AKX210" s="2"/>
      <c r="AKY210" s="2"/>
      <c r="AKZ210" s="2"/>
      <c r="ALA210" s="2"/>
      <c r="ALB210" s="2"/>
      <c r="ALC210" s="2"/>
      <c r="ALD210" s="2"/>
      <c r="ALE210" s="2"/>
      <c r="ALF210" s="2"/>
      <c r="ALG210" s="2"/>
      <c r="ALH210" s="2"/>
      <c r="ALI210" s="2"/>
      <c r="ALJ210" s="2"/>
      <c r="ALK210" s="2"/>
      <c r="ALL210" s="2"/>
      <c r="ALM210" s="2"/>
      <c r="ALN210" s="2"/>
      <c r="ALO210" s="2"/>
      <c r="ALP210" s="2"/>
      <c r="ALQ210" s="2"/>
      <c r="ALR210" s="2"/>
      <c r="ALS210" s="2"/>
      <c r="ALT210" s="2"/>
      <c r="ALU210" s="2"/>
      <c r="ALV210" s="2"/>
      <c r="ALW210" s="2"/>
      <c r="ALX210" s="2"/>
      <c r="ALY210" s="2"/>
      <c r="ALZ210" s="2"/>
      <c r="AMA210" s="2"/>
      <c r="AMB210" s="2"/>
      <c r="AMC210" s="2"/>
      <c r="AMD210" s="2"/>
      <c r="AME210" s="2"/>
      <c r="AMF210" s="2"/>
      <c r="AMG210" s="2"/>
      <c r="AMH210" s="2"/>
      <c r="AMI210" s="2"/>
      <c r="AMJ210" s="2"/>
      <c r="AMK210" s="2"/>
      <c r="AML210" s="2"/>
      <c r="AMM210" s="2"/>
      <c r="AMN210" s="2"/>
      <c r="AMO210" s="2"/>
      <c r="AMP210" s="2"/>
      <c r="AMQ210" s="2"/>
      <c r="AMR210" s="2"/>
      <c r="AMS210" s="2"/>
      <c r="AMT210" s="2"/>
      <c r="AMU210" s="2"/>
      <c r="AMV210" s="2"/>
      <c r="AMW210" s="2"/>
      <c r="AMX210" s="2"/>
      <c r="AMY210" s="2"/>
      <c r="AMZ210" s="2"/>
      <c r="ANA210" s="2"/>
      <c r="ANB210" s="2"/>
      <c r="ANC210" s="2"/>
      <c r="AND210" s="2"/>
      <c r="ANE210" s="2"/>
      <c r="ANF210" s="2"/>
      <c r="ANG210" s="2"/>
      <c r="ANH210" s="2"/>
      <c r="ANI210" s="2"/>
      <c r="ANJ210" s="2"/>
      <c r="ANK210" s="2"/>
      <c r="ANL210" s="2"/>
      <c r="ANM210" s="2"/>
      <c r="ANN210" s="2"/>
      <c r="ANO210" s="2"/>
      <c r="ANP210" s="2"/>
      <c r="ANQ210" s="2"/>
      <c r="ANR210" s="2"/>
      <c r="ANS210" s="2"/>
      <c r="ANT210" s="2"/>
      <c r="ANU210" s="2"/>
      <c r="ANV210" s="2"/>
      <c r="ANW210" s="2"/>
      <c r="ANX210" s="2"/>
      <c r="ANY210" s="2"/>
      <c r="ANZ210" s="2"/>
      <c r="AOA210" s="2"/>
      <c r="AOB210" s="2"/>
      <c r="AOC210" s="2"/>
      <c r="AOD210" s="2"/>
      <c r="AOE210" s="2"/>
      <c r="AOF210" s="2"/>
      <c r="AOG210" s="2"/>
      <c r="AOH210" s="2"/>
      <c r="AOI210" s="2"/>
      <c r="AOJ210" s="2"/>
      <c r="AOK210" s="2"/>
      <c r="AOL210" s="2"/>
      <c r="AOM210" s="2"/>
      <c r="AON210" s="2"/>
      <c r="AOO210" s="2"/>
      <c r="AOP210" s="2"/>
      <c r="AOQ210" s="2"/>
      <c r="AOR210" s="2"/>
      <c r="AOS210" s="2"/>
      <c r="AOT210" s="2"/>
      <c r="AOU210" s="2"/>
      <c r="AOV210" s="2"/>
      <c r="AOW210" s="2"/>
      <c r="AOX210" s="2"/>
      <c r="AOY210" s="2"/>
      <c r="AOZ210" s="2"/>
      <c r="APA210" s="2"/>
      <c r="APB210" s="2"/>
      <c r="APC210" s="2"/>
      <c r="APD210" s="2"/>
      <c r="APE210" s="2"/>
      <c r="APF210" s="2"/>
      <c r="APG210" s="2"/>
      <c r="APH210" s="2"/>
      <c r="API210" s="2"/>
      <c r="APJ210" s="2"/>
      <c r="APK210" s="2"/>
      <c r="APL210" s="2"/>
      <c r="APM210" s="2"/>
      <c r="APN210" s="2"/>
      <c r="APO210" s="2"/>
      <c r="APP210" s="2"/>
      <c r="APQ210" s="2"/>
      <c r="APR210" s="2"/>
      <c r="APS210" s="2"/>
      <c r="APT210" s="2"/>
      <c r="APU210" s="2"/>
      <c r="APV210" s="2"/>
      <c r="APW210" s="2"/>
      <c r="APX210" s="2"/>
      <c r="APY210" s="2"/>
      <c r="APZ210" s="2"/>
      <c r="AQA210" s="2"/>
      <c r="AQB210" s="2"/>
      <c r="AQC210" s="2"/>
      <c r="AQD210" s="2"/>
      <c r="AQE210" s="2"/>
      <c r="AQF210" s="2"/>
      <c r="AQG210" s="2"/>
      <c r="AQH210" s="2"/>
      <c r="AQI210" s="2"/>
      <c r="AQJ210" s="2"/>
      <c r="AQK210" s="2"/>
      <c r="AQL210" s="2"/>
      <c r="AQM210" s="2"/>
      <c r="AQN210" s="2"/>
      <c r="AQO210" s="2"/>
      <c r="AQP210" s="2"/>
      <c r="AQQ210" s="2"/>
      <c r="AQR210" s="2"/>
      <c r="AQS210" s="2"/>
      <c r="AQT210" s="2"/>
      <c r="AQU210" s="2"/>
      <c r="AQV210" s="2"/>
      <c r="AQW210" s="2"/>
      <c r="AQX210" s="2"/>
      <c r="AQY210" s="2"/>
      <c r="AQZ210" s="2"/>
      <c r="ARA210" s="2"/>
      <c r="ARB210" s="2"/>
      <c r="ARC210" s="2"/>
      <c r="ARD210" s="2"/>
      <c r="ARE210" s="2"/>
      <c r="ARF210" s="2"/>
      <c r="ARG210" s="2"/>
      <c r="ARH210" s="2"/>
      <c r="ARI210" s="2"/>
      <c r="ARJ210" s="2"/>
      <c r="ARK210" s="2"/>
      <c r="ARL210" s="2"/>
      <c r="ARM210" s="2"/>
      <c r="ARN210" s="2"/>
      <c r="ARO210" s="2"/>
      <c r="ARP210" s="2"/>
      <c r="ARQ210" s="2"/>
      <c r="ARR210" s="2"/>
      <c r="ARS210" s="2"/>
      <c r="ART210" s="2"/>
      <c r="ARU210" s="2"/>
      <c r="ARV210" s="2"/>
      <c r="ARW210" s="2"/>
      <c r="ARX210" s="2"/>
      <c r="ARY210" s="2"/>
      <c r="ARZ210" s="2"/>
      <c r="ASA210" s="2"/>
      <c r="ASB210" s="2"/>
      <c r="ASC210" s="2"/>
      <c r="ASD210" s="2"/>
      <c r="ASE210" s="2"/>
      <c r="ASF210" s="2"/>
      <c r="ASG210" s="2"/>
      <c r="ASH210" s="2"/>
      <c r="ASI210" s="2"/>
      <c r="ASJ210" s="2"/>
      <c r="ASK210" s="2"/>
      <c r="ASL210" s="2"/>
      <c r="ASM210" s="2"/>
      <c r="ASN210" s="2"/>
      <c r="ASO210" s="2"/>
      <c r="ASP210" s="2"/>
      <c r="ASQ210" s="2"/>
      <c r="ASR210" s="2"/>
      <c r="ASS210" s="2"/>
      <c r="AST210" s="2"/>
      <c r="ASU210" s="2"/>
      <c r="ASV210" s="2"/>
      <c r="ASW210" s="2"/>
      <c r="ASX210" s="2"/>
      <c r="ASY210" s="2"/>
      <c r="ASZ210" s="2"/>
      <c r="ATA210" s="2"/>
      <c r="ATB210" s="2"/>
      <c r="ATC210" s="2"/>
      <c r="ATD210" s="2"/>
      <c r="ATE210" s="2"/>
      <c r="ATF210" s="2"/>
      <c r="ATG210" s="2"/>
      <c r="ATH210" s="2"/>
      <c r="ATI210" s="2"/>
      <c r="ATJ210" s="2"/>
      <c r="ATK210" s="2"/>
      <c r="ATL210" s="2"/>
      <c r="ATM210" s="2"/>
      <c r="ATN210" s="2"/>
      <c r="ATO210" s="2"/>
      <c r="ATP210" s="2"/>
      <c r="ATQ210" s="2"/>
      <c r="ATR210" s="2"/>
      <c r="ATS210" s="2"/>
      <c r="ATT210" s="2"/>
      <c r="ATU210" s="2"/>
      <c r="ATV210" s="2"/>
      <c r="ATW210" s="2"/>
      <c r="ATX210" s="2"/>
      <c r="ATY210" s="2"/>
      <c r="ATZ210" s="2"/>
      <c r="AUA210" s="2"/>
      <c r="AUB210" s="2"/>
      <c r="AUC210" s="2"/>
      <c r="AUD210" s="2"/>
      <c r="AUE210" s="2"/>
      <c r="AUF210" s="2"/>
      <c r="AUG210" s="2"/>
      <c r="AUH210" s="2"/>
      <c r="AUI210" s="2"/>
      <c r="AUJ210" s="2"/>
      <c r="AUK210" s="2"/>
      <c r="AUL210" s="2"/>
      <c r="AUM210" s="2"/>
      <c r="AUN210" s="2"/>
      <c r="AUO210" s="2"/>
      <c r="AUP210" s="2"/>
      <c r="AUQ210" s="2"/>
      <c r="AUR210" s="2"/>
      <c r="AUS210" s="2"/>
      <c r="AUT210" s="2"/>
      <c r="AUU210" s="2"/>
      <c r="AUV210" s="2"/>
      <c r="AUW210" s="2"/>
      <c r="AUX210" s="2"/>
      <c r="AUY210" s="2"/>
      <c r="AUZ210" s="2"/>
      <c r="AVA210" s="2"/>
      <c r="AVB210" s="2"/>
      <c r="AVC210" s="2"/>
      <c r="AVD210" s="2"/>
      <c r="AVE210" s="2"/>
      <c r="AVF210" s="2"/>
      <c r="AVG210" s="2"/>
      <c r="AVH210" s="2"/>
      <c r="AVI210" s="2"/>
      <c r="AVJ210" s="2"/>
      <c r="AVK210" s="2"/>
      <c r="AVL210" s="2"/>
      <c r="AVM210" s="2"/>
      <c r="AVN210" s="2"/>
      <c r="AVO210" s="2"/>
      <c r="AVP210" s="2"/>
      <c r="AVQ210" s="2"/>
      <c r="AVR210" s="2"/>
      <c r="AVS210" s="2"/>
      <c r="AVT210" s="2"/>
      <c r="AVU210" s="2"/>
      <c r="AVV210" s="2"/>
      <c r="AVW210" s="2"/>
      <c r="AVX210" s="2"/>
      <c r="AVY210" s="2"/>
      <c r="AVZ210" s="2"/>
      <c r="AWA210" s="2"/>
      <c r="AWB210" s="2"/>
      <c r="AWC210" s="2"/>
      <c r="AWD210" s="2"/>
      <c r="AWE210" s="2"/>
      <c r="AWF210" s="2"/>
      <c r="AWG210" s="2"/>
      <c r="AWH210" s="2"/>
      <c r="AWI210" s="2"/>
      <c r="AWJ210" s="2"/>
      <c r="AWK210" s="2"/>
      <c r="AWL210" s="2"/>
      <c r="AWM210" s="2"/>
      <c r="AWN210" s="2"/>
      <c r="AWO210" s="2"/>
      <c r="AWP210" s="2"/>
      <c r="AWQ210" s="2"/>
      <c r="AWR210" s="2"/>
      <c r="AWS210" s="2"/>
      <c r="AWT210" s="2"/>
      <c r="AWU210" s="2"/>
      <c r="AWV210" s="2"/>
      <c r="AWW210" s="2"/>
      <c r="AWX210" s="2"/>
      <c r="AWY210" s="2"/>
      <c r="AWZ210" s="2"/>
      <c r="AXA210" s="2"/>
      <c r="AXB210" s="2"/>
      <c r="AXC210" s="2"/>
      <c r="AXD210" s="2"/>
      <c r="AXE210" s="2"/>
      <c r="AXF210" s="2"/>
      <c r="AXG210" s="2"/>
      <c r="AXH210" s="2"/>
      <c r="AXI210" s="2"/>
      <c r="AXJ210" s="2"/>
      <c r="AXK210" s="2"/>
      <c r="AXL210" s="2"/>
      <c r="AXM210" s="2"/>
      <c r="AXN210" s="2"/>
      <c r="AXO210" s="2"/>
      <c r="AXP210" s="2"/>
      <c r="AXQ210" s="2"/>
      <c r="AXR210" s="2"/>
      <c r="AXS210" s="2"/>
      <c r="AXT210" s="2"/>
      <c r="AXU210" s="2"/>
      <c r="AXV210" s="2"/>
      <c r="AXW210" s="2"/>
      <c r="AXX210" s="2"/>
      <c r="AXY210" s="2"/>
      <c r="AXZ210" s="2"/>
      <c r="AYA210" s="2"/>
      <c r="AYB210" s="2"/>
      <c r="AYC210" s="2"/>
      <c r="AYD210" s="2"/>
      <c r="AYE210" s="2"/>
      <c r="AYF210" s="2"/>
      <c r="AYG210" s="2"/>
      <c r="AYH210" s="2"/>
      <c r="AYI210" s="2"/>
      <c r="AYJ210" s="2"/>
      <c r="AYK210" s="2"/>
      <c r="AYL210" s="2"/>
      <c r="AYM210" s="2"/>
      <c r="AYN210" s="2"/>
      <c r="AYO210" s="2"/>
      <c r="AYP210" s="2"/>
      <c r="AYQ210" s="2"/>
      <c r="AYR210" s="2"/>
      <c r="AYS210" s="2"/>
      <c r="AYT210" s="2"/>
      <c r="AYU210" s="2"/>
      <c r="AYV210" s="2"/>
      <c r="AYW210" s="2"/>
      <c r="AYX210" s="2"/>
      <c r="AYY210" s="2"/>
      <c r="AYZ210" s="2"/>
      <c r="AZA210" s="2"/>
      <c r="AZB210" s="2"/>
      <c r="AZC210" s="2"/>
      <c r="AZD210" s="2"/>
      <c r="AZE210" s="2"/>
      <c r="AZF210" s="2"/>
      <c r="AZG210" s="2"/>
      <c r="AZH210" s="2"/>
      <c r="AZI210" s="2"/>
      <c r="AZJ210" s="2"/>
      <c r="AZK210" s="2"/>
      <c r="AZL210" s="2"/>
      <c r="AZM210" s="2"/>
      <c r="AZN210" s="2"/>
      <c r="AZO210" s="2"/>
      <c r="AZP210" s="2"/>
      <c r="AZQ210" s="2"/>
      <c r="AZR210" s="2"/>
      <c r="AZS210" s="2"/>
      <c r="AZT210" s="2"/>
      <c r="AZU210" s="2"/>
      <c r="AZV210" s="2"/>
      <c r="AZW210" s="2"/>
      <c r="AZX210" s="2"/>
      <c r="AZY210" s="2"/>
      <c r="AZZ210" s="2"/>
      <c r="BAA210" s="2"/>
      <c r="BAB210" s="2"/>
      <c r="BAC210" s="2"/>
      <c r="BAD210" s="2"/>
      <c r="BAE210" s="2"/>
      <c r="BAF210" s="2"/>
      <c r="BAG210" s="2"/>
      <c r="BAH210" s="2"/>
      <c r="BAI210" s="2"/>
      <c r="BAJ210" s="2"/>
      <c r="BAK210" s="2"/>
      <c r="BAL210" s="2"/>
      <c r="BAM210" s="2"/>
      <c r="BAN210" s="2"/>
      <c r="BAO210" s="2"/>
      <c r="BAP210" s="2"/>
      <c r="BAQ210" s="2"/>
      <c r="BAR210" s="2"/>
      <c r="BAS210" s="2"/>
      <c r="BAT210" s="2"/>
      <c r="BAU210" s="2"/>
      <c r="BAV210" s="2"/>
      <c r="BAW210" s="2"/>
      <c r="BAX210" s="2"/>
      <c r="BAY210" s="2"/>
      <c r="BAZ210" s="2"/>
      <c r="BBA210" s="2"/>
      <c r="BBB210" s="2"/>
      <c r="BBC210" s="2"/>
      <c r="BBD210" s="2"/>
      <c r="BBE210" s="2"/>
      <c r="BBF210" s="2"/>
      <c r="BBG210" s="2"/>
      <c r="BBH210" s="2"/>
      <c r="BBI210" s="2"/>
      <c r="BBJ210" s="2"/>
      <c r="BBK210" s="2"/>
      <c r="BBL210" s="2"/>
      <c r="BBM210" s="2"/>
      <c r="BBN210" s="2"/>
      <c r="BBO210" s="2"/>
      <c r="BBP210" s="2"/>
      <c r="BBQ210" s="2"/>
      <c r="BBR210" s="2"/>
      <c r="BBS210" s="2"/>
      <c r="BBT210" s="2"/>
      <c r="BBU210" s="2"/>
      <c r="BBV210" s="2"/>
      <c r="BBW210" s="2"/>
      <c r="BBX210" s="2"/>
      <c r="BBY210" s="2"/>
      <c r="BBZ210" s="2"/>
      <c r="BCA210" s="2"/>
      <c r="BCB210" s="2"/>
      <c r="BCC210" s="2"/>
      <c r="BCD210" s="2"/>
      <c r="BCE210" s="2"/>
      <c r="BCF210" s="2"/>
      <c r="BCG210" s="2"/>
      <c r="BCH210" s="2"/>
      <c r="BCI210" s="2"/>
      <c r="BCJ210" s="2"/>
      <c r="BCK210" s="2"/>
      <c r="BCL210" s="2"/>
      <c r="BCM210" s="2"/>
      <c r="BCN210" s="2"/>
      <c r="BCO210" s="2"/>
      <c r="BCP210" s="2"/>
      <c r="BCQ210" s="2"/>
      <c r="BCR210" s="2"/>
      <c r="BCS210" s="2"/>
      <c r="BCT210" s="2"/>
      <c r="BCU210" s="2"/>
      <c r="BCV210" s="2"/>
      <c r="BCW210" s="2"/>
      <c r="BCX210" s="2"/>
      <c r="BCY210" s="2"/>
      <c r="BCZ210" s="2"/>
      <c r="BDA210" s="2"/>
      <c r="BDB210" s="2"/>
      <c r="BDC210" s="2"/>
      <c r="BDD210" s="2"/>
      <c r="BDE210" s="2"/>
      <c r="BDF210" s="2"/>
      <c r="BDG210" s="2"/>
      <c r="BDH210" s="2"/>
      <c r="BDI210" s="2"/>
      <c r="BDJ210" s="2"/>
      <c r="BDK210" s="2"/>
      <c r="BDL210" s="2"/>
      <c r="BDM210" s="2"/>
      <c r="BDN210" s="2"/>
      <c r="BDO210" s="2"/>
      <c r="BDP210" s="2"/>
      <c r="BDQ210" s="2"/>
      <c r="BDR210" s="2"/>
      <c r="BDS210" s="2"/>
      <c r="BDT210" s="2"/>
      <c r="BDU210" s="2"/>
      <c r="BDV210" s="2"/>
      <c r="BDW210" s="2"/>
      <c r="BDX210" s="2"/>
      <c r="BDY210" s="2"/>
      <c r="BDZ210" s="2"/>
      <c r="BEA210" s="2"/>
      <c r="BEB210" s="2"/>
      <c r="BEC210" s="2"/>
      <c r="BED210" s="2"/>
      <c r="BEE210" s="2"/>
      <c r="BEF210" s="2"/>
      <c r="BEG210" s="2"/>
      <c r="BEH210" s="2"/>
      <c r="BEI210" s="2"/>
      <c r="BEJ210" s="2"/>
      <c r="BEK210" s="2"/>
      <c r="BEL210" s="2"/>
      <c r="BEM210" s="2"/>
      <c r="BEN210" s="2"/>
      <c r="BEO210" s="2"/>
      <c r="BEP210" s="2"/>
      <c r="BEQ210" s="2"/>
      <c r="BER210" s="2"/>
      <c r="BES210" s="2"/>
      <c r="BET210" s="2"/>
      <c r="BEU210" s="2"/>
      <c r="BEV210" s="2"/>
      <c r="BEW210" s="2"/>
      <c r="BEX210" s="2"/>
      <c r="BEY210" s="2"/>
      <c r="BEZ210" s="2"/>
      <c r="BFA210" s="2"/>
      <c r="BFB210" s="2"/>
      <c r="BFC210" s="2"/>
      <c r="BFD210" s="2"/>
      <c r="BFE210" s="2"/>
      <c r="BFF210" s="2"/>
      <c r="BFG210" s="2"/>
      <c r="BFH210" s="2"/>
      <c r="BFI210" s="2"/>
      <c r="BFJ210" s="2"/>
      <c r="BFK210" s="2"/>
      <c r="BFL210" s="2"/>
      <c r="BFM210" s="2"/>
      <c r="BFN210" s="2"/>
      <c r="BFO210" s="2"/>
      <c r="BFP210" s="2"/>
      <c r="BFQ210" s="2"/>
      <c r="BFR210" s="2"/>
      <c r="BFS210" s="2"/>
      <c r="BFT210" s="2"/>
      <c r="BFU210" s="2"/>
      <c r="BFV210" s="2"/>
      <c r="BFW210" s="2"/>
      <c r="BFX210" s="2"/>
      <c r="BFY210" s="2"/>
      <c r="BFZ210" s="2"/>
      <c r="BGA210" s="2"/>
      <c r="BGB210" s="2"/>
      <c r="BGC210" s="2"/>
      <c r="BGD210" s="2"/>
      <c r="BGE210" s="2"/>
      <c r="BGF210" s="2"/>
      <c r="BGG210" s="2"/>
      <c r="BGH210" s="2"/>
      <c r="BGI210" s="2"/>
      <c r="BGJ210" s="2"/>
      <c r="BGK210" s="2"/>
      <c r="BGL210" s="2"/>
      <c r="BGM210" s="2"/>
      <c r="BGN210" s="2"/>
      <c r="BGO210" s="2"/>
      <c r="BGP210" s="2"/>
      <c r="BGQ210" s="2"/>
      <c r="BGR210" s="2"/>
      <c r="BGS210" s="2"/>
      <c r="BGT210" s="2"/>
      <c r="BGU210" s="2"/>
      <c r="BGV210" s="2"/>
      <c r="BGW210" s="2"/>
      <c r="BGX210" s="2"/>
      <c r="BGY210" s="2"/>
      <c r="BGZ210" s="2"/>
      <c r="BHA210" s="2"/>
      <c r="BHB210" s="2"/>
      <c r="BHC210" s="2"/>
      <c r="BHD210" s="2"/>
      <c r="BHE210" s="2"/>
      <c r="BHF210" s="2"/>
      <c r="BHG210" s="2"/>
      <c r="BHH210" s="2"/>
      <c r="BHI210" s="2"/>
      <c r="BHJ210" s="2"/>
      <c r="BHK210" s="2"/>
      <c r="BHL210" s="2"/>
      <c r="BHM210" s="2"/>
      <c r="BHN210" s="2"/>
      <c r="BHO210" s="2"/>
      <c r="BHP210" s="2"/>
      <c r="BHQ210" s="2"/>
      <c r="BHR210" s="2"/>
      <c r="BHS210" s="2"/>
      <c r="BHT210" s="2"/>
      <c r="BHU210" s="2"/>
      <c r="BHV210" s="2"/>
      <c r="BHW210" s="2"/>
      <c r="BHX210" s="2"/>
      <c r="BHY210" s="2"/>
      <c r="BHZ210" s="2"/>
      <c r="BIA210" s="2"/>
      <c r="BIB210" s="2"/>
      <c r="BIC210" s="2"/>
      <c r="BID210" s="2"/>
      <c r="BIE210" s="2"/>
      <c r="BIF210" s="2"/>
      <c r="BIG210" s="2"/>
      <c r="BIH210" s="2"/>
      <c r="BII210" s="2"/>
      <c r="BIJ210" s="2"/>
      <c r="BIK210" s="2"/>
      <c r="BIL210" s="2"/>
      <c r="BIM210" s="2"/>
      <c r="BIN210" s="2"/>
      <c r="BIO210" s="2"/>
      <c r="BIP210" s="2"/>
      <c r="BIQ210" s="2"/>
      <c r="BIR210" s="2"/>
      <c r="BIS210" s="2"/>
      <c r="BIT210" s="2"/>
      <c r="BIU210" s="2"/>
      <c r="BIV210" s="2"/>
      <c r="BIW210" s="2"/>
      <c r="BIX210" s="2"/>
      <c r="BIY210" s="2"/>
      <c r="BIZ210" s="2"/>
      <c r="BJA210" s="2"/>
      <c r="BJB210" s="2"/>
      <c r="BJC210" s="2"/>
      <c r="BJD210" s="2"/>
      <c r="BJE210" s="2"/>
      <c r="BJF210" s="2"/>
      <c r="BJG210" s="2"/>
      <c r="BJH210" s="2"/>
      <c r="BJI210" s="2"/>
      <c r="BJJ210" s="2"/>
      <c r="BJK210" s="2"/>
      <c r="BJL210" s="2"/>
      <c r="BJM210" s="2"/>
      <c r="BJN210" s="2"/>
      <c r="BJO210" s="2"/>
      <c r="BJP210" s="2"/>
      <c r="BJQ210" s="2"/>
      <c r="BJR210" s="2"/>
      <c r="BJS210" s="2"/>
      <c r="BJT210" s="2"/>
      <c r="BJU210" s="2"/>
      <c r="BJV210" s="2"/>
      <c r="BJW210" s="2"/>
      <c r="BJX210" s="2"/>
      <c r="BJY210" s="2"/>
      <c r="BJZ210" s="2"/>
      <c r="BKA210" s="2"/>
      <c r="BKB210" s="2"/>
      <c r="BKC210" s="2"/>
      <c r="BKD210" s="2"/>
      <c r="BKE210" s="2"/>
      <c r="BKF210" s="2"/>
      <c r="BKG210" s="2"/>
      <c r="BKH210" s="2"/>
      <c r="BKI210" s="2"/>
      <c r="BKJ210" s="2"/>
      <c r="BKK210" s="2"/>
      <c r="BKL210" s="2"/>
      <c r="BKM210" s="2"/>
      <c r="BKN210" s="2"/>
      <c r="BKO210" s="2"/>
      <c r="BKP210" s="2"/>
      <c r="BKQ210" s="2"/>
      <c r="BKR210" s="2"/>
      <c r="BKS210" s="2"/>
      <c r="BKT210" s="2"/>
      <c r="BKU210" s="2"/>
      <c r="BKV210" s="2"/>
      <c r="BKW210" s="2"/>
      <c r="BKX210" s="2"/>
      <c r="BKY210" s="2"/>
      <c r="BKZ210" s="2"/>
      <c r="BLA210" s="2"/>
      <c r="BLB210" s="2"/>
      <c r="BLC210" s="2"/>
      <c r="BLD210" s="2"/>
      <c r="BLE210" s="2"/>
      <c r="BLF210" s="2"/>
      <c r="BLG210" s="2"/>
      <c r="BLH210" s="2"/>
      <c r="BLI210" s="2"/>
      <c r="BLJ210" s="2"/>
      <c r="BLK210" s="2"/>
      <c r="BLL210" s="2"/>
      <c r="BLM210" s="2"/>
      <c r="BLN210" s="2"/>
      <c r="BLO210" s="2"/>
      <c r="BLP210" s="2"/>
      <c r="BLQ210" s="2"/>
      <c r="BLR210" s="2"/>
      <c r="BLS210" s="2"/>
      <c r="BLT210" s="2"/>
      <c r="BLU210" s="2"/>
      <c r="BLV210" s="2"/>
      <c r="BLW210" s="2"/>
      <c r="BLX210" s="2"/>
      <c r="BLY210" s="2"/>
      <c r="BLZ210" s="2"/>
      <c r="BMA210" s="2"/>
      <c r="BMB210" s="2"/>
      <c r="BMC210" s="2"/>
      <c r="BMD210" s="2"/>
      <c r="BME210" s="2"/>
      <c r="BMF210" s="2"/>
      <c r="BMG210" s="2"/>
      <c r="BMH210" s="2"/>
      <c r="BMI210" s="2"/>
      <c r="BMJ210" s="2"/>
      <c r="BMK210" s="2"/>
      <c r="BML210" s="2"/>
      <c r="BMM210" s="2"/>
      <c r="BMN210" s="2"/>
      <c r="BMO210" s="2"/>
      <c r="BMP210" s="2"/>
      <c r="BMQ210" s="2"/>
      <c r="BMR210" s="2"/>
      <c r="BMS210" s="2"/>
      <c r="BMT210" s="2"/>
      <c r="BMU210" s="2"/>
      <c r="BMV210" s="2"/>
      <c r="BMW210" s="2"/>
      <c r="BMX210" s="2"/>
      <c r="BMY210" s="2"/>
      <c r="BMZ210" s="2"/>
      <c r="BNA210" s="2"/>
      <c r="BNB210" s="2"/>
      <c r="BNC210" s="2"/>
      <c r="BND210" s="2"/>
      <c r="BNE210" s="2"/>
      <c r="BNF210" s="2"/>
      <c r="BNG210" s="2"/>
      <c r="BNH210" s="2"/>
      <c r="BNI210" s="2"/>
      <c r="BNJ210" s="2"/>
      <c r="BNK210" s="2"/>
      <c r="BNL210" s="2"/>
      <c r="BNM210" s="2"/>
      <c r="BNN210" s="2"/>
      <c r="BNO210" s="2"/>
      <c r="BNP210" s="2"/>
      <c r="BNQ210" s="2"/>
      <c r="BNR210" s="2"/>
      <c r="BNS210" s="2"/>
      <c r="BNT210" s="2"/>
      <c r="BNU210" s="2"/>
      <c r="BNV210" s="2"/>
      <c r="BNW210" s="2"/>
      <c r="BNX210" s="2"/>
      <c r="BNY210" s="2"/>
      <c r="BNZ210" s="2"/>
      <c r="BOA210" s="2"/>
      <c r="BOB210" s="2"/>
      <c r="BOC210" s="2"/>
      <c r="BOD210" s="2"/>
      <c r="BOE210" s="2"/>
      <c r="BOF210" s="2"/>
      <c r="BOG210" s="2"/>
      <c r="BOH210" s="2"/>
      <c r="BOI210" s="2"/>
      <c r="BOJ210" s="2"/>
      <c r="BOK210" s="2"/>
      <c r="BOL210" s="2"/>
      <c r="BOM210" s="2"/>
      <c r="BON210" s="2"/>
      <c r="BOO210" s="2"/>
      <c r="BOP210" s="2"/>
      <c r="BOQ210" s="2"/>
      <c r="BOR210" s="2"/>
      <c r="BOS210" s="2"/>
      <c r="BOT210" s="2"/>
      <c r="BOU210" s="2"/>
      <c r="BOV210" s="2"/>
      <c r="BOW210" s="2"/>
      <c r="BOX210" s="2"/>
      <c r="BOY210" s="2"/>
      <c r="BOZ210" s="2"/>
      <c r="BPA210" s="2"/>
      <c r="BPB210" s="2"/>
      <c r="BPC210" s="2"/>
      <c r="BPD210" s="2"/>
      <c r="BPE210" s="2"/>
      <c r="BPF210" s="2"/>
      <c r="BPG210" s="2"/>
      <c r="BPH210" s="2"/>
      <c r="BPI210" s="2"/>
      <c r="BPJ210" s="2"/>
      <c r="BPK210" s="2"/>
      <c r="BPL210" s="2"/>
      <c r="BPM210" s="2"/>
      <c r="BPN210" s="2"/>
      <c r="BPO210" s="2"/>
      <c r="BPP210" s="2"/>
      <c r="BPQ210" s="2"/>
      <c r="BPR210" s="2"/>
      <c r="BPS210" s="2"/>
      <c r="BPT210" s="2"/>
      <c r="BPU210" s="2"/>
      <c r="BPV210" s="2"/>
      <c r="BPW210" s="2"/>
      <c r="BPX210" s="2"/>
      <c r="BPY210" s="2"/>
      <c r="BPZ210" s="2"/>
      <c r="BQA210" s="2"/>
      <c r="BQB210" s="2"/>
      <c r="BQC210" s="2"/>
      <c r="BQD210" s="2"/>
      <c r="BQE210" s="2"/>
      <c r="BQF210" s="2"/>
      <c r="BQG210" s="2"/>
      <c r="BQH210" s="2"/>
      <c r="BQI210" s="2"/>
      <c r="BQJ210" s="2"/>
      <c r="BQK210" s="2"/>
      <c r="BQL210" s="2"/>
      <c r="BQM210" s="2"/>
      <c r="BQN210" s="2"/>
      <c r="BQO210" s="2"/>
      <c r="BQP210" s="2"/>
      <c r="BQQ210" s="2"/>
      <c r="BQR210" s="2"/>
      <c r="BQS210" s="2"/>
      <c r="BQT210" s="2"/>
      <c r="BQU210" s="2"/>
      <c r="BQV210" s="2"/>
      <c r="BQW210" s="2"/>
      <c r="BQX210" s="2"/>
      <c r="BQY210" s="2"/>
      <c r="BQZ210" s="2"/>
      <c r="BRA210" s="2"/>
      <c r="BRB210" s="2"/>
      <c r="BRC210" s="2"/>
      <c r="BRD210" s="2"/>
      <c r="BRE210" s="2"/>
      <c r="BRF210" s="2"/>
      <c r="BRG210" s="2"/>
      <c r="BRH210" s="2"/>
      <c r="BRI210" s="2"/>
      <c r="BRJ210" s="2"/>
      <c r="BRK210" s="2"/>
      <c r="BRL210" s="2"/>
      <c r="BRM210" s="2"/>
      <c r="BRN210" s="2"/>
      <c r="BRO210" s="2"/>
      <c r="BRP210" s="2"/>
      <c r="BRQ210" s="2"/>
      <c r="BRR210" s="2"/>
      <c r="BRS210" s="2"/>
      <c r="BRT210" s="2"/>
      <c r="BRU210" s="2"/>
      <c r="BRV210" s="2"/>
      <c r="BRW210" s="2"/>
      <c r="BRX210" s="2"/>
      <c r="BRY210" s="2"/>
      <c r="BRZ210" s="2"/>
      <c r="BSA210" s="2"/>
      <c r="BSB210" s="2"/>
      <c r="BSC210" s="2"/>
      <c r="BSD210" s="2"/>
      <c r="BSE210" s="2"/>
      <c r="BSF210" s="2"/>
      <c r="BSG210" s="2"/>
      <c r="BSH210" s="2"/>
      <c r="BSI210" s="2"/>
      <c r="BSJ210" s="2"/>
      <c r="BSK210" s="2"/>
      <c r="BSL210" s="2"/>
      <c r="BSM210" s="2"/>
      <c r="BSN210" s="2"/>
      <c r="BSO210" s="2"/>
      <c r="BSP210" s="2"/>
      <c r="BSQ210" s="2"/>
      <c r="BSR210" s="2"/>
      <c r="BSS210" s="2"/>
      <c r="BST210" s="2"/>
      <c r="BSU210" s="2"/>
      <c r="BSV210" s="2"/>
      <c r="BSW210" s="2"/>
      <c r="BSX210" s="2"/>
      <c r="BSY210" s="2"/>
      <c r="BSZ210" s="2"/>
      <c r="BTA210" s="2"/>
      <c r="BTB210" s="2"/>
      <c r="BTC210" s="2"/>
      <c r="BTD210" s="2"/>
      <c r="BTE210" s="2"/>
      <c r="BTF210" s="2"/>
      <c r="BTG210" s="2"/>
      <c r="BTH210" s="2"/>
      <c r="BTI210" s="2"/>
      <c r="BTJ210" s="2"/>
      <c r="BTK210" s="2"/>
      <c r="BTL210" s="2"/>
      <c r="BTM210" s="2"/>
      <c r="BTN210" s="2"/>
      <c r="BTO210" s="2"/>
      <c r="BTP210" s="2"/>
      <c r="BTQ210" s="2"/>
      <c r="BTR210" s="2"/>
      <c r="BTS210" s="2"/>
      <c r="BTT210" s="2"/>
      <c r="BTU210" s="2"/>
      <c r="BTV210" s="2"/>
      <c r="BTW210" s="2"/>
      <c r="BTX210" s="2"/>
      <c r="BTY210" s="2"/>
      <c r="BTZ210" s="2"/>
      <c r="BUA210" s="2"/>
      <c r="BUB210" s="2"/>
      <c r="BUC210" s="2"/>
      <c r="BUD210" s="2"/>
      <c r="BUE210" s="2"/>
      <c r="BUF210" s="2"/>
      <c r="BUG210" s="2"/>
      <c r="BUH210" s="2"/>
      <c r="BUI210" s="2"/>
      <c r="BUJ210" s="2"/>
      <c r="BUK210" s="2"/>
      <c r="BUL210" s="2"/>
      <c r="BUM210" s="2"/>
      <c r="BUN210" s="2"/>
      <c r="BUO210" s="2"/>
      <c r="BUP210" s="2"/>
      <c r="BUQ210" s="2"/>
      <c r="BUR210" s="2"/>
      <c r="BUS210" s="2"/>
      <c r="BUT210" s="2"/>
      <c r="BUU210" s="2"/>
      <c r="BUV210" s="2"/>
      <c r="BUW210" s="2"/>
      <c r="BUX210" s="2"/>
      <c r="BUY210" s="2"/>
      <c r="BUZ210" s="2"/>
      <c r="BVA210" s="2"/>
      <c r="BVB210" s="2"/>
      <c r="BVC210" s="2"/>
      <c r="BVD210" s="2"/>
      <c r="BVE210" s="2"/>
      <c r="BVF210" s="2"/>
      <c r="BVG210" s="2"/>
      <c r="BVH210" s="2"/>
      <c r="BVI210" s="2"/>
      <c r="BVJ210" s="2"/>
      <c r="BVK210" s="2"/>
      <c r="BVL210" s="2"/>
      <c r="BVM210" s="2"/>
      <c r="BVN210" s="2"/>
      <c r="BVO210" s="2"/>
      <c r="BVP210" s="2"/>
      <c r="BVQ210" s="2"/>
      <c r="BVR210" s="2"/>
      <c r="BVS210" s="2"/>
      <c r="BVT210" s="2"/>
      <c r="BVU210" s="2"/>
      <c r="BVV210" s="2"/>
      <c r="BVW210" s="2"/>
      <c r="BVX210" s="2"/>
      <c r="BVY210" s="2"/>
      <c r="BVZ210" s="2"/>
      <c r="BWA210" s="2"/>
      <c r="BWB210" s="2"/>
      <c r="BWC210" s="2"/>
      <c r="BWD210" s="2"/>
      <c r="BWE210" s="2"/>
      <c r="BWF210" s="2"/>
      <c r="BWG210" s="2"/>
      <c r="BWH210" s="2"/>
      <c r="BWI210" s="2"/>
      <c r="BWJ210" s="2"/>
      <c r="BWK210" s="2"/>
      <c r="BWL210" s="2"/>
      <c r="BWM210" s="2"/>
      <c r="BWN210" s="2"/>
      <c r="BWO210" s="2"/>
      <c r="BWP210" s="2"/>
      <c r="BWQ210" s="2"/>
      <c r="BWR210" s="2"/>
      <c r="BWS210" s="2"/>
      <c r="BWT210" s="2"/>
      <c r="BWU210" s="2"/>
      <c r="BWV210" s="2"/>
      <c r="BWW210" s="2"/>
      <c r="BWX210" s="2"/>
      <c r="BWY210" s="2"/>
      <c r="BWZ210" s="2"/>
      <c r="BXA210" s="2"/>
      <c r="BXB210" s="2"/>
      <c r="BXC210" s="2"/>
      <c r="BXD210" s="2"/>
      <c r="BXE210" s="2"/>
      <c r="BXF210" s="2"/>
      <c r="BXG210" s="2"/>
      <c r="BXH210" s="2"/>
      <c r="BXI210" s="2"/>
      <c r="BXJ210" s="2"/>
      <c r="BXK210" s="2"/>
      <c r="BXL210" s="2"/>
      <c r="BXM210" s="2"/>
      <c r="BXN210" s="2"/>
      <c r="BXO210" s="2"/>
      <c r="BXP210" s="2"/>
      <c r="BXQ210" s="2"/>
      <c r="BXR210" s="2"/>
      <c r="BXS210" s="2"/>
      <c r="BXT210" s="2"/>
      <c r="BXU210" s="2"/>
      <c r="BXV210" s="2"/>
      <c r="BXW210" s="2"/>
      <c r="BXX210" s="2"/>
      <c r="BXY210" s="2"/>
      <c r="BXZ210" s="2"/>
      <c r="BYA210" s="2"/>
      <c r="BYB210" s="2"/>
      <c r="BYC210" s="2"/>
      <c r="BYD210" s="2"/>
      <c r="BYE210" s="2"/>
      <c r="BYF210" s="2"/>
      <c r="BYG210" s="2"/>
      <c r="BYH210" s="2"/>
      <c r="BYI210" s="2"/>
      <c r="BYJ210" s="2"/>
      <c r="BYK210" s="2"/>
      <c r="BYL210" s="2"/>
      <c r="BYM210" s="2"/>
      <c r="BYN210" s="2"/>
      <c r="BYO210" s="2"/>
      <c r="BYP210" s="2"/>
      <c r="BYQ210" s="2"/>
      <c r="BYR210" s="2"/>
      <c r="BYS210" s="2"/>
      <c r="BYT210" s="2"/>
      <c r="BYU210" s="2"/>
      <c r="BYV210" s="2"/>
      <c r="BYW210" s="2"/>
      <c r="BYX210" s="2"/>
      <c r="BYY210" s="2"/>
      <c r="BYZ210" s="2"/>
      <c r="BZA210" s="2"/>
      <c r="BZB210" s="2"/>
      <c r="BZC210" s="2"/>
      <c r="BZD210" s="2"/>
      <c r="BZE210" s="2"/>
      <c r="BZF210" s="2"/>
      <c r="BZG210" s="2"/>
      <c r="BZH210" s="2"/>
      <c r="BZI210" s="2"/>
      <c r="BZJ210" s="2"/>
      <c r="BZK210" s="2"/>
      <c r="BZL210" s="2"/>
      <c r="BZM210" s="2"/>
      <c r="BZN210" s="2"/>
      <c r="BZO210" s="2"/>
      <c r="BZP210" s="2"/>
      <c r="BZQ210" s="2"/>
      <c r="BZR210" s="2"/>
      <c r="BZS210" s="2"/>
      <c r="BZT210" s="2"/>
      <c r="BZU210" s="2"/>
      <c r="BZV210" s="2"/>
      <c r="BZW210" s="2"/>
      <c r="BZX210" s="2"/>
      <c r="BZY210" s="2"/>
      <c r="BZZ210" s="2"/>
      <c r="CAA210" s="2"/>
      <c r="CAB210" s="2"/>
      <c r="CAC210" s="2"/>
      <c r="CAD210" s="2"/>
      <c r="CAE210" s="2"/>
      <c r="CAF210" s="2"/>
      <c r="CAG210" s="2"/>
      <c r="CAH210" s="2"/>
      <c r="CAI210" s="2"/>
      <c r="CAJ210" s="2"/>
      <c r="CAK210" s="2"/>
      <c r="CAL210" s="2"/>
      <c r="CAM210" s="2"/>
      <c r="CAN210" s="2"/>
      <c r="CAO210" s="2"/>
      <c r="CAP210" s="2"/>
      <c r="CAQ210" s="2"/>
      <c r="CAR210" s="2"/>
      <c r="CAS210" s="2"/>
      <c r="CAT210" s="2"/>
      <c r="CAU210" s="2"/>
      <c r="CAV210" s="2"/>
      <c r="CAW210" s="2"/>
      <c r="CAX210" s="2"/>
      <c r="CAY210" s="2"/>
      <c r="CAZ210" s="2"/>
      <c r="CBA210" s="2"/>
      <c r="CBB210" s="2"/>
      <c r="CBC210" s="2"/>
      <c r="CBD210" s="2"/>
      <c r="CBE210" s="2"/>
      <c r="CBF210" s="2"/>
      <c r="CBG210" s="2"/>
      <c r="CBH210" s="2"/>
      <c r="CBI210" s="2"/>
      <c r="CBJ210" s="2"/>
      <c r="CBK210" s="2"/>
      <c r="CBL210" s="2"/>
      <c r="CBM210" s="2"/>
      <c r="CBN210" s="2"/>
      <c r="CBO210" s="2"/>
      <c r="CBP210" s="2"/>
      <c r="CBQ210" s="2"/>
      <c r="CBR210" s="2"/>
      <c r="CBS210" s="2"/>
      <c r="CBT210" s="2"/>
      <c r="CBU210" s="2"/>
      <c r="CBV210" s="2"/>
      <c r="CBW210" s="2"/>
      <c r="CBX210" s="2"/>
      <c r="CBY210" s="2"/>
      <c r="CBZ210" s="2"/>
      <c r="CCA210" s="2"/>
      <c r="CCB210" s="2"/>
      <c r="CCC210" s="2"/>
      <c r="CCD210" s="2"/>
      <c r="CCE210" s="2"/>
      <c r="CCF210" s="2"/>
      <c r="CCG210" s="2"/>
      <c r="CCH210" s="2"/>
      <c r="CCI210" s="2"/>
      <c r="CCJ210" s="2"/>
      <c r="CCK210" s="2"/>
      <c r="CCL210" s="2"/>
      <c r="CCM210" s="2"/>
      <c r="CCN210" s="2"/>
      <c r="CCO210" s="2"/>
      <c r="CCP210" s="2"/>
      <c r="CCQ210" s="2"/>
      <c r="CCR210" s="2"/>
      <c r="CCS210" s="2"/>
      <c r="CCT210" s="2"/>
      <c r="CCU210" s="2"/>
      <c r="CCV210" s="2"/>
      <c r="CCW210" s="2"/>
      <c r="CCX210" s="2"/>
      <c r="CCY210" s="2"/>
      <c r="CCZ210" s="2"/>
      <c r="CDA210" s="2"/>
      <c r="CDB210" s="2"/>
      <c r="CDC210" s="2"/>
      <c r="CDD210" s="2"/>
      <c r="CDE210" s="2"/>
      <c r="CDF210" s="2"/>
      <c r="CDG210" s="2"/>
      <c r="CDH210" s="2"/>
      <c r="CDI210" s="2"/>
      <c r="CDJ210" s="2"/>
      <c r="CDK210" s="2"/>
      <c r="CDL210" s="2"/>
      <c r="CDM210" s="2"/>
      <c r="CDN210" s="2"/>
      <c r="CDO210" s="2"/>
      <c r="CDP210" s="2"/>
      <c r="CDQ210" s="2"/>
      <c r="CDR210" s="2"/>
      <c r="CDS210" s="2"/>
      <c r="CDT210" s="2"/>
      <c r="CDU210" s="2"/>
      <c r="CDV210" s="2"/>
      <c r="CDW210" s="2"/>
      <c r="CDX210" s="2"/>
      <c r="CDY210" s="2"/>
      <c r="CDZ210" s="2"/>
      <c r="CEA210" s="2"/>
      <c r="CEB210" s="2"/>
      <c r="CEC210" s="2"/>
      <c r="CED210" s="2"/>
      <c r="CEE210" s="2"/>
      <c r="CEF210" s="2"/>
      <c r="CEG210" s="2"/>
      <c r="CEH210" s="2"/>
      <c r="CEI210" s="2"/>
      <c r="CEJ210" s="2"/>
      <c r="CEK210" s="2"/>
      <c r="CEL210" s="2"/>
      <c r="CEM210" s="2"/>
      <c r="CEN210" s="2"/>
      <c r="CEO210" s="2"/>
      <c r="CEP210" s="2"/>
      <c r="CEQ210" s="2"/>
      <c r="CER210" s="2"/>
      <c r="CES210" s="2"/>
      <c r="CET210" s="2"/>
      <c r="CEU210" s="2"/>
      <c r="CEV210" s="2"/>
      <c r="CEW210" s="2"/>
      <c r="CEX210" s="2"/>
      <c r="CEY210" s="2"/>
      <c r="CEZ210" s="2"/>
      <c r="CFA210" s="2"/>
      <c r="CFB210" s="2"/>
      <c r="CFC210" s="2"/>
      <c r="CFD210" s="2"/>
      <c r="CFE210" s="2"/>
      <c r="CFF210" s="2"/>
      <c r="CFG210" s="2"/>
      <c r="CFH210" s="2"/>
      <c r="CFI210" s="2"/>
      <c r="CFJ210" s="2"/>
      <c r="CFK210" s="2"/>
      <c r="CFL210" s="2"/>
      <c r="CFM210" s="2"/>
      <c r="CFN210" s="2"/>
      <c r="CFO210" s="2"/>
      <c r="CFP210" s="2"/>
      <c r="CFQ210" s="2"/>
      <c r="CFR210" s="2"/>
      <c r="CFS210" s="2"/>
      <c r="CFT210" s="2"/>
      <c r="CFU210" s="2"/>
      <c r="CFV210" s="2"/>
      <c r="CFW210" s="2"/>
      <c r="CFX210" s="2"/>
      <c r="CFY210" s="2"/>
      <c r="CFZ210" s="2"/>
      <c r="CGA210" s="2"/>
      <c r="CGB210" s="2"/>
      <c r="CGC210" s="2"/>
      <c r="CGD210" s="2"/>
      <c r="CGE210" s="2"/>
      <c r="CGF210" s="2"/>
      <c r="CGG210" s="2"/>
      <c r="CGH210" s="2"/>
      <c r="CGI210" s="2"/>
      <c r="CGJ210" s="2"/>
      <c r="CGK210" s="2"/>
      <c r="CGL210" s="2"/>
      <c r="CGM210" s="2"/>
      <c r="CGN210" s="2"/>
      <c r="CGO210" s="2"/>
      <c r="CGP210" s="2"/>
      <c r="CGQ210" s="2"/>
      <c r="CGR210" s="2"/>
      <c r="CGS210" s="2"/>
      <c r="CGT210" s="2"/>
      <c r="CGU210" s="2"/>
      <c r="CGV210" s="2"/>
      <c r="CGW210" s="2"/>
      <c r="CGX210" s="2"/>
      <c r="CGY210" s="2"/>
      <c r="CGZ210" s="2"/>
      <c r="CHA210" s="2"/>
      <c r="CHB210" s="2"/>
      <c r="CHC210" s="2"/>
      <c r="CHD210" s="2"/>
      <c r="CHE210" s="2"/>
      <c r="CHF210" s="2"/>
      <c r="CHG210" s="2"/>
      <c r="CHH210" s="2"/>
      <c r="CHI210" s="2"/>
      <c r="CHJ210" s="2"/>
      <c r="CHK210" s="2"/>
      <c r="CHL210" s="2"/>
      <c r="CHM210" s="2"/>
      <c r="CHN210" s="2"/>
      <c r="CHO210" s="2"/>
      <c r="CHP210" s="2"/>
      <c r="CHQ210" s="2"/>
      <c r="CHR210" s="2"/>
      <c r="CHS210" s="2"/>
      <c r="CHT210" s="2"/>
      <c r="CHU210" s="2"/>
      <c r="CHV210" s="2"/>
      <c r="CHW210" s="2"/>
      <c r="CHX210" s="2"/>
      <c r="CHY210" s="2"/>
      <c r="CHZ210" s="2"/>
      <c r="CIA210" s="2"/>
      <c r="CIB210" s="2"/>
      <c r="CIC210" s="2"/>
      <c r="CID210" s="2"/>
      <c r="CIE210" s="2"/>
      <c r="CIF210" s="2"/>
      <c r="CIG210" s="2"/>
      <c r="CIH210" s="2"/>
      <c r="CII210" s="2"/>
      <c r="CIJ210" s="2"/>
      <c r="CIK210" s="2"/>
      <c r="CIL210" s="2"/>
      <c r="CIM210" s="2"/>
      <c r="CIN210" s="2"/>
      <c r="CIO210" s="2"/>
      <c r="CIP210" s="2"/>
      <c r="CIQ210" s="2"/>
      <c r="CIR210" s="2"/>
      <c r="CIS210" s="2"/>
      <c r="CIT210" s="2"/>
      <c r="CIU210" s="2"/>
      <c r="CIV210" s="2"/>
      <c r="CIW210" s="2"/>
      <c r="CIX210" s="2"/>
      <c r="CIY210" s="2"/>
      <c r="CIZ210" s="2"/>
      <c r="CJA210" s="2"/>
      <c r="CJB210" s="2"/>
      <c r="CJC210" s="2"/>
      <c r="CJD210" s="2"/>
      <c r="CJE210" s="2"/>
      <c r="CJF210" s="2"/>
      <c r="CJG210" s="2"/>
      <c r="CJH210" s="2"/>
      <c r="CJI210" s="2"/>
      <c r="CJJ210" s="2"/>
      <c r="CJK210" s="2"/>
      <c r="CJL210" s="2"/>
      <c r="CJM210" s="2"/>
      <c r="CJN210" s="2"/>
      <c r="CJO210" s="2"/>
      <c r="CJP210" s="2"/>
      <c r="CJQ210" s="2"/>
      <c r="CJR210" s="2"/>
      <c r="CJS210" s="2"/>
      <c r="CJT210" s="2"/>
      <c r="CJU210" s="2"/>
      <c r="CJV210" s="2"/>
      <c r="CJW210" s="2"/>
      <c r="CJX210" s="2"/>
      <c r="CJY210" s="2"/>
      <c r="CJZ210" s="2"/>
      <c r="CKA210" s="2"/>
      <c r="CKB210" s="2"/>
      <c r="CKC210" s="2"/>
      <c r="CKD210" s="2"/>
      <c r="CKE210" s="2"/>
      <c r="CKF210" s="2"/>
      <c r="CKG210" s="2"/>
      <c r="CKH210" s="2"/>
      <c r="CKI210" s="2"/>
      <c r="CKJ210" s="2"/>
      <c r="CKK210" s="2"/>
      <c r="CKL210" s="2"/>
      <c r="CKM210" s="2"/>
      <c r="CKN210" s="2"/>
      <c r="CKO210" s="2"/>
      <c r="CKP210" s="2"/>
      <c r="CKQ210" s="2"/>
      <c r="CKR210" s="2"/>
      <c r="CKS210" s="2"/>
      <c r="CKT210" s="2"/>
      <c r="CKU210" s="2"/>
      <c r="CKV210" s="2"/>
      <c r="CKW210" s="2"/>
      <c r="CKX210" s="2"/>
      <c r="CKY210" s="2"/>
      <c r="CKZ210" s="2"/>
      <c r="CLA210" s="2"/>
      <c r="CLB210" s="2"/>
      <c r="CLC210" s="2"/>
      <c r="CLD210" s="2"/>
      <c r="CLE210" s="2"/>
      <c r="CLF210" s="2"/>
      <c r="CLG210" s="2"/>
      <c r="CLH210" s="2"/>
      <c r="CLI210" s="2"/>
      <c r="CLJ210" s="2"/>
      <c r="CLK210" s="2"/>
      <c r="CLL210" s="2"/>
      <c r="CLM210" s="2"/>
      <c r="CLN210" s="2"/>
      <c r="CLO210" s="2"/>
      <c r="CLP210" s="2"/>
      <c r="CLQ210" s="2"/>
      <c r="CLR210" s="2"/>
      <c r="CLS210" s="2"/>
      <c r="CLT210" s="2"/>
      <c r="CLU210" s="2"/>
      <c r="CLV210" s="2"/>
      <c r="CLW210" s="2"/>
      <c r="CLX210" s="2"/>
      <c r="CLY210" s="2"/>
      <c r="CLZ210" s="2"/>
      <c r="CMA210" s="2"/>
      <c r="CMB210" s="2"/>
      <c r="CMC210" s="2"/>
      <c r="CMD210" s="2"/>
      <c r="CME210" s="2"/>
      <c r="CMF210" s="2"/>
      <c r="CMG210" s="2"/>
      <c r="CMH210" s="2"/>
      <c r="CMI210" s="2"/>
      <c r="CMJ210" s="2"/>
      <c r="CMK210" s="2"/>
      <c r="CML210" s="2"/>
      <c r="CMM210" s="2"/>
      <c r="CMN210" s="2"/>
      <c r="CMO210" s="2"/>
      <c r="CMP210" s="2"/>
      <c r="CMQ210" s="2"/>
      <c r="CMR210" s="2"/>
      <c r="CMS210" s="2"/>
      <c r="CMT210" s="2"/>
      <c r="CMU210" s="2"/>
      <c r="CMV210" s="2"/>
      <c r="CMW210" s="2"/>
      <c r="CMX210" s="2"/>
      <c r="CMY210" s="2"/>
      <c r="CMZ210" s="2"/>
      <c r="CNA210" s="2"/>
      <c r="CNB210" s="2"/>
      <c r="CNC210" s="2"/>
      <c r="CND210" s="2"/>
      <c r="CNE210" s="2"/>
      <c r="CNF210" s="2"/>
      <c r="CNG210" s="2"/>
      <c r="CNH210" s="2"/>
      <c r="CNI210" s="2"/>
      <c r="CNJ210" s="2"/>
      <c r="CNK210" s="2"/>
      <c r="CNL210" s="2"/>
      <c r="CNM210" s="2"/>
      <c r="CNN210" s="2"/>
      <c r="CNO210" s="2"/>
      <c r="CNP210" s="2"/>
      <c r="CNQ210" s="2"/>
      <c r="CNR210" s="2"/>
      <c r="CNS210" s="2"/>
      <c r="CNT210" s="2"/>
      <c r="CNU210" s="2"/>
      <c r="CNV210" s="2"/>
      <c r="CNW210" s="2"/>
      <c r="CNX210" s="2"/>
      <c r="CNY210" s="2"/>
      <c r="CNZ210" s="2"/>
      <c r="COA210" s="2"/>
      <c r="COB210" s="2"/>
      <c r="COC210" s="2"/>
      <c r="COD210" s="2"/>
      <c r="COE210" s="2"/>
      <c r="COF210" s="2"/>
      <c r="COG210" s="2"/>
      <c r="COH210" s="2"/>
      <c r="COI210" s="2"/>
      <c r="COJ210" s="2"/>
      <c r="COK210" s="2"/>
      <c r="COL210" s="2"/>
      <c r="COM210" s="2"/>
      <c r="CON210" s="2"/>
      <c r="COO210" s="2"/>
      <c r="COP210" s="2"/>
      <c r="COQ210" s="2"/>
      <c r="COR210" s="2"/>
      <c r="COS210" s="2"/>
      <c r="COT210" s="2"/>
      <c r="COU210" s="2"/>
      <c r="COV210" s="2"/>
      <c r="COW210" s="2"/>
      <c r="COX210" s="2"/>
      <c r="COY210" s="2"/>
      <c r="COZ210" s="2"/>
      <c r="CPA210" s="2"/>
      <c r="CPB210" s="2"/>
      <c r="CPC210" s="2"/>
      <c r="CPD210" s="2"/>
      <c r="CPE210" s="2"/>
      <c r="CPF210" s="2"/>
      <c r="CPG210" s="2"/>
      <c r="CPH210" s="2"/>
      <c r="CPI210" s="2"/>
      <c r="CPJ210" s="2"/>
      <c r="CPK210" s="2"/>
      <c r="CPL210" s="2"/>
      <c r="CPM210" s="2"/>
      <c r="CPN210" s="2"/>
      <c r="CPO210" s="2"/>
      <c r="CPP210" s="2"/>
      <c r="CPQ210" s="2"/>
      <c r="CPR210" s="2"/>
      <c r="CPS210" s="2"/>
      <c r="CPT210" s="2"/>
      <c r="CPU210" s="2"/>
      <c r="CPV210" s="2"/>
      <c r="CPW210" s="2"/>
      <c r="CPX210" s="2"/>
      <c r="CPY210" s="2"/>
      <c r="CPZ210" s="2"/>
      <c r="CQA210" s="2"/>
      <c r="CQB210" s="2"/>
      <c r="CQC210" s="2"/>
      <c r="CQD210" s="2"/>
      <c r="CQE210" s="2"/>
      <c r="CQF210" s="2"/>
      <c r="CQG210" s="2"/>
      <c r="CQH210" s="2"/>
      <c r="CQI210" s="2"/>
      <c r="CQJ210" s="2"/>
      <c r="CQK210" s="2"/>
      <c r="CQL210" s="2"/>
      <c r="CQM210" s="2"/>
      <c r="CQN210" s="2"/>
      <c r="CQO210" s="2"/>
      <c r="CQP210" s="2"/>
      <c r="CQQ210" s="2"/>
      <c r="CQR210" s="2"/>
      <c r="CQS210" s="2"/>
      <c r="CQT210" s="2"/>
      <c r="CQU210" s="2"/>
      <c r="CQV210" s="2"/>
      <c r="CQW210" s="2"/>
      <c r="CQX210" s="2"/>
      <c r="CQY210" s="2"/>
      <c r="CQZ210" s="2"/>
      <c r="CRA210" s="2"/>
      <c r="CRB210" s="2"/>
      <c r="CRC210" s="2"/>
      <c r="CRD210" s="2"/>
      <c r="CRE210" s="2"/>
      <c r="CRF210" s="2"/>
      <c r="CRG210" s="2"/>
      <c r="CRH210" s="2"/>
      <c r="CRI210" s="2"/>
      <c r="CRJ210" s="2"/>
      <c r="CRK210" s="2"/>
      <c r="CRL210" s="2"/>
      <c r="CRM210" s="2"/>
      <c r="CRN210" s="2"/>
      <c r="CRO210" s="2"/>
      <c r="CRP210" s="2"/>
      <c r="CRQ210" s="2"/>
      <c r="CRR210" s="2"/>
      <c r="CRS210" s="2"/>
      <c r="CRT210" s="2"/>
      <c r="CRU210" s="2"/>
      <c r="CRV210" s="2"/>
      <c r="CRW210" s="2"/>
      <c r="CRX210" s="2"/>
      <c r="CRY210" s="2"/>
      <c r="CRZ210" s="2"/>
      <c r="CSA210" s="2"/>
      <c r="CSB210" s="2"/>
      <c r="CSC210" s="2"/>
      <c r="CSD210" s="2"/>
      <c r="CSE210" s="2"/>
      <c r="CSF210" s="2"/>
      <c r="CSG210" s="2"/>
      <c r="CSH210" s="2"/>
      <c r="CSI210" s="2"/>
      <c r="CSJ210" s="2"/>
      <c r="CSK210" s="2"/>
      <c r="CSL210" s="2"/>
      <c r="CSM210" s="2"/>
      <c r="CSN210" s="2"/>
      <c r="CSO210" s="2"/>
      <c r="CSP210" s="2"/>
      <c r="CSQ210" s="2"/>
      <c r="CSR210" s="2"/>
      <c r="CSS210" s="2"/>
      <c r="CST210" s="2"/>
      <c r="CSU210" s="2"/>
      <c r="CSV210" s="2"/>
      <c r="CSW210" s="2"/>
      <c r="CSX210" s="2"/>
      <c r="CSY210" s="2"/>
      <c r="CSZ210" s="2"/>
      <c r="CTA210" s="2"/>
      <c r="CTB210" s="2"/>
      <c r="CTC210" s="2"/>
      <c r="CTD210" s="2"/>
      <c r="CTE210" s="2"/>
      <c r="CTF210" s="2"/>
      <c r="CTG210" s="2"/>
      <c r="CTH210" s="2"/>
      <c r="CTI210" s="2"/>
      <c r="CTJ210" s="2"/>
      <c r="CTK210" s="2"/>
      <c r="CTL210" s="2"/>
      <c r="CTM210" s="2"/>
      <c r="CTN210" s="2"/>
      <c r="CTO210" s="2"/>
      <c r="CTP210" s="2"/>
      <c r="CTQ210" s="2"/>
      <c r="CTR210" s="2"/>
      <c r="CTS210" s="2"/>
      <c r="CTT210" s="2"/>
      <c r="CTU210" s="2"/>
      <c r="CTV210" s="2"/>
      <c r="CTW210" s="2"/>
      <c r="CTX210" s="2"/>
      <c r="CTY210" s="2"/>
      <c r="CTZ210" s="2"/>
      <c r="CUA210" s="2"/>
      <c r="CUB210" s="2"/>
      <c r="CUC210" s="2"/>
      <c r="CUD210" s="2"/>
      <c r="CUE210" s="2"/>
      <c r="CUF210" s="2"/>
      <c r="CUG210" s="2"/>
      <c r="CUH210" s="2"/>
      <c r="CUI210" s="2"/>
      <c r="CUJ210" s="2"/>
      <c r="CUK210" s="2"/>
      <c r="CUL210" s="2"/>
      <c r="CUM210" s="2"/>
      <c r="CUN210" s="2"/>
      <c r="CUO210" s="2"/>
      <c r="CUP210" s="2"/>
      <c r="CUQ210" s="2"/>
      <c r="CUR210" s="2"/>
      <c r="CUS210" s="2"/>
      <c r="CUT210" s="2"/>
      <c r="CUU210" s="2"/>
      <c r="CUV210" s="2"/>
      <c r="CUW210" s="2"/>
      <c r="CUX210" s="2"/>
      <c r="CUY210" s="2"/>
      <c r="CUZ210" s="2"/>
      <c r="CVA210" s="2"/>
      <c r="CVB210" s="2"/>
      <c r="CVC210" s="2"/>
      <c r="CVD210" s="2"/>
      <c r="CVE210" s="2"/>
      <c r="CVF210" s="2"/>
      <c r="CVG210" s="2"/>
      <c r="CVH210" s="2"/>
      <c r="CVI210" s="2"/>
      <c r="CVJ210" s="2"/>
      <c r="CVK210" s="2"/>
      <c r="CVL210" s="2"/>
      <c r="CVM210" s="2"/>
      <c r="CVN210" s="2"/>
      <c r="CVO210" s="2"/>
      <c r="CVP210" s="2"/>
      <c r="CVQ210" s="2"/>
      <c r="CVR210" s="2"/>
      <c r="CVS210" s="2"/>
      <c r="CVT210" s="2"/>
      <c r="CVU210" s="2"/>
      <c r="CVV210" s="2"/>
      <c r="CVW210" s="2"/>
      <c r="CVX210" s="2"/>
      <c r="CVY210" s="2"/>
      <c r="CVZ210" s="2"/>
      <c r="CWA210" s="2"/>
      <c r="CWB210" s="2"/>
      <c r="CWC210" s="2"/>
      <c r="CWD210" s="2"/>
      <c r="CWE210" s="2"/>
      <c r="CWF210" s="2"/>
      <c r="CWG210" s="2"/>
      <c r="CWH210" s="2"/>
      <c r="CWI210" s="2"/>
      <c r="CWJ210" s="2"/>
      <c r="CWK210" s="2"/>
      <c r="CWL210" s="2"/>
      <c r="CWM210" s="2"/>
      <c r="CWN210" s="2"/>
      <c r="CWO210" s="2"/>
      <c r="CWP210" s="2"/>
      <c r="CWQ210" s="2"/>
      <c r="CWR210" s="2"/>
      <c r="CWS210" s="2"/>
      <c r="CWT210" s="2"/>
      <c r="CWU210" s="2"/>
      <c r="CWV210" s="2"/>
      <c r="CWW210" s="2"/>
      <c r="CWX210" s="2"/>
      <c r="CWY210" s="2"/>
      <c r="CWZ210" s="2"/>
      <c r="CXA210" s="2"/>
      <c r="CXB210" s="2"/>
      <c r="CXC210" s="2"/>
      <c r="CXD210" s="2"/>
      <c r="CXE210" s="2"/>
      <c r="CXF210" s="2"/>
      <c r="CXG210" s="2"/>
      <c r="CXH210" s="2"/>
      <c r="CXI210" s="2"/>
      <c r="CXJ210" s="2"/>
      <c r="CXK210" s="2"/>
      <c r="CXL210" s="2"/>
      <c r="CXM210" s="2"/>
      <c r="CXN210" s="2"/>
      <c r="CXO210" s="2"/>
      <c r="CXP210" s="2"/>
      <c r="CXQ210" s="2"/>
      <c r="CXR210" s="2"/>
      <c r="CXS210" s="2"/>
      <c r="CXT210" s="2"/>
      <c r="CXU210" s="2"/>
      <c r="CXV210" s="2"/>
      <c r="CXW210" s="2"/>
      <c r="CXX210" s="2"/>
      <c r="CXY210" s="2"/>
      <c r="CXZ210" s="2"/>
      <c r="CYA210" s="2"/>
      <c r="CYB210" s="2"/>
      <c r="CYC210" s="2"/>
      <c r="CYD210" s="2"/>
      <c r="CYE210" s="2"/>
      <c r="CYF210" s="2"/>
      <c r="CYG210" s="2"/>
      <c r="CYH210" s="2"/>
      <c r="CYI210" s="2"/>
      <c r="CYJ210" s="2"/>
      <c r="CYK210" s="2"/>
      <c r="CYL210" s="2"/>
      <c r="CYM210" s="2"/>
      <c r="CYN210" s="2"/>
      <c r="CYO210" s="2"/>
      <c r="CYP210" s="2"/>
      <c r="CYQ210" s="2"/>
      <c r="CYR210" s="2"/>
      <c r="CYS210" s="2"/>
      <c r="CYT210" s="2"/>
      <c r="CYU210" s="2"/>
      <c r="CYV210" s="2"/>
      <c r="CYW210" s="2"/>
      <c r="CYX210" s="2"/>
      <c r="CYY210" s="2"/>
      <c r="CYZ210" s="2"/>
      <c r="CZA210" s="2"/>
      <c r="CZB210" s="2"/>
      <c r="CZC210" s="2"/>
      <c r="CZD210" s="2"/>
      <c r="CZE210" s="2"/>
      <c r="CZF210" s="2"/>
      <c r="CZG210" s="2"/>
      <c r="CZH210" s="2"/>
      <c r="CZI210" s="2"/>
      <c r="CZJ210" s="2"/>
      <c r="CZK210" s="2"/>
      <c r="CZL210" s="2"/>
      <c r="CZM210" s="2"/>
      <c r="CZN210" s="2"/>
      <c r="CZO210" s="2"/>
      <c r="CZP210" s="2"/>
      <c r="CZQ210" s="2"/>
      <c r="CZR210" s="2"/>
      <c r="CZS210" s="2"/>
      <c r="CZT210" s="2"/>
      <c r="CZU210" s="2"/>
      <c r="CZV210" s="2"/>
      <c r="CZW210" s="2"/>
      <c r="CZX210" s="2"/>
      <c r="CZY210" s="2"/>
      <c r="CZZ210" s="2"/>
      <c r="DAA210" s="2"/>
      <c r="DAB210" s="2"/>
      <c r="DAC210" s="2"/>
      <c r="DAD210" s="2"/>
      <c r="DAE210" s="2"/>
      <c r="DAF210" s="2"/>
      <c r="DAG210" s="2"/>
      <c r="DAH210" s="2"/>
      <c r="DAI210" s="2"/>
      <c r="DAJ210" s="2"/>
      <c r="DAK210" s="2"/>
      <c r="DAL210" s="2"/>
      <c r="DAM210" s="2"/>
      <c r="DAN210" s="2"/>
      <c r="DAO210" s="2"/>
      <c r="DAP210" s="2"/>
      <c r="DAQ210" s="2"/>
      <c r="DAR210" s="2"/>
      <c r="DAS210" s="2"/>
      <c r="DAT210" s="2"/>
      <c r="DAU210" s="2"/>
      <c r="DAV210" s="2"/>
      <c r="DAW210" s="2"/>
      <c r="DAX210" s="2"/>
      <c r="DAY210" s="2"/>
      <c r="DAZ210" s="2"/>
      <c r="DBA210" s="2"/>
      <c r="DBB210" s="2"/>
      <c r="DBC210" s="2"/>
      <c r="DBD210" s="2"/>
      <c r="DBE210" s="2"/>
      <c r="DBF210" s="2"/>
      <c r="DBG210" s="2"/>
      <c r="DBH210" s="2"/>
      <c r="DBI210" s="2"/>
      <c r="DBJ210" s="2"/>
      <c r="DBK210" s="2"/>
      <c r="DBL210" s="2"/>
      <c r="DBM210" s="2"/>
      <c r="DBN210" s="2"/>
      <c r="DBO210" s="2"/>
      <c r="DBP210" s="2"/>
      <c r="DBQ210" s="2"/>
      <c r="DBR210" s="2"/>
      <c r="DBS210" s="2"/>
      <c r="DBT210" s="2"/>
      <c r="DBU210" s="2"/>
      <c r="DBV210" s="2"/>
      <c r="DBW210" s="2"/>
      <c r="DBX210" s="2"/>
      <c r="DBY210" s="2"/>
      <c r="DBZ210" s="2"/>
      <c r="DCA210" s="2"/>
      <c r="DCB210" s="2"/>
      <c r="DCC210" s="2"/>
      <c r="DCD210" s="2"/>
      <c r="DCE210" s="2"/>
      <c r="DCF210" s="2"/>
      <c r="DCG210" s="2"/>
      <c r="DCH210" s="2"/>
      <c r="DCI210" s="2"/>
      <c r="DCJ210" s="2"/>
      <c r="DCK210" s="2"/>
      <c r="DCL210" s="2"/>
      <c r="DCM210" s="2"/>
      <c r="DCN210" s="2"/>
      <c r="DCO210" s="2"/>
      <c r="DCP210" s="2"/>
      <c r="DCQ210" s="2"/>
      <c r="DCR210" s="2"/>
      <c r="DCS210" s="2"/>
      <c r="DCT210" s="2"/>
      <c r="DCU210" s="2"/>
      <c r="DCV210" s="2"/>
      <c r="DCW210" s="2"/>
      <c r="DCX210" s="2"/>
      <c r="DCY210" s="2"/>
      <c r="DCZ210" s="2"/>
      <c r="DDA210" s="2"/>
      <c r="DDB210" s="2"/>
      <c r="DDC210" s="2"/>
      <c r="DDD210" s="2"/>
      <c r="DDE210" s="2"/>
      <c r="DDF210" s="2"/>
      <c r="DDG210" s="2"/>
      <c r="DDH210" s="2"/>
      <c r="DDI210" s="2"/>
      <c r="DDJ210" s="2"/>
      <c r="DDK210" s="2"/>
      <c r="DDL210" s="2"/>
      <c r="DDM210" s="2"/>
      <c r="DDN210" s="2"/>
      <c r="DDO210" s="2"/>
      <c r="DDP210" s="2"/>
      <c r="DDQ210" s="2"/>
      <c r="DDR210" s="2"/>
      <c r="DDS210" s="2"/>
      <c r="DDT210" s="2"/>
      <c r="DDU210" s="2"/>
      <c r="DDV210" s="2"/>
      <c r="DDW210" s="2"/>
      <c r="DDX210" s="2"/>
      <c r="DDY210" s="2"/>
      <c r="DDZ210" s="2"/>
      <c r="DEA210" s="2"/>
      <c r="DEB210" s="2"/>
      <c r="DEC210" s="2"/>
      <c r="DED210" s="2"/>
      <c r="DEE210" s="2"/>
      <c r="DEF210" s="2"/>
      <c r="DEG210" s="2"/>
      <c r="DEH210" s="2"/>
      <c r="DEI210" s="2"/>
      <c r="DEJ210" s="2"/>
      <c r="DEK210" s="2"/>
      <c r="DEL210" s="2"/>
      <c r="DEM210" s="2"/>
      <c r="DEN210" s="2"/>
      <c r="DEO210" s="2"/>
      <c r="DEP210" s="2"/>
      <c r="DEQ210" s="2"/>
      <c r="DER210" s="2"/>
      <c r="DES210" s="2"/>
      <c r="DET210" s="2"/>
      <c r="DEU210" s="2"/>
      <c r="DEV210" s="2"/>
      <c r="DEW210" s="2"/>
      <c r="DEX210" s="2"/>
      <c r="DEY210" s="2"/>
      <c r="DEZ210" s="2"/>
      <c r="DFA210" s="2"/>
      <c r="DFB210" s="2"/>
      <c r="DFC210" s="2"/>
      <c r="DFD210" s="2"/>
      <c r="DFE210" s="2"/>
      <c r="DFF210" s="2"/>
      <c r="DFG210" s="2"/>
      <c r="DFH210" s="2"/>
      <c r="DFI210" s="2"/>
      <c r="DFJ210" s="2"/>
      <c r="DFK210" s="2"/>
      <c r="DFL210" s="2"/>
      <c r="DFM210" s="2"/>
      <c r="DFN210" s="2"/>
      <c r="DFO210" s="2"/>
      <c r="DFP210" s="2"/>
      <c r="DFQ210" s="2"/>
      <c r="DFR210" s="2"/>
      <c r="DFS210" s="2"/>
      <c r="DFT210" s="2"/>
      <c r="DFU210" s="2"/>
      <c r="DFV210" s="2"/>
      <c r="DFW210" s="2"/>
      <c r="DFX210" s="2"/>
      <c r="DFY210" s="2"/>
      <c r="DFZ210" s="2"/>
      <c r="DGA210" s="2"/>
      <c r="DGB210" s="2"/>
      <c r="DGC210" s="2"/>
      <c r="DGD210" s="2"/>
      <c r="DGE210" s="2"/>
      <c r="DGF210" s="2"/>
      <c r="DGG210" s="2"/>
      <c r="DGH210" s="2"/>
      <c r="DGI210" s="2"/>
      <c r="DGJ210" s="2"/>
      <c r="DGK210" s="2"/>
      <c r="DGL210" s="2"/>
      <c r="DGM210" s="2"/>
      <c r="DGN210" s="2"/>
      <c r="DGO210" s="2"/>
      <c r="DGP210" s="2"/>
      <c r="DGQ210" s="2"/>
      <c r="DGR210" s="2"/>
      <c r="DGS210" s="2"/>
      <c r="DGT210" s="2"/>
      <c r="DGU210" s="2"/>
      <c r="DGV210" s="2"/>
      <c r="DGW210" s="2"/>
      <c r="DGX210" s="2"/>
      <c r="DGY210" s="2"/>
      <c r="DGZ210" s="2"/>
      <c r="DHA210" s="2"/>
      <c r="DHB210" s="2"/>
      <c r="DHC210" s="2"/>
      <c r="DHD210" s="2"/>
      <c r="DHE210" s="2"/>
      <c r="DHF210" s="2"/>
      <c r="DHG210" s="2"/>
      <c r="DHH210" s="2"/>
      <c r="DHI210" s="2"/>
      <c r="DHJ210" s="2"/>
      <c r="DHK210" s="2"/>
      <c r="DHL210" s="2"/>
      <c r="DHM210" s="2"/>
      <c r="DHN210" s="2"/>
      <c r="DHO210" s="2"/>
      <c r="DHP210" s="2"/>
      <c r="DHQ210" s="2"/>
      <c r="DHR210" s="2"/>
      <c r="DHS210" s="2"/>
      <c r="DHT210" s="2"/>
      <c r="DHU210" s="2"/>
      <c r="DHV210" s="2"/>
      <c r="DHW210" s="2"/>
      <c r="DHX210" s="2"/>
      <c r="DHY210" s="2"/>
      <c r="DHZ210" s="2"/>
      <c r="DIA210" s="2"/>
      <c r="DIB210" s="2"/>
      <c r="DIC210" s="2"/>
      <c r="DID210" s="2"/>
      <c r="DIE210" s="2"/>
      <c r="DIF210" s="2"/>
      <c r="DIG210" s="2"/>
      <c r="DIH210" s="2"/>
      <c r="DII210" s="2"/>
      <c r="DIJ210" s="2"/>
      <c r="DIK210" s="2"/>
      <c r="DIL210" s="2"/>
      <c r="DIM210" s="2"/>
      <c r="DIN210" s="2"/>
      <c r="DIO210" s="2"/>
      <c r="DIP210" s="2"/>
      <c r="DIQ210" s="2"/>
      <c r="DIR210" s="2"/>
      <c r="DIS210" s="2"/>
      <c r="DIT210" s="2"/>
      <c r="DIU210" s="2"/>
      <c r="DIV210" s="2"/>
      <c r="DIW210" s="2"/>
      <c r="DIX210" s="2"/>
      <c r="DIY210" s="2"/>
      <c r="DIZ210" s="2"/>
      <c r="DJA210" s="2"/>
      <c r="DJB210" s="2"/>
      <c r="DJC210" s="2"/>
      <c r="DJD210" s="2"/>
      <c r="DJE210" s="2"/>
      <c r="DJF210" s="2"/>
      <c r="DJG210" s="2"/>
      <c r="DJH210" s="2"/>
      <c r="DJI210" s="2"/>
      <c r="DJJ210" s="2"/>
      <c r="DJK210" s="2"/>
      <c r="DJL210" s="2"/>
      <c r="DJM210" s="2"/>
      <c r="DJN210" s="2"/>
      <c r="DJO210" s="2"/>
      <c r="DJP210" s="2"/>
      <c r="DJQ210" s="2"/>
      <c r="DJR210" s="2"/>
      <c r="DJS210" s="2"/>
      <c r="DJT210" s="2"/>
      <c r="DJU210" s="2"/>
      <c r="DJV210" s="2"/>
      <c r="DJW210" s="2"/>
      <c r="DJX210" s="2"/>
      <c r="DJY210" s="2"/>
      <c r="DJZ210" s="2"/>
      <c r="DKA210" s="2"/>
      <c r="DKB210" s="2"/>
      <c r="DKC210" s="2"/>
      <c r="DKD210" s="2"/>
      <c r="DKE210" s="2"/>
      <c r="DKF210" s="2"/>
      <c r="DKG210" s="2"/>
      <c r="DKH210" s="2"/>
      <c r="DKI210" s="2"/>
      <c r="DKJ210" s="2"/>
      <c r="DKK210" s="2"/>
      <c r="DKL210" s="2"/>
      <c r="DKM210" s="2"/>
      <c r="DKN210" s="2"/>
      <c r="DKO210" s="2"/>
      <c r="DKP210" s="2"/>
      <c r="DKQ210" s="2"/>
      <c r="DKR210" s="2"/>
      <c r="DKS210" s="2"/>
      <c r="DKT210" s="2"/>
      <c r="DKU210" s="2"/>
      <c r="DKV210" s="2"/>
      <c r="DKW210" s="2"/>
      <c r="DKX210" s="2"/>
      <c r="DKY210" s="2"/>
      <c r="DKZ210" s="2"/>
      <c r="DLA210" s="2"/>
      <c r="DLB210" s="2"/>
      <c r="DLC210" s="2"/>
      <c r="DLD210" s="2"/>
      <c r="DLE210" s="2"/>
      <c r="DLF210" s="2"/>
      <c r="DLG210" s="2"/>
      <c r="DLH210" s="2"/>
      <c r="DLI210" s="2"/>
      <c r="DLJ210" s="2"/>
      <c r="DLK210" s="2"/>
      <c r="DLL210" s="2"/>
      <c r="DLM210" s="2"/>
      <c r="DLN210" s="2"/>
      <c r="DLO210" s="2"/>
      <c r="DLP210" s="2"/>
      <c r="DLQ210" s="2"/>
      <c r="DLR210" s="2"/>
      <c r="DLS210" s="2"/>
      <c r="DLT210" s="2"/>
      <c r="DLU210" s="2"/>
      <c r="DLV210" s="2"/>
      <c r="DLW210" s="2"/>
      <c r="DLX210" s="2"/>
      <c r="DLY210" s="2"/>
      <c r="DLZ210" s="2"/>
      <c r="DMA210" s="2"/>
      <c r="DMB210" s="2"/>
      <c r="DMC210" s="2"/>
      <c r="DMD210" s="2"/>
      <c r="DME210" s="2"/>
      <c r="DMF210" s="2"/>
      <c r="DMG210" s="2"/>
      <c r="DMH210" s="2"/>
      <c r="DMI210" s="2"/>
      <c r="DMJ210" s="2"/>
      <c r="DMK210" s="2"/>
      <c r="DML210" s="2"/>
      <c r="DMM210" s="2"/>
      <c r="DMN210" s="2"/>
      <c r="DMO210" s="2"/>
      <c r="DMP210" s="2"/>
      <c r="DMQ210" s="2"/>
      <c r="DMR210" s="2"/>
      <c r="DMS210" s="2"/>
      <c r="DMT210" s="2"/>
      <c r="DMU210" s="2"/>
      <c r="DMV210" s="2"/>
      <c r="DMW210" s="2"/>
      <c r="DMX210" s="2"/>
      <c r="DMY210" s="2"/>
      <c r="DMZ210" s="2"/>
      <c r="DNA210" s="2"/>
      <c r="DNB210" s="2"/>
      <c r="DNC210" s="2"/>
      <c r="DND210" s="2"/>
      <c r="DNE210" s="2"/>
      <c r="DNF210" s="2"/>
      <c r="DNG210" s="2"/>
      <c r="DNH210" s="2"/>
      <c r="DNI210" s="2"/>
      <c r="DNJ210" s="2"/>
      <c r="DNK210" s="2"/>
      <c r="DNL210" s="2"/>
      <c r="DNM210" s="2"/>
      <c r="DNN210" s="2"/>
      <c r="DNO210" s="2"/>
      <c r="DNP210" s="2"/>
      <c r="DNQ210" s="2"/>
      <c r="DNR210" s="2"/>
      <c r="DNS210" s="2"/>
      <c r="DNT210" s="2"/>
      <c r="DNU210" s="2"/>
      <c r="DNV210" s="2"/>
      <c r="DNW210" s="2"/>
      <c r="DNX210" s="2"/>
      <c r="DNY210" s="2"/>
      <c r="DNZ210" s="2"/>
      <c r="DOA210" s="2"/>
      <c r="DOB210" s="2"/>
      <c r="DOC210" s="2"/>
      <c r="DOD210" s="2"/>
      <c r="DOE210" s="2"/>
      <c r="DOF210" s="2"/>
      <c r="DOG210" s="2"/>
      <c r="DOH210" s="2"/>
      <c r="DOI210" s="2"/>
      <c r="DOJ210" s="2"/>
      <c r="DOK210" s="2"/>
      <c r="DOL210" s="2"/>
      <c r="DOM210" s="2"/>
      <c r="DON210" s="2"/>
      <c r="DOO210" s="2"/>
      <c r="DOP210" s="2"/>
      <c r="DOQ210" s="2"/>
      <c r="DOR210" s="2"/>
      <c r="DOS210" s="2"/>
      <c r="DOT210" s="2"/>
      <c r="DOU210" s="2"/>
      <c r="DOV210" s="2"/>
      <c r="DOW210" s="2"/>
      <c r="DOX210" s="2"/>
      <c r="DOY210" s="2"/>
      <c r="DOZ210" s="2"/>
      <c r="DPA210" s="2"/>
      <c r="DPB210" s="2"/>
      <c r="DPC210" s="2"/>
      <c r="DPD210" s="2"/>
      <c r="DPE210" s="2"/>
      <c r="DPF210" s="2"/>
      <c r="DPG210" s="2"/>
      <c r="DPH210" s="2"/>
      <c r="DPI210" s="2"/>
      <c r="DPJ210" s="2"/>
      <c r="DPK210" s="2"/>
      <c r="DPL210" s="2"/>
      <c r="DPM210" s="2"/>
      <c r="DPN210" s="2"/>
      <c r="DPO210" s="2"/>
      <c r="DPP210" s="2"/>
      <c r="DPQ210" s="2"/>
      <c r="DPR210" s="2"/>
      <c r="DPS210" s="2"/>
      <c r="DPT210" s="2"/>
      <c r="DPU210" s="2"/>
      <c r="DPV210" s="2"/>
      <c r="DPW210" s="2"/>
      <c r="DPX210" s="2"/>
      <c r="DPY210" s="2"/>
      <c r="DPZ210" s="2"/>
      <c r="DQA210" s="2"/>
      <c r="DQB210" s="2"/>
      <c r="DQC210" s="2"/>
      <c r="DQD210" s="2"/>
      <c r="DQE210" s="2"/>
      <c r="DQF210" s="2"/>
      <c r="DQG210" s="2"/>
      <c r="DQH210" s="2"/>
      <c r="DQI210" s="2"/>
      <c r="DQJ210" s="2"/>
      <c r="DQK210" s="2"/>
      <c r="DQL210" s="2"/>
      <c r="DQM210" s="2"/>
      <c r="DQN210" s="2"/>
      <c r="DQO210" s="2"/>
      <c r="DQP210" s="2"/>
      <c r="DQQ210" s="2"/>
      <c r="DQR210" s="2"/>
      <c r="DQS210" s="2"/>
      <c r="DQT210" s="2"/>
      <c r="DQU210" s="2"/>
      <c r="DQV210" s="2"/>
      <c r="DQW210" s="2"/>
      <c r="DQX210" s="2"/>
      <c r="DQY210" s="2"/>
      <c r="DQZ210" s="2"/>
      <c r="DRA210" s="2"/>
      <c r="DRB210" s="2"/>
      <c r="DRC210" s="2"/>
      <c r="DRD210" s="2"/>
      <c r="DRE210" s="2"/>
      <c r="DRF210" s="2"/>
      <c r="DRG210" s="2"/>
      <c r="DRH210" s="2"/>
      <c r="DRI210" s="2"/>
      <c r="DRJ210" s="2"/>
      <c r="DRK210" s="2"/>
      <c r="DRL210" s="2"/>
      <c r="DRM210" s="2"/>
      <c r="DRN210" s="2"/>
      <c r="DRO210" s="2"/>
      <c r="DRP210" s="2"/>
      <c r="DRQ210" s="2"/>
      <c r="DRR210" s="2"/>
      <c r="DRS210" s="2"/>
      <c r="DRT210" s="2"/>
      <c r="DRU210" s="2"/>
      <c r="DRV210" s="2"/>
      <c r="DRW210" s="2"/>
      <c r="DRX210" s="2"/>
      <c r="DRY210" s="2"/>
      <c r="DRZ210" s="2"/>
      <c r="DSA210" s="2"/>
      <c r="DSB210" s="2"/>
      <c r="DSC210" s="2"/>
      <c r="DSD210" s="2"/>
      <c r="DSE210" s="2"/>
      <c r="DSF210" s="2"/>
      <c r="DSG210" s="2"/>
      <c r="DSH210" s="2"/>
      <c r="DSI210" s="2"/>
      <c r="DSJ210" s="2"/>
      <c r="DSK210" s="2"/>
      <c r="DSL210" s="2"/>
      <c r="DSM210" s="2"/>
      <c r="DSN210" s="2"/>
      <c r="DSO210" s="2"/>
      <c r="DSP210" s="2"/>
      <c r="DSQ210" s="2"/>
      <c r="DSR210" s="2"/>
      <c r="DSS210" s="2"/>
      <c r="DST210" s="2"/>
      <c r="DSU210" s="2"/>
      <c r="DSV210" s="2"/>
      <c r="DSW210" s="2"/>
      <c r="DSX210" s="2"/>
      <c r="DSY210" s="2"/>
      <c r="DSZ210" s="2"/>
      <c r="DTA210" s="2"/>
      <c r="DTB210" s="2"/>
      <c r="DTC210" s="2"/>
      <c r="DTD210" s="2"/>
      <c r="DTE210" s="2"/>
      <c r="DTF210" s="2"/>
      <c r="DTG210" s="2"/>
      <c r="DTH210" s="2"/>
      <c r="DTI210" s="2"/>
      <c r="DTJ210" s="2"/>
      <c r="DTK210" s="2"/>
      <c r="DTL210" s="2"/>
      <c r="DTM210" s="2"/>
      <c r="DTN210" s="2"/>
      <c r="DTO210" s="2"/>
      <c r="DTP210" s="2"/>
      <c r="DTQ210" s="2"/>
      <c r="DTR210" s="2"/>
      <c r="DTS210" s="2"/>
      <c r="DTT210" s="2"/>
      <c r="DTU210" s="2"/>
      <c r="DTV210" s="2"/>
      <c r="DTW210" s="2"/>
      <c r="DTX210" s="2"/>
      <c r="DTY210" s="2"/>
      <c r="DTZ210" s="2"/>
      <c r="DUA210" s="2"/>
      <c r="DUB210" s="2"/>
      <c r="DUC210" s="2"/>
      <c r="DUD210" s="2"/>
      <c r="DUE210" s="2"/>
      <c r="DUF210" s="2"/>
      <c r="DUG210" s="2"/>
      <c r="DUH210" s="2"/>
      <c r="DUI210" s="2"/>
      <c r="DUJ210" s="2"/>
      <c r="DUK210" s="2"/>
      <c r="DUL210" s="2"/>
      <c r="DUM210" s="2"/>
      <c r="DUN210" s="2"/>
      <c r="DUO210" s="2"/>
      <c r="DUP210" s="2"/>
      <c r="DUQ210" s="2"/>
      <c r="DUR210" s="2"/>
      <c r="DUS210" s="2"/>
      <c r="DUT210" s="2"/>
      <c r="DUU210" s="2"/>
      <c r="DUV210" s="2"/>
      <c r="DUW210" s="2"/>
      <c r="DUX210" s="2"/>
      <c r="DUY210" s="2"/>
      <c r="DUZ210" s="2"/>
      <c r="DVA210" s="2"/>
      <c r="DVB210" s="2"/>
      <c r="DVC210" s="2"/>
      <c r="DVD210" s="2"/>
      <c r="DVE210" s="2"/>
      <c r="DVF210" s="2"/>
      <c r="DVG210" s="2"/>
      <c r="DVH210" s="2"/>
      <c r="DVI210" s="2"/>
      <c r="DVJ210" s="2"/>
      <c r="DVK210" s="2"/>
      <c r="DVL210" s="2"/>
      <c r="DVM210" s="2"/>
      <c r="DVN210" s="2"/>
      <c r="DVO210" s="2"/>
      <c r="DVP210" s="2"/>
      <c r="DVQ210" s="2"/>
      <c r="DVR210" s="2"/>
      <c r="DVS210" s="2"/>
      <c r="DVT210" s="2"/>
      <c r="DVU210" s="2"/>
      <c r="DVV210" s="2"/>
      <c r="DVW210" s="2"/>
      <c r="DVX210" s="2"/>
      <c r="DVY210" s="2"/>
      <c r="DVZ210" s="2"/>
      <c r="DWA210" s="2"/>
      <c r="DWB210" s="2"/>
      <c r="DWC210" s="2"/>
      <c r="DWD210" s="2"/>
      <c r="DWE210" s="2"/>
      <c r="DWF210" s="2"/>
      <c r="DWG210" s="2"/>
      <c r="DWH210" s="2"/>
      <c r="DWI210" s="2"/>
      <c r="DWJ210" s="2"/>
      <c r="DWK210" s="2"/>
      <c r="DWL210" s="2"/>
      <c r="DWM210" s="2"/>
      <c r="DWN210" s="2"/>
      <c r="DWO210" s="2"/>
      <c r="DWP210" s="2"/>
      <c r="DWQ210" s="2"/>
      <c r="DWR210" s="2"/>
      <c r="DWS210" s="2"/>
      <c r="DWT210" s="2"/>
      <c r="DWU210" s="2"/>
      <c r="DWV210" s="2"/>
      <c r="DWW210" s="2"/>
      <c r="DWX210" s="2"/>
      <c r="DWY210" s="2"/>
      <c r="DWZ210" s="2"/>
      <c r="DXA210" s="2"/>
      <c r="DXB210" s="2"/>
      <c r="DXC210" s="2"/>
      <c r="DXD210" s="2"/>
      <c r="DXE210" s="2"/>
      <c r="DXF210" s="2"/>
      <c r="DXG210" s="2"/>
      <c r="DXH210" s="2"/>
      <c r="DXI210" s="2"/>
      <c r="DXJ210" s="2"/>
      <c r="DXK210" s="2"/>
      <c r="DXL210" s="2"/>
      <c r="DXM210" s="2"/>
      <c r="DXN210" s="2"/>
      <c r="DXO210" s="2"/>
      <c r="DXP210" s="2"/>
      <c r="DXQ210" s="2"/>
      <c r="DXR210" s="2"/>
      <c r="DXS210" s="2"/>
      <c r="DXT210" s="2"/>
      <c r="DXU210" s="2"/>
      <c r="DXV210" s="2"/>
      <c r="DXW210" s="2"/>
      <c r="DXX210" s="2"/>
      <c r="DXY210" s="2"/>
      <c r="DXZ210" s="2"/>
      <c r="DYA210" s="2"/>
      <c r="DYB210" s="2"/>
      <c r="DYC210" s="2"/>
      <c r="DYD210" s="2"/>
      <c r="DYE210" s="2"/>
      <c r="DYF210" s="2"/>
      <c r="DYG210" s="2"/>
      <c r="DYH210" s="2"/>
      <c r="DYI210" s="2"/>
      <c r="DYJ210" s="2"/>
      <c r="DYK210" s="2"/>
      <c r="DYL210" s="2"/>
      <c r="DYM210" s="2"/>
      <c r="DYN210" s="2"/>
      <c r="DYO210" s="2"/>
      <c r="DYP210" s="2"/>
      <c r="DYQ210" s="2"/>
      <c r="DYR210" s="2"/>
      <c r="DYS210" s="2"/>
      <c r="DYT210" s="2"/>
      <c r="DYU210" s="2"/>
      <c r="DYV210" s="2"/>
      <c r="DYW210" s="2"/>
      <c r="DYX210" s="2"/>
      <c r="DYY210" s="2"/>
      <c r="DYZ210" s="2"/>
      <c r="DZA210" s="2"/>
      <c r="DZB210" s="2"/>
      <c r="DZC210" s="2"/>
      <c r="DZD210" s="2"/>
      <c r="DZE210" s="2"/>
      <c r="DZF210" s="2"/>
      <c r="DZG210" s="2"/>
      <c r="DZH210" s="2"/>
      <c r="DZI210" s="2"/>
      <c r="DZJ210" s="2"/>
      <c r="DZK210" s="2"/>
      <c r="DZL210" s="2"/>
      <c r="DZM210" s="2"/>
      <c r="DZN210" s="2"/>
      <c r="DZO210" s="2"/>
      <c r="DZP210" s="2"/>
      <c r="DZQ210" s="2"/>
      <c r="DZR210" s="2"/>
      <c r="DZS210" s="2"/>
      <c r="DZT210" s="2"/>
      <c r="DZU210" s="2"/>
      <c r="DZV210" s="2"/>
      <c r="DZW210" s="2"/>
      <c r="DZX210" s="2"/>
      <c r="DZY210" s="2"/>
      <c r="DZZ210" s="2"/>
      <c r="EAA210" s="2"/>
      <c r="EAB210" s="2"/>
      <c r="EAC210" s="2"/>
      <c r="EAD210" s="2"/>
      <c r="EAE210" s="2"/>
      <c r="EAF210" s="2"/>
      <c r="EAG210" s="2"/>
      <c r="EAH210" s="2"/>
      <c r="EAI210" s="2"/>
      <c r="EAJ210" s="2"/>
      <c r="EAK210" s="2"/>
      <c r="EAL210" s="2"/>
      <c r="EAM210" s="2"/>
      <c r="EAN210" s="2"/>
      <c r="EAO210" s="2"/>
      <c r="EAP210" s="2"/>
      <c r="EAQ210" s="2"/>
      <c r="EAR210" s="2"/>
      <c r="EAS210" s="2"/>
      <c r="EAT210" s="2"/>
      <c r="EAU210" s="2"/>
      <c r="EAV210" s="2"/>
      <c r="EAW210" s="2"/>
      <c r="EAX210" s="2"/>
      <c r="EAY210" s="2"/>
      <c r="EAZ210" s="2"/>
      <c r="EBA210" s="2"/>
      <c r="EBB210" s="2"/>
      <c r="EBC210" s="2"/>
      <c r="EBD210" s="2"/>
      <c r="EBE210" s="2"/>
      <c r="EBF210" s="2"/>
      <c r="EBG210" s="2"/>
      <c r="EBH210" s="2"/>
      <c r="EBI210" s="2"/>
      <c r="EBJ210" s="2"/>
      <c r="EBK210" s="2"/>
      <c r="EBL210" s="2"/>
      <c r="EBM210" s="2"/>
      <c r="EBN210" s="2"/>
      <c r="EBO210" s="2"/>
      <c r="EBP210" s="2"/>
      <c r="EBQ210" s="2"/>
      <c r="EBR210" s="2"/>
      <c r="EBS210" s="2"/>
      <c r="EBT210" s="2"/>
      <c r="EBU210" s="2"/>
      <c r="EBV210" s="2"/>
      <c r="EBW210" s="2"/>
      <c r="EBX210" s="2"/>
      <c r="EBY210" s="2"/>
      <c r="EBZ210" s="2"/>
      <c r="ECA210" s="2"/>
      <c r="ECB210" s="2"/>
      <c r="ECC210" s="2"/>
      <c r="ECD210" s="2"/>
      <c r="ECE210" s="2"/>
      <c r="ECF210" s="2"/>
      <c r="ECG210" s="2"/>
      <c r="ECH210" s="2"/>
      <c r="ECI210" s="2"/>
      <c r="ECJ210" s="2"/>
      <c r="ECK210" s="2"/>
      <c r="ECL210" s="2"/>
      <c r="ECM210" s="2"/>
      <c r="ECN210" s="2"/>
      <c r="ECO210" s="2"/>
      <c r="ECP210" s="2"/>
      <c r="ECQ210" s="2"/>
      <c r="ECR210" s="2"/>
      <c r="ECS210" s="2"/>
      <c r="ECT210" s="2"/>
      <c r="ECU210" s="2"/>
      <c r="ECV210" s="2"/>
      <c r="ECW210" s="2"/>
      <c r="ECX210" s="2"/>
      <c r="ECY210" s="2"/>
      <c r="ECZ210" s="2"/>
      <c r="EDA210" s="2"/>
      <c r="EDB210" s="2"/>
      <c r="EDC210" s="2"/>
      <c r="EDD210" s="2"/>
      <c r="EDE210" s="2"/>
      <c r="EDF210" s="2"/>
      <c r="EDG210" s="2"/>
      <c r="EDH210" s="2"/>
      <c r="EDI210" s="2"/>
      <c r="EDJ210" s="2"/>
      <c r="EDK210" s="2"/>
      <c r="EDL210" s="2"/>
      <c r="EDM210" s="2"/>
      <c r="EDN210" s="2"/>
      <c r="EDO210" s="2"/>
      <c r="EDP210" s="2"/>
      <c r="EDQ210" s="2"/>
      <c r="EDR210" s="2"/>
      <c r="EDS210" s="2"/>
      <c r="EDT210" s="2"/>
      <c r="EDU210" s="2"/>
      <c r="EDV210" s="2"/>
      <c r="EDW210" s="2"/>
      <c r="EDX210" s="2"/>
      <c r="EDY210" s="2"/>
      <c r="EDZ210" s="2"/>
      <c r="EEA210" s="2"/>
      <c r="EEB210" s="2"/>
      <c r="EEC210" s="2"/>
      <c r="EED210" s="2"/>
      <c r="EEE210" s="2"/>
      <c r="EEF210" s="2"/>
      <c r="EEG210" s="2"/>
      <c r="EEH210" s="2"/>
      <c r="EEI210" s="2"/>
      <c r="EEJ210" s="2"/>
      <c r="EEK210" s="2"/>
      <c r="EEL210" s="2"/>
      <c r="EEM210" s="2"/>
      <c r="EEN210" s="2"/>
      <c r="EEO210" s="2"/>
      <c r="EEP210" s="2"/>
      <c r="EEQ210" s="2"/>
      <c r="EER210" s="2"/>
      <c r="EES210" s="2"/>
      <c r="EET210" s="2"/>
      <c r="EEU210" s="2"/>
      <c r="EEV210" s="2"/>
      <c r="EEW210" s="2"/>
      <c r="EEX210" s="2"/>
      <c r="EEY210" s="2"/>
      <c r="EEZ210" s="2"/>
      <c r="EFA210" s="2"/>
      <c r="EFB210" s="2"/>
      <c r="EFC210" s="2"/>
      <c r="EFD210" s="2"/>
      <c r="EFE210" s="2"/>
      <c r="EFF210" s="2"/>
      <c r="EFG210" s="2"/>
      <c r="EFH210" s="2"/>
      <c r="EFI210" s="2"/>
      <c r="EFJ210" s="2"/>
      <c r="EFK210" s="2"/>
      <c r="EFL210" s="2"/>
      <c r="EFM210" s="2"/>
      <c r="EFN210" s="2"/>
      <c r="EFO210" s="2"/>
      <c r="EFP210" s="2"/>
      <c r="EFQ210" s="2"/>
      <c r="EFR210" s="2"/>
      <c r="EFS210" s="2"/>
      <c r="EFT210" s="2"/>
      <c r="EFU210" s="2"/>
      <c r="EFV210" s="2"/>
      <c r="EFW210" s="2"/>
      <c r="EFX210" s="2"/>
      <c r="EFY210" s="2"/>
      <c r="EFZ210" s="2"/>
      <c r="EGA210" s="2"/>
      <c r="EGB210" s="2"/>
      <c r="EGC210" s="2"/>
      <c r="EGD210" s="2"/>
      <c r="EGE210" s="2"/>
      <c r="EGF210" s="2"/>
      <c r="EGG210" s="2"/>
      <c r="EGH210" s="2"/>
      <c r="EGI210" s="2"/>
      <c r="EGJ210" s="2"/>
      <c r="EGK210" s="2"/>
      <c r="EGL210" s="2"/>
      <c r="EGM210" s="2"/>
      <c r="EGN210" s="2"/>
      <c r="EGO210" s="2"/>
      <c r="EGP210" s="2"/>
      <c r="EGQ210" s="2"/>
      <c r="EGR210" s="2"/>
      <c r="EGS210" s="2"/>
      <c r="EGT210" s="2"/>
      <c r="EGU210" s="2"/>
      <c r="EGV210" s="2"/>
      <c r="EGW210" s="2"/>
      <c r="EGX210" s="2"/>
      <c r="EGY210" s="2"/>
      <c r="EGZ210" s="2"/>
      <c r="EHA210" s="2"/>
      <c r="EHB210" s="2"/>
      <c r="EHC210" s="2"/>
      <c r="EHD210" s="2"/>
      <c r="EHE210" s="2"/>
      <c r="EHF210" s="2"/>
      <c r="EHG210" s="2"/>
      <c r="EHH210" s="2"/>
      <c r="EHI210" s="2"/>
      <c r="EHJ210" s="2"/>
      <c r="EHK210" s="2"/>
      <c r="EHL210" s="2"/>
      <c r="EHM210" s="2"/>
      <c r="EHN210" s="2"/>
      <c r="EHO210" s="2"/>
      <c r="EHP210" s="2"/>
      <c r="EHQ210" s="2"/>
      <c r="EHR210" s="2"/>
      <c r="EHS210" s="2"/>
      <c r="EHT210" s="2"/>
      <c r="EHU210" s="2"/>
      <c r="EHV210" s="2"/>
      <c r="EHW210" s="2"/>
      <c r="EHX210" s="2"/>
      <c r="EHY210" s="2"/>
      <c r="EHZ210" s="2"/>
      <c r="EIA210" s="2"/>
      <c r="EIB210" s="2"/>
      <c r="EIC210" s="2"/>
      <c r="EID210" s="2"/>
      <c r="EIE210" s="2"/>
      <c r="EIF210" s="2"/>
      <c r="EIG210" s="2"/>
      <c r="EIH210" s="2"/>
      <c r="EII210" s="2"/>
      <c r="EIJ210" s="2"/>
      <c r="EIK210" s="2"/>
      <c r="EIL210" s="2"/>
      <c r="EIM210" s="2"/>
      <c r="EIN210" s="2"/>
      <c r="EIO210" s="2"/>
      <c r="EIP210" s="2"/>
      <c r="EIQ210" s="2"/>
      <c r="EIR210" s="2"/>
      <c r="EIS210" s="2"/>
      <c r="EIT210" s="2"/>
      <c r="EIU210" s="2"/>
      <c r="EIV210" s="2"/>
      <c r="EIW210" s="2"/>
      <c r="EIX210" s="2"/>
      <c r="EIY210" s="2"/>
      <c r="EIZ210" s="2"/>
      <c r="EJA210" s="2"/>
      <c r="EJB210" s="2"/>
      <c r="EJC210" s="2"/>
      <c r="EJD210" s="2"/>
      <c r="EJE210" s="2"/>
      <c r="EJF210" s="2"/>
      <c r="EJG210" s="2"/>
      <c r="EJH210" s="2"/>
      <c r="EJI210" s="2"/>
      <c r="EJJ210" s="2"/>
      <c r="EJK210" s="2"/>
      <c r="EJL210" s="2"/>
      <c r="EJM210" s="2"/>
      <c r="EJN210" s="2"/>
      <c r="EJO210" s="2"/>
      <c r="EJP210" s="2"/>
      <c r="EJQ210" s="2"/>
      <c r="EJR210" s="2"/>
      <c r="EJS210" s="2"/>
      <c r="EJT210" s="2"/>
      <c r="EJU210" s="2"/>
      <c r="EJV210" s="2"/>
      <c r="EJW210" s="2"/>
      <c r="EJX210" s="2"/>
      <c r="EJY210" s="2"/>
      <c r="EJZ210" s="2"/>
      <c r="EKA210" s="2"/>
      <c r="EKB210" s="2"/>
      <c r="EKC210" s="2"/>
      <c r="EKD210" s="2"/>
      <c r="EKE210" s="2"/>
      <c r="EKF210" s="2"/>
      <c r="EKG210" s="2"/>
      <c r="EKH210" s="2"/>
      <c r="EKI210" s="2"/>
      <c r="EKJ210" s="2"/>
      <c r="EKK210" s="2"/>
      <c r="EKL210" s="2"/>
      <c r="EKM210" s="2"/>
      <c r="EKN210" s="2"/>
      <c r="EKO210" s="2"/>
      <c r="EKP210" s="2"/>
      <c r="EKQ210" s="2"/>
      <c r="EKR210" s="2"/>
      <c r="EKS210" s="2"/>
      <c r="EKT210" s="2"/>
      <c r="EKU210" s="2"/>
      <c r="EKV210" s="2"/>
      <c r="EKW210" s="2"/>
      <c r="EKX210" s="2"/>
      <c r="EKY210" s="2"/>
      <c r="EKZ210" s="2"/>
      <c r="ELA210" s="2"/>
      <c r="ELB210" s="2"/>
      <c r="ELC210" s="2"/>
      <c r="ELD210" s="2"/>
      <c r="ELE210" s="2"/>
      <c r="ELF210" s="2"/>
      <c r="ELG210" s="2"/>
      <c r="ELH210" s="2"/>
      <c r="ELI210" s="2"/>
      <c r="ELJ210" s="2"/>
      <c r="ELK210" s="2"/>
      <c r="ELL210" s="2"/>
      <c r="ELM210" s="2"/>
      <c r="ELN210" s="2"/>
      <c r="ELO210" s="2"/>
      <c r="ELP210" s="2"/>
      <c r="ELQ210" s="2"/>
      <c r="ELR210" s="2"/>
      <c r="ELS210" s="2"/>
      <c r="ELT210" s="2"/>
      <c r="ELU210" s="2"/>
      <c r="ELV210" s="2"/>
      <c r="ELW210" s="2"/>
      <c r="ELX210" s="2"/>
      <c r="ELY210" s="2"/>
      <c r="ELZ210" s="2"/>
      <c r="EMA210" s="2"/>
      <c r="EMB210" s="2"/>
      <c r="EMC210" s="2"/>
      <c r="EMD210" s="2"/>
      <c r="EME210" s="2"/>
      <c r="EMF210" s="2"/>
      <c r="EMG210" s="2"/>
      <c r="EMH210" s="2"/>
      <c r="EMI210" s="2"/>
      <c r="EMJ210" s="2"/>
      <c r="EMK210" s="2"/>
      <c r="EML210" s="2"/>
      <c r="EMM210" s="2"/>
      <c r="EMN210" s="2"/>
      <c r="EMO210" s="2"/>
      <c r="EMP210" s="2"/>
      <c r="EMQ210" s="2"/>
      <c r="EMR210" s="2"/>
      <c r="EMS210" s="2"/>
      <c r="EMT210" s="2"/>
      <c r="EMU210" s="2"/>
      <c r="EMV210" s="2"/>
      <c r="EMW210" s="2"/>
      <c r="EMX210" s="2"/>
      <c r="EMY210" s="2"/>
      <c r="EMZ210" s="2"/>
      <c r="ENA210" s="2"/>
      <c r="ENB210" s="2"/>
      <c r="ENC210" s="2"/>
      <c r="END210" s="2"/>
      <c r="ENE210" s="2"/>
      <c r="ENF210" s="2"/>
      <c r="ENG210" s="2"/>
      <c r="ENH210" s="2"/>
      <c r="ENI210" s="2"/>
      <c r="ENJ210" s="2"/>
      <c r="ENK210" s="2"/>
      <c r="ENL210" s="2"/>
      <c r="ENM210" s="2"/>
      <c r="ENN210" s="2"/>
      <c r="ENO210" s="2"/>
      <c r="ENP210" s="2"/>
      <c r="ENQ210" s="2"/>
      <c r="ENR210" s="2"/>
      <c r="ENS210" s="2"/>
      <c r="ENT210" s="2"/>
      <c r="ENU210" s="2"/>
      <c r="ENV210" s="2"/>
      <c r="ENW210" s="2"/>
      <c r="ENX210" s="2"/>
      <c r="ENY210" s="2"/>
      <c r="ENZ210" s="2"/>
      <c r="EOA210" s="2"/>
      <c r="EOB210" s="2"/>
      <c r="EOC210" s="2"/>
      <c r="EOD210" s="2"/>
      <c r="EOE210" s="2"/>
      <c r="EOF210" s="2"/>
      <c r="EOG210" s="2"/>
      <c r="EOH210" s="2"/>
      <c r="EOI210" s="2"/>
      <c r="EOJ210" s="2"/>
      <c r="EOK210" s="2"/>
      <c r="EOL210" s="2"/>
      <c r="EOM210" s="2"/>
      <c r="EON210" s="2"/>
      <c r="EOO210" s="2"/>
      <c r="EOP210" s="2"/>
      <c r="EOQ210" s="2"/>
      <c r="EOR210" s="2"/>
      <c r="EOS210" s="2"/>
      <c r="EOT210" s="2"/>
      <c r="EOU210" s="2"/>
      <c r="EOV210" s="2"/>
      <c r="EOW210" s="2"/>
      <c r="EOX210" s="2"/>
      <c r="EOY210" s="2"/>
      <c r="EOZ210" s="2"/>
      <c r="EPA210" s="2"/>
      <c r="EPB210" s="2"/>
      <c r="EPC210" s="2"/>
      <c r="EPD210" s="2"/>
      <c r="EPE210" s="2"/>
      <c r="EPF210" s="2"/>
      <c r="EPG210" s="2"/>
      <c r="EPH210" s="2"/>
      <c r="EPI210" s="2"/>
      <c r="EPJ210" s="2"/>
      <c r="EPK210" s="2"/>
      <c r="EPL210" s="2"/>
      <c r="EPM210" s="2"/>
      <c r="EPN210" s="2"/>
      <c r="EPO210" s="2"/>
      <c r="EPP210" s="2"/>
      <c r="EPQ210" s="2"/>
      <c r="EPR210" s="2"/>
      <c r="EPS210" s="2"/>
      <c r="EPT210" s="2"/>
      <c r="EPU210" s="2"/>
      <c r="EPV210" s="2"/>
      <c r="EPW210" s="2"/>
      <c r="EPX210" s="2"/>
      <c r="EPY210" s="2"/>
      <c r="EPZ210" s="2"/>
      <c r="EQA210" s="2"/>
      <c r="EQB210" s="2"/>
      <c r="EQC210" s="2"/>
      <c r="EQD210" s="2"/>
      <c r="EQE210" s="2"/>
      <c r="EQF210" s="2"/>
      <c r="EQG210" s="2"/>
      <c r="EQH210" s="2"/>
      <c r="EQI210" s="2"/>
      <c r="EQJ210" s="2"/>
      <c r="EQK210" s="2"/>
      <c r="EQL210" s="2"/>
      <c r="EQM210" s="2"/>
      <c r="EQN210" s="2"/>
      <c r="EQO210" s="2"/>
      <c r="EQP210" s="2"/>
      <c r="EQQ210" s="2"/>
      <c r="EQR210" s="2"/>
      <c r="EQS210" s="2"/>
      <c r="EQT210" s="2"/>
      <c r="EQU210" s="2"/>
      <c r="EQV210" s="2"/>
      <c r="EQW210" s="2"/>
      <c r="EQX210" s="2"/>
      <c r="EQY210" s="2"/>
      <c r="EQZ210" s="2"/>
      <c r="ERA210" s="2"/>
      <c r="ERB210" s="2"/>
      <c r="ERC210" s="2"/>
      <c r="ERD210" s="2"/>
      <c r="ERE210" s="2"/>
      <c r="ERF210" s="2"/>
      <c r="ERG210" s="2"/>
      <c r="ERH210" s="2"/>
      <c r="ERI210" s="2"/>
      <c r="ERJ210" s="2"/>
      <c r="ERK210" s="2"/>
      <c r="ERL210" s="2"/>
      <c r="ERM210" s="2"/>
      <c r="ERN210" s="2"/>
      <c r="ERO210" s="2"/>
      <c r="ERP210" s="2"/>
      <c r="ERQ210" s="2"/>
      <c r="ERR210" s="2"/>
      <c r="ERS210" s="2"/>
      <c r="ERT210" s="2"/>
      <c r="ERU210" s="2"/>
      <c r="ERV210" s="2"/>
      <c r="ERW210" s="2"/>
      <c r="ERX210" s="2"/>
      <c r="ERY210" s="2"/>
      <c r="ERZ210" s="2"/>
      <c r="ESA210" s="2"/>
      <c r="ESB210" s="2"/>
      <c r="ESC210" s="2"/>
      <c r="ESD210" s="2"/>
      <c r="ESE210" s="2"/>
      <c r="ESF210" s="2"/>
      <c r="ESG210" s="2"/>
      <c r="ESH210" s="2"/>
      <c r="ESI210" s="2"/>
      <c r="ESJ210" s="2"/>
      <c r="ESK210" s="2"/>
      <c r="ESL210" s="2"/>
      <c r="ESM210" s="2"/>
      <c r="ESN210" s="2"/>
      <c r="ESO210" s="2"/>
      <c r="ESP210" s="2"/>
      <c r="ESQ210" s="2"/>
      <c r="ESR210" s="2"/>
      <c r="ESS210" s="2"/>
      <c r="EST210" s="2"/>
      <c r="ESU210" s="2"/>
      <c r="ESV210" s="2"/>
      <c r="ESW210" s="2"/>
      <c r="ESX210" s="2"/>
      <c r="ESY210" s="2"/>
      <c r="ESZ210" s="2"/>
      <c r="ETA210" s="2"/>
      <c r="ETB210" s="2"/>
      <c r="ETC210" s="2"/>
      <c r="ETD210" s="2"/>
      <c r="ETE210" s="2"/>
      <c r="ETF210" s="2"/>
      <c r="ETG210" s="2"/>
      <c r="ETH210" s="2"/>
      <c r="ETI210" s="2"/>
      <c r="ETJ210" s="2"/>
      <c r="ETK210" s="2"/>
      <c r="ETL210" s="2"/>
      <c r="ETM210" s="2"/>
      <c r="ETN210" s="2"/>
      <c r="ETO210" s="2"/>
      <c r="ETP210" s="2"/>
      <c r="ETQ210" s="2"/>
      <c r="ETR210" s="2"/>
      <c r="ETS210" s="2"/>
      <c r="ETT210" s="2"/>
      <c r="ETU210" s="2"/>
      <c r="ETV210" s="2"/>
      <c r="ETW210" s="2"/>
      <c r="ETX210" s="2"/>
      <c r="ETY210" s="2"/>
      <c r="ETZ210" s="2"/>
      <c r="EUA210" s="2"/>
      <c r="EUB210" s="2"/>
      <c r="EUC210" s="2"/>
      <c r="EUD210" s="2"/>
      <c r="EUE210" s="2"/>
      <c r="EUF210" s="2"/>
      <c r="EUG210" s="2"/>
      <c r="EUH210" s="2"/>
      <c r="EUI210" s="2"/>
      <c r="EUJ210" s="2"/>
      <c r="EUK210" s="2"/>
      <c r="EUL210" s="2"/>
      <c r="EUM210" s="2"/>
      <c r="EUN210" s="2"/>
      <c r="EUO210" s="2"/>
      <c r="EUP210" s="2"/>
      <c r="EUQ210" s="2"/>
      <c r="EUR210" s="2"/>
      <c r="EUS210" s="2"/>
      <c r="EUT210" s="2"/>
      <c r="EUU210" s="2"/>
      <c r="EUV210" s="2"/>
      <c r="EUW210" s="2"/>
      <c r="EUX210" s="2"/>
      <c r="EUY210" s="2"/>
      <c r="EUZ210" s="2"/>
      <c r="EVA210" s="2"/>
      <c r="EVB210" s="2"/>
      <c r="EVC210" s="2"/>
      <c r="EVD210" s="2"/>
      <c r="EVE210" s="2"/>
      <c r="EVF210" s="2"/>
      <c r="EVG210" s="2"/>
      <c r="EVH210" s="2"/>
      <c r="EVI210" s="2"/>
      <c r="EVJ210" s="2"/>
      <c r="EVK210" s="2"/>
      <c r="EVL210" s="2"/>
      <c r="EVM210" s="2"/>
      <c r="EVN210" s="2"/>
      <c r="EVO210" s="2"/>
      <c r="EVP210" s="2"/>
      <c r="EVQ210" s="2"/>
      <c r="EVR210" s="2"/>
      <c r="EVS210" s="2"/>
      <c r="EVT210" s="2"/>
      <c r="EVU210" s="2"/>
      <c r="EVV210" s="2"/>
      <c r="EVW210" s="2"/>
      <c r="EVX210" s="2"/>
      <c r="EVY210" s="2"/>
      <c r="EVZ210" s="2"/>
      <c r="EWA210" s="2"/>
      <c r="EWB210" s="2"/>
      <c r="EWC210" s="2"/>
      <c r="EWD210" s="2"/>
      <c r="EWE210" s="2"/>
      <c r="EWF210" s="2"/>
      <c r="EWG210" s="2"/>
      <c r="EWH210" s="2"/>
      <c r="EWI210" s="2"/>
      <c r="EWJ210" s="2"/>
      <c r="EWK210" s="2"/>
      <c r="EWL210" s="2"/>
      <c r="EWM210" s="2"/>
      <c r="EWN210" s="2"/>
      <c r="EWO210" s="2"/>
      <c r="EWP210" s="2"/>
      <c r="EWQ210" s="2"/>
      <c r="EWR210" s="2"/>
      <c r="EWS210" s="2"/>
      <c r="EWT210" s="2"/>
      <c r="EWU210" s="2"/>
      <c r="EWV210" s="2"/>
      <c r="EWW210" s="2"/>
      <c r="EWX210" s="2"/>
      <c r="EWY210" s="2"/>
      <c r="EWZ210" s="2"/>
      <c r="EXA210" s="2"/>
      <c r="EXB210" s="2"/>
      <c r="EXC210" s="2"/>
      <c r="EXD210" s="2"/>
      <c r="EXE210" s="2"/>
      <c r="EXF210" s="2"/>
      <c r="EXG210" s="2"/>
      <c r="EXH210" s="2"/>
      <c r="EXI210" s="2"/>
      <c r="EXJ210" s="2"/>
      <c r="EXK210" s="2"/>
      <c r="EXL210" s="2"/>
      <c r="EXM210" s="2"/>
      <c r="EXN210" s="2"/>
      <c r="EXO210" s="2"/>
      <c r="EXP210" s="2"/>
      <c r="EXQ210" s="2"/>
      <c r="EXR210" s="2"/>
      <c r="EXS210" s="2"/>
      <c r="EXT210" s="2"/>
      <c r="EXU210" s="2"/>
      <c r="EXV210" s="2"/>
      <c r="EXW210" s="2"/>
      <c r="EXX210" s="2"/>
      <c r="EXY210" s="2"/>
      <c r="EXZ210" s="2"/>
      <c r="EYA210" s="2"/>
      <c r="EYB210" s="2"/>
      <c r="EYC210" s="2"/>
      <c r="EYD210" s="2"/>
      <c r="EYE210" s="2"/>
      <c r="EYF210" s="2"/>
      <c r="EYG210" s="2"/>
      <c r="EYH210" s="2"/>
      <c r="EYI210" s="2"/>
      <c r="EYJ210" s="2"/>
      <c r="EYK210" s="2"/>
      <c r="EYL210" s="2"/>
      <c r="EYM210" s="2"/>
      <c r="EYN210" s="2"/>
      <c r="EYO210" s="2"/>
      <c r="EYP210" s="2"/>
      <c r="EYQ210" s="2"/>
      <c r="EYR210" s="2"/>
      <c r="EYS210" s="2"/>
      <c r="EYT210" s="2"/>
      <c r="EYU210" s="2"/>
      <c r="EYV210" s="2"/>
      <c r="EYW210" s="2"/>
      <c r="EYX210" s="2"/>
      <c r="EYY210" s="2"/>
      <c r="EYZ210" s="2"/>
      <c r="EZA210" s="2"/>
      <c r="EZB210" s="2"/>
      <c r="EZC210" s="2"/>
      <c r="EZD210" s="2"/>
      <c r="EZE210" s="2"/>
      <c r="EZF210" s="2"/>
      <c r="EZG210" s="2"/>
      <c r="EZH210" s="2"/>
      <c r="EZI210" s="2"/>
      <c r="EZJ210" s="2"/>
      <c r="EZK210" s="2"/>
      <c r="EZL210" s="2"/>
      <c r="EZM210" s="2"/>
      <c r="EZN210" s="2"/>
      <c r="EZO210" s="2"/>
      <c r="EZP210" s="2"/>
      <c r="EZQ210" s="2"/>
      <c r="EZR210" s="2"/>
      <c r="EZS210" s="2"/>
      <c r="EZT210" s="2"/>
      <c r="EZU210" s="2"/>
      <c r="EZV210" s="2"/>
      <c r="EZW210" s="2"/>
      <c r="EZX210" s="2"/>
      <c r="EZY210" s="2"/>
      <c r="EZZ210" s="2"/>
      <c r="FAA210" s="2"/>
      <c r="FAB210" s="2"/>
      <c r="FAC210" s="2"/>
      <c r="FAD210" s="2"/>
      <c r="FAE210" s="2"/>
      <c r="FAF210" s="2"/>
      <c r="FAG210" s="2"/>
      <c r="FAH210" s="2"/>
      <c r="FAI210" s="2"/>
      <c r="FAJ210" s="2"/>
      <c r="FAK210" s="2"/>
      <c r="FAL210" s="2"/>
      <c r="FAM210" s="2"/>
      <c r="FAN210" s="2"/>
      <c r="FAO210" s="2"/>
      <c r="FAP210" s="2"/>
      <c r="FAQ210" s="2"/>
      <c r="FAR210" s="2"/>
      <c r="FAS210" s="2"/>
      <c r="FAT210" s="2"/>
      <c r="FAU210" s="2"/>
      <c r="FAV210" s="2"/>
      <c r="FAW210" s="2"/>
      <c r="FAX210" s="2"/>
      <c r="FAY210" s="2"/>
      <c r="FAZ210" s="2"/>
      <c r="FBA210" s="2"/>
      <c r="FBB210" s="2"/>
      <c r="FBC210" s="2"/>
      <c r="FBD210" s="2"/>
      <c r="FBE210" s="2"/>
      <c r="FBF210" s="2"/>
      <c r="FBG210" s="2"/>
      <c r="FBH210" s="2"/>
      <c r="FBI210" s="2"/>
      <c r="FBJ210" s="2"/>
      <c r="FBK210" s="2"/>
      <c r="FBL210" s="2"/>
      <c r="FBM210" s="2"/>
      <c r="FBN210" s="2"/>
      <c r="FBO210" s="2"/>
      <c r="FBP210" s="2"/>
      <c r="FBQ210" s="2"/>
      <c r="FBR210" s="2"/>
      <c r="FBS210" s="2"/>
      <c r="FBT210" s="2"/>
      <c r="FBU210" s="2"/>
      <c r="FBV210" s="2"/>
      <c r="FBW210" s="2"/>
      <c r="FBX210" s="2"/>
      <c r="FBY210" s="2"/>
      <c r="FBZ210" s="2"/>
      <c r="FCA210" s="2"/>
      <c r="FCB210" s="2"/>
      <c r="FCC210" s="2"/>
      <c r="FCD210" s="2"/>
      <c r="FCE210" s="2"/>
      <c r="FCF210" s="2"/>
      <c r="FCG210" s="2"/>
      <c r="FCH210" s="2"/>
      <c r="FCI210" s="2"/>
      <c r="FCJ210" s="2"/>
      <c r="FCK210" s="2"/>
      <c r="FCL210" s="2"/>
      <c r="FCM210" s="2"/>
      <c r="FCN210" s="2"/>
      <c r="FCO210" s="2"/>
      <c r="FCP210" s="2"/>
      <c r="FCQ210" s="2"/>
      <c r="FCR210" s="2"/>
      <c r="FCS210" s="2"/>
      <c r="FCT210" s="2"/>
      <c r="FCU210" s="2"/>
      <c r="FCV210" s="2"/>
      <c r="FCW210" s="2"/>
      <c r="FCX210" s="2"/>
      <c r="FCY210" s="2"/>
      <c r="FCZ210" s="2"/>
      <c r="FDA210" s="2"/>
      <c r="FDB210" s="2"/>
      <c r="FDC210" s="2"/>
      <c r="FDD210" s="2"/>
      <c r="FDE210" s="2"/>
      <c r="FDF210" s="2"/>
      <c r="FDG210" s="2"/>
      <c r="FDH210" s="2"/>
      <c r="FDI210" s="2"/>
      <c r="FDJ210" s="2"/>
      <c r="FDK210" s="2"/>
      <c r="FDL210" s="2"/>
      <c r="FDM210" s="2"/>
      <c r="FDN210" s="2"/>
      <c r="FDO210" s="2"/>
      <c r="FDP210" s="2"/>
      <c r="FDQ210" s="2"/>
      <c r="FDR210" s="2"/>
      <c r="FDS210" s="2"/>
      <c r="FDT210" s="2"/>
      <c r="FDU210" s="2"/>
      <c r="FDV210" s="2"/>
      <c r="FDW210" s="2"/>
      <c r="FDX210" s="2"/>
      <c r="FDY210" s="2"/>
      <c r="FDZ210" s="2"/>
      <c r="FEA210" s="2"/>
      <c r="FEB210" s="2"/>
      <c r="FEC210" s="2"/>
      <c r="FED210" s="2"/>
      <c r="FEE210" s="2"/>
      <c r="FEF210" s="2"/>
      <c r="FEG210" s="2"/>
      <c r="FEH210" s="2"/>
      <c r="FEI210" s="2"/>
      <c r="FEJ210" s="2"/>
      <c r="FEK210" s="2"/>
      <c r="FEL210" s="2"/>
      <c r="FEM210" s="2"/>
      <c r="FEN210" s="2"/>
      <c r="FEO210" s="2"/>
      <c r="FEP210" s="2"/>
      <c r="FEQ210" s="2"/>
      <c r="FER210" s="2"/>
      <c r="FES210" s="2"/>
      <c r="FET210" s="2"/>
      <c r="FEU210" s="2"/>
      <c r="FEV210" s="2"/>
      <c r="FEW210" s="2"/>
      <c r="FEX210" s="2"/>
      <c r="FEY210" s="2"/>
      <c r="FEZ210" s="2"/>
      <c r="FFA210" s="2"/>
      <c r="FFB210" s="2"/>
      <c r="FFC210" s="2"/>
      <c r="FFD210" s="2"/>
      <c r="FFE210" s="2"/>
      <c r="FFF210" s="2"/>
      <c r="FFG210" s="2"/>
      <c r="FFH210" s="2"/>
      <c r="FFI210" s="2"/>
      <c r="FFJ210" s="2"/>
      <c r="FFK210" s="2"/>
      <c r="FFL210" s="2"/>
      <c r="FFM210" s="2"/>
      <c r="FFN210" s="2"/>
      <c r="FFO210" s="2"/>
      <c r="FFP210" s="2"/>
      <c r="FFQ210" s="2"/>
      <c r="FFR210" s="2"/>
      <c r="FFS210" s="2"/>
      <c r="FFT210" s="2"/>
      <c r="FFU210" s="2"/>
      <c r="FFV210" s="2"/>
      <c r="FFW210" s="2"/>
      <c r="FFX210" s="2"/>
      <c r="FFY210" s="2"/>
      <c r="FFZ210" s="2"/>
      <c r="FGA210" s="2"/>
      <c r="FGB210" s="2"/>
      <c r="FGC210" s="2"/>
      <c r="FGD210" s="2"/>
      <c r="FGE210" s="2"/>
      <c r="FGF210" s="2"/>
      <c r="FGG210" s="2"/>
      <c r="FGH210" s="2"/>
      <c r="FGI210" s="2"/>
      <c r="FGJ210" s="2"/>
      <c r="FGK210" s="2"/>
      <c r="FGL210" s="2"/>
      <c r="FGM210" s="2"/>
      <c r="FGN210" s="2"/>
      <c r="FGO210" s="2"/>
      <c r="FGP210" s="2"/>
      <c r="FGQ210" s="2"/>
      <c r="FGR210" s="2"/>
      <c r="FGS210" s="2"/>
      <c r="FGT210" s="2"/>
      <c r="FGU210" s="2"/>
      <c r="FGV210" s="2"/>
      <c r="FGW210" s="2"/>
      <c r="FGX210" s="2"/>
      <c r="FGY210" s="2"/>
      <c r="FGZ210" s="2"/>
      <c r="FHA210" s="2"/>
      <c r="FHB210" s="2"/>
      <c r="FHC210" s="2"/>
      <c r="FHD210" s="2"/>
      <c r="FHE210" s="2"/>
      <c r="FHF210" s="2"/>
      <c r="FHG210" s="2"/>
      <c r="FHH210" s="2"/>
      <c r="FHI210" s="2"/>
      <c r="FHJ210" s="2"/>
      <c r="FHK210" s="2"/>
      <c r="FHL210" s="2"/>
      <c r="FHM210" s="2"/>
      <c r="FHN210" s="2"/>
      <c r="FHO210" s="2"/>
      <c r="FHP210" s="2"/>
      <c r="FHQ210" s="2"/>
      <c r="FHR210" s="2"/>
      <c r="FHS210" s="2"/>
      <c r="FHT210" s="2"/>
      <c r="FHU210" s="2"/>
      <c r="FHV210" s="2"/>
      <c r="FHW210" s="2"/>
      <c r="FHX210" s="2"/>
      <c r="FHY210" s="2"/>
      <c r="FHZ210" s="2"/>
      <c r="FIA210" s="2"/>
      <c r="FIB210" s="2"/>
      <c r="FIC210" s="2"/>
      <c r="FID210" s="2"/>
      <c r="FIE210" s="2"/>
      <c r="FIF210" s="2"/>
      <c r="FIG210" s="2"/>
      <c r="FIH210" s="2"/>
      <c r="FII210" s="2"/>
      <c r="FIJ210" s="2"/>
      <c r="FIK210" s="2"/>
      <c r="FIL210" s="2"/>
      <c r="FIM210" s="2"/>
      <c r="FIN210" s="2"/>
      <c r="FIO210" s="2"/>
      <c r="FIP210" s="2"/>
      <c r="FIQ210" s="2"/>
      <c r="FIR210" s="2"/>
      <c r="FIS210" s="2"/>
      <c r="FIT210" s="2"/>
      <c r="FIU210" s="2"/>
      <c r="FIV210" s="2"/>
      <c r="FIW210" s="2"/>
      <c r="FIX210" s="2"/>
      <c r="FIY210" s="2"/>
      <c r="FIZ210" s="2"/>
      <c r="FJA210" s="2"/>
      <c r="FJB210" s="2"/>
      <c r="FJC210" s="2"/>
      <c r="FJD210" s="2"/>
      <c r="FJE210" s="2"/>
      <c r="FJF210" s="2"/>
      <c r="FJG210" s="2"/>
      <c r="FJH210" s="2"/>
      <c r="FJI210" s="2"/>
      <c r="FJJ210" s="2"/>
      <c r="FJK210" s="2"/>
      <c r="FJL210" s="2"/>
      <c r="FJM210" s="2"/>
      <c r="FJN210" s="2"/>
      <c r="FJO210" s="2"/>
      <c r="FJP210" s="2"/>
      <c r="FJQ210" s="2"/>
      <c r="FJR210" s="2"/>
      <c r="FJS210" s="2"/>
      <c r="FJT210" s="2"/>
      <c r="FJU210" s="2"/>
      <c r="FJV210" s="2"/>
      <c r="FJW210" s="2"/>
      <c r="FJX210" s="2"/>
      <c r="FJY210" s="2"/>
      <c r="FJZ210" s="2"/>
      <c r="FKA210" s="2"/>
      <c r="FKB210" s="2"/>
      <c r="FKC210" s="2"/>
      <c r="FKD210" s="2"/>
      <c r="FKE210" s="2"/>
      <c r="FKF210" s="2"/>
      <c r="FKG210" s="2"/>
      <c r="FKH210" s="2"/>
      <c r="FKI210" s="2"/>
      <c r="FKJ210" s="2"/>
      <c r="FKK210" s="2"/>
      <c r="FKL210" s="2"/>
      <c r="FKM210" s="2"/>
      <c r="FKN210" s="2"/>
      <c r="FKO210" s="2"/>
      <c r="FKP210" s="2"/>
      <c r="FKQ210" s="2"/>
      <c r="FKR210" s="2"/>
      <c r="FKS210" s="2"/>
      <c r="FKT210" s="2"/>
      <c r="FKU210" s="2"/>
      <c r="FKV210" s="2"/>
      <c r="FKW210" s="2"/>
      <c r="FKX210" s="2"/>
      <c r="FKY210" s="2"/>
      <c r="FKZ210" s="2"/>
      <c r="FLA210" s="2"/>
      <c r="FLB210" s="2"/>
      <c r="FLC210" s="2"/>
      <c r="FLD210" s="2"/>
      <c r="FLE210" s="2"/>
      <c r="FLF210" s="2"/>
      <c r="FLG210" s="2"/>
      <c r="FLH210" s="2"/>
      <c r="FLI210" s="2"/>
      <c r="FLJ210" s="2"/>
      <c r="FLK210" s="2"/>
      <c r="FLL210" s="2"/>
      <c r="FLM210" s="2"/>
      <c r="FLN210" s="2"/>
      <c r="FLO210" s="2"/>
      <c r="FLP210" s="2"/>
      <c r="FLQ210" s="2"/>
      <c r="FLR210" s="2"/>
      <c r="FLS210" s="2"/>
      <c r="FLT210" s="2"/>
      <c r="FLU210" s="2"/>
      <c r="FLV210" s="2"/>
      <c r="FLW210" s="2"/>
      <c r="FLX210" s="2"/>
      <c r="FLY210" s="2"/>
      <c r="FLZ210" s="2"/>
      <c r="FMA210" s="2"/>
      <c r="FMB210" s="2"/>
      <c r="FMC210" s="2"/>
      <c r="FMD210" s="2"/>
      <c r="FME210" s="2"/>
      <c r="FMF210" s="2"/>
      <c r="FMG210" s="2"/>
      <c r="FMH210" s="2"/>
      <c r="FMI210" s="2"/>
      <c r="FMJ210" s="2"/>
      <c r="FMK210" s="2"/>
      <c r="FML210" s="2"/>
      <c r="FMM210" s="2"/>
      <c r="FMN210" s="2"/>
      <c r="FMO210" s="2"/>
      <c r="FMP210" s="2"/>
      <c r="FMQ210" s="2"/>
      <c r="FMR210" s="2"/>
      <c r="FMS210" s="2"/>
      <c r="FMT210" s="2"/>
      <c r="FMU210" s="2"/>
      <c r="FMV210" s="2"/>
      <c r="FMW210" s="2"/>
      <c r="FMX210" s="2"/>
      <c r="FMY210" s="2"/>
      <c r="FMZ210" s="2"/>
      <c r="FNA210" s="2"/>
      <c r="FNB210" s="2"/>
      <c r="FNC210" s="2"/>
      <c r="FND210" s="2"/>
      <c r="FNE210" s="2"/>
      <c r="FNF210" s="2"/>
      <c r="FNG210" s="2"/>
      <c r="FNH210" s="2"/>
      <c r="FNI210" s="2"/>
      <c r="FNJ210" s="2"/>
      <c r="FNK210" s="2"/>
      <c r="FNL210" s="2"/>
      <c r="FNM210" s="2"/>
      <c r="FNN210" s="2"/>
      <c r="FNO210" s="2"/>
      <c r="FNP210" s="2"/>
      <c r="FNQ210" s="2"/>
      <c r="FNR210" s="2"/>
      <c r="FNS210" s="2"/>
      <c r="FNT210" s="2"/>
      <c r="FNU210" s="2"/>
      <c r="FNV210" s="2"/>
      <c r="FNW210" s="2"/>
      <c r="FNX210" s="2"/>
      <c r="FNY210" s="2"/>
      <c r="FNZ210" s="2"/>
      <c r="FOA210" s="2"/>
      <c r="FOB210" s="2"/>
      <c r="FOC210" s="2"/>
      <c r="FOD210" s="2"/>
      <c r="FOE210" s="2"/>
      <c r="FOF210" s="2"/>
      <c r="FOG210" s="2"/>
      <c r="FOH210" s="2"/>
      <c r="FOI210" s="2"/>
      <c r="FOJ210" s="2"/>
      <c r="FOK210" s="2"/>
      <c r="FOL210" s="2"/>
      <c r="FOM210" s="2"/>
      <c r="FON210" s="2"/>
      <c r="FOO210" s="2"/>
      <c r="FOP210" s="2"/>
      <c r="FOQ210" s="2"/>
      <c r="FOR210" s="2"/>
      <c r="FOS210" s="2"/>
      <c r="FOT210" s="2"/>
      <c r="FOU210" s="2"/>
      <c r="FOV210" s="2"/>
      <c r="FOW210" s="2"/>
      <c r="FOX210" s="2"/>
      <c r="FOY210" s="2"/>
      <c r="FOZ210" s="2"/>
      <c r="FPA210" s="2"/>
      <c r="FPB210" s="2"/>
      <c r="FPC210" s="2"/>
      <c r="FPD210" s="2"/>
      <c r="FPE210" s="2"/>
      <c r="FPF210" s="2"/>
      <c r="FPG210" s="2"/>
      <c r="FPH210" s="2"/>
      <c r="FPI210" s="2"/>
      <c r="FPJ210" s="2"/>
      <c r="FPK210" s="2"/>
      <c r="FPL210" s="2"/>
      <c r="FPM210" s="2"/>
      <c r="FPN210" s="2"/>
      <c r="FPO210" s="2"/>
      <c r="FPP210" s="2"/>
      <c r="FPQ210" s="2"/>
      <c r="FPR210" s="2"/>
      <c r="FPS210" s="2"/>
      <c r="FPT210" s="2"/>
      <c r="FPU210" s="2"/>
      <c r="FPV210" s="2"/>
      <c r="FPW210" s="2"/>
      <c r="FPX210" s="2"/>
      <c r="FPY210" s="2"/>
      <c r="FPZ210" s="2"/>
      <c r="FQA210" s="2"/>
      <c r="FQB210" s="2"/>
      <c r="FQC210" s="2"/>
      <c r="FQD210" s="2"/>
      <c r="FQE210" s="2"/>
      <c r="FQF210" s="2"/>
      <c r="FQG210" s="2"/>
      <c r="FQH210" s="2"/>
      <c r="FQI210" s="2"/>
      <c r="FQJ210" s="2"/>
      <c r="FQK210" s="2"/>
      <c r="FQL210" s="2"/>
      <c r="FQM210" s="2"/>
      <c r="FQN210" s="2"/>
      <c r="FQO210" s="2"/>
      <c r="FQP210" s="2"/>
      <c r="FQQ210" s="2"/>
      <c r="FQR210" s="2"/>
      <c r="FQS210" s="2"/>
      <c r="FQT210" s="2"/>
      <c r="FQU210" s="2"/>
      <c r="FQV210" s="2"/>
      <c r="FQW210" s="2"/>
      <c r="FQX210" s="2"/>
      <c r="FQY210" s="2"/>
      <c r="FQZ210" s="2"/>
      <c r="FRA210" s="2"/>
      <c r="FRB210" s="2"/>
      <c r="FRC210" s="2"/>
      <c r="FRD210" s="2"/>
      <c r="FRE210" s="2"/>
      <c r="FRF210" s="2"/>
      <c r="FRG210" s="2"/>
      <c r="FRH210" s="2"/>
      <c r="FRI210" s="2"/>
      <c r="FRJ210" s="2"/>
      <c r="FRK210" s="2"/>
      <c r="FRL210" s="2"/>
      <c r="FRM210" s="2"/>
      <c r="FRN210" s="2"/>
      <c r="FRO210" s="2"/>
      <c r="FRP210" s="2"/>
      <c r="FRQ210" s="2"/>
      <c r="FRR210" s="2"/>
      <c r="FRS210" s="2"/>
      <c r="FRT210" s="2"/>
      <c r="FRU210" s="2"/>
      <c r="FRV210" s="2"/>
      <c r="FRW210" s="2"/>
      <c r="FRX210" s="2"/>
      <c r="FRY210" s="2"/>
      <c r="FRZ210" s="2"/>
      <c r="FSA210" s="2"/>
      <c r="FSB210" s="2"/>
      <c r="FSC210" s="2"/>
      <c r="FSD210" s="2"/>
      <c r="FSE210" s="2"/>
      <c r="FSF210" s="2"/>
      <c r="FSG210" s="2"/>
      <c r="FSH210" s="2"/>
      <c r="FSI210" s="2"/>
      <c r="FSJ210" s="2"/>
      <c r="FSK210" s="2"/>
      <c r="FSL210" s="2"/>
      <c r="FSM210" s="2"/>
      <c r="FSN210" s="2"/>
      <c r="FSO210" s="2"/>
      <c r="FSP210" s="2"/>
      <c r="FSQ210" s="2"/>
      <c r="FSR210" s="2"/>
      <c r="FSS210" s="2"/>
      <c r="FST210" s="2"/>
      <c r="FSU210" s="2"/>
      <c r="FSV210" s="2"/>
      <c r="FSW210" s="2"/>
      <c r="FSX210" s="2"/>
      <c r="FSY210" s="2"/>
      <c r="FSZ210" s="2"/>
      <c r="FTA210" s="2"/>
      <c r="FTB210" s="2"/>
      <c r="FTC210" s="2"/>
      <c r="FTD210" s="2"/>
      <c r="FTE210" s="2"/>
      <c r="FTF210" s="2"/>
      <c r="FTG210" s="2"/>
      <c r="FTH210" s="2"/>
      <c r="FTI210" s="2"/>
      <c r="FTJ210" s="2"/>
      <c r="FTK210" s="2"/>
      <c r="FTL210" s="2"/>
      <c r="FTM210" s="2"/>
      <c r="FTN210" s="2"/>
      <c r="FTO210" s="2"/>
      <c r="FTP210" s="2"/>
      <c r="FTQ210" s="2"/>
      <c r="FTR210" s="2"/>
      <c r="FTS210" s="2"/>
      <c r="FTT210" s="2"/>
      <c r="FTU210" s="2"/>
      <c r="FTV210" s="2"/>
      <c r="FTW210" s="2"/>
      <c r="FTX210" s="2"/>
      <c r="FTY210" s="2"/>
      <c r="FTZ210" s="2"/>
      <c r="FUA210" s="2"/>
      <c r="FUB210" s="2"/>
      <c r="FUC210" s="2"/>
      <c r="FUD210" s="2"/>
      <c r="FUE210" s="2"/>
      <c r="FUF210" s="2"/>
      <c r="FUG210" s="2"/>
      <c r="FUH210" s="2"/>
      <c r="FUI210" s="2"/>
      <c r="FUJ210" s="2"/>
      <c r="FUK210" s="2"/>
      <c r="FUL210" s="2"/>
      <c r="FUM210" s="2"/>
      <c r="FUN210" s="2"/>
      <c r="FUO210" s="2"/>
      <c r="FUP210" s="2"/>
      <c r="FUQ210" s="2"/>
      <c r="FUR210" s="2"/>
      <c r="FUS210" s="2"/>
      <c r="FUT210" s="2"/>
      <c r="FUU210" s="2"/>
      <c r="FUV210" s="2"/>
      <c r="FUW210" s="2"/>
      <c r="FUX210" s="2"/>
      <c r="FUY210" s="2"/>
      <c r="FUZ210" s="2"/>
      <c r="FVA210" s="2"/>
      <c r="FVB210" s="2"/>
      <c r="FVC210" s="2"/>
      <c r="FVD210" s="2"/>
      <c r="FVE210" s="2"/>
      <c r="FVF210" s="2"/>
      <c r="FVG210" s="2"/>
      <c r="FVH210" s="2"/>
      <c r="FVI210" s="2"/>
      <c r="FVJ210" s="2"/>
      <c r="FVK210" s="2"/>
      <c r="FVL210" s="2"/>
      <c r="FVM210" s="2"/>
      <c r="FVN210" s="2"/>
      <c r="FVO210" s="2"/>
      <c r="FVP210" s="2"/>
      <c r="FVQ210" s="2"/>
      <c r="FVR210" s="2"/>
      <c r="FVS210" s="2"/>
      <c r="FVT210" s="2"/>
      <c r="FVU210" s="2"/>
      <c r="FVV210" s="2"/>
      <c r="FVW210" s="2"/>
      <c r="FVX210" s="2"/>
      <c r="FVY210" s="2"/>
      <c r="FVZ210" s="2"/>
      <c r="FWA210" s="2"/>
      <c r="FWB210" s="2"/>
      <c r="FWC210" s="2"/>
      <c r="FWD210" s="2"/>
      <c r="FWE210" s="2"/>
      <c r="FWF210" s="2"/>
      <c r="FWG210" s="2"/>
      <c r="FWH210" s="2"/>
      <c r="FWI210" s="2"/>
      <c r="FWJ210" s="2"/>
      <c r="FWK210" s="2"/>
      <c r="FWL210" s="2"/>
      <c r="FWM210" s="2"/>
      <c r="FWN210" s="2"/>
      <c r="FWO210" s="2"/>
      <c r="FWP210" s="2"/>
      <c r="FWQ210" s="2"/>
      <c r="FWR210" s="2"/>
      <c r="FWS210" s="2"/>
      <c r="FWT210" s="2"/>
      <c r="FWU210" s="2"/>
      <c r="FWV210" s="2"/>
      <c r="FWW210" s="2"/>
      <c r="FWX210" s="2"/>
      <c r="FWY210" s="2"/>
      <c r="FWZ210" s="2"/>
      <c r="FXA210" s="2"/>
      <c r="FXB210" s="2"/>
      <c r="FXC210" s="2"/>
      <c r="FXD210" s="2"/>
      <c r="FXE210" s="2"/>
      <c r="FXF210" s="2"/>
      <c r="FXG210" s="2"/>
      <c r="FXH210" s="2"/>
      <c r="FXI210" s="2"/>
      <c r="FXJ210" s="2"/>
      <c r="FXK210" s="2"/>
      <c r="FXL210" s="2"/>
      <c r="FXM210" s="2"/>
      <c r="FXN210" s="2"/>
      <c r="FXO210" s="2"/>
      <c r="FXP210" s="2"/>
      <c r="FXQ210" s="2"/>
      <c r="FXR210" s="2"/>
      <c r="FXS210" s="2"/>
      <c r="FXT210" s="2"/>
      <c r="FXU210" s="2"/>
      <c r="FXV210" s="2"/>
      <c r="FXW210" s="2"/>
      <c r="FXX210" s="2"/>
      <c r="FXY210" s="2"/>
      <c r="FXZ210" s="2"/>
      <c r="FYA210" s="2"/>
      <c r="FYB210" s="2"/>
      <c r="FYC210" s="2"/>
      <c r="FYD210" s="2"/>
      <c r="FYE210" s="2"/>
      <c r="FYF210" s="2"/>
      <c r="FYG210" s="2"/>
      <c r="FYH210" s="2"/>
      <c r="FYI210" s="2"/>
      <c r="FYJ210" s="2"/>
      <c r="FYK210" s="2"/>
      <c r="FYL210" s="2"/>
      <c r="FYM210" s="2"/>
      <c r="FYN210" s="2"/>
      <c r="FYO210" s="2"/>
      <c r="FYP210" s="2"/>
      <c r="FYQ210" s="2"/>
      <c r="FYR210" s="2"/>
      <c r="FYS210" s="2"/>
      <c r="FYT210" s="2"/>
      <c r="FYU210" s="2"/>
      <c r="FYV210" s="2"/>
      <c r="FYW210" s="2"/>
      <c r="FYX210" s="2"/>
      <c r="FYY210" s="2"/>
      <c r="FYZ210" s="2"/>
      <c r="FZA210" s="2"/>
      <c r="FZB210" s="2"/>
      <c r="FZC210" s="2"/>
      <c r="FZD210" s="2"/>
      <c r="FZE210" s="2"/>
      <c r="FZF210" s="2"/>
      <c r="FZG210" s="2"/>
      <c r="FZH210" s="2"/>
      <c r="FZI210" s="2"/>
      <c r="FZJ210" s="2"/>
      <c r="FZK210" s="2"/>
      <c r="FZL210" s="2"/>
      <c r="FZM210" s="2"/>
      <c r="FZN210" s="2"/>
      <c r="FZO210" s="2"/>
      <c r="FZP210" s="2"/>
      <c r="FZQ210" s="2"/>
      <c r="FZR210" s="2"/>
      <c r="FZS210" s="2"/>
      <c r="FZT210" s="2"/>
      <c r="FZU210" s="2"/>
      <c r="FZV210" s="2"/>
      <c r="FZW210" s="2"/>
      <c r="FZX210" s="2"/>
      <c r="FZY210" s="2"/>
      <c r="FZZ210" s="2"/>
      <c r="GAA210" s="2"/>
      <c r="GAB210" s="2"/>
      <c r="GAC210" s="2"/>
      <c r="GAD210" s="2"/>
      <c r="GAE210" s="2"/>
      <c r="GAF210" s="2"/>
      <c r="GAG210" s="2"/>
      <c r="GAH210" s="2"/>
      <c r="GAI210" s="2"/>
      <c r="GAJ210" s="2"/>
      <c r="GAK210" s="2"/>
      <c r="GAL210" s="2"/>
      <c r="GAM210" s="2"/>
      <c r="GAN210" s="2"/>
      <c r="GAO210" s="2"/>
      <c r="GAP210" s="2"/>
      <c r="GAQ210" s="2"/>
      <c r="GAR210" s="2"/>
      <c r="GAS210" s="2"/>
      <c r="GAT210" s="2"/>
      <c r="GAU210" s="2"/>
      <c r="GAV210" s="2"/>
      <c r="GAW210" s="2"/>
      <c r="GAX210" s="2"/>
      <c r="GAY210" s="2"/>
      <c r="GAZ210" s="2"/>
      <c r="GBA210" s="2"/>
      <c r="GBB210" s="2"/>
      <c r="GBC210" s="2"/>
      <c r="GBD210" s="2"/>
      <c r="GBE210" s="2"/>
      <c r="GBF210" s="2"/>
      <c r="GBG210" s="2"/>
      <c r="GBH210" s="2"/>
      <c r="GBI210" s="2"/>
      <c r="GBJ210" s="2"/>
      <c r="GBK210" s="2"/>
      <c r="GBL210" s="2"/>
      <c r="GBM210" s="2"/>
      <c r="GBN210" s="2"/>
      <c r="GBO210" s="2"/>
      <c r="GBP210" s="2"/>
      <c r="GBQ210" s="2"/>
      <c r="GBR210" s="2"/>
      <c r="GBS210" s="2"/>
      <c r="GBT210" s="2"/>
      <c r="GBU210" s="2"/>
      <c r="GBV210" s="2"/>
      <c r="GBW210" s="2"/>
      <c r="GBX210" s="2"/>
      <c r="GBY210" s="2"/>
      <c r="GBZ210" s="2"/>
      <c r="GCA210" s="2"/>
      <c r="GCB210" s="2"/>
      <c r="GCC210" s="2"/>
      <c r="GCD210" s="2"/>
      <c r="GCE210" s="2"/>
      <c r="GCF210" s="2"/>
      <c r="GCG210" s="2"/>
      <c r="GCH210" s="2"/>
      <c r="GCI210" s="2"/>
      <c r="GCJ210" s="2"/>
      <c r="GCK210" s="2"/>
      <c r="GCL210" s="2"/>
      <c r="GCM210" s="2"/>
      <c r="GCN210" s="2"/>
      <c r="GCO210" s="2"/>
      <c r="GCP210" s="2"/>
      <c r="GCQ210" s="2"/>
      <c r="GCR210" s="2"/>
      <c r="GCS210" s="2"/>
      <c r="GCT210" s="2"/>
      <c r="GCU210" s="2"/>
      <c r="GCV210" s="2"/>
      <c r="GCW210" s="2"/>
      <c r="GCX210" s="2"/>
      <c r="GCY210" s="2"/>
      <c r="GCZ210" s="2"/>
      <c r="GDA210" s="2"/>
      <c r="GDB210" s="2"/>
      <c r="GDC210" s="2"/>
      <c r="GDD210" s="2"/>
      <c r="GDE210" s="2"/>
      <c r="GDF210" s="2"/>
      <c r="GDG210" s="2"/>
      <c r="GDH210" s="2"/>
      <c r="GDI210" s="2"/>
      <c r="GDJ210" s="2"/>
      <c r="GDK210" s="2"/>
      <c r="GDL210" s="2"/>
      <c r="GDM210" s="2"/>
      <c r="GDN210" s="2"/>
      <c r="GDO210" s="2"/>
      <c r="GDP210" s="2"/>
      <c r="GDQ210" s="2"/>
      <c r="GDR210" s="2"/>
      <c r="GDS210" s="2"/>
      <c r="GDT210" s="2"/>
      <c r="GDU210" s="2"/>
      <c r="GDV210" s="2"/>
      <c r="GDW210" s="2"/>
      <c r="GDX210" s="2"/>
      <c r="GDY210" s="2"/>
      <c r="GDZ210" s="2"/>
      <c r="GEA210" s="2"/>
      <c r="GEB210" s="2"/>
      <c r="GEC210" s="2"/>
      <c r="GED210" s="2"/>
      <c r="GEE210" s="2"/>
      <c r="GEF210" s="2"/>
      <c r="GEG210" s="2"/>
      <c r="GEH210" s="2"/>
      <c r="GEI210" s="2"/>
      <c r="GEJ210" s="2"/>
      <c r="GEK210" s="2"/>
      <c r="GEL210" s="2"/>
      <c r="GEM210" s="2"/>
      <c r="GEN210" s="2"/>
      <c r="GEO210" s="2"/>
      <c r="GEP210" s="2"/>
      <c r="GEQ210" s="2"/>
      <c r="GER210" s="2"/>
      <c r="GES210" s="2"/>
      <c r="GET210" s="2"/>
      <c r="GEU210" s="2"/>
      <c r="GEV210" s="2"/>
      <c r="GEW210" s="2"/>
      <c r="GEX210" s="2"/>
      <c r="GEY210" s="2"/>
      <c r="GEZ210" s="2"/>
      <c r="GFA210" s="2"/>
      <c r="GFB210" s="2"/>
      <c r="GFC210" s="2"/>
      <c r="GFD210" s="2"/>
      <c r="GFE210" s="2"/>
      <c r="GFF210" s="2"/>
      <c r="GFG210" s="2"/>
      <c r="GFH210" s="2"/>
      <c r="GFI210" s="2"/>
      <c r="GFJ210" s="2"/>
      <c r="GFK210" s="2"/>
      <c r="GFL210" s="2"/>
      <c r="GFM210" s="2"/>
      <c r="GFN210" s="2"/>
      <c r="GFO210" s="2"/>
      <c r="GFP210" s="2"/>
      <c r="GFQ210" s="2"/>
      <c r="GFR210" s="2"/>
      <c r="GFS210" s="2"/>
      <c r="GFT210" s="2"/>
      <c r="GFU210" s="2"/>
      <c r="GFV210" s="2"/>
      <c r="GFW210" s="2"/>
      <c r="GFX210" s="2"/>
      <c r="GFY210" s="2"/>
      <c r="GFZ210" s="2"/>
      <c r="GGA210" s="2"/>
      <c r="GGB210" s="2"/>
      <c r="GGC210" s="2"/>
      <c r="GGD210" s="2"/>
      <c r="GGE210" s="2"/>
      <c r="GGF210" s="2"/>
      <c r="GGG210" s="2"/>
      <c r="GGH210" s="2"/>
      <c r="GGI210" s="2"/>
      <c r="GGJ210" s="2"/>
      <c r="GGK210" s="2"/>
      <c r="GGL210" s="2"/>
      <c r="GGM210" s="2"/>
      <c r="GGN210" s="2"/>
      <c r="GGO210" s="2"/>
      <c r="GGP210" s="2"/>
      <c r="GGQ210" s="2"/>
      <c r="GGR210" s="2"/>
      <c r="GGS210" s="2"/>
      <c r="GGT210" s="2"/>
      <c r="GGU210" s="2"/>
      <c r="GGV210" s="2"/>
      <c r="GGW210" s="2"/>
      <c r="GGX210" s="2"/>
      <c r="GGY210" s="2"/>
      <c r="GGZ210" s="2"/>
      <c r="GHA210" s="2"/>
      <c r="GHB210" s="2"/>
      <c r="GHC210" s="2"/>
      <c r="GHD210" s="2"/>
      <c r="GHE210" s="2"/>
      <c r="GHF210" s="2"/>
      <c r="GHG210" s="2"/>
      <c r="GHH210" s="2"/>
      <c r="GHI210" s="2"/>
      <c r="GHJ210" s="2"/>
      <c r="GHK210" s="2"/>
      <c r="GHL210" s="2"/>
      <c r="GHM210" s="2"/>
      <c r="GHN210" s="2"/>
      <c r="GHO210" s="2"/>
      <c r="GHP210" s="2"/>
      <c r="GHQ210" s="2"/>
      <c r="GHR210" s="2"/>
      <c r="GHS210" s="2"/>
      <c r="GHT210" s="2"/>
      <c r="GHU210" s="2"/>
      <c r="GHV210" s="2"/>
      <c r="GHW210" s="2"/>
      <c r="GHX210" s="2"/>
      <c r="GHY210" s="2"/>
      <c r="GHZ210" s="2"/>
      <c r="GIA210" s="2"/>
      <c r="GIB210" s="2"/>
      <c r="GIC210" s="2"/>
      <c r="GID210" s="2"/>
      <c r="GIE210" s="2"/>
      <c r="GIF210" s="2"/>
      <c r="GIG210" s="2"/>
      <c r="GIH210" s="2"/>
      <c r="GII210" s="2"/>
      <c r="GIJ210" s="2"/>
      <c r="GIK210" s="2"/>
      <c r="GIL210" s="2"/>
      <c r="GIM210" s="2"/>
      <c r="GIN210" s="2"/>
      <c r="GIO210" s="2"/>
      <c r="GIP210" s="2"/>
      <c r="GIQ210" s="2"/>
      <c r="GIR210" s="2"/>
      <c r="GIS210" s="2"/>
      <c r="GIT210" s="2"/>
      <c r="GIU210" s="2"/>
      <c r="GIV210" s="2"/>
      <c r="GIW210" s="2"/>
      <c r="GIX210" s="2"/>
      <c r="GIY210" s="2"/>
      <c r="GIZ210" s="2"/>
      <c r="GJA210" s="2"/>
      <c r="GJB210" s="2"/>
      <c r="GJC210" s="2"/>
      <c r="GJD210" s="2"/>
      <c r="GJE210" s="2"/>
      <c r="GJF210" s="2"/>
      <c r="GJG210" s="2"/>
      <c r="GJH210" s="2"/>
      <c r="GJI210" s="2"/>
      <c r="GJJ210" s="2"/>
      <c r="GJK210" s="2"/>
      <c r="GJL210" s="2"/>
      <c r="GJM210" s="2"/>
      <c r="GJN210" s="2"/>
      <c r="GJO210" s="2"/>
      <c r="GJP210" s="2"/>
      <c r="GJQ210" s="2"/>
      <c r="GJR210" s="2"/>
      <c r="GJS210" s="2"/>
      <c r="GJT210" s="2"/>
      <c r="GJU210" s="2"/>
      <c r="GJV210" s="2"/>
      <c r="GJW210" s="2"/>
      <c r="GJX210" s="2"/>
      <c r="GJY210" s="2"/>
      <c r="GJZ210" s="2"/>
      <c r="GKA210" s="2"/>
      <c r="GKB210" s="2"/>
      <c r="GKC210" s="2"/>
      <c r="GKD210" s="2"/>
      <c r="GKE210" s="2"/>
      <c r="GKF210" s="2"/>
      <c r="GKG210" s="2"/>
      <c r="GKH210" s="2"/>
      <c r="GKI210" s="2"/>
      <c r="GKJ210" s="2"/>
      <c r="GKK210" s="2"/>
      <c r="GKL210" s="2"/>
      <c r="GKM210" s="2"/>
      <c r="GKN210" s="2"/>
      <c r="GKO210" s="2"/>
      <c r="GKP210" s="2"/>
      <c r="GKQ210" s="2"/>
      <c r="GKR210" s="2"/>
      <c r="GKS210" s="2"/>
      <c r="GKT210" s="2"/>
      <c r="GKU210" s="2"/>
      <c r="GKV210" s="2"/>
      <c r="GKW210" s="2"/>
      <c r="GKX210" s="2"/>
      <c r="GKY210" s="2"/>
      <c r="GKZ210" s="2"/>
      <c r="GLA210" s="2"/>
      <c r="GLB210" s="2"/>
      <c r="GLC210" s="2"/>
      <c r="GLD210" s="2"/>
      <c r="GLE210" s="2"/>
      <c r="GLF210" s="2"/>
      <c r="GLG210" s="2"/>
      <c r="GLH210" s="2"/>
      <c r="GLI210" s="2"/>
      <c r="GLJ210" s="2"/>
      <c r="GLK210" s="2"/>
      <c r="GLL210" s="2"/>
      <c r="GLM210" s="2"/>
      <c r="GLN210" s="2"/>
      <c r="GLO210" s="2"/>
      <c r="GLP210" s="2"/>
      <c r="GLQ210" s="2"/>
      <c r="GLR210" s="2"/>
      <c r="GLS210" s="2"/>
      <c r="GLT210" s="2"/>
      <c r="GLU210" s="2"/>
      <c r="GLV210" s="2"/>
      <c r="GLW210" s="2"/>
      <c r="GLX210" s="2"/>
      <c r="GLY210" s="2"/>
      <c r="GLZ210" s="2"/>
      <c r="GMA210" s="2"/>
      <c r="GMB210" s="2"/>
      <c r="GMC210" s="2"/>
      <c r="GMD210" s="2"/>
      <c r="GME210" s="2"/>
      <c r="GMF210" s="2"/>
      <c r="GMG210" s="2"/>
      <c r="GMH210" s="2"/>
      <c r="GMI210" s="2"/>
      <c r="GMJ210" s="2"/>
      <c r="GMK210" s="2"/>
      <c r="GML210" s="2"/>
      <c r="GMM210" s="2"/>
      <c r="GMN210" s="2"/>
      <c r="GMO210" s="2"/>
      <c r="GMP210" s="2"/>
      <c r="GMQ210" s="2"/>
      <c r="GMR210" s="2"/>
      <c r="GMS210" s="2"/>
      <c r="GMT210" s="2"/>
      <c r="GMU210" s="2"/>
      <c r="GMV210" s="2"/>
      <c r="GMW210" s="2"/>
      <c r="GMX210" s="2"/>
      <c r="GMY210" s="2"/>
      <c r="GMZ210" s="2"/>
      <c r="GNA210" s="2"/>
      <c r="GNB210" s="2"/>
      <c r="GNC210" s="2"/>
      <c r="GND210" s="2"/>
      <c r="GNE210" s="2"/>
      <c r="GNF210" s="2"/>
      <c r="GNG210" s="2"/>
      <c r="GNH210" s="2"/>
      <c r="GNI210" s="2"/>
      <c r="GNJ210" s="2"/>
      <c r="GNK210" s="2"/>
      <c r="GNL210" s="2"/>
      <c r="GNM210" s="2"/>
      <c r="GNN210" s="2"/>
      <c r="GNO210" s="2"/>
      <c r="GNP210" s="2"/>
      <c r="GNQ210" s="2"/>
      <c r="GNR210" s="2"/>
      <c r="GNS210" s="2"/>
      <c r="GNT210" s="2"/>
      <c r="GNU210" s="2"/>
      <c r="GNV210" s="2"/>
      <c r="GNW210" s="2"/>
      <c r="GNX210" s="2"/>
      <c r="GNY210" s="2"/>
      <c r="GNZ210" s="2"/>
      <c r="GOA210" s="2"/>
      <c r="GOB210" s="2"/>
      <c r="GOC210" s="2"/>
      <c r="GOD210" s="2"/>
      <c r="GOE210" s="2"/>
      <c r="GOF210" s="2"/>
      <c r="GOG210" s="2"/>
      <c r="GOH210" s="2"/>
      <c r="GOI210" s="2"/>
      <c r="GOJ210" s="2"/>
      <c r="GOK210" s="2"/>
      <c r="GOL210" s="2"/>
      <c r="GOM210" s="2"/>
      <c r="GON210" s="2"/>
      <c r="GOO210" s="2"/>
      <c r="GOP210" s="2"/>
      <c r="GOQ210" s="2"/>
      <c r="GOR210" s="2"/>
      <c r="GOS210" s="2"/>
      <c r="GOT210" s="2"/>
      <c r="GOU210" s="2"/>
      <c r="GOV210" s="2"/>
      <c r="GOW210" s="2"/>
      <c r="GOX210" s="2"/>
      <c r="GOY210" s="2"/>
      <c r="GOZ210" s="2"/>
      <c r="GPA210" s="2"/>
      <c r="GPB210" s="2"/>
      <c r="GPC210" s="2"/>
      <c r="GPD210" s="2"/>
      <c r="GPE210" s="2"/>
      <c r="GPF210" s="2"/>
      <c r="GPG210" s="2"/>
      <c r="GPH210" s="2"/>
      <c r="GPI210" s="2"/>
      <c r="GPJ210" s="2"/>
      <c r="GPK210" s="2"/>
      <c r="GPL210" s="2"/>
      <c r="GPM210" s="2"/>
      <c r="GPN210" s="2"/>
      <c r="GPO210" s="2"/>
      <c r="GPP210" s="2"/>
      <c r="GPQ210" s="2"/>
      <c r="GPR210" s="2"/>
      <c r="GPS210" s="2"/>
      <c r="GPT210" s="2"/>
      <c r="GPU210" s="2"/>
      <c r="GPV210" s="2"/>
      <c r="GPW210" s="2"/>
      <c r="GPX210" s="2"/>
      <c r="GPY210" s="2"/>
      <c r="GPZ210" s="2"/>
      <c r="GQA210" s="2"/>
      <c r="GQB210" s="2"/>
      <c r="GQC210" s="2"/>
      <c r="GQD210" s="2"/>
      <c r="GQE210" s="2"/>
      <c r="GQF210" s="2"/>
      <c r="GQG210" s="2"/>
      <c r="GQH210" s="2"/>
      <c r="GQI210" s="2"/>
      <c r="GQJ210" s="2"/>
      <c r="GQK210" s="2"/>
      <c r="GQL210" s="2"/>
      <c r="GQM210" s="2"/>
      <c r="GQN210" s="2"/>
      <c r="GQO210" s="2"/>
      <c r="GQP210" s="2"/>
      <c r="GQQ210" s="2"/>
      <c r="GQR210" s="2"/>
      <c r="GQS210" s="2"/>
      <c r="GQT210" s="2"/>
      <c r="GQU210" s="2"/>
      <c r="GQV210" s="2"/>
      <c r="GQW210" s="2"/>
      <c r="GQX210" s="2"/>
      <c r="GQY210" s="2"/>
      <c r="GQZ210" s="2"/>
      <c r="GRA210" s="2"/>
      <c r="GRB210" s="2"/>
      <c r="GRC210" s="2"/>
      <c r="GRD210" s="2"/>
      <c r="GRE210" s="2"/>
      <c r="GRF210" s="2"/>
      <c r="GRG210" s="2"/>
      <c r="GRH210" s="2"/>
      <c r="GRI210" s="2"/>
      <c r="GRJ210" s="2"/>
      <c r="GRK210" s="2"/>
      <c r="GRL210" s="2"/>
      <c r="GRM210" s="2"/>
      <c r="GRN210" s="2"/>
      <c r="GRO210" s="2"/>
      <c r="GRP210" s="2"/>
      <c r="GRQ210" s="2"/>
      <c r="GRR210" s="2"/>
      <c r="GRS210" s="2"/>
      <c r="GRT210" s="2"/>
      <c r="GRU210" s="2"/>
      <c r="GRV210" s="2"/>
      <c r="GRW210" s="2"/>
      <c r="GRX210" s="2"/>
      <c r="GRY210" s="2"/>
      <c r="GRZ210" s="2"/>
      <c r="GSA210" s="2"/>
      <c r="GSB210" s="2"/>
      <c r="GSC210" s="2"/>
      <c r="GSD210" s="2"/>
      <c r="GSE210" s="2"/>
      <c r="GSF210" s="2"/>
      <c r="GSG210" s="2"/>
      <c r="GSH210" s="2"/>
      <c r="GSI210" s="2"/>
      <c r="GSJ210" s="2"/>
      <c r="GSK210" s="2"/>
      <c r="GSL210" s="2"/>
      <c r="GSM210" s="2"/>
      <c r="GSN210" s="2"/>
      <c r="GSO210" s="2"/>
      <c r="GSP210" s="2"/>
      <c r="GSQ210" s="2"/>
      <c r="GSR210" s="2"/>
      <c r="GSS210" s="2"/>
      <c r="GST210" s="2"/>
      <c r="GSU210" s="2"/>
      <c r="GSV210" s="2"/>
      <c r="GSW210" s="2"/>
      <c r="GSX210" s="2"/>
      <c r="GSY210" s="2"/>
      <c r="GSZ210" s="2"/>
      <c r="GTA210" s="2"/>
      <c r="GTB210" s="2"/>
      <c r="GTC210" s="2"/>
      <c r="GTD210" s="2"/>
      <c r="GTE210" s="2"/>
      <c r="GTF210" s="2"/>
      <c r="GTG210" s="2"/>
      <c r="GTH210" s="2"/>
      <c r="GTI210" s="2"/>
      <c r="GTJ210" s="2"/>
      <c r="GTK210" s="2"/>
      <c r="GTL210" s="2"/>
      <c r="GTM210" s="2"/>
      <c r="GTN210" s="2"/>
      <c r="GTO210" s="2"/>
      <c r="GTP210" s="2"/>
      <c r="GTQ210" s="2"/>
      <c r="GTR210" s="2"/>
      <c r="GTS210" s="2"/>
      <c r="GTT210" s="2"/>
      <c r="GTU210" s="2"/>
      <c r="GTV210" s="2"/>
      <c r="GTW210" s="2"/>
      <c r="GTX210" s="2"/>
      <c r="GTY210" s="2"/>
      <c r="GTZ210" s="2"/>
      <c r="GUA210" s="2"/>
      <c r="GUB210" s="2"/>
      <c r="GUC210" s="2"/>
      <c r="GUD210" s="2"/>
      <c r="GUE210" s="2"/>
      <c r="GUF210" s="2"/>
      <c r="GUG210" s="2"/>
      <c r="GUH210" s="2"/>
      <c r="GUI210" s="2"/>
      <c r="GUJ210" s="2"/>
      <c r="GUK210" s="2"/>
      <c r="GUL210" s="2"/>
      <c r="GUM210" s="2"/>
      <c r="GUN210" s="2"/>
      <c r="GUO210" s="2"/>
      <c r="GUP210" s="2"/>
      <c r="GUQ210" s="2"/>
      <c r="GUR210" s="2"/>
      <c r="GUS210" s="2"/>
      <c r="GUT210" s="2"/>
      <c r="GUU210" s="2"/>
      <c r="GUV210" s="2"/>
      <c r="GUW210" s="2"/>
      <c r="GUX210" s="2"/>
      <c r="GUY210" s="2"/>
      <c r="GUZ210" s="2"/>
      <c r="GVA210" s="2"/>
      <c r="GVB210" s="2"/>
      <c r="GVC210" s="2"/>
      <c r="GVD210" s="2"/>
      <c r="GVE210" s="2"/>
      <c r="GVF210" s="2"/>
      <c r="GVG210" s="2"/>
      <c r="GVH210" s="2"/>
      <c r="GVI210" s="2"/>
      <c r="GVJ210" s="2"/>
      <c r="GVK210" s="2"/>
      <c r="GVL210" s="2"/>
      <c r="GVM210" s="2"/>
      <c r="GVN210" s="2"/>
      <c r="GVO210" s="2"/>
      <c r="GVP210" s="2"/>
      <c r="GVQ210" s="2"/>
      <c r="GVR210" s="2"/>
      <c r="GVS210" s="2"/>
      <c r="GVT210" s="2"/>
      <c r="GVU210" s="2"/>
      <c r="GVV210" s="2"/>
      <c r="GVW210" s="2"/>
      <c r="GVX210" s="2"/>
      <c r="GVY210" s="2"/>
      <c r="GVZ210" s="2"/>
      <c r="GWA210" s="2"/>
      <c r="GWB210" s="2"/>
      <c r="GWC210" s="2"/>
      <c r="GWD210" s="2"/>
      <c r="GWE210" s="2"/>
      <c r="GWF210" s="2"/>
      <c r="GWG210" s="2"/>
      <c r="GWH210" s="2"/>
      <c r="GWI210" s="2"/>
      <c r="GWJ210" s="2"/>
      <c r="GWK210" s="2"/>
      <c r="GWL210" s="2"/>
      <c r="GWM210" s="2"/>
      <c r="GWN210" s="2"/>
      <c r="GWO210" s="2"/>
      <c r="GWP210" s="2"/>
      <c r="GWQ210" s="2"/>
      <c r="GWR210" s="2"/>
      <c r="GWS210" s="2"/>
      <c r="GWT210" s="2"/>
      <c r="GWU210" s="2"/>
      <c r="GWV210" s="2"/>
      <c r="GWW210" s="2"/>
      <c r="GWX210" s="2"/>
      <c r="GWY210" s="2"/>
      <c r="GWZ210" s="2"/>
      <c r="GXA210" s="2"/>
      <c r="GXB210" s="2"/>
      <c r="GXC210" s="2"/>
      <c r="GXD210" s="2"/>
      <c r="GXE210" s="2"/>
      <c r="GXF210" s="2"/>
      <c r="GXG210" s="2"/>
      <c r="GXH210" s="2"/>
      <c r="GXI210" s="2"/>
      <c r="GXJ210" s="2"/>
      <c r="GXK210" s="2"/>
      <c r="GXL210" s="2"/>
      <c r="GXM210" s="2"/>
      <c r="GXN210" s="2"/>
      <c r="GXO210" s="2"/>
      <c r="GXP210" s="2"/>
      <c r="GXQ210" s="2"/>
      <c r="GXR210" s="2"/>
      <c r="GXS210" s="2"/>
      <c r="GXT210" s="2"/>
      <c r="GXU210" s="2"/>
      <c r="GXV210" s="2"/>
      <c r="GXW210" s="2"/>
      <c r="GXX210" s="2"/>
      <c r="GXY210" s="2"/>
      <c r="GXZ210" s="2"/>
      <c r="GYA210" s="2"/>
      <c r="GYB210" s="2"/>
      <c r="GYC210" s="2"/>
      <c r="GYD210" s="2"/>
      <c r="GYE210" s="2"/>
      <c r="GYF210" s="2"/>
      <c r="GYG210" s="2"/>
      <c r="GYH210" s="2"/>
      <c r="GYI210" s="2"/>
      <c r="GYJ210" s="2"/>
      <c r="GYK210" s="2"/>
      <c r="GYL210" s="2"/>
      <c r="GYM210" s="2"/>
      <c r="GYN210" s="2"/>
      <c r="GYO210" s="2"/>
      <c r="GYP210" s="2"/>
      <c r="GYQ210" s="2"/>
      <c r="GYR210" s="2"/>
      <c r="GYS210" s="2"/>
      <c r="GYT210" s="2"/>
      <c r="GYU210" s="2"/>
      <c r="GYV210" s="2"/>
      <c r="GYW210" s="2"/>
      <c r="GYX210" s="2"/>
      <c r="GYY210" s="2"/>
      <c r="GYZ210" s="2"/>
      <c r="GZA210" s="2"/>
      <c r="GZB210" s="2"/>
      <c r="GZC210" s="2"/>
      <c r="GZD210" s="2"/>
      <c r="GZE210" s="2"/>
      <c r="GZF210" s="2"/>
      <c r="GZG210" s="2"/>
      <c r="GZH210" s="2"/>
      <c r="GZI210" s="2"/>
      <c r="GZJ210" s="2"/>
      <c r="GZK210" s="2"/>
      <c r="GZL210" s="2"/>
      <c r="GZM210" s="2"/>
      <c r="GZN210" s="2"/>
      <c r="GZO210" s="2"/>
      <c r="GZP210" s="2"/>
      <c r="GZQ210" s="2"/>
      <c r="GZR210" s="2"/>
      <c r="GZS210" s="2"/>
      <c r="GZT210" s="2"/>
      <c r="GZU210" s="2"/>
      <c r="GZV210" s="2"/>
      <c r="GZW210" s="2"/>
      <c r="GZX210" s="2"/>
      <c r="GZY210" s="2"/>
      <c r="GZZ210" s="2"/>
      <c r="HAA210" s="2"/>
      <c r="HAB210" s="2"/>
      <c r="HAC210" s="2"/>
      <c r="HAD210" s="2"/>
      <c r="HAE210" s="2"/>
      <c r="HAF210" s="2"/>
      <c r="HAG210" s="2"/>
      <c r="HAH210" s="2"/>
      <c r="HAI210" s="2"/>
      <c r="HAJ210" s="2"/>
      <c r="HAK210" s="2"/>
      <c r="HAL210" s="2"/>
      <c r="HAM210" s="2"/>
      <c r="HAN210" s="2"/>
      <c r="HAO210" s="2"/>
      <c r="HAP210" s="2"/>
      <c r="HAQ210" s="2"/>
      <c r="HAR210" s="2"/>
      <c r="HAS210" s="2"/>
      <c r="HAT210" s="2"/>
      <c r="HAU210" s="2"/>
      <c r="HAV210" s="2"/>
      <c r="HAW210" s="2"/>
      <c r="HAX210" s="2"/>
      <c r="HAY210" s="2"/>
      <c r="HAZ210" s="2"/>
      <c r="HBA210" s="2"/>
      <c r="HBB210" s="2"/>
      <c r="HBC210" s="2"/>
      <c r="HBD210" s="2"/>
      <c r="HBE210" s="2"/>
      <c r="HBF210" s="2"/>
      <c r="HBG210" s="2"/>
      <c r="HBH210" s="2"/>
      <c r="HBI210" s="2"/>
      <c r="HBJ210" s="2"/>
      <c r="HBK210" s="2"/>
      <c r="HBL210" s="2"/>
      <c r="HBM210" s="2"/>
      <c r="HBN210" s="2"/>
      <c r="HBO210" s="2"/>
      <c r="HBP210" s="2"/>
      <c r="HBQ210" s="2"/>
      <c r="HBR210" s="2"/>
      <c r="HBS210" s="2"/>
      <c r="HBT210" s="2"/>
      <c r="HBU210" s="2"/>
      <c r="HBV210" s="2"/>
      <c r="HBW210" s="2"/>
      <c r="HBX210" s="2"/>
      <c r="HBY210" s="2"/>
      <c r="HBZ210" s="2"/>
      <c r="HCA210" s="2"/>
      <c r="HCB210" s="2"/>
      <c r="HCC210" s="2"/>
      <c r="HCD210" s="2"/>
      <c r="HCE210" s="2"/>
      <c r="HCF210" s="2"/>
      <c r="HCG210" s="2"/>
      <c r="HCH210" s="2"/>
      <c r="HCI210" s="2"/>
      <c r="HCJ210" s="2"/>
      <c r="HCK210" s="2"/>
      <c r="HCL210" s="2"/>
      <c r="HCM210" s="2"/>
      <c r="HCN210" s="2"/>
      <c r="HCO210" s="2"/>
      <c r="HCP210" s="2"/>
      <c r="HCQ210" s="2"/>
      <c r="HCR210" s="2"/>
      <c r="HCS210" s="2"/>
      <c r="HCT210" s="2"/>
      <c r="HCU210" s="2"/>
      <c r="HCV210" s="2"/>
      <c r="HCW210" s="2"/>
      <c r="HCX210" s="2"/>
      <c r="HCY210" s="2"/>
      <c r="HCZ210" s="2"/>
      <c r="HDA210" s="2"/>
      <c r="HDB210" s="2"/>
      <c r="HDC210" s="2"/>
      <c r="HDD210" s="2"/>
      <c r="HDE210" s="2"/>
      <c r="HDF210" s="2"/>
      <c r="HDG210" s="2"/>
      <c r="HDH210" s="2"/>
      <c r="HDI210" s="2"/>
      <c r="HDJ210" s="2"/>
      <c r="HDK210" s="2"/>
      <c r="HDL210" s="2"/>
      <c r="HDM210" s="2"/>
      <c r="HDN210" s="2"/>
      <c r="HDO210" s="2"/>
      <c r="HDP210" s="2"/>
      <c r="HDQ210" s="2"/>
      <c r="HDR210" s="2"/>
      <c r="HDS210" s="2"/>
      <c r="HDT210" s="2"/>
      <c r="HDU210" s="2"/>
      <c r="HDV210" s="2"/>
      <c r="HDW210" s="2"/>
      <c r="HDX210" s="2"/>
      <c r="HDY210" s="2"/>
      <c r="HDZ210" s="2"/>
      <c r="HEA210" s="2"/>
      <c r="HEB210" s="2"/>
      <c r="HEC210" s="2"/>
      <c r="HED210" s="2"/>
      <c r="HEE210" s="2"/>
      <c r="HEF210" s="2"/>
      <c r="HEG210" s="2"/>
      <c r="HEH210" s="2"/>
      <c r="HEI210" s="2"/>
      <c r="HEJ210" s="2"/>
      <c r="HEK210" s="2"/>
      <c r="HEL210" s="2"/>
      <c r="HEM210" s="2"/>
      <c r="HEN210" s="2"/>
      <c r="HEO210" s="2"/>
      <c r="HEP210" s="2"/>
      <c r="HEQ210" s="2"/>
      <c r="HER210" s="2"/>
      <c r="HES210" s="2"/>
      <c r="HET210" s="2"/>
      <c r="HEU210" s="2"/>
      <c r="HEV210" s="2"/>
      <c r="HEW210" s="2"/>
      <c r="HEX210" s="2"/>
      <c r="HEY210" s="2"/>
      <c r="HEZ210" s="2"/>
      <c r="HFA210" s="2"/>
      <c r="HFB210" s="2"/>
      <c r="HFC210" s="2"/>
      <c r="HFD210" s="2"/>
      <c r="HFE210" s="2"/>
      <c r="HFF210" s="2"/>
      <c r="HFG210" s="2"/>
      <c r="HFH210" s="2"/>
      <c r="HFI210" s="2"/>
      <c r="HFJ210" s="2"/>
      <c r="HFK210" s="2"/>
      <c r="HFL210" s="2"/>
      <c r="HFM210" s="2"/>
      <c r="HFN210" s="2"/>
      <c r="HFO210" s="2"/>
      <c r="HFP210" s="2"/>
      <c r="HFQ210" s="2"/>
      <c r="HFR210" s="2"/>
      <c r="HFS210" s="2"/>
      <c r="HFT210" s="2"/>
      <c r="HFU210" s="2"/>
      <c r="HFV210" s="2"/>
      <c r="HFW210" s="2"/>
      <c r="HFX210" s="2"/>
      <c r="HFY210" s="2"/>
      <c r="HFZ210" s="2"/>
      <c r="HGA210" s="2"/>
      <c r="HGB210" s="2"/>
      <c r="HGC210" s="2"/>
      <c r="HGD210" s="2"/>
      <c r="HGE210" s="2"/>
      <c r="HGF210" s="2"/>
      <c r="HGG210" s="2"/>
      <c r="HGH210" s="2"/>
      <c r="HGI210" s="2"/>
      <c r="HGJ210" s="2"/>
      <c r="HGK210" s="2"/>
      <c r="HGL210" s="2"/>
      <c r="HGM210" s="2"/>
      <c r="HGN210" s="2"/>
      <c r="HGO210" s="2"/>
      <c r="HGP210" s="2"/>
      <c r="HGQ210" s="2"/>
      <c r="HGR210" s="2"/>
      <c r="HGS210" s="2"/>
      <c r="HGT210" s="2"/>
      <c r="HGU210" s="2"/>
      <c r="HGV210" s="2"/>
      <c r="HGW210" s="2"/>
      <c r="HGX210" s="2"/>
      <c r="HGY210" s="2"/>
      <c r="HGZ210" s="2"/>
      <c r="HHA210" s="2"/>
      <c r="HHB210" s="2"/>
      <c r="HHC210" s="2"/>
      <c r="HHD210" s="2"/>
      <c r="HHE210" s="2"/>
      <c r="HHF210" s="2"/>
      <c r="HHG210" s="2"/>
      <c r="HHH210" s="2"/>
      <c r="HHI210" s="2"/>
      <c r="HHJ210" s="2"/>
      <c r="HHK210" s="2"/>
      <c r="HHL210" s="2"/>
      <c r="HHM210" s="2"/>
      <c r="HHN210" s="2"/>
      <c r="HHO210" s="2"/>
      <c r="HHP210" s="2"/>
      <c r="HHQ210" s="2"/>
      <c r="HHR210" s="2"/>
      <c r="HHS210" s="2"/>
      <c r="HHT210" s="2"/>
      <c r="HHU210" s="2"/>
      <c r="HHV210" s="2"/>
      <c r="HHW210" s="2"/>
      <c r="HHX210" s="2"/>
      <c r="HHY210" s="2"/>
      <c r="HHZ210" s="2"/>
      <c r="HIA210" s="2"/>
      <c r="HIB210" s="2"/>
      <c r="HIC210" s="2"/>
      <c r="HID210" s="2"/>
      <c r="HIE210" s="2"/>
      <c r="HIF210" s="2"/>
      <c r="HIG210" s="2"/>
      <c r="HIH210" s="2"/>
      <c r="HII210" s="2"/>
      <c r="HIJ210" s="2"/>
      <c r="HIK210" s="2"/>
      <c r="HIL210" s="2"/>
      <c r="HIM210" s="2"/>
      <c r="HIN210" s="2"/>
      <c r="HIO210" s="2"/>
      <c r="HIP210" s="2"/>
      <c r="HIQ210" s="2"/>
      <c r="HIR210" s="2"/>
      <c r="HIS210" s="2"/>
      <c r="HIT210" s="2"/>
      <c r="HIU210" s="2"/>
      <c r="HIV210" s="2"/>
      <c r="HIW210" s="2"/>
      <c r="HIX210" s="2"/>
      <c r="HIY210" s="2"/>
      <c r="HIZ210" s="2"/>
      <c r="HJA210" s="2"/>
      <c r="HJB210" s="2"/>
      <c r="HJC210" s="2"/>
      <c r="HJD210" s="2"/>
      <c r="HJE210" s="2"/>
      <c r="HJF210" s="2"/>
      <c r="HJG210" s="2"/>
      <c r="HJH210" s="2"/>
      <c r="HJI210" s="2"/>
      <c r="HJJ210" s="2"/>
      <c r="HJK210" s="2"/>
      <c r="HJL210" s="2"/>
      <c r="HJM210" s="2"/>
      <c r="HJN210" s="2"/>
      <c r="HJO210" s="2"/>
      <c r="HJP210" s="2"/>
      <c r="HJQ210" s="2"/>
      <c r="HJR210" s="2"/>
      <c r="HJS210" s="2"/>
      <c r="HJT210" s="2"/>
      <c r="HJU210" s="2"/>
      <c r="HJV210" s="2"/>
      <c r="HJW210" s="2"/>
      <c r="HJX210" s="2"/>
      <c r="HJY210" s="2"/>
      <c r="HJZ210" s="2"/>
      <c r="HKA210" s="2"/>
      <c r="HKB210" s="2"/>
      <c r="HKC210" s="2"/>
      <c r="HKD210" s="2"/>
      <c r="HKE210" s="2"/>
      <c r="HKF210" s="2"/>
      <c r="HKG210" s="2"/>
      <c r="HKH210" s="2"/>
      <c r="HKI210" s="2"/>
      <c r="HKJ210" s="2"/>
      <c r="HKK210" s="2"/>
      <c r="HKL210" s="2"/>
      <c r="HKM210" s="2"/>
      <c r="HKN210" s="2"/>
      <c r="HKO210" s="2"/>
      <c r="HKP210" s="2"/>
      <c r="HKQ210" s="2"/>
      <c r="HKR210" s="2"/>
      <c r="HKS210" s="2"/>
      <c r="HKT210" s="2"/>
      <c r="HKU210" s="2"/>
      <c r="HKV210" s="2"/>
      <c r="HKW210" s="2"/>
      <c r="HKX210" s="2"/>
      <c r="HKY210" s="2"/>
      <c r="HKZ210" s="2"/>
      <c r="HLA210" s="2"/>
      <c r="HLB210" s="2"/>
      <c r="HLC210" s="2"/>
      <c r="HLD210" s="2"/>
      <c r="HLE210" s="2"/>
      <c r="HLF210" s="2"/>
      <c r="HLG210" s="2"/>
      <c r="HLH210" s="2"/>
      <c r="HLI210" s="2"/>
      <c r="HLJ210" s="2"/>
      <c r="HLK210" s="2"/>
      <c r="HLL210" s="2"/>
      <c r="HLM210" s="2"/>
      <c r="HLN210" s="2"/>
      <c r="HLO210" s="2"/>
      <c r="HLP210" s="2"/>
      <c r="HLQ210" s="2"/>
      <c r="HLR210" s="2"/>
      <c r="HLS210" s="2"/>
      <c r="HLT210" s="2"/>
      <c r="HLU210" s="2"/>
      <c r="HLV210" s="2"/>
      <c r="HLW210" s="2"/>
      <c r="HLX210" s="2"/>
      <c r="HLY210" s="2"/>
      <c r="HLZ210" s="2"/>
      <c r="HMA210" s="2"/>
      <c r="HMB210" s="2"/>
      <c r="HMC210" s="2"/>
      <c r="HMD210" s="2"/>
      <c r="HME210" s="2"/>
      <c r="HMF210" s="2"/>
      <c r="HMG210" s="2"/>
      <c r="HMH210" s="2"/>
      <c r="HMI210" s="2"/>
      <c r="HMJ210" s="2"/>
      <c r="HMK210" s="2"/>
      <c r="HML210" s="2"/>
      <c r="HMM210" s="2"/>
      <c r="HMN210" s="2"/>
      <c r="HMO210" s="2"/>
      <c r="HMP210" s="2"/>
      <c r="HMQ210" s="2"/>
      <c r="HMR210" s="2"/>
      <c r="HMS210" s="2"/>
      <c r="HMT210" s="2"/>
      <c r="HMU210" s="2"/>
      <c r="HMV210" s="2"/>
      <c r="HMW210" s="2"/>
      <c r="HMX210" s="2"/>
      <c r="HMY210" s="2"/>
      <c r="HMZ210" s="2"/>
      <c r="HNA210" s="2"/>
      <c r="HNB210" s="2"/>
      <c r="HNC210" s="2"/>
      <c r="HND210" s="2"/>
      <c r="HNE210" s="2"/>
      <c r="HNF210" s="2"/>
      <c r="HNG210" s="2"/>
      <c r="HNH210" s="2"/>
      <c r="HNI210" s="2"/>
      <c r="HNJ210" s="2"/>
      <c r="HNK210" s="2"/>
      <c r="HNL210" s="2"/>
      <c r="HNM210" s="2"/>
      <c r="HNN210" s="2"/>
      <c r="HNO210" s="2"/>
      <c r="HNP210" s="2"/>
      <c r="HNQ210" s="2"/>
      <c r="HNR210" s="2"/>
      <c r="HNS210" s="2"/>
      <c r="HNT210" s="2"/>
      <c r="HNU210" s="2"/>
      <c r="HNV210" s="2"/>
      <c r="HNW210" s="2"/>
      <c r="HNX210" s="2"/>
      <c r="HNY210" s="2"/>
      <c r="HNZ210" s="2"/>
      <c r="HOA210" s="2"/>
      <c r="HOB210" s="2"/>
      <c r="HOC210" s="2"/>
      <c r="HOD210" s="2"/>
      <c r="HOE210" s="2"/>
      <c r="HOF210" s="2"/>
      <c r="HOG210" s="2"/>
      <c r="HOH210" s="2"/>
      <c r="HOI210" s="2"/>
      <c r="HOJ210" s="2"/>
      <c r="HOK210" s="2"/>
      <c r="HOL210" s="2"/>
      <c r="HOM210" s="2"/>
      <c r="HON210" s="2"/>
      <c r="HOO210" s="2"/>
      <c r="HOP210" s="2"/>
      <c r="HOQ210" s="2"/>
      <c r="HOR210" s="2"/>
      <c r="HOS210" s="2"/>
      <c r="HOT210" s="2"/>
      <c r="HOU210" s="2"/>
      <c r="HOV210" s="2"/>
      <c r="HOW210" s="2"/>
      <c r="HOX210" s="2"/>
      <c r="HOY210" s="2"/>
      <c r="HOZ210" s="2"/>
      <c r="HPA210" s="2"/>
      <c r="HPB210" s="2"/>
      <c r="HPC210" s="2"/>
      <c r="HPD210" s="2"/>
      <c r="HPE210" s="2"/>
      <c r="HPF210" s="2"/>
      <c r="HPG210" s="2"/>
      <c r="HPH210" s="2"/>
      <c r="HPI210" s="2"/>
      <c r="HPJ210" s="2"/>
      <c r="HPK210" s="2"/>
      <c r="HPL210" s="2"/>
      <c r="HPM210" s="2"/>
      <c r="HPN210" s="2"/>
      <c r="HPO210" s="2"/>
      <c r="HPP210" s="2"/>
      <c r="HPQ210" s="2"/>
      <c r="HPR210" s="2"/>
      <c r="HPS210" s="2"/>
      <c r="HPT210" s="2"/>
      <c r="HPU210" s="2"/>
      <c r="HPV210" s="2"/>
      <c r="HPW210" s="2"/>
      <c r="HPX210" s="2"/>
      <c r="HPY210" s="2"/>
      <c r="HPZ210" s="2"/>
      <c r="HQA210" s="2"/>
      <c r="HQB210" s="2"/>
      <c r="HQC210" s="2"/>
      <c r="HQD210" s="2"/>
      <c r="HQE210" s="2"/>
      <c r="HQF210" s="2"/>
      <c r="HQG210" s="2"/>
      <c r="HQH210" s="2"/>
      <c r="HQI210" s="2"/>
      <c r="HQJ210" s="2"/>
      <c r="HQK210" s="2"/>
      <c r="HQL210" s="2"/>
      <c r="HQM210" s="2"/>
      <c r="HQN210" s="2"/>
      <c r="HQO210" s="2"/>
      <c r="HQP210" s="2"/>
      <c r="HQQ210" s="2"/>
      <c r="HQR210" s="2"/>
      <c r="HQS210" s="2"/>
      <c r="HQT210" s="2"/>
      <c r="HQU210" s="2"/>
      <c r="HQV210" s="2"/>
      <c r="HQW210" s="2"/>
      <c r="HQX210" s="2"/>
      <c r="HQY210" s="2"/>
      <c r="HQZ210" s="2"/>
      <c r="HRA210" s="2"/>
      <c r="HRB210" s="2"/>
      <c r="HRC210" s="2"/>
      <c r="HRD210" s="2"/>
      <c r="HRE210" s="2"/>
      <c r="HRF210" s="2"/>
      <c r="HRG210" s="2"/>
      <c r="HRH210" s="2"/>
      <c r="HRI210" s="2"/>
      <c r="HRJ210" s="2"/>
      <c r="HRK210" s="2"/>
      <c r="HRL210" s="2"/>
      <c r="HRM210" s="2"/>
      <c r="HRN210" s="2"/>
      <c r="HRO210" s="2"/>
      <c r="HRP210" s="2"/>
      <c r="HRQ210" s="2"/>
      <c r="HRR210" s="2"/>
      <c r="HRS210" s="2"/>
      <c r="HRT210" s="2"/>
      <c r="HRU210" s="2"/>
      <c r="HRV210" s="2"/>
      <c r="HRW210" s="2"/>
      <c r="HRX210" s="2"/>
      <c r="HRY210" s="2"/>
      <c r="HRZ210" s="2"/>
      <c r="HSA210" s="2"/>
      <c r="HSB210" s="2"/>
      <c r="HSC210" s="2"/>
      <c r="HSD210" s="2"/>
      <c r="HSE210" s="2"/>
      <c r="HSF210" s="2"/>
      <c r="HSG210" s="2"/>
      <c r="HSH210" s="2"/>
      <c r="HSI210" s="2"/>
      <c r="HSJ210" s="2"/>
      <c r="HSK210" s="2"/>
      <c r="HSL210" s="2"/>
      <c r="HSM210" s="2"/>
      <c r="HSN210" s="2"/>
      <c r="HSO210" s="2"/>
      <c r="HSP210" s="2"/>
      <c r="HSQ210" s="2"/>
      <c r="HSR210" s="2"/>
      <c r="HSS210" s="2"/>
      <c r="HST210" s="2"/>
      <c r="HSU210" s="2"/>
      <c r="HSV210" s="2"/>
      <c r="HSW210" s="2"/>
      <c r="HSX210" s="2"/>
      <c r="HSY210" s="2"/>
      <c r="HSZ210" s="2"/>
      <c r="HTA210" s="2"/>
      <c r="HTB210" s="2"/>
      <c r="HTC210" s="2"/>
      <c r="HTD210" s="2"/>
      <c r="HTE210" s="2"/>
      <c r="HTF210" s="2"/>
      <c r="HTG210" s="2"/>
      <c r="HTH210" s="2"/>
      <c r="HTI210" s="2"/>
      <c r="HTJ210" s="2"/>
      <c r="HTK210" s="2"/>
      <c r="HTL210" s="2"/>
      <c r="HTM210" s="2"/>
      <c r="HTN210" s="2"/>
      <c r="HTO210" s="2"/>
      <c r="HTP210" s="2"/>
      <c r="HTQ210" s="2"/>
      <c r="HTR210" s="2"/>
      <c r="HTS210" s="2"/>
      <c r="HTT210" s="2"/>
      <c r="HTU210" s="2"/>
      <c r="HTV210" s="2"/>
      <c r="HTW210" s="2"/>
      <c r="HTX210" s="2"/>
      <c r="HTY210" s="2"/>
      <c r="HTZ210" s="2"/>
      <c r="HUA210" s="2"/>
      <c r="HUB210" s="2"/>
      <c r="HUC210" s="2"/>
      <c r="HUD210" s="2"/>
      <c r="HUE210" s="2"/>
      <c r="HUF210" s="2"/>
      <c r="HUG210" s="2"/>
      <c r="HUH210" s="2"/>
      <c r="HUI210" s="2"/>
      <c r="HUJ210" s="2"/>
      <c r="HUK210" s="2"/>
      <c r="HUL210" s="2"/>
      <c r="HUM210" s="2"/>
      <c r="HUN210" s="2"/>
      <c r="HUO210" s="2"/>
      <c r="HUP210" s="2"/>
      <c r="HUQ210" s="2"/>
      <c r="HUR210" s="2"/>
      <c r="HUS210" s="2"/>
      <c r="HUT210" s="2"/>
      <c r="HUU210" s="2"/>
      <c r="HUV210" s="2"/>
      <c r="HUW210" s="2"/>
      <c r="HUX210" s="2"/>
      <c r="HUY210" s="2"/>
      <c r="HUZ210" s="2"/>
      <c r="HVA210" s="2"/>
      <c r="HVB210" s="2"/>
      <c r="HVC210" s="2"/>
      <c r="HVD210" s="2"/>
      <c r="HVE210" s="2"/>
      <c r="HVF210" s="2"/>
      <c r="HVG210" s="2"/>
      <c r="HVH210" s="2"/>
      <c r="HVI210" s="2"/>
      <c r="HVJ210" s="2"/>
      <c r="HVK210" s="2"/>
      <c r="HVL210" s="2"/>
      <c r="HVM210" s="2"/>
      <c r="HVN210" s="2"/>
      <c r="HVO210" s="2"/>
      <c r="HVP210" s="2"/>
      <c r="HVQ210" s="2"/>
      <c r="HVR210" s="2"/>
      <c r="HVS210" s="2"/>
      <c r="HVT210" s="2"/>
      <c r="HVU210" s="2"/>
      <c r="HVV210" s="2"/>
      <c r="HVW210" s="2"/>
      <c r="HVX210" s="2"/>
      <c r="HVY210" s="2"/>
      <c r="HVZ210" s="2"/>
      <c r="HWA210" s="2"/>
      <c r="HWB210" s="2"/>
      <c r="HWC210" s="2"/>
      <c r="HWD210" s="2"/>
      <c r="HWE210" s="2"/>
      <c r="HWF210" s="2"/>
      <c r="HWG210" s="2"/>
      <c r="HWH210" s="2"/>
      <c r="HWI210" s="2"/>
      <c r="HWJ210" s="2"/>
      <c r="HWK210" s="2"/>
      <c r="HWL210" s="2"/>
      <c r="HWM210" s="2"/>
      <c r="HWN210" s="2"/>
      <c r="HWO210" s="2"/>
      <c r="HWP210" s="2"/>
      <c r="HWQ210" s="2"/>
      <c r="HWR210" s="2"/>
      <c r="HWS210" s="2"/>
      <c r="HWT210" s="2"/>
      <c r="HWU210" s="2"/>
      <c r="HWV210" s="2"/>
      <c r="HWW210" s="2"/>
      <c r="HWX210" s="2"/>
      <c r="HWY210" s="2"/>
      <c r="HWZ210" s="2"/>
      <c r="HXA210" s="2"/>
      <c r="HXB210" s="2"/>
      <c r="HXC210" s="2"/>
      <c r="HXD210" s="2"/>
      <c r="HXE210" s="2"/>
      <c r="HXF210" s="2"/>
      <c r="HXG210" s="2"/>
      <c r="HXH210" s="2"/>
      <c r="HXI210" s="2"/>
      <c r="HXJ210" s="2"/>
      <c r="HXK210" s="2"/>
      <c r="HXL210" s="2"/>
      <c r="HXM210" s="2"/>
      <c r="HXN210" s="2"/>
      <c r="HXO210" s="2"/>
      <c r="HXP210" s="2"/>
      <c r="HXQ210" s="2"/>
      <c r="HXR210" s="2"/>
      <c r="HXS210" s="2"/>
      <c r="HXT210" s="2"/>
      <c r="HXU210" s="2"/>
      <c r="HXV210" s="2"/>
      <c r="HXW210" s="2"/>
      <c r="HXX210" s="2"/>
      <c r="HXY210" s="2"/>
      <c r="HXZ210" s="2"/>
      <c r="HYA210" s="2"/>
      <c r="HYB210" s="2"/>
      <c r="HYC210" s="2"/>
      <c r="HYD210" s="2"/>
      <c r="HYE210" s="2"/>
      <c r="HYF210" s="2"/>
      <c r="HYG210" s="2"/>
      <c r="HYH210" s="2"/>
      <c r="HYI210" s="2"/>
      <c r="HYJ210" s="2"/>
      <c r="HYK210" s="2"/>
      <c r="HYL210" s="2"/>
      <c r="HYM210" s="2"/>
      <c r="HYN210" s="2"/>
      <c r="HYO210" s="2"/>
      <c r="HYP210" s="2"/>
      <c r="HYQ210" s="2"/>
      <c r="HYR210" s="2"/>
      <c r="HYS210" s="2"/>
      <c r="HYT210" s="2"/>
      <c r="HYU210" s="2"/>
      <c r="HYV210" s="2"/>
      <c r="HYW210" s="2"/>
      <c r="HYX210" s="2"/>
      <c r="HYY210" s="2"/>
      <c r="HYZ210" s="2"/>
      <c r="HZA210" s="2"/>
      <c r="HZB210" s="2"/>
      <c r="HZC210" s="2"/>
      <c r="HZD210" s="2"/>
      <c r="HZE210" s="2"/>
      <c r="HZF210" s="2"/>
      <c r="HZG210" s="2"/>
      <c r="HZH210" s="2"/>
      <c r="HZI210" s="2"/>
      <c r="HZJ210" s="2"/>
      <c r="HZK210" s="2"/>
      <c r="HZL210" s="2"/>
      <c r="HZM210" s="2"/>
      <c r="HZN210" s="2"/>
      <c r="HZO210" s="2"/>
      <c r="HZP210" s="2"/>
      <c r="HZQ210" s="2"/>
      <c r="HZR210" s="2"/>
      <c r="HZS210" s="2"/>
      <c r="HZT210" s="2"/>
      <c r="HZU210" s="2"/>
      <c r="HZV210" s="2"/>
      <c r="HZW210" s="2"/>
      <c r="HZX210" s="2"/>
      <c r="HZY210" s="2"/>
      <c r="HZZ210" s="2"/>
      <c r="IAA210" s="2"/>
      <c r="IAB210" s="2"/>
      <c r="IAC210" s="2"/>
      <c r="IAD210" s="2"/>
      <c r="IAE210" s="2"/>
      <c r="IAF210" s="2"/>
      <c r="IAG210" s="2"/>
      <c r="IAH210" s="2"/>
      <c r="IAI210" s="2"/>
      <c r="IAJ210" s="2"/>
      <c r="IAK210" s="2"/>
      <c r="IAL210" s="2"/>
      <c r="IAM210" s="2"/>
      <c r="IAN210" s="2"/>
      <c r="IAO210" s="2"/>
      <c r="IAP210" s="2"/>
      <c r="IAQ210" s="2"/>
      <c r="IAR210" s="2"/>
      <c r="IAS210" s="2"/>
      <c r="IAT210" s="2"/>
      <c r="IAU210" s="2"/>
      <c r="IAV210" s="2"/>
      <c r="IAW210" s="2"/>
      <c r="IAX210" s="2"/>
      <c r="IAY210" s="2"/>
      <c r="IAZ210" s="2"/>
      <c r="IBA210" s="2"/>
      <c r="IBB210" s="2"/>
      <c r="IBC210" s="2"/>
      <c r="IBD210" s="2"/>
      <c r="IBE210" s="2"/>
      <c r="IBF210" s="2"/>
      <c r="IBG210" s="2"/>
      <c r="IBH210" s="2"/>
      <c r="IBI210" s="2"/>
      <c r="IBJ210" s="2"/>
      <c r="IBK210" s="2"/>
      <c r="IBL210" s="2"/>
      <c r="IBM210" s="2"/>
      <c r="IBN210" s="2"/>
      <c r="IBO210" s="2"/>
      <c r="IBP210" s="2"/>
      <c r="IBQ210" s="2"/>
      <c r="IBR210" s="2"/>
      <c r="IBS210" s="2"/>
      <c r="IBT210" s="2"/>
      <c r="IBU210" s="2"/>
      <c r="IBV210" s="2"/>
      <c r="IBW210" s="2"/>
      <c r="IBX210" s="2"/>
      <c r="IBY210" s="2"/>
      <c r="IBZ210" s="2"/>
      <c r="ICA210" s="2"/>
      <c r="ICB210" s="2"/>
      <c r="ICC210" s="2"/>
      <c r="ICD210" s="2"/>
      <c r="ICE210" s="2"/>
      <c r="ICF210" s="2"/>
      <c r="ICG210" s="2"/>
      <c r="ICH210" s="2"/>
      <c r="ICI210" s="2"/>
      <c r="ICJ210" s="2"/>
      <c r="ICK210" s="2"/>
      <c r="ICL210" s="2"/>
      <c r="ICM210" s="2"/>
      <c r="ICN210" s="2"/>
      <c r="ICO210" s="2"/>
      <c r="ICP210" s="2"/>
      <c r="ICQ210" s="2"/>
      <c r="ICR210" s="2"/>
      <c r="ICS210" s="2"/>
      <c r="ICT210" s="2"/>
      <c r="ICU210" s="2"/>
      <c r="ICV210" s="2"/>
      <c r="ICW210" s="2"/>
      <c r="ICX210" s="2"/>
      <c r="ICY210" s="2"/>
      <c r="ICZ210" s="2"/>
      <c r="IDA210" s="2"/>
      <c r="IDB210" s="2"/>
      <c r="IDC210" s="2"/>
      <c r="IDD210" s="2"/>
      <c r="IDE210" s="2"/>
      <c r="IDF210" s="2"/>
      <c r="IDG210" s="2"/>
      <c r="IDH210" s="2"/>
      <c r="IDI210" s="2"/>
      <c r="IDJ210" s="2"/>
      <c r="IDK210" s="2"/>
      <c r="IDL210" s="2"/>
      <c r="IDM210" s="2"/>
      <c r="IDN210" s="2"/>
      <c r="IDO210" s="2"/>
      <c r="IDP210" s="2"/>
      <c r="IDQ210" s="2"/>
      <c r="IDR210" s="2"/>
      <c r="IDS210" s="2"/>
      <c r="IDT210" s="2"/>
      <c r="IDU210" s="2"/>
      <c r="IDV210" s="2"/>
      <c r="IDW210" s="2"/>
      <c r="IDX210" s="2"/>
      <c r="IDY210" s="2"/>
      <c r="IDZ210" s="2"/>
      <c r="IEA210" s="2"/>
      <c r="IEB210" s="2"/>
      <c r="IEC210" s="2"/>
      <c r="IED210" s="2"/>
      <c r="IEE210" s="2"/>
      <c r="IEF210" s="2"/>
      <c r="IEG210" s="2"/>
      <c r="IEH210" s="2"/>
      <c r="IEI210" s="2"/>
      <c r="IEJ210" s="2"/>
      <c r="IEK210" s="2"/>
      <c r="IEL210" s="2"/>
      <c r="IEM210" s="2"/>
      <c r="IEN210" s="2"/>
      <c r="IEO210" s="2"/>
      <c r="IEP210" s="2"/>
      <c r="IEQ210" s="2"/>
      <c r="IER210" s="2"/>
      <c r="IES210" s="2"/>
      <c r="IET210" s="2"/>
      <c r="IEU210" s="2"/>
      <c r="IEV210" s="2"/>
      <c r="IEW210" s="2"/>
      <c r="IEX210" s="2"/>
      <c r="IEY210" s="2"/>
      <c r="IEZ210" s="2"/>
      <c r="IFA210" s="2"/>
      <c r="IFB210" s="2"/>
      <c r="IFC210" s="2"/>
      <c r="IFD210" s="2"/>
      <c r="IFE210" s="2"/>
      <c r="IFF210" s="2"/>
      <c r="IFG210" s="2"/>
      <c r="IFH210" s="2"/>
      <c r="IFI210" s="2"/>
      <c r="IFJ210" s="2"/>
      <c r="IFK210" s="2"/>
      <c r="IFL210" s="2"/>
      <c r="IFM210" s="2"/>
      <c r="IFN210" s="2"/>
      <c r="IFO210" s="2"/>
      <c r="IFP210" s="2"/>
      <c r="IFQ210" s="2"/>
      <c r="IFR210" s="2"/>
      <c r="IFS210" s="2"/>
      <c r="IFT210" s="2"/>
      <c r="IFU210" s="2"/>
      <c r="IFV210" s="2"/>
      <c r="IFW210" s="2"/>
      <c r="IFX210" s="2"/>
      <c r="IFY210" s="2"/>
      <c r="IFZ210" s="2"/>
      <c r="IGA210" s="2"/>
      <c r="IGB210" s="2"/>
      <c r="IGC210" s="2"/>
      <c r="IGD210" s="2"/>
      <c r="IGE210" s="2"/>
      <c r="IGF210" s="2"/>
      <c r="IGG210" s="2"/>
      <c r="IGH210" s="2"/>
      <c r="IGI210" s="2"/>
      <c r="IGJ210" s="2"/>
      <c r="IGK210" s="2"/>
      <c r="IGL210" s="2"/>
      <c r="IGM210" s="2"/>
      <c r="IGN210" s="2"/>
      <c r="IGO210" s="2"/>
      <c r="IGP210" s="2"/>
      <c r="IGQ210" s="2"/>
      <c r="IGR210" s="2"/>
      <c r="IGS210" s="2"/>
      <c r="IGT210" s="2"/>
      <c r="IGU210" s="2"/>
      <c r="IGV210" s="2"/>
      <c r="IGW210" s="2"/>
      <c r="IGX210" s="2"/>
      <c r="IGY210" s="2"/>
      <c r="IGZ210" s="2"/>
      <c r="IHA210" s="2"/>
      <c r="IHB210" s="2"/>
      <c r="IHC210" s="2"/>
      <c r="IHD210" s="2"/>
      <c r="IHE210" s="2"/>
      <c r="IHF210" s="2"/>
      <c r="IHG210" s="2"/>
      <c r="IHH210" s="2"/>
      <c r="IHI210" s="2"/>
      <c r="IHJ210" s="2"/>
      <c r="IHK210" s="2"/>
      <c r="IHL210" s="2"/>
      <c r="IHM210" s="2"/>
      <c r="IHN210" s="2"/>
      <c r="IHO210" s="2"/>
      <c r="IHP210" s="2"/>
      <c r="IHQ210" s="2"/>
      <c r="IHR210" s="2"/>
      <c r="IHS210" s="2"/>
      <c r="IHT210" s="2"/>
      <c r="IHU210" s="2"/>
      <c r="IHV210" s="2"/>
      <c r="IHW210" s="2"/>
      <c r="IHX210" s="2"/>
      <c r="IHY210" s="2"/>
      <c r="IHZ210" s="2"/>
      <c r="IIA210" s="2"/>
      <c r="IIB210" s="2"/>
      <c r="IIC210" s="2"/>
      <c r="IID210" s="2"/>
      <c r="IIE210" s="2"/>
      <c r="IIF210" s="2"/>
      <c r="IIG210" s="2"/>
      <c r="IIH210" s="2"/>
      <c r="III210" s="2"/>
      <c r="IIJ210" s="2"/>
      <c r="IIK210" s="2"/>
      <c r="IIL210" s="2"/>
      <c r="IIM210" s="2"/>
      <c r="IIN210" s="2"/>
      <c r="IIO210" s="2"/>
      <c r="IIP210" s="2"/>
      <c r="IIQ210" s="2"/>
      <c r="IIR210" s="2"/>
      <c r="IIS210" s="2"/>
      <c r="IIT210" s="2"/>
      <c r="IIU210" s="2"/>
      <c r="IIV210" s="2"/>
      <c r="IIW210" s="2"/>
      <c r="IIX210" s="2"/>
      <c r="IIY210" s="2"/>
      <c r="IIZ210" s="2"/>
      <c r="IJA210" s="2"/>
      <c r="IJB210" s="2"/>
      <c r="IJC210" s="2"/>
      <c r="IJD210" s="2"/>
      <c r="IJE210" s="2"/>
      <c r="IJF210" s="2"/>
      <c r="IJG210" s="2"/>
      <c r="IJH210" s="2"/>
      <c r="IJI210" s="2"/>
      <c r="IJJ210" s="2"/>
      <c r="IJK210" s="2"/>
      <c r="IJL210" s="2"/>
      <c r="IJM210" s="2"/>
      <c r="IJN210" s="2"/>
      <c r="IJO210" s="2"/>
      <c r="IJP210" s="2"/>
      <c r="IJQ210" s="2"/>
      <c r="IJR210" s="2"/>
      <c r="IJS210" s="2"/>
      <c r="IJT210" s="2"/>
      <c r="IJU210" s="2"/>
      <c r="IJV210" s="2"/>
      <c r="IJW210" s="2"/>
      <c r="IJX210" s="2"/>
      <c r="IJY210" s="2"/>
      <c r="IJZ210" s="2"/>
      <c r="IKA210" s="2"/>
      <c r="IKB210" s="2"/>
      <c r="IKC210" s="2"/>
      <c r="IKD210" s="2"/>
      <c r="IKE210" s="2"/>
      <c r="IKF210" s="2"/>
      <c r="IKG210" s="2"/>
      <c r="IKH210" s="2"/>
      <c r="IKI210" s="2"/>
      <c r="IKJ210" s="2"/>
      <c r="IKK210" s="2"/>
      <c r="IKL210" s="2"/>
      <c r="IKM210" s="2"/>
      <c r="IKN210" s="2"/>
      <c r="IKO210" s="2"/>
      <c r="IKP210" s="2"/>
      <c r="IKQ210" s="2"/>
      <c r="IKR210" s="2"/>
      <c r="IKS210" s="2"/>
      <c r="IKT210" s="2"/>
      <c r="IKU210" s="2"/>
      <c r="IKV210" s="2"/>
      <c r="IKW210" s="2"/>
      <c r="IKX210" s="2"/>
      <c r="IKY210" s="2"/>
      <c r="IKZ210" s="2"/>
      <c r="ILA210" s="2"/>
      <c r="ILB210" s="2"/>
      <c r="ILC210" s="2"/>
      <c r="ILD210" s="2"/>
      <c r="ILE210" s="2"/>
      <c r="ILF210" s="2"/>
      <c r="ILG210" s="2"/>
      <c r="ILH210" s="2"/>
      <c r="ILI210" s="2"/>
      <c r="ILJ210" s="2"/>
      <c r="ILK210" s="2"/>
      <c r="ILL210" s="2"/>
      <c r="ILM210" s="2"/>
      <c r="ILN210" s="2"/>
      <c r="ILO210" s="2"/>
      <c r="ILP210" s="2"/>
      <c r="ILQ210" s="2"/>
      <c r="ILR210" s="2"/>
      <c r="ILS210" s="2"/>
      <c r="ILT210" s="2"/>
      <c r="ILU210" s="2"/>
      <c r="ILV210" s="2"/>
      <c r="ILW210" s="2"/>
      <c r="ILX210" s="2"/>
      <c r="ILY210" s="2"/>
      <c r="ILZ210" s="2"/>
      <c r="IMA210" s="2"/>
      <c r="IMB210" s="2"/>
      <c r="IMC210" s="2"/>
      <c r="IMD210" s="2"/>
      <c r="IME210" s="2"/>
      <c r="IMF210" s="2"/>
      <c r="IMG210" s="2"/>
      <c r="IMH210" s="2"/>
      <c r="IMI210" s="2"/>
      <c r="IMJ210" s="2"/>
      <c r="IMK210" s="2"/>
      <c r="IML210" s="2"/>
      <c r="IMM210" s="2"/>
      <c r="IMN210" s="2"/>
      <c r="IMO210" s="2"/>
      <c r="IMP210" s="2"/>
      <c r="IMQ210" s="2"/>
      <c r="IMR210" s="2"/>
      <c r="IMS210" s="2"/>
      <c r="IMT210" s="2"/>
      <c r="IMU210" s="2"/>
      <c r="IMV210" s="2"/>
      <c r="IMW210" s="2"/>
      <c r="IMX210" s="2"/>
      <c r="IMY210" s="2"/>
      <c r="IMZ210" s="2"/>
      <c r="INA210" s="2"/>
      <c r="INB210" s="2"/>
      <c r="INC210" s="2"/>
      <c r="IND210" s="2"/>
      <c r="INE210" s="2"/>
      <c r="INF210" s="2"/>
      <c r="ING210" s="2"/>
      <c r="INH210" s="2"/>
      <c r="INI210" s="2"/>
      <c r="INJ210" s="2"/>
      <c r="INK210" s="2"/>
      <c r="INL210" s="2"/>
      <c r="INM210" s="2"/>
      <c r="INN210" s="2"/>
      <c r="INO210" s="2"/>
      <c r="INP210" s="2"/>
      <c r="INQ210" s="2"/>
      <c r="INR210" s="2"/>
      <c r="INS210" s="2"/>
      <c r="INT210" s="2"/>
      <c r="INU210" s="2"/>
      <c r="INV210" s="2"/>
      <c r="INW210" s="2"/>
      <c r="INX210" s="2"/>
      <c r="INY210" s="2"/>
      <c r="INZ210" s="2"/>
      <c r="IOA210" s="2"/>
      <c r="IOB210" s="2"/>
      <c r="IOC210" s="2"/>
      <c r="IOD210" s="2"/>
      <c r="IOE210" s="2"/>
      <c r="IOF210" s="2"/>
      <c r="IOG210" s="2"/>
      <c r="IOH210" s="2"/>
      <c r="IOI210" s="2"/>
      <c r="IOJ210" s="2"/>
      <c r="IOK210" s="2"/>
      <c r="IOL210" s="2"/>
      <c r="IOM210" s="2"/>
      <c r="ION210" s="2"/>
      <c r="IOO210" s="2"/>
      <c r="IOP210" s="2"/>
      <c r="IOQ210" s="2"/>
      <c r="IOR210" s="2"/>
      <c r="IOS210" s="2"/>
      <c r="IOT210" s="2"/>
      <c r="IOU210" s="2"/>
      <c r="IOV210" s="2"/>
      <c r="IOW210" s="2"/>
      <c r="IOX210" s="2"/>
      <c r="IOY210" s="2"/>
      <c r="IOZ210" s="2"/>
      <c r="IPA210" s="2"/>
      <c r="IPB210" s="2"/>
      <c r="IPC210" s="2"/>
      <c r="IPD210" s="2"/>
      <c r="IPE210" s="2"/>
      <c r="IPF210" s="2"/>
      <c r="IPG210" s="2"/>
      <c r="IPH210" s="2"/>
      <c r="IPI210" s="2"/>
      <c r="IPJ210" s="2"/>
      <c r="IPK210" s="2"/>
      <c r="IPL210" s="2"/>
      <c r="IPM210" s="2"/>
      <c r="IPN210" s="2"/>
      <c r="IPO210" s="2"/>
      <c r="IPP210" s="2"/>
      <c r="IPQ210" s="2"/>
      <c r="IPR210" s="2"/>
      <c r="IPS210" s="2"/>
      <c r="IPT210" s="2"/>
      <c r="IPU210" s="2"/>
      <c r="IPV210" s="2"/>
      <c r="IPW210" s="2"/>
      <c r="IPX210" s="2"/>
      <c r="IPY210" s="2"/>
      <c r="IPZ210" s="2"/>
      <c r="IQA210" s="2"/>
      <c r="IQB210" s="2"/>
      <c r="IQC210" s="2"/>
      <c r="IQD210" s="2"/>
      <c r="IQE210" s="2"/>
      <c r="IQF210" s="2"/>
      <c r="IQG210" s="2"/>
      <c r="IQH210" s="2"/>
      <c r="IQI210" s="2"/>
      <c r="IQJ210" s="2"/>
      <c r="IQK210" s="2"/>
      <c r="IQL210" s="2"/>
      <c r="IQM210" s="2"/>
      <c r="IQN210" s="2"/>
      <c r="IQO210" s="2"/>
      <c r="IQP210" s="2"/>
      <c r="IQQ210" s="2"/>
      <c r="IQR210" s="2"/>
      <c r="IQS210" s="2"/>
      <c r="IQT210" s="2"/>
      <c r="IQU210" s="2"/>
      <c r="IQV210" s="2"/>
      <c r="IQW210" s="2"/>
      <c r="IQX210" s="2"/>
      <c r="IQY210" s="2"/>
      <c r="IQZ210" s="2"/>
      <c r="IRA210" s="2"/>
      <c r="IRB210" s="2"/>
      <c r="IRC210" s="2"/>
      <c r="IRD210" s="2"/>
      <c r="IRE210" s="2"/>
      <c r="IRF210" s="2"/>
      <c r="IRG210" s="2"/>
      <c r="IRH210" s="2"/>
      <c r="IRI210" s="2"/>
      <c r="IRJ210" s="2"/>
      <c r="IRK210" s="2"/>
      <c r="IRL210" s="2"/>
      <c r="IRM210" s="2"/>
      <c r="IRN210" s="2"/>
      <c r="IRO210" s="2"/>
      <c r="IRP210" s="2"/>
      <c r="IRQ210" s="2"/>
      <c r="IRR210" s="2"/>
      <c r="IRS210" s="2"/>
      <c r="IRT210" s="2"/>
      <c r="IRU210" s="2"/>
      <c r="IRV210" s="2"/>
      <c r="IRW210" s="2"/>
      <c r="IRX210" s="2"/>
      <c r="IRY210" s="2"/>
      <c r="IRZ210" s="2"/>
      <c r="ISA210" s="2"/>
      <c r="ISB210" s="2"/>
      <c r="ISC210" s="2"/>
      <c r="ISD210" s="2"/>
      <c r="ISE210" s="2"/>
      <c r="ISF210" s="2"/>
      <c r="ISG210" s="2"/>
      <c r="ISH210" s="2"/>
      <c r="ISI210" s="2"/>
      <c r="ISJ210" s="2"/>
      <c r="ISK210" s="2"/>
      <c r="ISL210" s="2"/>
      <c r="ISM210" s="2"/>
      <c r="ISN210" s="2"/>
      <c r="ISO210" s="2"/>
      <c r="ISP210" s="2"/>
      <c r="ISQ210" s="2"/>
      <c r="ISR210" s="2"/>
      <c r="ISS210" s="2"/>
      <c r="IST210" s="2"/>
      <c r="ISU210" s="2"/>
      <c r="ISV210" s="2"/>
      <c r="ISW210" s="2"/>
      <c r="ISX210" s="2"/>
      <c r="ISY210" s="2"/>
      <c r="ISZ210" s="2"/>
      <c r="ITA210" s="2"/>
      <c r="ITB210" s="2"/>
      <c r="ITC210" s="2"/>
      <c r="ITD210" s="2"/>
      <c r="ITE210" s="2"/>
      <c r="ITF210" s="2"/>
      <c r="ITG210" s="2"/>
      <c r="ITH210" s="2"/>
      <c r="ITI210" s="2"/>
      <c r="ITJ210" s="2"/>
      <c r="ITK210" s="2"/>
      <c r="ITL210" s="2"/>
      <c r="ITM210" s="2"/>
      <c r="ITN210" s="2"/>
      <c r="ITO210" s="2"/>
      <c r="ITP210" s="2"/>
      <c r="ITQ210" s="2"/>
      <c r="ITR210" s="2"/>
      <c r="ITS210" s="2"/>
      <c r="ITT210" s="2"/>
      <c r="ITU210" s="2"/>
      <c r="ITV210" s="2"/>
      <c r="ITW210" s="2"/>
      <c r="ITX210" s="2"/>
      <c r="ITY210" s="2"/>
      <c r="ITZ210" s="2"/>
      <c r="IUA210" s="2"/>
      <c r="IUB210" s="2"/>
      <c r="IUC210" s="2"/>
      <c r="IUD210" s="2"/>
      <c r="IUE210" s="2"/>
      <c r="IUF210" s="2"/>
      <c r="IUG210" s="2"/>
      <c r="IUH210" s="2"/>
      <c r="IUI210" s="2"/>
      <c r="IUJ210" s="2"/>
      <c r="IUK210" s="2"/>
      <c r="IUL210" s="2"/>
      <c r="IUM210" s="2"/>
      <c r="IUN210" s="2"/>
      <c r="IUO210" s="2"/>
      <c r="IUP210" s="2"/>
      <c r="IUQ210" s="2"/>
      <c r="IUR210" s="2"/>
      <c r="IUS210" s="2"/>
      <c r="IUT210" s="2"/>
      <c r="IUU210" s="2"/>
      <c r="IUV210" s="2"/>
      <c r="IUW210" s="2"/>
      <c r="IUX210" s="2"/>
      <c r="IUY210" s="2"/>
      <c r="IUZ210" s="2"/>
      <c r="IVA210" s="2"/>
      <c r="IVB210" s="2"/>
      <c r="IVC210" s="2"/>
      <c r="IVD210" s="2"/>
      <c r="IVE210" s="2"/>
      <c r="IVF210" s="2"/>
      <c r="IVG210" s="2"/>
      <c r="IVH210" s="2"/>
      <c r="IVI210" s="2"/>
      <c r="IVJ210" s="2"/>
      <c r="IVK210" s="2"/>
      <c r="IVL210" s="2"/>
      <c r="IVM210" s="2"/>
      <c r="IVN210" s="2"/>
      <c r="IVO210" s="2"/>
      <c r="IVP210" s="2"/>
      <c r="IVQ210" s="2"/>
      <c r="IVR210" s="2"/>
      <c r="IVS210" s="2"/>
      <c r="IVT210" s="2"/>
      <c r="IVU210" s="2"/>
      <c r="IVV210" s="2"/>
      <c r="IVW210" s="2"/>
      <c r="IVX210" s="2"/>
      <c r="IVY210" s="2"/>
      <c r="IVZ210" s="2"/>
      <c r="IWA210" s="2"/>
      <c r="IWB210" s="2"/>
      <c r="IWC210" s="2"/>
      <c r="IWD210" s="2"/>
      <c r="IWE210" s="2"/>
      <c r="IWF210" s="2"/>
      <c r="IWG210" s="2"/>
      <c r="IWH210" s="2"/>
      <c r="IWI210" s="2"/>
      <c r="IWJ210" s="2"/>
      <c r="IWK210" s="2"/>
      <c r="IWL210" s="2"/>
      <c r="IWM210" s="2"/>
      <c r="IWN210" s="2"/>
      <c r="IWO210" s="2"/>
      <c r="IWP210" s="2"/>
      <c r="IWQ210" s="2"/>
      <c r="IWR210" s="2"/>
      <c r="IWS210" s="2"/>
      <c r="IWT210" s="2"/>
      <c r="IWU210" s="2"/>
      <c r="IWV210" s="2"/>
      <c r="IWW210" s="2"/>
      <c r="IWX210" s="2"/>
      <c r="IWY210" s="2"/>
      <c r="IWZ210" s="2"/>
      <c r="IXA210" s="2"/>
      <c r="IXB210" s="2"/>
      <c r="IXC210" s="2"/>
      <c r="IXD210" s="2"/>
      <c r="IXE210" s="2"/>
      <c r="IXF210" s="2"/>
      <c r="IXG210" s="2"/>
      <c r="IXH210" s="2"/>
      <c r="IXI210" s="2"/>
      <c r="IXJ210" s="2"/>
      <c r="IXK210" s="2"/>
      <c r="IXL210" s="2"/>
      <c r="IXM210" s="2"/>
      <c r="IXN210" s="2"/>
      <c r="IXO210" s="2"/>
      <c r="IXP210" s="2"/>
      <c r="IXQ210" s="2"/>
      <c r="IXR210" s="2"/>
      <c r="IXS210" s="2"/>
      <c r="IXT210" s="2"/>
      <c r="IXU210" s="2"/>
      <c r="IXV210" s="2"/>
      <c r="IXW210" s="2"/>
      <c r="IXX210" s="2"/>
      <c r="IXY210" s="2"/>
      <c r="IXZ210" s="2"/>
      <c r="IYA210" s="2"/>
      <c r="IYB210" s="2"/>
      <c r="IYC210" s="2"/>
      <c r="IYD210" s="2"/>
      <c r="IYE210" s="2"/>
      <c r="IYF210" s="2"/>
      <c r="IYG210" s="2"/>
      <c r="IYH210" s="2"/>
      <c r="IYI210" s="2"/>
      <c r="IYJ210" s="2"/>
      <c r="IYK210" s="2"/>
      <c r="IYL210" s="2"/>
      <c r="IYM210" s="2"/>
      <c r="IYN210" s="2"/>
      <c r="IYO210" s="2"/>
      <c r="IYP210" s="2"/>
      <c r="IYQ210" s="2"/>
      <c r="IYR210" s="2"/>
      <c r="IYS210" s="2"/>
      <c r="IYT210" s="2"/>
      <c r="IYU210" s="2"/>
      <c r="IYV210" s="2"/>
      <c r="IYW210" s="2"/>
      <c r="IYX210" s="2"/>
      <c r="IYY210" s="2"/>
      <c r="IYZ210" s="2"/>
      <c r="IZA210" s="2"/>
      <c r="IZB210" s="2"/>
      <c r="IZC210" s="2"/>
      <c r="IZD210" s="2"/>
      <c r="IZE210" s="2"/>
      <c r="IZF210" s="2"/>
      <c r="IZG210" s="2"/>
      <c r="IZH210" s="2"/>
      <c r="IZI210" s="2"/>
      <c r="IZJ210" s="2"/>
      <c r="IZK210" s="2"/>
      <c r="IZL210" s="2"/>
      <c r="IZM210" s="2"/>
      <c r="IZN210" s="2"/>
      <c r="IZO210" s="2"/>
      <c r="IZP210" s="2"/>
      <c r="IZQ210" s="2"/>
      <c r="IZR210" s="2"/>
      <c r="IZS210" s="2"/>
      <c r="IZT210" s="2"/>
      <c r="IZU210" s="2"/>
      <c r="IZV210" s="2"/>
      <c r="IZW210" s="2"/>
      <c r="IZX210" s="2"/>
      <c r="IZY210" s="2"/>
      <c r="IZZ210" s="2"/>
      <c r="JAA210" s="2"/>
      <c r="JAB210" s="2"/>
      <c r="JAC210" s="2"/>
      <c r="JAD210" s="2"/>
      <c r="JAE210" s="2"/>
      <c r="JAF210" s="2"/>
      <c r="JAG210" s="2"/>
      <c r="JAH210" s="2"/>
      <c r="JAI210" s="2"/>
      <c r="JAJ210" s="2"/>
      <c r="JAK210" s="2"/>
      <c r="JAL210" s="2"/>
      <c r="JAM210" s="2"/>
      <c r="JAN210" s="2"/>
      <c r="JAO210" s="2"/>
      <c r="JAP210" s="2"/>
      <c r="JAQ210" s="2"/>
      <c r="JAR210" s="2"/>
      <c r="JAS210" s="2"/>
      <c r="JAT210" s="2"/>
      <c r="JAU210" s="2"/>
      <c r="JAV210" s="2"/>
      <c r="JAW210" s="2"/>
      <c r="JAX210" s="2"/>
      <c r="JAY210" s="2"/>
      <c r="JAZ210" s="2"/>
      <c r="JBA210" s="2"/>
      <c r="JBB210" s="2"/>
      <c r="JBC210" s="2"/>
      <c r="JBD210" s="2"/>
      <c r="JBE210" s="2"/>
      <c r="JBF210" s="2"/>
      <c r="JBG210" s="2"/>
      <c r="JBH210" s="2"/>
      <c r="JBI210" s="2"/>
      <c r="JBJ210" s="2"/>
      <c r="JBK210" s="2"/>
      <c r="JBL210" s="2"/>
      <c r="JBM210" s="2"/>
      <c r="JBN210" s="2"/>
      <c r="JBO210" s="2"/>
      <c r="JBP210" s="2"/>
      <c r="JBQ210" s="2"/>
      <c r="JBR210" s="2"/>
      <c r="JBS210" s="2"/>
      <c r="JBT210" s="2"/>
      <c r="JBU210" s="2"/>
      <c r="JBV210" s="2"/>
      <c r="JBW210" s="2"/>
      <c r="JBX210" s="2"/>
      <c r="JBY210" s="2"/>
      <c r="JBZ210" s="2"/>
      <c r="JCA210" s="2"/>
      <c r="JCB210" s="2"/>
      <c r="JCC210" s="2"/>
      <c r="JCD210" s="2"/>
      <c r="JCE210" s="2"/>
      <c r="JCF210" s="2"/>
      <c r="JCG210" s="2"/>
      <c r="JCH210" s="2"/>
      <c r="JCI210" s="2"/>
      <c r="JCJ210" s="2"/>
      <c r="JCK210" s="2"/>
      <c r="JCL210" s="2"/>
      <c r="JCM210" s="2"/>
      <c r="JCN210" s="2"/>
      <c r="JCO210" s="2"/>
      <c r="JCP210" s="2"/>
      <c r="JCQ210" s="2"/>
      <c r="JCR210" s="2"/>
      <c r="JCS210" s="2"/>
      <c r="JCT210" s="2"/>
      <c r="JCU210" s="2"/>
      <c r="JCV210" s="2"/>
      <c r="JCW210" s="2"/>
      <c r="JCX210" s="2"/>
      <c r="JCY210" s="2"/>
      <c r="JCZ210" s="2"/>
      <c r="JDA210" s="2"/>
      <c r="JDB210" s="2"/>
      <c r="JDC210" s="2"/>
      <c r="JDD210" s="2"/>
      <c r="JDE210" s="2"/>
      <c r="JDF210" s="2"/>
      <c r="JDG210" s="2"/>
      <c r="JDH210" s="2"/>
      <c r="JDI210" s="2"/>
      <c r="JDJ210" s="2"/>
      <c r="JDK210" s="2"/>
      <c r="JDL210" s="2"/>
      <c r="JDM210" s="2"/>
      <c r="JDN210" s="2"/>
      <c r="JDO210" s="2"/>
      <c r="JDP210" s="2"/>
      <c r="JDQ210" s="2"/>
      <c r="JDR210" s="2"/>
      <c r="JDS210" s="2"/>
      <c r="JDT210" s="2"/>
      <c r="JDU210" s="2"/>
      <c r="JDV210" s="2"/>
      <c r="JDW210" s="2"/>
      <c r="JDX210" s="2"/>
      <c r="JDY210" s="2"/>
      <c r="JDZ210" s="2"/>
      <c r="JEA210" s="2"/>
      <c r="JEB210" s="2"/>
      <c r="JEC210" s="2"/>
      <c r="JED210" s="2"/>
      <c r="JEE210" s="2"/>
      <c r="JEF210" s="2"/>
      <c r="JEG210" s="2"/>
      <c r="JEH210" s="2"/>
      <c r="JEI210" s="2"/>
      <c r="JEJ210" s="2"/>
      <c r="JEK210" s="2"/>
      <c r="JEL210" s="2"/>
      <c r="JEM210" s="2"/>
      <c r="JEN210" s="2"/>
      <c r="JEO210" s="2"/>
      <c r="JEP210" s="2"/>
      <c r="JEQ210" s="2"/>
      <c r="JER210" s="2"/>
      <c r="JES210" s="2"/>
      <c r="JET210" s="2"/>
      <c r="JEU210" s="2"/>
      <c r="JEV210" s="2"/>
      <c r="JEW210" s="2"/>
      <c r="JEX210" s="2"/>
      <c r="JEY210" s="2"/>
      <c r="JEZ210" s="2"/>
      <c r="JFA210" s="2"/>
      <c r="JFB210" s="2"/>
      <c r="JFC210" s="2"/>
      <c r="JFD210" s="2"/>
      <c r="JFE210" s="2"/>
      <c r="JFF210" s="2"/>
      <c r="JFG210" s="2"/>
      <c r="JFH210" s="2"/>
      <c r="JFI210" s="2"/>
      <c r="JFJ210" s="2"/>
      <c r="JFK210" s="2"/>
      <c r="JFL210" s="2"/>
      <c r="JFM210" s="2"/>
      <c r="JFN210" s="2"/>
      <c r="JFO210" s="2"/>
      <c r="JFP210" s="2"/>
      <c r="JFQ210" s="2"/>
      <c r="JFR210" s="2"/>
      <c r="JFS210" s="2"/>
      <c r="JFT210" s="2"/>
      <c r="JFU210" s="2"/>
      <c r="JFV210" s="2"/>
      <c r="JFW210" s="2"/>
      <c r="JFX210" s="2"/>
      <c r="JFY210" s="2"/>
      <c r="JFZ210" s="2"/>
      <c r="JGA210" s="2"/>
      <c r="JGB210" s="2"/>
      <c r="JGC210" s="2"/>
      <c r="JGD210" s="2"/>
      <c r="JGE210" s="2"/>
      <c r="JGF210" s="2"/>
      <c r="JGG210" s="2"/>
      <c r="JGH210" s="2"/>
      <c r="JGI210" s="2"/>
      <c r="JGJ210" s="2"/>
      <c r="JGK210" s="2"/>
      <c r="JGL210" s="2"/>
      <c r="JGM210" s="2"/>
      <c r="JGN210" s="2"/>
      <c r="JGO210" s="2"/>
      <c r="JGP210" s="2"/>
      <c r="JGQ210" s="2"/>
      <c r="JGR210" s="2"/>
      <c r="JGS210" s="2"/>
      <c r="JGT210" s="2"/>
      <c r="JGU210" s="2"/>
      <c r="JGV210" s="2"/>
      <c r="JGW210" s="2"/>
      <c r="JGX210" s="2"/>
      <c r="JGY210" s="2"/>
      <c r="JGZ210" s="2"/>
      <c r="JHA210" s="2"/>
      <c r="JHB210" s="2"/>
      <c r="JHC210" s="2"/>
      <c r="JHD210" s="2"/>
      <c r="JHE210" s="2"/>
      <c r="JHF210" s="2"/>
      <c r="JHG210" s="2"/>
      <c r="JHH210" s="2"/>
      <c r="JHI210" s="2"/>
      <c r="JHJ210" s="2"/>
      <c r="JHK210" s="2"/>
      <c r="JHL210" s="2"/>
      <c r="JHM210" s="2"/>
      <c r="JHN210" s="2"/>
      <c r="JHO210" s="2"/>
      <c r="JHP210" s="2"/>
      <c r="JHQ210" s="2"/>
      <c r="JHR210" s="2"/>
      <c r="JHS210" s="2"/>
      <c r="JHT210" s="2"/>
      <c r="JHU210" s="2"/>
      <c r="JHV210" s="2"/>
      <c r="JHW210" s="2"/>
      <c r="JHX210" s="2"/>
      <c r="JHY210" s="2"/>
      <c r="JHZ210" s="2"/>
      <c r="JIA210" s="2"/>
      <c r="JIB210" s="2"/>
      <c r="JIC210" s="2"/>
      <c r="JID210" s="2"/>
      <c r="JIE210" s="2"/>
      <c r="JIF210" s="2"/>
      <c r="JIG210" s="2"/>
      <c r="JIH210" s="2"/>
      <c r="JII210" s="2"/>
      <c r="JIJ210" s="2"/>
      <c r="JIK210" s="2"/>
      <c r="JIL210" s="2"/>
      <c r="JIM210" s="2"/>
      <c r="JIN210" s="2"/>
      <c r="JIO210" s="2"/>
      <c r="JIP210" s="2"/>
      <c r="JIQ210" s="2"/>
      <c r="JIR210" s="2"/>
      <c r="JIS210" s="2"/>
      <c r="JIT210" s="2"/>
      <c r="JIU210" s="2"/>
      <c r="JIV210" s="2"/>
      <c r="JIW210" s="2"/>
      <c r="JIX210" s="2"/>
      <c r="JIY210" s="2"/>
      <c r="JIZ210" s="2"/>
      <c r="JJA210" s="2"/>
      <c r="JJB210" s="2"/>
      <c r="JJC210" s="2"/>
      <c r="JJD210" s="2"/>
      <c r="JJE210" s="2"/>
      <c r="JJF210" s="2"/>
      <c r="JJG210" s="2"/>
      <c r="JJH210" s="2"/>
      <c r="JJI210" s="2"/>
      <c r="JJJ210" s="2"/>
      <c r="JJK210" s="2"/>
      <c r="JJL210" s="2"/>
      <c r="JJM210" s="2"/>
      <c r="JJN210" s="2"/>
      <c r="JJO210" s="2"/>
      <c r="JJP210" s="2"/>
      <c r="JJQ210" s="2"/>
      <c r="JJR210" s="2"/>
      <c r="JJS210" s="2"/>
      <c r="JJT210" s="2"/>
      <c r="JJU210" s="2"/>
      <c r="JJV210" s="2"/>
      <c r="JJW210" s="2"/>
      <c r="JJX210" s="2"/>
      <c r="JJY210" s="2"/>
      <c r="JJZ210" s="2"/>
      <c r="JKA210" s="2"/>
      <c r="JKB210" s="2"/>
      <c r="JKC210" s="2"/>
      <c r="JKD210" s="2"/>
      <c r="JKE210" s="2"/>
      <c r="JKF210" s="2"/>
      <c r="JKG210" s="2"/>
      <c r="JKH210" s="2"/>
      <c r="JKI210" s="2"/>
      <c r="JKJ210" s="2"/>
      <c r="JKK210" s="2"/>
      <c r="JKL210" s="2"/>
      <c r="JKM210" s="2"/>
      <c r="JKN210" s="2"/>
      <c r="JKO210" s="2"/>
      <c r="JKP210" s="2"/>
      <c r="JKQ210" s="2"/>
      <c r="JKR210" s="2"/>
      <c r="JKS210" s="2"/>
      <c r="JKT210" s="2"/>
      <c r="JKU210" s="2"/>
      <c r="JKV210" s="2"/>
      <c r="JKW210" s="2"/>
      <c r="JKX210" s="2"/>
      <c r="JKY210" s="2"/>
      <c r="JKZ210" s="2"/>
      <c r="JLA210" s="2"/>
      <c r="JLB210" s="2"/>
      <c r="JLC210" s="2"/>
      <c r="JLD210" s="2"/>
      <c r="JLE210" s="2"/>
      <c r="JLF210" s="2"/>
      <c r="JLG210" s="2"/>
      <c r="JLH210" s="2"/>
      <c r="JLI210" s="2"/>
      <c r="JLJ210" s="2"/>
      <c r="JLK210" s="2"/>
      <c r="JLL210" s="2"/>
      <c r="JLM210" s="2"/>
      <c r="JLN210" s="2"/>
      <c r="JLO210" s="2"/>
      <c r="JLP210" s="2"/>
      <c r="JLQ210" s="2"/>
      <c r="JLR210" s="2"/>
      <c r="JLS210" s="2"/>
      <c r="JLT210" s="2"/>
      <c r="JLU210" s="2"/>
      <c r="JLV210" s="2"/>
      <c r="JLW210" s="2"/>
      <c r="JLX210" s="2"/>
      <c r="JLY210" s="2"/>
      <c r="JLZ210" s="2"/>
      <c r="JMA210" s="2"/>
      <c r="JMB210" s="2"/>
      <c r="JMC210" s="2"/>
      <c r="JMD210" s="2"/>
      <c r="JME210" s="2"/>
      <c r="JMF210" s="2"/>
      <c r="JMG210" s="2"/>
      <c r="JMH210" s="2"/>
      <c r="JMI210" s="2"/>
      <c r="JMJ210" s="2"/>
      <c r="JMK210" s="2"/>
      <c r="JML210" s="2"/>
      <c r="JMM210" s="2"/>
      <c r="JMN210" s="2"/>
      <c r="JMO210" s="2"/>
      <c r="JMP210" s="2"/>
      <c r="JMQ210" s="2"/>
      <c r="JMR210" s="2"/>
      <c r="JMS210" s="2"/>
      <c r="JMT210" s="2"/>
      <c r="JMU210" s="2"/>
      <c r="JMV210" s="2"/>
      <c r="JMW210" s="2"/>
      <c r="JMX210" s="2"/>
      <c r="JMY210" s="2"/>
      <c r="JMZ210" s="2"/>
      <c r="JNA210" s="2"/>
      <c r="JNB210" s="2"/>
      <c r="JNC210" s="2"/>
      <c r="JND210" s="2"/>
      <c r="JNE210" s="2"/>
      <c r="JNF210" s="2"/>
      <c r="JNG210" s="2"/>
      <c r="JNH210" s="2"/>
      <c r="JNI210" s="2"/>
      <c r="JNJ210" s="2"/>
      <c r="JNK210" s="2"/>
      <c r="JNL210" s="2"/>
      <c r="JNM210" s="2"/>
      <c r="JNN210" s="2"/>
      <c r="JNO210" s="2"/>
      <c r="JNP210" s="2"/>
      <c r="JNQ210" s="2"/>
      <c r="JNR210" s="2"/>
      <c r="JNS210" s="2"/>
      <c r="JNT210" s="2"/>
      <c r="JNU210" s="2"/>
      <c r="JNV210" s="2"/>
      <c r="JNW210" s="2"/>
      <c r="JNX210" s="2"/>
      <c r="JNY210" s="2"/>
      <c r="JNZ210" s="2"/>
      <c r="JOA210" s="2"/>
      <c r="JOB210" s="2"/>
      <c r="JOC210" s="2"/>
      <c r="JOD210" s="2"/>
      <c r="JOE210" s="2"/>
      <c r="JOF210" s="2"/>
      <c r="JOG210" s="2"/>
      <c r="JOH210" s="2"/>
      <c r="JOI210" s="2"/>
      <c r="JOJ210" s="2"/>
      <c r="JOK210" s="2"/>
      <c r="JOL210" s="2"/>
      <c r="JOM210" s="2"/>
      <c r="JON210" s="2"/>
      <c r="JOO210" s="2"/>
      <c r="JOP210" s="2"/>
      <c r="JOQ210" s="2"/>
      <c r="JOR210" s="2"/>
      <c r="JOS210" s="2"/>
      <c r="JOT210" s="2"/>
      <c r="JOU210" s="2"/>
      <c r="JOV210" s="2"/>
      <c r="JOW210" s="2"/>
      <c r="JOX210" s="2"/>
      <c r="JOY210" s="2"/>
      <c r="JOZ210" s="2"/>
      <c r="JPA210" s="2"/>
      <c r="JPB210" s="2"/>
      <c r="JPC210" s="2"/>
      <c r="JPD210" s="2"/>
      <c r="JPE210" s="2"/>
      <c r="JPF210" s="2"/>
      <c r="JPG210" s="2"/>
      <c r="JPH210" s="2"/>
      <c r="JPI210" s="2"/>
      <c r="JPJ210" s="2"/>
      <c r="JPK210" s="2"/>
      <c r="JPL210" s="2"/>
      <c r="JPM210" s="2"/>
      <c r="JPN210" s="2"/>
      <c r="JPO210" s="2"/>
      <c r="JPP210" s="2"/>
      <c r="JPQ210" s="2"/>
      <c r="JPR210" s="2"/>
      <c r="JPS210" s="2"/>
      <c r="JPT210" s="2"/>
      <c r="JPU210" s="2"/>
      <c r="JPV210" s="2"/>
      <c r="JPW210" s="2"/>
      <c r="JPX210" s="2"/>
      <c r="JPY210" s="2"/>
      <c r="JPZ210" s="2"/>
      <c r="JQA210" s="2"/>
      <c r="JQB210" s="2"/>
      <c r="JQC210" s="2"/>
      <c r="JQD210" s="2"/>
      <c r="JQE210" s="2"/>
      <c r="JQF210" s="2"/>
      <c r="JQG210" s="2"/>
      <c r="JQH210" s="2"/>
      <c r="JQI210" s="2"/>
      <c r="JQJ210" s="2"/>
      <c r="JQK210" s="2"/>
      <c r="JQL210" s="2"/>
      <c r="JQM210" s="2"/>
      <c r="JQN210" s="2"/>
      <c r="JQO210" s="2"/>
      <c r="JQP210" s="2"/>
      <c r="JQQ210" s="2"/>
      <c r="JQR210" s="2"/>
      <c r="JQS210" s="2"/>
      <c r="JQT210" s="2"/>
      <c r="JQU210" s="2"/>
      <c r="JQV210" s="2"/>
      <c r="JQW210" s="2"/>
      <c r="JQX210" s="2"/>
      <c r="JQY210" s="2"/>
      <c r="JQZ210" s="2"/>
      <c r="JRA210" s="2"/>
      <c r="JRB210" s="2"/>
      <c r="JRC210" s="2"/>
      <c r="JRD210" s="2"/>
      <c r="JRE210" s="2"/>
      <c r="JRF210" s="2"/>
      <c r="JRG210" s="2"/>
      <c r="JRH210" s="2"/>
      <c r="JRI210" s="2"/>
      <c r="JRJ210" s="2"/>
      <c r="JRK210" s="2"/>
      <c r="JRL210" s="2"/>
      <c r="JRM210" s="2"/>
      <c r="JRN210" s="2"/>
      <c r="JRO210" s="2"/>
      <c r="JRP210" s="2"/>
      <c r="JRQ210" s="2"/>
      <c r="JRR210" s="2"/>
      <c r="JRS210" s="2"/>
      <c r="JRT210" s="2"/>
      <c r="JRU210" s="2"/>
      <c r="JRV210" s="2"/>
      <c r="JRW210" s="2"/>
      <c r="JRX210" s="2"/>
      <c r="JRY210" s="2"/>
      <c r="JRZ210" s="2"/>
      <c r="JSA210" s="2"/>
      <c r="JSB210" s="2"/>
      <c r="JSC210" s="2"/>
      <c r="JSD210" s="2"/>
      <c r="JSE210" s="2"/>
      <c r="JSF210" s="2"/>
      <c r="JSG210" s="2"/>
      <c r="JSH210" s="2"/>
      <c r="JSI210" s="2"/>
      <c r="JSJ210" s="2"/>
      <c r="JSK210" s="2"/>
      <c r="JSL210" s="2"/>
      <c r="JSM210" s="2"/>
      <c r="JSN210" s="2"/>
      <c r="JSO210" s="2"/>
      <c r="JSP210" s="2"/>
      <c r="JSQ210" s="2"/>
      <c r="JSR210" s="2"/>
      <c r="JSS210" s="2"/>
      <c r="JST210" s="2"/>
      <c r="JSU210" s="2"/>
      <c r="JSV210" s="2"/>
      <c r="JSW210" s="2"/>
      <c r="JSX210" s="2"/>
      <c r="JSY210" s="2"/>
      <c r="JSZ210" s="2"/>
      <c r="JTA210" s="2"/>
      <c r="JTB210" s="2"/>
      <c r="JTC210" s="2"/>
      <c r="JTD210" s="2"/>
      <c r="JTE210" s="2"/>
      <c r="JTF210" s="2"/>
      <c r="JTG210" s="2"/>
      <c r="JTH210" s="2"/>
      <c r="JTI210" s="2"/>
      <c r="JTJ210" s="2"/>
      <c r="JTK210" s="2"/>
      <c r="JTL210" s="2"/>
      <c r="JTM210" s="2"/>
      <c r="JTN210" s="2"/>
      <c r="JTO210" s="2"/>
      <c r="JTP210" s="2"/>
      <c r="JTQ210" s="2"/>
      <c r="JTR210" s="2"/>
      <c r="JTS210" s="2"/>
      <c r="JTT210" s="2"/>
      <c r="JTU210" s="2"/>
      <c r="JTV210" s="2"/>
      <c r="JTW210" s="2"/>
      <c r="JTX210" s="2"/>
      <c r="JTY210" s="2"/>
      <c r="JTZ210" s="2"/>
      <c r="JUA210" s="2"/>
      <c r="JUB210" s="2"/>
      <c r="JUC210" s="2"/>
      <c r="JUD210" s="2"/>
      <c r="JUE210" s="2"/>
      <c r="JUF210" s="2"/>
      <c r="JUG210" s="2"/>
      <c r="JUH210" s="2"/>
      <c r="JUI210" s="2"/>
      <c r="JUJ210" s="2"/>
      <c r="JUK210" s="2"/>
      <c r="JUL210" s="2"/>
      <c r="JUM210" s="2"/>
      <c r="JUN210" s="2"/>
      <c r="JUO210" s="2"/>
      <c r="JUP210" s="2"/>
      <c r="JUQ210" s="2"/>
      <c r="JUR210" s="2"/>
      <c r="JUS210" s="2"/>
      <c r="JUT210" s="2"/>
      <c r="JUU210" s="2"/>
      <c r="JUV210" s="2"/>
      <c r="JUW210" s="2"/>
      <c r="JUX210" s="2"/>
      <c r="JUY210" s="2"/>
      <c r="JUZ210" s="2"/>
      <c r="JVA210" s="2"/>
      <c r="JVB210" s="2"/>
      <c r="JVC210" s="2"/>
      <c r="JVD210" s="2"/>
      <c r="JVE210" s="2"/>
      <c r="JVF210" s="2"/>
      <c r="JVG210" s="2"/>
      <c r="JVH210" s="2"/>
      <c r="JVI210" s="2"/>
      <c r="JVJ210" s="2"/>
      <c r="JVK210" s="2"/>
      <c r="JVL210" s="2"/>
      <c r="JVM210" s="2"/>
      <c r="JVN210" s="2"/>
      <c r="JVO210" s="2"/>
      <c r="JVP210" s="2"/>
      <c r="JVQ210" s="2"/>
      <c r="JVR210" s="2"/>
      <c r="JVS210" s="2"/>
      <c r="JVT210" s="2"/>
      <c r="JVU210" s="2"/>
      <c r="JVV210" s="2"/>
      <c r="JVW210" s="2"/>
      <c r="JVX210" s="2"/>
      <c r="JVY210" s="2"/>
      <c r="JVZ210" s="2"/>
      <c r="JWA210" s="2"/>
      <c r="JWB210" s="2"/>
      <c r="JWC210" s="2"/>
      <c r="JWD210" s="2"/>
      <c r="JWE210" s="2"/>
      <c r="JWF210" s="2"/>
      <c r="JWG210" s="2"/>
      <c r="JWH210" s="2"/>
      <c r="JWI210" s="2"/>
      <c r="JWJ210" s="2"/>
      <c r="JWK210" s="2"/>
      <c r="JWL210" s="2"/>
      <c r="JWM210" s="2"/>
      <c r="JWN210" s="2"/>
      <c r="JWO210" s="2"/>
      <c r="JWP210" s="2"/>
      <c r="JWQ210" s="2"/>
      <c r="JWR210" s="2"/>
      <c r="JWS210" s="2"/>
      <c r="JWT210" s="2"/>
      <c r="JWU210" s="2"/>
      <c r="JWV210" s="2"/>
      <c r="JWW210" s="2"/>
      <c r="JWX210" s="2"/>
      <c r="JWY210" s="2"/>
      <c r="JWZ210" s="2"/>
      <c r="JXA210" s="2"/>
      <c r="JXB210" s="2"/>
      <c r="JXC210" s="2"/>
      <c r="JXD210" s="2"/>
      <c r="JXE210" s="2"/>
      <c r="JXF210" s="2"/>
      <c r="JXG210" s="2"/>
      <c r="JXH210" s="2"/>
      <c r="JXI210" s="2"/>
      <c r="JXJ210" s="2"/>
      <c r="JXK210" s="2"/>
      <c r="JXL210" s="2"/>
      <c r="JXM210" s="2"/>
      <c r="JXN210" s="2"/>
      <c r="JXO210" s="2"/>
      <c r="JXP210" s="2"/>
      <c r="JXQ210" s="2"/>
      <c r="JXR210" s="2"/>
      <c r="JXS210" s="2"/>
      <c r="JXT210" s="2"/>
      <c r="JXU210" s="2"/>
      <c r="JXV210" s="2"/>
      <c r="JXW210" s="2"/>
      <c r="JXX210" s="2"/>
      <c r="JXY210" s="2"/>
      <c r="JXZ210" s="2"/>
      <c r="JYA210" s="2"/>
      <c r="JYB210" s="2"/>
      <c r="JYC210" s="2"/>
      <c r="JYD210" s="2"/>
      <c r="JYE210" s="2"/>
      <c r="JYF210" s="2"/>
      <c r="JYG210" s="2"/>
      <c r="JYH210" s="2"/>
      <c r="JYI210" s="2"/>
      <c r="JYJ210" s="2"/>
      <c r="JYK210" s="2"/>
      <c r="JYL210" s="2"/>
      <c r="JYM210" s="2"/>
      <c r="JYN210" s="2"/>
      <c r="JYO210" s="2"/>
      <c r="JYP210" s="2"/>
      <c r="JYQ210" s="2"/>
      <c r="JYR210" s="2"/>
      <c r="JYS210" s="2"/>
      <c r="JYT210" s="2"/>
      <c r="JYU210" s="2"/>
      <c r="JYV210" s="2"/>
      <c r="JYW210" s="2"/>
      <c r="JYX210" s="2"/>
      <c r="JYY210" s="2"/>
      <c r="JYZ210" s="2"/>
      <c r="JZA210" s="2"/>
      <c r="JZB210" s="2"/>
      <c r="JZC210" s="2"/>
      <c r="JZD210" s="2"/>
      <c r="JZE210" s="2"/>
      <c r="JZF210" s="2"/>
      <c r="JZG210" s="2"/>
      <c r="JZH210" s="2"/>
      <c r="JZI210" s="2"/>
      <c r="JZJ210" s="2"/>
      <c r="JZK210" s="2"/>
      <c r="JZL210" s="2"/>
      <c r="JZM210" s="2"/>
      <c r="JZN210" s="2"/>
      <c r="JZO210" s="2"/>
      <c r="JZP210" s="2"/>
      <c r="JZQ210" s="2"/>
      <c r="JZR210" s="2"/>
      <c r="JZS210" s="2"/>
      <c r="JZT210" s="2"/>
      <c r="JZU210" s="2"/>
      <c r="JZV210" s="2"/>
      <c r="JZW210" s="2"/>
      <c r="JZX210" s="2"/>
      <c r="JZY210" s="2"/>
      <c r="JZZ210" s="2"/>
      <c r="KAA210" s="2"/>
      <c r="KAB210" s="2"/>
      <c r="KAC210" s="2"/>
      <c r="KAD210" s="2"/>
      <c r="KAE210" s="2"/>
      <c r="KAF210" s="2"/>
      <c r="KAG210" s="2"/>
      <c r="KAH210" s="2"/>
      <c r="KAI210" s="2"/>
      <c r="KAJ210" s="2"/>
      <c r="KAK210" s="2"/>
      <c r="KAL210" s="2"/>
      <c r="KAM210" s="2"/>
      <c r="KAN210" s="2"/>
      <c r="KAO210" s="2"/>
      <c r="KAP210" s="2"/>
      <c r="KAQ210" s="2"/>
      <c r="KAR210" s="2"/>
      <c r="KAS210" s="2"/>
      <c r="KAT210" s="2"/>
      <c r="KAU210" s="2"/>
      <c r="KAV210" s="2"/>
      <c r="KAW210" s="2"/>
      <c r="KAX210" s="2"/>
      <c r="KAY210" s="2"/>
      <c r="KAZ210" s="2"/>
      <c r="KBA210" s="2"/>
      <c r="KBB210" s="2"/>
      <c r="KBC210" s="2"/>
      <c r="KBD210" s="2"/>
      <c r="KBE210" s="2"/>
      <c r="KBF210" s="2"/>
      <c r="KBG210" s="2"/>
      <c r="KBH210" s="2"/>
      <c r="KBI210" s="2"/>
      <c r="KBJ210" s="2"/>
      <c r="KBK210" s="2"/>
      <c r="KBL210" s="2"/>
      <c r="KBM210" s="2"/>
      <c r="KBN210" s="2"/>
      <c r="KBO210" s="2"/>
      <c r="KBP210" s="2"/>
      <c r="KBQ210" s="2"/>
      <c r="KBR210" s="2"/>
      <c r="KBS210" s="2"/>
      <c r="KBT210" s="2"/>
      <c r="KBU210" s="2"/>
      <c r="KBV210" s="2"/>
      <c r="KBW210" s="2"/>
      <c r="KBX210" s="2"/>
      <c r="KBY210" s="2"/>
      <c r="KBZ210" s="2"/>
      <c r="KCA210" s="2"/>
      <c r="KCB210" s="2"/>
      <c r="KCC210" s="2"/>
      <c r="KCD210" s="2"/>
      <c r="KCE210" s="2"/>
      <c r="KCF210" s="2"/>
      <c r="KCG210" s="2"/>
      <c r="KCH210" s="2"/>
      <c r="KCI210" s="2"/>
      <c r="KCJ210" s="2"/>
      <c r="KCK210" s="2"/>
      <c r="KCL210" s="2"/>
      <c r="KCM210" s="2"/>
      <c r="KCN210" s="2"/>
      <c r="KCO210" s="2"/>
      <c r="KCP210" s="2"/>
      <c r="KCQ210" s="2"/>
      <c r="KCR210" s="2"/>
      <c r="KCS210" s="2"/>
      <c r="KCT210" s="2"/>
      <c r="KCU210" s="2"/>
      <c r="KCV210" s="2"/>
      <c r="KCW210" s="2"/>
      <c r="KCX210" s="2"/>
      <c r="KCY210" s="2"/>
      <c r="KCZ210" s="2"/>
      <c r="KDA210" s="2"/>
      <c r="KDB210" s="2"/>
      <c r="KDC210" s="2"/>
      <c r="KDD210" s="2"/>
      <c r="KDE210" s="2"/>
      <c r="KDF210" s="2"/>
      <c r="KDG210" s="2"/>
      <c r="KDH210" s="2"/>
      <c r="KDI210" s="2"/>
      <c r="KDJ210" s="2"/>
      <c r="KDK210" s="2"/>
      <c r="KDL210" s="2"/>
      <c r="KDM210" s="2"/>
      <c r="KDN210" s="2"/>
      <c r="KDO210" s="2"/>
      <c r="KDP210" s="2"/>
      <c r="KDQ210" s="2"/>
      <c r="KDR210" s="2"/>
      <c r="KDS210" s="2"/>
      <c r="KDT210" s="2"/>
      <c r="KDU210" s="2"/>
      <c r="KDV210" s="2"/>
      <c r="KDW210" s="2"/>
      <c r="KDX210" s="2"/>
      <c r="KDY210" s="2"/>
      <c r="KDZ210" s="2"/>
      <c r="KEA210" s="2"/>
      <c r="KEB210" s="2"/>
      <c r="KEC210" s="2"/>
      <c r="KED210" s="2"/>
      <c r="KEE210" s="2"/>
      <c r="KEF210" s="2"/>
      <c r="KEG210" s="2"/>
      <c r="KEH210" s="2"/>
      <c r="KEI210" s="2"/>
      <c r="KEJ210" s="2"/>
      <c r="KEK210" s="2"/>
      <c r="KEL210" s="2"/>
      <c r="KEM210" s="2"/>
      <c r="KEN210" s="2"/>
      <c r="KEO210" s="2"/>
      <c r="KEP210" s="2"/>
      <c r="KEQ210" s="2"/>
      <c r="KER210" s="2"/>
      <c r="KES210" s="2"/>
      <c r="KET210" s="2"/>
      <c r="KEU210" s="2"/>
      <c r="KEV210" s="2"/>
      <c r="KEW210" s="2"/>
      <c r="KEX210" s="2"/>
      <c r="KEY210" s="2"/>
      <c r="KEZ210" s="2"/>
      <c r="KFA210" s="2"/>
      <c r="KFB210" s="2"/>
      <c r="KFC210" s="2"/>
      <c r="KFD210" s="2"/>
      <c r="KFE210" s="2"/>
      <c r="KFF210" s="2"/>
      <c r="KFG210" s="2"/>
      <c r="KFH210" s="2"/>
      <c r="KFI210" s="2"/>
      <c r="KFJ210" s="2"/>
      <c r="KFK210" s="2"/>
      <c r="KFL210" s="2"/>
      <c r="KFM210" s="2"/>
      <c r="KFN210" s="2"/>
      <c r="KFO210" s="2"/>
      <c r="KFP210" s="2"/>
      <c r="KFQ210" s="2"/>
      <c r="KFR210" s="2"/>
      <c r="KFS210" s="2"/>
      <c r="KFT210" s="2"/>
      <c r="KFU210" s="2"/>
      <c r="KFV210" s="2"/>
      <c r="KFW210" s="2"/>
      <c r="KFX210" s="2"/>
      <c r="KFY210" s="2"/>
      <c r="KFZ210" s="2"/>
      <c r="KGA210" s="2"/>
      <c r="KGB210" s="2"/>
      <c r="KGC210" s="2"/>
      <c r="KGD210" s="2"/>
      <c r="KGE210" s="2"/>
      <c r="KGF210" s="2"/>
      <c r="KGG210" s="2"/>
      <c r="KGH210" s="2"/>
      <c r="KGI210" s="2"/>
      <c r="KGJ210" s="2"/>
      <c r="KGK210" s="2"/>
      <c r="KGL210" s="2"/>
      <c r="KGM210" s="2"/>
      <c r="KGN210" s="2"/>
      <c r="KGO210" s="2"/>
      <c r="KGP210" s="2"/>
      <c r="KGQ210" s="2"/>
      <c r="KGR210" s="2"/>
      <c r="KGS210" s="2"/>
      <c r="KGT210" s="2"/>
      <c r="KGU210" s="2"/>
      <c r="KGV210" s="2"/>
      <c r="KGW210" s="2"/>
      <c r="KGX210" s="2"/>
      <c r="KGY210" s="2"/>
      <c r="KGZ210" s="2"/>
      <c r="KHA210" s="2"/>
      <c r="KHB210" s="2"/>
      <c r="KHC210" s="2"/>
      <c r="KHD210" s="2"/>
      <c r="KHE210" s="2"/>
      <c r="KHF210" s="2"/>
      <c r="KHG210" s="2"/>
      <c r="KHH210" s="2"/>
      <c r="KHI210" s="2"/>
      <c r="KHJ210" s="2"/>
      <c r="KHK210" s="2"/>
      <c r="KHL210" s="2"/>
      <c r="KHM210" s="2"/>
      <c r="KHN210" s="2"/>
      <c r="KHO210" s="2"/>
      <c r="KHP210" s="2"/>
      <c r="KHQ210" s="2"/>
      <c r="KHR210" s="2"/>
      <c r="KHS210" s="2"/>
      <c r="KHT210" s="2"/>
      <c r="KHU210" s="2"/>
      <c r="KHV210" s="2"/>
      <c r="KHW210" s="2"/>
      <c r="KHX210" s="2"/>
      <c r="KHY210" s="2"/>
      <c r="KHZ210" s="2"/>
      <c r="KIA210" s="2"/>
      <c r="KIB210" s="2"/>
      <c r="KIC210" s="2"/>
      <c r="KID210" s="2"/>
      <c r="KIE210" s="2"/>
      <c r="KIF210" s="2"/>
      <c r="KIG210" s="2"/>
      <c r="KIH210" s="2"/>
      <c r="KII210" s="2"/>
      <c r="KIJ210" s="2"/>
      <c r="KIK210" s="2"/>
      <c r="KIL210" s="2"/>
      <c r="KIM210" s="2"/>
      <c r="KIN210" s="2"/>
      <c r="KIO210" s="2"/>
      <c r="KIP210" s="2"/>
      <c r="KIQ210" s="2"/>
      <c r="KIR210" s="2"/>
      <c r="KIS210" s="2"/>
      <c r="KIT210" s="2"/>
      <c r="KIU210" s="2"/>
      <c r="KIV210" s="2"/>
      <c r="KIW210" s="2"/>
      <c r="KIX210" s="2"/>
      <c r="KIY210" s="2"/>
      <c r="KIZ210" s="2"/>
      <c r="KJA210" s="2"/>
      <c r="KJB210" s="2"/>
      <c r="KJC210" s="2"/>
      <c r="KJD210" s="2"/>
      <c r="KJE210" s="2"/>
      <c r="KJF210" s="2"/>
      <c r="KJG210" s="2"/>
      <c r="KJH210" s="2"/>
      <c r="KJI210" s="2"/>
      <c r="KJJ210" s="2"/>
      <c r="KJK210" s="2"/>
      <c r="KJL210" s="2"/>
      <c r="KJM210" s="2"/>
      <c r="KJN210" s="2"/>
      <c r="KJO210" s="2"/>
      <c r="KJP210" s="2"/>
      <c r="KJQ210" s="2"/>
      <c r="KJR210" s="2"/>
      <c r="KJS210" s="2"/>
      <c r="KJT210" s="2"/>
      <c r="KJU210" s="2"/>
      <c r="KJV210" s="2"/>
      <c r="KJW210" s="2"/>
      <c r="KJX210" s="2"/>
      <c r="KJY210" s="2"/>
      <c r="KJZ210" s="2"/>
      <c r="KKA210" s="2"/>
      <c r="KKB210" s="2"/>
      <c r="KKC210" s="2"/>
      <c r="KKD210" s="2"/>
      <c r="KKE210" s="2"/>
      <c r="KKF210" s="2"/>
      <c r="KKG210" s="2"/>
      <c r="KKH210" s="2"/>
      <c r="KKI210" s="2"/>
      <c r="KKJ210" s="2"/>
      <c r="KKK210" s="2"/>
      <c r="KKL210" s="2"/>
      <c r="KKM210" s="2"/>
      <c r="KKN210" s="2"/>
      <c r="KKO210" s="2"/>
      <c r="KKP210" s="2"/>
      <c r="KKQ210" s="2"/>
      <c r="KKR210" s="2"/>
      <c r="KKS210" s="2"/>
      <c r="KKT210" s="2"/>
      <c r="KKU210" s="2"/>
      <c r="KKV210" s="2"/>
      <c r="KKW210" s="2"/>
      <c r="KKX210" s="2"/>
      <c r="KKY210" s="2"/>
      <c r="KKZ210" s="2"/>
      <c r="KLA210" s="2"/>
      <c r="KLB210" s="2"/>
      <c r="KLC210" s="2"/>
      <c r="KLD210" s="2"/>
      <c r="KLE210" s="2"/>
      <c r="KLF210" s="2"/>
      <c r="KLG210" s="2"/>
      <c r="KLH210" s="2"/>
      <c r="KLI210" s="2"/>
      <c r="KLJ210" s="2"/>
      <c r="KLK210" s="2"/>
      <c r="KLL210" s="2"/>
      <c r="KLM210" s="2"/>
      <c r="KLN210" s="2"/>
      <c r="KLO210" s="2"/>
      <c r="KLP210" s="2"/>
      <c r="KLQ210" s="2"/>
      <c r="KLR210" s="2"/>
      <c r="KLS210" s="2"/>
      <c r="KLT210" s="2"/>
      <c r="KLU210" s="2"/>
      <c r="KLV210" s="2"/>
      <c r="KLW210" s="2"/>
      <c r="KLX210" s="2"/>
      <c r="KLY210" s="2"/>
      <c r="KLZ210" s="2"/>
      <c r="KMA210" s="2"/>
      <c r="KMB210" s="2"/>
      <c r="KMC210" s="2"/>
      <c r="KMD210" s="2"/>
      <c r="KME210" s="2"/>
      <c r="KMF210" s="2"/>
      <c r="KMG210" s="2"/>
      <c r="KMH210" s="2"/>
      <c r="KMI210" s="2"/>
      <c r="KMJ210" s="2"/>
      <c r="KMK210" s="2"/>
      <c r="KML210" s="2"/>
      <c r="KMM210" s="2"/>
      <c r="KMN210" s="2"/>
      <c r="KMO210" s="2"/>
      <c r="KMP210" s="2"/>
      <c r="KMQ210" s="2"/>
      <c r="KMR210" s="2"/>
      <c r="KMS210" s="2"/>
      <c r="KMT210" s="2"/>
      <c r="KMU210" s="2"/>
      <c r="KMV210" s="2"/>
      <c r="KMW210" s="2"/>
      <c r="KMX210" s="2"/>
      <c r="KMY210" s="2"/>
      <c r="KMZ210" s="2"/>
      <c r="KNA210" s="2"/>
      <c r="KNB210" s="2"/>
      <c r="KNC210" s="2"/>
      <c r="KND210" s="2"/>
      <c r="KNE210" s="2"/>
      <c r="KNF210" s="2"/>
      <c r="KNG210" s="2"/>
      <c r="KNH210" s="2"/>
      <c r="KNI210" s="2"/>
      <c r="KNJ210" s="2"/>
      <c r="KNK210" s="2"/>
      <c r="KNL210" s="2"/>
      <c r="KNM210" s="2"/>
      <c r="KNN210" s="2"/>
      <c r="KNO210" s="2"/>
      <c r="KNP210" s="2"/>
      <c r="KNQ210" s="2"/>
      <c r="KNR210" s="2"/>
      <c r="KNS210" s="2"/>
      <c r="KNT210" s="2"/>
      <c r="KNU210" s="2"/>
      <c r="KNV210" s="2"/>
      <c r="KNW210" s="2"/>
      <c r="KNX210" s="2"/>
      <c r="KNY210" s="2"/>
      <c r="KNZ210" s="2"/>
      <c r="KOA210" s="2"/>
      <c r="KOB210" s="2"/>
      <c r="KOC210" s="2"/>
      <c r="KOD210" s="2"/>
      <c r="KOE210" s="2"/>
      <c r="KOF210" s="2"/>
      <c r="KOG210" s="2"/>
      <c r="KOH210" s="2"/>
      <c r="KOI210" s="2"/>
      <c r="KOJ210" s="2"/>
      <c r="KOK210" s="2"/>
      <c r="KOL210" s="2"/>
      <c r="KOM210" s="2"/>
      <c r="KON210" s="2"/>
      <c r="KOO210" s="2"/>
      <c r="KOP210" s="2"/>
      <c r="KOQ210" s="2"/>
      <c r="KOR210" s="2"/>
      <c r="KOS210" s="2"/>
      <c r="KOT210" s="2"/>
      <c r="KOU210" s="2"/>
      <c r="KOV210" s="2"/>
      <c r="KOW210" s="2"/>
      <c r="KOX210" s="2"/>
      <c r="KOY210" s="2"/>
      <c r="KOZ210" s="2"/>
      <c r="KPA210" s="2"/>
      <c r="KPB210" s="2"/>
      <c r="KPC210" s="2"/>
      <c r="KPD210" s="2"/>
      <c r="KPE210" s="2"/>
      <c r="KPF210" s="2"/>
      <c r="KPG210" s="2"/>
      <c r="KPH210" s="2"/>
      <c r="KPI210" s="2"/>
      <c r="KPJ210" s="2"/>
      <c r="KPK210" s="2"/>
      <c r="KPL210" s="2"/>
      <c r="KPM210" s="2"/>
      <c r="KPN210" s="2"/>
      <c r="KPO210" s="2"/>
      <c r="KPP210" s="2"/>
      <c r="KPQ210" s="2"/>
      <c r="KPR210" s="2"/>
      <c r="KPS210" s="2"/>
      <c r="KPT210" s="2"/>
      <c r="KPU210" s="2"/>
      <c r="KPV210" s="2"/>
      <c r="KPW210" s="2"/>
      <c r="KPX210" s="2"/>
      <c r="KPY210" s="2"/>
      <c r="KPZ210" s="2"/>
      <c r="KQA210" s="2"/>
      <c r="KQB210" s="2"/>
      <c r="KQC210" s="2"/>
      <c r="KQD210" s="2"/>
      <c r="KQE210" s="2"/>
      <c r="KQF210" s="2"/>
      <c r="KQG210" s="2"/>
      <c r="KQH210" s="2"/>
      <c r="KQI210" s="2"/>
      <c r="KQJ210" s="2"/>
      <c r="KQK210" s="2"/>
      <c r="KQL210" s="2"/>
      <c r="KQM210" s="2"/>
      <c r="KQN210" s="2"/>
      <c r="KQO210" s="2"/>
      <c r="KQP210" s="2"/>
      <c r="KQQ210" s="2"/>
      <c r="KQR210" s="2"/>
      <c r="KQS210" s="2"/>
      <c r="KQT210" s="2"/>
      <c r="KQU210" s="2"/>
      <c r="KQV210" s="2"/>
      <c r="KQW210" s="2"/>
      <c r="KQX210" s="2"/>
      <c r="KQY210" s="2"/>
      <c r="KQZ210" s="2"/>
      <c r="KRA210" s="2"/>
      <c r="KRB210" s="2"/>
      <c r="KRC210" s="2"/>
      <c r="KRD210" s="2"/>
      <c r="KRE210" s="2"/>
      <c r="KRF210" s="2"/>
      <c r="KRG210" s="2"/>
      <c r="KRH210" s="2"/>
      <c r="KRI210" s="2"/>
      <c r="KRJ210" s="2"/>
      <c r="KRK210" s="2"/>
      <c r="KRL210" s="2"/>
      <c r="KRM210" s="2"/>
      <c r="KRN210" s="2"/>
      <c r="KRO210" s="2"/>
      <c r="KRP210" s="2"/>
      <c r="KRQ210" s="2"/>
      <c r="KRR210" s="2"/>
      <c r="KRS210" s="2"/>
      <c r="KRT210" s="2"/>
      <c r="KRU210" s="2"/>
      <c r="KRV210" s="2"/>
      <c r="KRW210" s="2"/>
      <c r="KRX210" s="2"/>
      <c r="KRY210" s="2"/>
      <c r="KRZ210" s="2"/>
      <c r="KSA210" s="2"/>
      <c r="KSB210" s="2"/>
      <c r="KSC210" s="2"/>
      <c r="KSD210" s="2"/>
      <c r="KSE210" s="2"/>
      <c r="KSF210" s="2"/>
      <c r="KSG210" s="2"/>
      <c r="KSH210" s="2"/>
      <c r="KSI210" s="2"/>
      <c r="KSJ210" s="2"/>
      <c r="KSK210" s="2"/>
      <c r="KSL210" s="2"/>
      <c r="KSM210" s="2"/>
      <c r="KSN210" s="2"/>
      <c r="KSO210" s="2"/>
      <c r="KSP210" s="2"/>
      <c r="KSQ210" s="2"/>
      <c r="KSR210" s="2"/>
      <c r="KSS210" s="2"/>
      <c r="KST210" s="2"/>
      <c r="KSU210" s="2"/>
      <c r="KSV210" s="2"/>
      <c r="KSW210" s="2"/>
      <c r="KSX210" s="2"/>
      <c r="KSY210" s="2"/>
      <c r="KSZ210" s="2"/>
      <c r="KTA210" s="2"/>
      <c r="KTB210" s="2"/>
      <c r="KTC210" s="2"/>
      <c r="KTD210" s="2"/>
      <c r="KTE210" s="2"/>
      <c r="KTF210" s="2"/>
      <c r="KTG210" s="2"/>
      <c r="KTH210" s="2"/>
      <c r="KTI210" s="2"/>
      <c r="KTJ210" s="2"/>
      <c r="KTK210" s="2"/>
      <c r="KTL210" s="2"/>
      <c r="KTM210" s="2"/>
      <c r="KTN210" s="2"/>
      <c r="KTO210" s="2"/>
      <c r="KTP210" s="2"/>
      <c r="KTQ210" s="2"/>
      <c r="KTR210" s="2"/>
      <c r="KTS210" s="2"/>
      <c r="KTT210" s="2"/>
      <c r="KTU210" s="2"/>
      <c r="KTV210" s="2"/>
      <c r="KTW210" s="2"/>
      <c r="KTX210" s="2"/>
      <c r="KTY210" s="2"/>
      <c r="KTZ210" s="2"/>
      <c r="KUA210" s="2"/>
      <c r="KUB210" s="2"/>
      <c r="KUC210" s="2"/>
      <c r="KUD210" s="2"/>
      <c r="KUE210" s="2"/>
      <c r="KUF210" s="2"/>
      <c r="KUG210" s="2"/>
      <c r="KUH210" s="2"/>
      <c r="KUI210" s="2"/>
      <c r="KUJ210" s="2"/>
      <c r="KUK210" s="2"/>
      <c r="KUL210" s="2"/>
      <c r="KUM210" s="2"/>
      <c r="KUN210" s="2"/>
      <c r="KUO210" s="2"/>
      <c r="KUP210" s="2"/>
      <c r="KUQ210" s="2"/>
      <c r="KUR210" s="2"/>
      <c r="KUS210" s="2"/>
      <c r="KUT210" s="2"/>
      <c r="KUU210" s="2"/>
      <c r="KUV210" s="2"/>
      <c r="KUW210" s="2"/>
      <c r="KUX210" s="2"/>
      <c r="KUY210" s="2"/>
      <c r="KUZ210" s="2"/>
      <c r="KVA210" s="2"/>
      <c r="KVB210" s="2"/>
      <c r="KVC210" s="2"/>
      <c r="KVD210" s="2"/>
      <c r="KVE210" s="2"/>
      <c r="KVF210" s="2"/>
      <c r="KVG210" s="2"/>
      <c r="KVH210" s="2"/>
      <c r="KVI210" s="2"/>
      <c r="KVJ210" s="2"/>
      <c r="KVK210" s="2"/>
      <c r="KVL210" s="2"/>
      <c r="KVM210" s="2"/>
      <c r="KVN210" s="2"/>
      <c r="KVO210" s="2"/>
      <c r="KVP210" s="2"/>
      <c r="KVQ210" s="2"/>
      <c r="KVR210" s="2"/>
      <c r="KVS210" s="2"/>
      <c r="KVT210" s="2"/>
      <c r="KVU210" s="2"/>
      <c r="KVV210" s="2"/>
      <c r="KVW210" s="2"/>
      <c r="KVX210" s="2"/>
      <c r="KVY210" s="2"/>
      <c r="KVZ210" s="2"/>
      <c r="KWA210" s="2"/>
      <c r="KWB210" s="2"/>
      <c r="KWC210" s="2"/>
      <c r="KWD210" s="2"/>
      <c r="KWE210" s="2"/>
      <c r="KWF210" s="2"/>
      <c r="KWG210" s="2"/>
      <c r="KWH210" s="2"/>
      <c r="KWI210" s="2"/>
      <c r="KWJ210" s="2"/>
      <c r="KWK210" s="2"/>
      <c r="KWL210" s="2"/>
      <c r="KWM210" s="2"/>
      <c r="KWN210" s="2"/>
      <c r="KWO210" s="2"/>
      <c r="KWP210" s="2"/>
      <c r="KWQ210" s="2"/>
      <c r="KWR210" s="2"/>
      <c r="KWS210" s="2"/>
      <c r="KWT210" s="2"/>
      <c r="KWU210" s="2"/>
      <c r="KWV210" s="2"/>
      <c r="KWW210" s="2"/>
      <c r="KWX210" s="2"/>
      <c r="KWY210" s="2"/>
      <c r="KWZ210" s="2"/>
      <c r="KXA210" s="2"/>
      <c r="KXB210" s="2"/>
      <c r="KXC210" s="2"/>
      <c r="KXD210" s="2"/>
      <c r="KXE210" s="2"/>
      <c r="KXF210" s="2"/>
      <c r="KXG210" s="2"/>
      <c r="KXH210" s="2"/>
      <c r="KXI210" s="2"/>
      <c r="KXJ210" s="2"/>
      <c r="KXK210" s="2"/>
      <c r="KXL210" s="2"/>
      <c r="KXM210" s="2"/>
      <c r="KXN210" s="2"/>
      <c r="KXO210" s="2"/>
      <c r="KXP210" s="2"/>
      <c r="KXQ210" s="2"/>
      <c r="KXR210" s="2"/>
      <c r="KXS210" s="2"/>
      <c r="KXT210" s="2"/>
      <c r="KXU210" s="2"/>
      <c r="KXV210" s="2"/>
      <c r="KXW210" s="2"/>
      <c r="KXX210" s="2"/>
      <c r="KXY210" s="2"/>
      <c r="KXZ210" s="2"/>
      <c r="KYA210" s="2"/>
      <c r="KYB210" s="2"/>
      <c r="KYC210" s="2"/>
      <c r="KYD210" s="2"/>
      <c r="KYE210" s="2"/>
      <c r="KYF210" s="2"/>
      <c r="KYG210" s="2"/>
      <c r="KYH210" s="2"/>
      <c r="KYI210" s="2"/>
      <c r="KYJ210" s="2"/>
      <c r="KYK210" s="2"/>
      <c r="KYL210" s="2"/>
      <c r="KYM210" s="2"/>
      <c r="KYN210" s="2"/>
      <c r="KYO210" s="2"/>
      <c r="KYP210" s="2"/>
      <c r="KYQ210" s="2"/>
      <c r="KYR210" s="2"/>
      <c r="KYS210" s="2"/>
      <c r="KYT210" s="2"/>
      <c r="KYU210" s="2"/>
      <c r="KYV210" s="2"/>
      <c r="KYW210" s="2"/>
      <c r="KYX210" s="2"/>
      <c r="KYY210" s="2"/>
      <c r="KYZ210" s="2"/>
      <c r="KZA210" s="2"/>
      <c r="KZB210" s="2"/>
      <c r="KZC210" s="2"/>
      <c r="KZD210" s="2"/>
      <c r="KZE210" s="2"/>
      <c r="KZF210" s="2"/>
      <c r="KZG210" s="2"/>
      <c r="KZH210" s="2"/>
      <c r="KZI210" s="2"/>
      <c r="KZJ210" s="2"/>
      <c r="KZK210" s="2"/>
      <c r="KZL210" s="2"/>
      <c r="KZM210" s="2"/>
      <c r="KZN210" s="2"/>
      <c r="KZO210" s="2"/>
      <c r="KZP210" s="2"/>
      <c r="KZQ210" s="2"/>
      <c r="KZR210" s="2"/>
      <c r="KZS210" s="2"/>
      <c r="KZT210" s="2"/>
      <c r="KZU210" s="2"/>
      <c r="KZV210" s="2"/>
      <c r="KZW210" s="2"/>
      <c r="KZX210" s="2"/>
      <c r="KZY210" s="2"/>
      <c r="KZZ210" s="2"/>
      <c r="LAA210" s="2"/>
      <c r="LAB210" s="2"/>
      <c r="LAC210" s="2"/>
      <c r="LAD210" s="2"/>
      <c r="LAE210" s="2"/>
      <c r="LAF210" s="2"/>
      <c r="LAG210" s="2"/>
      <c r="LAH210" s="2"/>
      <c r="LAI210" s="2"/>
      <c r="LAJ210" s="2"/>
      <c r="LAK210" s="2"/>
      <c r="LAL210" s="2"/>
      <c r="LAM210" s="2"/>
      <c r="LAN210" s="2"/>
      <c r="LAO210" s="2"/>
      <c r="LAP210" s="2"/>
      <c r="LAQ210" s="2"/>
      <c r="LAR210" s="2"/>
      <c r="LAS210" s="2"/>
      <c r="LAT210" s="2"/>
      <c r="LAU210" s="2"/>
      <c r="LAV210" s="2"/>
      <c r="LAW210" s="2"/>
      <c r="LAX210" s="2"/>
      <c r="LAY210" s="2"/>
      <c r="LAZ210" s="2"/>
      <c r="LBA210" s="2"/>
      <c r="LBB210" s="2"/>
      <c r="LBC210" s="2"/>
      <c r="LBD210" s="2"/>
      <c r="LBE210" s="2"/>
      <c r="LBF210" s="2"/>
      <c r="LBG210" s="2"/>
      <c r="LBH210" s="2"/>
      <c r="LBI210" s="2"/>
      <c r="LBJ210" s="2"/>
      <c r="LBK210" s="2"/>
      <c r="LBL210" s="2"/>
      <c r="LBM210" s="2"/>
      <c r="LBN210" s="2"/>
      <c r="LBO210" s="2"/>
      <c r="LBP210" s="2"/>
      <c r="LBQ210" s="2"/>
      <c r="LBR210" s="2"/>
      <c r="LBS210" s="2"/>
      <c r="LBT210" s="2"/>
      <c r="LBU210" s="2"/>
      <c r="LBV210" s="2"/>
      <c r="LBW210" s="2"/>
      <c r="LBX210" s="2"/>
      <c r="LBY210" s="2"/>
      <c r="LBZ210" s="2"/>
      <c r="LCA210" s="2"/>
      <c r="LCB210" s="2"/>
      <c r="LCC210" s="2"/>
      <c r="LCD210" s="2"/>
      <c r="LCE210" s="2"/>
      <c r="LCF210" s="2"/>
      <c r="LCG210" s="2"/>
      <c r="LCH210" s="2"/>
      <c r="LCI210" s="2"/>
      <c r="LCJ210" s="2"/>
      <c r="LCK210" s="2"/>
      <c r="LCL210" s="2"/>
      <c r="LCM210" s="2"/>
      <c r="LCN210" s="2"/>
      <c r="LCO210" s="2"/>
      <c r="LCP210" s="2"/>
      <c r="LCQ210" s="2"/>
      <c r="LCR210" s="2"/>
      <c r="LCS210" s="2"/>
      <c r="LCT210" s="2"/>
      <c r="LCU210" s="2"/>
      <c r="LCV210" s="2"/>
      <c r="LCW210" s="2"/>
      <c r="LCX210" s="2"/>
      <c r="LCY210" s="2"/>
      <c r="LCZ210" s="2"/>
      <c r="LDA210" s="2"/>
      <c r="LDB210" s="2"/>
      <c r="LDC210" s="2"/>
      <c r="LDD210" s="2"/>
      <c r="LDE210" s="2"/>
      <c r="LDF210" s="2"/>
      <c r="LDG210" s="2"/>
      <c r="LDH210" s="2"/>
      <c r="LDI210" s="2"/>
      <c r="LDJ210" s="2"/>
      <c r="LDK210" s="2"/>
      <c r="LDL210" s="2"/>
      <c r="LDM210" s="2"/>
      <c r="LDN210" s="2"/>
      <c r="LDO210" s="2"/>
      <c r="LDP210" s="2"/>
      <c r="LDQ210" s="2"/>
      <c r="LDR210" s="2"/>
      <c r="LDS210" s="2"/>
      <c r="LDT210" s="2"/>
      <c r="LDU210" s="2"/>
      <c r="LDV210" s="2"/>
      <c r="LDW210" s="2"/>
      <c r="LDX210" s="2"/>
      <c r="LDY210" s="2"/>
      <c r="LDZ210" s="2"/>
      <c r="LEA210" s="2"/>
      <c r="LEB210" s="2"/>
      <c r="LEC210" s="2"/>
      <c r="LED210" s="2"/>
      <c r="LEE210" s="2"/>
      <c r="LEF210" s="2"/>
      <c r="LEG210" s="2"/>
      <c r="LEH210" s="2"/>
      <c r="LEI210" s="2"/>
      <c r="LEJ210" s="2"/>
      <c r="LEK210" s="2"/>
      <c r="LEL210" s="2"/>
      <c r="LEM210" s="2"/>
      <c r="LEN210" s="2"/>
      <c r="LEO210" s="2"/>
      <c r="LEP210" s="2"/>
      <c r="LEQ210" s="2"/>
      <c r="LER210" s="2"/>
      <c r="LES210" s="2"/>
      <c r="LET210" s="2"/>
      <c r="LEU210" s="2"/>
      <c r="LEV210" s="2"/>
      <c r="LEW210" s="2"/>
      <c r="LEX210" s="2"/>
      <c r="LEY210" s="2"/>
      <c r="LEZ210" s="2"/>
      <c r="LFA210" s="2"/>
      <c r="LFB210" s="2"/>
      <c r="LFC210" s="2"/>
      <c r="LFD210" s="2"/>
      <c r="LFE210" s="2"/>
      <c r="LFF210" s="2"/>
      <c r="LFG210" s="2"/>
      <c r="LFH210" s="2"/>
      <c r="LFI210" s="2"/>
      <c r="LFJ210" s="2"/>
      <c r="LFK210" s="2"/>
      <c r="LFL210" s="2"/>
      <c r="LFM210" s="2"/>
      <c r="LFN210" s="2"/>
      <c r="LFO210" s="2"/>
      <c r="LFP210" s="2"/>
      <c r="LFQ210" s="2"/>
      <c r="LFR210" s="2"/>
      <c r="LFS210" s="2"/>
      <c r="LFT210" s="2"/>
      <c r="LFU210" s="2"/>
      <c r="LFV210" s="2"/>
      <c r="LFW210" s="2"/>
      <c r="LFX210" s="2"/>
      <c r="LFY210" s="2"/>
      <c r="LFZ210" s="2"/>
      <c r="LGA210" s="2"/>
      <c r="LGB210" s="2"/>
      <c r="LGC210" s="2"/>
      <c r="LGD210" s="2"/>
      <c r="LGE210" s="2"/>
      <c r="LGF210" s="2"/>
      <c r="LGG210" s="2"/>
      <c r="LGH210" s="2"/>
      <c r="LGI210" s="2"/>
      <c r="LGJ210" s="2"/>
      <c r="LGK210" s="2"/>
      <c r="LGL210" s="2"/>
      <c r="LGM210" s="2"/>
      <c r="LGN210" s="2"/>
      <c r="LGO210" s="2"/>
      <c r="LGP210" s="2"/>
      <c r="LGQ210" s="2"/>
      <c r="LGR210" s="2"/>
      <c r="LGS210" s="2"/>
      <c r="LGT210" s="2"/>
      <c r="LGU210" s="2"/>
      <c r="LGV210" s="2"/>
      <c r="LGW210" s="2"/>
      <c r="LGX210" s="2"/>
      <c r="LGY210" s="2"/>
      <c r="LGZ210" s="2"/>
      <c r="LHA210" s="2"/>
      <c r="LHB210" s="2"/>
      <c r="LHC210" s="2"/>
      <c r="LHD210" s="2"/>
      <c r="LHE210" s="2"/>
      <c r="LHF210" s="2"/>
      <c r="LHG210" s="2"/>
      <c r="LHH210" s="2"/>
      <c r="LHI210" s="2"/>
      <c r="LHJ210" s="2"/>
      <c r="LHK210" s="2"/>
      <c r="LHL210" s="2"/>
      <c r="LHM210" s="2"/>
      <c r="LHN210" s="2"/>
      <c r="LHO210" s="2"/>
      <c r="LHP210" s="2"/>
      <c r="LHQ210" s="2"/>
      <c r="LHR210" s="2"/>
      <c r="LHS210" s="2"/>
      <c r="LHT210" s="2"/>
      <c r="LHU210" s="2"/>
      <c r="LHV210" s="2"/>
      <c r="LHW210" s="2"/>
      <c r="LHX210" s="2"/>
      <c r="LHY210" s="2"/>
      <c r="LHZ210" s="2"/>
      <c r="LIA210" s="2"/>
      <c r="LIB210" s="2"/>
      <c r="LIC210" s="2"/>
      <c r="LID210" s="2"/>
      <c r="LIE210" s="2"/>
      <c r="LIF210" s="2"/>
      <c r="LIG210" s="2"/>
      <c r="LIH210" s="2"/>
      <c r="LII210" s="2"/>
      <c r="LIJ210" s="2"/>
      <c r="LIK210" s="2"/>
      <c r="LIL210" s="2"/>
      <c r="LIM210" s="2"/>
      <c r="LIN210" s="2"/>
      <c r="LIO210" s="2"/>
      <c r="LIP210" s="2"/>
      <c r="LIQ210" s="2"/>
      <c r="LIR210" s="2"/>
      <c r="LIS210" s="2"/>
      <c r="LIT210" s="2"/>
      <c r="LIU210" s="2"/>
      <c r="LIV210" s="2"/>
      <c r="LIW210" s="2"/>
      <c r="LIX210" s="2"/>
      <c r="LIY210" s="2"/>
      <c r="LIZ210" s="2"/>
      <c r="LJA210" s="2"/>
      <c r="LJB210" s="2"/>
      <c r="LJC210" s="2"/>
      <c r="LJD210" s="2"/>
      <c r="LJE210" s="2"/>
      <c r="LJF210" s="2"/>
      <c r="LJG210" s="2"/>
      <c r="LJH210" s="2"/>
      <c r="LJI210" s="2"/>
      <c r="LJJ210" s="2"/>
      <c r="LJK210" s="2"/>
      <c r="LJL210" s="2"/>
      <c r="LJM210" s="2"/>
      <c r="LJN210" s="2"/>
      <c r="LJO210" s="2"/>
      <c r="LJP210" s="2"/>
      <c r="LJQ210" s="2"/>
      <c r="LJR210" s="2"/>
      <c r="LJS210" s="2"/>
      <c r="LJT210" s="2"/>
      <c r="LJU210" s="2"/>
      <c r="LJV210" s="2"/>
      <c r="LJW210" s="2"/>
      <c r="LJX210" s="2"/>
      <c r="LJY210" s="2"/>
      <c r="LJZ210" s="2"/>
      <c r="LKA210" s="2"/>
      <c r="LKB210" s="2"/>
      <c r="LKC210" s="2"/>
      <c r="LKD210" s="2"/>
      <c r="LKE210" s="2"/>
      <c r="LKF210" s="2"/>
      <c r="LKG210" s="2"/>
      <c r="LKH210" s="2"/>
      <c r="LKI210" s="2"/>
      <c r="LKJ210" s="2"/>
      <c r="LKK210" s="2"/>
      <c r="LKL210" s="2"/>
      <c r="LKM210" s="2"/>
      <c r="LKN210" s="2"/>
      <c r="LKO210" s="2"/>
      <c r="LKP210" s="2"/>
      <c r="LKQ210" s="2"/>
      <c r="LKR210" s="2"/>
      <c r="LKS210" s="2"/>
      <c r="LKT210" s="2"/>
      <c r="LKU210" s="2"/>
      <c r="LKV210" s="2"/>
      <c r="LKW210" s="2"/>
      <c r="LKX210" s="2"/>
      <c r="LKY210" s="2"/>
      <c r="LKZ210" s="2"/>
      <c r="LLA210" s="2"/>
      <c r="LLB210" s="2"/>
      <c r="LLC210" s="2"/>
      <c r="LLD210" s="2"/>
      <c r="LLE210" s="2"/>
      <c r="LLF210" s="2"/>
      <c r="LLG210" s="2"/>
      <c r="LLH210" s="2"/>
      <c r="LLI210" s="2"/>
      <c r="LLJ210" s="2"/>
      <c r="LLK210" s="2"/>
      <c r="LLL210" s="2"/>
      <c r="LLM210" s="2"/>
      <c r="LLN210" s="2"/>
      <c r="LLO210" s="2"/>
      <c r="LLP210" s="2"/>
      <c r="LLQ210" s="2"/>
      <c r="LLR210" s="2"/>
      <c r="LLS210" s="2"/>
      <c r="LLT210" s="2"/>
      <c r="LLU210" s="2"/>
      <c r="LLV210" s="2"/>
      <c r="LLW210" s="2"/>
      <c r="LLX210" s="2"/>
      <c r="LLY210" s="2"/>
      <c r="LLZ210" s="2"/>
      <c r="LMA210" s="2"/>
      <c r="LMB210" s="2"/>
      <c r="LMC210" s="2"/>
      <c r="LMD210" s="2"/>
      <c r="LME210" s="2"/>
      <c r="LMF210" s="2"/>
      <c r="LMG210" s="2"/>
      <c r="LMH210" s="2"/>
      <c r="LMI210" s="2"/>
      <c r="LMJ210" s="2"/>
      <c r="LMK210" s="2"/>
      <c r="LML210" s="2"/>
      <c r="LMM210" s="2"/>
      <c r="LMN210" s="2"/>
      <c r="LMO210" s="2"/>
      <c r="LMP210" s="2"/>
      <c r="LMQ210" s="2"/>
      <c r="LMR210" s="2"/>
      <c r="LMS210" s="2"/>
      <c r="LMT210" s="2"/>
      <c r="LMU210" s="2"/>
      <c r="LMV210" s="2"/>
      <c r="LMW210" s="2"/>
      <c r="LMX210" s="2"/>
      <c r="LMY210" s="2"/>
      <c r="LMZ210" s="2"/>
      <c r="LNA210" s="2"/>
      <c r="LNB210" s="2"/>
      <c r="LNC210" s="2"/>
      <c r="LND210" s="2"/>
      <c r="LNE210" s="2"/>
      <c r="LNF210" s="2"/>
      <c r="LNG210" s="2"/>
      <c r="LNH210" s="2"/>
      <c r="LNI210" s="2"/>
      <c r="LNJ210" s="2"/>
      <c r="LNK210" s="2"/>
      <c r="LNL210" s="2"/>
      <c r="LNM210" s="2"/>
      <c r="LNN210" s="2"/>
      <c r="LNO210" s="2"/>
      <c r="LNP210" s="2"/>
      <c r="LNQ210" s="2"/>
      <c r="LNR210" s="2"/>
      <c r="LNS210" s="2"/>
      <c r="LNT210" s="2"/>
      <c r="LNU210" s="2"/>
      <c r="LNV210" s="2"/>
      <c r="LNW210" s="2"/>
      <c r="LNX210" s="2"/>
      <c r="LNY210" s="2"/>
      <c r="LNZ210" s="2"/>
      <c r="LOA210" s="2"/>
      <c r="LOB210" s="2"/>
      <c r="LOC210" s="2"/>
      <c r="LOD210" s="2"/>
      <c r="LOE210" s="2"/>
      <c r="LOF210" s="2"/>
      <c r="LOG210" s="2"/>
      <c r="LOH210" s="2"/>
      <c r="LOI210" s="2"/>
      <c r="LOJ210" s="2"/>
      <c r="LOK210" s="2"/>
      <c r="LOL210" s="2"/>
      <c r="LOM210" s="2"/>
      <c r="LON210" s="2"/>
      <c r="LOO210" s="2"/>
      <c r="LOP210" s="2"/>
      <c r="LOQ210" s="2"/>
      <c r="LOR210" s="2"/>
      <c r="LOS210" s="2"/>
      <c r="LOT210" s="2"/>
      <c r="LOU210" s="2"/>
      <c r="LOV210" s="2"/>
      <c r="LOW210" s="2"/>
      <c r="LOX210" s="2"/>
      <c r="LOY210" s="2"/>
      <c r="LOZ210" s="2"/>
      <c r="LPA210" s="2"/>
      <c r="LPB210" s="2"/>
      <c r="LPC210" s="2"/>
      <c r="LPD210" s="2"/>
      <c r="LPE210" s="2"/>
      <c r="LPF210" s="2"/>
      <c r="LPG210" s="2"/>
      <c r="LPH210" s="2"/>
      <c r="LPI210" s="2"/>
      <c r="LPJ210" s="2"/>
      <c r="LPK210" s="2"/>
      <c r="LPL210" s="2"/>
      <c r="LPM210" s="2"/>
      <c r="LPN210" s="2"/>
      <c r="LPO210" s="2"/>
      <c r="LPP210" s="2"/>
      <c r="LPQ210" s="2"/>
      <c r="LPR210" s="2"/>
      <c r="LPS210" s="2"/>
      <c r="LPT210" s="2"/>
      <c r="LPU210" s="2"/>
      <c r="LPV210" s="2"/>
      <c r="LPW210" s="2"/>
      <c r="LPX210" s="2"/>
      <c r="LPY210" s="2"/>
      <c r="LPZ210" s="2"/>
      <c r="LQA210" s="2"/>
      <c r="LQB210" s="2"/>
      <c r="LQC210" s="2"/>
      <c r="LQD210" s="2"/>
      <c r="LQE210" s="2"/>
      <c r="LQF210" s="2"/>
      <c r="LQG210" s="2"/>
      <c r="LQH210" s="2"/>
      <c r="LQI210" s="2"/>
      <c r="LQJ210" s="2"/>
      <c r="LQK210" s="2"/>
      <c r="LQL210" s="2"/>
      <c r="LQM210" s="2"/>
      <c r="LQN210" s="2"/>
      <c r="LQO210" s="2"/>
      <c r="LQP210" s="2"/>
      <c r="LQQ210" s="2"/>
      <c r="LQR210" s="2"/>
      <c r="LQS210" s="2"/>
      <c r="LQT210" s="2"/>
      <c r="LQU210" s="2"/>
      <c r="LQV210" s="2"/>
      <c r="LQW210" s="2"/>
      <c r="LQX210" s="2"/>
      <c r="LQY210" s="2"/>
      <c r="LQZ210" s="2"/>
      <c r="LRA210" s="2"/>
      <c r="LRB210" s="2"/>
      <c r="LRC210" s="2"/>
      <c r="LRD210" s="2"/>
      <c r="LRE210" s="2"/>
      <c r="LRF210" s="2"/>
      <c r="LRG210" s="2"/>
      <c r="LRH210" s="2"/>
      <c r="LRI210" s="2"/>
      <c r="LRJ210" s="2"/>
      <c r="LRK210" s="2"/>
      <c r="LRL210" s="2"/>
      <c r="LRM210" s="2"/>
      <c r="LRN210" s="2"/>
      <c r="LRO210" s="2"/>
      <c r="LRP210" s="2"/>
      <c r="LRQ210" s="2"/>
      <c r="LRR210" s="2"/>
      <c r="LRS210" s="2"/>
      <c r="LRT210" s="2"/>
      <c r="LRU210" s="2"/>
      <c r="LRV210" s="2"/>
      <c r="LRW210" s="2"/>
      <c r="LRX210" s="2"/>
      <c r="LRY210" s="2"/>
      <c r="LRZ210" s="2"/>
      <c r="LSA210" s="2"/>
      <c r="LSB210" s="2"/>
      <c r="LSC210" s="2"/>
      <c r="LSD210" s="2"/>
      <c r="LSE210" s="2"/>
      <c r="LSF210" s="2"/>
      <c r="LSG210" s="2"/>
      <c r="LSH210" s="2"/>
      <c r="LSI210" s="2"/>
      <c r="LSJ210" s="2"/>
      <c r="LSK210" s="2"/>
      <c r="LSL210" s="2"/>
      <c r="LSM210" s="2"/>
      <c r="LSN210" s="2"/>
      <c r="LSO210" s="2"/>
      <c r="LSP210" s="2"/>
      <c r="LSQ210" s="2"/>
      <c r="LSR210" s="2"/>
      <c r="LSS210" s="2"/>
      <c r="LST210" s="2"/>
      <c r="LSU210" s="2"/>
      <c r="LSV210" s="2"/>
      <c r="LSW210" s="2"/>
      <c r="LSX210" s="2"/>
      <c r="LSY210" s="2"/>
      <c r="LSZ210" s="2"/>
      <c r="LTA210" s="2"/>
      <c r="LTB210" s="2"/>
      <c r="LTC210" s="2"/>
      <c r="LTD210" s="2"/>
      <c r="LTE210" s="2"/>
      <c r="LTF210" s="2"/>
      <c r="LTG210" s="2"/>
      <c r="LTH210" s="2"/>
      <c r="LTI210" s="2"/>
      <c r="LTJ210" s="2"/>
      <c r="LTK210" s="2"/>
      <c r="LTL210" s="2"/>
      <c r="LTM210" s="2"/>
      <c r="LTN210" s="2"/>
      <c r="LTO210" s="2"/>
      <c r="LTP210" s="2"/>
      <c r="LTQ210" s="2"/>
      <c r="LTR210" s="2"/>
      <c r="LTS210" s="2"/>
      <c r="LTT210" s="2"/>
      <c r="LTU210" s="2"/>
      <c r="LTV210" s="2"/>
      <c r="LTW210" s="2"/>
      <c r="LTX210" s="2"/>
      <c r="LTY210" s="2"/>
      <c r="LTZ210" s="2"/>
      <c r="LUA210" s="2"/>
      <c r="LUB210" s="2"/>
      <c r="LUC210" s="2"/>
      <c r="LUD210" s="2"/>
      <c r="LUE210" s="2"/>
      <c r="LUF210" s="2"/>
      <c r="LUG210" s="2"/>
      <c r="LUH210" s="2"/>
      <c r="LUI210" s="2"/>
      <c r="LUJ210" s="2"/>
      <c r="LUK210" s="2"/>
      <c r="LUL210" s="2"/>
      <c r="LUM210" s="2"/>
      <c r="LUN210" s="2"/>
      <c r="LUO210" s="2"/>
      <c r="LUP210" s="2"/>
      <c r="LUQ210" s="2"/>
      <c r="LUR210" s="2"/>
      <c r="LUS210" s="2"/>
      <c r="LUT210" s="2"/>
      <c r="LUU210" s="2"/>
      <c r="LUV210" s="2"/>
      <c r="LUW210" s="2"/>
      <c r="LUX210" s="2"/>
      <c r="LUY210" s="2"/>
      <c r="LUZ210" s="2"/>
      <c r="LVA210" s="2"/>
      <c r="LVB210" s="2"/>
      <c r="LVC210" s="2"/>
      <c r="LVD210" s="2"/>
      <c r="LVE210" s="2"/>
      <c r="LVF210" s="2"/>
      <c r="LVG210" s="2"/>
      <c r="LVH210" s="2"/>
      <c r="LVI210" s="2"/>
      <c r="LVJ210" s="2"/>
      <c r="LVK210" s="2"/>
      <c r="LVL210" s="2"/>
      <c r="LVM210" s="2"/>
      <c r="LVN210" s="2"/>
      <c r="LVO210" s="2"/>
      <c r="LVP210" s="2"/>
      <c r="LVQ210" s="2"/>
      <c r="LVR210" s="2"/>
      <c r="LVS210" s="2"/>
      <c r="LVT210" s="2"/>
      <c r="LVU210" s="2"/>
      <c r="LVV210" s="2"/>
      <c r="LVW210" s="2"/>
      <c r="LVX210" s="2"/>
      <c r="LVY210" s="2"/>
      <c r="LVZ210" s="2"/>
      <c r="LWA210" s="2"/>
      <c r="LWB210" s="2"/>
      <c r="LWC210" s="2"/>
      <c r="LWD210" s="2"/>
      <c r="LWE210" s="2"/>
      <c r="LWF210" s="2"/>
      <c r="LWG210" s="2"/>
      <c r="LWH210" s="2"/>
      <c r="LWI210" s="2"/>
      <c r="LWJ210" s="2"/>
      <c r="LWK210" s="2"/>
      <c r="LWL210" s="2"/>
      <c r="LWM210" s="2"/>
      <c r="LWN210" s="2"/>
      <c r="LWO210" s="2"/>
      <c r="LWP210" s="2"/>
      <c r="LWQ210" s="2"/>
      <c r="LWR210" s="2"/>
      <c r="LWS210" s="2"/>
      <c r="LWT210" s="2"/>
      <c r="LWU210" s="2"/>
      <c r="LWV210" s="2"/>
      <c r="LWW210" s="2"/>
      <c r="LWX210" s="2"/>
      <c r="LWY210" s="2"/>
      <c r="LWZ210" s="2"/>
      <c r="LXA210" s="2"/>
      <c r="LXB210" s="2"/>
      <c r="LXC210" s="2"/>
      <c r="LXD210" s="2"/>
      <c r="LXE210" s="2"/>
      <c r="LXF210" s="2"/>
      <c r="LXG210" s="2"/>
      <c r="LXH210" s="2"/>
      <c r="LXI210" s="2"/>
      <c r="LXJ210" s="2"/>
      <c r="LXK210" s="2"/>
      <c r="LXL210" s="2"/>
      <c r="LXM210" s="2"/>
      <c r="LXN210" s="2"/>
      <c r="LXO210" s="2"/>
      <c r="LXP210" s="2"/>
      <c r="LXQ210" s="2"/>
      <c r="LXR210" s="2"/>
      <c r="LXS210" s="2"/>
      <c r="LXT210" s="2"/>
      <c r="LXU210" s="2"/>
      <c r="LXV210" s="2"/>
      <c r="LXW210" s="2"/>
      <c r="LXX210" s="2"/>
      <c r="LXY210" s="2"/>
      <c r="LXZ210" s="2"/>
      <c r="LYA210" s="2"/>
      <c r="LYB210" s="2"/>
      <c r="LYC210" s="2"/>
      <c r="LYD210" s="2"/>
      <c r="LYE210" s="2"/>
      <c r="LYF210" s="2"/>
      <c r="LYG210" s="2"/>
      <c r="LYH210" s="2"/>
      <c r="LYI210" s="2"/>
      <c r="LYJ210" s="2"/>
      <c r="LYK210" s="2"/>
      <c r="LYL210" s="2"/>
      <c r="LYM210" s="2"/>
      <c r="LYN210" s="2"/>
      <c r="LYO210" s="2"/>
      <c r="LYP210" s="2"/>
      <c r="LYQ210" s="2"/>
      <c r="LYR210" s="2"/>
      <c r="LYS210" s="2"/>
      <c r="LYT210" s="2"/>
      <c r="LYU210" s="2"/>
      <c r="LYV210" s="2"/>
      <c r="LYW210" s="2"/>
      <c r="LYX210" s="2"/>
      <c r="LYY210" s="2"/>
      <c r="LYZ210" s="2"/>
      <c r="LZA210" s="2"/>
      <c r="LZB210" s="2"/>
      <c r="LZC210" s="2"/>
      <c r="LZD210" s="2"/>
      <c r="LZE210" s="2"/>
      <c r="LZF210" s="2"/>
      <c r="LZG210" s="2"/>
      <c r="LZH210" s="2"/>
      <c r="LZI210" s="2"/>
      <c r="LZJ210" s="2"/>
      <c r="LZK210" s="2"/>
      <c r="LZL210" s="2"/>
      <c r="LZM210" s="2"/>
      <c r="LZN210" s="2"/>
      <c r="LZO210" s="2"/>
      <c r="LZP210" s="2"/>
      <c r="LZQ210" s="2"/>
      <c r="LZR210" s="2"/>
      <c r="LZS210" s="2"/>
      <c r="LZT210" s="2"/>
      <c r="LZU210" s="2"/>
      <c r="LZV210" s="2"/>
      <c r="LZW210" s="2"/>
      <c r="LZX210" s="2"/>
      <c r="LZY210" s="2"/>
      <c r="LZZ210" s="2"/>
      <c r="MAA210" s="2"/>
      <c r="MAB210" s="2"/>
      <c r="MAC210" s="2"/>
      <c r="MAD210" s="2"/>
      <c r="MAE210" s="2"/>
      <c r="MAF210" s="2"/>
      <c r="MAG210" s="2"/>
      <c r="MAH210" s="2"/>
      <c r="MAI210" s="2"/>
      <c r="MAJ210" s="2"/>
      <c r="MAK210" s="2"/>
      <c r="MAL210" s="2"/>
      <c r="MAM210" s="2"/>
      <c r="MAN210" s="2"/>
      <c r="MAO210" s="2"/>
      <c r="MAP210" s="2"/>
      <c r="MAQ210" s="2"/>
      <c r="MAR210" s="2"/>
      <c r="MAS210" s="2"/>
      <c r="MAT210" s="2"/>
      <c r="MAU210" s="2"/>
      <c r="MAV210" s="2"/>
      <c r="MAW210" s="2"/>
      <c r="MAX210" s="2"/>
      <c r="MAY210" s="2"/>
      <c r="MAZ210" s="2"/>
      <c r="MBA210" s="2"/>
      <c r="MBB210" s="2"/>
      <c r="MBC210" s="2"/>
      <c r="MBD210" s="2"/>
      <c r="MBE210" s="2"/>
      <c r="MBF210" s="2"/>
      <c r="MBG210" s="2"/>
      <c r="MBH210" s="2"/>
      <c r="MBI210" s="2"/>
      <c r="MBJ210" s="2"/>
      <c r="MBK210" s="2"/>
      <c r="MBL210" s="2"/>
      <c r="MBM210" s="2"/>
      <c r="MBN210" s="2"/>
      <c r="MBO210" s="2"/>
      <c r="MBP210" s="2"/>
      <c r="MBQ210" s="2"/>
      <c r="MBR210" s="2"/>
      <c r="MBS210" s="2"/>
      <c r="MBT210" s="2"/>
      <c r="MBU210" s="2"/>
      <c r="MBV210" s="2"/>
      <c r="MBW210" s="2"/>
      <c r="MBX210" s="2"/>
      <c r="MBY210" s="2"/>
      <c r="MBZ210" s="2"/>
      <c r="MCA210" s="2"/>
      <c r="MCB210" s="2"/>
      <c r="MCC210" s="2"/>
      <c r="MCD210" s="2"/>
      <c r="MCE210" s="2"/>
      <c r="MCF210" s="2"/>
      <c r="MCG210" s="2"/>
      <c r="MCH210" s="2"/>
      <c r="MCI210" s="2"/>
      <c r="MCJ210" s="2"/>
      <c r="MCK210" s="2"/>
      <c r="MCL210" s="2"/>
      <c r="MCM210" s="2"/>
      <c r="MCN210" s="2"/>
      <c r="MCO210" s="2"/>
      <c r="MCP210" s="2"/>
      <c r="MCQ210" s="2"/>
      <c r="MCR210" s="2"/>
      <c r="MCS210" s="2"/>
      <c r="MCT210" s="2"/>
      <c r="MCU210" s="2"/>
      <c r="MCV210" s="2"/>
      <c r="MCW210" s="2"/>
      <c r="MCX210" s="2"/>
      <c r="MCY210" s="2"/>
      <c r="MCZ210" s="2"/>
      <c r="MDA210" s="2"/>
      <c r="MDB210" s="2"/>
      <c r="MDC210" s="2"/>
      <c r="MDD210" s="2"/>
      <c r="MDE210" s="2"/>
      <c r="MDF210" s="2"/>
      <c r="MDG210" s="2"/>
      <c r="MDH210" s="2"/>
      <c r="MDI210" s="2"/>
      <c r="MDJ210" s="2"/>
      <c r="MDK210" s="2"/>
      <c r="MDL210" s="2"/>
      <c r="MDM210" s="2"/>
      <c r="MDN210" s="2"/>
      <c r="MDO210" s="2"/>
      <c r="MDP210" s="2"/>
      <c r="MDQ210" s="2"/>
      <c r="MDR210" s="2"/>
      <c r="MDS210" s="2"/>
      <c r="MDT210" s="2"/>
      <c r="MDU210" s="2"/>
      <c r="MDV210" s="2"/>
      <c r="MDW210" s="2"/>
      <c r="MDX210" s="2"/>
      <c r="MDY210" s="2"/>
      <c r="MDZ210" s="2"/>
      <c r="MEA210" s="2"/>
      <c r="MEB210" s="2"/>
      <c r="MEC210" s="2"/>
      <c r="MED210" s="2"/>
      <c r="MEE210" s="2"/>
      <c r="MEF210" s="2"/>
      <c r="MEG210" s="2"/>
      <c r="MEH210" s="2"/>
      <c r="MEI210" s="2"/>
      <c r="MEJ210" s="2"/>
      <c r="MEK210" s="2"/>
      <c r="MEL210" s="2"/>
      <c r="MEM210" s="2"/>
      <c r="MEN210" s="2"/>
      <c r="MEO210" s="2"/>
      <c r="MEP210" s="2"/>
      <c r="MEQ210" s="2"/>
      <c r="MER210" s="2"/>
      <c r="MES210" s="2"/>
      <c r="MET210" s="2"/>
      <c r="MEU210" s="2"/>
      <c r="MEV210" s="2"/>
      <c r="MEW210" s="2"/>
      <c r="MEX210" s="2"/>
      <c r="MEY210" s="2"/>
      <c r="MEZ210" s="2"/>
      <c r="MFA210" s="2"/>
      <c r="MFB210" s="2"/>
      <c r="MFC210" s="2"/>
      <c r="MFD210" s="2"/>
      <c r="MFE210" s="2"/>
      <c r="MFF210" s="2"/>
      <c r="MFG210" s="2"/>
      <c r="MFH210" s="2"/>
      <c r="MFI210" s="2"/>
      <c r="MFJ210" s="2"/>
      <c r="MFK210" s="2"/>
      <c r="MFL210" s="2"/>
      <c r="MFM210" s="2"/>
      <c r="MFN210" s="2"/>
      <c r="MFO210" s="2"/>
      <c r="MFP210" s="2"/>
      <c r="MFQ210" s="2"/>
      <c r="MFR210" s="2"/>
      <c r="MFS210" s="2"/>
      <c r="MFT210" s="2"/>
      <c r="MFU210" s="2"/>
      <c r="MFV210" s="2"/>
      <c r="MFW210" s="2"/>
      <c r="MFX210" s="2"/>
      <c r="MFY210" s="2"/>
      <c r="MFZ210" s="2"/>
      <c r="MGA210" s="2"/>
      <c r="MGB210" s="2"/>
      <c r="MGC210" s="2"/>
      <c r="MGD210" s="2"/>
      <c r="MGE210" s="2"/>
      <c r="MGF210" s="2"/>
      <c r="MGG210" s="2"/>
      <c r="MGH210" s="2"/>
      <c r="MGI210" s="2"/>
      <c r="MGJ210" s="2"/>
      <c r="MGK210" s="2"/>
      <c r="MGL210" s="2"/>
      <c r="MGM210" s="2"/>
      <c r="MGN210" s="2"/>
      <c r="MGO210" s="2"/>
      <c r="MGP210" s="2"/>
      <c r="MGQ210" s="2"/>
      <c r="MGR210" s="2"/>
      <c r="MGS210" s="2"/>
      <c r="MGT210" s="2"/>
      <c r="MGU210" s="2"/>
      <c r="MGV210" s="2"/>
      <c r="MGW210" s="2"/>
      <c r="MGX210" s="2"/>
      <c r="MGY210" s="2"/>
      <c r="MGZ210" s="2"/>
      <c r="MHA210" s="2"/>
      <c r="MHB210" s="2"/>
      <c r="MHC210" s="2"/>
      <c r="MHD210" s="2"/>
      <c r="MHE210" s="2"/>
      <c r="MHF210" s="2"/>
      <c r="MHG210" s="2"/>
      <c r="MHH210" s="2"/>
      <c r="MHI210" s="2"/>
      <c r="MHJ210" s="2"/>
      <c r="MHK210" s="2"/>
      <c r="MHL210" s="2"/>
      <c r="MHM210" s="2"/>
      <c r="MHN210" s="2"/>
      <c r="MHO210" s="2"/>
      <c r="MHP210" s="2"/>
      <c r="MHQ210" s="2"/>
      <c r="MHR210" s="2"/>
      <c r="MHS210" s="2"/>
      <c r="MHT210" s="2"/>
      <c r="MHU210" s="2"/>
      <c r="MHV210" s="2"/>
      <c r="MHW210" s="2"/>
      <c r="MHX210" s="2"/>
      <c r="MHY210" s="2"/>
      <c r="MHZ210" s="2"/>
      <c r="MIA210" s="2"/>
      <c r="MIB210" s="2"/>
      <c r="MIC210" s="2"/>
      <c r="MID210" s="2"/>
      <c r="MIE210" s="2"/>
      <c r="MIF210" s="2"/>
      <c r="MIG210" s="2"/>
      <c r="MIH210" s="2"/>
      <c r="MII210" s="2"/>
      <c r="MIJ210" s="2"/>
      <c r="MIK210" s="2"/>
      <c r="MIL210" s="2"/>
      <c r="MIM210" s="2"/>
      <c r="MIN210" s="2"/>
      <c r="MIO210" s="2"/>
      <c r="MIP210" s="2"/>
      <c r="MIQ210" s="2"/>
      <c r="MIR210" s="2"/>
      <c r="MIS210" s="2"/>
      <c r="MIT210" s="2"/>
      <c r="MIU210" s="2"/>
      <c r="MIV210" s="2"/>
      <c r="MIW210" s="2"/>
      <c r="MIX210" s="2"/>
      <c r="MIY210" s="2"/>
      <c r="MIZ210" s="2"/>
      <c r="MJA210" s="2"/>
      <c r="MJB210" s="2"/>
      <c r="MJC210" s="2"/>
      <c r="MJD210" s="2"/>
      <c r="MJE210" s="2"/>
      <c r="MJF210" s="2"/>
      <c r="MJG210" s="2"/>
      <c r="MJH210" s="2"/>
      <c r="MJI210" s="2"/>
      <c r="MJJ210" s="2"/>
      <c r="MJK210" s="2"/>
      <c r="MJL210" s="2"/>
      <c r="MJM210" s="2"/>
      <c r="MJN210" s="2"/>
      <c r="MJO210" s="2"/>
      <c r="MJP210" s="2"/>
      <c r="MJQ210" s="2"/>
      <c r="MJR210" s="2"/>
      <c r="MJS210" s="2"/>
      <c r="MJT210" s="2"/>
      <c r="MJU210" s="2"/>
      <c r="MJV210" s="2"/>
      <c r="MJW210" s="2"/>
      <c r="MJX210" s="2"/>
      <c r="MJY210" s="2"/>
      <c r="MJZ210" s="2"/>
      <c r="MKA210" s="2"/>
      <c r="MKB210" s="2"/>
      <c r="MKC210" s="2"/>
      <c r="MKD210" s="2"/>
      <c r="MKE210" s="2"/>
      <c r="MKF210" s="2"/>
      <c r="MKG210" s="2"/>
      <c r="MKH210" s="2"/>
      <c r="MKI210" s="2"/>
      <c r="MKJ210" s="2"/>
      <c r="MKK210" s="2"/>
      <c r="MKL210" s="2"/>
      <c r="MKM210" s="2"/>
      <c r="MKN210" s="2"/>
      <c r="MKO210" s="2"/>
      <c r="MKP210" s="2"/>
      <c r="MKQ210" s="2"/>
      <c r="MKR210" s="2"/>
      <c r="MKS210" s="2"/>
      <c r="MKT210" s="2"/>
      <c r="MKU210" s="2"/>
      <c r="MKV210" s="2"/>
      <c r="MKW210" s="2"/>
      <c r="MKX210" s="2"/>
      <c r="MKY210" s="2"/>
      <c r="MKZ210" s="2"/>
      <c r="MLA210" s="2"/>
      <c r="MLB210" s="2"/>
      <c r="MLC210" s="2"/>
      <c r="MLD210" s="2"/>
      <c r="MLE210" s="2"/>
      <c r="MLF210" s="2"/>
      <c r="MLG210" s="2"/>
      <c r="MLH210" s="2"/>
      <c r="MLI210" s="2"/>
      <c r="MLJ210" s="2"/>
      <c r="MLK210" s="2"/>
      <c r="MLL210" s="2"/>
      <c r="MLM210" s="2"/>
      <c r="MLN210" s="2"/>
      <c r="MLO210" s="2"/>
      <c r="MLP210" s="2"/>
      <c r="MLQ210" s="2"/>
      <c r="MLR210" s="2"/>
      <c r="MLS210" s="2"/>
      <c r="MLT210" s="2"/>
      <c r="MLU210" s="2"/>
      <c r="MLV210" s="2"/>
      <c r="MLW210" s="2"/>
      <c r="MLX210" s="2"/>
      <c r="MLY210" s="2"/>
      <c r="MLZ210" s="2"/>
      <c r="MMA210" s="2"/>
      <c r="MMB210" s="2"/>
      <c r="MMC210" s="2"/>
      <c r="MMD210" s="2"/>
      <c r="MME210" s="2"/>
      <c r="MMF210" s="2"/>
      <c r="MMG210" s="2"/>
      <c r="MMH210" s="2"/>
      <c r="MMI210" s="2"/>
      <c r="MMJ210" s="2"/>
      <c r="MMK210" s="2"/>
      <c r="MML210" s="2"/>
      <c r="MMM210" s="2"/>
      <c r="MMN210" s="2"/>
      <c r="MMO210" s="2"/>
      <c r="MMP210" s="2"/>
      <c r="MMQ210" s="2"/>
      <c r="MMR210" s="2"/>
      <c r="MMS210" s="2"/>
      <c r="MMT210" s="2"/>
      <c r="MMU210" s="2"/>
      <c r="MMV210" s="2"/>
      <c r="MMW210" s="2"/>
      <c r="MMX210" s="2"/>
      <c r="MMY210" s="2"/>
      <c r="MMZ210" s="2"/>
      <c r="MNA210" s="2"/>
      <c r="MNB210" s="2"/>
      <c r="MNC210" s="2"/>
      <c r="MND210" s="2"/>
      <c r="MNE210" s="2"/>
      <c r="MNF210" s="2"/>
      <c r="MNG210" s="2"/>
      <c r="MNH210" s="2"/>
      <c r="MNI210" s="2"/>
      <c r="MNJ210" s="2"/>
      <c r="MNK210" s="2"/>
      <c r="MNL210" s="2"/>
      <c r="MNM210" s="2"/>
      <c r="MNN210" s="2"/>
      <c r="MNO210" s="2"/>
      <c r="MNP210" s="2"/>
      <c r="MNQ210" s="2"/>
      <c r="MNR210" s="2"/>
      <c r="MNS210" s="2"/>
      <c r="MNT210" s="2"/>
      <c r="MNU210" s="2"/>
      <c r="MNV210" s="2"/>
      <c r="MNW210" s="2"/>
      <c r="MNX210" s="2"/>
      <c r="MNY210" s="2"/>
      <c r="MNZ210" s="2"/>
      <c r="MOA210" s="2"/>
      <c r="MOB210" s="2"/>
      <c r="MOC210" s="2"/>
      <c r="MOD210" s="2"/>
      <c r="MOE210" s="2"/>
      <c r="MOF210" s="2"/>
      <c r="MOG210" s="2"/>
      <c r="MOH210" s="2"/>
      <c r="MOI210" s="2"/>
      <c r="MOJ210" s="2"/>
      <c r="MOK210" s="2"/>
      <c r="MOL210" s="2"/>
      <c r="MOM210" s="2"/>
      <c r="MON210" s="2"/>
      <c r="MOO210" s="2"/>
      <c r="MOP210" s="2"/>
      <c r="MOQ210" s="2"/>
      <c r="MOR210" s="2"/>
      <c r="MOS210" s="2"/>
      <c r="MOT210" s="2"/>
      <c r="MOU210" s="2"/>
      <c r="MOV210" s="2"/>
      <c r="MOW210" s="2"/>
      <c r="MOX210" s="2"/>
      <c r="MOY210" s="2"/>
      <c r="MOZ210" s="2"/>
      <c r="MPA210" s="2"/>
      <c r="MPB210" s="2"/>
      <c r="MPC210" s="2"/>
      <c r="MPD210" s="2"/>
      <c r="MPE210" s="2"/>
      <c r="MPF210" s="2"/>
      <c r="MPG210" s="2"/>
      <c r="MPH210" s="2"/>
      <c r="MPI210" s="2"/>
      <c r="MPJ210" s="2"/>
      <c r="MPK210" s="2"/>
      <c r="MPL210" s="2"/>
      <c r="MPM210" s="2"/>
      <c r="MPN210" s="2"/>
      <c r="MPO210" s="2"/>
      <c r="MPP210" s="2"/>
      <c r="MPQ210" s="2"/>
      <c r="MPR210" s="2"/>
      <c r="MPS210" s="2"/>
      <c r="MPT210" s="2"/>
      <c r="MPU210" s="2"/>
      <c r="MPV210" s="2"/>
      <c r="MPW210" s="2"/>
      <c r="MPX210" s="2"/>
      <c r="MPY210" s="2"/>
      <c r="MPZ210" s="2"/>
      <c r="MQA210" s="2"/>
      <c r="MQB210" s="2"/>
      <c r="MQC210" s="2"/>
      <c r="MQD210" s="2"/>
      <c r="MQE210" s="2"/>
      <c r="MQF210" s="2"/>
      <c r="MQG210" s="2"/>
      <c r="MQH210" s="2"/>
      <c r="MQI210" s="2"/>
      <c r="MQJ210" s="2"/>
      <c r="MQK210" s="2"/>
      <c r="MQL210" s="2"/>
      <c r="MQM210" s="2"/>
      <c r="MQN210" s="2"/>
      <c r="MQO210" s="2"/>
      <c r="MQP210" s="2"/>
      <c r="MQQ210" s="2"/>
      <c r="MQR210" s="2"/>
      <c r="MQS210" s="2"/>
      <c r="MQT210" s="2"/>
      <c r="MQU210" s="2"/>
      <c r="MQV210" s="2"/>
      <c r="MQW210" s="2"/>
      <c r="MQX210" s="2"/>
      <c r="MQY210" s="2"/>
      <c r="MQZ210" s="2"/>
      <c r="MRA210" s="2"/>
      <c r="MRB210" s="2"/>
      <c r="MRC210" s="2"/>
      <c r="MRD210" s="2"/>
      <c r="MRE210" s="2"/>
      <c r="MRF210" s="2"/>
      <c r="MRG210" s="2"/>
      <c r="MRH210" s="2"/>
      <c r="MRI210" s="2"/>
      <c r="MRJ210" s="2"/>
      <c r="MRK210" s="2"/>
      <c r="MRL210" s="2"/>
      <c r="MRM210" s="2"/>
      <c r="MRN210" s="2"/>
      <c r="MRO210" s="2"/>
      <c r="MRP210" s="2"/>
      <c r="MRQ210" s="2"/>
      <c r="MRR210" s="2"/>
      <c r="MRS210" s="2"/>
      <c r="MRT210" s="2"/>
      <c r="MRU210" s="2"/>
      <c r="MRV210" s="2"/>
      <c r="MRW210" s="2"/>
      <c r="MRX210" s="2"/>
      <c r="MRY210" s="2"/>
      <c r="MRZ210" s="2"/>
      <c r="MSA210" s="2"/>
      <c r="MSB210" s="2"/>
      <c r="MSC210" s="2"/>
      <c r="MSD210" s="2"/>
      <c r="MSE210" s="2"/>
      <c r="MSF210" s="2"/>
      <c r="MSG210" s="2"/>
      <c r="MSH210" s="2"/>
      <c r="MSI210" s="2"/>
      <c r="MSJ210" s="2"/>
      <c r="MSK210" s="2"/>
      <c r="MSL210" s="2"/>
      <c r="MSM210" s="2"/>
      <c r="MSN210" s="2"/>
      <c r="MSO210" s="2"/>
      <c r="MSP210" s="2"/>
      <c r="MSQ210" s="2"/>
      <c r="MSR210" s="2"/>
      <c r="MSS210" s="2"/>
      <c r="MST210" s="2"/>
      <c r="MSU210" s="2"/>
      <c r="MSV210" s="2"/>
      <c r="MSW210" s="2"/>
      <c r="MSX210" s="2"/>
      <c r="MSY210" s="2"/>
      <c r="MSZ210" s="2"/>
      <c r="MTA210" s="2"/>
      <c r="MTB210" s="2"/>
      <c r="MTC210" s="2"/>
      <c r="MTD210" s="2"/>
      <c r="MTE210" s="2"/>
      <c r="MTF210" s="2"/>
      <c r="MTG210" s="2"/>
      <c r="MTH210" s="2"/>
      <c r="MTI210" s="2"/>
      <c r="MTJ210" s="2"/>
      <c r="MTK210" s="2"/>
      <c r="MTL210" s="2"/>
      <c r="MTM210" s="2"/>
      <c r="MTN210" s="2"/>
      <c r="MTO210" s="2"/>
      <c r="MTP210" s="2"/>
      <c r="MTQ210" s="2"/>
      <c r="MTR210" s="2"/>
      <c r="MTS210" s="2"/>
      <c r="MTT210" s="2"/>
      <c r="MTU210" s="2"/>
      <c r="MTV210" s="2"/>
      <c r="MTW210" s="2"/>
      <c r="MTX210" s="2"/>
      <c r="MTY210" s="2"/>
      <c r="MTZ210" s="2"/>
      <c r="MUA210" s="2"/>
      <c r="MUB210" s="2"/>
      <c r="MUC210" s="2"/>
      <c r="MUD210" s="2"/>
      <c r="MUE210" s="2"/>
      <c r="MUF210" s="2"/>
      <c r="MUG210" s="2"/>
      <c r="MUH210" s="2"/>
      <c r="MUI210" s="2"/>
      <c r="MUJ210" s="2"/>
      <c r="MUK210" s="2"/>
      <c r="MUL210" s="2"/>
      <c r="MUM210" s="2"/>
      <c r="MUN210" s="2"/>
      <c r="MUO210" s="2"/>
      <c r="MUP210" s="2"/>
      <c r="MUQ210" s="2"/>
      <c r="MUR210" s="2"/>
      <c r="MUS210" s="2"/>
      <c r="MUT210" s="2"/>
      <c r="MUU210" s="2"/>
      <c r="MUV210" s="2"/>
      <c r="MUW210" s="2"/>
      <c r="MUX210" s="2"/>
      <c r="MUY210" s="2"/>
      <c r="MUZ210" s="2"/>
      <c r="MVA210" s="2"/>
      <c r="MVB210" s="2"/>
      <c r="MVC210" s="2"/>
      <c r="MVD210" s="2"/>
      <c r="MVE210" s="2"/>
      <c r="MVF210" s="2"/>
      <c r="MVG210" s="2"/>
      <c r="MVH210" s="2"/>
      <c r="MVI210" s="2"/>
      <c r="MVJ210" s="2"/>
      <c r="MVK210" s="2"/>
      <c r="MVL210" s="2"/>
      <c r="MVM210" s="2"/>
      <c r="MVN210" s="2"/>
      <c r="MVO210" s="2"/>
      <c r="MVP210" s="2"/>
      <c r="MVQ210" s="2"/>
      <c r="MVR210" s="2"/>
      <c r="MVS210" s="2"/>
      <c r="MVT210" s="2"/>
      <c r="MVU210" s="2"/>
      <c r="MVV210" s="2"/>
      <c r="MVW210" s="2"/>
      <c r="MVX210" s="2"/>
      <c r="MVY210" s="2"/>
      <c r="MVZ210" s="2"/>
      <c r="MWA210" s="2"/>
      <c r="MWB210" s="2"/>
      <c r="MWC210" s="2"/>
      <c r="MWD210" s="2"/>
      <c r="MWE210" s="2"/>
      <c r="MWF210" s="2"/>
      <c r="MWG210" s="2"/>
      <c r="MWH210" s="2"/>
      <c r="MWI210" s="2"/>
      <c r="MWJ210" s="2"/>
      <c r="MWK210" s="2"/>
      <c r="MWL210" s="2"/>
      <c r="MWM210" s="2"/>
      <c r="MWN210" s="2"/>
      <c r="MWO210" s="2"/>
      <c r="MWP210" s="2"/>
      <c r="MWQ210" s="2"/>
      <c r="MWR210" s="2"/>
      <c r="MWS210" s="2"/>
      <c r="MWT210" s="2"/>
      <c r="MWU210" s="2"/>
      <c r="MWV210" s="2"/>
      <c r="MWW210" s="2"/>
      <c r="MWX210" s="2"/>
      <c r="MWY210" s="2"/>
      <c r="MWZ210" s="2"/>
      <c r="MXA210" s="2"/>
      <c r="MXB210" s="2"/>
      <c r="MXC210" s="2"/>
      <c r="MXD210" s="2"/>
      <c r="MXE210" s="2"/>
      <c r="MXF210" s="2"/>
      <c r="MXG210" s="2"/>
      <c r="MXH210" s="2"/>
      <c r="MXI210" s="2"/>
      <c r="MXJ210" s="2"/>
      <c r="MXK210" s="2"/>
      <c r="MXL210" s="2"/>
      <c r="MXM210" s="2"/>
      <c r="MXN210" s="2"/>
      <c r="MXO210" s="2"/>
      <c r="MXP210" s="2"/>
      <c r="MXQ210" s="2"/>
      <c r="MXR210" s="2"/>
      <c r="MXS210" s="2"/>
      <c r="MXT210" s="2"/>
      <c r="MXU210" s="2"/>
      <c r="MXV210" s="2"/>
      <c r="MXW210" s="2"/>
      <c r="MXX210" s="2"/>
      <c r="MXY210" s="2"/>
      <c r="MXZ210" s="2"/>
      <c r="MYA210" s="2"/>
      <c r="MYB210" s="2"/>
      <c r="MYC210" s="2"/>
      <c r="MYD210" s="2"/>
      <c r="MYE210" s="2"/>
      <c r="MYF210" s="2"/>
      <c r="MYG210" s="2"/>
      <c r="MYH210" s="2"/>
      <c r="MYI210" s="2"/>
      <c r="MYJ210" s="2"/>
      <c r="MYK210" s="2"/>
      <c r="MYL210" s="2"/>
      <c r="MYM210" s="2"/>
      <c r="MYN210" s="2"/>
      <c r="MYO210" s="2"/>
      <c r="MYP210" s="2"/>
      <c r="MYQ210" s="2"/>
      <c r="MYR210" s="2"/>
      <c r="MYS210" s="2"/>
      <c r="MYT210" s="2"/>
      <c r="MYU210" s="2"/>
      <c r="MYV210" s="2"/>
      <c r="MYW210" s="2"/>
      <c r="MYX210" s="2"/>
      <c r="MYY210" s="2"/>
      <c r="MYZ210" s="2"/>
      <c r="MZA210" s="2"/>
      <c r="MZB210" s="2"/>
      <c r="MZC210" s="2"/>
      <c r="MZD210" s="2"/>
      <c r="MZE210" s="2"/>
      <c r="MZF210" s="2"/>
      <c r="MZG210" s="2"/>
      <c r="MZH210" s="2"/>
      <c r="MZI210" s="2"/>
      <c r="MZJ210" s="2"/>
      <c r="MZK210" s="2"/>
      <c r="MZL210" s="2"/>
      <c r="MZM210" s="2"/>
      <c r="MZN210" s="2"/>
      <c r="MZO210" s="2"/>
      <c r="MZP210" s="2"/>
      <c r="MZQ210" s="2"/>
      <c r="MZR210" s="2"/>
      <c r="MZS210" s="2"/>
      <c r="MZT210" s="2"/>
      <c r="MZU210" s="2"/>
      <c r="MZV210" s="2"/>
      <c r="MZW210" s="2"/>
      <c r="MZX210" s="2"/>
      <c r="MZY210" s="2"/>
      <c r="MZZ210" s="2"/>
      <c r="NAA210" s="2"/>
      <c r="NAB210" s="2"/>
      <c r="NAC210" s="2"/>
      <c r="NAD210" s="2"/>
      <c r="NAE210" s="2"/>
      <c r="NAF210" s="2"/>
      <c r="NAG210" s="2"/>
      <c r="NAH210" s="2"/>
      <c r="NAI210" s="2"/>
      <c r="NAJ210" s="2"/>
      <c r="NAK210" s="2"/>
      <c r="NAL210" s="2"/>
      <c r="NAM210" s="2"/>
      <c r="NAN210" s="2"/>
      <c r="NAO210" s="2"/>
      <c r="NAP210" s="2"/>
      <c r="NAQ210" s="2"/>
      <c r="NAR210" s="2"/>
      <c r="NAS210" s="2"/>
      <c r="NAT210" s="2"/>
      <c r="NAU210" s="2"/>
      <c r="NAV210" s="2"/>
      <c r="NAW210" s="2"/>
      <c r="NAX210" s="2"/>
      <c r="NAY210" s="2"/>
      <c r="NAZ210" s="2"/>
      <c r="NBA210" s="2"/>
      <c r="NBB210" s="2"/>
      <c r="NBC210" s="2"/>
      <c r="NBD210" s="2"/>
      <c r="NBE210" s="2"/>
      <c r="NBF210" s="2"/>
      <c r="NBG210" s="2"/>
      <c r="NBH210" s="2"/>
      <c r="NBI210" s="2"/>
      <c r="NBJ210" s="2"/>
      <c r="NBK210" s="2"/>
      <c r="NBL210" s="2"/>
      <c r="NBM210" s="2"/>
      <c r="NBN210" s="2"/>
      <c r="NBO210" s="2"/>
      <c r="NBP210" s="2"/>
      <c r="NBQ210" s="2"/>
      <c r="NBR210" s="2"/>
      <c r="NBS210" s="2"/>
      <c r="NBT210" s="2"/>
      <c r="NBU210" s="2"/>
      <c r="NBV210" s="2"/>
      <c r="NBW210" s="2"/>
      <c r="NBX210" s="2"/>
      <c r="NBY210" s="2"/>
      <c r="NBZ210" s="2"/>
      <c r="NCA210" s="2"/>
      <c r="NCB210" s="2"/>
      <c r="NCC210" s="2"/>
      <c r="NCD210" s="2"/>
      <c r="NCE210" s="2"/>
      <c r="NCF210" s="2"/>
      <c r="NCG210" s="2"/>
      <c r="NCH210" s="2"/>
      <c r="NCI210" s="2"/>
      <c r="NCJ210" s="2"/>
      <c r="NCK210" s="2"/>
      <c r="NCL210" s="2"/>
      <c r="NCM210" s="2"/>
      <c r="NCN210" s="2"/>
      <c r="NCO210" s="2"/>
      <c r="NCP210" s="2"/>
      <c r="NCQ210" s="2"/>
      <c r="NCR210" s="2"/>
      <c r="NCS210" s="2"/>
      <c r="NCT210" s="2"/>
      <c r="NCU210" s="2"/>
      <c r="NCV210" s="2"/>
      <c r="NCW210" s="2"/>
      <c r="NCX210" s="2"/>
      <c r="NCY210" s="2"/>
      <c r="NCZ210" s="2"/>
      <c r="NDA210" s="2"/>
      <c r="NDB210" s="2"/>
      <c r="NDC210" s="2"/>
      <c r="NDD210" s="2"/>
      <c r="NDE210" s="2"/>
      <c r="NDF210" s="2"/>
      <c r="NDG210" s="2"/>
      <c r="NDH210" s="2"/>
      <c r="NDI210" s="2"/>
      <c r="NDJ210" s="2"/>
      <c r="NDK210" s="2"/>
      <c r="NDL210" s="2"/>
      <c r="NDM210" s="2"/>
      <c r="NDN210" s="2"/>
      <c r="NDO210" s="2"/>
      <c r="NDP210" s="2"/>
      <c r="NDQ210" s="2"/>
      <c r="NDR210" s="2"/>
      <c r="NDS210" s="2"/>
      <c r="NDT210" s="2"/>
      <c r="NDU210" s="2"/>
      <c r="NDV210" s="2"/>
      <c r="NDW210" s="2"/>
      <c r="NDX210" s="2"/>
      <c r="NDY210" s="2"/>
      <c r="NDZ210" s="2"/>
      <c r="NEA210" s="2"/>
      <c r="NEB210" s="2"/>
      <c r="NEC210" s="2"/>
      <c r="NED210" s="2"/>
      <c r="NEE210" s="2"/>
      <c r="NEF210" s="2"/>
      <c r="NEG210" s="2"/>
      <c r="NEH210" s="2"/>
      <c r="NEI210" s="2"/>
      <c r="NEJ210" s="2"/>
      <c r="NEK210" s="2"/>
      <c r="NEL210" s="2"/>
      <c r="NEM210" s="2"/>
      <c r="NEN210" s="2"/>
      <c r="NEO210" s="2"/>
      <c r="NEP210" s="2"/>
      <c r="NEQ210" s="2"/>
      <c r="NER210" s="2"/>
      <c r="NES210" s="2"/>
      <c r="NET210" s="2"/>
      <c r="NEU210" s="2"/>
      <c r="NEV210" s="2"/>
      <c r="NEW210" s="2"/>
      <c r="NEX210" s="2"/>
      <c r="NEY210" s="2"/>
      <c r="NEZ210" s="2"/>
      <c r="NFA210" s="2"/>
      <c r="NFB210" s="2"/>
      <c r="NFC210" s="2"/>
      <c r="NFD210" s="2"/>
      <c r="NFE210" s="2"/>
      <c r="NFF210" s="2"/>
      <c r="NFG210" s="2"/>
      <c r="NFH210" s="2"/>
      <c r="NFI210" s="2"/>
      <c r="NFJ210" s="2"/>
      <c r="NFK210" s="2"/>
      <c r="NFL210" s="2"/>
      <c r="NFM210" s="2"/>
      <c r="NFN210" s="2"/>
      <c r="NFO210" s="2"/>
      <c r="NFP210" s="2"/>
      <c r="NFQ210" s="2"/>
      <c r="NFR210" s="2"/>
      <c r="NFS210" s="2"/>
      <c r="NFT210" s="2"/>
      <c r="NFU210" s="2"/>
      <c r="NFV210" s="2"/>
      <c r="NFW210" s="2"/>
      <c r="NFX210" s="2"/>
      <c r="NFY210" s="2"/>
      <c r="NFZ210" s="2"/>
      <c r="NGA210" s="2"/>
      <c r="NGB210" s="2"/>
      <c r="NGC210" s="2"/>
      <c r="NGD210" s="2"/>
      <c r="NGE210" s="2"/>
      <c r="NGF210" s="2"/>
      <c r="NGG210" s="2"/>
      <c r="NGH210" s="2"/>
      <c r="NGI210" s="2"/>
      <c r="NGJ210" s="2"/>
      <c r="NGK210" s="2"/>
      <c r="NGL210" s="2"/>
      <c r="NGM210" s="2"/>
      <c r="NGN210" s="2"/>
      <c r="NGO210" s="2"/>
      <c r="NGP210" s="2"/>
      <c r="NGQ210" s="2"/>
      <c r="NGR210" s="2"/>
      <c r="NGS210" s="2"/>
      <c r="NGT210" s="2"/>
      <c r="NGU210" s="2"/>
      <c r="NGV210" s="2"/>
      <c r="NGW210" s="2"/>
      <c r="NGX210" s="2"/>
      <c r="NGY210" s="2"/>
      <c r="NGZ210" s="2"/>
      <c r="NHA210" s="2"/>
      <c r="NHB210" s="2"/>
      <c r="NHC210" s="2"/>
      <c r="NHD210" s="2"/>
      <c r="NHE210" s="2"/>
      <c r="NHF210" s="2"/>
      <c r="NHG210" s="2"/>
      <c r="NHH210" s="2"/>
      <c r="NHI210" s="2"/>
      <c r="NHJ210" s="2"/>
      <c r="NHK210" s="2"/>
      <c r="NHL210" s="2"/>
      <c r="NHM210" s="2"/>
      <c r="NHN210" s="2"/>
      <c r="NHO210" s="2"/>
      <c r="NHP210" s="2"/>
      <c r="NHQ210" s="2"/>
      <c r="NHR210" s="2"/>
      <c r="NHS210" s="2"/>
      <c r="NHT210" s="2"/>
      <c r="NHU210" s="2"/>
      <c r="NHV210" s="2"/>
      <c r="NHW210" s="2"/>
      <c r="NHX210" s="2"/>
      <c r="NHY210" s="2"/>
      <c r="NHZ210" s="2"/>
      <c r="NIA210" s="2"/>
      <c r="NIB210" s="2"/>
      <c r="NIC210" s="2"/>
      <c r="NID210" s="2"/>
      <c r="NIE210" s="2"/>
      <c r="NIF210" s="2"/>
      <c r="NIG210" s="2"/>
      <c r="NIH210" s="2"/>
      <c r="NII210" s="2"/>
      <c r="NIJ210" s="2"/>
      <c r="NIK210" s="2"/>
      <c r="NIL210" s="2"/>
      <c r="NIM210" s="2"/>
      <c r="NIN210" s="2"/>
      <c r="NIO210" s="2"/>
      <c r="NIP210" s="2"/>
      <c r="NIQ210" s="2"/>
      <c r="NIR210" s="2"/>
      <c r="NIS210" s="2"/>
      <c r="NIT210" s="2"/>
      <c r="NIU210" s="2"/>
      <c r="NIV210" s="2"/>
      <c r="NIW210" s="2"/>
      <c r="NIX210" s="2"/>
      <c r="NIY210" s="2"/>
      <c r="NIZ210" s="2"/>
      <c r="NJA210" s="2"/>
      <c r="NJB210" s="2"/>
      <c r="NJC210" s="2"/>
      <c r="NJD210" s="2"/>
      <c r="NJE210" s="2"/>
      <c r="NJF210" s="2"/>
      <c r="NJG210" s="2"/>
      <c r="NJH210" s="2"/>
      <c r="NJI210" s="2"/>
      <c r="NJJ210" s="2"/>
      <c r="NJK210" s="2"/>
      <c r="NJL210" s="2"/>
      <c r="NJM210" s="2"/>
      <c r="NJN210" s="2"/>
      <c r="NJO210" s="2"/>
      <c r="NJP210" s="2"/>
      <c r="NJQ210" s="2"/>
      <c r="NJR210" s="2"/>
      <c r="NJS210" s="2"/>
      <c r="NJT210" s="2"/>
      <c r="NJU210" s="2"/>
      <c r="NJV210" s="2"/>
      <c r="NJW210" s="2"/>
      <c r="NJX210" s="2"/>
      <c r="NJY210" s="2"/>
      <c r="NJZ210" s="2"/>
      <c r="NKA210" s="2"/>
      <c r="NKB210" s="2"/>
      <c r="NKC210" s="2"/>
      <c r="NKD210" s="2"/>
      <c r="NKE210" s="2"/>
      <c r="NKF210" s="2"/>
      <c r="NKG210" s="2"/>
      <c r="NKH210" s="2"/>
      <c r="NKI210" s="2"/>
      <c r="NKJ210" s="2"/>
      <c r="NKK210" s="2"/>
      <c r="NKL210" s="2"/>
      <c r="NKM210" s="2"/>
      <c r="NKN210" s="2"/>
      <c r="NKO210" s="2"/>
      <c r="NKP210" s="2"/>
      <c r="NKQ210" s="2"/>
      <c r="NKR210" s="2"/>
      <c r="NKS210" s="2"/>
      <c r="NKT210" s="2"/>
      <c r="NKU210" s="2"/>
      <c r="NKV210" s="2"/>
      <c r="NKW210" s="2"/>
      <c r="NKX210" s="2"/>
      <c r="NKY210" s="2"/>
      <c r="NKZ210" s="2"/>
      <c r="NLA210" s="2"/>
      <c r="NLB210" s="2"/>
      <c r="NLC210" s="2"/>
      <c r="NLD210" s="2"/>
      <c r="NLE210" s="2"/>
      <c r="NLF210" s="2"/>
      <c r="NLG210" s="2"/>
      <c r="NLH210" s="2"/>
      <c r="NLI210" s="2"/>
      <c r="NLJ210" s="2"/>
      <c r="NLK210" s="2"/>
      <c r="NLL210" s="2"/>
      <c r="NLM210" s="2"/>
      <c r="NLN210" s="2"/>
      <c r="NLO210" s="2"/>
      <c r="NLP210" s="2"/>
      <c r="NLQ210" s="2"/>
      <c r="NLR210" s="2"/>
      <c r="NLS210" s="2"/>
      <c r="NLT210" s="2"/>
      <c r="NLU210" s="2"/>
      <c r="NLV210" s="2"/>
      <c r="NLW210" s="2"/>
      <c r="NLX210" s="2"/>
      <c r="NLY210" s="2"/>
      <c r="NLZ210" s="2"/>
      <c r="NMA210" s="2"/>
      <c r="NMB210" s="2"/>
      <c r="NMC210" s="2"/>
      <c r="NMD210" s="2"/>
      <c r="NME210" s="2"/>
      <c r="NMF210" s="2"/>
      <c r="NMG210" s="2"/>
      <c r="NMH210" s="2"/>
      <c r="NMI210" s="2"/>
      <c r="NMJ210" s="2"/>
      <c r="NMK210" s="2"/>
      <c r="NML210" s="2"/>
      <c r="NMM210" s="2"/>
      <c r="NMN210" s="2"/>
      <c r="NMO210" s="2"/>
      <c r="NMP210" s="2"/>
      <c r="NMQ210" s="2"/>
      <c r="NMR210" s="2"/>
      <c r="NMS210" s="2"/>
      <c r="NMT210" s="2"/>
      <c r="NMU210" s="2"/>
      <c r="NMV210" s="2"/>
      <c r="NMW210" s="2"/>
      <c r="NMX210" s="2"/>
      <c r="NMY210" s="2"/>
      <c r="NMZ210" s="2"/>
      <c r="NNA210" s="2"/>
      <c r="NNB210" s="2"/>
      <c r="NNC210" s="2"/>
      <c r="NND210" s="2"/>
      <c r="NNE210" s="2"/>
      <c r="NNF210" s="2"/>
      <c r="NNG210" s="2"/>
      <c r="NNH210" s="2"/>
      <c r="NNI210" s="2"/>
      <c r="NNJ210" s="2"/>
      <c r="NNK210" s="2"/>
      <c r="NNL210" s="2"/>
      <c r="NNM210" s="2"/>
      <c r="NNN210" s="2"/>
      <c r="NNO210" s="2"/>
      <c r="NNP210" s="2"/>
      <c r="NNQ210" s="2"/>
      <c r="NNR210" s="2"/>
      <c r="NNS210" s="2"/>
      <c r="NNT210" s="2"/>
      <c r="NNU210" s="2"/>
      <c r="NNV210" s="2"/>
      <c r="NNW210" s="2"/>
      <c r="NNX210" s="2"/>
      <c r="NNY210" s="2"/>
      <c r="NNZ210" s="2"/>
      <c r="NOA210" s="2"/>
      <c r="NOB210" s="2"/>
      <c r="NOC210" s="2"/>
      <c r="NOD210" s="2"/>
      <c r="NOE210" s="2"/>
      <c r="NOF210" s="2"/>
      <c r="NOG210" s="2"/>
      <c r="NOH210" s="2"/>
      <c r="NOI210" s="2"/>
      <c r="NOJ210" s="2"/>
      <c r="NOK210" s="2"/>
      <c r="NOL210" s="2"/>
      <c r="NOM210" s="2"/>
      <c r="NON210" s="2"/>
      <c r="NOO210" s="2"/>
      <c r="NOP210" s="2"/>
      <c r="NOQ210" s="2"/>
      <c r="NOR210" s="2"/>
      <c r="NOS210" s="2"/>
      <c r="NOT210" s="2"/>
      <c r="NOU210" s="2"/>
      <c r="NOV210" s="2"/>
      <c r="NOW210" s="2"/>
      <c r="NOX210" s="2"/>
      <c r="NOY210" s="2"/>
      <c r="NOZ210" s="2"/>
      <c r="NPA210" s="2"/>
      <c r="NPB210" s="2"/>
      <c r="NPC210" s="2"/>
      <c r="NPD210" s="2"/>
      <c r="NPE210" s="2"/>
      <c r="NPF210" s="2"/>
      <c r="NPG210" s="2"/>
      <c r="NPH210" s="2"/>
      <c r="NPI210" s="2"/>
      <c r="NPJ210" s="2"/>
      <c r="NPK210" s="2"/>
      <c r="NPL210" s="2"/>
      <c r="NPM210" s="2"/>
      <c r="NPN210" s="2"/>
      <c r="NPO210" s="2"/>
      <c r="NPP210" s="2"/>
      <c r="NPQ210" s="2"/>
      <c r="NPR210" s="2"/>
      <c r="NPS210" s="2"/>
      <c r="NPT210" s="2"/>
      <c r="NPU210" s="2"/>
      <c r="NPV210" s="2"/>
      <c r="NPW210" s="2"/>
      <c r="NPX210" s="2"/>
      <c r="NPY210" s="2"/>
      <c r="NPZ210" s="2"/>
      <c r="NQA210" s="2"/>
      <c r="NQB210" s="2"/>
      <c r="NQC210" s="2"/>
      <c r="NQD210" s="2"/>
      <c r="NQE210" s="2"/>
      <c r="NQF210" s="2"/>
      <c r="NQG210" s="2"/>
      <c r="NQH210" s="2"/>
      <c r="NQI210" s="2"/>
      <c r="NQJ210" s="2"/>
      <c r="NQK210" s="2"/>
      <c r="NQL210" s="2"/>
      <c r="NQM210" s="2"/>
      <c r="NQN210" s="2"/>
      <c r="NQO210" s="2"/>
      <c r="NQP210" s="2"/>
      <c r="NQQ210" s="2"/>
      <c r="NQR210" s="2"/>
      <c r="NQS210" s="2"/>
      <c r="NQT210" s="2"/>
      <c r="NQU210" s="2"/>
      <c r="NQV210" s="2"/>
      <c r="NQW210" s="2"/>
      <c r="NQX210" s="2"/>
      <c r="NQY210" s="2"/>
      <c r="NQZ210" s="2"/>
      <c r="NRA210" s="2"/>
      <c r="NRB210" s="2"/>
      <c r="NRC210" s="2"/>
      <c r="NRD210" s="2"/>
      <c r="NRE210" s="2"/>
      <c r="NRF210" s="2"/>
      <c r="NRG210" s="2"/>
      <c r="NRH210" s="2"/>
      <c r="NRI210" s="2"/>
      <c r="NRJ210" s="2"/>
      <c r="NRK210" s="2"/>
      <c r="NRL210" s="2"/>
      <c r="NRM210" s="2"/>
      <c r="NRN210" s="2"/>
      <c r="NRO210" s="2"/>
      <c r="NRP210" s="2"/>
      <c r="NRQ210" s="2"/>
      <c r="NRR210" s="2"/>
      <c r="NRS210" s="2"/>
      <c r="NRT210" s="2"/>
      <c r="NRU210" s="2"/>
      <c r="NRV210" s="2"/>
      <c r="NRW210" s="2"/>
      <c r="NRX210" s="2"/>
      <c r="NRY210" s="2"/>
      <c r="NRZ210" s="2"/>
      <c r="NSA210" s="2"/>
      <c r="NSB210" s="2"/>
      <c r="NSC210" s="2"/>
      <c r="NSD210" s="2"/>
      <c r="NSE210" s="2"/>
      <c r="NSF210" s="2"/>
      <c r="NSG210" s="2"/>
      <c r="NSH210" s="2"/>
      <c r="NSI210" s="2"/>
      <c r="NSJ210" s="2"/>
      <c r="NSK210" s="2"/>
      <c r="NSL210" s="2"/>
      <c r="NSM210" s="2"/>
      <c r="NSN210" s="2"/>
      <c r="NSO210" s="2"/>
      <c r="NSP210" s="2"/>
      <c r="NSQ210" s="2"/>
      <c r="NSR210" s="2"/>
      <c r="NSS210" s="2"/>
      <c r="NST210" s="2"/>
      <c r="NSU210" s="2"/>
      <c r="NSV210" s="2"/>
      <c r="NSW210" s="2"/>
      <c r="NSX210" s="2"/>
      <c r="NSY210" s="2"/>
      <c r="NSZ210" s="2"/>
      <c r="NTA210" s="2"/>
      <c r="NTB210" s="2"/>
      <c r="NTC210" s="2"/>
      <c r="NTD210" s="2"/>
      <c r="NTE210" s="2"/>
      <c r="NTF210" s="2"/>
      <c r="NTG210" s="2"/>
      <c r="NTH210" s="2"/>
      <c r="NTI210" s="2"/>
      <c r="NTJ210" s="2"/>
      <c r="NTK210" s="2"/>
      <c r="NTL210" s="2"/>
      <c r="NTM210" s="2"/>
      <c r="NTN210" s="2"/>
      <c r="NTO210" s="2"/>
      <c r="NTP210" s="2"/>
      <c r="NTQ210" s="2"/>
      <c r="NTR210" s="2"/>
      <c r="NTS210" s="2"/>
      <c r="NTT210" s="2"/>
      <c r="NTU210" s="2"/>
      <c r="NTV210" s="2"/>
      <c r="NTW210" s="2"/>
      <c r="NTX210" s="2"/>
      <c r="NTY210" s="2"/>
      <c r="NTZ210" s="2"/>
      <c r="NUA210" s="2"/>
      <c r="NUB210" s="2"/>
      <c r="NUC210" s="2"/>
      <c r="NUD210" s="2"/>
      <c r="NUE210" s="2"/>
      <c r="NUF210" s="2"/>
      <c r="NUG210" s="2"/>
      <c r="NUH210" s="2"/>
      <c r="NUI210" s="2"/>
      <c r="NUJ210" s="2"/>
      <c r="NUK210" s="2"/>
      <c r="NUL210" s="2"/>
      <c r="NUM210" s="2"/>
      <c r="NUN210" s="2"/>
      <c r="NUO210" s="2"/>
      <c r="NUP210" s="2"/>
      <c r="NUQ210" s="2"/>
      <c r="NUR210" s="2"/>
      <c r="NUS210" s="2"/>
      <c r="NUT210" s="2"/>
      <c r="NUU210" s="2"/>
      <c r="NUV210" s="2"/>
      <c r="NUW210" s="2"/>
      <c r="NUX210" s="2"/>
      <c r="NUY210" s="2"/>
      <c r="NUZ210" s="2"/>
      <c r="NVA210" s="2"/>
      <c r="NVB210" s="2"/>
      <c r="NVC210" s="2"/>
      <c r="NVD210" s="2"/>
      <c r="NVE210" s="2"/>
      <c r="NVF210" s="2"/>
      <c r="NVG210" s="2"/>
      <c r="NVH210" s="2"/>
      <c r="NVI210" s="2"/>
      <c r="NVJ210" s="2"/>
      <c r="NVK210" s="2"/>
      <c r="NVL210" s="2"/>
      <c r="NVM210" s="2"/>
      <c r="NVN210" s="2"/>
      <c r="NVO210" s="2"/>
      <c r="NVP210" s="2"/>
      <c r="NVQ210" s="2"/>
      <c r="NVR210" s="2"/>
      <c r="NVS210" s="2"/>
      <c r="NVT210" s="2"/>
      <c r="NVU210" s="2"/>
      <c r="NVV210" s="2"/>
      <c r="NVW210" s="2"/>
      <c r="NVX210" s="2"/>
      <c r="NVY210" s="2"/>
      <c r="NVZ210" s="2"/>
      <c r="NWA210" s="2"/>
      <c r="NWB210" s="2"/>
      <c r="NWC210" s="2"/>
      <c r="NWD210" s="2"/>
      <c r="NWE210" s="2"/>
      <c r="NWF210" s="2"/>
      <c r="NWG210" s="2"/>
      <c r="NWH210" s="2"/>
      <c r="NWI210" s="2"/>
      <c r="NWJ210" s="2"/>
      <c r="NWK210" s="2"/>
      <c r="NWL210" s="2"/>
      <c r="NWM210" s="2"/>
      <c r="NWN210" s="2"/>
      <c r="NWO210" s="2"/>
      <c r="NWP210" s="2"/>
      <c r="NWQ210" s="2"/>
      <c r="NWR210" s="2"/>
      <c r="NWS210" s="2"/>
      <c r="NWT210" s="2"/>
      <c r="NWU210" s="2"/>
      <c r="NWV210" s="2"/>
      <c r="NWW210" s="2"/>
      <c r="NWX210" s="2"/>
      <c r="NWY210" s="2"/>
      <c r="NWZ210" s="2"/>
      <c r="NXA210" s="2"/>
      <c r="NXB210" s="2"/>
      <c r="NXC210" s="2"/>
      <c r="NXD210" s="2"/>
      <c r="NXE210" s="2"/>
      <c r="NXF210" s="2"/>
      <c r="NXG210" s="2"/>
      <c r="NXH210" s="2"/>
      <c r="NXI210" s="2"/>
      <c r="NXJ210" s="2"/>
      <c r="NXK210" s="2"/>
      <c r="NXL210" s="2"/>
      <c r="NXM210" s="2"/>
      <c r="NXN210" s="2"/>
      <c r="NXO210" s="2"/>
      <c r="NXP210" s="2"/>
      <c r="NXQ210" s="2"/>
      <c r="NXR210" s="2"/>
      <c r="NXS210" s="2"/>
      <c r="NXT210" s="2"/>
      <c r="NXU210" s="2"/>
      <c r="NXV210" s="2"/>
      <c r="NXW210" s="2"/>
      <c r="NXX210" s="2"/>
      <c r="NXY210" s="2"/>
      <c r="NXZ210" s="2"/>
      <c r="NYA210" s="2"/>
      <c r="NYB210" s="2"/>
      <c r="NYC210" s="2"/>
      <c r="NYD210" s="2"/>
      <c r="NYE210" s="2"/>
      <c r="NYF210" s="2"/>
      <c r="NYG210" s="2"/>
      <c r="NYH210" s="2"/>
      <c r="NYI210" s="2"/>
      <c r="NYJ210" s="2"/>
      <c r="NYK210" s="2"/>
      <c r="NYL210" s="2"/>
      <c r="NYM210" s="2"/>
      <c r="NYN210" s="2"/>
      <c r="NYO210" s="2"/>
      <c r="NYP210" s="2"/>
      <c r="NYQ210" s="2"/>
      <c r="NYR210" s="2"/>
      <c r="NYS210" s="2"/>
      <c r="NYT210" s="2"/>
      <c r="NYU210" s="2"/>
      <c r="NYV210" s="2"/>
      <c r="NYW210" s="2"/>
      <c r="NYX210" s="2"/>
      <c r="NYY210" s="2"/>
      <c r="NYZ210" s="2"/>
      <c r="NZA210" s="2"/>
      <c r="NZB210" s="2"/>
      <c r="NZC210" s="2"/>
      <c r="NZD210" s="2"/>
      <c r="NZE210" s="2"/>
      <c r="NZF210" s="2"/>
      <c r="NZG210" s="2"/>
      <c r="NZH210" s="2"/>
      <c r="NZI210" s="2"/>
      <c r="NZJ210" s="2"/>
      <c r="NZK210" s="2"/>
      <c r="NZL210" s="2"/>
      <c r="NZM210" s="2"/>
      <c r="NZN210" s="2"/>
      <c r="NZO210" s="2"/>
      <c r="NZP210" s="2"/>
      <c r="NZQ210" s="2"/>
      <c r="NZR210" s="2"/>
      <c r="NZS210" s="2"/>
      <c r="NZT210" s="2"/>
      <c r="NZU210" s="2"/>
      <c r="NZV210" s="2"/>
      <c r="NZW210" s="2"/>
      <c r="NZX210" s="2"/>
      <c r="NZY210" s="2"/>
      <c r="NZZ210" s="2"/>
      <c r="OAA210" s="2"/>
      <c r="OAB210" s="2"/>
      <c r="OAC210" s="2"/>
      <c r="OAD210" s="2"/>
      <c r="OAE210" s="2"/>
      <c r="OAF210" s="2"/>
      <c r="OAG210" s="2"/>
      <c r="OAH210" s="2"/>
      <c r="OAI210" s="2"/>
      <c r="OAJ210" s="2"/>
      <c r="OAK210" s="2"/>
      <c r="OAL210" s="2"/>
      <c r="OAM210" s="2"/>
      <c r="OAN210" s="2"/>
      <c r="OAO210" s="2"/>
      <c r="OAP210" s="2"/>
      <c r="OAQ210" s="2"/>
      <c r="OAR210" s="2"/>
      <c r="OAS210" s="2"/>
      <c r="OAT210" s="2"/>
      <c r="OAU210" s="2"/>
      <c r="OAV210" s="2"/>
      <c r="OAW210" s="2"/>
      <c r="OAX210" s="2"/>
      <c r="OAY210" s="2"/>
      <c r="OAZ210" s="2"/>
      <c r="OBA210" s="2"/>
      <c r="OBB210" s="2"/>
      <c r="OBC210" s="2"/>
      <c r="OBD210" s="2"/>
      <c r="OBE210" s="2"/>
      <c r="OBF210" s="2"/>
      <c r="OBG210" s="2"/>
      <c r="OBH210" s="2"/>
      <c r="OBI210" s="2"/>
      <c r="OBJ210" s="2"/>
      <c r="OBK210" s="2"/>
      <c r="OBL210" s="2"/>
      <c r="OBM210" s="2"/>
      <c r="OBN210" s="2"/>
      <c r="OBO210" s="2"/>
      <c r="OBP210" s="2"/>
      <c r="OBQ210" s="2"/>
      <c r="OBR210" s="2"/>
      <c r="OBS210" s="2"/>
      <c r="OBT210" s="2"/>
      <c r="OBU210" s="2"/>
      <c r="OBV210" s="2"/>
      <c r="OBW210" s="2"/>
      <c r="OBX210" s="2"/>
      <c r="OBY210" s="2"/>
      <c r="OBZ210" s="2"/>
      <c r="OCA210" s="2"/>
      <c r="OCB210" s="2"/>
      <c r="OCC210" s="2"/>
      <c r="OCD210" s="2"/>
      <c r="OCE210" s="2"/>
      <c r="OCF210" s="2"/>
      <c r="OCG210" s="2"/>
      <c r="OCH210" s="2"/>
      <c r="OCI210" s="2"/>
      <c r="OCJ210" s="2"/>
      <c r="OCK210" s="2"/>
      <c r="OCL210" s="2"/>
      <c r="OCM210" s="2"/>
      <c r="OCN210" s="2"/>
      <c r="OCO210" s="2"/>
      <c r="OCP210" s="2"/>
      <c r="OCQ210" s="2"/>
      <c r="OCR210" s="2"/>
      <c r="OCS210" s="2"/>
      <c r="OCT210" s="2"/>
      <c r="OCU210" s="2"/>
      <c r="OCV210" s="2"/>
      <c r="OCW210" s="2"/>
      <c r="OCX210" s="2"/>
      <c r="OCY210" s="2"/>
      <c r="OCZ210" s="2"/>
      <c r="ODA210" s="2"/>
      <c r="ODB210" s="2"/>
      <c r="ODC210" s="2"/>
      <c r="ODD210" s="2"/>
      <c r="ODE210" s="2"/>
      <c r="ODF210" s="2"/>
      <c r="ODG210" s="2"/>
      <c r="ODH210" s="2"/>
      <c r="ODI210" s="2"/>
      <c r="ODJ210" s="2"/>
      <c r="ODK210" s="2"/>
      <c r="ODL210" s="2"/>
      <c r="ODM210" s="2"/>
      <c r="ODN210" s="2"/>
      <c r="ODO210" s="2"/>
      <c r="ODP210" s="2"/>
      <c r="ODQ210" s="2"/>
      <c r="ODR210" s="2"/>
      <c r="ODS210" s="2"/>
      <c r="ODT210" s="2"/>
      <c r="ODU210" s="2"/>
      <c r="ODV210" s="2"/>
      <c r="ODW210" s="2"/>
      <c r="ODX210" s="2"/>
      <c r="ODY210" s="2"/>
      <c r="ODZ210" s="2"/>
      <c r="OEA210" s="2"/>
      <c r="OEB210" s="2"/>
      <c r="OEC210" s="2"/>
      <c r="OED210" s="2"/>
      <c r="OEE210" s="2"/>
      <c r="OEF210" s="2"/>
      <c r="OEG210" s="2"/>
      <c r="OEH210" s="2"/>
      <c r="OEI210" s="2"/>
      <c r="OEJ210" s="2"/>
      <c r="OEK210" s="2"/>
      <c r="OEL210" s="2"/>
      <c r="OEM210" s="2"/>
      <c r="OEN210" s="2"/>
      <c r="OEO210" s="2"/>
      <c r="OEP210" s="2"/>
      <c r="OEQ210" s="2"/>
      <c r="OER210" s="2"/>
      <c r="OES210" s="2"/>
      <c r="OET210" s="2"/>
      <c r="OEU210" s="2"/>
      <c r="OEV210" s="2"/>
      <c r="OEW210" s="2"/>
      <c r="OEX210" s="2"/>
      <c r="OEY210" s="2"/>
      <c r="OEZ210" s="2"/>
      <c r="OFA210" s="2"/>
      <c r="OFB210" s="2"/>
      <c r="OFC210" s="2"/>
      <c r="OFD210" s="2"/>
      <c r="OFE210" s="2"/>
      <c r="OFF210" s="2"/>
      <c r="OFG210" s="2"/>
      <c r="OFH210" s="2"/>
      <c r="OFI210" s="2"/>
      <c r="OFJ210" s="2"/>
      <c r="OFK210" s="2"/>
      <c r="OFL210" s="2"/>
      <c r="OFM210" s="2"/>
      <c r="OFN210" s="2"/>
      <c r="OFO210" s="2"/>
      <c r="OFP210" s="2"/>
      <c r="OFQ210" s="2"/>
      <c r="OFR210" s="2"/>
      <c r="OFS210" s="2"/>
      <c r="OFT210" s="2"/>
      <c r="OFU210" s="2"/>
      <c r="OFV210" s="2"/>
      <c r="OFW210" s="2"/>
      <c r="OFX210" s="2"/>
      <c r="OFY210" s="2"/>
      <c r="OFZ210" s="2"/>
      <c r="OGA210" s="2"/>
      <c r="OGB210" s="2"/>
      <c r="OGC210" s="2"/>
      <c r="OGD210" s="2"/>
      <c r="OGE210" s="2"/>
      <c r="OGF210" s="2"/>
      <c r="OGG210" s="2"/>
      <c r="OGH210" s="2"/>
      <c r="OGI210" s="2"/>
      <c r="OGJ210" s="2"/>
      <c r="OGK210" s="2"/>
      <c r="OGL210" s="2"/>
      <c r="OGM210" s="2"/>
      <c r="OGN210" s="2"/>
      <c r="OGO210" s="2"/>
      <c r="OGP210" s="2"/>
      <c r="OGQ210" s="2"/>
      <c r="OGR210" s="2"/>
      <c r="OGS210" s="2"/>
      <c r="OGT210" s="2"/>
      <c r="OGU210" s="2"/>
      <c r="OGV210" s="2"/>
      <c r="OGW210" s="2"/>
      <c r="OGX210" s="2"/>
      <c r="OGY210" s="2"/>
      <c r="OGZ210" s="2"/>
      <c r="OHA210" s="2"/>
      <c r="OHB210" s="2"/>
      <c r="OHC210" s="2"/>
      <c r="OHD210" s="2"/>
      <c r="OHE210" s="2"/>
      <c r="OHF210" s="2"/>
      <c r="OHG210" s="2"/>
      <c r="OHH210" s="2"/>
      <c r="OHI210" s="2"/>
      <c r="OHJ210" s="2"/>
      <c r="OHK210" s="2"/>
      <c r="OHL210" s="2"/>
      <c r="OHM210" s="2"/>
      <c r="OHN210" s="2"/>
      <c r="OHO210" s="2"/>
      <c r="OHP210" s="2"/>
      <c r="OHQ210" s="2"/>
      <c r="OHR210" s="2"/>
      <c r="OHS210" s="2"/>
      <c r="OHT210" s="2"/>
      <c r="OHU210" s="2"/>
      <c r="OHV210" s="2"/>
      <c r="OHW210" s="2"/>
      <c r="OHX210" s="2"/>
      <c r="OHY210" s="2"/>
      <c r="OHZ210" s="2"/>
      <c r="OIA210" s="2"/>
      <c r="OIB210" s="2"/>
      <c r="OIC210" s="2"/>
      <c r="OID210" s="2"/>
      <c r="OIE210" s="2"/>
      <c r="OIF210" s="2"/>
      <c r="OIG210" s="2"/>
      <c r="OIH210" s="2"/>
      <c r="OII210" s="2"/>
      <c r="OIJ210" s="2"/>
      <c r="OIK210" s="2"/>
      <c r="OIL210" s="2"/>
      <c r="OIM210" s="2"/>
      <c r="OIN210" s="2"/>
      <c r="OIO210" s="2"/>
      <c r="OIP210" s="2"/>
      <c r="OIQ210" s="2"/>
      <c r="OIR210" s="2"/>
      <c r="OIS210" s="2"/>
      <c r="OIT210" s="2"/>
      <c r="OIU210" s="2"/>
      <c r="OIV210" s="2"/>
      <c r="OIW210" s="2"/>
      <c r="OIX210" s="2"/>
      <c r="OIY210" s="2"/>
      <c r="OIZ210" s="2"/>
      <c r="OJA210" s="2"/>
      <c r="OJB210" s="2"/>
      <c r="OJC210" s="2"/>
      <c r="OJD210" s="2"/>
      <c r="OJE210" s="2"/>
      <c r="OJF210" s="2"/>
      <c r="OJG210" s="2"/>
      <c r="OJH210" s="2"/>
      <c r="OJI210" s="2"/>
      <c r="OJJ210" s="2"/>
      <c r="OJK210" s="2"/>
      <c r="OJL210" s="2"/>
      <c r="OJM210" s="2"/>
      <c r="OJN210" s="2"/>
      <c r="OJO210" s="2"/>
      <c r="OJP210" s="2"/>
      <c r="OJQ210" s="2"/>
      <c r="OJR210" s="2"/>
      <c r="OJS210" s="2"/>
      <c r="OJT210" s="2"/>
      <c r="OJU210" s="2"/>
      <c r="OJV210" s="2"/>
      <c r="OJW210" s="2"/>
      <c r="OJX210" s="2"/>
      <c r="OJY210" s="2"/>
      <c r="OJZ210" s="2"/>
      <c r="OKA210" s="2"/>
      <c r="OKB210" s="2"/>
      <c r="OKC210" s="2"/>
      <c r="OKD210" s="2"/>
      <c r="OKE210" s="2"/>
      <c r="OKF210" s="2"/>
      <c r="OKG210" s="2"/>
      <c r="OKH210" s="2"/>
      <c r="OKI210" s="2"/>
      <c r="OKJ210" s="2"/>
      <c r="OKK210" s="2"/>
      <c r="OKL210" s="2"/>
      <c r="OKM210" s="2"/>
      <c r="OKN210" s="2"/>
      <c r="OKO210" s="2"/>
      <c r="OKP210" s="2"/>
      <c r="OKQ210" s="2"/>
      <c r="OKR210" s="2"/>
      <c r="OKS210" s="2"/>
      <c r="OKT210" s="2"/>
      <c r="OKU210" s="2"/>
      <c r="OKV210" s="2"/>
      <c r="OKW210" s="2"/>
      <c r="OKX210" s="2"/>
      <c r="OKY210" s="2"/>
      <c r="OKZ210" s="2"/>
      <c r="OLA210" s="2"/>
      <c r="OLB210" s="2"/>
      <c r="OLC210" s="2"/>
      <c r="OLD210" s="2"/>
      <c r="OLE210" s="2"/>
      <c r="OLF210" s="2"/>
      <c r="OLG210" s="2"/>
      <c r="OLH210" s="2"/>
      <c r="OLI210" s="2"/>
      <c r="OLJ210" s="2"/>
      <c r="OLK210" s="2"/>
      <c r="OLL210" s="2"/>
      <c r="OLM210" s="2"/>
      <c r="OLN210" s="2"/>
      <c r="OLO210" s="2"/>
      <c r="OLP210" s="2"/>
      <c r="OLQ210" s="2"/>
      <c r="OLR210" s="2"/>
      <c r="OLS210" s="2"/>
      <c r="OLT210" s="2"/>
      <c r="OLU210" s="2"/>
      <c r="OLV210" s="2"/>
      <c r="OLW210" s="2"/>
      <c r="OLX210" s="2"/>
      <c r="OLY210" s="2"/>
      <c r="OLZ210" s="2"/>
      <c r="OMA210" s="2"/>
      <c r="OMB210" s="2"/>
      <c r="OMC210" s="2"/>
      <c r="OMD210" s="2"/>
      <c r="OME210" s="2"/>
      <c r="OMF210" s="2"/>
      <c r="OMG210" s="2"/>
      <c r="OMH210" s="2"/>
      <c r="OMI210" s="2"/>
      <c r="OMJ210" s="2"/>
      <c r="OMK210" s="2"/>
      <c r="OML210" s="2"/>
      <c r="OMM210" s="2"/>
      <c r="OMN210" s="2"/>
      <c r="OMO210" s="2"/>
      <c r="OMP210" s="2"/>
      <c r="OMQ210" s="2"/>
      <c r="OMR210" s="2"/>
      <c r="OMS210" s="2"/>
      <c r="OMT210" s="2"/>
      <c r="OMU210" s="2"/>
      <c r="OMV210" s="2"/>
      <c r="OMW210" s="2"/>
      <c r="OMX210" s="2"/>
      <c r="OMY210" s="2"/>
      <c r="OMZ210" s="2"/>
      <c r="ONA210" s="2"/>
      <c r="ONB210" s="2"/>
      <c r="ONC210" s="2"/>
      <c r="OND210" s="2"/>
      <c r="ONE210" s="2"/>
      <c r="ONF210" s="2"/>
      <c r="ONG210" s="2"/>
      <c r="ONH210" s="2"/>
      <c r="ONI210" s="2"/>
      <c r="ONJ210" s="2"/>
      <c r="ONK210" s="2"/>
      <c r="ONL210" s="2"/>
      <c r="ONM210" s="2"/>
      <c r="ONN210" s="2"/>
      <c r="ONO210" s="2"/>
      <c r="ONP210" s="2"/>
      <c r="ONQ210" s="2"/>
      <c r="ONR210" s="2"/>
      <c r="ONS210" s="2"/>
      <c r="ONT210" s="2"/>
      <c r="ONU210" s="2"/>
      <c r="ONV210" s="2"/>
      <c r="ONW210" s="2"/>
      <c r="ONX210" s="2"/>
      <c r="ONY210" s="2"/>
      <c r="ONZ210" s="2"/>
      <c r="OOA210" s="2"/>
      <c r="OOB210" s="2"/>
      <c r="OOC210" s="2"/>
      <c r="OOD210" s="2"/>
      <c r="OOE210" s="2"/>
      <c r="OOF210" s="2"/>
      <c r="OOG210" s="2"/>
      <c r="OOH210" s="2"/>
      <c r="OOI210" s="2"/>
      <c r="OOJ210" s="2"/>
      <c r="OOK210" s="2"/>
      <c r="OOL210" s="2"/>
      <c r="OOM210" s="2"/>
      <c r="OON210" s="2"/>
      <c r="OOO210" s="2"/>
      <c r="OOP210" s="2"/>
      <c r="OOQ210" s="2"/>
      <c r="OOR210" s="2"/>
      <c r="OOS210" s="2"/>
      <c r="OOT210" s="2"/>
      <c r="OOU210" s="2"/>
      <c r="OOV210" s="2"/>
      <c r="OOW210" s="2"/>
      <c r="OOX210" s="2"/>
      <c r="OOY210" s="2"/>
      <c r="OOZ210" s="2"/>
      <c r="OPA210" s="2"/>
      <c r="OPB210" s="2"/>
      <c r="OPC210" s="2"/>
      <c r="OPD210" s="2"/>
      <c r="OPE210" s="2"/>
      <c r="OPF210" s="2"/>
      <c r="OPG210" s="2"/>
      <c r="OPH210" s="2"/>
      <c r="OPI210" s="2"/>
      <c r="OPJ210" s="2"/>
      <c r="OPK210" s="2"/>
      <c r="OPL210" s="2"/>
      <c r="OPM210" s="2"/>
      <c r="OPN210" s="2"/>
      <c r="OPO210" s="2"/>
      <c r="OPP210" s="2"/>
      <c r="OPQ210" s="2"/>
      <c r="OPR210" s="2"/>
      <c r="OPS210" s="2"/>
      <c r="OPT210" s="2"/>
      <c r="OPU210" s="2"/>
      <c r="OPV210" s="2"/>
      <c r="OPW210" s="2"/>
      <c r="OPX210" s="2"/>
      <c r="OPY210" s="2"/>
      <c r="OPZ210" s="2"/>
      <c r="OQA210" s="2"/>
      <c r="OQB210" s="2"/>
      <c r="OQC210" s="2"/>
      <c r="OQD210" s="2"/>
      <c r="OQE210" s="2"/>
      <c r="OQF210" s="2"/>
      <c r="OQG210" s="2"/>
      <c r="OQH210" s="2"/>
      <c r="OQI210" s="2"/>
      <c r="OQJ210" s="2"/>
      <c r="OQK210" s="2"/>
      <c r="OQL210" s="2"/>
      <c r="OQM210" s="2"/>
      <c r="OQN210" s="2"/>
      <c r="OQO210" s="2"/>
      <c r="OQP210" s="2"/>
      <c r="OQQ210" s="2"/>
      <c r="OQR210" s="2"/>
      <c r="OQS210" s="2"/>
      <c r="OQT210" s="2"/>
      <c r="OQU210" s="2"/>
      <c r="OQV210" s="2"/>
      <c r="OQW210" s="2"/>
      <c r="OQX210" s="2"/>
      <c r="OQY210" s="2"/>
      <c r="OQZ210" s="2"/>
      <c r="ORA210" s="2"/>
      <c r="ORB210" s="2"/>
      <c r="ORC210" s="2"/>
      <c r="ORD210" s="2"/>
      <c r="ORE210" s="2"/>
      <c r="ORF210" s="2"/>
      <c r="ORG210" s="2"/>
      <c r="ORH210" s="2"/>
      <c r="ORI210" s="2"/>
      <c r="ORJ210" s="2"/>
      <c r="ORK210" s="2"/>
      <c r="ORL210" s="2"/>
      <c r="ORM210" s="2"/>
      <c r="ORN210" s="2"/>
      <c r="ORO210" s="2"/>
      <c r="ORP210" s="2"/>
      <c r="ORQ210" s="2"/>
      <c r="ORR210" s="2"/>
      <c r="ORS210" s="2"/>
      <c r="ORT210" s="2"/>
      <c r="ORU210" s="2"/>
      <c r="ORV210" s="2"/>
      <c r="ORW210" s="2"/>
      <c r="ORX210" s="2"/>
      <c r="ORY210" s="2"/>
      <c r="ORZ210" s="2"/>
      <c r="OSA210" s="2"/>
      <c r="OSB210" s="2"/>
      <c r="OSC210" s="2"/>
      <c r="OSD210" s="2"/>
      <c r="OSE210" s="2"/>
      <c r="OSF210" s="2"/>
      <c r="OSG210" s="2"/>
      <c r="OSH210" s="2"/>
      <c r="OSI210" s="2"/>
      <c r="OSJ210" s="2"/>
      <c r="OSK210" s="2"/>
      <c r="OSL210" s="2"/>
      <c r="OSM210" s="2"/>
      <c r="OSN210" s="2"/>
      <c r="OSO210" s="2"/>
      <c r="OSP210" s="2"/>
      <c r="OSQ210" s="2"/>
      <c r="OSR210" s="2"/>
      <c r="OSS210" s="2"/>
      <c r="OST210" s="2"/>
      <c r="OSU210" s="2"/>
      <c r="OSV210" s="2"/>
      <c r="OSW210" s="2"/>
      <c r="OSX210" s="2"/>
      <c r="OSY210" s="2"/>
      <c r="OSZ210" s="2"/>
      <c r="OTA210" s="2"/>
      <c r="OTB210" s="2"/>
      <c r="OTC210" s="2"/>
      <c r="OTD210" s="2"/>
      <c r="OTE210" s="2"/>
      <c r="OTF210" s="2"/>
      <c r="OTG210" s="2"/>
      <c r="OTH210" s="2"/>
      <c r="OTI210" s="2"/>
      <c r="OTJ210" s="2"/>
      <c r="OTK210" s="2"/>
      <c r="OTL210" s="2"/>
      <c r="OTM210" s="2"/>
      <c r="OTN210" s="2"/>
      <c r="OTO210" s="2"/>
      <c r="OTP210" s="2"/>
      <c r="OTQ210" s="2"/>
      <c r="OTR210" s="2"/>
      <c r="OTS210" s="2"/>
      <c r="OTT210" s="2"/>
      <c r="OTU210" s="2"/>
      <c r="OTV210" s="2"/>
      <c r="OTW210" s="2"/>
      <c r="OTX210" s="2"/>
      <c r="OTY210" s="2"/>
      <c r="OTZ210" s="2"/>
      <c r="OUA210" s="2"/>
      <c r="OUB210" s="2"/>
      <c r="OUC210" s="2"/>
      <c r="OUD210" s="2"/>
      <c r="OUE210" s="2"/>
      <c r="OUF210" s="2"/>
      <c r="OUG210" s="2"/>
      <c r="OUH210" s="2"/>
      <c r="OUI210" s="2"/>
      <c r="OUJ210" s="2"/>
      <c r="OUK210" s="2"/>
      <c r="OUL210" s="2"/>
      <c r="OUM210" s="2"/>
      <c r="OUN210" s="2"/>
      <c r="OUO210" s="2"/>
      <c r="OUP210" s="2"/>
      <c r="OUQ210" s="2"/>
      <c r="OUR210" s="2"/>
      <c r="OUS210" s="2"/>
      <c r="OUT210" s="2"/>
      <c r="OUU210" s="2"/>
      <c r="OUV210" s="2"/>
      <c r="OUW210" s="2"/>
      <c r="OUX210" s="2"/>
      <c r="OUY210" s="2"/>
      <c r="OUZ210" s="2"/>
      <c r="OVA210" s="2"/>
      <c r="OVB210" s="2"/>
      <c r="OVC210" s="2"/>
      <c r="OVD210" s="2"/>
      <c r="OVE210" s="2"/>
      <c r="OVF210" s="2"/>
      <c r="OVG210" s="2"/>
      <c r="OVH210" s="2"/>
      <c r="OVI210" s="2"/>
      <c r="OVJ210" s="2"/>
      <c r="OVK210" s="2"/>
      <c r="OVL210" s="2"/>
      <c r="OVM210" s="2"/>
      <c r="OVN210" s="2"/>
      <c r="OVO210" s="2"/>
      <c r="OVP210" s="2"/>
      <c r="OVQ210" s="2"/>
      <c r="OVR210" s="2"/>
      <c r="OVS210" s="2"/>
      <c r="OVT210" s="2"/>
      <c r="OVU210" s="2"/>
      <c r="OVV210" s="2"/>
      <c r="OVW210" s="2"/>
      <c r="OVX210" s="2"/>
      <c r="OVY210" s="2"/>
      <c r="OVZ210" s="2"/>
      <c r="OWA210" s="2"/>
      <c r="OWB210" s="2"/>
      <c r="OWC210" s="2"/>
      <c r="OWD210" s="2"/>
      <c r="OWE210" s="2"/>
      <c r="OWF210" s="2"/>
      <c r="OWG210" s="2"/>
      <c r="OWH210" s="2"/>
      <c r="OWI210" s="2"/>
      <c r="OWJ210" s="2"/>
      <c r="OWK210" s="2"/>
      <c r="OWL210" s="2"/>
      <c r="OWM210" s="2"/>
      <c r="OWN210" s="2"/>
      <c r="OWO210" s="2"/>
      <c r="OWP210" s="2"/>
      <c r="OWQ210" s="2"/>
      <c r="OWR210" s="2"/>
      <c r="OWS210" s="2"/>
      <c r="OWT210" s="2"/>
      <c r="OWU210" s="2"/>
      <c r="OWV210" s="2"/>
      <c r="OWW210" s="2"/>
      <c r="OWX210" s="2"/>
      <c r="OWY210" s="2"/>
      <c r="OWZ210" s="2"/>
      <c r="OXA210" s="2"/>
      <c r="OXB210" s="2"/>
      <c r="OXC210" s="2"/>
      <c r="OXD210" s="2"/>
      <c r="OXE210" s="2"/>
      <c r="OXF210" s="2"/>
      <c r="OXG210" s="2"/>
      <c r="OXH210" s="2"/>
      <c r="OXI210" s="2"/>
      <c r="OXJ210" s="2"/>
      <c r="OXK210" s="2"/>
      <c r="OXL210" s="2"/>
      <c r="OXM210" s="2"/>
      <c r="OXN210" s="2"/>
      <c r="OXO210" s="2"/>
      <c r="OXP210" s="2"/>
      <c r="OXQ210" s="2"/>
      <c r="OXR210" s="2"/>
      <c r="OXS210" s="2"/>
      <c r="OXT210" s="2"/>
      <c r="OXU210" s="2"/>
      <c r="OXV210" s="2"/>
      <c r="OXW210" s="2"/>
      <c r="OXX210" s="2"/>
      <c r="OXY210" s="2"/>
      <c r="OXZ210" s="2"/>
      <c r="OYA210" s="2"/>
      <c r="OYB210" s="2"/>
      <c r="OYC210" s="2"/>
      <c r="OYD210" s="2"/>
      <c r="OYE210" s="2"/>
      <c r="OYF210" s="2"/>
      <c r="OYG210" s="2"/>
      <c r="OYH210" s="2"/>
      <c r="OYI210" s="2"/>
      <c r="OYJ210" s="2"/>
      <c r="OYK210" s="2"/>
      <c r="OYL210" s="2"/>
      <c r="OYM210" s="2"/>
      <c r="OYN210" s="2"/>
      <c r="OYO210" s="2"/>
      <c r="OYP210" s="2"/>
      <c r="OYQ210" s="2"/>
      <c r="OYR210" s="2"/>
      <c r="OYS210" s="2"/>
      <c r="OYT210" s="2"/>
      <c r="OYU210" s="2"/>
      <c r="OYV210" s="2"/>
      <c r="OYW210" s="2"/>
      <c r="OYX210" s="2"/>
      <c r="OYY210" s="2"/>
      <c r="OYZ210" s="2"/>
      <c r="OZA210" s="2"/>
      <c r="OZB210" s="2"/>
      <c r="OZC210" s="2"/>
      <c r="OZD210" s="2"/>
      <c r="OZE210" s="2"/>
      <c r="OZF210" s="2"/>
      <c r="OZG210" s="2"/>
      <c r="OZH210" s="2"/>
      <c r="OZI210" s="2"/>
      <c r="OZJ210" s="2"/>
      <c r="OZK210" s="2"/>
      <c r="OZL210" s="2"/>
      <c r="OZM210" s="2"/>
      <c r="OZN210" s="2"/>
      <c r="OZO210" s="2"/>
      <c r="OZP210" s="2"/>
      <c r="OZQ210" s="2"/>
      <c r="OZR210" s="2"/>
      <c r="OZS210" s="2"/>
      <c r="OZT210" s="2"/>
      <c r="OZU210" s="2"/>
      <c r="OZV210" s="2"/>
      <c r="OZW210" s="2"/>
      <c r="OZX210" s="2"/>
      <c r="OZY210" s="2"/>
      <c r="OZZ210" s="2"/>
      <c r="PAA210" s="2"/>
      <c r="PAB210" s="2"/>
      <c r="PAC210" s="2"/>
      <c r="PAD210" s="2"/>
      <c r="PAE210" s="2"/>
      <c r="PAF210" s="2"/>
      <c r="PAG210" s="2"/>
      <c r="PAH210" s="2"/>
      <c r="PAI210" s="2"/>
      <c r="PAJ210" s="2"/>
      <c r="PAK210" s="2"/>
      <c r="PAL210" s="2"/>
      <c r="PAM210" s="2"/>
      <c r="PAN210" s="2"/>
      <c r="PAO210" s="2"/>
      <c r="PAP210" s="2"/>
      <c r="PAQ210" s="2"/>
      <c r="PAR210" s="2"/>
      <c r="PAS210" s="2"/>
      <c r="PAT210" s="2"/>
      <c r="PAU210" s="2"/>
      <c r="PAV210" s="2"/>
      <c r="PAW210" s="2"/>
      <c r="PAX210" s="2"/>
      <c r="PAY210" s="2"/>
      <c r="PAZ210" s="2"/>
      <c r="PBA210" s="2"/>
      <c r="PBB210" s="2"/>
      <c r="PBC210" s="2"/>
      <c r="PBD210" s="2"/>
      <c r="PBE210" s="2"/>
      <c r="PBF210" s="2"/>
      <c r="PBG210" s="2"/>
      <c r="PBH210" s="2"/>
      <c r="PBI210" s="2"/>
      <c r="PBJ210" s="2"/>
      <c r="PBK210" s="2"/>
      <c r="PBL210" s="2"/>
      <c r="PBM210" s="2"/>
      <c r="PBN210" s="2"/>
      <c r="PBO210" s="2"/>
      <c r="PBP210" s="2"/>
      <c r="PBQ210" s="2"/>
      <c r="PBR210" s="2"/>
      <c r="PBS210" s="2"/>
      <c r="PBT210" s="2"/>
      <c r="PBU210" s="2"/>
      <c r="PBV210" s="2"/>
      <c r="PBW210" s="2"/>
      <c r="PBX210" s="2"/>
      <c r="PBY210" s="2"/>
      <c r="PBZ210" s="2"/>
      <c r="PCA210" s="2"/>
      <c r="PCB210" s="2"/>
      <c r="PCC210" s="2"/>
      <c r="PCD210" s="2"/>
      <c r="PCE210" s="2"/>
      <c r="PCF210" s="2"/>
      <c r="PCG210" s="2"/>
      <c r="PCH210" s="2"/>
      <c r="PCI210" s="2"/>
      <c r="PCJ210" s="2"/>
      <c r="PCK210" s="2"/>
      <c r="PCL210" s="2"/>
      <c r="PCM210" s="2"/>
      <c r="PCN210" s="2"/>
      <c r="PCO210" s="2"/>
      <c r="PCP210" s="2"/>
      <c r="PCQ210" s="2"/>
      <c r="PCR210" s="2"/>
      <c r="PCS210" s="2"/>
      <c r="PCT210" s="2"/>
      <c r="PCU210" s="2"/>
      <c r="PCV210" s="2"/>
      <c r="PCW210" s="2"/>
      <c r="PCX210" s="2"/>
      <c r="PCY210" s="2"/>
      <c r="PCZ210" s="2"/>
      <c r="PDA210" s="2"/>
      <c r="PDB210" s="2"/>
      <c r="PDC210" s="2"/>
      <c r="PDD210" s="2"/>
      <c r="PDE210" s="2"/>
      <c r="PDF210" s="2"/>
      <c r="PDG210" s="2"/>
      <c r="PDH210" s="2"/>
      <c r="PDI210" s="2"/>
      <c r="PDJ210" s="2"/>
      <c r="PDK210" s="2"/>
      <c r="PDL210" s="2"/>
      <c r="PDM210" s="2"/>
      <c r="PDN210" s="2"/>
      <c r="PDO210" s="2"/>
      <c r="PDP210" s="2"/>
      <c r="PDQ210" s="2"/>
      <c r="PDR210" s="2"/>
      <c r="PDS210" s="2"/>
      <c r="PDT210" s="2"/>
      <c r="PDU210" s="2"/>
      <c r="PDV210" s="2"/>
      <c r="PDW210" s="2"/>
      <c r="PDX210" s="2"/>
      <c r="PDY210" s="2"/>
      <c r="PDZ210" s="2"/>
      <c r="PEA210" s="2"/>
      <c r="PEB210" s="2"/>
      <c r="PEC210" s="2"/>
      <c r="PED210" s="2"/>
      <c r="PEE210" s="2"/>
      <c r="PEF210" s="2"/>
      <c r="PEG210" s="2"/>
      <c r="PEH210" s="2"/>
      <c r="PEI210" s="2"/>
      <c r="PEJ210" s="2"/>
      <c r="PEK210" s="2"/>
      <c r="PEL210" s="2"/>
      <c r="PEM210" s="2"/>
      <c r="PEN210" s="2"/>
      <c r="PEO210" s="2"/>
      <c r="PEP210" s="2"/>
      <c r="PEQ210" s="2"/>
      <c r="PER210" s="2"/>
      <c r="PES210" s="2"/>
      <c r="PET210" s="2"/>
      <c r="PEU210" s="2"/>
      <c r="PEV210" s="2"/>
      <c r="PEW210" s="2"/>
      <c r="PEX210" s="2"/>
      <c r="PEY210" s="2"/>
      <c r="PEZ210" s="2"/>
      <c r="PFA210" s="2"/>
      <c r="PFB210" s="2"/>
      <c r="PFC210" s="2"/>
      <c r="PFD210" s="2"/>
      <c r="PFE210" s="2"/>
      <c r="PFF210" s="2"/>
      <c r="PFG210" s="2"/>
      <c r="PFH210" s="2"/>
      <c r="PFI210" s="2"/>
      <c r="PFJ210" s="2"/>
      <c r="PFK210" s="2"/>
      <c r="PFL210" s="2"/>
      <c r="PFM210" s="2"/>
      <c r="PFN210" s="2"/>
      <c r="PFO210" s="2"/>
      <c r="PFP210" s="2"/>
      <c r="PFQ210" s="2"/>
      <c r="PFR210" s="2"/>
      <c r="PFS210" s="2"/>
      <c r="PFT210" s="2"/>
      <c r="PFU210" s="2"/>
      <c r="PFV210" s="2"/>
      <c r="PFW210" s="2"/>
      <c r="PFX210" s="2"/>
      <c r="PFY210" s="2"/>
      <c r="PFZ210" s="2"/>
      <c r="PGA210" s="2"/>
      <c r="PGB210" s="2"/>
      <c r="PGC210" s="2"/>
      <c r="PGD210" s="2"/>
      <c r="PGE210" s="2"/>
      <c r="PGF210" s="2"/>
      <c r="PGG210" s="2"/>
      <c r="PGH210" s="2"/>
      <c r="PGI210" s="2"/>
      <c r="PGJ210" s="2"/>
      <c r="PGK210" s="2"/>
      <c r="PGL210" s="2"/>
      <c r="PGM210" s="2"/>
      <c r="PGN210" s="2"/>
      <c r="PGO210" s="2"/>
      <c r="PGP210" s="2"/>
      <c r="PGQ210" s="2"/>
      <c r="PGR210" s="2"/>
      <c r="PGS210" s="2"/>
      <c r="PGT210" s="2"/>
      <c r="PGU210" s="2"/>
      <c r="PGV210" s="2"/>
      <c r="PGW210" s="2"/>
      <c r="PGX210" s="2"/>
      <c r="PGY210" s="2"/>
      <c r="PGZ210" s="2"/>
      <c r="PHA210" s="2"/>
      <c r="PHB210" s="2"/>
      <c r="PHC210" s="2"/>
      <c r="PHD210" s="2"/>
      <c r="PHE210" s="2"/>
      <c r="PHF210" s="2"/>
      <c r="PHG210" s="2"/>
      <c r="PHH210" s="2"/>
      <c r="PHI210" s="2"/>
      <c r="PHJ210" s="2"/>
      <c r="PHK210" s="2"/>
      <c r="PHL210" s="2"/>
      <c r="PHM210" s="2"/>
      <c r="PHN210" s="2"/>
      <c r="PHO210" s="2"/>
      <c r="PHP210" s="2"/>
      <c r="PHQ210" s="2"/>
      <c r="PHR210" s="2"/>
      <c r="PHS210" s="2"/>
      <c r="PHT210" s="2"/>
      <c r="PHU210" s="2"/>
      <c r="PHV210" s="2"/>
      <c r="PHW210" s="2"/>
      <c r="PHX210" s="2"/>
      <c r="PHY210" s="2"/>
      <c r="PHZ210" s="2"/>
      <c r="PIA210" s="2"/>
      <c r="PIB210" s="2"/>
      <c r="PIC210" s="2"/>
      <c r="PID210" s="2"/>
      <c r="PIE210" s="2"/>
      <c r="PIF210" s="2"/>
      <c r="PIG210" s="2"/>
      <c r="PIH210" s="2"/>
      <c r="PII210" s="2"/>
      <c r="PIJ210" s="2"/>
      <c r="PIK210" s="2"/>
      <c r="PIL210" s="2"/>
      <c r="PIM210" s="2"/>
      <c r="PIN210" s="2"/>
      <c r="PIO210" s="2"/>
      <c r="PIP210" s="2"/>
      <c r="PIQ210" s="2"/>
      <c r="PIR210" s="2"/>
      <c r="PIS210" s="2"/>
      <c r="PIT210" s="2"/>
      <c r="PIU210" s="2"/>
      <c r="PIV210" s="2"/>
      <c r="PIW210" s="2"/>
      <c r="PIX210" s="2"/>
      <c r="PIY210" s="2"/>
      <c r="PIZ210" s="2"/>
      <c r="PJA210" s="2"/>
      <c r="PJB210" s="2"/>
      <c r="PJC210" s="2"/>
      <c r="PJD210" s="2"/>
      <c r="PJE210" s="2"/>
      <c r="PJF210" s="2"/>
      <c r="PJG210" s="2"/>
      <c r="PJH210" s="2"/>
      <c r="PJI210" s="2"/>
      <c r="PJJ210" s="2"/>
      <c r="PJK210" s="2"/>
      <c r="PJL210" s="2"/>
      <c r="PJM210" s="2"/>
      <c r="PJN210" s="2"/>
      <c r="PJO210" s="2"/>
      <c r="PJP210" s="2"/>
      <c r="PJQ210" s="2"/>
      <c r="PJR210" s="2"/>
      <c r="PJS210" s="2"/>
      <c r="PJT210" s="2"/>
      <c r="PJU210" s="2"/>
      <c r="PJV210" s="2"/>
      <c r="PJW210" s="2"/>
      <c r="PJX210" s="2"/>
      <c r="PJY210" s="2"/>
      <c r="PJZ210" s="2"/>
      <c r="PKA210" s="2"/>
      <c r="PKB210" s="2"/>
      <c r="PKC210" s="2"/>
      <c r="PKD210" s="2"/>
      <c r="PKE210" s="2"/>
      <c r="PKF210" s="2"/>
      <c r="PKG210" s="2"/>
      <c r="PKH210" s="2"/>
      <c r="PKI210" s="2"/>
      <c r="PKJ210" s="2"/>
      <c r="PKK210" s="2"/>
      <c r="PKL210" s="2"/>
      <c r="PKM210" s="2"/>
      <c r="PKN210" s="2"/>
      <c r="PKO210" s="2"/>
      <c r="PKP210" s="2"/>
      <c r="PKQ210" s="2"/>
      <c r="PKR210" s="2"/>
      <c r="PKS210" s="2"/>
      <c r="PKT210" s="2"/>
      <c r="PKU210" s="2"/>
      <c r="PKV210" s="2"/>
      <c r="PKW210" s="2"/>
      <c r="PKX210" s="2"/>
      <c r="PKY210" s="2"/>
      <c r="PKZ210" s="2"/>
      <c r="PLA210" s="2"/>
      <c r="PLB210" s="2"/>
      <c r="PLC210" s="2"/>
      <c r="PLD210" s="2"/>
      <c r="PLE210" s="2"/>
      <c r="PLF210" s="2"/>
      <c r="PLG210" s="2"/>
      <c r="PLH210" s="2"/>
      <c r="PLI210" s="2"/>
      <c r="PLJ210" s="2"/>
      <c r="PLK210" s="2"/>
      <c r="PLL210" s="2"/>
      <c r="PLM210" s="2"/>
      <c r="PLN210" s="2"/>
      <c r="PLO210" s="2"/>
      <c r="PLP210" s="2"/>
      <c r="PLQ210" s="2"/>
      <c r="PLR210" s="2"/>
      <c r="PLS210" s="2"/>
      <c r="PLT210" s="2"/>
      <c r="PLU210" s="2"/>
      <c r="PLV210" s="2"/>
      <c r="PLW210" s="2"/>
      <c r="PLX210" s="2"/>
      <c r="PLY210" s="2"/>
      <c r="PLZ210" s="2"/>
      <c r="PMA210" s="2"/>
      <c r="PMB210" s="2"/>
      <c r="PMC210" s="2"/>
      <c r="PMD210" s="2"/>
      <c r="PME210" s="2"/>
      <c r="PMF210" s="2"/>
      <c r="PMG210" s="2"/>
      <c r="PMH210" s="2"/>
      <c r="PMI210" s="2"/>
      <c r="PMJ210" s="2"/>
      <c r="PMK210" s="2"/>
      <c r="PML210" s="2"/>
      <c r="PMM210" s="2"/>
      <c r="PMN210" s="2"/>
      <c r="PMO210" s="2"/>
      <c r="PMP210" s="2"/>
      <c r="PMQ210" s="2"/>
      <c r="PMR210" s="2"/>
      <c r="PMS210" s="2"/>
      <c r="PMT210" s="2"/>
      <c r="PMU210" s="2"/>
      <c r="PMV210" s="2"/>
      <c r="PMW210" s="2"/>
      <c r="PMX210" s="2"/>
      <c r="PMY210" s="2"/>
      <c r="PMZ210" s="2"/>
      <c r="PNA210" s="2"/>
      <c r="PNB210" s="2"/>
      <c r="PNC210" s="2"/>
      <c r="PND210" s="2"/>
      <c r="PNE210" s="2"/>
      <c r="PNF210" s="2"/>
      <c r="PNG210" s="2"/>
      <c r="PNH210" s="2"/>
      <c r="PNI210" s="2"/>
      <c r="PNJ210" s="2"/>
      <c r="PNK210" s="2"/>
      <c r="PNL210" s="2"/>
      <c r="PNM210" s="2"/>
      <c r="PNN210" s="2"/>
      <c r="PNO210" s="2"/>
      <c r="PNP210" s="2"/>
      <c r="PNQ210" s="2"/>
      <c r="PNR210" s="2"/>
      <c r="PNS210" s="2"/>
      <c r="PNT210" s="2"/>
      <c r="PNU210" s="2"/>
      <c r="PNV210" s="2"/>
      <c r="PNW210" s="2"/>
      <c r="PNX210" s="2"/>
      <c r="PNY210" s="2"/>
      <c r="PNZ210" s="2"/>
      <c r="POA210" s="2"/>
      <c r="POB210" s="2"/>
      <c r="POC210" s="2"/>
      <c r="POD210" s="2"/>
      <c r="POE210" s="2"/>
      <c r="POF210" s="2"/>
      <c r="POG210" s="2"/>
      <c r="POH210" s="2"/>
      <c r="POI210" s="2"/>
      <c r="POJ210" s="2"/>
      <c r="POK210" s="2"/>
      <c r="POL210" s="2"/>
      <c r="POM210" s="2"/>
      <c r="PON210" s="2"/>
      <c r="POO210" s="2"/>
      <c r="POP210" s="2"/>
      <c r="POQ210" s="2"/>
      <c r="POR210" s="2"/>
      <c r="POS210" s="2"/>
      <c r="POT210" s="2"/>
      <c r="POU210" s="2"/>
      <c r="POV210" s="2"/>
      <c r="POW210" s="2"/>
      <c r="POX210" s="2"/>
      <c r="POY210" s="2"/>
      <c r="POZ210" s="2"/>
      <c r="PPA210" s="2"/>
      <c r="PPB210" s="2"/>
      <c r="PPC210" s="2"/>
      <c r="PPD210" s="2"/>
      <c r="PPE210" s="2"/>
      <c r="PPF210" s="2"/>
      <c r="PPG210" s="2"/>
      <c r="PPH210" s="2"/>
      <c r="PPI210" s="2"/>
      <c r="PPJ210" s="2"/>
      <c r="PPK210" s="2"/>
      <c r="PPL210" s="2"/>
      <c r="PPM210" s="2"/>
      <c r="PPN210" s="2"/>
      <c r="PPO210" s="2"/>
      <c r="PPP210" s="2"/>
      <c r="PPQ210" s="2"/>
      <c r="PPR210" s="2"/>
      <c r="PPS210" s="2"/>
      <c r="PPT210" s="2"/>
      <c r="PPU210" s="2"/>
      <c r="PPV210" s="2"/>
      <c r="PPW210" s="2"/>
      <c r="PPX210" s="2"/>
      <c r="PPY210" s="2"/>
      <c r="PPZ210" s="2"/>
      <c r="PQA210" s="2"/>
      <c r="PQB210" s="2"/>
      <c r="PQC210" s="2"/>
      <c r="PQD210" s="2"/>
      <c r="PQE210" s="2"/>
      <c r="PQF210" s="2"/>
      <c r="PQG210" s="2"/>
      <c r="PQH210" s="2"/>
      <c r="PQI210" s="2"/>
      <c r="PQJ210" s="2"/>
      <c r="PQK210" s="2"/>
      <c r="PQL210" s="2"/>
      <c r="PQM210" s="2"/>
      <c r="PQN210" s="2"/>
      <c r="PQO210" s="2"/>
      <c r="PQP210" s="2"/>
      <c r="PQQ210" s="2"/>
      <c r="PQR210" s="2"/>
      <c r="PQS210" s="2"/>
      <c r="PQT210" s="2"/>
      <c r="PQU210" s="2"/>
      <c r="PQV210" s="2"/>
      <c r="PQW210" s="2"/>
      <c r="PQX210" s="2"/>
      <c r="PQY210" s="2"/>
      <c r="PQZ210" s="2"/>
      <c r="PRA210" s="2"/>
      <c r="PRB210" s="2"/>
      <c r="PRC210" s="2"/>
      <c r="PRD210" s="2"/>
      <c r="PRE210" s="2"/>
      <c r="PRF210" s="2"/>
      <c r="PRG210" s="2"/>
      <c r="PRH210" s="2"/>
      <c r="PRI210" s="2"/>
      <c r="PRJ210" s="2"/>
      <c r="PRK210" s="2"/>
      <c r="PRL210" s="2"/>
      <c r="PRM210" s="2"/>
      <c r="PRN210" s="2"/>
      <c r="PRO210" s="2"/>
      <c r="PRP210" s="2"/>
      <c r="PRQ210" s="2"/>
      <c r="PRR210" s="2"/>
      <c r="PRS210" s="2"/>
      <c r="PRT210" s="2"/>
      <c r="PRU210" s="2"/>
      <c r="PRV210" s="2"/>
      <c r="PRW210" s="2"/>
      <c r="PRX210" s="2"/>
      <c r="PRY210" s="2"/>
      <c r="PRZ210" s="2"/>
      <c r="PSA210" s="2"/>
      <c r="PSB210" s="2"/>
      <c r="PSC210" s="2"/>
      <c r="PSD210" s="2"/>
      <c r="PSE210" s="2"/>
      <c r="PSF210" s="2"/>
      <c r="PSG210" s="2"/>
      <c r="PSH210" s="2"/>
      <c r="PSI210" s="2"/>
      <c r="PSJ210" s="2"/>
      <c r="PSK210" s="2"/>
      <c r="PSL210" s="2"/>
      <c r="PSM210" s="2"/>
      <c r="PSN210" s="2"/>
      <c r="PSO210" s="2"/>
      <c r="PSP210" s="2"/>
      <c r="PSQ210" s="2"/>
      <c r="PSR210" s="2"/>
      <c r="PSS210" s="2"/>
      <c r="PST210" s="2"/>
      <c r="PSU210" s="2"/>
      <c r="PSV210" s="2"/>
      <c r="PSW210" s="2"/>
      <c r="PSX210" s="2"/>
      <c r="PSY210" s="2"/>
      <c r="PSZ210" s="2"/>
      <c r="PTA210" s="2"/>
      <c r="PTB210" s="2"/>
      <c r="PTC210" s="2"/>
      <c r="PTD210" s="2"/>
      <c r="PTE210" s="2"/>
      <c r="PTF210" s="2"/>
      <c r="PTG210" s="2"/>
      <c r="PTH210" s="2"/>
      <c r="PTI210" s="2"/>
      <c r="PTJ210" s="2"/>
      <c r="PTK210" s="2"/>
      <c r="PTL210" s="2"/>
      <c r="PTM210" s="2"/>
      <c r="PTN210" s="2"/>
      <c r="PTO210" s="2"/>
      <c r="PTP210" s="2"/>
      <c r="PTQ210" s="2"/>
      <c r="PTR210" s="2"/>
      <c r="PTS210" s="2"/>
      <c r="PTT210" s="2"/>
      <c r="PTU210" s="2"/>
      <c r="PTV210" s="2"/>
      <c r="PTW210" s="2"/>
      <c r="PTX210" s="2"/>
      <c r="PTY210" s="2"/>
      <c r="PTZ210" s="2"/>
      <c r="PUA210" s="2"/>
      <c r="PUB210" s="2"/>
      <c r="PUC210" s="2"/>
      <c r="PUD210" s="2"/>
      <c r="PUE210" s="2"/>
      <c r="PUF210" s="2"/>
      <c r="PUG210" s="2"/>
      <c r="PUH210" s="2"/>
      <c r="PUI210" s="2"/>
      <c r="PUJ210" s="2"/>
      <c r="PUK210" s="2"/>
      <c r="PUL210" s="2"/>
      <c r="PUM210" s="2"/>
      <c r="PUN210" s="2"/>
      <c r="PUO210" s="2"/>
      <c r="PUP210" s="2"/>
      <c r="PUQ210" s="2"/>
      <c r="PUR210" s="2"/>
      <c r="PUS210" s="2"/>
      <c r="PUT210" s="2"/>
      <c r="PUU210" s="2"/>
      <c r="PUV210" s="2"/>
      <c r="PUW210" s="2"/>
      <c r="PUX210" s="2"/>
      <c r="PUY210" s="2"/>
      <c r="PUZ210" s="2"/>
      <c r="PVA210" s="2"/>
      <c r="PVB210" s="2"/>
      <c r="PVC210" s="2"/>
      <c r="PVD210" s="2"/>
      <c r="PVE210" s="2"/>
      <c r="PVF210" s="2"/>
      <c r="PVG210" s="2"/>
      <c r="PVH210" s="2"/>
      <c r="PVI210" s="2"/>
      <c r="PVJ210" s="2"/>
      <c r="PVK210" s="2"/>
      <c r="PVL210" s="2"/>
      <c r="PVM210" s="2"/>
      <c r="PVN210" s="2"/>
      <c r="PVO210" s="2"/>
      <c r="PVP210" s="2"/>
      <c r="PVQ210" s="2"/>
      <c r="PVR210" s="2"/>
      <c r="PVS210" s="2"/>
      <c r="PVT210" s="2"/>
      <c r="PVU210" s="2"/>
      <c r="PVV210" s="2"/>
      <c r="PVW210" s="2"/>
      <c r="PVX210" s="2"/>
      <c r="PVY210" s="2"/>
      <c r="PVZ210" s="2"/>
      <c r="PWA210" s="2"/>
      <c r="PWB210" s="2"/>
      <c r="PWC210" s="2"/>
      <c r="PWD210" s="2"/>
      <c r="PWE210" s="2"/>
      <c r="PWF210" s="2"/>
      <c r="PWG210" s="2"/>
      <c r="PWH210" s="2"/>
      <c r="PWI210" s="2"/>
      <c r="PWJ210" s="2"/>
      <c r="PWK210" s="2"/>
      <c r="PWL210" s="2"/>
      <c r="PWM210" s="2"/>
      <c r="PWN210" s="2"/>
      <c r="PWO210" s="2"/>
      <c r="PWP210" s="2"/>
      <c r="PWQ210" s="2"/>
      <c r="PWR210" s="2"/>
      <c r="PWS210" s="2"/>
      <c r="PWT210" s="2"/>
      <c r="PWU210" s="2"/>
      <c r="PWV210" s="2"/>
      <c r="PWW210" s="2"/>
      <c r="PWX210" s="2"/>
      <c r="PWY210" s="2"/>
      <c r="PWZ210" s="2"/>
      <c r="PXA210" s="2"/>
      <c r="PXB210" s="2"/>
      <c r="PXC210" s="2"/>
      <c r="PXD210" s="2"/>
      <c r="PXE210" s="2"/>
      <c r="PXF210" s="2"/>
      <c r="PXG210" s="2"/>
      <c r="PXH210" s="2"/>
      <c r="PXI210" s="2"/>
      <c r="PXJ210" s="2"/>
      <c r="PXK210" s="2"/>
      <c r="PXL210" s="2"/>
      <c r="PXM210" s="2"/>
      <c r="PXN210" s="2"/>
      <c r="PXO210" s="2"/>
      <c r="PXP210" s="2"/>
      <c r="PXQ210" s="2"/>
      <c r="PXR210" s="2"/>
      <c r="PXS210" s="2"/>
      <c r="PXT210" s="2"/>
      <c r="PXU210" s="2"/>
      <c r="PXV210" s="2"/>
      <c r="PXW210" s="2"/>
      <c r="PXX210" s="2"/>
      <c r="PXY210" s="2"/>
      <c r="PXZ210" s="2"/>
      <c r="PYA210" s="2"/>
      <c r="PYB210" s="2"/>
      <c r="PYC210" s="2"/>
      <c r="PYD210" s="2"/>
      <c r="PYE210" s="2"/>
      <c r="PYF210" s="2"/>
      <c r="PYG210" s="2"/>
      <c r="PYH210" s="2"/>
      <c r="PYI210" s="2"/>
      <c r="PYJ210" s="2"/>
      <c r="PYK210" s="2"/>
      <c r="PYL210" s="2"/>
      <c r="PYM210" s="2"/>
      <c r="PYN210" s="2"/>
      <c r="PYO210" s="2"/>
      <c r="PYP210" s="2"/>
      <c r="PYQ210" s="2"/>
      <c r="PYR210" s="2"/>
      <c r="PYS210" s="2"/>
      <c r="PYT210" s="2"/>
      <c r="PYU210" s="2"/>
      <c r="PYV210" s="2"/>
      <c r="PYW210" s="2"/>
      <c r="PYX210" s="2"/>
      <c r="PYY210" s="2"/>
      <c r="PYZ210" s="2"/>
      <c r="PZA210" s="2"/>
      <c r="PZB210" s="2"/>
      <c r="PZC210" s="2"/>
      <c r="PZD210" s="2"/>
      <c r="PZE210" s="2"/>
      <c r="PZF210" s="2"/>
      <c r="PZG210" s="2"/>
      <c r="PZH210" s="2"/>
      <c r="PZI210" s="2"/>
      <c r="PZJ210" s="2"/>
      <c r="PZK210" s="2"/>
      <c r="PZL210" s="2"/>
      <c r="PZM210" s="2"/>
      <c r="PZN210" s="2"/>
      <c r="PZO210" s="2"/>
      <c r="PZP210" s="2"/>
      <c r="PZQ210" s="2"/>
      <c r="PZR210" s="2"/>
      <c r="PZS210" s="2"/>
      <c r="PZT210" s="2"/>
      <c r="PZU210" s="2"/>
      <c r="PZV210" s="2"/>
      <c r="PZW210" s="2"/>
      <c r="PZX210" s="2"/>
      <c r="PZY210" s="2"/>
      <c r="PZZ210" s="2"/>
      <c r="QAA210" s="2"/>
      <c r="QAB210" s="2"/>
      <c r="QAC210" s="2"/>
      <c r="QAD210" s="2"/>
      <c r="QAE210" s="2"/>
      <c r="QAF210" s="2"/>
      <c r="QAG210" s="2"/>
      <c r="QAH210" s="2"/>
      <c r="QAI210" s="2"/>
      <c r="QAJ210" s="2"/>
      <c r="QAK210" s="2"/>
      <c r="QAL210" s="2"/>
      <c r="QAM210" s="2"/>
      <c r="QAN210" s="2"/>
      <c r="QAO210" s="2"/>
      <c r="QAP210" s="2"/>
      <c r="QAQ210" s="2"/>
      <c r="QAR210" s="2"/>
      <c r="QAS210" s="2"/>
      <c r="QAT210" s="2"/>
      <c r="QAU210" s="2"/>
      <c r="QAV210" s="2"/>
      <c r="QAW210" s="2"/>
      <c r="QAX210" s="2"/>
      <c r="QAY210" s="2"/>
      <c r="QAZ210" s="2"/>
      <c r="QBA210" s="2"/>
      <c r="QBB210" s="2"/>
      <c r="QBC210" s="2"/>
      <c r="QBD210" s="2"/>
      <c r="QBE210" s="2"/>
      <c r="QBF210" s="2"/>
      <c r="QBG210" s="2"/>
      <c r="QBH210" s="2"/>
      <c r="QBI210" s="2"/>
      <c r="QBJ210" s="2"/>
      <c r="QBK210" s="2"/>
      <c r="QBL210" s="2"/>
      <c r="QBM210" s="2"/>
      <c r="QBN210" s="2"/>
      <c r="QBO210" s="2"/>
      <c r="QBP210" s="2"/>
      <c r="QBQ210" s="2"/>
      <c r="QBR210" s="2"/>
      <c r="QBS210" s="2"/>
      <c r="QBT210" s="2"/>
      <c r="QBU210" s="2"/>
      <c r="QBV210" s="2"/>
      <c r="QBW210" s="2"/>
      <c r="QBX210" s="2"/>
      <c r="QBY210" s="2"/>
      <c r="QBZ210" s="2"/>
      <c r="QCA210" s="2"/>
      <c r="QCB210" s="2"/>
      <c r="QCC210" s="2"/>
      <c r="QCD210" s="2"/>
      <c r="QCE210" s="2"/>
      <c r="QCF210" s="2"/>
      <c r="QCG210" s="2"/>
      <c r="QCH210" s="2"/>
      <c r="QCI210" s="2"/>
      <c r="QCJ210" s="2"/>
      <c r="QCK210" s="2"/>
      <c r="QCL210" s="2"/>
      <c r="QCM210" s="2"/>
      <c r="QCN210" s="2"/>
      <c r="QCO210" s="2"/>
      <c r="QCP210" s="2"/>
      <c r="QCQ210" s="2"/>
      <c r="QCR210" s="2"/>
      <c r="QCS210" s="2"/>
      <c r="QCT210" s="2"/>
      <c r="QCU210" s="2"/>
      <c r="QCV210" s="2"/>
      <c r="QCW210" s="2"/>
      <c r="QCX210" s="2"/>
      <c r="QCY210" s="2"/>
      <c r="QCZ210" s="2"/>
      <c r="QDA210" s="2"/>
      <c r="QDB210" s="2"/>
      <c r="QDC210" s="2"/>
      <c r="QDD210" s="2"/>
      <c r="QDE210" s="2"/>
      <c r="QDF210" s="2"/>
      <c r="QDG210" s="2"/>
      <c r="QDH210" s="2"/>
      <c r="QDI210" s="2"/>
      <c r="QDJ210" s="2"/>
      <c r="QDK210" s="2"/>
      <c r="QDL210" s="2"/>
      <c r="QDM210" s="2"/>
      <c r="QDN210" s="2"/>
      <c r="QDO210" s="2"/>
      <c r="QDP210" s="2"/>
      <c r="QDQ210" s="2"/>
      <c r="QDR210" s="2"/>
      <c r="QDS210" s="2"/>
      <c r="QDT210" s="2"/>
      <c r="QDU210" s="2"/>
      <c r="QDV210" s="2"/>
      <c r="QDW210" s="2"/>
      <c r="QDX210" s="2"/>
      <c r="QDY210" s="2"/>
      <c r="QDZ210" s="2"/>
      <c r="QEA210" s="2"/>
      <c r="QEB210" s="2"/>
      <c r="QEC210" s="2"/>
      <c r="QED210" s="2"/>
      <c r="QEE210" s="2"/>
      <c r="QEF210" s="2"/>
      <c r="QEG210" s="2"/>
      <c r="QEH210" s="2"/>
      <c r="QEI210" s="2"/>
      <c r="QEJ210" s="2"/>
      <c r="QEK210" s="2"/>
      <c r="QEL210" s="2"/>
      <c r="QEM210" s="2"/>
      <c r="QEN210" s="2"/>
      <c r="QEO210" s="2"/>
      <c r="QEP210" s="2"/>
      <c r="QEQ210" s="2"/>
      <c r="QER210" s="2"/>
      <c r="QES210" s="2"/>
      <c r="QET210" s="2"/>
      <c r="QEU210" s="2"/>
      <c r="QEV210" s="2"/>
      <c r="QEW210" s="2"/>
      <c r="QEX210" s="2"/>
      <c r="QEY210" s="2"/>
      <c r="QEZ210" s="2"/>
      <c r="QFA210" s="2"/>
      <c r="QFB210" s="2"/>
      <c r="QFC210" s="2"/>
      <c r="QFD210" s="2"/>
      <c r="QFE210" s="2"/>
      <c r="QFF210" s="2"/>
      <c r="QFG210" s="2"/>
      <c r="QFH210" s="2"/>
      <c r="QFI210" s="2"/>
      <c r="QFJ210" s="2"/>
      <c r="QFK210" s="2"/>
      <c r="QFL210" s="2"/>
      <c r="QFM210" s="2"/>
      <c r="QFN210" s="2"/>
      <c r="QFO210" s="2"/>
      <c r="QFP210" s="2"/>
      <c r="QFQ210" s="2"/>
      <c r="QFR210" s="2"/>
      <c r="QFS210" s="2"/>
      <c r="QFT210" s="2"/>
      <c r="QFU210" s="2"/>
      <c r="QFV210" s="2"/>
      <c r="QFW210" s="2"/>
      <c r="QFX210" s="2"/>
      <c r="QFY210" s="2"/>
      <c r="QFZ210" s="2"/>
      <c r="QGA210" s="2"/>
      <c r="QGB210" s="2"/>
      <c r="QGC210" s="2"/>
      <c r="QGD210" s="2"/>
      <c r="QGE210" s="2"/>
      <c r="QGF210" s="2"/>
      <c r="QGG210" s="2"/>
      <c r="QGH210" s="2"/>
      <c r="QGI210" s="2"/>
      <c r="QGJ210" s="2"/>
      <c r="QGK210" s="2"/>
      <c r="QGL210" s="2"/>
      <c r="QGM210" s="2"/>
      <c r="QGN210" s="2"/>
      <c r="QGO210" s="2"/>
      <c r="QGP210" s="2"/>
      <c r="QGQ210" s="2"/>
      <c r="QGR210" s="2"/>
      <c r="QGS210" s="2"/>
      <c r="QGT210" s="2"/>
      <c r="QGU210" s="2"/>
      <c r="QGV210" s="2"/>
      <c r="QGW210" s="2"/>
      <c r="QGX210" s="2"/>
      <c r="QGY210" s="2"/>
      <c r="QGZ210" s="2"/>
      <c r="QHA210" s="2"/>
      <c r="QHB210" s="2"/>
      <c r="QHC210" s="2"/>
      <c r="QHD210" s="2"/>
      <c r="QHE210" s="2"/>
      <c r="QHF210" s="2"/>
      <c r="QHG210" s="2"/>
      <c r="QHH210" s="2"/>
      <c r="QHI210" s="2"/>
      <c r="QHJ210" s="2"/>
      <c r="QHK210" s="2"/>
      <c r="QHL210" s="2"/>
      <c r="QHM210" s="2"/>
      <c r="QHN210" s="2"/>
      <c r="QHO210" s="2"/>
      <c r="QHP210" s="2"/>
      <c r="QHQ210" s="2"/>
      <c r="QHR210" s="2"/>
      <c r="QHS210" s="2"/>
      <c r="QHT210" s="2"/>
      <c r="QHU210" s="2"/>
      <c r="QHV210" s="2"/>
      <c r="QHW210" s="2"/>
      <c r="QHX210" s="2"/>
      <c r="QHY210" s="2"/>
      <c r="QHZ210" s="2"/>
      <c r="QIA210" s="2"/>
      <c r="QIB210" s="2"/>
      <c r="QIC210" s="2"/>
      <c r="QID210" s="2"/>
      <c r="QIE210" s="2"/>
      <c r="QIF210" s="2"/>
      <c r="QIG210" s="2"/>
      <c r="QIH210" s="2"/>
      <c r="QII210" s="2"/>
      <c r="QIJ210" s="2"/>
      <c r="QIK210" s="2"/>
      <c r="QIL210" s="2"/>
      <c r="QIM210" s="2"/>
      <c r="QIN210" s="2"/>
      <c r="QIO210" s="2"/>
      <c r="QIP210" s="2"/>
      <c r="QIQ210" s="2"/>
      <c r="QIR210" s="2"/>
      <c r="QIS210" s="2"/>
      <c r="QIT210" s="2"/>
      <c r="QIU210" s="2"/>
      <c r="QIV210" s="2"/>
      <c r="QIW210" s="2"/>
      <c r="QIX210" s="2"/>
      <c r="QIY210" s="2"/>
      <c r="QIZ210" s="2"/>
      <c r="QJA210" s="2"/>
      <c r="QJB210" s="2"/>
      <c r="QJC210" s="2"/>
      <c r="QJD210" s="2"/>
      <c r="QJE210" s="2"/>
      <c r="QJF210" s="2"/>
      <c r="QJG210" s="2"/>
      <c r="QJH210" s="2"/>
      <c r="QJI210" s="2"/>
      <c r="QJJ210" s="2"/>
      <c r="QJK210" s="2"/>
      <c r="QJL210" s="2"/>
      <c r="QJM210" s="2"/>
      <c r="QJN210" s="2"/>
      <c r="QJO210" s="2"/>
      <c r="QJP210" s="2"/>
      <c r="QJQ210" s="2"/>
      <c r="QJR210" s="2"/>
      <c r="QJS210" s="2"/>
      <c r="QJT210" s="2"/>
      <c r="QJU210" s="2"/>
      <c r="QJV210" s="2"/>
      <c r="QJW210" s="2"/>
      <c r="QJX210" s="2"/>
      <c r="QJY210" s="2"/>
      <c r="QJZ210" s="2"/>
      <c r="QKA210" s="2"/>
      <c r="QKB210" s="2"/>
      <c r="QKC210" s="2"/>
      <c r="QKD210" s="2"/>
      <c r="QKE210" s="2"/>
      <c r="QKF210" s="2"/>
      <c r="QKG210" s="2"/>
      <c r="QKH210" s="2"/>
      <c r="QKI210" s="2"/>
      <c r="QKJ210" s="2"/>
      <c r="QKK210" s="2"/>
      <c r="QKL210" s="2"/>
      <c r="QKM210" s="2"/>
      <c r="QKN210" s="2"/>
      <c r="QKO210" s="2"/>
      <c r="QKP210" s="2"/>
      <c r="QKQ210" s="2"/>
      <c r="QKR210" s="2"/>
      <c r="QKS210" s="2"/>
      <c r="QKT210" s="2"/>
      <c r="QKU210" s="2"/>
      <c r="QKV210" s="2"/>
      <c r="QKW210" s="2"/>
      <c r="QKX210" s="2"/>
      <c r="QKY210" s="2"/>
      <c r="QKZ210" s="2"/>
      <c r="QLA210" s="2"/>
      <c r="QLB210" s="2"/>
      <c r="QLC210" s="2"/>
      <c r="QLD210" s="2"/>
      <c r="QLE210" s="2"/>
      <c r="QLF210" s="2"/>
      <c r="QLG210" s="2"/>
      <c r="QLH210" s="2"/>
      <c r="QLI210" s="2"/>
      <c r="QLJ210" s="2"/>
      <c r="QLK210" s="2"/>
      <c r="QLL210" s="2"/>
      <c r="QLM210" s="2"/>
      <c r="QLN210" s="2"/>
      <c r="QLO210" s="2"/>
      <c r="QLP210" s="2"/>
      <c r="QLQ210" s="2"/>
      <c r="QLR210" s="2"/>
      <c r="QLS210" s="2"/>
      <c r="QLT210" s="2"/>
      <c r="QLU210" s="2"/>
      <c r="QLV210" s="2"/>
      <c r="QLW210" s="2"/>
      <c r="QLX210" s="2"/>
      <c r="QLY210" s="2"/>
      <c r="QLZ210" s="2"/>
      <c r="QMA210" s="2"/>
      <c r="QMB210" s="2"/>
      <c r="QMC210" s="2"/>
      <c r="QMD210" s="2"/>
      <c r="QME210" s="2"/>
      <c r="QMF210" s="2"/>
      <c r="QMG210" s="2"/>
      <c r="QMH210" s="2"/>
      <c r="QMI210" s="2"/>
      <c r="QMJ210" s="2"/>
      <c r="QMK210" s="2"/>
      <c r="QML210" s="2"/>
      <c r="QMM210" s="2"/>
      <c r="QMN210" s="2"/>
      <c r="QMO210" s="2"/>
      <c r="QMP210" s="2"/>
      <c r="QMQ210" s="2"/>
      <c r="QMR210" s="2"/>
      <c r="QMS210" s="2"/>
      <c r="QMT210" s="2"/>
      <c r="QMU210" s="2"/>
      <c r="QMV210" s="2"/>
      <c r="QMW210" s="2"/>
      <c r="QMX210" s="2"/>
      <c r="QMY210" s="2"/>
      <c r="QMZ210" s="2"/>
      <c r="QNA210" s="2"/>
      <c r="QNB210" s="2"/>
      <c r="QNC210" s="2"/>
      <c r="QND210" s="2"/>
      <c r="QNE210" s="2"/>
      <c r="QNF210" s="2"/>
      <c r="QNG210" s="2"/>
      <c r="QNH210" s="2"/>
      <c r="QNI210" s="2"/>
      <c r="QNJ210" s="2"/>
      <c r="QNK210" s="2"/>
      <c r="QNL210" s="2"/>
      <c r="QNM210" s="2"/>
      <c r="QNN210" s="2"/>
      <c r="QNO210" s="2"/>
      <c r="QNP210" s="2"/>
      <c r="QNQ210" s="2"/>
      <c r="QNR210" s="2"/>
      <c r="QNS210" s="2"/>
      <c r="QNT210" s="2"/>
      <c r="QNU210" s="2"/>
      <c r="QNV210" s="2"/>
      <c r="QNW210" s="2"/>
      <c r="QNX210" s="2"/>
      <c r="QNY210" s="2"/>
      <c r="QNZ210" s="2"/>
      <c r="QOA210" s="2"/>
      <c r="QOB210" s="2"/>
      <c r="QOC210" s="2"/>
      <c r="QOD210" s="2"/>
      <c r="QOE210" s="2"/>
      <c r="QOF210" s="2"/>
      <c r="QOG210" s="2"/>
      <c r="QOH210" s="2"/>
      <c r="QOI210" s="2"/>
      <c r="QOJ210" s="2"/>
      <c r="QOK210" s="2"/>
      <c r="QOL210" s="2"/>
      <c r="QOM210" s="2"/>
      <c r="QON210" s="2"/>
      <c r="QOO210" s="2"/>
      <c r="QOP210" s="2"/>
      <c r="QOQ210" s="2"/>
      <c r="QOR210" s="2"/>
      <c r="QOS210" s="2"/>
      <c r="QOT210" s="2"/>
      <c r="QOU210" s="2"/>
      <c r="QOV210" s="2"/>
      <c r="QOW210" s="2"/>
      <c r="QOX210" s="2"/>
      <c r="QOY210" s="2"/>
      <c r="QOZ210" s="2"/>
      <c r="QPA210" s="2"/>
      <c r="QPB210" s="2"/>
      <c r="QPC210" s="2"/>
      <c r="QPD210" s="2"/>
      <c r="QPE210" s="2"/>
      <c r="QPF210" s="2"/>
      <c r="QPG210" s="2"/>
      <c r="QPH210" s="2"/>
      <c r="QPI210" s="2"/>
      <c r="QPJ210" s="2"/>
      <c r="QPK210" s="2"/>
      <c r="QPL210" s="2"/>
      <c r="QPM210" s="2"/>
      <c r="QPN210" s="2"/>
      <c r="QPO210" s="2"/>
      <c r="QPP210" s="2"/>
      <c r="QPQ210" s="2"/>
      <c r="QPR210" s="2"/>
      <c r="QPS210" s="2"/>
      <c r="QPT210" s="2"/>
      <c r="QPU210" s="2"/>
      <c r="QPV210" s="2"/>
      <c r="QPW210" s="2"/>
      <c r="QPX210" s="2"/>
      <c r="QPY210" s="2"/>
      <c r="QPZ210" s="2"/>
      <c r="QQA210" s="2"/>
      <c r="QQB210" s="2"/>
      <c r="QQC210" s="2"/>
      <c r="QQD210" s="2"/>
      <c r="QQE210" s="2"/>
      <c r="QQF210" s="2"/>
      <c r="QQG210" s="2"/>
      <c r="QQH210" s="2"/>
      <c r="QQI210" s="2"/>
      <c r="QQJ210" s="2"/>
      <c r="QQK210" s="2"/>
      <c r="QQL210" s="2"/>
      <c r="QQM210" s="2"/>
      <c r="QQN210" s="2"/>
      <c r="QQO210" s="2"/>
      <c r="QQP210" s="2"/>
      <c r="QQQ210" s="2"/>
      <c r="QQR210" s="2"/>
      <c r="QQS210" s="2"/>
      <c r="QQT210" s="2"/>
      <c r="QQU210" s="2"/>
      <c r="QQV210" s="2"/>
      <c r="QQW210" s="2"/>
      <c r="QQX210" s="2"/>
      <c r="QQY210" s="2"/>
      <c r="QQZ210" s="2"/>
      <c r="QRA210" s="2"/>
      <c r="QRB210" s="2"/>
      <c r="QRC210" s="2"/>
      <c r="QRD210" s="2"/>
      <c r="QRE210" s="2"/>
      <c r="QRF210" s="2"/>
      <c r="QRG210" s="2"/>
      <c r="QRH210" s="2"/>
      <c r="QRI210" s="2"/>
      <c r="QRJ210" s="2"/>
      <c r="QRK210" s="2"/>
      <c r="QRL210" s="2"/>
      <c r="QRM210" s="2"/>
      <c r="QRN210" s="2"/>
      <c r="QRO210" s="2"/>
      <c r="QRP210" s="2"/>
      <c r="QRQ210" s="2"/>
      <c r="QRR210" s="2"/>
      <c r="QRS210" s="2"/>
      <c r="QRT210" s="2"/>
      <c r="QRU210" s="2"/>
      <c r="QRV210" s="2"/>
      <c r="QRW210" s="2"/>
      <c r="QRX210" s="2"/>
      <c r="QRY210" s="2"/>
      <c r="QRZ210" s="2"/>
      <c r="QSA210" s="2"/>
      <c r="QSB210" s="2"/>
      <c r="QSC210" s="2"/>
      <c r="QSD210" s="2"/>
      <c r="QSE210" s="2"/>
      <c r="QSF210" s="2"/>
      <c r="QSG210" s="2"/>
      <c r="QSH210" s="2"/>
      <c r="QSI210" s="2"/>
      <c r="QSJ210" s="2"/>
      <c r="QSK210" s="2"/>
      <c r="QSL210" s="2"/>
      <c r="QSM210" s="2"/>
      <c r="QSN210" s="2"/>
      <c r="QSO210" s="2"/>
      <c r="QSP210" s="2"/>
      <c r="QSQ210" s="2"/>
      <c r="QSR210" s="2"/>
      <c r="QSS210" s="2"/>
      <c r="QST210" s="2"/>
      <c r="QSU210" s="2"/>
      <c r="QSV210" s="2"/>
      <c r="QSW210" s="2"/>
      <c r="QSX210" s="2"/>
      <c r="QSY210" s="2"/>
      <c r="QSZ210" s="2"/>
      <c r="QTA210" s="2"/>
      <c r="QTB210" s="2"/>
      <c r="QTC210" s="2"/>
      <c r="QTD210" s="2"/>
      <c r="QTE210" s="2"/>
      <c r="QTF210" s="2"/>
      <c r="QTG210" s="2"/>
      <c r="QTH210" s="2"/>
      <c r="QTI210" s="2"/>
      <c r="QTJ210" s="2"/>
      <c r="QTK210" s="2"/>
      <c r="QTL210" s="2"/>
      <c r="QTM210" s="2"/>
      <c r="QTN210" s="2"/>
      <c r="QTO210" s="2"/>
      <c r="QTP210" s="2"/>
      <c r="QTQ210" s="2"/>
      <c r="QTR210" s="2"/>
      <c r="QTS210" s="2"/>
      <c r="QTT210" s="2"/>
      <c r="QTU210" s="2"/>
      <c r="QTV210" s="2"/>
      <c r="QTW210" s="2"/>
      <c r="QTX210" s="2"/>
      <c r="QTY210" s="2"/>
      <c r="QTZ210" s="2"/>
      <c r="QUA210" s="2"/>
      <c r="QUB210" s="2"/>
      <c r="QUC210" s="2"/>
      <c r="QUD210" s="2"/>
      <c r="QUE210" s="2"/>
      <c r="QUF210" s="2"/>
      <c r="QUG210" s="2"/>
      <c r="QUH210" s="2"/>
      <c r="QUI210" s="2"/>
      <c r="QUJ210" s="2"/>
      <c r="QUK210" s="2"/>
      <c r="QUL210" s="2"/>
      <c r="QUM210" s="2"/>
      <c r="QUN210" s="2"/>
      <c r="QUO210" s="2"/>
      <c r="QUP210" s="2"/>
      <c r="QUQ210" s="2"/>
      <c r="QUR210" s="2"/>
      <c r="QUS210" s="2"/>
      <c r="QUT210" s="2"/>
      <c r="QUU210" s="2"/>
      <c r="QUV210" s="2"/>
      <c r="QUW210" s="2"/>
      <c r="QUX210" s="2"/>
      <c r="QUY210" s="2"/>
      <c r="QUZ210" s="2"/>
      <c r="QVA210" s="2"/>
      <c r="QVB210" s="2"/>
      <c r="QVC210" s="2"/>
      <c r="QVD210" s="2"/>
      <c r="QVE210" s="2"/>
      <c r="QVF210" s="2"/>
      <c r="QVG210" s="2"/>
      <c r="QVH210" s="2"/>
      <c r="QVI210" s="2"/>
      <c r="QVJ210" s="2"/>
      <c r="QVK210" s="2"/>
      <c r="QVL210" s="2"/>
      <c r="QVM210" s="2"/>
      <c r="QVN210" s="2"/>
      <c r="QVO210" s="2"/>
      <c r="QVP210" s="2"/>
      <c r="QVQ210" s="2"/>
      <c r="QVR210" s="2"/>
      <c r="QVS210" s="2"/>
      <c r="QVT210" s="2"/>
      <c r="QVU210" s="2"/>
      <c r="QVV210" s="2"/>
      <c r="QVW210" s="2"/>
      <c r="QVX210" s="2"/>
      <c r="QVY210" s="2"/>
      <c r="QVZ210" s="2"/>
      <c r="QWA210" s="2"/>
      <c r="QWB210" s="2"/>
      <c r="QWC210" s="2"/>
      <c r="QWD210" s="2"/>
      <c r="QWE210" s="2"/>
      <c r="QWF210" s="2"/>
      <c r="QWG210" s="2"/>
      <c r="QWH210" s="2"/>
      <c r="QWI210" s="2"/>
      <c r="QWJ210" s="2"/>
      <c r="QWK210" s="2"/>
      <c r="QWL210" s="2"/>
      <c r="QWM210" s="2"/>
      <c r="QWN210" s="2"/>
      <c r="QWO210" s="2"/>
      <c r="QWP210" s="2"/>
      <c r="QWQ210" s="2"/>
      <c r="QWR210" s="2"/>
      <c r="QWS210" s="2"/>
      <c r="QWT210" s="2"/>
      <c r="QWU210" s="2"/>
      <c r="QWV210" s="2"/>
      <c r="QWW210" s="2"/>
      <c r="QWX210" s="2"/>
      <c r="QWY210" s="2"/>
      <c r="QWZ210" s="2"/>
      <c r="QXA210" s="2"/>
      <c r="QXB210" s="2"/>
      <c r="QXC210" s="2"/>
      <c r="QXD210" s="2"/>
      <c r="QXE210" s="2"/>
      <c r="QXF210" s="2"/>
      <c r="QXG210" s="2"/>
      <c r="QXH210" s="2"/>
      <c r="QXI210" s="2"/>
      <c r="QXJ210" s="2"/>
      <c r="QXK210" s="2"/>
      <c r="QXL210" s="2"/>
      <c r="QXM210" s="2"/>
      <c r="QXN210" s="2"/>
      <c r="QXO210" s="2"/>
      <c r="QXP210" s="2"/>
      <c r="QXQ210" s="2"/>
      <c r="QXR210" s="2"/>
      <c r="QXS210" s="2"/>
      <c r="QXT210" s="2"/>
      <c r="QXU210" s="2"/>
      <c r="QXV210" s="2"/>
      <c r="QXW210" s="2"/>
      <c r="QXX210" s="2"/>
      <c r="QXY210" s="2"/>
      <c r="QXZ210" s="2"/>
      <c r="QYA210" s="2"/>
      <c r="QYB210" s="2"/>
      <c r="QYC210" s="2"/>
      <c r="QYD210" s="2"/>
      <c r="QYE210" s="2"/>
      <c r="QYF210" s="2"/>
      <c r="QYG210" s="2"/>
      <c r="QYH210" s="2"/>
      <c r="QYI210" s="2"/>
      <c r="QYJ210" s="2"/>
      <c r="QYK210" s="2"/>
      <c r="QYL210" s="2"/>
      <c r="QYM210" s="2"/>
      <c r="QYN210" s="2"/>
      <c r="QYO210" s="2"/>
      <c r="QYP210" s="2"/>
      <c r="QYQ210" s="2"/>
      <c r="QYR210" s="2"/>
      <c r="QYS210" s="2"/>
      <c r="QYT210" s="2"/>
      <c r="QYU210" s="2"/>
      <c r="QYV210" s="2"/>
      <c r="QYW210" s="2"/>
      <c r="QYX210" s="2"/>
      <c r="QYY210" s="2"/>
      <c r="QYZ210" s="2"/>
      <c r="QZA210" s="2"/>
      <c r="QZB210" s="2"/>
      <c r="QZC210" s="2"/>
      <c r="QZD210" s="2"/>
      <c r="QZE210" s="2"/>
      <c r="QZF210" s="2"/>
      <c r="QZG210" s="2"/>
      <c r="QZH210" s="2"/>
      <c r="QZI210" s="2"/>
      <c r="QZJ210" s="2"/>
      <c r="QZK210" s="2"/>
      <c r="QZL210" s="2"/>
      <c r="QZM210" s="2"/>
      <c r="QZN210" s="2"/>
      <c r="QZO210" s="2"/>
      <c r="QZP210" s="2"/>
      <c r="QZQ210" s="2"/>
      <c r="QZR210" s="2"/>
      <c r="QZS210" s="2"/>
      <c r="QZT210" s="2"/>
      <c r="QZU210" s="2"/>
      <c r="QZV210" s="2"/>
      <c r="QZW210" s="2"/>
      <c r="QZX210" s="2"/>
      <c r="QZY210" s="2"/>
      <c r="QZZ210" s="2"/>
      <c r="RAA210" s="2"/>
      <c r="RAB210" s="2"/>
      <c r="RAC210" s="2"/>
      <c r="RAD210" s="2"/>
      <c r="RAE210" s="2"/>
      <c r="RAF210" s="2"/>
      <c r="RAG210" s="2"/>
      <c r="RAH210" s="2"/>
      <c r="RAI210" s="2"/>
      <c r="RAJ210" s="2"/>
      <c r="RAK210" s="2"/>
      <c r="RAL210" s="2"/>
      <c r="RAM210" s="2"/>
      <c r="RAN210" s="2"/>
      <c r="RAO210" s="2"/>
      <c r="RAP210" s="2"/>
      <c r="RAQ210" s="2"/>
      <c r="RAR210" s="2"/>
      <c r="RAS210" s="2"/>
      <c r="RAT210" s="2"/>
      <c r="RAU210" s="2"/>
      <c r="RAV210" s="2"/>
      <c r="RAW210" s="2"/>
      <c r="RAX210" s="2"/>
      <c r="RAY210" s="2"/>
      <c r="RAZ210" s="2"/>
      <c r="RBA210" s="2"/>
      <c r="RBB210" s="2"/>
      <c r="RBC210" s="2"/>
      <c r="RBD210" s="2"/>
      <c r="RBE210" s="2"/>
      <c r="RBF210" s="2"/>
      <c r="RBG210" s="2"/>
      <c r="RBH210" s="2"/>
      <c r="RBI210" s="2"/>
      <c r="RBJ210" s="2"/>
      <c r="RBK210" s="2"/>
      <c r="RBL210" s="2"/>
      <c r="RBM210" s="2"/>
      <c r="RBN210" s="2"/>
      <c r="RBO210" s="2"/>
      <c r="RBP210" s="2"/>
      <c r="RBQ210" s="2"/>
      <c r="RBR210" s="2"/>
      <c r="RBS210" s="2"/>
      <c r="RBT210" s="2"/>
      <c r="RBU210" s="2"/>
      <c r="RBV210" s="2"/>
      <c r="RBW210" s="2"/>
      <c r="RBX210" s="2"/>
      <c r="RBY210" s="2"/>
      <c r="RBZ210" s="2"/>
      <c r="RCA210" s="2"/>
      <c r="RCB210" s="2"/>
      <c r="RCC210" s="2"/>
      <c r="RCD210" s="2"/>
      <c r="RCE210" s="2"/>
      <c r="RCF210" s="2"/>
      <c r="RCG210" s="2"/>
      <c r="RCH210" s="2"/>
      <c r="RCI210" s="2"/>
      <c r="RCJ210" s="2"/>
      <c r="RCK210" s="2"/>
      <c r="RCL210" s="2"/>
      <c r="RCM210" s="2"/>
      <c r="RCN210" s="2"/>
      <c r="RCO210" s="2"/>
      <c r="RCP210" s="2"/>
      <c r="RCQ210" s="2"/>
      <c r="RCR210" s="2"/>
      <c r="RCS210" s="2"/>
      <c r="RCT210" s="2"/>
      <c r="RCU210" s="2"/>
      <c r="RCV210" s="2"/>
      <c r="RCW210" s="2"/>
      <c r="RCX210" s="2"/>
      <c r="RCY210" s="2"/>
      <c r="RCZ210" s="2"/>
      <c r="RDA210" s="2"/>
      <c r="RDB210" s="2"/>
      <c r="RDC210" s="2"/>
      <c r="RDD210" s="2"/>
      <c r="RDE210" s="2"/>
      <c r="RDF210" s="2"/>
      <c r="RDG210" s="2"/>
      <c r="RDH210" s="2"/>
      <c r="RDI210" s="2"/>
      <c r="RDJ210" s="2"/>
      <c r="RDK210" s="2"/>
      <c r="RDL210" s="2"/>
      <c r="RDM210" s="2"/>
      <c r="RDN210" s="2"/>
      <c r="RDO210" s="2"/>
      <c r="RDP210" s="2"/>
      <c r="RDQ210" s="2"/>
      <c r="RDR210" s="2"/>
      <c r="RDS210" s="2"/>
      <c r="RDT210" s="2"/>
      <c r="RDU210" s="2"/>
      <c r="RDV210" s="2"/>
      <c r="RDW210" s="2"/>
      <c r="RDX210" s="2"/>
      <c r="RDY210" s="2"/>
      <c r="RDZ210" s="2"/>
      <c r="REA210" s="2"/>
      <c r="REB210" s="2"/>
      <c r="REC210" s="2"/>
      <c r="RED210" s="2"/>
      <c r="REE210" s="2"/>
      <c r="REF210" s="2"/>
      <c r="REG210" s="2"/>
      <c r="REH210" s="2"/>
      <c r="REI210" s="2"/>
      <c r="REJ210" s="2"/>
      <c r="REK210" s="2"/>
      <c r="REL210" s="2"/>
      <c r="REM210" s="2"/>
      <c r="REN210" s="2"/>
      <c r="REO210" s="2"/>
      <c r="REP210" s="2"/>
      <c r="REQ210" s="2"/>
      <c r="RER210" s="2"/>
      <c r="RES210" s="2"/>
      <c r="RET210" s="2"/>
      <c r="REU210" s="2"/>
      <c r="REV210" s="2"/>
      <c r="REW210" s="2"/>
      <c r="REX210" s="2"/>
      <c r="REY210" s="2"/>
      <c r="REZ210" s="2"/>
      <c r="RFA210" s="2"/>
      <c r="RFB210" s="2"/>
      <c r="RFC210" s="2"/>
      <c r="RFD210" s="2"/>
      <c r="RFE210" s="2"/>
      <c r="RFF210" s="2"/>
      <c r="RFG210" s="2"/>
      <c r="RFH210" s="2"/>
      <c r="RFI210" s="2"/>
      <c r="RFJ210" s="2"/>
      <c r="RFK210" s="2"/>
      <c r="RFL210" s="2"/>
      <c r="RFM210" s="2"/>
      <c r="RFN210" s="2"/>
      <c r="RFO210" s="2"/>
      <c r="RFP210" s="2"/>
      <c r="RFQ210" s="2"/>
      <c r="RFR210" s="2"/>
      <c r="RFS210" s="2"/>
      <c r="RFT210" s="2"/>
      <c r="RFU210" s="2"/>
      <c r="RFV210" s="2"/>
      <c r="RFW210" s="2"/>
      <c r="RFX210" s="2"/>
      <c r="RFY210" s="2"/>
      <c r="RFZ210" s="2"/>
      <c r="RGA210" s="2"/>
      <c r="RGB210" s="2"/>
      <c r="RGC210" s="2"/>
      <c r="RGD210" s="2"/>
      <c r="RGE210" s="2"/>
      <c r="RGF210" s="2"/>
      <c r="RGG210" s="2"/>
      <c r="RGH210" s="2"/>
      <c r="RGI210" s="2"/>
      <c r="RGJ210" s="2"/>
      <c r="RGK210" s="2"/>
      <c r="RGL210" s="2"/>
      <c r="RGM210" s="2"/>
      <c r="RGN210" s="2"/>
      <c r="RGO210" s="2"/>
      <c r="RGP210" s="2"/>
      <c r="RGQ210" s="2"/>
      <c r="RGR210" s="2"/>
      <c r="RGS210" s="2"/>
      <c r="RGT210" s="2"/>
      <c r="RGU210" s="2"/>
      <c r="RGV210" s="2"/>
      <c r="RGW210" s="2"/>
      <c r="RGX210" s="2"/>
      <c r="RGY210" s="2"/>
      <c r="RGZ210" s="2"/>
      <c r="RHA210" s="2"/>
      <c r="RHB210" s="2"/>
      <c r="RHC210" s="2"/>
      <c r="RHD210" s="2"/>
      <c r="RHE210" s="2"/>
      <c r="RHF210" s="2"/>
      <c r="RHG210" s="2"/>
      <c r="RHH210" s="2"/>
      <c r="RHI210" s="2"/>
      <c r="RHJ210" s="2"/>
      <c r="RHK210" s="2"/>
      <c r="RHL210" s="2"/>
      <c r="RHM210" s="2"/>
      <c r="RHN210" s="2"/>
      <c r="RHO210" s="2"/>
      <c r="RHP210" s="2"/>
      <c r="RHQ210" s="2"/>
      <c r="RHR210" s="2"/>
      <c r="RHS210" s="2"/>
      <c r="RHT210" s="2"/>
      <c r="RHU210" s="2"/>
      <c r="RHV210" s="2"/>
      <c r="RHW210" s="2"/>
      <c r="RHX210" s="2"/>
      <c r="RHY210" s="2"/>
      <c r="RHZ210" s="2"/>
      <c r="RIA210" s="2"/>
      <c r="RIB210" s="2"/>
      <c r="RIC210" s="2"/>
      <c r="RID210" s="2"/>
      <c r="RIE210" s="2"/>
      <c r="RIF210" s="2"/>
      <c r="RIG210" s="2"/>
      <c r="RIH210" s="2"/>
      <c r="RII210" s="2"/>
      <c r="RIJ210" s="2"/>
      <c r="RIK210" s="2"/>
      <c r="RIL210" s="2"/>
      <c r="RIM210" s="2"/>
      <c r="RIN210" s="2"/>
      <c r="RIO210" s="2"/>
      <c r="RIP210" s="2"/>
      <c r="RIQ210" s="2"/>
      <c r="RIR210" s="2"/>
      <c r="RIS210" s="2"/>
      <c r="RIT210" s="2"/>
      <c r="RIU210" s="2"/>
      <c r="RIV210" s="2"/>
      <c r="RIW210" s="2"/>
      <c r="RIX210" s="2"/>
      <c r="RIY210" s="2"/>
      <c r="RIZ210" s="2"/>
      <c r="RJA210" s="2"/>
      <c r="RJB210" s="2"/>
      <c r="RJC210" s="2"/>
      <c r="RJD210" s="2"/>
      <c r="RJE210" s="2"/>
      <c r="RJF210" s="2"/>
      <c r="RJG210" s="2"/>
      <c r="RJH210" s="2"/>
      <c r="RJI210" s="2"/>
      <c r="RJJ210" s="2"/>
      <c r="RJK210" s="2"/>
      <c r="RJL210" s="2"/>
      <c r="RJM210" s="2"/>
      <c r="RJN210" s="2"/>
      <c r="RJO210" s="2"/>
      <c r="RJP210" s="2"/>
      <c r="RJQ210" s="2"/>
      <c r="RJR210" s="2"/>
      <c r="RJS210" s="2"/>
      <c r="RJT210" s="2"/>
      <c r="RJU210" s="2"/>
      <c r="RJV210" s="2"/>
      <c r="RJW210" s="2"/>
      <c r="RJX210" s="2"/>
      <c r="RJY210" s="2"/>
      <c r="RJZ210" s="2"/>
      <c r="RKA210" s="2"/>
      <c r="RKB210" s="2"/>
      <c r="RKC210" s="2"/>
      <c r="RKD210" s="2"/>
      <c r="RKE210" s="2"/>
      <c r="RKF210" s="2"/>
      <c r="RKG210" s="2"/>
      <c r="RKH210" s="2"/>
      <c r="RKI210" s="2"/>
      <c r="RKJ210" s="2"/>
      <c r="RKK210" s="2"/>
      <c r="RKL210" s="2"/>
      <c r="RKM210" s="2"/>
      <c r="RKN210" s="2"/>
      <c r="RKO210" s="2"/>
      <c r="RKP210" s="2"/>
      <c r="RKQ210" s="2"/>
      <c r="RKR210" s="2"/>
      <c r="RKS210" s="2"/>
      <c r="RKT210" s="2"/>
      <c r="RKU210" s="2"/>
      <c r="RKV210" s="2"/>
      <c r="RKW210" s="2"/>
      <c r="RKX210" s="2"/>
      <c r="RKY210" s="2"/>
      <c r="RKZ210" s="2"/>
      <c r="RLA210" s="2"/>
      <c r="RLB210" s="2"/>
      <c r="RLC210" s="2"/>
      <c r="RLD210" s="2"/>
      <c r="RLE210" s="2"/>
      <c r="RLF210" s="2"/>
      <c r="RLG210" s="2"/>
      <c r="RLH210" s="2"/>
      <c r="RLI210" s="2"/>
      <c r="RLJ210" s="2"/>
      <c r="RLK210" s="2"/>
      <c r="RLL210" s="2"/>
      <c r="RLM210" s="2"/>
      <c r="RLN210" s="2"/>
      <c r="RLO210" s="2"/>
      <c r="RLP210" s="2"/>
      <c r="RLQ210" s="2"/>
      <c r="RLR210" s="2"/>
      <c r="RLS210" s="2"/>
      <c r="RLT210" s="2"/>
      <c r="RLU210" s="2"/>
      <c r="RLV210" s="2"/>
      <c r="RLW210" s="2"/>
      <c r="RLX210" s="2"/>
      <c r="RLY210" s="2"/>
      <c r="RLZ210" s="2"/>
      <c r="RMA210" s="2"/>
      <c r="RMB210" s="2"/>
      <c r="RMC210" s="2"/>
      <c r="RMD210" s="2"/>
      <c r="RME210" s="2"/>
      <c r="RMF210" s="2"/>
      <c r="RMG210" s="2"/>
      <c r="RMH210" s="2"/>
      <c r="RMI210" s="2"/>
      <c r="RMJ210" s="2"/>
      <c r="RMK210" s="2"/>
      <c r="RML210" s="2"/>
      <c r="RMM210" s="2"/>
      <c r="RMN210" s="2"/>
      <c r="RMO210" s="2"/>
      <c r="RMP210" s="2"/>
      <c r="RMQ210" s="2"/>
      <c r="RMR210" s="2"/>
      <c r="RMS210" s="2"/>
      <c r="RMT210" s="2"/>
      <c r="RMU210" s="2"/>
      <c r="RMV210" s="2"/>
      <c r="RMW210" s="2"/>
      <c r="RMX210" s="2"/>
      <c r="RMY210" s="2"/>
      <c r="RMZ210" s="2"/>
      <c r="RNA210" s="2"/>
      <c r="RNB210" s="2"/>
      <c r="RNC210" s="2"/>
      <c r="RND210" s="2"/>
      <c r="RNE210" s="2"/>
      <c r="RNF210" s="2"/>
      <c r="RNG210" s="2"/>
      <c r="RNH210" s="2"/>
      <c r="RNI210" s="2"/>
      <c r="RNJ210" s="2"/>
      <c r="RNK210" s="2"/>
      <c r="RNL210" s="2"/>
      <c r="RNM210" s="2"/>
      <c r="RNN210" s="2"/>
      <c r="RNO210" s="2"/>
      <c r="RNP210" s="2"/>
      <c r="RNQ210" s="2"/>
      <c r="RNR210" s="2"/>
      <c r="RNS210" s="2"/>
      <c r="RNT210" s="2"/>
      <c r="RNU210" s="2"/>
      <c r="RNV210" s="2"/>
      <c r="RNW210" s="2"/>
      <c r="RNX210" s="2"/>
      <c r="RNY210" s="2"/>
      <c r="RNZ210" s="2"/>
      <c r="ROA210" s="2"/>
      <c r="ROB210" s="2"/>
      <c r="ROC210" s="2"/>
      <c r="ROD210" s="2"/>
      <c r="ROE210" s="2"/>
      <c r="ROF210" s="2"/>
      <c r="ROG210" s="2"/>
      <c r="ROH210" s="2"/>
      <c r="ROI210" s="2"/>
      <c r="ROJ210" s="2"/>
      <c r="ROK210" s="2"/>
      <c r="ROL210" s="2"/>
      <c r="ROM210" s="2"/>
      <c r="RON210" s="2"/>
      <c r="ROO210" s="2"/>
      <c r="ROP210" s="2"/>
      <c r="ROQ210" s="2"/>
      <c r="ROR210" s="2"/>
      <c r="ROS210" s="2"/>
      <c r="ROT210" s="2"/>
      <c r="ROU210" s="2"/>
      <c r="ROV210" s="2"/>
      <c r="ROW210" s="2"/>
      <c r="ROX210" s="2"/>
      <c r="ROY210" s="2"/>
      <c r="ROZ210" s="2"/>
      <c r="RPA210" s="2"/>
      <c r="RPB210" s="2"/>
      <c r="RPC210" s="2"/>
      <c r="RPD210" s="2"/>
      <c r="RPE210" s="2"/>
      <c r="RPF210" s="2"/>
      <c r="RPG210" s="2"/>
      <c r="RPH210" s="2"/>
      <c r="RPI210" s="2"/>
      <c r="RPJ210" s="2"/>
      <c r="RPK210" s="2"/>
      <c r="RPL210" s="2"/>
      <c r="RPM210" s="2"/>
      <c r="RPN210" s="2"/>
      <c r="RPO210" s="2"/>
      <c r="RPP210" s="2"/>
      <c r="RPQ210" s="2"/>
      <c r="RPR210" s="2"/>
      <c r="RPS210" s="2"/>
      <c r="RPT210" s="2"/>
      <c r="RPU210" s="2"/>
      <c r="RPV210" s="2"/>
      <c r="RPW210" s="2"/>
      <c r="RPX210" s="2"/>
      <c r="RPY210" s="2"/>
      <c r="RPZ210" s="2"/>
      <c r="RQA210" s="2"/>
      <c r="RQB210" s="2"/>
      <c r="RQC210" s="2"/>
      <c r="RQD210" s="2"/>
      <c r="RQE210" s="2"/>
      <c r="RQF210" s="2"/>
      <c r="RQG210" s="2"/>
      <c r="RQH210" s="2"/>
      <c r="RQI210" s="2"/>
      <c r="RQJ210" s="2"/>
      <c r="RQK210" s="2"/>
      <c r="RQL210" s="2"/>
      <c r="RQM210" s="2"/>
      <c r="RQN210" s="2"/>
      <c r="RQO210" s="2"/>
      <c r="RQP210" s="2"/>
      <c r="RQQ210" s="2"/>
      <c r="RQR210" s="2"/>
      <c r="RQS210" s="2"/>
      <c r="RQT210" s="2"/>
      <c r="RQU210" s="2"/>
      <c r="RQV210" s="2"/>
      <c r="RQW210" s="2"/>
      <c r="RQX210" s="2"/>
      <c r="RQY210" s="2"/>
      <c r="RQZ210" s="2"/>
      <c r="RRA210" s="2"/>
      <c r="RRB210" s="2"/>
      <c r="RRC210" s="2"/>
      <c r="RRD210" s="2"/>
      <c r="RRE210" s="2"/>
      <c r="RRF210" s="2"/>
      <c r="RRG210" s="2"/>
      <c r="RRH210" s="2"/>
      <c r="RRI210" s="2"/>
      <c r="RRJ210" s="2"/>
      <c r="RRK210" s="2"/>
      <c r="RRL210" s="2"/>
      <c r="RRM210" s="2"/>
      <c r="RRN210" s="2"/>
      <c r="RRO210" s="2"/>
      <c r="RRP210" s="2"/>
      <c r="RRQ210" s="2"/>
      <c r="RRR210" s="2"/>
      <c r="RRS210" s="2"/>
      <c r="RRT210" s="2"/>
      <c r="RRU210" s="2"/>
      <c r="RRV210" s="2"/>
      <c r="RRW210" s="2"/>
      <c r="RRX210" s="2"/>
      <c r="RRY210" s="2"/>
      <c r="RRZ210" s="2"/>
      <c r="RSA210" s="2"/>
      <c r="RSB210" s="2"/>
      <c r="RSC210" s="2"/>
      <c r="RSD210" s="2"/>
      <c r="RSE210" s="2"/>
      <c r="RSF210" s="2"/>
      <c r="RSG210" s="2"/>
      <c r="RSH210" s="2"/>
      <c r="RSI210" s="2"/>
      <c r="RSJ210" s="2"/>
      <c r="RSK210" s="2"/>
      <c r="RSL210" s="2"/>
      <c r="RSM210" s="2"/>
      <c r="RSN210" s="2"/>
      <c r="RSO210" s="2"/>
      <c r="RSP210" s="2"/>
      <c r="RSQ210" s="2"/>
      <c r="RSR210" s="2"/>
      <c r="RSS210" s="2"/>
      <c r="RST210" s="2"/>
      <c r="RSU210" s="2"/>
      <c r="RSV210" s="2"/>
      <c r="RSW210" s="2"/>
      <c r="RSX210" s="2"/>
      <c r="RSY210" s="2"/>
      <c r="RSZ210" s="2"/>
      <c r="RTA210" s="2"/>
      <c r="RTB210" s="2"/>
      <c r="RTC210" s="2"/>
      <c r="RTD210" s="2"/>
      <c r="RTE210" s="2"/>
      <c r="RTF210" s="2"/>
      <c r="RTG210" s="2"/>
      <c r="RTH210" s="2"/>
      <c r="RTI210" s="2"/>
      <c r="RTJ210" s="2"/>
      <c r="RTK210" s="2"/>
      <c r="RTL210" s="2"/>
      <c r="RTM210" s="2"/>
      <c r="RTN210" s="2"/>
      <c r="RTO210" s="2"/>
      <c r="RTP210" s="2"/>
      <c r="RTQ210" s="2"/>
      <c r="RTR210" s="2"/>
      <c r="RTS210" s="2"/>
      <c r="RTT210" s="2"/>
      <c r="RTU210" s="2"/>
      <c r="RTV210" s="2"/>
      <c r="RTW210" s="2"/>
      <c r="RTX210" s="2"/>
      <c r="RTY210" s="2"/>
      <c r="RTZ210" s="2"/>
      <c r="RUA210" s="2"/>
      <c r="RUB210" s="2"/>
      <c r="RUC210" s="2"/>
      <c r="RUD210" s="2"/>
      <c r="RUE210" s="2"/>
      <c r="RUF210" s="2"/>
      <c r="RUG210" s="2"/>
      <c r="RUH210" s="2"/>
      <c r="RUI210" s="2"/>
      <c r="RUJ210" s="2"/>
      <c r="RUK210" s="2"/>
      <c r="RUL210" s="2"/>
      <c r="RUM210" s="2"/>
      <c r="RUN210" s="2"/>
      <c r="RUO210" s="2"/>
      <c r="RUP210" s="2"/>
      <c r="RUQ210" s="2"/>
      <c r="RUR210" s="2"/>
      <c r="RUS210" s="2"/>
      <c r="RUT210" s="2"/>
      <c r="RUU210" s="2"/>
      <c r="RUV210" s="2"/>
      <c r="RUW210" s="2"/>
      <c r="RUX210" s="2"/>
      <c r="RUY210" s="2"/>
      <c r="RUZ210" s="2"/>
      <c r="RVA210" s="2"/>
      <c r="RVB210" s="2"/>
      <c r="RVC210" s="2"/>
      <c r="RVD210" s="2"/>
      <c r="RVE210" s="2"/>
      <c r="RVF210" s="2"/>
      <c r="RVG210" s="2"/>
      <c r="RVH210" s="2"/>
      <c r="RVI210" s="2"/>
      <c r="RVJ210" s="2"/>
      <c r="RVK210" s="2"/>
      <c r="RVL210" s="2"/>
      <c r="RVM210" s="2"/>
      <c r="RVN210" s="2"/>
      <c r="RVO210" s="2"/>
      <c r="RVP210" s="2"/>
      <c r="RVQ210" s="2"/>
      <c r="RVR210" s="2"/>
      <c r="RVS210" s="2"/>
      <c r="RVT210" s="2"/>
      <c r="RVU210" s="2"/>
      <c r="RVV210" s="2"/>
      <c r="RVW210" s="2"/>
      <c r="RVX210" s="2"/>
      <c r="RVY210" s="2"/>
      <c r="RVZ210" s="2"/>
      <c r="RWA210" s="2"/>
      <c r="RWB210" s="2"/>
      <c r="RWC210" s="2"/>
      <c r="RWD210" s="2"/>
      <c r="RWE210" s="2"/>
      <c r="RWF210" s="2"/>
      <c r="RWG210" s="2"/>
      <c r="RWH210" s="2"/>
      <c r="RWI210" s="2"/>
      <c r="RWJ210" s="2"/>
      <c r="RWK210" s="2"/>
      <c r="RWL210" s="2"/>
      <c r="RWM210" s="2"/>
      <c r="RWN210" s="2"/>
      <c r="RWO210" s="2"/>
      <c r="RWP210" s="2"/>
      <c r="RWQ210" s="2"/>
      <c r="RWR210" s="2"/>
      <c r="RWS210" s="2"/>
      <c r="RWT210" s="2"/>
      <c r="RWU210" s="2"/>
      <c r="RWV210" s="2"/>
      <c r="RWW210" s="2"/>
      <c r="RWX210" s="2"/>
      <c r="RWY210" s="2"/>
      <c r="RWZ210" s="2"/>
      <c r="RXA210" s="2"/>
      <c r="RXB210" s="2"/>
      <c r="RXC210" s="2"/>
      <c r="RXD210" s="2"/>
      <c r="RXE210" s="2"/>
      <c r="RXF210" s="2"/>
      <c r="RXG210" s="2"/>
      <c r="RXH210" s="2"/>
      <c r="RXI210" s="2"/>
      <c r="RXJ210" s="2"/>
      <c r="RXK210" s="2"/>
      <c r="RXL210" s="2"/>
      <c r="RXM210" s="2"/>
      <c r="RXN210" s="2"/>
      <c r="RXO210" s="2"/>
      <c r="RXP210" s="2"/>
      <c r="RXQ210" s="2"/>
      <c r="RXR210" s="2"/>
      <c r="RXS210" s="2"/>
      <c r="RXT210" s="2"/>
      <c r="RXU210" s="2"/>
      <c r="RXV210" s="2"/>
      <c r="RXW210" s="2"/>
      <c r="RXX210" s="2"/>
      <c r="RXY210" s="2"/>
      <c r="RXZ210" s="2"/>
      <c r="RYA210" s="2"/>
      <c r="RYB210" s="2"/>
      <c r="RYC210" s="2"/>
      <c r="RYD210" s="2"/>
      <c r="RYE210" s="2"/>
      <c r="RYF210" s="2"/>
      <c r="RYG210" s="2"/>
      <c r="RYH210" s="2"/>
      <c r="RYI210" s="2"/>
      <c r="RYJ210" s="2"/>
      <c r="RYK210" s="2"/>
      <c r="RYL210" s="2"/>
      <c r="RYM210" s="2"/>
      <c r="RYN210" s="2"/>
      <c r="RYO210" s="2"/>
      <c r="RYP210" s="2"/>
      <c r="RYQ210" s="2"/>
      <c r="RYR210" s="2"/>
      <c r="RYS210" s="2"/>
      <c r="RYT210" s="2"/>
      <c r="RYU210" s="2"/>
      <c r="RYV210" s="2"/>
      <c r="RYW210" s="2"/>
      <c r="RYX210" s="2"/>
      <c r="RYY210" s="2"/>
      <c r="RYZ210" s="2"/>
      <c r="RZA210" s="2"/>
      <c r="RZB210" s="2"/>
      <c r="RZC210" s="2"/>
      <c r="RZD210" s="2"/>
      <c r="RZE210" s="2"/>
      <c r="RZF210" s="2"/>
      <c r="RZG210" s="2"/>
      <c r="RZH210" s="2"/>
      <c r="RZI210" s="2"/>
      <c r="RZJ210" s="2"/>
      <c r="RZK210" s="2"/>
      <c r="RZL210" s="2"/>
      <c r="RZM210" s="2"/>
      <c r="RZN210" s="2"/>
      <c r="RZO210" s="2"/>
      <c r="RZP210" s="2"/>
      <c r="RZQ210" s="2"/>
      <c r="RZR210" s="2"/>
      <c r="RZS210" s="2"/>
      <c r="RZT210" s="2"/>
      <c r="RZU210" s="2"/>
      <c r="RZV210" s="2"/>
      <c r="RZW210" s="2"/>
      <c r="RZX210" s="2"/>
      <c r="RZY210" s="2"/>
      <c r="RZZ210" s="2"/>
      <c r="SAA210" s="2"/>
      <c r="SAB210" s="2"/>
      <c r="SAC210" s="2"/>
      <c r="SAD210" s="2"/>
      <c r="SAE210" s="2"/>
      <c r="SAF210" s="2"/>
      <c r="SAG210" s="2"/>
      <c r="SAH210" s="2"/>
      <c r="SAI210" s="2"/>
      <c r="SAJ210" s="2"/>
      <c r="SAK210" s="2"/>
      <c r="SAL210" s="2"/>
      <c r="SAM210" s="2"/>
      <c r="SAN210" s="2"/>
      <c r="SAO210" s="2"/>
      <c r="SAP210" s="2"/>
      <c r="SAQ210" s="2"/>
      <c r="SAR210" s="2"/>
      <c r="SAS210" s="2"/>
      <c r="SAT210" s="2"/>
      <c r="SAU210" s="2"/>
      <c r="SAV210" s="2"/>
      <c r="SAW210" s="2"/>
      <c r="SAX210" s="2"/>
      <c r="SAY210" s="2"/>
      <c r="SAZ210" s="2"/>
      <c r="SBA210" s="2"/>
      <c r="SBB210" s="2"/>
      <c r="SBC210" s="2"/>
      <c r="SBD210" s="2"/>
      <c r="SBE210" s="2"/>
      <c r="SBF210" s="2"/>
      <c r="SBG210" s="2"/>
      <c r="SBH210" s="2"/>
      <c r="SBI210" s="2"/>
      <c r="SBJ210" s="2"/>
      <c r="SBK210" s="2"/>
      <c r="SBL210" s="2"/>
      <c r="SBM210" s="2"/>
      <c r="SBN210" s="2"/>
      <c r="SBO210" s="2"/>
      <c r="SBP210" s="2"/>
      <c r="SBQ210" s="2"/>
      <c r="SBR210" s="2"/>
      <c r="SBS210" s="2"/>
      <c r="SBT210" s="2"/>
      <c r="SBU210" s="2"/>
      <c r="SBV210" s="2"/>
      <c r="SBW210" s="2"/>
      <c r="SBX210" s="2"/>
      <c r="SBY210" s="2"/>
      <c r="SBZ210" s="2"/>
      <c r="SCA210" s="2"/>
      <c r="SCB210" s="2"/>
      <c r="SCC210" s="2"/>
      <c r="SCD210" s="2"/>
      <c r="SCE210" s="2"/>
      <c r="SCF210" s="2"/>
      <c r="SCG210" s="2"/>
      <c r="SCH210" s="2"/>
      <c r="SCI210" s="2"/>
      <c r="SCJ210" s="2"/>
      <c r="SCK210" s="2"/>
      <c r="SCL210" s="2"/>
      <c r="SCM210" s="2"/>
      <c r="SCN210" s="2"/>
      <c r="SCO210" s="2"/>
      <c r="SCP210" s="2"/>
      <c r="SCQ210" s="2"/>
      <c r="SCR210" s="2"/>
      <c r="SCS210" s="2"/>
      <c r="SCT210" s="2"/>
      <c r="SCU210" s="2"/>
      <c r="SCV210" s="2"/>
      <c r="SCW210" s="2"/>
      <c r="SCX210" s="2"/>
      <c r="SCY210" s="2"/>
      <c r="SCZ210" s="2"/>
      <c r="SDA210" s="2"/>
      <c r="SDB210" s="2"/>
      <c r="SDC210" s="2"/>
      <c r="SDD210" s="2"/>
      <c r="SDE210" s="2"/>
      <c r="SDF210" s="2"/>
      <c r="SDG210" s="2"/>
      <c r="SDH210" s="2"/>
      <c r="SDI210" s="2"/>
      <c r="SDJ210" s="2"/>
      <c r="SDK210" s="2"/>
      <c r="SDL210" s="2"/>
      <c r="SDM210" s="2"/>
      <c r="SDN210" s="2"/>
      <c r="SDO210" s="2"/>
      <c r="SDP210" s="2"/>
      <c r="SDQ210" s="2"/>
      <c r="SDR210" s="2"/>
      <c r="SDS210" s="2"/>
      <c r="SDT210" s="2"/>
      <c r="SDU210" s="2"/>
      <c r="SDV210" s="2"/>
      <c r="SDW210" s="2"/>
      <c r="SDX210" s="2"/>
      <c r="SDY210" s="2"/>
      <c r="SDZ210" s="2"/>
      <c r="SEA210" s="2"/>
      <c r="SEB210" s="2"/>
      <c r="SEC210" s="2"/>
      <c r="SED210" s="2"/>
      <c r="SEE210" s="2"/>
      <c r="SEF210" s="2"/>
      <c r="SEG210" s="2"/>
      <c r="SEH210" s="2"/>
      <c r="SEI210" s="2"/>
      <c r="SEJ210" s="2"/>
      <c r="SEK210" s="2"/>
      <c r="SEL210" s="2"/>
      <c r="SEM210" s="2"/>
      <c r="SEN210" s="2"/>
      <c r="SEO210" s="2"/>
      <c r="SEP210" s="2"/>
      <c r="SEQ210" s="2"/>
      <c r="SER210" s="2"/>
      <c r="SES210" s="2"/>
      <c r="SET210" s="2"/>
      <c r="SEU210" s="2"/>
      <c r="SEV210" s="2"/>
      <c r="SEW210" s="2"/>
      <c r="SEX210" s="2"/>
      <c r="SEY210" s="2"/>
      <c r="SEZ210" s="2"/>
      <c r="SFA210" s="2"/>
      <c r="SFB210" s="2"/>
      <c r="SFC210" s="2"/>
      <c r="SFD210" s="2"/>
      <c r="SFE210" s="2"/>
      <c r="SFF210" s="2"/>
      <c r="SFG210" s="2"/>
      <c r="SFH210" s="2"/>
      <c r="SFI210" s="2"/>
      <c r="SFJ210" s="2"/>
      <c r="SFK210" s="2"/>
      <c r="SFL210" s="2"/>
      <c r="SFM210" s="2"/>
      <c r="SFN210" s="2"/>
      <c r="SFO210" s="2"/>
      <c r="SFP210" s="2"/>
      <c r="SFQ210" s="2"/>
      <c r="SFR210" s="2"/>
      <c r="SFS210" s="2"/>
      <c r="SFT210" s="2"/>
      <c r="SFU210" s="2"/>
      <c r="SFV210" s="2"/>
      <c r="SFW210" s="2"/>
      <c r="SFX210" s="2"/>
      <c r="SFY210" s="2"/>
      <c r="SFZ210" s="2"/>
      <c r="SGA210" s="2"/>
      <c r="SGB210" s="2"/>
      <c r="SGC210" s="2"/>
      <c r="SGD210" s="2"/>
      <c r="SGE210" s="2"/>
      <c r="SGF210" s="2"/>
      <c r="SGG210" s="2"/>
      <c r="SGH210" s="2"/>
      <c r="SGI210" s="2"/>
      <c r="SGJ210" s="2"/>
      <c r="SGK210" s="2"/>
      <c r="SGL210" s="2"/>
      <c r="SGM210" s="2"/>
      <c r="SGN210" s="2"/>
      <c r="SGO210" s="2"/>
      <c r="SGP210" s="2"/>
      <c r="SGQ210" s="2"/>
      <c r="SGR210" s="2"/>
      <c r="SGS210" s="2"/>
      <c r="SGT210" s="2"/>
      <c r="SGU210" s="2"/>
      <c r="SGV210" s="2"/>
      <c r="SGW210" s="2"/>
      <c r="SGX210" s="2"/>
      <c r="SGY210" s="2"/>
      <c r="SGZ210" s="2"/>
      <c r="SHA210" s="2"/>
      <c r="SHB210" s="2"/>
      <c r="SHC210" s="2"/>
      <c r="SHD210" s="2"/>
      <c r="SHE210" s="2"/>
      <c r="SHF210" s="2"/>
      <c r="SHG210" s="2"/>
      <c r="SHH210" s="2"/>
      <c r="SHI210" s="2"/>
      <c r="SHJ210" s="2"/>
      <c r="SHK210" s="2"/>
      <c r="SHL210" s="2"/>
      <c r="SHM210" s="2"/>
      <c r="SHN210" s="2"/>
      <c r="SHO210" s="2"/>
      <c r="SHP210" s="2"/>
      <c r="SHQ210" s="2"/>
      <c r="SHR210" s="2"/>
      <c r="SHS210" s="2"/>
      <c r="SHT210" s="2"/>
      <c r="SHU210" s="2"/>
      <c r="SHV210" s="2"/>
      <c r="SHW210" s="2"/>
      <c r="SHX210" s="2"/>
      <c r="SHY210" s="2"/>
      <c r="SHZ210" s="2"/>
      <c r="SIA210" s="2"/>
      <c r="SIB210" s="2"/>
      <c r="SIC210" s="2"/>
      <c r="SID210" s="2"/>
      <c r="SIE210" s="2"/>
      <c r="SIF210" s="2"/>
      <c r="SIG210" s="2"/>
      <c r="SIH210" s="2"/>
      <c r="SII210" s="2"/>
      <c r="SIJ210" s="2"/>
      <c r="SIK210" s="2"/>
      <c r="SIL210" s="2"/>
      <c r="SIM210" s="2"/>
      <c r="SIN210" s="2"/>
      <c r="SIO210" s="2"/>
      <c r="SIP210" s="2"/>
      <c r="SIQ210" s="2"/>
      <c r="SIR210" s="2"/>
      <c r="SIS210" s="2"/>
      <c r="SIT210" s="2"/>
      <c r="SIU210" s="2"/>
      <c r="SIV210" s="2"/>
      <c r="SIW210" s="2"/>
      <c r="SIX210" s="2"/>
      <c r="SIY210" s="2"/>
      <c r="SIZ210" s="2"/>
      <c r="SJA210" s="2"/>
      <c r="SJB210" s="2"/>
      <c r="SJC210" s="2"/>
      <c r="SJD210" s="2"/>
      <c r="SJE210" s="2"/>
      <c r="SJF210" s="2"/>
      <c r="SJG210" s="2"/>
      <c r="SJH210" s="2"/>
      <c r="SJI210" s="2"/>
      <c r="SJJ210" s="2"/>
      <c r="SJK210" s="2"/>
      <c r="SJL210" s="2"/>
      <c r="SJM210" s="2"/>
      <c r="SJN210" s="2"/>
      <c r="SJO210" s="2"/>
      <c r="SJP210" s="2"/>
      <c r="SJQ210" s="2"/>
      <c r="SJR210" s="2"/>
      <c r="SJS210" s="2"/>
      <c r="SJT210" s="2"/>
      <c r="SJU210" s="2"/>
      <c r="SJV210" s="2"/>
      <c r="SJW210" s="2"/>
      <c r="SJX210" s="2"/>
      <c r="SJY210" s="2"/>
      <c r="SJZ210" s="2"/>
      <c r="SKA210" s="2"/>
      <c r="SKB210" s="2"/>
      <c r="SKC210" s="2"/>
      <c r="SKD210" s="2"/>
      <c r="SKE210" s="2"/>
      <c r="SKF210" s="2"/>
      <c r="SKG210" s="2"/>
      <c r="SKH210" s="2"/>
      <c r="SKI210" s="2"/>
      <c r="SKJ210" s="2"/>
      <c r="SKK210" s="2"/>
      <c r="SKL210" s="2"/>
      <c r="SKM210" s="2"/>
      <c r="SKN210" s="2"/>
      <c r="SKO210" s="2"/>
      <c r="SKP210" s="2"/>
      <c r="SKQ210" s="2"/>
      <c r="SKR210" s="2"/>
      <c r="SKS210" s="2"/>
      <c r="SKT210" s="2"/>
      <c r="SKU210" s="2"/>
      <c r="SKV210" s="2"/>
      <c r="SKW210" s="2"/>
      <c r="SKX210" s="2"/>
      <c r="SKY210" s="2"/>
      <c r="SKZ210" s="2"/>
      <c r="SLA210" s="2"/>
      <c r="SLB210" s="2"/>
      <c r="SLC210" s="2"/>
      <c r="SLD210" s="2"/>
      <c r="SLE210" s="2"/>
      <c r="SLF210" s="2"/>
      <c r="SLG210" s="2"/>
      <c r="SLH210" s="2"/>
      <c r="SLI210" s="2"/>
      <c r="SLJ210" s="2"/>
      <c r="SLK210" s="2"/>
      <c r="SLL210" s="2"/>
      <c r="SLM210" s="2"/>
      <c r="SLN210" s="2"/>
      <c r="SLO210" s="2"/>
      <c r="SLP210" s="2"/>
      <c r="SLQ210" s="2"/>
      <c r="SLR210" s="2"/>
      <c r="SLS210" s="2"/>
      <c r="SLT210" s="2"/>
      <c r="SLU210" s="2"/>
      <c r="SLV210" s="2"/>
      <c r="SLW210" s="2"/>
      <c r="SLX210" s="2"/>
      <c r="SLY210" s="2"/>
      <c r="SLZ210" s="2"/>
      <c r="SMA210" s="2"/>
      <c r="SMB210" s="2"/>
      <c r="SMC210" s="2"/>
      <c r="SMD210" s="2"/>
      <c r="SME210" s="2"/>
      <c r="SMF210" s="2"/>
      <c r="SMG210" s="2"/>
      <c r="SMH210" s="2"/>
      <c r="SMI210" s="2"/>
      <c r="SMJ210" s="2"/>
      <c r="SMK210" s="2"/>
      <c r="SML210" s="2"/>
      <c r="SMM210" s="2"/>
      <c r="SMN210" s="2"/>
      <c r="SMO210" s="2"/>
      <c r="SMP210" s="2"/>
      <c r="SMQ210" s="2"/>
      <c r="SMR210" s="2"/>
      <c r="SMS210" s="2"/>
      <c r="SMT210" s="2"/>
      <c r="SMU210" s="2"/>
      <c r="SMV210" s="2"/>
      <c r="SMW210" s="2"/>
      <c r="SMX210" s="2"/>
      <c r="SMY210" s="2"/>
      <c r="SMZ210" s="2"/>
      <c r="SNA210" s="2"/>
      <c r="SNB210" s="2"/>
      <c r="SNC210" s="2"/>
      <c r="SND210" s="2"/>
      <c r="SNE210" s="2"/>
      <c r="SNF210" s="2"/>
      <c r="SNG210" s="2"/>
      <c r="SNH210" s="2"/>
      <c r="SNI210" s="2"/>
      <c r="SNJ210" s="2"/>
      <c r="SNK210" s="2"/>
      <c r="SNL210" s="2"/>
      <c r="SNM210" s="2"/>
      <c r="SNN210" s="2"/>
      <c r="SNO210" s="2"/>
      <c r="SNP210" s="2"/>
      <c r="SNQ210" s="2"/>
      <c r="SNR210" s="2"/>
      <c r="SNS210" s="2"/>
      <c r="SNT210" s="2"/>
      <c r="SNU210" s="2"/>
      <c r="SNV210" s="2"/>
      <c r="SNW210" s="2"/>
      <c r="SNX210" s="2"/>
      <c r="SNY210" s="2"/>
      <c r="SNZ210" s="2"/>
      <c r="SOA210" s="2"/>
      <c r="SOB210" s="2"/>
      <c r="SOC210" s="2"/>
      <c r="SOD210" s="2"/>
      <c r="SOE210" s="2"/>
      <c r="SOF210" s="2"/>
      <c r="SOG210" s="2"/>
      <c r="SOH210" s="2"/>
      <c r="SOI210" s="2"/>
      <c r="SOJ210" s="2"/>
      <c r="SOK210" s="2"/>
      <c r="SOL210" s="2"/>
      <c r="SOM210" s="2"/>
      <c r="SON210" s="2"/>
      <c r="SOO210" s="2"/>
      <c r="SOP210" s="2"/>
      <c r="SOQ210" s="2"/>
      <c r="SOR210" s="2"/>
      <c r="SOS210" s="2"/>
      <c r="SOT210" s="2"/>
      <c r="SOU210" s="2"/>
      <c r="SOV210" s="2"/>
      <c r="SOW210" s="2"/>
      <c r="SOX210" s="2"/>
      <c r="SOY210" s="2"/>
      <c r="SOZ210" s="2"/>
      <c r="SPA210" s="2"/>
      <c r="SPB210" s="2"/>
      <c r="SPC210" s="2"/>
      <c r="SPD210" s="2"/>
      <c r="SPE210" s="2"/>
      <c r="SPF210" s="2"/>
      <c r="SPG210" s="2"/>
      <c r="SPH210" s="2"/>
      <c r="SPI210" s="2"/>
      <c r="SPJ210" s="2"/>
      <c r="SPK210" s="2"/>
      <c r="SPL210" s="2"/>
      <c r="SPM210" s="2"/>
      <c r="SPN210" s="2"/>
      <c r="SPO210" s="2"/>
      <c r="SPP210" s="2"/>
      <c r="SPQ210" s="2"/>
      <c r="SPR210" s="2"/>
      <c r="SPS210" s="2"/>
      <c r="SPT210" s="2"/>
      <c r="SPU210" s="2"/>
      <c r="SPV210" s="2"/>
      <c r="SPW210" s="2"/>
      <c r="SPX210" s="2"/>
      <c r="SPY210" s="2"/>
      <c r="SPZ210" s="2"/>
      <c r="SQA210" s="2"/>
      <c r="SQB210" s="2"/>
      <c r="SQC210" s="2"/>
      <c r="SQD210" s="2"/>
      <c r="SQE210" s="2"/>
      <c r="SQF210" s="2"/>
      <c r="SQG210" s="2"/>
      <c r="SQH210" s="2"/>
      <c r="SQI210" s="2"/>
      <c r="SQJ210" s="2"/>
      <c r="SQK210" s="2"/>
      <c r="SQL210" s="2"/>
      <c r="SQM210" s="2"/>
      <c r="SQN210" s="2"/>
      <c r="SQO210" s="2"/>
      <c r="SQP210" s="2"/>
      <c r="SQQ210" s="2"/>
      <c r="SQR210" s="2"/>
      <c r="SQS210" s="2"/>
      <c r="SQT210" s="2"/>
      <c r="SQU210" s="2"/>
      <c r="SQV210" s="2"/>
      <c r="SQW210" s="2"/>
      <c r="SQX210" s="2"/>
      <c r="SQY210" s="2"/>
      <c r="SQZ210" s="2"/>
      <c r="SRA210" s="2"/>
      <c r="SRB210" s="2"/>
      <c r="SRC210" s="2"/>
      <c r="SRD210" s="2"/>
      <c r="SRE210" s="2"/>
      <c r="SRF210" s="2"/>
      <c r="SRG210" s="2"/>
      <c r="SRH210" s="2"/>
      <c r="SRI210" s="2"/>
      <c r="SRJ210" s="2"/>
      <c r="SRK210" s="2"/>
      <c r="SRL210" s="2"/>
      <c r="SRM210" s="2"/>
      <c r="SRN210" s="2"/>
      <c r="SRO210" s="2"/>
      <c r="SRP210" s="2"/>
      <c r="SRQ210" s="2"/>
      <c r="SRR210" s="2"/>
      <c r="SRS210" s="2"/>
      <c r="SRT210" s="2"/>
      <c r="SRU210" s="2"/>
      <c r="SRV210" s="2"/>
      <c r="SRW210" s="2"/>
      <c r="SRX210" s="2"/>
      <c r="SRY210" s="2"/>
      <c r="SRZ210" s="2"/>
      <c r="SSA210" s="2"/>
      <c r="SSB210" s="2"/>
      <c r="SSC210" s="2"/>
      <c r="SSD210" s="2"/>
      <c r="SSE210" s="2"/>
      <c r="SSF210" s="2"/>
      <c r="SSG210" s="2"/>
      <c r="SSH210" s="2"/>
      <c r="SSI210" s="2"/>
      <c r="SSJ210" s="2"/>
      <c r="SSK210" s="2"/>
      <c r="SSL210" s="2"/>
      <c r="SSM210" s="2"/>
      <c r="SSN210" s="2"/>
      <c r="SSO210" s="2"/>
      <c r="SSP210" s="2"/>
      <c r="SSQ210" s="2"/>
      <c r="SSR210" s="2"/>
      <c r="SSS210" s="2"/>
      <c r="SST210" s="2"/>
      <c r="SSU210" s="2"/>
      <c r="SSV210" s="2"/>
      <c r="SSW210" s="2"/>
      <c r="SSX210" s="2"/>
      <c r="SSY210" s="2"/>
      <c r="SSZ210" s="2"/>
      <c r="STA210" s="2"/>
      <c r="STB210" s="2"/>
      <c r="STC210" s="2"/>
      <c r="STD210" s="2"/>
      <c r="STE210" s="2"/>
      <c r="STF210" s="2"/>
      <c r="STG210" s="2"/>
      <c r="STH210" s="2"/>
      <c r="STI210" s="2"/>
      <c r="STJ210" s="2"/>
      <c r="STK210" s="2"/>
      <c r="STL210" s="2"/>
      <c r="STM210" s="2"/>
      <c r="STN210" s="2"/>
      <c r="STO210" s="2"/>
      <c r="STP210" s="2"/>
      <c r="STQ210" s="2"/>
      <c r="STR210" s="2"/>
      <c r="STS210" s="2"/>
      <c r="STT210" s="2"/>
      <c r="STU210" s="2"/>
      <c r="STV210" s="2"/>
      <c r="STW210" s="2"/>
      <c r="STX210" s="2"/>
      <c r="STY210" s="2"/>
      <c r="STZ210" s="2"/>
      <c r="SUA210" s="2"/>
      <c r="SUB210" s="2"/>
      <c r="SUC210" s="2"/>
      <c r="SUD210" s="2"/>
      <c r="SUE210" s="2"/>
      <c r="SUF210" s="2"/>
      <c r="SUG210" s="2"/>
      <c r="SUH210" s="2"/>
      <c r="SUI210" s="2"/>
      <c r="SUJ210" s="2"/>
      <c r="SUK210" s="2"/>
      <c r="SUL210" s="2"/>
      <c r="SUM210" s="2"/>
      <c r="SUN210" s="2"/>
      <c r="SUO210" s="2"/>
      <c r="SUP210" s="2"/>
      <c r="SUQ210" s="2"/>
      <c r="SUR210" s="2"/>
      <c r="SUS210" s="2"/>
      <c r="SUT210" s="2"/>
      <c r="SUU210" s="2"/>
      <c r="SUV210" s="2"/>
      <c r="SUW210" s="2"/>
      <c r="SUX210" s="2"/>
      <c r="SUY210" s="2"/>
      <c r="SUZ210" s="2"/>
      <c r="SVA210" s="2"/>
      <c r="SVB210" s="2"/>
      <c r="SVC210" s="2"/>
      <c r="SVD210" s="2"/>
      <c r="SVE210" s="2"/>
      <c r="SVF210" s="2"/>
      <c r="SVG210" s="2"/>
      <c r="SVH210" s="2"/>
      <c r="SVI210" s="2"/>
      <c r="SVJ210" s="2"/>
      <c r="SVK210" s="2"/>
      <c r="SVL210" s="2"/>
      <c r="SVM210" s="2"/>
      <c r="SVN210" s="2"/>
      <c r="SVO210" s="2"/>
      <c r="SVP210" s="2"/>
      <c r="SVQ210" s="2"/>
      <c r="SVR210" s="2"/>
      <c r="SVS210" s="2"/>
      <c r="SVT210" s="2"/>
      <c r="SVU210" s="2"/>
      <c r="SVV210" s="2"/>
      <c r="SVW210" s="2"/>
      <c r="SVX210" s="2"/>
      <c r="SVY210" s="2"/>
      <c r="SVZ210" s="2"/>
      <c r="SWA210" s="2"/>
      <c r="SWB210" s="2"/>
      <c r="SWC210" s="2"/>
      <c r="SWD210" s="2"/>
      <c r="SWE210" s="2"/>
      <c r="SWF210" s="2"/>
      <c r="SWG210" s="2"/>
      <c r="SWH210" s="2"/>
      <c r="SWI210" s="2"/>
      <c r="SWJ210" s="2"/>
      <c r="SWK210" s="2"/>
      <c r="SWL210" s="2"/>
      <c r="SWM210" s="2"/>
      <c r="SWN210" s="2"/>
      <c r="SWO210" s="2"/>
      <c r="SWP210" s="2"/>
      <c r="SWQ210" s="2"/>
      <c r="SWR210" s="2"/>
      <c r="SWS210" s="2"/>
      <c r="SWT210" s="2"/>
      <c r="SWU210" s="2"/>
      <c r="SWV210" s="2"/>
      <c r="SWW210" s="2"/>
      <c r="SWX210" s="2"/>
      <c r="SWY210" s="2"/>
      <c r="SWZ210" s="2"/>
      <c r="SXA210" s="2"/>
      <c r="SXB210" s="2"/>
      <c r="SXC210" s="2"/>
      <c r="SXD210" s="2"/>
      <c r="SXE210" s="2"/>
      <c r="SXF210" s="2"/>
      <c r="SXG210" s="2"/>
      <c r="SXH210" s="2"/>
      <c r="SXI210" s="2"/>
      <c r="SXJ210" s="2"/>
      <c r="SXK210" s="2"/>
      <c r="SXL210" s="2"/>
      <c r="SXM210" s="2"/>
      <c r="SXN210" s="2"/>
      <c r="SXO210" s="2"/>
      <c r="SXP210" s="2"/>
      <c r="SXQ210" s="2"/>
      <c r="SXR210" s="2"/>
      <c r="SXS210" s="2"/>
      <c r="SXT210" s="2"/>
      <c r="SXU210" s="2"/>
      <c r="SXV210" s="2"/>
      <c r="SXW210" s="2"/>
      <c r="SXX210" s="2"/>
      <c r="SXY210" s="2"/>
      <c r="SXZ210" s="2"/>
      <c r="SYA210" s="2"/>
      <c r="SYB210" s="2"/>
      <c r="SYC210" s="2"/>
      <c r="SYD210" s="2"/>
      <c r="SYE210" s="2"/>
      <c r="SYF210" s="2"/>
      <c r="SYG210" s="2"/>
      <c r="SYH210" s="2"/>
      <c r="SYI210" s="2"/>
      <c r="SYJ210" s="2"/>
      <c r="SYK210" s="2"/>
      <c r="SYL210" s="2"/>
      <c r="SYM210" s="2"/>
      <c r="SYN210" s="2"/>
      <c r="SYO210" s="2"/>
      <c r="SYP210" s="2"/>
      <c r="SYQ210" s="2"/>
      <c r="SYR210" s="2"/>
      <c r="SYS210" s="2"/>
      <c r="SYT210" s="2"/>
      <c r="SYU210" s="2"/>
      <c r="SYV210" s="2"/>
      <c r="SYW210" s="2"/>
      <c r="SYX210" s="2"/>
      <c r="SYY210" s="2"/>
      <c r="SYZ210" s="2"/>
      <c r="SZA210" s="2"/>
      <c r="SZB210" s="2"/>
      <c r="SZC210" s="2"/>
      <c r="SZD210" s="2"/>
      <c r="SZE210" s="2"/>
      <c r="SZF210" s="2"/>
      <c r="SZG210" s="2"/>
      <c r="SZH210" s="2"/>
      <c r="SZI210" s="2"/>
      <c r="SZJ210" s="2"/>
      <c r="SZK210" s="2"/>
      <c r="SZL210" s="2"/>
      <c r="SZM210" s="2"/>
      <c r="SZN210" s="2"/>
      <c r="SZO210" s="2"/>
      <c r="SZP210" s="2"/>
      <c r="SZQ210" s="2"/>
      <c r="SZR210" s="2"/>
      <c r="SZS210" s="2"/>
      <c r="SZT210" s="2"/>
      <c r="SZU210" s="2"/>
      <c r="SZV210" s="2"/>
      <c r="SZW210" s="2"/>
      <c r="SZX210" s="2"/>
      <c r="SZY210" s="2"/>
      <c r="SZZ210" s="2"/>
      <c r="TAA210" s="2"/>
      <c r="TAB210" s="2"/>
      <c r="TAC210" s="2"/>
      <c r="TAD210" s="2"/>
      <c r="TAE210" s="2"/>
      <c r="TAF210" s="2"/>
      <c r="TAG210" s="2"/>
      <c r="TAH210" s="2"/>
      <c r="TAI210" s="2"/>
      <c r="TAJ210" s="2"/>
      <c r="TAK210" s="2"/>
      <c r="TAL210" s="2"/>
      <c r="TAM210" s="2"/>
      <c r="TAN210" s="2"/>
      <c r="TAO210" s="2"/>
      <c r="TAP210" s="2"/>
      <c r="TAQ210" s="2"/>
      <c r="TAR210" s="2"/>
      <c r="TAS210" s="2"/>
      <c r="TAT210" s="2"/>
      <c r="TAU210" s="2"/>
      <c r="TAV210" s="2"/>
      <c r="TAW210" s="2"/>
      <c r="TAX210" s="2"/>
      <c r="TAY210" s="2"/>
      <c r="TAZ210" s="2"/>
      <c r="TBA210" s="2"/>
      <c r="TBB210" s="2"/>
      <c r="TBC210" s="2"/>
      <c r="TBD210" s="2"/>
      <c r="TBE210" s="2"/>
      <c r="TBF210" s="2"/>
      <c r="TBG210" s="2"/>
      <c r="TBH210" s="2"/>
      <c r="TBI210" s="2"/>
      <c r="TBJ210" s="2"/>
      <c r="TBK210" s="2"/>
      <c r="TBL210" s="2"/>
      <c r="TBM210" s="2"/>
      <c r="TBN210" s="2"/>
      <c r="TBO210" s="2"/>
      <c r="TBP210" s="2"/>
      <c r="TBQ210" s="2"/>
      <c r="TBR210" s="2"/>
      <c r="TBS210" s="2"/>
      <c r="TBT210" s="2"/>
      <c r="TBU210" s="2"/>
      <c r="TBV210" s="2"/>
      <c r="TBW210" s="2"/>
      <c r="TBX210" s="2"/>
      <c r="TBY210" s="2"/>
      <c r="TBZ210" s="2"/>
      <c r="TCA210" s="2"/>
      <c r="TCB210" s="2"/>
      <c r="TCC210" s="2"/>
      <c r="TCD210" s="2"/>
      <c r="TCE210" s="2"/>
      <c r="TCF210" s="2"/>
      <c r="TCG210" s="2"/>
      <c r="TCH210" s="2"/>
      <c r="TCI210" s="2"/>
      <c r="TCJ210" s="2"/>
      <c r="TCK210" s="2"/>
      <c r="TCL210" s="2"/>
      <c r="TCM210" s="2"/>
      <c r="TCN210" s="2"/>
      <c r="TCO210" s="2"/>
      <c r="TCP210" s="2"/>
      <c r="TCQ210" s="2"/>
      <c r="TCR210" s="2"/>
      <c r="TCS210" s="2"/>
      <c r="TCT210" s="2"/>
      <c r="TCU210" s="2"/>
      <c r="TCV210" s="2"/>
      <c r="TCW210" s="2"/>
      <c r="TCX210" s="2"/>
      <c r="TCY210" s="2"/>
      <c r="TCZ210" s="2"/>
      <c r="TDA210" s="2"/>
      <c r="TDB210" s="2"/>
      <c r="TDC210" s="2"/>
      <c r="TDD210" s="2"/>
      <c r="TDE210" s="2"/>
      <c r="TDF210" s="2"/>
      <c r="TDG210" s="2"/>
      <c r="TDH210" s="2"/>
      <c r="TDI210" s="2"/>
      <c r="TDJ210" s="2"/>
      <c r="TDK210" s="2"/>
      <c r="TDL210" s="2"/>
      <c r="TDM210" s="2"/>
      <c r="TDN210" s="2"/>
      <c r="TDO210" s="2"/>
      <c r="TDP210" s="2"/>
      <c r="TDQ210" s="2"/>
      <c r="TDR210" s="2"/>
      <c r="TDS210" s="2"/>
      <c r="TDT210" s="2"/>
      <c r="TDU210" s="2"/>
      <c r="TDV210" s="2"/>
      <c r="TDW210" s="2"/>
      <c r="TDX210" s="2"/>
      <c r="TDY210" s="2"/>
      <c r="TDZ210" s="2"/>
      <c r="TEA210" s="2"/>
      <c r="TEB210" s="2"/>
      <c r="TEC210" s="2"/>
      <c r="TED210" s="2"/>
      <c r="TEE210" s="2"/>
      <c r="TEF210" s="2"/>
      <c r="TEG210" s="2"/>
      <c r="TEH210" s="2"/>
      <c r="TEI210" s="2"/>
      <c r="TEJ210" s="2"/>
      <c r="TEK210" s="2"/>
      <c r="TEL210" s="2"/>
      <c r="TEM210" s="2"/>
      <c r="TEN210" s="2"/>
      <c r="TEO210" s="2"/>
      <c r="TEP210" s="2"/>
      <c r="TEQ210" s="2"/>
      <c r="TER210" s="2"/>
      <c r="TES210" s="2"/>
      <c r="TET210" s="2"/>
      <c r="TEU210" s="2"/>
      <c r="TEV210" s="2"/>
      <c r="TEW210" s="2"/>
      <c r="TEX210" s="2"/>
      <c r="TEY210" s="2"/>
      <c r="TEZ210" s="2"/>
      <c r="TFA210" s="2"/>
      <c r="TFB210" s="2"/>
      <c r="TFC210" s="2"/>
      <c r="TFD210" s="2"/>
      <c r="TFE210" s="2"/>
      <c r="TFF210" s="2"/>
      <c r="TFG210" s="2"/>
      <c r="TFH210" s="2"/>
      <c r="TFI210" s="2"/>
      <c r="TFJ210" s="2"/>
      <c r="TFK210" s="2"/>
      <c r="TFL210" s="2"/>
      <c r="TFM210" s="2"/>
      <c r="TFN210" s="2"/>
      <c r="TFO210" s="2"/>
      <c r="TFP210" s="2"/>
      <c r="TFQ210" s="2"/>
      <c r="TFR210" s="2"/>
      <c r="TFS210" s="2"/>
      <c r="TFT210" s="2"/>
      <c r="TFU210" s="2"/>
      <c r="TFV210" s="2"/>
      <c r="TFW210" s="2"/>
      <c r="TFX210" s="2"/>
      <c r="TFY210" s="2"/>
      <c r="TFZ210" s="2"/>
      <c r="TGA210" s="2"/>
      <c r="TGB210" s="2"/>
      <c r="TGC210" s="2"/>
      <c r="TGD210" s="2"/>
      <c r="TGE210" s="2"/>
      <c r="TGF210" s="2"/>
      <c r="TGG210" s="2"/>
      <c r="TGH210" s="2"/>
      <c r="TGI210" s="2"/>
      <c r="TGJ210" s="2"/>
      <c r="TGK210" s="2"/>
      <c r="TGL210" s="2"/>
      <c r="TGM210" s="2"/>
      <c r="TGN210" s="2"/>
      <c r="TGO210" s="2"/>
      <c r="TGP210" s="2"/>
      <c r="TGQ210" s="2"/>
      <c r="TGR210" s="2"/>
      <c r="TGS210" s="2"/>
      <c r="TGT210" s="2"/>
      <c r="TGU210" s="2"/>
      <c r="TGV210" s="2"/>
      <c r="TGW210" s="2"/>
      <c r="TGX210" s="2"/>
      <c r="TGY210" s="2"/>
      <c r="TGZ210" s="2"/>
      <c r="THA210" s="2"/>
      <c r="THB210" s="2"/>
      <c r="THC210" s="2"/>
      <c r="THD210" s="2"/>
      <c r="THE210" s="2"/>
      <c r="THF210" s="2"/>
      <c r="THG210" s="2"/>
      <c r="THH210" s="2"/>
      <c r="THI210" s="2"/>
      <c r="THJ210" s="2"/>
      <c r="THK210" s="2"/>
      <c r="THL210" s="2"/>
      <c r="THM210" s="2"/>
      <c r="THN210" s="2"/>
      <c r="THO210" s="2"/>
      <c r="THP210" s="2"/>
      <c r="THQ210" s="2"/>
      <c r="THR210" s="2"/>
      <c r="THS210" s="2"/>
      <c r="THT210" s="2"/>
      <c r="THU210" s="2"/>
      <c r="THV210" s="2"/>
      <c r="THW210" s="2"/>
      <c r="THX210" s="2"/>
      <c r="THY210" s="2"/>
      <c r="THZ210" s="2"/>
      <c r="TIA210" s="2"/>
      <c r="TIB210" s="2"/>
      <c r="TIC210" s="2"/>
      <c r="TID210" s="2"/>
      <c r="TIE210" s="2"/>
      <c r="TIF210" s="2"/>
      <c r="TIG210" s="2"/>
      <c r="TIH210" s="2"/>
      <c r="TII210" s="2"/>
      <c r="TIJ210" s="2"/>
      <c r="TIK210" s="2"/>
      <c r="TIL210" s="2"/>
      <c r="TIM210" s="2"/>
      <c r="TIN210" s="2"/>
      <c r="TIO210" s="2"/>
      <c r="TIP210" s="2"/>
      <c r="TIQ210" s="2"/>
      <c r="TIR210" s="2"/>
      <c r="TIS210" s="2"/>
      <c r="TIT210" s="2"/>
      <c r="TIU210" s="2"/>
      <c r="TIV210" s="2"/>
      <c r="TIW210" s="2"/>
      <c r="TIX210" s="2"/>
      <c r="TIY210" s="2"/>
      <c r="TIZ210" s="2"/>
      <c r="TJA210" s="2"/>
      <c r="TJB210" s="2"/>
      <c r="TJC210" s="2"/>
      <c r="TJD210" s="2"/>
      <c r="TJE210" s="2"/>
      <c r="TJF210" s="2"/>
      <c r="TJG210" s="2"/>
      <c r="TJH210" s="2"/>
      <c r="TJI210" s="2"/>
      <c r="TJJ210" s="2"/>
      <c r="TJK210" s="2"/>
      <c r="TJL210" s="2"/>
      <c r="TJM210" s="2"/>
      <c r="TJN210" s="2"/>
      <c r="TJO210" s="2"/>
      <c r="TJP210" s="2"/>
      <c r="TJQ210" s="2"/>
      <c r="TJR210" s="2"/>
      <c r="TJS210" s="2"/>
      <c r="TJT210" s="2"/>
      <c r="TJU210" s="2"/>
      <c r="TJV210" s="2"/>
      <c r="TJW210" s="2"/>
      <c r="TJX210" s="2"/>
      <c r="TJY210" s="2"/>
      <c r="TJZ210" s="2"/>
      <c r="TKA210" s="2"/>
      <c r="TKB210" s="2"/>
      <c r="TKC210" s="2"/>
      <c r="TKD210" s="2"/>
      <c r="TKE210" s="2"/>
      <c r="TKF210" s="2"/>
      <c r="TKG210" s="2"/>
      <c r="TKH210" s="2"/>
      <c r="TKI210" s="2"/>
      <c r="TKJ210" s="2"/>
      <c r="TKK210" s="2"/>
      <c r="TKL210" s="2"/>
      <c r="TKM210" s="2"/>
      <c r="TKN210" s="2"/>
      <c r="TKO210" s="2"/>
      <c r="TKP210" s="2"/>
      <c r="TKQ210" s="2"/>
      <c r="TKR210" s="2"/>
      <c r="TKS210" s="2"/>
      <c r="TKT210" s="2"/>
      <c r="TKU210" s="2"/>
      <c r="TKV210" s="2"/>
      <c r="TKW210" s="2"/>
      <c r="TKX210" s="2"/>
      <c r="TKY210" s="2"/>
      <c r="TKZ210" s="2"/>
      <c r="TLA210" s="2"/>
      <c r="TLB210" s="2"/>
      <c r="TLC210" s="2"/>
      <c r="TLD210" s="2"/>
      <c r="TLE210" s="2"/>
      <c r="TLF210" s="2"/>
      <c r="TLG210" s="2"/>
      <c r="TLH210" s="2"/>
      <c r="TLI210" s="2"/>
      <c r="TLJ210" s="2"/>
      <c r="TLK210" s="2"/>
      <c r="TLL210" s="2"/>
      <c r="TLM210" s="2"/>
      <c r="TLN210" s="2"/>
      <c r="TLO210" s="2"/>
      <c r="TLP210" s="2"/>
      <c r="TLQ210" s="2"/>
      <c r="TLR210" s="2"/>
      <c r="TLS210" s="2"/>
      <c r="TLT210" s="2"/>
      <c r="TLU210" s="2"/>
      <c r="TLV210" s="2"/>
      <c r="TLW210" s="2"/>
      <c r="TLX210" s="2"/>
      <c r="TLY210" s="2"/>
      <c r="TLZ210" s="2"/>
      <c r="TMA210" s="2"/>
      <c r="TMB210" s="2"/>
      <c r="TMC210" s="2"/>
      <c r="TMD210" s="2"/>
      <c r="TME210" s="2"/>
      <c r="TMF210" s="2"/>
      <c r="TMG210" s="2"/>
      <c r="TMH210" s="2"/>
      <c r="TMI210" s="2"/>
      <c r="TMJ210" s="2"/>
      <c r="TMK210" s="2"/>
      <c r="TML210" s="2"/>
      <c r="TMM210" s="2"/>
      <c r="TMN210" s="2"/>
      <c r="TMO210" s="2"/>
      <c r="TMP210" s="2"/>
      <c r="TMQ210" s="2"/>
      <c r="TMR210" s="2"/>
      <c r="TMS210" s="2"/>
      <c r="TMT210" s="2"/>
      <c r="TMU210" s="2"/>
      <c r="TMV210" s="2"/>
      <c r="TMW210" s="2"/>
      <c r="TMX210" s="2"/>
      <c r="TMY210" s="2"/>
      <c r="TMZ210" s="2"/>
      <c r="TNA210" s="2"/>
      <c r="TNB210" s="2"/>
      <c r="TNC210" s="2"/>
      <c r="TND210" s="2"/>
      <c r="TNE210" s="2"/>
      <c r="TNF210" s="2"/>
      <c r="TNG210" s="2"/>
      <c r="TNH210" s="2"/>
      <c r="TNI210" s="2"/>
      <c r="TNJ210" s="2"/>
      <c r="TNK210" s="2"/>
      <c r="TNL210" s="2"/>
      <c r="TNM210" s="2"/>
      <c r="TNN210" s="2"/>
      <c r="TNO210" s="2"/>
      <c r="TNP210" s="2"/>
      <c r="TNQ210" s="2"/>
      <c r="TNR210" s="2"/>
      <c r="TNS210" s="2"/>
      <c r="TNT210" s="2"/>
      <c r="TNU210" s="2"/>
      <c r="TNV210" s="2"/>
      <c r="TNW210" s="2"/>
      <c r="TNX210" s="2"/>
      <c r="TNY210" s="2"/>
      <c r="TNZ210" s="2"/>
      <c r="TOA210" s="2"/>
      <c r="TOB210" s="2"/>
      <c r="TOC210" s="2"/>
      <c r="TOD210" s="2"/>
      <c r="TOE210" s="2"/>
      <c r="TOF210" s="2"/>
      <c r="TOG210" s="2"/>
      <c r="TOH210" s="2"/>
      <c r="TOI210" s="2"/>
      <c r="TOJ210" s="2"/>
      <c r="TOK210" s="2"/>
      <c r="TOL210" s="2"/>
      <c r="TOM210" s="2"/>
      <c r="TON210" s="2"/>
      <c r="TOO210" s="2"/>
      <c r="TOP210" s="2"/>
      <c r="TOQ210" s="2"/>
      <c r="TOR210" s="2"/>
      <c r="TOS210" s="2"/>
      <c r="TOT210" s="2"/>
      <c r="TOU210" s="2"/>
      <c r="TOV210" s="2"/>
      <c r="TOW210" s="2"/>
      <c r="TOX210" s="2"/>
      <c r="TOY210" s="2"/>
      <c r="TOZ210" s="2"/>
      <c r="TPA210" s="2"/>
      <c r="TPB210" s="2"/>
      <c r="TPC210" s="2"/>
      <c r="TPD210" s="2"/>
      <c r="TPE210" s="2"/>
      <c r="TPF210" s="2"/>
      <c r="TPG210" s="2"/>
      <c r="TPH210" s="2"/>
      <c r="TPI210" s="2"/>
      <c r="TPJ210" s="2"/>
      <c r="TPK210" s="2"/>
      <c r="TPL210" s="2"/>
      <c r="TPM210" s="2"/>
      <c r="TPN210" s="2"/>
      <c r="TPO210" s="2"/>
      <c r="TPP210" s="2"/>
      <c r="TPQ210" s="2"/>
      <c r="TPR210" s="2"/>
      <c r="TPS210" s="2"/>
      <c r="TPT210" s="2"/>
      <c r="TPU210" s="2"/>
      <c r="TPV210" s="2"/>
      <c r="TPW210" s="2"/>
      <c r="TPX210" s="2"/>
      <c r="TPY210" s="2"/>
      <c r="TPZ210" s="2"/>
      <c r="TQA210" s="2"/>
      <c r="TQB210" s="2"/>
      <c r="TQC210" s="2"/>
      <c r="TQD210" s="2"/>
      <c r="TQE210" s="2"/>
      <c r="TQF210" s="2"/>
      <c r="TQG210" s="2"/>
      <c r="TQH210" s="2"/>
      <c r="TQI210" s="2"/>
      <c r="TQJ210" s="2"/>
      <c r="TQK210" s="2"/>
      <c r="TQL210" s="2"/>
      <c r="TQM210" s="2"/>
      <c r="TQN210" s="2"/>
      <c r="TQO210" s="2"/>
      <c r="TQP210" s="2"/>
      <c r="TQQ210" s="2"/>
      <c r="TQR210" s="2"/>
      <c r="TQS210" s="2"/>
      <c r="TQT210" s="2"/>
      <c r="TQU210" s="2"/>
      <c r="TQV210" s="2"/>
      <c r="TQW210" s="2"/>
      <c r="TQX210" s="2"/>
      <c r="TQY210" s="2"/>
      <c r="TQZ210" s="2"/>
      <c r="TRA210" s="2"/>
      <c r="TRB210" s="2"/>
      <c r="TRC210" s="2"/>
      <c r="TRD210" s="2"/>
      <c r="TRE210" s="2"/>
      <c r="TRF210" s="2"/>
      <c r="TRG210" s="2"/>
      <c r="TRH210" s="2"/>
      <c r="TRI210" s="2"/>
      <c r="TRJ210" s="2"/>
      <c r="TRK210" s="2"/>
      <c r="TRL210" s="2"/>
      <c r="TRM210" s="2"/>
      <c r="TRN210" s="2"/>
      <c r="TRO210" s="2"/>
      <c r="TRP210" s="2"/>
      <c r="TRQ210" s="2"/>
      <c r="TRR210" s="2"/>
      <c r="TRS210" s="2"/>
      <c r="TRT210" s="2"/>
      <c r="TRU210" s="2"/>
      <c r="TRV210" s="2"/>
      <c r="TRW210" s="2"/>
      <c r="TRX210" s="2"/>
      <c r="TRY210" s="2"/>
      <c r="TRZ210" s="2"/>
      <c r="TSA210" s="2"/>
      <c r="TSB210" s="2"/>
      <c r="TSC210" s="2"/>
      <c r="TSD210" s="2"/>
      <c r="TSE210" s="2"/>
      <c r="TSF210" s="2"/>
      <c r="TSG210" s="2"/>
      <c r="TSH210" s="2"/>
      <c r="TSI210" s="2"/>
      <c r="TSJ210" s="2"/>
      <c r="TSK210" s="2"/>
      <c r="TSL210" s="2"/>
      <c r="TSM210" s="2"/>
      <c r="TSN210" s="2"/>
      <c r="TSO210" s="2"/>
      <c r="TSP210" s="2"/>
      <c r="TSQ210" s="2"/>
      <c r="TSR210" s="2"/>
      <c r="TSS210" s="2"/>
      <c r="TST210" s="2"/>
      <c r="TSU210" s="2"/>
      <c r="TSV210" s="2"/>
      <c r="TSW210" s="2"/>
      <c r="TSX210" s="2"/>
      <c r="TSY210" s="2"/>
      <c r="TSZ210" s="2"/>
      <c r="TTA210" s="2"/>
      <c r="TTB210" s="2"/>
      <c r="TTC210" s="2"/>
      <c r="TTD210" s="2"/>
      <c r="TTE210" s="2"/>
      <c r="TTF210" s="2"/>
      <c r="TTG210" s="2"/>
      <c r="TTH210" s="2"/>
      <c r="TTI210" s="2"/>
      <c r="TTJ210" s="2"/>
      <c r="TTK210" s="2"/>
      <c r="TTL210" s="2"/>
      <c r="TTM210" s="2"/>
      <c r="TTN210" s="2"/>
      <c r="TTO210" s="2"/>
      <c r="TTP210" s="2"/>
      <c r="TTQ210" s="2"/>
      <c r="TTR210" s="2"/>
      <c r="TTS210" s="2"/>
      <c r="TTT210" s="2"/>
      <c r="TTU210" s="2"/>
      <c r="TTV210" s="2"/>
      <c r="TTW210" s="2"/>
      <c r="TTX210" s="2"/>
      <c r="TTY210" s="2"/>
      <c r="TTZ210" s="2"/>
      <c r="TUA210" s="2"/>
      <c r="TUB210" s="2"/>
      <c r="TUC210" s="2"/>
      <c r="TUD210" s="2"/>
      <c r="TUE210" s="2"/>
      <c r="TUF210" s="2"/>
      <c r="TUG210" s="2"/>
      <c r="TUH210" s="2"/>
      <c r="TUI210" s="2"/>
      <c r="TUJ210" s="2"/>
      <c r="TUK210" s="2"/>
      <c r="TUL210" s="2"/>
      <c r="TUM210" s="2"/>
      <c r="TUN210" s="2"/>
      <c r="TUO210" s="2"/>
      <c r="TUP210" s="2"/>
      <c r="TUQ210" s="2"/>
      <c r="TUR210" s="2"/>
      <c r="TUS210" s="2"/>
      <c r="TUT210" s="2"/>
      <c r="TUU210" s="2"/>
      <c r="TUV210" s="2"/>
      <c r="TUW210" s="2"/>
      <c r="TUX210" s="2"/>
      <c r="TUY210" s="2"/>
      <c r="TUZ210" s="2"/>
      <c r="TVA210" s="2"/>
      <c r="TVB210" s="2"/>
      <c r="TVC210" s="2"/>
      <c r="TVD210" s="2"/>
      <c r="TVE210" s="2"/>
      <c r="TVF210" s="2"/>
      <c r="TVG210" s="2"/>
      <c r="TVH210" s="2"/>
      <c r="TVI210" s="2"/>
      <c r="TVJ210" s="2"/>
      <c r="TVK210" s="2"/>
      <c r="TVL210" s="2"/>
      <c r="TVM210" s="2"/>
      <c r="TVN210" s="2"/>
      <c r="TVO210" s="2"/>
      <c r="TVP210" s="2"/>
      <c r="TVQ210" s="2"/>
      <c r="TVR210" s="2"/>
      <c r="TVS210" s="2"/>
      <c r="TVT210" s="2"/>
      <c r="TVU210" s="2"/>
      <c r="TVV210" s="2"/>
      <c r="TVW210" s="2"/>
      <c r="TVX210" s="2"/>
      <c r="TVY210" s="2"/>
      <c r="TVZ210" s="2"/>
      <c r="TWA210" s="2"/>
      <c r="TWB210" s="2"/>
      <c r="TWC210" s="2"/>
      <c r="TWD210" s="2"/>
      <c r="TWE210" s="2"/>
      <c r="TWF210" s="2"/>
      <c r="TWG210" s="2"/>
      <c r="TWH210" s="2"/>
      <c r="TWI210" s="2"/>
      <c r="TWJ210" s="2"/>
      <c r="TWK210" s="2"/>
      <c r="TWL210" s="2"/>
      <c r="TWM210" s="2"/>
      <c r="TWN210" s="2"/>
      <c r="TWO210" s="2"/>
      <c r="TWP210" s="2"/>
      <c r="TWQ210" s="2"/>
      <c r="TWR210" s="2"/>
      <c r="TWS210" s="2"/>
      <c r="TWT210" s="2"/>
      <c r="TWU210" s="2"/>
      <c r="TWV210" s="2"/>
      <c r="TWW210" s="2"/>
      <c r="TWX210" s="2"/>
      <c r="TWY210" s="2"/>
      <c r="TWZ210" s="2"/>
      <c r="TXA210" s="2"/>
      <c r="TXB210" s="2"/>
      <c r="TXC210" s="2"/>
      <c r="TXD210" s="2"/>
      <c r="TXE210" s="2"/>
      <c r="TXF210" s="2"/>
      <c r="TXG210" s="2"/>
      <c r="TXH210" s="2"/>
      <c r="TXI210" s="2"/>
      <c r="TXJ210" s="2"/>
      <c r="TXK210" s="2"/>
      <c r="TXL210" s="2"/>
      <c r="TXM210" s="2"/>
      <c r="TXN210" s="2"/>
      <c r="TXO210" s="2"/>
      <c r="TXP210" s="2"/>
      <c r="TXQ210" s="2"/>
      <c r="TXR210" s="2"/>
      <c r="TXS210" s="2"/>
      <c r="TXT210" s="2"/>
      <c r="TXU210" s="2"/>
      <c r="TXV210" s="2"/>
      <c r="TXW210" s="2"/>
      <c r="TXX210" s="2"/>
      <c r="TXY210" s="2"/>
      <c r="TXZ210" s="2"/>
      <c r="TYA210" s="2"/>
      <c r="TYB210" s="2"/>
      <c r="TYC210" s="2"/>
      <c r="TYD210" s="2"/>
      <c r="TYE210" s="2"/>
      <c r="TYF210" s="2"/>
      <c r="TYG210" s="2"/>
      <c r="TYH210" s="2"/>
      <c r="TYI210" s="2"/>
      <c r="TYJ210" s="2"/>
      <c r="TYK210" s="2"/>
      <c r="TYL210" s="2"/>
      <c r="TYM210" s="2"/>
      <c r="TYN210" s="2"/>
      <c r="TYO210" s="2"/>
      <c r="TYP210" s="2"/>
      <c r="TYQ210" s="2"/>
      <c r="TYR210" s="2"/>
      <c r="TYS210" s="2"/>
      <c r="TYT210" s="2"/>
      <c r="TYU210" s="2"/>
      <c r="TYV210" s="2"/>
      <c r="TYW210" s="2"/>
      <c r="TYX210" s="2"/>
      <c r="TYY210" s="2"/>
      <c r="TYZ210" s="2"/>
      <c r="TZA210" s="2"/>
      <c r="TZB210" s="2"/>
      <c r="TZC210" s="2"/>
      <c r="TZD210" s="2"/>
      <c r="TZE210" s="2"/>
      <c r="TZF210" s="2"/>
      <c r="TZG210" s="2"/>
      <c r="TZH210" s="2"/>
      <c r="TZI210" s="2"/>
      <c r="TZJ210" s="2"/>
      <c r="TZK210" s="2"/>
      <c r="TZL210" s="2"/>
      <c r="TZM210" s="2"/>
      <c r="TZN210" s="2"/>
      <c r="TZO210" s="2"/>
      <c r="TZP210" s="2"/>
      <c r="TZQ210" s="2"/>
      <c r="TZR210" s="2"/>
      <c r="TZS210" s="2"/>
      <c r="TZT210" s="2"/>
      <c r="TZU210" s="2"/>
      <c r="TZV210" s="2"/>
      <c r="TZW210" s="2"/>
      <c r="TZX210" s="2"/>
      <c r="TZY210" s="2"/>
      <c r="TZZ210" s="2"/>
      <c r="UAA210" s="2"/>
      <c r="UAB210" s="2"/>
      <c r="UAC210" s="2"/>
      <c r="UAD210" s="2"/>
      <c r="UAE210" s="2"/>
      <c r="UAF210" s="2"/>
      <c r="UAG210" s="2"/>
      <c r="UAH210" s="2"/>
      <c r="UAI210" s="2"/>
      <c r="UAJ210" s="2"/>
      <c r="UAK210" s="2"/>
      <c r="UAL210" s="2"/>
      <c r="UAM210" s="2"/>
      <c r="UAN210" s="2"/>
      <c r="UAO210" s="2"/>
      <c r="UAP210" s="2"/>
      <c r="UAQ210" s="2"/>
      <c r="UAR210" s="2"/>
      <c r="UAS210" s="2"/>
      <c r="UAT210" s="2"/>
      <c r="UAU210" s="2"/>
      <c r="UAV210" s="2"/>
      <c r="UAW210" s="2"/>
      <c r="UAX210" s="2"/>
      <c r="UAY210" s="2"/>
      <c r="UAZ210" s="2"/>
      <c r="UBA210" s="2"/>
      <c r="UBB210" s="2"/>
      <c r="UBC210" s="2"/>
      <c r="UBD210" s="2"/>
      <c r="UBE210" s="2"/>
      <c r="UBF210" s="2"/>
      <c r="UBG210" s="2"/>
      <c r="UBH210" s="2"/>
      <c r="UBI210" s="2"/>
      <c r="UBJ210" s="2"/>
      <c r="UBK210" s="2"/>
      <c r="UBL210" s="2"/>
      <c r="UBM210" s="2"/>
      <c r="UBN210" s="2"/>
      <c r="UBO210" s="2"/>
      <c r="UBP210" s="2"/>
      <c r="UBQ210" s="2"/>
      <c r="UBR210" s="2"/>
      <c r="UBS210" s="2"/>
      <c r="UBT210" s="2"/>
      <c r="UBU210" s="2"/>
      <c r="UBV210" s="2"/>
      <c r="UBW210" s="2"/>
      <c r="UBX210" s="2"/>
      <c r="UBY210" s="2"/>
      <c r="UBZ210" s="2"/>
      <c r="UCA210" s="2"/>
      <c r="UCB210" s="2"/>
      <c r="UCC210" s="2"/>
      <c r="UCD210" s="2"/>
      <c r="UCE210" s="2"/>
      <c r="UCF210" s="2"/>
      <c r="UCG210" s="2"/>
      <c r="UCH210" s="2"/>
      <c r="UCI210" s="2"/>
      <c r="UCJ210" s="2"/>
      <c r="UCK210" s="2"/>
      <c r="UCL210" s="2"/>
      <c r="UCM210" s="2"/>
      <c r="UCN210" s="2"/>
      <c r="UCO210" s="2"/>
      <c r="UCP210" s="2"/>
      <c r="UCQ210" s="2"/>
      <c r="UCR210" s="2"/>
      <c r="UCS210" s="2"/>
      <c r="UCT210" s="2"/>
      <c r="UCU210" s="2"/>
      <c r="UCV210" s="2"/>
      <c r="UCW210" s="2"/>
      <c r="UCX210" s="2"/>
      <c r="UCY210" s="2"/>
      <c r="UCZ210" s="2"/>
      <c r="UDA210" s="2"/>
      <c r="UDB210" s="2"/>
      <c r="UDC210" s="2"/>
      <c r="UDD210" s="2"/>
      <c r="UDE210" s="2"/>
      <c r="UDF210" s="2"/>
      <c r="UDG210" s="2"/>
      <c r="UDH210" s="2"/>
      <c r="UDI210" s="2"/>
      <c r="UDJ210" s="2"/>
      <c r="UDK210" s="2"/>
      <c r="UDL210" s="2"/>
      <c r="UDM210" s="2"/>
      <c r="UDN210" s="2"/>
      <c r="UDO210" s="2"/>
      <c r="UDP210" s="2"/>
      <c r="UDQ210" s="2"/>
      <c r="UDR210" s="2"/>
      <c r="UDS210" s="2"/>
      <c r="UDT210" s="2"/>
      <c r="UDU210" s="2"/>
      <c r="UDV210" s="2"/>
      <c r="UDW210" s="2"/>
      <c r="UDX210" s="2"/>
      <c r="UDY210" s="2"/>
      <c r="UDZ210" s="2"/>
      <c r="UEA210" s="2"/>
      <c r="UEB210" s="2"/>
      <c r="UEC210" s="2"/>
      <c r="UED210" s="2"/>
      <c r="UEE210" s="2"/>
      <c r="UEF210" s="2"/>
      <c r="UEG210" s="2"/>
      <c r="UEH210" s="2"/>
      <c r="UEI210" s="2"/>
      <c r="UEJ210" s="2"/>
      <c r="UEK210" s="2"/>
      <c r="UEL210" s="2"/>
      <c r="UEM210" s="2"/>
      <c r="UEN210" s="2"/>
      <c r="UEO210" s="2"/>
      <c r="UEP210" s="2"/>
      <c r="UEQ210" s="2"/>
      <c r="UER210" s="2"/>
      <c r="UES210" s="2"/>
      <c r="UET210" s="2"/>
      <c r="UEU210" s="2"/>
      <c r="UEV210" s="2"/>
      <c r="UEW210" s="2"/>
      <c r="UEX210" s="2"/>
      <c r="UEY210" s="2"/>
      <c r="UEZ210" s="2"/>
      <c r="UFA210" s="2"/>
      <c r="UFB210" s="2"/>
      <c r="UFC210" s="2"/>
      <c r="UFD210" s="2"/>
      <c r="UFE210" s="2"/>
      <c r="UFF210" s="2"/>
      <c r="UFG210" s="2"/>
      <c r="UFH210" s="2"/>
      <c r="UFI210" s="2"/>
      <c r="UFJ210" s="2"/>
      <c r="UFK210" s="2"/>
      <c r="UFL210" s="2"/>
      <c r="UFM210" s="2"/>
      <c r="UFN210" s="2"/>
      <c r="UFO210" s="2"/>
      <c r="UFP210" s="2"/>
      <c r="UFQ210" s="2"/>
      <c r="UFR210" s="2"/>
      <c r="UFS210" s="2"/>
      <c r="UFT210" s="2"/>
      <c r="UFU210" s="2"/>
      <c r="UFV210" s="2"/>
      <c r="UFW210" s="2"/>
      <c r="UFX210" s="2"/>
      <c r="UFY210" s="2"/>
      <c r="UFZ210" s="2"/>
      <c r="UGA210" s="2"/>
      <c r="UGB210" s="2"/>
      <c r="UGC210" s="2"/>
      <c r="UGD210" s="2"/>
      <c r="UGE210" s="2"/>
      <c r="UGF210" s="2"/>
      <c r="UGG210" s="2"/>
      <c r="UGH210" s="2"/>
      <c r="UGI210" s="2"/>
      <c r="UGJ210" s="2"/>
      <c r="UGK210" s="2"/>
      <c r="UGL210" s="2"/>
      <c r="UGM210" s="2"/>
      <c r="UGN210" s="2"/>
      <c r="UGO210" s="2"/>
      <c r="UGP210" s="2"/>
      <c r="UGQ210" s="2"/>
      <c r="UGR210" s="2"/>
      <c r="UGS210" s="2"/>
      <c r="UGT210" s="2"/>
      <c r="UGU210" s="2"/>
      <c r="UGV210" s="2"/>
      <c r="UGW210" s="2"/>
      <c r="UGX210" s="2"/>
      <c r="UGY210" s="2"/>
      <c r="UGZ210" s="2"/>
      <c r="UHA210" s="2"/>
      <c r="UHB210" s="2"/>
      <c r="UHC210" s="2"/>
      <c r="UHD210" s="2"/>
      <c r="UHE210" s="2"/>
      <c r="UHF210" s="2"/>
      <c r="UHG210" s="2"/>
      <c r="UHH210" s="2"/>
      <c r="UHI210" s="2"/>
      <c r="UHJ210" s="2"/>
      <c r="UHK210" s="2"/>
      <c r="UHL210" s="2"/>
      <c r="UHM210" s="2"/>
      <c r="UHN210" s="2"/>
      <c r="UHO210" s="2"/>
      <c r="UHP210" s="2"/>
      <c r="UHQ210" s="2"/>
      <c r="UHR210" s="2"/>
      <c r="UHS210" s="2"/>
      <c r="UHT210" s="2"/>
      <c r="UHU210" s="2"/>
      <c r="UHV210" s="2"/>
      <c r="UHW210" s="2"/>
      <c r="UHX210" s="2"/>
      <c r="UHY210" s="2"/>
      <c r="UHZ210" s="2"/>
      <c r="UIA210" s="2"/>
      <c r="UIB210" s="2"/>
      <c r="UIC210" s="2"/>
      <c r="UID210" s="2"/>
      <c r="UIE210" s="2"/>
      <c r="UIF210" s="2"/>
      <c r="UIG210" s="2"/>
      <c r="UIH210" s="2"/>
      <c r="UII210" s="2"/>
      <c r="UIJ210" s="2"/>
      <c r="UIK210" s="2"/>
      <c r="UIL210" s="2"/>
      <c r="UIM210" s="2"/>
      <c r="UIN210" s="2"/>
      <c r="UIO210" s="2"/>
      <c r="UIP210" s="2"/>
      <c r="UIQ210" s="2"/>
      <c r="UIR210" s="2"/>
      <c r="UIS210" s="2"/>
      <c r="UIT210" s="2"/>
      <c r="UIU210" s="2"/>
      <c r="UIV210" s="2"/>
      <c r="UIW210" s="2"/>
      <c r="UIX210" s="2"/>
      <c r="UIY210" s="2"/>
      <c r="UIZ210" s="2"/>
      <c r="UJA210" s="2"/>
      <c r="UJB210" s="2"/>
      <c r="UJC210" s="2"/>
      <c r="UJD210" s="2"/>
      <c r="UJE210" s="2"/>
      <c r="UJF210" s="2"/>
      <c r="UJG210" s="2"/>
      <c r="UJH210" s="2"/>
      <c r="UJI210" s="2"/>
      <c r="UJJ210" s="2"/>
      <c r="UJK210" s="2"/>
      <c r="UJL210" s="2"/>
      <c r="UJM210" s="2"/>
      <c r="UJN210" s="2"/>
      <c r="UJO210" s="2"/>
      <c r="UJP210" s="2"/>
      <c r="UJQ210" s="2"/>
      <c r="UJR210" s="2"/>
      <c r="UJS210" s="2"/>
      <c r="UJT210" s="2"/>
      <c r="UJU210" s="2"/>
      <c r="UJV210" s="2"/>
      <c r="UJW210" s="2"/>
      <c r="UJX210" s="2"/>
      <c r="UJY210" s="2"/>
      <c r="UJZ210" s="2"/>
      <c r="UKA210" s="2"/>
      <c r="UKB210" s="2"/>
      <c r="UKC210" s="2"/>
      <c r="UKD210" s="2"/>
      <c r="UKE210" s="2"/>
      <c r="UKF210" s="2"/>
      <c r="UKG210" s="2"/>
      <c r="UKH210" s="2"/>
      <c r="UKI210" s="2"/>
      <c r="UKJ210" s="2"/>
      <c r="UKK210" s="2"/>
      <c r="UKL210" s="2"/>
      <c r="UKM210" s="2"/>
      <c r="UKN210" s="2"/>
      <c r="UKO210" s="2"/>
      <c r="UKP210" s="2"/>
      <c r="UKQ210" s="2"/>
      <c r="UKR210" s="2"/>
      <c r="UKS210" s="2"/>
      <c r="UKT210" s="2"/>
      <c r="UKU210" s="2"/>
      <c r="UKV210" s="2"/>
      <c r="UKW210" s="2"/>
      <c r="UKX210" s="2"/>
      <c r="UKY210" s="2"/>
      <c r="UKZ210" s="2"/>
      <c r="ULA210" s="2"/>
      <c r="ULB210" s="2"/>
      <c r="ULC210" s="2"/>
      <c r="ULD210" s="2"/>
      <c r="ULE210" s="2"/>
      <c r="ULF210" s="2"/>
      <c r="ULG210" s="2"/>
      <c r="ULH210" s="2"/>
      <c r="ULI210" s="2"/>
      <c r="ULJ210" s="2"/>
      <c r="ULK210" s="2"/>
      <c r="ULL210" s="2"/>
      <c r="ULM210" s="2"/>
      <c r="ULN210" s="2"/>
      <c r="ULO210" s="2"/>
      <c r="ULP210" s="2"/>
      <c r="ULQ210" s="2"/>
      <c r="ULR210" s="2"/>
      <c r="ULS210" s="2"/>
      <c r="ULT210" s="2"/>
      <c r="ULU210" s="2"/>
      <c r="ULV210" s="2"/>
      <c r="ULW210" s="2"/>
      <c r="ULX210" s="2"/>
      <c r="ULY210" s="2"/>
      <c r="ULZ210" s="2"/>
      <c r="UMA210" s="2"/>
      <c r="UMB210" s="2"/>
      <c r="UMC210" s="2"/>
      <c r="UMD210" s="2"/>
      <c r="UME210" s="2"/>
      <c r="UMF210" s="2"/>
      <c r="UMG210" s="2"/>
      <c r="UMH210" s="2"/>
      <c r="UMI210" s="2"/>
      <c r="UMJ210" s="2"/>
      <c r="UMK210" s="2"/>
      <c r="UML210" s="2"/>
      <c r="UMM210" s="2"/>
      <c r="UMN210" s="2"/>
      <c r="UMO210" s="2"/>
      <c r="UMP210" s="2"/>
      <c r="UMQ210" s="2"/>
      <c r="UMR210" s="2"/>
      <c r="UMS210" s="2"/>
      <c r="UMT210" s="2"/>
      <c r="UMU210" s="2"/>
      <c r="UMV210" s="2"/>
      <c r="UMW210" s="2"/>
      <c r="UMX210" s="2"/>
      <c r="UMY210" s="2"/>
      <c r="UMZ210" s="2"/>
      <c r="UNA210" s="2"/>
      <c r="UNB210" s="2"/>
      <c r="UNC210" s="2"/>
      <c r="UND210" s="2"/>
      <c r="UNE210" s="2"/>
      <c r="UNF210" s="2"/>
      <c r="UNG210" s="2"/>
      <c r="UNH210" s="2"/>
      <c r="UNI210" s="2"/>
      <c r="UNJ210" s="2"/>
      <c r="UNK210" s="2"/>
      <c r="UNL210" s="2"/>
      <c r="UNM210" s="2"/>
      <c r="UNN210" s="2"/>
      <c r="UNO210" s="2"/>
      <c r="UNP210" s="2"/>
      <c r="UNQ210" s="2"/>
      <c r="UNR210" s="2"/>
      <c r="UNS210" s="2"/>
      <c r="UNT210" s="2"/>
      <c r="UNU210" s="2"/>
      <c r="UNV210" s="2"/>
      <c r="UNW210" s="2"/>
      <c r="UNX210" s="2"/>
      <c r="UNY210" s="2"/>
      <c r="UNZ210" s="2"/>
      <c r="UOA210" s="2"/>
      <c r="UOB210" s="2"/>
      <c r="UOC210" s="2"/>
      <c r="UOD210" s="2"/>
      <c r="UOE210" s="2"/>
      <c r="UOF210" s="2"/>
      <c r="UOG210" s="2"/>
      <c r="UOH210" s="2"/>
      <c r="UOI210" s="2"/>
      <c r="UOJ210" s="2"/>
      <c r="UOK210" s="2"/>
      <c r="UOL210" s="2"/>
      <c r="UOM210" s="2"/>
      <c r="UON210" s="2"/>
      <c r="UOO210" s="2"/>
      <c r="UOP210" s="2"/>
      <c r="UOQ210" s="2"/>
      <c r="UOR210" s="2"/>
      <c r="UOS210" s="2"/>
      <c r="UOT210" s="2"/>
      <c r="UOU210" s="2"/>
      <c r="UOV210" s="2"/>
      <c r="UOW210" s="2"/>
      <c r="UOX210" s="2"/>
      <c r="UOY210" s="2"/>
      <c r="UOZ210" s="2"/>
      <c r="UPA210" s="2"/>
      <c r="UPB210" s="2"/>
      <c r="UPC210" s="2"/>
      <c r="UPD210" s="2"/>
      <c r="UPE210" s="2"/>
      <c r="UPF210" s="2"/>
      <c r="UPG210" s="2"/>
      <c r="UPH210" s="2"/>
      <c r="UPI210" s="2"/>
      <c r="UPJ210" s="2"/>
      <c r="UPK210" s="2"/>
      <c r="UPL210" s="2"/>
      <c r="UPM210" s="2"/>
      <c r="UPN210" s="2"/>
      <c r="UPO210" s="2"/>
      <c r="UPP210" s="2"/>
      <c r="UPQ210" s="2"/>
      <c r="UPR210" s="2"/>
      <c r="UPS210" s="2"/>
      <c r="UPT210" s="2"/>
      <c r="UPU210" s="2"/>
      <c r="UPV210" s="2"/>
      <c r="UPW210" s="2"/>
      <c r="UPX210" s="2"/>
      <c r="UPY210" s="2"/>
      <c r="UPZ210" s="2"/>
      <c r="UQA210" s="2"/>
      <c r="UQB210" s="2"/>
      <c r="UQC210" s="2"/>
      <c r="UQD210" s="2"/>
      <c r="UQE210" s="2"/>
      <c r="UQF210" s="2"/>
      <c r="UQG210" s="2"/>
      <c r="UQH210" s="2"/>
      <c r="UQI210" s="2"/>
      <c r="UQJ210" s="2"/>
      <c r="UQK210" s="2"/>
      <c r="UQL210" s="2"/>
      <c r="UQM210" s="2"/>
      <c r="UQN210" s="2"/>
      <c r="UQO210" s="2"/>
      <c r="UQP210" s="2"/>
      <c r="UQQ210" s="2"/>
      <c r="UQR210" s="2"/>
      <c r="UQS210" s="2"/>
      <c r="UQT210" s="2"/>
      <c r="UQU210" s="2"/>
      <c r="UQV210" s="2"/>
      <c r="UQW210" s="2"/>
      <c r="UQX210" s="2"/>
      <c r="UQY210" s="2"/>
      <c r="UQZ210" s="2"/>
      <c r="URA210" s="2"/>
      <c r="URB210" s="2"/>
      <c r="URC210" s="2"/>
      <c r="URD210" s="2"/>
      <c r="URE210" s="2"/>
      <c r="URF210" s="2"/>
      <c r="URG210" s="2"/>
      <c r="URH210" s="2"/>
      <c r="URI210" s="2"/>
      <c r="URJ210" s="2"/>
      <c r="URK210" s="2"/>
      <c r="URL210" s="2"/>
      <c r="URM210" s="2"/>
      <c r="URN210" s="2"/>
      <c r="URO210" s="2"/>
      <c r="URP210" s="2"/>
      <c r="URQ210" s="2"/>
      <c r="URR210" s="2"/>
      <c r="URS210" s="2"/>
      <c r="URT210" s="2"/>
      <c r="URU210" s="2"/>
      <c r="URV210" s="2"/>
      <c r="URW210" s="2"/>
      <c r="URX210" s="2"/>
      <c r="URY210" s="2"/>
      <c r="URZ210" s="2"/>
      <c r="USA210" s="2"/>
      <c r="USB210" s="2"/>
      <c r="USC210" s="2"/>
      <c r="USD210" s="2"/>
      <c r="USE210" s="2"/>
      <c r="USF210" s="2"/>
      <c r="USG210" s="2"/>
      <c r="USH210" s="2"/>
      <c r="USI210" s="2"/>
      <c r="USJ210" s="2"/>
      <c r="USK210" s="2"/>
      <c r="USL210" s="2"/>
      <c r="USM210" s="2"/>
      <c r="USN210" s="2"/>
      <c r="USO210" s="2"/>
      <c r="USP210" s="2"/>
      <c r="USQ210" s="2"/>
      <c r="USR210" s="2"/>
      <c r="USS210" s="2"/>
      <c r="UST210" s="2"/>
      <c r="USU210" s="2"/>
      <c r="USV210" s="2"/>
      <c r="USW210" s="2"/>
      <c r="USX210" s="2"/>
      <c r="USY210" s="2"/>
      <c r="USZ210" s="2"/>
      <c r="UTA210" s="2"/>
      <c r="UTB210" s="2"/>
      <c r="UTC210" s="2"/>
      <c r="UTD210" s="2"/>
      <c r="UTE210" s="2"/>
      <c r="UTF210" s="2"/>
      <c r="UTG210" s="2"/>
      <c r="UTH210" s="2"/>
      <c r="UTI210" s="2"/>
      <c r="UTJ210" s="2"/>
      <c r="UTK210" s="2"/>
      <c r="UTL210" s="2"/>
      <c r="UTM210" s="2"/>
      <c r="UTN210" s="2"/>
      <c r="UTO210" s="2"/>
      <c r="UTP210" s="2"/>
      <c r="UTQ210" s="2"/>
      <c r="UTR210" s="2"/>
      <c r="UTS210" s="2"/>
      <c r="UTT210" s="2"/>
      <c r="UTU210" s="2"/>
      <c r="UTV210" s="2"/>
      <c r="UTW210" s="2"/>
      <c r="UTX210" s="2"/>
      <c r="UTY210" s="2"/>
      <c r="UTZ210" s="2"/>
      <c r="UUA210" s="2"/>
      <c r="UUB210" s="2"/>
      <c r="UUC210" s="2"/>
      <c r="UUD210" s="2"/>
      <c r="UUE210" s="2"/>
      <c r="UUF210" s="2"/>
      <c r="UUG210" s="2"/>
      <c r="UUH210" s="2"/>
      <c r="UUI210" s="2"/>
      <c r="UUJ210" s="2"/>
      <c r="UUK210" s="2"/>
      <c r="UUL210" s="2"/>
      <c r="UUM210" s="2"/>
      <c r="UUN210" s="2"/>
      <c r="UUO210" s="2"/>
      <c r="UUP210" s="2"/>
      <c r="UUQ210" s="2"/>
      <c r="UUR210" s="2"/>
      <c r="UUS210" s="2"/>
      <c r="UUT210" s="2"/>
      <c r="UUU210" s="2"/>
      <c r="UUV210" s="2"/>
      <c r="UUW210" s="2"/>
      <c r="UUX210" s="2"/>
      <c r="UUY210" s="2"/>
      <c r="UUZ210" s="2"/>
      <c r="UVA210" s="2"/>
      <c r="UVB210" s="2"/>
      <c r="UVC210" s="2"/>
      <c r="UVD210" s="2"/>
      <c r="UVE210" s="2"/>
      <c r="UVF210" s="2"/>
      <c r="UVG210" s="2"/>
      <c r="UVH210" s="2"/>
      <c r="UVI210" s="2"/>
      <c r="UVJ210" s="2"/>
      <c r="UVK210" s="2"/>
      <c r="UVL210" s="2"/>
      <c r="UVM210" s="2"/>
      <c r="UVN210" s="2"/>
      <c r="UVO210" s="2"/>
      <c r="UVP210" s="2"/>
      <c r="UVQ210" s="2"/>
      <c r="UVR210" s="2"/>
      <c r="UVS210" s="2"/>
      <c r="UVT210" s="2"/>
      <c r="UVU210" s="2"/>
      <c r="UVV210" s="2"/>
      <c r="UVW210" s="2"/>
      <c r="UVX210" s="2"/>
      <c r="UVY210" s="2"/>
      <c r="UVZ210" s="2"/>
      <c r="UWA210" s="2"/>
      <c r="UWB210" s="2"/>
      <c r="UWC210" s="2"/>
      <c r="UWD210" s="2"/>
      <c r="UWE210" s="2"/>
      <c r="UWF210" s="2"/>
      <c r="UWG210" s="2"/>
      <c r="UWH210" s="2"/>
      <c r="UWI210" s="2"/>
      <c r="UWJ210" s="2"/>
      <c r="UWK210" s="2"/>
      <c r="UWL210" s="2"/>
      <c r="UWM210" s="2"/>
      <c r="UWN210" s="2"/>
      <c r="UWO210" s="2"/>
      <c r="UWP210" s="2"/>
      <c r="UWQ210" s="2"/>
      <c r="UWR210" s="2"/>
      <c r="UWS210" s="2"/>
      <c r="UWT210" s="2"/>
      <c r="UWU210" s="2"/>
      <c r="UWV210" s="2"/>
      <c r="UWW210" s="2"/>
      <c r="UWX210" s="2"/>
      <c r="UWY210" s="2"/>
      <c r="UWZ210" s="2"/>
      <c r="UXA210" s="2"/>
      <c r="UXB210" s="2"/>
      <c r="UXC210" s="2"/>
      <c r="UXD210" s="2"/>
      <c r="UXE210" s="2"/>
      <c r="UXF210" s="2"/>
      <c r="UXG210" s="2"/>
      <c r="UXH210" s="2"/>
      <c r="UXI210" s="2"/>
      <c r="UXJ210" s="2"/>
      <c r="UXK210" s="2"/>
      <c r="UXL210" s="2"/>
      <c r="UXM210" s="2"/>
      <c r="UXN210" s="2"/>
      <c r="UXO210" s="2"/>
      <c r="UXP210" s="2"/>
      <c r="UXQ210" s="2"/>
      <c r="UXR210" s="2"/>
      <c r="UXS210" s="2"/>
      <c r="UXT210" s="2"/>
      <c r="UXU210" s="2"/>
      <c r="UXV210" s="2"/>
      <c r="UXW210" s="2"/>
      <c r="UXX210" s="2"/>
      <c r="UXY210" s="2"/>
      <c r="UXZ210" s="2"/>
      <c r="UYA210" s="2"/>
      <c r="UYB210" s="2"/>
      <c r="UYC210" s="2"/>
      <c r="UYD210" s="2"/>
      <c r="UYE210" s="2"/>
      <c r="UYF210" s="2"/>
      <c r="UYG210" s="2"/>
      <c r="UYH210" s="2"/>
      <c r="UYI210" s="2"/>
      <c r="UYJ210" s="2"/>
      <c r="UYK210" s="2"/>
      <c r="UYL210" s="2"/>
      <c r="UYM210" s="2"/>
      <c r="UYN210" s="2"/>
      <c r="UYO210" s="2"/>
      <c r="UYP210" s="2"/>
      <c r="UYQ210" s="2"/>
      <c r="UYR210" s="2"/>
      <c r="UYS210" s="2"/>
      <c r="UYT210" s="2"/>
      <c r="UYU210" s="2"/>
      <c r="UYV210" s="2"/>
      <c r="UYW210" s="2"/>
      <c r="UYX210" s="2"/>
      <c r="UYY210" s="2"/>
      <c r="UYZ210" s="2"/>
      <c r="UZA210" s="2"/>
      <c r="UZB210" s="2"/>
      <c r="UZC210" s="2"/>
      <c r="UZD210" s="2"/>
      <c r="UZE210" s="2"/>
      <c r="UZF210" s="2"/>
      <c r="UZG210" s="2"/>
      <c r="UZH210" s="2"/>
      <c r="UZI210" s="2"/>
      <c r="UZJ210" s="2"/>
      <c r="UZK210" s="2"/>
      <c r="UZL210" s="2"/>
      <c r="UZM210" s="2"/>
      <c r="UZN210" s="2"/>
      <c r="UZO210" s="2"/>
      <c r="UZP210" s="2"/>
      <c r="UZQ210" s="2"/>
      <c r="UZR210" s="2"/>
      <c r="UZS210" s="2"/>
      <c r="UZT210" s="2"/>
      <c r="UZU210" s="2"/>
      <c r="UZV210" s="2"/>
      <c r="UZW210" s="2"/>
      <c r="UZX210" s="2"/>
      <c r="UZY210" s="2"/>
      <c r="UZZ210" s="2"/>
      <c r="VAA210" s="2"/>
      <c r="VAB210" s="2"/>
      <c r="VAC210" s="2"/>
      <c r="VAD210" s="2"/>
      <c r="VAE210" s="2"/>
      <c r="VAF210" s="2"/>
      <c r="VAG210" s="2"/>
      <c r="VAH210" s="2"/>
      <c r="VAI210" s="2"/>
      <c r="VAJ210" s="2"/>
      <c r="VAK210" s="2"/>
      <c r="VAL210" s="2"/>
      <c r="VAM210" s="2"/>
      <c r="VAN210" s="2"/>
      <c r="VAO210" s="2"/>
      <c r="VAP210" s="2"/>
      <c r="VAQ210" s="2"/>
      <c r="VAR210" s="2"/>
      <c r="VAS210" s="2"/>
      <c r="VAT210" s="2"/>
      <c r="VAU210" s="2"/>
      <c r="VAV210" s="2"/>
      <c r="VAW210" s="2"/>
      <c r="VAX210" s="2"/>
      <c r="VAY210" s="2"/>
      <c r="VAZ210" s="2"/>
      <c r="VBA210" s="2"/>
      <c r="VBB210" s="2"/>
      <c r="VBC210" s="2"/>
      <c r="VBD210" s="2"/>
      <c r="VBE210" s="2"/>
      <c r="VBF210" s="2"/>
      <c r="VBG210" s="2"/>
      <c r="VBH210" s="2"/>
      <c r="VBI210" s="2"/>
      <c r="VBJ210" s="2"/>
      <c r="VBK210" s="2"/>
      <c r="VBL210" s="2"/>
      <c r="VBM210" s="2"/>
      <c r="VBN210" s="2"/>
      <c r="VBO210" s="2"/>
      <c r="VBP210" s="2"/>
      <c r="VBQ210" s="2"/>
      <c r="VBR210" s="2"/>
      <c r="VBS210" s="2"/>
      <c r="VBT210" s="2"/>
      <c r="VBU210" s="2"/>
      <c r="VBV210" s="2"/>
      <c r="VBW210" s="2"/>
      <c r="VBX210" s="2"/>
      <c r="VBY210" s="2"/>
      <c r="VBZ210" s="2"/>
      <c r="VCA210" s="2"/>
      <c r="VCB210" s="2"/>
      <c r="VCC210" s="2"/>
      <c r="VCD210" s="2"/>
      <c r="VCE210" s="2"/>
      <c r="VCF210" s="2"/>
      <c r="VCG210" s="2"/>
      <c r="VCH210" s="2"/>
      <c r="VCI210" s="2"/>
      <c r="VCJ210" s="2"/>
      <c r="VCK210" s="2"/>
      <c r="VCL210" s="2"/>
      <c r="VCM210" s="2"/>
      <c r="VCN210" s="2"/>
      <c r="VCO210" s="2"/>
      <c r="VCP210" s="2"/>
      <c r="VCQ210" s="2"/>
      <c r="VCR210" s="2"/>
      <c r="VCS210" s="2"/>
      <c r="VCT210" s="2"/>
      <c r="VCU210" s="2"/>
      <c r="VCV210" s="2"/>
      <c r="VCW210" s="2"/>
    </row>
  </sheetData>
  <mergeCells count="8">
    <mergeCell ref="G63:G64"/>
    <mergeCell ref="G65:G66"/>
    <mergeCell ref="F2:AP2"/>
    <mergeCell ref="F4:F5"/>
    <mergeCell ref="G4:G5"/>
    <mergeCell ref="H4:H5"/>
    <mergeCell ref="I4:I5"/>
    <mergeCell ref="J4:AN4"/>
  </mergeCells>
  <printOptions horizontalCentered="1" verticalCentered="1"/>
  <pageMargins left="0" right="0" top="0" bottom="0" header="0.31496062992125984" footer="0.31496062992125984"/>
  <pageSetup paperSize="5" scale="34" orientation="landscape" horizontalDpi="360" verticalDpi="360" r:id="rId1"/>
  <rowBreaks count="1" manualBreakCount="1">
    <brk id="92" max="39" man="1"/>
  </rowBreaks>
  <colBreaks count="1" manualBreakCount="1">
    <brk id="55" min="1" max="19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Agustus-22</vt:lpstr>
      <vt:lpstr>'Agustus-22'!Print_Area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N2N0CX10H27707B@outlook.com</cp:lastModifiedBy>
  <cp:lastPrinted>2022-12-07T11:38:39Z</cp:lastPrinted>
  <dcterms:created xsi:type="dcterms:W3CDTF">2022-08-31T06:37:41Z</dcterms:created>
  <dcterms:modified xsi:type="dcterms:W3CDTF">2025-04-22T04:30:17Z</dcterms:modified>
</cp:coreProperties>
</file>